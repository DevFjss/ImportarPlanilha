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jss\Documents\BASE EXTRAÇÃO DE DADOS PDDE 2026\BASE EXTRAÇÃO DE DADOS PDDE 2026\"/>
    </mc:Choice>
  </mc:AlternateContent>
  <xr:revisionPtr revIDLastSave="0" documentId="13_ncr:1_{614DF024-6FBE-420B-AE1C-1488486630B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DDE BASICO" sheetId="1" r:id="rId1"/>
    <sheet name="QUALIDADE" sheetId="2" r:id="rId2"/>
    <sheet name="EQUIDADE" sheetId="3" r:id="rId3"/>
    <sheet name="dadoscnpj" sheetId="5" r:id="rId4"/>
    <sheet name="Plan atualizada aptas e desativ" sheetId="6" r:id="rId5"/>
    <sheet name="cabecalho" sheetId="4" state="hidden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3" hidden="1">dadoscnpj!$A$3:$U$3</definedName>
    <definedName name="_xlnm._FilterDatabase" localSheetId="2" hidden="1">EQUIDADE!$A$1:$Q$287</definedName>
    <definedName name="_xlnm._FilterDatabase" localSheetId="0" hidden="1">'PDDE BASICO'!$A$1:$CJ$1</definedName>
    <definedName name="_xlnm._FilterDatabase" localSheetId="4" hidden="1">'Plan atualizada aptas e desativ'!$A$3:$AR$1195</definedName>
    <definedName name="_xlnm.Print_Area" localSheetId="4">'Plan atualizada aptas e desativ'!$A$1:$I$1195</definedName>
    <definedName name="_xlnm.Print_Are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93" i="6" l="1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I3" i="6"/>
  <c r="O889" i="5"/>
  <c r="P888" i="5"/>
  <c r="Q888" i="5" s="1"/>
  <c r="P887" i="5"/>
  <c r="Q887" i="5" s="1"/>
  <c r="P886" i="5"/>
  <c r="Q886" i="5" s="1"/>
  <c r="Q885" i="5"/>
  <c r="P885" i="5"/>
  <c r="P884" i="5"/>
  <c r="Q884" i="5" s="1"/>
  <c r="P883" i="5"/>
  <c r="Q883" i="5" s="1"/>
  <c r="P882" i="5"/>
  <c r="Q882" i="5" s="1"/>
  <c r="P881" i="5"/>
  <c r="Q881" i="5" s="1"/>
  <c r="P880" i="5"/>
  <c r="Q880" i="5" s="1"/>
  <c r="P879" i="5"/>
  <c r="Q879" i="5" s="1"/>
  <c r="P878" i="5"/>
  <c r="Q878" i="5" s="1"/>
  <c r="P877" i="5"/>
  <c r="Q877" i="5" s="1"/>
  <c r="P876" i="5"/>
  <c r="Q876" i="5" s="1"/>
  <c r="Q875" i="5"/>
  <c r="P875" i="5"/>
  <c r="P874" i="5"/>
  <c r="Q874" i="5" s="1"/>
  <c r="P873" i="5"/>
  <c r="Q873" i="5" s="1"/>
  <c r="P872" i="5"/>
  <c r="Q872" i="5" s="1"/>
  <c r="P871" i="5"/>
  <c r="Q871" i="5" s="1"/>
  <c r="P870" i="5"/>
  <c r="Q870" i="5" s="1"/>
  <c r="P869" i="5"/>
  <c r="Q869" i="5" s="1"/>
  <c r="P868" i="5"/>
  <c r="Q868" i="5" s="1"/>
  <c r="P867" i="5"/>
  <c r="Q867" i="5" s="1"/>
  <c r="Q866" i="5"/>
  <c r="P866" i="5"/>
  <c r="P865" i="5"/>
  <c r="Q865" i="5" s="1"/>
  <c r="P864" i="5"/>
  <c r="Q864" i="5" s="1"/>
  <c r="Q863" i="5"/>
  <c r="P863" i="5"/>
  <c r="P862" i="5"/>
  <c r="Q862" i="5" s="1"/>
  <c r="P861" i="5"/>
  <c r="Q861" i="5" s="1"/>
  <c r="P860" i="5"/>
  <c r="Q860" i="5" s="1"/>
  <c r="P859" i="5"/>
  <c r="Q859" i="5" s="1"/>
  <c r="P858" i="5"/>
  <c r="Q858" i="5" s="1"/>
  <c r="Q857" i="5"/>
  <c r="P857" i="5"/>
  <c r="P856" i="5"/>
  <c r="Q856" i="5" s="1"/>
  <c r="P855" i="5"/>
  <c r="Q855" i="5" s="1"/>
  <c r="P854" i="5"/>
  <c r="Q854" i="5" s="1"/>
  <c r="P853" i="5"/>
  <c r="Q853" i="5" s="1"/>
  <c r="P852" i="5"/>
  <c r="Q852" i="5" s="1"/>
  <c r="P851" i="5"/>
  <c r="Q851" i="5" s="1"/>
  <c r="P850" i="5"/>
  <c r="Q850" i="5" s="1"/>
  <c r="P849" i="5"/>
  <c r="Q849" i="5" s="1"/>
  <c r="P848" i="5"/>
  <c r="Q848" i="5" s="1"/>
  <c r="P847" i="5"/>
  <c r="Q847" i="5" s="1"/>
  <c r="P846" i="5"/>
  <c r="Q846" i="5" s="1"/>
  <c r="Q845" i="5"/>
  <c r="P845" i="5"/>
  <c r="P844" i="5"/>
  <c r="Q844" i="5" s="1"/>
  <c r="Q843" i="5"/>
  <c r="P843" i="5"/>
  <c r="P842" i="5"/>
  <c r="Q842" i="5" s="1"/>
  <c r="P841" i="5"/>
  <c r="Q841" i="5" s="1"/>
  <c r="P840" i="5"/>
  <c r="Q840" i="5" s="1"/>
  <c r="P839" i="5"/>
  <c r="Q839" i="5" s="1"/>
  <c r="P838" i="5"/>
  <c r="Q838" i="5" s="1"/>
  <c r="P837" i="5"/>
  <c r="Q837" i="5" s="1"/>
  <c r="P836" i="5"/>
  <c r="Q836" i="5" s="1"/>
  <c r="P835" i="5"/>
  <c r="Q835" i="5" s="1"/>
  <c r="Q834" i="5"/>
  <c r="P834" i="5"/>
  <c r="P833" i="5"/>
  <c r="Q833" i="5" s="1"/>
  <c r="P832" i="5"/>
  <c r="Q832" i="5" s="1"/>
  <c r="P831" i="5"/>
  <c r="Q831" i="5" s="1"/>
  <c r="P830" i="5"/>
  <c r="Q830" i="5" s="1"/>
  <c r="P829" i="5"/>
  <c r="Q829" i="5" s="1"/>
  <c r="P828" i="5"/>
  <c r="Q828" i="5" s="1"/>
  <c r="P827" i="5"/>
  <c r="Q827" i="5" s="1"/>
  <c r="P826" i="5"/>
  <c r="Q826" i="5" s="1"/>
  <c r="Q825" i="5"/>
  <c r="P825" i="5"/>
  <c r="P824" i="5"/>
  <c r="Q824" i="5" s="1"/>
  <c r="P823" i="5"/>
  <c r="Q823" i="5" s="1"/>
  <c r="P822" i="5"/>
  <c r="Q822" i="5" s="1"/>
  <c r="P821" i="5"/>
  <c r="Q821" i="5" s="1"/>
  <c r="P820" i="5"/>
  <c r="Q820" i="5" s="1"/>
  <c r="P819" i="5"/>
  <c r="Q819" i="5" s="1"/>
  <c r="Q818" i="5"/>
  <c r="P818" i="5"/>
  <c r="P817" i="5"/>
  <c r="Q817" i="5" s="1"/>
  <c r="P816" i="5"/>
  <c r="Q816" i="5" s="1"/>
  <c r="P815" i="5"/>
  <c r="Q815" i="5" s="1"/>
  <c r="P814" i="5"/>
  <c r="Q814" i="5" s="1"/>
  <c r="P813" i="5"/>
  <c r="Q813" i="5" s="1"/>
  <c r="P812" i="5"/>
  <c r="Q812" i="5" s="1"/>
  <c r="Q811" i="5"/>
  <c r="P811" i="5"/>
  <c r="P810" i="5"/>
  <c r="Q810" i="5" s="1"/>
  <c r="P809" i="5"/>
  <c r="Q809" i="5" s="1"/>
  <c r="P808" i="5"/>
  <c r="Q808" i="5" s="1"/>
  <c r="Q807" i="5"/>
  <c r="P807" i="5"/>
  <c r="P806" i="5"/>
  <c r="Q806" i="5" s="1"/>
  <c r="P805" i="5"/>
  <c r="Q805" i="5" s="1"/>
  <c r="P804" i="5"/>
  <c r="Q804" i="5" s="1"/>
  <c r="P803" i="5"/>
  <c r="Q803" i="5" s="1"/>
  <c r="Q802" i="5"/>
  <c r="P802" i="5"/>
  <c r="P801" i="5"/>
  <c r="Q801" i="5" s="1"/>
  <c r="P800" i="5"/>
  <c r="Q800" i="5" s="1"/>
  <c r="P799" i="5"/>
  <c r="Q799" i="5" s="1"/>
  <c r="P798" i="5"/>
  <c r="Q798" i="5" s="1"/>
  <c r="P797" i="5"/>
  <c r="Q797" i="5" s="1"/>
  <c r="P796" i="5"/>
  <c r="Q796" i="5" s="1"/>
  <c r="P795" i="5"/>
  <c r="Q795" i="5" s="1"/>
  <c r="P794" i="5"/>
  <c r="Q794" i="5" s="1"/>
  <c r="Q793" i="5"/>
  <c r="P793" i="5"/>
  <c r="P792" i="5"/>
  <c r="Q792" i="5" s="1"/>
  <c r="P791" i="5"/>
  <c r="Q791" i="5" s="1"/>
  <c r="P790" i="5"/>
  <c r="Q790" i="5" s="1"/>
  <c r="P789" i="5"/>
  <c r="Q789" i="5" s="1"/>
  <c r="P788" i="5"/>
  <c r="Q788" i="5" s="1"/>
  <c r="P787" i="5"/>
  <c r="Q787" i="5" s="1"/>
  <c r="P786" i="5"/>
  <c r="Q786" i="5" s="1"/>
  <c r="P785" i="5"/>
  <c r="Q785" i="5" s="1"/>
  <c r="P784" i="5"/>
  <c r="Q784" i="5" s="1"/>
  <c r="P783" i="5"/>
  <c r="Q783" i="5" s="1"/>
  <c r="P782" i="5"/>
  <c r="Q782" i="5" s="1"/>
  <c r="Q781" i="5"/>
  <c r="P781" i="5"/>
  <c r="P780" i="5"/>
  <c r="Q780" i="5" s="1"/>
  <c r="Q779" i="5"/>
  <c r="P779" i="5"/>
  <c r="P778" i="5"/>
  <c r="Q778" i="5" s="1"/>
  <c r="P777" i="5"/>
  <c r="Q777" i="5" s="1"/>
  <c r="P776" i="5"/>
  <c r="Q776" i="5" s="1"/>
  <c r="Q775" i="5"/>
  <c r="P775" i="5"/>
  <c r="P774" i="5"/>
  <c r="Q774" i="5" s="1"/>
  <c r="P773" i="5"/>
  <c r="Q773" i="5" s="1"/>
  <c r="P772" i="5"/>
  <c r="Q772" i="5" s="1"/>
  <c r="P771" i="5"/>
  <c r="Q771" i="5" s="1"/>
  <c r="Q770" i="5"/>
  <c r="P770" i="5"/>
  <c r="P769" i="5"/>
  <c r="Q769" i="5" s="1"/>
  <c r="P768" i="5"/>
  <c r="Q768" i="5" s="1"/>
  <c r="P767" i="5"/>
  <c r="Q767" i="5" s="1"/>
  <c r="P766" i="5"/>
  <c r="Q766" i="5" s="1"/>
  <c r="Q765" i="5"/>
  <c r="P765" i="5"/>
  <c r="P764" i="5"/>
  <c r="Q764" i="5" s="1"/>
  <c r="P763" i="5"/>
  <c r="Q763" i="5" s="1"/>
  <c r="P762" i="5"/>
  <c r="Q762" i="5" s="1"/>
  <c r="Q761" i="5"/>
  <c r="P761" i="5"/>
  <c r="P760" i="5"/>
  <c r="Q760" i="5" s="1"/>
  <c r="P759" i="5"/>
  <c r="Q759" i="5" s="1"/>
  <c r="P758" i="5"/>
  <c r="Q758" i="5" s="1"/>
  <c r="P757" i="5"/>
  <c r="Q757" i="5" s="1"/>
  <c r="P756" i="5"/>
  <c r="Q756" i="5" s="1"/>
  <c r="P755" i="5"/>
  <c r="Q755" i="5" s="1"/>
  <c r="P754" i="5"/>
  <c r="Q754" i="5" s="1"/>
  <c r="P753" i="5"/>
  <c r="Q753" i="5" s="1"/>
  <c r="P752" i="5"/>
  <c r="Q752" i="5" s="1"/>
  <c r="Q751" i="5"/>
  <c r="P751" i="5"/>
  <c r="P750" i="5"/>
  <c r="Q750" i="5" s="1"/>
  <c r="Q749" i="5"/>
  <c r="P749" i="5"/>
  <c r="P748" i="5"/>
  <c r="Q748" i="5" s="1"/>
  <c r="Q747" i="5"/>
  <c r="P747" i="5"/>
  <c r="P746" i="5"/>
  <c r="Q746" i="5" s="1"/>
  <c r="P745" i="5"/>
  <c r="Q745" i="5" s="1"/>
  <c r="P744" i="5"/>
  <c r="Q744" i="5" s="1"/>
  <c r="Q743" i="5"/>
  <c r="P743" i="5"/>
  <c r="Q742" i="5"/>
  <c r="P742" i="5"/>
  <c r="P741" i="5"/>
  <c r="Q741" i="5" s="1"/>
  <c r="P740" i="5"/>
  <c r="Q740" i="5" s="1"/>
  <c r="P739" i="5"/>
  <c r="Q739" i="5" s="1"/>
  <c r="Q738" i="5"/>
  <c r="P738" i="5"/>
  <c r="P737" i="5"/>
  <c r="Q737" i="5" s="1"/>
  <c r="P736" i="5"/>
  <c r="Q736" i="5" s="1"/>
  <c r="P735" i="5"/>
  <c r="Q735" i="5" s="1"/>
  <c r="P734" i="5"/>
  <c r="Q734" i="5" s="1"/>
  <c r="Q733" i="5"/>
  <c r="P733" i="5"/>
  <c r="P732" i="5"/>
  <c r="Q732" i="5" s="1"/>
  <c r="P731" i="5"/>
  <c r="Q731" i="5" s="1"/>
  <c r="P730" i="5"/>
  <c r="Q730" i="5" s="1"/>
  <c r="Q729" i="5"/>
  <c r="P729" i="5"/>
  <c r="P728" i="5"/>
  <c r="Q728" i="5" s="1"/>
  <c r="P727" i="5"/>
  <c r="Q727" i="5" s="1"/>
  <c r="P726" i="5"/>
  <c r="Q726" i="5" s="1"/>
  <c r="P725" i="5"/>
  <c r="Q725" i="5" s="1"/>
  <c r="P724" i="5"/>
  <c r="Q724" i="5" s="1"/>
  <c r="P723" i="5"/>
  <c r="Q723" i="5" s="1"/>
  <c r="P722" i="5"/>
  <c r="Q722" i="5" s="1"/>
  <c r="P721" i="5"/>
  <c r="Q721" i="5" s="1"/>
  <c r="P720" i="5"/>
  <c r="Q720" i="5" s="1"/>
  <c r="Q719" i="5"/>
  <c r="P719" i="5"/>
  <c r="P718" i="5"/>
  <c r="Q718" i="5" s="1"/>
  <c r="P717" i="5"/>
  <c r="Q717" i="5" s="1"/>
  <c r="P716" i="5"/>
  <c r="Q716" i="5" s="1"/>
  <c r="Q715" i="5"/>
  <c r="P715" i="5"/>
  <c r="P714" i="5"/>
  <c r="Q714" i="5" s="1"/>
  <c r="P713" i="5"/>
  <c r="Q713" i="5" s="1"/>
  <c r="P712" i="5"/>
  <c r="Q712" i="5" s="1"/>
  <c r="P711" i="5"/>
  <c r="Q711" i="5" s="1"/>
  <c r="Q710" i="5"/>
  <c r="P710" i="5"/>
  <c r="P709" i="5"/>
  <c r="Q709" i="5" s="1"/>
  <c r="P708" i="5"/>
  <c r="Q708" i="5" s="1"/>
  <c r="Q707" i="5"/>
  <c r="P707" i="5"/>
  <c r="Q706" i="5"/>
  <c r="P706" i="5"/>
  <c r="P705" i="5"/>
  <c r="Q705" i="5" s="1"/>
  <c r="P704" i="5"/>
  <c r="Q704" i="5" s="1"/>
  <c r="Q703" i="5"/>
  <c r="P703" i="5"/>
  <c r="Q702" i="5"/>
  <c r="P702" i="5"/>
  <c r="Q701" i="5"/>
  <c r="P701" i="5"/>
  <c r="P700" i="5"/>
  <c r="Q700" i="5" s="1"/>
  <c r="P699" i="5"/>
  <c r="Q699" i="5" s="1"/>
  <c r="P698" i="5"/>
  <c r="Q698" i="5" s="1"/>
  <c r="Q697" i="5"/>
  <c r="P697" i="5"/>
  <c r="P696" i="5"/>
  <c r="Q696" i="5" s="1"/>
  <c r="P695" i="5"/>
  <c r="Q695" i="5" s="1"/>
  <c r="P694" i="5"/>
  <c r="Q694" i="5" s="1"/>
  <c r="P693" i="5"/>
  <c r="Q693" i="5" s="1"/>
  <c r="P692" i="5"/>
  <c r="Q692" i="5" s="1"/>
  <c r="P691" i="5"/>
  <c r="Q691" i="5" s="1"/>
  <c r="P690" i="5"/>
  <c r="Q690" i="5" s="1"/>
  <c r="P689" i="5"/>
  <c r="Q689" i="5" s="1"/>
  <c r="P688" i="5"/>
  <c r="Q688" i="5" s="1"/>
  <c r="Q687" i="5"/>
  <c r="P687" i="5"/>
  <c r="P686" i="5"/>
  <c r="Q686" i="5" s="1"/>
  <c r="P685" i="5"/>
  <c r="Q685" i="5" s="1"/>
  <c r="P684" i="5"/>
  <c r="Q684" i="5" s="1"/>
  <c r="Q683" i="5"/>
  <c r="P683" i="5"/>
  <c r="P682" i="5"/>
  <c r="Q682" i="5" s="1"/>
  <c r="P681" i="5"/>
  <c r="Q681" i="5" s="1"/>
  <c r="P680" i="5"/>
  <c r="Q680" i="5" s="1"/>
  <c r="P679" i="5"/>
  <c r="Q679" i="5" s="1"/>
  <c r="Q678" i="5"/>
  <c r="P678" i="5"/>
  <c r="P677" i="5"/>
  <c r="Q677" i="5" s="1"/>
  <c r="P676" i="5"/>
  <c r="Q676" i="5" s="1"/>
  <c r="P675" i="5"/>
  <c r="Q675" i="5" s="1"/>
  <c r="Q674" i="5"/>
  <c r="P674" i="5"/>
  <c r="P673" i="5"/>
  <c r="Q673" i="5" s="1"/>
  <c r="P672" i="5"/>
  <c r="Q672" i="5" s="1"/>
  <c r="Q671" i="5"/>
  <c r="P671" i="5"/>
  <c r="P670" i="5"/>
  <c r="Q670" i="5" s="1"/>
  <c r="Q669" i="5"/>
  <c r="P669" i="5"/>
  <c r="P668" i="5"/>
  <c r="Q668" i="5" s="1"/>
  <c r="P667" i="5"/>
  <c r="Q667" i="5" s="1"/>
  <c r="P666" i="5"/>
  <c r="Q666" i="5" s="1"/>
  <c r="Q665" i="5"/>
  <c r="P665" i="5"/>
  <c r="P664" i="5"/>
  <c r="Q664" i="5" s="1"/>
  <c r="P663" i="5"/>
  <c r="Q663" i="5" s="1"/>
  <c r="P662" i="5"/>
  <c r="Q662" i="5" s="1"/>
  <c r="P661" i="5"/>
  <c r="Q661" i="5" s="1"/>
  <c r="P660" i="5"/>
  <c r="Q660" i="5" s="1"/>
  <c r="P659" i="5"/>
  <c r="Q659" i="5" s="1"/>
  <c r="P658" i="5"/>
  <c r="Q658" i="5" s="1"/>
  <c r="P657" i="5"/>
  <c r="Q657" i="5" s="1"/>
  <c r="P656" i="5"/>
  <c r="Q656" i="5" s="1"/>
  <c r="Q655" i="5"/>
  <c r="P655" i="5"/>
  <c r="P654" i="5"/>
  <c r="Q654" i="5" s="1"/>
  <c r="P653" i="5"/>
  <c r="Q653" i="5" s="1"/>
  <c r="P652" i="5"/>
  <c r="Q652" i="5" s="1"/>
  <c r="Q651" i="5"/>
  <c r="P651" i="5"/>
  <c r="P650" i="5"/>
  <c r="Q650" i="5" s="1"/>
  <c r="P649" i="5"/>
  <c r="Q649" i="5" s="1"/>
  <c r="P648" i="5"/>
  <c r="Q648" i="5" s="1"/>
  <c r="P647" i="5"/>
  <c r="Q647" i="5" s="1"/>
  <c r="Q646" i="5"/>
  <c r="P646" i="5"/>
  <c r="P645" i="5"/>
  <c r="Q645" i="5" s="1"/>
  <c r="P644" i="5"/>
  <c r="Q644" i="5" s="1"/>
  <c r="P643" i="5"/>
  <c r="Q643" i="5" s="1"/>
  <c r="Q642" i="5"/>
  <c r="P642" i="5"/>
  <c r="P641" i="5"/>
  <c r="Q641" i="5" s="1"/>
  <c r="P640" i="5"/>
  <c r="Q640" i="5" s="1"/>
  <c r="P639" i="5"/>
  <c r="Q639" i="5" s="1"/>
  <c r="P638" i="5"/>
  <c r="Q638" i="5" s="1"/>
  <c r="Q637" i="5"/>
  <c r="P637" i="5"/>
  <c r="P636" i="5"/>
  <c r="Q636" i="5" s="1"/>
  <c r="P635" i="5"/>
  <c r="Q635" i="5" s="1"/>
  <c r="P634" i="5"/>
  <c r="Q634" i="5" s="1"/>
  <c r="Q633" i="5"/>
  <c r="P633" i="5"/>
  <c r="P632" i="5"/>
  <c r="Q632" i="5" s="1"/>
  <c r="P631" i="5"/>
  <c r="Q631" i="5" s="1"/>
  <c r="P630" i="5"/>
  <c r="Q630" i="5" s="1"/>
  <c r="P629" i="5"/>
  <c r="Q629" i="5" s="1"/>
  <c r="P628" i="5"/>
  <c r="Q628" i="5" s="1"/>
  <c r="P627" i="5"/>
  <c r="Q627" i="5" s="1"/>
  <c r="P626" i="5"/>
  <c r="Q626" i="5" s="1"/>
  <c r="P625" i="5"/>
  <c r="Q625" i="5" s="1"/>
  <c r="P624" i="5"/>
  <c r="Q624" i="5" s="1"/>
  <c r="Q623" i="5"/>
  <c r="P623" i="5"/>
  <c r="P622" i="5"/>
  <c r="Q622" i="5" s="1"/>
  <c r="Q621" i="5"/>
  <c r="P621" i="5"/>
  <c r="P620" i="5"/>
  <c r="Q620" i="5" s="1"/>
  <c r="Q619" i="5"/>
  <c r="P619" i="5"/>
  <c r="P618" i="5"/>
  <c r="Q618" i="5" s="1"/>
  <c r="P617" i="5"/>
  <c r="Q617" i="5" s="1"/>
  <c r="P616" i="5"/>
  <c r="Q616" i="5" s="1"/>
  <c r="Q615" i="5"/>
  <c r="P615" i="5"/>
  <c r="Q614" i="5"/>
  <c r="P614" i="5"/>
  <c r="P613" i="5"/>
  <c r="Q613" i="5" s="1"/>
  <c r="P612" i="5"/>
  <c r="Q612" i="5" s="1"/>
  <c r="P611" i="5"/>
  <c r="Q611" i="5" s="1"/>
  <c r="Q610" i="5"/>
  <c r="P610" i="5"/>
  <c r="P609" i="5"/>
  <c r="Q609" i="5" s="1"/>
  <c r="P608" i="5"/>
  <c r="Q608" i="5" s="1"/>
  <c r="P607" i="5"/>
  <c r="Q607" i="5" s="1"/>
  <c r="P606" i="5"/>
  <c r="Q606" i="5" s="1"/>
  <c r="Q605" i="5"/>
  <c r="P605" i="5"/>
  <c r="P604" i="5"/>
  <c r="Q604" i="5" s="1"/>
  <c r="P603" i="5"/>
  <c r="Q603" i="5" s="1"/>
  <c r="P602" i="5"/>
  <c r="Q602" i="5" s="1"/>
  <c r="Q601" i="5"/>
  <c r="P601" i="5"/>
  <c r="P600" i="5"/>
  <c r="Q600" i="5" s="1"/>
  <c r="P599" i="5"/>
  <c r="Q599" i="5" s="1"/>
  <c r="P598" i="5"/>
  <c r="Q598" i="5" s="1"/>
  <c r="P597" i="5"/>
  <c r="Q597" i="5" s="1"/>
  <c r="P596" i="5"/>
  <c r="Q596" i="5" s="1"/>
  <c r="P595" i="5"/>
  <c r="Q595" i="5" s="1"/>
  <c r="P594" i="5"/>
  <c r="Q594" i="5" s="1"/>
  <c r="P593" i="5"/>
  <c r="Q593" i="5" s="1"/>
  <c r="P592" i="5"/>
  <c r="Q592" i="5" s="1"/>
  <c r="Q591" i="5"/>
  <c r="P591" i="5"/>
  <c r="P590" i="5"/>
  <c r="Q590" i="5" s="1"/>
  <c r="P589" i="5"/>
  <c r="Q589" i="5" s="1"/>
  <c r="P588" i="5"/>
  <c r="Q588" i="5" s="1"/>
  <c r="Q587" i="5"/>
  <c r="P587" i="5"/>
  <c r="P586" i="5"/>
  <c r="Q586" i="5" s="1"/>
  <c r="P585" i="5"/>
  <c r="Q585" i="5" s="1"/>
  <c r="P584" i="5"/>
  <c r="Q584" i="5" s="1"/>
  <c r="P583" i="5"/>
  <c r="Q583" i="5" s="1"/>
  <c r="Q582" i="5"/>
  <c r="P582" i="5"/>
  <c r="P581" i="5"/>
  <c r="Q581" i="5" s="1"/>
  <c r="P580" i="5"/>
  <c r="Q580" i="5" s="1"/>
  <c r="Q579" i="5"/>
  <c r="P579" i="5"/>
  <c r="Q578" i="5"/>
  <c r="P578" i="5"/>
  <c r="P577" i="5"/>
  <c r="Q577" i="5" s="1"/>
  <c r="P576" i="5"/>
  <c r="Q576" i="5" s="1"/>
  <c r="Q575" i="5"/>
  <c r="P575" i="5"/>
  <c r="Q574" i="5"/>
  <c r="P574" i="5"/>
  <c r="Q573" i="5"/>
  <c r="P573" i="5"/>
  <c r="P572" i="5"/>
  <c r="Q572" i="5" s="1"/>
  <c r="P571" i="5"/>
  <c r="Q571" i="5" s="1"/>
  <c r="P570" i="5"/>
  <c r="Q570" i="5" s="1"/>
  <c r="Q569" i="5"/>
  <c r="P569" i="5"/>
  <c r="P568" i="5"/>
  <c r="Q568" i="5" s="1"/>
  <c r="P567" i="5"/>
  <c r="Q567" i="5" s="1"/>
  <c r="P566" i="5"/>
  <c r="Q566" i="5" s="1"/>
  <c r="P565" i="5"/>
  <c r="Q565" i="5" s="1"/>
  <c r="P564" i="5"/>
  <c r="Q564" i="5" s="1"/>
  <c r="P563" i="5"/>
  <c r="Q563" i="5" s="1"/>
  <c r="P562" i="5"/>
  <c r="Q562" i="5" s="1"/>
  <c r="P561" i="5"/>
  <c r="Q561" i="5" s="1"/>
  <c r="P560" i="5"/>
  <c r="Q560" i="5" s="1"/>
  <c r="Q559" i="5"/>
  <c r="P559" i="5"/>
  <c r="P558" i="5"/>
  <c r="Q558" i="5" s="1"/>
  <c r="P557" i="5"/>
  <c r="Q557" i="5" s="1"/>
  <c r="P556" i="5"/>
  <c r="Q556" i="5" s="1"/>
  <c r="Q555" i="5"/>
  <c r="P555" i="5"/>
  <c r="P554" i="5"/>
  <c r="Q554" i="5" s="1"/>
  <c r="P553" i="5"/>
  <c r="Q553" i="5" s="1"/>
  <c r="P552" i="5"/>
  <c r="Q552" i="5" s="1"/>
  <c r="P551" i="5"/>
  <c r="Q551" i="5" s="1"/>
  <c r="Q550" i="5"/>
  <c r="P550" i="5"/>
  <c r="P549" i="5"/>
  <c r="Q549" i="5" s="1"/>
  <c r="P548" i="5"/>
  <c r="Q548" i="5" s="1"/>
  <c r="P547" i="5"/>
  <c r="Q547" i="5" s="1"/>
  <c r="Q546" i="5"/>
  <c r="P546" i="5"/>
  <c r="P545" i="5"/>
  <c r="Q545" i="5" s="1"/>
  <c r="Q544" i="5"/>
  <c r="P544" i="5"/>
  <c r="P543" i="5"/>
  <c r="Q543" i="5" s="1"/>
  <c r="Q542" i="5"/>
  <c r="P542" i="5"/>
  <c r="P541" i="5"/>
  <c r="Q541" i="5" s="1"/>
  <c r="P540" i="5"/>
  <c r="Q540" i="5" s="1"/>
  <c r="P539" i="5"/>
  <c r="Q539" i="5" s="1"/>
  <c r="Q538" i="5"/>
  <c r="P538" i="5"/>
  <c r="P537" i="5"/>
  <c r="Q537" i="5" s="1"/>
  <c r="Q536" i="5"/>
  <c r="P536" i="5"/>
  <c r="Q535" i="5"/>
  <c r="P535" i="5"/>
  <c r="Q534" i="5"/>
  <c r="P534" i="5"/>
  <c r="P533" i="5"/>
  <c r="Q533" i="5" s="1"/>
  <c r="P532" i="5"/>
  <c r="Q532" i="5" s="1"/>
  <c r="P531" i="5"/>
  <c r="Q531" i="5" s="1"/>
  <c r="Q530" i="5"/>
  <c r="P530" i="5"/>
  <c r="P529" i="5"/>
  <c r="Q529" i="5" s="1"/>
  <c r="P528" i="5"/>
  <c r="Q528" i="5" s="1"/>
  <c r="P527" i="5"/>
  <c r="Q527" i="5" s="1"/>
  <c r="Q526" i="5"/>
  <c r="P526" i="5"/>
  <c r="P525" i="5"/>
  <c r="Q525" i="5" s="1"/>
  <c r="P524" i="5"/>
  <c r="Q524" i="5" s="1"/>
  <c r="P523" i="5"/>
  <c r="Q523" i="5" s="1"/>
  <c r="Q522" i="5"/>
  <c r="P522" i="5"/>
  <c r="P521" i="5"/>
  <c r="Q521" i="5" s="1"/>
  <c r="P520" i="5"/>
  <c r="Q520" i="5" s="1"/>
  <c r="P519" i="5"/>
  <c r="Q519" i="5" s="1"/>
  <c r="Q518" i="5"/>
  <c r="P518" i="5"/>
  <c r="P517" i="5"/>
  <c r="Q517" i="5" s="1"/>
  <c r="P516" i="5"/>
  <c r="Q516" i="5" s="1"/>
  <c r="P515" i="5"/>
  <c r="Q515" i="5" s="1"/>
  <c r="Q514" i="5"/>
  <c r="P514" i="5"/>
  <c r="P513" i="5"/>
  <c r="Q513" i="5" s="1"/>
  <c r="Q512" i="5"/>
  <c r="P512" i="5"/>
  <c r="P511" i="5"/>
  <c r="Q511" i="5" s="1"/>
  <c r="Q510" i="5"/>
  <c r="P510" i="5"/>
  <c r="P509" i="5"/>
  <c r="Q509" i="5" s="1"/>
  <c r="P508" i="5"/>
  <c r="Q508" i="5" s="1"/>
  <c r="P507" i="5"/>
  <c r="Q507" i="5" s="1"/>
  <c r="Q506" i="5"/>
  <c r="P506" i="5"/>
  <c r="P505" i="5"/>
  <c r="Q505" i="5" s="1"/>
  <c r="Q504" i="5"/>
  <c r="P504" i="5"/>
  <c r="Q503" i="5"/>
  <c r="P503" i="5"/>
  <c r="Q502" i="5"/>
  <c r="P502" i="5"/>
  <c r="P501" i="5"/>
  <c r="Q501" i="5" s="1"/>
  <c r="P500" i="5"/>
  <c r="Q500" i="5" s="1"/>
  <c r="P499" i="5"/>
  <c r="Q499" i="5" s="1"/>
  <c r="Q498" i="5"/>
  <c r="P498" i="5"/>
  <c r="P497" i="5"/>
  <c r="Q497" i="5" s="1"/>
  <c r="P496" i="5"/>
  <c r="Q496" i="5" s="1"/>
  <c r="P495" i="5"/>
  <c r="Q495" i="5" s="1"/>
  <c r="Q494" i="5"/>
  <c r="P494" i="5"/>
  <c r="P493" i="5"/>
  <c r="Q493" i="5" s="1"/>
  <c r="P492" i="5"/>
  <c r="Q492" i="5" s="1"/>
  <c r="P491" i="5"/>
  <c r="Q491" i="5" s="1"/>
  <c r="Q490" i="5"/>
  <c r="P490" i="5"/>
  <c r="P489" i="5"/>
  <c r="Q489" i="5" s="1"/>
  <c r="P488" i="5"/>
  <c r="Q488" i="5" s="1"/>
  <c r="P487" i="5"/>
  <c r="Q487" i="5" s="1"/>
  <c r="Q486" i="5"/>
  <c r="P486" i="5"/>
  <c r="P485" i="5"/>
  <c r="Q485" i="5" s="1"/>
  <c r="P484" i="5"/>
  <c r="Q484" i="5" s="1"/>
  <c r="P483" i="5"/>
  <c r="Q483" i="5" s="1"/>
  <c r="Q482" i="5"/>
  <c r="P482" i="5"/>
  <c r="P481" i="5"/>
  <c r="Q481" i="5" s="1"/>
  <c r="Q480" i="5"/>
  <c r="P480" i="5"/>
  <c r="P479" i="5"/>
  <c r="Q479" i="5" s="1"/>
  <c r="Q478" i="5"/>
  <c r="P478" i="5"/>
  <c r="P477" i="5"/>
  <c r="Q477" i="5" s="1"/>
  <c r="P476" i="5"/>
  <c r="Q476" i="5" s="1"/>
  <c r="P475" i="5"/>
  <c r="Q475" i="5" s="1"/>
  <c r="Q474" i="5"/>
  <c r="P474" i="5"/>
  <c r="P473" i="5"/>
  <c r="Q473" i="5" s="1"/>
  <c r="Q472" i="5"/>
  <c r="P472" i="5"/>
  <c r="Q471" i="5"/>
  <c r="P471" i="5"/>
  <c r="Q470" i="5"/>
  <c r="P470" i="5"/>
  <c r="P469" i="5"/>
  <c r="Q469" i="5" s="1"/>
  <c r="P468" i="5"/>
  <c r="Q468" i="5" s="1"/>
  <c r="P467" i="5"/>
  <c r="Q467" i="5" s="1"/>
  <c r="Q466" i="5"/>
  <c r="P466" i="5"/>
  <c r="P465" i="5"/>
  <c r="Q465" i="5" s="1"/>
  <c r="P464" i="5"/>
  <c r="Q464" i="5" s="1"/>
  <c r="P463" i="5"/>
  <c r="Q463" i="5" s="1"/>
  <c r="Q462" i="5"/>
  <c r="P462" i="5"/>
  <c r="P461" i="5"/>
  <c r="Q461" i="5" s="1"/>
  <c r="P460" i="5"/>
  <c r="Q460" i="5" s="1"/>
  <c r="P459" i="5"/>
  <c r="Q459" i="5" s="1"/>
  <c r="Q458" i="5"/>
  <c r="P458" i="5"/>
  <c r="P457" i="5"/>
  <c r="Q457" i="5" s="1"/>
  <c r="P456" i="5"/>
  <c r="Q456" i="5" s="1"/>
  <c r="P455" i="5"/>
  <c r="Q455" i="5" s="1"/>
  <c r="Q454" i="5"/>
  <c r="P454" i="5"/>
  <c r="P453" i="5"/>
  <c r="Q453" i="5" s="1"/>
  <c r="P452" i="5"/>
  <c r="Q452" i="5" s="1"/>
  <c r="P451" i="5"/>
  <c r="Q451" i="5" s="1"/>
  <c r="Q450" i="5"/>
  <c r="P450" i="5"/>
  <c r="P449" i="5"/>
  <c r="Q449" i="5" s="1"/>
  <c r="Q448" i="5"/>
  <c r="P448" i="5"/>
  <c r="P447" i="5"/>
  <c r="Q447" i="5" s="1"/>
  <c r="Q446" i="5"/>
  <c r="P446" i="5"/>
  <c r="P445" i="5"/>
  <c r="Q445" i="5" s="1"/>
  <c r="P444" i="5"/>
  <c r="Q444" i="5" s="1"/>
  <c r="P443" i="5"/>
  <c r="Q443" i="5" s="1"/>
  <c r="Q442" i="5"/>
  <c r="P442" i="5"/>
  <c r="P441" i="5"/>
  <c r="Q441" i="5" s="1"/>
  <c r="Q440" i="5"/>
  <c r="P440" i="5"/>
  <c r="Q439" i="5"/>
  <c r="P439" i="5"/>
  <c r="Q438" i="5"/>
  <c r="P438" i="5"/>
  <c r="P437" i="5"/>
  <c r="Q437" i="5" s="1"/>
  <c r="P436" i="5"/>
  <c r="Q436" i="5" s="1"/>
  <c r="P435" i="5"/>
  <c r="Q435" i="5" s="1"/>
  <c r="Q434" i="5"/>
  <c r="P434" i="5"/>
  <c r="P433" i="5"/>
  <c r="Q433" i="5" s="1"/>
  <c r="P432" i="5"/>
  <c r="Q432" i="5" s="1"/>
  <c r="P431" i="5"/>
  <c r="Q431" i="5" s="1"/>
  <c r="Q430" i="5"/>
  <c r="P430" i="5"/>
  <c r="P429" i="5"/>
  <c r="Q429" i="5" s="1"/>
  <c r="P428" i="5"/>
  <c r="Q428" i="5" s="1"/>
  <c r="P427" i="5"/>
  <c r="Q427" i="5" s="1"/>
  <c r="Q426" i="5"/>
  <c r="P426" i="5"/>
  <c r="P425" i="5"/>
  <c r="Q425" i="5" s="1"/>
  <c r="P424" i="5"/>
  <c r="Q424" i="5" s="1"/>
  <c r="P423" i="5"/>
  <c r="Q423" i="5" s="1"/>
  <c r="Q422" i="5"/>
  <c r="P422" i="5"/>
  <c r="P421" i="5"/>
  <c r="Q421" i="5" s="1"/>
  <c r="P420" i="5"/>
  <c r="Q420" i="5" s="1"/>
  <c r="P419" i="5"/>
  <c r="Q419" i="5" s="1"/>
  <c r="Q418" i="5"/>
  <c r="P418" i="5"/>
  <c r="P417" i="5"/>
  <c r="Q417" i="5" s="1"/>
  <c r="Q416" i="5"/>
  <c r="P416" i="5"/>
  <c r="P415" i="5"/>
  <c r="Q415" i="5" s="1"/>
  <c r="Q414" i="5"/>
  <c r="P414" i="5"/>
  <c r="P413" i="5"/>
  <c r="Q413" i="5" s="1"/>
  <c r="P412" i="5"/>
  <c r="Q412" i="5" s="1"/>
  <c r="P411" i="5"/>
  <c r="Q411" i="5" s="1"/>
  <c r="Q410" i="5"/>
  <c r="P410" i="5"/>
  <c r="P409" i="5"/>
  <c r="Q409" i="5" s="1"/>
  <c r="Q408" i="5"/>
  <c r="P408" i="5"/>
  <c r="Q407" i="5"/>
  <c r="P407" i="5"/>
  <c r="Q406" i="5"/>
  <c r="P406" i="5"/>
  <c r="P405" i="5"/>
  <c r="Q405" i="5" s="1"/>
  <c r="P404" i="5"/>
  <c r="Q404" i="5" s="1"/>
  <c r="P403" i="5"/>
  <c r="Q403" i="5" s="1"/>
  <c r="Q402" i="5"/>
  <c r="P402" i="5"/>
  <c r="P401" i="5"/>
  <c r="Q401" i="5" s="1"/>
  <c r="P400" i="5"/>
  <c r="Q400" i="5" s="1"/>
  <c r="P399" i="5"/>
  <c r="Q399" i="5" s="1"/>
  <c r="Q398" i="5"/>
  <c r="P398" i="5"/>
  <c r="P397" i="5"/>
  <c r="Q397" i="5" s="1"/>
  <c r="P396" i="5"/>
  <c r="Q396" i="5" s="1"/>
  <c r="P395" i="5"/>
  <c r="Q395" i="5" s="1"/>
  <c r="Q394" i="5"/>
  <c r="P394" i="5"/>
  <c r="P393" i="5"/>
  <c r="Q393" i="5" s="1"/>
  <c r="P392" i="5"/>
  <c r="Q392" i="5" s="1"/>
  <c r="P391" i="5"/>
  <c r="Q391" i="5" s="1"/>
  <c r="Q390" i="5"/>
  <c r="P390" i="5"/>
  <c r="P389" i="5"/>
  <c r="Q389" i="5" s="1"/>
  <c r="P388" i="5"/>
  <c r="Q388" i="5" s="1"/>
  <c r="P387" i="5"/>
  <c r="Q387" i="5" s="1"/>
  <c r="Q386" i="5"/>
  <c r="P386" i="5"/>
  <c r="P385" i="5"/>
  <c r="Q385" i="5" s="1"/>
  <c r="Q384" i="5"/>
  <c r="P384" i="5"/>
  <c r="P383" i="5"/>
  <c r="Q383" i="5" s="1"/>
  <c r="Q382" i="5"/>
  <c r="P382" i="5"/>
  <c r="P381" i="5"/>
  <c r="Q381" i="5" s="1"/>
  <c r="P380" i="5"/>
  <c r="Q380" i="5" s="1"/>
  <c r="Q379" i="5"/>
  <c r="P379" i="5"/>
  <c r="Q378" i="5"/>
  <c r="P378" i="5"/>
  <c r="P377" i="5"/>
  <c r="Q377" i="5" s="1"/>
  <c r="P376" i="5"/>
  <c r="Q376" i="5" s="1"/>
  <c r="Q375" i="5"/>
  <c r="P375" i="5"/>
  <c r="Q374" i="5"/>
  <c r="P374" i="5"/>
  <c r="P373" i="5"/>
  <c r="Q373" i="5" s="1"/>
  <c r="Q372" i="5"/>
  <c r="P372" i="5"/>
  <c r="P371" i="5"/>
  <c r="Q371" i="5" s="1"/>
  <c r="Q370" i="5"/>
  <c r="P370" i="5"/>
  <c r="P369" i="5"/>
  <c r="Q369" i="5" s="1"/>
  <c r="P368" i="5"/>
  <c r="Q368" i="5" s="1"/>
  <c r="Q367" i="5"/>
  <c r="P367" i="5"/>
  <c r="Q366" i="5"/>
  <c r="P366" i="5"/>
  <c r="P365" i="5"/>
  <c r="Q365" i="5" s="1"/>
  <c r="P364" i="5"/>
  <c r="Q364" i="5" s="1"/>
  <c r="P363" i="5"/>
  <c r="Q363" i="5" s="1"/>
  <c r="Q362" i="5"/>
  <c r="P362" i="5"/>
  <c r="Q361" i="5"/>
  <c r="P361" i="5"/>
  <c r="P360" i="5"/>
  <c r="Q360" i="5" s="1"/>
  <c r="P359" i="5"/>
  <c r="Q359" i="5" s="1"/>
  <c r="Q358" i="5"/>
  <c r="P358" i="5"/>
  <c r="Q357" i="5"/>
  <c r="P357" i="5"/>
  <c r="P356" i="5"/>
  <c r="Q356" i="5" s="1"/>
  <c r="P355" i="5"/>
  <c r="Q355" i="5" s="1"/>
  <c r="Q354" i="5"/>
  <c r="P354" i="5"/>
  <c r="Q353" i="5"/>
  <c r="P353" i="5"/>
  <c r="P352" i="5"/>
  <c r="Q352" i="5" s="1"/>
  <c r="P351" i="5"/>
  <c r="Q351" i="5" s="1"/>
  <c r="Q350" i="5"/>
  <c r="P350" i="5"/>
  <c r="Q349" i="5"/>
  <c r="P349" i="5"/>
  <c r="P348" i="5"/>
  <c r="Q348" i="5" s="1"/>
  <c r="P347" i="5"/>
  <c r="Q347" i="5" s="1"/>
  <c r="Q346" i="5"/>
  <c r="P346" i="5"/>
  <c r="Q345" i="5"/>
  <c r="P345" i="5"/>
  <c r="P344" i="5"/>
  <c r="Q344" i="5" s="1"/>
  <c r="P343" i="5"/>
  <c r="Q343" i="5" s="1"/>
  <c r="Q342" i="5"/>
  <c r="P342" i="5"/>
  <c r="Q341" i="5"/>
  <c r="P341" i="5"/>
  <c r="P340" i="5"/>
  <c r="Q340" i="5" s="1"/>
  <c r="Q339" i="5"/>
  <c r="P339" i="5"/>
  <c r="Q338" i="5"/>
  <c r="P338" i="5"/>
  <c r="Q337" i="5"/>
  <c r="P337" i="5"/>
  <c r="P336" i="5"/>
  <c r="Q336" i="5" s="1"/>
  <c r="P335" i="5"/>
  <c r="Q335" i="5" s="1"/>
  <c r="Q334" i="5"/>
  <c r="P334" i="5"/>
  <c r="Q333" i="5"/>
  <c r="P333" i="5"/>
  <c r="P332" i="5"/>
  <c r="Q332" i="5" s="1"/>
  <c r="P331" i="5"/>
  <c r="Q331" i="5" s="1"/>
  <c r="Q330" i="5"/>
  <c r="P330" i="5"/>
  <c r="P329" i="5"/>
  <c r="Q329" i="5" s="1"/>
  <c r="P328" i="5"/>
  <c r="Q328" i="5" s="1"/>
  <c r="P327" i="5"/>
  <c r="Q327" i="5" s="1"/>
  <c r="Q326" i="5"/>
  <c r="P326" i="5"/>
  <c r="P325" i="5"/>
  <c r="Q325" i="5" s="1"/>
  <c r="P324" i="5"/>
  <c r="Q324" i="5" s="1"/>
  <c r="P323" i="5"/>
  <c r="Q323" i="5" s="1"/>
  <c r="Q322" i="5"/>
  <c r="P322" i="5"/>
  <c r="P321" i="5"/>
  <c r="Q321" i="5" s="1"/>
  <c r="P320" i="5"/>
  <c r="Q320" i="5" s="1"/>
  <c r="Q319" i="5"/>
  <c r="P319" i="5"/>
  <c r="Q318" i="5"/>
  <c r="P318" i="5"/>
  <c r="P317" i="5"/>
  <c r="Q317" i="5" s="1"/>
  <c r="P316" i="5"/>
  <c r="Q316" i="5" s="1"/>
  <c r="P315" i="5"/>
  <c r="Q315" i="5" s="1"/>
  <c r="Q314" i="5"/>
  <c r="P314" i="5"/>
  <c r="P313" i="5"/>
  <c r="Q313" i="5" s="1"/>
  <c r="P312" i="5"/>
  <c r="Q312" i="5" s="1"/>
  <c r="P311" i="5"/>
  <c r="Q311" i="5" s="1"/>
  <c r="Q310" i="5"/>
  <c r="P310" i="5"/>
  <c r="P309" i="5"/>
  <c r="Q309" i="5" s="1"/>
  <c r="P308" i="5"/>
  <c r="Q308" i="5" s="1"/>
  <c r="P307" i="5"/>
  <c r="Q307" i="5" s="1"/>
  <c r="Q306" i="5"/>
  <c r="P306" i="5"/>
  <c r="P305" i="5"/>
  <c r="Q305" i="5" s="1"/>
  <c r="P304" i="5"/>
  <c r="Q304" i="5" s="1"/>
  <c r="Q303" i="5"/>
  <c r="P303" i="5"/>
  <c r="Q302" i="5"/>
  <c r="P302" i="5"/>
  <c r="P301" i="5"/>
  <c r="Q301" i="5" s="1"/>
  <c r="P300" i="5"/>
  <c r="Q300" i="5" s="1"/>
  <c r="P299" i="5"/>
  <c r="Q299" i="5" s="1"/>
  <c r="Q298" i="5"/>
  <c r="P298" i="5"/>
  <c r="P297" i="5"/>
  <c r="Q297" i="5" s="1"/>
  <c r="P296" i="5"/>
  <c r="Q296" i="5" s="1"/>
  <c r="P295" i="5"/>
  <c r="Q295" i="5" s="1"/>
  <c r="Q294" i="5"/>
  <c r="P294" i="5"/>
  <c r="P293" i="5"/>
  <c r="Q293" i="5" s="1"/>
  <c r="P292" i="5"/>
  <c r="Q292" i="5" s="1"/>
  <c r="P291" i="5"/>
  <c r="Q291" i="5" s="1"/>
  <c r="Q290" i="5"/>
  <c r="P290" i="5"/>
  <c r="P289" i="5"/>
  <c r="Q289" i="5" s="1"/>
  <c r="P288" i="5"/>
  <c r="Q288" i="5" s="1"/>
  <c r="Q287" i="5"/>
  <c r="P287" i="5"/>
  <c r="Q286" i="5"/>
  <c r="P286" i="5"/>
  <c r="P285" i="5"/>
  <c r="Q285" i="5" s="1"/>
  <c r="P284" i="5"/>
  <c r="Q284" i="5" s="1"/>
  <c r="P283" i="5"/>
  <c r="Q283" i="5" s="1"/>
  <c r="Q282" i="5"/>
  <c r="P282" i="5"/>
  <c r="P281" i="5"/>
  <c r="Q281" i="5" s="1"/>
  <c r="P280" i="5"/>
  <c r="Q280" i="5" s="1"/>
  <c r="P279" i="5"/>
  <c r="Q279" i="5" s="1"/>
  <c r="Q278" i="5"/>
  <c r="P278" i="5"/>
  <c r="P277" i="5"/>
  <c r="Q277" i="5" s="1"/>
  <c r="P276" i="5"/>
  <c r="Q276" i="5" s="1"/>
  <c r="P275" i="5"/>
  <c r="Q275" i="5" s="1"/>
  <c r="Q274" i="5"/>
  <c r="P274" i="5"/>
  <c r="P273" i="5"/>
  <c r="Q273" i="5" s="1"/>
  <c r="P272" i="5"/>
  <c r="Q272" i="5" s="1"/>
  <c r="Q271" i="5"/>
  <c r="P271" i="5"/>
  <c r="Q270" i="5"/>
  <c r="P270" i="5"/>
  <c r="P269" i="5"/>
  <c r="Q269" i="5" s="1"/>
  <c r="P268" i="5"/>
  <c r="Q268" i="5" s="1"/>
  <c r="P267" i="5"/>
  <c r="Q267" i="5" s="1"/>
  <c r="Q266" i="5"/>
  <c r="P266" i="5"/>
  <c r="P265" i="5"/>
  <c r="Q265" i="5" s="1"/>
  <c r="P264" i="5"/>
  <c r="Q264" i="5" s="1"/>
  <c r="P263" i="5"/>
  <c r="Q263" i="5" s="1"/>
  <c r="Q262" i="5"/>
  <c r="P262" i="5"/>
  <c r="P261" i="5"/>
  <c r="Q261" i="5" s="1"/>
  <c r="P260" i="5"/>
  <c r="Q260" i="5" s="1"/>
  <c r="P259" i="5"/>
  <c r="Q259" i="5" s="1"/>
  <c r="Q258" i="5"/>
  <c r="P258" i="5"/>
  <c r="P257" i="5"/>
  <c r="Q257" i="5" s="1"/>
  <c r="P256" i="5"/>
  <c r="Q256" i="5" s="1"/>
  <c r="Q255" i="5"/>
  <c r="P255" i="5"/>
  <c r="Q254" i="5"/>
  <c r="P254" i="5"/>
  <c r="P253" i="5"/>
  <c r="Q253" i="5" s="1"/>
  <c r="P252" i="5"/>
  <c r="Q252" i="5" s="1"/>
  <c r="P251" i="5"/>
  <c r="Q251" i="5" s="1"/>
  <c r="Q250" i="5"/>
  <c r="P250" i="5"/>
  <c r="P249" i="5"/>
  <c r="Q249" i="5" s="1"/>
  <c r="P248" i="5"/>
  <c r="Q248" i="5" s="1"/>
  <c r="P247" i="5"/>
  <c r="Q247" i="5" s="1"/>
  <c r="Q246" i="5"/>
  <c r="P246" i="5"/>
  <c r="P245" i="5"/>
  <c r="Q245" i="5" s="1"/>
  <c r="P244" i="5"/>
  <c r="Q244" i="5" s="1"/>
  <c r="P243" i="5"/>
  <c r="Q243" i="5" s="1"/>
  <c r="Q242" i="5"/>
  <c r="P242" i="5"/>
  <c r="P241" i="5"/>
  <c r="Q241" i="5" s="1"/>
  <c r="P240" i="5"/>
  <c r="Q240" i="5" s="1"/>
  <c r="Q239" i="5"/>
  <c r="P239" i="5"/>
  <c r="Q238" i="5"/>
  <c r="P238" i="5"/>
  <c r="P237" i="5"/>
  <c r="Q237" i="5" s="1"/>
  <c r="P236" i="5"/>
  <c r="Q236" i="5" s="1"/>
  <c r="P235" i="5"/>
  <c r="Q235" i="5" s="1"/>
  <c r="Q234" i="5"/>
  <c r="P234" i="5"/>
  <c r="P233" i="5"/>
  <c r="Q233" i="5" s="1"/>
  <c r="P232" i="5"/>
  <c r="Q232" i="5" s="1"/>
  <c r="P231" i="5"/>
  <c r="Q231" i="5" s="1"/>
  <c r="Q230" i="5"/>
  <c r="P230" i="5"/>
  <c r="P229" i="5"/>
  <c r="Q229" i="5" s="1"/>
  <c r="P228" i="5"/>
  <c r="Q228" i="5" s="1"/>
  <c r="P227" i="5"/>
  <c r="Q227" i="5" s="1"/>
  <c r="Q226" i="5"/>
  <c r="P226" i="5"/>
  <c r="P225" i="5"/>
  <c r="Q225" i="5" s="1"/>
  <c r="P224" i="5"/>
  <c r="Q224" i="5" s="1"/>
  <c r="Q223" i="5"/>
  <c r="P223" i="5"/>
  <c r="Q222" i="5"/>
  <c r="P222" i="5"/>
  <c r="P221" i="5"/>
  <c r="Q221" i="5" s="1"/>
  <c r="P220" i="5"/>
  <c r="Q220" i="5" s="1"/>
  <c r="P219" i="5"/>
  <c r="Q219" i="5" s="1"/>
  <c r="Q218" i="5"/>
  <c r="P218" i="5"/>
  <c r="P217" i="5"/>
  <c r="Q217" i="5" s="1"/>
  <c r="P216" i="5"/>
  <c r="Q216" i="5" s="1"/>
  <c r="P215" i="5"/>
  <c r="Q215" i="5" s="1"/>
  <c r="Q214" i="5"/>
  <c r="P214" i="5"/>
  <c r="P213" i="5"/>
  <c r="Q213" i="5" s="1"/>
  <c r="P212" i="5"/>
  <c r="Q212" i="5" s="1"/>
  <c r="P211" i="5"/>
  <c r="Q211" i="5" s="1"/>
  <c r="Q210" i="5"/>
  <c r="P210" i="5"/>
  <c r="P209" i="5"/>
  <c r="Q209" i="5" s="1"/>
  <c r="P208" i="5"/>
  <c r="Q208" i="5" s="1"/>
  <c r="Q207" i="5"/>
  <c r="P207" i="5"/>
  <c r="Q206" i="5"/>
  <c r="P206" i="5"/>
  <c r="P205" i="5"/>
  <c r="Q205" i="5" s="1"/>
  <c r="P204" i="5"/>
  <c r="Q204" i="5" s="1"/>
  <c r="P203" i="5"/>
  <c r="Q203" i="5" s="1"/>
  <c r="Q202" i="5"/>
  <c r="P202" i="5"/>
  <c r="P201" i="5"/>
  <c r="Q201" i="5" s="1"/>
  <c r="P200" i="5"/>
  <c r="Q200" i="5" s="1"/>
  <c r="P199" i="5"/>
  <c r="Q199" i="5" s="1"/>
  <c r="Q198" i="5"/>
  <c r="P198" i="5"/>
  <c r="P197" i="5"/>
  <c r="Q197" i="5" s="1"/>
  <c r="P196" i="5"/>
  <c r="Q196" i="5" s="1"/>
  <c r="P195" i="5"/>
  <c r="Q195" i="5" s="1"/>
  <c r="Q194" i="5"/>
  <c r="P194" i="5"/>
  <c r="P193" i="5"/>
  <c r="Q193" i="5" s="1"/>
  <c r="P192" i="5"/>
  <c r="Q192" i="5" s="1"/>
  <c r="Q191" i="5"/>
  <c r="P191" i="5"/>
  <c r="Q190" i="5"/>
  <c r="P190" i="5"/>
  <c r="P189" i="5"/>
  <c r="Q189" i="5" s="1"/>
  <c r="P188" i="5"/>
  <c r="Q188" i="5" s="1"/>
  <c r="P187" i="5"/>
  <c r="Q187" i="5" s="1"/>
  <c r="Q186" i="5"/>
  <c r="P186" i="5"/>
  <c r="P185" i="5"/>
  <c r="Q185" i="5" s="1"/>
  <c r="P184" i="5"/>
  <c r="Q184" i="5" s="1"/>
  <c r="P183" i="5"/>
  <c r="Q183" i="5" s="1"/>
  <c r="Q182" i="5"/>
  <c r="P182" i="5"/>
  <c r="P181" i="5"/>
  <c r="Q181" i="5" s="1"/>
  <c r="P180" i="5"/>
  <c r="Q180" i="5" s="1"/>
  <c r="P179" i="5"/>
  <c r="Q179" i="5" s="1"/>
  <c r="Q178" i="5"/>
  <c r="P178" i="5"/>
  <c r="P177" i="5"/>
  <c r="Q177" i="5" s="1"/>
  <c r="P176" i="5"/>
  <c r="Q176" i="5" s="1"/>
  <c r="Q175" i="5"/>
  <c r="P175" i="5"/>
  <c r="Q174" i="5"/>
  <c r="P174" i="5"/>
  <c r="P173" i="5"/>
  <c r="Q173" i="5" s="1"/>
  <c r="P172" i="5"/>
  <c r="Q172" i="5" s="1"/>
  <c r="P171" i="5"/>
  <c r="Q171" i="5" s="1"/>
  <c r="Q170" i="5"/>
  <c r="P170" i="5"/>
  <c r="P169" i="5"/>
  <c r="Q169" i="5" s="1"/>
  <c r="P168" i="5"/>
  <c r="Q168" i="5" s="1"/>
  <c r="P167" i="5"/>
  <c r="Q167" i="5" s="1"/>
  <c r="Q166" i="5"/>
  <c r="P166" i="5"/>
  <c r="P165" i="5"/>
  <c r="Q165" i="5" s="1"/>
  <c r="P164" i="5"/>
  <c r="Q164" i="5" s="1"/>
  <c r="P163" i="5"/>
  <c r="Q163" i="5" s="1"/>
  <c r="Q162" i="5"/>
  <c r="P162" i="5"/>
  <c r="P161" i="5"/>
  <c r="Q161" i="5" s="1"/>
  <c r="P160" i="5"/>
  <c r="Q160" i="5" s="1"/>
  <c r="Q159" i="5"/>
  <c r="P159" i="5"/>
  <c r="Q158" i="5"/>
  <c r="P158" i="5"/>
  <c r="P157" i="5"/>
  <c r="Q157" i="5" s="1"/>
  <c r="P156" i="5"/>
  <c r="Q156" i="5" s="1"/>
  <c r="P155" i="5"/>
  <c r="Q155" i="5" s="1"/>
  <c r="Q154" i="5"/>
  <c r="P154" i="5"/>
  <c r="P153" i="5"/>
  <c r="Q153" i="5" s="1"/>
  <c r="P152" i="5"/>
  <c r="Q152" i="5" s="1"/>
  <c r="P151" i="5"/>
  <c r="Q151" i="5" s="1"/>
  <c r="Q150" i="5"/>
  <c r="P150" i="5"/>
  <c r="P149" i="5"/>
  <c r="Q149" i="5" s="1"/>
  <c r="P148" i="5"/>
  <c r="Q148" i="5" s="1"/>
  <c r="P147" i="5"/>
  <c r="Q147" i="5" s="1"/>
  <c r="Q146" i="5"/>
  <c r="P146" i="5"/>
  <c r="P145" i="5"/>
  <c r="Q145" i="5" s="1"/>
  <c r="P144" i="5"/>
  <c r="Q144" i="5" s="1"/>
  <c r="Q143" i="5"/>
  <c r="P143" i="5"/>
  <c r="Q142" i="5"/>
  <c r="P142" i="5"/>
  <c r="P141" i="5"/>
  <c r="Q141" i="5" s="1"/>
  <c r="P140" i="5"/>
  <c r="Q140" i="5" s="1"/>
  <c r="P139" i="5"/>
  <c r="Q139" i="5" s="1"/>
  <c r="Q138" i="5"/>
  <c r="P138" i="5"/>
  <c r="P137" i="5"/>
  <c r="Q137" i="5" s="1"/>
  <c r="P136" i="5"/>
  <c r="Q136" i="5" s="1"/>
  <c r="P135" i="5"/>
  <c r="Q135" i="5" s="1"/>
  <c r="Q134" i="5"/>
  <c r="P134" i="5"/>
  <c r="P133" i="5"/>
  <c r="Q133" i="5" s="1"/>
  <c r="P132" i="5"/>
  <c r="Q132" i="5" s="1"/>
  <c r="P131" i="5"/>
  <c r="Q131" i="5" s="1"/>
  <c r="Q130" i="5"/>
  <c r="P130" i="5"/>
  <c r="P129" i="5"/>
  <c r="Q129" i="5" s="1"/>
  <c r="P128" i="5"/>
  <c r="Q128" i="5" s="1"/>
  <c r="Q127" i="5"/>
  <c r="P127" i="5"/>
  <c r="P126" i="5"/>
  <c r="Q126" i="5" s="1"/>
  <c r="Q125" i="5"/>
  <c r="P125" i="5"/>
  <c r="P124" i="5"/>
  <c r="Q124" i="5" s="1"/>
  <c r="P123" i="5"/>
  <c r="Q123" i="5" s="1"/>
  <c r="P122" i="5"/>
  <c r="Q122" i="5" s="1"/>
  <c r="Q121" i="5"/>
  <c r="P121" i="5"/>
  <c r="P120" i="5"/>
  <c r="Q120" i="5" s="1"/>
  <c r="P119" i="5"/>
  <c r="Q119" i="5" s="1"/>
  <c r="P118" i="5"/>
  <c r="Q118" i="5" s="1"/>
  <c r="P117" i="5"/>
  <c r="Q117" i="5" s="1"/>
  <c r="Q116" i="5"/>
  <c r="P116" i="5"/>
  <c r="P115" i="5"/>
  <c r="Q115" i="5" s="1"/>
  <c r="P114" i="5"/>
  <c r="Q114" i="5" s="1"/>
  <c r="P113" i="5"/>
  <c r="Q113" i="5" s="1"/>
  <c r="P112" i="5"/>
  <c r="Q112" i="5" s="1"/>
  <c r="P111" i="5"/>
  <c r="Q111" i="5" s="1"/>
  <c r="P110" i="5"/>
  <c r="Q110" i="5" s="1"/>
  <c r="P109" i="5"/>
  <c r="Q109" i="5" s="1"/>
  <c r="P108" i="5"/>
  <c r="Q108" i="5" s="1"/>
  <c r="Q107" i="5"/>
  <c r="P107" i="5"/>
  <c r="P106" i="5"/>
  <c r="Q106" i="5" s="1"/>
  <c r="P105" i="5"/>
  <c r="Q105" i="5" s="1"/>
  <c r="Q104" i="5"/>
  <c r="P104" i="5"/>
  <c r="P103" i="5"/>
  <c r="Q103" i="5" s="1"/>
  <c r="P102" i="5"/>
  <c r="Q102" i="5" s="1"/>
  <c r="P101" i="5"/>
  <c r="Q101" i="5" s="1"/>
  <c r="P100" i="5"/>
  <c r="Q100" i="5" s="1"/>
  <c r="P99" i="5"/>
  <c r="Q99" i="5" s="1"/>
  <c r="P98" i="5"/>
  <c r="Q98" i="5" s="1"/>
  <c r="P97" i="5"/>
  <c r="Q97" i="5" s="1"/>
  <c r="P96" i="5"/>
  <c r="Q96" i="5" s="1"/>
  <c r="P95" i="5"/>
  <c r="Q95" i="5" s="1"/>
  <c r="P94" i="5"/>
  <c r="Q94" i="5" s="1"/>
  <c r="Q93" i="5"/>
  <c r="P93" i="5"/>
  <c r="P92" i="5"/>
  <c r="Q92" i="5" s="1"/>
  <c r="P91" i="5"/>
  <c r="Q91" i="5" s="1"/>
  <c r="P90" i="5"/>
  <c r="Q90" i="5" s="1"/>
  <c r="P89" i="5"/>
  <c r="Q89" i="5" s="1"/>
  <c r="P88" i="5"/>
  <c r="Q88" i="5" s="1"/>
  <c r="P87" i="5"/>
  <c r="Q87" i="5" s="1"/>
  <c r="P86" i="5"/>
  <c r="Q86" i="5" s="1"/>
  <c r="P85" i="5"/>
  <c r="Q85" i="5" s="1"/>
  <c r="Q84" i="5"/>
  <c r="P84" i="5"/>
  <c r="P83" i="5"/>
  <c r="Q83" i="5" s="1"/>
  <c r="P82" i="5"/>
  <c r="Q82" i="5" s="1"/>
  <c r="P81" i="5"/>
  <c r="Q81" i="5" s="1"/>
  <c r="P80" i="5"/>
  <c r="Q80" i="5" s="1"/>
  <c r="P79" i="5"/>
  <c r="Q79" i="5" s="1"/>
  <c r="P78" i="5"/>
  <c r="Q78" i="5" s="1"/>
  <c r="P77" i="5"/>
  <c r="Q77" i="5" s="1"/>
  <c r="P76" i="5"/>
  <c r="Q76" i="5" s="1"/>
  <c r="Q75" i="5"/>
  <c r="P75" i="5"/>
  <c r="P74" i="5"/>
  <c r="Q74" i="5" s="1"/>
  <c r="P73" i="5"/>
  <c r="Q73" i="5" s="1"/>
  <c r="P72" i="5"/>
  <c r="Q72" i="5" s="1"/>
  <c r="P71" i="5"/>
  <c r="Q71" i="5" s="1"/>
  <c r="P70" i="5"/>
  <c r="Q70" i="5" s="1"/>
  <c r="P69" i="5"/>
  <c r="Q69" i="5" s="1"/>
  <c r="P68" i="5"/>
  <c r="Q68" i="5" s="1"/>
  <c r="P67" i="5"/>
  <c r="Q67" i="5" s="1"/>
  <c r="P66" i="5"/>
  <c r="Q66" i="5" s="1"/>
  <c r="P65" i="5"/>
  <c r="Q65" i="5" s="1"/>
  <c r="P64" i="5"/>
  <c r="Q64" i="5" s="1"/>
  <c r="Q63" i="5"/>
  <c r="P63" i="5"/>
  <c r="P62" i="5"/>
  <c r="Q62" i="5" s="1"/>
  <c r="Q61" i="5"/>
  <c r="P61" i="5"/>
  <c r="P60" i="5"/>
  <c r="Q60" i="5" s="1"/>
  <c r="P59" i="5"/>
  <c r="Q59" i="5" s="1"/>
  <c r="P58" i="5"/>
  <c r="Q58" i="5" s="1"/>
  <c r="Q57" i="5"/>
  <c r="P57" i="5"/>
  <c r="P56" i="5"/>
  <c r="Q56" i="5" s="1"/>
  <c r="P55" i="5"/>
  <c r="Q55" i="5" s="1"/>
  <c r="P54" i="5"/>
  <c r="Q54" i="5" s="1"/>
  <c r="P53" i="5"/>
  <c r="Q53" i="5" s="1"/>
  <c r="Q52" i="5"/>
  <c r="P52" i="5"/>
  <c r="P51" i="5"/>
  <c r="Q51" i="5" s="1"/>
  <c r="P50" i="5"/>
  <c r="Q50" i="5" s="1"/>
  <c r="P49" i="5"/>
  <c r="Q49" i="5" s="1"/>
  <c r="P48" i="5"/>
  <c r="Q48" i="5" s="1"/>
  <c r="P47" i="5"/>
  <c r="Q47" i="5" s="1"/>
  <c r="P46" i="5"/>
  <c r="Q46" i="5" s="1"/>
  <c r="P45" i="5"/>
  <c r="Q45" i="5" s="1"/>
  <c r="P44" i="5"/>
  <c r="Q44" i="5" s="1"/>
  <c r="Q43" i="5"/>
  <c r="P43" i="5"/>
  <c r="P42" i="5"/>
  <c r="Q42" i="5" s="1"/>
  <c r="P41" i="5"/>
  <c r="Q41" i="5" s="1"/>
  <c r="Q40" i="5"/>
  <c r="P40" i="5"/>
  <c r="P39" i="5"/>
  <c r="Q39" i="5" s="1"/>
  <c r="P38" i="5"/>
  <c r="Q38" i="5" s="1"/>
  <c r="P37" i="5"/>
  <c r="Q37" i="5" s="1"/>
  <c r="P36" i="5"/>
  <c r="Q36" i="5" s="1"/>
  <c r="P35" i="5"/>
  <c r="Q35" i="5" s="1"/>
  <c r="P34" i="5"/>
  <c r="Q34" i="5" s="1"/>
  <c r="P33" i="5"/>
  <c r="Q33" i="5" s="1"/>
  <c r="P32" i="5"/>
  <c r="Q32" i="5" s="1"/>
  <c r="P31" i="5"/>
  <c r="Q31" i="5" s="1"/>
  <c r="P30" i="5"/>
  <c r="Q30" i="5" s="1"/>
  <c r="Q29" i="5"/>
  <c r="P29" i="5"/>
  <c r="P28" i="5"/>
  <c r="Q28" i="5" s="1"/>
  <c r="P27" i="5"/>
  <c r="Q27" i="5" s="1"/>
  <c r="P26" i="5"/>
  <c r="Q26" i="5" s="1"/>
  <c r="P25" i="5"/>
  <c r="Q25" i="5" s="1"/>
  <c r="P24" i="5"/>
  <c r="Q24" i="5" s="1"/>
  <c r="P23" i="5"/>
  <c r="Q23" i="5" s="1"/>
  <c r="P22" i="5"/>
  <c r="Q22" i="5" s="1"/>
  <c r="P21" i="5"/>
  <c r="Q21" i="5" s="1"/>
  <c r="Q20" i="5"/>
  <c r="P20" i="5"/>
  <c r="P19" i="5"/>
  <c r="Q19" i="5" s="1"/>
  <c r="P18" i="5"/>
  <c r="Q18" i="5" s="1"/>
  <c r="P17" i="5"/>
  <c r="Q17" i="5" s="1"/>
  <c r="P16" i="5"/>
  <c r="Q16" i="5" s="1"/>
  <c r="P15" i="5"/>
  <c r="Q15" i="5" s="1"/>
  <c r="P14" i="5"/>
  <c r="Q14" i="5" s="1"/>
  <c r="P13" i="5"/>
  <c r="Q13" i="5" s="1"/>
  <c r="P12" i="5"/>
  <c r="Q12" i="5" s="1"/>
  <c r="Q11" i="5"/>
  <c r="P11" i="5"/>
  <c r="P10" i="5"/>
  <c r="Q10" i="5" s="1"/>
  <c r="P9" i="5"/>
  <c r="Q9" i="5" s="1"/>
  <c r="P8" i="5"/>
  <c r="Q8" i="5" s="1"/>
  <c r="P7" i="5"/>
  <c r="Q7" i="5" s="1"/>
  <c r="P6" i="5"/>
  <c r="Q6" i="5" s="1"/>
  <c r="P5" i="5"/>
  <c r="Q5" i="5" s="1"/>
  <c r="P4" i="5"/>
  <c r="Q4" i="5" s="1"/>
  <c r="G3" i="3"/>
  <c r="H3" i="3" s="1"/>
  <c r="G4" i="3"/>
  <c r="F4" i="3" s="1"/>
  <c r="G5" i="3"/>
  <c r="D5" i="3" s="1"/>
  <c r="G6" i="3"/>
  <c r="D6" i="3" s="1"/>
  <c r="G7" i="3"/>
  <c r="D7" i="3" s="1"/>
  <c r="G8" i="3"/>
  <c r="D8" i="3" s="1"/>
  <c r="G9" i="3"/>
  <c r="D9" i="3" s="1"/>
  <c r="G2" i="3"/>
  <c r="H2" i="3" s="1"/>
  <c r="D2" i="3" l="1"/>
  <c r="D4" i="3"/>
  <c r="F3" i="3"/>
  <c r="F2" i="3"/>
  <c r="D3" i="3"/>
  <c r="H9" i="3"/>
  <c r="F9" i="3"/>
  <c r="H8" i="3"/>
  <c r="F8" i="3"/>
  <c r="H7" i="3"/>
  <c r="F7" i="3"/>
  <c r="H6" i="3"/>
  <c r="F6" i="3"/>
  <c r="H5" i="3"/>
  <c r="F5" i="3"/>
  <c r="H4" i="3"/>
</calcChain>
</file>

<file path=xl/sharedStrings.xml><?xml version="1.0" encoding="utf-8"?>
<sst xmlns="http://schemas.openxmlformats.org/spreadsheetml/2006/main" count="62532" uniqueCount="5295">
  <si>
    <t/>
  </si>
  <si>
    <t>CNPJ</t>
  </si>
  <si>
    <t>Municipio</t>
  </si>
  <si>
    <t>Data</t>
  </si>
  <si>
    <t>OB</t>
  </si>
  <si>
    <t>Valor</t>
  </si>
  <si>
    <t>Parcela</t>
  </si>
  <si>
    <t>Programa</t>
  </si>
  <si>
    <t>Banco</t>
  </si>
  <si>
    <t>Agencia</t>
  </si>
  <si>
    <t>Conta</t>
  </si>
  <si>
    <t>NTE</t>
  </si>
  <si>
    <t>Cod. Sec</t>
  </si>
  <si>
    <t>Cod INEP</t>
  </si>
  <si>
    <t>Nome Caixa</t>
  </si>
  <si>
    <t>Nome da Unidade Escolar</t>
  </si>
  <si>
    <t>Entidade..: 02.054.612/0001-92 - CAIXA ESCOLAR CANDIDO MEIRELES,Município.: CAIRU - BA</t>
  </si>
  <si>
    <t>Entidade..: 30.364.372/0001-68 - CAIXA ESCOLAR COLEGIO ESTADUAL PORTO DE SAUIPE,Município.: ENTRE RIOS - BA</t>
  </si>
  <si>
    <t>Entidade..: 02.020.503/0001-54 - CAIXA ESCOLAR SAO PEDRO,Município.: RIBEIRA DO AMPARO - BA</t>
  </si>
  <si>
    <t>Entidade..: 02.112.238/0001-34 - CAIXA ESCOLAR DO COLEGIO ESTADUAL PROFESSOR ROCHA PITA,Município.: ARATUIPE - BA</t>
  </si>
  <si>
    <t>{"Column-0":"11/DEZ/2025","Column-1":"033800","Column-2":"45.000,00","Column-3":"001","Column-4":"CAMPO - PDDE - CAMPO","Column-5":"BANCO DO BRASIL","Column-6":"2710","Column-7":"0000144592"},{"Column-0":"15/DEZ/2025","Column-1":"035212","Column-2":"3.700,00","Column-3":"001","Column-4":"Quilomb - PDDE EQUIDADE - ERER","Column-5":"BANCO DO BRASIL","Column-6":"2710","Column-7":"0000144592"},{"Column-0":"Total:","Column-1":"Total:","Column-2":"48.700,00","Column-3":"","Column-4":"","Column-5":"","Column-6":"","Column-7":""}]</t>
  </si>
  <si>
    <t>{"Column-0":"19/MAR/2025","Column-1":"003105","Column-2":"29.892,00","Column-3":"001","Column-4":"PDDE AE - CAMPO","Column-5":"BANCO DO BRASIL","Column-6":"2041","Column-7":"0000308269"},{"Column-0":"22/OUT/2025","Column-1":"027491","Column-2":"3.700,00","Column-3":"001","Column-4":"Quilomb - PDDE EQUIDADE - ERER","Column-5":"BANCO DO BRASIL","Column-6":"2041","Column-7":"0000308269"},{"Column-0":"Total:","Column-1":"Total:","Column-2":"33.592,00","Column-3":"","Column-4":"","Column-5":"","Column-6":"","Column-7":""}]</t>
  </si>
  <si>
    <t>{"Column-0":"09/OUT/2025","Column-1":"026088","Column-2":"3.700,00","Column-3":"001","Column-4":"EJA - PDDE EQUIDADE","Column-5":"BANCO DO BRASIL","Column-6":"0973","Column-7":"0000393746"},{"Column-0":"22/OUT/2025","Column-1":"027491","Column-2":"3.700,00","Column-3":"001","Column-4":"Quilomb - PDDE EQUIDADE - ERER","Column-5":"BANCO DO BRASIL","Column-6":"0973","Column-7":"0000393746"},{"Column-0":"25/NOV/2025","Column-1":"031473","Column-2":"30.000,00","Column-3":"001","Column-4":"ED. INCLUSIVA - PDDE - SRM","Column-5":"BANCO DO BRASIL","Column-6":"0973","Column-7":"0000393746"},{"Column-0":"Total:","Column-1":"Total:","Column-2":"37.400,00","Column-3":"","Column-4":"","Column-5":"","Column-6":"","Column-7":""}]</t>
  </si>
  <si>
    <t>{"Column-0":"22/OUT/2025","Column-1":"027491","Column-2":"3.700,00","Column-3":"001","Column-4":"Quilomb - PDDE EQUIDADE - ERER","Column-5":"BANCO DO BRASIL","Column-6":"0238","Column-7":"0000386162"},{"Column-0":"Total:","Column-1":"Total:","Column-2":"3.700,00","Column-3":"","Column-4":"","Column-5":"","Column-6":"","Column-7":""}]</t>
  </si>
  <si>
    <t>11/DEZ/2025</t>
  </si>
  <si>
    <t>45.000,00</t>
  </si>
  <si>
    <t>CAMPO - PDDE - CAMPO</t>
  </si>
  <si>
    <t>BANCO DO BRASIL</t>
  </si>
  <si>
    <t>15/DEZ/2025</t>
  </si>
  <si>
    <t>3.700,00</t>
  </si>
  <si>
    <t>Quilomb - PDDE EQUIDADE - ERER</t>
  </si>
  <si>
    <t>29.892,00</t>
  </si>
  <si>
    <t>PDDE AE - CAMPO</t>
  </si>
  <si>
    <t>22/OUT/2025</t>
  </si>
  <si>
    <t>09/OUT/2025</t>
  </si>
  <si>
    <t>EJA - PDDE EQUIDADE</t>
  </si>
  <si>
    <t>30.000,00</t>
  </si>
  <si>
    <t>ED. INCLUSIVA - PDDE - SRM</t>
  </si>
  <si>
    <t>CAIXA ESCOLAR CANDIDO MEIRELES</t>
  </si>
  <si>
    <t>CAIXA ESCOLAR COLEGIO ESTADUAL PORTO DE SAUIPE</t>
  </si>
  <si>
    <t>CAIXA ESCOLAR SAO PEDRO</t>
  </si>
  <si>
    <t>CAIXA ESCOLAR DO COLEGIO ESTADUAL PROFESSOR ROCHA PITA</t>
  </si>
  <si>
    <t>020546120001-92</t>
  </si>
  <si>
    <t>303643720001-68</t>
  </si>
  <si>
    <t>020205030001-54</t>
  </si>
  <si>
    <t>021122380001-34</t>
  </si>
  <si>
    <t>19/MAR/2025</t>
  </si>
  <si>
    <t>25/NOV/2025</t>
  </si>
  <si>
    <t>CAIRU</t>
  </si>
  <si>
    <t>ENTRE RIOS</t>
  </si>
  <si>
    <t>RIBEIRA DO AMPARO</t>
  </si>
  <si>
    <t>ARATUIPE</t>
  </si>
  <si>
    <t>Ministério da Educação - MEC</t>
  </si>
  <si>
    <t>Situação de Atendimento da Entidade</t>
  </si>
  <si>
    <t>Fundo Nacional de Desenvolvimento da Educação - FNDE</t>
  </si>
  <si>
    <r>
      <t>Ano:</t>
    </r>
    <r>
      <rPr>
        <sz val="11"/>
        <color theme="1"/>
        <rFont val="Calibri"/>
        <family val="2"/>
        <scheme val="minor"/>
      </rPr>
      <t xml:space="preserve">2025, </t>
    </r>
    <r>
      <rPr>
        <b/>
        <sz val="11"/>
        <color theme="1"/>
        <rFont val="Calibri"/>
        <family val="2"/>
        <scheme val="minor"/>
      </rPr>
      <t>Programa:</t>
    </r>
    <r>
      <rPr>
        <sz val="11"/>
        <color theme="1"/>
        <rFont val="Calibri"/>
        <family val="2"/>
        <scheme val="minor"/>
      </rPr>
      <t xml:space="preserve">PDDE, </t>
    </r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'BA', </t>
    </r>
    <r>
      <rPr>
        <b/>
        <sz val="11"/>
        <color theme="1"/>
        <rFont val="Calibri"/>
        <family val="2"/>
        <scheme val="minor"/>
      </rPr>
      <t>Rede de Atendimento:</t>
    </r>
    <r>
      <rPr>
        <sz val="11"/>
        <color theme="1"/>
        <rFont val="Calibri"/>
        <family val="2"/>
        <scheme val="minor"/>
      </rPr>
      <t xml:space="preserve">ADMINISTRAÇÃO PÚBLICA ESTADUAL, </t>
    </r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Pagos </t>
    </r>
    <r>
      <rPr>
        <b/>
        <sz val="11"/>
        <color theme="1"/>
        <rFont val="Calibri"/>
        <family val="2"/>
        <scheme val="minor"/>
      </rPr>
      <t>Tipo de Relatório:</t>
    </r>
    <r>
      <rPr>
        <sz val="11"/>
        <color theme="1"/>
        <rFont val="Calibri"/>
        <family val="2"/>
        <scheme val="minor"/>
      </rPr>
      <t xml:space="preserve"> Detalhado por Escola</t>
    </r>
  </si>
  <si>
    <t>Nº</t>
  </si>
  <si>
    <t>Ano</t>
  </si>
  <si>
    <t>Município</t>
  </si>
  <si>
    <t>Código MEC</t>
  </si>
  <si>
    <t>Código SEC</t>
  </si>
  <si>
    <t>Nome Escola</t>
  </si>
  <si>
    <t>Quantidade Alunos</t>
  </si>
  <si>
    <t>Destinação</t>
  </si>
  <si>
    <t>Valor Custeio</t>
  </si>
  <si>
    <t>Valor Capital</t>
  </si>
  <si>
    <t>Valor Total</t>
  </si>
  <si>
    <t>Data da Ord. de Pagamento</t>
  </si>
  <si>
    <t>CNPJ Executora</t>
  </si>
  <si>
    <t>NTE-11</t>
  </si>
  <si>
    <t>BAIANOPOLIS</t>
  </si>
  <si>
    <t>COLEGIO ESTADUAL PIO ALVES DOS SANTOS TEMPO INTEGRAL</t>
  </si>
  <si>
    <t>PDDE Basico - 1 Parcela</t>
  </si>
  <si>
    <t>'02066293000135</t>
  </si>
  <si>
    <t>020662930001-35</t>
  </si>
  <si>
    <t>BARREIRAS</t>
  </si>
  <si>
    <t>COLEGIO DEMOCRATICO ESTADUAL MARCOS FREIRE TEMPO INTEGRAL</t>
  </si>
  <si>
    <t>'02199720000153</t>
  </si>
  <si>
    <t>021997200001-53</t>
  </si>
  <si>
    <t>COLEGIO ESTADUAL ANTONIO GERALDO</t>
  </si>
  <si>
    <t>'02087396000181</t>
  </si>
  <si>
    <t>020873960001-81</t>
  </si>
  <si>
    <t>CENTRO TERRITORIAL DE EDUCACAO PROFISSIONAL DA BACIA DO RIO</t>
  </si>
  <si>
    <t>'03387712000101</t>
  </si>
  <si>
    <t>033877120001-01</t>
  </si>
  <si>
    <t>COLEGIO ESTADUAL DE BARREIRINHAS TEMPO INTEGRAL</t>
  </si>
  <si>
    <t>'02181812000106</t>
  </si>
  <si>
    <t>021818120001-06</t>
  </si>
  <si>
    <t>COLEGIO DA POLICIA MILITAR CPM PROFESSOR ALEXANDRE LEAL COST</t>
  </si>
  <si>
    <t>'02478146000172</t>
  </si>
  <si>
    <t>024781460001-72</t>
  </si>
  <si>
    <t>COLEGIO ESTADUAL PRISCO VIANA TEMPO INTEGRAL</t>
  </si>
  <si>
    <t>'03785568000153</t>
  </si>
  <si>
    <t>037855680001-53</t>
  </si>
  <si>
    <t>CATOLANDIA</t>
  </si>
  <si>
    <t>COLEGIO ESTADUAL NOSSA SENHORA DA PENHA TEMPO INTEGRAL</t>
  </si>
  <si>
    <t>'02098672000107</t>
  </si>
  <si>
    <t>020986720001-07</t>
  </si>
  <si>
    <t>SAO DESIDERIO</t>
  </si>
  <si>
    <t>COLEGIO ESTADUAL PROFESSOR MANOEL MACEDO CIRILO</t>
  </si>
  <si>
    <t>'02014030000182</t>
  </si>
  <si>
    <t>020140300001-82</t>
  </si>
  <si>
    <t>ANGICAL</t>
  </si>
  <si>
    <t>COLEGIO ESTADUAL APARICIO JOSE DA SILVA TEMPO INTEGRAL</t>
  </si>
  <si>
    <t>'02029406000122</t>
  </si>
  <si>
    <t>020294060001-22</t>
  </si>
  <si>
    <t>COTEGIPE</t>
  </si>
  <si>
    <t>COLEGIO ESTADUAL DE TEMPO INTEGRAL JOSE MARCELO SILVEIRA MAR</t>
  </si>
  <si>
    <t>'01990109000186</t>
  </si>
  <si>
    <t>019901090001-86</t>
  </si>
  <si>
    <t>CRISTOPOLIS</t>
  </si>
  <si>
    <t>COLEGIO ESTADUAL DE CRISTOPOLIS</t>
  </si>
  <si>
    <t>'02554570000159</t>
  </si>
  <si>
    <t>025545700001-59</t>
  </si>
  <si>
    <t>SANTA RITA DE CASSIA</t>
  </si>
  <si>
    <t>CENTRO TERRITORIAL DE EDUCACAO PROFISSIONAL SANTA RITA DE CA</t>
  </si>
  <si>
    <t>'02159854000140</t>
  </si>
  <si>
    <t>021598540001-40</t>
  </si>
  <si>
    <t>COLEGIO ESTADUAL DEPUTADO HORACIO DE MATOS TEMPO INTEGRAL</t>
  </si>
  <si>
    <t>'02129232000170</t>
  </si>
  <si>
    <t>021292320001-70</t>
  </si>
  <si>
    <t>NTE-23</t>
  </si>
  <si>
    <t>TABOCAS DO BREJO VELHO</t>
  </si>
  <si>
    <t>COLEGIO ESTADUAL LEONIDAS DE ARAUJO SILVA</t>
  </si>
  <si>
    <t>'02048028000124</t>
  </si>
  <si>
    <t>020480280001-24</t>
  </si>
  <si>
    <t>WANDERLEY</t>
  </si>
  <si>
    <t>COLEGIO ESTADUAL ANTONIO INACIO DE OLIVEIRA TEMPO INTEGRAL</t>
  </si>
  <si>
    <t>'01998771000182</t>
  </si>
  <si>
    <t>019987710001-82</t>
  </si>
  <si>
    <t>CANAPOLIS</t>
  </si>
  <si>
    <t>COLEGIO ESTADUAL RUY BARBOSA</t>
  </si>
  <si>
    <t>'01979532000185</t>
  </si>
  <si>
    <t>019795320001-85</t>
  </si>
  <si>
    <t>COCOS</t>
  </si>
  <si>
    <t>COLEGIO ESTADUAL DE COCOS TEMPO INTEGRAL</t>
  </si>
  <si>
    <t>'01979515000148</t>
  </si>
  <si>
    <t>019795150001-48</t>
  </si>
  <si>
    <t>CORIBE</t>
  </si>
  <si>
    <t>COLEGIO ESTADUAL SAO JOAO DOS GERAIS TEMPO INTEGRAL</t>
  </si>
  <si>
    <t>'01979537000108</t>
  </si>
  <si>
    <t>019795370001-08</t>
  </si>
  <si>
    <t>CORRENTINA</t>
  </si>
  <si>
    <t>COLEGIO ESTADUAL DUQUE DE CAXIAS TEMPO INTEGRAL</t>
  </si>
  <si>
    <t>'01968923000102</t>
  </si>
  <si>
    <t>019689230001-02</t>
  </si>
  <si>
    <t>JABORANDI</t>
  </si>
  <si>
    <t>COLEGIO ESTADUAL FRANCISCO MOREIRA ALVES TEMPO INTEGRAL</t>
  </si>
  <si>
    <t>'02108703000163</t>
  </si>
  <si>
    <t>021087030001-63</t>
  </si>
  <si>
    <t>SANTA MARIA DA VITORIA</t>
  </si>
  <si>
    <t>'02050761000183</t>
  </si>
  <si>
    <t>020507610001-83</t>
  </si>
  <si>
    <t>COLEGIO ESTADUAL ROLANDO LARANJEIRA BARBOSA</t>
  </si>
  <si>
    <t>'02094904000159</t>
  </si>
  <si>
    <t>020949040001-59</t>
  </si>
  <si>
    <t>SANTANA</t>
  </si>
  <si>
    <t>COLEGIO ESTADUAL EDVALDO FLORES TEMPO INTEGRAL</t>
  </si>
  <si>
    <t>'01935906000160</t>
  </si>
  <si>
    <t>019359060001-60</t>
  </si>
  <si>
    <t>SAO FELIX DO CORIBE</t>
  </si>
  <si>
    <t>COLEGIO ESTADUAL RIO CORRENTE TEMPO INTEGRAL</t>
  </si>
  <si>
    <t>'01968907000101</t>
  </si>
  <si>
    <t>019689070001-01</t>
  </si>
  <si>
    <t>SERRA DOURADA</t>
  </si>
  <si>
    <t>COLEGIO ESTADUAL SAO GONCALO TEMPO INTEGRAL</t>
  </si>
  <si>
    <t>'01979561000147</t>
  </si>
  <si>
    <t>019795610001-47</t>
  </si>
  <si>
    <t>NTE-10</t>
  </si>
  <si>
    <t>CURACA</t>
  </si>
  <si>
    <t>CENTRO TERRITORIAL DE EDUCACAO PROFISSIONAL MARIA DE ALMEIDA</t>
  </si>
  <si>
    <t>'01979278000115</t>
  </si>
  <si>
    <t>019792780001-15</t>
  </si>
  <si>
    <t>COLEGIO ESTADUAL ANANIAS CARLOS DO NASCIMENTO DISTRITO RIACH</t>
  </si>
  <si>
    <t>'01986613000102</t>
  </si>
  <si>
    <t>019866130001-02</t>
  </si>
  <si>
    <t>JUAZEIRO</t>
  </si>
  <si>
    <t>COLEGIO ESTADUAL DE TEMPO INTEGRAL FLORENTINA ALVES DOS SANT</t>
  </si>
  <si>
    <t>'04587355000180</t>
  </si>
  <si>
    <t>045873550001-80</t>
  </si>
  <si>
    <t>COMPLEXO INTEGRADO DE EDUCACAO BASICA PROFISSIONAL E TECNOLO</t>
  </si>
  <si>
    <t>'01979272000148</t>
  </si>
  <si>
    <t>019792720001-48</t>
  </si>
  <si>
    <t>CENTRO TERRITORIAL DE EDUCACAO PROFISSIONAL DO SERTAO DO SAO</t>
  </si>
  <si>
    <t>'01983184000110</t>
  </si>
  <si>
    <t>019831840001-10</t>
  </si>
  <si>
    <t>COLEGIO ESTADUAL ANTONILIO DA FRANCA CARDOSO</t>
  </si>
  <si>
    <t>'01995717000183</t>
  </si>
  <si>
    <t>019957170001-83</t>
  </si>
  <si>
    <t>CENTRO ESTADUAL DE EDUCACAO PROFISSIONAL EM GESTAO E NEGOCIO</t>
  </si>
  <si>
    <t>'04141010000106</t>
  </si>
  <si>
    <t>041410100001-06</t>
  </si>
  <si>
    <t>COLEGIO ESTADUAL ROTARY CLUBE</t>
  </si>
  <si>
    <t>'01979755000142</t>
  </si>
  <si>
    <t>019797550001-42</t>
  </si>
  <si>
    <t>COLEGIO DA POLICIA MILITAR CPM ALFREDO VIANNA</t>
  </si>
  <si>
    <t>'01995700000126</t>
  </si>
  <si>
    <t>019957000001-26</t>
  </si>
  <si>
    <t>COLEGIO ESTADUAL HILDETE LOMANTO</t>
  </si>
  <si>
    <t>'02013460000180</t>
  </si>
  <si>
    <t>020134600001-80</t>
  </si>
  <si>
    <t>COLEGIO ESTADUAL DONA GUIOMAR BARRETO MEIRA</t>
  </si>
  <si>
    <t>'01979259000199</t>
  </si>
  <si>
    <t>019792590001-99</t>
  </si>
  <si>
    <t>PILAO ARCADO</t>
  </si>
  <si>
    <t>COLEGIO ESTADUAL SOFIA MASCARENHAS</t>
  </si>
  <si>
    <t>'01999198000121</t>
  </si>
  <si>
    <t>019991980001-21</t>
  </si>
  <si>
    <t>REMANSO</t>
  </si>
  <si>
    <t>COLEGIO ESTADUAL PROFESSORA IRENE DE SOUZA ARAUJO TEMPO INTE</t>
  </si>
  <si>
    <t>'01979732000138</t>
  </si>
  <si>
    <t>019797320001-38</t>
  </si>
  <si>
    <t>SENTO SE</t>
  </si>
  <si>
    <t>COLEGIO ESTADUAL SETE DE SETEMBRO</t>
  </si>
  <si>
    <t>'02014300000155</t>
  </si>
  <si>
    <t>020143000001-55</t>
  </si>
  <si>
    <t>COLEGIO ESTADUAL DOUTOR JUCA SENTO SE TEMPO INTEGRAL</t>
  </si>
  <si>
    <t>'02014301000108</t>
  </si>
  <si>
    <t>020143010001-08</t>
  </si>
  <si>
    <t>SOBRADINHO</t>
  </si>
  <si>
    <t>COLEGIO ESTADUAL VILA SAO JOAQUIM</t>
  </si>
  <si>
    <t>'01930482000141</t>
  </si>
  <si>
    <t>019304820001-41</t>
  </si>
  <si>
    <t>NTE-24</t>
  </si>
  <si>
    <t>ABARE</t>
  </si>
  <si>
    <t>COLEGIO ESTADUAL DE TEMPO INTEGRAL PROFESSORA MARIA DO SOCOR</t>
  </si>
  <si>
    <t>'04705551000101</t>
  </si>
  <si>
    <t>047055510001-01</t>
  </si>
  <si>
    <t>COLEGIO ESTADUAL DO CAMPO JOSEFINA GOMES DE ARAUJO DISTRITO</t>
  </si>
  <si>
    <t>'04875291000112</t>
  </si>
  <si>
    <t>048752910001-12</t>
  </si>
  <si>
    <t>CHORROCHO</t>
  </si>
  <si>
    <t>COLEGIO ESTADUAL MARIA DE LOURDES LIMA PEREIRA POVOADO DE TA</t>
  </si>
  <si>
    <t>'01998978000157</t>
  </si>
  <si>
    <t>019989780001-57</t>
  </si>
  <si>
    <t>GLORIA</t>
  </si>
  <si>
    <t>COLEGIO ESTADUAL INDIGENA SANTA RITA DE CASSIA</t>
  </si>
  <si>
    <t>'20552135000177</t>
  </si>
  <si>
    <t>205521350001-77</t>
  </si>
  <si>
    <t>COLEGIO ESTADUAL REIS MAGALHAES TEMPO INTEGRAL</t>
  </si>
  <si>
    <t>'01998693000116</t>
  </si>
  <si>
    <t>019986930001-16</t>
  </si>
  <si>
    <t>MACURURE</t>
  </si>
  <si>
    <t>COLEGIO ESTADUAL DE MACURURE TEMPO INTEGRAL</t>
  </si>
  <si>
    <t>'02041477000140</t>
  </si>
  <si>
    <t>020414770001-40</t>
  </si>
  <si>
    <t>PAULO AFONSO</t>
  </si>
  <si>
    <t>CENTRO TERRITORIAL DE EDUCACAO PROFISSIONAL DE ITAPARICA</t>
  </si>
  <si>
    <t>'01999460000138</t>
  </si>
  <si>
    <t>019994600001-38</t>
  </si>
  <si>
    <t>COLEGIO ESTADUAL CARLINA BARBOSA DE DEUS</t>
  </si>
  <si>
    <t>'01987161000183</t>
  </si>
  <si>
    <t>019871610001-83</t>
  </si>
  <si>
    <t>COLEGIO ESTADUAL DEMOCRATICO QUITERIA MARIA DE JESUS TEMPO I</t>
  </si>
  <si>
    <t>'02225036000107</t>
  </si>
  <si>
    <t>022250360001-07</t>
  </si>
  <si>
    <t>COLEGIO ESTADUAL DE TEMPO INTEGRAL DE PAULO AFONSO</t>
  </si>
  <si>
    <t>'01998609000164</t>
  </si>
  <si>
    <t>019986090001-64</t>
  </si>
  <si>
    <t>RODELAS</t>
  </si>
  <si>
    <t>COLEGIO ESTADUAL DULCINA CRUZ LIMA</t>
  </si>
  <si>
    <t>'02005359000187</t>
  </si>
  <si>
    <t>020053590001-87</t>
  </si>
  <si>
    <t>NTE-02</t>
  </si>
  <si>
    <t>BARRA</t>
  </si>
  <si>
    <t>COLEGIO ESTADUAL DOUTOR LUIZ ROGERIO DE SOUZA</t>
  </si>
  <si>
    <t>'01937215000104</t>
  </si>
  <si>
    <t>019372150001-04</t>
  </si>
  <si>
    <t>IBOTIRAMA</t>
  </si>
  <si>
    <t>COLEGIO ESTADUAL DE TEMPO INTEGRAL PROFESSORA ODONTINA LARAN</t>
  </si>
  <si>
    <t>'01948403000120</t>
  </si>
  <si>
    <t>019484030001-20</t>
  </si>
  <si>
    <t>NTE-01</t>
  </si>
  <si>
    <t>XIQUE-XIQUE</t>
  </si>
  <si>
    <t>CENTRO ESTADUAL DE EDUCACAO PROFISSIONAL EM RECURSOS NATURAI</t>
  </si>
  <si>
    <t>'02468797000181</t>
  </si>
  <si>
    <t>024687970001-81</t>
  </si>
  <si>
    <t>BOM JESUS DA LAPA</t>
  </si>
  <si>
    <t>COLEGIO ESTADUAL MONSENHOR TURIBIO VILANOVA TEMPO INTEGRAL</t>
  </si>
  <si>
    <t>'02065635000100</t>
  </si>
  <si>
    <t>020656350001-00</t>
  </si>
  <si>
    <t>CARINHANHA</t>
  </si>
  <si>
    <t>COLEGIO ESTADUAL VELHO CHICO</t>
  </si>
  <si>
    <t>'02240446000119</t>
  </si>
  <si>
    <t>022404460001-19</t>
  </si>
  <si>
    <t>SITIO DO MATO</t>
  </si>
  <si>
    <t>COLEGIO ESTADUAL NOSSA SENHORA DO ROSARIO TEMPO INTEGRAL</t>
  </si>
  <si>
    <t>'02084418000150</t>
  </si>
  <si>
    <t>020844180001-50</t>
  </si>
  <si>
    <t>COLEGIO ESTADUAL DO CAMPO THOMAZ LEITE DISTRITO DE GAMELEIRA</t>
  </si>
  <si>
    <t>'02011332000105</t>
  </si>
  <si>
    <t>020113320001-05</t>
  </si>
  <si>
    <t>NTE-25</t>
  </si>
  <si>
    <t>ANDORINHA</t>
  </si>
  <si>
    <t>COLEGIO ESTADUAL DO CAMPO DE TEMPO INTEGRAL DE ANDORINHA</t>
  </si>
  <si>
    <t>'01976648000160</t>
  </si>
  <si>
    <t>019766480001-60</t>
  </si>
  <si>
    <t>ANTONIO GONCALVES</t>
  </si>
  <si>
    <t>COLEGIO ESTADUAL DE TEMPO INTEGRAL DE ANTONIO GONCALVES</t>
  </si>
  <si>
    <t>'02087503000171</t>
  </si>
  <si>
    <t>020875030001-71</t>
  </si>
  <si>
    <t>CAMPO FORMOSO</t>
  </si>
  <si>
    <t>COLEGIO ESTADUAL PROFESSORA HILDA MONTEIRO MENEZES TEMPO INT</t>
  </si>
  <si>
    <t>'02059696000157</t>
  </si>
  <si>
    <t>020596960001-57</t>
  </si>
  <si>
    <t>FILADELFIA</t>
  </si>
  <si>
    <t>COLEGIO ESTADUAL CECENTINO PEREIRA MAIA TEMPO INTEGRAL</t>
  </si>
  <si>
    <t>'02110481000113</t>
  </si>
  <si>
    <t>021104810001-13</t>
  </si>
  <si>
    <t>JAGUARARI</t>
  </si>
  <si>
    <t>COLEGIO ESTADUAL DO CAMPO PETRONIO PORTELA DISTRITO DE PILAR</t>
  </si>
  <si>
    <t>'02020856000154</t>
  </si>
  <si>
    <t>020208560001-54</t>
  </si>
  <si>
    <t>PINDOBACU</t>
  </si>
  <si>
    <t>COLEGIO ESTADUAL DE PINDOBACU TEMPO INTEGRAL</t>
  </si>
  <si>
    <t>'02020855000100</t>
  </si>
  <si>
    <t>020208550001-00</t>
  </si>
  <si>
    <t>COLEGIO ESTADUAL DO CAMPO DE CARNAIBA TEMPO INTEGRAL DISTRIT</t>
  </si>
  <si>
    <t>'01940017000191</t>
  </si>
  <si>
    <t>019400170001-91</t>
  </si>
  <si>
    <t>SENHOR DO BONFIM</t>
  </si>
  <si>
    <t>CENTRO ESTADUAL DE EDUCACAO PROFISSIONAL PROF PAULO BATISTA</t>
  </si>
  <si>
    <t>'02034800000159</t>
  </si>
  <si>
    <t>020348000001-59</t>
  </si>
  <si>
    <t>COLEGIO ESTADUAL SENHOR DO BONFIM TEMPO INTEGRAL</t>
  </si>
  <si>
    <t>'02059694000168</t>
  </si>
  <si>
    <t>020596940001-68</t>
  </si>
  <si>
    <t>COLEGIO ESTADUAL TEIXEIRA DE FREITAS TEMPO INTEGRAL</t>
  </si>
  <si>
    <t>'01976458000143</t>
  </si>
  <si>
    <t>019764580001-43</t>
  </si>
  <si>
    <t>COLEGIO ESTADUAL PROFESSORA MARIANA AGOSTINHO DE OLIVEIRA TE</t>
  </si>
  <si>
    <t>'02029605000130</t>
  </si>
  <si>
    <t>020296050001-30</t>
  </si>
  <si>
    <t>AMERICA DOURADA</t>
  </si>
  <si>
    <t>COLEGIO ESTADUAL SAO SEBASTIAO</t>
  </si>
  <si>
    <t>'01997570000160</t>
  </si>
  <si>
    <t>019975700001-60</t>
  </si>
  <si>
    <t>BARRA DO MENDES</t>
  </si>
  <si>
    <t>COLEGIO ESTADUAL EDIVALDO MACHADO BOAVENTURA</t>
  </si>
  <si>
    <t>'01990638000180</t>
  </si>
  <si>
    <t>019906380001-80</t>
  </si>
  <si>
    <t>BARRO ALTO</t>
  </si>
  <si>
    <t>COLEGIO ESTADUAL NECY NOVAIS</t>
  </si>
  <si>
    <t>'01965298000137</t>
  </si>
  <si>
    <t>019652980001-37</t>
  </si>
  <si>
    <t>CAFARNAUM</t>
  </si>
  <si>
    <t>COLEGIO ESTADUAL IMACULADA CONCEICAO - TEMPO INTEGRAL</t>
  </si>
  <si>
    <t>'02007727000126</t>
  </si>
  <si>
    <t>020077270001-26</t>
  </si>
  <si>
    <t>CANARANA</t>
  </si>
  <si>
    <t>COLEGIO ESTADUAL DO CAMPO MAXIMINO MARTINS DISTRITO DE SALOB</t>
  </si>
  <si>
    <t>'01910253000165</t>
  </si>
  <si>
    <t>019102530001-65</t>
  </si>
  <si>
    <t>COLEGIO ESTADUAL JOSE RIBEIRO DE ARAUJO TEMPO INTEGRAL</t>
  </si>
  <si>
    <t>'01910252000110</t>
  </si>
  <si>
    <t>019102520001-10</t>
  </si>
  <si>
    <t>CENTRAL</t>
  </si>
  <si>
    <t>COLEGIO ESTADUAL DE TEMPO INTEGRAL JOSE DE SOUZA MACHADO</t>
  </si>
  <si>
    <t>'01997569000136</t>
  </si>
  <si>
    <t>019975690001-36</t>
  </si>
  <si>
    <t>GENTIO DO OURO</t>
  </si>
  <si>
    <t>COLEGIO ESTADUAL MARIA QUITERIA TEMPO INTEGRAL</t>
  </si>
  <si>
    <t>'02292270000149</t>
  </si>
  <si>
    <t>022922700001-49</t>
  </si>
  <si>
    <t>IBIPEBA</t>
  </si>
  <si>
    <t>COLEGIO ESTADUAL DE TEMPO INTEGRAL PROFESSORA CELIA OLIVEIRA</t>
  </si>
  <si>
    <t>'01988532000141</t>
  </si>
  <si>
    <t>019885320001-41</t>
  </si>
  <si>
    <t>COLEGIO ESTADUAL DE TEMPO INTEGRAL DO CAMPO DE MIROROS DISTR</t>
  </si>
  <si>
    <t>'03186953000184</t>
  </si>
  <si>
    <t>031869530001-84</t>
  </si>
  <si>
    <t>IBITITA</t>
  </si>
  <si>
    <t>COLEGIO ESTADUAL DO CAMPO DE IBITITA TEMPO INTEGRAL</t>
  </si>
  <si>
    <t>'01929209000105</t>
  </si>
  <si>
    <t>019292090001-05</t>
  </si>
  <si>
    <t>NTE-03</t>
  </si>
  <si>
    <t>IRAQUARA</t>
  </si>
  <si>
    <t>COLEGIO ESTADUAL DE TEMPO INTEGRAL DE IRAQUARA</t>
  </si>
  <si>
    <t>'02026633000102</t>
  </si>
  <si>
    <t>020266330001-02</t>
  </si>
  <si>
    <t>IRECE</t>
  </si>
  <si>
    <t>CENTRO TERRITORIAL DE EDUCACAO PROFISSIONAL DE IRECE</t>
  </si>
  <si>
    <t>'02020566000100</t>
  </si>
  <si>
    <t>020205660001-00</t>
  </si>
  <si>
    <t>COLEGIO ESTADUAL LUIZ VIANA FILHO TEMPO INTEGRAL</t>
  </si>
  <si>
    <t>'01979999000125</t>
  </si>
  <si>
    <t>019799990001-25</t>
  </si>
  <si>
    <t>JOAO DOURADO</t>
  </si>
  <si>
    <t>COLEGIO ESTADUAL IDALINA DA SILVA DOURADO</t>
  </si>
  <si>
    <t>'02020565000166</t>
  </si>
  <si>
    <t>020205650001-66</t>
  </si>
  <si>
    <t>LAPAO</t>
  </si>
  <si>
    <t>COLEGIO ESTADUAL DE TEMPO INTEGRAL JUSTINIANO DE CASTRO DOUR</t>
  </si>
  <si>
    <t>'02105051000103</t>
  </si>
  <si>
    <t>021050510001-03</t>
  </si>
  <si>
    <t>PRESIDENTE DUTRA</t>
  </si>
  <si>
    <t>COLEGIO ESTADUAL LEILA JANAINA BRITO GONCALVES TEMPO INTEGRA</t>
  </si>
  <si>
    <t>'01984914000105</t>
  </si>
  <si>
    <t>019849140001-05</t>
  </si>
  <si>
    <t>SAO GABRIEL</t>
  </si>
  <si>
    <t>COLEGIO ESTADUAL JOAO DURVAL CARNEIRO TEMPO INTEGRAL</t>
  </si>
  <si>
    <t>'02023899000193</t>
  </si>
  <si>
    <t>020238990001-93</t>
  </si>
  <si>
    <t>SOUTO SOARES</t>
  </si>
  <si>
    <t>COLEGIO ESTADUAL DE TEMPO INTEGRAL DE SOUTO SOARES</t>
  </si>
  <si>
    <t>'01923563000114</t>
  </si>
  <si>
    <t>019235630001-14</t>
  </si>
  <si>
    <t>NTE-16</t>
  </si>
  <si>
    <t>CAEM</t>
  </si>
  <si>
    <t>COLEGIO ESTADUAL ARNALDO DE OLIVEIRA TEMPO INTEGRAL</t>
  </si>
  <si>
    <t>'01973930000194</t>
  </si>
  <si>
    <t>019739300001-94</t>
  </si>
  <si>
    <t>CALDEIRAO GRANDE</t>
  </si>
  <si>
    <t>COLEGIO ESTADUAL ROMULO GALVAO TEMPO INTEGRAL</t>
  </si>
  <si>
    <t>'02005549000102</t>
  </si>
  <si>
    <t>020055490001-02</t>
  </si>
  <si>
    <t>NTE-15</t>
  </si>
  <si>
    <t>CAPIM GROSSO</t>
  </si>
  <si>
    <t>CENTRO TERRITORIAL DE EDUCACAO PROFISSIONAL DA BACIA DO JACU</t>
  </si>
  <si>
    <t>'01965798000179</t>
  </si>
  <si>
    <t>019657980001-79</t>
  </si>
  <si>
    <t>JACOBINA</t>
  </si>
  <si>
    <t>COLEGIO ESTADUAL DE JUNCO DISTRITO DE JUNCO TEMPO INTEGRAL</t>
  </si>
  <si>
    <t>'02005546000160</t>
  </si>
  <si>
    <t>020055460001-60</t>
  </si>
  <si>
    <t>MIGUEL CALMON</t>
  </si>
  <si>
    <t>COLEGIO ESTADUAL POLIVALENTE DE MIGUEL CALMON TEMPO INTEGRAL</t>
  </si>
  <si>
    <t>'02036719000108</t>
  </si>
  <si>
    <t>020367190001-08</t>
  </si>
  <si>
    <t>MIRANGABA</t>
  </si>
  <si>
    <t>CENTRO EDUCACIONAL SOROR JOANA ANGELICA TEMPO INTEGRAL</t>
  </si>
  <si>
    <t>'01965808000176</t>
  </si>
  <si>
    <t>019658080001-76</t>
  </si>
  <si>
    <t>OUROLANDIA</t>
  </si>
  <si>
    <t>COLEGIO ESTADUAL DE OUROLANDIA TEMPO INTEGRAL</t>
  </si>
  <si>
    <t>'02056039000156</t>
  </si>
  <si>
    <t>020560390001-56</t>
  </si>
  <si>
    <t>PONTO NOVO</t>
  </si>
  <si>
    <t>COLEGIO ESTADUAL NELSON MAIA TEMPO INTEGRAL</t>
  </si>
  <si>
    <t>'10921863000155</t>
  </si>
  <si>
    <t>109218630001-55</t>
  </si>
  <si>
    <t>QUIXABEIRA</t>
  </si>
  <si>
    <t>COLEGIO ESTADUAL DE TEMPO INTEGRAL PROFESSORA TEREZINHA GONC</t>
  </si>
  <si>
    <t>'01971754000151</t>
  </si>
  <si>
    <t>019717540001-51</t>
  </si>
  <si>
    <t>SAUDE</t>
  </si>
  <si>
    <t>COLEGIO ESTADUAL ERNESTO CARNEIRO RIBEIRO TEMPO INTEGRAL</t>
  </si>
  <si>
    <t>'02052244000143</t>
  </si>
  <si>
    <t>020522440001-43</t>
  </si>
  <si>
    <t>SERROLANDIA</t>
  </si>
  <si>
    <t>COLEGIO ESTADUAL DE TEMPO INTEGRAL DE SERROLANDIA</t>
  </si>
  <si>
    <t>'02023368000109</t>
  </si>
  <si>
    <t>020233680001-09</t>
  </si>
  <si>
    <t>VARZEA DO POCO</t>
  </si>
  <si>
    <t>COLEGIO ESTADUAL DE TEMPO INTEGRAL FELIPE CASSIANO</t>
  </si>
  <si>
    <t>'02036710000105</t>
  </si>
  <si>
    <t>020367100001-05</t>
  </si>
  <si>
    <t>BAIXA GRANDE</t>
  </si>
  <si>
    <t>COLEGIO ESTADUAL DE TEMPO INTEGRAL JOSE RIBEIRO PAMPONET</t>
  </si>
  <si>
    <t>'02287781000172</t>
  </si>
  <si>
    <t>022877810001-72</t>
  </si>
  <si>
    <t>NTE-14</t>
  </si>
  <si>
    <t>BOA VISTA DO TUPIM</t>
  </si>
  <si>
    <t>COLEGIO ESTADUAL BOA VISTA DO TUPIM TEMPO INTEGRAL</t>
  </si>
  <si>
    <t>'01992252000107</t>
  </si>
  <si>
    <t>019922520001-07</t>
  </si>
  <si>
    <t>COLEGIO ESTADUAL DO CAMPO CASTELO BRANCO POVOADO TERRA BOA</t>
  </si>
  <si>
    <t>'01992244000160</t>
  </si>
  <si>
    <t>019922440001-60</t>
  </si>
  <si>
    <t>COLEGIO ESTADUAL DO CAMPO EDGAR SANTOS POVOADO DE AMPARO</t>
  </si>
  <si>
    <t>'02280351000129</t>
  </si>
  <si>
    <t>022803510001-29</t>
  </si>
  <si>
    <t>IBIQUERA</t>
  </si>
  <si>
    <t>COLEGIO ESTADUAL DE IBIQUERA TEMPO INTEGRAL</t>
  </si>
  <si>
    <t>'01998396000170</t>
  </si>
  <si>
    <t>019983960001-70</t>
  </si>
  <si>
    <t>ITABERABA</t>
  </si>
  <si>
    <t>CENTRO TERRITORIAL DE EDUCACAO PROFISSIONAL PIEMONTE DO PARA</t>
  </si>
  <si>
    <t>'01991490000106</t>
  </si>
  <si>
    <t>019914900001-06</t>
  </si>
  <si>
    <t>COLEGIO ESTADUAL CENTENARIO TEMPO INTEGRAL</t>
  </si>
  <si>
    <t>'01991248000124</t>
  </si>
  <si>
    <t>019912480001-24</t>
  </si>
  <si>
    <t>LAJEDINHO</t>
  </si>
  <si>
    <t>COLEGIO ESTADUAL PROFESSORA DELZAIR NASCIMENTO GALVAO TEMPO</t>
  </si>
  <si>
    <t>'02014536000191</t>
  </si>
  <si>
    <t>020145360001-91</t>
  </si>
  <si>
    <t>MAIRI</t>
  </si>
  <si>
    <t>COLEGIO ESTADUAL DE TEMPO INTEGRAL ABELARDO MOREIRA</t>
  </si>
  <si>
    <t>'02108651000125</t>
  </si>
  <si>
    <t>021086510001-25</t>
  </si>
  <si>
    <t>MUNDO NOVO</t>
  </si>
  <si>
    <t>'01994997000105</t>
  </si>
  <si>
    <t>019949970001-05</t>
  </si>
  <si>
    <t>RUY BARBOSA</t>
  </si>
  <si>
    <t>COLEGIO ESTADUAL PROFESSOR MAGALHAES NETO CEMAN TEMPO INTEGR</t>
  </si>
  <si>
    <t>'02110546000120</t>
  </si>
  <si>
    <t>021105460001-20</t>
  </si>
  <si>
    <t>TAPIRAMUTA</t>
  </si>
  <si>
    <t>COLEGIO ESTADUAL JOAO QUEIROZ</t>
  </si>
  <si>
    <t>'01979895000110</t>
  </si>
  <si>
    <t>019798950001-10</t>
  </si>
  <si>
    <t>VARZEA DA ROCA</t>
  </si>
  <si>
    <t>COLEGIO ESTADUAL DE TEMPO INTEGRAL PROFESSORA ADELIA MENDES</t>
  </si>
  <si>
    <t>'02212189000101</t>
  </si>
  <si>
    <t>022121890001-01</t>
  </si>
  <si>
    <t>NTE-19</t>
  </si>
  <si>
    <t>AGUA FRIA</t>
  </si>
  <si>
    <t>COLEGIO ESTADUAL DE AGUA FRIA TEMPO INTEGRAL</t>
  </si>
  <si>
    <t>'01967467000178</t>
  </si>
  <si>
    <t>019674670001-78</t>
  </si>
  <si>
    <t>ANGUERA</t>
  </si>
  <si>
    <t>COLEGIO ESTADUAL ARTHUR VIEIRA DE OLIVEIRA TEMPO INTEGRAL</t>
  </si>
  <si>
    <t>'01963749000105</t>
  </si>
  <si>
    <t>019637490001-05</t>
  </si>
  <si>
    <t>ANTONIO CARDOSO</t>
  </si>
  <si>
    <t>COLEGIO ESTADUAL DO CAMPO GENIVALDO DE ALMEIDA BRANDAO TEMPO</t>
  </si>
  <si>
    <t>'02390349000102</t>
  </si>
  <si>
    <t>023903490001-02</t>
  </si>
  <si>
    <t>CONCEICAO DA FEIRA</t>
  </si>
  <si>
    <t>COLEGIO ESTADUAL DE CONCEICAO DA FEIRA CECF TEMPO INTEGRAL</t>
  </si>
  <si>
    <t>'02069056000128</t>
  </si>
  <si>
    <t>020690560001-28</t>
  </si>
  <si>
    <t>CONCEICAO DO JACUIPE</t>
  </si>
  <si>
    <t>COLEGIO ESTADUAL CONCEICAO DO JACUIPE TEMPO INTEGRAL</t>
  </si>
  <si>
    <t>'02056631000158</t>
  </si>
  <si>
    <t>020566310001-58</t>
  </si>
  <si>
    <t>CORACAO DE MARIA</t>
  </si>
  <si>
    <t>COLEGIO ESTADUAL DE TEMPO INTEGRAL DOM PEDRO II</t>
  </si>
  <si>
    <t>'02206061000135</t>
  </si>
  <si>
    <t>022060610001-35</t>
  </si>
  <si>
    <t>COLEGIO ESTADUAL DO CAMPO PROFESSOR JOSE WALDOMIRO SANTOS DA</t>
  </si>
  <si>
    <t>'02153023000161</t>
  </si>
  <si>
    <t>021530230001-61</t>
  </si>
  <si>
    <t>NTE-09</t>
  </si>
  <si>
    <t>ELISIO MEDRADO</t>
  </si>
  <si>
    <t>COLEGIO ESTADUAL DEMOCRATICO PROFESSOR ROMULO GALVAO TEMPO I</t>
  </si>
  <si>
    <t>'01998932000138</t>
  </si>
  <si>
    <t>019989320001-38</t>
  </si>
  <si>
    <t>FEIRA DE SANTANA</t>
  </si>
  <si>
    <t>COLEGIO ESTADUAL PROFESSORA CARMINDA MASCARENHAS VIEIRA TEMP</t>
  </si>
  <si>
    <t>'02014196000107</t>
  </si>
  <si>
    <t>020141960001-07</t>
  </si>
  <si>
    <t>COLEGIO ESTADUAL GOVERNADOR LUIZ VIANA FILHO TEMPO INTEGRAL</t>
  </si>
  <si>
    <t>'01991724000107</t>
  </si>
  <si>
    <t>019917240001-07</t>
  </si>
  <si>
    <t>CENTRO DE ENSINO E CULTURA DOUTOR EDUARDO FROES DA MOTTA TEM</t>
  </si>
  <si>
    <t>'01999876000156</t>
  </si>
  <si>
    <t>019998760001-56</t>
  </si>
  <si>
    <t>COLEGIO DA POLICIA MILITAR CPM DIVA PORTELA</t>
  </si>
  <si>
    <t>'02006602000181</t>
  </si>
  <si>
    <t>020066020001-81</t>
  </si>
  <si>
    <t>CENTRO EDUCACIONAL CENECISTA DO CAMPO CONEGO CUPERTINO DE LA</t>
  </si>
  <si>
    <t>'07462956000154</t>
  </si>
  <si>
    <t>074629560001-54</t>
  </si>
  <si>
    <t>COLEGIO ESTADUAL ODORICO TAVARES</t>
  </si>
  <si>
    <t>'02006626000130</t>
  </si>
  <si>
    <t>020066260001-30</t>
  </si>
  <si>
    <t>CENTRO INTEGRADO DE EDUCACAO ASSIS CHATEAUBRIAND TEMPO INTEG</t>
  </si>
  <si>
    <t>'02001619000146</t>
  </si>
  <si>
    <t>020016190001-46</t>
  </si>
  <si>
    <t>COLEGIO ESTADUAL LAZARO DOS SANTOS FERREIRA TEMPO INTEGRAL</t>
  </si>
  <si>
    <t>'04789411000169</t>
  </si>
  <si>
    <t>047894110001-69</t>
  </si>
  <si>
    <t>COLEGIO ESTADUAL DE TEMPO INTEGRAL EDITH MACHADO BOAVENTURA</t>
  </si>
  <si>
    <t>'02050884000114</t>
  </si>
  <si>
    <t>020508840001-14</t>
  </si>
  <si>
    <t>CENTRO ESTADUAL DE EDUCACAO PROFISSIONAL EM SAUDE DO CENTRO</t>
  </si>
  <si>
    <t>'03386689000122</t>
  </si>
  <si>
    <t>033866890001-22</t>
  </si>
  <si>
    <t>COLEGIO ESTADUAL JOSE FERREIRA PINTO TEMPO INTEGRAL</t>
  </si>
  <si>
    <t>'01987826000159</t>
  </si>
  <si>
    <t>019878260001-59</t>
  </si>
  <si>
    <t>COLEGIO ESTADUAL JUIZ JORGE FARIAS GOES TEMPO INTEGRAL</t>
  </si>
  <si>
    <t>'02076854000187</t>
  </si>
  <si>
    <t>020768540001-87</t>
  </si>
  <si>
    <t>COLEGIO ESTADUAL YEDA BARRADAS CARNEIRO TEMPO INTEGRAL</t>
  </si>
  <si>
    <t>'02031502000105</t>
  </si>
  <si>
    <t>020315020001-05</t>
  </si>
  <si>
    <t>COLEGIO ESTADUAL DURVALINA CARNEIRO</t>
  </si>
  <si>
    <t>'02014197000143</t>
  </si>
  <si>
    <t>020141970001-43</t>
  </si>
  <si>
    <t>COLEGIO ESTADUAL DE TEMPO INTEGRAL DE FEIRA DE SANTANA</t>
  </si>
  <si>
    <t>'02007814000183</t>
  </si>
  <si>
    <t>020078140001-83</t>
  </si>
  <si>
    <t>COLEGIO ESTADUAL IMACULADA CONCEICAO</t>
  </si>
  <si>
    <t>'01999874000167</t>
  </si>
  <si>
    <t>019998740001-67</t>
  </si>
  <si>
    <t>COLEGIO ESTADUAL ERNESTO CARNEIRO RIBEIRO</t>
  </si>
  <si>
    <t>'02006620000163</t>
  </si>
  <si>
    <t>020066200001-63</t>
  </si>
  <si>
    <t>COLEGIO ESTADUAL SANTO ANTONIO</t>
  </si>
  <si>
    <t>'01993749000140</t>
  </si>
  <si>
    <t>019937490001-40</t>
  </si>
  <si>
    <t>COLEGIO ESTADUAL DE TEMPO INTEGRAL GEORGINA DE MELO ERISMANN</t>
  </si>
  <si>
    <t>'01996259000105</t>
  </si>
  <si>
    <t>019962590001-05</t>
  </si>
  <si>
    <t>COLEGIO ESTADUAL PADRE VIEIRA</t>
  </si>
  <si>
    <t>'02014198000198</t>
  </si>
  <si>
    <t>020141980001-98</t>
  </si>
  <si>
    <t>COLEGIO ESTADUAL DE TEMPO INTEGRAL PROFESSORA ANA ALICE FIGU</t>
  </si>
  <si>
    <t>'02006631000143</t>
  </si>
  <si>
    <t>020066310001-43</t>
  </si>
  <si>
    <t>COLEGIO ESTADUAL HILDA CARNEIRO</t>
  </si>
  <si>
    <t>'02422562000159</t>
  </si>
  <si>
    <t>024225620001-59</t>
  </si>
  <si>
    <t>COLEGIO ESTADUAL DE TEMPO INTEGRAL PROFESSORA CELIA SANTOS A</t>
  </si>
  <si>
    <t>'02057252000182</t>
  </si>
  <si>
    <t>020572520001-82</t>
  </si>
  <si>
    <t>COLEGIO ESTADUAL DE TEMPO INTEGRAL CAROLINA MARIA DE JESUS</t>
  </si>
  <si>
    <t>'02013295000166</t>
  </si>
  <si>
    <t>020132950001-66</t>
  </si>
  <si>
    <t>COLEGIO GEORGINA SOARES NASCIMENTO</t>
  </si>
  <si>
    <t>'02001606000177</t>
  </si>
  <si>
    <t>020016060001-77</t>
  </si>
  <si>
    <t>COLEGIO ESTADUAL IRMA ROSA APARECIDA</t>
  </si>
  <si>
    <t>'02059049000145</t>
  </si>
  <si>
    <t>020590490001-45</t>
  </si>
  <si>
    <t>COLEGIO ESTADUAL DO CAMPO JOAO BAPTISTA CARNEIRO DISTRITO DE</t>
  </si>
  <si>
    <t>'02099713000180</t>
  </si>
  <si>
    <t>020997130001-80</t>
  </si>
  <si>
    <t>COLEGIO ESTADUAL PROFESSORA TECLA MELLO</t>
  </si>
  <si>
    <t>'02021157000129</t>
  </si>
  <si>
    <t>020211570001-29</t>
  </si>
  <si>
    <t>INSTITUTO DE EDUCACAO DE TEMPO INTEGRAL GASTAO GUIMARAES</t>
  </si>
  <si>
    <t>'02038977000123</t>
  </si>
  <si>
    <t>020389770001-23</t>
  </si>
  <si>
    <t>COLEGIO ESTADUAL DO CAMPO EDIVALDO MACHADO BOAVENTURA DISTRI</t>
  </si>
  <si>
    <t>'02018803000107</t>
  </si>
  <si>
    <t>020188030001-07</t>
  </si>
  <si>
    <t>CENTRO TERRITORIAL DE EDUCACAO PROFISSIONAL DO PORTAL DO SER</t>
  </si>
  <si>
    <t>'02053944000152</t>
  </si>
  <si>
    <t>020539440001-52</t>
  </si>
  <si>
    <t>COLEGIO ESTADUAL DO CAMPO ITAN GUIMARAES CERQUEIRA POVOADO D</t>
  </si>
  <si>
    <t>'01999878000145</t>
  </si>
  <si>
    <t>019998780001-45</t>
  </si>
  <si>
    <t>COLEGIO ESTADUAL TEOTONIO VILELA TEMPO INTEGRAL</t>
  </si>
  <si>
    <t>'02006622000152</t>
  </si>
  <si>
    <t>020066220001-52</t>
  </si>
  <si>
    <t>COLEGIO ESTADUAL DO CAMPO MARIA QUITERIA DISTRITO DE MARIA Q</t>
  </si>
  <si>
    <t>'01991727000140</t>
  </si>
  <si>
    <t>019917270001-40</t>
  </si>
  <si>
    <t>IPECAETA</t>
  </si>
  <si>
    <t>COLEGIO ESTADUAL DE TEMPO INTEGRAL AUREO FILHO</t>
  </si>
  <si>
    <t>'01999877000109</t>
  </si>
  <si>
    <t>019998770001-09</t>
  </si>
  <si>
    <t>IPIRA</t>
  </si>
  <si>
    <t>'02069273000118</t>
  </si>
  <si>
    <t>020692730001-18</t>
  </si>
  <si>
    <t>COLEGIO ESTADUAL MARIA EVANGELINA LIMA SANTOS</t>
  </si>
  <si>
    <t>'02001610000135</t>
  </si>
  <si>
    <t>020016100001-35</t>
  </si>
  <si>
    <t>COLEGIO ESTADUAL PROFESSORA MARIA BASTOS MELO</t>
  </si>
  <si>
    <t>'01999872000178</t>
  </si>
  <si>
    <t>019998720001-78</t>
  </si>
  <si>
    <t>NTE-18</t>
  </si>
  <si>
    <t>OURICANGAS</t>
  </si>
  <si>
    <t>COLEGIO ESTADUAL ELIEL MARTINS TEMPO INTEGRAL</t>
  </si>
  <si>
    <t>'01979405000186</t>
  </si>
  <si>
    <t>019794050001-86</t>
  </si>
  <si>
    <t>PEDRAO</t>
  </si>
  <si>
    <t>COLEGIO ESTADUAL JOAO BENEVIDES NOGUEIRA TEMPO INTEGRAL</t>
  </si>
  <si>
    <t>'02044267000106</t>
  </si>
  <si>
    <t>020442670001-06</t>
  </si>
  <si>
    <t>PINTADAS</t>
  </si>
  <si>
    <t>COLEGIO ESTADUAL DE TEMPO INTEGRAL EUFRASIO GONCALVES DE ALM</t>
  </si>
  <si>
    <t>'01975312000183</t>
  </si>
  <si>
    <t>019753120001-83</t>
  </si>
  <si>
    <t>SANTA BARBARA</t>
  </si>
  <si>
    <t>COLEGIO ESTADUAL SAO JOSE</t>
  </si>
  <si>
    <t>'02064865000147</t>
  </si>
  <si>
    <t>020648650001-47</t>
  </si>
  <si>
    <t>COLEGIO ESTADUAL PROFESSOR CARLOS VALADARES</t>
  </si>
  <si>
    <t>'02088893000102</t>
  </si>
  <si>
    <t>020888930001-02</t>
  </si>
  <si>
    <t>SANTANOPOLIS</t>
  </si>
  <si>
    <t>COLEGIO ESTADUAL JOSE ANTONIO DE ALMEIDA TEMPO INTEGRAL</t>
  </si>
  <si>
    <t>'02067951000103</t>
  </si>
  <si>
    <t>020679510001-03</t>
  </si>
  <si>
    <t>SANTO ESTEVAO</t>
  </si>
  <si>
    <t>COLEGIO ESTADUAL DE TEMPO INTEGRAL PROFESSORA EDITE FERREIRA</t>
  </si>
  <si>
    <t>'01976113000190</t>
  </si>
  <si>
    <t>019761130001-90</t>
  </si>
  <si>
    <t>COLEGIO ESTADUAL DE TEMPO INTEGRAL DE SANTO ESTEVAO</t>
  </si>
  <si>
    <t>'01983155000158</t>
  </si>
  <si>
    <t>019831550001-58</t>
  </si>
  <si>
    <t>SAO GONCALO DOS CAMPOS</t>
  </si>
  <si>
    <t>COLEGIO ESTADUAL DE TEMPO INTEGRAL DE SAO GONCALO DOS CAMPOS</t>
  </si>
  <si>
    <t>'01960047000160</t>
  </si>
  <si>
    <t>019600470001-60</t>
  </si>
  <si>
    <t>SERRA PRETA</t>
  </si>
  <si>
    <t>COLEGIO ESTADUAL DE TEMPO INTEGRAL RENATO MEDEIROS NETO</t>
  </si>
  <si>
    <t>'02036103000137</t>
  </si>
  <si>
    <t>020361030001-37</t>
  </si>
  <si>
    <t>COLEGIO ESTADUAL DO CAMPO NOSSA SENHORA DE LOURDES</t>
  </si>
  <si>
    <t>'01999882000103</t>
  </si>
  <si>
    <t>019998820001-03</t>
  </si>
  <si>
    <t>TANQUINHO</t>
  </si>
  <si>
    <t>COLEGIO ESTADUAL DE TEMPO INTEGRAL NOVIS FILHO</t>
  </si>
  <si>
    <t>'01926074000116</t>
  </si>
  <si>
    <t>019260740001-16</t>
  </si>
  <si>
    <t>NTE-17</t>
  </si>
  <si>
    <t>JEREMOABO</t>
  </si>
  <si>
    <t>COLEGIO ESTADUAL PROFESSORA MARIA LEIDE DE OLIVEIRA</t>
  </si>
  <si>
    <t>'01998653000174</t>
  </si>
  <si>
    <t>019986530001-74</t>
  </si>
  <si>
    <t>PEDRO ALEXANDRE</t>
  </si>
  <si>
    <t>COLEGIO ESTADUAL PROFESSORA HELENA BRITTO TEMPO INTEGRAL</t>
  </si>
  <si>
    <t>'02112021000124</t>
  </si>
  <si>
    <t>021120210001-24</t>
  </si>
  <si>
    <t>SANTA BRIGIDA</t>
  </si>
  <si>
    <t>COLEGIO ESTADUAL LUIZ VIANA FILHO</t>
  </si>
  <si>
    <t>'01988659000160</t>
  </si>
  <si>
    <t>019886590001-60</t>
  </si>
  <si>
    <t>SITIO DO QUINTO</t>
  </si>
  <si>
    <t>COLEGIO ESTADUAL DE TEMPO INTEGRAL JOAO FRANCISCO DA SILVA</t>
  </si>
  <si>
    <t>'11080417000128</t>
  </si>
  <si>
    <t>110804170001-28</t>
  </si>
  <si>
    <t>NTE-04</t>
  </si>
  <si>
    <t>CANSANCAO</t>
  </si>
  <si>
    <t>COLEGIO ESTADUAL OSMILTON BATISTA SOUZA</t>
  </si>
  <si>
    <t>'01988684000144</t>
  </si>
  <si>
    <t>019886840001-44</t>
  </si>
  <si>
    <t>'02156536000126</t>
  </si>
  <si>
    <t>021565360001-26</t>
  </si>
  <si>
    <t>EUCLIDES DA CUNHA</t>
  </si>
  <si>
    <t>COLEGIO ESTADUAL INDIGENA DOM JACKSON BERENGUER PRADO COMUNI</t>
  </si>
  <si>
    <t>'01945058000170</t>
  </si>
  <si>
    <t>019450580001-70</t>
  </si>
  <si>
    <t>EDUCANDARIO OLIVEIRA BRITO</t>
  </si>
  <si>
    <t>'01936404000154</t>
  </si>
  <si>
    <t>019364040001-54</t>
  </si>
  <si>
    <t>CENTRO TERRITORIAL DE EDUCACAO PROFISSIONAL SERTAO FORTE</t>
  </si>
  <si>
    <t>'01936401000110</t>
  </si>
  <si>
    <t>019364010001-10</t>
  </si>
  <si>
    <t>QUEIMADAS</t>
  </si>
  <si>
    <t>CENTRO TERRITORIAL DE EDUCACAO PROFISSIONAL SANTA BERNADETE</t>
  </si>
  <si>
    <t>'01939355000103</t>
  </si>
  <si>
    <t>019393550001-03</t>
  </si>
  <si>
    <t>TUCANO</t>
  </si>
  <si>
    <t>COLEGIO ESTADUAL DE TEMPO INTEGRAL DE TUCANO</t>
  </si>
  <si>
    <t>'02020520000191</t>
  </si>
  <si>
    <t>020205200001-91</t>
  </si>
  <si>
    <t>UAUA</t>
  </si>
  <si>
    <t>'02004084000167</t>
  </si>
  <si>
    <t>020040840001-67</t>
  </si>
  <si>
    <t>COLEGIO ESTADUAL DO CAMPO INTEGRACAO LAGOA DO PIRES POVOADO</t>
  </si>
  <si>
    <t>'02004081000123</t>
  </si>
  <si>
    <t>020040810001-23</t>
  </si>
  <si>
    <t>ADUSTINA</t>
  </si>
  <si>
    <t>COLEGIO ESTADUAL CASTRO ALVES TEMPO INTEGRAL</t>
  </si>
  <si>
    <t>'01946188000128</t>
  </si>
  <si>
    <t>019461880001-28</t>
  </si>
  <si>
    <t>ANTAS</t>
  </si>
  <si>
    <t>COLEGIO ESTADUAL DE TEMPO INTEGRAL PROFESSORA LUZIA CARVALHO</t>
  </si>
  <si>
    <t>'02095922000155</t>
  </si>
  <si>
    <t>020959220001-55</t>
  </si>
  <si>
    <t>BANZAE</t>
  </si>
  <si>
    <t>COLEGIO ESTADUAL INDIGENA FLORENTINO DOMINGOS DE ANDRADE</t>
  </si>
  <si>
    <t>'01801509000104</t>
  </si>
  <si>
    <t>018015090001-04</t>
  </si>
  <si>
    <t>CICERO DANTAS</t>
  </si>
  <si>
    <t>COLEGIO ESTADUAL PROFESSOR LUIZ NAVARRO DE BRITO TEMPO INTEG</t>
  </si>
  <si>
    <t>'02214200000172</t>
  </si>
  <si>
    <t>022142000001-72</t>
  </si>
  <si>
    <t>FATIMA</t>
  </si>
  <si>
    <t>COLEGIO ESTADUAL DE TEMPO INTEGRAL PROFESSORA ANA MIRENA DA</t>
  </si>
  <si>
    <t>'02020504000107</t>
  </si>
  <si>
    <t>020205040001-07</t>
  </si>
  <si>
    <t>ITAPICURU</t>
  </si>
  <si>
    <t>COLEGIO ESTADUAL UIRASSU DE ASSIS BATISTA</t>
  </si>
  <si>
    <t>'01968699000140</t>
  </si>
  <si>
    <t>019686990001-40</t>
  </si>
  <si>
    <t>NOVO TRIUNFO</t>
  </si>
  <si>
    <t>COLEGIO ESTADUAL PROFESSORA MARIA TEREZA DE OLIVEIRA TEMPO I</t>
  </si>
  <si>
    <t>'02020536000102</t>
  </si>
  <si>
    <t>020205360001-02</t>
  </si>
  <si>
    <t>OLINDINA</t>
  </si>
  <si>
    <t>COLEGIO ESTADUAL MINISTRO OLIVEIRA BRITO TEMPO INTEGRAL</t>
  </si>
  <si>
    <t>'01966434000103</t>
  </si>
  <si>
    <t>019664340001-03</t>
  </si>
  <si>
    <t>PARIPIRANGA</t>
  </si>
  <si>
    <t>COLEGIO ESTADUAL DOUTOR JOSE CARLOS BEZERRA CARVALHO</t>
  </si>
  <si>
    <t>'02066007000131</t>
  </si>
  <si>
    <t>020660070001-31</t>
  </si>
  <si>
    <t>COLEGIO ESTADUAL JOSEFA SOARES DE OLIVEIRA</t>
  </si>
  <si>
    <t>'02020503000154</t>
  </si>
  <si>
    <t>RIBEIRA DO POMBAL</t>
  </si>
  <si>
    <t>CENTRO TERRITORIAL DE EDUCACAO PROFISSIONAL DO SEMI ARIDO NO</t>
  </si>
  <si>
    <t>'02159677000100</t>
  </si>
  <si>
    <t>021596770001-00</t>
  </si>
  <si>
    <t>COLEGIO ESTADUAL PROFESSORA SILVIA FERREIRA DE BRITO</t>
  </si>
  <si>
    <t>'01926057000189</t>
  </si>
  <si>
    <t>019260570001-89</t>
  </si>
  <si>
    <t>ARACI</t>
  </si>
  <si>
    <t>CENTRO TERRITORIAL DE EDUCACAO PROFISSIONAL DE ARACI TEMPO I</t>
  </si>
  <si>
    <t>'02038372000132</t>
  </si>
  <si>
    <t>020383720001-32</t>
  </si>
  <si>
    <t>CANDEAL</t>
  </si>
  <si>
    <t>COLEGIO ESTADUAL JOSE RUFINO TEMPO INTEGRAL</t>
  </si>
  <si>
    <t>'01999884000100</t>
  </si>
  <si>
    <t>019998840001-00</t>
  </si>
  <si>
    <t>CONCEICAO DO COITE</t>
  </si>
  <si>
    <t>COLEGIO POLIVALENTE DE CONCEICAO DO COITE TEMPO INTEGRAL</t>
  </si>
  <si>
    <t>'01948589000117</t>
  </si>
  <si>
    <t>019485890001-17</t>
  </si>
  <si>
    <t>COLEGIO ESTADUAL DO CAMPO HAMILTON RIOS DE ARAUJO</t>
  </si>
  <si>
    <t>'01946610000145</t>
  </si>
  <si>
    <t>019466100001-45</t>
  </si>
  <si>
    <t>COLEGIO ESTADUAL DO CAMPO RIO BRANCO</t>
  </si>
  <si>
    <t>'01948586000183</t>
  </si>
  <si>
    <t>019485860001-83</t>
  </si>
  <si>
    <t>COLEGIO ESTADUAL DO CAMPO DE BANDIACU</t>
  </si>
  <si>
    <t>'01982296000156</t>
  </si>
  <si>
    <t>019822960001-56</t>
  </si>
  <si>
    <t>COLEGIO ESTADUAL DO CAMPO DUQUE DE CAXIAS</t>
  </si>
  <si>
    <t>'01939638000155</t>
  </si>
  <si>
    <t>019396380001-55</t>
  </si>
  <si>
    <t>COLEGIO ESTADUAL JOSE FERREIRA DE OLIVEIRA</t>
  </si>
  <si>
    <t>'01969127000186</t>
  </si>
  <si>
    <t>019691270001-86</t>
  </si>
  <si>
    <t>GAVIAO</t>
  </si>
  <si>
    <t>COLEGIO ESTADUAL NOSSA SENHORA DA CONCEICAO</t>
  </si>
  <si>
    <t>'01975326000105</t>
  </si>
  <si>
    <t>019753260001-05</t>
  </si>
  <si>
    <t>NOVA FATIMA</t>
  </si>
  <si>
    <t>COLEGIO ESTADUAL DE TEMPO INTEGRAL VIRGILIO FRANCISCO PEREIR</t>
  </si>
  <si>
    <t>'01931395000109</t>
  </si>
  <si>
    <t>019313950001-09</t>
  </si>
  <si>
    <t>PE DE SERRA</t>
  </si>
  <si>
    <t>COLEGIO ESTADUAL DE TEMPO INTEGRAL PEDRO FALCONERI RIOS</t>
  </si>
  <si>
    <t>'02041145000166</t>
  </si>
  <si>
    <t>020411450001-66</t>
  </si>
  <si>
    <t>RETIROLANDIA</t>
  </si>
  <si>
    <t>COLEGIO ESTADUAL DE TEMPO INTEGRAL OLAVO ALVES PINTO</t>
  </si>
  <si>
    <t>'02099014000130</t>
  </si>
  <si>
    <t>020990140001-30</t>
  </si>
  <si>
    <t>RIACHAO DO JACUIPE</t>
  </si>
  <si>
    <t>'01996258000152</t>
  </si>
  <si>
    <t>019962580001-52</t>
  </si>
  <si>
    <t>COLEGIO ESTADUAL DE TEMPO INTEGRAL MARIA DAGMAR MIRANDA</t>
  </si>
  <si>
    <t>'01963742000185</t>
  </si>
  <si>
    <t>019637420001-85</t>
  </si>
  <si>
    <t>COLEGIO ESTADUAL DO CAMPO DACILDA RIOS DE OLIVEIRA TEMPO INT</t>
  </si>
  <si>
    <t>'01975320000120</t>
  </si>
  <si>
    <t>019753200001-20</t>
  </si>
  <si>
    <t>COLEGIO ESTADUAL DO CAMPO PROFESSOR DIDIMO MASCARENHAS RIOS</t>
  </si>
  <si>
    <t>'01980378000161</t>
  </si>
  <si>
    <t>019803780001-61</t>
  </si>
  <si>
    <t>SANTALUZ</t>
  </si>
  <si>
    <t>COLEGIO ESTADUAL JOSE LEITAO TEMPO INTEGRAL</t>
  </si>
  <si>
    <t>'01948596000119</t>
  </si>
  <si>
    <t>019485960001-19</t>
  </si>
  <si>
    <t>SERRINHA</t>
  </si>
  <si>
    <t>COLEGIO ESTADUAL RUBEM NOGUEIRA TEMPO INTEGRAL</t>
  </si>
  <si>
    <t>'01946598000179</t>
  </si>
  <si>
    <t>019465980001-79</t>
  </si>
  <si>
    <t>COLEGIO ESTADUAL NORMAL DE SERRINHA TEMPO INTEGRAL</t>
  </si>
  <si>
    <t>'02302935000158</t>
  </si>
  <si>
    <t>023029350001-58</t>
  </si>
  <si>
    <t>LAMARAO</t>
  </si>
  <si>
    <t>COLEGIO ESTADUAL DO CAMPO SACO DO CORREIO TEMPO INTEGRAL</t>
  </si>
  <si>
    <t>'02162649000134</t>
  </si>
  <si>
    <t>021626490001-34</t>
  </si>
  <si>
    <t>BARROCAS</t>
  </si>
  <si>
    <t>COLEGIO ESTADUAL DE BARROCAS</t>
  </si>
  <si>
    <t>'01939346000112</t>
  </si>
  <si>
    <t>019393460001-12</t>
  </si>
  <si>
    <t>TEOFILANDIA</t>
  </si>
  <si>
    <t>COLEGIO ESTADUAL DE TEMPO INTEGRAL DE TEOFILANDIA</t>
  </si>
  <si>
    <t>'01967332000102</t>
  </si>
  <si>
    <t>019673320001-02</t>
  </si>
  <si>
    <t>VALENTE</t>
  </si>
  <si>
    <t>COLEGIO ESTADUAL WILSON LINS TEMPO INTEGRAL</t>
  </si>
  <si>
    <t>'02029736000118</t>
  </si>
  <si>
    <t>020297360001-18</t>
  </si>
  <si>
    <t>ALAGOINHAS</t>
  </si>
  <si>
    <t>CENTRO TERRITORIAL DE EDUCACAO PROFISSIONAL DO LITORAL NORTE</t>
  </si>
  <si>
    <t>'02050892000160</t>
  </si>
  <si>
    <t>020508920001-60</t>
  </si>
  <si>
    <t>COLEGIO ESTADUAL DOUTOR MAGALHAES NETO TEMPO INTEGRAL</t>
  </si>
  <si>
    <t>'03379977000150</t>
  </si>
  <si>
    <t>033799770001-50</t>
  </si>
  <si>
    <t>ESCOLA ESTADUAL OSCAR CORDEIRO</t>
  </si>
  <si>
    <t>'01968701000181</t>
  </si>
  <si>
    <t>019687010001-81</t>
  </si>
  <si>
    <t>COLEGIO ESTADUAL BRAZILINO VIEGAS</t>
  </si>
  <si>
    <t>'04702636000136</t>
  </si>
  <si>
    <t>047026360001-36</t>
  </si>
  <si>
    <t>ESCOLA DOS RODOVIARIOS</t>
  </si>
  <si>
    <t>'04198010000134</t>
  </si>
  <si>
    <t>041980100001-34</t>
  </si>
  <si>
    <t>COLEGIO ESTADUAL DE ALAGOINHAS</t>
  </si>
  <si>
    <t>'02125703000171</t>
  </si>
  <si>
    <t>021257030001-71</t>
  </si>
  <si>
    <t>COLEGIO ESTADUAL SAO FRANCISCO</t>
  </si>
  <si>
    <t>'04203098000135</t>
  </si>
  <si>
    <t>042030980001-35</t>
  </si>
  <si>
    <t>COLEGIO DA POLICIA MILITAR CPM PROFESSOR CARLOS ROSA</t>
  </si>
  <si>
    <t>'01945688000145</t>
  </si>
  <si>
    <t>019456880001-45</t>
  </si>
  <si>
    <t>ESCOLA PROFESSOR JULIO LEAL ARAUJO</t>
  </si>
  <si>
    <t>'01949084000177</t>
  </si>
  <si>
    <t>019490840001-77</t>
  </si>
  <si>
    <t>COLEGIO ESTADUAL MARIA JOSE BASTOS SILVA</t>
  </si>
  <si>
    <t>'01945687000109</t>
  </si>
  <si>
    <t>019456870001-09</t>
  </si>
  <si>
    <t>APORA</t>
  </si>
  <si>
    <t>COLEGIO ESTADUAL DE TEMPO INTEGRAL PROF AUREA DOS HUMILDES O</t>
  </si>
  <si>
    <t>'02066577000121</t>
  </si>
  <si>
    <t>020665770001-21</t>
  </si>
  <si>
    <t>COLEGIO ESTADUAL DE TEMPO INTEGRAL DE ITAMIRA DISTRITO DE IT</t>
  </si>
  <si>
    <t>'02321841000126</t>
  </si>
  <si>
    <t>023218410001-26</t>
  </si>
  <si>
    <t>CRISOPOLIS</t>
  </si>
  <si>
    <t>COLEGIO ESTADUAL DE TEMPO INTEGRAL EUDOXIA MARIA</t>
  </si>
  <si>
    <t>'01974564000198</t>
  </si>
  <si>
    <t>019745640001-98</t>
  </si>
  <si>
    <t>RIO REAL</t>
  </si>
  <si>
    <t>COLEGIO ESTADUAL DOUTOR JOSE CARVALHO BAPTISTA</t>
  </si>
  <si>
    <t>'02000103000187</t>
  </si>
  <si>
    <t>020001030001-87</t>
  </si>
  <si>
    <t>COLEGIO ESTADUAL MARQUES DE ABRANTES</t>
  </si>
  <si>
    <t>'02033627000174</t>
  </si>
  <si>
    <t>020336270001-74</t>
  </si>
  <si>
    <t>SATIRO DIAS</t>
  </si>
  <si>
    <t>COLEGIO DEMOCRATICO ESTADUAL PROFESSOR EDGARD SANTOS TEMPO I</t>
  </si>
  <si>
    <t>'02065734000184</t>
  </si>
  <si>
    <t>020657340001-84</t>
  </si>
  <si>
    <t>CARDEAL DA SILVA</t>
  </si>
  <si>
    <t>COLEGIO ESTADUAL DOUTOR JOSE ANTONIO DE ARAUJO PIMENTA TEMPO</t>
  </si>
  <si>
    <t>'02109079000119</t>
  </si>
  <si>
    <t>021090790001-19</t>
  </si>
  <si>
    <t>CONDE</t>
  </si>
  <si>
    <t>CENTRO INTEGRADO DE EDUCACAO DO CONDE</t>
  </si>
  <si>
    <t>'02030517000159</t>
  </si>
  <si>
    <t>020305170001-59</t>
  </si>
  <si>
    <t>COLEGIO ESTADUAL CELSO MENDES DE LIMA TEMPO INTEGRAL</t>
  </si>
  <si>
    <t>'02030521000117</t>
  </si>
  <si>
    <t>020305210001-17</t>
  </si>
  <si>
    <t>COLEGIO ESTADUAL DE TEMPO INTEGRAL DUQUE DE CAXIAS</t>
  </si>
  <si>
    <t>'02150438000181</t>
  </si>
  <si>
    <t>021504380001-81</t>
  </si>
  <si>
    <t>JANDAIRA</t>
  </si>
  <si>
    <t>COLEGIO ESTADUAL DOUTOR LUIS VIANA FILHO</t>
  </si>
  <si>
    <t>'02074233000164</t>
  </si>
  <si>
    <t>020742330001-64</t>
  </si>
  <si>
    <t>AMELIA RODRIGUES</t>
  </si>
  <si>
    <t>COLEGIO ESTADUAL DE TEMPO INTEGRAL AMELIA RODRIGUES</t>
  </si>
  <si>
    <t>'02056615000165</t>
  </si>
  <si>
    <t>020566150001-65</t>
  </si>
  <si>
    <t>CATU</t>
  </si>
  <si>
    <t>CENTRO ESTADUAL DE EDUCACAO PROF EM CONTROLE E GESTAO DO NOR</t>
  </si>
  <si>
    <t>'02136616000110</t>
  </si>
  <si>
    <t>021366160001-10</t>
  </si>
  <si>
    <t>COLEGIO ESTADUAL DOUTOR ANTONIO CARLOS MAGALHAES DISTRITO DE</t>
  </si>
  <si>
    <t>'02062748000144</t>
  </si>
  <si>
    <t>020627480001-44</t>
  </si>
  <si>
    <t>COLEGIO ESTADUAL ANTONIO DE DEUS SEIXAS TEMPO INTEGRAL</t>
  </si>
  <si>
    <t>'01968678000125</t>
  </si>
  <si>
    <t>019686780001-25</t>
  </si>
  <si>
    <t>NTE-26</t>
  </si>
  <si>
    <t>MATA DE SAO JOAO</t>
  </si>
  <si>
    <t>COLEGIO ESTADUAL ALAOR COUTINHO TEMPO INTEGRAL</t>
  </si>
  <si>
    <t>'01979857000168</t>
  </si>
  <si>
    <t>019798570001-68</t>
  </si>
  <si>
    <t>POJUCA</t>
  </si>
  <si>
    <t>COLEGIO ESTADUAL PADRE JOAO MONTEZ</t>
  </si>
  <si>
    <t>'01968682000193</t>
  </si>
  <si>
    <t>019686820001-93</t>
  </si>
  <si>
    <t>NTE-06</t>
  </si>
  <si>
    <t>COLEGIO ESTADUAL PROFESSOR ROCHA PITA TEMPO INTEGRAL</t>
  </si>
  <si>
    <t>'02112238000134</t>
  </si>
  <si>
    <t>NTE-21</t>
  </si>
  <si>
    <t>CACHOEIRA</t>
  </si>
  <si>
    <t>COLEGIO ESTADUAL DE CACHOEIRA TEMPO INTEGRAL</t>
  </si>
  <si>
    <t>'01989289000186</t>
  </si>
  <si>
    <t>019892890001-86</t>
  </si>
  <si>
    <t>COLEGIO ESTADUAL QUILOMBOLA DE TEMPO INTEGRAL DA BACIA DO IG</t>
  </si>
  <si>
    <t>'02062467000191</t>
  </si>
  <si>
    <t>020624670001-91</t>
  </si>
  <si>
    <t>CASTRO ALVES</t>
  </si>
  <si>
    <t>COLEGIO ESTADUAL DO CAMPO DE CASTRO ALVES TEMPO INTEGRAL</t>
  </si>
  <si>
    <t>'02163127000157</t>
  </si>
  <si>
    <t>021631270001-57</t>
  </si>
  <si>
    <t>CONCEICAO DO ALMEIDA</t>
  </si>
  <si>
    <t>COLEGIO ESTADUAL MANDINHO DE SOUZA ALMEIDA TEMPO INTEGRAL</t>
  </si>
  <si>
    <t>'02032246000170</t>
  </si>
  <si>
    <t>020322460001-70</t>
  </si>
  <si>
    <t>CRUZ DAS ALMAS</t>
  </si>
  <si>
    <t>CENTRO TERRITORIAL DE EDUCACAO PROFISSIONAL RECONCAVO II ALB</t>
  </si>
  <si>
    <t>'03174720000161</t>
  </si>
  <si>
    <t>031747200001-61</t>
  </si>
  <si>
    <t>COLEGIO ESTADUAL DOUTOR LAURO PASSOS</t>
  </si>
  <si>
    <t>'02032247000115</t>
  </si>
  <si>
    <t>020322470001-15</t>
  </si>
  <si>
    <t>COLEGIO ESTADUAL LANDULFO ALVES DE ALMEIDA</t>
  </si>
  <si>
    <t>'02066429000107</t>
  </si>
  <si>
    <t>020664290001-07</t>
  </si>
  <si>
    <t>DOM MACEDO COSTA</t>
  </si>
  <si>
    <t>COLEGIO ESTADUAL ERALDO TINOCO MELO TEMPO INTEGRAL</t>
  </si>
  <si>
    <t>'02109035000199</t>
  </si>
  <si>
    <t>021090350001-99</t>
  </si>
  <si>
    <t>GOVERNADOR MANGABEIRA</t>
  </si>
  <si>
    <t>COLEGIO ESTADUAL PROFESSOR EDGARD SANTOS TEMPO INTEGRAL</t>
  </si>
  <si>
    <t>'02074225000118</t>
  </si>
  <si>
    <t>020742250001-18</t>
  </si>
  <si>
    <t>JAGUARIPE</t>
  </si>
  <si>
    <t>COLEGIO ESTADUAL DE TEMPO INTEGRAL DOUTOR ARISTIDES MALTEZ</t>
  </si>
  <si>
    <t>'02236686000140</t>
  </si>
  <si>
    <t>022366860001-40</t>
  </si>
  <si>
    <t>MARAGOGIPE</t>
  </si>
  <si>
    <t>COLEGIO ESTADUAL DO CAMPO KLEBER PACHECO DISTRITO SAO ROQUE</t>
  </si>
  <si>
    <t>'02653225000172</t>
  </si>
  <si>
    <t>026532250001-72</t>
  </si>
  <si>
    <t>MURITIBA</t>
  </si>
  <si>
    <t>COLEGIO ESTADUAL JOAO BATISTA PEREIRA FRAGA</t>
  </si>
  <si>
    <t>'02810668000120</t>
  </si>
  <si>
    <t>028106680001-20</t>
  </si>
  <si>
    <t>NAZARE</t>
  </si>
  <si>
    <t>COLEGIO ESTADUAL DOUTOR JOSE MARCELINO DE SOUZA</t>
  </si>
  <si>
    <t>'02066423000130</t>
  </si>
  <si>
    <t>020664230001-30</t>
  </si>
  <si>
    <t>'01986914000136</t>
  </si>
  <si>
    <t>019869140001-36</t>
  </si>
  <si>
    <t>SANTO AMARO</t>
  </si>
  <si>
    <t>COLEGIO ESTADUAL DE TEMPO INTEGRAL TEODORO SAMPAIO TEMPO INT</t>
  </si>
  <si>
    <t>'01380149000106</t>
  </si>
  <si>
    <t>013801490001-06</t>
  </si>
  <si>
    <t>SANTO ANTONIO DE JESUS</t>
  </si>
  <si>
    <t>COLEGIO ESTADUAL FRANCISCO DA CONCEICAO MENEZES</t>
  </si>
  <si>
    <t>'02071663000122</t>
  </si>
  <si>
    <t>020716630001-22</t>
  </si>
  <si>
    <t>COLEGIO ESTADUAL DEMOCRATICO DOUTOR ROMULO ALMEIDA</t>
  </si>
  <si>
    <t>'04624331000153</t>
  </si>
  <si>
    <t>046243310001-53</t>
  </si>
  <si>
    <t>SAO FELIX</t>
  </si>
  <si>
    <t>'04768785000106</t>
  </si>
  <si>
    <t>047687850001-06</t>
  </si>
  <si>
    <t>SAO FELIPE</t>
  </si>
  <si>
    <t>COLEGIO ESTADUAL SAO FELIPE</t>
  </si>
  <si>
    <t>'02532369000170</t>
  </si>
  <si>
    <t>025323690001-70</t>
  </si>
  <si>
    <t>SAPEACU</t>
  </si>
  <si>
    <t>CENTRO TERRITORIAL DE EDUCACAO PROFISSIONAL DO RECONCAVO JON</t>
  </si>
  <si>
    <t>'02404973000111</t>
  </si>
  <si>
    <t>024049730001-11</t>
  </si>
  <si>
    <t>COLEGIO ESTADUAL DOUTOR ELIEL DA SILVA MARTINS TEMPO INTEGRA</t>
  </si>
  <si>
    <t>'03574570000183</t>
  </si>
  <si>
    <t>035745700001-83</t>
  </si>
  <si>
    <t>VARZEDO</t>
  </si>
  <si>
    <t>'07150646000102</t>
  </si>
  <si>
    <t>071506460001-02</t>
  </si>
  <si>
    <t>CAMACARI</t>
  </si>
  <si>
    <t>COLEGIO ESTADUAL JOSE DE FREITAS MASCARENHAS TEMPO INTEGRAL</t>
  </si>
  <si>
    <t>'01988447000183</t>
  </si>
  <si>
    <t>019884470001-83</t>
  </si>
  <si>
    <t>COLEGIO ESTADUAL GONCALO MUNIZ</t>
  </si>
  <si>
    <t>'01992706000140</t>
  </si>
  <si>
    <t>019927060001-40</t>
  </si>
  <si>
    <t>COLEGIO ESTADUAL POLIVALENTE DE CAMACARI</t>
  </si>
  <si>
    <t>'01988446000139</t>
  </si>
  <si>
    <t>019884460001-39</t>
  </si>
  <si>
    <t>CANDEIAS</t>
  </si>
  <si>
    <t>COLEGIO ESTADUAL POLIVALENTE DE CANDEIAS</t>
  </si>
  <si>
    <t>'02048241000136</t>
  </si>
  <si>
    <t>020482410001-36</t>
  </si>
  <si>
    <t>'02093040000150</t>
  </si>
  <si>
    <t>020930400001-50</t>
  </si>
  <si>
    <t>COLEGIO ESTADUAL OURO NEGRO</t>
  </si>
  <si>
    <t>'02004222000108</t>
  </si>
  <si>
    <t>020042220001-08</t>
  </si>
  <si>
    <t>LAURO DE FREITAS</t>
  </si>
  <si>
    <t>COLEGIO ESTADUAL BARTOLOMEU DE GUSMAO</t>
  </si>
  <si>
    <t>'02004269000171</t>
  </si>
  <si>
    <t>020042690001-71</t>
  </si>
  <si>
    <t>COLEGIO ESTADUAL ALFREDO AGOSTINHO DE DEUS</t>
  </si>
  <si>
    <t>'02000929000146</t>
  </si>
  <si>
    <t>020009290001-46</t>
  </si>
  <si>
    <t>COLEGIO ESTADUAL AMERICO SIMAS</t>
  </si>
  <si>
    <t>'02000927000157</t>
  </si>
  <si>
    <t>020009270001-57</t>
  </si>
  <si>
    <t>COLEGIO ESTADUAL DE TEMPO INTEGRAL DE PORTAO</t>
  </si>
  <si>
    <t>'02016576000172</t>
  </si>
  <si>
    <t>020165760001-72</t>
  </si>
  <si>
    <t>COLEGIO ESTADUAL FRANCISCO PEREIRA FRANCO</t>
  </si>
  <si>
    <t>'02004882000199</t>
  </si>
  <si>
    <t>020048820001-99</t>
  </si>
  <si>
    <t>MADRE DE DEUS</t>
  </si>
  <si>
    <t>COLEGIO ESTADUAL ANTONIO BALBINO TEMPO INTEGRAL</t>
  </si>
  <si>
    <t>'01990079000108</t>
  </si>
  <si>
    <t>019900790001-08</t>
  </si>
  <si>
    <t>SALVADOR</t>
  </si>
  <si>
    <t>CENTRO EDUCACIONAL CARNEIRO RIBEIRO CLASSE IV</t>
  </si>
  <si>
    <t>'02017022000190</t>
  </si>
  <si>
    <t>020170220001-90</t>
  </si>
  <si>
    <t>CENTRO EDUCACIONAL CARNEIRO RIBEIRO CLASSE I</t>
  </si>
  <si>
    <t>'02354834000120</t>
  </si>
  <si>
    <t>023548340001-20</t>
  </si>
  <si>
    <t>CENTRO EDUCACIONAL CARNEIRO RIBEIRO CLASSE III</t>
  </si>
  <si>
    <t>'02016564000148</t>
  </si>
  <si>
    <t>020165640001-48</t>
  </si>
  <si>
    <t>CENTRO ESTADUAL DE EDUCACAO PROFISSIONAL EM LOGISTICA E TRAN</t>
  </si>
  <si>
    <t>'01976045000169</t>
  </si>
  <si>
    <t>019760450001-69</t>
  </si>
  <si>
    <t>COLEGIO ESTADUAL LUIZ VIANA TEMPO INTEGRAL</t>
  </si>
  <si>
    <t>'01965528000168</t>
  </si>
  <si>
    <t>019655280001-68</t>
  </si>
  <si>
    <t>CENTRO ESTADUAL DE EDUCACAO PROFISSIONAL EM SAUDE ANISIO TEI</t>
  </si>
  <si>
    <t>'02116682000128</t>
  </si>
  <si>
    <t>021166820001-28</t>
  </si>
  <si>
    <t>COLEGIO ESTADUAL DUQUE DE CAXIAS</t>
  </si>
  <si>
    <t>'02010086000169</t>
  </si>
  <si>
    <t>020100860001-69</t>
  </si>
  <si>
    <t>COLEGIO ESTADUAL GOVERNADOR LOMANTO JUNIOR TEMPO INTEGRAL</t>
  </si>
  <si>
    <t>'03200297000127</t>
  </si>
  <si>
    <t>032002970001-27</t>
  </si>
  <si>
    <t>COLEGIO ESTADUAL GOVERNADOR ROBERTO SANTOS</t>
  </si>
  <si>
    <t>'01997074000107</t>
  </si>
  <si>
    <t>019970740001-07</t>
  </si>
  <si>
    <t>COLEGIO ESTADUAL MANOEL DEVOTO</t>
  </si>
  <si>
    <t>'01955313000166</t>
  </si>
  <si>
    <t>019553130001-66</t>
  </si>
  <si>
    <t>COLEGIO ESTADUAL PRESIDENTE COSTA E SILVA TEMPO INTEGRAL</t>
  </si>
  <si>
    <t>'04821711000188</t>
  </si>
  <si>
    <t>048217110001-88</t>
  </si>
  <si>
    <t>COLEGIO ESTADUAL NELSON MANDELA TEMPO INTEGRAL</t>
  </si>
  <si>
    <t>'02000931000115</t>
  </si>
  <si>
    <t>020009310001-15</t>
  </si>
  <si>
    <t>CENTRO ESTADUAL DE EDUCACAO PROFISSIONAL EM GESTAO SEVERINO</t>
  </si>
  <si>
    <t>'04913367000157</t>
  </si>
  <si>
    <t>049133670001-57</t>
  </si>
  <si>
    <t>COLEGIO ESTADUAL ANTONIO CARLOS MAGALHAES</t>
  </si>
  <si>
    <t>'02095434000148</t>
  </si>
  <si>
    <t>020954340001-48</t>
  </si>
  <si>
    <t>COLEGIO ESTADUAL TEREZA CONCEICAO MENEZES</t>
  </si>
  <si>
    <t>'02016570000103</t>
  </si>
  <si>
    <t>020165700001-03</t>
  </si>
  <si>
    <t>COLEGIO ESTADUAL ALIPIO FRANCA</t>
  </si>
  <si>
    <t>'02017031000180</t>
  </si>
  <si>
    <t>020170310001-80</t>
  </si>
  <si>
    <t>COLEGIO ESTADUAL AZEVEDO FERNANDES</t>
  </si>
  <si>
    <t>'04058099000133</t>
  </si>
  <si>
    <t>040580990001-33</t>
  </si>
  <si>
    <t>COLEGIO DA POLICIA MILITAR CPM DONA LEONOR CALMON</t>
  </si>
  <si>
    <t>'02050675000170</t>
  </si>
  <si>
    <t>020506750001-70</t>
  </si>
  <si>
    <t>COLEGIO ESTADUAL DA BAHIA CENTRAL</t>
  </si>
  <si>
    <t>'04910305000191</t>
  </si>
  <si>
    <t>049103050001-91</t>
  </si>
  <si>
    <t>COLEGIO ESTADUAL DEPUTADO MANOEL NOVAES</t>
  </si>
  <si>
    <t>'01939199000180</t>
  </si>
  <si>
    <t>019391990001-80</t>
  </si>
  <si>
    <t>COLEGIO ESTADUAL EVARISTO DA VEIGA TEMPO INTEGRAL</t>
  </si>
  <si>
    <t>'01993165000174</t>
  </si>
  <si>
    <t>019931650001-74</t>
  </si>
  <si>
    <t>COLEGIO ESTADUAL GOES CALMON</t>
  </si>
  <si>
    <t>'01965522000190</t>
  </si>
  <si>
    <t>019655220001-90</t>
  </si>
  <si>
    <t>COLEGIO ESTADUAL DE TEMPO INTEGRAL PROF PEDRO PAULO MARQUES</t>
  </si>
  <si>
    <t>'02523919000195</t>
  </si>
  <si>
    <t>025239190001-95</t>
  </si>
  <si>
    <t>COLEGIO ESTADUAL YPIRANGA TEMPO INTEGRAL</t>
  </si>
  <si>
    <t>'04795711000150</t>
  </si>
  <si>
    <t>047957110001-50</t>
  </si>
  <si>
    <t>COLEGIO ESTADUAL MARQUES DE MARICA TEMPO INTEGRAL</t>
  </si>
  <si>
    <t>'02013913000178</t>
  </si>
  <si>
    <t>020139130001-78</t>
  </si>
  <si>
    <t>COLEGIO ESTADUAL DO STIEP CARLOS MARIGHELLA TEMPO INTEGRAL</t>
  </si>
  <si>
    <t>'04793877000138</t>
  </si>
  <si>
    <t>047938770001-38</t>
  </si>
  <si>
    <t>COLEGIO ESTADUAL RAPHAEL SERRAVALLE</t>
  </si>
  <si>
    <t>'02010061000165</t>
  </si>
  <si>
    <t>020100610001-65</t>
  </si>
  <si>
    <t>COLEGIO ESTADUAL URSULA CATHARINO</t>
  </si>
  <si>
    <t>'04181720000151</t>
  </si>
  <si>
    <t>041817200001-51</t>
  </si>
  <si>
    <t>COLEGIO ESTADUAL FREDERICO COSTA</t>
  </si>
  <si>
    <t>'02033784000180</t>
  </si>
  <si>
    <t>020337840001-80</t>
  </si>
  <si>
    <t>COLEGIO ESTADUAL RUBEN DARIO TEMPO INTEGRAL</t>
  </si>
  <si>
    <t>'02057088000103</t>
  </si>
  <si>
    <t>020570880001-03</t>
  </si>
  <si>
    <t>COLEGIO ESTADUAL MARCILIO DIAS TEMPO INTEGRAL</t>
  </si>
  <si>
    <t>'01986391000128</t>
  </si>
  <si>
    <t>019863910001-28</t>
  </si>
  <si>
    <t>COLEGIO ESTADUAL DEMOCRATICO BERTHOLDO CIRILO DOS REIS</t>
  </si>
  <si>
    <t>'02013909000100</t>
  </si>
  <si>
    <t>020139090001-00</t>
  </si>
  <si>
    <t>COLEGIO ESTADUAL DESEMBARGADOR PEDRO RIBEIRO</t>
  </si>
  <si>
    <t>'02098445000181</t>
  </si>
  <si>
    <t>020984450001-81</t>
  </si>
  <si>
    <t>COLEGIO ESTADUAL PROFESSOR EDSON CARNEIRO</t>
  </si>
  <si>
    <t>'01998207000160</t>
  </si>
  <si>
    <t>019982070001-60</t>
  </si>
  <si>
    <t>COLEGIO ESTADUAL PROFESSORA LEILA RUBENS FONSECA</t>
  </si>
  <si>
    <t>'02010075000189</t>
  </si>
  <si>
    <t>020100750001-89</t>
  </si>
  <si>
    <t>COLEGIO PROFESSOR GEORGE FRAGOSO MODESTO</t>
  </si>
  <si>
    <t>'05511354000114</t>
  </si>
  <si>
    <t>055113540001-14</t>
  </si>
  <si>
    <t>COLEGIO ESTADUAL LEDA JESUINO DOS SANTOS TEMPO INTEGRAL</t>
  </si>
  <si>
    <t>'02083365000152</t>
  </si>
  <si>
    <t>020833650001-52</t>
  </si>
  <si>
    <t>COLEGIO ESTADUAL MARIO AUGUSTO TEIXEIRA DE FREITAS TEMPO INT</t>
  </si>
  <si>
    <t>'03886321000123</t>
  </si>
  <si>
    <t>038863210001-23</t>
  </si>
  <si>
    <t>ESCOLA ESTADUAL PROFESSORA MARIINHA TAVARES TEMPO INTEGRAL</t>
  </si>
  <si>
    <t>'02025889000197</t>
  </si>
  <si>
    <t>020258890001-97</t>
  </si>
  <si>
    <t>ESCOLA ESTADUAL PROFESSORA NATALIA VINHAES TEMPO INTEGRAL</t>
  </si>
  <si>
    <t>'01997075000151</t>
  </si>
  <si>
    <t>019970750001-51</t>
  </si>
  <si>
    <t>COLEGIO ESTADUAL PADRE JOSE VASCONCELOS</t>
  </si>
  <si>
    <t>'01998807000128</t>
  </si>
  <si>
    <t>019988070001-28</t>
  </si>
  <si>
    <t>COLEGIO ESTADUAL POLIVALENTE DE AMARALINA</t>
  </si>
  <si>
    <t>'01960480000103</t>
  </si>
  <si>
    <t>019604800001-03</t>
  </si>
  <si>
    <t>COLEGIO ESTADUAL POLIVALENTE SAN DIEGO</t>
  </si>
  <si>
    <t>'01986695000195</t>
  </si>
  <si>
    <t>019866950001-95</t>
  </si>
  <si>
    <t>ESCOLA ESTADUAL PRESCILIANO SILVA TEMPO INTEGRAL</t>
  </si>
  <si>
    <t>'02054503000175</t>
  </si>
  <si>
    <t>020545030001-75</t>
  </si>
  <si>
    <t>COLEGIO ESTADUAL PRINCESA IZABEL</t>
  </si>
  <si>
    <t>'02062654000175</t>
  </si>
  <si>
    <t>020626540001-75</t>
  </si>
  <si>
    <t>COLEGIO ESTADUAL LUIZ FERNANDO MACEDO COSTA TEMPO INTEGRAL</t>
  </si>
  <si>
    <t>'01993148000137</t>
  </si>
  <si>
    <t>019931480001-37</t>
  </si>
  <si>
    <t>CENTRO ESTADUAL DE EDUCACAO PROFISSIONAL EM GESTAO NEGOCIOS</t>
  </si>
  <si>
    <t>'02348731000158</t>
  </si>
  <si>
    <t>023487310001-58</t>
  </si>
  <si>
    <t>ESCOLA PROFESSOR ROBERTO SANTOS</t>
  </si>
  <si>
    <t>'01992844000129</t>
  </si>
  <si>
    <t>019928440001-29</t>
  </si>
  <si>
    <t>COLEGIO ESTADUAL PROFESSORA ELISABETH CHAVES VELOSO</t>
  </si>
  <si>
    <t>'02010099000138</t>
  </si>
  <si>
    <t>020100990001-38</t>
  </si>
  <si>
    <t>COLEGIO ESTADUAL RENAN BALEEIRO</t>
  </si>
  <si>
    <t>'01993999000180</t>
  </si>
  <si>
    <t>019939990001-80</t>
  </si>
  <si>
    <t>ESCOLA ESTADUAL PIERRE VERGER</t>
  </si>
  <si>
    <t>'02127023000197</t>
  </si>
  <si>
    <t>021270230001-97</t>
  </si>
  <si>
    <t>COLEGIO ESTADUAL SANTA RITA DE CASSIA</t>
  </si>
  <si>
    <t>'02000926000102</t>
  </si>
  <si>
    <t>020009260001-02</t>
  </si>
  <si>
    <t>ESCOLA ESTADUAL TEODORO SAMPAIO</t>
  </si>
  <si>
    <t>'01990095000109</t>
  </si>
  <si>
    <t>019900950001-09</t>
  </si>
  <si>
    <t>COLEGIO ESTADUAL TEREZA HELENA MATA PIRES</t>
  </si>
  <si>
    <t>'03135500000129</t>
  </si>
  <si>
    <t>031355000001-29</t>
  </si>
  <si>
    <t>ESCOLA VISCONDE DE ITAPARICA</t>
  </si>
  <si>
    <t>'02337067000141</t>
  </si>
  <si>
    <t>023370670001-41</t>
  </si>
  <si>
    <t>COLEGIO ESTADUAL JOSIAS DE ALMEIDA MELO</t>
  </si>
  <si>
    <t>'01986682000116</t>
  </si>
  <si>
    <t>019866820001-16</t>
  </si>
  <si>
    <t>ESCOLA ESTADUAL DEPUTADO NAOMAR ALCANTARA TEMPO INTEGRAL</t>
  </si>
  <si>
    <t>'02110547000175</t>
  </si>
  <si>
    <t>021105470001-75</t>
  </si>
  <si>
    <t>COLEGIO ESTADUAL ARTUR DE SALES</t>
  </si>
  <si>
    <t>'01998685000170</t>
  </si>
  <si>
    <t>019986850001-70</t>
  </si>
  <si>
    <t>COLEGIO ESTADUAL ABILIO CESAR BORGES TEMPO INTEGRAL</t>
  </si>
  <si>
    <t>'01983129000120</t>
  </si>
  <si>
    <t>019831290001-20</t>
  </si>
  <si>
    <t>COLEGIO ESTADUAL DOUTOR AILTON PINTO DE ANDRADE</t>
  </si>
  <si>
    <t>'02038266000159</t>
  </si>
  <si>
    <t>020382660001-59</t>
  </si>
  <si>
    <t>COLEGIO ESTADUAL ALBERTO VALENCA TEMPO INTEGRAL</t>
  </si>
  <si>
    <t>'02121075000156</t>
  </si>
  <si>
    <t>021210750001-56</t>
  </si>
  <si>
    <t>COLEGIO ESTADUAL ALFREDO MAGALHAES TEMPO INTEGRAL</t>
  </si>
  <si>
    <t>'02016573000139</t>
  </si>
  <si>
    <t>020165730001-39</t>
  </si>
  <si>
    <t>COLEGIO ESTADUAL ANFRISIA SANTIAGO TEMPO INTEGRAL</t>
  </si>
  <si>
    <t>'01933353000107</t>
  </si>
  <si>
    <t>019333530001-07</t>
  </si>
  <si>
    <t>COLEGIO ESTADUAL ASSIS CHATEAUBRIAND</t>
  </si>
  <si>
    <t>'02052685000145</t>
  </si>
  <si>
    <t>020526850001-45</t>
  </si>
  <si>
    <t>ESCOLA ESTADUAL CASTRO ALVES</t>
  </si>
  <si>
    <t>'01986996000119</t>
  </si>
  <si>
    <t>019869960001-19</t>
  </si>
  <si>
    <t>COLEGIO ESTADUAL CONSELHEIRO VICENTE PACHECO DE OLIVEIRA TEM</t>
  </si>
  <si>
    <t>'02286597000108</t>
  </si>
  <si>
    <t>022865970001-08</t>
  </si>
  <si>
    <t>COLEGIO ESTADUAL DANIEL LISBOA</t>
  </si>
  <si>
    <t>'01997072000118</t>
  </si>
  <si>
    <t>019970720001-18</t>
  </si>
  <si>
    <t>COLEGIO ESTADUAL DANTAS JUNIOR</t>
  </si>
  <si>
    <t>'02036907000136</t>
  </si>
  <si>
    <t>020369070001-36</t>
  </si>
  <si>
    <t>COLEGIO ESTADUAL DOUTOR JOAO PEDRO DOS SANTOS TEMPO INTEGRAL</t>
  </si>
  <si>
    <t>'01965547000194</t>
  </si>
  <si>
    <t>019655470001-94</t>
  </si>
  <si>
    <t>COLEGIO ESTADUAL ALBERTO SANTOS DUMONT</t>
  </si>
  <si>
    <t>'01986812000110</t>
  </si>
  <si>
    <t>019868120001-10</t>
  </si>
  <si>
    <t>COLEGIO ESTADUAL BRIGADEIRO EDUARDO GOMES</t>
  </si>
  <si>
    <t>'01983112000172</t>
  </si>
  <si>
    <t>019831120001-72</t>
  </si>
  <si>
    <t>COLEGIO ESTADUAL CESARE CASALI TEMPO INTEGRAL</t>
  </si>
  <si>
    <t>'01983100000148</t>
  </si>
  <si>
    <t>019831000001-48</t>
  </si>
  <si>
    <t>COLEGIO ESTADUAL COSME DE FARIAS</t>
  </si>
  <si>
    <t>'01965552000105</t>
  </si>
  <si>
    <t>019655520001-05</t>
  </si>
  <si>
    <t>COLEGIO ESTADUAL DE TEMPO INTEGRAL JOSE DIAS DE SALES</t>
  </si>
  <si>
    <t>'01986285000144</t>
  </si>
  <si>
    <t>019862850001-44</t>
  </si>
  <si>
    <t>COLEGIO ESTADUAL LUIS ROGERIO DE SOUZA</t>
  </si>
  <si>
    <t>'01986693000104</t>
  </si>
  <si>
    <t>019866930001-04</t>
  </si>
  <si>
    <t>COLEGIO ESTADUAL EDIVALDO BOAVENTURA</t>
  </si>
  <si>
    <t>'01986696000130</t>
  </si>
  <si>
    <t>019866960001-30</t>
  </si>
  <si>
    <t>COLEGIO ESTADUAL GOVERNADOR OTAVIO MANGABEIRA</t>
  </si>
  <si>
    <t>'02279755000100</t>
  </si>
  <si>
    <t>022797550001-00</t>
  </si>
  <si>
    <t>COLEGIO ESTADUAL JOAO DAS BOTAS</t>
  </si>
  <si>
    <t>'01992847000162</t>
  </si>
  <si>
    <t>019928470001-62</t>
  </si>
  <si>
    <t>COLEGIO ESTADUAL PADRE PALMEIRA</t>
  </si>
  <si>
    <t>'02031130000117</t>
  </si>
  <si>
    <t>020311300001-17</t>
  </si>
  <si>
    <t>COLEGIO ESTADUAL PROFESSOR CARLOS SANT ANNA TEMPO INTEGRAL</t>
  </si>
  <si>
    <t>'02146766000104</t>
  </si>
  <si>
    <t>021467660001-04</t>
  </si>
  <si>
    <t>ESCOLA PROFESSORA CANDOLINA CLASSE VII TEMPO INTEGRAL</t>
  </si>
  <si>
    <t>'02022296000177</t>
  </si>
  <si>
    <t>020222960001-77</t>
  </si>
  <si>
    <t>COLEGIO ESTADUAL RUTH PACHECO</t>
  </si>
  <si>
    <t>'01997331000100</t>
  </si>
  <si>
    <t>019973310001-00</t>
  </si>
  <si>
    <t>COLEGIO ESTADUAL VERA LUX</t>
  </si>
  <si>
    <t>'02044320000179</t>
  </si>
  <si>
    <t>020443200001-79</t>
  </si>
  <si>
    <t>'01995256000149</t>
  </si>
  <si>
    <t>019952560001-49</t>
  </si>
  <si>
    <t>COLEGIO ESTADUAL DE APLICACAO ANISIO TEIXEIRA</t>
  </si>
  <si>
    <t>'02025966000109</t>
  </si>
  <si>
    <t>020259660001-09</t>
  </si>
  <si>
    <t>COLEGIO ESTADUAL BATISTA NEVES TEMPO INTEGRAL</t>
  </si>
  <si>
    <t>'02109485000181</t>
  </si>
  <si>
    <t>021094850001-81</t>
  </si>
  <si>
    <t>COLEGIO ESTADUAL PROFESSOR ROMULO ALMEIDA TEMPO INTEGRAL</t>
  </si>
  <si>
    <t>'04796093000163</t>
  </si>
  <si>
    <t>047960930001-63</t>
  </si>
  <si>
    <t>COLEGIO ESTADUAL DEPUTADO HENRIQUE BRITO TEMPO INTEGRAL</t>
  </si>
  <si>
    <t>'02040159000165</t>
  </si>
  <si>
    <t>020401590001-65</t>
  </si>
  <si>
    <t>COLEGIO ESTADUAL DEPUTADO LUIS EDUARDO MAGALHAES</t>
  </si>
  <si>
    <t>'02072082000105</t>
  </si>
  <si>
    <t>020720820001-05</t>
  </si>
  <si>
    <t>ESCOLA ESTADUAL DOM AVELAR BRANDAO VILELA</t>
  </si>
  <si>
    <t>'02010087000103</t>
  </si>
  <si>
    <t>020100870001-03</t>
  </si>
  <si>
    <t>ESCOLA DONA JENNY GOMES</t>
  </si>
  <si>
    <t>'01983132000143</t>
  </si>
  <si>
    <t>019831320001-43</t>
  </si>
  <si>
    <t>COLEGIO ESTADUAL EDVALDO BRANDAO CORREIA TEMPO INTEGRAL</t>
  </si>
  <si>
    <t>'02746875000162</t>
  </si>
  <si>
    <t>027468750001-62</t>
  </si>
  <si>
    <t>COLEGIO ESTADUAL ANA BERNARDES</t>
  </si>
  <si>
    <t>'02036932000110</t>
  </si>
  <si>
    <t>020369320001-10</t>
  </si>
  <si>
    <t>COLEGIO ESTADUAL LUIZ JOSE DE OLIVEIRA</t>
  </si>
  <si>
    <t>'01971644000190</t>
  </si>
  <si>
    <t>019716440001-90</t>
  </si>
  <si>
    <t>COLEGIO ESTADUAL MINISTRO ALIOMAR BALEEIRO TEMPO INTEGRAL</t>
  </si>
  <si>
    <t>'02016562000159</t>
  </si>
  <si>
    <t>020165620001-59</t>
  </si>
  <si>
    <t>COLEGIO ESTADUAL EDSON TENORIO DE ALBUQUERQUE</t>
  </si>
  <si>
    <t>'02010084000170</t>
  </si>
  <si>
    <t>020100840001-70</t>
  </si>
  <si>
    <t>COLEGIO ESTADUAL PROFESSORA MARIA ANITA</t>
  </si>
  <si>
    <t>'02004267000182</t>
  </si>
  <si>
    <t>020042670001-82</t>
  </si>
  <si>
    <t>COLEGIO ESTADUAL DINAH GONCALVES TEMPO INTEGRAL</t>
  </si>
  <si>
    <t>'02025884000164</t>
  </si>
  <si>
    <t>020258840001-64</t>
  </si>
  <si>
    <t>COLEGIO ESTADUAL NORMA RIBEIRO TEMPO INTEGRAL</t>
  </si>
  <si>
    <t>'01983137000176</t>
  </si>
  <si>
    <t>019831370001-76</t>
  </si>
  <si>
    <t>COLEGIO ESTADUAL CELIA MATA PIRES TEMPO INTEGRAL</t>
  </si>
  <si>
    <t>'02010055000108</t>
  </si>
  <si>
    <t>020100550001-08</t>
  </si>
  <si>
    <t>ESCOLA ESTADUAL RAUL SA</t>
  </si>
  <si>
    <t>'01990032000144</t>
  </si>
  <si>
    <t>019900320001-44</t>
  </si>
  <si>
    <t>COLEGIO ESTADUAL DONA MORA GUIMARAES</t>
  </si>
  <si>
    <t>'01986697000184</t>
  </si>
  <si>
    <t>019866970001-84</t>
  </si>
  <si>
    <t>COLEGIO ESTADUAL HELENA MAGALHAES TEMPO INTEGRAL</t>
  </si>
  <si>
    <t>'01997073000162</t>
  </si>
  <si>
    <t>019970730001-62</t>
  </si>
  <si>
    <t>COLEGIO ESTADUAL PROFESSORA MARILEINE DA SILVA</t>
  </si>
  <si>
    <t>'01940003000178</t>
  </si>
  <si>
    <t>019400030001-78</t>
  </si>
  <si>
    <t>COLEGIO ESTADUAL GENERAL DIONISIO CERQUEIRA TEMPO INTEGRAL</t>
  </si>
  <si>
    <t>'01973617000156</t>
  </si>
  <si>
    <t>019736170001-56</t>
  </si>
  <si>
    <t>COLEGIO ESTADUAL HENRIQUETA MARTINS CATHARINO TEMPO INTEGRAL</t>
  </si>
  <si>
    <t>'02040560000103</t>
  </si>
  <si>
    <t>020405600001-03</t>
  </si>
  <si>
    <t>COLEGIO ESTADUAL DOIS DE JULHO</t>
  </si>
  <si>
    <t>'02004884000188</t>
  </si>
  <si>
    <t>020048840001-88</t>
  </si>
  <si>
    <t>COLEGIO ESTADUAL JOAO CARIBE</t>
  </si>
  <si>
    <t>'01988250000144</t>
  </si>
  <si>
    <t>019882500001-44</t>
  </si>
  <si>
    <t>COLEGIO ESTADUAL MARECHAL MASCARENHAS DE MORAIS</t>
  </si>
  <si>
    <t>'02090007000177</t>
  </si>
  <si>
    <t>020900070001-77</t>
  </si>
  <si>
    <t>COLEGIO ESTADUAL MARIA AMELIA SANTOS</t>
  </si>
  <si>
    <t>'01997069000102</t>
  </si>
  <si>
    <t>019970690001-02</t>
  </si>
  <si>
    <t>ESCOLA ESTADUAL MARIA ROMANA CALMON</t>
  </si>
  <si>
    <t>'02041201000162</t>
  </si>
  <si>
    <t>020412010001-62</t>
  </si>
  <si>
    <t>COLEGIO ESTADUAL MONSENHOR MANOEL BARBOSA</t>
  </si>
  <si>
    <t>'01959944000153</t>
  </si>
  <si>
    <t>019599440001-53</t>
  </si>
  <si>
    <t>COLEGIO ESTADUAL NOSSA SENHORA DE FATIMA</t>
  </si>
  <si>
    <t>'01998909000143</t>
  </si>
  <si>
    <t>019989090001-43</t>
  </si>
  <si>
    <t>COLEGIO ESTADUAL NOSSA SENHORA DE FATIMA DERBA TEMPO INTEGRA</t>
  </si>
  <si>
    <t>'02010054000163</t>
  </si>
  <si>
    <t>020100540001-63</t>
  </si>
  <si>
    <t>COLEGIO ESTADUAL PROFESSOR NOGUEIRA PASSOS TEMPO INTEGRAL</t>
  </si>
  <si>
    <t>'01997335000199</t>
  </si>
  <si>
    <t>019973350001-99</t>
  </si>
  <si>
    <t>CENTRO ESTADUAL DE EDUCACAO PROFISSIONAL EM CONTROLE E PROCE</t>
  </si>
  <si>
    <t>'04910777000144</t>
  </si>
  <si>
    <t>049107770001-44</t>
  </si>
  <si>
    <t>COLEGIO ESTADUAL PROFESSOR DORIVAL PASSOS TEMPO INTEGRAL</t>
  </si>
  <si>
    <t>'01945334000109</t>
  </si>
  <si>
    <t>019453340001-09</t>
  </si>
  <si>
    <t>CENTRO ESTADUAL DE EDUCACAO PROFISSIONAL FORMACAO E EVENTOS</t>
  </si>
  <si>
    <t>'02121071000178</t>
  </si>
  <si>
    <t>021210710001-78</t>
  </si>
  <si>
    <t>COLEGIO ESTADUAL MONTEIRO LOBATO</t>
  </si>
  <si>
    <t>'01990259000190</t>
  </si>
  <si>
    <t>019902590001-90</t>
  </si>
  <si>
    <t>COLEGIO ESTADUAL SARA VIOLETA DE MELLO KERTESZ</t>
  </si>
  <si>
    <t>'02036906000191</t>
  </si>
  <si>
    <t>020369060001-91</t>
  </si>
  <si>
    <t>CENTRO DE APOIO PEDAGOGICO ESPEC PARA PESSOAS COM SURDEZ WIL</t>
  </si>
  <si>
    <t>'03408277000146</t>
  </si>
  <si>
    <t>034082770001-46</t>
  </si>
  <si>
    <t>SIMOES FILHO</t>
  </si>
  <si>
    <t>CENTRO EDUCACIONAL SANTO ANTONIO</t>
  </si>
  <si>
    <t>'02026439000119</t>
  </si>
  <si>
    <t>020264390001-19</t>
  </si>
  <si>
    <t>COLEGIO ESTADUAL REITOR MIGUEL CALMON</t>
  </si>
  <si>
    <t>'01997789000160</t>
  </si>
  <si>
    <t>019977890001-60</t>
  </si>
  <si>
    <t>COLEGIO ESTADUAL POLIVALENTE DE ARATU</t>
  </si>
  <si>
    <t>'02016572000194</t>
  </si>
  <si>
    <t>020165720001-94</t>
  </si>
  <si>
    <t>COLEGIO ESTADUAL ALBERTO SILVA</t>
  </si>
  <si>
    <t>'02004254000103</t>
  </si>
  <si>
    <t>020042540001-03</t>
  </si>
  <si>
    <t>COLEGIO ESTADUAL DOUTOR BERLINDO MAMEDE DE OLIVEIRA</t>
  </si>
  <si>
    <t>'02001580000167</t>
  </si>
  <si>
    <t>020015800001-67</t>
  </si>
  <si>
    <t>COLEGIO ESTADUAL DOUTOR LUIZ VIANA FILHO</t>
  </si>
  <si>
    <t>'02019477000144</t>
  </si>
  <si>
    <t>020194770001-44</t>
  </si>
  <si>
    <t>CENTRO ESTADUAL DE EDUCACAO PROFISSIONAL EM SERVICOS E PROCE</t>
  </si>
  <si>
    <t>'02033782000190</t>
  </si>
  <si>
    <t>020337820001-90</t>
  </si>
  <si>
    <t>COLEGIO ESTADUAL REGINA SIMOES</t>
  </si>
  <si>
    <t>'01997796000161</t>
  </si>
  <si>
    <t>019977960001-61</t>
  </si>
  <si>
    <t>VERA CRUZ</t>
  </si>
  <si>
    <t>COLEGIO ESTADUAL JURACY MAGALHAES JUNIORDISTRITO DE CACHA PR</t>
  </si>
  <si>
    <t>'01986716000172</t>
  </si>
  <si>
    <t>019867160001-72</t>
  </si>
  <si>
    <t>COLEGIO ESTADUAL DESEMBARGADOR JULIO VIRGINIO DE SANTANA TEM</t>
  </si>
  <si>
    <t>'01997068000150</t>
  </si>
  <si>
    <t>019970680001-50</t>
  </si>
  <si>
    <t>BROTAS DE MACAUBAS</t>
  </si>
  <si>
    <t>COLEGIO ESTADUAL PAPA JOAO PAULO I TEMPO INTEGRAL</t>
  </si>
  <si>
    <t>'01922093000174</t>
  </si>
  <si>
    <t>019220930001-74</t>
  </si>
  <si>
    <t>NTE-12</t>
  </si>
  <si>
    <t>CATURAMA</t>
  </si>
  <si>
    <t>COLEGIO ESTADUAL SAO SEBASTIAO TEMPO INTEGRAL</t>
  </si>
  <si>
    <t>'02107765000150</t>
  </si>
  <si>
    <t>021077650001-50</t>
  </si>
  <si>
    <t>IBIPITANGA</t>
  </si>
  <si>
    <t>COLEGIO ESTADUAL DO CAMPO DE IBIPITANGA TEMPO INTEGRAL ANTIG</t>
  </si>
  <si>
    <t>'02036581000147</t>
  </si>
  <si>
    <t>020365810001-47</t>
  </si>
  <si>
    <t>IBITIARA</t>
  </si>
  <si>
    <t>COLEGIO ESTADUAL LAGOA DE DIONISIO DISTRITO LAGOA DO DIONISI</t>
  </si>
  <si>
    <t>'02059605000183</t>
  </si>
  <si>
    <t>020596050001-83</t>
  </si>
  <si>
    <t>COLEGIO ESTADUAL EVILASIO SANTANA GAMA TEMPO INTEGRAL</t>
  </si>
  <si>
    <t>'02059610000196</t>
  </si>
  <si>
    <t>020596100001-96</t>
  </si>
  <si>
    <t>IPUPIARA</t>
  </si>
  <si>
    <t>COLEGIO DEMOCRATICO ESTADUAL CASTRO ALVES</t>
  </si>
  <si>
    <t>'01952598000181</t>
  </si>
  <si>
    <t>019525980001-81</t>
  </si>
  <si>
    <t>MACAUBAS</t>
  </si>
  <si>
    <t>CENTRO TERRITORIAL DE EDUCACAO PROFISSIONAL DA BACIA DO PARA</t>
  </si>
  <si>
    <t>'02032684000139</t>
  </si>
  <si>
    <t>020326840001-39</t>
  </si>
  <si>
    <t>COLEGIO ESTADUAL CONEGO FIRMINO SOARES TEMPO INTEGRAL</t>
  </si>
  <si>
    <t>'01992964000126</t>
  </si>
  <si>
    <t>019929640001-26</t>
  </si>
  <si>
    <t>NOVO HORIZONTE</t>
  </si>
  <si>
    <t>COLEGIO ESTADUAL CASTRO ALVES</t>
  </si>
  <si>
    <t>'01952180000174</t>
  </si>
  <si>
    <t>019521800001-74</t>
  </si>
  <si>
    <t>OLIVEIRA DOS BREJINHOS</t>
  </si>
  <si>
    <t>COLEGIO ESTADUAL TIRADENTES TEMPO INTEGRAL</t>
  </si>
  <si>
    <t>'01922106000105</t>
  </si>
  <si>
    <t>019221060001-05</t>
  </si>
  <si>
    <t>NTE-13</t>
  </si>
  <si>
    <t>TANQUE NOVO</t>
  </si>
  <si>
    <t>COLEGIO ESTADUAL DE TANQUE NOVO TEMPO INTEGRAL</t>
  </si>
  <si>
    <t>'01950424000180</t>
  </si>
  <si>
    <t>019504240001-80</t>
  </si>
  <si>
    <t>ABAIRA</t>
  </si>
  <si>
    <t>COLEGIO ESTADUAL DOUTOR FRANCISCO ROCHA FILHO TEMPO INTEGRAL</t>
  </si>
  <si>
    <t>'03174774000127</t>
  </si>
  <si>
    <t>031747740001-27</t>
  </si>
  <si>
    <t>BARRA DA ESTIVA</t>
  </si>
  <si>
    <t>COLEGIO ESTADUAL GETULIO VARGAS TEMPO INTEGRAL</t>
  </si>
  <si>
    <t>'01948502000101</t>
  </si>
  <si>
    <t>019485020001-01</t>
  </si>
  <si>
    <t>BONINAL</t>
  </si>
  <si>
    <t>COLEGIO ESTADUAL DE TEMPO INTEGRAL RUI BARBOSA</t>
  </si>
  <si>
    <t>'01951240000134</t>
  </si>
  <si>
    <t>019512400001-34</t>
  </si>
  <si>
    <t>CONTENDAS DO SINCORA</t>
  </si>
  <si>
    <t>COLEGIO ESTADUAL DOUTOR LUIZ EDSON DE GOUVEIA TEMPO INTEGRAL</t>
  </si>
  <si>
    <t>'01954853000125</t>
  </si>
  <si>
    <t>019548530001-25</t>
  </si>
  <si>
    <t>IBICOARA</t>
  </si>
  <si>
    <t>COLEGIO ESTADUAL DE TEMPO INTEGRAL DE IBICOARA</t>
  </si>
  <si>
    <t>'02309467000143</t>
  </si>
  <si>
    <t>023094670001-43</t>
  </si>
  <si>
    <t>ITAETE</t>
  </si>
  <si>
    <t>COLEGIO ESTADUAL JOSE AMERICO ARAUJO</t>
  </si>
  <si>
    <t>'01989827000132</t>
  </si>
  <si>
    <t>019898270001-32</t>
  </si>
  <si>
    <t>JUSSIAPE</t>
  </si>
  <si>
    <t>COLEGIO ESTADUAL HORACIO DE MATOS</t>
  </si>
  <si>
    <t>'03172631000186</t>
  </si>
  <si>
    <t>031726310001-86</t>
  </si>
  <si>
    <t>LENCOIS</t>
  </si>
  <si>
    <t>CENTRO EDUCACIONAL RENATO PEREIRA VIANA</t>
  </si>
  <si>
    <t>'02050363000167</t>
  </si>
  <si>
    <t>020503630001-67</t>
  </si>
  <si>
    <t>RIO DE CONTAS</t>
  </si>
  <si>
    <t>COLEGIO ESTADUAL DO CAMPO MARCOLINO MOURA TEMPO INTEGRAL</t>
  </si>
  <si>
    <t>'03200068000102</t>
  </si>
  <si>
    <t>032000680001-02</t>
  </si>
  <si>
    <t>SEABRA</t>
  </si>
  <si>
    <t>COLEGIO ESTADUAL DE SEABRA TEMPO INTEGRAL</t>
  </si>
  <si>
    <t>'01952150000168</t>
  </si>
  <si>
    <t>019521500001-68</t>
  </si>
  <si>
    <t>COLEGIO ESTADUAL DO CAMPO FILINTO JUSTINIANO BASTOS</t>
  </si>
  <si>
    <t>'01952165000126</t>
  </si>
  <si>
    <t>019521650001-26</t>
  </si>
  <si>
    <t>BONITO</t>
  </si>
  <si>
    <t>COLEGIO ESTADUAL DO BONITO TEMPO INTEGRAL</t>
  </si>
  <si>
    <t>'03299190000188</t>
  </si>
  <si>
    <t>032991900001-88</t>
  </si>
  <si>
    <t>AMARGOSA</t>
  </si>
  <si>
    <t>COLEGIO ESTADUAL PEDRO CALMON TEMPO INTEGRAL</t>
  </si>
  <si>
    <t>'02051930000108</t>
  </si>
  <si>
    <t>020519300001-08</t>
  </si>
  <si>
    <t>COLEGIO ESTADUAL SANTA BERNADETE TEMPO INTEGRAL</t>
  </si>
  <si>
    <t>'02051932000199</t>
  </si>
  <si>
    <t>020519320001-99</t>
  </si>
  <si>
    <t>CENTRO TERRITORIAL DE EDUCACAO PROFISSIONAL DO VALE DO JIQUI</t>
  </si>
  <si>
    <t>'02051938000166</t>
  </si>
  <si>
    <t>020519380001-66</t>
  </si>
  <si>
    <t>NTE-22</t>
  </si>
  <si>
    <t>APUAREMA</t>
  </si>
  <si>
    <t>COLEGIO ESTADUAL DOUTOR VASCO FILHO TEMPO INTEGRAL</t>
  </si>
  <si>
    <t>'02011303000135</t>
  </si>
  <si>
    <t>020113030001-35</t>
  </si>
  <si>
    <t>BREJOES</t>
  </si>
  <si>
    <t>COLEGIO ESTADUAL EDIVALDO BOAVENTURA KM 100 TEMPO INTEGRAL</t>
  </si>
  <si>
    <t>'02006563000112</t>
  </si>
  <si>
    <t>020065630001-12</t>
  </si>
  <si>
    <t>IRAMAIA</t>
  </si>
  <si>
    <t>COLEGIO ESTADUAL ANTONIO CARLOS MAGALHAES TEMPO INTEGRAL</t>
  </si>
  <si>
    <t>'02119677000179</t>
  </si>
  <si>
    <t>021196770001-79</t>
  </si>
  <si>
    <t>ITAQUARA</t>
  </si>
  <si>
    <t>COLEGIO ESTADUAL JOAO PESSOA</t>
  </si>
  <si>
    <t>'02032528000178</t>
  </si>
  <si>
    <t>020325280001-78</t>
  </si>
  <si>
    <t>ITIRUCU</t>
  </si>
  <si>
    <t>COLEGIO ESTADUAL MARIA CANDIDA DE CASTILHO FONTOURA TEMPO IN</t>
  </si>
  <si>
    <t>'02067337000141</t>
  </si>
  <si>
    <t>020673370001-41</t>
  </si>
  <si>
    <t>JAGUAQUARA</t>
  </si>
  <si>
    <t>CENTRO ESTADUAL DE EDUCACAO PROFISSIONAL EM ALIMENTOS E RECU</t>
  </si>
  <si>
    <t>'02101867000169</t>
  </si>
  <si>
    <t>021018670001-69</t>
  </si>
  <si>
    <t>COLEGIO ESTADUAL NOSSA SENHORA AUXILIADORA DISTRITO DE ESTEL</t>
  </si>
  <si>
    <t>'02153114000105</t>
  </si>
  <si>
    <t>021531140001-05</t>
  </si>
  <si>
    <t>COLEGIO ESTADUAL VIRGILIO PEREIRA DE ALMEIDA TEMPO INTEGRAL</t>
  </si>
  <si>
    <t>'02078803000194</t>
  </si>
  <si>
    <t>020788030001-94</t>
  </si>
  <si>
    <t>JEQUIE</t>
  </si>
  <si>
    <t>'02121122000161</t>
  </si>
  <si>
    <t>021211220001-61</t>
  </si>
  <si>
    <t>COLEGIO DA POLICIA MILITAR CPM PROFESSOR POETA LUIS NEVES CO</t>
  </si>
  <si>
    <t>'02134155000146</t>
  </si>
  <si>
    <t>021341550001-46</t>
  </si>
  <si>
    <t>COLEGIO ESTADUAL DE JEQUIE TEMPO INTEGRAL</t>
  </si>
  <si>
    <t>'02013815000130</t>
  </si>
  <si>
    <t>020138150001-30</t>
  </si>
  <si>
    <t>COLEGIO ESTADUAL DOUTOR MILTON SANTOS COMUNIDADE QUILOMBOLA</t>
  </si>
  <si>
    <t>'02128904000122</t>
  </si>
  <si>
    <t>021289040001-22</t>
  </si>
  <si>
    <t>COLEGIO ESTADUAL PROFESSORA FARAILDES SANTOS TEMPO INTEGRAL</t>
  </si>
  <si>
    <t>'02114352000101</t>
  </si>
  <si>
    <t>021143520001-01</t>
  </si>
  <si>
    <t>COLEGIO ESTADUAL LUIZ NAVARRO DE BRITO TEMPO INTEGRAL</t>
  </si>
  <si>
    <t>'02099027000109</t>
  </si>
  <si>
    <t>020990270001-09</t>
  </si>
  <si>
    <t>CENTRO ESTADUAL DE EDUCACAO PROFISSIONAL EM GESTAO E TECNOLO</t>
  </si>
  <si>
    <t>'13893946000176</t>
  </si>
  <si>
    <t>138939460001-76</t>
  </si>
  <si>
    <t>JIQUIRICA</t>
  </si>
  <si>
    <t>COLEGIO ESTADUAL DE TEMPO INTEGRAL JOSE MALTA MAIA</t>
  </si>
  <si>
    <t>'02066457000124</t>
  </si>
  <si>
    <t>020664570001-24</t>
  </si>
  <si>
    <t>LAFAIETE COUTINHO</t>
  </si>
  <si>
    <t>COLEGIO ESTADUAL PROFESSOR ERALDO TINOCO</t>
  </si>
  <si>
    <t>'02193747000139</t>
  </si>
  <si>
    <t>021937470001-39</t>
  </si>
  <si>
    <t>LAJE</t>
  </si>
  <si>
    <t>COLEGIO ESTADUAL JUVENILIA PEIXOTO SAMPAIO</t>
  </si>
  <si>
    <t>'02055151000172</t>
  </si>
  <si>
    <t>020551510001-72</t>
  </si>
  <si>
    <t>LAJEDO DO TABOCAL</t>
  </si>
  <si>
    <t>COLEGIO ESTADUAL FERNANDO PRESIDIO</t>
  </si>
  <si>
    <t>'02063161000150</t>
  </si>
  <si>
    <t>020631610001-50</t>
  </si>
  <si>
    <t>MARACAS</t>
  </si>
  <si>
    <t>'02055877000105</t>
  </si>
  <si>
    <t>020558770001-05</t>
  </si>
  <si>
    <t>MARCIONILIO SOUZA</t>
  </si>
  <si>
    <t>COLEGIO ESTADUAL EURIDICE SANTANA TEMPO INTEGRAL</t>
  </si>
  <si>
    <t>'02177389000170</t>
  </si>
  <si>
    <t>021773890001-70</t>
  </si>
  <si>
    <t>NOVA ITARANA</t>
  </si>
  <si>
    <t>'02038508000104</t>
  </si>
  <si>
    <t>020385080001-04</t>
  </si>
  <si>
    <t>PLANALTINO</t>
  </si>
  <si>
    <t>COLEGIO ESTADUAL MANOEL JOSE DE ANDRADE</t>
  </si>
  <si>
    <t>'02101870000182</t>
  </si>
  <si>
    <t>021018700001-82</t>
  </si>
  <si>
    <t>SAO MIGUEL DAS MATAS</t>
  </si>
  <si>
    <t>COLEGIO ESTADUAL ALDEMIRO VILAS BOAS</t>
  </si>
  <si>
    <t>'02074956000163</t>
  </si>
  <si>
    <t>020749560001-63</t>
  </si>
  <si>
    <t>UBAIRA</t>
  </si>
  <si>
    <t>COLEGIO ESTADUAL BALBINO MUNIZ BARRETO TEMPO INTEGRAL</t>
  </si>
  <si>
    <t>'02055950000149</t>
  </si>
  <si>
    <t>020559500001-49</t>
  </si>
  <si>
    <t>ERICO CARDOSO</t>
  </si>
  <si>
    <t>'03185448000115</t>
  </si>
  <si>
    <t>031854480001-15</t>
  </si>
  <si>
    <t>DOM BASILIO</t>
  </si>
  <si>
    <t>COLEGIO ESTADUAL DE TEMPO INTEGRAL JOSE CAIRES ARAUJO</t>
  </si>
  <si>
    <t>'02898355000175</t>
  </si>
  <si>
    <t>028983550001-75</t>
  </si>
  <si>
    <t>LIVRAMENTO DE NOSSA SENHORA</t>
  </si>
  <si>
    <t>COLEGIO ESTADUAL JOAO VILAS BOAS TEMPO INTEGRAL</t>
  </si>
  <si>
    <t>'02013791000110</t>
  </si>
  <si>
    <t>020137910001-10</t>
  </si>
  <si>
    <t>PARAMIRIM</t>
  </si>
  <si>
    <t>COLEGIO ESTADUAL DE PARAMIRIM</t>
  </si>
  <si>
    <t>'02013801000117</t>
  </si>
  <si>
    <t>020138010001-17</t>
  </si>
  <si>
    <t>RIO DO PIRES</t>
  </si>
  <si>
    <t>COLEGIO ESTADUAL DO CAMPO DE IBIAJARA TEMPO INTEGRAL DISTRIT</t>
  </si>
  <si>
    <t>'02179498000127</t>
  </si>
  <si>
    <t>021794980001-27</t>
  </si>
  <si>
    <t>CACULE</t>
  </si>
  <si>
    <t>COLEGIO ESTADUAL DE TEMPO INTEGRAL NORBERTO FERNANDES</t>
  </si>
  <si>
    <t>'01948501000167</t>
  </si>
  <si>
    <t>019485010001-67</t>
  </si>
  <si>
    <t>CAETITE</t>
  </si>
  <si>
    <t>'02011342000132</t>
  </si>
  <si>
    <t>020113420001-32</t>
  </si>
  <si>
    <t>CANDIBA</t>
  </si>
  <si>
    <t>COLEGIO ESTADUAL ANTONIO BATISTA TEMPO INTEGRAL</t>
  </si>
  <si>
    <t>'02026275000120</t>
  </si>
  <si>
    <t>020262750001-20</t>
  </si>
  <si>
    <t>GUANAMBI</t>
  </si>
  <si>
    <t>'02084417000105</t>
  </si>
  <si>
    <t>020844170001-05</t>
  </si>
  <si>
    <t>IGAPORA</t>
  </si>
  <si>
    <t>COLEGIO ESTADUAL DE TEMPO INTEGRAL DE IGAPORA</t>
  </si>
  <si>
    <t>'02107959000156</t>
  </si>
  <si>
    <t>021079590001-56</t>
  </si>
  <si>
    <t>LAGOA REAL</t>
  </si>
  <si>
    <t>COLEGIO ESTADUAL LUIS PRISCO VIANA TEMPO INREGRAL</t>
  </si>
  <si>
    <t>'01946107000190</t>
  </si>
  <si>
    <t>019461070001-90</t>
  </si>
  <si>
    <t>NTE-20</t>
  </si>
  <si>
    <t>LICINIO DE ALMEIDA</t>
  </si>
  <si>
    <t>'01949393000147</t>
  </si>
  <si>
    <t>019493930001-47</t>
  </si>
  <si>
    <t>MORTUGABA</t>
  </si>
  <si>
    <t>COLEGIO ESTADUAL LEONIDIA SILVA MOREIRA PARDINHO TEMPO INTEG</t>
  </si>
  <si>
    <t>'03224602000110</t>
  </si>
  <si>
    <t>032246020001-10</t>
  </si>
  <si>
    <t>PALMAS DE MONTE ALTO</t>
  </si>
  <si>
    <t>COLEGIO ESTADUAL ANISIO TEIXEIRA TEMPO INTEGRAL</t>
  </si>
  <si>
    <t>'02018564000187</t>
  </si>
  <si>
    <t>020185640001-87</t>
  </si>
  <si>
    <t>RIACHO DE SANTANA</t>
  </si>
  <si>
    <t>COLEGIO ESTADUAL SINESIO COSTA TEMPO INTEGRAL</t>
  </si>
  <si>
    <t>'01953253000142</t>
  </si>
  <si>
    <t>019532530001-42</t>
  </si>
  <si>
    <t>SEBASTIAO LARANJEIRAS</t>
  </si>
  <si>
    <t>COLEGIO ESTADUAL DOM PEDRO I TEMPO INTEGRAL</t>
  </si>
  <si>
    <t>'01985612000143</t>
  </si>
  <si>
    <t>019856120001-43</t>
  </si>
  <si>
    <t>URANDI</t>
  </si>
  <si>
    <t>COLEGIO ESTADUAL DE URANDI TEMPO INTEGRAL</t>
  </si>
  <si>
    <t>'01993489000102</t>
  </si>
  <si>
    <t>019934890001-02</t>
  </si>
  <si>
    <t>ARACATU</t>
  </si>
  <si>
    <t>COLEGIO ESTADUAL DE TEMPO INTEGRAL DE ARACATU</t>
  </si>
  <si>
    <t>'02171280000126</t>
  </si>
  <si>
    <t>021712800001-26</t>
  </si>
  <si>
    <t>CONDEUBA</t>
  </si>
  <si>
    <t>COLEGIO ESTADUAL DE CONDEUBA TEMPO INTEGRAL</t>
  </si>
  <si>
    <t>'01932537000152</t>
  </si>
  <si>
    <t>019325370001-52</t>
  </si>
  <si>
    <t>CORDEIROS</t>
  </si>
  <si>
    <t>COLEGIO ESTADUAL JOSE MOREIRA CORDEIROS TEMPO INTEGRAL</t>
  </si>
  <si>
    <t>'01948297000184</t>
  </si>
  <si>
    <t>019482970001-84</t>
  </si>
  <si>
    <t>ITUACU</t>
  </si>
  <si>
    <t>COLEGIO ESTADUAL DE TEMPO INTEGRAL ALBERCIO DA COSTA BRITO</t>
  </si>
  <si>
    <t>'01986677000103</t>
  </si>
  <si>
    <t>019866770001-03</t>
  </si>
  <si>
    <t>MAETINGA</t>
  </si>
  <si>
    <t>'02308425000198</t>
  </si>
  <si>
    <t>023084250001-98</t>
  </si>
  <si>
    <t>PIRIPA</t>
  </si>
  <si>
    <t>COLEGIO ESTADUAL DE PIRIPA TEMPO INTEGRAL</t>
  </si>
  <si>
    <t>'01973727000118</t>
  </si>
  <si>
    <t>019737270001-18</t>
  </si>
  <si>
    <t>RIO DO ANTONIO</t>
  </si>
  <si>
    <t>COLEGIO ESTADUAL DO RIO DO ANTONIO TEMPO INTEGRAL</t>
  </si>
  <si>
    <t>'03172282000100</t>
  </si>
  <si>
    <t>031722820001-00</t>
  </si>
  <si>
    <t>COLEGIO ESTADUAL PROFESSORA LIA PUBLIO DE CASTRO DISTRITO DE</t>
  </si>
  <si>
    <t>'02140019000169</t>
  </si>
  <si>
    <t>021400190001-69</t>
  </si>
  <si>
    <t>TREMEDAL</t>
  </si>
  <si>
    <t>COLEGIO ESTADUAL MARIETA PEREIRA DOS SANTOS TEMPO INTEGRAL</t>
  </si>
  <si>
    <t>'12764104000151</t>
  </si>
  <si>
    <t>127641040001-51</t>
  </si>
  <si>
    <t>ANAGE</t>
  </si>
  <si>
    <t>COLEGIO ESTADUAL RENATO VIANA TEMPO INTEGRAL</t>
  </si>
  <si>
    <t>'01937188000161</t>
  </si>
  <si>
    <t>019371880001-61</t>
  </si>
  <si>
    <t>BARRA DO CHOCA</t>
  </si>
  <si>
    <t>COLEGIO ESTADUAL DE TEMPO INTEGRAL DE BARRA DO CHOCA</t>
  </si>
  <si>
    <t>'01948153000128</t>
  </si>
  <si>
    <t>019481530001-28</t>
  </si>
  <si>
    <t>BELO CAMPO</t>
  </si>
  <si>
    <t>COLEGIO ESTADUAL DE TEMPO INTEGRAL PROFESSORA ELINEUZA DA SI</t>
  </si>
  <si>
    <t>'01940033000184</t>
  </si>
  <si>
    <t>019400330001-84</t>
  </si>
  <si>
    <t>BOA NOVA</t>
  </si>
  <si>
    <t>COLEGIO ESTADUAL BOANOVENSE TEMPO INTEGRAL</t>
  </si>
  <si>
    <t>'02071485000130</t>
  </si>
  <si>
    <t>020714850001-30</t>
  </si>
  <si>
    <t>BOM JESUS DA SERRA</t>
  </si>
  <si>
    <t>COLEGIO ESTADUAL DE TEMPO INTEGRAL DE BOM JESUS DA SERRA</t>
  </si>
  <si>
    <t>'01985861000139</t>
  </si>
  <si>
    <t>019858610001-39</t>
  </si>
  <si>
    <t>NTE-08</t>
  </si>
  <si>
    <t>CAATIBA</t>
  </si>
  <si>
    <t>COLEGIO ESTADUAL GELASIO ALVES DOS SANTOS</t>
  </si>
  <si>
    <t>'02168033000170</t>
  </si>
  <si>
    <t>021680330001-70</t>
  </si>
  <si>
    <t>CAETANOS</t>
  </si>
  <si>
    <t>COLEGIO ESTADUAL JOAO LOPES DE OLIVEIRA TEMPO INTEGRAL</t>
  </si>
  <si>
    <t>'02068926000144</t>
  </si>
  <si>
    <t>020689260001-44</t>
  </si>
  <si>
    <t>DARIO MEIRA</t>
  </si>
  <si>
    <t>COLEGIO ESTADUAL DE DARIO MEIRA TEMPO INTEGRAL</t>
  </si>
  <si>
    <t>'02614163000190</t>
  </si>
  <si>
    <t>026141630001-90</t>
  </si>
  <si>
    <t>IBICUI</t>
  </si>
  <si>
    <t>COLEGIO ESTADUAL DE TEMPO INTEGRAL PAULO FREIRE</t>
  </si>
  <si>
    <t>'02037179000187</t>
  </si>
  <si>
    <t>020371790001-87</t>
  </si>
  <si>
    <t>IGUAI</t>
  </si>
  <si>
    <t>'03021863000133</t>
  </si>
  <si>
    <t>030218630001-33</t>
  </si>
  <si>
    <t>PLANALTO</t>
  </si>
  <si>
    <t>COLEGIO ESTADUAL DE PLANALTO TEMPO INTEGRAL</t>
  </si>
  <si>
    <t>'01936437000102</t>
  </si>
  <si>
    <t>019364370001-02</t>
  </si>
  <si>
    <t>POCOES</t>
  </si>
  <si>
    <t>COLEGIO ESTADUAL DOUTOR ROBERTO SANTOS TEMPO INTEGRAL</t>
  </si>
  <si>
    <t>'01957159000161</t>
  </si>
  <si>
    <t>019571590001-61</t>
  </si>
  <si>
    <t>COLEGIO ESTADUAL EURIDES SANTANA TEMPO INTEGRAL</t>
  </si>
  <si>
    <t>'01957157000172</t>
  </si>
  <si>
    <t>019571570001-72</t>
  </si>
  <si>
    <t>COLEGIO ESTADUAL ISAIAS ALVES TEMPO INTEGRAL</t>
  </si>
  <si>
    <t>'01957160000196</t>
  </si>
  <si>
    <t>019571600001-96</t>
  </si>
  <si>
    <t>VITORIA DA CONQUISTA</t>
  </si>
  <si>
    <t>COLEGIO POLIVALENTE DE VITORIA DA CONQUISTA</t>
  </si>
  <si>
    <t>'01944795000159</t>
  </si>
  <si>
    <t>019447950001-59</t>
  </si>
  <si>
    <t>COLEGIO DA POLICIA MILITAR CPM ERALDO TINOCO</t>
  </si>
  <si>
    <t>'01940038000107</t>
  </si>
  <si>
    <t>019400380001-07</t>
  </si>
  <si>
    <t>COLEGIO ESTADUAL JOSE SA NUNES TEMPO INTEGRAL</t>
  </si>
  <si>
    <t>'01936409000187</t>
  </si>
  <si>
    <t>019364090001-87</t>
  </si>
  <si>
    <t>CENTRO TERRITORIAL DE EDUCACAO PROFISSIONAL DE VITORIA DA CO</t>
  </si>
  <si>
    <t>'01936444000104</t>
  </si>
  <si>
    <t>019364440001-04</t>
  </si>
  <si>
    <t>COL EST KLEBER PACHECO DE OLIVEIRA PRISIONAL</t>
  </si>
  <si>
    <t>'03162688000102</t>
  </si>
  <si>
    <t>031626880001-02</t>
  </si>
  <si>
    <t>COLEGIO ESTADUAL PADRE LUIZ SOARES PALMEIRA TEMPO INTEGRAL</t>
  </si>
  <si>
    <t>'01932546000143</t>
  </si>
  <si>
    <t>019325460001-43</t>
  </si>
  <si>
    <t>COLEGIO ESTADUAL ADELMARIO PINHEIRO TEMPO INTEGRAL</t>
  </si>
  <si>
    <t>'01936560000115</t>
  </si>
  <si>
    <t>019365600001-15</t>
  </si>
  <si>
    <t>'02002838000140</t>
  </si>
  <si>
    <t>020028380001-40</t>
  </si>
  <si>
    <t>COLEGIO ESTADUAL ANISIO TEIXEIRA</t>
  </si>
  <si>
    <t>'01936238000196</t>
  </si>
  <si>
    <t>019362380001-96</t>
  </si>
  <si>
    <t>INSTITUTO DE EDUCACAO EUCLIDES DANTAS TEMPO INTEGRAL</t>
  </si>
  <si>
    <t>'01936441000162</t>
  </si>
  <si>
    <t>019364410001-62</t>
  </si>
  <si>
    <t>ENCRUZILHADA</t>
  </si>
  <si>
    <t>COLEGIO ESTADUAL JOSE PALLES SOBRINHO TEMPO INTEGRAL</t>
  </si>
  <si>
    <t>'01955502000139</t>
  </si>
  <si>
    <t>019555020001-39</t>
  </si>
  <si>
    <t>ITAMBE</t>
  </si>
  <si>
    <t>COLEGIO ESTADUAL DE TEMPO INTEGRAL DE ITAMBE</t>
  </si>
  <si>
    <t>'02026304000153</t>
  </si>
  <si>
    <t>020263040001-53</t>
  </si>
  <si>
    <t>ITAPETINGA</t>
  </si>
  <si>
    <t>COLEGIO ESTADUAL ALFREDO DUTRA TEMPO INTEGRAL</t>
  </si>
  <si>
    <t>'01999559000130</t>
  </si>
  <si>
    <t>019995590001-30</t>
  </si>
  <si>
    <t>COLEGIO POLIVALENTE DE ITAPETINGA</t>
  </si>
  <si>
    <t>'02084411000138</t>
  </si>
  <si>
    <t>020844110001-38</t>
  </si>
  <si>
    <t>ITARANTIM</t>
  </si>
  <si>
    <t>COLEGIO ESTADUAL NAOMAR SOARES ALCANTARA TEMPO INTEGRAL</t>
  </si>
  <si>
    <t>'02107967000100</t>
  </si>
  <si>
    <t>021079670001-00</t>
  </si>
  <si>
    <t>ITORORO</t>
  </si>
  <si>
    <t>CENTRO TERRITORIAL DE EDUCACAO PROFISSIONAL DO MEDIO SUDOEST</t>
  </si>
  <si>
    <t>'02084420000129</t>
  </si>
  <si>
    <t>020844200001-29</t>
  </si>
  <si>
    <t>MACARANI</t>
  </si>
  <si>
    <t>COLEGIO ESTADUAL SAO PEDRO TEMPO INTEGRAL</t>
  </si>
  <si>
    <t>'01986171000102</t>
  </si>
  <si>
    <t>019861710001-02</t>
  </si>
  <si>
    <t>POTIRAGUA</t>
  </si>
  <si>
    <t>COLEGIO DEMOCRATICO ESTADUAL ANISIO TEIXEIRA TEMPO INTEGRAL</t>
  </si>
  <si>
    <t>'02084415000116</t>
  </si>
  <si>
    <t>020844150001-16</t>
  </si>
  <si>
    <t>RIBEIRAO DO LARGO</t>
  </si>
  <si>
    <t>COLEGIO ESTADUAL ANTONIO GONCALVES TEMPO INTEGRAL</t>
  </si>
  <si>
    <t>'01951900000187</t>
  </si>
  <si>
    <t>019519000001-87</t>
  </si>
  <si>
    <t>COLEGIO ESTADUAL CANDIDO MEIRELES TEMPO INTEGRAL</t>
  </si>
  <si>
    <t>'02054612000192</t>
  </si>
  <si>
    <t>CAMAMU</t>
  </si>
  <si>
    <t>COLEGIO ESTADUAL LUIZ ROGERIO DE SOUZA TEMPO INTEGRAL</t>
  </si>
  <si>
    <t>'02031522000186</t>
  </si>
  <si>
    <t>020315220001-86</t>
  </si>
  <si>
    <t>ITUBERA</t>
  </si>
  <si>
    <t>COLEGIO ESTADUAL IDELZITO ELOY DE ABREU</t>
  </si>
  <si>
    <t>'02163159000152</t>
  </si>
  <si>
    <t>021631590001-52</t>
  </si>
  <si>
    <t>NTE-05</t>
  </si>
  <si>
    <t>MARAU</t>
  </si>
  <si>
    <t>CENTRO TERRITORIAL DE EDUCACAO PROFISSIONAL DO LITORAL SUL C</t>
  </si>
  <si>
    <t>'01971440000159</t>
  </si>
  <si>
    <t>019714400001-59</t>
  </si>
  <si>
    <t>COLEGIO ESTADUAL DO CAMPO CLEMENTE MARIANI TEMPO INTEGRAL</t>
  </si>
  <si>
    <t>'01971434000100</t>
  </si>
  <si>
    <t>019714340001-00</t>
  </si>
  <si>
    <t>NILO PECANHA</t>
  </si>
  <si>
    <t>COLEGIO ESTADUAL ADELAIDE SOUZA TEMPO INTEGRAL</t>
  </si>
  <si>
    <t>'02066446000144</t>
  </si>
  <si>
    <t>020664460001-44</t>
  </si>
  <si>
    <t>PIRAI DO NORTE</t>
  </si>
  <si>
    <t>COLEGIO ESTADUAL LUIS NAVARRO DE BRITO TEMPO INTEGRAL</t>
  </si>
  <si>
    <t>'01976029000176</t>
  </si>
  <si>
    <t>019760290001-76</t>
  </si>
  <si>
    <t>TAPEROA</t>
  </si>
  <si>
    <t>COLEGIO ESTADUAL DE TEMPO INTEGRAL ESTELA ALELUIA GUIMARAES</t>
  </si>
  <si>
    <t>'02145732000103</t>
  </si>
  <si>
    <t>021457320001-03</t>
  </si>
  <si>
    <t>VALENCA</t>
  </si>
  <si>
    <t>CENTRO ESTADUAL DE EDUCACAO PROFISSIONAL EM SAUDE DO LESTE B</t>
  </si>
  <si>
    <t>'04780439000135</t>
  </si>
  <si>
    <t>047804390001-35</t>
  </si>
  <si>
    <t>COLEGIO ESTADUAL GENTIL PARAISO MARTINS TEMPO INTEGRAL</t>
  </si>
  <si>
    <t>'02013073000143</t>
  </si>
  <si>
    <t>020130730001-43</t>
  </si>
  <si>
    <t>ALMADINA</t>
  </si>
  <si>
    <t>COLEGIO ESTADUAL SENADOR LUIZ VIANA FILHO TEMPO INTEGRAL</t>
  </si>
  <si>
    <t>'01935841000153</t>
  </si>
  <si>
    <t>019358410001-53</t>
  </si>
  <si>
    <t>AURELINO LEAL</t>
  </si>
  <si>
    <t>COLEGIO ESTADUAL DE TEMPO INTEGRAL PROFESSORA JAIDE ROCHA</t>
  </si>
  <si>
    <t>'01971468000196</t>
  </si>
  <si>
    <t>019714680001-96</t>
  </si>
  <si>
    <t>BARRA DO ROCHA</t>
  </si>
  <si>
    <t>COLEGIO ESTADUAL ANTONIO MOTA BITTENCOURT TEMPO INTEGRAL</t>
  </si>
  <si>
    <t>'02084410000193</t>
  </si>
  <si>
    <t>020844100001-93</t>
  </si>
  <si>
    <t>BARRO PRETO</t>
  </si>
  <si>
    <t>COLEGIO ESTADUAL LOMANTO JUNIOR TEMPO INTEGRAL</t>
  </si>
  <si>
    <t>'01930226000154</t>
  </si>
  <si>
    <t>019302260001-54</t>
  </si>
  <si>
    <t>NTE-27</t>
  </si>
  <si>
    <t>BELMONTE</t>
  </si>
  <si>
    <t>COLEGIO ESTADUAL POLIVALENTE DE BELMONTE</t>
  </si>
  <si>
    <t>'02018603000146</t>
  </si>
  <si>
    <t>020186030001-46</t>
  </si>
  <si>
    <t>BUERAREMA</t>
  </si>
  <si>
    <t>COLEGIO ESTADUAL ENEDINA OLIVA TEMPO INTEGRAL</t>
  </si>
  <si>
    <t>'02068319000184</t>
  </si>
  <si>
    <t>020683190001-84</t>
  </si>
  <si>
    <t>CAMACAN</t>
  </si>
  <si>
    <t>COLEGIO ESTADUAL POLIVALENTE DE CAMACAN TEMPO INTEGRAL</t>
  </si>
  <si>
    <t>'01989949000129</t>
  </si>
  <si>
    <t>019899490001-29</t>
  </si>
  <si>
    <t>FIRMINO ALVES</t>
  </si>
  <si>
    <t>CENTRO EDUCACIONAL MONTEIRO LOBATO TEMPO INTEGRAL</t>
  </si>
  <si>
    <t>'02147101000115</t>
  </si>
  <si>
    <t>021471010001-15</t>
  </si>
  <si>
    <t>FLORESTA AZUL</t>
  </si>
  <si>
    <t>COLEGIO ESTADUAL DE TEMPO INTEGRAL FRED GEDEON</t>
  </si>
  <si>
    <t>'01935847000120</t>
  </si>
  <si>
    <t>019358470001-20</t>
  </si>
  <si>
    <t>GANDU</t>
  </si>
  <si>
    <t>COLEGIO ESTADUAL POLIVALENTE DE GANDU TEMPO INTEGRAL</t>
  </si>
  <si>
    <t>'02030507000113</t>
  </si>
  <si>
    <t>020305070001-13</t>
  </si>
  <si>
    <t>CENTRO TERRITORIAL DE EDUCACAO PROFISSIONAL DO BAIXO SUL</t>
  </si>
  <si>
    <t>'02021953000161</t>
  </si>
  <si>
    <t>020219530001-61</t>
  </si>
  <si>
    <t>GONGOGI</t>
  </si>
  <si>
    <t>COLEGIO ESTADUAL JOSE ARAUJO PEREIRA TEMPO INTEGRAL</t>
  </si>
  <si>
    <t>'01954897000155</t>
  </si>
  <si>
    <t>019548970001-55</t>
  </si>
  <si>
    <t>IBIRATAIA</t>
  </si>
  <si>
    <t>COLEGIO ESTADUAL DE IBIRATAIA TEMPO INTEGRAL</t>
  </si>
  <si>
    <t>'02070491000172</t>
  </si>
  <si>
    <t>020704910001-72</t>
  </si>
  <si>
    <t>ILHEUS</t>
  </si>
  <si>
    <t>'01948551000144</t>
  </si>
  <si>
    <t>019485510001-44</t>
  </si>
  <si>
    <t>COLEGIO DA POLICIA MILITAR CPM ROMULO GALVAO</t>
  </si>
  <si>
    <t>'01962660000116</t>
  </si>
  <si>
    <t>019626600001-16</t>
  </si>
  <si>
    <t>CENTRO ESTADUAL DE EDUCACAO PROFISSIONAL DO CHOCOLATE NELSON</t>
  </si>
  <si>
    <t>'02001093000102</t>
  </si>
  <si>
    <t>020010930001-02</t>
  </si>
  <si>
    <t>COLEGIO ESTADUAL MOYSES BOHANA TEMPO INTEGRAL</t>
  </si>
  <si>
    <t>'01948982000100</t>
  </si>
  <si>
    <t>019489820001-00</t>
  </si>
  <si>
    <t>COLEGIO ESTADUAL DO IGUAPE TEMPO INTEGRAL</t>
  </si>
  <si>
    <t>'02216376000163</t>
  </si>
  <si>
    <t>022163760001-63</t>
  </si>
  <si>
    <t>COLEGIO ESTADUAL DE TEMPO INTEGRAL PROF CARLOS ROBERTO ARLEO</t>
  </si>
  <si>
    <t>'01939272000114</t>
  </si>
  <si>
    <t>019392720001-14</t>
  </si>
  <si>
    <t>COLEGIO ESTADUAL DO CAMPO JORGE CALMON DISTRITO DE OLIVENCA</t>
  </si>
  <si>
    <t>'01948549000175</t>
  </si>
  <si>
    <t>019485490001-75</t>
  </si>
  <si>
    <t>IPIAU</t>
  </si>
  <si>
    <t>COLEGIO ESTADUAL DE IPIAU</t>
  </si>
  <si>
    <t>'02146761000181</t>
  </si>
  <si>
    <t>021467610001-81</t>
  </si>
  <si>
    <t>CENTRO TERRITORIAL DE EDUCACAO PROFISSIONAL DO MEDIO RIO DAS</t>
  </si>
  <si>
    <t>'09814684000130</t>
  </si>
  <si>
    <t>098146840001-30</t>
  </si>
  <si>
    <t>ITABUNA</t>
  </si>
  <si>
    <t>COLEGIO DA POLICIA MILITAR CPM ANTONIO CARLOS MAGALHAES</t>
  </si>
  <si>
    <t>'01949557000136</t>
  </si>
  <si>
    <t>019495570001-36</t>
  </si>
  <si>
    <t>CENTRO INTEGRADO OSCAR MARINHO FALCAO CIOMF TEMPO INTEGRAL</t>
  </si>
  <si>
    <t>'01894439000178</t>
  </si>
  <si>
    <t>018944390001-78</t>
  </si>
  <si>
    <t>CENTRO ESTADUAL DE EDUCACAO PROFISSIONAL EM BIOTECNOLOGIA E</t>
  </si>
  <si>
    <t>'01933547000102</t>
  </si>
  <si>
    <t>019335470001-02</t>
  </si>
  <si>
    <t>COLEGIO ESTADUAL VALDELICE SOARES PINHEIRO TEMPO INTEGRAL</t>
  </si>
  <si>
    <t>'01933573000130</t>
  </si>
  <si>
    <t>019335730001-30</t>
  </si>
  <si>
    <t>'01934708000182</t>
  </si>
  <si>
    <t>019347080001-82</t>
  </si>
  <si>
    <t>COLEGIO ESTADUAL ADONIAS FILHO TEMPO INTEGRAL</t>
  </si>
  <si>
    <t>'02002540000130</t>
  </si>
  <si>
    <t>020025400001-30</t>
  </si>
  <si>
    <t>COLEGIO ESTADUAL INACIO TOSTA FILHO TEMPO INTEGRAL</t>
  </si>
  <si>
    <t>'01933545000113</t>
  </si>
  <si>
    <t>019335450001-13</t>
  </si>
  <si>
    <t>ITACARE</t>
  </si>
  <si>
    <t>COLEGIO ESTADUAL AURELINO LEAL TEMPO INTEGRAL</t>
  </si>
  <si>
    <t>'02006840000197</t>
  </si>
  <si>
    <t>020068400001-97</t>
  </si>
  <si>
    <t>ITAGIBA</t>
  </si>
  <si>
    <t>COLEGIO ESTADUAL DULCE ALMEIDA TEMPO INTEGRAL</t>
  </si>
  <si>
    <t>'02369300000178</t>
  </si>
  <si>
    <t>023693000001-78</t>
  </si>
  <si>
    <t>ITAJU DO COLONIA</t>
  </si>
  <si>
    <t>COLEGIO ESTADUAL CORDEIRO DE MIRANDA TEMPO INTEGRAL</t>
  </si>
  <si>
    <t>'01943995000197</t>
  </si>
  <si>
    <t>019439950001-97</t>
  </si>
  <si>
    <t>ITAJUIPE</t>
  </si>
  <si>
    <t>COLEGIO POLIVALENTE DE ITAJUIPE TEMPO INTEGRAL</t>
  </si>
  <si>
    <t>'02045986000141</t>
  </si>
  <si>
    <t>020459860001-41</t>
  </si>
  <si>
    <t>ITAMARI</t>
  </si>
  <si>
    <t>COLEGIO ESTADUAL JOAO GALVAO SOBRINHO TEMPO INTEGRAL</t>
  </si>
  <si>
    <t>'02054590000160</t>
  </si>
  <si>
    <t>020545900001-60</t>
  </si>
  <si>
    <t>ITAPE</t>
  </si>
  <si>
    <t>COLEGIO ESTADUAL DE TEMPO INTEGRAL DOM PAULO LOPES DE FARIA</t>
  </si>
  <si>
    <t>'01923802000136</t>
  </si>
  <si>
    <t>019238020001-36</t>
  </si>
  <si>
    <t>ITAPEBI</t>
  </si>
  <si>
    <t>COLEGIO ESTADUAL CLOVIS ADOLPHO STOLZE</t>
  </si>
  <si>
    <t>'01930185000104</t>
  </si>
  <si>
    <t>019301850001-04</t>
  </si>
  <si>
    <t>JUSSARI</t>
  </si>
  <si>
    <t>COLEGIO ESTADUAL AMELIA AMADO TEMPO INTEGRAL</t>
  </si>
  <si>
    <t>'01933569000172</t>
  </si>
  <si>
    <t>019335690001-72</t>
  </si>
  <si>
    <t>MASCOTE</t>
  </si>
  <si>
    <t>COLEGIO ESTADUAL CAROLINA SEVERIANO RIBEIRO TEMPO INTEGRAL</t>
  </si>
  <si>
    <t>'01946901000133</t>
  </si>
  <si>
    <t>019469010001-33</t>
  </si>
  <si>
    <t>COLEGIO ESTADUAL DE TEMPO INTEGRAL PROFESSORA MARILENA SENA</t>
  </si>
  <si>
    <t>'01971452000183</t>
  </si>
  <si>
    <t>019714520001-83</t>
  </si>
  <si>
    <t>SANTA CRUZ DA VITORIA</t>
  </si>
  <si>
    <t>COLEGIO ESTADUAL JOHN KENNEDY</t>
  </si>
  <si>
    <t>'01935438000124</t>
  </si>
  <si>
    <t>019354380001-24</t>
  </si>
  <si>
    <t>SAO JOSE DA VITORIA</t>
  </si>
  <si>
    <t>COLEGIO ESTADUAL 13 DE JUNHO TEMPO INTEGRAL</t>
  </si>
  <si>
    <t>'02026478000116</t>
  </si>
  <si>
    <t>020264780001-16</t>
  </si>
  <si>
    <t>TEOLANDIA</t>
  </si>
  <si>
    <t>COLEGIO ESTADUAL DEMOCRATICA LIBIA TINOCO MELO TEMPO INTEGRA</t>
  </si>
  <si>
    <t>'02000084000199</t>
  </si>
  <si>
    <t>020000840001-99</t>
  </si>
  <si>
    <t>UBAITABA</t>
  </si>
  <si>
    <t>COLEGIO ESTADUAL OCTACILIO MANOEL GOMES TEMPO INTEGRAL</t>
  </si>
  <si>
    <t>'01943996000131</t>
  </si>
  <si>
    <t>019439960001-31</t>
  </si>
  <si>
    <t>UNA</t>
  </si>
  <si>
    <t>COLEGIO ESTADUAL MENANDRO MINAHIM TEMPO INTEGRAL</t>
  </si>
  <si>
    <t>'01959594000125</t>
  </si>
  <si>
    <t>019595940001-25</t>
  </si>
  <si>
    <t>URUCUCA</t>
  </si>
  <si>
    <t>COLEGIO ESTADUAL CARNEIRO RIBEIRO TEMPO INTEGRAL</t>
  </si>
  <si>
    <t>'02027200000163</t>
  </si>
  <si>
    <t>020272000001-63</t>
  </si>
  <si>
    <t>WENCESLAU GUIMARAES</t>
  </si>
  <si>
    <t>COLEGIO ESTADUAL NAIR LOPES JENKINS TEMPO INTEGRAL</t>
  </si>
  <si>
    <t>'02169109000182</t>
  </si>
  <si>
    <t>021691090001-82</t>
  </si>
  <si>
    <t>NTE-07</t>
  </si>
  <si>
    <t>CARAVELAS</t>
  </si>
  <si>
    <t>COLEGIO POLIVALENTE DE CARAVELAS TEMPO INTEGRAL</t>
  </si>
  <si>
    <t>'02029679000177</t>
  </si>
  <si>
    <t>020296790001-77</t>
  </si>
  <si>
    <t>EUNAPOLIS</t>
  </si>
  <si>
    <t>'02914160000171</t>
  </si>
  <si>
    <t>029141600001-71</t>
  </si>
  <si>
    <t>COLEGIO ESTADUAL ELOYNA BARRADAS</t>
  </si>
  <si>
    <t>'02075479000150</t>
  </si>
  <si>
    <t>020754790001-50</t>
  </si>
  <si>
    <t>COLEGIO ESTADUAL BADEN POWELL</t>
  </si>
  <si>
    <t>'01979557000189</t>
  </si>
  <si>
    <t>019795570001-89</t>
  </si>
  <si>
    <t>GUARATINGA</t>
  </si>
  <si>
    <t>COLEGIO ESTADUAL JESUS MOURA</t>
  </si>
  <si>
    <t>'02075566000108</t>
  </si>
  <si>
    <t>020755660001-08</t>
  </si>
  <si>
    <t>ITABELA</t>
  </si>
  <si>
    <t>COLEGIO ESTADUAL PAULO FREIRE</t>
  </si>
  <si>
    <t>'01956940000111</t>
  </si>
  <si>
    <t>019569400001-11</t>
  </si>
  <si>
    <t>ITAGIMIRIM</t>
  </si>
  <si>
    <t>COLEGIO ESTADUAL LOIDE ALCANTARA NEVES</t>
  </si>
  <si>
    <t>'01943939000152</t>
  </si>
  <si>
    <t>019439390001-52</t>
  </si>
  <si>
    <t>ITANHEM</t>
  </si>
  <si>
    <t>COLEGIO POLIVALENTE DE ITANHEM TEMPO INTEGRAL</t>
  </si>
  <si>
    <t>'01963914000110</t>
  </si>
  <si>
    <t>019639140001-10</t>
  </si>
  <si>
    <t>JUCURUCU</t>
  </si>
  <si>
    <t>COLEGIO ESTADUAL PROFESSORA MARIA EDITE VIEIRA GUSMAO TEMPO</t>
  </si>
  <si>
    <t>'01951711000104</t>
  </si>
  <si>
    <t>019517110001-04</t>
  </si>
  <si>
    <t>LAJEDAO</t>
  </si>
  <si>
    <t>COLEGIO ESTADUAL PROFESSORA NEIDE SOARES BORGES</t>
  </si>
  <si>
    <t>'03173389000165</t>
  </si>
  <si>
    <t>031733890001-65</t>
  </si>
  <si>
    <t>MUCURI</t>
  </si>
  <si>
    <t>COLEGIO ESTADUAL JACI FERREIRA DOS SANTOS TEMPO INTEGRAL</t>
  </si>
  <si>
    <t>'01963921000112</t>
  </si>
  <si>
    <t>019639210001-12</t>
  </si>
  <si>
    <t>NOVA VICOSA</t>
  </si>
  <si>
    <t>COLEGIO ESTADUAL PROFESSORA JANE ASSIS PEIXOTO DISTRITO POST</t>
  </si>
  <si>
    <t>'02135464000130</t>
  </si>
  <si>
    <t>021354640001-30</t>
  </si>
  <si>
    <t>PORTO SEGURO</t>
  </si>
  <si>
    <t>'02135219000123</t>
  </si>
  <si>
    <t>021352190001-23</t>
  </si>
  <si>
    <t>CENTRO ESTADUAL DE EDUCACAO PROFISSIONAL 2 DE JULHO</t>
  </si>
  <si>
    <t>'02029685000124</t>
  </si>
  <si>
    <t>020296850001-24</t>
  </si>
  <si>
    <t>PRADO</t>
  </si>
  <si>
    <t>COLEGIO ESTADUAL INDIGENA DE CORUMBAUZINHO ALDEIA CORUMBAUZI</t>
  </si>
  <si>
    <t>'11283481000106</t>
  </si>
  <si>
    <t>112834810001-06</t>
  </si>
  <si>
    <t>COLEGIO ESTADUAL INDIGENA BOM JESUS ALDEIA INDIGENA AGUAS BE</t>
  </si>
  <si>
    <t>'11487496000196</t>
  </si>
  <si>
    <t>114874960001-96</t>
  </si>
  <si>
    <t>TEIXEIRA DE FREITAS</t>
  </si>
  <si>
    <t>COLEGIO ESTADUAL PROFESSOR ROMULO GALVAO MONTE CASTELO TEMPO</t>
  </si>
  <si>
    <t>'02048035000126</t>
  </si>
  <si>
    <t>020480350001-26</t>
  </si>
  <si>
    <t>COLEGIO ESTADUAL DEMOCRATICO RUY BARBOSA TEMPO INTEGRAL</t>
  </si>
  <si>
    <t>'02011349000154</t>
  </si>
  <si>
    <t>020113490001-54</t>
  </si>
  <si>
    <t>COLEGIO DA POLICIA MILITAR CPM ANISIO TEIXEIRA</t>
  </si>
  <si>
    <t>'02011347000165</t>
  </si>
  <si>
    <t>020113470001-65</t>
  </si>
  <si>
    <t>VEREDA</t>
  </si>
  <si>
    <t>COLEGIO ESTADUAL FRANCISCO SILVA PASSOS DISTRITO CRUZEIRO DO</t>
  </si>
  <si>
    <t>'01945439000150</t>
  </si>
  <si>
    <t>019454390001-50</t>
  </si>
  <si>
    <t>CENTRO TERRITORIAL DE EDUCACAO PROFISSIONAL ITAPARICA II WIL</t>
  </si>
  <si>
    <t>'01999081000148</t>
  </si>
  <si>
    <t>019990810001-48</t>
  </si>
  <si>
    <t>MUQUEM DE SAO FRANCISCO</t>
  </si>
  <si>
    <t>COLEGIO ESTADUAL SUZANA DE ARAUJO BONFIM</t>
  </si>
  <si>
    <t>'01951775000105</t>
  </si>
  <si>
    <t>019517750001-05</t>
  </si>
  <si>
    <t>JACARACI</t>
  </si>
  <si>
    <t>COLEGIO ESTADUAL ZULEIDE FREIRE DE ABREU TEMPO INTEGRAL</t>
  </si>
  <si>
    <t>'01948514000136</t>
  </si>
  <si>
    <t>019485140001-36</t>
  </si>
  <si>
    <t>COLEGIO ESTADUAL BENTO ALVES DAS NEVES</t>
  </si>
  <si>
    <t>'02029713000103</t>
  </si>
  <si>
    <t>020297130001-03</t>
  </si>
  <si>
    <t>'02898311000145</t>
  </si>
  <si>
    <t>028983110001-45</t>
  </si>
  <si>
    <t>COLEGIO ESTADUAL PROFESSOR CARLOS ALBERTO CERQUEIRA</t>
  </si>
  <si>
    <t>'01990060000161</t>
  </si>
  <si>
    <t>019900600001-61</t>
  </si>
  <si>
    <t>COLEGIO ESTADUAL DAVID MENDES PEREIRA</t>
  </si>
  <si>
    <t>'01979666000104</t>
  </si>
  <si>
    <t>019796660001-04</t>
  </si>
  <si>
    <t>COLEGIO ESTADUAL EDUARDO BAHIANA</t>
  </si>
  <si>
    <t>'01993147000192</t>
  </si>
  <si>
    <t>019931470001-92</t>
  </si>
  <si>
    <t>IRAJUBA</t>
  </si>
  <si>
    <t>COLEGIO ESTADUAL PROFESSOR ISAIAS ALEIXO</t>
  </si>
  <si>
    <t>'02446638000186</t>
  </si>
  <si>
    <t>024466380001-86</t>
  </si>
  <si>
    <t>VARZEA NOVA</t>
  </si>
  <si>
    <t>COLEGIO ESTADUAL PROFESSORA ADJACI MARTINS DURANS TEMPO INTE</t>
  </si>
  <si>
    <t>'02005545000116</t>
  </si>
  <si>
    <t>020055450001-16</t>
  </si>
  <si>
    <t>RIACHAO DAS NEVES</t>
  </si>
  <si>
    <t>COLEGIO ESTADUAL RODOLFO DE QUEIROZ TEMPO INTEGRAL</t>
  </si>
  <si>
    <t>'02029412000180</t>
  </si>
  <si>
    <t>020294120001-80</t>
  </si>
  <si>
    <t>COLEGIO ESTADUAL PROFESSOR CARLOS BARROS</t>
  </si>
  <si>
    <t>'01986684000105</t>
  </si>
  <si>
    <t>019866840001-05</t>
  </si>
  <si>
    <t>CENTRO TERRITORIAL DE EDUCACAO PROFIS DO PIEMONTE DA DIAMANT</t>
  </si>
  <si>
    <t>'01983231000125</t>
  </si>
  <si>
    <t>019832310001-25</t>
  </si>
  <si>
    <t>COLEGIO ESTADUAL ANISIO LOUREIRO TEMPO INTEGRAL DISTRITO DE</t>
  </si>
  <si>
    <t>'01995412000171</t>
  </si>
  <si>
    <t>019954120001-71</t>
  </si>
  <si>
    <t>COLEGIO ESTADUAL INDIGENA ANGELO PEREIRA XAVIER</t>
  </si>
  <si>
    <t>'03162010000111</t>
  </si>
  <si>
    <t>031620100001-11</t>
  </si>
  <si>
    <t>SAO JOSE DO JACUIPE</t>
  </si>
  <si>
    <t>COLEGIO ESTADUAL DE TEMPO INTEGRAL BERILO VILAS BOAS</t>
  </si>
  <si>
    <t>'02069647000103</t>
  </si>
  <si>
    <t>020696470001-03</t>
  </si>
  <si>
    <t>ESCOLA ESTADUAL LEA LEAL TEMPO INTEGRAL</t>
  </si>
  <si>
    <t>'02217497000120</t>
  </si>
  <si>
    <t>022174970001-20</t>
  </si>
  <si>
    <t>COLEGIO ESTADUAL DALVA MATOS TEMPO INTEGRAL</t>
  </si>
  <si>
    <t>'02017254000148</t>
  </si>
  <si>
    <t>020172540001-48</t>
  </si>
  <si>
    <t>COLEGIO ESTADUAL THALES DE AZEVEDO</t>
  </si>
  <si>
    <t>'03841724000156</t>
  </si>
  <si>
    <t>038417240001-56</t>
  </si>
  <si>
    <t>COLEGIO DA POLICIA MILITAR CPM LUIZ TARQUINIO</t>
  </si>
  <si>
    <t>'01994000000117</t>
  </si>
  <si>
    <t>019940000001-17</t>
  </si>
  <si>
    <t>ESCOLA ESTADUAL ANISIO TEIXEIRA CLASSE VI TEMPO INTEGRAL</t>
  </si>
  <si>
    <t>'02117571000136</t>
  </si>
  <si>
    <t>021175710001-36</t>
  </si>
  <si>
    <t>'04788166000175</t>
  </si>
  <si>
    <t>047881660001-75</t>
  </si>
  <si>
    <t>COLEGIO ESTADUAL HERMANO GOUVEIA NETO</t>
  </si>
  <si>
    <t>'02016575000128</t>
  </si>
  <si>
    <t>020165750001-28</t>
  </si>
  <si>
    <t>PINDAI</t>
  </si>
  <si>
    <t>COLEGIO ESTADUAL DE TEMPO INTEGRAL PETRONILIO DA SILVA PRADO</t>
  </si>
  <si>
    <t>'03183984000181</t>
  </si>
  <si>
    <t>031839840001-81</t>
  </si>
  <si>
    <t>COLEGIO ESTADUAL RAYMUNDO MATTA</t>
  </si>
  <si>
    <t>'03691635000170</t>
  </si>
  <si>
    <t>036916350001-70</t>
  </si>
  <si>
    <t>COLEGIO ESTADUAL DE MONTE GORDO</t>
  </si>
  <si>
    <t>'14797845000164</t>
  </si>
  <si>
    <t>147978450001-64</t>
  </si>
  <si>
    <t>COLEGIO ESTADUAL DO CAMPO ALUIZIO CARNEIRO DA SILVA</t>
  </si>
  <si>
    <t>'03335438000119</t>
  </si>
  <si>
    <t>033354380001-19</t>
  </si>
  <si>
    <t>COLEGIO ESTADUAL INDIGENA XUCURU KARIRI</t>
  </si>
  <si>
    <t>'20524805000141</t>
  </si>
  <si>
    <t>205248050001-41</t>
  </si>
  <si>
    <t>COLEGIO ESTADUAL MACHADO DE ASSIS TEMPO INTEGRAL</t>
  </si>
  <si>
    <t>'02011350000189</t>
  </si>
  <si>
    <t>020113500001-89</t>
  </si>
  <si>
    <t>COLEGIO ESTADUAL ANA LUCIA CASTELO BRANCO TEMPO INTEGRAL</t>
  </si>
  <si>
    <t>'01983208000130</t>
  </si>
  <si>
    <t>019832080001-30</t>
  </si>
  <si>
    <t>ESCOLA ESTADUAL INDIGENA MANOEL COELHO</t>
  </si>
  <si>
    <t>'07687160000108</t>
  </si>
  <si>
    <t>076871600001-08</t>
  </si>
  <si>
    <t>ESCOLA ESTADUAL SEVERINO VIEIRA TEMPO INTEGRAL</t>
  </si>
  <si>
    <t>'03566986000150</t>
  </si>
  <si>
    <t>035669860001-50</t>
  </si>
  <si>
    <t>LUIS EDUARDO MAGALHAES</t>
  </si>
  <si>
    <t>COLEGIO ESTADUAL MIMOSO DO OESTE TEMPO INTEGRAL</t>
  </si>
  <si>
    <t>'04683822000175</t>
  </si>
  <si>
    <t>046838220001-75</t>
  </si>
  <si>
    <t>COLEGIO ESTADUAL HERCULANO FARIA</t>
  </si>
  <si>
    <t>'03816102000178</t>
  </si>
  <si>
    <t>038161020001-78</t>
  </si>
  <si>
    <t>COLEGIO DA POLICIA MILITAR CPM FRANCISCO PEDRO DE OLIVEIRA</t>
  </si>
  <si>
    <t>'03416993000175</t>
  </si>
  <si>
    <t>034169930001-75</t>
  </si>
  <si>
    <t>BOTUPORA</t>
  </si>
  <si>
    <t>COLEGIO ESTADUAL DO CAMPO DE BOTUPORA TEMPO INTEGRAL</t>
  </si>
  <si>
    <t>'03484726000135</t>
  </si>
  <si>
    <t>034847260001-35</t>
  </si>
  <si>
    <t>BOQUIRA</t>
  </si>
  <si>
    <t>COLEGIO ESTADUAL DE BOQUIRA TEMPO INTEGRAL</t>
  </si>
  <si>
    <t>'03159286000140</t>
  </si>
  <si>
    <t>031592860001-40</t>
  </si>
  <si>
    <t>COLEGIO ESTADUAL NERCY ANTONIO DUARTE TEMPO INTEGRAL</t>
  </si>
  <si>
    <t>'04089301000194</t>
  </si>
  <si>
    <t>040893010001-94</t>
  </si>
  <si>
    <t>COLEGIO ESTADUAL SAO VICENTE DE PAULO TEMPO INTEGRAL</t>
  </si>
  <si>
    <t>'03733457000101</t>
  </si>
  <si>
    <t>037334570001-01</t>
  </si>
  <si>
    <t>COLEGIO ESTADUAL DE TEMPO INTEGRAL JORGE AMADO</t>
  </si>
  <si>
    <t>'04130992000122</t>
  </si>
  <si>
    <t>041309920001-22</t>
  </si>
  <si>
    <t>COLEGIO ESTADUAL HELENA ASSIS SUZART</t>
  </si>
  <si>
    <t>'04135529000173</t>
  </si>
  <si>
    <t>041355290001-73</t>
  </si>
  <si>
    <t>COLEGIO MODELO LUIS EDUARDO MAGALHAES TEMPO INTEGRAL</t>
  </si>
  <si>
    <t>'03726397000191</t>
  </si>
  <si>
    <t>037263970001-91</t>
  </si>
  <si>
    <t>CENTRO TERRITORIAL DE EDUCACAO PROFISSIONAL DO EXTREMO SUL</t>
  </si>
  <si>
    <t>'04663655000109</t>
  </si>
  <si>
    <t>046636550001-09</t>
  </si>
  <si>
    <t>'04710461000109</t>
  </si>
  <si>
    <t>047104610001-09</t>
  </si>
  <si>
    <t>COLEGIO ESTADUAL EDILSON FREIRE</t>
  </si>
  <si>
    <t>'03205577000128</t>
  </si>
  <si>
    <t>032055770001-28</t>
  </si>
  <si>
    <t>'04214270000156</t>
  </si>
  <si>
    <t>042142700001-56</t>
  </si>
  <si>
    <t>'03404204000186</t>
  </si>
  <si>
    <t>034042040001-86</t>
  </si>
  <si>
    <t>MORRO DO CHAPEU</t>
  </si>
  <si>
    <t>CENTRO TERRITORIAL DE EDUCACAO PROFISSIONAL DA CHAPADA DIAMA</t>
  </si>
  <si>
    <t>'03171841000150</t>
  </si>
  <si>
    <t>031718410001-50</t>
  </si>
  <si>
    <t>COLEGIO ESTADUAL LUIS EDUARDO MAGALHAES TEMPO INTEGRAL</t>
  </si>
  <si>
    <t>'04851969000127</t>
  </si>
  <si>
    <t>048519690001-27</t>
  </si>
  <si>
    <t>COLEGIO ESTADUAL LUCIANO PASSOS</t>
  </si>
  <si>
    <t>'03402308000151</t>
  </si>
  <si>
    <t>034023080001-51</t>
  </si>
  <si>
    <t>CENTRO TERRITORIAL DE EDUCACAO PROFISSIONAL DO VELHO CHICO</t>
  </si>
  <si>
    <t>'03781928000149</t>
  </si>
  <si>
    <t>037819280001-49</t>
  </si>
  <si>
    <t>BRUMADO</t>
  </si>
  <si>
    <t>CENTRO ESTADUAL DE EDUCACAO PROFISSIONAL EM GESTAO E MEIO AM</t>
  </si>
  <si>
    <t>'03963304000142</t>
  </si>
  <si>
    <t>039633040001-42</t>
  </si>
  <si>
    <t>COLEGIO MODELO LUIS EDUARDO MAGALHAES</t>
  </si>
  <si>
    <t>'04008526000179</t>
  </si>
  <si>
    <t>040085260001-79</t>
  </si>
  <si>
    <t>'03869729000197</t>
  </si>
  <si>
    <t>038697290001-97</t>
  </si>
  <si>
    <t>'03844052000132</t>
  </si>
  <si>
    <t>038440520001-32</t>
  </si>
  <si>
    <t>COLEGIO ESTADUAL PROFESSORA GILDETE DE SOUZA VIANA</t>
  </si>
  <si>
    <t>'03822966000100</t>
  </si>
  <si>
    <t>038229660001-00</t>
  </si>
  <si>
    <t>'03892238000167</t>
  </si>
  <si>
    <t>038922380001-67</t>
  </si>
  <si>
    <t>COLEGIO ESTADUAL VITORIA LIMA DE OLIVEIRA TEMPO INTEGRAL DIS</t>
  </si>
  <si>
    <t>'30624557000164</t>
  </si>
  <si>
    <t>306245570001-64</t>
  </si>
  <si>
    <t>COLEGIO ESTADUAL SISINIO RIBEIRO SILVA DISTRITO DE LINDO HOR</t>
  </si>
  <si>
    <t>'14527183000102</t>
  </si>
  <si>
    <t>145271830001-02</t>
  </si>
  <si>
    <t>CENTRO ESTADUAL DE EDUCACAO PROFISSIONAL DO CAMPO PAULO FREI</t>
  </si>
  <si>
    <t>'15339309000188</t>
  </si>
  <si>
    <t>153393090001-88</t>
  </si>
  <si>
    <t>SANTA CRUZ CABRALIA</t>
  </si>
  <si>
    <t>COLEGIO ESTADUAL INDIGENA COROA VERMELHA</t>
  </si>
  <si>
    <t>'14237555000166</t>
  </si>
  <si>
    <t>142375550001-66</t>
  </si>
  <si>
    <t>COLEGIO ESTADUAL DO CAMPO SIDNEY MASCARENHAS DISTRITO DE JAV</t>
  </si>
  <si>
    <t>'31558039000152</t>
  </si>
  <si>
    <t>315580390001-52</t>
  </si>
  <si>
    <t>COLEGIO ESTADUAL PROFESSORA NADIR ARAUJO COPQUE TEMPO INTEGR</t>
  </si>
  <si>
    <t>'20586264000186</t>
  </si>
  <si>
    <t>205862640001-86</t>
  </si>
  <si>
    <t>CAPELA DO ALTO ALEGRE</t>
  </si>
  <si>
    <t>COLEGIO ESTADUAL DE TEMPO INTEGRAL PROFESSORA ZENILDA FERNAN</t>
  </si>
  <si>
    <t>'15135612000169</t>
  </si>
  <si>
    <t>151356120001-69</t>
  </si>
  <si>
    <t>CENTRO ESTADUAL DE EDUCACAO PROFISSIONAL EM TECNOLOGIA INFOR</t>
  </si>
  <si>
    <t>'17298440000170</t>
  </si>
  <si>
    <t>172984400001-70</t>
  </si>
  <si>
    <t>COLEGIO ESTADUAL DO CAMPO JOAO MARQUES DA SILVA POVOADO DE B</t>
  </si>
  <si>
    <t>'13832627000150</t>
  </si>
  <si>
    <t>138326270001-50</t>
  </si>
  <si>
    <t>COLEGIO ESTADUAL DO CAMPO DE ICO TEMPO INTEGRAL</t>
  </si>
  <si>
    <t>'14728229000151</t>
  </si>
  <si>
    <t>147282290001-51</t>
  </si>
  <si>
    <t>QUIJINGUE</t>
  </si>
  <si>
    <t>COLEGIO ESTADUAL DE TEMPO INTEGRAL SAO SEBASTIAO DISTRITO DE</t>
  </si>
  <si>
    <t>'17897967000110</t>
  </si>
  <si>
    <t>178979670001-10</t>
  </si>
  <si>
    <t>COLEGIO ESTADUAL ALCIDES AFONSO DE SOUZA ASSENTAMENTO PAULO</t>
  </si>
  <si>
    <t>'31318861000146</t>
  </si>
  <si>
    <t>313188610001-46</t>
  </si>
  <si>
    <t>SALINAS DA MARGARIDA</t>
  </si>
  <si>
    <t>COLEGIO ESTADUAL DE TEMPO INTEGRAL DE SALINAS DA MARGARIDA</t>
  </si>
  <si>
    <t>'04810940000105</t>
  </si>
  <si>
    <t>048109400001-05</t>
  </si>
  <si>
    <t>COLEGIO ESTADUAL PROFESSORA HELEUSA FIGUEIRA CAMARA TEMPO IN</t>
  </si>
  <si>
    <t>'03433923000125</t>
  </si>
  <si>
    <t>034339230001-25</t>
  </si>
  <si>
    <t>COLEGIO ESTADUAL PROFESSOR JORGE RODRIGUES DOS SANTOS TEMPO</t>
  </si>
  <si>
    <t>'03523084000136</t>
  </si>
  <si>
    <t>035230840001-36</t>
  </si>
  <si>
    <t>COLEGIO ESTADUAL PROFESSORA MARIA ODETTE PITHON RAYNAL</t>
  </si>
  <si>
    <t>'04111040000161</t>
  </si>
  <si>
    <t>041110400001-61</t>
  </si>
  <si>
    <t>'04905952000105</t>
  </si>
  <si>
    <t>049059520001-05</t>
  </si>
  <si>
    <t>COLEGIO ESTADUAL PROFESSORA NOEMIA REGO TEMPO INTEGRAL</t>
  </si>
  <si>
    <t>'04798901000121</t>
  </si>
  <si>
    <t>047989010001-21</t>
  </si>
  <si>
    <t>COLEGIO ESTADUAL DE PRAIA GRANDE</t>
  </si>
  <si>
    <t>'04445026000102</t>
  </si>
  <si>
    <t>044450260001-02</t>
  </si>
  <si>
    <t>COLEGIO ESTADUAL PROFESSOR JOSE BARRETO DE ARAUJO BASTOS TEM</t>
  </si>
  <si>
    <t>'04747117000194</t>
  </si>
  <si>
    <t>047471170001-94</t>
  </si>
  <si>
    <t>ESCOLA ESTADUAL PROFESSOR GERMANO MACHADO NETO</t>
  </si>
  <si>
    <t>'04461713000103</t>
  </si>
  <si>
    <t>044617130001-03</t>
  </si>
  <si>
    <t>COLEGIO ESTADUAL PROFESSORA MARIA DE LOURDES PARADA FRANCH</t>
  </si>
  <si>
    <t>'04905963000195</t>
  </si>
  <si>
    <t>049059630001-95</t>
  </si>
  <si>
    <t>COLEGIO ESTADUAL MANOEL DE JESUS</t>
  </si>
  <si>
    <t>'04777214000120</t>
  </si>
  <si>
    <t>047772140001-20</t>
  </si>
  <si>
    <t>SANTA LUZIA</t>
  </si>
  <si>
    <t>COLEGIO ESTADUAL JORGE AMADO</t>
  </si>
  <si>
    <t>'04030208000104</t>
  </si>
  <si>
    <t>040302080001-04</t>
  </si>
  <si>
    <t>COLEGIO ESTADUAL PROFESSOR FABIO ARARIPE GOULART TEMPO INTEG</t>
  </si>
  <si>
    <t>'04795652000110</t>
  </si>
  <si>
    <t>047956520001-10</t>
  </si>
  <si>
    <t>PAU BRASIL</t>
  </si>
  <si>
    <t>COLEGIO ESTADUAL DA ALDEIA INDIGENA CARAMURU PARAGUACU TEMPO</t>
  </si>
  <si>
    <t>'01946109000189</t>
  </si>
  <si>
    <t>019461090001-89</t>
  </si>
  <si>
    <t>NOVA SOURE</t>
  </si>
  <si>
    <t>COLEGIO ESTADUAL DE TEMPO INTEGRAL SERTAO DA NATUBA DE NOVA</t>
  </si>
  <si>
    <t>'04633025000183</t>
  </si>
  <si>
    <t>046330250001-83</t>
  </si>
  <si>
    <t>COLEGIO ESTADUAL LUISA MAHIM TEMPO INTEGRAL</t>
  </si>
  <si>
    <t>'04665251000146</t>
  </si>
  <si>
    <t>046652510001-46</t>
  </si>
  <si>
    <t>CARAIBAS</t>
  </si>
  <si>
    <t>COLEGIO ESTADUAL PETRINA NOVAIS SILVA CAIRO TEMPO INTEGRAL</t>
  </si>
  <si>
    <t>'04764711000193</t>
  </si>
  <si>
    <t>047647110001-93</t>
  </si>
  <si>
    <t>MUTUIPE</t>
  </si>
  <si>
    <t>COLEGIO ESTADUAL ANTONIO FELIPE EVANGELISTA NETO TEMPO INTEG</t>
  </si>
  <si>
    <t>'04753574000191</t>
  </si>
  <si>
    <t>047535740001-91</t>
  </si>
  <si>
    <t>ICHU</t>
  </si>
  <si>
    <t>COLEGIO ESTADUAL ARISTIDES CEDRAZ DE OLIVEIRA TEMPO INTEGRAL</t>
  </si>
  <si>
    <t>'03970750000184</t>
  </si>
  <si>
    <t>039707500001-84</t>
  </si>
  <si>
    <t>COLEGIO ESTADUAL PROFESSORA MARIA BERNADETE BRANDAO</t>
  </si>
  <si>
    <t>'04783412000104</t>
  </si>
  <si>
    <t>047834120001-04</t>
  </si>
  <si>
    <t>MONTE SANTO</t>
  </si>
  <si>
    <t>COLEGIO ESTADUAL SANTA CRUZ TEMPO INTEGRAL</t>
  </si>
  <si>
    <t>'04524330000137</t>
  </si>
  <si>
    <t>045243300001-37</t>
  </si>
  <si>
    <t>'05065942000171</t>
  </si>
  <si>
    <t>050659420001-71</t>
  </si>
  <si>
    <t>COLEGIO ESTADUAL DE PLATAFORMA</t>
  </si>
  <si>
    <t>'05089044000153</t>
  </si>
  <si>
    <t>050890440001-53</t>
  </si>
  <si>
    <t>COLEGIO ESTADUAL CIDADE DE CANDEIAS</t>
  </si>
  <si>
    <t>'17349737000117</t>
  </si>
  <si>
    <t>173497370001-17</t>
  </si>
  <si>
    <t>'04735750000162</t>
  </si>
  <si>
    <t>047357500001-62</t>
  </si>
  <si>
    <t>'04753270000124</t>
  </si>
  <si>
    <t>047532700001-24</t>
  </si>
  <si>
    <t>COLEGIO ESTADUAL DO CAMPO MANOEL BENEDITO MASCARENHAS</t>
  </si>
  <si>
    <t>'05133445000163</t>
  </si>
  <si>
    <t>051334450001-63</t>
  </si>
  <si>
    <t>BURITIRAMA</t>
  </si>
  <si>
    <t>COLEGIO ESTADUAL ANTONIO RODRIGUES VIANA TEMPO INTEGRAL</t>
  </si>
  <si>
    <t>'05398492000139</t>
  </si>
  <si>
    <t>053984920001-39</t>
  </si>
  <si>
    <t>CENTRO TERRITORIAL DE EDUCACAO PROFISSIONAL DO PIEMONTE NORT</t>
  </si>
  <si>
    <t>'05051029000116</t>
  </si>
  <si>
    <t>050510290001-16</t>
  </si>
  <si>
    <t>TANHACU</t>
  </si>
  <si>
    <t>COLEGIO ESTADUAL DE TEMPO INTEGRAL EVA ROCHA</t>
  </si>
  <si>
    <t>'05092520000195</t>
  </si>
  <si>
    <t>050925200001-95</t>
  </si>
  <si>
    <t>COLEGIO ESTADUAL DE PORTO SEGURO</t>
  </si>
  <si>
    <t>'04879984000183</t>
  </si>
  <si>
    <t>048799840001-83</t>
  </si>
  <si>
    <t>IBIRAPITANGA</t>
  </si>
  <si>
    <t>COLEGIO ESTADUAL PAULO CESAR DA NOVA ALMEIDA TEMPO INTEGRAL</t>
  </si>
  <si>
    <t>'05929020000165</t>
  </si>
  <si>
    <t>059290200001-65</t>
  </si>
  <si>
    <t>COLEGIO ESTADUAL INDIGENA CAPITAO FRANCISCO RODELAS</t>
  </si>
  <si>
    <t>'07677012000102</t>
  </si>
  <si>
    <t>076770120001-02</t>
  </si>
  <si>
    <t>COLEGIO ESTADUAL JOSE LOURENCO DE CARVALHO TEMPO INTEGRAL</t>
  </si>
  <si>
    <t>'10801539000101</t>
  </si>
  <si>
    <t>108015390001-01</t>
  </si>
  <si>
    <t>CORONEL JOAO SA</t>
  </si>
  <si>
    <t>'07857644000140</t>
  </si>
  <si>
    <t>078576440001-40</t>
  </si>
  <si>
    <t>'05776269000188</t>
  </si>
  <si>
    <t>057762690001-88</t>
  </si>
  <si>
    <t>RAFAEL JAMBEIRO</t>
  </si>
  <si>
    <t>COLEGIO ESTADUAL ANA LUCIA MAGALHAES</t>
  </si>
  <si>
    <t>'05532061000113</t>
  </si>
  <si>
    <t>055320610001-13</t>
  </si>
  <si>
    <t>IBIASSUCE</t>
  </si>
  <si>
    <t>COLEGIO ESTADUAL ANTONIO FIGUEREDO TEMPO INTEGRAL</t>
  </si>
  <si>
    <t>'07581367000195</t>
  </si>
  <si>
    <t>075813670001-95</t>
  </si>
  <si>
    <t>COLEGIO ESTADUAL DE TEMPO INTEGRAL SAO JOSE</t>
  </si>
  <si>
    <t>'05168955000176</t>
  </si>
  <si>
    <t>051689550001-76</t>
  </si>
  <si>
    <t>NOVA REDENCAO</t>
  </si>
  <si>
    <t>COLEGIO ESTADUAL EDILSON JOAQUIM DOS SANTOS TEMPO INTEGRAL</t>
  </si>
  <si>
    <t>'06940964000104</t>
  </si>
  <si>
    <t>069409640001-04</t>
  </si>
  <si>
    <t>ANDARAI</t>
  </si>
  <si>
    <t>COLEGIO ESTADUAL DE TEMPO INTEGRAL EDGAR SILVA TEMPO INTEGRA</t>
  </si>
  <si>
    <t>'05445190000174</t>
  </si>
  <si>
    <t>054451900001-74</t>
  </si>
  <si>
    <t>UIBAI</t>
  </si>
  <si>
    <t>COLEGIO ESTADUAL MANOEL LEVI TEMPO INTEGRAL</t>
  </si>
  <si>
    <t>'11833292000160</t>
  </si>
  <si>
    <t>118332920001-60</t>
  </si>
  <si>
    <t>PARATINGA</t>
  </si>
  <si>
    <t>COLEGIO ESTADUAL EVANDRO BRANDAO TEMPO INTEGRAL</t>
  </si>
  <si>
    <t>'07472882000137</t>
  </si>
  <si>
    <t>074728820001-37</t>
  </si>
  <si>
    <t>AIQUARA</t>
  </si>
  <si>
    <t>COLEGIO ESTADUAL DE AIQUARA TEMPO INTEGRAL</t>
  </si>
  <si>
    <t>'05726356000120</t>
  </si>
  <si>
    <t>057263560001-20</t>
  </si>
  <si>
    <t>COLEGIO ESTADUAL NOSSA SENHORA DA CONCEICAO TEMPO INTEGRAL</t>
  </si>
  <si>
    <t>'05378327000115</t>
  </si>
  <si>
    <t>053783270001-15</t>
  </si>
  <si>
    <t>'05064450000161</t>
  </si>
  <si>
    <t>050644500001-61</t>
  </si>
  <si>
    <t>COLEGIO ESTADUAL CASTRO ALVES DISTRITO DE ACUPE</t>
  </si>
  <si>
    <t>'22295039000116</t>
  </si>
  <si>
    <t>222950390001-16</t>
  </si>
  <si>
    <t>COLEGIO ESTADUAL JOAO CARDOSO DOS SANTOS TEMPO INTEGRAL</t>
  </si>
  <si>
    <t>'06351008000189</t>
  </si>
  <si>
    <t>063510080001-89</t>
  </si>
  <si>
    <t>CENTRO TERRITORIAL DE EDUCACAO PROFISSIONAL DE TEMPO INTEGRA</t>
  </si>
  <si>
    <t>'07455288000138</t>
  </si>
  <si>
    <t>074552880001-38</t>
  </si>
  <si>
    <t>PIRITIBA</t>
  </si>
  <si>
    <t>COLEGIO ESTADUAL PROFESSORA AYDIL LIMA DOS SANTOS</t>
  </si>
  <si>
    <t>'05740864000163</t>
  </si>
  <si>
    <t>057408640001-63</t>
  </si>
  <si>
    <t>BREJOLANDIA</t>
  </si>
  <si>
    <t>COLEGIO ESTADUAL LUIS EDUARDO MAGALHAES</t>
  </si>
  <si>
    <t>'05266059000140</t>
  </si>
  <si>
    <t>052660590001-40</t>
  </si>
  <si>
    <t>COLEGIO ESTADUAL CONSTANTINO CATARINO DE SOUZA</t>
  </si>
  <si>
    <t>'05038472000157</t>
  </si>
  <si>
    <t>050384720001-57</t>
  </si>
  <si>
    <t>COLEGIO ESTADUAL DO CAMPO PROJETO FORMOSO</t>
  </si>
  <si>
    <t>'07774021000103</t>
  </si>
  <si>
    <t>077740210001-03</t>
  </si>
  <si>
    <t>DIAS DAVILA</t>
  </si>
  <si>
    <t>COLEGIO ESTADUAL PROFESSOR EDILSON SOUTO FREIRE</t>
  </si>
  <si>
    <t>'05150600000150</t>
  </si>
  <si>
    <t>051506000001-50</t>
  </si>
  <si>
    <t>COLEGIO ESTADUAL ARRAIAL D AJUDA</t>
  </si>
  <si>
    <t>'08166123000109</t>
  </si>
  <si>
    <t>081661230001-09</t>
  </si>
  <si>
    <t>COLEGIO ESTADUAL PROFESSORA TEREZINHA SCARAMUSSA</t>
  </si>
  <si>
    <t>'10901567000192</t>
  </si>
  <si>
    <t>109015670001-92</t>
  </si>
  <si>
    <t>CENTRO TERRITORIAL DE EDUCACAO PROFISSIONAL DA COSTA DO DESC</t>
  </si>
  <si>
    <t>'05736435000112</t>
  </si>
  <si>
    <t>057364350001-12</t>
  </si>
  <si>
    <t>COLEGIO ESTADUAL DO CAMPO DOUTOR ERALDO TINOCO</t>
  </si>
  <si>
    <t>'18259489000186</t>
  </si>
  <si>
    <t>182594890001-86</t>
  </si>
  <si>
    <t>COLEGIO CENTRAL DE RIBEIRA DO POMBAL</t>
  </si>
  <si>
    <t>'07269407000168</t>
  </si>
  <si>
    <t>072694070001-68</t>
  </si>
  <si>
    <t>PRESIDENTE JANIO QUADROS</t>
  </si>
  <si>
    <t>COLEGIO ESTADUAL DO CAMPO ERALDO TINOCO TEMPO INTEGRAL</t>
  </si>
  <si>
    <t>'07659260000112</t>
  </si>
  <si>
    <t>076592600001-12</t>
  </si>
  <si>
    <t>JUSSARA</t>
  </si>
  <si>
    <t>COLEGIO ESTADUAL DE TEMPO INTEGRAL PROFESSOR ETEVALDO MARTIN</t>
  </si>
  <si>
    <t>'05772121000175</t>
  </si>
  <si>
    <t>057721210001-75</t>
  </si>
  <si>
    <t>UTINGA</t>
  </si>
  <si>
    <t>COLEGIO ESTADUAL PROFESSORA ZENAIDE ALVES BARRETO</t>
  </si>
  <si>
    <t>'07469686000103</t>
  </si>
  <si>
    <t>074696860001-03</t>
  </si>
  <si>
    <t>ITAGI</t>
  </si>
  <si>
    <t>COLEGIO ESTADUAL PROFESSORA RENI MIRANDA FERREIRA TEMPO INTE</t>
  </si>
  <si>
    <t>'05774550000181</t>
  </si>
  <si>
    <t>057745500001-81</t>
  </si>
  <si>
    <t>CRAVOLANDIA</t>
  </si>
  <si>
    <t>COLEGIO ESTADUAL DE CRAVOLANDIA TEMPO INTEGRAL</t>
  </si>
  <si>
    <t>'07132567000160</t>
  </si>
  <si>
    <t>071325670001-60</t>
  </si>
  <si>
    <t>IGRAPIUNA</t>
  </si>
  <si>
    <t>COLEGIO ESTADUAL PROFESSOR NEILTON LIMA MOREIRA TEMPO INTEGR</t>
  </si>
  <si>
    <t>'07615335000163</t>
  </si>
  <si>
    <t>076153350001-63</t>
  </si>
  <si>
    <t>NOVA IBIA</t>
  </si>
  <si>
    <t>COLEGIO ESTADUAL PROFESSORA MARIA LEAL LOPES TEMPO INTEGRAL</t>
  </si>
  <si>
    <t>'07951310000130</t>
  </si>
  <si>
    <t>079513100001-30</t>
  </si>
  <si>
    <t>COLEGIO ESTADUAL DO CAMPO DE ALGODAO TEMPO INTEGRAL DISTRITO</t>
  </si>
  <si>
    <t>'07770408000191</t>
  </si>
  <si>
    <t>077704080001-91</t>
  </si>
  <si>
    <t>COLEGIO ESTADUAL FLAVIANO DANTAS DO NASCIMENTO</t>
  </si>
  <si>
    <t>'07960510000150</t>
  </si>
  <si>
    <t>079605100001-50</t>
  </si>
  <si>
    <t>MORPARA</t>
  </si>
  <si>
    <t>COLEGIO ESTADUAL NEMISIA RIBEIRO DOS SANTOS TEMPO INTEGRAL</t>
  </si>
  <si>
    <t>'06237019000132</t>
  </si>
  <si>
    <t>062370190001-32</t>
  </si>
  <si>
    <t>INHAMBUPE</t>
  </si>
  <si>
    <t>COLEGIO ESTADUAL PROFESSORA SIMONE SIMOES NERI</t>
  </si>
  <si>
    <t>'07438729000193</t>
  </si>
  <si>
    <t>074387290001-93</t>
  </si>
  <si>
    <t>SERRA DO RAMALHO</t>
  </si>
  <si>
    <t>COLEGIO ESTADUAL ANISIO HONORATO GODOY TEMPO INTEGRAL</t>
  </si>
  <si>
    <t>'07264760000155</t>
  </si>
  <si>
    <t>072647600001-55</t>
  </si>
  <si>
    <t>COLEGIO ESTADUAL DE TRANCOSO</t>
  </si>
  <si>
    <t>'11068175000157</t>
  </si>
  <si>
    <t>110681750001-57</t>
  </si>
  <si>
    <t>COLEGIO ESTADUAL LUIZ NAVARRO DE BRITO</t>
  </si>
  <si>
    <t>'05911788000101</t>
  </si>
  <si>
    <t>059117880001-01</t>
  </si>
  <si>
    <t>ITIUBA</t>
  </si>
  <si>
    <t>COLEGIO ESTADUAL ARY SILVA TEMPO INTEGRAL</t>
  </si>
  <si>
    <t>'06065807000199</t>
  </si>
  <si>
    <t>060658070001-99</t>
  </si>
  <si>
    <t>MANSIDAO</t>
  </si>
  <si>
    <t>COLEGIO ESTADUAL PROFESSORA MARIA HELENA OLIVEIRA TEMPO INTE</t>
  </si>
  <si>
    <t>'05904774000160</t>
  </si>
  <si>
    <t>059047740001-60</t>
  </si>
  <si>
    <t>MATINA</t>
  </si>
  <si>
    <t>COLEGIO ESTADUAL GRANDES MESTRES BRASILEIROS TEMPO INTEGRAL</t>
  </si>
  <si>
    <t>'06637014000105</t>
  </si>
  <si>
    <t>066370140001-05</t>
  </si>
  <si>
    <t>PRESIDENTE TANCREDO NEVES</t>
  </si>
  <si>
    <t>COLEGIO ESTADUAL MARIA XAVIER DE ANDRADE REIS</t>
  </si>
  <si>
    <t>'08158718000112</t>
  </si>
  <si>
    <t>081587180001-12</t>
  </si>
  <si>
    <t>NORDESTINA</t>
  </si>
  <si>
    <t>COLEGIO ESTADUAL MANOEL GUIMARAES SANTANA</t>
  </si>
  <si>
    <t>'07700143000155</t>
  </si>
  <si>
    <t>077001430001-55</t>
  </si>
  <si>
    <t>COLEGIO ESTADUAL DE VALENTE</t>
  </si>
  <si>
    <t>'07414419000139</t>
  </si>
  <si>
    <t>074144190001-39</t>
  </si>
  <si>
    <t>COLEGIO ESTADUAL PROFESSORA OLGARINA PITANGUEIRA PINHEIRO</t>
  </si>
  <si>
    <t>'06043345000109</t>
  </si>
  <si>
    <t>060433450001-09</t>
  </si>
  <si>
    <t>CENTRO TERRITORIAL DE EDUCACAO PROFISSIONAL DO SISAL</t>
  </si>
  <si>
    <t>'06748455000176</t>
  </si>
  <si>
    <t>067484550001-76</t>
  </si>
  <si>
    <t>TERRA NOVA</t>
  </si>
  <si>
    <t>COLEGIO ESTADUAL TERRA NOVA</t>
  </si>
  <si>
    <t>'05798660000183</t>
  </si>
  <si>
    <t>057986600001-83</t>
  </si>
  <si>
    <t>SAUBARA</t>
  </si>
  <si>
    <t>COLEGIO ESTADUAL VALDELINA SIQUEIRA SANTOS TEMPO INTEGRAL</t>
  </si>
  <si>
    <t>'05130410000170</t>
  </si>
  <si>
    <t>051304100001-70</t>
  </si>
  <si>
    <t>COLEGIO ESTADUAL ANTONIO DOS SANTOS PAIM DISTRITO OLIVEIRA D</t>
  </si>
  <si>
    <t>'44410626000141</t>
  </si>
  <si>
    <t>444106260001-41</t>
  </si>
  <si>
    <t>CENTRO TERRITORIAL DE EDUCACAO PROFISSIONAL DO RECONCAVO</t>
  </si>
  <si>
    <t>'05849881000133</t>
  </si>
  <si>
    <t>058498810001-33</t>
  </si>
  <si>
    <t>CENTRO ESTADUAL DE EDUCACAO PROFISSIONAL AUREO DE OLIVEIRA F</t>
  </si>
  <si>
    <t>'27547343000127</t>
  </si>
  <si>
    <t>275473430001-27</t>
  </si>
  <si>
    <t>COLEGIO ESTADUAL DOM CLIMERIO ALMEIDA DE ANDRADE TEMPO INTEG</t>
  </si>
  <si>
    <t>'06306149000180</t>
  </si>
  <si>
    <t>063061490001-80</t>
  </si>
  <si>
    <t>'07526044000107</t>
  </si>
  <si>
    <t>075260440001-07</t>
  </si>
  <si>
    <t>COLEGIO ESTADUAL DO CAMPO PEDRO ATANASIO GARCIA DISTRITO DE</t>
  </si>
  <si>
    <t>'08226541000144</t>
  </si>
  <si>
    <t>082265410001-44</t>
  </si>
  <si>
    <t>ALCOBACA</t>
  </si>
  <si>
    <t>COLEGIO ESTADUAL ERALDO TINOCO TEMPO INTEGRAL</t>
  </si>
  <si>
    <t>'07594602000163</t>
  </si>
  <si>
    <t>075946020001-63</t>
  </si>
  <si>
    <t>COLEGIO ESTADUAL INTEGRACAO DISTRITO DE ITABATAN</t>
  </si>
  <si>
    <t>'07487922000114</t>
  </si>
  <si>
    <t>074879220001-14</t>
  </si>
  <si>
    <t>IBICARAI</t>
  </si>
  <si>
    <t>'07331427000111</t>
  </si>
  <si>
    <t>073314270001-11</t>
  </si>
  <si>
    <t>COARACI</t>
  </si>
  <si>
    <t>COLEGIO ESTADUAL ALMAKAZIR GALLY GALVAO TEMPO INTEGRAL</t>
  </si>
  <si>
    <t>'07631834000144</t>
  </si>
  <si>
    <t>076318340001-44</t>
  </si>
  <si>
    <t>HELIOPOLIS</t>
  </si>
  <si>
    <t>COLEGIO ESTADUAL JOSE DANTAS DE SOUZA TEMPO INTEGRAL</t>
  </si>
  <si>
    <t>'07763885000120</t>
  </si>
  <si>
    <t>077638850001-20</t>
  </si>
  <si>
    <t>MIRANTE</t>
  </si>
  <si>
    <t>COLEGIO ESTADUAL PROFESSOR DIOMAR SILVA BRITO TEMPO INTEGRAL</t>
  </si>
  <si>
    <t>'08384440000100</t>
  </si>
  <si>
    <t>083844400001-00</t>
  </si>
  <si>
    <t>CANDIDO SALES</t>
  </si>
  <si>
    <t>COLEGIO ESTADUAL DE CANDIDO SALES TEMPO INTEGRAL</t>
  </si>
  <si>
    <t>'07774224000108</t>
  </si>
  <si>
    <t>077742240001-08</t>
  </si>
  <si>
    <t>CANAVIEIRAS</t>
  </si>
  <si>
    <t>'07324685000170</t>
  </si>
  <si>
    <t>073246850001-70</t>
  </si>
  <si>
    <t>CENTRO TERRITORIAL DE EDUC PROFISSIONAL DO SEMIARIDO DO NORD</t>
  </si>
  <si>
    <t>'07097217000100</t>
  </si>
  <si>
    <t>070972170001-00</t>
  </si>
  <si>
    <t>COLEGIO ESTADUAL CAMINHO DO SABER POVOADO DE BELA VISTA</t>
  </si>
  <si>
    <t>'07020929000121</t>
  </si>
  <si>
    <t>070209290001-21</t>
  </si>
  <si>
    <t>COLEGIO ESTADUAL EDSON OLIVEIRA DISTRITO RIO DO MEIO</t>
  </si>
  <si>
    <t>'11963906000128</t>
  </si>
  <si>
    <t>119639060001-28</t>
  </si>
  <si>
    <t>COLEGIO DA POLICIA MILITAR UNIDADE II CPM LOBATO</t>
  </si>
  <si>
    <t>'21090433000155</t>
  </si>
  <si>
    <t>210904330001-55</t>
  </si>
  <si>
    <t>COLEGIO ESTADUAL DO CAMPO DE MUTAS TEMPO INTEGRAL DISTRITO D</t>
  </si>
  <si>
    <t>'08395521000105</t>
  </si>
  <si>
    <t>083955210001-05</t>
  </si>
  <si>
    <t>NOVA CANAA</t>
  </si>
  <si>
    <t>COLEGIO ESTADUAL FLORESTAL</t>
  </si>
  <si>
    <t>'08438407000107</t>
  </si>
  <si>
    <t>084384070001-07</t>
  </si>
  <si>
    <t>COLEGIO ESTADUAL EL SHADAI</t>
  </si>
  <si>
    <t>'09277798000198</t>
  </si>
  <si>
    <t>092777980001-98</t>
  </si>
  <si>
    <t>MALHADA</t>
  </si>
  <si>
    <t>COLEGIO ESTADUAL ROSALVO OLIVEIRA SOUZA</t>
  </si>
  <si>
    <t>'08047788000101</t>
  </si>
  <si>
    <t>080477880001-01</t>
  </si>
  <si>
    <t>COLEGIO ESTADUAL MESTRE PAULO DOS ANJOS</t>
  </si>
  <si>
    <t>'07941044000165</t>
  </si>
  <si>
    <t>079410440001-65</t>
  </si>
  <si>
    <t>CABACEIRAS DO PARAGUACU</t>
  </si>
  <si>
    <t>COLEGIO ESTADUAL ALBERICO GOMES SANTANA</t>
  </si>
  <si>
    <t>'07478990000117</t>
  </si>
  <si>
    <t>074789900001-17</t>
  </si>
  <si>
    <t>COLEGIO ESTADUAL DE JACOBINA TEMPO INTEGRAL</t>
  </si>
  <si>
    <t>'07768078000108</t>
  </si>
  <si>
    <t>077680780001-08</t>
  </si>
  <si>
    <t>COLEGIO ESTADUAL DO CAMPO VINTE E CINCO DE JULHO ASSENTAMENT</t>
  </si>
  <si>
    <t>'34730162000105</t>
  </si>
  <si>
    <t>347301620001-05</t>
  </si>
  <si>
    <t>UMBURANAS</t>
  </si>
  <si>
    <t>COLEGIO ESTADUAL PROFESSORA MARIA MADALENA DA SILVA TEMPO IN</t>
  </si>
  <si>
    <t>'20371221000183</t>
  </si>
  <si>
    <t>203712210001-83</t>
  </si>
  <si>
    <t>COLEGIO ESTADUAL DO CAMPO DE JAGUARA DISTRITO DE JAGUARA</t>
  </si>
  <si>
    <t>'11045619000139</t>
  </si>
  <si>
    <t>110456190001-39</t>
  </si>
  <si>
    <t>MUNIZ FERREIRA</t>
  </si>
  <si>
    <t>'07657312000111</t>
  </si>
  <si>
    <t>076573120001-11</t>
  </si>
  <si>
    <t>COLEGIO ESTADUAL DO CAMPO SANTO ANTONIO DO ARGOIM DISTRITO D</t>
  </si>
  <si>
    <t>'08068625000105</t>
  </si>
  <si>
    <t>080686250001-05</t>
  </si>
  <si>
    <t>COLEGIO ESTADUAL COSTA E SILVA TEMPO INTEGRAL DISTRITO DE SU</t>
  </si>
  <si>
    <t>'11074293000178</t>
  </si>
  <si>
    <t>110742930001-78</t>
  </si>
  <si>
    <t>SANTA TERESINHA</t>
  </si>
  <si>
    <t>'07471257000170</t>
  </si>
  <si>
    <t>074712570001-70</t>
  </si>
  <si>
    <t>COLEGIO ESTADUAL DOUTOR JAIRO AZZI TEMPO INTEGRAL</t>
  </si>
  <si>
    <t>'11137202000104</t>
  </si>
  <si>
    <t>111372020001-04</t>
  </si>
  <si>
    <t>COLEGIO ESTADUAL DOUTOR JAIR SANTOS SILVA TEMPO INTEGRAL</t>
  </si>
  <si>
    <t>'08934442000117</t>
  </si>
  <si>
    <t>089344420001-17</t>
  </si>
  <si>
    <t>COLEGIO ESTADUAL DO CAMPO NOSSA SENHORA DA CONCEICAO FAZENDA</t>
  </si>
  <si>
    <t>'11010040000130</t>
  </si>
  <si>
    <t>110100400001-30</t>
  </si>
  <si>
    <t>IBIRAPUA</t>
  </si>
  <si>
    <t>COLEGIO ESTADUAL PROFESSOR PAULO FREIRE</t>
  </si>
  <si>
    <t>'08010465000135</t>
  </si>
  <si>
    <t>080104650001-35</t>
  </si>
  <si>
    <t>COLEGIO ESTADUAL INDIGENA KIJETXAWE ZABELE DISTRITO ALDEIA C</t>
  </si>
  <si>
    <t>'33231431000118</t>
  </si>
  <si>
    <t>332314310001-18</t>
  </si>
  <si>
    <t>MULUNGU DO MORRO</t>
  </si>
  <si>
    <t>COLEGIO ESTADUAL DE MULUNGU DO MORRO</t>
  </si>
  <si>
    <t>'10876569000179</t>
  </si>
  <si>
    <t>108765690001-79</t>
  </si>
  <si>
    <t>COLEGIO ESTADUAL INDIGENA TUPINAMBA SERRA DO PADEIRO TEMPO I</t>
  </si>
  <si>
    <t>'10841520000180</t>
  </si>
  <si>
    <t>108415200001-80</t>
  </si>
  <si>
    <t>ITAMARAJU</t>
  </si>
  <si>
    <t>COLEGIO ESTADUAL PROFESSORA AURIVALDINA JOAZEIRO TEMPO INTEG</t>
  </si>
  <si>
    <t>'09134444000194</t>
  </si>
  <si>
    <t>091344440001-94</t>
  </si>
  <si>
    <t>ACAJUTIBA</t>
  </si>
  <si>
    <t>COLEGIO ESTADUAL ANTONIO DA COSTA BRITO</t>
  </si>
  <si>
    <t>'19034498000131</t>
  </si>
  <si>
    <t>190344980001-31</t>
  </si>
  <si>
    <t>CENTRO TERRITORIAL DE EDUCACAO PROFISSIONAL DA REGIAO METROP</t>
  </si>
  <si>
    <t>'12251295000158</t>
  </si>
  <si>
    <t>122512950001-58</t>
  </si>
  <si>
    <t>COLEGIO ESTADUAL DE TEMPO INTEGRAL RUY JOSE DE ALMEIDA</t>
  </si>
  <si>
    <t>'13844470000183</t>
  </si>
  <si>
    <t>138444700001-83</t>
  </si>
  <si>
    <t>ITAGUACU DA BAHIA</t>
  </si>
  <si>
    <t>COLEGIO ESTADUAL DO CAMPO FRANCISCO CASTRO LARANJEIRA TEMPO</t>
  </si>
  <si>
    <t>'09110666000177</t>
  </si>
  <si>
    <t>091106660001-77</t>
  </si>
  <si>
    <t>COLEGIO ESTADUAL JOAO FRANCISCO DA SILVA TEMPO INTEGRAL DIST</t>
  </si>
  <si>
    <t>'08987259000180</t>
  </si>
  <si>
    <t>089872590001-80</t>
  </si>
  <si>
    <t>COLEGIO ESTADUAL DE BARRA DO POJUCA TEMPO INTEGRAL</t>
  </si>
  <si>
    <t>'16775532000130</t>
  </si>
  <si>
    <t>167755320001-30</t>
  </si>
  <si>
    <t>COLEGIO ESTADUAL ANDRELINA EUFRAZIA DE JESUS REIS DISTRITO D</t>
  </si>
  <si>
    <t>'30776883000197</t>
  </si>
  <si>
    <t>307768830001-97</t>
  </si>
  <si>
    <t>COLEGIO ESTADUAL DO CAMPO LUCIA ROCHA MACEDO TEMPO INTEGRAL</t>
  </si>
  <si>
    <t>'20672257000105</t>
  </si>
  <si>
    <t>206722570001-05</t>
  </si>
  <si>
    <t>COLEGIO ESTADUAL INDIGENA TUXA CACIQUE RAUL VALERIO DE OLIVE</t>
  </si>
  <si>
    <t>'53050850000160</t>
  </si>
  <si>
    <t>530508500001-60</t>
  </si>
  <si>
    <t>COLEGIO ESTADUAL DO CAMPO GEOVANE FERREIRA DE QUEIROZ TEMPO</t>
  </si>
  <si>
    <t>'16799473000130</t>
  </si>
  <si>
    <t>167994730001-30</t>
  </si>
  <si>
    <t>COLEGIO ESTADUAL O CAMPO MAMEDIO BATISTA LOBAO TEMPO INTEGRA</t>
  </si>
  <si>
    <t>'30767533000164</t>
  </si>
  <si>
    <t>307675330001-64</t>
  </si>
  <si>
    <t>COLEGIO ESTADUAL DO CAMPO ALOISIO DAMASCENO DE JESUS ASSENTA</t>
  </si>
  <si>
    <t>'21433899000106</t>
  </si>
  <si>
    <t>214338990001-06</t>
  </si>
  <si>
    <t>FEIRA DA MATA</t>
  </si>
  <si>
    <t>COLEGIO ESTADUAL FILOMENA PEREIRA RODRIGUES TEMPO INTEGRAL</t>
  </si>
  <si>
    <t>'11271289000108</t>
  </si>
  <si>
    <t>112712890001-08</t>
  </si>
  <si>
    <t>COLEGIO ESTADUAL DO CAMPO HERMINIO MANOEL DE JESUS TEMPO INT</t>
  </si>
  <si>
    <t>'20257014000100</t>
  </si>
  <si>
    <t>202570140001-00</t>
  </si>
  <si>
    <t>COLEGIO ESTADUAL DE TEMPO INTEGRAL CAMILLO DE JESUS LIMA</t>
  </si>
  <si>
    <t>'19595075000190</t>
  </si>
  <si>
    <t>195950750001-90</t>
  </si>
  <si>
    <t>COLEGIO ESTADUAL DO CAMPO JOSE GONCALVES DISTRITO DE JOSE GO</t>
  </si>
  <si>
    <t>'18961806000101</t>
  </si>
  <si>
    <t>189618060001-01</t>
  </si>
  <si>
    <t>COLEGIO ESTADUAL PROFESSORA IVANECK MARIA AGUIAR COSTA TEMPO</t>
  </si>
  <si>
    <t>'30364372000168</t>
  </si>
  <si>
    <t>CENTRO REGIONAL DE ENSINO MEDIO COM INTERMEDIACAO TECNOLOGIC</t>
  </si>
  <si>
    <t>'25279477000189</t>
  </si>
  <si>
    <t>252794770001-89</t>
  </si>
  <si>
    <t>COLEGIO ESTADUAL DO CAMPO DE TEMPO INTEGRAL MARIA MENDES DE</t>
  </si>
  <si>
    <t>'12102719000112</t>
  </si>
  <si>
    <t>121027190001-12</t>
  </si>
  <si>
    <t>COLEGIO ESTADUAL DO CAMPO JOAO CARLOS MEIRELES PAULILO TEMPO</t>
  </si>
  <si>
    <t>'11082251000189</t>
  </si>
  <si>
    <t>110822510001-89</t>
  </si>
  <si>
    <t>COLEGIO ESTADUAL INDIGENA SANTO ANTONIO DO PAMBU</t>
  </si>
  <si>
    <t>'31901815000175</t>
  </si>
  <si>
    <t>319018150001-75</t>
  </si>
  <si>
    <t>COLEGIO EST DO CAMPO DA CABECEIRA DA JIBOIA DIST CABECEIRA D</t>
  </si>
  <si>
    <t>'32283866000143</t>
  </si>
  <si>
    <t>322838660001-43</t>
  </si>
  <si>
    <t>JITAUNA</t>
  </si>
  <si>
    <t>COLEGIO ESTADUAL GILDA RAMOS DOS SANTOS TEMPO INTEGRAL</t>
  </si>
  <si>
    <t>'10941969000110</t>
  </si>
  <si>
    <t>109419690001-10</t>
  </si>
  <si>
    <t>'23887554000158</t>
  </si>
  <si>
    <t>238875540001-58</t>
  </si>
  <si>
    <t>COLEGIO ESTADUAL EUNICE JERONIMO DE OLIVEIRA DISTRITO SAO JO</t>
  </si>
  <si>
    <t>'39944050000162</t>
  </si>
  <si>
    <t>399440500001-62</t>
  </si>
  <si>
    <t>COLEGIO ESTADUAL DO CAMPO NANCY DE CASTRO ESTAVES DIST DE VI</t>
  </si>
  <si>
    <t>'19811375000160</t>
  </si>
  <si>
    <t>198113750001-60</t>
  </si>
  <si>
    <t>'30958948000115</t>
  </si>
  <si>
    <t>309589480001-15</t>
  </si>
  <si>
    <t>COLEGIO ESTADUAL PROFESSORA CARMENILZA DE ARAUJO LIMA DE MAT</t>
  </si>
  <si>
    <t>'20782906000112</t>
  </si>
  <si>
    <t>207829060001-12</t>
  </si>
  <si>
    <t>COLEGIO ESTADUAL DO CAMPO PROFESSORA MARIA FREIRE ANUNCIACAO</t>
  </si>
  <si>
    <t>'30643551000134</t>
  </si>
  <si>
    <t>306435510001-34</t>
  </si>
  <si>
    <t>COLEGIO ESTADUAL ONILDO RAIMUNDO CRISTO TEMPO INTEGRAL DISTR</t>
  </si>
  <si>
    <t>'31523028000137</t>
  </si>
  <si>
    <t>315230280001-37</t>
  </si>
  <si>
    <t>COLEGIO ESTADUAL BERNARDO BISPO DOS SANTOS DISTRITO DE JIQUI</t>
  </si>
  <si>
    <t>'30607365000140</t>
  </si>
  <si>
    <t>306073650001-40</t>
  </si>
  <si>
    <t>COLEGIO INDIGENA PAJE ROQUE MOISES DA SILVA</t>
  </si>
  <si>
    <t>'13937065000100</t>
  </si>
  <si>
    <t>139370650001-00</t>
  </si>
  <si>
    <t>CENTRO REGIONAL DE ENSINO COM INTERMEDIACAO TECNOLOGICA CEMI</t>
  </si>
  <si>
    <t>'30879623000147</t>
  </si>
  <si>
    <t>308796230001-47</t>
  </si>
  <si>
    <t>ARACAS</t>
  </si>
  <si>
    <t>COLEGIO ESTADUAL JOSE VICENTE LEAL TEMPO INTEGRAL</t>
  </si>
  <si>
    <t>'30870336000176</t>
  </si>
  <si>
    <t>308703360001-76</t>
  </si>
  <si>
    <t>CENTRO REG DE ENS MEDIO COM INTERMEDIACAO TECCEMIT DE VITDA</t>
  </si>
  <si>
    <t>'26708110000104</t>
  </si>
  <si>
    <t>267081100001-04</t>
  </si>
  <si>
    <t>'30555657000186</t>
  </si>
  <si>
    <t>305556570001-86</t>
  </si>
  <si>
    <t>CENTRO REGIONAL DE ENSINO MEDIO COM INTERMEDIACAO TECCEMIT D</t>
  </si>
  <si>
    <t>'30679057000120</t>
  </si>
  <si>
    <t>306790570001-20</t>
  </si>
  <si>
    <t>'26752814000176</t>
  </si>
  <si>
    <t>267528140001-76</t>
  </si>
  <si>
    <t>COLEGIO ESTADUAL QUILOMBOLA DE SAO TOME TEMPO INTEGRAL COMUN</t>
  </si>
  <si>
    <t>'23947214000175</t>
  </si>
  <si>
    <t>239472140001-75</t>
  </si>
  <si>
    <t>CENTRO REGIONAL DE ENSINO MEDIO INTERMEDIACAO TEC CEMIT DO P</t>
  </si>
  <si>
    <t>'30703930000172</t>
  </si>
  <si>
    <t>307039300001-72</t>
  </si>
  <si>
    <t>COLEGIO ESTADUAL INDIGENA KIRIRI INDIO FELIZ ALDEIA CAJAZEIR</t>
  </si>
  <si>
    <t>'22271487000180</t>
  </si>
  <si>
    <t>222714870001-80</t>
  </si>
  <si>
    <t>CENTRO REG DE ENS MEDIO COM INTERMEDIACAO TECCEMIT VELHO CHI</t>
  </si>
  <si>
    <t>'30591906000199</t>
  </si>
  <si>
    <t>305919060001-99</t>
  </si>
  <si>
    <t>COLEGIO ESTADUAL DO CAMPO DE PEDRA VERMELHA POVOADO DE PEDRA</t>
  </si>
  <si>
    <t>'30513742000181</t>
  </si>
  <si>
    <t>305137420001-81</t>
  </si>
  <si>
    <t>COLEGIO ESTADUAL INDIGENA TANARA PATAXO PEQUIGURITA ALDEIA P</t>
  </si>
  <si>
    <t>'45354497000184</t>
  </si>
  <si>
    <t>453544970001-84</t>
  </si>
  <si>
    <t>COLEGIO ESTADUAL DO CAMPO VERONILDO MENDES PEREIRA DISTRITO</t>
  </si>
  <si>
    <t>'30947041000150</t>
  </si>
  <si>
    <t>309470410001-50</t>
  </si>
  <si>
    <t>COLEGIO ESTADUAL MARIA OTILIA LUTZ BAIRRO JARDIM DAS ACACIAS</t>
  </si>
  <si>
    <t>'30459607000103</t>
  </si>
  <si>
    <t>304596070001-03</t>
  </si>
  <si>
    <t>ARAMARI</t>
  </si>
  <si>
    <t>COLEGIO ESTADUAL DE TEMPO INTEGRAL PROFESSORA MARIA DO CARMO</t>
  </si>
  <si>
    <t>'28353627000145</t>
  </si>
  <si>
    <t>283536270001-45</t>
  </si>
  <si>
    <t>MAIQUINIQUE</t>
  </si>
  <si>
    <t>COLEGIO ESTADUAL ALTAIR ALMEIDA MEIRA</t>
  </si>
  <si>
    <t>'11071091000172</t>
  </si>
  <si>
    <t>110710910001-72</t>
  </si>
  <si>
    <t>COLEGIO ESTADUAL DE TEMPO INTEGRAL PAULO JOSE DE OLIVEIRA</t>
  </si>
  <si>
    <t>'10849718000100</t>
  </si>
  <si>
    <t>108497180001-00</t>
  </si>
  <si>
    <t>COLEGIO ESTADUAL CARLOS SOUTO TEMPO INTEGRAL</t>
  </si>
  <si>
    <t>'11028314000119</t>
  </si>
  <si>
    <t>110283140001-19</t>
  </si>
  <si>
    <t>COLEGIO ESTADUAL INDIGENA AKSA PATAXO ALDEIA CRAVEIRO</t>
  </si>
  <si>
    <t>'31893940000180</t>
  </si>
  <si>
    <t>318939400001-80</t>
  </si>
  <si>
    <t>COLEGIO ESTADUAL INDIGENA TAWA ALDEIA TAWA</t>
  </si>
  <si>
    <t>'35633307000104</t>
  </si>
  <si>
    <t>356333070001-04</t>
  </si>
  <si>
    <t>PIATA</t>
  </si>
  <si>
    <t>COLEGIO ESTADUAL DE INUBIA DISTRITO DE INUBIA</t>
  </si>
  <si>
    <t>'30330784000187</t>
  </si>
  <si>
    <t>303307840001-87</t>
  </si>
  <si>
    <t>CENTRO EST DE EDUC PROFISSIONAL EM INFORMATICA E GESTAO LOUR</t>
  </si>
  <si>
    <t>'10906836000103</t>
  </si>
  <si>
    <t>109068360001-03</t>
  </si>
  <si>
    <t>'30385338000170</t>
  </si>
  <si>
    <t>303853380001-70</t>
  </si>
  <si>
    <t>COLEGIO ESTADUAL DO CAMPO MIGUEL MOREIRA DE CARVALHO DIST RO</t>
  </si>
  <si>
    <t>'30110007000127</t>
  </si>
  <si>
    <t>301100070001-27</t>
  </si>
  <si>
    <t>COLEGIO ESTADUAL QUILOMBOLA LUIS JOSE DOS SANTOS DISTRITO DE</t>
  </si>
  <si>
    <t>'30548437000125</t>
  </si>
  <si>
    <t>305484370001-25</t>
  </si>
  <si>
    <t>COLEGIO ESTADUAL INDIGENA TUPINAMBA AMOTARA ALDEIA ITAPUA</t>
  </si>
  <si>
    <t>'33298690000166</t>
  </si>
  <si>
    <t>332986900001-66</t>
  </si>
  <si>
    <t>COLEGIO ESTADUAL ALMERINDA ALMEIDA DISTRITO DE GAMELEIRA DO</t>
  </si>
  <si>
    <t>'31888318000184</t>
  </si>
  <si>
    <t>318883180001-84</t>
  </si>
  <si>
    <t>MEDEIROS NETO</t>
  </si>
  <si>
    <t>CENTRO TERRITORIAL DE EDUCACAO PROFISSIONAL DE MEDEIROS NETO</t>
  </si>
  <si>
    <t>'33713627000149</t>
  </si>
  <si>
    <t>337136270001-49</t>
  </si>
  <si>
    <t>COLEGIO ESTADUAL EVERTON OLIVEIRA DE SANTANA DISTRITO FAVELA</t>
  </si>
  <si>
    <t>'35586088000150</t>
  </si>
  <si>
    <t>355860880001-50</t>
  </si>
  <si>
    <t>FORMOSA DO RIO PRETO</t>
  </si>
  <si>
    <t>CENTRO TERRITORIAL DE EDUCACAO PROFISSIONAL ALMIR TEIXEIRA S</t>
  </si>
  <si>
    <t>'33628613000127</t>
  </si>
  <si>
    <t>336286130001-27</t>
  </si>
  <si>
    <t>CENTRO TERRITO DE EDUC PROFIS DE DIAS D AVILACETEP DE DIAS D</t>
  </si>
  <si>
    <t>'34901200000137</t>
  </si>
  <si>
    <t>349012000001-37</t>
  </si>
  <si>
    <t>COLEGIO ESTADUAL DO CAMPO ANDERSON FRANCA ASSENTAMENTO JACI</t>
  </si>
  <si>
    <t>'43424194000165</t>
  </si>
  <si>
    <t>434241940001-65</t>
  </si>
  <si>
    <t>CASA NOVA</t>
  </si>
  <si>
    <t>COLEGIO ESTADUAL DE TEMPO INTEGRAL DE CASA NOVA</t>
  </si>
  <si>
    <t>'40631605000103</t>
  </si>
  <si>
    <t>406316050001-03</t>
  </si>
  <si>
    <t>COLEGIO ESTADUAL ANTONIO EDUARDO RIBEIRO ROCHA DISTRITO DE B</t>
  </si>
  <si>
    <t>'39439811000129</t>
  </si>
  <si>
    <t>394398110001-29</t>
  </si>
  <si>
    <t>MILAGRES</t>
  </si>
  <si>
    <t>COLEGIO ESTADUAL DE MILAGRES TEMPO INTEGRAL</t>
  </si>
  <si>
    <t>'46032870000143</t>
  </si>
  <si>
    <t>460328700001-43</t>
  </si>
  <si>
    <t>COLEGIO DA POLICIA MILITAR CPM BOM JESUS DA LAPA</t>
  </si>
  <si>
    <t>'47483546000104</t>
  </si>
  <si>
    <t>474835460001-04</t>
  </si>
  <si>
    <t>CENT REG DE ENS MED COM INTER TECNO DO LIT SUL CEMIT LITORAL</t>
  </si>
  <si>
    <t>'51098221000185</t>
  </si>
  <si>
    <t>510982210001-85</t>
  </si>
  <si>
    <t>'53184869000108</t>
  </si>
  <si>
    <t>531848690001-08</t>
  </si>
  <si>
    <t>COLEGIO ESTADUAL DO CAMPO DE CABRALIA DISTRITO DE CABRALIA</t>
  </si>
  <si>
    <t>'55465068000138</t>
  </si>
  <si>
    <t>554650680001-38</t>
  </si>
  <si>
    <t>COLEGIO ESTADUAL DO CAMPO PROFESSORA MARIA TEREZA BRAGA CABR</t>
  </si>
  <si>
    <t>'52333559000137</t>
  </si>
  <si>
    <t>523335590001-37</t>
  </si>
  <si>
    <t>COLEGIO ESTADUAL PROFESSORA MARIA IZABEL DE OLIVEIRA</t>
  </si>
  <si>
    <t>'58148279000135</t>
  </si>
  <si>
    <t>581482790001-35</t>
  </si>
  <si>
    <t>COLEGIO ESTADUAL DE TEMPO INTEGRAL CLEONICE OLEGARIO DOS SAN</t>
  </si>
  <si>
    <t>'60411752000177</t>
  </si>
  <si>
    <t>604117520001-77</t>
  </si>
  <si>
    <t>COLEGIO ESTADUAL PROFESSOR IVARDO PEREIRA BASTOS DISTRITO DE</t>
  </si>
  <si>
    <t>'10939073000105</t>
  </si>
  <si>
    <t>109390730001-05</t>
  </si>
  <si>
    <t>CAMPO ALEGRE DE LOURDES</t>
  </si>
  <si>
    <t>COLEGIO ESTADUAL DOUTOR IVES ORLANDO LOPES DA SILVA TEMPO IN</t>
  </si>
  <si>
    <t>'10882479000190</t>
  </si>
  <si>
    <t>108824790001-90</t>
  </si>
  <si>
    <t>GUAJERU</t>
  </si>
  <si>
    <t>COLEGIO ESTADUAL JORGE AMADO TEMPO INTEGRAL</t>
  </si>
  <si>
    <t>'11173748000102</t>
  </si>
  <si>
    <t>111737480001-02</t>
  </si>
  <si>
    <t>COLEGIO ESTADUAL DO CAMPO DE AGUADA NOVA DISTRITO DE AGUADA</t>
  </si>
  <si>
    <t>'10981608000106</t>
  </si>
  <si>
    <t>109816080001-06</t>
  </si>
  <si>
    <t>ITATIM</t>
  </si>
  <si>
    <t>COLEGIO ESTADUAL GEOVANIA NOGUEIRA NUNES</t>
  </si>
  <si>
    <t>'10901561000115</t>
  </si>
  <si>
    <t>109015610001-15</t>
  </si>
  <si>
    <t>COLEGIO ESTADUAL INDIGENA JOSE ZACARIAS ALDEIA MIRANDELA</t>
  </si>
  <si>
    <t>'02125643000197</t>
  </si>
  <si>
    <t>021256430001-97</t>
  </si>
  <si>
    <t>'02135460000152</t>
  </si>
  <si>
    <t>021354600001-52</t>
  </si>
  <si>
    <t>ESCOLA ESTADUAL INDIGENA JOSE MARTINS</t>
  </si>
  <si>
    <t>'31559080000143</t>
  </si>
  <si>
    <t>315590800001-43</t>
  </si>
  <si>
    <t>COLEGIO ESTADUAL DE TEMPO INTEGRAL SAO DANIEL COMBONI</t>
  </si>
  <si>
    <t>'13257292000194</t>
  </si>
  <si>
    <t>132572920001-94</t>
  </si>
  <si>
    <t>COLEGIO ESTADUAL ACELINA DANTAS DA SILVA DISTRITO DONA MARIA</t>
  </si>
  <si>
    <t>'12446863000176</t>
  </si>
  <si>
    <t>124468630001-76</t>
  </si>
  <si>
    <t>CIPO</t>
  </si>
  <si>
    <t>COLEGIO ESTADUAL DE TEMPO INTEGRAL AGUAS TERMAIS DE CIPO</t>
  </si>
  <si>
    <t>'14206287000115</t>
  </si>
  <si>
    <t>142062870001-15</t>
  </si>
  <si>
    <t>CENTRO ESTADUAL DE EDUCACAO PROFISSIONAL DO OCEANO</t>
  </si>
  <si>
    <t>'14778758000160</t>
  </si>
  <si>
    <t>147787580001-60</t>
  </si>
  <si>
    <t>CENTRO ESTADUAL DE EDUCACAO PROFISSIONAL AGUAS TEMPO INTEGRA</t>
  </si>
  <si>
    <t>'12875715000177</t>
  </si>
  <si>
    <t>128757150001-77</t>
  </si>
  <si>
    <t>ARATACA</t>
  </si>
  <si>
    <t>CENTRO ESTADUAL DE EDUCACAO PROFISSIONAL DA FLORESTA DO CACA</t>
  </si>
  <si>
    <t>'11356986000153</t>
  </si>
  <si>
    <t>113569860001-53</t>
  </si>
  <si>
    <t>COLEGIO ESTADUAL DO CAMPO LUCIBERTO OLIVEIRA DOS SANTOS</t>
  </si>
  <si>
    <t>'14513242000193</t>
  </si>
  <si>
    <t>145132420001-93</t>
  </si>
  <si>
    <t>MACAJUBA</t>
  </si>
  <si>
    <t>COLEGIO ESTADUAL CARLITO DE CARVALHO TEMPO INTEGRAL</t>
  </si>
  <si>
    <t>'14170462000161</t>
  </si>
  <si>
    <t>141704620001-61</t>
  </si>
  <si>
    <t>COLEGIO ESTADUAL DO CAMPO ANATIVO DO SACRAMENTO DISTRITO MUR</t>
  </si>
  <si>
    <t>'14272446000180</t>
  </si>
  <si>
    <t>142724460001-80</t>
  </si>
  <si>
    <t>COLEGIO ESTADUAL DE VILA DE ABRANTES</t>
  </si>
  <si>
    <t>'12985051000107</t>
  </si>
  <si>
    <t>129850510001-07</t>
  </si>
  <si>
    <t>COLEGIO ESTADUAL DO CAMPO LEONCIO PEREIRA DOS SANTOS POVOADO</t>
  </si>
  <si>
    <t>'15425636000152</t>
  </si>
  <si>
    <t>154256360001-52</t>
  </si>
  <si>
    <t>ESCOLAS APTAS E INAPTAS 2026</t>
  </si>
  <si>
    <t>MUNICIPIO</t>
  </si>
  <si>
    <t>COD_SEC</t>
  </si>
  <si>
    <t>CENTRO DE CUSTO</t>
  </si>
  <si>
    <t>COD_INEP</t>
  </si>
  <si>
    <t>UNIDADE_ESCOLAR</t>
  </si>
  <si>
    <t>AGENCIA</t>
  </si>
  <si>
    <t>CONTA</t>
  </si>
  <si>
    <t>STATUS</t>
  </si>
  <si>
    <t>QUANT.  INADIMPLENTES CONTEDU</t>
  </si>
  <si>
    <t>processo administrativo</t>
  </si>
  <si>
    <t>01</t>
  </si>
  <si>
    <t>0548-7</t>
  </si>
  <si>
    <t>37190-4</t>
  </si>
  <si>
    <t>APTA</t>
  </si>
  <si>
    <t>COLEGIO ESTADUAL DE TEMPO INTEGRAL PROFESSORA NANCY DA ROCHA CARDOSO</t>
  </si>
  <si>
    <t>74066-7</t>
  </si>
  <si>
    <t>COLEGIO ESTADUAL DE TEMPO INTEGRAL EDIVALDO MACHADO BOAVENTURA</t>
  </si>
  <si>
    <t>1025-1</t>
  </si>
  <si>
    <t>23089-8</t>
  </si>
  <si>
    <t>COLEGIO ESTADUAL DE TEMPO INTEGRAL NECY NOVAIS</t>
  </si>
  <si>
    <t>37191-2</t>
  </si>
  <si>
    <t>COLEGIO ESTADUAL DE TEMPO INTEGRAL IMACULADA CONCEICAO</t>
  </si>
  <si>
    <t>1696-9</t>
  </si>
  <si>
    <t>10663-1</t>
  </si>
  <si>
    <t>COLEGIO ESTADUAL DO CAMPO MAXIMINO MARTINS</t>
  </si>
  <si>
    <t>37193-9</t>
  </si>
  <si>
    <t>COLEGIO ESTADUAL JOSE RIBEIRO DE ARAUJO</t>
  </si>
  <si>
    <t>37192-0</t>
  </si>
  <si>
    <t>210471-7</t>
  </si>
  <si>
    <t>COLEGIO ESTADUAL MARIA QUITERIA</t>
  </si>
  <si>
    <t>2079-6</t>
  </si>
  <si>
    <t>08500-6</t>
  </si>
  <si>
    <t>INADIMPLENTE</t>
  </si>
  <si>
    <t>COLEGIO ESTADUAL DE TEMPO INTEGRAL DO CAMPO DE MIROROS</t>
  </si>
  <si>
    <t>37196-3</t>
  </si>
  <si>
    <t>COLEGIO EST DE TEMPO INTEGRAL PROFESSORA CELIA OLIVEIRA LEITE</t>
  </si>
  <si>
    <t>37194-7</t>
  </si>
  <si>
    <t>COLEGIO ESTADUAL DO CAMPO DE IBITITA</t>
  </si>
  <si>
    <t>3842-3</t>
  </si>
  <si>
    <t>110771-2</t>
  </si>
  <si>
    <t>COLEGIO ESTADUAL DE TEMPO INTEGRAL CASTRO ALVES</t>
  </si>
  <si>
    <t>4538-1</t>
  </si>
  <si>
    <t>06351-7</t>
  </si>
  <si>
    <t>CENTRO JUVENIL DE CIENCIA E CULTURA - CJCC IRECE</t>
  </si>
  <si>
    <t>55163-5</t>
  </si>
  <si>
    <t>COLEGIO ESTADUAL DE TEMPO INTEGRAL PROFESSORA DARIA DOURADO LOPES</t>
  </si>
  <si>
    <t>37197-1</t>
  </si>
  <si>
    <t>37203-X</t>
  </si>
  <si>
    <t>CENT.REG.DE ENS.MEDIO COM INTERMEDIACAO TEC.-CEMIT DE IRECE</t>
  </si>
  <si>
    <t>48415-6</t>
  </si>
  <si>
    <t>COLEGIO ESTADUAL DE TEMPO INTEGRAL PROF JORGE RODRIGUES DOS SANTOS</t>
  </si>
  <si>
    <t>37202-1</t>
  </si>
  <si>
    <t>COLEGIO ESTADUAL DO CAMPO FRANCISCO CASTRO LARANJEIRA</t>
  </si>
  <si>
    <t>37204-8</t>
  </si>
  <si>
    <t>COLEGIO ESTADUAL DE TEMPO INTEGRAL IDALINA DA SILVA DOURADO</t>
  </si>
  <si>
    <t>37206-4</t>
  </si>
  <si>
    <t>COLEGIO EST DE TEMPO INTEGRAL PROFESSOR ETEVALDO MARTINIANO DA ROCHA</t>
  </si>
  <si>
    <t>2231-4</t>
  </si>
  <si>
    <t>9038-7</t>
  </si>
  <si>
    <t>COLEGIO ESTADUAL DE TEMPO INTEGRAL JUSTINIANO DE CASTRO DOURADO</t>
  </si>
  <si>
    <t>37208-0</t>
  </si>
  <si>
    <t>COLEGIO ESTADUAL DO CAMPO DE AGUADA NOVA</t>
  </si>
  <si>
    <t>37207-2</t>
  </si>
  <si>
    <t>COLEGIO ESTADUAL DE TEMPO INTEGRAL DE MULUNGU DO MORRO</t>
  </si>
  <si>
    <t>37209-9</t>
  </si>
  <si>
    <t>COLEGIO ESTADUAL DE TEMPO INTEGRAL LEILA JANAINA BRITO GONCALVES</t>
  </si>
  <si>
    <t>2499-6</t>
  </si>
  <si>
    <t>8933-8</t>
  </si>
  <si>
    <t>COLEGIO ESTADUAL DE TEMPO INTEGRAL PROFESSORA ROSALIA PEREIRA DA ROCHA</t>
  </si>
  <si>
    <t>37210-2</t>
  </si>
  <si>
    <t>COLEGIO ESTADUAL ALMERINDA ALMEIDA</t>
  </si>
  <si>
    <t>54957-6</t>
  </si>
  <si>
    <t>COLEGIO ESTADUAL MANOEL LEVI</t>
  </si>
  <si>
    <t>2749-9</t>
  </si>
  <si>
    <t>09315-7</t>
  </si>
  <si>
    <t>1171-1</t>
  </si>
  <si>
    <t>15196-3</t>
  </si>
  <si>
    <t>CENTRO EST DE EDUCACAO PROFI EM RECURSOS NATURAIS DO CENTRO BAIANO</t>
  </si>
  <si>
    <t>15195-5</t>
  </si>
  <si>
    <t>02</t>
  </si>
  <si>
    <t>CENTRO ESTADUAL DE EDUCACAO PROFISSIONAL AGUAS</t>
  </si>
  <si>
    <t>0227-5</t>
  </si>
  <si>
    <t>25231-X</t>
  </si>
  <si>
    <t>COLEGIO ESTADUAL DE TEMPO INTEGRAL DE BARRA</t>
  </si>
  <si>
    <t>23378-1</t>
  </si>
  <si>
    <t>CENT REG DE ENS MEDIO COM INTERMEDIACAO TEC-CEMIT VELHO CHICO-BARRA</t>
  </si>
  <si>
    <t>31538-9</t>
  </si>
  <si>
    <t>CENT.REG.DE ENS.MEDIO COM INTERMEDIACAO TEC.- CEMIT DO VELHO CHICO</t>
  </si>
  <si>
    <t>0744-7</t>
  </si>
  <si>
    <t>33834-6</t>
  </si>
  <si>
    <t>25676-5</t>
  </si>
  <si>
    <t>COLEGIO ESTADUAL MONSENHOR TURIBIO VILANOVA</t>
  </si>
  <si>
    <t>25663-3</t>
  </si>
  <si>
    <t>COLEGIO DA POLICIA MILITAR - CPM BOM JESUS DA LAPA</t>
  </si>
  <si>
    <t>44052-3</t>
  </si>
  <si>
    <t>COLEGIO ESTADUAL EVERTON OLIVEIRA DE SANTANA</t>
  </si>
  <si>
    <t>39056-9</t>
  </si>
  <si>
    <t>COLEGIO ESTADUAL SAO VICENTE DE PAULO</t>
  </si>
  <si>
    <t>25675-7</t>
  </si>
  <si>
    <t>COLEGIO ESTADUAL PAPA JOAO PAULO I</t>
  </si>
  <si>
    <t>00160-0</t>
  </si>
  <si>
    <t>COLEGIO ESTADUAL DO CAMPO RITA DE OLIVEIRA BARAUNA</t>
  </si>
  <si>
    <t>sem conta</t>
  </si>
  <si>
    <t>COLEGIO ESTADUAL DE TEMPO INTEGRAL VELHO CHICO</t>
  </si>
  <si>
    <t>0816-8</t>
  </si>
  <si>
    <t>14564-5</t>
  </si>
  <si>
    <t>COLEGIO ESTADUAL FILOMENA PEREIRA RODRIGUES</t>
  </si>
  <si>
    <t>0923-7</t>
  </si>
  <si>
    <t>30969-9</t>
  </si>
  <si>
    <t>COLEGIO ESTADUAL INDIGENA MARECHAL RONDON</t>
  </si>
  <si>
    <t>0817-6</t>
  </si>
  <si>
    <t>21552-X</t>
  </si>
  <si>
    <t>COLEGIO ESTADUAL DE TEMPO INTEGRAL PROFª ODONTINA LARANJEIRA DE SOUZA</t>
  </si>
  <si>
    <t>18480-2</t>
  </si>
  <si>
    <t>18484-5</t>
  </si>
  <si>
    <t>0230-5</t>
  </si>
  <si>
    <t>24372-8</t>
  </si>
  <si>
    <t>2261-6</t>
  </si>
  <si>
    <t>09121-9</t>
  </si>
  <si>
    <t>COLEGIO ESTADUAL DE TEMPO INTEGRAL GRANDES MESTRES BRASILEIROS</t>
  </si>
  <si>
    <t>30984-2</t>
  </si>
  <si>
    <t>COLEGIO ESTADUAL DE TEMPO INTEGRAL NEMISIA RIBEIRO DOS SANTOS</t>
  </si>
  <si>
    <t>18486-1</t>
  </si>
  <si>
    <t>COLEGIO ESTADUAL INDIGENA PAJE ROQUE MOISES DA SILVA</t>
  </si>
  <si>
    <t>24510-0</t>
  </si>
  <si>
    <t>COLEGIO ESTADUAL DO CAMPO SIDNEY MASCARENHAS</t>
  </si>
  <si>
    <t>21553-8</t>
  </si>
  <si>
    <t>COLEGIO ESTADUAL SUZANA DE ARAUJO BOMFIM</t>
  </si>
  <si>
    <t>18487-X</t>
  </si>
  <si>
    <t>COLEGIO ESTADUAL DE TEMPO INTEGRAL TIRADENTES</t>
  </si>
  <si>
    <t>2367-1</t>
  </si>
  <si>
    <t>18925-1</t>
  </si>
  <si>
    <t>COLEGIO ESTADUAL DE TEMPO INTEGRAL EVANDRO BRANDAO</t>
  </si>
  <si>
    <t>2407-4</t>
  </si>
  <si>
    <t>12832-5</t>
  </si>
  <si>
    <t>COLEGIO ESTADUAL DE TEMPO INTEGRAL SINESIO COSTA</t>
  </si>
  <si>
    <t>1123-1</t>
  </si>
  <si>
    <t>24341-8</t>
  </si>
  <si>
    <t>COLEGIO ESTADUAL ANISIO HONORATO GODOY</t>
  </si>
  <si>
    <t>1247-5</t>
  </si>
  <si>
    <t>16016-4</t>
  </si>
  <si>
    <t>COLEGIO ESTADUAL DE TEMPO INTEGRAL CLEONICE OLEGARIO DOS SANTOS</t>
  </si>
  <si>
    <t>25075-9</t>
  </si>
  <si>
    <t>COLEGIO ESTADUAL DO CAMPO DE TEMPO INTEGRAL THOMAZ LEITE</t>
  </si>
  <si>
    <t>25688-9</t>
  </si>
  <si>
    <t>COLEGIO ESTADUAL DE TEMPO INTEGRAL NOSSA SENHORA DO ROSARIO</t>
  </si>
  <si>
    <t>25690-0</t>
  </si>
  <si>
    <t>03</t>
  </si>
  <si>
    <t>COLEGIO ESTADUAL DOUTOR FRANCISCO ROCHA FILHO</t>
  </si>
  <si>
    <t>1496-6</t>
  </si>
  <si>
    <t>106641-2</t>
  </si>
  <si>
    <t>COLEGIO ESTADUAL DE TEMPO INTEGRAL EDGAR SILVA</t>
  </si>
  <si>
    <t>0285-2</t>
  </si>
  <si>
    <t>22515-0</t>
  </si>
  <si>
    <t>COLEGIO ESTADUAL PROFESSORA CARMENILZA DE ARAUJO LIMA DE MATOS</t>
  </si>
  <si>
    <t>30052-7</t>
  </si>
  <si>
    <t>COLEGIO ESTADUAL DE TEMPO INTEGRAL PROFESSORA ANA LUCIA AGUIAR VIANA</t>
  </si>
  <si>
    <t>14640-4</t>
  </si>
  <si>
    <t>4180-7</t>
  </si>
  <si>
    <t>8358-5</t>
  </si>
  <si>
    <t>COLEGIO ESTADUAL DE TEMPO INTEGRAL DE BONITO</t>
  </si>
  <si>
    <t>22517-7</t>
  </si>
  <si>
    <t>COLEGIO ESTADUAL DO CAMPO DE TEMPO INTEGRAL DE CASCAVEL</t>
  </si>
  <si>
    <t>17082-8</t>
  </si>
  <si>
    <t>25.08</t>
  </si>
  <si>
    <t>14975-6</t>
  </si>
  <si>
    <t>COLEGIO ESTADUAL DO CAMPO DE LAGOA DO DIONISIO</t>
  </si>
  <si>
    <t>0985-7</t>
  </si>
  <si>
    <t>24767-7</t>
  </si>
  <si>
    <t>COLEGIO ESTADUAL DE TEMPO INTEGRAL EVILASIO SANTANA GAMA</t>
  </si>
  <si>
    <t>24768-5</t>
  </si>
  <si>
    <t>COLEGIO ESTADUAL DE TEMPO INTEGRAL ANTONIO FERNANDO SOUZA RAMOS</t>
  </si>
  <si>
    <t>1075-8</t>
  </si>
  <si>
    <t>09868-X</t>
  </si>
  <si>
    <t>2141-5</t>
  </si>
  <si>
    <t>11983-0</t>
  </si>
  <si>
    <t>COLEGIO ESTADUAL DO CAMPO PROFESSORA MARIA MENEZES RIBEIRO</t>
  </si>
  <si>
    <t>18058-0</t>
  </si>
  <si>
    <t>COLEGIO ESTADUAL DE TEMPO INTEGRAL JOSE AMERICO ARAUJO</t>
  </si>
  <si>
    <t>2150-4</t>
  </si>
  <si>
    <t>09928-7</t>
  </si>
  <si>
    <t>4194-7</t>
  </si>
  <si>
    <t>7288-5</t>
  </si>
  <si>
    <t>COLEGIO ESTADUAL DO CAMPO RODOLFO DE ABREU</t>
  </si>
  <si>
    <t>criar</t>
  </si>
  <si>
    <t>0251-8</t>
  </si>
  <si>
    <t>11770-6</t>
  </si>
  <si>
    <t>COLEGIO ESTADUAL DE TEMPO INTEGRAL EURIDICE SANTANA</t>
  </si>
  <si>
    <t>22527-4</t>
  </si>
  <si>
    <t>COLEGIO ESTADUAL DO CAMPO DE ICO</t>
  </si>
  <si>
    <t>1099-5</t>
  </si>
  <si>
    <t>19060-8</t>
  </si>
  <si>
    <t>COLEGIO ESTADUAL DE FEDEGOSOS</t>
  </si>
  <si>
    <t>17013-5</t>
  </si>
  <si>
    <t>CENTRO TERRITORIAL DE EDUCAÇÃO PROFISSIONAL DA CHAPADA DIAMANTINA II</t>
  </si>
  <si>
    <t>17009-7</t>
  </si>
  <si>
    <t>MUCUGE</t>
  </si>
  <si>
    <t>COLEGIO ESTADUAL DE TEMPO INTEGRAL DE MUCUGE</t>
  </si>
  <si>
    <t>1100-2</t>
  </si>
  <si>
    <t>13942-4</t>
  </si>
  <si>
    <t>COLEGIO ESTADUAL DE TEMPO INTEGRAL EDILSON JOAQUIM DOS SANTOS</t>
  </si>
  <si>
    <t>22530-4</t>
  </si>
  <si>
    <t>24769-3</t>
  </si>
  <si>
    <t>PALMEIRAS</t>
  </si>
  <si>
    <t>COLEGIO ESTADUAL PROFESSORA NILDE MARIA MONTEIRO XAVIER</t>
  </si>
  <si>
    <t>24771-5</t>
  </si>
  <si>
    <t>COLEGIO ESTADUAL DE INUBIA</t>
  </si>
  <si>
    <t>2540-2</t>
  </si>
  <si>
    <t>01761-2</t>
  </si>
  <si>
    <t>COLEGIO ESTADUAL CORONEL HORACIO DE MATOS</t>
  </si>
  <si>
    <t>24772-3</t>
  </si>
  <si>
    <t>COLEGIO ESTADUAL DO CAMPO DE CABRALIA</t>
  </si>
  <si>
    <t>46991-2</t>
  </si>
  <si>
    <t>COLEGIO ESTADUAL CARLOS SOUTO</t>
  </si>
  <si>
    <t>14442-8</t>
  </si>
  <si>
    <t>COLEGIO ESTADUAL DO CAMPO MARCOLINO MOURA</t>
  </si>
  <si>
    <t>14438-X</t>
  </si>
  <si>
    <t>COLEGIO ESTADUAL DE SEABRA</t>
  </si>
  <si>
    <t>24778-2</t>
  </si>
  <si>
    <t>CENT.REG.DE ENS.MEDIO COM INTERMEDIACAO TEC.CEMIT DA CHAPADA DIAMANTIN</t>
  </si>
  <si>
    <t>34233-5</t>
  </si>
  <si>
    <t>24779-0</t>
  </si>
  <si>
    <t>17021-6</t>
  </si>
  <si>
    <t>COLEGIO ESTADUAL DO CAMPO DE TEMPO INTEGRAL PROF ADEMAR SOUZA OLIVEIRA</t>
  </si>
  <si>
    <t>22051-5</t>
  </si>
  <si>
    <t>2760-X</t>
  </si>
  <si>
    <t>12952-6</t>
  </si>
  <si>
    <t>WAGNER</t>
  </si>
  <si>
    <t>CENTRO TERRITORIAL DE EDUCACAO PROFISSIONAL DA CHAPADA DIAMANTINA</t>
  </si>
  <si>
    <t>13765-0</t>
  </si>
  <si>
    <t>04</t>
  </si>
  <si>
    <t>CENTRO TERRITORIAL DE EDUCACAO PROFISSIONAL DE ARACI</t>
  </si>
  <si>
    <t>1456-7</t>
  </si>
  <si>
    <t>17814-4</t>
  </si>
  <si>
    <t>0225-9</t>
  </si>
  <si>
    <t>38910-2</t>
  </si>
  <si>
    <t>BIRITINGA</t>
  </si>
  <si>
    <t>COLEGIO ESTADUAL DE BIRITINGA</t>
  </si>
  <si>
    <t>109121-2</t>
  </si>
  <si>
    <t>COLEGIO ESTADUAL JOSE RUFINO</t>
  </si>
  <si>
    <t>1725-6</t>
  </si>
  <si>
    <t>9216-9</t>
  </si>
  <si>
    <t>38911-0</t>
  </si>
  <si>
    <t>COLEGIO ESTADUAL DE TEMPO INTEGRAL SENHOR DO BONFIM</t>
  </si>
  <si>
    <t>38912-9</t>
  </si>
  <si>
    <t>COLEGIO ESTADUAL CAMINHO DO SABER</t>
  </si>
  <si>
    <t>1080-4</t>
  </si>
  <si>
    <t>22884-2</t>
  </si>
  <si>
    <t>1047-2</t>
  </si>
  <si>
    <t>21299-7</t>
  </si>
  <si>
    <t>COLEGIO ESTADUAL DO ACUDINHO</t>
  </si>
  <si>
    <t>21295-4</t>
  </si>
  <si>
    <t>21297-0</t>
  </si>
  <si>
    <t>21293-8</t>
  </si>
  <si>
    <t>21294-6</t>
  </si>
  <si>
    <t>COLEGIO POLIVALENTE DE CONCEICAO DO COITE</t>
  </si>
  <si>
    <t>21296-2</t>
  </si>
  <si>
    <t>21298-9</t>
  </si>
  <si>
    <t>COLEGIO EST DE TEMPO INTEGRAL PROF OLGARINA PITANGUEIRA PINHEIRO</t>
  </si>
  <si>
    <t>21305-5</t>
  </si>
  <si>
    <t>COLEGIO ESTADUAL DE TEMPO INTEGRAL ARISTIDES CEDRAZ DE OLIVEIRA</t>
  </si>
  <si>
    <t>12106-1</t>
  </si>
  <si>
    <t>COLEGIO ESTADUAL JOAO FRANCISCO DA SILVA</t>
  </si>
  <si>
    <t>22424-3</t>
  </si>
  <si>
    <t>COLEGIO ESTADUAL DE TEMPO INTEGRAL ARY SILVA</t>
  </si>
  <si>
    <t>22431-6</t>
  </si>
  <si>
    <t>COLEGIO ESTADUAL DO CAMPO SACO DO CORREIO</t>
  </si>
  <si>
    <t>38927-7</t>
  </si>
  <si>
    <t>COLEGIO ESTADUAL DOUTOR JAIRO AZZI</t>
  </si>
  <si>
    <t>38917-X</t>
  </si>
  <si>
    <t>COLEGIO ESTADUAL DE TEMPO INTEGRAL SANTA CRUZ</t>
  </si>
  <si>
    <t>4498-9</t>
  </si>
  <si>
    <t>11466-9</t>
  </si>
  <si>
    <t>COLEGIO ESTADUAL DO CAMPO DE PEDRA VERMELHA</t>
  </si>
  <si>
    <t>12363-3</t>
  </si>
  <si>
    <t>COLEGIO ESTADUAL DE TEMPO INTEGRAL MANOEL GUIMARAES SANTANA</t>
  </si>
  <si>
    <t>4100-9</t>
  </si>
  <si>
    <t>8070-5</t>
  </si>
  <si>
    <t>CETEP DE TEMPO INTEGRAL SANTO ANTONIO DAS QUEIMADAS</t>
  </si>
  <si>
    <t>2509-7</t>
  </si>
  <si>
    <t>12798-1</t>
  </si>
  <si>
    <t>COLEGIO ESTADUAL DO CAMPO DE TEMPO INTEGRAL SAO SEBASTIAO</t>
  </si>
  <si>
    <t>47611-0</t>
  </si>
  <si>
    <t>COLEGIO ESTADUAL DE TEMPO INTEGRAL PADRE FRANCISCO GONCALVES DE SOUZA</t>
  </si>
  <si>
    <t>38920-X</t>
  </si>
  <si>
    <t>4185-8</t>
  </si>
  <si>
    <t>7551-5</t>
  </si>
  <si>
    <t>CENTRO ESTADUAL DE EDUCACAO PROFISSIONAL DO CAMPO PAULO FREIRE</t>
  </si>
  <si>
    <t>1130-4</t>
  </si>
  <si>
    <t>23463-X</t>
  </si>
  <si>
    <t>COLEGIO ESTADUAL DE TEMPO INTEGRAL JOSE LEITAO</t>
  </si>
  <si>
    <t>16909-9</t>
  </si>
  <si>
    <t>COLEGIO ESTADUAL DO CAMPO DE TEMPO INTEGRAL NECY NOVAES</t>
  </si>
  <si>
    <t>16915-3</t>
  </si>
  <si>
    <t>SAO DOMINGOS</t>
  </si>
  <si>
    <t>CENTRO ESTADUAL DE EDUCACAO PROFISSIONAL DO SEMI ARIDO</t>
  </si>
  <si>
    <t>4191-2</t>
  </si>
  <si>
    <t>6310-X</t>
  </si>
  <si>
    <t>COLEGIO ESTADUAL RUBEM NOGUEIRA</t>
  </si>
  <si>
    <t>38929-3</t>
  </si>
  <si>
    <t>38938-2</t>
  </si>
  <si>
    <t>38928-5</t>
  </si>
  <si>
    <t>COLEGIO ESTADUAL DO CAMPO DE SANTANA</t>
  </si>
  <si>
    <t>38931-5</t>
  </si>
  <si>
    <t>CENTRO REGIONAL DE ENSINO MEDIO COM INTERMEDIACAO TECNOLO -CEMIT SISAL</t>
  </si>
  <si>
    <t>54335-7</t>
  </si>
  <si>
    <t>COLEGIO ESTADUAL NORMAL DE SERRINHA</t>
  </si>
  <si>
    <t>38926-9</t>
  </si>
  <si>
    <t>CENTRO JUVENIL DE CIENCIA E CULTURA - CJCC SERRINHA</t>
  </si>
  <si>
    <t>66878-8</t>
  </si>
  <si>
    <t>4171-8</t>
  </si>
  <si>
    <t>7897-2</t>
  </si>
  <si>
    <t>COLEGIO ESTADUAL ROMULO GALVAO</t>
  </si>
  <si>
    <t>4495-4</t>
  </si>
  <si>
    <t>9457-9</t>
  </si>
  <si>
    <t>9458-7</t>
  </si>
  <si>
    <t>1167-3</t>
  </si>
  <si>
    <t>20563-X</t>
  </si>
  <si>
    <t>COLEGIO ESTADUAL DE TEMPO INTEGRAL WILSON LINS</t>
  </si>
  <si>
    <t>20561-3</t>
  </si>
  <si>
    <t>23014-6</t>
  </si>
  <si>
    <t>05</t>
  </si>
  <si>
    <t>COLEGIO ESTADUAL SENADOR LUIZ VIANA FILHO</t>
  </si>
  <si>
    <t>0601-7</t>
  </si>
  <si>
    <t>11930-X</t>
  </si>
  <si>
    <t>CENTRO EST DE EDUC PROF DA FLORESTA DO CACAU E DO CHOCOL MILTON SANTOS</t>
  </si>
  <si>
    <t>0837-0</t>
  </si>
  <si>
    <t>18970-7</t>
  </si>
  <si>
    <t>COLEGIO ESTADUAL BRAULIO XAVIER</t>
  </si>
  <si>
    <t>0019-1</t>
  </si>
  <si>
    <t>39635-4</t>
  </si>
  <si>
    <t>0245-3</t>
  </si>
  <si>
    <t>15118-1</t>
  </si>
  <si>
    <t>COLEGIO ESTADUAL LOMANTO JUNIOR</t>
  </si>
  <si>
    <t>2166-0</t>
  </si>
  <si>
    <t>23835-X</t>
  </si>
  <si>
    <t>COLEGIO ESTADUAL ENEDINA OLIVA</t>
  </si>
  <si>
    <t>1673-X</t>
  </si>
  <si>
    <t>10566-X</t>
  </si>
  <si>
    <t>COLEGIO ESTADUAL INDIGENA TUPINAMBA SERRA DO PADEIRO</t>
  </si>
  <si>
    <t>10565-1</t>
  </si>
  <si>
    <t>COLEGIO ESTADUAL DE TEMPO INTEGRAL DE CAMACAN</t>
  </si>
  <si>
    <t>17740-7</t>
  </si>
  <si>
    <t>COLEGIO ESTADUAL ANISIO LOUREIRO</t>
  </si>
  <si>
    <t>17739-3</t>
  </si>
  <si>
    <t>COLEGIO ESTADUAL DE TEMPO INTEGRAL DE CANAVIEIRAS</t>
  </si>
  <si>
    <t>0143-0</t>
  </si>
  <si>
    <t>15657-4</t>
  </si>
  <si>
    <t>COLEGIO ESTADUAL DE TEMPO INTEGRAL ALMAKAZIR GALLY GALVAO</t>
  </si>
  <si>
    <t>11502-9</t>
  </si>
  <si>
    <t>0564-9</t>
  </si>
  <si>
    <t>12451-6</t>
  </si>
  <si>
    <t>COLEGIO ESTADUAL DO CAMPO CAJUEIRO</t>
  </si>
  <si>
    <t>12325-0</t>
  </si>
  <si>
    <t>COLEGIO ESTADUAL DE TEMPO INTEGRAL PROFESSORA ELIETE MALAQUIAS</t>
  </si>
  <si>
    <t>12323-4</t>
  </si>
  <si>
    <t>COLEGIO ESTADUAL INDIGENA TUPINAMBA DE ACUIPE DE BAIXO</t>
  </si>
  <si>
    <t>62651-1</t>
  </si>
  <si>
    <t>COLEGIO ESTADUAL INDIGENA TUPINAMBA DE OLIVENCA</t>
  </si>
  <si>
    <t>39651-6</t>
  </si>
  <si>
    <t>ESCOLA ESTADUAL INDIGENA TUPINAMBA DE ABAETE</t>
  </si>
  <si>
    <t>3192-5</t>
  </si>
  <si>
    <t>22809-5</t>
  </si>
  <si>
    <t>CENTRO ESTADUAL DE EDUCACAO PROFISSIONAL DO CHOCOLATE NELSON SCHAUN</t>
  </si>
  <si>
    <t>39641-9</t>
  </si>
  <si>
    <t>COLEGIO ESTADUAL DO CAMPO JORGE CALMON</t>
  </si>
  <si>
    <t>39642-7</t>
  </si>
  <si>
    <t>39661-3</t>
  </si>
  <si>
    <t>COLEGIO ESTADUAL INDIGENA TUPINAMBA AMOTARA</t>
  </si>
  <si>
    <t>111926-5</t>
  </si>
  <si>
    <t>COLEGIO EST DE TEMPO INTEGRAL PROF CARMELITA ANGELA SOUZA OLIVEIRA</t>
  </si>
  <si>
    <t>39652-4</t>
  </si>
  <si>
    <t>COLEGIO ESTADUAL DO IGUAPE</t>
  </si>
  <si>
    <t>39650-8</t>
  </si>
  <si>
    <t>COLEGIO ESTADUAL PROFESSOR FABIO ARARIPE GOULART</t>
  </si>
  <si>
    <t>39657-5</t>
  </si>
  <si>
    <t>COLEGIO DA POLICIA MILITAR - CPM ROMULO GALVAO</t>
  </si>
  <si>
    <t>39636-2</t>
  </si>
  <si>
    <t>COLEGIO ESTADUAL DE SALOBRINHO</t>
  </si>
  <si>
    <t>39662-1</t>
  </si>
  <si>
    <t>processo administrativo
 011.7618.2025.0042068-58</t>
  </si>
  <si>
    <t>COLEGIO ESTADUAL DE TEMPO INTEGRAL PROF CARLOS ROBERTO ARLEO BARBOSA</t>
  </si>
  <si>
    <t>39638-9</t>
  </si>
  <si>
    <t>CENTRO REG DE ENS MED COM INTER TECNO. DO LIT. SUL - CEMIT LITORAL SUL</t>
  </si>
  <si>
    <t>28162-X</t>
  </si>
  <si>
    <t>CENTRO EST DE EDUC PROFIS EM GESTAO E TECNOL DA INFORM ALVARO M VIEIRA</t>
  </si>
  <si>
    <t>39660-5</t>
  </si>
  <si>
    <t>0070-1</t>
  </si>
  <si>
    <t>121064-5</t>
  </si>
  <si>
    <t>COMPLEXO INTEGRADO DE EDUC BASICA PROFIS E TECNOLOGICA DE ITABUNA</t>
  </si>
  <si>
    <t>121057-2</t>
  </si>
  <si>
    <t>COLEGIO DA POLICIA MILITAR - CPM ANTONIO CARLOS MAGALHAES</t>
  </si>
  <si>
    <t>121047-5</t>
  </si>
  <si>
    <t>COLEGIO ESTADUAL DE TEMPO INTEGRAL OSCAR MARINHO FALCAO</t>
  </si>
  <si>
    <t>121056-4</t>
  </si>
  <si>
    <t>CENTRO DE APOIO PEDAGOGICO ESPECIALIZADO - GRAPIUNA</t>
  </si>
  <si>
    <t>121050-5</t>
  </si>
  <si>
    <t>CENTRO ESTADUAL DE EDUCACAO PROFISSIONAL EM BIOTECNOLOGIA E SAUDE</t>
  </si>
  <si>
    <t>3445-2</t>
  </si>
  <si>
    <t>21052-8</t>
  </si>
  <si>
    <t>COLEGIO ESTADUAL ADONIAS FILHO</t>
  </si>
  <si>
    <t>121046-7</t>
  </si>
  <si>
    <t>COLEGIO ESTADUAL INACIO TOSTA FILHO</t>
  </si>
  <si>
    <t>221054-1</t>
  </si>
  <si>
    <t>COLEGIO ESTADUAL VALDELICE SOARES PINHEIRO</t>
  </si>
  <si>
    <t>121048-3</t>
  </si>
  <si>
    <t>COLEGIO ESTADUAL PROFESSOR ADEUM HILARIO SAUER</t>
  </si>
  <si>
    <t>121045-9</t>
  </si>
  <si>
    <t>COLEGIO ESTADUAL DO CAMPO PROFESSORA LUCIA MARIA BATISTA DA SILVA</t>
  </si>
  <si>
    <t>4105-X</t>
  </si>
  <si>
    <t>13253-5</t>
  </si>
  <si>
    <t>COLEGIO ESTADUAL DE TEMPO INTEGRAL AURELINO LEAL</t>
  </si>
  <si>
    <t>9749-7</t>
  </si>
  <si>
    <t>COLEGIO ESTADUAL DE TEMPO INTEGRAL CORDEIRO DE MIRANDA</t>
  </si>
  <si>
    <t>21065-X</t>
  </si>
  <si>
    <t>COLEGIO ESTADUAL DE TEMPO INTEGRAL DE ITAJUIPE</t>
  </si>
  <si>
    <t>0445-6</t>
  </si>
  <si>
    <t>11846-X</t>
  </si>
  <si>
    <t>10163-X</t>
  </si>
  <si>
    <t>ITAPITANGA</t>
  </si>
  <si>
    <t>COLEGIO EST DE TEMPO INTEGRAL PROF ANTONIO MARCOS SANTOS ESTEVES</t>
  </si>
  <si>
    <t>1079-0</t>
  </si>
  <si>
    <t>8312-7</t>
  </si>
  <si>
    <t>COLEGIO ESTADUAL DE TEMPO INTEGRAL AMELIA AMADO</t>
  </si>
  <si>
    <t>221066-5</t>
  </si>
  <si>
    <t>COLEGIO ESTADUAL DO CAMPO CLEMENTE MARIANI</t>
  </si>
  <si>
    <t>21074-9</t>
  </si>
  <si>
    <t>COLEGIO ESTADUAL ANTONIO EDUARDO RIBEIRO ROCHA</t>
  </si>
  <si>
    <t>22710-2</t>
  </si>
  <si>
    <t>CENTRO TERRITORIAL DE EDUCAÇÃO PROFISSIONAL DO LITORAL SUL</t>
  </si>
  <si>
    <t>13251-9</t>
  </si>
  <si>
    <t>COLEGIO ESTADUAL DE TEMPO INTEGRAL PROFESSORA MARILENA SENA LOUREIRO</t>
  </si>
  <si>
    <t>39667-2</t>
  </si>
  <si>
    <t>COLEGIO ESTADUAL CAROLINA SEVERIANO RIBEIRO</t>
  </si>
  <si>
    <t>39668-0</t>
  </si>
  <si>
    <t>COLEGIO ESTADUAL DA ALDEIA INDIGENA CARAMURU PARAGUACU</t>
  </si>
  <si>
    <t>109098-4</t>
  </si>
  <si>
    <t>COLEGIO ESTADUAL GERSON DE SOUZA MELO PATAXO</t>
  </si>
  <si>
    <t>109099-2</t>
  </si>
  <si>
    <t>39670-2</t>
  </si>
  <si>
    <t>COLEGIO ESTADUAL 13 DE JUNHO</t>
  </si>
  <si>
    <t>10766-2</t>
  </si>
  <si>
    <t>COLEGIO ESTADUAL OCTACILIO MANOEL GOMES</t>
  </si>
  <si>
    <t>14696-X</t>
  </si>
  <si>
    <t>COLEGIO ESTADUAL MENANDRO MINAHIM</t>
  </si>
  <si>
    <t>0999-7</t>
  </si>
  <si>
    <t>14013-9</t>
  </si>
  <si>
    <t>COLEGIO ESTADUAL CARNEIRO RIBEIRO</t>
  </si>
  <si>
    <t>39671-0</t>
  </si>
  <si>
    <t>COLEGIO ESTADUAL DO CAMPO DE SERRA GRANDE</t>
  </si>
  <si>
    <t>67994-1</t>
  </si>
  <si>
    <t>06</t>
  </si>
  <si>
    <t>COLEGIO ESTADUAL DE TEMPO INTEGRAL PROFESSOR ROCHA PITA</t>
  </si>
  <si>
    <t>0238-0</t>
  </si>
  <si>
    <t>35893-2</t>
  </si>
  <si>
    <t>COLEGIO ESTADUAL CANDIDO MEIRELES</t>
  </si>
  <si>
    <t>0545-2</t>
  </si>
  <si>
    <t>33038-8</t>
  </si>
  <si>
    <t>COLEGIO ESTADUAL DE TEMPO INTEGRAL LUIZ ROGERIO DE SOUZA</t>
  </si>
  <si>
    <t>1286-6</t>
  </si>
  <si>
    <t>19471-9</t>
  </si>
  <si>
    <t>CENTRO TERRITORIAL DE EDUCAÇÃO PROFISSIONAL DO BAIXO SUL</t>
  </si>
  <si>
    <t>0846-X</t>
  </si>
  <si>
    <t>18219-2</t>
  </si>
  <si>
    <t>COLEGIO ESTADUAL DE TEMPO INTEGRAL DE GANDU</t>
  </si>
  <si>
    <t>18215-X</t>
  </si>
  <si>
    <t>COLEGIO ESTADUAL ANDRELINA EUFRAZIA DE JESUS REIS</t>
  </si>
  <si>
    <t>1164-9</t>
  </si>
  <si>
    <t>111852-8</t>
  </si>
  <si>
    <t>COLEGIO ESTADUAL PAULO CESAR DA NOVA ALMEIDA</t>
  </si>
  <si>
    <t>109859-4</t>
  </si>
  <si>
    <t>COLEGIO ESTADUAL PROFESSOR NEILTON LIMA MOREIRA</t>
  </si>
  <si>
    <t>1081-2</t>
  </si>
  <si>
    <t>19461-1</t>
  </si>
  <si>
    <t>19462-X</t>
  </si>
  <si>
    <t>0563-0</t>
  </si>
  <si>
    <t>31581-8</t>
  </si>
  <si>
    <t>COLEGIO ESTADUAL DE TEMPO INTEGRAL ADELAIDE SOUZA</t>
  </si>
  <si>
    <t>33040-X</t>
  </si>
  <si>
    <t>COLEGIO ESTADUAL LUIS NAVARRO DE BRITO</t>
  </si>
  <si>
    <t>18561-2</t>
  </si>
  <si>
    <t>COLEGIO ESTADUAL DE TEMPO INTEGRAL MARIA XAVIER DE ANDRADE REIS</t>
  </si>
  <si>
    <t>33042-6</t>
  </si>
  <si>
    <t>2710-3</t>
  </si>
  <si>
    <t>10138-9</t>
  </si>
  <si>
    <t>COLEGIO ESTADUAL DEMOCRATICO LIBIA TINOCO MELO</t>
  </si>
  <si>
    <t>2783-9</t>
  </si>
  <si>
    <t>12458-3</t>
  </si>
  <si>
    <t>COLEGIO ESTADUAL JOAO CARDOSO DOS SANTOS</t>
  </si>
  <si>
    <t>33052-3</t>
  </si>
  <si>
    <t>COLEGIO ESTADUAL DO CAMPO HERMINIO MANOEL DE JESUS</t>
  </si>
  <si>
    <t>44230-5</t>
  </si>
  <si>
    <t>COLEGIO ESTADUAL QUILOMBOLA BERNARDO BISPO DOS SANTOS</t>
  </si>
  <si>
    <t>46801-0</t>
  </si>
  <si>
    <t>CENT.REG.DE ENS.MEDIO COM INTERMEDIACAO TEC.-CEMIT DO BAIXO SUL</t>
  </si>
  <si>
    <t>47512-2</t>
  </si>
  <si>
    <t>CENTRO EST DE EDUCACAO PROFISSIONAL EM SAUDE DO LESTE BAIANO</t>
  </si>
  <si>
    <t>33051-5</t>
  </si>
  <si>
    <t>COLEGIO ESTADUAL GENTIL PARAISO MARTINS</t>
  </si>
  <si>
    <t>33043-4</t>
  </si>
  <si>
    <t>COLEGIO ESTADUAL ONILDO RAIMUNDO CRISTO</t>
  </si>
  <si>
    <t>47337-5</t>
  </si>
  <si>
    <t>CENTRO DE APOIO PEDAGOGICO ESPECIALIZADO - CAPE VALENCA </t>
  </si>
  <si>
    <t>COLEGIO ESTADUAL NAIR LOPES JENKINS</t>
  </si>
  <si>
    <t>12459-1</t>
  </si>
  <si>
    <t>07</t>
  </si>
  <si>
    <t>COLEGIO ESTADUAL ERALDO TINOCO</t>
  </si>
  <si>
    <t>4492-X</t>
  </si>
  <si>
    <t>6441-6</t>
  </si>
  <si>
    <t>COLEGIO ESTADUAL EUNICE JERONIMO DE OLIVEIRA</t>
  </si>
  <si>
    <t>8178-7</t>
  </si>
  <si>
    <t>COLEGIO POLIVALENTE DE CARAVELAS</t>
  </si>
  <si>
    <t>0579-7</t>
  </si>
  <si>
    <t>13921-1</t>
  </si>
  <si>
    <t>2114-8</t>
  </si>
  <si>
    <t>8488-3</t>
  </si>
  <si>
    <t>COLEGIO ESTADUAL PROFESSORA MARIA DO CARMO MARQUES DE FREITAS</t>
  </si>
  <si>
    <t>2159-8</t>
  </si>
  <si>
    <t>18332-6</t>
  </si>
  <si>
    <t>COMPLEXO INTEGRADO DE EDUC BASICA PROFIS E TECNOLOGICA DE ITAMARAJU</t>
  </si>
  <si>
    <t>29935-9</t>
  </si>
  <si>
    <t>COLEGIO ESTADUAL PROFESSORA AURIVALDINA JOAZEIRO</t>
  </si>
  <si>
    <t>18330-X</t>
  </si>
  <si>
    <t>COLEGIO POLIVALENTE DE ITANHEM</t>
  </si>
  <si>
    <t>0851-6</t>
  </si>
  <si>
    <t>13823-1</t>
  </si>
  <si>
    <t>COLEGIO EST DE TEMPO INTEGRAL PROF MARIA EDITE VIEIRA GUSMAO</t>
  </si>
  <si>
    <t>18339-3</t>
  </si>
  <si>
    <t>2293-4</t>
  </si>
  <si>
    <t>12945-3</t>
  </si>
  <si>
    <t>21027-7</t>
  </si>
  <si>
    <t>COLEGIO ESTADUAL INTEGRACAO</t>
  </si>
  <si>
    <t>4491-1</t>
  </si>
  <si>
    <t>9764-0</t>
  </si>
  <si>
    <t>COLEGIO ESTADUAL JACI FERREIRA DOS SANTOS</t>
  </si>
  <si>
    <t>9763-2</t>
  </si>
  <si>
    <t>COLEGIO ESTADUAL DO CAMPO ALCIDES AFONSO DE SOUZA</t>
  </si>
  <si>
    <t>11235-6</t>
  </si>
  <si>
    <t>COMPLEXO INTEGRADO DE EDUCACAO BASICA, PROFIS E TECNOLOG. CHICO MENDES</t>
  </si>
  <si>
    <t>1289-0</t>
  </si>
  <si>
    <t>34439-7</t>
  </si>
  <si>
    <t>COLEGIO ESTADUAL PROFESSORA JANE ASSIS PEIXOTO</t>
  </si>
  <si>
    <t>34438-9</t>
  </si>
  <si>
    <t>COLEGIO ESTADUAL PROFESSORA GERALDA MARIA CRISTINA BRITO</t>
  </si>
  <si>
    <t>34437-0</t>
  </si>
  <si>
    <t>COLEGIO ESTADUAL INDIGENA AKSA PATAXO</t>
  </si>
  <si>
    <t>55531-2</t>
  </si>
  <si>
    <t>COLEGIO ESTADUAL INDIGENA BOM JESUS</t>
  </si>
  <si>
    <t>36954-3</t>
  </si>
  <si>
    <t>COLEGIO ESTADUAL INDIGENA DE CORUMBAUZINHO</t>
  </si>
  <si>
    <t>36955-1</t>
  </si>
  <si>
    <t>COLEGIO ESTADUAL INDIGENA TANARA PATAXO PEQUI/GURITA</t>
  </si>
  <si>
    <t>1118-5</t>
  </si>
  <si>
    <t>19875-7</t>
  </si>
  <si>
    <t>COLEGIO ESTADUAL INDIGENA TAWA</t>
  </si>
  <si>
    <t>20684-9</t>
  </si>
  <si>
    <t>COLEGIO ESTADUAL DO CAMPO ANDERSON FRANCA</t>
  </si>
  <si>
    <t>34421-4</t>
  </si>
  <si>
    <t>COLEGIO ESTADUAL DO CAMPO VINTE E CINCO DE JULHO</t>
  </si>
  <si>
    <t>15499-7</t>
  </si>
  <si>
    <t>COLEGIO ESTADUAL INDIGENA KIJETXAWE ZABELE</t>
  </si>
  <si>
    <t>36953-5</t>
  </si>
  <si>
    <t>COLEGIO ESTADUAL DE TEMPO INTEGRAL HOMERO PIRES</t>
  </si>
  <si>
    <t>15498-9</t>
  </si>
  <si>
    <t>34449-4</t>
  </si>
  <si>
    <t>CENTRO REGIONAL DE ENS MEDIO COM INTERM TECNOLOGICA -CEMIT EXTREMO SUL</t>
  </si>
  <si>
    <t>69243-3</t>
  </si>
  <si>
    <t>COLEGIO DA POLICIA MILITAR - CPM ANISIO TEIXEIRA</t>
  </si>
  <si>
    <t>34442-7</t>
  </si>
  <si>
    <t>COLEGIO ESTADUAL MACHADO DE ASSIS</t>
  </si>
  <si>
    <t>34441-9</t>
  </si>
  <si>
    <t>COLEGIO ESTADUAL DE TEMPO INTEGRAL RUY BARBOSA</t>
  </si>
  <si>
    <t>34448-6</t>
  </si>
  <si>
    <t>COLEGIO ESTADUAL HENRIQUE BRITO</t>
  </si>
  <si>
    <t>34443-5</t>
  </si>
  <si>
    <t>COLEGIO ESTADUAL PROFESSOR ROMULO GALVAO</t>
  </si>
  <si>
    <t>34440-0</t>
  </si>
  <si>
    <t>COLEGIO ESTADUAL FRANCISCO SILVA PASSOS</t>
  </si>
  <si>
    <t>14283-2</t>
  </si>
  <si>
    <t>COLEGIO ESTADUAL ODILIO ALVES NETO</t>
  </si>
  <si>
    <t>13134-2</t>
  </si>
  <si>
    <t>07.07</t>
  </si>
  <si>
    <t>08</t>
  </si>
  <si>
    <t>0417-0</t>
  </si>
  <si>
    <t>30997-4</t>
  </si>
  <si>
    <t>CENTRO EDUCACIONAL MONTEIRO LOBATO</t>
  </si>
  <si>
    <t>30998-2</t>
  </si>
  <si>
    <t>1068-5</t>
  </si>
  <si>
    <t>12068-5</t>
  </si>
  <si>
    <t>COLEGIO ESTADUAL DE TEMPO INTEGRAL MARIA ODILIA TEIXEIRA</t>
  </si>
  <si>
    <t>30999-0</t>
  </si>
  <si>
    <t>0282-8</t>
  </si>
  <si>
    <t>14786-9</t>
  </si>
  <si>
    <t>COLEGIO ESTADUAL DE TEMPO INTEGRAL ALFREDO DUTRA</t>
  </si>
  <si>
    <t>31001-8</t>
  </si>
  <si>
    <t>31008-5</t>
  </si>
  <si>
    <t>31004-2</t>
  </si>
  <si>
    <t>06.11</t>
  </si>
  <si>
    <t>COLEGIO ESTADUAL DE TEMPO INTEGRAL ADINALIA PEREIRA DE ARAUJO</t>
  </si>
  <si>
    <t>2182-2</t>
  </si>
  <si>
    <t>13160-1</t>
  </si>
  <si>
    <t>COLEGIO ESTADUAL EDSON OLIVEIRA</t>
  </si>
  <si>
    <t>1287-4</t>
  </si>
  <si>
    <t>14312-X</t>
  </si>
  <si>
    <t>CETEP DO MEDIO SUDOESTE DA BAHIA EURIDES EVANGELISTA PINTO</t>
  </si>
  <si>
    <t>14310-3</t>
  </si>
  <si>
    <t>COLEGIO ESTADUAL SAO PEDRO</t>
  </si>
  <si>
    <t>0689-0</t>
  </si>
  <si>
    <t>13228-4</t>
  </si>
  <si>
    <t>31009-3</t>
  </si>
  <si>
    <t>COLEGIO ESTADUAL DE TEMPO INTEGRAL FLORESTAL</t>
  </si>
  <si>
    <t>2348-5</t>
  </si>
  <si>
    <t>10131-1</t>
  </si>
  <si>
    <t>COLEGIO DEMOCRATICO ESTADUAL ANISIO TEIXEIRA</t>
  </si>
  <si>
    <t>31012-3</t>
  </si>
  <si>
    <t>14085-6</t>
  </si>
  <si>
    <t>09</t>
  </si>
  <si>
    <t>COLEGIO ESTADUAL SANTA BERNADETE</t>
  </si>
  <si>
    <t>0240-2</t>
  </si>
  <si>
    <t>16407-0</t>
  </si>
  <si>
    <t>COLEGIO ESTADUAL PEDRO CALMON</t>
  </si>
  <si>
    <t>16410-0</t>
  </si>
  <si>
    <t>CENTRO TERRITORIAL DE EDUCACAO PROFISSIONAL DO VALE DO JIQUIRICA</t>
  </si>
  <si>
    <t>16409-7</t>
  </si>
  <si>
    <t>CENTRO DE APOIO PEDAGOGICO ESPECIALIZADO - CAPE AMARGOSA</t>
  </si>
  <si>
    <t>COLEGIO ESTADUAL DE TEMPO INTEGRAL DE AMARGOSA</t>
  </si>
  <si>
    <t>COLEGIO ESTADUAL DE TEMPO INTEGRAL PROFESSORA HELENA SOUZA BISPO</t>
  </si>
  <si>
    <t>108710-X</t>
  </si>
  <si>
    <t>COLEGIO ESTADUAL DO CAMPO DE TEMPO INTEGRAL DA TERRA DO CAFE</t>
  </si>
  <si>
    <t>107238-2</t>
  </si>
  <si>
    <t>COLEGIO ESTADUAL DE CRAVOLANDIA</t>
  </si>
  <si>
    <t>0060-4</t>
  </si>
  <si>
    <t>39880-2</t>
  </si>
  <si>
    <t>COLEGIO ESTADUAL DEMOCRATICO PROFESSOR ROMULO GALVAO</t>
  </si>
  <si>
    <t>16413-5</t>
  </si>
  <si>
    <t>39882-9</t>
  </si>
  <si>
    <t>1084-7</t>
  </si>
  <si>
    <t>106820-2</t>
  </si>
  <si>
    <t>COLEGIO ESTADUAL DE TEMPO INTEGRAL MARIA CANDIDA DE CASTILHO FONTOURA</t>
  </si>
  <si>
    <t>39886-1</t>
  </si>
  <si>
    <t>CENTRO EST DE EDUC PROF EM ALIMENTOS E RECURSOS NATURAIS PIO XII</t>
  </si>
  <si>
    <t>17390-8</t>
  </si>
  <si>
    <t>COLEGIO ESTADUAL DE TEMPO INTEGRAL NOSSA SENHORA AUXILIADORA</t>
  </si>
  <si>
    <t>17391-6</t>
  </si>
  <si>
    <t>COLEGIO ESTADUAL DO CAMPO VIRGILIO PEREIRA DE ALMEIDA</t>
  </si>
  <si>
    <t>17389-4</t>
  </si>
  <si>
    <t>4188-2</t>
  </si>
  <si>
    <t>06760-1</t>
  </si>
  <si>
    <t>COLEGIO ESTADUAL DE TEMPO INTEGRAL PROFESSOR ERALDO TINOCO</t>
  </si>
  <si>
    <t>39906-X</t>
  </si>
  <si>
    <t>2243-8</t>
  </si>
  <si>
    <t>11325-5</t>
  </si>
  <si>
    <t>0946-6</t>
  </si>
  <si>
    <t>107135-1</t>
  </si>
  <si>
    <t>COLEGIO EST DE TEMPO INTEG DE MARACAS IRACY MARLENE DA HORA PASSOS</t>
  </si>
  <si>
    <t>18702-X</t>
  </si>
  <si>
    <t>COLEGIO ESTADUAL DE MILAGRES</t>
  </si>
  <si>
    <t>30321-6</t>
  </si>
  <si>
    <t>COLEGIO ESTADUAL DE TEMPO INTEGRAL ANTONIO FELIPE EVANGELISTA NETO</t>
  </si>
  <si>
    <t>1101-0</t>
  </si>
  <si>
    <t>17845-4</t>
  </si>
  <si>
    <t>COLEGIO ESTADUAL DE TEMPO INTEGRAL DE NOVA ITARANA</t>
  </si>
  <si>
    <t>16415-1</t>
  </si>
  <si>
    <t>COLEGIO ESTADUAL DE TEMPO INTEGRAL MANOEL JOSE DE ANDRADE</t>
  </si>
  <si>
    <t>20569-9</t>
  </si>
  <si>
    <t>SANTA INES</t>
  </si>
  <si>
    <t>COLEGIO ESTADUAL DE TEMPO INTEGRAL DE SANTA INES</t>
  </si>
  <si>
    <t>25006-6</t>
  </si>
  <si>
    <t>COLEGIO ESTADUAL DE TEMPO INTEGRAL ALDEMIRO VILAS BOAS</t>
  </si>
  <si>
    <t>4173-4</t>
  </si>
  <si>
    <t>5870-X</t>
  </si>
  <si>
    <t>COLEGIO ESTADUAL DE TEMPO INTEGRAL BALBINO MUNIZ BARRETO</t>
  </si>
  <si>
    <t>1163-0</t>
  </si>
  <si>
    <t>16031-8</t>
  </si>
  <si>
    <t>10</t>
  </si>
  <si>
    <t>COLEGIO ESTADUAL DE TEMPO INTEGRAL DOUTOR IVES ORLANDO LOPES DA SILVA</t>
  </si>
  <si>
    <t>3949-7</t>
  </si>
  <si>
    <t>08874-9</t>
  </si>
  <si>
    <t>CANUDOS</t>
  </si>
  <si>
    <t>COLEGIO ESTADUAL LUIS CABRAL</t>
  </si>
  <si>
    <t>38914-5</t>
  </si>
  <si>
    <t>1185-1</t>
  </si>
  <si>
    <t>46699-9</t>
  </si>
  <si>
    <t>COLEGIO ESTADUAL DO CAMPO PROFESSORA MARIA TEREZA BRAGA CABRAL</t>
  </si>
  <si>
    <t>54345-4</t>
  </si>
  <si>
    <t>COLEGIO ESTADUAL DO CAMPO AGNALDO ALMEIDA</t>
  </si>
  <si>
    <t>42368-8</t>
  </si>
  <si>
    <t>COLEGIO ESTADUAL AGROVILA 08</t>
  </si>
  <si>
    <t>2830-4</t>
  </si>
  <si>
    <t>16253-1</t>
  </si>
  <si>
    <t>COLEGIO ESTADUAL ANANIAS CARLOS DO NASCIMENTO</t>
  </si>
  <si>
    <t>16247-7</t>
  </si>
  <si>
    <t>CENTRO TERRITORIAL DE EDUCACAO PROFISSIONAL MARIA DE ALMEIDA ARAUJO</t>
  </si>
  <si>
    <t>16250-7</t>
  </si>
  <si>
    <t>ESCOLA ESTADUAL INDIGENA NOSSA SENHORA DE LOURDES</t>
  </si>
  <si>
    <t>0069-8</t>
  </si>
  <si>
    <t>109250-2</t>
  </si>
  <si>
    <t>COMPLEXO INTEGRADO DE EDUCACAO BASICA, PROFIS E TECNOLOGICA DA BAHIA</t>
  </si>
  <si>
    <t>55048-5</t>
  </si>
  <si>
    <t>CENTRO TERRITORIAL DE EDUCACAO PROFISSIONAL DO SERTAO DO SAO FRANCISCO</t>
  </si>
  <si>
    <t>55059-0</t>
  </si>
  <si>
    <t>30.09</t>
  </si>
  <si>
    <t>55036-1</t>
  </si>
  <si>
    <t>COLEGIO ESTADUAL DE TEMPO INTEGRAL PEDRO RAYMUNDO MOREIRA REGO</t>
  </si>
  <si>
    <t>55039-6</t>
  </si>
  <si>
    <t>55060-4</t>
  </si>
  <si>
    <t>CENT.REG.DE ENS.MEDIO COM INTERMEDIACAO TEC-CEMIT SERTAO DO S FRANCISC</t>
  </si>
  <si>
    <t>73858-1</t>
  </si>
  <si>
    <t>COLEGIO ESTADUAL DO CAMPO OLAVO FERREIRA NETO</t>
  </si>
  <si>
    <t>64134-0</t>
  </si>
  <si>
    <t>COLEGIO DA POLICIA MILITAR - CPM ALFREDO VIANNA</t>
  </si>
  <si>
    <t>55044-2</t>
  </si>
  <si>
    <t>COLEGIO ESTADUAL ARTUR OLIVEIRA DA SILVA</t>
  </si>
  <si>
    <t>55038-8</t>
  </si>
  <si>
    <t>55040-X</t>
  </si>
  <si>
    <t>COLEGIO ESTADUAL JUTAHY MAGALHAES</t>
  </si>
  <si>
    <t>55046-9</t>
  </si>
  <si>
    <t>COLEGIO ESTADUAL DE TEMPO INTEGRAL FLORENTINA ALVES DOS SANTOS</t>
  </si>
  <si>
    <t>55058-2</t>
  </si>
  <si>
    <t>COLEGIO ESTADUAL DE TEMPO INTEGRAL LOMANTO JUNIOR</t>
  </si>
  <si>
    <t>55042-6</t>
  </si>
  <si>
    <t>CENTRO EST. DE EDUCACAO PROFIS EM GESTAO E NEGOCIOS DO NORTE BAIANO</t>
  </si>
  <si>
    <t>55057-4</t>
  </si>
  <si>
    <t>55045-0</t>
  </si>
  <si>
    <t>55047-7</t>
  </si>
  <si>
    <t>COLEGIO ESTADUAL CECILIO MATTOS</t>
  </si>
  <si>
    <t>55053-1</t>
  </si>
  <si>
    <t>COLEGIO ESTADUAL DE TEMPO INTEGRAL AGOSTINHO MUNIZ</t>
  </si>
  <si>
    <t>55052-3</t>
  </si>
  <si>
    <t>55061-2</t>
  </si>
  <si>
    <t>COLEGIO ESTADUAL DE TEMPO INTEGRAL SOFIA MASCARENHAS</t>
  </si>
  <si>
    <t>2442-2</t>
  </si>
  <si>
    <t>13034-6</t>
  </si>
  <si>
    <t>COLEGIO ESTADUAL DE TEMPO INTEGRAL PROFESSORA IRENE DE SOUZA ARAUJO</t>
  </si>
  <si>
    <t>0594-0</t>
  </si>
  <si>
    <t>14409-6</t>
  </si>
  <si>
    <t>COLEGIO ESTADUAL REITOR EDGARD SANTOS</t>
  </si>
  <si>
    <t>14408-8</t>
  </si>
  <si>
    <t>COLEGIO ESTADUAL DE TEMPO INTEGRAL SETE DE SETEMBRO</t>
  </si>
  <si>
    <t>2678-6</t>
  </si>
  <si>
    <t>18564-7</t>
  </si>
  <si>
    <t>COLEGIO ESTADUAL JORGE KHOURY</t>
  </si>
  <si>
    <t>4623-X</t>
  </si>
  <si>
    <t>6667-2</t>
  </si>
  <si>
    <t>08.08</t>
  </si>
  <si>
    <t>COLEGIO ESTADUAL DE TEMPO INTEGRAL VILA SAO JOAQUIM</t>
  </si>
  <si>
    <t>6669-9</t>
  </si>
  <si>
    <t>CENTRO TERRIT EDUC PROF DO SERTAO SAO FRANCISCO II ANTONIO CONSELHEIRO</t>
  </si>
  <si>
    <t>1291-2</t>
  </si>
  <si>
    <t>16214-0</t>
  </si>
  <si>
    <t>COLEGIO ESTADUAL DO CAMPO PROFESSOR EDIVALDO MACHADO BOAVENTURA</t>
  </si>
  <si>
    <t>16216-7</t>
  </si>
  <si>
    <t>COLEGIO ESTADUAL DO CAMPO INTEGRACAO LAGOA DO PIRES</t>
  </si>
  <si>
    <t>16220-5</t>
  </si>
  <si>
    <t>COLEGIO ESTADUAL NOSSA SENHORA AUXILIADORA</t>
  </si>
  <si>
    <t>16215-9</t>
  </si>
  <si>
    <t>11</t>
  </si>
  <si>
    <t>COLEGIO ESTADUAL DE TEMPO INTEGRAL APARICIO JOSE DA SILVA</t>
  </si>
  <si>
    <t>1444-3</t>
  </si>
  <si>
    <t>09898-1</t>
  </si>
  <si>
    <t>COLEGIO ESTADUAL DO CAMPO VERONILDO MENDES PEREIRA</t>
  </si>
  <si>
    <t>1486-9</t>
  </si>
  <si>
    <t>14546-7</t>
  </si>
  <si>
    <t>COLEGIO ESTADUAL PIO ALVES DOS SANTOS</t>
  </si>
  <si>
    <t>10756-5</t>
  </si>
  <si>
    <t>0231-3</t>
  </si>
  <si>
    <t>40536-1</t>
  </si>
  <si>
    <t>CENTRO TERRITORIAL DE EDUCACAO PROFISSIONAL DA BACIA DO RIO GRANDE</t>
  </si>
  <si>
    <t>40531-0</t>
  </si>
  <si>
    <t>CENTRO JUVENIL DE CIENCIA E CULTURA- CJCC BARREIRAS</t>
  </si>
  <si>
    <t>61044-5</t>
  </si>
  <si>
    <t>CENT REG DE ENS MEDIO COM INTERMEDIACAO TEC.CEMIT BACIA DO RIO GRANDE</t>
  </si>
  <si>
    <t>58835-0</t>
  </si>
  <si>
    <t>COLEGIO ESTADUAL DE BARREIRINHAS</t>
  </si>
  <si>
    <t>40542-6</t>
  </si>
  <si>
    <t>COLEGIO DA POLICIA MILITAR - CPM PROFESSOR ALEXANDRE LEAL COSTA</t>
  </si>
  <si>
    <t>40534-5</t>
  </si>
  <si>
    <t>COLEGIO DEMOCRATICO ESTADUAL MARCOS FREIRE</t>
  </si>
  <si>
    <t>40529-9</t>
  </si>
  <si>
    <t>40533-7</t>
  </si>
  <si>
    <t>COLEGIO ESTADUAL DE TEMPO INTEGRAL PROFESSORA KELLY MAGALHAES</t>
  </si>
  <si>
    <t>40528-0</t>
  </si>
  <si>
    <t>40530-2</t>
  </si>
  <si>
    <t>COLEGIO ESTADUAL PRISCO VIANA</t>
  </si>
  <si>
    <t>40535-3</t>
  </si>
  <si>
    <t>COLEGIO ESTADUAL ANTONIO RODRIGUES VIANA</t>
  </si>
  <si>
    <t>24013-3</t>
  </si>
  <si>
    <t>COLEGIO ESTADUAL NOSSA SENHORA DA PENHA</t>
  </si>
  <si>
    <t>40546-9</t>
  </si>
  <si>
    <t>COLEGIO ESTADUAL DE TEMPO INTEGRAL JOSE MARCELO SILVEIRA MARIANI</t>
  </si>
  <si>
    <t>40549-3</t>
  </si>
  <si>
    <t>COLEGIO ESTADUAL DE TEMPO INTEGRAL DE CRISTOPOLIS</t>
  </si>
  <si>
    <t>40550-7</t>
  </si>
  <si>
    <t>CENTRO TERRITORIAL DE EDUCACAO PROFISSIONAL ALMIR TEIXEIRA SANTOS</t>
  </si>
  <si>
    <t>1062-6</t>
  </si>
  <si>
    <t>20417-X</t>
  </si>
  <si>
    <t>COLEGIO ESTADUAL DE TEMPO INTEGRAL MARIA OTILIA LUTZ</t>
  </si>
  <si>
    <t>2997-1</t>
  </si>
  <si>
    <t>42779-9</t>
  </si>
  <si>
    <t>COLEGIO ESTADUAL DE TEMPO INTEGRAL MIMOSO DO OESTE</t>
  </si>
  <si>
    <t>29032-7</t>
  </si>
  <si>
    <t>29033-5</t>
  </si>
  <si>
    <t>COLEGIO ESTADUAL DE TEMPO INTEGRAL PROFESSORA MARIA HELENA OLIVEIRA</t>
  </si>
  <si>
    <t>40553-1</t>
  </si>
  <si>
    <t>COLEGIO ESTADUAL PROFESSOR IVARDO PEREIRA BASTOS</t>
  </si>
  <si>
    <t>2526-7</t>
  </si>
  <si>
    <t>11414-6</t>
  </si>
  <si>
    <t>COLEGIO ESTADUAL RODOLFO DE QUEIROZ</t>
  </si>
  <si>
    <t>11336-0</t>
  </si>
  <si>
    <t>CENTRO TERRI.DE EDUC.PROFI.STA RITA DE CASSIA-CETEP STA RITA DE CASSIA</t>
  </si>
  <si>
    <t>1129-0</t>
  </si>
  <si>
    <t>17346-0</t>
  </si>
  <si>
    <t>COLEGIO ESTADUAL DO CAMPO MIGUEL MOREIRA DE CARVALHO</t>
  </si>
  <si>
    <t>5819-X</t>
  </si>
  <si>
    <t>2168-7</t>
  </si>
  <si>
    <t>2612-3</t>
  </si>
  <si>
    <t>15693-0</t>
  </si>
  <si>
    <t>COLEGIO ESTADUAL DE TEMPO INTEGRAL ANTONIO INACIO DE OLIVEIRA</t>
  </si>
  <si>
    <t>1168-1</t>
  </si>
  <si>
    <t>11174-0</t>
  </si>
  <si>
    <t>12</t>
  </si>
  <si>
    <t>COLEGIO ESTADUAL DE TEMPO INTEGRAL DE BOQUIRA</t>
  </si>
  <si>
    <t>1091-X</t>
  </si>
  <si>
    <t>25750-8</t>
  </si>
  <si>
    <t>COLEGIO ESTADUAL DO CAMPO DE TEMPO INTEGRAL DE BOTUPORA</t>
  </si>
  <si>
    <t>1660-8</t>
  </si>
  <si>
    <t>10541-4</t>
  </si>
  <si>
    <t>25751-6</t>
  </si>
  <si>
    <t>COLEGIO ESTADUAL DE TEMPO INTEGRAL DE AGUA QUENTE</t>
  </si>
  <si>
    <t>2399-X</t>
  </si>
  <si>
    <t>16300-7</t>
  </si>
  <si>
    <t>COLEGIO ESTADUAL DO CAMPO DE TEMPO INTEGRAL DE IBIPITANGA</t>
  </si>
  <si>
    <t>25753-2</t>
  </si>
  <si>
    <t>CENTRO REGIONAL DE ENS M COM INTE TECNOLOGICA-CEMIT BACIA DO PARAMIRIM</t>
  </si>
  <si>
    <t>43002-1</t>
  </si>
  <si>
    <t>COLEGIO ESTADUAL CONEGO FIRMINO SOARES</t>
  </si>
  <si>
    <t>25757-5</t>
  </si>
  <si>
    <t>CENTRO TERRITORIAL DE EDUCACAO PROFISSIONAL DA BACIA DO PARAMIRIM</t>
  </si>
  <si>
    <t>25758-3</t>
  </si>
  <si>
    <t>COLEGIO ESTADUAL DE TEMPO INTEGRAL DE PARAMIRIM</t>
  </si>
  <si>
    <t>15887-9</t>
  </si>
  <si>
    <t>COLEGIO ESTADUAL PAULO VI</t>
  </si>
  <si>
    <t>25759-1</t>
  </si>
  <si>
    <t>COLEGIO ESTADUAL DO CAMPO DE IBIAJARA</t>
  </si>
  <si>
    <t>16649-9</t>
  </si>
  <si>
    <t>13</t>
  </si>
  <si>
    <t>COLEGIO ESTADUAL DE TEMPO INTEGRAL DE BRUMADO</t>
  </si>
  <si>
    <t>0730-7</t>
  </si>
  <si>
    <t>28683-4</t>
  </si>
  <si>
    <t>CENTRO ESTADUAL DE EDUCACAO PROFISSIONAL EM GESTAO E MEIO AMBIENTE</t>
  </si>
  <si>
    <t>28684-2</t>
  </si>
  <si>
    <t>24362-0</t>
  </si>
  <si>
    <t>COMPLEXO INTEGRADO DE EDUC BASICA PROFIS E TECNOLOGICA-CIEBTEC</t>
  </si>
  <si>
    <t>24365-5</t>
  </si>
  <si>
    <t>COLEGIO ESTADUAL DO CAMPO PEDRO ATANASIO GARCIA</t>
  </si>
  <si>
    <t>24363-9</t>
  </si>
  <si>
    <t>CENTRO DE APOIO PEDAGOGICO ESPECIALIZADO PROFE IELITA NEVES COTRIM</t>
  </si>
  <si>
    <t>24364-7</t>
  </si>
  <si>
    <t>COLEGIO ESTADUAL DE TEMPO INTEGRAL ANTONIO BATISTA</t>
  </si>
  <si>
    <t>1728-0</t>
  </si>
  <si>
    <t>09852-3</t>
  </si>
  <si>
    <t>COLEGIO ESTADUAL DE TEMPO INTEGRAL DE CONTENDAS DO SINCORA</t>
  </si>
  <si>
    <t>1152-5</t>
  </si>
  <si>
    <t>16741-X</t>
  </si>
  <si>
    <t>4186-6</t>
  </si>
  <si>
    <t>7016-5</t>
  </si>
  <si>
    <t>COLEGIO EST. DE TEMPO INTEGRAL PROF BEATRIZ GOMES E SOUZA DE BARROS</t>
  </si>
  <si>
    <t>30981-8</t>
  </si>
  <si>
    <t>CENTRO ESTADUAL DE EDUCACAO PROFISSIONAL EM SAUDE E GESTAO</t>
  </si>
  <si>
    <t>30971-0</t>
  </si>
  <si>
    <t>COLEGIO ESTADUAL GOVERNADOR LUIZ VIANA FILHO</t>
  </si>
  <si>
    <t>30972-9</t>
  </si>
  <si>
    <t>COLEGIO ESTADUAL DO CAMPO DE MUTAS</t>
  </si>
  <si>
    <t>30982-6</t>
  </si>
  <si>
    <t>COLEGIO ESTADUAL ANTONIO FIGUEIREDO</t>
  </si>
  <si>
    <t>2109-1</t>
  </si>
  <si>
    <t>12882-1</t>
  </si>
  <si>
    <t>16742-8</t>
  </si>
  <si>
    <t>IUIU</t>
  </si>
  <si>
    <t>3618-8</t>
  </si>
  <si>
    <t>8815-3</t>
  </si>
  <si>
    <t>processo administrativo 011.7627.2025.0073453-19</t>
  </si>
  <si>
    <t>COLEGIO ESTADUAL LUIS PRISCO VIANA</t>
  </si>
  <si>
    <t>24374-4</t>
  </si>
  <si>
    <t>COLEGIO ESTADUAL DE TEMPO INTEGRAL JOAO VILAS BOAS</t>
  </si>
  <si>
    <t>1089-8</t>
  </si>
  <si>
    <t>20208-8</t>
  </si>
  <si>
    <t>MALHADA DE PEDRAS</t>
  </si>
  <si>
    <t>COLEGIO ESTADUAL DE TEMPO INTEGRAL DE MALHADA DE PEDRAS</t>
  </si>
  <si>
    <t>28698-2</t>
  </si>
  <si>
    <t>COLEGIO ESTADUAL DE TEMPO INTEGRAL ANISIO TEIXEIRA</t>
  </si>
  <si>
    <t>30985-0</t>
  </si>
  <si>
    <t>COLEGIO EST DE TEMPO INTEGRAL PETRONILIO DA SILVA PRADO</t>
  </si>
  <si>
    <t>30987-7</t>
  </si>
  <si>
    <t>COLEGIO ESTADUAL PROFESSORA LIA PUBLIO DE CASTRO</t>
  </si>
  <si>
    <t>24375-2</t>
  </si>
  <si>
    <t>COLEGIO ESTADUAL DE TEMPO INTEGRAL DE RIO DO ANTONIO</t>
  </si>
  <si>
    <t>24376-0</t>
  </si>
  <si>
    <t>COLEGIO ESTADUAL DO CAMPO DE TEMPO INTEGRAL DOM PEDRO I</t>
  </si>
  <si>
    <t>56330-7</t>
  </si>
  <si>
    <t>COLEGIO ESTADUAL DE TEMPO INTEGRAL JOAO TEIXEIRA DE NOVAES</t>
  </si>
  <si>
    <t>16354-6</t>
  </si>
  <si>
    <t>16353-8</t>
  </si>
  <si>
    <t>COLEGIO ESTADUAL DE TEMPO INTEGRAL DE TANQUE NOVO</t>
  </si>
  <si>
    <t>4539-X</t>
  </si>
  <si>
    <t>07407-1</t>
  </si>
  <si>
    <t>COLEGIO ESTADUAL DE TEMPO INTEGRAL DE URANDI</t>
  </si>
  <si>
    <t>2751-0</t>
  </si>
  <si>
    <t>12504-0</t>
  </si>
  <si>
    <t>14</t>
  </si>
  <si>
    <t>COLEGIO ESTADUAL DO CAMPO ALOISIO DAMASCENO DE JESUS</t>
  </si>
  <si>
    <t>1647-0</t>
  </si>
  <si>
    <t>10392-6</t>
  </si>
  <si>
    <t>COLEGIO ESTADUAL DO CAMPO EDGAR SANTOS</t>
  </si>
  <si>
    <t>9034-4</t>
  </si>
  <si>
    <t>COLEGIO ESTADUAL BOA VISTA DO TUPIM</t>
  </si>
  <si>
    <t>9032-8</t>
  </si>
  <si>
    <t>COLEGIO ESTADUAL DO CAMPO CASTELO BRANCO</t>
  </si>
  <si>
    <t>9033-6</t>
  </si>
  <si>
    <t>IACU</t>
  </si>
  <si>
    <t>COLEGIO ESTADUAL LAURO FARANI PEDREIRA DE FREITAS</t>
  </si>
  <si>
    <t>2105-9</t>
  </si>
  <si>
    <t>14576-9</t>
  </si>
  <si>
    <t>COLEGIO ESTADUAL DE IBIQUERA</t>
  </si>
  <si>
    <t>22518-5</t>
  </si>
  <si>
    <t>22524-X</t>
  </si>
  <si>
    <t>COLEGIO ESTADUAL CENTENARIO</t>
  </si>
  <si>
    <t>22519-3</t>
  </si>
  <si>
    <t>CENTRO TERRITORIAL DE EDUCACAO PROFISSIONAL DO PIEMONTE PARAGUACU I</t>
  </si>
  <si>
    <t>22523-1</t>
  </si>
  <si>
    <t>COLEGIO ESTADUAL DE TEMPO INTEGRAL GEOVANIA NOGUEIRA NUNES</t>
  </si>
  <si>
    <t>0693-9</t>
  </si>
  <si>
    <t>12584-9</t>
  </si>
  <si>
    <t>COLEGIO ESTADUAL PROFESSORA DELZAIR NASCIMENTO GALVAO</t>
  </si>
  <si>
    <t>22526-6</t>
  </si>
  <si>
    <t>COLEGIO ESTADUAL CARLITO DE CARVALHO</t>
  </si>
  <si>
    <t>4192-0</t>
  </si>
  <si>
    <t>7391-1</t>
  </si>
  <si>
    <t>CENTRO TERRITORIAL DE EDUCACAO PROFISSIONAL PIEMONTE DO PARAGUACU II</t>
  </si>
  <si>
    <t>0109-0</t>
  </si>
  <si>
    <t>14163-1</t>
  </si>
  <si>
    <t>COLEGIO ESTADUAL DE TEMPO INTEGRAL PROFESSORA AYDIL LIMA DOS SANTOS</t>
  </si>
  <si>
    <t>2459-7</t>
  </si>
  <si>
    <t>12318-8</t>
  </si>
  <si>
    <t>0041-8</t>
  </si>
  <si>
    <t>91409-6</t>
  </si>
  <si>
    <t>COLEGIO ESTADUAL DO CAMPO SANTO ANTONIO DO ARGOIM</t>
  </si>
  <si>
    <t>1133-9</t>
  </si>
  <si>
    <t>32970-3</t>
  </si>
  <si>
    <t>COLEGIO ESTADUAL DE TEMPO INTEGRAL PROFESSOR MAGALHAES NETO</t>
  </si>
  <si>
    <t>0595-9</t>
  </si>
  <si>
    <t>16277-9</t>
  </si>
  <si>
    <t>SANTA TEREZINHA</t>
  </si>
  <si>
    <t>12269-6</t>
  </si>
  <si>
    <t>COLEGIO ESTADUAL DE TEMPO INTEGRAL JOAO QUEIROZ</t>
  </si>
  <si>
    <t>12320-X</t>
  </si>
  <si>
    <t>15</t>
  </si>
  <si>
    <t>1488-5</t>
  </si>
  <si>
    <t>12818-X</t>
  </si>
  <si>
    <t>COL EST DE TEMPO INTEGRAL PROF ZENILDA FERNANDES DOS SANTOS FARIAS</t>
  </si>
  <si>
    <t>4175-0</t>
  </si>
  <si>
    <t>8027-6</t>
  </si>
  <si>
    <t>CENTRO TERRITORIAL DE EDUC PROFI DA BACIA DO JACUIPE III-EDNA DALTRO</t>
  </si>
  <si>
    <t>3046-5</t>
  </si>
  <si>
    <t>19363-1</t>
  </si>
  <si>
    <t>COLEGIO ESTADUAL DO CAMPO DE PEDRAS ALTAS</t>
  </si>
  <si>
    <t>34047-2</t>
  </si>
  <si>
    <t>0684-X</t>
  </si>
  <si>
    <t>26143-2</t>
  </si>
  <si>
    <t>COLEGIO ESTADUAL TEMPO INTEGRAL PROFESSOR ARISMARIO SENA FERREIRA</t>
  </si>
  <si>
    <t>0930-X</t>
  </si>
  <si>
    <t>24215-2</t>
  </si>
  <si>
    <t>CENTRO TER DE EDUC PROFI DA BACIA DO JACUIPE PROF LUIZ CARLOS ARAUJO</t>
  </si>
  <si>
    <t>24216-0</t>
  </si>
  <si>
    <t>CEMIT BACIADO JACUIPE</t>
  </si>
  <si>
    <t>0998-9</t>
  </si>
  <si>
    <t>14082-1</t>
  </si>
  <si>
    <t>COLEGIO ESTADUAL DE TEMPO INTEGRAL VIRGILIO FRANCISCO PEREIRA</t>
  </si>
  <si>
    <t>28220-0</t>
  </si>
  <si>
    <t>28675-3</t>
  </si>
  <si>
    <t>COLEGIO ESTADUAL DE TEMPO INTEGRAL EUFRASIO GONÇALVES DE ALMEIDA</t>
  </si>
  <si>
    <t>25716-8</t>
  </si>
  <si>
    <t>COLEGIO EST DE TEMPO INTEGRAL PROF TEREZINHA GONCALVES NOVAIS</t>
  </si>
  <si>
    <t>0135-X</t>
  </si>
  <si>
    <t>31753-5</t>
  </si>
  <si>
    <t>24401-5</t>
  </si>
  <si>
    <t>24402-3</t>
  </si>
  <si>
    <t>COLEGIO ESTADUAL DO CAMPO DACILDA RIOS DE OLIVEIRA</t>
  </si>
  <si>
    <t>24400-7</t>
  </si>
  <si>
    <t>CENTRO TERRIT DE EDUCACAO PROFIS DA BACIA DO JACUIPE II JOAO CAMPOS</t>
  </si>
  <si>
    <t>24403-1</t>
  </si>
  <si>
    <t>31754-3</t>
  </si>
  <si>
    <t>COLEGIO ESTADUAL DE TEMPO INTEGRAL MARIA NEVES CARNEIRO</t>
  </si>
  <si>
    <t>33712-9</t>
  </si>
  <si>
    <t>91420-7</t>
  </si>
  <si>
    <t>91419-3</t>
  </si>
  <si>
    <t>4182-3</t>
  </si>
  <si>
    <t>6802-0</t>
  </si>
  <si>
    <t>31759-4</t>
  </si>
  <si>
    <t>16</t>
  </si>
  <si>
    <t>COLEGIO ESTADUAL DE TEMPO INTEGRAL ARNALDO DE OLIVEIRA</t>
  </si>
  <si>
    <t>108192-6</t>
  </si>
  <si>
    <t>CENTRO TERRITORIAL DE EDUCACAO PROFIS. DO PIEMONTE DA DIAMANTINA II</t>
  </si>
  <si>
    <t>31742-X</t>
  </si>
  <si>
    <t>COLEGIO ESTADUAL DE TEMPO INTEGRAL DE JUNCO</t>
  </si>
  <si>
    <t>31751-9</t>
  </si>
  <si>
    <t>COLEGIO ESTADUAL DE TEMPO INTEGRAL DE JACOBINA</t>
  </si>
  <si>
    <t>31741-1</t>
  </si>
  <si>
    <t>COLEGIO ESTADUAL DE TEMPO INTEGRAL DEOCLECIANO BARBOSA DE CASTRO</t>
  </si>
  <si>
    <t>31750-0</t>
  </si>
  <si>
    <t>COLEGIO ESTADUAL DO CAMPO PROFESSORA MARIA IZABEL DE OLIVEIRA</t>
  </si>
  <si>
    <t>71729-0</t>
  </si>
  <si>
    <t>COLEGIO ESTADUAL DE TEMPO INTEGRAL NOSSA SENHORA DA CONCEICAO</t>
  </si>
  <si>
    <t>1096-0</t>
  </si>
  <si>
    <t>15579-9</t>
  </si>
  <si>
    <t>COLEGIO ESTADUAL DE TEMPO INTEGRAL DE MIGUEL CALMON</t>
  </si>
  <si>
    <t>15578-0</t>
  </si>
  <si>
    <t>COLEGIO ESTADUAL DE TEMPO INTEGRAL SOROR JOANA ANGELICA</t>
  </si>
  <si>
    <t>2305-1</t>
  </si>
  <si>
    <t>9478-1</t>
  </si>
  <si>
    <t>COLEGIO ESTADUAL DE TEMPO INTEGRAL DE OUROLANDIA</t>
  </si>
  <si>
    <t>31752-7</t>
  </si>
  <si>
    <t>COLEGIO ESTADUAL DO CAMPO MARIA LUCIA BARBOSA DA PAIXAO</t>
  </si>
  <si>
    <t>COLEGIO ESTADUAL DE TEMPO INTEGRAL ERNESTO CARNEIRO RIBEIRO</t>
  </si>
  <si>
    <t>31756-X</t>
  </si>
  <si>
    <t>2684-0</t>
  </si>
  <si>
    <t>10585-6</t>
  </si>
  <si>
    <t>COLEGIO ESTADUAL DE TEMPO INTEGRAL PROFESSORA MARIA MADALENA DA SILVA</t>
  </si>
  <si>
    <t>42030-1</t>
  </si>
  <si>
    <t>COLEGIO ESTADUAL DE TEMPO INTEGRAL PROFESSORA ADJACI MARTINS DURANS</t>
  </si>
  <si>
    <t>31760-8</t>
  </si>
  <si>
    <t>17</t>
  </si>
  <si>
    <t>4189-0</t>
  </si>
  <si>
    <t>6737-7</t>
  </si>
  <si>
    <t>COLEGIO ESTADUAL DE TEMPO INTEGRAL PROF LUZIA CARVALHO SILVA</t>
  </si>
  <si>
    <t>1448-6</t>
  </si>
  <si>
    <t>10884-7</t>
  </si>
  <si>
    <t>COLEGIO ESTADUAL INDIGENA KIRIRI INDIO FELIZ</t>
  </si>
  <si>
    <t>4179-3</t>
  </si>
  <si>
    <t>8744-0</t>
  </si>
  <si>
    <t>COLEGIO ESTADUAL INDIGENA JOSE ZACARIAS</t>
  </si>
  <si>
    <t>6635-4</t>
  </si>
  <si>
    <t>COLEGIO ESTADUAL INDIGENA TUXA CACIQUE RAUL VALERIO DE OLIVEIRA</t>
  </si>
  <si>
    <t>7727-5</t>
  </si>
  <si>
    <t>7399-7</t>
  </si>
  <si>
    <t>COLEGIO ESTADUAL DE TEMPO INTEGRAL FLAVIANO DANTAS DO NASCIMENTO</t>
  </si>
  <si>
    <t>6536-6</t>
  </si>
  <si>
    <t>COLEGIO ESTADUAL PROFESSOR LUIZ NAVARRO DE BRITO</t>
  </si>
  <si>
    <t>1774-4</t>
  </si>
  <si>
    <t>18309-1</t>
  </si>
  <si>
    <t>CENT.EST DE EDUC PROFIS EM INF E GESTAO LOURDES CARVALHO NEVES BATISTA</t>
  </si>
  <si>
    <t>18308-3</t>
  </si>
  <si>
    <t>3716-8</t>
  </si>
  <si>
    <t>13168-7</t>
  </si>
  <si>
    <t>COLEGIO ESTADUAL DE TEMPO INTEGRAL SANTO ANTONIO</t>
  </si>
  <si>
    <t>3913-6</t>
  </si>
  <si>
    <t>9506-0</t>
  </si>
  <si>
    <t>0791-9</t>
  </si>
  <si>
    <t>29996-0</t>
  </si>
  <si>
    <t>29999-5</t>
  </si>
  <si>
    <t>COLEGIO ESTADUAL INDIGENA DOM JACKSON BERENGUER PRADO</t>
  </si>
  <si>
    <t>32540-6</t>
  </si>
  <si>
    <t>COLEGIO ESTADUAL DE TEMPO INTEGRAL PROFESSORA ANA MIRENA DA SILVA</t>
  </si>
  <si>
    <t>18725-9</t>
  </si>
  <si>
    <t>COLEGIO ESTADUAL DE TEMPO INTEGRAL JOSE DANTAS DE SOUZA</t>
  </si>
  <si>
    <t>0973-3</t>
  </si>
  <si>
    <t>20110-3</t>
  </si>
  <si>
    <t>CENTRO TERRITORIAL DE EDUCACAO PROFISSIONAL RASO DA CATARINA</t>
  </si>
  <si>
    <t>0936-9</t>
  </si>
  <si>
    <t>17881-0</t>
  </si>
  <si>
    <t>COLEGIO ESTADUAL DE TEMPO INTEGRAL SERTAO DA NATUBA DE NOVA SOURE</t>
  </si>
  <si>
    <t>2788-X</t>
  </si>
  <si>
    <t>14144-5</t>
  </si>
  <si>
    <t>COLEGIO ESTADUAL DE TEMPO INTEGRAL PROFESSORA MARIA TEREZA DE OLIVEIRA</t>
  </si>
  <si>
    <t>11063-9</t>
  </si>
  <si>
    <t>COLEGIO ESTADUAL DE TEMPO INTEGRAL DOUTOR JOSE CARLOS BEZERRA CARVALHO</t>
  </si>
  <si>
    <t>1107-X</t>
  </si>
  <si>
    <t>18522-1</t>
  </si>
  <si>
    <t>COLEGIO ESTADUAL DE TEMPO INTEGRAL PROFESSORA HELENA BRITTO</t>
  </si>
  <si>
    <t>00125-2</t>
  </si>
  <si>
    <t>109184-0</t>
  </si>
  <si>
    <t>20114-6</t>
  </si>
  <si>
    <t>COLEGIO ESTADUAL DE TEMPO INTEGRAL DO CAMPO JOAO MARQUES DA SILVA</t>
  </si>
  <si>
    <t>COLEGIO ESTADUAL DE TEMPO INTEGRAL PROFESSORA SILVIA FERREIRA DE BRITO</t>
  </si>
  <si>
    <t>20112-X</t>
  </si>
  <si>
    <t>CENTRO TERRITORIAL DE EDUCACAO PROFISSIONAL DO SEMI ARIDO NORDESTE II</t>
  </si>
  <si>
    <t>20115-4</t>
  </si>
  <si>
    <t>COLEGIO ESTADUAL DE TEMPO INTEGRAL MADRINHA DODO</t>
  </si>
  <si>
    <t>0621-1</t>
  </si>
  <si>
    <t>39913-2</t>
  </si>
  <si>
    <t>11243-7</t>
  </si>
  <si>
    <t>18</t>
  </si>
  <si>
    <t>COLEGIO ESTADUAL DE TEMPO INTEGRAL ANTONIO DA COSTA BRITO</t>
  </si>
  <si>
    <t>3838-5</t>
  </si>
  <si>
    <t>8970-2</t>
  </si>
  <si>
    <t>0158-9</t>
  </si>
  <si>
    <t>42110-3</t>
  </si>
  <si>
    <t>42119-7</t>
  </si>
  <si>
    <t>42122-7</t>
  </si>
  <si>
    <t>COLEGIO ESTADUAL DO CAMPO LEONCIO PEREIRA DOS SANTOS</t>
  </si>
  <si>
    <t>50608-7</t>
  </si>
  <si>
    <t>42104-9</t>
  </si>
  <si>
    <t>42128-6</t>
  </si>
  <si>
    <t>42109-X</t>
  </si>
  <si>
    <t>42121-9</t>
  </si>
  <si>
    <t>42111-1</t>
  </si>
  <si>
    <t>COLEGIO DA POLICIA MILITAR - CPM PROFESSOR CARLOS ROSA</t>
  </si>
  <si>
    <t>42113-8</t>
  </si>
  <si>
    <t>COLEGIO ESTADUAL DO CAMPO JOAO CARLOS MEIRELES PAULILO</t>
  </si>
  <si>
    <t>42106-5</t>
  </si>
  <si>
    <t>42127-8</t>
  </si>
  <si>
    <t>CENTRO TERRITORIAL DE EDUC.PROFISS. DO LITORAL NORTE E AGRESTE BAIANO</t>
  </si>
  <si>
    <t>42102-2</t>
  </si>
  <si>
    <t>42130-8</t>
  </si>
  <si>
    <t>COLEGIO ESTADUAL DE TEMPO INTEGRAL PROF AUREA DOS HUMILDES OLIVEIRA</t>
  </si>
  <si>
    <t>0610-6</t>
  </si>
  <si>
    <t>109986-8</t>
  </si>
  <si>
    <t>COLEGIO ESTADUAL DE TEMPO INTEGRAL DE ITAMIRA</t>
  </si>
  <si>
    <t>109984-1</t>
  </si>
  <si>
    <t>COLEGIO ESTADUAL DE TEMPO INTEGRAL JOSE VICENTE LEAL</t>
  </si>
  <si>
    <t>59549-7</t>
  </si>
  <si>
    <t>COLEGIO ESTADUAL DE TEMPO INTEGRAL PROFESSORA MARIA DO CARMO SANTANA</t>
  </si>
  <si>
    <t>110279-6</t>
  </si>
  <si>
    <t>COLEGIO EST DE TEMPO INTEGRAL DR JOSE ANTONIO DE ARAUJO PIMENTA</t>
  </si>
  <si>
    <t>4193-9</t>
  </si>
  <si>
    <t>6239-1</t>
  </si>
  <si>
    <t>CENTRO EST DE EDUC PROF CONT E GEST DO N BAIANO PEDRO RIBEIRO PESSOA</t>
  </si>
  <si>
    <t>1762-0</t>
  </si>
  <si>
    <t>16959-5</t>
  </si>
  <si>
    <t>COLEGIO ESTADUAL DOUTOR ANTONIO CARLOS MAGALHAES</t>
  </si>
  <si>
    <t>16954-4</t>
  </si>
  <si>
    <t>COLEGIO ESTADUAL DE TEMPO INTEGRAL DE CATU</t>
  </si>
  <si>
    <t>16953-6</t>
  </si>
  <si>
    <t>3837-7</t>
  </si>
  <si>
    <t>11409-X</t>
  </si>
  <si>
    <t>COLEGIO ESTADUAL CELSO MENDES DE LIMA</t>
  </si>
  <si>
    <t>11410-3</t>
  </si>
  <si>
    <t>4490-3</t>
  </si>
  <si>
    <t>6925-6</t>
  </si>
  <si>
    <t>2041-9</t>
  </si>
  <si>
    <t>20829-9</t>
  </si>
  <si>
    <t>COLEGIO ESTADUAL PROFESSORA IVANECK MARIA AGUIAR COSTA</t>
  </si>
  <si>
    <t>5747-9</t>
  </si>
  <si>
    <t>11748-X</t>
  </si>
  <si>
    <t>ESPLANADA</t>
  </si>
  <si>
    <t>COLEGIO ESTADUAL DE TEMPO INTEGRAL CELINA SARAIVA</t>
  </si>
  <si>
    <t>14106-2</t>
  </si>
  <si>
    <t>COLEGIO ESTADUAL DO CAMPO DE TEMPO INTEGRAL MARIA MENDES DE SOUZA</t>
  </si>
  <si>
    <t>1072-3</t>
  </si>
  <si>
    <t>23902-X</t>
  </si>
  <si>
    <t>COLEGIO EST DE TEMPO INTEGRAL PROFESSORA SIMONE SIMOES NERI</t>
  </si>
  <si>
    <t>22415-4</t>
  </si>
  <si>
    <t>CENTRO REG. INT. TECNOLOGICA-CEMIT LITORAL NORTE E AGRESTE BAIANO</t>
  </si>
  <si>
    <t>39303-7</t>
  </si>
  <si>
    <t>ITANAGRA</t>
  </si>
  <si>
    <t>COLEGIO ESTADUAL PROFESSOR CARLOS SANTANA</t>
  </si>
  <si>
    <t>3268-9</t>
  </si>
  <si>
    <t>15937-9</t>
  </si>
  <si>
    <t>2172-5</t>
  </si>
  <si>
    <t>10350-0</t>
  </si>
  <si>
    <t>COLEGIO ESTADUAL DO CAMPO PROFESSORA MARIA FREIRE ANUNCIACAO SILVA</t>
  </si>
  <si>
    <t>13371-X</t>
  </si>
  <si>
    <t>1288-2</t>
  </si>
  <si>
    <t>18758-5</t>
  </si>
  <si>
    <t>COLEGIO ESTADUAL ACELINA DANTAS DA SILVA</t>
  </si>
  <si>
    <t>14679-X</t>
  </si>
  <si>
    <t>COLEGIO EST DE TEMPO INTEGRAL PROFESSORA NINALVA MARIA PARAIZO SILVA</t>
  </si>
  <si>
    <t>2366-3</t>
  </si>
  <si>
    <t>14014-7</t>
  </si>
  <si>
    <t>COLEGIO ESTADUAL ELIEL MARTINS</t>
  </si>
  <si>
    <t>42148-0</t>
  </si>
  <si>
    <t>COLEGIO ESTADUAL JOAO BENEVIDES NOGUEIRA</t>
  </si>
  <si>
    <t>42149-9</t>
  </si>
  <si>
    <t>18761-5</t>
  </si>
  <si>
    <t>18760-7</t>
  </si>
  <si>
    <t>COLEGIO DEMOCRATICO ESTADUAL PROFESSOR EDGARD SANTOS</t>
  </si>
  <si>
    <t>2674-3</t>
  </si>
  <si>
    <t>10187-7</t>
  </si>
  <si>
    <t>19</t>
  </si>
  <si>
    <t>COLEGIO ESTADUAL DE AGUA FRIA</t>
  </si>
  <si>
    <t>0236-4</t>
  </si>
  <si>
    <t>09865-5</t>
  </si>
  <si>
    <t>1017-0</t>
  </si>
  <si>
    <t>27597-2</t>
  </si>
  <si>
    <t>COLEGIO ESTADUAL DE TEMPO INTEGRAL ARTHUR VIEIRA DE OLIVEIRA</t>
  </si>
  <si>
    <t>91302-2</t>
  </si>
  <si>
    <t>COLEGIO EST DO CAMPO DE TEMPO INT GENIVALDO DE ALMEIDA BRANDAO</t>
  </si>
  <si>
    <t>91303-0</t>
  </si>
  <si>
    <t>COLEGIO ESTADUAL DE TEMPO INTEGRAL DE CONCEICAO DA FEIRA</t>
  </si>
  <si>
    <t>1787-6</t>
  </si>
  <si>
    <t>12646-2</t>
  </si>
  <si>
    <t>COLEGIO ESTADUAL DE TEMPO INTEGRAL CONCEICAO DO JACUIPE</t>
  </si>
  <si>
    <t>91306-5</t>
  </si>
  <si>
    <t>1796-5</t>
  </si>
  <si>
    <t>11813-3</t>
  </si>
  <si>
    <t>COLEGIO ESTADUAL DO CAMPO PROFESSOR JOSE WALDOMIRO SANTOS DA CONCEICAO</t>
  </si>
  <si>
    <t>4494-6</t>
  </si>
  <si>
    <t>111809-9</t>
  </si>
  <si>
    <t>91370-7</t>
  </si>
  <si>
    <t>CENTRO DE APOIO PEDAGOGICO ESPECIALIZADO JONATHAS TELLES DE CARVALHO</t>
  </si>
  <si>
    <t>91378-2</t>
  </si>
  <si>
    <t>COLEGIO ESTADUAL DE TEMPO INTEGRAL PROF ANA ALICE FIGUEREDO DOS SANTOS</t>
  </si>
  <si>
    <t>91321-9</t>
  </si>
  <si>
    <t>CENTRO JUVENIL DE CIENCIA E CULTURA - CJCC FEIRA DE SANTANA</t>
  </si>
  <si>
    <t>3886-5</t>
  </si>
  <si>
    <t>30177-9</t>
  </si>
  <si>
    <t>91386-3</t>
  </si>
  <si>
    <t>CENTRO DE APOIO PEDAGOGICO ESPECIALIZADO DE FEIRA DE SANTANA</t>
  </si>
  <si>
    <t>91377-4</t>
  </si>
  <si>
    <t>COLEGIO ESTADUAL DO CAMPO MARIA QUITERIA</t>
  </si>
  <si>
    <t>91320-0</t>
  </si>
  <si>
    <t>CENTRO TERRITORIAL DE EDUCACAO PROFISSIONAL DO PORTAL DO SERTAO</t>
  </si>
  <si>
    <t>91338-3</t>
  </si>
  <si>
    <t>COLEGIO ESTADUAL DO CAMPO JOAO BAPTISTA CARNEIRO</t>
  </si>
  <si>
    <t>91369-3</t>
  </si>
  <si>
    <t>COLEGIO ESTADUAL JUIZ JORGE FARIAS GOES</t>
  </si>
  <si>
    <t>91316-2</t>
  </si>
  <si>
    <t>COLEGIO ESTADUAL DO CAMPO ITAN GUIMARAES CERQUEIRA</t>
  </si>
  <si>
    <t>91393-6</t>
  </si>
  <si>
    <t>COLEGIO ESTADUAL DO CAMPO DE JAGUARA</t>
  </si>
  <si>
    <t>91397-9</t>
  </si>
  <si>
    <t>91384-7</t>
  </si>
  <si>
    <t>91317-0</t>
  </si>
  <si>
    <t>91387-1</t>
  </si>
  <si>
    <t>COLEGIO ESTADUAL LAZARO DOS SANTOS FERREIRA</t>
  </si>
  <si>
    <t>91341-3</t>
  </si>
  <si>
    <t>COLEGIO EST DE TEMPO INTEGRAL PROF ANA ANGELICA VERGNE DE MORAIS</t>
  </si>
  <si>
    <t>91315-4</t>
  </si>
  <si>
    <t>CENTRO ESTADUAL DE EDUCACAO PROFISSIONAL AUREO DE OLIVEIRA FILHO</t>
  </si>
  <si>
    <t>136056-6</t>
  </si>
  <si>
    <t>91347-2</t>
  </si>
  <si>
    <t>COLEGIO ESTADUAL PROFESSORA CARMINDA MASCARENHAS VIEIRA</t>
  </si>
  <si>
    <t>91328-6</t>
  </si>
  <si>
    <t>91345-6</t>
  </si>
  <si>
    <t>COLEGIO ESTADUAL DO CAMPO PADRE HENRIQUE ALVES BORGES</t>
  </si>
  <si>
    <t>91324-3</t>
  </si>
  <si>
    <t>91312-X</t>
  </si>
  <si>
    <t>COLEGIO ESTADUAL DO CAMPO EDIVALDO MACHADO BOAVENTURA</t>
  </si>
  <si>
    <t>91357-X</t>
  </si>
  <si>
    <t>91367-7</t>
  </si>
  <si>
    <t>91314-6</t>
  </si>
  <si>
    <t>CENTRO INTEGRADO DE EDUCACAO ASSIS CHATEAUBRIAND</t>
  </si>
  <si>
    <t>91385-5</t>
  </si>
  <si>
    <t>91334-0</t>
  </si>
  <si>
    <t>COLEGIO ESTADUAL ROTARY</t>
  </si>
  <si>
    <t>91371-5</t>
  </si>
  <si>
    <t>CENTRO EST DE EDUCACAO PROFISSIONAL EM SAUDE DO CENTRO BAIANO</t>
  </si>
  <si>
    <t>91394-4</t>
  </si>
  <si>
    <t>91319-7</t>
  </si>
  <si>
    <t>91325-1</t>
  </si>
  <si>
    <t>COLEGIO ESTADUAL TEOTONIO VILELA</t>
  </si>
  <si>
    <t>91333-2</t>
  </si>
  <si>
    <t>91332-4</t>
  </si>
  <si>
    <t>CENTRO EDUCACIONAL CENECISTA DO CAMPO CONEGO CUPERTINO DE LACERDA</t>
  </si>
  <si>
    <t>91383-9</t>
  </si>
  <si>
    <t>COLEGIO ESTADUAL DOUTOR JAIR SANTOS SILVA</t>
  </si>
  <si>
    <t>91390-1</t>
  </si>
  <si>
    <t>91323-5</t>
  </si>
  <si>
    <t>91396-0</t>
  </si>
  <si>
    <t>91368-5</t>
  </si>
  <si>
    <t>91381-2</t>
  </si>
  <si>
    <t>COLEGIO ESTADUAL DE TEMPO INTEGRAL PROFESSORA CELIA SANTOS ANDRADE</t>
  </si>
  <si>
    <t>55688-2</t>
  </si>
  <si>
    <t>COLEGIO ESTADUAL DE TEMPO INTEGRAL DA MATINHA</t>
  </si>
  <si>
    <t>91403-7</t>
  </si>
  <si>
    <t>IRARA</t>
  </si>
  <si>
    <t>COLEGIO ESTADUAL DE TEMPO INTEGRAL PROFESSORA MARLENE ALVES DOS SANTOS</t>
  </si>
  <si>
    <t>0593-2</t>
  </si>
  <si>
    <t>11974-1</t>
  </si>
  <si>
    <t>2569-0</t>
  </si>
  <si>
    <t>11529-0</t>
  </si>
  <si>
    <t>11530-4</t>
  </si>
  <si>
    <t>COLEGIO ESTADUAL DE TEMPO INTEGRAL JOSE ANTONIO DE ALMEIDA</t>
  </si>
  <si>
    <t>92407-5</t>
  </si>
  <si>
    <t>COLEGIO ESTADUAL DE TEMPO INTEGRAL PROFESSORA EDITE FERREIRA FONSECA</t>
  </si>
  <si>
    <t>27089-X</t>
  </si>
  <si>
    <t>27087-3</t>
  </si>
  <si>
    <t>91410-X</t>
  </si>
  <si>
    <t>91422-3</t>
  </si>
  <si>
    <t>TEODORO SAMPAIO</t>
  </si>
  <si>
    <t>COLEGIO ESTADUAL ASSIS VALENTE</t>
  </si>
  <si>
    <t>108484-4</t>
  </si>
  <si>
    <t>4183-1</t>
  </si>
  <si>
    <t>8493-X</t>
  </si>
  <si>
    <t>20</t>
  </si>
  <si>
    <t>COLEGIO ESTADUAL SISINIO RIBEIRO SILVA</t>
  </si>
  <si>
    <t>1435-4</t>
  </si>
  <si>
    <t>15594-2</t>
  </si>
  <si>
    <t>COLEGIO ESTADUAL DE TEMPO INTEGRAL DE ANAGE</t>
  </si>
  <si>
    <t>14259-X</t>
  </si>
  <si>
    <t>0188-0</t>
  </si>
  <si>
    <t>61161-1</t>
  </si>
  <si>
    <t>COLEGIO ESTADUAL VITORIA LIMA DE OLIVEIRA</t>
  </si>
  <si>
    <t>4517-9</t>
  </si>
  <si>
    <t>9496-X</t>
  </si>
  <si>
    <t>COLEGIO ESTADUAL DO CAMPO LUCIA ROCHA MACEDO</t>
  </si>
  <si>
    <t>10619-4</t>
  </si>
  <si>
    <t>COLEGIO EST DE TEMPO INTEGRAL PROFESSORA ELINEUZA DA SILVA FERREIRA</t>
  </si>
  <si>
    <t>2856-8</t>
  </si>
  <si>
    <t>11471-5</t>
  </si>
  <si>
    <t>0556-8</t>
  </si>
  <si>
    <t>21815-4</t>
  </si>
  <si>
    <t>COLEGIO ESTADUAL DE TEMPO INTEGRAL DE CAETANOS</t>
  </si>
  <si>
    <t>61165-4</t>
  </si>
  <si>
    <t>COLEGIO ESTADUAL DO CAMPO MAMEDIO BATISTA LOBAO</t>
  </si>
  <si>
    <t>1730-2</t>
  </si>
  <si>
    <t>16643-X</t>
  </si>
  <si>
    <t>COLEGIO ESTADUAL DO CAMPO GEOVANE FERREIRA DE QUEIROZ</t>
  </si>
  <si>
    <t>16642-1</t>
  </si>
  <si>
    <t>COLEGIO ESTADUAL DE TEMPO INTEGRAL DE CANDIDO SALES</t>
  </si>
  <si>
    <t>16285-X</t>
  </si>
  <si>
    <t>COLEGIO ESTADUAL PETRINA NOVAIS SILVA CAIRO</t>
  </si>
  <si>
    <t>61166-2</t>
  </si>
  <si>
    <t>COLEGIO ESTADUAL DE TEMPO INTEGRAL DE CONDEUBA</t>
  </si>
  <si>
    <t>1048-0</t>
  </si>
  <si>
    <t>15282-X</t>
  </si>
  <si>
    <t>COLEGIO ESTADUAL DE TEMPO INTEGRAL DE CORDEIROS</t>
  </si>
  <si>
    <t>16705-3</t>
  </si>
  <si>
    <t>COLEGIO ESTADUAL DO CAMPO NANCY DE CASTRO ESTAVES</t>
  </si>
  <si>
    <t>83415-7</t>
  </si>
  <si>
    <t>COLEGIO ESTADUAL JOSE PALLES SOBRINHO</t>
  </si>
  <si>
    <t>61167-0</t>
  </si>
  <si>
    <t>24371-X</t>
  </si>
  <si>
    <t>COLEGIO ESTADUAL ZULEIDE FREIRE DE ABREU</t>
  </si>
  <si>
    <t>1082-0</t>
  </si>
  <si>
    <t>15318-4</t>
  </si>
  <si>
    <t>COLEGIO ESTADUAL DE TEMPO INTEGRAL DE LICINIO DE ALMEIDA</t>
  </si>
  <si>
    <t>2249-7</t>
  </si>
  <si>
    <t>10419-1</t>
  </si>
  <si>
    <t>COLEGIO ESTADUAL DE TEMPO INTEGRAL DE MAETINGA</t>
  </si>
  <si>
    <t>61168-9</t>
  </si>
  <si>
    <t>COLEGIO ESTADUAL PROFESSOR DIOMAR SILVA BRITO</t>
  </si>
  <si>
    <t>19537-5</t>
  </si>
  <si>
    <t>COLEGIO ESTADUAL DE TEMPO INTEGRAL DE MORTUGABA</t>
  </si>
  <si>
    <t>4046-0</t>
  </si>
  <si>
    <t>09833-7</t>
  </si>
  <si>
    <t>COLEGIO ESTADUAL DE TEMPO INTEGRAL DE PIRIPA</t>
  </si>
  <si>
    <t>15895-X</t>
  </si>
  <si>
    <t>COLEGIO ESTADUAL DE TEMPO INTEGRAL DE PLANALTO</t>
  </si>
  <si>
    <t>2464-3</t>
  </si>
  <si>
    <t>11520-7</t>
  </si>
  <si>
    <t>COLEGIO ESTADUAL EURIDES SANTANA</t>
  </si>
  <si>
    <t>16520-4</t>
  </si>
  <si>
    <t>COLEGIO ESTADUAL DE TEMPO INTEGRAL ROBERTO SANTOS</t>
  </si>
  <si>
    <t>16517-4</t>
  </si>
  <si>
    <t>COLEGIO ESTADUAL DO CAMPO ERALDO TINOCO</t>
  </si>
  <si>
    <t>24358-2</t>
  </si>
  <si>
    <t>COLEGIO ESTADUAL ANTONIO GONCALVES</t>
  </si>
  <si>
    <t>61169-7</t>
  </si>
  <si>
    <t>COLEGIO ESTADUAL MARIETA PEREIRA DOS SANTOS</t>
  </si>
  <si>
    <t>112177-4</t>
  </si>
  <si>
    <t>COMPLEXO INTEGRADO DE EDUC BASICA PROFIS E TEC DE VITORIA DA CONQUISTA</t>
  </si>
  <si>
    <t>61184-0</t>
  </si>
  <si>
    <t>61181-6</t>
  </si>
  <si>
    <t>COLEGIO ESTADUAL PROFESSORA HELEUSA FIGUEIRA CAMARA</t>
  </si>
  <si>
    <t>61212-X</t>
  </si>
  <si>
    <t>CENTRO TERRITORIAL DE EDUCACAO PROFISSIONAL DE VITORIA DA CONQUISTA</t>
  </si>
  <si>
    <t>61204-9</t>
  </si>
  <si>
    <t>COLEGIO DA POLICIA MILITAR - CPM ERALDO TINOCO</t>
  </si>
  <si>
    <t>61185-9</t>
  </si>
  <si>
    <t>COLEGIO ESTADUAL DO CAMPO DA CABECEIRA DA JIBOIA</t>
  </si>
  <si>
    <t>82794-0</t>
  </si>
  <si>
    <t>COLEGIO ESTADUAL DOM CLIMERIO ALMEIDA DE ANDRADE</t>
  </si>
  <si>
    <t>61205-7</t>
  </si>
  <si>
    <t>CENTRO JUVENIL DE CIENCIA E CULTURA-CJCC - VITORIA DA CONQUISTA</t>
  </si>
  <si>
    <t>93374-0</t>
  </si>
  <si>
    <t>82351-1</t>
  </si>
  <si>
    <t>CENT.REG.DE ENS.MEDIO COM INTERMEDIACAO TEC.-CEMIT DE VIT.DA CONQUISTA</t>
  </si>
  <si>
    <t>88286-0</t>
  </si>
  <si>
    <t>61179-4</t>
  </si>
  <si>
    <t>COLEGIO ESTADUAL JOSE SA NUNES</t>
  </si>
  <si>
    <t>61186-7</t>
  </si>
  <si>
    <t>COLEGIO ESTADUAL KLEBER PACHECO DE OLIVEIRA</t>
  </si>
  <si>
    <t>61177-8</t>
  </si>
  <si>
    <t>COLEGIO ESTADUAL DE TEMPO INTEGRAL PADRE LUIS SOARES PALMEIRA</t>
  </si>
  <si>
    <t>61178-6</t>
  </si>
  <si>
    <t>COLEGIO ESTADUAL ADELMARIO PINHEIRO</t>
  </si>
  <si>
    <t>61199-9</t>
  </si>
  <si>
    <t>COLEGIO ESTADUAL DO CAMPO JOSE GONCALVES</t>
  </si>
  <si>
    <t>82353-8</t>
  </si>
  <si>
    <t>INSTITUTO DE EDUCACAO EUCLIDES DANTAS</t>
  </si>
  <si>
    <t>61211-1</t>
  </si>
  <si>
    <t>CENTRO DE APOIO PEDAGOGICO ESPECIALIZADO - CAPE VITORIA DA CONQUISTA</t>
  </si>
  <si>
    <t>143093-9</t>
  </si>
  <si>
    <t>COLEGIO ESTADUAL DO CAMPO DE TEMPO INTEGRAL PROFESSORA ELISABETH MARIA COUTO</t>
  </si>
  <si>
    <t>21</t>
  </si>
  <si>
    <t>0414-6</t>
  </si>
  <si>
    <t>COLEGIO EST QUILOMBOLA DE TEMPO INTEGRAL DA BACIA DO IGUAPE</t>
  </si>
  <si>
    <t>4481-4</t>
  </si>
  <si>
    <t>7457-8</t>
  </si>
  <si>
    <t>COLEGIO ESTADUAL DE CACHOEIRA</t>
  </si>
  <si>
    <t>0040-X</t>
  </si>
  <si>
    <t>18361-X</t>
  </si>
  <si>
    <t>COLEGIO ESTADUAL DO CAMPO DE TEMPO INTEGRAL DE CASTRO ALVES</t>
  </si>
  <si>
    <t>12090-1</t>
  </si>
  <si>
    <t>COLEGIO ESTADUAL DE TEMPO INTEGRAL MANDINHO DE SOUZA ALMEIDA</t>
  </si>
  <si>
    <t>31574-5</t>
  </si>
  <si>
    <t>22811-7</t>
  </si>
  <si>
    <t>22812-5</t>
  </si>
  <si>
    <t>22814-1</t>
  </si>
  <si>
    <t>CENTRO TERRITORIAL DE EDUCACAO PROFIS RECONCAVO II ALBERTO TORRES</t>
  </si>
  <si>
    <t>22813-3</t>
  </si>
  <si>
    <t>COLEGIO ESTADUAL ERALDO TINOCO MELO</t>
  </si>
  <si>
    <t>31578-8</t>
  </si>
  <si>
    <t>COLEGIO ESTADUAL DE TEMPO INTEGRAL PROFESSOR EDGARD SANTOS</t>
  </si>
  <si>
    <t>2085-0</t>
  </si>
  <si>
    <t>10785-9</t>
  </si>
  <si>
    <t>COLEGIO ESTADUAL DO CAMPO DE TEMPO INTEGRAL NOSSA SENHORA DA CONCEICAO</t>
  </si>
  <si>
    <t>2271-3</t>
  </si>
  <si>
    <t>17186-7</t>
  </si>
  <si>
    <t>COLEGIO ESTADUAL DE TEMPO INTEGRAL DE MARAGOGIPE</t>
  </si>
  <si>
    <t>17185-9</t>
  </si>
  <si>
    <t>COLEGIO ESTADUAL DO CAMPO KLEBER PACHECO</t>
  </si>
  <si>
    <t>17188-3</t>
  </si>
  <si>
    <t>CENTRO ESTADUAL DE EDUCACAO PROFISSIONAL DO VALE DO PARAGUACU</t>
  </si>
  <si>
    <t>17189-1</t>
  </si>
  <si>
    <t>COLEGIO ESTADUAL DE TEMPO INTEGRAL EVANCLEIDE ALMEIDA SANTOS BARRETO</t>
  </si>
  <si>
    <t>31584-2</t>
  </si>
  <si>
    <t>4496-2</t>
  </si>
  <si>
    <t>7303-2</t>
  </si>
  <si>
    <t>7367-9</t>
  </si>
  <si>
    <t>21028-5</t>
  </si>
  <si>
    <t>4172-6</t>
  </si>
  <si>
    <t>6868-3</t>
  </si>
  <si>
    <t>CENTRO EST DE EDUC PROFISSIONAL EM TURISMO DO LESTE BAIANO</t>
  </si>
  <si>
    <t>0059-0</t>
  </si>
  <si>
    <t>24968-8</t>
  </si>
  <si>
    <t>COLEGIO ESTADUAL DE TEMPO INTEGRAL TEODORO SAMPAIO</t>
  </si>
  <si>
    <t>24971-8</t>
  </si>
  <si>
    <t>24972-6</t>
  </si>
  <si>
    <t>COLEGIO ESTADUAL ANTONIO DOS SANTOS PAIM</t>
  </si>
  <si>
    <t>24973-4</t>
  </si>
  <si>
    <t>31591-5</t>
  </si>
  <si>
    <t>COLEGIO ESTADUAL DEMOCRATICO DR. ROMULO ALMEIDA</t>
  </si>
  <si>
    <t>31587-7</t>
  </si>
  <si>
    <t>31586-9</t>
  </si>
  <si>
    <t>CENTRO DE APOIO PEDAGOGICO ESPECIALIZADO LEAO AURELIO PIRES</t>
  </si>
  <si>
    <t>31603-2</t>
  </si>
  <si>
    <t>COLEGIO ESTADUAL DE TEMPO INTEGRAL SAO FELIPE</t>
  </si>
  <si>
    <t>2616-6</t>
  </si>
  <si>
    <t>12587-3</t>
  </si>
  <si>
    <t>16243-4</t>
  </si>
  <si>
    <t>CENTRO TERRITORIAL DE EDUC. PROFI. DO RECONCAVO JONIVAL LUCAS</t>
  </si>
  <si>
    <t>2670-0</t>
  </si>
  <si>
    <t>11486-3</t>
  </si>
  <si>
    <t>COLEGIO ESTADUAL DO CAMPO ANATIVO DO SACRAMENTO</t>
  </si>
  <si>
    <t>12279-3</t>
  </si>
  <si>
    <t>COLEGIO ESTADUAL DOUTOR ELIEL DA SILVA MARTINS</t>
  </si>
  <si>
    <t>11487-1</t>
  </si>
  <si>
    <t>COLEGIO ESTADUAL DE TEMPO INTEGRAL RICARDO CAMARA DA SILVA</t>
  </si>
  <si>
    <t>24976-9</t>
  </si>
  <si>
    <t>31604-0</t>
  </si>
  <si>
    <t>22</t>
  </si>
  <si>
    <t>COLEGIO ESTADUAL DE TEMPO INTEGRAL DE AIQUARA</t>
  </si>
  <si>
    <t>39878-0</t>
  </si>
  <si>
    <t>COLEGIO ESTADUAL DE TEMPO INTEGRAL DOUTOR VASCO FILHO</t>
  </si>
  <si>
    <t>39879-9</t>
  </si>
  <si>
    <t>COLEGIO ESTADUAL ANTONIO MOTA BITTENCOURT</t>
  </si>
  <si>
    <t>0357-3</t>
  </si>
  <si>
    <t>19354-2</t>
  </si>
  <si>
    <t>COLEGIO ESTADUAL BOANOVENSE</t>
  </si>
  <si>
    <t>112296-7</t>
  </si>
  <si>
    <t>COLEGIO ESTADUAL DE TEMPO INTEGRAL DE DARIO MEIRA</t>
  </si>
  <si>
    <t>2152-0</t>
  </si>
  <si>
    <t>9894-9</t>
  </si>
  <si>
    <t>COLEGIO ESTADUAL JOSE ARAUJO PEREIRA</t>
  </si>
  <si>
    <t>12423-0</t>
  </si>
  <si>
    <t>COLEGIO ESTADUAL DE IBIRATAIA</t>
  </si>
  <si>
    <t>1070-7</t>
  </si>
  <si>
    <t>10886-3</t>
  </si>
  <si>
    <t>COLEGIO ESTADUAL DO CAMPO DE ALGODAO</t>
  </si>
  <si>
    <t>10887-1</t>
  </si>
  <si>
    <t>CENTRO DE APOIO PEDAGOGICO ESPECIALIZADO DE IPIAU</t>
  </si>
  <si>
    <t>21399-3</t>
  </si>
  <si>
    <t>COLEGIO ESTADUAL DE TEMPO INTEGRAL DE IPIAU</t>
  </si>
  <si>
    <t>19357-7</t>
  </si>
  <si>
    <t>CENTRO TERRITORIAL DE EDUCACAO PROFISSIONAL DO MEDIO RIO DAS CONTAS</t>
  </si>
  <si>
    <t>19360-7</t>
  </si>
  <si>
    <t>COMPLEXO INTEGRADO DE EDUC BASICA PROFISSIONAL E TECNOLOGICA DE IPIAU</t>
  </si>
  <si>
    <t>19361-5</t>
  </si>
  <si>
    <t>COLEGIO ESTADUAL PROFESSORA RENI MIRANDA FERREIRA</t>
  </si>
  <si>
    <t>109297-9</t>
  </si>
  <si>
    <t>COLEGIO ESTADUAL DULCE ALMEIDA</t>
  </si>
  <si>
    <t>09476-5</t>
  </si>
  <si>
    <t>COLEGIO ESTADUAL JOAO GALVAO SOBRINHO</t>
  </si>
  <si>
    <t>18560-4</t>
  </si>
  <si>
    <t>CENTRO JUVENIL DE CIENCIA E CULTURA - CJCC JEQUIE</t>
  </si>
  <si>
    <t>70147-5</t>
  </si>
  <si>
    <t>39905-1</t>
  </si>
  <si>
    <t>COLEGIO ESTADUAL DE TEMPO INTEGRAL DE JEQUIE</t>
  </si>
  <si>
    <t>39904-3</t>
  </si>
  <si>
    <t>CENT REG DE ENS MEDIO COM INTERMEDIACAO TEC-CEMIT MEDIO RIO DE CONTAS</t>
  </si>
  <si>
    <t>56768-X</t>
  </si>
  <si>
    <t>COLEGIO ESTADUAL DOUTOR MILTON SANTOS</t>
  </si>
  <si>
    <t>39903-5</t>
  </si>
  <si>
    <t>CENTRO DE APOIO PEDAGOGICO ESPECIALIZADO DE JEQUIE</t>
  </si>
  <si>
    <t>46780-4</t>
  </si>
  <si>
    <t>COLEGIO ESTADUAL PROFESSOR FIRMO NUNES DE OLIVEIRA</t>
  </si>
  <si>
    <t>39888-8</t>
  </si>
  <si>
    <t>COLEGIO ESTADUAL DE TEMPO INTEGRAL PROFESSORA FARAILDES SANTOS</t>
  </si>
  <si>
    <t>39889-6</t>
  </si>
  <si>
    <t>COMPLEXO INTEGRADO DE EDUCACAO BASICA PROFIS. E TECNOLOGICA DE JEQUIE</t>
  </si>
  <si>
    <t>39891-8</t>
  </si>
  <si>
    <t>COLEGIO DA POLICIA MILITAR - CPM PROFESSOR POETA LUIS NEVES COTRIM</t>
  </si>
  <si>
    <t>39901-9</t>
  </si>
  <si>
    <t>COLEGIO ESTADUAL DE TEMPO INTEGRAL LUIZ NAVARRO DE BRITO</t>
  </si>
  <si>
    <t>39900-0</t>
  </si>
  <si>
    <t>COLEGIO ESTADUAL DE TEMPO INTEGRAL LUISA MAHIM</t>
  </si>
  <si>
    <t>39892-6</t>
  </si>
  <si>
    <t>CENTRO EST. DE EDUC. PROF. EM GESTAO E TECN. DA INFOR. REGIS PACHECO</t>
  </si>
  <si>
    <t>39898-5</t>
  </si>
  <si>
    <t>COLEGIO ESTADUAL GILDA RAMOS DOS SANTOS</t>
  </si>
  <si>
    <t>2216-0</t>
  </si>
  <si>
    <t>11842-7</t>
  </si>
  <si>
    <t>MANOEL VITORINO</t>
  </si>
  <si>
    <t>COLEGIO ESTADUAL PROFESSORA ALMERINDA MEIRA DO CARMO</t>
  </si>
  <si>
    <t>39908-6</t>
  </si>
  <si>
    <t>COLEGIO ESTADUAL PROFESSORA MARIA LEAL LOPES</t>
  </si>
  <si>
    <t>12457-5</t>
  </si>
  <si>
    <t>UBATA</t>
  </si>
  <si>
    <t>COLEGIO ESTADUAL DE TEMPO INTEGRAL DE UBATA</t>
  </si>
  <si>
    <t>11136-8</t>
  </si>
  <si>
    <t>23</t>
  </si>
  <si>
    <t>COLEGIO ESTADUAL DE BREJOLANDIA</t>
  </si>
  <si>
    <t>2680-8</t>
  </si>
  <si>
    <t>15605-1</t>
  </si>
  <si>
    <t>4578-0</t>
  </si>
  <si>
    <t>108318-X</t>
  </si>
  <si>
    <t>COLEGIO ESTADUAL DE TEMPO INTEGRAL DE COCOS</t>
  </si>
  <si>
    <t>1044-8</t>
  </si>
  <si>
    <t>12653-5</t>
  </si>
  <si>
    <t>COLEGIO ESTADUAL SAO JOAO DOS GERAIS</t>
  </si>
  <si>
    <t>0569-X</t>
  </si>
  <si>
    <t>25034-1</t>
  </si>
  <si>
    <t>COLEGIO ESTADUAL DE TEMPO INTEGRAL DE CORRENTINA</t>
  </si>
  <si>
    <t>2009-5</t>
  </si>
  <si>
    <t>14793-1</t>
  </si>
  <si>
    <t>COLEGIO ESTADUAL FRANCISCO MOREIRA ALVES</t>
  </si>
  <si>
    <t>25042-2</t>
  </si>
  <si>
    <t>CENTRO TERRITORIAL DE EDUCACAO PROFISSIONAL DA BACIA DO RIO CORRENTE</t>
  </si>
  <si>
    <t>24386-8</t>
  </si>
  <si>
    <t>24385-X</t>
  </si>
  <si>
    <t>COLEGIO ESTADUAL EDVALDO FLORES</t>
  </si>
  <si>
    <t>8342-9</t>
  </si>
  <si>
    <t>COLEGIO ESTADUAL DE TEMPO INTEGRAL RIO CORRENTE</t>
  </si>
  <si>
    <t>25591-2</t>
  </si>
  <si>
    <t>COLEGIO ESTADUAL DE TEMPO INTEGRAL SAO GONCALO</t>
  </si>
  <si>
    <t>15163-7</t>
  </si>
  <si>
    <t>15607-8</t>
  </si>
  <si>
    <t>24</t>
  </si>
  <si>
    <t>COLEGIO ESTADUAL INDIGENA DE TEMPO INTEGRAL SANTO ANTONIO DO PAMBU</t>
  </si>
  <si>
    <t>00551-7</t>
  </si>
  <si>
    <t>COLEGIO EST DE TEM INTEGRAL PROF MARIA DO SOCORRO GOMES POSSIDONIO</t>
  </si>
  <si>
    <t>00327-1</t>
  </si>
  <si>
    <t>COLEGIO ESTADUAL DO CAMPO JOSEFINA GOMES DE ARAUJO</t>
  </si>
  <si>
    <t>39884-5</t>
  </si>
  <si>
    <t>39887-X</t>
  </si>
  <si>
    <t>COLEGIO ESTADUAL MARIA DE LOURDES LIMA PEREIRA</t>
  </si>
  <si>
    <t>62622-8</t>
  </si>
  <si>
    <t>COLEGIO ESTADUAL INDIGINA XUCURU KARIRI</t>
  </si>
  <si>
    <t>54070-6</t>
  </si>
  <si>
    <t>COLEGIO ESTADUAL INDIGENA MANOEL COELHO</t>
  </si>
  <si>
    <t>54072-2</t>
  </si>
  <si>
    <t>54071-4</t>
  </si>
  <si>
    <t>COLEGIO ESTADUAL DE TEMPO INTEGRAL REIS MAGALHAES</t>
  </si>
  <si>
    <t>47818-0</t>
  </si>
  <si>
    <t>ESCOLA ESTADUAL INDIGENA ANANIAS VITORIANO</t>
  </si>
  <si>
    <t>COLEGIO ESTADUAL DE TEMPO INTEGRAL IRMA OLIVEIRA</t>
  </si>
  <si>
    <t>39893-4</t>
  </si>
  <si>
    <t>COLEGIO ESTADUAL DE TEMPO INTEGRAL QUITERIA MARIA DE JESUS</t>
  </si>
  <si>
    <t>39895-0</t>
  </si>
  <si>
    <t>39894-2</t>
  </si>
  <si>
    <t>39902-7</t>
  </si>
  <si>
    <t>39896-9</t>
  </si>
  <si>
    <t>CENTRO TERRITORIAL DE EDUCACAO PROFIS ITAPARICA II WILSON PEREIRA</t>
  </si>
  <si>
    <t>39907-8</t>
  </si>
  <si>
    <t>COLEGIO ESTADUAL INDIGENA DE TEMPO INTEGRAL CAPITAO FRANCISCO RODELAS</t>
  </si>
  <si>
    <t>25</t>
  </si>
  <si>
    <t>0228-3</t>
  </si>
  <si>
    <t>24029-X</t>
  </si>
  <si>
    <t>24030-3</t>
  </si>
  <si>
    <t>COLEGIO ESTADUAL DO CAMPO ROMULO GALVAO</t>
  </si>
  <si>
    <t>3843-1</t>
  </si>
  <si>
    <t>07999-5</t>
  </si>
  <si>
    <t>COLEGIO ESTADUAL QUILOMBOLA DE SAO TOME</t>
  </si>
  <si>
    <t>1719-1</t>
  </si>
  <si>
    <t>21736-0</t>
  </si>
  <si>
    <t>COLEGIO ESTADUAL QUILOMBOLA LUIS JOSE DOS SANTOS</t>
  </si>
  <si>
    <t>26087-8</t>
  </si>
  <si>
    <t>COLEGIO ESTADUAL DO CAMPO PROFESSORA HILDA MONTEIRO MENEZES</t>
  </si>
  <si>
    <t>14722-2</t>
  </si>
  <si>
    <t>COLEGIO ESTADUAL DE TEMPO INTEGRAL CECENTINO PEREIRA MAIA</t>
  </si>
  <si>
    <t>109187-5</t>
  </si>
  <si>
    <t>CENTRO TERRITORIAL DE EDUC PROFISSIONAL DO PIEMONTE NORTE DO ITAPICURU</t>
  </si>
  <si>
    <t>2196-2</t>
  </si>
  <si>
    <t>14420-7</t>
  </si>
  <si>
    <t>COLEGIO ESTADUAL DO CAMPO PETRONIO PORTELA</t>
  </si>
  <si>
    <t>14422-3</t>
  </si>
  <si>
    <t>COLEGIO ESTADUAL DE TEMPO INTEGRAL DE PINDOBACU</t>
  </si>
  <si>
    <t>1113-4</t>
  </si>
  <si>
    <t>12491-5</t>
  </si>
  <si>
    <t>COLEGIO ESTADUAL DO CAMPO DE TEMPO INTEGRAL DE CARNAIBA</t>
  </si>
  <si>
    <t>12492-3</t>
  </si>
  <si>
    <t>COLEGIO ESTADUAL DE TEMPO INTEGRAL NELSON MAIA</t>
  </si>
  <si>
    <t>24032-X</t>
  </si>
  <si>
    <t>CENT.REG.DE ENS.MEDIO INTERMEDIACAO TEC CEMIT DO P. NORTE DO ITAPICURU</t>
  </si>
  <si>
    <t>36313-8</t>
  </si>
  <si>
    <t>24033-8</t>
  </si>
  <si>
    <t>CENTRO JUVENIL DE CIENCIA E CULTURA-CJCC SENHOR DO BOMFIM</t>
  </si>
  <si>
    <t>35900-9</t>
  </si>
  <si>
    <t>COLEGIO ESTADUAL TEIXEIRA DE FREITAS</t>
  </si>
  <si>
    <t>24042-7</t>
  </si>
  <si>
    <t>24037-0</t>
  </si>
  <si>
    <t>CENTRO ESTADUAL DE EDUCACAO PROFISSIONAL PROF. PAULO BATISTA MACHADO</t>
  </si>
  <si>
    <t>24035-4</t>
  </si>
  <si>
    <t>COLEGIO ESTADUAL DO CAMPO PROFESSORA MARIANA AGOSTINHO DE OLIVEIRA</t>
  </si>
  <si>
    <t>24036-2</t>
  </si>
  <si>
    <t>CENTRO DE APOIO PEDAGOGICO ESPECIALIZADO - CAPE SENHOR DO BONFIM</t>
  </si>
  <si>
    <t>24344-2</t>
  </si>
  <si>
    <t>26</t>
  </si>
  <si>
    <t>COLEGIO ESTADUAL CAMACARI</t>
  </si>
  <si>
    <t>1238-6</t>
  </si>
  <si>
    <t>54212-1</t>
  </si>
  <si>
    <t>COLEGIO ESTADUAL DE TEMPO INTEGRAL MASCARENHAS DE CAMACARI</t>
  </si>
  <si>
    <t>54211-3</t>
  </si>
  <si>
    <t>COLEGIO ESTADUAL DE TEMPO INTEGRAL DE VILAS DE ABRANTES</t>
  </si>
  <si>
    <t>58010-4</t>
  </si>
  <si>
    <t>CENTRO TERRITORIAL DE EDUCACAO PROFISSIONAL DA REGIAO METROPOLITANA</t>
  </si>
  <si>
    <t>57388-4</t>
  </si>
  <si>
    <t>COLEGIO ESTADUAL DE TEMPO INTEGRAL DE BARRA DE POJUCA</t>
  </si>
  <si>
    <t>1193-2</t>
  </si>
  <si>
    <t>COLEGIO ESTADUAL DE TEMPO INTEGRAL DE MONTE GORDO</t>
  </si>
  <si>
    <t>1140-1</t>
  </si>
  <si>
    <t>COLEGIO ESTADUAL DE TEMPO INTEGRAL GONCALO MUNIZ</t>
  </si>
  <si>
    <t>54208-3</t>
  </si>
  <si>
    <t>COLEGIO ESTADUAL PROFESSORA NADIR ARAUJO COPQUE</t>
  </si>
  <si>
    <t>1301-3</t>
  </si>
  <si>
    <t>54213-X</t>
  </si>
  <si>
    <t>1726-4</t>
  </si>
  <si>
    <t>49829-7</t>
  </si>
  <si>
    <t>49831-9</t>
  </si>
  <si>
    <t>49833-5</t>
  </si>
  <si>
    <t>COLEGIO DA POLICIA MILITAR - CPM FRANCISCO PEDRO DE OLIVEIRA</t>
  </si>
  <si>
    <t>49830-0</t>
  </si>
  <si>
    <t>49828-9</t>
  </si>
  <si>
    <t>DIAS D AVILA</t>
  </si>
  <si>
    <t>CENTRO TERRITO. DE EDUC. PROFIS. DE DIAS D AVILA-CETEP DE DIAS D AVILA</t>
  </si>
  <si>
    <t>3091-0</t>
  </si>
  <si>
    <t>47595-5</t>
  </si>
  <si>
    <t>28462-9</t>
  </si>
  <si>
    <t>ITAPARICA</t>
  </si>
  <si>
    <t>3921-7</t>
  </si>
  <si>
    <t>19594-4</t>
  </si>
  <si>
    <t>2866-5</t>
  </si>
  <si>
    <t>36971-3</t>
  </si>
  <si>
    <t>36970-5</t>
  </si>
  <si>
    <t>36963-2</t>
  </si>
  <si>
    <t>CENTRO EST DE EDUCACAO PROFIS EM TECNOLOGIA INFORMACAO E COMUNICACAO</t>
  </si>
  <si>
    <t>41750-5</t>
  </si>
  <si>
    <t>36965-9</t>
  </si>
  <si>
    <t>36966-7</t>
  </si>
  <si>
    <t>36964-0</t>
  </si>
  <si>
    <t>COLEGIO ESTADUAL ANTONIO BALBINO</t>
  </si>
  <si>
    <t>3861-X</t>
  </si>
  <si>
    <t>14277-8</t>
  </si>
  <si>
    <t>COLEGIO ESTADUAL ALAOR COUTINHO</t>
  </si>
  <si>
    <t>1094-4</t>
  </si>
  <si>
    <t>16268-X</t>
  </si>
  <si>
    <t>COLEGIO ESTADUAL BRAULIO SAMPAIO</t>
  </si>
  <si>
    <t>16269-8</t>
  </si>
  <si>
    <t>15938-7</t>
  </si>
  <si>
    <t>15941-7</t>
  </si>
  <si>
    <t>2967-X</t>
  </si>
  <si>
    <t>13736-7</t>
  </si>
  <si>
    <t>12583-0</t>
  </si>
  <si>
    <t>12435-4</t>
  </si>
  <si>
    <t>COLEGIO ESTADUAL LEDA JESUINO DOS SANTOS</t>
  </si>
  <si>
    <t>12462-1</t>
  </si>
  <si>
    <t>12567-9</t>
  </si>
  <si>
    <t>COLEGIO ESTADUAL ALMIRANTE BARROSO</t>
  </si>
  <si>
    <t>12552-0</t>
  </si>
  <si>
    <t>12600-4</t>
  </si>
  <si>
    <t>12577-6</t>
  </si>
  <si>
    <t>12542-3</t>
  </si>
  <si>
    <t>12512-1</t>
  </si>
  <si>
    <t>COLEGIO ESTADUAL DALVA MATOS</t>
  </si>
  <si>
    <t>12598-9</t>
  </si>
  <si>
    <t>12608-X</t>
  </si>
  <si>
    <t>COLEGIO ESTADUAL ANFRISIA SANTIAGO</t>
  </si>
  <si>
    <t>12554-7</t>
  </si>
  <si>
    <t>COLEGIO DA POLICIA MILITAR - CPM JOAO FLORENCIO GOMES</t>
  </si>
  <si>
    <t>12593-8</t>
  </si>
  <si>
    <t>COLEGIO DA POLICIA MILITAR - UNIDADE I CPM DENDEZEIROS</t>
  </si>
  <si>
    <t>12580-6</t>
  </si>
  <si>
    <t>12391-9</t>
  </si>
  <si>
    <t>COLEGIO ESTADUAL SATELITE</t>
  </si>
  <si>
    <t>12373-0</t>
  </si>
  <si>
    <t>CENTRO ESTADUAL DE EDUCACAO PROFISSIONAL EMPREENDE BAHIA</t>
  </si>
  <si>
    <t>14218-2</t>
  </si>
  <si>
    <t>COLEGIO DA POLICIA MILITAR - UNIDADE II CPM LOBATO</t>
  </si>
  <si>
    <t>12591-1</t>
  </si>
  <si>
    <t>COLEGIO ESTADUAL RUBEN DARIO</t>
  </si>
  <si>
    <t>12520-2</t>
  </si>
  <si>
    <t>COLEGIO ESTADUAL DE TEMPO INTEGRAL PROF PEDRO PAULO MARQUES E MARQUES</t>
  </si>
  <si>
    <t>12421-4</t>
  </si>
  <si>
    <t>ESCOLA ESTADUAL SEVERINO VIEIRA</t>
  </si>
  <si>
    <t>12446-X</t>
  </si>
  <si>
    <t>12519-9</t>
  </si>
  <si>
    <t>COLEGIO ESTADUAL PAULO AMERICO DE OLIVEIRA</t>
  </si>
  <si>
    <t>12501-6</t>
  </si>
  <si>
    <t>COLEGIO ESTADUAL MARCILIO DIAS</t>
  </si>
  <si>
    <t>12548-2</t>
  </si>
  <si>
    <t>COLEGIO ESTADUAL YEDA BARRADAS CARNEIRO</t>
  </si>
  <si>
    <t>12390-0</t>
  </si>
  <si>
    <t>ESCOLA ESTADUAL PROFESSORA ARMANDINA MARQUES</t>
  </si>
  <si>
    <t>12545-8</t>
  </si>
  <si>
    <t>COLEGIO ESTADUAL PROFESSOR DORIVAL PASSOS</t>
  </si>
  <si>
    <t>12456-7</t>
  </si>
  <si>
    <t>12517-2</t>
  </si>
  <si>
    <t>12601-2</t>
  </si>
  <si>
    <t>COLEGIO DA POLICIA MILITAR - CPM DONA LEONOR CALMON</t>
  </si>
  <si>
    <t>12606-3</t>
  </si>
  <si>
    <t>COLEGIO ESTADUAL OLIVEIRA BRITO</t>
  </si>
  <si>
    <t>12579-2</t>
  </si>
  <si>
    <t>12382-X</t>
  </si>
  <si>
    <t>12527-X</t>
  </si>
  <si>
    <t>ESCOLA ESTADUAL DEPUTADO NAOMAR ALCANTARA</t>
  </si>
  <si>
    <t>12531-8</t>
  </si>
  <si>
    <t>COLEGIO ESTADUAL VALE DOS LAGOS</t>
  </si>
  <si>
    <t>12585-7</t>
  </si>
  <si>
    <t>12377-3</t>
  </si>
  <si>
    <t>COLEGIO ESTADUAL PRESIDENTE COSTA E SILVA</t>
  </si>
  <si>
    <t>12605-5</t>
  </si>
  <si>
    <t>COLEGIO ESTADUAL MARIO AUGUSTO TEIXEIRA DE FREITAS</t>
  </si>
  <si>
    <t>12490-7</t>
  </si>
  <si>
    <t>12555-5</t>
  </si>
  <si>
    <t>COLEGIO ESTADUAL PROFESSOR ROMULO ALMEIDA</t>
  </si>
  <si>
    <t>12463-X</t>
  </si>
  <si>
    <t>COLEGIO ESTADUAL DE NOVA ESPERANCA</t>
  </si>
  <si>
    <t>5692-8</t>
  </si>
  <si>
    <t>10688-7</t>
  </si>
  <si>
    <t>12557-1</t>
  </si>
  <si>
    <t>12576-8</t>
  </si>
  <si>
    <t>COLEGIO ESTADUAL HELENA CELESTINO MAGALHAES</t>
  </si>
  <si>
    <t>12420-6</t>
  </si>
  <si>
    <t>12502-4</t>
  </si>
  <si>
    <t>COLEGIO ESTADUAL HELENA MAGALHAES</t>
  </si>
  <si>
    <t>12388-9</t>
  </si>
  <si>
    <t>ESCOLA ESTADUAL PRESCILIANO SILVA</t>
  </si>
  <si>
    <t>12581-4</t>
  </si>
  <si>
    <t>COLEGIO ESTADUAL YPIRANGA</t>
  </si>
  <si>
    <t>12460-5</t>
  </si>
  <si>
    <t>12440-0</t>
  </si>
  <si>
    <t>COLEGIO ESTADUAL PINTO DE AGUIAR</t>
  </si>
  <si>
    <t>12436-2</t>
  </si>
  <si>
    <t>COLEGIO ESTADUAL DINAH GONCALVES</t>
  </si>
  <si>
    <t>12565-2</t>
  </si>
  <si>
    <t>COLEGIO ESTADUAL MARIO COSTA NETO</t>
  </si>
  <si>
    <t>12430-3</t>
  </si>
  <si>
    <t>COLEGIO ESTADUAL PROFESSOR GEORGE FRAGOSO MODESTO</t>
  </si>
  <si>
    <t>12376-5</t>
  </si>
  <si>
    <t>12566-0</t>
  </si>
  <si>
    <t>12564-4</t>
  </si>
  <si>
    <t>ESCOLA ESTADUAL LEA LEAL</t>
  </si>
  <si>
    <t>12572-5</t>
  </si>
  <si>
    <t>12370-6</t>
  </si>
  <si>
    <t>12558-X</t>
  </si>
  <si>
    <t>COLEGIO ESTADUAL NORMA RIBEIRO</t>
  </si>
  <si>
    <t>12372-2</t>
  </si>
  <si>
    <t>COLEGIO ESTADUAL EVARISTO DA VEIGA</t>
  </si>
  <si>
    <t>12417-6</t>
  </si>
  <si>
    <t>CENTRO ESTADUAL DE EDUCACAO PROFISSIONAL EM GESTAO SEVERINO VIEIRA</t>
  </si>
  <si>
    <t>12487-7</t>
  </si>
  <si>
    <t>CENTRO JUVENIL DE CIENCIA E CULTURA-CJCC CENTRAL</t>
  </si>
  <si>
    <t>19157-4</t>
  </si>
  <si>
    <t>12550-4</t>
  </si>
  <si>
    <t>12489-3</t>
  </si>
  <si>
    <t>CENTRO ESTADUAL DE EDUCACAO PROFISSIONAL EM SAUDE ANISIO TEIXEIRA</t>
  </si>
  <si>
    <t>12484-2</t>
  </si>
  <si>
    <t>ESCOLA ESTADUAL ANISIO TEIXEIRA - CLASSE VI</t>
  </si>
  <si>
    <t>12385-4</t>
  </si>
  <si>
    <t>12537-7</t>
  </si>
  <si>
    <t>12508-3</t>
  </si>
  <si>
    <t>12611-X</t>
  </si>
  <si>
    <t>COLEGIO ESTADUAL ABILIO CESAR BORGES</t>
  </si>
  <si>
    <t>12532-6</t>
  </si>
  <si>
    <t>COLEGIO ESTADUAL MARQUES DE MARICA</t>
  </si>
  <si>
    <t>12481-8</t>
  </si>
  <si>
    <t>12569-5</t>
  </si>
  <si>
    <t>12424-9</t>
  </si>
  <si>
    <t>COLEGIO ESTADUAL KLEBER PACHECO</t>
  </si>
  <si>
    <t>12426-5</t>
  </si>
  <si>
    <t>12551-2</t>
  </si>
  <si>
    <t>12480-X</t>
  </si>
  <si>
    <t>COLEGIO ESTADUAL DE TEMPO INTEGRAL ZUMBI DOS PALMARES</t>
  </si>
  <si>
    <t>12476-1</t>
  </si>
  <si>
    <t>CENTRO EST PROF EM SAUDE E TECN DA INF CARLOS CORR DE MENEZES SANTANNA</t>
  </si>
  <si>
    <t>12467-2</t>
  </si>
  <si>
    <t>COLEGIO ESTADUAL SATIRO DIAS</t>
  </si>
  <si>
    <t>12444-3</t>
  </si>
  <si>
    <t>COLEGIO ESTADUAL CESARE CASALI</t>
  </si>
  <si>
    <t>12562-8</t>
  </si>
  <si>
    <t>CENTRO ESTADUAL DE EDUC PROFIS EM LOG.E TRANS.LUIZ PINTO DE CARVALHO</t>
  </si>
  <si>
    <t>12604-7</t>
  </si>
  <si>
    <t>12475-3</t>
  </si>
  <si>
    <t>COLEGIO ESTADUAL PROFESSORA GEORGINA RAMOS DA SILVA</t>
  </si>
  <si>
    <t>12418-4</t>
  </si>
  <si>
    <t>CENTRO ESTADUAL DE EDUCACAO PROFISSIONAL EM MUSICA</t>
  </si>
  <si>
    <t>12478-8</t>
  </si>
  <si>
    <t>CENTRO EST. DE EDUCACAO PROFISSIONAL FORMACAO E EVENTOS ISAIAS ALVES</t>
  </si>
  <si>
    <t>12477-X</t>
  </si>
  <si>
    <t>12471-0</t>
  </si>
  <si>
    <t>12495-8</t>
  </si>
  <si>
    <t>COLEGIO ESTADUAL EDVALDO BRANDAO CORREIA</t>
  </si>
  <si>
    <t>12609-8</t>
  </si>
  <si>
    <t>COLEGIO ESTADUAL BATISTA NEVES</t>
  </si>
  <si>
    <t>12559-8</t>
  </si>
  <si>
    <t>CENTRO DE APOIO PEDAGOGICO ESPECIALIZADO DA BAHIA</t>
  </si>
  <si>
    <t>12397-8</t>
  </si>
  <si>
    <t>12568-7</t>
  </si>
  <si>
    <t>12599-7</t>
  </si>
  <si>
    <t>12530-X</t>
  </si>
  <si>
    <t>CENTRO DE APOIO PEDAGOGICO ESPECIALIZADO PESTALOZZI</t>
  </si>
  <si>
    <t>12401-X</t>
  </si>
  <si>
    <t>12392-7</t>
  </si>
  <si>
    <t>COLEGIO ESTADUAL PROFESSOR CARLOS SANT ANNA</t>
  </si>
  <si>
    <t>12470-2</t>
  </si>
  <si>
    <t>12488-5</t>
  </si>
  <si>
    <t>COLEGIO ESTADUAL RAYMUNDO DE ALMEIDA GOUVEIA</t>
  </si>
  <si>
    <t>12582-2</t>
  </si>
  <si>
    <t>12561-X</t>
  </si>
  <si>
    <t>12461-3</t>
  </si>
  <si>
    <t>COLEGIO ESTADUAL PROFESSORA NOEMIA REGO</t>
  </si>
  <si>
    <t>12518-0</t>
  </si>
  <si>
    <t>COLEGIO ESTADUAL ANA CRISTINA PRAZERES MATA PIRES</t>
  </si>
  <si>
    <t>12594-6</t>
  </si>
  <si>
    <t>COLEGIO ESTADUAL PROFESSOR NELSON BARROS</t>
  </si>
  <si>
    <t>12546-6</t>
  </si>
  <si>
    <t>COLEGIO ESTADUAL VISCONDE DE MAUA</t>
  </si>
  <si>
    <t>12449-4</t>
  </si>
  <si>
    <t>COLEGIO ESTADUAL BARROS BARRETO</t>
  </si>
  <si>
    <t>12607-1</t>
  </si>
  <si>
    <t>12506-7</t>
  </si>
  <si>
    <t>CENTRO DE APOIO PEDAGOGICO ESPECIALIZADO CATIA MARIA PAIM CRUZ</t>
  </si>
  <si>
    <t>12396-X</t>
  </si>
  <si>
    <t>COLEGIO ESTADUAL CONSELHEIRO VICENTE PACHECO DE OLIVEIRA</t>
  </si>
  <si>
    <t>12586-5</t>
  </si>
  <si>
    <t>COLEGIO ESTADUAL PROFESSOR NOGUEIRA PASSOS</t>
  </si>
  <si>
    <t>12432-X</t>
  </si>
  <si>
    <t>COLEGIO ESTADUAL MESTRE MOA DO KATENDE</t>
  </si>
  <si>
    <t>12464-8</t>
  </si>
  <si>
    <t>COLEGIO ESTADUAL SOLANGE HORTELIO FRANCO</t>
  </si>
  <si>
    <t>12595-4</t>
  </si>
  <si>
    <t>COLEGIO ESTADUAL CELIA MATA PIRES</t>
  </si>
  <si>
    <t>12386-2</t>
  </si>
  <si>
    <t>COLEGIO ESTADUAL VILA CANARIA</t>
  </si>
  <si>
    <t>12544-X</t>
  </si>
  <si>
    <t>ESCOLA ESTADUAL PROFESSORA NATALIA VINHAES</t>
  </si>
  <si>
    <t>12589-X</t>
  </si>
  <si>
    <t>COLEGIO ESTADUAL PROFESSOR JOSE BARRETO DE ARAUJO BASTOS</t>
  </si>
  <si>
    <t>12505-9</t>
  </si>
  <si>
    <t>12368-4</t>
  </si>
  <si>
    <t>COLEGIO ESTADUAL GENERAL DIONISIO CERQUEIRA</t>
  </si>
  <si>
    <t>12381-1</t>
  </si>
  <si>
    <t>CENTRO EST EDUC PROF GESTAO NEGOCIOS TURISMO LUIZ NAVARRO DE BRITO</t>
  </si>
  <si>
    <t>12466-4</t>
  </si>
  <si>
    <t>COLEGIO ESTADUAL PROFESSOR ARISTIDES DE SOUZA OLIVEIRA</t>
  </si>
  <si>
    <t>12523-7</t>
  </si>
  <si>
    <t>COLEGIO ESTADUAL NELSON MANDELA</t>
  </si>
  <si>
    <t>12503-2</t>
  </si>
  <si>
    <t>12516-4</t>
  </si>
  <si>
    <t>COLEGIO ESTADUAL DEPUTADO HENRIQUE BRITO</t>
  </si>
  <si>
    <t>12366-8</t>
  </si>
  <si>
    <t>12371-4</t>
  </si>
  <si>
    <t>12560-1</t>
  </si>
  <si>
    <t>COLEGIO ESTADUAL LUIZ FERNANDO MACEDO COSTA</t>
  </si>
  <si>
    <t>12574-1</t>
  </si>
  <si>
    <t>COLEGIO ESTADUAL SENHOR DO BONFIM</t>
  </si>
  <si>
    <t>12499-0</t>
  </si>
  <si>
    <t>12539-3</t>
  </si>
  <si>
    <t>COLEGIO ESTADUAL HENRIQUETA MARTINS CATHARINO</t>
  </si>
  <si>
    <t>12422-2</t>
  </si>
  <si>
    <t>12575-X</t>
  </si>
  <si>
    <t>COLEGIO ESTADUAL ALFREDO MAGALHAES</t>
  </si>
  <si>
    <t>12468-0</t>
  </si>
  <si>
    <t>COLEGIO ESTADUAL LINDEMBERGUE CARDOSO</t>
  </si>
  <si>
    <t>12573-3</t>
  </si>
  <si>
    <t>COLEGIO ESTADUAL DO STIEP CARLOS MARIGHELLA</t>
  </si>
  <si>
    <t>12439-7</t>
  </si>
  <si>
    <t>12479-6</t>
  </si>
  <si>
    <t>ESCOLA ESTADUAL OCRIDALINA MADUREIRA</t>
  </si>
  <si>
    <t>12578-4</t>
  </si>
  <si>
    <t>12510-5</t>
  </si>
  <si>
    <t>COLEGIO ESTADUAL CLARICE SANTIAGO DOS SANTOS</t>
  </si>
  <si>
    <t>12473-7</t>
  </si>
  <si>
    <t>12526-1</t>
  </si>
  <si>
    <t>COLEGIO ESTADUAL DOUTOR JOAO PEDRO DOS SANTOS</t>
  </si>
  <si>
    <t>12367-6</t>
  </si>
  <si>
    <t>CENTRO EDUCACIONAL CARNEIRO RIBEIRO - CLASSE III</t>
  </si>
  <si>
    <t>12362-5</t>
  </si>
  <si>
    <t>12540-7</t>
  </si>
  <si>
    <t>COLEGIO ESTADUAL BENTO GONCALVES</t>
  </si>
  <si>
    <t>12513-X</t>
  </si>
  <si>
    <t>COLEGIO ESTADUAL ALBERTO VALENCA</t>
  </si>
  <si>
    <t>12405-2</t>
  </si>
  <si>
    <t>CENTRO EST DE EDUC PROF CONTROLE E PROCESSOS INDUST NEWTON SUCUPIRA</t>
  </si>
  <si>
    <t>12395-1</t>
  </si>
  <si>
    <t>12521-0</t>
  </si>
  <si>
    <t>12515-6</t>
  </si>
  <si>
    <t>COLEGIO ESTADUAL EURICLES DE MATOS</t>
  </si>
  <si>
    <t>12360-9</t>
  </si>
  <si>
    <t>12408-7</t>
  </si>
  <si>
    <t>COLEGIO ESTADUAL CIDADE DE CURITIBA</t>
  </si>
  <si>
    <t>12369-2</t>
  </si>
  <si>
    <t>12437-0</t>
  </si>
  <si>
    <t>12509-1</t>
  </si>
  <si>
    <t>CENTRO EDUCACIONAL CARNEIRO RIBEIRO - CLASSE I</t>
  </si>
  <si>
    <t>12411-7</t>
  </si>
  <si>
    <t>ESCOLA ESTADUAL PROFESSORA MARIINHA TAVARES</t>
  </si>
  <si>
    <t>12429-X</t>
  </si>
  <si>
    <t>COLEGIO DA POLICIA MILITAR - CPM LUIZ TARQUINIO</t>
  </si>
  <si>
    <t>12597-0</t>
  </si>
  <si>
    <t>CENTRO EDUCACIONAL EDGAR SANTOS</t>
  </si>
  <si>
    <t>12483-4</t>
  </si>
  <si>
    <t>ESCOLA ESTADUAL PROFESSORA CANDOLINA - CLASSE VII</t>
  </si>
  <si>
    <t>12409-5</t>
  </si>
  <si>
    <t>COLEGIO ESTADUAL GOVERNADOR LOMANTO JUNIOR</t>
  </si>
  <si>
    <t>12485-0</t>
  </si>
  <si>
    <t>CENTRO DE APOIO PEDAGOGICO ESPEC. PARA PESSOAS COM SURDEZ WILSON LINS</t>
  </si>
  <si>
    <t>12399-4</t>
  </si>
  <si>
    <t>12496-6</t>
  </si>
  <si>
    <t>COLEGIO ESTADUAL CLERISTON ANDRADE</t>
  </si>
  <si>
    <t>12563-6</t>
  </si>
  <si>
    <t>12511-3</t>
  </si>
  <si>
    <t>CENTRO EDUCACIONAL CARNEIRO RIBEIRO - CLASSE IV</t>
  </si>
  <si>
    <t>12413-3</t>
  </si>
  <si>
    <t>12378-1</t>
  </si>
  <si>
    <t>CENTRO DE APOIO PEDAGOGICO ESPECIALIZADO ALBERTO DE ASSIS</t>
  </si>
  <si>
    <t>12890-2</t>
  </si>
  <si>
    <t>COLEGIO ESTADUAL MINISTRO ALIOMAR BALEEIRO</t>
  </si>
  <si>
    <t>12431-1</t>
  </si>
  <si>
    <t>CENTRO ESTAD DE EDUC, INOVACAO E FORMACAO DA BAHIA-CEEIFOR- MAE STELLA</t>
  </si>
  <si>
    <t>12438-9</t>
  </si>
  <si>
    <t>12469-9</t>
  </si>
  <si>
    <t>CENTRO EDUCACIONAL CARNEIRO RIBEIRO - CLASSE II</t>
  </si>
  <si>
    <t>12412-5</t>
  </si>
  <si>
    <t>COLEGIO ESTADUAL LUIZ VIANA</t>
  </si>
  <si>
    <t>12474-5</t>
  </si>
  <si>
    <t>12414-1</t>
  </si>
  <si>
    <t>12434-6</t>
  </si>
  <si>
    <t>CENTRO EDUCACIONAL CARNEIRO RIBEIRO - ESCOLA PARQUE</t>
  </si>
  <si>
    <t>12361-7</t>
  </si>
  <si>
    <t>12602-0</t>
  </si>
  <si>
    <t>12571-7</t>
  </si>
  <si>
    <t>12549-0</t>
  </si>
  <si>
    <t>COLEGIO ESTADUAL RAFAEL OLIVEIRA</t>
  </si>
  <si>
    <t>12590-3</t>
  </si>
  <si>
    <t>12454-0</t>
  </si>
  <si>
    <t>12486-9</t>
  </si>
  <si>
    <t>12448-6</t>
  </si>
  <si>
    <t>12522-9</t>
  </si>
  <si>
    <t>12403-6</t>
  </si>
  <si>
    <t>COLEGIO ESTADUAL HEITOR VILLA LOBOS</t>
  </si>
  <si>
    <t>12387-0</t>
  </si>
  <si>
    <t>12402-8</t>
  </si>
  <si>
    <t>COLEGIO ESTADUAL PROFESSORA HELOISA COSTA</t>
  </si>
  <si>
    <t>12453-2</t>
  </si>
  <si>
    <t>12364-1</t>
  </si>
  <si>
    <t>12553-9</t>
  </si>
  <si>
    <t>12524-5</t>
  </si>
  <si>
    <t>12416-8</t>
  </si>
  <si>
    <t>12529-6</t>
  </si>
  <si>
    <t>COLEGIO ESTADUAL ANA NERY</t>
  </si>
  <si>
    <t>SAO FRANCISCO DO CONDE</t>
  </si>
  <si>
    <t>COLEGIO ESTADUAL DO CAMPO ANNA JUNQUEIRA AYRES TOURINHO</t>
  </si>
  <si>
    <t>24975-0</t>
  </si>
  <si>
    <t>COLEGIO ESTADUAL MARTINHO SALLES BRASIL</t>
  </si>
  <si>
    <t>24974-2</t>
  </si>
  <si>
    <t>SAO SEBASTIAO DO PASSE</t>
  </si>
  <si>
    <t>COLEGIO POLIVALENTE MONSENHOR LUIZ FERREIRA DE BRITO</t>
  </si>
  <si>
    <t>1143-6</t>
  </si>
  <si>
    <t>18218-4</t>
  </si>
  <si>
    <t>COLEGIO ESTADUAL DE TEMPO INTEGRAL JARDILINA DE SANTANA OLIVEIRA</t>
  </si>
  <si>
    <t>18217-6</t>
  </si>
  <si>
    <t>4277-3</t>
  </si>
  <si>
    <t>36839-3</t>
  </si>
  <si>
    <t>36834-2</t>
  </si>
  <si>
    <t>36836-9</t>
  </si>
  <si>
    <t>CENTRO ESTADUAL DE EDUC PROF EM SERVICOS E PROC IND IRMA DULCE</t>
  </si>
  <si>
    <t>36835-0</t>
  </si>
  <si>
    <t>36837-7</t>
  </si>
  <si>
    <t>COLEGIO ESTADUAL DE ARATU</t>
  </si>
  <si>
    <t>36840-7</t>
  </si>
  <si>
    <t>36842-3</t>
  </si>
  <si>
    <t>36841-5</t>
  </si>
  <si>
    <t>14870-9</t>
  </si>
  <si>
    <t>36833-4</t>
  </si>
  <si>
    <t>COLEGIO ESTADUAL JURACY MAGALHAES JUNIOR</t>
  </si>
  <si>
    <t>18655-4</t>
  </si>
  <si>
    <t>20749-7</t>
  </si>
  <si>
    <t>COLEGIO ESTADUAL DESEMBARGADOR JULIO VIRGINIO DE SANTANA</t>
  </si>
  <si>
    <t>18658-9</t>
  </si>
  <si>
    <t>27</t>
  </si>
  <si>
    <t>COLEGIO ESTADUAL DE TEMPO INTEGRAL DE BELMONTE</t>
  </si>
  <si>
    <t>1029-4</t>
  </si>
  <si>
    <t>14695-1</t>
  </si>
  <si>
    <t>CENTRO TERRITORIAL DE EDUCACAO PROFISSIONAL DA COSTA DO DESCOBRIMENTO</t>
  </si>
  <si>
    <t>0792-7</t>
  </si>
  <si>
    <t>41916-8</t>
  </si>
  <si>
    <t>COMPLEXO INTEGRADO DE EDUCACAO BASICA PROFISSIONAL E TECNOLOGIA</t>
  </si>
  <si>
    <t>41908-7</t>
  </si>
  <si>
    <t>41910-9</t>
  </si>
  <si>
    <t>41915-X</t>
  </si>
  <si>
    <t>2099-0</t>
  </si>
  <si>
    <t>10368-3</t>
  </si>
  <si>
    <t>4493-8</t>
  </si>
  <si>
    <t>9397-1</t>
  </si>
  <si>
    <t>41919-2</t>
  </si>
  <si>
    <t>41920-6</t>
  </si>
  <si>
    <t>2489-9</t>
  </si>
  <si>
    <t>29720-8</t>
  </si>
  <si>
    <t>COLEGIO ESTADUAL ARRAIAL D AJUDA - CEAA</t>
  </si>
  <si>
    <t>29722-4</t>
  </si>
  <si>
    <t>29723-2</t>
  </si>
  <si>
    <t>COLEGIO ESTADUAL DE TEMPO INTEGRAL DE PORTO SEGURO</t>
  </si>
  <si>
    <t>29721-6</t>
  </si>
  <si>
    <t>COMPLEXO INTEGRADO DE EDUC BASICA PROFIS E TECNOLOGICA DE PORTO SEGURO</t>
  </si>
  <si>
    <t>29719-4</t>
  </si>
  <si>
    <t>29717-8</t>
  </si>
  <si>
    <t>COLEGIO ESTADUAL INDIGENA PATAXO BARRA VELHA</t>
  </si>
  <si>
    <t>2574-7</t>
  </si>
  <si>
    <t>13757-X</t>
  </si>
  <si>
    <t>12916-X</t>
  </si>
  <si>
    <t>COLEGIO ESTADUAL CRISTO REI  -  PARALISADA</t>
  </si>
  <si>
    <t>PARALISADA</t>
  </si>
  <si>
    <t>CENTRO EDUCACIONAL 30 DE JUNHO - TEMPO INTEGRAL  -  PARALISADA</t>
  </si>
  <si>
    <t>COLEGIO ESTADUAL GILDASIO PENEDO  -  PARALISADA</t>
  </si>
  <si>
    <t>CENTRO ESTADUAL DE EDUCACAO PROFISSIONAL PROFESSORA LIDINA ESTRELA   -  PARALISADA</t>
  </si>
  <si>
    <t>COLEGIO ESTADUAL LUIZ JULIO CARNEIRO  -  PARALISADA</t>
  </si>
  <si>
    <t>SÃO DOMINGOS</t>
  </si>
  <si>
    <t>COLEGIO ESTADUAL NECY NOVAES  -  PARALISADA</t>
  </si>
  <si>
    <t>COLEGIO ESTADUAL ANTONIO SA PEREIRA - TEMPO INTEGRAL  -  EXTINTA</t>
  </si>
  <si>
    <t>EXTINTA</t>
  </si>
  <si>
    <t>ESCOLA SANTA ANGELA  -  EXTINTA</t>
  </si>
  <si>
    <t>COLEGIO ESTADUAL JOSUE BRANDAO  -  EXTINTA</t>
  </si>
  <si>
    <t>COLEGIO ESTADUAL LUIS EDUARDO MAGALHAES  -  EXTINTA</t>
  </si>
  <si>
    <t>COLEGIO ESTADUAL SESQUICENTENARIO - CISO  -  EXTINTA</t>
  </si>
  <si>
    <t>ESCOLA ESTADUAL ANTONIO CARLOS MAGALHAES  -  EXTINTA</t>
  </si>
  <si>
    <t>ESCOLA PADRE CARLOS SALERIO  -  EXTINTA</t>
  </si>
  <si>
    <t>COLEGIO ESTADUAL PROFESSORA HORIZONTINA CONCEICAO  -  MUNICIPALIZADA</t>
  </si>
  <si>
    <t>MUNICIPALIZADA</t>
  </si>
  <si>
    <t>COLEGIO ESTADUAL JOAO LEONARDO DA SILVA  -  PARALISADA</t>
  </si>
  <si>
    <t>COLEGIO ESTADUAL KARL MARX - ASSENT. 4045  -  EXTINTA</t>
  </si>
  <si>
    <t>COLEGIO ESTADUAL DO CAMPO OZIEL ALVES PEREIRA ASSENTAMENTO BELA VISTA  -  EXTINTA</t>
  </si>
  <si>
    <t>COLÉGIO ESTADUAL GILBERTO VIANA  -  EXTINTA</t>
  </si>
  <si>
    <t>COLEGIO ESTADUAL DO CAMPO DONATO DI GREGORIO  -  PARALISADA</t>
  </si>
  <si>
    <t>CENTRO ESTADUAL ANTONIO HONORATO  -  EXTINTA</t>
  </si>
  <si>
    <t>COLEGIO ESTADUAL CONSELHEIRO LUIZ VIANA  -  MUNICIPALIZADA</t>
  </si>
  <si>
    <t>COLEGIO ESTADUAL GETULIO VARGAS  -  MUNICIPALIZADA</t>
  </si>
  <si>
    <t>COLEGIO ESTADUAL DOM AVELAR BRANDAO VILELA  -  MUNICIPALIZADA</t>
  </si>
  <si>
    <t>COLEGIO ESTADUAL HELENA CELESTINO MAGALHAES - TEMPO INTEGRAL  -  MUNICIPALIZADA</t>
  </si>
  <si>
    <t>COLEGIO ESTADUAL ANIBAL ALVES BARBOSA  -  EXTINTA</t>
  </si>
  <si>
    <t>COLEGIO ESTADUAL JOSE DE CASTRO  -  EXTINTA</t>
  </si>
  <si>
    <t>ESCOLA EST ANTONIO CARLOS MAGALHAES  -  EXTINTA</t>
  </si>
  <si>
    <t>COLEGIO ESTADUAL EDIVALDO MACHADO BOAVENTURA  -  EXTINTA</t>
  </si>
  <si>
    <t>COLEGIO ESTADUAL ALMIRANTE BARROSO  -  PARALISADA</t>
  </si>
  <si>
    <t>COLEGIO ESTADUAL DE BAIXA GRANDE - TEMPO INTEGRAL  -  EXTINTA</t>
  </si>
  <si>
    <t>COLEGIO ESTADUAL PROFESSORA MARIA JOSE DE LIMA SILVEIRA - DIST. VILA APARECIDA  -  PARALISADA</t>
  </si>
  <si>
    <t>ESCOLA ESTADUAL PADRE ALFREDO HAASLER  -  PARALISADA</t>
  </si>
  <si>
    <t>COLEGIO ESTADUAL DOUTOR LUIZ VIANA FILHO - DIST. DE PAU LAVRADO  -  PARALISADA</t>
  </si>
  <si>
    <t>COLEGIO DOMINGOS LEAO VELOSO  -  PARALISADA</t>
  </si>
  <si>
    <t>COLEGIO ESTADUAL DOUTOR MARIO COSTA FILHO  -  PARALISADA</t>
  </si>
  <si>
    <t>EDUCANDARIO IMACULADO CORACAO DE MARIA  -  PARALISADA</t>
  </si>
  <si>
    <t>COLEGIO ESTADUAL DO CAMPO SAO BENTO DE INHATA  -  EXTINTA</t>
  </si>
  <si>
    <t>COLEGIO ESTADUAL PROFESSORA CELITA FRANCA DA SILVA  -  EXTINTA</t>
  </si>
  <si>
    <t>COLEGIO ESTADUAL DOUTOR ORLANDO LEITE  -  PARALISADA</t>
  </si>
  <si>
    <t>ESCOLA ESTADUAL SAO JOAO BATISTA  -  PARALISADA</t>
  </si>
  <si>
    <t>COLEGIO ESTADUAL VILAS BOAS MOREIRA  -  PARALISADA</t>
  </si>
  <si>
    <t>COLEGIO ESTADUAL ANTONIO JOAQUIM CORREIA - POV. DE CAPOEIRUCU  -  PARALISADA</t>
  </si>
  <si>
    <t xml:space="preserve"> COLEGIO ESTADUAL RENATO MACHADO   -  PARALISADA</t>
  </si>
  <si>
    <t>COLEGIO ESTADUAL MARIA JOSE DE LIMA SILVEIRA  -  PARALISADA</t>
  </si>
  <si>
    <t>COLEGIO ESTADUAL ODORICO TAVARES - TEMPO INTEGRAL  -  PARALISADA</t>
  </si>
  <si>
    <t>COLEGIO ESTADUAL RUY BARBOSA - TEMPO INTEGRAL  -  PARALISADA</t>
  </si>
  <si>
    <t>COLEGIO ESTADUAL ARMANDO RIBEIRO CARNEIRO  -  EXTINTA</t>
  </si>
  <si>
    <t>COLEGIO ESTADUAL LIBERDADE   -  PARALISADA</t>
  </si>
  <si>
    <t>COLEGIO ESTADUAL PRESIDENTE GETULIO VARGAS  -  PARALISADA</t>
  </si>
  <si>
    <t>ESCOLA ESTADUAL ROTARY  -  PARALISADA</t>
  </si>
  <si>
    <t>COLEGIO ESTADUAL PROFESSOR FELIPE BUSQUET ANGLADA - EXTINTA</t>
  </si>
  <si>
    <t>COLEGIO ESTADUAL FERNANDO SPINOLA   -  PARALISADA</t>
  </si>
  <si>
    <t>ESCOLA ESTADUAL 15 DE OUTUBRO  -  PARALISADA</t>
  </si>
  <si>
    <t>COLEGIO ESTADUAL DE INEMA - DISTRITO DE INEMA  -  PARALISADA</t>
  </si>
  <si>
    <t>ESCOLA ESTADUAL ARMANDO FREIRE  -  PARALISADA</t>
  </si>
  <si>
    <t>COLEGIO ESTADUAL DE PALMIRA - DISTRITO DE PALMIRA   -  PARALISADA</t>
  </si>
  <si>
    <t>COLEGIO ESTADUAL DE JITAUNA - ANTIGA UEE VALMIR OLIVEIRA GOMES  -  PARALISADA</t>
  </si>
  <si>
    <t>COLEGIO ESTADUAL ANTONIO BALBINO  -  MUNICIPALIZADA</t>
  </si>
  <si>
    <t>COLEGIO ESTADUAL JOSE DA SILVA MARQUES  -  PARALISADA</t>
  </si>
  <si>
    <t>COLEGIO ESTADUAL MANOEL VITORINO - TEMPO INTEGRAL  -  PARALISADA</t>
  </si>
  <si>
    <t>ESCOLA ESTADUAL DOUTOR LUIZ VIANA FILHO  -  PARALISADA</t>
  </si>
  <si>
    <t>COLEGIO ESTADUAL ANTONIO ALVES DOS SANTOS  - DISTRITO NOVA LIDICE  -  EXTINTA</t>
  </si>
  <si>
    <t>COLEGIO ESTADUAL SAO VICENTE DE PAULO  -  PARALISADA</t>
  </si>
  <si>
    <t>COLEGIO ESTADUAL ESTADO DO CEARA  -  EXTINTA</t>
  </si>
  <si>
    <t>COLEGIO ESTADUAL IDALICE NUNES - PARALISADA</t>
  </si>
  <si>
    <t>COLÉGIO ESTADUAL LUZIA DE FREITAS E SILVA - PARALISADA</t>
  </si>
  <si>
    <t>COLEGIO ESTADUAL DOUTOR ANTONIO RICALDI - PARALISADA</t>
  </si>
  <si>
    <t>COLEGIO ESTADUAL AGOSTINHO FROES DA MOTA - MUNICIPALIZADA</t>
  </si>
  <si>
    <t>COLEGIO ESTADUAL EDELVIRA D OLIVEIRA - MUNICIPALIZADA</t>
  </si>
  <si>
    <t>ESCOLA ESTADUAL DOUTOR GAMALIEL - MUNICIPALIZADA</t>
  </si>
  <si>
    <t>ESCOLA ESTADUAL FABIOLA VITAL - MUNICIPALIZADA</t>
  </si>
  <si>
    <t>ESCOLA ESTADUAL SAO JOAO DA ESCOCIA -MUNICIPALIZADA</t>
  </si>
  <si>
    <t>ESCOLA REVERENDO SEVERINO SOARES - MUNICIPALIZADA</t>
  </si>
  <si>
    <t>ESCOLA ESTADUAL EDUARDO SPINOLA - PARALISADA</t>
  </si>
  <si>
    <t>COLEGIO ESTADUAL DE ITABUNA - TEMPO INTEGRAL - EXTINTA</t>
  </si>
  <si>
    <t>COLEGIO PROFESSOR DASIO JOSE DE SOUZA -PARALISADA</t>
  </si>
  <si>
    <t>COLEGIO ESTADUAL PROFESSORA ANGELITA MORENO - PARALISADA</t>
  </si>
  <si>
    <t>CENTRO JUVENIL DE CIENCIA E CULTURA-CJCC ITABUNA -EXTINTA</t>
  </si>
  <si>
    <t>COLEGIO ESTADUAL ANTONIO BAHIA - PARALISADA</t>
  </si>
  <si>
    <t>COLEGIO ESTADUAL LUIZ VIANA FILHO - PARALISADA</t>
  </si>
  <si>
    <t>COLEGIO ESTADUAL PROFESSORA IVANDA MIRANDA DE SOUZA - MUNICIPALIZADA</t>
  </si>
  <si>
    <t>COLEGIO ESTADUAL DE PAU DA LIMA - PARALISADA</t>
  </si>
  <si>
    <t>COLEGIO ESTADUAL ROTARY RENATO LEITE DA SILVEIRA - PARALISADA</t>
  </si>
  <si>
    <t>COLEGIO ESTADUAL LUIZ TARQUINIO - TEMPO INTEGRAL - PARALISADA</t>
  </si>
  <si>
    <t>COLEGIO ESTADUAL DOM JOAO MUNIZ - PARALISADA</t>
  </si>
  <si>
    <t>COLEGIO ESTADUAL JOAO CARNEIRO - PARALISADA</t>
  </si>
  <si>
    <t>COLEGIO ESTADUAL EDNA MOREIRA PINTO DALTRO - PARALISADA</t>
  </si>
  <si>
    <t>COLEGIO ESTADUAL LUIZ NAVARRO DE BRITO - PARALISADA</t>
  </si>
  <si>
    <t>CENTRO INTEGRADO DE EDUCACAO LUIZ NAVARRO DE BRITO - PARALISADA</t>
  </si>
  <si>
    <t>COLEGIO ESTADUAL BOLIVAR SANTANA - PARALISADA</t>
  </si>
  <si>
    <t>COLEGIO ESTADUAL 15 DE NOVEMBRO - PARALISADA</t>
  </si>
  <si>
    <t>COLEGIO ESTADUAL CIDADE DE CAMACARI PARALISADA</t>
  </si>
  <si>
    <t>COLEGIO ESTADUAL MONSENHOR ALCIDES CARDOSO PARALISADA</t>
  </si>
  <si>
    <t>COLEGIO ESTADUAL WALTER BRANDAO PARALISADA</t>
  </si>
  <si>
    <t>COLEGIO ESTADUAL PROF CARLOS ROBERTO ARLEO BARBOSA PARALISADA</t>
  </si>
  <si>
    <t>INATIVA</t>
  </si>
  <si>
    <t>COLÉGIO ESTADUAL CORIOLANO CARVALHO MUNICIPALIZADA</t>
  </si>
  <si>
    <t>COLÉGIO ESTADUAL JOÃO BARBOSA DE CARVALHO MUNICIPALIZADA</t>
  </si>
  <si>
    <t>COLÉGIO ESTADUAL JOÃO DURVAL CARNEIRO MUNICIPALIZADA</t>
  </si>
  <si>
    <t>COLÉGIO ESTADUAL REITOR EDGAR SANTOS MUNICIPALIZADA</t>
  </si>
  <si>
    <t>COLEGIO ESTADUAL HERACLIDES MARTINS DE ANDRADE PARALISADA</t>
  </si>
  <si>
    <t>CENTRO ESTADUAL DE EDUCACAO SANTA MARIENSE - PARALISADA</t>
  </si>
  <si>
    <t>CENTRO ESTADUAL DE EDUCACAO PROFISSIONAL EM SAUDE ADELIA TEIXEIRA - PARALISADA</t>
  </si>
  <si>
    <t>COLEGIO JOAQUIM MACHADO</t>
  </si>
  <si>
    <t>COL EST DO CAMPO CARLOS HUMBERTO DE MIRANDA PEREIRA MELLO - PARALISADA</t>
  </si>
  <si>
    <t>COLÉGIO ESTADUAL MANOEL NOVAES - TEMPO INTEGRAL</t>
  </si>
  <si>
    <t>ESCOLA JESUS CRISTO</t>
  </si>
  <si>
    <t>PARTICULAR</t>
  </si>
  <si>
    <t>COLEGIO ESTADUAL PROFESSOR JAIRO ALVES PEREIRA</t>
  </si>
  <si>
    <t>COLEGIO ESTADUAL GETUALIO VARGAS</t>
  </si>
  <si>
    <t>COLÉGIO ESTADUAL PROFESSORA IRENIL COSTA BRANDÃO - TEMPO INTEGRAL</t>
  </si>
  <si>
    <t>ESCOLA ESTADUAL RURAL TAYLOR EGIDIO - TEMPO INTEGRAL</t>
  </si>
  <si>
    <t>-</t>
  </si>
  <si>
    <t>COLÉGIO ESTADUAL MISAEL AGUILAR SILVA - TEMPO INTEGRAL</t>
  </si>
  <si>
    <t>COLEGIO ESTADUAL NOSSA SENHORA APARECIDA</t>
  </si>
  <si>
    <t>COLEGIO ESTADUAL ISABEL ARAUJO DA SILVA</t>
  </si>
  <si>
    <t>COLÉGIO ESTADUAL DE TEMPO INTEGRAL ÁGUAS TERMAIS DE CIPÓ</t>
  </si>
  <si>
    <t>COLÉGIO ESTADUAL ANTONIETA XAVIER SIQUEIRA SANTOS - TEMPO INTEGRAL</t>
  </si>
  <si>
    <t>COLÉGIO ESTADUAL PAULO FREIRE</t>
  </si>
  <si>
    <t>COLÉGIO ESTADUAL DOM PEDRO I</t>
  </si>
  <si>
    <t>COLEGIO ESTADUAL ERALDO TINOCO - TEMPO INTEGRAL</t>
  </si>
  <si>
    <t>COLÉGIO ESTADUAL DOMINGOS BARROS DE AZEVEDO</t>
  </si>
  <si>
    <t>COLÉGIO ESTADUAL ERALDO TINOCO DE MELLO - TEMPO INTEGRAL</t>
  </si>
  <si>
    <t>COLEGIO ESTADUAL DOUTOR LUIS DE MOURA BASTOS - TEMPO INTEGRAL</t>
  </si>
  <si>
    <t>COLEGIO ESTADUAL JOAO UBALDO RIBEIRO - TEMPO INTEGRAL</t>
  </si>
  <si>
    <t>COLÉGIO ESTADUAL IMACULADA CONCEIÇÃO - TEMPO INTEGRAL</t>
  </si>
  <si>
    <t>COLÉGIO ESTADUAL WILSON FALCÃO - TEMPO INTEGRAL (PRÉDIO ANTIGO DA UEE GEORGINA DE MELLO)</t>
  </si>
  <si>
    <t>COLEGIO SOCIAL DE PORTÃO</t>
  </si>
  <si>
    <t>COLEGIO ESTADUAL EDUARDO CATALAO</t>
  </si>
  <si>
    <t>COLÉGIO ESTADUAL GENERAL SAMPAIO - TEMPO INTEGRAL</t>
  </si>
  <si>
    <t>INSTITUTO DE EDUCACAO ANISIO TEIXEIRA - TEMPO INTEGRAL</t>
  </si>
  <si>
    <t>CENTRO TERRITORIAL DE EDUCACAO PROFISSIONAL DO SERTAO PRODUTIVO</t>
  </si>
  <si>
    <t>COLÉGIO ESTADUAL LUIZ VIANA FILHO - TEMPO INTEGRAL</t>
  </si>
  <si>
    <t xml:space="preserve">FEIRA DE SANTANA              </t>
  </si>
  <si>
    <t>COLEGIO ESTADUAL WILSON FALCAO</t>
  </si>
  <si>
    <t>COLEGIO ESTADUAL GETULIO VARGAS -  PARALISADA</t>
  </si>
  <si>
    <t>excluir do bb</t>
  </si>
  <si>
    <t>COLEGIO ESTADUAL TEOTONIO MARQUES DOURADO FILHO -  PARALISADA</t>
  </si>
  <si>
    <t>CENTRO TERRITORIAL DE EDUCACAO PROFISSIONAL SANTA BERNADETE -  PARALISADA</t>
  </si>
  <si>
    <t>CENTRO TERRITORIAL DE EDUCACAO PROFISSIONAL LITORAL SUL II -  PARALISADA</t>
  </si>
  <si>
    <t>COLEGIO ESTADUAL EDIVALDO BOAVENTURA -  PARALISADA</t>
  </si>
  <si>
    <t>COLEGIO ESTADUAL DEPUTADO HORACIO DE MATOS -  PARALISADA</t>
  </si>
  <si>
    <t>COLEGIO ESTADUAL GOVERNADOR LUIZ VIANA FILHO -  PARALISADA</t>
  </si>
  <si>
    <t>COLEGIO ESTADUAL LUIS EDUARDO MAGALHAES -  PARALISADA</t>
  </si>
  <si>
    <t>COLEGIO ESTADUAL PROFESSORA MARIA BASTOS MELO -  PARALISADA</t>
  </si>
  <si>
    <t>COLEGIO ESTADUAL JOSE LOURENCO DE CARVALHO -  PARALISADA</t>
  </si>
  <si>
    <t>COLEGIO ESTADUAL PROFESSORA MARIA LEIDE DE OLIVEIRA -  PARALISADA</t>
  </si>
  <si>
    <t>COLEGIO ESTADUAL MARIA ISABEL DE MELO GOES -  PARALISADA</t>
  </si>
  <si>
    <t>COLEGIO ESTADUAL YEDA BARRADAS CARNEIRO -  PARALISADA</t>
  </si>
  <si>
    <t>COLEGIO ESTADUAL PADRE VIEIRA -  PARALISADA</t>
  </si>
  <si>
    <t>COLEGIO ESTADUAL DE CORRENTINA -  PARALISADA</t>
  </si>
  <si>
    <t>COLEGIO ESTADUAL ANGIOLINA TEIXEIRA DE SOUZA -  PARALISADA</t>
  </si>
  <si>
    <t>COLEGIO ESTADUAL DO PHOC -  PARALISADA</t>
  </si>
  <si>
    <t>CENTRO EST. DE EDUC PROFI EM GESTAO E NEGOCIO LETICE  OLIVEIRA MACIEL -  PARALISADA</t>
  </si>
  <si>
    <t>COLEGIO ESTADUAL JUVENILIA PEIXOTO SAMPAIO -  PARALISADA</t>
  </si>
  <si>
    <t>COLEGIO ESTADUAL CARMEN ANDRADE LIMA -  PARALISADA</t>
  </si>
  <si>
    <t>COLEGIO ESTADUAL ISAIAS  -  PARALISADA</t>
  </si>
  <si>
    <t>COLEGIO ESTADUAL LUZIA SILVA - PARALISADA</t>
  </si>
  <si>
    <t>COLEGIO ESTADUAL PROFESSORA ISAURA SANTOS - PARALISADA</t>
  </si>
  <si>
    <t>COLÉGIO ESTADUAL PROFESSOR PEDRO RAIMUNDO RODRIGUES RÊGO - PARALISADA</t>
  </si>
  <si>
    <t>COLEGIO ESTADUAL VITOR SOARES</t>
  </si>
  <si>
    <t>COLEGIO ESTADUAL ABDIAS MENEZES -  PARALISADA 0188-0 - 61210-3</t>
  </si>
  <si>
    <t>COLEGIO ESTADUAL GETULIO VARGAS PARALISADA</t>
  </si>
  <si>
    <t>INSTITUTO EDUCACIONAL DE PEDRA ALTA PARALISADA</t>
  </si>
  <si>
    <t>COMPLEXO INTEGRADO DE EDUC BASICA PROFIS E TECNOLOGICA DE CAETITE INATIVA</t>
  </si>
  <si>
    <t>COLEGIO ESTADUAL DOUTOR MAGALHAES NETO</t>
  </si>
  <si>
    <t>COLEGIO ESTADUAL DOUTOR JUCA SENTO SE</t>
  </si>
  <si>
    <t>CENTRO DE ENSINO E CULTURA DR EDUARDO FROES DA MOTTA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</si>
</sst>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;[Red]#,##0.00"/>
    <numFmt numFmtId="165" formatCode="0\-00"/>
    <numFmt numFmtId="166" formatCode="00"/>
  </numFmts>
  <fonts count="2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0000"/>
      <name val="Calibri"/>
      <scheme val="minor"/>
    </font>
    <font>
      <sz val="10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2"/>
      <color indexed="8"/>
      <name val="Calibri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b/>
      <sz val="14"/>
      <color indexed="8"/>
      <name val="Calibri"/>
      <family val="2"/>
    </font>
    <font>
      <sz val="8"/>
      <color indexed="8"/>
      <name val="Calibri"/>
      <family val="2"/>
    </font>
    <font>
      <sz val="8"/>
      <color rgb="FF000000"/>
      <name val="Calibri"/>
      <family val="2"/>
    </font>
    <font>
      <sz val="8"/>
      <color indexed="8"/>
      <name val="Arial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9"/>
      <color theme="0"/>
      <name val="Calibri"/>
      <family val="2"/>
    </font>
    <font>
      <sz val="8"/>
      <color theme="0"/>
      <name val="Calibri"/>
      <family val="2"/>
    </font>
    <font>
      <sz val="9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Calibri"/>
      <family val="2"/>
      <scheme val="minor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5" fillId="0" borderId="0"/>
    <xf numFmtId="43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5" fontId="0" fillId="0" borderId="0" xfId="0" applyNumberFormat="1"/>
    <xf numFmtId="15" fontId="0" fillId="0" borderId="0" xfId="0" applyNumberFormat="1" applyAlignment="1">
      <alignment horizontal="center"/>
    </xf>
    <xf numFmtId="15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 wrapText="1"/>
    </xf>
    <xf numFmtId="15" fontId="0" fillId="0" borderId="0" xfId="0" quotePrefix="1" applyNumberFormat="1" applyAlignment="1">
      <alignment horizont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wrapText="1"/>
    </xf>
    <xf numFmtId="164" fontId="0" fillId="0" borderId="3" xfId="0" applyNumberFormat="1" applyBorder="1" applyAlignment="1">
      <alignment wrapText="1"/>
    </xf>
    <xf numFmtId="14" fontId="0" fillId="0" borderId="3" xfId="0" applyNumberFormat="1" applyBorder="1" applyAlignment="1">
      <alignment horizontal="center" wrapText="1"/>
    </xf>
    <xf numFmtId="165" fontId="0" fillId="0" borderId="3" xfId="0" applyNumberForma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164" fontId="0" fillId="0" borderId="2" xfId="0" applyNumberFormat="1" applyBorder="1" applyAlignment="1">
      <alignment wrapText="1"/>
    </xf>
    <xf numFmtId="14" fontId="0" fillId="0" borderId="2" xfId="0" applyNumberFormat="1" applyBorder="1" applyAlignment="1">
      <alignment horizontal="center" wrapText="1"/>
    </xf>
    <xf numFmtId="165" fontId="0" fillId="0" borderId="2" xfId="0" applyNumberFormat="1" applyBorder="1" applyAlignment="1">
      <alignment horizont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1" fillId="0" borderId="0" xfId="0" applyFont="1"/>
    <xf numFmtId="166" fontId="4" fillId="5" borderId="0" xfId="1" applyNumberFormat="1" applyFont="1" applyFill="1" applyAlignment="1">
      <alignment horizontal="center"/>
    </xf>
    <xf numFmtId="0" fontId="4" fillId="5" borderId="0" xfId="1" applyFont="1" applyFill="1" applyAlignment="1">
      <alignment horizontal="left"/>
    </xf>
    <xf numFmtId="0" fontId="4" fillId="5" borderId="0" xfId="1" applyFont="1" applyFill="1" applyAlignment="1">
      <alignment horizontal="center"/>
    </xf>
    <xf numFmtId="0" fontId="3" fillId="0" borderId="0" xfId="1" applyAlignment="1">
      <alignment horizontal="left"/>
    </xf>
    <xf numFmtId="0" fontId="3" fillId="0" borderId="0" xfId="1" applyAlignment="1">
      <alignment horizontal="center"/>
    </xf>
    <xf numFmtId="0" fontId="3" fillId="0" borderId="0" xfId="1"/>
    <xf numFmtId="0" fontId="5" fillId="0" borderId="0" xfId="2" applyAlignment="1">
      <alignment horizontal="center"/>
    </xf>
    <xf numFmtId="4" fontId="3" fillId="0" borderId="0" xfId="1" applyNumberFormat="1" applyAlignment="1">
      <alignment horizontal="center"/>
    </xf>
    <xf numFmtId="43" fontId="3" fillId="0" borderId="0" xfId="3" applyFont="1" applyBorder="1" applyAlignment="1">
      <alignment horizontal="right"/>
    </xf>
    <xf numFmtId="43" fontId="3" fillId="0" borderId="0" xfId="3" applyFont="1" applyBorder="1" applyAlignment="1">
      <alignment horizontal="center"/>
    </xf>
    <xf numFmtId="43" fontId="3" fillId="0" borderId="0" xfId="3" applyFont="1" applyBorder="1"/>
    <xf numFmtId="14" fontId="3" fillId="0" borderId="0" xfId="1" applyNumberFormat="1"/>
    <xf numFmtId="166" fontId="7" fillId="6" borderId="1" xfId="1" applyNumberFormat="1" applyFont="1" applyFill="1" applyBorder="1" applyAlignment="1">
      <alignment horizontal="center" vertical="center"/>
    </xf>
    <xf numFmtId="0" fontId="7" fillId="6" borderId="1" xfId="1" applyFont="1" applyFill="1" applyBorder="1" applyAlignment="1">
      <alignment horizontal="center" vertical="center"/>
    </xf>
    <xf numFmtId="0" fontId="7" fillId="6" borderId="1" xfId="1" applyFont="1" applyFill="1" applyBorder="1" applyAlignment="1">
      <alignment horizontal="center" vertical="center" wrapText="1"/>
    </xf>
    <xf numFmtId="0" fontId="8" fillId="7" borderId="1" xfId="2" applyFont="1" applyFill="1" applyBorder="1" applyAlignment="1">
      <alignment horizontal="center" vertical="center" wrapText="1"/>
    </xf>
    <xf numFmtId="0" fontId="9" fillId="7" borderId="1" xfId="1" applyFont="1" applyFill="1" applyBorder="1" applyAlignment="1">
      <alignment horizontal="center" vertical="center"/>
    </xf>
    <xf numFmtId="0" fontId="10" fillId="7" borderId="0" xfId="1" applyFont="1" applyFill="1" applyAlignment="1">
      <alignment horizontal="center" wrapText="1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0" fontId="11" fillId="0" borderId="0" xfId="1" applyFont="1" applyAlignment="1">
      <alignment horizontal="center" wrapText="1"/>
    </xf>
    <xf numFmtId="14" fontId="4" fillId="0" borderId="0" xfId="1" applyNumberFormat="1" applyFont="1" applyAlignment="1">
      <alignment horizontal="center"/>
    </xf>
    <xf numFmtId="4" fontId="4" fillId="0" borderId="0" xfId="1" applyNumberFormat="1" applyFont="1"/>
    <xf numFmtId="43" fontId="4" fillId="0" borderId="0" xfId="3" applyFont="1" applyBorder="1" applyAlignment="1">
      <alignment horizontal="center" wrapText="1"/>
    </xf>
    <xf numFmtId="0" fontId="4" fillId="0" borderId="0" xfId="1" applyFont="1"/>
    <xf numFmtId="166" fontId="12" fillId="8" borderId="1" xfId="1" applyNumberFormat="1" applyFont="1" applyFill="1" applyBorder="1" applyAlignment="1">
      <alignment horizontal="center" vertical="center"/>
    </xf>
    <xf numFmtId="0" fontId="12" fillId="8" borderId="1" xfId="1" applyFont="1" applyFill="1" applyBorder="1" applyAlignment="1">
      <alignment horizontal="left" vertical="center"/>
    </xf>
    <xf numFmtId="0" fontId="12" fillId="8" borderId="1" xfId="1" applyFont="1" applyFill="1" applyBorder="1" applyAlignment="1">
      <alignment horizontal="center" vertical="center" wrapText="1"/>
    </xf>
    <xf numFmtId="0" fontId="12" fillId="8" borderId="1" xfId="1" applyFont="1" applyFill="1" applyBorder="1" applyAlignment="1">
      <alignment horizontal="center" vertical="center"/>
    </xf>
    <xf numFmtId="0" fontId="4" fillId="9" borderId="0" xfId="1" applyFont="1" applyFill="1" applyAlignment="1">
      <alignment horizontal="center"/>
    </xf>
    <xf numFmtId="0" fontId="13" fillId="9" borderId="0" xfId="1" applyFont="1" applyFill="1" applyAlignment="1">
      <alignment horizontal="center"/>
    </xf>
    <xf numFmtId="0" fontId="3" fillId="9" borderId="0" xfId="1" applyFill="1" applyAlignment="1">
      <alignment horizontal="center"/>
    </xf>
    <xf numFmtId="14" fontId="3" fillId="0" borderId="0" xfId="1" applyNumberFormat="1" applyAlignment="1">
      <alignment horizontal="center"/>
    </xf>
    <xf numFmtId="166" fontId="14" fillId="0" borderId="1" xfId="1" applyNumberFormat="1" applyFont="1" applyBorder="1" applyAlignment="1">
      <alignment horizontal="center"/>
    </xf>
    <xf numFmtId="0" fontId="14" fillId="0" borderId="1" xfId="1" applyFont="1" applyBorder="1" applyAlignment="1">
      <alignment horizontal="left"/>
    </xf>
    <xf numFmtId="1" fontId="14" fillId="0" borderId="1" xfId="1" applyNumberFormat="1" applyFont="1" applyBorder="1" applyAlignment="1">
      <alignment horizontal="center"/>
    </xf>
    <xf numFmtId="3" fontId="14" fillId="0" borderId="1" xfId="1" applyNumberFormat="1" applyFont="1" applyBorder="1" applyAlignment="1">
      <alignment horizontal="left" wrapText="1"/>
    </xf>
    <xf numFmtId="0" fontId="15" fillId="0" borderId="1" xfId="2" applyFont="1" applyBorder="1" applyAlignment="1">
      <alignment horizontal="center"/>
    </xf>
    <xf numFmtId="0" fontId="16" fillId="0" borderId="0" xfId="1" applyFont="1" applyAlignment="1">
      <alignment horizontal="left"/>
    </xf>
    <xf numFmtId="0" fontId="16" fillId="0" borderId="0" xfId="1" applyFont="1"/>
    <xf numFmtId="0" fontId="16" fillId="0" borderId="0" xfId="1" applyFont="1" applyAlignment="1">
      <alignment horizontal="center"/>
    </xf>
    <xf numFmtId="14" fontId="16" fillId="0" borderId="0" xfId="1" applyNumberFormat="1" applyFont="1" applyAlignment="1">
      <alignment horizontal="center"/>
    </xf>
    <xf numFmtId="4" fontId="16" fillId="0" borderId="0" xfId="1" applyNumberFormat="1" applyFont="1" applyAlignment="1">
      <alignment horizontal="center"/>
    </xf>
    <xf numFmtId="43" fontId="16" fillId="0" borderId="0" xfId="3" applyFont="1" applyBorder="1" applyAlignment="1">
      <alignment horizontal="right"/>
    </xf>
    <xf numFmtId="43" fontId="16" fillId="0" borderId="0" xfId="3" applyFont="1" applyBorder="1" applyAlignment="1">
      <alignment horizontal="center"/>
    </xf>
    <xf numFmtId="43" fontId="16" fillId="0" borderId="0" xfId="3" applyFont="1" applyBorder="1"/>
    <xf numFmtId="0" fontId="5" fillId="0" borderId="0" xfId="2"/>
    <xf numFmtId="14" fontId="16" fillId="0" borderId="0" xfId="1" applyNumberFormat="1" applyFont="1"/>
    <xf numFmtId="0" fontId="17" fillId="0" borderId="0" xfId="2" applyFont="1" applyAlignment="1">
      <alignment horizontal="center" wrapText="1"/>
    </xf>
    <xf numFmtId="0" fontId="18" fillId="0" borderId="1" xfId="2" applyFont="1" applyBorder="1" applyAlignment="1">
      <alignment horizontal="center"/>
    </xf>
    <xf numFmtId="16" fontId="16" fillId="0" borderId="0" xfId="1" applyNumberFormat="1" applyFont="1" applyAlignment="1">
      <alignment horizontal="center"/>
    </xf>
    <xf numFmtId="16" fontId="16" fillId="0" borderId="0" xfId="1" applyNumberFormat="1" applyFont="1"/>
    <xf numFmtId="0" fontId="18" fillId="0" borderId="1" xfId="2" applyFont="1" applyBorder="1" applyAlignment="1">
      <alignment horizontal="left"/>
    </xf>
    <xf numFmtId="166" fontId="19" fillId="0" borderId="1" xfId="1" applyNumberFormat="1" applyFont="1" applyBorder="1" applyAlignment="1">
      <alignment horizontal="center"/>
    </xf>
    <xf numFmtId="0" fontId="18" fillId="0" borderId="1" xfId="1" applyFont="1" applyBorder="1" applyAlignment="1">
      <alignment horizontal="left"/>
    </xf>
    <xf numFmtId="0" fontId="18" fillId="0" borderId="1" xfId="1" applyFont="1" applyBorder="1" applyAlignment="1">
      <alignment horizontal="center"/>
    </xf>
    <xf numFmtId="3" fontId="19" fillId="0" borderId="1" xfId="2" applyNumberFormat="1" applyFont="1" applyBorder="1" applyAlignment="1">
      <alignment horizontal="center"/>
    </xf>
    <xf numFmtId="166" fontId="18" fillId="0" borderId="1" xfId="1" applyNumberFormat="1" applyFont="1" applyBorder="1" applyAlignment="1">
      <alignment horizontal="center"/>
    </xf>
    <xf numFmtId="1" fontId="18" fillId="0" borderId="1" xfId="1" applyNumberFormat="1" applyFont="1" applyBorder="1" applyAlignment="1">
      <alignment horizontal="center"/>
    </xf>
    <xf numFmtId="166" fontId="18" fillId="0" borderId="1" xfId="2" applyNumberFormat="1" applyFont="1" applyBorder="1" applyAlignment="1">
      <alignment horizontal="center"/>
    </xf>
    <xf numFmtId="0" fontId="15" fillId="0" borderId="1" xfId="2" applyFont="1" applyBorder="1" applyAlignment="1">
      <alignment horizontal="center" wrapText="1"/>
    </xf>
    <xf numFmtId="0" fontId="16" fillId="0" borderId="0" xfId="1" applyFont="1" applyAlignment="1">
      <alignment horizontal="center" wrapText="1"/>
    </xf>
    <xf numFmtId="0" fontId="20" fillId="0" borderId="1" xfId="2" applyFont="1" applyBorder="1" applyAlignment="1">
      <alignment horizontal="center"/>
    </xf>
    <xf numFmtId="1" fontId="18" fillId="0" borderId="1" xfId="2" applyNumberFormat="1" applyFont="1" applyBorder="1" applyAlignment="1">
      <alignment horizontal="center"/>
    </xf>
    <xf numFmtId="166" fontId="17" fillId="0" borderId="1" xfId="2" applyNumberFormat="1" applyFont="1" applyBorder="1" applyAlignment="1">
      <alignment horizontal="center"/>
    </xf>
    <xf numFmtId="0" fontId="17" fillId="0" borderId="1" xfId="2" applyFont="1" applyBorder="1" applyAlignment="1">
      <alignment horizontal="left"/>
    </xf>
    <xf numFmtId="0" fontId="17" fillId="0" borderId="1" xfId="2" applyFont="1" applyBorder="1" applyAlignment="1">
      <alignment horizontal="center"/>
    </xf>
    <xf numFmtId="0" fontId="14" fillId="0" borderId="1" xfId="1" applyFont="1" applyBorder="1" applyAlignment="1">
      <alignment horizontal="center"/>
    </xf>
    <xf numFmtId="0" fontId="18" fillId="0" borderId="1" xfId="2" applyFont="1" applyBorder="1"/>
    <xf numFmtId="0" fontId="18" fillId="0" borderId="7" xfId="2" applyFont="1" applyBorder="1" applyAlignment="1">
      <alignment horizontal="left"/>
    </xf>
    <xf numFmtId="0" fontId="15" fillId="0" borderId="7" xfId="2" applyFont="1" applyBorder="1" applyAlignment="1">
      <alignment horizontal="center" wrapText="1"/>
    </xf>
    <xf numFmtId="0" fontId="18" fillId="0" borderId="7" xfId="2" applyFont="1" applyBorder="1" applyAlignment="1">
      <alignment horizontal="center"/>
    </xf>
    <xf numFmtId="0" fontId="20" fillId="0" borderId="0" xfId="1" applyFont="1"/>
    <xf numFmtId="3" fontId="18" fillId="0" borderId="1" xfId="2" applyNumberFormat="1" applyFont="1" applyBorder="1" applyAlignment="1">
      <alignment horizontal="left" wrapText="1"/>
    </xf>
    <xf numFmtId="0" fontId="20" fillId="10" borderId="1" xfId="2" applyFont="1" applyFill="1" applyBorder="1" applyAlignment="1">
      <alignment horizontal="center"/>
    </xf>
    <xf numFmtId="0" fontId="15" fillId="0" borderId="0" xfId="2" applyFont="1"/>
    <xf numFmtId="0" fontId="15" fillId="0" borderId="1" xfId="2" applyFont="1" applyBorder="1"/>
    <xf numFmtId="4" fontId="16" fillId="0" borderId="0" xfId="1" applyNumberFormat="1" applyFont="1"/>
    <xf numFmtId="0" fontId="21" fillId="0" borderId="1" xfId="2" applyFont="1" applyBorder="1" applyAlignment="1">
      <alignment horizontal="center"/>
    </xf>
    <xf numFmtId="1" fontId="17" fillId="0" borderId="1" xfId="2" applyNumberFormat="1" applyFont="1" applyBorder="1" applyAlignment="1">
      <alignment horizontal="center"/>
    </xf>
    <xf numFmtId="166" fontId="22" fillId="11" borderId="1" xfId="1" applyNumberFormat="1" applyFont="1" applyFill="1" applyBorder="1" applyAlignment="1">
      <alignment horizontal="center"/>
    </xf>
    <xf numFmtId="0" fontId="23" fillId="11" borderId="1" xfId="1" applyFont="1" applyFill="1" applyBorder="1" applyAlignment="1">
      <alignment horizontal="left"/>
    </xf>
    <xf numFmtId="0" fontId="23" fillId="11" borderId="1" xfId="1" applyFont="1" applyFill="1" applyBorder="1" applyAlignment="1">
      <alignment horizontal="center"/>
    </xf>
    <xf numFmtId="0" fontId="23" fillId="11" borderId="1" xfId="1" applyFont="1" applyFill="1" applyBorder="1"/>
    <xf numFmtId="0" fontId="22" fillId="11" borderId="1" xfId="1" applyFont="1" applyFill="1" applyBorder="1" applyAlignment="1">
      <alignment horizontal="center"/>
    </xf>
    <xf numFmtId="1" fontId="22" fillId="11" borderId="1" xfId="1" applyNumberFormat="1" applyFont="1" applyFill="1" applyBorder="1" applyAlignment="1">
      <alignment horizontal="center" vertical="center"/>
    </xf>
    <xf numFmtId="1" fontId="22" fillId="11" borderId="1" xfId="1" applyNumberFormat="1" applyFont="1" applyFill="1" applyBorder="1" applyAlignment="1">
      <alignment horizontal="center"/>
    </xf>
    <xf numFmtId="1" fontId="23" fillId="11" borderId="1" xfId="1" applyNumberFormat="1" applyFont="1" applyFill="1" applyBorder="1" applyAlignment="1">
      <alignment horizontal="center"/>
    </xf>
    <xf numFmtId="3" fontId="23" fillId="11" borderId="1" xfId="1" applyNumberFormat="1" applyFont="1" applyFill="1" applyBorder="1" applyAlignment="1">
      <alignment horizontal="left" wrapText="1"/>
    </xf>
    <xf numFmtId="0" fontId="22" fillId="11" borderId="1" xfId="2" applyFont="1" applyFill="1" applyBorder="1" applyAlignment="1">
      <alignment horizontal="center"/>
    </xf>
    <xf numFmtId="0" fontId="23" fillId="11" borderId="1" xfId="2" applyFont="1" applyFill="1" applyBorder="1" applyAlignment="1">
      <alignment horizontal="left"/>
    </xf>
    <xf numFmtId="0" fontId="23" fillId="11" borderId="1" xfId="2" applyFont="1" applyFill="1" applyBorder="1" applyAlignment="1">
      <alignment horizontal="center"/>
    </xf>
    <xf numFmtId="0" fontId="23" fillId="11" borderId="1" xfId="2" applyFont="1" applyFill="1" applyBorder="1"/>
    <xf numFmtId="0" fontId="23" fillId="11" borderId="1" xfId="2" applyFont="1" applyFill="1" applyBorder="1" applyAlignment="1">
      <alignment horizontal="left" wrapText="1"/>
    </xf>
    <xf numFmtId="0" fontId="23" fillId="11" borderId="1" xfId="2" applyFont="1" applyFill="1" applyBorder="1" applyAlignment="1">
      <alignment vertical="center" wrapText="1"/>
    </xf>
    <xf numFmtId="0" fontId="24" fillId="11" borderId="1" xfId="2" applyFont="1" applyFill="1" applyBorder="1" applyAlignment="1">
      <alignment horizontal="center"/>
    </xf>
    <xf numFmtId="0" fontId="25" fillId="11" borderId="1" xfId="2" applyFont="1" applyFill="1" applyBorder="1" applyAlignment="1">
      <alignment horizontal="left"/>
    </xf>
    <xf numFmtId="0" fontId="25" fillId="11" borderId="1" xfId="2" applyFont="1" applyFill="1" applyBorder="1" applyAlignment="1">
      <alignment horizontal="center"/>
    </xf>
    <xf numFmtId="0" fontId="25" fillId="11" borderId="1" xfId="2" applyFont="1" applyFill="1" applyBorder="1" applyAlignment="1">
      <alignment horizontal="left" wrapText="1"/>
    </xf>
    <xf numFmtId="166" fontId="24" fillId="11" borderId="1" xfId="1" applyNumberFormat="1" applyFont="1" applyFill="1" applyBorder="1" applyAlignment="1">
      <alignment horizontal="center"/>
    </xf>
    <xf numFmtId="0" fontId="25" fillId="11" borderId="1" xfId="1" applyFont="1" applyFill="1" applyBorder="1" applyAlignment="1">
      <alignment horizontal="left"/>
    </xf>
    <xf numFmtId="0" fontId="25" fillId="11" borderId="1" xfId="1" applyFont="1" applyFill="1" applyBorder="1" applyAlignment="1">
      <alignment horizontal="center"/>
    </xf>
    <xf numFmtId="0" fontId="25" fillId="11" borderId="1" xfId="1" applyFont="1" applyFill="1" applyBorder="1"/>
    <xf numFmtId="0" fontId="24" fillId="11" borderId="1" xfId="1" applyFont="1" applyFill="1" applyBorder="1" applyAlignment="1">
      <alignment horizontal="center"/>
    </xf>
    <xf numFmtId="166" fontId="24" fillId="11" borderId="0" xfId="1" applyNumberFormat="1" applyFont="1" applyFill="1" applyAlignment="1">
      <alignment horizontal="center"/>
    </xf>
    <xf numFmtId="0" fontId="25" fillId="11" borderId="0" xfId="1" applyFont="1" applyFill="1" applyAlignment="1">
      <alignment horizontal="left"/>
    </xf>
    <xf numFmtId="0" fontId="25" fillId="11" borderId="0" xfId="1" applyFont="1" applyFill="1" applyAlignment="1">
      <alignment horizontal="center"/>
    </xf>
    <xf numFmtId="0" fontId="25" fillId="11" borderId="0" xfId="1" applyFont="1" applyFill="1"/>
    <xf numFmtId="0" fontId="24" fillId="11" borderId="0" xfId="1" applyFont="1" applyFill="1" applyAlignment="1">
      <alignment horizontal="center"/>
    </xf>
    <xf numFmtId="166" fontId="23" fillId="11" borderId="1" xfId="1" applyNumberFormat="1" applyFont="1" applyFill="1" applyBorder="1" applyAlignment="1">
      <alignment horizontal="center"/>
    </xf>
    <xf numFmtId="1" fontId="23" fillId="11" borderId="5" xfId="1" applyNumberFormat="1" applyFont="1" applyFill="1" applyBorder="1" applyAlignment="1">
      <alignment horizontal="center"/>
    </xf>
    <xf numFmtId="3" fontId="23" fillId="11" borderId="5" xfId="1" applyNumberFormat="1" applyFont="1" applyFill="1" applyBorder="1" applyAlignment="1">
      <alignment horizontal="left" wrapText="1"/>
    </xf>
    <xf numFmtId="166" fontId="23" fillId="11" borderId="0" xfId="1" applyNumberFormat="1" applyFont="1" applyFill="1" applyAlignment="1">
      <alignment horizontal="center"/>
    </xf>
    <xf numFmtId="0" fontId="23" fillId="11" borderId="0" xfId="1" applyFont="1" applyFill="1" applyAlignment="1">
      <alignment horizontal="left"/>
    </xf>
    <xf numFmtId="0" fontId="23" fillId="11" borderId="1" xfId="2" applyFont="1" applyFill="1" applyBorder="1" applyAlignment="1">
      <alignment horizontal="center" wrapText="1"/>
    </xf>
    <xf numFmtId="0" fontId="22" fillId="11" borderId="8" xfId="2" applyFont="1" applyFill="1" applyBorder="1" applyAlignment="1">
      <alignment horizontal="center"/>
    </xf>
    <xf numFmtId="0" fontId="14" fillId="0" borderId="0" xfId="1" applyFont="1" applyAlignment="1">
      <alignment horizontal="center"/>
    </xf>
    <xf numFmtId="0" fontId="14" fillId="0" borderId="0" xfId="1" applyFont="1"/>
    <xf numFmtId="14" fontId="14" fillId="0" borderId="0" xfId="1" applyNumberFormat="1" applyFont="1" applyAlignment="1">
      <alignment horizontal="center"/>
    </xf>
    <xf numFmtId="4" fontId="14" fillId="0" borderId="0" xfId="1" applyNumberFormat="1" applyFont="1" applyAlignment="1">
      <alignment horizontal="center"/>
    </xf>
    <xf numFmtId="43" fontId="14" fillId="0" borderId="0" xfId="3" applyFont="1" applyBorder="1" applyAlignment="1">
      <alignment horizontal="right"/>
    </xf>
    <xf numFmtId="43" fontId="14" fillId="0" borderId="0" xfId="3" applyFont="1" applyBorder="1" applyAlignment="1">
      <alignment horizontal="center"/>
    </xf>
    <xf numFmtId="43" fontId="14" fillId="0" borderId="0" xfId="3" applyFont="1" applyBorder="1"/>
    <xf numFmtId="14" fontId="14" fillId="0" borderId="0" xfId="1" applyNumberFormat="1" applyFont="1"/>
    <xf numFmtId="166" fontId="26" fillId="11" borderId="1" xfId="2" applyNumberFormat="1" applyFont="1" applyFill="1" applyBorder="1" applyAlignment="1">
      <alignment horizontal="center"/>
    </xf>
    <xf numFmtId="0" fontId="26" fillId="11" borderId="1" xfId="2" applyFont="1" applyFill="1" applyBorder="1" applyAlignment="1">
      <alignment horizontal="left"/>
    </xf>
    <xf numFmtId="0" fontId="26" fillId="11" borderId="1" xfId="2" applyFont="1" applyFill="1" applyBorder="1" applyAlignment="1">
      <alignment horizontal="center"/>
    </xf>
    <xf numFmtId="0" fontId="26" fillId="11" borderId="1" xfId="2" applyFont="1" applyFill="1" applyBorder="1" applyAlignment="1">
      <alignment horizontal="left" wrapText="1"/>
    </xf>
    <xf numFmtId="166" fontId="23" fillId="11" borderId="1" xfId="2" applyNumberFormat="1" applyFont="1" applyFill="1" applyBorder="1" applyAlignment="1">
      <alignment horizontal="center"/>
    </xf>
    <xf numFmtId="3" fontId="23" fillId="11" borderId="1" xfId="2" applyNumberFormat="1" applyFont="1" applyFill="1" applyBorder="1" applyAlignment="1">
      <alignment horizontal="left" wrapText="1"/>
    </xf>
    <xf numFmtId="0" fontId="25" fillId="11" borderId="1" xfId="2" applyFont="1" applyFill="1" applyBorder="1"/>
    <xf numFmtId="0" fontId="27" fillId="11" borderId="1" xfId="1" applyFont="1" applyFill="1" applyBorder="1" applyAlignment="1">
      <alignment horizontal="center"/>
    </xf>
    <xf numFmtId="166" fontId="3" fillId="0" borderId="0" xfId="1" applyNumberFormat="1" applyAlignment="1">
      <alignment horizontal="center"/>
    </xf>
  </cellXfs>
  <cellStyles count="4">
    <cellStyle name="Normal" xfId="0" builtinId="0"/>
    <cellStyle name="Normal 2" xfId="2" xr:uid="{5A321658-3F53-452A-8D51-345D083BEED8}"/>
    <cellStyle name="Normal 2 2" xfId="1" xr:uid="{05F95728-0AC5-49C2-AC7A-5E97BF8FD111}"/>
    <cellStyle name="Vírgula 2" xfId="3" xr:uid="{2390C552-802F-4374-81FB-C1DD10CB4CE0}"/>
  </cellStyles>
  <dxfs count="1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39755</xdr:rowOff>
    </xdr:from>
    <xdr:to>
      <xdr:col>1</xdr:col>
      <xdr:colOff>1563</xdr:colOff>
      <xdr:row>0</xdr:row>
      <xdr:rowOff>575162</xdr:rowOff>
    </xdr:to>
    <xdr:sp macro="[0]!Copiar_Da_Planilha_Externa_Pdde_Basic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34CB778-BAEB-4CA1-9959-F942FA1CF28F}"/>
            </a:ext>
          </a:extLst>
        </xdr:cNvPr>
        <xdr:cNvSpPr/>
      </xdr:nvSpPr>
      <xdr:spPr>
        <a:xfrm>
          <a:off x="0" y="39755"/>
          <a:ext cx="2030388" cy="535407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tx1"/>
              </a:solidFill>
            </a:rPr>
            <a:t>Importar</a:t>
          </a:r>
          <a:r>
            <a:rPr lang="pt-BR" sz="1800" baseline="0">
              <a:ln>
                <a:noFill/>
              </a:ln>
              <a:solidFill>
                <a:schemeClr val="tx1"/>
              </a:solidFill>
            </a:rPr>
            <a:t> Dados</a:t>
          </a:r>
          <a:endParaRPr lang="pt-BR" sz="1800">
            <a:ln>
              <a:noFill/>
            </a:ln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617117</xdr:rowOff>
    </xdr:from>
    <xdr:to>
      <xdr:col>1</xdr:col>
      <xdr:colOff>0</xdr:colOff>
      <xdr:row>0</xdr:row>
      <xdr:rowOff>1152524</xdr:rowOff>
    </xdr:to>
    <xdr:sp macro="[0]!TratarDadosPddeBas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1317420-84CD-4C59-B0BF-074B87549099}"/>
            </a:ext>
          </a:extLst>
        </xdr:cNvPr>
        <xdr:cNvSpPr/>
      </xdr:nvSpPr>
      <xdr:spPr>
        <a:xfrm>
          <a:off x="0" y="617117"/>
          <a:ext cx="2038350" cy="535407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</a:rPr>
            <a:t>Tratar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674914</xdr:colOff>
      <xdr:row>0</xdr:row>
      <xdr:rowOff>108857</xdr:rowOff>
    </xdr:from>
    <xdr:to>
      <xdr:col>0</xdr:col>
      <xdr:colOff>2017592</xdr:colOff>
      <xdr:row>0</xdr:row>
      <xdr:rowOff>431241</xdr:rowOff>
    </xdr:to>
    <xdr:sp macro="[0]!Copiar_Da_Planilha_ExternaQualidad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A1CA70D-B8E2-407B-ACD1-4A092C25C4E7}"/>
            </a:ext>
          </a:extLst>
        </xdr:cNvPr>
        <xdr:cNvSpPr/>
      </xdr:nvSpPr>
      <xdr:spPr>
        <a:xfrm>
          <a:off x="674914" y="108857"/>
          <a:ext cx="1336430" cy="32238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n>
                <a:noFill/>
              </a:ln>
            </a:rPr>
            <a:t>Importar</a:t>
          </a:r>
          <a:r>
            <a:rPr lang="pt-BR" sz="1100" baseline="0">
              <a:ln>
                <a:noFill/>
              </a:ln>
            </a:rPr>
            <a:t> Dados</a:t>
          </a:r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0</xdr:col>
      <xdr:colOff>2553338</xdr:colOff>
      <xdr:row>0</xdr:row>
      <xdr:rowOff>114719</xdr:rowOff>
    </xdr:from>
    <xdr:to>
      <xdr:col>0</xdr:col>
      <xdr:colOff>3886321</xdr:colOff>
      <xdr:row>0</xdr:row>
      <xdr:rowOff>437103</xdr:rowOff>
    </xdr:to>
    <xdr:sp macro="[0]!TratarDados_Qualidad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CB60C2-8D83-476C-907A-EEA936DF2F00}"/>
            </a:ext>
          </a:extLst>
        </xdr:cNvPr>
        <xdr:cNvSpPr/>
      </xdr:nvSpPr>
      <xdr:spPr>
        <a:xfrm>
          <a:off x="2547090" y="114719"/>
          <a:ext cx="1337337" cy="322384"/>
        </a:xfrm>
        <a:prstGeom prst="roundRect">
          <a:avLst/>
        </a:prstGeom>
        <a:solidFill>
          <a:srgbClr val="FFC00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n>
                <a:noFill/>
              </a:ln>
              <a:solidFill>
                <a:schemeClr val="tx1"/>
              </a:solidFill>
            </a:rPr>
            <a:t>Tratar Dados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55685</xdr:colOff>
      <xdr:row>0</xdr:row>
      <xdr:rowOff>47521</xdr:rowOff>
    </xdr:from>
    <xdr:to>
      <xdr:col>1</xdr:col>
      <xdr:colOff>1442358</xdr:colOff>
      <xdr:row>0</xdr:row>
      <xdr:rowOff>503465</xdr:rowOff>
    </xdr:to>
    <xdr:sp macro="[0]!Copiar_Da_Planilha_Externa_EQUIDAD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5A0EDE8-B193-427B-A8CF-BAA127536037}"/>
            </a:ext>
          </a:extLst>
        </xdr:cNvPr>
        <xdr:cNvSpPr/>
      </xdr:nvSpPr>
      <xdr:spPr>
        <a:xfrm>
          <a:off x="55685" y="47521"/>
          <a:ext cx="1998994" cy="4559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n>
                <a:noFill/>
              </a:ln>
            </a:rPr>
            <a:t>Importar</a:t>
          </a:r>
          <a:r>
            <a:rPr lang="pt-BR" sz="1600" baseline="0">
              <a:ln>
                <a:noFill/>
              </a:ln>
            </a:rPr>
            <a:t> Dados</a:t>
          </a:r>
          <a:endParaRPr lang="pt-BR" sz="1600">
            <a:ln>
              <a:noFill/>
            </a:ln>
          </a:endParaRPr>
        </a:p>
      </xdr:txBody>
    </xdr:sp>
    <xdr:clientData/>
  </xdr:twoCellAnchor>
  <xdr:twoCellAnchor editAs="absolute">
    <xdr:from>
      <xdr:col>0</xdr:col>
      <xdr:colOff>145326</xdr:colOff>
      <xdr:row>0</xdr:row>
      <xdr:rowOff>747347</xdr:rowOff>
    </xdr:from>
    <xdr:to>
      <xdr:col>1</xdr:col>
      <xdr:colOff>1374322</xdr:colOff>
      <xdr:row>0</xdr:row>
      <xdr:rowOff>1265464</xdr:rowOff>
    </xdr:to>
    <xdr:sp macro="[0]!TratarDadosEQUIDAD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5276D-4B1A-43C7-B0AC-F7D066C377E1}"/>
            </a:ext>
          </a:extLst>
        </xdr:cNvPr>
        <xdr:cNvSpPr/>
      </xdr:nvSpPr>
      <xdr:spPr>
        <a:xfrm>
          <a:off x="145326" y="747347"/>
          <a:ext cx="1841317" cy="51811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>
              <a:ln>
                <a:noFill/>
              </a:ln>
            </a:rPr>
            <a:t>Tratar Dados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dos-Nte-CodSec-Escol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SE%20DE%20INFORMACAO%20COMPLE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G\CE\CDF\REPASSE%20DE%20RECURSOS%202025\10%20-%20ALISSON\RECEITAS\CONTEDU\PDDE\PDDE%20EDUCA&#199;&#195;O%20B&#193;SICA\RELAT&#211;RIO%20DE%20RECEITAS%20LAN&#199;ADAS%20NO%20CONTEDU%20NO%20EXERC&#205;CIO%202025_%2012-01-20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G\CE\CDF\REPASSE%20DE%20RECURSOS%202026\CONTEDU%202026\PRESTA&#199;&#195;O%20DE%20CONTAS%20CONTEDU\prestacoes%20manut%2010.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atualizada aptas e desativ"/>
    </sheetNames>
    <sheetDataSet>
      <sheetData sheetId="0">
        <row r="4">
          <cell r="A4" t="str">
            <v>01</v>
          </cell>
          <cell r="C4">
            <v>1125747</v>
          </cell>
          <cell r="E4">
            <v>29057809</v>
          </cell>
          <cell r="F4" t="str">
            <v>COLEGIO ESTADUAL SAO SEBASTIAO</v>
          </cell>
        </row>
        <row r="5">
          <cell r="A5" t="str">
            <v>01</v>
          </cell>
          <cell r="C5">
            <v>1179795</v>
          </cell>
          <cell r="E5">
            <v>29488974</v>
          </cell>
          <cell r="F5" t="str">
            <v>COLEGIO ESTADUAL DE TEMPO INTEGRAL PROFESSORA NANCY DA ROCHA CARDOSO</v>
          </cell>
        </row>
        <row r="6">
          <cell r="A6" t="str">
            <v>01</v>
          </cell>
          <cell r="C6">
            <v>1125925</v>
          </cell>
          <cell r="E6">
            <v>29058244</v>
          </cell>
          <cell r="F6" t="str">
            <v>COLEGIO ESTADUAL DE TEMPO INTEGRAL EDIVALDO MACHADO BOAVENTURA</v>
          </cell>
        </row>
        <row r="7">
          <cell r="A7" t="str">
            <v>01</v>
          </cell>
          <cell r="C7">
            <v>1126212</v>
          </cell>
          <cell r="E7">
            <v>29059380</v>
          </cell>
          <cell r="F7" t="str">
            <v>COLEGIO ESTADUAL DE TEMPO INTEGRAL NECY NOVAIS</v>
          </cell>
        </row>
        <row r="8">
          <cell r="A8" t="str">
            <v>01</v>
          </cell>
          <cell r="C8">
            <v>1126247</v>
          </cell>
          <cell r="E8">
            <v>29060001</v>
          </cell>
          <cell r="F8" t="str">
            <v>COLEGIO ESTADUAL DE TEMPO INTEGRAL IMACULADA CONCEICAO</v>
          </cell>
        </row>
        <row r="9">
          <cell r="A9" t="str">
            <v>01</v>
          </cell>
          <cell r="C9">
            <v>1137583</v>
          </cell>
          <cell r="E9">
            <v>29060206</v>
          </cell>
          <cell r="F9" t="str">
            <v>COLEGIO ESTADUAL DO CAMPO MAXIMINO MARTINS</v>
          </cell>
        </row>
        <row r="10">
          <cell r="A10" t="str">
            <v>01</v>
          </cell>
          <cell r="C10">
            <v>1163100</v>
          </cell>
          <cell r="E10">
            <v>29060214</v>
          </cell>
          <cell r="F10" t="str">
            <v>COLEGIO ESTADUAL JOSE RIBEIRO DE ARAUJO</v>
          </cell>
        </row>
        <row r="11">
          <cell r="A11" t="str">
            <v>01</v>
          </cell>
          <cell r="C11">
            <v>1163088</v>
          </cell>
          <cell r="E11">
            <v>29061016</v>
          </cell>
          <cell r="F11" t="str">
            <v>COLEGIO ESTADUAL DE TEMPO INTEGRAL JOSE DE SOUZA MACHADO</v>
          </cell>
        </row>
        <row r="12">
          <cell r="A12" t="str">
            <v>01</v>
          </cell>
          <cell r="C12">
            <v>1125887</v>
          </cell>
          <cell r="E12">
            <v>29061628</v>
          </cell>
          <cell r="F12" t="str">
            <v>COLEGIO ESTADUAL MARIA QUITERIA</v>
          </cell>
        </row>
        <row r="13">
          <cell r="A13" t="str">
            <v>01</v>
          </cell>
          <cell r="C13">
            <v>1126050</v>
          </cell>
          <cell r="E13">
            <v>29062519</v>
          </cell>
          <cell r="F13" t="str">
            <v>COLEGIO ESTADUAL DE TEMPO INTEGRAL DO CAMPO DE MIROROS</v>
          </cell>
        </row>
        <row r="14">
          <cell r="A14" t="str">
            <v>01</v>
          </cell>
          <cell r="C14">
            <v>1125968</v>
          </cell>
          <cell r="E14">
            <v>29062250</v>
          </cell>
          <cell r="F14" t="str">
            <v>COLEGIO EST DE TEMPO INTEGRAL PROFESSORA CELIA OLIVEIRA LEITE</v>
          </cell>
        </row>
        <row r="15">
          <cell r="A15" t="str">
            <v>01</v>
          </cell>
          <cell r="C15">
            <v>1162774</v>
          </cell>
          <cell r="E15">
            <v>29062632</v>
          </cell>
          <cell r="F15" t="str">
            <v>COLEGIO ESTADUAL DO CAMPO DE IBITITA</v>
          </cell>
        </row>
        <row r="16">
          <cell r="A16" t="str">
            <v>01</v>
          </cell>
          <cell r="C16">
            <v>1127260</v>
          </cell>
          <cell r="E16">
            <v>29207843</v>
          </cell>
          <cell r="F16" t="str">
            <v>COLEGIO ESTADUAL DE TEMPO INTEGRAL CASTRO ALVES</v>
          </cell>
        </row>
        <row r="17">
          <cell r="A17" t="str">
            <v>01</v>
          </cell>
          <cell r="C17">
            <v>1179658</v>
          </cell>
          <cell r="E17">
            <v>29474310</v>
          </cell>
          <cell r="F17" t="str">
            <v>CENTRO JUVENIL DE CIENCIA E CULTURA - CJCC IRECE</v>
          </cell>
        </row>
        <row r="18">
          <cell r="A18" t="str">
            <v>01</v>
          </cell>
          <cell r="C18">
            <v>1126611</v>
          </cell>
          <cell r="E18">
            <v>29064147</v>
          </cell>
          <cell r="F18" t="str">
            <v>COLEGIO ESTADUAL DE TEMPO INTEGRAL PROFESSORA DARIA DOURADO LOPES</v>
          </cell>
        </row>
        <row r="19">
          <cell r="A19" t="str">
            <v>01</v>
          </cell>
          <cell r="C19">
            <v>1126590</v>
          </cell>
          <cell r="E19">
            <v>29064120</v>
          </cell>
          <cell r="F19" t="str">
            <v>CENTRO TERRITORIAL DE EDUCACAO PROFISSIONAL DE IRECE</v>
          </cell>
        </row>
        <row r="20">
          <cell r="A20" t="str">
            <v>01</v>
          </cell>
          <cell r="C20">
            <v>1179281</v>
          </cell>
          <cell r="E20">
            <v>29459141</v>
          </cell>
          <cell r="F20" t="str">
            <v>CENT.REG.DE ENS.MEDIO COM INTERMEDIACAO TEC.-CEMIT DE IRECE</v>
          </cell>
        </row>
        <row r="21">
          <cell r="A21" t="str">
            <v>01</v>
          </cell>
          <cell r="C21">
            <v>1176431</v>
          </cell>
          <cell r="E21">
            <v>29403230</v>
          </cell>
          <cell r="F21" t="str">
            <v>COLEGIO ESTADUAL DE TEMPO INTEGRAL PROF JORGE RODRIGUES DOS SANTOS</v>
          </cell>
        </row>
        <row r="22">
          <cell r="A22" t="str">
            <v>01</v>
          </cell>
          <cell r="C22">
            <v>1178258</v>
          </cell>
          <cell r="E22">
            <v>29447755</v>
          </cell>
          <cell r="F22" t="str">
            <v>COLEGIO ESTADUAL DO CAMPO FRANCISCO CASTRO LARANJEIRA</v>
          </cell>
        </row>
        <row r="23">
          <cell r="A23" t="str">
            <v>01</v>
          </cell>
          <cell r="C23">
            <v>1162502</v>
          </cell>
          <cell r="E23">
            <v>29064392</v>
          </cell>
          <cell r="F23" t="str">
            <v>COLEGIO ESTADUAL DE TEMPO INTEGRAL IDALINA DA SILVA DOURADO</v>
          </cell>
        </row>
        <row r="24">
          <cell r="A24" t="str">
            <v>01</v>
          </cell>
          <cell r="C24">
            <v>1178040</v>
          </cell>
          <cell r="E24">
            <v>29428726</v>
          </cell>
          <cell r="F24" t="str">
            <v>COLEGIO EST DE TEMPO INTEGRAL PROFESSOR ETEVALDO MARTINIANO DA ROCHA</v>
          </cell>
        </row>
        <row r="25">
          <cell r="A25" t="str">
            <v>01</v>
          </cell>
          <cell r="C25">
            <v>1162480</v>
          </cell>
          <cell r="E25">
            <v>29065356</v>
          </cell>
          <cell r="F25" t="str">
            <v>COLEGIO ESTADUAL DE TEMPO INTEGRAL JUSTINIANO DE CASTRO DOURADO</v>
          </cell>
        </row>
        <row r="26">
          <cell r="A26" t="str">
            <v>01</v>
          </cell>
          <cell r="C26">
            <v>1178257</v>
          </cell>
          <cell r="E26">
            <v>29536200</v>
          </cell>
          <cell r="F26" t="str">
            <v>COLEGIO ESTADUAL DO CAMPO DE AGUADA NOVA</v>
          </cell>
        </row>
        <row r="27">
          <cell r="A27" t="str">
            <v>01</v>
          </cell>
          <cell r="C27">
            <v>1178146</v>
          </cell>
          <cell r="E27">
            <v>29445400</v>
          </cell>
          <cell r="F27" t="str">
            <v>COLEGIO ESTADUAL DE TEMPO INTEGRAL DE MULUNGU DO MORRO</v>
          </cell>
        </row>
        <row r="28">
          <cell r="A28" t="str">
            <v>01</v>
          </cell>
          <cell r="C28">
            <v>1127154</v>
          </cell>
          <cell r="E28">
            <v>29066395</v>
          </cell>
          <cell r="F28" t="str">
            <v>COLEGIO ESTADUAL DE TEMPO INTEGRAL LEILA JANAINA BRITO GONCALVES</v>
          </cell>
        </row>
        <row r="29">
          <cell r="A29" t="str">
            <v>01</v>
          </cell>
          <cell r="C29">
            <v>1162618</v>
          </cell>
          <cell r="E29">
            <v>29067332</v>
          </cell>
          <cell r="F29" t="str">
            <v>COLEGIO ESTADUAL DE TEMPO INTEGRAL PROFESSORA ROSALIA PEREIRA DA ROCHA</v>
          </cell>
        </row>
        <row r="30">
          <cell r="A30" t="str">
            <v>01</v>
          </cell>
          <cell r="C30">
            <v>1179655</v>
          </cell>
          <cell r="E30">
            <v>29473365</v>
          </cell>
          <cell r="F30" t="str">
            <v>COLEGIO ESTADUAL ALMERINDA ALMEIDA</v>
          </cell>
        </row>
        <row r="31">
          <cell r="A31" t="str">
            <v>01</v>
          </cell>
          <cell r="C31">
            <v>1178038</v>
          </cell>
          <cell r="E31">
            <v>29425328</v>
          </cell>
          <cell r="F31" t="str">
            <v>COLEGIO ESTADUAL MANOEL LEVI</v>
          </cell>
        </row>
        <row r="32">
          <cell r="A32" t="str">
            <v>01</v>
          </cell>
          <cell r="C32">
            <v>1176432</v>
          </cell>
          <cell r="E32">
            <v>29395321</v>
          </cell>
          <cell r="F32" t="str">
            <v>COLEGIO ESTADUAL PROFESSORA GILDETE DE SOUZA VIANA</v>
          </cell>
        </row>
        <row r="33">
          <cell r="A33" t="str">
            <v>01</v>
          </cell>
          <cell r="C33">
            <v>1126808</v>
          </cell>
          <cell r="E33">
            <v>29041333</v>
          </cell>
          <cell r="F33" t="str">
            <v>CENTRO EST DE EDUCACAO PROFI EM RECURSOS NATURAIS DO CENTRO BAIANO</v>
          </cell>
        </row>
        <row r="34">
          <cell r="A34" t="str">
            <v>02</v>
          </cell>
          <cell r="C34">
            <v>1178324</v>
          </cell>
          <cell r="E34">
            <v>29863724</v>
          </cell>
          <cell r="F34" t="str">
            <v>CENTRO ESTADUAL DE EDUCACAO PROFISSIONAL AGUAS</v>
          </cell>
        </row>
        <row r="35">
          <cell r="A35" t="str">
            <v>02</v>
          </cell>
          <cell r="C35">
            <v>1127502</v>
          </cell>
          <cell r="E35">
            <v>29036143</v>
          </cell>
          <cell r="F35" t="str">
            <v>COLEGIO ESTADUAL DE TEMPO INTEGRAL DE BARRA</v>
          </cell>
        </row>
        <row r="36">
          <cell r="A36" t="str">
            <v>02</v>
          </cell>
          <cell r="C36">
            <v>1179431</v>
          </cell>
          <cell r="E36">
            <v>29464374</v>
          </cell>
          <cell r="F36" t="str">
            <v>CENT REG DE ENS MEDIO COM INTERMEDIACAO TEC-CEMIT VELHO CHICO-BARRA</v>
          </cell>
        </row>
        <row r="37">
          <cell r="A37" t="str">
            <v>02</v>
          </cell>
          <cell r="C37">
            <v>1179282</v>
          </cell>
          <cell r="E37">
            <v>29461499</v>
          </cell>
          <cell r="F37" t="str">
            <v>CENT.REG.DE ENS.MEDIO COM INTERMEDIACAO TEC.- CEMIT DO VELHO CHICO</v>
          </cell>
        </row>
        <row r="38">
          <cell r="A38" t="str">
            <v>02</v>
          </cell>
          <cell r="C38">
            <v>1178018</v>
          </cell>
          <cell r="E38">
            <v>29427940</v>
          </cell>
          <cell r="F38" t="str">
            <v>COLEGIO ESTADUAL DO CAMPO PROJETO FORMOSO</v>
          </cell>
        </row>
        <row r="39">
          <cell r="A39" t="str">
            <v>02</v>
          </cell>
          <cell r="C39">
            <v>1131720</v>
          </cell>
          <cell r="E39">
            <v>29043085</v>
          </cell>
          <cell r="F39" t="str">
            <v>COLEGIO ESTADUAL MONSENHOR TURIBIO VILANOVA</v>
          </cell>
        </row>
        <row r="40">
          <cell r="A40" t="str">
            <v>02</v>
          </cell>
          <cell r="C40">
            <v>1179704</v>
          </cell>
          <cell r="E40">
            <v>29481325</v>
          </cell>
          <cell r="F40" t="str">
            <v>COLEGIO DA POLICIA MILITAR - CPM BOM JESUS DA LAPA</v>
          </cell>
        </row>
        <row r="41">
          <cell r="A41" t="str">
            <v>02</v>
          </cell>
          <cell r="C41">
            <v>1179668</v>
          </cell>
          <cell r="E41">
            <v>29474892</v>
          </cell>
          <cell r="F41" t="str">
            <v>COLEGIO ESTADUAL EVERTON OLIVEIRA DE SANTANA</v>
          </cell>
        </row>
        <row r="42">
          <cell r="A42" t="str">
            <v>02</v>
          </cell>
          <cell r="C42">
            <v>1176437</v>
          </cell>
          <cell r="E42">
            <v>29385334</v>
          </cell>
          <cell r="F42" t="str">
            <v>COLEGIO ESTADUAL SAO VICENTE DE PAULO</v>
          </cell>
        </row>
        <row r="43">
          <cell r="A43" t="str">
            <v>02</v>
          </cell>
          <cell r="C43">
            <v>1127456</v>
          </cell>
          <cell r="E43">
            <v>29205000</v>
          </cell>
          <cell r="F43" t="str">
            <v>COLEGIO ESTADUAL PAPA JOAO PAULO I</v>
          </cell>
        </row>
        <row r="44">
          <cell r="A44" t="str">
            <v>02</v>
          </cell>
          <cell r="C44">
            <v>1179813</v>
          </cell>
          <cell r="E44">
            <v>29489466</v>
          </cell>
          <cell r="F44" t="str">
            <v>COLEGIO ESTADUAL DO CAMPO RITA DE OLIVEIRA BARAUNA</v>
          </cell>
        </row>
        <row r="45">
          <cell r="A45" t="str">
            <v>02</v>
          </cell>
          <cell r="C45">
            <v>1128762</v>
          </cell>
          <cell r="E45">
            <v>29044570</v>
          </cell>
          <cell r="F45" t="str">
            <v>COLEGIO ESTADUAL DE TEMPO INTEGRAL VELHO CHICO</v>
          </cell>
        </row>
        <row r="46">
          <cell r="A46" t="str">
            <v>02</v>
          </cell>
          <cell r="C46">
            <v>1178280</v>
          </cell>
          <cell r="E46">
            <v>29455405</v>
          </cell>
          <cell r="F46" t="str">
            <v>COLEGIO ESTADUAL FILOMENA PEREIRA RODRIGUES</v>
          </cell>
        </row>
        <row r="47">
          <cell r="A47" t="str">
            <v>02</v>
          </cell>
          <cell r="C47">
            <v>1178432</v>
          </cell>
          <cell r="E47">
            <v>29345936</v>
          </cell>
          <cell r="F47" t="str">
            <v>COLEGIO ESTADUAL INDIGENA MARECHAL RONDON</v>
          </cell>
        </row>
        <row r="48">
          <cell r="A48" t="str">
            <v>02</v>
          </cell>
          <cell r="C48">
            <v>1127324</v>
          </cell>
          <cell r="E48">
            <v>29038820</v>
          </cell>
          <cell r="F48" t="str">
            <v>COLEGIO ESTADUAL DE TEMPO INTEGRAL PROFª ODONTINA LARANJEIRA DE SOUZA</v>
          </cell>
        </row>
        <row r="49">
          <cell r="A49" t="str">
            <v>02</v>
          </cell>
          <cell r="C49">
            <v>1176434</v>
          </cell>
          <cell r="E49">
            <v>29391512</v>
          </cell>
          <cell r="F49" t="str">
            <v>CENTRO TERRITORIAL DE EDUCACAO PROFISSIONAL DO VELHO CHICO</v>
          </cell>
        </row>
        <row r="50">
          <cell r="A50" t="str">
            <v>02</v>
          </cell>
          <cell r="C50">
            <v>1131402</v>
          </cell>
          <cell r="E50">
            <v>29245893</v>
          </cell>
          <cell r="F50" t="str">
            <v>COLEGIO ESTADUAL DE TEMPO INTEGRAL DE IGAPORA</v>
          </cell>
        </row>
        <row r="51">
          <cell r="A51" t="str">
            <v>02</v>
          </cell>
          <cell r="C51">
            <v>1178150</v>
          </cell>
          <cell r="E51">
            <v>29437911</v>
          </cell>
          <cell r="F51" t="str">
            <v>COLEGIO ESTADUAL ROSALVO OLIVEIRA SOUZA</v>
          </cell>
        </row>
        <row r="52">
          <cell r="A52" t="str">
            <v>02</v>
          </cell>
          <cell r="C52">
            <v>1178100</v>
          </cell>
          <cell r="E52">
            <v>29431670</v>
          </cell>
          <cell r="F52" t="str">
            <v>COLEGIO ESTADUAL DE TEMPO INTEGRAL GRANDES MESTRES BRASILEIROS</v>
          </cell>
        </row>
        <row r="53">
          <cell r="A53" t="str">
            <v>02</v>
          </cell>
          <cell r="C53">
            <v>1178021</v>
          </cell>
          <cell r="E53">
            <v>29430259</v>
          </cell>
          <cell r="F53" t="str">
            <v>COLEGIO ESTADUAL DE TEMPO INTEGRAL NEMISIA RIBEIRO DOS SANTOS</v>
          </cell>
        </row>
        <row r="54">
          <cell r="A54" t="str">
            <v>02</v>
          </cell>
          <cell r="C54">
            <v>1179304</v>
          </cell>
          <cell r="E54">
            <v>29460794</v>
          </cell>
          <cell r="F54" t="str">
            <v>COLEGIO ESTADUAL INDIGENA PAJE ROQUE MOISES DA SILVA</v>
          </cell>
        </row>
        <row r="55">
          <cell r="A55" t="str">
            <v>02</v>
          </cell>
          <cell r="C55">
            <v>1178407</v>
          </cell>
          <cell r="E55">
            <v>29397758</v>
          </cell>
          <cell r="F55" t="str">
            <v>COLEGIO ESTADUAL DO CAMPO SIDNEY MASCARENHAS</v>
          </cell>
        </row>
        <row r="56">
          <cell r="A56" t="str">
            <v>02</v>
          </cell>
          <cell r="C56">
            <v>1176177</v>
          </cell>
          <cell r="E56">
            <v>29332400</v>
          </cell>
          <cell r="F56" t="str">
            <v>COLEGIO ESTADUAL SUZANA DE ARAUJO BOMFIM</v>
          </cell>
        </row>
        <row r="57">
          <cell r="A57" t="str">
            <v>02</v>
          </cell>
          <cell r="C57">
            <v>1127855</v>
          </cell>
          <cell r="E57">
            <v>29210399</v>
          </cell>
          <cell r="F57" t="str">
            <v>COLEGIO ESTADUAL DE TEMPO INTEGRAL TIRADENTES</v>
          </cell>
        </row>
        <row r="58">
          <cell r="A58" t="str">
            <v>02</v>
          </cell>
          <cell r="C58">
            <v>1178009</v>
          </cell>
          <cell r="E58">
            <v>29425395</v>
          </cell>
          <cell r="F58" t="str">
            <v>COLEGIO ESTADUAL DE TEMPO INTEGRAL EVANDRO BRANDAO</v>
          </cell>
        </row>
        <row r="59">
          <cell r="A59" t="str">
            <v>02</v>
          </cell>
          <cell r="C59">
            <v>1164742</v>
          </cell>
          <cell r="E59">
            <v>29252555</v>
          </cell>
          <cell r="F59" t="str">
            <v>COLEGIO ESTADUAL DE TEMPO INTEGRAL SINESIO COSTA</v>
          </cell>
        </row>
        <row r="60">
          <cell r="A60" t="str">
            <v>02</v>
          </cell>
          <cell r="C60">
            <v>1178023</v>
          </cell>
          <cell r="E60">
            <v>29430534</v>
          </cell>
          <cell r="F60" t="str">
            <v>COLEGIO ESTADUAL ANISIO HONORATO GODOY</v>
          </cell>
        </row>
        <row r="61">
          <cell r="A61" t="str">
            <v>02</v>
          </cell>
          <cell r="C61">
            <v>1179772</v>
          </cell>
          <cell r="E61">
            <v>29487110</v>
          </cell>
          <cell r="F61" t="str">
            <v>COLEGIO ESTADUAL DE TEMPO INTEGRAL CLEONICE OLEGARIO DOS SANTOS</v>
          </cell>
        </row>
        <row r="62">
          <cell r="A62" t="str">
            <v>02</v>
          </cell>
          <cell r="C62">
            <v>1176059</v>
          </cell>
          <cell r="E62">
            <v>29047455</v>
          </cell>
          <cell r="F62" t="str">
            <v>COLEGIO ESTADUAL DO CAMPO DE TEMPO INTEGRAL THOMAZ LEITE</v>
          </cell>
        </row>
        <row r="63">
          <cell r="A63" t="str">
            <v>02</v>
          </cell>
          <cell r="C63">
            <v>1164890</v>
          </cell>
          <cell r="E63">
            <v>29047250</v>
          </cell>
          <cell r="F63" t="str">
            <v>COLEGIO ESTADUAL DE TEMPO INTEGRAL NOSSA SENHORA DO ROSARIO</v>
          </cell>
        </row>
        <row r="64">
          <cell r="A64" t="str">
            <v>03</v>
          </cell>
          <cell r="C64">
            <v>1168110</v>
          </cell>
          <cell r="E64">
            <v>29211590</v>
          </cell>
          <cell r="F64" t="str">
            <v>COLEGIO ESTADUAL DOUTOR FRANCISCO ROCHA FILHO</v>
          </cell>
        </row>
        <row r="65">
          <cell r="A65" t="str">
            <v>03</v>
          </cell>
          <cell r="C65">
            <v>1178017</v>
          </cell>
          <cell r="E65">
            <v>29425166</v>
          </cell>
          <cell r="F65" t="str">
            <v>COLEGIO ESTADUAL DE TEMPO INTEGRAL EDGAR SILVA</v>
          </cell>
        </row>
        <row r="66">
          <cell r="A66" t="str">
            <v>03</v>
          </cell>
          <cell r="C66">
            <v>1179291</v>
          </cell>
          <cell r="E66">
            <v>29459621</v>
          </cell>
          <cell r="F66" t="str">
            <v>COLEGIO ESTADUAL PROFESSORA CARMENILZA DE ARAUJO LIMA DE MATOS</v>
          </cell>
        </row>
        <row r="67">
          <cell r="A67" t="str">
            <v>03</v>
          </cell>
          <cell r="C67">
            <v>1176466</v>
          </cell>
          <cell r="E67">
            <v>29385253</v>
          </cell>
          <cell r="F67" t="str">
            <v>COLEGIO ESTADUAL DE TEMPO INTEGRAL PROFESSORA ANA LUCIA AGUIAR VIANA</v>
          </cell>
        </row>
        <row r="68">
          <cell r="A68" t="str">
            <v>03</v>
          </cell>
          <cell r="C68">
            <v>1133014</v>
          </cell>
          <cell r="E68">
            <v>29214211</v>
          </cell>
          <cell r="F68" t="str">
            <v>COLEGIO ESTADUAL DE TEMPO INTEGRAL RUI BARBOSA</v>
          </cell>
        </row>
        <row r="69">
          <cell r="A69" t="str">
            <v>03</v>
          </cell>
          <cell r="C69">
            <v>1178103</v>
          </cell>
          <cell r="E69">
            <v>29221935</v>
          </cell>
          <cell r="F69" t="str">
            <v>COLEGIO ESTADUAL DE TEMPO INTEGRAL DE BONITO</v>
          </cell>
        </row>
        <row r="70">
          <cell r="A70" t="str">
            <v>03</v>
          </cell>
          <cell r="C70">
            <v>1178403</v>
          </cell>
          <cell r="E70">
            <v>29397740</v>
          </cell>
          <cell r="F70" t="str">
            <v>COLEGIO ESTADUAL DO CAMPO DE TEMPO INTEGRAL DE CASCAVEL</v>
          </cell>
        </row>
        <row r="71">
          <cell r="A71" t="str">
            <v>03</v>
          </cell>
          <cell r="C71">
            <v>1168411</v>
          </cell>
          <cell r="E71">
            <v>29214939</v>
          </cell>
          <cell r="F71" t="str">
            <v>COLEGIO ESTADUAL DE TEMPO INTEGRAL DE IBICOARA</v>
          </cell>
        </row>
        <row r="72">
          <cell r="A72" t="str">
            <v>03</v>
          </cell>
          <cell r="C72">
            <v>1132166</v>
          </cell>
          <cell r="E72">
            <v>29206936</v>
          </cell>
          <cell r="F72" t="str">
            <v>COLEGIO ESTADUAL DO CAMPO DE LAGOA DO DIONISIO</v>
          </cell>
        </row>
        <row r="73">
          <cell r="A73" t="str">
            <v>03</v>
          </cell>
          <cell r="C73">
            <v>1133090</v>
          </cell>
          <cell r="E73">
            <v>29207770</v>
          </cell>
          <cell r="F73" t="str">
            <v>COLEGIO ESTADUAL DE TEMPO INTEGRAL EVILASIO SANTANA GAMA</v>
          </cell>
        </row>
        <row r="74">
          <cell r="A74" t="str">
            <v>03</v>
          </cell>
          <cell r="C74">
            <v>1124368</v>
          </cell>
          <cell r="E74">
            <v>29225060</v>
          </cell>
          <cell r="F74" t="str">
            <v>COLEGIO ESTADUAL DE TEMPO INTEGRAL ANTONIO FERNANDO SOUZA RAMOS</v>
          </cell>
        </row>
        <row r="75">
          <cell r="A75" t="str">
            <v>03</v>
          </cell>
          <cell r="C75">
            <v>1133278</v>
          </cell>
          <cell r="E75">
            <v>29063299</v>
          </cell>
          <cell r="F75" t="str">
            <v>COLEGIO ESTADUAL DE TEMPO INTEGRAL DE IRAQUARA</v>
          </cell>
        </row>
        <row r="76">
          <cell r="A76" t="str">
            <v>03</v>
          </cell>
          <cell r="C76">
            <v>1179607</v>
          </cell>
          <cell r="E76">
            <v>29470552</v>
          </cell>
          <cell r="F76" t="str">
            <v>COLEGIO ESTADUAL DO CAMPO PROFESSORA MARIA MENEZES RIBEIRO</v>
          </cell>
        </row>
        <row r="77">
          <cell r="A77" t="str">
            <v>03</v>
          </cell>
          <cell r="C77">
            <v>1170360</v>
          </cell>
          <cell r="E77">
            <v>29215382</v>
          </cell>
          <cell r="F77" t="str">
            <v>COLEGIO ESTADUAL DE TEMPO INTEGRAL JOSE AMERICO ARAUJO</v>
          </cell>
        </row>
        <row r="78">
          <cell r="A78" t="str">
            <v>03</v>
          </cell>
          <cell r="C78">
            <v>1124481</v>
          </cell>
          <cell r="E78">
            <v>29216206</v>
          </cell>
          <cell r="F78" t="str">
            <v>COLEGIO ESTADUAL HORACIO DE MATOS</v>
          </cell>
        </row>
        <row r="79">
          <cell r="A79">
            <v>3</v>
          </cell>
          <cell r="C79">
            <v>1124511</v>
          </cell>
          <cell r="E79">
            <v>29216265</v>
          </cell>
          <cell r="F79" t="str">
            <v>COLEGIO ESTADUAL DO CAMPO RODOLFO DE ABREU</v>
          </cell>
        </row>
        <row r="80">
          <cell r="A80" t="str">
            <v>03</v>
          </cell>
          <cell r="C80">
            <v>1164149</v>
          </cell>
          <cell r="E80">
            <v>29216486</v>
          </cell>
          <cell r="F80" t="str">
            <v>CENTRO EDUCACIONAL RENATO PEREIRA VIANA</v>
          </cell>
        </row>
        <row r="81">
          <cell r="A81" t="str">
            <v>03</v>
          </cell>
          <cell r="C81">
            <v>1123647</v>
          </cell>
          <cell r="E81">
            <v>29232988</v>
          </cell>
          <cell r="F81" t="str">
            <v>COLEGIO ESTADUAL DE TEMPO INTEGRAL EURIDICE SANTANA</v>
          </cell>
        </row>
        <row r="82">
          <cell r="A82" t="str">
            <v>03</v>
          </cell>
          <cell r="C82">
            <v>1178439</v>
          </cell>
          <cell r="E82">
            <v>29399220</v>
          </cell>
          <cell r="F82" t="str">
            <v>COLEGIO ESTADUAL DO CAMPO DE ICO</v>
          </cell>
        </row>
        <row r="83">
          <cell r="A83" t="str">
            <v>03</v>
          </cell>
          <cell r="C83">
            <v>1178028</v>
          </cell>
          <cell r="E83">
            <v>29425557</v>
          </cell>
          <cell r="F83" t="str">
            <v>COLEGIO ESTADUAL DE FEDEGOSOS</v>
          </cell>
        </row>
        <row r="84">
          <cell r="A84" t="str">
            <v>03</v>
          </cell>
          <cell r="C84">
            <v>1176457</v>
          </cell>
          <cell r="E84">
            <v>29390869</v>
          </cell>
          <cell r="F84" t="str">
            <v>CENTRO TERRITORIAL DE EDUCAÇÃO PROFISSIONAL DA CHAPADA DIAMANTINA II</v>
          </cell>
        </row>
        <row r="85">
          <cell r="A85" t="str">
            <v>03</v>
          </cell>
          <cell r="C85">
            <v>1132468</v>
          </cell>
          <cell r="E85">
            <v>29216818</v>
          </cell>
          <cell r="F85" t="str">
            <v>COLEGIO ESTADUAL DE TEMPO INTEGRAL DE MUCUGE</v>
          </cell>
        </row>
        <row r="86">
          <cell r="A86" t="str">
            <v>03</v>
          </cell>
          <cell r="C86">
            <v>1178029</v>
          </cell>
          <cell r="E86">
            <v>29425123</v>
          </cell>
          <cell r="F86" t="str">
            <v>COLEGIO ESTADUAL DE TEMPO INTEGRAL EDILSON JOAQUIM DOS SANTOS</v>
          </cell>
        </row>
        <row r="87">
          <cell r="A87" t="str">
            <v>03</v>
          </cell>
          <cell r="C87">
            <v>1164491</v>
          </cell>
          <cell r="E87">
            <v>29209994</v>
          </cell>
          <cell r="F87" t="str">
            <v>COLEGIO ESTADUAL CASTRO ALVES</v>
          </cell>
        </row>
        <row r="88">
          <cell r="A88" t="str">
            <v>03</v>
          </cell>
          <cell r="C88">
            <v>1132565</v>
          </cell>
          <cell r="E88">
            <v>29217768</v>
          </cell>
          <cell r="F88" t="str">
            <v>COLEGIO ESTADUAL PROFESSORA NILDE MARIA MONTEIRO XAVIER</v>
          </cell>
        </row>
        <row r="89">
          <cell r="A89" t="str">
            <v>03</v>
          </cell>
          <cell r="C89">
            <v>1179483</v>
          </cell>
          <cell r="E89">
            <v>29467870</v>
          </cell>
          <cell r="F89" t="str">
            <v>COLEGIO ESTADUAL DE INUBIA</v>
          </cell>
        </row>
        <row r="90">
          <cell r="A90" t="str">
            <v>03</v>
          </cell>
          <cell r="C90">
            <v>1132794</v>
          </cell>
          <cell r="E90">
            <v>29218489</v>
          </cell>
          <cell r="F90" t="str">
            <v>COLEGIO ESTADUAL CORONEL HORACIO DE MATOS</v>
          </cell>
        </row>
        <row r="91">
          <cell r="A91" t="str">
            <v>03</v>
          </cell>
          <cell r="C91">
            <v>1179708</v>
          </cell>
          <cell r="E91">
            <v>29483891</v>
          </cell>
          <cell r="F91" t="str">
            <v>COLEGIO ESTADUAL DO CAMPO DE CABRALIA</v>
          </cell>
        </row>
        <row r="92">
          <cell r="A92" t="str">
            <v>03</v>
          </cell>
          <cell r="C92">
            <v>1178261</v>
          </cell>
          <cell r="E92">
            <v>29467403</v>
          </cell>
          <cell r="F92" t="str">
            <v>COLEGIO ESTADUAL CARLOS SOUTO</v>
          </cell>
        </row>
        <row r="93">
          <cell r="A93" t="str">
            <v>03</v>
          </cell>
          <cell r="C93">
            <v>1167997</v>
          </cell>
          <cell r="E93">
            <v>29219841</v>
          </cell>
          <cell r="F93" t="str">
            <v>COLEGIO ESTADUAL DO CAMPO MARCOLINO MOURA</v>
          </cell>
        </row>
        <row r="94">
          <cell r="A94" t="str">
            <v>03</v>
          </cell>
          <cell r="C94">
            <v>1133138</v>
          </cell>
          <cell r="E94">
            <v>29220076</v>
          </cell>
          <cell r="F94" t="str">
            <v>COLEGIO ESTADUAL DE SEABRA</v>
          </cell>
        </row>
        <row r="95">
          <cell r="A95" t="str">
            <v>03</v>
          </cell>
          <cell r="C95">
            <v>1179283</v>
          </cell>
          <cell r="E95">
            <v>29461502</v>
          </cell>
          <cell r="F95" t="str">
            <v>CENT.REG.DE ENS.MEDIO COM INTERMEDIACAO TEC.CEMIT DA CHAPADA DIAMANTIN</v>
          </cell>
        </row>
        <row r="96">
          <cell r="A96" t="str">
            <v>03</v>
          </cell>
          <cell r="C96">
            <v>1133022</v>
          </cell>
          <cell r="E96">
            <v>29221307</v>
          </cell>
          <cell r="F96" t="str">
            <v>COLEGIO ESTADUAL DO CAMPO FILINTO JUSTINIANO BASTOS</v>
          </cell>
        </row>
        <row r="97">
          <cell r="A97" t="str">
            <v>03</v>
          </cell>
          <cell r="C97">
            <v>1133235</v>
          </cell>
          <cell r="E97">
            <v>29067391</v>
          </cell>
          <cell r="F97" t="str">
            <v>COLEGIO ESTADUAL DE TEMPO INTEGRAL DE SOUTO SOARES</v>
          </cell>
        </row>
        <row r="98">
          <cell r="A98">
            <v>3</v>
          </cell>
          <cell r="C98">
            <v>1179793</v>
          </cell>
          <cell r="E98">
            <v>29493854</v>
          </cell>
          <cell r="F98" t="str">
            <v>COLEGIO ESTADUAL DO CAMPO DE TEMPO INTEGRAL PROF ADEMAR SOUZA OLIVEIRA</v>
          </cell>
        </row>
        <row r="99">
          <cell r="A99" t="str">
            <v>03</v>
          </cell>
          <cell r="C99">
            <v>1178095</v>
          </cell>
          <cell r="E99">
            <v>29428742</v>
          </cell>
          <cell r="F99" t="str">
            <v>COLEGIO ESTADUAL PROFESSORA ZENAIDE ALVES BARRETO</v>
          </cell>
        </row>
        <row r="100">
          <cell r="A100" t="str">
            <v>03</v>
          </cell>
          <cell r="C100">
            <v>1123876</v>
          </cell>
          <cell r="E100">
            <v>29221943</v>
          </cell>
          <cell r="F100" t="str">
            <v>CENTRO TERRITORIAL DE EDUCACAO PROFISSIONAL DA CHAPADA DIAMANTINA</v>
          </cell>
        </row>
        <row r="101">
          <cell r="A101" t="str">
            <v>04</v>
          </cell>
          <cell r="C101">
            <v>1115431</v>
          </cell>
          <cell r="E101">
            <v>29135710</v>
          </cell>
          <cell r="F101" t="str">
            <v>CENTRO TERRITORIAL DE EDUCACAO PROFISSIONAL DE ARACI</v>
          </cell>
        </row>
        <row r="102">
          <cell r="A102" t="str">
            <v>04</v>
          </cell>
          <cell r="C102">
            <v>1115520</v>
          </cell>
          <cell r="E102">
            <v>29147409</v>
          </cell>
          <cell r="F102" t="str">
            <v>COLEGIO ESTADUAL DE BARROCAS</v>
          </cell>
        </row>
        <row r="103">
          <cell r="A103" t="str">
            <v>04</v>
          </cell>
          <cell r="C103">
            <v>1115547</v>
          </cell>
          <cell r="E103">
            <v>29136385</v>
          </cell>
          <cell r="F103" t="str">
            <v>COLEGIO ESTADUAL DE BIRITINGA</v>
          </cell>
        </row>
        <row r="104">
          <cell r="A104" t="str">
            <v>04</v>
          </cell>
          <cell r="C104">
            <v>1105606</v>
          </cell>
          <cell r="E104">
            <v>29136571</v>
          </cell>
          <cell r="F104" t="str">
            <v>COLEGIO ESTADUAL JOSE RUFINO</v>
          </cell>
        </row>
        <row r="105">
          <cell r="A105" t="str">
            <v>04</v>
          </cell>
          <cell r="C105">
            <v>1178245</v>
          </cell>
          <cell r="E105">
            <v>29115604</v>
          </cell>
          <cell r="F105" t="str">
            <v>COLEGIO ESTADUAL OSMILTON BATISTA SOUZA</v>
          </cell>
        </row>
        <row r="106">
          <cell r="A106" t="str">
            <v>04</v>
          </cell>
          <cell r="C106">
            <v>1176868</v>
          </cell>
          <cell r="E106">
            <v>29116422</v>
          </cell>
          <cell r="F106" t="str">
            <v>COLEGIO ESTADUAL DE TEMPO INTEGRAL SENHOR DO BONFIM</v>
          </cell>
        </row>
        <row r="107">
          <cell r="A107" t="str">
            <v>04</v>
          </cell>
          <cell r="C107">
            <v>1178125</v>
          </cell>
          <cell r="E107">
            <v>29437164</v>
          </cell>
          <cell r="F107" t="str">
            <v>COLEGIO ESTADUAL CAMINHO DO SABER</v>
          </cell>
        </row>
        <row r="108">
          <cell r="A108" t="str">
            <v>04</v>
          </cell>
          <cell r="C108">
            <v>1115903</v>
          </cell>
          <cell r="E108">
            <v>29137900</v>
          </cell>
          <cell r="F108" t="str">
            <v>COLEGIO ESTADUAL DO CAMPO RIO BRANCO</v>
          </cell>
        </row>
        <row r="109">
          <cell r="A109" t="str">
            <v>04</v>
          </cell>
          <cell r="C109">
            <v>1115733</v>
          </cell>
          <cell r="E109">
            <v>29137845</v>
          </cell>
          <cell r="F109" t="str">
            <v>COLEGIO ESTADUAL DO ACUDINHO</v>
          </cell>
        </row>
        <row r="110">
          <cell r="A110" t="str">
            <v>04</v>
          </cell>
          <cell r="C110">
            <v>1115717</v>
          </cell>
          <cell r="E110">
            <v>29137870</v>
          </cell>
          <cell r="F110" t="str">
            <v>COLEGIO ESTADUAL DO CAMPO HAMILTON RIOS DE ARAUJO</v>
          </cell>
        </row>
        <row r="111">
          <cell r="A111" t="str">
            <v>04</v>
          </cell>
          <cell r="C111">
            <v>1115660</v>
          </cell>
          <cell r="E111">
            <v>29138442</v>
          </cell>
          <cell r="F111" t="str">
            <v>COLEGIO ESTADUAL DO CAMPO DE BANDIACU</v>
          </cell>
        </row>
        <row r="112">
          <cell r="A112" t="str">
            <v>04</v>
          </cell>
          <cell r="C112">
            <v>1115679</v>
          </cell>
          <cell r="E112">
            <v>29139155</v>
          </cell>
          <cell r="F112" t="str">
            <v>COLEGIO ESTADUAL DO CAMPO DUQUE DE CAXIAS</v>
          </cell>
        </row>
        <row r="113">
          <cell r="A113" t="str">
            <v>04</v>
          </cell>
          <cell r="C113">
            <v>1115865</v>
          </cell>
          <cell r="E113">
            <v>29137853</v>
          </cell>
          <cell r="F113" t="str">
            <v>COLEGIO POLIVALENTE DE CONCEICAO DO COITE</v>
          </cell>
        </row>
        <row r="114">
          <cell r="A114" t="str">
            <v>04</v>
          </cell>
          <cell r="C114">
            <v>1115806</v>
          </cell>
          <cell r="E114">
            <v>29139325</v>
          </cell>
          <cell r="F114" t="str">
            <v>COLEGIO ESTADUAL JOSE FERREIRA DE OLIVEIRA</v>
          </cell>
        </row>
        <row r="115">
          <cell r="A115" t="str">
            <v>04</v>
          </cell>
          <cell r="C115">
            <v>1178073</v>
          </cell>
          <cell r="E115">
            <v>29432200</v>
          </cell>
          <cell r="F115" t="str">
            <v>COLEGIO EST DE TEMPO INTEGRAL PROF OLGARINA PITANGUEIRA PINHEIRO</v>
          </cell>
        </row>
        <row r="116">
          <cell r="A116" t="str">
            <v>04</v>
          </cell>
          <cell r="C116">
            <v>1177070</v>
          </cell>
          <cell r="E116">
            <v>29410975</v>
          </cell>
          <cell r="F116" t="str">
            <v>COLEGIO ESTADUAL DE TEMPO INTEGRAL ARISTIDES CEDRAZ DE OLIVEIRA</v>
          </cell>
        </row>
        <row r="117">
          <cell r="A117" t="str">
            <v>04</v>
          </cell>
          <cell r="C117">
            <v>1178273</v>
          </cell>
          <cell r="E117">
            <v>29447763</v>
          </cell>
          <cell r="F117" t="str">
            <v>COLEGIO ESTADUAL JOAO FRANCISCO DA SILVA</v>
          </cell>
        </row>
        <row r="118">
          <cell r="A118" t="str">
            <v>04</v>
          </cell>
          <cell r="C118">
            <v>1178099</v>
          </cell>
          <cell r="E118">
            <v>29431573</v>
          </cell>
          <cell r="F118" t="str">
            <v>COLEGIO ESTADUAL DE TEMPO INTEGRAL ARY SILVA</v>
          </cell>
        </row>
        <row r="119">
          <cell r="A119" t="str">
            <v>04</v>
          </cell>
          <cell r="C119">
            <v>1116691</v>
          </cell>
          <cell r="E119">
            <v>29146631</v>
          </cell>
          <cell r="F119" t="str">
            <v>COLEGIO ESTADUAL DO CAMPO SACO DO CORREIO</v>
          </cell>
        </row>
        <row r="120">
          <cell r="A120" t="str">
            <v>04</v>
          </cell>
          <cell r="C120">
            <v>1178222</v>
          </cell>
          <cell r="E120">
            <v>29443296</v>
          </cell>
          <cell r="F120" t="str">
            <v>COLEGIO ESTADUAL DOUTOR JAIRO AZZI</v>
          </cell>
        </row>
        <row r="121">
          <cell r="A121" t="str">
            <v>04</v>
          </cell>
          <cell r="C121">
            <v>1177073</v>
          </cell>
          <cell r="E121">
            <v>29411947</v>
          </cell>
          <cell r="F121" t="str">
            <v>COLEGIO ESTADUAL DE TEMPO INTEGRAL SANTA CRUZ</v>
          </cell>
        </row>
        <row r="122">
          <cell r="A122" t="str">
            <v>04</v>
          </cell>
          <cell r="C122">
            <v>1179389</v>
          </cell>
          <cell r="E122">
            <v>29464382</v>
          </cell>
          <cell r="F122" t="str">
            <v>COLEGIO ESTADUAL DO CAMPO DE PEDRA VERMELHA</v>
          </cell>
        </row>
        <row r="123">
          <cell r="A123" t="str">
            <v>04</v>
          </cell>
          <cell r="C123">
            <v>1178091</v>
          </cell>
          <cell r="E123">
            <v>29432022</v>
          </cell>
          <cell r="F123" t="str">
            <v>COLEGIO ESTADUAL DE TEMPO INTEGRAL MANOEL GUIMARAES SANTANA</v>
          </cell>
        </row>
        <row r="124">
          <cell r="A124" t="str">
            <v>04</v>
          </cell>
          <cell r="C124">
            <v>1178050</v>
          </cell>
          <cell r="E124">
            <v>29426537</v>
          </cell>
          <cell r="F124" t="str">
            <v>CETEP DE TEMPO INTEGRAL SANTO ANTONIO DAS QUEIMADAS</v>
          </cell>
        </row>
        <row r="125">
          <cell r="A125" t="str">
            <v>04</v>
          </cell>
          <cell r="C125">
            <v>1179117</v>
          </cell>
          <cell r="E125">
            <v>29399238</v>
          </cell>
          <cell r="F125" t="str">
            <v>COLEGIO ESTADUAL DO CAMPO DE TEMPO INTEGRAL SAO SEBASTIAO</v>
          </cell>
        </row>
        <row r="126">
          <cell r="A126" t="str">
            <v>04</v>
          </cell>
          <cell r="C126">
            <v>1178079</v>
          </cell>
          <cell r="E126">
            <v>29432154</v>
          </cell>
          <cell r="F126" t="str">
            <v>COLEGIO ESTADUAL DE TEMPO INTEGRAL PADRE FRANCISCO GONCALVES DE SOUZA</v>
          </cell>
        </row>
        <row r="127">
          <cell r="A127" t="str">
            <v>04</v>
          </cell>
          <cell r="C127">
            <v>1115997</v>
          </cell>
          <cell r="E127">
            <v>29142229</v>
          </cell>
          <cell r="F127" t="str">
            <v>COLEGIO ESTADUAL DE TEMPO INTEGRAL OLAVO ALVES PINTO</v>
          </cell>
        </row>
        <row r="128">
          <cell r="A128" t="str">
            <v>04</v>
          </cell>
          <cell r="C128">
            <v>1178326</v>
          </cell>
          <cell r="E128">
            <v>29397693</v>
          </cell>
          <cell r="F128" t="str">
            <v>CENTRO ESTADUAL DE EDUCACAO PROFISSIONAL DO CAMPO PAULO FREIRE</v>
          </cell>
        </row>
        <row r="129">
          <cell r="A129" t="str">
            <v>04</v>
          </cell>
          <cell r="C129">
            <v>1115776</v>
          </cell>
          <cell r="E129">
            <v>29144302</v>
          </cell>
          <cell r="F129" t="str">
            <v>COLEGIO ESTADUAL DE TEMPO INTEGRAL JOSE LEITAO</v>
          </cell>
        </row>
        <row r="130">
          <cell r="A130" t="str">
            <v>04</v>
          </cell>
          <cell r="C130">
            <v>1115814</v>
          </cell>
          <cell r="E130">
            <v>29145120</v>
          </cell>
          <cell r="F130" t="str">
            <v>COLEGIO ESTADUAL DO CAMPO DE TEMPO INTEGRAL NECY NOVAES</v>
          </cell>
        </row>
        <row r="131">
          <cell r="A131" t="str">
            <v>04</v>
          </cell>
          <cell r="C131">
            <v>1116365</v>
          </cell>
          <cell r="E131">
            <v>29145287</v>
          </cell>
          <cell r="F131" t="str">
            <v>CENTRO ESTADUAL DE EDUCACAO PROFISSIONAL DO SEMI ARIDO</v>
          </cell>
        </row>
        <row r="132">
          <cell r="A132" t="str">
            <v>04</v>
          </cell>
          <cell r="C132">
            <v>1116209</v>
          </cell>
          <cell r="E132">
            <v>29145538</v>
          </cell>
          <cell r="F132" t="str">
            <v>COLEGIO ESTADUAL RUBEM NOGUEIRA</v>
          </cell>
        </row>
        <row r="133">
          <cell r="A133" t="str">
            <v>04</v>
          </cell>
          <cell r="C133">
            <v>1178088</v>
          </cell>
          <cell r="E133">
            <v>29432235</v>
          </cell>
          <cell r="F133" t="str">
            <v>CENTRO TERRITORIAL DE EDUCACAO PROFISSIONAL DO SISAL</v>
          </cell>
        </row>
        <row r="134">
          <cell r="A134" t="str">
            <v>04</v>
          </cell>
          <cell r="C134">
            <v>1166427</v>
          </cell>
          <cell r="E134">
            <v>29365430</v>
          </cell>
          <cell r="F134" t="str">
            <v>COLEGIO ESTADUAL DO CAMPO ALUIZIO CARNEIRO DA SILVA</v>
          </cell>
        </row>
        <row r="135">
          <cell r="A135" t="str">
            <v>04</v>
          </cell>
          <cell r="C135">
            <v>1178235</v>
          </cell>
          <cell r="E135">
            <v>29372895</v>
          </cell>
          <cell r="F135" t="str">
            <v>COLEGIO ESTADUAL DO CAMPO DE SANTANA</v>
          </cell>
        </row>
        <row r="136">
          <cell r="A136" t="str">
            <v>04</v>
          </cell>
          <cell r="C136">
            <v>1179292</v>
          </cell>
          <cell r="E136">
            <v>29460816</v>
          </cell>
          <cell r="F136" t="str">
            <v>CENTRO REGIONAL DE ENSINO MEDIO COM INTERMEDIACAO TECNOLO -CEMIT SISAL</v>
          </cell>
        </row>
        <row r="137">
          <cell r="A137" t="str">
            <v>04</v>
          </cell>
          <cell r="C137">
            <v>1116241</v>
          </cell>
          <cell r="E137">
            <v>29146151</v>
          </cell>
          <cell r="F137" t="str">
            <v>COLEGIO ESTADUAL NORMAL DE SERRINHA</v>
          </cell>
        </row>
        <row r="138">
          <cell r="A138" t="str">
            <v>04</v>
          </cell>
          <cell r="C138">
            <v>1179664</v>
          </cell>
          <cell r="E138">
            <v>29474698</v>
          </cell>
          <cell r="F138" t="str">
            <v>CENTRO JUVENIL DE CIENCIA E CULTURA - CJCC SERRINHA</v>
          </cell>
        </row>
        <row r="139">
          <cell r="A139" t="str">
            <v>04</v>
          </cell>
          <cell r="C139">
            <v>1116446</v>
          </cell>
          <cell r="E139">
            <v>29147913</v>
          </cell>
          <cell r="F139" t="str">
            <v>COLEGIO ESTADUAL DE TEMPO INTEGRAL DE TEOFILANDIA</v>
          </cell>
        </row>
        <row r="140">
          <cell r="A140" t="str">
            <v>04</v>
          </cell>
          <cell r="C140">
            <v>1114958</v>
          </cell>
          <cell r="E140">
            <v>29123143</v>
          </cell>
          <cell r="F140" t="str">
            <v>COLEGIO ESTADUAL ROMULO GALVAO</v>
          </cell>
        </row>
        <row r="141">
          <cell r="A141" t="str">
            <v>04</v>
          </cell>
          <cell r="C141">
            <v>1115105</v>
          </cell>
          <cell r="E141">
            <v>29124212</v>
          </cell>
          <cell r="F141" t="str">
            <v>COLEGIO ESTADUAL DE TEMPO INTEGRAL DE TUCANO</v>
          </cell>
        </row>
        <row r="142">
          <cell r="A142" t="str">
            <v>04</v>
          </cell>
          <cell r="C142">
            <v>1178102</v>
          </cell>
          <cell r="E142">
            <v>29432120</v>
          </cell>
          <cell r="F142" t="str">
            <v>COLEGIO ESTADUAL DE VALENTE</v>
          </cell>
        </row>
        <row r="143">
          <cell r="A143" t="str">
            <v>04</v>
          </cell>
          <cell r="C143">
            <v>1116713</v>
          </cell>
          <cell r="E143">
            <v>29149380</v>
          </cell>
          <cell r="F143" t="str">
            <v>COLEGIO ESTADUAL DE TEMPO INTEGRAL WILSON LINS</v>
          </cell>
        </row>
        <row r="144">
          <cell r="A144" t="str">
            <v>04</v>
          </cell>
          <cell r="C144">
            <v>1178275</v>
          </cell>
          <cell r="E144">
            <v>29915783</v>
          </cell>
          <cell r="F144" t="str">
            <v>COLEGIO ESTADUAL DO CAMPO LUCIBERTO OLIVEIRA DOS SANTOS</v>
          </cell>
        </row>
        <row r="145">
          <cell r="A145" t="str">
            <v>05</v>
          </cell>
          <cell r="C145">
            <v>1111495</v>
          </cell>
          <cell r="E145">
            <v>29292280</v>
          </cell>
          <cell r="F145" t="str">
            <v>COLEGIO ESTADUAL SENADOR LUIZ VIANA FILHO</v>
          </cell>
        </row>
        <row r="146">
          <cell r="A146" t="str">
            <v>05</v>
          </cell>
          <cell r="C146">
            <v>1178142</v>
          </cell>
          <cell r="E146">
            <v>29886732</v>
          </cell>
          <cell r="F146" t="str">
            <v>CENTRO EST DE EDUC PROF DA FLORESTA DO CACAU E DO CHOCOL MILTON SANTOS</v>
          </cell>
        </row>
        <row r="147">
          <cell r="A147" t="str">
            <v>05</v>
          </cell>
          <cell r="C147">
            <v>1161093</v>
          </cell>
          <cell r="E147">
            <v>29292808</v>
          </cell>
          <cell r="F147" t="str">
            <v>COLEGIO ESTADUAL BRAULIO XAVIER</v>
          </cell>
        </row>
        <row r="148">
          <cell r="A148" t="str">
            <v>05</v>
          </cell>
          <cell r="C148">
            <v>1111550</v>
          </cell>
          <cell r="E148">
            <v>29293197</v>
          </cell>
          <cell r="F148" t="str">
            <v>COLEGIO ESTADUAL DE TEMPO INTEGRAL PROFESSORA JAIDE ROCHA</v>
          </cell>
        </row>
        <row r="149">
          <cell r="A149" t="str">
            <v>05</v>
          </cell>
          <cell r="C149">
            <v>1112491</v>
          </cell>
          <cell r="E149">
            <v>29294037</v>
          </cell>
          <cell r="F149" t="str">
            <v>COLEGIO ESTADUAL LOMANTO JUNIOR</v>
          </cell>
        </row>
        <row r="150">
          <cell r="A150" t="str">
            <v>05</v>
          </cell>
          <cell r="C150">
            <v>1111584</v>
          </cell>
          <cell r="E150">
            <v>29294606</v>
          </cell>
          <cell r="F150" t="str">
            <v>COLEGIO ESTADUAL ENEDINA OLIVA</v>
          </cell>
        </row>
        <row r="151">
          <cell r="A151" t="str">
            <v>05</v>
          </cell>
          <cell r="C151">
            <v>1178186</v>
          </cell>
          <cell r="E151">
            <v>29446570</v>
          </cell>
          <cell r="F151" t="str">
            <v>COLEGIO ESTADUAL INDIGENA TUPINAMBA SERRA DO PADEIRO</v>
          </cell>
        </row>
        <row r="152">
          <cell r="A152" t="str">
            <v>05</v>
          </cell>
          <cell r="C152">
            <v>1111797</v>
          </cell>
          <cell r="E152">
            <v>29295866</v>
          </cell>
          <cell r="F152" t="str">
            <v>COLEGIO ESTADUAL DE TEMPO INTEGRAL DE CAMACAN</v>
          </cell>
        </row>
        <row r="153">
          <cell r="A153" t="str">
            <v>05</v>
          </cell>
          <cell r="C153">
            <v>1176394</v>
          </cell>
          <cell r="E153">
            <v>29351502</v>
          </cell>
          <cell r="F153" t="str">
            <v>COLEGIO ESTADUAL ANISIO LOUREIRO</v>
          </cell>
        </row>
        <row r="154">
          <cell r="A154" t="str">
            <v>05</v>
          </cell>
          <cell r="C154">
            <v>1178107</v>
          </cell>
          <cell r="E154">
            <v>29436184</v>
          </cell>
          <cell r="F154" t="str">
            <v>COLEGIO ESTADUAL DE TEMPO INTEGRAL DE CANAVIEIRAS</v>
          </cell>
        </row>
        <row r="155">
          <cell r="A155" t="str">
            <v>05</v>
          </cell>
          <cell r="C155">
            <v>1178112</v>
          </cell>
          <cell r="E155">
            <v>29434017</v>
          </cell>
          <cell r="F155" t="str">
            <v>COLEGIO ESTADUAL DE TEMPO INTEGRAL ALMAKAZIR GALLY GALVAO</v>
          </cell>
        </row>
        <row r="156">
          <cell r="A156" t="str">
            <v>05</v>
          </cell>
          <cell r="C156">
            <v>1158947</v>
          </cell>
          <cell r="E156">
            <v>29298520</v>
          </cell>
          <cell r="F156" t="str">
            <v>COLEGIO ESTADUAL DE TEMPO INTEGRAL FRED GEDEON</v>
          </cell>
        </row>
        <row r="157">
          <cell r="A157" t="str">
            <v>05</v>
          </cell>
          <cell r="C157">
            <v>1176103</v>
          </cell>
          <cell r="E157">
            <v>29299802</v>
          </cell>
          <cell r="F157" t="str">
            <v>COLEGIO ESTADUAL DO CAMPO CAJUEIRO</v>
          </cell>
        </row>
        <row r="158">
          <cell r="A158" t="str">
            <v>05</v>
          </cell>
          <cell r="C158">
            <v>1178110</v>
          </cell>
          <cell r="E158">
            <v>29433886</v>
          </cell>
          <cell r="F158" t="str">
            <v>COLEGIO ESTADUAL DE TEMPO INTEGRAL PROFESSORA ELIETE MALAQUIAS</v>
          </cell>
        </row>
        <row r="159">
          <cell r="A159" t="str">
            <v>05</v>
          </cell>
          <cell r="C159">
            <v>1179275</v>
          </cell>
          <cell r="E159">
            <v>29462266</v>
          </cell>
          <cell r="F159" t="str">
            <v>COLEGIO ESTADUAL INDIGENA TUPINAMBA DE ACUIPE DE BAIXO</v>
          </cell>
        </row>
        <row r="160">
          <cell r="A160" t="str">
            <v>05</v>
          </cell>
          <cell r="C160">
            <v>1178075</v>
          </cell>
          <cell r="E160">
            <v>29431298</v>
          </cell>
          <cell r="F160" t="str">
            <v>COLEGIO ESTADUAL INDIGENA TUPINAMBA DE OLIVENCA</v>
          </cell>
        </row>
        <row r="161">
          <cell r="A161" t="str">
            <v>05</v>
          </cell>
          <cell r="C161">
            <v>1179622</v>
          </cell>
          <cell r="E161">
            <v>29473160</v>
          </cell>
          <cell r="F161" t="str">
            <v>ESCOLA ESTADUAL INDIGENA TUPINAMBA DE ABAETE</v>
          </cell>
        </row>
        <row r="162">
          <cell r="A162" t="str">
            <v>05</v>
          </cell>
          <cell r="C162">
            <v>1111096</v>
          </cell>
          <cell r="E162">
            <v>29301483</v>
          </cell>
          <cell r="F162" t="str">
            <v>CENTRO ESTADUAL DE EDUCACAO PROFISSIONAL DO CHOCOLATE NELSON SCHAUN</v>
          </cell>
        </row>
        <row r="163">
          <cell r="A163" t="str">
            <v>05</v>
          </cell>
          <cell r="C163">
            <v>1111436</v>
          </cell>
          <cell r="E163">
            <v>29303125</v>
          </cell>
          <cell r="F163" t="str">
            <v>COLEGIO ESTADUAL DO CAMPO JORGE CALMON</v>
          </cell>
        </row>
        <row r="164">
          <cell r="A164" t="str">
            <v>05</v>
          </cell>
          <cell r="C164">
            <v>1176424</v>
          </cell>
          <cell r="E164">
            <v>29386284</v>
          </cell>
          <cell r="F164" t="str">
            <v>COLEGIO ESTADUAL DE TEMPO INTEGRAL JORGE AMADO</v>
          </cell>
        </row>
        <row r="165">
          <cell r="A165" t="str">
            <v>05</v>
          </cell>
          <cell r="C165">
            <v>1179628</v>
          </cell>
          <cell r="E165">
            <v>29473101</v>
          </cell>
          <cell r="F165" t="str">
            <v>COLEGIO ESTADUAL INDIGENA TUPINAMBA AMOTARA</v>
          </cell>
        </row>
        <row r="166">
          <cell r="A166" t="str">
            <v>05</v>
          </cell>
          <cell r="C166">
            <v>1169221</v>
          </cell>
          <cell r="E166">
            <v>29301882</v>
          </cell>
          <cell r="F166" t="str">
            <v>COLEGIO EST DE TEMPO INTEGRAL PROF CARMELITA ANGELA SOUZA OLIVEIRA</v>
          </cell>
        </row>
        <row r="167">
          <cell r="A167" t="str">
            <v>05</v>
          </cell>
          <cell r="C167">
            <v>1111126</v>
          </cell>
          <cell r="E167">
            <v>29302269</v>
          </cell>
          <cell r="F167" t="str">
            <v>COLEGIO ESTADUAL DO IGUAPE</v>
          </cell>
        </row>
        <row r="168">
          <cell r="A168" t="str">
            <v>05</v>
          </cell>
          <cell r="C168">
            <v>1176675</v>
          </cell>
          <cell r="E168">
            <v>29406889</v>
          </cell>
          <cell r="F168" t="str">
            <v>COLEGIO ESTADUAL PROFESSOR FABIO ARARIPE GOULART</v>
          </cell>
        </row>
        <row r="169">
          <cell r="A169" t="str">
            <v>05</v>
          </cell>
          <cell r="C169">
            <v>1159919</v>
          </cell>
          <cell r="E169">
            <v>29301475</v>
          </cell>
          <cell r="F169" t="str">
            <v>COLEGIO DA POLICIA MILITAR - CPM ROMULO GALVAO</v>
          </cell>
        </row>
        <row r="170">
          <cell r="A170" t="str">
            <v>05</v>
          </cell>
          <cell r="C170">
            <v>1178145</v>
          </cell>
          <cell r="E170">
            <v>29442079</v>
          </cell>
          <cell r="F170" t="str">
            <v>COLEGIO ESTADUAL DE SALOBRINHO</v>
          </cell>
        </row>
        <row r="171">
          <cell r="A171" t="str">
            <v>05</v>
          </cell>
          <cell r="C171">
            <v>1159838</v>
          </cell>
          <cell r="E171">
            <v>29302293</v>
          </cell>
          <cell r="F171" t="str">
            <v>COLEGIO ESTADUAL DE TEMPO INTEGRAL PROF CARLOS ROBERTO ARLEO BARBOSA</v>
          </cell>
        </row>
        <row r="172">
          <cell r="A172" t="str">
            <v>05</v>
          </cell>
          <cell r="C172">
            <v>1179701</v>
          </cell>
          <cell r="E172">
            <v>29482267</v>
          </cell>
          <cell r="F172" t="str">
            <v>CENTRO REG DE ENS MED COM INTER TECNO. DO LIT. SUL - CEMIT LITORAL SUL</v>
          </cell>
        </row>
        <row r="173">
          <cell r="A173" t="str">
            <v>05</v>
          </cell>
          <cell r="C173">
            <v>1111339</v>
          </cell>
          <cell r="E173">
            <v>29301394</v>
          </cell>
          <cell r="F173" t="str">
            <v>CENTRO EST DE EDUC PROFIS EM GESTAO E TECNOL DA INFORM ALVARO M VIEIRA</v>
          </cell>
        </row>
        <row r="174">
          <cell r="A174" t="str">
            <v>05</v>
          </cell>
          <cell r="C174">
            <v>1177091</v>
          </cell>
          <cell r="E174">
            <v>29424020</v>
          </cell>
          <cell r="F174" t="str">
            <v>COLEGIO MODELO LUIS EDUARDO MAGALHAES</v>
          </cell>
        </row>
        <row r="175">
          <cell r="A175" t="str">
            <v>05</v>
          </cell>
          <cell r="C175">
            <v>1176081</v>
          </cell>
          <cell r="E175">
            <v>29305390</v>
          </cell>
          <cell r="F175" t="str">
            <v>COMPLEXO INTEGRADO DE EDUC BASICA PROFIS E TECNOLOGICA DE ITABUNA</v>
          </cell>
        </row>
        <row r="176">
          <cell r="A176" t="str">
            <v>05</v>
          </cell>
          <cell r="C176">
            <v>1112211</v>
          </cell>
          <cell r="E176">
            <v>29304237</v>
          </cell>
          <cell r="F176" t="str">
            <v>COLEGIO DA POLICIA MILITAR - CPM ANTONIO CARLOS MAGALHAES</v>
          </cell>
        </row>
        <row r="177">
          <cell r="A177" t="str">
            <v>05</v>
          </cell>
          <cell r="C177">
            <v>1112149</v>
          </cell>
          <cell r="E177">
            <v>29304296</v>
          </cell>
          <cell r="F177" t="str">
            <v>COLEGIO ESTADUAL DE TEMPO INTEGRAL OSCAR MARINHO FALCAO</v>
          </cell>
        </row>
        <row r="178">
          <cell r="A178" t="str">
            <v>05</v>
          </cell>
          <cell r="C178">
            <v>1146698</v>
          </cell>
          <cell r="E178">
            <v>29305373</v>
          </cell>
          <cell r="F178" t="str">
            <v>CENTRO DE APOIO PEDAGOGICO ESPECIALIZADO - GRAPIUNA</v>
          </cell>
        </row>
        <row r="179">
          <cell r="A179" t="str">
            <v>05</v>
          </cell>
          <cell r="C179">
            <v>1112092</v>
          </cell>
          <cell r="E179">
            <v>29304377</v>
          </cell>
          <cell r="F179" t="str">
            <v>CENTRO ESTADUAL DE EDUCACAO PROFISSIONAL EM BIOTECNOLOGIA E SAUDE</v>
          </cell>
        </row>
        <row r="180">
          <cell r="A180" t="str">
            <v>05</v>
          </cell>
          <cell r="C180">
            <v>1112009</v>
          </cell>
          <cell r="E180">
            <v>29306230</v>
          </cell>
          <cell r="F180" t="str">
            <v>COLEGIO ESTADUAL ADONIAS FILHO</v>
          </cell>
        </row>
        <row r="181">
          <cell r="A181" t="str">
            <v>05</v>
          </cell>
          <cell r="C181">
            <v>1111940</v>
          </cell>
          <cell r="E181">
            <v>29306264</v>
          </cell>
          <cell r="F181" t="str">
            <v>COLEGIO ESTADUAL INACIO TOSTA FILHO</v>
          </cell>
        </row>
        <row r="182">
          <cell r="A182" t="str">
            <v>05</v>
          </cell>
          <cell r="C182">
            <v>1112084</v>
          </cell>
          <cell r="E182">
            <v>29304776</v>
          </cell>
          <cell r="F182" t="str">
            <v>COLEGIO ESTADUAL VALDELICE SOARES PINHEIRO</v>
          </cell>
        </row>
        <row r="183">
          <cell r="A183" t="str">
            <v>05</v>
          </cell>
          <cell r="C183">
            <v>1111738</v>
          </cell>
          <cell r="E183">
            <v>29306205</v>
          </cell>
          <cell r="F183" t="str">
            <v>COLEGIO ESTADUAL PROFESSOR ADEUM HILARIO SAUER</v>
          </cell>
        </row>
        <row r="184">
          <cell r="A184" t="str">
            <v>05</v>
          </cell>
          <cell r="C184">
            <v>1178751</v>
          </cell>
          <cell r="E184">
            <v>29449219</v>
          </cell>
          <cell r="F184" t="str">
            <v>COLEGIO ESTADUAL DO CAMPO PROFESSORA LUCIA MARIA BATISTA DA SILVA</v>
          </cell>
        </row>
        <row r="185">
          <cell r="A185" t="str">
            <v>05</v>
          </cell>
          <cell r="C185">
            <v>1111347</v>
          </cell>
          <cell r="E185">
            <v>29306760</v>
          </cell>
          <cell r="F185" t="str">
            <v>COLEGIO ESTADUAL DE TEMPO INTEGRAL AURELINO LEAL</v>
          </cell>
        </row>
        <row r="186">
          <cell r="A186" t="str">
            <v>05</v>
          </cell>
          <cell r="C186">
            <v>1112262</v>
          </cell>
          <cell r="E186">
            <v>29308046</v>
          </cell>
          <cell r="F186" t="str">
            <v>COLEGIO ESTADUAL DE TEMPO INTEGRAL CORDEIRO DE MIRANDA</v>
          </cell>
        </row>
        <row r="187">
          <cell r="A187" t="str">
            <v>05</v>
          </cell>
          <cell r="C187">
            <v>1112408</v>
          </cell>
          <cell r="E187">
            <v>29308747</v>
          </cell>
          <cell r="F187" t="str">
            <v>COLEGIO ESTADUAL DE TEMPO INTEGRAL DE ITAJUIPE</v>
          </cell>
        </row>
        <row r="188">
          <cell r="A188" t="str">
            <v>05</v>
          </cell>
          <cell r="C188">
            <v>1158688</v>
          </cell>
          <cell r="E188">
            <v>29309425</v>
          </cell>
          <cell r="F188" t="str">
            <v>COLEGIO ESTADUAL DE TEMPO INTEGRAL DOM PAULO LOPES DE FARIA</v>
          </cell>
        </row>
        <row r="189">
          <cell r="A189" t="str">
            <v>05</v>
          </cell>
          <cell r="C189">
            <v>1112602</v>
          </cell>
          <cell r="E189">
            <v>29310512</v>
          </cell>
          <cell r="F189" t="str">
            <v>COLEGIO EST DE TEMPO INTEGRAL PROF ANTONIO MARCOS SANTOS ESTEVES</v>
          </cell>
        </row>
        <row r="190">
          <cell r="A190" t="str">
            <v>05</v>
          </cell>
          <cell r="C190">
            <v>1159277</v>
          </cell>
          <cell r="E190">
            <v>29310660</v>
          </cell>
          <cell r="F190" t="str">
            <v>COLEGIO ESTADUAL DE TEMPO INTEGRAL AMELIA AMADO</v>
          </cell>
        </row>
        <row r="191">
          <cell r="A191" t="str">
            <v>05</v>
          </cell>
          <cell r="C191">
            <v>1159641</v>
          </cell>
          <cell r="E191">
            <v>29288150</v>
          </cell>
          <cell r="F191" t="str">
            <v>COLEGIO ESTADUAL DO CAMPO CLEMENTE MARIANI</v>
          </cell>
        </row>
        <row r="192">
          <cell r="A192" t="str">
            <v>05</v>
          </cell>
          <cell r="C192">
            <v>1179678</v>
          </cell>
          <cell r="E192">
            <v>29477492</v>
          </cell>
          <cell r="F192" t="str">
            <v>COLEGIO ESTADUAL ANTONIO EDUARDO RIBEIRO ROCHA</v>
          </cell>
        </row>
        <row r="193">
          <cell r="A193" t="str">
            <v>05</v>
          </cell>
          <cell r="C193">
            <v>1159668</v>
          </cell>
          <cell r="E193">
            <v>29288142</v>
          </cell>
          <cell r="F193" t="str">
            <v>CENTRO TERRITORIAL DE EDUCAÇÃO PROFISSIONAL DO LITORAL SUL</v>
          </cell>
        </row>
        <row r="194">
          <cell r="A194" t="str">
            <v>05</v>
          </cell>
          <cell r="C194">
            <v>1159617</v>
          </cell>
          <cell r="E194">
            <v>29311500</v>
          </cell>
          <cell r="F194" t="str">
            <v>COLEGIO ESTADUAL DE TEMPO INTEGRAL PROFESSORA MARILENA SENA LOUREIRO</v>
          </cell>
        </row>
        <row r="195">
          <cell r="A195" t="str">
            <v>05</v>
          </cell>
          <cell r="C195">
            <v>1159587</v>
          </cell>
          <cell r="E195">
            <v>29311497</v>
          </cell>
          <cell r="F195" t="str">
            <v>COLEGIO ESTADUAL CAROLINA SEVERIANO RIBEIRO</v>
          </cell>
        </row>
        <row r="196">
          <cell r="A196" t="str">
            <v>05</v>
          </cell>
          <cell r="C196">
            <v>1177011</v>
          </cell>
          <cell r="E196">
            <v>29407044</v>
          </cell>
          <cell r="F196" t="str">
            <v>COLEGIO ESTADUAL DA ALDEIA INDIGENA CARAMURU PARAGUACU</v>
          </cell>
        </row>
        <row r="197">
          <cell r="A197" t="str">
            <v>05</v>
          </cell>
          <cell r="C197">
            <v>1177077</v>
          </cell>
          <cell r="E197">
            <v>29406897</v>
          </cell>
          <cell r="F197" t="str">
            <v>COLEGIO ESTADUAL GERSON DE SOUZA MELO PATAXO</v>
          </cell>
        </row>
        <row r="198">
          <cell r="A198" t="str">
            <v>05</v>
          </cell>
          <cell r="C198">
            <v>1177004</v>
          </cell>
          <cell r="E198">
            <v>29406668</v>
          </cell>
          <cell r="F198" t="str">
            <v>COLEGIO ESTADUAL JORGE AMADO</v>
          </cell>
        </row>
        <row r="199">
          <cell r="A199" t="str">
            <v>05</v>
          </cell>
          <cell r="C199">
            <v>1170912</v>
          </cell>
          <cell r="E199">
            <v>29313171</v>
          </cell>
          <cell r="F199" t="str">
            <v>COLEGIO ESTADUAL 13 DE JUNHO</v>
          </cell>
        </row>
        <row r="200">
          <cell r="A200" t="str">
            <v>05</v>
          </cell>
          <cell r="C200">
            <v>1112777</v>
          </cell>
          <cell r="E200">
            <v>29313848</v>
          </cell>
          <cell r="F200" t="str">
            <v>COLEGIO ESTADUAL OCTACILIO MANOEL GOMES</v>
          </cell>
        </row>
        <row r="201">
          <cell r="A201" t="str">
            <v>05</v>
          </cell>
          <cell r="C201">
            <v>1139136</v>
          </cell>
          <cell r="E201">
            <v>29315492</v>
          </cell>
          <cell r="F201" t="str">
            <v>COLEGIO ESTADUAL MENANDRO MINAHIM</v>
          </cell>
        </row>
        <row r="202">
          <cell r="A202" t="str">
            <v>05</v>
          </cell>
          <cell r="C202">
            <v>1159790</v>
          </cell>
          <cell r="E202">
            <v>29316260</v>
          </cell>
          <cell r="F202" t="str">
            <v>COLEGIO ESTADUAL CARNEIRO RIBEIRO</v>
          </cell>
        </row>
        <row r="203">
          <cell r="A203" t="str">
            <v>05</v>
          </cell>
          <cell r="C203">
            <v>1179595</v>
          </cell>
          <cell r="E203">
            <v>29470358</v>
          </cell>
          <cell r="F203" t="str">
            <v>COLEGIO ESTADUAL DO CAMPO DE SERRA GRANDE</v>
          </cell>
        </row>
        <row r="204">
          <cell r="A204" t="str">
            <v>06</v>
          </cell>
          <cell r="C204">
            <v>1108966</v>
          </cell>
          <cell r="E204">
            <v>29161770</v>
          </cell>
          <cell r="F204" t="str">
            <v>COLEGIO ESTADUAL DE TEMPO INTEGRAL PROFESSOR ROCHA PITA</v>
          </cell>
        </row>
        <row r="205">
          <cell r="A205" t="str">
            <v>06</v>
          </cell>
          <cell r="C205">
            <v>1142862</v>
          </cell>
          <cell r="E205">
            <v>29285534</v>
          </cell>
          <cell r="F205" t="str">
            <v>COLEGIO ESTADUAL CANDIDO MEIRELES</v>
          </cell>
        </row>
        <row r="206">
          <cell r="A206" t="str">
            <v>06</v>
          </cell>
          <cell r="C206">
            <v>1110049</v>
          </cell>
          <cell r="E206">
            <v>29285801</v>
          </cell>
          <cell r="F206" t="str">
            <v>COLEGIO ESTADUAL DE TEMPO INTEGRAL LUIZ ROGERIO DE SOUZA</v>
          </cell>
        </row>
        <row r="207">
          <cell r="A207" t="str">
            <v>06</v>
          </cell>
          <cell r="C207">
            <v>1110111</v>
          </cell>
          <cell r="E207">
            <v>29299063</v>
          </cell>
          <cell r="F207" t="str">
            <v>CENTRO TERRITORIAL DE EDUCAÇÃO PROFISSIONAL DO BAIXO SUL</v>
          </cell>
        </row>
        <row r="208">
          <cell r="A208" t="str">
            <v>06</v>
          </cell>
          <cell r="C208">
            <v>1109814</v>
          </cell>
          <cell r="E208">
            <v>29298954</v>
          </cell>
          <cell r="F208" t="str">
            <v>COLEGIO ESTADUAL DE TEMPO INTEGRAL DE GANDU</v>
          </cell>
        </row>
        <row r="209">
          <cell r="A209" t="str">
            <v>06</v>
          </cell>
          <cell r="C209">
            <v>1179138</v>
          </cell>
          <cell r="E209">
            <v>29448816</v>
          </cell>
          <cell r="F209" t="str">
            <v>COLEGIO ESTADUAL ANDRELINA EUFRAZIA DE JESUS REIS</v>
          </cell>
        </row>
        <row r="210">
          <cell r="A210" t="str">
            <v>06</v>
          </cell>
          <cell r="C210">
            <v>1178010</v>
          </cell>
          <cell r="E210">
            <v>29423503</v>
          </cell>
          <cell r="F210" t="str">
            <v>COLEGIO ESTADUAL PAULO CESAR DA NOVA ALMEIDA</v>
          </cell>
        </row>
        <row r="211">
          <cell r="A211" t="str">
            <v>06</v>
          </cell>
          <cell r="C211">
            <v>1178082</v>
          </cell>
          <cell r="E211">
            <v>29429269</v>
          </cell>
          <cell r="F211" t="str">
            <v>COLEGIO ESTADUAL PROFESSOR NEILTON LIMA MOREIRA</v>
          </cell>
        </row>
        <row r="212">
          <cell r="A212" t="str">
            <v>06</v>
          </cell>
          <cell r="C212">
            <v>1110251</v>
          </cell>
          <cell r="E212">
            <v>29287235</v>
          </cell>
          <cell r="F212" t="str">
            <v>COLEGIO ESTADUAL IDELZITO ELOY DE ABREU</v>
          </cell>
        </row>
        <row r="213">
          <cell r="A213" t="str">
            <v>06</v>
          </cell>
          <cell r="C213">
            <v>1109229</v>
          </cell>
          <cell r="E213">
            <v>29166829</v>
          </cell>
          <cell r="F213" t="str">
            <v>COLEGIO ESTADUAL DE TEMPO INTEGRAL DOUTOR ARISTIDES MALTEZ</v>
          </cell>
        </row>
        <row r="214">
          <cell r="A214" t="str">
            <v>06</v>
          </cell>
          <cell r="C214">
            <v>1110499</v>
          </cell>
          <cell r="E214">
            <v>29288339</v>
          </cell>
          <cell r="F214" t="str">
            <v>COLEGIO ESTADUAL DE TEMPO INTEGRAL ADELAIDE SOUZA</v>
          </cell>
        </row>
        <row r="215">
          <cell r="A215" t="str">
            <v>06</v>
          </cell>
          <cell r="C215">
            <v>1158270</v>
          </cell>
          <cell r="E215">
            <v>29289270</v>
          </cell>
          <cell r="F215" t="str">
            <v>COLEGIO ESTADUAL LUIS NAVARRO DE BRITO</v>
          </cell>
        </row>
        <row r="216">
          <cell r="A216" t="str">
            <v>06</v>
          </cell>
          <cell r="C216">
            <v>1178081</v>
          </cell>
          <cell r="E216">
            <v>29431719</v>
          </cell>
          <cell r="F216" t="str">
            <v>COLEGIO ESTADUAL DE TEMPO INTEGRAL MARIA XAVIER DE ANDRADE REIS</v>
          </cell>
        </row>
        <row r="217">
          <cell r="A217" t="str">
            <v>06</v>
          </cell>
          <cell r="C217">
            <v>1117396</v>
          </cell>
          <cell r="E217">
            <v>29290678</v>
          </cell>
          <cell r="F217" t="str">
            <v>COLEGIO ESTADUAL DE TEMPO INTEGRAL ESTELA ALELUIA GUIMARAES</v>
          </cell>
        </row>
        <row r="218">
          <cell r="A218" t="str">
            <v>06</v>
          </cell>
          <cell r="C218">
            <v>1110677</v>
          </cell>
          <cell r="E218">
            <v>29313325</v>
          </cell>
          <cell r="F218" t="str">
            <v>COLEGIO ESTADUAL DEMOCRATICO LIBIA TINOCO MELO</v>
          </cell>
        </row>
        <row r="219">
          <cell r="A219" t="str">
            <v>06</v>
          </cell>
          <cell r="C219">
            <v>1178011</v>
          </cell>
          <cell r="E219">
            <v>29426502</v>
          </cell>
          <cell r="F219" t="str">
            <v>COLEGIO ESTADUAL JOAO CARDOSO DOS SANTOS</v>
          </cell>
        </row>
        <row r="220">
          <cell r="A220" t="str">
            <v>06</v>
          </cell>
          <cell r="C220">
            <v>1179139</v>
          </cell>
          <cell r="E220">
            <v>29456460</v>
          </cell>
          <cell r="F220" t="str">
            <v>COLEGIO ESTADUAL DO CAMPO HERMINIO MANOEL DE JESUS</v>
          </cell>
        </row>
        <row r="221">
          <cell r="A221" t="str">
            <v>06</v>
          </cell>
          <cell r="C221">
            <v>1179311</v>
          </cell>
          <cell r="E221">
            <v>29460646</v>
          </cell>
          <cell r="F221" t="str">
            <v>COLEGIO ESTADUAL QUILOMBOLA BERNARDO BISPO DOS SANTOS</v>
          </cell>
        </row>
        <row r="222">
          <cell r="A222" t="str">
            <v>06</v>
          </cell>
          <cell r="C222">
            <v>1179284</v>
          </cell>
          <cell r="E222">
            <v>29460930</v>
          </cell>
          <cell r="F222" t="str">
            <v>CENT.REG.DE ENS.MEDIO COM INTERMEDIACAO TEC.-CEMIT DO BAIXO SUL</v>
          </cell>
        </row>
        <row r="223">
          <cell r="A223" t="str">
            <v>06</v>
          </cell>
          <cell r="C223">
            <v>1111070</v>
          </cell>
          <cell r="E223">
            <v>29290732</v>
          </cell>
          <cell r="F223" t="str">
            <v>CENTRO EST DE EDUCACAO PROFISSIONAL EM SAUDE DO LESTE BAIANO</v>
          </cell>
        </row>
        <row r="224">
          <cell r="A224" t="str">
            <v>06</v>
          </cell>
          <cell r="C224">
            <v>1111045</v>
          </cell>
          <cell r="E224">
            <v>29290791</v>
          </cell>
          <cell r="F224" t="str">
            <v>COLEGIO ESTADUAL GENTIL PARAISO MARTINS</v>
          </cell>
        </row>
        <row r="225">
          <cell r="A225" t="str">
            <v>06</v>
          </cell>
          <cell r="C225">
            <v>1179116</v>
          </cell>
          <cell r="E225">
            <v>29460549</v>
          </cell>
          <cell r="F225" t="str">
            <v>COLEGIO ESTADUAL ONILDO RAIMUNDO CRISTO</v>
          </cell>
        </row>
        <row r="226">
          <cell r="A226">
            <v>6</v>
          </cell>
          <cell r="C226">
            <v>1179786</v>
          </cell>
          <cell r="E226">
            <v>44173</v>
          </cell>
          <cell r="F226" t="str">
            <v>CENTRO DE APOIO PEDAGOGICO ESPECIALIZADO - CAPE VALENCA </v>
          </cell>
        </row>
        <row r="227">
          <cell r="A227" t="str">
            <v>06</v>
          </cell>
          <cell r="C227">
            <v>1110685</v>
          </cell>
          <cell r="E227">
            <v>29317134</v>
          </cell>
          <cell r="F227" t="str">
            <v>COLEGIO ESTADUAL NAIR LOPES JENKINS</v>
          </cell>
        </row>
        <row r="228">
          <cell r="A228" t="str">
            <v>07</v>
          </cell>
          <cell r="C228">
            <v>1178090</v>
          </cell>
          <cell r="E228">
            <v>29433746</v>
          </cell>
          <cell r="F228" t="str">
            <v>COLEGIO ESTADUAL ERALDO TINOCO</v>
          </cell>
        </row>
        <row r="229">
          <cell r="A229" t="str">
            <v>07</v>
          </cell>
          <cell r="C229">
            <v>1179279</v>
          </cell>
          <cell r="E229">
            <v>29459010</v>
          </cell>
          <cell r="F229" t="str">
            <v>COLEGIO ESTADUAL EUNICE JERONIMO DE OLIVEIRA</v>
          </cell>
        </row>
        <row r="230">
          <cell r="A230" t="str">
            <v>07</v>
          </cell>
          <cell r="C230">
            <v>1113102</v>
          </cell>
          <cell r="E230">
            <v>29317789</v>
          </cell>
          <cell r="F230" t="str">
            <v>COLEGIO POLIVALENTE DE CARAVELAS</v>
          </cell>
        </row>
        <row r="231">
          <cell r="A231" t="str">
            <v>07</v>
          </cell>
          <cell r="C231">
            <v>1178216</v>
          </cell>
          <cell r="E231">
            <v>29444993</v>
          </cell>
          <cell r="F231" t="str">
            <v>COLEGIO ESTADUAL PROFESSOR PAULO FREIRE</v>
          </cell>
        </row>
        <row r="232">
          <cell r="A232" t="str">
            <v>07</v>
          </cell>
          <cell r="C232">
            <v>1176400</v>
          </cell>
          <cell r="E232">
            <v>29370485</v>
          </cell>
          <cell r="F232" t="str">
            <v>COLEGIO ESTADUAL PROFESSORA MARIA DO CARMO MARQUES DE FREITAS</v>
          </cell>
        </row>
        <row r="233">
          <cell r="A233" t="str">
            <v>07</v>
          </cell>
          <cell r="C233">
            <v>1179481</v>
          </cell>
          <cell r="E233">
            <v>29469066</v>
          </cell>
          <cell r="F233" t="str">
            <v>COMPLEXO INTEGRADO DE EDUC BASICA PROFIS E TECNOLOGICA DE ITAMARAJU</v>
          </cell>
        </row>
        <row r="234">
          <cell r="A234" t="str">
            <v>07</v>
          </cell>
          <cell r="C234">
            <v>1178109</v>
          </cell>
          <cell r="E234">
            <v>29446651</v>
          </cell>
          <cell r="F234" t="str">
            <v>COLEGIO ESTADUAL PROFESSORA AURIVALDINA JOAZEIRO</v>
          </cell>
        </row>
        <row r="235">
          <cell r="A235" t="str">
            <v>07</v>
          </cell>
          <cell r="C235">
            <v>1113200</v>
          </cell>
          <cell r="E235">
            <v>29322480</v>
          </cell>
          <cell r="F235" t="str">
            <v>COLEGIO POLIVALENTE DE ITANHEM</v>
          </cell>
        </row>
        <row r="236">
          <cell r="A236" t="str">
            <v>07</v>
          </cell>
          <cell r="C236">
            <v>1170157</v>
          </cell>
          <cell r="E236">
            <v>29323800</v>
          </cell>
          <cell r="F236" t="str">
            <v>COLEGIO EST DE TEMPO INTEGRAL PROF MARIA EDITE VIEIRA GUSMAO</v>
          </cell>
        </row>
        <row r="237">
          <cell r="A237" t="str">
            <v>07</v>
          </cell>
          <cell r="C237">
            <v>1157525</v>
          </cell>
          <cell r="E237">
            <v>29323967</v>
          </cell>
          <cell r="F237" t="str">
            <v>COLEGIO ESTADUAL PROFESSORA NEIDE SOARES BORGES</v>
          </cell>
        </row>
        <row r="238">
          <cell r="A238" t="str">
            <v>07</v>
          </cell>
          <cell r="C238">
            <v>1179661</v>
          </cell>
          <cell r="E238">
            <v>29474272</v>
          </cell>
          <cell r="F238" t="str">
            <v>CENTRO TERRITORIAL DE EDUCACAO PROFISSIONAL DE MEDEIROS NETO</v>
          </cell>
        </row>
        <row r="239">
          <cell r="A239" t="str">
            <v>07</v>
          </cell>
          <cell r="C239">
            <v>1178093</v>
          </cell>
          <cell r="E239">
            <v>29433843</v>
          </cell>
          <cell r="F239" t="str">
            <v>COLEGIO ESTADUAL INTEGRACAO</v>
          </cell>
        </row>
        <row r="240">
          <cell r="A240" t="str">
            <v>07</v>
          </cell>
          <cell r="C240">
            <v>1157746</v>
          </cell>
          <cell r="E240">
            <v>29325099</v>
          </cell>
          <cell r="F240" t="str">
            <v>COLEGIO ESTADUAL JACI FERREIRA DOS SANTOS</v>
          </cell>
        </row>
        <row r="241">
          <cell r="A241" t="str">
            <v>07</v>
          </cell>
          <cell r="C241">
            <v>1178427</v>
          </cell>
          <cell r="E241">
            <v>29399246</v>
          </cell>
          <cell r="F241" t="str">
            <v>COLEGIO ESTADUAL DO CAMPO ALCIDES AFONSO DE SOUZA</v>
          </cell>
        </row>
        <row r="242">
          <cell r="A242" t="str">
            <v>07</v>
          </cell>
          <cell r="C242">
            <v>1178036</v>
          </cell>
          <cell r="E242">
            <v>29425719</v>
          </cell>
          <cell r="F242" t="str">
            <v>COMPLEXO INTEGRADO DE EDUCACAO BASICA, PROFIS E TECNOLOG. CHICO MENDES</v>
          </cell>
        </row>
        <row r="243">
          <cell r="A243" t="str">
            <v>07</v>
          </cell>
          <cell r="C243">
            <v>1136480</v>
          </cell>
          <cell r="E243">
            <v>29325803</v>
          </cell>
          <cell r="F243" t="str">
            <v>COLEGIO ESTADUAL PROFESSORA JANE ASSIS PEIXOTO</v>
          </cell>
        </row>
        <row r="244">
          <cell r="A244" t="str">
            <v>07</v>
          </cell>
          <cell r="C244">
            <v>1113579</v>
          </cell>
          <cell r="E244">
            <v>29628610</v>
          </cell>
          <cell r="F244" t="str">
            <v>COLEGIO ESTADUAL PROFESSORA GERALDA MARIA CRISTINA BRITO</v>
          </cell>
        </row>
        <row r="245">
          <cell r="A245" t="str">
            <v>07</v>
          </cell>
          <cell r="C245">
            <v>1179452</v>
          </cell>
          <cell r="E245">
            <v>29467551</v>
          </cell>
          <cell r="F245" t="str">
            <v>COLEGIO ESTADUAL INDIGENA AKSA PATAXO</v>
          </cell>
        </row>
        <row r="246">
          <cell r="A246" t="str">
            <v>07</v>
          </cell>
          <cell r="C246">
            <v>1178128</v>
          </cell>
          <cell r="E246">
            <v>29327229</v>
          </cell>
          <cell r="F246" t="str">
            <v>COLEGIO ESTADUAL INDIGENA BOM JESUS</v>
          </cell>
        </row>
        <row r="247">
          <cell r="A247" t="str">
            <v>07</v>
          </cell>
          <cell r="C247">
            <v>1178127</v>
          </cell>
          <cell r="E247">
            <v>29327059</v>
          </cell>
          <cell r="F247" t="str">
            <v>COLEGIO ESTADUAL INDIGENA DE CORUMBAUZINHO</v>
          </cell>
        </row>
        <row r="248">
          <cell r="A248" t="str">
            <v>07</v>
          </cell>
          <cell r="C248">
            <v>1179368</v>
          </cell>
          <cell r="E248">
            <v>29464390</v>
          </cell>
          <cell r="F248" t="str">
            <v>COLEGIO ESTADUAL INDIGENA TANARA PATAXO PEQUI/GURITA</v>
          </cell>
        </row>
        <row r="249">
          <cell r="A249" t="str">
            <v>07</v>
          </cell>
          <cell r="C249">
            <v>1179453</v>
          </cell>
          <cell r="E249">
            <v>29467624</v>
          </cell>
          <cell r="F249" t="str">
            <v>COLEGIO ESTADUAL INDIGENA TAWA</v>
          </cell>
        </row>
        <row r="250">
          <cell r="A250" t="str">
            <v>07</v>
          </cell>
          <cell r="C250">
            <v>1179686</v>
          </cell>
          <cell r="E250">
            <v>29477220</v>
          </cell>
          <cell r="F250" t="str">
            <v>COLEGIO ESTADUAL DO CAMPO ANDERSON FRANCA</v>
          </cell>
        </row>
        <row r="251">
          <cell r="A251" t="str">
            <v>07</v>
          </cell>
          <cell r="C251">
            <v>1178182</v>
          </cell>
          <cell r="E251">
            <v>29440530</v>
          </cell>
          <cell r="F251" t="str">
            <v>COLEGIO ESTADUAL DO CAMPO VINTE E CINCO DE JULHO</v>
          </cell>
        </row>
        <row r="252">
          <cell r="A252" t="str">
            <v>07</v>
          </cell>
          <cell r="C252">
            <v>1178223</v>
          </cell>
          <cell r="E252">
            <v>29445213</v>
          </cell>
          <cell r="F252" t="str">
            <v>COLEGIO ESTADUAL INDIGENA KIJETXAWE ZABELE</v>
          </cell>
        </row>
        <row r="253">
          <cell r="A253" t="str">
            <v>07</v>
          </cell>
          <cell r="C253">
            <v>1113749</v>
          </cell>
          <cell r="E253">
            <v>29327202</v>
          </cell>
          <cell r="F253" t="str">
            <v>COLEGIO ESTADUAL DE TEMPO INTEGRAL HOMERO PIRES</v>
          </cell>
        </row>
        <row r="254">
          <cell r="A254" t="str">
            <v>07</v>
          </cell>
          <cell r="C254">
            <v>1176425</v>
          </cell>
          <cell r="E254">
            <v>29389631</v>
          </cell>
          <cell r="F254" t="str">
            <v>CENTRO TERRITORIAL DE EDUCACAO PROFISSIONAL DO EXTREMO SUL</v>
          </cell>
        </row>
        <row r="255">
          <cell r="A255" t="str">
            <v>07</v>
          </cell>
          <cell r="C255">
            <v>1179713</v>
          </cell>
          <cell r="E255">
            <v>29483247</v>
          </cell>
          <cell r="F255" t="str">
            <v>CENTRO REGIONAL DE ENS MEDIO COM INTERM TECNOLOGICA -CEMIT EXTREMO SUL</v>
          </cell>
        </row>
        <row r="256">
          <cell r="A256" t="str">
            <v>07</v>
          </cell>
          <cell r="C256">
            <v>1113803</v>
          </cell>
          <cell r="E256">
            <v>29328349</v>
          </cell>
          <cell r="F256" t="str">
            <v>COLEGIO DA POLICIA MILITAR - CPM ANISIO TEIXEIRA</v>
          </cell>
        </row>
        <row r="257">
          <cell r="A257" t="str">
            <v>07</v>
          </cell>
          <cell r="C257">
            <v>1176217</v>
          </cell>
          <cell r="E257">
            <v>29368219</v>
          </cell>
          <cell r="F257" t="str">
            <v>COLEGIO ESTADUAL MACHADO DE ASSIS</v>
          </cell>
        </row>
        <row r="258">
          <cell r="A258" t="str">
            <v>07</v>
          </cell>
          <cell r="C258">
            <v>1113846</v>
          </cell>
          <cell r="E258">
            <v>29327792</v>
          </cell>
          <cell r="F258" t="str">
            <v>COLEGIO ESTADUAL DE TEMPO INTEGRAL RUY BARBOSA</v>
          </cell>
        </row>
        <row r="259">
          <cell r="A259" t="str">
            <v>07</v>
          </cell>
          <cell r="C259">
            <v>1113684</v>
          </cell>
          <cell r="E259">
            <v>29327911</v>
          </cell>
          <cell r="F259" t="str">
            <v>COLEGIO ESTADUAL HENRIQUE BRITO</v>
          </cell>
        </row>
        <row r="260">
          <cell r="A260" t="str">
            <v>07</v>
          </cell>
          <cell r="C260">
            <v>1176218</v>
          </cell>
          <cell r="E260">
            <v>29327695</v>
          </cell>
          <cell r="F260" t="str">
            <v>COLEGIO ESTADUAL PROFESSOR ROMULO GALVAO</v>
          </cell>
        </row>
        <row r="261">
          <cell r="A261" t="str">
            <v>07</v>
          </cell>
          <cell r="C261">
            <v>1176142</v>
          </cell>
          <cell r="E261">
            <v>29330041</v>
          </cell>
          <cell r="F261" t="str">
            <v>COLEGIO ESTADUAL FRANCISCO SILVA PASSOS</v>
          </cell>
        </row>
        <row r="262">
          <cell r="A262" t="str">
            <v>07</v>
          </cell>
          <cell r="C262">
            <v>1178272</v>
          </cell>
          <cell r="E262">
            <v>29903726</v>
          </cell>
          <cell r="F262" t="str">
            <v>COLEGIO ESTADUAL ODILIO ALVES NETO</v>
          </cell>
        </row>
        <row r="263">
          <cell r="A263" t="str">
            <v>08</v>
          </cell>
          <cell r="C263">
            <v>1118449</v>
          </cell>
          <cell r="E263">
            <v>29270545</v>
          </cell>
          <cell r="F263" t="str">
            <v>COLEGIO ESTADUAL GELASIO ALVES DOS SANTOS</v>
          </cell>
        </row>
        <row r="264">
          <cell r="A264" t="str">
            <v>08</v>
          </cell>
          <cell r="C264">
            <v>1118511</v>
          </cell>
          <cell r="E264">
            <v>29297974</v>
          </cell>
          <cell r="F264" t="str">
            <v>CENTRO EDUCACIONAL MONTEIRO LOBATO</v>
          </cell>
        </row>
        <row r="265">
          <cell r="A265" t="str">
            <v>08</v>
          </cell>
          <cell r="C265">
            <v>1118546</v>
          </cell>
          <cell r="E265">
            <v>29272696</v>
          </cell>
          <cell r="F265" t="str">
            <v>COLEGIO ESTADUAL DE TEMPO INTEGRAL PAULO FREIRE</v>
          </cell>
        </row>
        <row r="266">
          <cell r="A266" t="str">
            <v>08</v>
          </cell>
          <cell r="C266">
            <v>1118619</v>
          </cell>
          <cell r="E266">
            <v>29272947</v>
          </cell>
          <cell r="F266" t="str">
            <v>COLEGIO ESTADUAL DE TEMPO INTEGRAL MARIA ODILIA TEIXEIRA</v>
          </cell>
        </row>
        <row r="267">
          <cell r="A267" t="str">
            <v>08</v>
          </cell>
          <cell r="C267">
            <v>1118791</v>
          </cell>
          <cell r="E267">
            <v>29282055</v>
          </cell>
          <cell r="F267" t="str">
            <v>COLEGIO ESTADUAL DE TEMPO INTEGRAL DE ITAMBE</v>
          </cell>
        </row>
        <row r="268">
          <cell r="A268" t="str">
            <v>08</v>
          </cell>
          <cell r="C268">
            <v>1118899</v>
          </cell>
          <cell r="E268">
            <v>29282608</v>
          </cell>
          <cell r="F268" t="str">
            <v>COLEGIO ESTADUAL DE TEMPO INTEGRAL ALFREDO DUTRA</v>
          </cell>
        </row>
        <row r="269">
          <cell r="A269" t="str">
            <v>08</v>
          </cell>
          <cell r="C269">
            <v>1176427</v>
          </cell>
          <cell r="E269">
            <v>29394341</v>
          </cell>
          <cell r="F269" t="str">
            <v>COLEGIO MODELO LUIS EDUARDO MAGALHAES</v>
          </cell>
        </row>
        <row r="270">
          <cell r="A270" t="str">
            <v>08</v>
          </cell>
          <cell r="C270">
            <v>1119119</v>
          </cell>
          <cell r="E270">
            <v>29282977</v>
          </cell>
          <cell r="F270" t="str">
            <v>COLEGIO POLIVALENTE DE ITAPETINGA</v>
          </cell>
        </row>
        <row r="271">
          <cell r="A271" t="str">
            <v>08</v>
          </cell>
          <cell r="C271">
            <v>1166613</v>
          </cell>
          <cell r="E271">
            <v>29283230</v>
          </cell>
          <cell r="F271" t="str">
            <v>COLEGIO ESTADUAL DE TEMPO INTEGRAL ADINALIA PEREIRA DE ARAUJO</v>
          </cell>
        </row>
        <row r="272">
          <cell r="A272" t="str">
            <v>08</v>
          </cell>
          <cell r="C272">
            <v>1178120</v>
          </cell>
          <cell r="E272">
            <v>29437172</v>
          </cell>
          <cell r="F272" t="str">
            <v>COLEGIO ESTADUAL EDSON OLIVEIRA</v>
          </cell>
        </row>
        <row r="273">
          <cell r="A273" t="str">
            <v>08</v>
          </cell>
          <cell r="C273">
            <v>1119283</v>
          </cell>
          <cell r="E273">
            <v>29283647</v>
          </cell>
          <cell r="F273" t="str">
            <v>CETEP DO MEDIO SUDOESTE DA BAHIA EURIDES EVANGELISTA PINTO</v>
          </cell>
        </row>
        <row r="274">
          <cell r="A274" t="str">
            <v>08</v>
          </cell>
          <cell r="C274">
            <v>1119380</v>
          </cell>
          <cell r="E274">
            <v>29284104</v>
          </cell>
          <cell r="F274" t="str">
            <v>COLEGIO ESTADUAL SAO PEDRO</v>
          </cell>
        </row>
        <row r="275">
          <cell r="A275" t="str">
            <v>08</v>
          </cell>
          <cell r="C275">
            <v>1178270</v>
          </cell>
          <cell r="E275">
            <v>29466008</v>
          </cell>
          <cell r="F275" t="str">
            <v>COLEGIO ESTADUAL ALTAIR ALMEIDA MEIRA</v>
          </cell>
        </row>
        <row r="276">
          <cell r="A276" t="str">
            <v>08</v>
          </cell>
          <cell r="C276">
            <v>1118830</v>
          </cell>
          <cell r="E276">
            <v>29437830</v>
          </cell>
          <cell r="F276" t="str">
            <v>COLEGIO ESTADUAL DE TEMPO INTEGRAL FLORESTAL</v>
          </cell>
        </row>
        <row r="277">
          <cell r="A277" t="str">
            <v>08</v>
          </cell>
          <cell r="C277">
            <v>1118872</v>
          </cell>
          <cell r="E277">
            <v>29284767</v>
          </cell>
          <cell r="F277" t="str">
            <v>COLEGIO DEMOCRATICO ESTADUAL ANISIO TEIXEIRA</v>
          </cell>
        </row>
        <row r="278">
          <cell r="A278" t="str">
            <v>08</v>
          </cell>
          <cell r="C278">
            <v>1112785</v>
          </cell>
          <cell r="E278">
            <v>29312469</v>
          </cell>
          <cell r="F278" t="str">
            <v>COLEGIO ESTADUAL JOHN KENNEDY</v>
          </cell>
        </row>
        <row r="279">
          <cell r="A279" t="str">
            <v>09</v>
          </cell>
          <cell r="C279">
            <v>1145462</v>
          </cell>
          <cell r="E279">
            <v>29222710</v>
          </cell>
          <cell r="F279" t="str">
            <v>COLEGIO ESTADUAL SANTA BERNADETE</v>
          </cell>
        </row>
        <row r="280">
          <cell r="A280" t="str">
            <v>09</v>
          </cell>
          <cell r="C280">
            <v>1109199</v>
          </cell>
          <cell r="E280">
            <v>29222583</v>
          </cell>
          <cell r="F280" t="str">
            <v>COLEGIO ESTADUAL PEDRO CALMON</v>
          </cell>
        </row>
        <row r="281">
          <cell r="A281" t="str">
            <v>09</v>
          </cell>
          <cell r="C281">
            <v>1167180</v>
          </cell>
          <cell r="E281">
            <v>29223016</v>
          </cell>
          <cell r="F281" t="str">
            <v>CENTRO TERRITORIAL DE EDUCACAO PROFISSIONAL DO VALE DO JIQUIRICA</v>
          </cell>
        </row>
        <row r="282">
          <cell r="A282">
            <v>9</v>
          </cell>
          <cell r="C282">
            <v>1179787</v>
          </cell>
          <cell r="E282">
            <v>44174</v>
          </cell>
          <cell r="F282" t="str">
            <v>CENTRO DE APOIO PEDAGOGICO ESPECIALIZADO - CAPE AMARGOSA</v>
          </cell>
        </row>
        <row r="283">
          <cell r="A283">
            <v>9</v>
          </cell>
          <cell r="C283">
            <v>1179832</v>
          </cell>
          <cell r="E283">
            <v>29222583</v>
          </cell>
          <cell r="F283" t="str">
            <v>COLEGIO ESTADUAL DE TEMPO INTEGRAL DE AMARGOSA</v>
          </cell>
        </row>
        <row r="284">
          <cell r="A284" t="str">
            <v>09</v>
          </cell>
          <cell r="C284">
            <v>1176399</v>
          </cell>
          <cell r="E284">
            <v>29369053</v>
          </cell>
          <cell r="F284" t="str">
            <v>COLEGIO ESTADUAL DE TEMPO INTEGRAL PROFESSORA HELENA SOUZA BISPO</v>
          </cell>
        </row>
        <row r="285">
          <cell r="A285">
            <v>9</v>
          </cell>
          <cell r="C285">
            <v>1117175</v>
          </cell>
          <cell r="E285">
            <v>29223687</v>
          </cell>
          <cell r="F285" t="str">
            <v>COLEGIO ESTADUAL DO CAMPO DE TEMPO INTEGRAL DA TERRA DO CAFE</v>
          </cell>
        </row>
        <row r="286">
          <cell r="A286" t="str">
            <v>09</v>
          </cell>
          <cell r="C286">
            <v>1178045</v>
          </cell>
          <cell r="E286">
            <v>29429129</v>
          </cell>
          <cell r="F286" t="str">
            <v>COLEGIO ESTADUAL DE CRAVOLANDIA</v>
          </cell>
        </row>
        <row r="287">
          <cell r="A287" t="str">
            <v>09</v>
          </cell>
          <cell r="C287">
            <v>1109423</v>
          </cell>
          <cell r="E287">
            <v>29092744</v>
          </cell>
          <cell r="F287" t="str">
            <v>COLEGIO ESTADUAL DEMOCRATICO PROFESSOR ROMULO GALVAO</v>
          </cell>
        </row>
        <row r="288">
          <cell r="A288" t="str">
            <v>09</v>
          </cell>
          <cell r="C288">
            <v>1176366</v>
          </cell>
          <cell r="E288">
            <v>29340080</v>
          </cell>
          <cell r="F288" t="str">
            <v>COLEGIO ESTADUAL PROFESSOR ISAIAS ALEIXO</v>
          </cell>
        </row>
        <row r="289">
          <cell r="A289" t="str">
            <v>09</v>
          </cell>
          <cell r="C289">
            <v>1119470</v>
          </cell>
          <cell r="E289">
            <v>29226040</v>
          </cell>
          <cell r="F289" t="str">
            <v>COLEGIO ESTADUAL JOAO PESSOA</v>
          </cell>
        </row>
        <row r="290">
          <cell r="A290" t="str">
            <v>09</v>
          </cell>
          <cell r="C290">
            <v>1117566</v>
          </cell>
          <cell r="E290">
            <v>29226147</v>
          </cell>
          <cell r="F290" t="str">
            <v>COLEGIO ESTADUAL DE TEMPO INTEGRAL MARIA CANDIDA DE CASTILHO FONTOURA</v>
          </cell>
        </row>
        <row r="291">
          <cell r="A291" t="str">
            <v>09</v>
          </cell>
          <cell r="C291">
            <v>1119445</v>
          </cell>
          <cell r="E291">
            <v>29226520</v>
          </cell>
          <cell r="F291" t="str">
            <v>CENTRO EST DE EDUC PROF EM ALIMENTOS E RECURSOS NATURAIS PIO XII</v>
          </cell>
        </row>
        <row r="292">
          <cell r="A292" t="str">
            <v>09</v>
          </cell>
          <cell r="C292">
            <v>1118023</v>
          </cell>
          <cell r="E292">
            <v>29226864</v>
          </cell>
          <cell r="F292" t="str">
            <v>COLEGIO ESTADUAL DE TEMPO INTEGRAL NOSSA SENHORA AUXILIADORA</v>
          </cell>
        </row>
        <row r="293">
          <cell r="A293">
            <v>9</v>
          </cell>
          <cell r="C293">
            <v>1119461</v>
          </cell>
          <cell r="E293">
            <v>29227356</v>
          </cell>
          <cell r="F293" t="str">
            <v>COLEGIO ESTADUAL DO CAMPO VIRGILIO PEREIRA DE ALMEIDA</v>
          </cell>
        </row>
        <row r="294">
          <cell r="A294" t="str">
            <v>09</v>
          </cell>
          <cell r="C294">
            <v>1110308</v>
          </cell>
          <cell r="E294">
            <v>29229839</v>
          </cell>
          <cell r="F294" t="str">
            <v>COLEGIO ESTADUAL DE TEMPO INTEGRAL JOSE MALTA MAIA</v>
          </cell>
        </row>
        <row r="295">
          <cell r="A295" t="str">
            <v>09</v>
          </cell>
          <cell r="C295">
            <v>1118066</v>
          </cell>
          <cell r="E295">
            <v>29230985</v>
          </cell>
          <cell r="F295" t="str">
            <v>COLEGIO ESTADUAL DE TEMPO INTEGRAL PROFESSOR ERALDO TINOCO</v>
          </cell>
        </row>
        <row r="296">
          <cell r="A296" t="str">
            <v>09</v>
          </cell>
          <cell r="C296">
            <v>1178269</v>
          </cell>
          <cell r="E296">
            <v>29447690</v>
          </cell>
          <cell r="F296" t="str">
            <v>COLEGIO ESTADUAL DE TEMPO INTEGRAL RUY JOSE DE ALMEIDA</v>
          </cell>
        </row>
        <row r="297">
          <cell r="A297" t="str">
            <v>09</v>
          </cell>
          <cell r="C297">
            <v>1166796</v>
          </cell>
          <cell r="E297">
            <v>29231868</v>
          </cell>
          <cell r="F297" t="str">
            <v>COLEGIO ESTADUAL FERNANDO PRESIDIO</v>
          </cell>
        </row>
        <row r="298">
          <cell r="A298" t="str">
            <v>09</v>
          </cell>
          <cell r="C298">
            <v>1176455</v>
          </cell>
          <cell r="E298">
            <v>29390109</v>
          </cell>
          <cell r="F298" t="str">
            <v>COLEGIO EST DE TEMPO INTEG DE MARACAS IRACY MARLENE DA HORA PASSOS</v>
          </cell>
        </row>
        <row r="299">
          <cell r="A299" t="str">
            <v>09</v>
          </cell>
          <cell r="C299">
            <v>1179694</v>
          </cell>
          <cell r="E299">
            <v>29479169</v>
          </cell>
          <cell r="F299" t="str">
            <v>COLEGIO ESTADUAL DE MILAGRES</v>
          </cell>
        </row>
        <row r="300">
          <cell r="A300" t="str">
            <v>09</v>
          </cell>
          <cell r="C300">
            <v>1177069</v>
          </cell>
          <cell r="E300">
            <v>29410452</v>
          </cell>
          <cell r="F300" t="str">
            <v>COLEGIO ESTADUAL DE TEMPO INTEGRAL ANTONIO FELIPE EVANGELISTA NETO</v>
          </cell>
        </row>
        <row r="301">
          <cell r="A301" t="str">
            <v>09</v>
          </cell>
          <cell r="C301">
            <v>1118414</v>
          </cell>
          <cell r="E301">
            <v>29234450</v>
          </cell>
          <cell r="F301" t="str">
            <v>COLEGIO ESTADUAL DE TEMPO INTEGRAL DE NOVA ITARANA</v>
          </cell>
        </row>
        <row r="302">
          <cell r="A302" t="str">
            <v>09</v>
          </cell>
          <cell r="C302">
            <v>1166877</v>
          </cell>
          <cell r="E302">
            <v>29234913</v>
          </cell>
          <cell r="F302" t="str">
            <v>COLEGIO ESTADUAL DE TEMPO INTEGRAL MANOEL JOSE DE ANDRADE</v>
          </cell>
        </row>
        <row r="303">
          <cell r="A303" t="str">
            <v>09</v>
          </cell>
          <cell r="C303">
            <v>1118287</v>
          </cell>
          <cell r="E303">
            <v>29235138</v>
          </cell>
          <cell r="F303" t="str">
            <v>COLEGIO ESTADUAL DE TEMPO INTEGRAL DE SANTA INES</v>
          </cell>
        </row>
        <row r="304">
          <cell r="A304" t="str">
            <v>09</v>
          </cell>
          <cell r="C304">
            <v>1109563</v>
          </cell>
          <cell r="E304">
            <v>29235260</v>
          </cell>
          <cell r="F304" t="str">
            <v>COLEGIO ESTADUAL DE TEMPO INTEGRAL ALDEMIRO VILAS BOAS</v>
          </cell>
        </row>
        <row r="305">
          <cell r="A305" t="str">
            <v>09</v>
          </cell>
          <cell r="C305">
            <v>1110529</v>
          </cell>
          <cell r="E305">
            <v>29236550</v>
          </cell>
          <cell r="F305" t="str">
            <v>COLEGIO ESTADUAL DE TEMPO INTEGRAL BALBINO MUNIZ BARRETO</v>
          </cell>
        </row>
        <row r="306">
          <cell r="A306" t="str">
            <v>10</v>
          </cell>
          <cell r="C306">
            <v>1178278</v>
          </cell>
          <cell r="E306">
            <v>29535808</v>
          </cell>
          <cell r="F306" t="str">
            <v>COLEGIO ESTADUAL DE TEMPO INTEGRAL DOUTOR IVES ORLANDO LOPES DA SILVA</v>
          </cell>
        </row>
        <row r="307">
          <cell r="A307" t="str">
            <v>10</v>
          </cell>
          <cell r="C307">
            <v>1176454</v>
          </cell>
          <cell r="E307">
            <v>29393353</v>
          </cell>
          <cell r="F307" t="str">
            <v>COLEGIO ESTADUAL LUIS CABRAL</v>
          </cell>
        </row>
        <row r="308">
          <cell r="A308" t="str">
            <v>10</v>
          </cell>
          <cell r="C308">
            <v>1179687</v>
          </cell>
          <cell r="E308">
            <v>29477441</v>
          </cell>
          <cell r="F308" t="str">
            <v>COLEGIO ESTADUAL DE TEMPO INTEGRAL DE CASA NOVA</v>
          </cell>
        </row>
        <row r="309">
          <cell r="A309" t="str">
            <v>10</v>
          </cell>
          <cell r="C309">
            <v>1179712</v>
          </cell>
          <cell r="E309">
            <v>29485100</v>
          </cell>
          <cell r="F309" t="str">
            <v>COLEGIO ESTADUAL DO CAMPO PROFESSORA MARIA TEREZA BRAGA CABRAL</v>
          </cell>
        </row>
        <row r="310">
          <cell r="A310" t="str">
            <v>10</v>
          </cell>
          <cell r="C310">
            <v>1179592</v>
          </cell>
          <cell r="E310">
            <v>29470560</v>
          </cell>
          <cell r="F310" t="str">
            <v>COLEGIO ESTADUAL DO CAMPO AGNALDO ALMEIDA</v>
          </cell>
        </row>
        <row r="311">
          <cell r="A311" t="str">
            <v>10</v>
          </cell>
          <cell r="C311">
            <v>1170823</v>
          </cell>
          <cell r="E311">
            <v>29024323</v>
          </cell>
          <cell r="F311" t="str">
            <v>COLEGIO ESTADUAL AGROVILA 08</v>
          </cell>
        </row>
        <row r="312">
          <cell r="A312" t="str">
            <v>10</v>
          </cell>
          <cell r="C312">
            <v>1161654</v>
          </cell>
          <cell r="E312">
            <v>29024129</v>
          </cell>
          <cell r="F312" t="str">
            <v>COLEGIO ESTADUAL ANANIAS CARLOS DO NASCIMENTO</v>
          </cell>
        </row>
        <row r="313">
          <cell r="A313" t="str">
            <v>10</v>
          </cell>
          <cell r="C313">
            <v>1161638</v>
          </cell>
          <cell r="E313">
            <v>29023688</v>
          </cell>
          <cell r="F313" t="str">
            <v>CENTRO TERRITORIAL DE EDUCACAO PROFISSIONAL MARIA DE ALMEIDA ARAUJO</v>
          </cell>
        </row>
        <row r="314">
          <cell r="A314">
            <v>10</v>
          </cell>
          <cell r="C314">
            <v>1179779</v>
          </cell>
          <cell r="E314">
            <v>29360463</v>
          </cell>
          <cell r="F314" t="str">
            <v>ESCOLA ESTADUAL INDIGENA NOSSA SENHORA DE LOURDES</v>
          </cell>
        </row>
        <row r="315">
          <cell r="A315" t="str">
            <v>10</v>
          </cell>
          <cell r="C315">
            <v>1120915</v>
          </cell>
          <cell r="E315">
            <v>29024579</v>
          </cell>
          <cell r="F315" t="str">
            <v>COMPLEXO INTEGRADO DE EDUCACAO BASICA, PROFIS E TECNOLOGICA DA BAHIA</v>
          </cell>
        </row>
        <row r="316">
          <cell r="A316" t="str">
            <v>10</v>
          </cell>
          <cell r="C316">
            <v>1161085</v>
          </cell>
          <cell r="E316">
            <v>29024641</v>
          </cell>
          <cell r="F316" t="str">
            <v>CENTRO TERRITORIAL DE EDUCACAO PROFISSIONAL DO SERTAO DO SAO FRANCISCO</v>
          </cell>
        </row>
        <row r="317">
          <cell r="A317" t="str">
            <v>10</v>
          </cell>
          <cell r="C317">
            <v>1120338</v>
          </cell>
          <cell r="E317">
            <v>29024765</v>
          </cell>
          <cell r="F317" t="str">
            <v>COLEGIO ESTADUAL ANTONILIO DA FRANCA CARDOSO</v>
          </cell>
        </row>
        <row r="318">
          <cell r="A318" t="str">
            <v>10</v>
          </cell>
          <cell r="C318">
            <v>1120761</v>
          </cell>
          <cell r="E318">
            <v>29024722</v>
          </cell>
          <cell r="F318" t="str">
            <v>COLEGIO ESTADUAL DE TEMPO INTEGRAL PEDRO RAYMUNDO MOREIRA REGO</v>
          </cell>
        </row>
        <row r="319">
          <cell r="A319" t="str">
            <v>10</v>
          </cell>
          <cell r="C319">
            <v>1176428</v>
          </cell>
          <cell r="E319">
            <v>29390737</v>
          </cell>
          <cell r="F319" t="str">
            <v>COLEGIO MODELO LUIS EDUARDO MAGALHAES</v>
          </cell>
        </row>
        <row r="320">
          <cell r="A320" t="str">
            <v>10</v>
          </cell>
          <cell r="C320">
            <v>1179111</v>
          </cell>
          <cell r="E320">
            <v>29456509</v>
          </cell>
          <cell r="F320" t="str">
            <v>CENT.REG.DE ENS.MEDIO COM INTERMEDIACAO TEC-CEMIT SERTAO DO S FRANCISC</v>
          </cell>
        </row>
        <row r="321">
          <cell r="A321" t="str">
            <v>10</v>
          </cell>
          <cell r="C321">
            <v>1178378</v>
          </cell>
          <cell r="E321">
            <v>29859808</v>
          </cell>
          <cell r="F321" t="str">
            <v>COLEGIO ESTADUAL DO CAMPO OLAVO FERREIRA NETO</v>
          </cell>
        </row>
        <row r="322">
          <cell r="A322" t="str">
            <v>10</v>
          </cell>
          <cell r="C322">
            <v>1120311</v>
          </cell>
          <cell r="E322">
            <v>29025028</v>
          </cell>
          <cell r="F322" t="str">
            <v>COLEGIO DA POLICIA MILITAR - CPM ALFREDO VIANNA</v>
          </cell>
        </row>
        <row r="323">
          <cell r="A323" t="str">
            <v>10</v>
          </cell>
          <cell r="C323">
            <v>1176930</v>
          </cell>
          <cell r="E323">
            <v>29408628</v>
          </cell>
          <cell r="F323" t="str">
            <v>COLEGIO ESTADUAL ARTUR OLIVEIRA DA SILVA</v>
          </cell>
        </row>
        <row r="324">
          <cell r="A324" t="str">
            <v>10</v>
          </cell>
          <cell r="C324">
            <v>1176091</v>
          </cell>
          <cell r="E324">
            <v>29025117</v>
          </cell>
          <cell r="F324" t="str">
            <v>COLEGIO ESTADUAL DONA GUIOMAR BARRETO MEIRA</v>
          </cell>
        </row>
        <row r="325">
          <cell r="A325" t="str">
            <v>10</v>
          </cell>
          <cell r="C325">
            <v>1120613</v>
          </cell>
          <cell r="E325">
            <v>29025060</v>
          </cell>
          <cell r="F325" t="str">
            <v>COLEGIO ESTADUAL JUTAHY MAGALHAES</v>
          </cell>
        </row>
        <row r="326">
          <cell r="A326" t="str">
            <v>10</v>
          </cell>
          <cell r="C326">
            <v>1161034</v>
          </cell>
          <cell r="E326">
            <v>29024528</v>
          </cell>
          <cell r="F326" t="str">
            <v>COLEGIO ESTADUAL DE TEMPO INTEGRAL FLORENTINA ALVES DOS SANTOS</v>
          </cell>
        </row>
        <row r="327">
          <cell r="A327" t="str">
            <v>10</v>
          </cell>
          <cell r="C327">
            <v>1120664</v>
          </cell>
          <cell r="E327">
            <v>29024536</v>
          </cell>
          <cell r="F327" t="str">
            <v>COLEGIO ESTADUAL DE TEMPO INTEGRAL LOMANTO JUNIOR</v>
          </cell>
        </row>
        <row r="328">
          <cell r="A328" t="str">
            <v>10</v>
          </cell>
          <cell r="C328">
            <v>1120494</v>
          </cell>
          <cell r="E328">
            <v>29024803</v>
          </cell>
          <cell r="F328" t="str">
            <v>CENTRO EST. DE EDUCACAO PROFIS EM GESTAO E NEGOCIOS DO NORTE BAIANO</v>
          </cell>
        </row>
        <row r="329">
          <cell r="A329" t="str">
            <v>10</v>
          </cell>
          <cell r="C329">
            <v>1120524</v>
          </cell>
          <cell r="E329">
            <v>29025052</v>
          </cell>
          <cell r="F329" t="str">
            <v>COLEGIO ESTADUAL HILDETE LOMANTO</v>
          </cell>
        </row>
        <row r="330">
          <cell r="A330" t="str">
            <v>10</v>
          </cell>
          <cell r="C330">
            <v>1120893</v>
          </cell>
          <cell r="E330">
            <v>29025001</v>
          </cell>
          <cell r="F330" t="str">
            <v>COLEGIO ESTADUAL ROTARY CLUBE</v>
          </cell>
        </row>
        <row r="331">
          <cell r="A331" t="str">
            <v>10</v>
          </cell>
          <cell r="C331">
            <v>1120389</v>
          </cell>
          <cell r="E331">
            <v>29024862</v>
          </cell>
          <cell r="F331" t="str">
            <v>COLEGIO ESTADUAL CECILIO MATTOS</v>
          </cell>
        </row>
        <row r="332">
          <cell r="A332" t="str">
            <v>10</v>
          </cell>
          <cell r="C332">
            <v>1160950</v>
          </cell>
          <cell r="E332">
            <v>29024846</v>
          </cell>
          <cell r="F332" t="str">
            <v>COLEGIO ESTADUAL DE TEMPO INTEGRAL AGOSTINHO MUNIZ</v>
          </cell>
        </row>
        <row r="333">
          <cell r="A333" t="str">
            <v>10</v>
          </cell>
          <cell r="C333">
            <v>1178255</v>
          </cell>
          <cell r="E333">
            <v>29467004</v>
          </cell>
          <cell r="F333" t="str">
            <v>COLEGIO ESTADUAL DE TEMPO INTEGRAL PAULO JOSE DE OLIVEIRA</v>
          </cell>
        </row>
        <row r="334">
          <cell r="A334" t="str">
            <v>10</v>
          </cell>
          <cell r="C334">
            <v>1121520</v>
          </cell>
          <cell r="E334">
            <v>29029732</v>
          </cell>
          <cell r="F334" t="str">
            <v>COLEGIO ESTADUAL DE TEMPO INTEGRAL SOFIA MASCARENHAS</v>
          </cell>
        </row>
        <row r="335">
          <cell r="A335" t="str">
            <v>10</v>
          </cell>
          <cell r="C335">
            <v>1121342</v>
          </cell>
          <cell r="E335">
            <v>29031265</v>
          </cell>
          <cell r="F335" t="str">
            <v>COLEGIO ESTADUAL DE TEMPO INTEGRAL PROFESSORA IRENE DE SOUZA ARAUJO</v>
          </cell>
        </row>
        <row r="336">
          <cell r="A336" t="str">
            <v>10</v>
          </cell>
          <cell r="C336">
            <v>1121326</v>
          </cell>
          <cell r="E336">
            <v>29030137</v>
          </cell>
          <cell r="F336" t="str">
            <v>COLEGIO ESTADUAL REITOR EDGARD SANTOS</v>
          </cell>
        </row>
        <row r="337">
          <cell r="A337" t="str">
            <v>10</v>
          </cell>
          <cell r="C337">
            <v>1144156</v>
          </cell>
          <cell r="E337">
            <v>29031630</v>
          </cell>
          <cell r="F337" t="str">
            <v>COLEGIO ESTADUAL DE TEMPO INTEGRAL SETE DE SETEMBRO</v>
          </cell>
        </row>
        <row r="338">
          <cell r="A338" t="str">
            <v>10</v>
          </cell>
          <cell r="C338">
            <v>1120508</v>
          </cell>
          <cell r="E338">
            <v>29032300</v>
          </cell>
          <cell r="F338" t="str">
            <v>COLEGIO ESTADUAL JORGE KHOURY</v>
          </cell>
        </row>
        <row r="339">
          <cell r="A339" t="str">
            <v>10</v>
          </cell>
          <cell r="C339">
            <v>1120907</v>
          </cell>
          <cell r="E339">
            <v>29032334</v>
          </cell>
          <cell r="F339" t="str">
            <v>COLEGIO ESTADUAL DE TEMPO INTEGRAL VILA SAO JOAQUIM</v>
          </cell>
        </row>
        <row r="340">
          <cell r="A340" t="str">
            <v>10</v>
          </cell>
          <cell r="C340">
            <v>1161336</v>
          </cell>
          <cell r="E340">
            <v>29124484</v>
          </cell>
          <cell r="F340" t="str">
            <v>CENTRO TERRIT EDUC PROF DO SERTAO SAO FRANCISCO II ANTONIO CONSELHEIRO</v>
          </cell>
        </row>
        <row r="341">
          <cell r="A341" t="str">
            <v>10</v>
          </cell>
          <cell r="C341">
            <v>1161271</v>
          </cell>
          <cell r="E341">
            <v>29125537</v>
          </cell>
          <cell r="F341" t="str">
            <v>COLEGIO ESTADUAL DO CAMPO PROFESSOR EDIVALDO MACHADO BOAVENTURA</v>
          </cell>
        </row>
        <row r="342">
          <cell r="A342" t="str">
            <v>10</v>
          </cell>
          <cell r="C342">
            <v>1121423</v>
          </cell>
          <cell r="E342">
            <v>29124964</v>
          </cell>
          <cell r="F342" t="str">
            <v>COLEGIO ESTADUAL DO CAMPO INTEGRACAO LAGOA DO PIRES</v>
          </cell>
        </row>
        <row r="343">
          <cell r="A343" t="str">
            <v>10</v>
          </cell>
          <cell r="C343">
            <v>1121474</v>
          </cell>
          <cell r="E343">
            <v>29124506</v>
          </cell>
          <cell r="F343" t="str">
            <v>COLEGIO ESTADUAL NOSSA SENHORA AUXILIADORA</v>
          </cell>
        </row>
        <row r="344">
          <cell r="A344" t="str">
            <v>11</v>
          </cell>
          <cell r="C344">
            <v>1129521</v>
          </cell>
          <cell r="E344">
            <v>29005752</v>
          </cell>
          <cell r="F344" t="str">
            <v>COLEGIO ESTADUAL DE TEMPO INTEGRAL APARICIO JOSE DA SILVA</v>
          </cell>
        </row>
        <row r="345">
          <cell r="A345" t="str">
            <v>11</v>
          </cell>
          <cell r="C345">
            <v>1179377</v>
          </cell>
          <cell r="E345">
            <v>29464765</v>
          </cell>
          <cell r="F345" t="str">
            <v>COLEGIO ESTADUAL DO CAMPO VERONILDO MENDES PEREIRA</v>
          </cell>
        </row>
        <row r="346">
          <cell r="A346" t="str">
            <v>11</v>
          </cell>
          <cell r="C346">
            <v>1129637</v>
          </cell>
          <cell r="E346">
            <v>29000599</v>
          </cell>
          <cell r="F346" t="str">
            <v>COLEGIO ESTADUAL PIO ALVES DOS SANTOS</v>
          </cell>
        </row>
        <row r="347">
          <cell r="A347" t="str">
            <v>11</v>
          </cell>
          <cell r="C347">
            <v>1129718</v>
          </cell>
          <cell r="E347">
            <v>29336325</v>
          </cell>
          <cell r="F347" t="str">
            <v>COLEGIO ESTADUAL DUQUE DE CAXIAS</v>
          </cell>
        </row>
        <row r="348">
          <cell r="A348" t="str">
            <v>11</v>
          </cell>
          <cell r="C348">
            <v>1129742</v>
          </cell>
          <cell r="E348">
            <v>29000971</v>
          </cell>
          <cell r="F348" t="str">
            <v>CENTRO TERRITORIAL DE EDUCACAO PROFISSIONAL DA BACIA DO RIO GRANDE</v>
          </cell>
        </row>
        <row r="349">
          <cell r="A349" t="str">
            <v>11</v>
          </cell>
          <cell r="C349">
            <v>1179458</v>
          </cell>
          <cell r="E349">
            <v>29468396</v>
          </cell>
          <cell r="F349" t="str">
            <v>CENTRO JUVENIL DE CIENCIA E CULTURA- CJCC BARREIRAS</v>
          </cell>
        </row>
        <row r="350">
          <cell r="A350" t="str">
            <v>11</v>
          </cell>
          <cell r="C350">
            <v>1179339</v>
          </cell>
          <cell r="E350">
            <v>29461480</v>
          </cell>
          <cell r="F350" t="str">
            <v>CENT REG DE ENS MEDIO COM INTERMEDIACAO TEC.CEMIT BACIA DO RIO GRANDE</v>
          </cell>
        </row>
        <row r="351">
          <cell r="A351" t="str">
            <v>11</v>
          </cell>
          <cell r="C351">
            <v>1129696</v>
          </cell>
          <cell r="E351">
            <v>29001064</v>
          </cell>
          <cell r="F351" t="str">
            <v>COLEGIO ESTADUAL DE BARREIRINHAS</v>
          </cell>
        </row>
        <row r="352">
          <cell r="A352" t="str">
            <v>11</v>
          </cell>
          <cell r="C352">
            <v>1129831</v>
          </cell>
          <cell r="E352">
            <v>29001498</v>
          </cell>
          <cell r="F352" t="str">
            <v>COLEGIO DA POLICIA MILITAR - CPM PROFESSOR ALEXANDRE LEAL COSTA</v>
          </cell>
        </row>
        <row r="353">
          <cell r="A353" t="str">
            <v>11</v>
          </cell>
          <cell r="C353">
            <v>1165382</v>
          </cell>
          <cell r="E353">
            <v>29000831</v>
          </cell>
          <cell r="F353" t="str">
            <v>COLEGIO DEMOCRATICO ESTADUAL MARCOS FREIRE</v>
          </cell>
        </row>
        <row r="354">
          <cell r="A354" t="str">
            <v>11</v>
          </cell>
          <cell r="C354">
            <v>1129939</v>
          </cell>
          <cell r="E354">
            <v>29383218</v>
          </cell>
          <cell r="F354" t="str">
            <v>COLEGIO ESTADUAL HERCULANO FARIA</v>
          </cell>
        </row>
        <row r="355">
          <cell r="A355" t="str">
            <v>11</v>
          </cell>
          <cell r="C355">
            <v>1178162</v>
          </cell>
          <cell r="E355">
            <v>29437881</v>
          </cell>
          <cell r="F355" t="str">
            <v>COLEGIO ESTADUAL DE TEMPO INTEGRAL PROFESSORA KELLY MAGALHAES</v>
          </cell>
        </row>
        <row r="356">
          <cell r="A356" t="str">
            <v>11</v>
          </cell>
          <cell r="C356">
            <v>1139896</v>
          </cell>
          <cell r="E356">
            <v>29000840</v>
          </cell>
          <cell r="F356" t="str">
            <v>COLEGIO ESTADUAL ANTONIO GERALDO</v>
          </cell>
        </row>
        <row r="357">
          <cell r="A357" t="str">
            <v>11</v>
          </cell>
          <cell r="C357">
            <v>1129858</v>
          </cell>
          <cell r="E357">
            <v>29001773</v>
          </cell>
          <cell r="F357" t="str">
            <v>COLEGIO ESTADUAL PRISCO VIANA</v>
          </cell>
        </row>
        <row r="358">
          <cell r="A358" t="str">
            <v>11</v>
          </cell>
          <cell r="C358">
            <v>1178003</v>
          </cell>
          <cell r="E358">
            <v>29418690</v>
          </cell>
          <cell r="F358" t="str">
            <v>COLEGIO ESTADUAL ANTONIO RODRIGUES VIANA</v>
          </cell>
        </row>
        <row r="359">
          <cell r="A359" t="str">
            <v>11</v>
          </cell>
          <cell r="C359">
            <v>1129980</v>
          </cell>
          <cell r="E359">
            <v>29002427</v>
          </cell>
          <cell r="F359" t="str">
            <v>COLEGIO ESTADUAL NOSSA SENHORA DA PENHA</v>
          </cell>
        </row>
        <row r="360">
          <cell r="A360" t="str">
            <v>11</v>
          </cell>
          <cell r="C360">
            <v>1130260</v>
          </cell>
          <cell r="E360">
            <v>29007100</v>
          </cell>
          <cell r="F360" t="str">
            <v>COLEGIO ESTADUAL DE TEMPO INTEGRAL JOSE MARCELO SILVEIRA MARIANI</v>
          </cell>
        </row>
        <row r="361">
          <cell r="A361" t="str">
            <v>11</v>
          </cell>
          <cell r="C361">
            <v>1169558</v>
          </cell>
          <cell r="E361">
            <v>29007887</v>
          </cell>
          <cell r="F361" t="str">
            <v>COLEGIO ESTADUAL DE TEMPO INTEGRAL DE CRISTOPOLIS</v>
          </cell>
        </row>
        <row r="362">
          <cell r="A362" t="str">
            <v>11</v>
          </cell>
          <cell r="C362">
            <v>1179662</v>
          </cell>
          <cell r="E362">
            <v>29474914</v>
          </cell>
          <cell r="F362" t="str">
            <v>CENTRO TERRITORIAL DE EDUCACAO PROFISSIONAL ALMIR TEIXEIRA SANTOS</v>
          </cell>
        </row>
        <row r="363">
          <cell r="A363" t="str">
            <v>11</v>
          </cell>
          <cell r="C363">
            <v>1179440</v>
          </cell>
          <cell r="E363">
            <v>29464773</v>
          </cell>
          <cell r="F363" t="str">
            <v>COLEGIO ESTADUAL DE TEMPO INTEGRAL MARIA OTILIA LUTZ</v>
          </cell>
        </row>
        <row r="364">
          <cell r="A364" t="str">
            <v>11</v>
          </cell>
          <cell r="C364">
            <v>1171390</v>
          </cell>
          <cell r="E364">
            <v>29379423</v>
          </cell>
          <cell r="F364" t="str">
            <v>COLEGIO ESTADUAL DE TEMPO INTEGRAL MIMOSO DO OESTE</v>
          </cell>
        </row>
        <row r="365">
          <cell r="A365" t="str">
            <v>11</v>
          </cell>
          <cell r="C365">
            <v>1177102</v>
          </cell>
          <cell r="E365">
            <v>29427550</v>
          </cell>
          <cell r="F365" t="str">
            <v>COLEGIO ESTADUAL CONSTANTINO CATARINO DE SOUZA</v>
          </cell>
        </row>
        <row r="366">
          <cell r="A366" t="str">
            <v>11</v>
          </cell>
          <cell r="C366">
            <v>1178086</v>
          </cell>
          <cell r="E366">
            <v>29431662</v>
          </cell>
          <cell r="F366" t="str">
            <v>COLEGIO ESTADUAL DE TEMPO INTEGRAL PROFESSORA MARIA HELENA OLIVEIRA</v>
          </cell>
        </row>
        <row r="367">
          <cell r="A367" t="str">
            <v>11</v>
          </cell>
          <cell r="C367">
            <v>1178288</v>
          </cell>
          <cell r="E367">
            <v>29526809</v>
          </cell>
          <cell r="F367" t="str">
            <v>COLEGIO ESTADUAL PROFESSOR IVARDO PEREIRA BASTOS</v>
          </cell>
        </row>
        <row r="368">
          <cell r="A368" t="str">
            <v>11</v>
          </cell>
          <cell r="C368">
            <v>1130856</v>
          </cell>
          <cell r="E368">
            <v>29343003</v>
          </cell>
          <cell r="F368" t="str">
            <v>COLEGIO ESTADUAL RODOLFO DE QUEIROZ</v>
          </cell>
        </row>
        <row r="369">
          <cell r="A369" t="str">
            <v>11</v>
          </cell>
          <cell r="C369">
            <v>1130929</v>
          </cell>
          <cell r="E369">
            <v>29009197</v>
          </cell>
          <cell r="F369" t="str">
            <v>CENTRO TERRI.DE EDUC.PROFI.STA RITA DE CASSIA-CETEP STA RITA DE CASSIA</v>
          </cell>
        </row>
        <row r="370">
          <cell r="A370" t="str">
            <v>11</v>
          </cell>
          <cell r="C370">
            <v>1179619</v>
          </cell>
          <cell r="E370">
            <v>29470501</v>
          </cell>
          <cell r="F370" t="str">
            <v>COLEGIO ESTADUAL DO CAMPO MIGUEL MOREIRA DE CARVALHO</v>
          </cell>
        </row>
        <row r="371">
          <cell r="A371" t="str">
            <v>11</v>
          </cell>
          <cell r="C371">
            <v>1176129</v>
          </cell>
          <cell r="E371">
            <v>29336082</v>
          </cell>
          <cell r="F371" t="str">
            <v>COLEGIO ESTADUAL BENTO ALVES DAS NEVES</v>
          </cell>
        </row>
        <row r="372">
          <cell r="A372" t="str">
            <v>11</v>
          </cell>
          <cell r="C372">
            <v>1165455</v>
          </cell>
          <cell r="E372">
            <v>29010438</v>
          </cell>
          <cell r="F372" t="str">
            <v>COLEGIO ESTADUAL DE TEMPO INTEGRAL ANTONIO INACIO DE OLIVEIRA</v>
          </cell>
        </row>
        <row r="373">
          <cell r="A373" t="str">
            <v>12</v>
          </cell>
          <cell r="C373">
            <v>1176443</v>
          </cell>
          <cell r="E373">
            <v>29384400</v>
          </cell>
          <cell r="F373" t="str">
            <v>COLEGIO ESTADUAL DE TEMPO INTEGRAL DE BOQUIRA</v>
          </cell>
        </row>
        <row r="374">
          <cell r="A374" t="str">
            <v>12</v>
          </cell>
          <cell r="C374">
            <v>1176458</v>
          </cell>
          <cell r="E374">
            <v>29384389</v>
          </cell>
          <cell r="F374" t="str">
            <v>COLEGIO ESTADUAL DO CAMPO DE TEMPO INTEGRAL DE BOTUPORA</v>
          </cell>
        </row>
        <row r="375">
          <cell r="A375" t="str">
            <v>12</v>
          </cell>
          <cell r="C375">
            <v>1167709</v>
          </cell>
          <cell r="E375">
            <v>29205387</v>
          </cell>
          <cell r="F375" t="str">
            <v>COLEGIO ESTADUAL SAO SEBASTIAO</v>
          </cell>
        </row>
        <row r="376">
          <cell r="A376" t="str">
            <v>12</v>
          </cell>
          <cell r="C376">
            <v>1165056</v>
          </cell>
          <cell r="E376">
            <v>29236606</v>
          </cell>
          <cell r="F376" t="str">
            <v>COLEGIO ESTADUAL DE TEMPO INTEGRAL DE AGUA QUENTE</v>
          </cell>
        </row>
        <row r="377">
          <cell r="A377" t="str">
            <v>12</v>
          </cell>
          <cell r="C377">
            <v>1127960</v>
          </cell>
          <cell r="E377">
            <v>29206545</v>
          </cell>
          <cell r="F377" t="str">
            <v>COLEGIO ESTADUAL DO CAMPO DE TEMPO INTEGRAL DE IBIPITANGA</v>
          </cell>
        </row>
        <row r="378">
          <cell r="A378" t="str">
            <v>12</v>
          </cell>
          <cell r="C378">
            <v>1179717</v>
          </cell>
          <cell r="E378">
            <v>29483395</v>
          </cell>
          <cell r="F378" t="str">
            <v>CENTRO REGIONAL DE ENS M COM INTE TECNOLOGICA-CEMIT BACIA DO PARAMIRIM</v>
          </cell>
        </row>
        <row r="379">
          <cell r="A379" t="str">
            <v>12</v>
          </cell>
          <cell r="C379">
            <v>1128088</v>
          </cell>
          <cell r="E379">
            <v>29209439</v>
          </cell>
          <cell r="F379" t="str">
            <v>COLEGIO ESTADUAL CONEGO FIRMINO SOARES</v>
          </cell>
        </row>
        <row r="380">
          <cell r="A380" t="str">
            <v>12</v>
          </cell>
          <cell r="C380">
            <v>1128177</v>
          </cell>
          <cell r="E380">
            <v>29208297</v>
          </cell>
          <cell r="F380" t="str">
            <v>CENTRO TERRITORIAL DE EDUCACAO PROFISSIONAL DA BACIA DO PARAMIRIM</v>
          </cell>
        </row>
        <row r="381">
          <cell r="A381" t="str">
            <v>12</v>
          </cell>
          <cell r="C381">
            <v>1127731</v>
          </cell>
          <cell r="E381">
            <v>29239354</v>
          </cell>
          <cell r="F381" t="str">
            <v>COLEGIO ESTADUAL DE TEMPO INTEGRAL DE PARAMIRIM</v>
          </cell>
        </row>
        <row r="382">
          <cell r="A382" t="str">
            <v>12</v>
          </cell>
          <cell r="C382">
            <v>1127707</v>
          </cell>
          <cell r="E382">
            <v>29240131</v>
          </cell>
          <cell r="F382" t="str">
            <v>COLEGIO ESTADUAL PAULO VI</v>
          </cell>
        </row>
        <row r="383">
          <cell r="A383" t="str">
            <v>12</v>
          </cell>
          <cell r="C383">
            <v>1127634</v>
          </cell>
          <cell r="E383">
            <v>29240530</v>
          </cell>
          <cell r="F383" t="str">
            <v>COLEGIO ESTADUAL DO CAMPO DE IBIAJARA</v>
          </cell>
        </row>
        <row r="384">
          <cell r="A384" t="str">
            <v>13</v>
          </cell>
          <cell r="C384">
            <v>1123817</v>
          </cell>
          <cell r="E384">
            <v>29256089</v>
          </cell>
          <cell r="F384" t="str">
            <v>COLEGIO ESTADUAL DE TEMPO INTEGRAL DE BRUMADO</v>
          </cell>
        </row>
        <row r="385">
          <cell r="A385" t="str">
            <v>13</v>
          </cell>
          <cell r="C385">
            <v>1176430</v>
          </cell>
          <cell r="E385">
            <v>29392365</v>
          </cell>
          <cell r="F385" t="str">
            <v>CENTRO ESTADUAL DE EDUCACAO PROFISSIONAL EM GESTAO E MEIO AMBIENTE</v>
          </cell>
        </row>
        <row r="386">
          <cell r="A386" t="str">
            <v>13</v>
          </cell>
          <cell r="C386">
            <v>1128371</v>
          </cell>
          <cell r="E386">
            <v>29240638</v>
          </cell>
          <cell r="F386" t="str">
            <v>COLEGIO ESTADUAL DE TEMPO INTEGRAL NORBERTO FERNANDES</v>
          </cell>
        </row>
        <row r="387">
          <cell r="A387" t="str">
            <v>13</v>
          </cell>
          <cell r="C387">
            <v>1179778</v>
          </cell>
          <cell r="E387">
            <v>29242231</v>
          </cell>
          <cell r="F387" t="str">
            <v>COMPLEXO INTEGRADO DE EDUC BASICA PROFIS E TECNOLOGICA-CIEBTEC</v>
          </cell>
        </row>
        <row r="388">
          <cell r="A388" t="str">
            <v>13</v>
          </cell>
          <cell r="C388">
            <v>1178115</v>
          </cell>
          <cell r="E388">
            <v>29433568</v>
          </cell>
          <cell r="F388" t="str">
            <v>COLEGIO ESTADUAL DO CAMPO PEDRO ATANASIO GARCIA</v>
          </cell>
        </row>
        <row r="389">
          <cell r="A389" t="str">
            <v>13</v>
          </cell>
          <cell r="C389">
            <v>1176710</v>
          </cell>
          <cell r="E389">
            <v>29410134</v>
          </cell>
          <cell r="F389" t="str">
            <v>CENTRO DE APOIO PEDAGOGICO ESPECIALIZADO PROFE IELITA NEVES COTRIM</v>
          </cell>
        </row>
        <row r="390">
          <cell r="A390" t="str">
            <v>13</v>
          </cell>
          <cell r="C390">
            <v>1170866</v>
          </cell>
          <cell r="E390">
            <v>29243882</v>
          </cell>
          <cell r="F390" t="str">
            <v>COLEGIO ESTADUAL DE TEMPO INTEGRAL ANTONIO BATISTA</v>
          </cell>
        </row>
        <row r="391">
          <cell r="A391" t="str">
            <v>13</v>
          </cell>
          <cell r="C391">
            <v>1124163</v>
          </cell>
          <cell r="E391">
            <v>29214866</v>
          </cell>
          <cell r="F391" t="str">
            <v>COLEGIO ESTADUAL DE TEMPO INTEGRAL DE CONTENDAS DO SINCORA</v>
          </cell>
        </row>
        <row r="392">
          <cell r="A392" t="str">
            <v>13</v>
          </cell>
          <cell r="C392">
            <v>1124287</v>
          </cell>
          <cell r="E392">
            <v>29237629</v>
          </cell>
          <cell r="F392" t="str">
            <v>COLEGIO ESTADUAL DE TEMPO INTEGRAL JOSE CAIRES ARAUJO</v>
          </cell>
        </row>
        <row r="393">
          <cell r="A393" t="str">
            <v>13</v>
          </cell>
          <cell r="C393">
            <v>1176438</v>
          </cell>
          <cell r="E393">
            <v>29394414</v>
          </cell>
          <cell r="F393" t="str">
            <v>COLEGIO EST. DE TEMPO INTEGRAL PROF BEATRIZ GOMES E SOUZA DE BARROS</v>
          </cell>
        </row>
        <row r="394">
          <cell r="A394" t="str">
            <v>13</v>
          </cell>
          <cell r="C394">
            <v>1129319</v>
          </cell>
          <cell r="E394">
            <v>29243920</v>
          </cell>
          <cell r="F394" t="str">
            <v>CENTRO ESTADUAL DE EDUCACAO PROFISSIONAL EM SAUDE E GESTAO</v>
          </cell>
        </row>
        <row r="395">
          <cell r="A395" t="str">
            <v>13</v>
          </cell>
          <cell r="C395">
            <v>1128606</v>
          </cell>
          <cell r="E395">
            <v>29243947</v>
          </cell>
          <cell r="F395" t="str">
            <v>COLEGIO ESTADUAL GOVERNADOR LUIZ VIANA FILHO</v>
          </cell>
        </row>
        <row r="396">
          <cell r="A396" t="str">
            <v>13</v>
          </cell>
          <cell r="C396">
            <v>1178149</v>
          </cell>
          <cell r="E396">
            <v>29437814</v>
          </cell>
          <cell r="F396" t="str">
            <v>COLEGIO ESTADUAL DO CAMPO DE MUTAS</v>
          </cell>
        </row>
        <row r="397">
          <cell r="A397" t="str">
            <v>13</v>
          </cell>
          <cell r="C397">
            <v>1178031</v>
          </cell>
          <cell r="E397">
            <v>29424348</v>
          </cell>
          <cell r="F397" t="str">
            <v>COLEGIO ESTADUAL ANTONIO FIGUEIREDO</v>
          </cell>
        </row>
        <row r="398">
          <cell r="A398" t="str">
            <v>13</v>
          </cell>
          <cell r="C398">
            <v>1168039</v>
          </cell>
          <cell r="E398">
            <v>29260256</v>
          </cell>
          <cell r="F398" t="str">
            <v>COLEGIO ESTADUAL DE TEMPO INTEGRAL ALBERCIO DA COSTA BRITO</v>
          </cell>
        </row>
        <row r="399">
          <cell r="A399" t="str">
            <v>13</v>
          </cell>
          <cell r="C399">
            <v>1178218</v>
          </cell>
          <cell r="E399">
            <v>29443334</v>
          </cell>
          <cell r="F399" t="str">
            <v>COLEGIO ESTADUAL DE TEMPO INTEGRAL JORGE AMADO</v>
          </cell>
        </row>
        <row r="400">
          <cell r="A400" t="str">
            <v>13</v>
          </cell>
          <cell r="C400">
            <v>1140606</v>
          </cell>
          <cell r="E400">
            <v>29248132</v>
          </cell>
          <cell r="F400" t="str">
            <v>COLEGIO ESTADUAL LUIS PRISCO VIANA</v>
          </cell>
        </row>
        <row r="401">
          <cell r="A401" t="str">
            <v>13</v>
          </cell>
          <cell r="C401">
            <v>1173130</v>
          </cell>
          <cell r="E401">
            <v>29237645</v>
          </cell>
          <cell r="F401" t="str">
            <v>COLEGIO ESTADUAL DE TEMPO INTEGRAL JOAO VILAS BOAS</v>
          </cell>
        </row>
        <row r="402">
          <cell r="A402" t="str">
            <v>13</v>
          </cell>
          <cell r="C402">
            <v>1124635</v>
          </cell>
          <cell r="E402">
            <v>29261660</v>
          </cell>
          <cell r="F402" t="str">
            <v>COLEGIO ESTADUAL DE TEMPO INTEGRAL DE MALHADA DE PEDRAS</v>
          </cell>
        </row>
        <row r="403">
          <cell r="A403" t="str">
            <v>13</v>
          </cell>
          <cell r="C403">
            <v>1129130</v>
          </cell>
          <cell r="E403">
            <v>29251648</v>
          </cell>
          <cell r="F403" t="str">
            <v>COLEGIO ESTADUAL DE TEMPO INTEGRAL ANISIO TEIXEIRA</v>
          </cell>
        </row>
        <row r="404">
          <cell r="A404" t="str">
            <v>13</v>
          </cell>
          <cell r="C404">
            <v>1176379</v>
          </cell>
          <cell r="E404">
            <v>29359805</v>
          </cell>
          <cell r="F404" t="str">
            <v>COLEGIO EST DE TEMPO INTEGRAL PETRONILIO DA SILVA PRADO</v>
          </cell>
        </row>
        <row r="405">
          <cell r="A405" t="str">
            <v>13</v>
          </cell>
          <cell r="C405">
            <v>1129416</v>
          </cell>
          <cell r="E405">
            <v>29264049</v>
          </cell>
          <cell r="F405" t="str">
            <v>COLEGIO ESTADUAL PROFESSORA LIA PUBLIO DE CASTRO</v>
          </cell>
        </row>
        <row r="406">
          <cell r="A406" t="str">
            <v>13</v>
          </cell>
          <cell r="C406">
            <v>1176197</v>
          </cell>
          <cell r="E406">
            <v>29263972</v>
          </cell>
          <cell r="F406" t="str">
            <v>COLEGIO ESTADUAL DE TEMPO INTEGRAL DE RIO DO ANTONIO</v>
          </cell>
        </row>
        <row r="407">
          <cell r="A407" t="str">
            <v>13</v>
          </cell>
          <cell r="C407">
            <v>1129432</v>
          </cell>
          <cell r="E407">
            <v>29254396</v>
          </cell>
          <cell r="F407" t="str">
            <v>COLEGIO ESTADUAL DO CAMPO DE TEMPO INTEGRAL DOM PEDRO I</v>
          </cell>
        </row>
        <row r="408">
          <cell r="A408" t="str">
            <v>13</v>
          </cell>
          <cell r="C408">
            <v>1178173</v>
          </cell>
          <cell r="E408">
            <v>29442095</v>
          </cell>
          <cell r="F408" t="str">
            <v>COLEGIO ESTADUAL DE TEMPO INTEGRAL JOAO TEIXEIRA DE NOVAES</v>
          </cell>
        </row>
        <row r="409">
          <cell r="A409" t="str">
            <v>13</v>
          </cell>
          <cell r="C409">
            <v>1177101</v>
          </cell>
          <cell r="E409">
            <v>29422167</v>
          </cell>
          <cell r="F409" t="str">
            <v>COLEGIO ESTADUAL DE TEMPO INTEGRAL EVA ROCHA</v>
          </cell>
        </row>
        <row r="410">
          <cell r="A410" t="str">
            <v>13</v>
          </cell>
          <cell r="C410">
            <v>1127910</v>
          </cell>
          <cell r="E410">
            <v>29210950</v>
          </cell>
          <cell r="F410" t="str">
            <v>COLEGIO ESTADUAL DE TEMPO INTEGRAL DE TANQUE NOVO</v>
          </cell>
        </row>
        <row r="411">
          <cell r="A411" t="str">
            <v>13</v>
          </cell>
          <cell r="C411">
            <v>1137346</v>
          </cell>
          <cell r="E411">
            <v>29254426</v>
          </cell>
          <cell r="F411" t="str">
            <v>COLEGIO ESTADUAL DE TEMPO INTEGRAL DE URANDI</v>
          </cell>
        </row>
        <row r="412">
          <cell r="A412" t="str">
            <v>14</v>
          </cell>
          <cell r="C412">
            <v>1179112</v>
          </cell>
          <cell r="E412">
            <v>29450837</v>
          </cell>
          <cell r="F412" t="str">
            <v>COLEGIO ESTADUAL DO CAMPO ALOISIO DAMASCENO DE JESUS</v>
          </cell>
        </row>
        <row r="413">
          <cell r="A413" t="str">
            <v>14</v>
          </cell>
          <cell r="C413">
            <v>1123183</v>
          </cell>
          <cell r="E413">
            <v>29081815</v>
          </cell>
          <cell r="F413" t="str">
            <v>COLEGIO ESTADUAL DO CAMPO EDGAR SANTOS</v>
          </cell>
        </row>
        <row r="414">
          <cell r="A414" t="str">
            <v>14</v>
          </cell>
          <cell r="C414">
            <v>1123159</v>
          </cell>
          <cell r="E414">
            <v>29081319</v>
          </cell>
          <cell r="F414" t="str">
            <v>COLEGIO ESTADUAL BOA VISTA DO TUPIM</v>
          </cell>
        </row>
        <row r="415">
          <cell r="A415" t="str">
            <v>14</v>
          </cell>
          <cell r="C415">
            <v>1164351</v>
          </cell>
          <cell r="E415">
            <v>29081440</v>
          </cell>
          <cell r="F415" t="str">
            <v>COLEGIO ESTADUAL DO CAMPO CASTELO BRANCO</v>
          </cell>
        </row>
        <row r="416">
          <cell r="A416" t="str">
            <v>14</v>
          </cell>
          <cell r="C416">
            <v>1123310</v>
          </cell>
          <cell r="E416">
            <v>29082234</v>
          </cell>
          <cell r="F416" t="str">
            <v>COLEGIO ESTADUAL LAURO FARANI PEDREIRA DE FREITAS</v>
          </cell>
        </row>
        <row r="417">
          <cell r="A417" t="str">
            <v>14</v>
          </cell>
          <cell r="C417">
            <v>1164343</v>
          </cell>
          <cell r="E417">
            <v>29083044</v>
          </cell>
          <cell r="F417" t="str">
            <v>COLEGIO ESTADUAL DE IBIQUERA</v>
          </cell>
        </row>
        <row r="418">
          <cell r="A418" t="str">
            <v>14</v>
          </cell>
          <cell r="C418">
            <v>1176429</v>
          </cell>
          <cell r="E418">
            <v>29393949</v>
          </cell>
          <cell r="F418" t="str">
            <v>COLEGIO MODELO LUIS EDUARDO MAGALHAES</v>
          </cell>
        </row>
        <row r="419">
          <cell r="A419" t="str">
            <v>14</v>
          </cell>
          <cell r="C419">
            <v>1123485</v>
          </cell>
          <cell r="E419">
            <v>29084202</v>
          </cell>
          <cell r="F419" t="str">
            <v>COLEGIO ESTADUAL CENTENARIO</v>
          </cell>
        </row>
        <row r="420">
          <cell r="A420" t="str">
            <v>14</v>
          </cell>
          <cell r="C420">
            <v>1123434</v>
          </cell>
          <cell r="E420">
            <v>29083354</v>
          </cell>
          <cell r="F420" t="str">
            <v>CENTRO TERRITORIAL DE EDUCACAO PROFISSIONAL DO PIEMONTE PARAGUACU I</v>
          </cell>
        </row>
        <row r="421">
          <cell r="A421" t="str">
            <v>14</v>
          </cell>
          <cell r="C421">
            <v>1178268</v>
          </cell>
          <cell r="E421">
            <v>29581605</v>
          </cell>
          <cell r="F421" t="str">
            <v>COLEGIO ESTADUAL DE TEMPO INTEGRAL GEOVANIA NOGUEIRA NUNES</v>
          </cell>
        </row>
        <row r="422">
          <cell r="A422" t="str">
            <v>14</v>
          </cell>
          <cell r="C422">
            <v>1123531</v>
          </cell>
          <cell r="E422">
            <v>29084784</v>
          </cell>
          <cell r="F422" t="str">
            <v>COLEGIO ESTADUAL PROFESSORA DELZAIR NASCIMENTO GALVAO</v>
          </cell>
        </row>
        <row r="423">
          <cell r="A423" t="str">
            <v>14</v>
          </cell>
          <cell r="C423">
            <v>1178398</v>
          </cell>
          <cell r="E423">
            <v>29980720</v>
          </cell>
          <cell r="F423" t="str">
            <v>COLEGIO ESTADUAL CARLITO DE CARVALHO</v>
          </cell>
        </row>
        <row r="424">
          <cell r="A424" t="str">
            <v>14</v>
          </cell>
          <cell r="C424">
            <v>1123000</v>
          </cell>
          <cell r="E424">
            <v>29086914</v>
          </cell>
          <cell r="F424" t="str">
            <v>CENTRO TERRITORIAL DE EDUCACAO PROFISSIONAL PIEMONTE DO PARAGUACU II</v>
          </cell>
        </row>
        <row r="425">
          <cell r="A425" t="str">
            <v>14</v>
          </cell>
          <cell r="C425">
            <v>1178016</v>
          </cell>
          <cell r="E425">
            <v>29426960</v>
          </cell>
          <cell r="F425" t="str">
            <v>COLEGIO ESTADUAL DE TEMPO INTEGRAL PROFESSORA AYDIL LIMA DOS SANTOS</v>
          </cell>
        </row>
        <row r="426">
          <cell r="A426" t="str">
            <v>14</v>
          </cell>
          <cell r="C426">
            <v>1178044</v>
          </cell>
          <cell r="E426">
            <v>29424038</v>
          </cell>
          <cell r="F426" t="str">
            <v>COLEGIO ESTADUAL ANA LUCIA MAGALHAES</v>
          </cell>
        </row>
        <row r="427">
          <cell r="A427" t="str">
            <v>14</v>
          </cell>
          <cell r="C427">
            <v>1178426</v>
          </cell>
          <cell r="E427">
            <v>29441919</v>
          </cell>
          <cell r="F427" t="str">
            <v>COLEGIO ESTADUAL DO CAMPO SANTO ANTONIO DO ARGOIM</v>
          </cell>
        </row>
        <row r="428">
          <cell r="A428" t="str">
            <v>14</v>
          </cell>
          <cell r="C428">
            <v>1123957</v>
          </cell>
          <cell r="E428">
            <v>29087236</v>
          </cell>
          <cell r="F428" t="str">
            <v>COLEGIO ESTADUAL DE TEMPO INTEGRAL PROFESSOR MAGALHAES NETO</v>
          </cell>
        </row>
        <row r="429">
          <cell r="A429" t="str">
            <v>14</v>
          </cell>
          <cell r="C429">
            <v>1178106</v>
          </cell>
          <cell r="E429">
            <v>29443113</v>
          </cell>
          <cell r="F429" t="str">
            <v>COLEGIO ESTADUAL LUIS EDUARDO MAGALHAES</v>
          </cell>
        </row>
        <row r="430">
          <cell r="A430" t="str">
            <v>14</v>
          </cell>
          <cell r="C430">
            <v>1123043</v>
          </cell>
          <cell r="E430">
            <v>29088240</v>
          </cell>
          <cell r="F430" t="str">
            <v>COLEGIO ESTADUAL DE TEMPO INTEGRAL JOAO QUEIROZ</v>
          </cell>
        </row>
        <row r="431">
          <cell r="A431" t="str">
            <v>15</v>
          </cell>
          <cell r="C431">
            <v>1122730</v>
          </cell>
          <cell r="E431">
            <v>29080533</v>
          </cell>
          <cell r="F431" t="str">
            <v>COLEGIO ESTADUAL DE TEMPO INTEGRAL JOSE RIBEIRO PAMPONET</v>
          </cell>
        </row>
        <row r="432">
          <cell r="A432" t="str">
            <v>15</v>
          </cell>
          <cell r="C432">
            <v>1179030</v>
          </cell>
          <cell r="E432">
            <v>29398282</v>
          </cell>
          <cell r="F432" t="str">
            <v>COL EST DE TEMPO INTEGRAL PROF ZENILDA FERNANDES DOS SANTOS FARIAS</v>
          </cell>
        </row>
        <row r="433">
          <cell r="A433" t="str">
            <v>15</v>
          </cell>
          <cell r="C433">
            <v>1162243</v>
          </cell>
          <cell r="E433">
            <v>29069580</v>
          </cell>
          <cell r="F433" t="str">
            <v>CENTRO TERRITORIAL DE EDUC PROFI DA BACIA DO JACUIPE III-EDNA DALTRO</v>
          </cell>
        </row>
        <row r="434">
          <cell r="A434">
            <v>15</v>
          </cell>
          <cell r="C434">
            <v>1179806</v>
          </cell>
          <cell r="E434">
            <v>44316</v>
          </cell>
          <cell r="F434" t="str">
            <v>COLEGIO ESTADUAL DO CAMPO DE PEDRAS ALTAS</v>
          </cell>
        </row>
        <row r="435">
          <cell r="A435" t="str">
            <v>15</v>
          </cell>
          <cell r="C435">
            <v>1106904</v>
          </cell>
          <cell r="E435">
            <v>29139368</v>
          </cell>
          <cell r="F435" t="str">
            <v>COLEGIO ESTADUAL NOSSA SENHORA DA CONCEICAO</v>
          </cell>
        </row>
        <row r="436">
          <cell r="A436" t="str">
            <v>15</v>
          </cell>
          <cell r="C436">
            <v>1160445</v>
          </cell>
          <cell r="E436">
            <v>29101719</v>
          </cell>
          <cell r="F436" t="str">
            <v>COLEGIO ESTADUAL TEMPO INTEGRAL PROFESSOR ARISMARIO SENA FERREIRA</v>
          </cell>
        </row>
        <row r="437">
          <cell r="A437" t="str">
            <v>15</v>
          </cell>
          <cell r="C437">
            <v>1107323</v>
          </cell>
          <cell r="E437">
            <v>29101484</v>
          </cell>
          <cell r="F437" t="str">
            <v>CENTRO TER DE EDUC PROFI DA BACIA DO JACUIPE PROF LUIZ CARLOS ARAUJO</v>
          </cell>
        </row>
        <row r="438">
          <cell r="A438" t="str">
            <v>15</v>
          </cell>
          <cell r="C438">
            <v>1179812</v>
          </cell>
          <cell r="E438">
            <v>29488575</v>
          </cell>
          <cell r="F438" t="str">
            <v>CEMIT BACIADO JACUIPE</v>
          </cell>
        </row>
        <row r="439">
          <cell r="A439" t="str">
            <v>15</v>
          </cell>
          <cell r="C439">
            <v>1122861</v>
          </cell>
          <cell r="E439">
            <v>29085500</v>
          </cell>
          <cell r="F439" t="str">
            <v>COLEGIO ESTADUAL DE TEMPO INTEGRAL ABELARDO MOREIRA</v>
          </cell>
        </row>
        <row r="440">
          <cell r="A440" t="str">
            <v>15</v>
          </cell>
          <cell r="C440">
            <v>1160771</v>
          </cell>
          <cell r="E440">
            <v>29140633</v>
          </cell>
          <cell r="F440" t="str">
            <v>COLEGIO ESTADUAL DE TEMPO INTEGRAL VIRGILIO FRANCISCO PEREIRA</v>
          </cell>
        </row>
        <row r="441">
          <cell r="A441" t="str">
            <v>15</v>
          </cell>
          <cell r="C441">
            <v>1106840</v>
          </cell>
          <cell r="E441">
            <v>29141044</v>
          </cell>
          <cell r="F441" t="str">
            <v>COLEGIO ESTADUAL DE TEMPO INTEGRAL PEDRO FALCONERI RIOS</v>
          </cell>
        </row>
        <row r="442">
          <cell r="A442" t="str">
            <v>15</v>
          </cell>
          <cell r="C442">
            <v>1107234</v>
          </cell>
          <cell r="E442">
            <v>29105684</v>
          </cell>
          <cell r="F442" t="str">
            <v>COLEGIO ESTADUAL DE TEMPO INTEGRAL EUFRASIO GONÇALVES DE ALMEIDA</v>
          </cell>
        </row>
        <row r="443">
          <cell r="A443" t="str">
            <v>15</v>
          </cell>
          <cell r="C443">
            <v>1122705</v>
          </cell>
          <cell r="E443">
            <v>29077540</v>
          </cell>
          <cell r="F443" t="str">
            <v>COLEGIO EST DE TEMPO INTEGRAL PROF TEREZINHA GONCALVES NOVAIS</v>
          </cell>
        </row>
        <row r="444">
          <cell r="A444" t="str">
            <v>15</v>
          </cell>
          <cell r="C444">
            <v>1137982</v>
          </cell>
          <cell r="E444">
            <v>29142997</v>
          </cell>
          <cell r="F444" t="str">
            <v>COLEGIO ESTADUAL DE TEMPO INTEGRAL MARIA DAGMAR MIRANDA</v>
          </cell>
        </row>
        <row r="445">
          <cell r="A445" t="str">
            <v>15</v>
          </cell>
          <cell r="C445">
            <v>1160828</v>
          </cell>
          <cell r="E445">
            <v>29143942</v>
          </cell>
          <cell r="F445" t="str">
            <v>COLEGIO ESTADUAL DO CAMPO PROFESSOR DIDIMO MASCARENHAS RIOS</v>
          </cell>
        </row>
        <row r="446">
          <cell r="A446" t="str">
            <v>15</v>
          </cell>
          <cell r="C446">
            <v>1138245</v>
          </cell>
          <cell r="E446">
            <v>29143365</v>
          </cell>
          <cell r="F446" t="str">
            <v>COLEGIO ESTADUAL DO CAMPO DACILDA RIOS DE OLIVEIRA</v>
          </cell>
        </row>
        <row r="447">
          <cell r="A447" t="str">
            <v>15</v>
          </cell>
          <cell r="C447">
            <v>1138172</v>
          </cell>
          <cell r="E447">
            <v>29142709</v>
          </cell>
          <cell r="F447" t="str">
            <v>CENTRO TERRIT DE EDUCACAO PROFIS DA BACIA DO JACUIPE II JOAO CAMPOS</v>
          </cell>
        </row>
        <row r="448">
          <cell r="A448" t="str">
            <v>15</v>
          </cell>
          <cell r="C448">
            <v>1176125</v>
          </cell>
          <cell r="E448">
            <v>29354943</v>
          </cell>
          <cell r="F448" t="str">
            <v>COLEGIO ESTADUAL DE TEMPO INTEGRAL BERILO VILAS BOAS</v>
          </cell>
        </row>
        <row r="449">
          <cell r="A449">
            <v>15</v>
          </cell>
          <cell r="C449">
            <v>1179792</v>
          </cell>
          <cell r="E449">
            <v>29488192</v>
          </cell>
          <cell r="F449" t="str">
            <v>COLEGIO ESTADUAL DE TEMPO INTEGRAL MARIA NEVES CARNEIRO</v>
          </cell>
        </row>
        <row r="450">
          <cell r="A450" t="str">
            <v>15</v>
          </cell>
          <cell r="C450">
            <v>1107684</v>
          </cell>
          <cell r="E450">
            <v>29110866</v>
          </cell>
          <cell r="F450" t="str">
            <v>COLEGIO ESTADUAL DE TEMPO INTEGRAL RENATO MEDEIROS NETO</v>
          </cell>
        </row>
        <row r="451">
          <cell r="A451" t="str">
            <v>15</v>
          </cell>
          <cell r="C451">
            <v>1107650</v>
          </cell>
          <cell r="E451">
            <v>29111285</v>
          </cell>
          <cell r="F451" t="str">
            <v>COLEGIO ESTADUAL DO CAMPO NOSSA SENHORA DE LOURDES</v>
          </cell>
        </row>
        <row r="452">
          <cell r="A452" t="str">
            <v>15</v>
          </cell>
          <cell r="C452">
            <v>1176069</v>
          </cell>
          <cell r="E452">
            <v>29088623</v>
          </cell>
          <cell r="F452" t="str">
            <v>COLEGIO ESTADUAL DE TEMPO INTEGRAL PROFESSORA ADELIA MENDES</v>
          </cell>
        </row>
        <row r="453">
          <cell r="A453" t="str">
            <v>15</v>
          </cell>
          <cell r="C453">
            <v>1122306</v>
          </cell>
          <cell r="E453">
            <v>29079934</v>
          </cell>
          <cell r="F453" t="str">
            <v>COLEGIO ESTADUAL DE TEMPO INTEGRAL FELIPE CASSIANO</v>
          </cell>
        </row>
        <row r="454">
          <cell r="A454" t="str">
            <v>16</v>
          </cell>
          <cell r="C454">
            <v>1178027</v>
          </cell>
          <cell r="E454">
            <v>29068320</v>
          </cell>
          <cell r="F454" t="str">
            <v>COLEGIO ESTADUAL DE TEMPO INTEGRAL ARNALDO DE OLIVEIRA</v>
          </cell>
        </row>
        <row r="455">
          <cell r="A455" t="str">
            <v>16</v>
          </cell>
          <cell r="C455">
            <v>1176100</v>
          </cell>
          <cell r="E455">
            <v>29344247</v>
          </cell>
          <cell r="F455" t="str">
            <v>CENTRO TERRITORIAL DE EDUCACAO PROFIS. DO PIEMONTE DA DIAMANTINA II</v>
          </cell>
        </row>
        <row r="456">
          <cell r="A456" t="str">
            <v>16</v>
          </cell>
          <cell r="C456">
            <v>1158157</v>
          </cell>
          <cell r="E456">
            <v>29071275</v>
          </cell>
          <cell r="F456" t="str">
            <v>COLEGIO ESTADUAL DE TEMPO INTEGRAL DE JUNCO</v>
          </cell>
        </row>
        <row r="457">
          <cell r="A457" t="str">
            <v>16</v>
          </cell>
          <cell r="C457">
            <v>1178094</v>
          </cell>
          <cell r="E457">
            <v>29440211</v>
          </cell>
          <cell r="F457" t="str">
            <v>COLEGIO ESTADUAL DE TEMPO INTEGRAL DE JACOBINA</v>
          </cell>
        </row>
        <row r="458">
          <cell r="A458" t="str">
            <v>16</v>
          </cell>
          <cell r="C458">
            <v>1121962</v>
          </cell>
          <cell r="E458">
            <v>29070350</v>
          </cell>
          <cell r="F458" t="str">
            <v>COLEGIO ESTADUAL DE TEMPO INTEGRAL DEOCLECIANO BARBOSA DE CASTRO</v>
          </cell>
        </row>
        <row r="459">
          <cell r="A459" t="str">
            <v>16</v>
          </cell>
          <cell r="C459">
            <v>1179765</v>
          </cell>
          <cell r="E459">
            <v>29486327</v>
          </cell>
          <cell r="F459" t="str">
            <v>COLEGIO ESTADUAL DO CAMPO PROFESSORA MARIA IZABEL DE OLIVEIRA</v>
          </cell>
        </row>
        <row r="460">
          <cell r="A460" t="str">
            <v>16</v>
          </cell>
          <cell r="C460">
            <v>1178026</v>
          </cell>
          <cell r="E460">
            <v>29425530</v>
          </cell>
          <cell r="F460" t="str">
            <v>COLEGIO ESTADUAL DE TEMPO INTEGRAL NOSSA SENHORA DA CONCEICAO</v>
          </cell>
        </row>
        <row r="461">
          <cell r="A461" t="str">
            <v>16</v>
          </cell>
          <cell r="C461">
            <v>1122144</v>
          </cell>
          <cell r="E461">
            <v>29073014</v>
          </cell>
          <cell r="F461" t="str">
            <v>COLEGIO ESTADUAL DE TEMPO INTEGRAL DE MIGUEL CALMON</v>
          </cell>
        </row>
        <row r="462">
          <cell r="A462" t="str">
            <v>16</v>
          </cell>
          <cell r="C462">
            <v>1122365</v>
          </cell>
          <cell r="E462">
            <v>29073324</v>
          </cell>
          <cell r="F462" t="str">
            <v>COLEGIO ESTADUAL DE TEMPO INTEGRAL SOROR JOANA ANGELICA</v>
          </cell>
        </row>
        <row r="463">
          <cell r="A463" t="str">
            <v>16</v>
          </cell>
          <cell r="C463">
            <v>1172419</v>
          </cell>
          <cell r="E463">
            <v>29075874</v>
          </cell>
          <cell r="F463" t="str">
            <v>COLEGIO ESTADUAL DE TEMPO INTEGRAL DE OUROLANDIA</v>
          </cell>
        </row>
        <row r="464">
          <cell r="A464">
            <v>16</v>
          </cell>
          <cell r="C464">
            <v>1179811</v>
          </cell>
          <cell r="E464">
            <v>29489563</v>
          </cell>
          <cell r="F464" t="str">
            <v>COLEGIO ESTADUAL DO CAMPO MARIA LUCIA BARBOSA DA PAIXAO</v>
          </cell>
        </row>
        <row r="465">
          <cell r="A465" t="str">
            <v>16</v>
          </cell>
          <cell r="C465">
            <v>1122233</v>
          </cell>
          <cell r="E465">
            <v>29079004</v>
          </cell>
          <cell r="F465" t="str">
            <v>COLEGIO ESTADUAL DE TEMPO INTEGRAL ERNESTO CARNEIRO RIBEIRO</v>
          </cell>
        </row>
        <row r="466">
          <cell r="A466" t="str">
            <v>16</v>
          </cell>
          <cell r="C466">
            <v>1161794</v>
          </cell>
          <cell r="E466">
            <v>29079055</v>
          </cell>
          <cell r="F466" t="str">
            <v>COLEGIO ESTADUAL DE TEMPO INTEGRAL DE SERROLANDIA</v>
          </cell>
        </row>
        <row r="467">
          <cell r="A467" t="str">
            <v>16</v>
          </cell>
          <cell r="C467">
            <v>1179205</v>
          </cell>
          <cell r="E467">
            <v>29441609</v>
          </cell>
          <cell r="F467" t="str">
            <v>COLEGIO ESTADUAL DE TEMPO INTEGRAL PROFESSORA MARIA MADALENA DA SILVA</v>
          </cell>
        </row>
        <row r="468">
          <cell r="A468" t="str">
            <v>16</v>
          </cell>
          <cell r="C468">
            <v>1176123</v>
          </cell>
          <cell r="E468">
            <v>29340330</v>
          </cell>
          <cell r="F468" t="str">
            <v>COLEGIO ESTADUAL DE TEMPO INTEGRAL PROFESSORA ADJACI MARTINS DURANS</v>
          </cell>
        </row>
        <row r="469">
          <cell r="A469" t="str">
            <v>17</v>
          </cell>
          <cell r="C469">
            <v>1165846</v>
          </cell>
          <cell r="E469">
            <v>29125898</v>
          </cell>
          <cell r="F469" t="str">
            <v>COLEGIO ESTADUAL DE TEMPO INTEGRAL CASTRO ALVES</v>
          </cell>
        </row>
        <row r="470">
          <cell r="A470" t="str">
            <v>17</v>
          </cell>
          <cell r="C470">
            <v>1114893</v>
          </cell>
          <cell r="E470">
            <v>29126126</v>
          </cell>
          <cell r="F470" t="str">
            <v>COLEGIO ESTADUAL DE TEMPO INTEGRAL PROF LUZIA CARVALHO SILVA</v>
          </cell>
        </row>
        <row r="471">
          <cell r="A471" t="str">
            <v>17</v>
          </cell>
          <cell r="C471">
            <v>1179131</v>
          </cell>
          <cell r="E471">
            <v>29463980</v>
          </cell>
          <cell r="F471" t="str">
            <v>COLEGIO ESTADUAL INDIGENA KIRIRI INDIO FELIZ</v>
          </cell>
        </row>
        <row r="472">
          <cell r="A472" t="str">
            <v>17</v>
          </cell>
          <cell r="C472">
            <v>1178319</v>
          </cell>
          <cell r="E472">
            <v>29599601</v>
          </cell>
          <cell r="F472" t="str">
            <v>COLEGIO ESTADUAL INDIGENA JOSE ZACARIAS</v>
          </cell>
        </row>
        <row r="473">
          <cell r="A473" t="str">
            <v>17</v>
          </cell>
          <cell r="C473">
            <v>1178443</v>
          </cell>
          <cell r="E473">
            <v>29449340</v>
          </cell>
          <cell r="F473" t="str">
            <v>COLEGIO ESTADUAL INDIGENA TUXA CACIQUE RAUL VALERIO DE OLIVEIRA</v>
          </cell>
        </row>
        <row r="474">
          <cell r="A474" t="str">
            <v>17</v>
          </cell>
          <cell r="C474">
            <v>1179128</v>
          </cell>
          <cell r="E474">
            <v>29126550</v>
          </cell>
          <cell r="F474" t="str">
            <v>COLEGIO ESTADUAL INDIGENA FLORENTINO DOMINGOS DE ANDRADE</v>
          </cell>
        </row>
        <row r="475">
          <cell r="A475" t="str">
            <v>17</v>
          </cell>
          <cell r="C475">
            <v>1178096</v>
          </cell>
          <cell r="E475">
            <v>29429889</v>
          </cell>
          <cell r="F475" t="str">
            <v>COLEGIO ESTADUAL DE TEMPO INTEGRAL FLAVIANO DANTAS DO NASCIMENTO</v>
          </cell>
        </row>
        <row r="476">
          <cell r="A476" t="str">
            <v>17</v>
          </cell>
          <cell r="C476">
            <v>1114729</v>
          </cell>
          <cell r="E476">
            <v>29126991</v>
          </cell>
          <cell r="F476" t="str">
            <v>COLEGIO ESTADUAL PROFESSOR LUIZ NAVARRO DE BRITO</v>
          </cell>
        </row>
        <row r="477">
          <cell r="A477" t="str">
            <v>17</v>
          </cell>
          <cell r="C477">
            <v>1178254</v>
          </cell>
          <cell r="E477">
            <v>29468000</v>
          </cell>
          <cell r="F477" t="str">
            <v>CENT.EST DE EDUC PROFIS EM INF E GESTAO LOURDES CARVALHO NEVES BATISTA</v>
          </cell>
        </row>
        <row r="478">
          <cell r="A478" t="str">
            <v>17</v>
          </cell>
          <cell r="C478">
            <v>1178322</v>
          </cell>
          <cell r="E478">
            <v>29850843</v>
          </cell>
          <cell r="F478" t="str">
            <v>COLEGIO ESTADUAL DE TEMPO INTEGRAL AGUAS TERMAIS DE CIPO</v>
          </cell>
        </row>
        <row r="479">
          <cell r="A479" t="str">
            <v>17</v>
          </cell>
          <cell r="C479">
            <v>1178049</v>
          </cell>
          <cell r="E479">
            <v>29423805</v>
          </cell>
          <cell r="F479" t="str">
            <v>COLEGIO ESTADUAL DE TEMPO INTEGRAL SANTO ANTONIO</v>
          </cell>
        </row>
        <row r="480">
          <cell r="A480" t="str">
            <v>17</v>
          </cell>
          <cell r="C480">
            <v>1114559</v>
          </cell>
          <cell r="E480">
            <v>29117666</v>
          </cell>
          <cell r="F480" t="str">
            <v>CENTRO TERRITORIAL DE EDUCACAO PROFISSIONAL SERTAO FORTE</v>
          </cell>
        </row>
        <row r="481">
          <cell r="A481" t="str">
            <v>17</v>
          </cell>
          <cell r="C481">
            <v>1114680</v>
          </cell>
          <cell r="E481">
            <v>29117240</v>
          </cell>
          <cell r="F481" t="str">
            <v>EDUCANDARIO OLIVEIRA BRITO</v>
          </cell>
        </row>
        <row r="482">
          <cell r="A482" t="str">
            <v>17</v>
          </cell>
          <cell r="C482">
            <v>1179120</v>
          </cell>
          <cell r="E482">
            <v>29117194</v>
          </cell>
          <cell r="F482" t="str">
            <v>COLEGIO ESTADUAL INDIGENA DOM JACKSON BERENGUER PRADO</v>
          </cell>
        </row>
        <row r="483">
          <cell r="A483" t="str">
            <v>17</v>
          </cell>
          <cell r="C483">
            <v>1114478</v>
          </cell>
          <cell r="E483">
            <v>29128366</v>
          </cell>
          <cell r="F483" t="str">
            <v>COLEGIO ESTADUAL DE TEMPO INTEGRAL PROFESSORA ANA MIRENA DA SILVA</v>
          </cell>
        </row>
        <row r="484">
          <cell r="A484" t="str">
            <v>17</v>
          </cell>
          <cell r="C484">
            <v>1178118</v>
          </cell>
          <cell r="E484">
            <v>29434530</v>
          </cell>
          <cell r="F484" t="str">
            <v>COLEGIO ESTADUAL DE TEMPO INTEGRAL JOSE DANTAS DE SOUZA</v>
          </cell>
        </row>
        <row r="485">
          <cell r="A485" t="str">
            <v>17</v>
          </cell>
          <cell r="C485">
            <v>1178136</v>
          </cell>
          <cell r="E485">
            <v>29436931</v>
          </cell>
          <cell r="F485" t="str">
            <v>CENTRO TERRITORIAL DE EDUCACAO PROFISSIONAL RASO DA CATARINA</v>
          </cell>
        </row>
        <row r="486">
          <cell r="A486" t="str">
            <v>17</v>
          </cell>
          <cell r="C486">
            <v>1177006</v>
          </cell>
          <cell r="E486">
            <v>29407834</v>
          </cell>
          <cell r="F486" t="str">
            <v>COLEGIO ESTADUAL DE TEMPO INTEGRAL SERTAO DA NATUBA DE NOVA SOURE</v>
          </cell>
        </row>
        <row r="487">
          <cell r="A487" t="str">
            <v>17</v>
          </cell>
          <cell r="C487">
            <v>1166133</v>
          </cell>
          <cell r="E487">
            <v>29131383</v>
          </cell>
          <cell r="F487" t="str">
            <v>COLEGIO ESTADUAL DE TEMPO INTEGRAL PROFESSORA MARIA TEREZA DE OLIVEIRA</v>
          </cell>
        </row>
        <row r="488">
          <cell r="A488" t="str">
            <v>17</v>
          </cell>
          <cell r="C488">
            <v>1115091</v>
          </cell>
          <cell r="E488">
            <v>29132045</v>
          </cell>
          <cell r="F488" t="str">
            <v>COLEGIO ESTADUAL DE TEMPO INTEGRAL DOUTOR JOSE CARLOS BEZERRA CARVALHO</v>
          </cell>
        </row>
        <row r="489">
          <cell r="A489" t="str">
            <v>17</v>
          </cell>
          <cell r="C489">
            <v>1138539</v>
          </cell>
          <cell r="E489">
            <v>29113881</v>
          </cell>
          <cell r="F489" t="str">
            <v>COLEGIO ESTADUAL DE TEMPO INTEGRAL PROFESSORA HELENA BRITTO</v>
          </cell>
        </row>
        <row r="490">
          <cell r="A490" t="str">
            <v>17</v>
          </cell>
          <cell r="C490">
            <v>1115342</v>
          </cell>
          <cell r="E490">
            <v>29132711</v>
          </cell>
          <cell r="F490" t="str">
            <v>COLEGIO ESTADUAL JOSEFA SOARES DE OLIVEIRA</v>
          </cell>
        </row>
        <row r="491">
          <cell r="A491" t="str">
            <v>17</v>
          </cell>
          <cell r="C491">
            <v>1178084</v>
          </cell>
          <cell r="E491">
            <v>29428530</v>
          </cell>
          <cell r="F491" t="str">
            <v>COLEGIO CENTRAL DE RIBEIRA DO POMBAL</v>
          </cell>
        </row>
        <row r="492">
          <cell r="A492" t="str">
            <v>17</v>
          </cell>
          <cell r="C492">
            <v>1178429</v>
          </cell>
          <cell r="E492">
            <v>29398940</v>
          </cell>
          <cell r="F492" t="str">
            <v>COLEGIO ESTADUAL DE TEMPO INTEGRAL DO CAMPO JOAO MARQUES DA SILVA</v>
          </cell>
        </row>
        <row r="493">
          <cell r="A493" t="str">
            <v>17</v>
          </cell>
          <cell r="C493">
            <v>1115393</v>
          </cell>
          <cell r="E493">
            <v>29133955</v>
          </cell>
          <cell r="F493" t="str">
            <v>COLEGIO ESTADUAL DE TEMPO INTEGRAL PROFESSORA SILVIA FERREIRA DE BRITO</v>
          </cell>
        </row>
        <row r="494">
          <cell r="A494" t="str">
            <v>17</v>
          </cell>
          <cell r="C494">
            <v>1115326</v>
          </cell>
          <cell r="E494">
            <v>29133130</v>
          </cell>
          <cell r="F494" t="str">
            <v>CENTRO TERRITORIAL DE EDUCACAO PROFISSIONAL DO SEMI ARIDO NORDESTE II</v>
          </cell>
        </row>
        <row r="495">
          <cell r="A495" t="str">
            <v>17</v>
          </cell>
          <cell r="C495">
            <v>1114303</v>
          </cell>
          <cell r="E495">
            <v>29114500</v>
          </cell>
          <cell r="F495" t="str">
            <v>COLEGIO ESTADUAL DE TEMPO INTEGRAL MADRINHA DODO</v>
          </cell>
        </row>
        <row r="496">
          <cell r="A496" t="str">
            <v>17</v>
          </cell>
          <cell r="C496">
            <v>1171196</v>
          </cell>
          <cell r="E496">
            <v>29115396</v>
          </cell>
          <cell r="F496" t="str">
            <v>COLEGIO ESTADUAL DE TEMPO INTEGRAL JOAO FRANCISCO DA SILVA</v>
          </cell>
        </row>
        <row r="497">
          <cell r="A497" t="str">
            <v>18</v>
          </cell>
          <cell r="C497">
            <v>1178221</v>
          </cell>
          <cell r="E497">
            <v>29446740</v>
          </cell>
          <cell r="F497" t="str">
            <v>COLEGIO ESTADUAL DE TEMPO INTEGRAL ANTONIO DA COSTA BRITO</v>
          </cell>
        </row>
        <row r="498">
          <cell r="A498" t="str">
            <v>18</v>
          </cell>
          <cell r="C498">
            <v>1135637</v>
          </cell>
          <cell r="E498">
            <v>29150418</v>
          </cell>
          <cell r="F498" t="str">
            <v>COLEGIO ESTADUAL DE ALAGOINHAS</v>
          </cell>
        </row>
        <row r="499">
          <cell r="A499" t="str">
            <v>18</v>
          </cell>
          <cell r="C499">
            <v>1107862</v>
          </cell>
          <cell r="E499">
            <v>29150590</v>
          </cell>
          <cell r="F499" t="str">
            <v>ESCOLA PROFESSOR JULIO LEAL ARAUJO</v>
          </cell>
        </row>
        <row r="500">
          <cell r="A500" t="str">
            <v>18</v>
          </cell>
          <cell r="C500">
            <v>1105207</v>
          </cell>
          <cell r="E500">
            <v>29150370</v>
          </cell>
          <cell r="F500" t="str">
            <v>ESCOLA DOS RODOVIARIOS</v>
          </cell>
        </row>
        <row r="501">
          <cell r="A501" t="str">
            <v>18</v>
          </cell>
          <cell r="C501">
            <v>1178440</v>
          </cell>
          <cell r="E501">
            <v>29999812</v>
          </cell>
          <cell r="F501" t="str">
            <v>COLEGIO ESTADUAL DO CAMPO LEONCIO PEREIRA DOS SANTOS</v>
          </cell>
        </row>
        <row r="502">
          <cell r="A502" t="str">
            <v>18</v>
          </cell>
          <cell r="C502">
            <v>1177089</v>
          </cell>
          <cell r="E502">
            <v>29417163</v>
          </cell>
          <cell r="F502" t="str">
            <v>COLEGIO MODELO LUIS EDUARDO MAGALHAES</v>
          </cell>
        </row>
        <row r="503">
          <cell r="A503" t="str">
            <v>18</v>
          </cell>
          <cell r="C503">
            <v>1107960</v>
          </cell>
          <cell r="E503">
            <v>29150191</v>
          </cell>
          <cell r="F503" t="str">
            <v>ESCOLA ESTADUAL OSCAR CORDEIRO</v>
          </cell>
        </row>
        <row r="504">
          <cell r="A504" t="str">
            <v>18</v>
          </cell>
          <cell r="C504">
            <v>1169809</v>
          </cell>
          <cell r="E504">
            <v>29150442</v>
          </cell>
          <cell r="F504" t="str">
            <v>COLEGIO ESTADUAL SAO FRANCISCO</v>
          </cell>
        </row>
        <row r="505">
          <cell r="A505" t="str">
            <v>18</v>
          </cell>
          <cell r="C505">
            <v>1107773</v>
          </cell>
          <cell r="E505">
            <v>29150310</v>
          </cell>
          <cell r="F505" t="str">
            <v>COLEGIO ESTADUAL BRAZILINO VIEGAS</v>
          </cell>
        </row>
        <row r="506">
          <cell r="A506" t="str">
            <v>18</v>
          </cell>
          <cell r="C506">
            <v>1176465</v>
          </cell>
          <cell r="E506">
            <v>29395712</v>
          </cell>
          <cell r="F506" t="str">
            <v>COLEGIO ESTADUAL DEPUTADO LUIS EDUARDO MAGALHAES</v>
          </cell>
        </row>
        <row r="507">
          <cell r="A507" t="str">
            <v>18</v>
          </cell>
          <cell r="C507">
            <v>1176092</v>
          </cell>
          <cell r="E507">
            <v>29150450</v>
          </cell>
          <cell r="F507" t="str">
            <v>COLEGIO DA POLICIA MILITAR - CPM PROFESSOR CARLOS ROSA</v>
          </cell>
        </row>
        <row r="508">
          <cell r="A508" t="str">
            <v>18</v>
          </cell>
          <cell r="C508">
            <v>1178266</v>
          </cell>
          <cell r="E508">
            <v>29456800</v>
          </cell>
          <cell r="F508" t="str">
            <v>COLEGIO ESTADUAL DO CAMPO JOAO CARLOS MEIRELES PAULILO</v>
          </cell>
        </row>
        <row r="509">
          <cell r="A509" t="str">
            <v>18</v>
          </cell>
          <cell r="C509">
            <v>1178077</v>
          </cell>
          <cell r="E509">
            <v>29431530</v>
          </cell>
          <cell r="F509" t="str">
            <v>COLEGIO ESTADUAL LUIZ NAVARRO DE BRITO</v>
          </cell>
        </row>
        <row r="510">
          <cell r="A510" t="str">
            <v>18</v>
          </cell>
          <cell r="C510">
            <v>1107927</v>
          </cell>
          <cell r="E510">
            <v>29149835</v>
          </cell>
          <cell r="F510" t="str">
            <v>CENTRO TERRITORIAL DE EDUC.PROFISS. DO LITORAL NORTE E AGRESTE BAIANO</v>
          </cell>
        </row>
        <row r="511">
          <cell r="A511" t="str">
            <v>18</v>
          </cell>
          <cell r="C511">
            <v>1108028</v>
          </cell>
          <cell r="E511">
            <v>29150663</v>
          </cell>
          <cell r="F511" t="str">
            <v>COLEGIO ESTADUAL MARIA JOSE BASTOS SILVA</v>
          </cell>
        </row>
        <row r="512">
          <cell r="A512" t="str">
            <v>18</v>
          </cell>
          <cell r="C512">
            <v>1107749</v>
          </cell>
          <cell r="E512">
            <v>29151554</v>
          </cell>
          <cell r="F512" t="str">
            <v>COLEGIO ESTADUAL DE TEMPO INTEGRAL PROF AUREA DOS HUMILDES OLIVEIRA</v>
          </cell>
        </row>
        <row r="513">
          <cell r="A513" t="str">
            <v>18</v>
          </cell>
          <cell r="C513">
            <v>1107730</v>
          </cell>
          <cell r="E513">
            <v>29151651</v>
          </cell>
          <cell r="F513" t="str">
            <v>COLEGIO ESTADUAL DE TEMPO INTEGRAL DE ITAMIRA</v>
          </cell>
        </row>
        <row r="514">
          <cell r="A514" t="str">
            <v>18</v>
          </cell>
          <cell r="C514">
            <v>1179312</v>
          </cell>
          <cell r="E514">
            <v>29461464</v>
          </cell>
          <cell r="F514" t="str">
            <v>COLEGIO ESTADUAL DE TEMPO INTEGRAL JOSE VICENTE LEAL</v>
          </cell>
        </row>
        <row r="515">
          <cell r="A515" t="str">
            <v>18</v>
          </cell>
          <cell r="C515">
            <v>1179439</v>
          </cell>
          <cell r="E515">
            <v>29465400</v>
          </cell>
          <cell r="F515" t="str">
            <v>COLEGIO ESTADUAL DE TEMPO INTEGRAL PROFESSORA MARIA DO CARMO SANTANA</v>
          </cell>
        </row>
        <row r="516">
          <cell r="A516" t="str">
            <v>18</v>
          </cell>
          <cell r="C516">
            <v>1108656</v>
          </cell>
          <cell r="E516">
            <v>29155401</v>
          </cell>
          <cell r="F516" t="str">
            <v>COLEGIO EST DE TEMPO INTEGRAL DR JOSE ANTONIO DE ARAUJO PIMENTA</v>
          </cell>
        </row>
        <row r="517">
          <cell r="A517" t="str">
            <v>18</v>
          </cell>
          <cell r="C517">
            <v>1108648</v>
          </cell>
          <cell r="E517">
            <v>29158605</v>
          </cell>
          <cell r="F517" t="str">
            <v>CENTRO EST DE EDUC PROF CONT E GEST DO N BAIANO PEDRO RIBEIRO PESSOA</v>
          </cell>
        </row>
        <row r="518">
          <cell r="A518" t="str">
            <v>18</v>
          </cell>
          <cell r="C518">
            <v>1108729</v>
          </cell>
          <cell r="E518">
            <v>29158850</v>
          </cell>
          <cell r="F518" t="str">
            <v>COLEGIO ESTADUAL DOUTOR ANTONIO CARLOS MAGALHAES</v>
          </cell>
        </row>
        <row r="519">
          <cell r="A519" t="str">
            <v>18</v>
          </cell>
          <cell r="C519">
            <v>1108591</v>
          </cell>
          <cell r="E519">
            <v>29158893</v>
          </cell>
          <cell r="F519" t="str">
            <v>COLEGIO ESTADUAL DE TEMPO INTEGRAL DE CATU</v>
          </cell>
        </row>
        <row r="520">
          <cell r="A520" t="str">
            <v>18</v>
          </cell>
          <cell r="C520">
            <v>1108524</v>
          </cell>
          <cell r="E520">
            <v>29155673</v>
          </cell>
          <cell r="F520" t="str">
            <v>CENTRO INTEGRADO DE EDUCACAO DO CONDE</v>
          </cell>
        </row>
        <row r="521">
          <cell r="A521" t="str">
            <v>18</v>
          </cell>
          <cell r="C521">
            <v>1108532</v>
          </cell>
          <cell r="E521">
            <v>29155894</v>
          </cell>
          <cell r="F521" t="str">
            <v>COLEGIO ESTADUAL CELSO MENDES DE LIMA</v>
          </cell>
        </row>
        <row r="522">
          <cell r="A522" t="str">
            <v>18</v>
          </cell>
          <cell r="C522">
            <v>1114613</v>
          </cell>
          <cell r="E522">
            <v>29153190</v>
          </cell>
          <cell r="F522" t="str">
            <v>COLEGIO ESTADUAL DE TEMPO INTEGRAL EUDOXIA MARIA</v>
          </cell>
        </row>
        <row r="523">
          <cell r="A523" t="str">
            <v>18</v>
          </cell>
          <cell r="C523">
            <v>1108753</v>
          </cell>
          <cell r="E523">
            <v>29156211</v>
          </cell>
          <cell r="F523" t="str">
            <v>COLEGIO ESTADUAL DE TEMPO INTEGRAL DUQUE DE CAXIAS</v>
          </cell>
        </row>
        <row r="524">
          <cell r="A524" t="str">
            <v>18</v>
          </cell>
          <cell r="C524">
            <v>1179222</v>
          </cell>
          <cell r="E524">
            <v>29456495</v>
          </cell>
          <cell r="F524" t="str">
            <v>COLEGIO ESTADUAL PROFESSORA IVANECK MARIA AGUIAR COSTA</v>
          </cell>
        </row>
        <row r="525">
          <cell r="A525" t="str">
            <v>18</v>
          </cell>
          <cell r="C525">
            <v>1176401</v>
          </cell>
          <cell r="E525">
            <v>29373280</v>
          </cell>
          <cell r="F525" t="str">
            <v>COLEGIO ESTADUAL DE TEMPO INTEGRAL CELINA SARAIVA</v>
          </cell>
        </row>
        <row r="526">
          <cell r="A526" t="str">
            <v>18</v>
          </cell>
          <cell r="C526">
            <v>1178251</v>
          </cell>
          <cell r="E526">
            <v>29456606</v>
          </cell>
          <cell r="F526" t="str">
            <v>COLEGIO ESTADUAL DO CAMPO DE TEMPO INTEGRAL MARIA MENDES DE SOUZA</v>
          </cell>
        </row>
        <row r="527">
          <cell r="A527" t="str">
            <v>18</v>
          </cell>
          <cell r="C527">
            <v>1178078</v>
          </cell>
          <cell r="E527">
            <v>29430305</v>
          </cell>
          <cell r="F527" t="str">
            <v>COLEGIO EST DE TEMPO INTEGRAL PROFESSORA SIMONE SIMOES NERI</v>
          </cell>
        </row>
        <row r="528">
          <cell r="A528">
            <v>18</v>
          </cell>
          <cell r="C528">
            <v>1179754</v>
          </cell>
          <cell r="E528">
            <v>29487900</v>
          </cell>
          <cell r="F528" t="str">
            <v>CENTRO REG. INT. TECNOLOGICA-CEMIT LITORAL NORTE E AGRESTE BAIANO</v>
          </cell>
        </row>
        <row r="529">
          <cell r="A529" t="str">
            <v>18</v>
          </cell>
          <cell r="C529">
            <v>1133936</v>
          </cell>
          <cell r="E529">
            <v>29159318</v>
          </cell>
          <cell r="F529" t="str">
            <v>COLEGIO ESTADUAL PROFESSOR CARLOS SANTANA</v>
          </cell>
        </row>
        <row r="530">
          <cell r="A530" t="str">
            <v>18</v>
          </cell>
          <cell r="C530">
            <v>1143494</v>
          </cell>
          <cell r="E530">
            <v>29129435</v>
          </cell>
          <cell r="F530" t="str">
            <v>COLEGIO ESTADUAL UIRASSU DE ASSIS BATISTA</v>
          </cell>
        </row>
        <row r="531">
          <cell r="A531" t="str">
            <v>18</v>
          </cell>
          <cell r="C531">
            <v>1179315</v>
          </cell>
          <cell r="E531">
            <v>29459915</v>
          </cell>
          <cell r="F531" t="str">
            <v>COLEGIO ESTADUAL DO CAMPO PROFESSORA MARIA FREIRE ANUNCIACAO SILVA</v>
          </cell>
        </row>
        <row r="532">
          <cell r="A532" t="str">
            <v>18</v>
          </cell>
          <cell r="C532">
            <v>1108141</v>
          </cell>
          <cell r="E532">
            <v>29157536</v>
          </cell>
          <cell r="F532" t="str">
            <v>COLEGIO ESTADUAL DOUTOR LUIZ VIANA FILHO</v>
          </cell>
        </row>
        <row r="533">
          <cell r="A533" t="str">
            <v>18</v>
          </cell>
          <cell r="C533">
            <v>1178259</v>
          </cell>
          <cell r="E533">
            <v>29848873</v>
          </cell>
          <cell r="F533" t="str">
            <v>COLEGIO ESTADUAL ACELINA DANTAS DA SILVA</v>
          </cell>
        </row>
        <row r="534">
          <cell r="A534" t="str">
            <v>18</v>
          </cell>
          <cell r="C534">
            <v>1115229</v>
          </cell>
          <cell r="E534">
            <v>29131553</v>
          </cell>
          <cell r="F534" t="str">
            <v>COLEGIO EST DE TEMPO INTEGRAL PROFESSORA NINALVA MARIA PARAIZO SILVA</v>
          </cell>
        </row>
        <row r="535">
          <cell r="A535" t="str">
            <v>18</v>
          </cell>
          <cell r="C535">
            <v>1160186</v>
          </cell>
          <cell r="E535">
            <v>29104505</v>
          </cell>
          <cell r="F535" t="str">
            <v>COLEGIO ESTADUAL ELIEL MARTINS</v>
          </cell>
        </row>
        <row r="536">
          <cell r="A536" t="str">
            <v>18</v>
          </cell>
          <cell r="C536">
            <v>1108222</v>
          </cell>
          <cell r="E536">
            <v>29104580</v>
          </cell>
          <cell r="F536" t="str">
            <v>COLEGIO ESTADUAL JOAO BENEVIDES NOGUEIRA</v>
          </cell>
        </row>
        <row r="537">
          <cell r="A537" t="str">
            <v>18</v>
          </cell>
          <cell r="C537">
            <v>1108311</v>
          </cell>
          <cell r="E537">
            <v>29154618</v>
          </cell>
          <cell r="F537" t="str">
            <v>COLEGIO ESTADUAL MARQUES DE ABRANTES</v>
          </cell>
        </row>
        <row r="538">
          <cell r="A538" t="str">
            <v>18</v>
          </cell>
          <cell r="C538">
            <v>1108320</v>
          </cell>
          <cell r="E538">
            <v>29153964</v>
          </cell>
          <cell r="F538" t="str">
            <v>COLEGIO ESTADUAL DOUTOR JOSE CARVALHO BAPTISTA</v>
          </cell>
        </row>
        <row r="539">
          <cell r="A539" t="str">
            <v>18</v>
          </cell>
          <cell r="C539">
            <v>1108273</v>
          </cell>
          <cell r="E539">
            <v>29154707</v>
          </cell>
          <cell r="F539" t="str">
            <v>COLEGIO DEMOCRATICO ESTADUAL PROFESSOR EDGARD SANTOS</v>
          </cell>
        </row>
        <row r="540">
          <cell r="A540" t="str">
            <v>19</v>
          </cell>
          <cell r="C540">
            <v>1105320</v>
          </cell>
          <cell r="E540">
            <v>29089115</v>
          </cell>
          <cell r="F540" t="str">
            <v>COLEGIO ESTADUAL DE AGUA FRIA</v>
          </cell>
        </row>
        <row r="541">
          <cell r="A541" t="str">
            <v>19</v>
          </cell>
          <cell r="C541">
            <v>1105436</v>
          </cell>
          <cell r="E541">
            <v>29157803</v>
          </cell>
          <cell r="F541" t="str">
            <v>COLEGIO ESTADUAL DE TEMPO INTEGRAL AMELIA RODRIGUES</v>
          </cell>
        </row>
        <row r="542">
          <cell r="A542" t="str">
            <v>19</v>
          </cell>
          <cell r="C542">
            <v>1105584</v>
          </cell>
          <cell r="E542">
            <v>29089964</v>
          </cell>
          <cell r="F542" t="str">
            <v>COLEGIO ESTADUAL DE TEMPO INTEGRAL ARTHUR VIEIRA DE OLIVEIRA</v>
          </cell>
        </row>
        <row r="543">
          <cell r="A543" t="str">
            <v>19</v>
          </cell>
          <cell r="C543">
            <v>1105460</v>
          </cell>
          <cell r="E543">
            <v>29090350</v>
          </cell>
          <cell r="F543" t="str">
            <v>COLEGIO EST DO CAMPO DE TEMPO INT GENIVALDO DE ALMEIDA BRANDAO</v>
          </cell>
        </row>
        <row r="544">
          <cell r="A544" t="str">
            <v>19</v>
          </cell>
          <cell r="C544">
            <v>1105568</v>
          </cell>
          <cell r="E544">
            <v>29090865</v>
          </cell>
          <cell r="F544" t="str">
            <v>COLEGIO ESTADUAL DE TEMPO INTEGRAL DE CONCEICAO DA FEIRA</v>
          </cell>
        </row>
        <row r="545">
          <cell r="A545" t="str">
            <v>19</v>
          </cell>
          <cell r="C545">
            <v>1105266</v>
          </cell>
          <cell r="E545">
            <v>29091470</v>
          </cell>
          <cell r="F545" t="str">
            <v>COLEGIO ESTADUAL DE TEMPO INTEGRAL CONCEICAO DO JACUIPE</v>
          </cell>
        </row>
        <row r="546">
          <cell r="A546" t="str">
            <v>19</v>
          </cell>
          <cell r="C546">
            <v>1105169</v>
          </cell>
          <cell r="E546">
            <v>29092191</v>
          </cell>
          <cell r="F546" t="str">
            <v>COLEGIO ESTADUAL DE TEMPO INTEGRAL DOM PEDRO II</v>
          </cell>
        </row>
        <row r="547">
          <cell r="A547" t="str">
            <v>19</v>
          </cell>
          <cell r="C547">
            <v>1105100</v>
          </cell>
          <cell r="E547">
            <v>29092213</v>
          </cell>
          <cell r="F547" t="str">
            <v>COLEGIO ESTADUAL DO CAMPO PROFESSOR JOSE WALDOMIRO SANTOS DA CONCEICAO</v>
          </cell>
        </row>
        <row r="548">
          <cell r="A548" t="str">
            <v>19</v>
          </cell>
          <cell r="C548">
            <v>1106637</v>
          </cell>
          <cell r="E548">
            <v>29095999</v>
          </cell>
          <cell r="F548" t="str">
            <v>COLEGIO ESTADUAL PROFESSORA TECLA MELLO</v>
          </cell>
        </row>
        <row r="549">
          <cell r="A549" t="str">
            <v>19</v>
          </cell>
          <cell r="C549">
            <v>1178163</v>
          </cell>
          <cell r="E549">
            <v>29380375</v>
          </cell>
          <cell r="F549" t="str">
            <v>CENTRO DE APOIO PEDAGOGICO ESPECIALIZADO JONATHAS TELLES DE CARVALHO</v>
          </cell>
        </row>
        <row r="550">
          <cell r="A550" t="str">
            <v>19</v>
          </cell>
          <cell r="C550">
            <v>1106564</v>
          </cell>
          <cell r="E550">
            <v>29094712</v>
          </cell>
          <cell r="F550" t="str">
            <v>COLEGIO ESTADUAL DE TEMPO INTEGRAL PROF ANA ALICE FIGUEREDO DOS SANTOS</v>
          </cell>
        </row>
        <row r="551">
          <cell r="A551" t="str">
            <v>19</v>
          </cell>
          <cell r="C551">
            <v>1179657</v>
          </cell>
          <cell r="E551">
            <v>29474264</v>
          </cell>
          <cell r="F551" t="str">
            <v>CENTRO JUVENIL DE CIENCIA E CULTURA - CJCC FEIRA DE SANTANA</v>
          </cell>
        </row>
        <row r="552">
          <cell r="A552" t="str">
            <v>19</v>
          </cell>
          <cell r="C552">
            <v>1105959</v>
          </cell>
          <cell r="E552">
            <v>29096243</v>
          </cell>
          <cell r="F552" t="str">
            <v>INSTITUTO DE EDUCACAO DE TEMPO INTEGRAL GASTAO GUIMARAES</v>
          </cell>
        </row>
        <row r="553">
          <cell r="A553" t="str">
            <v>19</v>
          </cell>
          <cell r="C553">
            <v>1178101</v>
          </cell>
          <cell r="E553">
            <v>29436842</v>
          </cell>
          <cell r="F553" t="str">
            <v>CENTRO DE APOIO PEDAGOGICO ESPECIALIZADO DE FEIRA DE SANTANA</v>
          </cell>
        </row>
        <row r="554">
          <cell r="A554" t="str">
            <v>19</v>
          </cell>
          <cell r="C554">
            <v>1106718</v>
          </cell>
          <cell r="E554">
            <v>29097703</v>
          </cell>
          <cell r="F554" t="str">
            <v>COLEGIO ESTADUAL DO CAMPO MARIA QUITERIA</v>
          </cell>
        </row>
        <row r="555">
          <cell r="A555" t="str">
            <v>19</v>
          </cell>
          <cell r="C555">
            <v>1163894</v>
          </cell>
          <cell r="E555">
            <v>29097509</v>
          </cell>
          <cell r="F555" t="str">
            <v>CENTRO TERRITORIAL DE EDUCACAO PROFISSIONAL DO PORTAL DO SERTAO</v>
          </cell>
        </row>
        <row r="556">
          <cell r="A556" t="str">
            <v>19</v>
          </cell>
          <cell r="C556">
            <v>1106394</v>
          </cell>
          <cell r="E556">
            <v>29095239</v>
          </cell>
          <cell r="F556" t="str">
            <v>COLEGIO ESTADUAL DO CAMPO JOAO BAPTISTA CARNEIRO</v>
          </cell>
        </row>
        <row r="557">
          <cell r="A557" t="str">
            <v>19</v>
          </cell>
          <cell r="C557">
            <v>1106491</v>
          </cell>
          <cell r="E557">
            <v>29093554</v>
          </cell>
          <cell r="F557" t="str">
            <v>COLEGIO ESTADUAL JUIZ JORGE FARIAS GOES</v>
          </cell>
        </row>
        <row r="558">
          <cell r="A558" t="str">
            <v>19</v>
          </cell>
          <cell r="C558">
            <v>1106106</v>
          </cell>
          <cell r="E558">
            <v>29097541</v>
          </cell>
          <cell r="F558" t="str">
            <v>COLEGIO ESTADUAL DO CAMPO ITAN GUIMARAES CERQUEIRA</v>
          </cell>
        </row>
        <row r="559">
          <cell r="A559" t="str">
            <v>19</v>
          </cell>
          <cell r="C559">
            <v>1178137</v>
          </cell>
          <cell r="E559">
            <v>29441633</v>
          </cell>
          <cell r="F559" t="str">
            <v>COLEGIO ESTADUAL DO CAMPO DE JAGUARA</v>
          </cell>
        </row>
        <row r="560">
          <cell r="A560" t="str">
            <v>19</v>
          </cell>
          <cell r="C560">
            <v>1106742</v>
          </cell>
          <cell r="E560">
            <v>29093279</v>
          </cell>
          <cell r="F560" t="str">
            <v>COLEGIO ESTADUAL GOVERNADOR LUIZ VIANA FILHO</v>
          </cell>
        </row>
        <row r="561">
          <cell r="A561" t="str">
            <v>19</v>
          </cell>
          <cell r="C561">
            <v>1105940</v>
          </cell>
          <cell r="E561">
            <v>29094194</v>
          </cell>
          <cell r="F561" t="str">
            <v>COLEGIO ESTADUAL ERNESTO CARNEIRO RIBEIRO</v>
          </cell>
        </row>
        <row r="562">
          <cell r="A562" t="str">
            <v>19</v>
          </cell>
          <cell r="C562">
            <v>1106270</v>
          </cell>
          <cell r="E562">
            <v>29095140</v>
          </cell>
          <cell r="F562" t="str">
            <v>COLEGIO ESTADUAL HILDA CARNEIRO</v>
          </cell>
        </row>
        <row r="563">
          <cell r="A563" t="str">
            <v>19</v>
          </cell>
          <cell r="C563">
            <v>1176068</v>
          </cell>
          <cell r="E563">
            <v>29093473</v>
          </cell>
          <cell r="F563" t="str">
            <v>COLEGIO ESTADUAL LAZARO DOS SANTOS FERREIRA</v>
          </cell>
        </row>
        <row r="564">
          <cell r="A564" t="str">
            <v>19</v>
          </cell>
          <cell r="C564">
            <v>1106467</v>
          </cell>
          <cell r="E564">
            <v>29093546</v>
          </cell>
          <cell r="F564" t="str">
            <v>COLEGIO EST DE TEMPO INTEGRAL PROF ANA ANGELICA VERGNE DE MORAIS</v>
          </cell>
        </row>
        <row r="565">
          <cell r="A565" t="str">
            <v>19</v>
          </cell>
          <cell r="C565">
            <v>1105797</v>
          </cell>
          <cell r="E565">
            <v>29432960</v>
          </cell>
          <cell r="F565" t="str">
            <v>CENTRO ESTADUAL DE EDUCACAO PROFISSIONAL AUREO DE OLIVEIRA FILHO</v>
          </cell>
        </row>
        <row r="566">
          <cell r="A566" t="str">
            <v>19</v>
          </cell>
          <cell r="C566">
            <v>1106297</v>
          </cell>
          <cell r="E566">
            <v>29094151</v>
          </cell>
          <cell r="F566" t="str">
            <v>COLEGIO ESTADUAL IMACULADA CONCEICAO</v>
          </cell>
        </row>
        <row r="567">
          <cell r="A567" t="str">
            <v>19</v>
          </cell>
          <cell r="C567">
            <v>1106335</v>
          </cell>
          <cell r="E567">
            <v>29093260</v>
          </cell>
          <cell r="F567" t="str">
            <v>COLEGIO ESTADUAL PROFESSORA CARMINDA MASCARENHAS VIEIRA</v>
          </cell>
        </row>
        <row r="568">
          <cell r="A568" t="str">
            <v>19</v>
          </cell>
          <cell r="C568">
            <v>1106220</v>
          </cell>
          <cell r="E568">
            <v>29094216</v>
          </cell>
          <cell r="F568" t="str">
            <v>COLEGIO ESTADUAL SANTO ANTONIO</v>
          </cell>
        </row>
        <row r="569">
          <cell r="A569" t="str">
            <v>19</v>
          </cell>
          <cell r="C569">
            <v>1106211</v>
          </cell>
          <cell r="E569">
            <v>29096596</v>
          </cell>
          <cell r="F569" t="str">
            <v>COLEGIO ESTADUAL DO CAMPO PADRE HENRIQUE ALVES BORGES</v>
          </cell>
        </row>
        <row r="570">
          <cell r="A570" t="str">
            <v>19</v>
          </cell>
          <cell r="C570">
            <v>1105916</v>
          </cell>
          <cell r="E570">
            <v>29093511</v>
          </cell>
          <cell r="F570" t="str">
            <v>COLEGIO ESTADUAL DE TEMPO INTEGRAL EDITH MACHADO BOAVENTURA</v>
          </cell>
        </row>
        <row r="571">
          <cell r="A571" t="str">
            <v>19</v>
          </cell>
          <cell r="C571">
            <v>1105932</v>
          </cell>
          <cell r="E571">
            <v>29096847</v>
          </cell>
          <cell r="F571" t="str">
            <v>COLEGIO ESTADUAL DO CAMPO EDIVALDO MACHADO BOAVENTURA</v>
          </cell>
        </row>
        <row r="572">
          <cell r="A572" t="str">
            <v>19</v>
          </cell>
          <cell r="C572">
            <v>1106084</v>
          </cell>
          <cell r="E572">
            <v>29095190</v>
          </cell>
          <cell r="F572" t="str">
            <v>COLEGIO GEORGINA SOARES NASCIMENTO</v>
          </cell>
        </row>
        <row r="573">
          <cell r="A573" t="str">
            <v>19</v>
          </cell>
          <cell r="C573">
            <v>1179770</v>
          </cell>
          <cell r="E573">
            <v>29094240</v>
          </cell>
          <cell r="F573" t="str">
            <v>COLEGIO ESTADUAL DE TEMPO INTEGRAL GEORGINA DE MELO ERISMANN</v>
          </cell>
        </row>
        <row r="574">
          <cell r="A574" t="str">
            <v>19</v>
          </cell>
          <cell r="C574">
            <v>1105754</v>
          </cell>
          <cell r="E574">
            <v>29093457</v>
          </cell>
          <cell r="F574" t="str">
            <v>CENTRO INTEGRADO DE EDUCACAO ASSIS CHATEAUBRIAND</v>
          </cell>
        </row>
        <row r="575">
          <cell r="A575" t="str">
            <v>19</v>
          </cell>
          <cell r="C575">
            <v>1106289</v>
          </cell>
          <cell r="E575">
            <v>29093350</v>
          </cell>
          <cell r="F575" t="str">
            <v>COLEGIO ESTADUAL ODORICO TAVARES</v>
          </cell>
        </row>
        <row r="576">
          <cell r="A576" t="str">
            <v>19</v>
          </cell>
          <cell r="C576">
            <v>1106556</v>
          </cell>
          <cell r="E576">
            <v>29094798</v>
          </cell>
          <cell r="F576" t="str">
            <v>COLEGIO ESTADUAL ROTARY</v>
          </cell>
        </row>
        <row r="577">
          <cell r="A577" t="str">
            <v>19</v>
          </cell>
          <cell r="C577">
            <v>1105975</v>
          </cell>
          <cell r="E577">
            <v>29093520</v>
          </cell>
          <cell r="F577" t="str">
            <v>CENTRO EST DE EDUCACAO PROFISSIONAL EM SAUDE DO CENTRO BAIANO</v>
          </cell>
        </row>
        <row r="578">
          <cell r="A578" t="str">
            <v>19</v>
          </cell>
          <cell r="C578">
            <v>1176448</v>
          </cell>
          <cell r="E578">
            <v>29387728</v>
          </cell>
          <cell r="F578" t="str">
            <v>COLEGIO ESTADUAL HELENA ASSIS SUZART</v>
          </cell>
        </row>
        <row r="579">
          <cell r="A579" t="str">
            <v>19</v>
          </cell>
          <cell r="C579">
            <v>1105878</v>
          </cell>
          <cell r="E579">
            <v>29093317</v>
          </cell>
          <cell r="F579" t="str">
            <v>COLEGIO DA POLICIA MILITAR CPM DIVA PORTELA</v>
          </cell>
        </row>
        <row r="580">
          <cell r="A580" t="str">
            <v>19</v>
          </cell>
          <cell r="C580">
            <v>1142242</v>
          </cell>
          <cell r="E580">
            <v>29097665</v>
          </cell>
          <cell r="F580" t="str">
            <v>COLEGIO ESTADUAL TEOTONIO VILELA</v>
          </cell>
        </row>
        <row r="581">
          <cell r="A581" t="str">
            <v>19</v>
          </cell>
          <cell r="C581">
            <v>1106386</v>
          </cell>
          <cell r="E581">
            <v>29094100</v>
          </cell>
          <cell r="F581" t="str">
            <v>COLEGIO ESTADUAL DE TEMPO INTEGRAL DE FEIRA DE SANTANA</v>
          </cell>
        </row>
        <row r="582">
          <cell r="A582" t="str">
            <v>19</v>
          </cell>
          <cell r="C582">
            <v>1160607</v>
          </cell>
          <cell r="E582">
            <v>29093341</v>
          </cell>
          <cell r="F582" t="str">
            <v>CENTRO EDUCACIONAL CENECISTA DO CAMPO CONEGO CUPERTINO DE LACERDA</v>
          </cell>
        </row>
        <row r="583">
          <cell r="A583" t="str">
            <v>19</v>
          </cell>
          <cell r="C583">
            <v>1178219</v>
          </cell>
          <cell r="E583">
            <v>29443768</v>
          </cell>
          <cell r="F583" t="str">
            <v>COLEGIO ESTADUAL DOUTOR JAIR SANTOS SILVA</v>
          </cell>
        </row>
        <row r="584">
          <cell r="A584" t="str">
            <v>19</v>
          </cell>
          <cell r="C584">
            <v>1105886</v>
          </cell>
          <cell r="E584">
            <v>29093660</v>
          </cell>
          <cell r="F584" t="str">
            <v>COLEGIO ESTADUAL DURVALINA CARNEIRO</v>
          </cell>
        </row>
        <row r="585">
          <cell r="A585" t="str">
            <v>19</v>
          </cell>
          <cell r="C585">
            <v>1176423</v>
          </cell>
          <cell r="E585">
            <v>29387736</v>
          </cell>
          <cell r="F585" t="str">
            <v>COLEGIO MODELO LUIS EDUARDO MAGALHAES</v>
          </cell>
        </row>
        <row r="586">
          <cell r="A586" t="str">
            <v>19</v>
          </cell>
          <cell r="C586">
            <v>1106599</v>
          </cell>
          <cell r="E586">
            <v>29095212</v>
          </cell>
          <cell r="F586" t="str">
            <v>COLEGIO ESTADUAL IRMA ROSA APARECIDA</v>
          </cell>
        </row>
        <row r="587">
          <cell r="A587" t="str">
            <v>19</v>
          </cell>
          <cell r="C587">
            <v>1106645</v>
          </cell>
          <cell r="E587">
            <v>29095166</v>
          </cell>
          <cell r="F587" t="str">
            <v>COLEGIO ESTADUAL DE TEMPO INTEGRAL CAROLINA MARIA DE JESUS</v>
          </cell>
        </row>
        <row r="588">
          <cell r="A588" t="str">
            <v>19</v>
          </cell>
          <cell r="C588">
            <v>1179769</v>
          </cell>
          <cell r="E588">
            <v>29095158</v>
          </cell>
          <cell r="F588" t="str">
            <v>COLEGIO ESTADUAL DE TEMPO INTEGRAL PROFESSORA CELIA SANTOS ANDRADE</v>
          </cell>
        </row>
        <row r="589">
          <cell r="A589" t="str">
            <v>19</v>
          </cell>
          <cell r="C589">
            <v>1179826</v>
          </cell>
          <cell r="E589">
            <v>44449</v>
          </cell>
          <cell r="F589" t="str">
            <v>COLEGIO ESTADUAL DE TEMPO INTEGRAL DA MATINHA</v>
          </cell>
        </row>
        <row r="590">
          <cell r="A590" t="str">
            <v>19</v>
          </cell>
          <cell r="C590">
            <v>1160380</v>
          </cell>
          <cell r="E590">
            <v>29098165</v>
          </cell>
          <cell r="F590" t="str">
            <v>COLEGIO ESTADUAL DE TEMPO INTEGRAL AUREO FILHO</v>
          </cell>
        </row>
        <row r="591">
          <cell r="A591" t="str">
            <v>19</v>
          </cell>
          <cell r="C591">
            <v>1107129</v>
          </cell>
          <cell r="E591">
            <v>29103290</v>
          </cell>
          <cell r="F591" t="str">
            <v>COLEGIO ESTADUAL DE TEMPO INTEGRAL PROFESSORA MARLENE ALVES DOS SANTOS</v>
          </cell>
        </row>
        <row r="592">
          <cell r="A592" t="str">
            <v>19</v>
          </cell>
          <cell r="C592">
            <v>1107404</v>
          </cell>
          <cell r="E592">
            <v>29107440</v>
          </cell>
          <cell r="F592" t="str">
            <v>COLEGIO ESTADUAL DE TEMPO INTEGRAL SAO JOSE</v>
          </cell>
        </row>
        <row r="593">
          <cell r="A593" t="str">
            <v>19</v>
          </cell>
          <cell r="C593">
            <v>1107382</v>
          </cell>
          <cell r="E593">
            <v>29107466</v>
          </cell>
          <cell r="F593" t="str">
            <v>COLEGIO ESTADUAL PROFESSOR CARLOS VALADARES</v>
          </cell>
        </row>
        <row r="594">
          <cell r="A594" t="str">
            <v>19</v>
          </cell>
          <cell r="C594">
            <v>1107420</v>
          </cell>
          <cell r="E594">
            <v>29108047</v>
          </cell>
          <cell r="F594" t="str">
            <v>COLEGIO ESTADUAL DE TEMPO INTEGRAL JOSE ANTONIO DE ALMEIDA</v>
          </cell>
        </row>
        <row r="595">
          <cell r="A595" t="str">
            <v>19</v>
          </cell>
          <cell r="C595">
            <v>1107455</v>
          </cell>
          <cell r="E595">
            <v>29108900</v>
          </cell>
          <cell r="F595" t="str">
            <v>COLEGIO ESTADUAL DE TEMPO INTEGRAL PROFESSORA EDITE FERREIRA FONSECA</v>
          </cell>
        </row>
        <row r="596">
          <cell r="A596" t="str">
            <v>19</v>
          </cell>
          <cell r="C596">
            <v>1107501</v>
          </cell>
          <cell r="E596">
            <v>29109361</v>
          </cell>
          <cell r="F596" t="str">
            <v>COLEGIO ESTADUAL DE TEMPO INTEGRAL DE SANTO ESTEVAO</v>
          </cell>
        </row>
        <row r="597">
          <cell r="A597" t="str">
            <v>19</v>
          </cell>
          <cell r="C597">
            <v>1107536</v>
          </cell>
          <cell r="E597">
            <v>29110076</v>
          </cell>
          <cell r="F597" t="str">
            <v>COLEGIO ESTADUAL DE TEMPO INTEGRAL DE SAO GONCALO DOS CAMPOS</v>
          </cell>
        </row>
        <row r="598">
          <cell r="A598" t="str">
            <v>19</v>
          </cell>
          <cell r="C598">
            <v>1107706</v>
          </cell>
          <cell r="E598">
            <v>29111730</v>
          </cell>
          <cell r="F598" t="str">
            <v>COLEGIO ESTADUAL DE TEMPO INTEGRAL NOVIS FILHO</v>
          </cell>
        </row>
        <row r="599">
          <cell r="A599" t="str">
            <v>19</v>
          </cell>
          <cell r="C599">
            <v>1178202</v>
          </cell>
          <cell r="E599">
            <v>29443288</v>
          </cell>
          <cell r="F599" t="str">
            <v>COLEGIO ESTADUAL ASSIS VALENTE</v>
          </cell>
        </row>
        <row r="600">
          <cell r="A600" t="str">
            <v>19</v>
          </cell>
          <cell r="C600">
            <v>1178047</v>
          </cell>
          <cell r="E600">
            <v>29432510</v>
          </cell>
          <cell r="F600" t="str">
            <v>COLEGIO ESTADUAL TERRA NOVA</v>
          </cell>
        </row>
        <row r="601">
          <cell r="A601" t="str">
            <v>20</v>
          </cell>
          <cell r="C601">
            <v>1178405</v>
          </cell>
          <cell r="E601">
            <v>29395950</v>
          </cell>
          <cell r="F601" t="str">
            <v>COLEGIO ESTADUAL SISINIO RIBEIRO SILVA</v>
          </cell>
        </row>
        <row r="602">
          <cell r="A602" t="str">
            <v>20</v>
          </cell>
          <cell r="C602">
            <v>1124813</v>
          </cell>
          <cell r="E602">
            <v>29267420</v>
          </cell>
          <cell r="F602" t="str">
            <v>COLEGIO ESTADUAL DE TEMPO INTEGRAL DE ANAGE</v>
          </cell>
        </row>
        <row r="603">
          <cell r="A603" t="str">
            <v>20</v>
          </cell>
          <cell r="C603">
            <v>1123671</v>
          </cell>
          <cell r="E603">
            <v>29255597</v>
          </cell>
          <cell r="F603" t="str">
            <v>COLEGIO ESTADUAL DE TEMPO INTEGRAL DE ARACATU</v>
          </cell>
        </row>
        <row r="604">
          <cell r="A604" t="str">
            <v>20</v>
          </cell>
          <cell r="C604">
            <v>1124856</v>
          </cell>
          <cell r="E604">
            <v>29267480</v>
          </cell>
          <cell r="F604" t="str">
            <v>COLEGIO ESTADUAL DE TEMPO INTEGRAL DE BARRA DO CHOCA</v>
          </cell>
        </row>
        <row r="605">
          <cell r="A605" t="str">
            <v>20</v>
          </cell>
          <cell r="C605">
            <v>1178404</v>
          </cell>
          <cell r="E605">
            <v>29395860</v>
          </cell>
          <cell r="F605" t="str">
            <v>COLEGIO ESTADUAL VITORIA LIMA DE OLIVEIRA</v>
          </cell>
        </row>
        <row r="606">
          <cell r="A606" t="str">
            <v>20</v>
          </cell>
          <cell r="C606">
            <v>1179113</v>
          </cell>
          <cell r="E606">
            <v>29449332</v>
          </cell>
          <cell r="F606" t="str">
            <v>COLEGIO ESTADUAL DO CAMPO LUCIA ROCHA MACEDO</v>
          </cell>
        </row>
        <row r="607">
          <cell r="A607" t="str">
            <v>20</v>
          </cell>
          <cell r="C607">
            <v>1124872</v>
          </cell>
          <cell r="E607">
            <v>29268168</v>
          </cell>
          <cell r="F607" t="str">
            <v>COLEGIO EST DE TEMPO INTEGRAL PROFESSORA ELINEUZA DA SILVA FERREIRA</v>
          </cell>
        </row>
        <row r="608">
          <cell r="A608" t="str">
            <v>20</v>
          </cell>
          <cell r="C608">
            <v>1165706</v>
          </cell>
          <cell r="E608">
            <v>29269806</v>
          </cell>
          <cell r="F608" t="str">
            <v>COLEGIO ESTADUAL DE TEMPO INTEGRAL DE BOM JESUS DA SERRA</v>
          </cell>
        </row>
        <row r="609">
          <cell r="A609" t="str">
            <v>20</v>
          </cell>
          <cell r="C609">
            <v>1165722</v>
          </cell>
          <cell r="E609">
            <v>29270570</v>
          </cell>
          <cell r="F609" t="str">
            <v>COLEGIO ESTADUAL DE TEMPO INTEGRAL DE CAETANOS</v>
          </cell>
        </row>
        <row r="610">
          <cell r="A610" t="str">
            <v>20</v>
          </cell>
          <cell r="C610">
            <v>1179136</v>
          </cell>
          <cell r="E610">
            <v>29449545</v>
          </cell>
          <cell r="F610" t="str">
            <v>COLEGIO ESTADUAL DO CAMPO MAMEDIO BATISTA LOBAO</v>
          </cell>
        </row>
        <row r="611">
          <cell r="A611" t="str">
            <v>20</v>
          </cell>
          <cell r="C611">
            <v>1179137</v>
          </cell>
          <cell r="E611">
            <v>29449456</v>
          </cell>
          <cell r="F611" t="str">
            <v>COLEGIO ESTADUAL DO CAMPO GEOVANE FERREIRA DE QUEIROZ</v>
          </cell>
        </row>
        <row r="612">
          <cell r="A612" t="str">
            <v>20</v>
          </cell>
          <cell r="C612">
            <v>1178438</v>
          </cell>
          <cell r="E612">
            <v>29434734</v>
          </cell>
          <cell r="F612" t="str">
            <v>COLEGIO ESTADUAL DE TEMPO INTEGRAL DE CANDIDO SALES</v>
          </cell>
        </row>
        <row r="613">
          <cell r="A613" t="str">
            <v>20</v>
          </cell>
          <cell r="C613">
            <v>1177071</v>
          </cell>
          <cell r="E613">
            <v>29409535</v>
          </cell>
          <cell r="F613" t="str">
            <v>COLEGIO ESTADUAL PETRINA NOVAIS SILVA CAIRO</v>
          </cell>
        </row>
        <row r="614">
          <cell r="A614" t="str">
            <v>20</v>
          </cell>
          <cell r="C614">
            <v>1128878</v>
          </cell>
          <cell r="E614">
            <v>29258324</v>
          </cell>
          <cell r="F614" t="str">
            <v>COLEGIO ESTADUAL DE TEMPO INTEGRAL DE CONDEUBA</v>
          </cell>
        </row>
        <row r="615">
          <cell r="A615" t="str">
            <v>20</v>
          </cell>
          <cell r="C615">
            <v>1128924</v>
          </cell>
          <cell r="E615">
            <v>29259630</v>
          </cell>
          <cell r="F615" t="str">
            <v>COLEGIO ESTADUAL DE TEMPO INTEGRAL DE CORDEIROS</v>
          </cell>
        </row>
        <row r="616">
          <cell r="A616" t="str">
            <v>20</v>
          </cell>
          <cell r="C616">
            <v>1179271</v>
          </cell>
          <cell r="E616">
            <v>29459028</v>
          </cell>
          <cell r="F616" t="str">
            <v>COLEGIO ESTADUAL DO CAMPO NANCY DE CASTRO ESTAVES</v>
          </cell>
        </row>
        <row r="617">
          <cell r="A617" t="str">
            <v>20</v>
          </cell>
          <cell r="C617">
            <v>1165277</v>
          </cell>
          <cell r="E617">
            <v>29281261</v>
          </cell>
          <cell r="F617" t="str">
            <v>COLEGIO ESTADUAL JOSE PALLES SOBRINHO</v>
          </cell>
        </row>
        <row r="618">
          <cell r="A618" t="str">
            <v>20</v>
          </cell>
          <cell r="C618">
            <v>1178271</v>
          </cell>
          <cell r="E618">
            <v>29535816</v>
          </cell>
          <cell r="F618" t="str">
            <v>COLEGIO ESTADUAL JORGE AMADO</v>
          </cell>
        </row>
        <row r="619">
          <cell r="A619" t="str">
            <v>20</v>
          </cell>
          <cell r="C619">
            <v>1176160</v>
          </cell>
          <cell r="E619">
            <v>29335132</v>
          </cell>
          <cell r="F619" t="str">
            <v>COLEGIO ESTADUAL ZULEIDE FREIRE DE ABREU</v>
          </cell>
        </row>
        <row r="620">
          <cell r="A620" t="str">
            <v>20</v>
          </cell>
          <cell r="C620">
            <v>1128460</v>
          </cell>
          <cell r="E620">
            <v>29249104</v>
          </cell>
          <cell r="F620" t="str">
            <v>COLEGIO ESTADUAL DE TEMPO INTEGRAL DE LICINIO DE ALMEIDA</v>
          </cell>
        </row>
        <row r="621">
          <cell r="A621" t="str">
            <v>20</v>
          </cell>
          <cell r="C621">
            <v>1141815</v>
          </cell>
          <cell r="E621">
            <v>29261481</v>
          </cell>
          <cell r="F621" t="str">
            <v>COLEGIO ESTADUAL DE TEMPO INTEGRAL DE MAETINGA</v>
          </cell>
        </row>
        <row r="622">
          <cell r="A622" t="str">
            <v>20</v>
          </cell>
          <cell r="C622">
            <v>1178113</v>
          </cell>
          <cell r="E622">
            <v>29434726</v>
          </cell>
          <cell r="F622" t="str">
            <v>COLEGIO ESTADUAL PROFESSOR DIOMAR SILVA BRITO</v>
          </cell>
        </row>
        <row r="623">
          <cell r="A623" t="str">
            <v>20</v>
          </cell>
          <cell r="C623">
            <v>1129181</v>
          </cell>
          <cell r="E623">
            <v>29250285</v>
          </cell>
          <cell r="F623" t="str">
            <v>COLEGIO ESTADUAL DE TEMPO INTEGRAL DE MORTUGABA</v>
          </cell>
        </row>
        <row r="624">
          <cell r="A624" t="str">
            <v>20</v>
          </cell>
          <cell r="C624">
            <v>1156634</v>
          </cell>
          <cell r="E624">
            <v>29261953</v>
          </cell>
          <cell r="F624" t="str">
            <v>COLEGIO ESTADUAL DE TEMPO INTEGRAL DE PIRIPA</v>
          </cell>
        </row>
        <row r="625">
          <cell r="A625" t="str">
            <v>20</v>
          </cell>
          <cell r="C625">
            <v>1124996</v>
          </cell>
          <cell r="E625">
            <v>29275474</v>
          </cell>
          <cell r="F625" t="str">
            <v>COLEGIO ESTADUAL DE TEMPO INTEGRAL DE PLANALTO</v>
          </cell>
        </row>
        <row r="626">
          <cell r="A626" t="str">
            <v>20</v>
          </cell>
          <cell r="C626">
            <v>1125062</v>
          </cell>
          <cell r="E626">
            <v>29277230</v>
          </cell>
          <cell r="F626" t="str">
            <v>COLEGIO ESTADUAL EURIDES SANTANA</v>
          </cell>
        </row>
        <row r="627">
          <cell r="A627" t="str">
            <v>20</v>
          </cell>
          <cell r="C627">
            <v>1125186</v>
          </cell>
          <cell r="E627">
            <v>29276411</v>
          </cell>
          <cell r="F627" t="str">
            <v>COLEGIO ESTADUAL DE TEMPO INTEGRAL ROBERTO SANTOS</v>
          </cell>
        </row>
        <row r="628">
          <cell r="A628" t="str">
            <v>20</v>
          </cell>
          <cell r="C628">
            <v>1178071</v>
          </cell>
          <cell r="E628">
            <v>29428556</v>
          </cell>
          <cell r="F628" t="str">
            <v>COLEGIO ESTADUAL DO CAMPO ERALDO TINOCO</v>
          </cell>
        </row>
        <row r="629">
          <cell r="A629" t="str">
            <v>20</v>
          </cell>
          <cell r="C629">
            <v>1124929</v>
          </cell>
          <cell r="E629">
            <v>29285291</v>
          </cell>
          <cell r="F629" t="str">
            <v>COLEGIO ESTADUAL ANTONIO GONCALVES</v>
          </cell>
        </row>
        <row r="630">
          <cell r="A630" t="str">
            <v>20</v>
          </cell>
          <cell r="C630">
            <v>1178248</v>
          </cell>
          <cell r="E630">
            <v>29265932</v>
          </cell>
          <cell r="F630" t="str">
            <v>COLEGIO ESTADUAL MARIETA PEREIRA DOS SANTOS</v>
          </cell>
        </row>
        <row r="631">
          <cell r="A631" t="str">
            <v>20</v>
          </cell>
          <cell r="C631">
            <v>1125305</v>
          </cell>
          <cell r="E631">
            <v>29279640</v>
          </cell>
          <cell r="F631" t="str">
            <v>COMPLEXO INTEGRADO DE EDUC BASICA PROFIS E TEC DE VITORIA DA CONQUISTA</v>
          </cell>
        </row>
        <row r="632">
          <cell r="A632">
            <v>20</v>
          </cell>
          <cell r="C632">
            <v>1125399</v>
          </cell>
          <cell r="E632">
            <v>29277752</v>
          </cell>
          <cell r="F632" t="str">
            <v>COLEGIO POLIVALENTE DE VITORIA DA CONQUISTA</v>
          </cell>
        </row>
        <row r="633">
          <cell r="A633" t="str">
            <v>20</v>
          </cell>
          <cell r="C633">
            <v>1176435</v>
          </cell>
          <cell r="E633">
            <v>29402830</v>
          </cell>
          <cell r="F633" t="str">
            <v>COLEGIO ESTADUAL PROFESSORA HELEUSA FIGUEIRA CAMARA</v>
          </cell>
        </row>
        <row r="634">
          <cell r="A634" t="str">
            <v>20</v>
          </cell>
          <cell r="C634">
            <v>1125429</v>
          </cell>
          <cell r="E634">
            <v>29277990</v>
          </cell>
          <cell r="F634" t="str">
            <v>CENTRO TERRITORIAL DE EDUCACAO PROFISSIONAL DE VITORIA DA CONQUISTA</v>
          </cell>
        </row>
        <row r="635">
          <cell r="A635" t="str">
            <v>20</v>
          </cell>
          <cell r="C635">
            <v>1125640</v>
          </cell>
          <cell r="E635">
            <v>29277787</v>
          </cell>
          <cell r="F635" t="str">
            <v>COLEGIO DA POLICIA MILITAR - CPM ERALDO TINOCO</v>
          </cell>
        </row>
        <row r="636">
          <cell r="A636" t="str">
            <v>20</v>
          </cell>
          <cell r="C636">
            <v>1179246</v>
          </cell>
          <cell r="E636">
            <v>29457491</v>
          </cell>
          <cell r="F636" t="str">
            <v>COLEGIO ESTADUAL DO CAMPO DA CABECEIRA DA JIBOIA</v>
          </cell>
        </row>
        <row r="637">
          <cell r="A637" t="str">
            <v>20</v>
          </cell>
          <cell r="C637">
            <v>1178119</v>
          </cell>
          <cell r="E637">
            <v>29433410</v>
          </cell>
          <cell r="F637" t="str">
            <v>COLEGIO ESTADUAL DOM CLIMERIO ALMEIDA DE ANDRADE</v>
          </cell>
        </row>
        <row r="638">
          <cell r="A638" t="str">
            <v>20</v>
          </cell>
          <cell r="C638">
            <v>1179448</v>
          </cell>
          <cell r="E638">
            <v>29467861</v>
          </cell>
          <cell r="F638" t="str">
            <v>CENTRO JUVENIL DE CIENCIA E CULTURA-CJCC - VITORIA DA CONQUISTA</v>
          </cell>
        </row>
        <row r="639">
          <cell r="A639" t="str">
            <v>20</v>
          </cell>
          <cell r="C639">
            <v>1179223</v>
          </cell>
          <cell r="E639">
            <v>29456479</v>
          </cell>
          <cell r="F639" t="str">
            <v>COLEGIO ESTADUAL DE TEMPO INTEGRAL CAMILLO DE JESUS LIMA</v>
          </cell>
        </row>
        <row r="640">
          <cell r="A640" t="str">
            <v>20</v>
          </cell>
          <cell r="C640">
            <v>1179285</v>
          </cell>
          <cell r="E640">
            <v>29461472</v>
          </cell>
          <cell r="F640" t="str">
            <v>CENT.REG.DE ENS.MEDIO COM INTERMEDIACAO TEC.-CEMIT DE VIT.DA CONQUISTA</v>
          </cell>
        </row>
        <row r="641">
          <cell r="A641" t="str">
            <v>20</v>
          </cell>
          <cell r="C641">
            <v>1125496</v>
          </cell>
          <cell r="E641">
            <v>29279810</v>
          </cell>
          <cell r="F641" t="str">
            <v>COLEGIO ESTADUAL ANISIO TEIXEIRA</v>
          </cell>
        </row>
        <row r="642">
          <cell r="A642" t="str">
            <v>20</v>
          </cell>
          <cell r="C642">
            <v>1125160</v>
          </cell>
          <cell r="E642">
            <v>29277809</v>
          </cell>
          <cell r="F642" t="str">
            <v>COLEGIO ESTADUAL JOSE SA NUNES</v>
          </cell>
        </row>
        <row r="643">
          <cell r="A643" t="str">
            <v>20</v>
          </cell>
          <cell r="C643">
            <v>1125224</v>
          </cell>
          <cell r="E643">
            <v>29278112</v>
          </cell>
          <cell r="F643" t="str">
            <v>COLEGIO ESTADUAL KLEBER PACHECO DE OLIVEIRA</v>
          </cell>
        </row>
        <row r="644">
          <cell r="A644" t="str">
            <v>20</v>
          </cell>
          <cell r="C644">
            <v>1165358</v>
          </cell>
          <cell r="E644">
            <v>29279151</v>
          </cell>
          <cell r="F644" t="str">
            <v>COLEGIO ESTADUAL DE TEMPO INTEGRAL PADRE LUIS SOARES PALMEIRA</v>
          </cell>
        </row>
        <row r="645">
          <cell r="A645" t="str">
            <v>20</v>
          </cell>
          <cell r="C645">
            <v>1125461</v>
          </cell>
          <cell r="E645">
            <v>29279178</v>
          </cell>
          <cell r="F645" t="str">
            <v>COLEGIO ESTADUAL ADELMARIO PINHEIRO</v>
          </cell>
        </row>
        <row r="646">
          <cell r="A646" t="str">
            <v>20</v>
          </cell>
          <cell r="C646">
            <v>1179224</v>
          </cell>
          <cell r="E646">
            <v>29456487</v>
          </cell>
          <cell r="F646" t="str">
            <v>COLEGIO ESTADUAL DO CAMPO JOSE GONCALVES</v>
          </cell>
        </row>
        <row r="647">
          <cell r="A647" t="str">
            <v>20</v>
          </cell>
          <cell r="C647">
            <v>1125992</v>
          </cell>
          <cell r="E647">
            <v>29279887</v>
          </cell>
          <cell r="F647" t="str">
            <v>INSTITUTO DE EDUCACAO EUCLIDES DANTAS</v>
          </cell>
        </row>
        <row r="648">
          <cell r="A648">
            <v>20</v>
          </cell>
          <cell r="C648">
            <v>1179790</v>
          </cell>
          <cell r="E648">
            <v>44177</v>
          </cell>
          <cell r="F648" t="str">
            <v>CENTRO DE APOIO PEDAGOGICO ESPECIALIZADO - CAPE VITORIA DA CONQUISTA</v>
          </cell>
        </row>
        <row r="649">
          <cell r="A649">
            <v>20</v>
          </cell>
          <cell r="C649">
            <v>1179822</v>
          </cell>
          <cell r="E649">
            <v>44414</v>
          </cell>
          <cell r="F649" t="str">
            <v>COLEGIO ESTADUAL DO CAMPO DE TEMPO INTEGRAL PROFESSORA ELISABETH MARIA COUTO</v>
          </cell>
        </row>
        <row r="650">
          <cell r="A650" t="str">
            <v>21</v>
          </cell>
          <cell r="C650">
            <v>1178152</v>
          </cell>
          <cell r="E650">
            <v>29440173</v>
          </cell>
          <cell r="F650" t="str">
            <v>COLEGIO ESTADUAL ALBERICO GOMES SANTANA</v>
          </cell>
        </row>
        <row r="651">
          <cell r="A651" t="str">
            <v>21</v>
          </cell>
          <cell r="C651">
            <v>1135394</v>
          </cell>
          <cell r="E651">
            <v>29163234</v>
          </cell>
          <cell r="F651" t="str">
            <v>COLEGIO EST QUILOMBOLA DE TEMPO INTEGRAL DA BACIA DO IGUAPE</v>
          </cell>
        </row>
        <row r="652">
          <cell r="A652" t="str">
            <v>21</v>
          </cell>
          <cell r="C652">
            <v>1133715</v>
          </cell>
          <cell r="E652">
            <v>29162610</v>
          </cell>
          <cell r="F652" t="str">
            <v>COLEGIO ESTADUAL DE CACHOEIRA</v>
          </cell>
        </row>
        <row r="653">
          <cell r="A653" t="str">
            <v>21</v>
          </cell>
          <cell r="C653">
            <v>1109059</v>
          </cell>
          <cell r="E653">
            <v>29163374</v>
          </cell>
          <cell r="F653" t="str">
            <v>COLEGIO ESTADUAL DO CAMPO DE TEMPO INTEGRAL DE CASTRO ALVES</v>
          </cell>
        </row>
        <row r="654">
          <cell r="A654" t="str">
            <v>21</v>
          </cell>
          <cell r="C654">
            <v>1108893</v>
          </cell>
          <cell r="E654">
            <v>29164826</v>
          </cell>
          <cell r="F654" t="str">
            <v>COLEGIO ESTADUAL DE TEMPO INTEGRAL MANDINHO DE SOUZA ALMEIDA</v>
          </cell>
        </row>
        <row r="655">
          <cell r="A655" t="str">
            <v>21</v>
          </cell>
          <cell r="C655">
            <v>1133405</v>
          </cell>
          <cell r="E655">
            <v>29165407</v>
          </cell>
          <cell r="F655" t="str">
            <v>COLEGIO ESTADUAL DOUTOR LAURO PASSOS</v>
          </cell>
        </row>
        <row r="656">
          <cell r="A656" t="str">
            <v>21</v>
          </cell>
          <cell r="C656">
            <v>1133502</v>
          </cell>
          <cell r="E656">
            <v>29165555</v>
          </cell>
          <cell r="F656" t="str">
            <v>COLEGIO ESTADUAL LANDULFO ALVES DE ALMEIDA</v>
          </cell>
        </row>
        <row r="657">
          <cell r="A657" t="str">
            <v>21</v>
          </cell>
          <cell r="C657">
            <v>1176464</v>
          </cell>
          <cell r="E657">
            <v>29391466</v>
          </cell>
          <cell r="F657" t="str">
            <v>COLEGIO ESTADUAL LUCIANO PASSOS</v>
          </cell>
        </row>
        <row r="658">
          <cell r="A658" t="str">
            <v>21</v>
          </cell>
          <cell r="C658">
            <v>1133618</v>
          </cell>
          <cell r="E658">
            <v>29165253</v>
          </cell>
          <cell r="F658" t="str">
            <v>CENTRO TERRITORIAL DE EDUCACAO PROFIS RECONCAVO II ALBERTO TORRES</v>
          </cell>
        </row>
        <row r="659">
          <cell r="A659" t="str">
            <v>21</v>
          </cell>
          <cell r="C659">
            <v>1109164</v>
          </cell>
          <cell r="E659">
            <v>29166063</v>
          </cell>
          <cell r="F659" t="str">
            <v>COLEGIO ESTADUAL ERALDO TINOCO MELO</v>
          </cell>
        </row>
        <row r="660">
          <cell r="A660" t="str">
            <v>21</v>
          </cell>
          <cell r="C660">
            <v>1134029</v>
          </cell>
          <cell r="E660">
            <v>29166314</v>
          </cell>
          <cell r="F660" t="str">
            <v>COLEGIO ESTADUAL DE TEMPO INTEGRAL PROFESSOR EDGARD SANTOS</v>
          </cell>
        </row>
        <row r="661">
          <cell r="A661" t="str">
            <v>21</v>
          </cell>
          <cell r="C661">
            <v>1178153</v>
          </cell>
          <cell r="E661">
            <v>29444896</v>
          </cell>
          <cell r="F661" t="str">
            <v>COLEGIO ESTADUAL DO CAMPO DE TEMPO INTEGRAL NOSSA SENHORA DA CONCEICAO</v>
          </cell>
        </row>
        <row r="662">
          <cell r="A662" t="str">
            <v>21</v>
          </cell>
          <cell r="C662">
            <v>1133863</v>
          </cell>
          <cell r="E662">
            <v>29167388</v>
          </cell>
          <cell r="F662" t="str">
            <v>COLEGIO ESTADUAL DE TEMPO INTEGRAL DE MARAGOGIPE</v>
          </cell>
        </row>
        <row r="663">
          <cell r="A663" t="str">
            <v>21</v>
          </cell>
          <cell r="C663">
            <v>1166222</v>
          </cell>
          <cell r="E663">
            <v>29168775</v>
          </cell>
          <cell r="F663" t="str">
            <v>COLEGIO ESTADUAL DO CAMPO KLEBER PACHECO</v>
          </cell>
        </row>
        <row r="664">
          <cell r="A664" t="str">
            <v>21</v>
          </cell>
          <cell r="C664">
            <v>1176201</v>
          </cell>
          <cell r="E664">
            <v>29375983</v>
          </cell>
          <cell r="F664" t="str">
            <v>CENTRO ESTADUAL DE EDUCACAO PROFISSIONAL DO VALE DO PARAGUACU</v>
          </cell>
        </row>
        <row r="665">
          <cell r="A665" t="str">
            <v>21</v>
          </cell>
          <cell r="C665">
            <v>1178143</v>
          </cell>
          <cell r="E665">
            <v>29441641</v>
          </cell>
          <cell r="F665" t="str">
            <v>COLEGIO ESTADUAL DE TEMPO INTEGRAL EVANCLEIDE ALMEIDA SANTOS BARRETO</v>
          </cell>
        </row>
        <row r="666">
          <cell r="A666" t="str">
            <v>21</v>
          </cell>
          <cell r="C666">
            <v>1178001</v>
          </cell>
          <cell r="E666">
            <v>29417287</v>
          </cell>
          <cell r="F666" t="str">
            <v>COLEGIO ESTADUAL DO CAMPO MANOEL BENEDITO MASCARENHAS</v>
          </cell>
        </row>
        <row r="667">
          <cell r="A667" t="str">
            <v>21</v>
          </cell>
          <cell r="C667">
            <v>1135610</v>
          </cell>
          <cell r="E667">
            <v>29169160</v>
          </cell>
          <cell r="F667" t="str">
            <v>COLEGIO ESTADUAL JOAO BATISTA PEREIRA FRAGA</v>
          </cell>
        </row>
        <row r="668">
          <cell r="A668" t="str">
            <v>21</v>
          </cell>
          <cell r="C668">
            <v>1145691</v>
          </cell>
          <cell r="E668">
            <v>29169607</v>
          </cell>
          <cell r="F668" t="str">
            <v>COLEGIO ESTADUAL DOUTOR JOSE MARCELINO DE SOUZA</v>
          </cell>
        </row>
        <row r="669">
          <cell r="A669" t="str">
            <v>21</v>
          </cell>
          <cell r="C669">
            <v>1109326</v>
          </cell>
          <cell r="E669">
            <v>29169615</v>
          </cell>
          <cell r="F669" t="str">
            <v>COLEGIO ESTADUAL GOVERNADOR LUIZ VIANA FILHO</v>
          </cell>
        </row>
        <row r="670">
          <cell r="A670" t="str">
            <v>21</v>
          </cell>
          <cell r="C670">
            <v>1176467</v>
          </cell>
          <cell r="E670">
            <v>29400220</v>
          </cell>
          <cell r="F670" t="str">
            <v>COLEGIO ESTADUAL DE TEMPO INTEGRAL DE SALINAS DA MARGARIDA</v>
          </cell>
        </row>
        <row r="671">
          <cell r="A671" t="str">
            <v>21</v>
          </cell>
          <cell r="C671">
            <v>1134665</v>
          </cell>
          <cell r="E671">
            <v>29170877</v>
          </cell>
          <cell r="F671" t="str">
            <v>CENTRO EST DE EDUC PROFISSIONAL EM TURISMO DO LESTE BAIANO</v>
          </cell>
        </row>
        <row r="672">
          <cell r="A672" t="str">
            <v>21</v>
          </cell>
          <cell r="C672">
            <v>1134568</v>
          </cell>
          <cell r="E672">
            <v>29170583</v>
          </cell>
          <cell r="F672" t="str">
            <v>COLEGIO ESTADUAL DE TEMPO INTEGRAL TEODORO SAMPAIO</v>
          </cell>
        </row>
        <row r="673">
          <cell r="A673" t="str">
            <v>21</v>
          </cell>
          <cell r="C673">
            <v>1178052</v>
          </cell>
          <cell r="E673">
            <v>29426383</v>
          </cell>
          <cell r="F673" t="str">
            <v>COLEGIO ESTADUAL CASTRO ALVES</v>
          </cell>
        </row>
        <row r="674">
          <cell r="A674" t="str">
            <v>21</v>
          </cell>
          <cell r="C674">
            <v>1178262</v>
          </cell>
          <cell r="E674">
            <v>29432537</v>
          </cell>
          <cell r="F674" t="str">
            <v>COLEGIO ESTADUAL ANTONIO DOS SANTOS PAIM</v>
          </cell>
        </row>
        <row r="675">
          <cell r="A675" t="str">
            <v>21</v>
          </cell>
          <cell r="C675">
            <v>1109652</v>
          </cell>
          <cell r="E675">
            <v>29171601</v>
          </cell>
          <cell r="F675" t="str">
            <v>COLEGIO ESTADUAL FRANCISCO DA CONCEICAO MENEZES</v>
          </cell>
        </row>
        <row r="676">
          <cell r="A676" t="str">
            <v>21</v>
          </cell>
          <cell r="C676">
            <v>1164564</v>
          </cell>
          <cell r="E676">
            <v>29171610</v>
          </cell>
          <cell r="F676" t="str">
            <v>COLEGIO ESTADUAL DEMOCRATICO DR. ROMULO ALMEIDA</v>
          </cell>
        </row>
        <row r="677">
          <cell r="A677" t="str">
            <v>21</v>
          </cell>
          <cell r="C677">
            <v>1178087</v>
          </cell>
          <cell r="E677">
            <v>29432626</v>
          </cell>
          <cell r="F677" t="str">
            <v>CENTRO TERRITORIAL DE EDUCACAO PROFISSIONAL DO RECONCAVO</v>
          </cell>
        </row>
        <row r="678">
          <cell r="A678" t="str">
            <v>21</v>
          </cell>
          <cell r="C678">
            <v>1176152</v>
          </cell>
          <cell r="E678">
            <v>29337534</v>
          </cell>
          <cell r="F678" t="str">
            <v>CENTRO DE APOIO PEDAGOGICO ESPECIALIZADO LEAO AURELIO PIRES</v>
          </cell>
        </row>
        <row r="679">
          <cell r="A679" t="str">
            <v>21</v>
          </cell>
          <cell r="C679">
            <v>1134509</v>
          </cell>
          <cell r="E679">
            <v>29173531</v>
          </cell>
          <cell r="F679" t="str">
            <v>COLEGIO ESTADUAL DE TEMPO INTEGRAL SAO FELIPE</v>
          </cell>
        </row>
        <row r="680">
          <cell r="A680" t="str">
            <v>21</v>
          </cell>
          <cell r="C680">
            <v>1134657</v>
          </cell>
          <cell r="E680">
            <v>29172870</v>
          </cell>
          <cell r="F680" t="str">
            <v>COLEGIO ESTADUAL ROMULO GALVAO</v>
          </cell>
        </row>
        <row r="681">
          <cell r="A681" t="str">
            <v>21</v>
          </cell>
          <cell r="C681">
            <v>1134932</v>
          </cell>
          <cell r="E681">
            <v>29174180</v>
          </cell>
          <cell r="F681" t="str">
            <v>CENTRO TERRITORIAL DE EDUC. PROFI. DO RECONCAVO JONIVAL LUCAS</v>
          </cell>
        </row>
        <row r="682">
          <cell r="A682" t="str">
            <v>21</v>
          </cell>
          <cell r="C682">
            <v>1178265</v>
          </cell>
          <cell r="E682">
            <v>29981760</v>
          </cell>
          <cell r="F682" t="str">
            <v>COLEGIO ESTADUAL DO CAMPO ANATIVO DO SACRAMENTO</v>
          </cell>
        </row>
        <row r="683">
          <cell r="A683" t="str">
            <v>21</v>
          </cell>
          <cell r="C683">
            <v>1138954</v>
          </cell>
          <cell r="E683">
            <v>29174546</v>
          </cell>
          <cell r="F683" t="str">
            <v>COLEGIO ESTADUAL DOUTOR ELIEL DA SILVA MARTINS</v>
          </cell>
        </row>
        <row r="684">
          <cell r="A684" t="str">
            <v>21</v>
          </cell>
          <cell r="C684">
            <v>1178053</v>
          </cell>
          <cell r="E684">
            <v>29432529</v>
          </cell>
          <cell r="F684" t="str">
            <v>COLEGIO ESTADUAL DE TEMPO INTEGRAL RICARDO CAMARA DA SILVA</v>
          </cell>
        </row>
        <row r="685">
          <cell r="A685" t="str">
            <v>21</v>
          </cell>
          <cell r="C685">
            <v>1178030</v>
          </cell>
          <cell r="E685">
            <v>29174805</v>
          </cell>
          <cell r="F685" t="str">
            <v>COLEGIO ESTADUAL NOSSA SENHORA DA CONCEICAO</v>
          </cell>
        </row>
        <row r="686">
          <cell r="A686" t="str">
            <v>22</v>
          </cell>
          <cell r="C686">
            <v>1178051</v>
          </cell>
          <cell r="E686">
            <v>29425417</v>
          </cell>
          <cell r="F686" t="str">
            <v>COLEGIO ESTADUAL DE TEMPO INTEGRAL DE AIQUARA</v>
          </cell>
        </row>
        <row r="687">
          <cell r="A687" t="str">
            <v>22</v>
          </cell>
          <cell r="C687">
            <v>1110758</v>
          </cell>
          <cell r="E687">
            <v>29223652</v>
          </cell>
          <cell r="F687" t="str">
            <v>COLEGIO ESTADUAL DE TEMPO INTEGRAL DOUTOR VASCO FILHO</v>
          </cell>
        </row>
        <row r="688">
          <cell r="A688" t="str">
            <v>22</v>
          </cell>
          <cell r="C688">
            <v>1117310</v>
          </cell>
          <cell r="E688">
            <v>29293707</v>
          </cell>
          <cell r="F688" t="str">
            <v>COLEGIO ESTADUAL ANTONIO MOTA BITTENCOURT</v>
          </cell>
        </row>
        <row r="689">
          <cell r="A689" t="str">
            <v>22</v>
          </cell>
          <cell r="C689">
            <v>1117221</v>
          </cell>
          <cell r="E689">
            <v>29268524</v>
          </cell>
          <cell r="F689" t="str">
            <v>COLEGIO ESTADUAL BOANOVENSE</v>
          </cell>
        </row>
        <row r="690">
          <cell r="A690" t="str">
            <v>22</v>
          </cell>
          <cell r="C690">
            <v>1116950</v>
          </cell>
          <cell r="E690">
            <v>29271967</v>
          </cell>
          <cell r="F690" t="str">
            <v>COLEGIO ESTADUAL DE TEMPO INTEGRAL DE DARIO MEIRA</v>
          </cell>
        </row>
        <row r="691">
          <cell r="A691" t="str">
            <v>22</v>
          </cell>
          <cell r="C691">
            <v>1158882</v>
          </cell>
          <cell r="E691">
            <v>29299268</v>
          </cell>
          <cell r="F691" t="str">
            <v>COLEGIO ESTADUAL JOSE ARAUJO PEREIRA</v>
          </cell>
        </row>
        <row r="692">
          <cell r="A692" t="str">
            <v>22</v>
          </cell>
          <cell r="C692">
            <v>1117108</v>
          </cell>
          <cell r="E692">
            <v>29300762</v>
          </cell>
          <cell r="F692" t="str">
            <v>COLEGIO ESTADUAL DE IBIRATAIA</v>
          </cell>
        </row>
        <row r="693">
          <cell r="A693" t="str">
            <v>22</v>
          </cell>
          <cell r="C693">
            <v>1178097</v>
          </cell>
          <cell r="E693">
            <v>29429781</v>
          </cell>
          <cell r="F693" t="str">
            <v>COLEGIO ESTADUAL DO CAMPO DE ALGODAO</v>
          </cell>
        </row>
        <row r="694">
          <cell r="A694" t="str">
            <v>22</v>
          </cell>
          <cell r="C694">
            <v>1178377</v>
          </cell>
          <cell r="E694">
            <v>29848792</v>
          </cell>
          <cell r="F694" t="str">
            <v>CENTRO DE APOIO PEDAGOGICO ESPECIALIZADO DE IPIAU</v>
          </cell>
        </row>
        <row r="695">
          <cell r="A695" t="str">
            <v>22</v>
          </cell>
          <cell r="C695">
            <v>1117035</v>
          </cell>
          <cell r="E695">
            <v>29303354</v>
          </cell>
          <cell r="F695" t="str">
            <v>COLEGIO ESTADUAL DE TEMPO INTEGRAL DE IPIAU</v>
          </cell>
        </row>
        <row r="696">
          <cell r="A696" t="str">
            <v>22</v>
          </cell>
          <cell r="C696">
            <v>1166621</v>
          </cell>
          <cell r="E696">
            <v>29303702</v>
          </cell>
          <cell r="F696" t="str">
            <v>CENTRO TERRITORIAL DE EDUCACAO PROFISSIONAL DO MEDIO RIO DAS CONTAS</v>
          </cell>
        </row>
        <row r="697">
          <cell r="A697" t="str">
            <v>22</v>
          </cell>
          <cell r="C697">
            <v>1176433</v>
          </cell>
          <cell r="E697">
            <v>29390532</v>
          </cell>
          <cell r="F697" t="str">
            <v>COMPLEXO INTEGRADO DE EDUC BASICA PROFISSIONAL E TECNOLOGICA DE IPIAU</v>
          </cell>
        </row>
        <row r="698">
          <cell r="A698" t="str">
            <v>22</v>
          </cell>
          <cell r="C698">
            <v>1178015</v>
          </cell>
          <cell r="E698">
            <v>29429005</v>
          </cell>
          <cell r="F698" t="str">
            <v>COLEGIO ESTADUAL PROFESSORA RENI MIRANDA FERREIRA</v>
          </cell>
        </row>
        <row r="699">
          <cell r="A699" t="str">
            <v>22</v>
          </cell>
          <cell r="C699">
            <v>1117434</v>
          </cell>
          <cell r="E699">
            <v>29307759</v>
          </cell>
          <cell r="F699" t="str">
            <v>COLEGIO ESTADUAL DULCE ALMEIDA</v>
          </cell>
        </row>
        <row r="700">
          <cell r="A700" t="str">
            <v>22</v>
          </cell>
          <cell r="C700">
            <v>1110294</v>
          </cell>
          <cell r="E700">
            <v>29309034</v>
          </cell>
          <cell r="F700" t="str">
            <v>COLEGIO ESTADUAL JOAO GALVAO SOBRINHO</v>
          </cell>
        </row>
        <row r="701">
          <cell r="A701" t="str">
            <v>22</v>
          </cell>
          <cell r="C701">
            <v>1179659</v>
          </cell>
          <cell r="E701">
            <v>29473900</v>
          </cell>
          <cell r="F701" t="str">
            <v>CENTRO JUVENIL DE CIENCIA E CULTURA - CJCC JEQUIE</v>
          </cell>
        </row>
        <row r="702">
          <cell r="A702" t="str">
            <v>22</v>
          </cell>
          <cell r="C702">
            <v>1177092</v>
          </cell>
          <cell r="E702">
            <v>29416604</v>
          </cell>
          <cell r="F702" t="str">
            <v>COLEGIO ESTADUAL PAULO FREIRE</v>
          </cell>
        </row>
        <row r="703">
          <cell r="A703" t="str">
            <v>22</v>
          </cell>
          <cell r="C703">
            <v>1117698</v>
          </cell>
          <cell r="E703">
            <v>29228549</v>
          </cell>
          <cell r="F703" t="str">
            <v>COLEGIO ESTADUAL DE TEMPO INTEGRAL DE JEQUIE</v>
          </cell>
        </row>
        <row r="704">
          <cell r="A704" t="str">
            <v>22</v>
          </cell>
          <cell r="C704">
            <v>1179277</v>
          </cell>
          <cell r="E704">
            <v>29458994</v>
          </cell>
          <cell r="F704" t="str">
            <v>CENT REG DE ENS MEDIO COM INTERMEDIACAO TEC-CEMIT MEDIO RIO DE CONTAS</v>
          </cell>
        </row>
        <row r="705">
          <cell r="A705" t="str">
            <v>22</v>
          </cell>
          <cell r="C705">
            <v>1117663</v>
          </cell>
          <cell r="E705">
            <v>29229294</v>
          </cell>
          <cell r="F705" t="str">
            <v>COLEGIO ESTADUAL DOUTOR MILTON SANTOS</v>
          </cell>
        </row>
        <row r="706">
          <cell r="A706" t="str">
            <v>22</v>
          </cell>
          <cell r="C706">
            <v>1178421</v>
          </cell>
          <cell r="E706">
            <v>29397324</v>
          </cell>
          <cell r="F706" t="str">
            <v>CENTRO DE APOIO PEDAGOGICO ESPECIALIZADO DE JEQUIE</v>
          </cell>
        </row>
        <row r="707">
          <cell r="A707" t="str">
            <v>22</v>
          </cell>
          <cell r="C707">
            <v>1117736</v>
          </cell>
          <cell r="E707">
            <v>29229464</v>
          </cell>
          <cell r="F707" t="str">
            <v>COLEGIO ESTADUAL PROFESSOR FIRMO NUNES DE OLIVEIRA</v>
          </cell>
        </row>
        <row r="708">
          <cell r="A708" t="str">
            <v>22</v>
          </cell>
          <cell r="C708">
            <v>1117701</v>
          </cell>
          <cell r="E708">
            <v>29229324</v>
          </cell>
          <cell r="F708" t="str">
            <v>COLEGIO ESTADUAL DE TEMPO INTEGRAL PROFESSORA FARAILDES SANTOS</v>
          </cell>
        </row>
        <row r="709">
          <cell r="A709" t="str">
            <v>22</v>
          </cell>
          <cell r="C709">
            <v>1117868</v>
          </cell>
          <cell r="E709">
            <v>29227658</v>
          </cell>
          <cell r="F709" t="str">
            <v>COMPLEXO INTEGRADO DE EDUCACAO BASICA PROFIS. E TECNOLOGICA DE JEQUIE</v>
          </cell>
        </row>
        <row r="710">
          <cell r="A710" t="str">
            <v>22</v>
          </cell>
          <cell r="C710">
            <v>1176093</v>
          </cell>
          <cell r="E710">
            <v>29227690</v>
          </cell>
          <cell r="F710" t="str">
            <v>COLEGIO DA POLICIA MILITAR - CPM PROFESSOR POETA LUIS NEVES COTRIM</v>
          </cell>
        </row>
        <row r="711">
          <cell r="A711" t="str">
            <v>22</v>
          </cell>
          <cell r="C711">
            <v>1117850</v>
          </cell>
          <cell r="E711">
            <v>29229421</v>
          </cell>
          <cell r="F711" t="str">
            <v>COLEGIO ESTADUAL DE TEMPO INTEGRAL LUIZ NAVARRO DE BRITO</v>
          </cell>
        </row>
        <row r="712">
          <cell r="A712" t="str">
            <v>22</v>
          </cell>
          <cell r="C712">
            <v>1176664</v>
          </cell>
          <cell r="E712">
            <v>29408172</v>
          </cell>
          <cell r="F712" t="str">
            <v>COLEGIO ESTADUAL DE TEMPO INTEGRAL LUISA MAHIM</v>
          </cell>
        </row>
        <row r="713">
          <cell r="A713" t="str">
            <v>22</v>
          </cell>
          <cell r="C713">
            <v>1117892</v>
          </cell>
          <cell r="E713">
            <v>29229529</v>
          </cell>
          <cell r="F713" t="str">
            <v>CENTRO EST. DE EDUC. PROF. EM GESTAO E TECN. DA INFOR. REGIS PACHECO</v>
          </cell>
        </row>
        <row r="714">
          <cell r="A714" t="str">
            <v>22</v>
          </cell>
          <cell r="C714">
            <v>1178260</v>
          </cell>
          <cell r="E714">
            <v>29457602</v>
          </cell>
          <cell r="F714" t="str">
            <v>COLEGIO ESTADUAL GILDA RAMOS DOS SANTOS</v>
          </cell>
        </row>
        <row r="715">
          <cell r="A715" t="str">
            <v>22</v>
          </cell>
          <cell r="C715">
            <v>1118147</v>
          </cell>
          <cell r="E715">
            <v>29273790</v>
          </cell>
          <cell r="F715" t="str">
            <v>COLEGIO ESTADUAL PROFESSORA ALMERINDA MEIRA DO CARMO</v>
          </cell>
        </row>
        <row r="716">
          <cell r="A716" t="str">
            <v>22</v>
          </cell>
          <cell r="C716">
            <v>1178083</v>
          </cell>
          <cell r="E716">
            <v>29429498</v>
          </cell>
          <cell r="F716" t="str">
            <v>COLEGIO ESTADUAL PROFESSORA MARIA LEAL LOPES</v>
          </cell>
        </row>
        <row r="717">
          <cell r="A717" t="str">
            <v>22</v>
          </cell>
          <cell r="C717">
            <v>1118406</v>
          </cell>
          <cell r="E717">
            <v>29314348</v>
          </cell>
          <cell r="F717" t="str">
            <v>COLEGIO ESTADUAL DE TEMPO INTEGRAL DE UBATA</v>
          </cell>
        </row>
        <row r="718">
          <cell r="A718" t="str">
            <v>23</v>
          </cell>
          <cell r="C718">
            <v>1178048</v>
          </cell>
          <cell r="E718">
            <v>29427541</v>
          </cell>
          <cell r="F718" t="str">
            <v>COLEGIO ESTADUAL DE BREJOLANDIA</v>
          </cell>
        </row>
        <row r="719">
          <cell r="A719" t="str">
            <v>23</v>
          </cell>
          <cell r="C719">
            <v>1131674</v>
          </cell>
          <cell r="E719">
            <v>29011507</v>
          </cell>
          <cell r="F719" t="str">
            <v>COLEGIO ESTADUAL DE TEMPO INTEGRAL RUY BARBOSA</v>
          </cell>
        </row>
        <row r="720">
          <cell r="A720" t="str">
            <v>23</v>
          </cell>
          <cell r="C720">
            <v>1131607</v>
          </cell>
          <cell r="E720">
            <v>29011604</v>
          </cell>
          <cell r="F720" t="str">
            <v>COLEGIO ESTADUAL DE TEMPO INTEGRAL DE COCOS</v>
          </cell>
        </row>
        <row r="721">
          <cell r="A721" t="str">
            <v>23</v>
          </cell>
          <cell r="C721">
            <v>1131534</v>
          </cell>
          <cell r="E721">
            <v>29012465</v>
          </cell>
          <cell r="F721" t="str">
            <v>COLEGIO ESTADUAL SAO JOAO DOS GERAIS</v>
          </cell>
        </row>
        <row r="722">
          <cell r="A722" t="str">
            <v>23</v>
          </cell>
          <cell r="C722">
            <v>1131453</v>
          </cell>
          <cell r="E722">
            <v>29013275</v>
          </cell>
          <cell r="F722" t="str">
            <v>COLEGIO ESTADUAL DE TEMPO INTEGRAL DE CORRENTINA</v>
          </cell>
        </row>
        <row r="723">
          <cell r="A723" t="str">
            <v>23</v>
          </cell>
          <cell r="C723">
            <v>1141726</v>
          </cell>
          <cell r="E723">
            <v>29013887</v>
          </cell>
          <cell r="F723" t="str">
            <v>COLEGIO ESTADUAL FRANCISCO MOREIRA ALVES</v>
          </cell>
        </row>
        <row r="724">
          <cell r="A724" t="str">
            <v>23</v>
          </cell>
          <cell r="C724">
            <v>1132000</v>
          </cell>
          <cell r="E724">
            <v>29014433</v>
          </cell>
          <cell r="F724" t="str">
            <v>CENTRO TERRITORIAL DE EDUCACAO PROFISSIONAL DA BACIA DO RIO CORRENTE</v>
          </cell>
        </row>
        <row r="725">
          <cell r="A725" t="str">
            <v>23</v>
          </cell>
          <cell r="C725">
            <v>1131860</v>
          </cell>
          <cell r="E725">
            <v>29015227</v>
          </cell>
          <cell r="F725" t="str">
            <v>COLEGIO ESTADUAL ROLANDO LARANJEIRA BARBOSA</v>
          </cell>
        </row>
        <row r="726">
          <cell r="A726" t="str">
            <v>23</v>
          </cell>
          <cell r="C726">
            <v>1132158</v>
          </cell>
          <cell r="E726">
            <v>29015413</v>
          </cell>
          <cell r="F726" t="str">
            <v>COLEGIO ESTADUAL EDVALDO FLORES</v>
          </cell>
        </row>
        <row r="727">
          <cell r="A727" t="str">
            <v>23</v>
          </cell>
          <cell r="C727">
            <v>1167741</v>
          </cell>
          <cell r="E727">
            <v>29016339</v>
          </cell>
          <cell r="F727" t="str">
            <v>COLEGIO ESTADUAL DE TEMPO INTEGRAL RIO CORRENTE</v>
          </cell>
        </row>
        <row r="728">
          <cell r="A728" t="str">
            <v>23</v>
          </cell>
          <cell r="C728">
            <v>1131798</v>
          </cell>
          <cell r="E728">
            <v>29016916</v>
          </cell>
          <cell r="F728" t="str">
            <v>COLEGIO ESTADUAL DE TEMPO INTEGRAL SAO GONCALO</v>
          </cell>
        </row>
        <row r="729">
          <cell r="A729" t="str">
            <v>23</v>
          </cell>
          <cell r="C729">
            <v>1131739</v>
          </cell>
          <cell r="E729">
            <v>29009880</v>
          </cell>
          <cell r="F729" t="str">
            <v>COLEGIO ESTADUAL LEONIDAS DE ARAUJO SILVA</v>
          </cell>
        </row>
        <row r="730">
          <cell r="A730" t="str">
            <v>24</v>
          </cell>
          <cell r="C730">
            <v>1179245</v>
          </cell>
          <cell r="E730">
            <v>29456886</v>
          </cell>
          <cell r="F730" t="str">
            <v>COLEGIO ESTADUAL INDIGENA DE TEMPO INTEGRAL SANTO ANTONIO DO PAMBU</v>
          </cell>
        </row>
        <row r="731">
          <cell r="A731" t="str">
            <v>24</v>
          </cell>
          <cell r="C731">
            <v>1113960</v>
          </cell>
          <cell r="E731">
            <v>29032539</v>
          </cell>
          <cell r="F731" t="str">
            <v>COLEGIO EST DE TEM INTEGRAL PROF MARIA DO SOCORRO GOMES POSSIDONIO</v>
          </cell>
        </row>
        <row r="732">
          <cell r="A732" t="str">
            <v>24</v>
          </cell>
          <cell r="C732">
            <v>1113927</v>
          </cell>
          <cell r="E732">
            <v>29033047</v>
          </cell>
          <cell r="F732" t="str">
            <v>COLEGIO ESTADUAL DO CAMPO JOSEFINA GOMES DE ARAUJO</v>
          </cell>
        </row>
        <row r="733">
          <cell r="A733" t="str">
            <v>24</v>
          </cell>
          <cell r="C733">
            <v>1178070</v>
          </cell>
          <cell r="E733">
            <v>29424526</v>
          </cell>
          <cell r="F733" t="str">
            <v>COLEGIO ESTADUAL DE TEMPO INTEGRAL SAO JOSE</v>
          </cell>
        </row>
        <row r="734">
          <cell r="A734" t="str">
            <v>24</v>
          </cell>
          <cell r="C734">
            <v>1113994</v>
          </cell>
          <cell r="E734">
            <v>29033187</v>
          </cell>
          <cell r="F734" t="str">
            <v>COLEGIO ESTADUAL MARIA DE LOURDES LIMA PEREIRA</v>
          </cell>
        </row>
        <row r="735">
          <cell r="A735" t="str">
            <v>24</v>
          </cell>
          <cell r="C735">
            <v>1179479</v>
          </cell>
          <cell r="E735">
            <v>29739624</v>
          </cell>
          <cell r="F735" t="str">
            <v>ESCOLA ESTADUAL INDIGENA JOSE MARTINS</v>
          </cell>
        </row>
        <row r="736">
          <cell r="A736" t="str">
            <v>24</v>
          </cell>
          <cell r="C736">
            <v>1179204</v>
          </cell>
          <cell r="E736">
            <v>29366739</v>
          </cell>
          <cell r="F736" t="str">
            <v>COLEGIO ESTADUAL INDIGINA XUCURU KARIRI</v>
          </cell>
        </row>
        <row r="737">
          <cell r="A737" t="str">
            <v>24</v>
          </cell>
          <cell r="C737">
            <v>1179203</v>
          </cell>
          <cell r="E737">
            <v>29373018</v>
          </cell>
          <cell r="F737" t="str">
            <v>COLEGIO ESTADUAL INDIGENA MANOEL COELHO</v>
          </cell>
        </row>
        <row r="738">
          <cell r="A738" t="str">
            <v>24</v>
          </cell>
          <cell r="C738">
            <v>1179202</v>
          </cell>
          <cell r="E738">
            <v>29033950</v>
          </cell>
          <cell r="F738" t="str">
            <v>COLEGIO ESTADUAL INDIGENA SANTA RITA DE CASSIA</v>
          </cell>
        </row>
        <row r="739">
          <cell r="A739" t="str">
            <v>24</v>
          </cell>
          <cell r="C739">
            <v>1138504</v>
          </cell>
          <cell r="E739">
            <v>29034205</v>
          </cell>
          <cell r="F739" t="str">
            <v>COLEGIO ESTADUAL DE TEMPO INTEGRAL REIS MAGALHAES</v>
          </cell>
        </row>
        <row r="740">
          <cell r="A740" t="str">
            <v>24</v>
          </cell>
          <cell r="C740">
            <v>1179123</v>
          </cell>
          <cell r="E740">
            <v>29354536</v>
          </cell>
          <cell r="F740" t="str">
            <v>COLEGIO ESTADUAL INDIGENA ANGELO PEREIRA XAVIER</v>
          </cell>
        </row>
        <row r="741">
          <cell r="A741">
            <v>24</v>
          </cell>
          <cell r="C741">
            <v>1179669</v>
          </cell>
          <cell r="E741">
            <v>29493773</v>
          </cell>
          <cell r="F741" t="str">
            <v>ESCOLA ESTADUAL INDIGENA ANANIAS VITORIANO</v>
          </cell>
        </row>
        <row r="742">
          <cell r="A742" t="str">
            <v>24</v>
          </cell>
          <cell r="C742">
            <v>1114265</v>
          </cell>
          <cell r="E742">
            <v>29034280</v>
          </cell>
          <cell r="F742" t="str">
            <v>COLEGIO ESTADUAL DE TEMPO INTEGRAL IRMA OLIVEIRA</v>
          </cell>
        </row>
        <row r="743">
          <cell r="A743" t="str">
            <v>24</v>
          </cell>
          <cell r="C743">
            <v>1118040</v>
          </cell>
          <cell r="E743">
            <v>29034990</v>
          </cell>
          <cell r="F743" t="str">
            <v>COLEGIO ESTADUAL DE TEMPO INTEGRAL QUITERIA MARIA DE JESUS</v>
          </cell>
        </row>
        <row r="744">
          <cell r="A744" t="str">
            <v>24</v>
          </cell>
          <cell r="C744">
            <v>1114257</v>
          </cell>
          <cell r="E744">
            <v>29034922</v>
          </cell>
          <cell r="F744" t="str">
            <v>CENTRO TERRITORIAL DE EDUCACAO PROFISSIONAL DE ITAPARICA</v>
          </cell>
        </row>
        <row r="745">
          <cell r="A745" t="str">
            <v>24</v>
          </cell>
          <cell r="C745">
            <v>1176426</v>
          </cell>
          <cell r="E745">
            <v>29389976</v>
          </cell>
          <cell r="F745" t="str">
            <v>COLEGIO ESTADUAL PAULO FREIRE</v>
          </cell>
        </row>
        <row r="746">
          <cell r="A746" t="str">
            <v>24</v>
          </cell>
          <cell r="C746">
            <v>1117779</v>
          </cell>
          <cell r="E746">
            <v>29035007</v>
          </cell>
          <cell r="F746" t="str">
            <v>COLEGIO ESTADUAL DE TEMPO INTEGRAL DE PAULO AFONSO</v>
          </cell>
        </row>
        <row r="747">
          <cell r="A747" t="str">
            <v>24</v>
          </cell>
          <cell r="C747">
            <v>1174292</v>
          </cell>
          <cell r="E747">
            <v>29034965</v>
          </cell>
          <cell r="F747" t="str">
            <v>COLEGIO ESTADUAL CARLINA BARBOSA DE DEUS</v>
          </cell>
        </row>
        <row r="748">
          <cell r="A748" t="str">
            <v>24</v>
          </cell>
          <cell r="C748">
            <v>1176143</v>
          </cell>
          <cell r="E748">
            <v>29332230</v>
          </cell>
          <cell r="F748" t="str">
            <v>CENTRO TERRITORIAL DE EDUCACAO PROFIS ITAPARICA II WILSON PEREIRA</v>
          </cell>
        </row>
        <row r="749">
          <cell r="A749" t="str">
            <v>24</v>
          </cell>
          <cell r="C749">
            <v>1114133</v>
          </cell>
          <cell r="E749">
            <v>29036046</v>
          </cell>
          <cell r="F749" t="str">
            <v>COLEGIO ESTADUAL DULCINA CRUZ LIMA</v>
          </cell>
        </row>
        <row r="750">
          <cell r="A750" t="str">
            <v>24</v>
          </cell>
          <cell r="C750">
            <v>1178006</v>
          </cell>
          <cell r="E750">
            <v>29423708</v>
          </cell>
          <cell r="F750" t="str">
            <v>COLEGIO ESTADUAL INDIGENA DE TEMPO INTEGRAL CAPITAO FRANCISCO RODELAS</v>
          </cell>
        </row>
        <row r="751">
          <cell r="A751" t="str">
            <v>25</v>
          </cell>
          <cell r="C751">
            <v>1164998</v>
          </cell>
          <cell r="E751">
            <v>29047501</v>
          </cell>
          <cell r="F751" t="str">
            <v>COLEGIO ESTADUAL DO CAMPO DE TEMPO INTEGRAL DE ANDORINHA</v>
          </cell>
        </row>
        <row r="752">
          <cell r="A752" t="str">
            <v>25</v>
          </cell>
          <cell r="C752">
            <v>1119577</v>
          </cell>
          <cell r="E752">
            <v>29048184</v>
          </cell>
          <cell r="F752" t="str">
            <v>COLEGIO ESTADUAL DE TEMPO INTEGRAL DE ANTONIO GONCALVES</v>
          </cell>
        </row>
        <row r="753">
          <cell r="A753" t="str">
            <v>25</v>
          </cell>
          <cell r="C753">
            <v>1122020</v>
          </cell>
          <cell r="E753">
            <v>29069106</v>
          </cell>
          <cell r="F753" t="str">
            <v>COLEGIO ESTADUAL DO CAMPO ROMULO GALVAO</v>
          </cell>
        </row>
        <row r="754">
          <cell r="A754" t="str">
            <v>25</v>
          </cell>
          <cell r="C754">
            <v>1179314</v>
          </cell>
          <cell r="E754">
            <v>29461510</v>
          </cell>
          <cell r="F754" t="str">
            <v>COLEGIO ESTADUAL QUILOMBOLA DE SAO TOME</v>
          </cell>
        </row>
        <row r="755">
          <cell r="A755" t="str">
            <v>25</v>
          </cell>
          <cell r="C755">
            <v>1179606</v>
          </cell>
          <cell r="E755">
            <v>29470579</v>
          </cell>
          <cell r="F755" t="str">
            <v>COLEGIO ESTADUAL QUILOMBOLA LUIS JOSE DOS SANTOS</v>
          </cell>
        </row>
        <row r="756">
          <cell r="A756" t="str">
            <v>25</v>
          </cell>
          <cell r="C756">
            <v>1119828</v>
          </cell>
          <cell r="E756">
            <v>29050057</v>
          </cell>
          <cell r="F756" t="str">
            <v>COLEGIO ESTADUAL DO CAMPO PROFESSORA HILDA MONTEIRO MENEZES</v>
          </cell>
        </row>
        <row r="757">
          <cell r="A757" t="str">
            <v>25</v>
          </cell>
          <cell r="C757">
            <v>1121172</v>
          </cell>
          <cell r="E757">
            <v>29050910</v>
          </cell>
          <cell r="F757" t="str">
            <v>COLEGIO ESTADUAL DE TEMPO INTEGRAL CECENTINO PEREIRA MAIA</v>
          </cell>
        </row>
        <row r="758">
          <cell r="A758" t="str">
            <v>25</v>
          </cell>
          <cell r="C758">
            <v>1176700</v>
          </cell>
          <cell r="E758">
            <v>29419468</v>
          </cell>
          <cell r="F758" t="str">
            <v>CENTRO TERRITORIAL DE EDUC PROFISSIONAL DO PIEMONTE NORTE DO ITAPICURU</v>
          </cell>
        </row>
        <row r="759">
          <cell r="A759" t="str">
            <v>25</v>
          </cell>
          <cell r="C759">
            <v>1120257</v>
          </cell>
          <cell r="E759">
            <v>29053544</v>
          </cell>
          <cell r="F759" t="str">
            <v>COLEGIO ESTADUAL DO CAMPO PETRONIO PORTELA</v>
          </cell>
        </row>
        <row r="760">
          <cell r="A760" t="str">
            <v>25</v>
          </cell>
          <cell r="C760">
            <v>1144032</v>
          </cell>
          <cell r="E760">
            <v>29055067</v>
          </cell>
          <cell r="F760" t="str">
            <v>COLEGIO ESTADUAL DE TEMPO INTEGRAL DE PINDOBACU</v>
          </cell>
        </row>
        <row r="761">
          <cell r="A761" t="str">
            <v>25</v>
          </cell>
          <cell r="C761">
            <v>1140452</v>
          </cell>
          <cell r="E761">
            <v>29055075</v>
          </cell>
          <cell r="F761" t="str">
            <v>COLEGIO ESTADUAL DO CAMPO DE TEMPO INTEGRAL DE CARNAIBA</v>
          </cell>
        </row>
        <row r="762">
          <cell r="A762" t="str">
            <v>25</v>
          </cell>
          <cell r="C762">
            <v>1164947</v>
          </cell>
          <cell r="E762">
            <v>29076846</v>
          </cell>
          <cell r="F762" t="str">
            <v>COLEGIO ESTADUAL DE TEMPO INTEGRAL NELSON MAIA</v>
          </cell>
        </row>
        <row r="763">
          <cell r="A763" t="str">
            <v>25</v>
          </cell>
          <cell r="C763">
            <v>1179286</v>
          </cell>
          <cell r="E763">
            <v>29461529</v>
          </cell>
          <cell r="F763" t="str">
            <v>CENT.REG.DE ENS.MEDIO INTERMEDIACAO TEC CEMIT DO P. NORTE DO ITAPICURU</v>
          </cell>
        </row>
        <row r="764">
          <cell r="A764" t="str">
            <v>25</v>
          </cell>
          <cell r="C764">
            <v>1178104</v>
          </cell>
          <cell r="E764">
            <v>29433517</v>
          </cell>
          <cell r="F764" t="str">
            <v>COLEGIO MODELO LUIS EDUARDO MAGALHAES</v>
          </cell>
        </row>
        <row r="765">
          <cell r="A765" t="str">
            <v>25</v>
          </cell>
          <cell r="C765">
            <v>1179287</v>
          </cell>
          <cell r="E765">
            <v>29461871</v>
          </cell>
          <cell r="F765" t="str">
            <v>CENTRO JUVENIL DE CIENCIA E CULTURA-CJCC SENHOR DO BOMFIM</v>
          </cell>
        </row>
        <row r="766">
          <cell r="A766" t="str">
            <v>25</v>
          </cell>
          <cell r="C766">
            <v>1120923</v>
          </cell>
          <cell r="E766">
            <v>29056144</v>
          </cell>
          <cell r="F766" t="str">
            <v>COLEGIO ESTADUAL TEIXEIRA DE FREITAS</v>
          </cell>
        </row>
        <row r="767">
          <cell r="A767" t="str">
            <v>25</v>
          </cell>
          <cell r="C767">
            <v>1121261</v>
          </cell>
          <cell r="E767">
            <v>29055393</v>
          </cell>
          <cell r="F767" t="str">
            <v>COLEGIO ESTADUAL DE TEMPO INTEGRAL SENHOR DO BONFIM</v>
          </cell>
        </row>
        <row r="768">
          <cell r="A768" t="str">
            <v>25</v>
          </cell>
          <cell r="C768">
            <v>1164602</v>
          </cell>
          <cell r="E768">
            <v>29055385</v>
          </cell>
          <cell r="F768" t="str">
            <v>CENTRO ESTADUAL DE EDUCACAO PROFISSIONAL PROF. PAULO BATISTA MACHADO</v>
          </cell>
        </row>
        <row r="769">
          <cell r="A769" t="str">
            <v>25</v>
          </cell>
          <cell r="C769">
            <v>1121156</v>
          </cell>
          <cell r="E769">
            <v>29056780</v>
          </cell>
          <cell r="F769" t="str">
            <v>COLEGIO ESTADUAL DO CAMPO PROFESSORA MARIANA AGOSTINHO DE OLIVEIRA</v>
          </cell>
        </row>
        <row r="770">
          <cell r="A770" t="str">
            <v>25</v>
          </cell>
          <cell r="C770">
            <v>1144261</v>
          </cell>
          <cell r="E770">
            <v>29056616</v>
          </cell>
          <cell r="F770" t="str">
            <v>CENTRO DE APOIO PEDAGOGICO ESPECIALIZADO - CAPE SENHOR DO BONFIM</v>
          </cell>
        </row>
        <row r="771">
          <cell r="A771" t="str">
            <v>26</v>
          </cell>
          <cell r="C771">
            <v>1177090</v>
          </cell>
          <cell r="E771">
            <v>29413680</v>
          </cell>
          <cell r="F771" t="str">
            <v>COLEGIO ESTADUAL CAMACARI</v>
          </cell>
        </row>
        <row r="772">
          <cell r="A772" t="str">
            <v>26</v>
          </cell>
          <cell r="C772">
            <v>1102259</v>
          </cell>
          <cell r="E772">
            <v>29175518</v>
          </cell>
          <cell r="F772" t="str">
            <v>COLEGIO ESTADUAL DE TEMPO INTEGRAL MASCARENHAS DE CAMACARI</v>
          </cell>
        </row>
        <row r="773">
          <cell r="A773" t="str">
            <v>26</v>
          </cell>
          <cell r="C773">
            <v>1178400</v>
          </cell>
          <cell r="E773">
            <v>29982758</v>
          </cell>
          <cell r="F773" t="str">
            <v>COLEGIO ESTADUAL DE TEMPO INTEGRAL DE VILAS DE ABRANTES</v>
          </cell>
        </row>
        <row r="774">
          <cell r="A774" t="str">
            <v>26</v>
          </cell>
          <cell r="C774">
            <v>1176611</v>
          </cell>
          <cell r="E774">
            <v>29447348</v>
          </cell>
          <cell r="F774" t="str">
            <v>CENTRO TERRITORIAL DE EDUCACAO PROFISSIONAL DA REGIAO METROPOLITANA</v>
          </cell>
        </row>
        <row r="775">
          <cell r="A775" t="str">
            <v>26</v>
          </cell>
          <cell r="C775">
            <v>1178445</v>
          </cell>
          <cell r="E775">
            <v>29448018</v>
          </cell>
          <cell r="F775" t="str">
            <v>COLEGIO ESTADUAL DE TEMPO INTEGRAL DE BARRA DE POJUCA</v>
          </cell>
        </row>
        <row r="776">
          <cell r="A776" t="str">
            <v>26</v>
          </cell>
          <cell r="C776">
            <v>1178399</v>
          </cell>
          <cell r="E776">
            <v>29362016</v>
          </cell>
          <cell r="F776" t="str">
            <v>COLEGIO ESTADUAL DE TEMPO INTEGRAL DE MONTE GORDO</v>
          </cell>
        </row>
        <row r="777">
          <cell r="A777" t="str">
            <v>26</v>
          </cell>
          <cell r="C777">
            <v>1101961</v>
          </cell>
          <cell r="E777">
            <v>29175771</v>
          </cell>
          <cell r="F777" t="str">
            <v>COLEGIO ESTADUAL DE TEMPO INTEGRAL GONCALO MUNIZ</v>
          </cell>
        </row>
        <row r="778">
          <cell r="A778" t="str">
            <v>26</v>
          </cell>
          <cell r="C778">
            <v>1178420</v>
          </cell>
          <cell r="E778">
            <v>29397863</v>
          </cell>
          <cell r="F778" t="str">
            <v>COLEGIO ESTADUAL PROFESSORA NADIR ARAUJO COPQUE</v>
          </cell>
        </row>
        <row r="779">
          <cell r="A779" t="str">
            <v>26</v>
          </cell>
          <cell r="C779">
            <v>1104707</v>
          </cell>
          <cell r="E779">
            <v>29175950</v>
          </cell>
          <cell r="F779" t="str">
            <v>COLEGIO ESTADUAL POLIVALENTE DE CAMACARI</v>
          </cell>
        </row>
        <row r="780">
          <cell r="A780" t="str">
            <v>26</v>
          </cell>
          <cell r="C780">
            <v>1177099</v>
          </cell>
          <cell r="E780">
            <v>29415969</v>
          </cell>
          <cell r="F780" t="str">
            <v>COLEGIO ESTADUAL CIDADE DE CANDEIAS</v>
          </cell>
        </row>
        <row r="781">
          <cell r="A781" t="str">
            <v>26</v>
          </cell>
          <cell r="C781">
            <v>1104863</v>
          </cell>
          <cell r="E781">
            <v>29176808</v>
          </cell>
          <cell r="F781" t="str">
            <v>COLEGIO ESTADUAL LUIZ VIANA FILHO</v>
          </cell>
        </row>
        <row r="782">
          <cell r="A782" t="str">
            <v>26</v>
          </cell>
          <cell r="C782">
            <v>1103719</v>
          </cell>
          <cell r="E782">
            <v>29177090</v>
          </cell>
          <cell r="F782" t="str">
            <v>COLEGIO ESTADUAL OURO NEGRO</v>
          </cell>
        </row>
        <row r="783">
          <cell r="A783" t="str">
            <v>26</v>
          </cell>
          <cell r="C783">
            <v>1176410</v>
          </cell>
          <cell r="E783">
            <v>29383234</v>
          </cell>
          <cell r="F783" t="str">
            <v>COLEGIO DA POLICIA MILITAR - CPM FRANCISCO PEDRO DE OLIVEIRA</v>
          </cell>
        </row>
        <row r="784">
          <cell r="A784" t="str">
            <v>26</v>
          </cell>
          <cell r="C784">
            <v>1104669</v>
          </cell>
          <cell r="E784">
            <v>29176409</v>
          </cell>
          <cell r="F784" t="str">
            <v>COLEGIO ESTADUAL POLIVALENTE DE CANDEIAS</v>
          </cell>
        </row>
        <row r="785">
          <cell r="A785" t="str">
            <v>26</v>
          </cell>
          <cell r="C785">
            <v>1179670</v>
          </cell>
          <cell r="E785">
            <v>29475082</v>
          </cell>
          <cell r="F785" t="str">
            <v>CENTRO TERRITO. DE EDUC. PROFIS. DE DIAS D AVILA-CETEP DE DIAS D AVILA</v>
          </cell>
        </row>
        <row r="786">
          <cell r="A786" t="str">
            <v>26</v>
          </cell>
          <cell r="C786">
            <v>1178035</v>
          </cell>
          <cell r="E786">
            <v>29427959</v>
          </cell>
          <cell r="F786" t="str">
            <v>COLEGIO ESTADUAL PROFESSOR EDILSON SOUTO FREIRE</v>
          </cell>
        </row>
        <row r="787">
          <cell r="A787" t="str">
            <v>26</v>
          </cell>
          <cell r="C787">
            <v>1102453</v>
          </cell>
          <cell r="E787">
            <v>29177812</v>
          </cell>
          <cell r="F787" t="str">
            <v>COLEGIO ESTADUAL DE TEMPO INTEGRAL ERNESTO CARNEIRO RIBEIRO</v>
          </cell>
        </row>
        <row r="788">
          <cell r="A788" t="str">
            <v>26</v>
          </cell>
          <cell r="C788">
            <v>1100256</v>
          </cell>
          <cell r="E788">
            <v>29178320</v>
          </cell>
          <cell r="F788" t="str">
            <v>COLEGIO ESTADUAL ALFREDO AGOSTINHO DE DEUS</v>
          </cell>
        </row>
        <row r="789">
          <cell r="A789" t="str">
            <v>26</v>
          </cell>
          <cell r="C789">
            <v>1100809</v>
          </cell>
          <cell r="E789">
            <v>29178231</v>
          </cell>
          <cell r="F789" t="str">
            <v>COLEGIO ESTADUAL BARTOLOMEU DE GUSMAO</v>
          </cell>
        </row>
        <row r="790">
          <cell r="A790" t="str">
            <v>26</v>
          </cell>
          <cell r="C790">
            <v>1110081</v>
          </cell>
          <cell r="E790">
            <v>29178584</v>
          </cell>
          <cell r="F790" t="str">
            <v>COLEGIO ESTADUAL FRANCISCO PEREIRA FRANCO</v>
          </cell>
        </row>
        <row r="791">
          <cell r="A791" t="str">
            <v>26</v>
          </cell>
          <cell r="C791">
            <v>1178431</v>
          </cell>
          <cell r="E791">
            <v>29398673</v>
          </cell>
          <cell r="F791" t="str">
            <v>CENTRO EST DE EDUCACAO PROFIS EM TECNOLOGIA INFORMACAO E COMUNICACAO</v>
          </cell>
        </row>
        <row r="792">
          <cell r="A792" t="str">
            <v>26</v>
          </cell>
          <cell r="C792">
            <v>1176364</v>
          </cell>
          <cell r="E792">
            <v>29359635</v>
          </cell>
          <cell r="F792" t="str">
            <v>COLEGIO ESTADUAL HERMANO GOUVEIA NETO</v>
          </cell>
        </row>
        <row r="793">
          <cell r="A793" t="str">
            <v>26</v>
          </cell>
          <cell r="C793">
            <v>1100477</v>
          </cell>
          <cell r="E793">
            <v>29178487</v>
          </cell>
          <cell r="F793" t="str">
            <v>COLEGIO ESTADUAL AMERICO SIMAS</v>
          </cell>
        </row>
        <row r="794">
          <cell r="A794" t="str">
            <v>26</v>
          </cell>
          <cell r="C794">
            <v>1102470</v>
          </cell>
          <cell r="E794">
            <v>29178550</v>
          </cell>
          <cell r="F794" t="str">
            <v>COLEGIO ESTADUAL DE TEMPO INTEGRAL DE PORTAO</v>
          </cell>
        </row>
        <row r="795">
          <cell r="A795" t="str">
            <v>26</v>
          </cell>
          <cell r="C795">
            <v>1101147</v>
          </cell>
          <cell r="E795">
            <v>29179220</v>
          </cell>
          <cell r="F795" t="str">
            <v>COLEGIO ESTADUAL ANTONIO BALBINO</v>
          </cell>
        </row>
        <row r="796">
          <cell r="A796" t="str">
            <v>26</v>
          </cell>
          <cell r="C796">
            <v>1176073</v>
          </cell>
          <cell r="E796">
            <v>29160227</v>
          </cell>
          <cell r="F796" t="str">
            <v>COLEGIO ESTADUAL ALAOR COUTINHO</v>
          </cell>
        </row>
        <row r="797">
          <cell r="A797" t="str">
            <v>26</v>
          </cell>
          <cell r="C797">
            <v>1134134</v>
          </cell>
          <cell r="E797">
            <v>29159539</v>
          </cell>
          <cell r="F797" t="str">
            <v>COLEGIO ESTADUAL BRAULIO SAMPAIO</v>
          </cell>
        </row>
        <row r="798">
          <cell r="A798" t="str">
            <v>26</v>
          </cell>
          <cell r="C798">
            <v>1166354</v>
          </cell>
          <cell r="E798">
            <v>29160502</v>
          </cell>
          <cell r="F798" t="str">
            <v>COLEGIO ESTADUAL PADRE JOAO MONTEZ</v>
          </cell>
        </row>
        <row r="799">
          <cell r="A799" t="str">
            <v>26</v>
          </cell>
          <cell r="C799">
            <v>1176461</v>
          </cell>
          <cell r="E799">
            <v>29391253</v>
          </cell>
          <cell r="F799" t="str">
            <v>COLEGIO ESTADUAL LUIS EDUARDO MAGALHAES</v>
          </cell>
        </row>
        <row r="800">
          <cell r="A800" t="str">
            <v>26</v>
          </cell>
          <cell r="C800">
            <v>1178325</v>
          </cell>
          <cell r="E800">
            <v>29842727</v>
          </cell>
          <cell r="F800" t="str">
            <v>COLEGIO ESTADUAL DE TEMPO INTEGRAL SAO DANIEL COMBONI</v>
          </cell>
        </row>
        <row r="801">
          <cell r="A801" t="str">
            <v>26</v>
          </cell>
          <cell r="C801">
            <v>1103506</v>
          </cell>
          <cell r="E801">
            <v>29187346</v>
          </cell>
          <cell r="F801" t="str">
            <v>ESCOLA PROFESSOR ROBERTO SANTOS</v>
          </cell>
        </row>
        <row r="802">
          <cell r="A802" t="str">
            <v>26</v>
          </cell>
          <cell r="C802">
            <v>1176377</v>
          </cell>
          <cell r="E802">
            <v>29357861</v>
          </cell>
          <cell r="F802" t="str">
            <v>COLEGIO ESTADUAL THALES DE AZEVEDO</v>
          </cell>
        </row>
        <row r="803">
          <cell r="A803" t="str">
            <v>26</v>
          </cell>
          <cell r="C803">
            <v>1103565</v>
          </cell>
          <cell r="E803">
            <v>29191041</v>
          </cell>
          <cell r="F803" t="str">
            <v>COLEGIO ESTADUAL PADRE PALMEIRA</v>
          </cell>
        </row>
        <row r="804">
          <cell r="A804" t="str">
            <v>26</v>
          </cell>
          <cell r="C804">
            <v>1101333</v>
          </cell>
          <cell r="E804">
            <v>29185351</v>
          </cell>
          <cell r="F804" t="str">
            <v>COLEGIO ESTADUAL LEDA JESUINO DOS SANTOS</v>
          </cell>
        </row>
        <row r="805">
          <cell r="A805" t="str">
            <v>26</v>
          </cell>
          <cell r="C805">
            <v>1100914</v>
          </cell>
          <cell r="E805">
            <v>29192064</v>
          </cell>
          <cell r="F805" t="str">
            <v>COLEGIO ESTADUAL EDSON TENORIO DE ALBUQUERQUE</v>
          </cell>
        </row>
        <row r="806">
          <cell r="A806" t="str">
            <v>26</v>
          </cell>
          <cell r="C806">
            <v>1100400</v>
          </cell>
          <cell r="E806">
            <v>29182689</v>
          </cell>
          <cell r="F806" t="str">
            <v>COLEGIO ESTADUAL ALMIRANTE BARROSO</v>
          </cell>
        </row>
        <row r="807">
          <cell r="A807" t="str">
            <v>26</v>
          </cell>
          <cell r="C807">
            <v>1176095</v>
          </cell>
          <cell r="E807">
            <v>29336473</v>
          </cell>
          <cell r="F807" t="str">
            <v>COLEGIO ESTADUAL PROFESSOR CARLOS ALBERTO CERQUEIRA</v>
          </cell>
        </row>
        <row r="808">
          <cell r="A808" t="str">
            <v>26</v>
          </cell>
          <cell r="C808">
            <v>1102747</v>
          </cell>
          <cell r="E808">
            <v>29193567</v>
          </cell>
          <cell r="F808" t="str">
            <v>COLEGIO ESTADUAL MARIA AMELIA SANTOS</v>
          </cell>
        </row>
        <row r="809">
          <cell r="A809" t="str">
            <v>26</v>
          </cell>
          <cell r="C809">
            <v>1100493</v>
          </cell>
          <cell r="E809">
            <v>29190720</v>
          </cell>
          <cell r="F809" t="str">
            <v>COLEGIO ESTADUAL DANIEL LISBOA</v>
          </cell>
        </row>
        <row r="810">
          <cell r="A810" t="str">
            <v>26</v>
          </cell>
          <cell r="C810">
            <v>1100337</v>
          </cell>
          <cell r="E810">
            <v>29189012</v>
          </cell>
          <cell r="F810" t="str">
            <v>COLEGIO ESTADUAL DOUTOR AILTON PINTO DE ANDRADE</v>
          </cell>
        </row>
        <row r="811">
          <cell r="A811" t="str">
            <v>26</v>
          </cell>
          <cell r="C811">
            <v>1176206</v>
          </cell>
          <cell r="E811">
            <v>29357829</v>
          </cell>
          <cell r="F811" t="str">
            <v>COLEGIO ESTADUAL DALVA MATOS</v>
          </cell>
        </row>
        <row r="812">
          <cell r="A812" t="str">
            <v>26</v>
          </cell>
          <cell r="C812">
            <v>1100434</v>
          </cell>
          <cell r="E812">
            <v>29182077</v>
          </cell>
          <cell r="F812" t="str">
            <v>COLEGIO ESTADUAL ALIPIO FRANCA</v>
          </cell>
        </row>
        <row r="813">
          <cell r="A813" t="str">
            <v>26</v>
          </cell>
          <cell r="C813">
            <v>1100540</v>
          </cell>
          <cell r="E813">
            <v>29189241</v>
          </cell>
          <cell r="F813" t="str">
            <v>COLEGIO ESTADUAL ANFRISIA SANTIAGO</v>
          </cell>
        </row>
        <row r="814">
          <cell r="A814" t="str">
            <v>26</v>
          </cell>
          <cell r="C814">
            <v>1102046</v>
          </cell>
          <cell r="E814">
            <v>29182190</v>
          </cell>
          <cell r="F814" t="str">
            <v>COLEGIO DA POLICIA MILITAR - CPM JOAO FLORENCIO GOMES</v>
          </cell>
        </row>
        <row r="815">
          <cell r="A815" t="str">
            <v>26</v>
          </cell>
          <cell r="C815">
            <v>1104650</v>
          </cell>
          <cell r="E815">
            <v>29181429</v>
          </cell>
          <cell r="F815" t="str">
            <v>COLEGIO DA POLICIA MILITAR - UNIDADE I CPM DENDEZEIROS</v>
          </cell>
        </row>
        <row r="816">
          <cell r="A816" t="str">
            <v>26</v>
          </cell>
          <cell r="C816">
            <v>1101872</v>
          </cell>
          <cell r="E816">
            <v>29182166</v>
          </cell>
          <cell r="F816" t="str">
            <v>COLEGIO ESTADUAL GOES CALMON</v>
          </cell>
        </row>
        <row r="817">
          <cell r="A817" t="str">
            <v>26</v>
          </cell>
          <cell r="C817">
            <v>1103107</v>
          </cell>
          <cell r="E817">
            <v>29193532</v>
          </cell>
          <cell r="F817" t="str">
            <v>COLEGIO ESTADUAL MARECHAL MASCARENHAS DE MORAIS</v>
          </cell>
        </row>
        <row r="818">
          <cell r="A818" t="str">
            <v>26</v>
          </cell>
          <cell r="C818">
            <v>1178076</v>
          </cell>
          <cell r="E818">
            <v>29436877</v>
          </cell>
          <cell r="F818" t="str">
            <v>COLEGIO ESTADUAL SATELITE</v>
          </cell>
        </row>
        <row r="819">
          <cell r="A819" t="str">
            <v>26</v>
          </cell>
          <cell r="C819">
            <v>1178323</v>
          </cell>
          <cell r="E819">
            <v>29882729</v>
          </cell>
          <cell r="F819" t="str">
            <v>CENTRO ESTADUAL DE EDUCACAO PROFISSIONAL EMPREENDE BAHIA</v>
          </cell>
        </row>
        <row r="820">
          <cell r="A820" t="str">
            <v>26</v>
          </cell>
          <cell r="C820">
            <v>1176389</v>
          </cell>
          <cell r="E820">
            <v>29437377</v>
          </cell>
          <cell r="F820" t="str">
            <v>COLEGIO DA POLICIA MILITAR - UNIDADE II CPM LOBATO</v>
          </cell>
        </row>
        <row r="821">
          <cell r="A821" t="str">
            <v>26</v>
          </cell>
          <cell r="C821">
            <v>1103905</v>
          </cell>
          <cell r="E821">
            <v>29182735</v>
          </cell>
          <cell r="F821" t="str">
            <v>COLEGIO ESTADUAL RUBEN DARIO</v>
          </cell>
        </row>
        <row r="822">
          <cell r="A822" t="str">
            <v>26</v>
          </cell>
          <cell r="C822">
            <v>1104600</v>
          </cell>
          <cell r="E822">
            <v>29182174</v>
          </cell>
          <cell r="F822" t="str">
            <v>COLEGIO ESTADUAL DE TEMPO INTEGRAL PROF PEDRO PAULO MARQUES E MARQUES</v>
          </cell>
        </row>
        <row r="823">
          <cell r="A823" t="str">
            <v>26</v>
          </cell>
          <cell r="C823">
            <v>1176392</v>
          </cell>
          <cell r="E823">
            <v>29374677</v>
          </cell>
          <cell r="F823" t="str">
            <v>ESCOLA ESTADUAL SEVERINO VIEIRA</v>
          </cell>
        </row>
        <row r="824">
          <cell r="A824" t="str">
            <v>26</v>
          </cell>
          <cell r="C824">
            <v>1176210</v>
          </cell>
          <cell r="E824">
            <v>29360960</v>
          </cell>
          <cell r="F824" t="str">
            <v>COLEGIO ESTADUAL RAYMUNDO MATTA</v>
          </cell>
        </row>
        <row r="825">
          <cell r="A825" t="str">
            <v>26</v>
          </cell>
          <cell r="C825">
            <v>1104626</v>
          </cell>
          <cell r="E825">
            <v>29199026</v>
          </cell>
          <cell r="F825" t="str">
            <v>COLEGIO ESTADUAL PAULO AMERICO DE OLIVEIRA</v>
          </cell>
        </row>
        <row r="826">
          <cell r="A826" t="str">
            <v>26</v>
          </cell>
          <cell r="C826">
            <v>1102704</v>
          </cell>
          <cell r="E826">
            <v>29183987</v>
          </cell>
          <cell r="F826" t="str">
            <v>COLEGIO ESTADUAL MARCILIO DIAS</v>
          </cell>
        </row>
        <row r="827">
          <cell r="A827" t="str">
            <v>26</v>
          </cell>
          <cell r="C827">
            <v>1135998</v>
          </cell>
          <cell r="E827">
            <v>29191173</v>
          </cell>
          <cell r="F827" t="str">
            <v>COLEGIO ESTADUAL YEDA BARRADAS CARNEIRO</v>
          </cell>
        </row>
        <row r="828">
          <cell r="A828" t="str">
            <v>26</v>
          </cell>
          <cell r="C828">
            <v>1104375</v>
          </cell>
          <cell r="E828">
            <v>29183839</v>
          </cell>
          <cell r="F828" t="str">
            <v>ESCOLA ESTADUAL PROFESSORA ARMANDINA MARQUES</v>
          </cell>
        </row>
        <row r="829">
          <cell r="A829" t="str">
            <v>26</v>
          </cell>
          <cell r="C829">
            <v>1100558</v>
          </cell>
          <cell r="E829">
            <v>29198780</v>
          </cell>
          <cell r="F829" t="str">
            <v>COLEGIO ESTADUAL PROFESSOR DORIVAL PASSOS</v>
          </cell>
        </row>
        <row r="830">
          <cell r="A830" t="str">
            <v>26</v>
          </cell>
          <cell r="C830">
            <v>1174772</v>
          </cell>
          <cell r="E830">
            <v>29192080</v>
          </cell>
          <cell r="F830" t="str">
            <v>COLEGIO ESTADUAL PROFESSORA MARIA ANITA</v>
          </cell>
        </row>
        <row r="831">
          <cell r="A831" t="str">
            <v>26</v>
          </cell>
          <cell r="C831">
            <v>1176094</v>
          </cell>
          <cell r="E831">
            <v>29336627</v>
          </cell>
          <cell r="F831" t="str">
            <v>COLEGIO ESTADUAL DAVID MENDES PEREIRA</v>
          </cell>
        </row>
        <row r="832">
          <cell r="A832" t="str">
            <v>26</v>
          </cell>
          <cell r="C832">
            <v>1176080</v>
          </cell>
          <cell r="E832">
            <v>29182115</v>
          </cell>
          <cell r="F832" t="str">
            <v>COLEGIO DA POLICIA MILITAR - CPM DONA LEONOR CALMON</v>
          </cell>
        </row>
        <row r="833">
          <cell r="A833" t="str">
            <v>26</v>
          </cell>
          <cell r="C833">
            <v>1176387</v>
          </cell>
          <cell r="E833">
            <v>29382017</v>
          </cell>
          <cell r="F833" t="str">
            <v>COLEGIO ESTADUAL OLIVEIRA BRITO</v>
          </cell>
        </row>
        <row r="834">
          <cell r="A834" t="str">
            <v>26</v>
          </cell>
          <cell r="C834">
            <v>1100957</v>
          </cell>
          <cell r="E834">
            <v>29190916</v>
          </cell>
          <cell r="F834" t="str">
            <v>COLEGIO ESTADUAL EDIVALDO BOAVENTURA</v>
          </cell>
        </row>
        <row r="835">
          <cell r="A835" t="str">
            <v>26</v>
          </cell>
          <cell r="C835">
            <v>1146140</v>
          </cell>
          <cell r="E835">
            <v>29199930</v>
          </cell>
          <cell r="F835" t="str">
            <v>COLEGIO ESTADUAL MONTEIRO LOBATO</v>
          </cell>
        </row>
        <row r="836">
          <cell r="A836" t="str">
            <v>26</v>
          </cell>
          <cell r="C836">
            <v>1102909</v>
          </cell>
          <cell r="E836">
            <v>29188784</v>
          </cell>
          <cell r="F836" t="str">
            <v>ESCOLA ESTADUAL DEPUTADO NAOMAR ALCANTARA</v>
          </cell>
        </row>
        <row r="837">
          <cell r="A837" t="str">
            <v>26</v>
          </cell>
          <cell r="C837">
            <v>1136072</v>
          </cell>
          <cell r="E837">
            <v>29192226</v>
          </cell>
          <cell r="F837" t="str">
            <v>COLEGIO ESTADUAL VALE DOS LAGOS</v>
          </cell>
        </row>
        <row r="838">
          <cell r="A838" t="str">
            <v>26</v>
          </cell>
          <cell r="C838">
            <v>1102640</v>
          </cell>
          <cell r="E838">
            <v>29193966</v>
          </cell>
          <cell r="F838" t="str">
            <v>COLEGIO ESTADUAL MONSENHOR MANOEL BARBOSA</v>
          </cell>
        </row>
        <row r="839">
          <cell r="A839" t="str">
            <v>26</v>
          </cell>
          <cell r="C839">
            <v>1101759</v>
          </cell>
          <cell r="E839">
            <v>29187877</v>
          </cell>
          <cell r="F839" t="str">
            <v>ESCOLA ESTADUAL PIERRE VERGER</v>
          </cell>
        </row>
        <row r="840">
          <cell r="A840" t="str">
            <v>26</v>
          </cell>
          <cell r="C840">
            <v>1102232</v>
          </cell>
          <cell r="E840">
            <v>29181526</v>
          </cell>
          <cell r="F840" t="str">
            <v>COLEGIO ESTADUAL PRESIDENTE COSTA E SILVA</v>
          </cell>
        </row>
        <row r="841">
          <cell r="A841" t="str">
            <v>26</v>
          </cell>
          <cell r="C841">
            <v>1102844</v>
          </cell>
          <cell r="E841">
            <v>29185394</v>
          </cell>
          <cell r="F841" t="str">
            <v>COLEGIO ESTADUAL MARIO AUGUSTO TEIXEIRA DE FREITAS</v>
          </cell>
        </row>
        <row r="842">
          <cell r="A842" t="str">
            <v>26</v>
          </cell>
          <cell r="C842">
            <v>1174713</v>
          </cell>
          <cell r="E842">
            <v>29191211</v>
          </cell>
          <cell r="F842" t="str">
            <v>COLEGIO ESTADUAL DE APLICACAO ANISIO TEIXEIRA</v>
          </cell>
        </row>
        <row r="843">
          <cell r="A843" t="str">
            <v>26</v>
          </cell>
          <cell r="C843">
            <v>1146094</v>
          </cell>
          <cell r="E843">
            <v>29191343</v>
          </cell>
          <cell r="F843" t="str">
            <v>COLEGIO ESTADUAL PROFESSOR ROMULO ALMEIDA</v>
          </cell>
        </row>
        <row r="844">
          <cell r="A844" t="str">
            <v>26</v>
          </cell>
          <cell r="C844">
            <v>1179485</v>
          </cell>
          <cell r="E844">
            <v>29467934</v>
          </cell>
          <cell r="F844" t="str">
            <v>COLEGIO ESTADUAL DE NOVA ESPERANCA</v>
          </cell>
        </row>
        <row r="845">
          <cell r="A845" t="str">
            <v>26</v>
          </cell>
          <cell r="C845">
            <v>1102372</v>
          </cell>
          <cell r="E845">
            <v>29188792</v>
          </cell>
          <cell r="F845" t="str">
            <v>COLEGIO ESTADUAL ARTUR DE SALES</v>
          </cell>
        </row>
        <row r="846">
          <cell r="A846" t="str">
            <v>26</v>
          </cell>
          <cell r="C846">
            <v>1102542</v>
          </cell>
          <cell r="E846">
            <v>29190908</v>
          </cell>
          <cell r="F846" t="str">
            <v>COLEGIO ESTADUAL LUIS ROGERIO DE SOUZA</v>
          </cell>
        </row>
        <row r="847">
          <cell r="A847" t="str">
            <v>26</v>
          </cell>
          <cell r="C847">
            <v>1103220</v>
          </cell>
          <cell r="E847">
            <v>29182042</v>
          </cell>
          <cell r="F847" t="str">
            <v>COLEGIO ESTADUAL HELENA CELESTINO MAGALHAES</v>
          </cell>
        </row>
        <row r="848">
          <cell r="A848" t="str">
            <v>26</v>
          </cell>
          <cell r="C848">
            <v>1104642</v>
          </cell>
          <cell r="E848">
            <v>29184916</v>
          </cell>
          <cell r="F848" t="str">
            <v>COLEGIO ESTADUAL DESEMBARGADOR PEDRO RIBEIRO</v>
          </cell>
        </row>
        <row r="849">
          <cell r="A849" t="str">
            <v>26</v>
          </cell>
          <cell r="C849">
            <v>1175280</v>
          </cell>
          <cell r="E849">
            <v>29192307</v>
          </cell>
          <cell r="F849" t="str">
            <v>COLEGIO ESTADUAL HELENA MAGALHAES</v>
          </cell>
        </row>
        <row r="850">
          <cell r="A850" t="str">
            <v>26</v>
          </cell>
          <cell r="C850">
            <v>1103654</v>
          </cell>
          <cell r="E850">
            <v>29188458</v>
          </cell>
          <cell r="F850" t="str">
            <v>COLEGIO ESTADUAL TEREZA HELENA MATA PIRES</v>
          </cell>
        </row>
        <row r="851">
          <cell r="A851" t="str">
            <v>26</v>
          </cell>
          <cell r="C851">
            <v>1104715</v>
          </cell>
          <cell r="E851">
            <v>29187079</v>
          </cell>
          <cell r="F851" t="str">
            <v>ESCOLA ESTADUAL PRESCILIANO SILVA</v>
          </cell>
        </row>
        <row r="852">
          <cell r="A852" t="str">
            <v>26</v>
          </cell>
          <cell r="C852">
            <v>1168837</v>
          </cell>
          <cell r="E852">
            <v>29182182</v>
          </cell>
          <cell r="F852" t="str">
            <v>COLEGIO ESTADUAL YPIRANGA</v>
          </cell>
        </row>
        <row r="853">
          <cell r="A853" t="str">
            <v>26</v>
          </cell>
          <cell r="C853">
            <v>1141998</v>
          </cell>
          <cell r="E853">
            <v>29192218</v>
          </cell>
          <cell r="F853" t="str">
            <v>ESCOLA ESTADUAL RAUL SA</v>
          </cell>
        </row>
        <row r="854">
          <cell r="A854" t="str">
            <v>26</v>
          </cell>
          <cell r="C854">
            <v>1104057</v>
          </cell>
          <cell r="E854">
            <v>29191068</v>
          </cell>
          <cell r="F854" t="str">
            <v>COLEGIO ESTADUAL PINTO DE AGUIAR</v>
          </cell>
        </row>
        <row r="855">
          <cell r="A855" t="str">
            <v>26</v>
          </cell>
          <cell r="C855">
            <v>1163967</v>
          </cell>
          <cell r="E855">
            <v>29192137</v>
          </cell>
          <cell r="F855" t="str">
            <v>COLEGIO ESTADUAL DINAH GONCALVES</v>
          </cell>
        </row>
        <row r="856">
          <cell r="A856" t="str">
            <v>26</v>
          </cell>
          <cell r="C856">
            <v>1102984</v>
          </cell>
          <cell r="E856">
            <v>29193699</v>
          </cell>
          <cell r="F856" t="str">
            <v>COLEGIO ESTADUAL MARIO COSTA NETO</v>
          </cell>
        </row>
        <row r="857">
          <cell r="A857" t="str">
            <v>26</v>
          </cell>
          <cell r="C857">
            <v>1176189</v>
          </cell>
          <cell r="E857">
            <v>29185300</v>
          </cell>
          <cell r="F857" t="str">
            <v>COLEGIO ESTADUAL PROFESSOR GEORGE FRAGOSO MODESTO</v>
          </cell>
        </row>
        <row r="858">
          <cell r="A858" t="str">
            <v>26</v>
          </cell>
          <cell r="C858">
            <v>1176096</v>
          </cell>
          <cell r="E858">
            <v>29336708</v>
          </cell>
          <cell r="F858" t="str">
            <v>COLEGIO ESTADUAL EDUARDO BAHIANA</v>
          </cell>
        </row>
        <row r="859">
          <cell r="A859" t="str">
            <v>26</v>
          </cell>
          <cell r="C859">
            <v>1163924</v>
          </cell>
          <cell r="E859">
            <v>29192277</v>
          </cell>
          <cell r="F859" t="str">
            <v>COLEGIO ESTADUAL DONA MORA GUIMARAES</v>
          </cell>
        </row>
        <row r="860">
          <cell r="A860" t="str">
            <v>26</v>
          </cell>
          <cell r="C860">
            <v>1176202</v>
          </cell>
          <cell r="E860">
            <v>29357624</v>
          </cell>
          <cell r="F860" t="str">
            <v>ESCOLA ESTADUAL LEA LEAL</v>
          </cell>
        </row>
        <row r="861">
          <cell r="A861" t="str">
            <v>26</v>
          </cell>
          <cell r="C861">
            <v>1103662</v>
          </cell>
          <cell r="E861">
            <v>29182239</v>
          </cell>
          <cell r="F861" t="str">
            <v>COLEGIO ESTADUAL PEDRO CALMON</v>
          </cell>
        </row>
        <row r="862">
          <cell r="A862" t="str">
            <v>26</v>
          </cell>
          <cell r="C862">
            <v>1100388</v>
          </cell>
          <cell r="E862">
            <v>29189454</v>
          </cell>
          <cell r="F862" t="str">
            <v>COLEGIO ESTADUAL ASSIS CHATEAUBRIAND</v>
          </cell>
        </row>
        <row r="863">
          <cell r="A863" t="str">
            <v>26</v>
          </cell>
          <cell r="C863">
            <v>1100701</v>
          </cell>
          <cell r="E863">
            <v>29192170</v>
          </cell>
          <cell r="F863" t="str">
            <v>COLEGIO ESTADUAL NORMA RIBEIRO</v>
          </cell>
        </row>
        <row r="864">
          <cell r="A864" t="str">
            <v>26</v>
          </cell>
          <cell r="C864">
            <v>1103336</v>
          </cell>
          <cell r="E864">
            <v>29182271</v>
          </cell>
          <cell r="F864" t="str">
            <v>COLEGIO ESTADUAL RAPHAEL SERRAVALLE</v>
          </cell>
        </row>
        <row r="865">
          <cell r="A865" t="str">
            <v>26</v>
          </cell>
          <cell r="C865">
            <v>1102992</v>
          </cell>
          <cell r="E865">
            <v>29182158</v>
          </cell>
          <cell r="F865" t="str">
            <v>COLEGIO ESTADUAL EVARISTO DA VEIGA</v>
          </cell>
        </row>
        <row r="866">
          <cell r="A866" t="str">
            <v>26</v>
          </cell>
          <cell r="C866">
            <v>1103514</v>
          </cell>
          <cell r="E866">
            <v>29181542</v>
          </cell>
          <cell r="F866" t="str">
            <v>CENTRO ESTADUAL DE EDUCACAO PROFISSIONAL EM GESTAO SEVERINO VIEIRA</v>
          </cell>
        </row>
        <row r="867">
          <cell r="A867" t="str">
            <v>26</v>
          </cell>
          <cell r="C867">
            <v>1179208</v>
          </cell>
          <cell r="E867">
            <v>29460026</v>
          </cell>
          <cell r="F867" t="str">
            <v>CENTRO JUVENIL DE CIENCIA E CULTURA-CJCC CENTRAL</v>
          </cell>
        </row>
        <row r="868">
          <cell r="A868" t="str">
            <v>26</v>
          </cell>
          <cell r="C868">
            <v>1102364</v>
          </cell>
          <cell r="E868">
            <v>29188768</v>
          </cell>
          <cell r="F868" t="str">
            <v>COLEGIO ESTADUAL JOSIAS DE ALMEIDA MELO</v>
          </cell>
        </row>
        <row r="869">
          <cell r="A869" t="str">
            <v>26</v>
          </cell>
          <cell r="C869">
            <v>1103859</v>
          </cell>
          <cell r="E869">
            <v>29182565</v>
          </cell>
          <cell r="F869" t="str">
            <v>COLEGIO ESTADUAL ROTARY</v>
          </cell>
        </row>
        <row r="870">
          <cell r="A870" t="str">
            <v>26</v>
          </cell>
          <cell r="C870">
            <v>1100736</v>
          </cell>
          <cell r="E870">
            <v>29181151</v>
          </cell>
          <cell r="F870" t="str">
            <v>CENTRO ESTADUAL DE EDUCACAO PROFISSIONAL EM SAUDE ANISIO TEIXEIRA</v>
          </cell>
        </row>
        <row r="871">
          <cell r="A871" t="str">
            <v>26</v>
          </cell>
          <cell r="C871">
            <v>1176390</v>
          </cell>
          <cell r="E871">
            <v>29358140</v>
          </cell>
          <cell r="F871" t="str">
            <v>ESCOLA ESTADUAL ANISIO TEIXEIRA - CLASSE VI</v>
          </cell>
        </row>
        <row r="872">
          <cell r="A872" t="str">
            <v>26</v>
          </cell>
          <cell r="C872">
            <v>1100523</v>
          </cell>
          <cell r="E872">
            <v>29190738</v>
          </cell>
          <cell r="F872" t="str">
            <v>COLEGIO ESTADUAL DANTAS JUNIOR</v>
          </cell>
        </row>
        <row r="873">
          <cell r="A873" t="str">
            <v>26</v>
          </cell>
          <cell r="C873">
            <v>1104111</v>
          </cell>
          <cell r="E873">
            <v>29194750</v>
          </cell>
          <cell r="F873" t="str">
            <v>COLEGIO ESTADUAL NOSSA SENHORA DE FATIMA</v>
          </cell>
        </row>
        <row r="874">
          <cell r="A874" t="str">
            <v>26</v>
          </cell>
          <cell r="C874">
            <v>1103417</v>
          </cell>
          <cell r="E874">
            <v>29187583</v>
          </cell>
          <cell r="F874" t="str">
            <v>COLEGIO ESTADUAL RENAN BALEEIRO</v>
          </cell>
        </row>
        <row r="875">
          <cell r="A875" t="str">
            <v>26</v>
          </cell>
          <cell r="C875">
            <v>1100167</v>
          </cell>
          <cell r="E875">
            <v>29188903</v>
          </cell>
          <cell r="F875" t="str">
            <v>COLEGIO ESTADUAL ABILIO CESAR BORGES</v>
          </cell>
        </row>
        <row r="876">
          <cell r="A876" t="str">
            <v>26</v>
          </cell>
          <cell r="C876">
            <v>1102852</v>
          </cell>
          <cell r="E876">
            <v>29182204</v>
          </cell>
          <cell r="F876" t="str">
            <v>COLEGIO ESTADUAL MARQUES DE MARICA</v>
          </cell>
        </row>
        <row r="877">
          <cell r="A877" t="str">
            <v>26</v>
          </cell>
          <cell r="C877">
            <v>1100949</v>
          </cell>
          <cell r="E877">
            <v>29192889</v>
          </cell>
          <cell r="F877" t="str">
            <v>COLEGIO ESTADUAL DOIS DE JULHO</v>
          </cell>
        </row>
        <row r="878">
          <cell r="A878" t="str">
            <v>26</v>
          </cell>
          <cell r="C878">
            <v>1101988</v>
          </cell>
          <cell r="E878">
            <v>29190991</v>
          </cell>
          <cell r="F878" t="str">
            <v>COLEGIO ESTADUAL JOAO DAS BOTAS</v>
          </cell>
        </row>
        <row r="879">
          <cell r="A879" t="str">
            <v>26</v>
          </cell>
          <cell r="C879">
            <v>1102445</v>
          </cell>
          <cell r="E879">
            <v>29191009</v>
          </cell>
          <cell r="F879" t="str">
            <v>COLEGIO ESTADUAL KLEBER PACHECO</v>
          </cell>
        </row>
        <row r="880">
          <cell r="A880" t="str">
            <v>26</v>
          </cell>
          <cell r="C880">
            <v>1101651</v>
          </cell>
          <cell r="E880">
            <v>29190770</v>
          </cell>
          <cell r="F880" t="str">
            <v>COLEGIO ESTADUAL ALBERTO SANTOS DUMONT</v>
          </cell>
        </row>
        <row r="881">
          <cell r="A881" t="str">
            <v>26</v>
          </cell>
          <cell r="C881">
            <v>1102666</v>
          </cell>
          <cell r="E881">
            <v>29181500</v>
          </cell>
          <cell r="F881" t="str">
            <v>COLEGIO ESTADUAL MANOEL DEVOTO</v>
          </cell>
        </row>
        <row r="882">
          <cell r="A882" t="str">
            <v>26</v>
          </cell>
          <cell r="C882">
            <v>1100973</v>
          </cell>
          <cell r="E882">
            <v>29191092</v>
          </cell>
          <cell r="F882" t="str">
            <v>COLEGIO ESTADUAL DE TEMPO INTEGRAL ZUMBI DOS PALMARES</v>
          </cell>
        </row>
        <row r="883">
          <cell r="A883" t="str">
            <v>26</v>
          </cell>
          <cell r="C883">
            <v>1102186</v>
          </cell>
          <cell r="E883">
            <v>29191190</v>
          </cell>
          <cell r="F883" t="str">
            <v>CENTRO EST PROF EM SAUDE E TECN DA INF CARLOS CORR DE MENEZES SANTANNA</v>
          </cell>
        </row>
        <row r="884">
          <cell r="A884" t="str">
            <v>26</v>
          </cell>
          <cell r="C884">
            <v>1103239</v>
          </cell>
          <cell r="E884">
            <v>29191130</v>
          </cell>
          <cell r="F884" t="str">
            <v>COLEGIO ESTADUAL SATIRO DIAS</v>
          </cell>
        </row>
        <row r="885">
          <cell r="A885" t="str">
            <v>26</v>
          </cell>
          <cell r="C885">
            <v>1101937</v>
          </cell>
          <cell r="E885">
            <v>29190851</v>
          </cell>
          <cell r="F885" t="str">
            <v>COLEGIO ESTADUAL CESARE CASALI</v>
          </cell>
        </row>
        <row r="886">
          <cell r="A886" t="str">
            <v>26</v>
          </cell>
          <cell r="C886">
            <v>1102550</v>
          </cell>
          <cell r="E886">
            <v>29180104</v>
          </cell>
          <cell r="F886" t="str">
            <v>CENTRO ESTADUAL DE EDUC PROFIS EM LOG.E TRANS.LUIZ PINTO DE CARVALHO</v>
          </cell>
        </row>
        <row r="887">
          <cell r="A887" t="str">
            <v>26</v>
          </cell>
          <cell r="C887">
            <v>1100345</v>
          </cell>
          <cell r="E887">
            <v>29182123</v>
          </cell>
          <cell r="F887" t="str">
            <v>COLEGIO ESTADUAL DA BAHIA CENTRAL</v>
          </cell>
        </row>
        <row r="888">
          <cell r="A888" t="str">
            <v>26</v>
          </cell>
          <cell r="C888">
            <v>1101619</v>
          </cell>
          <cell r="E888">
            <v>29192650</v>
          </cell>
          <cell r="F888" t="str">
            <v>COLEGIO ESTADUAL PROFESSORA GEORGINA RAMOS DA SILVA</v>
          </cell>
        </row>
        <row r="889">
          <cell r="A889" t="str">
            <v>26</v>
          </cell>
          <cell r="C889">
            <v>1178175</v>
          </cell>
          <cell r="E889">
            <v>29447151</v>
          </cell>
          <cell r="F889" t="str">
            <v>CENTRO ESTADUAL DE EDUCACAO PROFISSIONAL EM MUSICA</v>
          </cell>
        </row>
        <row r="890">
          <cell r="A890" t="str">
            <v>26</v>
          </cell>
          <cell r="C890">
            <v>1103778</v>
          </cell>
          <cell r="E890">
            <v>29199387</v>
          </cell>
          <cell r="F890" t="str">
            <v>CENTRO EST. DE EDUCACAO PROFISSIONAL FORMACAO E EVENTOS ISAIAS ALVES</v>
          </cell>
        </row>
        <row r="891">
          <cell r="A891" t="str">
            <v>26</v>
          </cell>
          <cell r="C891">
            <v>1101031</v>
          </cell>
          <cell r="E891">
            <v>29182093</v>
          </cell>
          <cell r="F891" t="str">
            <v>COLEGIO ESTADUAL AZEVEDO FERNANDES</v>
          </cell>
        </row>
        <row r="892">
          <cell r="A892" t="str">
            <v>26</v>
          </cell>
          <cell r="C892">
            <v>1104219</v>
          </cell>
          <cell r="E892">
            <v>29187095</v>
          </cell>
          <cell r="F892" t="str">
            <v>COLEGIO ESTADUAL PRINCESA IZABEL</v>
          </cell>
        </row>
        <row r="893">
          <cell r="A893" t="str">
            <v>26</v>
          </cell>
          <cell r="C893">
            <v>1104588</v>
          </cell>
          <cell r="E893">
            <v>29191840</v>
          </cell>
          <cell r="F893" t="str">
            <v>COLEGIO ESTADUAL EDVALDO BRANDAO CORREIA</v>
          </cell>
        </row>
        <row r="894">
          <cell r="A894" t="str">
            <v>26</v>
          </cell>
          <cell r="C894">
            <v>1142463</v>
          </cell>
          <cell r="E894">
            <v>29191335</v>
          </cell>
          <cell r="F894" t="str">
            <v>COLEGIO ESTADUAL BATISTA NEVES</v>
          </cell>
        </row>
        <row r="895">
          <cell r="A895" t="str">
            <v>26</v>
          </cell>
          <cell r="C895">
            <v>1174500</v>
          </cell>
          <cell r="E895">
            <v>29179815</v>
          </cell>
          <cell r="F895" t="str">
            <v>CENTRO DE APOIO PEDAGOGICO ESPECIALIZADO DA BAHIA</v>
          </cell>
        </row>
        <row r="896">
          <cell r="A896" t="str">
            <v>26</v>
          </cell>
          <cell r="C896">
            <v>1101449</v>
          </cell>
          <cell r="E896">
            <v>29191920</v>
          </cell>
          <cell r="F896" t="str">
            <v>COLEGIO ESTADUAL ERALDO TINOCO</v>
          </cell>
        </row>
        <row r="897">
          <cell r="A897" t="str">
            <v>26</v>
          </cell>
          <cell r="C897">
            <v>1176610</v>
          </cell>
          <cell r="E897">
            <v>29404266</v>
          </cell>
          <cell r="F897" t="str">
            <v>COLEGIO ESTADUAL SETE DE SETEMBRO</v>
          </cell>
        </row>
        <row r="898">
          <cell r="A898" t="str">
            <v>26</v>
          </cell>
          <cell r="C898">
            <v>1104022</v>
          </cell>
          <cell r="E898">
            <v>29188431</v>
          </cell>
          <cell r="F898" t="str">
            <v>ESCOLA ESTADUAL TEODORO SAMPAIO</v>
          </cell>
        </row>
        <row r="899">
          <cell r="A899" t="str">
            <v>26</v>
          </cell>
          <cell r="C899">
            <v>1104049</v>
          </cell>
          <cell r="E899">
            <v>29200342</v>
          </cell>
          <cell r="F899" t="str">
            <v>CENTRO DE APOIO PEDAGOGICO ESPECIALIZADO PESTALOZZI</v>
          </cell>
        </row>
        <row r="900">
          <cell r="A900" t="str">
            <v>26</v>
          </cell>
          <cell r="C900">
            <v>1102836</v>
          </cell>
          <cell r="E900">
            <v>29193656</v>
          </cell>
          <cell r="F900" t="str">
            <v>ESCOLA ESTADUAL MARIA ROMANA CALMON</v>
          </cell>
        </row>
        <row r="901">
          <cell r="A901" t="str">
            <v>26</v>
          </cell>
          <cell r="C901">
            <v>1102216</v>
          </cell>
          <cell r="E901">
            <v>29191084</v>
          </cell>
          <cell r="F901" t="str">
            <v>COLEGIO ESTADUAL PROFESSOR CARLOS SANT ANNA</v>
          </cell>
        </row>
        <row r="902">
          <cell r="A902" t="str">
            <v>26</v>
          </cell>
          <cell r="C902">
            <v>1173946</v>
          </cell>
          <cell r="E902">
            <v>29182131</v>
          </cell>
          <cell r="F902" t="str">
            <v>COLEGIO ESTADUAL DEPUTADO MANOEL NOVAES</v>
          </cell>
        </row>
        <row r="903">
          <cell r="A903" t="str">
            <v>26</v>
          </cell>
          <cell r="C903">
            <v>1103344</v>
          </cell>
          <cell r="E903">
            <v>29200024</v>
          </cell>
          <cell r="F903" t="str">
            <v>COLEGIO ESTADUAL RAYMUNDO DE ALMEIDA GOUVEIA</v>
          </cell>
        </row>
        <row r="904">
          <cell r="A904" t="str">
            <v>26</v>
          </cell>
          <cell r="C904">
            <v>1101546</v>
          </cell>
          <cell r="E904">
            <v>29189950</v>
          </cell>
          <cell r="F904" t="str">
            <v>ESCOLA ESTADUAL CASTRO ALVES</v>
          </cell>
        </row>
        <row r="905">
          <cell r="A905" t="str">
            <v>26</v>
          </cell>
          <cell r="C905">
            <v>1176071</v>
          </cell>
          <cell r="E905">
            <v>29192331</v>
          </cell>
          <cell r="F905" t="str">
            <v>COLEGIO ESTADUAL PROFESSORA MARILEINE DA SILVA</v>
          </cell>
        </row>
        <row r="906">
          <cell r="A906" t="str">
            <v>26</v>
          </cell>
          <cell r="C906">
            <v>1103174</v>
          </cell>
          <cell r="E906">
            <v>29182719</v>
          </cell>
          <cell r="F906" t="str">
            <v>COLEGIO ESTADUAL FREDERICO COSTA</v>
          </cell>
        </row>
        <row r="907">
          <cell r="A907" t="str">
            <v>26</v>
          </cell>
          <cell r="C907">
            <v>1176660</v>
          </cell>
          <cell r="E907">
            <v>29404274</v>
          </cell>
          <cell r="F907" t="str">
            <v>COLEGIO ESTADUAL PROFESSORA NOEMIA REGO</v>
          </cell>
        </row>
        <row r="908">
          <cell r="A908" t="str">
            <v>26</v>
          </cell>
          <cell r="C908">
            <v>1178157</v>
          </cell>
          <cell r="E908">
            <v>29444667</v>
          </cell>
          <cell r="F908" t="str">
            <v>COLEGIO ESTADUAL ANA CRISTINA PRAZERES MATA PIRES</v>
          </cell>
        </row>
        <row r="909">
          <cell r="A909" t="str">
            <v>26</v>
          </cell>
          <cell r="C909">
            <v>1102925</v>
          </cell>
          <cell r="E909">
            <v>29192153</v>
          </cell>
          <cell r="F909" t="str">
            <v>COLEGIO ESTADUAL PROFESSOR NELSON BARROS</v>
          </cell>
        </row>
        <row r="910">
          <cell r="A910" t="str">
            <v>26</v>
          </cell>
          <cell r="C910">
            <v>1103085</v>
          </cell>
          <cell r="E910">
            <v>29191165</v>
          </cell>
          <cell r="F910" t="str">
            <v>COLEGIO ESTADUAL VISCONDE DE MAUA</v>
          </cell>
        </row>
        <row r="911">
          <cell r="A911" t="str">
            <v>26</v>
          </cell>
          <cell r="C911">
            <v>1100370</v>
          </cell>
          <cell r="E911">
            <v>29191661</v>
          </cell>
          <cell r="F911" t="str">
            <v>COLEGIO ESTADUAL BARROS BARRETO</v>
          </cell>
        </row>
        <row r="912">
          <cell r="A912" t="str">
            <v>26</v>
          </cell>
          <cell r="C912">
            <v>1176765</v>
          </cell>
          <cell r="E912">
            <v>29404240</v>
          </cell>
          <cell r="F912" t="str">
            <v>COLEGIO ESTADUAL PROFESSORA MARIA ODETTE PITHON RAYNAL</v>
          </cell>
        </row>
        <row r="913">
          <cell r="A913" t="str">
            <v>26</v>
          </cell>
          <cell r="C913">
            <v>1176420</v>
          </cell>
          <cell r="E913">
            <v>29386632</v>
          </cell>
          <cell r="F913" t="str">
            <v>CENTRO DE APOIO PEDAGOGICO ESPECIALIZADO CATIA MARIA PAIM CRUZ</v>
          </cell>
        </row>
        <row r="914">
          <cell r="A914" t="str">
            <v>26</v>
          </cell>
          <cell r="C914">
            <v>1104260</v>
          </cell>
          <cell r="E914">
            <v>29190363</v>
          </cell>
          <cell r="F914" t="str">
            <v>COLEGIO ESTADUAL CONSELHEIRO VICENTE PACHECO DE OLIVEIRA</v>
          </cell>
        </row>
        <row r="915">
          <cell r="A915" t="str">
            <v>26</v>
          </cell>
          <cell r="C915">
            <v>1174721</v>
          </cell>
          <cell r="E915">
            <v>29195462</v>
          </cell>
          <cell r="F915" t="str">
            <v>COLEGIO ESTADUAL PROFESSOR NOGUEIRA PASSOS</v>
          </cell>
        </row>
        <row r="916">
          <cell r="A916" t="str">
            <v>26</v>
          </cell>
          <cell r="C916">
            <v>1172320</v>
          </cell>
          <cell r="E916">
            <v>29192242</v>
          </cell>
          <cell r="F916" t="str">
            <v>COLEGIO ESTADUAL MESTRE MOA DO KATENDE</v>
          </cell>
        </row>
        <row r="917">
          <cell r="A917" t="str">
            <v>26</v>
          </cell>
          <cell r="C917">
            <v>1104537</v>
          </cell>
          <cell r="E917">
            <v>29191149</v>
          </cell>
          <cell r="F917" t="str">
            <v>COLEGIO ESTADUAL SOLANGE HORTELIO FRANCO</v>
          </cell>
        </row>
        <row r="918">
          <cell r="A918" t="str">
            <v>26</v>
          </cell>
          <cell r="C918">
            <v>1176079</v>
          </cell>
          <cell r="E918">
            <v>29192188</v>
          </cell>
          <cell r="F918" t="str">
            <v>COLEGIO ESTADUAL CELIA MATA PIRES</v>
          </cell>
        </row>
        <row r="919">
          <cell r="A919" t="str">
            <v>26</v>
          </cell>
          <cell r="C919">
            <v>1176760</v>
          </cell>
          <cell r="E919">
            <v>29404304</v>
          </cell>
          <cell r="F919" t="str">
            <v>COLEGIO ESTADUAL VILA CANARIA</v>
          </cell>
        </row>
        <row r="920">
          <cell r="A920" t="str">
            <v>26</v>
          </cell>
          <cell r="C920">
            <v>1102917</v>
          </cell>
          <cell r="E920">
            <v>29186552</v>
          </cell>
          <cell r="F920" t="str">
            <v>ESCOLA ESTADUAL PROFESSORA NATALIA VINHAES</v>
          </cell>
        </row>
        <row r="921">
          <cell r="A921" t="str">
            <v>26</v>
          </cell>
          <cell r="C921">
            <v>1176661</v>
          </cell>
          <cell r="E921">
            <v>29404290</v>
          </cell>
          <cell r="F921" t="str">
            <v>COLEGIO ESTADUAL PROFESSOR JOSE BARRETO DE ARAUJO BASTOS</v>
          </cell>
        </row>
        <row r="922">
          <cell r="A922" t="str">
            <v>26</v>
          </cell>
          <cell r="C922">
            <v>1104820</v>
          </cell>
          <cell r="E922">
            <v>29182050</v>
          </cell>
          <cell r="F922" t="str">
            <v>COLEGIO ESTADUAL TEREZA CONCEICAO MENEZES</v>
          </cell>
        </row>
        <row r="923">
          <cell r="A923" t="str">
            <v>26</v>
          </cell>
          <cell r="C923">
            <v>1100817</v>
          </cell>
          <cell r="E923">
            <v>29192617</v>
          </cell>
          <cell r="F923" t="str">
            <v>COLEGIO ESTADUAL GENERAL DIONISIO CERQUEIRA</v>
          </cell>
        </row>
        <row r="924">
          <cell r="A924" t="str">
            <v>26</v>
          </cell>
          <cell r="C924">
            <v>1104936</v>
          </cell>
          <cell r="E924">
            <v>29187320</v>
          </cell>
          <cell r="F924" t="str">
            <v>CENTRO EST EDUC PROF GESTAO NEGOCIOS TURISMO LUIZ NAVARRO DE BRITO</v>
          </cell>
        </row>
        <row r="925">
          <cell r="A925" t="str">
            <v>26</v>
          </cell>
          <cell r="C925">
            <v>1176720</v>
          </cell>
          <cell r="E925">
            <v>29404371</v>
          </cell>
          <cell r="F925" t="str">
            <v>COLEGIO ESTADUAL PROFESSOR ARISTIDES DE SOUZA OLIVEIRA</v>
          </cell>
        </row>
        <row r="926">
          <cell r="A926" t="str">
            <v>26</v>
          </cell>
          <cell r="C926">
            <v>1104596</v>
          </cell>
          <cell r="E926">
            <v>29181534</v>
          </cell>
          <cell r="F926" t="str">
            <v>COLEGIO ESTADUAL NELSON MANDELA</v>
          </cell>
        </row>
        <row r="927">
          <cell r="A927" t="str">
            <v>26</v>
          </cell>
          <cell r="C927">
            <v>1100833</v>
          </cell>
          <cell r="E927">
            <v>29184932</v>
          </cell>
          <cell r="F927" t="str">
            <v>COLEGIO ESTADUAL PROFESSOR EDSON CARNEIRO</v>
          </cell>
        </row>
        <row r="928">
          <cell r="A928" t="str">
            <v>26</v>
          </cell>
          <cell r="C928">
            <v>1104570</v>
          </cell>
          <cell r="E928">
            <v>29191360</v>
          </cell>
          <cell r="F928" t="str">
            <v>COLEGIO ESTADUAL DEPUTADO HENRIQUE BRITO</v>
          </cell>
        </row>
        <row r="929">
          <cell r="A929" t="str">
            <v>26</v>
          </cell>
          <cell r="C929">
            <v>1100884</v>
          </cell>
          <cell r="E929">
            <v>29184983</v>
          </cell>
          <cell r="F929" t="str">
            <v>COLEGIO ESTADUAL PROFESSORA LEILA RUBENS FONSECA</v>
          </cell>
        </row>
        <row r="930">
          <cell r="A930" t="str">
            <v>26</v>
          </cell>
          <cell r="C930">
            <v>1100981</v>
          </cell>
          <cell r="E930">
            <v>29184460</v>
          </cell>
          <cell r="F930" t="str">
            <v>COLEGIO ESTADUAL DEMOCRATICO BERTHOLDO CIRILO DOS REIS</v>
          </cell>
        </row>
        <row r="931">
          <cell r="A931" t="str">
            <v>26</v>
          </cell>
          <cell r="C931">
            <v>1104880</v>
          </cell>
          <cell r="E931">
            <v>29187303</v>
          </cell>
          <cell r="F931" t="str">
            <v>COLEGIO ESTADUAL LUIZ FERNANDO MACEDO COSTA</v>
          </cell>
        </row>
        <row r="932">
          <cell r="A932" t="str">
            <v>26</v>
          </cell>
          <cell r="C932">
            <v>1103387</v>
          </cell>
          <cell r="E932">
            <v>29181550</v>
          </cell>
          <cell r="F932" t="str">
            <v>COLEGIO ESTADUAL SENHOR DO BONFIM</v>
          </cell>
        </row>
        <row r="933">
          <cell r="A933" t="str">
            <v>26</v>
          </cell>
          <cell r="C933">
            <v>1103212</v>
          </cell>
          <cell r="E933">
            <v>29200075</v>
          </cell>
          <cell r="F933" t="str">
            <v>COLEGIO ESTADUAL SARA VIOLETA DE MELLO KERTESZ</v>
          </cell>
        </row>
        <row r="934">
          <cell r="A934" t="str">
            <v>26</v>
          </cell>
          <cell r="C934">
            <v>1104413</v>
          </cell>
          <cell r="E934">
            <v>29192790</v>
          </cell>
          <cell r="F934" t="str">
            <v>COLEGIO ESTADUAL HENRIQUETA MARTINS CATHARINO</v>
          </cell>
        </row>
        <row r="935">
          <cell r="A935" t="str">
            <v>26</v>
          </cell>
          <cell r="C935">
            <v>1104898</v>
          </cell>
          <cell r="E935">
            <v>29192021</v>
          </cell>
          <cell r="F935" t="str">
            <v>COLEGIO ESTADUAL LUIZ JOSE DE OLIVEIRA</v>
          </cell>
        </row>
        <row r="936">
          <cell r="A936" t="str">
            <v>26</v>
          </cell>
          <cell r="C936">
            <v>1100418</v>
          </cell>
          <cell r="E936">
            <v>29189080</v>
          </cell>
          <cell r="F936" t="str">
            <v>COLEGIO ESTADUAL ALFREDO MAGALHAES</v>
          </cell>
        </row>
        <row r="937">
          <cell r="A937" t="str">
            <v>26</v>
          </cell>
          <cell r="C937">
            <v>1176446</v>
          </cell>
          <cell r="E937">
            <v>29386535</v>
          </cell>
          <cell r="F937" t="str">
            <v>COLEGIO ESTADUAL LINDEMBERGUE CARDOSO</v>
          </cell>
        </row>
        <row r="938">
          <cell r="A938" t="str">
            <v>26</v>
          </cell>
          <cell r="C938">
            <v>1101376</v>
          </cell>
          <cell r="E938">
            <v>29182247</v>
          </cell>
          <cell r="F938" t="str">
            <v>COLEGIO ESTADUAL DO STIEP CARLOS MARIGHELLA</v>
          </cell>
        </row>
        <row r="939">
          <cell r="A939" t="str">
            <v>26</v>
          </cell>
          <cell r="C939">
            <v>1101856</v>
          </cell>
          <cell r="E939">
            <v>29181470</v>
          </cell>
          <cell r="F939" t="str">
            <v>COLEGIO ESTADUAL DUQUE DE CAXIAS</v>
          </cell>
        </row>
        <row r="940">
          <cell r="A940" t="str">
            <v>26</v>
          </cell>
          <cell r="C940">
            <v>1103557</v>
          </cell>
          <cell r="E940">
            <v>29186749</v>
          </cell>
          <cell r="F940" t="str">
            <v>ESCOLA ESTADUAL OCRIDALINA MADUREIRA</v>
          </cell>
        </row>
        <row r="941">
          <cell r="A941" t="str">
            <v>26</v>
          </cell>
          <cell r="C941">
            <v>1103816</v>
          </cell>
          <cell r="E941">
            <v>29190894</v>
          </cell>
          <cell r="F941" t="str">
            <v>COLEGIO ESTADUAL DE TEMPO INTEGRAL JOSE DIAS DE SALES</v>
          </cell>
        </row>
        <row r="942">
          <cell r="A942" t="str">
            <v>26</v>
          </cell>
          <cell r="C942">
            <v>1104677</v>
          </cell>
          <cell r="E942">
            <v>29187010</v>
          </cell>
          <cell r="F942" t="str">
            <v>COLEGIO ESTADUAL POLIVALENTE SAN DIEGO</v>
          </cell>
        </row>
        <row r="943">
          <cell r="A943" t="str">
            <v>26</v>
          </cell>
          <cell r="C943">
            <v>1102534</v>
          </cell>
          <cell r="E943">
            <v>29191378</v>
          </cell>
          <cell r="F943" t="str">
            <v>COLEGIO ESTADUAL CLARICE SANTIAGO DOS SANTOS</v>
          </cell>
        </row>
        <row r="944">
          <cell r="A944" t="str">
            <v>26</v>
          </cell>
          <cell r="C944">
            <v>1176880</v>
          </cell>
          <cell r="E944">
            <v>29404339</v>
          </cell>
          <cell r="F944" t="str">
            <v>COLEGIO ESTADUAL PROFESSORA MARIA DE LOURDES PARADA FRANCH</v>
          </cell>
        </row>
        <row r="945">
          <cell r="A945" t="str">
            <v>26</v>
          </cell>
          <cell r="C945">
            <v>1102160</v>
          </cell>
          <cell r="E945">
            <v>29190754</v>
          </cell>
          <cell r="F945" t="str">
            <v>COLEGIO ESTADUAL DOUTOR JOAO PEDRO DOS SANTOS</v>
          </cell>
        </row>
        <row r="946">
          <cell r="A946" t="str">
            <v>26</v>
          </cell>
          <cell r="C946">
            <v>1101430</v>
          </cell>
          <cell r="E946">
            <v>29179629</v>
          </cell>
          <cell r="F946" t="str">
            <v>CENTRO EDUCACIONAL CARNEIRO RIBEIRO - CLASSE III</v>
          </cell>
        </row>
        <row r="947">
          <cell r="A947" t="str">
            <v>26</v>
          </cell>
          <cell r="C947">
            <v>1100868</v>
          </cell>
          <cell r="E947">
            <v>29191572</v>
          </cell>
          <cell r="F947" t="str">
            <v>ESCOLA ESTADUAL DOM AVELAR BRANDAO VILELA</v>
          </cell>
        </row>
        <row r="948">
          <cell r="A948" t="str">
            <v>26</v>
          </cell>
          <cell r="C948">
            <v>1145829</v>
          </cell>
          <cell r="E948">
            <v>29191270</v>
          </cell>
          <cell r="F948" t="str">
            <v>COLEGIO ESTADUAL BENTO GONCALVES</v>
          </cell>
        </row>
        <row r="949">
          <cell r="A949" t="str">
            <v>26</v>
          </cell>
          <cell r="C949">
            <v>1100221</v>
          </cell>
          <cell r="E949">
            <v>29189047</v>
          </cell>
          <cell r="F949" t="str">
            <v>COLEGIO ESTADUAL ALBERTO VALENCA</v>
          </cell>
        </row>
        <row r="950">
          <cell r="A950" t="str">
            <v>26</v>
          </cell>
          <cell r="C950">
            <v>1102941</v>
          </cell>
          <cell r="E950">
            <v>29196434</v>
          </cell>
          <cell r="F950" t="str">
            <v>CENTRO EST DE EDUC PROF CONTROLE E PROCESSOS INDUST NEWTON SUCUPIRA</v>
          </cell>
        </row>
        <row r="951">
          <cell r="A951" t="str">
            <v>26</v>
          </cell>
          <cell r="C951">
            <v>1104243</v>
          </cell>
          <cell r="E951">
            <v>29191157</v>
          </cell>
          <cell r="F951" t="str">
            <v>COLEGIO ESTADUAL VERA LUX</v>
          </cell>
        </row>
        <row r="952">
          <cell r="A952" t="str">
            <v>26</v>
          </cell>
          <cell r="C952">
            <v>1177094</v>
          </cell>
          <cell r="E952">
            <v>29414903</v>
          </cell>
          <cell r="F952" t="str">
            <v>COLEGIO ESTADUAL DE PLATAFORMA</v>
          </cell>
        </row>
        <row r="953">
          <cell r="A953" t="str">
            <v>26</v>
          </cell>
          <cell r="C953">
            <v>1102976</v>
          </cell>
          <cell r="E953">
            <v>29190932</v>
          </cell>
          <cell r="F953" t="str">
            <v>COLEGIO ESTADUAL EURICLES DE MATOS</v>
          </cell>
        </row>
        <row r="954">
          <cell r="A954" t="str">
            <v>26</v>
          </cell>
          <cell r="C954">
            <v>1100612</v>
          </cell>
          <cell r="E954">
            <v>29182034</v>
          </cell>
          <cell r="F954" t="str">
            <v>COLEGIO ESTADUAL ANTONIO CARLOS MAGALHAES</v>
          </cell>
        </row>
        <row r="955">
          <cell r="A955" t="str">
            <v>26</v>
          </cell>
          <cell r="C955">
            <v>1102011</v>
          </cell>
          <cell r="E955">
            <v>29190860</v>
          </cell>
          <cell r="F955" t="str">
            <v>COLEGIO ESTADUAL CIDADE DE CURITIBA</v>
          </cell>
        </row>
        <row r="956">
          <cell r="A956" t="str">
            <v>26</v>
          </cell>
          <cell r="C956">
            <v>1104731</v>
          </cell>
          <cell r="E956">
            <v>29187001</v>
          </cell>
          <cell r="F956" t="str">
            <v>COLEGIO ESTADUAL POLIVALENTE DE AMARALINA</v>
          </cell>
        </row>
        <row r="957">
          <cell r="A957" t="str">
            <v>26</v>
          </cell>
          <cell r="C957">
            <v>1176109</v>
          </cell>
          <cell r="E957">
            <v>29343160</v>
          </cell>
          <cell r="F957" t="str">
            <v>COLEGIO ESTADUAL PROFESSOR CARLOS BARROS</v>
          </cell>
        </row>
        <row r="958">
          <cell r="A958" t="str">
            <v>26</v>
          </cell>
          <cell r="C958">
            <v>1101309</v>
          </cell>
          <cell r="E958">
            <v>29179548</v>
          </cell>
          <cell r="F958" t="str">
            <v>CENTRO EDUCACIONAL CARNEIRO RIBEIRO - CLASSE I</v>
          </cell>
        </row>
        <row r="959">
          <cell r="A959" t="str">
            <v>26</v>
          </cell>
          <cell r="C959">
            <v>1176074</v>
          </cell>
          <cell r="E959">
            <v>29185408</v>
          </cell>
          <cell r="F959" t="str">
            <v>ESCOLA ESTADUAL PROFESSORA MARIINHA TAVARES</v>
          </cell>
        </row>
        <row r="960">
          <cell r="A960" t="str">
            <v>26</v>
          </cell>
          <cell r="C960">
            <v>1176391</v>
          </cell>
          <cell r="E960">
            <v>29357896</v>
          </cell>
          <cell r="F960" t="str">
            <v>COLEGIO DA POLICIA MILITAR - CPM LUIZ TARQUINIO</v>
          </cell>
        </row>
        <row r="961">
          <cell r="A961" t="str">
            <v>26</v>
          </cell>
          <cell r="C961">
            <v>1101163</v>
          </cell>
          <cell r="E961">
            <v>29180490</v>
          </cell>
          <cell r="F961" t="str">
            <v>CENTRO EDUCACIONAL EDGAR SANTOS</v>
          </cell>
        </row>
        <row r="962">
          <cell r="A962" t="str">
            <v>26</v>
          </cell>
          <cell r="C962">
            <v>1101090</v>
          </cell>
          <cell r="E962">
            <v>29191106</v>
          </cell>
          <cell r="F962" t="str">
            <v>ESCOLA ESTADUAL PROFESSORA CANDOLINA - CLASSE VII</v>
          </cell>
        </row>
        <row r="963">
          <cell r="A963" t="str">
            <v>26</v>
          </cell>
          <cell r="C963">
            <v>1101899</v>
          </cell>
          <cell r="E963">
            <v>29181488</v>
          </cell>
          <cell r="F963" t="str">
            <v>COLEGIO ESTADUAL GOVERNADOR LOMANTO JUNIOR</v>
          </cell>
        </row>
        <row r="964">
          <cell r="A964" t="str">
            <v>26</v>
          </cell>
          <cell r="C964">
            <v>1104367</v>
          </cell>
          <cell r="E964">
            <v>29200296</v>
          </cell>
          <cell r="F964" t="str">
            <v>CENTRO DE APOIO PEDAGOGICO ESPEC. PARA PESSOAS COM SURDEZ WILSON LINS</v>
          </cell>
        </row>
        <row r="965">
          <cell r="A965" t="str">
            <v>26</v>
          </cell>
          <cell r="C965">
            <v>1103972</v>
          </cell>
          <cell r="E965">
            <v>29191114</v>
          </cell>
          <cell r="F965" t="str">
            <v>COLEGIO ESTADUAL RUTH PACHECO</v>
          </cell>
        </row>
        <row r="966">
          <cell r="A966" t="str">
            <v>26</v>
          </cell>
          <cell r="C966">
            <v>1102151</v>
          </cell>
          <cell r="E966">
            <v>29182697</v>
          </cell>
          <cell r="F966" t="str">
            <v>COLEGIO ESTADUAL CLERISTON ANDRADE</v>
          </cell>
        </row>
        <row r="967">
          <cell r="A967" t="str">
            <v>26</v>
          </cell>
          <cell r="C967">
            <v>1176795</v>
          </cell>
          <cell r="E967">
            <v>29404282</v>
          </cell>
          <cell r="F967" t="str">
            <v>COLEGIO ESTADUAL DE PRAIA GRANDE</v>
          </cell>
        </row>
        <row r="968">
          <cell r="A968" t="str">
            <v>26</v>
          </cell>
          <cell r="C968">
            <v>1101490</v>
          </cell>
          <cell r="E968">
            <v>29179491</v>
          </cell>
          <cell r="F968" t="str">
            <v>CENTRO EDUCACIONAL CARNEIRO RIBEIRO - CLASSE IV</v>
          </cell>
        </row>
        <row r="969">
          <cell r="A969" t="str">
            <v>26</v>
          </cell>
          <cell r="C969">
            <v>1101074</v>
          </cell>
          <cell r="E969">
            <v>29190835</v>
          </cell>
          <cell r="F969" t="str">
            <v>COLEGIO ESTADUAL BRIGADEIRO EDUARDO GOMES</v>
          </cell>
        </row>
        <row r="970">
          <cell r="A970" t="str">
            <v>26</v>
          </cell>
          <cell r="C970">
            <v>1103441</v>
          </cell>
          <cell r="E970">
            <v>29199182</v>
          </cell>
          <cell r="F970" t="str">
            <v>CENTRO DE APOIO PEDAGOGICO ESPECIALIZADO ALBERTO DE ASSIS</v>
          </cell>
        </row>
        <row r="971">
          <cell r="A971" t="str">
            <v>26</v>
          </cell>
          <cell r="C971">
            <v>1100426</v>
          </cell>
          <cell r="E971">
            <v>29192030</v>
          </cell>
          <cell r="F971" t="str">
            <v>COLEGIO ESTADUAL MINISTRO ALIOMAR BALEEIRO</v>
          </cell>
        </row>
        <row r="972">
          <cell r="A972" t="str">
            <v>26</v>
          </cell>
          <cell r="C972">
            <v>1104693</v>
          </cell>
          <cell r="E972">
            <v>29181631</v>
          </cell>
          <cell r="F972" t="str">
            <v>CENTRO ESTAD DE EDUC, INOVACAO E FORMACAO DA BAHIA-CEEIFOR- MAE STELLA</v>
          </cell>
        </row>
        <row r="973">
          <cell r="A973" t="str">
            <v>26</v>
          </cell>
          <cell r="C973">
            <v>1101120</v>
          </cell>
          <cell r="E973">
            <v>29187419</v>
          </cell>
          <cell r="F973" t="str">
            <v>COLEGIO ESTADUAL PROFESSORA ELISABETH CHAVES VELOSO</v>
          </cell>
        </row>
        <row r="974">
          <cell r="A974" t="str">
            <v>26</v>
          </cell>
          <cell r="C974">
            <v>1101368</v>
          </cell>
          <cell r="E974">
            <v>29179394</v>
          </cell>
          <cell r="F974" t="str">
            <v>CENTRO EDUCACIONAL CARNEIRO RIBEIRO - CLASSE II</v>
          </cell>
        </row>
        <row r="975">
          <cell r="A975" t="str">
            <v>26</v>
          </cell>
          <cell r="C975">
            <v>1102879</v>
          </cell>
          <cell r="E975">
            <v>29181143</v>
          </cell>
          <cell r="F975" t="str">
            <v>COLEGIO ESTADUAL LUIZ VIANA</v>
          </cell>
        </row>
        <row r="976">
          <cell r="A976" t="str">
            <v>26</v>
          </cell>
          <cell r="C976">
            <v>1102097</v>
          </cell>
          <cell r="E976">
            <v>29190878</v>
          </cell>
          <cell r="F976" t="str">
            <v>COLEGIO ESTADUAL COSME DE FARIAS</v>
          </cell>
        </row>
        <row r="977">
          <cell r="A977" t="str">
            <v>26</v>
          </cell>
          <cell r="C977">
            <v>1136498</v>
          </cell>
          <cell r="E977">
            <v>29190967</v>
          </cell>
          <cell r="F977" t="str">
            <v>COLEGIO ESTADUAL GOVERNADOR OTAVIO MANGABEIRA</v>
          </cell>
        </row>
        <row r="978">
          <cell r="A978" t="str">
            <v>26</v>
          </cell>
          <cell r="C978">
            <v>1101511</v>
          </cell>
          <cell r="E978">
            <v>29983720</v>
          </cell>
          <cell r="F978" t="str">
            <v>CENTRO EDUCACIONAL CARNEIRO RIBEIRO - ESCOLA PARQUE</v>
          </cell>
        </row>
        <row r="979">
          <cell r="A979" t="str">
            <v>26</v>
          </cell>
          <cell r="C979">
            <v>1176422</v>
          </cell>
          <cell r="E979">
            <v>29392861</v>
          </cell>
          <cell r="F979" t="str">
            <v>COLEGIO MODELO LUIS EDUARDO MAGALHAES</v>
          </cell>
        </row>
        <row r="980">
          <cell r="A980" t="str">
            <v>26</v>
          </cell>
          <cell r="C980">
            <v>1101953</v>
          </cell>
          <cell r="E980">
            <v>29193095</v>
          </cell>
          <cell r="F980" t="str">
            <v>COLEGIO ESTADUAL JOAO CARIBE</v>
          </cell>
        </row>
        <row r="981">
          <cell r="A981" t="str">
            <v>26</v>
          </cell>
          <cell r="C981">
            <v>1104103</v>
          </cell>
          <cell r="E981">
            <v>29194776</v>
          </cell>
          <cell r="F981" t="str">
            <v>COLEGIO ESTADUAL NOSSA SENHORA DE FATIMA</v>
          </cell>
        </row>
        <row r="982">
          <cell r="A982" t="str">
            <v>26</v>
          </cell>
          <cell r="C982">
            <v>1103301</v>
          </cell>
          <cell r="E982">
            <v>29185173</v>
          </cell>
          <cell r="F982" t="str">
            <v>COLEGIO ESTADUAL RAFAEL OLIVEIRA</v>
          </cell>
        </row>
        <row r="983">
          <cell r="A983" t="str">
            <v>26</v>
          </cell>
          <cell r="C983">
            <v>1176205</v>
          </cell>
          <cell r="E983">
            <v>29359597</v>
          </cell>
          <cell r="F983" t="str">
            <v>COLEGIO ESTADUAL FRANCISCO DA CONCEICAO MENEZES</v>
          </cell>
        </row>
        <row r="984">
          <cell r="A984" t="str">
            <v>26</v>
          </cell>
          <cell r="C984">
            <v>1103786</v>
          </cell>
          <cell r="E984">
            <v>29181496</v>
          </cell>
          <cell r="F984" t="str">
            <v>COLEGIO ESTADUAL GOVERNADOR ROBERTO SANTOS</v>
          </cell>
        </row>
        <row r="985">
          <cell r="A985" t="str">
            <v>26</v>
          </cell>
          <cell r="C985">
            <v>1103492</v>
          </cell>
          <cell r="E985">
            <v>29188695</v>
          </cell>
          <cell r="F985" t="str">
            <v>ESCOLA VISCONDE DE ITAPARICA</v>
          </cell>
        </row>
        <row r="986">
          <cell r="A986" t="str">
            <v>26</v>
          </cell>
          <cell r="C986">
            <v>1102348</v>
          </cell>
          <cell r="E986">
            <v>29186935</v>
          </cell>
          <cell r="F986" t="str">
            <v>COLEGIO ESTADUAL PADRE JOSE VASCONCELOS</v>
          </cell>
        </row>
        <row r="987">
          <cell r="A987" t="str">
            <v>26</v>
          </cell>
          <cell r="C987">
            <v>1178138</v>
          </cell>
          <cell r="E987">
            <v>29438934</v>
          </cell>
          <cell r="F987" t="str">
            <v>COLEGIO ESTADUAL MESTRE PAULO DOS ANJOS</v>
          </cell>
        </row>
        <row r="988">
          <cell r="A988" t="str">
            <v>26</v>
          </cell>
          <cell r="C988">
            <v>1141939</v>
          </cell>
          <cell r="E988">
            <v>29192293</v>
          </cell>
          <cell r="F988" t="str">
            <v>COLEGIO ESTADUAL HEITOR VILLA LOBOS</v>
          </cell>
        </row>
        <row r="989">
          <cell r="A989" t="str">
            <v>26</v>
          </cell>
          <cell r="C989">
            <v>1103751</v>
          </cell>
          <cell r="E989">
            <v>29182280</v>
          </cell>
          <cell r="F989" t="str">
            <v>COLEGIO ESTADUAL URSULA CATHARINO</v>
          </cell>
        </row>
        <row r="990">
          <cell r="A990" t="str">
            <v>26</v>
          </cell>
          <cell r="C990">
            <v>1176445</v>
          </cell>
          <cell r="E990">
            <v>29386543</v>
          </cell>
          <cell r="F990" t="str">
            <v>COLEGIO ESTADUAL PROFESSORA HELOISA COSTA</v>
          </cell>
        </row>
        <row r="991">
          <cell r="A991" t="str">
            <v>26</v>
          </cell>
          <cell r="C991">
            <v>1176810</v>
          </cell>
          <cell r="E991">
            <v>29411491</v>
          </cell>
          <cell r="F991" t="str">
            <v>COLEGIO ESTADUAL PROFESSORA MARIA BERNADETE BRANDAO</v>
          </cell>
        </row>
        <row r="992">
          <cell r="A992" t="str">
            <v>26</v>
          </cell>
          <cell r="C992">
            <v>1100485</v>
          </cell>
          <cell r="E992">
            <v>29192013</v>
          </cell>
          <cell r="F992" t="str">
            <v>COLEGIO ESTADUAL ANA BERNARDES</v>
          </cell>
        </row>
        <row r="993">
          <cell r="A993" t="str">
            <v>26</v>
          </cell>
          <cell r="C993">
            <v>1176800</v>
          </cell>
          <cell r="E993">
            <v>29404312</v>
          </cell>
          <cell r="F993" t="str">
            <v>ESCOLA ESTADUAL PROFESSOR GERMANO MACHADO NETO</v>
          </cell>
        </row>
        <row r="994">
          <cell r="A994" t="str">
            <v>26</v>
          </cell>
          <cell r="C994">
            <v>1101791</v>
          </cell>
          <cell r="E994">
            <v>29191637</v>
          </cell>
          <cell r="F994" t="str">
            <v>ESCOLA DONA JENNY GOMES</v>
          </cell>
        </row>
        <row r="995">
          <cell r="A995" t="str">
            <v>26</v>
          </cell>
          <cell r="C995">
            <v>1101520</v>
          </cell>
          <cell r="E995">
            <v>29188270</v>
          </cell>
          <cell r="F995" t="str">
            <v>COLEGIO ESTADUAL SANTA RITA DE CASSIA</v>
          </cell>
        </row>
        <row r="996">
          <cell r="A996" t="str">
            <v>26</v>
          </cell>
          <cell r="C996">
            <v>1179805</v>
          </cell>
          <cell r="E996">
            <v>44332</v>
          </cell>
          <cell r="F996" t="str">
            <v>COLEGIO ESTADUAL ANA NERY</v>
          </cell>
        </row>
        <row r="997">
          <cell r="A997" t="str">
            <v>26</v>
          </cell>
          <cell r="C997">
            <v>1176408</v>
          </cell>
          <cell r="E997">
            <v>29383528</v>
          </cell>
          <cell r="F997" t="str">
            <v>COLEGIO ESTADUAL DO CAMPO ANNA JUNQUEIRA AYRES TOURINHO</v>
          </cell>
        </row>
        <row r="998">
          <cell r="A998" t="str">
            <v>26</v>
          </cell>
          <cell r="C998">
            <v>1134851</v>
          </cell>
          <cell r="E998">
            <v>29200482</v>
          </cell>
          <cell r="F998" t="str">
            <v>COLEGIO ESTADUAL MARTINHO SALLES BRASIL</v>
          </cell>
        </row>
        <row r="999">
          <cell r="A999" t="str">
            <v>26</v>
          </cell>
          <cell r="C999">
            <v>1135190</v>
          </cell>
          <cell r="E999">
            <v>29160774</v>
          </cell>
          <cell r="F999" t="str">
            <v>COLEGIO POLIVALENTE MONSENHOR LUIZ FERREIRA DE BRITO</v>
          </cell>
        </row>
        <row r="1000">
          <cell r="A1000" t="str">
            <v>26</v>
          </cell>
          <cell r="C1000">
            <v>1176915</v>
          </cell>
          <cell r="E1000">
            <v>29410835</v>
          </cell>
          <cell r="F1000" t="str">
            <v>COLEGIO ESTADUAL DE TEMPO INTEGRAL JARDILINA DE SANTANA OLIVEIRA</v>
          </cell>
        </row>
        <row r="1001">
          <cell r="A1001" t="str">
            <v>26</v>
          </cell>
          <cell r="C1001">
            <v>1104723</v>
          </cell>
          <cell r="E1001">
            <v>29201373</v>
          </cell>
          <cell r="F1001" t="str">
            <v>COLEGIO ESTADUAL POLIVALENTE DE ARATU</v>
          </cell>
        </row>
        <row r="1002">
          <cell r="A1002" t="str">
            <v>26</v>
          </cell>
          <cell r="C1002">
            <v>1100930</v>
          </cell>
          <cell r="E1002">
            <v>29201527</v>
          </cell>
          <cell r="F1002" t="str">
            <v>COLEGIO ESTADUAL DOUTOR BERLINDO MAMEDE DE OLIVEIRA</v>
          </cell>
        </row>
        <row r="1003">
          <cell r="A1003" t="str">
            <v>26</v>
          </cell>
          <cell r="C1003">
            <v>1144520</v>
          </cell>
          <cell r="E1003">
            <v>29201020</v>
          </cell>
          <cell r="F1003" t="str">
            <v>CENTRO EDUCACIONAL SANTO ANTONIO</v>
          </cell>
        </row>
        <row r="1004">
          <cell r="A1004" t="str">
            <v>26</v>
          </cell>
          <cell r="C1004">
            <v>1176072</v>
          </cell>
          <cell r="E1004">
            <v>29201632</v>
          </cell>
          <cell r="F1004" t="str">
            <v>CENTRO ESTADUAL DE EDUC PROF EM SERVICOS E PROC IND IRMA DULCE</v>
          </cell>
        </row>
        <row r="1005">
          <cell r="A1005" t="str">
            <v>26</v>
          </cell>
          <cell r="C1005">
            <v>1103000</v>
          </cell>
          <cell r="E1005">
            <v>29201063</v>
          </cell>
          <cell r="F1005" t="str">
            <v>COLEGIO ESTADUAL REITOR MIGUEL CALMON</v>
          </cell>
        </row>
        <row r="1006">
          <cell r="A1006" t="str">
            <v>26</v>
          </cell>
          <cell r="C1006">
            <v>1100655</v>
          </cell>
          <cell r="E1006">
            <v>29201608</v>
          </cell>
          <cell r="F1006" t="str">
            <v>COLEGIO ESTADUAL DE ARATU</v>
          </cell>
        </row>
        <row r="1007">
          <cell r="A1007" t="str">
            <v>26</v>
          </cell>
          <cell r="C1007">
            <v>1177009</v>
          </cell>
          <cell r="E1007">
            <v>29404460</v>
          </cell>
          <cell r="F1007" t="str">
            <v>COLEGIO ESTADUAL MANOEL DE JESUS</v>
          </cell>
        </row>
        <row r="1008">
          <cell r="A1008" t="str">
            <v>26</v>
          </cell>
          <cell r="C1008">
            <v>1100159</v>
          </cell>
          <cell r="E1008">
            <v>29201390</v>
          </cell>
          <cell r="F1008" t="str">
            <v>COLEGIO ESTADUAL ALBERTO SILVA</v>
          </cell>
        </row>
        <row r="1009">
          <cell r="A1009" t="str">
            <v>26</v>
          </cell>
          <cell r="C1009">
            <v>1104928</v>
          </cell>
          <cell r="E1009">
            <v>29201535</v>
          </cell>
          <cell r="F1009" t="str">
            <v>COLEGIO ESTADUAL DOUTOR LUIZ VIANA FILHO</v>
          </cell>
        </row>
        <row r="1010">
          <cell r="A1010" t="str">
            <v>26</v>
          </cell>
          <cell r="C1010">
            <v>1103395</v>
          </cell>
          <cell r="E1010">
            <v>29201853</v>
          </cell>
          <cell r="F1010" t="str">
            <v>COLEGIO ESTADUAL REGINA SIMOES</v>
          </cell>
        </row>
        <row r="1011">
          <cell r="A1011" t="str">
            <v>26</v>
          </cell>
          <cell r="C1011">
            <v>1102410</v>
          </cell>
          <cell r="E1011">
            <v>29202493</v>
          </cell>
          <cell r="F1011" t="str">
            <v>COLEGIO ESTADUAL JURACY MAGALHAES JUNIOR</v>
          </cell>
        </row>
        <row r="1012">
          <cell r="A1012" t="str">
            <v>26</v>
          </cell>
          <cell r="C1012">
            <v>1178430</v>
          </cell>
          <cell r="E1012">
            <v>29862728</v>
          </cell>
          <cell r="F1012" t="str">
            <v>CENTRO ESTADUAL DE EDUCACAO PROFISSIONAL DO OCEANO</v>
          </cell>
        </row>
        <row r="1013">
          <cell r="A1013" t="str">
            <v>26</v>
          </cell>
          <cell r="C1013">
            <v>1102402</v>
          </cell>
          <cell r="E1013">
            <v>29202604</v>
          </cell>
          <cell r="F1013" t="str">
            <v>COLEGIO ESTADUAL DESEMBARGADOR JULIO VIRGINIO DE SANTANA</v>
          </cell>
        </row>
        <row r="1014">
          <cell r="A1014" t="str">
            <v>27</v>
          </cell>
          <cell r="C1014">
            <v>1112998</v>
          </cell>
          <cell r="E1014">
            <v>29294100</v>
          </cell>
          <cell r="F1014" t="str">
            <v>COLEGIO ESTADUAL DE TEMPO INTEGRAL DE BELMONTE</v>
          </cell>
        </row>
        <row r="1015">
          <cell r="A1015" t="str">
            <v>27</v>
          </cell>
          <cell r="C1015">
            <v>1178012</v>
          </cell>
          <cell r="E1015">
            <v>29428203</v>
          </cell>
          <cell r="F1015" t="str">
            <v>CENTRO TERRITORIAL DE EDUCACAO PROFISSIONAL DA COSTA DO DESCOBRIMENTO</v>
          </cell>
        </row>
        <row r="1016">
          <cell r="A1016" t="str">
            <v>27</v>
          </cell>
          <cell r="C1016">
            <v>1146167</v>
          </cell>
          <cell r="E1016">
            <v>29318220</v>
          </cell>
          <cell r="F1016" t="str">
            <v>COMPLEXO INTEGRADO DE EDUCACAO BASICA PROFISSIONAL E TECNOLOGIA</v>
          </cell>
        </row>
        <row r="1017">
          <cell r="A1017" t="str">
            <v>27</v>
          </cell>
          <cell r="C1017">
            <v>1146183</v>
          </cell>
          <cell r="E1017">
            <v>29318378</v>
          </cell>
          <cell r="F1017" t="str">
            <v>COLEGIO ESTADUAL ELOYNA BARRADAS</v>
          </cell>
        </row>
        <row r="1018">
          <cell r="A1018" t="str">
            <v>27</v>
          </cell>
          <cell r="C1018">
            <v>1146264</v>
          </cell>
          <cell r="E1018">
            <v>29319218</v>
          </cell>
          <cell r="F1018" t="str">
            <v>COLEGIO ESTADUAL BADEN POWELL</v>
          </cell>
        </row>
        <row r="1019">
          <cell r="A1019" t="str">
            <v>27</v>
          </cell>
          <cell r="C1019">
            <v>1112890</v>
          </cell>
          <cell r="E1019">
            <v>29319358</v>
          </cell>
          <cell r="F1019" t="str">
            <v>COLEGIO ESTADUAL JESUS MOURA</v>
          </cell>
        </row>
        <row r="1020">
          <cell r="A1020" t="str">
            <v>27</v>
          </cell>
          <cell r="C1020">
            <v>1170181</v>
          </cell>
          <cell r="E1020">
            <v>29320623</v>
          </cell>
          <cell r="F1020" t="str">
            <v>COLEGIO ESTADUAL DE TEMPO INTEGRAL PAULO FREIRE</v>
          </cell>
        </row>
        <row r="1021">
          <cell r="A1021" t="str">
            <v>27</v>
          </cell>
          <cell r="C1021">
            <v>1146493</v>
          </cell>
          <cell r="E1021">
            <v>29321298</v>
          </cell>
          <cell r="F1021" t="str">
            <v>COLEGIO ESTADUAL LOIDE ALCANTARA NEVES</v>
          </cell>
        </row>
        <row r="1022">
          <cell r="A1022" t="str">
            <v>27</v>
          </cell>
          <cell r="C1022">
            <v>1146523</v>
          </cell>
          <cell r="E1022">
            <v>29309638</v>
          </cell>
          <cell r="F1022" t="str">
            <v>COLEGIO ESTADUAL CLOVIS ADOLPHO STOLZE</v>
          </cell>
        </row>
        <row r="1023">
          <cell r="A1023" t="str">
            <v>27</v>
          </cell>
          <cell r="C1023">
            <v>1178043</v>
          </cell>
          <cell r="E1023">
            <v>29431450</v>
          </cell>
          <cell r="F1023" t="str">
            <v>COLEGIO ESTADUAL DE TRANCOSO</v>
          </cell>
        </row>
        <row r="1024">
          <cell r="A1024" t="str">
            <v>27</v>
          </cell>
          <cell r="C1024">
            <v>1178067</v>
          </cell>
          <cell r="E1024">
            <v>29428084</v>
          </cell>
          <cell r="F1024" t="str">
            <v>COLEGIO ESTADUAL ARRAIAL D AJUDA - CEAA</v>
          </cell>
        </row>
        <row r="1025">
          <cell r="A1025" t="str">
            <v>27</v>
          </cell>
          <cell r="C1025">
            <v>1178042</v>
          </cell>
          <cell r="E1025">
            <v>29428254</v>
          </cell>
          <cell r="F1025" t="str">
            <v>COLEGIO ESTADUAL DO CAMPO DOUTOR ERALDO TINOCO</v>
          </cell>
        </row>
        <row r="1026">
          <cell r="A1026" t="str">
            <v>27</v>
          </cell>
          <cell r="C1026">
            <v>1177093</v>
          </cell>
          <cell r="E1026">
            <v>29422345</v>
          </cell>
          <cell r="F1026" t="str">
            <v>COLEGIO ESTADUAL DE TEMPO INTEGRAL DE PORTO SEGURO</v>
          </cell>
        </row>
        <row r="1027">
          <cell r="A1027" t="str">
            <v>27</v>
          </cell>
          <cell r="C1027">
            <v>1141149</v>
          </cell>
          <cell r="E1027">
            <v>29326028</v>
          </cell>
          <cell r="F1027" t="str">
            <v>COMPLEXO INTEGRADO DE EDUC BASICA PROFIS E TECNOLOGICA DE PORTO SEGURO</v>
          </cell>
        </row>
        <row r="1028">
          <cell r="A1028">
            <v>27</v>
          </cell>
          <cell r="C1028">
            <v>1146434</v>
          </cell>
          <cell r="E1028">
            <v>29326320</v>
          </cell>
          <cell r="F1028" t="str">
            <v>CENTRO ESTADUAL DE EDUCACAO PROFISSIONAL 2 DE JULHO</v>
          </cell>
        </row>
        <row r="1029">
          <cell r="A1029">
            <v>27</v>
          </cell>
          <cell r="C1029">
            <v>1179818</v>
          </cell>
          <cell r="E1029">
            <v>44372</v>
          </cell>
          <cell r="F1029" t="str">
            <v>COLEGIO ESTADUAL INDIGENA PATAXO BARRA VELHA</v>
          </cell>
        </row>
        <row r="1030">
          <cell r="A1030" t="str">
            <v>27</v>
          </cell>
          <cell r="C1030">
            <v>1178401</v>
          </cell>
          <cell r="E1030">
            <v>29397707</v>
          </cell>
          <cell r="F1030" t="str">
            <v>COLEGIO ESTADUAL INDIGENA COROA VERMELHA</v>
          </cell>
        </row>
        <row r="1031">
          <cell r="A1031" t="str">
            <v>27</v>
          </cell>
          <cell r="C1031">
            <v>1178037</v>
          </cell>
          <cell r="E1031">
            <v>29428092</v>
          </cell>
          <cell r="F1031" t="str">
            <v>COLEGIO ESTADUAL PROFESSORA TEREZINHA SCARAMUSSA</v>
          </cell>
        </row>
        <row r="1032">
          <cell r="A1032">
            <v>2</v>
          </cell>
          <cell r="C1032">
            <v>1127596</v>
          </cell>
          <cell r="E1032">
            <v>29036160</v>
          </cell>
          <cell r="F1032" t="str">
            <v>COLEGIO ESTADUAL CRISTO REI  -  PARALISADA</v>
          </cell>
        </row>
        <row r="1033">
          <cell r="A1033">
            <v>4</v>
          </cell>
          <cell r="C1033">
            <v>1116535</v>
          </cell>
          <cell r="E1033">
            <v>29145805</v>
          </cell>
          <cell r="F1033" t="str">
            <v>CENTRO EDUCACIONAL 30 DE JUNHO - TEMPO INTEGRAL  -  PARALISADA</v>
          </cell>
        </row>
        <row r="1034">
          <cell r="A1034">
            <v>4</v>
          </cell>
          <cell r="C1034">
            <v>1114966</v>
          </cell>
          <cell r="E1034">
            <v>29124298</v>
          </cell>
          <cell r="F1034" t="str">
            <v>COLEGIO ESTADUAL GILDASIO PENEDO  -  PARALISADA</v>
          </cell>
        </row>
        <row r="1035">
          <cell r="A1035">
            <v>4</v>
          </cell>
          <cell r="C1035">
            <v>1170009</v>
          </cell>
          <cell r="E1035">
            <v>29139163</v>
          </cell>
          <cell r="F1035" t="str">
            <v>CENTRO ESTADUAL DE EDUCACAO PROFISSIONAL PROFESSORA LIDINA ESTRELA   -  PARALISADA</v>
          </cell>
        </row>
        <row r="1036">
          <cell r="A1036">
            <v>4</v>
          </cell>
          <cell r="C1036">
            <v>1107048</v>
          </cell>
          <cell r="E1036">
            <v>29139775</v>
          </cell>
          <cell r="F1036" t="str">
            <v>COLEGIO ESTADUAL LUIZ JULIO CARNEIRO  -  PARALISADA</v>
          </cell>
        </row>
        <row r="1037">
          <cell r="A1037">
            <v>4</v>
          </cell>
          <cell r="C1037">
            <v>1116349</v>
          </cell>
          <cell r="E1037">
            <v>29145317</v>
          </cell>
          <cell r="F1037" t="str">
            <v>COLEGIO ESTADUAL NECY NOVAES  -  PARALISADA</v>
          </cell>
        </row>
        <row r="1038">
          <cell r="A1038">
            <v>5</v>
          </cell>
          <cell r="C1038">
            <v>1111304</v>
          </cell>
          <cell r="E1038">
            <v>29302145</v>
          </cell>
          <cell r="F1038" t="str">
            <v>COLEGIO ESTADUAL ANTONIO SA PEREIRA - TEMPO INTEGRAL  -  EXTINTA</v>
          </cell>
        </row>
        <row r="1039">
          <cell r="A1039">
            <v>5</v>
          </cell>
          <cell r="C1039">
            <v>1138423</v>
          </cell>
          <cell r="E1039">
            <v>29301815</v>
          </cell>
          <cell r="F1039" t="str">
            <v>ESCOLA SANTA ANGELA  -  EXTINTA</v>
          </cell>
        </row>
        <row r="1040">
          <cell r="A1040">
            <v>5</v>
          </cell>
          <cell r="C1040">
            <v>1170564</v>
          </cell>
          <cell r="E1040">
            <v>29304350</v>
          </cell>
          <cell r="F1040" t="str">
            <v>COLEGIO ESTADUAL JOSUE BRANDAO  -  EXTINTA</v>
          </cell>
        </row>
        <row r="1041">
          <cell r="A1041">
            <v>5</v>
          </cell>
          <cell r="C1041">
            <v>1176441</v>
          </cell>
          <cell r="E1041">
            <v>29400360</v>
          </cell>
          <cell r="F1041" t="str">
            <v>COLEGIO ESTADUAL LUIS EDUARDO MAGALHAES  -  EXTINTA</v>
          </cell>
        </row>
        <row r="1042">
          <cell r="A1042">
            <v>5</v>
          </cell>
          <cell r="C1042">
            <v>1179115</v>
          </cell>
          <cell r="E1042">
            <v>29304431</v>
          </cell>
          <cell r="F1042" t="str">
            <v>COLEGIO ESTADUAL SESQUICENTENARIO - CISO  -  EXTINTA</v>
          </cell>
        </row>
        <row r="1043">
          <cell r="A1043">
            <v>5</v>
          </cell>
          <cell r="C1043">
            <v>1112238</v>
          </cell>
          <cell r="E1043">
            <v>29306159</v>
          </cell>
          <cell r="F1043" t="str">
            <v>ESCOLA ESTADUAL ANTONIO CARLOS MAGALHAES  -  EXTINTA</v>
          </cell>
        </row>
        <row r="1044">
          <cell r="A1044">
            <v>5</v>
          </cell>
          <cell r="C1044">
            <v>1141386</v>
          </cell>
          <cell r="E1044">
            <v>29304962</v>
          </cell>
          <cell r="F1044" t="str">
            <v>ESCOLA PADRE CARLOS SALERIO  -  EXTINTA</v>
          </cell>
        </row>
        <row r="1045">
          <cell r="A1045">
            <v>5</v>
          </cell>
          <cell r="C1045">
            <v>1170882</v>
          </cell>
          <cell r="E1045">
            <v>29301580</v>
          </cell>
          <cell r="F1045" t="str">
            <v>COLEGIO ESTADUAL PROFESSORA HORIZONTINA CONCEICAO  -  MUNICIPALIZADA</v>
          </cell>
        </row>
        <row r="1046">
          <cell r="A1046">
            <v>6</v>
          </cell>
          <cell r="C1046">
            <v>1176411</v>
          </cell>
          <cell r="E1046">
            <v>29383226</v>
          </cell>
          <cell r="F1046" t="str">
            <v>COLEGIO ESTADUAL JOAO LEONARDO DA SILVA  -  PARALISADA</v>
          </cell>
        </row>
        <row r="1047">
          <cell r="A1047">
            <v>7</v>
          </cell>
          <cell r="C1047">
            <v>1179114</v>
          </cell>
          <cell r="E1047">
            <v>29473349</v>
          </cell>
          <cell r="F1047" t="str">
            <v>COLEGIO ESTADUAL KARL MARX - ASSENT. 4045  -  EXTINTA</v>
          </cell>
        </row>
        <row r="1048">
          <cell r="A1048">
            <v>7</v>
          </cell>
          <cell r="C1048">
            <v>1179093</v>
          </cell>
          <cell r="E1048">
            <v>29450268</v>
          </cell>
          <cell r="F1048" t="str">
            <v>COLEGIO ESTADUAL DO CAMPO OZIEL ALVES PEREIRA ASSENTAMENTO BELA VISTA  -  EXTINTA</v>
          </cell>
        </row>
        <row r="1049">
          <cell r="A1049">
            <v>8</v>
          </cell>
          <cell r="C1049">
            <v>1118708</v>
          </cell>
          <cell r="E1049">
            <v>29282004</v>
          </cell>
          <cell r="F1049" t="str">
            <v>COLÉGIO ESTADUAL GILBERTO VIANA  -  EXTINTA</v>
          </cell>
        </row>
        <row r="1050">
          <cell r="A1050">
            <v>9</v>
          </cell>
          <cell r="C1050">
            <v>1117558</v>
          </cell>
          <cell r="E1050">
            <v>29226228</v>
          </cell>
          <cell r="F1050" t="str">
            <v>COLEGIO ESTADUAL DO CAMPO DONATO DI GREGORIO  -  PARALISADA</v>
          </cell>
        </row>
        <row r="1051">
          <cell r="A1051">
            <v>10</v>
          </cell>
          <cell r="C1051">
            <v>1119852</v>
          </cell>
          <cell r="E1051">
            <v>29019508</v>
          </cell>
          <cell r="F1051" t="str">
            <v>CENTRO ESTADUAL ANTONIO HONORATO  -  EXTINTA</v>
          </cell>
        </row>
        <row r="1052">
          <cell r="A1052">
            <v>10</v>
          </cell>
          <cell r="C1052">
            <v>1161581</v>
          </cell>
          <cell r="E1052">
            <v>29021677</v>
          </cell>
          <cell r="F1052" t="str">
            <v>COLEGIO ESTADUAL CONSELHEIRO LUIZ VIANA  -  MUNICIPALIZADA</v>
          </cell>
        </row>
        <row r="1053">
          <cell r="A1053">
            <v>10</v>
          </cell>
          <cell r="C1053">
            <v>1119860</v>
          </cell>
          <cell r="E1053">
            <v>29020476</v>
          </cell>
          <cell r="F1053" t="str">
            <v>COLEGIO ESTADUAL GETULIO VARGAS  -  MUNICIPALIZADA</v>
          </cell>
        </row>
        <row r="1054">
          <cell r="A1054">
            <v>10</v>
          </cell>
          <cell r="C1054">
            <v>1161140</v>
          </cell>
          <cell r="E1054">
            <v>29024927</v>
          </cell>
          <cell r="F1054" t="str">
            <v>COLEGIO ESTADUAL DOM AVELAR BRANDAO VILELA  -  MUNICIPALIZADA</v>
          </cell>
        </row>
        <row r="1055">
          <cell r="A1055">
            <v>10</v>
          </cell>
          <cell r="C1055">
            <v>1120567</v>
          </cell>
          <cell r="E1055">
            <v>29025087</v>
          </cell>
          <cell r="F1055" t="str">
            <v>COLEGIO ESTADUAL HELENA CELESTINO MAGALHAES - TEMPO INTEGRAL  -  MUNICIPALIZADA</v>
          </cell>
        </row>
        <row r="1056">
          <cell r="A1056">
            <v>11</v>
          </cell>
          <cell r="C1056">
            <v>1129904</v>
          </cell>
          <cell r="E1056">
            <v>29340373</v>
          </cell>
          <cell r="F1056" t="str">
            <v>COLEGIO ESTADUAL ANIBAL ALVES BARBOSA  -  EXTINTA</v>
          </cell>
        </row>
        <row r="1057">
          <cell r="A1057">
            <v>11</v>
          </cell>
          <cell r="C1057">
            <v>1129750</v>
          </cell>
          <cell r="E1057">
            <v>29001102</v>
          </cell>
          <cell r="F1057" t="str">
            <v>COLEGIO ESTADUAL JOSE DE CASTRO  -  EXTINTA</v>
          </cell>
        </row>
        <row r="1058">
          <cell r="A1058">
            <v>11</v>
          </cell>
          <cell r="C1058">
            <v>1130880</v>
          </cell>
          <cell r="E1058">
            <v>29004705</v>
          </cell>
          <cell r="F1058" t="str">
            <v>ESCOLA EST ANTONIO CARLOS MAGALHAES  -  EXTINTA</v>
          </cell>
        </row>
        <row r="1059">
          <cell r="A1059">
            <v>13</v>
          </cell>
          <cell r="C1059">
            <v>1124520</v>
          </cell>
          <cell r="E1059">
            <v>29237653</v>
          </cell>
          <cell r="F1059" t="str">
            <v>COLEGIO ESTADUAL EDIVALDO MACHADO BOAVENTURA  -  EXTINTA</v>
          </cell>
        </row>
        <row r="1060">
          <cell r="A1060">
            <v>14</v>
          </cell>
          <cell r="C1060">
            <v>1123094</v>
          </cell>
          <cell r="E1060">
            <v>29076293</v>
          </cell>
          <cell r="F1060" t="str">
            <v>COLEGIO ESTADUAL ALMIRANTE BARROSO  -  PARALISADA</v>
          </cell>
        </row>
        <row r="1061">
          <cell r="A1061">
            <v>15</v>
          </cell>
          <cell r="C1061">
            <v>1122756</v>
          </cell>
          <cell r="E1061">
            <v>29080967</v>
          </cell>
          <cell r="F1061" t="str">
            <v>COLEGIO ESTADUAL DE BAIXA GRANDE - TEMPO INTEGRAL  -  EXTINTA</v>
          </cell>
        </row>
        <row r="1062">
          <cell r="A1062">
            <v>15</v>
          </cell>
          <cell r="C1062">
            <v>1138148</v>
          </cell>
          <cell r="E1062">
            <v>29144094</v>
          </cell>
          <cell r="F1062" t="str">
            <v>COLEGIO ESTADUAL PROFESSORA MARIA JOSE DE LIMA SILVEIRA - DIST. VILA APARECIDA  -  PARALISADA</v>
          </cell>
        </row>
        <row r="1063">
          <cell r="A1063">
            <v>16</v>
          </cell>
          <cell r="C1063">
            <v>1121954</v>
          </cell>
          <cell r="E1063">
            <v>29071453</v>
          </cell>
          <cell r="F1063" t="str">
            <v>ESCOLA ESTADUAL PADRE ALFREDO HAASLER  -  PARALISADA</v>
          </cell>
        </row>
        <row r="1064">
          <cell r="A1064">
            <v>18</v>
          </cell>
          <cell r="C1064">
            <v>1108770</v>
          </cell>
          <cell r="E1064">
            <v>29159237</v>
          </cell>
          <cell r="F1064" t="str">
            <v>COLEGIO ESTADUAL DOUTOR LUIZ VIANA FILHO - DIST. DE PAU LAVRADO  -  PARALISADA</v>
          </cell>
        </row>
        <row r="1065">
          <cell r="A1065">
            <v>18</v>
          </cell>
          <cell r="C1065">
            <v>1108540</v>
          </cell>
          <cell r="E1065">
            <v>29156912</v>
          </cell>
          <cell r="F1065" t="str">
            <v>COLEGIO DOMINGOS LEAO VELOSO  -  PARALISADA</v>
          </cell>
        </row>
        <row r="1066">
          <cell r="A1066">
            <v>18</v>
          </cell>
          <cell r="C1066">
            <v>1108338</v>
          </cell>
          <cell r="E1066">
            <v>29153271</v>
          </cell>
          <cell r="F1066" t="str">
            <v>COLEGIO ESTADUAL DOUTOR MARIO COSTA FILHO  -  PARALISADA</v>
          </cell>
        </row>
        <row r="1067">
          <cell r="A1067">
            <v>19</v>
          </cell>
          <cell r="C1067">
            <v>1178239</v>
          </cell>
          <cell r="E1067">
            <v>29443814</v>
          </cell>
          <cell r="F1067" t="str">
            <v>EDUCANDARIO IMACULADO CORACAO DE MARIA  -  PARALISADA</v>
          </cell>
        </row>
        <row r="1068">
          <cell r="A1068">
            <v>19</v>
          </cell>
          <cell r="C1068">
            <v>1179201</v>
          </cell>
          <cell r="E1068">
            <v>29450241</v>
          </cell>
          <cell r="F1068" t="str">
            <v>COLEGIO ESTADUAL DO CAMPO SAO BENTO DE INHATA  -  EXTINTA</v>
          </cell>
        </row>
        <row r="1069">
          <cell r="A1069">
            <v>19</v>
          </cell>
          <cell r="C1069">
            <v>1105770</v>
          </cell>
          <cell r="E1069">
            <v>29094747</v>
          </cell>
          <cell r="F1069" t="str">
            <v>COLEGIO ESTADUAL PROFESSORA CELITA FRANCA DA SILVA  -  EXTINTA</v>
          </cell>
        </row>
        <row r="1070">
          <cell r="A1070">
            <v>20</v>
          </cell>
          <cell r="C1070">
            <v>1125348</v>
          </cell>
          <cell r="E1070">
            <v>29278090</v>
          </cell>
          <cell r="F1070" t="str">
            <v>COLEGIO ESTADUAL DOUTOR ORLANDO LEITE  -  PARALISADA</v>
          </cell>
        </row>
        <row r="1071">
          <cell r="A1071">
            <v>20</v>
          </cell>
          <cell r="C1071">
            <v>1125402</v>
          </cell>
          <cell r="E1071">
            <v>29279879</v>
          </cell>
          <cell r="F1071" t="str">
            <v>ESCOLA ESTADUAL SAO JOAO BATISTA  -  PARALISADA</v>
          </cell>
        </row>
        <row r="1072">
          <cell r="A1072">
            <v>20</v>
          </cell>
          <cell r="C1072">
            <v>1165366</v>
          </cell>
          <cell r="E1072">
            <v>29277817</v>
          </cell>
          <cell r="F1072" t="str">
            <v>COLEGIO ESTADUAL VILAS BOAS MOREIRA  -  PARALISADA</v>
          </cell>
        </row>
        <row r="1073">
          <cell r="A1073">
            <v>21</v>
          </cell>
          <cell r="C1073">
            <v>1133340</v>
          </cell>
          <cell r="E1073">
            <v>29162726</v>
          </cell>
          <cell r="F1073" t="str">
            <v>COLEGIO ESTADUAL ANTONIO JOAQUIM CORREIA - POV. DE CAPOEIRUCU  -  PARALISADA</v>
          </cell>
        </row>
        <row r="1074">
          <cell r="A1074">
            <v>21</v>
          </cell>
          <cell r="C1074">
            <v>1176452</v>
          </cell>
          <cell r="E1074">
            <v>29400350</v>
          </cell>
          <cell r="F1074" t="str">
            <v xml:space="preserve"> COLEGIO ESTADUAL RENATO MACHADO   -  PARALISADA</v>
          </cell>
        </row>
        <row r="1075">
          <cell r="A1075">
            <v>22</v>
          </cell>
          <cell r="C1075">
            <v>1117876</v>
          </cell>
          <cell r="E1075">
            <v>29227933</v>
          </cell>
          <cell r="F1075" t="str">
            <v>COLEGIO ESTADUAL MARIA JOSE DE LIMA SILVEIRA  -  PARALISADA</v>
          </cell>
        </row>
        <row r="1076">
          <cell r="A1076">
            <v>26</v>
          </cell>
          <cell r="C1076">
            <v>1176062</v>
          </cell>
          <cell r="E1076">
            <v>29182220</v>
          </cell>
          <cell r="F1076" t="str">
            <v>COLEGIO ESTADUAL ODORICO TAVARES - TEMPO INTEGRAL  -  PARALISADA</v>
          </cell>
        </row>
        <row r="1077">
          <cell r="A1077">
            <v>26</v>
          </cell>
          <cell r="C1077">
            <v>1103956</v>
          </cell>
          <cell r="E1077">
            <v>29192145</v>
          </cell>
          <cell r="F1077" t="str">
            <v>COLEGIO ESTADUAL RUY BARBOSA - TEMPO INTEGRAL  -  PARALISADA</v>
          </cell>
        </row>
        <row r="1078">
          <cell r="A1078">
            <v>27</v>
          </cell>
          <cell r="C1078">
            <v>1146361</v>
          </cell>
          <cell r="E1078">
            <v>29318661</v>
          </cell>
          <cell r="F1078" t="str">
            <v>COLEGIO ESTADUAL ARMANDO RIBEIRO CARNEIRO  -  EXTINTA</v>
          </cell>
        </row>
        <row r="1079">
          <cell r="A1079">
            <v>14</v>
          </cell>
          <cell r="C1079">
            <v>1123400</v>
          </cell>
          <cell r="E1079">
            <v>29083524</v>
          </cell>
          <cell r="F1079" t="str">
            <v>COLEGIO ESTADUAL LIBERDADE   -  PARALISADA</v>
          </cell>
        </row>
        <row r="1080">
          <cell r="A1080">
            <v>26</v>
          </cell>
          <cell r="C1080">
            <v>1101724</v>
          </cell>
          <cell r="E1080">
            <v>29192684</v>
          </cell>
          <cell r="F1080" t="str">
            <v>COLEGIO ESTADUAL PRESIDENTE GETULIO VARGAS  -  PARALISADA</v>
          </cell>
        </row>
        <row r="1081">
          <cell r="A1081">
            <v>26</v>
          </cell>
          <cell r="C1081">
            <v>1178008</v>
          </cell>
          <cell r="E1081">
            <v>29422337</v>
          </cell>
          <cell r="F1081" t="str">
            <v>ESCOLA ESTADUAL ROTARY  -  PARALISADA</v>
          </cell>
        </row>
        <row r="1082">
          <cell r="A1082">
            <v>26</v>
          </cell>
          <cell r="C1082">
            <v>1176620</v>
          </cell>
          <cell r="E1082">
            <v>29404320</v>
          </cell>
          <cell r="F1082" t="str">
            <v>COLEGIO ESTADUAL PROFESSOR FELIPE BUSQUET ANGLADA - EXTINTA</v>
          </cell>
        </row>
        <row r="1083">
          <cell r="A1083">
            <v>20</v>
          </cell>
          <cell r="C1083">
            <v>1125798</v>
          </cell>
          <cell r="E1083">
            <v>29279836</v>
          </cell>
          <cell r="F1083" t="str">
            <v>COLEGIO ESTADUAL FERNANDO SPINOLA   -  PARALISADA</v>
          </cell>
        </row>
        <row r="1084">
          <cell r="A1084">
            <v>5</v>
          </cell>
          <cell r="C1084">
            <v>1111355</v>
          </cell>
          <cell r="E1084">
            <v>29297141</v>
          </cell>
          <cell r="F1084" t="str">
            <v>ESCOLA ESTADUAL 15 DE OUTUBRO  -  PARALISADA</v>
          </cell>
        </row>
        <row r="1085">
          <cell r="A1085">
            <v>5</v>
          </cell>
          <cell r="C1085">
            <v>1178041</v>
          </cell>
          <cell r="E1085">
            <v>29423813</v>
          </cell>
          <cell r="F1085" t="str">
            <v>COLEGIO ESTADUAL DE INEMA - DISTRITO DE INEMA  -  PARALISADA</v>
          </cell>
        </row>
        <row r="1086">
          <cell r="A1086">
            <v>5</v>
          </cell>
          <cell r="C1086">
            <v>1159307</v>
          </cell>
          <cell r="E1086">
            <v>29305381</v>
          </cell>
          <cell r="F1086" t="str">
            <v>ESCOLA ESTADUAL ARMANDO FREIRE  -  PARALISADA</v>
          </cell>
        </row>
        <row r="1087">
          <cell r="A1087">
            <v>5</v>
          </cell>
          <cell r="C1087">
            <v>1179206</v>
          </cell>
          <cell r="E1087">
            <v>29453100</v>
          </cell>
          <cell r="F1087" t="str">
            <v>COLEGIO ESTADUAL DE PALMIRA - DISTRITO DE PALMIRA   -  PARALISADA</v>
          </cell>
        </row>
        <row r="1088">
          <cell r="A1088">
            <v>22</v>
          </cell>
          <cell r="C1088">
            <v>1119550</v>
          </cell>
          <cell r="E1088">
            <v>29230608</v>
          </cell>
          <cell r="F1088" t="str">
            <v>COLEGIO ESTADUAL DE JITAUNA - ANTIGA UEE VALMIR OLIVEIRA GOMES  -  PARALISADA</v>
          </cell>
        </row>
        <row r="1089">
          <cell r="A1089">
            <v>6</v>
          </cell>
          <cell r="C1089">
            <v>1110847</v>
          </cell>
          <cell r="E1089">
            <v>29290228</v>
          </cell>
          <cell r="F1089" t="str">
            <v>COLEGIO ESTADUAL ANTONIO BALBINO  -  MUNICIPALIZADA</v>
          </cell>
        </row>
        <row r="1090">
          <cell r="A1090">
            <v>25</v>
          </cell>
          <cell r="C1090">
            <v>1119747</v>
          </cell>
          <cell r="E1090">
            <v>29050863</v>
          </cell>
          <cell r="F1090" t="str">
            <v>COLEGIO ESTADUAL JOSE DA SILVA MARQUES  -  PARALISADA</v>
          </cell>
        </row>
        <row r="1091">
          <cell r="A1091">
            <v>26</v>
          </cell>
          <cell r="C1091">
            <v>1102682</v>
          </cell>
          <cell r="E1091">
            <v>29191017</v>
          </cell>
          <cell r="F1091" t="str">
            <v>COLEGIO ESTADUAL MANOEL VITORINO - TEMPO INTEGRAL  -  PARALISADA</v>
          </cell>
        </row>
        <row r="1092">
          <cell r="A1092">
            <v>5</v>
          </cell>
          <cell r="C1092">
            <v>1158734</v>
          </cell>
          <cell r="E1092">
            <v>29308925</v>
          </cell>
          <cell r="F1092" t="str">
            <v>ESCOLA ESTADUAL DOUTOR LUIZ VIANA FILHO  -  PARALISADA</v>
          </cell>
        </row>
        <row r="1093">
          <cell r="A1093">
            <v>7</v>
          </cell>
          <cell r="C1093">
            <v>1178174</v>
          </cell>
          <cell r="E1093">
            <v>29324750</v>
          </cell>
          <cell r="F1093" t="str">
            <v>COLEGIO ESTADUAL ANTONIO ALVES DOS SANTOS  - DISTRITO NOVA LIDICE  -  EXTINTA</v>
          </cell>
        </row>
        <row r="1094">
          <cell r="A1094">
            <v>2</v>
          </cell>
          <cell r="C1094">
            <v>1131712</v>
          </cell>
          <cell r="E1094">
            <v>29042860</v>
          </cell>
          <cell r="F1094" t="str">
            <v>COLEGIO ESTADUAL SAO VICENTE DE PAULO  -  PARALISADA</v>
          </cell>
        </row>
        <row r="1095">
          <cell r="A1095">
            <v>5</v>
          </cell>
          <cell r="C1095">
            <v>1111169</v>
          </cell>
          <cell r="E1095">
            <v>29302226</v>
          </cell>
          <cell r="F1095" t="str">
            <v>COLEGIO ESTADUAL ESTADO DO CEARA  -  EXTINTA</v>
          </cell>
        </row>
        <row r="1096">
          <cell r="A1096">
            <v>13</v>
          </cell>
          <cell r="C1096">
            <v>1129211</v>
          </cell>
          <cell r="E1096">
            <v>29244633</v>
          </cell>
          <cell r="F1096" t="str">
            <v>COLEGIO ESTADUAL IDALICE NUNES - PARALISADA</v>
          </cell>
        </row>
        <row r="1097">
          <cell r="A1097">
            <v>25</v>
          </cell>
          <cell r="C1097">
            <v>1176099</v>
          </cell>
          <cell r="E1097">
            <v>29048605</v>
          </cell>
          <cell r="F1097" t="str">
            <v>COLÉGIO ESTADUAL LUZIA DE FREITAS E SILVA - PARALISADA</v>
          </cell>
        </row>
        <row r="1098">
          <cell r="A1098">
            <v>27</v>
          </cell>
          <cell r="C1098">
            <v>1146426</v>
          </cell>
          <cell r="E1098">
            <v>29326001</v>
          </cell>
          <cell r="F1098" t="str">
            <v>COLEGIO ESTADUAL DOUTOR ANTONIO RICALDI - PARALISADA</v>
          </cell>
        </row>
        <row r="1099">
          <cell r="A1099">
            <v>19</v>
          </cell>
          <cell r="C1099">
            <v>1105657</v>
          </cell>
          <cell r="E1099">
            <v>29093333</v>
          </cell>
          <cell r="F1099" t="str">
            <v>COLEGIO ESTADUAL AGOSTINHO FROES DA MOTA - MUNICIPALIZADA</v>
          </cell>
        </row>
        <row r="1100">
          <cell r="A1100">
            <v>19</v>
          </cell>
          <cell r="C1100">
            <v>1105789</v>
          </cell>
          <cell r="E1100">
            <v>29096898</v>
          </cell>
          <cell r="F1100" t="str">
            <v>COLEGIO ESTADUAL EDELVIRA D OLIVEIRA - MUNICIPALIZADA</v>
          </cell>
        </row>
        <row r="1101">
          <cell r="A1101">
            <v>19</v>
          </cell>
          <cell r="C1101">
            <v>1105967</v>
          </cell>
          <cell r="E1101">
            <v>29093880</v>
          </cell>
          <cell r="F1101" t="str">
            <v>ESCOLA ESTADUAL DOUTOR GAMALIEL - MUNICIPALIZADA</v>
          </cell>
        </row>
        <row r="1102">
          <cell r="A1102">
            <v>19</v>
          </cell>
          <cell r="C1102">
            <v>1105983</v>
          </cell>
          <cell r="E1102">
            <v>29094348</v>
          </cell>
          <cell r="F1102" t="str">
            <v>ESCOLA ESTADUAL FABIOLA VITAL - MUNICIPALIZADA</v>
          </cell>
        </row>
        <row r="1103">
          <cell r="A1103">
            <v>19</v>
          </cell>
          <cell r="C1103">
            <v>1106734</v>
          </cell>
          <cell r="E1103">
            <v>29094402</v>
          </cell>
          <cell r="F1103" t="str">
            <v>ESCOLA ESTADUAL SAO JOAO DA ESCOCIA -MUNICIPALIZADA</v>
          </cell>
        </row>
        <row r="1104">
          <cell r="A1104">
            <v>19</v>
          </cell>
          <cell r="C1104">
            <v>1106629</v>
          </cell>
          <cell r="E1104">
            <v>29094780</v>
          </cell>
          <cell r="F1104" t="str">
            <v>ESCOLA REVERENDO SEVERINO SOARES - MUNICIPALIZADA</v>
          </cell>
        </row>
        <row r="1105">
          <cell r="A1105">
            <v>5</v>
          </cell>
          <cell r="C1105">
            <v>1112106</v>
          </cell>
          <cell r="E1105">
            <v>29299977</v>
          </cell>
          <cell r="F1105" t="str">
            <v>ESCOLA ESTADUAL EDUARDO SPINOLA - PARALISADA</v>
          </cell>
        </row>
        <row r="1106">
          <cell r="A1106">
            <v>5</v>
          </cell>
          <cell r="C1106">
            <v>1112114</v>
          </cell>
          <cell r="E1106">
            <v>29304342</v>
          </cell>
          <cell r="F1106" t="str">
            <v>COLEGIO ESTADUAL DE ITABUNA - TEMPO INTEGRAL - EXTINTA</v>
          </cell>
        </row>
        <row r="1107">
          <cell r="A1107">
            <v>26</v>
          </cell>
          <cell r="C1107">
            <v>1178141</v>
          </cell>
          <cell r="E1107">
            <v>29445191</v>
          </cell>
          <cell r="F1107" t="str">
            <v>COLEGIO PROFESSOR DASIO JOSE DE SOUZA -PARALISADA</v>
          </cell>
        </row>
        <row r="1108">
          <cell r="A1108">
            <v>26</v>
          </cell>
          <cell r="C1108">
            <v>1176064</v>
          </cell>
          <cell r="E1108">
            <v>29200032</v>
          </cell>
          <cell r="F1108" t="str">
            <v>COLEGIO ESTADUAL PROFESSORA ANGELITA MORENO - PARALISADA</v>
          </cell>
        </row>
        <row r="1109">
          <cell r="A1109">
            <v>5</v>
          </cell>
          <cell r="C1109">
            <v>1179459</v>
          </cell>
          <cell r="E1109">
            <v>29468418</v>
          </cell>
          <cell r="F1109" t="str">
            <v>CENTRO JUVENIL DE CIENCIA E CULTURA-CJCC ITABUNA -EXTINTA</v>
          </cell>
        </row>
        <row r="1110">
          <cell r="A1110">
            <v>4</v>
          </cell>
          <cell r="C1110">
            <v>1115644</v>
          </cell>
          <cell r="E1110">
            <v>29138043</v>
          </cell>
          <cell r="F1110" t="str">
            <v>COLEGIO ESTADUAL ANTONIO BAHIA - PARALISADA</v>
          </cell>
        </row>
        <row r="1111">
          <cell r="A1111">
            <v>21</v>
          </cell>
          <cell r="C1111">
            <v>1109644</v>
          </cell>
          <cell r="E1111">
            <v>29171792</v>
          </cell>
          <cell r="F1111" t="str">
            <v>COLEGIO ESTADUAL LUIZ VIANA FILHO - PARALISADA</v>
          </cell>
        </row>
        <row r="1112">
          <cell r="A1112">
            <v>3</v>
          </cell>
          <cell r="C1112">
            <v>1132883</v>
          </cell>
          <cell r="E1112">
            <v>29220220</v>
          </cell>
          <cell r="F1112" t="str">
            <v>COLEGIO ESTADUAL PROFESSORA IVANDA MIRANDA DE SOUZA - MUNICIPALIZADA</v>
          </cell>
        </row>
        <row r="1113">
          <cell r="A1113">
            <v>26</v>
          </cell>
          <cell r="C1113">
            <v>1176825</v>
          </cell>
          <cell r="E1113">
            <v>29427428</v>
          </cell>
          <cell r="F1113" t="str">
            <v>COLEGIO ESTADUAL DE PAU DA LIMA - PARALISADA</v>
          </cell>
        </row>
        <row r="1114">
          <cell r="A1114">
            <v>5</v>
          </cell>
          <cell r="C1114">
            <v>1159820</v>
          </cell>
          <cell r="E1114">
            <v>29302340</v>
          </cell>
          <cell r="F1114" t="str">
            <v>COLEGIO ESTADUAL ROTARY RENATO LEITE DA SILVEIRA - PARALISADA</v>
          </cell>
        </row>
        <row r="1115">
          <cell r="A1115">
            <v>26</v>
          </cell>
          <cell r="C1115">
            <v>1102895</v>
          </cell>
          <cell r="E1115">
            <v>29181119</v>
          </cell>
          <cell r="F1115" t="str">
            <v>COLEGIO ESTADUAL LUIZ TARQUINIO - TEMPO INTEGRAL - PARALISADA</v>
          </cell>
        </row>
        <row r="1116">
          <cell r="A1116">
            <v>23</v>
          </cell>
          <cell r="C1116">
            <v>1132077</v>
          </cell>
          <cell r="E1116">
            <v>29016207</v>
          </cell>
          <cell r="F1116" t="str">
            <v>COLEGIO ESTADUAL DOM JOAO MUNIZ - PARALISADA</v>
          </cell>
        </row>
        <row r="1117">
          <cell r="A1117">
            <v>4</v>
          </cell>
          <cell r="C1117">
            <v>1115750</v>
          </cell>
          <cell r="E1117">
            <v>29138434</v>
          </cell>
          <cell r="F1117" t="str">
            <v>COLEGIO ESTADUAL JOAO CARNEIRO - PARALISADA</v>
          </cell>
        </row>
        <row r="1118">
          <cell r="A1118">
            <v>15</v>
          </cell>
          <cell r="C1118">
            <v>1162219</v>
          </cell>
          <cell r="E1118">
            <v>29070317</v>
          </cell>
          <cell r="F1118" t="str">
            <v>COLEGIO ESTADUAL EDNA MOREIRA PINTO DALTRO - PARALISADA</v>
          </cell>
        </row>
        <row r="1119">
          <cell r="A1119">
            <v>19</v>
          </cell>
          <cell r="C1119">
            <v>1105410</v>
          </cell>
          <cell r="E1119">
            <v>29157722</v>
          </cell>
          <cell r="F1119" t="str">
            <v>COLEGIO ESTADUAL LUIZ NAVARRO DE BRITO - PARALISADA</v>
          </cell>
        </row>
        <row r="1120">
          <cell r="A1120">
            <v>20</v>
          </cell>
          <cell r="C1120">
            <v>1125313</v>
          </cell>
          <cell r="E1120">
            <v>29277680</v>
          </cell>
          <cell r="F1120" t="str">
            <v>CENTRO INTEGRADO DE EDUCACAO LUIZ NAVARRO DE BRITO - PARALISADA</v>
          </cell>
        </row>
        <row r="1121">
          <cell r="A1121">
            <v>26</v>
          </cell>
          <cell r="C1121">
            <v>1103409</v>
          </cell>
          <cell r="E1121">
            <v>29192129</v>
          </cell>
          <cell r="F1121" t="str">
            <v>COLEGIO ESTADUAL BOLIVAR SANTANA - PARALISADA</v>
          </cell>
        </row>
        <row r="1122">
          <cell r="A1122">
            <v>26</v>
          </cell>
          <cell r="C1122">
            <v>1176750</v>
          </cell>
          <cell r="E1122">
            <v>29404762</v>
          </cell>
          <cell r="F1122" t="str">
            <v>COLEGIO ESTADUAL 15 DE NOVEMBRO - PARALISADA</v>
          </cell>
        </row>
        <row r="1123">
          <cell r="A1123">
            <v>26</v>
          </cell>
          <cell r="C1123">
            <v>1177008</v>
          </cell>
          <cell r="E1123">
            <v>29404215</v>
          </cell>
          <cell r="F1123" t="str">
            <v>COLEGIO ESTADUAL CIDADE DE CAMACARI PARALISADA</v>
          </cell>
        </row>
        <row r="1124">
          <cell r="A1124">
            <v>15</v>
          </cell>
          <cell r="C1124">
            <v>1176409</v>
          </cell>
          <cell r="E1124">
            <v>29370515</v>
          </cell>
          <cell r="F1124" t="str">
            <v>COLEGIO ESTADUAL MONSENHOR ALCIDES CARDOSO PARALISADA</v>
          </cell>
        </row>
        <row r="1125">
          <cell r="A1125">
            <v>25</v>
          </cell>
          <cell r="C1125">
            <v>1120273</v>
          </cell>
          <cell r="E1125">
            <v>29053536</v>
          </cell>
          <cell r="F1125" t="str">
            <v>COLEGIO ESTADUAL WALTER BRANDAO PARALISADA</v>
          </cell>
        </row>
        <row r="1126">
          <cell r="A1126">
            <v>5</v>
          </cell>
          <cell r="C1126">
            <v>1179711</v>
          </cell>
          <cell r="E1126">
            <v>43768</v>
          </cell>
          <cell r="F1126" t="str">
            <v>COLEGIO ESTADUAL PROF CARLOS ROBERTO ARLEO BARBOSA PARALISADA</v>
          </cell>
        </row>
        <row r="1127">
          <cell r="A1127">
            <v>19</v>
          </cell>
          <cell r="C1127">
            <v>1105843</v>
          </cell>
          <cell r="E1127">
            <v>29094976</v>
          </cell>
          <cell r="F1127" t="str">
            <v>COLÉGIO ESTADUAL CORIOLANO CARVALHO MUNICIPALIZADA</v>
          </cell>
        </row>
        <row r="1128">
          <cell r="A1128">
            <v>19</v>
          </cell>
          <cell r="C1128">
            <v>1106327</v>
          </cell>
          <cell r="E1128">
            <v>29094429</v>
          </cell>
          <cell r="F1128" t="str">
            <v>COLÉGIO ESTADUAL JOÃO BARBOSA DE CARVALHO MUNICIPALIZADA</v>
          </cell>
        </row>
        <row r="1129">
          <cell r="A1129">
            <v>19</v>
          </cell>
          <cell r="C1129">
            <v>1106750</v>
          </cell>
          <cell r="E1129">
            <v>29094437</v>
          </cell>
          <cell r="F1129" t="str">
            <v>COLÉGIO ESTADUAL JOÃO DURVAL CARNEIRO MUNICIPALIZADA</v>
          </cell>
        </row>
        <row r="1130">
          <cell r="A1130">
            <v>19</v>
          </cell>
          <cell r="C1130">
            <v>1106181</v>
          </cell>
          <cell r="E1130">
            <v>29094763</v>
          </cell>
          <cell r="F1130" t="str">
            <v>COLÉGIO ESTADUAL REITOR EDGAR SANTOS MUNICIPALIZADA</v>
          </cell>
        </row>
        <row r="1131">
          <cell r="A1131">
            <v>4</v>
          </cell>
          <cell r="C1131">
            <v>1114974</v>
          </cell>
          <cell r="E1131">
            <v>29124425</v>
          </cell>
          <cell r="F1131" t="str">
            <v>COLEGIO ESTADUAL HERACLIDES MARTINS DE ANDRADE PARALISADA</v>
          </cell>
        </row>
        <row r="1132">
          <cell r="A1132">
            <v>23</v>
          </cell>
          <cell r="C1132">
            <v>1132018</v>
          </cell>
          <cell r="E1132">
            <v>29014239</v>
          </cell>
          <cell r="F1132" t="str">
            <v>CENTRO ESTADUAL DE EDUCACAO SANTA MARIENSE - PARALISADA</v>
          </cell>
        </row>
        <row r="1133">
          <cell r="A1133">
            <v>20</v>
          </cell>
          <cell r="C1133">
            <v>1125453</v>
          </cell>
          <cell r="E1133">
            <v>29277736</v>
          </cell>
          <cell r="F1133" t="str">
            <v>CENTRO ESTADUAL DE EDUCACAO PROFISSIONAL EM SAUDE ADELIA TEIXEIRA - PARALISADA</v>
          </cell>
        </row>
        <row r="1134">
          <cell r="A1134">
            <v>15</v>
          </cell>
          <cell r="C1134">
            <v>1135807</v>
          </cell>
          <cell r="E1134">
            <v>29137144</v>
          </cell>
          <cell r="F1134" t="str">
            <v>COLEGIO JOAQUIM MACHADO</v>
          </cell>
        </row>
        <row r="1135">
          <cell r="A1135">
            <v>25</v>
          </cell>
          <cell r="C1135">
            <v>1178039</v>
          </cell>
          <cell r="E1135">
            <v>29426618</v>
          </cell>
          <cell r="F1135" t="str">
            <v>COL EST DO CAMPO CARLOS HUMBERTO DE MIRANDA PEREIRA MELLO - PARALISADA</v>
          </cell>
        </row>
        <row r="1136">
          <cell r="A1136" t="str">
            <v>10</v>
          </cell>
          <cell r="C1136">
            <v>1176317</v>
          </cell>
          <cell r="E1136">
            <v>29361877</v>
          </cell>
          <cell r="F1136" t="str">
            <v>COLÉGIO ESTADUAL MANOEL NOVAES - TEMPO INTEGRAL</v>
          </cell>
        </row>
        <row r="1137">
          <cell r="A1137" t="str">
            <v>26</v>
          </cell>
          <cell r="C1137">
            <v>1101848</v>
          </cell>
          <cell r="E1137">
            <v>29191513</v>
          </cell>
          <cell r="F1137" t="str">
            <v>ESCOLA JESUS CRISTO</v>
          </cell>
        </row>
        <row r="1138">
          <cell r="A1138">
            <v>27</v>
          </cell>
          <cell r="C1138">
            <v>1146175</v>
          </cell>
          <cell r="E1138">
            <v>29318246</v>
          </cell>
          <cell r="F1138" t="str">
            <v>COLEGIO ESTADUAL PROFESSOR JAIRO ALVES PEREIRA</v>
          </cell>
        </row>
        <row r="1139">
          <cell r="A1139">
            <v>3</v>
          </cell>
          <cell r="C1139">
            <v>1123981</v>
          </cell>
          <cell r="E1139">
            <v>29256348</v>
          </cell>
          <cell r="F1139" t="str">
            <v>COLEGIO ESTADUAL GETUALIO VARGAS</v>
          </cell>
        </row>
        <row r="1140">
          <cell r="A1140" t="str">
            <v>02</v>
          </cell>
          <cell r="C1140">
            <v>1131356</v>
          </cell>
          <cell r="E1140">
            <v>29045479</v>
          </cell>
          <cell r="F1140" t="str">
            <v>COLÉGIO ESTADUAL PROFESSORA IRENIL COSTA BRANDÃO - TEMPO INTEGRAL</v>
          </cell>
        </row>
        <row r="1141">
          <cell r="A1141" t="str">
            <v>09</v>
          </cell>
          <cell r="C1141">
            <v>1176945</v>
          </cell>
          <cell r="E1141">
            <v>29426480</v>
          </cell>
          <cell r="F1141" t="str">
            <v>ESCOLA ESTADUAL RURAL TAYLOR EGIDIO - TEMPO INTEGRAL</v>
          </cell>
        </row>
        <row r="1142">
          <cell r="A1142" t="str">
            <v>10</v>
          </cell>
          <cell r="C1142" t="str">
            <v>-</v>
          </cell>
          <cell r="E1142">
            <v>29467004</v>
          </cell>
          <cell r="F1142" t="str">
            <v>COLÉGIO ESTADUAL MISAEL AGUILAR SILVA - TEMPO INTEGRAL</v>
          </cell>
        </row>
        <row r="1143">
          <cell r="A1143" t="str">
            <v>11</v>
          </cell>
          <cell r="C1143">
            <v>1178287</v>
          </cell>
          <cell r="E1143">
            <v>29526604</v>
          </cell>
          <cell r="F1143" t="str">
            <v>COLEGIO ESTADUAL NOSSA SENHORA APARECIDA</v>
          </cell>
        </row>
        <row r="1144">
          <cell r="A1144" t="str">
            <v>11</v>
          </cell>
          <cell r="C1144">
            <v>1130406</v>
          </cell>
          <cell r="E1144">
            <v>29337941</v>
          </cell>
          <cell r="F1144" t="str">
            <v>COLEGIO ESTADUAL ISABEL ARAUJO DA SILVA</v>
          </cell>
        </row>
        <row r="1145">
          <cell r="A1145" t="str">
            <v>17</v>
          </cell>
          <cell r="C1145">
            <v>1178167</v>
          </cell>
          <cell r="E1145">
            <v>29445949</v>
          </cell>
          <cell r="F1145" t="str">
            <v>COLÉGIO ESTADUAL DE TEMPO INTEGRAL ÁGUAS TERMAIS DE CIPÓ</v>
          </cell>
        </row>
        <row r="1146">
          <cell r="A1146" t="str">
            <v>17</v>
          </cell>
          <cell r="C1146">
            <v>1177068</v>
          </cell>
          <cell r="E1146">
            <v>29412021</v>
          </cell>
          <cell r="F1146" t="str">
            <v>COLÉGIO ESTADUAL ANTONIETA XAVIER SIQUEIRA SANTOS - TEMPO INTEGRAL</v>
          </cell>
        </row>
        <row r="1147">
          <cell r="A1147" t="str">
            <v>17</v>
          </cell>
          <cell r="C1147">
            <v>1176860</v>
          </cell>
          <cell r="E1147">
            <v>29412676</v>
          </cell>
          <cell r="F1147" t="str">
            <v>COLÉGIO ESTADUAL PAULO FREIRE</v>
          </cell>
        </row>
        <row r="1148">
          <cell r="A1148" t="str">
            <v>17</v>
          </cell>
          <cell r="C1148">
            <v>1115245</v>
          </cell>
          <cell r="E1148">
            <v>29130603</v>
          </cell>
          <cell r="F1148" t="str">
            <v>COLÉGIO ESTADUAL DOM PEDRO I</v>
          </cell>
        </row>
        <row r="1149">
          <cell r="A1149" t="str">
            <v>18</v>
          </cell>
          <cell r="C1149">
            <v>1108508</v>
          </cell>
          <cell r="E1149">
            <v>29156688</v>
          </cell>
          <cell r="F1149" t="str">
            <v>COLEGIO ESTADUAL ERALDO TINOCO - TEMPO INTEGRAL</v>
          </cell>
        </row>
        <row r="1150">
          <cell r="A1150" t="str">
            <v>19</v>
          </cell>
          <cell r="C1150">
            <v>1169302</v>
          </cell>
          <cell r="E1150">
            <v>29091870</v>
          </cell>
          <cell r="F1150" t="str">
            <v>COLÉGIO ESTADUAL DOMINGOS BARROS DE AZEVEDO</v>
          </cell>
        </row>
        <row r="1151">
          <cell r="A1151" t="str">
            <v>19</v>
          </cell>
          <cell r="C1151">
            <v>1106165</v>
          </cell>
          <cell r="E1151">
            <v>29095158</v>
          </cell>
          <cell r="F1151" t="str">
            <v>COLÉGIO ESTADUAL ERALDO TINOCO DE MELLO - TEMPO INTEGRAL</v>
          </cell>
        </row>
        <row r="1152">
          <cell r="A1152" t="str">
            <v>26</v>
          </cell>
          <cell r="C1152">
            <v>1104960</v>
          </cell>
          <cell r="E1152">
            <v>29177502</v>
          </cell>
          <cell r="F1152" t="str">
            <v>COLEGIO ESTADUAL DOUTOR LUIS DE MOURA BASTOS - TEMPO INTEGRAL</v>
          </cell>
        </row>
        <row r="1153">
          <cell r="A1153" t="str">
            <v>26</v>
          </cell>
          <cell r="C1153">
            <v>1176406</v>
          </cell>
          <cell r="E1153">
            <v>29369967</v>
          </cell>
          <cell r="F1153" t="str">
            <v>COLEGIO ESTADUAL JOAO UBALDO RIBEIRO - TEMPO INTEGRAL</v>
          </cell>
        </row>
        <row r="1154">
          <cell r="A1154" t="str">
            <v>04</v>
          </cell>
          <cell r="C1154">
            <v>1115474</v>
          </cell>
          <cell r="E1154">
            <v>29134242</v>
          </cell>
          <cell r="F1154" t="str">
            <v>COLÉGIO ESTADUAL IMACULADA CONCEIÇÃO - TEMPO INTEGRAL</v>
          </cell>
        </row>
        <row r="1155">
          <cell r="A1155" t="str">
            <v>19</v>
          </cell>
          <cell r="C1155">
            <v>1106190</v>
          </cell>
          <cell r="E1155">
            <v>29094143</v>
          </cell>
          <cell r="F1155" t="str">
            <v>COLÉGIO ESTADUAL WILSON FALCÃO - TEMPO INTEGRAL (PRÉDIO ANTIGO DA UEE GEORGINA DE MELLO)</v>
          </cell>
        </row>
        <row r="1156">
          <cell r="A1156">
            <v>26</v>
          </cell>
          <cell r="C1156">
            <v>1174810</v>
          </cell>
          <cell r="E1156">
            <v>29178908</v>
          </cell>
          <cell r="F1156" t="str">
            <v>COLEGIO SOCIAL DE PORTÃO</v>
          </cell>
        </row>
        <row r="1157">
          <cell r="A1157" t="str">
            <v>05</v>
          </cell>
          <cell r="C1157">
            <v>1111223</v>
          </cell>
          <cell r="E1157">
            <v>29302218</v>
          </cell>
          <cell r="F1157" t="str">
            <v>COLEGIO ESTADUAL EDUARDO CATALAO</v>
          </cell>
        </row>
        <row r="1158">
          <cell r="A1158" t="str">
            <v>19</v>
          </cell>
          <cell r="C1158">
            <v>1106530</v>
          </cell>
          <cell r="E1158">
            <v>29095026</v>
          </cell>
          <cell r="F1158" t="str">
            <v>COLÉGIO ESTADUAL GENERAL SAMPAIO - TEMPO INTEGRAL</v>
          </cell>
        </row>
        <row r="1159">
          <cell r="A1159" t="str">
            <v>13</v>
          </cell>
          <cell r="C1159">
            <v>1129335</v>
          </cell>
          <cell r="E1159">
            <v>29242290</v>
          </cell>
          <cell r="F1159" t="str">
            <v>INSTITUTO DE EDUCACAO ANISIO TEIXEIRA - TEMPO INTEGRAL</v>
          </cell>
        </row>
        <row r="1160">
          <cell r="A1160" t="str">
            <v>13</v>
          </cell>
          <cell r="C1160">
            <v>1178022</v>
          </cell>
          <cell r="E1160">
            <v>29428394</v>
          </cell>
          <cell r="F1160" t="str">
            <v>CENTRO TERRITORIAL DE EDUCACAO PROFISSIONAL DO SERTAO PRODUTIVO</v>
          </cell>
        </row>
        <row r="1161">
          <cell r="A1161" t="str">
            <v>02</v>
          </cell>
          <cell r="C1161">
            <v>1137168</v>
          </cell>
          <cell r="E1161">
            <v>29037123</v>
          </cell>
          <cell r="F1161" t="str">
            <v>COLÉGIO ESTADUAL LUIZ VIANA FILHO - TEMPO INTEGRAL</v>
          </cell>
        </row>
        <row r="1162">
          <cell r="A1162">
            <v>19</v>
          </cell>
          <cell r="C1162">
            <v>1106670</v>
          </cell>
          <cell r="E1162">
            <v>29094240</v>
          </cell>
          <cell r="F1162" t="str">
            <v>COLEGIO ESTADUAL WILSON FALCAO</v>
          </cell>
        </row>
        <row r="1163">
          <cell r="A1163" t="str">
            <v>03</v>
          </cell>
          <cell r="C1163">
            <v>1123701</v>
          </cell>
          <cell r="E1163">
            <v>29213592</v>
          </cell>
          <cell r="F1163" t="str">
            <v>COLEGIO ESTADUAL GETULIO VARGAS -  PARALISADA</v>
          </cell>
        </row>
        <row r="1164">
          <cell r="A1164" t="str">
            <v>03</v>
          </cell>
          <cell r="C1164">
            <v>1161956</v>
          </cell>
          <cell r="E1164">
            <v>29074770</v>
          </cell>
          <cell r="F1164" t="str">
            <v>COLEGIO ESTADUAL TEOTONIO MARQUES DOURADO FILHO -  PARALISADA</v>
          </cell>
        </row>
        <row r="1165">
          <cell r="A1165" t="str">
            <v>04</v>
          </cell>
          <cell r="C1165">
            <v>1116039</v>
          </cell>
          <cell r="E1165">
            <v>29121809</v>
          </cell>
          <cell r="F1165" t="str">
            <v>CENTRO TERRITORIAL DE EDUCACAO PROFISSIONAL SANTA BERNADETE -  PARALISADA</v>
          </cell>
        </row>
        <row r="1166">
          <cell r="A1166" t="str">
            <v>05</v>
          </cell>
          <cell r="C1166">
            <v>1176101</v>
          </cell>
          <cell r="E1166">
            <v>29340500</v>
          </cell>
          <cell r="F1166" t="str">
            <v>CENTRO TERRITORIAL DE EDUCACAO PROFISSIONAL LITORAL SUL II -  PARALISADA</v>
          </cell>
        </row>
        <row r="1167">
          <cell r="A1167" t="str">
            <v>09</v>
          </cell>
          <cell r="C1167">
            <v>1118171</v>
          </cell>
          <cell r="E1167">
            <v>29232341</v>
          </cell>
          <cell r="F1167" t="str">
            <v>COLEGIO ESTADUAL EDIVALDO BOAVENTURA -  PARALISADA</v>
          </cell>
        </row>
        <row r="1168">
          <cell r="A1168" t="str">
            <v>11</v>
          </cell>
          <cell r="C1168">
            <v>1130910</v>
          </cell>
          <cell r="E1168">
            <v>29009847</v>
          </cell>
          <cell r="F1168" t="str">
            <v>COLEGIO ESTADUAL DEPUTADO HORACIO DE MATOS -  PARALISADA</v>
          </cell>
        </row>
        <row r="1169">
          <cell r="A1169" t="str">
            <v>11</v>
          </cell>
          <cell r="C1169">
            <v>1130937</v>
          </cell>
          <cell r="E1169">
            <v>29009650</v>
          </cell>
          <cell r="F1169" t="str">
            <v>COLEGIO ESTADUAL GOVERNADOR LUIZ VIANA FILHO -  PARALISADA</v>
          </cell>
        </row>
        <row r="1170">
          <cell r="A1170" t="str">
            <v>14</v>
          </cell>
          <cell r="C1170">
            <v>1122985</v>
          </cell>
          <cell r="E1170">
            <v>29086370</v>
          </cell>
          <cell r="F1170" t="str">
            <v>COLEGIO ESTADUAL LUIS EDUARDO MAGALHAES -  PARALISADA</v>
          </cell>
        </row>
        <row r="1171">
          <cell r="A1171" t="str">
            <v>15</v>
          </cell>
          <cell r="C1171">
            <v>1107331</v>
          </cell>
          <cell r="E1171">
            <v>29103037</v>
          </cell>
          <cell r="F1171" t="str">
            <v>COLEGIO ESTADUAL PROFESSORA MARIA BASTOS MELO -  PARALISADA</v>
          </cell>
        </row>
        <row r="1172">
          <cell r="A1172" t="str">
            <v>17</v>
          </cell>
          <cell r="C1172">
            <v>1178014</v>
          </cell>
          <cell r="E1172">
            <v>29423732</v>
          </cell>
          <cell r="F1172" t="str">
            <v>COLEGIO ESTADUAL JOSE LOURENCO DE CARVALHO -  PARALISADA</v>
          </cell>
        </row>
        <row r="1173">
          <cell r="A1173" t="str">
            <v>17</v>
          </cell>
          <cell r="C1173">
            <v>1114192</v>
          </cell>
          <cell r="E1173">
            <v>29112699</v>
          </cell>
          <cell r="F1173" t="str">
            <v>COLEGIO ESTADUAL PROFESSORA MARIA LEIDE DE OLIVEIRA -  PARALISADA</v>
          </cell>
        </row>
        <row r="1174">
          <cell r="A1174" t="str">
            <v>18</v>
          </cell>
          <cell r="C1174">
            <v>1108761</v>
          </cell>
          <cell r="E1174">
            <v>29158931</v>
          </cell>
          <cell r="F1174" t="str">
            <v>COLEGIO ESTADUAL MARIA ISABEL DE MELO GOES -  PARALISADA</v>
          </cell>
        </row>
        <row r="1175">
          <cell r="A1175" t="str">
            <v>19</v>
          </cell>
          <cell r="C1175">
            <v>1106238</v>
          </cell>
          <cell r="E1175">
            <v>29093570</v>
          </cell>
          <cell r="F1175" t="str">
            <v>COLEGIO ESTADUAL YEDA BARRADAS CARNEIRO -  PARALISADA</v>
          </cell>
        </row>
        <row r="1176">
          <cell r="A1176" t="str">
            <v>19</v>
          </cell>
          <cell r="C1176">
            <v>1106688</v>
          </cell>
          <cell r="E1176">
            <v>29094682</v>
          </cell>
          <cell r="F1176" t="str">
            <v>COLEGIO ESTADUAL PADRE VIEIRA -  PARALISADA</v>
          </cell>
        </row>
        <row r="1177">
          <cell r="A1177" t="str">
            <v>23</v>
          </cell>
          <cell r="C1177">
            <v>1131550</v>
          </cell>
          <cell r="E1177">
            <v>29013259</v>
          </cell>
          <cell r="F1177" t="str">
            <v>COLEGIO ESTADUAL DE CORRENTINA -  PARALISADA</v>
          </cell>
        </row>
        <row r="1178">
          <cell r="A1178" t="str">
            <v>26</v>
          </cell>
          <cell r="C1178">
            <v>1179594</v>
          </cell>
          <cell r="E1178">
            <v>29470471</v>
          </cell>
          <cell r="F1178" t="str">
            <v>COLEGIO ESTADUAL ANGIOLINA TEIXEIRA DE SOUZA -  PARALISADA</v>
          </cell>
        </row>
        <row r="1179">
          <cell r="A1179" t="str">
            <v>26</v>
          </cell>
          <cell r="C1179">
            <v>1179484</v>
          </cell>
          <cell r="E1179">
            <v>29467888</v>
          </cell>
          <cell r="F1179" t="str">
            <v>COLEGIO ESTADUAL DO PHOC -  PARALISADA</v>
          </cell>
        </row>
        <row r="1180">
          <cell r="A1180" t="str">
            <v>03</v>
          </cell>
          <cell r="C1180">
            <v>1133073</v>
          </cell>
          <cell r="E1180">
            <v>29220246</v>
          </cell>
          <cell r="F1180" t="str">
            <v>CENTRO EST. DE EDUC PROFI EM GESTAO E NEGOCIO LETICE  OLIVEIRA MACIEL -  PARALISADA</v>
          </cell>
        </row>
        <row r="1181">
          <cell r="A1181" t="str">
            <v>09</v>
          </cell>
          <cell r="C1181">
            <v>1110359</v>
          </cell>
          <cell r="E1181">
            <v>29231264</v>
          </cell>
          <cell r="F1181" t="str">
            <v>COLEGIO ESTADUAL JUVENILIA PEIXOTO SAMPAIO -  PARALISADA</v>
          </cell>
        </row>
        <row r="1182">
          <cell r="A1182" t="str">
            <v>19</v>
          </cell>
          <cell r="C1182">
            <v>1176449</v>
          </cell>
          <cell r="E1182">
            <v>29387019</v>
          </cell>
          <cell r="F1182" t="str">
            <v>COLEGIO ESTADUAL CARMEN ANDRADE LIMA -  PARALISADA</v>
          </cell>
        </row>
        <row r="1183">
          <cell r="A1183" t="str">
            <v>20</v>
          </cell>
          <cell r="C1183">
            <v>1125070</v>
          </cell>
          <cell r="E1183">
            <v>29277256</v>
          </cell>
          <cell r="F1183" t="str">
            <v>COLEGIO ESTADUAL ISAIAS  -  PARALISADA</v>
          </cell>
        </row>
        <row r="1184">
          <cell r="A1184">
            <v>9</v>
          </cell>
          <cell r="C1184">
            <v>1118007</v>
          </cell>
          <cell r="E1184">
            <v>29226511</v>
          </cell>
          <cell r="F1184" t="str">
            <v>COLEGIO ESTADUAL LUZIA SILVA - PARALISADA</v>
          </cell>
        </row>
        <row r="1185">
          <cell r="A1185" t="str">
            <v>03</v>
          </cell>
          <cell r="C1185">
            <v>1123353</v>
          </cell>
          <cell r="E1185">
            <v>29215412</v>
          </cell>
          <cell r="F1185" t="str">
            <v>COLEGIO ESTADUAL PROFESSORA ISAURA SANTOS - PARALISADA</v>
          </cell>
        </row>
        <row r="1186">
          <cell r="A1186">
            <v>10</v>
          </cell>
          <cell r="C1186">
            <v>1161204</v>
          </cell>
          <cell r="E1186">
            <v>29025079</v>
          </cell>
          <cell r="F1186" t="str">
            <v>COLÉGIO ESTADUAL PROFESSOR PEDRO RAIMUNDO RODRIGUES RÊGO - PARALISADA</v>
          </cell>
        </row>
        <row r="1187">
          <cell r="A1187" t="str">
            <v>26</v>
          </cell>
          <cell r="C1187">
            <v>1104340</v>
          </cell>
          <cell r="E1187">
            <v>29188601</v>
          </cell>
          <cell r="F1187" t="str">
            <v>COLEGIO ESTADUAL VITOR SOARES</v>
          </cell>
        </row>
        <row r="1188">
          <cell r="A1188" t="str">
            <v>20</v>
          </cell>
          <cell r="C1188">
            <v>1125232</v>
          </cell>
          <cell r="E1188">
            <v>29277728</v>
          </cell>
          <cell r="F1188" t="str">
            <v>COLEGIO ESTADUAL ABDIAS MENEZES -  PARALISADA 0188-0 - 61210-3</v>
          </cell>
        </row>
        <row r="1189">
          <cell r="A1189">
            <v>26</v>
          </cell>
          <cell r="C1189">
            <v>1134177</v>
          </cell>
          <cell r="E1189">
            <v>29159644</v>
          </cell>
          <cell r="F1189" t="str">
            <v>COLEGIO ESTADUAL GETULIO VARGAS PARALISADA</v>
          </cell>
        </row>
        <row r="1190">
          <cell r="A1190">
            <v>4</v>
          </cell>
          <cell r="C1190">
            <v>1178114</v>
          </cell>
          <cell r="E1190">
            <v>29417880</v>
          </cell>
          <cell r="F1190" t="str">
            <v>INSTITUTO EDUCACIONAL DE PEDRA ALTA PARALISADA</v>
          </cell>
        </row>
        <row r="1191">
          <cell r="A1191" t="str">
            <v>13</v>
          </cell>
          <cell r="C1191">
            <v>1161751</v>
          </cell>
          <cell r="E1191">
            <v>29242231</v>
          </cell>
          <cell r="F1191" t="str">
            <v>COMPLEXO INTEGRADO DE EDUC BASICA PROFIS E TECNOLOGICA DE CAETITE INATIVA</v>
          </cell>
        </row>
        <row r="1192">
          <cell r="A1192">
            <v>18</v>
          </cell>
          <cell r="C1192">
            <v>1107986</v>
          </cell>
          <cell r="E1192">
            <v>29149878</v>
          </cell>
          <cell r="F1192" t="str">
            <v>COLEGIO ESTADUAL DOUTOR MAGALHAES NETO</v>
          </cell>
        </row>
        <row r="1193">
          <cell r="A1193" t="str">
            <v>11</v>
          </cell>
          <cell r="C1193">
            <v>1130902</v>
          </cell>
          <cell r="E1193">
            <v>29004403</v>
          </cell>
          <cell r="F1193" t="str">
            <v>COLEGIO ESTADUAL PROFESSOR MANOEL MACEDO CIRILO</v>
          </cell>
        </row>
        <row r="1194">
          <cell r="A1194" t="str">
            <v>10</v>
          </cell>
          <cell r="C1194">
            <v>1120990</v>
          </cell>
          <cell r="E1194">
            <v>29031761</v>
          </cell>
          <cell r="F1194" t="str">
            <v>COLEGIO ESTADUAL DOUTOR JUCA SENTO SE</v>
          </cell>
        </row>
        <row r="1195">
          <cell r="A1195" t="str">
            <v>19</v>
          </cell>
          <cell r="C1195">
            <v>1142994</v>
          </cell>
          <cell r="E1195">
            <v>29093295</v>
          </cell>
          <cell r="F1195" t="str">
            <v>CENTRO DE ENSINO E CULTURA DR EDUARDO FROES DA MOTTA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cnpj"/>
    </sheetNames>
    <sheetDataSet>
      <sheetData sheetId="0">
        <row r="4">
          <cell r="E4">
            <v>29000599</v>
          </cell>
          <cell r="U4" t="str">
            <v>020662930001-35</v>
          </cell>
        </row>
        <row r="5">
          <cell r="E5">
            <v>29000831</v>
          </cell>
          <cell r="U5" t="str">
            <v>021997200001-53</v>
          </cell>
        </row>
        <row r="6">
          <cell r="E6">
            <v>29000840</v>
          </cell>
          <cell r="U6" t="str">
            <v>020873960001-81</v>
          </cell>
        </row>
        <row r="7">
          <cell r="E7">
            <v>29000971</v>
          </cell>
          <cell r="U7" t="str">
            <v>033877120001-01</v>
          </cell>
        </row>
        <row r="8">
          <cell r="E8">
            <v>29001064</v>
          </cell>
          <cell r="U8" t="str">
            <v>021818120001-06</v>
          </cell>
        </row>
        <row r="9">
          <cell r="E9">
            <v>29001498</v>
          </cell>
          <cell r="U9" t="str">
            <v>024781460001-72</v>
          </cell>
        </row>
        <row r="10">
          <cell r="E10">
            <v>29001773</v>
          </cell>
          <cell r="U10" t="str">
            <v>037855680001-53</v>
          </cell>
        </row>
        <row r="11">
          <cell r="E11">
            <v>29002427</v>
          </cell>
          <cell r="U11" t="str">
            <v>020986720001-07</v>
          </cell>
        </row>
        <row r="12">
          <cell r="E12">
            <v>29004403</v>
          </cell>
          <cell r="U12" t="str">
            <v>020140300001-82</v>
          </cell>
        </row>
        <row r="13">
          <cell r="E13">
            <v>29005752</v>
          </cell>
          <cell r="U13" t="str">
            <v>020294060001-22</v>
          </cell>
        </row>
        <row r="14">
          <cell r="E14">
            <v>29007100</v>
          </cell>
          <cell r="U14" t="str">
            <v>019901090001-86</v>
          </cell>
        </row>
        <row r="15">
          <cell r="E15">
            <v>29007887</v>
          </cell>
          <cell r="U15" t="str">
            <v>025545700001-59</v>
          </cell>
        </row>
        <row r="16">
          <cell r="E16">
            <v>29009197</v>
          </cell>
          <cell r="U16" t="str">
            <v>021598540001-40</v>
          </cell>
        </row>
        <row r="17">
          <cell r="E17">
            <v>29009847</v>
          </cell>
          <cell r="U17" t="str">
            <v>021292320001-70</v>
          </cell>
        </row>
        <row r="18">
          <cell r="E18">
            <v>29009880</v>
          </cell>
          <cell r="U18" t="str">
            <v>020480280001-24</v>
          </cell>
        </row>
        <row r="19">
          <cell r="E19">
            <v>29010438</v>
          </cell>
          <cell r="U19" t="str">
            <v>019987710001-82</v>
          </cell>
        </row>
        <row r="20">
          <cell r="E20">
            <v>29011507</v>
          </cell>
          <cell r="U20" t="str">
            <v>019795320001-85</v>
          </cell>
        </row>
        <row r="21">
          <cell r="E21">
            <v>29011604</v>
          </cell>
          <cell r="U21" t="str">
            <v>019795150001-48</v>
          </cell>
        </row>
        <row r="22">
          <cell r="E22">
            <v>29012465</v>
          </cell>
          <cell r="U22" t="str">
            <v>019795370001-08</v>
          </cell>
        </row>
        <row r="23">
          <cell r="E23">
            <v>29013275</v>
          </cell>
          <cell r="U23" t="str">
            <v>019689230001-02</v>
          </cell>
        </row>
        <row r="24">
          <cell r="E24">
            <v>29013887</v>
          </cell>
          <cell r="U24" t="str">
            <v>021087030001-63</v>
          </cell>
        </row>
        <row r="25">
          <cell r="E25">
            <v>29014433</v>
          </cell>
          <cell r="U25" t="str">
            <v>020507610001-83</v>
          </cell>
        </row>
        <row r="26">
          <cell r="E26">
            <v>29015227</v>
          </cell>
          <cell r="U26" t="str">
            <v>020949040001-59</v>
          </cell>
        </row>
        <row r="27">
          <cell r="E27">
            <v>29015413</v>
          </cell>
          <cell r="U27" t="str">
            <v>019359060001-60</v>
          </cell>
        </row>
        <row r="28">
          <cell r="E28">
            <v>29016339</v>
          </cell>
          <cell r="U28" t="str">
            <v>019689070001-01</v>
          </cell>
        </row>
        <row r="29">
          <cell r="E29">
            <v>29016916</v>
          </cell>
          <cell r="U29" t="str">
            <v>019795610001-47</v>
          </cell>
        </row>
        <row r="30">
          <cell r="E30">
            <v>29023688</v>
          </cell>
          <cell r="U30" t="str">
            <v>019792780001-15</v>
          </cell>
        </row>
        <row r="31">
          <cell r="E31">
            <v>29024129</v>
          </cell>
          <cell r="U31" t="str">
            <v>019866130001-02</v>
          </cell>
        </row>
        <row r="32">
          <cell r="E32">
            <v>29024528</v>
          </cell>
          <cell r="U32" t="str">
            <v>045873550001-80</v>
          </cell>
        </row>
        <row r="33">
          <cell r="E33">
            <v>29024579</v>
          </cell>
          <cell r="U33" t="str">
            <v>019792720001-48</v>
          </cell>
        </row>
        <row r="34">
          <cell r="E34">
            <v>29024641</v>
          </cell>
          <cell r="U34" t="str">
            <v>019831840001-10</v>
          </cell>
        </row>
        <row r="35">
          <cell r="E35">
            <v>29024765</v>
          </cell>
          <cell r="U35" t="str">
            <v>019957170001-83</v>
          </cell>
        </row>
        <row r="36">
          <cell r="E36">
            <v>29024803</v>
          </cell>
          <cell r="U36" t="str">
            <v>041410100001-06</v>
          </cell>
        </row>
        <row r="37">
          <cell r="E37">
            <v>29025001</v>
          </cell>
          <cell r="U37" t="str">
            <v>019797550001-42</v>
          </cell>
        </row>
        <row r="38">
          <cell r="E38">
            <v>29025028</v>
          </cell>
          <cell r="U38" t="str">
            <v>019957000001-26</v>
          </cell>
        </row>
        <row r="39">
          <cell r="E39">
            <v>29025052</v>
          </cell>
          <cell r="U39" t="str">
            <v>020134600001-80</v>
          </cell>
        </row>
        <row r="40">
          <cell r="E40">
            <v>29025117</v>
          </cell>
          <cell r="U40" t="str">
            <v>019792590001-99</v>
          </cell>
        </row>
        <row r="41">
          <cell r="E41">
            <v>29029732</v>
          </cell>
          <cell r="U41" t="str">
            <v>019991980001-21</v>
          </cell>
        </row>
        <row r="42">
          <cell r="E42">
            <v>29031265</v>
          </cell>
          <cell r="U42" t="str">
            <v>019797320001-38</v>
          </cell>
        </row>
        <row r="43">
          <cell r="E43">
            <v>29031630</v>
          </cell>
          <cell r="U43" t="str">
            <v>020143000001-55</v>
          </cell>
        </row>
        <row r="44">
          <cell r="E44">
            <v>29031761</v>
          </cell>
          <cell r="U44" t="str">
            <v>020143010001-08</v>
          </cell>
        </row>
        <row r="45">
          <cell r="E45">
            <v>29032334</v>
          </cell>
          <cell r="U45" t="str">
            <v>019304820001-41</v>
          </cell>
        </row>
        <row r="46">
          <cell r="E46">
            <v>29032539</v>
          </cell>
          <cell r="U46" t="str">
            <v>047055510001-01</v>
          </cell>
        </row>
        <row r="47">
          <cell r="E47">
            <v>29033047</v>
          </cell>
          <cell r="U47" t="str">
            <v>048752910001-12</v>
          </cell>
        </row>
        <row r="48">
          <cell r="E48">
            <v>29033187</v>
          </cell>
          <cell r="U48" t="str">
            <v>019989780001-57</v>
          </cell>
        </row>
        <row r="49">
          <cell r="E49">
            <v>29033950</v>
          </cell>
          <cell r="U49" t="str">
            <v>205521350001-77</v>
          </cell>
        </row>
        <row r="50">
          <cell r="E50">
            <v>29034205</v>
          </cell>
          <cell r="U50" t="str">
            <v>019986930001-16</v>
          </cell>
        </row>
        <row r="51">
          <cell r="E51">
            <v>29034280</v>
          </cell>
          <cell r="U51" t="str">
            <v>020414770001-40</v>
          </cell>
        </row>
        <row r="52">
          <cell r="E52">
            <v>29034922</v>
          </cell>
          <cell r="U52" t="str">
            <v>019994600001-38</v>
          </cell>
        </row>
        <row r="53">
          <cell r="E53">
            <v>29034965</v>
          </cell>
          <cell r="U53" t="str">
            <v>019871610001-83</v>
          </cell>
        </row>
        <row r="54">
          <cell r="E54">
            <v>29034990</v>
          </cell>
          <cell r="U54" t="str">
            <v>022250360001-07</v>
          </cell>
        </row>
        <row r="55">
          <cell r="E55">
            <v>29035007</v>
          </cell>
          <cell r="U55" t="str">
            <v>019986090001-64</v>
          </cell>
        </row>
        <row r="56">
          <cell r="E56">
            <v>29036046</v>
          </cell>
          <cell r="U56" t="str">
            <v>020053590001-87</v>
          </cell>
        </row>
        <row r="57">
          <cell r="E57">
            <v>29036143</v>
          </cell>
          <cell r="U57" t="str">
            <v>019372150001-04</v>
          </cell>
        </row>
        <row r="58">
          <cell r="E58">
            <v>29038820</v>
          </cell>
          <cell r="U58" t="str">
            <v>019484030001-20</v>
          </cell>
        </row>
        <row r="59">
          <cell r="E59">
            <v>29041333</v>
          </cell>
          <cell r="U59" t="str">
            <v>024687970001-81</v>
          </cell>
        </row>
        <row r="60">
          <cell r="E60">
            <v>29043085</v>
          </cell>
          <cell r="U60" t="str">
            <v>020656350001-00</v>
          </cell>
        </row>
        <row r="61">
          <cell r="E61">
            <v>29044570</v>
          </cell>
          <cell r="U61" t="str">
            <v>022404460001-19</v>
          </cell>
        </row>
        <row r="62">
          <cell r="E62">
            <v>29047250</v>
          </cell>
          <cell r="U62" t="str">
            <v>020844180001-50</v>
          </cell>
        </row>
        <row r="63">
          <cell r="E63">
            <v>29047455</v>
          </cell>
          <cell r="U63" t="str">
            <v>020113320001-05</v>
          </cell>
        </row>
        <row r="64">
          <cell r="E64">
            <v>29047501</v>
          </cell>
          <cell r="U64" t="str">
            <v>019766480001-60</v>
          </cell>
        </row>
        <row r="65">
          <cell r="E65">
            <v>29048184</v>
          </cell>
          <cell r="U65" t="str">
            <v>020875030001-71</v>
          </cell>
        </row>
        <row r="66">
          <cell r="E66">
            <v>29050057</v>
          </cell>
          <cell r="U66" t="str">
            <v>020596960001-57</v>
          </cell>
        </row>
        <row r="67">
          <cell r="E67">
            <v>29050910</v>
          </cell>
          <cell r="U67" t="str">
            <v>021104810001-13</v>
          </cell>
        </row>
        <row r="68">
          <cell r="E68">
            <v>29053544</v>
          </cell>
          <cell r="U68" t="str">
            <v>020208560001-54</v>
          </cell>
        </row>
        <row r="69">
          <cell r="E69">
            <v>29055067</v>
          </cell>
          <cell r="U69" t="str">
            <v>020208550001-00</v>
          </cell>
        </row>
        <row r="70">
          <cell r="E70">
            <v>29055075</v>
          </cell>
          <cell r="U70" t="str">
            <v>019400170001-91</v>
          </cell>
        </row>
        <row r="71">
          <cell r="E71">
            <v>29055385</v>
          </cell>
          <cell r="U71" t="str">
            <v>020348000001-59</v>
          </cell>
        </row>
        <row r="72">
          <cell r="E72">
            <v>29055393</v>
          </cell>
          <cell r="U72" t="str">
            <v>020596940001-68</v>
          </cell>
        </row>
        <row r="73">
          <cell r="E73">
            <v>29056144</v>
          </cell>
          <cell r="U73" t="str">
            <v>019764580001-43</v>
          </cell>
        </row>
        <row r="74">
          <cell r="E74">
            <v>29056780</v>
          </cell>
          <cell r="U74" t="str">
            <v>020296050001-30</v>
          </cell>
        </row>
        <row r="75">
          <cell r="E75">
            <v>29057809</v>
          </cell>
          <cell r="U75" t="str">
            <v>019975700001-60</v>
          </cell>
        </row>
        <row r="76">
          <cell r="E76">
            <v>29058244</v>
          </cell>
          <cell r="U76" t="str">
            <v>019906380001-80</v>
          </cell>
        </row>
        <row r="77">
          <cell r="E77">
            <v>29059380</v>
          </cell>
          <cell r="U77" t="str">
            <v>019652980001-37</v>
          </cell>
        </row>
        <row r="78">
          <cell r="E78">
            <v>29060001</v>
          </cell>
          <cell r="U78" t="str">
            <v>020077270001-26</v>
          </cell>
        </row>
        <row r="79">
          <cell r="E79">
            <v>29060206</v>
          </cell>
          <cell r="U79" t="str">
            <v>019102530001-65</v>
          </cell>
        </row>
        <row r="80">
          <cell r="E80">
            <v>29060214</v>
          </cell>
          <cell r="U80" t="str">
            <v>019102520001-10</v>
          </cell>
        </row>
        <row r="81">
          <cell r="E81">
            <v>29061016</v>
          </cell>
          <cell r="U81" t="str">
            <v>019975690001-36</v>
          </cell>
        </row>
        <row r="82">
          <cell r="E82">
            <v>29061628</v>
          </cell>
          <cell r="U82" t="str">
            <v>022922700001-49</v>
          </cell>
        </row>
        <row r="83">
          <cell r="E83">
            <v>29062250</v>
          </cell>
          <cell r="U83" t="str">
            <v>019885320001-41</v>
          </cell>
        </row>
        <row r="84">
          <cell r="E84">
            <v>29062519</v>
          </cell>
          <cell r="U84" t="str">
            <v>031869530001-84</v>
          </cell>
        </row>
        <row r="85">
          <cell r="E85">
            <v>29062632</v>
          </cell>
          <cell r="U85" t="str">
            <v>019292090001-05</v>
          </cell>
        </row>
        <row r="86">
          <cell r="E86">
            <v>29063299</v>
          </cell>
          <cell r="U86" t="str">
            <v>020266330001-02</v>
          </cell>
        </row>
        <row r="87">
          <cell r="E87">
            <v>29064120</v>
          </cell>
          <cell r="U87" t="str">
            <v>020205660001-00</v>
          </cell>
        </row>
        <row r="88">
          <cell r="E88">
            <v>29064147</v>
          </cell>
          <cell r="U88" t="str">
            <v>019799990001-25</v>
          </cell>
        </row>
        <row r="89">
          <cell r="E89">
            <v>29064392</v>
          </cell>
          <cell r="U89" t="str">
            <v>020205650001-66</v>
          </cell>
        </row>
        <row r="90">
          <cell r="E90">
            <v>29065356</v>
          </cell>
          <cell r="U90" t="str">
            <v>021050510001-03</v>
          </cell>
        </row>
        <row r="91">
          <cell r="E91">
            <v>29066395</v>
          </cell>
          <cell r="U91" t="str">
            <v>019849140001-05</v>
          </cell>
        </row>
        <row r="92">
          <cell r="E92">
            <v>29067332</v>
          </cell>
          <cell r="U92" t="str">
            <v>020238990001-93</v>
          </cell>
        </row>
        <row r="93">
          <cell r="E93">
            <v>29067391</v>
          </cell>
          <cell r="U93" t="str">
            <v>019235630001-14</v>
          </cell>
        </row>
        <row r="94">
          <cell r="E94">
            <v>29068320</v>
          </cell>
          <cell r="U94" t="str">
            <v>019739300001-94</v>
          </cell>
        </row>
        <row r="95">
          <cell r="E95">
            <v>29069106</v>
          </cell>
          <cell r="U95" t="str">
            <v>020055490001-02</v>
          </cell>
        </row>
        <row r="96">
          <cell r="E96">
            <v>29069580</v>
          </cell>
          <cell r="U96" t="str">
            <v>019657980001-79</v>
          </cell>
        </row>
        <row r="97">
          <cell r="E97">
            <v>29071275</v>
          </cell>
          <cell r="U97" t="str">
            <v>020055460001-60</v>
          </cell>
        </row>
        <row r="98">
          <cell r="E98">
            <v>29073014</v>
          </cell>
          <cell r="U98" t="str">
            <v>020367190001-08</v>
          </cell>
        </row>
        <row r="99">
          <cell r="E99">
            <v>29073324</v>
          </cell>
          <cell r="U99" t="str">
            <v>019658080001-76</v>
          </cell>
        </row>
        <row r="100">
          <cell r="E100">
            <v>29075874</v>
          </cell>
          <cell r="U100" t="str">
            <v>020560390001-56</v>
          </cell>
        </row>
        <row r="101">
          <cell r="E101">
            <v>29076846</v>
          </cell>
          <cell r="U101" t="str">
            <v>109218630001-55</v>
          </cell>
        </row>
        <row r="102">
          <cell r="E102">
            <v>29077540</v>
          </cell>
          <cell r="U102" t="str">
            <v>019717540001-51</v>
          </cell>
        </row>
        <row r="103">
          <cell r="E103">
            <v>29079004</v>
          </cell>
          <cell r="U103" t="str">
            <v>020522440001-43</v>
          </cell>
        </row>
        <row r="104">
          <cell r="E104">
            <v>29079055</v>
          </cell>
          <cell r="U104" t="str">
            <v>020233680001-09</v>
          </cell>
        </row>
        <row r="105">
          <cell r="E105">
            <v>29079934</v>
          </cell>
          <cell r="U105" t="str">
            <v>020367100001-05</v>
          </cell>
        </row>
        <row r="106">
          <cell r="E106">
            <v>29080533</v>
          </cell>
          <cell r="U106" t="str">
            <v>022877810001-72</v>
          </cell>
        </row>
        <row r="107">
          <cell r="E107">
            <v>29081319</v>
          </cell>
          <cell r="U107" t="str">
            <v>019922520001-07</v>
          </cell>
        </row>
        <row r="108">
          <cell r="E108">
            <v>29081440</v>
          </cell>
          <cell r="U108" t="str">
            <v>019922440001-60</v>
          </cell>
        </row>
        <row r="109">
          <cell r="E109">
            <v>29081815</v>
          </cell>
          <cell r="U109" t="str">
            <v>022803510001-29</v>
          </cell>
        </row>
        <row r="110">
          <cell r="E110">
            <v>29083044</v>
          </cell>
          <cell r="U110" t="str">
            <v>019983960001-70</v>
          </cell>
        </row>
        <row r="111">
          <cell r="E111">
            <v>29083354</v>
          </cell>
          <cell r="U111" t="str">
            <v>019914900001-06</v>
          </cell>
        </row>
        <row r="112">
          <cell r="E112">
            <v>29084202</v>
          </cell>
          <cell r="U112" t="str">
            <v>019912480001-24</v>
          </cell>
        </row>
        <row r="113">
          <cell r="E113">
            <v>29084784</v>
          </cell>
          <cell r="U113" t="str">
            <v>020145360001-91</v>
          </cell>
        </row>
        <row r="114">
          <cell r="E114">
            <v>29085500</v>
          </cell>
          <cell r="U114" t="str">
            <v>021086510001-25</v>
          </cell>
        </row>
        <row r="115">
          <cell r="E115">
            <v>29086914</v>
          </cell>
          <cell r="U115" t="str">
            <v>019949970001-05</v>
          </cell>
        </row>
        <row r="116">
          <cell r="E116">
            <v>29087236</v>
          </cell>
          <cell r="U116" t="str">
            <v>021105460001-20</v>
          </cell>
        </row>
        <row r="117">
          <cell r="E117">
            <v>29088240</v>
          </cell>
          <cell r="U117" t="str">
            <v>019798950001-10</v>
          </cell>
        </row>
        <row r="118">
          <cell r="E118">
            <v>29088623</v>
          </cell>
          <cell r="U118" t="str">
            <v>022121890001-01</v>
          </cell>
        </row>
        <row r="119">
          <cell r="E119">
            <v>29089115</v>
          </cell>
          <cell r="U119" t="str">
            <v>019674670001-78</v>
          </cell>
        </row>
        <row r="120">
          <cell r="E120">
            <v>29089964</v>
          </cell>
          <cell r="U120" t="str">
            <v>019637490001-05</v>
          </cell>
        </row>
        <row r="121">
          <cell r="E121">
            <v>29090350</v>
          </cell>
          <cell r="U121" t="str">
            <v>023903490001-02</v>
          </cell>
        </row>
        <row r="122">
          <cell r="E122">
            <v>29090865</v>
          </cell>
          <cell r="U122" t="str">
            <v>020690560001-28</v>
          </cell>
        </row>
        <row r="123">
          <cell r="E123">
            <v>29091470</v>
          </cell>
          <cell r="U123" t="str">
            <v>020566310001-58</v>
          </cell>
        </row>
        <row r="124">
          <cell r="E124">
            <v>29092191</v>
          </cell>
          <cell r="U124" t="str">
            <v>022060610001-35</v>
          </cell>
        </row>
        <row r="125">
          <cell r="E125">
            <v>29092213</v>
          </cell>
          <cell r="U125" t="str">
            <v>021530230001-61</v>
          </cell>
        </row>
        <row r="126">
          <cell r="E126">
            <v>29092744</v>
          </cell>
          <cell r="U126" t="str">
            <v>019989320001-38</v>
          </cell>
        </row>
        <row r="127">
          <cell r="E127">
            <v>29093260</v>
          </cell>
          <cell r="U127" t="str">
            <v>020141960001-07</v>
          </cell>
        </row>
        <row r="128">
          <cell r="E128">
            <v>29093279</v>
          </cell>
          <cell r="U128" t="str">
            <v>019917240001-07</v>
          </cell>
        </row>
        <row r="129">
          <cell r="E129">
            <v>29093295</v>
          </cell>
          <cell r="U129" t="str">
            <v>019998760001-56</v>
          </cell>
        </row>
        <row r="130">
          <cell r="E130">
            <v>29093317</v>
          </cell>
          <cell r="U130" t="str">
            <v>020066020001-81</v>
          </cell>
        </row>
        <row r="131">
          <cell r="E131">
            <v>29093341</v>
          </cell>
          <cell r="U131" t="str">
            <v>074629560001-54</v>
          </cell>
        </row>
        <row r="132">
          <cell r="E132">
            <v>29093350</v>
          </cell>
          <cell r="U132" t="str">
            <v>020066260001-30</v>
          </cell>
        </row>
        <row r="133">
          <cell r="E133">
            <v>29093457</v>
          </cell>
          <cell r="U133" t="str">
            <v>020016190001-46</v>
          </cell>
        </row>
        <row r="134">
          <cell r="E134">
            <v>29093473</v>
          </cell>
          <cell r="U134" t="str">
            <v>047894110001-69</v>
          </cell>
        </row>
        <row r="135">
          <cell r="E135">
            <v>29093511</v>
          </cell>
          <cell r="U135" t="str">
            <v>020508840001-14</v>
          </cell>
        </row>
        <row r="136">
          <cell r="E136">
            <v>29093520</v>
          </cell>
          <cell r="U136" t="str">
            <v>033866890001-22</v>
          </cell>
        </row>
        <row r="137">
          <cell r="E137">
            <v>29093546</v>
          </cell>
          <cell r="U137" t="str">
            <v>019878260001-59</v>
          </cell>
        </row>
        <row r="138">
          <cell r="E138">
            <v>29093554</v>
          </cell>
          <cell r="U138" t="str">
            <v>020768540001-87</v>
          </cell>
        </row>
        <row r="139">
          <cell r="E139">
            <v>29093570</v>
          </cell>
          <cell r="U139" t="str">
            <v>020315020001-05</v>
          </cell>
        </row>
        <row r="140">
          <cell r="E140">
            <v>29093660</v>
          </cell>
          <cell r="U140" t="str">
            <v>020141970001-43</v>
          </cell>
        </row>
        <row r="141">
          <cell r="E141">
            <v>29094100</v>
          </cell>
          <cell r="U141" t="str">
            <v>020078140001-83</v>
          </cell>
        </row>
        <row r="142">
          <cell r="E142">
            <v>29094151</v>
          </cell>
          <cell r="U142" t="str">
            <v>019998740001-67</v>
          </cell>
        </row>
        <row r="143">
          <cell r="E143">
            <v>29094194</v>
          </cell>
          <cell r="U143" t="str">
            <v>020066200001-63</v>
          </cell>
        </row>
        <row r="144">
          <cell r="E144">
            <v>29094216</v>
          </cell>
          <cell r="U144" t="str">
            <v>019937490001-40</v>
          </cell>
        </row>
        <row r="145">
          <cell r="E145">
            <v>29094240</v>
          </cell>
          <cell r="U145" t="str">
            <v>019962590001-05</v>
          </cell>
        </row>
        <row r="146">
          <cell r="E146">
            <v>29094682</v>
          </cell>
          <cell r="U146" t="str">
            <v>020141980001-98</v>
          </cell>
        </row>
        <row r="147">
          <cell r="E147">
            <v>29094712</v>
          </cell>
          <cell r="U147" t="str">
            <v>020066310001-43</v>
          </cell>
        </row>
        <row r="148">
          <cell r="E148">
            <v>29095140</v>
          </cell>
          <cell r="U148" t="str">
            <v>024225620001-59</v>
          </cell>
        </row>
        <row r="149">
          <cell r="E149">
            <v>29095158</v>
          </cell>
          <cell r="U149" t="str">
            <v>020572520001-82</v>
          </cell>
        </row>
        <row r="150">
          <cell r="E150">
            <v>29095166</v>
          </cell>
          <cell r="U150" t="str">
            <v>020132950001-66</v>
          </cell>
        </row>
        <row r="151">
          <cell r="E151">
            <v>29095190</v>
          </cell>
          <cell r="U151" t="str">
            <v>020016060001-77</v>
          </cell>
        </row>
        <row r="152">
          <cell r="E152">
            <v>29095212</v>
          </cell>
          <cell r="U152" t="str">
            <v>020590490001-45</v>
          </cell>
        </row>
        <row r="153">
          <cell r="E153">
            <v>29095239</v>
          </cell>
          <cell r="U153" t="str">
            <v>020997130001-80</v>
          </cell>
        </row>
        <row r="154">
          <cell r="E154">
            <v>29095999</v>
          </cell>
          <cell r="U154" t="str">
            <v>020211570001-29</v>
          </cell>
        </row>
        <row r="155">
          <cell r="E155">
            <v>29096243</v>
          </cell>
          <cell r="U155" t="str">
            <v>020389770001-23</v>
          </cell>
        </row>
        <row r="156">
          <cell r="E156">
            <v>29096847</v>
          </cell>
          <cell r="U156" t="str">
            <v>020188030001-07</v>
          </cell>
        </row>
        <row r="157">
          <cell r="E157">
            <v>29097509</v>
          </cell>
          <cell r="U157" t="str">
            <v>020539440001-52</v>
          </cell>
        </row>
        <row r="158">
          <cell r="E158">
            <v>29097541</v>
          </cell>
          <cell r="U158" t="str">
            <v>019998780001-45</v>
          </cell>
        </row>
        <row r="159">
          <cell r="E159">
            <v>29097665</v>
          </cell>
          <cell r="U159" t="str">
            <v>020066220001-52</v>
          </cell>
        </row>
        <row r="160">
          <cell r="E160">
            <v>29097703</v>
          </cell>
          <cell r="U160" t="str">
            <v>019917270001-40</v>
          </cell>
        </row>
        <row r="161">
          <cell r="E161">
            <v>29098165</v>
          </cell>
          <cell r="U161" t="str">
            <v>019998770001-09</v>
          </cell>
        </row>
        <row r="162">
          <cell r="E162">
            <v>29101484</v>
          </cell>
          <cell r="U162" t="str">
            <v>020692730001-18</v>
          </cell>
        </row>
        <row r="163">
          <cell r="E163">
            <v>29101719</v>
          </cell>
          <cell r="U163" t="str">
            <v>020016100001-35</v>
          </cell>
        </row>
        <row r="164">
          <cell r="E164">
            <v>29103037</v>
          </cell>
          <cell r="U164" t="str">
            <v>019998720001-78</v>
          </cell>
        </row>
        <row r="165">
          <cell r="E165">
            <v>29104505</v>
          </cell>
          <cell r="U165" t="str">
            <v>019794050001-86</v>
          </cell>
        </row>
        <row r="166">
          <cell r="E166">
            <v>29104580</v>
          </cell>
          <cell r="U166" t="str">
            <v>020442670001-06</v>
          </cell>
        </row>
        <row r="167">
          <cell r="E167">
            <v>29105684</v>
          </cell>
          <cell r="U167" t="str">
            <v>019753120001-83</v>
          </cell>
        </row>
        <row r="168">
          <cell r="E168">
            <v>29107440</v>
          </cell>
          <cell r="U168" t="str">
            <v>020648650001-47</v>
          </cell>
        </row>
        <row r="169">
          <cell r="E169">
            <v>29107466</v>
          </cell>
          <cell r="U169" t="str">
            <v>020888930001-02</v>
          </cell>
        </row>
        <row r="170">
          <cell r="E170">
            <v>29108047</v>
          </cell>
          <cell r="U170" t="str">
            <v>020679510001-03</v>
          </cell>
        </row>
        <row r="171">
          <cell r="E171">
            <v>29108900</v>
          </cell>
          <cell r="U171" t="str">
            <v>019761130001-90</v>
          </cell>
        </row>
        <row r="172">
          <cell r="E172">
            <v>29109361</v>
          </cell>
          <cell r="U172" t="str">
            <v>019831550001-58</v>
          </cell>
        </row>
        <row r="173">
          <cell r="E173">
            <v>29110076</v>
          </cell>
          <cell r="U173" t="str">
            <v>019600470001-60</v>
          </cell>
        </row>
        <row r="174">
          <cell r="E174">
            <v>29110866</v>
          </cell>
          <cell r="U174" t="str">
            <v>020361030001-37</v>
          </cell>
        </row>
        <row r="175">
          <cell r="E175">
            <v>29111285</v>
          </cell>
          <cell r="U175" t="str">
            <v>019998820001-03</v>
          </cell>
        </row>
        <row r="176">
          <cell r="E176">
            <v>29111730</v>
          </cell>
          <cell r="U176" t="str">
            <v>019260740001-16</v>
          </cell>
        </row>
        <row r="177">
          <cell r="E177">
            <v>29112699</v>
          </cell>
          <cell r="U177" t="str">
            <v>019986530001-74</v>
          </cell>
        </row>
        <row r="178">
          <cell r="E178">
            <v>29113881</v>
          </cell>
          <cell r="U178" t="str">
            <v>021120210001-24</v>
          </cell>
        </row>
        <row r="179">
          <cell r="E179">
            <v>29114500</v>
          </cell>
          <cell r="U179" t="str">
            <v>019886590001-60</v>
          </cell>
        </row>
        <row r="180">
          <cell r="E180">
            <v>29115396</v>
          </cell>
          <cell r="U180" t="str">
            <v>110804170001-28</v>
          </cell>
        </row>
        <row r="181">
          <cell r="E181">
            <v>29115604</v>
          </cell>
          <cell r="U181" t="str">
            <v>019886840001-44</v>
          </cell>
        </row>
        <row r="182">
          <cell r="E182">
            <v>29116422</v>
          </cell>
          <cell r="U182" t="str">
            <v>021565360001-26</v>
          </cell>
        </row>
        <row r="183">
          <cell r="E183">
            <v>29117194</v>
          </cell>
          <cell r="U183" t="str">
            <v>019450580001-70</v>
          </cell>
        </row>
        <row r="184">
          <cell r="E184">
            <v>29117240</v>
          </cell>
          <cell r="U184" t="str">
            <v>019364040001-54</v>
          </cell>
        </row>
        <row r="185">
          <cell r="E185">
            <v>29117666</v>
          </cell>
          <cell r="U185" t="str">
            <v>019364010001-10</v>
          </cell>
        </row>
        <row r="186">
          <cell r="E186">
            <v>29121809</v>
          </cell>
          <cell r="U186" t="str">
            <v>019393550001-03</v>
          </cell>
        </row>
        <row r="187">
          <cell r="E187">
            <v>29124212</v>
          </cell>
          <cell r="U187" t="str">
            <v>020205200001-91</v>
          </cell>
        </row>
        <row r="188">
          <cell r="E188">
            <v>29124484</v>
          </cell>
          <cell r="U188" t="str">
            <v>020040840001-67</v>
          </cell>
        </row>
        <row r="189">
          <cell r="E189">
            <v>29124964</v>
          </cell>
          <cell r="U189" t="str">
            <v>020040810001-23</v>
          </cell>
        </row>
        <row r="190">
          <cell r="E190">
            <v>29125898</v>
          </cell>
          <cell r="U190" t="str">
            <v>019461880001-28</v>
          </cell>
        </row>
        <row r="191">
          <cell r="E191">
            <v>29126126</v>
          </cell>
          <cell r="U191" t="str">
            <v>020959220001-55</v>
          </cell>
        </row>
        <row r="192">
          <cell r="E192">
            <v>29126550</v>
          </cell>
          <cell r="U192" t="str">
            <v>018015090001-04</v>
          </cell>
        </row>
        <row r="193">
          <cell r="E193">
            <v>29126991</v>
          </cell>
          <cell r="U193" t="str">
            <v>022142000001-72</v>
          </cell>
        </row>
        <row r="194">
          <cell r="E194">
            <v>29128366</v>
          </cell>
          <cell r="U194" t="str">
            <v>020205040001-07</v>
          </cell>
        </row>
        <row r="195">
          <cell r="E195">
            <v>29129435</v>
          </cell>
          <cell r="U195" t="str">
            <v>019686990001-40</v>
          </cell>
        </row>
        <row r="196">
          <cell r="E196">
            <v>29131383</v>
          </cell>
          <cell r="U196" t="str">
            <v>020205360001-02</v>
          </cell>
        </row>
        <row r="197">
          <cell r="E197">
            <v>29131553</v>
          </cell>
          <cell r="U197" t="str">
            <v>019664340001-03</v>
          </cell>
        </row>
        <row r="198">
          <cell r="E198">
            <v>29132045</v>
          </cell>
          <cell r="U198" t="str">
            <v>020660070001-31</v>
          </cell>
        </row>
        <row r="199">
          <cell r="E199">
            <v>29132711</v>
          </cell>
          <cell r="U199" t="str">
            <v>020205030001-54</v>
          </cell>
        </row>
        <row r="200">
          <cell r="E200">
            <v>29133130</v>
          </cell>
          <cell r="U200" t="str">
            <v>021596770001-00</v>
          </cell>
        </row>
        <row r="201">
          <cell r="E201">
            <v>29133955</v>
          </cell>
          <cell r="U201" t="str">
            <v>019260570001-89</v>
          </cell>
        </row>
        <row r="202">
          <cell r="E202">
            <v>29135710</v>
          </cell>
          <cell r="U202" t="str">
            <v>020383720001-32</v>
          </cell>
        </row>
        <row r="203">
          <cell r="E203">
            <v>29136571</v>
          </cell>
          <cell r="U203" t="str">
            <v>019998840001-00</v>
          </cell>
        </row>
        <row r="204">
          <cell r="E204">
            <v>29137853</v>
          </cell>
          <cell r="U204" t="str">
            <v>019485890001-17</v>
          </cell>
        </row>
        <row r="205">
          <cell r="E205">
            <v>29137870</v>
          </cell>
          <cell r="U205" t="str">
            <v>019466100001-45</v>
          </cell>
        </row>
        <row r="206">
          <cell r="E206">
            <v>29137900</v>
          </cell>
          <cell r="U206" t="str">
            <v>019485860001-83</v>
          </cell>
        </row>
        <row r="207">
          <cell r="E207">
            <v>29138442</v>
          </cell>
          <cell r="U207" t="str">
            <v>019822960001-56</v>
          </cell>
        </row>
        <row r="208">
          <cell r="E208">
            <v>29139155</v>
          </cell>
          <cell r="U208" t="str">
            <v>019396380001-55</v>
          </cell>
        </row>
        <row r="209">
          <cell r="E209">
            <v>29139325</v>
          </cell>
          <cell r="U209" t="str">
            <v>019691270001-86</v>
          </cell>
        </row>
        <row r="210">
          <cell r="E210">
            <v>29139368</v>
          </cell>
          <cell r="U210" t="str">
            <v>019753260001-05</v>
          </cell>
        </row>
        <row r="211">
          <cell r="E211">
            <v>29140633</v>
          </cell>
          <cell r="U211" t="str">
            <v>019313950001-09</v>
          </cell>
        </row>
        <row r="212">
          <cell r="E212">
            <v>29141044</v>
          </cell>
          <cell r="U212" t="str">
            <v>020411450001-66</v>
          </cell>
        </row>
        <row r="213">
          <cell r="E213">
            <v>29142229</v>
          </cell>
          <cell r="U213" t="str">
            <v>020990140001-30</v>
          </cell>
        </row>
        <row r="214">
          <cell r="E214">
            <v>29142709</v>
          </cell>
          <cell r="U214" t="str">
            <v>019962580001-52</v>
          </cell>
        </row>
        <row r="215">
          <cell r="E215">
            <v>29142997</v>
          </cell>
          <cell r="U215" t="str">
            <v>019637420001-85</v>
          </cell>
        </row>
        <row r="216">
          <cell r="E216">
            <v>29143365</v>
          </cell>
          <cell r="U216" t="str">
            <v>019753200001-20</v>
          </cell>
        </row>
        <row r="217">
          <cell r="E217">
            <v>29143942</v>
          </cell>
          <cell r="U217" t="str">
            <v>019803780001-61</v>
          </cell>
        </row>
        <row r="218">
          <cell r="E218">
            <v>29144302</v>
          </cell>
          <cell r="U218" t="str">
            <v>019485960001-19</v>
          </cell>
        </row>
        <row r="219">
          <cell r="E219">
            <v>29145538</v>
          </cell>
          <cell r="U219" t="str">
            <v>019465980001-79</v>
          </cell>
        </row>
        <row r="220">
          <cell r="E220">
            <v>29146151</v>
          </cell>
          <cell r="U220" t="str">
            <v>023029350001-58</v>
          </cell>
        </row>
        <row r="221">
          <cell r="E221">
            <v>29146631</v>
          </cell>
          <cell r="U221" t="str">
            <v>021626490001-34</v>
          </cell>
        </row>
        <row r="222">
          <cell r="E222">
            <v>29147409</v>
          </cell>
          <cell r="U222" t="str">
            <v>019393460001-12</v>
          </cell>
        </row>
        <row r="223">
          <cell r="E223">
            <v>29147913</v>
          </cell>
          <cell r="U223" t="str">
            <v>019673320001-02</v>
          </cell>
        </row>
        <row r="224">
          <cell r="E224">
            <v>29149380</v>
          </cell>
          <cell r="U224" t="str">
            <v>020297360001-18</v>
          </cell>
        </row>
        <row r="225">
          <cell r="E225">
            <v>29149835</v>
          </cell>
          <cell r="U225" t="str">
            <v>020508920001-60</v>
          </cell>
        </row>
        <row r="226">
          <cell r="E226">
            <v>29149878</v>
          </cell>
          <cell r="U226" t="str">
            <v>033799770001-50</v>
          </cell>
        </row>
        <row r="227">
          <cell r="E227">
            <v>29150191</v>
          </cell>
          <cell r="U227" t="str">
            <v>019687010001-81</v>
          </cell>
        </row>
        <row r="228">
          <cell r="E228">
            <v>29150310</v>
          </cell>
          <cell r="U228" t="str">
            <v>047026360001-36</v>
          </cell>
        </row>
        <row r="229">
          <cell r="E229">
            <v>29150370</v>
          </cell>
          <cell r="U229" t="str">
            <v>041980100001-34</v>
          </cell>
        </row>
        <row r="230">
          <cell r="E230">
            <v>29150418</v>
          </cell>
          <cell r="U230" t="str">
            <v>021257030001-71</v>
          </cell>
        </row>
        <row r="231">
          <cell r="E231">
            <v>29150442</v>
          </cell>
          <cell r="U231" t="str">
            <v>042030980001-35</v>
          </cell>
        </row>
        <row r="232">
          <cell r="E232">
            <v>29150450</v>
          </cell>
          <cell r="U232" t="str">
            <v>019456880001-45</v>
          </cell>
        </row>
        <row r="233">
          <cell r="E233">
            <v>29150590</v>
          </cell>
          <cell r="U233" t="str">
            <v>019490840001-77</v>
          </cell>
        </row>
        <row r="234">
          <cell r="E234">
            <v>29150663</v>
          </cell>
          <cell r="U234" t="str">
            <v>019456870001-09</v>
          </cell>
        </row>
        <row r="235">
          <cell r="E235">
            <v>29151554</v>
          </cell>
          <cell r="U235" t="str">
            <v>020665770001-21</v>
          </cell>
        </row>
        <row r="236">
          <cell r="E236">
            <v>29151651</v>
          </cell>
          <cell r="U236" t="str">
            <v>023218410001-26</v>
          </cell>
        </row>
        <row r="237">
          <cell r="E237">
            <v>29153190</v>
          </cell>
          <cell r="U237" t="str">
            <v>019745640001-98</v>
          </cell>
        </row>
        <row r="238">
          <cell r="E238">
            <v>29153964</v>
          </cell>
          <cell r="U238" t="str">
            <v>020001030001-87</v>
          </cell>
        </row>
        <row r="239">
          <cell r="E239">
            <v>29154618</v>
          </cell>
          <cell r="U239" t="str">
            <v>020336270001-74</v>
          </cell>
        </row>
        <row r="240">
          <cell r="E240">
            <v>29154707</v>
          </cell>
          <cell r="U240" t="str">
            <v>020657340001-84</v>
          </cell>
        </row>
        <row r="241">
          <cell r="E241">
            <v>29155401</v>
          </cell>
          <cell r="U241" t="str">
            <v>021090790001-19</v>
          </cell>
        </row>
        <row r="242">
          <cell r="E242">
            <v>29155673</v>
          </cell>
          <cell r="U242" t="str">
            <v>020305170001-59</v>
          </cell>
        </row>
        <row r="243">
          <cell r="E243">
            <v>29155894</v>
          </cell>
          <cell r="U243" t="str">
            <v>020305210001-17</v>
          </cell>
        </row>
        <row r="244">
          <cell r="E244">
            <v>29156211</v>
          </cell>
          <cell r="U244" t="str">
            <v>021504380001-81</v>
          </cell>
        </row>
        <row r="245">
          <cell r="E245">
            <v>29157536</v>
          </cell>
          <cell r="U245" t="str">
            <v>020742330001-64</v>
          </cell>
        </row>
        <row r="246">
          <cell r="E246">
            <v>29157803</v>
          </cell>
          <cell r="U246" t="str">
            <v>020566150001-65</v>
          </cell>
        </row>
        <row r="247">
          <cell r="E247">
            <v>29158605</v>
          </cell>
          <cell r="U247" t="str">
            <v>021366160001-10</v>
          </cell>
        </row>
        <row r="248">
          <cell r="E248">
            <v>29158850</v>
          </cell>
          <cell r="U248" t="str">
            <v>020627480001-44</v>
          </cell>
        </row>
        <row r="249">
          <cell r="E249">
            <v>29158893</v>
          </cell>
          <cell r="U249" t="str">
            <v>019686780001-25</v>
          </cell>
        </row>
        <row r="250">
          <cell r="E250">
            <v>29160227</v>
          </cell>
          <cell r="U250" t="str">
            <v>019798570001-68</v>
          </cell>
        </row>
        <row r="251">
          <cell r="E251">
            <v>29160502</v>
          </cell>
          <cell r="U251" t="str">
            <v>019686820001-93</v>
          </cell>
        </row>
        <row r="252">
          <cell r="E252">
            <v>29161770</v>
          </cell>
          <cell r="U252" t="str">
            <v>021122380001-34</v>
          </cell>
        </row>
        <row r="253">
          <cell r="E253">
            <v>29162610</v>
          </cell>
          <cell r="U253" t="str">
            <v>019892890001-86</v>
          </cell>
        </row>
        <row r="254">
          <cell r="E254">
            <v>29163234</v>
          </cell>
          <cell r="U254" t="str">
            <v>020624670001-91</v>
          </cell>
        </row>
        <row r="255">
          <cell r="E255">
            <v>29163374</v>
          </cell>
          <cell r="U255" t="str">
            <v>021631270001-57</v>
          </cell>
        </row>
        <row r="256">
          <cell r="E256">
            <v>29164826</v>
          </cell>
          <cell r="U256" t="str">
            <v>020322460001-70</v>
          </cell>
        </row>
        <row r="257">
          <cell r="E257">
            <v>29165253</v>
          </cell>
          <cell r="U257" t="str">
            <v>031747200001-61</v>
          </cell>
        </row>
        <row r="258">
          <cell r="E258">
            <v>29165407</v>
          </cell>
          <cell r="U258" t="str">
            <v>020322470001-15</v>
          </cell>
        </row>
        <row r="259">
          <cell r="E259">
            <v>29165555</v>
          </cell>
          <cell r="U259" t="str">
            <v>020664290001-07</v>
          </cell>
        </row>
        <row r="260">
          <cell r="E260">
            <v>29166063</v>
          </cell>
          <cell r="U260" t="str">
            <v>021090350001-99</v>
          </cell>
        </row>
        <row r="261">
          <cell r="E261">
            <v>29166314</v>
          </cell>
          <cell r="U261" t="str">
            <v>020742250001-18</v>
          </cell>
        </row>
        <row r="262">
          <cell r="E262">
            <v>29166829</v>
          </cell>
          <cell r="U262" t="str">
            <v>022366860001-40</v>
          </cell>
        </row>
        <row r="263">
          <cell r="E263">
            <v>29168775</v>
          </cell>
          <cell r="U263" t="str">
            <v>026532250001-72</v>
          </cell>
        </row>
        <row r="264">
          <cell r="E264">
            <v>29169160</v>
          </cell>
          <cell r="U264" t="str">
            <v>028106680001-20</v>
          </cell>
        </row>
        <row r="265">
          <cell r="E265">
            <v>29169607</v>
          </cell>
          <cell r="U265" t="str">
            <v>020664230001-30</v>
          </cell>
        </row>
        <row r="266">
          <cell r="E266">
            <v>29169615</v>
          </cell>
          <cell r="U266" t="str">
            <v>019869140001-36</v>
          </cell>
        </row>
        <row r="267">
          <cell r="E267">
            <v>29170583</v>
          </cell>
          <cell r="U267" t="str">
            <v>013801490001-06</v>
          </cell>
        </row>
        <row r="268">
          <cell r="E268">
            <v>29171601</v>
          </cell>
          <cell r="U268" t="str">
            <v>020716630001-22</v>
          </cell>
        </row>
        <row r="269">
          <cell r="E269">
            <v>29171610</v>
          </cell>
          <cell r="U269" t="str">
            <v>046243310001-53</v>
          </cell>
        </row>
        <row r="270">
          <cell r="E270">
            <v>29172870</v>
          </cell>
          <cell r="U270" t="str">
            <v>047687850001-06</v>
          </cell>
        </row>
        <row r="271">
          <cell r="E271">
            <v>29173531</v>
          </cell>
          <cell r="U271" t="str">
            <v>025323690001-70</v>
          </cell>
        </row>
        <row r="272">
          <cell r="E272">
            <v>29174180</v>
          </cell>
          <cell r="U272" t="str">
            <v>024049730001-11</v>
          </cell>
        </row>
        <row r="273">
          <cell r="E273">
            <v>29174546</v>
          </cell>
          <cell r="U273" t="str">
            <v>035745700001-83</v>
          </cell>
        </row>
        <row r="274">
          <cell r="E274">
            <v>29174805</v>
          </cell>
          <cell r="U274" t="str">
            <v>071506460001-02</v>
          </cell>
        </row>
        <row r="275">
          <cell r="E275">
            <v>29175518</v>
          </cell>
          <cell r="U275" t="str">
            <v>019884470001-83</v>
          </cell>
        </row>
        <row r="276">
          <cell r="E276">
            <v>29175771</v>
          </cell>
          <cell r="U276" t="str">
            <v>019927060001-40</v>
          </cell>
        </row>
        <row r="277">
          <cell r="E277">
            <v>29175950</v>
          </cell>
          <cell r="U277" t="str">
            <v>019884460001-39</v>
          </cell>
        </row>
        <row r="278">
          <cell r="E278">
            <v>29176409</v>
          </cell>
          <cell r="U278" t="str">
            <v>020482410001-36</v>
          </cell>
        </row>
        <row r="279">
          <cell r="E279">
            <v>29176808</v>
          </cell>
          <cell r="U279" t="str">
            <v>020930400001-50</v>
          </cell>
        </row>
        <row r="280">
          <cell r="E280">
            <v>29177090</v>
          </cell>
          <cell r="U280" t="str">
            <v>020042220001-08</v>
          </cell>
        </row>
        <row r="281">
          <cell r="E281">
            <v>29178231</v>
          </cell>
          <cell r="U281" t="str">
            <v>020042690001-71</v>
          </cell>
        </row>
        <row r="282">
          <cell r="E282">
            <v>29178320</v>
          </cell>
          <cell r="U282" t="str">
            <v>020009290001-46</v>
          </cell>
        </row>
        <row r="283">
          <cell r="E283">
            <v>29178487</v>
          </cell>
          <cell r="U283" t="str">
            <v>020009270001-57</v>
          </cell>
        </row>
        <row r="284">
          <cell r="E284">
            <v>29178550</v>
          </cell>
          <cell r="U284" t="str">
            <v>020165760001-72</v>
          </cell>
        </row>
        <row r="285">
          <cell r="E285">
            <v>29178584</v>
          </cell>
          <cell r="U285" t="str">
            <v>020048820001-99</v>
          </cell>
        </row>
        <row r="286">
          <cell r="E286">
            <v>29179220</v>
          </cell>
          <cell r="U286" t="str">
            <v>019900790001-08</v>
          </cell>
        </row>
        <row r="287">
          <cell r="E287">
            <v>29179491</v>
          </cell>
          <cell r="U287" t="str">
            <v>020170220001-90</v>
          </cell>
        </row>
        <row r="288">
          <cell r="E288">
            <v>29179548</v>
          </cell>
          <cell r="U288" t="str">
            <v>023548340001-20</v>
          </cell>
        </row>
        <row r="289">
          <cell r="E289">
            <v>29179629</v>
          </cell>
          <cell r="U289" t="str">
            <v>020165640001-48</v>
          </cell>
        </row>
        <row r="290">
          <cell r="E290">
            <v>29180104</v>
          </cell>
          <cell r="U290" t="str">
            <v>019760450001-69</v>
          </cell>
        </row>
        <row r="291">
          <cell r="E291">
            <v>29181143</v>
          </cell>
          <cell r="U291" t="str">
            <v>019655280001-68</v>
          </cell>
        </row>
        <row r="292">
          <cell r="E292">
            <v>29181151</v>
          </cell>
          <cell r="U292" t="str">
            <v>021166820001-28</v>
          </cell>
        </row>
        <row r="293">
          <cell r="E293">
            <v>29181470</v>
          </cell>
          <cell r="U293" t="str">
            <v>020100860001-69</v>
          </cell>
        </row>
        <row r="294">
          <cell r="E294">
            <v>29181488</v>
          </cell>
          <cell r="U294" t="str">
            <v>032002970001-27</v>
          </cell>
        </row>
        <row r="295">
          <cell r="E295">
            <v>29181496</v>
          </cell>
          <cell r="U295" t="str">
            <v>019970740001-07</v>
          </cell>
        </row>
        <row r="296">
          <cell r="E296">
            <v>29181500</v>
          </cell>
          <cell r="U296" t="str">
            <v>019553130001-66</v>
          </cell>
        </row>
        <row r="297">
          <cell r="E297">
            <v>29181526</v>
          </cell>
          <cell r="U297" t="str">
            <v>048217110001-88</v>
          </cell>
        </row>
        <row r="298">
          <cell r="E298">
            <v>29181534</v>
          </cell>
          <cell r="U298" t="str">
            <v>020009310001-15</v>
          </cell>
        </row>
        <row r="299">
          <cell r="E299">
            <v>29181542</v>
          </cell>
          <cell r="U299" t="str">
            <v>049133670001-57</v>
          </cell>
        </row>
        <row r="300">
          <cell r="E300">
            <v>29182034</v>
          </cell>
          <cell r="U300" t="str">
            <v>020954340001-48</v>
          </cell>
        </row>
        <row r="301">
          <cell r="E301">
            <v>29182050</v>
          </cell>
          <cell r="U301" t="str">
            <v>020165700001-03</v>
          </cell>
        </row>
        <row r="302">
          <cell r="E302">
            <v>29182077</v>
          </cell>
          <cell r="U302" t="str">
            <v>020170310001-80</v>
          </cell>
        </row>
        <row r="303">
          <cell r="E303">
            <v>29182093</v>
          </cell>
          <cell r="U303" t="str">
            <v>040580990001-33</v>
          </cell>
        </row>
        <row r="304">
          <cell r="E304">
            <v>29182115</v>
          </cell>
          <cell r="U304" t="str">
            <v>020506750001-70</v>
          </cell>
        </row>
        <row r="305">
          <cell r="E305">
            <v>29182123</v>
          </cell>
          <cell r="U305" t="str">
            <v>049103050001-91</v>
          </cell>
        </row>
        <row r="306">
          <cell r="E306">
            <v>29182131</v>
          </cell>
          <cell r="U306" t="str">
            <v>019391990001-80</v>
          </cell>
        </row>
        <row r="307">
          <cell r="E307">
            <v>29182158</v>
          </cell>
          <cell r="U307" t="str">
            <v>019931650001-74</v>
          </cell>
        </row>
        <row r="308">
          <cell r="E308">
            <v>29182166</v>
          </cell>
          <cell r="U308" t="str">
            <v>019655220001-90</v>
          </cell>
        </row>
        <row r="309">
          <cell r="E309">
            <v>29182174</v>
          </cell>
          <cell r="U309" t="str">
            <v>025239190001-95</v>
          </cell>
        </row>
        <row r="310">
          <cell r="E310">
            <v>29182182</v>
          </cell>
          <cell r="U310" t="str">
            <v>047957110001-50</v>
          </cell>
        </row>
        <row r="311">
          <cell r="E311">
            <v>29182204</v>
          </cell>
          <cell r="U311" t="str">
            <v>020139130001-78</v>
          </cell>
        </row>
        <row r="312">
          <cell r="E312">
            <v>29182247</v>
          </cell>
          <cell r="U312" t="str">
            <v>047938770001-38</v>
          </cell>
        </row>
        <row r="313">
          <cell r="E313">
            <v>29182271</v>
          </cell>
          <cell r="U313" t="str">
            <v>020100610001-65</v>
          </cell>
        </row>
        <row r="314">
          <cell r="E314">
            <v>29182280</v>
          </cell>
          <cell r="U314" t="str">
            <v>041817200001-51</v>
          </cell>
        </row>
        <row r="315">
          <cell r="E315">
            <v>29182719</v>
          </cell>
          <cell r="U315" t="str">
            <v>020337840001-80</v>
          </cell>
        </row>
        <row r="316">
          <cell r="E316">
            <v>29182735</v>
          </cell>
          <cell r="U316" t="str">
            <v>020570880001-03</v>
          </cell>
        </row>
        <row r="317">
          <cell r="E317">
            <v>29183987</v>
          </cell>
          <cell r="U317" t="str">
            <v>019863910001-28</v>
          </cell>
        </row>
        <row r="318">
          <cell r="E318">
            <v>29184460</v>
          </cell>
          <cell r="U318" t="str">
            <v>020139090001-00</v>
          </cell>
        </row>
        <row r="319">
          <cell r="E319">
            <v>29184916</v>
          </cell>
          <cell r="U319" t="str">
            <v>020984450001-81</v>
          </cell>
        </row>
        <row r="320">
          <cell r="E320">
            <v>29184932</v>
          </cell>
          <cell r="U320" t="str">
            <v>019982070001-60</v>
          </cell>
        </row>
        <row r="321">
          <cell r="E321">
            <v>29184983</v>
          </cell>
          <cell r="U321" t="str">
            <v>020100750001-89</v>
          </cell>
        </row>
        <row r="322">
          <cell r="E322">
            <v>29185300</v>
          </cell>
          <cell r="U322" t="str">
            <v>055113540001-14</v>
          </cell>
        </row>
        <row r="323">
          <cell r="E323">
            <v>29185351</v>
          </cell>
          <cell r="U323" t="str">
            <v>020833650001-52</v>
          </cell>
        </row>
        <row r="324">
          <cell r="E324">
            <v>29185394</v>
          </cell>
          <cell r="U324" t="str">
            <v>038863210001-23</v>
          </cell>
        </row>
        <row r="325">
          <cell r="E325">
            <v>29185408</v>
          </cell>
          <cell r="U325" t="str">
            <v>020258890001-97</v>
          </cell>
        </row>
        <row r="326">
          <cell r="E326">
            <v>29186552</v>
          </cell>
          <cell r="U326" t="str">
            <v>019970750001-51</v>
          </cell>
        </row>
        <row r="327">
          <cell r="E327">
            <v>29186935</v>
          </cell>
          <cell r="U327" t="str">
            <v>019988070001-28</v>
          </cell>
        </row>
        <row r="328">
          <cell r="E328">
            <v>29187001</v>
          </cell>
          <cell r="U328" t="str">
            <v>019604800001-03</v>
          </cell>
        </row>
        <row r="329">
          <cell r="E329">
            <v>29187010</v>
          </cell>
          <cell r="U329" t="str">
            <v>019866950001-95</v>
          </cell>
        </row>
        <row r="330">
          <cell r="E330">
            <v>29187079</v>
          </cell>
          <cell r="U330" t="str">
            <v>020545030001-75</v>
          </cell>
        </row>
        <row r="331">
          <cell r="E331">
            <v>29187095</v>
          </cell>
          <cell r="U331" t="str">
            <v>020626540001-75</v>
          </cell>
        </row>
        <row r="332">
          <cell r="E332">
            <v>29187303</v>
          </cell>
          <cell r="U332" t="str">
            <v>019931480001-37</v>
          </cell>
        </row>
        <row r="333">
          <cell r="E333">
            <v>29187320</v>
          </cell>
          <cell r="U333" t="str">
            <v>023487310001-58</v>
          </cell>
        </row>
        <row r="334">
          <cell r="E334">
            <v>29187346</v>
          </cell>
          <cell r="U334" t="str">
            <v>019928440001-29</v>
          </cell>
        </row>
        <row r="335">
          <cell r="E335">
            <v>29187419</v>
          </cell>
          <cell r="U335" t="str">
            <v>020100990001-38</v>
          </cell>
        </row>
        <row r="336">
          <cell r="E336">
            <v>29187583</v>
          </cell>
          <cell r="U336" t="str">
            <v>019939990001-80</v>
          </cell>
        </row>
        <row r="337">
          <cell r="E337">
            <v>29187877</v>
          </cell>
          <cell r="U337" t="str">
            <v>021270230001-97</v>
          </cell>
        </row>
        <row r="338">
          <cell r="E338">
            <v>29188270</v>
          </cell>
          <cell r="U338" t="str">
            <v>020009260001-02</v>
          </cell>
        </row>
        <row r="339">
          <cell r="E339">
            <v>29188431</v>
          </cell>
          <cell r="U339" t="str">
            <v>019900950001-09</v>
          </cell>
        </row>
        <row r="340">
          <cell r="E340">
            <v>29188458</v>
          </cell>
          <cell r="U340" t="str">
            <v>031355000001-29</v>
          </cell>
        </row>
        <row r="341">
          <cell r="E341">
            <v>29188695</v>
          </cell>
          <cell r="U341" t="str">
            <v>023370670001-41</v>
          </cell>
        </row>
        <row r="342">
          <cell r="E342">
            <v>29188768</v>
          </cell>
          <cell r="U342" t="str">
            <v>019866820001-16</v>
          </cell>
        </row>
        <row r="343">
          <cell r="E343">
            <v>29188784</v>
          </cell>
          <cell r="U343" t="str">
            <v>021105470001-75</v>
          </cell>
        </row>
        <row r="344">
          <cell r="E344">
            <v>29188792</v>
          </cell>
          <cell r="U344" t="str">
            <v>019986850001-70</v>
          </cell>
        </row>
        <row r="345">
          <cell r="E345">
            <v>29188903</v>
          </cell>
          <cell r="U345" t="str">
            <v>019831290001-20</v>
          </cell>
        </row>
        <row r="346">
          <cell r="E346">
            <v>29189012</v>
          </cell>
          <cell r="U346" t="str">
            <v>020382660001-59</v>
          </cell>
        </row>
        <row r="347">
          <cell r="E347">
            <v>29189047</v>
          </cell>
          <cell r="U347" t="str">
            <v>021210750001-56</v>
          </cell>
        </row>
        <row r="348">
          <cell r="E348">
            <v>29189080</v>
          </cell>
          <cell r="U348" t="str">
            <v>020165730001-39</v>
          </cell>
        </row>
        <row r="349">
          <cell r="E349">
            <v>29189241</v>
          </cell>
          <cell r="U349" t="str">
            <v>019333530001-07</v>
          </cell>
        </row>
        <row r="350">
          <cell r="E350">
            <v>29189454</v>
          </cell>
          <cell r="U350" t="str">
            <v>020526850001-45</v>
          </cell>
        </row>
        <row r="351">
          <cell r="E351">
            <v>29189950</v>
          </cell>
          <cell r="U351" t="str">
            <v>019869960001-19</v>
          </cell>
        </row>
        <row r="352">
          <cell r="E352">
            <v>29190363</v>
          </cell>
          <cell r="U352" t="str">
            <v>022865970001-08</v>
          </cell>
        </row>
        <row r="353">
          <cell r="E353">
            <v>29190720</v>
          </cell>
          <cell r="U353" t="str">
            <v>019970720001-18</v>
          </cell>
        </row>
        <row r="354">
          <cell r="E354">
            <v>29190738</v>
          </cell>
          <cell r="U354" t="str">
            <v>020369070001-36</v>
          </cell>
        </row>
        <row r="355">
          <cell r="E355">
            <v>29190754</v>
          </cell>
          <cell r="U355" t="str">
            <v>019655470001-94</v>
          </cell>
        </row>
        <row r="356">
          <cell r="E356">
            <v>29190770</v>
          </cell>
          <cell r="U356" t="str">
            <v>019868120001-10</v>
          </cell>
        </row>
        <row r="357">
          <cell r="E357">
            <v>29190835</v>
          </cell>
          <cell r="U357" t="str">
            <v>019831120001-72</v>
          </cell>
        </row>
        <row r="358">
          <cell r="E358">
            <v>29190851</v>
          </cell>
          <cell r="U358" t="str">
            <v>019831000001-48</v>
          </cell>
        </row>
        <row r="359">
          <cell r="E359">
            <v>29190878</v>
          </cell>
          <cell r="U359" t="str">
            <v>019655520001-05</v>
          </cell>
        </row>
        <row r="360">
          <cell r="E360">
            <v>29190894</v>
          </cell>
          <cell r="U360" t="str">
            <v>019862850001-44</v>
          </cell>
        </row>
        <row r="361">
          <cell r="E361">
            <v>29190908</v>
          </cell>
          <cell r="U361" t="str">
            <v>019866930001-04</v>
          </cell>
        </row>
        <row r="362">
          <cell r="E362">
            <v>29190916</v>
          </cell>
          <cell r="U362" t="str">
            <v>019866960001-30</v>
          </cell>
        </row>
        <row r="363">
          <cell r="E363">
            <v>29190967</v>
          </cell>
          <cell r="U363" t="str">
            <v>022797550001-00</v>
          </cell>
        </row>
        <row r="364">
          <cell r="E364">
            <v>29190991</v>
          </cell>
          <cell r="U364" t="str">
            <v>019928470001-62</v>
          </cell>
        </row>
        <row r="365">
          <cell r="E365">
            <v>29191041</v>
          </cell>
          <cell r="U365" t="str">
            <v>020311300001-17</v>
          </cell>
        </row>
        <row r="366">
          <cell r="E366">
            <v>29191084</v>
          </cell>
          <cell r="U366" t="str">
            <v>021467660001-04</v>
          </cell>
        </row>
        <row r="367">
          <cell r="E367">
            <v>29191106</v>
          </cell>
          <cell r="U367" t="str">
            <v>020222960001-77</v>
          </cell>
        </row>
        <row r="368">
          <cell r="E368">
            <v>29191114</v>
          </cell>
          <cell r="U368" t="str">
            <v>019973310001-00</v>
          </cell>
        </row>
        <row r="369">
          <cell r="E369">
            <v>29191157</v>
          </cell>
          <cell r="U369" t="str">
            <v>020443200001-79</v>
          </cell>
        </row>
        <row r="370">
          <cell r="E370">
            <v>29191173</v>
          </cell>
          <cell r="U370" t="str">
            <v>019952560001-49</v>
          </cell>
        </row>
        <row r="371">
          <cell r="E371">
            <v>29191211</v>
          </cell>
          <cell r="U371" t="str">
            <v>020259660001-09</v>
          </cell>
        </row>
        <row r="372">
          <cell r="E372">
            <v>29191335</v>
          </cell>
          <cell r="U372" t="str">
            <v>021094850001-81</v>
          </cell>
        </row>
        <row r="373">
          <cell r="E373">
            <v>29191343</v>
          </cell>
          <cell r="U373" t="str">
            <v>047960930001-63</v>
          </cell>
        </row>
        <row r="374">
          <cell r="E374">
            <v>29191360</v>
          </cell>
          <cell r="U374" t="str">
            <v>020401590001-65</v>
          </cell>
        </row>
        <row r="375">
          <cell r="E375">
            <v>29191378</v>
          </cell>
          <cell r="U375" t="str">
            <v>020720820001-05</v>
          </cell>
        </row>
        <row r="376">
          <cell r="E376">
            <v>29191572</v>
          </cell>
          <cell r="U376" t="str">
            <v>020100870001-03</v>
          </cell>
        </row>
        <row r="377">
          <cell r="E377">
            <v>29191637</v>
          </cell>
          <cell r="U377" t="str">
            <v>019831320001-43</v>
          </cell>
        </row>
        <row r="378">
          <cell r="E378">
            <v>29191840</v>
          </cell>
          <cell r="U378" t="str">
            <v>027468750001-62</v>
          </cell>
        </row>
        <row r="379">
          <cell r="E379">
            <v>29192013</v>
          </cell>
          <cell r="U379" t="str">
            <v>020369320001-10</v>
          </cell>
        </row>
        <row r="380">
          <cell r="E380">
            <v>29192021</v>
          </cell>
          <cell r="U380" t="str">
            <v>019716440001-90</v>
          </cell>
        </row>
        <row r="381">
          <cell r="E381">
            <v>29192030</v>
          </cell>
          <cell r="U381" t="str">
            <v>020165620001-59</v>
          </cell>
        </row>
        <row r="382">
          <cell r="E382">
            <v>29192064</v>
          </cell>
          <cell r="U382" t="str">
            <v>020100840001-70</v>
          </cell>
        </row>
        <row r="383">
          <cell r="E383">
            <v>29192080</v>
          </cell>
          <cell r="U383" t="str">
            <v>020042670001-82</v>
          </cell>
        </row>
        <row r="384">
          <cell r="E384">
            <v>29192137</v>
          </cell>
          <cell r="U384" t="str">
            <v>020258840001-64</v>
          </cell>
        </row>
        <row r="385">
          <cell r="E385">
            <v>29192170</v>
          </cell>
          <cell r="U385" t="str">
            <v>019831370001-76</v>
          </cell>
        </row>
        <row r="386">
          <cell r="E386">
            <v>29192188</v>
          </cell>
          <cell r="U386" t="str">
            <v>020100550001-08</v>
          </cell>
        </row>
        <row r="387">
          <cell r="E387">
            <v>29192218</v>
          </cell>
          <cell r="U387" t="str">
            <v>019900320001-44</v>
          </cell>
        </row>
        <row r="388">
          <cell r="E388">
            <v>29192277</v>
          </cell>
          <cell r="U388" t="str">
            <v>019866970001-84</v>
          </cell>
        </row>
        <row r="389">
          <cell r="E389">
            <v>29192307</v>
          </cell>
          <cell r="U389" t="str">
            <v>019970730001-62</v>
          </cell>
        </row>
        <row r="390">
          <cell r="E390">
            <v>29192331</v>
          </cell>
          <cell r="U390" t="str">
            <v>019400030001-78</v>
          </cell>
        </row>
        <row r="391">
          <cell r="E391">
            <v>29192617</v>
          </cell>
          <cell r="U391" t="str">
            <v>019736170001-56</v>
          </cell>
        </row>
        <row r="392">
          <cell r="E392">
            <v>29192790</v>
          </cell>
          <cell r="U392" t="str">
            <v>020405600001-03</v>
          </cell>
        </row>
        <row r="393">
          <cell r="E393">
            <v>29192889</v>
          </cell>
          <cell r="U393" t="str">
            <v>020048840001-88</v>
          </cell>
        </row>
        <row r="394">
          <cell r="E394">
            <v>29193095</v>
          </cell>
          <cell r="U394" t="str">
            <v>019882500001-44</v>
          </cell>
        </row>
        <row r="395">
          <cell r="E395">
            <v>29193532</v>
          </cell>
          <cell r="U395" t="str">
            <v>020900070001-77</v>
          </cell>
        </row>
        <row r="396">
          <cell r="E396">
            <v>29193567</v>
          </cell>
          <cell r="U396" t="str">
            <v>019970690001-02</v>
          </cell>
        </row>
        <row r="397">
          <cell r="E397">
            <v>29193656</v>
          </cell>
          <cell r="U397" t="str">
            <v>020412010001-62</v>
          </cell>
        </row>
        <row r="398">
          <cell r="E398">
            <v>29193966</v>
          </cell>
          <cell r="U398" t="str">
            <v>019599440001-53</v>
          </cell>
        </row>
        <row r="399">
          <cell r="E399">
            <v>29194750</v>
          </cell>
          <cell r="U399" t="str">
            <v>019989090001-43</v>
          </cell>
        </row>
        <row r="400">
          <cell r="E400">
            <v>29194776</v>
          </cell>
          <cell r="U400" t="str">
            <v>020100540001-63</v>
          </cell>
        </row>
        <row r="401">
          <cell r="E401">
            <v>29195462</v>
          </cell>
          <cell r="U401" t="str">
            <v>019973350001-99</v>
          </cell>
        </row>
        <row r="402">
          <cell r="E402">
            <v>29196434</v>
          </cell>
          <cell r="U402" t="str">
            <v>049107770001-44</v>
          </cell>
        </row>
        <row r="403">
          <cell r="E403">
            <v>29198780</v>
          </cell>
          <cell r="U403" t="str">
            <v>019453340001-09</v>
          </cell>
        </row>
        <row r="404">
          <cell r="E404">
            <v>29199387</v>
          </cell>
          <cell r="U404" t="str">
            <v>021210710001-78</v>
          </cell>
        </row>
        <row r="405">
          <cell r="E405">
            <v>29199930</v>
          </cell>
          <cell r="U405" t="str">
            <v>019902590001-90</v>
          </cell>
        </row>
        <row r="406">
          <cell r="E406">
            <v>29200075</v>
          </cell>
          <cell r="U406" t="str">
            <v>020369060001-91</v>
          </cell>
        </row>
        <row r="407">
          <cell r="E407">
            <v>29200296</v>
          </cell>
          <cell r="U407" t="str">
            <v>034082770001-46</v>
          </cell>
        </row>
        <row r="408">
          <cell r="E408">
            <v>29201020</v>
          </cell>
          <cell r="U408" t="str">
            <v>020264390001-19</v>
          </cell>
        </row>
        <row r="409">
          <cell r="E409">
            <v>29201063</v>
          </cell>
          <cell r="U409" t="str">
            <v>019977890001-60</v>
          </cell>
        </row>
        <row r="410">
          <cell r="E410">
            <v>29201373</v>
          </cell>
          <cell r="U410" t="str">
            <v>020165720001-94</v>
          </cell>
        </row>
        <row r="411">
          <cell r="E411">
            <v>29201390</v>
          </cell>
          <cell r="U411" t="str">
            <v>020042540001-03</v>
          </cell>
        </row>
        <row r="412">
          <cell r="E412">
            <v>29201527</v>
          </cell>
          <cell r="U412" t="str">
            <v>020015800001-67</v>
          </cell>
        </row>
        <row r="413">
          <cell r="E413">
            <v>29201535</v>
          </cell>
          <cell r="U413" t="str">
            <v>020194770001-44</v>
          </cell>
        </row>
        <row r="414">
          <cell r="E414">
            <v>29201632</v>
          </cell>
          <cell r="U414" t="str">
            <v>020337820001-90</v>
          </cell>
        </row>
        <row r="415">
          <cell r="E415">
            <v>29201853</v>
          </cell>
          <cell r="U415" t="str">
            <v>019977960001-61</v>
          </cell>
        </row>
        <row r="416">
          <cell r="E416">
            <v>29202493</v>
          </cell>
          <cell r="U416" t="str">
            <v>019867160001-72</v>
          </cell>
        </row>
        <row r="417">
          <cell r="E417">
            <v>29202604</v>
          </cell>
          <cell r="U417" t="str">
            <v>019970680001-50</v>
          </cell>
        </row>
        <row r="418">
          <cell r="E418">
            <v>29205000</v>
          </cell>
          <cell r="U418" t="str">
            <v>019220930001-74</v>
          </cell>
        </row>
        <row r="419">
          <cell r="E419">
            <v>29205387</v>
          </cell>
          <cell r="U419" t="str">
            <v>021077650001-50</v>
          </cell>
        </row>
        <row r="420">
          <cell r="E420">
            <v>29206545</v>
          </cell>
          <cell r="U420" t="str">
            <v>020365810001-47</v>
          </cell>
        </row>
        <row r="421">
          <cell r="E421">
            <v>29206936</v>
          </cell>
          <cell r="U421" t="str">
            <v>020596050001-83</v>
          </cell>
        </row>
        <row r="422">
          <cell r="E422">
            <v>29207770</v>
          </cell>
          <cell r="U422" t="str">
            <v>020596100001-96</v>
          </cell>
        </row>
        <row r="423">
          <cell r="E423">
            <v>29207843</v>
          </cell>
          <cell r="U423" t="str">
            <v>019525980001-81</v>
          </cell>
        </row>
        <row r="424">
          <cell r="E424">
            <v>29208297</v>
          </cell>
          <cell r="U424" t="str">
            <v>020326840001-39</v>
          </cell>
        </row>
        <row r="425">
          <cell r="E425">
            <v>29209439</v>
          </cell>
          <cell r="U425" t="str">
            <v>019929640001-26</v>
          </cell>
        </row>
        <row r="426">
          <cell r="E426">
            <v>29209994</v>
          </cell>
          <cell r="U426" t="str">
            <v>019521800001-74</v>
          </cell>
        </row>
        <row r="427">
          <cell r="E427">
            <v>29210399</v>
          </cell>
          <cell r="U427" t="str">
            <v>019221060001-05</v>
          </cell>
        </row>
        <row r="428">
          <cell r="E428">
            <v>29210950</v>
          </cell>
          <cell r="U428" t="str">
            <v>019504240001-80</v>
          </cell>
        </row>
        <row r="429">
          <cell r="E429">
            <v>29211590</v>
          </cell>
          <cell r="U429" t="str">
            <v>031747740001-27</v>
          </cell>
        </row>
        <row r="430">
          <cell r="E430">
            <v>29213592</v>
          </cell>
          <cell r="U430" t="str">
            <v>019485020001-01</v>
          </cell>
        </row>
        <row r="431">
          <cell r="E431">
            <v>29214211</v>
          </cell>
          <cell r="U431" t="str">
            <v>019512400001-34</v>
          </cell>
        </row>
        <row r="432">
          <cell r="E432">
            <v>29214866</v>
          </cell>
          <cell r="U432" t="str">
            <v>019548530001-25</v>
          </cell>
        </row>
        <row r="433">
          <cell r="E433">
            <v>29214939</v>
          </cell>
          <cell r="U433" t="str">
            <v>023094670001-43</v>
          </cell>
        </row>
        <row r="434">
          <cell r="E434">
            <v>29215382</v>
          </cell>
          <cell r="U434" t="str">
            <v>019898270001-32</v>
          </cell>
        </row>
        <row r="435">
          <cell r="E435">
            <v>29216206</v>
          </cell>
          <cell r="U435" t="str">
            <v>031726310001-86</v>
          </cell>
        </row>
        <row r="436">
          <cell r="E436">
            <v>29216486</v>
          </cell>
          <cell r="U436" t="str">
            <v>020503630001-67</v>
          </cell>
        </row>
        <row r="437">
          <cell r="E437">
            <v>29219841</v>
          </cell>
          <cell r="U437" t="str">
            <v>032000680001-02</v>
          </cell>
        </row>
        <row r="438">
          <cell r="E438">
            <v>29220076</v>
          </cell>
          <cell r="U438" t="str">
            <v>019521500001-68</v>
          </cell>
        </row>
        <row r="439">
          <cell r="E439">
            <v>29221307</v>
          </cell>
          <cell r="U439" t="str">
            <v>019521650001-26</v>
          </cell>
        </row>
        <row r="440">
          <cell r="E440">
            <v>29221935</v>
          </cell>
          <cell r="U440" t="str">
            <v>032991900001-88</v>
          </cell>
        </row>
        <row r="441">
          <cell r="E441">
            <v>29222583</v>
          </cell>
          <cell r="U441" t="str">
            <v>020519300001-08</v>
          </cell>
        </row>
        <row r="442">
          <cell r="E442">
            <v>29222710</v>
          </cell>
          <cell r="U442" t="str">
            <v>020519320001-99</v>
          </cell>
        </row>
        <row r="443">
          <cell r="E443">
            <v>29223016</v>
          </cell>
          <cell r="U443" t="str">
            <v>020519380001-66</v>
          </cell>
        </row>
        <row r="444">
          <cell r="E444">
            <v>29223652</v>
          </cell>
          <cell r="U444" t="str">
            <v>020113030001-35</v>
          </cell>
        </row>
        <row r="445">
          <cell r="E445">
            <v>29223687</v>
          </cell>
          <cell r="U445" t="str">
            <v>020065630001-12</v>
          </cell>
        </row>
        <row r="446">
          <cell r="E446">
            <v>29225060</v>
          </cell>
          <cell r="U446" t="str">
            <v>021196770001-79</v>
          </cell>
        </row>
        <row r="447">
          <cell r="E447">
            <v>29226040</v>
          </cell>
          <cell r="U447" t="str">
            <v>020325280001-78</v>
          </cell>
        </row>
        <row r="448">
          <cell r="E448">
            <v>29226147</v>
          </cell>
          <cell r="U448" t="str">
            <v>020673370001-41</v>
          </cell>
        </row>
        <row r="449">
          <cell r="E449">
            <v>29226520</v>
          </cell>
          <cell r="U449" t="str">
            <v>021018670001-69</v>
          </cell>
        </row>
        <row r="450">
          <cell r="E450">
            <v>29226864</v>
          </cell>
          <cell r="U450" t="str">
            <v>021531140001-05</v>
          </cell>
        </row>
        <row r="451">
          <cell r="E451">
            <v>29227356</v>
          </cell>
          <cell r="U451" t="str">
            <v>020788030001-94</v>
          </cell>
        </row>
        <row r="452">
          <cell r="E452">
            <v>29227658</v>
          </cell>
          <cell r="U452" t="str">
            <v>021211220001-61</v>
          </cell>
        </row>
        <row r="453">
          <cell r="E453">
            <v>29227690</v>
          </cell>
          <cell r="U453" t="str">
            <v>021341550001-46</v>
          </cell>
        </row>
        <row r="454">
          <cell r="E454">
            <v>29228549</v>
          </cell>
          <cell r="U454" t="str">
            <v>020138150001-30</v>
          </cell>
        </row>
        <row r="455">
          <cell r="E455">
            <v>29229294</v>
          </cell>
          <cell r="U455" t="str">
            <v>021289040001-22</v>
          </cell>
        </row>
        <row r="456">
          <cell r="E456">
            <v>29229324</v>
          </cell>
          <cell r="U456" t="str">
            <v>021143520001-01</v>
          </cell>
        </row>
        <row r="457">
          <cell r="E457">
            <v>29229421</v>
          </cell>
          <cell r="U457" t="str">
            <v>020990270001-09</v>
          </cell>
        </row>
        <row r="458">
          <cell r="E458">
            <v>29229529</v>
          </cell>
          <cell r="U458" t="str">
            <v>138939460001-76</v>
          </cell>
        </row>
        <row r="459">
          <cell r="E459">
            <v>29229839</v>
          </cell>
          <cell r="U459" t="str">
            <v>020664570001-24</v>
          </cell>
        </row>
        <row r="460">
          <cell r="E460">
            <v>29230985</v>
          </cell>
          <cell r="U460" t="str">
            <v>021937470001-39</v>
          </cell>
        </row>
        <row r="461">
          <cell r="E461">
            <v>29231264</v>
          </cell>
          <cell r="U461" t="str">
            <v>020551510001-72</v>
          </cell>
        </row>
        <row r="462">
          <cell r="E462">
            <v>29231868</v>
          </cell>
          <cell r="U462" t="str">
            <v>020631610001-50</v>
          </cell>
        </row>
        <row r="463">
          <cell r="E463">
            <v>29232341</v>
          </cell>
          <cell r="U463" t="str">
            <v>020558770001-05</v>
          </cell>
        </row>
        <row r="464">
          <cell r="E464">
            <v>29232988</v>
          </cell>
          <cell r="U464" t="str">
            <v>021773890001-70</v>
          </cell>
        </row>
        <row r="465">
          <cell r="E465">
            <v>29234450</v>
          </cell>
          <cell r="U465" t="str">
            <v>020385080001-04</v>
          </cell>
        </row>
        <row r="466">
          <cell r="E466">
            <v>29234913</v>
          </cell>
          <cell r="U466" t="str">
            <v>021018700001-82</v>
          </cell>
        </row>
        <row r="467">
          <cell r="E467">
            <v>29235260</v>
          </cell>
          <cell r="U467" t="str">
            <v>020749560001-63</v>
          </cell>
        </row>
        <row r="468">
          <cell r="E468">
            <v>29236550</v>
          </cell>
          <cell r="U468" t="str">
            <v>020559500001-49</v>
          </cell>
        </row>
        <row r="469">
          <cell r="E469">
            <v>29236606</v>
          </cell>
          <cell r="U469" t="str">
            <v>031854480001-15</v>
          </cell>
        </row>
        <row r="470">
          <cell r="E470">
            <v>29237629</v>
          </cell>
          <cell r="U470" t="str">
            <v>028983550001-75</v>
          </cell>
        </row>
        <row r="471">
          <cell r="E471">
            <v>29237645</v>
          </cell>
          <cell r="U471" t="str">
            <v>020137910001-10</v>
          </cell>
        </row>
        <row r="472">
          <cell r="E472">
            <v>29239354</v>
          </cell>
          <cell r="U472" t="str">
            <v>020138010001-17</v>
          </cell>
        </row>
        <row r="473">
          <cell r="E473">
            <v>29240530</v>
          </cell>
          <cell r="U473" t="str">
            <v>021794980001-27</v>
          </cell>
        </row>
        <row r="474">
          <cell r="E474">
            <v>29240638</v>
          </cell>
          <cell r="U474" t="str">
            <v>019485010001-67</v>
          </cell>
        </row>
        <row r="475">
          <cell r="E475">
            <v>29242231</v>
          </cell>
          <cell r="U475" t="str">
            <v>020113420001-32</v>
          </cell>
        </row>
        <row r="476">
          <cell r="E476">
            <v>29243882</v>
          </cell>
          <cell r="U476" t="str">
            <v>020262750001-20</v>
          </cell>
        </row>
        <row r="477">
          <cell r="E477">
            <v>29243947</v>
          </cell>
          <cell r="U477" t="str">
            <v>020844170001-05</v>
          </cell>
        </row>
        <row r="478">
          <cell r="E478">
            <v>29245893</v>
          </cell>
          <cell r="U478" t="str">
            <v>021079590001-56</v>
          </cell>
        </row>
        <row r="479">
          <cell r="E479">
            <v>29248132</v>
          </cell>
          <cell r="U479" t="str">
            <v>019461070001-90</v>
          </cell>
        </row>
        <row r="480">
          <cell r="E480">
            <v>29249104</v>
          </cell>
          <cell r="U480" t="str">
            <v>019493930001-47</v>
          </cell>
        </row>
        <row r="481">
          <cell r="E481">
            <v>29250285</v>
          </cell>
          <cell r="U481" t="str">
            <v>032246020001-10</v>
          </cell>
        </row>
        <row r="482">
          <cell r="E482">
            <v>29251648</v>
          </cell>
          <cell r="U482" t="str">
            <v>020185640001-87</v>
          </cell>
        </row>
        <row r="483">
          <cell r="E483">
            <v>29252555</v>
          </cell>
          <cell r="U483" t="str">
            <v>019532530001-42</v>
          </cell>
        </row>
        <row r="484">
          <cell r="E484">
            <v>29254396</v>
          </cell>
          <cell r="U484" t="str">
            <v>019856120001-43</v>
          </cell>
        </row>
        <row r="485">
          <cell r="E485">
            <v>29254426</v>
          </cell>
          <cell r="U485" t="str">
            <v>019934890001-02</v>
          </cell>
        </row>
        <row r="486">
          <cell r="E486">
            <v>29255597</v>
          </cell>
          <cell r="U486" t="str">
            <v>021712800001-26</v>
          </cell>
        </row>
        <row r="487">
          <cell r="E487">
            <v>29258324</v>
          </cell>
          <cell r="U487" t="str">
            <v>019325370001-52</v>
          </cell>
        </row>
        <row r="488">
          <cell r="E488">
            <v>29259630</v>
          </cell>
          <cell r="U488" t="str">
            <v>019482970001-84</v>
          </cell>
        </row>
        <row r="489">
          <cell r="E489">
            <v>29260256</v>
          </cell>
          <cell r="U489" t="str">
            <v>019866770001-03</v>
          </cell>
        </row>
        <row r="490">
          <cell r="E490">
            <v>29261481</v>
          </cell>
          <cell r="U490" t="str">
            <v>023084250001-98</v>
          </cell>
        </row>
        <row r="491">
          <cell r="E491">
            <v>29261953</v>
          </cell>
          <cell r="U491" t="str">
            <v>019737270001-18</v>
          </cell>
        </row>
        <row r="492">
          <cell r="E492">
            <v>29263972</v>
          </cell>
          <cell r="U492" t="str">
            <v>031722820001-00</v>
          </cell>
        </row>
        <row r="493">
          <cell r="E493">
            <v>29264049</v>
          </cell>
          <cell r="U493" t="str">
            <v>021400190001-69</v>
          </cell>
        </row>
        <row r="494">
          <cell r="E494">
            <v>29265932</v>
          </cell>
          <cell r="U494" t="str">
            <v>127641040001-51</v>
          </cell>
        </row>
        <row r="495">
          <cell r="E495">
            <v>29267420</v>
          </cell>
          <cell r="U495" t="str">
            <v>019371880001-61</v>
          </cell>
        </row>
        <row r="496">
          <cell r="E496">
            <v>29267480</v>
          </cell>
          <cell r="U496" t="str">
            <v>019481530001-28</v>
          </cell>
        </row>
        <row r="497">
          <cell r="E497">
            <v>29268168</v>
          </cell>
          <cell r="U497" t="str">
            <v>019400330001-84</v>
          </cell>
        </row>
        <row r="498">
          <cell r="E498">
            <v>29268524</v>
          </cell>
          <cell r="U498" t="str">
            <v>020714850001-30</v>
          </cell>
        </row>
        <row r="499">
          <cell r="E499">
            <v>29269806</v>
          </cell>
          <cell r="U499" t="str">
            <v>019858610001-39</v>
          </cell>
        </row>
        <row r="500">
          <cell r="E500">
            <v>29270545</v>
          </cell>
          <cell r="U500" t="str">
            <v>021680330001-70</v>
          </cell>
        </row>
        <row r="501">
          <cell r="E501">
            <v>29270570</v>
          </cell>
          <cell r="U501" t="str">
            <v>020689260001-44</v>
          </cell>
        </row>
        <row r="502">
          <cell r="E502">
            <v>29271967</v>
          </cell>
          <cell r="U502" t="str">
            <v>026141630001-90</v>
          </cell>
        </row>
        <row r="503">
          <cell r="E503">
            <v>29272696</v>
          </cell>
          <cell r="U503" t="str">
            <v>020371790001-87</v>
          </cell>
        </row>
        <row r="504">
          <cell r="E504">
            <v>29272947</v>
          </cell>
          <cell r="U504" t="str">
            <v>030218630001-33</v>
          </cell>
        </row>
        <row r="505">
          <cell r="E505">
            <v>29275474</v>
          </cell>
          <cell r="U505" t="str">
            <v>019364370001-02</v>
          </cell>
        </row>
        <row r="506">
          <cell r="E506">
            <v>29276411</v>
          </cell>
          <cell r="U506" t="str">
            <v>019571590001-61</v>
          </cell>
        </row>
        <row r="507">
          <cell r="E507">
            <v>29277230</v>
          </cell>
          <cell r="U507" t="str">
            <v>019571570001-72</v>
          </cell>
        </row>
        <row r="508">
          <cell r="E508">
            <v>29277256</v>
          </cell>
          <cell r="U508" t="str">
            <v>019571600001-96</v>
          </cell>
        </row>
        <row r="509">
          <cell r="E509">
            <v>29277752</v>
          </cell>
          <cell r="U509" t="str">
            <v>019447950001-59</v>
          </cell>
        </row>
        <row r="510">
          <cell r="E510">
            <v>29277787</v>
          </cell>
          <cell r="U510" t="str">
            <v>019400380001-07</v>
          </cell>
        </row>
        <row r="511">
          <cell r="E511">
            <v>29277809</v>
          </cell>
          <cell r="U511" t="str">
            <v>019364090001-87</v>
          </cell>
        </row>
        <row r="512">
          <cell r="E512">
            <v>29277990</v>
          </cell>
          <cell r="U512" t="str">
            <v>019364440001-04</v>
          </cell>
        </row>
        <row r="513">
          <cell r="E513">
            <v>29278112</v>
          </cell>
          <cell r="U513" t="str">
            <v>031626880001-02</v>
          </cell>
        </row>
        <row r="514">
          <cell r="E514">
            <v>29279151</v>
          </cell>
          <cell r="U514" t="str">
            <v>019325460001-43</v>
          </cell>
        </row>
        <row r="515">
          <cell r="E515">
            <v>29279178</v>
          </cell>
          <cell r="U515" t="str">
            <v>019365600001-15</v>
          </cell>
        </row>
        <row r="516">
          <cell r="E516">
            <v>29279640</v>
          </cell>
          <cell r="U516" t="str">
            <v>020028380001-40</v>
          </cell>
        </row>
        <row r="517">
          <cell r="E517">
            <v>29279810</v>
          </cell>
          <cell r="U517" t="str">
            <v>019362380001-96</v>
          </cell>
        </row>
        <row r="518">
          <cell r="E518">
            <v>29279887</v>
          </cell>
          <cell r="U518" t="str">
            <v>019364410001-62</v>
          </cell>
        </row>
        <row r="519">
          <cell r="E519">
            <v>29281261</v>
          </cell>
          <cell r="U519" t="str">
            <v>019555020001-39</v>
          </cell>
        </row>
        <row r="520">
          <cell r="E520">
            <v>29282055</v>
          </cell>
          <cell r="U520" t="str">
            <v>020263040001-53</v>
          </cell>
        </row>
        <row r="521">
          <cell r="E521">
            <v>29282608</v>
          </cell>
          <cell r="U521" t="str">
            <v>019995590001-30</v>
          </cell>
        </row>
        <row r="522">
          <cell r="E522">
            <v>29282977</v>
          </cell>
          <cell r="U522" t="str">
            <v>020844110001-38</v>
          </cell>
        </row>
        <row r="523">
          <cell r="E523">
            <v>29283230</v>
          </cell>
          <cell r="U523" t="str">
            <v>021079670001-00</v>
          </cell>
        </row>
        <row r="524">
          <cell r="E524">
            <v>29283647</v>
          </cell>
          <cell r="U524" t="str">
            <v>020844200001-29</v>
          </cell>
        </row>
        <row r="525">
          <cell r="E525">
            <v>29284104</v>
          </cell>
          <cell r="U525" t="str">
            <v>019861710001-02</v>
          </cell>
        </row>
        <row r="526">
          <cell r="E526">
            <v>29284767</v>
          </cell>
          <cell r="U526" t="str">
            <v>020844150001-16</v>
          </cell>
        </row>
        <row r="527">
          <cell r="E527">
            <v>29285291</v>
          </cell>
          <cell r="U527" t="str">
            <v>019519000001-87</v>
          </cell>
        </row>
        <row r="528">
          <cell r="E528">
            <v>29285534</v>
          </cell>
          <cell r="U528" t="str">
            <v>020546120001-92</v>
          </cell>
        </row>
        <row r="529">
          <cell r="E529">
            <v>29285801</v>
          </cell>
          <cell r="U529" t="str">
            <v>020315220001-86</v>
          </cell>
        </row>
        <row r="530">
          <cell r="E530">
            <v>29287235</v>
          </cell>
          <cell r="U530" t="str">
            <v>021631590001-52</v>
          </cell>
        </row>
        <row r="531">
          <cell r="E531">
            <v>29288142</v>
          </cell>
          <cell r="U531" t="str">
            <v>019714400001-59</v>
          </cell>
        </row>
        <row r="532">
          <cell r="E532">
            <v>29288150</v>
          </cell>
          <cell r="U532" t="str">
            <v>019714340001-00</v>
          </cell>
        </row>
        <row r="533">
          <cell r="E533">
            <v>29288339</v>
          </cell>
          <cell r="U533" t="str">
            <v>020664460001-44</v>
          </cell>
        </row>
        <row r="534">
          <cell r="E534">
            <v>29289270</v>
          </cell>
          <cell r="U534" t="str">
            <v>019760290001-76</v>
          </cell>
        </row>
        <row r="535">
          <cell r="E535">
            <v>29290678</v>
          </cell>
          <cell r="U535" t="str">
            <v>021457320001-03</v>
          </cell>
        </row>
        <row r="536">
          <cell r="E536">
            <v>29290732</v>
          </cell>
          <cell r="U536" t="str">
            <v>047804390001-35</v>
          </cell>
        </row>
        <row r="537">
          <cell r="E537">
            <v>29290791</v>
          </cell>
          <cell r="U537" t="str">
            <v>020130730001-43</v>
          </cell>
        </row>
        <row r="538">
          <cell r="E538">
            <v>29292280</v>
          </cell>
          <cell r="U538" t="str">
            <v>019358410001-53</v>
          </cell>
        </row>
        <row r="539">
          <cell r="E539">
            <v>29293197</v>
          </cell>
          <cell r="U539" t="str">
            <v>019714680001-96</v>
          </cell>
        </row>
        <row r="540">
          <cell r="E540">
            <v>29293707</v>
          </cell>
          <cell r="U540" t="str">
            <v>020844100001-93</v>
          </cell>
        </row>
        <row r="541">
          <cell r="E541">
            <v>29294037</v>
          </cell>
          <cell r="U541" t="str">
            <v>019302260001-54</v>
          </cell>
        </row>
        <row r="542">
          <cell r="E542">
            <v>29294100</v>
          </cell>
          <cell r="U542" t="str">
            <v>020186030001-46</v>
          </cell>
        </row>
        <row r="543">
          <cell r="E543">
            <v>29294606</v>
          </cell>
          <cell r="U543" t="str">
            <v>020683190001-84</v>
          </cell>
        </row>
        <row r="544">
          <cell r="E544">
            <v>29295866</v>
          </cell>
          <cell r="U544" t="str">
            <v>019899490001-29</v>
          </cell>
        </row>
        <row r="545">
          <cell r="E545">
            <v>29297974</v>
          </cell>
          <cell r="U545" t="str">
            <v>021471010001-15</v>
          </cell>
        </row>
        <row r="546">
          <cell r="E546">
            <v>29298520</v>
          </cell>
          <cell r="U546" t="str">
            <v>019358470001-20</v>
          </cell>
        </row>
        <row r="547">
          <cell r="E547">
            <v>29298954</v>
          </cell>
          <cell r="U547" t="str">
            <v>020305070001-13</v>
          </cell>
        </row>
        <row r="548">
          <cell r="E548">
            <v>29299063</v>
          </cell>
          <cell r="U548" t="str">
            <v>020219530001-61</v>
          </cell>
        </row>
        <row r="549">
          <cell r="E549">
            <v>29299268</v>
          </cell>
          <cell r="U549" t="str">
            <v>019548970001-55</v>
          </cell>
        </row>
        <row r="550">
          <cell r="E550">
            <v>29300762</v>
          </cell>
          <cell r="U550" t="str">
            <v>020704910001-72</v>
          </cell>
        </row>
        <row r="551">
          <cell r="E551">
            <v>29301394</v>
          </cell>
          <cell r="U551" t="str">
            <v>019485510001-44</v>
          </cell>
        </row>
        <row r="552">
          <cell r="E552">
            <v>29301475</v>
          </cell>
          <cell r="U552" t="str">
            <v>019626600001-16</v>
          </cell>
        </row>
        <row r="553">
          <cell r="E553">
            <v>29301483</v>
          </cell>
          <cell r="U553" t="str">
            <v>020010930001-02</v>
          </cell>
        </row>
        <row r="554">
          <cell r="E554">
            <v>29301882</v>
          </cell>
          <cell r="U554" t="str">
            <v>019489820001-00</v>
          </cell>
        </row>
        <row r="555">
          <cell r="E555">
            <v>29302269</v>
          </cell>
          <cell r="U555" t="str">
            <v>022163760001-63</v>
          </cell>
        </row>
        <row r="556">
          <cell r="E556">
            <v>29302293</v>
          </cell>
          <cell r="U556" t="str">
            <v>019392720001-14</v>
          </cell>
        </row>
        <row r="557">
          <cell r="E557">
            <v>29303125</v>
          </cell>
          <cell r="U557" t="str">
            <v>019485490001-75</v>
          </cell>
        </row>
        <row r="558">
          <cell r="E558">
            <v>29303354</v>
          </cell>
          <cell r="U558" t="str">
            <v>021467610001-81</v>
          </cell>
        </row>
        <row r="559">
          <cell r="E559">
            <v>29303702</v>
          </cell>
          <cell r="U559" t="str">
            <v>098146840001-30</v>
          </cell>
        </row>
        <row r="560">
          <cell r="E560">
            <v>29304237</v>
          </cell>
          <cell r="U560" t="str">
            <v>019495570001-36</v>
          </cell>
        </row>
        <row r="561">
          <cell r="E561">
            <v>29304296</v>
          </cell>
          <cell r="U561" t="str">
            <v>018944390001-78</v>
          </cell>
        </row>
        <row r="562">
          <cell r="E562">
            <v>29304377</v>
          </cell>
          <cell r="U562" t="str">
            <v>019335470001-02</v>
          </cell>
        </row>
        <row r="563">
          <cell r="E563">
            <v>29304776</v>
          </cell>
          <cell r="U563" t="str">
            <v>019335730001-30</v>
          </cell>
        </row>
        <row r="564">
          <cell r="E564">
            <v>29305390</v>
          </cell>
          <cell r="U564" t="str">
            <v>019347080001-82</v>
          </cell>
        </row>
        <row r="565">
          <cell r="E565">
            <v>29306230</v>
          </cell>
          <cell r="U565" t="str">
            <v>020025400001-30</v>
          </cell>
        </row>
        <row r="566">
          <cell r="E566">
            <v>29306264</v>
          </cell>
          <cell r="U566" t="str">
            <v>019335450001-13</v>
          </cell>
        </row>
        <row r="567">
          <cell r="E567">
            <v>29306760</v>
          </cell>
          <cell r="U567" t="str">
            <v>020068400001-97</v>
          </cell>
        </row>
        <row r="568">
          <cell r="E568">
            <v>29307759</v>
          </cell>
          <cell r="U568" t="str">
            <v>023693000001-78</v>
          </cell>
        </row>
        <row r="569">
          <cell r="E569">
            <v>29308046</v>
          </cell>
          <cell r="U569" t="str">
            <v>019439950001-97</v>
          </cell>
        </row>
        <row r="570">
          <cell r="E570">
            <v>29308747</v>
          </cell>
          <cell r="U570" t="str">
            <v>020459860001-41</v>
          </cell>
        </row>
        <row r="571">
          <cell r="E571">
            <v>29309034</v>
          </cell>
          <cell r="U571" t="str">
            <v>020545900001-60</v>
          </cell>
        </row>
        <row r="572">
          <cell r="E572">
            <v>29309425</v>
          </cell>
          <cell r="U572" t="str">
            <v>019238020001-36</v>
          </cell>
        </row>
        <row r="573">
          <cell r="E573">
            <v>29309638</v>
          </cell>
          <cell r="U573" t="str">
            <v>019301850001-04</v>
          </cell>
        </row>
        <row r="574">
          <cell r="E574">
            <v>29310660</v>
          </cell>
          <cell r="U574" t="str">
            <v>019335690001-72</v>
          </cell>
        </row>
        <row r="575">
          <cell r="E575">
            <v>29311497</v>
          </cell>
          <cell r="U575" t="str">
            <v>019469010001-33</v>
          </cell>
        </row>
        <row r="576">
          <cell r="E576">
            <v>29311500</v>
          </cell>
          <cell r="U576" t="str">
            <v>019714520001-83</v>
          </cell>
        </row>
        <row r="577">
          <cell r="E577">
            <v>29312469</v>
          </cell>
          <cell r="U577" t="str">
            <v>019354380001-24</v>
          </cell>
        </row>
        <row r="578">
          <cell r="E578">
            <v>29313171</v>
          </cell>
          <cell r="U578" t="str">
            <v>020264780001-16</v>
          </cell>
        </row>
        <row r="579">
          <cell r="E579">
            <v>29313325</v>
          </cell>
          <cell r="U579" t="str">
            <v>020000840001-99</v>
          </cell>
        </row>
        <row r="580">
          <cell r="E580">
            <v>29313848</v>
          </cell>
          <cell r="U580" t="str">
            <v>019439960001-31</v>
          </cell>
        </row>
        <row r="581">
          <cell r="E581">
            <v>29315492</v>
          </cell>
          <cell r="U581" t="str">
            <v>019595940001-25</v>
          </cell>
        </row>
        <row r="582">
          <cell r="E582">
            <v>29316260</v>
          </cell>
          <cell r="U582" t="str">
            <v>020272000001-63</v>
          </cell>
        </row>
        <row r="583">
          <cell r="E583">
            <v>29317134</v>
          </cell>
          <cell r="U583" t="str">
            <v>021691090001-82</v>
          </cell>
        </row>
        <row r="584">
          <cell r="E584">
            <v>29317789</v>
          </cell>
          <cell r="U584" t="str">
            <v>020296790001-77</v>
          </cell>
        </row>
        <row r="585">
          <cell r="E585">
            <v>29318220</v>
          </cell>
          <cell r="U585" t="str">
            <v>029141600001-71</v>
          </cell>
        </row>
        <row r="586">
          <cell r="E586">
            <v>29318378</v>
          </cell>
          <cell r="U586" t="str">
            <v>020754790001-50</v>
          </cell>
        </row>
        <row r="587">
          <cell r="E587">
            <v>29319218</v>
          </cell>
          <cell r="U587" t="str">
            <v>019795570001-89</v>
          </cell>
        </row>
        <row r="588">
          <cell r="E588">
            <v>29319358</v>
          </cell>
          <cell r="U588" t="str">
            <v>020755660001-08</v>
          </cell>
        </row>
        <row r="589">
          <cell r="E589">
            <v>29320623</v>
          </cell>
          <cell r="U589" t="str">
            <v>019569400001-11</v>
          </cell>
        </row>
        <row r="590">
          <cell r="E590">
            <v>29321298</v>
          </cell>
          <cell r="U590" t="str">
            <v>019439390001-52</v>
          </cell>
        </row>
        <row r="591">
          <cell r="E591">
            <v>29322480</v>
          </cell>
          <cell r="U591" t="str">
            <v>019639140001-10</v>
          </cell>
        </row>
        <row r="592">
          <cell r="E592">
            <v>29323800</v>
          </cell>
          <cell r="U592" t="str">
            <v>019517110001-04</v>
          </cell>
        </row>
        <row r="593">
          <cell r="E593">
            <v>29323967</v>
          </cell>
          <cell r="U593" t="str">
            <v>031733890001-65</v>
          </cell>
        </row>
        <row r="594">
          <cell r="E594">
            <v>29325099</v>
          </cell>
          <cell r="U594" t="str">
            <v>019639210001-12</v>
          </cell>
        </row>
        <row r="595">
          <cell r="E595">
            <v>29325803</v>
          </cell>
          <cell r="U595" t="str">
            <v>021354640001-30</v>
          </cell>
        </row>
        <row r="596">
          <cell r="E596">
            <v>29326028</v>
          </cell>
          <cell r="U596" t="str">
            <v>021352190001-23</v>
          </cell>
        </row>
        <row r="597">
          <cell r="E597">
            <v>29326320</v>
          </cell>
          <cell r="U597" t="str">
            <v>020296850001-24</v>
          </cell>
        </row>
        <row r="598">
          <cell r="E598">
            <v>29327059</v>
          </cell>
          <cell r="U598" t="str">
            <v>112834810001-06</v>
          </cell>
        </row>
        <row r="599">
          <cell r="E599">
            <v>29327229</v>
          </cell>
          <cell r="U599" t="str">
            <v>114874960001-96</v>
          </cell>
        </row>
        <row r="600">
          <cell r="E600">
            <v>29327695</v>
          </cell>
          <cell r="U600" t="str">
            <v>020480350001-26</v>
          </cell>
        </row>
        <row r="601">
          <cell r="E601">
            <v>29327792</v>
          </cell>
          <cell r="U601" t="str">
            <v>020113490001-54</v>
          </cell>
        </row>
        <row r="602">
          <cell r="E602">
            <v>29328349</v>
          </cell>
          <cell r="U602" t="str">
            <v>020113470001-65</v>
          </cell>
        </row>
        <row r="603">
          <cell r="E603">
            <v>29330041</v>
          </cell>
          <cell r="U603" t="str">
            <v>019454390001-50</v>
          </cell>
        </row>
        <row r="604">
          <cell r="E604">
            <v>29332230</v>
          </cell>
          <cell r="U604" t="str">
            <v>019990810001-48</v>
          </cell>
        </row>
        <row r="605">
          <cell r="E605">
            <v>29332400</v>
          </cell>
          <cell r="U605" t="str">
            <v>019517750001-05</v>
          </cell>
        </row>
        <row r="606">
          <cell r="E606">
            <v>29335132</v>
          </cell>
          <cell r="U606" t="str">
            <v>019485140001-36</v>
          </cell>
        </row>
        <row r="607">
          <cell r="E607">
            <v>29336082</v>
          </cell>
          <cell r="U607" t="str">
            <v>020297130001-03</v>
          </cell>
        </row>
        <row r="608">
          <cell r="E608">
            <v>29336325</v>
          </cell>
          <cell r="U608" t="str">
            <v>028983110001-45</v>
          </cell>
        </row>
        <row r="609">
          <cell r="E609">
            <v>29336473</v>
          </cell>
          <cell r="U609" t="str">
            <v>019900600001-61</v>
          </cell>
        </row>
        <row r="610">
          <cell r="E610">
            <v>29336627</v>
          </cell>
          <cell r="U610" t="str">
            <v>019796660001-04</v>
          </cell>
        </row>
        <row r="611">
          <cell r="E611">
            <v>29336708</v>
          </cell>
          <cell r="U611" t="str">
            <v>019931470001-92</v>
          </cell>
        </row>
        <row r="612">
          <cell r="E612">
            <v>29340080</v>
          </cell>
          <cell r="U612" t="str">
            <v>024466380001-86</v>
          </cell>
        </row>
        <row r="613">
          <cell r="E613">
            <v>29340330</v>
          </cell>
          <cell r="U613" t="str">
            <v>020055450001-16</v>
          </cell>
        </row>
        <row r="614">
          <cell r="E614">
            <v>29343003</v>
          </cell>
          <cell r="U614" t="str">
            <v>020294120001-80</v>
          </cell>
        </row>
        <row r="615">
          <cell r="E615">
            <v>29343160</v>
          </cell>
          <cell r="U615" t="str">
            <v>019866840001-05</v>
          </cell>
        </row>
        <row r="616">
          <cell r="E616">
            <v>29344247</v>
          </cell>
          <cell r="U616" t="str">
            <v>019832310001-25</v>
          </cell>
        </row>
        <row r="617">
          <cell r="E617">
            <v>29351502</v>
          </cell>
          <cell r="U617" t="str">
            <v>019954120001-71</v>
          </cell>
        </row>
        <row r="618">
          <cell r="E618">
            <v>29354536</v>
          </cell>
          <cell r="U618" t="str">
            <v>031620100001-11</v>
          </cell>
        </row>
        <row r="619">
          <cell r="E619">
            <v>29354943</v>
          </cell>
          <cell r="U619" t="str">
            <v>020696470001-03</v>
          </cell>
        </row>
        <row r="620">
          <cell r="E620">
            <v>29357624</v>
          </cell>
          <cell r="U620" t="str">
            <v>022174970001-20</v>
          </cell>
        </row>
        <row r="621">
          <cell r="E621">
            <v>29357829</v>
          </cell>
          <cell r="U621" t="str">
            <v>020172540001-48</v>
          </cell>
        </row>
        <row r="622">
          <cell r="E622">
            <v>29357861</v>
          </cell>
          <cell r="U622" t="str">
            <v>038417240001-56</v>
          </cell>
        </row>
        <row r="623">
          <cell r="E623">
            <v>29357896</v>
          </cell>
          <cell r="U623" t="str">
            <v>019940000001-17</v>
          </cell>
        </row>
        <row r="624">
          <cell r="E624">
            <v>29358140</v>
          </cell>
          <cell r="U624" t="str">
            <v>021175710001-36</v>
          </cell>
        </row>
        <row r="625">
          <cell r="E625">
            <v>29359597</v>
          </cell>
          <cell r="U625" t="str">
            <v>047881660001-75</v>
          </cell>
        </row>
        <row r="626">
          <cell r="E626">
            <v>29359635</v>
          </cell>
          <cell r="U626" t="str">
            <v>020165750001-28</v>
          </cell>
        </row>
        <row r="627">
          <cell r="E627">
            <v>29359805</v>
          </cell>
          <cell r="U627" t="str">
            <v>031839840001-81</v>
          </cell>
        </row>
        <row r="628">
          <cell r="E628">
            <v>29360960</v>
          </cell>
          <cell r="U628" t="str">
            <v>036916350001-70</v>
          </cell>
        </row>
        <row r="629">
          <cell r="E629">
            <v>29362016</v>
          </cell>
          <cell r="U629" t="str">
            <v>147978450001-64</v>
          </cell>
        </row>
        <row r="630">
          <cell r="E630">
            <v>29365430</v>
          </cell>
          <cell r="U630" t="str">
            <v>033354380001-19</v>
          </cell>
        </row>
        <row r="631">
          <cell r="E631">
            <v>29366739</v>
          </cell>
          <cell r="U631" t="str">
            <v>205248050001-41</v>
          </cell>
        </row>
        <row r="632">
          <cell r="E632">
            <v>29368219</v>
          </cell>
          <cell r="U632" t="str">
            <v>020113500001-89</v>
          </cell>
        </row>
        <row r="633">
          <cell r="E633">
            <v>29369053</v>
          </cell>
          <cell r="U633" t="str">
            <v>019832080001-30</v>
          </cell>
        </row>
        <row r="634">
          <cell r="E634">
            <v>29373018</v>
          </cell>
          <cell r="U634" t="str">
            <v>076871600001-08</v>
          </cell>
        </row>
        <row r="635">
          <cell r="E635">
            <v>29374677</v>
          </cell>
          <cell r="U635" t="str">
            <v>035669860001-50</v>
          </cell>
        </row>
        <row r="636">
          <cell r="E636">
            <v>29379423</v>
          </cell>
          <cell r="U636" t="str">
            <v>046838220001-75</v>
          </cell>
        </row>
        <row r="637">
          <cell r="E637">
            <v>29383218</v>
          </cell>
          <cell r="U637" t="str">
            <v>038161020001-78</v>
          </cell>
        </row>
        <row r="638">
          <cell r="E638">
            <v>29383234</v>
          </cell>
          <cell r="U638" t="str">
            <v>034169930001-75</v>
          </cell>
        </row>
        <row r="639">
          <cell r="E639">
            <v>29384389</v>
          </cell>
          <cell r="U639" t="str">
            <v>034847260001-35</v>
          </cell>
        </row>
        <row r="640">
          <cell r="E640">
            <v>29384400</v>
          </cell>
          <cell r="U640" t="str">
            <v>031592860001-40</v>
          </cell>
        </row>
        <row r="641">
          <cell r="E641">
            <v>29385253</v>
          </cell>
          <cell r="U641" t="str">
            <v>040893010001-94</v>
          </cell>
        </row>
        <row r="642">
          <cell r="E642">
            <v>29385334</v>
          </cell>
          <cell r="U642" t="str">
            <v>037334570001-01</v>
          </cell>
        </row>
        <row r="643">
          <cell r="E643">
            <v>29386284</v>
          </cell>
          <cell r="U643" t="str">
            <v>041309920001-22</v>
          </cell>
        </row>
        <row r="644">
          <cell r="E644">
            <v>29387728</v>
          </cell>
          <cell r="U644" t="str">
            <v>041355290001-73</v>
          </cell>
        </row>
        <row r="645">
          <cell r="E645">
            <v>29387736</v>
          </cell>
          <cell r="U645" t="str">
            <v>037263970001-91</v>
          </cell>
        </row>
        <row r="646">
          <cell r="E646">
            <v>29389631</v>
          </cell>
          <cell r="U646" t="str">
            <v>046636550001-09</v>
          </cell>
        </row>
        <row r="647">
          <cell r="E647">
            <v>29389976</v>
          </cell>
          <cell r="U647" t="str">
            <v>047104610001-09</v>
          </cell>
        </row>
        <row r="648">
          <cell r="E648">
            <v>29390109</v>
          </cell>
          <cell r="U648" t="str">
            <v>032055770001-28</v>
          </cell>
        </row>
        <row r="649">
          <cell r="E649">
            <v>29390532</v>
          </cell>
          <cell r="U649" t="str">
            <v>042142700001-56</v>
          </cell>
        </row>
        <row r="650">
          <cell r="E650">
            <v>29390737</v>
          </cell>
          <cell r="U650" t="str">
            <v>034042040001-86</v>
          </cell>
        </row>
        <row r="651">
          <cell r="E651">
            <v>29390869</v>
          </cell>
          <cell r="U651" t="str">
            <v>031718410001-50</v>
          </cell>
        </row>
        <row r="652">
          <cell r="E652">
            <v>29391253</v>
          </cell>
          <cell r="U652" t="str">
            <v>048519690001-27</v>
          </cell>
        </row>
        <row r="653">
          <cell r="E653">
            <v>29391466</v>
          </cell>
          <cell r="U653" t="str">
            <v>034023080001-51</v>
          </cell>
        </row>
        <row r="654">
          <cell r="E654">
            <v>29391512</v>
          </cell>
          <cell r="U654" t="str">
            <v>037819280001-49</v>
          </cell>
        </row>
        <row r="655">
          <cell r="E655">
            <v>29392365</v>
          </cell>
          <cell r="U655" t="str">
            <v>039633040001-42</v>
          </cell>
        </row>
        <row r="656">
          <cell r="E656">
            <v>29392861</v>
          </cell>
          <cell r="U656" t="str">
            <v>040085260001-79</v>
          </cell>
        </row>
        <row r="657">
          <cell r="E657">
            <v>29394341</v>
          </cell>
          <cell r="U657" t="str">
            <v>038697290001-97</v>
          </cell>
        </row>
        <row r="658">
          <cell r="E658">
            <v>29394414</v>
          </cell>
          <cell r="U658" t="str">
            <v>038440520001-32</v>
          </cell>
        </row>
        <row r="659">
          <cell r="E659">
            <v>29395321</v>
          </cell>
          <cell r="U659" t="str">
            <v>038229660001-00</v>
          </cell>
        </row>
        <row r="660">
          <cell r="E660">
            <v>29395712</v>
          </cell>
          <cell r="U660" t="str">
            <v>038922380001-67</v>
          </cell>
        </row>
        <row r="661">
          <cell r="E661">
            <v>29395860</v>
          </cell>
          <cell r="U661" t="str">
            <v>306245570001-64</v>
          </cell>
        </row>
        <row r="662">
          <cell r="E662">
            <v>29395950</v>
          </cell>
          <cell r="U662" t="str">
            <v>145271830001-02</v>
          </cell>
        </row>
        <row r="663">
          <cell r="E663">
            <v>29397693</v>
          </cell>
          <cell r="U663" t="str">
            <v>153393090001-88</v>
          </cell>
        </row>
        <row r="664">
          <cell r="E664">
            <v>29397707</v>
          </cell>
          <cell r="U664" t="str">
            <v>142375550001-66</v>
          </cell>
        </row>
        <row r="665">
          <cell r="E665">
            <v>29397758</v>
          </cell>
          <cell r="U665" t="str">
            <v>315580390001-52</v>
          </cell>
        </row>
        <row r="666">
          <cell r="E666">
            <v>29397863</v>
          </cell>
          <cell r="U666" t="str">
            <v>205862640001-86</v>
          </cell>
        </row>
        <row r="667">
          <cell r="E667">
            <v>29398282</v>
          </cell>
          <cell r="U667" t="str">
            <v>151356120001-69</v>
          </cell>
        </row>
        <row r="668">
          <cell r="E668">
            <v>29398673</v>
          </cell>
          <cell r="U668" t="str">
            <v>172984400001-70</v>
          </cell>
        </row>
        <row r="669">
          <cell r="E669">
            <v>29398940</v>
          </cell>
          <cell r="U669" t="str">
            <v>138326270001-50</v>
          </cell>
        </row>
        <row r="670">
          <cell r="E670">
            <v>29399220</v>
          </cell>
          <cell r="U670" t="str">
            <v>147282290001-51</v>
          </cell>
        </row>
        <row r="671">
          <cell r="E671">
            <v>29399238</v>
          </cell>
          <cell r="U671" t="str">
            <v>178979670001-10</v>
          </cell>
        </row>
        <row r="672">
          <cell r="E672">
            <v>29399246</v>
          </cell>
          <cell r="U672" t="str">
            <v>313188610001-46</v>
          </cell>
        </row>
        <row r="673">
          <cell r="E673">
            <v>29400220</v>
          </cell>
          <cell r="U673" t="str">
            <v>048109400001-05</v>
          </cell>
        </row>
        <row r="674">
          <cell r="E674">
            <v>29402830</v>
          </cell>
          <cell r="U674" t="str">
            <v>034339230001-25</v>
          </cell>
        </row>
        <row r="675">
          <cell r="E675">
            <v>29403230</v>
          </cell>
          <cell r="U675" t="str">
            <v>035230840001-36</v>
          </cell>
        </row>
        <row r="676">
          <cell r="E676">
            <v>29404240</v>
          </cell>
          <cell r="U676" t="str">
            <v>041110400001-61</v>
          </cell>
        </row>
        <row r="677">
          <cell r="E677">
            <v>29404266</v>
          </cell>
          <cell r="U677" t="str">
            <v>049059520001-05</v>
          </cell>
        </row>
        <row r="678">
          <cell r="E678">
            <v>29404274</v>
          </cell>
          <cell r="U678" t="str">
            <v>047989010001-21</v>
          </cell>
        </row>
        <row r="679">
          <cell r="E679">
            <v>29404282</v>
          </cell>
          <cell r="U679" t="str">
            <v>044450260001-02</v>
          </cell>
        </row>
        <row r="680">
          <cell r="E680">
            <v>29404290</v>
          </cell>
          <cell r="U680" t="str">
            <v>047471170001-94</v>
          </cell>
        </row>
        <row r="681">
          <cell r="E681">
            <v>29404312</v>
          </cell>
          <cell r="U681" t="str">
            <v>044617130001-03</v>
          </cell>
        </row>
        <row r="682">
          <cell r="E682">
            <v>29404339</v>
          </cell>
          <cell r="U682" t="str">
            <v>049059630001-95</v>
          </cell>
        </row>
        <row r="683">
          <cell r="E683">
            <v>29404460</v>
          </cell>
          <cell r="U683" t="str">
            <v>047772140001-20</v>
          </cell>
        </row>
        <row r="684">
          <cell r="E684">
            <v>29406668</v>
          </cell>
          <cell r="U684" t="str">
            <v>040302080001-04</v>
          </cell>
        </row>
        <row r="685">
          <cell r="E685">
            <v>29406889</v>
          </cell>
          <cell r="U685" t="str">
            <v>047956520001-10</v>
          </cell>
        </row>
        <row r="686">
          <cell r="E686">
            <v>29407044</v>
          </cell>
          <cell r="U686" t="str">
            <v>019461090001-89</v>
          </cell>
        </row>
        <row r="687">
          <cell r="E687">
            <v>29407834</v>
          </cell>
          <cell r="U687" t="str">
            <v>046330250001-83</v>
          </cell>
        </row>
        <row r="688">
          <cell r="E688">
            <v>29408172</v>
          </cell>
          <cell r="U688" t="str">
            <v>046652510001-46</v>
          </cell>
        </row>
        <row r="689">
          <cell r="E689">
            <v>29409535</v>
          </cell>
          <cell r="U689" t="str">
            <v>047647110001-93</v>
          </cell>
        </row>
        <row r="690">
          <cell r="E690">
            <v>29410452</v>
          </cell>
          <cell r="U690" t="str">
            <v>047535740001-91</v>
          </cell>
        </row>
        <row r="691">
          <cell r="E691">
            <v>29410975</v>
          </cell>
          <cell r="U691" t="str">
            <v>039707500001-84</v>
          </cell>
        </row>
        <row r="692">
          <cell r="E692">
            <v>29411491</v>
          </cell>
          <cell r="U692" t="str">
            <v>047834120001-04</v>
          </cell>
        </row>
        <row r="693">
          <cell r="E693">
            <v>29411947</v>
          </cell>
          <cell r="U693" t="str">
            <v>045243300001-37</v>
          </cell>
        </row>
        <row r="694">
          <cell r="E694">
            <v>29413680</v>
          </cell>
          <cell r="U694" t="str">
            <v>050659420001-71</v>
          </cell>
        </row>
        <row r="695">
          <cell r="E695">
            <v>29414903</v>
          </cell>
          <cell r="U695" t="str">
            <v>050890440001-53</v>
          </cell>
        </row>
        <row r="696">
          <cell r="E696">
            <v>29415969</v>
          </cell>
          <cell r="U696" t="str">
            <v>173497370001-17</v>
          </cell>
        </row>
        <row r="697">
          <cell r="E697">
            <v>29416604</v>
          </cell>
          <cell r="U697" t="str">
            <v>047357500001-62</v>
          </cell>
        </row>
        <row r="698">
          <cell r="E698">
            <v>29417163</v>
          </cell>
          <cell r="U698" t="str">
            <v>047532700001-24</v>
          </cell>
        </row>
        <row r="699">
          <cell r="E699">
            <v>29417287</v>
          </cell>
          <cell r="U699" t="str">
            <v>051334450001-63</v>
          </cell>
        </row>
        <row r="700">
          <cell r="E700">
            <v>29418690</v>
          </cell>
          <cell r="U700" t="str">
            <v>053984920001-39</v>
          </cell>
        </row>
        <row r="701">
          <cell r="E701">
            <v>29419468</v>
          </cell>
          <cell r="U701" t="str">
            <v>050510290001-16</v>
          </cell>
        </row>
        <row r="702">
          <cell r="E702">
            <v>29422167</v>
          </cell>
          <cell r="U702" t="str">
            <v>050925200001-95</v>
          </cell>
        </row>
        <row r="703">
          <cell r="E703">
            <v>29422345</v>
          </cell>
          <cell r="U703" t="str">
            <v>048799840001-83</v>
          </cell>
        </row>
        <row r="704">
          <cell r="E704">
            <v>29423503</v>
          </cell>
          <cell r="U704" t="str">
            <v>059290200001-65</v>
          </cell>
        </row>
        <row r="705">
          <cell r="E705">
            <v>29423708</v>
          </cell>
          <cell r="U705" t="str">
            <v>076770120001-02</v>
          </cell>
        </row>
        <row r="706">
          <cell r="E706">
            <v>29423732</v>
          </cell>
          <cell r="U706" t="str">
            <v>108015390001-01</v>
          </cell>
        </row>
        <row r="707">
          <cell r="E707">
            <v>29423805</v>
          </cell>
          <cell r="U707" t="str">
            <v>078576440001-40</v>
          </cell>
        </row>
        <row r="708">
          <cell r="E708">
            <v>29424020</v>
          </cell>
          <cell r="U708" t="str">
            <v>057762690001-88</v>
          </cell>
        </row>
        <row r="709">
          <cell r="E709">
            <v>29424038</v>
          </cell>
          <cell r="U709" t="str">
            <v>055320610001-13</v>
          </cell>
        </row>
        <row r="710">
          <cell r="E710">
            <v>29424348</v>
          </cell>
          <cell r="U710" t="str">
            <v>075813670001-95</v>
          </cell>
        </row>
        <row r="711">
          <cell r="E711">
            <v>29424526</v>
          </cell>
          <cell r="U711" t="str">
            <v>051689550001-76</v>
          </cell>
        </row>
        <row r="712">
          <cell r="E712">
            <v>29425123</v>
          </cell>
          <cell r="U712" t="str">
            <v>069409640001-04</v>
          </cell>
        </row>
        <row r="713">
          <cell r="E713">
            <v>29425166</v>
          </cell>
          <cell r="U713" t="str">
            <v>054451900001-74</v>
          </cell>
        </row>
        <row r="714">
          <cell r="E714">
            <v>29425328</v>
          </cell>
          <cell r="U714" t="str">
            <v>118332920001-60</v>
          </cell>
        </row>
        <row r="715">
          <cell r="E715">
            <v>29425395</v>
          </cell>
          <cell r="U715" t="str">
            <v>074728820001-37</v>
          </cell>
        </row>
        <row r="716">
          <cell r="E716">
            <v>29425417</v>
          </cell>
          <cell r="U716" t="str">
            <v>057263560001-20</v>
          </cell>
        </row>
        <row r="717">
          <cell r="E717">
            <v>29425530</v>
          </cell>
          <cell r="U717" t="str">
            <v>053783270001-15</v>
          </cell>
        </row>
        <row r="718">
          <cell r="E718">
            <v>29425719</v>
          </cell>
          <cell r="U718" t="str">
            <v>050644500001-61</v>
          </cell>
        </row>
        <row r="719">
          <cell r="E719">
            <v>29426383</v>
          </cell>
          <cell r="U719" t="str">
            <v>222950390001-16</v>
          </cell>
        </row>
        <row r="720">
          <cell r="E720">
            <v>29426502</v>
          </cell>
          <cell r="U720" t="str">
            <v>063510080001-89</v>
          </cell>
        </row>
        <row r="721">
          <cell r="E721">
            <v>29426537</v>
          </cell>
          <cell r="U721" t="str">
            <v>074552880001-38</v>
          </cell>
        </row>
        <row r="722">
          <cell r="E722">
            <v>29426960</v>
          </cell>
          <cell r="U722" t="str">
            <v>057408640001-63</v>
          </cell>
        </row>
        <row r="723">
          <cell r="E723">
            <v>29427541</v>
          </cell>
          <cell r="U723" t="str">
            <v>052660590001-40</v>
          </cell>
        </row>
        <row r="724">
          <cell r="E724">
            <v>29427550</v>
          </cell>
          <cell r="U724" t="str">
            <v>050384720001-57</v>
          </cell>
        </row>
        <row r="725">
          <cell r="E725">
            <v>29427940</v>
          </cell>
          <cell r="U725" t="str">
            <v>077740210001-03</v>
          </cell>
        </row>
        <row r="726">
          <cell r="E726">
            <v>29427959</v>
          </cell>
          <cell r="U726" t="str">
            <v>051506000001-50</v>
          </cell>
        </row>
        <row r="727">
          <cell r="E727">
            <v>29428084</v>
          </cell>
          <cell r="U727" t="str">
            <v>081661230001-09</v>
          </cell>
        </row>
        <row r="728">
          <cell r="E728">
            <v>29428092</v>
          </cell>
          <cell r="U728" t="str">
            <v>109015670001-92</v>
          </cell>
        </row>
        <row r="729">
          <cell r="E729">
            <v>29428203</v>
          </cell>
          <cell r="U729" t="str">
            <v>057364350001-12</v>
          </cell>
        </row>
        <row r="730">
          <cell r="E730">
            <v>29428254</v>
          </cell>
          <cell r="U730" t="str">
            <v>182594890001-86</v>
          </cell>
        </row>
        <row r="731">
          <cell r="E731">
            <v>29428530</v>
          </cell>
          <cell r="U731" t="str">
            <v>072694070001-68</v>
          </cell>
        </row>
        <row r="732">
          <cell r="E732">
            <v>29428556</v>
          </cell>
          <cell r="U732" t="str">
            <v>076592600001-12</v>
          </cell>
        </row>
        <row r="733">
          <cell r="E733">
            <v>29428726</v>
          </cell>
          <cell r="U733" t="str">
            <v>057721210001-75</v>
          </cell>
        </row>
        <row r="734">
          <cell r="E734">
            <v>29428742</v>
          </cell>
          <cell r="U734" t="str">
            <v>074696860001-03</v>
          </cell>
        </row>
        <row r="735">
          <cell r="E735">
            <v>29429005</v>
          </cell>
          <cell r="U735" t="str">
            <v>057745500001-81</v>
          </cell>
        </row>
        <row r="736">
          <cell r="E736">
            <v>29429129</v>
          </cell>
          <cell r="U736" t="str">
            <v>071325670001-60</v>
          </cell>
        </row>
        <row r="737">
          <cell r="E737">
            <v>29429269</v>
          </cell>
          <cell r="U737" t="str">
            <v>076153350001-63</v>
          </cell>
        </row>
        <row r="738">
          <cell r="E738">
            <v>29429498</v>
          </cell>
          <cell r="U738" t="str">
            <v>079513100001-30</v>
          </cell>
        </row>
        <row r="739">
          <cell r="E739">
            <v>29429781</v>
          </cell>
          <cell r="U739" t="str">
            <v>077704080001-91</v>
          </cell>
        </row>
        <row r="740">
          <cell r="E740">
            <v>29429889</v>
          </cell>
          <cell r="U740" t="str">
            <v>079605100001-50</v>
          </cell>
        </row>
        <row r="741">
          <cell r="E741">
            <v>29430259</v>
          </cell>
          <cell r="U741" t="str">
            <v>062370190001-32</v>
          </cell>
        </row>
        <row r="742">
          <cell r="E742">
            <v>29430305</v>
          </cell>
          <cell r="U742" t="str">
            <v>074387290001-93</v>
          </cell>
        </row>
        <row r="743">
          <cell r="E743">
            <v>29430534</v>
          </cell>
          <cell r="U743" t="str">
            <v>072647600001-55</v>
          </cell>
        </row>
        <row r="744">
          <cell r="E744">
            <v>29431450</v>
          </cell>
          <cell r="U744" t="str">
            <v>110681750001-57</v>
          </cell>
        </row>
        <row r="745">
          <cell r="E745">
            <v>29431530</v>
          </cell>
          <cell r="U745" t="str">
            <v>059117880001-01</v>
          </cell>
        </row>
        <row r="746">
          <cell r="E746">
            <v>29431573</v>
          </cell>
          <cell r="U746" t="str">
            <v>060658070001-99</v>
          </cell>
        </row>
        <row r="747">
          <cell r="E747">
            <v>29431662</v>
          </cell>
          <cell r="U747" t="str">
            <v>059047740001-60</v>
          </cell>
        </row>
        <row r="748">
          <cell r="E748">
            <v>29431670</v>
          </cell>
          <cell r="U748" t="str">
            <v>066370140001-05</v>
          </cell>
        </row>
        <row r="749">
          <cell r="E749">
            <v>29431719</v>
          </cell>
          <cell r="U749" t="str">
            <v>081587180001-12</v>
          </cell>
        </row>
        <row r="750">
          <cell r="E750">
            <v>29432022</v>
          </cell>
          <cell r="U750" t="str">
            <v>077001430001-55</v>
          </cell>
        </row>
        <row r="751">
          <cell r="E751">
            <v>29432120</v>
          </cell>
          <cell r="U751" t="str">
            <v>074144190001-39</v>
          </cell>
        </row>
        <row r="752">
          <cell r="E752">
            <v>29432200</v>
          </cell>
          <cell r="U752" t="str">
            <v>060433450001-09</v>
          </cell>
        </row>
        <row r="753">
          <cell r="E753">
            <v>29432235</v>
          </cell>
          <cell r="U753" t="str">
            <v>067484550001-76</v>
          </cell>
        </row>
        <row r="754">
          <cell r="E754">
            <v>29432510</v>
          </cell>
          <cell r="U754" t="str">
            <v>057986600001-83</v>
          </cell>
        </row>
        <row r="755">
          <cell r="E755">
            <v>29432529</v>
          </cell>
          <cell r="U755" t="str">
            <v>051304100001-70</v>
          </cell>
        </row>
        <row r="756">
          <cell r="E756">
            <v>29432537</v>
          </cell>
          <cell r="U756" t="str">
            <v>444106260001-41</v>
          </cell>
        </row>
        <row r="757">
          <cell r="E757">
            <v>29432626</v>
          </cell>
          <cell r="U757" t="str">
            <v>058498810001-33</v>
          </cell>
        </row>
        <row r="758">
          <cell r="E758">
            <v>29432960</v>
          </cell>
          <cell r="U758" t="str">
            <v>275473430001-27</v>
          </cell>
        </row>
        <row r="759">
          <cell r="E759">
            <v>29433410</v>
          </cell>
          <cell r="U759" t="str">
            <v>063061490001-80</v>
          </cell>
        </row>
        <row r="760">
          <cell r="E760">
            <v>29433517</v>
          </cell>
          <cell r="U760" t="str">
            <v>075260440001-07</v>
          </cell>
        </row>
        <row r="761">
          <cell r="E761">
            <v>29433568</v>
          </cell>
          <cell r="U761" t="str">
            <v>082265410001-44</v>
          </cell>
        </row>
        <row r="762">
          <cell r="E762">
            <v>29433746</v>
          </cell>
          <cell r="U762" t="str">
            <v>075946020001-63</v>
          </cell>
        </row>
        <row r="763">
          <cell r="E763">
            <v>29433843</v>
          </cell>
          <cell r="U763" t="str">
            <v>074879220001-14</v>
          </cell>
        </row>
        <row r="764">
          <cell r="E764">
            <v>29433886</v>
          </cell>
          <cell r="U764" t="str">
            <v>073314270001-11</v>
          </cell>
        </row>
        <row r="765">
          <cell r="E765">
            <v>29434017</v>
          </cell>
          <cell r="U765" t="str">
            <v>076318340001-44</v>
          </cell>
        </row>
        <row r="766">
          <cell r="E766">
            <v>29434530</v>
          </cell>
          <cell r="U766" t="str">
            <v>077638850001-20</v>
          </cell>
        </row>
        <row r="767">
          <cell r="E767">
            <v>29434726</v>
          </cell>
          <cell r="U767" t="str">
            <v>083844400001-00</v>
          </cell>
        </row>
        <row r="768">
          <cell r="E768">
            <v>29434734</v>
          </cell>
          <cell r="U768" t="str">
            <v>077742240001-08</v>
          </cell>
        </row>
        <row r="769">
          <cell r="E769">
            <v>29436184</v>
          </cell>
          <cell r="U769" t="str">
            <v>073246850001-70</v>
          </cell>
        </row>
        <row r="770">
          <cell r="E770">
            <v>29436931</v>
          </cell>
          <cell r="U770" t="str">
            <v>070972170001-00</v>
          </cell>
        </row>
        <row r="771">
          <cell r="E771">
            <v>29437164</v>
          </cell>
          <cell r="U771" t="str">
            <v>070209290001-21</v>
          </cell>
        </row>
        <row r="772">
          <cell r="E772">
            <v>29437172</v>
          </cell>
          <cell r="U772" t="str">
            <v>119639060001-28</v>
          </cell>
        </row>
        <row r="773">
          <cell r="E773">
            <v>29437377</v>
          </cell>
          <cell r="U773" t="str">
            <v>210904330001-55</v>
          </cell>
        </row>
        <row r="774">
          <cell r="E774">
            <v>29437814</v>
          </cell>
          <cell r="U774" t="str">
            <v>083955210001-05</v>
          </cell>
        </row>
        <row r="775">
          <cell r="E775">
            <v>29437830</v>
          </cell>
          <cell r="U775" t="str">
            <v>084384070001-07</v>
          </cell>
        </row>
        <row r="776">
          <cell r="E776">
            <v>29437881</v>
          </cell>
          <cell r="U776" t="str">
            <v>092777980001-98</v>
          </cell>
        </row>
        <row r="777">
          <cell r="E777">
            <v>29437911</v>
          </cell>
          <cell r="U777" t="str">
            <v>080477880001-01</v>
          </cell>
        </row>
        <row r="778">
          <cell r="E778">
            <v>29438934</v>
          </cell>
          <cell r="U778" t="str">
            <v>079410440001-65</v>
          </cell>
        </row>
        <row r="779">
          <cell r="E779">
            <v>29440173</v>
          </cell>
          <cell r="U779" t="str">
            <v>074789900001-17</v>
          </cell>
        </row>
        <row r="780">
          <cell r="E780">
            <v>29440211</v>
          </cell>
          <cell r="U780" t="str">
            <v>077680780001-08</v>
          </cell>
        </row>
        <row r="781">
          <cell r="E781">
            <v>29440530</v>
          </cell>
          <cell r="U781" t="str">
            <v>347301620001-05</v>
          </cell>
        </row>
        <row r="782">
          <cell r="E782">
            <v>29441609</v>
          </cell>
          <cell r="U782" t="str">
            <v>203712210001-83</v>
          </cell>
        </row>
        <row r="783">
          <cell r="E783">
            <v>29441633</v>
          </cell>
          <cell r="U783" t="str">
            <v>110456190001-39</v>
          </cell>
        </row>
        <row r="784">
          <cell r="E784">
            <v>29441641</v>
          </cell>
          <cell r="U784" t="str">
            <v>076573120001-11</v>
          </cell>
        </row>
        <row r="785">
          <cell r="E785">
            <v>29441919</v>
          </cell>
          <cell r="U785" t="str">
            <v>080686250001-05</v>
          </cell>
        </row>
        <row r="786">
          <cell r="E786">
            <v>29442095</v>
          </cell>
          <cell r="U786" t="str">
            <v>110742930001-78</v>
          </cell>
        </row>
        <row r="787">
          <cell r="E787">
            <v>29443113</v>
          </cell>
          <cell r="U787" t="str">
            <v>074712570001-70</v>
          </cell>
        </row>
        <row r="788">
          <cell r="E788">
            <v>29443296</v>
          </cell>
          <cell r="U788" t="str">
            <v>111372020001-04</v>
          </cell>
        </row>
        <row r="789">
          <cell r="E789">
            <v>29443768</v>
          </cell>
          <cell r="U789" t="str">
            <v>089344420001-17</v>
          </cell>
        </row>
        <row r="790">
          <cell r="E790">
            <v>29444896</v>
          </cell>
          <cell r="U790" t="str">
            <v>110100400001-30</v>
          </cell>
        </row>
        <row r="791">
          <cell r="E791">
            <v>29444993</v>
          </cell>
          <cell r="U791" t="str">
            <v>080104650001-35</v>
          </cell>
        </row>
        <row r="792">
          <cell r="E792">
            <v>29445213</v>
          </cell>
          <cell r="U792" t="str">
            <v>332314310001-18</v>
          </cell>
        </row>
        <row r="793">
          <cell r="E793">
            <v>29445400</v>
          </cell>
          <cell r="U793" t="str">
            <v>108765690001-79</v>
          </cell>
        </row>
        <row r="794">
          <cell r="E794">
            <v>29446570</v>
          </cell>
          <cell r="U794" t="str">
            <v>108415200001-80</v>
          </cell>
        </row>
        <row r="795">
          <cell r="E795">
            <v>29446651</v>
          </cell>
          <cell r="U795" t="str">
            <v>091344440001-94</v>
          </cell>
        </row>
        <row r="796">
          <cell r="E796">
            <v>29446740</v>
          </cell>
          <cell r="U796" t="str">
            <v>190344980001-31</v>
          </cell>
        </row>
        <row r="797">
          <cell r="E797">
            <v>29447348</v>
          </cell>
          <cell r="U797" t="str">
            <v>122512950001-58</v>
          </cell>
        </row>
        <row r="798">
          <cell r="E798">
            <v>29447690</v>
          </cell>
          <cell r="U798" t="str">
            <v>138444700001-83</v>
          </cell>
        </row>
        <row r="799">
          <cell r="E799">
            <v>29447755</v>
          </cell>
          <cell r="U799" t="str">
            <v>091106660001-77</v>
          </cell>
        </row>
        <row r="800">
          <cell r="E800">
            <v>29447763</v>
          </cell>
          <cell r="U800" t="str">
            <v>089872590001-80</v>
          </cell>
        </row>
        <row r="801">
          <cell r="E801">
            <v>29448018</v>
          </cell>
          <cell r="U801" t="str">
            <v>167755320001-30</v>
          </cell>
        </row>
        <row r="802">
          <cell r="E802">
            <v>29448816</v>
          </cell>
          <cell r="U802" t="str">
            <v>307768830001-97</v>
          </cell>
        </row>
        <row r="803">
          <cell r="E803">
            <v>29449332</v>
          </cell>
          <cell r="U803" t="str">
            <v>206722570001-05</v>
          </cell>
        </row>
        <row r="804">
          <cell r="E804">
            <v>29449340</v>
          </cell>
          <cell r="U804" t="str">
            <v>530508500001-60</v>
          </cell>
        </row>
        <row r="805">
          <cell r="E805">
            <v>29449456</v>
          </cell>
          <cell r="U805" t="str">
            <v>167994730001-30</v>
          </cell>
        </row>
        <row r="806">
          <cell r="E806">
            <v>29449545</v>
          </cell>
          <cell r="U806" t="str">
            <v>307675330001-64</v>
          </cell>
        </row>
        <row r="807">
          <cell r="E807">
            <v>29450837</v>
          </cell>
          <cell r="U807" t="str">
            <v>214338990001-06</v>
          </cell>
        </row>
        <row r="808">
          <cell r="E808">
            <v>29455405</v>
          </cell>
          <cell r="U808" t="str">
            <v>112712890001-08</v>
          </cell>
        </row>
        <row r="809">
          <cell r="E809">
            <v>29456460</v>
          </cell>
          <cell r="U809" t="str">
            <v>202570140001-00</v>
          </cell>
        </row>
        <row r="810">
          <cell r="E810">
            <v>29456479</v>
          </cell>
          <cell r="U810" t="str">
            <v>195950750001-90</v>
          </cell>
        </row>
        <row r="811">
          <cell r="E811">
            <v>29456487</v>
          </cell>
          <cell r="U811" t="str">
            <v>189618060001-01</v>
          </cell>
        </row>
        <row r="812">
          <cell r="E812">
            <v>29456495</v>
          </cell>
          <cell r="U812" t="str">
            <v>303643720001-68</v>
          </cell>
        </row>
        <row r="813">
          <cell r="E813">
            <v>29456509</v>
          </cell>
          <cell r="U813" t="str">
            <v>252794770001-89</v>
          </cell>
        </row>
        <row r="814">
          <cell r="E814">
            <v>29456606</v>
          </cell>
          <cell r="U814" t="str">
            <v>121027190001-12</v>
          </cell>
        </row>
        <row r="815">
          <cell r="E815">
            <v>29456800</v>
          </cell>
          <cell r="U815" t="str">
            <v>110822510001-89</v>
          </cell>
        </row>
        <row r="816">
          <cell r="E816">
            <v>29456886</v>
          </cell>
          <cell r="U816" t="str">
            <v>319018150001-75</v>
          </cell>
        </row>
        <row r="817">
          <cell r="E817">
            <v>29457491</v>
          </cell>
          <cell r="U817" t="str">
            <v>322838660001-43</v>
          </cell>
        </row>
        <row r="818">
          <cell r="E818">
            <v>29457602</v>
          </cell>
          <cell r="U818" t="str">
            <v>109419690001-10</v>
          </cell>
        </row>
        <row r="819">
          <cell r="E819">
            <v>29458994</v>
          </cell>
          <cell r="U819" t="str">
            <v>238875540001-58</v>
          </cell>
        </row>
        <row r="820">
          <cell r="E820">
            <v>29459010</v>
          </cell>
          <cell r="U820" t="str">
            <v>399440500001-62</v>
          </cell>
        </row>
        <row r="821">
          <cell r="E821">
            <v>29459028</v>
          </cell>
          <cell r="U821" t="str">
            <v>198113750001-60</v>
          </cell>
        </row>
        <row r="822">
          <cell r="E822">
            <v>29459141</v>
          </cell>
          <cell r="U822" t="str">
            <v>309589480001-15</v>
          </cell>
        </row>
        <row r="823">
          <cell r="E823">
            <v>29459621</v>
          </cell>
          <cell r="U823" t="str">
            <v>207829060001-12</v>
          </cell>
        </row>
        <row r="824">
          <cell r="E824">
            <v>29459915</v>
          </cell>
          <cell r="U824" t="str">
            <v>306435510001-34</v>
          </cell>
        </row>
        <row r="825">
          <cell r="E825">
            <v>29460549</v>
          </cell>
          <cell r="U825" t="str">
            <v>315230280001-37</v>
          </cell>
        </row>
        <row r="826">
          <cell r="E826">
            <v>29460646</v>
          </cell>
          <cell r="U826" t="str">
            <v>306073650001-40</v>
          </cell>
        </row>
        <row r="827">
          <cell r="E827">
            <v>29460794</v>
          </cell>
          <cell r="U827" t="str">
            <v>139370650001-00</v>
          </cell>
        </row>
        <row r="828">
          <cell r="E828">
            <v>29460930</v>
          </cell>
          <cell r="U828" t="str">
            <v>308796230001-47</v>
          </cell>
        </row>
        <row r="829">
          <cell r="E829">
            <v>29461464</v>
          </cell>
          <cell r="U829" t="str">
            <v>308703360001-76</v>
          </cell>
        </row>
        <row r="830">
          <cell r="E830">
            <v>29461472</v>
          </cell>
          <cell r="U830" t="str">
            <v>267081100001-04</v>
          </cell>
        </row>
        <row r="831">
          <cell r="E831">
            <v>29461480</v>
          </cell>
          <cell r="U831" t="str">
            <v>305556570001-86</v>
          </cell>
        </row>
        <row r="832">
          <cell r="E832">
            <v>29461499</v>
          </cell>
          <cell r="U832" t="str">
            <v>306790570001-20</v>
          </cell>
        </row>
        <row r="833">
          <cell r="E833">
            <v>29461502</v>
          </cell>
          <cell r="U833" t="str">
            <v>267528140001-76</v>
          </cell>
        </row>
        <row r="834">
          <cell r="E834">
            <v>29461510</v>
          </cell>
          <cell r="U834" t="str">
            <v>239472140001-75</v>
          </cell>
        </row>
        <row r="835">
          <cell r="E835">
            <v>29461529</v>
          </cell>
          <cell r="U835" t="str">
            <v>307039300001-72</v>
          </cell>
        </row>
        <row r="836">
          <cell r="E836">
            <v>29463980</v>
          </cell>
          <cell r="U836" t="str">
            <v>222714870001-80</v>
          </cell>
        </row>
        <row r="837">
          <cell r="E837">
            <v>29464374</v>
          </cell>
          <cell r="U837" t="str">
            <v>305919060001-99</v>
          </cell>
        </row>
        <row r="838">
          <cell r="E838">
            <v>29464382</v>
          </cell>
          <cell r="U838" t="str">
            <v>305137420001-81</v>
          </cell>
        </row>
        <row r="839">
          <cell r="E839">
            <v>29464390</v>
          </cell>
          <cell r="U839" t="str">
            <v>453544970001-84</v>
          </cell>
        </row>
        <row r="840">
          <cell r="E840">
            <v>29464765</v>
          </cell>
          <cell r="U840" t="str">
            <v>309470410001-50</v>
          </cell>
        </row>
        <row r="841">
          <cell r="E841">
            <v>29464773</v>
          </cell>
          <cell r="U841" t="str">
            <v>304596070001-03</v>
          </cell>
        </row>
        <row r="842">
          <cell r="E842">
            <v>29465400</v>
          </cell>
          <cell r="U842" t="str">
            <v>283536270001-45</v>
          </cell>
        </row>
        <row r="843">
          <cell r="E843">
            <v>29466008</v>
          </cell>
          <cell r="U843" t="str">
            <v>110710910001-72</v>
          </cell>
        </row>
        <row r="844">
          <cell r="E844">
            <v>29467004</v>
          </cell>
          <cell r="U844" t="str">
            <v>108497180001-00</v>
          </cell>
        </row>
        <row r="845">
          <cell r="E845">
            <v>29467403</v>
          </cell>
          <cell r="U845" t="str">
            <v>110283140001-19</v>
          </cell>
        </row>
        <row r="846">
          <cell r="E846">
            <v>29467551</v>
          </cell>
          <cell r="U846" t="str">
            <v>318939400001-80</v>
          </cell>
        </row>
        <row r="847">
          <cell r="E847">
            <v>29467624</v>
          </cell>
          <cell r="U847" t="str">
            <v>356333070001-04</v>
          </cell>
        </row>
        <row r="848">
          <cell r="E848">
            <v>29467870</v>
          </cell>
          <cell r="U848" t="str">
            <v>303307840001-87</v>
          </cell>
        </row>
        <row r="849">
          <cell r="E849">
            <v>29468000</v>
          </cell>
          <cell r="U849" t="str">
            <v>109068360001-03</v>
          </cell>
        </row>
        <row r="850">
          <cell r="E850">
            <v>29469066</v>
          </cell>
          <cell r="U850" t="str">
            <v>303853380001-70</v>
          </cell>
        </row>
        <row r="851">
          <cell r="E851">
            <v>29470501</v>
          </cell>
          <cell r="U851" t="str">
            <v>301100070001-27</v>
          </cell>
        </row>
        <row r="852">
          <cell r="E852">
            <v>29470579</v>
          </cell>
          <cell r="U852" t="str">
            <v>305484370001-25</v>
          </cell>
        </row>
        <row r="853">
          <cell r="E853">
            <v>29473101</v>
          </cell>
          <cell r="U853" t="str">
            <v>332986900001-66</v>
          </cell>
        </row>
        <row r="854">
          <cell r="E854">
            <v>29473365</v>
          </cell>
          <cell r="U854" t="str">
            <v>318883180001-84</v>
          </cell>
        </row>
        <row r="855">
          <cell r="E855">
            <v>29474272</v>
          </cell>
          <cell r="U855" t="str">
            <v>337136270001-49</v>
          </cell>
        </row>
        <row r="856">
          <cell r="E856">
            <v>29474892</v>
          </cell>
          <cell r="U856" t="str">
            <v>355860880001-50</v>
          </cell>
        </row>
        <row r="857">
          <cell r="E857">
            <v>29474914</v>
          </cell>
          <cell r="U857" t="str">
            <v>336286130001-27</v>
          </cell>
        </row>
        <row r="858">
          <cell r="E858">
            <v>29475082</v>
          </cell>
          <cell r="U858" t="str">
            <v>349012000001-37</v>
          </cell>
        </row>
        <row r="859">
          <cell r="E859">
            <v>29477220</v>
          </cell>
          <cell r="U859" t="str">
            <v>434241940001-65</v>
          </cell>
        </row>
        <row r="860">
          <cell r="E860">
            <v>29477441</v>
          </cell>
          <cell r="U860" t="str">
            <v>406316050001-03</v>
          </cell>
        </row>
        <row r="861">
          <cell r="E861">
            <v>29477492</v>
          </cell>
          <cell r="U861" t="str">
            <v>394398110001-29</v>
          </cell>
        </row>
        <row r="862">
          <cell r="E862">
            <v>29479169</v>
          </cell>
          <cell r="U862" t="str">
            <v>460328700001-43</v>
          </cell>
        </row>
        <row r="863">
          <cell r="E863">
            <v>29481325</v>
          </cell>
          <cell r="U863" t="str">
            <v>474835460001-04</v>
          </cell>
        </row>
        <row r="864">
          <cell r="E864">
            <v>29482267</v>
          </cell>
          <cell r="U864" t="str">
            <v>510982210001-85</v>
          </cell>
        </row>
        <row r="865">
          <cell r="E865">
            <v>29483395</v>
          </cell>
          <cell r="U865" t="str">
            <v>531848690001-08</v>
          </cell>
        </row>
        <row r="866">
          <cell r="E866">
            <v>29483891</v>
          </cell>
          <cell r="U866" t="str">
            <v>554650680001-38</v>
          </cell>
        </row>
        <row r="867">
          <cell r="E867">
            <v>29485100</v>
          </cell>
          <cell r="U867" t="str">
            <v>523335590001-37</v>
          </cell>
        </row>
        <row r="868">
          <cell r="E868">
            <v>29486327</v>
          </cell>
          <cell r="U868" t="str">
            <v>581482790001-35</v>
          </cell>
        </row>
        <row r="869">
          <cell r="E869">
            <v>29487110</v>
          </cell>
          <cell r="U869" t="str">
            <v>604117520001-77</v>
          </cell>
        </row>
        <row r="870">
          <cell r="E870">
            <v>29526809</v>
          </cell>
          <cell r="U870" t="str">
            <v>109390730001-05</v>
          </cell>
        </row>
        <row r="871">
          <cell r="E871">
            <v>29535808</v>
          </cell>
          <cell r="U871" t="str">
            <v>108824790001-90</v>
          </cell>
        </row>
        <row r="872">
          <cell r="E872">
            <v>29535816</v>
          </cell>
          <cell r="U872" t="str">
            <v>111737480001-02</v>
          </cell>
        </row>
        <row r="873">
          <cell r="E873">
            <v>29536200</v>
          </cell>
          <cell r="U873" t="str">
            <v>109816080001-06</v>
          </cell>
        </row>
        <row r="874">
          <cell r="E874">
            <v>29581605</v>
          </cell>
          <cell r="U874" t="str">
            <v>109015610001-15</v>
          </cell>
        </row>
        <row r="875">
          <cell r="E875">
            <v>29599601</v>
          </cell>
          <cell r="U875" t="str">
            <v>021256430001-97</v>
          </cell>
        </row>
        <row r="876">
          <cell r="E876">
            <v>29628610</v>
          </cell>
          <cell r="U876" t="str">
            <v>021354600001-52</v>
          </cell>
        </row>
        <row r="877">
          <cell r="E877">
            <v>29739624</v>
          </cell>
          <cell r="U877" t="str">
            <v>315590800001-43</v>
          </cell>
        </row>
        <row r="878">
          <cell r="E878">
            <v>29842727</v>
          </cell>
          <cell r="U878" t="str">
            <v>132572920001-94</v>
          </cell>
        </row>
        <row r="879">
          <cell r="E879">
            <v>29848873</v>
          </cell>
          <cell r="U879" t="str">
            <v>124468630001-76</v>
          </cell>
        </row>
        <row r="880">
          <cell r="E880">
            <v>29850843</v>
          </cell>
          <cell r="U880" t="str">
            <v>142062870001-15</v>
          </cell>
        </row>
        <row r="881">
          <cell r="E881">
            <v>29862728</v>
          </cell>
          <cell r="U881" t="str">
            <v>147787580001-60</v>
          </cell>
        </row>
        <row r="882">
          <cell r="E882">
            <v>29863724</v>
          </cell>
          <cell r="U882" t="str">
            <v>128757150001-77</v>
          </cell>
        </row>
        <row r="883">
          <cell r="E883">
            <v>29886732</v>
          </cell>
          <cell r="U883" t="str">
            <v>113569860001-53</v>
          </cell>
        </row>
        <row r="884">
          <cell r="E884">
            <v>29915783</v>
          </cell>
          <cell r="U884" t="str">
            <v>145132420001-93</v>
          </cell>
        </row>
        <row r="885">
          <cell r="E885">
            <v>29980720</v>
          </cell>
          <cell r="U885" t="str">
            <v>141704620001-61</v>
          </cell>
        </row>
        <row r="886">
          <cell r="E886">
            <v>29981760</v>
          </cell>
          <cell r="U886" t="str">
            <v>142724460001-80</v>
          </cell>
        </row>
        <row r="887">
          <cell r="E887">
            <v>29982758</v>
          </cell>
          <cell r="U887" t="str">
            <v>129850510001-07</v>
          </cell>
        </row>
        <row r="888">
          <cell r="E888">
            <v>29999812</v>
          </cell>
          <cell r="U888" t="str">
            <v>154256360001-52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itas"/>
      <sheetName val="1ª PARCELA"/>
      <sheetName val="2ª PARCELA"/>
    </sheetNames>
    <sheetDataSet>
      <sheetData sheetId="0"/>
      <sheetData sheetId="1">
        <row r="5">
          <cell r="E5">
            <v>1100159</v>
          </cell>
          <cell r="F5">
            <v>29201390</v>
          </cell>
          <cell r="G5" t="str">
            <v>25/06/2025</v>
          </cell>
          <cell r="H5">
            <v>11475</v>
          </cell>
        </row>
        <row r="6">
          <cell r="E6">
            <v>1100167</v>
          </cell>
          <cell r="F6">
            <v>29188903</v>
          </cell>
          <cell r="G6" t="str">
            <v>16/05/2025</v>
          </cell>
          <cell r="H6">
            <v>4415</v>
          </cell>
        </row>
        <row r="7">
          <cell r="E7">
            <v>1100221</v>
          </cell>
          <cell r="F7">
            <v>29189047</v>
          </cell>
          <cell r="G7" t="str">
            <v>28/05/2025</v>
          </cell>
          <cell r="H7">
            <v>6805</v>
          </cell>
        </row>
        <row r="8">
          <cell r="E8">
            <v>1100256</v>
          </cell>
          <cell r="F8">
            <v>29178320</v>
          </cell>
          <cell r="G8" t="str">
            <v>28/05/2025</v>
          </cell>
          <cell r="H8">
            <v>16525</v>
          </cell>
        </row>
        <row r="9">
          <cell r="E9">
            <v>1100337</v>
          </cell>
          <cell r="F9">
            <v>29189012</v>
          </cell>
          <cell r="G9" t="str">
            <v>06/11/2025</v>
          </cell>
          <cell r="H9">
            <v>8015</v>
          </cell>
        </row>
        <row r="10">
          <cell r="E10">
            <v>1100345</v>
          </cell>
          <cell r="F10">
            <v>29182123</v>
          </cell>
          <cell r="G10" t="str">
            <v>16/05/2025</v>
          </cell>
          <cell r="H10">
            <v>10575</v>
          </cell>
        </row>
        <row r="11">
          <cell r="E11">
            <v>1100388</v>
          </cell>
          <cell r="F11">
            <v>29189454</v>
          </cell>
          <cell r="G11" t="str">
            <v>26/09/2025</v>
          </cell>
          <cell r="H11">
            <v>8205</v>
          </cell>
        </row>
        <row r="12">
          <cell r="E12">
            <v>1100418</v>
          </cell>
          <cell r="F12">
            <v>29189080</v>
          </cell>
          <cell r="G12" t="str">
            <v>24/10/2025</v>
          </cell>
          <cell r="H12">
            <v>3715</v>
          </cell>
        </row>
        <row r="13">
          <cell r="E13">
            <v>1100426</v>
          </cell>
          <cell r="F13">
            <v>29192030</v>
          </cell>
          <cell r="G13" t="str">
            <v>25/06/2025</v>
          </cell>
          <cell r="H13">
            <v>10615</v>
          </cell>
        </row>
        <row r="14">
          <cell r="E14">
            <v>1100434</v>
          </cell>
          <cell r="F14">
            <v>29182077</v>
          </cell>
          <cell r="G14" t="str">
            <v>26/09/2025</v>
          </cell>
          <cell r="H14">
            <v>14815</v>
          </cell>
        </row>
        <row r="15">
          <cell r="E15">
            <v>1100477</v>
          </cell>
          <cell r="F15">
            <v>29178487</v>
          </cell>
          <cell r="G15" t="str">
            <v>28/05/2025</v>
          </cell>
          <cell r="H15">
            <v>10325</v>
          </cell>
        </row>
        <row r="16">
          <cell r="E16">
            <v>1100485</v>
          </cell>
          <cell r="F16">
            <v>29192013</v>
          </cell>
          <cell r="G16" t="str">
            <v>25/06/2025</v>
          </cell>
          <cell r="H16">
            <v>13435</v>
          </cell>
        </row>
        <row r="17">
          <cell r="E17">
            <v>1100493</v>
          </cell>
          <cell r="F17">
            <v>29190720</v>
          </cell>
          <cell r="G17" t="str">
            <v>26/08/2025</v>
          </cell>
          <cell r="H17">
            <v>7965</v>
          </cell>
        </row>
        <row r="18">
          <cell r="E18">
            <v>1100523</v>
          </cell>
          <cell r="F18">
            <v>29190738</v>
          </cell>
          <cell r="G18" t="str">
            <v>16/05/2025</v>
          </cell>
          <cell r="H18">
            <v>4725</v>
          </cell>
        </row>
        <row r="19">
          <cell r="E19">
            <v>1100540</v>
          </cell>
          <cell r="F19">
            <v>29189241</v>
          </cell>
          <cell r="G19" t="str">
            <v>26/09/2025</v>
          </cell>
          <cell r="H19">
            <v>6665</v>
          </cell>
        </row>
        <row r="20">
          <cell r="E20">
            <v>1100558</v>
          </cell>
          <cell r="F20">
            <v>29198780</v>
          </cell>
          <cell r="G20" t="str">
            <v>06/11/2025</v>
          </cell>
          <cell r="H20">
            <v>2145</v>
          </cell>
        </row>
        <row r="21">
          <cell r="E21">
            <v>1100612</v>
          </cell>
          <cell r="F21">
            <v>29182034</v>
          </cell>
          <cell r="G21" t="str">
            <v>16/05/2025</v>
          </cell>
          <cell r="H21">
            <v>7875</v>
          </cell>
        </row>
        <row r="22">
          <cell r="E22">
            <v>1100701</v>
          </cell>
          <cell r="F22">
            <v>29192170</v>
          </cell>
          <cell r="G22" t="str">
            <v>26/09/2025</v>
          </cell>
          <cell r="H22">
            <v>6175</v>
          </cell>
        </row>
        <row r="23">
          <cell r="E23">
            <v>1100736</v>
          </cell>
          <cell r="F23">
            <v>29181151</v>
          </cell>
          <cell r="G23" t="str">
            <v>25/06/2025</v>
          </cell>
          <cell r="H23">
            <v>12245</v>
          </cell>
        </row>
        <row r="24">
          <cell r="E24">
            <v>1100809</v>
          </cell>
          <cell r="F24">
            <v>29178231</v>
          </cell>
          <cell r="G24" t="str">
            <v>25/06/2025</v>
          </cell>
          <cell r="H24">
            <v>9885</v>
          </cell>
        </row>
        <row r="25">
          <cell r="E25">
            <v>1100817</v>
          </cell>
          <cell r="F25">
            <v>29192617</v>
          </cell>
          <cell r="G25" t="str">
            <v>29/07/2025</v>
          </cell>
          <cell r="H25">
            <v>2805</v>
          </cell>
        </row>
        <row r="26">
          <cell r="E26">
            <v>1100833</v>
          </cell>
          <cell r="F26">
            <v>29184932</v>
          </cell>
          <cell r="G26" t="str">
            <v>25/06/2025</v>
          </cell>
          <cell r="H26">
            <v>12185</v>
          </cell>
        </row>
        <row r="27">
          <cell r="E27">
            <v>1100868</v>
          </cell>
          <cell r="F27">
            <v>29191572</v>
          </cell>
          <cell r="G27" t="str">
            <v>26/09/2025</v>
          </cell>
          <cell r="H27">
            <v>5695</v>
          </cell>
        </row>
        <row r="28">
          <cell r="E28">
            <v>1100884</v>
          </cell>
          <cell r="F28">
            <v>29184983</v>
          </cell>
          <cell r="G28" t="str">
            <v>06/11/2025</v>
          </cell>
          <cell r="H28">
            <v>4035</v>
          </cell>
        </row>
        <row r="29">
          <cell r="E29">
            <v>1100914</v>
          </cell>
          <cell r="F29">
            <v>29192064</v>
          </cell>
          <cell r="G29" t="str">
            <v>06/11/2025</v>
          </cell>
          <cell r="H29">
            <v>12305</v>
          </cell>
        </row>
        <row r="30">
          <cell r="E30">
            <v>1100930</v>
          </cell>
          <cell r="F30">
            <v>29201527</v>
          </cell>
          <cell r="G30" t="str">
            <v>06/11/2025</v>
          </cell>
          <cell r="H30">
            <v>5345</v>
          </cell>
        </row>
        <row r="31">
          <cell r="E31">
            <v>1100949</v>
          </cell>
          <cell r="F31">
            <v>29192889</v>
          </cell>
          <cell r="G31" t="str">
            <v>26/08/2025</v>
          </cell>
          <cell r="H31">
            <v>11045</v>
          </cell>
        </row>
        <row r="32">
          <cell r="E32">
            <v>1100957</v>
          </cell>
          <cell r="F32">
            <v>29190916</v>
          </cell>
          <cell r="G32" t="str">
            <v>16/05/2025</v>
          </cell>
          <cell r="H32">
            <v>5995</v>
          </cell>
        </row>
        <row r="33">
          <cell r="E33">
            <v>1100981</v>
          </cell>
          <cell r="F33">
            <v>29184460</v>
          </cell>
          <cell r="G33" t="str">
            <v>28/05/2025</v>
          </cell>
          <cell r="H33">
            <v>14935</v>
          </cell>
        </row>
        <row r="34">
          <cell r="E34">
            <v>1101031</v>
          </cell>
          <cell r="F34">
            <v>29182093</v>
          </cell>
          <cell r="G34" t="str">
            <v>29/07/2025</v>
          </cell>
          <cell r="H34">
            <v>4685</v>
          </cell>
        </row>
        <row r="35">
          <cell r="E35">
            <v>1101074</v>
          </cell>
          <cell r="F35">
            <v>29190835</v>
          </cell>
          <cell r="G35" t="str">
            <v>28/05/2025</v>
          </cell>
          <cell r="H35">
            <v>9535</v>
          </cell>
        </row>
        <row r="36">
          <cell r="E36">
            <v>1101090</v>
          </cell>
          <cell r="F36">
            <v>29191106</v>
          </cell>
          <cell r="G36" t="str">
            <v>29/05/2025</v>
          </cell>
          <cell r="H36">
            <v>4085</v>
          </cell>
        </row>
        <row r="37">
          <cell r="E37">
            <v>1101120</v>
          </cell>
          <cell r="F37">
            <v>29187419</v>
          </cell>
          <cell r="G37" t="str">
            <v>25/06/2025</v>
          </cell>
          <cell r="H37">
            <v>8655</v>
          </cell>
        </row>
        <row r="38">
          <cell r="E38">
            <v>1101147</v>
          </cell>
          <cell r="F38">
            <v>29179220</v>
          </cell>
          <cell r="G38" t="str">
            <v>29/07/2025</v>
          </cell>
          <cell r="H38">
            <v>8185</v>
          </cell>
        </row>
        <row r="39">
          <cell r="E39">
            <v>1101309</v>
          </cell>
          <cell r="F39">
            <v>29179548</v>
          </cell>
          <cell r="G39" t="str">
            <v>06/11/2025</v>
          </cell>
          <cell r="H39">
            <v>5875</v>
          </cell>
        </row>
        <row r="40">
          <cell r="E40">
            <v>1101333</v>
          </cell>
          <cell r="F40">
            <v>29185351</v>
          </cell>
          <cell r="G40" t="str">
            <v>29/07/2025</v>
          </cell>
          <cell r="H40">
            <v>3045</v>
          </cell>
        </row>
        <row r="41">
          <cell r="E41">
            <v>1101376</v>
          </cell>
          <cell r="F41">
            <v>29182247</v>
          </cell>
          <cell r="G41" t="str">
            <v>16/05/2025</v>
          </cell>
          <cell r="H41">
            <v>4205</v>
          </cell>
        </row>
        <row r="42">
          <cell r="E42">
            <v>1101430</v>
          </cell>
          <cell r="F42">
            <v>29179629</v>
          </cell>
          <cell r="G42" t="str">
            <v>25/06/2025</v>
          </cell>
          <cell r="H42">
            <v>7505</v>
          </cell>
        </row>
        <row r="43">
          <cell r="E43">
            <v>1101490</v>
          </cell>
          <cell r="F43">
            <v>29179491</v>
          </cell>
          <cell r="G43" t="str">
            <v>25/06/2025</v>
          </cell>
          <cell r="H43">
            <v>7045</v>
          </cell>
        </row>
        <row r="44">
          <cell r="E44">
            <v>1101520</v>
          </cell>
          <cell r="F44">
            <v>29188270</v>
          </cell>
          <cell r="G44" t="str">
            <v>29/07/2025</v>
          </cell>
          <cell r="H44">
            <v>8225</v>
          </cell>
        </row>
        <row r="45">
          <cell r="E45">
            <v>1101546</v>
          </cell>
          <cell r="F45">
            <v>29189950</v>
          </cell>
          <cell r="G45" t="str">
            <v>06/11/2025</v>
          </cell>
          <cell r="H45">
            <v>4385</v>
          </cell>
        </row>
        <row r="46">
          <cell r="E46">
            <v>1101651</v>
          </cell>
          <cell r="F46">
            <v>29190770</v>
          </cell>
          <cell r="G46" t="str">
            <v>16/05/2025</v>
          </cell>
          <cell r="H46">
            <v>10325</v>
          </cell>
        </row>
        <row r="47">
          <cell r="E47">
            <v>1101759</v>
          </cell>
          <cell r="F47">
            <v>29187877</v>
          </cell>
          <cell r="G47" t="str">
            <v>16/05/2025</v>
          </cell>
          <cell r="H47">
            <v>6165</v>
          </cell>
        </row>
        <row r="48">
          <cell r="E48">
            <v>1101791</v>
          </cell>
          <cell r="F48">
            <v>29191637</v>
          </cell>
          <cell r="G48" t="str">
            <v>06/11/2025</v>
          </cell>
          <cell r="H48">
            <v>7095</v>
          </cell>
        </row>
        <row r="49">
          <cell r="E49">
            <v>1101856</v>
          </cell>
          <cell r="F49">
            <v>29181470</v>
          </cell>
          <cell r="G49" t="str">
            <v>29/05/2025</v>
          </cell>
          <cell r="H49">
            <v>19995</v>
          </cell>
        </row>
        <row r="50">
          <cell r="E50">
            <v>1101872</v>
          </cell>
          <cell r="F50">
            <v>29182166</v>
          </cell>
          <cell r="G50" t="str">
            <v>29/05/2025</v>
          </cell>
          <cell r="H50">
            <v>8565</v>
          </cell>
        </row>
        <row r="51">
          <cell r="E51">
            <v>1101899</v>
          </cell>
          <cell r="F51">
            <v>29181488</v>
          </cell>
          <cell r="G51" t="str">
            <v>06/11/2025</v>
          </cell>
          <cell r="H51">
            <v>6455</v>
          </cell>
        </row>
        <row r="52">
          <cell r="E52">
            <v>1101937</v>
          </cell>
          <cell r="F52">
            <v>29190851</v>
          </cell>
          <cell r="G52" t="str">
            <v>26/08/2025</v>
          </cell>
          <cell r="H52">
            <v>4045</v>
          </cell>
        </row>
        <row r="53">
          <cell r="E53">
            <v>1101953</v>
          </cell>
          <cell r="F53">
            <v>29193095</v>
          </cell>
          <cell r="G53" t="str">
            <v>16/05/2025</v>
          </cell>
          <cell r="H53">
            <v>6905</v>
          </cell>
        </row>
        <row r="54">
          <cell r="E54">
            <v>1101961</v>
          </cell>
          <cell r="F54">
            <v>29175771</v>
          </cell>
          <cell r="G54" t="str">
            <v>24/10/2025</v>
          </cell>
          <cell r="H54">
            <v>10655</v>
          </cell>
        </row>
        <row r="55">
          <cell r="E55">
            <v>1101988</v>
          </cell>
          <cell r="F55">
            <v>29190991</v>
          </cell>
          <cell r="G55" t="str">
            <v>29/07/2025</v>
          </cell>
          <cell r="H55">
            <v>5755</v>
          </cell>
        </row>
        <row r="56">
          <cell r="E56">
            <v>1102097</v>
          </cell>
          <cell r="F56">
            <v>29190878</v>
          </cell>
          <cell r="G56" t="str">
            <v>06/11/2025</v>
          </cell>
          <cell r="H56">
            <v>13585</v>
          </cell>
        </row>
        <row r="57">
          <cell r="E57">
            <v>1102160</v>
          </cell>
          <cell r="F57">
            <v>29190754</v>
          </cell>
          <cell r="G57" t="str">
            <v>15/10/2025</v>
          </cell>
          <cell r="H57">
            <v>11015</v>
          </cell>
        </row>
        <row r="58">
          <cell r="E58">
            <v>1102216</v>
          </cell>
          <cell r="F58">
            <v>29191084</v>
          </cell>
          <cell r="G58" t="str">
            <v>26/09/2025</v>
          </cell>
          <cell r="H58">
            <v>4095</v>
          </cell>
        </row>
        <row r="59">
          <cell r="E59">
            <v>1102232</v>
          </cell>
          <cell r="F59">
            <v>29181526</v>
          </cell>
          <cell r="G59" t="str">
            <v>26/08/2025</v>
          </cell>
          <cell r="H59">
            <v>17725</v>
          </cell>
        </row>
        <row r="60">
          <cell r="E60">
            <v>1102259</v>
          </cell>
          <cell r="F60">
            <v>29175518</v>
          </cell>
          <cell r="G60" t="str">
            <v>25/06/2025</v>
          </cell>
          <cell r="H60">
            <v>25725</v>
          </cell>
        </row>
        <row r="61">
          <cell r="E61">
            <v>1102348</v>
          </cell>
          <cell r="F61">
            <v>29186935</v>
          </cell>
          <cell r="G61" t="str">
            <v>06/11/2025</v>
          </cell>
          <cell r="H61">
            <v>10285</v>
          </cell>
        </row>
        <row r="62">
          <cell r="E62">
            <v>1102364</v>
          </cell>
          <cell r="F62">
            <v>29188768</v>
          </cell>
          <cell r="G62" t="str">
            <v>25/06/2025</v>
          </cell>
          <cell r="H62">
            <v>6185</v>
          </cell>
        </row>
        <row r="63">
          <cell r="E63">
            <v>1102372</v>
          </cell>
          <cell r="F63">
            <v>29188792</v>
          </cell>
          <cell r="G63" t="str">
            <v>26/09/2025</v>
          </cell>
          <cell r="H63">
            <v>12565</v>
          </cell>
        </row>
        <row r="64">
          <cell r="E64">
            <v>1102402</v>
          </cell>
          <cell r="F64">
            <v>29202604</v>
          </cell>
          <cell r="G64" t="str">
            <v>25/06/2025</v>
          </cell>
          <cell r="H64">
            <v>13555</v>
          </cell>
        </row>
        <row r="65">
          <cell r="E65">
            <v>1102410</v>
          </cell>
          <cell r="F65">
            <v>29202493</v>
          </cell>
          <cell r="G65" t="str">
            <v>26/08/2025</v>
          </cell>
          <cell r="H65">
            <v>2805</v>
          </cell>
        </row>
        <row r="66">
          <cell r="E66">
            <v>1102470</v>
          </cell>
          <cell r="F66">
            <v>29178550</v>
          </cell>
          <cell r="G66" t="str">
            <v>25/06/2025</v>
          </cell>
          <cell r="H66">
            <v>10675</v>
          </cell>
        </row>
        <row r="67">
          <cell r="E67">
            <v>1102534</v>
          </cell>
          <cell r="F67">
            <v>29191378</v>
          </cell>
          <cell r="G67" t="str">
            <v>06/11/2025</v>
          </cell>
          <cell r="H67">
            <v>11325</v>
          </cell>
        </row>
        <row r="68">
          <cell r="E68">
            <v>1102542</v>
          </cell>
          <cell r="F68">
            <v>29190908</v>
          </cell>
          <cell r="G68" t="str">
            <v>25/06/2025</v>
          </cell>
          <cell r="H68">
            <v>6165</v>
          </cell>
        </row>
        <row r="69">
          <cell r="E69">
            <v>1102550</v>
          </cell>
          <cell r="F69">
            <v>29180104</v>
          </cell>
          <cell r="G69" t="str">
            <v>26/08/2025</v>
          </cell>
          <cell r="H69">
            <v>12295</v>
          </cell>
        </row>
        <row r="70">
          <cell r="E70">
            <v>1102640</v>
          </cell>
          <cell r="F70">
            <v>29193966</v>
          </cell>
          <cell r="G70" t="str">
            <v>16/05/2025</v>
          </cell>
          <cell r="H70">
            <v>9455</v>
          </cell>
        </row>
        <row r="71">
          <cell r="E71">
            <v>1102666</v>
          </cell>
          <cell r="F71">
            <v>29181500</v>
          </cell>
          <cell r="G71" t="str">
            <v>25/06/2025</v>
          </cell>
          <cell r="H71">
            <v>15355</v>
          </cell>
        </row>
        <row r="72">
          <cell r="E72">
            <v>1102704</v>
          </cell>
          <cell r="F72">
            <v>29183987</v>
          </cell>
          <cell r="G72" t="str">
            <v>16/05/2025</v>
          </cell>
          <cell r="H72">
            <v>3865</v>
          </cell>
        </row>
        <row r="73">
          <cell r="E73">
            <v>1102747</v>
          </cell>
          <cell r="F73">
            <v>29193567</v>
          </cell>
          <cell r="G73" t="str">
            <v>06/11/2025</v>
          </cell>
          <cell r="H73">
            <v>8385</v>
          </cell>
        </row>
        <row r="74">
          <cell r="E74">
            <v>1102836</v>
          </cell>
          <cell r="F74">
            <v>29193656</v>
          </cell>
          <cell r="G74" t="str">
            <v>26/09/2025</v>
          </cell>
          <cell r="H74">
            <v>5845</v>
          </cell>
        </row>
        <row r="75">
          <cell r="E75">
            <v>1102844</v>
          </cell>
          <cell r="F75">
            <v>29185394</v>
          </cell>
          <cell r="G75" t="str">
            <v>11/07/2025</v>
          </cell>
          <cell r="H75">
            <v>9535</v>
          </cell>
        </row>
        <row r="76">
          <cell r="E76">
            <v>1102852</v>
          </cell>
          <cell r="F76">
            <v>29182204</v>
          </cell>
          <cell r="G76" t="str">
            <v>11/07/2025</v>
          </cell>
          <cell r="H76">
            <v>1935</v>
          </cell>
        </row>
        <row r="77">
          <cell r="E77">
            <v>1102879</v>
          </cell>
          <cell r="F77">
            <v>29181143</v>
          </cell>
          <cell r="G77" t="str">
            <v>23/05/2025</v>
          </cell>
          <cell r="H77">
            <v>12665</v>
          </cell>
        </row>
        <row r="78">
          <cell r="E78">
            <v>1102909</v>
          </cell>
          <cell r="F78">
            <v>29188784</v>
          </cell>
          <cell r="G78" t="str">
            <v>29/07/2025</v>
          </cell>
          <cell r="H78">
            <v>3395</v>
          </cell>
        </row>
        <row r="79">
          <cell r="E79">
            <v>1102917</v>
          </cell>
          <cell r="F79">
            <v>29186552</v>
          </cell>
          <cell r="G79" t="str">
            <v>26/09/2025</v>
          </cell>
          <cell r="H79">
            <v>3645</v>
          </cell>
        </row>
        <row r="80">
          <cell r="E80">
            <v>1102941</v>
          </cell>
          <cell r="F80">
            <v>29196434</v>
          </cell>
          <cell r="G80" t="str">
            <v>26/09/2025</v>
          </cell>
          <cell r="H80">
            <v>12365</v>
          </cell>
        </row>
        <row r="81">
          <cell r="E81">
            <v>1102992</v>
          </cell>
          <cell r="F81">
            <v>29182158</v>
          </cell>
          <cell r="G81" t="str">
            <v>11/07/2025</v>
          </cell>
          <cell r="H81">
            <v>4065</v>
          </cell>
        </row>
        <row r="82">
          <cell r="E82">
            <v>1103000</v>
          </cell>
          <cell r="F82">
            <v>29201063</v>
          </cell>
          <cell r="G82" t="str">
            <v>25/06/2025</v>
          </cell>
          <cell r="H82">
            <v>12225</v>
          </cell>
        </row>
        <row r="83">
          <cell r="E83">
            <v>1103107</v>
          </cell>
          <cell r="F83">
            <v>29193532</v>
          </cell>
          <cell r="G83" t="str">
            <v>06/11/2025</v>
          </cell>
          <cell r="H83">
            <v>9455</v>
          </cell>
        </row>
        <row r="84">
          <cell r="E84">
            <v>1103174</v>
          </cell>
          <cell r="F84">
            <v>29182719</v>
          </cell>
          <cell r="G84" t="str">
            <v>26/08/2025</v>
          </cell>
          <cell r="H84">
            <v>6615</v>
          </cell>
        </row>
        <row r="85">
          <cell r="E85">
            <v>1103212</v>
          </cell>
          <cell r="F85">
            <v>29200075</v>
          </cell>
          <cell r="G85" t="str">
            <v>26/08/2025</v>
          </cell>
          <cell r="H85">
            <v>13385</v>
          </cell>
        </row>
        <row r="86">
          <cell r="E86">
            <v>1103336</v>
          </cell>
          <cell r="F86">
            <v>29182271</v>
          </cell>
          <cell r="G86" t="str">
            <v>26/08/2025</v>
          </cell>
          <cell r="H86">
            <v>14885</v>
          </cell>
        </row>
        <row r="87">
          <cell r="E87">
            <v>1103395</v>
          </cell>
          <cell r="F87">
            <v>29201853</v>
          </cell>
          <cell r="G87" t="str">
            <v>25/06/2025</v>
          </cell>
          <cell r="H87">
            <v>7215</v>
          </cell>
        </row>
        <row r="88">
          <cell r="E88">
            <v>1103417</v>
          </cell>
          <cell r="F88">
            <v>29187583</v>
          </cell>
          <cell r="G88" t="str">
            <v>06/11/2025</v>
          </cell>
          <cell r="H88">
            <v>11245</v>
          </cell>
        </row>
        <row r="89">
          <cell r="E89">
            <v>1103492</v>
          </cell>
          <cell r="F89">
            <v>29188695</v>
          </cell>
          <cell r="G89" t="str">
            <v>25/06/2025</v>
          </cell>
          <cell r="H89">
            <v>10015</v>
          </cell>
        </row>
        <row r="90">
          <cell r="E90">
            <v>1103506</v>
          </cell>
          <cell r="F90">
            <v>29187346</v>
          </cell>
          <cell r="G90" t="str">
            <v>16/05/2025</v>
          </cell>
          <cell r="H90">
            <v>4825</v>
          </cell>
        </row>
        <row r="91">
          <cell r="E91">
            <v>1103514</v>
          </cell>
          <cell r="F91">
            <v>29181542</v>
          </cell>
          <cell r="G91" t="str">
            <v>24/10/2025</v>
          </cell>
          <cell r="H91">
            <v>7485</v>
          </cell>
        </row>
        <row r="92">
          <cell r="E92">
            <v>1103565</v>
          </cell>
          <cell r="F92">
            <v>29191041</v>
          </cell>
          <cell r="G92" t="str">
            <v>26/08/2025</v>
          </cell>
          <cell r="H92">
            <v>5765</v>
          </cell>
        </row>
        <row r="93">
          <cell r="E93">
            <v>1103654</v>
          </cell>
          <cell r="F93">
            <v>29188458</v>
          </cell>
          <cell r="G93" t="str">
            <v>16/05/2025</v>
          </cell>
          <cell r="H93">
            <v>6795</v>
          </cell>
        </row>
        <row r="94">
          <cell r="E94">
            <v>1103719</v>
          </cell>
          <cell r="F94">
            <v>29177090</v>
          </cell>
          <cell r="G94" t="str">
            <v>26/09/2025</v>
          </cell>
          <cell r="H94">
            <v>7175</v>
          </cell>
        </row>
        <row r="95">
          <cell r="E95">
            <v>1103751</v>
          </cell>
          <cell r="F95">
            <v>29182280</v>
          </cell>
          <cell r="G95" t="str">
            <v>26/08/2025</v>
          </cell>
          <cell r="H95">
            <v>4625</v>
          </cell>
        </row>
        <row r="96">
          <cell r="E96">
            <v>1103778</v>
          </cell>
          <cell r="F96">
            <v>29199387</v>
          </cell>
          <cell r="G96" t="str">
            <v>23/05/2025</v>
          </cell>
          <cell r="H96">
            <v>7095</v>
          </cell>
        </row>
        <row r="97">
          <cell r="E97">
            <v>1103786</v>
          </cell>
          <cell r="F97">
            <v>29181496</v>
          </cell>
          <cell r="G97" t="str">
            <v>25/06/2025</v>
          </cell>
          <cell r="H97">
            <v>18175</v>
          </cell>
        </row>
        <row r="98">
          <cell r="E98">
            <v>1103816</v>
          </cell>
          <cell r="F98">
            <v>29190894</v>
          </cell>
          <cell r="G98" t="str">
            <v>26/09/2025</v>
          </cell>
          <cell r="H98">
            <v>9515</v>
          </cell>
        </row>
        <row r="99">
          <cell r="E99">
            <v>1103905</v>
          </cell>
          <cell r="F99">
            <v>29182735</v>
          </cell>
          <cell r="G99" t="str">
            <v>06/11/2025</v>
          </cell>
          <cell r="H99">
            <v>10575</v>
          </cell>
        </row>
        <row r="100">
          <cell r="E100">
            <v>1103972</v>
          </cell>
          <cell r="F100">
            <v>29191114</v>
          </cell>
          <cell r="G100" t="str">
            <v>26/08/2025</v>
          </cell>
          <cell r="H100">
            <v>11385</v>
          </cell>
        </row>
        <row r="101">
          <cell r="E101">
            <v>1104022</v>
          </cell>
          <cell r="F101">
            <v>29188431</v>
          </cell>
          <cell r="G101" t="str">
            <v>25/06/2025</v>
          </cell>
          <cell r="H101">
            <v>9735</v>
          </cell>
        </row>
        <row r="102">
          <cell r="E102">
            <v>1104103</v>
          </cell>
          <cell r="F102">
            <v>29194776</v>
          </cell>
          <cell r="G102" t="str">
            <v>16/05/2025</v>
          </cell>
          <cell r="H102">
            <v>3555</v>
          </cell>
        </row>
        <row r="103">
          <cell r="E103">
            <v>1104111</v>
          </cell>
          <cell r="F103">
            <v>29194750</v>
          </cell>
          <cell r="G103" t="str">
            <v>26/09/2025</v>
          </cell>
          <cell r="H103">
            <v>8825</v>
          </cell>
        </row>
        <row r="104">
          <cell r="E104">
            <v>1104219</v>
          </cell>
          <cell r="F104">
            <v>29187095</v>
          </cell>
          <cell r="G104" t="str">
            <v>17/10/2025</v>
          </cell>
          <cell r="H104">
            <v>3705</v>
          </cell>
        </row>
        <row r="105">
          <cell r="E105">
            <v>1104243</v>
          </cell>
          <cell r="F105">
            <v>29191157</v>
          </cell>
          <cell r="G105" t="str">
            <v>25/06/2025</v>
          </cell>
          <cell r="H105">
            <v>12345</v>
          </cell>
        </row>
        <row r="106">
          <cell r="E106">
            <v>1104260</v>
          </cell>
          <cell r="F106">
            <v>29190363</v>
          </cell>
          <cell r="G106" t="str">
            <v>25/06/2025</v>
          </cell>
          <cell r="H106">
            <v>4745</v>
          </cell>
        </row>
        <row r="107">
          <cell r="E107">
            <v>1104367</v>
          </cell>
          <cell r="F107">
            <v>29200296</v>
          </cell>
          <cell r="G107" t="str">
            <v>26/09/2025</v>
          </cell>
          <cell r="H107">
            <v>1185</v>
          </cell>
        </row>
        <row r="108">
          <cell r="E108">
            <v>1104413</v>
          </cell>
          <cell r="F108">
            <v>29192790</v>
          </cell>
          <cell r="G108" t="str">
            <v>29/07/2025</v>
          </cell>
          <cell r="H108">
            <v>6685</v>
          </cell>
        </row>
        <row r="109">
          <cell r="E109">
            <v>1104570</v>
          </cell>
          <cell r="F109">
            <v>29191360</v>
          </cell>
          <cell r="G109" t="str">
            <v>16/05/2025</v>
          </cell>
          <cell r="H109">
            <v>2925</v>
          </cell>
        </row>
        <row r="110">
          <cell r="E110">
            <v>1104588</v>
          </cell>
          <cell r="F110">
            <v>29191840</v>
          </cell>
          <cell r="G110" t="str">
            <v>11/07/2025</v>
          </cell>
          <cell r="H110">
            <v>14495</v>
          </cell>
        </row>
        <row r="111">
          <cell r="E111">
            <v>1104596</v>
          </cell>
          <cell r="F111">
            <v>29181534</v>
          </cell>
          <cell r="G111" t="str">
            <v>26/09/2025</v>
          </cell>
          <cell r="H111">
            <v>18515</v>
          </cell>
        </row>
        <row r="112">
          <cell r="E112">
            <v>1104600</v>
          </cell>
          <cell r="F112">
            <v>29182174</v>
          </cell>
          <cell r="G112" t="str">
            <v>25/06/2025</v>
          </cell>
          <cell r="H112">
            <v>18415</v>
          </cell>
        </row>
        <row r="113">
          <cell r="E113">
            <v>1104642</v>
          </cell>
          <cell r="F113">
            <v>29184916</v>
          </cell>
          <cell r="G113" t="str">
            <v>26/08/2025</v>
          </cell>
          <cell r="H113">
            <v>13045</v>
          </cell>
        </row>
        <row r="114">
          <cell r="E114">
            <v>1104669</v>
          </cell>
          <cell r="F114">
            <v>29176409</v>
          </cell>
          <cell r="G114" t="str">
            <v>24/10/2025</v>
          </cell>
          <cell r="H114">
            <v>6785</v>
          </cell>
        </row>
        <row r="115">
          <cell r="E115">
            <v>1104677</v>
          </cell>
          <cell r="F115">
            <v>29187010</v>
          </cell>
          <cell r="G115" t="str">
            <v>06/11/2025</v>
          </cell>
          <cell r="H115">
            <v>8065</v>
          </cell>
        </row>
        <row r="116">
          <cell r="E116">
            <v>1104707</v>
          </cell>
          <cell r="F116">
            <v>29175950</v>
          </cell>
          <cell r="G116" t="str">
            <v>25/06/2025</v>
          </cell>
          <cell r="H116">
            <v>17405</v>
          </cell>
        </row>
        <row r="117">
          <cell r="E117">
            <v>1104715</v>
          </cell>
          <cell r="F117">
            <v>29187079</v>
          </cell>
          <cell r="G117" t="str">
            <v>06/11/2025</v>
          </cell>
          <cell r="H117">
            <v>8655</v>
          </cell>
        </row>
        <row r="118">
          <cell r="E118">
            <v>1104723</v>
          </cell>
          <cell r="F118">
            <v>29201373</v>
          </cell>
          <cell r="G118" t="str">
            <v>06/11/2025</v>
          </cell>
          <cell r="H118">
            <v>9255</v>
          </cell>
        </row>
        <row r="119">
          <cell r="E119">
            <v>1104731</v>
          </cell>
          <cell r="F119">
            <v>29187001</v>
          </cell>
          <cell r="G119" t="str">
            <v>25/06/2025</v>
          </cell>
          <cell r="H119">
            <v>8255</v>
          </cell>
        </row>
        <row r="120">
          <cell r="E120">
            <v>1104820</v>
          </cell>
          <cell r="F120">
            <v>29182050</v>
          </cell>
          <cell r="G120" t="str">
            <v>28/05/2025</v>
          </cell>
          <cell r="H120">
            <v>7855</v>
          </cell>
        </row>
        <row r="121">
          <cell r="E121">
            <v>1104863</v>
          </cell>
          <cell r="F121">
            <v>29176808</v>
          </cell>
          <cell r="G121" t="str">
            <v>17/10/2025</v>
          </cell>
          <cell r="H121">
            <v>9055</v>
          </cell>
        </row>
        <row r="122">
          <cell r="E122">
            <v>1104880</v>
          </cell>
          <cell r="F122">
            <v>29187303</v>
          </cell>
          <cell r="G122" t="str">
            <v>16/05/2025</v>
          </cell>
          <cell r="H122">
            <v>4835</v>
          </cell>
        </row>
        <row r="123">
          <cell r="E123">
            <v>1104898</v>
          </cell>
          <cell r="F123">
            <v>29192021</v>
          </cell>
          <cell r="G123" t="str">
            <v>16/05/2025</v>
          </cell>
          <cell r="H123">
            <v>8995</v>
          </cell>
        </row>
        <row r="124">
          <cell r="E124">
            <v>1104928</v>
          </cell>
          <cell r="F124">
            <v>29201535</v>
          </cell>
          <cell r="G124" t="str">
            <v>25/06/2025</v>
          </cell>
          <cell r="H124">
            <v>6095</v>
          </cell>
        </row>
        <row r="125">
          <cell r="E125">
            <v>1104936</v>
          </cell>
          <cell r="F125">
            <v>29187320</v>
          </cell>
          <cell r="G125" t="str">
            <v>24/10/2025</v>
          </cell>
          <cell r="H125">
            <v>4105</v>
          </cell>
        </row>
        <row r="126">
          <cell r="E126">
            <v>1105100</v>
          </cell>
          <cell r="F126">
            <v>29092213</v>
          </cell>
          <cell r="G126" t="str">
            <v>16/05/2025</v>
          </cell>
          <cell r="H126">
            <v>6955</v>
          </cell>
        </row>
        <row r="127">
          <cell r="E127">
            <v>1105169</v>
          </cell>
          <cell r="F127">
            <v>29092191</v>
          </cell>
          <cell r="G127" t="str">
            <v>16/05/2025</v>
          </cell>
          <cell r="H127">
            <v>9775</v>
          </cell>
        </row>
        <row r="128">
          <cell r="E128">
            <v>1105207</v>
          </cell>
          <cell r="F128">
            <v>29150370</v>
          </cell>
          <cell r="G128" t="str">
            <v>28/05/2025</v>
          </cell>
          <cell r="H128">
            <v>6475</v>
          </cell>
        </row>
        <row r="129">
          <cell r="E129">
            <v>1105266</v>
          </cell>
          <cell r="F129">
            <v>29091470</v>
          </cell>
          <cell r="G129" t="str">
            <v>26/08/2025</v>
          </cell>
          <cell r="H129">
            <v>15525</v>
          </cell>
        </row>
        <row r="130">
          <cell r="E130">
            <v>1105320</v>
          </cell>
          <cell r="F130">
            <v>29089115</v>
          </cell>
          <cell r="G130" t="str">
            <v>26/09/2025</v>
          </cell>
          <cell r="H130">
            <v>6875</v>
          </cell>
        </row>
        <row r="131">
          <cell r="E131">
            <v>1105436</v>
          </cell>
          <cell r="F131">
            <v>29157803</v>
          </cell>
          <cell r="G131" t="str">
            <v>16/05/2025</v>
          </cell>
          <cell r="H131">
            <v>12015</v>
          </cell>
        </row>
        <row r="132">
          <cell r="E132">
            <v>1105460</v>
          </cell>
          <cell r="F132">
            <v>29090350</v>
          </cell>
          <cell r="G132" t="str">
            <v>16/05/2025</v>
          </cell>
          <cell r="H132">
            <v>5815</v>
          </cell>
        </row>
        <row r="133">
          <cell r="E133">
            <v>1105568</v>
          </cell>
          <cell r="F133">
            <v>29090865</v>
          </cell>
          <cell r="G133" t="str">
            <v>26/08/2025</v>
          </cell>
          <cell r="H133">
            <v>10425</v>
          </cell>
        </row>
        <row r="134">
          <cell r="E134">
            <v>1105584</v>
          </cell>
          <cell r="F134">
            <v>29089964</v>
          </cell>
          <cell r="G134" t="str">
            <v>26/09/2025</v>
          </cell>
          <cell r="H134">
            <v>5585</v>
          </cell>
        </row>
        <row r="135">
          <cell r="E135">
            <v>1105606</v>
          </cell>
          <cell r="F135">
            <v>29136571</v>
          </cell>
          <cell r="G135" t="str">
            <v>23/05/2025</v>
          </cell>
          <cell r="H135">
            <v>4085</v>
          </cell>
        </row>
        <row r="136">
          <cell r="E136">
            <v>1105754</v>
          </cell>
          <cell r="F136">
            <v>29093457</v>
          </cell>
          <cell r="G136" t="str">
            <v>26/08/2025</v>
          </cell>
          <cell r="H136">
            <v>30425</v>
          </cell>
        </row>
        <row r="137">
          <cell r="E137">
            <v>1105797</v>
          </cell>
          <cell r="F137">
            <v>29432960</v>
          </cell>
          <cell r="G137" t="str">
            <v>22/05/2025</v>
          </cell>
          <cell r="H137">
            <v>5335</v>
          </cell>
        </row>
        <row r="138">
          <cell r="E138">
            <v>1105878</v>
          </cell>
          <cell r="F138">
            <v>29093317</v>
          </cell>
          <cell r="G138" t="str">
            <v>16/05/2025</v>
          </cell>
          <cell r="H138">
            <v>10805</v>
          </cell>
        </row>
        <row r="139">
          <cell r="E139">
            <v>1105886</v>
          </cell>
          <cell r="F139">
            <v>29093660</v>
          </cell>
          <cell r="G139" t="str">
            <v>26/09/2025</v>
          </cell>
          <cell r="H139">
            <v>10695</v>
          </cell>
        </row>
        <row r="140">
          <cell r="E140">
            <v>1105916</v>
          </cell>
          <cell r="F140">
            <v>29093511</v>
          </cell>
          <cell r="G140" t="str">
            <v>16/05/2025</v>
          </cell>
          <cell r="H140">
            <v>20475</v>
          </cell>
        </row>
        <row r="141">
          <cell r="E141">
            <v>1105932</v>
          </cell>
          <cell r="F141">
            <v>29096847</v>
          </cell>
          <cell r="G141" t="str">
            <v>08/10/2025</v>
          </cell>
          <cell r="H141">
            <v>4835</v>
          </cell>
        </row>
        <row r="142">
          <cell r="E142">
            <v>1105940</v>
          </cell>
          <cell r="F142">
            <v>29094194</v>
          </cell>
          <cell r="G142" t="str">
            <v>16/05/2025</v>
          </cell>
          <cell r="H142">
            <v>8875</v>
          </cell>
        </row>
        <row r="143">
          <cell r="E143">
            <v>1105959</v>
          </cell>
          <cell r="F143">
            <v>29096243</v>
          </cell>
          <cell r="G143" t="str">
            <v>16/05/2025</v>
          </cell>
          <cell r="H143">
            <v>18255</v>
          </cell>
        </row>
        <row r="144">
          <cell r="E144">
            <v>1105975</v>
          </cell>
          <cell r="F144">
            <v>29093520</v>
          </cell>
          <cell r="G144" t="str">
            <v>28/05/2025</v>
          </cell>
          <cell r="H144">
            <v>15175</v>
          </cell>
        </row>
        <row r="145">
          <cell r="E145">
            <v>1106084</v>
          </cell>
          <cell r="F145">
            <v>29095190</v>
          </cell>
          <cell r="G145" t="str">
            <v>28/05/2025</v>
          </cell>
          <cell r="H145">
            <v>9665</v>
          </cell>
        </row>
        <row r="146">
          <cell r="E146">
            <v>1106106</v>
          </cell>
          <cell r="F146">
            <v>29097541</v>
          </cell>
          <cell r="G146" t="str">
            <v>15/10/2025</v>
          </cell>
          <cell r="H146">
            <v>7855</v>
          </cell>
        </row>
        <row r="147">
          <cell r="E147">
            <v>1106220</v>
          </cell>
          <cell r="F147">
            <v>29094216</v>
          </cell>
          <cell r="G147" t="str">
            <v>17/10/2025</v>
          </cell>
          <cell r="H147">
            <v>11135</v>
          </cell>
        </row>
        <row r="148">
          <cell r="E148">
            <v>1106238</v>
          </cell>
          <cell r="F148">
            <v>29093570</v>
          </cell>
          <cell r="G148" t="str">
            <v>16/05/2025</v>
          </cell>
          <cell r="H148">
            <v>2685</v>
          </cell>
        </row>
        <row r="149">
          <cell r="E149">
            <v>1106270</v>
          </cell>
          <cell r="F149">
            <v>29095140</v>
          </cell>
          <cell r="G149" t="str">
            <v>23/05/2025</v>
          </cell>
          <cell r="H149">
            <v>7315</v>
          </cell>
        </row>
        <row r="150">
          <cell r="E150">
            <v>1106289</v>
          </cell>
          <cell r="F150">
            <v>29093350</v>
          </cell>
          <cell r="G150" t="str">
            <v>16/05/2025</v>
          </cell>
          <cell r="H150">
            <v>11735</v>
          </cell>
        </row>
        <row r="151">
          <cell r="E151">
            <v>1106297</v>
          </cell>
          <cell r="F151">
            <v>29094151</v>
          </cell>
          <cell r="G151" t="str">
            <v>25/06/2025</v>
          </cell>
          <cell r="H151">
            <v>9085</v>
          </cell>
        </row>
        <row r="152">
          <cell r="E152">
            <v>1106335</v>
          </cell>
          <cell r="F152">
            <v>29093260</v>
          </cell>
          <cell r="G152" t="str">
            <v>16/05/2025</v>
          </cell>
          <cell r="H152">
            <v>5695</v>
          </cell>
        </row>
        <row r="153">
          <cell r="E153">
            <v>1106386</v>
          </cell>
          <cell r="F153">
            <v>29094100</v>
          </cell>
          <cell r="G153" t="str">
            <v>16/05/2025</v>
          </cell>
          <cell r="H153">
            <v>17525</v>
          </cell>
        </row>
        <row r="154">
          <cell r="E154">
            <v>1106394</v>
          </cell>
          <cell r="F154">
            <v>29095239</v>
          </cell>
          <cell r="G154" t="str">
            <v>06/11/2025</v>
          </cell>
          <cell r="H154">
            <v>7605</v>
          </cell>
        </row>
        <row r="155">
          <cell r="E155">
            <v>1106467</v>
          </cell>
          <cell r="F155">
            <v>29093546</v>
          </cell>
          <cell r="G155" t="str">
            <v>11/07/2025</v>
          </cell>
          <cell r="H155">
            <v>12825</v>
          </cell>
        </row>
        <row r="156">
          <cell r="E156">
            <v>1106491</v>
          </cell>
          <cell r="F156">
            <v>29093554</v>
          </cell>
          <cell r="G156" t="str">
            <v>06/11/2025</v>
          </cell>
          <cell r="H156">
            <v>5695</v>
          </cell>
        </row>
        <row r="157">
          <cell r="E157">
            <v>1106564</v>
          </cell>
          <cell r="F157">
            <v>29094712</v>
          </cell>
          <cell r="G157" t="str">
            <v>16/05/2025</v>
          </cell>
          <cell r="H157">
            <v>13605</v>
          </cell>
        </row>
        <row r="158">
          <cell r="E158">
            <v>1106599</v>
          </cell>
          <cell r="F158">
            <v>29095212</v>
          </cell>
          <cell r="G158" t="str">
            <v>16/05/2025</v>
          </cell>
          <cell r="H158">
            <v>6435</v>
          </cell>
        </row>
        <row r="159">
          <cell r="E159">
            <v>1106637</v>
          </cell>
          <cell r="F159">
            <v>29095999</v>
          </cell>
          <cell r="G159" t="str">
            <v>25/06/2025</v>
          </cell>
          <cell r="H159">
            <v>4395</v>
          </cell>
        </row>
        <row r="160">
          <cell r="E160">
            <v>1106645</v>
          </cell>
          <cell r="F160">
            <v>29095166</v>
          </cell>
          <cell r="G160" t="str">
            <v>25/06/2025</v>
          </cell>
          <cell r="H160">
            <v>19335</v>
          </cell>
        </row>
        <row r="161">
          <cell r="E161">
            <v>1106688</v>
          </cell>
          <cell r="F161">
            <v>29094682</v>
          </cell>
          <cell r="G161" t="str">
            <v>16/05/2025</v>
          </cell>
          <cell r="H161">
            <v>2335</v>
          </cell>
        </row>
        <row r="162">
          <cell r="E162">
            <v>1106718</v>
          </cell>
          <cell r="F162">
            <v>29097703</v>
          </cell>
          <cell r="G162" t="str">
            <v>11/07/2025</v>
          </cell>
          <cell r="H162">
            <v>14505</v>
          </cell>
        </row>
        <row r="163">
          <cell r="E163">
            <v>1106742</v>
          </cell>
          <cell r="F163">
            <v>29093279</v>
          </cell>
          <cell r="G163" t="str">
            <v>25/06/2025</v>
          </cell>
          <cell r="H163">
            <v>15705</v>
          </cell>
        </row>
        <row r="164">
          <cell r="E164">
            <v>1106840</v>
          </cell>
          <cell r="F164">
            <v>29141044</v>
          </cell>
          <cell r="G164" t="str">
            <v>16/05/2025</v>
          </cell>
          <cell r="H164">
            <v>6835</v>
          </cell>
        </row>
        <row r="165">
          <cell r="E165">
            <v>1106904</v>
          </cell>
          <cell r="F165">
            <v>29139368</v>
          </cell>
          <cell r="G165" t="str">
            <v>16/05/2025</v>
          </cell>
          <cell r="H165">
            <v>2495</v>
          </cell>
        </row>
        <row r="166">
          <cell r="E166">
            <v>1107234</v>
          </cell>
          <cell r="F166">
            <v>29105684</v>
          </cell>
          <cell r="G166" t="str">
            <v>16/05/2025</v>
          </cell>
          <cell r="H166">
            <v>4725</v>
          </cell>
        </row>
        <row r="167">
          <cell r="E167">
            <v>1107323</v>
          </cell>
          <cell r="F167">
            <v>29101484</v>
          </cell>
          <cell r="G167" t="str">
            <v>16/05/2025</v>
          </cell>
          <cell r="H167">
            <v>8835</v>
          </cell>
        </row>
        <row r="168">
          <cell r="E168">
            <v>1107331</v>
          </cell>
          <cell r="F168">
            <v>29103037</v>
          </cell>
          <cell r="G168" t="str">
            <v>16/05/2025</v>
          </cell>
          <cell r="H168">
            <v>7445</v>
          </cell>
        </row>
        <row r="169">
          <cell r="E169">
            <v>1107382</v>
          </cell>
          <cell r="F169">
            <v>29107466</v>
          </cell>
          <cell r="G169" t="str">
            <v>23/05/2025</v>
          </cell>
          <cell r="H169">
            <v>5945</v>
          </cell>
        </row>
        <row r="170">
          <cell r="E170">
            <v>1107404</v>
          </cell>
          <cell r="F170">
            <v>29107440</v>
          </cell>
          <cell r="G170" t="str">
            <v>16/05/2025</v>
          </cell>
          <cell r="H170">
            <v>7335</v>
          </cell>
        </row>
        <row r="171">
          <cell r="E171">
            <v>1107420</v>
          </cell>
          <cell r="F171">
            <v>29108047</v>
          </cell>
          <cell r="G171" t="str">
            <v>26/09/2025</v>
          </cell>
          <cell r="H171">
            <v>5535</v>
          </cell>
        </row>
        <row r="172">
          <cell r="E172">
            <v>1107455</v>
          </cell>
          <cell r="F172">
            <v>29108900</v>
          </cell>
          <cell r="G172" t="str">
            <v>26/09/2025</v>
          </cell>
          <cell r="H172">
            <v>5645</v>
          </cell>
        </row>
        <row r="173">
          <cell r="E173">
            <v>1107501</v>
          </cell>
          <cell r="F173">
            <v>29109361</v>
          </cell>
          <cell r="G173" t="str">
            <v>28/05/2025</v>
          </cell>
          <cell r="H173">
            <v>20205</v>
          </cell>
        </row>
        <row r="174">
          <cell r="E174">
            <v>1107536</v>
          </cell>
          <cell r="F174">
            <v>29110076</v>
          </cell>
          <cell r="G174" t="str">
            <v>23/05/2025</v>
          </cell>
          <cell r="H174">
            <v>12005</v>
          </cell>
        </row>
        <row r="175">
          <cell r="E175">
            <v>1107650</v>
          </cell>
          <cell r="F175">
            <v>29111285</v>
          </cell>
          <cell r="G175" t="str">
            <v>16/05/2025</v>
          </cell>
          <cell r="H175">
            <v>5865</v>
          </cell>
        </row>
        <row r="176">
          <cell r="E176">
            <v>1107684</v>
          </cell>
          <cell r="F176">
            <v>29110866</v>
          </cell>
          <cell r="G176" t="str">
            <v>16/05/2025</v>
          </cell>
          <cell r="H176">
            <v>7925</v>
          </cell>
        </row>
        <row r="177">
          <cell r="E177">
            <v>1107706</v>
          </cell>
          <cell r="F177">
            <v>29111730</v>
          </cell>
          <cell r="G177" t="str">
            <v>16/05/2025</v>
          </cell>
          <cell r="H177">
            <v>4065</v>
          </cell>
        </row>
        <row r="178">
          <cell r="E178">
            <v>1107730</v>
          </cell>
          <cell r="F178">
            <v>29151651</v>
          </cell>
          <cell r="G178" t="str">
            <v>25/06/2025</v>
          </cell>
          <cell r="H178">
            <v>4945</v>
          </cell>
        </row>
        <row r="179">
          <cell r="E179">
            <v>1107749</v>
          </cell>
          <cell r="F179">
            <v>29151554</v>
          </cell>
          <cell r="G179" t="str">
            <v>28/05/2025</v>
          </cell>
          <cell r="H179">
            <v>4105</v>
          </cell>
        </row>
        <row r="180">
          <cell r="E180">
            <v>1107773</v>
          </cell>
          <cell r="F180">
            <v>29150310</v>
          </cell>
          <cell r="G180" t="str">
            <v>16/05/2025</v>
          </cell>
          <cell r="H180">
            <v>14405</v>
          </cell>
        </row>
        <row r="181">
          <cell r="E181">
            <v>1107862</v>
          </cell>
          <cell r="F181">
            <v>29150590</v>
          </cell>
          <cell r="G181" t="str">
            <v>26/09/2025</v>
          </cell>
          <cell r="H181">
            <v>3395</v>
          </cell>
        </row>
        <row r="182">
          <cell r="E182">
            <v>1107927</v>
          </cell>
          <cell r="F182">
            <v>29149835</v>
          </cell>
          <cell r="G182" t="str">
            <v>16/05/2025</v>
          </cell>
          <cell r="H182">
            <v>17975</v>
          </cell>
        </row>
        <row r="183">
          <cell r="E183">
            <v>1107960</v>
          </cell>
          <cell r="F183">
            <v>29150191</v>
          </cell>
          <cell r="G183" t="str">
            <v>16/05/2025</v>
          </cell>
          <cell r="H183">
            <v>6365</v>
          </cell>
        </row>
        <row r="184">
          <cell r="E184">
            <v>1107986</v>
          </cell>
          <cell r="F184">
            <v>29149878</v>
          </cell>
          <cell r="G184" t="str">
            <v>28/05/2025</v>
          </cell>
          <cell r="H184">
            <v>2995</v>
          </cell>
        </row>
        <row r="185">
          <cell r="E185">
            <v>1108028</v>
          </cell>
          <cell r="F185">
            <v>29150663</v>
          </cell>
          <cell r="G185" t="str">
            <v>28/05/2025</v>
          </cell>
          <cell r="H185">
            <v>9095</v>
          </cell>
        </row>
        <row r="186">
          <cell r="E186">
            <v>1108141</v>
          </cell>
          <cell r="F186">
            <v>29157536</v>
          </cell>
          <cell r="G186" t="str">
            <v>06/11/2025</v>
          </cell>
          <cell r="H186">
            <v>5295</v>
          </cell>
        </row>
        <row r="187">
          <cell r="E187">
            <v>1108222</v>
          </cell>
          <cell r="F187">
            <v>29104580</v>
          </cell>
          <cell r="G187" t="str">
            <v>26/09/2025</v>
          </cell>
          <cell r="H187">
            <v>3315</v>
          </cell>
        </row>
        <row r="188">
          <cell r="E188">
            <v>1108273</v>
          </cell>
          <cell r="F188">
            <v>29154707</v>
          </cell>
          <cell r="G188" t="str">
            <v>16/05/2025</v>
          </cell>
          <cell r="H188">
            <v>7635</v>
          </cell>
        </row>
        <row r="189">
          <cell r="E189">
            <v>1108311</v>
          </cell>
          <cell r="F189">
            <v>29154618</v>
          </cell>
          <cell r="G189" t="str">
            <v>29/07/2025</v>
          </cell>
          <cell r="H189">
            <v>4655</v>
          </cell>
        </row>
        <row r="190">
          <cell r="E190">
            <v>1108320</v>
          </cell>
          <cell r="F190">
            <v>29153964</v>
          </cell>
          <cell r="G190" t="str">
            <v>16/05/2025</v>
          </cell>
          <cell r="H190">
            <v>12125</v>
          </cell>
        </row>
        <row r="191">
          <cell r="E191">
            <v>1108524</v>
          </cell>
          <cell r="F191">
            <v>29155673</v>
          </cell>
          <cell r="G191" t="str">
            <v>26/09/2025</v>
          </cell>
          <cell r="H191">
            <v>11055</v>
          </cell>
        </row>
        <row r="192">
          <cell r="E192">
            <v>1108532</v>
          </cell>
          <cell r="F192">
            <v>29155894</v>
          </cell>
          <cell r="G192" t="str">
            <v>26/09/2025</v>
          </cell>
          <cell r="H192">
            <v>3075</v>
          </cell>
        </row>
        <row r="193">
          <cell r="E193">
            <v>1108591</v>
          </cell>
          <cell r="F193">
            <v>29158893</v>
          </cell>
          <cell r="G193" t="str">
            <v>26/08/2025</v>
          </cell>
          <cell r="H193">
            <v>3305</v>
          </cell>
        </row>
        <row r="194">
          <cell r="E194">
            <v>1108648</v>
          </cell>
          <cell r="F194">
            <v>29158605</v>
          </cell>
          <cell r="G194" t="str">
            <v>23/05/2025</v>
          </cell>
          <cell r="H194">
            <v>10375</v>
          </cell>
        </row>
        <row r="195">
          <cell r="E195">
            <v>1108656</v>
          </cell>
          <cell r="F195">
            <v>29155401</v>
          </cell>
          <cell r="G195" t="str">
            <v>16/05/2025</v>
          </cell>
          <cell r="H195">
            <v>5975</v>
          </cell>
        </row>
        <row r="196">
          <cell r="E196">
            <v>1108729</v>
          </cell>
          <cell r="F196">
            <v>29158850</v>
          </cell>
          <cell r="G196" t="str">
            <v>16/05/2025</v>
          </cell>
          <cell r="H196">
            <v>4225</v>
          </cell>
        </row>
        <row r="197">
          <cell r="E197">
            <v>1108753</v>
          </cell>
          <cell r="F197">
            <v>29156211</v>
          </cell>
          <cell r="G197" t="str">
            <v>16/05/2025</v>
          </cell>
          <cell r="H197">
            <v>13155</v>
          </cell>
        </row>
        <row r="198">
          <cell r="E198">
            <v>1108893</v>
          </cell>
          <cell r="F198">
            <v>29164826</v>
          </cell>
          <cell r="G198" t="str">
            <v>26/09/2025</v>
          </cell>
          <cell r="H198">
            <v>5665</v>
          </cell>
        </row>
        <row r="199">
          <cell r="E199">
            <v>1108966</v>
          </cell>
          <cell r="F199">
            <v>29161770</v>
          </cell>
          <cell r="G199" t="str">
            <v>16/05/2025</v>
          </cell>
          <cell r="H199">
            <v>4635</v>
          </cell>
        </row>
        <row r="200">
          <cell r="E200">
            <v>1109059</v>
          </cell>
          <cell r="F200">
            <v>29163374</v>
          </cell>
          <cell r="G200" t="str">
            <v>11/07/2025</v>
          </cell>
          <cell r="H200">
            <v>12135</v>
          </cell>
        </row>
        <row r="201">
          <cell r="E201">
            <v>1109164</v>
          </cell>
          <cell r="F201">
            <v>29166063</v>
          </cell>
          <cell r="G201" t="str">
            <v>16/05/2025</v>
          </cell>
          <cell r="H201">
            <v>3065</v>
          </cell>
        </row>
        <row r="202">
          <cell r="E202">
            <v>1109199</v>
          </cell>
          <cell r="F202">
            <v>29222583</v>
          </cell>
          <cell r="G202" t="str">
            <v>26/08/2025</v>
          </cell>
          <cell r="H202">
            <v>6895</v>
          </cell>
        </row>
        <row r="203">
          <cell r="E203">
            <v>1109229</v>
          </cell>
          <cell r="F203">
            <v>29166829</v>
          </cell>
          <cell r="G203" t="str">
            <v>16/05/2025</v>
          </cell>
          <cell r="H203">
            <v>7635</v>
          </cell>
        </row>
        <row r="204">
          <cell r="E204">
            <v>1109326</v>
          </cell>
          <cell r="F204">
            <v>29169615</v>
          </cell>
          <cell r="G204" t="str">
            <v>25/06/2025</v>
          </cell>
          <cell r="H204">
            <v>7235</v>
          </cell>
        </row>
        <row r="205">
          <cell r="E205">
            <v>1109423</v>
          </cell>
          <cell r="F205">
            <v>29092744</v>
          </cell>
          <cell r="G205" t="str">
            <v>25/06/2025</v>
          </cell>
          <cell r="H205">
            <v>4685</v>
          </cell>
        </row>
        <row r="206">
          <cell r="E206">
            <v>1109563</v>
          </cell>
          <cell r="F206">
            <v>29235260</v>
          </cell>
          <cell r="G206" t="str">
            <v>23/05/2025</v>
          </cell>
          <cell r="H206">
            <v>4975</v>
          </cell>
        </row>
        <row r="207">
          <cell r="E207">
            <v>1109652</v>
          </cell>
          <cell r="F207">
            <v>29171601</v>
          </cell>
          <cell r="G207" t="str">
            <v>16/05/2025</v>
          </cell>
          <cell r="H207">
            <v>18385</v>
          </cell>
        </row>
        <row r="208">
          <cell r="E208">
            <v>1109814</v>
          </cell>
          <cell r="F208">
            <v>29298954</v>
          </cell>
          <cell r="G208" t="str">
            <v>28/05/2025</v>
          </cell>
          <cell r="H208">
            <v>10305</v>
          </cell>
        </row>
        <row r="209">
          <cell r="E209">
            <v>1110049</v>
          </cell>
          <cell r="F209">
            <v>29285801</v>
          </cell>
          <cell r="G209" t="str">
            <v>28/05/2025</v>
          </cell>
          <cell r="H209">
            <v>15225</v>
          </cell>
        </row>
        <row r="210">
          <cell r="E210">
            <v>1110081</v>
          </cell>
          <cell r="F210">
            <v>29178584</v>
          </cell>
          <cell r="G210" t="str">
            <v>24/10/2025</v>
          </cell>
          <cell r="H210">
            <v>9345</v>
          </cell>
        </row>
        <row r="211">
          <cell r="E211">
            <v>1110111</v>
          </cell>
          <cell r="F211">
            <v>29299063</v>
          </cell>
          <cell r="G211" t="str">
            <v>16/05/2025</v>
          </cell>
          <cell r="H211">
            <v>8665</v>
          </cell>
        </row>
        <row r="212">
          <cell r="E212">
            <v>1110251</v>
          </cell>
          <cell r="F212">
            <v>29287235</v>
          </cell>
          <cell r="G212" t="str">
            <v>28/05/2025</v>
          </cell>
          <cell r="H212">
            <v>9425</v>
          </cell>
        </row>
        <row r="213">
          <cell r="E213">
            <v>1110294</v>
          </cell>
          <cell r="F213">
            <v>29309034</v>
          </cell>
          <cell r="G213" t="str">
            <v>26/09/2025</v>
          </cell>
          <cell r="H213">
            <v>4085</v>
          </cell>
        </row>
        <row r="214">
          <cell r="E214">
            <v>1110308</v>
          </cell>
          <cell r="F214">
            <v>29229839</v>
          </cell>
          <cell r="G214" t="str">
            <v>26/08/2025</v>
          </cell>
          <cell r="H214">
            <v>7595</v>
          </cell>
        </row>
        <row r="215">
          <cell r="E215">
            <v>1110359</v>
          </cell>
          <cell r="F215">
            <v>29231264</v>
          </cell>
          <cell r="G215" t="str">
            <v>16/05/2025</v>
          </cell>
          <cell r="H215">
            <v>2615</v>
          </cell>
        </row>
        <row r="216">
          <cell r="E216">
            <v>1110499</v>
          </cell>
          <cell r="F216">
            <v>29288339</v>
          </cell>
          <cell r="G216" t="str">
            <v>28/05/2025</v>
          </cell>
          <cell r="H216">
            <v>5885</v>
          </cell>
        </row>
        <row r="217">
          <cell r="E217">
            <v>1110529</v>
          </cell>
          <cell r="F217">
            <v>29236550</v>
          </cell>
          <cell r="G217" t="str">
            <v>26/08/2025</v>
          </cell>
          <cell r="H217">
            <v>7855</v>
          </cell>
        </row>
        <row r="218">
          <cell r="E218">
            <v>1110677</v>
          </cell>
          <cell r="F218">
            <v>29313325</v>
          </cell>
          <cell r="G218" t="str">
            <v>25/06/2025</v>
          </cell>
          <cell r="H218">
            <v>5575</v>
          </cell>
        </row>
        <row r="219">
          <cell r="E219">
            <v>1110685</v>
          </cell>
          <cell r="F219">
            <v>29317134</v>
          </cell>
          <cell r="G219" t="str">
            <v>03/10/2025</v>
          </cell>
          <cell r="H219">
            <v>6115</v>
          </cell>
        </row>
        <row r="220">
          <cell r="E220">
            <v>1110758</v>
          </cell>
          <cell r="F220">
            <v>29223652</v>
          </cell>
          <cell r="G220" t="str">
            <v>16/05/2025</v>
          </cell>
          <cell r="H220">
            <v>3665</v>
          </cell>
        </row>
        <row r="221">
          <cell r="E221">
            <v>1111045</v>
          </cell>
          <cell r="F221">
            <v>29290791</v>
          </cell>
          <cell r="G221" t="str">
            <v>16/05/2025</v>
          </cell>
          <cell r="H221">
            <v>9055</v>
          </cell>
        </row>
        <row r="222">
          <cell r="E222">
            <v>1111070</v>
          </cell>
          <cell r="F222">
            <v>29290732</v>
          </cell>
          <cell r="G222" t="str">
            <v>16/05/2025</v>
          </cell>
          <cell r="H222">
            <v>11105</v>
          </cell>
        </row>
        <row r="223">
          <cell r="E223">
            <v>1111096</v>
          </cell>
          <cell r="F223">
            <v>29301483</v>
          </cell>
          <cell r="G223" t="str">
            <v>06/11/2025</v>
          </cell>
          <cell r="H223">
            <v>14815</v>
          </cell>
        </row>
        <row r="224">
          <cell r="E224">
            <v>1111126</v>
          </cell>
          <cell r="F224">
            <v>29302269</v>
          </cell>
          <cell r="G224" t="str">
            <v>16/05/2025</v>
          </cell>
          <cell r="H224">
            <v>5475</v>
          </cell>
        </row>
        <row r="225">
          <cell r="E225">
            <v>1111339</v>
          </cell>
          <cell r="F225">
            <v>29301394</v>
          </cell>
          <cell r="G225" t="str">
            <v>29/05/2025</v>
          </cell>
          <cell r="H225">
            <v>9255</v>
          </cell>
        </row>
        <row r="226">
          <cell r="E226">
            <v>1111347</v>
          </cell>
          <cell r="F226">
            <v>29306760</v>
          </cell>
          <cell r="G226" t="str">
            <v>25/06/2025</v>
          </cell>
          <cell r="H226">
            <v>8205</v>
          </cell>
        </row>
        <row r="227">
          <cell r="E227">
            <v>1111436</v>
          </cell>
          <cell r="F227">
            <v>29303125</v>
          </cell>
          <cell r="G227" t="str">
            <v>16/05/2025</v>
          </cell>
          <cell r="H227">
            <v>4305</v>
          </cell>
        </row>
        <row r="228">
          <cell r="E228">
            <v>1111495</v>
          </cell>
          <cell r="F228">
            <v>29292280</v>
          </cell>
          <cell r="G228" t="str">
            <v>06/11/2025</v>
          </cell>
          <cell r="H228">
            <v>2905</v>
          </cell>
        </row>
        <row r="229">
          <cell r="E229">
            <v>1111550</v>
          </cell>
          <cell r="F229">
            <v>29293197</v>
          </cell>
          <cell r="G229" t="str">
            <v>16/05/2025</v>
          </cell>
          <cell r="H229">
            <v>5625</v>
          </cell>
        </row>
        <row r="230">
          <cell r="E230">
            <v>1111584</v>
          </cell>
          <cell r="F230">
            <v>29294606</v>
          </cell>
          <cell r="G230" t="str">
            <v>16/05/2025</v>
          </cell>
          <cell r="H230">
            <v>6345</v>
          </cell>
        </row>
        <row r="231">
          <cell r="E231">
            <v>1111797</v>
          </cell>
          <cell r="F231">
            <v>29295866</v>
          </cell>
          <cell r="G231" t="str">
            <v>06/11/2025</v>
          </cell>
          <cell r="H231">
            <v>7545</v>
          </cell>
        </row>
        <row r="232">
          <cell r="E232">
            <v>1111940</v>
          </cell>
          <cell r="F232">
            <v>29306264</v>
          </cell>
          <cell r="G232" t="str">
            <v>28/05/2025</v>
          </cell>
          <cell r="H232">
            <v>8215</v>
          </cell>
        </row>
        <row r="233">
          <cell r="E233">
            <v>1112009</v>
          </cell>
          <cell r="F233">
            <v>29306230</v>
          </cell>
          <cell r="G233" t="str">
            <v>03/10/2025</v>
          </cell>
          <cell r="H233">
            <v>4365</v>
          </cell>
        </row>
        <row r="234">
          <cell r="E234">
            <v>1112084</v>
          </cell>
          <cell r="F234">
            <v>29304776</v>
          </cell>
          <cell r="G234" t="str">
            <v>16/05/2025</v>
          </cell>
          <cell r="H234">
            <v>5825</v>
          </cell>
        </row>
        <row r="235">
          <cell r="E235">
            <v>1112092</v>
          </cell>
          <cell r="F235">
            <v>29304377</v>
          </cell>
          <cell r="G235" t="str">
            <v>16/05/2025</v>
          </cell>
          <cell r="H235">
            <v>8435</v>
          </cell>
        </row>
        <row r="236">
          <cell r="E236">
            <v>1112149</v>
          </cell>
          <cell r="F236">
            <v>29304296</v>
          </cell>
          <cell r="G236" t="str">
            <v>11/07/2025</v>
          </cell>
          <cell r="H236">
            <v>10525</v>
          </cell>
        </row>
        <row r="237">
          <cell r="E237">
            <v>1112211</v>
          </cell>
          <cell r="F237">
            <v>29304237</v>
          </cell>
          <cell r="G237" t="str">
            <v>06/11/2025</v>
          </cell>
          <cell r="H237">
            <v>10245</v>
          </cell>
        </row>
        <row r="238">
          <cell r="E238">
            <v>1112262</v>
          </cell>
          <cell r="F238">
            <v>29308046</v>
          </cell>
          <cell r="G238" t="str">
            <v>16/05/2025</v>
          </cell>
          <cell r="H238">
            <v>4055</v>
          </cell>
        </row>
        <row r="239">
          <cell r="E239">
            <v>1112408</v>
          </cell>
          <cell r="F239">
            <v>29308747</v>
          </cell>
          <cell r="G239" t="str">
            <v>26/09/2025</v>
          </cell>
          <cell r="H239">
            <v>7825</v>
          </cell>
        </row>
        <row r="240">
          <cell r="E240">
            <v>1112491</v>
          </cell>
          <cell r="F240">
            <v>29294037</v>
          </cell>
          <cell r="G240" t="str">
            <v>16/05/2025</v>
          </cell>
          <cell r="H240">
            <v>3195</v>
          </cell>
        </row>
        <row r="241">
          <cell r="E241">
            <v>1112777</v>
          </cell>
          <cell r="F241">
            <v>29313848</v>
          </cell>
          <cell r="G241" t="str">
            <v>06/11/2025</v>
          </cell>
          <cell r="H241">
            <v>8775</v>
          </cell>
        </row>
        <row r="242">
          <cell r="E242">
            <v>1112785</v>
          </cell>
          <cell r="F242">
            <v>29312469</v>
          </cell>
          <cell r="G242" t="str">
            <v>16/05/2025</v>
          </cell>
          <cell r="H242">
            <v>3245</v>
          </cell>
        </row>
        <row r="243">
          <cell r="E243">
            <v>1112890</v>
          </cell>
          <cell r="F243">
            <v>29319358</v>
          </cell>
          <cell r="G243" t="str">
            <v>16/05/2025</v>
          </cell>
          <cell r="H243">
            <v>7685</v>
          </cell>
        </row>
        <row r="244">
          <cell r="E244">
            <v>1112998</v>
          </cell>
          <cell r="F244">
            <v>29294100</v>
          </cell>
          <cell r="G244" t="str">
            <v>16/05/2025</v>
          </cell>
          <cell r="H244">
            <v>8365</v>
          </cell>
        </row>
        <row r="245">
          <cell r="E245">
            <v>1113102</v>
          </cell>
          <cell r="F245">
            <v>29317789</v>
          </cell>
          <cell r="G245" t="str">
            <v>16/05/2025</v>
          </cell>
          <cell r="H245">
            <v>9495</v>
          </cell>
        </row>
        <row r="246">
          <cell r="E246">
            <v>1113200</v>
          </cell>
          <cell r="F246">
            <v>29322480</v>
          </cell>
          <cell r="G246" t="str">
            <v>16/05/2025</v>
          </cell>
          <cell r="H246">
            <v>7185</v>
          </cell>
        </row>
        <row r="247">
          <cell r="E247">
            <v>1113579</v>
          </cell>
          <cell r="F247">
            <v>29628610</v>
          </cell>
          <cell r="G247" t="str">
            <v>19/05/2025</v>
          </cell>
          <cell r="H247">
            <v>5705</v>
          </cell>
        </row>
        <row r="248">
          <cell r="E248">
            <v>1113803</v>
          </cell>
          <cell r="F248">
            <v>29328349</v>
          </cell>
          <cell r="G248" t="str">
            <v>16/05/2025</v>
          </cell>
          <cell r="H248">
            <v>12505</v>
          </cell>
        </row>
        <row r="249">
          <cell r="E249">
            <v>1113846</v>
          </cell>
          <cell r="F249">
            <v>29327792</v>
          </cell>
          <cell r="G249" t="str">
            <v>16/05/2025</v>
          </cell>
          <cell r="H249">
            <v>14165</v>
          </cell>
        </row>
        <row r="250">
          <cell r="E250">
            <v>1113927</v>
          </cell>
          <cell r="F250">
            <v>29033047</v>
          </cell>
          <cell r="G250" t="str">
            <v>28/05/2025</v>
          </cell>
          <cell r="H250">
            <v>5395</v>
          </cell>
        </row>
        <row r="251">
          <cell r="E251">
            <v>1113960</v>
          </cell>
          <cell r="F251">
            <v>29032539</v>
          </cell>
          <cell r="G251" t="str">
            <v>16/05/2025</v>
          </cell>
          <cell r="H251">
            <v>6785</v>
          </cell>
        </row>
        <row r="252">
          <cell r="E252">
            <v>1113994</v>
          </cell>
          <cell r="F252">
            <v>29033187</v>
          </cell>
          <cell r="G252" t="str">
            <v>16/05/2025</v>
          </cell>
          <cell r="H252">
            <v>4315</v>
          </cell>
        </row>
        <row r="253">
          <cell r="E253">
            <v>1114133</v>
          </cell>
          <cell r="F253">
            <v>29036046</v>
          </cell>
          <cell r="G253" t="str">
            <v>17/10/2025</v>
          </cell>
          <cell r="H253">
            <v>4985</v>
          </cell>
        </row>
        <row r="254">
          <cell r="E254">
            <v>1114192</v>
          </cell>
          <cell r="F254">
            <v>29112699</v>
          </cell>
          <cell r="G254" t="str">
            <v>16/05/2025</v>
          </cell>
          <cell r="H254">
            <v>7585</v>
          </cell>
        </row>
        <row r="255">
          <cell r="E255">
            <v>1114257</v>
          </cell>
          <cell r="F255">
            <v>29034922</v>
          </cell>
          <cell r="G255" t="str">
            <v>28/05/2025</v>
          </cell>
          <cell r="H255">
            <v>7015</v>
          </cell>
        </row>
        <row r="256">
          <cell r="E256">
            <v>1114265</v>
          </cell>
          <cell r="F256">
            <v>29034280</v>
          </cell>
          <cell r="G256" t="str">
            <v>25/06/2025</v>
          </cell>
          <cell r="H256">
            <v>4385</v>
          </cell>
        </row>
        <row r="257">
          <cell r="E257">
            <v>1114303</v>
          </cell>
          <cell r="F257">
            <v>29114500</v>
          </cell>
          <cell r="G257" t="str">
            <v>16/05/2025</v>
          </cell>
          <cell r="H257">
            <v>7195</v>
          </cell>
        </row>
        <row r="258">
          <cell r="E258">
            <v>1114478</v>
          </cell>
          <cell r="F258">
            <v>29128366</v>
          </cell>
          <cell r="G258" t="str">
            <v>16/05/2025</v>
          </cell>
          <cell r="H258">
            <v>8015</v>
          </cell>
        </row>
        <row r="259">
          <cell r="E259">
            <v>1114559</v>
          </cell>
          <cell r="F259">
            <v>29117666</v>
          </cell>
          <cell r="G259" t="str">
            <v>16/05/2025</v>
          </cell>
          <cell r="H259">
            <v>13785</v>
          </cell>
        </row>
        <row r="260">
          <cell r="E260">
            <v>1114613</v>
          </cell>
          <cell r="F260">
            <v>29153190</v>
          </cell>
          <cell r="G260" t="str">
            <v>16/05/2025</v>
          </cell>
          <cell r="H260">
            <v>9315</v>
          </cell>
        </row>
        <row r="261">
          <cell r="E261">
            <v>1114680</v>
          </cell>
          <cell r="F261">
            <v>29117240</v>
          </cell>
          <cell r="G261" t="str">
            <v>16/05/2025</v>
          </cell>
          <cell r="H261">
            <v>11635</v>
          </cell>
        </row>
        <row r="262">
          <cell r="E262">
            <v>1114729</v>
          </cell>
          <cell r="F262">
            <v>29126991</v>
          </cell>
          <cell r="G262" t="str">
            <v>16/05/2025</v>
          </cell>
          <cell r="H262">
            <v>5395</v>
          </cell>
        </row>
        <row r="263">
          <cell r="E263">
            <v>1114893</v>
          </cell>
          <cell r="F263">
            <v>29126126</v>
          </cell>
          <cell r="G263" t="str">
            <v>26/09/2025</v>
          </cell>
          <cell r="H263">
            <v>5505</v>
          </cell>
        </row>
        <row r="264">
          <cell r="E264">
            <v>1115091</v>
          </cell>
          <cell r="F264">
            <v>29132045</v>
          </cell>
          <cell r="G264" t="str">
            <v>16/05/2025</v>
          </cell>
          <cell r="H264">
            <v>11785</v>
          </cell>
        </row>
        <row r="265">
          <cell r="E265">
            <v>1115105</v>
          </cell>
          <cell r="F265">
            <v>29124212</v>
          </cell>
          <cell r="G265" t="str">
            <v>16/05/2025</v>
          </cell>
          <cell r="H265">
            <v>14715</v>
          </cell>
        </row>
        <row r="266">
          <cell r="E266">
            <v>1115229</v>
          </cell>
          <cell r="F266">
            <v>29131553</v>
          </cell>
          <cell r="G266" t="str">
            <v>28/05/2025</v>
          </cell>
          <cell r="H266">
            <v>10445</v>
          </cell>
        </row>
        <row r="267">
          <cell r="E267">
            <v>1115326</v>
          </cell>
          <cell r="F267">
            <v>29133130</v>
          </cell>
          <cell r="G267" t="str">
            <v>16/05/2025</v>
          </cell>
          <cell r="H267">
            <v>10295</v>
          </cell>
        </row>
        <row r="268">
          <cell r="E268">
            <v>1115342</v>
          </cell>
          <cell r="F268">
            <v>29132711</v>
          </cell>
          <cell r="G268" t="str">
            <v>25/06/2025</v>
          </cell>
          <cell r="H268">
            <v>6555</v>
          </cell>
        </row>
        <row r="269">
          <cell r="E269">
            <v>1115393</v>
          </cell>
          <cell r="F269">
            <v>29133955</v>
          </cell>
          <cell r="G269" t="str">
            <v>22/05/2025</v>
          </cell>
          <cell r="H269">
            <v>5985</v>
          </cell>
        </row>
        <row r="270">
          <cell r="E270">
            <v>1115431</v>
          </cell>
          <cell r="F270">
            <v>29135710</v>
          </cell>
          <cell r="G270" t="str">
            <v>16/05/2025</v>
          </cell>
          <cell r="H270">
            <v>17815</v>
          </cell>
        </row>
        <row r="271">
          <cell r="E271">
            <v>1115520</v>
          </cell>
          <cell r="F271">
            <v>29147409</v>
          </cell>
          <cell r="G271" t="str">
            <v>16/05/2025</v>
          </cell>
          <cell r="H271">
            <v>7005</v>
          </cell>
        </row>
        <row r="272">
          <cell r="E272">
            <v>1115660</v>
          </cell>
          <cell r="F272">
            <v>29138442</v>
          </cell>
          <cell r="G272" t="str">
            <v>16/05/2025</v>
          </cell>
          <cell r="H272">
            <v>4865</v>
          </cell>
        </row>
        <row r="273">
          <cell r="E273">
            <v>1115679</v>
          </cell>
          <cell r="F273">
            <v>29139155</v>
          </cell>
          <cell r="G273" t="str">
            <v>16/05/2025</v>
          </cell>
          <cell r="H273">
            <v>5205</v>
          </cell>
        </row>
        <row r="274">
          <cell r="E274">
            <v>1115717</v>
          </cell>
          <cell r="F274">
            <v>29137870</v>
          </cell>
          <cell r="G274" t="str">
            <v>16/05/2025</v>
          </cell>
          <cell r="H274">
            <v>4375</v>
          </cell>
        </row>
        <row r="275">
          <cell r="E275">
            <v>1115776</v>
          </cell>
          <cell r="F275">
            <v>29144302</v>
          </cell>
          <cell r="G275" t="str">
            <v>11/07/2025</v>
          </cell>
          <cell r="H275">
            <v>11535</v>
          </cell>
        </row>
        <row r="276">
          <cell r="E276">
            <v>1115806</v>
          </cell>
          <cell r="F276">
            <v>29139325</v>
          </cell>
          <cell r="G276" t="str">
            <v>16/05/2025</v>
          </cell>
          <cell r="H276">
            <v>8305</v>
          </cell>
        </row>
        <row r="277">
          <cell r="E277">
            <v>1115865</v>
          </cell>
          <cell r="F277">
            <v>29137853</v>
          </cell>
          <cell r="G277" t="str">
            <v>16/05/2025</v>
          </cell>
          <cell r="H277">
            <v>15175</v>
          </cell>
        </row>
        <row r="278">
          <cell r="E278">
            <v>1115903</v>
          </cell>
          <cell r="F278">
            <v>29137900</v>
          </cell>
          <cell r="G278" t="str">
            <v>16/05/2025</v>
          </cell>
          <cell r="H278">
            <v>4745</v>
          </cell>
        </row>
        <row r="279">
          <cell r="E279">
            <v>1115997</v>
          </cell>
          <cell r="F279">
            <v>29142229</v>
          </cell>
          <cell r="G279" t="str">
            <v>28/05/2025</v>
          </cell>
          <cell r="H279">
            <v>7105</v>
          </cell>
        </row>
        <row r="280">
          <cell r="E280">
            <v>1116039</v>
          </cell>
          <cell r="F280">
            <v>29121809</v>
          </cell>
          <cell r="G280" t="str">
            <v>28/05/2025</v>
          </cell>
          <cell r="H280">
            <v>2985</v>
          </cell>
        </row>
        <row r="281">
          <cell r="E281">
            <v>1116209</v>
          </cell>
          <cell r="F281">
            <v>29145538</v>
          </cell>
          <cell r="G281" t="str">
            <v>16/05/2025</v>
          </cell>
          <cell r="H281">
            <v>6845</v>
          </cell>
        </row>
        <row r="282">
          <cell r="E282">
            <v>1116241</v>
          </cell>
          <cell r="F282">
            <v>29146151</v>
          </cell>
          <cell r="G282" t="str">
            <v>26/09/2025</v>
          </cell>
          <cell r="H282">
            <v>6755</v>
          </cell>
        </row>
        <row r="283">
          <cell r="E283">
            <v>1116446</v>
          </cell>
          <cell r="F283">
            <v>29147913</v>
          </cell>
          <cell r="G283" t="str">
            <v>16/05/2025</v>
          </cell>
          <cell r="H283">
            <v>7485</v>
          </cell>
        </row>
        <row r="284">
          <cell r="E284">
            <v>1116691</v>
          </cell>
          <cell r="F284">
            <v>29146631</v>
          </cell>
          <cell r="G284" t="str">
            <v>16/05/2025</v>
          </cell>
          <cell r="H284">
            <v>3965</v>
          </cell>
        </row>
        <row r="285">
          <cell r="E285">
            <v>1116713</v>
          </cell>
          <cell r="F285">
            <v>29149380</v>
          </cell>
          <cell r="G285" t="str">
            <v>16/05/2025</v>
          </cell>
          <cell r="H285">
            <v>9095</v>
          </cell>
        </row>
        <row r="286">
          <cell r="E286">
            <v>1116950</v>
          </cell>
          <cell r="F286">
            <v>29271967</v>
          </cell>
          <cell r="G286" t="str">
            <v>25/06/2025</v>
          </cell>
          <cell r="H286">
            <v>4845</v>
          </cell>
        </row>
        <row r="287">
          <cell r="E287">
            <v>1117035</v>
          </cell>
          <cell r="F287">
            <v>29303354</v>
          </cell>
          <cell r="G287" t="str">
            <v>26/09/2025</v>
          </cell>
          <cell r="H287">
            <v>8785</v>
          </cell>
        </row>
        <row r="288">
          <cell r="E288">
            <v>1117108</v>
          </cell>
          <cell r="F288">
            <v>29300762</v>
          </cell>
          <cell r="G288" t="str">
            <v>25/06/2025</v>
          </cell>
          <cell r="H288">
            <v>6525</v>
          </cell>
        </row>
        <row r="289">
          <cell r="E289">
            <v>1117175</v>
          </cell>
          <cell r="F289">
            <v>29223687</v>
          </cell>
          <cell r="G289" t="str">
            <v>26/09/2025</v>
          </cell>
          <cell r="H289">
            <v>7705</v>
          </cell>
        </row>
        <row r="290">
          <cell r="E290">
            <v>1117221</v>
          </cell>
          <cell r="F290">
            <v>29268524</v>
          </cell>
          <cell r="G290" t="str">
            <v>16/05/2025</v>
          </cell>
          <cell r="H290">
            <v>5705</v>
          </cell>
        </row>
        <row r="291">
          <cell r="E291">
            <v>1117310</v>
          </cell>
          <cell r="F291">
            <v>29293707</v>
          </cell>
          <cell r="G291" t="str">
            <v>26/09/2025</v>
          </cell>
          <cell r="H291">
            <v>3605</v>
          </cell>
        </row>
        <row r="292">
          <cell r="E292">
            <v>1117396</v>
          </cell>
          <cell r="F292">
            <v>29290678</v>
          </cell>
          <cell r="G292" t="str">
            <v>06/11/2025</v>
          </cell>
          <cell r="H292">
            <v>6665</v>
          </cell>
        </row>
        <row r="293">
          <cell r="E293">
            <v>1117434</v>
          </cell>
          <cell r="F293">
            <v>29307759</v>
          </cell>
          <cell r="G293" t="str">
            <v>26/09/2025</v>
          </cell>
          <cell r="H293">
            <v>5385</v>
          </cell>
        </row>
        <row r="294">
          <cell r="E294">
            <v>1117566</v>
          </cell>
          <cell r="F294">
            <v>29226147</v>
          </cell>
          <cell r="G294" t="str">
            <v>25/06/2025</v>
          </cell>
          <cell r="H294">
            <v>5025</v>
          </cell>
        </row>
        <row r="295">
          <cell r="E295">
            <v>1117663</v>
          </cell>
          <cell r="F295">
            <v>29229294</v>
          </cell>
          <cell r="G295" t="str">
            <v>06/11/2025</v>
          </cell>
          <cell r="H295">
            <v>9855</v>
          </cell>
        </row>
        <row r="296">
          <cell r="E296">
            <v>1117698</v>
          </cell>
          <cell r="F296">
            <v>29228549</v>
          </cell>
          <cell r="G296" t="str">
            <v>11/07/2025</v>
          </cell>
          <cell r="H296">
            <v>15005</v>
          </cell>
        </row>
        <row r="297">
          <cell r="E297">
            <v>1117701</v>
          </cell>
          <cell r="F297">
            <v>29229324</v>
          </cell>
          <cell r="G297" t="str">
            <v>26/08/2025</v>
          </cell>
          <cell r="H297">
            <v>2885</v>
          </cell>
        </row>
        <row r="298">
          <cell r="E298">
            <v>1117779</v>
          </cell>
          <cell r="F298">
            <v>29035007</v>
          </cell>
          <cell r="G298" t="str">
            <v>16/05/2025</v>
          </cell>
          <cell r="H298">
            <v>7285</v>
          </cell>
        </row>
        <row r="299">
          <cell r="E299">
            <v>1117850</v>
          </cell>
          <cell r="F299">
            <v>29229421</v>
          </cell>
          <cell r="G299" t="str">
            <v>26/09/2025</v>
          </cell>
          <cell r="H299">
            <v>8155</v>
          </cell>
        </row>
        <row r="300">
          <cell r="E300">
            <v>1117868</v>
          </cell>
          <cell r="F300">
            <v>29227658</v>
          </cell>
          <cell r="G300" t="str">
            <v>29/07/2025</v>
          </cell>
          <cell r="H300">
            <v>4815</v>
          </cell>
        </row>
        <row r="301">
          <cell r="E301">
            <v>1117892</v>
          </cell>
          <cell r="F301">
            <v>29229529</v>
          </cell>
          <cell r="G301" t="str">
            <v>26/08/2025</v>
          </cell>
          <cell r="H301">
            <v>11035</v>
          </cell>
        </row>
        <row r="302">
          <cell r="E302">
            <v>1118023</v>
          </cell>
          <cell r="F302">
            <v>29226864</v>
          </cell>
          <cell r="G302" t="str">
            <v>25/06/2025</v>
          </cell>
          <cell r="H302">
            <v>7135</v>
          </cell>
        </row>
        <row r="303">
          <cell r="E303">
            <v>1118040</v>
          </cell>
          <cell r="F303">
            <v>29034990</v>
          </cell>
          <cell r="G303" t="str">
            <v>16/05/2025</v>
          </cell>
          <cell r="H303">
            <v>6935</v>
          </cell>
        </row>
        <row r="304">
          <cell r="E304">
            <v>1118066</v>
          </cell>
          <cell r="F304">
            <v>29230985</v>
          </cell>
          <cell r="G304" t="str">
            <v>28/05/2025</v>
          </cell>
          <cell r="H304">
            <v>2635</v>
          </cell>
        </row>
        <row r="305">
          <cell r="E305">
            <v>1118171</v>
          </cell>
          <cell r="F305">
            <v>29232341</v>
          </cell>
          <cell r="G305" t="str">
            <v>28/05/2025</v>
          </cell>
          <cell r="H305">
            <v>4175</v>
          </cell>
        </row>
        <row r="306">
          <cell r="E306">
            <v>1118414</v>
          </cell>
          <cell r="F306">
            <v>29234450</v>
          </cell>
          <cell r="G306" t="str">
            <v>16/05/2025</v>
          </cell>
          <cell r="H306">
            <v>3925</v>
          </cell>
        </row>
        <row r="307">
          <cell r="E307">
            <v>1118449</v>
          </cell>
          <cell r="F307">
            <v>29270545</v>
          </cell>
          <cell r="G307" t="str">
            <v>23/05/2025</v>
          </cell>
          <cell r="H307">
            <v>3485</v>
          </cell>
        </row>
        <row r="308">
          <cell r="E308">
            <v>1118511</v>
          </cell>
          <cell r="F308">
            <v>29297974</v>
          </cell>
          <cell r="G308" t="str">
            <v>28/05/2025</v>
          </cell>
          <cell r="H308">
            <v>3195</v>
          </cell>
        </row>
        <row r="309">
          <cell r="E309">
            <v>1118546</v>
          </cell>
          <cell r="F309">
            <v>29272696</v>
          </cell>
          <cell r="G309" t="str">
            <v>26/08/2025</v>
          </cell>
          <cell r="H309">
            <v>5935</v>
          </cell>
        </row>
        <row r="310">
          <cell r="E310">
            <v>1118619</v>
          </cell>
          <cell r="F310">
            <v>29272947</v>
          </cell>
          <cell r="G310" t="str">
            <v>28/05/2025</v>
          </cell>
          <cell r="H310">
            <v>9125</v>
          </cell>
        </row>
        <row r="311">
          <cell r="E311">
            <v>1118791</v>
          </cell>
          <cell r="F311">
            <v>29282055</v>
          </cell>
          <cell r="G311" t="str">
            <v>06/11/2025</v>
          </cell>
          <cell r="H311">
            <v>9515</v>
          </cell>
        </row>
        <row r="312">
          <cell r="E312">
            <v>1118830</v>
          </cell>
          <cell r="F312">
            <v>29437830</v>
          </cell>
          <cell r="G312" t="str">
            <v>28/05/2025</v>
          </cell>
          <cell r="H312">
            <v>6395</v>
          </cell>
        </row>
        <row r="313">
          <cell r="E313">
            <v>1118872</v>
          </cell>
          <cell r="F313">
            <v>29284767</v>
          </cell>
          <cell r="G313" t="str">
            <v>23/05/2025</v>
          </cell>
          <cell r="H313">
            <v>4595</v>
          </cell>
        </row>
        <row r="314">
          <cell r="E314">
            <v>1118899</v>
          </cell>
          <cell r="F314">
            <v>29282608</v>
          </cell>
          <cell r="G314" t="str">
            <v>16/05/2025</v>
          </cell>
          <cell r="H314">
            <v>6955</v>
          </cell>
        </row>
        <row r="315">
          <cell r="E315">
            <v>1119119</v>
          </cell>
          <cell r="F315">
            <v>29282977</v>
          </cell>
          <cell r="G315" t="str">
            <v>06/11/2025</v>
          </cell>
          <cell r="H315">
            <v>5475</v>
          </cell>
        </row>
        <row r="316">
          <cell r="E316">
            <v>1119283</v>
          </cell>
          <cell r="F316">
            <v>29283647</v>
          </cell>
          <cell r="G316" t="str">
            <v>23/05/2025</v>
          </cell>
          <cell r="H316">
            <v>8485</v>
          </cell>
        </row>
        <row r="317">
          <cell r="E317">
            <v>1119380</v>
          </cell>
          <cell r="F317">
            <v>29284104</v>
          </cell>
          <cell r="G317" t="str">
            <v>06/11/2025</v>
          </cell>
          <cell r="H317">
            <v>7015</v>
          </cell>
        </row>
        <row r="318">
          <cell r="E318">
            <v>1119445</v>
          </cell>
          <cell r="F318">
            <v>29226520</v>
          </cell>
          <cell r="G318" t="str">
            <v>16/05/2025</v>
          </cell>
          <cell r="H318">
            <v>11585</v>
          </cell>
        </row>
        <row r="319">
          <cell r="E319">
            <v>1119461</v>
          </cell>
          <cell r="F319">
            <v>29227356</v>
          </cell>
          <cell r="G319" t="str">
            <v>16/05/2025</v>
          </cell>
          <cell r="H319">
            <v>8345</v>
          </cell>
        </row>
        <row r="320">
          <cell r="E320">
            <v>1119470</v>
          </cell>
          <cell r="F320">
            <v>29226040</v>
          </cell>
          <cell r="G320" t="str">
            <v>25/06/2025</v>
          </cell>
          <cell r="H320">
            <v>3555</v>
          </cell>
        </row>
        <row r="321">
          <cell r="E321">
            <v>1119577</v>
          </cell>
          <cell r="F321">
            <v>29048184</v>
          </cell>
          <cell r="G321" t="str">
            <v>16/05/2025</v>
          </cell>
          <cell r="H321">
            <v>4835</v>
          </cell>
        </row>
        <row r="322">
          <cell r="E322">
            <v>1119828</v>
          </cell>
          <cell r="F322">
            <v>29050057</v>
          </cell>
          <cell r="G322" t="str">
            <v>16/05/2025</v>
          </cell>
          <cell r="H322">
            <v>21185</v>
          </cell>
        </row>
        <row r="323">
          <cell r="E323">
            <v>1120257</v>
          </cell>
          <cell r="F323">
            <v>29053544</v>
          </cell>
          <cell r="G323" t="str">
            <v>16/05/2025</v>
          </cell>
          <cell r="H323">
            <v>6275</v>
          </cell>
        </row>
        <row r="324">
          <cell r="E324">
            <v>1120311</v>
          </cell>
          <cell r="F324">
            <v>29025028</v>
          </cell>
          <cell r="G324" t="str">
            <v>17/10/2025</v>
          </cell>
          <cell r="H324">
            <v>12995</v>
          </cell>
        </row>
        <row r="325">
          <cell r="E325">
            <v>1120338</v>
          </cell>
          <cell r="F325">
            <v>29024765</v>
          </cell>
          <cell r="G325" t="str">
            <v>26/09/2025</v>
          </cell>
          <cell r="H325">
            <v>9675</v>
          </cell>
        </row>
        <row r="326">
          <cell r="E326">
            <v>1120494</v>
          </cell>
          <cell r="F326">
            <v>29024803</v>
          </cell>
          <cell r="G326" t="str">
            <v>26/08/2025</v>
          </cell>
          <cell r="H326">
            <v>5325</v>
          </cell>
        </row>
        <row r="327">
          <cell r="E327">
            <v>1120524</v>
          </cell>
          <cell r="F327">
            <v>29025052</v>
          </cell>
          <cell r="G327" t="str">
            <v>26/08/2025</v>
          </cell>
          <cell r="H327">
            <v>5645</v>
          </cell>
        </row>
        <row r="328">
          <cell r="E328">
            <v>1120893</v>
          </cell>
          <cell r="F328">
            <v>29025001</v>
          </cell>
          <cell r="G328" t="str">
            <v>26/09/2025</v>
          </cell>
          <cell r="H328">
            <v>7475</v>
          </cell>
        </row>
        <row r="329">
          <cell r="E329">
            <v>1120907</v>
          </cell>
          <cell r="F329">
            <v>29032334</v>
          </cell>
          <cell r="G329" t="str">
            <v>26/08/2025</v>
          </cell>
          <cell r="H329">
            <v>8635</v>
          </cell>
        </row>
        <row r="330">
          <cell r="E330">
            <v>1120915</v>
          </cell>
          <cell r="F330">
            <v>29024579</v>
          </cell>
          <cell r="G330" t="str">
            <v>06/11/2025</v>
          </cell>
          <cell r="H330">
            <v>8655</v>
          </cell>
        </row>
        <row r="331">
          <cell r="E331">
            <v>1120923</v>
          </cell>
          <cell r="F331">
            <v>29056144</v>
          </cell>
          <cell r="G331" t="str">
            <v>28/05/2025</v>
          </cell>
          <cell r="H331">
            <v>6795</v>
          </cell>
        </row>
        <row r="332">
          <cell r="E332">
            <v>1120990</v>
          </cell>
          <cell r="F332">
            <v>29031761</v>
          </cell>
          <cell r="G332" t="str">
            <v>25/06/2025</v>
          </cell>
          <cell r="H332">
            <v>10665</v>
          </cell>
        </row>
        <row r="333">
          <cell r="E333">
            <v>1121156</v>
          </cell>
          <cell r="F333">
            <v>29056780</v>
          </cell>
          <cell r="G333" t="str">
            <v>16/05/2025</v>
          </cell>
          <cell r="H333">
            <v>5235</v>
          </cell>
        </row>
        <row r="334">
          <cell r="E334">
            <v>1121172</v>
          </cell>
          <cell r="F334">
            <v>29050910</v>
          </cell>
          <cell r="G334" t="str">
            <v>16/05/2025</v>
          </cell>
          <cell r="H334">
            <v>8535</v>
          </cell>
        </row>
        <row r="335">
          <cell r="E335">
            <v>1121261</v>
          </cell>
          <cell r="F335">
            <v>29055393</v>
          </cell>
          <cell r="G335" t="str">
            <v>16/05/2025</v>
          </cell>
          <cell r="H335">
            <v>7775</v>
          </cell>
        </row>
        <row r="336">
          <cell r="E336">
            <v>1121342</v>
          </cell>
          <cell r="F336">
            <v>29031265</v>
          </cell>
          <cell r="G336" t="str">
            <v>17/10/2025</v>
          </cell>
          <cell r="H336">
            <v>11825</v>
          </cell>
        </row>
        <row r="337">
          <cell r="E337">
            <v>1121423</v>
          </cell>
          <cell r="F337">
            <v>29124964</v>
          </cell>
          <cell r="G337" t="str">
            <v>26/08/2025</v>
          </cell>
          <cell r="H337">
            <v>5675</v>
          </cell>
        </row>
        <row r="338">
          <cell r="E338">
            <v>1121520</v>
          </cell>
          <cell r="F338">
            <v>29029732</v>
          </cell>
          <cell r="G338" t="str">
            <v>06/11/2025</v>
          </cell>
          <cell r="H338">
            <v>15115</v>
          </cell>
        </row>
        <row r="339">
          <cell r="E339">
            <v>1122020</v>
          </cell>
          <cell r="F339">
            <v>29069106</v>
          </cell>
          <cell r="G339" t="str">
            <v>25/06/2025</v>
          </cell>
          <cell r="H339">
            <v>7665</v>
          </cell>
        </row>
        <row r="340">
          <cell r="E340">
            <v>1122144</v>
          </cell>
          <cell r="F340">
            <v>29073014</v>
          </cell>
          <cell r="G340" t="str">
            <v>29/05/2025</v>
          </cell>
          <cell r="H340">
            <v>5355</v>
          </cell>
        </row>
        <row r="341">
          <cell r="E341">
            <v>1122233</v>
          </cell>
          <cell r="F341">
            <v>29079004</v>
          </cell>
          <cell r="G341" t="str">
            <v>25/06/2025</v>
          </cell>
          <cell r="H341">
            <v>5835</v>
          </cell>
        </row>
        <row r="342">
          <cell r="E342">
            <v>1122306</v>
          </cell>
          <cell r="F342">
            <v>29079934</v>
          </cell>
          <cell r="G342" t="str">
            <v>25/06/2025</v>
          </cell>
          <cell r="H342">
            <v>3965</v>
          </cell>
        </row>
        <row r="343">
          <cell r="E343">
            <v>1122365</v>
          </cell>
          <cell r="F343">
            <v>29073324</v>
          </cell>
          <cell r="G343" t="str">
            <v>28/05/2025</v>
          </cell>
          <cell r="H343">
            <v>6695</v>
          </cell>
        </row>
        <row r="344">
          <cell r="E344">
            <v>1122705</v>
          </cell>
          <cell r="F344">
            <v>29077540</v>
          </cell>
          <cell r="G344" t="str">
            <v>16/05/2025</v>
          </cell>
          <cell r="H344">
            <v>5075</v>
          </cell>
        </row>
        <row r="345">
          <cell r="E345">
            <v>1122730</v>
          </cell>
          <cell r="F345">
            <v>29080533</v>
          </cell>
          <cell r="G345" t="str">
            <v>16/05/2025</v>
          </cell>
          <cell r="H345">
            <v>10255</v>
          </cell>
        </row>
        <row r="346">
          <cell r="E346">
            <v>1122861</v>
          </cell>
          <cell r="F346">
            <v>29085500</v>
          </cell>
          <cell r="G346" t="str">
            <v>16/05/2025</v>
          </cell>
          <cell r="H346">
            <v>6965</v>
          </cell>
        </row>
        <row r="347">
          <cell r="E347">
            <v>1123000</v>
          </cell>
          <cell r="F347">
            <v>29086914</v>
          </cell>
          <cell r="G347" t="str">
            <v>16/05/2025</v>
          </cell>
          <cell r="H347">
            <v>6055</v>
          </cell>
        </row>
        <row r="348">
          <cell r="E348">
            <v>1123043</v>
          </cell>
          <cell r="F348">
            <v>29088240</v>
          </cell>
          <cell r="G348" t="str">
            <v>28/05/2025</v>
          </cell>
          <cell r="H348">
            <v>7965</v>
          </cell>
        </row>
        <row r="349">
          <cell r="E349">
            <v>1123159</v>
          </cell>
          <cell r="F349">
            <v>29081319</v>
          </cell>
          <cell r="G349" t="str">
            <v>16/05/2025</v>
          </cell>
          <cell r="H349">
            <v>5585</v>
          </cell>
        </row>
        <row r="350">
          <cell r="E350">
            <v>1123183</v>
          </cell>
          <cell r="F350">
            <v>29081815</v>
          </cell>
          <cell r="G350" t="str">
            <v>15/10/2025</v>
          </cell>
          <cell r="H350">
            <v>3715</v>
          </cell>
        </row>
        <row r="351">
          <cell r="E351">
            <v>1123434</v>
          </cell>
          <cell r="F351">
            <v>29083354</v>
          </cell>
          <cell r="G351" t="str">
            <v>26/08/2025</v>
          </cell>
          <cell r="H351">
            <v>9605</v>
          </cell>
        </row>
        <row r="352">
          <cell r="E352">
            <v>1123485</v>
          </cell>
          <cell r="F352">
            <v>29084202</v>
          </cell>
          <cell r="G352" t="str">
            <v>24/10/2025</v>
          </cell>
          <cell r="H352">
            <v>5215</v>
          </cell>
        </row>
        <row r="353">
          <cell r="E353">
            <v>1123531</v>
          </cell>
          <cell r="F353">
            <v>29084784</v>
          </cell>
          <cell r="G353" t="str">
            <v>25/06/2025</v>
          </cell>
          <cell r="H353">
            <v>2535</v>
          </cell>
        </row>
        <row r="354">
          <cell r="E354">
            <v>1123647</v>
          </cell>
          <cell r="F354">
            <v>29232988</v>
          </cell>
          <cell r="G354" t="str">
            <v>06/11/2025</v>
          </cell>
          <cell r="H354">
            <v>5765</v>
          </cell>
        </row>
        <row r="355">
          <cell r="E355">
            <v>1123671</v>
          </cell>
          <cell r="F355">
            <v>29255597</v>
          </cell>
          <cell r="G355" t="str">
            <v>16/05/2025</v>
          </cell>
          <cell r="H355">
            <v>5165</v>
          </cell>
        </row>
        <row r="356">
          <cell r="E356">
            <v>1123701</v>
          </cell>
          <cell r="F356">
            <v>29213592</v>
          </cell>
          <cell r="G356" t="str">
            <v>25/06/2025</v>
          </cell>
          <cell r="H356">
            <v>4125</v>
          </cell>
        </row>
        <row r="357">
          <cell r="E357">
            <v>1123957</v>
          </cell>
          <cell r="F357">
            <v>29087236</v>
          </cell>
          <cell r="G357" t="str">
            <v>25/06/2025</v>
          </cell>
          <cell r="H357">
            <v>12975</v>
          </cell>
        </row>
        <row r="358">
          <cell r="E358">
            <v>1124163</v>
          </cell>
          <cell r="F358">
            <v>29214866</v>
          </cell>
          <cell r="G358" t="str">
            <v>16/05/2025</v>
          </cell>
          <cell r="H358">
            <v>3105</v>
          </cell>
        </row>
        <row r="359">
          <cell r="E359">
            <v>1124287</v>
          </cell>
          <cell r="F359">
            <v>29237629</v>
          </cell>
          <cell r="G359" t="str">
            <v>25/06/2025</v>
          </cell>
          <cell r="H359">
            <v>5565</v>
          </cell>
        </row>
        <row r="360">
          <cell r="E360">
            <v>1124368</v>
          </cell>
          <cell r="F360">
            <v>29225060</v>
          </cell>
          <cell r="G360" t="str">
            <v>26/09/2025</v>
          </cell>
          <cell r="H360">
            <v>3265</v>
          </cell>
        </row>
        <row r="361">
          <cell r="E361">
            <v>1124481</v>
          </cell>
          <cell r="F361">
            <v>29216206</v>
          </cell>
          <cell r="G361" t="str">
            <v>16/05/2025</v>
          </cell>
          <cell r="H361">
            <v>3885</v>
          </cell>
        </row>
        <row r="362">
          <cell r="E362">
            <v>1124813</v>
          </cell>
          <cell r="F362">
            <v>29267420</v>
          </cell>
          <cell r="G362" t="str">
            <v>16/05/2025</v>
          </cell>
          <cell r="H362">
            <v>7525</v>
          </cell>
        </row>
        <row r="363">
          <cell r="E363">
            <v>1124856</v>
          </cell>
          <cell r="F363">
            <v>29267480</v>
          </cell>
          <cell r="G363" t="str">
            <v>16/05/2025</v>
          </cell>
          <cell r="H363">
            <v>11485</v>
          </cell>
        </row>
        <row r="364">
          <cell r="E364">
            <v>1124872</v>
          </cell>
          <cell r="F364">
            <v>29268168</v>
          </cell>
          <cell r="G364" t="str">
            <v>25/06/2025</v>
          </cell>
          <cell r="H364">
            <v>10065</v>
          </cell>
        </row>
        <row r="365">
          <cell r="E365">
            <v>1124929</v>
          </cell>
          <cell r="F365">
            <v>29285291</v>
          </cell>
          <cell r="G365" t="str">
            <v>26/08/2025</v>
          </cell>
          <cell r="H365">
            <v>4195</v>
          </cell>
        </row>
        <row r="366">
          <cell r="E366">
            <v>1124996</v>
          </cell>
          <cell r="F366">
            <v>29275474</v>
          </cell>
          <cell r="G366" t="str">
            <v>25/06/2025</v>
          </cell>
          <cell r="H366">
            <v>11905</v>
          </cell>
        </row>
        <row r="367">
          <cell r="E367">
            <v>1125062</v>
          </cell>
          <cell r="F367">
            <v>29277230</v>
          </cell>
          <cell r="G367" t="str">
            <v>16/05/2025</v>
          </cell>
          <cell r="H367">
            <v>6445</v>
          </cell>
        </row>
        <row r="368">
          <cell r="E368">
            <v>1125070</v>
          </cell>
          <cell r="F368">
            <v>29277256</v>
          </cell>
          <cell r="G368" t="str">
            <v>25/06/2025</v>
          </cell>
          <cell r="H368">
            <v>5215</v>
          </cell>
        </row>
        <row r="369">
          <cell r="E369">
            <v>1125160</v>
          </cell>
          <cell r="F369">
            <v>29277809</v>
          </cell>
          <cell r="G369" t="str">
            <v>16/05/2025</v>
          </cell>
          <cell r="H369">
            <v>13435</v>
          </cell>
        </row>
        <row r="370">
          <cell r="E370">
            <v>1125186</v>
          </cell>
          <cell r="F370">
            <v>29276411</v>
          </cell>
          <cell r="G370" t="str">
            <v>16/05/2025</v>
          </cell>
          <cell r="H370">
            <v>12655</v>
          </cell>
        </row>
        <row r="371">
          <cell r="E371">
            <v>1125224</v>
          </cell>
          <cell r="F371">
            <v>29278112</v>
          </cell>
          <cell r="G371" t="str">
            <v>29/07/2025</v>
          </cell>
          <cell r="H371">
            <v>3395</v>
          </cell>
        </row>
        <row r="372">
          <cell r="E372">
            <v>1125305</v>
          </cell>
          <cell r="F372">
            <v>29279640</v>
          </cell>
          <cell r="G372" t="str">
            <v>25/06/2025</v>
          </cell>
          <cell r="H372">
            <v>23125</v>
          </cell>
        </row>
        <row r="373">
          <cell r="E373">
            <v>1125399</v>
          </cell>
          <cell r="F373">
            <v>29277752</v>
          </cell>
          <cell r="G373" t="str">
            <v>16/05/2025</v>
          </cell>
          <cell r="H373">
            <v>3415</v>
          </cell>
        </row>
        <row r="374">
          <cell r="E374">
            <v>1125429</v>
          </cell>
          <cell r="F374">
            <v>29277990</v>
          </cell>
          <cell r="G374" t="str">
            <v>16/05/2025</v>
          </cell>
          <cell r="H374">
            <v>10955</v>
          </cell>
        </row>
        <row r="375">
          <cell r="E375">
            <v>1125461</v>
          </cell>
          <cell r="F375">
            <v>29279178</v>
          </cell>
          <cell r="G375" t="str">
            <v>25/06/2025</v>
          </cell>
          <cell r="H375">
            <v>9365</v>
          </cell>
        </row>
        <row r="376">
          <cell r="E376">
            <v>1125496</v>
          </cell>
          <cell r="F376">
            <v>29279810</v>
          </cell>
          <cell r="G376" t="str">
            <v>16/05/2025</v>
          </cell>
          <cell r="H376">
            <v>6725</v>
          </cell>
        </row>
        <row r="377">
          <cell r="E377">
            <v>1125640</v>
          </cell>
          <cell r="F377">
            <v>29277787</v>
          </cell>
          <cell r="G377" t="str">
            <v>24/10/2025</v>
          </cell>
          <cell r="H377">
            <v>11165</v>
          </cell>
        </row>
        <row r="378">
          <cell r="E378">
            <v>1125747</v>
          </cell>
          <cell r="F378">
            <v>29057809</v>
          </cell>
          <cell r="G378" t="str">
            <v>16/05/2025</v>
          </cell>
          <cell r="H378">
            <v>7685</v>
          </cell>
        </row>
        <row r="379">
          <cell r="E379">
            <v>1125887</v>
          </cell>
          <cell r="F379">
            <v>29061628</v>
          </cell>
          <cell r="G379" t="str">
            <v>16/05/2025</v>
          </cell>
          <cell r="H379">
            <v>4285</v>
          </cell>
        </row>
        <row r="380">
          <cell r="E380">
            <v>1125925</v>
          </cell>
          <cell r="F380">
            <v>29058244</v>
          </cell>
          <cell r="G380" t="str">
            <v>16/05/2025</v>
          </cell>
          <cell r="H380">
            <v>5515</v>
          </cell>
        </row>
        <row r="381">
          <cell r="E381">
            <v>1125968</v>
          </cell>
          <cell r="F381">
            <v>29062250</v>
          </cell>
          <cell r="G381" t="str">
            <v>16/05/2025</v>
          </cell>
          <cell r="H381">
            <v>4935</v>
          </cell>
        </row>
        <row r="382">
          <cell r="E382">
            <v>1125992</v>
          </cell>
          <cell r="F382">
            <v>29279887</v>
          </cell>
          <cell r="G382" t="str">
            <v>28/05/2025</v>
          </cell>
          <cell r="H382">
            <v>12265</v>
          </cell>
        </row>
        <row r="383">
          <cell r="E383">
            <v>1126050</v>
          </cell>
          <cell r="F383">
            <v>29062519</v>
          </cell>
          <cell r="G383" t="str">
            <v>16/05/2025</v>
          </cell>
          <cell r="H383">
            <v>5005</v>
          </cell>
        </row>
        <row r="384">
          <cell r="E384">
            <v>1126212</v>
          </cell>
          <cell r="F384">
            <v>29059380</v>
          </cell>
          <cell r="G384" t="str">
            <v>16/05/2025</v>
          </cell>
          <cell r="H384">
            <v>5715</v>
          </cell>
        </row>
        <row r="385">
          <cell r="E385">
            <v>1126247</v>
          </cell>
          <cell r="F385">
            <v>29060001</v>
          </cell>
          <cell r="G385" t="str">
            <v>16/05/2025</v>
          </cell>
          <cell r="H385">
            <v>8495</v>
          </cell>
        </row>
        <row r="386">
          <cell r="E386">
            <v>1126590</v>
          </cell>
          <cell r="F386">
            <v>29064120</v>
          </cell>
          <cell r="G386" t="str">
            <v>16/05/2025</v>
          </cell>
          <cell r="H386">
            <v>12805</v>
          </cell>
        </row>
        <row r="387">
          <cell r="E387">
            <v>1126611</v>
          </cell>
          <cell r="F387">
            <v>29064147</v>
          </cell>
          <cell r="G387" t="str">
            <v>16/05/2025</v>
          </cell>
          <cell r="H387">
            <v>11025</v>
          </cell>
        </row>
        <row r="388">
          <cell r="E388">
            <v>1126808</v>
          </cell>
          <cell r="F388">
            <v>29041333</v>
          </cell>
          <cell r="G388" t="str">
            <v>16/05/2025</v>
          </cell>
          <cell r="H388">
            <v>9595</v>
          </cell>
        </row>
        <row r="389">
          <cell r="E389">
            <v>1127154</v>
          </cell>
          <cell r="F389">
            <v>29066395</v>
          </cell>
          <cell r="G389" t="str">
            <v>16/05/2025</v>
          </cell>
          <cell r="H389">
            <v>6755</v>
          </cell>
        </row>
        <row r="390">
          <cell r="E390">
            <v>1127260</v>
          </cell>
          <cell r="F390">
            <v>29207843</v>
          </cell>
          <cell r="G390" t="str">
            <v>16/05/2025</v>
          </cell>
          <cell r="H390">
            <v>4455</v>
          </cell>
        </row>
        <row r="391">
          <cell r="E391">
            <v>1127324</v>
          </cell>
          <cell r="F391">
            <v>29038820</v>
          </cell>
          <cell r="G391" t="str">
            <v>16/05/2025</v>
          </cell>
          <cell r="H391">
            <v>9485</v>
          </cell>
        </row>
        <row r="392">
          <cell r="E392">
            <v>1127456</v>
          </cell>
          <cell r="F392">
            <v>29205000</v>
          </cell>
          <cell r="G392" t="str">
            <v>03/10/2025</v>
          </cell>
          <cell r="H392">
            <v>3125</v>
          </cell>
        </row>
        <row r="393">
          <cell r="E393">
            <v>1127502</v>
          </cell>
          <cell r="F393">
            <v>29036143</v>
          </cell>
          <cell r="G393" t="str">
            <v>16/05/2025</v>
          </cell>
          <cell r="H393">
            <v>14295</v>
          </cell>
        </row>
        <row r="394">
          <cell r="E394">
            <v>1127634</v>
          </cell>
          <cell r="F394">
            <v>29240530</v>
          </cell>
          <cell r="G394" t="str">
            <v>15/10/2025</v>
          </cell>
          <cell r="H394">
            <v>2595</v>
          </cell>
        </row>
        <row r="395">
          <cell r="E395">
            <v>1127731</v>
          </cell>
          <cell r="F395">
            <v>29239354</v>
          </cell>
          <cell r="G395" t="str">
            <v>08/10/2025</v>
          </cell>
          <cell r="H395">
            <v>8065</v>
          </cell>
        </row>
        <row r="396">
          <cell r="E396">
            <v>1127855</v>
          </cell>
          <cell r="F396">
            <v>29210399</v>
          </cell>
          <cell r="G396" t="str">
            <v>16/05/2025</v>
          </cell>
          <cell r="H396">
            <v>7445</v>
          </cell>
        </row>
        <row r="397">
          <cell r="E397">
            <v>1127910</v>
          </cell>
          <cell r="F397">
            <v>29210950</v>
          </cell>
          <cell r="G397" t="str">
            <v>16/05/2025</v>
          </cell>
          <cell r="H397">
            <v>8535</v>
          </cell>
        </row>
        <row r="398">
          <cell r="E398">
            <v>1127960</v>
          </cell>
          <cell r="F398">
            <v>29206545</v>
          </cell>
          <cell r="G398" t="str">
            <v>24/10/2025</v>
          </cell>
          <cell r="H398">
            <v>4185</v>
          </cell>
        </row>
        <row r="399">
          <cell r="E399">
            <v>1128088</v>
          </cell>
          <cell r="F399">
            <v>29209439</v>
          </cell>
          <cell r="G399" t="str">
            <v>08/10/2025</v>
          </cell>
          <cell r="H399">
            <v>2025</v>
          </cell>
        </row>
        <row r="400">
          <cell r="E400">
            <v>1128177</v>
          </cell>
          <cell r="F400">
            <v>29208297</v>
          </cell>
          <cell r="G400" t="str">
            <v>08/10/2025</v>
          </cell>
          <cell r="H400">
            <v>13565</v>
          </cell>
        </row>
        <row r="401">
          <cell r="E401">
            <v>1128371</v>
          </cell>
          <cell r="F401">
            <v>29240638</v>
          </cell>
          <cell r="G401" t="str">
            <v>16/05/2025</v>
          </cell>
          <cell r="H401">
            <v>9715</v>
          </cell>
        </row>
        <row r="402">
          <cell r="E402">
            <v>1128460</v>
          </cell>
          <cell r="F402">
            <v>29249104</v>
          </cell>
          <cell r="G402" t="str">
            <v>06/11/2025</v>
          </cell>
          <cell r="H402">
            <v>5765</v>
          </cell>
        </row>
        <row r="403">
          <cell r="E403">
            <v>1128606</v>
          </cell>
          <cell r="F403">
            <v>29243947</v>
          </cell>
          <cell r="G403" t="str">
            <v>16/05/2025</v>
          </cell>
          <cell r="H403">
            <v>9675</v>
          </cell>
        </row>
        <row r="404">
          <cell r="E404">
            <v>1128762</v>
          </cell>
          <cell r="F404">
            <v>29044570</v>
          </cell>
          <cell r="G404" t="str">
            <v>16/05/2025</v>
          </cell>
          <cell r="H404">
            <v>9385</v>
          </cell>
        </row>
        <row r="405">
          <cell r="E405">
            <v>1128878</v>
          </cell>
          <cell r="F405">
            <v>29258324</v>
          </cell>
          <cell r="G405" t="str">
            <v>16/05/2025</v>
          </cell>
          <cell r="H405">
            <v>6185</v>
          </cell>
        </row>
        <row r="406">
          <cell r="E406">
            <v>1128924</v>
          </cell>
          <cell r="F406">
            <v>29259630</v>
          </cell>
          <cell r="G406" t="str">
            <v>16/05/2025</v>
          </cell>
          <cell r="H406">
            <v>3635</v>
          </cell>
        </row>
        <row r="407">
          <cell r="E407">
            <v>1129130</v>
          </cell>
          <cell r="F407">
            <v>29251648</v>
          </cell>
          <cell r="G407" t="str">
            <v>16/05/2025</v>
          </cell>
          <cell r="H407">
            <v>8085</v>
          </cell>
        </row>
        <row r="408">
          <cell r="E408">
            <v>1129181</v>
          </cell>
          <cell r="F408">
            <v>29250285</v>
          </cell>
          <cell r="G408" t="str">
            <v>24/10/2025</v>
          </cell>
          <cell r="H408">
            <v>5415</v>
          </cell>
        </row>
        <row r="409">
          <cell r="E409">
            <v>1129416</v>
          </cell>
          <cell r="F409">
            <v>29264049</v>
          </cell>
          <cell r="G409" t="str">
            <v>16/05/2025</v>
          </cell>
          <cell r="H409">
            <v>5635</v>
          </cell>
        </row>
        <row r="410">
          <cell r="E410">
            <v>1129432</v>
          </cell>
          <cell r="F410">
            <v>29254396</v>
          </cell>
          <cell r="G410" t="str">
            <v>16/05/2025</v>
          </cell>
          <cell r="H410">
            <v>4485</v>
          </cell>
        </row>
        <row r="411">
          <cell r="E411">
            <v>1129521</v>
          </cell>
          <cell r="F411">
            <v>29005752</v>
          </cell>
          <cell r="G411" t="str">
            <v>16/05/2025</v>
          </cell>
          <cell r="H411">
            <v>5455</v>
          </cell>
        </row>
        <row r="412">
          <cell r="E412">
            <v>1129637</v>
          </cell>
          <cell r="F412">
            <v>29000599</v>
          </cell>
          <cell r="G412" t="str">
            <v>28/05/2025</v>
          </cell>
          <cell r="H412">
            <v>5235</v>
          </cell>
        </row>
        <row r="413">
          <cell r="E413">
            <v>1129696</v>
          </cell>
          <cell r="F413">
            <v>29001064</v>
          </cell>
          <cell r="G413" t="str">
            <v>16/05/2025</v>
          </cell>
          <cell r="H413">
            <v>6405</v>
          </cell>
        </row>
        <row r="414">
          <cell r="E414">
            <v>1129718</v>
          </cell>
          <cell r="F414">
            <v>29336325</v>
          </cell>
          <cell r="G414" t="str">
            <v>28/05/2025</v>
          </cell>
          <cell r="H414">
            <v>10385</v>
          </cell>
        </row>
        <row r="415">
          <cell r="E415">
            <v>1129742</v>
          </cell>
          <cell r="F415">
            <v>29000971</v>
          </cell>
          <cell r="G415" t="str">
            <v>26/08/2025</v>
          </cell>
          <cell r="H415">
            <v>12935</v>
          </cell>
        </row>
        <row r="416">
          <cell r="E416">
            <v>1129831</v>
          </cell>
          <cell r="F416">
            <v>29001498</v>
          </cell>
          <cell r="G416" t="str">
            <v>29/07/2025</v>
          </cell>
          <cell r="H416">
            <v>8775</v>
          </cell>
        </row>
        <row r="417">
          <cell r="E417">
            <v>1129858</v>
          </cell>
          <cell r="F417">
            <v>29001773</v>
          </cell>
          <cell r="G417" t="str">
            <v>16/05/2025</v>
          </cell>
          <cell r="H417">
            <v>3975</v>
          </cell>
        </row>
        <row r="418">
          <cell r="E418">
            <v>1129939</v>
          </cell>
          <cell r="F418">
            <v>29383218</v>
          </cell>
          <cell r="G418" t="str">
            <v>16/05/2025</v>
          </cell>
          <cell r="H418">
            <v>6625</v>
          </cell>
        </row>
        <row r="419">
          <cell r="E419">
            <v>1129980</v>
          </cell>
          <cell r="F419">
            <v>29002427</v>
          </cell>
          <cell r="G419" t="str">
            <v>06/11/2025</v>
          </cell>
          <cell r="H419">
            <v>1655</v>
          </cell>
        </row>
        <row r="420">
          <cell r="E420">
            <v>1130260</v>
          </cell>
          <cell r="F420">
            <v>29007100</v>
          </cell>
          <cell r="G420" t="str">
            <v>28/05/2025</v>
          </cell>
          <cell r="H420">
            <v>5985</v>
          </cell>
        </row>
        <row r="421">
          <cell r="E421">
            <v>1130856</v>
          </cell>
          <cell r="F421">
            <v>29343003</v>
          </cell>
          <cell r="G421" t="str">
            <v>16/05/2025</v>
          </cell>
          <cell r="H421">
            <v>4945</v>
          </cell>
        </row>
        <row r="422">
          <cell r="E422">
            <v>1130902</v>
          </cell>
          <cell r="F422">
            <v>29004403</v>
          </cell>
          <cell r="G422" t="str">
            <v>28/05/2025</v>
          </cell>
          <cell r="H422">
            <v>6895</v>
          </cell>
        </row>
        <row r="423">
          <cell r="E423">
            <v>1130910</v>
          </cell>
          <cell r="F423">
            <v>29009847</v>
          </cell>
          <cell r="G423" t="str">
            <v>16/05/2025</v>
          </cell>
          <cell r="H423">
            <v>4045</v>
          </cell>
        </row>
        <row r="424">
          <cell r="E424">
            <v>1130929</v>
          </cell>
          <cell r="F424">
            <v>29009197</v>
          </cell>
          <cell r="G424" t="str">
            <v>16/05/2025</v>
          </cell>
          <cell r="H424">
            <v>4215</v>
          </cell>
        </row>
        <row r="425">
          <cell r="E425">
            <v>1131402</v>
          </cell>
          <cell r="F425">
            <v>29245893</v>
          </cell>
          <cell r="G425" t="str">
            <v>16/05/2025</v>
          </cell>
          <cell r="H425">
            <v>6515</v>
          </cell>
        </row>
        <row r="426">
          <cell r="E426">
            <v>1131453</v>
          </cell>
          <cell r="F426">
            <v>29013275</v>
          </cell>
          <cell r="G426" t="str">
            <v>16/05/2025</v>
          </cell>
          <cell r="H426">
            <v>11725</v>
          </cell>
        </row>
        <row r="427">
          <cell r="E427">
            <v>1131534</v>
          </cell>
          <cell r="F427">
            <v>29012465</v>
          </cell>
          <cell r="G427" t="str">
            <v>16/05/2025</v>
          </cell>
          <cell r="H427">
            <v>7035</v>
          </cell>
        </row>
        <row r="428">
          <cell r="E428">
            <v>1131607</v>
          </cell>
          <cell r="F428">
            <v>29011604</v>
          </cell>
          <cell r="G428" t="str">
            <v>26/09/2025</v>
          </cell>
          <cell r="H428">
            <v>8055</v>
          </cell>
        </row>
        <row r="429">
          <cell r="E429">
            <v>1131674</v>
          </cell>
          <cell r="F429">
            <v>29011507</v>
          </cell>
          <cell r="G429" t="str">
            <v>16/05/2025</v>
          </cell>
          <cell r="H429">
            <v>5335</v>
          </cell>
        </row>
        <row r="430">
          <cell r="E430">
            <v>1131720</v>
          </cell>
          <cell r="F430">
            <v>29043085</v>
          </cell>
          <cell r="G430" t="str">
            <v>16/05/2025</v>
          </cell>
          <cell r="H430">
            <v>14095</v>
          </cell>
        </row>
        <row r="431">
          <cell r="E431">
            <v>1131739</v>
          </cell>
          <cell r="F431">
            <v>29009880</v>
          </cell>
          <cell r="G431" t="str">
            <v>26/09/2025</v>
          </cell>
          <cell r="H431">
            <v>6985</v>
          </cell>
        </row>
        <row r="432">
          <cell r="E432">
            <v>1131798</v>
          </cell>
          <cell r="F432">
            <v>29016916</v>
          </cell>
          <cell r="G432" t="str">
            <v>16/05/2025</v>
          </cell>
          <cell r="H432">
            <v>8035</v>
          </cell>
        </row>
        <row r="433">
          <cell r="E433">
            <v>1131860</v>
          </cell>
          <cell r="F433">
            <v>29015227</v>
          </cell>
          <cell r="G433" t="str">
            <v>16/05/2025</v>
          </cell>
          <cell r="H433">
            <v>13795</v>
          </cell>
        </row>
        <row r="434">
          <cell r="E434">
            <v>1132000</v>
          </cell>
          <cell r="F434">
            <v>29014433</v>
          </cell>
          <cell r="G434" t="str">
            <v>26/09/2025</v>
          </cell>
          <cell r="H434">
            <v>7215</v>
          </cell>
        </row>
        <row r="435">
          <cell r="E435">
            <v>1132158</v>
          </cell>
          <cell r="F435">
            <v>29015413</v>
          </cell>
          <cell r="G435" t="str">
            <v>16/05/2025</v>
          </cell>
          <cell r="H435">
            <v>13135</v>
          </cell>
        </row>
        <row r="436">
          <cell r="E436">
            <v>1132166</v>
          </cell>
          <cell r="F436">
            <v>29206936</v>
          </cell>
          <cell r="G436" t="str">
            <v>16/05/2025</v>
          </cell>
          <cell r="H436">
            <v>4665</v>
          </cell>
        </row>
        <row r="437">
          <cell r="E437">
            <v>1133014</v>
          </cell>
          <cell r="F437">
            <v>29214211</v>
          </cell>
          <cell r="G437" t="str">
            <v>08/10/2025</v>
          </cell>
          <cell r="H437">
            <v>6545</v>
          </cell>
        </row>
        <row r="438">
          <cell r="E438">
            <v>1133022</v>
          </cell>
          <cell r="F438">
            <v>29221307</v>
          </cell>
          <cell r="G438" t="str">
            <v>16/05/2025</v>
          </cell>
          <cell r="H438">
            <v>3705</v>
          </cell>
        </row>
        <row r="439">
          <cell r="E439">
            <v>1133090</v>
          </cell>
          <cell r="F439">
            <v>29207770</v>
          </cell>
          <cell r="G439" t="str">
            <v>26/08/2025</v>
          </cell>
          <cell r="H439">
            <v>5025</v>
          </cell>
        </row>
        <row r="440">
          <cell r="E440">
            <v>1133138</v>
          </cell>
          <cell r="F440">
            <v>29220076</v>
          </cell>
          <cell r="G440" t="str">
            <v>16/05/2025</v>
          </cell>
          <cell r="H440">
            <v>13015</v>
          </cell>
        </row>
        <row r="441">
          <cell r="E441">
            <v>1133235</v>
          </cell>
          <cell r="F441">
            <v>29067391</v>
          </cell>
          <cell r="G441" t="str">
            <v>16/05/2025</v>
          </cell>
          <cell r="H441">
            <v>9085</v>
          </cell>
        </row>
        <row r="442">
          <cell r="E442">
            <v>1133278</v>
          </cell>
          <cell r="F442">
            <v>29063299</v>
          </cell>
          <cell r="G442" t="str">
            <v>16/05/2025</v>
          </cell>
          <cell r="H442">
            <v>10755</v>
          </cell>
        </row>
        <row r="443">
          <cell r="E443">
            <v>1133405</v>
          </cell>
          <cell r="F443">
            <v>29165407</v>
          </cell>
          <cell r="G443" t="str">
            <v>16/05/2025</v>
          </cell>
          <cell r="H443">
            <v>6565</v>
          </cell>
        </row>
        <row r="444">
          <cell r="E444">
            <v>1133502</v>
          </cell>
          <cell r="F444">
            <v>29165555</v>
          </cell>
          <cell r="G444" t="str">
            <v>25/06/2025</v>
          </cell>
          <cell r="H444">
            <v>7415</v>
          </cell>
        </row>
        <row r="445">
          <cell r="E445">
            <v>1133618</v>
          </cell>
          <cell r="F445">
            <v>29165253</v>
          </cell>
          <cell r="G445" t="str">
            <v>24/10/2025</v>
          </cell>
          <cell r="H445">
            <v>9625</v>
          </cell>
        </row>
        <row r="446">
          <cell r="E446">
            <v>1133715</v>
          </cell>
          <cell r="F446">
            <v>29162610</v>
          </cell>
          <cell r="G446" t="str">
            <v>28/05/2025</v>
          </cell>
          <cell r="H446">
            <v>8955</v>
          </cell>
        </row>
        <row r="447">
          <cell r="E447">
            <v>1134029</v>
          </cell>
          <cell r="F447">
            <v>29166314</v>
          </cell>
          <cell r="G447" t="str">
            <v>28/05/2025</v>
          </cell>
          <cell r="H447">
            <v>10415</v>
          </cell>
        </row>
        <row r="448">
          <cell r="E448">
            <v>1134509</v>
          </cell>
          <cell r="F448">
            <v>29173531</v>
          </cell>
          <cell r="G448" t="str">
            <v>16/05/2025</v>
          </cell>
          <cell r="H448">
            <v>11555</v>
          </cell>
        </row>
        <row r="449">
          <cell r="E449">
            <v>1134568</v>
          </cell>
          <cell r="F449">
            <v>29170583</v>
          </cell>
          <cell r="G449" t="str">
            <v>06/11/2025</v>
          </cell>
          <cell r="H449">
            <v>9885</v>
          </cell>
        </row>
        <row r="450">
          <cell r="E450">
            <v>1134657</v>
          </cell>
          <cell r="F450">
            <v>29172870</v>
          </cell>
          <cell r="G450" t="str">
            <v>26/09/2025</v>
          </cell>
          <cell r="H450">
            <v>4905</v>
          </cell>
        </row>
        <row r="451">
          <cell r="E451">
            <v>1134932</v>
          </cell>
          <cell r="F451">
            <v>29174180</v>
          </cell>
          <cell r="G451" t="str">
            <v>26/09/2025</v>
          </cell>
          <cell r="H451">
            <v>4385</v>
          </cell>
        </row>
        <row r="452">
          <cell r="E452">
            <v>1135394</v>
          </cell>
          <cell r="F452">
            <v>29163234</v>
          </cell>
          <cell r="G452" t="str">
            <v>06/11/2025</v>
          </cell>
          <cell r="H452">
            <v>4775</v>
          </cell>
        </row>
        <row r="453">
          <cell r="E453">
            <v>1135610</v>
          </cell>
          <cell r="F453">
            <v>29169160</v>
          </cell>
          <cell r="G453" t="str">
            <v>28/05/2025</v>
          </cell>
          <cell r="H453">
            <v>5575</v>
          </cell>
        </row>
        <row r="454">
          <cell r="E454">
            <v>1135637</v>
          </cell>
          <cell r="F454">
            <v>29150418</v>
          </cell>
          <cell r="G454" t="str">
            <v>16/05/2025</v>
          </cell>
          <cell r="H454">
            <v>8345</v>
          </cell>
        </row>
        <row r="455">
          <cell r="E455">
            <v>1135998</v>
          </cell>
          <cell r="F455">
            <v>29191173</v>
          </cell>
          <cell r="G455" t="str">
            <v>06/11/2025</v>
          </cell>
          <cell r="H455">
            <v>4225</v>
          </cell>
        </row>
        <row r="456">
          <cell r="E456">
            <v>1136480</v>
          </cell>
          <cell r="F456">
            <v>29325803</v>
          </cell>
          <cell r="G456" t="str">
            <v>16/05/2025</v>
          </cell>
          <cell r="H456">
            <v>9605</v>
          </cell>
        </row>
        <row r="457">
          <cell r="E457">
            <v>1136498</v>
          </cell>
          <cell r="F457">
            <v>29190967</v>
          </cell>
          <cell r="G457" t="str">
            <v>06/11/2025</v>
          </cell>
          <cell r="H457">
            <v>7825</v>
          </cell>
        </row>
        <row r="458">
          <cell r="E458">
            <v>1137346</v>
          </cell>
          <cell r="F458">
            <v>29254426</v>
          </cell>
          <cell r="G458" t="str">
            <v>06/11/2025</v>
          </cell>
          <cell r="H458">
            <v>7135</v>
          </cell>
        </row>
        <row r="459">
          <cell r="E459">
            <v>1137583</v>
          </cell>
          <cell r="F459">
            <v>29060206</v>
          </cell>
          <cell r="G459" t="str">
            <v>16/05/2025</v>
          </cell>
          <cell r="H459">
            <v>5785</v>
          </cell>
        </row>
        <row r="460">
          <cell r="E460">
            <v>1137982</v>
          </cell>
          <cell r="F460">
            <v>29142997</v>
          </cell>
          <cell r="G460" t="str">
            <v>24/10/2025</v>
          </cell>
          <cell r="H460">
            <v>7375</v>
          </cell>
        </row>
        <row r="461">
          <cell r="E461">
            <v>1138172</v>
          </cell>
          <cell r="F461">
            <v>29142709</v>
          </cell>
          <cell r="G461" t="str">
            <v>06/11/2025</v>
          </cell>
          <cell r="H461">
            <v>4565</v>
          </cell>
        </row>
        <row r="462">
          <cell r="E462">
            <v>1138245</v>
          </cell>
          <cell r="F462">
            <v>29143365</v>
          </cell>
          <cell r="G462" t="str">
            <v>16/05/2025</v>
          </cell>
          <cell r="H462">
            <v>4245</v>
          </cell>
        </row>
        <row r="463">
          <cell r="E463">
            <v>1138504</v>
          </cell>
          <cell r="F463">
            <v>29034205</v>
          </cell>
          <cell r="G463" t="str">
            <v>16/05/2025</v>
          </cell>
          <cell r="H463">
            <v>6955</v>
          </cell>
        </row>
        <row r="464">
          <cell r="E464">
            <v>1138539</v>
          </cell>
          <cell r="F464">
            <v>29113881</v>
          </cell>
          <cell r="G464" t="str">
            <v>16/05/2025</v>
          </cell>
          <cell r="H464">
            <v>7875</v>
          </cell>
        </row>
        <row r="465">
          <cell r="E465">
            <v>1138954</v>
          </cell>
          <cell r="F465">
            <v>29174546</v>
          </cell>
          <cell r="G465" t="str">
            <v>16/05/2025</v>
          </cell>
          <cell r="H465">
            <v>7805</v>
          </cell>
        </row>
        <row r="466">
          <cell r="E466">
            <v>1139136</v>
          </cell>
          <cell r="F466">
            <v>29315492</v>
          </cell>
          <cell r="G466" t="str">
            <v>06/11/2025</v>
          </cell>
          <cell r="H466">
            <v>9585</v>
          </cell>
        </row>
        <row r="467">
          <cell r="E467">
            <v>1139896</v>
          </cell>
          <cell r="F467">
            <v>29000840</v>
          </cell>
          <cell r="G467" t="str">
            <v>26/08/2025</v>
          </cell>
          <cell r="H467">
            <v>13055</v>
          </cell>
        </row>
        <row r="468">
          <cell r="E468">
            <v>1140452</v>
          </cell>
          <cell r="F468">
            <v>29055075</v>
          </cell>
          <cell r="G468" t="str">
            <v>16/05/2025</v>
          </cell>
          <cell r="H468">
            <v>6215</v>
          </cell>
        </row>
        <row r="469">
          <cell r="E469">
            <v>1140606</v>
          </cell>
          <cell r="F469">
            <v>29248132</v>
          </cell>
          <cell r="G469" t="str">
            <v>29/07/2025</v>
          </cell>
          <cell r="H469">
            <v>5995</v>
          </cell>
        </row>
        <row r="470">
          <cell r="E470">
            <v>1141149</v>
          </cell>
          <cell r="F470">
            <v>29326028</v>
          </cell>
          <cell r="G470" t="str">
            <v>16/05/2025</v>
          </cell>
          <cell r="H470">
            <v>10595</v>
          </cell>
        </row>
        <row r="471">
          <cell r="E471">
            <v>1141726</v>
          </cell>
          <cell r="F471">
            <v>29013887</v>
          </cell>
          <cell r="G471" t="str">
            <v>16/05/2025</v>
          </cell>
          <cell r="H471">
            <v>4905</v>
          </cell>
        </row>
        <row r="472">
          <cell r="E472">
            <v>1141815</v>
          </cell>
          <cell r="F472">
            <v>29261481</v>
          </cell>
          <cell r="G472" t="str">
            <v>16/05/2025</v>
          </cell>
          <cell r="H472">
            <v>3535</v>
          </cell>
        </row>
        <row r="473">
          <cell r="E473">
            <v>1141998</v>
          </cell>
          <cell r="F473">
            <v>29192218</v>
          </cell>
          <cell r="G473" t="str">
            <v>06/11/2025</v>
          </cell>
          <cell r="H473">
            <v>8635</v>
          </cell>
        </row>
        <row r="474">
          <cell r="E474">
            <v>1142242</v>
          </cell>
          <cell r="F474">
            <v>29097665</v>
          </cell>
          <cell r="G474" t="str">
            <v>16/05/2025</v>
          </cell>
          <cell r="H474">
            <v>10765</v>
          </cell>
        </row>
        <row r="475">
          <cell r="E475">
            <v>1142463</v>
          </cell>
          <cell r="F475">
            <v>29191335</v>
          </cell>
          <cell r="G475" t="str">
            <v>26/08/2025</v>
          </cell>
          <cell r="H475">
            <v>4435</v>
          </cell>
        </row>
        <row r="476">
          <cell r="E476">
            <v>1142862</v>
          </cell>
          <cell r="F476">
            <v>29285534</v>
          </cell>
          <cell r="G476" t="str">
            <v>06/11/2025</v>
          </cell>
          <cell r="H476">
            <v>8155</v>
          </cell>
        </row>
        <row r="477">
          <cell r="E477">
            <v>1142994</v>
          </cell>
          <cell r="F477">
            <v>29093295</v>
          </cell>
          <cell r="G477" t="str">
            <v>25/06/2025</v>
          </cell>
          <cell r="H477">
            <v>3395</v>
          </cell>
        </row>
        <row r="478">
          <cell r="E478">
            <v>1143494</v>
          </cell>
          <cell r="F478">
            <v>29129435</v>
          </cell>
          <cell r="G478" t="str">
            <v>16/05/2025</v>
          </cell>
          <cell r="H478">
            <v>6845</v>
          </cell>
        </row>
        <row r="479">
          <cell r="E479">
            <v>1144032</v>
          </cell>
          <cell r="F479">
            <v>29055067</v>
          </cell>
          <cell r="G479" t="str">
            <v>24/10/2025</v>
          </cell>
          <cell r="H479">
            <v>5575</v>
          </cell>
        </row>
        <row r="480">
          <cell r="E480">
            <v>1144156</v>
          </cell>
          <cell r="F480">
            <v>29031630</v>
          </cell>
          <cell r="G480" t="str">
            <v>06/11/2025</v>
          </cell>
          <cell r="H480">
            <v>6205</v>
          </cell>
        </row>
        <row r="481">
          <cell r="E481">
            <v>1144520</v>
          </cell>
          <cell r="F481">
            <v>29201020</v>
          </cell>
          <cell r="G481" t="str">
            <v>25/06/2025</v>
          </cell>
          <cell r="H481">
            <v>5925</v>
          </cell>
        </row>
        <row r="482">
          <cell r="E482">
            <v>1145462</v>
          </cell>
          <cell r="F482">
            <v>29222710</v>
          </cell>
          <cell r="G482" t="str">
            <v>16/05/2025</v>
          </cell>
          <cell r="H482">
            <v>11295</v>
          </cell>
        </row>
        <row r="483">
          <cell r="E483">
            <v>1145691</v>
          </cell>
          <cell r="F483">
            <v>29169607</v>
          </cell>
          <cell r="G483" t="str">
            <v>28/05/2025</v>
          </cell>
          <cell r="H483">
            <v>10705</v>
          </cell>
        </row>
        <row r="484">
          <cell r="E484">
            <v>1146094</v>
          </cell>
          <cell r="F484">
            <v>29191343</v>
          </cell>
          <cell r="G484" t="str">
            <v>26/08/2025</v>
          </cell>
          <cell r="H484">
            <v>15675</v>
          </cell>
        </row>
        <row r="485">
          <cell r="E485">
            <v>1146140</v>
          </cell>
          <cell r="F485">
            <v>29199930</v>
          </cell>
          <cell r="G485" t="str">
            <v>16/05/2025</v>
          </cell>
          <cell r="H485">
            <v>11995</v>
          </cell>
        </row>
        <row r="486">
          <cell r="E486">
            <v>1146167</v>
          </cell>
          <cell r="F486">
            <v>29318220</v>
          </cell>
          <cell r="G486" t="str">
            <v>16/05/2025</v>
          </cell>
          <cell r="H486">
            <v>11765</v>
          </cell>
        </row>
        <row r="487">
          <cell r="E487">
            <v>1146183</v>
          </cell>
          <cell r="F487">
            <v>29318378</v>
          </cell>
          <cell r="G487" t="str">
            <v>16/05/2025</v>
          </cell>
          <cell r="H487">
            <v>5935</v>
          </cell>
        </row>
        <row r="488">
          <cell r="E488">
            <v>1146264</v>
          </cell>
          <cell r="F488">
            <v>29319218</v>
          </cell>
          <cell r="G488" t="str">
            <v>16/05/2025</v>
          </cell>
          <cell r="H488">
            <v>9415</v>
          </cell>
        </row>
        <row r="489">
          <cell r="E489">
            <v>1146434</v>
          </cell>
          <cell r="F489">
            <v>29326320</v>
          </cell>
          <cell r="G489" t="str">
            <v>16/05/2025</v>
          </cell>
          <cell r="H489">
            <v>5445</v>
          </cell>
        </row>
        <row r="490">
          <cell r="E490">
            <v>1146493</v>
          </cell>
          <cell r="F490">
            <v>29321298</v>
          </cell>
          <cell r="G490" t="str">
            <v>16/05/2025</v>
          </cell>
          <cell r="H490">
            <v>3255</v>
          </cell>
        </row>
        <row r="491">
          <cell r="E491">
            <v>1146523</v>
          </cell>
          <cell r="F491">
            <v>29309638</v>
          </cell>
          <cell r="G491" t="str">
            <v>06/11/2025</v>
          </cell>
          <cell r="H491">
            <v>3835</v>
          </cell>
        </row>
        <row r="492">
          <cell r="E492">
            <v>1156634</v>
          </cell>
          <cell r="F492">
            <v>29261953</v>
          </cell>
          <cell r="G492" t="str">
            <v>28/05/2025</v>
          </cell>
          <cell r="H492">
            <v>4665</v>
          </cell>
        </row>
        <row r="493">
          <cell r="E493">
            <v>1157525</v>
          </cell>
          <cell r="F493">
            <v>29323967</v>
          </cell>
          <cell r="G493" t="str">
            <v>25/06/2025</v>
          </cell>
          <cell r="H493">
            <v>2635</v>
          </cell>
        </row>
        <row r="494">
          <cell r="E494">
            <v>1157746</v>
          </cell>
          <cell r="F494">
            <v>29325099</v>
          </cell>
          <cell r="G494" t="str">
            <v>16/05/2025</v>
          </cell>
          <cell r="H494">
            <v>4095</v>
          </cell>
        </row>
        <row r="495">
          <cell r="E495">
            <v>1158157</v>
          </cell>
          <cell r="F495">
            <v>29071275</v>
          </cell>
          <cell r="G495" t="str">
            <v>28/05/2025</v>
          </cell>
          <cell r="H495">
            <v>5685</v>
          </cell>
        </row>
        <row r="496">
          <cell r="E496">
            <v>1158270</v>
          </cell>
          <cell r="F496">
            <v>29289270</v>
          </cell>
          <cell r="G496" t="str">
            <v>28/05/2025</v>
          </cell>
          <cell r="H496">
            <v>4605</v>
          </cell>
        </row>
        <row r="497">
          <cell r="E497">
            <v>1158688</v>
          </cell>
          <cell r="F497">
            <v>29309425</v>
          </cell>
          <cell r="G497" t="str">
            <v>26/09/2025</v>
          </cell>
          <cell r="H497">
            <v>4925</v>
          </cell>
        </row>
        <row r="498">
          <cell r="E498">
            <v>1158882</v>
          </cell>
          <cell r="F498">
            <v>29299268</v>
          </cell>
          <cell r="G498" t="str">
            <v>08/10/2025</v>
          </cell>
          <cell r="H498">
            <v>3325</v>
          </cell>
        </row>
        <row r="499">
          <cell r="E499">
            <v>1158947</v>
          </cell>
          <cell r="F499">
            <v>29298520</v>
          </cell>
          <cell r="G499" t="str">
            <v>16/05/2025</v>
          </cell>
          <cell r="H499">
            <v>4985</v>
          </cell>
        </row>
        <row r="500">
          <cell r="E500">
            <v>1159277</v>
          </cell>
          <cell r="F500">
            <v>29310660</v>
          </cell>
          <cell r="G500" t="str">
            <v>16/05/2025</v>
          </cell>
          <cell r="H500">
            <v>3615</v>
          </cell>
        </row>
        <row r="501">
          <cell r="E501">
            <v>1159587</v>
          </cell>
          <cell r="F501">
            <v>29311497</v>
          </cell>
          <cell r="G501" t="str">
            <v>16/05/2025</v>
          </cell>
          <cell r="H501">
            <v>2265</v>
          </cell>
        </row>
        <row r="502">
          <cell r="E502">
            <v>1159617</v>
          </cell>
          <cell r="F502">
            <v>29311500</v>
          </cell>
          <cell r="G502" t="str">
            <v>26/09/2025</v>
          </cell>
          <cell r="H502">
            <v>6975</v>
          </cell>
        </row>
        <row r="503">
          <cell r="E503">
            <v>1159641</v>
          </cell>
          <cell r="F503">
            <v>29288150</v>
          </cell>
          <cell r="G503" t="str">
            <v>06/11/2025</v>
          </cell>
          <cell r="H503">
            <v>4255</v>
          </cell>
        </row>
        <row r="504">
          <cell r="E504">
            <v>1159668</v>
          </cell>
          <cell r="F504">
            <v>29288142</v>
          </cell>
          <cell r="G504" t="str">
            <v>26/09/2025</v>
          </cell>
          <cell r="H504">
            <v>6195</v>
          </cell>
        </row>
        <row r="505">
          <cell r="E505">
            <v>1159790</v>
          </cell>
          <cell r="F505">
            <v>29316260</v>
          </cell>
          <cell r="G505" t="str">
            <v>16/05/2025</v>
          </cell>
          <cell r="H505">
            <v>6855</v>
          </cell>
        </row>
        <row r="506">
          <cell r="E506">
            <v>1159838</v>
          </cell>
          <cell r="F506">
            <v>29302293</v>
          </cell>
          <cell r="G506" t="str">
            <v>25/06/2025</v>
          </cell>
          <cell r="H506">
            <v>9955</v>
          </cell>
        </row>
        <row r="507">
          <cell r="E507">
            <v>1159919</v>
          </cell>
          <cell r="F507">
            <v>29301475</v>
          </cell>
          <cell r="G507" t="str">
            <v>25/06/2025</v>
          </cell>
          <cell r="H507">
            <v>12055</v>
          </cell>
        </row>
        <row r="508">
          <cell r="E508">
            <v>1160186</v>
          </cell>
          <cell r="F508">
            <v>29104505</v>
          </cell>
          <cell r="G508" t="str">
            <v>24/10/2025</v>
          </cell>
          <cell r="H508">
            <v>3695</v>
          </cell>
        </row>
        <row r="509">
          <cell r="E509">
            <v>1160380</v>
          </cell>
          <cell r="F509">
            <v>29098165</v>
          </cell>
          <cell r="G509" t="str">
            <v>16/05/2025</v>
          </cell>
          <cell r="H509">
            <v>6545</v>
          </cell>
        </row>
        <row r="510">
          <cell r="E510">
            <v>1160445</v>
          </cell>
          <cell r="F510">
            <v>29101719</v>
          </cell>
          <cell r="G510" t="str">
            <v>16/05/2025</v>
          </cell>
          <cell r="H510">
            <v>10285</v>
          </cell>
        </row>
        <row r="511">
          <cell r="E511">
            <v>1160607</v>
          </cell>
          <cell r="F511">
            <v>29093341</v>
          </cell>
          <cell r="G511" t="str">
            <v>28/05/2025</v>
          </cell>
          <cell r="H511">
            <v>6495</v>
          </cell>
        </row>
        <row r="512">
          <cell r="E512">
            <v>1160771</v>
          </cell>
          <cell r="F512">
            <v>29140633</v>
          </cell>
          <cell r="G512" t="str">
            <v>28/05/2025</v>
          </cell>
          <cell r="H512">
            <v>3775</v>
          </cell>
        </row>
        <row r="513">
          <cell r="E513">
            <v>1160828</v>
          </cell>
          <cell r="F513">
            <v>29143942</v>
          </cell>
          <cell r="G513" t="str">
            <v>16/05/2025</v>
          </cell>
          <cell r="H513">
            <v>4195</v>
          </cell>
        </row>
        <row r="514">
          <cell r="E514">
            <v>1161034</v>
          </cell>
          <cell r="F514">
            <v>29024528</v>
          </cell>
          <cell r="G514" t="str">
            <v>06/11/2025</v>
          </cell>
          <cell r="H514">
            <v>8605</v>
          </cell>
        </row>
        <row r="515">
          <cell r="E515">
            <v>1161085</v>
          </cell>
          <cell r="F515">
            <v>29024641</v>
          </cell>
          <cell r="G515" t="str">
            <v>25/06/2025</v>
          </cell>
          <cell r="H515">
            <v>9265</v>
          </cell>
        </row>
        <row r="516">
          <cell r="E516">
            <v>1161336</v>
          </cell>
          <cell r="F516">
            <v>29124484</v>
          </cell>
          <cell r="G516" t="str">
            <v>26/08/2025</v>
          </cell>
          <cell r="H516">
            <v>8875</v>
          </cell>
        </row>
        <row r="517">
          <cell r="E517">
            <v>1161638</v>
          </cell>
          <cell r="F517">
            <v>29023688</v>
          </cell>
          <cell r="G517" t="str">
            <v>26/08/2025</v>
          </cell>
          <cell r="H517">
            <v>11785</v>
          </cell>
        </row>
        <row r="518">
          <cell r="E518">
            <v>1161654</v>
          </cell>
          <cell r="F518">
            <v>29024129</v>
          </cell>
          <cell r="G518" t="str">
            <v>26/09/2025</v>
          </cell>
          <cell r="H518">
            <v>5155</v>
          </cell>
        </row>
        <row r="519">
          <cell r="E519">
            <v>1161794</v>
          </cell>
          <cell r="F519">
            <v>29079055</v>
          </cell>
          <cell r="G519" t="str">
            <v>28/05/2025</v>
          </cell>
          <cell r="H519">
            <v>6305</v>
          </cell>
        </row>
        <row r="520">
          <cell r="E520">
            <v>1162243</v>
          </cell>
          <cell r="F520">
            <v>29069580</v>
          </cell>
          <cell r="G520" t="str">
            <v>26/08/2025</v>
          </cell>
          <cell r="H520">
            <v>19645</v>
          </cell>
        </row>
        <row r="521">
          <cell r="E521">
            <v>1162480</v>
          </cell>
          <cell r="F521">
            <v>29065356</v>
          </cell>
          <cell r="G521" t="str">
            <v>16/05/2025</v>
          </cell>
          <cell r="H521">
            <v>8485</v>
          </cell>
        </row>
        <row r="522">
          <cell r="E522">
            <v>1162502</v>
          </cell>
          <cell r="F522">
            <v>29064392</v>
          </cell>
          <cell r="G522" t="str">
            <v>16/05/2025</v>
          </cell>
          <cell r="H522">
            <v>10555</v>
          </cell>
        </row>
        <row r="523">
          <cell r="E523">
            <v>1162618</v>
          </cell>
          <cell r="F523">
            <v>29067332</v>
          </cell>
          <cell r="G523" t="str">
            <v>16/05/2025</v>
          </cell>
          <cell r="H523">
            <v>5465</v>
          </cell>
        </row>
        <row r="524">
          <cell r="E524">
            <v>1162774</v>
          </cell>
          <cell r="F524">
            <v>29062632</v>
          </cell>
          <cell r="G524" t="str">
            <v>16/05/2025</v>
          </cell>
          <cell r="H524">
            <v>6315</v>
          </cell>
        </row>
        <row r="525">
          <cell r="E525">
            <v>1163088</v>
          </cell>
          <cell r="F525">
            <v>29061016</v>
          </cell>
          <cell r="G525" t="str">
            <v>16/05/2025</v>
          </cell>
          <cell r="H525">
            <v>6915</v>
          </cell>
        </row>
        <row r="526">
          <cell r="E526">
            <v>1163100</v>
          </cell>
          <cell r="F526">
            <v>29060214</v>
          </cell>
          <cell r="G526" t="str">
            <v>23/05/2025</v>
          </cell>
          <cell r="H526">
            <v>7825</v>
          </cell>
        </row>
        <row r="527">
          <cell r="E527">
            <v>1163894</v>
          </cell>
          <cell r="F527">
            <v>29097509</v>
          </cell>
          <cell r="G527" t="str">
            <v>23/05/2025</v>
          </cell>
          <cell r="H527">
            <v>5635</v>
          </cell>
        </row>
        <row r="528">
          <cell r="E528">
            <v>1163924</v>
          </cell>
          <cell r="F528">
            <v>29192277</v>
          </cell>
          <cell r="G528" t="str">
            <v>24/10/2025</v>
          </cell>
          <cell r="H528">
            <v>12815</v>
          </cell>
        </row>
        <row r="529">
          <cell r="E529">
            <v>1163967</v>
          </cell>
          <cell r="F529">
            <v>29192137</v>
          </cell>
          <cell r="G529" t="str">
            <v>16/05/2025</v>
          </cell>
          <cell r="H529">
            <v>5245</v>
          </cell>
        </row>
        <row r="530">
          <cell r="E530">
            <v>1164149</v>
          </cell>
          <cell r="F530">
            <v>29216486</v>
          </cell>
          <cell r="G530" t="str">
            <v>16/05/2025</v>
          </cell>
          <cell r="H530">
            <v>4765</v>
          </cell>
        </row>
        <row r="531">
          <cell r="E531">
            <v>1164343</v>
          </cell>
          <cell r="F531">
            <v>29083044</v>
          </cell>
          <cell r="G531" t="str">
            <v>16/05/2025</v>
          </cell>
          <cell r="H531">
            <v>3325</v>
          </cell>
        </row>
        <row r="532">
          <cell r="E532">
            <v>1164351</v>
          </cell>
          <cell r="F532">
            <v>29081440</v>
          </cell>
          <cell r="G532" t="str">
            <v>16/05/2025</v>
          </cell>
          <cell r="H532">
            <v>3565</v>
          </cell>
        </row>
        <row r="533">
          <cell r="E533">
            <v>1164491</v>
          </cell>
          <cell r="F533">
            <v>29209994</v>
          </cell>
          <cell r="G533" t="str">
            <v>16/05/2025</v>
          </cell>
          <cell r="H533">
            <v>5425</v>
          </cell>
        </row>
        <row r="534">
          <cell r="E534">
            <v>1164564</v>
          </cell>
          <cell r="F534">
            <v>29171610</v>
          </cell>
          <cell r="G534" t="str">
            <v>11/07/2025</v>
          </cell>
          <cell r="H534">
            <v>11105</v>
          </cell>
        </row>
        <row r="535">
          <cell r="E535">
            <v>1164602</v>
          </cell>
          <cell r="F535">
            <v>29055385</v>
          </cell>
          <cell r="G535" t="str">
            <v>16/05/2025</v>
          </cell>
          <cell r="H535">
            <v>16575</v>
          </cell>
        </row>
        <row r="536">
          <cell r="E536">
            <v>1164742</v>
          </cell>
          <cell r="F536">
            <v>29252555</v>
          </cell>
          <cell r="G536" t="str">
            <v>16/05/2025</v>
          </cell>
          <cell r="H536">
            <v>11125</v>
          </cell>
        </row>
        <row r="537">
          <cell r="E537">
            <v>1164890</v>
          </cell>
          <cell r="F537">
            <v>29047250</v>
          </cell>
          <cell r="G537" t="str">
            <v>16/05/2025</v>
          </cell>
          <cell r="H537">
            <v>5625</v>
          </cell>
        </row>
        <row r="538">
          <cell r="E538">
            <v>1164947</v>
          </cell>
          <cell r="F538">
            <v>29076846</v>
          </cell>
          <cell r="G538" t="str">
            <v>16/05/2025</v>
          </cell>
          <cell r="H538">
            <v>8075</v>
          </cell>
        </row>
        <row r="539">
          <cell r="E539">
            <v>1164998</v>
          </cell>
          <cell r="F539">
            <v>29047501</v>
          </cell>
          <cell r="G539" t="str">
            <v>16/05/2025</v>
          </cell>
          <cell r="H539">
            <v>8205</v>
          </cell>
        </row>
        <row r="540">
          <cell r="E540">
            <v>1165056</v>
          </cell>
          <cell r="F540">
            <v>29236606</v>
          </cell>
          <cell r="G540" t="str">
            <v>08/10/2025</v>
          </cell>
          <cell r="H540">
            <v>4775</v>
          </cell>
        </row>
        <row r="541">
          <cell r="E541">
            <v>1165277</v>
          </cell>
          <cell r="F541">
            <v>29281261</v>
          </cell>
          <cell r="G541" t="str">
            <v>16/05/2025</v>
          </cell>
          <cell r="H541">
            <v>3575</v>
          </cell>
        </row>
        <row r="542">
          <cell r="E542">
            <v>1165358</v>
          </cell>
          <cell r="F542">
            <v>29279151</v>
          </cell>
          <cell r="G542" t="str">
            <v>16/05/2025</v>
          </cell>
          <cell r="H542">
            <v>14605</v>
          </cell>
        </row>
        <row r="543">
          <cell r="E543">
            <v>1165382</v>
          </cell>
          <cell r="F543">
            <v>29000831</v>
          </cell>
          <cell r="G543" t="str">
            <v>16/05/2025</v>
          </cell>
          <cell r="H543">
            <v>4175</v>
          </cell>
        </row>
        <row r="544">
          <cell r="E544">
            <v>1165455</v>
          </cell>
          <cell r="F544">
            <v>29010438</v>
          </cell>
          <cell r="G544" t="str">
            <v>28/05/2025</v>
          </cell>
          <cell r="H544">
            <v>5395</v>
          </cell>
        </row>
        <row r="545">
          <cell r="E545">
            <v>1165706</v>
          </cell>
          <cell r="F545">
            <v>29269806</v>
          </cell>
          <cell r="G545" t="str">
            <v>25/06/2025</v>
          </cell>
          <cell r="H545">
            <v>5395</v>
          </cell>
        </row>
        <row r="546">
          <cell r="E546">
            <v>1165722</v>
          </cell>
          <cell r="F546">
            <v>29270570</v>
          </cell>
          <cell r="G546" t="str">
            <v>16/05/2025</v>
          </cell>
          <cell r="H546">
            <v>6025</v>
          </cell>
        </row>
        <row r="547">
          <cell r="E547">
            <v>1165846</v>
          </cell>
          <cell r="F547">
            <v>29125898</v>
          </cell>
          <cell r="G547" t="str">
            <v>16/05/2025</v>
          </cell>
          <cell r="H547">
            <v>6125</v>
          </cell>
        </row>
        <row r="548">
          <cell r="E548">
            <v>1166133</v>
          </cell>
          <cell r="F548">
            <v>29131383</v>
          </cell>
          <cell r="G548" t="str">
            <v>16/05/2025</v>
          </cell>
          <cell r="H548">
            <v>4885</v>
          </cell>
        </row>
        <row r="549">
          <cell r="E549">
            <v>1166222</v>
          </cell>
          <cell r="F549">
            <v>29168775</v>
          </cell>
          <cell r="G549" t="str">
            <v>16/05/2025</v>
          </cell>
          <cell r="H549">
            <v>4925</v>
          </cell>
        </row>
        <row r="550">
          <cell r="E550">
            <v>1166354</v>
          </cell>
          <cell r="F550">
            <v>29160502</v>
          </cell>
          <cell r="G550" t="str">
            <v>06/11/2025</v>
          </cell>
          <cell r="H550">
            <v>9465</v>
          </cell>
        </row>
        <row r="551">
          <cell r="E551">
            <v>1166427</v>
          </cell>
          <cell r="F551">
            <v>29365430</v>
          </cell>
          <cell r="G551" t="str">
            <v>26/09/2025</v>
          </cell>
          <cell r="H551">
            <v>4465</v>
          </cell>
        </row>
        <row r="552">
          <cell r="E552">
            <v>1166613</v>
          </cell>
          <cell r="F552">
            <v>29283230</v>
          </cell>
          <cell r="G552" t="str">
            <v>15/10/2025</v>
          </cell>
          <cell r="H552">
            <v>7425</v>
          </cell>
        </row>
        <row r="553">
          <cell r="E553">
            <v>1166621</v>
          </cell>
          <cell r="F553">
            <v>29303702</v>
          </cell>
          <cell r="G553" t="str">
            <v>26/08/2025</v>
          </cell>
          <cell r="H553">
            <v>7935</v>
          </cell>
        </row>
        <row r="554">
          <cell r="E554">
            <v>1166796</v>
          </cell>
          <cell r="F554">
            <v>29231868</v>
          </cell>
          <cell r="G554" t="str">
            <v>16/05/2025</v>
          </cell>
          <cell r="H554">
            <v>4645</v>
          </cell>
        </row>
        <row r="555">
          <cell r="E555">
            <v>1166877</v>
          </cell>
          <cell r="F555">
            <v>29234913</v>
          </cell>
          <cell r="G555" t="str">
            <v>26/08/2025</v>
          </cell>
          <cell r="H555">
            <v>4795</v>
          </cell>
        </row>
        <row r="556">
          <cell r="E556">
            <v>1167180</v>
          </cell>
          <cell r="F556">
            <v>29223016</v>
          </cell>
          <cell r="G556" t="str">
            <v>16/05/2025</v>
          </cell>
          <cell r="H556">
            <v>6475</v>
          </cell>
        </row>
        <row r="557">
          <cell r="E557">
            <v>1167709</v>
          </cell>
          <cell r="F557">
            <v>29205387</v>
          </cell>
          <cell r="G557" t="str">
            <v>15/10/2025</v>
          </cell>
          <cell r="H557">
            <v>3525</v>
          </cell>
        </row>
        <row r="558">
          <cell r="E558">
            <v>1167741</v>
          </cell>
          <cell r="F558">
            <v>29016339</v>
          </cell>
          <cell r="G558" t="str">
            <v>16/05/2025</v>
          </cell>
          <cell r="H558">
            <v>7385</v>
          </cell>
        </row>
        <row r="559">
          <cell r="E559">
            <v>1167997</v>
          </cell>
          <cell r="F559">
            <v>29219841</v>
          </cell>
          <cell r="G559" t="str">
            <v>16/05/2025</v>
          </cell>
          <cell r="H559">
            <v>4055</v>
          </cell>
        </row>
        <row r="560">
          <cell r="E560">
            <v>1168039</v>
          </cell>
          <cell r="F560">
            <v>29260256</v>
          </cell>
          <cell r="G560" t="str">
            <v>25/06/2025</v>
          </cell>
          <cell r="H560">
            <v>8365</v>
          </cell>
        </row>
        <row r="561">
          <cell r="E561">
            <v>1168110</v>
          </cell>
          <cell r="F561">
            <v>29211590</v>
          </cell>
          <cell r="G561" t="str">
            <v>16/05/2025</v>
          </cell>
          <cell r="H561">
            <v>3395</v>
          </cell>
        </row>
        <row r="562">
          <cell r="E562">
            <v>1168411</v>
          </cell>
          <cell r="F562">
            <v>29214939</v>
          </cell>
          <cell r="G562" t="str">
            <v>06/11/2025</v>
          </cell>
          <cell r="H562">
            <v>5425</v>
          </cell>
        </row>
        <row r="563">
          <cell r="E563">
            <v>1168837</v>
          </cell>
          <cell r="F563">
            <v>29182182</v>
          </cell>
          <cell r="G563" t="str">
            <v>16/05/2025</v>
          </cell>
          <cell r="H563">
            <v>2245</v>
          </cell>
        </row>
        <row r="564">
          <cell r="E564">
            <v>1169221</v>
          </cell>
          <cell r="F564">
            <v>29301882</v>
          </cell>
          <cell r="G564" t="str">
            <v>28/05/2025</v>
          </cell>
          <cell r="H564">
            <v>8465</v>
          </cell>
        </row>
        <row r="565">
          <cell r="E565">
            <v>1169558</v>
          </cell>
          <cell r="F565">
            <v>29007887</v>
          </cell>
          <cell r="G565" t="str">
            <v>16/05/2025</v>
          </cell>
          <cell r="H565">
            <v>6085</v>
          </cell>
        </row>
        <row r="566">
          <cell r="E566">
            <v>1169809</v>
          </cell>
          <cell r="F566">
            <v>29150442</v>
          </cell>
          <cell r="G566" t="str">
            <v>11/07/2025</v>
          </cell>
          <cell r="H566">
            <v>9545</v>
          </cell>
        </row>
        <row r="567">
          <cell r="E567">
            <v>1170157</v>
          </cell>
          <cell r="F567">
            <v>29323800</v>
          </cell>
          <cell r="G567" t="str">
            <v>16/05/2025</v>
          </cell>
          <cell r="H567">
            <v>5095</v>
          </cell>
        </row>
        <row r="568">
          <cell r="E568">
            <v>1170181</v>
          </cell>
          <cell r="F568">
            <v>29320623</v>
          </cell>
          <cell r="G568" t="str">
            <v>28/05/2025</v>
          </cell>
          <cell r="H568">
            <v>11255</v>
          </cell>
        </row>
        <row r="569">
          <cell r="E569">
            <v>1170360</v>
          </cell>
          <cell r="F569">
            <v>29215382</v>
          </cell>
          <cell r="G569" t="str">
            <v>24/10/2025</v>
          </cell>
          <cell r="H569">
            <v>6895</v>
          </cell>
        </row>
        <row r="570">
          <cell r="E570">
            <v>1170866</v>
          </cell>
          <cell r="F570">
            <v>29243882</v>
          </cell>
          <cell r="G570" t="str">
            <v>16/05/2025</v>
          </cell>
          <cell r="H570">
            <v>6405</v>
          </cell>
        </row>
        <row r="571">
          <cell r="E571">
            <v>1170912</v>
          </cell>
          <cell r="F571">
            <v>29313171</v>
          </cell>
          <cell r="G571" t="str">
            <v>16/05/2025</v>
          </cell>
          <cell r="H571">
            <v>2995</v>
          </cell>
        </row>
        <row r="572">
          <cell r="E572">
            <v>1171196</v>
          </cell>
          <cell r="F572">
            <v>29115396</v>
          </cell>
          <cell r="G572" t="str">
            <v>16/05/2025</v>
          </cell>
          <cell r="H572">
            <v>5075</v>
          </cell>
        </row>
        <row r="573">
          <cell r="E573">
            <v>1171390</v>
          </cell>
          <cell r="F573">
            <v>29379423</v>
          </cell>
          <cell r="G573" t="str">
            <v>16/05/2025</v>
          </cell>
          <cell r="H573">
            <v>15035</v>
          </cell>
        </row>
        <row r="574">
          <cell r="E574">
            <v>1172419</v>
          </cell>
          <cell r="F574">
            <v>29075874</v>
          </cell>
          <cell r="G574" t="str">
            <v>16/05/2025</v>
          </cell>
          <cell r="H574">
            <v>8935</v>
          </cell>
        </row>
        <row r="575">
          <cell r="E575">
            <v>1173130</v>
          </cell>
          <cell r="F575">
            <v>29237645</v>
          </cell>
          <cell r="G575" t="str">
            <v>06/11/2025</v>
          </cell>
          <cell r="H575">
            <v>16625</v>
          </cell>
        </row>
        <row r="576">
          <cell r="E576">
            <v>1173946</v>
          </cell>
          <cell r="F576">
            <v>29182131</v>
          </cell>
          <cell r="G576" t="str">
            <v>16/05/2025</v>
          </cell>
          <cell r="H576">
            <v>6635</v>
          </cell>
        </row>
        <row r="577">
          <cell r="E577">
            <v>1174292</v>
          </cell>
          <cell r="F577">
            <v>29034965</v>
          </cell>
          <cell r="G577" t="str">
            <v>25/06/2025</v>
          </cell>
          <cell r="H577">
            <v>8505</v>
          </cell>
        </row>
        <row r="578">
          <cell r="E578">
            <v>1174713</v>
          </cell>
          <cell r="F578">
            <v>29191211</v>
          </cell>
          <cell r="G578" t="str">
            <v>26/08/2025</v>
          </cell>
          <cell r="H578">
            <v>11275</v>
          </cell>
        </row>
        <row r="579">
          <cell r="E579">
            <v>1174721</v>
          </cell>
          <cell r="F579">
            <v>29195462</v>
          </cell>
          <cell r="G579" t="str">
            <v>25/06/2025</v>
          </cell>
          <cell r="H579">
            <v>2925</v>
          </cell>
        </row>
        <row r="580">
          <cell r="E580">
            <v>1174772</v>
          </cell>
          <cell r="F580">
            <v>29192080</v>
          </cell>
          <cell r="G580" t="str">
            <v>24/10/2025</v>
          </cell>
          <cell r="H580">
            <v>10915</v>
          </cell>
        </row>
        <row r="581">
          <cell r="E581">
            <v>1175280</v>
          </cell>
          <cell r="F581">
            <v>29192307</v>
          </cell>
          <cell r="G581" t="str">
            <v>26/09/2025</v>
          </cell>
          <cell r="H581">
            <v>7555</v>
          </cell>
        </row>
        <row r="582">
          <cell r="E582">
            <v>1176059</v>
          </cell>
          <cell r="F582">
            <v>29047455</v>
          </cell>
          <cell r="G582" t="str">
            <v>16/05/2025</v>
          </cell>
          <cell r="H582">
            <v>5075</v>
          </cell>
        </row>
        <row r="583">
          <cell r="E583">
            <v>1176068</v>
          </cell>
          <cell r="F583">
            <v>29093473</v>
          </cell>
          <cell r="G583" t="str">
            <v>25/06/2025</v>
          </cell>
          <cell r="H583">
            <v>6715</v>
          </cell>
        </row>
        <row r="584">
          <cell r="E584">
            <v>1176069</v>
          </cell>
          <cell r="F584">
            <v>29088623</v>
          </cell>
          <cell r="G584" t="str">
            <v>06/11/2025</v>
          </cell>
          <cell r="H584">
            <v>4365</v>
          </cell>
        </row>
        <row r="585">
          <cell r="E585">
            <v>1176071</v>
          </cell>
          <cell r="F585">
            <v>29192331</v>
          </cell>
          <cell r="G585" t="str">
            <v>26/09/2025</v>
          </cell>
          <cell r="H585">
            <v>12035</v>
          </cell>
        </row>
        <row r="586">
          <cell r="E586">
            <v>1176072</v>
          </cell>
          <cell r="F586">
            <v>29201632</v>
          </cell>
          <cell r="G586" t="str">
            <v>25/06/2025</v>
          </cell>
          <cell r="H586">
            <v>7535</v>
          </cell>
        </row>
        <row r="587">
          <cell r="E587">
            <v>1176073</v>
          </cell>
          <cell r="F587">
            <v>29160227</v>
          </cell>
          <cell r="G587" t="str">
            <v>06/11/2025</v>
          </cell>
          <cell r="H587">
            <v>9455</v>
          </cell>
        </row>
        <row r="588">
          <cell r="E588">
            <v>1176074</v>
          </cell>
          <cell r="F588">
            <v>29185408</v>
          </cell>
          <cell r="G588" t="str">
            <v>16/05/2025</v>
          </cell>
          <cell r="H588">
            <v>7945</v>
          </cell>
        </row>
        <row r="589">
          <cell r="E589">
            <v>1176079</v>
          </cell>
          <cell r="F589">
            <v>29192188</v>
          </cell>
          <cell r="G589" t="str">
            <v>15/10/2025</v>
          </cell>
          <cell r="H589">
            <v>4225</v>
          </cell>
        </row>
        <row r="590">
          <cell r="E590">
            <v>1176080</v>
          </cell>
          <cell r="F590">
            <v>29182115</v>
          </cell>
          <cell r="G590" t="str">
            <v>16/05/2025</v>
          </cell>
          <cell r="H590">
            <v>8175</v>
          </cell>
        </row>
        <row r="591">
          <cell r="E591">
            <v>1176081</v>
          </cell>
          <cell r="F591">
            <v>29305390</v>
          </cell>
          <cell r="G591" t="str">
            <v>29/07/2025</v>
          </cell>
          <cell r="H591">
            <v>9645</v>
          </cell>
        </row>
        <row r="592">
          <cell r="E592">
            <v>1176091</v>
          </cell>
          <cell r="F592">
            <v>29025117</v>
          </cell>
          <cell r="G592" t="str">
            <v>16/05/2025</v>
          </cell>
          <cell r="H592">
            <v>9535</v>
          </cell>
        </row>
        <row r="593">
          <cell r="E593">
            <v>1176092</v>
          </cell>
          <cell r="F593">
            <v>29150450</v>
          </cell>
          <cell r="G593" t="str">
            <v>16/05/2025</v>
          </cell>
          <cell r="H593">
            <v>12515</v>
          </cell>
        </row>
        <row r="594">
          <cell r="E594">
            <v>1176093</v>
          </cell>
          <cell r="F594">
            <v>29227690</v>
          </cell>
          <cell r="G594" t="str">
            <v>26/09/2025</v>
          </cell>
          <cell r="H594">
            <v>12905</v>
          </cell>
        </row>
        <row r="595">
          <cell r="E595">
            <v>1176094</v>
          </cell>
          <cell r="F595">
            <v>29336627</v>
          </cell>
          <cell r="G595" t="str">
            <v>26/08/2025</v>
          </cell>
          <cell r="H595">
            <v>13945</v>
          </cell>
        </row>
        <row r="596">
          <cell r="E596">
            <v>1176095</v>
          </cell>
          <cell r="F596">
            <v>29336473</v>
          </cell>
          <cell r="G596" t="str">
            <v>16/05/2025</v>
          </cell>
          <cell r="H596">
            <v>10945</v>
          </cell>
        </row>
        <row r="597">
          <cell r="E597">
            <v>1176096</v>
          </cell>
          <cell r="F597">
            <v>29336708</v>
          </cell>
          <cell r="G597" t="str">
            <v>16/05/2025</v>
          </cell>
          <cell r="H597">
            <v>18185</v>
          </cell>
        </row>
        <row r="598">
          <cell r="E598">
            <v>1176100</v>
          </cell>
          <cell r="F598">
            <v>29344247</v>
          </cell>
          <cell r="G598" t="str">
            <v>28/05/2025</v>
          </cell>
          <cell r="H598">
            <v>11505</v>
          </cell>
        </row>
        <row r="599">
          <cell r="E599">
            <v>1176109</v>
          </cell>
          <cell r="F599">
            <v>29343160</v>
          </cell>
          <cell r="G599" t="str">
            <v>16/05/2025</v>
          </cell>
          <cell r="H599">
            <v>9095</v>
          </cell>
        </row>
        <row r="600">
          <cell r="E600">
            <v>1176123</v>
          </cell>
          <cell r="F600">
            <v>29340330</v>
          </cell>
          <cell r="G600" t="str">
            <v>28/05/2025</v>
          </cell>
          <cell r="H600">
            <v>5945</v>
          </cell>
        </row>
        <row r="601">
          <cell r="E601">
            <v>1176125</v>
          </cell>
          <cell r="F601">
            <v>29354943</v>
          </cell>
          <cell r="G601" t="str">
            <v>16/05/2025</v>
          </cell>
          <cell r="H601">
            <v>5945</v>
          </cell>
        </row>
        <row r="602">
          <cell r="E602">
            <v>1176129</v>
          </cell>
          <cell r="F602">
            <v>29336082</v>
          </cell>
          <cell r="G602" t="str">
            <v>16/05/2025</v>
          </cell>
          <cell r="H602">
            <v>4795</v>
          </cell>
        </row>
        <row r="603">
          <cell r="E603">
            <v>1176142</v>
          </cell>
          <cell r="F603">
            <v>29330041</v>
          </cell>
          <cell r="G603" t="str">
            <v>16/05/2025</v>
          </cell>
          <cell r="H603">
            <v>3825</v>
          </cell>
        </row>
        <row r="604">
          <cell r="E604">
            <v>1176143</v>
          </cell>
          <cell r="F604">
            <v>29332230</v>
          </cell>
          <cell r="G604" t="str">
            <v>16/05/2025</v>
          </cell>
          <cell r="H604">
            <v>10325</v>
          </cell>
        </row>
        <row r="605">
          <cell r="E605">
            <v>1176160</v>
          </cell>
          <cell r="F605">
            <v>29335132</v>
          </cell>
          <cell r="G605" t="str">
            <v>16/05/2025</v>
          </cell>
          <cell r="H605">
            <v>5795</v>
          </cell>
        </row>
        <row r="606">
          <cell r="E606">
            <v>1176177</v>
          </cell>
          <cell r="F606">
            <v>29332400</v>
          </cell>
          <cell r="G606" t="str">
            <v>06/11/2025</v>
          </cell>
          <cell r="H606">
            <v>3635</v>
          </cell>
        </row>
        <row r="607">
          <cell r="E607">
            <v>1176189</v>
          </cell>
          <cell r="F607">
            <v>29185300</v>
          </cell>
          <cell r="G607" t="str">
            <v>29/07/2025</v>
          </cell>
          <cell r="H607">
            <v>15235</v>
          </cell>
        </row>
        <row r="608">
          <cell r="E608">
            <v>1176197</v>
          </cell>
          <cell r="F608">
            <v>29263972</v>
          </cell>
          <cell r="G608" t="str">
            <v>16/05/2025</v>
          </cell>
          <cell r="H608">
            <v>2985</v>
          </cell>
        </row>
        <row r="609">
          <cell r="E609">
            <v>1176202</v>
          </cell>
          <cell r="F609">
            <v>29357624</v>
          </cell>
          <cell r="G609" t="str">
            <v>16/05/2025</v>
          </cell>
          <cell r="H609">
            <v>3205</v>
          </cell>
        </row>
        <row r="610">
          <cell r="E610">
            <v>1176205</v>
          </cell>
          <cell r="F610">
            <v>29359597</v>
          </cell>
          <cell r="G610" t="str">
            <v>16/05/2025</v>
          </cell>
          <cell r="H610">
            <v>7565</v>
          </cell>
        </row>
        <row r="611">
          <cell r="E611">
            <v>1176206</v>
          </cell>
          <cell r="F611">
            <v>29357829</v>
          </cell>
          <cell r="G611" t="str">
            <v>16/05/2025</v>
          </cell>
          <cell r="H611">
            <v>3455</v>
          </cell>
        </row>
        <row r="612">
          <cell r="E612">
            <v>1176210</v>
          </cell>
          <cell r="F612">
            <v>29360960</v>
          </cell>
          <cell r="G612" t="str">
            <v>06/11/2025</v>
          </cell>
          <cell r="H612">
            <v>4365</v>
          </cell>
        </row>
        <row r="613">
          <cell r="E613">
            <v>1176217</v>
          </cell>
          <cell r="F613">
            <v>29368219</v>
          </cell>
          <cell r="G613" t="str">
            <v>16/05/2025</v>
          </cell>
          <cell r="H613">
            <v>16385</v>
          </cell>
        </row>
        <row r="614">
          <cell r="E614">
            <v>1176218</v>
          </cell>
          <cell r="F614">
            <v>29327695</v>
          </cell>
          <cell r="G614" t="str">
            <v>16/05/2025</v>
          </cell>
          <cell r="H614">
            <v>5835</v>
          </cell>
        </row>
        <row r="615">
          <cell r="E615">
            <v>1176364</v>
          </cell>
          <cell r="F615">
            <v>29359635</v>
          </cell>
          <cell r="G615" t="str">
            <v>25/06/2025</v>
          </cell>
          <cell r="H615">
            <v>14705</v>
          </cell>
        </row>
        <row r="616">
          <cell r="E616">
            <v>1176366</v>
          </cell>
          <cell r="F616">
            <v>29340080</v>
          </cell>
          <cell r="G616" t="str">
            <v>25/06/2025</v>
          </cell>
          <cell r="H616">
            <v>3895</v>
          </cell>
        </row>
        <row r="617">
          <cell r="E617">
            <v>1176377</v>
          </cell>
          <cell r="F617">
            <v>29357861</v>
          </cell>
          <cell r="G617" t="str">
            <v>29/07/2025</v>
          </cell>
          <cell r="H617">
            <v>8945</v>
          </cell>
        </row>
        <row r="618">
          <cell r="E618">
            <v>1176379</v>
          </cell>
          <cell r="F618">
            <v>29359805</v>
          </cell>
          <cell r="G618" t="str">
            <v>16/05/2025</v>
          </cell>
          <cell r="H618">
            <v>6845</v>
          </cell>
        </row>
        <row r="619">
          <cell r="E619">
            <v>1176389</v>
          </cell>
          <cell r="F619">
            <v>29437377</v>
          </cell>
          <cell r="G619" t="str">
            <v>16/05/2025</v>
          </cell>
          <cell r="H619">
            <v>13165</v>
          </cell>
        </row>
        <row r="620">
          <cell r="E620">
            <v>1176390</v>
          </cell>
          <cell r="F620">
            <v>29358140</v>
          </cell>
          <cell r="G620" t="str">
            <v>26/09/2025</v>
          </cell>
          <cell r="H620">
            <v>5155</v>
          </cell>
        </row>
        <row r="621">
          <cell r="E621">
            <v>1176391</v>
          </cell>
          <cell r="F621">
            <v>29357896</v>
          </cell>
          <cell r="G621" t="str">
            <v>06/11/2025</v>
          </cell>
          <cell r="H621">
            <v>9775</v>
          </cell>
        </row>
        <row r="622">
          <cell r="E622">
            <v>1176392</v>
          </cell>
          <cell r="F622">
            <v>29374677</v>
          </cell>
          <cell r="G622" t="str">
            <v>08/10/2025</v>
          </cell>
          <cell r="H622">
            <v>4915</v>
          </cell>
        </row>
        <row r="623">
          <cell r="E623">
            <v>1176394</v>
          </cell>
          <cell r="F623">
            <v>29351502</v>
          </cell>
          <cell r="G623" t="str">
            <v>25/06/2025</v>
          </cell>
          <cell r="H623">
            <v>5285</v>
          </cell>
        </row>
        <row r="624">
          <cell r="E624">
            <v>1176399</v>
          </cell>
          <cell r="F624">
            <v>29369053</v>
          </cell>
          <cell r="G624" t="str">
            <v>26/09/2025</v>
          </cell>
          <cell r="H624">
            <v>5285</v>
          </cell>
        </row>
        <row r="625">
          <cell r="E625">
            <v>1176410</v>
          </cell>
          <cell r="F625">
            <v>29383234</v>
          </cell>
          <cell r="G625" t="str">
            <v>26/09/2025</v>
          </cell>
          <cell r="H625">
            <v>8045</v>
          </cell>
        </row>
        <row r="626">
          <cell r="E626">
            <v>1176422</v>
          </cell>
          <cell r="F626">
            <v>29392861</v>
          </cell>
          <cell r="G626" t="str">
            <v>23/05/2025</v>
          </cell>
          <cell r="H626">
            <v>11235</v>
          </cell>
        </row>
        <row r="627">
          <cell r="E627">
            <v>1176423</v>
          </cell>
          <cell r="F627">
            <v>29387736</v>
          </cell>
          <cell r="G627" t="str">
            <v>06/11/2025</v>
          </cell>
          <cell r="H627">
            <v>13125</v>
          </cell>
        </row>
        <row r="628">
          <cell r="E628">
            <v>1176424</v>
          </cell>
          <cell r="F628">
            <v>29386284</v>
          </cell>
          <cell r="G628" t="str">
            <v>25/06/2025</v>
          </cell>
          <cell r="H628">
            <v>5225</v>
          </cell>
        </row>
        <row r="629">
          <cell r="E629">
            <v>1176425</v>
          </cell>
          <cell r="F629">
            <v>29389631</v>
          </cell>
          <cell r="G629" t="str">
            <v>16/05/2025</v>
          </cell>
          <cell r="H629">
            <v>7855</v>
          </cell>
        </row>
        <row r="630">
          <cell r="E630">
            <v>1176426</v>
          </cell>
          <cell r="F630">
            <v>29389976</v>
          </cell>
          <cell r="G630" t="str">
            <v>16/05/2025</v>
          </cell>
          <cell r="H630">
            <v>8825</v>
          </cell>
        </row>
        <row r="631">
          <cell r="E631">
            <v>1176427</v>
          </cell>
          <cell r="F631">
            <v>29394341</v>
          </cell>
          <cell r="G631" t="str">
            <v>16/05/2025</v>
          </cell>
          <cell r="H631">
            <v>12275</v>
          </cell>
        </row>
        <row r="632">
          <cell r="E632">
            <v>1176428</v>
          </cell>
          <cell r="F632">
            <v>29390737</v>
          </cell>
          <cell r="G632" t="str">
            <v>06/11/2025</v>
          </cell>
          <cell r="H632">
            <v>12895</v>
          </cell>
        </row>
        <row r="633">
          <cell r="E633">
            <v>1176430</v>
          </cell>
          <cell r="F633">
            <v>29392365</v>
          </cell>
          <cell r="G633" t="str">
            <v>16/05/2025</v>
          </cell>
          <cell r="H633">
            <v>11675</v>
          </cell>
        </row>
        <row r="634">
          <cell r="E634">
            <v>1176431</v>
          </cell>
          <cell r="F634">
            <v>29403230</v>
          </cell>
          <cell r="G634" t="str">
            <v>16/05/2025</v>
          </cell>
          <cell r="H634">
            <v>11185</v>
          </cell>
        </row>
        <row r="635">
          <cell r="E635">
            <v>1176432</v>
          </cell>
          <cell r="F635">
            <v>29395321</v>
          </cell>
          <cell r="G635" t="str">
            <v>16/05/2025</v>
          </cell>
          <cell r="H635">
            <v>8125</v>
          </cell>
        </row>
        <row r="636">
          <cell r="E636">
            <v>1176433</v>
          </cell>
          <cell r="F636">
            <v>29390532</v>
          </cell>
          <cell r="G636" t="str">
            <v>26/08/2025</v>
          </cell>
          <cell r="H636">
            <v>7215</v>
          </cell>
        </row>
        <row r="637">
          <cell r="E637">
            <v>1176434</v>
          </cell>
          <cell r="F637">
            <v>29391512</v>
          </cell>
          <cell r="G637" t="str">
            <v>24/10/2025</v>
          </cell>
          <cell r="H637">
            <v>4855</v>
          </cell>
        </row>
        <row r="638">
          <cell r="E638">
            <v>1176435</v>
          </cell>
          <cell r="F638">
            <v>29402830</v>
          </cell>
          <cell r="G638" t="str">
            <v>25/06/2025</v>
          </cell>
          <cell r="H638">
            <v>7635</v>
          </cell>
        </row>
        <row r="639">
          <cell r="E639">
            <v>1176437</v>
          </cell>
          <cell r="F639">
            <v>29385334</v>
          </cell>
          <cell r="G639" t="str">
            <v>16/05/2025</v>
          </cell>
          <cell r="H639">
            <v>12555</v>
          </cell>
        </row>
        <row r="640">
          <cell r="E640">
            <v>1176438</v>
          </cell>
          <cell r="F640">
            <v>29394414</v>
          </cell>
          <cell r="G640" t="str">
            <v>16/05/2025</v>
          </cell>
          <cell r="H640">
            <v>12255</v>
          </cell>
        </row>
        <row r="641">
          <cell r="E641">
            <v>1176443</v>
          </cell>
          <cell r="F641">
            <v>29384400</v>
          </cell>
          <cell r="G641" t="str">
            <v>15/10/2025</v>
          </cell>
          <cell r="H641">
            <v>7355</v>
          </cell>
        </row>
        <row r="642">
          <cell r="E642">
            <v>1176448</v>
          </cell>
          <cell r="F642">
            <v>29387728</v>
          </cell>
          <cell r="G642" t="str">
            <v>16/05/2025</v>
          </cell>
          <cell r="H642">
            <v>4565</v>
          </cell>
        </row>
        <row r="643">
          <cell r="E643">
            <v>1176455</v>
          </cell>
          <cell r="F643">
            <v>29390109</v>
          </cell>
          <cell r="G643" t="str">
            <v>28/05/2025</v>
          </cell>
          <cell r="H643">
            <v>8575</v>
          </cell>
        </row>
        <row r="644">
          <cell r="E644">
            <v>1176457</v>
          </cell>
          <cell r="F644">
            <v>29390869</v>
          </cell>
          <cell r="G644" t="str">
            <v>16/05/2025</v>
          </cell>
          <cell r="H644">
            <v>5295</v>
          </cell>
        </row>
        <row r="645">
          <cell r="E645">
            <v>1176458</v>
          </cell>
          <cell r="F645">
            <v>29384389</v>
          </cell>
          <cell r="G645" t="str">
            <v>24/10/2025</v>
          </cell>
          <cell r="H645">
            <v>5535</v>
          </cell>
        </row>
        <row r="646">
          <cell r="E646">
            <v>1176461</v>
          </cell>
          <cell r="F646">
            <v>29391253</v>
          </cell>
          <cell r="G646" t="str">
            <v>26/09/2025</v>
          </cell>
          <cell r="H646">
            <v>5705</v>
          </cell>
        </row>
        <row r="647">
          <cell r="E647">
            <v>1176464</v>
          </cell>
          <cell r="F647">
            <v>29391466</v>
          </cell>
          <cell r="G647" t="str">
            <v>28/05/2025</v>
          </cell>
          <cell r="H647">
            <v>7815</v>
          </cell>
        </row>
        <row r="648">
          <cell r="E648">
            <v>1176465</v>
          </cell>
          <cell r="F648">
            <v>29395712</v>
          </cell>
          <cell r="G648" t="str">
            <v>26/08/2025</v>
          </cell>
          <cell r="H648">
            <v>5275</v>
          </cell>
        </row>
        <row r="649">
          <cell r="E649">
            <v>1176466</v>
          </cell>
          <cell r="F649">
            <v>29385253</v>
          </cell>
          <cell r="G649" t="str">
            <v>06/11/2025</v>
          </cell>
          <cell r="H649">
            <v>8375</v>
          </cell>
        </row>
        <row r="650">
          <cell r="E650">
            <v>1176467</v>
          </cell>
          <cell r="F650">
            <v>29400220</v>
          </cell>
          <cell r="G650" t="str">
            <v>06/11/2025</v>
          </cell>
          <cell r="H650">
            <v>10375</v>
          </cell>
        </row>
        <row r="651">
          <cell r="E651">
            <v>1176610</v>
          </cell>
          <cell r="F651">
            <v>29404266</v>
          </cell>
          <cell r="G651" t="str">
            <v>16/05/2025</v>
          </cell>
          <cell r="H651">
            <v>7825</v>
          </cell>
        </row>
        <row r="652">
          <cell r="E652">
            <v>1176611</v>
          </cell>
          <cell r="F652">
            <v>29447348</v>
          </cell>
          <cell r="G652" t="str">
            <v>29/05/2025</v>
          </cell>
          <cell r="H652">
            <v>11745</v>
          </cell>
        </row>
        <row r="653">
          <cell r="E653">
            <v>1176660</v>
          </cell>
          <cell r="F653">
            <v>29404274</v>
          </cell>
          <cell r="G653" t="str">
            <v>25/06/2025</v>
          </cell>
          <cell r="H653">
            <v>19165</v>
          </cell>
        </row>
        <row r="654">
          <cell r="E654">
            <v>1176661</v>
          </cell>
          <cell r="F654">
            <v>29404290</v>
          </cell>
          <cell r="G654" t="str">
            <v>11/07/2025</v>
          </cell>
          <cell r="H654">
            <v>5325</v>
          </cell>
        </row>
        <row r="655">
          <cell r="E655">
            <v>1176664</v>
          </cell>
          <cell r="F655">
            <v>29408172</v>
          </cell>
          <cell r="G655" t="str">
            <v>16/05/2025</v>
          </cell>
          <cell r="H655">
            <v>5255</v>
          </cell>
        </row>
        <row r="656">
          <cell r="E656">
            <v>1176675</v>
          </cell>
          <cell r="F656">
            <v>29406889</v>
          </cell>
          <cell r="G656" t="str">
            <v>26/09/2025</v>
          </cell>
          <cell r="H656">
            <v>4325</v>
          </cell>
        </row>
        <row r="657">
          <cell r="E657">
            <v>1176700</v>
          </cell>
          <cell r="F657">
            <v>29419468</v>
          </cell>
          <cell r="G657" t="str">
            <v>16/05/2025</v>
          </cell>
          <cell r="H657">
            <v>9275</v>
          </cell>
        </row>
        <row r="658">
          <cell r="E658">
            <v>1176765</v>
          </cell>
          <cell r="F658">
            <v>29404240</v>
          </cell>
          <cell r="G658" t="str">
            <v>24/10/2025</v>
          </cell>
          <cell r="H658">
            <v>8295</v>
          </cell>
        </row>
        <row r="659">
          <cell r="E659">
            <v>1176795</v>
          </cell>
          <cell r="F659">
            <v>29404282</v>
          </cell>
          <cell r="G659" t="str">
            <v>11/07/2025</v>
          </cell>
          <cell r="H659">
            <v>14175</v>
          </cell>
        </row>
        <row r="660">
          <cell r="E660">
            <v>1176800</v>
          </cell>
          <cell r="F660">
            <v>29404312</v>
          </cell>
          <cell r="G660" t="str">
            <v>06/11/2025</v>
          </cell>
          <cell r="H660">
            <v>4765</v>
          </cell>
        </row>
        <row r="661">
          <cell r="E661">
            <v>1176810</v>
          </cell>
          <cell r="F661">
            <v>29411491</v>
          </cell>
          <cell r="G661" t="str">
            <v>25/06/2025</v>
          </cell>
          <cell r="H661">
            <v>16925</v>
          </cell>
        </row>
        <row r="662">
          <cell r="E662">
            <v>1176868</v>
          </cell>
          <cell r="F662">
            <v>29116422</v>
          </cell>
          <cell r="G662" t="str">
            <v>26/09/2025</v>
          </cell>
          <cell r="H662">
            <v>11375</v>
          </cell>
        </row>
        <row r="663">
          <cell r="E663">
            <v>1176880</v>
          </cell>
          <cell r="F663">
            <v>29404339</v>
          </cell>
          <cell r="G663" t="str">
            <v>29/07/2025</v>
          </cell>
          <cell r="H663">
            <v>12955</v>
          </cell>
        </row>
        <row r="664">
          <cell r="E664">
            <v>1177004</v>
          </cell>
          <cell r="F664">
            <v>29406668</v>
          </cell>
          <cell r="G664" t="str">
            <v>16/05/2025</v>
          </cell>
          <cell r="H664">
            <v>5185</v>
          </cell>
        </row>
        <row r="665">
          <cell r="E665">
            <v>1177006</v>
          </cell>
          <cell r="F665">
            <v>29407834</v>
          </cell>
          <cell r="G665" t="str">
            <v>16/05/2025</v>
          </cell>
          <cell r="H665">
            <v>12315</v>
          </cell>
        </row>
        <row r="666">
          <cell r="E666">
            <v>1177009</v>
          </cell>
          <cell r="F666">
            <v>29404460</v>
          </cell>
          <cell r="G666" t="str">
            <v>29/07/2025</v>
          </cell>
          <cell r="H666">
            <v>8885</v>
          </cell>
        </row>
        <row r="667">
          <cell r="E667">
            <v>1177011</v>
          </cell>
          <cell r="F667">
            <v>29407044</v>
          </cell>
          <cell r="G667" t="str">
            <v>06/11/2025</v>
          </cell>
          <cell r="H667">
            <v>7255</v>
          </cell>
        </row>
        <row r="668">
          <cell r="E668">
            <v>1177069</v>
          </cell>
          <cell r="F668">
            <v>29410452</v>
          </cell>
          <cell r="G668" t="str">
            <v>28/05/2025</v>
          </cell>
          <cell r="H668">
            <v>9195</v>
          </cell>
        </row>
        <row r="669">
          <cell r="E669">
            <v>1177070</v>
          </cell>
          <cell r="F669">
            <v>29410975</v>
          </cell>
          <cell r="G669" t="str">
            <v>26/09/2025</v>
          </cell>
          <cell r="H669">
            <v>3785</v>
          </cell>
        </row>
        <row r="670">
          <cell r="E670">
            <v>1177071</v>
          </cell>
          <cell r="F670">
            <v>29409535</v>
          </cell>
          <cell r="G670" t="str">
            <v>16/05/2025</v>
          </cell>
          <cell r="H670">
            <v>4225</v>
          </cell>
        </row>
        <row r="671">
          <cell r="E671">
            <v>1177073</v>
          </cell>
          <cell r="F671">
            <v>29411947</v>
          </cell>
          <cell r="G671" t="str">
            <v>24/10/2025</v>
          </cell>
          <cell r="H671">
            <v>15275</v>
          </cell>
        </row>
        <row r="672">
          <cell r="E672">
            <v>1177089</v>
          </cell>
          <cell r="F672">
            <v>29417163</v>
          </cell>
          <cell r="G672" t="str">
            <v>25/06/2025</v>
          </cell>
          <cell r="H672">
            <v>10995</v>
          </cell>
        </row>
        <row r="673">
          <cell r="E673">
            <v>1177090</v>
          </cell>
          <cell r="F673">
            <v>29413680</v>
          </cell>
          <cell r="G673" t="str">
            <v>16/05/2025</v>
          </cell>
          <cell r="H673">
            <v>19155</v>
          </cell>
        </row>
        <row r="674">
          <cell r="E674">
            <v>1177091</v>
          </cell>
          <cell r="F674">
            <v>29424020</v>
          </cell>
          <cell r="G674" t="str">
            <v>16/05/2025</v>
          </cell>
          <cell r="H674">
            <v>10065</v>
          </cell>
        </row>
        <row r="675">
          <cell r="E675">
            <v>1177092</v>
          </cell>
          <cell r="F675">
            <v>29416604</v>
          </cell>
          <cell r="G675" t="str">
            <v>26/08/2025</v>
          </cell>
          <cell r="H675">
            <v>9995</v>
          </cell>
        </row>
        <row r="676">
          <cell r="E676">
            <v>1177093</v>
          </cell>
          <cell r="F676">
            <v>29422345</v>
          </cell>
          <cell r="G676" t="str">
            <v>28/05/2025</v>
          </cell>
          <cell r="H676">
            <v>21195</v>
          </cell>
        </row>
        <row r="677">
          <cell r="E677">
            <v>1177094</v>
          </cell>
          <cell r="F677">
            <v>29414903</v>
          </cell>
          <cell r="G677" t="str">
            <v>26/08/2025</v>
          </cell>
          <cell r="H677">
            <v>4505</v>
          </cell>
        </row>
        <row r="678">
          <cell r="E678">
            <v>1177099</v>
          </cell>
          <cell r="F678">
            <v>29415969</v>
          </cell>
          <cell r="G678" t="str">
            <v>06/11/2025</v>
          </cell>
          <cell r="H678">
            <v>8165</v>
          </cell>
        </row>
        <row r="679">
          <cell r="E679">
            <v>1177101</v>
          </cell>
          <cell r="F679">
            <v>29422167</v>
          </cell>
          <cell r="G679" t="str">
            <v>16/05/2025</v>
          </cell>
          <cell r="H679">
            <v>5635</v>
          </cell>
        </row>
        <row r="680">
          <cell r="E680">
            <v>1177102</v>
          </cell>
          <cell r="F680">
            <v>29427550</v>
          </cell>
          <cell r="G680" t="str">
            <v>16/05/2025</v>
          </cell>
          <cell r="H680">
            <v>13155</v>
          </cell>
        </row>
        <row r="681">
          <cell r="E681">
            <v>1178001</v>
          </cell>
          <cell r="F681">
            <v>29417287</v>
          </cell>
          <cell r="G681" t="str">
            <v>16/05/2025</v>
          </cell>
          <cell r="H681">
            <v>7475</v>
          </cell>
        </row>
        <row r="682">
          <cell r="E682">
            <v>1178003</v>
          </cell>
          <cell r="F682">
            <v>29418690</v>
          </cell>
          <cell r="G682" t="str">
            <v>16/05/2025</v>
          </cell>
          <cell r="H682">
            <v>7065</v>
          </cell>
        </row>
        <row r="683">
          <cell r="E683">
            <v>1178006</v>
          </cell>
          <cell r="F683">
            <v>29423708</v>
          </cell>
          <cell r="G683" t="str">
            <v>16/05/2025</v>
          </cell>
          <cell r="H683">
            <v>5355</v>
          </cell>
        </row>
        <row r="684">
          <cell r="E684">
            <v>1178009</v>
          </cell>
          <cell r="F684">
            <v>29425395</v>
          </cell>
          <cell r="G684" t="str">
            <v>16/05/2025</v>
          </cell>
          <cell r="H684">
            <v>16985</v>
          </cell>
        </row>
        <row r="685">
          <cell r="E685">
            <v>1178010</v>
          </cell>
          <cell r="F685">
            <v>29423503</v>
          </cell>
          <cell r="G685" t="str">
            <v>26/08/2025</v>
          </cell>
          <cell r="H685">
            <v>5495</v>
          </cell>
        </row>
        <row r="686">
          <cell r="E686">
            <v>1178011</v>
          </cell>
          <cell r="F686">
            <v>29426502</v>
          </cell>
          <cell r="G686" t="str">
            <v>08/10/2025</v>
          </cell>
          <cell r="H686">
            <v>4175</v>
          </cell>
        </row>
        <row r="687">
          <cell r="E687">
            <v>1178012</v>
          </cell>
          <cell r="F687">
            <v>29428203</v>
          </cell>
          <cell r="G687" t="str">
            <v>16/05/2025</v>
          </cell>
          <cell r="H687">
            <v>9995</v>
          </cell>
        </row>
        <row r="688">
          <cell r="E688">
            <v>1178014</v>
          </cell>
          <cell r="F688">
            <v>29423732</v>
          </cell>
          <cell r="G688" t="str">
            <v>16/05/2025</v>
          </cell>
          <cell r="H688">
            <v>7995</v>
          </cell>
        </row>
        <row r="689">
          <cell r="E689">
            <v>1178015</v>
          </cell>
          <cell r="F689">
            <v>29429005</v>
          </cell>
          <cell r="G689" t="str">
            <v>26/08/2025</v>
          </cell>
          <cell r="H689">
            <v>6335</v>
          </cell>
        </row>
        <row r="690">
          <cell r="E690">
            <v>1178016</v>
          </cell>
          <cell r="F690">
            <v>29426960</v>
          </cell>
          <cell r="G690" t="str">
            <v>16/05/2025</v>
          </cell>
          <cell r="H690">
            <v>8945</v>
          </cell>
        </row>
        <row r="691">
          <cell r="E691">
            <v>1178017</v>
          </cell>
          <cell r="F691">
            <v>29425166</v>
          </cell>
          <cell r="G691" t="str">
            <v>26/09/2025</v>
          </cell>
          <cell r="H691">
            <v>6335</v>
          </cell>
        </row>
        <row r="692">
          <cell r="E692">
            <v>1178018</v>
          </cell>
          <cell r="F692">
            <v>29427940</v>
          </cell>
          <cell r="G692" t="str">
            <v>16/05/2025</v>
          </cell>
          <cell r="H692">
            <v>5175</v>
          </cell>
        </row>
        <row r="693">
          <cell r="E693">
            <v>1178021</v>
          </cell>
          <cell r="F693">
            <v>29430259</v>
          </cell>
          <cell r="G693" t="str">
            <v>16/05/2025</v>
          </cell>
          <cell r="H693">
            <v>3715</v>
          </cell>
        </row>
        <row r="694">
          <cell r="E694">
            <v>1178023</v>
          </cell>
          <cell r="F694">
            <v>29430534</v>
          </cell>
          <cell r="G694" t="str">
            <v>16/05/2025</v>
          </cell>
          <cell r="H694">
            <v>13145</v>
          </cell>
        </row>
        <row r="695">
          <cell r="E695">
            <v>1178026</v>
          </cell>
          <cell r="F695">
            <v>29425530</v>
          </cell>
          <cell r="G695" t="str">
            <v>16/05/2025</v>
          </cell>
          <cell r="H695">
            <v>5325</v>
          </cell>
        </row>
        <row r="696">
          <cell r="E696">
            <v>1178027</v>
          </cell>
          <cell r="F696">
            <v>29068320</v>
          </cell>
          <cell r="G696" t="str">
            <v>23/05/2025</v>
          </cell>
          <cell r="H696">
            <v>5775</v>
          </cell>
        </row>
        <row r="697">
          <cell r="E697">
            <v>1178029</v>
          </cell>
          <cell r="F697">
            <v>29425123</v>
          </cell>
          <cell r="G697" t="str">
            <v>06/11/2025</v>
          </cell>
          <cell r="H697">
            <v>5235</v>
          </cell>
        </row>
        <row r="698">
          <cell r="E698">
            <v>1178030</v>
          </cell>
          <cell r="F698">
            <v>29174805</v>
          </cell>
          <cell r="G698" t="str">
            <v>29/07/2025</v>
          </cell>
          <cell r="H698">
            <v>5835</v>
          </cell>
        </row>
        <row r="699">
          <cell r="E699">
            <v>1178031</v>
          </cell>
          <cell r="F699">
            <v>29424348</v>
          </cell>
          <cell r="G699" t="str">
            <v>16/05/2025</v>
          </cell>
          <cell r="H699">
            <v>4635</v>
          </cell>
        </row>
        <row r="700">
          <cell r="E700">
            <v>1178035</v>
          </cell>
          <cell r="F700">
            <v>29427959</v>
          </cell>
          <cell r="G700" t="str">
            <v>25/06/2025</v>
          </cell>
          <cell r="H700">
            <v>12065</v>
          </cell>
        </row>
        <row r="701">
          <cell r="E701">
            <v>1178036</v>
          </cell>
          <cell r="F701">
            <v>29425719</v>
          </cell>
          <cell r="G701" t="str">
            <v>26/09/2025</v>
          </cell>
          <cell r="H701">
            <v>5495</v>
          </cell>
        </row>
        <row r="702">
          <cell r="E702">
            <v>1178037</v>
          </cell>
          <cell r="F702">
            <v>29428092</v>
          </cell>
          <cell r="G702" t="str">
            <v>16/05/2025</v>
          </cell>
          <cell r="H702">
            <v>7625</v>
          </cell>
        </row>
        <row r="703">
          <cell r="E703">
            <v>1178038</v>
          </cell>
          <cell r="F703">
            <v>29425328</v>
          </cell>
          <cell r="G703" t="str">
            <v>28/05/2025</v>
          </cell>
          <cell r="H703">
            <v>5255</v>
          </cell>
        </row>
        <row r="704">
          <cell r="E704">
            <v>1178040</v>
          </cell>
          <cell r="F704">
            <v>29428726</v>
          </cell>
          <cell r="G704" t="str">
            <v>16/05/2025</v>
          </cell>
          <cell r="H704">
            <v>7785</v>
          </cell>
        </row>
        <row r="705">
          <cell r="E705">
            <v>1178042</v>
          </cell>
          <cell r="F705">
            <v>29428254</v>
          </cell>
          <cell r="G705" t="str">
            <v>16/05/2025</v>
          </cell>
          <cell r="H705">
            <v>6715</v>
          </cell>
        </row>
        <row r="706">
          <cell r="E706">
            <v>1178043</v>
          </cell>
          <cell r="F706">
            <v>29431450</v>
          </cell>
          <cell r="G706" t="str">
            <v>16/05/2025</v>
          </cell>
          <cell r="H706">
            <v>9225</v>
          </cell>
        </row>
        <row r="707">
          <cell r="E707">
            <v>1178044</v>
          </cell>
          <cell r="F707">
            <v>29424038</v>
          </cell>
          <cell r="G707" t="str">
            <v>16/05/2025</v>
          </cell>
          <cell r="H707">
            <v>5805</v>
          </cell>
        </row>
        <row r="708">
          <cell r="E708">
            <v>1178045</v>
          </cell>
          <cell r="F708">
            <v>29429129</v>
          </cell>
          <cell r="G708" t="str">
            <v>28/05/2025</v>
          </cell>
          <cell r="H708">
            <v>3495</v>
          </cell>
        </row>
        <row r="709">
          <cell r="E709">
            <v>1178047</v>
          </cell>
          <cell r="F709">
            <v>29432510</v>
          </cell>
          <cell r="G709" t="str">
            <v>28/05/2025</v>
          </cell>
          <cell r="H709">
            <v>5465</v>
          </cell>
        </row>
        <row r="710">
          <cell r="E710">
            <v>1178048</v>
          </cell>
          <cell r="F710">
            <v>29427541</v>
          </cell>
          <cell r="G710" t="str">
            <v>16/05/2025</v>
          </cell>
          <cell r="H710">
            <v>4435</v>
          </cell>
        </row>
        <row r="711">
          <cell r="E711">
            <v>1178049</v>
          </cell>
          <cell r="F711">
            <v>29423805</v>
          </cell>
          <cell r="G711" t="str">
            <v>16/05/2025</v>
          </cell>
          <cell r="H711">
            <v>8735</v>
          </cell>
        </row>
        <row r="712">
          <cell r="E712">
            <v>1178050</v>
          </cell>
          <cell r="F712">
            <v>29426537</v>
          </cell>
          <cell r="G712" t="str">
            <v>03/10/2025</v>
          </cell>
          <cell r="H712">
            <v>9175</v>
          </cell>
        </row>
        <row r="713">
          <cell r="E713">
            <v>1178051</v>
          </cell>
          <cell r="F713">
            <v>29425417</v>
          </cell>
          <cell r="G713" t="str">
            <v>17/10/2025</v>
          </cell>
          <cell r="H713">
            <v>2725</v>
          </cell>
        </row>
        <row r="714">
          <cell r="E714">
            <v>1178052</v>
          </cell>
          <cell r="F714">
            <v>29426383</v>
          </cell>
          <cell r="G714" t="str">
            <v>25/06/2025</v>
          </cell>
          <cell r="H714">
            <v>5805</v>
          </cell>
        </row>
        <row r="715">
          <cell r="E715">
            <v>1178053</v>
          </cell>
          <cell r="F715">
            <v>29432529</v>
          </cell>
          <cell r="G715" t="str">
            <v>06/11/2025</v>
          </cell>
          <cell r="H715">
            <v>5785</v>
          </cell>
        </row>
        <row r="716">
          <cell r="E716">
            <v>1178067</v>
          </cell>
          <cell r="F716">
            <v>29428084</v>
          </cell>
          <cell r="G716" t="str">
            <v>30/07/2025</v>
          </cell>
          <cell r="H716">
            <v>9015</v>
          </cell>
        </row>
        <row r="717">
          <cell r="E717">
            <v>1178070</v>
          </cell>
          <cell r="F717">
            <v>29424526</v>
          </cell>
          <cell r="G717" t="str">
            <v>16/05/2025</v>
          </cell>
          <cell r="H717">
            <v>3565</v>
          </cell>
        </row>
        <row r="718">
          <cell r="E718">
            <v>1178071</v>
          </cell>
          <cell r="F718">
            <v>29428556</v>
          </cell>
          <cell r="G718" t="str">
            <v>22/05/2025</v>
          </cell>
          <cell r="H718">
            <v>5095</v>
          </cell>
        </row>
        <row r="719">
          <cell r="E719">
            <v>1178073</v>
          </cell>
          <cell r="F719">
            <v>29432200</v>
          </cell>
          <cell r="G719" t="str">
            <v>28/05/2025</v>
          </cell>
          <cell r="H719">
            <v>4355</v>
          </cell>
        </row>
        <row r="720">
          <cell r="E720">
            <v>1178077</v>
          </cell>
          <cell r="F720">
            <v>29431530</v>
          </cell>
          <cell r="G720" t="str">
            <v>16/05/2025</v>
          </cell>
          <cell r="H720">
            <v>7495</v>
          </cell>
        </row>
        <row r="721">
          <cell r="E721">
            <v>1178078</v>
          </cell>
          <cell r="F721">
            <v>29430305</v>
          </cell>
          <cell r="G721" t="str">
            <v>23/05/2025</v>
          </cell>
          <cell r="H721">
            <v>14225</v>
          </cell>
        </row>
        <row r="722">
          <cell r="E722">
            <v>1178081</v>
          </cell>
          <cell r="F722">
            <v>29431719</v>
          </cell>
          <cell r="G722" t="str">
            <v>08/10/2025</v>
          </cell>
          <cell r="H722">
            <v>12845</v>
          </cell>
        </row>
        <row r="723">
          <cell r="E723">
            <v>1178082</v>
          </cell>
          <cell r="F723">
            <v>29429269</v>
          </cell>
          <cell r="G723" t="str">
            <v>11/07/2025</v>
          </cell>
          <cell r="H723">
            <v>4055</v>
          </cell>
        </row>
        <row r="724">
          <cell r="E724">
            <v>1178083</v>
          </cell>
          <cell r="F724">
            <v>29429498</v>
          </cell>
          <cell r="G724" t="str">
            <v>26/09/2025</v>
          </cell>
          <cell r="H724">
            <v>3355</v>
          </cell>
        </row>
        <row r="725">
          <cell r="E725">
            <v>1178084</v>
          </cell>
          <cell r="F725">
            <v>29428530</v>
          </cell>
          <cell r="G725" t="str">
            <v>16/05/2025</v>
          </cell>
          <cell r="H725">
            <v>7635</v>
          </cell>
        </row>
        <row r="726">
          <cell r="E726">
            <v>1178086</v>
          </cell>
          <cell r="F726">
            <v>29431662</v>
          </cell>
          <cell r="G726" t="str">
            <v>16/05/2025</v>
          </cell>
          <cell r="H726">
            <v>5625</v>
          </cell>
        </row>
        <row r="727">
          <cell r="E727">
            <v>1178087</v>
          </cell>
          <cell r="F727">
            <v>29432626</v>
          </cell>
          <cell r="G727" t="str">
            <v>08/10/2025</v>
          </cell>
          <cell r="H727">
            <v>11925</v>
          </cell>
        </row>
        <row r="728">
          <cell r="E728">
            <v>1178088</v>
          </cell>
          <cell r="F728">
            <v>29432235</v>
          </cell>
          <cell r="G728" t="str">
            <v>26/09/2025</v>
          </cell>
          <cell r="H728">
            <v>17365</v>
          </cell>
        </row>
        <row r="729">
          <cell r="E729">
            <v>1178090</v>
          </cell>
          <cell r="F729">
            <v>29433746</v>
          </cell>
          <cell r="G729" t="str">
            <v>16/05/2025</v>
          </cell>
          <cell r="H729">
            <v>5425</v>
          </cell>
        </row>
        <row r="730">
          <cell r="E730">
            <v>1178091</v>
          </cell>
          <cell r="F730">
            <v>29432022</v>
          </cell>
          <cell r="G730" t="str">
            <v>06/11/2025</v>
          </cell>
          <cell r="H730">
            <v>5285</v>
          </cell>
        </row>
        <row r="731">
          <cell r="E731">
            <v>1178093</v>
          </cell>
          <cell r="F731">
            <v>29433843</v>
          </cell>
          <cell r="G731" t="str">
            <v>16/05/2025</v>
          </cell>
          <cell r="H731">
            <v>13185</v>
          </cell>
        </row>
        <row r="732">
          <cell r="E732">
            <v>1178094</v>
          </cell>
          <cell r="F732">
            <v>29440211</v>
          </cell>
          <cell r="G732" t="str">
            <v>26/09/2025</v>
          </cell>
          <cell r="H732">
            <v>5125</v>
          </cell>
        </row>
        <row r="733">
          <cell r="E733">
            <v>1178095</v>
          </cell>
          <cell r="F733">
            <v>29428742</v>
          </cell>
          <cell r="G733" t="str">
            <v>16/05/2025</v>
          </cell>
          <cell r="H733">
            <v>7155</v>
          </cell>
        </row>
        <row r="734">
          <cell r="E734">
            <v>1178096</v>
          </cell>
          <cell r="F734">
            <v>29429889</v>
          </cell>
          <cell r="G734" t="str">
            <v>16/05/2025</v>
          </cell>
          <cell r="H734">
            <v>4955</v>
          </cell>
        </row>
        <row r="735">
          <cell r="E735">
            <v>1178097</v>
          </cell>
          <cell r="F735">
            <v>29429781</v>
          </cell>
          <cell r="G735" t="str">
            <v>25/06/2025</v>
          </cell>
          <cell r="H735">
            <v>4015</v>
          </cell>
        </row>
        <row r="736">
          <cell r="E736">
            <v>1178099</v>
          </cell>
          <cell r="F736">
            <v>29431573</v>
          </cell>
          <cell r="G736" t="str">
            <v>26/09/2025</v>
          </cell>
          <cell r="H736">
            <v>13575</v>
          </cell>
        </row>
        <row r="737">
          <cell r="E737">
            <v>1178100</v>
          </cell>
          <cell r="F737">
            <v>29431670</v>
          </cell>
          <cell r="G737" t="str">
            <v>16/05/2025</v>
          </cell>
          <cell r="H737">
            <v>6025</v>
          </cell>
        </row>
        <row r="738">
          <cell r="E738">
            <v>1178102</v>
          </cell>
          <cell r="F738">
            <v>29432120</v>
          </cell>
          <cell r="G738" t="str">
            <v>25/06/2025</v>
          </cell>
          <cell r="H738">
            <v>3435</v>
          </cell>
        </row>
        <row r="739">
          <cell r="E739">
            <v>1178103</v>
          </cell>
          <cell r="F739">
            <v>29221935</v>
          </cell>
          <cell r="G739" t="str">
            <v>16/05/2025</v>
          </cell>
          <cell r="H739">
            <v>5965</v>
          </cell>
        </row>
        <row r="740">
          <cell r="E740">
            <v>1178104</v>
          </cell>
          <cell r="F740">
            <v>29433517</v>
          </cell>
          <cell r="G740" t="str">
            <v>16/05/2025</v>
          </cell>
          <cell r="H740">
            <v>6055</v>
          </cell>
        </row>
        <row r="741">
          <cell r="E741">
            <v>1178106</v>
          </cell>
          <cell r="F741">
            <v>29443113</v>
          </cell>
          <cell r="G741" t="str">
            <v>16/05/2025</v>
          </cell>
          <cell r="H741">
            <v>6015</v>
          </cell>
        </row>
        <row r="742">
          <cell r="E742">
            <v>1178107</v>
          </cell>
          <cell r="F742">
            <v>29436184</v>
          </cell>
          <cell r="G742" t="str">
            <v>28/05/2025</v>
          </cell>
          <cell r="H742">
            <v>11855</v>
          </cell>
        </row>
        <row r="743">
          <cell r="E743">
            <v>1178109</v>
          </cell>
          <cell r="F743">
            <v>29446651</v>
          </cell>
          <cell r="G743" t="str">
            <v>16/05/2025</v>
          </cell>
          <cell r="H743">
            <v>9675</v>
          </cell>
        </row>
        <row r="744">
          <cell r="E744">
            <v>1178110</v>
          </cell>
          <cell r="F744">
            <v>29433886</v>
          </cell>
          <cell r="G744" t="str">
            <v>16/05/2025</v>
          </cell>
          <cell r="H744">
            <v>8185</v>
          </cell>
        </row>
        <row r="745">
          <cell r="E745">
            <v>1178112</v>
          </cell>
          <cell r="F745">
            <v>29434017</v>
          </cell>
          <cell r="G745" t="str">
            <v>28/05/2025</v>
          </cell>
          <cell r="H745">
            <v>7465</v>
          </cell>
        </row>
        <row r="746">
          <cell r="E746">
            <v>1178113</v>
          </cell>
          <cell r="F746">
            <v>29434726</v>
          </cell>
          <cell r="G746" t="str">
            <v>25/06/2025</v>
          </cell>
          <cell r="H746">
            <v>3555</v>
          </cell>
        </row>
        <row r="747">
          <cell r="E747">
            <v>1178115</v>
          </cell>
          <cell r="F747">
            <v>29433568</v>
          </cell>
          <cell r="G747" t="str">
            <v>25/06/2025</v>
          </cell>
          <cell r="H747">
            <v>5925</v>
          </cell>
        </row>
        <row r="748">
          <cell r="E748">
            <v>1178118</v>
          </cell>
          <cell r="F748">
            <v>29434530</v>
          </cell>
          <cell r="G748" t="str">
            <v>16/05/2025</v>
          </cell>
          <cell r="H748">
            <v>6065</v>
          </cell>
        </row>
        <row r="749">
          <cell r="E749">
            <v>1178119</v>
          </cell>
          <cell r="F749">
            <v>29433410</v>
          </cell>
          <cell r="G749" t="str">
            <v>16/05/2025</v>
          </cell>
          <cell r="H749">
            <v>8045</v>
          </cell>
        </row>
        <row r="750">
          <cell r="E750">
            <v>1178120</v>
          </cell>
          <cell r="F750">
            <v>29437172</v>
          </cell>
          <cell r="G750" t="str">
            <v>28/05/2025</v>
          </cell>
          <cell r="H750">
            <v>4815</v>
          </cell>
        </row>
        <row r="751">
          <cell r="E751">
            <v>1178125</v>
          </cell>
          <cell r="F751">
            <v>29437164</v>
          </cell>
          <cell r="G751" t="str">
            <v>16/05/2025</v>
          </cell>
          <cell r="H751">
            <v>4505</v>
          </cell>
        </row>
        <row r="752">
          <cell r="E752">
            <v>1178127</v>
          </cell>
          <cell r="F752">
            <v>29327059</v>
          </cell>
          <cell r="G752" t="str">
            <v>16/05/2025</v>
          </cell>
          <cell r="H752">
            <v>4625</v>
          </cell>
        </row>
        <row r="753">
          <cell r="E753">
            <v>1178128</v>
          </cell>
          <cell r="F753">
            <v>29327229</v>
          </cell>
          <cell r="G753" t="str">
            <v>26/09/2025</v>
          </cell>
          <cell r="H753">
            <v>4205</v>
          </cell>
        </row>
        <row r="754">
          <cell r="E754">
            <v>1178136</v>
          </cell>
          <cell r="F754">
            <v>29436931</v>
          </cell>
          <cell r="G754" t="str">
            <v>26/09/2025</v>
          </cell>
          <cell r="H754">
            <v>3465</v>
          </cell>
        </row>
        <row r="755">
          <cell r="E755">
            <v>1178137</v>
          </cell>
          <cell r="F755">
            <v>29441633</v>
          </cell>
          <cell r="G755" t="str">
            <v>06/11/2025</v>
          </cell>
          <cell r="H755">
            <v>4365</v>
          </cell>
        </row>
        <row r="756">
          <cell r="E756">
            <v>1178138</v>
          </cell>
          <cell r="F756">
            <v>29438934</v>
          </cell>
          <cell r="G756" t="str">
            <v>29/07/2025</v>
          </cell>
          <cell r="H756">
            <v>14525</v>
          </cell>
        </row>
        <row r="757">
          <cell r="E757">
            <v>1178142</v>
          </cell>
          <cell r="F757">
            <v>29886732</v>
          </cell>
          <cell r="G757" t="str">
            <v>28/05/2025</v>
          </cell>
          <cell r="H757">
            <v>5615</v>
          </cell>
        </row>
        <row r="758">
          <cell r="E758">
            <v>1178143</v>
          </cell>
          <cell r="F758">
            <v>29441641</v>
          </cell>
          <cell r="G758" t="str">
            <v>24/10/2025</v>
          </cell>
          <cell r="H758">
            <v>3925</v>
          </cell>
        </row>
        <row r="759">
          <cell r="E759">
            <v>1178146</v>
          </cell>
          <cell r="F759">
            <v>29445400</v>
          </cell>
          <cell r="G759" t="str">
            <v>16/05/2025</v>
          </cell>
          <cell r="H759">
            <v>6115</v>
          </cell>
        </row>
        <row r="760">
          <cell r="E760">
            <v>1178149</v>
          </cell>
          <cell r="F760">
            <v>29437814</v>
          </cell>
          <cell r="G760" t="str">
            <v>16/05/2025</v>
          </cell>
          <cell r="H760">
            <v>4565</v>
          </cell>
        </row>
        <row r="761">
          <cell r="E761">
            <v>1178150</v>
          </cell>
          <cell r="F761">
            <v>29437911</v>
          </cell>
          <cell r="G761" t="str">
            <v>06/11/2025</v>
          </cell>
          <cell r="H761">
            <v>7505</v>
          </cell>
        </row>
        <row r="762">
          <cell r="E762">
            <v>1178152</v>
          </cell>
          <cell r="F762">
            <v>29440173</v>
          </cell>
          <cell r="G762" t="str">
            <v>16/05/2025</v>
          </cell>
          <cell r="H762">
            <v>9845</v>
          </cell>
        </row>
        <row r="763">
          <cell r="E763">
            <v>1178153</v>
          </cell>
          <cell r="F763">
            <v>29444896</v>
          </cell>
          <cell r="G763" t="str">
            <v>16/05/2025</v>
          </cell>
          <cell r="H763">
            <v>5365</v>
          </cell>
        </row>
        <row r="764">
          <cell r="E764">
            <v>1178162</v>
          </cell>
          <cell r="F764">
            <v>29437881</v>
          </cell>
          <cell r="G764" t="str">
            <v>06/11/2025</v>
          </cell>
          <cell r="H764">
            <v>5725</v>
          </cell>
        </row>
        <row r="765">
          <cell r="E765">
            <v>1178173</v>
          </cell>
          <cell r="F765">
            <v>29442095</v>
          </cell>
          <cell r="G765" t="str">
            <v>16/05/2025</v>
          </cell>
          <cell r="H765">
            <v>6045</v>
          </cell>
        </row>
        <row r="766">
          <cell r="E766">
            <v>1178182</v>
          </cell>
          <cell r="F766">
            <v>29440530</v>
          </cell>
          <cell r="G766" t="str">
            <v>16/05/2025</v>
          </cell>
          <cell r="H766">
            <v>3845</v>
          </cell>
        </row>
        <row r="767">
          <cell r="E767">
            <v>1178186</v>
          </cell>
          <cell r="F767">
            <v>29446570</v>
          </cell>
          <cell r="G767" t="str">
            <v>28/05/2025</v>
          </cell>
          <cell r="H767">
            <v>4785</v>
          </cell>
        </row>
        <row r="768">
          <cell r="E768">
            <v>1178216</v>
          </cell>
          <cell r="F768">
            <v>29444993</v>
          </cell>
          <cell r="G768" t="str">
            <v>16/05/2025</v>
          </cell>
          <cell r="H768">
            <v>4385</v>
          </cell>
        </row>
        <row r="769">
          <cell r="E769">
            <v>1178219</v>
          </cell>
          <cell r="F769">
            <v>29443768</v>
          </cell>
          <cell r="G769" t="str">
            <v>29/05/2025</v>
          </cell>
          <cell r="H769">
            <v>4915</v>
          </cell>
        </row>
        <row r="770">
          <cell r="E770">
            <v>1178221</v>
          </cell>
          <cell r="F770">
            <v>29446740</v>
          </cell>
          <cell r="G770" t="str">
            <v>16/05/2025</v>
          </cell>
          <cell r="H770">
            <v>7715</v>
          </cell>
        </row>
        <row r="771">
          <cell r="E771">
            <v>1178222</v>
          </cell>
          <cell r="F771">
            <v>29443296</v>
          </cell>
          <cell r="G771" t="str">
            <v>26/09/2025</v>
          </cell>
          <cell r="H771">
            <v>3305</v>
          </cell>
        </row>
        <row r="772">
          <cell r="E772">
            <v>1178223</v>
          </cell>
          <cell r="F772">
            <v>29445213</v>
          </cell>
          <cell r="G772" t="str">
            <v>16/05/2025</v>
          </cell>
          <cell r="H772">
            <v>6515</v>
          </cell>
        </row>
        <row r="773">
          <cell r="E773">
            <v>1178245</v>
          </cell>
          <cell r="F773">
            <v>29115604</v>
          </cell>
          <cell r="G773" t="str">
            <v>26/09/2025</v>
          </cell>
          <cell r="H773">
            <v>3935</v>
          </cell>
        </row>
        <row r="774">
          <cell r="E774">
            <v>1178248</v>
          </cell>
          <cell r="F774">
            <v>29265932</v>
          </cell>
          <cell r="G774" t="str">
            <v>16/05/2025</v>
          </cell>
          <cell r="H774">
            <v>6825</v>
          </cell>
        </row>
        <row r="775">
          <cell r="E775">
            <v>1178251</v>
          </cell>
          <cell r="F775">
            <v>29456606</v>
          </cell>
          <cell r="G775" t="str">
            <v>26/08/2025</v>
          </cell>
          <cell r="H775">
            <v>4385</v>
          </cell>
        </row>
        <row r="776">
          <cell r="E776">
            <v>1178254</v>
          </cell>
          <cell r="F776">
            <v>29468000</v>
          </cell>
          <cell r="G776" t="str">
            <v>16/05/2025</v>
          </cell>
          <cell r="H776">
            <v>10355</v>
          </cell>
        </row>
        <row r="777">
          <cell r="E777">
            <v>1178255</v>
          </cell>
          <cell r="F777">
            <v>29467004</v>
          </cell>
          <cell r="G777" t="str">
            <v>16/05/2025</v>
          </cell>
          <cell r="H777">
            <v>8405</v>
          </cell>
        </row>
        <row r="778">
          <cell r="E778">
            <v>1178257</v>
          </cell>
          <cell r="F778">
            <v>29536200</v>
          </cell>
          <cell r="G778" t="str">
            <v>16/05/2025</v>
          </cell>
          <cell r="H778">
            <v>7175</v>
          </cell>
        </row>
        <row r="779">
          <cell r="E779">
            <v>1178258</v>
          </cell>
          <cell r="F779">
            <v>29447755</v>
          </cell>
          <cell r="G779" t="str">
            <v>16/05/2025</v>
          </cell>
          <cell r="H779">
            <v>3935</v>
          </cell>
        </row>
        <row r="780">
          <cell r="E780">
            <v>1178259</v>
          </cell>
          <cell r="F780">
            <v>29848873</v>
          </cell>
          <cell r="G780" t="str">
            <v>26/09/2025</v>
          </cell>
          <cell r="H780">
            <v>5535</v>
          </cell>
        </row>
        <row r="781">
          <cell r="E781">
            <v>1178260</v>
          </cell>
          <cell r="F781">
            <v>29457602</v>
          </cell>
          <cell r="G781" t="str">
            <v>16/05/2025</v>
          </cell>
          <cell r="H781">
            <v>7745</v>
          </cell>
        </row>
        <row r="782">
          <cell r="E782">
            <v>1178261</v>
          </cell>
          <cell r="F782">
            <v>29467403</v>
          </cell>
          <cell r="G782" t="str">
            <v>16/05/2025</v>
          </cell>
          <cell r="H782">
            <v>2915</v>
          </cell>
        </row>
        <row r="783">
          <cell r="E783">
            <v>1178262</v>
          </cell>
          <cell r="F783">
            <v>29432537</v>
          </cell>
          <cell r="G783" t="str">
            <v>26/09/2025</v>
          </cell>
          <cell r="H783">
            <v>4515</v>
          </cell>
        </row>
        <row r="784">
          <cell r="E784">
            <v>1178265</v>
          </cell>
          <cell r="F784">
            <v>29981760</v>
          </cell>
          <cell r="G784" t="str">
            <v>19/05/2025</v>
          </cell>
          <cell r="H784">
            <v>4085</v>
          </cell>
        </row>
        <row r="785">
          <cell r="E785">
            <v>1178266</v>
          </cell>
          <cell r="F785">
            <v>29456800</v>
          </cell>
          <cell r="G785" t="str">
            <v>23/05/2025</v>
          </cell>
          <cell r="H785">
            <v>5445</v>
          </cell>
        </row>
        <row r="786">
          <cell r="E786">
            <v>1178268</v>
          </cell>
          <cell r="F786">
            <v>29581605</v>
          </cell>
          <cell r="G786" t="str">
            <v>16/05/2025</v>
          </cell>
          <cell r="H786">
            <v>10495</v>
          </cell>
        </row>
        <row r="787">
          <cell r="E787">
            <v>1178269</v>
          </cell>
          <cell r="F787">
            <v>29447690</v>
          </cell>
          <cell r="G787" t="str">
            <v>16/05/2025</v>
          </cell>
          <cell r="H787">
            <v>11265</v>
          </cell>
        </row>
        <row r="788">
          <cell r="E788">
            <v>1178270</v>
          </cell>
          <cell r="F788">
            <v>29466008</v>
          </cell>
          <cell r="G788" t="str">
            <v>17/10/2025</v>
          </cell>
          <cell r="H788">
            <v>4045</v>
          </cell>
        </row>
        <row r="789">
          <cell r="E789">
            <v>1178271</v>
          </cell>
          <cell r="F789">
            <v>29535816</v>
          </cell>
          <cell r="G789" t="str">
            <v>16/05/2025</v>
          </cell>
          <cell r="H789">
            <v>3925</v>
          </cell>
        </row>
        <row r="790">
          <cell r="E790">
            <v>1178273</v>
          </cell>
          <cell r="F790">
            <v>29447763</v>
          </cell>
          <cell r="G790" t="str">
            <v>25/06/2025</v>
          </cell>
          <cell r="H790">
            <v>4875</v>
          </cell>
        </row>
        <row r="791">
          <cell r="E791">
            <v>1178275</v>
          </cell>
          <cell r="F791">
            <v>29915783</v>
          </cell>
          <cell r="G791" t="str">
            <v>11/07/2025</v>
          </cell>
          <cell r="H791">
            <v>3655</v>
          </cell>
        </row>
        <row r="792">
          <cell r="E792">
            <v>1178278</v>
          </cell>
          <cell r="F792">
            <v>29535808</v>
          </cell>
          <cell r="G792" t="str">
            <v>24/10/2025</v>
          </cell>
          <cell r="H792">
            <v>6955</v>
          </cell>
        </row>
        <row r="793">
          <cell r="E793">
            <v>1178280</v>
          </cell>
          <cell r="F793">
            <v>29455405</v>
          </cell>
          <cell r="G793" t="str">
            <v>16/05/2025</v>
          </cell>
          <cell r="H793">
            <v>2945</v>
          </cell>
        </row>
        <row r="794">
          <cell r="E794">
            <v>1178288</v>
          </cell>
          <cell r="F794">
            <v>29526809</v>
          </cell>
          <cell r="G794" t="str">
            <v>16/05/2025</v>
          </cell>
          <cell r="H794">
            <v>6775</v>
          </cell>
        </row>
        <row r="795">
          <cell r="E795">
            <v>1178319</v>
          </cell>
          <cell r="F795">
            <v>29599601</v>
          </cell>
          <cell r="G795" t="str">
            <v>16/05/2025</v>
          </cell>
          <cell r="H795">
            <v>7805</v>
          </cell>
        </row>
        <row r="796">
          <cell r="E796">
            <v>1178322</v>
          </cell>
          <cell r="F796">
            <v>29850843</v>
          </cell>
          <cell r="G796" t="str">
            <v>28/05/2025</v>
          </cell>
          <cell r="H796">
            <v>10025</v>
          </cell>
        </row>
        <row r="797">
          <cell r="E797">
            <v>1178324</v>
          </cell>
          <cell r="F797">
            <v>29863724</v>
          </cell>
          <cell r="G797" t="str">
            <v>16/05/2025</v>
          </cell>
          <cell r="H797">
            <v>3555</v>
          </cell>
        </row>
        <row r="798">
          <cell r="E798">
            <v>1178325</v>
          </cell>
          <cell r="F798">
            <v>29842727</v>
          </cell>
          <cell r="G798" t="str">
            <v>25/06/2025</v>
          </cell>
          <cell r="H798">
            <v>25965</v>
          </cell>
        </row>
        <row r="799">
          <cell r="E799">
            <v>1178326</v>
          </cell>
          <cell r="F799">
            <v>29397693</v>
          </cell>
          <cell r="G799" t="str">
            <v>28/05/2025</v>
          </cell>
          <cell r="H799">
            <v>7285</v>
          </cell>
        </row>
        <row r="800">
          <cell r="E800">
            <v>1178398</v>
          </cell>
          <cell r="F800">
            <v>29980720</v>
          </cell>
          <cell r="G800" t="str">
            <v>25/06/2025</v>
          </cell>
          <cell r="H800">
            <v>8225</v>
          </cell>
        </row>
        <row r="801">
          <cell r="E801">
            <v>1178399</v>
          </cell>
          <cell r="F801">
            <v>29362016</v>
          </cell>
          <cell r="G801" t="str">
            <v>29/07/2025</v>
          </cell>
          <cell r="H801">
            <v>10775</v>
          </cell>
        </row>
        <row r="802">
          <cell r="E802">
            <v>1178400</v>
          </cell>
          <cell r="F802">
            <v>29982758</v>
          </cell>
          <cell r="G802" t="str">
            <v>17/10/2025</v>
          </cell>
          <cell r="H802">
            <v>19075</v>
          </cell>
        </row>
        <row r="803">
          <cell r="E803">
            <v>1178401</v>
          </cell>
          <cell r="F803">
            <v>29397707</v>
          </cell>
          <cell r="G803" t="str">
            <v>16/05/2025</v>
          </cell>
          <cell r="H803">
            <v>8695</v>
          </cell>
        </row>
        <row r="804">
          <cell r="E804">
            <v>1178404</v>
          </cell>
          <cell r="F804">
            <v>29395860</v>
          </cell>
          <cell r="G804" t="str">
            <v>16/05/2025</v>
          </cell>
          <cell r="H804">
            <v>5515</v>
          </cell>
        </row>
        <row r="805">
          <cell r="E805">
            <v>1178405</v>
          </cell>
          <cell r="F805">
            <v>29395950</v>
          </cell>
          <cell r="G805" t="str">
            <v>15/10/2025</v>
          </cell>
          <cell r="H805">
            <v>4135</v>
          </cell>
        </row>
        <row r="806">
          <cell r="E806">
            <v>1178407</v>
          </cell>
          <cell r="F806">
            <v>29397758</v>
          </cell>
          <cell r="G806" t="str">
            <v>16/05/2025</v>
          </cell>
          <cell r="H806">
            <v>4255</v>
          </cell>
        </row>
        <row r="807">
          <cell r="E807">
            <v>1178420</v>
          </cell>
          <cell r="F807">
            <v>29397863</v>
          </cell>
          <cell r="G807" t="str">
            <v>25/06/2025</v>
          </cell>
          <cell r="H807">
            <v>12095</v>
          </cell>
        </row>
        <row r="808">
          <cell r="E808">
            <v>1178426</v>
          </cell>
          <cell r="F808">
            <v>29441919</v>
          </cell>
          <cell r="G808" t="str">
            <v>26/09/2025</v>
          </cell>
          <cell r="H808">
            <v>7285</v>
          </cell>
        </row>
        <row r="809">
          <cell r="E809">
            <v>1178427</v>
          </cell>
          <cell r="F809">
            <v>29399246</v>
          </cell>
          <cell r="G809" t="str">
            <v>16/05/2025</v>
          </cell>
          <cell r="H809">
            <v>3175</v>
          </cell>
        </row>
        <row r="810">
          <cell r="E810">
            <v>1178429</v>
          </cell>
          <cell r="F810">
            <v>29398940</v>
          </cell>
          <cell r="G810" t="str">
            <v>08/10/2025</v>
          </cell>
          <cell r="H810">
            <v>5935</v>
          </cell>
        </row>
        <row r="811">
          <cell r="E811">
            <v>1178430</v>
          </cell>
          <cell r="F811">
            <v>29862728</v>
          </cell>
          <cell r="G811" t="str">
            <v>26/08/2025</v>
          </cell>
          <cell r="H811">
            <v>3855</v>
          </cell>
        </row>
        <row r="812">
          <cell r="E812">
            <v>1178431</v>
          </cell>
          <cell r="F812">
            <v>29398673</v>
          </cell>
          <cell r="G812" t="str">
            <v>25/06/2025</v>
          </cell>
          <cell r="H812">
            <v>16935</v>
          </cell>
        </row>
        <row r="813">
          <cell r="E813">
            <v>1178438</v>
          </cell>
          <cell r="F813">
            <v>29434734</v>
          </cell>
          <cell r="G813" t="str">
            <v>16/05/2025</v>
          </cell>
          <cell r="H813">
            <v>7675</v>
          </cell>
        </row>
        <row r="814">
          <cell r="E814">
            <v>1178439</v>
          </cell>
          <cell r="F814">
            <v>29399220</v>
          </cell>
          <cell r="G814" t="str">
            <v>16/05/2025</v>
          </cell>
          <cell r="H814">
            <v>3835</v>
          </cell>
        </row>
        <row r="815">
          <cell r="E815">
            <v>1178440</v>
          </cell>
          <cell r="F815">
            <v>29999812</v>
          </cell>
          <cell r="G815" t="str">
            <v>16/05/2025</v>
          </cell>
          <cell r="H815">
            <v>4875</v>
          </cell>
        </row>
        <row r="816">
          <cell r="E816">
            <v>1178443</v>
          </cell>
          <cell r="F816">
            <v>29449340</v>
          </cell>
          <cell r="G816" t="str">
            <v>16/05/2025</v>
          </cell>
          <cell r="H816">
            <v>6085</v>
          </cell>
        </row>
        <row r="817">
          <cell r="E817">
            <v>1178445</v>
          </cell>
          <cell r="F817">
            <v>29448018</v>
          </cell>
          <cell r="G817" t="str">
            <v>29/07/2025</v>
          </cell>
          <cell r="H817">
            <v>8685</v>
          </cell>
        </row>
        <row r="818">
          <cell r="E818">
            <v>1179030</v>
          </cell>
          <cell r="F818">
            <v>29398282</v>
          </cell>
          <cell r="G818" t="str">
            <v>16/05/2025</v>
          </cell>
          <cell r="H818">
            <v>4865</v>
          </cell>
        </row>
        <row r="819">
          <cell r="E819">
            <v>1179111</v>
          </cell>
          <cell r="F819">
            <v>29456509</v>
          </cell>
          <cell r="G819" t="str">
            <v>28/05/2025</v>
          </cell>
          <cell r="H819">
            <v>15525</v>
          </cell>
        </row>
        <row r="820">
          <cell r="E820">
            <v>1179112</v>
          </cell>
          <cell r="F820">
            <v>29450837</v>
          </cell>
          <cell r="G820" t="str">
            <v>26/09/2025</v>
          </cell>
          <cell r="H820">
            <v>3755</v>
          </cell>
        </row>
        <row r="821">
          <cell r="E821">
            <v>1179113</v>
          </cell>
          <cell r="F821">
            <v>29449332</v>
          </cell>
          <cell r="G821" t="str">
            <v>25/06/2025</v>
          </cell>
          <cell r="H821">
            <v>5325</v>
          </cell>
        </row>
        <row r="822">
          <cell r="E822">
            <v>1179116</v>
          </cell>
          <cell r="F822">
            <v>29460549</v>
          </cell>
          <cell r="G822" t="str">
            <v>28/05/2025</v>
          </cell>
          <cell r="H822">
            <v>4345</v>
          </cell>
        </row>
        <row r="823">
          <cell r="E823">
            <v>1179117</v>
          </cell>
          <cell r="F823">
            <v>29399238</v>
          </cell>
          <cell r="G823" t="str">
            <v>06/11/2025</v>
          </cell>
          <cell r="H823">
            <v>7245</v>
          </cell>
        </row>
        <row r="824">
          <cell r="E824">
            <v>1179120</v>
          </cell>
          <cell r="F824">
            <v>29117194</v>
          </cell>
          <cell r="G824" t="str">
            <v>16/05/2025</v>
          </cell>
          <cell r="H824">
            <v>6755</v>
          </cell>
        </row>
        <row r="825">
          <cell r="E825">
            <v>1179123</v>
          </cell>
          <cell r="F825">
            <v>29354536</v>
          </cell>
          <cell r="G825" t="str">
            <v>16/05/2025</v>
          </cell>
          <cell r="H825">
            <v>5835</v>
          </cell>
        </row>
        <row r="826">
          <cell r="E826">
            <v>1179128</v>
          </cell>
          <cell r="F826">
            <v>29126550</v>
          </cell>
          <cell r="G826" t="str">
            <v>16/05/2025</v>
          </cell>
          <cell r="H826">
            <v>5265</v>
          </cell>
        </row>
        <row r="827">
          <cell r="E827">
            <v>1179131</v>
          </cell>
          <cell r="F827">
            <v>29463980</v>
          </cell>
          <cell r="G827" t="str">
            <v>08/10/2025</v>
          </cell>
          <cell r="H827">
            <v>5495</v>
          </cell>
        </row>
        <row r="828">
          <cell r="E828">
            <v>1179136</v>
          </cell>
          <cell r="F828">
            <v>29449545</v>
          </cell>
          <cell r="G828" t="str">
            <v>16/05/2025</v>
          </cell>
          <cell r="H828">
            <v>4585</v>
          </cell>
        </row>
        <row r="829">
          <cell r="E829">
            <v>1179137</v>
          </cell>
          <cell r="F829">
            <v>29449456</v>
          </cell>
          <cell r="G829" t="str">
            <v>16/05/2025</v>
          </cell>
          <cell r="H829">
            <v>4655</v>
          </cell>
        </row>
        <row r="830">
          <cell r="E830">
            <v>1179138</v>
          </cell>
          <cell r="F830">
            <v>29448816</v>
          </cell>
          <cell r="G830" t="str">
            <v>16/05/2025</v>
          </cell>
          <cell r="H830">
            <v>6555</v>
          </cell>
        </row>
        <row r="831">
          <cell r="E831">
            <v>1179139</v>
          </cell>
          <cell r="F831">
            <v>29456460</v>
          </cell>
          <cell r="G831" t="str">
            <v>16/05/2025</v>
          </cell>
          <cell r="H831">
            <v>6265</v>
          </cell>
        </row>
        <row r="832">
          <cell r="E832">
            <v>1179202</v>
          </cell>
          <cell r="F832">
            <v>29033950</v>
          </cell>
          <cell r="G832" t="str">
            <v>16/05/2025</v>
          </cell>
          <cell r="H832">
            <v>3265</v>
          </cell>
        </row>
        <row r="833">
          <cell r="E833">
            <v>1179203</v>
          </cell>
          <cell r="F833">
            <v>29373018</v>
          </cell>
          <cell r="G833" t="str">
            <v>16/05/2025</v>
          </cell>
          <cell r="H833">
            <v>3365</v>
          </cell>
        </row>
        <row r="834">
          <cell r="E834">
            <v>1179204</v>
          </cell>
          <cell r="F834">
            <v>29366739</v>
          </cell>
          <cell r="G834" t="str">
            <v>16/05/2025</v>
          </cell>
          <cell r="H834">
            <v>4085</v>
          </cell>
        </row>
        <row r="835">
          <cell r="E835">
            <v>1179205</v>
          </cell>
          <cell r="F835">
            <v>29441609</v>
          </cell>
          <cell r="G835" t="str">
            <v>28/05/2025</v>
          </cell>
          <cell r="H835">
            <v>6855</v>
          </cell>
        </row>
        <row r="836">
          <cell r="E836">
            <v>1179222</v>
          </cell>
          <cell r="F836">
            <v>29456495</v>
          </cell>
          <cell r="G836" t="str">
            <v>23/05/2025</v>
          </cell>
          <cell r="H836">
            <v>7515</v>
          </cell>
        </row>
        <row r="837">
          <cell r="E837">
            <v>1179223</v>
          </cell>
          <cell r="F837">
            <v>29456479</v>
          </cell>
          <cell r="G837" t="str">
            <v>16/05/2025</v>
          </cell>
          <cell r="H837">
            <v>10965</v>
          </cell>
        </row>
        <row r="838">
          <cell r="E838">
            <v>1179224</v>
          </cell>
          <cell r="F838">
            <v>29456487</v>
          </cell>
          <cell r="G838" t="str">
            <v>25/06/2025</v>
          </cell>
          <cell r="H838">
            <v>6025</v>
          </cell>
        </row>
        <row r="839">
          <cell r="E839">
            <v>1179245</v>
          </cell>
          <cell r="F839">
            <v>29456886</v>
          </cell>
          <cell r="G839" t="str">
            <v>16/05/2025</v>
          </cell>
          <cell r="H839">
            <v>3645</v>
          </cell>
        </row>
        <row r="840">
          <cell r="E840">
            <v>1179246</v>
          </cell>
          <cell r="F840">
            <v>29457491</v>
          </cell>
          <cell r="G840" t="str">
            <v>24/10/2025</v>
          </cell>
          <cell r="H840">
            <v>4765</v>
          </cell>
        </row>
        <row r="841">
          <cell r="E841">
            <v>1179271</v>
          </cell>
          <cell r="F841">
            <v>29459028</v>
          </cell>
          <cell r="G841" t="str">
            <v>16/05/2025</v>
          </cell>
          <cell r="H841">
            <v>5825</v>
          </cell>
        </row>
        <row r="842">
          <cell r="E842">
            <v>1179277</v>
          </cell>
          <cell r="F842">
            <v>29458994</v>
          </cell>
          <cell r="G842" t="str">
            <v>16/05/2025</v>
          </cell>
          <cell r="H842">
            <v>4735</v>
          </cell>
        </row>
        <row r="843">
          <cell r="E843">
            <v>1179279</v>
          </cell>
          <cell r="F843">
            <v>29459010</v>
          </cell>
          <cell r="G843" t="str">
            <v>16/05/2025</v>
          </cell>
          <cell r="H843">
            <v>5285</v>
          </cell>
        </row>
        <row r="844">
          <cell r="E844">
            <v>1179281</v>
          </cell>
          <cell r="F844">
            <v>29459141</v>
          </cell>
          <cell r="G844" t="str">
            <v>16/05/2025</v>
          </cell>
          <cell r="H844">
            <v>13915</v>
          </cell>
        </row>
        <row r="845">
          <cell r="E845">
            <v>1179282</v>
          </cell>
          <cell r="F845">
            <v>29461499</v>
          </cell>
          <cell r="G845" t="str">
            <v>16/05/2025</v>
          </cell>
          <cell r="H845">
            <v>18305</v>
          </cell>
        </row>
        <row r="846">
          <cell r="E846">
            <v>1179283</v>
          </cell>
          <cell r="F846">
            <v>29461502</v>
          </cell>
          <cell r="G846" t="str">
            <v>16/05/2025</v>
          </cell>
          <cell r="H846">
            <v>8815</v>
          </cell>
        </row>
        <row r="847">
          <cell r="E847">
            <v>1179284</v>
          </cell>
          <cell r="F847">
            <v>29460930</v>
          </cell>
          <cell r="G847" t="str">
            <v>16/05/2025</v>
          </cell>
          <cell r="H847">
            <v>7735</v>
          </cell>
        </row>
        <row r="848">
          <cell r="E848">
            <v>1179285</v>
          </cell>
          <cell r="F848">
            <v>29461472</v>
          </cell>
          <cell r="G848" t="str">
            <v>25/06/2025</v>
          </cell>
          <cell r="H848">
            <v>3115</v>
          </cell>
        </row>
        <row r="849">
          <cell r="E849">
            <v>1179286</v>
          </cell>
          <cell r="F849">
            <v>29461529</v>
          </cell>
          <cell r="G849" t="str">
            <v>16/05/2025</v>
          </cell>
          <cell r="H849">
            <v>4095</v>
          </cell>
        </row>
        <row r="850">
          <cell r="E850">
            <v>1179291</v>
          </cell>
          <cell r="F850">
            <v>29459621</v>
          </cell>
          <cell r="G850" t="str">
            <v>26/09/2025</v>
          </cell>
          <cell r="H850">
            <v>4015</v>
          </cell>
        </row>
        <row r="851">
          <cell r="E851">
            <v>1179304</v>
          </cell>
          <cell r="F851">
            <v>29460794</v>
          </cell>
          <cell r="G851" t="str">
            <v>16/05/2025</v>
          </cell>
          <cell r="H851">
            <v>360</v>
          </cell>
        </row>
        <row r="852">
          <cell r="E852">
            <v>1179311</v>
          </cell>
          <cell r="F852">
            <v>29460646</v>
          </cell>
          <cell r="G852" t="str">
            <v>16/05/2025</v>
          </cell>
          <cell r="H852">
            <v>3345</v>
          </cell>
        </row>
        <row r="853">
          <cell r="E853">
            <v>1179312</v>
          </cell>
          <cell r="F853">
            <v>29461464</v>
          </cell>
          <cell r="G853" t="str">
            <v>06/11/2025</v>
          </cell>
          <cell r="H853">
            <v>7945</v>
          </cell>
        </row>
        <row r="854">
          <cell r="E854">
            <v>1179314</v>
          </cell>
          <cell r="F854">
            <v>29461510</v>
          </cell>
          <cell r="G854" t="str">
            <v>16/05/2025</v>
          </cell>
          <cell r="H854">
            <v>5855</v>
          </cell>
        </row>
        <row r="855">
          <cell r="E855">
            <v>1179315</v>
          </cell>
          <cell r="F855">
            <v>29459915</v>
          </cell>
          <cell r="G855" t="str">
            <v>16/05/2025</v>
          </cell>
          <cell r="H855">
            <v>10575</v>
          </cell>
        </row>
        <row r="856">
          <cell r="E856">
            <v>1179339</v>
          </cell>
          <cell r="F856">
            <v>29461480</v>
          </cell>
          <cell r="G856" t="str">
            <v>25/06/2025</v>
          </cell>
          <cell r="H856">
            <v>11655</v>
          </cell>
        </row>
        <row r="857">
          <cell r="E857">
            <v>1179368</v>
          </cell>
          <cell r="F857">
            <v>29464390</v>
          </cell>
          <cell r="G857" t="str">
            <v>16/05/2025</v>
          </cell>
          <cell r="H857">
            <v>5285</v>
          </cell>
        </row>
        <row r="858">
          <cell r="E858">
            <v>1179377</v>
          </cell>
          <cell r="F858">
            <v>29464765</v>
          </cell>
          <cell r="G858" t="str">
            <v>16/05/2025</v>
          </cell>
          <cell r="H858">
            <v>4285</v>
          </cell>
        </row>
        <row r="859">
          <cell r="E859">
            <v>1179389</v>
          </cell>
          <cell r="F859">
            <v>29464382</v>
          </cell>
          <cell r="G859" t="str">
            <v>26/09/2025</v>
          </cell>
          <cell r="H859">
            <v>7065</v>
          </cell>
        </row>
        <row r="860">
          <cell r="E860">
            <v>1179431</v>
          </cell>
          <cell r="F860">
            <v>29464374</v>
          </cell>
          <cell r="G860" t="str">
            <v>16/05/2025</v>
          </cell>
          <cell r="H860">
            <v>11075</v>
          </cell>
        </row>
        <row r="861">
          <cell r="E861">
            <v>1179439</v>
          </cell>
          <cell r="F861">
            <v>29465400</v>
          </cell>
          <cell r="G861" t="str">
            <v>26/08/2025</v>
          </cell>
          <cell r="H861">
            <v>5835</v>
          </cell>
        </row>
        <row r="862">
          <cell r="E862">
            <v>1179440</v>
          </cell>
          <cell r="F862">
            <v>29464773</v>
          </cell>
          <cell r="G862" t="str">
            <v>26/09/2025</v>
          </cell>
          <cell r="H862">
            <v>12765</v>
          </cell>
        </row>
        <row r="863">
          <cell r="E863">
            <v>1179452</v>
          </cell>
          <cell r="F863">
            <v>29467551</v>
          </cell>
          <cell r="G863" t="str">
            <v>16/05/2025</v>
          </cell>
          <cell r="H863">
            <v>4095</v>
          </cell>
        </row>
        <row r="864">
          <cell r="E864">
            <v>1179453</v>
          </cell>
          <cell r="F864">
            <v>29467624</v>
          </cell>
          <cell r="G864" t="str">
            <v>26/08/2025</v>
          </cell>
          <cell r="H864">
            <v>6485</v>
          </cell>
        </row>
        <row r="865">
          <cell r="E865">
            <v>1179479</v>
          </cell>
          <cell r="F865">
            <v>29739624</v>
          </cell>
          <cell r="G865" t="str">
            <v>16/05/2025</v>
          </cell>
          <cell r="H865">
            <v>3355</v>
          </cell>
        </row>
        <row r="866">
          <cell r="E866">
            <v>1179481</v>
          </cell>
          <cell r="F866">
            <v>29469066</v>
          </cell>
          <cell r="G866" t="str">
            <v>06/11/2025</v>
          </cell>
          <cell r="H866">
            <v>8955</v>
          </cell>
        </row>
        <row r="867">
          <cell r="E867">
            <v>1179483</v>
          </cell>
          <cell r="F867">
            <v>29467870</v>
          </cell>
          <cell r="G867" t="str">
            <v>26/08/2025</v>
          </cell>
          <cell r="H867">
            <v>4445</v>
          </cell>
        </row>
        <row r="868">
          <cell r="E868">
            <v>1179606</v>
          </cell>
          <cell r="F868">
            <v>29470579</v>
          </cell>
          <cell r="G868" t="str">
            <v>16/05/2025</v>
          </cell>
          <cell r="H868">
            <v>10325</v>
          </cell>
        </row>
        <row r="869">
          <cell r="E869">
            <v>1179619</v>
          </cell>
          <cell r="F869">
            <v>29470501</v>
          </cell>
          <cell r="G869" t="str">
            <v>06/11/2025</v>
          </cell>
          <cell r="H869">
            <v>6595</v>
          </cell>
        </row>
        <row r="870">
          <cell r="E870">
            <v>1179628</v>
          </cell>
          <cell r="F870">
            <v>29473101</v>
          </cell>
          <cell r="G870" t="str">
            <v>06/11/2025</v>
          </cell>
          <cell r="H870">
            <v>8425</v>
          </cell>
        </row>
        <row r="871">
          <cell r="E871">
            <v>1179655</v>
          </cell>
          <cell r="F871">
            <v>29473365</v>
          </cell>
          <cell r="G871" t="str">
            <v>16/05/2025</v>
          </cell>
          <cell r="H871">
            <v>5695</v>
          </cell>
        </row>
        <row r="872">
          <cell r="E872">
            <v>1179661</v>
          </cell>
          <cell r="F872">
            <v>29474272</v>
          </cell>
          <cell r="G872" t="str">
            <v>16/05/2025</v>
          </cell>
          <cell r="H872">
            <v>9695</v>
          </cell>
        </row>
        <row r="873">
          <cell r="E873">
            <v>1179662</v>
          </cell>
          <cell r="F873">
            <v>29474914</v>
          </cell>
          <cell r="G873" t="str">
            <v>26/09/2025</v>
          </cell>
          <cell r="H873">
            <v>12955</v>
          </cell>
        </row>
        <row r="874">
          <cell r="E874">
            <v>1179668</v>
          </cell>
          <cell r="F874">
            <v>29474892</v>
          </cell>
          <cell r="G874" t="str">
            <v>23/05/2025</v>
          </cell>
          <cell r="H874">
            <v>4045</v>
          </cell>
        </row>
        <row r="875">
          <cell r="E875">
            <v>1179670</v>
          </cell>
          <cell r="F875">
            <v>29475082</v>
          </cell>
          <cell r="G875" t="str">
            <v>25/06/2025</v>
          </cell>
          <cell r="H875">
            <v>21155</v>
          </cell>
        </row>
        <row r="876">
          <cell r="E876">
            <v>1179678</v>
          </cell>
          <cell r="F876">
            <v>29477492</v>
          </cell>
          <cell r="G876" t="str">
            <v>16/05/2025</v>
          </cell>
          <cell r="H876">
            <v>5995</v>
          </cell>
        </row>
        <row r="877">
          <cell r="E877">
            <v>1179686</v>
          </cell>
          <cell r="F877">
            <v>29477220</v>
          </cell>
          <cell r="G877" t="str">
            <v>16/05/2025</v>
          </cell>
          <cell r="H877">
            <v>3885</v>
          </cell>
        </row>
        <row r="878">
          <cell r="E878">
            <v>1179687</v>
          </cell>
          <cell r="F878">
            <v>29477441</v>
          </cell>
          <cell r="G878" t="str">
            <v>25/06/2025</v>
          </cell>
          <cell r="H878">
            <v>21265</v>
          </cell>
        </row>
        <row r="879">
          <cell r="E879">
            <v>1179694</v>
          </cell>
          <cell r="F879">
            <v>29479169</v>
          </cell>
          <cell r="G879" t="str">
            <v>23/05/2025</v>
          </cell>
          <cell r="H879">
            <v>5235</v>
          </cell>
        </row>
        <row r="880">
          <cell r="E880">
            <v>1179701</v>
          </cell>
          <cell r="F880">
            <v>29482267</v>
          </cell>
          <cell r="G880" t="str">
            <v>16/05/2025</v>
          </cell>
          <cell r="H880">
            <v>5935</v>
          </cell>
        </row>
        <row r="881">
          <cell r="E881">
            <v>1179704</v>
          </cell>
          <cell r="F881">
            <v>29481325</v>
          </cell>
          <cell r="G881" t="str">
            <v>06/11/2025</v>
          </cell>
          <cell r="H881">
            <v>8245</v>
          </cell>
        </row>
        <row r="882">
          <cell r="E882">
            <v>1179708</v>
          </cell>
          <cell r="F882">
            <v>29483891</v>
          </cell>
          <cell r="G882" t="str">
            <v>16/05/2025</v>
          </cell>
          <cell r="H882">
            <v>4915</v>
          </cell>
        </row>
        <row r="883">
          <cell r="E883">
            <v>1179712</v>
          </cell>
          <cell r="F883">
            <v>29485100</v>
          </cell>
          <cell r="G883" t="str">
            <v>16/05/2025</v>
          </cell>
          <cell r="H883">
            <v>6685</v>
          </cell>
        </row>
        <row r="884">
          <cell r="E884">
            <v>1179717</v>
          </cell>
          <cell r="F884">
            <v>29483395</v>
          </cell>
          <cell r="G884" t="str">
            <v>25/06/2025</v>
          </cell>
          <cell r="H884">
            <v>6225</v>
          </cell>
        </row>
        <row r="885">
          <cell r="E885">
            <v>1179765</v>
          </cell>
          <cell r="F885">
            <v>29486327</v>
          </cell>
          <cell r="G885" t="str">
            <v>26/08/2025</v>
          </cell>
          <cell r="H885">
            <v>3185</v>
          </cell>
        </row>
        <row r="886">
          <cell r="E886">
            <v>1179769</v>
          </cell>
          <cell r="F886">
            <v>29095158</v>
          </cell>
          <cell r="G886" t="str">
            <v>06/11/2025</v>
          </cell>
          <cell r="H886">
            <v>10115</v>
          </cell>
        </row>
        <row r="887">
          <cell r="E887">
            <v>1179770</v>
          </cell>
          <cell r="F887">
            <v>29094240</v>
          </cell>
          <cell r="G887" t="str">
            <v>06/11/2025</v>
          </cell>
          <cell r="H887">
            <v>8165</v>
          </cell>
        </row>
        <row r="888">
          <cell r="E888">
            <v>1179772</v>
          </cell>
          <cell r="F888">
            <v>29487110</v>
          </cell>
          <cell r="G888" t="str">
            <v>25/06/2025</v>
          </cell>
          <cell r="H888">
            <v>4875</v>
          </cell>
        </row>
        <row r="889">
          <cell r="E889">
            <v>1179778</v>
          </cell>
          <cell r="F889">
            <v>29242231</v>
          </cell>
          <cell r="G889" t="str">
            <v>29/05/2025</v>
          </cell>
          <cell r="H889">
            <v>26855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tações de Conta inadimplent"/>
      <sheetName val="Prestações de Contas (3)"/>
    </sheetNames>
    <sheetDataSet>
      <sheetData sheetId="0">
        <row r="9">
          <cell r="C9" t="str">
            <v>Centro Educacional Carneiro Ribeiro - Escola Parque</v>
          </cell>
          <cell r="D9">
            <v>1101511</v>
          </cell>
        </row>
        <row r="10">
          <cell r="C10" t="str">
            <v>Colegio Da Policia Militar - Cpm Joao Florencio Gomes</v>
          </cell>
          <cell r="D10">
            <v>1102046</v>
          </cell>
        </row>
        <row r="11">
          <cell r="C11" t="str">
            <v>Colegio Estadual De Tempo Integral Professora Kelly Magalhaes</v>
          </cell>
          <cell r="D11">
            <v>1178162</v>
          </cell>
        </row>
        <row r="12">
          <cell r="C12" t="str">
            <v>Centro Territorial De Educacao Profissional Do Medio Rio Das Contas</v>
          </cell>
          <cell r="D12">
            <v>1166621</v>
          </cell>
        </row>
        <row r="13">
          <cell r="C13" t="str">
            <v>Centro Educacional Carneiro Ribeiro - Escola Parque</v>
          </cell>
          <cell r="D13">
            <v>1101511</v>
          </cell>
        </row>
        <row r="14">
          <cell r="C14" t="str">
            <v>Colegio Da Policia Militar Cpm Diva Portela</v>
          </cell>
          <cell r="D14">
            <v>1105878</v>
          </cell>
        </row>
        <row r="15">
          <cell r="C15" t="str">
            <v>Colegio Georgina Soares Nascimento</v>
          </cell>
          <cell r="D15">
            <v>1106084</v>
          </cell>
        </row>
        <row r="16">
          <cell r="C16" t="str">
            <v>Colegio Estadual Polivalente De Camacari</v>
          </cell>
          <cell r="D16">
            <v>1104707</v>
          </cell>
        </row>
        <row r="17">
          <cell r="C17" t="str">
            <v>Colegio Estadual Jose De Freitas Mascarenhas</v>
          </cell>
          <cell r="D17">
            <v>1102259</v>
          </cell>
        </row>
        <row r="18">
          <cell r="C18" t="str">
            <v>Centro Territorial De Educacao Profissional Da Regiao Metropolitana</v>
          </cell>
          <cell r="D18">
            <v>1176611</v>
          </cell>
        </row>
        <row r="19">
          <cell r="C19" t="str">
            <v>Colegio Estadual De Monte Gordo</v>
          </cell>
          <cell r="D19">
            <v>1178399</v>
          </cell>
        </row>
        <row r="20">
          <cell r="C20" t="str">
            <v>Colegio Estadual Professora Nadir Araujo Copque</v>
          </cell>
          <cell r="D20">
            <v>1178420</v>
          </cell>
        </row>
        <row r="21">
          <cell r="C21" t="str">
            <v>Colegio Estadual De Barra De Pojuca</v>
          </cell>
          <cell r="D21">
            <v>1178445</v>
          </cell>
        </row>
        <row r="22">
          <cell r="C22" t="str">
            <v>Colegio Estadual Maria Quiteria</v>
          </cell>
          <cell r="D22">
            <v>1125887</v>
          </cell>
        </row>
        <row r="23">
          <cell r="C23" t="str">
            <v>Colegio Estadual Manoel De Jesus</v>
          </cell>
          <cell r="D23">
            <v>1177009</v>
          </cell>
        </row>
        <row r="24">
          <cell r="C24" t="str">
            <v>Colegio Estadual Abilio Cesar Borges</v>
          </cell>
          <cell r="D24">
            <v>1100167</v>
          </cell>
        </row>
        <row r="25">
          <cell r="C25" t="str">
            <v>Colegio Estadual Senador Luiz Viana Filho</v>
          </cell>
          <cell r="D25">
            <v>1111495</v>
          </cell>
        </row>
        <row r="26">
          <cell r="C26" t="str">
            <v>Colegio Estadual De Tempo Integral De Canavieiras</v>
          </cell>
          <cell r="D26">
            <v>1178107</v>
          </cell>
        </row>
        <row r="27">
          <cell r="C27" t="str">
            <v>Colegio Estadual Menandro Minahim</v>
          </cell>
          <cell r="D27">
            <v>1139136</v>
          </cell>
        </row>
        <row r="28">
          <cell r="C28" t="str">
            <v>Colegio Estadual De Tempo Integral Fred Gedeon</v>
          </cell>
          <cell r="D28">
            <v>1158947</v>
          </cell>
        </row>
        <row r="29">
          <cell r="C29" t="str">
            <v>Colegio Estadual Amelia Amado</v>
          </cell>
          <cell r="D29">
            <v>1159277</v>
          </cell>
        </row>
        <row r="30">
          <cell r="C30" t="str">
            <v>Colegio Estadual 13 De Junho</v>
          </cell>
          <cell r="D30">
            <v>1170912</v>
          </cell>
        </row>
        <row r="31">
          <cell r="C31" t="str">
            <v>Colegio Estadual Carneiro Ribeiro</v>
          </cell>
          <cell r="D31">
            <v>1159790</v>
          </cell>
        </row>
        <row r="32">
          <cell r="C32" t="str">
            <v>Colegio Estadual Professora Lia Publio De Castro</v>
          </cell>
          <cell r="D32">
            <v>1129416</v>
          </cell>
        </row>
        <row r="33">
          <cell r="C33" t="str">
            <v>Colegio Estadual De Tempo Integral Norberto Fernandes</v>
          </cell>
          <cell r="D33">
            <v>1128371</v>
          </cell>
        </row>
        <row r="34">
          <cell r="C34" t="str">
            <v>Centro Territorial De Educ Profi Da Bacia Do Jacuipe Iii-edna Daltro</v>
          </cell>
          <cell r="D34">
            <v>1162243</v>
          </cell>
        </row>
        <row r="35">
          <cell r="C35" t="str">
            <v>Colegio Estadual Anisio Teixeira</v>
          </cell>
          <cell r="D35">
            <v>1129130</v>
          </cell>
        </row>
        <row r="36">
          <cell r="C36" t="str">
            <v>Colegio Estadual Nelson Mandela</v>
          </cell>
          <cell r="D36">
            <v>1104596</v>
          </cell>
        </row>
        <row r="37">
          <cell r="C37" t="str">
            <v>Centro Est De Educacao Profissional Em Saude Do Centro Baiano</v>
          </cell>
          <cell r="D37">
            <v>1105975</v>
          </cell>
        </row>
        <row r="38">
          <cell r="C38" t="str">
            <v>Colegio Estadual Professor Romulo Almeida</v>
          </cell>
          <cell r="D38">
            <v>1146094</v>
          </cell>
        </row>
        <row r="39">
          <cell r="C39" t="str">
            <v>Complexo Integrado De Educ Basica Profis E Tecnologica De Itabuna</v>
          </cell>
          <cell r="D39">
            <v>1176081</v>
          </cell>
        </row>
        <row r="40">
          <cell r="C40" t="str">
            <v>Colegio Modelo Luis Eduardo Magalhaes</v>
          </cell>
          <cell r="D40">
            <v>1176429</v>
          </cell>
        </row>
        <row r="41">
          <cell r="C41" t="str">
            <v>Colegio Estadual De Tempo Integral Jose Marcelo Silveira Mariani</v>
          </cell>
          <cell r="D41">
            <v>1130260</v>
          </cell>
        </row>
        <row r="42">
          <cell r="C42" t="str">
            <v>Colegio Estadual Do Campo Anativo Do Sacramento</v>
          </cell>
          <cell r="D42">
            <v>1178265</v>
          </cell>
        </row>
        <row r="43">
          <cell r="C43" t="str">
            <v>Colegio Estadual Alberico Gomes Santana</v>
          </cell>
          <cell r="D43">
            <v>1178152</v>
          </cell>
        </row>
        <row r="44">
          <cell r="C44" t="str">
            <v>Colegio Estadual Nossa Senhora Da Conceicao</v>
          </cell>
          <cell r="D44">
            <v>1178030</v>
          </cell>
        </row>
        <row r="45">
          <cell r="C45" t="str">
            <v>Colegio Estadual De Vilas De Abrantes</v>
          </cell>
          <cell r="D45">
            <v>1178400</v>
          </cell>
        </row>
        <row r="46">
          <cell r="C46" t="str">
            <v>Colegio Estadual Professor Eraldo Tinoco</v>
          </cell>
          <cell r="D46">
            <v>1118066</v>
          </cell>
        </row>
        <row r="47">
          <cell r="C47" t="str">
            <v>Centro Juvenil De Ciencia E Cultura-cjcc Central</v>
          </cell>
          <cell r="D47">
            <v>1179208</v>
          </cell>
        </row>
        <row r="48">
          <cell r="C48" t="str">
            <v>Colegio Estadual Cidade De Candeias</v>
          </cell>
          <cell r="D48">
            <v>1177099</v>
          </cell>
        </row>
        <row r="49">
          <cell r="C49" t="str">
            <v>Colegio Estadual Centenario</v>
          </cell>
          <cell r="D49">
            <v>1123485</v>
          </cell>
        </row>
        <row r="50">
          <cell r="C50" t="str">
            <v>Colegio Estadual Santa Bernadete</v>
          </cell>
          <cell r="D50">
            <v>1145462</v>
          </cell>
        </row>
        <row r="51">
          <cell r="C51" t="str">
            <v>Colegio Estadual Agostinho Muniz</v>
          </cell>
          <cell r="D51">
            <v>1160950</v>
          </cell>
        </row>
        <row r="52">
          <cell r="C52" t="str">
            <v>Colegio Estadual Cecilio Mattos</v>
          </cell>
          <cell r="D52">
            <v>1120389</v>
          </cell>
        </row>
        <row r="53">
          <cell r="C53" t="str">
            <v>Colegio Estadual Heitor Villa Lobos</v>
          </cell>
          <cell r="D53">
            <v>1141939</v>
          </cell>
        </row>
        <row r="54">
          <cell r="C54" t="str">
            <v>Colegio Estadual Indigena Tupinamba De Acuipe De Baixo</v>
          </cell>
          <cell r="D54">
            <v>1179275</v>
          </cell>
        </row>
        <row r="55">
          <cell r="C55" t="str">
            <v>Colegio Estadual Pedro Raymundo Moreira Rego</v>
          </cell>
          <cell r="D55">
            <v>1120761</v>
          </cell>
        </row>
        <row r="56">
          <cell r="C56" t="str">
            <v>Colegio Estadual Imaculada Conceicao</v>
          </cell>
          <cell r="D56">
            <v>1106297</v>
          </cell>
        </row>
        <row r="57">
          <cell r="C57" t="str">
            <v>Colegio Estadual Antonio Figueiredo</v>
          </cell>
          <cell r="D57">
            <v>1178031</v>
          </cell>
        </row>
        <row r="58">
          <cell r="C58" t="str">
            <v>Colegio Estadual Anfrisia Santiago</v>
          </cell>
          <cell r="D58">
            <v>1100540</v>
          </cell>
        </row>
        <row r="59">
          <cell r="C59" t="str">
            <v>Colegio Estadual De Nova Esperanca</v>
          </cell>
          <cell r="D59">
            <v>1179485</v>
          </cell>
        </row>
        <row r="60">
          <cell r="C60" t="str">
            <v>Colegio Estadual Kleber Pacheco</v>
          </cell>
          <cell r="D60">
            <v>1102445</v>
          </cell>
        </row>
        <row r="61">
          <cell r="C61" t="str">
            <v>Colegio Estadual Maria Amelia Santos</v>
          </cell>
          <cell r="D61">
            <v>1102747</v>
          </cell>
        </row>
        <row r="62">
          <cell r="C62" t="str">
            <v>Colegio Estadual Mestre Moa Do Katende</v>
          </cell>
          <cell r="D62">
            <v>1172320</v>
          </cell>
        </row>
        <row r="63">
          <cell r="C63" t="str">
            <v>Colegio Estadual Mestre Paulo Dos Anjos</v>
          </cell>
          <cell r="D63">
            <v>1178138</v>
          </cell>
        </row>
        <row r="64">
          <cell r="C64" t="str">
            <v>Colegio Estadual Governador Roberto Santos</v>
          </cell>
          <cell r="D64">
            <v>1103786</v>
          </cell>
        </row>
        <row r="65">
          <cell r="C65" t="str">
            <v>Colegio Estadual De Tempo Integral Georgina De Melo Erismann</v>
          </cell>
          <cell r="D65">
            <v>1179770</v>
          </cell>
        </row>
        <row r="66">
          <cell r="C66" t="str">
            <v>Colegio Estadual Do Campo Aluizio Carneiro Da Silva</v>
          </cell>
          <cell r="D66">
            <v>1166427</v>
          </cell>
        </row>
        <row r="67">
          <cell r="C67" t="str">
            <v>Colegio Estadual Thales De Azevedo</v>
          </cell>
          <cell r="D67">
            <v>1176377</v>
          </cell>
        </row>
        <row r="68">
          <cell r="C68" t="str">
            <v>Colegio Estadual Assis Valente</v>
          </cell>
          <cell r="D68">
            <v>1178202</v>
          </cell>
        </row>
        <row r="69">
          <cell r="C69" t="str">
            <v>Colegio Modelo Luis Eduardo Magalhaes</v>
          </cell>
          <cell r="D69">
            <v>1176423</v>
          </cell>
        </row>
        <row r="70">
          <cell r="C70" t="str">
            <v>Colegio Estadual Euricles De Matos</v>
          </cell>
          <cell r="D70">
            <v>1102976</v>
          </cell>
        </row>
        <row r="71">
          <cell r="C71" t="str">
            <v>Escola Visconde De Itaparica</v>
          </cell>
          <cell r="D71">
            <v>1103492</v>
          </cell>
        </row>
        <row r="72">
          <cell r="C72" t="str">
            <v>Escola Professor Roberto Santos</v>
          </cell>
          <cell r="D72">
            <v>1103506</v>
          </cell>
        </row>
        <row r="73">
          <cell r="C73" t="str">
            <v>Colegio Estadual Ursula Catharino</v>
          </cell>
          <cell r="D73">
            <v>1103751</v>
          </cell>
        </row>
        <row r="74">
          <cell r="C74" t="str">
            <v>Colegio Estadual Conselheiro Vicente Pacheco De Oliveira</v>
          </cell>
          <cell r="D74">
            <v>1104260</v>
          </cell>
        </row>
        <row r="75">
          <cell r="C75" t="str">
            <v>Colegio Da Policia Militar - Unidade I Cpm Dendezeiros</v>
          </cell>
          <cell r="D75">
            <v>1104650</v>
          </cell>
        </row>
        <row r="76">
          <cell r="C76" t="str">
            <v>Escola Estadual Raul Sa</v>
          </cell>
          <cell r="D76">
            <v>1141998</v>
          </cell>
        </row>
        <row r="77">
          <cell r="C77" t="str">
            <v>Colegio Estadual Do Campo Jorge Calmon</v>
          </cell>
          <cell r="D77">
            <v>1111436</v>
          </cell>
        </row>
        <row r="78">
          <cell r="C78" t="str">
            <v>Colegio Estadual Bento Goncalves</v>
          </cell>
          <cell r="D78">
            <v>1145829</v>
          </cell>
        </row>
        <row r="79">
          <cell r="C79" t="str">
            <v>Colegio Estadual Lindembergue Cardoso</v>
          </cell>
          <cell r="D79">
            <v>1176446</v>
          </cell>
        </row>
        <row r="80">
          <cell r="C80" t="str">
            <v>Colegio Estadual Professora Maria Odette Pithon Raynal</v>
          </cell>
          <cell r="D80">
            <v>1176765</v>
          </cell>
        </row>
        <row r="81">
          <cell r="C81" t="str">
            <v>Colegio Estadual Ana Cristina Prazeres Mata Pires</v>
          </cell>
          <cell r="D81">
            <v>1178157</v>
          </cell>
        </row>
        <row r="82">
          <cell r="C82" t="str">
            <v>Colegio Estadual Carlito De Carvalho</v>
          </cell>
          <cell r="D82">
            <v>1178398</v>
          </cell>
        </row>
        <row r="83">
          <cell r="C83" t="str">
            <v>Colegio Estadual Lomanto Junior</v>
          </cell>
          <cell r="D83">
            <v>1112491</v>
          </cell>
        </row>
        <row r="84">
          <cell r="C84" t="str">
            <v>Colegio Estadual Edivaldo Boaventura</v>
          </cell>
          <cell r="D84">
            <v>1100957</v>
          </cell>
        </row>
        <row r="85">
          <cell r="C85" t="str">
            <v>Colegio Est De Tempo Integral Prof Ana Angelica Vergne De Morais</v>
          </cell>
          <cell r="D85">
            <v>1106467</v>
          </cell>
        </row>
        <row r="86">
          <cell r="C86" t="str">
            <v>Colegio Estadual Edilson Joaquim Dos Santos</v>
          </cell>
          <cell r="D86">
            <v>1178029</v>
          </cell>
        </row>
        <row r="87">
          <cell r="C87" t="str">
            <v>Colegio Estadual Professora Maria Helena Oliveira</v>
          </cell>
          <cell r="D87">
            <v>1178086</v>
          </cell>
        </row>
        <row r="88">
          <cell r="C88" t="str">
            <v>Colegio Estadual Francisco Silva Passos</v>
          </cell>
          <cell r="D88">
            <v>1176142</v>
          </cell>
        </row>
        <row r="89">
          <cell r="C89" t="str">
            <v>Centro Estadual De Educacao Profissional Do Chocolate Nelson Schaun</v>
          </cell>
          <cell r="D89">
            <v>1111096</v>
          </cell>
        </row>
        <row r="90">
          <cell r="C90" t="str">
            <v>Colegio Estadual De Cristopolis</v>
          </cell>
          <cell r="D90">
            <v>1169558</v>
          </cell>
        </row>
        <row r="91">
          <cell r="C91" t="str">
            <v>Colegio Estadual Professora Maria Anita</v>
          </cell>
          <cell r="D91">
            <v>1174772</v>
          </cell>
        </row>
        <row r="92">
          <cell r="C92" t="str">
            <v>Colegio Estadual Luis Rogerio De Souza</v>
          </cell>
          <cell r="D92">
            <v>1102542</v>
          </cell>
        </row>
        <row r="93">
          <cell r="C93" t="str">
            <v>Colegio Estadual De Tempo Integral Prof Pedro Paulo Marques E Marques</v>
          </cell>
          <cell r="D93">
            <v>1104600</v>
          </cell>
        </row>
        <row r="94">
          <cell r="C94" t="str">
            <v>Colegio Estadual Pinto De Aguiar</v>
          </cell>
          <cell r="D94">
            <v>1104057</v>
          </cell>
        </row>
        <row r="95">
          <cell r="C95" t="str">
            <v>Colegio Estadual Barros Barreto</v>
          </cell>
          <cell r="D95">
            <v>1100370</v>
          </cell>
        </row>
        <row r="96">
          <cell r="C96" t="str">
            <v>Colegio Estadual Oliveira Brito</v>
          </cell>
          <cell r="D96">
            <v>1176387</v>
          </cell>
        </row>
        <row r="97">
          <cell r="C97" t="str">
            <v>Colegio Estadual De Tempo Integral Sao Daniel Comboni</v>
          </cell>
          <cell r="D97">
            <v>1178325</v>
          </cell>
        </row>
        <row r="98">
          <cell r="C98" t="str">
            <v>Colegio Estadual Reitor Miguel Calmon</v>
          </cell>
          <cell r="D98">
            <v>1103000</v>
          </cell>
        </row>
        <row r="99">
          <cell r="C99" t="str">
            <v>Colegio Estadual Do Campo Santo Antonio Do Argoim</v>
          </cell>
          <cell r="D99">
            <v>1178426</v>
          </cell>
        </row>
        <row r="100">
          <cell r="C100" t="str">
            <v>Colegio Estadual De Valente</v>
          </cell>
          <cell r="D100">
            <v>1178102</v>
          </cell>
        </row>
        <row r="101">
          <cell r="C101" t="str">
            <v>Colegio Estadual De Tempo Integral Jose Dias De Sales</v>
          </cell>
          <cell r="D101">
            <v>1103816</v>
          </cell>
        </row>
        <row r="102">
          <cell r="C102" t="str">
            <v>Colegio Estadual Padre Jose Vasconcelos</v>
          </cell>
          <cell r="D102">
            <v>1102348</v>
          </cell>
        </row>
        <row r="103">
          <cell r="C103" t="str">
            <v>Colegio Estadual Dois De Julho</v>
          </cell>
          <cell r="D103">
            <v>1100949</v>
          </cell>
        </row>
        <row r="104">
          <cell r="C104" t="str">
            <v>Centro De Apoio Pedagogico Especializado De Feira De Santana</v>
          </cell>
          <cell r="D104">
            <v>1178101</v>
          </cell>
        </row>
        <row r="105">
          <cell r="C105" t="str">
            <v>Colegio Estadual Princesa Izabel</v>
          </cell>
          <cell r="D105">
            <v>1104219</v>
          </cell>
        </row>
        <row r="106">
          <cell r="C106" t="str">
            <v>Colegio Estadual Do Campo Professora Lucia Maria Batista Da Silva</v>
          </cell>
          <cell r="D106">
            <v>1178751</v>
          </cell>
        </row>
        <row r="107">
          <cell r="C107" t="str">
            <v>Colegio Estadual Professora Georgina Ramos Da Silva</v>
          </cell>
          <cell r="D107">
            <v>1101619</v>
          </cell>
        </row>
        <row r="108">
          <cell r="C108" t="str">
            <v>Colegio Estadual Do Campo Miguel Moreira De Carvalho</v>
          </cell>
          <cell r="D108">
            <v>1179619</v>
          </cell>
        </row>
        <row r="109">
          <cell r="C109" t="str">
            <v>Centro Educacional Edgar Santos</v>
          </cell>
          <cell r="D109">
            <v>1101163</v>
          </cell>
        </row>
        <row r="110">
          <cell r="C110" t="str">
            <v>Colegio Estadual Rotary</v>
          </cell>
          <cell r="D110">
            <v>1106556</v>
          </cell>
        </row>
        <row r="111">
          <cell r="C111" t="str">
            <v>Colegio Estadual Terra Nova</v>
          </cell>
          <cell r="D111">
            <v>1178047</v>
          </cell>
        </row>
        <row r="112">
          <cell r="C112" t="str">
            <v>Colegio Estadual Idalina Da Silva Dourado</v>
          </cell>
          <cell r="D112">
            <v>1162502</v>
          </cell>
        </row>
        <row r="113">
          <cell r="C113" t="str">
            <v>Centro De Apoio Pedagogico Especializado - Cape Irece</v>
          </cell>
          <cell r="D113">
            <v>1179782</v>
          </cell>
        </row>
        <row r="114">
          <cell r="C114" t="str">
            <v>Colegio Estadual Do Campo Projeto Formoso</v>
          </cell>
          <cell r="D114">
            <v>1178018</v>
          </cell>
        </row>
        <row r="115">
          <cell r="C115" t="str">
            <v>Colegio Estadual Everton Oliveira De Santana</v>
          </cell>
          <cell r="D115">
            <v>1179668</v>
          </cell>
        </row>
        <row r="116">
          <cell r="C116" t="str">
            <v>Colegio Estadual Filomena Pereira Rodrigues</v>
          </cell>
          <cell r="D116">
            <v>1178280</v>
          </cell>
        </row>
        <row r="117">
          <cell r="C117" t="str">
            <v>Colegio Estadual Suzana De Araujo Bomfim</v>
          </cell>
          <cell r="D117">
            <v>1176177</v>
          </cell>
        </row>
        <row r="118">
          <cell r="C118" t="str">
            <v>Centro De Apoio Pedagogico Especializado - Cape Bom Jesus Da Lapa</v>
          </cell>
          <cell r="D118">
            <v>1179783</v>
          </cell>
        </row>
        <row r="119">
          <cell r="C119" t="str">
            <v>Colegio Estadual Indigena Paje Roque Moises Da Silva</v>
          </cell>
          <cell r="D119">
            <v>1179304</v>
          </cell>
        </row>
        <row r="120">
          <cell r="C120" t="str">
            <v>Colegio Estadual De Tempo Integral Cleonice Olegario Dos Santos</v>
          </cell>
          <cell r="D120">
            <v>1179772</v>
          </cell>
        </row>
        <row r="121">
          <cell r="C121" t="str">
            <v>Colegio Estadual De Tempo Integral Edgar Silva</v>
          </cell>
          <cell r="D121">
            <v>1178017</v>
          </cell>
        </row>
        <row r="122">
          <cell r="C122" t="str">
            <v>Colegio Estadual Professora Carmenilza De Araujo Lima De Matos</v>
          </cell>
          <cell r="D122">
            <v>1179291</v>
          </cell>
        </row>
        <row r="123">
          <cell r="C123" t="str">
            <v>Colegio Estadual Getulio Vargas</v>
          </cell>
          <cell r="D123">
            <v>1123701</v>
          </cell>
        </row>
        <row r="124">
          <cell r="C124" t="str">
            <v>Colegio Estadual De Tempo Integral De Bonito</v>
          </cell>
          <cell r="D124">
            <v>1178103</v>
          </cell>
        </row>
        <row r="125">
          <cell r="C125" t="str">
            <v>Colegio Estadual De Tempo Integral De Ibicoara</v>
          </cell>
          <cell r="D125">
            <v>1168411</v>
          </cell>
        </row>
        <row r="126">
          <cell r="C126" t="str">
            <v>Colegio Estadual De Tempo Integral De Iraquara</v>
          </cell>
          <cell r="D126">
            <v>1133278</v>
          </cell>
        </row>
        <row r="127">
          <cell r="C127" t="str">
            <v>Colegio Estadual Professora Isaura Santos</v>
          </cell>
          <cell r="D127">
            <v>1123353</v>
          </cell>
        </row>
        <row r="128">
          <cell r="C128" t="str">
            <v>Colegio Estadual Teotonio Marques Dourado Filho</v>
          </cell>
          <cell r="D128">
            <v>1161956</v>
          </cell>
        </row>
        <row r="129">
          <cell r="C129" t="str">
            <v>Colegio Estadual Professora Nilde Maria Monteiro Xavier</v>
          </cell>
          <cell r="D129">
            <v>1132565</v>
          </cell>
        </row>
        <row r="130">
          <cell r="C130" t="str">
            <v>Colegio Estadual Carlos Souto - Tempo Integral</v>
          </cell>
          <cell r="D130">
            <v>1178261</v>
          </cell>
        </row>
        <row r="131">
          <cell r="C131" t="str">
            <v>Centro Territorial De Educacao Profissional Da Chapada Diamantina</v>
          </cell>
          <cell r="D131">
            <v>1123876</v>
          </cell>
        </row>
        <row r="132">
          <cell r="C132" t="str">
            <v>Instituto Educacional De Pedra Alta</v>
          </cell>
          <cell r="D132">
            <v>1178114</v>
          </cell>
        </row>
        <row r="133">
          <cell r="C133" t="str">
            <v>Colegio Estadual De Biritinga</v>
          </cell>
          <cell r="D133">
            <v>1115547</v>
          </cell>
        </row>
        <row r="134">
          <cell r="C134" t="str">
            <v>Colegio Estadual Jose Rufino</v>
          </cell>
          <cell r="D134">
            <v>1105606</v>
          </cell>
        </row>
        <row r="135">
          <cell r="C135" t="str">
            <v>Colegio Estadual Osmilton Batista Souza</v>
          </cell>
          <cell r="D135">
            <v>1178245</v>
          </cell>
        </row>
        <row r="136">
          <cell r="C136" t="str">
            <v>Colegio Estadual Senhor Do Bonfim</v>
          </cell>
          <cell r="D136">
            <v>1176868</v>
          </cell>
        </row>
        <row r="137">
          <cell r="C137" t="str">
            <v>Colegio Estadual Do Campo De Pedra Vermelha</v>
          </cell>
          <cell r="D137">
            <v>1179389</v>
          </cell>
        </row>
        <row r="138">
          <cell r="C138" t="str">
            <v>Colegio Estadual Manoel Guimaraes Santana</v>
          </cell>
          <cell r="D138">
            <v>1178091</v>
          </cell>
        </row>
        <row r="139">
          <cell r="C139" t="str">
            <v>Centro Territorial De Educacao Profissional Santa Bernadete</v>
          </cell>
          <cell r="D139">
            <v>1116039</v>
          </cell>
        </row>
        <row r="140">
          <cell r="C140" t="str">
            <v>Colegio Estadual Santo Antonio Das Queimadas</v>
          </cell>
          <cell r="D140">
            <v>1178050</v>
          </cell>
        </row>
        <row r="141">
          <cell r="C141" t="str">
            <v>Colegio Estadual Necy Novaes</v>
          </cell>
          <cell r="D141">
            <v>1115814</v>
          </cell>
        </row>
        <row r="142">
          <cell r="C142" t="str">
            <v>Colegio Estadual Do Campo De Santana</v>
          </cell>
          <cell r="D142">
            <v>1178235</v>
          </cell>
        </row>
        <row r="143">
          <cell r="C143" t="str">
            <v>Colegio Estadual Romulo Galvao</v>
          </cell>
          <cell r="D143">
            <v>1114958</v>
          </cell>
        </row>
        <row r="144">
          <cell r="C144" t="str">
            <v>Centro De Apoio Pedagogico Especializado - Cape Serrinha</v>
          </cell>
          <cell r="D144">
            <v>1179785</v>
          </cell>
        </row>
        <row r="145">
          <cell r="C145" t="str">
            <v>Colegio Estadual Braulio Xavier</v>
          </cell>
          <cell r="D145">
            <v>1161093</v>
          </cell>
        </row>
        <row r="146">
          <cell r="C146" t="str">
            <v>Colegio Estadual Indigena Tupinamba Serra Do Padeiro</v>
          </cell>
          <cell r="D146">
            <v>1178186</v>
          </cell>
        </row>
        <row r="147">
          <cell r="C147" t="str">
            <v>Colegio Estadual Moyses Bohana</v>
          </cell>
          <cell r="D147">
            <v>1169221</v>
          </cell>
        </row>
        <row r="148">
          <cell r="C148" t="str">
            <v>Colegio Estadual Do Iguape</v>
          </cell>
          <cell r="D148">
            <v>1111126</v>
          </cell>
        </row>
        <row r="149">
          <cell r="C149" t="str">
            <v>Colegio Estadual De Tempo Integral Jorge Amado</v>
          </cell>
          <cell r="D149">
            <v>1176424</v>
          </cell>
        </row>
        <row r="150">
          <cell r="C150" t="str">
            <v>Colegio Estadual Professor Fabio Araripe Goulart</v>
          </cell>
          <cell r="D150">
            <v>1176675</v>
          </cell>
        </row>
        <row r="151">
          <cell r="C151" t="str">
            <v>Colegio Estadual De Salobrinho</v>
          </cell>
          <cell r="D151">
            <v>1178145</v>
          </cell>
        </row>
        <row r="152">
          <cell r="C152" t="str">
            <v>Escola Estadual Indigena Tupinamba De Abaete</v>
          </cell>
          <cell r="D152">
            <v>1179622</v>
          </cell>
        </row>
        <row r="153">
          <cell r="C153" t="str">
            <v>Colegio Estadual Adonias Filho</v>
          </cell>
          <cell r="D153">
            <v>1112009</v>
          </cell>
        </row>
        <row r="154">
          <cell r="C154" t="str">
            <v>Colegio Estadual Inacio Tosta Filho</v>
          </cell>
          <cell r="D154">
            <v>1111940</v>
          </cell>
        </row>
        <row r="155">
          <cell r="C155" t="str">
            <v>Centro Territorial De Educacao Profissional Litoral Sul Ii</v>
          </cell>
          <cell r="D155">
            <v>1176101</v>
          </cell>
        </row>
        <row r="156">
          <cell r="C156" t="str">
            <v>Colegio Estadual Aurelino Leal</v>
          </cell>
          <cell r="D156">
            <v>1111347</v>
          </cell>
        </row>
        <row r="157">
          <cell r="C157" t="str">
            <v>Centro Territorial De Educacao Profissional Do Litoral Sul</v>
          </cell>
          <cell r="D157">
            <v>1159668</v>
          </cell>
        </row>
        <row r="158">
          <cell r="C158" t="str">
            <v>Colegio Estadual Do Campo Clemente Mariani</v>
          </cell>
          <cell r="D158">
            <v>1159641</v>
          </cell>
        </row>
        <row r="159">
          <cell r="C159" t="str">
            <v>Colegio Estadual Carolina Severiano Ribeiro</v>
          </cell>
          <cell r="D159">
            <v>1159587</v>
          </cell>
        </row>
        <row r="160">
          <cell r="C160" t="str">
            <v>Colegio Estadual Gerson De Souza Melo Pataxo</v>
          </cell>
          <cell r="D160">
            <v>1177077</v>
          </cell>
        </row>
        <row r="161">
          <cell r="C161" t="str">
            <v>Colegio Estadual Da Aldeia Indigena Caramuru Paraguacu</v>
          </cell>
          <cell r="D161">
            <v>1177011</v>
          </cell>
        </row>
        <row r="162">
          <cell r="C162" t="str">
            <v>Colegio Estadual Jorge Amado</v>
          </cell>
          <cell r="D162">
            <v>1177004</v>
          </cell>
        </row>
        <row r="163">
          <cell r="C163" t="str">
            <v>Colegio Estadual Do Campo De Serra Grande</v>
          </cell>
          <cell r="D163">
            <v>1179595</v>
          </cell>
        </row>
        <row r="164">
          <cell r="C164" t="str">
            <v>Colegio Estadual Candido Meireles</v>
          </cell>
          <cell r="D164">
            <v>1142862</v>
          </cell>
        </row>
        <row r="165">
          <cell r="C165" t="str">
            <v>Colegio Estadual Do Campo Herminio Manoel De Jesus</v>
          </cell>
          <cell r="D165">
            <v>1179139</v>
          </cell>
        </row>
        <row r="166">
          <cell r="C166" t="str">
            <v>Centro De Apoio Pedagogico Especializado - Cape Valenca</v>
          </cell>
          <cell r="D166">
            <v>1179786</v>
          </cell>
        </row>
        <row r="167">
          <cell r="C167" t="str">
            <v>Colegio Estadual Professor Paulo Freire</v>
          </cell>
          <cell r="D167">
            <v>1178216</v>
          </cell>
        </row>
        <row r="168">
          <cell r="C168" t="str">
            <v>Colegio Estadual Indigena Tanara Pataxo Pequi/gurita</v>
          </cell>
          <cell r="D168">
            <v>1179368</v>
          </cell>
        </row>
        <row r="169">
          <cell r="C169" t="str">
            <v>Centro Regional De Ens Medio Com Interm Tecnologica -cemit Extremo Sul</v>
          </cell>
          <cell r="D169">
            <v>1179713</v>
          </cell>
        </row>
        <row r="170">
          <cell r="C170" t="str">
            <v>Colegio Estadual Altair Almeida Meira</v>
          </cell>
          <cell r="D170">
            <v>1178270</v>
          </cell>
        </row>
        <row r="171">
          <cell r="C171" t="str">
            <v>Colegio Estadual Florestal</v>
          </cell>
          <cell r="D171">
            <v>1118830</v>
          </cell>
        </row>
        <row r="172">
          <cell r="C172" t="str">
            <v>Colegio Estadual Juvenilia Peixoto Sampaio</v>
          </cell>
          <cell r="D172">
            <v>1110359</v>
          </cell>
        </row>
        <row r="173">
          <cell r="C173" t="str">
            <v>Colegio Estadual Edivaldo Boaventura</v>
          </cell>
          <cell r="D173">
            <v>1118171</v>
          </cell>
        </row>
        <row r="174">
          <cell r="C174" t="str">
            <v>Colegio Estadual Ananias Carlos Do Nascimento</v>
          </cell>
          <cell r="D174">
            <v>1161654</v>
          </cell>
        </row>
        <row r="175">
          <cell r="C175" t="str">
            <v>Colegio Estadual De Tempo Integral Prof Florentina Alves Dos Santos</v>
          </cell>
          <cell r="D175">
            <v>1161034</v>
          </cell>
        </row>
        <row r="176">
          <cell r="C176" t="str">
            <v>Centro Territorial De Educacao Profissional Do Sertao Do Sao Francisco</v>
          </cell>
          <cell r="D176">
            <v>1161085</v>
          </cell>
        </row>
        <row r="177">
          <cell r="C177" t="str">
            <v>Colegio Estadual Antonilio Da Franca Cardoso</v>
          </cell>
          <cell r="D177">
            <v>1120338</v>
          </cell>
        </row>
        <row r="178">
          <cell r="C178" t="str">
            <v>Colegio Estadual Professor Pedro Raimundo Rodrigues Rego</v>
          </cell>
          <cell r="D178">
            <v>1161204</v>
          </cell>
        </row>
        <row r="179">
          <cell r="C179" t="str">
            <v>Colegio Estadual Reitor Edgard Santos</v>
          </cell>
          <cell r="D179">
            <v>1121326</v>
          </cell>
        </row>
        <row r="180">
          <cell r="C180" t="str">
            <v>Colegio Estadual Vila Sao Joaquim</v>
          </cell>
          <cell r="D180">
            <v>1120907</v>
          </cell>
        </row>
        <row r="181">
          <cell r="C181" t="str">
            <v>Colegio Estadual Do Campo Professor Edivaldo Machado Boaventura</v>
          </cell>
          <cell r="D181">
            <v>1161271</v>
          </cell>
        </row>
        <row r="182">
          <cell r="C182" t="str">
            <v>Centro De Apoio Pedagogico Especializado - Cape Juazeiro</v>
          </cell>
          <cell r="D182">
            <v>1179788</v>
          </cell>
        </row>
        <row r="183">
          <cell r="C183" t="str">
            <v>Colegio Estadual De Barreirinhas</v>
          </cell>
          <cell r="D183">
            <v>1129696</v>
          </cell>
        </row>
        <row r="184">
          <cell r="C184" t="str">
            <v>Colegio Estadual Deputado Horacio De Matos</v>
          </cell>
          <cell r="D184">
            <v>1130910</v>
          </cell>
        </row>
        <row r="185">
          <cell r="C185" t="str">
            <v>Colegio Estadual Bento Alves Das Neves</v>
          </cell>
          <cell r="D185">
            <v>1176129</v>
          </cell>
        </row>
        <row r="186">
          <cell r="C186" t="str">
            <v>Centro Juvenil De Ciencia E Cultura- Cjcc Barreiras</v>
          </cell>
          <cell r="D186">
            <v>1179458</v>
          </cell>
        </row>
        <row r="187">
          <cell r="C187" t="str">
            <v>Colegio Estadual De Tempo Integral Jose Caires Araujo</v>
          </cell>
          <cell r="D187">
            <v>1124287</v>
          </cell>
        </row>
        <row r="188">
          <cell r="C188" t="str">
            <v>Colegio Estadual De Malhada De Pedras</v>
          </cell>
          <cell r="D188">
            <v>1124635</v>
          </cell>
        </row>
        <row r="189">
          <cell r="C189" t="str">
            <v>Colegio Estadual Boa Vista Do Tupim</v>
          </cell>
          <cell r="D189">
            <v>1123159</v>
          </cell>
        </row>
        <row r="190">
          <cell r="C190" t="str">
            <v>Colegio Estadual Do Campo Aloisio Damasceno De Jesus</v>
          </cell>
          <cell r="D190">
            <v>1179112</v>
          </cell>
        </row>
        <row r="191">
          <cell r="C191" t="str">
            <v>Colegio Estadual Geovania Nogueira Nunes</v>
          </cell>
          <cell r="D191">
            <v>1178268</v>
          </cell>
        </row>
        <row r="192">
          <cell r="C192" t="str">
            <v>Colegio Estadual Luis Eduardo Magalhaes</v>
          </cell>
          <cell r="D192">
            <v>1122985</v>
          </cell>
        </row>
        <row r="193">
          <cell r="C193" t="str">
            <v>Colegio Estadual Professora Aydil Lima Dos Santos</v>
          </cell>
          <cell r="D193">
            <v>1178016</v>
          </cell>
        </row>
        <row r="194">
          <cell r="C194" t="str">
            <v>Colegio Estadual Ana Lucia Magalhaes</v>
          </cell>
          <cell r="D194">
            <v>1178044</v>
          </cell>
        </row>
        <row r="195">
          <cell r="C195" t="str">
            <v>Centro De Apoio Pedagogico Especializado - Cape Itaberaba</v>
          </cell>
          <cell r="D195">
            <v>1179789</v>
          </cell>
        </row>
        <row r="196">
          <cell r="C196" t="str">
            <v>Colegio Estadual Professora Adjaci Martins Durans</v>
          </cell>
          <cell r="D196">
            <v>1176123</v>
          </cell>
        </row>
        <row r="197">
          <cell r="C197" t="str">
            <v>Colegio Estadual Professora Maria Izabel De Oliveira</v>
          </cell>
          <cell r="D197">
            <v>1179765</v>
          </cell>
        </row>
        <row r="198">
          <cell r="C198" t="str">
            <v>Colegio Estadual Castro Alves</v>
          </cell>
          <cell r="D198">
            <v>1165846</v>
          </cell>
        </row>
        <row r="199">
          <cell r="C199" t="str">
            <v>Colegio Estadual Professora Maria Leide De Oliveira</v>
          </cell>
          <cell r="D199">
            <v>1114192</v>
          </cell>
        </row>
        <row r="200">
          <cell r="C200" t="str">
            <v>Colegio Estadual Jose Lourenco De Carvalho</v>
          </cell>
          <cell r="D200">
            <v>1178014</v>
          </cell>
        </row>
        <row r="201">
          <cell r="C201" t="str">
            <v>Colegio Estadual De Tempo Integral Joao Francisco Da Silva</v>
          </cell>
          <cell r="D201">
            <v>1171196</v>
          </cell>
        </row>
        <row r="202">
          <cell r="C202" t="str">
            <v>Colegio Estadual Doutor Magalhaes Neto</v>
          </cell>
          <cell r="D202">
            <v>1107986</v>
          </cell>
        </row>
        <row r="203">
          <cell r="C203" t="str">
            <v>Colegio Estadual Maria Jose Bastos Silva</v>
          </cell>
          <cell r="D203">
            <v>1108028</v>
          </cell>
        </row>
        <row r="204">
          <cell r="C204" t="str">
            <v>Colegio Estadual Antonio De Deus Seixas</v>
          </cell>
          <cell r="D204">
            <v>1108591</v>
          </cell>
        </row>
        <row r="205">
          <cell r="C205" t="str">
            <v>Colegio Estadual Maria Isabel De Melo Goes</v>
          </cell>
          <cell r="D205">
            <v>1108761</v>
          </cell>
        </row>
        <row r="206">
          <cell r="C206" t="str">
            <v>Colegio Estadual Celso Mendes De Lima</v>
          </cell>
          <cell r="D206">
            <v>1108532</v>
          </cell>
        </row>
        <row r="207">
          <cell r="C207" t="str">
            <v>Colegio Estadual De Tempo Integral Celina Saraiva</v>
          </cell>
          <cell r="D207">
            <v>1176401</v>
          </cell>
        </row>
        <row r="208">
          <cell r="C208" t="str">
            <v>Colegio Estadual Professor Carlos Santana</v>
          </cell>
          <cell r="D208">
            <v>1133936</v>
          </cell>
        </row>
        <row r="209">
          <cell r="C209" t="str">
            <v>Colegio Estadual Doutor Luiz Viana Filho</v>
          </cell>
          <cell r="D209">
            <v>1108141</v>
          </cell>
        </row>
        <row r="210">
          <cell r="C210" t="str">
            <v>Colegio Estadual Eliel Martins</v>
          </cell>
          <cell r="D210">
            <v>1160186</v>
          </cell>
        </row>
        <row r="211">
          <cell r="C211" t="str">
            <v>Colegio Estadual Arthur Vieira De Oliveira</v>
          </cell>
          <cell r="D211">
            <v>1105584</v>
          </cell>
        </row>
        <row r="212">
          <cell r="C212" t="str">
            <v>Colegio Estadual Professora Carminda Mascarenhas Vieira</v>
          </cell>
          <cell r="D212">
            <v>1106335</v>
          </cell>
        </row>
        <row r="213">
          <cell r="C213" t="str">
            <v>Colegio Estadual Governador Luiz Viana Filho</v>
          </cell>
          <cell r="D213">
            <v>1106742</v>
          </cell>
        </row>
        <row r="214">
          <cell r="C214" t="str">
            <v>Centro Educacional Cenecista Do Campo Conego Cupertino De Lacerda</v>
          </cell>
          <cell r="D214">
            <v>1160607</v>
          </cell>
        </row>
        <row r="215">
          <cell r="C215" t="str">
            <v>Colegio Estadual Yeda Barradas Carneiro</v>
          </cell>
          <cell r="D215">
            <v>1106238</v>
          </cell>
        </row>
        <row r="216">
          <cell r="C216" t="str">
            <v>Colegio Estadual Durvalina Carneiro</v>
          </cell>
          <cell r="D216">
            <v>1105886</v>
          </cell>
        </row>
        <row r="217">
          <cell r="C217" t="str">
            <v>Colegio Estadual Santo Antonio</v>
          </cell>
          <cell r="D217">
            <v>1106220</v>
          </cell>
        </row>
        <row r="218">
          <cell r="C218" t="str">
            <v>Colegio Estadual Padre Vieira</v>
          </cell>
          <cell r="D218">
            <v>1106688</v>
          </cell>
        </row>
        <row r="219">
          <cell r="C219" t="str">
            <v>Colegio Estadual De Tempo Integral Prof Ana Alice Figueredo Dos Santos</v>
          </cell>
          <cell r="D219">
            <v>1106564</v>
          </cell>
        </row>
        <row r="220">
          <cell r="C220" t="str">
            <v>Colegio Estadual Hilda Carneiro</v>
          </cell>
          <cell r="D220">
            <v>1106270</v>
          </cell>
        </row>
        <row r="221">
          <cell r="C221" t="str">
            <v>Colegio Estadual Do Campo Joao Baptista Carneiro</v>
          </cell>
          <cell r="D221">
            <v>1106394</v>
          </cell>
        </row>
        <row r="222">
          <cell r="C222" t="str">
            <v>Colegio Estadual Do Campo Padre Henrique Alves Borges</v>
          </cell>
          <cell r="D222">
            <v>1106211</v>
          </cell>
        </row>
        <row r="223">
          <cell r="C223" t="str">
            <v>Colegio Estadual Do Campo Edivaldo Machado Boaventura</v>
          </cell>
          <cell r="D223">
            <v>1105932</v>
          </cell>
        </row>
        <row r="224">
          <cell r="C224" t="str">
            <v>Colegio Estadual Teotonio Vilela</v>
          </cell>
          <cell r="D224">
            <v>1142242</v>
          </cell>
        </row>
        <row r="225">
          <cell r="C225" t="str">
            <v>Colegio Estadual Do Campo Maria Quiteria</v>
          </cell>
          <cell r="D225">
            <v>1106718</v>
          </cell>
        </row>
        <row r="226">
          <cell r="C226" t="str">
            <v>Colegio Estadual Carmen Andrade Lima</v>
          </cell>
          <cell r="D226">
            <v>1176449</v>
          </cell>
        </row>
        <row r="227">
          <cell r="C227" t="str">
            <v>Colegio Estadual Do Campo De Jaguara</v>
          </cell>
          <cell r="D227">
            <v>1178137</v>
          </cell>
        </row>
        <row r="228">
          <cell r="C228" t="str">
            <v>Colegio Estadual Doutor Jair Santos Silva</v>
          </cell>
          <cell r="D228">
            <v>1178219</v>
          </cell>
        </row>
        <row r="229">
          <cell r="C229" t="str">
            <v>Colegio Estadual De Tempo Integral Aureo Filho</v>
          </cell>
          <cell r="D229">
            <v>1160380</v>
          </cell>
        </row>
        <row r="230">
          <cell r="C230" t="str">
            <v>Colegio Estadual Professor Carlos Valadares</v>
          </cell>
          <cell r="D230">
            <v>1107382</v>
          </cell>
        </row>
        <row r="231">
          <cell r="C231" t="str">
            <v>Colegio Estadual De Tempo Integral Novis Filho</v>
          </cell>
          <cell r="D231">
            <v>1107706</v>
          </cell>
        </row>
        <row r="232">
          <cell r="C232" t="str">
            <v>Colegio Estadual Abdias Menezes</v>
          </cell>
          <cell r="D232">
            <v>1125232</v>
          </cell>
        </row>
        <row r="233">
          <cell r="C233" t="str">
            <v>Colegio Estadual De Tempo Integral De Maragogipe - Cetim (antigo Gerhard Meyer Suerdieck)</v>
          </cell>
          <cell r="D233">
            <v>1133863</v>
          </cell>
        </row>
        <row r="234">
          <cell r="C234" t="str">
            <v>Centro Estadual De Educacao Profissional Do Vale Do Paraguacu</v>
          </cell>
          <cell r="D234">
            <v>1176201</v>
          </cell>
        </row>
        <row r="235">
          <cell r="C235" t="str">
            <v>Colegio Estadual Do Campo Nossa Senhora Da Conceicao</v>
          </cell>
          <cell r="D235">
            <v>1178153</v>
          </cell>
        </row>
        <row r="236">
          <cell r="C236" t="str">
            <v>Colegio Estadual Do Campo Manoel Benedito Mascarenhas</v>
          </cell>
          <cell r="D236">
            <v>1178001</v>
          </cell>
        </row>
        <row r="237">
          <cell r="C237" t="str">
            <v>Colegio Estadual Doutor Jose Marcelino De Souza</v>
          </cell>
          <cell r="D237">
            <v>1145691</v>
          </cell>
        </row>
        <row r="238">
          <cell r="C238" t="str">
            <v>Colegio Estadual Governador Luiz Viana Filho</v>
          </cell>
          <cell r="D238">
            <v>1109326</v>
          </cell>
        </row>
        <row r="239">
          <cell r="C239" t="str">
            <v>Colegio Estadual De Tempo Integral De Salinas Da Margarida</v>
          </cell>
          <cell r="D239">
            <v>1176467</v>
          </cell>
        </row>
        <row r="240">
          <cell r="C240" t="str">
            <v>Centro Est De Educ Profissional Em Turismo Do Leste Baiano</v>
          </cell>
          <cell r="D240">
            <v>1134665</v>
          </cell>
        </row>
        <row r="241">
          <cell r="C241" t="str">
            <v>Colegio Estadual Democratico Dr. Romulo Almeida</v>
          </cell>
          <cell r="D241">
            <v>1164564</v>
          </cell>
        </row>
        <row r="242">
          <cell r="C242" t="str">
            <v>Centro Territorial De Educacao Profissional Do Reconcavo</v>
          </cell>
          <cell r="D242">
            <v>1178087</v>
          </cell>
        </row>
        <row r="243">
          <cell r="C243" t="str">
            <v>Colegio Estadual De Ubata</v>
          </cell>
          <cell r="D243">
            <v>1118406</v>
          </cell>
        </row>
        <row r="244">
          <cell r="C244" t="str">
            <v>Colegio Estadual De Correntina</v>
          </cell>
          <cell r="D244">
            <v>1131550</v>
          </cell>
        </row>
        <row r="245">
          <cell r="C245" t="str">
            <v>Colegio Estadual Quilombola Luis Jose Dos Santos</v>
          </cell>
          <cell r="D245">
            <v>1179606</v>
          </cell>
        </row>
        <row r="246">
          <cell r="C246" t="str">
            <v>Colegio Estadual De Tempo Integral De Pindobacu</v>
          </cell>
          <cell r="D246">
            <v>1144032</v>
          </cell>
        </row>
        <row r="247">
          <cell r="C247" t="str">
            <v>Colegio Estadual Do Phoc</v>
          </cell>
          <cell r="D247">
            <v>1179484</v>
          </cell>
        </row>
        <row r="248">
          <cell r="C248" t="str">
            <v>Colegio Estadual Angiolina Teixeira De Souza</v>
          </cell>
          <cell r="D248">
            <v>1179594</v>
          </cell>
        </row>
        <row r="249">
          <cell r="C249" t="str">
            <v>Colegio Estadual Luiz Viana Filho</v>
          </cell>
          <cell r="D249">
            <v>1104863</v>
          </cell>
        </row>
        <row r="250">
          <cell r="C250" t="str">
            <v>Colegio Estadual Ouro Negro</v>
          </cell>
          <cell r="D250">
            <v>1103719</v>
          </cell>
        </row>
        <row r="251">
          <cell r="C251" t="str">
            <v>Colegio Estadual Professor Edilson Souto Freire</v>
          </cell>
          <cell r="D251">
            <v>1178035</v>
          </cell>
        </row>
        <row r="252">
          <cell r="C252" t="str">
            <v>Centro Territo. De Educ. Profis. De Dias D Avila-cetep De Dias D Avila</v>
          </cell>
          <cell r="D252">
            <v>1179670</v>
          </cell>
        </row>
        <row r="253">
          <cell r="C253" t="str">
            <v>Colegio Estadual Alfredo Agostinho De Deus</v>
          </cell>
          <cell r="D253">
            <v>1100256</v>
          </cell>
        </row>
        <row r="254">
          <cell r="C254" t="str">
            <v>Colegio Estadual Americo Simas</v>
          </cell>
          <cell r="D254">
            <v>1100477</v>
          </cell>
        </row>
        <row r="255">
          <cell r="C255" t="str">
            <v>Colegio Estadual De Tempo Integral De Portao</v>
          </cell>
          <cell r="D255">
            <v>1102470</v>
          </cell>
        </row>
        <row r="256">
          <cell r="C256" t="str">
            <v>Colegio Estadual Francisco Pereira Franco</v>
          </cell>
          <cell r="D256">
            <v>1110081</v>
          </cell>
        </row>
        <row r="257">
          <cell r="C257" t="str">
            <v>Colegio Estadual Hermano Gouveia Neto</v>
          </cell>
          <cell r="D257">
            <v>1176364</v>
          </cell>
        </row>
        <row r="258">
          <cell r="C258" t="str">
            <v>Centro Est De Educacao Profis Em Tecnologia Informacao E Comunicacao</v>
          </cell>
          <cell r="D258">
            <v>1178431</v>
          </cell>
        </row>
        <row r="259">
          <cell r="C259" t="str">
            <v>Colegio Estadual De Tempo Integral De Mata De Sao Joao</v>
          </cell>
          <cell r="D259">
            <v>1134134</v>
          </cell>
        </row>
        <row r="260">
          <cell r="C260" t="str">
            <v>Colegio Estadual Alaor Coutinho</v>
          </cell>
          <cell r="D260">
            <v>1176073</v>
          </cell>
        </row>
        <row r="261">
          <cell r="C261" t="str">
            <v>Colegio Estadual Luis Eduardo Magalhaes</v>
          </cell>
          <cell r="D261">
            <v>1176461</v>
          </cell>
        </row>
        <row r="262">
          <cell r="C262" t="str">
            <v>Centro Educacional Carneiro Ribeiro - Classe Ii</v>
          </cell>
          <cell r="D262">
            <v>1101368</v>
          </cell>
        </row>
        <row r="263">
          <cell r="C263" t="str">
            <v>Colegio Estadual Duque De Caxias</v>
          </cell>
          <cell r="D263">
            <v>1101856</v>
          </cell>
        </row>
        <row r="264">
          <cell r="C264" t="str">
            <v>Colegio Estadual Senhor Do Bonfim</v>
          </cell>
          <cell r="D264">
            <v>1103387</v>
          </cell>
        </row>
        <row r="265">
          <cell r="C265" t="str">
            <v>Colegio Estadual Antonio Carlos Magalhaes</v>
          </cell>
          <cell r="D265">
            <v>1100612</v>
          </cell>
        </row>
        <row r="266">
          <cell r="C266" t="str">
            <v>Colegio Estadual Helena Celestino Magalhaes</v>
          </cell>
          <cell r="D266">
            <v>1103220</v>
          </cell>
        </row>
        <row r="267">
          <cell r="C267" t="str">
            <v>Colegio Estadual Alipio Franca</v>
          </cell>
          <cell r="D267">
            <v>1100434</v>
          </cell>
        </row>
        <row r="268">
          <cell r="C268" t="str">
            <v>Colegio Estadual Azevedo Fernandes</v>
          </cell>
          <cell r="D268">
            <v>1101031</v>
          </cell>
        </row>
        <row r="269">
          <cell r="C269" t="str">
            <v>Colegio Estadual Evaristo Da Veiga</v>
          </cell>
          <cell r="D269">
            <v>1102992</v>
          </cell>
        </row>
        <row r="270">
          <cell r="C270" t="str">
            <v>Colegio Estadual Ypiranga</v>
          </cell>
          <cell r="D270">
            <v>1168837</v>
          </cell>
        </row>
        <row r="271">
          <cell r="C271" t="str">
            <v>Colegio Estadual Pedro Calmon</v>
          </cell>
          <cell r="D271">
            <v>1103662</v>
          </cell>
        </row>
        <row r="272">
          <cell r="C272" t="str">
            <v>Colegio Estadual Almirante Barroso</v>
          </cell>
          <cell r="D272">
            <v>1100400</v>
          </cell>
        </row>
        <row r="273">
          <cell r="C273" t="str">
            <v>Colegio Estadual Cleriston Andrade</v>
          </cell>
          <cell r="D273">
            <v>1102151</v>
          </cell>
        </row>
        <row r="274">
          <cell r="C274" t="str">
            <v>Escola Estadual Professora Armandina Marques</v>
          </cell>
          <cell r="D274">
            <v>1104375</v>
          </cell>
        </row>
        <row r="275">
          <cell r="C275" t="str">
            <v>Colegio Estadual Marcilio Dias</v>
          </cell>
          <cell r="D275">
            <v>1102704</v>
          </cell>
        </row>
        <row r="276">
          <cell r="C276" t="str">
            <v>Colegio Estadual Democratico Bertholdo Cirilo Dos Reis</v>
          </cell>
          <cell r="D276">
            <v>1100981</v>
          </cell>
        </row>
        <row r="277">
          <cell r="C277" t="str">
            <v>Colegio Estadual Professora Leila Rubens Fonseca</v>
          </cell>
          <cell r="D277">
            <v>1100884</v>
          </cell>
        </row>
        <row r="278">
          <cell r="C278" t="str">
            <v>Colegio Estadual Rafael Oliveira</v>
          </cell>
          <cell r="D278">
            <v>1103301</v>
          </cell>
        </row>
        <row r="279">
          <cell r="C279" t="str">
            <v>Escola Estadual Professora Natalia Vinhaes</v>
          </cell>
          <cell r="D279">
            <v>1102917</v>
          </cell>
        </row>
        <row r="280">
          <cell r="C280" t="str">
            <v>Escola Estadual Ocridalina Madureira</v>
          </cell>
          <cell r="D280">
            <v>1103557</v>
          </cell>
        </row>
        <row r="281">
          <cell r="C281" t="str">
            <v>Escola Estadual Presciliano Silva</v>
          </cell>
          <cell r="D281">
            <v>1104715</v>
          </cell>
        </row>
        <row r="282">
          <cell r="C282" t="str">
            <v>Centro Est Educ Prof Gestao Negocios Turismo Luiz Navarro De Brito</v>
          </cell>
          <cell r="D282">
            <v>1104936</v>
          </cell>
        </row>
        <row r="283">
          <cell r="C283" t="str">
            <v>Colegio Estadual Professora Elisabeth Chaves Veloso</v>
          </cell>
          <cell r="D283">
            <v>1101120</v>
          </cell>
        </row>
        <row r="284">
          <cell r="C284" t="str">
            <v>Escola Estadual Pierre Verger</v>
          </cell>
          <cell r="D284">
            <v>1101759</v>
          </cell>
        </row>
        <row r="285">
          <cell r="C285" t="str">
            <v>Colegio Estadual Tereza Helena Mata Pires</v>
          </cell>
          <cell r="D285">
            <v>1103654</v>
          </cell>
        </row>
        <row r="286">
          <cell r="C286" t="str">
            <v>Colegio Estadual Vitor Soares</v>
          </cell>
          <cell r="D286">
            <v>1104340</v>
          </cell>
        </row>
        <row r="287">
          <cell r="C287" t="str">
            <v>Colegio Estadual Artur De Sales</v>
          </cell>
          <cell r="D287">
            <v>1102372</v>
          </cell>
        </row>
        <row r="288">
          <cell r="C288" t="str">
            <v>Colegio Estadual Doutor Ailton Pinto De Andrade</v>
          </cell>
          <cell r="D288">
            <v>1100337</v>
          </cell>
        </row>
        <row r="289">
          <cell r="C289" t="str">
            <v>Colegio Estadual Alfredo Magalhaes</v>
          </cell>
          <cell r="D289">
            <v>1100418</v>
          </cell>
        </row>
        <row r="290">
          <cell r="C290" t="str">
            <v>Colegio Estadual Assis Chateaubriand</v>
          </cell>
          <cell r="D290">
            <v>1100388</v>
          </cell>
        </row>
        <row r="291">
          <cell r="C291" t="str">
            <v>Escola Estadual Castro Alves</v>
          </cell>
          <cell r="D291">
            <v>1101546</v>
          </cell>
        </row>
        <row r="292">
          <cell r="C292" t="str">
            <v>Colegio Estadual Doutor Joao Pedro Dos Santos</v>
          </cell>
          <cell r="D292">
            <v>1102160</v>
          </cell>
        </row>
        <row r="293">
          <cell r="C293" t="str">
            <v>Colegio Estadual Cesare Casali</v>
          </cell>
          <cell r="D293">
            <v>1101937</v>
          </cell>
        </row>
        <row r="294">
          <cell r="C294" t="str">
            <v>Colegio Estadual Cidade De Curitiba</v>
          </cell>
          <cell r="D294">
            <v>1102011</v>
          </cell>
        </row>
        <row r="295">
          <cell r="C295" t="str">
            <v>Colegio Estadual Cosme De Farias</v>
          </cell>
          <cell r="D295">
            <v>1102097</v>
          </cell>
        </row>
        <row r="296">
          <cell r="C296" t="str">
            <v>Colegio Estadual Governador Otavio Mangabeira</v>
          </cell>
          <cell r="D296">
            <v>1136498</v>
          </cell>
        </row>
        <row r="297">
          <cell r="C297" t="str">
            <v>Colegio Estadual Padre Palmeira</v>
          </cell>
          <cell r="D297">
            <v>1103565</v>
          </cell>
        </row>
        <row r="298">
          <cell r="C298" t="str">
            <v>Colegio Estadual De Tempo Integral Zumbi Dos Palmares</v>
          </cell>
          <cell r="D298">
            <v>1100973</v>
          </cell>
        </row>
        <row r="299">
          <cell r="C299" t="str">
            <v>Escola Estadual Professora Candolina - Classe Vii</v>
          </cell>
          <cell r="D299">
            <v>1101090</v>
          </cell>
        </row>
        <row r="300">
          <cell r="C300" t="str">
            <v>Colegio Estadual Satiro Dias</v>
          </cell>
          <cell r="D300">
            <v>1103239</v>
          </cell>
        </row>
        <row r="301">
          <cell r="C301" t="str">
            <v>Colegio Estadual Solange Hortelio Franco</v>
          </cell>
          <cell r="D301">
            <v>1104537</v>
          </cell>
        </row>
        <row r="302">
          <cell r="C302" t="str">
            <v>Centro Est Prof Em Saude E Tecn Da Inf Carlos Corr De Menezes Santanna</v>
          </cell>
          <cell r="D302">
            <v>1102186</v>
          </cell>
        </row>
        <row r="303">
          <cell r="C303" t="str">
            <v>Colegio Estadual Clarice Santiago Dos Santos</v>
          </cell>
          <cell r="D303">
            <v>1102534</v>
          </cell>
        </row>
        <row r="304">
          <cell r="C304" t="str">
            <v>Colegio Estadual Edvaldo Brandao Correia</v>
          </cell>
          <cell r="D304">
            <v>1104588</v>
          </cell>
        </row>
        <row r="305">
          <cell r="C305" t="str">
            <v>Colegio Estadual Eraldo Tinoco</v>
          </cell>
          <cell r="D305">
            <v>1101449</v>
          </cell>
        </row>
        <row r="306">
          <cell r="C306" t="str">
            <v>Colegio Estadual Edson Tenorio De Albuquerque</v>
          </cell>
          <cell r="D306">
            <v>1100914</v>
          </cell>
        </row>
        <row r="307">
          <cell r="C307" t="str">
            <v>Colegio Estadual Professor Nelson Barros</v>
          </cell>
          <cell r="D307">
            <v>1102925</v>
          </cell>
        </row>
        <row r="308">
          <cell r="C308" t="str">
            <v>Colegio Estadual Norma Ribeiro</v>
          </cell>
          <cell r="D308">
            <v>1100701</v>
          </cell>
        </row>
        <row r="309">
          <cell r="C309" t="str">
            <v>Colegio Estadual Vale Dos Lagos</v>
          </cell>
          <cell r="D309">
            <v>1136072</v>
          </cell>
        </row>
        <row r="310">
          <cell r="C310" t="str">
            <v>Colegio Estadual Helena Magalhaes</v>
          </cell>
          <cell r="D310">
            <v>1175280</v>
          </cell>
        </row>
        <row r="311">
          <cell r="C311" t="str">
            <v>Colegio Estadual Professora Marileine Da Silva</v>
          </cell>
          <cell r="D311">
            <v>1176071</v>
          </cell>
        </row>
        <row r="312">
          <cell r="C312" t="str">
            <v>Colegio Estadual Henriqueta Martins Catharino</v>
          </cell>
          <cell r="D312">
            <v>1104413</v>
          </cell>
        </row>
        <row r="313">
          <cell r="C313" t="str">
            <v>Colegio Estadual Mario Costa Neto</v>
          </cell>
          <cell r="D313">
            <v>1102984</v>
          </cell>
        </row>
        <row r="314">
          <cell r="C314" t="str">
            <v>Colegio Estadual Professor Dorival Passos</v>
          </cell>
          <cell r="D314">
            <v>1100558</v>
          </cell>
        </row>
        <row r="315">
          <cell r="C315" t="str">
            <v>Colegio Estadual Raymundo De Almeida Gouveia</v>
          </cell>
          <cell r="D315">
            <v>1103344</v>
          </cell>
        </row>
        <row r="316">
          <cell r="C316" t="str">
            <v>Colegio Estadual Professora Heloisa Costa</v>
          </cell>
          <cell r="D316">
            <v>1176445</v>
          </cell>
        </row>
        <row r="317">
          <cell r="C317" t="str">
            <v>Colegio Estadual Sete De Setembro</v>
          </cell>
          <cell r="D317">
            <v>1176610</v>
          </cell>
        </row>
        <row r="318">
          <cell r="C318" t="str">
            <v>Colegio Estadual Professor Jose Barreto De Araujo Bastos</v>
          </cell>
          <cell r="D318">
            <v>1176661</v>
          </cell>
        </row>
        <row r="319">
          <cell r="C319" t="str">
            <v>Colegio Estadual Vila Canaria</v>
          </cell>
          <cell r="D319">
            <v>1176760</v>
          </cell>
        </row>
        <row r="320">
          <cell r="C320" t="str">
            <v>Colegio Estadual Professor Aristides De Souza Oliveira</v>
          </cell>
          <cell r="D320">
            <v>1176720</v>
          </cell>
        </row>
        <row r="321">
          <cell r="C321" t="str">
            <v>Colegio Estadual Satelite</v>
          </cell>
          <cell r="D321">
            <v>1178076</v>
          </cell>
        </row>
        <row r="322">
          <cell r="C322" t="str">
            <v>Colegio Estadual Martinho Salles Brasil</v>
          </cell>
          <cell r="D322">
            <v>1134851</v>
          </cell>
        </row>
        <row r="323">
          <cell r="C323" t="str">
            <v>Colegio Polivalente Monsenhor Luiz Ferreira De Brito</v>
          </cell>
          <cell r="D323">
            <v>1135190</v>
          </cell>
        </row>
        <row r="324">
          <cell r="C324" t="str">
            <v>Colegio Estadual Alberto Silva</v>
          </cell>
          <cell r="D324">
            <v>1100159</v>
          </cell>
        </row>
        <row r="325">
          <cell r="C325" t="str">
            <v>Colegio Estadual Doutor Berlindo Mamede De Oliveira</v>
          </cell>
          <cell r="D325">
            <v>1100930</v>
          </cell>
        </row>
        <row r="326">
          <cell r="C326" t="str">
            <v>Colegio Estadual De Aratu</v>
          </cell>
          <cell r="D326">
            <v>1100655</v>
          </cell>
        </row>
        <row r="327">
          <cell r="C327" t="str">
            <v>Colegio Estadual Regina Simoes</v>
          </cell>
          <cell r="D327">
            <v>1103395</v>
          </cell>
        </row>
        <row r="328">
          <cell r="C328" t="str">
            <v>Centro De Educacao Pela Arte Hora Da Crianca</v>
          </cell>
          <cell r="D328">
            <v>1176075</v>
          </cell>
        </row>
        <row r="329">
          <cell r="C329" t="str">
            <v>Cent Est. De Referencia Do Ensino Medio Com Inter. Tecnologica-cemitec</v>
          </cell>
          <cell r="D329">
            <v>1179480</v>
          </cell>
        </row>
        <row r="330">
          <cell r="C330" t="str">
            <v>Colegio Estadual Joao Ubaldo Ribeiro</v>
          </cell>
          <cell r="D330">
            <v>1176406</v>
          </cell>
        </row>
        <row r="331">
          <cell r="C331" t="str">
            <v>Colegio Estadual Professora Irenil Costa Brandao</v>
          </cell>
          <cell r="D331">
            <v>1131356</v>
          </cell>
        </row>
        <row r="332">
          <cell r="C332" t="str">
            <v>Colegio Estadual Imaculada Conceicao</v>
          </cell>
          <cell r="D332">
            <v>1115474</v>
          </cell>
        </row>
        <row r="333">
          <cell r="C333" t="str">
            <v>Colegio Estadual Nossa Senhora Aparecida</v>
          </cell>
          <cell r="D333">
            <v>1178287</v>
          </cell>
        </row>
        <row r="334">
          <cell r="C334" t="str">
            <v>Centro Territorial De Educacao Profissional Do Sertao Produtivo</v>
          </cell>
          <cell r="D334">
            <v>1178022</v>
          </cell>
        </row>
        <row r="335">
          <cell r="C335" t="str">
            <v>Colegio Estadual Professora Maria Macedo Vieira De Brito</v>
          </cell>
          <cell r="D335">
            <v>1178167</v>
          </cell>
        </row>
        <row r="336">
          <cell r="C336" t="str">
            <v>Colegio Estadual Antonieta Xavier Siqueira Santos</v>
          </cell>
          <cell r="D336">
            <v>1177068</v>
          </cell>
        </row>
        <row r="337">
          <cell r="C337" t="str">
            <v>Colegio Estadual Paulo Freire</v>
          </cell>
          <cell r="D337">
            <v>1176860</v>
          </cell>
        </row>
        <row r="338">
          <cell r="C338" t="str">
            <v>Colegio Estadual Dom Pedro I</v>
          </cell>
          <cell r="D338">
            <v>1115245</v>
          </cell>
        </row>
        <row r="339">
          <cell r="C339" t="str">
            <v>Colegio Estadual Eraldo Tinoco</v>
          </cell>
          <cell r="D339">
            <v>1108508</v>
          </cell>
        </row>
        <row r="340">
          <cell r="C340" t="str">
            <v>Colegio Estadual Domingos Barros De Azevedo</v>
          </cell>
          <cell r="D340">
            <v>1169302</v>
          </cell>
        </row>
        <row r="341">
          <cell r="C341" t="str">
            <v>Colegio Estadual General Sampaio</v>
          </cell>
          <cell r="D341">
            <v>1106530</v>
          </cell>
        </row>
        <row r="342">
          <cell r="C342" t="str">
            <v>Col Est Do Campo Carlos Humberto De Miranda Pereira Mello</v>
          </cell>
          <cell r="D342">
            <v>1178039</v>
          </cell>
        </row>
        <row r="343">
          <cell r="C343" t="str">
            <v>Colegio Estadual Doutor Luis De Moura Bastos</v>
          </cell>
          <cell r="D343">
            <v>1104960</v>
          </cell>
        </row>
        <row r="344">
          <cell r="C344" t="str">
            <v>Colegio Estadual Luiz Viana Filho</v>
          </cell>
          <cell r="D344">
            <v>1137168</v>
          </cell>
        </row>
        <row r="345">
          <cell r="C345" t="str">
            <v>Colegio Estadual Eduardo Catalao</v>
          </cell>
          <cell r="D345">
            <v>1111223</v>
          </cell>
        </row>
        <row r="346">
          <cell r="C346" t="str">
            <v>Escola Estadual Rural Taylor Egidio</v>
          </cell>
          <cell r="D346">
            <v>1176945</v>
          </cell>
        </row>
        <row r="347">
          <cell r="C347" t="str">
            <v>Colegio Estadual Isabel Araujo Da Silva</v>
          </cell>
          <cell r="D347">
            <v>1130406</v>
          </cell>
        </row>
        <row r="348">
          <cell r="C348" t="str">
            <v>Instituto De Educacao Anisio Teixeira</v>
          </cell>
          <cell r="D348">
            <v>1129335</v>
          </cell>
        </row>
        <row r="349">
          <cell r="C349" t="str">
            <v>Colegio Estadual De Tempo Integral Professora Celia Santos Andrade</v>
          </cell>
          <cell r="D349">
            <v>1106165</v>
          </cell>
        </row>
        <row r="350">
          <cell r="C350" t="str">
            <v>Colegio Estadual De Tempo Integral Georgina De Melo Erismann</v>
          </cell>
          <cell r="D350">
            <v>1106190</v>
          </cell>
        </row>
        <row r="351">
          <cell r="C351" t="str">
            <v>Escola Reverendo Severino Soares</v>
          </cell>
          <cell r="D351">
            <v>1106629</v>
          </cell>
        </row>
        <row r="352">
          <cell r="C352" t="str">
            <v>Colegio Agostinho Froes Da Mota</v>
          </cell>
          <cell r="D352">
            <v>1105657</v>
          </cell>
        </row>
        <row r="353">
          <cell r="C353" t="str">
            <v>Escola Estadual Indigena Nossa Senhora De Lourdes</v>
          </cell>
          <cell r="D353">
            <v>1179779</v>
          </cell>
        </row>
        <row r="354">
          <cell r="C354" t="str">
            <v>Colegio Joao Durval Carneiro</v>
          </cell>
          <cell r="D354">
            <v>1106750</v>
          </cell>
        </row>
        <row r="355">
          <cell r="C355" t="str">
            <v>Escola De 1 Grau Deputado Jayro Sento Se</v>
          </cell>
          <cell r="D355">
            <v>1121008</v>
          </cell>
        </row>
        <row r="356">
          <cell r="C356" t="str">
            <v>Escola Antonio Angelo De Lima</v>
          </cell>
          <cell r="D356">
            <v>1122942</v>
          </cell>
        </row>
        <row r="357">
          <cell r="C357" t="str">
            <v>Colegio Estadual Do Campo Rita De Oliveira Barauna</v>
          </cell>
          <cell r="D357">
            <v>1179813</v>
          </cell>
        </row>
        <row r="358">
          <cell r="C358" t="str">
            <v>Centro Est De Educ Prof Da Floresta Do Cacau E Do Chocol Milton Santos</v>
          </cell>
          <cell r="D358">
            <v>1178142</v>
          </cell>
        </row>
        <row r="359">
          <cell r="C359" t="str">
            <v>Colegio Estadual Indigena Tupinamba De Olivenca</v>
          </cell>
          <cell r="D359">
            <v>1178075</v>
          </cell>
        </row>
        <row r="360">
          <cell r="C360" t="str">
            <v>Colegio Est Quilombola De Tempo Integral Da Bacia Do Iguape</v>
          </cell>
          <cell r="D360">
            <v>1135394</v>
          </cell>
        </row>
        <row r="361">
          <cell r="C361" t="str">
            <v>Colegio Estadual Jose Leitao</v>
          </cell>
          <cell r="D361">
            <v>1115776</v>
          </cell>
        </row>
        <row r="362">
          <cell r="C362" t="str">
            <v>Colegio Estadual De Tempo Integral De Candido Sales</v>
          </cell>
          <cell r="D362">
            <v>1178438</v>
          </cell>
        </row>
        <row r="363">
          <cell r="C363" t="str">
            <v>Cent Reg De Ens Medio Com Intermediacao Tec.cemit Bacia Do Rio Grande</v>
          </cell>
          <cell r="D363">
            <v>1179339</v>
          </cell>
        </row>
        <row r="364">
          <cell r="C364" t="str">
            <v>Colegio Estadual De Tempo Integral Georgina De Melo Erismann</v>
          </cell>
          <cell r="D364">
            <v>1106670</v>
          </cell>
        </row>
        <row r="365">
          <cell r="C365" t="str">
            <v>Colegio Estadual Marechal Mascarenhas De Morais</v>
          </cell>
          <cell r="D365">
            <v>1103107</v>
          </cell>
        </row>
        <row r="366">
          <cell r="C366" t="str">
            <v>Colegio Estadual Antonio Geraldo</v>
          </cell>
          <cell r="D366">
            <v>1139896</v>
          </cell>
        </row>
        <row r="367">
          <cell r="C367" t="str">
            <v>Colegio Da Policia Militar - Cpm Dona Leonor Calmon</v>
          </cell>
          <cell r="D367">
            <v>1176080</v>
          </cell>
        </row>
        <row r="368">
          <cell r="C368" t="str">
            <v>Colegio Estadual De Tempo Integral Evandro Brandao</v>
          </cell>
          <cell r="D368">
            <v>1178009</v>
          </cell>
        </row>
        <row r="369">
          <cell r="C369" t="str">
            <v>Colegio Estadual De Tempo Integral Teodoro Sampaio</v>
          </cell>
          <cell r="D369">
            <v>1134568</v>
          </cell>
        </row>
        <row r="370">
          <cell r="C370" t="str">
            <v>Complexo Integrado De Educ Basica Profis E Tecnologica-ciebtec</v>
          </cell>
          <cell r="D370">
            <v>1179778</v>
          </cell>
        </row>
        <row r="371">
          <cell r="C371" t="str">
            <v>Colegio Estadual Jorge Khoury</v>
          </cell>
          <cell r="D371">
            <v>1120508</v>
          </cell>
        </row>
        <row r="372">
          <cell r="C372" t="str">
            <v>Colegio Da Policia Militar - Cpm Joao Florencio Gomes</v>
          </cell>
          <cell r="D372">
            <v>1102046</v>
          </cell>
        </row>
        <row r="373">
          <cell r="C373" t="str">
            <v>Centro Integrado De Educacao Assis Chateaubriand</v>
          </cell>
          <cell r="D373">
            <v>1105754</v>
          </cell>
        </row>
        <row r="374">
          <cell r="C374" t="str">
            <v>Colegio Estadual Do Campo De Castro Alves</v>
          </cell>
          <cell r="D374">
            <v>1109059</v>
          </cell>
        </row>
        <row r="375">
          <cell r="C375" t="str">
            <v>Colegio Estadual Camacari</v>
          </cell>
          <cell r="D375">
            <v>1177090</v>
          </cell>
        </row>
        <row r="376">
          <cell r="C376" t="str">
            <v>Colegio Estadual Frederico Costa</v>
          </cell>
          <cell r="D376">
            <v>1103174</v>
          </cell>
        </row>
        <row r="377">
          <cell r="C377" t="str">
            <v>Colegio Estadual Yeda Barradas Carneiro</v>
          </cell>
          <cell r="D377">
            <v>1135998</v>
          </cell>
        </row>
        <row r="378">
          <cell r="C378" t="str">
            <v>Colegio Estadual Jorge Amado</v>
          </cell>
          <cell r="D378">
            <v>1178218</v>
          </cell>
        </row>
        <row r="379">
          <cell r="C379" t="str">
            <v>Colegio Estadual Do Campo Anna Junqueira Ayres Tourinho</v>
          </cell>
          <cell r="D379">
            <v>1176408</v>
          </cell>
        </row>
        <row r="380">
          <cell r="C380" t="str">
            <v>Colegio Estadual Professor Carlos Barros</v>
          </cell>
          <cell r="D380">
            <v>1176109</v>
          </cell>
        </row>
        <row r="381">
          <cell r="C381" t="str">
            <v>Centro Estad De Educ, Inovacao E Formacao Da Bahia-ceeifor- Mae Stella</v>
          </cell>
          <cell r="D381">
            <v>1104693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J184"/>
  <sheetViews>
    <sheetView tabSelected="1" zoomScaleNormal="100" workbookViewId="0">
      <selection activeCell="C6" sqref="C6"/>
    </sheetView>
  </sheetViews>
  <sheetFormatPr defaultRowHeight="14.4" x14ac:dyDescent="0.3"/>
  <cols>
    <col min="1" max="1" width="30.44140625" style="20" customWidth="1"/>
    <col min="2" max="2" width="38.5546875" style="20" customWidth="1"/>
    <col min="3" max="9" width="35.6640625" customWidth="1"/>
    <col min="10" max="10" width="35.6640625" style="1" customWidth="1"/>
    <col min="11" max="23" width="35.6640625" customWidth="1"/>
    <col min="24" max="50" width="24.5546875" style="1" customWidth="1"/>
    <col min="51" max="51" width="62.88671875" style="1" bestFit="1" customWidth="1"/>
    <col min="52" max="60" width="24.5546875" style="1" customWidth="1"/>
    <col min="61" max="66" width="20.6640625" style="1" customWidth="1"/>
    <col min="67" max="67" width="21.109375" style="1" bestFit="1" customWidth="1"/>
    <col min="68" max="68" width="22.88671875" style="1" bestFit="1" customWidth="1"/>
    <col min="69" max="69" width="16.6640625" style="1" bestFit="1" customWidth="1"/>
    <col min="70" max="70" width="4.88671875" style="1" customWidth="1"/>
    <col min="71" max="71" width="62.88671875" style="1" bestFit="1" customWidth="1"/>
    <col min="72" max="72" width="30.6640625" style="1" customWidth="1"/>
    <col min="73" max="81" width="34.6640625" style="1" customWidth="1"/>
    <col min="82" max="82" width="12.6640625" style="1" customWidth="1"/>
    <col min="83" max="84" width="12.88671875" style="1" customWidth="1"/>
    <col min="85" max="85" width="57" style="1" customWidth="1"/>
    <col min="86" max="86" width="26.5546875" style="1" customWidth="1"/>
    <col min="87" max="87" width="18.5546875" style="1" customWidth="1"/>
    <col min="88" max="88" width="22.44140625" style="1" customWidth="1"/>
    <col min="89" max="89" width="12" customWidth="1"/>
    <col min="90" max="90" width="11.33203125" customWidth="1"/>
    <col min="91" max="91" width="13.33203125" customWidth="1"/>
    <col min="92" max="92" width="11.5546875" customWidth="1"/>
    <col min="93" max="93" width="10.33203125" customWidth="1"/>
  </cols>
  <sheetData>
    <row r="1" spans="3:74" ht="106.95" customHeight="1" x14ac:dyDescent="0.3">
      <c r="C1" s="18" t="s">
        <v>1</v>
      </c>
      <c r="D1" s="18" t="s">
        <v>11</v>
      </c>
      <c r="E1" s="18" t="s">
        <v>2</v>
      </c>
      <c r="F1" s="18" t="s">
        <v>12</v>
      </c>
      <c r="G1" s="18" t="s">
        <v>13</v>
      </c>
      <c r="H1" s="18" t="s">
        <v>15</v>
      </c>
      <c r="I1" s="18" t="s">
        <v>14</v>
      </c>
      <c r="J1" s="18" t="s">
        <v>3</v>
      </c>
      <c r="K1" s="18" t="s">
        <v>4</v>
      </c>
      <c r="L1" s="18" t="s">
        <v>5</v>
      </c>
      <c r="M1" s="18" t="s">
        <v>6</v>
      </c>
      <c r="N1" s="18" t="s">
        <v>7</v>
      </c>
      <c r="O1" s="19" t="s">
        <v>8</v>
      </c>
      <c r="P1" s="19" t="s">
        <v>9</v>
      </c>
      <c r="Q1" s="19" t="s">
        <v>10</v>
      </c>
    </row>
    <row r="2" spans="3:74" ht="28.2" customHeight="1" x14ac:dyDescent="0.3">
      <c r="AS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</row>
    <row r="3" spans="3:74" ht="28.2" customHeight="1" x14ac:dyDescent="0.3">
      <c r="AS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</row>
    <row r="4" spans="3:74" ht="28.2" customHeight="1" x14ac:dyDescent="0.3">
      <c r="AS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</row>
    <row r="5" spans="3:74" ht="28.2" customHeight="1" x14ac:dyDescent="0.3">
      <c r="AS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</row>
    <row r="6" spans="3:74" ht="28.2" customHeight="1" x14ac:dyDescent="0.3">
      <c r="AS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</row>
    <row r="7" spans="3:74" ht="28.2" customHeight="1" x14ac:dyDescent="0.3">
      <c r="AS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</row>
    <row r="8" spans="3:74" ht="28.2" customHeight="1" x14ac:dyDescent="0.3">
      <c r="AS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</row>
    <row r="9" spans="3:74" ht="28.2" customHeight="1" x14ac:dyDescent="0.3">
      <c r="AS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</row>
    <row r="10" spans="3:74" ht="28.2" customHeight="1" x14ac:dyDescent="0.3">
      <c r="AS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</row>
    <row r="11" spans="3:74" ht="28.2" customHeight="1" x14ac:dyDescent="0.3">
      <c r="AS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</row>
    <row r="12" spans="3:74" ht="28.2" customHeight="1" x14ac:dyDescent="0.3">
      <c r="AS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</row>
    <row r="13" spans="3:74" ht="28.2" customHeight="1" x14ac:dyDescent="0.3">
      <c r="AS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</row>
    <row r="14" spans="3:74" ht="28.2" customHeight="1" x14ac:dyDescent="0.3">
      <c r="AS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</row>
    <row r="15" spans="3:74" ht="28.2" customHeight="1" x14ac:dyDescent="0.3">
      <c r="AS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</row>
    <row r="16" spans="3:74" ht="28.2" customHeight="1" x14ac:dyDescent="0.3">
      <c r="AS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</row>
    <row r="17" spans="10:74" ht="28.2" customHeight="1" x14ac:dyDescent="0.3">
      <c r="AS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</row>
    <row r="18" spans="10:74" ht="28.2" customHeight="1" x14ac:dyDescent="0.3">
      <c r="AS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</row>
    <row r="19" spans="10:74" ht="28.2" customHeight="1" x14ac:dyDescent="0.3">
      <c r="J19" s="4"/>
      <c r="Q19" s="3"/>
      <c r="AS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</row>
    <row r="20" spans="10:74" ht="28.2" customHeight="1" x14ac:dyDescent="0.3">
      <c r="Q20" s="3"/>
      <c r="AS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</row>
    <row r="21" spans="10:74" ht="28.2" customHeight="1" x14ac:dyDescent="0.3">
      <c r="AS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</row>
    <row r="22" spans="10:74" ht="28.2" customHeight="1" x14ac:dyDescent="0.3">
      <c r="AS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</row>
    <row r="23" spans="10:74" ht="28.2" customHeight="1" x14ac:dyDescent="0.3">
      <c r="J23" s="4"/>
      <c r="AS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</row>
    <row r="24" spans="10:74" ht="28.2" customHeight="1" x14ac:dyDescent="0.3">
      <c r="J24" s="4"/>
      <c r="AS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</row>
    <row r="25" spans="10:74" ht="28.2" customHeight="1" x14ac:dyDescent="0.3">
      <c r="Q25" s="3"/>
      <c r="AS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</row>
    <row r="26" spans="10:74" ht="28.2" customHeight="1" x14ac:dyDescent="0.3">
      <c r="Q26" s="3"/>
      <c r="AS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</row>
    <row r="27" spans="10:74" ht="28.2" customHeight="1" x14ac:dyDescent="0.3">
      <c r="AS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</row>
    <row r="28" spans="10:74" ht="28.2" customHeight="1" x14ac:dyDescent="0.3">
      <c r="AS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</row>
    <row r="29" spans="10:74" ht="28.2" customHeight="1" x14ac:dyDescent="0.3">
      <c r="AS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</row>
    <row r="30" spans="10:74" ht="28.2" customHeight="1" x14ac:dyDescent="0.3">
      <c r="AS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</row>
    <row r="31" spans="10:74" ht="28.2" customHeight="1" x14ac:dyDescent="0.3">
      <c r="Q31" s="3"/>
      <c r="AS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</row>
    <row r="32" spans="10:74" ht="28.2" customHeight="1" x14ac:dyDescent="0.3">
      <c r="Q32" s="3"/>
      <c r="AS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</row>
    <row r="33" spans="17:74" ht="28.2" customHeight="1" x14ac:dyDescent="0.3">
      <c r="Q33" s="3"/>
      <c r="AS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</row>
    <row r="34" spans="17:74" ht="28.2" customHeight="1" x14ac:dyDescent="0.3">
      <c r="Q34" s="3"/>
      <c r="AS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</row>
    <row r="35" spans="17:74" ht="28.2" customHeight="1" x14ac:dyDescent="0.3">
      <c r="AS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</row>
    <row r="36" spans="17:74" ht="28.2" customHeight="1" x14ac:dyDescent="0.3">
      <c r="AS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</row>
    <row r="37" spans="17:74" ht="28.2" customHeight="1" x14ac:dyDescent="0.3">
      <c r="AS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</row>
    <row r="38" spans="17:74" ht="28.2" customHeight="1" x14ac:dyDescent="0.3"/>
    <row r="39" spans="17:74" ht="28.2" customHeight="1" x14ac:dyDescent="0.3"/>
    <row r="40" spans="17:74" ht="28.2" customHeight="1" x14ac:dyDescent="0.3"/>
    <row r="41" spans="17:74" ht="28.2" customHeight="1" x14ac:dyDescent="0.3"/>
    <row r="42" spans="17:74" ht="28.2" customHeight="1" x14ac:dyDescent="0.3"/>
    <row r="43" spans="17:74" ht="28.2" customHeight="1" x14ac:dyDescent="0.3"/>
    <row r="44" spans="17:74" ht="28.2" customHeight="1" x14ac:dyDescent="0.3"/>
    <row r="45" spans="17:74" ht="28.2" customHeight="1" x14ac:dyDescent="0.3"/>
    <row r="46" spans="17:74" ht="28.2" customHeight="1" x14ac:dyDescent="0.3"/>
    <row r="47" spans="17:74" ht="28.2" customHeight="1" x14ac:dyDescent="0.3"/>
    <row r="48" spans="17:74" ht="28.2" customHeight="1" x14ac:dyDescent="0.3"/>
    <row r="49" ht="28.2" customHeight="1" x14ac:dyDescent="0.3"/>
    <row r="50" ht="28.2" customHeight="1" x14ac:dyDescent="0.3"/>
    <row r="51" ht="28.2" customHeight="1" x14ac:dyDescent="0.3"/>
    <row r="52" ht="28.2" customHeight="1" x14ac:dyDescent="0.3"/>
    <row r="53" ht="28.2" customHeight="1" x14ac:dyDescent="0.3"/>
    <row r="54" ht="28.2" customHeight="1" x14ac:dyDescent="0.3"/>
    <row r="55" ht="28.2" customHeight="1" x14ac:dyDescent="0.3"/>
    <row r="56" ht="28.2" customHeight="1" x14ac:dyDescent="0.3"/>
    <row r="57" ht="28.2" customHeight="1" x14ac:dyDescent="0.3"/>
    <row r="58" ht="28.2" customHeight="1" x14ac:dyDescent="0.3"/>
    <row r="59" ht="28.2" customHeight="1" x14ac:dyDescent="0.3"/>
    <row r="60" ht="28.2" customHeight="1" x14ac:dyDescent="0.3"/>
    <row r="61" ht="28.2" customHeight="1" x14ac:dyDescent="0.3"/>
    <row r="62" ht="28.2" customHeight="1" x14ac:dyDescent="0.3"/>
    <row r="63" ht="28.2" customHeight="1" x14ac:dyDescent="0.3"/>
    <row r="64" ht="28.2" customHeight="1" x14ac:dyDescent="0.3"/>
    <row r="65" ht="28.2" customHeight="1" x14ac:dyDescent="0.3"/>
    <row r="66" ht="28.2" customHeight="1" x14ac:dyDescent="0.3"/>
    <row r="67" ht="28.2" customHeight="1" x14ac:dyDescent="0.3"/>
    <row r="68" ht="28.2" customHeight="1" x14ac:dyDescent="0.3"/>
    <row r="69" ht="28.2" customHeight="1" x14ac:dyDescent="0.3"/>
    <row r="70" ht="28.2" customHeight="1" x14ac:dyDescent="0.3"/>
    <row r="71" ht="28.2" customHeight="1" x14ac:dyDescent="0.3"/>
    <row r="72" ht="28.2" customHeight="1" x14ac:dyDescent="0.3"/>
    <row r="73" ht="28.2" customHeight="1" x14ac:dyDescent="0.3"/>
    <row r="74" ht="28.2" customHeight="1" x14ac:dyDescent="0.3"/>
    <row r="75" ht="28.2" customHeight="1" x14ac:dyDescent="0.3"/>
    <row r="76" ht="28.2" customHeight="1" x14ac:dyDescent="0.3"/>
    <row r="77" ht="28.2" customHeight="1" x14ac:dyDescent="0.3"/>
    <row r="78" ht="28.2" customHeight="1" x14ac:dyDescent="0.3"/>
    <row r="79" ht="28.2" customHeight="1" x14ac:dyDescent="0.3"/>
    <row r="80" ht="28.2" customHeight="1" x14ac:dyDescent="0.3"/>
    <row r="81" ht="28.2" customHeight="1" x14ac:dyDescent="0.3"/>
    <row r="82" ht="28.2" customHeight="1" x14ac:dyDescent="0.3"/>
    <row r="83" ht="28.2" customHeight="1" x14ac:dyDescent="0.3"/>
    <row r="84" ht="28.2" customHeight="1" x14ac:dyDescent="0.3"/>
    <row r="85" ht="28.2" customHeight="1" x14ac:dyDescent="0.3"/>
    <row r="86" ht="28.2" customHeight="1" x14ac:dyDescent="0.3"/>
    <row r="87" ht="28.2" customHeight="1" x14ac:dyDescent="0.3"/>
    <row r="88" ht="28.2" customHeight="1" x14ac:dyDescent="0.3"/>
    <row r="89" ht="28.2" customHeight="1" x14ac:dyDescent="0.3"/>
    <row r="90" ht="28.2" customHeight="1" x14ac:dyDescent="0.3"/>
    <row r="91" ht="28.2" customHeight="1" x14ac:dyDescent="0.3"/>
    <row r="92" ht="28.2" customHeight="1" x14ac:dyDescent="0.3"/>
    <row r="93" ht="28.2" customHeight="1" x14ac:dyDescent="0.3"/>
    <row r="94" ht="28.2" customHeight="1" x14ac:dyDescent="0.3"/>
    <row r="95" ht="28.2" customHeight="1" x14ac:dyDescent="0.3"/>
    <row r="96" ht="28.2" customHeight="1" x14ac:dyDescent="0.3"/>
    <row r="97" ht="28.2" customHeight="1" x14ac:dyDescent="0.3"/>
    <row r="98" ht="28.2" customHeight="1" x14ac:dyDescent="0.3"/>
    <row r="99" ht="28.2" customHeight="1" x14ac:dyDescent="0.3"/>
    <row r="100" ht="28.2" customHeight="1" x14ac:dyDescent="0.3"/>
    <row r="101" ht="28.2" customHeight="1" x14ac:dyDescent="0.3"/>
    <row r="102" ht="28.2" customHeight="1" x14ac:dyDescent="0.3"/>
    <row r="103" ht="28.2" customHeight="1" x14ac:dyDescent="0.3"/>
    <row r="104" ht="28.2" customHeight="1" x14ac:dyDescent="0.3"/>
    <row r="105" ht="28.2" customHeight="1" x14ac:dyDescent="0.3"/>
    <row r="106" ht="28.2" customHeight="1" x14ac:dyDescent="0.3"/>
    <row r="107" ht="28.2" customHeight="1" x14ac:dyDescent="0.3"/>
    <row r="108" ht="28.2" customHeight="1" x14ac:dyDescent="0.3"/>
    <row r="109" ht="28.2" customHeight="1" x14ac:dyDescent="0.3"/>
    <row r="110" ht="28.2" customHeight="1" x14ac:dyDescent="0.3"/>
    <row r="111" ht="28.2" customHeight="1" x14ac:dyDescent="0.3"/>
    <row r="112" ht="28.2" customHeight="1" x14ac:dyDescent="0.3"/>
    <row r="113" ht="28.2" customHeight="1" x14ac:dyDescent="0.3"/>
    <row r="114" ht="28.2" customHeight="1" x14ac:dyDescent="0.3"/>
    <row r="115" ht="28.2" customHeight="1" x14ac:dyDescent="0.3"/>
    <row r="116" ht="28.2" customHeight="1" x14ac:dyDescent="0.3"/>
    <row r="117" ht="28.2" customHeight="1" x14ac:dyDescent="0.3"/>
    <row r="118" ht="28.2" customHeight="1" x14ac:dyDescent="0.3"/>
    <row r="119" ht="28.2" customHeight="1" x14ac:dyDescent="0.3"/>
    <row r="120" ht="28.2" customHeight="1" x14ac:dyDescent="0.3"/>
    <row r="121" ht="28.2" customHeight="1" x14ac:dyDescent="0.3"/>
    <row r="122" ht="28.2" customHeight="1" x14ac:dyDescent="0.3"/>
    <row r="123" ht="28.2" customHeight="1" x14ac:dyDescent="0.3"/>
    <row r="124" ht="28.2" customHeight="1" x14ac:dyDescent="0.3"/>
    <row r="125" ht="28.2" customHeight="1" x14ac:dyDescent="0.3"/>
    <row r="126" ht="28.2" customHeight="1" x14ac:dyDescent="0.3"/>
    <row r="127" ht="28.2" customHeight="1" x14ac:dyDescent="0.3"/>
    <row r="128" ht="28.2" customHeight="1" x14ac:dyDescent="0.3"/>
    <row r="129" ht="28.2" customHeight="1" x14ac:dyDescent="0.3"/>
    <row r="130" ht="28.2" customHeight="1" x14ac:dyDescent="0.3"/>
    <row r="131" ht="28.2" customHeight="1" x14ac:dyDescent="0.3"/>
    <row r="132" ht="28.2" customHeight="1" x14ac:dyDescent="0.3"/>
    <row r="133" ht="28.2" customHeight="1" x14ac:dyDescent="0.3"/>
    <row r="134" ht="28.2" customHeight="1" x14ac:dyDescent="0.3"/>
    <row r="135" ht="28.2" customHeight="1" x14ac:dyDescent="0.3"/>
    <row r="136" ht="28.2" customHeight="1" x14ac:dyDescent="0.3"/>
    <row r="137" ht="28.2" customHeight="1" x14ac:dyDescent="0.3"/>
    <row r="138" ht="28.2" customHeight="1" x14ac:dyDescent="0.3"/>
    <row r="139" ht="28.2" customHeight="1" x14ac:dyDescent="0.3"/>
    <row r="140" ht="28.2" customHeight="1" x14ac:dyDescent="0.3"/>
    <row r="141" ht="28.2" customHeight="1" x14ac:dyDescent="0.3"/>
    <row r="142" ht="28.2" customHeight="1" x14ac:dyDescent="0.3"/>
    <row r="143" ht="28.2" customHeight="1" x14ac:dyDescent="0.3"/>
    <row r="144" ht="28.2" customHeight="1" x14ac:dyDescent="0.3"/>
    <row r="145" ht="28.2" customHeight="1" x14ac:dyDescent="0.3"/>
    <row r="146" ht="28.2" customHeight="1" x14ac:dyDescent="0.3"/>
    <row r="147" ht="28.2" customHeight="1" x14ac:dyDescent="0.3"/>
    <row r="148" ht="28.2" customHeight="1" x14ac:dyDescent="0.3"/>
    <row r="149" ht="28.2" customHeight="1" x14ac:dyDescent="0.3"/>
    <row r="150" ht="28.2" customHeight="1" x14ac:dyDescent="0.3"/>
    <row r="151" ht="28.2" customHeight="1" x14ac:dyDescent="0.3"/>
    <row r="152" ht="28.2" customHeight="1" x14ac:dyDescent="0.3"/>
    <row r="153" ht="28.2" customHeight="1" x14ac:dyDescent="0.3"/>
    <row r="154" ht="28.2" customHeight="1" x14ac:dyDescent="0.3"/>
    <row r="155" ht="28.2" customHeight="1" x14ac:dyDescent="0.3"/>
    <row r="156" ht="28.2" customHeight="1" x14ac:dyDescent="0.3"/>
    <row r="157" ht="28.2" customHeight="1" x14ac:dyDescent="0.3"/>
    <row r="158" ht="28.2" customHeight="1" x14ac:dyDescent="0.3"/>
    <row r="159" ht="28.2" customHeight="1" x14ac:dyDescent="0.3"/>
    <row r="160" ht="28.2" customHeight="1" x14ac:dyDescent="0.3"/>
    <row r="161" ht="28.2" customHeight="1" x14ac:dyDescent="0.3"/>
    <row r="162" ht="28.2" customHeight="1" x14ac:dyDescent="0.3"/>
    <row r="163" ht="28.2" customHeight="1" x14ac:dyDescent="0.3"/>
    <row r="164" ht="28.2" customHeight="1" x14ac:dyDescent="0.3"/>
    <row r="165" ht="28.2" customHeight="1" x14ac:dyDescent="0.3"/>
    <row r="166" ht="28.2" customHeight="1" x14ac:dyDescent="0.3"/>
    <row r="167" ht="28.2" customHeight="1" x14ac:dyDescent="0.3"/>
    <row r="168" ht="28.2" customHeight="1" x14ac:dyDescent="0.3"/>
    <row r="169" ht="28.2" customHeight="1" x14ac:dyDescent="0.3"/>
    <row r="170" ht="28.2" customHeight="1" x14ac:dyDescent="0.3"/>
    <row r="171" ht="28.2" customHeight="1" x14ac:dyDescent="0.3"/>
    <row r="172" ht="28.2" customHeight="1" x14ac:dyDescent="0.3"/>
    <row r="173" ht="28.2" customHeight="1" x14ac:dyDescent="0.3"/>
    <row r="174" ht="28.2" customHeight="1" x14ac:dyDescent="0.3"/>
    <row r="175" ht="28.2" customHeight="1" x14ac:dyDescent="0.3"/>
    <row r="176" ht="28.2" customHeight="1" x14ac:dyDescent="0.3"/>
    <row r="177" ht="28.2" customHeight="1" x14ac:dyDescent="0.3"/>
    <row r="178" ht="28.2" customHeight="1" x14ac:dyDescent="0.3"/>
    <row r="179" ht="28.2" customHeight="1" x14ac:dyDescent="0.3"/>
    <row r="180" ht="28.2" customHeight="1" x14ac:dyDescent="0.3"/>
    <row r="181" ht="28.2" customHeight="1" x14ac:dyDescent="0.3"/>
    <row r="182" ht="28.2" customHeight="1" x14ac:dyDescent="0.3"/>
    <row r="183" ht="28.2" customHeight="1" x14ac:dyDescent="0.3"/>
    <row r="184" ht="28.2" customHeight="1" x14ac:dyDescent="0.3"/>
  </sheetData>
  <autoFilter ref="A1:CJ1" xr:uid="{00000000-0009-0000-0000-000000000000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Q50010"/>
  <sheetViews>
    <sheetView zoomScaleNormal="100" workbookViewId="0">
      <selection activeCell="C1" sqref="C1:Q1"/>
    </sheetView>
  </sheetViews>
  <sheetFormatPr defaultRowHeight="14.4" x14ac:dyDescent="0.3"/>
  <cols>
    <col min="1" max="1" width="72.109375" customWidth="1"/>
    <col min="2" max="8" width="15.33203125" style="1" customWidth="1"/>
    <col min="9" max="9" width="59.33203125" style="1" bestFit="1" customWidth="1"/>
    <col min="10" max="16" width="15.33203125" style="1" customWidth="1"/>
    <col min="17" max="17" width="17.6640625" style="1" bestFit="1" customWidth="1"/>
    <col min="18" max="18" width="15.33203125" style="1" customWidth="1"/>
    <col min="19" max="19" width="11.109375" style="1" bestFit="1" customWidth="1"/>
    <col min="20" max="22" width="15.33203125" style="1" customWidth="1"/>
    <col min="23" max="23" width="59.33203125" style="1" bestFit="1" customWidth="1"/>
    <col min="24" max="24" width="18.6640625" style="1" customWidth="1"/>
    <col min="25" max="25" width="19.5546875" style="7" customWidth="1"/>
    <col min="26" max="26" width="11.5546875" style="1" customWidth="1"/>
    <col min="27" max="27" width="20.33203125" style="7" customWidth="1"/>
    <col min="28" max="28" width="31.6640625" style="1" bestFit="1" customWidth="1"/>
    <col min="29" max="29" width="16.33203125" style="1" bestFit="1" customWidth="1"/>
    <col min="30" max="30" width="9.33203125" style="7" bestFit="1" customWidth="1"/>
    <col min="31" max="31" width="7" style="7" bestFit="1" customWidth="1"/>
    <col min="32" max="32" width="31.6640625" style="1" bestFit="1" customWidth="1"/>
    <col min="33" max="37" width="15.33203125" style="1" customWidth="1"/>
    <col min="38" max="38" width="57.6640625" style="1" bestFit="1" customWidth="1"/>
    <col min="39" max="41" width="15.33203125" style="1" customWidth="1"/>
    <col min="42" max="42" width="57.6640625" style="1" bestFit="1" customWidth="1"/>
    <col min="43" max="49" width="20.109375" style="1" customWidth="1"/>
    <col min="50" max="50" width="57.6640625" style="1" bestFit="1" customWidth="1"/>
    <col min="51" max="60" width="20.109375" style="1" customWidth="1"/>
    <col min="61" max="64" width="15.33203125" style="1" customWidth="1"/>
    <col min="65" max="65" width="18.33203125" style="1" customWidth="1"/>
    <col min="66" max="69" width="15.33203125" style="1" customWidth="1"/>
    <col min="70" max="70" width="18.33203125" style="1" customWidth="1"/>
    <col min="71" max="74" width="15.33203125" style="1" customWidth="1"/>
    <col min="75" max="75" width="20.33203125" style="1" customWidth="1"/>
    <col min="76" max="79" width="15.33203125" style="1" customWidth="1"/>
    <col min="80" max="80" width="26.33203125" style="1" customWidth="1"/>
    <col min="81" max="84" width="15.33203125" style="1" customWidth="1"/>
    <col min="85" max="85" width="30.6640625" style="1" customWidth="1"/>
    <col min="86" max="86" width="58" style="1" bestFit="1" customWidth="1"/>
    <col min="87" max="89" width="30.6640625" style="1" customWidth="1"/>
    <col min="90" max="90" width="12.109375" style="1" bestFit="1" customWidth="1"/>
    <col min="91" max="91" width="12.88671875" style="1" customWidth="1"/>
    <col min="92" max="92" width="19.6640625" style="1" customWidth="1"/>
    <col min="93" max="93" width="20.109375" style="1" customWidth="1"/>
    <col min="94" max="94" width="39.33203125" style="1" bestFit="1" customWidth="1"/>
    <col min="95" max="95" width="22.44140625" style="1" customWidth="1"/>
    <col min="96" max="96" width="12" customWidth="1"/>
    <col min="97" max="97" width="11.33203125" customWidth="1"/>
    <col min="98" max="98" width="13.33203125" customWidth="1"/>
    <col min="99" max="99" width="11.5546875" customWidth="1"/>
    <col min="100" max="100" width="10.33203125" customWidth="1"/>
  </cols>
  <sheetData>
    <row r="1" spans="1:90" ht="45" customHeight="1" x14ac:dyDescent="0.3">
      <c r="C1" s="16" t="s">
        <v>1</v>
      </c>
      <c r="D1" s="16" t="s">
        <v>11</v>
      </c>
      <c r="E1" s="16" t="s">
        <v>2</v>
      </c>
      <c r="F1" s="16" t="s">
        <v>12</v>
      </c>
      <c r="G1" s="16" t="s">
        <v>13</v>
      </c>
      <c r="H1" s="16" t="s">
        <v>15</v>
      </c>
      <c r="I1" s="16" t="s">
        <v>14</v>
      </c>
      <c r="J1" s="16" t="s">
        <v>3</v>
      </c>
      <c r="K1" s="16" t="s">
        <v>4</v>
      </c>
      <c r="L1" s="16" t="s">
        <v>5</v>
      </c>
      <c r="M1" s="16" t="s">
        <v>6</v>
      </c>
      <c r="N1" s="16" t="s">
        <v>7</v>
      </c>
      <c r="O1" s="17" t="s">
        <v>8</v>
      </c>
      <c r="P1" s="17" t="s">
        <v>9</v>
      </c>
      <c r="Q1" s="17" t="s">
        <v>10</v>
      </c>
    </row>
    <row r="2" spans="1:90" x14ac:dyDescent="0.3">
      <c r="J2" s="4"/>
      <c r="Q2" s="4"/>
      <c r="X2" s="5"/>
      <c r="Y2" s="8"/>
      <c r="Z2" s="5"/>
      <c r="AA2" s="8"/>
      <c r="AB2" s="5"/>
      <c r="AC2" s="5"/>
      <c r="AF2" s="4"/>
      <c r="AG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M2" s="4"/>
      <c r="CG2" s="4"/>
      <c r="CL2" s="4"/>
    </row>
    <row r="3" spans="1:90" x14ac:dyDescent="0.3">
      <c r="Q3" s="4"/>
      <c r="X3" s="5"/>
      <c r="Y3" s="8"/>
      <c r="Z3" s="5"/>
      <c r="AA3" s="8"/>
      <c r="AB3" s="5"/>
      <c r="AC3" s="5"/>
      <c r="AF3" s="4"/>
      <c r="AG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M3" s="4"/>
      <c r="CG3" s="4"/>
      <c r="CL3" s="4"/>
    </row>
    <row r="4" spans="1:90" x14ac:dyDescent="0.3">
      <c r="X4" s="5"/>
      <c r="Y4" s="8"/>
      <c r="Z4" s="5"/>
      <c r="AA4" s="8"/>
      <c r="AB4" s="5"/>
      <c r="AC4" s="5"/>
      <c r="AF4" s="4"/>
      <c r="AG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M4" s="4"/>
      <c r="CG4" s="4"/>
      <c r="CL4" s="4"/>
    </row>
    <row r="5" spans="1:90" x14ac:dyDescent="0.3">
      <c r="J5" s="4"/>
      <c r="X5" s="5"/>
      <c r="Y5" s="8"/>
      <c r="Z5" s="5"/>
      <c r="AA5" s="8"/>
      <c r="AB5" s="5"/>
      <c r="AC5" s="5"/>
      <c r="AF5" s="4"/>
      <c r="AG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M5" s="4"/>
      <c r="CG5" s="4"/>
      <c r="CL5" s="4"/>
    </row>
    <row r="6" spans="1:90" x14ac:dyDescent="0.3">
      <c r="X6" s="5"/>
      <c r="Y6" s="8"/>
      <c r="Z6" s="5"/>
      <c r="AA6" s="8"/>
      <c r="AB6" s="5"/>
      <c r="AC6" s="5"/>
      <c r="AF6" s="4"/>
      <c r="AG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M6" s="4"/>
      <c r="CG6" s="4"/>
      <c r="CL6" s="4"/>
    </row>
    <row r="7" spans="1:90" x14ac:dyDescent="0.3">
      <c r="J7" s="4"/>
      <c r="Q7" s="4"/>
      <c r="X7" s="5"/>
      <c r="Y7" s="8"/>
      <c r="Z7" s="5"/>
      <c r="AA7" s="8"/>
      <c r="AB7" s="5"/>
      <c r="AC7" s="5"/>
      <c r="AF7" s="4"/>
      <c r="AG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M7" s="4"/>
      <c r="CG7" s="4"/>
      <c r="CL7" s="4"/>
    </row>
    <row r="8" spans="1:90" x14ac:dyDescent="0.3">
      <c r="X8" s="5"/>
      <c r="Y8" s="8"/>
      <c r="Z8" s="5"/>
      <c r="AA8" s="8"/>
      <c r="AB8" s="5"/>
      <c r="AC8" s="5"/>
      <c r="AF8" s="4"/>
      <c r="AG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M8" s="4"/>
      <c r="CG8" s="4"/>
      <c r="CL8" s="4"/>
    </row>
    <row r="9" spans="1:90" x14ac:dyDescent="0.3">
      <c r="A9" t="s">
        <v>0</v>
      </c>
      <c r="J9" s="4"/>
      <c r="Q9" s="4"/>
      <c r="X9" s="5"/>
      <c r="Y9" s="8"/>
      <c r="Z9" s="5"/>
      <c r="AA9" s="8"/>
      <c r="AB9" s="5"/>
      <c r="AC9" s="5"/>
      <c r="AF9" s="4"/>
      <c r="AG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M9" s="4"/>
      <c r="CG9" s="4"/>
      <c r="CL9" s="4"/>
    </row>
    <row r="10" spans="1:90" x14ac:dyDescent="0.3">
      <c r="A10" t="s">
        <v>0</v>
      </c>
      <c r="X10" s="5"/>
      <c r="Y10" s="8"/>
      <c r="Z10" s="5"/>
      <c r="AA10" s="8"/>
      <c r="AB10" s="5"/>
      <c r="AC10" s="5"/>
      <c r="AF10" s="4"/>
      <c r="AG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M10" s="4"/>
      <c r="CG10" s="4"/>
      <c r="CL10" s="4"/>
    </row>
    <row r="11" spans="1:90" x14ac:dyDescent="0.3">
      <c r="A11" t="s">
        <v>0</v>
      </c>
      <c r="Q11" s="4"/>
      <c r="X11" s="5"/>
      <c r="Y11" s="8"/>
      <c r="Z11" s="6"/>
      <c r="AA11" s="8"/>
      <c r="AB11" s="6"/>
      <c r="AC11" s="6"/>
    </row>
    <row r="12" spans="1:90" x14ac:dyDescent="0.3">
      <c r="A12" t="s">
        <v>0</v>
      </c>
      <c r="X12" s="6"/>
      <c r="Y12" s="8"/>
      <c r="Z12" s="6"/>
      <c r="AA12" s="8"/>
      <c r="AB12" s="6"/>
      <c r="AC12" s="6"/>
    </row>
    <row r="13" spans="1:90" x14ac:dyDescent="0.3">
      <c r="A13" t="s">
        <v>0</v>
      </c>
      <c r="X13" s="5"/>
      <c r="Y13" s="8"/>
      <c r="Z13" s="6"/>
      <c r="AA13" s="8"/>
      <c r="AB13" s="6"/>
      <c r="AC13" s="6"/>
    </row>
    <row r="14" spans="1:90" x14ac:dyDescent="0.3">
      <c r="A14" t="s">
        <v>0</v>
      </c>
      <c r="X14" s="6"/>
      <c r="Y14" s="8"/>
      <c r="Z14" s="6"/>
      <c r="AA14" s="8"/>
      <c r="AB14" s="6"/>
      <c r="AC14" s="6"/>
    </row>
    <row r="15" spans="1:90" x14ac:dyDescent="0.3">
      <c r="A15" t="s">
        <v>0</v>
      </c>
      <c r="X15" s="5"/>
      <c r="Y15" s="8"/>
      <c r="Z15" s="5"/>
      <c r="AA15" s="8"/>
      <c r="AB15" s="5"/>
      <c r="AC15" s="5"/>
      <c r="AF15" s="4"/>
      <c r="AG15" s="4"/>
    </row>
    <row r="16" spans="1:90" x14ac:dyDescent="0.3">
      <c r="A16" t="s">
        <v>0</v>
      </c>
      <c r="X16" s="6"/>
      <c r="Y16" s="8"/>
      <c r="Z16" s="6"/>
      <c r="AA16" s="8"/>
      <c r="AB16" s="6"/>
      <c r="AC16" s="6"/>
    </row>
    <row r="17" spans="1:60" x14ac:dyDescent="0.3">
      <c r="A17" t="s">
        <v>0</v>
      </c>
      <c r="X17" s="5"/>
      <c r="Y17" s="8"/>
      <c r="Z17" s="6"/>
      <c r="AA17" s="8"/>
      <c r="AB17" s="6"/>
      <c r="AC17" s="6"/>
    </row>
    <row r="18" spans="1:60" x14ac:dyDescent="0.3">
      <c r="A18" t="s">
        <v>0</v>
      </c>
      <c r="X18" s="6"/>
      <c r="Y18" s="8"/>
      <c r="Z18" s="6"/>
      <c r="AA18" s="8"/>
      <c r="AB18" s="6"/>
      <c r="AC18" s="6"/>
    </row>
    <row r="19" spans="1:60" x14ac:dyDescent="0.3">
      <c r="A19" t="s">
        <v>0</v>
      </c>
      <c r="X19" s="6"/>
      <c r="Y19" s="8"/>
      <c r="Z19" s="6"/>
      <c r="AA19" s="8"/>
      <c r="AB19" s="6"/>
      <c r="AC19" s="6"/>
    </row>
    <row r="20" spans="1:60" x14ac:dyDescent="0.3">
      <c r="A20" t="s">
        <v>0</v>
      </c>
      <c r="X20" s="6"/>
      <c r="Y20" s="8"/>
      <c r="Z20" s="6"/>
      <c r="AA20" s="8"/>
      <c r="AB20" s="6"/>
      <c r="AC20" s="6"/>
    </row>
    <row r="21" spans="1:60" x14ac:dyDescent="0.3">
      <c r="A21" t="s">
        <v>0</v>
      </c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</row>
    <row r="22" spans="1:60" x14ac:dyDescent="0.3">
      <c r="A22" t="s">
        <v>0</v>
      </c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</row>
    <row r="23" spans="1:60" x14ac:dyDescent="0.3">
      <c r="A23" t="s">
        <v>0</v>
      </c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</row>
    <row r="24" spans="1:60" x14ac:dyDescent="0.3">
      <c r="A24" t="s">
        <v>0</v>
      </c>
    </row>
    <row r="25" spans="1:60" x14ac:dyDescent="0.3">
      <c r="A25" t="s">
        <v>0</v>
      </c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</row>
    <row r="26" spans="1:60" x14ac:dyDescent="0.3">
      <c r="A26" t="s">
        <v>0</v>
      </c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</row>
    <row r="27" spans="1:60" x14ac:dyDescent="0.3">
      <c r="A27" t="s">
        <v>0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</row>
    <row r="28" spans="1:60" x14ac:dyDescent="0.3">
      <c r="A28" t="s">
        <v>0</v>
      </c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</row>
    <row r="29" spans="1:60" x14ac:dyDescent="0.3">
      <c r="A29" t="s">
        <v>0</v>
      </c>
    </row>
    <row r="30" spans="1:60" x14ac:dyDescent="0.3">
      <c r="A30" t="s">
        <v>0</v>
      </c>
    </row>
    <row r="31" spans="1:60" x14ac:dyDescent="0.3">
      <c r="A31" t="s">
        <v>0</v>
      </c>
    </row>
    <row r="32" spans="1:60" x14ac:dyDescent="0.3">
      <c r="A32" t="s">
        <v>0</v>
      </c>
    </row>
    <row r="33" spans="1:90" x14ac:dyDescent="0.3">
      <c r="A33" t="s">
        <v>0</v>
      </c>
      <c r="BM33" s="4"/>
    </row>
    <row r="34" spans="1:90" x14ac:dyDescent="0.3">
      <c r="A34" t="s">
        <v>0</v>
      </c>
      <c r="BM34" s="4"/>
    </row>
    <row r="35" spans="1:90" x14ac:dyDescent="0.3">
      <c r="A35" t="s">
        <v>0</v>
      </c>
    </row>
    <row r="36" spans="1:90" x14ac:dyDescent="0.3">
      <c r="A36" t="s">
        <v>0</v>
      </c>
    </row>
    <row r="37" spans="1:90" x14ac:dyDescent="0.3">
      <c r="A37" t="s">
        <v>0</v>
      </c>
    </row>
    <row r="38" spans="1:90" x14ac:dyDescent="0.3">
      <c r="A38" t="s">
        <v>0</v>
      </c>
    </row>
    <row r="39" spans="1:90" x14ac:dyDescent="0.3">
      <c r="A39" t="s">
        <v>0</v>
      </c>
      <c r="CG39" s="4"/>
      <c r="CL39" s="4"/>
    </row>
    <row r="40" spans="1:90" x14ac:dyDescent="0.3">
      <c r="A40" t="s">
        <v>0</v>
      </c>
      <c r="CG40" s="4"/>
      <c r="CL40" s="4"/>
    </row>
    <row r="41" spans="1:90" x14ac:dyDescent="0.3">
      <c r="A41" t="s">
        <v>0</v>
      </c>
      <c r="CL41" s="4"/>
    </row>
    <row r="42" spans="1:90" x14ac:dyDescent="0.3">
      <c r="A42" t="s">
        <v>0</v>
      </c>
    </row>
    <row r="43" spans="1:90" x14ac:dyDescent="0.3">
      <c r="A43" t="s">
        <v>0</v>
      </c>
    </row>
    <row r="44" spans="1:90" x14ac:dyDescent="0.3">
      <c r="A44" t="s">
        <v>0</v>
      </c>
    </row>
    <row r="45" spans="1:90" x14ac:dyDescent="0.3">
      <c r="A45" t="s">
        <v>0</v>
      </c>
    </row>
    <row r="46" spans="1:90" x14ac:dyDescent="0.3">
      <c r="A46" t="s">
        <v>0</v>
      </c>
    </row>
    <row r="47" spans="1:90" x14ac:dyDescent="0.3">
      <c r="A47" t="s">
        <v>0</v>
      </c>
    </row>
    <row r="48" spans="1:90" x14ac:dyDescent="0.3">
      <c r="A48" t="s">
        <v>0</v>
      </c>
    </row>
    <row r="49" spans="1:1" x14ac:dyDescent="0.3">
      <c r="A49" t="s">
        <v>0</v>
      </c>
    </row>
    <row r="50" spans="1:1" x14ac:dyDescent="0.3">
      <c r="A50" t="s">
        <v>0</v>
      </c>
    </row>
    <row r="51" spans="1:1" x14ac:dyDescent="0.3">
      <c r="A51" t="s">
        <v>0</v>
      </c>
    </row>
    <row r="52" spans="1:1" x14ac:dyDescent="0.3">
      <c r="A52" t="s">
        <v>0</v>
      </c>
    </row>
    <row r="53" spans="1:1" x14ac:dyDescent="0.3">
      <c r="A53" t="s">
        <v>0</v>
      </c>
    </row>
    <row r="54" spans="1:1" x14ac:dyDescent="0.3">
      <c r="A54" t="s">
        <v>0</v>
      </c>
    </row>
    <row r="55" spans="1:1" x14ac:dyDescent="0.3">
      <c r="A55" t="s">
        <v>0</v>
      </c>
    </row>
    <row r="56" spans="1:1" x14ac:dyDescent="0.3">
      <c r="A56" t="s">
        <v>0</v>
      </c>
    </row>
    <row r="57" spans="1:1" x14ac:dyDescent="0.3">
      <c r="A57" t="s">
        <v>0</v>
      </c>
    </row>
    <row r="58" spans="1:1" x14ac:dyDescent="0.3">
      <c r="A58" t="s">
        <v>0</v>
      </c>
    </row>
    <row r="59" spans="1:1" x14ac:dyDescent="0.3">
      <c r="A59" t="s">
        <v>0</v>
      </c>
    </row>
    <row r="60" spans="1:1" x14ac:dyDescent="0.3">
      <c r="A60" t="s">
        <v>0</v>
      </c>
    </row>
    <row r="61" spans="1:1" x14ac:dyDescent="0.3">
      <c r="A61" t="s">
        <v>0</v>
      </c>
    </row>
    <row r="62" spans="1:1" x14ac:dyDescent="0.3">
      <c r="A62" t="s">
        <v>0</v>
      </c>
    </row>
    <row r="63" spans="1:1" x14ac:dyDescent="0.3">
      <c r="A63" t="s">
        <v>0</v>
      </c>
    </row>
    <row r="64" spans="1:1" x14ac:dyDescent="0.3">
      <c r="A64" t="s">
        <v>0</v>
      </c>
    </row>
    <row r="65" spans="1:1" x14ac:dyDescent="0.3">
      <c r="A65" t="s">
        <v>0</v>
      </c>
    </row>
    <row r="66" spans="1:1" x14ac:dyDescent="0.3">
      <c r="A66" t="s">
        <v>0</v>
      </c>
    </row>
    <row r="67" spans="1:1" x14ac:dyDescent="0.3">
      <c r="A67" t="s">
        <v>0</v>
      </c>
    </row>
    <row r="68" spans="1:1" x14ac:dyDescent="0.3">
      <c r="A68" t="s">
        <v>0</v>
      </c>
    </row>
    <row r="69" spans="1:1" x14ac:dyDescent="0.3">
      <c r="A69" t="s">
        <v>0</v>
      </c>
    </row>
    <row r="70" spans="1:1" x14ac:dyDescent="0.3">
      <c r="A70" t="s">
        <v>0</v>
      </c>
    </row>
    <row r="71" spans="1:1" x14ac:dyDescent="0.3">
      <c r="A71" t="s">
        <v>0</v>
      </c>
    </row>
    <row r="72" spans="1:1" x14ac:dyDescent="0.3">
      <c r="A72" t="s">
        <v>0</v>
      </c>
    </row>
    <row r="73" spans="1:1" x14ac:dyDescent="0.3">
      <c r="A73" t="s">
        <v>0</v>
      </c>
    </row>
    <row r="74" spans="1:1" x14ac:dyDescent="0.3">
      <c r="A74" t="s">
        <v>0</v>
      </c>
    </row>
    <row r="75" spans="1:1" x14ac:dyDescent="0.3">
      <c r="A75" t="s">
        <v>0</v>
      </c>
    </row>
    <row r="76" spans="1:1" x14ac:dyDescent="0.3">
      <c r="A76" t="s">
        <v>0</v>
      </c>
    </row>
    <row r="77" spans="1:1" x14ac:dyDescent="0.3">
      <c r="A77" t="s">
        <v>0</v>
      </c>
    </row>
    <row r="78" spans="1:1" x14ac:dyDescent="0.3">
      <c r="A78" t="s">
        <v>0</v>
      </c>
    </row>
    <row r="79" spans="1:1" x14ac:dyDescent="0.3">
      <c r="A79" t="s">
        <v>0</v>
      </c>
    </row>
    <row r="80" spans="1:1" x14ac:dyDescent="0.3">
      <c r="A80" t="s">
        <v>0</v>
      </c>
    </row>
    <row r="81" spans="1:1" x14ac:dyDescent="0.3">
      <c r="A81" t="s">
        <v>0</v>
      </c>
    </row>
    <row r="82" spans="1:1" x14ac:dyDescent="0.3">
      <c r="A82" t="s">
        <v>0</v>
      </c>
    </row>
    <row r="83" spans="1:1" x14ac:dyDescent="0.3">
      <c r="A83" t="s">
        <v>0</v>
      </c>
    </row>
    <row r="84" spans="1:1" x14ac:dyDescent="0.3">
      <c r="A84" t="s">
        <v>0</v>
      </c>
    </row>
    <row r="85" spans="1:1" x14ac:dyDescent="0.3">
      <c r="A85" t="s">
        <v>0</v>
      </c>
    </row>
    <row r="86" spans="1:1" x14ac:dyDescent="0.3">
      <c r="A86" t="s">
        <v>0</v>
      </c>
    </row>
    <row r="87" spans="1:1" x14ac:dyDescent="0.3">
      <c r="A87" t="s">
        <v>0</v>
      </c>
    </row>
    <row r="88" spans="1:1" x14ac:dyDescent="0.3">
      <c r="A88" t="s">
        <v>0</v>
      </c>
    </row>
    <row r="89" spans="1:1" x14ac:dyDescent="0.3">
      <c r="A89" t="s">
        <v>0</v>
      </c>
    </row>
    <row r="90" spans="1:1" x14ac:dyDescent="0.3">
      <c r="A90" t="s">
        <v>0</v>
      </c>
    </row>
    <row r="91" spans="1:1" x14ac:dyDescent="0.3">
      <c r="A91" t="s">
        <v>0</v>
      </c>
    </row>
    <row r="92" spans="1:1" x14ac:dyDescent="0.3">
      <c r="A92" t="s">
        <v>0</v>
      </c>
    </row>
    <row r="93" spans="1:1" x14ac:dyDescent="0.3">
      <c r="A93" t="s">
        <v>0</v>
      </c>
    </row>
    <row r="94" spans="1:1" x14ac:dyDescent="0.3">
      <c r="A94" t="s">
        <v>0</v>
      </c>
    </row>
    <row r="95" spans="1:1" x14ac:dyDescent="0.3">
      <c r="A95" t="s">
        <v>0</v>
      </c>
    </row>
    <row r="96" spans="1:1" x14ac:dyDescent="0.3">
      <c r="A96" t="s">
        <v>0</v>
      </c>
    </row>
    <row r="97" spans="1:1" x14ac:dyDescent="0.3">
      <c r="A97" t="s">
        <v>0</v>
      </c>
    </row>
    <row r="98" spans="1:1" x14ac:dyDescent="0.3">
      <c r="A98" t="s">
        <v>0</v>
      </c>
    </row>
    <row r="99" spans="1:1" x14ac:dyDescent="0.3">
      <c r="A99" t="s">
        <v>0</v>
      </c>
    </row>
    <row r="100" spans="1:1" x14ac:dyDescent="0.3">
      <c r="A100" t="s">
        <v>0</v>
      </c>
    </row>
    <row r="101" spans="1:1" x14ac:dyDescent="0.3">
      <c r="A101" t="s">
        <v>0</v>
      </c>
    </row>
    <row r="102" spans="1:1" x14ac:dyDescent="0.3">
      <c r="A102" t="s">
        <v>0</v>
      </c>
    </row>
    <row r="103" spans="1:1" x14ac:dyDescent="0.3">
      <c r="A103" t="s">
        <v>0</v>
      </c>
    </row>
    <row r="104" spans="1:1" x14ac:dyDescent="0.3">
      <c r="A104" t="s">
        <v>0</v>
      </c>
    </row>
    <row r="105" spans="1:1" x14ac:dyDescent="0.3">
      <c r="A105" t="s">
        <v>0</v>
      </c>
    </row>
    <row r="106" spans="1:1" x14ac:dyDescent="0.3">
      <c r="A106" t="s">
        <v>0</v>
      </c>
    </row>
    <row r="107" spans="1:1" x14ac:dyDescent="0.3">
      <c r="A107" t="s">
        <v>0</v>
      </c>
    </row>
    <row r="108" spans="1:1" x14ac:dyDescent="0.3">
      <c r="A108" t="s">
        <v>0</v>
      </c>
    </row>
    <row r="109" spans="1:1" x14ac:dyDescent="0.3">
      <c r="A109" t="s">
        <v>0</v>
      </c>
    </row>
    <row r="110" spans="1:1" x14ac:dyDescent="0.3">
      <c r="A110" t="s">
        <v>0</v>
      </c>
    </row>
    <row r="111" spans="1:1" x14ac:dyDescent="0.3">
      <c r="A111" t="s">
        <v>0</v>
      </c>
    </row>
    <row r="112" spans="1:1" x14ac:dyDescent="0.3">
      <c r="A112" t="s">
        <v>0</v>
      </c>
    </row>
    <row r="113" spans="1:1" x14ac:dyDescent="0.3">
      <c r="A113" t="s">
        <v>0</v>
      </c>
    </row>
    <row r="114" spans="1:1" x14ac:dyDescent="0.3">
      <c r="A114" t="s">
        <v>0</v>
      </c>
    </row>
    <row r="115" spans="1:1" x14ac:dyDescent="0.3">
      <c r="A115" t="s">
        <v>0</v>
      </c>
    </row>
    <row r="116" spans="1:1" x14ac:dyDescent="0.3">
      <c r="A116" t="s">
        <v>0</v>
      </c>
    </row>
    <row r="117" spans="1:1" x14ac:dyDescent="0.3">
      <c r="A117" t="s">
        <v>0</v>
      </c>
    </row>
    <row r="118" spans="1:1" x14ac:dyDescent="0.3">
      <c r="A118" t="s">
        <v>0</v>
      </c>
    </row>
    <row r="119" spans="1:1" x14ac:dyDescent="0.3">
      <c r="A119" t="s">
        <v>0</v>
      </c>
    </row>
    <row r="120" spans="1:1" x14ac:dyDescent="0.3">
      <c r="A120" t="s">
        <v>0</v>
      </c>
    </row>
    <row r="121" spans="1:1" x14ac:dyDescent="0.3">
      <c r="A121" t="s">
        <v>0</v>
      </c>
    </row>
    <row r="122" spans="1:1" x14ac:dyDescent="0.3">
      <c r="A122" t="s">
        <v>0</v>
      </c>
    </row>
    <row r="123" spans="1:1" x14ac:dyDescent="0.3">
      <c r="A123" t="s">
        <v>0</v>
      </c>
    </row>
    <row r="124" spans="1:1" x14ac:dyDescent="0.3">
      <c r="A124" t="s">
        <v>0</v>
      </c>
    </row>
    <row r="125" spans="1:1" x14ac:dyDescent="0.3">
      <c r="A125" t="s">
        <v>0</v>
      </c>
    </row>
    <row r="126" spans="1:1" x14ac:dyDescent="0.3">
      <c r="A126" t="s">
        <v>0</v>
      </c>
    </row>
    <row r="127" spans="1:1" x14ac:dyDescent="0.3">
      <c r="A127" t="s">
        <v>0</v>
      </c>
    </row>
    <row r="128" spans="1:1" x14ac:dyDescent="0.3">
      <c r="A128" t="s">
        <v>0</v>
      </c>
    </row>
    <row r="129" spans="1:1" x14ac:dyDescent="0.3">
      <c r="A129" t="s">
        <v>0</v>
      </c>
    </row>
    <row r="130" spans="1:1" x14ac:dyDescent="0.3">
      <c r="A130" t="s">
        <v>0</v>
      </c>
    </row>
    <row r="131" spans="1:1" x14ac:dyDescent="0.3">
      <c r="A131" t="s">
        <v>0</v>
      </c>
    </row>
    <row r="132" spans="1:1" x14ac:dyDescent="0.3">
      <c r="A132" t="s">
        <v>0</v>
      </c>
    </row>
    <row r="133" spans="1:1" x14ac:dyDescent="0.3">
      <c r="A133" t="s">
        <v>0</v>
      </c>
    </row>
    <row r="134" spans="1:1" x14ac:dyDescent="0.3">
      <c r="A134" t="s">
        <v>0</v>
      </c>
    </row>
    <row r="135" spans="1:1" x14ac:dyDescent="0.3">
      <c r="A135" t="s">
        <v>0</v>
      </c>
    </row>
    <row r="136" spans="1:1" x14ac:dyDescent="0.3">
      <c r="A136" t="s">
        <v>0</v>
      </c>
    </row>
    <row r="137" spans="1:1" x14ac:dyDescent="0.3">
      <c r="A137" t="s">
        <v>0</v>
      </c>
    </row>
    <row r="138" spans="1:1" x14ac:dyDescent="0.3">
      <c r="A138" t="s">
        <v>0</v>
      </c>
    </row>
    <row r="139" spans="1:1" x14ac:dyDescent="0.3">
      <c r="A139" t="s">
        <v>0</v>
      </c>
    </row>
    <row r="140" spans="1:1" x14ac:dyDescent="0.3">
      <c r="A140" t="s">
        <v>0</v>
      </c>
    </row>
    <row r="141" spans="1:1" x14ac:dyDescent="0.3">
      <c r="A141" t="s">
        <v>0</v>
      </c>
    </row>
    <row r="142" spans="1:1" x14ac:dyDescent="0.3">
      <c r="A142" t="s">
        <v>0</v>
      </c>
    </row>
    <row r="143" spans="1:1" x14ac:dyDescent="0.3">
      <c r="A143" t="s">
        <v>0</v>
      </c>
    </row>
    <row r="144" spans="1:1" x14ac:dyDescent="0.3">
      <c r="A144" t="s">
        <v>0</v>
      </c>
    </row>
    <row r="145" spans="1:1" x14ac:dyDescent="0.3">
      <c r="A145" t="s">
        <v>0</v>
      </c>
    </row>
    <row r="146" spans="1:1" x14ac:dyDescent="0.3">
      <c r="A146" t="s">
        <v>0</v>
      </c>
    </row>
    <row r="147" spans="1:1" x14ac:dyDescent="0.3">
      <c r="A147" t="s">
        <v>0</v>
      </c>
    </row>
    <row r="148" spans="1:1" x14ac:dyDescent="0.3">
      <c r="A148" t="s">
        <v>0</v>
      </c>
    </row>
    <row r="149" spans="1:1" x14ac:dyDescent="0.3">
      <c r="A149" t="s">
        <v>0</v>
      </c>
    </row>
    <row r="150" spans="1:1" x14ac:dyDescent="0.3">
      <c r="A150" t="s">
        <v>0</v>
      </c>
    </row>
    <row r="151" spans="1:1" x14ac:dyDescent="0.3">
      <c r="A151" t="s">
        <v>0</v>
      </c>
    </row>
    <row r="152" spans="1:1" x14ac:dyDescent="0.3">
      <c r="A152" t="s">
        <v>0</v>
      </c>
    </row>
    <row r="153" spans="1:1" x14ac:dyDescent="0.3">
      <c r="A153" t="s">
        <v>0</v>
      </c>
    </row>
    <row r="154" spans="1:1" x14ac:dyDescent="0.3">
      <c r="A154" t="s">
        <v>0</v>
      </c>
    </row>
    <row r="155" spans="1:1" x14ac:dyDescent="0.3">
      <c r="A155" t="s">
        <v>0</v>
      </c>
    </row>
    <row r="156" spans="1:1" x14ac:dyDescent="0.3">
      <c r="A156" t="s">
        <v>0</v>
      </c>
    </row>
    <row r="157" spans="1:1" x14ac:dyDescent="0.3">
      <c r="A157" t="s">
        <v>0</v>
      </c>
    </row>
    <row r="158" spans="1:1" x14ac:dyDescent="0.3">
      <c r="A158" t="s">
        <v>0</v>
      </c>
    </row>
    <row r="159" spans="1:1" x14ac:dyDescent="0.3">
      <c r="A159" t="s">
        <v>0</v>
      </c>
    </row>
    <row r="160" spans="1:1" x14ac:dyDescent="0.3">
      <c r="A160" t="s">
        <v>0</v>
      </c>
    </row>
    <row r="161" spans="1:1" x14ac:dyDescent="0.3">
      <c r="A161" t="s">
        <v>0</v>
      </c>
    </row>
    <row r="162" spans="1:1" x14ac:dyDescent="0.3">
      <c r="A162" t="s">
        <v>0</v>
      </c>
    </row>
    <row r="163" spans="1:1" x14ac:dyDescent="0.3">
      <c r="A163" t="s">
        <v>0</v>
      </c>
    </row>
    <row r="164" spans="1:1" x14ac:dyDescent="0.3">
      <c r="A164" t="s">
        <v>0</v>
      </c>
    </row>
    <row r="165" spans="1:1" x14ac:dyDescent="0.3">
      <c r="A165" t="s">
        <v>0</v>
      </c>
    </row>
    <row r="166" spans="1:1" x14ac:dyDescent="0.3">
      <c r="A166" t="s">
        <v>0</v>
      </c>
    </row>
    <row r="167" spans="1:1" x14ac:dyDescent="0.3">
      <c r="A167" t="s">
        <v>0</v>
      </c>
    </row>
    <row r="168" spans="1:1" x14ac:dyDescent="0.3">
      <c r="A168" t="s">
        <v>0</v>
      </c>
    </row>
    <row r="169" spans="1:1" x14ac:dyDescent="0.3">
      <c r="A169" t="s">
        <v>0</v>
      </c>
    </row>
    <row r="170" spans="1:1" x14ac:dyDescent="0.3">
      <c r="A170" t="s">
        <v>0</v>
      </c>
    </row>
    <row r="171" spans="1:1" x14ac:dyDescent="0.3">
      <c r="A171" t="s">
        <v>0</v>
      </c>
    </row>
    <row r="172" spans="1:1" x14ac:dyDescent="0.3">
      <c r="A172" t="s">
        <v>0</v>
      </c>
    </row>
    <row r="173" spans="1:1" x14ac:dyDescent="0.3">
      <c r="A173" t="s">
        <v>0</v>
      </c>
    </row>
    <row r="174" spans="1:1" x14ac:dyDescent="0.3">
      <c r="A174" t="s">
        <v>0</v>
      </c>
    </row>
    <row r="175" spans="1:1" x14ac:dyDescent="0.3">
      <c r="A175" t="s">
        <v>0</v>
      </c>
    </row>
    <row r="176" spans="1:1" x14ac:dyDescent="0.3">
      <c r="A176" t="s">
        <v>0</v>
      </c>
    </row>
    <row r="177" spans="1:1" x14ac:dyDescent="0.3">
      <c r="A177" t="s">
        <v>0</v>
      </c>
    </row>
    <row r="178" spans="1:1" x14ac:dyDescent="0.3">
      <c r="A178" t="s">
        <v>0</v>
      </c>
    </row>
    <row r="179" spans="1:1" x14ac:dyDescent="0.3">
      <c r="A179" t="s">
        <v>0</v>
      </c>
    </row>
    <row r="180" spans="1:1" x14ac:dyDescent="0.3">
      <c r="A180" t="s">
        <v>0</v>
      </c>
    </row>
    <row r="181" spans="1:1" x14ac:dyDescent="0.3">
      <c r="A181" t="s">
        <v>0</v>
      </c>
    </row>
    <row r="182" spans="1:1" x14ac:dyDescent="0.3">
      <c r="A182" t="s">
        <v>0</v>
      </c>
    </row>
    <row r="183" spans="1:1" x14ac:dyDescent="0.3">
      <c r="A183" t="s">
        <v>0</v>
      </c>
    </row>
    <row r="184" spans="1:1" x14ac:dyDescent="0.3">
      <c r="A184" t="s">
        <v>0</v>
      </c>
    </row>
    <row r="185" spans="1:1" x14ac:dyDescent="0.3">
      <c r="A185" t="s">
        <v>0</v>
      </c>
    </row>
    <row r="186" spans="1:1" x14ac:dyDescent="0.3">
      <c r="A186" t="s">
        <v>0</v>
      </c>
    </row>
    <row r="187" spans="1:1" x14ac:dyDescent="0.3">
      <c r="A187" t="s">
        <v>0</v>
      </c>
    </row>
    <row r="188" spans="1:1" x14ac:dyDescent="0.3">
      <c r="A188" t="s">
        <v>0</v>
      </c>
    </row>
    <row r="189" spans="1:1" x14ac:dyDescent="0.3">
      <c r="A189" t="s">
        <v>0</v>
      </c>
    </row>
    <row r="190" spans="1:1" x14ac:dyDescent="0.3">
      <c r="A190" t="s">
        <v>0</v>
      </c>
    </row>
    <row r="191" spans="1:1" x14ac:dyDescent="0.3">
      <c r="A191" t="s">
        <v>0</v>
      </c>
    </row>
    <row r="192" spans="1:1" x14ac:dyDescent="0.3">
      <c r="A192" t="s">
        <v>0</v>
      </c>
    </row>
    <row r="193" spans="1:1" x14ac:dyDescent="0.3">
      <c r="A193" t="s">
        <v>0</v>
      </c>
    </row>
    <row r="194" spans="1:1" x14ac:dyDescent="0.3">
      <c r="A194" t="s">
        <v>0</v>
      </c>
    </row>
    <row r="195" spans="1:1" x14ac:dyDescent="0.3">
      <c r="A195" t="s">
        <v>0</v>
      </c>
    </row>
    <row r="196" spans="1:1" x14ac:dyDescent="0.3">
      <c r="A196" t="s">
        <v>0</v>
      </c>
    </row>
    <row r="197" spans="1:1" x14ac:dyDescent="0.3">
      <c r="A197" t="s">
        <v>0</v>
      </c>
    </row>
    <row r="198" spans="1:1" x14ac:dyDescent="0.3">
      <c r="A198" t="s">
        <v>0</v>
      </c>
    </row>
    <row r="199" spans="1:1" x14ac:dyDescent="0.3">
      <c r="A199" t="s">
        <v>0</v>
      </c>
    </row>
    <row r="200" spans="1:1" x14ac:dyDescent="0.3">
      <c r="A200" t="s">
        <v>0</v>
      </c>
    </row>
    <row r="201" spans="1:1" x14ac:dyDescent="0.3">
      <c r="A201" t="s">
        <v>0</v>
      </c>
    </row>
    <row r="202" spans="1:1" x14ac:dyDescent="0.3">
      <c r="A202" t="s">
        <v>0</v>
      </c>
    </row>
    <row r="203" spans="1:1" x14ac:dyDescent="0.3">
      <c r="A203" t="s">
        <v>0</v>
      </c>
    </row>
    <row r="204" spans="1:1" x14ac:dyDescent="0.3">
      <c r="A204" t="s">
        <v>0</v>
      </c>
    </row>
    <row r="205" spans="1:1" x14ac:dyDescent="0.3">
      <c r="A205" t="s">
        <v>0</v>
      </c>
    </row>
    <row r="206" spans="1:1" x14ac:dyDescent="0.3">
      <c r="A206" t="s">
        <v>0</v>
      </c>
    </row>
    <row r="207" spans="1:1" x14ac:dyDescent="0.3">
      <c r="A207" t="s">
        <v>0</v>
      </c>
    </row>
    <row r="208" spans="1:1" x14ac:dyDescent="0.3">
      <c r="A208" t="s">
        <v>0</v>
      </c>
    </row>
    <row r="209" spans="1:1" x14ac:dyDescent="0.3">
      <c r="A209" t="s">
        <v>0</v>
      </c>
    </row>
    <row r="210" spans="1:1" x14ac:dyDescent="0.3">
      <c r="A210" t="s">
        <v>0</v>
      </c>
    </row>
    <row r="211" spans="1:1" x14ac:dyDescent="0.3">
      <c r="A211" t="s">
        <v>0</v>
      </c>
    </row>
    <row r="212" spans="1:1" x14ac:dyDescent="0.3">
      <c r="A212" t="s">
        <v>0</v>
      </c>
    </row>
    <row r="213" spans="1:1" x14ac:dyDescent="0.3">
      <c r="A213" t="s">
        <v>0</v>
      </c>
    </row>
    <row r="214" spans="1:1" x14ac:dyDescent="0.3">
      <c r="A214" t="s">
        <v>0</v>
      </c>
    </row>
    <row r="215" spans="1:1" x14ac:dyDescent="0.3">
      <c r="A215" t="s">
        <v>0</v>
      </c>
    </row>
    <row r="216" spans="1:1" x14ac:dyDescent="0.3">
      <c r="A216" t="s">
        <v>0</v>
      </c>
    </row>
    <row r="217" spans="1:1" x14ac:dyDescent="0.3">
      <c r="A217" t="s">
        <v>0</v>
      </c>
    </row>
    <row r="218" spans="1:1" x14ac:dyDescent="0.3">
      <c r="A218" t="s">
        <v>0</v>
      </c>
    </row>
    <row r="219" spans="1:1" x14ac:dyDescent="0.3">
      <c r="A219" t="s">
        <v>0</v>
      </c>
    </row>
    <row r="220" spans="1:1" x14ac:dyDescent="0.3">
      <c r="A220" t="s">
        <v>0</v>
      </c>
    </row>
    <row r="221" spans="1:1" x14ac:dyDescent="0.3">
      <c r="A221" t="s">
        <v>0</v>
      </c>
    </row>
    <row r="222" spans="1:1" x14ac:dyDescent="0.3">
      <c r="A222" t="s">
        <v>0</v>
      </c>
    </row>
    <row r="223" spans="1:1" x14ac:dyDescent="0.3">
      <c r="A223" t="s">
        <v>0</v>
      </c>
    </row>
    <row r="224" spans="1:1" x14ac:dyDescent="0.3">
      <c r="A224" t="s">
        <v>0</v>
      </c>
    </row>
    <row r="225" spans="1:1" x14ac:dyDescent="0.3">
      <c r="A225" t="s">
        <v>0</v>
      </c>
    </row>
    <row r="226" spans="1:1" x14ac:dyDescent="0.3">
      <c r="A226" t="s">
        <v>0</v>
      </c>
    </row>
    <row r="227" spans="1:1" x14ac:dyDescent="0.3">
      <c r="A227" t="s">
        <v>0</v>
      </c>
    </row>
    <row r="228" spans="1:1" x14ac:dyDescent="0.3">
      <c r="A228" t="s">
        <v>0</v>
      </c>
    </row>
    <row r="229" spans="1:1" x14ac:dyDescent="0.3">
      <c r="A229" t="s">
        <v>0</v>
      </c>
    </row>
    <row r="230" spans="1:1" x14ac:dyDescent="0.3">
      <c r="A230" t="s">
        <v>0</v>
      </c>
    </row>
    <row r="231" spans="1:1" x14ac:dyDescent="0.3">
      <c r="A231" t="s">
        <v>0</v>
      </c>
    </row>
    <row r="232" spans="1:1" x14ac:dyDescent="0.3">
      <c r="A232" t="s">
        <v>0</v>
      </c>
    </row>
    <row r="233" spans="1:1" x14ac:dyDescent="0.3">
      <c r="A233" t="s">
        <v>0</v>
      </c>
    </row>
    <row r="234" spans="1:1" x14ac:dyDescent="0.3">
      <c r="A234" t="s">
        <v>0</v>
      </c>
    </row>
    <row r="235" spans="1:1" x14ac:dyDescent="0.3">
      <c r="A235" t="s">
        <v>0</v>
      </c>
    </row>
    <row r="236" spans="1:1" x14ac:dyDescent="0.3">
      <c r="A236" t="s">
        <v>0</v>
      </c>
    </row>
    <row r="237" spans="1:1" x14ac:dyDescent="0.3">
      <c r="A237" t="s">
        <v>0</v>
      </c>
    </row>
    <row r="238" spans="1:1" x14ac:dyDescent="0.3">
      <c r="A238" t="s">
        <v>0</v>
      </c>
    </row>
    <row r="239" spans="1:1" x14ac:dyDescent="0.3">
      <c r="A239" t="s">
        <v>0</v>
      </c>
    </row>
    <row r="240" spans="1:1" x14ac:dyDescent="0.3">
      <c r="A240" t="s">
        <v>0</v>
      </c>
    </row>
    <row r="241" spans="1:1" x14ac:dyDescent="0.3">
      <c r="A241" t="s">
        <v>0</v>
      </c>
    </row>
    <row r="242" spans="1:1" x14ac:dyDescent="0.3">
      <c r="A242" t="s">
        <v>0</v>
      </c>
    </row>
    <row r="243" spans="1:1" x14ac:dyDescent="0.3">
      <c r="A243" t="s">
        <v>0</v>
      </c>
    </row>
    <row r="244" spans="1:1" x14ac:dyDescent="0.3">
      <c r="A244" t="s">
        <v>0</v>
      </c>
    </row>
    <row r="245" spans="1:1" x14ac:dyDescent="0.3">
      <c r="A245" t="s">
        <v>0</v>
      </c>
    </row>
    <row r="246" spans="1:1" x14ac:dyDescent="0.3">
      <c r="A246" t="s">
        <v>0</v>
      </c>
    </row>
    <row r="247" spans="1:1" x14ac:dyDescent="0.3">
      <c r="A247" t="s">
        <v>0</v>
      </c>
    </row>
    <row r="248" spans="1:1" x14ac:dyDescent="0.3">
      <c r="A248" t="s">
        <v>0</v>
      </c>
    </row>
    <row r="249" spans="1:1" x14ac:dyDescent="0.3">
      <c r="A249" t="s">
        <v>0</v>
      </c>
    </row>
    <row r="250" spans="1:1" x14ac:dyDescent="0.3">
      <c r="A250" t="s">
        <v>0</v>
      </c>
    </row>
    <row r="251" spans="1:1" x14ac:dyDescent="0.3">
      <c r="A251" t="s">
        <v>0</v>
      </c>
    </row>
    <row r="252" spans="1:1" x14ac:dyDescent="0.3">
      <c r="A252" t="s">
        <v>0</v>
      </c>
    </row>
    <row r="253" spans="1:1" x14ac:dyDescent="0.3">
      <c r="A253" t="s">
        <v>0</v>
      </c>
    </row>
    <row r="254" spans="1:1" x14ac:dyDescent="0.3">
      <c r="A254" t="s">
        <v>0</v>
      </c>
    </row>
    <row r="255" spans="1:1" x14ac:dyDescent="0.3">
      <c r="A255" t="s">
        <v>0</v>
      </c>
    </row>
    <row r="256" spans="1:1" x14ac:dyDescent="0.3">
      <c r="A256" t="s">
        <v>0</v>
      </c>
    </row>
    <row r="257" spans="1:1" x14ac:dyDescent="0.3">
      <c r="A257" t="s">
        <v>0</v>
      </c>
    </row>
    <row r="258" spans="1:1" x14ac:dyDescent="0.3">
      <c r="A258" t="s">
        <v>0</v>
      </c>
    </row>
    <row r="259" spans="1:1" x14ac:dyDescent="0.3">
      <c r="A259" t="s">
        <v>0</v>
      </c>
    </row>
    <row r="260" spans="1:1" x14ac:dyDescent="0.3">
      <c r="A260" t="s">
        <v>0</v>
      </c>
    </row>
    <row r="261" spans="1:1" x14ac:dyDescent="0.3">
      <c r="A261" t="s">
        <v>0</v>
      </c>
    </row>
    <row r="262" spans="1:1" x14ac:dyDescent="0.3">
      <c r="A262" t="s">
        <v>0</v>
      </c>
    </row>
    <row r="263" spans="1:1" x14ac:dyDescent="0.3">
      <c r="A263" t="s">
        <v>0</v>
      </c>
    </row>
    <row r="264" spans="1:1" x14ac:dyDescent="0.3">
      <c r="A264" t="s">
        <v>0</v>
      </c>
    </row>
    <row r="265" spans="1:1" x14ac:dyDescent="0.3">
      <c r="A265" t="s">
        <v>0</v>
      </c>
    </row>
    <row r="266" spans="1:1" x14ac:dyDescent="0.3">
      <c r="A266" t="s">
        <v>0</v>
      </c>
    </row>
    <row r="267" spans="1:1" x14ac:dyDescent="0.3">
      <c r="A267" t="s">
        <v>0</v>
      </c>
    </row>
    <row r="268" spans="1:1" x14ac:dyDescent="0.3">
      <c r="A268" t="s">
        <v>0</v>
      </c>
    </row>
    <row r="269" spans="1:1" x14ac:dyDescent="0.3">
      <c r="A269" t="s">
        <v>0</v>
      </c>
    </row>
    <row r="270" spans="1:1" x14ac:dyDescent="0.3">
      <c r="A270" t="s">
        <v>0</v>
      </c>
    </row>
    <row r="271" spans="1:1" x14ac:dyDescent="0.3">
      <c r="A271" t="s">
        <v>0</v>
      </c>
    </row>
    <row r="272" spans="1:1" x14ac:dyDescent="0.3">
      <c r="A272" t="s">
        <v>0</v>
      </c>
    </row>
    <row r="273" spans="1:1" x14ac:dyDescent="0.3">
      <c r="A273" t="s">
        <v>0</v>
      </c>
    </row>
    <row r="274" spans="1:1" x14ac:dyDescent="0.3">
      <c r="A274" t="s">
        <v>0</v>
      </c>
    </row>
    <row r="275" spans="1:1" x14ac:dyDescent="0.3">
      <c r="A275" t="s">
        <v>0</v>
      </c>
    </row>
    <row r="276" spans="1:1" x14ac:dyDescent="0.3">
      <c r="A276" t="s">
        <v>0</v>
      </c>
    </row>
    <row r="277" spans="1:1" x14ac:dyDescent="0.3">
      <c r="A277" t="s">
        <v>0</v>
      </c>
    </row>
    <row r="278" spans="1:1" x14ac:dyDescent="0.3">
      <c r="A278" t="s">
        <v>0</v>
      </c>
    </row>
    <row r="279" spans="1:1" x14ac:dyDescent="0.3">
      <c r="A279" t="s">
        <v>0</v>
      </c>
    </row>
    <row r="280" spans="1:1" x14ac:dyDescent="0.3">
      <c r="A280" t="s">
        <v>0</v>
      </c>
    </row>
    <row r="281" spans="1:1" x14ac:dyDescent="0.3">
      <c r="A281" t="s">
        <v>0</v>
      </c>
    </row>
    <row r="282" spans="1:1" x14ac:dyDescent="0.3">
      <c r="A282" t="s">
        <v>0</v>
      </c>
    </row>
    <row r="283" spans="1:1" x14ac:dyDescent="0.3">
      <c r="A283" t="s">
        <v>0</v>
      </c>
    </row>
    <row r="284" spans="1:1" x14ac:dyDescent="0.3">
      <c r="A284" t="s">
        <v>0</v>
      </c>
    </row>
    <row r="285" spans="1:1" x14ac:dyDescent="0.3">
      <c r="A285" t="s">
        <v>0</v>
      </c>
    </row>
    <row r="286" spans="1:1" x14ac:dyDescent="0.3">
      <c r="A286" t="s">
        <v>0</v>
      </c>
    </row>
    <row r="287" spans="1:1" x14ac:dyDescent="0.3">
      <c r="A287" t="s">
        <v>0</v>
      </c>
    </row>
    <row r="288" spans="1:1" x14ac:dyDescent="0.3">
      <c r="A288" t="s">
        <v>0</v>
      </c>
    </row>
    <row r="289" spans="1:1" x14ac:dyDescent="0.3">
      <c r="A289" t="s">
        <v>0</v>
      </c>
    </row>
    <row r="290" spans="1:1" x14ac:dyDescent="0.3">
      <c r="A290" t="s">
        <v>0</v>
      </c>
    </row>
    <row r="291" spans="1:1" x14ac:dyDescent="0.3">
      <c r="A291" t="s">
        <v>0</v>
      </c>
    </row>
    <row r="292" spans="1:1" x14ac:dyDescent="0.3">
      <c r="A292" t="s">
        <v>0</v>
      </c>
    </row>
    <row r="293" spans="1:1" x14ac:dyDescent="0.3">
      <c r="A293" t="s">
        <v>0</v>
      </c>
    </row>
    <row r="294" spans="1:1" x14ac:dyDescent="0.3">
      <c r="A294" t="s">
        <v>0</v>
      </c>
    </row>
    <row r="295" spans="1:1" x14ac:dyDescent="0.3">
      <c r="A295" t="s">
        <v>0</v>
      </c>
    </row>
    <row r="296" spans="1:1" x14ac:dyDescent="0.3">
      <c r="A296" t="s">
        <v>0</v>
      </c>
    </row>
    <row r="297" spans="1:1" x14ac:dyDescent="0.3">
      <c r="A297" t="s">
        <v>0</v>
      </c>
    </row>
    <row r="298" spans="1:1" x14ac:dyDescent="0.3">
      <c r="A298" t="s">
        <v>0</v>
      </c>
    </row>
    <row r="299" spans="1:1" x14ac:dyDescent="0.3">
      <c r="A299" t="s">
        <v>0</v>
      </c>
    </row>
    <row r="300" spans="1:1" x14ac:dyDescent="0.3">
      <c r="A300" t="s">
        <v>0</v>
      </c>
    </row>
    <row r="301" spans="1:1" x14ac:dyDescent="0.3">
      <c r="A301" t="s">
        <v>0</v>
      </c>
    </row>
    <row r="302" spans="1:1" x14ac:dyDescent="0.3">
      <c r="A302" t="s">
        <v>0</v>
      </c>
    </row>
    <row r="303" spans="1:1" x14ac:dyDescent="0.3">
      <c r="A303" t="s">
        <v>0</v>
      </c>
    </row>
    <row r="304" spans="1:1" x14ac:dyDescent="0.3">
      <c r="A304" t="s">
        <v>0</v>
      </c>
    </row>
    <row r="305" spans="1:1" x14ac:dyDescent="0.3">
      <c r="A305" t="s">
        <v>0</v>
      </c>
    </row>
    <row r="306" spans="1:1" x14ac:dyDescent="0.3">
      <c r="A306" t="s">
        <v>0</v>
      </c>
    </row>
    <row r="307" spans="1:1" x14ac:dyDescent="0.3">
      <c r="A307" t="s">
        <v>0</v>
      </c>
    </row>
    <row r="308" spans="1:1" x14ac:dyDescent="0.3">
      <c r="A308" t="s">
        <v>0</v>
      </c>
    </row>
    <row r="309" spans="1:1" x14ac:dyDescent="0.3">
      <c r="A309" t="s">
        <v>0</v>
      </c>
    </row>
    <row r="310" spans="1:1" x14ac:dyDescent="0.3">
      <c r="A310" t="s">
        <v>0</v>
      </c>
    </row>
    <row r="311" spans="1:1" x14ac:dyDescent="0.3">
      <c r="A311" t="s">
        <v>0</v>
      </c>
    </row>
    <row r="312" spans="1:1" x14ac:dyDescent="0.3">
      <c r="A312" t="s">
        <v>0</v>
      </c>
    </row>
    <row r="313" spans="1:1" x14ac:dyDescent="0.3">
      <c r="A313" t="s">
        <v>0</v>
      </c>
    </row>
    <row r="314" spans="1:1" x14ac:dyDescent="0.3">
      <c r="A314" t="s">
        <v>0</v>
      </c>
    </row>
    <row r="315" spans="1:1" x14ac:dyDescent="0.3">
      <c r="A315" t="s">
        <v>0</v>
      </c>
    </row>
    <row r="316" spans="1:1" x14ac:dyDescent="0.3">
      <c r="A316" t="s">
        <v>0</v>
      </c>
    </row>
    <row r="317" spans="1:1" x14ac:dyDescent="0.3">
      <c r="A317" t="s">
        <v>0</v>
      </c>
    </row>
    <row r="318" spans="1:1" x14ac:dyDescent="0.3">
      <c r="A318" t="s">
        <v>0</v>
      </c>
    </row>
    <row r="319" spans="1:1" x14ac:dyDescent="0.3">
      <c r="A319" t="s">
        <v>0</v>
      </c>
    </row>
    <row r="320" spans="1:1" x14ac:dyDescent="0.3">
      <c r="A320" t="s">
        <v>0</v>
      </c>
    </row>
    <row r="321" spans="1:1" x14ac:dyDescent="0.3">
      <c r="A321" t="s">
        <v>0</v>
      </c>
    </row>
    <row r="322" spans="1:1" x14ac:dyDescent="0.3">
      <c r="A322" t="s">
        <v>0</v>
      </c>
    </row>
    <row r="323" spans="1:1" x14ac:dyDescent="0.3">
      <c r="A323" t="s">
        <v>0</v>
      </c>
    </row>
    <row r="324" spans="1:1" x14ac:dyDescent="0.3">
      <c r="A324" t="s">
        <v>0</v>
      </c>
    </row>
    <row r="325" spans="1:1" x14ac:dyDescent="0.3">
      <c r="A325" t="s">
        <v>0</v>
      </c>
    </row>
    <row r="326" spans="1:1" x14ac:dyDescent="0.3">
      <c r="A326" t="s">
        <v>0</v>
      </c>
    </row>
    <row r="327" spans="1:1" x14ac:dyDescent="0.3">
      <c r="A327" t="s">
        <v>0</v>
      </c>
    </row>
    <row r="328" spans="1:1" x14ac:dyDescent="0.3">
      <c r="A328" t="s">
        <v>0</v>
      </c>
    </row>
    <row r="329" spans="1:1" x14ac:dyDescent="0.3">
      <c r="A329" t="s">
        <v>0</v>
      </c>
    </row>
    <row r="330" spans="1:1" x14ac:dyDescent="0.3">
      <c r="A330" t="s">
        <v>0</v>
      </c>
    </row>
    <row r="331" spans="1:1" x14ac:dyDescent="0.3">
      <c r="A331" t="s">
        <v>0</v>
      </c>
    </row>
    <row r="332" spans="1:1" x14ac:dyDescent="0.3">
      <c r="A332" t="s">
        <v>0</v>
      </c>
    </row>
    <row r="333" spans="1:1" x14ac:dyDescent="0.3">
      <c r="A333" t="s">
        <v>0</v>
      </c>
    </row>
    <row r="334" spans="1:1" x14ac:dyDescent="0.3">
      <c r="A334" t="s">
        <v>0</v>
      </c>
    </row>
    <row r="335" spans="1:1" x14ac:dyDescent="0.3">
      <c r="A335" t="s">
        <v>0</v>
      </c>
    </row>
    <row r="336" spans="1:1" x14ac:dyDescent="0.3">
      <c r="A336" t="s">
        <v>0</v>
      </c>
    </row>
    <row r="337" spans="1:1" x14ac:dyDescent="0.3">
      <c r="A337" t="s">
        <v>0</v>
      </c>
    </row>
    <row r="338" spans="1:1" x14ac:dyDescent="0.3">
      <c r="A338" t="s">
        <v>0</v>
      </c>
    </row>
    <row r="339" spans="1:1" x14ac:dyDescent="0.3">
      <c r="A339" t="s">
        <v>0</v>
      </c>
    </row>
    <row r="340" spans="1:1" x14ac:dyDescent="0.3">
      <c r="A340" t="s">
        <v>0</v>
      </c>
    </row>
    <row r="341" spans="1:1" x14ac:dyDescent="0.3">
      <c r="A341" t="s">
        <v>0</v>
      </c>
    </row>
    <row r="342" spans="1:1" x14ac:dyDescent="0.3">
      <c r="A342" t="s">
        <v>0</v>
      </c>
    </row>
    <row r="343" spans="1:1" x14ac:dyDescent="0.3">
      <c r="A343" t="s">
        <v>0</v>
      </c>
    </row>
    <row r="344" spans="1:1" x14ac:dyDescent="0.3">
      <c r="A344" t="s">
        <v>0</v>
      </c>
    </row>
    <row r="345" spans="1:1" x14ac:dyDescent="0.3">
      <c r="A345" t="s">
        <v>0</v>
      </c>
    </row>
    <row r="346" spans="1:1" x14ac:dyDescent="0.3">
      <c r="A346" t="s">
        <v>0</v>
      </c>
    </row>
    <row r="347" spans="1:1" x14ac:dyDescent="0.3">
      <c r="A347" t="s">
        <v>0</v>
      </c>
    </row>
    <row r="348" spans="1:1" x14ac:dyDescent="0.3">
      <c r="A348" t="s">
        <v>0</v>
      </c>
    </row>
    <row r="349" spans="1:1" x14ac:dyDescent="0.3">
      <c r="A349" t="s">
        <v>0</v>
      </c>
    </row>
    <row r="350" spans="1:1" x14ac:dyDescent="0.3">
      <c r="A350" t="s">
        <v>0</v>
      </c>
    </row>
    <row r="351" spans="1:1" x14ac:dyDescent="0.3">
      <c r="A351" t="s">
        <v>0</v>
      </c>
    </row>
    <row r="352" spans="1:1" x14ac:dyDescent="0.3">
      <c r="A352" t="s">
        <v>0</v>
      </c>
    </row>
    <row r="353" spans="1:1" x14ac:dyDescent="0.3">
      <c r="A353" t="s">
        <v>0</v>
      </c>
    </row>
    <row r="354" spans="1:1" x14ac:dyDescent="0.3">
      <c r="A354" t="s">
        <v>0</v>
      </c>
    </row>
    <row r="355" spans="1:1" x14ac:dyDescent="0.3">
      <c r="A355" t="s">
        <v>0</v>
      </c>
    </row>
    <row r="356" spans="1:1" x14ac:dyDescent="0.3">
      <c r="A356" t="s">
        <v>0</v>
      </c>
    </row>
    <row r="357" spans="1:1" x14ac:dyDescent="0.3">
      <c r="A357" t="s">
        <v>0</v>
      </c>
    </row>
    <row r="358" spans="1:1" x14ac:dyDescent="0.3">
      <c r="A358" t="s">
        <v>0</v>
      </c>
    </row>
    <row r="359" spans="1:1" x14ac:dyDescent="0.3">
      <c r="A359" t="s">
        <v>0</v>
      </c>
    </row>
    <row r="360" spans="1:1" x14ac:dyDescent="0.3">
      <c r="A360" t="s">
        <v>0</v>
      </c>
    </row>
    <row r="361" spans="1:1" x14ac:dyDescent="0.3">
      <c r="A361" t="s">
        <v>0</v>
      </c>
    </row>
    <row r="362" spans="1:1" x14ac:dyDescent="0.3">
      <c r="A362" t="s">
        <v>0</v>
      </c>
    </row>
    <row r="363" spans="1:1" x14ac:dyDescent="0.3">
      <c r="A363" t="s">
        <v>0</v>
      </c>
    </row>
    <row r="364" spans="1:1" x14ac:dyDescent="0.3">
      <c r="A364" t="s">
        <v>0</v>
      </c>
    </row>
    <row r="365" spans="1:1" x14ac:dyDescent="0.3">
      <c r="A365" t="s">
        <v>0</v>
      </c>
    </row>
    <row r="366" spans="1:1" x14ac:dyDescent="0.3">
      <c r="A366" t="s">
        <v>0</v>
      </c>
    </row>
    <row r="367" spans="1:1" x14ac:dyDescent="0.3">
      <c r="A367" t="s">
        <v>0</v>
      </c>
    </row>
    <row r="368" spans="1:1" x14ac:dyDescent="0.3">
      <c r="A368" t="s">
        <v>0</v>
      </c>
    </row>
    <row r="369" spans="1:1" x14ac:dyDescent="0.3">
      <c r="A369" t="s">
        <v>0</v>
      </c>
    </row>
    <row r="370" spans="1:1" x14ac:dyDescent="0.3">
      <c r="A370" t="s">
        <v>0</v>
      </c>
    </row>
    <row r="371" spans="1:1" x14ac:dyDescent="0.3">
      <c r="A371" t="s">
        <v>0</v>
      </c>
    </row>
    <row r="372" spans="1:1" x14ac:dyDescent="0.3">
      <c r="A372" t="s">
        <v>0</v>
      </c>
    </row>
    <row r="373" spans="1:1" x14ac:dyDescent="0.3">
      <c r="A373" t="s">
        <v>0</v>
      </c>
    </row>
    <row r="374" spans="1:1" x14ac:dyDescent="0.3">
      <c r="A374" t="s">
        <v>0</v>
      </c>
    </row>
    <row r="375" spans="1:1" x14ac:dyDescent="0.3">
      <c r="A375" t="s">
        <v>0</v>
      </c>
    </row>
    <row r="376" spans="1:1" x14ac:dyDescent="0.3">
      <c r="A376" t="s">
        <v>0</v>
      </c>
    </row>
    <row r="377" spans="1:1" x14ac:dyDescent="0.3">
      <c r="A377" t="s">
        <v>0</v>
      </c>
    </row>
    <row r="378" spans="1:1" x14ac:dyDescent="0.3">
      <c r="A378" t="s">
        <v>0</v>
      </c>
    </row>
    <row r="379" spans="1:1" x14ac:dyDescent="0.3">
      <c r="A379" t="s">
        <v>0</v>
      </c>
    </row>
    <row r="380" spans="1:1" x14ac:dyDescent="0.3">
      <c r="A380" t="s">
        <v>0</v>
      </c>
    </row>
    <row r="381" spans="1:1" x14ac:dyDescent="0.3">
      <c r="A381" t="s">
        <v>0</v>
      </c>
    </row>
    <row r="382" spans="1:1" x14ac:dyDescent="0.3">
      <c r="A382" t="s">
        <v>0</v>
      </c>
    </row>
    <row r="383" spans="1:1" x14ac:dyDescent="0.3">
      <c r="A383" t="s">
        <v>0</v>
      </c>
    </row>
    <row r="384" spans="1:1" x14ac:dyDescent="0.3">
      <c r="A384" t="s">
        <v>0</v>
      </c>
    </row>
    <row r="385" spans="1:1" x14ac:dyDescent="0.3">
      <c r="A385" t="s">
        <v>0</v>
      </c>
    </row>
    <row r="386" spans="1:1" x14ac:dyDescent="0.3">
      <c r="A386" t="s">
        <v>0</v>
      </c>
    </row>
    <row r="387" spans="1:1" x14ac:dyDescent="0.3">
      <c r="A387" t="s">
        <v>0</v>
      </c>
    </row>
    <row r="388" spans="1:1" x14ac:dyDescent="0.3">
      <c r="A388" t="s">
        <v>0</v>
      </c>
    </row>
    <row r="389" spans="1:1" x14ac:dyDescent="0.3">
      <c r="A389" t="s">
        <v>0</v>
      </c>
    </row>
    <row r="390" spans="1:1" x14ac:dyDescent="0.3">
      <c r="A390" t="s">
        <v>0</v>
      </c>
    </row>
    <row r="391" spans="1:1" x14ac:dyDescent="0.3">
      <c r="A391" t="s">
        <v>0</v>
      </c>
    </row>
    <row r="392" spans="1:1" x14ac:dyDescent="0.3">
      <c r="A392" t="s">
        <v>0</v>
      </c>
    </row>
    <row r="393" spans="1:1" x14ac:dyDescent="0.3">
      <c r="A393" t="s">
        <v>0</v>
      </c>
    </row>
    <row r="394" spans="1:1" x14ac:dyDescent="0.3">
      <c r="A394" t="s">
        <v>0</v>
      </c>
    </row>
    <row r="395" spans="1:1" x14ac:dyDescent="0.3">
      <c r="A395" t="s">
        <v>0</v>
      </c>
    </row>
    <row r="396" spans="1:1" x14ac:dyDescent="0.3">
      <c r="A396" t="s">
        <v>0</v>
      </c>
    </row>
    <row r="397" spans="1:1" x14ac:dyDescent="0.3">
      <c r="A397" t="s">
        <v>0</v>
      </c>
    </row>
    <row r="398" spans="1:1" x14ac:dyDescent="0.3">
      <c r="A398" t="s">
        <v>0</v>
      </c>
    </row>
    <row r="399" spans="1:1" x14ac:dyDescent="0.3">
      <c r="A399" t="s">
        <v>0</v>
      </c>
    </row>
    <row r="400" spans="1:1" x14ac:dyDescent="0.3">
      <c r="A400" t="s">
        <v>0</v>
      </c>
    </row>
    <row r="401" spans="1:1" x14ac:dyDescent="0.3">
      <c r="A401" t="s">
        <v>0</v>
      </c>
    </row>
    <row r="402" spans="1:1" x14ac:dyDescent="0.3">
      <c r="A402" t="s">
        <v>0</v>
      </c>
    </row>
    <row r="403" spans="1:1" x14ac:dyDescent="0.3">
      <c r="A403" t="s">
        <v>0</v>
      </c>
    </row>
    <row r="404" spans="1:1" x14ac:dyDescent="0.3">
      <c r="A404" t="s">
        <v>0</v>
      </c>
    </row>
    <row r="405" spans="1:1" x14ac:dyDescent="0.3">
      <c r="A405" t="s">
        <v>0</v>
      </c>
    </row>
    <row r="406" spans="1:1" x14ac:dyDescent="0.3">
      <c r="A406" t="s">
        <v>0</v>
      </c>
    </row>
    <row r="407" spans="1:1" x14ac:dyDescent="0.3">
      <c r="A407" t="s">
        <v>0</v>
      </c>
    </row>
    <row r="408" spans="1:1" x14ac:dyDescent="0.3">
      <c r="A408" t="s">
        <v>0</v>
      </c>
    </row>
    <row r="409" spans="1:1" x14ac:dyDescent="0.3">
      <c r="A409" t="s">
        <v>0</v>
      </c>
    </row>
    <row r="410" spans="1:1" x14ac:dyDescent="0.3">
      <c r="A410" t="s">
        <v>0</v>
      </c>
    </row>
    <row r="411" spans="1:1" x14ac:dyDescent="0.3">
      <c r="A411" t="s">
        <v>0</v>
      </c>
    </row>
    <row r="412" spans="1:1" x14ac:dyDescent="0.3">
      <c r="A412" t="s">
        <v>0</v>
      </c>
    </row>
    <row r="413" spans="1:1" x14ac:dyDescent="0.3">
      <c r="A413" t="s">
        <v>0</v>
      </c>
    </row>
    <row r="414" spans="1:1" x14ac:dyDescent="0.3">
      <c r="A414" t="s">
        <v>0</v>
      </c>
    </row>
    <row r="415" spans="1:1" x14ac:dyDescent="0.3">
      <c r="A415" t="s">
        <v>0</v>
      </c>
    </row>
    <row r="416" spans="1:1" x14ac:dyDescent="0.3">
      <c r="A416" t="s">
        <v>0</v>
      </c>
    </row>
    <row r="417" spans="1:1" x14ac:dyDescent="0.3">
      <c r="A417" t="s">
        <v>0</v>
      </c>
    </row>
    <row r="418" spans="1:1" x14ac:dyDescent="0.3">
      <c r="A418" t="s">
        <v>0</v>
      </c>
    </row>
    <row r="419" spans="1:1" x14ac:dyDescent="0.3">
      <c r="A419" t="s">
        <v>0</v>
      </c>
    </row>
    <row r="420" spans="1:1" x14ac:dyDescent="0.3">
      <c r="A420" t="s">
        <v>0</v>
      </c>
    </row>
    <row r="421" spans="1:1" x14ac:dyDescent="0.3">
      <c r="A421" t="s">
        <v>0</v>
      </c>
    </row>
    <row r="422" spans="1:1" x14ac:dyDescent="0.3">
      <c r="A422" t="s">
        <v>0</v>
      </c>
    </row>
    <row r="423" spans="1:1" x14ac:dyDescent="0.3">
      <c r="A423" t="s">
        <v>0</v>
      </c>
    </row>
    <row r="424" spans="1:1" x14ac:dyDescent="0.3">
      <c r="A424" t="s">
        <v>0</v>
      </c>
    </row>
    <row r="425" spans="1:1" x14ac:dyDescent="0.3">
      <c r="A425" t="s">
        <v>0</v>
      </c>
    </row>
    <row r="426" spans="1:1" x14ac:dyDescent="0.3">
      <c r="A426" t="s">
        <v>0</v>
      </c>
    </row>
    <row r="427" spans="1:1" x14ac:dyDescent="0.3">
      <c r="A427" t="s">
        <v>0</v>
      </c>
    </row>
    <row r="428" spans="1:1" x14ac:dyDescent="0.3">
      <c r="A428" t="s">
        <v>0</v>
      </c>
    </row>
    <row r="429" spans="1:1" x14ac:dyDescent="0.3">
      <c r="A429" t="s">
        <v>0</v>
      </c>
    </row>
    <row r="430" spans="1:1" x14ac:dyDescent="0.3">
      <c r="A430" t="s">
        <v>0</v>
      </c>
    </row>
    <row r="431" spans="1:1" x14ac:dyDescent="0.3">
      <c r="A431" t="s">
        <v>0</v>
      </c>
    </row>
    <row r="432" spans="1:1" x14ac:dyDescent="0.3">
      <c r="A432" t="s">
        <v>0</v>
      </c>
    </row>
    <row r="433" spans="1:1" x14ac:dyDescent="0.3">
      <c r="A433" t="s">
        <v>0</v>
      </c>
    </row>
    <row r="434" spans="1:1" x14ac:dyDescent="0.3">
      <c r="A434" t="s">
        <v>0</v>
      </c>
    </row>
    <row r="435" spans="1:1" x14ac:dyDescent="0.3">
      <c r="A435" t="s">
        <v>0</v>
      </c>
    </row>
    <row r="436" spans="1:1" x14ac:dyDescent="0.3">
      <c r="A436" t="s">
        <v>0</v>
      </c>
    </row>
    <row r="437" spans="1:1" x14ac:dyDescent="0.3">
      <c r="A437" t="s">
        <v>0</v>
      </c>
    </row>
    <row r="438" spans="1:1" x14ac:dyDescent="0.3">
      <c r="A438" t="s">
        <v>0</v>
      </c>
    </row>
    <row r="439" spans="1:1" x14ac:dyDescent="0.3">
      <c r="A439" t="s">
        <v>0</v>
      </c>
    </row>
    <row r="440" spans="1:1" x14ac:dyDescent="0.3">
      <c r="A440" t="s">
        <v>0</v>
      </c>
    </row>
    <row r="441" spans="1:1" x14ac:dyDescent="0.3">
      <c r="A441" t="s">
        <v>0</v>
      </c>
    </row>
    <row r="442" spans="1:1" x14ac:dyDescent="0.3">
      <c r="A442" t="s">
        <v>0</v>
      </c>
    </row>
    <row r="443" spans="1:1" x14ac:dyDescent="0.3">
      <c r="A443" t="s">
        <v>0</v>
      </c>
    </row>
    <row r="444" spans="1:1" x14ac:dyDescent="0.3">
      <c r="A444" t="s">
        <v>0</v>
      </c>
    </row>
    <row r="445" spans="1:1" x14ac:dyDescent="0.3">
      <c r="A445" t="s">
        <v>0</v>
      </c>
    </row>
    <row r="446" spans="1:1" x14ac:dyDescent="0.3">
      <c r="A446" t="s">
        <v>0</v>
      </c>
    </row>
    <row r="447" spans="1:1" x14ac:dyDescent="0.3">
      <c r="A447" t="s">
        <v>0</v>
      </c>
    </row>
    <row r="448" spans="1:1" x14ac:dyDescent="0.3">
      <c r="A448" t="s">
        <v>0</v>
      </c>
    </row>
    <row r="449" spans="1:1" x14ac:dyDescent="0.3">
      <c r="A449" t="s">
        <v>0</v>
      </c>
    </row>
    <row r="450" spans="1:1" x14ac:dyDescent="0.3">
      <c r="A450" t="s">
        <v>0</v>
      </c>
    </row>
    <row r="451" spans="1:1" x14ac:dyDescent="0.3">
      <c r="A451" t="s">
        <v>0</v>
      </c>
    </row>
    <row r="452" spans="1:1" x14ac:dyDescent="0.3">
      <c r="A452" t="s">
        <v>0</v>
      </c>
    </row>
    <row r="453" spans="1:1" x14ac:dyDescent="0.3">
      <c r="A453" t="s">
        <v>0</v>
      </c>
    </row>
    <row r="454" spans="1:1" x14ac:dyDescent="0.3">
      <c r="A454" t="s">
        <v>0</v>
      </c>
    </row>
    <row r="455" spans="1:1" x14ac:dyDescent="0.3">
      <c r="A455" t="s">
        <v>0</v>
      </c>
    </row>
    <row r="456" spans="1:1" x14ac:dyDescent="0.3">
      <c r="A456" t="s">
        <v>0</v>
      </c>
    </row>
    <row r="457" spans="1:1" x14ac:dyDescent="0.3">
      <c r="A457" t="s">
        <v>0</v>
      </c>
    </row>
    <row r="458" spans="1:1" x14ac:dyDescent="0.3">
      <c r="A458" t="s">
        <v>0</v>
      </c>
    </row>
    <row r="459" spans="1:1" x14ac:dyDescent="0.3">
      <c r="A459" t="s">
        <v>0</v>
      </c>
    </row>
    <row r="460" spans="1:1" x14ac:dyDescent="0.3">
      <c r="A460" t="s">
        <v>0</v>
      </c>
    </row>
    <row r="461" spans="1:1" x14ac:dyDescent="0.3">
      <c r="A461" t="s">
        <v>0</v>
      </c>
    </row>
    <row r="462" spans="1:1" x14ac:dyDescent="0.3">
      <c r="A462" t="s">
        <v>0</v>
      </c>
    </row>
    <row r="463" spans="1:1" x14ac:dyDescent="0.3">
      <c r="A463" t="s">
        <v>0</v>
      </c>
    </row>
    <row r="464" spans="1:1" x14ac:dyDescent="0.3">
      <c r="A464" t="s">
        <v>0</v>
      </c>
    </row>
    <row r="465" spans="1:1" x14ac:dyDescent="0.3">
      <c r="A465" t="s">
        <v>0</v>
      </c>
    </row>
    <row r="466" spans="1:1" x14ac:dyDescent="0.3">
      <c r="A466" t="s">
        <v>0</v>
      </c>
    </row>
    <row r="467" spans="1:1" x14ac:dyDescent="0.3">
      <c r="A467" t="s">
        <v>0</v>
      </c>
    </row>
    <row r="468" spans="1:1" x14ac:dyDescent="0.3">
      <c r="A468" t="s">
        <v>0</v>
      </c>
    </row>
    <row r="469" spans="1:1" x14ac:dyDescent="0.3">
      <c r="A469" t="s">
        <v>0</v>
      </c>
    </row>
    <row r="470" spans="1:1" x14ac:dyDescent="0.3">
      <c r="A470" t="s">
        <v>0</v>
      </c>
    </row>
    <row r="471" spans="1:1" x14ac:dyDescent="0.3">
      <c r="A471" t="s">
        <v>0</v>
      </c>
    </row>
    <row r="472" spans="1:1" x14ac:dyDescent="0.3">
      <c r="A472" t="s">
        <v>0</v>
      </c>
    </row>
    <row r="473" spans="1:1" x14ac:dyDescent="0.3">
      <c r="A473" t="s">
        <v>0</v>
      </c>
    </row>
    <row r="474" spans="1:1" x14ac:dyDescent="0.3">
      <c r="A474" t="s">
        <v>0</v>
      </c>
    </row>
    <row r="475" spans="1:1" x14ac:dyDescent="0.3">
      <c r="A475" t="s">
        <v>0</v>
      </c>
    </row>
    <row r="476" spans="1:1" x14ac:dyDescent="0.3">
      <c r="A476" t="s">
        <v>0</v>
      </c>
    </row>
    <row r="477" spans="1:1" x14ac:dyDescent="0.3">
      <c r="A477" t="s">
        <v>0</v>
      </c>
    </row>
    <row r="478" spans="1:1" x14ac:dyDescent="0.3">
      <c r="A478" t="s">
        <v>0</v>
      </c>
    </row>
    <row r="479" spans="1:1" x14ac:dyDescent="0.3">
      <c r="A479" t="s">
        <v>0</v>
      </c>
    </row>
    <row r="480" spans="1:1" x14ac:dyDescent="0.3">
      <c r="A480" t="s">
        <v>0</v>
      </c>
    </row>
    <row r="481" spans="1:1" x14ac:dyDescent="0.3">
      <c r="A481" t="s">
        <v>0</v>
      </c>
    </row>
    <row r="482" spans="1:1" x14ac:dyDescent="0.3">
      <c r="A482" t="s">
        <v>0</v>
      </c>
    </row>
    <row r="483" spans="1:1" x14ac:dyDescent="0.3">
      <c r="A483" t="s">
        <v>0</v>
      </c>
    </row>
    <row r="484" spans="1:1" x14ac:dyDescent="0.3">
      <c r="A484" t="s">
        <v>0</v>
      </c>
    </row>
    <row r="485" spans="1:1" x14ac:dyDescent="0.3">
      <c r="A485" t="s">
        <v>0</v>
      </c>
    </row>
    <row r="486" spans="1:1" x14ac:dyDescent="0.3">
      <c r="A486" t="s">
        <v>0</v>
      </c>
    </row>
    <row r="487" spans="1:1" x14ac:dyDescent="0.3">
      <c r="A487" t="s">
        <v>0</v>
      </c>
    </row>
    <row r="488" spans="1:1" x14ac:dyDescent="0.3">
      <c r="A488" t="s">
        <v>0</v>
      </c>
    </row>
    <row r="489" spans="1:1" x14ac:dyDescent="0.3">
      <c r="A489" t="s">
        <v>0</v>
      </c>
    </row>
    <row r="490" spans="1:1" x14ac:dyDescent="0.3">
      <c r="A490" t="s">
        <v>0</v>
      </c>
    </row>
    <row r="491" spans="1:1" x14ac:dyDescent="0.3">
      <c r="A491" t="s">
        <v>0</v>
      </c>
    </row>
    <row r="492" spans="1:1" x14ac:dyDescent="0.3">
      <c r="A492" t="s">
        <v>0</v>
      </c>
    </row>
    <row r="493" spans="1:1" x14ac:dyDescent="0.3">
      <c r="A493" t="s">
        <v>0</v>
      </c>
    </row>
    <row r="494" spans="1:1" x14ac:dyDescent="0.3">
      <c r="A494" t="s">
        <v>0</v>
      </c>
    </row>
    <row r="495" spans="1:1" x14ac:dyDescent="0.3">
      <c r="A495" t="s">
        <v>0</v>
      </c>
    </row>
    <row r="496" spans="1:1" x14ac:dyDescent="0.3">
      <c r="A496" t="s">
        <v>0</v>
      </c>
    </row>
    <row r="497" spans="1:1" x14ac:dyDescent="0.3">
      <c r="A497" t="s">
        <v>0</v>
      </c>
    </row>
    <row r="498" spans="1:1" x14ac:dyDescent="0.3">
      <c r="A498" t="s">
        <v>0</v>
      </c>
    </row>
    <row r="499" spans="1:1" x14ac:dyDescent="0.3">
      <c r="A499" t="s">
        <v>0</v>
      </c>
    </row>
    <row r="500" spans="1:1" x14ac:dyDescent="0.3">
      <c r="A500" t="s">
        <v>0</v>
      </c>
    </row>
    <row r="501" spans="1:1" x14ac:dyDescent="0.3">
      <c r="A501" t="s">
        <v>0</v>
      </c>
    </row>
    <row r="502" spans="1:1" x14ac:dyDescent="0.3">
      <c r="A502" t="s">
        <v>0</v>
      </c>
    </row>
    <row r="503" spans="1:1" x14ac:dyDescent="0.3">
      <c r="A503" t="s">
        <v>0</v>
      </c>
    </row>
    <row r="504" spans="1:1" x14ac:dyDescent="0.3">
      <c r="A504" t="s">
        <v>0</v>
      </c>
    </row>
    <row r="505" spans="1:1" x14ac:dyDescent="0.3">
      <c r="A505" t="s">
        <v>0</v>
      </c>
    </row>
    <row r="506" spans="1:1" x14ac:dyDescent="0.3">
      <c r="A506" t="s">
        <v>0</v>
      </c>
    </row>
    <row r="507" spans="1:1" x14ac:dyDescent="0.3">
      <c r="A507" t="s">
        <v>0</v>
      </c>
    </row>
    <row r="508" spans="1:1" x14ac:dyDescent="0.3">
      <c r="A508" t="s">
        <v>0</v>
      </c>
    </row>
    <row r="509" spans="1:1" x14ac:dyDescent="0.3">
      <c r="A509" t="s">
        <v>0</v>
      </c>
    </row>
    <row r="510" spans="1:1" x14ac:dyDescent="0.3">
      <c r="A510" t="s">
        <v>0</v>
      </c>
    </row>
    <row r="511" spans="1:1" x14ac:dyDescent="0.3">
      <c r="A511" t="s">
        <v>0</v>
      </c>
    </row>
    <row r="512" spans="1:1" x14ac:dyDescent="0.3">
      <c r="A512" t="s">
        <v>0</v>
      </c>
    </row>
    <row r="513" spans="1:1" x14ac:dyDescent="0.3">
      <c r="A513" t="s">
        <v>0</v>
      </c>
    </row>
    <row r="514" spans="1:1" x14ac:dyDescent="0.3">
      <c r="A514" t="s">
        <v>0</v>
      </c>
    </row>
    <row r="515" spans="1:1" x14ac:dyDescent="0.3">
      <c r="A515" t="s">
        <v>0</v>
      </c>
    </row>
    <row r="516" spans="1:1" x14ac:dyDescent="0.3">
      <c r="A516" t="s">
        <v>0</v>
      </c>
    </row>
    <row r="517" spans="1:1" x14ac:dyDescent="0.3">
      <c r="A517" t="s">
        <v>0</v>
      </c>
    </row>
    <row r="518" spans="1:1" x14ac:dyDescent="0.3">
      <c r="A518" t="s">
        <v>0</v>
      </c>
    </row>
    <row r="519" spans="1:1" x14ac:dyDescent="0.3">
      <c r="A519" t="s">
        <v>0</v>
      </c>
    </row>
    <row r="520" spans="1:1" x14ac:dyDescent="0.3">
      <c r="A520" t="s">
        <v>0</v>
      </c>
    </row>
    <row r="521" spans="1:1" x14ac:dyDescent="0.3">
      <c r="A521" t="s">
        <v>0</v>
      </c>
    </row>
    <row r="522" spans="1:1" x14ac:dyDescent="0.3">
      <c r="A522" t="s">
        <v>0</v>
      </c>
    </row>
    <row r="523" spans="1:1" x14ac:dyDescent="0.3">
      <c r="A523" t="s">
        <v>0</v>
      </c>
    </row>
    <row r="524" spans="1:1" x14ac:dyDescent="0.3">
      <c r="A524" t="s">
        <v>0</v>
      </c>
    </row>
    <row r="525" spans="1:1" x14ac:dyDescent="0.3">
      <c r="A525" t="s">
        <v>0</v>
      </c>
    </row>
    <row r="526" spans="1:1" x14ac:dyDescent="0.3">
      <c r="A526" t="s">
        <v>0</v>
      </c>
    </row>
    <row r="527" spans="1:1" x14ac:dyDescent="0.3">
      <c r="A527" t="s">
        <v>0</v>
      </c>
    </row>
    <row r="528" spans="1:1" x14ac:dyDescent="0.3">
      <c r="A528" t="s">
        <v>0</v>
      </c>
    </row>
    <row r="529" spans="1:1" x14ac:dyDescent="0.3">
      <c r="A529" t="s">
        <v>0</v>
      </c>
    </row>
    <row r="530" spans="1:1" x14ac:dyDescent="0.3">
      <c r="A530" t="s">
        <v>0</v>
      </c>
    </row>
    <row r="531" spans="1:1" x14ac:dyDescent="0.3">
      <c r="A531" t="s">
        <v>0</v>
      </c>
    </row>
    <row r="532" spans="1:1" x14ac:dyDescent="0.3">
      <c r="A532" t="s">
        <v>0</v>
      </c>
    </row>
    <row r="533" spans="1:1" x14ac:dyDescent="0.3">
      <c r="A533" t="s">
        <v>0</v>
      </c>
    </row>
    <row r="534" spans="1:1" x14ac:dyDescent="0.3">
      <c r="A534" t="s">
        <v>0</v>
      </c>
    </row>
    <row r="535" spans="1:1" x14ac:dyDescent="0.3">
      <c r="A535" t="s">
        <v>0</v>
      </c>
    </row>
    <row r="536" spans="1:1" x14ac:dyDescent="0.3">
      <c r="A536" t="s">
        <v>0</v>
      </c>
    </row>
    <row r="537" spans="1:1" x14ac:dyDescent="0.3">
      <c r="A537" t="s">
        <v>0</v>
      </c>
    </row>
    <row r="538" spans="1:1" x14ac:dyDescent="0.3">
      <c r="A538" t="s">
        <v>0</v>
      </c>
    </row>
    <row r="539" spans="1:1" x14ac:dyDescent="0.3">
      <c r="A539" t="s">
        <v>0</v>
      </c>
    </row>
    <row r="540" spans="1:1" x14ac:dyDescent="0.3">
      <c r="A540" t="s">
        <v>0</v>
      </c>
    </row>
    <row r="541" spans="1:1" x14ac:dyDescent="0.3">
      <c r="A541" t="s">
        <v>0</v>
      </c>
    </row>
    <row r="542" spans="1:1" x14ac:dyDescent="0.3">
      <c r="A542" t="s">
        <v>0</v>
      </c>
    </row>
    <row r="543" spans="1:1" x14ac:dyDescent="0.3">
      <c r="A543" t="s">
        <v>0</v>
      </c>
    </row>
    <row r="544" spans="1:1" x14ac:dyDescent="0.3">
      <c r="A544" t="s">
        <v>0</v>
      </c>
    </row>
    <row r="545" spans="1:1" x14ac:dyDescent="0.3">
      <c r="A545" t="s">
        <v>0</v>
      </c>
    </row>
    <row r="546" spans="1:1" x14ac:dyDescent="0.3">
      <c r="A546" t="s">
        <v>0</v>
      </c>
    </row>
    <row r="547" spans="1:1" x14ac:dyDescent="0.3">
      <c r="A547" t="s">
        <v>0</v>
      </c>
    </row>
    <row r="548" spans="1:1" x14ac:dyDescent="0.3">
      <c r="A548" t="s">
        <v>0</v>
      </c>
    </row>
    <row r="549" spans="1:1" x14ac:dyDescent="0.3">
      <c r="A549" t="s">
        <v>0</v>
      </c>
    </row>
    <row r="550" spans="1:1" x14ac:dyDescent="0.3">
      <c r="A550" t="s">
        <v>0</v>
      </c>
    </row>
    <row r="551" spans="1:1" x14ac:dyDescent="0.3">
      <c r="A551" t="s">
        <v>0</v>
      </c>
    </row>
    <row r="552" spans="1:1" x14ac:dyDescent="0.3">
      <c r="A552" t="s">
        <v>0</v>
      </c>
    </row>
    <row r="553" spans="1:1" x14ac:dyDescent="0.3">
      <c r="A553" t="s">
        <v>0</v>
      </c>
    </row>
    <row r="554" spans="1:1" x14ac:dyDescent="0.3">
      <c r="A554" t="s">
        <v>0</v>
      </c>
    </row>
    <row r="555" spans="1:1" x14ac:dyDescent="0.3">
      <c r="A555" t="s">
        <v>0</v>
      </c>
    </row>
    <row r="556" spans="1:1" x14ac:dyDescent="0.3">
      <c r="A556" t="s">
        <v>0</v>
      </c>
    </row>
    <row r="557" spans="1:1" x14ac:dyDescent="0.3">
      <c r="A557" t="s">
        <v>0</v>
      </c>
    </row>
    <row r="558" spans="1:1" x14ac:dyDescent="0.3">
      <c r="A558" t="s">
        <v>0</v>
      </c>
    </row>
    <row r="559" spans="1:1" x14ac:dyDescent="0.3">
      <c r="A559" t="s">
        <v>0</v>
      </c>
    </row>
    <row r="560" spans="1:1" x14ac:dyDescent="0.3">
      <c r="A560" t="s">
        <v>0</v>
      </c>
    </row>
    <row r="561" spans="1:1" x14ac:dyDescent="0.3">
      <c r="A561" t="s">
        <v>0</v>
      </c>
    </row>
    <row r="562" spans="1:1" x14ac:dyDescent="0.3">
      <c r="A562" t="s">
        <v>0</v>
      </c>
    </row>
    <row r="563" spans="1:1" x14ac:dyDescent="0.3">
      <c r="A563" t="s">
        <v>0</v>
      </c>
    </row>
    <row r="564" spans="1:1" x14ac:dyDescent="0.3">
      <c r="A564" t="s">
        <v>0</v>
      </c>
    </row>
    <row r="565" spans="1:1" x14ac:dyDescent="0.3">
      <c r="A565" t="s">
        <v>0</v>
      </c>
    </row>
    <row r="566" spans="1:1" x14ac:dyDescent="0.3">
      <c r="A566" t="s">
        <v>0</v>
      </c>
    </row>
    <row r="567" spans="1:1" x14ac:dyDescent="0.3">
      <c r="A567" t="s">
        <v>0</v>
      </c>
    </row>
    <row r="568" spans="1:1" x14ac:dyDescent="0.3">
      <c r="A568" t="s">
        <v>0</v>
      </c>
    </row>
    <row r="569" spans="1:1" x14ac:dyDescent="0.3">
      <c r="A569" t="s">
        <v>0</v>
      </c>
    </row>
    <row r="570" spans="1:1" x14ac:dyDescent="0.3">
      <c r="A570" t="s">
        <v>0</v>
      </c>
    </row>
    <row r="571" spans="1:1" x14ac:dyDescent="0.3">
      <c r="A571" t="s">
        <v>0</v>
      </c>
    </row>
    <row r="572" spans="1:1" x14ac:dyDescent="0.3">
      <c r="A572" t="s">
        <v>0</v>
      </c>
    </row>
    <row r="573" spans="1:1" x14ac:dyDescent="0.3">
      <c r="A573" t="s">
        <v>0</v>
      </c>
    </row>
    <row r="574" spans="1:1" x14ac:dyDescent="0.3">
      <c r="A574" t="s">
        <v>0</v>
      </c>
    </row>
    <row r="575" spans="1:1" x14ac:dyDescent="0.3">
      <c r="A575" t="s">
        <v>0</v>
      </c>
    </row>
    <row r="576" spans="1:1" x14ac:dyDescent="0.3">
      <c r="A576" t="s">
        <v>0</v>
      </c>
    </row>
    <row r="577" spans="1:1" x14ac:dyDescent="0.3">
      <c r="A577" t="s">
        <v>0</v>
      </c>
    </row>
    <row r="578" spans="1:1" x14ac:dyDescent="0.3">
      <c r="A578" t="s">
        <v>0</v>
      </c>
    </row>
    <row r="579" spans="1:1" x14ac:dyDescent="0.3">
      <c r="A579" t="s">
        <v>0</v>
      </c>
    </row>
    <row r="580" spans="1:1" x14ac:dyDescent="0.3">
      <c r="A580" t="s">
        <v>0</v>
      </c>
    </row>
    <row r="581" spans="1:1" x14ac:dyDescent="0.3">
      <c r="A581" t="s">
        <v>0</v>
      </c>
    </row>
    <row r="582" spans="1:1" x14ac:dyDescent="0.3">
      <c r="A582" t="s">
        <v>0</v>
      </c>
    </row>
    <row r="583" spans="1:1" x14ac:dyDescent="0.3">
      <c r="A583" t="s">
        <v>0</v>
      </c>
    </row>
    <row r="584" spans="1:1" x14ac:dyDescent="0.3">
      <c r="A584" t="s">
        <v>0</v>
      </c>
    </row>
    <row r="585" spans="1:1" x14ac:dyDescent="0.3">
      <c r="A585" t="s">
        <v>0</v>
      </c>
    </row>
    <row r="586" spans="1:1" x14ac:dyDescent="0.3">
      <c r="A586" t="s">
        <v>0</v>
      </c>
    </row>
    <row r="587" spans="1:1" x14ac:dyDescent="0.3">
      <c r="A587" t="s">
        <v>0</v>
      </c>
    </row>
    <row r="588" spans="1:1" x14ac:dyDescent="0.3">
      <c r="A588" t="s">
        <v>0</v>
      </c>
    </row>
    <row r="589" spans="1:1" x14ac:dyDescent="0.3">
      <c r="A589" t="s">
        <v>0</v>
      </c>
    </row>
    <row r="590" spans="1:1" x14ac:dyDescent="0.3">
      <c r="A590" t="s">
        <v>0</v>
      </c>
    </row>
    <row r="591" spans="1:1" x14ac:dyDescent="0.3">
      <c r="A591" t="s">
        <v>0</v>
      </c>
    </row>
    <row r="592" spans="1:1" x14ac:dyDescent="0.3">
      <c r="A592" t="s">
        <v>0</v>
      </c>
    </row>
    <row r="593" spans="1:1" x14ac:dyDescent="0.3">
      <c r="A593" t="s">
        <v>0</v>
      </c>
    </row>
    <row r="594" spans="1:1" x14ac:dyDescent="0.3">
      <c r="A594" t="s">
        <v>0</v>
      </c>
    </row>
    <row r="595" spans="1:1" x14ac:dyDescent="0.3">
      <c r="A595" t="s">
        <v>0</v>
      </c>
    </row>
    <row r="596" spans="1:1" x14ac:dyDescent="0.3">
      <c r="A596" t="s">
        <v>0</v>
      </c>
    </row>
    <row r="597" spans="1:1" x14ac:dyDescent="0.3">
      <c r="A597" t="s">
        <v>0</v>
      </c>
    </row>
    <row r="598" spans="1:1" x14ac:dyDescent="0.3">
      <c r="A598" t="s">
        <v>0</v>
      </c>
    </row>
    <row r="599" spans="1:1" x14ac:dyDescent="0.3">
      <c r="A599" t="s">
        <v>0</v>
      </c>
    </row>
    <row r="600" spans="1:1" x14ac:dyDescent="0.3">
      <c r="A600" t="s">
        <v>0</v>
      </c>
    </row>
    <row r="601" spans="1:1" x14ac:dyDescent="0.3">
      <c r="A601" t="s">
        <v>0</v>
      </c>
    </row>
    <row r="602" spans="1:1" x14ac:dyDescent="0.3">
      <c r="A602" t="s">
        <v>0</v>
      </c>
    </row>
    <row r="603" spans="1:1" x14ac:dyDescent="0.3">
      <c r="A603" t="s">
        <v>0</v>
      </c>
    </row>
    <row r="604" spans="1:1" x14ac:dyDescent="0.3">
      <c r="A604" t="s">
        <v>0</v>
      </c>
    </row>
    <row r="605" spans="1:1" x14ac:dyDescent="0.3">
      <c r="A605" t="s">
        <v>0</v>
      </c>
    </row>
    <row r="606" spans="1:1" x14ac:dyDescent="0.3">
      <c r="A606" t="s">
        <v>0</v>
      </c>
    </row>
    <row r="607" spans="1:1" x14ac:dyDescent="0.3">
      <c r="A607" t="s">
        <v>0</v>
      </c>
    </row>
    <row r="608" spans="1:1" x14ac:dyDescent="0.3">
      <c r="A608" t="s">
        <v>0</v>
      </c>
    </row>
    <row r="609" spans="1:1" x14ac:dyDescent="0.3">
      <c r="A609" t="s">
        <v>0</v>
      </c>
    </row>
    <row r="610" spans="1:1" x14ac:dyDescent="0.3">
      <c r="A610" t="s">
        <v>0</v>
      </c>
    </row>
    <row r="611" spans="1:1" x14ac:dyDescent="0.3">
      <c r="A611" t="s">
        <v>0</v>
      </c>
    </row>
    <row r="612" spans="1:1" x14ac:dyDescent="0.3">
      <c r="A612" t="s">
        <v>0</v>
      </c>
    </row>
    <row r="613" spans="1:1" x14ac:dyDescent="0.3">
      <c r="A613" t="s">
        <v>0</v>
      </c>
    </row>
    <row r="614" spans="1:1" x14ac:dyDescent="0.3">
      <c r="A614" t="s">
        <v>0</v>
      </c>
    </row>
    <row r="615" spans="1:1" x14ac:dyDescent="0.3">
      <c r="A615" t="s">
        <v>0</v>
      </c>
    </row>
    <row r="616" spans="1:1" x14ac:dyDescent="0.3">
      <c r="A616" t="s">
        <v>0</v>
      </c>
    </row>
    <row r="617" spans="1:1" x14ac:dyDescent="0.3">
      <c r="A617" t="s">
        <v>0</v>
      </c>
    </row>
    <row r="618" spans="1:1" x14ac:dyDescent="0.3">
      <c r="A618" t="s">
        <v>0</v>
      </c>
    </row>
    <row r="619" spans="1:1" x14ac:dyDescent="0.3">
      <c r="A619" t="s">
        <v>0</v>
      </c>
    </row>
    <row r="620" spans="1:1" x14ac:dyDescent="0.3">
      <c r="A620" t="s">
        <v>0</v>
      </c>
    </row>
    <row r="621" spans="1:1" x14ac:dyDescent="0.3">
      <c r="A621" t="s">
        <v>0</v>
      </c>
    </row>
    <row r="622" spans="1:1" x14ac:dyDescent="0.3">
      <c r="A622" t="s">
        <v>0</v>
      </c>
    </row>
    <row r="623" spans="1:1" x14ac:dyDescent="0.3">
      <c r="A623" t="s">
        <v>0</v>
      </c>
    </row>
    <row r="624" spans="1:1" x14ac:dyDescent="0.3">
      <c r="A624" t="s">
        <v>0</v>
      </c>
    </row>
    <row r="625" spans="1:1" x14ac:dyDescent="0.3">
      <c r="A625" t="s">
        <v>0</v>
      </c>
    </row>
    <row r="626" spans="1:1" x14ac:dyDescent="0.3">
      <c r="A626" t="s">
        <v>0</v>
      </c>
    </row>
    <row r="627" spans="1:1" x14ac:dyDescent="0.3">
      <c r="A627" t="s">
        <v>0</v>
      </c>
    </row>
    <row r="628" spans="1:1" x14ac:dyDescent="0.3">
      <c r="A628" t="s">
        <v>0</v>
      </c>
    </row>
    <row r="629" spans="1:1" x14ac:dyDescent="0.3">
      <c r="A629" t="s">
        <v>0</v>
      </c>
    </row>
    <row r="630" spans="1:1" x14ac:dyDescent="0.3">
      <c r="A630" t="s">
        <v>0</v>
      </c>
    </row>
    <row r="631" spans="1:1" x14ac:dyDescent="0.3">
      <c r="A631" t="s">
        <v>0</v>
      </c>
    </row>
    <row r="632" spans="1:1" x14ac:dyDescent="0.3">
      <c r="A632" t="s">
        <v>0</v>
      </c>
    </row>
    <row r="633" spans="1:1" x14ac:dyDescent="0.3">
      <c r="A633" t="s">
        <v>0</v>
      </c>
    </row>
    <row r="634" spans="1:1" x14ac:dyDescent="0.3">
      <c r="A634" t="s">
        <v>0</v>
      </c>
    </row>
    <row r="635" spans="1:1" x14ac:dyDescent="0.3">
      <c r="A635" t="s">
        <v>0</v>
      </c>
    </row>
    <row r="636" spans="1:1" x14ac:dyDescent="0.3">
      <c r="A636" t="s">
        <v>0</v>
      </c>
    </row>
    <row r="637" spans="1:1" x14ac:dyDescent="0.3">
      <c r="A637" t="s">
        <v>0</v>
      </c>
    </row>
    <row r="638" spans="1:1" x14ac:dyDescent="0.3">
      <c r="A638" t="s">
        <v>0</v>
      </c>
    </row>
    <row r="639" spans="1:1" x14ac:dyDescent="0.3">
      <c r="A639" t="s">
        <v>0</v>
      </c>
    </row>
    <row r="640" spans="1:1" x14ac:dyDescent="0.3">
      <c r="A640" t="s">
        <v>0</v>
      </c>
    </row>
    <row r="641" spans="1:1" x14ac:dyDescent="0.3">
      <c r="A641" t="s">
        <v>0</v>
      </c>
    </row>
    <row r="642" spans="1:1" x14ac:dyDescent="0.3">
      <c r="A642" t="s">
        <v>0</v>
      </c>
    </row>
    <row r="643" spans="1:1" x14ac:dyDescent="0.3">
      <c r="A643" t="s">
        <v>0</v>
      </c>
    </row>
    <row r="644" spans="1:1" x14ac:dyDescent="0.3">
      <c r="A644" t="s">
        <v>0</v>
      </c>
    </row>
    <row r="645" spans="1:1" x14ac:dyDescent="0.3">
      <c r="A645" t="s">
        <v>0</v>
      </c>
    </row>
    <row r="646" spans="1:1" x14ac:dyDescent="0.3">
      <c r="A646" t="s">
        <v>0</v>
      </c>
    </row>
    <row r="647" spans="1:1" x14ac:dyDescent="0.3">
      <c r="A647" t="s">
        <v>0</v>
      </c>
    </row>
    <row r="648" spans="1:1" x14ac:dyDescent="0.3">
      <c r="A648" t="s">
        <v>0</v>
      </c>
    </row>
    <row r="649" spans="1:1" x14ac:dyDescent="0.3">
      <c r="A649" t="s">
        <v>0</v>
      </c>
    </row>
    <row r="650" spans="1:1" x14ac:dyDescent="0.3">
      <c r="A650" t="s">
        <v>0</v>
      </c>
    </row>
    <row r="651" spans="1:1" x14ac:dyDescent="0.3">
      <c r="A651" t="s">
        <v>0</v>
      </c>
    </row>
    <row r="652" spans="1:1" x14ac:dyDescent="0.3">
      <c r="A652" t="s">
        <v>0</v>
      </c>
    </row>
    <row r="653" spans="1:1" x14ac:dyDescent="0.3">
      <c r="A653" t="s">
        <v>0</v>
      </c>
    </row>
    <row r="654" spans="1:1" x14ac:dyDescent="0.3">
      <c r="A654" t="s">
        <v>0</v>
      </c>
    </row>
    <row r="655" spans="1:1" x14ac:dyDescent="0.3">
      <c r="A655" t="s">
        <v>0</v>
      </c>
    </row>
    <row r="656" spans="1:1" x14ac:dyDescent="0.3">
      <c r="A656" t="s">
        <v>0</v>
      </c>
    </row>
    <row r="657" spans="1:1" x14ac:dyDescent="0.3">
      <c r="A657" t="s">
        <v>0</v>
      </c>
    </row>
    <row r="658" spans="1:1" x14ac:dyDescent="0.3">
      <c r="A658" t="s">
        <v>0</v>
      </c>
    </row>
    <row r="659" spans="1:1" x14ac:dyDescent="0.3">
      <c r="A659" t="s">
        <v>0</v>
      </c>
    </row>
    <row r="660" spans="1:1" x14ac:dyDescent="0.3">
      <c r="A660" t="s">
        <v>0</v>
      </c>
    </row>
    <row r="661" spans="1:1" x14ac:dyDescent="0.3">
      <c r="A661" t="s">
        <v>0</v>
      </c>
    </row>
    <row r="662" spans="1:1" x14ac:dyDescent="0.3">
      <c r="A662" t="s">
        <v>0</v>
      </c>
    </row>
    <row r="663" spans="1:1" x14ac:dyDescent="0.3">
      <c r="A663" t="s">
        <v>0</v>
      </c>
    </row>
    <row r="664" spans="1:1" x14ac:dyDescent="0.3">
      <c r="A664" t="s">
        <v>0</v>
      </c>
    </row>
    <row r="665" spans="1:1" x14ac:dyDescent="0.3">
      <c r="A665" t="s">
        <v>0</v>
      </c>
    </row>
    <row r="666" spans="1:1" x14ac:dyDescent="0.3">
      <c r="A666" t="s">
        <v>0</v>
      </c>
    </row>
    <row r="667" spans="1:1" x14ac:dyDescent="0.3">
      <c r="A667" t="s">
        <v>0</v>
      </c>
    </row>
    <row r="668" spans="1:1" x14ac:dyDescent="0.3">
      <c r="A668" t="s">
        <v>0</v>
      </c>
    </row>
    <row r="669" spans="1:1" x14ac:dyDescent="0.3">
      <c r="A669" t="s">
        <v>0</v>
      </c>
    </row>
    <row r="670" spans="1:1" x14ac:dyDescent="0.3">
      <c r="A670" t="s">
        <v>0</v>
      </c>
    </row>
    <row r="671" spans="1:1" x14ac:dyDescent="0.3">
      <c r="A671" t="s">
        <v>0</v>
      </c>
    </row>
    <row r="672" spans="1:1" x14ac:dyDescent="0.3">
      <c r="A672" t="s">
        <v>0</v>
      </c>
    </row>
    <row r="673" spans="1:1" x14ac:dyDescent="0.3">
      <c r="A673" t="s">
        <v>0</v>
      </c>
    </row>
    <row r="674" spans="1:1" x14ac:dyDescent="0.3">
      <c r="A674" t="s">
        <v>0</v>
      </c>
    </row>
    <row r="675" spans="1:1" x14ac:dyDescent="0.3">
      <c r="A675" t="s">
        <v>0</v>
      </c>
    </row>
    <row r="676" spans="1:1" x14ac:dyDescent="0.3">
      <c r="A676" t="s">
        <v>0</v>
      </c>
    </row>
    <row r="677" spans="1:1" x14ac:dyDescent="0.3">
      <c r="A677" t="s">
        <v>0</v>
      </c>
    </row>
    <row r="678" spans="1:1" x14ac:dyDescent="0.3">
      <c r="A678" t="s">
        <v>0</v>
      </c>
    </row>
    <row r="679" spans="1:1" x14ac:dyDescent="0.3">
      <c r="A679" t="s">
        <v>0</v>
      </c>
    </row>
    <row r="680" spans="1:1" x14ac:dyDescent="0.3">
      <c r="A680" t="s">
        <v>0</v>
      </c>
    </row>
    <row r="681" spans="1:1" x14ac:dyDescent="0.3">
      <c r="A681" t="s">
        <v>0</v>
      </c>
    </row>
    <row r="682" spans="1:1" x14ac:dyDescent="0.3">
      <c r="A682" t="s">
        <v>0</v>
      </c>
    </row>
    <row r="683" spans="1:1" x14ac:dyDescent="0.3">
      <c r="A683" t="s">
        <v>0</v>
      </c>
    </row>
    <row r="684" spans="1:1" x14ac:dyDescent="0.3">
      <c r="A684" t="s">
        <v>0</v>
      </c>
    </row>
    <row r="685" spans="1:1" x14ac:dyDescent="0.3">
      <c r="A685" t="s">
        <v>0</v>
      </c>
    </row>
    <row r="686" spans="1:1" x14ac:dyDescent="0.3">
      <c r="A686" t="s">
        <v>0</v>
      </c>
    </row>
    <row r="687" spans="1:1" x14ac:dyDescent="0.3">
      <c r="A687" t="s">
        <v>0</v>
      </c>
    </row>
    <row r="688" spans="1:1" x14ac:dyDescent="0.3">
      <c r="A688" t="s">
        <v>0</v>
      </c>
    </row>
    <row r="689" spans="1:1" x14ac:dyDescent="0.3">
      <c r="A689" t="s">
        <v>0</v>
      </c>
    </row>
    <row r="690" spans="1:1" x14ac:dyDescent="0.3">
      <c r="A690" t="s">
        <v>0</v>
      </c>
    </row>
    <row r="691" spans="1:1" x14ac:dyDescent="0.3">
      <c r="A691" t="s">
        <v>0</v>
      </c>
    </row>
    <row r="692" spans="1:1" x14ac:dyDescent="0.3">
      <c r="A692" t="s">
        <v>0</v>
      </c>
    </row>
    <row r="693" spans="1:1" x14ac:dyDescent="0.3">
      <c r="A693" t="s">
        <v>0</v>
      </c>
    </row>
    <row r="694" spans="1:1" x14ac:dyDescent="0.3">
      <c r="A694" t="s">
        <v>0</v>
      </c>
    </row>
    <row r="695" spans="1:1" x14ac:dyDescent="0.3">
      <c r="A695" t="s">
        <v>0</v>
      </c>
    </row>
    <row r="696" spans="1:1" x14ac:dyDescent="0.3">
      <c r="A696" t="s">
        <v>0</v>
      </c>
    </row>
    <row r="697" spans="1:1" x14ac:dyDescent="0.3">
      <c r="A697" t="s">
        <v>0</v>
      </c>
    </row>
    <row r="698" spans="1:1" x14ac:dyDescent="0.3">
      <c r="A698" t="s">
        <v>0</v>
      </c>
    </row>
    <row r="699" spans="1:1" x14ac:dyDescent="0.3">
      <c r="A699" t="s">
        <v>0</v>
      </c>
    </row>
    <row r="700" spans="1:1" x14ac:dyDescent="0.3">
      <c r="A700" t="s">
        <v>0</v>
      </c>
    </row>
    <row r="701" spans="1:1" x14ac:dyDescent="0.3">
      <c r="A701" t="s">
        <v>0</v>
      </c>
    </row>
    <row r="702" spans="1:1" x14ac:dyDescent="0.3">
      <c r="A702" t="s">
        <v>0</v>
      </c>
    </row>
    <row r="703" spans="1:1" x14ac:dyDescent="0.3">
      <c r="A703" t="s">
        <v>0</v>
      </c>
    </row>
    <row r="704" spans="1:1" x14ac:dyDescent="0.3">
      <c r="A704" t="s">
        <v>0</v>
      </c>
    </row>
    <row r="705" spans="1:1" x14ac:dyDescent="0.3">
      <c r="A705" t="s">
        <v>0</v>
      </c>
    </row>
    <row r="706" spans="1:1" x14ac:dyDescent="0.3">
      <c r="A706" t="s">
        <v>0</v>
      </c>
    </row>
    <row r="707" spans="1:1" x14ac:dyDescent="0.3">
      <c r="A707" t="s">
        <v>0</v>
      </c>
    </row>
    <row r="708" spans="1:1" x14ac:dyDescent="0.3">
      <c r="A708" t="s">
        <v>0</v>
      </c>
    </row>
    <row r="709" spans="1:1" x14ac:dyDescent="0.3">
      <c r="A709" t="s">
        <v>0</v>
      </c>
    </row>
    <row r="710" spans="1:1" x14ac:dyDescent="0.3">
      <c r="A710" t="s">
        <v>0</v>
      </c>
    </row>
    <row r="711" spans="1:1" x14ac:dyDescent="0.3">
      <c r="A711" t="s">
        <v>0</v>
      </c>
    </row>
    <row r="712" spans="1:1" x14ac:dyDescent="0.3">
      <c r="A712" t="s">
        <v>0</v>
      </c>
    </row>
    <row r="713" spans="1:1" x14ac:dyDescent="0.3">
      <c r="A713" t="s">
        <v>0</v>
      </c>
    </row>
    <row r="714" spans="1:1" x14ac:dyDescent="0.3">
      <c r="A714" t="s">
        <v>0</v>
      </c>
    </row>
    <row r="715" spans="1:1" x14ac:dyDescent="0.3">
      <c r="A715" t="s">
        <v>0</v>
      </c>
    </row>
    <row r="716" spans="1:1" x14ac:dyDescent="0.3">
      <c r="A716" t="s">
        <v>0</v>
      </c>
    </row>
    <row r="717" spans="1:1" x14ac:dyDescent="0.3">
      <c r="A717" t="s">
        <v>0</v>
      </c>
    </row>
    <row r="718" spans="1:1" x14ac:dyDescent="0.3">
      <c r="A718" t="s">
        <v>0</v>
      </c>
    </row>
    <row r="719" spans="1:1" x14ac:dyDescent="0.3">
      <c r="A719" t="s">
        <v>0</v>
      </c>
    </row>
    <row r="720" spans="1:1" x14ac:dyDescent="0.3">
      <c r="A720" t="s">
        <v>0</v>
      </c>
    </row>
    <row r="721" spans="1:1" x14ac:dyDescent="0.3">
      <c r="A721" t="s">
        <v>0</v>
      </c>
    </row>
    <row r="722" spans="1:1" x14ac:dyDescent="0.3">
      <c r="A722" t="s">
        <v>0</v>
      </c>
    </row>
    <row r="723" spans="1:1" x14ac:dyDescent="0.3">
      <c r="A723" t="s">
        <v>0</v>
      </c>
    </row>
    <row r="724" spans="1:1" x14ac:dyDescent="0.3">
      <c r="A724" t="s">
        <v>0</v>
      </c>
    </row>
    <row r="725" spans="1:1" x14ac:dyDescent="0.3">
      <c r="A725" t="s">
        <v>0</v>
      </c>
    </row>
    <row r="726" spans="1:1" x14ac:dyDescent="0.3">
      <c r="A726" t="s">
        <v>0</v>
      </c>
    </row>
    <row r="727" spans="1:1" x14ac:dyDescent="0.3">
      <c r="A727" t="s">
        <v>0</v>
      </c>
    </row>
    <row r="728" spans="1:1" x14ac:dyDescent="0.3">
      <c r="A728" t="s">
        <v>0</v>
      </c>
    </row>
    <row r="729" spans="1:1" x14ac:dyDescent="0.3">
      <c r="A729" t="s">
        <v>0</v>
      </c>
    </row>
    <row r="730" spans="1:1" x14ac:dyDescent="0.3">
      <c r="A730" t="s">
        <v>0</v>
      </c>
    </row>
    <row r="731" spans="1:1" x14ac:dyDescent="0.3">
      <c r="A731" t="s">
        <v>0</v>
      </c>
    </row>
    <row r="732" spans="1:1" x14ac:dyDescent="0.3">
      <c r="A732" t="s">
        <v>0</v>
      </c>
    </row>
    <row r="733" spans="1:1" x14ac:dyDescent="0.3">
      <c r="A733" t="s">
        <v>0</v>
      </c>
    </row>
    <row r="734" spans="1:1" x14ac:dyDescent="0.3">
      <c r="A734" t="s">
        <v>0</v>
      </c>
    </row>
    <row r="735" spans="1:1" x14ac:dyDescent="0.3">
      <c r="A735" t="s">
        <v>0</v>
      </c>
    </row>
    <row r="736" spans="1:1" x14ac:dyDescent="0.3">
      <c r="A736" t="s">
        <v>0</v>
      </c>
    </row>
    <row r="737" spans="1:1" x14ac:dyDescent="0.3">
      <c r="A737" t="s">
        <v>0</v>
      </c>
    </row>
    <row r="738" spans="1:1" x14ac:dyDescent="0.3">
      <c r="A738" t="s">
        <v>0</v>
      </c>
    </row>
    <row r="739" spans="1:1" x14ac:dyDescent="0.3">
      <c r="A739" t="s">
        <v>0</v>
      </c>
    </row>
    <row r="740" spans="1:1" x14ac:dyDescent="0.3">
      <c r="A740" t="s">
        <v>0</v>
      </c>
    </row>
    <row r="741" spans="1:1" x14ac:dyDescent="0.3">
      <c r="A741" t="s">
        <v>0</v>
      </c>
    </row>
    <row r="742" spans="1:1" x14ac:dyDescent="0.3">
      <c r="A742" t="s">
        <v>0</v>
      </c>
    </row>
    <row r="743" spans="1:1" x14ac:dyDescent="0.3">
      <c r="A743" t="s">
        <v>0</v>
      </c>
    </row>
    <row r="744" spans="1:1" x14ac:dyDescent="0.3">
      <c r="A744" t="s">
        <v>0</v>
      </c>
    </row>
    <row r="745" spans="1:1" x14ac:dyDescent="0.3">
      <c r="A745" t="s">
        <v>0</v>
      </c>
    </row>
    <row r="746" spans="1:1" x14ac:dyDescent="0.3">
      <c r="A746" t="s">
        <v>0</v>
      </c>
    </row>
    <row r="747" spans="1:1" x14ac:dyDescent="0.3">
      <c r="A747" t="s">
        <v>0</v>
      </c>
    </row>
    <row r="748" spans="1:1" x14ac:dyDescent="0.3">
      <c r="A748" t="s">
        <v>0</v>
      </c>
    </row>
    <row r="749" spans="1:1" x14ac:dyDescent="0.3">
      <c r="A749" t="s">
        <v>0</v>
      </c>
    </row>
    <row r="750" spans="1:1" x14ac:dyDescent="0.3">
      <c r="A750" t="s">
        <v>0</v>
      </c>
    </row>
    <row r="751" spans="1:1" x14ac:dyDescent="0.3">
      <c r="A751" t="s">
        <v>0</v>
      </c>
    </row>
    <row r="752" spans="1:1" x14ac:dyDescent="0.3">
      <c r="A752" t="s">
        <v>0</v>
      </c>
    </row>
    <row r="753" spans="1:1" x14ac:dyDescent="0.3">
      <c r="A753" t="s">
        <v>0</v>
      </c>
    </row>
    <row r="754" spans="1:1" x14ac:dyDescent="0.3">
      <c r="A754" t="s">
        <v>0</v>
      </c>
    </row>
    <row r="755" spans="1:1" x14ac:dyDescent="0.3">
      <c r="A755" t="s">
        <v>0</v>
      </c>
    </row>
    <row r="756" spans="1:1" x14ac:dyDescent="0.3">
      <c r="A756" t="s">
        <v>0</v>
      </c>
    </row>
    <row r="757" spans="1:1" x14ac:dyDescent="0.3">
      <c r="A757" t="s">
        <v>0</v>
      </c>
    </row>
    <row r="758" spans="1:1" x14ac:dyDescent="0.3">
      <c r="A758" t="s">
        <v>0</v>
      </c>
    </row>
    <row r="759" spans="1:1" x14ac:dyDescent="0.3">
      <c r="A759" t="s">
        <v>0</v>
      </c>
    </row>
    <row r="760" spans="1:1" x14ac:dyDescent="0.3">
      <c r="A760" t="s">
        <v>0</v>
      </c>
    </row>
    <row r="761" spans="1:1" x14ac:dyDescent="0.3">
      <c r="A761" t="s">
        <v>0</v>
      </c>
    </row>
    <row r="762" spans="1:1" x14ac:dyDescent="0.3">
      <c r="A762" t="s">
        <v>0</v>
      </c>
    </row>
    <row r="763" spans="1:1" x14ac:dyDescent="0.3">
      <c r="A763" t="s">
        <v>0</v>
      </c>
    </row>
    <row r="764" spans="1:1" x14ac:dyDescent="0.3">
      <c r="A764" t="s">
        <v>0</v>
      </c>
    </row>
    <row r="765" spans="1:1" x14ac:dyDescent="0.3">
      <c r="A765" t="s">
        <v>0</v>
      </c>
    </row>
    <row r="766" spans="1:1" x14ac:dyDescent="0.3">
      <c r="A766" t="s">
        <v>0</v>
      </c>
    </row>
    <row r="767" spans="1:1" x14ac:dyDescent="0.3">
      <c r="A767" t="s">
        <v>0</v>
      </c>
    </row>
    <row r="768" spans="1:1" x14ac:dyDescent="0.3">
      <c r="A768" t="s">
        <v>0</v>
      </c>
    </row>
    <row r="769" spans="1:1" x14ac:dyDescent="0.3">
      <c r="A769" t="s">
        <v>0</v>
      </c>
    </row>
    <row r="770" spans="1:1" x14ac:dyDescent="0.3">
      <c r="A770" t="s">
        <v>0</v>
      </c>
    </row>
    <row r="771" spans="1:1" x14ac:dyDescent="0.3">
      <c r="A771" t="s">
        <v>0</v>
      </c>
    </row>
    <row r="772" spans="1:1" x14ac:dyDescent="0.3">
      <c r="A772" t="s">
        <v>0</v>
      </c>
    </row>
    <row r="773" spans="1:1" x14ac:dyDescent="0.3">
      <c r="A773" t="s">
        <v>0</v>
      </c>
    </row>
    <row r="774" spans="1:1" x14ac:dyDescent="0.3">
      <c r="A774" t="s">
        <v>0</v>
      </c>
    </row>
    <row r="775" spans="1:1" x14ac:dyDescent="0.3">
      <c r="A775" t="s">
        <v>0</v>
      </c>
    </row>
    <row r="776" spans="1:1" x14ac:dyDescent="0.3">
      <c r="A776" t="s">
        <v>0</v>
      </c>
    </row>
    <row r="777" spans="1:1" x14ac:dyDescent="0.3">
      <c r="A777" t="s">
        <v>0</v>
      </c>
    </row>
    <row r="778" spans="1:1" x14ac:dyDescent="0.3">
      <c r="A778" t="s">
        <v>0</v>
      </c>
    </row>
    <row r="779" spans="1:1" x14ac:dyDescent="0.3">
      <c r="A779" t="s">
        <v>0</v>
      </c>
    </row>
    <row r="780" spans="1:1" x14ac:dyDescent="0.3">
      <c r="A780" t="s">
        <v>0</v>
      </c>
    </row>
    <row r="781" spans="1:1" x14ac:dyDescent="0.3">
      <c r="A781" t="s">
        <v>0</v>
      </c>
    </row>
    <row r="782" spans="1:1" x14ac:dyDescent="0.3">
      <c r="A782" t="s">
        <v>0</v>
      </c>
    </row>
    <row r="783" spans="1:1" x14ac:dyDescent="0.3">
      <c r="A783" t="s">
        <v>0</v>
      </c>
    </row>
    <row r="784" spans="1:1" x14ac:dyDescent="0.3">
      <c r="A784" t="s">
        <v>0</v>
      </c>
    </row>
    <row r="785" spans="1:1" x14ac:dyDescent="0.3">
      <c r="A785" t="s">
        <v>0</v>
      </c>
    </row>
    <row r="786" spans="1:1" x14ac:dyDescent="0.3">
      <c r="A786" t="s">
        <v>0</v>
      </c>
    </row>
    <row r="787" spans="1:1" x14ac:dyDescent="0.3">
      <c r="A787" t="s">
        <v>0</v>
      </c>
    </row>
    <row r="788" spans="1:1" x14ac:dyDescent="0.3">
      <c r="A788" t="s">
        <v>0</v>
      </c>
    </row>
    <row r="789" spans="1:1" x14ac:dyDescent="0.3">
      <c r="A789" t="s">
        <v>0</v>
      </c>
    </row>
    <row r="790" spans="1:1" x14ac:dyDescent="0.3">
      <c r="A790" t="s">
        <v>0</v>
      </c>
    </row>
    <row r="791" spans="1:1" x14ac:dyDescent="0.3">
      <c r="A791" t="s">
        <v>0</v>
      </c>
    </row>
    <row r="792" spans="1:1" x14ac:dyDescent="0.3">
      <c r="A792" t="s">
        <v>0</v>
      </c>
    </row>
    <row r="793" spans="1:1" x14ac:dyDescent="0.3">
      <c r="A793" t="s">
        <v>0</v>
      </c>
    </row>
    <row r="794" spans="1:1" x14ac:dyDescent="0.3">
      <c r="A794" t="s">
        <v>0</v>
      </c>
    </row>
    <row r="795" spans="1:1" x14ac:dyDescent="0.3">
      <c r="A795" t="s">
        <v>0</v>
      </c>
    </row>
    <row r="796" spans="1:1" x14ac:dyDescent="0.3">
      <c r="A796" t="s">
        <v>0</v>
      </c>
    </row>
    <row r="797" spans="1:1" x14ac:dyDescent="0.3">
      <c r="A797" t="s">
        <v>0</v>
      </c>
    </row>
    <row r="798" spans="1:1" x14ac:dyDescent="0.3">
      <c r="A798" t="s">
        <v>0</v>
      </c>
    </row>
    <row r="799" spans="1:1" x14ac:dyDescent="0.3">
      <c r="A799" t="s">
        <v>0</v>
      </c>
    </row>
    <row r="800" spans="1:1" x14ac:dyDescent="0.3">
      <c r="A800" t="s">
        <v>0</v>
      </c>
    </row>
    <row r="801" spans="1:1" x14ac:dyDescent="0.3">
      <c r="A801" t="s">
        <v>0</v>
      </c>
    </row>
    <row r="802" spans="1:1" x14ac:dyDescent="0.3">
      <c r="A802" t="s">
        <v>0</v>
      </c>
    </row>
    <row r="803" spans="1:1" x14ac:dyDescent="0.3">
      <c r="A803" t="s">
        <v>0</v>
      </c>
    </row>
    <row r="804" spans="1:1" x14ac:dyDescent="0.3">
      <c r="A804" t="s">
        <v>0</v>
      </c>
    </row>
    <row r="805" spans="1:1" x14ac:dyDescent="0.3">
      <c r="A805" t="s">
        <v>0</v>
      </c>
    </row>
    <row r="806" spans="1:1" x14ac:dyDescent="0.3">
      <c r="A806" t="s">
        <v>0</v>
      </c>
    </row>
    <row r="807" spans="1:1" x14ac:dyDescent="0.3">
      <c r="A807" t="s">
        <v>0</v>
      </c>
    </row>
    <row r="808" spans="1:1" x14ac:dyDescent="0.3">
      <c r="A808" t="s">
        <v>0</v>
      </c>
    </row>
    <row r="809" spans="1:1" x14ac:dyDescent="0.3">
      <c r="A809" t="s">
        <v>0</v>
      </c>
    </row>
    <row r="810" spans="1:1" x14ac:dyDescent="0.3">
      <c r="A810" t="s">
        <v>0</v>
      </c>
    </row>
    <row r="811" spans="1:1" x14ac:dyDescent="0.3">
      <c r="A811" t="s">
        <v>0</v>
      </c>
    </row>
    <row r="812" spans="1:1" x14ac:dyDescent="0.3">
      <c r="A812" t="s">
        <v>0</v>
      </c>
    </row>
    <row r="813" spans="1:1" x14ac:dyDescent="0.3">
      <c r="A813" t="s">
        <v>0</v>
      </c>
    </row>
    <row r="814" spans="1:1" x14ac:dyDescent="0.3">
      <c r="A814" t="s">
        <v>0</v>
      </c>
    </row>
    <row r="815" spans="1:1" x14ac:dyDescent="0.3">
      <c r="A815" t="s">
        <v>0</v>
      </c>
    </row>
    <row r="816" spans="1:1" x14ac:dyDescent="0.3">
      <c r="A816" t="s">
        <v>0</v>
      </c>
    </row>
    <row r="817" spans="1:1" x14ac:dyDescent="0.3">
      <c r="A817" t="s">
        <v>0</v>
      </c>
    </row>
    <row r="818" spans="1:1" x14ac:dyDescent="0.3">
      <c r="A818" t="s">
        <v>0</v>
      </c>
    </row>
    <row r="819" spans="1:1" x14ac:dyDescent="0.3">
      <c r="A819" t="s">
        <v>0</v>
      </c>
    </row>
    <row r="820" spans="1:1" x14ac:dyDescent="0.3">
      <c r="A820" t="s">
        <v>0</v>
      </c>
    </row>
    <row r="821" spans="1:1" x14ac:dyDescent="0.3">
      <c r="A821" t="s">
        <v>0</v>
      </c>
    </row>
    <row r="822" spans="1:1" x14ac:dyDescent="0.3">
      <c r="A822" t="s">
        <v>0</v>
      </c>
    </row>
    <row r="823" spans="1:1" x14ac:dyDescent="0.3">
      <c r="A823" t="s">
        <v>0</v>
      </c>
    </row>
    <row r="824" spans="1:1" x14ac:dyDescent="0.3">
      <c r="A824" t="s">
        <v>0</v>
      </c>
    </row>
    <row r="825" spans="1:1" x14ac:dyDescent="0.3">
      <c r="A825" t="s">
        <v>0</v>
      </c>
    </row>
    <row r="826" spans="1:1" x14ac:dyDescent="0.3">
      <c r="A826" t="s">
        <v>0</v>
      </c>
    </row>
    <row r="827" spans="1:1" x14ac:dyDescent="0.3">
      <c r="A827" t="s">
        <v>0</v>
      </c>
    </row>
    <row r="828" spans="1:1" x14ac:dyDescent="0.3">
      <c r="A828" t="s">
        <v>0</v>
      </c>
    </row>
    <row r="829" spans="1:1" x14ac:dyDescent="0.3">
      <c r="A829" t="s">
        <v>0</v>
      </c>
    </row>
    <row r="830" spans="1:1" x14ac:dyDescent="0.3">
      <c r="A830" t="s">
        <v>0</v>
      </c>
    </row>
    <row r="831" spans="1:1" x14ac:dyDescent="0.3">
      <c r="A831" t="s">
        <v>0</v>
      </c>
    </row>
    <row r="832" spans="1:1" x14ac:dyDescent="0.3">
      <c r="A832" t="s">
        <v>0</v>
      </c>
    </row>
    <row r="833" spans="1:1" x14ac:dyDescent="0.3">
      <c r="A833" t="s">
        <v>0</v>
      </c>
    </row>
    <row r="834" spans="1:1" x14ac:dyDescent="0.3">
      <c r="A834" t="s">
        <v>0</v>
      </c>
    </row>
    <row r="835" spans="1:1" x14ac:dyDescent="0.3">
      <c r="A835" t="s">
        <v>0</v>
      </c>
    </row>
    <row r="836" spans="1:1" x14ac:dyDescent="0.3">
      <c r="A836" t="s">
        <v>0</v>
      </c>
    </row>
    <row r="837" spans="1:1" x14ac:dyDescent="0.3">
      <c r="A837" t="s">
        <v>0</v>
      </c>
    </row>
    <row r="838" spans="1:1" x14ac:dyDescent="0.3">
      <c r="A838" t="s">
        <v>0</v>
      </c>
    </row>
    <row r="839" spans="1:1" x14ac:dyDescent="0.3">
      <c r="A839" t="s">
        <v>0</v>
      </c>
    </row>
    <row r="840" spans="1:1" x14ac:dyDescent="0.3">
      <c r="A840" t="s">
        <v>0</v>
      </c>
    </row>
    <row r="841" spans="1:1" x14ac:dyDescent="0.3">
      <c r="A841" t="s">
        <v>0</v>
      </c>
    </row>
    <row r="842" spans="1:1" x14ac:dyDescent="0.3">
      <c r="A842" t="s">
        <v>0</v>
      </c>
    </row>
    <row r="843" spans="1:1" x14ac:dyDescent="0.3">
      <c r="A843" t="s">
        <v>0</v>
      </c>
    </row>
    <row r="844" spans="1:1" x14ac:dyDescent="0.3">
      <c r="A844" t="s">
        <v>0</v>
      </c>
    </row>
    <row r="845" spans="1:1" x14ac:dyDescent="0.3">
      <c r="A845" t="s">
        <v>0</v>
      </c>
    </row>
    <row r="846" spans="1:1" x14ac:dyDescent="0.3">
      <c r="A846" t="s">
        <v>0</v>
      </c>
    </row>
    <row r="847" spans="1:1" x14ac:dyDescent="0.3">
      <c r="A847" t="s">
        <v>0</v>
      </c>
    </row>
    <row r="848" spans="1:1" x14ac:dyDescent="0.3">
      <c r="A848" t="s">
        <v>0</v>
      </c>
    </row>
    <row r="849" spans="1:1" x14ac:dyDescent="0.3">
      <c r="A849" t="s">
        <v>0</v>
      </c>
    </row>
    <row r="850" spans="1:1" x14ac:dyDescent="0.3">
      <c r="A850" t="s">
        <v>0</v>
      </c>
    </row>
    <row r="851" spans="1:1" x14ac:dyDescent="0.3">
      <c r="A851" t="s">
        <v>0</v>
      </c>
    </row>
    <row r="852" spans="1:1" x14ac:dyDescent="0.3">
      <c r="A852" t="s">
        <v>0</v>
      </c>
    </row>
    <row r="853" spans="1:1" x14ac:dyDescent="0.3">
      <c r="A853" t="s">
        <v>0</v>
      </c>
    </row>
    <row r="854" spans="1:1" x14ac:dyDescent="0.3">
      <c r="A854" t="s">
        <v>0</v>
      </c>
    </row>
    <row r="855" spans="1:1" x14ac:dyDescent="0.3">
      <c r="A855" t="s">
        <v>0</v>
      </c>
    </row>
    <row r="856" spans="1:1" x14ac:dyDescent="0.3">
      <c r="A856" t="s">
        <v>0</v>
      </c>
    </row>
    <row r="857" spans="1:1" x14ac:dyDescent="0.3">
      <c r="A857" t="s">
        <v>0</v>
      </c>
    </row>
    <row r="858" spans="1:1" x14ac:dyDescent="0.3">
      <c r="A858" t="s">
        <v>0</v>
      </c>
    </row>
    <row r="859" spans="1:1" x14ac:dyDescent="0.3">
      <c r="A859" t="s">
        <v>0</v>
      </c>
    </row>
    <row r="860" spans="1:1" x14ac:dyDescent="0.3">
      <c r="A860" t="s">
        <v>0</v>
      </c>
    </row>
    <row r="861" spans="1:1" x14ac:dyDescent="0.3">
      <c r="A861" t="s">
        <v>0</v>
      </c>
    </row>
    <row r="862" spans="1:1" x14ac:dyDescent="0.3">
      <c r="A862" t="s">
        <v>0</v>
      </c>
    </row>
    <row r="863" spans="1:1" x14ac:dyDescent="0.3">
      <c r="A863" t="s">
        <v>0</v>
      </c>
    </row>
    <row r="864" spans="1:1" x14ac:dyDescent="0.3">
      <c r="A864" t="s">
        <v>0</v>
      </c>
    </row>
    <row r="865" spans="1:1" x14ac:dyDescent="0.3">
      <c r="A865" t="s">
        <v>0</v>
      </c>
    </row>
    <row r="866" spans="1:1" x14ac:dyDescent="0.3">
      <c r="A866" t="s">
        <v>0</v>
      </c>
    </row>
    <row r="867" spans="1:1" x14ac:dyDescent="0.3">
      <c r="A867" t="s">
        <v>0</v>
      </c>
    </row>
    <row r="868" spans="1:1" x14ac:dyDescent="0.3">
      <c r="A868" t="s">
        <v>0</v>
      </c>
    </row>
    <row r="869" spans="1:1" x14ac:dyDescent="0.3">
      <c r="A869" t="s">
        <v>0</v>
      </c>
    </row>
    <row r="870" spans="1:1" x14ac:dyDescent="0.3">
      <c r="A870" t="s">
        <v>0</v>
      </c>
    </row>
    <row r="871" spans="1:1" x14ac:dyDescent="0.3">
      <c r="A871" t="s">
        <v>0</v>
      </c>
    </row>
    <row r="872" spans="1:1" x14ac:dyDescent="0.3">
      <c r="A872" t="s">
        <v>0</v>
      </c>
    </row>
    <row r="873" spans="1:1" x14ac:dyDescent="0.3">
      <c r="A873" t="s">
        <v>0</v>
      </c>
    </row>
    <row r="874" spans="1:1" x14ac:dyDescent="0.3">
      <c r="A874" t="s">
        <v>0</v>
      </c>
    </row>
    <row r="875" spans="1:1" x14ac:dyDescent="0.3">
      <c r="A875" t="s">
        <v>0</v>
      </c>
    </row>
    <row r="876" spans="1:1" x14ac:dyDescent="0.3">
      <c r="A876" t="s">
        <v>0</v>
      </c>
    </row>
    <row r="877" spans="1:1" x14ac:dyDescent="0.3">
      <c r="A877" t="s">
        <v>0</v>
      </c>
    </row>
    <row r="878" spans="1:1" x14ac:dyDescent="0.3">
      <c r="A878" t="s">
        <v>0</v>
      </c>
    </row>
    <row r="879" spans="1:1" x14ac:dyDescent="0.3">
      <c r="A879" t="s">
        <v>0</v>
      </c>
    </row>
    <row r="880" spans="1:1" x14ac:dyDescent="0.3">
      <c r="A880" t="s">
        <v>0</v>
      </c>
    </row>
    <row r="881" spans="1:1" x14ac:dyDescent="0.3">
      <c r="A881" t="s">
        <v>0</v>
      </c>
    </row>
    <row r="882" spans="1:1" x14ac:dyDescent="0.3">
      <c r="A882" t="s">
        <v>0</v>
      </c>
    </row>
    <row r="883" spans="1:1" x14ac:dyDescent="0.3">
      <c r="A883" t="s">
        <v>0</v>
      </c>
    </row>
    <row r="884" spans="1:1" x14ac:dyDescent="0.3">
      <c r="A884" t="s">
        <v>0</v>
      </c>
    </row>
    <row r="885" spans="1:1" x14ac:dyDescent="0.3">
      <c r="A885" t="s">
        <v>0</v>
      </c>
    </row>
    <row r="886" spans="1:1" x14ac:dyDescent="0.3">
      <c r="A886" t="s">
        <v>0</v>
      </c>
    </row>
    <row r="887" spans="1:1" x14ac:dyDescent="0.3">
      <c r="A887" t="s">
        <v>0</v>
      </c>
    </row>
    <row r="888" spans="1:1" x14ac:dyDescent="0.3">
      <c r="A888" t="s">
        <v>0</v>
      </c>
    </row>
    <row r="889" spans="1:1" x14ac:dyDescent="0.3">
      <c r="A889" t="s">
        <v>0</v>
      </c>
    </row>
    <row r="890" spans="1:1" x14ac:dyDescent="0.3">
      <c r="A890" t="s">
        <v>0</v>
      </c>
    </row>
    <row r="891" spans="1:1" x14ac:dyDescent="0.3">
      <c r="A891" t="s">
        <v>0</v>
      </c>
    </row>
    <row r="892" spans="1:1" x14ac:dyDescent="0.3">
      <c r="A892" t="s">
        <v>0</v>
      </c>
    </row>
    <row r="893" spans="1:1" x14ac:dyDescent="0.3">
      <c r="A893" t="s">
        <v>0</v>
      </c>
    </row>
    <row r="894" spans="1:1" x14ac:dyDescent="0.3">
      <c r="A894" t="s">
        <v>0</v>
      </c>
    </row>
    <row r="895" spans="1:1" x14ac:dyDescent="0.3">
      <c r="A895" t="s">
        <v>0</v>
      </c>
    </row>
    <row r="896" spans="1:1" x14ac:dyDescent="0.3">
      <c r="A896" t="s">
        <v>0</v>
      </c>
    </row>
    <row r="897" spans="1:1" x14ac:dyDescent="0.3">
      <c r="A897" t="s">
        <v>0</v>
      </c>
    </row>
    <row r="898" spans="1:1" x14ac:dyDescent="0.3">
      <c r="A898" t="s">
        <v>0</v>
      </c>
    </row>
    <row r="899" spans="1:1" x14ac:dyDescent="0.3">
      <c r="A899" t="s">
        <v>0</v>
      </c>
    </row>
    <row r="900" spans="1:1" x14ac:dyDescent="0.3">
      <c r="A900" t="s">
        <v>0</v>
      </c>
    </row>
    <row r="901" spans="1:1" x14ac:dyDescent="0.3">
      <c r="A901" t="s">
        <v>0</v>
      </c>
    </row>
    <row r="902" spans="1:1" x14ac:dyDescent="0.3">
      <c r="A902" t="s">
        <v>0</v>
      </c>
    </row>
    <row r="903" spans="1:1" x14ac:dyDescent="0.3">
      <c r="A903" t="s">
        <v>0</v>
      </c>
    </row>
    <row r="904" spans="1:1" x14ac:dyDescent="0.3">
      <c r="A904" t="s">
        <v>0</v>
      </c>
    </row>
    <row r="905" spans="1:1" x14ac:dyDescent="0.3">
      <c r="A905" t="s">
        <v>0</v>
      </c>
    </row>
    <row r="906" spans="1:1" x14ac:dyDescent="0.3">
      <c r="A906" t="s">
        <v>0</v>
      </c>
    </row>
    <row r="907" spans="1:1" x14ac:dyDescent="0.3">
      <c r="A907" t="s">
        <v>0</v>
      </c>
    </row>
    <row r="908" spans="1:1" x14ac:dyDescent="0.3">
      <c r="A908" t="s">
        <v>0</v>
      </c>
    </row>
    <row r="909" spans="1:1" x14ac:dyDescent="0.3">
      <c r="A909" t="s">
        <v>0</v>
      </c>
    </row>
    <row r="910" spans="1:1" x14ac:dyDescent="0.3">
      <c r="A910" t="s">
        <v>0</v>
      </c>
    </row>
    <row r="911" spans="1:1" x14ac:dyDescent="0.3">
      <c r="A911" t="s">
        <v>0</v>
      </c>
    </row>
    <row r="912" spans="1:1" x14ac:dyDescent="0.3">
      <c r="A912" t="s">
        <v>0</v>
      </c>
    </row>
    <row r="913" spans="1:1" x14ac:dyDescent="0.3">
      <c r="A913" t="s">
        <v>0</v>
      </c>
    </row>
    <row r="914" spans="1:1" x14ac:dyDescent="0.3">
      <c r="A914" t="s">
        <v>0</v>
      </c>
    </row>
    <row r="915" spans="1:1" x14ac:dyDescent="0.3">
      <c r="A915" t="s">
        <v>0</v>
      </c>
    </row>
    <row r="916" spans="1:1" x14ac:dyDescent="0.3">
      <c r="A916" t="s">
        <v>0</v>
      </c>
    </row>
    <row r="917" spans="1:1" x14ac:dyDescent="0.3">
      <c r="A917" t="s">
        <v>0</v>
      </c>
    </row>
    <row r="918" spans="1:1" x14ac:dyDescent="0.3">
      <c r="A918" t="s">
        <v>0</v>
      </c>
    </row>
    <row r="919" spans="1:1" x14ac:dyDescent="0.3">
      <c r="A919" t="s">
        <v>0</v>
      </c>
    </row>
    <row r="920" spans="1:1" x14ac:dyDescent="0.3">
      <c r="A920" t="s">
        <v>0</v>
      </c>
    </row>
    <row r="921" spans="1:1" x14ac:dyDescent="0.3">
      <c r="A921" t="s">
        <v>0</v>
      </c>
    </row>
    <row r="922" spans="1:1" x14ac:dyDescent="0.3">
      <c r="A922" t="s">
        <v>0</v>
      </c>
    </row>
    <row r="923" spans="1:1" x14ac:dyDescent="0.3">
      <c r="A923" t="s">
        <v>0</v>
      </c>
    </row>
    <row r="924" spans="1:1" x14ac:dyDescent="0.3">
      <c r="A924" t="s">
        <v>0</v>
      </c>
    </row>
    <row r="925" spans="1:1" x14ac:dyDescent="0.3">
      <c r="A925" t="s">
        <v>0</v>
      </c>
    </row>
    <row r="926" spans="1:1" x14ac:dyDescent="0.3">
      <c r="A926" t="s">
        <v>0</v>
      </c>
    </row>
    <row r="927" spans="1:1" x14ac:dyDescent="0.3">
      <c r="A927" t="s">
        <v>0</v>
      </c>
    </row>
    <row r="928" spans="1:1" x14ac:dyDescent="0.3">
      <c r="A928" t="s">
        <v>0</v>
      </c>
    </row>
    <row r="929" spans="1:1" x14ac:dyDescent="0.3">
      <c r="A929" t="s">
        <v>0</v>
      </c>
    </row>
    <row r="930" spans="1:1" x14ac:dyDescent="0.3">
      <c r="A930" t="s">
        <v>0</v>
      </c>
    </row>
    <row r="931" spans="1:1" x14ac:dyDescent="0.3">
      <c r="A931" t="s">
        <v>0</v>
      </c>
    </row>
    <row r="932" spans="1:1" x14ac:dyDescent="0.3">
      <c r="A932" t="s">
        <v>0</v>
      </c>
    </row>
    <row r="933" spans="1:1" x14ac:dyDescent="0.3">
      <c r="A933" t="s">
        <v>0</v>
      </c>
    </row>
    <row r="934" spans="1:1" x14ac:dyDescent="0.3">
      <c r="A934" t="s">
        <v>0</v>
      </c>
    </row>
    <row r="935" spans="1:1" x14ac:dyDescent="0.3">
      <c r="A935" t="s">
        <v>0</v>
      </c>
    </row>
    <row r="936" spans="1:1" x14ac:dyDescent="0.3">
      <c r="A936" t="s">
        <v>0</v>
      </c>
    </row>
    <row r="937" spans="1:1" x14ac:dyDescent="0.3">
      <c r="A937" t="s">
        <v>0</v>
      </c>
    </row>
    <row r="938" spans="1:1" x14ac:dyDescent="0.3">
      <c r="A938" t="s">
        <v>0</v>
      </c>
    </row>
    <row r="939" spans="1:1" x14ac:dyDescent="0.3">
      <c r="A939" t="s">
        <v>0</v>
      </c>
    </row>
    <row r="940" spans="1:1" x14ac:dyDescent="0.3">
      <c r="A940" t="s">
        <v>0</v>
      </c>
    </row>
    <row r="941" spans="1:1" x14ac:dyDescent="0.3">
      <c r="A941" t="s">
        <v>0</v>
      </c>
    </row>
    <row r="942" spans="1:1" x14ac:dyDescent="0.3">
      <c r="A942" t="s">
        <v>0</v>
      </c>
    </row>
    <row r="943" spans="1:1" x14ac:dyDescent="0.3">
      <c r="A943" t="s">
        <v>0</v>
      </c>
    </row>
    <row r="944" spans="1:1" x14ac:dyDescent="0.3">
      <c r="A944" t="s">
        <v>0</v>
      </c>
    </row>
    <row r="945" spans="1:1" x14ac:dyDescent="0.3">
      <c r="A945" t="s">
        <v>0</v>
      </c>
    </row>
    <row r="946" spans="1:1" x14ac:dyDescent="0.3">
      <c r="A946" t="s">
        <v>0</v>
      </c>
    </row>
    <row r="947" spans="1:1" x14ac:dyDescent="0.3">
      <c r="A947" t="s">
        <v>0</v>
      </c>
    </row>
    <row r="948" spans="1:1" x14ac:dyDescent="0.3">
      <c r="A948" t="s">
        <v>0</v>
      </c>
    </row>
    <row r="949" spans="1:1" x14ac:dyDescent="0.3">
      <c r="A949" t="s">
        <v>0</v>
      </c>
    </row>
    <row r="950" spans="1:1" x14ac:dyDescent="0.3">
      <c r="A950" t="s">
        <v>0</v>
      </c>
    </row>
    <row r="951" spans="1:1" x14ac:dyDescent="0.3">
      <c r="A951" t="s">
        <v>0</v>
      </c>
    </row>
    <row r="952" spans="1:1" x14ac:dyDescent="0.3">
      <c r="A952" t="s">
        <v>0</v>
      </c>
    </row>
    <row r="953" spans="1:1" x14ac:dyDescent="0.3">
      <c r="A953" t="s">
        <v>0</v>
      </c>
    </row>
    <row r="954" spans="1:1" x14ac:dyDescent="0.3">
      <c r="A954" t="s">
        <v>0</v>
      </c>
    </row>
    <row r="955" spans="1:1" x14ac:dyDescent="0.3">
      <c r="A955" t="s">
        <v>0</v>
      </c>
    </row>
    <row r="956" spans="1:1" x14ac:dyDescent="0.3">
      <c r="A956" t="s">
        <v>0</v>
      </c>
    </row>
    <row r="957" spans="1:1" x14ac:dyDescent="0.3">
      <c r="A957" t="s">
        <v>0</v>
      </c>
    </row>
    <row r="958" spans="1:1" x14ac:dyDescent="0.3">
      <c r="A958" t="s">
        <v>0</v>
      </c>
    </row>
    <row r="959" spans="1:1" x14ac:dyDescent="0.3">
      <c r="A959" t="s">
        <v>0</v>
      </c>
    </row>
    <row r="960" spans="1:1" x14ac:dyDescent="0.3">
      <c r="A960" t="s">
        <v>0</v>
      </c>
    </row>
    <row r="961" spans="1:1" x14ac:dyDescent="0.3">
      <c r="A961" t="s">
        <v>0</v>
      </c>
    </row>
    <row r="962" spans="1:1" x14ac:dyDescent="0.3">
      <c r="A962" t="s">
        <v>0</v>
      </c>
    </row>
    <row r="963" spans="1:1" x14ac:dyDescent="0.3">
      <c r="A963" t="s">
        <v>0</v>
      </c>
    </row>
    <row r="964" spans="1:1" x14ac:dyDescent="0.3">
      <c r="A964" t="s">
        <v>0</v>
      </c>
    </row>
    <row r="965" spans="1:1" x14ac:dyDescent="0.3">
      <c r="A965" t="s">
        <v>0</v>
      </c>
    </row>
    <row r="966" spans="1:1" x14ac:dyDescent="0.3">
      <c r="A966" t="s">
        <v>0</v>
      </c>
    </row>
    <row r="967" spans="1:1" x14ac:dyDescent="0.3">
      <c r="A967" t="s">
        <v>0</v>
      </c>
    </row>
    <row r="968" spans="1:1" x14ac:dyDescent="0.3">
      <c r="A968" t="s">
        <v>0</v>
      </c>
    </row>
    <row r="969" spans="1:1" x14ac:dyDescent="0.3">
      <c r="A969" t="s">
        <v>0</v>
      </c>
    </row>
    <row r="970" spans="1:1" x14ac:dyDescent="0.3">
      <c r="A970" t="s">
        <v>0</v>
      </c>
    </row>
    <row r="971" spans="1:1" x14ac:dyDescent="0.3">
      <c r="A971" t="s">
        <v>0</v>
      </c>
    </row>
    <row r="972" spans="1:1" x14ac:dyDescent="0.3">
      <c r="A972" t="s">
        <v>0</v>
      </c>
    </row>
    <row r="973" spans="1:1" x14ac:dyDescent="0.3">
      <c r="A973" t="s">
        <v>0</v>
      </c>
    </row>
    <row r="974" spans="1:1" x14ac:dyDescent="0.3">
      <c r="A974" t="s">
        <v>0</v>
      </c>
    </row>
    <row r="975" spans="1:1" x14ac:dyDescent="0.3">
      <c r="A975" t="s">
        <v>0</v>
      </c>
    </row>
    <row r="976" spans="1:1" x14ac:dyDescent="0.3">
      <c r="A976" t="s">
        <v>0</v>
      </c>
    </row>
    <row r="977" spans="1:1" x14ac:dyDescent="0.3">
      <c r="A977" t="s">
        <v>0</v>
      </c>
    </row>
    <row r="978" spans="1:1" x14ac:dyDescent="0.3">
      <c r="A978" t="s">
        <v>0</v>
      </c>
    </row>
    <row r="979" spans="1:1" x14ac:dyDescent="0.3">
      <c r="A979" t="s">
        <v>0</v>
      </c>
    </row>
    <row r="980" spans="1:1" x14ac:dyDescent="0.3">
      <c r="A980" t="s">
        <v>0</v>
      </c>
    </row>
    <row r="981" spans="1:1" x14ac:dyDescent="0.3">
      <c r="A981" t="s">
        <v>0</v>
      </c>
    </row>
    <row r="982" spans="1:1" x14ac:dyDescent="0.3">
      <c r="A982" t="s">
        <v>0</v>
      </c>
    </row>
    <row r="983" spans="1:1" x14ac:dyDescent="0.3">
      <c r="A983" t="s">
        <v>0</v>
      </c>
    </row>
    <row r="984" spans="1:1" x14ac:dyDescent="0.3">
      <c r="A984" t="s">
        <v>0</v>
      </c>
    </row>
    <row r="985" spans="1:1" x14ac:dyDescent="0.3">
      <c r="A985" t="s">
        <v>0</v>
      </c>
    </row>
    <row r="986" spans="1:1" x14ac:dyDescent="0.3">
      <c r="A986" t="s">
        <v>0</v>
      </c>
    </row>
    <row r="987" spans="1:1" x14ac:dyDescent="0.3">
      <c r="A987" t="s">
        <v>0</v>
      </c>
    </row>
    <row r="988" spans="1:1" x14ac:dyDescent="0.3">
      <c r="A988" t="s">
        <v>0</v>
      </c>
    </row>
    <row r="989" spans="1:1" x14ac:dyDescent="0.3">
      <c r="A989" t="s">
        <v>0</v>
      </c>
    </row>
    <row r="990" spans="1:1" x14ac:dyDescent="0.3">
      <c r="A990" t="s">
        <v>0</v>
      </c>
    </row>
    <row r="991" spans="1:1" x14ac:dyDescent="0.3">
      <c r="A991" t="s">
        <v>0</v>
      </c>
    </row>
    <row r="992" spans="1:1" x14ac:dyDescent="0.3">
      <c r="A992" t="s">
        <v>0</v>
      </c>
    </row>
    <row r="993" spans="1:1" x14ac:dyDescent="0.3">
      <c r="A993" t="s">
        <v>0</v>
      </c>
    </row>
    <row r="994" spans="1:1" x14ac:dyDescent="0.3">
      <c r="A994" t="s">
        <v>0</v>
      </c>
    </row>
    <row r="995" spans="1:1" x14ac:dyDescent="0.3">
      <c r="A995" t="s">
        <v>0</v>
      </c>
    </row>
    <row r="996" spans="1:1" x14ac:dyDescent="0.3">
      <c r="A996" t="s">
        <v>0</v>
      </c>
    </row>
    <row r="997" spans="1:1" x14ac:dyDescent="0.3">
      <c r="A997" t="s">
        <v>0</v>
      </c>
    </row>
    <row r="998" spans="1:1" x14ac:dyDescent="0.3">
      <c r="A998" t="s">
        <v>0</v>
      </c>
    </row>
    <row r="999" spans="1:1" x14ac:dyDescent="0.3">
      <c r="A999" t="s">
        <v>0</v>
      </c>
    </row>
    <row r="1000" spans="1:1" x14ac:dyDescent="0.3">
      <c r="A1000" t="s">
        <v>0</v>
      </c>
    </row>
    <row r="1001" spans="1:1" x14ac:dyDescent="0.3">
      <c r="A1001" t="s">
        <v>0</v>
      </c>
    </row>
    <row r="1002" spans="1:1" x14ac:dyDescent="0.3">
      <c r="A1002" t="s">
        <v>0</v>
      </c>
    </row>
    <row r="1003" spans="1:1" x14ac:dyDescent="0.3">
      <c r="A1003" t="s">
        <v>0</v>
      </c>
    </row>
    <row r="1004" spans="1:1" x14ac:dyDescent="0.3">
      <c r="A1004" t="s">
        <v>0</v>
      </c>
    </row>
    <row r="1005" spans="1:1" x14ac:dyDescent="0.3">
      <c r="A1005" t="s">
        <v>0</v>
      </c>
    </row>
    <row r="1006" spans="1:1" x14ac:dyDescent="0.3">
      <c r="A1006" t="s">
        <v>0</v>
      </c>
    </row>
    <row r="1007" spans="1:1" x14ac:dyDescent="0.3">
      <c r="A1007" t="s">
        <v>0</v>
      </c>
    </row>
    <row r="1008" spans="1:1" x14ac:dyDescent="0.3">
      <c r="A1008" t="s">
        <v>0</v>
      </c>
    </row>
    <row r="1009" spans="1:1" x14ac:dyDescent="0.3">
      <c r="A1009" t="s">
        <v>0</v>
      </c>
    </row>
    <row r="1010" spans="1:1" x14ac:dyDescent="0.3">
      <c r="A1010" t="s">
        <v>0</v>
      </c>
    </row>
    <row r="1011" spans="1:1" x14ac:dyDescent="0.3">
      <c r="A1011" t="s">
        <v>0</v>
      </c>
    </row>
    <row r="1012" spans="1:1" x14ac:dyDescent="0.3">
      <c r="A1012" t="s">
        <v>0</v>
      </c>
    </row>
    <row r="1013" spans="1:1" x14ac:dyDescent="0.3">
      <c r="A1013" t="s">
        <v>0</v>
      </c>
    </row>
    <row r="1014" spans="1:1" x14ac:dyDescent="0.3">
      <c r="A1014" t="s">
        <v>0</v>
      </c>
    </row>
    <row r="1015" spans="1:1" x14ac:dyDescent="0.3">
      <c r="A1015" t="s">
        <v>0</v>
      </c>
    </row>
    <row r="1016" spans="1:1" x14ac:dyDescent="0.3">
      <c r="A1016" t="s">
        <v>0</v>
      </c>
    </row>
    <row r="1017" spans="1:1" x14ac:dyDescent="0.3">
      <c r="A1017" t="s">
        <v>0</v>
      </c>
    </row>
    <row r="1018" spans="1:1" x14ac:dyDescent="0.3">
      <c r="A1018" t="s">
        <v>0</v>
      </c>
    </row>
    <row r="1019" spans="1:1" x14ac:dyDescent="0.3">
      <c r="A1019" t="s">
        <v>0</v>
      </c>
    </row>
    <row r="1020" spans="1:1" x14ac:dyDescent="0.3">
      <c r="A1020" t="s">
        <v>0</v>
      </c>
    </row>
    <row r="1021" spans="1:1" x14ac:dyDescent="0.3">
      <c r="A1021" t="s">
        <v>0</v>
      </c>
    </row>
    <row r="1022" spans="1:1" x14ac:dyDescent="0.3">
      <c r="A1022" t="s">
        <v>0</v>
      </c>
    </row>
    <row r="1023" spans="1:1" x14ac:dyDescent="0.3">
      <c r="A1023" t="s">
        <v>0</v>
      </c>
    </row>
    <row r="1024" spans="1:1" x14ac:dyDescent="0.3">
      <c r="A1024" t="s">
        <v>0</v>
      </c>
    </row>
    <row r="1025" spans="1:1" x14ac:dyDescent="0.3">
      <c r="A1025" t="s">
        <v>0</v>
      </c>
    </row>
    <row r="1026" spans="1:1" x14ac:dyDescent="0.3">
      <c r="A1026" t="s">
        <v>0</v>
      </c>
    </row>
    <row r="1027" spans="1:1" x14ac:dyDescent="0.3">
      <c r="A1027" t="s">
        <v>0</v>
      </c>
    </row>
    <row r="1028" spans="1:1" x14ac:dyDescent="0.3">
      <c r="A1028" t="s">
        <v>0</v>
      </c>
    </row>
    <row r="1029" spans="1:1" x14ac:dyDescent="0.3">
      <c r="A1029" t="s">
        <v>0</v>
      </c>
    </row>
    <row r="1030" spans="1:1" x14ac:dyDescent="0.3">
      <c r="A1030" t="s">
        <v>0</v>
      </c>
    </row>
    <row r="1031" spans="1:1" x14ac:dyDescent="0.3">
      <c r="A1031" t="s">
        <v>0</v>
      </c>
    </row>
    <row r="1032" spans="1:1" x14ac:dyDescent="0.3">
      <c r="A1032" t="s">
        <v>0</v>
      </c>
    </row>
    <row r="1033" spans="1:1" x14ac:dyDescent="0.3">
      <c r="A1033" t="s">
        <v>0</v>
      </c>
    </row>
    <row r="1034" spans="1:1" x14ac:dyDescent="0.3">
      <c r="A1034" t="s">
        <v>0</v>
      </c>
    </row>
    <row r="1035" spans="1:1" x14ac:dyDescent="0.3">
      <c r="A1035" t="s">
        <v>0</v>
      </c>
    </row>
    <row r="1036" spans="1:1" x14ac:dyDescent="0.3">
      <c r="A1036" t="s">
        <v>0</v>
      </c>
    </row>
    <row r="1037" spans="1:1" x14ac:dyDescent="0.3">
      <c r="A1037" t="s">
        <v>0</v>
      </c>
    </row>
    <row r="1038" spans="1:1" x14ac:dyDescent="0.3">
      <c r="A1038" t="s">
        <v>0</v>
      </c>
    </row>
    <row r="1039" spans="1:1" x14ac:dyDescent="0.3">
      <c r="A1039" t="s">
        <v>0</v>
      </c>
    </row>
    <row r="1040" spans="1:1" x14ac:dyDescent="0.3">
      <c r="A1040" t="s">
        <v>0</v>
      </c>
    </row>
    <row r="1041" spans="1:1" x14ac:dyDescent="0.3">
      <c r="A1041" t="s">
        <v>0</v>
      </c>
    </row>
    <row r="1042" spans="1:1" x14ac:dyDescent="0.3">
      <c r="A1042" t="s">
        <v>0</v>
      </c>
    </row>
    <row r="1043" spans="1:1" x14ac:dyDescent="0.3">
      <c r="A1043" t="s">
        <v>0</v>
      </c>
    </row>
    <row r="1044" spans="1:1" x14ac:dyDescent="0.3">
      <c r="A1044" t="s">
        <v>0</v>
      </c>
    </row>
    <row r="1045" spans="1:1" x14ac:dyDescent="0.3">
      <c r="A1045" t="s">
        <v>0</v>
      </c>
    </row>
    <row r="1046" spans="1:1" x14ac:dyDescent="0.3">
      <c r="A1046" t="s">
        <v>0</v>
      </c>
    </row>
    <row r="1047" spans="1:1" x14ac:dyDescent="0.3">
      <c r="A1047" t="s">
        <v>0</v>
      </c>
    </row>
    <row r="1048" spans="1:1" x14ac:dyDescent="0.3">
      <c r="A1048" t="s">
        <v>0</v>
      </c>
    </row>
    <row r="1049" spans="1:1" x14ac:dyDescent="0.3">
      <c r="A1049" t="s">
        <v>0</v>
      </c>
    </row>
    <row r="1050" spans="1:1" x14ac:dyDescent="0.3">
      <c r="A1050" t="s">
        <v>0</v>
      </c>
    </row>
    <row r="1051" spans="1:1" x14ac:dyDescent="0.3">
      <c r="A1051" t="s">
        <v>0</v>
      </c>
    </row>
    <row r="1052" spans="1:1" x14ac:dyDescent="0.3">
      <c r="A1052" t="s">
        <v>0</v>
      </c>
    </row>
    <row r="1053" spans="1:1" x14ac:dyDescent="0.3">
      <c r="A1053" t="s">
        <v>0</v>
      </c>
    </row>
    <row r="1054" spans="1:1" x14ac:dyDescent="0.3">
      <c r="A1054" t="s">
        <v>0</v>
      </c>
    </row>
    <row r="1055" spans="1:1" x14ac:dyDescent="0.3">
      <c r="A1055" t="s">
        <v>0</v>
      </c>
    </row>
    <row r="1056" spans="1:1" x14ac:dyDescent="0.3">
      <c r="A1056" t="s">
        <v>0</v>
      </c>
    </row>
    <row r="1057" spans="1:1" x14ac:dyDescent="0.3">
      <c r="A1057" t="s">
        <v>0</v>
      </c>
    </row>
    <row r="1058" spans="1:1" x14ac:dyDescent="0.3">
      <c r="A1058" t="s">
        <v>0</v>
      </c>
    </row>
    <row r="1059" spans="1:1" x14ac:dyDescent="0.3">
      <c r="A1059" t="s">
        <v>0</v>
      </c>
    </row>
    <row r="1060" spans="1:1" x14ac:dyDescent="0.3">
      <c r="A1060" t="s">
        <v>0</v>
      </c>
    </row>
    <row r="1061" spans="1:1" x14ac:dyDescent="0.3">
      <c r="A1061" t="s">
        <v>0</v>
      </c>
    </row>
    <row r="1062" spans="1:1" x14ac:dyDescent="0.3">
      <c r="A1062" t="s">
        <v>0</v>
      </c>
    </row>
    <row r="1063" spans="1:1" x14ac:dyDescent="0.3">
      <c r="A1063" t="s">
        <v>0</v>
      </c>
    </row>
    <row r="1064" spans="1:1" x14ac:dyDescent="0.3">
      <c r="A1064" t="s">
        <v>0</v>
      </c>
    </row>
    <row r="1065" spans="1:1" x14ac:dyDescent="0.3">
      <c r="A1065" t="s">
        <v>0</v>
      </c>
    </row>
    <row r="1066" spans="1:1" x14ac:dyDescent="0.3">
      <c r="A1066" t="s">
        <v>0</v>
      </c>
    </row>
    <row r="1067" spans="1:1" x14ac:dyDescent="0.3">
      <c r="A1067" t="s">
        <v>0</v>
      </c>
    </row>
    <row r="1068" spans="1:1" x14ac:dyDescent="0.3">
      <c r="A1068" t="s">
        <v>0</v>
      </c>
    </row>
    <row r="1069" spans="1:1" x14ac:dyDescent="0.3">
      <c r="A1069" t="s">
        <v>0</v>
      </c>
    </row>
    <row r="1070" spans="1:1" x14ac:dyDescent="0.3">
      <c r="A1070" t="s">
        <v>0</v>
      </c>
    </row>
    <row r="1071" spans="1:1" x14ac:dyDescent="0.3">
      <c r="A1071" t="s">
        <v>0</v>
      </c>
    </row>
    <row r="1072" spans="1:1" x14ac:dyDescent="0.3">
      <c r="A1072" t="s">
        <v>0</v>
      </c>
    </row>
    <row r="1073" spans="1:1" x14ac:dyDescent="0.3">
      <c r="A1073" t="s">
        <v>0</v>
      </c>
    </row>
    <row r="1074" spans="1:1" x14ac:dyDescent="0.3">
      <c r="A1074" t="s">
        <v>0</v>
      </c>
    </row>
    <row r="1075" spans="1:1" x14ac:dyDescent="0.3">
      <c r="A1075" t="s">
        <v>0</v>
      </c>
    </row>
    <row r="1076" spans="1:1" x14ac:dyDescent="0.3">
      <c r="A1076" t="s">
        <v>0</v>
      </c>
    </row>
    <row r="1077" spans="1:1" x14ac:dyDescent="0.3">
      <c r="A1077" t="s">
        <v>0</v>
      </c>
    </row>
    <row r="1078" spans="1:1" x14ac:dyDescent="0.3">
      <c r="A1078" t="s">
        <v>0</v>
      </c>
    </row>
    <row r="1079" spans="1:1" x14ac:dyDescent="0.3">
      <c r="A1079" t="s">
        <v>0</v>
      </c>
    </row>
    <row r="1080" spans="1:1" x14ac:dyDescent="0.3">
      <c r="A1080" t="s">
        <v>0</v>
      </c>
    </row>
    <row r="1081" spans="1:1" x14ac:dyDescent="0.3">
      <c r="A1081" t="s">
        <v>0</v>
      </c>
    </row>
    <row r="1082" spans="1:1" x14ac:dyDescent="0.3">
      <c r="A1082" t="s">
        <v>0</v>
      </c>
    </row>
    <row r="1083" spans="1:1" x14ac:dyDescent="0.3">
      <c r="A1083" t="s">
        <v>0</v>
      </c>
    </row>
    <row r="1084" spans="1:1" x14ac:dyDescent="0.3">
      <c r="A1084" t="s">
        <v>0</v>
      </c>
    </row>
    <row r="1085" spans="1:1" x14ac:dyDescent="0.3">
      <c r="A1085" t="s">
        <v>0</v>
      </c>
    </row>
    <row r="1086" spans="1:1" x14ac:dyDescent="0.3">
      <c r="A1086" t="s">
        <v>0</v>
      </c>
    </row>
    <row r="1087" spans="1:1" x14ac:dyDescent="0.3">
      <c r="A1087" t="s">
        <v>0</v>
      </c>
    </row>
    <row r="1088" spans="1:1" x14ac:dyDescent="0.3">
      <c r="A1088" t="s">
        <v>0</v>
      </c>
    </row>
    <row r="1089" spans="1:1" x14ac:dyDescent="0.3">
      <c r="A1089" t="s">
        <v>0</v>
      </c>
    </row>
    <row r="1090" spans="1:1" x14ac:dyDescent="0.3">
      <c r="A1090" t="s">
        <v>0</v>
      </c>
    </row>
    <row r="1091" spans="1:1" x14ac:dyDescent="0.3">
      <c r="A1091" t="s">
        <v>0</v>
      </c>
    </row>
    <row r="1092" spans="1:1" x14ac:dyDescent="0.3">
      <c r="A1092" t="s">
        <v>0</v>
      </c>
    </row>
    <row r="1093" spans="1:1" x14ac:dyDescent="0.3">
      <c r="A1093" t="s">
        <v>0</v>
      </c>
    </row>
    <row r="1094" spans="1:1" x14ac:dyDescent="0.3">
      <c r="A1094" t="s">
        <v>0</v>
      </c>
    </row>
    <row r="1095" spans="1:1" x14ac:dyDescent="0.3">
      <c r="A1095" t="s">
        <v>0</v>
      </c>
    </row>
    <row r="1096" spans="1:1" x14ac:dyDescent="0.3">
      <c r="A1096" t="s">
        <v>0</v>
      </c>
    </row>
    <row r="1097" spans="1:1" x14ac:dyDescent="0.3">
      <c r="A1097" t="s">
        <v>0</v>
      </c>
    </row>
    <row r="1098" spans="1:1" x14ac:dyDescent="0.3">
      <c r="A1098" t="s">
        <v>0</v>
      </c>
    </row>
    <row r="1099" spans="1:1" x14ac:dyDescent="0.3">
      <c r="A1099" t="s">
        <v>0</v>
      </c>
    </row>
    <row r="1100" spans="1:1" x14ac:dyDescent="0.3">
      <c r="A1100" t="s">
        <v>0</v>
      </c>
    </row>
    <row r="1101" spans="1:1" x14ac:dyDescent="0.3">
      <c r="A1101" t="s">
        <v>0</v>
      </c>
    </row>
    <row r="1102" spans="1:1" x14ac:dyDescent="0.3">
      <c r="A1102" t="s">
        <v>0</v>
      </c>
    </row>
    <row r="1103" spans="1:1" x14ac:dyDescent="0.3">
      <c r="A1103" t="s">
        <v>0</v>
      </c>
    </row>
    <row r="1104" spans="1:1" x14ac:dyDescent="0.3">
      <c r="A1104" t="s">
        <v>0</v>
      </c>
    </row>
    <row r="1105" spans="1:1" x14ac:dyDescent="0.3">
      <c r="A1105" t="s">
        <v>0</v>
      </c>
    </row>
    <row r="1106" spans="1:1" x14ac:dyDescent="0.3">
      <c r="A1106" t="s">
        <v>0</v>
      </c>
    </row>
    <row r="1107" spans="1:1" x14ac:dyDescent="0.3">
      <c r="A1107" t="s">
        <v>0</v>
      </c>
    </row>
    <row r="1108" spans="1:1" x14ac:dyDescent="0.3">
      <c r="A1108" t="s">
        <v>0</v>
      </c>
    </row>
    <row r="1109" spans="1:1" x14ac:dyDescent="0.3">
      <c r="A1109" t="s">
        <v>0</v>
      </c>
    </row>
    <row r="1110" spans="1:1" x14ac:dyDescent="0.3">
      <c r="A1110" t="s">
        <v>0</v>
      </c>
    </row>
    <row r="1111" spans="1:1" x14ac:dyDescent="0.3">
      <c r="A1111" t="s">
        <v>0</v>
      </c>
    </row>
    <row r="1112" spans="1:1" x14ac:dyDescent="0.3">
      <c r="A1112" t="s">
        <v>0</v>
      </c>
    </row>
    <row r="1113" spans="1:1" x14ac:dyDescent="0.3">
      <c r="A1113" t="s">
        <v>0</v>
      </c>
    </row>
    <row r="1114" spans="1:1" x14ac:dyDescent="0.3">
      <c r="A1114" t="s">
        <v>0</v>
      </c>
    </row>
    <row r="1115" spans="1:1" x14ac:dyDescent="0.3">
      <c r="A1115" t="s">
        <v>0</v>
      </c>
    </row>
    <row r="1116" spans="1:1" x14ac:dyDescent="0.3">
      <c r="A1116" t="s">
        <v>0</v>
      </c>
    </row>
    <row r="1117" spans="1:1" x14ac:dyDescent="0.3">
      <c r="A1117" t="s">
        <v>0</v>
      </c>
    </row>
    <row r="1118" spans="1:1" x14ac:dyDescent="0.3">
      <c r="A1118" t="s">
        <v>0</v>
      </c>
    </row>
    <row r="1119" spans="1:1" x14ac:dyDescent="0.3">
      <c r="A1119" t="s">
        <v>0</v>
      </c>
    </row>
    <row r="1120" spans="1:1" x14ac:dyDescent="0.3">
      <c r="A1120" t="s">
        <v>0</v>
      </c>
    </row>
    <row r="1121" spans="1:1" x14ac:dyDescent="0.3">
      <c r="A1121" t="s">
        <v>0</v>
      </c>
    </row>
    <row r="1122" spans="1:1" x14ac:dyDescent="0.3">
      <c r="A1122" t="s">
        <v>0</v>
      </c>
    </row>
    <row r="1123" spans="1:1" x14ac:dyDescent="0.3">
      <c r="A1123" t="s">
        <v>0</v>
      </c>
    </row>
    <row r="1124" spans="1:1" x14ac:dyDescent="0.3">
      <c r="A1124" t="s">
        <v>0</v>
      </c>
    </row>
    <row r="1125" spans="1:1" x14ac:dyDescent="0.3">
      <c r="A1125" t="s">
        <v>0</v>
      </c>
    </row>
    <row r="1126" spans="1:1" x14ac:dyDescent="0.3">
      <c r="A1126" t="s">
        <v>0</v>
      </c>
    </row>
    <row r="1127" spans="1:1" x14ac:dyDescent="0.3">
      <c r="A1127" t="s">
        <v>0</v>
      </c>
    </row>
    <row r="1128" spans="1:1" x14ac:dyDescent="0.3">
      <c r="A1128" t="s">
        <v>0</v>
      </c>
    </row>
    <row r="1129" spans="1:1" x14ac:dyDescent="0.3">
      <c r="A1129" t="s">
        <v>0</v>
      </c>
    </row>
    <row r="1130" spans="1:1" x14ac:dyDescent="0.3">
      <c r="A1130" t="s">
        <v>0</v>
      </c>
    </row>
    <row r="1131" spans="1:1" x14ac:dyDescent="0.3">
      <c r="A1131" t="s">
        <v>0</v>
      </c>
    </row>
    <row r="1132" spans="1:1" x14ac:dyDescent="0.3">
      <c r="A1132" t="s">
        <v>0</v>
      </c>
    </row>
    <row r="1133" spans="1:1" x14ac:dyDescent="0.3">
      <c r="A1133" t="s">
        <v>0</v>
      </c>
    </row>
    <row r="1134" spans="1:1" x14ac:dyDescent="0.3">
      <c r="A1134" t="s">
        <v>0</v>
      </c>
    </row>
    <row r="1135" spans="1:1" x14ac:dyDescent="0.3">
      <c r="A1135" t="s">
        <v>0</v>
      </c>
    </row>
    <row r="1136" spans="1:1" x14ac:dyDescent="0.3">
      <c r="A1136" t="s">
        <v>0</v>
      </c>
    </row>
    <row r="1137" spans="1:1" x14ac:dyDescent="0.3">
      <c r="A1137" t="s">
        <v>0</v>
      </c>
    </row>
    <row r="1138" spans="1:1" x14ac:dyDescent="0.3">
      <c r="A1138" t="s">
        <v>0</v>
      </c>
    </row>
    <row r="1139" spans="1:1" x14ac:dyDescent="0.3">
      <c r="A1139" t="s">
        <v>0</v>
      </c>
    </row>
    <row r="1140" spans="1:1" x14ac:dyDescent="0.3">
      <c r="A1140" t="s">
        <v>0</v>
      </c>
    </row>
    <row r="1141" spans="1:1" x14ac:dyDescent="0.3">
      <c r="A1141" t="s">
        <v>0</v>
      </c>
    </row>
    <row r="1142" spans="1:1" x14ac:dyDescent="0.3">
      <c r="A1142" t="s">
        <v>0</v>
      </c>
    </row>
    <row r="1143" spans="1:1" x14ac:dyDescent="0.3">
      <c r="A1143" t="s">
        <v>0</v>
      </c>
    </row>
    <row r="1144" spans="1:1" x14ac:dyDescent="0.3">
      <c r="A1144" t="s">
        <v>0</v>
      </c>
    </row>
    <row r="1145" spans="1:1" x14ac:dyDescent="0.3">
      <c r="A1145" t="s">
        <v>0</v>
      </c>
    </row>
    <row r="1146" spans="1:1" x14ac:dyDescent="0.3">
      <c r="A1146" t="s">
        <v>0</v>
      </c>
    </row>
    <row r="1147" spans="1:1" x14ac:dyDescent="0.3">
      <c r="A1147" t="s">
        <v>0</v>
      </c>
    </row>
    <row r="1148" spans="1:1" x14ac:dyDescent="0.3">
      <c r="A1148" t="s">
        <v>0</v>
      </c>
    </row>
    <row r="1149" spans="1:1" x14ac:dyDescent="0.3">
      <c r="A1149" t="s">
        <v>0</v>
      </c>
    </row>
    <row r="1150" spans="1:1" x14ac:dyDescent="0.3">
      <c r="A1150" t="s">
        <v>0</v>
      </c>
    </row>
    <row r="1151" spans="1:1" x14ac:dyDescent="0.3">
      <c r="A1151" t="s">
        <v>0</v>
      </c>
    </row>
    <row r="1152" spans="1:1" x14ac:dyDescent="0.3">
      <c r="A1152" t="s">
        <v>0</v>
      </c>
    </row>
    <row r="1153" spans="1:1" x14ac:dyDescent="0.3">
      <c r="A1153" t="s">
        <v>0</v>
      </c>
    </row>
    <row r="1154" spans="1:1" x14ac:dyDescent="0.3">
      <c r="A1154" t="s">
        <v>0</v>
      </c>
    </row>
    <row r="1155" spans="1:1" x14ac:dyDescent="0.3">
      <c r="A1155" t="s">
        <v>0</v>
      </c>
    </row>
    <row r="1156" spans="1:1" x14ac:dyDescent="0.3">
      <c r="A1156" t="s">
        <v>0</v>
      </c>
    </row>
    <row r="1157" spans="1:1" x14ac:dyDescent="0.3">
      <c r="A1157" t="s">
        <v>0</v>
      </c>
    </row>
    <row r="1158" spans="1:1" x14ac:dyDescent="0.3">
      <c r="A1158" t="s">
        <v>0</v>
      </c>
    </row>
    <row r="1159" spans="1:1" x14ac:dyDescent="0.3">
      <c r="A1159" t="s">
        <v>0</v>
      </c>
    </row>
    <row r="1160" spans="1:1" x14ac:dyDescent="0.3">
      <c r="A1160" t="s">
        <v>0</v>
      </c>
    </row>
    <row r="1161" spans="1:1" x14ac:dyDescent="0.3">
      <c r="A1161" t="s">
        <v>0</v>
      </c>
    </row>
    <row r="1162" spans="1:1" x14ac:dyDescent="0.3">
      <c r="A1162" t="s">
        <v>0</v>
      </c>
    </row>
    <row r="1163" spans="1:1" x14ac:dyDescent="0.3">
      <c r="A1163" t="s">
        <v>0</v>
      </c>
    </row>
    <row r="1164" spans="1:1" x14ac:dyDescent="0.3">
      <c r="A1164" t="s">
        <v>0</v>
      </c>
    </row>
    <row r="1165" spans="1:1" x14ac:dyDescent="0.3">
      <c r="A1165" t="s">
        <v>0</v>
      </c>
    </row>
    <row r="1166" spans="1:1" x14ac:dyDescent="0.3">
      <c r="A1166" t="s">
        <v>0</v>
      </c>
    </row>
    <row r="1167" spans="1:1" x14ac:dyDescent="0.3">
      <c r="A1167" t="s">
        <v>0</v>
      </c>
    </row>
    <row r="1168" spans="1:1" x14ac:dyDescent="0.3">
      <c r="A1168" t="s">
        <v>0</v>
      </c>
    </row>
    <row r="1169" spans="1:1" x14ac:dyDescent="0.3">
      <c r="A1169" t="s">
        <v>0</v>
      </c>
    </row>
    <row r="1170" spans="1:1" x14ac:dyDescent="0.3">
      <c r="A1170" t="s">
        <v>0</v>
      </c>
    </row>
    <row r="1171" spans="1:1" x14ac:dyDescent="0.3">
      <c r="A1171" t="s">
        <v>0</v>
      </c>
    </row>
    <row r="1172" spans="1:1" x14ac:dyDescent="0.3">
      <c r="A1172" t="s">
        <v>0</v>
      </c>
    </row>
    <row r="1173" spans="1:1" x14ac:dyDescent="0.3">
      <c r="A1173" t="s">
        <v>0</v>
      </c>
    </row>
    <row r="1174" spans="1:1" x14ac:dyDescent="0.3">
      <c r="A1174" t="s">
        <v>0</v>
      </c>
    </row>
    <row r="1175" spans="1:1" x14ac:dyDescent="0.3">
      <c r="A1175" t="s">
        <v>0</v>
      </c>
    </row>
    <row r="1176" spans="1:1" x14ac:dyDescent="0.3">
      <c r="A1176" t="s">
        <v>0</v>
      </c>
    </row>
    <row r="1177" spans="1:1" x14ac:dyDescent="0.3">
      <c r="A1177" t="s">
        <v>0</v>
      </c>
    </row>
    <row r="1178" spans="1:1" x14ac:dyDescent="0.3">
      <c r="A1178" t="s">
        <v>0</v>
      </c>
    </row>
    <row r="1179" spans="1:1" x14ac:dyDescent="0.3">
      <c r="A1179" t="s">
        <v>0</v>
      </c>
    </row>
    <row r="1180" spans="1:1" x14ac:dyDescent="0.3">
      <c r="A1180" t="s">
        <v>0</v>
      </c>
    </row>
    <row r="1181" spans="1:1" x14ac:dyDescent="0.3">
      <c r="A1181" t="s">
        <v>0</v>
      </c>
    </row>
    <row r="1182" spans="1:1" x14ac:dyDescent="0.3">
      <c r="A1182" t="s">
        <v>0</v>
      </c>
    </row>
    <row r="1183" spans="1:1" x14ac:dyDescent="0.3">
      <c r="A1183" t="s">
        <v>0</v>
      </c>
    </row>
    <row r="1184" spans="1:1" x14ac:dyDescent="0.3">
      <c r="A1184" t="s">
        <v>0</v>
      </c>
    </row>
    <row r="1185" spans="1:1" x14ac:dyDescent="0.3">
      <c r="A1185" t="s">
        <v>0</v>
      </c>
    </row>
    <row r="1186" spans="1:1" x14ac:dyDescent="0.3">
      <c r="A1186" t="s">
        <v>0</v>
      </c>
    </row>
    <row r="1187" spans="1:1" x14ac:dyDescent="0.3">
      <c r="A1187" t="s">
        <v>0</v>
      </c>
    </row>
    <row r="1188" spans="1:1" x14ac:dyDescent="0.3">
      <c r="A1188" t="s">
        <v>0</v>
      </c>
    </row>
    <row r="1189" spans="1:1" x14ac:dyDescent="0.3">
      <c r="A1189" t="s">
        <v>0</v>
      </c>
    </row>
    <row r="1190" spans="1:1" x14ac:dyDescent="0.3">
      <c r="A1190" t="s">
        <v>0</v>
      </c>
    </row>
    <row r="1191" spans="1:1" x14ac:dyDescent="0.3">
      <c r="A1191" t="s">
        <v>0</v>
      </c>
    </row>
    <row r="1192" spans="1:1" x14ac:dyDescent="0.3">
      <c r="A1192" t="s">
        <v>0</v>
      </c>
    </row>
    <row r="1193" spans="1:1" x14ac:dyDescent="0.3">
      <c r="A1193" t="s">
        <v>0</v>
      </c>
    </row>
    <row r="1194" spans="1:1" x14ac:dyDescent="0.3">
      <c r="A1194" t="s">
        <v>0</v>
      </c>
    </row>
    <row r="1195" spans="1:1" x14ac:dyDescent="0.3">
      <c r="A1195" t="s">
        <v>0</v>
      </c>
    </row>
    <row r="1196" spans="1:1" x14ac:dyDescent="0.3">
      <c r="A1196" t="s">
        <v>0</v>
      </c>
    </row>
    <row r="1197" spans="1:1" x14ac:dyDescent="0.3">
      <c r="A1197" t="s">
        <v>0</v>
      </c>
    </row>
    <row r="1198" spans="1:1" x14ac:dyDescent="0.3">
      <c r="A1198" t="s">
        <v>0</v>
      </c>
    </row>
    <row r="1199" spans="1:1" x14ac:dyDescent="0.3">
      <c r="A1199" t="s">
        <v>0</v>
      </c>
    </row>
    <row r="1200" spans="1:1" x14ac:dyDescent="0.3">
      <c r="A1200" t="s">
        <v>0</v>
      </c>
    </row>
    <row r="1201" spans="1:1" x14ac:dyDescent="0.3">
      <c r="A1201" t="s">
        <v>0</v>
      </c>
    </row>
    <row r="1202" spans="1:1" x14ac:dyDescent="0.3">
      <c r="A1202" t="s">
        <v>0</v>
      </c>
    </row>
    <row r="1203" spans="1:1" x14ac:dyDescent="0.3">
      <c r="A1203" t="s">
        <v>0</v>
      </c>
    </row>
    <row r="1204" spans="1:1" x14ac:dyDescent="0.3">
      <c r="A1204" t="s">
        <v>0</v>
      </c>
    </row>
    <row r="1205" spans="1:1" x14ac:dyDescent="0.3">
      <c r="A1205" t="s">
        <v>0</v>
      </c>
    </row>
    <row r="1206" spans="1:1" x14ac:dyDescent="0.3">
      <c r="A1206" t="s">
        <v>0</v>
      </c>
    </row>
    <row r="1207" spans="1:1" x14ac:dyDescent="0.3">
      <c r="A1207" t="s">
        <v>0</v>
      </c>
    </row>
    <row r="1208" spans="1:1" x14ac:dyDescent="0.3">
      <c r="A1208" t="s">
        <v>0</v>
      </c>
    </row>
    <row r="1209" spans="1:1" x14ac:dyDescent="0.3">
      <c r="A1209" t="s">
        <v>0</v>
      </c>
    </row>
    <row r="1210" spans="1:1" x14ac:dyDescent="0.3">
      <c r="A1210" t="s">
        <v>0</v>
      </c>
    </row>
    <row r="1211" spans="1:1" x14ac:dyDescent="0.3">
      <c r="A1211" t="s">
        <v>0</v>
      </c>
    </row>
    <row r="1212" spans="1:1" x14ac:dyDescent="0.3">
      <c r="A1212" t="s">
        <v>0</v>
      </c>
    </row>
    <row r="1213" spans="1:1" x14ac:dyDescent="0.3">
      <c r="A1213" t="s">
        <v>0</v>
      </c>
    </row>
    <row r="1214" spans="1:1" x14ac:dyDescent="0.3">
      <c r="A1214" t="s">
        <v>0</v>
      </c>
    </row>
    <row r="1215" spans="1:1" x14ac:dyDescent="0.3">
      <c r="A1215" t="s">
        <v>0</v>
      </c>
    </row>
    <row r="1216" spans="1:1" x14ac:dyDescent="0.3">
      <c r="A1216" t="s">
        <v>0</v>
      </c>
    </row>
    <row r="1217" spans="1:1" x14ac:dyDescent="0.3">
      <c r="A1217" t="s">
        <v>0</v>
      </c>
    </row>
    <row r="1218" spans="1:1" x14ac:dyDescent="0.3">
      <c r="A1218" t="s">
        <v>0</v>
      </c>
    </row>
    <row r="1219" spans="1:1" x14ac:dyDescent="0.3">
      <c r="A1219" t="s">
        <v>0</v>
      </c>
    </row>
    <row r="1220" spans="1:1" x14ac:dyDescent="0.3">
      <c r="A1220" t="s">
        <v>0</v>
      </c>
    </row>
    <row r="1221" spans="1:1" x14ac:dyDescent="0.3">
      <c r="A1221" t="s">
        <v>0</v>
      </c>
    </row>
    <row r="1222" spans="1:1" x14ac:dyDescent="0.3">
      <c r="A1222" t="s">
        <v>0</v>
      </c>
    </row>
    <row r="1223" spans="1:1" x14ac:dyDescent="0.3">
      <c r="A1223" t="s">
        <v>0</v>
      </c>
    </row>
    <row r="1224" spans="1:1" x14ac:dyDescent="0.3">
      <c r="A1224" t="s">
        <v>0</v>
      </c>
    </row>
    <row r="1225" spans="1:1" x14ac:dyDescent="0.3">
      <c r="A1225" t="s">
        <v>0</v>
      </c>
    </row>
    <row r="1226" spans="1:1" x14ac:dyDescent="0.3">
      <c r="A1226" t="s">
        <v>0</v>
      </c>
    </row>
    <row r="1227" spans="1:1" x14ac:dyDescent="0.3">
      <c r="A1227" t="s">
        <v>0</v>
      </c>
    </row>
    <row r="1228" spans="1:1" x14ac:dyDescent="0.3">
      <c r="A1228" t="s">
        <v>0</v>
      </c>
    </row>
    <row r="1229" spans="1:1" x14ac:dyDescent="0.3">
      <c r="A1229" t="s">
        <v>0</v>
      </c>
    </row>
    <row r="1230" spans="1:1" x14ac:dyDescent="0.3">
      <c r="A1230" t="s">
        <v>0</v>
      </c>
    </row>
    <row r="1231" spans="1:1" x14ac:dyDescent="0.3">
      <c r="A1231" t="s">
        <v>0</v>
      </c>
    </row>
    <row r="1232" spans="1:1" x14ac:dyDescent="0.3">
      <c r="A1232" t="s">
        <v>0</v>
      </c>
    </row>
    <row r="1233" spans="1:1" x14ac:dyDescent="0.3">
      <c r="A1233" t="s">
        <v>0</v>
      </c>
    </row>
    <row r="1234" spans="1:1" x14ac:dyDescent="0.3">
      <c r="A1234" t="s">
        <v>0</v>
      </c>
    </row>
    <row r="1235" spans="1:1" x14ac:dyDescent="0.3">
      <c r="A1235" t="s">
        <v>0</v>
      </c>
    </row>
    <row r="1236" spans="1:1" x14ac:dyDescent="0.3">
      <c r="A1236" t="s">
        <v>0</v>
      </c>
    </row>
    <row r="1237" spans="1:1" x14ac:dyDescent="0.3">
      <c r="A1237" t="s">
        <v>0</v>
      </c>
    </row>
    <row r="1238" spans="1:1" x14ac:dyDescent="0.3">
      <c r="A1238" t="s">
        <v>0</v>
      </c>
    </row>
    <row r="1239" spans="1:1" x14ac:dyDescent="0.3">
      <c r="A1239" t="s">
        <v>0</v>
      </c>
    </row>
    <row r="1240" spans="1:1" x14ac:dyDescent="0.3">
      <c r="A1240" t="s">
        <v>0</v>
      </c>
    </row>
    <row r="1241" spans="1:1" x14ac:dyDescent="0.3">
      <c r="A1241" t="s">
        <v>0</v>
      </c>
    </row>
    <row r="1242" spans="1:1" x14ac:dyDescent="0.3">
      <c r="A1242" t="s">
        <v>0</v>
      </c>
    </row>
    <row r="1243" spans="1:1" x14ac:dyDescent="0.3">
      <c r="A1243" t="s">
        <v>0</v>
      </c>
    </row>
    <row r="1244" spans="1:1" x14ac:dyDescent="0.3">
      <c r="A1244" t="s">
        <v>0</v>
      </c>
    </row>
    <row r="1245" spans="1:1" x14ac:dyDescent="0.3">
      <c r="A1245" t="s">
        <v>0</v>
      </c>
    </row>
    <row r="1246" spans="1:1" x14ac:dyDescent="0.3">
      <c r="A1246" t="s">
        <v>0</v>
      </c>
    </row>
    <row r="1247" spans="1:1" x14ac:dyDescent="0.3">
      <c r="A1247" t="s">
        <v>0</v>
      </c>
    </row>
    <row r="1248" spans="1:1" x14ac:dyDescent="0.3">
      <c r="A1248" t="s">
        <v>0</v>
      </c>
    </row>
    <row r="1249" spans="1:1" x14ac:dyDescent="0.3">
      <c r="A1249" t="s">
        <v>0</v>
      </c>
    </row>
    <row r="1250" spans="1:1" x14ac:dyDescent="0.3">
      <c r="A1250" t="s">
        <v>0</v>
      </c>
    </row>
    <row r="1251" spans="1:1" x14ac:dyDescent="0.3">
      <c r="A1251" t="s">
        <v>0</v>
      </c>
    </row>
    <row r="1252" spans="1:1" x14ac:dyDescent="0.3">
      <c r="A1252" t="s">
        <v>0</v>
      </c>
    </row>
    <row r="1253" spans="1:1" x14ac:dyDescent="0.3">
      <c r="A1253" t="s">
        <v>0</v>
      </c>
    </row>
    <row r="1254" spans="1:1" x14ac:dyDescent="0.3">
      <c r="A1254" t="s">
        <v>0</v>
      </c>
    </row>
    <row r="1255" spans="1:1" x14ac:dyDescent="0.3">
      <c r="A1255" t="s">
        <v>0</v>
      </c>
    </row>
    <row r="1256" spans="1:1" x14ac:dyDescent="0.3">
      <c r="A1256" t="s">
        <v>0</v>
      </c>
    </row>
    <row r="1257" spans="1:1" x14ac:dyDescent="0.3">
      <c r="A1257" t="s">
        <v>0</v>
      </c>
    </row>
    <row r="1258" spans="1:1" x14ac:dyDescent="0.3">
      <c r="A1258" t="s">
        <v>0</v>
      </c>
    </row>
    <row r="1259" spans="1:1" x14ac:dyDescent="0.3">
      <c r="A1259" t="s">
        <v>0</v>
      </c>
    </row>
    <row r="1260" spans="1:1" x14ac:dyDescent="0.3">
      <c r="A1260" t="s">
        <v>0</v>
      </c>
    </row>
    <row r="1261" spans="1:1" x14ac:dyDescent="0.3">
      <c r="A1261" t="s">
        <v>0</v>
      </c>
    </row>
    <row r="1262" spans="1:1" x14ac:dyDescent="0.3">
      <c r="A1262" t="s">
        <v>0</v>
      </c>
    </row>
    <row r="1263" spans="1:1" x14ac:dyDescent="0.3">
      <c r="A1263" t="s">
        <v>0</v>
      </c>
    </row>
    <row r="1264" spans="1:1" x14ac:dyDescent="0.3">
      <c r="A1264" t="s">
        <v>0</v>
      </c>
    </row>
    <row r="1265" spans="1:1" x14ac:dyDescent="0.3">
      <c r="A1265" t="s">
        <v>0</v>
      </c>
    </row>
    <row r="1266" spans="1:1" x14ac:dyDescent="0.3">
      <c r="A1266" t="s">
        <v>0</v>
      </c>
    </row>
    <row r="1267" spans="1:1" x14ac:dyDescent="0.3">
      <c r="A1267" t="s">
        <v>0</v>
      </c>
    </row>
    <row r="1268" spans="1:1" x14ac:dyDescent="0.3">
      <c r="A1268" t="s">
        <v>0</v>
      </c>
    </row>
    <row r="1269" spans="1:1" x14ac:dyDescent="0.3">
      <c r="A1269" t="s">
        <v>0</v>
      </c>
    </row>
    <row r="1270" spans="1:1" x14ac:dyDescent="0.3">
      <c r="A1270" t="s">
        <v>0</v>
      </c>
    </row>
    <row r="1271" spans="1:1" x14ac:dyDescent="0.3">
      <c r="A1271" t="s">
        <v>0</v>
      </c>
    </row>
    <row r="1272" spans="1:1" x14ac:dyDescent="0.3">
      <c r="A1272" t="s">
        <v>0</v>
      </c>
    </row>
    <row r="1273" spans="1:1" x14ac:dyDescent="0.3">
      <c r="A1273" t="s">
        <v>0</v>
      </c>
    </row>
    <row r="1274" spans="1:1" x14ac:dyDescent="0.3">
      <c r="A1274" t="s">
        <v>0</v>
      </c>
    </row>
    <row r="1275" spans="1:1" x14ac:dyDescent="0.3">
      <c r="A1275" t="s">
        <v>0</v>
      </c>
    </row>
    <row r="1276" spans="1:1" x14ac:dyDescent="0.3">
      <c r="A1276" t="s">
        <v>0</v>
      </c>
    </row>
    <row r="1277" spans="1:1" x14ac:dyDescent="0.3">
      <c r="A1277" t="s">
        <v>0</v>
      </c>
    </row>
    <row r="1278" spans="1:1" x14ac:dyDescent="0.3">
      <c r="A1278" t="s">
        <v>0</v>
      </c>
    </row>
    <row r="1279" spans="1:1" x14ac:dyDescent="0.3">
      <c r="A1279" t="s">
        <v>0</v>
      </c>
    </row>
    <row r="1280" spans="1:1" x14ac:dyDescent="0.3">
      <c r="A1280" t="s">
        <v>0</v>
      </c>
    </row>
    <row r="1281" spans="1:1" x14ac:dyDescent="0.3">
      <c r="A1281" t="s">
        <v>0</v>
      </c>
    </row>
    <row r="1282" spans="1:1" x14ac:dyDescent="0.3">
      <c r="A1282" t="s">
        <v>0</v>
      </c>
    </row>
    <row r="1283" spans="1:1" x14ac:dyDescent="0.3">
      <c r="A1283" t="s">
        <v>0</v>
      </c>
    </row>
    <row r="1284" spans="1:1" x14ac:dyDescent="0.3">
      <c r="A1284" t="s">
        <v>0</v>
      </c>
    </row>
    <row r="1285" spans="1:1" x14ac:dyDescent="0.3">
      <c r="A1285" t="s">
        <v>0</v>
      </c>
    </row>
    <row r="1286" spans="1:1" x14ac:dyDescent="0.3">
      <c r="A1286" t="s">
        <v>0</v>
      </c>
    </row>
    <row r="1287" spans="1:1" x14ac:dyDescent="0.3">
      <c r="A1287" t="s">
        <v>0</v>
      </c>
    </row>
    <row r="1288" spans="1:1" x14ac:dyDescent="0.3">
      <c r="A1288" t="s">
        <v>0</v>
      </c>
    </row>
    <row r="1289" spans="1:1" x14ac:dyDescent="0.3">
      <c r="A1289" t="s">
        <v>0</v>
      </c>
    </row>
    <row r="1290" spans="1:1" x14ac:dyDescent="0.3">
      <c r="A1290" t="s">
        <v>0</v>
      </c>
    </row>
    <row r="1291" spans="1:1" x14ac:dyDescent="0.3">
      <c r="A1291" t="s">
        <v>0</v>
      </c>
    </row>
    <row r="1292" spans="1:1" x14ac:dyDescent="0.3">
      <c r="A1292" t="s">
        <v>0</v>
      </c>
    </row>
    <row r="1293" spans="1:1" x14ac:dyDescent="0.3">
      <c r="A1293" t="s">
        <v>0</v>
      </c>
    </row>
    <row r="1294" spans="1:1" x14ac:dyDescent="0.3">
      <c r="A1294" t="s">
        <v>0</v>
      </c>
    </row>
    <row r="1295" spans="1:1" x14ac:dyDescent="0.3">
      <c r="A1295" t="s">
        <v>0</v>
      </c>
    </row>
    <row r="1296" spans="1:1" x14ac:dyDescent="0.3">
      <c r="A1296" t="s">
        <v>0</v>
      </c>
    </row>
    <row r="1297" spans="1:1" x14ac:dyDescent="0.3">
      <c r="A1297" t="s">
        <v>0</v>
      </c>
    </row>
    <row r="1298" spans="1:1" x14ac:dyDescent="0.3">
      <c r="A1298" t="s">
        <v>0</v>
      </c>
    </row>
    <row r="1299" spans="1:1" x14ac:dyDescent="0.3">
      <c r="A1299" t="s">
        <v>0</v>
      </c>
    </row>
    <row r="1300" spans="1:1" x14ac:dyDescent="0.3">
      <c r="A1300" t="s">
        <v>0</v>
      </c>
    </row>
    <row r="1301" spans="1:1" x14ac:dyDescent="0.3">
      <c r="A1301" t="s">
        <v>0</v>
      </c>
    </row>
    <row r="1302" spans="1:1" x14ac:dyDescent="0.3">
      <c r="A1302" t="s">
        <v>0</v>
      </c>
    </row>
    <row r="1303" spans="1:1" x14ac:dyDescent="0.3">
      <c r="A1303" t="s">
        <v>0</v>
      </c>
    </row>
    <row r="1304" spans="1:1" x14ac:dyDescent="0.3">
      <c r="A1304" t="s">
        <v>0</v>
      </c>
    </row>
    <row r="1305" spans="1:1" x14ac:dyDescent="0.3">
      <c r="A1305" t="s">
        <v>0</v>
      </c>
    </row>
    <row r="1306" spans="1:1" x14ac:dyDescent="0.3">
      <c r="A1306" t="s">
        <v>0</v>
      </c>
    </row>
    <row r="1307" spans="1:1" x14ac:dyDescent="0.3">
      <c r="A1307" t="s">
        <v>0</v>
      </c>
    </row>
    <row r="1308" spans="1:1" x14ac:dyDescent="0.3">
      <c r="A1308" t="s">
        <v>0</v>
      </c>
    </row>
    <row r="1309" spans="1:1" x14ac:dyDescent="0.3">
      <c r="A1309" t="s">
        <v>0</v>
      </c>
    </row>
    <row r="1310" spans="1:1" x14ac:dyDescent="0.3">
      <c r="A1310" t="s">
        <v>0</v>
      </c>
    </row>
    <row r="1311" spans="1:1" x14ac:dyDescent="0.3">
      <c r="A1311" t="s">
        <v>0</v>
      </c>
    </row>
    <row r="1312" spans="1:1" x14ac:dyDescent="0.3">
      <c r="A1312" t="s">
        <v>0</v>
      </c>
    </row>
    <row r="1313" spans="1:1" x14ac:dyDescent="0.3">
      <c r="A1313" t="s">
        <v>0</v>
      </c>
    </row>
    <row r="1314" spans="1:1" x14ac:dyDescent="0.3">
      <c r="A1314" t="s">
        <v>0</v>
      </c>
    </row>
    <row r="1315" spans="1:1" x14ac:dyDescent="0.3">
      <c r="A1315" t="s">
        <v>0</v>
      </c>
    </row>
    <row r="1316" spans="1:1" x14ac:dyDescent="0.3">
      <c r="A1316" t="s">
        <v>0</v>
      </c>
    </row>
    <row r="1317" spans="1:1" x14ac:dyDescent="0.3">
      <c r="A1317" t="s">
        <v>0</v>
      </c>
    </row>
    <row r="1318" spans="1:1" x14ac:dyDescent="0.3">
      <c r="A1318" t="s">
        <v>0</v>
      </c>
    </row>
    <row r="1319" spans="1:1" x14ac:dyDescent="0.3">
      <c r="A1319" t="s">
        <v>0</v>
      </c>
    </row>
    <row r="1320" spans="1:1" x14ac:dyDescent="0.3">
      <c r="A1320" t="s">
        <v>0</v>
      </c>
    </row>
    <row r="1321" spans="1:1" x14ac:dyDescent="0.3">
      <c r="A1321" t="s">
        <v>0</v>
      </c>
    </row>
    <row r="1322" spans="1:1" x14ac:dyDescent="0.3">
      <c r="A1322" t="s">
        <v>0</v>
      </c>
    </row>
    <row r="1323" spans="1:1" x14ac:dyDescent="0.3">
      <c r="A1323" t="s">
        <v>0</v>
      </c>
    </row>
    <row r="1324" spans="1:1" x14ac:dyDescent="0.3">
      <c r="A1324" t="s">
        <v>0</v>
      </c>
    </row>
    <row r="1325" spans="1:1" x14ac:dyDescent="0.3">
      <c r="A1325" t="s">
        <v>0</v>
      </c>
    </row>
    <row r="1326" spans="1:1" x14ac:dyDescent="0.3">
      <c r="A1326" t="s">
        <v>0</v>
      </c>
    </row>
    <row r="1327" spans="1:1" x14ac:dyDescent="0.3">
      <c r="A1327" t="s">
        <v>0</v>
      </c>
    </row>
    <row r="1328" spans="1:1" x14ac:dyDescent="0.3">
      <c r="A1328" t="s">
        <v>0</v>
      </c>
    </row>
    <row r="1329" spans="1:1" x14ac:dyDescent="0.3">
      <c r="A1329" t="s">
        <v>0</v>
      </c>
    </row>
    <row r="1330" spans="1:1" x14ac:dyDescent="0.3">
      <c r="A1330" t="s">
        <v>0</v>
      </c>
    </row>
    <row r="1331" spans="1:1" x14ac:dyDescent="0.3">
      <c r="A1331" t="s">
        <v>0</v>
      </c>
    </row>
    <row r="1332" spans="1:1" x14ac:dyDescent="0.3">
      <c r="A1332" t="s">
        <v>0</v>
      </c>
    </row>
    <row r="1333" spans="1:1" x14ac:dyDescent="0.3">
      <c r="A1333" t="s">
        <v>0</v>
      </c>
    </row>
    <row r="1334" spans="1:1" x14ac:dyDescent="0.3">
      <c r="A1334" t="s">
        <v>0</v>
      </c>
    </row>
    <row r="1335" spans="1:1" x14ac:dyDescent="0.3">
      <c r="A1335" t="s">
        <v>0</v>
      </c>
    </row>
    <row r="1336" spans="1:1" x14ac:dyDescent="0.3">
      <c r="A1336" t="s">
        <v>0</v>
      </c>
    </row>
    <row r="1337" spans="1:1" x14ac:dyDescent="0.3">
      <c r="A1337" t="s">
        <v>0</v>
      </c>
    </row>
    <row r="1338" spans="1:1" x14ac:dyDescent="0.3">
      <c r="A1338" t="s">
        <v>0</v>
      </c>
    </row>
    <row r="1339" spans="1:1" x14ac:dyDescent="0.3">
      <c r="A1339" t="s">
        <v>0</v>
      </c>
    </row>
    <row r="1340" spans="1:1" x14ac:dyDescent="0.3">
      <c r="A1340" t="s">
        <v>0</v>
      </c>
    </row>
    <row r="1341" spans="1:1" x14ac:dyDescent="0.3">
      <c r="A1341" t="s">
        <v>0</v>
      </c>
    </row>
    <row r="1342" spans="1:1" x14ac:dyDescent="0.3">
      <c r="A1342" t="s">
        <v>0</v>
      </c>
    </row>
    <row r="1343" spans="1:1" x14ac:dyDescent="0.3">
      <c r="A1343" t="s">
        <v>0</v>
      </c>
    </row>
    <row r="1344" spans="1:1" x14ac:dyDescent="0.3">
      <c r="A1344" t="s">
        <v>0</v>
      </c>
    </row>
    <row r="1345" spans="1:1" x14ac:dyDescent="0.3">
      <c r="A1345" t="s">
        <v>0</v>
      </c>
    </row>
    <row r="1346" spans="1:1" x14ac:dyDescent="0.3">
      <c r="A1346" t="s">
        <v>0</v>
      </c>
    </row>
    <row r="1347" spans="1:1" x14ac:dyDescent="0.3">
      <c r="A1347" t="s">
        <v>0</v>
      </c>
    </row>
    <row r="1348" spans="1:1" x14ac:dyDescent="0.3">
      <c r="A1348" t="s">
        <v>0</v>
      </c>
    </row>
    <row r="1349" spans="1:1" x14ac:dyDescent="0.3">
      <c r="A1349" t="s">
        <v>0</v>
      </c>
    </row>
    <row r="1350" spans="1:1" x14ac:dyDescent="0.3">
      <c r="A1350" t="s">
        <v>0</v>
      </c>
    </row>
    <row r="1351" spans="1:1" x14ac:dyDescent="0.3">
      <c r="A1351" t="s">
        <v>0</v>
      </c>
    </row>
    <row r="1352" spans="1:1" x14ac:dyDescent="0.3">
      <c r="A1352" t="s">
        <v>0</v>
      </c>
    </row>
    <row r="1353" spans="1:1" x14ac:dyDescent="0.3">
      <c r="A1353" t="s">
        <v>0</v>
      </c>
    </row>
    <row r="1354" spans="1:1" x14ac:dyDescent="0.3">
      <c r="A1354" t="s">
        <v>0</v>
      </c>
    </row>
    <row r="1355" spans="1:1" x14ac:dyDescent="0.3">
      <c r="A1355" t="s">
        <v>0</v>
      </c>
    </row>
    <row r="1356" spans="1:1" x14ac:dyDescent="0.3">
      <c r="A1356" t="s">
        <v>0</v>
      </c>
    </row>
    <row r="1357" spans="1:1" x14ac:dyDescent="0.3">
      <c r="A1357" t="s">
        <v>0</v>
      </c>
    </row>
    <row r="1358" spans="1:1" x14ac:dyDescent="0.3">
      <c r="A1358" t="s">
        <v>0</v>
      </c>
    </row>
    <row r="1359" spans="1:1" x14ac:dyDescent="0.3">
      <c r="A1359" t="s">
        <v>0</v>
      </c>
    </row>
    <row r="1360" spans="1:1" x14ac:dyDescent="0.3">
      <c r="A1360" t="s">
        <v>0</v>
      </c>
    </row>
    <row r="1361" spans="1:1" x14ac:dyDescent="0.3">
      <c r="A1361" t="s">
        <v>0</v>
      </c>
    </row>
    <row r="1362" spans="1:1" x14ac:dyDescent="0.3">
      <c r="A1362" t="s">
        <v>0</v>
      </c>
    </row>
    <row r="1363" spans="1:1" x14ac:dyDescent="0.3">
      <c r="A1363" t="s">
        <v>0</v>
      </c>
    </row>
    <row r="1364" spans="1:1" x14ac:dyDescent="0.3">
      <c r="A1364" t="s">
        <v>0</v>
      </c>
    </row>
    <row r="1365" spans="1:1" x14ac:dyDescent="0.3">
      <c r="A1365" t="s">
        <v>0</v>
      </c>
    </row>
    <row r="1366" spans="1:1" x14ac:dyDescent="0.3">
      <c r="A1366" t="s">
        <v>0</v>
      </c>
    </row>
    <row r="1367" spans="1:1" x14ac:dyDescent="0.3">
      <c r="A1367" t="s">
        <v>0</v>
      </c>
    </row>
    <row r="1368" spans="1:1" x14ac:dyDescent="0.3">
      <c r="A1368" t="s">
        <v>0</v>
      </c>
    </row>
    <row r="1369" spans="1:1" x14ac:dyDescent="0.3">
      <c r="A1369" t="s">
        <v>0</v>
      </c>
    </row>
    <row r="1370" spans="1:1" x14ac:dyDescent="0.3">
      <c r="A1370" t="s">
        <v>0</v>
      </c>
    </row>
    <row r="1371" spans="1:1" x14ac:dyDescent="0.3">
      <c r="A1371" t="s">
        <v>0</v>
      </c>
    </row>
    <row r="1372" spans="1:1" x14ac:dyDescent="0.3">
      <c r="A1372" t="s">
        <v>0</v>
      </c>
    </row>
    <row r="1373" spans="1:1" x14ac:dyDescent="0.3">
      <c r="A1373" t="s">
        <v>0</v>
      </c>
    </row>
    <row r="1374" spans="1:1" x14ac:dyDescent="0.3">
      <c r="A1374" t="s">
        <v>0</v>
      </c>
    </row>
    <row r="1375" spans="1:1" x14ac:dyDescent="0.3">
      <c r="A1375" t="s">
        <v>0</v>
      </c>
    </row>
    <row r="1376" spans="1:1" x14ac:dyDescent="0.3">
      <c r="A1376" t="s">
        <v>0</v>
      </c>
    </row>
    <row r="1377" spans="1:1" x14ac:dyDescent="0.3">
      <c r="A1377" t="s">
        <v>0</v>
      </c>
    </row>
    <row r="1378" spans="1:1" x14ac:dyDescent="0.3">
      <c r="A1378" t="s">
        <v>0</v>
      </c>
    </row>
    <row r="1379" spans="1:1" x14ac:dyDescent="0.3">
      <c r="A1379" t="s">
        <v>0</v>
      </c>
    </row>
    <row r="1380" spans="1:1" x14ac:dyDescent="0.3">
      <c r="A1380" t="s">
        <v>0</v>
      </c>
    </row>
    <row r="1381" spans="1:1" x14ac:dyDescent="0.3">
      <c r="A1381" t="s">
        <v>0</v>
      </c>
    </row>
    <row r="1382" spans="1:1" x14ac:dyDescent="0.3">
      <c r="A1382" t="s">
        <v>0</v>
      </c>
    </row>
    <row r="1383" spans="1:1" x14ac:dyDescent="0.3">
      <c r="A1383" t="s">
        <v>0</v>
      </c>
    </row>
    <row r="1384" spans="1:1" x14ac:dyDescent="0.3">
      <c r="A1384" t="s">
        <v>0</v>
      </c>
    </row>
    <row r="1385" spans="1:1" x14ac:dyDescent="0.3">
      <c r="A1385" t="s">
        <v>0</v>
      </c>
    </row>
    <row r="1386" spans="1:1" x14ac:dyDescent="0.3">
      <c r="A1386" t="s">
        <v>0</v>
      </c>
    </row>
    <row r="1387" spans="1:1" x14ac:dyDescent="0.3">
      <c r="A1387" t="s">
        <v>0</v>
      </c>
    </row>
    <row r="1388" spans="1:1" x14ac:dyDescent="0.3">
      <c r="A1388" t="s">
        <v>0</v>
      </c>
    </row>
    <row r="1389" spans="1:1" x14ac:dyDescent="0.3">
      <c r="A1389" t="s">
        <v>0</v>
      </c>
    </row>
    <row r="1390" spans="1:1" x14ac:dyDescent="0.3">
      <c r="A1390" t="s">
        <v>0</v>
      </c>
    </row>
    <row r="1391" spans="1:1" x14ac:dyDescent="0.3">
      <c r="A1391" t="s">
        <v>0</v>
      </c>
    </row>
    <row r="1392" spans="1:1" x14ac:dyDescent="0.3">
      <c r="A1392" t="s">
        <v>0</v>
      </c>
    </row>
    <row r="1393" spans="1:1" x14ac:dyDescent="0.3">
      <c r="A1393" t="s">
        <v>0</v>
      </c>
    </row>
    <row r="1394" spans="1:1" x14ac:dyDescent="0.3">
      <c r="A1394" t="s">
        <v>0</v>
      </c>
    </row>
    <row r="1395" spans="1:1" x14ac:dyDescent="0.3">
      <c r="A1395" t="s">
        <v>0</v>
      </c>
    </row>
    <row r="1396" spans="1:1" x14ac:dyDescent="0.3">
      <c r="A1396" t="s">
        <v>0</v>
      </c>
    </row>
    <row r="1397" spans="1:1" x14ac:dyDescent="0.3">
      <c r="A1397" t="s">
        <v>0</v>
      </c>
    </row>
    <row r="1398" spans="1:1" x14ac:dyDescent="0.3">
      <c r="A1398" t="s">
        <v>0</v>
      </c>
    </row>
    <row r="1399" spans="1:1" x14ac:dyDescent="0.3">
      <c r="A1399" t="s">
        <v>0</v>
      </c>
    </row>
    <row r="1400" spans="1:1" x14ac:dyDescent="0.3">
      <c r="A1400" t="s">
        <v>0</v>
      </c>
    </row>
    <row r="1401" spans="1:1" x14ac:dyDescent="0.3">
      <c r="A1401" t="s">
        <v>0</v>
      </c>
    </row>
    <row r="1402" spans="1:1" x14ac:dyDescent="0.3">
      <c r="A1402" t="s">
        <v>0</v>
      </c>
    </row>
    <row r="1403" spans="1:1" x14ac:dyDescent="0.3">
      <c r="A1403" t="s">
        <v>0</v>
      </c>
    </row>
    <row r="1404" spans="1:1" x14ac:dyDescent="0.3">
      <c r="A1404" t="s">
        <v>0</v>
      </c>
    </row>
    <row r="1405" spans="1:1" x14ac:dyDescent="0.3">
      <c r="A1405" t="s">
        <v>0</v>
      </c>
    </row>
    <row r="1406" spans="1:1" x14ac:dyDescent="0.3">
      <c r="A1406" t="s">
        <v>0</v>
      </c>
    </row>
    <row r="1407" spans="1:1" x14ac:dyDescent="0.3">
      <c r="A1407" t="s">
        <v>0</v>
      </c>
    </row>
    <row r="1408" spans="1:1" x14ac:dyDescent="0.3">
      <c r="A1408" t="s">
        <v>0</v>
      </c>
    </row>
    <row r="1409" spans="1:1" x14ac:dyDescent="0.3">
      <c r="A1409" t="s">
        <v>0</v>
      </c>
    </row>
    <row r="1410" spans="1:1" x14ac:dyDescent="0.3">
      <c r="A1410" t="s">
        <v>0</v>
      </c>
    </row>
    <row r="1411" spans="1:1" x14ac:dyDescent="0.3">
      <c r="A1411" t="s">
        <v>0</v>
      </c>
    </row>
    <row r="1412" spans="1:1" x14ac:dyDescent="0.3">
      <c r="A1412" t="s">
        <v>0</v>
      </c>
    </row>
    <row r="1413" spans="1:1" x14ac:dyDescent="0.3">
      <c r="A1413" t="s">
        <v>0</v>
      </c>
    </row>
    <row r="1414" spans="1:1" x14ac:dyDescent="0.3">
      <c r="A1414" t="s">
        <v>0</v>
      </c>
    </row>
    <row r="1415" spans="1:1" x14ac:dyDescent="0.3">
      <c r="A1415" t="s">
        <v>0</v>
      </c>
    </row>
    <row r="1416" spans="1:1" x14ac:dyDescent="0.3">
      <c r="A1416" t="s">
        <v>0</v>
      </c>
    </row>
    <row r="1417" spans="1:1" x14ac:dyDescent="0.3">
      <c r="A1417" t="s">
        <v>0</v>
      </c>
    </row>
    <row r="1418" spans="1:1" x14ac:dyDescent="0.3">
      <c r="A1418" t="s">
        <v>0</v>
      </c>
    </row>
    <row r="1419" spans="1:1" x14ac:dyDescent="0.3">
      <c r="A1419" t="s">
        <v>0</v>
      </c>
    </row>
    <row r="1420" spans="1:1" x14ac:dyDescent="0.3">
      <c r="A1420" t="s">
        <v>0</v>
      </c>
    </row>
    <row r="1421" spans="1:1" x14ac:dyDescent="0.3">
      <c r="A1421" t="s">
        <v>0</v>
      </c>
    </row>
    <row r="1422" spans="1:1" x14ac:dyDescent="0.3">
      <c r="A1422" t="s">
        <v>0</v>
      </c>
    </row>
    <row r="1423" spans="1:1" x14ac:dyDescent="0.3">
      <c r="A1423" t="s">
        <v>0</v>
      </c>
    </row>
    <row r="1424" spans="1:1" x14ac:dyDescent="0.3">
      <c r="A1424" t="s">
        <v>0</v>
      </c>
    </row>
    <row r="1425" spans="1:1" x14ac:dyDescent="0.3">
      <c r="A1425" t="s">
        <v>0</v>
      </c>
    </row>
    <row r="1426" spans="1:1" x14ac:dyDescent="0.3">
      <c r="A1426" t="s">
        <v>0</v>
      </c>
    </row>
    <row r="1427" spans="1:1" x14ac:dyDescent="0.3">
      <c r="A1427" t="s">
        <v>0</v>
      </c>
    </row>
    <row r="1428" spans="1:1" x14ac:dyDescent="0.3">
      <c r="A1428" t="s">
        <v>0</v>
      </c>
    </row>
    <row r="1429" spans="1:1" x14ac:dyDescent="0.3">
      <c r="A1429" t="s">
        <v>0</v>
      </c>
    </row>
    <row r="1430" spans="1:1" x14ac:dyDescent="0.3">
      <c r="A1430" t="s">
        <v>0</v>
      </c>
    </row>
    <row r="1431" spans="1:1" x14ac:dyDescent="0.3">
      <c r="A1431" t="s">
        <v>0</v>
      </c>
    </row>
    <row r="1432" spans="1:1" x14ac:dyDescent="0.3">
      <c r="A1432" t="s">
        <v>0</v>
      </c>
    </row>
    <row r="1433" spans="1:1" x14ac:dyDescent="0.3">
      <c r="A1433" t="s">
        <v>0</v>
      </c>
    </row>
    <row r="1434" spans="1:1" x14ac:dyDescent="0.3">
      <c r="A1434" t="s">
        <v>0</v>
      </c>
    </row>
    <row r="1435" spans="1:1" x14ac:dyDescent="0.3">
      <c r="A1435" t="s">
        <v>0</v>
      </c>
    </row>
    <row r="1436" spans="1:1" x14ac:dyDescent="0.3">
      <c r="A1436" t="s">
        <v>0</v>
      </c>
    </row>
    <row r="1437" spans="1:1" x14ac:dyDescent="0.3">
      <c r="A1437" t="s">
        <v>0</v>
      </c>
    </row>
    <row r="1438" spans="1:1" x14ac:dyDescent="0.3">
      <c r="A1438" t="s">
        <v>0</v>
      </c>
    </row>
    <row r="1439" spans="1:1" x14ac:dyDescent="0.3">
      <c r="A1439" t="s">
        <v>0</v>
      </c>
    </row>
    <row r="1440" spans="1:1" x14ac:dyDescent="0.3">
      <c r="A1440" t="s">
        <v>0</v>
      </c>
    </row>
    <row r="1441" spans="1:1" x14ac:dyDescent="0.3">
      <c r="A1441" t="s">
        <v>0</v>
      </c>
    </row>
    <row r="1442" spans="1:1" x14ac:dyDescent="0.3">
      <c r="A1442" t="s">
        <v>0</v>
      </c>
    </row>
    <row r="1443" spans="1:1" x14ac:dyDescent="0.3">
      <c r="A1443" t="s">
        <v>0</v>
      </c>
    </row>
    <row r="1444" spans="1:1" x14ac:dyDescent="0.3">
      <c r="A1444" t="s">
        <v>0</v>
      </c>
    </row>
    <row r="1445" spans="1:1" x14ac:dyDescent="0.3">
      <c r="A1445" t="s">
        <v>0</v>
      </c>
    </row>
    <row r="1446" spans="1:1" x14ac:dyDescent="0.3">
      <c r="A1446" t="s">
        <v>0</v>
      </c>
    </row>
    <row r="1447" spans="1:1" x14ac:dyDescent="0.3">
      <c r="A1447" t="s">
        <v>0</v>
      </c>
    </row>
    <row r="1448" spans="1:1" x14ac:dyDescent="0.3">
      <c r="A1448" t="s">
        <v>0</v>
      </c>
    </row>
    <row r="1449" spans="1:1" x14ac:dyDescent="0.3">
      <c r="A1449" t="s">
        <v>0</v>
      </c>
    </row>
    <row r="1450" spans="1:1" x14ac:dyDescent="0.3">
      <c r="A1450" t="s">
        <v>0</v>
      </c>
    </row>
    <row r="1451" spans="1:1" x14ac:dyDescent="0.3">
      <c r="A1451" t="s">
        <v>0</v>
      </c>
    </row>
    <row r="1452" spans="1:1" x14ac:dyDescent="0.3">
      <c r="A1452" t="s">
        <v>0</v>
      </c>
    </row>
    <row r="1453" spans="1:1" x14ac:dyDescent="0.3">
      <c r="A1453" t="s">
        <v>0</v>
      </c>
    </row>
    <row r="1454" spans="1:1" x14ac:dyDescent="0.3">
      <c r="A1454" t="s">
        <v>0</v>
      </c>
    </row>
    <row r="1455" spans="1:1" x14ac:dyDescent="0.3">
      <c r="A1455" t="s">
        <v>0</v>
      </c>
    </row>
    <row r="1456" spans="1:1" x14ac:dyDescent="0.3">
      <c r="A1456" t="s">
        <v>0</v>
      </c>
    </row>
    <row r="1457" spans="1:1" x14ac:dyDescent="0.3">
      <c r="A1457" t="s">
        <v>0</v>
      </c>
    </row>
    <row r="1458" spans="1:1" x14ac:dyDescent="0.3">
      <c r="A1458" t="s">
        <v>0</v>
      </c>
    </row>
    <row r="1459" spans="1:1" x14ac:dyDescent="0.3">
      <c r="A1459" t="s">
        <v>0</v>
      </c>
    </row>
    <row r="1460" spans="1:1" x14ac:dyDescent="0.3">
      <c r="A1460" t="s">
        <v>0</v>
      </c>
    </row>
    <row r="1461" spans="1:1" x14ac:dyDescent="0.3">
      <c r="A1461" t="s">
        <v>0</v>
      </c>
    </row>
    <row r="1462" spans="1:1" x14ac:dyDescent="0.3">
      <c r="A1462" t="s">
        <v>0</v>
      </c>
    </row>
    <row r="1463" spans="1:1" x14ac:dyDescent="0.3">
      <c r="A1463" t="s">
        <v>0</v>
      </c>
    </row>
    <row r="1464" spans="1:1" x14ac:dyDescent="0.3">
      <c r="A1464" t="s">
        <v>0</v>
      </c>
    </row>
    <row r="1465" spans="1:1" x14ac:dyDescent="0.3">
      <c r="A1465" t="s">
        <v>0</v>
      </c>
    </row>
    <row r="1466" spans="1:1" x14ac:dyDescent="0.3">
      <c r="A1466" t="s">
        <v>0</v>
      </c>
    </row>
    <row r="1467" spans="1:1" x14ac:dyDescent="0.3">
      <c r="A1467" t="s">
        <v>0</v>
      </c>
    </row>
    <row r="1468" spans="1:1" x14ac:dyDescent="0.3">
      <c r="A1468" t="s">
        <v>0</v>
      </c>
    </row>
    <row r="1469" spans="1:1" x14ac:dyDescent="0.3">
      <c r="A1469" t="s">
        <v>0</v>
      </c>
    </row>
    <row r="1470" spans="1:1" x14ac:dyDescent="0.3">
      <c r="A1470" t="s">
        <v>0</v>
      </c>
    </row>
    <row r="1471" spans="1:1" x14ac:dyDescent="0.3">
      <c r="A1471" t="s">
        <v>0</v>
      </c>
    </row>
    <row r="1472" spans="1:1" x14ac:dyDescent="0.3">
      <c r="A1472" t="s">
        <v>0</v>
      </c>
    </row>
    <row r="1473" spans="1:1" x14ac:dyDescent="0.3">
      <c r="A1473" t="s">
        <v>0</v>
      </c>
    </row>
    <row r="1474" spans="1:1" x14ac:dyDescent="0.3">
      <c r="A1474" t="s">
        <v>0</v>
      </c>
    </row>
    <row r="1475" spans="1:1" x14ac:dyDescent="0.3">
      <c r="A1475" t="s">
        <v>0</v>
      </c>
    </row>
    <row r="1476" spans="1:1" x14ac:dyDescent="0.3">
      <c r="A1476" t="s">
        <v>0</v>
      </c>
    </row>
    <row r="1477" spans="1:1" x14ac:dyDescent="0.3">
      <c r="A1477" t="s">
        <v>0</v>
      </c>
    </row>
    <row r="1478" spans="1:1" x14ac:dyDescent="0.3">
      <c r="A1478" t="s">
        <v>0</v>
      </c>
    </row>
    <row r="1479" spans="1:1" x14ac:dyDescent="0.3">
      <c r="A1479" t="s">
        <v>0</v>
      </c>
    </row>
    <row r="1480" spans="1:1" x14ac:dyDescent="0.3">
      <c r="A1480" t="s">
        <v>0</v>
      </c>
    </row>
    <row r="1481" spans="1:1" x14ac:dyDescent="0.3">
      <c r="A1481" t="s">
        <v>0</v>
      </c>
    </row>
    <row r="1482" spans="1:1" x14ac:dyDescent="0.3">
      <c r="A1482" t="s">
        <v>0</v>
      </c>
    </row>
    <row r="1483" spans="1:1" x14ac:dyDescent="0.3">
      <c r="A1483" t="s">
        <v>0</v>
      </c>
    </row>
    <row r="1484" spans="1:1" x14ac:dyDescent="0.3">
      <c r="A1484" t="s">
        <v>0</v>
      </c>
    </row>
    <row r="1485" spans="1:1" x14ac:dyDescent="0.3">
      <c r="A1485" t="s">
        <v>0</v>
      </c>
    </row>
    <row r="1486" spans="1:1" x14ac:dyDescent="0.3">
      <c r="A1486" t="s">
        <v>0</v>
      </c>
    </row>
    <row r="1487" spans="1:1" x14ac:dyDescent="0.3">
      <c r="A1487" t="s">
        <v>0</v>
      </c>
    </row>
    <row r="1488" spans="1:1" x14ac:dyDescent="0.3">
      <c r="A1488" t="s">
        <v>0</v>
      </c>
    </row>
    <row r="1489" spans="1:1" x14ac:dyDescent="0.3">
      <c r="A1489" t="s">
        <v>0</v>
      </c>
    </row>
    <row r="1490" spans="1:1" x14ac:dyDescent="0.3">
      <c r="A1490" t="s">
        <v>0</v>
      </c>
    </row>
    <row r="1491" spans="1:1" x14ac:dyDescent="0.3">
      <c r="A1491" t="s">
        <v>0</v>
      </c>
    </row>
    <row r="1492" spans="1:1" x14ac:dyDescent="0.3">
      <c r="A1492" t="s">
        <v>0</v>
      </c>
    </row>
    <row r="1493" spans="1:1" x14ac:dyDescent="0.3">
      <c r="A1493" t="s">
        <v>0</v>
      </c>
    </row>
    <row r="1494" spans="1:1" x14ac:dyDescent="0.3">
      <c r="A1494" t="s">
        <v>0</v>
      </c>
    </row>
    <row r="1495" spans="1:1" x14ac:dyDescent="0.3">
      <c r="A1495" t="s">
        <v>0</v>
      </c>
    </row>
    <row r="1496" spans="1:1" x14ac:dyDescent="0.3">
      <c r="A1496" t="s">
        <v>0</v>
      </c>
    </row>
    <row r="1497" spans="1:1" x14ac:dyDescent="0.3">
      <c r="A1497" t="s">
        <v>0</v>
      </c>
    </row>
    <row r="1498" spans="1:1" x14ac:dyDescent="0.3">
      <c r="A1498" t="s">
        <v>0</v>
      </c>
    </row>
    <row r="1499" spans="1:1" x14ac:dyDescent="0.3">
      <c r="A1499" t="s">
        <v>0</v>
      </c>
    </row>
    <row r="1500" spans="1:1" x14ac:dyDescent="0.3">
      <c r="A1500" t="s">
        <v>0</v>
      </c>
    </row>
    <row r="1501" spans="1:1" x14ac:dyDescent="0.3">
      <c r="A1501" t="s">
        <v>0</v>
      </c>
    </row>
    <row r="1502" spans="1:1" x14ac:dyDescent="0.3">
      <c r="A1502" t="s">
        <v>0</v>
      </c>
    </row>
    <row r="1503" spans="1:1" x14ac:dyDescent="0.3">
      <c r="A1503" t="s">
        <v>0</v>
      </c>
    </row>
    <row r="1504" spans="1:1" x14ac:dyDescent="0.3">
      <c r="A1504" t="s">
        <v>0</v>
      </c>
    </row>
    <row r="1505" spans="1:1" x14ac:dyDescent="0.3">
      <c r="A1505" t="s">
        <v>0</v>
      </c>
    </row>
    <row r="1506" spans="1:1" x14ac:dyDescent="0.3">
      <c r="A1506" t="s">
        <v>0</v>
      </c>
    </row>
    <row r="1507" spans="1:1" x14ac:dyDescent="0.3">
      <c r="A1507" t="s">
        <v>0</v>
      </c>
    </row>
    <row r="1508" spans="1:1" x14ac:dyDescent="0.3">
      <c r="A1508" t="s">
        <v>0</v>
      </c>
    </row>
    <row r="1509" spans="1:1" x14ac:dyDescent="0.3">
      <c r="A1509" t="s">
        <v>0</v>
      </c>
    </row>
    <row r="1510" spans="1:1" x14ac:dyDescent="0.3">
      <c r="A1510" t="s">
        <v>0</v>
      </c>
    </row>
    <row r="1511" spans="1:1" x14ac:dyDescent="0.3">
      <c r="A1511" t="s">
        <v>0</v>
      </c>
    </row>
    <row r="1512" spans="1:1" x14ac:dyDescent="0.3">
      <c r="A1512" t="s">
        <v>0</v>
      </c>
    </row>
    <row r="1513" spans="1:1" x14ac:dyDescent="0.3">
      <c r="A1513" t="s">
        <v>0</v>
      </c>
    </row>
    <row r="1514" spans="1:1" x14ac:dyDescent="0.3">
      <c r="A1514" t="s">
        <v>0</v>
      </c>
    </row>
    <row r="1515" spans="1:1" x14ac:dyDescent="0.3">
      <c r="A1515" t="s">
        <v>0</v>
      </c>
    </row>
    <row r="1516" spans="1:1" x14ac:dyDescent="0.3">
      <c r="A1516" t="s">
        <v>0</v>
      </c>
    </row>
    <row r="1517" spans="1:1" x14ac:dyDescent="0.3">
      <c r="A1517" t="s">
        <v>0</v>
      </c>
    </row>
    <row r="1518" spans="1:1" x14ac:dyDescent="0.3">
      <c r="A1518" t="s">
        <v>0</v>
      </c>
    </row>
    <row r="1519" spans="1:1" x14ac:dyDescent="0.3">
      <c r="A1519" t="s">
        <v>0</v>
      </c>
    </row>
    <row r="1520" spans="1:1" x14ac:dyDescent="0.3">
      <c r="A1520" t="s">
        <v>0</v>
      </c>
    </row>
    <row r="1521" spans="1:1" x14ac:dyDescent="0.3">
      <c r="A1521" t="s">
        <v>0</v>
      </c>
    </row>
    <row r="1522" spans="1:1" x14ac:dyDescent="0.3">
      <c r="A1522" t="s">
        <v>0</v>
      </c>
    </row>
    <row r="1523" spans="1:1" x14ac:dyDescent="0.3">
      <c r="A1523" t="s">
        <v>0</v>
      </c>
    </row>
    <row r="1524" spans="1:1" x14ac:dyDescent="0.3">
      <c r="A1524" t="s">
        <v>0</v>
      </c>
    </row>
    <row r="1525" spans="1:1" x14ac:dyDescent="0.3">
      <c r="A1525" t="s">
        <v>0</v>
      </c>
    </row>
    <row r="1526" spans="1:1" x14ac:dyDescent="0.3">
      <c r="A1526" t="s">
        <v>0</v>
      </c>
    </row>
    <row r="1527" spans="1:1" x14ac:dyDescent="0.3">
      <c r="A1527" t="s">
        <v>0</v>
      </c>
    </row>
    <row r="1528" spans="1:1" x14ac:dyDescent="0.3">
      <c r="A1528" t="s">
        <v>0</v>
      </c>
    </row>
    <row r="1529" spans="1:1" x14ac:dyDescent="0.3">
      <c r="A1529" t="s">
        <v>0</v>
      </c>
    </row>
    <row r="1530" spans="1:1" x14ac:dyDescent="0.3">
      <c r="A1530" t="s">
        <v>0</v>
      </c>
    </row>
    <row r="1531" spans="1:1" x14ac:dyDescent="0.3">
      <c r="A1531" t="s">
        <v>0</v>
      </c>
    </row>
    <row r="1532" spans="1:1" x14ac:dyDescent="0.3">
      <c r="A1532" t="s">
        <v>0</v>
      </c>
    </row>
    <row r="1533" spans="1:1" x14ac:dyDescent="0.3">
      <c r="A1533" t="s">
        <v>0</v>
      </c>
    </row>
    <row r="1534" spans="1:1" x14ac:dyDescent="0.3">
      <c r="A1534" t="s">
        <v>0</v>
      </c>
    </row>
    <row r="1535" spans="1:1" x14ac:dyDescent="0.3">
      <c r="A1535" t="s">
        <v>0</v>
      </c>
    </row>
    <row r="1536" spans="1:1" x14ac:dyDescent="0.3">
      <c r="A1536" t="s">
        <v>0</v>
      </c>
    </row>
    <row r="1537" spans="1:1" x14ac:dyDescent="0.3">
      <c r="A1537" t="s">
        <v>0</v>
      </c>
    </row>
    <row r="1538" spans="1:1" x14ac:dyDescent="0.3">
      <c r="A1538" t="s">
        <v>0</v>
      </c>
    </row>
    <row r="1539" spans="1:1" x14ac:dyDescent="0.3">
      <c r="A1539" t="s">
        <v>0</v>
      </c>
    </row>
    <row r="1540" spans="1:1" x14ac:dyDescent="0.3">
      <c r="A1540" t="s">
        <v>0</v>
      </c>
    </row>
    <row r="1541" spans="1:1" x14ac:dyDescent="0.3">
      <c r="A1541" t="s">
        <v>0</v>
      </c>
    </row>
    <row r="1542" spans="1:1" x14ac:dyDescent="0.3">
      <c r="A1542" t="s">
        <v>0</v>
      </c>
    </row>
    <row r="1543" spans="1:1" x14ac:dyDescent="0.3">
      <c r="A1543" t="s">
        <v>0</v>
      </c>
    </row>
    <row r="1544" spans="1:1" x14ac:dyDescent="0.3">
      <c r="A1544" t="s">
        <v>0</v>
      </c>
    </row>
    <row r="1545" spans="1:1" x14ac:dyDescent="0.3">
      <c r="A1545" t="s">
        <v>0</v>
      </c>
    </row>
    <row r="1546" spans="1:1" x14ac:dyDescent="0.3">
      <c r="A1546" t="s">
        <v>0</v>
      </c>
    </row>
    <row r="1547" spans="1:1" x14ac:dyDescent="0.3">
      <c r="A1547" t="s">
        <v>0</v>
      </c>
    </row>
    <row r="1548" spans="1:1" x14ac:dyDescent="0.3">
      <c r="A1548" t="s">
        <v>0</v>
      </c>
    </row>
    <row r="1549" spans="1:1" x14ac:dyDescent="0.3">
      <c r="A1549" t="s">
        <v>0</v>
      </c>
    </row>
    <row r="1550" spans="1:1" x14ac:dyDescent="0.3">
      <c r="A1550" t="s">
        <v>0</v>
      </c>
    </row>
    <row r="1551" spans="1:1" x14ac:dyDescent="0.3">
      <c r="A1551" t="s">
        <v>0</v>
      </c>
    </row>
    <row r="1552" spans="1:1" x14ac:dyDescent="0.3">
      <c r="A1552" t="s">
        <v>0</v>
      </c>
    </row>
    <row r="1553" spans="1:1" x14ac:dyDescent="0.3">
      <c r="A1553" t="s">
        <v>0</v>
      </c>
    </row>
    <row r="1554" spans="1:1" x14ac:dyDescent="0.3">
      <c r="A1554" t="s">
        <v>0</v>
      </c>
    </row>
    <row r="1555" spans="1:1" x14ac:dyDescent="0.3">
      <c r="A1555" t="s">
        <v>0</v>
      </c>
    </row>
    <row r="1556" spans="1:1" x14ac:dyDescent="0.3">
      <c r="A1556" t="s">
        <v>0</v>
      </c>
    </row>
    <row r="1557" spans="1:1" x14ac:dyDescent="0.3">
      <c r="A1557" t="s">
        <v>0</v>
      </c>
    </row>
    <row r="1558" spans="1:1" x14ac:dyDescent="0.3">
      <c r="A1558" t="s">
        <v>0</v>
      </c>
    </row>
    <row r="1559" spans="1:1" x14ac:dyDescent="0.3">
      <c r="A1559" t="s">
        <v>0</v>
      </c>
    </row>
    <row r="1560" spans="1:1" x14ac:dyDescent="0.3">
      <c r="A1560" t="s">
        <v>0</v>
      </c>
    </row>
    <row r="1561" spans="1:1" x14ac:dyDescent="0.3">
      <c r="A1561" t="s">
        <v>0</v>
      </c>
    </row>
    <row r="1562" spans="1:1" x14ac:dyDescent="0.3">
      <c r="A1562" t="s">
        <v>0</v>
      </c>
    </row>
    <row r="1563" spans="1:1" x14ac:dyDescent="0.3">
      <c r="A1563" t="s">
        <v>0</v>
      </c>
    </row>
    <row r="1564" spans="1:1" x14ac:dyDescent="0.3">
      <c r="A1564" t="s">
        <v>0</v>
      </c>
    </row>
    <row r="1565" spans="1:1" x14ac:dyDescent="0.3">
      <c r="A1565" t="s">
        <v>0</v>
      </c>
    </row>
    <row r="1566" spans="1:1" x14ac:dyDescent="0.3">
      <c r="A1566" t="s">
        <v>0</v>
      </c>
    </row>
    <row r="1567" spans="1:1" x14ac:dyDescent="0.3">
      <c r="A1567" t="s">
        <v>0</v>
      </c>
    </row>
    <row r="1568" spans="1:1" x14ac:dyDescent="0.3">
      <c r="A1568" t="s">
        <v>0</v>
      </c>
    </row>
    <row r="1569" spans="1:1" x14ac:dyDescent="0.3">
      <c r="A1569" t="s">
        <v>0</v>
      </c>
    </row>
    <row r="1570" spans="1:1" x14ac:dyDescent="0.3">
      <c r="A1570" t="s">
        <v>0</v>
      </c>
    </row>
    <row r="1571" spans="1:1" x14ac:dyDescent="0.3">
      <c r="A1571" t="s">
        <v>0</v>
      </c>
    </row>
    <row r="1572" spans="1:1" x14ac:dyDescent="0.3">
      <c r="A1572" t="s">
        <v>0</v>
      </c>
    </row>
    <row r="1573" spans="1:1" x14ac:dyDescent="0.3">
      <c r="A1573" t="s">
        <v>0</v>
      </c>
    </row>
    <row r="1574" spans="1:1" x14ac:dyDescent="0.3">
      <c r="A1574" t="s">
        <v>0</v>
      </c>
    </row>
    <row r="1575" spans="1:1" x14ac:dyDescent="0.3">
      <c r="A1575" t="s">
        <v>0</v>
      </c>
    </row>
    <row r="1576" spans="1:1" x14ac:dyDescent="0.3">
      <c r="A1576" t="s">
        <v>0</v>
      </c>
    </row>
    <row r="1577" spans="1:1" x14ac:dyDescent="0.3">
      <c r="A1577" t="s">
        <v>0</v>
      </c>
    </row>
    <row r="1578" spans="1:1" x14ac:dyDescent="0.3">
      <c r="A1578" t="s">
        <v>0</v>
      </c>
    </row>
    <row r="1579" spans="1:1" x14ac:dyDescent="0.3">
      <c r="A1579" t="s">
        <v>0</v>
      </c>
    </row>
    <row r="1580" spans="1:1" x14ac:dyDescent="0.3">
      <c r="A1580" t="s">
        <v>0</v>
      </c>
    </row>
    <row r="1581" spans="1:1" x14ac:dyDescent="0.3">
      <c r="A1581" t="s">
        <v>0</v>
      </c>
    </row>
    <row r="1582" spans="1:1" x14ac:dyDescent="0.3">
      <c r="A1582" t="s">
        <v>0</v>
      </c>
    </row>
    <row r="1583" spans="1:1" x14ac:dyDescent="0.3">
      <c r="A1583" t="s">
        <v>0</v>
      </c>
    </row>
    <row r="1584" spans="1:1" x14ac:dyDescent="0.3">
      <c r="A1584" t="s">
        <v>0</v>
      </c>
    </row>
    <row r="1585" spans="1:1" x14ac:dyDescent="0.3">
      <c r="A1585" t="s">
        <v>0</v>
      </c>
    </row>
    <row r="1586" spans="1:1" x14ac:dyDescent="0.3">
      <c r="A1586" t="s">
        <v>0</v>
      </c>
    </row>
    <row r="1587" spans="1:1" x14ac:dyDescent="0.3">
      <c r="A1587" t="s">
        <v>0</v>
      </c>
    </row>
    <row r="1588" spans="1:1" x14ac:dyDescent="0.3">
      <c r="A1588" t="s">
        <v>0</v>
      </c>
    </row>
    <row r="1589" spans="1:1" x14ac:dyDescent="0.3">
      <c r="A1589" t="s">
        <v>0</v>
      </c>
    </row>
    <row r="1590" spans="1:1" x14ac:dyDescent="0.3">
      <c r="A1590" t="s">
        <v>0</v>
      </c>
    </row>
    <row r="1591" spans="1:1" x14ac:dyDescent="0.3">
      <c r="A1591" t="s">
        <v>0</v>
      </c>
    </row>
    <row r="1592" spans="1:1" x14ac:dyDescent="0.3">
      <c r="A1592" t="s">
        <v>0</v>
      </c>
    </row>
    <row r="1593" spans="1:1" x14ac:dyDescent="0.3">
      <c r="A1593" t="s">
        <v>0</v>
      </c>
    </row>
    <row r="1594" spans="1:1" x14ac:dyDescent="0.3">
      <c r="A1594" t="s">
        <v>0</v>
      </c>
    </row>
    <row r="1595" spans="1:1" x14ac:dyDescent="0.3">
      <c r="A1595" t="s">
        <v>0</v>
      </c>
    </row>
    <row r="1596" spans="1:1" x14ac:dyDescent="0.3">
      <c r="A1596" t="s">
        <v>0</v>
      </c>
    </row>
    <row r="1597" spans="1:1" x14ac:dyDescent="0.3">
      <c r="A1597" t="s">
        <v>0</v>
      </c>
    </row>
    <row r="1598" spans="1:1" x14ac:dyDescent="0.3">
      <c r="A1598" t="s">
        <v>0</v>
      </c>
    </row>
    <row r="1599" spans="1:1" x14ac:dyDescent="0.3">
      <c r="A1599" t="s">
        <v>0</v>
      </c>
    </row>
    <row r="1600" spans="1:1" x14ac:dyDescent="0.3">
      <c r="A1600" t="s">
        <v>0</v>
      </c>
    </row>
    <row r="1601" spans="1:1" x14ac:dyDescent="0.3">
      <c r="A1601" t="s">
        <v>0</v>
      </c>
    </row>
    <row r="1602" spans="1:1" x14ac:dyDescent="0.3">
      <c r="A1602" t="s">
        <v>0</v>
      </c>
    </row>
    <row r="1603" spans="1:1" x14ac:dyDescent="0.3">
      <c r="A1603" t="s">
        <v>0</v>
      </c>
    </row>
    <row r="1604" spans="1:1" x14ac:dyDescent="0.3">
      <c r="A1604" t="s">
        <v>0</v>
      </c>
    </row>
    <row r="1605" spans="1:1" x14ac:dyDescent="0.3">
      <c r="A1605" t="s">
        <v>0</v>
      </c>
    </row>
    <row r="1606" spans="1:1" x14ac:dyDescent="0.3">
      <c r="A1606" t="s">
        <v>0</v>
      </c>
    </row>
    <row r="1607" spans="1:1" x14ac:dyDescent="0.3">
      <c r="A1607" t="s">
        <v>0</v>
      </c>
    </row>
    <row r="1608" spans="1:1" x14ac:dyDescent="0.3">
      <c r="A1608" t="s">
        <v>0</v>
      </c>
    </row>
    <row r="1609" spans="1:1" x14ac:dyDescent="0.3">
      <c r="A1609" t="s">
        <v>0</v>
      </c>
    </row>
    <row r="1610" spans="1:1" x14ac:dyDescent="0.3">
      <c r="A1610" t="s">
        <v>0</v>
      </c>
    </row>
    <row r="1611" spans="1:1" x14ac:dyDescent="0.3">
      <c r="A1611" t="s">
        <v>0</v>
      </c>
    </row>
    <row r="1612" spans="1:1" x14ac:dyDescent="0.3">
      <c r="A1612" t="s">
        <v>0</v>
      </c>
    </row>
    <row r="1613" spans="1:1" x14ac:dyDescent="0.3">
      <c r="A1613" t="s">
        <v>0</v>
      </c>
    </row>
    <row r="1614" spans="1:1" x14ac:dyDescent="0.3">
      <c r="A1614" t="s">
        <v>0</v>
      </c>
    </row>
    <row r="1615" spans="1:1" x14ac:dyDescent="0.3">
      <c r="A1615" t="s">
        <v>0</v>
      </c>
    </row>
    <row r="1616" spans="1:1" x14ac:dyDescent="0.3">
      <c r="A1616" t="s">
        <v>0</v>
      </c>
    </row>
    <row r="1617" spans="1:1" x14ac:dyDescent="0.3">
      <c r="A1617" t="s">
        <v>0</v>
      </c>
    </row>
    <row r="1618" spans="1:1" x14ac:dyDescent="0.3">
      <c r="A1618" t="s">
        <v>0</v>
      </c>
    </row>
    <row r="1619" spans="1:1" x14ac:dyDescent="0.3">
      <c r="A1619" t="s">
        <v>0</v>
      </c>
    </row>
    <row r="1620" spans="1:1" x14ac:dyDescent="0.3">
      <c r="A1620" t="s">
        <v>0</v>
      </c>
    </row>
    <row r="1621" spans="1:1" x14ac:dyDescent="0.3">
      <c r="A1621" t="s">
        <v>0</v>
      </c>
    </row>
    <row r="1622" spans="1:1" x14ac:dyDescent="0.3">
      <c r="A1622" t="s">
        <v>0</v>
      </c>
    </row>
    <row r="1623" spans="1:1" x14ac:dyDescent="0.3">
      <c r="A1623" t="s">
        <v>0</v>
      </c>
    </row>
    <row r="1624" spans="1:1" x14ac:dyDescent="0.3">
      <c r="A1624" t="s">
        <v>0</v>
      </c>
    </row>
    <row r="1625" spans="1:1" x14ac:dyDescent="0.3">
      <c r="A1625" t="s">
        <v>0</v>
      </c>
    </row>
    <row r="1626" spans="1:1" x14ac:dyDescent="0.3">
      <c r="A1626" t="s">
        <v>0</v>
      </c>
    </row>
    <row r="1627" spans="1:1" x14ac:dyDescent="0.3">
      <c r="A1627" t="s">
        <v>0</v>
      </c>
    </row>
    <row r="1628" spans="1:1" x14ac:dyDescent="0.3">
      <c r="A1628" t="s">
        <v>0</v>
      </c>
    </row>
    <row r="1629" spans="1:1" x14ac:dyDescent="0.3">
      <c r="A1629" t="s">
        <v>0</v>
      </c>
    </row>
    <row r="1630" spans="1:1" x14ac:dyDescent="0.3">
      <c r="A1630" t="s">
        <v>0</v>
      </c>
    </row>
    <row r="1631" spans="1:1" x14ac:dyDescent="0.3">
      <c r="A1631" t="s">
        <v>0</v>
      </c>
    </row>
    <row r="1632" spans="1:1" x14ac:dyDescent="0.3">
      <c r="A1632" t="s">
        <v>0</v>
      </c>
    </row>
    <row r="1633" spans="1:1" x14ac:dyDescent="0.3">
      <c r="A1633" t="s">
        <v>0</v>
      </c>
    </row>
    <row r="1634" spans="1:1" x14ac:dyDescent="0.3">
      <c r="A1634" t="s">
        <v>0</v>
      </c>
    </row>
    <row r="1635" spans="1:1" x14ac:dyDescent="0.3">
      <c r="A1635" t="s">
        <v>0</v>
      </c>
    </row>
    <row r="1636" spans="1:1" x14ac:dyDescent="0.3">
      <c r="A1636" t="s">
        <v>0</v>
      </c>
    </row>
    <row r="1637" spans="1:1" x14ac:dyDescent="0.3">
      <c r="A1637" t="s">
        <v>0</v>
      </c>
    </row>
    <row r="1638" spans="1:1" x14ac:dyDescent="0.3">
      <c r="A1638" t="s">
        <v>0</v>
      </c>
    </row>
    <row r="1639" spans="1:1" x14ac:dyDescent="0.3">
      <c r="A1639" t="s">
        <v>0</v>
      </c>
    </row>
    <row r="1640" spans="1:1" x14ac:dyDescent="0.3">
      <c r="A1640" t="s">
        <v>0</v>
      </c>
    </row>
    <row r="1641" spans="1:1" x14ac:dyDescent="0.3">
      <c r="A1641" t="s">
        <v>0</v>
      </c>
    </row>
    <row r="1642" spans="1:1" x14ac:dyDescent="0.3">
      <c r="A1642" t="s">
        <v>0</v>
      </c>
    </row>
    <row r="1643" spans="1:1" x14ac:dyDescent="0.3">
      <c r="A1643" t="s">
        <v>0</v>
      </c>
    </row>
    <row r="1644" spans="1:1" x14ac:dyDescent="0.3">
      <c r="A1644" t="s">
        <v>0</v>
      </c>
    </row>
    <row r="1645" spans="1:1" x14ac:dyDescent="0.3">
      <c r="A1645" t="s">
        <v>0</v>
      </c>
    </row>
    <row r="1646" spans="1:1" x14ac:dyDescent="0.3">
      <c r="A1646" t="s">
        <v>0</v>
      </c>
    </row>
    <row r="1647" spans="1:1" x14ac:dyDescent="0.3">
      <c r="A1647" t="s">
        <v>0</v>
      </c>
    </row>
    <row r="1648" spans="1:1" x14ac:dyDescent="0.3">
      <c r="A1648" t="s">
        <v>0</v>
      </c>
    </row>
    <row r="1649" spans="1:1" x14ac:dyDescent="0.3">
      <c r="A1649" t="s">
        <v>0</v>
      </c>
    </row>
    <row r="1650" spans="1:1" x14ac:dyDescent="0.3">
      <c r="A1650" t="s">
        <v>0</v>
      </c>
    </row>
    <row r="1651" spans="1:1" x14ac:dyDescent="0.3">
      <c r="A1651" t="s">
        <v>0</v>
      </c>
    </row>
    <row r="1652" spans="1:1" x14ac:dyDescent="0.3">
      <c r="A1652" t="s">
        <v>0</v>
      </c>
    </row>
    <row r="1653" spans="1:1" x14ac:dyDescent="0.3">
      <c r="A1653" t="s">
        <v>0</v>
      </c>
    </row>
    <row r="1654" spans="1:1" x14ac:dyDescent="0.3">
      <c r="A1654" t="s">
        <v>0</v>
      </c>
    </row>
    <row r="1655" spans="1:1" x14ac:dyDescent="0.3">
      <c r="A1655" t="s">
        <v>0</v>
      </c>
    </row>
    <row r="1656" spans="1:1" x14ac:dyDescent="0.3">
      <c r="A1656" t="s">
        <v>0</v>
      </c>
    </row>
    <row r="1657" spans="1:1" x14ac:dyDescent="0.3">
      <c r="A1657" t="s">
        <v>0</v>
      </c>
    </row>
    <row r="1658" spans="1:1" x14ac:dyDescent="0.3">
      <c r="A1658" t="s">
        <v>0</v>
      </c>
    </row>
    <row r="1659" spans="1:1" x14ac:dyDescent="0.3">
      <c r="A1659" t="s">
        <v>0</v>
      </c>
    </row>
    <row r="1660" spans="1:1" x14ac:dyDescent="0.3">
      <c r="A1660" t="s">
        <v>0</v>
      </c>
    </row>
    <row r="1661" spans="1:1" x14ac:dyDescent="0.3">
      <c r="A1661" t="s">
        <v>0</v>
      </c>
    </row>
    <row r="1662" spans="1:1" x14ac:dyDescent="0.3">
      <c r="A1662" t="s">
        <v>0</v>
      </c>
    </row>
    <row r="1663" spans="1:1" x14ac:dyDescent="0.3">
      <c r="A1663" t="s">
        <v>0</v>
      </c>
    </row>
    <row r="1664" spans="1:1" x14ac:dyDescent="0.3">
      <c r="A1664" t="s">
        <v>0</v>
      </c>
    </row>
    <row r="1665" spans="1:1" x14ac:dyDescent="0.3">
      <c r="A1665" t="s">
        <v>0</v>
      </c>
    </row>
    <row r="1666" spans="1:1" x14ac:dyDescent="0.3">
      <c r="A1666" t="s">
        <v>0</v>
      </c>
    </row>
    <row r="1667" spans="1:1" x14ac:dyDescent="0.3">
      <c r="A1667" t="s">
        <v>0</v>
      </c>
    </row>
    <row r="1668" spans="1:1" x14ac:dyDescent="0.3">
      <c r="A1668" t="s">
        <v>0</v>
      </c>
    </row>
    <row r="1669" spans="1:1" x14ac:dyDescent="0.3">
      <c r="A1669" t="s">
        <v>0</v>
      </c>
    </row>
    <row r="1670" spans="1:1" x14ac:dyDescent="0.3">
      <c r="A1670" t="s">
        <v>0</v>
      </c>
    </row>
    <row r="1671" spans="1:1" x14ac:dyDescent="0.3">
      <c r="A1671" t="s">
        <v>0</v>
      </c>
    </row>
    <row r="1672" spans="1:1" x14ac:dyDescent="0.3">
      <c r="A1672" t="s">
        <v>0</v>
      </c>
    </row>
    <row r="1673" spans="1:1" x14ac:dyDescent="0.3">
      <c r="A1673" t="s">
        <v>0</v>
      </c>
    </row>
    <row r="1674" spans="1:1" x14ac:dyDescent="0.3">
      <c r="A1674" t="s">
        <v>0</v>
      </c>
    </row>
    <row r="1675" spans="1:1" x14ac:dyDescent="0.3">
      <c r="A1675" t="s">
        <v>0</v>
      </c>
    </row>
    <row r="1676" spans="1:1" x14ac:dyDescent="0.3">
      <c r="A1676" t="s">
        <v>0</v>
      </c>
    </row>
    <row r="1677" spans="1:1" x14ac:dyDescent="0.3">
      <c r="A1677" t="s">
        <v>0</v>
      </c>
    </row>
    <row r="1678" spans="1:1" x14ac:dyDescent="0.3">
      <c r="A1678" t="s">
        <v>0</v>
      </c>
    </row>
    <row r="1679" spans="1:1" x14ac:dyDescent="0.3">
      <c r="A1679" t="s">
        <v>0</v>
      </c>
    </row>
    <row r="1680" spans="1:1" x14ac:dyDescent="0.3">
      <c r="A1680" t="s">
        <v>0</v>
      </c>
    </row>
    <row r="1681" spans="1:1" x14ac:dyDescent="0.3">
      <c r="A1681" t="s">
        <v>0</v>
      </c>
    </row>
    <row r="1682" spans="1:1" x14ac:dyDescent="0.3">
      <c r="A1682" t="s">
        <v>0</v>
      </c>
    </row>
    <row r="1683" spans="1:1" x14ac:dyDescent="0.3">
      <c r="A1683" t="s">
        <v>0</v>
      </c>
    </row>
    <row r="1684" spans="1:1" x14ac:dyDescent="0.3">
      <c r="A1684" t="s">
        <v>0</v>
      </c>
    </row>
    <row r="1685" spans="1:1" x14ac:dyDescent="0.3">
      <c r="A1685" t="s">
        <v>0</v>
      </c>
    </row>
    <row r="1686" spans="1:1" x14ac:dyDescent="0.3">
      <c r="A1686" t="s">
        <v>0</v>
      </c>
    </row>
    <row r="1687" spans="1:1" x14ac:dyDescent="0.3">
      <c r="A1687" t="s">
        <v>0</v>
      </c>
    </row>
    <row r="1688" spans="1:1" x14ac:dyDescent="0.3">
      <c r="A1688" t="s">
        <v>0</v>
      </c>
    </row>
    <row r="1689" spans="1:1" x14ac:dyDescent="0.3">
      <c r="A1689" t="s">
        <v>0</v>
      </c>
    </row>
    <row r="1690" spans="1:1" x14ac:dyDescent="0.3">
      <c r="A1690" t="s">
        <v>0</v>
      </c>
    </row>
    <row r="1691" spans="1:1" x14ac:dyDescent="0.3">
      <c r="A1691" t="s">
        <v>0</v>
      </c>
    </row>
    <row r="1692" spans="1:1" x14ac:dyDescent="0.3">
      <c r="A1692" t="s">
        <v>0</v>
      </c>
    </row>
    <row r="1693" spans="1:1" x14ac:dyDescent="0.3">
      <c r="A1693" t="s">
        <v>0</v>
      </c>
    </row>
    <row r="1694" spans="1:1" x14ac:dyDescent="0.3">
      <c r="A1694" t="s">
        <v>0</v>
      </c>
    </row>
    <row r="1695" spans="1:1" x14ac:dyDescent="0.3">
      <c r="A1695" t="s">
        <v>0</v>
      </c>
    </row>
    <row r="1696" spans="1:1" x14ac:dyDescent="0.3">
      <c r="A1696" t="s">
        <v>0</v>
      </c>
    </row>
    <row r="1697" spans="1:1" x14ac:dyDescent="0.3">
      <c r="A1697" t="s">
        <v>0</v>
      </c>
    </row>
    <row r="1698" spans="1:1" x14ac:dyDescent="0.3">
      <c r="A1698" t="s">
        <v>0</v>
      </c>
    </row>
    <row r="1699" spans="1:1" x14ac:dyDescent="0.3">
      <c r="A1699" t="s">
        <v>0</v>
      </c>
    </row>
    <row r="1700" spans="1:1" x14ac:dyDescent="0.3">
      <c r="A1700" t="s">
        <v>0</v>
      </c>
    </row>
    <row r="1701" spans="1:1" x14ac:dyDescent="0.3">
      <c r="A1701" t="s">
        <v>0</v>
      </c>
    </row>
    <row r="1702" spans="1:1" x14ac:dyDescent="0.3">
      <c r="A1702" t="s">
        <v>0</v>
      </c>
    </row>
    <row r="1703" spans="1:1" x14ac:dyDescent="0.3">
      <c r="A1703" t="s">
        <v>0</v>
      </c>
    </row>
    <row r="1704" spans="1:1" x14ac:dyDescent="0.3">
      <c r="A1704" t="s">
        <v>0</v>
      </c>
    </row>
    <row r="1705" spans="1:1" x14ac:dyDescent="0.3">
      <c r="A1705" t="s">
        <v>0</v>
      </c>
    </row>
    <row r="1706" spans="1:1" x14ac:dyDescent="0.3">
      <c r="A1706" t="s">
        <v>0</v>
      </c>
    </row>
    <row r="1707" spans="1:1" x14ac:dyDescent="0.3">
      <c r="A1707" t="s">
        <v>0</v>
      </c>
    </row>
    <row r="1708" spans="1:1" x14ac:dyDescent="0.3">
      <c r="A1708" t="s">
        <v>0</v>
      </c>
    </row>
    <row r="1709" spans="1:1" x14ac:dyDescent="0.3">
      <c r="A1709" t="s">
        <v>0</v>
      </c>
    </row>
    <row r="1710" spans="1:1" x14ac:dyDescent="0.3">
      <c r="A1710" t="s">
        <v>0</v>
      </c>
    </row>
    <row r="1711" spans="1:1" x14ac:dyDescent="0.3">
      <c r="A1711" t="s">
        <v>0</v>
      </c>
    </row>
    <row r="1712" spans="1:1" x14ac:dyDescent="0.3">
      <c r="A1712" t="s">
        <v>0</v>
      </c>
    </row>
    <row r="1713" spans="1:1" x14ac:dyDescent="0.3">
      <c r="A1713" t="s">
        <v>0</v>
      </c>
    </row>
    <row r="1714" spans="1:1" x14ac:dyDescent="0.3">
      <c r="A1714" t="s">
        <v>0</v>
      </c>
    </row>
    <row r="1715" spans="1:1" x14ac:dyDescent="0.3">
      <c r="A1715" t="s">
        <v>0</v>
      </c>
    </row>
    <row r="1716" spans="1:1" x14ac:dyDescent="0.3">
      <c r="A1716" t="s">
        <v>0</v>
      </c>
    </row>
    <row r="1717" spans="1:1" x14ac:dyDescent="0.3">
      <c r="A1717" t="s">
        <v>0</v>
      </c>
    </row>
    <row r="1718" spans="1:1" x14ac:dyDescent="0.3">
      <c r="A1718" t="s">
        <v>0</v>
      </c>
    </row>
    <row r="1719" spans="1:1" x14ac:dyDescent="0.3">
      <c r="A1719" t="s">
        <v>0</v>
      </c>
    </row>
    <row r="1720" spans="1:1" x14ac:dyDescent="0.3">
      <c r="A1720" t="s">
        <v>0</v>
      </c>
    </row>
    <row r="1721" spans="1:1" x14ac:dyDescent="0.3">
      <c r="A1721" t="s">
        <v>0</v>
      </c>
    </row>
    <row r="1722" spans="1:1" x14ac:dyDescent="0.3">
      <c r="A1722" t="s">
        <v>0</v>
      </c>
    </row>
    <row r="1723" spans="1:1" x14ac:dyDescent="0.3">
      <c r="A1723" t="s">
        <v>0</v>
      </c>
    </row>
    <row r="1724" spans="1:1" x14ac:dyDescent="0.3">
      <c r="A1724" t="s">
        <v>0</v>
      </c>
    </row>
    <row r="1725" spans="1:1" x14ac:dyDescent="0.3">
      <c r="A1725" t="s">
        <v>0</v>
      </c>
    </row>
    <row r="1726" spans="1:1" x14ac:dyDescent="0.3">
      <c r="A1726" t="s">
        <v>0</v>
      </c>
    </row>
    <row r="1727" spans="1:1" x14ac:dyDescent="0.3">
      <c r="A1727" t="s">
        <v>0</v>
      </c>
    </row>
    <row r="1728" spans="1:1" x14ac:dyDescent="0.3">
      <c r="A1728" t="s">
        <v>0</v>
      </c>
    </row>
    <row r="1729" spans="1:1" x14ac:dyDescent="0.3">
      <c r="A1729" t="s">
        <v>0</v>
      </c>
    </row>
    <row r="1730" spans="1:1" x14ac:dyDescent="0.3">
      <c r="A1730" t="s">
        <v>0</v>
      </c>
    </row>
    <row r="1731" spans="1:1" x14ac:dyDescent="0.3">
      <c r="A1731" t="s">
        <v>0</v>
      </c>
    </row>
    <row r="1732" spans="1:1" x14ac:dyDescent="0.3">
      <c r="A1732" t="s">
        <v>0</v>
      </c>
    </row>
    <row r="1733" spans="1:1" x14ac:dyDescent="0.3">
      <c r="A1733" t="s">
        <v>0</v>
      </c>
    </row>
    <row r="1734" spans="1:1" x14ac:dyDescent="0.3">
      <c r="A1734" t="s">
        <v>0</v>
      </c>
    </row>
    <row r="1735" spans="1:1" x14ac:dyDescent="0.3">
      <c r="A1735" t="s">
        <v>0</v>
      </c>
    </row>
    <row r="1736" spans="1:1" x14ac:dyDescent="0.3">
      <c r="A1736" t="s">
        <v>0</v>
      </c>
    </row>
    <row r="1737" spans="1:1" x14ac:dyDescent="0.3">
      <c r="A1737" t="s">
        <v>0</v>
      </c>
    </row>
    <row r="1738" spans="1:1" x14ac:dyDescent="0.3">
      <c r="A1738" t="s">
        <v>0</v>
      </c>
    </row>
    <row r="1739" spans="1:1" x14ac:dyDescent="0.3">
      <c r="A1739" t="s">
        <v>0</v>
      </c>
    </row>
    <row r="1740" spans="1:1" x14ac:dyDescent="0.3">
      <c r="A1740" t="s">
        <v>0</v>
      </c>
    </row>
    <row r="1741" spans="1:1" x14ac:dyDescent="0.3">
      <c r="A1741" t="s">
        <v>0</v>
      </c>
    </row>
    <row r="1742" spans="1:1" x14ac:dyDescent="0.3">
      <c r="A1742" t="s">
        <v>0</v>
      </c>
    </row>
    <row r="1743" spans="1:1" x14ac:dyDescent="0.3">
      <c r="A1743" t="s">
        <v>0</v>
      </c>
    </row>
    <row r="1744" spans="1:1" x14ac:dyDescent="0.3">
      <c r="A1744" t="s">
        <v>0</v>
      </c>
    </row>
    <row r="1745" spans="1:1" x14ac:dyDescent="0.3">
      <c r="A1745" t="s">
        <v>0</v>
      </c>
    </row>
    <row r="1746" spans="1:1" x14ac:dyDescent="0.3">
      <c r="A1746" t="s">
        <v>0</v>
      </c>
    </row>
    <row r="1747" spans="1:1" x14ac:dyDescent="0.3">
      <c r="A1747" t="s">
        <v>0</v>
      </c>
    </row>
    <row r="1748" spans="1:1" x14ac:dyDescent="0.3">
      <c r="A1748" t="s">
        <v>0</v>
      </c>
    </row>
    <row r="1749" spans="1:1" x14ac:dyDescent="0.3">
      <c r="A1749" t="s">
        <v>0</v>
      </c>
    </row>
    <row r="1750" spans="1:1" x14ac:dyDescent="0.3">
      <c r="A1750" t="s">
        <v>0</v>
      </c>
    </row>
    <row r="1751" spans="1:1" x14ac:dyDescent="0.3">
      <c r="A1751" t="s">
        <v>0</v>
      </c>
    </row>
    <row r="1752" spans="1:1" x14ac:dyDescent="0.3">
      <c r="A1752" t="s">
        <v>0</v>
      </c>
    </row>
    <row r="1753" spans="1:1" x14ac:dyDescent="0.3">
      <c r="A1753" t="s">
        <v>0</v>
      </c>
    </row>
    <row r="1754" spans="1:1" x14ac:dyDescent="0.3">
      <c r="A1754" t="s">
        <v>0</v>
      </c>
    </row>
    <row r="1755" spans="1:1" x14ac:dyDescent="0.3">
      <c r="A1755" t="s">
        <v>0</v>
      </c>
    </row>
    <row r="1756" spans="1:1" x14ac:dyDescent="0.3">
      <c r="A1756" t="s">
        <v>0</v>
      </c>
    </row>
    <row r="1757" spans="1:1" x14ac:dyDescent="0.3">
      <c r="A1757" t="s">
        <v>0</v>
      </c>
    </row>
    <row r="1758" spans="1:1" x14ac:dyDescent="0.3">
      <c r="A1758" t="s">
        <v>0</v>
      </c>
    </row>
    <row r="1759" spans="1:1" x14ac:dyDescent="0.3">
      <c r="A1759" t="s">
        <v>0</v>
      </c>
    </row>
    <row r="1760" spans="1:1" x14ac:dyDescent="0.3">
      <c r="A1760" t="s">
        <v>0</v>
      </c>
    </row>
    <row r="1761" spans="1:1" x14ac:dyDescent="0.3">
      <c r="A1761" t="s">
        <v>0</v>
      </c>
    </row>
    <row r="1762" spans="1:1" x14ac:dyDescent="0.3">
      <c r="A1762" t="s">
        <v>0</v>
      </c>
    </row>
    <row r="1763" spans="1:1" x14ac:dyDescent="0.3">
      <c r="A1763" t="s">
        <v>0</v>
      </c>
    </row>
    <row r="1764" spans="1:1" x14ac:dyDescent="0.3">
      <c r="A1764" t="s">
        <v>0</v>
      </c>
    </row>
    <row r="1765" spans="1:1" x14ac:dyDescent="0.3">
      <c r="A1765" t="s">
        <v>0</v>
      </c>
    </row>
    <row r="1766" spans="1:1" x14ac:dyDescent="0.3">
      <c r="A1766" t="s">
        <v>0</v>
      </c>
    </row>
    <row r="1767" spans="1:1" x14ac:dyDescent="0.3">
      <c r="A1767" t="s">
        <v>0</v>
      </c>
    </row>
    <row r="1768" spans="1:1" x14ac:dyDescent="0.3">
      <c r="A1768" t="s">
        <v>0</v>
      </c>
    </row>
    <row r="1769" spans="1:1" x14ac:dyDescent="0.3">
      <c r="A1769" t="s">
        <v>0</v>
      </c>
    </row>
    <row r="1770" spans="1:1" x14ac:dyDescent="0.3">
      <c r="A1770" t="s">
        <v>0</v>
      </c>
    </row>
    <row r="1771" spans="1:1" x14ac:dyDescent="0.3">
      <c r="A1771" t="s">
        <v>0</v>
      </c>
    </row>
    <row r="1772" spans="1:1" x14ac:dyDescent="0.3">
      <c r="A1772" t="s">
        <v>0</v>
      </c>
    </row>
    <row r="1773" spans="1:1" x14ac:dyDescent="0.3">
      <c r="A1773" t="s">
        <v>0</v>
      </c>
    </row>
    <row r="1774" spans="1:1" x14ac:dyDescent="0.3">
      <c r="A1774" t="s">
        <v>0</v>
      </c>
    </row>
    <row r="1775" spans="1:1" x14ac:dyDescent="0.3">
      <c r="A1775" t="s">
        <v>0</v>
      </c>
    </row>
    <row r="1776" spans="1:1" x14ac:dyDescent="0.3">
      <c r="A1776" t="s">
        <v>0</v>
      </c>
    </row>
    <row r="1777" spans="1:1" x14ac:dyDescent="0.3">
      <c r="A1777" t="s">
        <v>0</v>
      </c>
    </row>
    <row r="1778" spans="1:1" x14ac:dyDescent="0.3">
      <c r="A1778" t="s">
        <v>0</v>
      </c>
    </row>
    <row r="1779" spans="1:1" x14ac:dyDescent="0.3">
      <c r="A1779" t="s">
        <v>0</v>
      </c>
    </row>
    <row r="1780" spans="1:1" x14ac:dyDescent="0.3">
      <c r="A1780" t="s">
        <v>0</v>
      </c>
    </row>
    <row r="1781" spans="1:1" x14ac:dyDescent="0.3">
      <c r="A1781" t="s">
        <v>0</v>
      </c>
    </row>
    <row r="1782" spans="1:1" x14ac:dyDescent="0.3">
      <c r="A1782" t="s">
        <v>0</v>
      </c>
    </row>
    <row r="1783" spans="1:1" x14ac:dyDescent="0.3">
      <c r="A1783" t="s">
        <v>0</v>
      </c>
    </row>
    <row r="1784" spans="1:1" x14ac:dyDescent="0.3">
      <c r="A1784" t="s">
        <v>0</v>
      </c>
    </row>
    <row r="1785" spans="1:1" x14ac:dyDescent="0.3">
      <c r="A1785" t="s">
        <v>0</v>
      </c>
    </row>
    <row r="1786" spans="1:1" x14ac:dyDescent="0.3">
      <c r="A1786" t="s">
        <v>0</v>
      </c>
    </row>
    <row r="1787" spans="1:1" x14ac:dyDescent="0.3">
      <c r="A1787" t="s">
        <v>0</v>
      </c>
    </row>
    <row r="1788" spans="1:1" x14ac:dyDescent="0.3">
      <c r="A1788" t="s">
        <v>0</v>
      </c>
    </row>
    <row r="1789" spans="1:1" x14ac:dyDescent="0.3">
      <c r="A1789" t="s">
        <v>0</v>
      </c>
    </row>
    <row r="1790" spans="1:1" x14ac:dyDescent="0.3">
      <c r="A1790" t="s">
        <v>0</v>
      </c>
    </row>
    <row r="1791" spans="1:1" x14ac:dyDescent="0.3">
      <c r="A1791" t="s">
        <v>0</v>
      </c>
    </row>
    <row r="1792" spans="1:1" x14ac:dyDescent="0.3">
      <c r="A1792" t="s">
        <v>0</v>
      </c>
    </row>
    <row r="1793" spans="1:1" x14ac:dyDescent="0.3">
      <c r="A1793" t="s">
        <v>0</v>
      </c>
    </row>
    <row r="1794" spans="1:1" x14ac:dyDescent="0.3">
      <c r="A1794" t="s">
        <v>0</v>
      </c>
    </row>
    <row r="1795" spans="1:1" x14ac:dyDescent="0.3">
      <c r="A1795" t="s">
        <v>0</v>
      </c>
    </row>
    <row r="1796" spans="1:1" x14ac:dyDescent="0.3">
      <c r="A1796" t="s">
        <v>0</v>
      </c>
    </row>
    <row r="1797" spans="1:1" x14ac:dyDescent="0.3">
      <c r="A1797" t="s">
        <v>0</v>
      </c>
    </row>
    <row r="1798" spans="1:1" x14ac:dyDescent="0.3">
      <c r="A1798" t="s">
        <v>0</v>
      </c>
    </row>
    <row r="1799" spans="1:1" x14ac:dyDescent="0.3">
      <c r="A1799" t="s">
        <v>0</v>
      </c>
    </row>
    <row r="1800" spans="1:1" x14ac:dyDescent="0.3">
      <c r="A1800" t="s">
        <v>0</v>
      </c>
    </row>
    <row r="1801" spans="1:1" x14ac:dyDescent="0.3">
      <c r="A1801" t="s">
        <v>0</v>
      </c>
    </row>
    <row r="1802" spans="1:1" x14ac:dyDescent="0.3">
      <c r="A1802" t="s">
        <v>0</v>
      </c>
    </row>
    <row r="1803" spans="1:1" x14ac:dyDescent="0.3">
      <c r="A1803" t="s">
        <v>0</v>
      </c>
    </row>
    <row r="1804" spans="1:1" x14ac:dyDescent="0.3">
      <c r="A1804" t="s">
        <v>0</v>
      </c>
    </row>
    <row r="1805" spans="1:1" x14ac:dyDescent="0.3">
      <c r="A1805" t="s">
        <v>0</v>
      </c>
    </row>
    <row r="1806" spans="1:1" x14ac:dyDescent="0.3">
      <c r="A1806" t="s">
        <v>0</v>
      </c>
    </row>
    <row r="1807" spans="1:1" x14ac:dyDescent="0.3">
      <c r="A1807" t="s">
        <v>0</v>
      </c>
    </row>
    <row r="1808" spans="1:1" x14ac:dyDescent="0.3">
      <c r="A1808" t="s">
        <v>0</v>
      </c>
    </row>
    <row r="1809" spans="1:1" x14ac:dyDescent="0.3">
      <c r="A1809" t="s">
        <v>0</v>
      </c>
    </row>
    <row r="1810" spans="1:1" x14ac:dyDescent="0.3">
      <c r="A1810" t="s">
        <v>0</v>
      </c>
    </row>
    <row r="1811" spans="1:1" x14ac:dyDescent="0.3">
      <c r="A1811" t="s">
        <v>0</v>
      </c>
    </row>
    <row r="1812" spans="1:1" x14ac:dyDescent="0.3">
      <c r="A1812" t="s">
        <v>0</v>
      </c>
    </row>
    <row r="1813" spans="1:1" x14ac:dyDescent="0.3">
      <c r="A1813" t="s">
        <v>0</v>
      </c>
    </row>
    <row r="1814" spans="1:1" x14ac:dyDescent="0.3">
      <c r="A1814" t="s">
        <v>0</v>
      </c>
    </row>
    <row r="1815" spans="1:1" x14ac:dyDescent="0.3">
      <c r="A1815" t="s">
        <v>0</v>
      </c>
    </row>
    <row r="1816" spans="1:1" x14ac:dyDescent="0.3">
      <c r="A1816" t="s">
        <v>0</v>
      </c>
    </row>
    <row r="1817" spans="1:1" x14ac:dyDescent="0.3">
      <c r="A1817" t="s">
        <v>0</v>
      </c>
    </row>
    <row r="1818" spans="1:1" x14ac:dyDescent="0.3">
      <c r="A1818" t="s">
        <v>0</v>
      </c>
    </row>
    <row r="1819" spans="1:1" x14ac:dyDescent="0.3">
      <c r="A1819" t="s">
        <v>0</v>
      </c>
    </row>
    <row r="1820" spans="1:1" x14ac:dyDescent="0.3">
      <c r="A1820" t="s">
        <v>0</v>
      </c>
    </row>
    <row r="1821" spans="1:1" x14ac:dyDescent="0.3">
      <c r="A1821" t="s">
        <v>0</v>
      </c>
    </row>
    <row r="1822" spans="1:1" x14ac:dyDescent="0.3">
      <c r="A1822" t="s">
        <v>0</v>
      </c>
    </row>
    <row r="1823" spans="1:1" x14ac:dyDescent="0.3">
      <c r="A1823" t="s">
        <v>0</v>
      </c>
    </row>
    <row r="1824" spans="1:1" x14ac:dyDescent="0.3">
      <c r="A1824" t="s">
        <v>0</v>
      </c>
    </row>
    <row r="1825" spans="1:1" x14ac:dyDescent="0.3">
      <c r="A1825" t="s">
        <v>0</v>
      </c>
    </row>
    <row r="1826" spans="1:1" x14ac:dyDescent="0.3">
      <c r="A1826" t="s">
        <v>0</v>
      </c>
    </row>
    <row r="1827" spans="1:1" x14ac:dyDescent="0.3">
      <c r="A1827" t="s">
        <v>0</v>
      </c>
    </row>
    <row r="1828" spans="1:1" x14ac:dyDescent="0.3">
      <c r="A1828" t="s">
        <v>0</v>
      </c>
    </row>
    <row r="1829" spans="1:1" x14ac:dyDescent="0.3">
      <c r="A1829" t="s">
        <v>0</v>
      </c>
    </row>
    <row r="1830" spans="1:1" x14ac:dyDescent="0.3">
      <c r="A1830" t="s">
        <v>0</v>
      </c>
    </row>
    <row r="1831" spans="1:1" x14ac:dyDescent="0.3">
      <c r="A1831" t="s">
        <v>0</v>
      </c>
    </row>
    <row r="1832" spans="1:1" x14ac:dyDescent="0.3">
      <c r="A1832" t="s">
        <v>0</v>
      </c>
    </row>
    <row r="1833" spans="1:1" x14ac:dyDescent="0.3">
      <c r="A1833" t="s">
        <v>0</v>
      </c>
    </row>
    <row r="1834" spans="1:1" x14ac:dyDescent="0.3">
      <c r="A1834" t="s">
        <v>0</v>
      </c>
    </row>
    <row r="1835" spans="1:1" x14ac:dyDescent="0.3">
      <c r="A1835" t="s">
        <v>0</v>
      </c>
    </row>
    <row r="1836" spans="1:1" x14ac:dyDescent="0.3">
      <c r="A1836" t="s">
        <v>0</v>
      </c>
    </row>
    <row r="1837" spans="1:1" x14ac:dyDescent="0.3">
      <c r="A1837" t="s">
        <v>0</v>
      </c>
    </row>
    <row r="1838" spans="1:1" x14ac:dyDescent="0.3">
      <c r="A1838" t="s">
        <v>0</v>
      </c>
    </row>
    <row r="1839" spans="1:1" x14ac:dyDescent="0.3">
      <c r="A1839" t="s">
        <v>0</v>
      </c>
    </row>
    <row r="1840" spans="1:1" x14ac:dyDescent="0.3">
      <c r="A1840" t="s">
        <v>0</v>
      </c>
    </row>
    <row r="1841" spans="1:1" x14ac:dyDescent="0.3">
      <c r="A1841" t="s">
        <v>0</v>
      </c>
    </row>
    <row r="1842" spans="1:1" x14ac:dyDescent="0.3">
      <c r="A1842" t="s">
        <v>0</v>
      </c>
    </row>
    <row r="1843" spans="1:1" x14ac:dyDescent="0.3">
      <c r="A1843" t="s">
        <v>0</v>
      </c>
    </row>
    <row r="1844" spans="1:1" x14ac:dyDescent="0.3">
      <c r="A1844" t="s">
        <v>0</v>
      </c>
    </row>
    <row r="1845" spans="1:1" x14ac:dyDescent="0.3">
      <c r="A1845" t="s">
        <v>0</v>
      </c>
    </row>
    <row r="1846" spans="1:1" x14ac:dyDescent="0.3">
      <c r="A1846" t="s">
        <v>0</v>
      </c>
    </row>
    <row r="1847" spans="1:1" x14ac:dyDescent="0.3">
      <c r="A1847" t="s">
        <v>0</v>
      </c>
    </row>
    <row r="1848" spans="1:1" x14ac:dyDescent="0.3">
      <c r="A1848" t="s">
        <v>0</v>
      </c>
    </row>
    <row r="1849" spans="1:1" x14ac:dyDescent="0.3">
      <c r="A1849" t="s">
        <v>0</v>
      </c>
    </row>
    <row r="1850" spans="1:1" x14ac:dyDescent="0.3">
      <c r="A1850" t="s">
        <v>0</v>
      </c>
    </row>
    <row r="1851" spans="1:1" x14ac:dyDescent="0.3">
      <c r="A1851" t="s">
        <v>0</v>
      </c>
    </row>
    <row r="1852" spans="1:1" x14ac:dyDescent="0.3">
      <c r="A1852" t="s">
        <v>0</v>
      </c>
    </row>
    <row r="1853" spans="1:1" x14ac:dyDescent="0.3">
      <c r="A1853" t="s">
        <v>0</v>
      </c>
    </row>
    <row r="1854" spans="1:1" x14ac:dyDescent="0.3">
      <c r="A1854" t="s">
        <v>0</v>
      </c>
    </row>
    <row r="1855" spans="1:1" x14ac:dyDescent="0.3">
      <c r="A1855" t="s">
        <v>0</v>
      </c>
    </row>
    <row r="1856" spans="1:1" x14ac:dyDescent="0.3">
      <c r="A1856" t="s">
        <v>0</v>
      </c>
    </row>
    <row r="1857" spans="1:1" x14ac:dyDescent="0.3">
      <c r="A1857" t="s">
        <v>0</v>
      </c>
    </row>
    <row r="1858" spans="1:1" x14ac:dyDescent="0.3">
      <c r="A1858" t="s">
        <v>0</v>
      </c>
    </row>
    <row r="1859" spans="1:1" x14ac:dyDescent="0.3">
      <c r="A1859" t="s">
        <v>0</v>
      </c>
    </row>
    <row r="1860" spans="1:1" x14ac:dyDescent="0.3">
      <c r="A1860" t="s">
        <v>0</v>
      </c>
    </row>
    <row r="1861" spans="1:1" x14ac:dyDescent="0.3">
      <c r="A1861" t="s">
        <v>0</v>
      </c>
    </row>
    <row r="1862" spans="1:1" x14ac:dyDescent="0.3">
      <c r="A1862" t="s">
        <v>0</v>
      </c>
    </row>
    <row r="1863" spans="1:1" x14ac:dyDescent="0.3">
      <c r="A1863" t="s">
        <v>0</v>
      </c>
    </row>
    <row r="1864" spans="1:1" x14ac:dyDescent="0.3">
      <c r="A1864" t="s">
        <v>0</v>
      </c>
    </row>
    <row r="1865" spans="1:1" x14ac:dyDescent="0.3">
      <c r="A1865" t="s">
        <v>0</v>
      </c>
    </row>
    <row r="1866" spans="1:1" x14ac:dyDescent="0.3">
      <c r="A1866" t="s">
        <v>0</v>
      </c>
    </row>
    <row r="1867" spans="1:1" x14ac:dyDescent="0.3">
      <c r="A1867" t="s">
        <v>0</v>
      </c>
    </row>
    <row r="1868" spans="1:1" x14ac:dyDescent="0.3">
      <c r="A1868" t="s">
        <v>0</v>
      </c>
    </row>
    <row r="1869" spans="1:1" x14ac:dyDescent="0.3">
      <c r="A1869" t="s">
        <v>0</v>
      </c>
    </row>
    <row r="1870" spans="1:1" x14ac:dyDescent="0.3">
      <c r="A1870" t="s">
        <v>0</v>
      </c>
    </row>
    <row r="1871" spans="1:1" x14ac:dyDescent="0.3">
      <c r="A1871" t="s">
        <v>0</v>
      </c>
    </row>
    <row r="1872" spans="1:1" x14ac:dyDescent="0.3">
      <c r="A1872" t="s">
        <v>0</v>
      </c>
    </row>
    <row r="1873" spans="1:1" x14ac:dyDescent="0.3">
      <c r="A1873" t="s">
        <v>0</v>
      </c>
    </row>
    <row r="1874" spans="1:1" x14ac:dyDescent="0.3">
      <c r="A1874" t="s">
        <v>0</v>
      </c>
    </row>
    <row r="1875" spans="1:1" x14ac:dyDescent="0.3">
      <c r="A1875" t="s">
        <v>0</v>
      </c>
    </row>
    <row r="1876" spans="1:1" x14ac:dyDescent="0.3">
      <c r="A1876" t="s">
        <v>0</v>
      </c>
    </row>
    <row r="1877" spans="1:1" x14ac:dyDescent="0.3">
      <c r="A1877" t="s">
        <v>0</v>
      </c>
    </row>
    <row r="1878" spans="1:1" x14ac:dyDescent="0.3">
      <c r="A1878" t="s">
        <v>0</v>
      </c>
    </row>
    <row r="1879" spans="1:1" x14ac:dyDescent="0.3">
      <c r="A1879" t="s">
        <v>0</v>
      </c>
    </row>
    <row r="1880" spans="1:1" x14ac:dyDescent="0.3">
      <c r="A1880" t="s">
        <v>0</v>
      </c>
    </row>
    <row r="1881" spans="1:1" x14ac:dyDescent="0.3">
      <c r="A1881" t="s">
        <v>0</v>
      </c>
    </row>
    <row r="1882" spans="1:1" x14ac:dyDescent="0.3">
      <c r="A1882" t="s">
        <v>0</v>
      </c>
    </row>
    <row r="1883" spans="1:1" x14ac:dyDescent="0.3">
      <c r="A1883" t="s">
        <v>0</v>
      </c>
    </row>
    <row r="1884" spans="1:1" x14ac:dyDescent="0.3">
      <c r="A1884" t="s">
        <v>0</v>
      </c>
    </row>
    <row r="1885" spans="1:1" x14ac:dyDescent="0.3">
      <c r="A1885" t="s">
        <v>0</v>
      </c>
    </row>
    <row r="1886" spans="1:1" x14ac:dyDescent="0.3">
      <c r="A1886" t="s">
        <v>0</v>
      </c>
    </row>
    <row r="1887" spans="1:1" x14ac:dyDescent="0.3">
      <c r="A1887" t="s">
        <v>0</v>
      </c>
    </row>
    <row r="1888" spans="1:1" x14ac:dyDescent="0.3">
      <c r="A1888" t="s">
        <v>0</v>
      </c>
    </row>
    <row r="1889" spans="1:1" x14ac:dyDescent="0.3">
      <c r="A1889" t="s">
        <v>0</v>
      </c>
    </row>
    <row r="1890" spans="1:1" x14ac:dyDescent="0.3">
      <c r="A1890" t="s">
        <v>0</v>
      </c>
    </row>
    <row r="1891" spans="1:1" x14ac:dyDescent="0.3">
      <c r="A1891" t="s">
        <v>0</v>
      </c>
    </row>
    <row r="1892" spans="1:1" x14ac:dyDescent="0.3">
      <c r="A1892" t="s">
        <v>0</v>
      </c>
    </row>
    <row r="1893" spans="1:1" x14ac:dyDescent="0.3">
      <c r="A1893" t="s">
        <v>0</v>
      </c>
    </row>
    <row r="1894" spans="1:1" x14ac:dyDescent="0.3">
      <c r="A1894" t="s">
        <v>0</v>
      </c>
    </row>
    <row r="1895" spans="1:1" x14ac:dyDescent="0.3">
      <c r="A1895" t="s">
        <v>0</v>
      </c>
    </row>
    <row r="1896" spans="1:1" x14ac:dyDescent="0.3">
      <c r="A1896" t="s">
        <v>0</v>
      </c>
    </row>
    <row r="1897" spans="1:1" x14ac:dyDescent="0.3">
      <c r="A1897" t="s">
        <v>0</v>
      </c>
    </row>
    <row r="1898" spans="1:1" x14ac:dyDescent="0.3">
      <c r="A1898" t="s">
        <v>0</v>
      </c>
    </row>
    <row r="1899" spans="1:1" x14ac:dyDescent="0.3">
      <c r="A1899" t="s">
        <v>0</v>
      </c>
    </row>
    <row r="1900" spans="1:1" x14ac:dyDescent="0.3">
      <c r="A1900" t="s">
        <v>0</v>
      </c>
    </row>
    <row r="1901" spans="1:1" x14ac:dyDescent="0.3">
      <c r="A1901" t="s">
        <v>0</v>
      </c>
    </row>
    <row r="1902" spans="1:1" x14ac:dyDescent="0.3">
      <c r="A1902" t="s">
        <v>0</v>
      </c>
    </row>
    <row r="1903" spans="1:1" x14ac:dyDescent="0.3">
      <c r="A1903" t="s">
        <v>0</v>
      </c>
    </row>
    <row r="1904" spans="1:1" x14ac:dyDescent="0.3">
      <c r="A1904" t="s">
        <v>0</v>
      </c>
    </row>
    <row r="1905" spans="1:1" x14ac:dyDescent="0.3">
      <c r="A1905" t="s">
        <v>0</v>
      </c>
    </row>
    <row r="1906" spans="1:1" x14ac:dyDescent="0.3">
      <c r="A1906" t="s">
        <v>0</v>
      </c>
    </row>
    <row r="1907" spans="1:1" x14ac:dyDescent="0.3">
      <c r="A1907" t="s">
        <v>0</v>
      </c>
    </row>
    <row r="1908" spans="1:1" x14ac:dyDescent="0.3">
      <c r="A1908" t="s">
        <v>0</v>
      </c>
    </row>
    <row r="1909" spans="1:1" x14ac:dyDescent="0.3">
      <c r="A1909" t="s">
        <v>0</v>
      </c>
    </row>
    <row r="1910" spans="1:1" x14ac:dyDescent="0.3">
      <c r="A1910" t="s">
        <v>0</v>
      </c>
    </row>
    <row r="1911" spans="1:1" x14ac:dyDescent="0.3">
      <c r="A1911" t="s">
        <v>0</v>
      </c>
    </row>
    <row r="1912" spans="1:1" x14ac:dyDescent="0.3">
      <c r="A1912" t="s">
        <v>0</v>
      </c>
    </row>
    <row r="1913" spans="1:1" x14ac:dyDescent="0.3">
      <c r="A1913" t="s">
        <v>0</v>
      </c>
    </row>
    <row r="1914" spans="1:1" x14ac:dyDescent="0.3">
      <c r="A1914" t="s">
        <v>0</v>
      </c>
    </row>
    <row r="1915" spans="1:1" x14ac:dyDescent="0.3">
      <c r="A1915" t="s">
        <v>0</v>
      </c>
    </row>
    <row r="1916" spans="1:1" x14ac:dyDescent="0.3">
      <c r="A1916" t="s">
        <v>0</v>
      </c>
    </row>
    <row r="1917" spans="1:1" x14ac:dyDescent="0.3">
      <c r="A1917" t="s">
        <v>0</v>
      </c>
    </row>
    <row r="1918" spans="1:1" x14ac:dyDescent="0.3">
      <c r="A1918" t="s">
        <v>0</v>
      </c>
    </row>
    <row r="1919" spans="1:1" x14ac:dyDescent="0.3">
      <c r="A1919" t="s">
        <v>0</v>
      </c>
    </row>
    <row r="1920" spans="1:1" x14ac:dyDescent="0.3">
      <c r="A1920" t="s">
        <v>0</v>
      </c>
    </row>
    <row r="1921" spans="1:1" x14ac:dyDescent="0.3">
      <c r="A1921" t="s">
        <v>0</v>
      </c>
    </row>
    <row r="1922" spans="1:1" x14ac:dyDescent="0.3">
      <c r="A1922" t="s">
        <v>0</v>
      </c>
    </row>
    <row r="1923" spans="1:1" x14ac:dyDescent="0.3">
      <c r="A1923" t="s">
        <v>0</v>
      </c>
    </row>
    <row r="1924" spans="1:1" x14ac:dyDescent="0.3">
      <c r="A1924" t="s">
        <v>0</v>
      </c>
    </row>
    <row r="1925" spans="1:1" x14ac:dyDescent="0.3">
      <c r="A1925" t="s">
        <v>0</v>
      </c>
    </row>
    <row r="1926" spans="1:1" x14ac:dyDescent="0.3">
      <c r="A1926" t="s">
        <v>0</v>
      </c>
    </row>
    <row r="1927" spans="1:1" x14ac:dyDescent="0.3">
      <c r="A1927" t="s">
        <v>0</v>
      </c>
    </row>
    <row r="1928" spans="1:1" x14ac:dyDescent="0.3">
      <c r="A1928" t="s">
        <v>0</v>
      </c>
    </row>
    <row r="1929" spans="1:1" x14ac:dyDescent="0.3">
      <c r="A1929" t="s">
        <v>0</v>
      </c>
    </row>
    <row r="1930" spans="1:1" x14ac:dyDescent="0.3">
      <c r="A1930" t="s">
        <v>0</v>
      </c>
    </row>
    <row r="1931" spans="1:1" x14ac:dyDescent="0.3">
      <c r="A1931" t="s">
        <v>0</v>
      </c>
    </row>
    <row r="1932" spans="1:1" x14ac:dyDescent="0.3">
      <c r="A1932" t="s">
        <v>0</v>
      </c>
    </row>
    <row r="1933" spans="1:1" x14ac:dyDescent="0.3">
      <c r="A1933" t="s">
        <v>0</v>
      </c>
    </row>
    <row r="1934" spans="1:1" x14ac:dyDescent="0.3">
      <c r="A1934" t="s">
        <v>0</v>
      </c>
    </row>
    <row r="1935" spans="1:1" x14ac:dyDescent="0.3">
      <c r="A1935" t="s">
        <v>0</v>
      </c>
    </row>
    <row r="1936" spans="1:1" x14ac:dyDescent="0.3">
      <c r="A1936" t="s">
        <v>0</v>
      </c>
    </row>
    <row r="1937" spans="1:1" x14ac:dyDescent="0.3">
      <c r="A1937" t="s">
        <v>0</v>
      </c>
    </row>
    <row r="1938" spans="1:1" x14ac:dyDescent="0.3">
      <c r="A1938" t="s">
        <v>0</v>
      </c>
    </row>
    <row r="1939" spans="1:1" x14ac:dyDescent="0.3">
      <c r="A1939" t="s">
        <v>0</v>
      </c>
    </row>
    <row r="1940" spans="1:1" x14ac:dyDescent="0.3">
      <c r="A1940" t="s">
        <v>0</v>
      </c>
    </row>
    <row r="1941" spans="1:1" x14ac:dyDescent="0.3">
      <c r="A1941" t="s">
        <v>0</v>
      </c>
    </row>
    <row r="1942" spans="1:1" x14ac:dyDescent="0.3">
      <c r="A1942" t="s">
        <v>0</v>
      </c>
    </row>
    <row r="1943" spans="1:1" x14ac:dyDescent="0.3">
      <c r="A1943" t="s">
        <v>0</v>
      </c>
    </row>
    <row r="1944" spans="1:1" x14ac:dyDescent="0.3">
      <c r="A1944" t="s">
        <v>0</v>
      </c>
    </row>
    <row r="1945" spans="1:1" x14ac:dyDescent="0.3">
      <c r="A1945" t="s">
        <v>0</v>
      </c>
    </row>
    <row r="1946" spans="1:1" x14ac:dyDescent="0.3">
      <c r="A1946" t="s">
        <v>0</v>
      </c>
    </row>
    <row r="1947" spans="1:1" x14ac:dyDescent="0.3">
      <c r="A1947" t="s">
        <v>0</v>
      </c>
    </row>
    <row r="1948" spans="1:1" x14ac:dyDescent="0.3">
      <c r="A1948" t="s">
        <v>0</v>
      </c>
    </row>
    <row r="1949" spans="1:1" x14ac:dyDescent="0.3">
      <c r="A1949" t="s">
        <v>0</v>
      </c>
    </row>
    <row r="1950" spans="1:1" x14ac:dyDescent="0.3">
      <c r="A1950" t="s">
        <v>0</v>
      </c>
    </row>
    <row r="1951" spans="1:1" x14ac:dyDescent="0.3">
      <c r="A1951" t="s">
        <v>0</v>
      </c>
    </row>
    <row r="1952" spans="1:1" x14ac:dyDescent="0.3">
      <c r="A1952" t="s">
        <v>0</v>
      </c>
    </row>
    <row r="1953" spans="1:1" x14ac:dyDescent="0.3">
      <c r="A1953" t="s">
        <v>0</v>
      </c>
    </row>
    <row r="1954" spans="1:1" x14ac:dyDescent="0.3">
      <c r="A1954" t="s">
        <v>0</v>
      </c>
    </row>
    <row r="1955" spans="1:1" x14ac:dyDescent="0.3">
      <c r="A1955" t="s">
        <v>0</v>
      </c>
    </row>
    <row r="1956" spans="1:1" x14ac:dyDescent="0.3">
      <c r="A1956" t="s">
        <v>0</v>
      </c>
    </row>
    <row r="1957" spans="1:1" x14ac:dyDescent="0.3">
      <c r="A1957" t="s">
        <v>0</v>
      </c>
    </row>
    <row r="1958" spans="1:1" x14ac:dyDescent="0.3">
      <c r="A1958" t="s">
        <v>0</v>
      </c>
    </row>
    <row r="1959" spans="1:1" x14ac:dyDescent="0.3">
      <c r="A1959" t="s">
        <v>0</v>
      </c>
    </row>
    <row r="1960" spans="1:1" x14ac:dyDescent="0.3">
      <c r="A1960" t="s">
        <v>0</v>
      </c>
    </row>
    <row r="1961" spans="1:1" x14ac:dyDescent="0.3">
      <c r="A1961" t="s">
        <v>0</v>
      </c>
    </row>
    <row r="1962" spans="1:1" x14ac:dyDescent="0.3">
      <c r="A1962" t="s">
        <v>0</v>
      </c>
    </row>
    <row r="1963" spans="1:1" x14ac:dyDescent="0.3">
      <c r="A1963" t="s">
        <v>0</v>
      </c>
    </row>
    <row r="1964" spans="1:1" x14ac:dyDescent="0.3">
      <c r="A1964" t="s">
        <v>0</v>
      </c>
    </row>
    <row r="1965" spans="1:1" x14ac:dyDescent="0.3">
      <c r="A1965" t="s">
        <v>0</v>
      </c>
    </row>
    <row r="1966" spans="1:1" x14ac:dyDescent="0.3">
      <c r="A1966" t="s">
        <v>0</v>
      </c>
    </row>
    <row r="1967" spans="1:1" x14ac:dyDescent="0.3">
      <c r="A1967" t="s">
        <v>0</v>
      </c>
    </row>
    <row r="1968" spans="1:1" x14ac:dyDescent="0.3">
      <c r="A1968" t="s">
        <v>0</v>
      </c>
    </row>
    <row r="1969" spans="1:1" x14ac:dyDescent="0.3">
      <c r="A1969" t="s">
        <v>0</v>
      </c>
    </row>
    <row r="1970" spans="1:1" x14ac:dyDescent="0.3">
      <c r="A1970" t="s">
        <v>0</v>
      </c>
    </row>
    <row r="1971" spans="1:1" x14ac:dyDescent="0.3">
      <c r="A1971" t="s">
        <v>0</v>
      </c>
    </row>
    <row r="1972" spans="1:1" x14ac:dyDescent="0.3">
      <c r="A1972" t="s">
        <v>0</v>
      </c>
    </row>
    <row r="1973" spans="1:1" x14ac:dyDescent="0.3">
      <c r="A1973" t="s">
        <v>0</v>
      </c>
    </row>
    <row r="1974" spans="1:1" x14ac:dyDescent="0.3">
      <c r="A1974" t="s">
        <v>0</v>
      </c>
    </row>
    <row r="1975" spans="1:1" x14ac:dyDescent="0.3">
      <c r="A1975" t="s">
        <v>0</v>
      </c>
    </row>
    <row r="1976" spans="1:1" x14ac:dyDescent="0.3">
      <c r="A1976" t="s">
        <v>0</v>
      </c>
    </row>
    <row r="1977" spans="1:1" x14ac:dyDescent="0.3">
      <c r="A1977" t="s">
        <v>0</v>
      </c>
    </row>
    <row r="1978" spans="1:1" x14ac:dyDescent="0.3">
      <c r="A1978" t="s">
        <v>0</v>
      </c>
    </row>
    <row r="1979" spans="1:1" x14ac:dyDescent="0.3">
      <c r="A1979" t="s">
        <v>0</v>
      </c>
    </row>
    <row r="1980" spans="1:1" x14ac:dyDescent="0.3">
      <c r="A1980" t="s">
        <v>0</v>
      </c>
    </row>
    <row r="1981" spans="1:1" x14ac:dyDescent="0.3">
      <c r="A1981" t="s">
        <v>0</v>
      </c>
    </row>
    <row r="1982" spans="1:1" x14ac:dyDescent="0.3">
      <c r="A1982" t="s">
        <v>0</v>
      </c>
    </row>
    <row r="1983" spans="1:1" x14ac:dyDescent="0.3">
      <c r="A1983" t="s">
        <v>0</v>
      </c>
    </row>
    <row r="1984" spans="1:1" x14ac:dyDescent="0.3">
      <c r="A1984" t="s">
        <v>0</v>
      </c>
    </row>
    <row r="1985" spans="1:1" x14ac:dyDescent="0.3">
      <c r="A1985" t="s">
        <v>0</v>
      </c>
    </row>
    <row r="1986" spans="1:1" x14ac:dyDescent="0.3">
      <c r="A1986" t="s">
        <v>0</v>
      </c>
    </row>
    <row r="1987" spans="1:1" x14ac:dyDescent="0.3">
      <c r="A1987" t="s">
        <v>0</v>
      </c>
    </row>
    <row r="1988" spans="1:1" x14ac:dyDescent="0.3">
      <c r="A1988" t="s">
        <v>0</v>
      </c>
    </row>
    <row r="1989" spans="1:1" x14ac:dyDescent="0.3">
      <c r="A1989" t="s">
        <v>0</v>
      </c>
    </row>
    <row r="1990" spans="1:1" x14ac:dyDescent="0.3">
      <c r="A1990" t="s">
        <v>0</v>
      </c>
    </row>
    <row r="1991" spans="1:1" x14ac:dyDescent="0.3">
      <c r="A1991" t="s">
        <v>0</v>
      </c>
    </row>
    <row r="1992" spans="1:1" x14ac:dyDescent="0.3">
      <c r="A1992" t="s">
        <v>0</v>
      </c>
    </row>
    <row r="1993" spans="1:1" x14ac:dyDescent="0.3">
      <c r="A1993" t="s">
        <v>0</v>
      </c>
    </row>
    <row r="1994" spans="1:1" x14ac:dyDescent="0.3">
      <c r="A1994" t="s">
        <v>0</v>
      </c>
    </row>
    <row r="1995" spans="1:1" x14ac:dyDescent="0.3">
      <c r="A1995" t="s">
        <v>0</v>
      </c>
    </row>
    <row r="1996" spans="1:1" x14ac:dyDescent="0.3">
      <c r="A1996" t="s">
        <v>0</v>
      </c>
    </row>
    <row r="1997" spans="1:1" x14ac:dyDescent="0.3">
      <c r="A1997" t="s">
        <v>0</v>
      </c>
    </row>
    <row r="1998" spans="1:1" x14ac:dyDescent="0.3">
      <c r="A1998" t="s">
        <v>0</v>
      </c>
    </row>
    <row r="1999" spans="1:1" x14ac:dyDescent="0.3">
      <c r="A1999" t="s">
        <v>0</v>
      </c>
    </row>
    <row r="2000" spans="1:1" x14ac:dyDescent="0.3">
      <c r="A2000" t="s">
        <v>0</v>
      </c>
    </row>
    <row r="2001" spans="1:1" x14ac:dyDescent="0.3">
      <c r="A2001" t="s">
        <v>0</v>
      </c>
    </row>
    <row r="2002" spans="1:1" x14ac:dyDescent="0.3">
      <c r="A2002" t="s">
        <v>0</v>
      </c>
    </row>
    <row r="2003" spans="1:1" x14ac:dyDescent="0.3">
      <c r="A2003" t="s">
        <v>0</v>
      </c>
    </row>
    <row r="2004" spans="1:1" x14ac:dyDescent="0.3">
      <c r="A2004" t="s">
        <v>0</v>
      </c>
    </row>
    <row r="2005" spans="1:1" x14ac:dyDescent="0.3">
      <c r="A2005" t="s">
        <v>0</v>
      </c>
    </row>
    <row r="2006" spans="1:1" x14ac:dyDescent="0.3">
      <c r="A2006" t="s">
        <v>0</v>
      </c>
    </row>
    <row r="2007" spans="1:1" x14ac:dyDescent="0.3">
      <c r="A2007" t="s">
        <v>0</v>
      </c>
    </row>
    <row r="2008" spans="1:1" x14ac:dyDescent="0.3">
      <c r="A2008" t="s">
        <v>0</v>
      </c>
    </row>
    <row r="2009" spans="1:1" x14ac:dyDescent="0.3">
      <c r="A2009" t="s">
        <v>0</v>
      </c>
    </row>
    <row r="2010" spans="1:1" x14ac:dyDescent="0.3">
      <c r="A2010" t="s">
        <v>0</v>
      </c>
    </row>
    <row r="2011" spans="1:1" x14ac:dyDescent="0.3">
      <c r="A2011" t="s">
        <v>0</v>
      </c>
    </row>
    <row r="2012" spans="1:1" x14ac:dyDescent="0.3">
      <c r="A2012" t="s">
        <v>0</v>
      </c>
    </row>
    <row r="2013" spans="1:1" x14ac:dyDescent="0.3">
      <c r="A2013" t="s">
        <v>0</v>
      </c>
    </row>
    <row r="2014" spans="1:1" x14ac:dyDescent="0.3">
      <c r="A2014" t="s">
        <v>0</v>
      </c>
    </row>
    <row r="2015" spans="1:1" x14ac:dyDescent="0.3">
      <c r="A2015" t="s">
        <v>0</v>
      </c>
    </row>
    <row r="2016" spans="1:1" x14ac:dyDescent="0.3">
      <c r="A2016" t="s">
        <v>0</v>
      </c>
    </row>
    <row r="2017" spans="1:1" x14ac:dyDescent="0.3">
      <c r="A2017" t="s">
        <v>0</v>
      </c>
    </row>
    <row r="2018" spans="1:1" x14ac:dyDescent="0.3">
      <c r="A2018" t="s">
        <v>0</v>
      </c>
    </row>
    <row r="2019" spans="1:1" x14ac:dyDescent="0.3">
      <c r="A2019" t="s">
        <v>0</v>
      </c>
    </row>
    <row r="2020" spans="1:1" x14ac:dyDescent="0.3">
      <c r="A2020" t="s">
        <v>0</v>
      </c>
    </row>
    <row r="2021" spans="1:1" x14ac:dyDescent="0.3">
      <c r="A2021" t="s">
        <v>0</v>
      </c>
    </row>
    <row r="2022" spans="1:1" x14ac:dyDescent="0.3">
      <c r="A2022" t="s">
        <v>0</v>
      </c>
    </row>
    <row r="2023" spans="1:1" x14ac:dyDescent="0.3">
      <c r="A2023" t="s">
        <v>0</v>
      </c>
    </row>
    <row r="2024" spans="1:1" x14ac:dyDescent="0.3">
      <c r="A2024" t="s">
        <v>0</v>
      </c>
    </row>
    <row r="2025" spans="1:1" x14ac:dyDescent="0.3">
      <c r="A2025" t="s">
        <v>0</v>
      </c>
    </row>
    <row r="2026" spans="1:1" x14ac:dyDescent="0.3">
      <c r="A2026" t="s">
        <v>0</v>
      </c>
    </row>
    <row r="2027" spans="1:1" x14ac:dyDescent="0.3">
      <c r="A2027" t="s">
        <v>0</v>
      </c>
    </row>
    <row r="2028" spans="1:1" x14ac:dyDescent="0.3">
      <c r="A2028" t="s">
        <v>0</v>
      </c>
    </row>
    <row r="2029" spans="1:1" x14ac:dyDescent="0.3">
      <c r="A2029" t="s">
        <v>0</v>
      </c>
    </row>
    <row r="2030" spans="1:1" x14ac:dyDescent="0.3">
      <c r="A2030" t="s">
        <v>0</v>
      </c>
    </row>
    <row r="2031" spans="1:1" x14ac:dyDescent="0.3">
      <c r="A2031" t="s">
        <v>0</v>
      </c>
    </row>
    <row r="2032" spans="1:1" x14ac:dyDescent="0.3">
      <c r="A2032" t="s">
        <v>0</v>
      </c>
    </row>
    <row r="2033" spans="1:1" x14ac:dyDescent="0.3">
      <c r="A2033" t="s">
        <v>0</v>
      </c>
    </row>
    <row r="2034" spans="1:1" x14ac:dyDescent="0.3">
      <c r="A2034" t="s">
        <v>0</v>
      </c>
    </row>
    <row r="2035" spans="1:1" x14ac:dyDescent="0.3">
      <c r="A2035" t="s">
        <v>0</v>
      </c>
    </row>
    <row r="2036" spans="1:1" x14ac:dyDescent="0.3">
      <c r="A2036" t="s">
        <v>0</v>
      </c>
    </row>
    <row r="2037" spans="1:1" x14ac:dyDescent="0.3">
      <c r="A2037" t="s">
        <v>0</v>
      </c>
    </row>
    <row r="2038" spans="1:1" x14ac:dyDescent="0.3">
      <c r="A2038" t="s">
        <v>0</v>
      </c>
    </row>
    <row r="2039" spans="1:1" x14ac:dyDescent="0.3">
      <c r="A2039" t="s">
        <v>0</v>
      </c>
    </row>
    <row r="2040" spans="1:1" x14ac:dyDescent="0.3">
      <c r="A2040" t="s">
        <v>0</v>
      </c>
    </row>
    <row r="2041" spans="1:1" x14ac:dyDescent="0.3">
      <c r="A2041" t="s">
        <v>0</v>
      </c>
    </row>
    <row r="2042" spans="1:1" x14ac:dyDescent="0.3">
      <c r="A2042" t="s">
        <v>0</v>
      </c>
    </row>
    <row r="2043" spans="1:1" x14ac:dyDescent="0.3">
      <c r="A2043" t="s">
        <v>0</v>
      </c>
    </row>
    <row r="2044" spans="1:1" x14ac:dyDescent="0.3">
      <c r="A2044" t="s">
        <v>0</v>
      </c>
    </row>
    <row r="2045" spans="1:1" x14ac:dyDescent="0.3">
      <c r="A2045" t="s">
        <v>0</v>
      </c>
    </row>
    <row r="2046" spans="1:1" x14ac:dyDescent="0.3">
      <c r="A2046" t="s">
        <v>0</v>
      </c>
    </row>
    <row r="2047" spans="1:1" x14ac:dyDescent="0.3">
      <c r="A2047" t="s">
        <v>0</v>
      </c>
    </row>
    <row r="2048" spans="1:1" x14ac:dyDescent="0.3">
      <c r="A2048" t="s">
        <v>0</v>
      </c>
    </row>
    <row r="2049" spans="1:1" x14ac:dyDescent="0.3">
      <c r="A2049" t="s">
        <v>0</v>
      </c>
    </row>
    <row r="2050" spans="1:1" x14ac:dyDescent="0.3">
      <c r="A2050" t="s">
        <v>0</v>
      </c>
    </row>
    <row r="2051" spans="1:1" x14ac:dyDescent="0.3">
      <c r="A2051" t="s">
        <v>0</v>
      </c>
    </row>
    <row r="2052" spans="1:1" x14ac:dyDescent="0.3">
      <c r="A2052" t="s">
        <v>0</v>
      </c>
    </row>
    <row r="2053" spans="1:1" x14ac:dyDescent="0.3">
      <c r="A2053" t="s">
        <v>0</v>
      </c>
    </row>
    <row r="2054" spans="1:1" x14ac:dyDescent="0.3">
      <c r="A2054" t="s">
        <v>0</v>
      </c>
    </row>
    <row r="2055" spans="1:1" x14ac:dyDescent="0.3">
      <c r="A2055" t="s">
        <v>0</v>
      </c>
    </row>
    <row r="2056" spans="1:1" x14ac:dyDescent="0.3">
      <c r="A2056" t="s">
        <v>0</v>
      </c>
    </row>
    <row r="2057" spans="1:1" x14ac:dyDescent="0.3">
      <c r="A2057" t="s">
        <v>0</v>
      </c>
    </row>
    <row r="2058" spans="1:1" x14ac:dyDescent="0.3">
      <c r="A2058" t="s">
        <v>0</v>
      </c>
    </row>
    <row r="2059" spans="1:1" x14ac:dyDescent="0.3">
      <c r="A2059" t="s">
        <v>0</v>
      </c>
    </row>
    <row r="2060" spans="1:1" x14ac:dyDescent="0.3">
      <c r="A2060" t="s">
        <v>0</v>
      </c>
    </row>
    <row r="2061" spans="1:1" x14ac:dyDescent="0.3">
      <c r="A2061" t="s">
        <v>0</v>
      </c>
    </row>
    <row r="2062" spans="1:1" x14ac:dyDescent="0.3">
      <c r="A2062" t="s">
        <v>0</v>
      </c>
    </row>
    <row r="2063" spans="1:1" x14ac:dyDescent="0.3">
      <c r="A2063" t="s">
        <v>0</v>
      </c>
    </row>
    <row r="2064" spans="1:1" x14ac:dyDescent="0.3">
      <c r="A2064" t="s">
        <v>0</v>
      </c>
    </row>
    <row r="2065" spans="1:1" x14ac:dyDescent="0.3">
      <c r="A2065" t="s">
        <v>0</v>
      </c>
    </row>
    <row r="2066" spans="1:1" x14ac:dyDescent="0.3">
      <c r="A2066" t="s">
        <v>0</v>
      </c>
    </row>
    <row r="2067" spans="1:1" x14ac:dyDescent="0.3">
      <c r="A2067" t="s">
        <v>0</v>
      </c>
    </row>
    <row r="2068" spans="1:1" x14ac:dyDescent="0.3">
      <c r="A2068" t="s">
        <v>0</v>
      </c>
    </row>
    <row r="2069" spans="1:1" x14ac:dyDescent="0.3">
      <c r="A2069" t="s">
        <v>0</v>
      </c>
    </row>
    <row r="2070" spans="1:1" x14ac:dyDescent="0.3">
      <c r="A2070" t="s">
        <v>0</v>
      </c>
    </row>
    <row r="2071" spans="1:1" x14ac:dyDescent="0.3">
      <c r="A2071" t="s">
        <v>0</v>
      </c>
    </row>
    <row r="2072" spans="1:1" x14ac:dyDescent="0.3">
      <c r="A2072" t="s">
        <v>0</v>
      </c>
    </row>
    <row r="2073" spans="1:1" x14ac:dyDescent="0.3">
      <c r="A2073" t="s">
        <v>0</v>
      </c>
    </row>
    <row r="2074" spans="1:1" x14ac:dyDescent="0.3">
      <c r="A2074" t="s">
        <v>0</v>
      </c>
    </row>
    <row r="2075" spans="1:1" x14ac:dyDescent="0.3">
      <c r="A2075" t="s">
        <v>0</v>
      </c>
    </row>
    <row r="2076" spans="1:1" x14ac:dyDescent="0.3">
      <c r="A2076" t="s">
        <v>0</v>
      </c>
    </row>
    <row r="2077" spans="1:1" x14ac:dyDescent="0.3">
      <c r="A2077" t="s">
        <v>0</v>
      </c>
    </row>
    <row r="2078" spans="1:1" x14ac:dyDescent="0.3">
      <c r="A2078" t="s">
        <v>0</v>
      </c>
    </row>
    <row r="2079" spans="1:1" x14ac:dyDescent="0.3">
      <c r="A2079" t="s">
        <v>0</v>
      </c>
    </row>
    <row r="2080" spans="1:1" x14ac:dyDescent="0.3">
      <c r="A2080" t="s">
        <v>0</v>
      </c>
    </row>
    <row r="2081" spans="1:1" x14ac:dyDescent="0.3">
      <c r="A2081" t="s">
        <v>0</v>
      </c>
    </row>
    <row r="2082" spans="1:1" x14ac:dyDescent="0.3">
      <c r="A2082" t="s">
        <v>0</v>
      </c>
    </row>
    <row r="2083" spans="1:1" x14ac:dyDescent="0.3">
      <c r="A2083" t="s">
        <v>0</v>
      </c>
    </row>
    <row r="2084" spans="1:1" x14ac:dyDescent="0.3">
      <c r="A2084" t="s">
        <v>0</v>
      </c>
    </row>
    <row r="2085" spans="1:1" x14ac:dyDescent="0.3">
      <c r="A2085" t="s">
        <v>0</v>
      </c>
    </row>
    <row r="2086" spans="1:1" x14ac:dyDescent="0.3">
      <c r="A2086" t="s">
        <v>0</v>
      </c>
    </row>
    <row r="2087" spans="1:1" x14ac:dyDescent="0.3">
      <c r="A2087" t="s">
        <v>0</v>
      </c>
    </row>
    <row r="2088" spans="1:1" x14ac:dyDescent="0.3">
      <c r="A2088" t="s">
        <v>0</v>
      </c>
    </row>
    <row r="2089" spans="1:1" x14ac:dyDescent="0.3">
      <c r="A2089" t="s">
        <v>0</v>
      </c>
    </row>
    <row r="2090" spans="1:1" x14ac:dyDescent="0.3">
      <c r="A2090" t="s">
        <v>0</v>
      </c>
    </row>
    <row r="2091" spans="1:1" x14ac:dyDescent="0.3">
      <c r="A2091" t="s">
        <v>0</v>
      </c>
    </row>
    <row r="2092" spans="1:1" x14ac:dyDescent="0.3">
      <c r="A2092" t="s">
        <v>0</v>
      </c>
    </row>
    <row r="2093" spans="1:1" x14ac:dyDescent="0.3">
      <c r="A2093" t="s">
        <v>0</v>
      </c>
    </row>
    <row r="2094" spans="1:1" x14ac:dyDescent="0.3">
      <c r="A2094" t="s">
        <v>0</v>
      </c>
    </row>
    <row r="2095" spans="1:1" x14ac:dyDescent="0.3">
      <c r="A2095" t="s">
        <v>0</v>
      </c>
    </row>
    <row r="2096" spans="1:1" x14ac:dyDescent="0.3">
      <c r="A2096" t="s">
        <v>0</v>
      </c>
    </row>
    <row r="2097" spans="1:1" x14ac:dyDescent="0.3">
      <c r="A2097" t="s">
        <v>0</v>
      </c>
    </row>
    <row r="2098" spans="1:1" x14ac:dyDescent="0.3">
      <c r="A2098" t="s">
        <v>0</v>
      </c>
    </row>
    <row r="2099" spans="1:1" x14ac:dyDescent="0.3">
      <c r="A2099" t="s">
        <v>0</v>
      </c>
    </row>
    <row r="2100" spans="1:1" x14ac:dyDescent="0.3">
      <c r="A2100" t="s">
        <v>0</v>
      </c>
    </row>
    <row r="2101" spans="1:1" x14ac:dyDescent="0.3">
      <c r="A2101" t="s">
        <v>0</v>
      </c>
    </row>
    <row r="2102" spans="1:1" x14ac:dyDescent="0.3">
      <c r="A2102" t="s">
        <v>0</v>
      </c>
    </row>
    <row r="2103" spans="1:1" x14ac:dyDescent="0.3">
      <c r="A2103" t="s">
        <v>0</v>
      </c>
    </row>
    <row r="2104" spans="1:1" x14ac:dyDescent="0.3">
      <c r="A2104" t="s">
        <v>0</v>
      </c>
    </row>
    <row r="2105" spans="1:1" x14ac:dyDescent="0.3">
      <c r="A2105" t="s">
        <v>0</v>
      </c>
    </row>
    <row r="2106" spans="1:1" x14ac:dyDescent="0.3">
      <c r="A2106" t="s">
        <v>0</v>
      </c>
    </row>
    <row r="2107" spans="1:1" x14ac:dyDescent="0.3">
      <c r="A2107" t="s">
        <v>0</v>
      </c>
    </row>
    <row r="2108" spans="1:1" x14ac:dyDescent="0.3">
      <c r="A2108" t="s">
        <v>0</v>
      </c>
    </row>
    <row r="2109" spans="1:1" x14ac:dyDescent="0.3">
      <c r="A2109" t="s">
        <v>0</v>
      </c>
    </row>
    <row r="2110" spans="1:1" x14ac:dyDescent="0.3">
      <c r="A2110" t="s">
        <v>0</v>
      </c>
    </row>
    <row r="2111" spans="1:1" x14ac:dyDescent="0.3">
      <c r="A2111" t="s">
        <v>0</v>
      </c>
    </row>
    <row r="2112" spans="1:1" x14ac:dyDescent="0.3">
      <c r="A2112" t="s">
        <v>0</v>
      </c>
    </row>
    <row r="2113" spans="1:1" x14ac:dyDescent="0.3">
      <c r="A2113" t="s">
        <v>0</v>
      </c>
    </row>
    <row r="2114" spans="1:1" x14ac:dyDescent="0.3">
      <c r="A2114" t="s">
        <v>0</v>
      </c>
    </row>
    <row r="2115" spans="1:1" x14ac:dyDescent="0.3">
      <c r="A2115" t="s">
        <v>0</v>
      </c>
    </row>
    <row r="2116" spans="1:1" x14ac:dyDescent="0.3">
      <c r="A2116" t="s">
        <v>0</v>
      </c>
    </row>
    <row r="2117" spans="1:1" x14ac:dyDescent="0.3">
      <c r="A2117" t="s">
        <v>0</v>
      </c>
    </row>
    <row r="2118" spans="1:1" x14ac:dyDescent="0.3">
      <c r="A2118" t="s">
        <v>0</v>
      </c>
    </row>
    <row r="2119" spans="1:1" x14ac:dyDescent="0.3">
      <c r="A2119" t="s">
        <v>0</v>
      </c>
    </row>
    <row r="2120" spans="1:1" x14ac:dyDescent="0.3">
      <c r="A2120" t="s">
        <v>0</v>
      </c>
    </row>
    <row r="2121" spans="1:1" x14ac:dyDescent="0.3">
      <c r="A2121" t="s">
        <v>0</v>
      </c>
    </row>
    <row r="2122" spans="1:1" x14ac:dyDescent="0.3">
      <c r="A2122" t="s">
        <v>0</v>
      </c>
    </row>
    <row r="2123" spans="1:1" x14ac:dyDescent="0.3">
      <c r="A2123" t="s">
        <v>0</v>
      </c>
    </row>
    <row r="2124" spans="1:1" x14ac:dyDescent="0.3">
      <c r="A2124" t="s">
        <v>0</v>
      </c>
    </row>
    <row r="2125" spans="1:1" x14ac:dyDescent="0.3">
      <c r="A2125" t="s">
        <v>0</v>
      </c>
    </row>
    <row r="2126" spans="1:1" x14ac:dyDescent="0.3">
      <c r="A2126" t="s">
        <v>0</v>
      </c>
    </row>
    <row r="2127" spans="1:1" x14ac:dyDescent="0.3">
      <c r="A2127" t="s">
        <v>0</v>
      </c>
    </row>
    <row r="2128" spans="1:1" x14ac:dyDescent="0.3">
      <c r="A2128" t="s">
        <v>0</v>
      </c>
    </row>
    <row r="2129" spans="1:1" x14ac:dyDescent="0.3">
      <c r="A2129" t="s">
        <v>0</v>
      </c>
    </row>
    <row r="2130" spans="1:1" x14ac:dyDescent="0.3">
      <c r="A2130" t="s">
        <v>0</v>
      </c>
    </row>
    <row r="2131" spans="1:1" x14ac:dyDescent="0.3">
      <c r="A2131" t="s">
        <v>0</v>
      </c>
    </row>
    <row r="2132" spans="1:1" x14ac:dyDescent="0.3">
      <c r="A2132" t="s">
        <v>0</v>
      </c>
    </row>
    <row r="2133" spans="1:1" x14ac:dyDescent="0.3">
      <c r="A2133" t="s">
        <v>0</v>
      </c>
    </row>
    <row r="2134" spans="1:1" x14ac:dyDescent="0.3">
      <c r="A2134" t="s">
        <v>0</v>
      </c>
    </row>
    <row r="2135" spans="1:1" x14ac:dyDescent="0.3">
      <c r="A2135" t="s">
        <v>0</v>
      </c>
    </row>
    <row r="2136" spans="1:1" x14ac:dyDescent="0.3">
      <c r="A2136" t="s">
        <v>0</v>
      </c>
    </row>
    <row r="2137" spans="1:1" x14ac:dyDescent="0.3">
      <c r="A2137" t="s">
        <v>0</v>
      </c>
    </row>
    <row r="2138" spans="1:1" x14ac:dyDescent="0.3">
      <c r="A2138" t="s">
        <v>0</v>
      </c>
    </row>
    <row r="2139" spans="1:1" x14ac:dyDescent="0.3">
      <c r="A2139" t="s">
        <v>0</v>
      </c>
    </row>
    <row r="2140" spans="1:1" x14ac:dyDescent="0.3">
      <c r="A2140" t="s">
        <v>0</v>
      </c>
    </row>
    <row r="2141" spans="1:1" x14ac:dyDescent="0.3">
      <c r="A2141" t="s">
        <v>0</v>
      </c>
    </row>
    <row r="2142" spans="1:1" x14ac:dyDescent="0.3">
      <c r="A2142" t="s">
        <v>0</v>
      </c>
    </row>
    <row r="2143" spans="1:1" x14ac:dyDescent="0.3">
      <c r="A2143" t="s">
        <v>0</v>
      </c>
    </row>
    <row r="2144" spans="1:1" x14ac:dyDescent="0.3">
      <c r="A2144" t="s">
        <v>0</v>
      </c>
    </row>
    <row r="2145" spans="1:1" x14ac:dyDescent="0.3">
      <c r="A2145" t="s">
        <v>0</v>
      </c>
    </row>
    <row r="2146" spans="1:1" x14ac:dyDescent="0.3">
      <c r="A2146" t="s">
        <v>0</v>
      </c>
    </row>
    <row r="2147" spans="1:1" x14ac:dyDescent="0.3">
      <c r="A2147" t="s">
        <v>0</v>
      </c>
    </row>
    <row r="2148" spans="1:1" x14ac:dyDescent="0.3">
      <c r="A2148" t="s">
        <v>0</v>
      </c>
    </row>
    <row r="2149" spans="1:1" x14ac:dyDescent="0.3">
      <c r="A2149" t="s">
        <v>0</v>
      </c>
    </row>
    <row r="2150" spans="1:1" x14ac:dyDescent="0.3">
      <c r="A2150" t="s">
        <v>0</v>
      </c>
    </row>
    <row r="2151" spans="1:1" x14ac:dyDescent="0.3">
      <c r="A2151" t="s">
        <v>0</v>
      </c>
    </row>
    <row r="2152" spans="1:1" x14ac:dyDescent="0.3">
      <c r="A2152" t="s">
        <v>0</v>
      </c>
    </row>
    <row r="2153" spans="1:1" x14ac:dyDescent="0.3">
      <c r="A2153" t="s">
        <v>0</v>
      </c>
    </row>
    <row r="2154" spans="1:1" x14ac:dyDescent="0.3">
      <c r="A2154" t="s">
        <v>0</v>
      </c>
    </row>
    <row r="2155" spans="1:1" x14ac:dyDescent="0.3">
      <c r="A2155" t="s">
        <v>0</v>
      </c>
    </row>
    <row r="2156" spans="1:1" x14ac:dyDescent="0.3">
      <c r="A2156" t="s">
        <v>0</v>
      </c>
    </row>
    <row r="2157" spans="1:1" x14ac:dyDescent="0.3">
      <c r="A2157" t="s">
        <v>0</v>
      </c>
    </row>
    <row r="2158" spans="1:1" x14ac:dyDescent="0.3">
      <c r="A2158" t="s">
        <v>0</v>
      </c>
    </row>
    <row r="2159" spans="1:1" x14ac:dyDescent="0.3">
      <c r="A2159" t="s">
        <v>0</v>
      </c>
    </row>
    <row r="2160" spans="1:1" x14ac:dyDescent="0.3">
      <c r="A2160" t="s">
        <v>0</v>
      </c>
    </row>
    <row r="2161" spans="1:1" x14ac:dyDescent="0.3">
      <c r="A2161" t="s">
        <v>0</v>
      </c>
    </row>
    <row r="2162" spans="1:1" x14ac:dyDescent="0.3">
      <c r="A2162" t="s">
        <v>0</v>
      </c>
    </row>
    <row r="2163" spans="1:1" x14ac:dyDescent="0.3">
      <c r="A2163" t="s">
        <v>0</v>
      </c>
    </row>
    <row r="2164" spans="1:1" x14ac:dyDescent="0.3">
      <c r="A2164" t="s">
        <v>0</v>
      </c>
    </row>
    <row r="2165" spans="1:1" x14ac:dyDescent="0.3">
      <c r="A2165" t="s">
        <v>0</v>
      </c>
    </row>
    <row r="2166" spans="1:1" x14ac:dyDescent="0.3">
      <c r="A2166" t="s">
        <v>0</v>
      </c>
    </row>
    <row r="2167" spans="1:1" x14ac:dyDescent="0.3">
      <c r="A2167" t="s">
        <v>0</v>
      </c>
    </row>
    <row r="2168" spans="1:1" x14ac:dyDescent="0.3">
      <c r="A2168" t="s">
        <v>0</v>
      </c>
    </row>
    <row r="2169" spans="1:1" x14ac:dyDescent="0.3">
      <c r="A2169" t="s">
        <v>0</v>
      </c>
    </row>
    <row r="2170" spans="1:1" x14ac:dyDescent="0.3">
      <c r="A2170" t="s">
        <v>0</v>
      </c>
    </row>
    <row r="2171" spans="1:1" x14ac:dyDescent="0.3">
      <c r="A2171" t="s">
        <v>0</v>
      </c>
    </row>
    <row r="2172" spans="1:1" x14ac:dyDescent="0.3">
      <c r="A2172" t="s">
        <v>0</v>
      </c>
    </row>
    <row r="2173" spans="1:1" x14ac:dyDescent="0.3">
      <c r="A2173" t="s">
        <v>0</v>
      </c>
    </row>
    <row r="2174" spans="1:1" x14ac:dyDescent="0.3">
      <c r="A2174" t="s">
        <v>0</v>
      </c>
    </row>
    <row r="2175" spans="1:1" x14ac:dyDescent="0.3">
      <c r="A2175" t="s">
        <v>0</v>
      </c>
    </row>
    <row r="2176" spans="1:1" x14ac:dyDescent="0.3">
      <c r="A2176" t="s">
        <v>0</v>
      </c>
    </row>
    <row r="2177" spans="1:1" x14ac:dyDescent="0.3">
      <c r="A2177" t="s">
        <v>0</v>
      </c>
    </row>
    <row r="2178" spans="1:1" x14ac:dyDescent="0.3">
      <c r="A2178" t="s">
        <v>0</v>
      </c>
    </row>
    <row r="2179" spans="1:1" x14ac:dyDescent="0.3">
      <c r="A2179" t="s">
        <v>0</v>
      </c>
    </row>
    <row r="2180" spans="1:1" x14ac:dyDescent="0.3">
      <c r="A2180" t="s">
        <v>0</v>
      </c>
    </row>
    <row r="2181" spans="1:1" x14ac:dyDescent="0.3">
      <c r="A2181" t="s">
        <v>0</v>
      </c>
    </row>
    <row r="2182" spans="1:1" x14ac:dyDescent="0.3">
      <c r="A2182" t="s">
        <v>0</v>
      </c>
    </row>
    <row r="2183" spans="1:1" x14ac:dyDescent="0.3">
      <c r="A2183" t="s">
        <v>0</v>
      </c>
    </row>
    <row r="2184" spans="1:1" x14ac:dyDescent="0.3">
      <c r="A2184" t="s">
        <v>0</v>
      </c>
    </row>
    <row r="2185" spans="1:1" x14ac:dyDescent="0.3">
      <c r="A2185" t="s">
        <v>0</v>
      </c>
    </row>
    <row r="2186" spans="1:1" x14ac:dyDescent="0.3">
      <c r="A2186" t="s">
        <v>0</v>
      </c>
    </row>
    <row r="2187" spans="1:1" x14ac:dyDescent="0.3">
      <c r="A2187" t="s">
        <v>0</v>
      </c>
    </row>
    <row r="2188" spans="1:1" x14ac:dyDescent="0.3">
      <c r="A2188" t="s">
        <v>0</v>
      </c>
    </row>
    <row r="2189" spans="1:1" x14ac:dyDescent="0.3">
      <c r="A2189" t="s">
        <v>0</v>
      </c>
    </row>
    <row r="2190" spans="1:1" x14ac:dyDescent="0.3">
      <c r="A2190" t="s">
        <v>0</v>
      </c>
    </row>
    <row r="2191" spans="1:1" x14ac:dyDescent="0.3">
      <c r="A2191" t="s">
        <v>0</v>
      </c>
    </row>
    <row r="2192" spans="1:1" x14ac:dyDescent="0.3">
      <c r="A2192" t="s">
        <v>0</v>
      </c>
    </row>
    <row r="2193" spans="1:1" x14ac:dyDescent="0.3">
      <c r="A2193" t="s">
        <v>0</v>
      </c>
    </row>
    <row r="2194" spans="1:1" x14ac:dyDescent="0.3">
      <c r="A2194" t="s">
        <v>0</v>
      </c>
    </row>
    <row r="2195" spans="1:1" x14ac:dyDescent="0.3">
      <c r="A2195" t="s">
        <v>0</v>
      </c>
    </row>
    <row r="2196" spans="1:1" x14ac:dyDescent="0.3">
      <c r="A2196" t="s">
        <v>0</v>
      </c>
    </row>
    <row r="2197" spans="1:1" x14ac:dyDescent="0.3">
      <c r="A2197" t="s">
        <v>0</v>
      </c>
    </row>
    <row r="2198" spans="1:1" x14ac:dyDescent="0.3">
      <c r="A2198" t="s">
        <v>0</v>
      </c>
    </row>
    <row r="2199" spans="1:1" x14ac:dyDescent="0.3">
      <c r="A2199" t="s">
        <v>0</v>
      </c>
    </row>
    <row r="2200" spans="1:1" x14ac:dyDescent="0.3">
      <c r="A2200" t="s">
        <v>0</v>
      </c>
    </row>
    <row r="2201" spans="1:1" x14ac:dyDescent="0.3">
      <c r="A2201" t="s">
        <v>0</v>
      </c>
    </row>
    <row r="2202" spans="1:1" x14ac:dyDescent="0.3">
      <c r="A2202" t="s">
        <v>0</v>
      </c>
    </row>
    <row r="2203" spans="1:1" x14ac:dyDescent="0.3">
      <c r="A2203" t="s">
        <v>0</v>
      </c>
    </row>
    <row r="2204" spans="1:1" x14ac:dyDescent="0.3">
      <c r="A2204" t="s">
        <v>0</v>
      </c>
    </row>
    <row r="2205" spans="1:1" x14ac:dyDescent="0.3">
      <c r="A2205" t="s">
        <v>0</v>
      </c>
    </row>
    <row r="2206" spans="1:1" x14ac:dyDescent="0.3">
      <c r="A2206" t="s">
        <v>0</v>
      </c>
    </row>
    <row r="2207" spans="1:1" x14ac:dyDescent="0.3">
      <c r="A2207" t="s">
        <v>0</v>
      </c>
    </row>
    <row r="2208" spans="1:1" x14ac:dyDescent="0.3">
      <c r="A2208" t="s">
        <v>0</v>
      </c>
    </row>
    <row r="2209" spans="1:1" x14ac:dyDescent="0.3">
      <c r="A2209" t="s">
        <v>0</v>
      </c>
    </row>
    <row r="2210" spans="1:1" x14ac:dyDescent="0.3">
      <c r="A2210" t="s">
        <v>0</v>
      </c>
    </row>
    <row r="2211" spans="1:1" x14ac:dyDescent="0.3">
      <c r="A2211" t="s">
        <v>0</v>
      </c>
    </row>
    <row r="2212" spans="1:1" x14ac:dyDescent="0.3">
      <c r="A2212" t="s">
        <v>0</v>
      </c>
    </row>
    <row r="2213" spans="1:1" x14ac:dyDescent="0.3">
      <c r="A2213" t="s">
        <v>0</v>
      </c>
    </row>
    <row r="2214" spans="1:1" x14ac:dyDescent="0.3">
      <c r="A2214" t="s">
        <v>0</v>
      </c>
    </row>
    <row r="2215" spans="1:1" x14ac:dyDescent="0.3">
      <c r="A2215" t="s">
        <v>0</v>
      </c>
    </row>
    <row r="2216" spans="1:1" x14ac:dyDescent="0.3">
      <c r="A2216" t="s">
        <v>0</v>
      </c>
    </row>
    <row r="2217" spans="1:1" x14ac:dyDescent="0.3">
      <c r="A2217" t="s">
        <v>0</v>
      </c>
    </row>
    <row r="2218" spans="1:1" x14ac:dyDescent="0.3">
      <c r="A2218" t="s">
        <v>0</v>
      </c>
    </row>
    <row r="2219" spans="1:1" x14ac:dyDescent="0.3">
      <c r="A2219" t="s">
        <v>0</v>
      </c>
    </row>
    <row r="2220" spans="1:1" x14ac:dyDescent="0.3">
      <c r="A2220" t="s">
        <v>0</v>
      </c>
    </row>
    <row r="2221" spans="1:1" x14ac:dyDescent="0.3">
      <c r="A2221" t="s">
        <v>0</v>
      </c>
    </row>
    <row r="2222" spans="1:1" x14ac:dyDescent="0.3">
      <c r="A2222" t="s">
        <v>0</v>
      </c>
    </row>
    <row r="2223" spans="1:1" x14ac:dyDescent="0.3">
      <c r="A2223" t="s">
        <v>0</v>
      </c>
    </row>
    <row r="2224" spans="1:1" x14ac:dyDescent="0.3">
      <c r="A2224" t="s">
        <v>0</v>
      </c>
    </row>
    <row r="2225" spans="1:1" x14ac:dyDescent="0.3">
      <c r="A2225" t="s">
        <v>0</v>
      </c>
    </row>
    <row r="2226" spans="1:1" x14ac:dyDescent="0.3">
      <c r="A2226" t="s">
        <v>0</v>
      </c>
    </row>
    <row r="2227" spans="1:1" x14ac:dyDescent="0.3">
      <c r="A2227" t="s">
        <v>0</v>
      </c>
    </row>
    <row r="2228" spans="1:1" x14ac:dyDescent="0.3">
      <c r="A2228" t="s">
        <v>0</v>
      </c>
    </row>
    <row r="2229" spans="1:1" x14ac:dyDescent="0.3">
      <c r="A2229" t="s">
        <v>0</v>
      </c>
    </row>
    <row r="2230" spans="1:1" x14ac:dyDescent="0.3">
      <c r="A2230" t="s">
        <v>0</v>
      </c>
    </row>
    <row r="2231" spans="1:1" x14ac:dyDescent="0.3">
      <c r="A2231" t="s">
        <v>0</v>
      </c>
    </row>
    <row r="2232" spans="1:1" x14ac:dyDescent="0.3">
      <c r="A2232" t="s">
        <v>0</v>
      </c>
    </row>
    <row r="2233" spans="1:1" x14ac:dyDescent="0.3">
      <c r="A2233" t="s">
        <v>0</v>
      </c>
    </row>
    <row r="2234" spans="1:1" x14ac:dyDescent="0.3">
      <c r="A2234" t="s">
        <v>0</v>
      </c>
    </row>
    <row r="2235" spans="1:1" x14ac:dyDescent="0.3">
      <c r="A2235" t="s">
        <v>0</v>
      </c>
    </row>
    <row r="2236" spans="1:1" x14ac:dyDescent="0.3">
      <c r="A2236" t="s">
        <v>0</v>
      </c>
    </row>
    <row r="2237" spans="1:1" x14ac:dyDescent="0.3">
      <c r="A2237" t="s">
        <v>0</v>
      </c>
    </row>
    <row r="2238" spans="1:1" x14ac:dyDescent="0.3">
      <c r="A2238" t="s">
        <v>0</v>
      </c>
    </row>
    <row r="2239" spans="1:1" x14ac:dyDescent="0.3">
      <c r="A2239" t="s">
        <v>0</v>
      </c>
    </row>
    <row r="2240" spans="1:1" x14ac:dyDescent="0.3">
      <c r="A2240" t="s">
        <v>0</v>
      </c>
    </row>
    <row r="2241" spans="1:1" x14ac:dyDescent="0.3">
      <c r="A2241" t="s">
        <v>0</v>
      </c>
    </row>
    <row r="2242" spans="1:1" x14ac:dyDescent="0.3">
      <c r="A2242" t="s">
        <v>0</v>
      </c>
    </row>
    <row r="2243" spans="1:1" x14ac:dyDescent="0.3">
      <c r="A2243" t="s">
        <v>0</v>
      </c>
    </row>
    <row r="2244" spans="1:1" x14ac:dyDescent="0.3">
      <c r="A2244" t="s">
        <v>0</v>
      </c>
    </row>
    <row r="2245" spans="1:1" x14ac:dyDescent="0.3">
      <c r="A2245" t="s">
        <v>0</v>
      </c>
    </row>
    <row r="2246" spans="1:1" x14ac:dyDescent="0.3">
      <c r="A2246" t="s">
        <v>0</v>
      </c>
    </row>
    <row r="2247" spans="1:1" x14ac:dyDescent="0.3">
      <c r="A2247" t="s">
        <v>0</v>
      </c>
    </row>
    <row r="2248" spans="1:1" x14ac:dyDescent="0.3">
      <c r="A2248" t="s">
        <v>0</v>
      </c>
    </row>
    <row r="2249" spans="1:1" x14ac:dyDescent="0.3">
      <c r="A2249" t="s">
        <v>0</v>
      </c>
    </row>
    <row r="2250" spans="1:1" x14ac:dyDescent="0.3">
      <c r="A2250" t="s">
        <v>0</v>
      </c>
    </row>
    <row r="2251" spans="1:1" x14ac:dyDescent="0.3">
      <c r="A2251" t="s">
        <v>0</v>
      </c>
    </row>
    <row r="2252" spans="1:1" x14ac:dyDescent="0.3">
      <c r="A2252" t="s">
        <v>0</v>
      </c>
    </row>
    <row r="2253" spans="1:1" x14ac:dyDescent="0.3">
      <c r="A2253" t="s">
        <v>0</v>
      </c>
    </row>
    <row r="2254" spans="1:1" x14ac:dyDescent="0.3">
      <c r="A2254" t="s">
        <v>0</v>
      </c>
    </row>
    <row r="2255" spans="1:1" x14ac:dyDescent="0.3">
      <c r="A2255" t="s">
        <v>0</v>
      </c>
    </row>
    <row r="2256" spans="1:1" x14ac:dyDescent="0.3">
      <c r="A2256" t="s">
        <v>0</v>
      </c>
    </row>
    <row r="2257" spans="1:1" x14ac:dyDescent="0.3">
      <c r="A2257" t="s">
        <v>0</v>
      </c>
    </row>
    <row r="2258" spans="1:1" x14ac:dyDescent="0.3">
      <c r="A2258" t="s">
        <v>0</v>
      </c>
    </row>
    <row r="2259" spans="1:1" x14ac:dyDescent="0.3">
      <c r="A2259" t="s">
        <v>0</v>
      </c>
    </row>
    <row r="2260" spans="1:1" x14ac:dyDescent="0.3">
      <c r="A2260" t="s">
        <v>0</v>
      </c>
    </row>
    <row r="2261" spans="1:1" x14ac:dyDescent="0.3">
      <c r="A2261" t="s">
        <v>0</v>
      </c>
    </row>
    <row r="2262" spans="1:1" x14ac:dyDescent="0.3">
      <c r="A2262" t="s">
        <v>0</v>
      </c>
    </row>
    <row r="2263" spans="1:1" x14ac:dyDescent="0.3">
      <c r="A2263" t="s">
        <v>0</v>
      </c>
    </row>
    <row r="2264" spans="1:1" x14ac:dyDescent="0.3">
      <c r="A2264" t="s">
        <v>0</v>
      </c>
    </row>
    <row r="2265" spans="1:1" x14ac:dyDescent="0.3">
      <c r="A2265" t="s">
        <v>0</v>
      </c>
    </row>
    <row r="2266" spans="1:1" x14ac:dyDescent="0.3">
      <c r="A2266" t="s">
        <v>0</v>
      </c>
    </row>
    <row r="2267" spans="1:1" x14ac:dyDescent="0.3">
      <c r="A2267" t="s">
        <v>0</v>
      </c>
    </row>
    <row r="2268" spans="1:1" x14ac:dyDescent="0.3">
      <c r="A2268" t="s">
        <v>0</v>
      </c>
    </row>
    <row r="2269" spans="1:1" x14ac:dyDescent="0.3">
      <c r="A2269" t="s">
        <v>0</v>
      </c>
    </row>
    <row r="2270" spans="1:1" x14ac:dyDescent="0.3">
      <c r="A2270" t="s">
        <v>0</v>
      </c>
    </row>
    <row r="2271" spans="1:1" x14ac:dyDescent="0.3">
      <c r="A2271" t="s">
        <v>0</v>
      </c>
    </row>
    <row r="2272" spans="1:1" x14ac:dyDescent="0.3">
      <c r="A2272" t="s">
        <v>0</v>
      </c>
    </row>
    <row r="2273" spans="1:1" x14ac:dyDescent="0.3">
      <c r="A2273" t="s">
        <v>0</v>
      </c>
    </row>
    <row r="2274" spans="1:1" x14ac:dyDescent="0.3">
      <c r="A2274" t="s">
        <v>0</v>
      </c>
    </row>
    <row r="2275" spans="1:1" x14ac:dyDescent="0.3">
      <c r="A2275" t="s">
        <v>0</v>
      </c>
    </row>
    <row r="2276" spans="1:1" x14ac:dyDescent="0.3">
      <c r="A2276" t="s">
        <v>0</v>
      </c>
    </row>
    <row r="2277" spans="1:1" x14ac:dyDescent="0.3">
      <c r="A2277" t="s">
        <v>0</v>
      </c>
    </row>
    <row r="2278" spans="1:1" x14ac:dyDescent="0.3">
      <c r="A2278" t="s">
        <v>0</v>
      </c>
    </row>
    <row r="2279" spans="1:1" x14ac:dyDescent="0.3">
      <c r="A2279" t="s">
        <v>0</v>
      </c>
    </row>
    <row r="2280" spans="1:1" x14ac:dyDescent="0.3">
      <c r="A2280" t="s">
        <v>0</v>
      </c>
    </row>
    <row r="2281" spans="1:1" x14ac:dyDescent="0.3">
      <c r="A2281" t="s">
        <v>0</v>
      </c>
    </row>
    <row r="2282" spans="1:1" x14ac:dyDescent="0.3">
      <c r="A2282" t="s">
        <v>0</v>
      </c>
    </row>
    <row r="2283" spans="1:1" x14ac:dyDescent="0.3">
      <c r="A2283" t="s">
        <v>0</v>
      </c>
    </row>
    <row r="2284" spans="1:1" x14ac:dyDescent="0.3">
      <c r="A2284" t="s">
        <v>0</v>
      </c>
    </row>
    <row r="2285" spans="1:1" x14ac:dyDescent="0.3">
      <c r="A2285" t="s">
        <v>0</v>
      </c>
    </row>
    <row r="2286" spans="1:1" x14ac:dyDescent="0.3">
      <c r="A2286" t="s">
        <v>0</v>
      </c>
    </row>
    <row r="2287" spans="1:1" x14ac:dyDescent="0.3">
      <c r="A2287" t="s">
        <v>0</v>
      </c>
    </row>
    <row r="2288" spans="1:1" x14ac:dyDescent="0.3">
      <c r="A2288" t="s">
        <v>0</v>
      </c>
    </row>
    <row r="2289" spans="1:1" x14ac:dyDescent="0.3">
      <c r="A2289" t="s">
        <v>0</v>
      </c>
    </row>
    <row r="2290" spans="1:1" x14ac:dyDescent="0.3">
      <c r="A2290" t="s">
        <v>0</v>
      </c>
    </row>
    <row r="2291" spans="1:1" x14ac:dyDescent="0.3">
      <c r="A2291" t="s">
        <v>0</v>
      </c>
    </row>
    <row r="2292" spans="1:1" x14ac:dyDescent="0.3">
      <c r="A2292" t="s">
        <v>0</v>
      </c>
    </row>
    <row r="2293" spans="1:1" x14ac:dyDescent="0.3">
      <c r="A2293" t="s">
        <v>0</v>
      </c>
    </row>
    <row r="2294" spans="1:1" x14ac:dyDescent="0.3">
      <c r="A2294" t="s">
        <v>0</v>
      </c>
    </row>
    <row r="2295" spans="1:1" x14ac:dyDescent="0.3">
      <c r="A2295" t="s">
        <v>0</v>
      </c>
    </row>
    <row r="2296" spans="1:1" x14ac:dyDescent="0.3">
      <c r="A2296" t="s">
        <v>0</v>
      </c>
    </row>
    <row r="2297" spans="1:1" x14ac:dyDescent="0.3">
      <c r="A2297" t="s">
        <v>0</v>
      </c>
    </row>
    <row r="2298" spans="1:1" x14ac:dyDescent="0.3">
      <c r="A2298" t="s">
        <v>0</v>
      </c>
    </row>
    <row r="2299" spans="1:1" x14ac:dyDescent="0.3">
      <c r="A2299" t="s">
        <v>0</v>
      </c>
    </row>
    <row r="2300" spans="1:1" x14ac:dyDescent="0.3">
      <c r="A2300" t="s">
        <v>0</v>
      </c>
    </row>
    <row r="2301" spans="1:1" x14ac:dyDescent="0.3">
      <c r="A2301" t="s">
        <v>0</v>
      </c>
    </row>
    <row r="2302" spans="1:1" x14ac:dyDescent="0.3">
      <c r="A2302" t="s">
        <v>0</v>
      </c>
    </row>
    <row r="2303" spans="1:1" x14ac:dyDescent="0.3">
      <c r="A2303" t="s">
        <v>0</v>
      </c>
    </row>
    <row r="2304" spans="1:1" x14ac:dyDescent="0.3">
      <c r="A2304" t="s">
        <v>0</v>
      </c>
    </row>
    <row r="2305" spans="1:1" x14ac:dyDescent="0.3">
      <c r="A2305" t="s">
        <v>0</v>
      </c>
    </row>
    <row r="2306" spans="1:1" x14ac:dyDescent="0.3">
      <c r="A2306" t="s">
        <v>0</v>
      </c>
    </row>
    <row r="2307" spans="1:1" x14ac:dyDescent="0.3">
      <c r="A2307" t="s">
        <v>0</v>
      </c>
    </row>
    <row r="2308" spans="1:1" x14ac:dyDescent="0.3">
      <c r="A2308" t="s">
        <v>0</v>
      </c>
    </row>
    <row r="2309" spans="1:1" x14ac:dyDescent="0.3">
      <c r="A2309" t="s">
        <v>0</v>
      </c>
    </row>
    <row r="2310" spans="1:1" x14ac:dyDescent="0.3">
      <c r="A2310" t="s">
        <v>0</v>
      </c>
    </row>
    <row r="2311" spans="1:1" x14ac:dyDescent="0.3">
      <c r="A2311" t="s">
        <v>0</v>
      </c>
    </row>
    <row r="2312" spans="1:1" x14ac:dyDescent="0.3">
      <c r="A2312" t="s">
        <v>0</v>
      </c>
    </row>
    <row r="2313" spans="1:1" x14ac:dyDescent="0.3">
      <c r="A2313" t="s">
        <v>0</v>
      </c>
    </row>
    <row r="2314" spans="1:1" x14ac:dyDescent="0.3">
      <c r="A2314" t="s">
        <v>0</v>
      </c>
    </row>
    <row r="2315" spans="1:1" x14ac:dyDescent="0.3">
      <c r="A2315" t="s">
        <v>0</v>
      </c>
    </row>
    <row r="2316" spans="1:1" x14ac:dyDescent="0.3">
      <c r="A2316" t="s">
        <v>0</v>
      </c>
    </row>
    <row r="2317" spans="1:1" x14ac:dyDescent="0.3">
      <c r="A2317" t="s">
        <v>0</v>
      </c>
    </row>
    <row r="2318" spans="1:1" x14ac:dyDescent="0.3">
      <c r="A2318" t="s">
        <v>0</v>
      </c>
    </row>
    <row r="2319" spans="1:1" x14ac:dyDescent="0.3">
      <c r="A2319" t="s">
        <v>0</v>
      </c>
    </row>
    <row r="2320" spans="1:1" x14ac:dyDescent="0.3">
      <c r="A2320" t="s">
        <v>0</v>
      </c>
    </row>
    <row r="2321" spans="1:1" x14ac:dyDescent="0.3">
      <c r="A2321" t="s">
        <v>0</v>
      </c>
    </row>
    <row r="2322" spans="1:1" x14ac:dyDescent="0.3">
      <c r="A2322" t="s">
        <v>0</v>
      </c>
    </row>
    <row r="2323" spans="1:1" x14ac:dyDescent="0.3">
      <c r="A2323" t="s">
        <v>0</v>
      </c>
    </row>
    <row r="2324" spans="1:1" x14ac:dyDescent="0.3">
      <c r="A2324" t="s">
        <v>0</v>
      </c>
    </row>
    <row r="2325" spans="1:1" x14ac:dyDescent="0.3">
      <c r="A2325" t="s">
        <v>0</v>
      </c>
    </row>
    <row r="2326" spans="1:1" x14ac:dyDescent="0.3">
      <c r="A2326" t="s">
        <v>0</v>
      </c>
    </row>
    <row r="2327" spans="1:1" x14ac:dyDescent="0.3">
      <c r="A2327" t="s">
        <v>0</v>
      </c>
    </row>
    <row r="2328" spans="1:1" x14ac:dyDescent="0.3">
      <c r="A2328" t="s">
        <v>0</v>
      </c>
    </row>
    <row r="2329" spans="1:1" x14ac:dyDescent="0.3">
      <c r="A2329" t="s">
        <v>0</v>
      </c>
    </row>
    <row r="2330" spans="1:1" x14ac:dyDescent="0.3">
      <c r="A2330" t="s">
        <v>0</v>
      </c>
    </row>
    <row r="2331" spans="1:1" x14ac:dyDescent="0.3">
      <c r="A2331" t="s">
        <v>0</v>
      </c>
    </row>
    <row r="2332" spans="1:1" x14ac:dyDescent="0.3">
      <c r="A2332" t="s">
        <v>0</v>
      </c>
    </row>
    <row r="2333" spans="1:1" x14ac:dyDescent="0.3">
      <c r="A2333" t="s">
        <v>0</v>
      </c>
    </row>
    <row r="2334" spans="1:1" x14ac:dyDescent="0.3">
      <c r="A2334" t="s">
        <v>0</v>
      </c>
    </row>
    <row r="2335" spans="1:1" x14ac:dyDescent="0.3">
      <c r="A2335" t="s">
        <v>0</v>
      </c>
    </row>
    <row r="2336" spans="1:1" x14ac:dyDescent="0.3">
      <c r="A2336" t="s">
        <v>0</v>
      </c>
    </row>
    <row r="2337" spans="1:1" x14ac:dyDescent="0.3">
      <c r="A2337" t="s">
        <v>0</v>
      </c>
    </row>
    <row r="2338" spans="1:1" x14ac:dyDescent="0.3">
      <c r="A2338" t="s">
        <v>0</v>
      </c>
    </row>
    <row r="2339" spans="1:1" x14ac:dyDescent="0.3">
      <c r="A2339" t="s">
        <v>0</v>
      </c>
    </row>
    <row r="2340" spans="1:1" x14ac:dyDescent="0.3">
      <c r="A2340" t="s">
        <v>0</v>
      </c>
    </row>
    <row r="2341" spans="1:1" x14ac:dyDescent="0.3">
      <c r="A2341" t="s">
        <v>0</v>
      </c>
    </row>
    <row r="2342" spans="1:1" x14ac:dyDescent="0.3">
      <c r="A2342" t="s">
        <v>0</v>
      </c>
    </row>
    <row r="2343" spans="1:1" x14ac:dyDescent="0.3">
      <c r="A2343" t="s">
        <v>0</v>
      </c>
    </row>
    <row r="2344" spans="1:1" x14ac:dyDescent="0.3">
      <c r="A2344" t="s">
        <v>0</v>
      </c>
    </row>
    <row r="2345" spans="1:1" x14ac:dyDescent="0.3">
      <c r="A2345" t="s">
        <v>0</v>
      </c>
    </row>
    <row r="2346" spans="1:1" x14ac:dyDescent="0.3">
      <c r="A2346" t="s">
        <v>0</v>
      </c>
    </row>
    <row r="2347" spans="1:1" x14ac:dyDescent="0.3">
      <c r="A2347" t="s">
        <v>0</v>
      </c>
    </row>
    <row r="2348" spans="1:1" x14ac:dyDescent="0.3">
      <c r="A2348" t="s">
        <v>0</v>
      </c>
    </row>
    <row r="2349" spans="1:1" x14ac:dyDescent="0.3">
      <c r="A2349" t="s">
        <v>0</v>
      </c>
    </row>
    <row r="2350" spans="1:1" x14ac:dyDescent="0.3">
      <c r="A2350" t="s">
        <v>0</v>
      </c>
    </row>
    <row r="2351" spans="1:1" x14ac:dyDescent="0.3">
      <c r="A2351" t="s">
        <v>0</v>
      </c>
    </row>
    <row r="2352" spans="1:1" x14ac:dyDescent="0.3">
      <c r="A2352" t="s">
        <v>0</v>
      </c>
    </row>
    <row r="2353" spans="1:1" x14ac:dyDescent="0.3">
      <c r="A2353" t="s">
        <v>0</v>
      </c>
    </row>
    <row r="2354" spans="1:1" x14ac:dyDescent="0.3">
      <c r="A2354" t="s">
        <v>0</v>
      </c>
    </row>
    <row r="2355" spans="1:1" x14ac:dyDescent="0.3">
      <c r="A2355" t="s">
        <v>0</v>
      </c>
    </row>
    <row r="2356" spans="1:1" x14ac:dyDescent="0.3">
      <c r="A2356" t="s">
        <v>0</v>
      </c>
    </row>
    <row r="2357" spans="1:1" x14ac:dyDescent="0.3">
      <c r="A2357" t="s">
        <v>0</v>
      </c>
    </row>
    <row r="2358" spans="1:1" x14ac:dyDescent="0.3">
      <c r="A2358" t="s">
        <v>0</v>
      </c>
    </row>
    <row r="2359" spans="1:1" x14ac:dyDescent="0.3">
      <c r="A2359" t="s">
        <v>0</v>
      </c>
    </row>
    <row r="2360" spans="1:1" x14ac:dyDescent="0.3">
      <c r="A2360" t="s">
        <v>0</v>
      </c>
    </row>
    <row r="2361" spans="1:1" x14ac:dyDescent="0.3">
      <c r="A2361" t="s">
        <v>0</v>
      </c>
    </row>
    <row r="2362" spans="1:1" x14ac:dyDescent="0.3">
      <c r="A2362" t="s">
        <v>0</v>
      </c>
    </row>
    <row r="2363" spans="1:1" x14ac:dyDescent="0.3">
      <c r="A2363" t="s">
        <v>0</v>
      </c>
    </row>
    <row r="2364" spans="1:1" x14ac:dyDescent="0.3">
      <c r="A2364" t="s">
        <v>0</v>
      </c>
    </row>
    <row r="2365" spans="1:1" x14ac:dyDescent="0.3">
      <c r="A2365" t="s">
        <v>0</v>
      </c>
    </row>
    <row r="2366" spans="1:1" x14ac:dyDescent="0.3">
      <c r="A2366" t="s">
        <v>0</v>
      </c>
    </row>
    <row r="2367" spans="1:1" x14ac:dyDescent="0.3">
      <c r="A2367" t="s">
        <v>0</v>
      </c>
    </row>
    <row r="2368" spans="1:1" x14ac:dyDescent="0.3">
      <c r="A2368" t="s">
        <v>0</v>
      </c>
    </row>
    <row r="2369" spans="1:1" x14ac:dyDescent="0.3">
      <c r="A2369" t="s">
        <v>0</v>
      </c>
    </row>
    <row r="2370" spans="1:1" x14ac:dyDescent="0.3">
      <c r="A2370" t="s">
        <v>0</v>
      </c>
    </row>
    <row r="2371" spans="1:1" x14ac:dyDescent="0.3">
      <c r="A2371" t="s">
        <v>0</v>
      </c>
    </row>
    <row r="2372" spans="1:1" x14ac:dyDescent="0.3">
      <c r="A2372" t="s">
        <v>0</v>
      </c>
    </row>
    <row r="2373" spans="1:1" x14ac:dyDescent="0.3">
      <c r="A2373" t="s">
        <v>0</v>
      </c>
    </row>
    <row r="2374" spans="1:1" x14ac:dyDescent="0.3">
      <c r="A2374" t="s">
        <v>0</v>
      </c>
    </row>
    <row r="2375" spans="1:1" x14ac:dyDescent="0.3">
      <c r="A2375" t="s">
        <v>0</v>
      </c>
    </row>
    <row r="2376" spans="1:1" x14ac:dyDescent="0.3">
      <c r="A2376" t="s">
        <v>0</v>
      </c>
    </row>
    <row r="2377" spans="1:1" x14ac:dyDescent="0.3">
      <c r="A2377" t="s">
        <v>0</v>
      </c>
    </row>
    <row r="2378" spans="1:1" x14ac:dyDescent="0.3">
      <c r="A2378" t="s">
        <v>0</v>
      </c>
    </row>
    <row r="2379" spans="1:1" x14ac:dyDescent="0.3">
      <c r="A2379" t="s">
        <v>0</v>
      </c>
    </row>
    <row r="2380" spans="1:1" x14ac:dyDescent="0.3">
      <c r="A2380" t="s">
        <v>0</v>
      </c>
    </row>
    <row r="2381" spans="1:1" x14ac:dyDescent="0.3">
      <c r="A2381" t="s">
        <v>0</v>
      </c>
    </row>
    <row r="2382" spans="1:1" x14ac:dyDescent="0.3">
      <c r="A2382" t="s">
        <v>0</v>
      </c>
    </row>
    <row r="2383" spans="1:1" x14ac:dyDescent="0.3">
      <c r="A2383" t="s">
        <v>0</v>
      </c>
    </row>
    <row r="2384" spans="1:1" x14ac:dyDescent="0.3">
      <c r="A2384" t="s">
        <v>0</v>
      </c>
    </row>
    <row r="2385" spans="1:1" x14ac:dyDescent="0.3">
      <c r="A2385" t="s">
        <v>0</v>
      </c>
    </row>
    <row r="2386" spans="1:1" x14ac:dyDescent="0.3">
      <c r="A2386" t="s">
        <v>0</v>
      </c>
    </row>
    <row r="2387" spans="1:1" x14ac:dyDescent="0.3">
      <c r="A2387" t="s">
        <v>0</v>
      </c>
    </row>
    <row r="2388" spans="1:1" x14ac:dyDescent="0.3">
      <c r="A2388" t="s">
        <v>0</v>
      </c>
    </row>
    <row r="2389" spans="1:1" x14ac:dyDescent="0.3">
      <c r="A2389" t="s">
        <v>0</v>
      </c>
    </row>
    <row r="2390" spans="1:1" x14ac:dyDescent="0.3">
      <c r="A2390" t="s">
        <v>0</v>
      </c>
    </row>
    <row r="2391" spans="1:1" x14ac:dyDescent="0.3">
      <c r="A2391" t="s">
        <v>0</v>
      </c>
    </row>
    <row r="2392" spans="1:1" x14ac:dyDescent="0.3">
      <c r="A2392" t="s">
        <v>0</v>
      </c>
    </row>
    <row r="2393" spans="1:1" x14ac:dyDescent="0.3">
      <c r="A2393" t="s">
        <v>0</v>
      </c>
    </row>
    <row r="2394" spans="1:1" x14ac:dyDescent="0.3">
      <c r="A2394" t="s">
        <v>0</v>
      </c>
    </row>
    <row r="2395" spans="1:1" x14ac:dyDescent="0.3">
      <c r="A2395" t="s">
        <v>0</v>
      </c>
    </row>
    <row r="2396" spans="1:1" x14ac:dyDescent="0.3">
      <c r="A2396" t="s">
        <v>0</v>
      </c>
    </row>
    <row r="2397" spans="1:1" x14ac:dyDescent="0.3">
      <c r="A2397" t="s">
        <v>0</v>
      </c>
    </row>
    <row r="2398" spans="1:1" x14ac:dyDescent="0.3">
      <c r="A2398" t="s">
        <v>0</v>
      </c>
    </row>
    <row r="2399" spans="1:1" x14ac:dyDescent="0.3">
      <c r="A2399" t="s">
        <v>0</v>
      </c>
    </row>
    <row r="2400" spans="1:1" x14ac:dyDescent="0.3">
      <c r="A2400" t="s">
        <v>0</v>
      </c>
    </row>
    <row r="2401" spans="1:1" x14ac:dyDescent="0.3">
      <c r="A2401" t="s">
        <v>0</v>
      </c>
    </row>
    <row r="2402" spans="1:1" x14ac:dyDescent="0.3">
      <c r="A2402" t="s">
        <v>0</v>
      </c>
    </row>
    <row r="2403" spans="1:1" x14ac:dyDescent="0.3">
      <c r="A2403" t="s">
        <v>0</v>
      </c>
    </row>
    <row r="2404" spans="1:1" x14ac:dyDescent="0.3">
      <c r="A2404" t="s">
        <v>0</v>
      </c>
    </row>
    <row r="2405" spans="1:1" x14ac:dyDescent="0.3">
      <c r="A2405" t="s">
        <v>0</v>
      </c>
    </row>
    <row r="2406" spans="1:1" x14ac:dyDescent="0.3">
      <c r="A2406" t="s">
        <v>0</v>
      </c>
    </row>
    <row r="2407" spans="1:1" x14ac:dyDescent="0.3">
      <c r="A2407" t="s">
        <v>0</v>
      </c>
    </row>
    <row r="2408" spans="1:1" x14ac:dyDescent="0.3">
      <c r="A2408" t="s">
        <v>0</v>
      </c>
    </row>
    <row r="2409" spans="1:1" x14ac:dyDescent="0.3">
      <c r="A2409" t="s">
        <v>0</v>
      </c>
    </row>
    <row r="2410" spans="1:1" x14ac:dyDescent="0.3">
      <c r="A2410" t="s">
        <v>0</v>
      </c>
    </row>
    <row r="2411" spans="1:1" x14ac:dyDescent="0.3">
      <c r="A2411" t="s">
        <v>0</v>
      </c>
    </row>
    <row r="2412" spans="1:1" x14ac:dyDescent="0.3">
      <c r="A2412" t="s">
        <v>0</v>
      </c>
    </row>
    <row r="2413" spans="1:1" x14ac:dyDescent="0.3">
      <c r="A2413" t="s">
        <v>0</v>
      </c>
    </row>
    <row r="2414" spans="1:1" x14ac:dyDescent="0.3">
      <c r="A2414" t="s">
        <v>0</v>
      </c>
    </row>
    <row r="2415" spans="1:1" x14ac:dyDescent="0.3">
      <c r="A2415" t="s">
        <v>0</v>
      </c>
    </row>
    <row r="2416" spans="1:1" x14ac:dyDescent="0.3">
      <c r="A2416" t="s">
        <v>0</v>
      </c>
    </row>
    <row r="2417" spans="1:1" x14ac:dyDescent="0.3">
      <c r="A2417" t="s">
        <v>0</v>
      </c>
    </row>
    <row r="2418" spans="1:1" x14ac:dyDescent="0.3">
      <c r="A2418" t="s">
        <v>0</v>
      </c>
    </row>
    <row r="2419" spans="1:1" x14ac:dyDescent="0.3">
      <c r="A2419" t="s">
        <v>0</v>
      </c>
    </row>
    <row r="2420" spans="1:1" x14ac:dyDescent="0.3">
      <c r="A2420" t="s">
        <v>0</v>
      </c>
    </row>
    <row r="2421" spans="1:1" x14ac:dyDescent="0.3">
      <c r="A2421" t="s">
        <v>0</v>
      </c>
    </row>
    <row r="2422" spans="1:1" x14ac:dyDescent="0.3">
      <c r="A2422" t="s">
        <v>0</v>
      </c>
    </row>
    <row r="2423" spans="1:1" x14ac:dyDescent="0.3">
      <c r="A2423" t="s">
        <v>0</v>
      </c>
    </row>
    <row r="2424" spans="1:1" x14ac:dyDescent="0.3">
      <c r="A2424" t="s">
        <v>0</v>
      </c>
    </row>
    <row r="2425" spans="1:1" x14ac:dyDescent="0.3">
      <c r="A2425" t="s">
        <v>0</v>
      </c>
    </row>
    <row r="2426" spans="1:1" x14ac:dyDescent="0.3">
      <c r="A2426" t="s">
        <v>0</v>
      </c>
    </row>
    <row r="2427" spans="1:1" x14ac:dyDescent="0.3">
      <c r="A2427" t="s">
        <v>0</v>
      </c>
    </row>
    <row r="2428" spans="1:1" x14ac:dyDescent="0.3">
      <c r="A2428" t="s">
        <v>0</v>
      </c>
    </row>
    <row r="2429" spans="1:1" x14ac:dyDescent="0.3">
      <c r="A2429" t="s">
        <v>0</v>
      </c>
    </row>
    <row r="2430" spans="1:1" x14ac:dyDescent="0.3">
      <c r="A2430" t="s">
        <v>0</v>
      </c>
    </row>
    <row r="2431" spans="1:1" x14ac:dyDescent="0.3">
      <c r="A2431" t="s">
        <v>0</v>
      </c>
    </row>
    <row r="2432" spans="1:1" x14ac:dyDescent="0.3">
      <c r="A2432" t="s">
        <v>0</v>
      </c>
    </row>
    <row r="2433" spans="1:1" x14ac:dyDescent="0.3">
      <c r="A2433" t="s">
        <v>0</v>
      </c>
    </row>
    <row r="2434" spans="1:1" x14ac:dyDescent="0.3">
      <c r="A2434" t="s">
        <v>0</v>
      </c>
    </row>
    <row r="2435" spans="1:1" x14ac:dyDescent="0.3">
      <c r="A2435" t="s">
        <v>0</v>
      </c>
    </row>
    <row r="2436" spans="1:1" x14ac:dyDescent="0.3">
      <c r="A2436" t="s">
        <v>0</v>
      </c>
    </row>
    <row r="2437" spans="1:1" x14ac:dyDescent="0.3">
      <c r="A2437" t="s">
        <v>0</v>
      </c>
    </row>
    <row r="2438" spans="1:1" x14ac:dyDescent="0.3">
      <c r="A2438" t="s">
        <v>0</v>
      </c>
    </row>
    <row r="2439" spans="1:1" x14ac:dyDescent="0.3">
      <c r="A2439" t="s">
        <v>0</v>
      </c>
    </row>
    <row r="2440" spans="1:1" x14ac:dyDescent="0.3">
      <c r="A2440" t="s">
        <v>0</v>
      </c>
    </row>
    <row r="2441" spans="1:1" x14ac:dyDescent="0.3">
      <c r="A2441" t="s">
        <v>0</v>
      </c>
    </row>
    <row r="2442" spans="1:1" x14ac:dyDescent="0.3">
      <c r="A2442" t="s">
        <v>0</v>
      </c>
    </row>
    <row r="2443" spans="1:1" x14ac:dyDescent="0.3">
      <c r="A2443" t="s">
        <v>0</v>
      </c>
    </row>
    <row r="2444" spans="1:1" x14ac:dyDescent="0.3">
      <c r="A2444" t="s">
        <v>0</v>
      </c>
    </row>
    <row r="2445" spans="1:1" x14ac:dyDescent="0.3">
      <c r="A2445" t="s">
        <v>0</v>
      </c>
    </row>
    <row r="2446" spans="1:1" x14ac:dyDescent="0.3">
      <c r="A2446" t="s">
        <v>0</v>
      </c>
    </row>
    <row r="2447" spans="1:1" x14ac:dyDescent="0.3">
      <c r="A2447" t="s">
        <v>0</v>
      </c>
    </row>
    <row r="2448" spans="1:1" x14ac:dyDescent="0.3">
      <c r="A2448" t="s">
        <v>0</v>
      </c>
    </row>
    <row r="2449" spans="1:1" x14ac:dyDescent="0.3">
      <c r="A2449" t="s">
        <v>0</v>
      </c>
    </row>
    <row r="2450" spans="1:1" x14ac:dyDescent="0.3">
      <c r="A2450" t="s">
        <v>0</v>
      </c>
    </row>
    <row r="2451" spans="1:1" x14ac:dyDescent="0.3">
      <c r="A2451" t="s">
        <v>0</v>
      </c>
    </row>
    <row r="2452" spans="1:1" x14ac:dyDescent="0.3">
      <c r="A2452" t="s">
        <v>0</v>
      </c>
    </row>
    <row r="2453" spans="1:1" x14ac:dyDescent="0.3">
      <c r="A2453" t="s">
        <v>0</v>
      </c>
    </row>
    <row r="2454" spans="1:1" x14ac:dyDescent="0.3">
      <c r="A2454" t="s">
        <v>0</v>
      </c>
    </row>
    <row r="2455" spans="1:1" x14ac:dyDescent="0.3">
      <c r="A2455" t="s">
        <v>0</v>
      </c>
    </row>
    <row r="2456" spans="1:1" x14ac:dyDescent="0.3">
      <c r="A2456" t="s">
        <v>0</v>
      </c>
    </row>
    <row r="2457" spans="1:1" x14ac:dyDescent="0.3">
      <c r="A2457" t="s">
        <v>0</v>
      </c>
    </row>
    <row r="2458" spans="1:1" x14ac:dyDescent="0.3">
      <c r="A2458" t="s">
        <v>0</v>
      </c>
    </row>
    <row r="2459" spans="1:1" x14ac:dyDescent="0.3">
      <c r="A2459" t="s">
        <v>0</v>
      </c>
    </row>
    <row r="2460" spans="1:1" x14ac:dyDescent="0.3">
      <c r="A2460" t="s">
        <v>0</v>
      </c>
    </row>
    <row r="2461" spans="1:1" x14ac:dyDescent="0.3">
      <c r="A2461" t="s">
        <v>0</v>
      </c>
    </row>
    <row r="2462" spans="1:1" x14ac:dyDescent="0.3">
      <c r="A2462" t="s">
        <v>0</v>
      </c>
    </row>
    <row r="2463" spans="1:1" x14ac:dyDescent="0.3">
      <c r="A2463" t="s">
        <v>0</v>
      </c>
    </row>
    <row r="2464" spans="1:1" x14ac:dyDescent="0.3">
      <c r="A2464" t="s">
        <v>0</v>
      </c>
    </row>
    <row r="2465" spans="1:1" x14ac:dyDescent="0.3">
      <c r="A2465" t="s">
        <v>0</v>
      </c>
    </row>
    <row r="2466" spans="1:1" x14ac:dyDescent="0.3">
      <c r="A2466" t="s">
        <v>0</v>
      </c>
    </row>
    <row r="2467" spans="1:1" x14ac:dyDescent="0.3">
      <c r="A2467" t="s">
        <v>0</v>
      </c>
    </row>
    <row r="2468" spans="1:1" x14ac:dyDescent="0.3">
      <c r="A2468" t="s">
        <v>0</v>
      </c>
    </row>
    <row r="2469" spans="1:1" x14ac:dyDescent="0.3">
      <c r="A2469" t="s">
        <v>0</v>
      </c>
    </row>
    <row r="2470" spans="1:1" x14ac:dyDescent="0.3">
      <c r="A2470" t="s">
        <v>0</v>
      </c>
    </row>
    <row r="2471" spans="1:1" x14ac:dyDescent="0.3">
      <c r="A2471" t="s">
        <v>0</v>
      </c>
    </row>
    <row r="2472" spans="1:1" x14ac:dyDescent="0.3">
      <c r="A2472" t="s">
        <v>0</v>
      </c>
    </row>
    <row r="2473" spans="1:1" x14ac:dyDescent="0.3">
      <c r="A2473" t="s">
        <v>0</v>
      </c>
    </row>
    <row r="2474" spans="1:1" x14ac:dyDescent="0.3">
      <c r="A2474" t="s">
        <v>0</v>
      </c>
    </row>
    <row r="2475" spans="1:1" x14ac:dyDescent="0.3">
      <c r="A2475" t="s">
        <v>0</v>
      </c>
    </row>
    <row r="2476" spans="1:1" x14ac:dyDescent="0.3">
      <c r="A2476" t="s">
        <v>0</v>
      </c>
    </row>
    <row r="2477" spans="1:1" x14ac:dyDescent="0.3">
      <c r="A2477" t="s">
        <v>0</v>
      </c>
    </row>
    <row r="2478" spans="1:1" x14ac:dyDescent="0.3">
      <c r="A2478" t="s">
        <v>0</v>
      </c>
    </row>
    <row r="2479" spans="1:1" x14ac:dyDescent="0.3">
      <c r="A2479" t="s">
        <v>0</v>
      </c>
    </row>
    <row r="2480" spans="1:1" x14ac:dyDescent="0.3">
      <c r="A2480" t="s">
        <v>0</v>
      </c>
    </row>
    <row r="2481" spans="1:1" x14ac:dyDescent="0.3">
      <c r="A2481" t="s">
        <v>0</v>
      </c>
    </row>
    <row r="2482" spans="1:1" x14ac:dyDescent="0.3">
      <c r="A2482" t="s">
        <v>0</v>
      </c>
    </row>
    <row r="2483" spans="1:1" x14ac:dyDescent="0.3">
      <c r="A2483" t="s">
        <v>0</v>
      </c>
    </row>
    <row r="2484" spans="1:1" x14ac:dyDescent="0.3">
      <c r="A2484" t="s">
        <v>0</v>
      </c>
    </row>
    <row r="2485" spans="1:1" x14ac:dyDescent="0.3">
      <c r="A2485" t="s">
        <v>0</v>
      </c>
    </row>
    <row r="2486" spans="1:1" x14ac:dyDescent="0.3">
      <c r="A2486" t="s">
        <v>0</v>
      </c>
    </row>
    <row r="2487" spans="1:1" x14ac:dyDescent="0.3">
      <c r="A2487" t="s">
        <v>0</v>
      </c>
    </row>
    <row r="2488" spans="1:1" x14ac:dyDescent="0.3">
      <c r="A2488" t="s">
        <v>0</v>
      </c>
    </row>
    <row r="2489" spans="1:1" x14ac:dyDescent="0.3">
      <c r="A2489" t="s">
        <v>0</v>
      </c>
    </row>
    <row r="2490" spans="1:1" x14ac:dyDescent="0.3">
      <c r="A2490" t="s">
        <v>0</v>
      </c>
    </row>
    <row r="2491" spans="1:1" x14ac:dyDescent="0.3">
      <c r="A2491" t="s">
        <v>0</v>
      </c>
    </row>
    <row r="2492" spans="1:1" x14ac:dyDescent="0.3">
      <c r="A2492" t="s">
        <v>0</v>
      </c>
    </row>
    <row r="2493" spans="1:1" x14ac:dyDescent="0.3">
      <c r="A2493" t="s">
        <v>0</v>
      </c>
    </row>
    <row r="2494" spans="1:1" x14ac:dyDescent="0.3">
      <c r="A2494" t="s">
        <v>0</v>
      </c>
    </row>
    <row r="2495" spans="1:1" x14ac:dyDescent="0.3">
      <c r="A2495" t="s">
        <v>0</v>
      </c>
    </row>
    <row r="2496" spans="1:1" x14ac:dyDescent="0.3">
      <c r="A2496" t="s">
        <v>0</v>
      </c>
    </row>
    <row r="2497" spans="1:1" x14ac:dyDescent="0.3">
      <c r="A2497" t="s">
        <v>0</v>
      </c>
    </row>
    <row r="2498" spans="1:1" x14ac:dyDescent="0.3">
      <c r="A2498" t="s">
        <v>0</v>
      </c>
    </row>
    <row r="2499" spans="1:1" x14ac:dyDescent="0.3">
      <c r="A2499" t="s">
        <v>0</v>
      </c>
    </row>
    <row r="2500" spans="1:1" x14ac:dyDescent="0.3">
      <c r="A2500" t="s">
        <v>0</v>
      </c>
    </row>
    <row r="2501" spans="1:1" x14ac:dyDescent="0.3">
      <c r="A2501" t="s">
        <v>0</v>
      </c>
    </row>
    <row r="2502" spans="1:1" x14ac:dyDescent="0.3">
      <c r="A2502" t="s">
        <v>0</v>
      </c>
    </row>
    <row r="2503" spans="1:1" x14ac:dyDescent="0.3">
      <c r="A2503" t="s">
        <v>0</v>
      </c>
    </row>
    <row r="2504" spans="1:1" x14ac:dyDescent="0.3">
      <c r="A2504" t="s">
        <v>0</v>
      </c>
    </row>
    <row r="2505" spans="1:1" x14ac:dyDescent="0.3">
      <c r="A2505" t="s">
        <v>0</v>
      </c>
    </row>
    <row r="2506" spans="1:1" x14ac:dyDescent="0.3">
      <c r="A2506" t="s">
        <v>0</v>
      </c>
    </row>
    <row r="2507" spans="1:1" x14ac:dyDescent="0.3">
      <c r="A2507" t="s">
        <v>0</v>
      </c>
    </row>
    <row r="2508" spans="1:1" x14ac:dyDescent="0.3">
      <c r="A2508" t="s">
        <v>0</v>
      </c>
    </row>
    <row r="2509" spans="1:1" x14ac:dyDescent="0.3">
      <c r="A2509" t="s">
        <v>0</v>
      </c>
    </row>
    <row r="2510" spans="1:1" x14ac:dyDescent="0.3">
      <c r="A2510" t="s">
        <v>0</v>
      </c>
    </row>
    <row r="2511" spans="1:1" x14ac:dyDescent="0.3">
      <c r="A2511" t="s">
        <v>0</v>
      </c>
    </row>
    <row r="2512" spans="1:1" x14ac:dyDescent="0.3">
      <c r="A2512" t="s">
        <v>0</v>
      </c>
    </row>
    <row r="2513" spans="1:1" x14ac:dyDescent="0.3">
      <c r="A2513" t="s">
        <v>0</v>
      </c>
    </row>
    <row r="2514" spans="1:1" x14ac:dyDescent="0.3">
      <c r="A2514" t="s">
        <v>0</v>
      </c>
    </row>
    <row r="2515" spans="1:1" x14ac:dyDescent="0.3">
      <c r="A2515" t="s">
        <v>0</v>
      </c>
    </row>
    <row r="2516" spans="1:1" x14ac:dyDescent="0.3">
      <c r="A2516" t="s">
        <v>0</v>
      </c>
    </row>
    <row r="2517" spans="1:1" x14ac:dyDescent="0.3">
      <c r="A2517" t="s">
        <v>0</v>
      </c>
    </row>
    <row r="2518" spans="1:1" x14ac:dyDescent="0.3">
      <c r="A2518" t="s">
        <v>0</v>
      </c>
    </row>
    <row r="2519" spans="1:1" x14ac:dyDescent="0.3">
      <c r="A2519" t="s">
        <v>0</v>
      </c>
    </row>
    <row r="2520" spans="1:1" x14ac:dyDescent="0.3">
      <c r="A2520" t="s">
        <v>0</v>
      </c>
    </row>
    <row r="2521" spans="1:1" x14ac:dyDescent="0.3">
      <c r="A2521" t="s">
        <v>0</v>
      </c>
    </row>
    <row r="2522" spans="1:1" x14ac:dyDescent="0.3">
      <c r="A2522" t="s">
        <v>0</v>
      </c>
    </row>
    <row r="2523" spans="1:1" x14ac:dyDescent="0.3">
      <c r="A2523" t="s">
        <v>0</v>
      </c>
    </row>
    <row r="2524" spans="1:1" x14ac:dyDescent="0.3">
      <c r="A2524" t="s">
        <v>0</v>
      </c>
    </row>
    <row r="2525" spans="1:1" x14ac:dyDescent="0.3">
      <c r="A2525" t="s">
        <v>0</v>
      </c>
    </row>
    <row r="2526" spans="1:1" x14ac:dyDescent="0.3">
      <c r="A2526" t="s">
        <v>0</v>
      </c>
    </row>
    <row r="2527" spans="1:1" x14ac:dyDescent="0.3">
      <c r="A2527" t="s">
        <v>0</v>
      </c>
    </row>
    <row r="2528" spans="1:1" x14ac:dyDescent="0.3">
      <c r="A2528" t="s">
        <v>0</v>
      </c>
    </row>
    <row r="2529" spans="1:1" x14ac:dyDescent="0.3">
      <c r="A2529" t="s">
        <v>0</v>
      </c>
    </row>
    <row r="2530" spans="1:1" x14ac:dyDescent="0.3">
      <c r="A2530" t="s">
        <v>0</v>
      </c>
    </row>
    <row r="2531" spans="1:1" x14ac:dyDescent="0.3">
      <c r="A2531" t="s">
        <v>0</v>
      </c>
    </row>
    <row r="2532" spans="1:1" x14ac:dyDescent="0.3">
      <c r="A2532" t="s">
        <v>0</v>
      </c>
    </row>
    <row r="2533" spans="1:1" x14ac:dyDescent="0.3">
      <c r="A2533" t="s">
        <v>0</v>
      </c>
    </row>
    <row r="2534" spans="1:1" x14ac:dyDescent="0.3">
      <c r="A2534" t="s">
        <v>0</v>
      </c>
    </row>
    <row r="2535" spans="1:1" x14ac:dyDescent="0.3">
      <c r="A2535" t="s">
        <v>0</v>
      </c>
    </row>
    <row r="2536" spans="1:1" x14ac:dyDescent="0.3">
      <c r="A2536" t="s">
        <v>0</v>
      </c>
    </row>
    <row r="2537" spans="1:1" x14ac:dyDescent="0.3">
      <c r="A2537" t="s">
        <v>0</v>
      </c>
    </row>
    <row r="2538" spans="1:1" x14ac:dyDescent="0.3">
      <c r="A2538" t="s">
        <v>0</v>
      </c>
    </row>
    <row r="2539" spans="1:1" x14ac:dyDescent="0.3">
      <c r="A2539" t="s">
        <v>0</v>
      </c>
    </row>
    <row r="2540" spans="1:1" x14ac:dyDescent="0.3">
      <c r="A2540" t="s">
        <v>0</v>
      </c>
    </row>
    <row r="2541" spans="1:1" x14ac:dyDescent="0.3">
      <c r="A2541" t="s">
        <v>0</v>
      </c>
    </row>
    <row r="2542" spans="1:1" x14ac:dyDescent="0.3">
      <c r="A2542" t="s">
        <v>0</v>
      </c>
    </row>
    <row r="2543" spans="1:1" x14ac:dyDescent="0.3">
      <c r="A2543" t="s">
        <v>0</v>
      </c>
    </row>
    <row r="2544" spans="1:1" x14ac:dyDescent="0.3">
      <c r="A2544" t="s">
        <v>0</v>
      </c>
    </row>
    <row r="2545" spans="1:1" x14ac:dyDescent="0.3">
      <c r="A2545" t="s">
        <v>0</v>
      </c>
    </row>
    <row r="2546" spans="1:1" x14ac:dyDescent="0.3">
      <c r="A2546" t="s">
        <v>0</v>
      </c>
    </row>
    <row r="2547" spans="1:1" x14ac:dyDescent="0.3">
      <c r="A2547" t="s">
        <v>0</v>
      </c>
    </row>
    <row r="2548" spans="1:1" x14ac:dyDescent="0.3">
      <c r="A2548" t="s">
        <v>0</v>
      </c>
    </row>
    <row r="2549" spans="1:1" x14ac:dyDescent="0.3">
      <c r="A2549" t="s">
        <v>0</v>
      </c>
    </row>
    <row r="2550" spans="1:1" x14ac:dyDescent="0.3">
      <c r="A2550" t="s">
        <v>0</v>
      </c>
    </row>
    <row r="2551" spans="1:1" x14ac:dyDescent="0.3">
      <c r="A2551" t="s">
        <v>0</v>
      </c>
    </row>
    <row r="2552" spans="1:1" x14ac:dyDescent="0.3">
      <c r="A2552" t="s">
        <v>0</v>
      </c>
    </row>
    <row r="2553" spans="1:1" x14ac:dyDescent="0.3">
      <c r="A2553" t="s">
        <v>0</v>
      </c>
    </row>
    <row r="2554" spans="1:1" x14ac:dyDescent="0.3">
      <c r="A2554" t="s">
        <v>0</v>
      </c>
    </row>
    <row r="2555" spans="1:1" x14ac:dyDescent="0.3">
      <c r="A2555" t="s">
        <v>0</v>
      </c>
    </row>
    <row r="2556" spans="1:1" x14ac:dyDescent="0.3">
      <c r="A2556" t="s">
        <v>0</v>
      </c>
    </row>
    <row r="2557" spans="1:1" x14ac:dyDescent="0.3">
      <c r="A2557" t="s">
        <v>0</v>
      </c>
    </row>
    <row r="2558" spans="1:1" x14ac:dyDescent="0.3">
      <c r="A2558" t="s">
        <v>0</v>
      </c>
    </row>
    <row r="2559" spans="1:1" x14ac:dyDescent="0.3">
      <c r="A2559" t="s">
        <v>0</v>
      </c>
    </row>
    <row r="2560" spans="1:1" x14ac:dyDescent="0.3">
      <c r="A2560" t="s">
        <v>0</v>
      </c>
    </row>
    <row r="2561" spans="1:1" x14ac:dyDescent="0.3">
      <c r="A2561" t="s">
        <v>0</v>
      </c>
    </row>
    <row r="2562" spans="1:1" x14ac:dyDescent="0.3">
      <c r="A2562" t="s">
        <v>0</v>
      </c>
    </row>
    <row r="2563" spans="1:1" x14ac:dyDescent="0.3">
      <c r="A2563" t="s">
        <v>0</v>
      </c>
    </row>
    <row r="2564" spans="1:1" x14ac:dyDescent="0.3">
      <c r="A2564" t="s">
        <v>0</v>
      </c>
    </row>
    <row r="2565" spans="1:1" x14ac:dyDescent="0.3">
      <c r="A2565" t="s">
        <v>0</v>
      </c>
    </row>
    <row r="2566" spans="1:1" x14ac:dyDescent="0.3">
      <c r="A2566" t="s">
        <v>0</v>
      </c>
    </row>
    <row r="2567" spans="1:1" x14ac:dyDescent="0.3">
      <c r="A2567" t="s">
        <v>0</v>
      </c>
    </row>
    <row r="2568" spans="1:1" x14ac:dyDescent="0.3">
      <c r="A2568" t="s">
        <v>0</v>
      </c>
    </row>
    <row r="2569" spans="1:1" x14ac:dyDescent="0.3">
      <c r="A2569" t="s">
        <v>0</v>
      </c>
    </row>
    <row r="2570" spans="1:1" x14ac:dyDescent="0.3">
      <c r="A2570" t="s">
        <v>0</v>
      </c>
    </row>
    <row r="2571" spans="1:1" x14ac:dyDescent="0.3">
      <c r="A2571" t="s">
        <v>0</v>
      </c>
    </row>
    <row r="2572" spans="1:1" x14ac:dyDescent="0.3">
      <c r="A2572" t="s">
        <v>0</v>
      </c>
    </row>
    <row r="2573" spans="1:1" x14ac:dyDescent="0.3">
      <c r="A2573" t="s">
        <v>0</v>
      </c>
    </row>
    <row r="2574" spans="1:1" x14ac:dyDescent="0.3">
      <c r="A2574" t="s">
        <v>0</v>
      </c>
    </row>
    <row r="2575" spans="1:1" x14ac:dyDescent="0.3">
      <c r="A2575" t="s">
        <v>0</v>
      </c>
    </row>
    <row r="2576" spans="1:1" x14ac:dyDescent="0.3">
      <c r="A2576" t="s">
        <v>0</v>
      </c>
    </row>
    <row r="2577" spans="1:1" x14ac:dyDescent="0.3">
      <c r="A2577" t="s">
        <v>0</v>
      </c>
    </row>
    <row r="2578" spans="1:1" x14ac:dyDescent="0.3">
      <c r="A2578" t="s">
        <v>0</v>
      </c>
    </row>
    <row r="2579" spans="1:1" x14ac:dyDescent="0.3">
      <c r="A2579" t="s">
        <v>0</v>
      </c>
    </row>
    <row r="2580" spans="1:1" x14ac:dyDescent="0.3">
      <c r="A2580" t="s">
        <v>0</v>
      </c>
    </row>
    <row r="2581" spans="1:1" x14ac:dyDescent="0.3">
      <c r="A2581" t="s">
        <v>0</v>
      </c>
    </row>
    <row r="2582" spans="1:1" x14ac:dyDescent="0.3">
      <c r="A2582" t="s">
        <v>0</v>
      </c>
    </row>
    <row r="2583" spans="1:1" x14ac:dyDescent="0.3">
      <c r="A2583" t="s">
        <v>0</v>
      </c>
    </row>
    <row r="2584" spans="1:1" x14ac:dyDescent="0.3">
      <c r="A2584" t="s">
        <v>0</v>
      </c>
    </row>
    <row r="2585" spans="1:1" x14ac:dyDescent="0.3">
      <c r="A2585" t="s">
        <v>0</v>
      </c>
    </row>
    <row r="2586" spans="1:1" x14ac:dyDescent="0.3">
      <c r="A2586" t="s">
        <v>0</v>
      </c>
    </row>
    <row r="2587" spans="1:1" x14ac:dyDescent="0.3">
      <c r="A2587" t="s">
        <v>0</v>
      </c>
    </row>
    <row r="2588" spans="1:1" x14ac:dyDescent="0.3">
      <c r="A2588" t="s">
        <v>0</v>
      </c>
    </row>
    <row r="2589" spans="1:1" x14ac:dyDescent="0.3">
      <c r="A2589" t="s">
        <v>0</v>
      </c>
    </row>
    <row r="2590" spans="1:1" x14ac:dyDescent="0.3">
      <c r="A2590" t="s">
        <v>0</v>
      </c>
    </row>
    <row r="2591" spans="1:1" x14ac:dyDescent="0.3">
      <c r="A2591" t="s">
        <v>0</v>
      </c>
    </row>
    <row r="2592" spans="1:1" x14ac:dyDescent="0.3">
      <c r="A2592" t="s">
        <v>0</v>
      </c>
    </row>
    <row r="2593" spans="1:1" x14ac:dyDescent="0.3">
      <c r="A2593" t="s">
        <v>0</v>
      </c>
    </row>
    <row r="2594" spans="1:1" x14ac:dyDescent="0.3">
      <c r="A2594" t="s">
        <v>0</v>
      </c>
    </row>
    <row r="2595" spans="1:1" x14ac:dyDescent="0.3">
      <c r="A2595" t="s">
        <v>0</v>
      </c>
    </row>
    <row r="2596" spans="1:1" x14ac:dyDescent="0.3">
      <c r="A2596" t="s">
        <v>0</v>
      </c>
    </row>
    <row r="2597" spans="1:1" x14ac:dyDescent="0.3">
      <c r="A2597" t="s">
        <v>0</v>
      </c>
    </row>
    <row r="2598" spans="1:1" x14ac:dyDescent="0.3">
      <c r="A2598" t="s">
        <v>0</v>
      </c>
    </row>
    <row r="2599" spans="1:1" x14ac:dyDescent="0.3">
      <c r="A2599" t="s">
        <v>0</v>
      </c>
    </row>
    <row r="2600" spans="1:1" x14ac:dyDescent="0.3">
      <c r="A2600" t="s">
        <v>0</v>
      </c>
    </row>
    <row r="2601" spans="1:1" x14ac:dyDescent="0.3">
      <c r="A2601" t="s">
        <v>0</v>
      </c>
    </row>
    <row r="2602" spans="1:1" x14ac:dyDescent="0.3">
      <c r="A2602" t="s">
        <v>0</v>
      </c>
    </row>
    <row r="2603" spans="1:1" x14ac:dyDescent="0.3">
      <c r="A2603" t="s">
        <v>0</v>
      </c>
    </row>
    <row r="2604" spans="1:1" x14ac:dyDescent="0.3">
      <c r="A2604" t="s">
        <v>0</v>
      </c>
    </row>
    <row r="2605" spans="1:1" x14ac:dyDescent="0.3">
      <c r="A2605" t="s">
        <v>0</v>
      </c>
    </row>
    <row r="2606" spans="1:1" x14ac:dyDescent="0.3">
      <c r="A2606" t="s">
        <v>0</v>
      </c>
    </row>
    <row r="2607" spans="1:1" x14ac:dyDescent="0.3">
      <c r="A2607" t="s">
        <v>0</v>
      </c>
    </row>
    <row r="2608" spans="1:1" x14ac:dyDescent="0.3">
      <c r="A2608" t="s">
        <v>0</v>
      </c>
    </row>
    <row r="2609" spans="1:1" x14ac:dyDescent="0.3">
      <c r="A2609" t="s">
        <v>0</v>
      </c>
    </row>
    <row r="2610" spans="1:1" x14ac:dyDescent="0.3">
      <c r="A2610" t="s">
        <v>0</v>
      </c>
    </row>
    <row r="2611" spans="1:1" x14ac:dyDescent="0.3">
      <c r="A2611" t="s">
        <v>0</v>
      </c>
    </row>
    <row r="2612" spans="1:1" x14ac:dyDescent="0.3">
      <c r="A2612" t="s">
        <v>0</v>
      </c>
    </row>
    <row r="2613" spans="1:1" x14ac:dyDescent="0.3">
      <c r="A2613" t="s">
        <v>0</v>
      </c>
    </row>
    <row r="2614" spans="1:1" x14ac:dyDescent="0.3">
      <c r="A2614" t="s">
        <v>0</v>
      </c>
    </row>
    <row r="2615" spans="1:1" x14ac:dyDescent="0.3">
      <c r="A2615" t="s">
        <v>0</v>
      </c>
    </row>
    <row r="2616" spans="1:1" x14ac:dyDescent="0.3">
      <c r="A2616" t="s">
        <v>0</v>
      </c>
    </row>
    <row r="2617" spans="1:1" x14ac:dyDescent="0.3">
      <c r="A2617" t="s">
        <v>0</v>
      </c>
    </row>
    <row r="2618" spans="1:1" x14ac:dyDescent="0.3">
      <c r="A2618" t="s">
        <v>0</v>
      </c>
    </row>
    <row r="2619" spans="1:1" x14ac:dyDescent="0.3">
      <c r="A2619" t="s">
        <v>0</v>
      </c>
    </row>
    <row r="2620" spans="1:1" x14ac:dyDescent="0.3">
      <c r="A2620" t="s">
        <v>0</v>
      </c>
    </row>
    <row r="2621" spans="1:1" x14ac:dyDescent="0.3">
      <c r="A2621" t="s">
        <v>0</v>
      </c>
    </row>
    <row r="2622" spans="1:1" x14ac:dyDescent="0.3">
      <c r="A2622" t="s">
        <v>0</v>
      </c>
    </row>
    <row r="2623" spans="1:1" x14ac:dyDescent="0.3">
      <c r="A2623" t="s">
        <v>0</v>
      </c>
    </row>
    <row r="2624" spans="1:1" x14ac:dyDescent="0.3">
      <c r="A2624" t="s">
        <v>0</v>
      </c>
    </row>
    <row r="2625" spans="1:1" x14ac:dyDescent="0.3">
      <c r="A2625" t="s">
        <v>0</v>
      </c>
    </row>
    <row r="2626" spans="1:1" x14ac:dyDescent="0.3">
      <c r="A2626" t="s">
        <v>0</v>
      </c>
    </row>
    <row r="2627" spans="1:1" x14ac:dyDescent="0.3">
      <c r="A2627" t="s">
        <v>0</v>
      </c>
    </row>
    <row r="2628" spans="1:1" x14ac:dyDescent="0.3">
      <c r="A2628" t="s">
        <v>0</v>
      </c>
    </row>
    <row r="2629" spans="1:1" x14ac:dyDescent="0.3">
      <c r="A2629" t="s">
        <v>0</v>
      </c>
    </row>
    <row r="2630" spans="1:1" x14ac:dyDescent="0.3">
      <c r="A2630" t="s">
        <v>0</v>
      </c>
    </row>
    <row r="2631" spans="1:1" x14ac:dyDescent="0.3">
      <c r="A2631" t="s">
        <v>0</v>
      </c>
    </row>
    <row r="2632" spans="1:1" x14ac:dyDescent="0.3">
      <c r="A2632" t="s">
        <v>0</v>
      </c>
    </row>
    <row r="2633" spans="1:1" x14ac:dyDescent="0.3">
      <c r="A2633" t="s">
        <v>0</v>
      </c>
    </row>
    <row r="2634" spans="1:1" x14ac:dyDescent="0.3">
      <c r="A2634" t="s">
        <v>0</v>
      </c>
    </row>
    <row r="2635" spans="1:1" x14ac:dyDescent="0.3">
      <c r="A2635" t="s">
        <v>0</v>
      </c>
    </row>
    <row r="2636" spans="1:1" x14ac:dyDescent="0.3">
      <c r="A2636" t="s">
        <v>0</v>
      </c>
    </row>
    <row r="2637" spans="1:1" x14ac:dyDescent="0.3">
      <c r="A2637" t="s">
        <v>0</v>
      </c>
    </row>
    <row r="2638" spans="1:1" x14ac:dyDescent="0.3">
      <c r="A2638" t="s">
        <v>0</v>
      </c>
    </row>
    <row r="2639" spans="1:1" x14ac:dyDescent="0.3">
      <c r="A2639" t="s">
        <v>0</v>
      </c>
    </row>
    <row r="2640" spans="1:1" x14ac:dyDescent="0.3">
      <c r="A2640" t="s">
        <v>0</v>
      </c>
    </row>
    <row r="2641" spans="1:1" x14ac:dyDescent="0.3">
      <c r="A2641" t="s">
        <v>0</v>
      </c>
    </row>
    <row r="2642" spans="1:1" x14ac:dyDescent="0.3">
      <c r="A2642" t="s">
        <v>0</v>
      </c>
    </row>
    <row r="2643" spans="1:1" x14ac:dyDescent="0.3">
      <c r="A2643" t="s">
        <v>0</v>
      </c>
    </row>
    <row r="2644" spans="1:1" x14ac:dyDescent="0.3">
      <c r="A2644" t="s">
        <v>0</v>
      </c>
    </row>
    <row r="2645" spans="1:1" x14ac:dyDescent="0.3">
      <c r="A2645" t="s">
        <v>0</v>
      </c>
    </row>
    <row r="2646" spans="1:1" x14ac:dyDescent="0.3">
      <c r="A2646" t="s">
        <v>0</v>
      </c>
    </row>
    <row r="2647" spans="1:1" x14ac:dyDescent="0.3">
      <c r="A2647" t="s">
        <v>0</v>
      </c>
    </row>
    <row r="2648" spans="1:1" x14ac:dyDescent="0.3">
      <c r="A2648" t="s">
        <v>0</v>
      </c>
    </row>
    <row r="2649" spans="1:1" x14ac:dyDescent="0.3">
      <c r="A2649" t="s">
        <v>0</v>
      </c>
    </row>
    <row r="2650" spans="1:1" x14ac:dyDescent="0.3">
      <c r="A2650" t="s">
        <v>0</v>
      </c>
    </row>
    <row r="2651" spans="1:1" x14ac:dyDescent="0.3">
      <c r="A2651" t="s">
        <v>0</v>
      </c>
    </row>
    <row r="2652" spans="1:1" x14ac:dyDescent="0.3">
      <c r="A2652" t="s">
        <v>0</v>
      </c>
    </row>
    <row r="2653" spans="1:1" x14ac:dyDescent="0.3">
      <c r="A2653" t="s">
        <v>0</v>
      </c>
    </row>
    <row r="2654" spans="1:1" x14ac:dyDescent="0.3">
      <c r="A2654" t="s">
        <v>0</v>
      </c>
    </row>
    <row r="2655" spans="1:1" x14ac:dyDescent="0.3">
      <c r="A2655" t="s">
        <v>0</v>
      </c>
    </row>
    <row r="2656" spans="1:1" x14ac:dyDescent="0.3">
      <c r="A2656" t="s">
        <v>0</v>
      </c>
    </row>
    <row r="2657" spans="1:1" x14ac:dyDescent="0.3">
      <c r="A2657" t="s">
        <v>0</v>
      </c>
    </row>
    <row r="2658" spans="1:1" x14ac:dyDescent="0.3">
      <c r="A2658" t="s">
        <v>0</v>
      </c>
    </row>
    <row r="2659" spans="1:1" x14ac:dyDescent="0.3">
      <c r="A2659" t="s">
        <v>0</v>
      </c>
    </row>
    <row r="2660" spans="1:1" x14ac:dyDescent="0.3">
      <c r="A2660" t="s">
        <v>0</v>
      </c>
    </row>
    <row r="2661" spans="1:1" x14ac:dyDescent="0.3">
      <c r="A2661" t="s">
        <v>0</v>
      </c>
    </row>
    <row r="2662" spans="1:1" x14ac:dyDescent="0.3">
      <c r="A2662" t="s">
        <v>0</v>
      </c>
    </row>
    <row r="2663" spans="1:1" x14ac:dyDescent="0.3">
      <c r="A2663" t="s">
        <v>0</v>
      </c>
    </row>
    <row r="2664" spans="1:1" x14ac:dyDescent="0.3">
      <c r="A2664" t="s">
        <v>0</v>
      </c>
    </row>
    <row r="2665" spans="1:1" x14ac:dyDescent="0.3">
      <c r="A2665" t="s">
        <v>0</v>
      </c>
    </row>
    <row r="2666" spans="1:1" x14ac:dyDescent="0.3">
      <c r="A2666" t="s">
        <v>0</v>
      </c>
    </row>
    <row r="2667" spans="1:1" x14ac:dyDescent="0.3">
      <c r="A2667" t="s">
        <v>0</v>
      </c>
    </row>
    <row r="2668" spans="1:1" x14ac:dyDescent="0.3">
      <c r="A2668" t="s">
        <v>0</v>
      </c>
    </row>
    <row r="2669" spans="1:1" x14ac:dyDescent="0.3">
      <c r="A2669" t="s">
        <v>0</v>
      </c>
    </row>
    <row r="2670" spans="1:1" x14ac:dyDescent="0.3">
      <c r="A2670" t="s">
        <v>0</v>
      </c>
    </row>
    <row r="2671" spans="1:1" x14ac:dyDescent="0.3">
      <c r="A2671" t="s">
        <v>0</v>
      </c>
    </row>
    <row r="2672" spans="1:1" x14ac:dyDescent="0.3">
      <c r="A2672" t="s">
        <v>0</v>
      </c>
    </row>
    <row r="2673" spans="1:1" x14ac:dyDescent="0.3">
      <c r="A2673" t="s">
        <v>0</v>
      </c>
    </row>
    <row r="2674" spans="1:1" x14ac:dyDescent="0.3">
      <c r="A2674" t="s">
        <v>0</v>
      </c>
    </row>
    <row r="2675" spans="1:1" x14ac:dyDescent="0.3">
      <c r="A2675" t="s">
        <v>0</v>
      </c>
    </row>
    <row r="2676" spans="1:1" x14ac:dyDescent="0.3">
      <c r="A2676" t="s">
        <v>0</v>
      </c>
    </row>
    <row r="2677" spans="1:1" x14ac:dyDescent="0.3">
      <c r="A2677" t="s">
        <v>0</v>
      </c>
    </row>
    <row r="2678" spans="1:1" x14ac:dyDescent="0.3">
      <c r="A2678" t="s">
        <v>0</v>
      </c>
    </row>
    <row r="2679" spans="1:1" x14ac:dyDescent="0.3">
      <c r="A2679" t="s">
        <v>0</v>
      </c>
    </row>
    <row r="2680" spans="1:1" x14ac:dyDescent="0.3">
      <c r="A2680" t="s">
        <v>0</v>
      </c>
    </row>
    <row r="2681" spans="1:1" x14ac:dyDescent="0.3">
      <c r="A2681" t="s">
        <v>0</v>
      </c>
    </row>
    <row r="2682" spans="1:1" x14ac:dyDescent="0.3">
      <c r="A2682" t="s">
        <v>0</v>
      </c>
    </row>
    <row r="2683" spans="1:1" x14ac:dyDescent="0.3">
      <c r="A2683" t="s">
        <v>0</v>
      </c>
    </row>
    <row r="2684" spans="1:1" x14ac:dyDescent="0.3">
      <c r="A2684" t="s">
        <v>0</v>
      </c>
    </row>
    <row r="2685" spans="1:1" x14ac:dyDescent="0.3">
      <c r="A2685" t="s">
        <v>0</v>
      </c>
    </row>
    <row r="2686" spans="1:1" x14ac:dyDescent="0.3">
      <c r="A2686" t="s">
        <v>0</v>
      </c>
    </row>
    <row r="2687" spans="1:1" x14ac:dyDescent="0.3">
      <c r="A2687" t="s">
        <v>0</v>
      </c>
    </row>
    <row r="2688" spans="1:1" x14ac:dyDescent="0.3">
      <c r="A2688" t="s">
        <v>0</v>
      </c>
    </row>
    <row r="2689" spans="1:1" x14ac:dyDescent="0.3">
      <c r="A2689" t="s">
        <v>0</v>
      </c>
    </row>
    <row r="2690" spans="1:1" x14ac:dyDescent="0.3">
      <c r="A2690" t="s">
        <v>0</v>
      </c>
    </row>
    <row r="2691" spans="1:1" x14ac:dyDescent="0.3">
      <c r="A2691" t="s">
        <v>0</v>
      </c>
    </row>
    <row r="2692" spans="1:1" x14ac:dyDescent="0.3">
      <c r="A2692" t="s">
        <v>0</v>
      </c>
    </row>
    <row r="2693" spans="1:1" x14ac:dyDescent="0.3">
      <c r="A2693" t="s">
        <v>0</v>
      </c>
    </row>
    <row r="2694" spans="1:1" x14ac:dyDescent="0.3">
      <c r="A2694" t="s">
        <v>0</v>
      </c>
    </row>
    <row r="2695" spans="1:1" x14ac:dyDescent="0.3">
      <c r="A2695" t="s">
        <v>0</v>
      </c>
    </row>
    <row r="2696" spans="1:1" x14ac:dyDescent="0.3">
      <c r="A2696" t="s">
        <v>0</v>
      </c>
    </row>
    <row r="2697" spans="1:1" x14ac:dyDescent="0.3">
      <c r="A2697" t="s">
        <v>0</v>
      </c>
    </row>
    <row r="2698" spans="1:1" x14ac:dyDescent="0.3">
      <c r="A2698" t="s">
        <v>0</v>
      </c>
    </row>
    <row r="2699" spans="1:1" x14ac:dyDescent="0.3">
      <c r="A2699" t="s">
        <v>0</v>
      </c>
    </row>
    <row r="2700" spans="1:1" x14ac:dyDescent="0.3">
      <c r="A2700" t="s">
        <v>0</v>
      </c>
    </row>
    <row r="2701" spans="1:1" x14ac:dyDescent="0.3">
      <c r="A2701" t="s">
        <v>0</v>
      </c>
    </row>
    <row r="2702" spans="1:1" x14ac:dyDescent="0.3">
      <c r="A2702" t="s">
        <v>0</v>
      </c>
    </row>
    <row r="2703" spans="1:1" x14ac:dyDescent="0.3">
      <c r="A2703" t="s">
        <v>0</v>
      </c>
    </row>
    <row r="2704" spans="1:1" x14ac:dyDescent="0.3">
      <c r="A2704" t="s">
        <v>0</v>
      </c>
    </row>
    <row r="2705" spans="1:1" x14ac:dyDescent="0.3">
      <c r="A2705" t="s">
        <v>0</v>
      </c>
    </row>
    <row r="2706" spans="1:1" x14ac:dyDescent="0.3">
      <c r="A2706" t="s">
        <v>0</v>
      </c>
    </row>
    <row r="2707" spans="1:1" x14ac:dyDescent="0.3">
      <c r="A2707" t="s">
        <v>0</v>
      </c>
    </row>
    <row r="2708" spans="1:1" x14ac:dyDescent="0.3">
      <c r="A2708" t="s">
        <v>0</v>
      </c>
    </row>
    <row r="2709" spans="1:1" x14ac:dyDescent="0.3">
      <c r="A2709" t="s">
        <v>0</v>
      </c>
    </row>
    <row r="2710" spans="1:1" x14ac:dyDescent="0.3">
      <c r="A2710" t="s">
        <v>0</v>
      </c>
    </row>
    <row r="2711" spans="1:1" x14ac:dyDescent="0.3">
      <c r="A2711" t="s">
        <v>0</v>
      </c>
    </row>
    <row r="2712" spans="1:1" x14ac:dyDescent="0.3">
      <c r="A2712" t="s">
        <v>0</v>
      </c>
    </row>
    <row r="2713" spans="1:1" x14ac:dyDescent="0.3">
      <c r="A2713" t="s">
        <v>0</v>
      </c>
    </row>
    <row r="2714" spans="1:1" x14ac:dyDescent="0.3">
      <c r="A2714" t="s">
        <v>0</v>
      </c>
    </row>
    <row r="2715" spans="1:1" x14ac:dyDescent="0.3">
      <c r="A2715" t="s">
        <v>0</v>
      </c>
    </row>
    <row r="2716" spans="1:1" x14ac:dyDescent="0.3">
      <c r="A2716" t="s">
        <v>0</v>
      </c>
    </row>
    <row r="2717" spans="1:1" x14ac:dyDescent="0.3">
      <c r="A2717" t="s">
        <v>0</v>
      </c>
    </row>
    <row r="2718" spans="1:1" x14ac:dyDescent="0.3">
      <c r="A2718" t="s">
        <v>0</v>
      </c>
    </row>
    <row r="2719" spans="1:1" x14ac:dyDescent="0.3">
      <c r="A2719" t="s">
        <v>0</v>
      </c>
    </row>
    <row r="2720" spans="1:1" x14ac:dyDescent="0.3">
      <c r="A2720" t="s">
        <v>0</v>
      </c>
    </row>
    <row r="2721" spans="1:1" x14ac:dyDescent="0.3">
      <c r="A2721" t="s">
        <v>0</v>
      </c>
    </row>
    <row r="2722" spans="1:1" x14ac:dyDescent="0.3">
      <c r="A2722" t="s">
        <v>0</v>
      </c>
    </row>
    <row r="2723" spans="1:1" x14ac:dyDescent="0.3">
      <c r="A2723" t="s">
        <v>0</v>
      </c>
    </row>
    <row r="2724" spans="1:1" x14ac:dyDescent="0.3">
      <c r="A2724" t="s">
        <v>0</v>
      </c>
    </row>
    <row r="2725" spans="1:1" x14ac:dyDescent="0.3">
      <c r="A2725" t="s">
        <v>0</v>
      </c>
    </row>
    <row r="2726" spans="1:1" x14ac:dyDescent="0.3">
      <c r="A2726" t="s">
        <v>0</v>
      </c>
    </row>
    <row r="2727" spans="1:1" x14ac:dyDescent="0.3">
      <c r="A2727" t="s">
        <v>0</v>
      </c>
    </row>
    <row r="2728" spans="1:1" x14ac:dyDescent="0.3">
      <c r="A2728" t="s">
        <v>0</v>
      </c>
    </row>
    <row r="2729" spans="1:1" x14ac:dyDescent="0.3">
      <c r="A2729" t="s">
        <v>0</v>
      </c>
    </row>
    <row r="2730" spans="1:1" x14ac:dyDescent="0.3">
      <c r="A2730" t="s">
        <v>0</v>
      </c>
    </row>
    <row r="2731" spans="1:1" x14ac:dyDescent="0.3">
      <c r="A2731" t="s">
        <v>0</v>
      </c>
    </row>
    <row r="2732" spans="1:1" x14ac:dyDescent="0.3">
      <c r="A2732" t="s">
        <v>0</v>
      </c>
    </row>
    <row r="2733" spans="1:1" x14ac:dyDescent="0.3">
      <c r="A2733" t="s">
        <v>0</v>
      </c>
    </row>
    <row r="2734" spans="1:1" x14ac:dyDescent="0.3">
      <c r="A2734" t="s">
        <v>0</v>
      </c>
    </row>
    <row r="2735" spans="1:1" x14ac:dyDescent="0.3">
      <c r="A2735" t="s">
        <v>0</v>
      </c>
    </row>
    <row r="2736" spans="1:1" x14ac:dyDescent="0.3">
      <c r="A2736" t="s">
        <v>0</v>
      </c>
    </row>
    <row r="2737" spans="1:1" x14ac:dyDescent="0.3">
      <c r="A2737" t="s">
        <v>0</v>
      </c>
    </row>
    <row r="2738" spans="1:1" x14ac:dyDescent="0.3">
      <c r="A2738" t="s">
        <v>0</v>
      </c>
    </row>
    <row r="2739" spans="1:1" x14ac:dyDescent="0.3">
      <c r="A2739" t="s">
        <v>0</v>
      </c>
    </row>
    <row r="2740" spans="1:1" x14ac:dyDescent="0.3">
      <c r="A2740" t="s">
        <v>0</v>
      </c>
    </row>
    <row r="2741" spans="1:1" x14ac:dyDescent="0.3">
      <c r="A2741" t="s">
        <v>0</v>
      </c>
    </row>
    <row r="2742" spans="1:1" x14ac:dyDescent="0.3">
      <c r="A2742" t="s">
        <v>0</v>
      </c>
    </row>
    <row r="2743" spans="1:1" x14ac:dyDescent="0.3">
      <c r="A2743" t="s">
        <v>0</v>
      </c>
    </row>
    <row r="2744" spans="1:1" x14ac:dyDescent="0.3">
      <c r="A2744" t="s">
        <v>0</v>
      </c>
    </row>
    <row r="2745" spans="1:1" x14ac:dyDescent="0.3">
      <c r="A2745" t="s">
        <v>0</v>
      </c>
    </row>
    <row r="2746" spans="1:1" x14ac:dyDescent="0.3">
      <c r="A2746" t="s">
        <v>0</v>
      </c>
    </row>
    <row r="2747" spans="1:1" x14ac:dyDescent="0.3">
      <c r="A2747" t="s">
        <v>0</v>
      </c>
    </row>
    <row r="2748" spans="1:1" x14ac:dyDescent="0.3">
      <c r="A2748" t="s">
        <v>0</v>
      </c>
    </row>
    <row r="2749" spans="1:1" x14ac:dyDescent="0.3">
      <c r="A2749" t="s">
        <v>0</v>
      </c>
    </row>
    <row r="2750" spans="1:1" x14ac:dyDescent="0.3">
      <c r="A2750" t="s">
        <v>0</v>
      </c>
    </row>
    <row r="2751" spans="1:1" x14ac:dyDescent="0.3">
      <c r="A2751" t="s">
        <v>0</v>
      </c>
    </row>
    <row r="2752" spans="1:1" x14ac:dyDescent="0.3">
      <c r="A2752" t="s">
        <v>0</v>
      </c>
    </row>
    <row r="2753" spans="1:1" x14ac:dyDescent="0.3">
      <c r="A2753" t="s">
        <v>0</v>
      </c>
    </row>
    <row r="2754" spans="1:1" x14ac:dyDescent="0.3">
      <c r="A2754" t="s">
        <v>0</v>
      </c>
    </row>
    <row r="2755" spans="1:1" x14ac:dyDescent="0.3">
      <c r="A2755" t="s">
        <v>0</v>
      </c>
    </row>
    <row r="2756" spans="1:1" x14ac:dyDescent="0.3">
      <c r="A2756" t="s">
        <v>0</v>
      </c>
    </row>
    <row r="2757" spans="1:1" x14ac:dyDescent="0.3">
      <c r="A2757" t="s">
        <v>0</v>
      </c>
    </row>
    <row r="2758" spans="1:1" x14ac:dyDescent="0.3">
      <c r="A2758" t="s">
        <v>0</v>
      </c>
    </row>
    <row r="2759" spans="1:1" x14ac:dyDescent="0.3">
      <c r="A2759" t="s">
        <v>0</v>
      </c>
    </row>
    <row r="2760" spans="1:1" x14ac:dyDescent="0.3">
      <c r="A2760" t="s">
        <v>0</v>
      </c>
    </row>
    <row r="2761" spans="1:1" x14ac:dyDescent="0.3">
      <c r="A2761" t="s">
        <v>0</v>
      </c>
    </row>
    <row r="2762" spans="1:1" x14ac:dyDescent="0.3">
      <c r="A2762" t="s">
        <v>0</v>
      </c>
    </row>
    <row r="2763" spans="1:1" x14ac:dyDescent="0.3">
      <c r="A2763" t="s">
        <v>0</v>
      </c>
    </row>
    <row r="2764" spans="1:1" x14ac:dyDescent="0.3">
      <c r="A2764" t="s">
        <v>0</v>
      </c>
    </row>
    <row r="2765" spans="1:1" x14ac:dyDescent="0.3">
      <c r="A2765" t="s">
        <v>0</v>
      </c>
    </row>
    <row r="2766" spans="1:1" x14ac:dyDescent="0.3">
      <c r="A2766" t="s">
        <v>0</v>
      </c>
    </row>
    <row r="2767" spans="1:1" x14ac:dyDescent="0.3">
      <c r="A2767" t="s">
        <v>0</v>
      </c>
    </row>
    <row r="2768" spans="1:1" x14ac:dyDescent="0.3">
      <c r="A2768" t="s">
        <v>0</v>
      </c>
    </row>
    <row r="2769" spans="1:1" x14ac:dyDescent="0.3">
      <c r="A2769" t="s">
        <v>0</v>
      </c>
    </row>
    <row r="2770" spans="1:1" x14ac:dyDescent="0.3">
      <c r="A2770" t="s">
        <v>0</v>
      </c>
    </row>
    <row r="2771" spans="1:1" x14ac:dyDescent="0.3">
      <c r="A2771" t="s">
        <v>0</v>
      </c>
    </row>
    <row r="2772" spans="1:1" x14ac:dyDescent="0.3">
      <c r="A2772" t="s">
        <v>0</v>
      </c>
    </row>
    <row r="2773" spans="1:1" x14ac:dyDescent="0.3">
      <c r="A2773" t="s">
        <v>0</v>
      </c>
    </row>
    <row r="2774" spans="1:1" x14ac:dyDescent="0.3">
      <c r="A2774" t="s">
        <v>0</v>
      </c>
    </row>
    <row r="2775" spans="1:1" x14ac:dyDescent="0.3">
      <c r="A2775" t="s">
        <v>0</v>
      </c>
    </row>
    <row r="2776" spans="1:1" x14ac:dyDescent="0.3">
      <c r="A2776" t="s">
        <v>0</v>
      </c>
    </row>
    <row r="2777" spans="1:1" x14ac:dyDescent="0.3">
      <c r="A2777" t="s">
        <v>0</v>
      </c>
    </row>
    <row r="2778" spans="1:1" x14ac:dyDescent="0.3">
      <c r="A2778" t="s">
        <v>0</v>
      </c>
    </row>
    <row r="2779" spans="1:1" x14ac:dyDescent="0.3">
      <c r="A2779" t="s">
        <v>0</v>
      </c>
    </row>
    <row r="2780" spans="1:1" x14ac:dyDescent="0.3">
      <c r="A2780" t="s">
        <v>0</v>
      </c>
    </row>
    <row r="2781" spans="1:1" x14ac:dyDescent="0.3">
      <c r="A2781" t="s">
        <v>0</v>
      </c>
    </row>
    <row r="2782" spans="1:1" x14ac:dyDescent="0.3">
      <c r="A2782" t="s">
        <v>0</v>
      </c>
    </row>
    <row r="2783" spans="1:1" x14ac:dyDescent="0.3">
      <c r="A2783" t="s">
        <v>0</v>
      </c>
    </row>
    <row r="2784" spans="1:1" x14ac:dyDescent="0.3">
      <c r="A2784" t="s">
        <v>0</v>
      </c>
    </row>
    <row r="2785" spans="1:1" x14ac:dyDescent="0.3">
      <c r="A2785" t="s">
        <v>0</v>
      </c>
    </row>
    <row r="2786" spans="1:1" x14ac:dyDescent="0.3">
      <c r="A2786" t="s">
        <v>0</v>
      </c>
    </row>
    <row r="2787" spans="1:1" x14ac:dyDescent="0.3">
      <c r="A2787" t="s">
        <v>0</v>
      </c>
    </row>
    <row r="2788" spans="1:1" x14ac:dyDescent="0.3">
      <c r="A2788" t="s">
        <v>0</v>
      </c>
    </row>
    <row r="2789" spans="1:1" x14ac:dyDescent="0.3">
      <c r="A2789" t="s">
        <v>0</v>
      </c>
    </row>
    <row r="2790" spans="1:1" x14ac:dyDescent="0.3">
      <c r="A2790" t="s">
        <v>0</v>
      </c>
    </row>
    <row r="2791" spans="1:1" x14ac:dyDescent="0.3">
      <c r="A2791" t="s">
        <v>0</v>
      </c>
    </row>
    <row r="2792" spans="1:1" x14ac:dyDescent="0.3">
      <c r="A2792" t="s">
        <v>0</v>
      </c>
    </row>
    <row r="2793" spans="1:1" x14ac:dyDescent="0.3">
      <c r="A2793" t="s">
        <v>0</v>
      </c>
    </row>
    <row r="2794" spans="1:1" x14ac:dyDescent="0.3">
      <c r="A2794" t="s">
        <v>0</v>
      </c>
    </row>
    <row r="2795" spans="1:1" x14ac:dyDescent="0.3">
      <c r="A2795" t="s">
        <v>0</v>
      </c>
    </row>
    <row r="2796" spans="1:1" x14ac:dyDescent="0.3">
      <c r="A2796" t="s">
        <v>0</v>
      </c>
    </row>
    <row r="2797" spans="1:1" x14ac:dyDescent="0.3">
      <c r="A2797" t="s">
        <v>0</v>
      </c>
    </row>
    <row r="2798" spans="1:1" x14ac:dyDescent="0.3">
      <c r="A2798" t="s">
        <v>0</v>
      </c>
    </row>
    <row r="2799" spans="1:1" x14ac:dyDescent="0.3">
      <c r="A2799" t="s">
        <v>0</v>
      </c>
    </row>
    <row r="2800" spans="1:1" x14ac:dyDescent="0.3">
      <c r="A2800" t="s">
        <v>0</v>
      </c>
    </row>
    <row r="2801" spans="1:1" x14ac:dyDescent="0.3">
      <c r="A2801" t="s">
        <v>0</v>
      </c>
    </row>
    <row r="2802" spans="1:1" x14ac:dyDescent="0.3">
      <c r="A2802" t="s">
        <v>0</v>
      </c>
    </row>
    <row r="2803" spans="1:1" x14ac:dyDescent="0.3">
      <c r="A2803" t="s">
        <v>0</v>
      </c>
    </row>
    <row r="2804" spans="1:1" x14ac:dyDescent="0.3">
      <c r="A2804" t="s">
        <v>0</v>
      </c>
    </row>
    <row r="2805" spans="1:1" x14ac:dyDescent="0.3">
      <c r="A2805" t="s">
        <v>0</v>
      </c>
    </row>
    <row r="2806" spans="1:1" x14ac:dyDescent="0.3">
      <c r="A2806" t="s">
        <v>0</v>
      </c>
    </row>
    <row r="2807" spans="1:1" x14ac:dyDescent="0.3">
      <c r="A2807" t="s">
        <v>0</v>
      </c>
    </row>
    <row r="2808" spans="1:1" x14ac:dyDescent="0.3">
      <c r="A2808" t="s">
        <v>0</v>
      </c>
    </row>
    <row r="2809" spans="1:1" x14ac:dyDescent="0.3">
      <c r="A2809" t="s">
        <v>0</v>
      </c>
    </row>
    <row r="2810" spans="1:1" x14ac:dyDescent="0.3">
      <c r="A2810" t="s">
        <v>0</v>
      </c>
    </row>
    <row r="2811" spans="1:1" x14ac:dyDescent="0.3">
      <c r="A2811" t="s">
        <v>0</v>
      </c>
    </row>
    <row r="2812" spans="1:1" x14ac:dyDescent="0.3">
      <c r="A2812" t="s">
        <v>0</v>
      </c>
    </row>
    <row r="2813" spans="1:1" x14ac:dyDescent="0.3">
      <c r="A2813" t="s">
        <v>0</v>
      </c>
    </row>
    <row r="2814" spans="1:1" x14ac:dyDescent="0.3">
      <c r="A2814" t="s">
        <v>0</v>
      </c>
    </row>
    <row r="2815" spans="1:1" x14ac:dyDescent="0.3">
      <c r="A2815" t="s">
        <v>0</v>
      </c>
    </row>
    <row r="2816" spans="1:1" x14ac:dyDescent="0.3">
      <c r="A2816" t="s">
        <v>0</v>
      </c>
    </row>
    <row r="2817" spans="1:1" x14ac:dyDescent="0.3">
      <c r="A2817" t="s">
        <v>0</v>
      </c>
    </row>
    <row r="2818" spans="1:1" x14ac:dyDescent="0.3">
      <c r="A2818" t="s">
        <v>0</v>
      </c>
    </row>
    <row r="2819" spans="1:1" x14ac:dyDescent="0.3">
      <c r="A2819" t="s">
        <v>0</v>
      </c>
    </row>
    <row r="2820" spans="1:1" x14ac:dyDescent="0.3">
      <c r="A2820" t="s">
        <v>0</v>
      </c>
    </row>
    <row r="2821" spans="1:1" x14ac:dyDescent="0.3">
      <c r="A2821" t="s">
        <v>0</v>
      </c>
    </row>
    <row r="2822" spans="1:1" x14ac:dyDescent="0.3">
      <c r="A2822" t="s">
        <v>0</v>
      </c>
    </row>
    <row r="2823" spans="1:1" x14ac:dyDescent="0.3">
      <c r="A2823" t="s">
        <v>0</v>
      </c>
    </row>
    <row r="2824" spans="1:1" x14ac:dyDescent="0.3">
      <c r="A2824" t="s">
        <v>0</v>
      </c>
    </row>
    <row r="2825" spans="1:1" x14ac:dyDescent="0.3">
      <c r="A2825" t="s">
        <v>0</v>
      </c>
    </row>
    <row r="2826" spans="1:1" x14ac:dyDescent="0.3">
      <c r="A2826" t="s">
        <v>0</v>
      </c>
    </row>
    <row r="2827" spans="1:1" x14ac:dyDescent="0.3">
      <c r="A2827" t="s">
        <v>0</v>
      </c>
    </row>
    <row r="2828" spans="1:1" x14ac:dyDescent="0.3">
      <c r="A2828" t="s">
        <v>0</v>
      </c>
    </row>
    <row r="2829" spans="1:1" x14ac:dyDescent="0.3">
      <c r="A2829" t="s">
        <v>0</v>
      </c>
    </row>
    <row r="2830" spans="1:1" x14ac:dyDescent="0.3">
      <c r="A2830" t="s">
        <v>0</v>
      </c>
    </row>
    <row r="2831" spans="1:1" x14ac:dyDescent="0.3">
      <c r="A2831" t="s">
        <v>0</v>
      </c>
    </row>
    <row r="2832" spans="1:1" x14ac:dyDescent="0.3">
      <c r="A2832" t="s">
        <v>0</v>
      </c>
    </row>
    <row r="2833" spans="1:1" x14ac:dyDescent="0.3">
      <c r="A2833" t="s">
        <v>0</v>
      </c>
    </row>
    <row r="2834" spans="1:1" x14ac:dyDescent="0.3">
      <c r="A2834" t="s">
        <v>0</v>
      </c>
    </row>
    <row r="2835" spans="1:1" x14ac:dyDescent="0.3">
      <c r="A2835" t="s">
        <v>0</v>
      </c>
    </row>
    <row r="2836" spans="1:1" x14ac:dyDescent="0.3">
      <c r="A2836" t="s">
        <v>0</v>
      </c>
    </row>
    <row r="2837" spans="1:1" x14ac:dyDescent="0.3">
      <c r="A2837" t="s">
        <v>0</v>
      </c>
    </row>
    <row r="2838" spans="1:1" x14ac:dyDescent="0.3">
      <c r="A2838" t="s">
        <v>0</v>
      </c>
    </row>
    <row r="2839" spans="1:1" x14ac:dyDescent="0.3">
      <c r="A2839" t="s">
        <v>0</v>
      </c>
    </row>
    <row r="2840" spans="1:1" x14ac:dyDescent="0.3">
      <c r="A2840" t="s">
        <v>0</v>
      </c>
    </row>
    <row r="2841" spans="1:1" x14ac:dyDescent="0.3">
      <c r="A2841" t="s">
        <v>0</v>
      </c>
    </row>
    <row r="2842" spans="1:1" x14ac:dyDescent="0.3">
      <c r="A2842" t="s">
        <v>0</v>
      </c>
    </row>
    <row r="2843" spans="1:1" x14ac:dyDescent="0.3">
      <c r="A2843" t="s">
        <v>0</v>
      </c>
    </row>
    <row r="2844" spans="1:1" x14ac:dyDescent="0.3">
      <c r="A2844" t="s">
        <v>0</v>
      </c>
    </row>
    <row r="2845" spans="1:1" x14ac:dyDescent="0.3">
      <c r="A2845" t="s">
        <v>0</v>
      </c>
    </row>
    <row r="2846" spans="1:1" x14ac:dyDescent="0.3">
      <c r="A2846" t="s">
        <v>0</v>
      </c>
    </row>
    <row r="2847" spans="1:1" x14ac:dyDescent="0.3">
      <c r="A2847" t="s">
        <v>0</v>
      </c>
    </row>
    <row r="2848" spans="1:1" x14ac:dyDescent="0.3">
      <c r="A2848" t="s">
        <v>0</v>
      </c>
    </row>
    <row r="2849" spans="1:1" x14ac:dyDescent="0.3">
      <c r="A2849" t="s">
        <v>0</v>
      </c>
    </row>
    <row r="2850" spans="1:1" x14ac:dyDescent="0.3">
      <c r="A2850" t="s">
        <v>0</v>
      </c>
    </row>
    <row r="2851" spans="1:1" x14ac:dyDescent="0.3">
      <c r="A2851" t="s">
        <v>0</v>
      </c>
    </row>
    <row r="2852" spans="1:1" x14ac:dyDescent="0.3">
      <c r="A2852" t="s">
        <v>0</v>
      </c>
    </row>
    <row r="2853" spans="1:1" x14ac:dyDescent="0.3">
      <c r="A2853" t="s">
        <v>0</v>
      </c>
    </row>
    <row r="2854" spans="1:1" x14ac:dyDescent="0.3">
      <c r="A2854" t="s">
        <v>0</v>
      </c>
    </row>
    <row r="2855" spans="1:1" x14ac:dyDescent="0.3">
      <c r="A2855" t="s">
        <v>0</v>
      </c>
    </row>
    <row r="2856" spans="1:1" x14ac:dyDescent="0.3">
      <c r="A2856" t="s">
        <v>0</v>
      </c>
    </row>
    <row r="2857" spans="1:1" x14ac:dyDescent="0.3">
      <c r="A2857" t="s">
        <v>0</v>
      </c>
    </row>
    <row r="2858" spans="1:1" x14ac:dyDescent="0.3">
      <c r="A2858" t="s">
        <v>0</v>
      </c>
    </row>
    <row r="2859" spans="1:1" x14ac:dyDescent="0.3">
      <c r="A2859" t="s">
        <v>0</v>
      </c>
    </row>
    <row r="2860" spans="1:1" x14ac:dyDescent="0.3">
      <c r="A2860" t="s">
        <v>0</v>
      </c>
    </row>
    <row r="2861" spans="1:1" x14ac:dyDescent="0.3">
      <c r="A2861" t="s">
        <v>0</v>
      </c>
    </row>
    <row r="2862" spans="1:1" x14ac:dyDescent="0.3">
      <c r="A2862" t="s">
        <v>0</v>
      </c>
    </row>
    <row r="2863" spans="1:1" x14ac:dyDescent="0.3">
      <c r="A2863" t="s">
        <v>0</v>
      </c>
    </row>
    <row r="2864" spans="1:1" x14ac:dyDescent="0.3">
      <c r="A2864" t="s">
        <v>0</v>
      </c>
    </row>
    <row r="2865" spans="1:1" x14ac:dyDescent="0.3">
      <c r="A2865" t="s">
        <v>0</v>
      </c>
    </row>
    <row r="2866" spans="1:1" x14ac:dyDescent="0.3">
      <c r="A2866" t="s">
        <v>0</v>
      </c>
    </row>
    <row r="2867" spans="1:1" x14ac:dyDescent="0.3">
      <c r="A2867" t="s">
        <v>0</v>
      </c>
    </row>
    <row r="2868" spans="1:1" x14ac:dyDescent="0.3">
      <c r="A2868" t="s">
        <v>0</v>
      </c>
    </row>
    <row r="2869" spans="1:1" x14ac:dyDescent="0.3">
      <c r="A2869" t="s">
        <v>0</v>
      </c>
    </row>
    <row r="2870" spans="1:1" x14ac:dyDescent="0.3">
      <c r="A2870" t="s">
        <v>0</v>
      </c>
    </row>
    <row r="2871" spans="1:1" x14ac:dyDescent="0.3">
      <c r="A2871" t="s">
        <v>0</v>
      </c>
    </row>
    <row r="2872" spans="1:1" x14ac:dyDescent="0.3">
      <c r="A2872" t="s">
        <v>0</v>
      </c>
    </row>
    <row r="2873" spans="1:1" x14ac:dyDescent="0.3">
      <c r="A2873" t="s">
        <v>0</v>
      </c>
    </row>
    <row r="2874" spans="1:1" x14ac:dyDescent="0.3">
      <c r="A2874" t="s">
        <v>0</v>
      </c>
    </row>
    <row r="2875" spans="1:1" x14ac:dyDescent="0.3">
      <c r="A2875" t="s">
        <v>0</v>
      </c>
    </row>
    <row r="2876" spans="1:1" x14ac:dyDescent="0.3">
      <c r="A2876" t="s">
        <v>0</v>
      </c>
    </row>
    <row r="2877" spans="1:1" x14ac:dyDescent="0.3">
      <c r="A2877" t="s">
        <v>0</v>
      </c>
    </row>
    <row r="2878" spans="1:1" x14ac:dyDescent="0.3">
      <c r="A2878" t="s">
        <v>0</v>
      </c>
    </row>
    <row r="2879" spans="1:1" x14ac:dyDescent="0.3">
      <c r="A2879" t="s">
        <v>0</v>
      </c>
    </row>
    <row r="2880" spans="1:1" x14ac:dyDescent="0.3">
      <c r="A2880" t="s">
        <v>0</v>
      </c>
    </row>
    <row r="2881" spans="1:1" x14ac:dyDescent="0.3">
      <c r="A2881" t="s">
        <v>0</v>
      </c>
    </row>
    <row r="2882" spans="1:1" x14ac:dyDescent="0.3">
      <c r="A2882" t="s">
        <v>0</v>
      </c>
    </row>
    <row r="2883" spans="1:1" x14ac:dyDescent="0.3">
      <c r="A2883" t="s">
        <v>0</v>
      </c>
    </row>
    <row r="2884" spans="1:1" x14ac:dyDescent="0.3">
      <c r="A2884" t="s">
        <v>0</v>
      </c>
    </row>
    <row r="2885" spans="1:1" x14ac:dyDescent="0.3">
      <c r="A2885" t="s">
        <v>0</v>
      </c>
    </row>
    <row r="2886" spans="1:1" x14ac:dyDescent="0.3">
      <c r="A2886" t="s">
        <v>0</v>
      </c>
    </row>
    <row r="2887" spans="1:1" x14ac:dyDescent="0.3">
      <c r="A2887" t="s">
        <v>0</v>
      </c>
    </row>
    <row r="2888" spans="1:1" x14ac:dyDescent="0.3">
      <c r="A2888" t="s">
        <v>0</v>
      </c>
    </row>
    <row r="2889" spans="1:1" x14ac:dyDescent="0.3">
      <c r="A2889" t="s">
        <v>0</v>
      </c>
    </row>
    <row r="2890" spans="1:1" x14ac:dyDescent="0.3">
      <c r="A2890" t="s">
        <v>0</v>
      </c>
    </row>
    <row r="2891" spans="1:1" x14ac:dyDescent="0.3">
      <c r="A2891" t="s">
        <v>0</v>
      </c>
    </row>
    <row r="2892" spans="1:1" x14ac:dyDescent="0.3">
      <c r="A2892" t="s">
        <v>0</v>
      </c>
    </row>
    <row r="2893" spans="1:1" x14ac:dyDescent="0.3">
      <c r="A2893" t="s">
        <v>0</v>
      </c>
    </row>
    <row r="2894" spans="1:1" x14ac:dyDescent="0.3">
      <c r="A2894" t="s">
        <v>0</v>
      </c>
    </row>
    <row r="2895" spans="1:1" x14ac:dyDescent="0.3">
      <c r="A2895" t="s">
        <v>0</v>
      </c>
    </row>
    <row r="2896" spans="1:1" x14ac:dyDescent="0.3">
      <c r="A2896" t="s">
        <v>0</v>
      </c>
    </row>
    <row r="2897" spans="1:1" x14ac:dyDescent="0.3">
      <c r="A2897" t="s">
        <v>0</v>
      </c>
    </row>
    <row r="2898" spans="1:1" x14ac:dyDescent="0.3">
      <c r="A2898" t="s">
        <v>0</v>
      </c>
    </row>
    <row r="2899" spans="1:1" x14ac:dyDescent="0.3">
      <c r="A2899" t="s">
        <v>0</v>
      </c>
    </row>
    <row r="2900" spans="1:1" x14ac:dyDescent="0.3">
      <c r="A2900" t="s">
        <v>0</v>
      </c>
    </row>
    <row r="2901" spans="1:1" x14ac:dyDescent="0.3">
      <c r="A2901" t="s">
        <v>0</v>
      </c>
    </row>
    <row r="2902" spans="1:1" x14ac:dyDescent="0.3">
      <c r="A2902" t="s">
        <v>0</v>
      </c>
    </row>
    <row r="2903" spans="1:1" x14ac:dyDescent="0.3">
      <c r="A2903" t="s">
        <v>0</v>
      </c>
    </row>
    <row r="2904" spans="1:1" x14ac:dyDescent="0.3">
      <c r="A2904" t="s">
        <v>0</v>
      </c>
    </row>
    <row r="2905" spans="1:1" x14ac:dyDescent="0.3">
      <c r="A2905" t="s">
        <v>0</v>
      </c>
    </row>
    <row r="2906" spans="1:1" x14ac:dyDescent="0.3">
      <c r="A2906" t="s">
        <v>0</v>
      </c>
    </row>
    <row r="2907" spans="1:1" x14ac:dyDescent="0.3">
      <c r="A2907" t="s">
        <v>0</v>
      </c>
    </row>
    <row r="2908" spans="1:1" x14ac:dyDescent="0.3">
      <c r="A2908" t="s">
        <v>0</v>
      </c>
    </row>
    <row r="2909" spans="1:1" x14ac:dyDescent="0.3">
      <c r="A2909" t="s">
        <v>0</v>
      </c>
    </row>
    <row r="2910" spans="1:1" x14ac:dyDescent="0.3">
      <c r="A2910" t="s">
        <v>0</v>
      </c>
    </row>
    <row r="2911" spans="1:1" x14ac:dyDescent="0.3">
      <c r="A2911" t="s">
        <v>0</v>
      </c>
    </row>
    <row r="2912" spans="1:1" x14ac:dyDescent="0.3">
      <c r="A2912" t="s">
        <v>0</v>
      </c>
    </row>
    <row r="2913" spans="1:1" x14ac:dyDescent="0.3">
      <c r="A2913" t="s">
        <v>0</v>
      </c>
    </row>
    <row r="2914" spans="1:1" x14ac:dyDescent="0.3">
      <c r="A2914" t="s">
        <v>0</v>
      </c>
    </row>
    <row r="2915" spans="1:1" x14ac:dyDescent="0.3">
      <c r="A2915" t="s">
        <v>0</v>
      </c>
    </row>
    <row r="2916" spans="1:1" x14ac:dyDescent="0.3">
      <c r="A2916" t="s">
        <v>0</v>
      </c>
    </row>
    <row r="2917" spans="1:1" x14ac:dyDescent="0.3">
      <c r="A2917" t="s">
        <v>0</v>
      </c>
    </row>
    <row r="2918" spans="1:1" x14ac:dyDescent="0.3">
      <c r="A2918" t="s">
        <v>0</v>
      </c>
    </row>
    <row r="2919" spans="1:1" x14ac:dyDescent="0.3">
      <c r="A2919" t="s">
        <v>0</v>
      </c>
    </row>
    <row r="2920" spans="1:1" x14ac:dyDescent="0.3">
      <c r="A2920" t="s">
        <v>0</v>
      </c>
    </row>
    <row r="2921" spans="1:1" x14ac:dyDescent="0.3">
      <c r="A2921" t="s">
        <v>0</v>
      </c>
    </row>
    <row r="2922" spans="1:1" x14ac:dyDescent="0.3">
      <c r="A2922" t="s">
        <v>0</v>
      </c>
    </row>
    <row r="2923" spans="1:1" x14ac:dyDescent="0.3">
      <c r="A2923" t="s">
        <v>0</v>
      </c>
    </row>
    <row r="2924" spans="1:1" x14ac:dyDescent="0.3">
      <c r="A2924" t="s">
        <v>0</v>
      </c>
    </row>
    <row r="2925" spans="1:1" x14ac:dyDescent="0.3">
      <c r="A2925" t="s">
        <v>0</v>
      </c>
    </row>
    <row r="2926" spans="1:1" x14ac:dyDescent="0.3">
      <c r="A2926" t="s">
        <v>0</v>
      </c>
    </row>
    <row r="2927" spans="1:1" x14ac:dyDescent="0.3">
      <c r="A2927" t="s">
        <v>0</v>
      </c>
    </row>
    <row r="2928" spans="1:1" x14ac:dyDescent="0.3">
      <c r="A2928" t="s">
        <v>0</v>
      </c>
    </row>
    <row r="2929" spans="1:1" x14ac:dyDescent="0.3">
      <c r="A2929" t="s">
        <v>0</v>
      </c>
    </row>
    <row r="2930" spans="1:1" x14ac:dyDescent="0.3">
      <c r="A2930" t="s">
        <v>0</v>
      </c>
    </row>
    <row r="2931" spans="1:1" x14ac:dyDescent="0.3">
      <c r="A2931" t="s">
        <v>0</v>
      </c>
    </row>
    <row r="2932" spans="1:1" x14ac:dyDescent="0.3">
      <c r="A2932" t="s">
        <v>0</v>
      </c>
    </row>
    <row r="2933" spans="1:1" x14ac:dyDescent="0.3">
      <c r="A2933" t="s">
        <v>0</v>
      </c>
    </row>
    <row r="2934" spans="1:1" x14ac:dyDescent="0.3">
      <c r="A2934" t="s">
        <v>0</v>
      </c>
    </row>
    <row r="2935" spans="1:1" x14ac:dyDescent="0.3">
      <c r="A2935" t="s">
        <v>0</v>
      </c>
    </row>
    <row r="2936" spans="1:1" x14ac:dyDescent="0.3">
      <c r="A2936" t="s">
        <v>0</v>
      </c>
    </row>
    <row r="2937" spans="1:1" x14ac:dyDescent="0.3">
      <c r="A2937" t="s">
        <v>0</v>
      </c>
    </row>
    <row r="2938" spans="1:1" x14ac:dyDescent="0.3">
      <c r="A2938" t="s">
        <v>0</v>
      </c>
    </row>
    <row r="2939" spans="1:1" x14ac:dyDescent="0.3">
      <c r="A2939" t="s">
        <v>0</v>
      </c>
    </row>
    <row r="2940" spans="1:1" x14ac:dyDescent="0.3">
      <c r="A2940" t="s">
        <v>0</v>
      </c>
    </row>
    <row r="2941" spans="1:1" x14ac:dyDescent="0.3">
      <c r="A2941" t="s">
        <v>0</v>
      </c>
    </row>
    <row r="2942" spans="1:1" x14ac:dyDescent="0.3">
      <c r="A2942" t="s">
        <v>0</v>
      </c>
    </row>
    <row r="2943" spans="1:1" x14ac:dyDescent="0.3">
      <c r="A2943" t="s">
        <v>0</v>
      </c>
    </row>
    <row r="2944" spans="1:1" x14ac:dyDescent="0.3">
      <c r="A2944" t="s">
        <v>0</v>
      </c>
    </row>
    <row r="2945" spans="1:1" x14ac:dyDescent="0.3">
      <c r="A2945" t="s">
        <v>0</v>
      </c>
    </row>
    <row r="2946" spans="1:1" x14ac:dyDescent="0.3">
      <c r="A2946" t="s">
        <v>0</v>
      </c>
    </row>
    <row r="2947" spans="1:1" x14ac:dyDescent="0.3">
      <c r="A2947" t="s">
        <v>0</v>
      </c>
    </row>
    <row r="2948" spans="1:1" x14ac:dyDescent="0.3">
      <c r="A2948" t="s">
        <v>0</v>
      </c>
    </row>
    <row r="2949" spans="1:1" x14ac:dyDescent="0.3">
      <c r="A2949" t="s">
        <v>0</v>
      </c>
    </row>
    <row r="2950" spans="1:1" x14ac:dyDescent="0.3">
      <c r="A2950" t="s">
        <v>0</v>
      </c>
    </row>
    <row r="2951" spans="1:1" x14ac:dyDescent="0.3">
      <c r="A2951" t="s">
        <v>0</v>
      </c>
    </row>
    <row r="2952" spans="1:1" x14ac:dyDescent="0.3">
      <c r="A2952" t="s">
        <v>0</v>
      </c>
    </row>
    <row r="2953" spans="1:1" x14ac:dyDescent="0.3">
      <c r="A2953" t="s">
        <v>0</v>
      </c>
    </row>
    <row r="2954" spans="1:1" x14ac:dyDescent="0.3">
      <c r="A2954" t="s">
        <v>0</v>
      </c>
    </row>
    <row r="2955" spans="1:1" x14ac:dyDescent="0.3">
      <c r="A2955" t="s">
        <v>0</v>
      </c>
    </row>
    <row r="2956" spans="1:1" x14ac:dyDescent="0.3">
      <c r="A2956" t="s">
        <v>0</v>
      </c>
    </row>
    <row r="2957" spans="1:1" x14ac:dyDescent="0.3">
      <c r="A2957" t="s">
        <v>0</v>
      </c>
    </row>
    <row r="2958" spans="1:1" x14ac:dyDescent="0.3">
      <c r="A2958" t="s">
        <v>0</v>
      </c>
    </row>
    <row r="2959" spans="1:1" x14ac:dyDescent="0.3">
      <c r="A2959" t="s">
        <v>0</v>
      </c>
    </row>
    <row r="2960" spans="1:1" x14ac:dyDescent="0.3">
      <c r="A2960" t="s">
        <v>0</v>
      </c>
    </row>
    <row r="2961" spans="1:1" x14ac:dyDescent="0.3">
      <c r="A2961" t="s">
        <v>0</v>
      </c>
    </row>
    <row r="2962" spans="1:1" x14ac:dyDescent="0.3">
      <c r="A2962" t="s">
        <v>0</v>
      </c>
    </row>
    <row r="2963" spans="1:1" x14ac:dyDescent="0.3">
      <c r="A2963" t="s">
        <v>0</v>
      </c>
    </row>
    <row r="2964" spans="1:1" x14ac:dyDescent="0.3">
      <c r="A2964" t="s">
        <v>0</v>
      </c>
    </row>
    <row r="2965" spans="1:1" x14ac:dyDescent="0.3">
      <c r="A2965" t="s">
        <v>0</v>
      </c>
    </row>
    <row r="2966" spans="1:1" x14ac:dyDescent="0.3">
      <c r="A2966" t="s">
        <v>0</v>
      </c>
    </row>
    <row r="2967" spans="1:1" x14ac:dyDescent="0.3">
      <c r="A2967" t="s">
        <v>0</v>
      </c>
    </row>
    <row r="2968" spans="1:1" x14ac:dyDescent="0.3">
      <c r="A2968" t="s">
        <v>0</v>
      </c>
    </row>
    <row r="2969" spans="1:1" x14ac:dyDescent="0.3">
      <c r="A2969" t="s">
        <v>0</v>
      </c>
    </row>
    <row r="2970" spans="1:1" x14ac:dyDescent="0.3">
      <c r="A2970" t="s">
        <v>0</v>
      </c>
    </row>
    <row r="2971" spans="1:1" x14ac:dyDescent="0.3">
      <c r="A2971" t="s">
        <v>0</v>
      </c>
    </row>
    <row r="2972" spans="1:1" x14ac:dyDescent="0.3">
      <c r="A2972" t="s">
        <v>0</v>
      </c>
    </row>
    <row r="2973" spans="1:1" x14ac:dyDescent="0.3">
      <c r="A2973" t="s">
        <v>0</v>
      </c>
    </row>
    <row r="2974" spans="1:1" x14ac:dyDescent="0.3">
      <c r="A2974" t="s">
        <v>0</v>
      </c>
    </row>
    <row r="2975" spans="1:1" x14ac:dyDescent="0.3">
      <c r="A2975" t="s">
        <v>0</v>
      </c>
    </row>
    <row r="2976" spans="1:1" x14ac:dyDescent="0.3">
      <c r="A2976" t="s">
        <v>0</v>
      </c>
    </row>
    <row r="2977" spans="1:1" x14ac:dyDescent="0.3">
      <c r="A2977" t="s">
        <v>0</v>
      </c>
    </row>
    <row r="2978" spans="1:1" x14ac:dyDescent="0.3">
      <c r="A2978" t="s">
        <v>0</v>
      </c>
    </row>
    <row r="2979" spans="1:1" x14ac:dyDescent="0.3">
      <c r="A2979" t="s">
        <v>0</v>
      </c>
    </row>
    <row r="2980" spans="1:1" x14ac:dyDescent="0.3">
      <c r="A2980" t="s">
        <v>0</v>
      </c>
    </row>
    <row r="2981" spans="1:1" x14ac:dyDescent="0.3">
      <c r="A2981" t="s">
        <v>0</v>
      </c>
    </row>
    <row r="2982" spans="1:1" x14ac:dyDescent="0.3">
      <c r="A2982" t="s">
        <v>0</v>
      </c>
    </row>
    <row r="2983" spans="1:1" x14ac:dyDescent="0.3">
      <c r="A2983" t="s">
        <v>0</v>
      </c>
    </row>
    <row r="2984" spans="1:1" x14ac:dyDescent="0.3">
      <c r="A2984" t="s">
        <v>0</v>
      </c>
    </row>
    <row r="2985" spans="1:1" x14ac:dyDescent="0.3">
      <c r="A2985" t="s">
        <v>0</v>
      </c>
    </row>
    <row r="2986" spans="1:1" x14ac:dyDescent="0.3">
      <c r="A2986" t="s">
        <v>0</v>
      </c>
    </row>
    <row r="2987" spans="1:1" x14ac:dyDescent="0.3">
      <c r="A2987" t="s">
        <v>0</v>
      </c>
    </row>
    <row r="2988" spans="1:1" x14ac:dyDescent="0.3">
      <c r="A2988" t="s">
        <v>0</v>
      </c>
    </row>
    <row r="2989" spans="1:1" x14ac:dyDescent="0.3">
      <c r="A2989" t="s">
        <v>0</v>
      </c>
    </row>
    <row r="2990" spans="1:1" x14ac:dyDescent="0.3">
      <c r="A2990" t="s">
        <v>0</v>
      </c>
    </row>
    <row r="2991" spans="1:1" x14ac:dyDescent="0.3">
      <c r="A2991" t="s">
        <v>0</v>
      </c>
    </row>
    <row r="2992" spans="1:1" x14ac:dyDescent="0.3">
      <c r="A2992" t="s">
        <v>0</v>
      </c>
    </row>
    <row r="2993" spans="1:1" x14ac:dyDescent="0.3">
      <c r="A2993" t="s">
        <v>0</v>
      </c>
    </row>
    <row r="2994" spans="1:1" x14ac:dyDescent="0.3">
      <c r="A2994" t="s">
        <v>0</v>
      </c>
    </row>
    <row r="2995" spans="1:1" x14ac:dyDescent="0.3">
      <c r="A2995" t="s">
        <v>0</v>
      </c>
    </row>
    <row r="2996" spans="1:1" x14ac:dyDescent="0.3">
      <c r="A2996" t="s">
        <v>0</v>
      </c>
    </row>
    <row r="2997" spans="1:1" x14ac:dyDescent="0.3">
      <c r="A2997" t="s">
        <v>0</v>
      </c>
    </row>
    <row r="2998" spans="1:1" x14ac:dyDescent="0.3">
      <c r="A2998" t="s">
        <v>0</v>
      </c>
    </row>
    <row r="2999" spans="1:1" x14ac:dyDescent="0.3">
      <c r="A2999" t="s">
        <v>0</v>
      </c>
    </row>
    <row r="3000" spans="1:1" x14ac:dyDescent="0.3">
      <c r="A3000" t="s">
        <v>0</v>
      </c>
    </row>
    <row r="3001" spans="1:1" x14ac:dyDescent="0.3">
      <c r="A3001" t="s">
        <v>0</v>
      </c>
    </row>
    <row r="3002" spans="1:1" x14ac:dyDescent="0.3">
      <c r="A3002" t="s">
        <v>0</v>
      </c>
    </row>
    <row r="3003" spans="1:1" x14ac:dyDescent="0.3">
      <c r="A3003" t="s">
        <v>0</v>
      </c>
    </row>
    <row r="3004" spans="1:1" x14ac:dyDescent="0.3">
      <c r="A3004" t="s">
        <v>0</v>
      </c>
    </row>
    <row r="3005" spans="1:1" x14ac:dyDescent="0.3">
      <c r="A3005" t="s">
        <v>0</v>
      </c>
    </row>
    <row r="3006" spans="1:1" x14ac:dyDescent="0.3">
      <c r="A3006" t="s">
        <v>0</v>
      </c>
    </row>
    <row r="3007" spans="1:1" x14ac:dyDescent="0.3">
      <c r="A3007" t="s">
        <v>0</v>
      </c>
    </row>
    <row r="3008" spans="1:1" x14ac:dyDescent="0.3">
      <c r="A3008" t="s">
        <v>0</v>
      </c>
    </row>
    <row r="3009" spans="1:1" x14ac:dyDescent="0.3">
      <c r="A3009" t="s">
        <v>0</v>
      </c>
    </row>
    <row r="3010" spans="1:1" x14ac:dyDescent="0.3">
      <c r="A3010" t="s">
        <v>0</v>
      </c>
    </row>
    <row r="3011" spans="1:1" x14ac:dyDescent="0.3">
      <c r="A3011" t="s">
        <v>0</v>
      </c>
    </row>
    <row r="3012" spans="1:1" x14ac:dyDescent="0.3">
      <c r="A3012" t="s">
        <v>0</v>
      </c>
    </row>
    <row r="3013" spans="1:1" x14ac:dyDescent="0.3">
      <c r="A3013" t="s">
        <v>0</v>
      </c>
    </row>
    <row r="3014" spans="1:1" x14ac:dyDescent="0.3">
      <c r="A3014" t="s">
        <v>0</v>
      </c>
    </row>
    <row r="3015" spans="1:1" x14ac:dyDescent="0.3">
      <c r="A3015" t="s">
        <v>0</v>
      </c>
    </row>
    <row r="3016" spans="1:1" x14ac:dyDescent="0.3">
      <c r="A3016" t="s">
        <v>0</v>
      </c>
    </row>
    <row r="3017" spans="1:1" x14ac:dyDescent="0.3">
      <c r="A3017" t="s">
        <v>0</v>
      </c>
    </row>
    <row r="3018" spans="1:1" x14ac:dyDescent="0.3">
      <c r="A3018" t="s">
        <v>0</v>
      </c>
    </row>
    <row r="3019" spans="1:1" x14ac:dyDescent="0.3">
      <c r="A3019" t="s">
        <v>0</v>
      </c>
    </row>
    <row r="3020" spans="1:1" x14ac:dyDescent="0.3">
      <c r="A3020" t="s">
        <v>0</v>
      </c>
    </row>
    <row r="3021" spans="1:1" x14ac:dyDescent="0.3">
      <c r="A3021" t="s">
        <v>0</v>
      </c>
    </row>
    <row r="3022" spans="1:1" x14ac:dyDescent="0.3">
      <c r="A3022" t="s">
        <v>0</v>
      </c>
    </row>
    <row r="3023" spans="1:1" x14ac:dyDescent="0.3">
      <c r="A3023" t="s">
        <v>0</v>
      </c>
    </row>
    <row r="3024" spans="1:1" x14ac:dyDescent="0.3">
      <c r="A3024" t="s">
        <v>0</v>
      </c>
    </row>
    <row r="3025" spans="1:1" x14ac:dyDescent="0.3">
      <c r="A3025" t="s">
        <v>0</v>
      </c>
    </row>
    <row r="3026" spans="1:1" x14ac:dyDescent="0.3">
      <c r="A3026" t="s">
        <v>0</v>
      </c>
    </row>
    <row r="3027" spans="1:1" x14ac:dyDescent="0.3">
      <c r="A3027" t="s">
        <v>0</v>
      </c>
    </row>
    <row r="3028" spans="1:1" x14ac:dyDescent="0.3">
      <c r="A3028" t="s">
        <v>0</v>
      </c>
    </row>
    <row r="3029" spans="1:1" x14ac:dyDescent="0.3">
      <c r="A3029" t="s">
        <v>0</v>
      </c>
    </row>
    <row r="3030" spans="1:1" x14ac:dyDescent="0.3">
      <c r="A3030" t="s">
        <v>0</v>
      </c>
    </row>
    <row r="3031" spans="1:1" x14ac:dyDescent="0.3">
      <c r="A3031" t="s">
        <v>0</v>
      </c>
    </row>
    <row r="3032" spans="1:1" x14ac:dyDescent="0.3">
      <c r="A3032" t="s">
        <v>0</v>
      </c>
    </row>
    <row r="3033" spans="1:1" x14ac:dyDescent="0.3">
      <c r="A3033" t="s">
        <v>0</v>
      </c>
    </row>
    <row r="3034" spans="1:1" x14ac:dyDescent="0.3">
      <c r="A3034" t="s">
        <v>0</v>
      </c>
    </row>
    <row r="3035" spans="1:1" x14ac:dyDescent="0.3">
      <c r="A3035" t="s">
        <v>0</v>
      </c>
    </row>
    <row r="3036" spans="1:1" x14ac:dyDescent="0.3">
      <c r="A3036" t="s">
        <v>0</v>
      </c>
    </row>
    <row r="3037" spans="1:1" x14ac:dyDescent="0.3">
      <c r="A3037" t="s">
        <v>0</v>
      </c>
    </row>
    <row r="3038" spans="1:1" x14ac:dyDescent="0.3">
      <c r="A3038" t="s">
        <v>0</v>
      </c>
    </row>
    <row r="3039" spans="1:1" x14ac:dyDescent="0.3">
      <c r="A3039" t="s">
        <v>0</v>
      </c>
    </row>
    <row r="3040" spans="1:1" x14ac:dyDescent="0.3">
      <c r="A3040" t="s">
        <v>0</v>
      </c>
    </row>
    <row r="3041" spans="1:1" x14ac:dyDescent="0.3">
      <c r="A3041" t="s">
        <v>0</v>
      </c>
    </row>
    <row r="3042" spans="1:1" x14ac:dyDescent="0.3">
      <c r="A3042" t="s">
        <v>0</v>
      </c>
    </row>
    <row r="3043" spans="1:1" x14ac:dyDescent="0.3">
      <c r="A3043" t="s">
        <v>0</v>
      </c>
    </row>
    <row r="3044" spans="1:1" x14ac:dyDescent="0.3">
      <c r="A3044" t="s">
        <v>0</v>
      </c>
    </row>
    <row r="3045" spans="1:1" x14ac:dyDescent="0.3">
      <c r="A3045" t="s">
        <v>0</v>
      </c>
    </row>
    <row r="3046" spans="1:1" x14ac:dyDescent="0.3">
      <c r="A3046" t="s">
        <v>0</v>
      </c>
    </row>
    <row r="3047" spans="1:1" x14ac:dyDescent="0.3">
      <c r="A3047" t="s">
        <v>0</v>
      </c>
    </row>
    <row r="3048" spans="1:1" x14ac:dyDescent="0.3">
      <c r="A3048" t="s">
        <v>0</v>
      </c>
    </row>
    <row r="3049" spans="1:1" x14ac:dyDescent="0.3">
      <c r="A3049" t="s">
        <v>0</v>
      </c>
    </row>
    <row r="3050" spans="1:1" x14ac:dyDescent="0.3">
      <c r="A3050" t="s">
        <v>0</v>
      </c>
    </row>
    <row r="3051" spans="1:1" x14ac:dyDescent="0.3">
      <c r="A3051" t="s">
        <v>0</v>
      </c>
    </row>
    <row r="3052" spans="1:1" x14ac:dyDescent="0.3">
      <c r="A3052" t="s">
        <v>0</v>
      </c>
    </row>
    <row r="3053" spans="1:1" x14ac:dyDescent="0.3">
      <c r="A3053" t="s">
        <v>0</v>
      </c>
    </row>
    <row r="3054" spans="1:1" x14ac:dyDescent="0.3">
      <c r="A3054" t="s">
        <v>0</v>
      </c>
    </row>
    <row r="3055" spans="1:1" x14ac:dyDescent="0.3">
      <c r="A3055" t="s">
        <v>0</v>
      </c>
    </row>
    <row r="3056" spans="1:1" x14ac:dyDescent="0.3">
      <c r="A3056" t="s">
        <v>0</v>
      </c>
    </row>
    <row r="3057" spans="1:1" x14ac:dyDescent="0.3">
      <c r="A3057" t="s">
        <v>0</v>
      </c>
    </row>
    <row r="3058" spans="1:1" x14ac:dyDescent="0.3">
      <c r="A3058" t="s">
        <v>0</v>
      </c>
    </row>
    <row r="3059" spans="1:1" x14ac:dyDescent="0.3">
      <c r="A3059" t="s">
        <v>0</v>
      </c>
    </row>
    <row r="3060" spans="1:1" x14ac:dyDescent="0.3">
      <c r="A3060" t="s">
        <v>0</v>
      </c>
    </row>
    <row r="3061" spans="1:1" x14ac:dyDescent="0.3">
      <c r="A3061" t="s">
        <v>0</v>
      </c>
    </row>
    <row r="3062" spans="1:1" x14ac:dyDescent="0.3">
      <c r="A3062" t="s">
        <v>0</v>
      </c>
    </row>
    <row r="3063" spans="1:1" x14ac:dyDescent="0.3">
      <c r="A3063" t="s">
        <v>0</v>
      </c>
    </row>
    <row r="3064" spans="1:1" x14ac:dyDescent="0.3">
      <c r="A3064" t="s">
        <v>0</v>
      </c>
    </row>
    <row r="3065" spans="1:1" x14ac:dyDescent="0.3">
      <c r="A3065" t="s">
        <v>0</v>
      </c>
    </row>
    <row r="3066" spans="1:1" x14ac:dyDescent="0.3">
      <c r="A3066" t="s">
        <v>0</v>
      </c>
    </row>
    <row r="3067" spans="1:1" x14ac:dyDescent="0.3">
      <c r="A3067" t="s">
        <v>0</v>
      </c>
    </row>
    <row r="3068" spans="1:1" x14ac:dyDescent="0.3">
      <c r="A3068" t="s">
        <v>0</v>
      </c>
    </row>
    <row r="3069" spans="1:1" x14ac:dyDescent="0.3">
      <c r="A3069" t="s">
        <v>0</v>
      </c>
    </row>
    <row r="3070" spans="1:1" x14ac:dyDescent="0.3">
      <c r="A3070" t="s">
        <v>0</v>
      </c>
    </row>
    <row r="3071" spans="1:1" x14ac:dyDescent="0.3">
      <c r="A3071" t="s">
        <v>0</v>
      </c>
    </row>
    <row r="3072" spans="1:1" x14ac:dyDescent="0.3">
      <c r="A3072" t="s">
        <v>0</v>
      </c>
    </row>
    <row r="3073" spans="1:1" x14ac:dyDescent="0.3">
      <c r="A3073" t="s">
        <v>0</v>
      </c>
    </row>
    <row r="3074" spans="1:1" x14ac:dyDescent="0.3">
      <c r="A3074" t="s">
        <v>0</v>
      </c>
    </row>
    <row r="3075" spans="1:1" x14ac:dyDescent="0.3">
      <c r="A3075" t="s">
        <v>0</v>
      </c>
    </row>
    <row r="3076" spans="1:1" x14ac:dyDescent="0.3">
      <c r="A3076" t="s">
        <v>0</v>
      </c>
    </row>
    <row r="3077" spans="1:1" x14ac:dyDescent="0.3">
      <c r="A3077" t="s">
        <v>0</v>
      </c>
    </row>
    <row r="3078" spans="1:1" x14ac:dyDescent="0.3">
      <c r="A3078" t="s">
        <v>0</v>
      </c>
    </row>
    <row r="3079" spans="1:1" x14ac:dyDescent="0.3">
      <c r="A3079" t="s">
        <v>0</v>
      </c>
    </row>
    <row r="3080" spans="1:1" x14ac:dyDescent="0.3">
      <c r="A3080" t="s">
        <v>0</v>
      </c>
    </row>
    <row r="3081" spans="1:1" x14ac:dyDescent="0.3">
      <c r="A3081" t="s">
        <v>0</v>
      </c>
    </row>
    <row r="3082" spans="1:1" x14ac:dyDescent="0.3">
      <c r="A3082" t="s">
        <v>0</v>
      </c>
    </row>
    <row r="3083" spans="1:1" x14ac:dyDescent="0.3">
      <c r="A3083" t="s">
        <v>0</v>
      </c>
    </row>
    <row r="3084" spans="1:1" x14ac:dyDescent="0.3">
      <c r="A3084" t="s">
        <v>0</v>
      </c>
    </row>
    <row r="3085" spans="1:1" x14ac:dyDescent="0.3">
      <c r="A3085" t="s">
        <v>0</v>
      </c>
    </row>
    <row r="3086" spans="1:1" x14ac:dyDescent="0.3">
      <c r="A3086" t="s">
        <v>0</v>
      </c>
    </row>
    <row r="3087" spans="1:1" x14ac:dyDescent="0.3">
      <c r="A3087" t="s">
        <v>0</v>
      </c>
    </row>
    <row r="3088" spans="1:1" x14ac:dyDescent="0.3">
      <c r="A3088" t="s">
        <v>0</v>
      </c>
    </row>
    <row r="3089" spans="1:1" x14ac:dyDescent="0.3">
      <c r="A3089" t="s">
        <v>0</v>
      </c>
    </row>
    <row r="3090" spans="1:1" x14ac:dyDescent="0.3">
      <c r="A3090" t="s">
        <v>0</v>
      </c>
    </row>
    <row r="3091" spans="1:1" x14ac:dyDescent="0.3">
      <c r="A3091" t="s">
        <v>0</v>
      </c>
    </row>
    <row r="3092" spans="1:1" x14ac:dyDescent="0.3">
      <c r="A3092" t="s">
        <v>0</v>
      </c>
    </row>
    <row r="3093" spans="1:1" x14ac:dyDescent="0.3">
      <c r="A3093" t="s">
        <v>0</v>
      </c>
    </row>
    <row r="3094" spans="1:1" x14ac:dyDescent="0.3">
      <c r="A3094" t="s">
        <v>0</v>
      </c>
    </row>
    <row r="3095" spans="1:1" x14ac:dyDescent="0.3">
      <c r="A3095" t="s">
        <v>0</v>
      </c>
    </row>
    <row r="3096" spans="1:1" x14ac:dyDescent="0.3">
      <c r="A3096" t="s">
        <v>0</v>
      </c>
    </row>
    <row r="3097" spans="1:1" x14ac:dyDescent="0.3">
      <c r="A3097" t="s">
        <v>0</v>
      </c>
    </row>
    <row r="3098" spans="1:1" x14ac:dyDescent="0.3">
      <c r="A3098" t="s">
        <v>0</v>
      </c>
    </row>
    <row r="3099" spans="1:1" x14ac:dyDescent="0.3">
      <c r="A3099" t="s">
        <v>0</v>
      </c>
    </row>
    <row r="3100" spans="1:1" x14ac:dyDescent="0.3">
      <c r="A3100" t="s">
        <v>0</v>
      </c>
    </row>
    <row r="3101" spans="1:1" x14ac:dyDescent="0.3">
      <c r="A3101" t="s">
        <v>0</v>
      </c>
    </row>
    <row r="3102" spans="1:1" x14ac:dyDescent="0.3">
      <c r="A3102" t="s">
        <v>0</v>
      </c>
    </row>
    <row r="3103" spans="1:1" x14ac:dyDescent="0.3">
      <c r="A3103" t="s">
        <v>0</v>
      </c>
    </row>
    <row r="3104" spans="1:1" x14ac:dyDescent="0.3">
      <c r="A3104" t="s">
        <v>0</v>
      </c>
    </row>
    <row r="3105" spans="1:1" x14ac:dyDescent="0.3">
      <c r="A3105" t="s">
        <v>0</v>
      </c>
    </row>
    <row r="3106" spans="1:1" x14ac:dyDescent="0.3">
      <c r="A3106" t="s">
        <v>0</v>
      </c>
    </row>
    <row r="3107" spans="1:1" x14ac:dyDescent="0.3">
      <c r="A3107" t="s">
        <v>0</v>
      </c>
    </row>
    <row r="3108" spans="1:1" x14ac:dyDescent="0.3">
      <c r="A3108" t="s">
        <v>0</v>
      </c>
    </row>
    <row r="3109" spans="1:1" x14ac:dyDescent="0.3">
      <c r="A3109" t="s">
        <v>0</v>
      </c>
    </row>
    <row r="3110" spans="1:1" x14ac:dyDescent="0.3">
      <c r="A3110" t="s">
        <v>0</v>
      </c>
    </row>
    <row r="3111" spans="1:1" x14ac:dyDescent="0.3">
      <c r="A3111" t="s">
        <v>0</v>
      </c>
    </row>
    <row r="3112" spans="1:1" x14ac:dyDescent="0.3">
      <c r="A3112" t="s">
        <v>0</v>
      </c>
    </row>
    <row r="3113" spans="1:1" x14ac:dyDescent="0.3">
      <c r="A3113" t="s">
        <v>0</v>
      </c>
    </row>
    <row r="3114" spans="1:1" x14ac:dyDescent="0.3">
      <c r="A3114" t="s">
        <v>0</v>
      </c>
    </row>
    <row r="3115" spans="1:1" x14ac:dyDescent="0.3">
      <c r="A3115" t="s">
        <v>0</v>
      </c>
    </row>
    <row r="3116" spans="1:1" x14ac:dyDescent="0.3">
      <c r="A3116" t="s">
        <v>0</v>
      </c>
    </row>
    <row r="3117" spans="1:1" x14ac:dyDescent="0.3">
      <c r="A3117" t="s">
        <v>0</v>
      </c>
    </row>
    <row r="3118" spans="1:1" x14ac:dyDescent="0.3">
      <c r="A3118" t="s">
        <v>0</v>
      </c>
    </row>
    <row r="3119" spans="1:1" x14ac:dyDescent="0.3">
      <c r="A3119" t="s">
        <v>0</v>
      </c>
    </row>
    <row r="3120" spans="1:1" x14ac:dyDescent="0.3">
      <c r="A3120" t="s">
        <v>0</v>
      </c>
    </row>
    <row r="3121" spans="1:1" x14ac:dyDescent="0.3">
      <c r="A3121" t="s">
        <v>0</v>
      </c>
    </row>
    <row r="3122" spans="1:1" x14ac:dyDescent="0.3">
      <c r="A3122" t="s">
        <v>0</v>
      </c>
    </row>
    <row r="3123" spans="1:1" x14ac:dyDescent="0.3">
      <c r="A3123" t="s">
        <v>0</v>
      </c>
    </row>
    <row r="3124" spans="1:1" x14ac:dyDescent="0.3">
      <c r="A3124" t="s">
        <v>0</v>
      </c>
    </row>
    <row r="3125" spans="1:1" x14ac:dyDescent="0.3">
      <c r="A3125" t="s">
        <v>0</v>
      </c>
    </row>
    <row r="3126" spans="1:1" x14ac:dyDescent="0.3">
      <c r="A3126" t="s">
        <v>0</v>
      </c>
    </row>
    <row r="3127" spans="1:1" x14ac:dyDescent="0.3">
      <c r="A3127" t="s">
        <v>0</v>
      </c>
    </row>
    <row r="3128" spans="1:1" x14ac:dyDescent="0.3">
      <c r="A3128" t="s">
        <v>0</v>
      </c>
    </row>
    <row r="3129" spans="1:1" x14ac:dyDescent="0.3">
      <c r="A3129" t="s">
        <v>0</v>
      </c>
    </row>
    <row r="3130" spans="1:1" x14ac:dyDescent="0.3">
      <c r="A3130" t="s">
        <v>0</v>
      </c>
    </row>
    <row r="3131" spans="1:1" x14ac:dyDescent="0.3">
      <c r="A3131" t="s">
        <v>0</v>
      </c>
    </row>
    <row r="3132" spans="1:1" x14ac:dyDescent="0.3">
      <c r="A3132" t="s">
        <v>0</v>
      </c>
    </row>
    <row r="3133" spans="1:1" x14ac:dyDescent="0.3">
      <c r="A3133" t="s">
        <v>0</v>
      </c>
    </row>
    <row r="3134" spans="1:1" x14ac:dyDescent="0.3">
      <c r="A3134" t="s">
        <v>0</v>
      </c>
    </row>
    <row r="3135" spans="1:1" x14ac:dyDescent="0.3">
      <c r="A3135" t="s">
        <v>0</v>
      </c>
    </row>
    <row r="3136" spans="1:1" x14ac:dyDescent="0.3">
      <c r="A3136" t="s">
        <v>0</v>
      </c>
    </row>
    <row r="3137" spans="1:1" x14ac:dyDescent="0.3">
      <c r="A3137" t="s">
        <v>0</v>
      </c>
    </row>
    <row r="3138" spans="1:1" x14ac:dyDescent="0.3">
      <c r="A3138" t="s">
        <v>0</v>
      </c>
    </row>
    <row r="3139" spans="1:1" x14ac:dyDescent="0.3">
      <c r="A3139" t="s">
        <v>0</v>
      </c>
    </row>
    <row r="3140" spans="1:1" x14ac:dyDescent="0.3">
      <c r="A3140" t="s">
        <v>0</v>
      </c>
    </row>
    <row r="3141" spans="1:1" x14ac:dyDescent="0.3">
      <c r="A3141" t="s">
        <v>0</v>
      </c>
    </row>
    <row r="3142" spans="1:1" x14ac:dyDescent="0.3">
      <c r="A3142" t="s">
        <v>0</v>
      </c>
    </row>
    <row r="3143" spans="1:1" x14ac:dyDescent="0.3">
      <c r="A3143" t="s">
        <v>0</v>
      </c>
    </row>
    <row r="3144" spans="1:1" x14ac:dyDescent="0.3">
      <c r="A3144" t="s">
        <v>0</v>
      </c>
    </row>
    <row r="3145" spans="1:1" x14ac:dyDescent="0.3">
      <c r="A3145" t="s">
        <v>0</v>
      </c>
    </row>
    <row r="3146" spans="1:1" x14ac:dyDescent="0.3">
      <c r="A3146" t="s">
        <v>0</v>
      </c>
    </row>
    <row r="3147" spans="1:1" x14ac:dyDescent="0.3">
      <c r="A3147" t="s">
        <v>0</v>
      </c>
    </row>
    <row r="3148" spans="1:1" x14ac:dyDescent="0.3">
      <c r="A3148" t="s">
        <v>0</v>
      </c>
    </row>
    <row r="3149" spans="1:1" x14ac:dyDescent="0.3">
      <c r="A3149" t="s">
        <v>0</v>
      </c>
    </row>
    <row r="3150" spans="1:1" x14ac:dyDescent="0.3">
      <c r="A3150" t="s">
        <v>0</v>
      </c>
    </row>
    <row r="3151" spans="1:1" x14ac:dyDescent="0.3">
      <c r="A3151" t="s">
        <v>0</v>
      </c>
    </row>
    <row r="3152" spans="1:1" x14ac:dyDescent="0.3">
      <c r="A3152" t="s">
        <v>0</v>
      </c>
    </row>
    <row r="3153" spans="1:1" x14ac:dyDescent="0.3">
      <c r="A3153" t="s">
        <v>0</v>
      </c>
    </row>
    <row r="3154" spans="1:1" x14ac:dyDescent="0.3">
      <c r="A3154" t="s">
        <v>0</v>
      </c>
    </row>
    <row r="3155" spans="1:1" x14ac:dyDescent="0.3">
      <c r="A3155" t="s">
        <v>0</v>
      </c>
    </row>
    <row r="3156" spans="1:1" x14ac:dyDescent="0.3">
      <c r="A3156" t="s">
        <v>0</v>
      </c>
    </row>
    <row r="3157" spans="1:1" x14ac:dyDescent="0.3">
      <c r="A3157" t="s">
        <v>0</v>
      </c>
    </row>
    <row r="3158" spans="1:1" x14ac:dyDescent="0.3">
      <c r="A3158" t="s">
        <v>0</v>
      </c>
    </row>
    <row r="3159" spans="1:1" x14ac:dyDescent="0.3">
      <c r="A3159" t="s">
        <v>0</v>
      </c>
    </row>
    <row r="3160" spans="1:1" x14ac:dyDescent="0.3">
      <c r="A3160" t="s">
        <v>0</v>
      </c>
    </row>
    <row r="3161" spans="1:1" x14ac:dyDescent="0.3">
      <c r="A3161" t="s">
        <v>0</v>
      </c>
    </row>
    <row r="3162" spans="1:1" x14ac:dyDescent="0.3">
      <c r="A3162" t="s">
        <v>0</v>
      </c>
    </row>
    <row r="3163" spans="1:1" x14ac:dyDescent="0.3">
      <c r="A3163" t="s">
        <v>0</v>
      </c>
    </row>
    <row r="3164" spans="1:1" x14ac:dyDescent="0.3">
      <c r="A3164" t="s">
        <v>0</v>
      </c>
    </row>
    <row r="3165" spans="1:1" x14ac:dyDescent="0.3">
      <c r="A3165" t="s">
        <v>0</v>
      </c>
    </row>
    <row r="3166" spans="1:1" x14ac:dyDescent="0.3">
      <c r="A3166" t="s">
        <v>0</v>
      </c>
    </row>
    <row r="3167" spans="1:1" x14ac:dyDescent="0.3">
      <c r="A3167" t="s">
        <v>0</v>
      </c>
    </row>
    <row r="3168" spans="1:1" x14ac:dyDescent="0.3">
      <c r="A3168" t="s">
        <v>0</v>
      </c>
    </row>
    <row r="3169" spans="1:1" x14ac:dyDescent="0.3">
      <c r="A3169" t="s">
        <v>0</v>
      </c>
    </row>
    <row r="3170" spans="1:1" x14ac:dyDescent="0.3">
      <c r="A3170" t="s">
        <v>0</v>
      </c>
    </row>
    <row r="3171" spans="1:1" x14ac:dyDescent="0.3">
      <c r="A3171" t="s">
        <v>0</v>
      </c>
    </row>
    <row r="3172" spans="1:1" x14ac:dyDescent="0.3">
      <c r="A3172" t="s">
        <v>0</v>
      </c>
    </row>
    <row r="3173" spans="1:1" x14ac:dyDescent="0.3">
      <c r="A3173" t="s">
        <v>0</v>
      </c>
    </row>
    <row r="3174" spans="1:1" x14ac:dyDescent="0.3">
      <c r="A3174" t="s">
        <v>0</v>
      </c>
    </row>
    <row r="3175" spans="1:1" x14ac:dyDescent="0.3">
      <c r="A3175" t="s">
        <v>0</v>
      </c>
    </row>
    <row r="3176" spans="1:1" x14ac:dyDescent="0.3">
      <c r="A3176" t="s">
        <v>0</v>
      </c>
    </row>
    <row r="3177" spans="1:1" x14ac:dyDescent="0.3">
      <c r="A3177" t="s">
        <v>0</v>
      </c>
    </row>
    <row r="3178" spans="1:1" x14ac:dyDescent="0.3">
      <c r="A3178" t="s">
        <v>0</v>
      </c>
    </row>
    <row r="3179" spans="1:1" x14ac:dyDescent="0.3">
      <c r="A3179" t="s">
        <v>0</v>
      </c>
    </row>
    <row r="3180" spans="1:1" x14ac:dyDescent="0.3">
      <c r="A3180" t="s">
        <v>0</v>
      </c>
    </row>
    <row r="3181" spans="1:1" x14ac:dyDescent="0.3">
      <c r="A3181" t="s">
        <v>0</v>
      </c>
    </row>
    <row r="3182" spans="1:1" x14ac:dyDescent="0.3">
      <c r="A3182" t="s">
        <v>0</v>
      </c>
    </row>
    <row r="3183" spans="1:1" x14ac:dyDescent="0.3">
      <c r="A3183" t="s">
        <v>0</v>
      </c>
    </row>
    <row r="3184" spans="1:1" x14ac:dyDescent="0.3">
      <c r="A3184" t="s">
        <v>0</v>
      </c>
    </row>
    <row r="3185" spans="1:1" x14ac:dyDescent="0.3">
      <c r="A3185" t="s">
        <v>0</v>
      </c>
    </row>
    <row r="3186" spans="1:1" x14ac:dyDescent="0.3">
      <c r="A3186" t="s">
        <v>0</v>
      </c>
    </row>
    <row r="3187" spans="1:1" x14ac:dyDescent="0.3">
      <c r="A3187" t="s">
        <v>0</v>
      </c>
    </row>
    <row r="3188" spans="1:1" x14ac:dyDescent="0.3">
      <c r="A3188" t="s">
        <v>0</v>
      </c>
    </row>
    <row r="3189" spans="1:1" x14ac:dyDescent="0.3">
      <c r="A3189" t="s">
        <v>0</v>
      </c>
    </row>
    <row r="3190" spans="1:1" x14ac:dyDescent="0.3">
      <c r="A3190" t="s">
        <v>0</v>
      </c>
    </row>
    <row r="3191" spans="1:1" x14ac:dyDescent="0.3">
      <c r="A3191" t="s">
        <v>0</v>
      </c>
    </row>
    <row r="3192" spans="1:1" x14ac:dyDescent="0.3">
      <c r="A3192" t="s">
        <v>0</v>
      </c>
    </row>
    <row r="3193" spans="1:1" x14ac:dyDescent="0.3">
      <c r="A3193" t="s">
        <v>0</v>
      </c>
    </row>
    <row r="3194" spans="1:1" x14ac:dyDescent="0.3">
      <c r="A3194" t="s">
        <v>0</v>
      </c>
    </row>
    <row r="3195" spans="1:1" x14ac:dyDescent="0.3">
      <c r="A3195" t="s">
        <v>0</v>
      </c>
    </row>
    <row r="3196" spans="1:1" x14ac:dyDescent="0.3">
      <c r="A3196" t="s">
        <v>0</v>
      </c>
    </row>
    <row r="3197" spans="1:1" x14ac:dyDescent="0.3">
      <c r="A3197" t="s">
        <v>0</v>
      </c>
    </row>
    <row r="3198" spans="1:1" x14ac:dyDescent="0.3">
      <c r="A3198" t="s">
        <v>0</v>
      </c>
    </row>
    <row r="3199" spans="1:1" x14ac:dyDescent="0.3">
      <c r="A3199" t="s">
        <v>0</v>
      </c>
    </row>
    <row r="3200" spans="1:1" x14ac:dyDescent="0.3">
      <c r="A3200" t="s">
        <v>0</v>
      </c>
    </row>
    <row r="3201" spans="1:1" x14ac:dyDescent="0.3">
      <c r="A3201" t="s">
        <v>0</v>
      </c>
    </row>
    <row r="3202" spans="1:1" x14ac:dyDescent="0.3">
      <c r="A3202" t="s">
        <v>0</v>
      </c>
    </row>
    <row r="3203" spans="1:1" x14ac:dyDescent="0.3">
      <c r="A3203" t="s">
        <v>0</v>
      </c>
    </row>
    <row r="3204" spans="1:1" x14ac:dyDescent="0.3">
      <c r="A3204" t="s">
        <v>0</v>
      </c>
    </row>
    <row r="3205" spans="1:1" x14ac:dyDescent="0.3">
      <c r="A3205" t="s">
        <v>0</v>
      </c>
    </row>
    <row r="3206" spans="1:1" x14ac:dyDescent="0.3">
      <c r="A3206" t="s">
        <v>0</v>
      </c>
    </row>
    <row r="3207" spans="1:1" x14ac:dyDescent="0.3">
      <c r="A3207" t="s">
        <v>0</v>
      </c>
    </row>
    <row r="3208" spans="1:1" x14ac:dyDescent="0.3">
      <c r="A3208" t="s">
        <v>0</v>
      </c>
    </row>
    <row r="3209" spans="1:1" x14ac:dyDescent="0.3">
      <c r="A3209" t="s">
        <v>0</v>
      </c>
    </row>
    <row r="3210" spans="1:1" x14ac:dyDescent="0.3">
      <c r="A3210" t="s">
        <v>0</v>
      </c>
    </row>
    <row r="3211" spans="1:1" x14ac:dyDescent="0.3">
      <c r="A3211" t="s">
        <v>0</v>
      </c>
    </row>
    <row r="3212" spans="1:1" x14ac:dyDescent="0.3">
      <c r="A3212" t="s">
        <v>0</v>
      </c>
    </row>
    <row r="3213" spans="1:1" x14ac:dyDescent="0.3">
      <c r="A3213" t="s">
        <v>0</v>
      </c>
    </row>
    <row r="3214" spans="1:1" x14ac:dyDescent="0.3">
      <c r="A3214" t="s">
        <v>0</v>
      </c>
    </row>
    <row r="3215" spans="1:1" x14ac:dyDescent="0.3">
      <c r="A3215" t="s">
        <v>0</v>
      </c>
    </row>
    <row r="3216" spans="1:1" x14ac:dyDescent="0.3">
      <c r="A3216" t="s">
        <v>0</v>
      </c>
    </row>
    <row r="3217" spans="1:1" x14ac:dyDescent="0.3">
      <c r="A3217" t="s">
        <v>0</v>
      </c>
    </row>
    <row r="3218" spans="1:1" x14ac:dyDescent="0.3">
      <c r="A3218" t="s">
        <v>0</v>
      </c>
    </row>
    <row r="3219" spans="1:1" x14ac:dyDescent="0.3">
      <c r="A3219" t="s">
        <v>0</v>
      </c>
    </row>
    <row r="3220" spans="1:1" x14ac:dyDescent="0.3">
      <c r="A3220" t="s">
        <v>0</v>
      </c>
    </row>
    <row r="3221" spans="1:1" x14ac:dyDescent="0.3">
      <c r="A3221" t="s">
        <v>0</v>
      </c>
    </row>
    <row r="3222" spans="1:1" x14ac:dyDescent="0.3">
      <c r="A3222" t="s">
        <v>0</v>
      </c>
    </row>
    <row r="3223" spans="1:1" x14ac:dyDescent="0.3">
      <c r="A3223" t="s">
        <v>0</v>
      </c>
    </row>
    <row r="3224" spans="1:1" x14ac:dyDescent="0.3">
      <c r="A3224" t="s">
        <v>0</v>
      </c>
    </row>
    <row r="3225" spans="1:1" x14ac:dyDescent="0.3">
      <c r="A3225" t="s">
        <v>0</v>
      </c>
    </row>
    <row r="3226" spans="1:1" x14ac:dyDescent="0.3">
      <c r="A3226" t="s">
        <v>0</v>
      </c>
    </row>
    <row r="3227" spans="1:1" x14ac:dyDescent="0.3">
      <c r="A3227" t="s">
        <v>0</v>
      </c>
    </row>
    <row r="3228" spans="1:1" x14ac:dyDescent="0.3">
      <c r="A3228" t="s">
        <v>0</v>
      </c>
    </row>
    <row r="3229" spans="1:1" x14ac:dyDescent="0.3">
      <c r="A3229" t="s">
        <v>0</v>
      </c>
    </row>
    <row r="3230" spans="1:1" x14ac:dyDescent="0.3">
      <c r="A3230" t="s">
        <v>0</v>
      </c>
    </row>
    <row r="3231" spans="1:1" x14ac:dyDescent="0.3">
      <c r="A3231" t="s">
        <v>0</v>
      </c>
    </row>
    <row r="3232" spans="1:1" x14ac:dyDescent="0.3">
      <c r="A3232" t="s">
        <v>0</v>
      </c>
    </row>
    <row r="3233" spans="1:1" x14ac:dyDescent="0.3">
      <c r="A3233" t="s">
        <v>0</v>
      </c>
    </row>
    <row r="3234" spans="1:1" x14ac:dyDescent="0.3">
      <c r="A3234" t="s">
        <v>0</v>
      </c>
    </row>
    <row r="3235" spans="1:1" x14ac:dyDescent="0.3">
      <c r="A3235" t="s">
        <v>0</v>
      </c>
    </row>
    <row r="3236" spans="1:1" x14ac:dyDescent="0.3">
      <c r="A3236" t="s">
        <v>0</v>
      </c>
    </row>
    <row r="3237" spans="1:1" x14ac:dyDescent="0.3">
      <c r="A3237" t="s">
        <v>0</v>
      </c>
    </row>
    <row r="3238" spans="1:1" x14ac:dyDescent="0.3">
      <c r="A3238" t="s">
        <v>0</v>
      </c>
    </row>
    <row r="3239" spans="1:1" x14ac:dyDescent="0.3">
      <c r="A3239" t="s">
        <v>0</v>
      </c>
    </row>
    <row r="3240" spans="1:1" x14ac:dyDescent="0.3">
      <c r="A3240" t="s">
        <v>0</v>
      </c>
    </row>
    <row r="3241" spans="1:1" x14ac:dyDescent="0.3">
      <c r="A3241" t="s">
        <v>0</v>
      </c>
    </row>
    <row r="3242" spans="1:1" x14ac:dyDescent="0.3">
      <c r="A3242" t="s">
        <v>0</v>
      </c>
    </row>
    <row r="3243" spans="1:1" x14ac:dyDescent="0.3">
      <c r="A3243" t="s">
        <v>0</v>
      </c>
    </row>
    <row r="3244" spans="1:1" x14ac:dyDescent="0.3">
      <c r="A3244" t="s">
        <v>0</v>
      </c>
    </row>
    <row r="3245" spans="1:1" x14ac:dyDescent="0.3">
      <c r="A3245" t="s">
        <v>0</v>
      </c>
    </row>
    <row r="3246" spans="1:1" x14ac:dyDescent="0.3">
      <c r="A3246" t="s">
        <v>0</v>
      </c>
    </row>
    <row r="3247" spans="1:1" x14ac:dyDescent="0.3">
      <c r="A3247" t="s">
        <v>0</v>
      </c>
    </row>
    <row r="3248" spans="1:1" x14ac:dyDescent="0.3">
      <c r="A3248" t="s">
        <v>0</v>
      </c>
    </row>
    <row r="3249" spans="1:1" x14ac:dyDescent="0.3">
      <c r="A3249" t="s">
        <v>0</v>
      </c>
    </row>
    <row r="3250" spans="1:1" x14ac:dyDescent="0.3">
      <c r="A3250" t="s">
        <v>0</v>
      </c>
    </row>
    <row r="3251" spans="1:1" x14ac:dyDescent="0.3">
      <c r="A3251" t="s">
        <v>0</v>
      </c>
    </row>
    <row r="3252" spans="1:1" x14ac:dyDescent="0.3">
      <c r="A3252" t="s">
        <v>0</v>
      </c>
    </row>
    <row r="3253" spans="1:1" x14ac:dyDescent="0.3">
      <c r="A3253" t="s">
        <v>0</v>
      </c>
    </row>
    <row r="3254" spans="1:1" x14ac:dyDescent="0.3">
      <c r="A3254" t="s">
        <v>0</v>
      </c>
    </row>
    <row r="3255" spans="1:1" x14ac:dyDescent="0.3">
      <c r="A3255" t="s">
        <v>0</v>
      </c>
    </row>
    <row r="3256" spans="1:1" x14ac:dyDescent="0.3">
      <c r="A3256" t="s">
        <v>0</v>
      </c>
    </row>
    <row r="3257" spans="1:1" x14ac:dyDescent="0.3">
      <c r="A3257" t="s">
        <v>0</v>
      </c>
    </row>
    <row r="3258" spans="1:1" x14ac:dyDescent="0.3">
      <c r="A3258" t="s">
        <v>0</v>
      </c>
    </row>
    <row r="3259" spans="1:1" x14ac:dyDescent="0.3">
      <c r="A3259" t="s">
        <v>0</v>
      </c>
    </row>
    <row r="3260" spans="1:1" x14ac:dyDescent="0.3">
      <c r="A3260" t="s">
        <v>0</v>
      </c>
    </row>
    <row r="3261" spans="1:1" x14ac:dyDescent="0.3">
      <c r="A3261" t="s">
        <v>0</v>
      </c>
    </row>
    <row r="3262" spans="1:1" x14ac:dyDescent="0.3">
      <c r="A3262" t="s">
        <v>0</v>
      </c>
    </row>
    <row r="3263" spans="1:1" x14ac:dyDescent="0.3">
      <c r="A3263" t="s">
        <v>0</v>
      </c>
    </row>
    <row r="3264" spans="1:1" x14ac:dyDescent="0.3">
      <c r="A3264" t="s">
        <v>0</v>
      </c>
    </row>
    <row r="3265" spans="1:1" x14ac:dyDescent="0.3">
      <c r="A3265" t="s">
        <v>0</v>
      </c>
    </row>
    <row r="3266" spans="1:1" x14ac:dyDescent="0.3">
      <c r="A3266" t="s">
        <v>0</v>
      </c>
    </row>
    <row r="3267" spans="1:1" x14ac:dyDescent="0.3">
      <c r="A3267" t="s">
        <v>0</v>
      </c>
    </row>
    <row r="3268" spans="1:1" x14ac:dyDescent="0.3">
      <c r="A3268" t="s">
        <v>0</v>
      </c>
    </row>
    <row r="3269" spans="1:1" x14ac:dyDescent="0.3">
      <c r="A3269" t="s">
        <v>0</v>
      </c>
    </row>
    <row r="3270" spans="1:1" x14ac:dyDescent="0.3">
      <c r="A3270" t="s">
        <v>0</v>
      </c>
    </row>
    <row r="3271" spans="1:1" x14ac:dyDescent="0.3">
      <c r="A3271" t="s">
        <v>0</v>
      </c>
    </row>
    <row r="3272" spans="1:1" x14ac:dyDescent="0.3">
      <c r="A3272" t="s">
        <v>0</v>
      </c>
    </row>
    <row r="3273" spans="1:1" x14ac:dyDescent="0.3">
      <c r="A3273" t="s">
        <v>0</v>
      </c>
    </row>
    <row r="3274" spans="1:1" x14ac:dyDescent="0.3">
      <c r="A3274" t="s">
        <v>0</v>
      </c>
    </row>
    <row r="3275" spans="1:1" x14ac:dyDescent="0.3">
      <c r="A3275" t="s">
        <v>0</v>
      </c>
    </row>
    <row r="3276" spans="1:1" x14ac:dyDescent="0.3">
      <c r="A3276" t="s">
        <v>0</v>
      </c>
    </row>
    <row r="3277" spans="1:1" x14ac:dyDescent="0.3">
      <c r="A3277" t="s">
        <v>0</v>
      </c>
    </row>
    <row r="3278" spans="1:1" x14ac:dyDescent="0.3">
      <c r="A3278" t="s">
        <v>0</v>
      </c>
    </row>
    <row r="3279" spans="1:1" x14ac:dyDescent="0.3">
      <c r="A3279" t="s">
        <v>0</v>
      </c>
    </row>
    <row r="3280" spans="1:1" x14ac:dyDescent="0.3">
      <c r="A3280" t="s">
        <v>0</v>
      </c>
    </row>
    <row r="3281" spans="1:1" x14ac:dyDescent="0.3">
      <c r="A3281" t="s">
        <v>0</v>
      </c>
    </row>
    <row r="3282" spans="1:1" x14ac:dyDescent="0.3">
      <c r="A3282" t="s">
        <v>0</v>
      </c>
    </row>
    <row r="3283" spans="1:1" x14ac:dyDescent="0.3">
      <c r="A3283" t="s">
        <v>0</v>
      </c>
    </row>
    <row r="3284" spans="1:1" x14ac:dyDescent="0.3">
      <c r="A3284" t="s">
        <v>0</v>
      </c>
    </row>
    <row r="3285" spans="1:1" x14ac:dyDescent="0.3">
      <c r="A3285" t="s">
        <v>0</v>
      </c>
    </row>
    <row r="3286" spans="1:1" x14ac:dyDescent="0.3">
      <c r="A3286" t="s">
        <v>0</v>
      </c>
    </row>
    <row r="3287" spans="1:1" x14ac:dyDescent="0.3">
      <c r="A3287" t="s">
        <v>0</v>
      </c>
    </row>
    <row r="3288" spans="1:1" x14ac:dyDescent="0.3">
      <c r="A3288" t="s">
        <v>0</v>
      </c>
    </row>
    <row r="3289" spans="1:1" x14ac:dyDescent="0.3">
      <c r="A3289" t="s">
        <v>0</v>
      </c>
    </row>
    <row r="3290" spans="1:1" x14ac:dyDescent="0.3">
      <c r="A3290" t="s">
        <v>0</v>
      </c>
    </row>
    <row r="3291" spans="1:1" x14ac:dyDescent="0.3">
      <c r="A3291" t="s">
        <v>0</v>
      </c>
    </row>
    <row r="3292" spans="1:1" x14ac:dyDescent="0.3">
      <c r="A3292" t="s">
        <v>0</v>
      </c>
    </row>
    <row r="3293" spans="1:1" x14ac:dyDescent="0.3">
      <c r="A3293" t="s">
        <v>0</v>
      </c>
    </row>
    <row r="3294" spans="1:1" x14ac:dyDescent="0.3">
      <c r="A3294" t="s">
        <v>0</v>
      </c>
    </row>
    <row r="3295" spans="1:1" x14ac:dyDescent="0.3">
      <c r="A3295" t="s">
        <v>0</v>
      </c>
    </row>
    <row r="3296" spans="1:1" x14ac:dyDescent="0.3">
      <c r="A3296" t="s">
        <v>0</v>
      </c>
    </row>
    <row r="3297" spans="1:1" x14ac:dyDescent="0.3">
      <c r="A3297" t="s">
        <v>0</v>
      </c>
    </row>
    <row r="3298" spans="1:1" x14ac:dyDescent="0.3">
      <c r="A3298" t="s">
        <v>0</v>
      </c>
    </row>
    <row r="3299" spans="1:1" x14ac:dyDescent="0.3">
      <c r="A3299" t="s">
        <v>0</v>
      </c>
    </row>
    <row r="3300" spans="1:1" x14ac:dyDescent="0.3">
      <c r="A3300" t="s">
        <v>0</v>
      </c>
    </row>
    <row r="3301" spans="1:1" x14ac:dyDescent="0.3">
      <c r="A3301" t="s">
        <v>0</v>
      </c>
    </row>
    <row r="3302" spans="1:1" x14ac:dyDescent="0.3">
      <c r="A3302" t="s">
        <v>0</v>
      </c>
    </row>
    <row r="3303" spans="1:1" x14ac:dyDescent="0.3">
      <c r="A3303" t="s">
        <v>0</v>
      </c>
    </row>
    <row r="3304" spans="1:1" x14ac:dyDescent="0.3">
      <c r="A3304" t="s">
        <v>0</v>
      </c>
    </row>
    <row r="3305" spans="1:1" x14ac:dyDescent="0.3">
      <c r="A3305" t="s">
        <v>0</v>
      </c>
    </row>
    <row r="3306" spans="1:1" x14ac:dyDescent="0.3">
      <c r="A3306" t="s">
        <v>0</v>
      </c>
    </row>
    <row r="3307" spans="1:1" x14ac:dyDescent="0.3">
      <c r="A3307" t="s">
        <v>0</v>
      </c>
    </row>
    <row r="3308" spans="1:1" x14ac:dyDescent="0.3">
      <c r="A3308" t="s">
        <v>0</v>
      </c>
    </row>
    <row r="3309" spans="1:1" x14ac:dyDescent="0.3">
      <c r="A3309" t="s">
        <v>0</v>
      </c>
    </row>
    <row r="3310" spans="1:1" x14ac:dyDescent="0.3">
      <c r="A3310" t="s">
        <v>0</v>
      </c>
    </row>
    <row r="3311" spans="1:1" x14ac:dyDescent="0.3">
      <c r="A3311" t="s">
        <v>0</v>
      </c>
    </row>
    <row r="3312" spans="1:1" x14ac:dyDescent="0.3">
      <c r="A3312" t="s">
        <v>0</v>
      </c>
    </row>
    <row r="3313" spans="1:1" x14ac:dyDescent="0.3">
      <c r="A3313" t="s">
        <v>0</v>
      </c>
    </row>
    <row r="3314" spans="1:1" x14ac:dyDescent="0.3">
      <c r="A3314" t="s">
        <v>0</v>
      </c>
    </row>
    <row r="3315" spans="1:1" x14ac:dyDescent="0.3">
      <c r="A3315" t="s">
        <v>0</v>
      </c>
    </row>
    <row r="3316" spans="1:1" x14ac:dyDescent="0.3">
      <c r="A3316" t="s">
        <v>0</v>
      </c>
    </row>
    <row r="3317" spans="1:1" x14ac:dyDescent="0.3">
      <c r="A3317" t="s">
        <v>0</v>
      </c>
    </row>
    <row r="3318" spans="1:1" x14ac:dyDescent="0.3">
      <c r="A3318" t="s">
        <v>0</v>
      </c>
    </row>
    <row r="3319" spans="1:1" x14ac:dyDescent="0.3">
      <c r="A3319" t="s">
        <v>0</v>
      </c>
    </row>
    <row r="3320" spans="1:1" x14ac:dyDescent="0.3">
      <c r="A3320" t="s">
        <v>0</v>
      </c>
    </row>
    <row r="3321" spans="1:1" x14ac:dyDescent="0.3">
      <c r="A3321" t="s">
        <v>0</v>
      </c>
    </row>
    <row r="3322" spans="1:1" x14ac:dyDescent="0.3">
      <c r="A3322" t="s">
        <v>0</v>
      </c>
    </row>
    <row r="3323" spans="1:1" x14ac:dyDescent="0.3">
      <c r="A3323" t="s">
        <v>0</v>
      </c>
    </row>
    <row r="3324" spans="1:1" x14ac:dyDescent="0.3">
      <c r="A3324" t="s">
        <v>0</v>
      </c>
    </row>
    <row r="3325" spans="1:1" x14ac:dyDescent="0.3">
      <c r="A3325" t="s">
        <v>0</v>
      </c>
    </row>
    <row r="3326" spans="1:1" x14ac:dyDescent="0.3">
      <c r="A3326" t="s">
        <v>0</v>
      </c>
    </row>
    <row r="3327" spans="1:1" x14ac:dyDescent="0.3">
      <c r="A3327" t="s">
        <v>0</v>
      </c>
    </row>
    <row r="3328" spans="1:1" x14ac:dyDescent="0.3">
      <c r="A3328" t="s">
        <v>0</v>
      </c>
    </row>
    <row r="3329" spans="1:1" x14ac:dyDescent="0.3">
      <c r="A3329" t="s">
        <v>0</v>
      </c>
    </row>
    <row r="3330" spans="1:1" x14ac:dyDescent="0.3">
      <c r="A3330" t="s">
        <v>0</v>
      </c>
    </row>
    <row r="3331" spans="1:1" x14ac:dyDescent="0.3">
      <c r="A3331" t="s">
        <v>0</v>
      </c>
    </row>
    <row r="3332" spans="1:1" x14ac:dyDescent="0.3">
      <c r="A3332" t="s">
        <v>0</v>
      </c>
    </row>
    <row r="3333" spans="1:1" x14ac:dyDescent="0.3">
      <c r="A3333" t="s">
        <v>0</v>
      </c>
    </row>
    <row r="3334" spans="1:1" x14ac:dyDescent="0.3">
      <c r="A3334" t="s">
        <v>0</v>
      </c>
    </row>
    <row r="3335" spans="1:1" x14ac:dyDescent="0.3">
      <c r="A3335" t="s">
        <v>0</v>
      </c>
    </row>
    <row r="3336" spans="1:1" x14ac:dyDescent="0.3">
      <c r="A3336" t="s">
        <v>0</v>
      </c>
    </row>
    <row r="3337" spans="1:1" x14ac:dyDescent="0.3">
      <c r="A3337" t="s">
        <v>0</v>
      </c>
    </row>
    <row r="3338" spans="1:1" x14ac:dyDescent="0.3">
      <c r="A3338" t="s">
        <v>0</v>
      </c>
    </row>
    <row r="3339" spans="1:1" x14ac:dyDescent="0.3">
      <c r="A3339" t="s">
        <v>0</v>
      </c>
    </row>
    <row r="3340" spans="1:1" x14ac:dyDescent="0.3">
      <c r="A3340" t="s">
        <v>0</v>
      </c>
    </row>
    <row r="3341" spans="1:1" x14ac:dyDescent="0.3">
      <c r="A3341" t="s">
        <v>0</v>
      </c>
    </row>
    <row r="3342" spans="1:1" x14ac:dyDescent="0.3">
      <c r="A3342" t="s">
        <v>0</v>
      </c>
    </row>
    <row r="3343" spans="1:1" x14ac:dyDescent="0.3">
      <c r="A3343" t="s">
        <v>0</v>
      </c>
    </row>
    <row r="3344" spans="1:1" x14ac:dyDescent="0.3">
      <c r="A3344" t="s">
        <v>0</v>
      </c>
    </row>
    <row r="3345" spans="1:1" x14ac:dyDescent="0.3">
      <c r="A3345" t="s">
        <v>0</v>
      </c>
    </row>
    <row r="3346" spans="1:1" x14ac:dyDescent="0.3">
      <c r="A3346" t="s">
        <v>0</v>
      </c>
    </row>
    <row r="3347" spans="1:1" x14ac:dyDescent="0.3">
      <c r="A3347" t="s">
        <v>0</v>
      </c>
    </row>
    <row r="3348" spans="1:1" x14ac:dyDescent="0.3">
      <c r="A3348" t="s">
        <v>0</v>
      </c>
    </row>
    <row r="3349" spans="1:1" x14ac:dyDescent="0.3">
      <c r="A3349" t="s">
        <v>0</v>
      </c>
    </row>
    <row r="3350" spans="1:1" x14ac:dyDescent="0.3">
      <c r="A3350" t="s">
        <v>0</v>
      </c>
    </row>
    <row r="3351" spans="1:1" x14ac:dyDescent="0.3">
      <c r="A3351" t="s">
        <v>0</v>
      </c>
    </row>
    <row r="3352" spans="1:1" x14ac:dyDescent="0.3">
      <c r="A3352" t="s">
        <v>0</v>
      </c>
    </row>
    <row r="3353" spans="1:1" x14ac:dyDescent="0.3">
      <c r="A3353" t="s">
        <v>0</v>
      </c>
    </row>
    <row r="3354" spans="1:1" x14ac:dyDescent="0.3">
      <c r="A3354" t="s">
        <v>0</v>
      </c>
    </row>
    <row r="3355" spans="1:1" x14ac:dyDescent="0.3">
      <c r="A3355" t="s">
        <v>0</v>
      </c>
    </row>
    <row r="3356" spans="1:1" x14ac:dyDescent="0.3">
      <c r="A3356" t="s">
        <v>0</v>
      </c>
    </row>
    <row r="3357" spans="1:1" x14ac:dyDescent="0.3">
      <c r="A3357" t="s">
        <v>0</v>
      </c>
    </row>
    <row r="3358" spans="1:1" x14ac:dyDescent="0.3">
      <c r="A3358" t="s">
        <v>0</v>
      </c>
    </row>
    <row r="3359" spans="1:1" x14ac:dyDescent="0.3">
      <c r="A3359" t="s">
        <v>0</v>
      </c>
    </row>
    <row r="3360" spans="1:1" x14ac:dyDescent="0.3">
      <c r="A3360" t="s">
        <v>0</v>
      </c>
    </row>
    <row r="3361" spans="1:1" x14ac:dyDescent="0.3">
      <c r="A3361" t="s">
        <v>0</v>
      </c>
    </row>
    <row r="3362" spans="1:1" x14ac:dyDescent="0.3">
      <c r="A3362" t="s">
        <v>0</v>
      </c>
    </row>
    <row r="3363" spans="1:1" x14ac:dyDescent="0.3">
      <c r="A3363" t="s">
        <v>0</v>
      </c>
    </row>
    <row r="3364" spans="1:1" x14ac:dyDescent="0.3">
      <c r="A3364" t="s">
        <v>0</v>
      </c>
    </row>
    <row r="3365" spans="1:1" x14ac:dyDescent="0.3">
      <c r="A3365" t="s">
        <v>0</v>
      </c>
    </row>
    <row r="3366" spans="1:1" x14ac:dyDescent="0.3">
      <c r="A3366" t="s">
        <v>0</v>
      </c>
    </row>
    <row r="3367" spans="1:1" x14ac:dyDescent="0.3">
      <c r="A3367" t="s">
        <v>0</v>
      </c>
    </row>
    <row r="3368" spans="1:1" x14ac:dyDescent="0.3">
      <c r="A3368" t="s">
        <v>0</v>
      </c>
    </row>
    <row r="3369" spans="1:1" x14ac:dyDescent="0.3">
      <c r="A3369" t="s">
        <v>0</v>
      </c>
    </row>
    <row r="3370" spans="1:1" x14ac:dyDescent="0.3">
      <c r="A3370" t="s">
        <v>0</v>
      </c>
    </row>
    <row r="3371" spans="1:1" x14ac:dyDescent="0.3">
      <c r="A3371" t="s">
        <v>0</v>
      </c>
    </row>
    <row r="3372" spans="1:1" x14ac:dyDescent="0.3">
      <c r="A3372" t="s">
        <v>0</v>
      </c>
    </row>
    <row r="3373" spans="1:1" x14ac:dyDescent="0.3">
      <c r="A3373" t="s">
        <v>0</v>
      </c>
    </row>
    <row r="3374" spans="1:1" x14ac:dyDescent="0.3">
      <c r="A3374" t="s">
        <v>0</v>
      </c>
    </row>
    <row r="3375" spans="1:1" x14ac:dyDescent="0.3">
      <c r="A3375" t="s">
        <v>0</v>
      </c>
    </row>
    <row r="3376" spans="1:1" x14ac:dyDescent="0.3">
      <c r="A3376" t="s">
        <v>0</v>
      </c>
    </row>
    <row r="3377" spans="1:1" x14ac:dyDescent="0.3">
      <c r="A3377" t="s">
        <v>0</v>
      </c>
    </row>
    <row r="3378" spans="1:1" x14ac:dyDescent="0.3">
      <c r="A3378" t="s">
        <v>0</v>
      </c>
    </row>
    <row r="3379" spans="1:1" x14ac:dyDescent="0.3">
      <c r="A3379" t="s">
        <v>0</v>
      </c>
    </row>
    <row r="3380" spans="1:1" x14ac:dyDescent="0.3">
      <c r="A3380" t="s">
        <v>0</v>
      </c>
    </row>
    <row r="3381" spans="1:1" x14ac:dyDescent="0.3">
      <c r="A3381" t="s">
        <v>0</v>
      </c>
    </row>
    <row r="3382" spans="1:1" x14ac:dyDescent="0.3">
      <c r="A3382" t="s">
        <v>0</v>
      </c>
    </row>
    <row r="3383" spans="1:1" x14ac:dyDescent="0.3">
      <c r="A3383" t="s">
        <v>0</v>
      </c>
    </row>
    <row r="3384" spans="1:1" x14ac:dyDescent="0.3">
      <c r="A3384" t="s">
        <v>0</v>
      </c>
    </row>
    <row r="3385" spans="1:1" x14ac:dyDescent="0.3">
      <c r="A3385" t="s">
        <v>0</v>
      </c>
    </row>
    <row r="3386" spans="1:1" x14ac:dyDescent="0.3">
      <c r="A3386" t="s">
        <v>0</v>
      </c>
    </row>
    <row r="3387" spans="1:1" x14ac:dyDescent="0.3">
      <c r="A3387" t="s">
        <v>0</v>
      </c>
    </row>
    <row r="3388" spans="1:1" x14ac:dyDescent="0.3">
      <c r="A3388" t="s">
        <v>0</v>
      </c>
    </row>
    <row r="3389" spans="1:1" x14ac:dyDescent="0.3">
      <c r="A3389" t="s">
        <v>0</v>
      </c>
    </row>
    <row r="3390" spans="1:1" x14ac:dyDescent="0.3">
      <c r="A3390" t="s">
        <v>0</v>
      </c>
    </row>
    <row r="3391" spans="1:1" x14ac:dyDescent="0.3">
      <c r="A3391" t="s">
        <v>0</v>
      </c>
    </row>
    <row r="3392" spans="1:1" x14ac:dyDescent="0.3">
      <c r="A3392" t="s">
        <v>0</v>
      </c>
    </row>
    <row r="3393" spans="1:1" x14ac:dyDescent="0.3">
      <c r="A3393" t="s">
        <v>0</v>
      </c>
    </row>
    <row r="3394" spans="1:1" x14ac:dyDescent="0.3">
      <c r="A3394" t="s">
        <v>0</v>
      </c>
    </row>
    <row r="3395" spans="1:1" x14ac:dyDescent="0.3">
      <c r="A3395" t="s">
        <v>0</v>
      </c>
    </row>
    <row r="3396" spans="1:1" x14ac:dyDescent="0.3">
      <c r="A3396" t="s">
        <v>0</v>
      </c>
    </row>
    <row r="3397" spans="1:1" x14ac:dyDescent="0.3">
      <c r="A3397" t="s">
        <v>0</v>
      </c>
    </row>
    <row r="3398" spans="1:1" x14ac:dyDescent="0.3">
      <c r="A3398" t="s">
        <v>0</v>
      </c>
    </row>
    <row r="3399" spans="1:1" x14ac:dyDescent="0.3">
      <c r="A3399" t="s">
        <v>0</v>
      </c>
    </row>
    <row r="3400" spans="1:1" x14ac:dyDescent="0.3">
      <c r="A3400" t="s">
        <v>0</v>
      </c>
    </row>
    <row r="3401" spans="1:1" x14ac:dyDescent="0.3">
      <c r="A3401" t="s">
        <v>0</v>
      </c>
    </row>
    <row r="3402" spans="1:1" x14ac:dyDescent="0.3">
      <c r="A3402" t="s">
        <v>0</v>
      </c>
    </row>
    <row r="3403" spans="1:1" x14ac:dyDescent="0.3">
      <c r="A3403" t="s">
        <v>0</v>
      </c>
    </row>
    <row r="3404" spans="1:1" x14ac:dyDescent="0.3">
      <c r="A3404" t="s">
        <v>0</v>
      </c>
    </row>
    <row r="3405" spans="1:1" x14ac:dyDescent="0.3">
      <c r="A3405" t="s">
        <v>0</v>
      </c>
    </row>
    <row r="3406" spans="1:1" x14ac:dyDescent="0.3">
      <c r="A3406" t="s">
        <v>0</v>
      </c>
    </row>
    <row r="3407" spans="1:1" x14ac:dyDescent="0.3">
      <c r="A3407" t="s">
        <v>0</v>
      </c>
    </row>
    <row r="3408" spans="1:1" x14ac:dyDescent="0.3">
      <c r="A3408" t="s">
        <v>0</v>
      </c>
    </row>
    <row r="3409" spans="1:1" x14ac:dyDescent="0.3">
      <c r="A3409" t="s">
        <v>0</v>
      </c>
    </row>
    <row r="3410" spans="1:1" x14ac:dyDescent="0.3">
      <c r="A3410" t="s">
        <v>0</v>
      </c>
    </row>
    <row r="3411" spans="1:1" x14ac:dyDescent="0.3">
      <c r="A3411" t="s">
        <v>0</v>
      </c>
    </row>
    <row r="3412" spans="1:1" x14ac:dyDescent="0.3">
      <c r="A3412" t="s">
        <v>0</v>
      </c>
    </row>
    <row r="3413" spans="1:1" x14ac:dyDescent="0.3">
      <c r="A3413" t="s">
        <v>0</v>
      </c>
    </row>
    <row r="3414" spans="1:1" x14ac:dyDescent="0.3">
      <c r="A3414" t="s">
        <v>0</v>
      </c>
    </row>
    <row r="3415" spans="1:1" x14ac:dyDescent="0.3">
      <c r="A3415" t="s">
        <v>0</v>
      </c>
    </row>
    <row r="3416" spans="1:1" x14ac:dyDescent="0.3">
      <c r="A3416" t="s">
        <v>0</v>
      </c>
    </row>
    <row r="3417" spans="1:1" x14ac:dyDescent="0.3">
      <c r="A3417" t="s">
        <v>0</v>
      </c>
    </row>
    <row r="3418" spans="1:1" x14ac:dyDescent="0.3">
      <c r="A3418" t="s">
        <v>0</v>
      </c>
    </row>
    <row r="3419" spans="1:1" x14ac:dyDescent="0.3">
      <c r="A3419" t="s">
        <v>0</v>
      </c>
    </row>
    <row r="3420" spans="1:1" x14ac:dyDescent="0.3">
      <c r="A3420" t="s">
        <v>0</v>
      </c>
    </row>
    <row r="3421" spans="1:1" x14ac:dyDescent="0.3">
      <c r="A3421" t="s">
        <v>0</v>
      </c>
    </row>
    <row r="3422" spans="1:1" x14ac:dyDescent="0.3">
      <c r="A3422" t="s">
        <v>0</v>
      </c>
    </row>
    <row r="3423" spans="1:1" x14ac:dyDescent="0.3">
      <c r="A3423" t="s">
        <v>0</v>
      </c>
    </row>
    <row r="3424" spans="1:1" x14ac:dyDescent="0.3">
      <c r="A3424" t="s">
        <v>0</v>
      </c>
    </row>
    <row r="3425" spans="1:1" x14ac:dyDescent="0.3">
      <c r="A3425" t="s">
        <v>0</v>
      </c>
    </row>
    <row r="3426" spans="1:1" x14ac:dyDescent="0.3">
      <c r="A3426" t="s">
        <v>0</v>
      </c>
    </row>
    <row r="3427" spans="1:1" x14ac:dyDescent="0.3">
      <c r="A3427" t="s">
        <v>0</v>
      </c>
    </row>
    <row r="3428" spans="1:1" x14ac:dyDescent="0.3">
      <c r="A3428" t="s">
        <v>0</v>
      </c>
    </row>
    <row r="3429" spans="1:1" x14ac:dyDescent="0.3">
      <c r="A3429" t="s">
        <v>0</v>
      </c>
    </row>
    <row r="3430" spans="1:1" x14ac:dyDescent="0.3">
      <c r="A3430" t="s">
        <v>0</v>
      </c>
    </row>
    <row r="3431" spans="1:1" x14ac:dyDescent="0.3">
      <c r="A3431" t="s">
        <v>0</v>
      </c>
    </row>
    <row r="3432" spans="1:1" x14ac:dyDescent="0.3">
      <c r="A3432" t="s">
        <v>0</v>
      </c>
    </row>
    <row r="3433" spans="1:1" x14ac:dyDescent="0.3">
      <c r="A3433" t="s">
        <v>0</v>
      </c>
    </row>
    <row r="3434" spans="1:1" x14ac:dyDescent="0.3">
      <c r="A3434" t="s">
        <v>0</v>
      </c>
    </row>
    <row r="3435" spans="1:1" x14ac:dyDescent="0.3">
      <c r="A3435" t="s">
        <v>0</v>
      </c>
    </row>
    <row r="3436" spans="1:1" x14ac:dyDescent="0.3">
      <c r="A3436" t="s">
        <v>0</v>
      </c>
    </row>
    <row r="3437" spans="1:1" x14ac:dyDescent="0.3">
      <c r="A3437" t="s">
        <v>0</v>
      </c>
    </row>
    <row r="3438" spans="1:1" x14ac:dyDescent="0.3">
      <c r="A3438" t="s">
        <v>0</v>
      </c>
    </row>
    <row r="3439" spans="1:1" x14ac:dyDescent="0.3">
      <c r="A3439" t="s">
        <v>0</v>
      </c>
    </row>
    <row r="3440" spans="1:1" x14ac:dyDescent="0.3">
      <c r="A3440" t="s">
        <v>0</v>
      </c>
    </row>
    <row r="3441" spans="1:1" x14ac:dyDescent="0.3">
      <c r="A3441" t="s">
        <v>0</v>
      </c>
    </row>
    <row r="3442" spans="1:1" x14ac:dyDescent="0.3">
      <c r="A3442" t="s">
        <v>0</v>
      </c>
    </row>
    <row r="3443" spans="1:1" x14ac:dyDescent="0.3">
      <c r="A3443" t="s">
        <v>0</v>
      </c>
    </row>
    <row r="3444" spans="1:1" x14ac:dyDescent="0.3">
      <c r="A3444" t="s">
        <v>0</v>
      </c>
    </row>
    <row r="3445" spans="1:1" x14ac:dyDescent="0.3">
      <c r="A3445" t="s">
        <v>0</v>
      </c>
    </row>
    <row r="3446" spans="1:1" x14ac:dyDescent="0.3">
      <c r="A3446" t="s">
        <v>0</v>
      </c>
    </row>
    <row r="3447" spans="1:1" x14ac:dyDescent="0.3">
      <c r="A3447" t="s">
        <v>0</v>
      </c>
    </row>
    <row r="3448" spans="1:1" x14ac:dyDescent="0.3">
      <c r="A3448" t="s">
        <v>0</v>
      </c>
    </row>
    <row r="3449" spans="1:1" x14ac:dyDescent="0.3">
      <c r="A3449" t="s">
        <v>0</v>
      </c>
    </row>
    <row r="3450" spans="1:1" x14ac:dyDescent="0.3">
      <c r="A3450" t="s">
        <v>0</v>
      </c>
    </row>
    <row r="3451" spans="1:1" x14ac:dyDescent="0.3">
      <c r="A3451" t="s">
        <v>0</v>
      </c>
    </row>
    <row r="3452" spans="1:1" x14ac:dyDescent="0.3">
      <c r="A3452" t="s">
        <v>0</v>
      </c>
    </row>
    <row r="3453" spans="1:1" x14ac:dyDescent="0.3">
      <c r="A3453" t="s">
        <v>0</v>
      </c>
    </row>
    <row r="3454" spans="1:1" x14ac:dyDescent="0.3">
      <c r="A3454" t="s">
        <v>0</v>
      </c>
    </row>
    <row r="3455" spans="1:1" x14ac:dyDescent="0.3">
      <c r="A3455" t="s">
        <v>0</v>
      </c>
    </row>
    <row r="3456" spans="1:1" x14ac:dyDescent="0.3">
      <c r="A3456" t="s">
        <v>0</v>
      </c>
    </row>
    <row r="3457" spans="1:1" x14ac:dyDescent="0.3">
      <c r="A3457" t="s">
        <v>0</v>
      </c>
    </row>
    <row r="3458" spans="1:1" x14ac:dyDescent="0.3">
      <c r="A3458" t="s">
        <v>0</v>
      </c>
    </row>
    <row r="3459" spans="1:1" x14ac:dyDescent="0.3">
      <c r="A3459" t="s">
        <v>0</v>
      </c>
    </row>
    <row r="3460" spans="1:1" x14ac:dyDescent="0.3">
      <c r="A3460" t="s">
        <v>0</v>
      </c>
    </row>
    <row r="3461" spans="1:1" x14ac:dyDescent="0.3">
      <c r="A3461" t="s">
        <v>0</v>
      </c>
    </row>
    <row r="3462" spans="1:1" x14ac:dyDescent="0.3">
      <c r="A3462" t="s">
        <v>0</v>
      </c>
    </row>
    <row r="3463" spans="1:1" x14ac:dyDescent="0.3">
      <c r="A3463" t="s">
        <v>0</v>
      </c>
    </row>
    <row r="3464" spans="1:1" x14ac:dyDescent="0.3">
      <c r="A3464" t="s">
        <v>0</v>
      </c>
    </row>
    <row r="3465" spans="1:1" x14ac:dyDescent="0.3">
      <c r="A3465" t="s">
        <v>0</v>
      </c>
    </row>
    <row r="3466" spans="1:1" x14ac:dyDescent="0.3">
      <c r="A3466" t="s">
        <v>0</v>
      </c>
    </row>
    <row r="3467" spans="1:1" x14ac:dyDescent="0.3">
      <c r="A3467" t="s">
        <v>0</v>
      </c>
    </row>
    <row r="3468" spans="1:1" x14ac:dyDescent="0.3">
      <c r="A3468" t="s">
        <v>0</v>
      </c>
    </row>
    <row r="3469" spans="1:1" x14ac:dyDescent="0.3">
      <c r="A3469" t="s">
        <v>0</v>
      </c>
    </row>
    <row r="3470" spans="1:1" x14ac:dyDescent="0.3">
      <c r="A3470" t="s">
        <v>0</v>
      </c>
    </row>
    <row r="3471" spans="1:1" x14ac:dyDescent="0.3">
      <c r="A3471" t="s">
        <v>0</v>
      </c>
    </row>
    <row r="3472" spans="1:1" x14ac:dyDescent="0.3">
      <c r="A3472" t="s">
        <v>0</v>
      </c>
    </row>
    <row r="3473" spans="1:1" x14ac:dyDescent="0.3">
      <c r="A3473" t="s">
        <v>0</v>
      </c>
    </row>
    <row r="3474" spans="1:1" x14ac:dyDescent="0.3">
      <c r="A3474" t="s">
        <v>0</v>
      </c>
    </row>
    <row r="3475" spans="1:1" x14ac:dyDescent="0.3">
      <c r="A3475" t="s">
        <v>0</v>
      </c>
    </row>
    <row r="3476" spans="1:1" x14ac:dyDescent="0.3">
      <c r="A3476" t="s">
        <v>0</v>
      </c>
    </row>
    <row r="3477" spans="1:1" x14ac:dyDescent="0.3">
      <c r="A3477" t="s">
        <v>0</v>
      </c>
    </row>
    <row r="3478" spans="1:1" x14ac:dyDescent="0.3">
      <c r="A3478" t="s">
        <v>0</v>
      </c>
    </row>
    <row r="3479" spans="1:1" x14ac:dyDescent="0.3">
      <c r="A3479" t="s">
        <v>0</v>
      </c>
    </row>
    <row r="3480" spans="1:1" x14ac:dyDescent="0.3">
      <c r="A3480" t="s">
        <v>0</v>
      </c>
    </row>
    <row r="3481" spans="1:1" x14ac:dyDescent="0.3">
      <c r="A3481" t="s">
        <v>0</v>
      </c>
    </row>
    <row r="3482" spans="1:1" x14ac:dyDescent="0.3">
      <c r="A3482" t="s">
        <v>0</v>
      </c>
    </row>
    <row r="3483" spans="1:1" x14ac:dyDescent="0.3">
      <c r="A3483" t="s">
        <v>0</v>
      </c>
    </row>
    <row r="3484" spans="1:1" x14ac:dyDescent="0.3">
      <c r="A3484" t="s">
        <v>0</v>
      </c>
    </row>
    <row r="3485" spans="1:1" x14ac:dyDescent="0.3">
      <c r="A3485" t="s">
        <v>0</v>
      </c>
    </row>
    <row r="3486" spans="1:1" x14ac:dyDescent="0.3">
      <c r="A3486" t="s">
        <v>0</v>
      </c>
    </row>
    <row r="3487" spans="1:1" x14ac:dyDescent="0.3">
      <c r="A3487" t="s">
        <v>0</v>
      </c>
    </row>
    <row r="3488" spans="1:1" x14ac:dyDescent="0.3">
      <c r="A3488" t="s">
        <v>0</v>
      </c>
    </row>
    <row r="3489" spans="1:1" x14ac:dyDescent="0.3">
      <c r="A3489" t="s">
        <v>0</v>
      </c>
    </row>
    <row r="3490" spans="1:1" x14ac:dyDescent="0.3">
      <c r="A3490" t="s">
        <v>0</v>
      </c>
    </row>
    <row r="3491" spans="1:1" x14ac:dyDescent="0.3">
      <c r="A3491" t="s">
        <v>0</v>
      </c>
    </row>
    <row r="3492" spans="1:1" x14ac:dyDescent="0.3">
      <c r="A3492" t="s">
        <v>0</v>
      </c>
    </row>
    <row r="3493" spans="1:1" x14ac:dyDescent="0.3">
      <c r="A3493" t="s">
        <v>0</v>
      </c>
    </row>
    <row r="3494" spans="1:1" x14ac:dyDescent="0.3">
      <c r="A3494" t="s">
        <v>0</v>
      </c>
    </row>
    <row r="3495" spans="1:1" x14ac:dyDescent="0.3">
      <c r="A3495" t="s">
        <v>0</v>
      </c>
    </row>
    <row r="3496" spans="1:1" x14ac:dyDescent="0.3">
      <c r="A3496" t="s">
        <v>0</v>
      </c>
    </row>
    <row r="3497" spans="1:1" x14ac:dyDescent="0.3">
      <c r="A3497" t="s">
        <v>0</v>
      </c>
    </row>
    <row r="3498" spans="1:1" x14ac:dyDescent="0.3">
      <c r="A3498" t="s">
        <v>0</v>
      </c>
    </row>
    <row r="3499" spans="1:1" x14ac:dyDescent="0.3">
      <c r="A3499" t="s">
        <v>0</v>
      </c>
    </row>
    <row r="3500" spans="1:1" x14ac:dyDescent="0.3">
      <c r="A3500" t="s">
        <v>0</v>
      </c>
    </row>
    <row r="3501" spans="1:1" x14ac:dyDescent="0.3">
      <c r="A3501" t="s">
        <v>0</v>
      </c>
    </row>
    <row r="3502" spans="1:1" x14ac:dyDescent="0.3">
      <c r="A3502" t="s">
        <v>0</v>
      </c>
    </row>
    <row r="3503" spans="1:1" x14ac:dyDescent="0.3">
      <c r="A3503" t="s">
        <v>0</v>
      </c>
    </row>
    <row r="3504" spans="1:1" x14ac:dyDescent="0.3">
      <c r="A3504" t="s">
        <v>0</v>
      </c>
    </row>
    <row r="3505" spans="1:1" x14ac:dyDescent="0.3">
      <c r="A3505" t="s">
        <v>0</v>
      </c>
    </row>
    <row r="3506" spans="1:1" x14ac:dyDescent="0.3">
      <c r="A3506" t="s">
        <v>0</v>
      </c>
    </row>
    <row r="3507" spans="1:1" x14ac:dyDescent="0.3">
      <c r="A3507" t="s">
        <v>0</v>
      </c>
    </row>
    <row r="3508" spans="1:1" x14ac:dyDescent="0.3">
      <c r="A3508" t="s">
        <v>0</v>
      </c>
    </row>
    <row r="3509" spans="1:1" x14ac:dyDescent="0.3">
      <c r="A3509" t="s">
        <v>0</v>
      </c>
    </row>
    <row r="3510" spans="1:1" x14ac:dyDescent="0.3">
      <c r="A3510" t="s">
        <v>0</v>
      </c>
    </row>
    <row r="3511" spans="1:1" x14ac:dyDescent="0.3">
      <c r="A3511" t="s">
        <v>0</v>
      </c>
    </row>
    <row r="3512" spans="1:1" x14ac:dyDescent="0.3">
      <c r="A3512" t="s">
        <v>0</v>
      </c>
    </row>
    <row r="3513" spans="1:1" x14ac:dyDescent="0.3">
      <c r="A3513" t="s">
        <v>0</v>
      </c>
    </row>
    <row r="3514" spans="1:1" x14ac:dyDescent="0.3">
      <c r="A3514" t="s">
        <v>0</v>
      </c>
    </row>
    <row r="3515" spans="1:1" x14ac:dyDescent="0.3">
      <c r="A3515" t="s">
        <v>0</v>
      </c>
    </row>
    <row r="3516" spans="1:1" x14ac:dyDescent="0.3">
      <c r="A3516" t="s">
        <v>0</v>
      </c>
    </row>
    <row r="3517" spans="1:1" x14ac:dyDescent="0.3">
      <c r="A3517" t="s">
        <v>0</v>
      </c>
    </row>
    <row r="3518" spans="1:1" x14ac:dyDescent="0.3">
      <c r="A3518" t="s">
        <v>0</v>
      </c>
    </row>
    <row r="3519" spans="1:1" x14ac:dyDescent="0.3">
      <c r="A3519" t="s">
        <v>0</v>
      </c>
    </row>
    <row r="3520" spans="1:1" x14ac:dyDescent="0.3">
      <c r="A3520" t="s">
        <v>0</v>
      </c>
    </row>
    <row r="3521" spans="1:1" x14ac:dyDescent="0.3">
      <c r="A3521" t="s">
        <v>0</v>
      </c>
    </row>
    <row r="3522" spans="1:1" x14ac:dyDescent="0.3">
      <c r="A3522" t="s">
        <v>0</v>
      </c>
    </row>
    <row r="3523" spans="1:1" x14ac:dyDescent="0.3">
      <c r="A3523" t="s">
        <v>0</v>
      </c>
    </row>
    <row r="3524" spans="1:1" x14ac:dyDescent="0.3">
      <c r="A3524" t="s">
        <v>0</v>
      </c>
    </row>
    <row r="3525" spans="1:1" x14ac:dyDescent="0.3">
      <c r="A3525" t="s">
        <v>0</v>
      </c>
    </row>
    <row r="3526" spans="1:1" x14ac:dyDescent="0.3">
      <c r="A3526" t="s">
        <v>0</v>
      </c>
    </row>
    <row r="3527" spans="1:1" x14ac:dyDescent="0.3">
      <c r="A3527" t="s">
        <v>0</v>
      </c>
    </row>
    <row r="3528" spans="1:1" x14ac:dyDescent="0.3">
      <c r="A3528" t="s">
        <v>0</v>
      </c>
    </row>
    <row r="3529" spans="1:1" x14ac:dyDescent="0.3">
      <c r="A3529" t="s">
        <v>0</v>
      </c>
    </row>
    <row r="3530" spans="1:1" x14ac:dyDescent="0.3">
      <c r="A3530" t="s">
        <v>0</v>
      </c>
    </row>
    <row r="3531" spans="1:1" x14ac:dyDescent="0.3">
      <c r="A3531" t="s">
        <v>0</v>
      </c>
    </row>
    <row r="3532" spans="1:1" x14ac:dyDescent="0.3">
      <c r="A3532" t="s">
        <v>0</v>
      </c>
    </row>
    <row r="3533" spans="1:1" x14ac:dyDescent="0.3">
      <c r="A3533" t="s">
        <v>0</v>
      </c>
    </row>
    <row r="3534" spans="1:1" x14ac:dyDescent="0.3">
      <c r="A3534" t="s">
        <v>0</v>
      </c>
    </row>
    <row r="3535" spans="1:1" x14ac:dyDescent="0.3">
      <c r="A3535" t="s">
        <v>0</v>
      </c>
    </row>
    <row r="3536" spans="1:1" x14ac:dyDescent="0.3">
      <c r="A3536" t="s">
        <v>0</v>
      </c>
    </row>
    <row r="3537" spans="1:1" x14ac:dyDescent="0.3">
      <c r="A3537" t="s">
        <v>0</v>
      </c>
    </row>
    <row r="3538" spans="1:1" x14ac:dyDescent="0.3">
      <c r="A3538" t="s">
        <v>0</v>
      </c>
    </row>
    <row r="3539" spans="1:1" x14ac:dyDescent="0.3">
      <c r="A3539" t="s">
        <v>0</v>
      </c>
    </row>
    <row r="3540" spans="1:1" x14ac:dyDescent="0.3">
      <c r="A3540" t="s">
        <v>0</v>
      </c>
    </row>
    <row r="3541" spans="1:1" x14ac:dyDescent="0.3">
      <c r="A3541" t="s">
        <v>0</v>
      </c>
    </row>
    <row r="3542" spans="1:1" x14ac:dyDescent="0.3">
      <c r="A3542" t="s">
        <v>0</v>
      </c>
    </row>
    <row r="3543" spans="1:1" x14ac:dyDescent="0.3">
      <c r="A3543" t="s">
        <v>0</v>
      </c>
    </row>
    <row r="3544" spans="1:1" x14ac:dyDescent="0.3">
      <c r="A3544" t="s">
        <v>0</v>
      </c>
    </row>
    <row r="3545" spans="1:1" x14ac:dyDescent="0.3">
      <c r="A3545" t="s">
        <v>0</v>
      </c>
    </row>
    <row r="3546" spans="1:1" x14ac:dyDescent="0.3">
      <c r="A3546" t="s">
        <v>0</v>
      </c>
    </row>
    <row r="3547" spans="1:1" x14ac:dyDescent="0.3">
      <c r="A3547" t="s">
        <v>0</v>
      </c>
    </row>
    <row r="3548" spans="1:1" x14ac:dyDescent="0.3">
      <c r="A3548" t="s">
        <v>0</v>
      </c>
    </row>
    <row r="3549" spans="1:1" x14ac:dyDescent="0.3">
      <c r="A3549" t="s">
        <v>0</v>
      </c>
    </row>
    <row r="3550" spans="1:1" x14ac:dyDescent="0.3">
      <c r="A3550" t="s">
        <v>0</v>
      </c>
    </row>
    <row r="3551" spans="1:1" x14ac:dyDescent="0.3">
      <c r="A3551" t="s">
        <v>0</v>
      </c>
    </row>
    <row r="3552" spans="1:1" x14ac:dyDescent="0.3">
      <c r="A3552" t="s">
        <v>0</v>
      </c>
    </row>
    <row r="3553" spans="1:1" x14ac:dyDescent="0.3">
      <c r="A3553" t="s">
        <v>0</v>
      </c>
    </row>
    <row r="3554" spans="1:1" x14ac:dyDescent="0.3">
      <c r="A3554" t="s">
        <v>0</v>
      </c>
    </row>
    <row r="3555" spans="1:1" x14ac:dyDescent="0.3">
      <c r="A3555" t="s">
        <v>0</v>
      </c>
    </row>
    <row r="3556" spans="1:1" x14ac:dyDescent="0.3">
      <c r="A3556" t="s">
        <v>0</v>
      </c>
    </row>
    <row r="3557" spans="1:1" x14ac:dyDescent="0.3">
      <c r="A3557" t="s">
        <v>0</v>
      </c>
    </row>
    <row r="3558" spans="1:1" x14ac:dyDescent="0.3">
      <c r="A3558" t="s">
        <v>0</v>
      </c>
    </row>
    <row r="3559" spans="1:1" x14ac:dyDescent="0.3">
      <c r="A3559" t="s">
        <v>0</v>
      </c>
    </row>
    <row r="3560" spans="1:1" x14ac:dyDescent="0.3">
      <c r="A3560" t="s">
        <v>0</v>
      </c>
    </row>
    <row r="3561" spans="1:1" x14ac:dyDescent="0.3">
      <c r="A3561" t="s">
        <v>0</v>
      </c>
    </row>
    <row r="3562" spans="1:1" x14ac:dyDescent="0.3">
      <c r="A3562" t="s">
        <v>0</v>
      </c>
    </row>
    <row r="3563" spans="1:1" x14ac:dyDescent="0.3">
      <c r="A3563" t="s">
        <v>0</v>
      </c>
    </row>
    <row r="3564" spans="1:1" x14ac:dyDescent="0.3">
      <c r="A3564" t="s">
        <v>0</v>
      </c>
    </row>
    <row r="3565" spans="1:1" x14ac:dyDescent="0.3">
      <c r="A3565" t="s">
        <v>0</v>
      </c>
    </row>
    <row r="3566" spans="1:1" x14ac:dyDescent="0.3">
      <c r="A3566" t="s">
        <v>0</v>
      </c>
    </row>
    <row r="3567" spans="1:1" x14ac:dyDescent="0.3">
      <c r="A3567" t="s">
        <v>0</v>
      </c>
    </row>
    <row r="3568" spans="1:1" x14ac:dyDescent="0.3">
      <c r="A3568" t="s">
        <v>0</v>
      </c>
    </row>
    <row r="3569" spans="1:1" x14ac:dyDescent="0.3">
      <c r="A3569" t="s">
        <v>0</v>
      </c>
    </row>
    <row r="3570" spans="1:1" x14ac:dyDescent="0.3">
      <c r="A3570" t="s">
        <v>0</v>
      </c>
    </row>
    <row r="3571" spans="1:1" x14ac:dyDescent="0.3">
      <c r="A3571" t="s">
        <v>0</v>
      </c>
    </row>
    <row r="3572" spans="1:1" x14ac:dyDescent="0.3">
      <c r="A3572" t="s">
        <v>0</v>
      </c>
    </row>
    <row r="3573" spans="1:1" x14ac:dyDescent="0.3">
      <c r="A3573" t="s">
        <v>0</v>
      </c>
    </row>
    <row r="3574" spans="1:1" x14ac:dyDescent="0.3">
      <c r="A3574" t="s">
        <v>0</v>
      </c>
    </row>
    <row r="3575" spans="1:1" x14ac:dyDescent="0.3">
      <c r="A3575" t="s">
        <v>0</v>
      </c>
    </row>
    <row r="3576" spans="1:1" x14ac:dyDescent="0.3">
      <c r="A3576" t="s">
        <v>0</v>
      </c>
    </row>
    <row r="3577" spans="1:1" x14ac:dyDescent="0.3">
      <c r="A3577" t="s">
        <v>0</v>
      </c>
    </row>
    <row r="3578" spans="1:1" x14ac:dyDescent="0.3">
      <c r="A3578" t="s">
        <v>0</v>
      </c>
    </row>
    <row r="3579" spans="1:1" x14ac:dyDescent="0.3">
      <c r="A3579" t="s">
        <v>0</v>
      </c>
    </row>
    <row r="3580" spans="1:1" x14ac:dyDescent="0.3">
      <c r="A3580" t="s">
        <v>0</v>
      </c>
    </row>
    <row r="3581" spans="1:1" x14ac:dyDescent="0.3">
      <c r="A3581" t="s">
        <v>0</v>
      </c>
    </row>
    <row r="3582" spans="1:1" x14ac:dyDescent="0.3">
      <c r="A3582" t="s">
        <v>0</v>
      </c>
    </row>
    <row r="3583" spans="1:1" x14ac:dyDescent="0.3">
      <c r="A3583" t="s">
        <v>0</v>
      </c>
    </row>
    <row r="3584" spans="1:1" x14ac:dyDescent="0.3">
      <c r="A3584" t="s">
        <v>0</v>
      </c>
    </row>
    <row r="3585" spans="1:1" x14ac:dyDescent="0.3">
      <c r="A3585" t="s">
        <v>0</v>
      </c>
    </row>
    <row r="3586" spans="1:1" x14ac:dyDescent="0.3">
      <c r="A3586" t="s">
        <v>0</v>
      </c>
    </row>
    <row r="3587" spans="1:1" x14ac:dyDescent="0.3">
      <c r="A3587" t="s">
        <v>0</v>
      </c>
    </row>
    <row r="3588" spans="1:1" x14ac:dyDescent="0.3">
      <c r="A3588" t="s">
        <v>0</v>
      </c>
    </row>
    <row r="3589" spans="1:1" x14ac:dyDescent="0.3">
      <c r="A3589" t="s">
        <v>0</v>
      </c>
    </row>
    <row r="3590" spans="1:1" x14ac:dyDescent="0.3">
      <c r="A3590" t="s">
        <v>0</v>
      </c>
    </row>
    <row r="3591" spans="1:1" x14ac:dyDescent="0.3">
      <c r="A3591" t="s">
        <v>0</v>
      </c>
    </row>
    <row r="3592" spans="1:1" x14ac:dyDescent="0.3">
      <c r="A3592" t="s">
        <v>0</v>
      </c>
    </row>
    <row r="3593" spans="1:1" x14ac:dyDescent="0.3">
      <c r="A3593" t="s">
        <v>0</v>
      </c>
    </row>
    <row r="3594" spans="1:1" x14ac:dyDescent="0.3">
      <c r="A3594" t="s">
        <v>0</v>
      </c>
    </row>
    <row r="3595" spans="1:1" x14ac:dyDescent="0.3">
      <c r="A3595" t="s">
        <v>0</v>
      </c>
    </row>
    <row r="3596" spans="1:1" x14ac:dyDescent="0.3">
      <c r="A3596" t="s">
        <v>0</v>
      </c>
    </row>
    <row r="3597" spans="1:1" x14ac:dyDescent="0.3">
      <c r="A3597" t="s">
        <v>0</v>
      </c>
    </row>
    <row r="3598" spans="1:1" x14ac:dyDescent="0.3">
      <c r="A3598" t="s">
        <v>0</v>
      </c>
    </row>
    <row r="3599" spans="1:1" x14ac:dyDescent="0.3">
      <c r="A3599" t="s">
        <v>0</v>
      </c>
    </row>
    <row r="3600" spans="1:1" x14ac:dyDescent="0.3">
      <c r="A3600" t="s">
        <v>0</v>
      </c>
    </row>
    <row r="3601" spans="1:1" x14ac:dyDescent="0.3">
      <c r="A3601" t="s">
        <v>0</v>
      </c>
    </row>
    <row r="3602" spans="1:1" x14ac:dyDescent="0.3">
      <c r="A3602" t="s">
        <v>0</v>
      </c>
    </row>
    <row r="3603" spans="1:1" x14ac:dyDescent="0.3">
      <c r="A3603" t="s">
        <v>0</v>
      </c>
    </row>
    <row r="3604" spans="1:1" x14ac:dyDescent="0.3">
      <c r="A3604" t="s">
        <v>0</v>
      </c>
    </row>
    <row r="3605" spans="1:1" x14ac:dyDescent="0.3">
      <c r="A3605" t="s">
        <v>0</v>
      </c>
    </row>
    <row r="3606" spans="1:1" x14ac:dyDescent="0.3">
      <c r="A3606" t="s">
        <v>0</v>
      </c>
    </row>
    <row r="3607" spans="1:1" x14ac:dyDescent="0.3">
      <c r="A3607" t="s">
        <v>0</v>
      </c>
    </row>
    <row r="3608" spans="1:1" x14ac:dyDescent="0.3">
      <c r="A3608" t="s">
        <v>0</v>
      </c>
    </row>
    <row r="3609" spans="1:1" x14ac:dyDescent="0.3">
      <c r="A3609" t="s">
        <v>0</v>
      </c>
    </row>
    <row r="3610" spans="1:1" x14ac:dyDescent="0.3">
      <c r="A3610" t="s">
        <v>0</v>
      </c>
    </row>
    <row r="3611" spans="1:1" x14ac:dyDescent="0.3">
      <c r="A3611" t="s">
        <v>0</v>
      </c>
    </row>
    <row r="3612" spans="1:1" x14ac:dyDescent="0.3">
      <c r="A3612" t="s">
        <v>0</v>
      </c>
    </row>
    <row r="3613" spans="1:1" x14ac:dyDescent="0.3">
      <c r="A3613" t="s">
        <v>0</v>
      </c>
    </row>
    <row r="3614" spans="1:1" x14ac:dyDescent="0.3">
      <c r="A3614" t="s">
        <v>0</v>
      </c>
    </row>
    <row r="3615" spans="1:1" x14ac:dyDescent="0.3">
      <c r="A3615" t="s">
        <v>0</v>
      </c>
    </row>
    <row r="3616" spans="1:1" x14ac:dyDescent="0.3">
      <c r="A3616" t="s">
        <v>0</v>
      </c>
    </row>
    <row r="3617" spans="1:1" x14ac:dyDescent="0.3">
      <c r="A3617" t="s">
        <v>0</v>
      </c>
    </row>
    <row r="3618" spans="1:1" x14ac:dyDescent="0.3">
      <c r="A3618" t="s">
        <v>0</v>
      </c>
    </row>
    <row r="3619" spans="1:1" x14ac:dyDescent="0.3">
      <c r="A3619" t="s">
        <v>0</v>
      </c>
    </row>
    <row r="3620" spans="1:1" x14ac:dyDescent="0.3">
      <c r="A3620" t="s">
        <v>0</v>
      </c>
    </row>
    <row r="3621" spans="1:1" x14ac:dyDescent="0.3">
      <c r="A3621" t="s">
        <v>0</v>
      </c>
    </row>
    <row r="3622" spans="1:1" x14ac:dyDescent="0.3">
      <c r="A3622" t="s">
        <v>0</v>
      </c>
    </row>
    <row r="3623" spans="1:1" x14ac:dyDescent="0.3">
      <c r="A3623" t="s">
        <v>0</v>
      </c>
    </row>
    <row r="3624" spans="1:1" x14ac:dyDescent="0.3">
      <c r="A3624" t="s">
        <v>0</v>
      </c>
    </row>
    <row r="3625" spans="1:1" x14ac:dyDescent="0.3">
      <c r="A3625" t="s">
        <v>0</v>
      </c>
    </row>
    <row r="3626" spans="1:1" x14ac:dyDescent="0.3">
      <c r="A3626" t="s">
        <v>0</v>
      </c>
    </row>
    <row r="3627" spans="1:1" x14ac:dyDescent="0.3">
      <c r="A3627" t="s">
        <v>0</v>
      </c>
    </row>
    <row r="3628" spans="1:1" x14ac:dyDescent="0.3">
      <c r="A3628" t="s">
        <v>0</v>
      </c>
    </row>
    <row r="3629" spans="1:1" x14ac:dyDescent="0.3">
      <c r="A3629" t="s">
        <v>0</v>
      </c>
    </row>
    <row r="3630" spans="1:1" x14ac:dyDescent="0.3">
      <c r="A3630" t="s">
        <v>0</v>
      </c>
    </row>
    <row r="3631" spans="1:1" x14ac:dyDescent="0.3">
      <c r="A3631" t="s">
        <v>0</v>
      </c>
    </row>
    <row r="3632" spans="1:1" x14ac:dyDescent="0.3">
      <c r="A3632" t="s">
        <v>0</v>
      </c>
    </row>
    <row r="3633" spans="1:1" x14ac:dyDescent="0.3">
      <c r="A3633" t="s">
        <v>0</v>
      </c>
    </row>
    <row r="3634" spans="1:1" x14ac:dyDescent="0.3">
      <c r="A3634" t="s">
        <v>0</v>
      </c>
    </row>
    <row r="3635" spans="1:1" x14ac:dyDescent="0.3">
      <c r="A3635" t="s">
        <v>0</v>
      </c>
    </row>
    <row r="3636" spans="1:1" x14ac:dyDescent="0.3">
      <c r="A3636" t="s">
        <v>0</v>
      </c>
    </row>
    <row r="3637" spans="1:1" x14ac:dyDescent="0.3">
      <c r="A3637" t="s">
        <v>0</v>
      </c>
    </row>
    <row r="3638" spans="1:1" x14ac:dyDescent="0.3">
      <c r="A3638" t="s">
        <v>0</v>
      </c>
    </row>
    <row r="3639" spans="1:1" x14ac:dyDescent="0.3">
      <c r="A3639" t="s">
        <v>0</v>
      </c>
    </row>
    <row r="3640" spans="1:1" x14ac:dyDescent="0.3">
      <c r="A3640" t="s">
        <v>0</v>
      </c>
    </row>
    <row r="3641" spans="1:1" x14ac:dyDescent="0.3">
      <c r="A3641" t="s">
        <v>0</v>
      </c>
    </row>
    <row r="3642" spans="1:1" x14ac:dyDescent="0.3">
      <c r="A3642" t="s">
        <v>0</v>
      </c>
    </row>
    <row r="3643" spans="1:1" x14ac:dyDescent="0.3">
      <c r="A3643" t="s">
        <v>0</v>
      </c>
    </row>
    <row r="3644" spans="1:1" x14ac:dyDescent="0.3">
      <c r="A3644" t="s">
        <v>0</v>
      </c>
    </row>
    <row r="3645" spans="1:1" x14ac:dyDescent="0.3">
      <c r="A3645" t="s">
        <v>0</v>
      </c>
    </row>
    <row r="3646" spans="1:1" x14ac:dyDescent="0.3">
      <c r="A3646" t="s">
        <v>0</v>
      </c>
    </row>
    <row r="3647" spans="1:1" x14ac:dyDescent="0.3">
      <c r="A3647" t="s">
        <v>0</v>
      </c>
    </row>
    <row r="3648" spans="1:1" x14ac:dyDescent="0.3">
      <c r="A3648" t="s">
        <v>0</v>
      </c>
    </row>
    <row r="3649" spans="1:1" x14ac:dyDescent="0.3">
      <c r="A3649" t="s">
        <v>0</v>
      </c>
    </row>
    <row r="3650" spans="1:1" x14ac:dyDescent="0.3">
      <c r="A3650" t="s">
        <v>0</v>
      </c>
    </row>
    <row r="3651" spans="1:1" x14ac:dyDescent="0.3">
      <c r="A3651" t="s">
        <v>0</v>
      </c>
    </row>
    <row r="3652" spans="1:1" x14ac:dyDescent="0.3">
      <c r="A3652" t="s">
        <v>0</v>
      </c>
    </row>
    <row r="3653" spans="1:1" x14ac:dyDescent="0.3">
      <c r="A3653" t="s">
        <v>0</v>
      </c>
    </row>
    <row r="3654" spans="1:1" x14ac:dyDescent="0.3">
      <c r="A3654" t="s">
        <v>0</v>
      </c>
    </row>
    <row r="3655" spans="1:1" x14ac:dyDescent="0.3">
      <c r="A3655" t="s">
        <v>0</v>
      </c>
    </row>
    <row r="3656" spans="1:1" x14ac:dyDescent="0.3">
      <c r="A3656" t="s">
        <v>0</v>
      </c>
    </row>
    <row r="3657" spans="1:1" x14ac:dyDescent="0.3">
      <c r="A3657" t="s">
        <v>0</v>
      </c>
    </row>
    <row r="3658" spans="1:1" x14ac:dyDescent="0.3">
      <c r="A3658" t="s">
        <v>0</v>
      </c>
    </row>
    <row r="3659" spans="1:1" x14ac:dyDescent="0.3">
      <c r="A3659" t="s">
        <v>0</v>
      </c>
    </row>
    <row r="3660" spans="1:1" x14ac:dyDescent="0.3">
      <c r="A3660" t="s">
        <v>0</v>
      </c>
    </row>
    <row r="3661" spans="1:1" x14ac:dyDescent="0.3">
      <c r="A3661" t="s">
        <v>0</v>
      </c>
    </row>
    <row r="3662" spans="1:1" x14ac:dyDescent="0.3">
      <c r="A3662" t="s">
        <v>0</v>
      </c>
    </row>
    <row r="3663" spans="1:1" x14ac:dyDescent="0.3">
      <c r="A3663" t="s">
        <v>0</v>
      </c>
    </row>
    <row r="3664" spans="1:1" x14ac:dyDescent="0.3">
      <c r="A3664" t="s">
        <v>0</v>
      </c>
    </row>
    <row r="3665" spans="1:1" x14ac:dyDescent="0.3">
      <c r="A3665" t="s">
        <v>0</v>
      </c>
    </row>
    <row r="3666" spans="1:1" x14ac:dyDescent="0.3">
      <c r="A3666" t="s">
        <v>0</v>
      </c>
    </row>
    <row r="3667" spans="1:1" x14ac:dyDescent="0.3">
      <c r="A3667" t="s">
        <v>0</v>
      </c>
    </row>
    <row r="3668" spans="1:1" x14ac:dyDescent="0.3">
      <c r="A3668" t="s">
        <v>0</v>
      </c>
    </row>
    <row r="3669" spans="1:1" x14ac:dyDescent="0.3">
      <c r="A3669" t="s">
        <v>0</v>
      </c>
    </row>
    <row r="3670" spans="1:1" x14ac:dyDescent="0.3">
      <c r="A3670" t="s">
        <v>0</v>
      </c>
    </row>
    <row r="3671" spans="1:1" x14ac:dyDescent="0.3">
      <c r="A3671" t="s">
        <v>0</v>
      </c>
    </row>
    <row r="3672" spans="1:1" x14ac:dyDescent="0.3">
      <c r="A3672" t="s">
        <v>0</v>
      </c>
    </row>
    <row r="3673" spans="1:1" x14ac:dyDescent="0.3">
      <c r="A3673" t="s">
        <v>0</v>
      </c>
    </row>
    <row r="3674" spans="1:1" x14ac:dyDescent="0.3">
      <c r="A3674" t="s">
        <v>0</v>
      </c>
    </row>
    <row r="3675" spans="1:1" x14ac:dyDescent="0.3">
      <c r="A3675" t="s">
        <v>0</v>
      </c>
    </row>
    <row r="3676" spans="1:1" x14ac:dyDescent="0.3">
      <c r="A3676" t="s">
        <v>0</v>
      </c>
    </row>
    <row r="3677" spans="1:1" x14ac:dyDescent="0.3">
      <c r="A3677" t="s">
        <v>0</v>
      </c>
    </row>
    <row r="3678" spans="1:1" x14ac:dyDescent="0.3">
      <c r="A3678" t="s">
        <v>0</v>
      </c>
    </row>
    <row r="3679" spans="1:1" x14ac:dyDescent="0.3">
      <c r="A3679" t="s">
        <v>0</v>
      </c>
    </row>
    <row r="3680" spans="1:1" x14ac:dyDescent="0.3">
      <c r="A3680" t="s">
        <v>0</v>
      </c>
    </row>
    <row r="3681" spans="1:1" x14ac:dyDescent="0.3">
      <c r="A3681" t="s">
        <v>0</v>
      </c>
    </row>
    <row r="3682" spans="1:1" x14ac:dyDescent="0.3">
      <c r="A3682" t="s">
        <v>0</v>
      </c>
    </row>
    <row r="3683" spans="1:1" x14ac:dyDescent="0.3">
      <c r="A3683" t="s">
        <v>0</v>
      </c>
    </row>
    <row r="3684" spans="1:1" x14ac:dyDescent="0.3">
      <c r="A3684" t="s">
        <v>0</v>
      </c>
    </row>
    <row r="3685" spans="1:1" x14ac:dyDescent="0.3">
      <c r="A3685" t="s">
        <v>0</v>
      </c>
    </row>
    <row r="3686" spans="1:1" x14ac:dyDescent="0.3">
      <c r="A3686" t="s">
        <v>0</v>
      </c>
    </row>
    <row r="3687" spans="1:1" x14ac:dyDescent="0.3">
      <c r="A3687" t="s">
        <v>0</v>
      </c>
    </row>
    <row r="3688" spans="1:1" x14ac:dyDescent="0.3">
      <c r="A3688" t="s">
        <v>0</v>
      </c>
    </row>
    <row r="3689" spans="1:1" x14ac:dyDescent="0.3">
      <c r="A3689" t="s">
        <v>0</v>
      </c>
    </row>
    <row r="3690" spans="1:1" x14ac:dyDescent="0.3">
      <c r="A3690" t="s">
        <v>0</v>
      </c>
    </row>
    <row r="3691" spans="1:1" x14ac:dyDescent="0.3">
      <c r="A3691" t="s">
        <v>0</v>
      </c>
    </row>
    <row r="3692" spans="1:1" x14ac:dyDescent="0.3">
      <c r="A3692" t="s">
        <v>0</v>
      </c>
    </row>
    <row r="3693" spans="1:1" x14ac:dyDescent="0.3">
      <c r="A3693" t="s">
        <v>0</v>
      </c>
    </row>
    <row r="3694" spans="1:1" x14ac:dyDescent="0.3">
      <c r="A3694" t="s">
        <v>0</v>
      </c>
    </row>
    <row r="3695" spans="1:1" x14ac:dyDescent="0.3">
      <c r="A3695" t="s">
        <v>0</v>
      </c>
    </row>
    <row r="3696" spans="1:1" x14ac:dyDescent="0.3">
      <c r="A3696" t="s">
        <v>0</v>
      </c>
    </row>
    <row r="3697" spans="1:1" x14ac:dyDescent="0.3">
      <c r="A3697" t="s">
        <v>0</v>
      </c>
    </row>
    <row r="3698" spans="1:1" x14ac:dyDescent="0.3">
      <c r="A3698" t="s">
        <v>0</v>
      </c>
    </row>
    <row r="3699" spans="1:1" x14ac:dyDescent="0.3">
      <c r="A3699" t="s">
        <v>0</v>
      </c>
    </row>
    <row r="3700" spans="1:1" x14ac:dyDescent="0.3">
      <c r="A3700" t="s">
        <v>0</v>
      </c>
    </row>
    <row r="3701" spans="1:1" x14ac:dyDescent="0.3">
      <c r="A3701" t="s">
        <v>0</v>
      </c>
    </row>
    <row r="3702" spans="1:1" x14ac:dyDescent="0.3">
      <c r="A3702" t="s">
        <v>0</v>
      </c>
    </row>
    <row r="3703" spans="1:1" x14ac:dyDescent="0.3">
      <c r="A3703" t="s">
        <v>0</v>
      </c>
    </row>
    <row r="3704" spans="1:1" x14ac:dyDescent="0.3">
      <c r="A3704" t="s">
        <v>0</v>
      </c>
    </row>
    <row r="3705" spans="1:1" x14ac:dyDescent="0.3">
      <c r="A3705" t="s">
        <v>0</v>
      </c>
    </row>
    <row r="3706" spans="1:1" x14ac:dyDescent="0.3">
      <c r="A3706" t="s">
        <v>0</v>
      </c>
    </row>
    <row r="3707" spans="1:1" x14ac:dyDescent="0.3">
      <c r="A3707" t="s">
        <v>0</v>
      </c>
    </row>
    <row r="3708" spans="1:1" x14ac:dyDescent="0.3">
      <c r="A3708" t="s">
        <v>0</v>
      </c>
    </row>
    <row r="3709" spans="1:1" x14ac:dyDescent="0.3">
      <c r="A3709" t="s">
        <v>0</v>
      </c>
    </row>
    <row r="3710" spans="1:1" x14ac:dyDescent="0.3">
      <c r="A3710" t="s">
        <v>0</v>
      </c>
    </row>
    <row r="3711" spans="1:1" x14ac:dyDescent="0.3">
      <c r="A3711" t="s">
        <v>0</v>
      </c>
    </row>
    <row r="3712" spans="1:1" x14ac:dyDescent="0.3">
      <c r="A3712" t="s">
        <v>0</v>
      </c>
    </row>
    <row r="3713" spans="1:1" x14ac:dyDescent="0.3">
      <c r="A3713" t="s">
        <v>0</v>
      </c>
    </row>
    <row r="3714" spans="1:1" x14ac:dyDescent="0.3">
      <c r="A3714" t="s">
        <v>0</v>
      </c>
    </row>
    <row r="3715" spans="1:1" x14ac:dyDescent="0.3">
      <c r="A3715" t="s">
        <v>0</v>
      </c>
    </row>
    <row r="3716" spans="1:1" x14ac:dyDescent="0.3">
      <c r="A3716" t="s">
        <v>0</v>
      </c>
    </row>
    <row r="3717" spans="1:1" x14ac:dyDescent="0.3">
      <c r="A3717" t="s">
        <v>0</v>
      </c>
    </row>
    <row r="3718" spans="1:1" x14ac:dyDescent="0.3">
      <c r="A3718" t="s">
        <v>0</v>
      </c>
    </row>
    <row r="3719" spans="1:1" x14ac:dyDescent="0.3">
      <c r="A3719" t="s">
        <v>0</v>
      </c>
    </row>
    <row r="3720" spans="1:1" x14ac:dyDescent="0.3">
      <c r="A3720" t="s">
        <v>0</v>
      </c>
    </row>
    <row r="3721" spans="1:1" x14ac:dyDescent="0.3">
      <c r="A3721" t="s">
        <v>0</v>
      </c>
    </row>
    <row r="3722" spans="1:1" x14ac:dyDescent="0.3">
      <c r="A3722" t="s">
        <v>0</v>
      </c>
    </row>
    <row r="3723" spans="1:1" x14ac:dyDescent="0.3">
      <c r="A3723" t="s">
        <v>0</v>
      </c>
    </row>
    <row r="3724" spans="1:1" x14ac:dyDescent="0.3">
      <c r="A3724" t="s">
        <v>0</v>
      </c>
    </row>
    <row r="3725" spans="1:1" x14ac:dyDescent="0.3">
      <c r="A3725" t="s">
        <v>0</v>
      </c>
    </row>
    <row r="3726" spans="1:1" x14ac:dyDescent="0.3">
      <c r="A3726" t="s">
        <v>0</v>
      </c>
    </row>
    <row r="3727" spans="1:1" x14ac:dyDescent="0.3">
      <c r="A3727" t="s">
        <v>0</v>
      </c>
    </row>
    <row r="3728" spans="1:1" x14ac:dyDescent="0.3">
      <c r="A3728" t="s">
        <v>0</v>
      </c>
    </row>
    <row r="3729" spans="1:1" x14ac:dyDescent="0.3">
      <c r="A3729" t="s">
        <v>0</v>
      </c>
    </row>
    <row r="3730" spans="1:1" x14ac:dyDescent="0.3">
      <c r="A3730" t="s">
        <v>0</v>
      </c>
    </row>
    <row r="3731" spans="1:1" x14ac:dyDescent="0.3">
      <c r="A3731" t="s">
        <v>0</v>
      </c>
    </row>
    <row r="3732" spans="1:1" x14ac:dyDescent="0.3">
      <c r="A3732" t="s">
        <v>0</v>
      </c>
    </row>
    <row r="3733" spans="1:1" x14ac:dyDescent="0.3">
      <c r="A3733" t="s">
        <v>0</v>
      </c>
    </row>
    <row r="3734" spans="1:1" x14ac:dyDescent="0.3">
      <c r="A3734" t="s">
        <v>0</v>
      </c>
    </row>
    <row r="3735" spans="1:1" x14ac:dyDescent="0.3">
      <c r="A3735" t="s">
        <v>0</v>
      </c>
    </row>
    <row r="3736" spans="1:1" x14ac:dyDescent="0.3">
      <c r="A3736" t="s">
        <v>0</v>
      </c>
    </row>
    <row r="3737" spans="1:1" x14ac:dyDescent="0.3">
      <c r="A3737" t="s">
        <v>0</v>
      </c>
    </row>
    <row r="3738" spans="1:1" x14ac:dyDescent="0.3">
      <c r="A3738" t="s">
        <v>0</v>
      </c>
    </row>
    <row r="3739" spans="1:1" x14ac:dyDescent="0.3">
      <c r="A3739" t="s">
        <v>0</v>
      </c>
    </row>
    <row r="3740" spans="1:1" x14ac:dyDescent="0.3">
      <c r="A3740" t="s">
        <v>0</v>
      </c>
    </row>
    <row r="3741" spans="1:1" x14ac:dyDescent="0.3">
      <c r="A3741" t="s">
        <v>0</v>
      </c>
    </row>
    <row r="3742" spans="1:1" x14ac:dyDescent="0.3">
      <c r="A3742" t="s">
        <v>0</v>
      </c>
    </row>
    <row r="3743" spans="1:1" x14ac:dyDescent="0.3">
      <c r="A3743" t="s">
        <v>0</v>
      </c>
    </row>
    <row r="3744" spans="1:1" x14ac:dyDescent="0.3">
      <c r="A3744" t="s">
        <v>0</v>
      </c>
    </row>
    <row r="3745" spans="1:1" x14ac:dyDescent="0.3">
      <c r="A3745" t="s">
        <v>0</v>
      </c>
    </row>
    <row r="3746" spans="1:1" x14ac:dyDescent="0.3">
      <c r="A3746" t="s">
        <v>0</v>
      </c>
    </row>
    <row r="3747" spans="1:1" x14ac:dyDescent="0.3">
      <c r="A3747" t="s">
        <v>0</v>
      </c>
    </row>
    <row r="3748" spans="1:1" x14ac:dyDescent="0.3">
      <c r="A3748" t="s">
        <v>0</v>
      </c>
    </row>
    <row r="3749" spans="1:1" x14ac:dyDescent="0.3">
      <c r="A3749" t="s">
        <v>0</v>
      </c>
    </row>
    <row r="3750" spans="1:1" x14ac:dyDescent="0.3">
      <c r="A3750" t="s">
        <v>0</v>
      </c>
    </row>
    <row r="3751" spans="1:1" x14ac:dyDescent="0.3">
      <c r="A3751" t="s">
        <v>0</v>
      </c>
    </row>
    <row r="3752" spans="1:1" x14ac:dyDescent="0.3">
      <c r="A3752" t="s">
        <v>0</v>
      </c>
    </row>
    <row r="3753" spans="1:1" x14ac:dyDescent="0.3">
      <c r="A3753" t="s">
        <v>0</v>
      </c>
    </row>
    <row r="3754" spans="1:1" x14ac:dyDescent="0.3">
      <c r="A3754" t="s">
        <v>0</v>
      </c>
    </row>
    <row r="3755" spans="1:1" x14ac:dyDescent="0.3">
      <c r="A3755" t="s">
        <v>0</v>
      </c>
    </row>
    <row r="3756" spans="1:1" x14ac:dyDescent="0.3">
      <c r="A3756" t="s">
        <v>0</v>
      </c>
    </row>
    <row r="3757" spans="1:1" x14ac:dyDescent="0.3">
      <c r="A3757" t="s">
        <v>0</v>
      </c>
    </row>
    <row r="3758" spans="1:1" x14ac:dyDescent="0.3">
      <c r="A3758" t="s">
        <v>0</v>
      </c>
    </row>
    <row r="3759" spans="1:1" x14ac:dyDescent="0.3">
      <c r="A3759" t="s">
        <v>0</v>
      </c>
    </row>
    <row r="3760" spans="1:1" x14ac:dyDescent="0.3">
      <c r="A3760" t="s">
        <v>0</v>
      </c>
    </row>
    <row r="3761" spans="1:1" x14ac:dyDescent="0.3">
      <c r="A3761" t="s">
        <v>0</v>
      </c>
    </row>
    <row r="3762" spans="1:1" x14ac:dyDescent="0.3">
      <c r="A3762" t="s">
        <v>0</v>
      </c>
    </row>
    <row r="3763" spans="1:1" x14ac:dyDescent="0.3">
      <c r="A3763" t="s">
        <v>0</v>
      </c>
    </row>
    <row r="3764" spans="1:1" x14ac:dyDescent="0.3">
      <c r="A3764" t="s">
        <v>0</v>
      </c>
    </row>
    <row r="3765" spans="1:1" x14ac:dyDescent="0.3">
      <c r="A3765" t="s">
        <v>0</v>
      </c>
    </row>
    <row r="3766" spans="1:1" x14ac:dyDescent="0.3">
      <c r="A3766" t="s">
        <v>0</v>
      </c>
    </row>
    <row r="3767" spans="1:1" x14ac:dyDescent="0.3">
      <c r="A3767" t="s">
        <v>0</v>
      </c>
    </row>
    <row r="3768" spans="1:1" x14ac:dyDescent="0.3">
      <c r="A3768" t="s">
        <v>0</v>
      </c>
    </row>
    <row r="3769" spans="1:1" x14ac:dyDescent="0.3">
      <c r="A3769" t="s">
        <v>0</v>
      </c>
    </row>
    <row r="3770" spans="1:1" x14ac:dyDescent="0.3">
      <c r="A3770" t="s">
        <v>0</v>
      </c>
    </row>
    <row r="3771" spans="1:1" x14ac:dyDescent="0.3">
      <c r="A3771" t="s">
        <v>0</v>
      </c>
    </row>
    <row r="3772" spans="1:1" x14ac:dyDescent="0.3">
      <c r="A3772" t="s">
        <v>0</v>
      </c>
    </row>
    <row r="3773" spans="1:1" x14ac:dyDescent="0.3">
      <c r="A3773" t="s">
        <v>0</v>
      </c>
    </row>
    <row r="3774" spans="1:1" x14ac:dyDescent="0.3">
      <c r="A3774" t="s">
        <v>0</v>
      </c>
    </row>
    <row r="3775" spans="1:1" x14ac:dyDescent="0.3">
      <c r="A3775" t="s">
        <v>0</v>
      </c>
    </row>
    <row r="3776" spans="1:1" x14ac:dyDescent="0.3">
      <c r="A3776" t="s">
        <v>0</v>
      </c>
    </row>
    <row r="3777" spans="1:1" x14ac:dyDescent="0.3">
      <c r="A3777" t="s">
        <v>0</v>
      </c>
    </row>
    <row r="3778" spans="1:1" x14ac:dyDescent="0.3">
      <c r="A3778" t="s">
        <v>0</v>
      </c>
    </row>
    <row r="3779" spans="1:1" x14ac:dyDescent="0.3">
      <c r="A3779" t="s">
        <v>0</v>
      </c>
    </row>
    <row r="3780" spans="1:1" x14ac:dyDescent="0.3">
      <c r="A3780" t="s">
        <v>0</v>
      </c>
    </row>
    <row r="3781" spans="1:1" x14ac:dyDescent="0.3">
      <c r="A3781" t="s">
        <v>0</v>
      </c>
    </row>
    <row r="3782" spans="1:1" x14ac:dyDescent="0.3">
      <c r="A3782" t="s">
        <v>0</v>
      </c>
    </row>
    <row r="3783" spans="1:1" x14ac:dyDescent="0.3">
      <c r="A3783" t="s">
        <v>0</v>
      </c>
    </row>
    <row r="3784" spans="1:1" x14ac:dyDescent="0.3">
      <c r="A3784" t="s">
        <v>0</v>
      </c>
    </row>
    <row r="3785" spans="1:1" x14ac:dyDescent="0.3">
      <c r="A3785" t="s">
        <v>0</v>
      </c>
    </row>
    <row r="3786" spans="1:1" x14ac:dyDescent="0.3">
      <c r="A3786" t="s">
        <v>0</v>
      </c>
    </row>
    <row r="3787" spans="1:1" x14ac:dyDescent="0.3">
      <c r="A3787" t="s">
        <v>0</v>
      </c>
    </row>
    <row r="3788" spans="1:1" x14ac:dyDescent="0.3">
      <c r="A3788" t="s">
        <v>0</v>
      </c>
    </row>
    <row r="3789" spans="1:1" x14ac:dyDescent="0.3">
      <c r="A3789" t="s">
        <v>0</v>
      </c>
    </row>
    <row r="3790" spans="1:1" x14ac:dyDescent="0.3">
      <c r="A3790" t="s">
        <v>0</v>
      </c>
    </row>
    <row r="3791" spans="1:1" x14ac:dyDescent="0.3">
      <c r="A3791" t="s">
        <v>0</v>
      </c>
    </row>
    <row r="3792" spans="1:1" x14ac:dyDescent="0.3">
      <c r="A3792" t="s">
        <v>0</v>
      </c>
    </row>
    <row r="3793" spans="1:1" x14ac:dyDescent="0.3">
      <c r="A3793" t="s">
        <v>0</v>
      </c>
    </row>
    <row r="3794" spans="1:1" x14ac:dyDescent="0.3">
      <c r="A3794" t="s">
        <v>0</v>
      </c>
    </row>
    <row r="3795" spans="1:1" x14ac:dyDescent="0.3">
      <c r="A3795" t="s">
        <v>0</v>
      </c>
    </row>
    <row r="3796" spans="1:1" x14ac:dyDescent="0.3">
      <c r="A3796" t="s">
        <v>0</v>
      </c>
    </row>
    <row r="3797" spans="1:1" x14ac:dyDescent="0.3">
      <c r="A3797" t="s">
        <v>0</v>
      </c>
    </row>
    <row r="3798" spans="1:1" x14ac:dyDescent="0.3">
      <c r="A3798" t="s">
        <v>0</v>
      </c>
    </row>
    <row r="3799" spans="1:1" x14ac:dyDescent="0.3">
      <c r="A3799" t="s">
        <v>0</v>
      </c>
    </row>
    <row r="3800" spans="1:1" x14ac:dyDescent="0.3">
      <c r="A3800" t="s">
        <v>0</v>
      </c>
    </row>
    <row r="3801" spans="1:1" x14ac:dyDescent="0.3">
      <c r="A3801" t="s">
        <v>0</v>
      </c>
    </row>
    <row r="3802" spans="1:1" x14ac:dyDescent="0.3">
      <c r="A3802" t="s">
        <v>0</v>
      </c>
    </row>
    <row r="3803" spans="1:1" x14ac:dyDescent="0.3">
      <c r="A3803" t="s">
        <v>0</v>
      </c>
    </row>
    <row r="3804" spans="1:1" x14ac:dyDescent="0.3">
      <c r="A3804" t="s">
        <v>0</v>
      </c>
    </row>
    <row r="3805" spans="1:1" x14ac:dyDescent="0.3">
      <c r="A3805" t="s">
        <v>0</v>
      </c>
    </row>
    <row r="3806" spans="1:1" x14ac:dyDescent="0.3">
      <c r="A3806" t="s">
        <v>0</v>
      </c>
    </row>
    <row r="3807" spans="1:1" x14ac:dyDescent="0.3">
      <c r="A3807" t="s">
        <v>0</v>
      </c>
    </row>
    <row r="3808" spans="1:1" x14ac:dyDescent="0.3">
      <c r="A3808" t="s">
        <v>0</v>
      </c>
    </row>
    <row r="3809" spans="1:1" x14ac:dyDescent="0.3">
      <c r="A3809" t="s">
        <v>0</v>
      </c>
    </row>
    <row r="3810" spans="1:1" x14ac:dyDescent="0.3">
      <c r="A3810" t="s">
        <v>0</v>
      </c>
    </row>
    <row r="3811" spans="1:1" x14ac:dyDescent="0.3">
      <c r="A3811" t="s">
        <v>0</v>
      </c>
    </row>
    <row r="3812" spans="1:1" x14ac:dyDescent="0.3">
      <c r="A3812" t="s">
        <v>0</v>
      </c>
    </row>
    <row r="3813" spans="1:1" x14ac:dyDescent="0.3">
      <c r="A3813" t="s">
        <v>0</v>
      </c>
    </row>
    <row r="3814" spans="1:1" x14ac:dyDescent="0.3">
      <c r="A3814" t="s">
        <v>0</v>
      </c>
    </row>
    <row r="3815" spans="1:1" x14ac:dyDescent="0.3">
      <c r="A3815" t="s">
        <v>0</v>
      </c>
    </row>
    <row r="3816" spans="1:1" x14ac:dyDescent="0.3">
      <c r="A3816" t="s">
        <v>0</v>
      </c>
    </row>
    <row r="3817" spans="1:1" x14ac:dyDescent="0.3">
      <c r="A3817" t="s">
        <v>0</v>
      </c>
    </row>
    <row r="3818" spans="1:1" x14ac:dyDescent="0.3">
      <c r="A3818" t="s">
        <v>0</v>
      </c>
    </row>
    <row r="3819" spans="1:1" x14ac:dyDescent="0.3">
      <c r="A3819" t="s">
        <v>0</v>
      </c>
    </row>
    <row r="3820" spans="1:1" x14ac:dyDescent="0.3">
      <c r="A3820" t="s">
        <v>0</v>
      </c>
    </row>
    <row r="3821" spans="1:1" x14ac:dyDescent="0.3">
      <c r="A3821" t="s">
        <v>0</v>
      </c>
    </row>
    <row r="3822" spans="1:1" x14ac:dyDescent="0.3">
      <c r="A3822" t="s">
        <v>0</v>
      </c>
    </row>
    <row r="3823" spans="1:1" x14ac:dyDescent="0.3">
      <c r="A3823" t="s">
        <v>0</v>
      </c>
    </row>
    <row r="3824" spans="1:1" x14ac:dyDescent="0.3">
      <c r="A3824" t="s">
        <v>0</v>
      </c>
    </row>
    <row r="3825" spans="1:1" x14ac:dyDescent="0.3">
      <c r="A3825" t="s">
        <v>0</v>
      </c>
    </row>
    <row r="3826" spans="1:1" x14ac:dyDescent="0.3">
      <c r="A3826" t="s">
        <v>0</v>
      </c>
    </row>
    <row r="3827" spans="1:1" x14ac:dyDescent="0.3">
      <c r="A3827" t="s">
        <v>0</v>
      </c>
    </row>
    <row r="3828" spans="1:1" x14ac:dyDescent="0.3">
      <c r="A3828" t="s">
        <v>0</v>
      </c>
    </row>
    <row r="3829" spans="1:1" x14ac:dyDescent="0.3">
      <c r="A3829" t="s">
        <v>0</v>
      </c>
    </row>
    <row r="3830" spans="1:1" x14ac:dyDescent="0.3">
      <c r="A3830" t="s">
        <v>0</v>
      </c>
    </row>
    <row r="3831" spans="1:1" x14ac:dyDescent="0.3">
      <c r="A3831" t="s">
        <v>0</v>
      </c>
    </row>
    <row r="3832" spans="1:1" x14ac:dyDescent="0.3">
      <c r="A3832" t="s">
        <v>0</v>
      </c>
    </row>
    <row r="3833" spans="1:1" x14ac:dyDescent="0.3">
      <c r="A3833" t="s">
        <v>0</v>
      </c>
    </row>
    <row r="3834" spans="1:1" x14ac:dyDescent="0.3">
      <c r="A3834" t="s">
        <v>0</v>
      </c>
    </row>
    <row r="3835" spans="1:1" x14ac:dyDescent="0.3">
      <c r="A3835" t="s">
        <v>0</v>
      </c>
    </row>
    <row r="3836" spans="1:1" x14ac:dyDescent="0.3">
      <c r="A3836" t="s">
        <v>0</v>
      </c>
    </row>
    <row r="3837" spans="1:1" x14ac:dyDescent="0.3">
      <c r="A3837" t="s">
        <v>0</v>
      </c>
    </row>
    <row r="3838" spans="1:1" x14ac:dyDescent="0.3">
      <c r="A3838" t="s">
        <v>0</v>
      </c>
    </row>
    <row r="3839" spans="1:1" x14ac:dyDescent="0.3">
      <c r="A3839" t="s">
        <v>0</v>
      </c>
    </row>
    <row r="3840" spans="1:1" x14ac:dyDescent="0.3">
      <c r="A3840" t="s">
        <v>0</v>
      </c>
    </row>
    <row r="3841" spans="1:1" x14ac:dyDescent="0.3">
      <c r="A3841" t="s">
        <v>0</v>
      </c>
    </row>
    <row r="3842" spans="1:1" x14ac:dyDescent="0.3">
      <c r="A3842" t="s">
        <v>0</v>
      </c>
    </row>
    <row r="3843" spans="1:1" x14ac:dyDescent="0.3">
      <c r="A3843" t="s">
        <v>0</v>
      </c>
    </row>
    <row r="3844" spans="1:1" x14ac:dyDescent="0.3">
      <c r="A3844" t="s">
        <v>0</v>
      </c>
    </row>
    <row r="3845" spans="1:1" x14ac:dyDescent="0.3">
      <c r="A3845" t="s">
        <v>0</v>
      </c>
    </row>
    <row r="3846" spans="1:1" x14ac:dyDescent="0.3">
      <c r="A3846" t="s">
        <v>0</v>
      </c>
    </row>
    <row r="3847" spans="1:1" x14ac:dyDescent="0.3">
      <c r="A3847" t="s">
        <v>0</v>
      </c>
    </row>
    <row r="3848" spans="1:1" x14ac:dyDescent="0.3">
      <c r="A3848" t="s">
        <v>0</v>
      </c>
    </row>
    <row r="3849" spans="1:1" x14ac:dyDescent="0.3">
      <c r="A3849" t="s">
        <v>0</v>
      </c>
    </row>
    <row r="3850" spans="1:1" x14ac:dyDescent="0.3">
      <c r="A3850" t="s">
        <v>0</v>
      </c>
    </row>
    <row r="3851" spans="1:1" x14ac:dyDescent="0.3">
      <c r="A3851" t="s">
        <v>0</v>
      </c>
    </row>
    <row r="3852" spans="1:1" x14ac:dyDescent="0.3">
      <c r="A3852" t="s">
        <v>0</v>
      </c>
    </row>
    <row r="3853" spans="1:1" x14ac:dyDescent="0.3">
      <c r="A3853" t="s">
        <v>0</v>
      </c>
    </row>
    <row r="3854" spans="1:1" x14ac:dyDescent="0.3">
      <c r="A3854" t="s">
        <v>0</v>
      </c>
    </row>
    <row r="3855" spans="1:1" x14ac:dyDescent="0.3">
      <c r="A3855" t="s">
        <v>0</v>
      </c>
    </row>
    <row r="3856" spans="1:1" x14ac:dyDescent="0.3">
      <c r="A3856" t="s">
        <v>0</v>
      </c>
    </row>
    <row r="3857" spans="1:1" x14ac:dyDescent="0.3">
      <c r="A3857" t="s">
        <v>0</v>
      </c>
    </row>
    <row r="3858" spans="1:1" x14ac:dyDescent="0.3">
      <c r="A3858" t="s">
        <v>0</v>
      </c>
    </row>
    <row r="3859" spans="1:1" x14ac:dyDescent="0.3">
      <c r="A3859" t="s">
        <v>0</v>
      </c>
    </row>
    <row r="3860" spans="1:1" x14ac:dyDescent="0.3">
      <c r="A3860" t="s">
        <v>0</v>
      </c>
    </row>
    <row r="3861" spans="1:1" x14ac:dyDescent="0.3">
      <c r="A3861" t="s">
        <v>0</v>
      </c>
    </row>
    <row r="3862" spans="1:1" x14ac:dyDescent="0.3">
      <c r="A3862" t="s">
        <v>0</v>
      </c>
    </row>
    <row r="3863" spans="1:1" x14ac:dyDescent="0.3">
      <c r="A3863" t="s">
        <v>0</v>
      </c>
    </row>
    <row r="3864" spans="1:1" x14ac:dyDescent="0.3">
      <c r="A3864" t="s">
        <v>0</v>
      </c>
    </row>
    <row r="3865" spans="1:1" x14ac:dyDescent="0.3">
      <c r="A3865" t="s">
        <v>0</v>
      </c>
    </row>
    <row r="3866" spans="1:1" x14ac:dyDescent="0.3">
      <c r="A3866" t="s">
        <v>0</v>
      </c>
    </row>
    <row r="3867" spans="1:1" x14ac:dyDescent="0.3">
      <c r="A3867" t="s">
        <v>0</v>
      </c>
    </row>
    <row r="3868" spans="1:1" x14ac:dyDescent="0.3">
      <c r="A3868" t="s">
        <v>0</v>
      </c>
    </row>
    <row r="3869" spans="1:1" x14ac:dyDescent="0.3">
      <c r="A3869" t="s">
        <v>0</v>
      </c>
    </row>
    <row r="3870" spans="1:1" x14ac:dyDescent="0.3">
      <c r="A3870" t="s">
        <v>0</v>
      </c>
    </row>
    <row r="3871" spans="1:1" x14ac:dyDescent="0.3">
      <c r="A3871" t="s">
        <v>0</v>
      </c>
    </row>
    <row r="3872" spans="1:1" x14ac:dyDescent="0.3">
      <c r="A3872" t="s">
        <v>0</v>
      </c>
    </row>
    <row r="3873" spans="1:1" x14ac:dyDescent="0.3">
      <c r="A3873" t="s">
        <v>0</v>
      </c>
    </row>
    <row r="3874" spans="1:1" x14ac:dyDescent="0.3">
      <c r="A3874" t="s">
        <v>0</v>
      </c>
    </row>
    <row r="3875" spans="1:1" x14ac:dyDescent="0.3">
      <c r="A3875" t="s">
        <v>0</v>
      </c>
    </row>
    <row r="3876" spans="1:1" x14ac:dyDescent="0.3">
      <c r="A3876" t="s">
        <v>0</v>
      </c>
    </row>
    <row r="3877" spans="1:1" x14ac:dyDescent="0.3">
      <c r="A3877" t="s">
        <v>0</v>
      </c>
    </row>
    <row r="3878" spans="1:1" x14ac:dyDescent="0.3">
      <c r="A3878" t="s">
        <v>0</v>
      </c>
    </row>
    <row r="3879" spans="1:1" x14ac:dyDescent="0.3">
      <c r="A3879" t="s">
        <v>0</v>
      </c>
    </row>
    <row r="3880" spans="1:1" x14ac:dyDescent="0.3">
      <c r="A3880" t="s">
        <v>0</v>
      </c>
    </row>
    <row r="3881" spans="1:1" x14ac:dyDescent="0.3">
      <c r="A3881" t="s">
        <v>0</v>
      </c>
    </row>
    <row r="3882" spans="1:1" x14ac:dyDescent="0.3">
      <c r="A3882" t="s">
        <v>0</v>
      </c>
    </row>
    <row r="3883" spans="1:1" x14ac:dyDescent="0.3">
      <c r="A3883" t="s">
        <v>0</v>
      </c>
    </row>
    <row r="3884" spans="1:1" x14ac:dyDescent="0.3">
      <c r="A3884" t="s">
        <v>0</v>
      </c>
    </row>
    <row r="3885" spans="1:1" x14ac:dyDescent="0.3">
      <c r="A3885" t="s">
        <v>0</v>
      </c>
    </row>
    <row r="3886" spans="1:1" x14ac:dyDescent="0.3">
      <c r="A3886" t="s">
        <v>0</v>
      </c>
    </row>
    <row r="3887" spans="1:1" x14ac:dyDescent="0.3">
      <c r="A3887" t="s">
        <v>0</v>
      </c>
    </row>
    <row r="3888" spans="1:1" x14ac:dyDescent="0.3">
      <c r="A3888" t="s">
        <v>0</v>
      </c>
    </row>
    <row r="3889" spans="1:1" x14ac:dyDescent="0.3">
      <c r="A3889" t="s">
        <v>0</v>
      </c>
    </row>
    <row r="3890" spans="1:1" x14ac:dyDescent="0.3">
      <c r="A3890" t="s">
        <v>0</v>
      </c>
    </row>
    <row r="3891" spans="1:1" x14ac:dyDescent="0.3">
      <c r="A3891" t="s">
        <v>0</v>
      </c>
    </row>
    <row r="3892" spans="1:1" x14ac:dyDescent="0.3">
      <c r="A3892" t="s">
        <v>0</v>
      </c>
    </row>
    <row r="3893" spans="1:1" x14ac:dyDescent="0.3">
      <c r="A3893" t="s">
        <v>0</v>
      </c>
    </row>
    <row r="3894" spans="1:1" x14ac:dyDescent="0.3">
      <c r="A3894" t="s">
        <v>0</v>
      </c>
    </row>
    <row r="3895" spans="1:1" x14ac:dyDescent="0.3">
      <c r="A3895" t="s">
        <v>0</v>
      </c>
    </row>
    <row r="3896" spans="1:1" x14ac:dyDescent="0.3">
      <c r="A3896" t="s">
        <v>0</v>
      </c>
    </row>
    <row r="3897" spans="1:1" x14ac:dyDescent="0.3">
      <c r="A3897" t="s">
        <v>0</v>
      </c>
    </row>
    <row r="3898" spans="1:1" x14ac:dyDescent="0.3">
      <c r="A3898" t="s">
        <v>0</v>
      </c>
    </row>
    <row r="3899" spans="1:1" x14ac:dyDescent="0.3">
      <c r="A3899" t="s">
        <v>0</v>
      </c>
    </row>
    <row r="3900" spans="1:1" x14ac:dyDescent="0.3">
      <c r="A3900" t="s">
        <v>0</v>
      </c>
    </row>
    <row r="3901" spans="1:1" x14ac:dyDescent="0.3">
      <c r="A3901" t="s">
        <v>0</v>
      </c>
    </row>
    <row r="3902" spans="1:1" x14ac:dyDescent="0.3">
      <c r="A3902" t="s">
        <v>0</v>
      </c>
    </row>
    <row r="3903" spans="1:1" x14ac:dyDescent="0.3">
      <c r="A3903" t="s">
        <v>0</v>
      </c>
    </row>
    <row r="3904" spans="1:1" x14ac:dyDescent="0.3">
      <c r="A3904" t="s">
        <v>0</v>
      </c>
    </row>
    <row r="3905" spans="1:1" x14ac:dyDescent="0.3">
      <c r="A3905" t="s">
        <v>0</v>
      </c>
    </row>
    <row r="3906" spans="1:1" x14ac:dyDescent="0.3">
      <c r="A3906" t="s">
        <v>0</v>
      </c>
    </row>
    <row r="3907" spans="1:1" x14ac:dyDescent="0.3">
      <c r="A3907" t="s">
        <v>0</v>
      </c>
    </row>
    <row r="3908" spans="1:1" x14ac:dyDescent="0.3">
      <c r="A3908" t="s">
        <v>0</v>
      </c>
    </row>
    <row r="3909" spans="1:1" x14ac:dyDescent="0.3">
      <c r="A3909" t="s">
        <v>0</v>
      </c>
    </row>
    <row r="3910" spans="1:1" x14ac:dyDescent="0.3">
      <c r="A3910" t="s">
        <v>0</v>
      </c>
    </row>
    <row r="3911" spans="1:1" x14ac:dyDescent="0.3">
      <c r="A3911" t="s">
        <v>0</v>
      </c>
    </row>
    <row r="3912" spans="1:1" x14ac:dyDescent="0.3">
      <c r="A3912" t="s">
        <v>0</v>
      </c>
    </row>
    <row r="3913" spans="1:1" x14ac:dyDescent="0.3">
      <c r="A3913" t="s">
        <v>0</v>
      </c>
    </row>
    <row r="3914" spans="1:1" x14ac:dyDescent="0.3">
      <c r="A3914" t="s">
        <v>0</v>
      </c>
    </row>
    <row r="3915" spans="1:1" x14ac:dyDescent="0.3">
      <c r="A3915" t="s">
        <v>0</v>
      </c>
    </row>
    <row r="3916" spans="1:1" x14ac:dyDescent="0.3">
      <c r="A3916" t="s">
        <v>0</v>
      </c>
    </row>
    <row r="3917" spans="1:1" x14ac:dyDescent="0.3">
      <c r="A3917" t="s">
        <v>0</v>
      </c>
    </row>
    <row r="3918" spans="1:1" x14ac:dyDescent="0.3">
      <c r="A3918" t="s">
        <v>0</v>
      </c>
    </row>
    <row r="3919" spans="1:1" x14ac:dyDescent="0.3">
      <c r="A3919" t="s">
        <v>0</v>
      </c>
    </row>
    <row r="3920" spans="1:1" x14ac:dyDescent="0.3">
      <c r="A3920" t="s">
        <v>0</v>
      </c>
    </row>
    <row r="3921" spans="1:1" x14ac:dyDescent="0.3">
      <c r="A3921" t="s">
        <v>0</v>
      </c>
    </row>
    <row r="3922" spans="1:1" x14ac:dyDescent="0.3">
      <c r="A3922" t="s">
        <v>0</v>
      </c>
    </row>
    <row r="3923" spans="1:1" x14ac:dyDescent="0.3">
      <c r="A3923" t="s">
        <v>0</v>
      </c>
    </row>
    <row r="3924" spans="1:1" x14ac:dyDescent="0.3">
      <c r="A3924" t="s">
        <v>0</v>
      </c>
    </row>
    <row r="3925" spans="1:1" x14ac:dyDescent="0.3">
      <c r="A3925" t="s">
        <v>0</v>
      </c>
    </row>
    <row r="3926" spans="1:1" x14ac:dyDescent="0.3">
      <c r="A3926" t="s">
        <v>0</v>
      </c>
    </row>
    <row r="3927" spans="1:1" x14ac:dyDescent="0.3">
      <c r="A3927" t="s">
        <v>0</v>
      </c>
    </row>
    <row r="3928" spans="1:1" x14ac:dyDescent="0.3">
      <c r="A3928" t="s">
        <v>0</v>
      </c>
    </row>
    <row r="3929" spans="1:1" x14ac:dyDescent="0.3">
      <c r="A3929" t="s">
        <v>0</v>
      </c>
    </row>
    <row r="3930" spans="1:1" x14ac:dyDescent="0.3">
      <c r="A3930" t="s">
        <v>0</v>
      </c>
    </row>
    <row r="3931" spans="1:1" x14ac:dyDescent="0.3">
      <c r="A3931" t="s">
        <v>0</v>
      </c>
    </row>
    <row r="3932" spans="1:1" x14ac:dyDescent="0.3">
      <c r="A3932" t="s">
        <v>0</v>
      </c>
    </row>
    <row r="3933" spans="1:1" x14ac:dyDescent="0.3">
      <c r="A3933" t="s">
        <v>0</v>
      </c>
    </row>
    <row r="3934" spans="1:1" x14ac:dyDescent="0.3">
      <c r="A3934" t="s">
        <v>0</v>
      </c>
    </row>
    <row r="3935" spans="1:1" x14ac:dyDescent="0.3">
      <c r="A3935" t="s">
        <v>0</v>
      </c>
    </row>
    <row r="3936" spans="1:1" x14ac:dyDescent="0.3">
      <c r="A3936" t="s">
        <v>0</v>
      </c>
    </row>
    <row r="3937" spans="1:1" x14ac:dyDescent="0.3">
      <c r="A3937" t="s">
        <v>0</v>
      </c>
    </row>
    <row r="3938" spans="1:1" x14ac:dyDescent="0.3">
      <c r="A3938" t="s">
        <v>0</v>
      </c>
    </row>
    <row r="3939" spans="1:1" x14ac:dyDescent="0.3">
      <c r="A3939" t="s">
        <v>0</v>
      </c>
    </row>
    <row r="3940" spans="1:1" x14ac:dyDescent="0.3">
      <c r="A3940" t="s">
        <v>0</v>
      </c>
    </row>
    <row r="3941" spans="1:1" x14ac:dyDescent="0.3">
      <c r="A3941" t="s">
        <v>0</v>
      </c>
    </row>
    <row r="3942" spans="1:1" x14ac:dyDescent="0.3">
      <c r="A3942" t="s">
        <v>0</v>
      </c>
    </row>
    <row r="3943" spans="1:1" x14ac:dyDescent="0.3">
      <c r="A3943" t="s">
        <v>0</v>
      </c>
    </row>
    <row r="3944" spans="1:1" x14ac:dyDescent="0.3">
      <c r="A3944" t="s">
        <v>0</v>
      </c>
    </row>
    <row r="3945" spans="1:1" x14ac:dyDescent="0.3">
      <c r="A3945" t="s">
        <v>0</v>
      </c>
    </row>
    <row r="3946" spans="1:1" x14ac:dyDescent="0.3">
      <c r="A3946" t="s">
        <v>0</v>
      </c>
    </row>
    <row r="3947" spans="1:1" x14ac:dyDescent="0.3">
      <c r="A3947" t="s">
        <v>0</v>
      </c>
    </row>
    <row r="3948" spans="1:1" x14ac:dyDescent="0.3">
      <c r="A3948" t="s">
        <v>0</v>
      </c>
    </row>
    <row r="3949" spans="1:1" x14ac:dyDescent="0.3">
      <c r="A3949" t="s">
        <v>0</v>
      </c>
    </row>
    <row r="3950" spans="1:1" x14ac:dyDescent="0.3">
      <c r="A3950" t="s">
        <v>0</v>
      </c>
    </row>
    <row r="3951" spans="1:1" x14ac:dyDescent="0.3">
      <c r="A3951" t="s">
        <v>0</v>
      </c>
    </row>
    <row r="3952" spans="1:1" x14ac:dyDescent="0.3">
      <c r="A3952" t="s">
        <v>0</v>
      </c>
    </row>
    <row r="3953" spans="1:1" x14ac:dyDescent="0.3">
      <c r="A3953" t="s">
        <v>0</v>
      </c>
    </row>
    <row r="3954" spans="1:1" x14ac:dyDescent="0.3">
      <c r="A3954" t="s">
        <v>0</v>
      </c>
    </row>
    <row r="3955" spans="1:1" x14ac:dyDescent="0.3">
      <c r="A3955" t="s">
        <v>0</v>
      </c>
    </row>
    <row r="3956" spans="1:1" x14ac:dyDescent="0.3">
      <c r="A3956" t="s">
        <v>0</v>
      </c>
    </row>
    <row r="3957" spans="1:1" x14ac:dyDescent="0.3">
      <c r="A3957" t="s">
        <v>0</v>
      </c>
    </row>
    <row r="3958" spans="1:1" x14ac:dyDescent="0.3">
      <c r="A3958" t="s">
        <v>0</v>
      </c>
    </row>
    <row r="3959" spans="1:1" x14ac:dyDescent="0.3">
      <c r="A3959" t="s">
        <v>0</v>
      </c>
    </row>
    <row r="3960" spans="1:1" x14ac:dyDescent="0.3">
      <c r="A3960" t="s">
        <v>0</v>
      </c>
    </row>
    <row r="3961" spans="1:1" x14ac:dyDescent="0.3">
      <c r="A3961" t="s">
        <v>0</v>
      </c>
    </row>
    <row r="3962" spans="1:1" x14ac:dyDescent="0.3">
      <c r="A3962" t="s">
        <v>0</v>
      </c>
    </row>
    <row r="3963" spans="1:1" x14ac:dyDescent="0.3">
      <c r="A3963" t="s">
        <v>0</v>
      </c>
    </row>
    <row r="3964" spans="1:1" x14ac:dyDescent="0.3">
      <c r="A3964" t="s">
        <v>0</v>
      </c>
    </row>
    <row r="3965" spans="1:1" x14ac:dyDescent="0.3">
      <c r="A3965" t="s">
        <v>0</v>
      </c>
    </row>
    <row r="3966" spans="1:1" x14ac:dyDescent="0.3">
      <c r="A3966" t="s">
        <v>0</v>
      </c>
    </row>
    <row r="3967" spans="1:1" x14ac:dyDescent="0.3">
      <c r="A3967" t="s">
        <v>0</v>
      </c>
    </row>
    <row r="3968" spans="1:1" x14ac:dyDescent="0.3">
      <c r="A3968" t="s">
        <v>0</v>
      </c>
    </row>
    <row r="3969" spans="1:1" x14ac:dyDescent="0.3">
      <c r="A3969" t="s">
        <v>0</v>
      </c>
    </row>
    <row r="3970" spans="1:1" x14ac:dyDescent="0.3">
      <c r="A3970" t="s">
        <v>0</v>
      </c>
    </row>
    <row r="3971" spans="1:1" x14ac:dyDescent="0.3">
      <c r="A3971" t="s">
        <v>0</v>
      </c>
    </row>
    <row r="3972" spans="1:1" x14ac:dyDescent="0.3">
      <c r="A3972" t="s">
        <v>0</v>
      </c>
    </row>
    <row r="3973" spans="1:1" x14ac:dyDescent="0.3">
      <c r="A3973" t="s">
        <v>0</v>
      </c>
    </row>
    <row r="3974" spans="1:1" x14ac:dyDescent="0.3">
      <c r="A3974" t="s">
        <v>0</v>
      </c>
    </row>
    <row r="3975" spans="1:1" x14ac:dyDescent="0.3">
      <c r="A3975" t="s">
        <v>0</v>
      </c>
    </row>
    <row r="3976" spans="1:1" x14ac:dyDescent="0.3">
      <c r="A3976" t="s">
        <v>0</v>
      </c>
    </row>
    <row r="3977" spans="1:1" x14ac:dyDescent="0.3">
      <c r="A3977" t="s">
        <v>0</v>
      </c>
    </row>
    <row r="3978" spans="1:1" x14ac:dyDescent="0.3">
      <c r="A3978" t="s">
        <v>0</v>
      </c>
    </row>
    <row r="3979" spans="1:1" x14ac:dyDescent="0.3">
      <c r="A3979" t="s">
        <v>0</v>
      </c>
    </row>
    <row r="3980" spans="1:1" x14ac:dyDescent="0.3">
      <c r="A3980" t="s">
        <v>0</v>
      </c>
    </row>
    <row r="3981" spans="1:1" x14ac:dyDescent="0.3">
      <c r="A3981" t="s">
        <v>0</v>
      </c>
    </row>
    <row r="3982" spans="1:1" x14ac:dyDescent="0.3">
      <c r="A3982" t="s">
        <v>0</v>
      </c>
    </row>
    <row r="3983" spans="1:1" x14ac:dyDescent="0.3">
      <c r="A3983" t="s">
        <v>0</v>
      </c>
    </row>
    <row r="3984" spans="1:1" x14ac:dyDescent="0.3">
      <c r="A3984" t="s">
        <v>0</v>
      </c>
    </row>
    <row r="3985" spans="1:1" x14ac:dyDescent="0.3">
      <c r="A3985" t="s">
        <v>0</v>
      </c>
    </row>
    <row r="3986" spans="1:1" x14ac:dyDescent="0.3">
      <c r="A3986" t="s">
        <v>0</v>
      </c>
    </row>
    <row r="3987" spans="1:1" x14ac:dyDescent="0.3">
      <c r="A3987" t="s">
        <v>0</v>
      </c>
    </row>
    <row r="3988" spans="1:1" x14ac:dyDescent="0.3">
      <c r="A3988" t="s">
        <v>0</v>
      </c>
    </row>
    <row r="3989" spans="1:1" x14ac:dyDescent="0.3">
      <c r="A3989" t="s">
        <v>0</v>
      </c>
    </row>
    <row r="3990" spans="1:1" x14ac:dyDescent="0.3">
      <c r="A3990" t="s">
        <v>0</v>
      </c>
    </row>
    <row r="3991" spans="1:1" x14ac:dyDescent="0.3">
      <c r="A3991" t="s">
        <v>0</v>
      </c>
    </row>
    <row r="3992" spans="1:1" x14ac:dyDescent="0.3">
      <c r="A3992" t="s">
        <v>0</v>
      </c>
    </row>
    <row r="3993" spans="1:1" x14ac:dyDescent="0.3">
      <c r="A3993" t="s">
        <v>0</v>
      </c>
    </row>
    <row r="3994" spans="1:1" x14ac:dyDescent="0.3">
      <c r="A3994" t="s">
        <v>0</v>
      </c>
    </row>
    <row r="3995" spans="1:1" x14ac:dyDescent="0.3">
      <c r="A3995" t="s">
        <v>0</v>
      </c>
    </row>
    <row r="3996" spans="1:1" x14ac:dyDescent="0.3">
      <c r="A3996" t="s">
        <v>0</v>
      </c>
    </row>
    <row r="3997" spans="1:1" x14ac:dyDescent="0.3">
      <c r="A3997" t="s">
        <v>0</v>
      </c>
    </row>
    <row r="3998" spans="1:1" x14ac:dyDescent="0.3">
      <c r="A3998" t="s">
        <v>0</v>
      </c>
    </row>
    <row r="3999" spans="1:1" x14ac:dyDescent="0.3">
      <c r="A3999" t="s">
        <v>0</v>
      </c>
    </row>
    <row r="4000" spans="1:1" x14ac:dyDescent="0.3">
      <c r="A4000" t="s">
        <v>0</v>
      </c>
    </row>
    <row r="4001" spans="1:1" x14ac:dyDescent="0.3">
      <c r="A4001" t="s">
        <v>0</v>
      </c>
    </row>
    <row r="4002" spans="1:1" x14ac:dyDescent="0.3">
      <c r="A4002" t="s">
        <v>0</v>
      </c>
    </row>
    <row r="4003" spans="1:1" x14ac:dyDescent="0.3">
      <c r="A4003" t="s">
        <v>0</v>
      </c>
    </row>
    <row r="4004" spans="1:1" x14ac:dyDescent="0.3">
      <c r="A4004" t="s">
        <v>0</v>
      </c>
    </row>
    <row r="4005" spans="1:1" x14ac:dyDescent="0.3">
      <c r="A4005" t="s">
        <v>0</v>
      </c>
    </row>
    <row r="4006" spans="1:1" x14ac:dyDescent="0.3">
      <c r="A4006" t="s">
        <v>0</v>
      </c>
    </row>
    <row r="4007" spans="1:1" x14ac:dyDescent="0.3">
      <c r="A4007" t="s">
        <v>0</v>
      </c>
    </row>
    <row r="4008" spans="1:1" x14ac:dyDescent="0.3">
      <c r="A4008" t="s">
        <v>0</v>
      </c>
    </row>
    <row r="4009" spans="1:1" x14ac:dyDescent="0.3">
      <c r="A4009" t="s">
        <v>0</v>
      </c>
    </row>
    <row r="4010" spans="1:1" x14ac:dyDescent="0.3">
      <c r="A4010" t="s">
        <v>0</v>
      </c>
    </row>
    <row r="4011" spans="1:1" x14ac:dyDescent="0.3">
      <c r="A4011" t="s">
        <v>0</v>
      </c>
    </row>
    <row r="4012" spans="1:1" x14ac:dyDescent="0.3">
      <c r="A4012" t="s">
        <v>0</v>
      </c>
    </row>
    <row r="4013" spans="1:1" x14ac:dyDescent="0.3">
      <c r="A4013" t="s">
        <v>0</v>
      </c>
    </row>
    <row r="4014" spans="1:1" x14ac:dyDescent="0.3">
      <c r="A4014" t="s">
        <v>0</v>
      </c>
    </row>
    <row r="4015" spans="1:1" x14ac:dyDescent="0.3">
      <c r="A4015" t="s">
        <v>0</v>
      </c>
    </row>
    <row r="4016" spans="1:1" x14ac:dyDescent="0.3">
      <c r="A4016" t="s">
        <v>0</v>
      </c>
    </row>
    <row r="4017" spans="1:1" x14ac:dyDescent="0.3">
      <c r="A4017" t="s">
        <v>0</v>
      </c>
    </row>
    <row r="4018" spans="1:1" x14ac:dyDescent="0.3">
      <c r="A4018" t="s">
        <v>0</v>
      </c>
    </row>
    <row r="4019" spans="1:1" x14ac:dyDescent="0.3">
      <c r="A4019" t="s">
        <v>0</v>
      </c>
    </row>
    <row r="4020" spans="1:1" x14ac:dyDescent="0.3">
      <c r="A4020" t="s">
        <v>0</v>
      </c>
    </row>
    <row r="4021" spans="1:1" x14ac:dyDescent="0.3">
      <c r="A4021" t="s">
        <v>0</v>
      </c>
    </row>
    <row r="4022" spans="1:1" x14ac:dyDescent="0.3">
      <c r="A4022" t="s">
        <v>0</v>
      </c>
    </row>
    <row r="4023" spans="1:1" x14ac:dyDescent="0.3">
      <c r="A4023" t="s">
        <v>0</v>
      </c>
    </row>
    <row r="4024" spans="1:1" x14ac:dyDescent="0.3">
      <c r="A4024" t="s">
        <v>0</v>
      </c>
    </row>
    <row r="4025" spans="1:1" x14ac:dyDescent="0.3">
      <c r="A4025" t="s">
        <v>0</v>
      </c>
    </row>
    <row r="4026" spans="1:1" x14ac:dyDescent="0.3">
      <c r="A4026" t="s">
        <v>0</v>
      </c>
    </row>
    <row r="4027" spans="1:1" x14ac:dyDescent="0.3">
      <c r="A4027" t="s">
        <v>0</v>
      </c>
    </row>
    <row r="4028" spans="1:1" x14ac:dyDescent="0.3">
      <c r="A4028" t="s">
        <v>0</v>
      </c>
    </row>
    <row r="4029" spans="1:1" x14ac:dyDescent="0.3">
      <c r="A4029" t="s">
        <v>0</v>
      </c>
    </row>
    <row r="4030" spans="1:1" x14ac:dyDescent="0.3">
      <c r="A4030" t="s">
        <v>0</v>
      </c>
    </row>
    <row r="4031" spans="1:1" x14ac:dyDescent="0.3">
      <c r="A4031" t="s">
        <v>0</v>
      </c>
    </row>
    <row r="4032" spans="1:1" x14ac:dyDescent="0.3">
      <c r="A4032" t="s">
        <v>0</v>
      </c>
    </row>
    <row r="4033" spans="1:1" x14ac:dyDescent="0.3">
      <c r="A4033" t="s">
        <v>0</v>
      </c>
    </row>
    <row r="4034" spans="1:1" x14ac:dyDescent="0.3">
      <c r="A4034" t="s">
        <v>0</v>
      </c>
    </row>
    <row r="4035" spans="1:1" x14ac:dyDescent="0.3">
      <c r="A4035" t="s">
        <v>0</v>
      </c>
    </row>
    <row r="4036" spans="1:1" x14ac:dyDescent="0.3">
      <c r="A4036" t="s">
        <v>0</v>
      </c>
    </row>
    <row r="4037" spans="1:1" x14ac:dyDescent="0.3">
      <c r="A4037" t="s">
        <v>0</v>
      </c>
    </row>
    <row r="4038" spans="1:1" x14ac:dyDescent="0.3">
      <c r="A4038" t="s">
        <v>0</v>
      </c>
    </row>
    <row r="4039" spans="1:1" x14ac:dyDescent="0.3">
      <c r="A4039" t="s">
        <v>0</v>
      </c>
    </row>
    <row r="4040" spans="1:1" x14ac:dyDescent="0.3">
      <c r="A4040" t="s">
        <v>0</v>
      </c>
    </row>
    <row r="4041" spans="1:1" x14ac:dyDescent="0.3">
      <c r="A4041" t="s">
        <v>0</v>
      </c>
    </row>
    <row r="4042" spans="1:1" x14ac:dyDescent="0.3">
      <c r="A4042" t="s">
        <v>0</v>
      </c>
    </row>
    <row r="4043" spans="1:1" x14ac:dyDescent="0.3">
      <c r="A4043" t="s">
        <v>0</v>
      </c>
    </row>
    <row r="4044" spans="1:1" x14ac:dyDescent="0.3">
      <c r="A4044" t="s">
        <v>0</v>
      </c>
    </row>
    <row r="4045" spans="1:1" x14ac:dyDescent="0.3">
      <c r="A4045" t="s">
        <v>0</v>
      </c>
    </row>
    <row r="4046" spans="1:1" x14ac:dyDescent="0.3">
      <c r="A4046" t="s">
        <v>0</v>
      </c>
    </row>
    <row r="4047" spans="1:1" x14ac:dyDescent="0.3">
      <c r="A4047" t="s">
        <v>0</v>
      </c>
    </row>
    <row r="4048" spans="1:1" x14ac:dyDescent="0.3">
      <c r="A4048" t="s">
        <v>0</v>
      </c>
    </row>
    <row r="4049" spans="1:1" x14ac:dyDescent="0.3">
      <c r="A4049" t="s">
        <v>0</v>
      </c>
    </row>
    <row r="4050" spans="1:1" x14ac:dyDescent="0.3">
      <c r="A4050" t="s">
        <v>0</v>
      </c>
    </row>
    <row r="4051" spans="1:1" x14ac:dyDescent="0.3">
      <c r="A4051" t="s">
        <v>0</v>
      </c>
    </row>
    <row r="4052" spans="1:1" x14ac:dyDescent="0.3">
      <c r="A4052" t="s">
        <v>0</v>
      </c>
    </row>
    <row r="4053" spans="1:1" x14ac:dyDescent="0.3">
      <c r="A4053" t="s">
        <v>0</v>
      </c>
    </row>
    <row r="4054" spans="1:1" x14ac:dyDescent="0.3">
      <c r="A4054" t="s">
        <v>0</v>
      </c>
    </row>
    <row r="4055" spans="1:1" x14ac:dyDescent="0.3">
      <c r="A4055" t="s">
        <v>0</v>
      </c>
    </row>
    <row r="4056" spans="1:1" x14ac:dyDescent="0.3">
      <c r="A4056" t="s">
        <v>0</v>
      </c>
    </row>
    <row r="4057" spans="1:1" x14ac:dyDescent="0.3">
      <c r="A4057" t="s">
        <v>0</v>
      </c>
    </row>
    <row r="4058" spans="1:1" x14ac:dyDescent="0.3">
      <c r="A4058" t="s">
        <v>0</v>
      </c>
    </row>
    <row r="4059" spans="1:1" x14ac:dyDescent="0.3">
      <c r="A4059" t="s">
        <v>0</v>
      </c>
    </row>
    <row r="4060" spans="1:1" x14ac:dyDescent="0.3">
      <c r="A4060" t="s">
        <v>0</v>
      </c>
    </row>
    <row r="4061" spans="1:1" x14ac:dyDescent="0.3">
      <c r="A4061" t="s">
        <v>0</v>
      </c>
    </row>
    <row r="4062" spans="1:1" x14ac:dyDescent="0.3">
      <c r="A4062" t="s">
        <v>0</v>
      </c>
    </row>
    <row r="4063" spans="1:1" x14ac:dyDescent="0.3">
      <c r="A4063" t="s">
        <v>0</v>
      </c>
    </row>
    <row r="4064" spans="1:1" x14ac:dyDescent="0.3">
      <c r="A4064" t="s">
        <v>0</v>
      </c>
    </row>
    <row r="4065" spans="1:1" x14ac:dyDescent="0.3">
      <c r="A4065" t="s">
        <v>0</v>
      </c>
    </row>
    <row r="4066" spans="1:1" x14ac:dyDescent="0.3">
      <c r="A4066" t="s">
        <v>0</v>
      </c>
    </row>
    <row r="4067" spans="1:1" x14ac:dyDescent="0.3">
      <c r="A4067" t="s">
        <v>0</v>
      </c>
    </row>
    <row r="4068" spans="1:1" x14ac:dyDescent="0.3">
      <c r="A4068" t="s">
        <v>0</v>
      </c>
    </row>
    <row r="4069" spans="1:1" x14ac:dyDescent="0.3">
      <c r="A4069" t="s">
        <v>0</v>
      </c>
    </row>
    <row r="4070" spans="1:1" x14ac:dyDescent="0.3">
      <c r="A4070" t="s">
        <v>0</v>
      </c>
    </row>
    <row r="4071" spans="1:1" x14ac:dyDescent="0.3">
      <c r="A4071" t="s">
        <v>0</v>
      </c>
    </row>
    <row r="4072" spans="1:1" x14ac:dyDescent="0.3">
      <c r="A4072" t="s">
        <v>0</v>
      </c>
    </row>
    <row r="4073" spans="1:1" x14ac:dyDescent="0.3">
      <c r="A4073" t="s">
        <v>0</v>
      </c>
    </row>
    <row r="4074" spans="1:1" x14ac:dyDescent="0.3">
      <c r="A4074" t="s">
        <v>0</v>
      </c>
    </row>
    <row r="4075" spans="1:1" x14ac:dyDescent="0.3">
      <c r="A4075" t="s">
        <v>0</v>
      </c>
    </row>
    <row r="4076" spans="1:1" x14ac:dyDescent="0.3">
      <c r="A4076" t="s">
        <v>0</v>
      </c>
    </row>
    <row r="4077" spans="1:1" x14ac:dyDescent="0.3">
      <c r="A4077" t="s">
        <v>0</v>
      </c>
    </row>
    <row r="4078" spans="1:1" x14ac:dyDescent="0.3">
      <c r="A4078" t="s">
        <v>0</v>
      </c>
    </row>
    <row r="4079" spans="1:1" x14ac:dyDescent="0.3">
      <c r="A4079" t="s">
        <v>0</v>
      </c>
    </row>
    <row r="4080" spans="1:1" x14ac:dyDescent="0.3">
      <c r="A4080" t="s">
        <v>0</v>
      </c>
    </row>
    <row r="4081" spans="1:1" x14ac:dyDescent="0.3">
      <c r="A4081" t="s">
        <v>0</v>
      </c>
    </row>
    <row r="4082" spans="1:1" x14ac:dyDescent="0.3">
      <c r="A4082" t="s">
        <v>0</v>
      </c>
    </row>
    <row r="4083" spans="1:1" x14ac:dyDescent="0.3">
      <c r="A4083" t="s">
        <v>0</v>
      </c>
    </row>
    <row r="4084" spans="1:1" x14ac:dyDescent="0.3">
      <c r="A4084" t="s">
        <v>0</v>
      </c>
    </row>
    <row r="4085" spans="1:1" x14ac:dyDescent="0.3">
      <c r="A4085" t="s">
        <v>0</v>
      </c>
    </row>
    <row r="4086" spans="1:1" x14ac:dyDescent="0.3">
      <c r="A4086" t="s">
        <v>0</v>
      </c>
    </row>
    <row r="4087" spans="1:1" x14ac:dyDescent="0.3">
      <c r="A4087" t="s">
        <v>0</v>
      </c>
    </row>
    <row r="4088" spans="1:1" x14ac:dyDescent="0.3">
      <c r="A4088" t="s">
        <v>0</v>
      </c>
    </row>
    <row r="4089" spans="1:1" x14ac:dyDescent="0.3">
      <c r="A4089" t="s">
        <v>0</v>
      </c>
    </row>
    <row r="4090" spans="1:1" x14ac:dyDescent="0.3">
      <c r="A4090" t="s">
        <v>0</v>
      </c>
    </row>
    <row r="4091" spans="1:1" x14ac:dyDescent="0.3">
      <c r="A4091" t="s">
        <v>0</v>
      </c>
    </row>
    <row r="4092" spans="1:1" x14ac:dyDescent="0.3">
      <c r="A4092" t="s">
        <v>0</v>
      </c>
    </row>
    <row r="4093" spans="1:1" x14ac:dyDescent="0.3">
      <c r="A4093" t="s">
        <v>0</v>
      </c>
    </row>
    <row r="4094" spans="1:1" x14ac:dyDescent="0.3">
      <c r="A4094" t="s">
        <v>0</v>
      </c>
    </row>
    <row r="4095" spans="1:1" x14ac:dyDescent="0.3">
      <c r="A4095" t="s">
        <v>0</v>
      </c>
    </row>
    <row r="4096" spans="1:1" x14ac:dyDescent="0.3">
      <c r="A4096" t="s">
        <v>0</v>
      </c>
    </row>
    <row r="4097" spans="1:1" x14ac:dyDescent="0.3">
      <c r="A4097" t="s">
        <v>0</v>
      </c>
    </row>
    <row r="4098" spans="1:1" x14ac:dyDescent="0.3">
      <c r="A4098" t="s">
        <v>0</v>
      </c>
    </row>
    <row r="4099" spans="1:1" x14ac:dyDescent="0.3">
      <c r="A4099" t="s">
        <v>0</v>
      </c>
    </row>
    <row r="4100" spans="1:1" x14ac:dyDescent="0.3">
      <c r="A4100" t="s">
        <v>0</v>
      </c>
    </row>
    <row r="4101" spans="1:1" x14ac:dyDescent="0.3">
      <c r="A4101" t="s">
        <v>0</v>
      </c>
    </row>
    <row r="4102" spans="1:1" x14ac:dyDescent="0.3">
      <c r="A4102" t="s">
        <v>0</v>
      </c>
    </row>
    <row r="4103" spans="1:1" x14ac:dyDescent="0.3">
      <c r="A4103" t="s">
        <v>0</v>
      </c>
    </row>
    <row r="4104" spans="1:1" x14ac:dyDescent="0.3">
      <c r="A4104" t="s">
        <v>0</v>
      </c>
    </row>
    <row r="4105" spans="1:1" x14ac:dyDescent="0.3">
      <c r="A4105" t="s">
        <v>0</v>
      </c>
    </row>
    <row r="4106" spans="1:1" x14ac:dyDescent="0.3">
      <c r="A4106" t="s">
        <v>0</v>
      </c>
    </row>
    <row r="4107" spans="1:1" x14ac:dyDescent="0.3">
      <c r="A4107" t="s">
        <v>0</v>
      </c>
    </row>
    <row r="4108" spans="1:1" x14ac:dyDescent="0.3">
      <c r="A4108" t="s">
        <v>0</v>
      </c>
    </row>
    <row r="4109" spans="1:1" x14ac:dyDescent="0.3">
      <c r="A4109" t="s">
        <v>0</v>
      </c>
    </row>
    <row r="4110" spans="1:1" x14ac:dyDescent="0.3">
      <c r="A4110" t="s">
        <v>0</v>
      </c>
    </row>
    <row r="4111" spans="1:1" x14ac:dyDescent="0.3">
      <c r="A4111" t="s">
        <v>0</v>
      </c>
    </row>
    <row r="4112" spans="1:1" x14ac:dyDescent="0.3">
      <c r="A4112" t="s">
        <v>0</v>
      </c>
    </row>
    <row r="4113" spans="1:1" x14ac:dyDescent="0.3">
      <c r="A4113" t="s">
        <v>0</v>
      </c>
    </row>
    <row r="4114" spans="1:1" x14ac:dyDescent="0.3">
      <c r="A4114" t="s">
        <v>0</v>
      </c>
    </row>
    <row r="4115" spans="1:1" x14ac:dyDescent="0.3">
      <c r="A4115" t="s">
        <v>0</v>
      </c>
    </row>
    <row r="4116" spans="1:1" x14ac:dyDescent="0.3">
      <c r="A4116" t="s">
        <v>0</v>
      </c>
    </row>
    <row r="4117" spans="1:1" x14ac:dyDescent="0.3">
      <c r="A4117" t="s">
        <v>0</v>
      </c>
    </row>
    <row r="4118" spans="1:1" x14ac:dyDescent="0.3">
      <c r="A4118" t="s">
        <v>0</v>
      </c>
    </row>
    <row r="4119" spans="1:1" x14ac:dyDescent="0.3">
      <c r="A4119" t="s">
        <v>0</v>
      </c>
    </row>
    <row r="4120" spans="1:1" x14ac:dyDescent="0.3">
      <c r="A4120" t="s">
        <v>0</v>
      </c>
    </row>
    <row r="4121" spans="1:1" x14ac:dyDescent="0.3">
      <c r="A4121" t="s">
        <v>0</v>
      </c>
    </row>
    <row r="4122" spans="1:1" x14ac:dyDescent="0.3">
      <c r="A4122" t="s">
        <v>0</v>
      </c>
    </row>
    <row r="4123" spans="1:1" x14ac:dyDescent="0.3">
      <c r="A4123" t="s">
        <v>0</v>
      </c>
    </row>
    <row r="4124" spans="1:1" x14ac:dyDescent="0.3">
      <c r="A4124" t="s">
        <v>0</v>
      </c>
    </row>
    <row r="4125" spans="1:1" x14ac:dyDescent="0.3">
      <c r="A4125" t="s">
        <v>0</v>
      </c>
    </row>
    <row r="4126" spans="1:1" x14ac:dyDescent="0.3">
      <c r="A4126" t="s">
        <v>0</v>
      </c>
    </row>
    <row r="4127" spans="1:1" x14ac:dyDescent="0.3">
      <c r="A4127" t="s">
        <v>0</v>
      </c>
    </row>
    <row r="4128" spans="1:1" x14ac:dyDescent="0.3">
      <c r="A4128" t="s">
        <v>0</v>
      </c>
    </row>
    <row r="4129" spans="1:1" x14ac:dyDescent="0.3">
      <c r="A4129" t="s">
        <v>0</v>
      </c>
    </row>
    <row r="4130" spans="1:1" x14ac:dyDescent="0.3">
      <c r="A4130" t="s">
        <v>0</v>
      </c>
    </row>
    <row r="4131" spans="1:1" x14ac:dyDescent="0.3">
      <c r="A4131" t="s">
        <v>0</v>
      </c>
    </row>
    <row r="4132" spans="1:1" x14ac:dyDescent="0.3">
      <c r="A4132" t="s">
        <v>0</v>
      </c>
    </row>
    <row r="4133" spans="1:1" x14ac:dyDescent="0.3">
      <c r="A4133" t="s">
        <v>0</v>
      </c>
    </row>
    <row r="4134" spans="1:1" x14ac:dyDescent="0.3">
      <c r="A4134" t="s">
        <v>0</v>
      </c>
    </row>
    <row r="4135" spans="1:1" x14ac:dyDescent="0.3">
      <c r="A4135" t="s">
        <v>0</v>
      </c>
    </row>
    <row r="4136" spans="1:1" x14ac:dyDescent="0.3">
      <c r="A4136" t="s">
        <v>0</v>
      </c>
    </row>
    <row r="4137" spans="1:1" x14ac:dyDescent="0.3">
      <c r="A4137" t="s">
        <v>0</v>
      </c>
    </row>
    <row r="4138" spans="1:1" x14ac:dyDescent="0.3">
      <c r="A4138" t="s">
        <v>0</v>
      </c>
    </row>
    <row r="4139" spans="1:1" x14ac:dyDescent="0.3">
      <c r="A4139" t="s">
        <v>0</v>
      </c>
    </row>
    <row r="4140" spans="1:1" x14ac:dyDescent="0.3">
      <c r="A4140" t="s">
        <v>0</v>
      </c>
    </row>
    <row r="4141" spans="1:1" x14ac:dyDescent="0.3">
      <c r="A4141" t="s">
        <v>0</v>
      </c>
    </row>
    <row r="4142" spans="1:1" x14ac:dyDescent="0.3">
      <c r="A4142" t="s">
        <v>0</v>
      </c>
    </row>
    <row r="4143" spans="1:1" x14ac:dyDescent="0.3">
      <c r="A4143" t="s">
        <v>0</v>
      </c>
    </row>
    <row r="4144" spans="1:1" x14ac:dyDescent="0.3">
      <c r="A4144" t="s">
        <v>0</v>
      </c>
    </row>
    <row r="4145" spans="1:1" x14ac:dyDescent="0.3">
      <c r="A4145" t="s">
        <v>0</v>
      </c>
    </row>
    <row r="4146" spans="1:1" x14ac:dyDescent="0.3">
      <c r="A4146" t="s">
        <v>0</v>
      </c>
    </row>
    <row r="4147" spans="1:1" x14ac:dyDescent="0.3">
      <c r="A4147" t="s">
        <v>0</v>
      </c>
    </row>
    <row r="4148" spans="1:1" x14ac:dyDescent="0.3">
      <c r="A4148" t="s">
        <v>0</v>
      </c>
    </row>
    <row r="4149" spans="1:1" x14ac:dyDescent="0.3">
      <c r="A4149" t="s">
        <v>0</v>
      </c>
    </row>
    <row r="4150" spans="1:1" x14ac:dyDescent="0.3">
      <c r="A4150" t="s">
        <v>0</v>
      </c>
    </row>
    <row r="4151" spans="1:1" x14ac:dyDescent="0.3">
      <c r="A4151" t="s">
        <v>0</v>
      </c>
    </row>
    <row r="4152" spans="1:1" x14ac:dyDescent="0.3">
      <c r="A4152" t="s">
        <v>0</v>
      </c>
    </row>
    <row r="4153" spans="1:1" x14ac:dyDescent="0.3">
      <c r="A4153" t="s">
        <v>0</v>
      </c>
    </row>
    <row r="4154" spans="1:1" x14ac:dyDescent="0.3">
      <c r="A4154" t="s">
        <v>0</v>
      </c>
    </row>
    <row r="4155" spans="1:1" x14ac:dyDescent="0.3">
      <c r="A4155" t="s">
        <v>0</v>
      </c>
    </row>
    <row r="4156" spans="1:1" x14ac:dyDescent="0.3">
      <c r="A4156" t="s">
        <v>0</v>
      </c>
    </row>
    <row r="4157" spans="1:1" x14ac:dyDescent="0.3">
      <c r="A4157" t="s">
        <v>0</v>
      </c>
    </row>
    <row r="4158" spans="1:1" x14ac:dyDescent="0.3">
      <c r="A4158" t="s">
        <v>0</v>
      </c>
    </row>
    <row r="4159" spans="1:1" x14ac:dyDescent="0.3">
      <c r="A4159" t="s">
        <v>0</v>
      </c>
    </row>
    <row r="4160" spans="1:1" x14ac:dyDescent="0.3">
      <c r="A4160" t="s">
        <v>0</v>
      </c>
    </row>
    <row r="4161" spans="1:1" x14ac:dyDescent="0.3">
      <c r="A4161" t="s">
        <v>0</v>
      </c>
    </row>
    <row r="4162" spans="1:1" x14ac:dyDescent="0.3">
      <c r="A4162" t="s">
        <v>0</v>
      </c>
    </row>
    <row r="4163" spans="1:1" x14ac:dyDescent="0.3">
      <c r="A4163" t="s">
        <v>0</v>
      </c>
    </row>
    <row r="4164" spans="1:1" x14ac:dyDescent="0.3">
      <c r="A4164" t="s">
        <v>0</v>
      </c>
    </row>
    <row r="4165" spans="1:1" x14ac:dyDescent="0.3">
      <c r="A4165" t="s">
        <v>0</v>
      </c>
    </row>
    <row r="4166" spans="1:1" x14ac:dyDescent="0.3">
      <c r="A4166" t="s">
        <v>0</v>
      </c>
    </row>
    <row r="4167" spans="1:1" x14ac:dyDescent="0.3">
      <c r="A4167" t="s">
        <v>0</v>
      </c>
    </row>
    <row r="4168" spans="1:1" x14ac:dyDescent="0.3">
      <c r="A4168" t="s">
        <v>0</v>
      </c>
    </row>
    <row r="4169" spans="1:1" x14ac:dyDescent="0.3">
      <c r="A4169" t="s">
        <v>0</v>
      </c>
    </row>
    <row r="4170" spans="1:1" x14ac:dyDescent="0.3">
      <c r="A4170" t="s">
        <v>0</v>
      </c>
    </row>
    <row r="4171" spans="1:1" x14ac:dyDescent="0.3">
      <c r="A4171" t="s">
        <v>0</v>
      </c>
    </row>
    <row r="4172" spans="1:1" x14ac:dyDescent="0.3">
      <c r="A4172" t="s">
        <v>0</v>
      </c>
    </row>
    <row r="4173" spans="1:1" x14ac:dyDescent="0.3">
      <c r="A4173" t="s">
        <v>0</v>
      </c>
    </row>
    <row r="4174" spans="1:1" x14ac:dyDescent="0.3">
      <c r="A4174" t="s">
        <v>0</v>
      </c>
    </row>
    <row r="4175" spans="1:1" x14ac:dyDescent="0.3">
      <c r="A4175" t="s">
        <v>0</v>
      </c>
    </row>
    <row r="4176" spans="1:1" x14ac:dyDescent="0.3">
      <c r="A4176" t="s">
        <v>0</v>
      </c>
    </row>
    <row r="4177" spans="1:1" x14ac:dyDescent="0.3">
      <c r="A4177" t="s">
        <v>0</v>
      </c>
    </row>
    <row r="4178" spans="1:1" x14ac:dyDescent="0.3">
      <c r="A4178" t="s">
        <v>0</v>
      </c>
    </row>
    <row r="4179" spans="1:1" x14ac:dyDescent="0.3">
      <c r="A4179" t="s">
        <v>0</v>
      </c>
    </row>
    <row r="4180" spans="1:1" x14ac:dyDescent="0.3">
      <c r="A4180" t="s">
        <v>0</v>
      </c>
    </row>
    <row r="4181" spans="1:1" x14ac:dyDescent="0.3">
      <c r="A4181" t="s">
        <v>0</v>
      </c>
    </row>
    <row r="4182" spans="1:1" x14ac:dyDescent="0.3">
      <c r="A4182" t="s">
        <v>0</v>
      </c>
    </row>
    <row r="4183" spans="1:1" x14ac:dyDescent="0.3">
      <c r="A4183" t="s">
        <v>0</v>
      </c>
    </row>
    <row r="4184" spans="1:1" x14ac:dyDescent="0.3">
      <c r="A4184" t="s">
        <v>0</v>
      </c>
    </row>
    <row r="4185" spans="1:1" x14ac:dyDescent="0.3">
      <c r="A4185" t="s">
        <v>0</v>
      </c>
    </row>
    <row r="4186" spans="1:1" x14ac:dyDescent="0.3">
      <c r="A4186" t="s">
        <v>0</v>
      </c>
    </row>
    <row r="4187" spans="1:1" x14ac:dyDescent="0.3">
      <c r="A4187" t="s">
        <v>0</v>
      </c>
    </row>
    <row r="4188" spans="1:1" x14ac:dyDescent="0.3">
      <c r="A4188" t="s">
        <v>0</v>
      </c>
    </row>
    <row r="4189" spans="1:1" x14ac:dyDescent="0.3">
      <c r="A4189" t="s">
        <v>0</v>
      </c>
    </row>
    <row r="4190" spans="1:1" x14ac:dyDescent="0.3">
      <c r="A4190" t="s">
        <v>0</v>
      </c>
    </row>
    <row r="4191" spans="1:1" x14ac:dyDescent="0.3">
      <c r="A4191" t="s">
        <v>0</v>
      </c>
    </row>
    <row r="4192" spans="1:1" x14ac:dyDescent="0.3">
      <c r="A4192" t="s">
        <v>0</v>
      </c>
    </row>
    <row r="4193" spans="1:1" x14ac:dyDescent="0.3">
      <c r="A4193" t="s">
        <v>0</v>
      </c>
    </row>
    <row r="4194" spans="1:1" x14ac:dyDescent="0.3">
      <c r="A4194" t="s">
        <v>0</v>
      </c>
    </row>
    <row r="4195" spans="1:1" x14ac:dyDescent="0.3">
      <c r="A4195" t="s">
        <v>0</v>
      </c>
    </row>
    <row r="4196" spans="1:1" x14ac:dyDescent="0.3">
      <c r="A4196" t="s">
        <v>0</v>
      </c>
    </row>
    <row r="4197" spans="1:1" x14ac:dyDescent="0.3">
      <c r="A4197" t="s">
        <v>0</v>
      </c>
    </row>
    <row r="4198" spans="1:1" x14ac:dyDescent="0.3">
      <c r="A4198" t="s">
        <v>0</v>
      </c>
    </row>
    <row r="4199" spans="1:1" x14ac:dyDescent="0.3">
      <c r="A4199" t="s">
        <v>0</v>
      </c>
    </row>
    <row r="4200" spans="1:1" x14ac:dyDescent="0.3">
      <c r="A4200" t="s">
        <v>0</v>
      </c>
    </row>
    <row r="4201" spans="1:1" x14ac:dyDescent="0.3">
      <c r="A4201" t="s">
        <v>0</v>
      </c>
    </row>
    <row r="4202" spans="1:1" x14ac:dyDescent="0.3">
      <c r="A4202" t="s">
        <v>0</v>
      </c>
    </row>
    <row r="4203" spans="1:1" x14ac:dyDescent="0.3">
      <c r="A4203" t="s">
        <v>0</v>
      </c>
    </row>
    <row r="4204" spans="1:1" x14ac:dyDescent="0.3">
      <c r="A4204" t="s">
        <v>0</v>
      </c>
    </row>
    <row r="4205" spans="1:1" x14ac:dyDescent="0.3">
      <c r="A4205" t="s">
        <v>0</v>
      </c>
    </row>
    <row r="4206" spans="1:1" x14ac:dyDescent="0.3">
      <c r="A4206" t="s">
        <v>0</v>
      </c>
    </row>
    <row r="4207" spans="1:1" x14ac:dyDescent="0.3">
      <c r="A4207" t="s">
        <v>0</v>
      </c>
    </row>
    <row r="4208" spans="1:1" x14ac:dyDescent="0.3">
      <c r="A4208" t="s">
        <v>0</v>
      </c>
    </row>
    <row r="4209" spans="1:1" x14ac:dyDescent="0.3">
      <c r="A4209" t="s">
        <v>0</v>
      </c>
    </row>
    <row r="4210" spans="1:1" x14ac:dyDescent="0.3">
      <c r="A4210" t="s">
        <v>0</v>
      </c>
    </row>
    <row r="4211" spans="1:1" x14ac:dyDescent="0.3">
      <c r="A4211" t="s">
        <v>0</v>
      </c>
    </row>
    <row r="4212" spans="1:1" x14ac:dyDescent="0.3">
      <c r="A4212" t="s">
        <v>0</v>
      </c>
    </row>
    <row r="4213" spans="1:1" x14ac:dyDescent="0.3">
      <c r="A4213" t="s">
        <v>0</v>
      </c>
    </row>
    <row r="4214" spans="1:1" x14ac:dyDescent="0.3">
      <c r="A4214" t="s">
        <v>0</v>
      </c>
    </row>
    <row r="4215" spans="1:1" x14ac:dyDescent="0.3">
      <c r="A4215" t="s">
        <v>0</v>
      </c>
    </row>
    <row r="4216" spans="1:1" x14ac:dyDescent="0.3">
      <c r="A4216" t="s">
        <v>0</v>
      </c>
    </row>
    <row r="4217" spans="1:1" x14ac:dyDescent="0.3">
      <c r="A4217" t="s">
        <v>0</v>
      </c>
    </row>
    <row r="4218" spans="1:1" x14ac:dyDescent="0.3">
      <c r="A4218" t="s">
        <v>0</v>
      </c>
    </row>
    <row r="4219" spans="1:1" x14ac:dyDescent="0.3">
      <c r="A4219" t="s">
        <v>0</v>
      </c>
    </row>
    <row r="4220" spans="1:1" x14ac:dyDescent="0.3">
      <c r="A4220" t="s">
        <v>0</v>
      </c>
    </row>
    <row r="4221" spans="1:1" x14ac:dyDescent="0.3">
      <c r="A4221" t="s">
        <v>0</v>
      </c>
    </row>
    <row r="4222" spans="1:1" x14ac:dyDescent="0.3">
      <c r="A4222" t="s">
        <v>0</v>
      </c>
    </row>
    <row r="4223" spans="1:1" x14ac:dyDescent="0.3">
      <c r="A4223" t="s">
        <v>0</v>
      </c>
    </row>
    <row r="4224" spans="1:1" x14ac:dyDescent="0.3">
      <c r="A4224" t="s">
        <v>0</v>
      </c>
    </row>
    <row r="4225" spans="1:1" x14ac:dyDescent="0.3">
      <c r="A4225" t="s">
        <v>0</v>
      </c>
    </row>
    <row r="4226" spans="1:1" x14ac:dyDescent="0.3">
      <c r="A4226" t="s">
        <v>0</v>
      </c>
    </row>
    <row r="4227" spans="1:1" x14ac:dyDescent="0.3">
      <c r="A4227" t="s">
        <v>0</v>
      </c>
    </row>
    <row r="4228" spans="1:1" x14ac:dyDescent="0.3">
      <c r="A4228" t="s">
        <v>0</v>
      </c>
    </row>
    <row r="4229" spans="1:1" x14ac:dyDescent="0.3">
      <c r="A4229" t="s">
        <v>0</v>
      </c>
    </row>
    <row r="4230" spans="1:1" x14ac:dyDescent="0.3">
      <c r="A4230" t="s">
        <v>0</v>
      </c>
    </row>
    <row r="4231" spans="1:1" x14ac:dyDescent="0.3">
      <c r="A4231" t="s">
        <v>0</v>
      </c>
    </row>
    <row r="4232" spans="1:1" x14ac:dyDescent="0.3">
      <c r="A4232" t="s">
        <v>0</v>
      </c>
    </row>
    <row r="4233" spans="1:1" x14ac:dyDescent="0.3">
      <c r="A4233" t="s">
        <v>0</v>
      </c>
    </row>
    <row r="4234" spans="1:1" x14ac:dyDescent="0.3">
      <c r="A4234" t="s">
        <v>0</v>
      </c>
    </row>
    <row r="4235" spans="1:1" x14ac:dyDescent="0.3">
      <c r="A4235" t="s">
        <v>0</v>
      </c>
    </row>
    <row r="4236" spans="1:1" x14ac:dyDescent="0.3">
      <c r="A4236" t="s">
        <v>0</v>
      </c>
    </row>
    <row r="4237" spans="1:1" x14ac:dyDescent="0.3">
      <c r="A4237" t="s">
        <v>0</v>
      </c>
    </row>
    <row r="4238" spans="1:1" x14ac:dyDescent="0.3">
      <c r="A4238" t="s">
        <v>0</v>
      </c>
    </row>
    <row r="4239" spans="1:1" x14ac:dyDescent="0.3">
      <c r="A4239" t="s">
        <v>0</v>
      </c>
    </row>
    <row r="4240" spans="1:1" x14ac:dyDescent="0.3">
      <c r="A4240" t="s">
        <v>0</v>
      </c>
    </row>
    <row r="4241" spans="1:1" x14ac:dyDescent="0.3">
      <c r="A4241" t="s">
        <v>0</v>
      </c>
    </row>
    <row r="4242" spans="1:1" x14ac:dyDescent="0.3">
      <c r="A4242" t="s">
        <v>0</v>
      </c>
    </row>
    <row r="4243" spans="1:1" x14ac:dyDescent="0.3">
      <c r="A4243" t="s">
        <v>0</v>
      </c>
    </row>
    <row r="4244" spans="1:1" x14ac:dyDescent="0.3">
      <c r="A4244" t="s">
        <v>0</v>
      </c>
    </row>
    <row r="4245" spans="1:1" x14ac:dyDescent="0.3">
      <c r="A4245" t="s">
        <v>0</v>
      </c>
    </row>
    <row r="4246" spans="1:1" x14ac:dyDescent="0.3">
      <c r="A4246" t="s">
        <v>0</v>
      </c>
    </row>
    <row r="4247" spans="1:1" x14ac:dyDescent="0.3">
      <c r="A4247" t="s">
        <v>0</v>
      </c>
    </row>
    <row r="4248" spans="1:1" x14ac:dyDescent="0.3">
      <c r="A4248" t="s">
        <v>0</v>
      </c>
    </row>
    <row r="4249" spans="1:1" x14ac:dyDescent="0.3">
      <c r="A4249" t="s">
        <v>0</v>
      </c>
    </row>
    <row r="4250" spans="1:1" x14ac:dyDescent="0.3">
      <c r="A4250" t="s">
        <v>0</v>
      </c>
    </row>
    <row r="4251" spans="1:1" x14ac:dyDescent="0.3">
      <c r="A4251" t="s">
        <v>0</v>
      </c>
    </row>
    <row r="4252" spans="1:1" x14ac:dyDescent="0.3">
      <c r="A4252" t="s">
        <v>0</v>
      </c>
    </row>
    <row r="4253" spans="1:1" x14ac:dyDescent="0.3">
      <c r="A4253" t="s">
        <v>0</v>
      </c>
    </row>
    <row r="4254" spans="1:1" x14ac:dyDescent="0.3">
      <c r="A4254" t="s">
        <v>0</v>
      </c>
    </row>
    <row r="4255" spans="1:1" x14ac:dyDescent="0.3">
      <c r="A4255" t="s">
        <v>0</v>
      </c>
    </row>
    <row r="4256" spans="1:1" x14ac:dyDescent="0.3">
      <c r="A4256" t="s">
        <v>0</v>
      </c>
    </row>
    <row r="4257" spans="1:1" x14ac:dyDescent="0.3">
      <c r="A4257" t="s">
        <v>0</v>
      </c>
    </row>
    <row r="4258" spans="1:1" x14ac:dyDescent="0.3">
      <c r="A4258" t="s">
        <v>0</v>
      </c>
    </row>
    <row r="4259" spans="1:1" x14ac:dyDescent="0.3">
      <c r="A4259" t="s">
        <v>0</v>
      </c>
    </row>
    <row r="4260" spans="1:1" x14ac:dyDescent="0.3">
      <c r="A4260" t="s">
        <v>0</v>
      </c>
    </row>
    <row r="4261" spans="1:1" x14ac:dyDescent="0.3">
      <c r="A4261" t="s">
        <v>0</v>
      </c>
    </row>
    <row r="4262" spans="1:1" x14ac:dyDescent="0.3">
      <c r="A4262" t="s">
        <v>0</v>
      </c>
    </row>
    <row r="4263" spans="1:1" x14ac:dyDescent="0.3">
      <c r="A4263" t="s">
        <v>0</v>
      </c>
    </row>
    <row r="4264" spans="1:1" x14ac:dyDescent="0.3">
      <c r="A4264" t="s">
        <v>0</v>
      </c>
    </row>
    <row r="4265" spans="1:1" x14ac:dyDescent="0.3">
      <c r="A4265" t="s">
        <v>0</v>
      </c>
    </row>
    <row r="4266" spans="1:1" x14ac:dyDescent="0.3">
      <c r="A4266" t="s">
        <v>0</v>
      </c>
    </row>
    <row r="4267" spans="1:1" x14ac:dyDescent="0.3">
      <c r="A4267" t="s">
        <v>0</v>
      </c>
    </row>
    <row r="4268" spans="1:1" x14ac:dyDescent="0.3">
      <c r="A4268" t="s">
        <v>0</v>
      </c>
    </row>
    <row r="4269" spans="1:1" x14ac:dyDescent="0.3">
      <c r="A4269" t="s">
        <v>0</v>
      </c>
    </row>
    <row r="4270" spans="1:1" x14ac:dyDescent="0.3">
      <c r="A4270" t="s">
        <v>0</v>
      </c>
    </row>
    <row r="4271" spans="1:1" x14ac:dyDescent="0.3">
      <c r="A4271" t="s">
        <v>0</v>
      </c>
    </row>
    <row r="4272" spans="1:1" x14ac:dyDescent="0.3">
      <c r="A4272" t="s">
        <v>0</v>
      </c>
    </row>
    <row r="4273" spans="1:1" x14ac:dyDescent="0.3">
      <c r="A4273" t="s">
        <v>0</v>
      </c>
    </row>
    <row r="4274" spans="1:1" x14ac:dyDescent="0.3">
      <c r="A4274" t="s">
        <v>0</v>
      </c>
    </row>
    <row r="4275" spans="1:1" x14ac:dyDescent="0.3">
      <c r="A4275" t="s">
        <v>0</v>
      </c>
    </row>
    <row r="4276" spans="1:1" x14ac:dyDescent="0.3">
      <c r="A4276" t="s">
        <v>0</v>
      </c>
    </row>
    <row r="4277" spans="1:1" x14ac:dyDescent="0.3">
      <c r="A4277" t="s">
        <v>0</v>
      </c>
    </row>
    <row r="4278" spans="1:1" x14ac:dyDescent="0.3">
      <c r="A4278" t="s">
        <v>0</v>
      </c>
    </row>
    <row r="4279" spans="1:1" x14ac:dyDescent="0.3">
      <c r="A4279" t="s">
        <v>0</v>
      </c>
    </row>
    <row r="4280" spans="1:1" x14ac:dyDescent="0.3">
      <c r="A4280" t="s">
        <v>0</v>
      </c>
    </row>
    <row r="4281" spans="1:1" x14ac:dyDescent="0.3">
      <c r="A4281" t="s">
        <v>0</v>
      </c>
    </row>
    <row r="4282" spans="1:1" x14ac:dyDescent="0.3">
      <c r="A4282" t="s">
        <v>0</v>
      </c>
    </row>
    <row r="4283" spans="1:1" x14ac:dyDescent="0.3">
      <c r="A4283" t="s">
        <v>0</v>
      </c>
    </row>
    <row r="4284" spans="1:1" x14ac:dyDescent="0.3">
      <c r="A4284" t="s">
        <v>0</v>
      </c>
    </row>
    <row r="4285" spans="1:1" x14ac:dyDescent="0.3">
      <c r="A4285" t="s">
        <v>0</v>
      </c>
    </row>
    <row r="4286" spans="1:1" x14ac:dyDescent="0.3">
      <c r="A4286" t="s">
        <v>0</v>
      </c>
    </row>
    <row r="4287" spans="1:1" x14ac:dyDescent="0.3">
      <c r="A4287" t="s">
        <v>0</v>
      </c>
    </row>
    <row r="4288" spans="1:1" x14ac:dyDescent="0.3">
      <c r="A4288" t="s">
        <v>0</v>
      </c>
    </row>
    <row r="4289" spans="1:1" x14ac:dyDescent="0.3">
      <c r="A4289" t="s">
        <v>0</v>
      </c>
    </row>
    <row r="4290" spans="1:1" x14ac:dyDescent="0.3">
      <c r="A4290" t="s">
        <v>0</v>
      </c>
    </row>
    <row r="4291" spans="1:1" x14ac:dyDescent="0.3">
      <c r="A4291" t="s">
        <v>0</v>
      </c>
    </row>
    <row r="4292" spans="1:1" x14ac:dyDescent="0.3">
      <c r="A4292" t="s">
        <v>0</v>
      </c>
    </row>
    <row r="4293" spans="1:1" x14ac:dyDescent="0.3">
      <c r="A4293" t="s">
        <v>0</v>
      </c>
    </row>
    <row r="4294" spans="1:1" x14ac:dyDescent="0.3">
      <c r="A4294" t="s">
        <v>0</v>
      </c>
    </row>
    <row r="4295" spans="1:1" x14ac:dyDescent="0.3">
      <c r="A4295" t="s">
        <v>0</v>
      </c>
    </row>
    <row r="4296" spans="1:1" x14ac:dyDescent="0.3">
      <c r="A4296" t="s">
        <v>0</v>
      </c>
    </row>
    <row r="4297" spans="1:1" x14ac:dyDescent="0.3">
      <c r="A4297" t="s">
        <v>0</v>
      </c>
    </row>
    <row r="4298" spans="1:1" x14ac:dyDescent="0.3">
      <c r="A4298" t="s">
        <v>0</v>
      </c>
    </row>
    <row r="4299" spans="1:1" x14ac:dyDescent="0.3">
      <c r="A4299" t="s">
        <v>0</v>
      </c>
    </row>
    <row r="4300" spans="1:1" x14ac:dyDescent="0.3">
      <c r="A4300" t="s">
        <v>0</v>
      </c>
    </row>
    <row r="4301" spans="1:1" x14ac:dyDescent="0.3">
      <c r="A4301" t="s">
        <v>0</v>
      </c>
    </row>
    <row r="4302" spans="1:1" x14ac:dyDescent="0.3">
      <c r="A4302" t="s">
        <v>0</v>
      </c>
    </row>
    <row r="4303" spans="1:1" x14ac:dyDescent="0.3">
      <c r="A4303" t="s">
        <v>0</v>
      </c>
    </row>
    <row r="4304" spans="1:1" x14ac:dyDescent="0.3">
      <c r="A4304" t="s">
        <v>0</v>
      </c>
    </row>
    <row r="4305" spans="1:1" x14ac:dyDescent="0.3">
      <c r="A4305" t="s">
        <v>0</v>
      </c>
    </row>
    <row r="4306" spans="1:1" x14ac:dyDescent="0.3">
      <c r="A4306" t="s">
        <v>0</v>
      </c>
    </row>
    <row r="4307" spans="1:1" x14ac:dyDescent="0.3">
      <c r="A4307" t="s">
        <v>0</v>
      </c>
    </row>
    <row r="4308" spans="1:1" x14ac:dyDescent="0.3">
      <c r="A4308" t="s">
        <v>0</v>
      </c>
    </row>
    <row r="4309" spans="1:1" x14ac:dyDescent="0.3">
      <c r="A4309" t="s">
        <v>0</v>
      </c>
    </row>
    <row r="4310" spans="1:1" x14ac:dyDescent="0.3">
      <c r="A4310" t="s">
        <v>0</v>
      </c>
    </row>
    <row r="4311" spans="1:1" x14ac:dyDescent="0.3">
      <c r="A4311" t="s">
        <v>0</v>
      </c>
    </row>
    <row r="4312" spans="1:1" x14ac:dyDescent="0.3">
      <c r="A4312" t="s">
        <v>0</v>
      </c>
    </row>
    <row r="4313" spans="1:1" x14ac:dyDescent="0.3">
      <c r="A4313" t="s">
        <v>0</v>
      </c>
    </row>
    <row r="4314" spans="1:1" x14ac:dyDescent="0.3">
      <c r="A4314" t="s">
        <v>0</v>
      </c>
    </row>
    <row r="4315" spans="1:1" x14ac:dyDescent="0.3">
      <c r="A4315" t="s">
        <v>0</v>
      </c>
    </row>
    <row r="4316" spans="1:1" x14ac:dyDescent="0.3">
      <c r="A4316" t="s">
        <v>0</v>
      </c>
    </row>
    <row r="4317" spans="1:1" x14ac:dyDescent="0.3">
      <c r="A4317" t="s">
        <v>0</v>
      </c>
    </row>
    <row r="4318" spans="1:1" x14ac:dyDescent="0.3">
      <c r="A4318" t="s">
        <v>0</v>
      </c>
    </row>
    <row r="4319" spans="1:1" x14ac:dyDescent="0.3">
      <c r="A4319" t="s">
        <v>0</v>
      </c>
    </row>
    <row r="4320" spans="1:1" x14ac:dyDescent="0.3">
      <c r="A4320" t="s">
        <v>0</v>
      </c>
    </row>
    <row r="4321" spans="1:1" x14ac:dyDescent="0.3">
      <c r="A4321" t="s">
        <v>0</v>
      </c>
    </row>
    <row r="4322" spans="1:1" x14ac:dyDescent="0.3">
      <c r="A4322" t="s">
        <v>0</v>
      </c>
    </row>
    <row r="4323" spans="1:1" x14ac:dyDescent="0.3">
      <c r="A4323" t="s">
        <v>0</v>
      </c>
    </row>
    <row r="4324" spans="1:1" x14ac:dyDescent="0.3">
      <c r="A4324" t="s">
        <v>0</v>
      </c>
    </row>
    <row r="4325" spans="1:1" x14ac:dyDescent="0.3">
      <c r="A4325" t="s">
        <v>0</v>
      </c>
    </row>
    <row r="4326" spans="1:1" x14ac:dyDescent="0.3">
      <c r="A4326" t="s">
        <v>0</v>
      </c>
    </row>
    <row r="4327" spans="1:1" x14ac:dyDescent="0.3">
      <c r="A4327" t="s">
        <v>0</v>
      </c>
    </row>
    <row r="4328" spans="1:1" x14ac:dyDescent="0.3">
      <c r="A4328" t="s">
        <v>0</v>
      </c>
    </row>
    <row r="4329" spans="1:1" x14ac:dyDescent="0.3">
      <c r="A4329" t="s">
        <v>0</v>
      </c>
    </row>
    <row r="4330" spans="1:1" x14ac:dyDescent="0.3">
      <c r="A4330" t="s">
        <v>0</v>
      </c>
    </row>
    <row r="4331" spans="1:1" x14ac:dyDescent="0.3">
      <c r="A4331" t="s">
        <v>0</v>
      </c>
    </row>
    <row r="4332" spans="1:1" x14ac:dyDescent="0.3">
      <c r="A4332" t="s">
        <v>0</v>
      </c>
    </row>
    <row r="4333" spans="1:1" x14ac:dyDescent="0.3">
      <c r="A4333" t="s">
        <v>0</v>
      </c>
    </row>
    <row r="4334" spans="1:1" x14ac:dyDescent="0.3">
      <c r="A4334" t="s">
        <v>0</v>
      </c>
    </row>
    <row r="4335" spans="1:1" x14ac:dyDescent="0.3">
      <c r="A4335" t="s">
        <v>0</v>
      </c>
    </row>
    <row r="4336" spans="1:1" x14ac:dyDescent="0.3">
      <c r="A4336" t="s">
        <v>0</v>
      </c>
    </row>
    <row r="4337" spans="1:1" x14ac:dyDescent="0.3">
      <c r="A4337" t="s">
        <v>0</v>
      </c>
    </row>
    <row r="4338" spans="1:1" x14ac:dyDescent="0.3">
      <c r="A4338" t="s">
        <v>0</v>
      </c>
    </row>
    <row r="4339" spans="1:1" x14ac:dyDescent="0.3">
      <c r="A4339" t="s">
        <v>0</v>
      </c>
    </row>
    <row r="4340" spans="1:1" x14ac:dyDescent="0.3">
      <c r="A4340" t="s">
        <v>0</v>
      </c>
    </row>
    <row r="4341" spans="1:1" x14ac:dyDescent="0.3">
      <c r="A4341" t="s">
        <v>0</v>
      </c>
    </row>
    <row r="4342" spans="1:1" x14ac:dyDescent="0.3">
      <c r="A4342" t="s">
        <v>0</v>
      </c>
    </row>
    <row r="4343" spans="1:1" x14ac:dyDescent="0.3">
      <c r="A4343" t="s">
        <v>0</v>
      </c>
    </row>
    <row r="4344" spans="1:1" x14ac:dyDescent="0.3">
      <c r="A4344" t="s">
        <v>0</v>
      </c>
    </row>
    <row r="4345" spans="1:1" x14ac:dyDescent="0.3">
      <c r="A4345" t="s">
        <v>0</v>
      </c>
    </row>
    <row r="4346" spans="1:1" x14ac:dyDescent="0.3">
      <c r="A4346" t="s">
        <v>0</v>
      </c>
    </row>
    <row r="4347" spans="1:1" x14ac:dyDescent="0.3">
      <c r="A4347" t="s">
        <v>0</v>
      </c>
    </row>
    <row r="4348" spans="1:1" x14ac:dyDescent="0.3">
      <c r="A4348" t="s">
        <v>0</v>
      </c>
    </row>
    <row r="4349" spans="1:1" x14ac:dyDescent="0.3">
      <c r="A4349" t="s">
        <v>0</v>
      </c>
    </row>
    <row r="4350" spans="1:1" x14ac:dyDescent="0.3">
      <c r="A4350" t="s">
        <v>0</v>
      </c>
    </row>
    <row r="4351" spans="1:1" x14ac:dyDescent="0.3">
      <c r="A4351" t="s">
        <v>0</v>
      </c>
    </row>
    <row r="4352" spans="1:1" x14ac:dyDescent="0.3">
      <c r="A4352" t="s">
        <v>0</v>
      </c>
    </row>
    <row r="4353" spans="1:1" x14ac:dyDescent="0.3">
      <c r="A4353" t="s">
        <v>0</v>
      </c>
    </row>
    <row r="4354" spans="1:1" x14ac:dyDescent="0.3">
      <c r="A4354" t="s">
        <v>0</v>
      </c>
    </row>
    <row r="4355" spans="1:1" x14ac:dyDescent="0.3">
      <c r="A4355" t="s">
        <v>0</v>
      </c>
    </row>
    <row r="4356" spans="1:1" x14ac:dyDescent="0.3">
      <c r="A4356" t="s">
        <v>0</v>
      </c>
    </row>
    <row r="4357" spans="1:1" x14ac:dyDescent="0.3">
      <c r="A4357" t="s">
        <v>0</v>
      </c>
    </row>
    <row r="4358" spans="1:1" x14ac:dyDescent="0.3">
      <c r="A4358" t="s">
        <v>0</v>
      </c>
    </row>
    <row r="4359" spans="1:1" x14ac:dyDescent="0.3">
      <c r="A4359" t="s">
        <v>0</v>
      </c>
    </row>
    <row r="4360" spans="1:1" x14ac:dyDescent="0.3">
      <c r="A4360" t="s">
        <v>0</v>
      </c>
    </row>
    <row r="4361" spans="1:1" x14ac:dyDescent="0.3">
      <c r="A4361" t="s">
        <v>0</v>
      </c>
    </row>
    <row r="4362" spans="1:1" x14ac:dyDescent="0.3">
      <c r="A4362" t="s">
        <v>0</v>
      </c>
    </row>
    <row r="4363" spans="1:1" x14ac:dyDescent="0.3">
      <c r="A4363" t="s">
        <v>0</v>
      </c>
    </row>
    <row r="4364" spans="1:1" x14ac:dyDescent="0.3">
      <c r="A4364" t="s">
        <v>0</v>
      </c>
    </row>
    <row r="4365" spans="1:1" x14ac:dyDescent="0.3">
      <c r="A4365" t="s">
        <v>0</v>
      </c>
    </row>
    <row r="4366" spans="1:1" x14ac:dyDescent="0.3">
      <c r="A4366" t="s">
        <v>0</v>
      </c>
    </row>
    <row r="4367" spans="1:1" x14ac:dyDescent="0.3">
      <c r="A4367" t="s">
        <v>0</v>
      </c>
    </row>
    <row r="4368" spans="1:1" x14ac:dyDescent="0.3">
      <c r="A4368" t="s">
        <v>0</v>
      </c>
    </row>
    <row r="4369" spans="1:1" x14ac:dyDescent="0.3">
      <c r="A4369" t="s">
        <v>0</v>
      </c>
    </row>
    <row r="4370" spans="1:1" x14ac:dyDescent="0.3">
      <c r="A4370" t="s">
        <v>0</v>
      </c>
    </row>
    <row r="4371" spans="1:1" x14ac:dyDescent="0.3">
      <c r="A4371" t="s">
        <v>0</v>
      </c>
    </row>
    <row r="4372" spans="1:1" x14ac:dyDescent="0.3">
      <c r="A4372" t="s">
        <v>0</v>
      </c>
    </row>
    <row r="4373" spans="1:1" x14ac:dyDescent="0.3">
      <c r="A4373" t="s">
        <v>0</v>
      </c>
    </row>
    <row r="4374" spans="1:1" x14ac:dyDescent="0.3">
      <c r="A4374" t="s">
        <v>0</v>
      </c>
    </row>
    <row r="4375" spans="1:1" x14ac:dyDescent="0.3">
      <c r="A4375" t="s">
        <v>0</v>
      </c>
    </row>
    <row r="4376" spans="1:1" x14ac:dyDescent="0.3">
      <c r="A4376" t="s">
        <v>0</v>
      </c>
    </row>
    <row r="4377" spans="1:1" x14ac:dyDescent="0.3">
      <c r="A4377" t="s">
        <v>0</v>
      </c>
    </row>
    <row r="4378" spans="1:1" x14ac:dyDescent="0.3">
      <c r="A4378" t="s">
        <v>0</v>
      </c>
    </row>
    <row r="4379" spans="1:1" x14ac:dyDescent="0.3">
      <c r="A4379" t="s">
        <v>0</v>
      </c>
    </row>
    <row r="4380" spans="1:1" x14ac:dyDescent="0.3">
      <c r="A4380" t="s">
        <v>0</v>
      </c>
    </row>
    <row r="4381" spans="1:1" x14ac:dyDescent="0.3">
      <c r="A4381" t="s">
        <v>0</v>
      </c>
    </row>
    <row r="4382" spans="1:1" x14ac:dyDescent="0.3">
      <c r="A4382" t="s">
        <v>0</v>
      </c>
    </row>
    <row r="4383" spans="1:1" x14ac:dyDescent="0.3">
      <c r="A4383" t="s">
        <v>0</v>
      </c>
    </row>
    <row r="4384" spans="1:1" x14ac:dyDescent="0.3">
      <c r="A4384" t="s">
        <v>0</v>
      </c>
    </row>
    <row r="4385" spans="1:1" x14ac:dyDescent="0.3">
      <c r="A4385" t="s">
        <v>0</v>
      </c>
    </row>
    <row r="4386" spans="1:1" x14ac:dyDescent="0.3">
      <c r="A4386" t="s">
        <v>0</v>
      </c>
    </row>
    <row r="4387" spans="1:1" x14ac:dyDescent="0.3">
      <c r="A4387" t="s">
        <v>0</v>
      </c>
    </row>
    <row r="4388" spans="1:1" x14ac:dyDescent="0.3">
      <c r="A4388" t="s">
        <v>0</v>
      </c>
    </row>
    <row r="4389" spans="1:1" x14ac:dyDescent="0.3">
      <c r="A4389" t="s">
        <v>0</v>
      </c>
    </row>
    <row r="4390" spans="1:1" x14ac:dyDescent="0.3">
      <c r="A4390" t="s">
        <v>0</v>
      </c>
    </row>
    <row r="4391" spans="1:1" x14ac:dyDescent="0.3">
      <c r="A4391" t="s">
        <v>0</v>
      </c>
    </row>
    <row r="4392" spans="1:1" x14ac:dyDescent="0.3">
      <c r="A4392" t="s">
        <v>0</v>
      </c>
    </row>
    <row r="4393" spans="1:1" x14ac:dyDescent="0.3">
      <c r="A4393" t="s">
        <v>0</v>
      </c>
    </row>
    <row r="4394" spans="1:1" x14ac:dyDescent="0.3">
      <c r="A4394" t="s">
        <v>0</v>
      </c>
    </row>
    <row r="4395" spans="1:1" x14ac:dyDescent="0.3">
      <c r="A4395" t="s">
        <v>0</v>
      </c>
    </row>
    <row r="4396" spans="1:1" x14ac:dyDescent="0.3">
      <c r="A4396" t="s">
        <v>0</v>
      </c>
    </row>
    <row r="4397" spans="1:1" x14ac:dyDescent="0.3">
      <c r="A4397" t="s">
        <v>0</v>
      </c>
    </row>
    <row r="4398" spans="1:1" x14ac:dyDescent="0.3">
      <c r="A4398" t="s">
        <v>0</v>
      </c>
    </row>
    <row r="4399" spans="1:1" x14ac:dyDescent="0.3">
      <c r="A4399" t="s">
        <v>0</v>
      </c>
    </row>
    <row r="4400" spans="1:1" x14ac:dyDescent="0.3">
      <c r="A4400" t="s">
        <v>0</v>
      </c>
    </row>
    <row r="4401" spans="1:1" x14ac:dyDescent="0.3">
      <c r="A4401" t="s">
        <v>0</v>
      </c>
    </row>
    <row r="4402" spans="1:1" x14ac:dyDescent="0.3">
      <c r="A4402" t="s">
        <v>0</v>
      </c>
    </row>
    <row r="4403" spans="1:1" x14ac:dyDescent="0.3">
      <c r="A4403" t="s">
        <v>0</v>
      </c>
    </row>
    <row r="4404" spans="1:1" x14ac:dyDescent="0.3">
      <c r="A4404" t="s">
        <v>0</v>
      </c>
    </row>
    <row r="4405" spans="1:1" x14ac:dyDescent="0.3">
      <c r="A4405" t="s">
        <v>0</v>
      </c>
    </row>
    <row r="4406" spans="1:1" x14ac:dyDescent="0.3">
      <c r="A4406" t="s">
        <v>0</v>
      </c>
    </row>
    <row r="4407" spans="1:1" x14ac:dyDescent="0.3">
      <c r="A4407" t="s">
        <v>0</v>
      </c>
    </row>
    <row r="4408" spans="1:1" x14ac:dyDescent="0.3">
      <c r="A4408" t="s">
        <v>0</v>
      </c>
    </row>
    <row r="4409" spans="1:1" x14ac:dyDescent="0.3">
      <c r="A4409" t="s">
        <v>0</v>
      </c>
    </row>
    <row r="4410" spans="1:1" x14ac:dyDescent="0.3">
      <c r="A4410" t="s">
        <v>0</v>
      </c>
    </row>
    <row r="4411" spans="1:1" x14ac:dyDescent="0.3">
      <c r="A4411" t="s">
        <v>0</v>
      </c>
    </row>
    <row r="4412" spans="1:1" x14ac:dyDescent="0.3">
      <c r="A4412" t="s">
        <v>0</v>
      </c>
    </row>
    <row r="4413" spans="1:1" x14ac:dyDescent="0.3">
      <c r="A4413" t="s">
        <v>0</v>
      </c>
    </row>
    <row r="4414" spans="1:1" x14ac:dyDescent="0.3">
      <c r="A4414" t="s">
        <v>0</v>
      </c>
    </row>
    <row r="4415" spans="1:1" x14ac:dyDescent="0.3">
      <c r="A4415" t="s">
        <v>0</v>
      </c>
    </row>
    <row r="4416" spans="1:1" x14ac:dyDescent="0.3">
      <c r="A4416" t="s">
        <v>0</v>
      </c>
    </row>
    <row r="4417" spans="1:1" x14ac:dyDescent="0.3">
      <c r="A4417" t="s">
        <v>0</v>
      </c>
    </row>
    <row r="4418" spans="1:1" x14ac:dyDescent="0.3">
      <c r="A4418" t="s">
        <v>0</v>
      </c>
    </row>
    <row r="4419" spans="1:1" x14ac:dyDescent="0.3">
      <c r="A4419" t="s">
        <v>0</v>
      </c>
    </row>
    <row r="4420" spans="1:1" x14ac:dyDescent="0.3">
      <c r="A4420" t="s">
        <v>0</v>
      </c>
    </row>
    <row r="4421" spans="1:1" x14ac:dyDescent="0.3">
      <c r="A4421" t="s">
        <v>0</v>
      </c>
    </row>
    <row r="4422" spans="1:1" x14ac:dyDescent="0.3">
      <c r="A4422" t="s">
        <v>0</v>
      </c>
    </row>
    <row r="4423" spans="1:1" x14ac:dyDescent="0.3">
      <c r="A4423" t="s">
        <v>0</v>
      </c>
    </row>
    <row r="4424" spans="1:1" x14ac:dyDescent="0.3">
      <c r="A4424" t="s">
        <v>0</v>
      </c>
    </row>
    <row r="4425" spans="1:1" x14ac:dyDescent="0.3">
      <c r="A4425" t="s">
        <v>0</v>
      </c>
    </row>
    <row r="4426" spans="1:1" x14ac:dyDescent="0.3">
      <c r="A4426" t="s">
        <v>0</v>
      </c>
    </row>
    <row r="4427" spans="1:1" x14ac:dyDescent="0.3">
      <c r="A4427" t="s">
        <v>0</v>
      </c>
    </row>
    <row r="4428" spans="1:1" x14ac:dyDescent="0.3">
      <c r="A4428" t="s">
        <v>0</v>
      </c>
    </row>
    <row r="4429" spans="1:1" x14ac:dyDescent="0.3">
      <c r="A4429" t="s">
        <v>0</v>
      </c>
    </row>
    <row r="4430" spans="1:1" x14ac:dyDescent="0.3">
      <c r="A4430" t="s">
        <v>0</v>
      </c>
    </row>
    <row r="4431" spans="1:1" x14ac:dyDescent="0.3">
      <c r="A4431" t="s">
        <v>0</v>
      </c>
    </row>
    <row r="4432" spans="1:1" x14ac:dyDescent="0.3">
      <c r="A4432" t="s">
        <v>0</v>
      </c>
    </row>
    <row r="4433" spans="1:1" x14ac:dyDescent="0.3">
      <c r="A4433" t="s">
        <v>0</v>
      </c>
    </row>
    <row r="4434" spans="1:1" x14ac:dyDescent="0.3">
      <c r="A4434" t="s">
        <v>0</v>
      </c>
    </row>
    <row r="4435" spans="1:1" x14ac:dyDescent="0.3">
      <c r="A4435" t="s">
        <v>0</v>
      </c>
    </row>
    <row r="4436" spans="1:1" x14ac:dyDescent="0.3">
      <c r="A4436" t="s">
        <v>0</v>
      </c>
    </row>
    <row r="4437" spans="1:1" x14ac:dyDescent="0.3">
      <c r="A4437" t="s">
        <v>0</v>
      </c>
    </row>
    <row r="4438" spans="1:1" x14ac:dyDescent="0.3">
      <c r="A4438" t="s">
        <v>0</v>
      </c>
    </row>
    <row r="4439" spans="1:1" x14ac:dyDescent="0.3">
      <c r="A4439" t="s">
        <v>0</v>
      </c>
    </row>
    <row r="4440" spans="1:1" x14ac:dyDescent="0.3">
      <c r="A4440" t="s">
        <v>0</v>
      </c>
    </row>
    <row r="4441" spans="1:1" x14ac:dyDescent="0.3">
      <c r="A4441" t="s">
        <v>0</v>
      </c>
    </row>
    <row r="4442" spans="1:1" x14ac:dyDescent="0.3">
      <c r="A4442" t="s">
        <v>0</v>
      </c>
    </row>
    <row r="4443" spans="1:1" x14ac:dyDescent="0.3">
      <c r="A4443" t="s">
        <v>0</v>
      </c>
    </row>
    <row r="4444" spans="1:1" x14ac:dyDescent="0.3">
      <c r="A4444" t="s">
        <v>0</v>
      </c>
    </row>
    <row r="4445" spans="1:1" x14ac:dyDescent="0.3">
      <c r="A4445" t="s">
        <v>0</v>
      </c>
    </row>
    <row r="4446" spans="1:1" x14ac:dyDescent="0.3">
      <c r="A4446" t="s">
        <v>0</v>
      </c>
    </row>
    <row r="4447" spans="1:1" x14ac:dyDescent="0.3">
      <c r="A4447" t="s">
        <v>0</v>
      </c>
    </row>
    <row r="4448" spans="1:1" x14ac:dyDescent="0.3">
      <c r="A4448" t="s">
        <v>0</v>
      </c>
    </row>
    <row r="4449" spans="1:1" x14ac:dyDescent="0.3">
      <c r="A4449" t="s">
        <v>0</v>
      </c>
    </row>
    <row r="4450" spans="1:1" x14ac:dyDescent="0.3">
      <c r="A4450" t="s">
        <v>0</v>
      </c>
    </row>
    <row r="4451" spans="1:1" x14ac:dyDescent="0.3">
      <c r="A4451" t="s">
        <v>0</v>
      </c>
    </row>
    <row r="4452" spans="1:1" x14ac:dyDescent="0.3">
      <c r="A4452" t="s">
        <v>0</v>
      </c>
    </row>
    <row r="4453" spans="1:1" x14ac:dyDescent="0.3">
      <c r="A4453" t="s">
        <v>0</v>
      </c>
    </row>
    <row r="4454" spans="1:1" x14ac:dyDescent="0.3">
      <c r="A4454" t="s">
        <v>0</v>
      </c>
    </row>
    <row r="4455" spans="1:1" x14ac:dyDescent="0.3">
      <c r="A4455" t="s">
        <v>0</v>
      </c>
    </row>
    <row r="4456" spans="1:1" x14ac:dyDescent="0.3">
      <c r="A4456" t="s">
        <v>0</v>
      </c>
    </row>
    <row r="4457" spans="1:1" x14ac:dyDescent="0.3">
      <c r="A4457" t="s">
        <v>0</v>
      </c>
    </row>
    <row r="4458" spans="1:1" x14ac:dyDescent="0.3">
      <c r="A4458" t="s">
        <v>0</v>
      </c>
    </row>
    <row r="4459" spans="1:1" x14ac:dyDescent="0.3">
      <c r="A4459" t="s">
        <v>0</v>
      </c>
    </row>
    <row r="4460" spans="1:1" x14ac:dyDescent="0.3">
      <c r="A4460" t="s">
        <v>0</v>
      </c>
    </row>
    <row r="4461" spans="1:1" x14ac:dyDescent="0.3">
      <c r="A4461" t="s">
        <v>0</v>
      </c>
    </row>
    <row r="4462" spans="1:1" x14ac:dyDescent="0.3">
      <c r="A4462" t="s">
        <v>0</v>
      </c>
    </row>
    <row r="4463" spans="1:1" x14ac:dyDescent="0.3">
      <c r="A4463" t="s">
        <v>0</v>
      </c>
    </row>
    <row r="4464" spans="1:1" x14ac:dyDescent="0.3">
      <c r="A4464" t="s">
        <v>0</v>
      </c>
    </row>
    <row r="4465" spans="1:1" x14ac:dyDescent="0.3">
      <c r="A4465" t="s">
        <v>0</v>
      </c>
    </row>
    <row r="4466" spans="1:1" x14ac:dyDescent="0.3">
      <c r="A4466" t="s">
        <v>0</v>
      </c>
    </row>
    <row r="4467" spans="1:1" x14ac:dyDescent="0.3">
      <c r="A4467" t="s">
        <v>0</v>
      </c>
    </row>
    <row r="4468" spans="1:1" x14ac:dyDescent="0.3">
      <c r="A4468" t="s">
        <v>0</v>
      </c>
    </row>
    <row r="4469" spans="1:1" x14ac:dyDescent="0.3">
      <c r="A4469" t="s">
        <v>0</v>
      </c>
    </row>
    <row r="4470" spans="1:1" x14ac:dyDescent="0.3">
      <c r="A4470" t="s">
        <v>0</v>
      </c>
    </row>
    <row r="4471" spans="1:1" x14ac:dyDescent="0.3">
      <c r="A4471" t="s">
        <v>0</v>
      </c>
    </row>
    <row r="4472" spans="1:1" x14ac:dyDescent="0.3">
      <c r="A4472" t="s">
        <v>0</v>
      </c>
    </row>
    <row r="4473" spans="1:1" x14ac:dyDescent="0.3">
      <c r="A4473" t="s">
        <v>0</v>
      </c>
    </row>
    <row r="4474" spans="1:1" x14ac:dyDescent="0.3">
      <c r="A4474" t="s">
        <v>0</v>
      </c>
    </row>
    <row r="4475" spans="1:1" x14ac:dyDescent="0.3">
      <c r="A4475" t="s">
        <v>0</v>
      </c>
    </row>
    <row r="4476" spans="1:1" x14ac:dyDescent="0.3">
      <c r="A4476" t="s">
        <v>0</v>
      </c>
    </row>
    <row r="4477" spans="1:1" x14ac:dyDescent="0.3">
      <c r="A4477" t="s">
        <v>0</v>
      </c>
    </row>
    <row r="4478" spans="1:1" x14ac:dyDescent="0.3">
      <c r="A4478" t="s">
        <v>0</v>
      </c>
    </row>
    <row r="4479" spans="1:1" x14ac:dyDescent="0.3">
      <c r="A4479" t="s">
        <v>0</v>
      </c>
    </row>
    <row r="4480" spans="1:1" x14ac:dyDescent="0.3">
      <c r="A4480" t="s">
        <v>0</v>
      </c>
    </row>
    <row r="4481" spans="1:1" x14ac:dyDescent="0.3">
      <c r="A4481" t="s">
        <v>0</v>
      </c>
    </row>
    <row r="4482" spans="1:1" x14ac:dyDescent="0.3">
      <c r="A4482" t="s">
        <v>0</v>
      </c>
    </row>
    <row r="4483" spans="1:1" x14ac:dyDescent="0.3">
      <c r="A4483" t="s">
        <v>0</v>
      </c>
    </row>
    <row r="4484" spans="1:1" x14ac:dyDescent="0.3">
      <c r="A4484" t="s">
        <v>0</v>
      </c>
    </row>
    <row r="4485" spans="1:1" x14ac:dyDescent="0.3">
      <c r="A4485" t="s">
        <v>0</v>
      </c>
    </row>
    <row r="4486" spans="1:1" x14ac:dyDescent="0.3">
      <c r="A4486" t="s">
        <v>0</v>
      </c>
    </row>
    <row r="4487" spans="1:1" x14ac:dyDescent="0.3">
      <c r="A4487" t="s">
        <v>0</v>
      </c>
    </row>
    <row r="4488" spans="1:1" x14ac:dyDescent="0.3">
      <c r="A4488" t="s">
        <v>0</v>
      </c>
    </row>
    <row r="4489" spans="1:1" x14ac:dyDescent="0.3">
      <c r="A4489" t="s">
        <v>0</v>
      </c>
    </row>
    <row r="4490" spans="1:1" x14ac:dyDescent="0.3">
      <c r="A4490" t="s">
        <v>0</v>
      </c>
    </row>
    <row r="4491" spans="1:1" x14ac:dyDescent="0.3">
      <c r="A4491" t="s">
        <v>0</v>
      </c>
    </row>
    <row r="4492" spans="1:1" x14ac:dyDescent="0.3">
      <c r="A4492" t="s">
        <v>0</v>
      </c>
    </row>
    <row r="4493" spans="1:1" x14ac:dyDescent="0.3">
      <c r="A4493" t="s">
        <v>0</v>
      </c>
    </row>
    <row r="4494" spans="1:1" x14ac:dyDescent="0.3">
      <c r="A4494" t="s">
        <v>0</v>
      </c>
    </row>
    <row r="4495" spans="1:1" x14ac:dyDescent="0.3">
      <c r="A4495" t="s">
        <v>0</v>
      </c>
    </row>
    <row r="4496" spans="1:1" x14ac:dyDescent="0.3">
      <c r="A4496" t="s">
        <v>0</v>
      </c>
    </row>
    <row r="4497" spans="1:1" x14ac:dyDescent="0.3">
      <c r="A4497" t="s">
        <v>0</v>
      </c>
    </row>
    <row r="4498" spans="1:1" x14ac:dyDescent="0.3">
      <c r="A4498" t="s">
        <v>0</v>
      </c>
    </row>
    <row r="4499" spans="1:1" x14ac:dyDescent="0.3">
      <c r="A4499" t="s">
        <v>0</v>
      </c>
    </row>
    <row r="4500" spans="1:1" x14ac:dyDescent="0.3">
      <c r="A4500" t="s">
        <v>0</v>
      </c>
    </row>
    <row r="4501" spans="1:1" x14ac:dyDescent="0.3">
      <c r="A4501" t="s">
        <v>0</v>
      </c>
    </row>
    <row r="4502" spans="1:1" x14ac:dyDescent="0.3">
      <c r="A4502" t="s">
        <v>0</v>
      </c>
    </row>
    <row r="4503" spans="1:1" x14ac:dyDescent="0.3">
      <c r="A4503" t="s">
        <v>0</v>
      </c>
    </row>
    <row r="4504" spans="1:1" x14ac:dyDescent="0.3">
      <c r="A4504" t="s">
        <v>0</v>
      </c>
    </row>
    <row r="4505" spans="1:1" x14ac:dyDescent="0.3">
      <c r="A4505" t="s">
        <v>0</v>
      </c>
    </row>
    <row r="4506" spans="1:1" x14ac:dyDescent="0.3">
      <c r="A4506" t="s">
        <v>0</v>
      </c>
    </row>
    <row r="4507" spans="1:1" x14ac:dyDescent="0.3">
      <c r="A4507" t="s">
        <v>0</v>
      </c>
    </row>
    <row r="4508" spans="1:1" x14ac:dyDescent="0.3">
      <c r="A4508" t="s">
        <v>0</v>
      </c>
    </row>
    <row r="4509" spans="1:1" x14ac:dyDescent="0.3">
      <c r="A4509" t="s">
        <v>0</v>
      </c>
    </row>
    <row r="4510" spans="1:1" x14ac:dyDescent="0.3">
      <c r="A4510" t="s">
        <v>0</v>
      </c>
    </row>
    <row r="4511" spans="1:1" x14ac:dyDescent="0.3">
      <c r="A4511" t="s">
        <v>0</v>
      </c>
    </row>
    <row r="4512" spans="1:1" x14ac:dyDescent="0.3">
      <c r="A4512" t="s">
        <v>0</v>
      </c>
    </row>
    <row r="4513" spans="1:1" x14ac:dyDescent="0.3">
      <c r="A4513" t="s">
        <v>0</v>
      </c>
    </row>
    <row r="4514" spans="1:1" x14ac:dyDescent="0.3">
      <c r="A4514" t="s">
        <v>0</v>
      </c>
    </row>
    <row r="4515" spans="1:1" x14ac:dyDescent="0.3">
      <c r="A4515" t="s">
        <v>0</v>
      </c>
    </row>
    <row r="4516" spans="1:1" x14ac:dyDescent="0.3">
      <c r="A4516" t="s">
        <v>0</v>
      </c>
    </row>
    <row r="4517" spans="1:1" x14ac:dyDescent="0.3">
      <c r="A4517" t="s">
        <v>0</v>
      </c>
    </row>
    <row r="4518" spans="1:1" x14ac:dyDescent="0.3">
      <c r="A4518" t="s">
        <v>0</v>
      </c>
    </row>
    <row r="4519" spans="1:1" x14ac:dyDescent="0.3">
      <c r="A4519" t="s">
        <v>0</v>
      </c>
    </row>
    <row r="4520" spans="1:1" x14ac:dyDescent="0.3">
      <c r="A4520" t="s">
        <v>0</v>
      </c>
    </row>
    <row r="4521" spans="1:1" x14ac:dyDescent="0.3">
      <c r="A4521" t="s">
        <v>0</v>
      </c>
    </row>
    <row r="4522" spans="1:1" x14ac:dyDescent="0.3">
      <c r="A4522" t="s">
        <v>0</v>
      </c>
    </row>
    <row r="4523" spans="1:1" x14ac:dyDescent="0.3">
      <c r="A4523" t="s">
        <v>0</v>
      </c>
    </row>
    <row r="4524" spans="1:1" x14ac:dyDescent="0.3">
      <c r="A4524" t="s">
        <v>0</v>
      </c>
    </row>
    <row r="4525" spans="1:1" x14ac:dyDescent="0.3">
      <c r="A4525" t="s">
        <v>0</v>
      </c>
    </row>
    <row r="4526" spans="1:1" x14ac:dyDescent="0.3">
      <c r="A4526" t="s">
        <v>0</v>
      </c>
    </row>
    <row r="4527" spans="1:1" x14ac:dyDescent="0.3">
      <c r="A4527" t="s">
        <v>0</v>
      </c>
    </row>
    <row r="4528" spans="1:1" x14ac:dyDescent="0.3">
      <c r="A4528" t="s">
        <v>0</v>
      </c>
    </row>
    <row r="4529" spans="1:1" x14ac:dyDescent="0.3">
      <c r="A4529" t="s">
        <v>0</v>
      </c>
    </row>
    <row r="4530" spans="1:1" x14ac:dyDescent="0.3">
      <c r="A4530" t="s">
        <v>0</v>
      </c>
    </row>
    <row r="4531" spans="1:1" x14ac:dyDescent="0.3">
      <c r="A4531" t="s">
        <v>0</v>
      </c>
    </row>
    <row r="4532" spans="1:1" x14ac:dyDescent="0.3">
      <c r="A4532" t="s">
        <v>0</v>
      </c>
    </row>
    <row r="4533" spans="1:1" x14ac:dyDescent="0.3">
      <c r="A4533" t="s">
        <v>0</v>
      </c>
    </row>
    <row r="4534" spans="1:1" x14ac:dyDescent="0.3">
      <c r="A4534" t="s">
        <v>0</v>
      </c>
    </row>
    <row r="4535" spans="1:1" x14ac:dyDescent="0.3">
      <c r="A4535" t="s">
        <v>0</v>
      </c>
    </row>
    <row r="4536" spans="1:1" x14ac:dyDescent="0.3">
      <c r="A4536" t="s">
        <v>0</v>
      </c>
    </row>
    <row r="4537" spans="1:1" x14ac:dyDescent="0.3">
      <c r="A4537" t="s">
        <v>0</v>
      </c>
    </row>
    <row r="4538" spans="1:1" x14ac:dyDescent="0.3">
      <c r="A4538" t="s">
        <v>0</v>
      </c>
    </row>
    <row r="4539" spans="1:1" x14ac:dyDescent="0.3">
      <c r="A4539" t="s">
        <v>0</v>
      </c>
    </row>
    <row r="4540" spans="1:1" x14ac:dyDescent="0.3">
      <c r="A4540" t="s">
        <v>0</v>
      </c>
    </row>
    <row r="4541" spans="1:1" x14ac:dyDescent="0.3">
      <c r="A4541" t="s">
        <v>0</v>
      </c>
    </row>
    <row r="4542" spans="1:1" x14ac:dyDescent="0.3">
      <c r="A4542" t="s">
        <v>0</v>
      </c>
    </row>
    <row r="4543" spans="1:1" x14ac:dyDescent="0.3">
      <c r="A4543" t="s">
        <v>0</v>
      </c>
    </row>
    <row r="4544" spans="1:1" x14ac:dyDescent="0.3">
      <c r="A4544" t="s">
        <v>0</v>
      </c>
    </row>
    <row r="4545" spans="1:1" x14ac:dyDescent="0.3">
      <c r="A4545" t="s">
        <v>0</v>
      </c>
    </row>
    <row r="4546" spans="1:1" x14ac:dyDescent="0.3">
      <c r="A4546" t="s">
        <v>0</v>
      </c>
    </row>
    <row r="4547" spans="1:1" x14ac:dyDescent="0.3">
      <c r="A4547" t="s">
        <v>0</v>
      </c>
    </row>
    <row r="4548" spans="1:1" x14ac:dyDescent="0.3">
      <c r="A4548" t="s">
        <v>0</v>
      </c>
    </row>
    <row r="4549" spans="1:1" x14ac:dyDescent="0.3">
      <c r="A4549" t="s">
        <v>0</v>
      </c>
    </row>
    <row r="4550" spans="1:1" x14ac:dyDescent="0.3">
      <c r="A4550" t="s">
        <v>0</v>
      </c>
    </row>
    <row r="4551" spans="1:1" x14ac:dyDescent="0.3">
      <c r="A4551" t="s">
        <v>0</v>
      </c>
    </row>
    <row r="4552" spans="1:1" x14ac:dyDescent="0.3">
      <c r="A4552" t="s">
        <v>0</v>
      </c>
    </row>
    <row r="4553" spans="1:1" x14ac:dyDescent="0.3">
      <c r="A4553" t="s">
        <v>0</v>
      </c>
    </row>
    <row r="4554" spans="1:1" x14ac:dyDescent="0.3">
      <c r="A4554" t="s">
        <v>0</v>
      </c>
    </row>
    <row r="4555" spans="1:1" x14ac:dyDescent="0.3">
      <c r="A4555" t="s">
        <v>0</v>
      </c>
    </row>
    <row r="4556" spans="1:1" x14ac:dyDescent="0.3">
      <c r="A4556" t="s">
        <v>0</v>
      </c>
    </row>
    <row r="4557" spans="1:1" x14ac:dyDescent="0.3">
      <c r="A4557" t="s">
        <v>0</v>
      </c>
    </row>
    <row r="4558" spans="1:1" x14ac:dyDescent="0.3">
      <c r="A4558" t="s">
        <v>0</v>
      </c>
    </row>
    <row r="4559" spans="1:1" x14ac:dyDescent="0.3">
      <c r="A4559" t="s">
        <v>0</v>
      </c>
    </row>
    <row r="4560" spans="1:1" x14ac:dyDescent="0.3">
      <c r="A4560" t="s">
        <v>0</v>
      </c>
    </row>
    <row r="4561" spans="1:1" x14ac:dyDescent="0.3">
      <c r="A4561" t="s">
        <v>0</v>
      </c>
    </row>
    <row r="4562" spans="1:1" x14ac:dyDescent="0.3">
      <c r="A4562" t="s">
        <v>0</v>
      </c>
    </row>
    <row r="4563" spans="1:1" x14ac:dyDescent="0.3">
      <c r="A4563" t="s">
        <v>0</v>
      </c>
    </row>
    <row r="4564" spans="1:1" x14ac:dyDescent="0.3">
      <c r="A4564" t="s">
        <v>0</v>
      </c>
    </row>
    <row r="4565" spans="1:1" x14ac:dyDescent="0.3">
      <c r="A4565" t="s">
        <v>0</v>
      </c>
    </row>
    <row r="4566" spans="1:1" x14ac:dyDescent="0.3">
      <c r="A4566" t="s">
        <v>0</v>
      </c>
    </row>
    <row r="4567" spans="1:1" x14ac:dyDescent="0.3">
      <c r="A4567" t="s">
        <v>0</v>
      </c>
    </row>
    <row r="4568" spans="1:1" x14ac:dyDescent="0.3">
      <c r="A4568" t="s">
        <v>0</v>
      </c>
    </row>
    <row r="4569" spans="1:1" x14ac:dyDescent="0.3">
      <c r="A4569" t="s">
        <v>0</v>
      </c>
    </row>
    <row r="4570" spans="1:1" x14ac:dyDescent="0.3">
      <c r="A4570" t="s">
        <v>0</v>
      </c>
    </row>
    <row r="4571" spans="1:1" x14ac:dyDescent="0.3">
      <c r="A4571" t="s">
        <v>0</v>
      </c>
    </row>
    <row r="4572" spans="1:1" x14ac:dyDescent="0.3">
      <c r="A4572" t="s">
        <v>0</v>
      </c>
    </row>
    <row r="4573" spans="1:1" x14ac:dyDescent="0.3">
      <c r="A4573" t="s">
        <v>0</v>
      </c>
    </row>
    <row r="4574" spans="1:1" x14ac:dyDescent="0.3">
      <c r="A4574" t="s">
        <v>0</v>
      </c>
    </row>
    <row r="4575" spans="1:1" x14ac:dyDescent="0.3">
      <c r="A4575" t="s">
        <v>0</v>
      </c>
    </row>
    <row r="4576" spans="1:1" x14ac:dyDescent="0.3">
      <c r="A4576" t="s">
        <v>0</v>
      </c>
    </row>
    <row r="4577" spans="1:1" x14ac:dyDescent="0.3">
      <c r="A4577" t="s">
        <v>0</v>
      </c>
    </row>
    <row r="4578" spans="1:1" x14ac:dyDescent="0.3">
      <c r="A4578" t="s">
        <v>0</v>
      </c>
    </row>
    <row r="4579" spans="1:1" x14ac:dyDescent="0.3">
      <c r="A4579" t="s">
        <v>0</v>
      </c>
    </row>
    <row r="4580" spans="1:1" x14ac:dyDescent="0.3">
      <c r="A4580" t="s">
        <v>0</v>
      </c>
    </row>
    <row r="4581" spans="1:1" x14ac:dyDescent="0.3">
      <c r="A4581" t="s">
        <v>0</v>
      </c>
    </row>
    <row r="4582" spans="1:1" x14ac:dyDescent="0.3">
      <c r="A4582" t="s">
        <v>0</v>
      </c>
    </row>
    <row r="4583" spans="1:1" x14ac:dyDescent="0.3">
      <c r="A4583" t="s">
        <v>0</v>
      </c>
    </row>
    <row r="4584" spans="1:1" x14ac:dyDescent="0.3">
      <c r="A4584" t="s">
        <v>0</v>
      </c>
    </row>
    <row r="4585" spans="1:1" x14ac:dyDescent="0.3">
      <c r="A4585" t="s">
        <v>0</v>
      </c>
    </row>
    <row r="4586" spans="1:1" x14ac:dyDescent="0.3">
      <c r="A4586" t="s">
        <v>0</v>
      </c>
    </row>
    <row r="4587" spans="1:1" x14ac:dyDescent="0.3">
      <c r="A4587" t="s">
        <v>0</v>
      </c>
    </row>
    <row r="4588" spans="1:1" x14ac:dyDescent="0.3">
      <c r="A4588" t="s">
        <v>0</v>
      </c>
    </row>
    <row r="4589" spans="1:1" x14ac:dyDescent="0.3">
      <c r="A4589" t="s">
        <v>0</v>
      </c>
    </row>
    <row r="4590" spans="1:1" x14ac:dyDescent="0.3">
      <c r="A4590" t="s">
        <v>0</v>
      </c>
    </row>
    <row r="4591" spans="1:1" x14ac:dyDescent="0.3">
      <c r="A4591" t="s">
        <v>0</v>
      </c>
    </row>
    <row r="4592" spans="1:1" x14ac:dyDescent="0.3">
      <c r="A4592" t="s">
        <v>0</v>
      </c>
    </row>
    <row r="4593" spans="1:1" x14ac:dyDescent="0.3">
      <c r="A4593" t="s">
        <v>0</v>
      </c>
    </row>
    <row r="4594" spans="1:1" x14ac:dyDescent="0.3">
      <c r="A4594" t="s">
        <v>0</v>
      </c>
    </row>
    <row r="4595" spans="1:1" x14ac:dyDescent="0.3">
      <c r="A4595" t="s">
        <v>0</v>
      </c>
    </row>
    <row r="4596" spans="1:1" x14ac:dyDescent="0.3">
      <c r="A4596" t="s">
        <v>0</v>
      </c>
    </row>
    <row r="4597" spans="1:1" x14ac:dyDescent="0.3">
      <c r="A4597" t="s">
        <v>0</v>
      </c>
    </row>
    <row r="4598" spans="1:1" x14ac:dyDescent="0.3">
      <c r="A4598" t="s">
        <v>0</v>
      </c>
    </row>
    <row r="4599" spans="1:1" x14ac:dyDescent="0.3">
      <c r="A4599" t="s">
        <v>0</v>
      </c>
    </row>
    <row r="4600" spans="1:1" x14ac:dyDescent="0.3">
      <c r="A4600" t="s">
        <v>0</v>
      </c>
    </row>
    <row r="4601" spans="1:1" x14ac:dyDescent="0.3">
      <c r="A4601" t="s">
        <v>0</v>
      </c>
    </row>
    <row r="4602" spans="1:1" x14ac:dyDescent="0.3">
      <c r="A4602" t="s">
        <v>0</v>
      </c>
    </row>
    <row r="4603" spans="1:1" x14ac:dyDescent="0.3">
      <c r="A4603" t="s">
        <v>0</v>
      </c>
    </row>
    <row r="4604" spans="1:1" x14ac:dyDescent="0.3">
      <c r="A4604" t="s">
        <v>0</v>
      </c>
    </row>
    <row r="4605" spans="1:1" x14ac:dyDescent="0.3">
      <c r="A4605" t="s">
        <v>0</v>
      </c>
    </row>
    <row r="4606" spans="1:1" x14ac:dyDescent="0.3">
      <c r="A4606" t="s">
        <v>0</v>
      </c>
    </row>
    <row r="4607" spans="1:1" x14ac:dyDescent="0.3">
      <c r="A4607" t="s">
        <v>0</v>
      </c>
    </row>
    <row r="4608" spans="1:1" x14ac:dyDescent="0.3">
      <c r="A4608" t="s">
        <v>0</v>
      </c>
    </row>
    <row r="4609" spans="1:1" x14ac:dyDescent="0.3">
      <c r="A4609" t="s">
        <v>0</v>
      </c>
    </row>
    <row r="4610" spans="1:1" x14ac:dyDescent="0.3">
      <c r="A4610" t="s">
        <v>0</v>
      </c>
    </row>
    <row r="4611" spans="1:1" x14ac:dyDescent="0.3">
      <c r="A4611" t="s">
        <v>0</v>
      </c>
    </row>
    <row r="4612" spans="1:1" x14ac:dyDescent="0.3">
      <c r="A4612" t="s">
        <v>0</v>
      </c>
    </row>
    <row r="4613" spans="1:1" x14ac:dyDescent="0.3">
      <c r="A4613" t="s">
        <v>0</v>
      </c>
    </row>
    <row r="4614" spans="1:1" x14ac:dyDescent="0.3">
      <c r="A4614" t="s">
        <v>0</v>
      </c>
    </row>
    <row r="4615" spans="1:1" x14ac:dyDescent="0.3">
      <c r="A4615" t="s">
        <v>0</v>
      </c>
    </row>
    <row r="4616" spans="1:1" x14ac:dyDescent="0.3">
      <c r="A4616" t="s">
        <v>0</v>
      </c>
    </row>
    <row r="4617" spans="1:1" x14ac:dyDescent="0.3">
      <c r="A4617" t="s">
        <v>0</v>
      </c>
    </row>
    <row r="4618" spans="1:1" x14ac:dyDescent="0.3">
      <c r="A4618" t="s">
        <v>0</v>
      </c>
    </row>
    <row r="4619" spans="1:1" x14ac:dyDescent="0.3">
      <c r="A4619" t="s">
        <v>0</v>
      </c>
    </row>
    <row r="4620" spans="1:1" x14ac:dyDescent="0.3">
      <c r="A4620" t="s">
        <v>0</v>
      </c>
    </row>
    <row r="4621" spans="1:1" x14ac:dyDescent="0.3">
      <c r="A4621" t="s">
        <v>0</v>
      </c>
    </row>
    <row r="4622" spans="1:1" x14ac:dyDescent="0.3">
      <c r="A4622" t="s">
        <v>0</v>
      </c>
    </row>
    <row r="4623" spans="1:1" x14ac:dyDescent="0.3">
      <c r="A4623" t="s">
        <v>0</v>
      </c>
    </row>
    <row r="4624" spans="1:1" x14ac:dyDescent="0.3">
      <c r="A4624" t="s">
        <v>0</v>
      </c>
    </row>
    <row r="4625" spans="1:1" x14ac:dyDescent="0.3">
      <c r="A4625" t="s">
        <v>0</v>
      </c>
    </row>
    <row r="4626" spans="1:1" x14ac:dyDescent="0.3">
      <c r="A4626" t="s">
        <v>0</v>
      </c>
    </row>
    <row r="4627" spans="1:1" x14ac:dyDescent="0.3">
      <c r="A4627" t="s">
        <v>0</v>
      </c>
    </row>
    <row r="4628" spans="1:1" x14ac:dyDescent="0.3">
      <c r="A4628" t="s">
        <v>0</v>
      </c>
    </row>
    <row r="4629" spans="1:1" x14ac:dyDescent="0.3">
      <c r="A4629" t="s">
        <v>0</v>
      </c>
    </row>
    <row r="4630" spans="1:1" x14ac:dyDescent="0.3">
      <c r="A4630" t="s">
        <v>0</v>
      </c>
    </row>
    <row r="4631" spans="1:1" x14ac:dyDescent="0.3">
      <c r="A4631" t="s">
        <v>0</v>
      </c>
    </row>
    <row r="4632" spans="1:1" x14ac:dyDescent="0.3">
      <c r="A4632" t="s">
        <v>0</v>
      </c>
    </row>
    <row r="4633" spans="1:1" x14ac:dyDescent="0.3">
      <c r="A4633" t="s">
        <v>0</v>
      </c>
    </row>
    <row r="4634" spans="1:1" x14ac:dyDescent="0.3">
      <c r="A4634" t="s">
        <v>0</v>
      </c>
    </row>
    <row r="4635" spans="1:1" x14ac:dyDescent="0.3">
      <c r="A4635" t="s">
        <v>0</v>
      </c>
    </row>
    <row r="4636" spans="1:1" x14ac:dyDescent="0.3">
      <c r="A4636" t="s">
        <v>0</v>
      </c>
    </row>
    <row r="4637" spans="1:1" x14ac:dyDescent="0.3">
      <c r="A4637" t="s">
        <v>0</v>
      </c>
    </row>
    <row r="4638" spans="1:1" x14ac:dyDescent="0.3">
      <c r="A4638" t="s">
        <v>0</v>
      </c>
    </row>
    <row r="4639" spans="1:1" x14ac:dyDescent="0.3">
      <c r="A4639" t="s">
        <v>0</v>
      </c>
    </row>
    <row r="4640" spans="1:1" x14ac:dyDescent="0.3">
      <c r="A4640" t="s">
        <v>0</v>
      </c>
    </row>
    <row r="4641" spans="1:1" x14ac:dyDescent="0.3">
      <c r="A4641" t="s">
        <v>0</v>
      </c>
    </row>
    <row r="4642" spans="1:1" x14ac:dyDescent="0.3">
      <c r="A4642" t="s">
        <v>0</v>
      </c>
    </row>
    <row r="4643" spans="1:1" x14ac:dyDescent="0.3">
      <c r="A4643" t="s">
        <v>0</v>
      </c>
    </row>
    <row r="4644" spans="1:1" x14ac:dyDescent="0.3">
      <c r="A4644" t="s">
        <v>0</v>
      </c>
    </row>
    <row r="4645" spans="1:1" x14ac:dyDescent="0.3">
      <c r="A4645" t="s">
        <v>0</v>
      </c>
    </row>
    <row r="4646" spans="1:1" x14ac:dyDescent="0.3">
      <c r="A4646" t="s">
        <v>0</v>
      </c>
    </row>
    <row r="4647" spans="1:1" x14ac:dyDescent="0.3">
      <c r="A4647" t="s">
        <v>0</v>
      </c>
    </row>
    <row r="4648" spans="1:1" x14ac:dyDescent="0.3">
      <c r="A4648" t="s">
        <v>0</v>
      </c>
    </row>
    <row r="4649" spans="1:1" x14ac:dyDescent="0.3">
      <c r="A4649" t="s">
        <v>0</v>
      </c>
    </row>
    <row r="4650" spans="1:1" x14ac:dyDescent="0.3">
      <c r="A4650" t="s">
        <v>0</v>
      </c>
    </row>
    <row r="4651" spans="1:1" x14ac:dyDescent="0.3">
      <c r="A4651" t="s">
        <v>0</v>
      </c>
    </row>
    <row r="4652" spans="1:1" x14ac:dyDescent="0.3">
      <c r="A4652" t="s">
        <v>0</v>
      </c>
    </row>
    <row r="4653" spans="1:1" x14ac:dyDescent="0.3">
      <c r="A4653" t="s">
        <v>0</v>
      </c>
    </row>
    <row r="4654" spans="1:1" x14ac:dyDescent="0.3">
      <c r="A4654" t="s">
        <v>0</v>
      </c>
    </row>
    <row r="4655" spans="1:1" x14ac:dyDescent="0.3">
      <c r="A4655" t="s">
        <v>0</v>
      </c>
    </row>
    <row r="4656" spans="1:1" x14ac:dyDescent="0.3">
      <c r="A4656" t="s">
        <v>0</v>
      </c>
    </row>
    <row r="4657" spans="1:1" x14ac:dyDescent="0.3">
      <c r="A4657" t="s">
        <v>0</v>
      </c>
    </row>
    <row r="4658" spans="1:1" x14ac:dyDescent="0.3">
      <c r="A4658" t="s">
        <v>0</v>
      </c>
    </row>
    <row r="4659" spans="1:1" x14ac:dyDescent="0.3">
      <c r="A4659" t="s">
        <v>0</v>
      </c>
    </row>
    <row r="4660" spans="1:1" x14ac:dyDescent="0.3">
      <c r="A4660" t="s">
        <v>0</v>
      </c>
    </row>
    <row r="4661" spans="1:1" x14ac:dyDescent="0.3">
      <c r="A4661" t="s">
        <v>0</v>
      </c>
    </row>
    <row r="4662" spans="1:1" x14ac:dyDescent="0.3">
      <c r="A4662" t="s">
        <v>0</v>
      </c>
    </row>
    <row r="4663" spans="1:1" x14ac:dyDescent="0.3">
      <c r="A4663" t="s">
        <v>0</v>
      </c>
    </row>
    <row r="4664" spans="1:1" x14ac:dyDescent="0.3">
      <c r="A4664" t="s">
        <v>0</v>
      </c>
    </row>
    <row r="4665" spans="1:1" x14ac:dyDescent="0.3">
      <c r="A4665" t="s">
        <v>0</v>
      </c>
    </row>
    <row r="4666" spans="1:1" x14ac:dyDescent="0.3">
      <c r="A4666" t="s">
        <v>0</v>
      </c>
    </row>
    <row r="4667" spans="1:1" x14ac:dyDescent="0.3">
      <c r="A4667" t="s">
        <v>0</v>
      </c>
    </row>
    <row r="4668" spans="1:1" x14ac:dyDescent="0.3">
      <c r="A4668" t="s">
        <v>0</v>
      </c>
    </row>
    <row r="4669" spans="1:1" x14ac:dyDescent="0.3">
      <c r="A4669" t="s">
        <v>0</v>
      </c>
    </row>
    <row r="4670" spans="1:1" x14ac:dyDescent="0.3">
      <c r="A4670" t="s">
        <v>0</v>
      </c>
    </row>
    <row r="4671" spans="1:1" x14ac:dyDescent="0.3">
      <c r="A4671" t="s">
        <v>0</v>
      </c>
    </row>
    <row r="4672" spans="1:1" x14ac:dyDescent="0.3">
      <c r="A4672" t="s">
        <v>0</v>
      </c>
    </row>
    <row r="4673" spans="1:1" x14ac:dyDescent="0.3">
      <c r="A4673" t="s">
        <v>0</v>
      </c>
    </row>
    <row r="4674" spans="1:1" x14ac:dyDescent="0.3">
      <c r="A4674" t="s">
        <v>0</v>
      </c>
    </row>
    <row r="4675" spans="1:1" x14ac:dyDescent="0.3">
      <c r="A4675" t="s">
        <v>0</v>
      </c>
    </row>
    <row r="4676" spans="1:1" x14ac:dyDescent="0.3">
      <c r="A4676" t="s">
        <v>0</v>
      </c>
    </row>
    <row r="4677" spans="1:1" x14ac:dyDescent="0.3">
      <c r="A4677" t="s">
        <v>0</v>
      </c>
    </row>
    <row r="4678" spans="1:1" x14ac:dyDescent="0.3">
      <c r="A4678" t="s">
        <v>0</v>
      </c>
    </row>
    <row r="4679" spans="1:1" x14ac:dyDescent="0.3">
      <c r="A4679" t="s">
        <v>0</v>
      </c>
    </row>
    <row r="4680" spans="1:1" x14ac:dyDescent="0.3">
      <c r="A4680" t="s">
        <v>0</v>
      </c>
    </row>
    <row r="4681" spans="1:1" x14ac:dyDescent="0.3">
      <c r="A4681" t="s">
        <v>0</v>
      </c>
    </row>
    <row r="4682" spans="1:1" x14ac:dyDescent="0.3">
      <c r="A4682" t="s">
        <v>0</v>
      </c>
    </row>
    <row r="4683" spans="1:1" x14ac:dyDescent="0.3">
      <c r="A4683" t="s">
        <v>0</v>
      </c>
    </row>
    <row r="4684" spans="1:1" x14ac:dyDescent="0.3">
      <c r="A4684" t="s">
        <v>0</v>
      </c>
    </row>
    <row r="4685" spans="1:1" x14ac:dyDescent="0.3">
      <c r="A4685" t="s">
        <v>0</v>
      </c>
    </row>
    <row r="4686" spans="1:1" x14ac:dyDescent="0.3">
      <c r="A4686" t="s">
        <v>0</v>
      </c>
    </row>
    <row r="4687" spans="1:1" x14ac:dyDescent="0.3">
      <c r="A4687" t="s">
        <v>0</v>
      </c>
    </row>
    <row r="4688" spans="1:1" x14ac:dyDescent="0.3">
      <c r="A4688" t="s">
        <v>0</v>
      </c>
    </row>
    <row r="4689" spans="1:1" x14ac:dyDescent="0.3">
      <c r="A4689" t="s">
        <v>0</v>
      </c>
    </row>
    <row r="4690" spans="1:1" x14ac:dyDescent="0.3">
      <c r="A4690" t="s">
        <v>0</v>
      </c>
    </row>
    <row r="4691" spans="1:1" x14ac:dyDescent="0.3">
      <c r="A4691" t="s">
        <v>0</v>
      </c>
    </row>
    <row r="4692" spans="1:1" x14ac:dyDescent="0.3">
      <c r="A4692" t="s">
        <v>0</v>
      </c>
    </row>
    <row r="4693" spans="1:1" x14ac:dyDescent="0.3">
      <c r="A4693" t="s">
        <v>0</v>
      </c>
    </row>
    <row r="4694" spans="1:1" x14ac:dyDescent="0.3">
      <c r="A4694" t="s">
        <v>0</v>
      </c>
    </row>
    <row r="4695" spans="1:1" x14ac:dyDescent="0.3">
      <c r="A4695" t="s">
        <v>0</v>
      </c>
    </row>
    <row r="4696" spans="1:1" x14ac:dyDescent="0.3">
      <c r="A4696" t="s">
        <v>0</v>
      </c>
    </row>
    <row r="4697" spans="1:1" x14ac:dyDescent="0.3">
      <c r="A4697" t="s">
        <v>0</v>
      </c>
    </row>
    <row r="4698" spans="1:1" x14ac:dyDescent="0.3">
      <c r="A4698" t="s">
        <v>0</v>
      </c>
    </row>
    <row r="4699" spans="1:1" x14ac:dyDescent="0.3">
      <c r="A4699" t="s">
        <v>0</v>
      </c>
    </row>
    <row r="4700" spans="1:1" x14ac:dyDescent="0.3">
      <c r="A4700" t="s">
        <v>0</v>
      </c>
    </row>
    <row r="4701" spans="1:1" x14ac:dyDescent="0.3">
      <c r="A4701" t="s">
        <v>0</v>
      </c>
    </row>
    <row r="4702" spans="1:1" x14ac:dyDescent="0.3">
      <c r="A4702" t="s">
        <v>0</v>
      </c>
    </row>
    <row r="4703" spans="1:1" x14ac:dyDescent="0.3">
      <c r="A4703" t="s">
        <v>0</v>
      </c>
    </row>
    <row r="4704" spans="1:1" x14ac:dyDescent="0.3">
      <c r="A4704" t="s">
        <v>0</v>
      </c>
    </row>
    <row r="4705" spans="1:1" x14ac:dyDescent="0.3">
      <c r="A4705" t="s">
        <v>0</v>
      </c>
    </row>
    <row r="4706" spans="1:1" x14ac:dyDescent="0.3">
      <c r="A4706" t="s">
        <v>0</v>
      </c>
    </row>
    <row r="4707" spans="1:1" x14ac:dyDescent="0.3">
      <c r="A4707" t="s">
        <v>0</v>
      </c>
    </row>
    <row r="4708" spans="1:1" x14ac:dyDescent="0.3">
      <c r="A4708" t="s">
        <v>0</v>
      </c>
    </row>
    <row r="4709" spans="1:1" x14ac:dyDescent="0.3">
      <c r="A4709" t="s">
        <v>0</v>
      </c>
    </row>
    <row r="4710" spans="1:1" x14ac:dyDescent="0.3">
      <c r="A4710" t="s">
        <v>0</v>
      </c>
    </row>
    <row r="4711" spans="1:1" x14ac:dyDescent="0.3">
      <c r="A4711" t="s">
        <v>0</v>
      </c>
    </row>
    <row r="4712" spans="1:1" x14ac:dyDescent="0.3">
      <c r="A4712" t="s">
        <v>0</v>
      </c>
    </row>
    <row r="4713" spans="1:1" x14ac:dyDescent="0.3">
      <c r="A4713" t="s">
        <v>0</v>
      </c>
    </row>
    <row r="4714" spans="1:1" x14ac:dyDescent="0.3">
      <c r="A4714" t="s">
        <v>0</v>
      </c>
    </row>
    <row r="4715" spans="1:1" x14ac:dyDescent="0.3">
      <c r="A4715" t="s">
        <v>0</v>
      </c>
    </row>
    <row r="4716" spans="1:1" x14ac:dyDescent="0.3">
      <c r="A4716" t="s">
        <v>0</v>
      </c>
    </row>
    <row r="4717" spans="1:1" x14ac:dyDescent="0.3">
      <c r="A4717" t="s">
        <v>0</v>
      </c>
    </row>
    <row r="4718" spans="1:1" x14ac:dyDescent="0.3">
      <c r="A4718" t="s">
        <v>0</v>
      </c>
    </row>
    <row r="4719" spans="1:1" x14ac:dyDescent="0.3">
      <c r="A4719" t="s">
        <v>0</v>
      </c>
    </row>
    <row r="4720" spans="1:1" x14ac:dyDescent="0.3">
      <c r="A4720" t="s">
        <v>0</v>
      </c>
    </row>
    <row r="4721" spans="1:1" x14ac:dyDescent="0.3">
      <c r="A4721" t="s">
        <v>0</v>
      </c>
    </row>
    <row r="4722" spans="1:1" x14ac:dyDescent="0.3">
      <c r="A4722" t="s">
        <v>0</v>
      </c>
    </row>
    <row r="4723" spans="1:1" x14ac:dyDescent="0.3">
      <c r="A4723" t="s">
        <v>0</v>
      </c>
    </row>
    <row r="4724" spans="1:1" x14ac:dyDescent="0.3">
      <c r="A4724" t="s">
        <v>0</v>
      </c>
    </row>
    <row r="4725" spans="1:1" x14ac:dyDescent="0.3">
      <c r="A4725" t="s">
        <v>0</v>
      </c>
    </row>
    <row r="4726" spans="1:1" x14ac:dyDescent="0.3">
      <c r="A4726" t="s">
        <v>0</v>
      </c>
    </row>
    <row r="4727" spans="1:1" x14ac:dyDescent="0.3">
      <c r="A4727" t="s">
        <v>0</v>
      </c>
    </row>
    <row r="4728" spans="1:1" x14ac:dyDescent="0.3">
      <c r="A4728" t="s">
        <v>0</v>
      </c>
    </row>
    <row r="4729" spans="1:1" x14ac:dyDescent="0.3">
      <c r="A4729" t="s">
        <v>0</v>
      </c>
    </row>
    <row r="4730" spans="1:1" x14ac:dyDescent="0.3">
      <c r="A4730" t="s">
        <v>0</v>
      </c>
    </row>
    <row r="4731" spans="1:1" x14ac:dyDescent="0.3">
      <c r="A4731" t="s">
        <v>0</v>
      </c>
    </row>
    <row r="4732" spans="1:1" x14ac:dyDescent="0.3">
      <c r="A4732" t="s">
        <v>0</v>
      </c>
    </row>
    <row r="4733" spans="1:1" x14ac:dyDescent="0.3">
      <c r="A4733" t="s">
        <v>0</v>
      </c>
    </row>
    <row r="4734" spans="1:1" x14ac:dyDescent="0.3">
      <c r="A4734" t="s">
        <v>0</v>
      </c>
    </row>
    <row r="4735" spans="1:1" x14ac:dyDescent="0.3">
      <c r="A4735" t="s">
        <v>0</v>
      </c>
    </row>
    <row r="4736" spans="1:1" x14ac:dyDescent="0.3">
      <c r="A4736" t="s">
        <v>0</v>
      </c>
    </row>
    <row r="4737" spans="1:1" x14ac:dyDescent="0.3">
      <c r="A4737" t="s">
        <v>0</v>
      </c>
    </row>
    <row r="4738" spans="1:1" x14ac:dyDescent="0.3">
      <c r="A4738" t="s">
        <v>0</v>
      </c>
    </row>
    <row r="4739" spans="1:1" x14ac:dyDescent="0.3">
      <c r="A4739" t="s">
        <v>0</v>
      </c>
    </row>
    <row r="4740" spans="1:1" x14ac:dyDescent="0.3">
      <c r="A4740" t="s">
        <v>0</v>
      </c>
    </row>
    <row r="4741" spans="1:1" x14ac:dyDescent="0.3">
      <c r="A4741" t="s">
        <v>0</v>
      </c>
    </row>
    <row r="4742" spans="1:1" x14ac:dyDescent="0.3">
      <c r="A4742" t="s">
        <v>0</v>
      </c>
    </row>
    <row r="4743" spans="1:1" x14ac:dyDescent="0.3">
      <c r="A4743" t="s">
        <v>0</v>
      </c>
    </row>
    <row r="4744" spans="1:1" x14ac:dyDescent="0.3">
      <c r="A4744" t="s">
        <v>0</v>
      </c>
    </row>
    <row r="4745" spans="1:1" x14ac:dyDescent="0.3">
      <c r="A4745" t="s">
        <v>0</v>
      </c>
    </row>
    <row r="4746" spans="1:1" x14ac:dyDescent="0.3">
      <c r="A4746" t="s">
        <v>0</v>
      </c>
    </row>
    <row r="4747" spans="1:1" x14ac:dyDescent="0.3">
      <c r="A4747" t="s">
        <v>0</v>
      </c>
    </row>
    <row r="4748" spans="1:1" x14ac:dyDescent="0.3">
      <c r="A4748" t="s">
        <v>0</v>
      </c>
    </row>
    <row r="4749" spans="1:1" x14ac:dyDescent="0.3">
      <c r="A4749" t="s">
        <v>0</v>
      </c>
    </row>
    <row r="4750" spans="1:1" x14ac:dyDescent="0.3">
      <c r="A4750" t="s">
        <v>0</v>
      </c>
    </row>
    <row r="4751" spans="1:1" x14ac:dyDescent="0.3">
      <c r="A4751" t="s">
        <v>0</v>
      </c>
    </row>
    <row r="4752" spans="1:1" x14ac:dyDescent="0.3">
      <c r="A4752" t="s">
        <v>0</v>
      </c>
    </row>
    <row r="4753" spans="1:1" x14ac:dyDescent="0.3">
      <c r="A4753" t="s">
        <v>0</v>
      </c>
    </row>
    <row r="4754" spans="1:1" x14ac:dyDescent="0.3">
      <c r="A4754" t="s">
        <v>0</v>
      </c>
    </row>
    <row r="4755" spans="1:1" x14ac:dyDescent="0.3">
      <c r="A4755" t="s">
        <v>0</v>
      </c>
    </row>
    <row r="4756" spans="1:1" x14ac:dyDescent="0.3">
      <c r="A4756" t="s">
        <v>0</v>
      </c>
    </row>
    <row r="4757" spans="1:1" x14ac:dyDescent="0.3">
      <c r="A4757" t="s">
        <v>0</v>
      </c>
    </row>
    <row r="4758" spans="1:1" x14ac:dyDescent="0.3">
      <c r="A4758" t="s">
        <v>0</v>
      </c>
    </row>
    <row r="4759" spans="1:1" x14ac:dyDescent="0.3">
      <c r="A4759" t="s">
        <v>0</v>
      </c>
    </row>
    <row r="4760" spans="1:1" x14ac:dyDescent="0.3">
      <c r="A4760" t="s">
        <v>0</v>
      </c>
    </row>
    <row r="4761" spans="1:1" x14ac:dyDescent="0.3">
      <c r="A4761" t="s">
        <v>0</v>
      </c>
    </row>
    <row r="4762" spans="1:1" x14ac:dyDescent="0.3">
      <c r="A4762" t="s">
        <v>0</v>
      </c>
    </row>
    <row r="4763" spans="1:1" x14ac:dyDescent="0.3">
      <c r="A4763" t="s">
        <v>0</v>
      </c>
    </row>
    <row r="4764" spans="1:1" x14ac:dyDescent="0.3">
      <c r="A4764" t="s">
        <v>0</v>
      </c>
    </row>
    <row r="4765" spans="1:1" x14ac:dyDescent="0.3">
      <c r="A4765" t="s">
        <v>0</v>
      </c>
    </row>
    <row r="4766" spans="1:1" x14ac:dyDescent="0.3">
      <c r="A4766" t="s">
        <v>0</v>
      </c>
    </row>
    <row r="4767" spans="1:1" x14ac:dyDescent="0.3">
      <c r="A4767" t="s">
        <v>0</v>
      </c>
    </row>
    <row r="4768" spans="1:1" x14ac:dyDescent="0.3">
      <c r="A4768" t="s">
        <v>0</v>
      </c>
    </row>
    <row r="4769" spans="1:1" x14ac:dyDescent="0.3">
      <c r="A4769" t="s">
        <v>0</v>
      </c>
    </row>
    <row r="4770" spans="1:1" x14ac:dyDescent="0.3">
      <c r="A4770" t="s">
        <v>0</v>
      </c>
    </row>
    <row r="4771" spans="1:1" x14ac:dyDescent="0.3">
      <c r="A4771" t="s">
        <v>0</v>
      </c>
    </row>
    <row r="4772" spans="1:1" x14ac:dyDescent="0.3">
      <c r="A4772" t="s">
        <v>0</v>
      </c>
    </row>
    <row r="4773" spans="1:1" x14ac:dyDescent="0.3">
      <c r="A4773" t="s">
        <v>0</v>
      </c>
    </row>
    <row r="4774" spans="1:1" x14ac:dyDescent="0.3">
      <c r="A4774" t="s">
        <v>0</v>
      </c>
    </row>
    <row r="4775" spans="1:1" x14ac:dyDescent="0.3">
      <c r="A4775" t="s">
        <v>0</v>
      </c>
    </row>
    <row r="4776" spans="1:1" x14ac:dyDescent="0.3">
      <c r="A4776" t="s">
        <v>0</v>
      </c>
    </row>
    <row r="4777" spans="1:1" x14ac:dyDescent="0.3">
      <c r="A4777" t="s">
        <v>0</v>
      </c>
    </row>
    <row r="4778" spans="1:1" x14ac:dyDescent="0.3">
      <c r="A4778" t="s">
        <v>0</v>
      </c>
    </row>
    <row r="4779" spans="1:1" x14ac:dyDescent="0.3">
      <c r="A4779" t="s">
        <v>0</v>
      </c>
    </row>
    <row r="4780" spans="1:1" x14ac:dyDescent="0.3">
      <c r="A4780" t="s">
        <v>0</v>
      </c>
    </row>
    <row r="4781" spans="1:1" x14ac:dyDescent="0.3">
      <c r="A4781" t="s">
        <v>0</v>
      </c>
    </row>
    <row r="4782" spans="1:1" x14ac:dyDescent="0.3">
      <c r="A4782" t="s">
        <v>0</v>
      </c>
    </row>
    <row r="4783" spans="1:1" x14ac:dyDescent="0.3">
      <c r="A4783" t="s">
        <v>0</v>
      </c>
    </row>
    <row r="4784" spans="1:1" x14ac:dyDescent="0.3">
      <c r="A4784" t="s">
        <v>0</v>
      </c>
    </row>
    <row r="4785" spans="1:1" x14ac:dyDescent="0.3">
      <c r="A4785" t="s">
        <v>0</v>
      </c>
    </row>
    <row r="4786" spans="1:1" x14ac:dyDescent="0.3">
      <c r="A4786" t="s">
        <v>0</v>
      </c>
    </row>
    <row r="4787" spans="1:1" x14ac:dyDescent="0.3">
      <c r="A4787" t="s">
        <v>0</v>
      </c>
    </row>
    <row r="4788" spans="1:1" x14ac:dyDescent="0.3">
      <c r="A4788" t="s">
        <v>0</v>
      </c>
    </row>
    <row r="4789" spans="1:1" x14ac:dyDescent="0.3">
      <c r="A4789" t="s">
        <v>0</v>
      </c>
    </row>
    <row r="4790" spans="1:1" x14ac:dyDescent="0.3">
      <c r="A4790" t="s">
        <v>0</v>
      </c>
    </row>
    <row r="4791" spans="1:1" x14ac:dyDescent="0.3">
      <c r="A4791" t="s">
        <v>0</v>
      </c>
    </row>
    <row r="4792" spans="1:1" x14ac:dyDescent="0.3">
      <c r="A4792" t="s">
        <v>0</v>
      </c>
    </row>
    <row r="4793" spans="1:1" x14ac:dyDescent="0.3">
      <c r="A4793" t="s">
        <v>0</v>
      </c>
    </row>
    <row r="4794" spans="1:1" x14ac:dyDescent="0.3">
      <c r="A4794" t="s">
        <v>0</v>
      </c>
    </row>
    <row r="4795" spans="1:1" x14ac:dyDescent="0.3">
      <c r="A4795" t="s">
        <v>0</v>
      </c>
    </row>
    <row r="4796" spans="1:1" x14ac:dyDescent="0.3">
      <c r="A4796" t="s">
        <v>0</v>
      </c>
    </row>
    <row r="4797" spans="1:1" x14ac:dyDescent="0.3">
      <c r="A4797" t="s">
        <v>0</v>
      </c>
    </row>
    <row r="4798" spans="1:1" x14ac:dyDescent="0.3">
      <c r="A4798" t="s">
        <v>0</v>
      </c>
    </row>
    <row r="4799" spans="1:1" x14ac:dyDescent="0.3">
      <c r="A4799" t="s">
        <v>0</v>
      </c>
    </row>
    <row r="4800" spans="1:1" x14ac:dyDescent="0.3">
      <c r="A4800" t="s">
        <v>0</v>
      </c>
    </row>
    <row r="4801" spans="1:1" x14ac:dyDescent="0.3">
      <c r="A4801" t="s">
        <v>0</v>
      </c>
    </row>
    <row r="4802" spans="1:1" x14ac:dyDescent="0.3">
      <c r="A4802" t="s">
        <v>0</v>
      </c>
    </row>
    <row r="4803" spans="1:1" x14ac:dyDescent="0.3">
      <c r="A4803" t="s">
        <v>0</v>
      </c>
    </row>
    <row r="4804" spans="1:1" x14ac:dyDescent="0.3">
      <c r="A4804" t="s">
        <v>0</v>
      </c>
    </row>
    <row r="4805" spans="1:1" x14ac:dyDescent="0.3">
      <c r="A4805" t="s">
        <v>0</v>
      </c>
    </row>
    <row r="4806" spans="1:1" x14ac:dyDescent="0.3">
      <c r="A4806" t="s">
        <v>0</v>
      </c>
    </row>
    <row r="4807" spans="1:1" x14ac:dyDescent="0.3">
      <c r="A4807" t="s">
        <v>0</v>
      </c>
    </row>
    <row r="4808" spans="1:1" x14ac:dyDescent="0.3">
      <c r="A4808" t="s">
        <v>0</v>
      </c>
    </row>
    <row r="4809" spans="1:1" x14ac:dyDescent="0.3">
      <c r="A4809" t="s">
        <v>0</v>
      </c>
    </row>
    <row r="4810" spans="1:1" x14ac:dyDescent="0.3">
      <c r="A4810" t="s">
        <v>0</v>
      </c>
    </row>
    <row r="4811" spans="1:1" x14ac:dyDescent="0.3">
      <c r="A4811" t="s">
        <v>0</v>
      </c>
    </row>
    <row r="4812" spans="1:1" x14ac:dyDescent="0.3">
      <c r="A4812" t="s">
        <v>0</v>
      </c>
    </row>
    <row r="4813" spans="1:1" x14ac:dyDescent="0.3">
      <c r="A4813" t="s">
        <v>0</v>
      </c>
    </row>
    <row r="4814" spans="1:1" x14ac:dyDescent="0.3">
      <c r="A4814" t="s">
        <v>0</v>
      </c>
    </row>
    <row r="4815" spans="1:1" x14ac:dyDescent="0.3">
      <c r="A4815" t="s">
        <v>0</v>
      </c>
    </row>
    <row r="4816" spans="1:1" x14ac:dyDescent="0.3">
      <c r="A4816" t="s">
        <v>0</v>
      </c>
    </row>
    <row r="4817" spans="1:1" x14ac:dyDescent="0.3">
      <c r="A4817" t="s">
        <v>0</v>
      </c>
    </row>
    <row r="4818" spans="1:1" x14ac:dyDescent="0.3">
      <c r="A4818" t="s">
        <v>0</v>
      </c>
    </row>
    <row r="4819" spans="1:1" x14ac:dyDescent="0.3">
      <c r="A4819" t="s">
        <v>0</v>
      </c>
    </row>
    <row r="4820" spans="1:1" x14ac:dyDescent="0.3">
      <c r="A4820" t="s">
        <v>0</v>
      </c>
    </row>
    <row r="4821" spans="1:1" x14ac:dyDescent="0.3">
      <c r="A4821" t="s">
        <v>0</v>
      </c>
    </row>
    <row r="4822" spans="1:1" x14ac:dyDescent="0.3">
      <c r="A4822" t="s">
        <v>0</v>
      </c>
    </row>
    <row r="4823" spans="1:1" x14ac:dyDescent="0.3">
      <c r="A4823" t="s">
        <v>0</v>
      </c>
    </row>
    <row r="4824" spans="1:1" x14ac:dyDescent="0.3">
      <c r="A4824" t="s">
        <v>0</v>
      </c>
    </row>
    <row r="4825" spans="1:1" x14ac:dyDescent="0.3">
      <c r="A4825" t="s">
        <v>0</v>
      </c>
    </row>
    <row r="4826" spans="1:1" x14ac:dyDescent="0.3">
      <c r="A4826" t="s">
        <v>0</v>
      </c>
    </row>
    <row r="4827" spans="1:1" x14ac:dyDescent="0.3">
      <c r="A4827" t="s">
        <v>0</v>
      </c>
    </row>
    <row r="4828" spans="1:1" x14ac:dyDescent="0.3">
      <c r="A4828" t="s">
        <v>0</v>
      </c>
    </row>
    <row r="4829" spans="1:1" x14ac:dyDescent="0.3">
      <c r="A4829" t="s">
        <v>0</v>
      </c>
    </row>
    <row r="4830" spans="1:1" x14ac:dyDescent="0.3">
      <c r="A4830" t="s">
        <v>0</v>
      </c>
    </row>
    <row r="4831" spans="1:1" x14ac:dyDescent="0.3">
      <c r="A4831" t="s">
        <v>0</v>
      </c>
    </row>
    <row r="4832" spans="1:1" x14ac:dyDescent="0.3">
      <c r="A4832" t="s">
        <v>0</v>
      </c>
    </row>
    <row r="4833" spans="1:1" x14ac:dyDescent="0.3">
      <c r="A4833" t="s">
        <v>0</v>
      </c>
    </row>
    <row r="4834" spans="1:1" x14ac:dyDescent="0.3">
      <c r="A4834" t="s">
        <v>0</v>
      </c>
    </row>
    <row r="4835" spans="1:1" x14ac:dyDescent="0.3">
      <c r="A4835" t="s">
        <v>0</v>
      </c>
    </row>
    <row r="4836" spans="1:1" x14ac:dyDescent="0.3">
      <c r="A4836" t="s">
        <v>0</v>
      </c>
    </row>
    <row r="4837" spans="1:1" x14ac:dyDescent="0.3">
      <c r="A4837" t="s">
        <v>0</v>
      </c>
    </row>
    <row r="4838" spans="1:1" x14ac:dyDescent="0.3">
      <c r="A4838" t="s">
        <v>0</v>
      </c>
    </row>
    <row r="4839" spans="1:1" x14ac:dyDescent="0.3">
      <c r="A4839" t="s">
        <v>0</v>
      </c>
    </row>
    <row r="4840" spans="1:1" x14ac:dyDescent="0.3">
      <c r="A4840" t="s">
        <v>0</v>
      </c>
    </row>
    <row r="4841" spans="1:1" x14ac:dyDescent="0.3">
      <c r="A4841" t="s">
        <v>0</v>
      </c>
    </row>
    <row r="4842" spans="1:1" x14ac:dyDescent="0.3">
      <c r="A4842" t="s">
        <v>0</v>
      </c>
    </row>
    <row r="4843" spans="1:1" x14ac:dyDescent="0.3">
      <c r="A4843" t="s">
        <v>0</v>
      </c>
    </row>
    <row r="4844" spans="1:1" x14ac:dyDescent="0.3">
      <c r="A4844" t="s">
        <v>0</v>
      </c>
    </row>
    <row r="4845" spans="1:1" x14ac:dyDescent="0.3">
      <c r="A4845" t="s">
        <v>0</v>
      </c>
    </row>
    <row r="4846" spans="1:1" x14ac:dyDescent="0.3">
      <c r="A4846" t="s">
        <v>0</v>
      </c>
    </row>
    <row r="4847" spans="1:1" x14ac:dyDescent="0.3">
      <c r="A4847" t="s">
        <v>0</v>
      </c>
    </row>
    <row r="4848" spans="1:1" x14ac:dyDescent="0.3">
      <c r="A4848" t="s">
        <v>0</v>
      </c>
    </row>
    <row r="4849" spans="1:1" x14ac:dyDescent="0.3">
      <c r="A4849" t="s">
        <v>0</v>
      </c>
    </row>
    <row r="4850" spans="1:1" x14ac:dyDescent="0.3">
      <c r="A4850" t="s">
        <v>0</v>
      </c>
    </row>
    <row r="4851" spans="1:1" x14ac:dyDescent="0.3">
      <c r="A4851" t="s">
        <v>0</v>
      </c>
    </row>
    <row r="4852" spans="1:1" x14ac:dyDescent="0.3">
      <c r="A4852" t="s">
        <v>0</v>
      </c>
    </row>
    <row r="4853" spans="1:1" x14ac:dyDescent="0.3">
      <c r="A4853" t="s">
        <v>0</v>
      </c>
    </row>
    <row r="4854" spans="1:1" x14ac:dyDescent="0.3">
      <c r="A4854" t="s">
        <v>0</v>
      </c>
    </row>
    <row r="4855" spans="1:1" x14ac:dyDescent="0.3">
      <c r="A4855" t="s">
        <v>0</v>
      </c>
    </row>
    <row r="4856" spans="1:1" x14ac:dyDescent="0.3">
      <c r="A4856" t="s">
        <v>0</v>
      </c>
    </row>
    <row r="4857" spans="1:1" x14ac:dyDescent="0.3">
      <c r="A4857" t="s">
        <v>0</v>
      </c>
    </row>
    <row r="4858" spans="1:1" x14ac:dyDescent="0.3">
      <c r="A4858" t="s">
        <v>0</v>
      </c>
    </row>
    <row r="4859" spans="1:1" x14ac:dyDescent="0.3">
      <c r="A4859" t="s">
        <v>0</v>
      </c>
    </row>
    <row r="4860" spans="1:1" x14ac:dyDescent="0.3">
      <c r="A4860" t="s">
        <v>0</v>
      </c>
    </row>
    <row r="4861" spans="1:1" x14ac:dyDescent="0.3">
      <c r="A4861" t="s">
        <v>0</v>
      </c>
    </row>
    <row r="4862" spans="1:1" x14ac:dyDescent="0.3">
      <c r="A4862" t="s">
        <v>0</v>
      </c>
    </row>
    <row r="4863" spans="1:1" x14ac:dyDescent="0.3">
      <c r="A4863" t="s">
        <v>0</v>
      </c>
    </row>
    <row r="4864" spans="1:1" x14ac:dyDescent="0.3">
      <c r="A4864" t="s">
        <v>0</v>
      </c>
    </row>
    <row r="4865" spans="1:1" x14ac:dyDescent="0.3">
      <c r="A4865" t="s">
        <v>0</v>
      </c>
    </row>
    <row r="4866" spans="1:1" x14ac:dyDescent="0.3">
      <c r="A4866" t="s">
        <v>0</v>
      </c>
    </row>
    <row r="4867" spans="1:1" x14ac:dyDescent="0.3">
      <c r="A4867" t="s">
        <v>0</v>
      </c>
    </row>
    <row r="4868" spans="1:1" x14ac:dyDescent="0.3">
      <c r="A4868" t="s">
        <v>0</v>
      </c>
    </row>
    <row r="4869" spans="1:1" x14ac:dyDescent="0.3">
      <c r="A4869" t="s">
        <v>0</v>
      </c>
    </row>
    <row r="4870" spans="1:1" x14ac:dyDescent="0.3">
      <c r="A4870" t="s">
        <v>0</v>
      </c>
    </row>
    <row r="4871" spans="1:1" x14ac:dyDescent="0.3">
      <c r="A4871" t="s">
        <v>0</v>
      </c>
    </row>
    <row r="4872" spans="1:1" x14ac:dyDescent="0.3">
      <c r="A4872" t="s">
        <v>0</v>
      </c>
    </row>
    <row r="4873" spans="1:1" x14ac:dyDescent="0.3">
      <c r="A4873" t="s">
        <v>0</v>
      </c>
    </row>
    <row r="4874" spans="1:1" x14ac:dyDescent="0.3">
      <c r="A4874" t="s">
        <v>0</v>
      </c>
    </row>
    <row r="4875" spans="1:1" x14ac:dyDescent="0.3">
      <c r="A4875" t="s">
        <v>0</v>
      </c>
    </row>
    <row r="4876" spans="1:1" x14ac:dyDescent="0.3">
      <c r="A4876" t="s">
        <v>0</v>
      </c>
    </row>
    <row r="4877" spans="1:1" x14ac:dyDescent="0.3">
      <c r="A4877" t="s">
        <v>0</v>
      </c>
    </row>
    <row r="4878" spans="1:1" x14ac:dyDescent="0.3">
      <c r="A4878" t="s">
        <v>0</v>
      </c>
    </row>
    <row r="4879" spans="1:1" x14ac:dyDescent="0.3">
      <c r="A4879" t="s">
        <v>0</v>
      </c>
    </row>
    <row r="4880" spans="1:1" x14ac:dyDescent="0.3">
      <c r="A4880" t="s">
        <v>0</v>
      </c>
    </row>
    <row r="4881" spans="1:1" x14ac:dyDescent="0.3">
      <c r="A4881" t="s">
        <v>0</v>
      </c>
    </row>
    <row r="4882" spans="1:1" x14ac:dyDescent="0.3">
      <c r="A4882" t="s">
        <v>0</v>
      </c>
    </row>
    <row r="4883" spans="1:1" x14ac:dyDescent="0.3">
      <c r="A4883" t="s">
        <v>0</v>
      </c>
    </row>
    <row r="4884" spans="1:1" x14ac:dyDescent="0.3">
      <c r="A4884" t="s">
        <v>0</v>
      </c>
    </row>
    <row r="4885" spans="1:1" x14ac:dyDescent="0.3">
      <c r="A4885" t="s">
        <v>0</v>
      </c>
    </row>
    <row r="4886" spans="1:1" x14ac:dyDescent="0.3">
      <c r="A4886" t="s">
        <v>0</v>
      </c>
    </row>
    <row r="4887" spans="1:1" x14ac:dyDescent="0.3">
      <c r="A4887" t="s">
        <v>0</v>
      </c>
    </row>
    <row r="4888" spans="1:1" x14ac:dyDescent="0.3">
      <c r="A4888" t="s">
        <v>0</v>
      </c>
    </row>
    <row r="4889" spans="1:1" x14ac:dyDescent="0.3">
      <c r="A4889" t="s">
        <v>0</v>
      </c>
    </row>
    <row r="4890" spans="1:1" x14ac:dyDescent="0.3">
      <c r="A4890" t="s">
        <v>0</v>
      </c>
    </row>
    <row r="4891" spans="1:1" x14ac:dyDescent="0.3">
      <c r="A4891" t="s">
        <v>0</v>
      </c>
    </row>
    <row r="4892" spans="1:1" x14ac:dyDescent="0.3">
      <c r="A4892" t="s">
        <v>0</v>
      </c>
    </row>
    <row r="4893" spans="1:1" x14ac:dyDescent="0.3">
      <c r="A4893" t="s">
        <v>0</v>
      </c>
    </row>
    <row r="4894" spans="1:1" x14ac:dyDescent="0.3">
      <c r="A4894" t="s">
        <v>0</v>
      </c>
    </row>
    <row r="4895" spans="1:1" x14ac:dyDescent="0.3">
      <c r="A4895" t="s">
        <v>0</v>
      </c>
    </row>
    <row r="4896" spans="1:1" x14ac:dyDescent="0.3">
      <c r="A4896" t="s">
        <v>0</v>
      </c>
    </row>
    <row r="4897" spans="1:1" x14ac:dyDescent="0.3">
      <c r="A4897" t="s">
        <v>0</v>
      </c>
    </row>
    <row r="4898" spans="1:1" x14ac:dyDescent="0.3">
      <c r="A4898" t="s">
        <v>0</v>
      </c>
    </row>
    <row r="4899" spans="1:1" x14ac:dyDescent="0.3">
      <c r="A4899" t="s">
        <v>0</v>
      </c>
    </row>
    <row r="4900" spans="1:1" x14ac:dyDescent="0.3">
      <c r="A4900" t="s">
        <v>0</v>
      </c>
    </row>
    <row r="4901" spans="1:1" x14ac:dyDescent="0.3">
      <c r="A4901" t="s">
        <v>0</v>
      </c>
    </row>
    <row r="4902" spans="1:1" x14ac:dyDescent="0.3">
      <c r="A4902" t="s">
        <v>0</v>
      </c>
    </row>
    <row r="4903" spans="1:1" x14ac:dyDescent="0.3">
      <c r="A4903" t="s">
        <v>0</v>
      </c>
    </row>
    <row r="4904" spans="1:1" x14ac:dyDescent="0.3">
      <c r="A4904" t="s">
        <v>0</v>
      </c>
    </row>
    <row r="4905" spans="1:1" x14ac:dyDescent="0.3">
      <c r="A4905" t="s">
        <v>0</v>
      </c>
    </row>
    <row r="4906" spans="1:1" x14ac:dyDescent="0.3">
      <c r="A4906" t="s">
        <v>0</v>
      </c>
    </row>
    <row r="4907" spans="1:1" x14ac:dyDescent="0.3">
      <c r="A4907" t="s">
        <v>0</v>
      </c>
    </row>
    <row r="4908" spans="1:1" x14ac:dyDescent="0.3">
      <c r="A4908" t="s">
        <v>0</v>
      </c>
    </row>
    <row r="4909" spans="1:1" x14ac:dyDescent="0.3">
      <c r="A4909" t="s">
        <v>0</v>
      </c>
    </row>
    <row r="4910" spans="1:1" x14ac:dyDescent="0.3">
      <c r="A4910" t="s">
        <v>0</v>
      </c>
    </row>
    <row r="4911" spans="1:1" x14ac:dyDescent="0.3">
      <c r="A4911" t="s">
        <v>0</v>
      </c>
    </row>
    <row r="4912" spans="1:1" x14ac:dyDescent="0.3">
      <c r="A4912" t="s">
        <v>0</v>
      </c>
    </row>
    <row r="4913" spans="1:1" x14ac:dyDescent="0.3">
      <c r="A4913" t="s">
        <v>0</v>
      </c>
    </row>
    <row r="4914" spans="1:1" x14ac:dyDescent="0.3">
      <c r="A4914" t="s">
        <v>0</v>
      </c>
    </row>
    <row r="4915" spans="1:1" x14ac:dyDescent="0.3">
      <c r="A4915" t="s">
        <v>0</v>
      </c>
    </row>
    <row r="4916" spans="1:1" x14ac:dyDescent="0.3">
      <c r="A4916" t="s">
        <v>0</v>
      </c>
    </row>
    <row r="4917" spans="1:1" x14ac:dyDescent="0.3">
      <c r="A4917" t="s">
        <v>0</v>
      </c>
    </row>
    <row r="4918" spans="1:1" x14ac:dyDescent="0.3">
      <c r="A4918" t="s">
        <v>0</v>
      </c>
    </row>
    <row r="4919" spans="1:1" x14ac:dyDescent="0.3">
      <c r="A4919" t="s">
        <v>0</v>
      </c>
    </row>
    <row r="4920" spans="1:1" x14ac:dyDescent="0.3">
      <c r="A4920" t="s">
        <v>0</v>
      </c>
    </row>
    <row r="4921" spans="1:1" x14ac:dyDescent="0.3">
      <c r="A4921" t="s">
        <v>0</v>
      </c>
    </row>
    <row r="4922" spans="1:1" x14ac:dyDescent="0.3">
      <c r="A4922" t="s">
        <v>0</v>
      </c>
    </row>
    <row r="4923" spans="1:1" x14ac:dyDescent="0.3">
      <c r="A4923" t="s">
        <v>0</v>
      </c>
    </row>
    <row r="4924" spans="1:1" x14ac:dyDescent="0.3">
      <c r="A4924" t="s">
        <v>0</v>
      </c>
    </row>
    <row r="4925" spans="1:1" x14ac:dyDescent="0.3">
      <c r="A4925" t="s">
        <v>0</v>
      </c>
    </row>
    <row r="4926" spans="1:1" x14ac:dyDescent="0.3">
      <c r="A4926" t="s">
        <v>0</v>
      </c>
    </row>
    <row r="4927" spans="1:1" x14ac:dyDescent="0.3">
      <c r="A4927" t="s">
        <v>0</v>
      </c>
    </row>
    <row r="4928" spans="1:1" x14ac:dyDescent="0.3">
      <c r="A4928" t="s">
        <v>0</v>
      </c>
    </row>
    <row r="4929" spans="1:1" x14ac:dyDescent="0.3">
      <c r="A4929" t="s">
        <v>0</v>
      </c>
    </row>
    <row r="4930" spans="1:1" x14ac:dyDescent="0.3">
      <c r="A4930" t="s">
        <v>0</v>
      </c>
    </row>
    <row r="4931" spans="1:1" x14ac:dyDescent="0.3">
      <c r="A4931" t="s">
        <v>0</v>
      </c>
    </row>
    <row r="4932" spans="1:1" x14ac:dyDescent="0.3">
      <c r="A4932" t="s">
        <v>0</v>
      </c>
    </row>
    <row r="4933" spans="1:1" x14ac:dyDescent="0.3">
      <c r="A4933" t="s">
        <v>0</v>
      </c>
    </row>
    <row r="4934" spans="1:1" x14ac:dyDescent="0.3">
      <c r="A4934" t="s">
        <v>0</v>
      </c>
    </row>
    <row r="4935" spans="1:1" x14ac:dyDescent="0.3">
      <c r="A4935" t="s">
        <v>0</v>
      </c>
    </row>
    <row r="4936" spans="1:1" x14ac:dyDescent="0.3">
      <c r="A4936" t="s">
        <v>0</v>
      </c>
    </row>
    <row r="4937" spans="1:1" x14ac:dyDescent="0.3">
      <c r="A4937" t="s">
        <v>0</v>
      </c>
    </row>
    <row r="4938" spans="1:1" x14ac:dyDescent="0.3">
      <c r="A4938" t="s">
        <v>0</v>
      </c>
    </row>
    <row r="4939" spans="1:1" x14ac:dyDescent="0.3">
      <c r="A4939" t="s">
        <v>0</v>
      </c>
    </row>
    <row r="4940" spans="1:1" x14ac:dyDescent="0.3">
      <c r="A4940" t="s">
        <v>0</v>
      </c>
    </row>
    <row r="4941" spans="1:1" x14ac:dyDescent="0.3">
      <c r="A4941" t="s">
        <v>0</v>
      </c>
    </row>
    <row r="4942" spans="1:1" x14ac:dyDescent="0.3">
      <c r="A4942" t="s">
        <v>0</v>
      </c>
    </row>
    <row r="4943" spans="1:1" x14ac:dyDescent="0.3">
      <c r="A4943" t="s">
        <v>0</v>
      </c>
    </row>
    <row r="4944" spans="1:1" x14ac:dyDescent="0.3">
      <c r="A4944" t="s">
        <v>0</v>
      </c>
    </row>
    <row r="4945" spans="1:1" x14ac:dyDescent="0.3">
      <c r="A4945" t="s">
        <v>0</v>
      </c>
    </row>
    <row r="4946" spans="1:1" x14ac:dyDescent="0.3">
      <c r="A4946" t="s">
        <v>0</v>
      </c>
    </row>
    <row r="4947" spans="1:1" x14ac:dyDescent="0.3">
      <c r="A4947" t="s">
        <v>0</v>
      </c>
    </row>
    <row r="4948" spans="1:1" x14ac:dyDescent="0.3">
      <c r="A4948" t="s">
        <v>0</v>
      </c>
    </row>
    <row r="4949" spans="1:1" x14ac:dyDescent="0.3">
      <c r="A4949" t="s">
        <v>0</v>
      </c>
    </row>
    <row r="4950" spans="1:1" x14ac:dyDescent="0.3">
      <c r="A4950" t="s">
        <v>0</v>
      </c>
    </row>
    <row r="4951" spans="1:1" x14ac:dyDescent="0.3">
      <c r="A4951" t="s">
        <v>0</v>
      </c>
    </row>
    <row r="4952" spans="1:1" x14ac:dyDescent="0.3">
      <c r="A4952" t="s">
        <v>0</v>
      </c>
    </row>
    <row r="4953" spans="1:1" x14ac:dyDescent="0.3">
      <c r="A4953" t="s">
        <v>0</v>
      </c>
    </row>
    <row r="4954" spans="1:1" x14ac:dyDescent="0.3">
      <c r="A4954" t="s">
        <v>0</v>
      </c>
    </row>
    <row r="4955" spans="1:1" x14ac:dyDescent="0.3">
      <c r="A4955" t="s">
        <v>0</v>
      </c>
    </row>
    <row r="4956" spans="1:1" x14ac:dyDescent="0.3">
      <c r="A4956" t="s">
        <v>0</v>
      </c>
    </row>
    <row r="4957" spans="1:1" x14ac:dyDescent="0.3">
      <c r="A4957" t="s">
        <v>0</v>
      </c>
    </row>
    <row r="4958" spans="1:1" x14ac:dyDescent="0.3">
      <c r="A4958" t="s">
        <v>0</v>
      </c>
    </row>
    <row r="4959" spans="1:1" x14ac:dyDescent="0.3">
      <c r="A4959" t="s">
        <v>0</v>
      </c>
    </row>
    <row r="4960" spans="1:1" x14ac:dyDescent="0.3">
      <c r="A4960" t="s">
        <v>0</v>
      </c>
    </row>
    <row r="4961" spans="1:1" x14ac:dyDescent="0.3">
      <c r="A4961" t="s">
        <v>0</v>
      </c>
    </row>
    <row r="4962" spans="1:1" x14ac:dyDescent="0.3">
      <c r="A4962" t="s">
        <v>0</v>
      </c>
    </row>
    <row r="4963" spans="1:1" x14ac:dyDescent="0.3">
      <c r="A4963" t="s">
        <v>0</v>
      </c>
    </row>
    <row r="4964" spans="1:1" x14ac:dyDescent="0.3">
      <c r="A4964" t="s">
        <v>0</v>
      </c>
    </row>
    <row r="4965" spans="1:1" x14ac:dyDescent="0.3">
      <c r="A4965" t="s">
        <v>0</v>
      </c>
    </row>
    <row r="4966" spans="1:1" x14ac:dyDescent="0.3">
      <c r="A4966" t="s">
        <v>0</v>
      </c>
    </row>
    <row r="4967" spans="1:1" x14ac:dyDescent="0.3">
      <c r="A4967" t="s">
        <v>0</v>
      </c>
    </row>
    <row r="4968" spans="1:1" x14ac:dyDescent="0.3">
      <c r="A4968" t="s">
        <v>0</v>
      </c>
    </row>
    <row r="4969" spans="1:1" x14ac:dyDescent="0.3">
      <c r="A4969" t="s">
        <v>0</v>
      </c>
    </row>
    <row r="4970" spans="1:1" x14ac:dyDescent="0.3">
      <c r="A4970" t="s">
        <v>0</v>
      </c>
    </row>
    <row r="4971" spans="1:1" x14ac:dyDescent="0.3">
      <c r="A4971" t="s">
        <v>0</v>
      </c>
    </row>
    <row r="4972" spans="1:1" x14ac:dyDescent="0.3">
      <c r="A4972" t="s">
        <v>0</v>
      </c>
    </row>
    <row r="4973" spans="1:1" x14ac:dyDescent="0.3">
      <c r="A4973" t="s">
        <v>0</v>
      </c>
    </row>
    <row r="4974" spans="1:1" x14ac:dyDescent="0.3">
      <c r="A4974" t="s">
        <v>0</v>
      </c>
    </row>
    <row r="4975" spans="1:1" x14ac:dyDescent="0.3">
      <c r="A4975" t="s">
        <v>0</v>
      </c>
    </row>
    <row r="4976" spans="1:1" x14ac:dyDescent="0.3">
      <c r="A4976" t="s">
        <v>0</v>
      </c>
    </row>
    <row r="4977" spans="1:1" x14ac:dyDescent="0.3">
      <c r="A4977" t="s">
        <v>0</v>
      </c>
    </row>
    <row r="4978" spans="1:1" x14ac:dyDescent="0.3">
      <c r="A4978" t="s">
        <v>0</v>
      </c>
    </row>
    <row r="4979" spans="1:1" x14ac:dyDescent="0.3">
      <c r="A4979" t="s">
        <v>0</v>
      </c>
    </row>
    <row r="4980" spans="1:1" x14ac:dyDescent="0.3">
      <c r="A4980" t="s">
        <v>0</v>
      </c>
    </row>
    <row r="4981" spans="1:1" x14ac:dyDescent="0.3">
      <c r="A4981" t="s">
        <v>0</v>
      </c>
    </row>
    <row r="4982" spans="1:1" x14ac:dyDescent="0.3">
      <c r="A4982" t="s">
        <v>0</v>
      </c>
    </row>
    <row r="4983" spans="1:1" x14ac:dyDescent="0.3">
      <c r="A4983" t="s">
        <v>0</v>
      </c>
    </row>
    <row r="4984" spans="1:1" x14ac:dyDescent="0.3">
      <c r="A4984" t="s">
        <v>0</v>
      </c>
    </row>
    <row r="4985" spans="1:1" x14ac:dyDescent="0.3">
      <c r="A4985" t="s">
        <v>0</v>
      </c>
    </row>
    <row r="4986" spans="1:1" x14ac:dyDescent="0.3">
      <c r="A4986" t="s">
        <v>0</v>
      </c>
    </row>
    <row r="4987" spans="1:1" x14ac:dyDescent="0.3">
      <c r="A4987" t="s">
        <v>0</v>
      </c>
    </row>
    <row r="4988" spans="1:1" x14ac:dyDescent="0.3">
      <c r="A4988" t="s">
        <v>0</v>
      </c>
    </row>
    <row r="4989" spans="1:1" x14ac:dyDescent="0.3">
      <c r="A4989" t="s">
        <v>0</v>
      </c>
    </row>
    <row r="4990" spans="1:1" x14ac:dyDescent="0.3">
      <c r="A4990" t="s">
        <v>0</v>
      </c>
    </row>
    <row r="4991" spans="1:1" x14ac:dyDescent="0.3">
      <c r="A4991" t="s">
        <v>0</v>
      </c>
    </row>
    <row r="4992" spans="1:1" x14ac:dyDescent="0.3">
      <c r="A4992" t="s">
        <v>0</v>
      </c>
    </row>
    <row r="4993" spans="1:1" x14ac:dyDescent="0.3">
      <c r="A4993" t="s">
        <v>0</v>
      </c>
    </row>
    <row r="4994" spans="1:1" x14ac:dyDescent="0.3">
      <c r="A4994" t="s">
        <v>0</v>
      </c>
    </row>
    <row r="4995" spans="1:1" x14ac:dyDescent="0.3">
      <c r="A4995" t="s">
        <v>0</v>
      </c>
    </row>
    <row r="4996" spans="1:1" x14ac:dyDescent="0.3">
      <c r="A4996" t="s">
        <v>0</v>
      </c>
    </row>
    <row r="4997" spans="1:1" x14ac:dyDescent="0.3">
      <c r="A4997" t="s">
        <v>0</v>
      </c>
    </row>
    <row r="4998" spans="1:1" x14ac:dyDescent="0.3">
      <c r="A4998" t="s">
        <v>0</v>
      </c>
    </row>
    <row r="4999" spans="1:1" x14ac:dyDescent="0.3">
      <c r="A4999" t="s">
        <v>0</v>
      </c>
    </row>
    <row r="5000" spans="1:1" x14ac:dyDescent="0.3">
      <c r="A5000" t="s">
        <v>0</v>
      </c>
    </row>
    <row r="5001" spans="1:1" x14ac:dyDescent="0.3">
      <c r="A5001" t="s">
        <v>0</v>
      </c>
    </row>
    <row r="5002" spans="1:1" x14ac:dyDescent="0.3">
      <c r="A5002" t="s">
        <v>0</v>
      </c>
    </row>
    <row r="5003" spans="1:1" x14ac:dyDescent="0.3">
      <c r="A5003" t="s">
        <v>0</v>
      </c>
    </row>
    <row r="5004" spans="1:1" x14ac:dyDescent="0.3">
      <c r="A5004" t="s">
        <v>0</v>
      </c>
    </row>
    <row r="5005" spans="1:1" x14ac:dyDescent="0.3">
      <c r="A5005" t="s">
        <v>0</v>
      </c>
    </row>
    <row r="5006" spans="1:1" x14ac:dyDescent="0.3">
      <c r="A5006" t="s">
        <v>0</v>
      </c>
    </row>
    <row r="5007" spans="1:1" x14ac:dyDescent="0.3">
      <c r="A5007" t="s">
        <v>0</v>
      </c>
    </row>
    <row r="5008" spans="1:1" x14ac:dyDescent="0.3">
      <c r="A5008" t="s">
        <v>0</v>
      </c>
    </row>
    <row r="5009" spans="1:1" x14ac:dyDescent="0.3">
      <c r="A5009" t="s">
        <v>0</v>
      </c>
    </row>
    <row r="5010" spans="1:1" x14ac:dyDescent="0.3">
      <c r="A5010" t="s">
        <v>0</v>
      </c>
    </row>
    <row r="5011" spans="1:1" x14ac:dyDescent="0.3">
      <c r="A5011" t="s">
        <v>0</v>
      </c>
    </row>
    <row r="5012" spans="1:1" x14ac:dyDescent="0.3">
      <c r="A5012" t="s">
        <v>0</v>
      </c>
    </row>
    <row r="5013" spans="1:1" x14ac:dyDescent="0.3">
      <c r="A5013" t="s">
        <v>0</v>
      </c>
    </row>
    <row r="5014" spans="1:1" x14ac:dyDescent="0.3">
      <c r="A5014" t="s">
        <v>0</v>
      </c>
    </row>
    <row r="5015" spans="1:1" x14ac:dyDescent="0.3">
      <c r="A5015" t="s">
        <v>0</v>
      </c>
    </row>
    <row r="5016" spans="1:1" x14ac:dyDescent="0.3">
      <c r="A5016" t="s">
        <v>0</v>
      </c>
    </row>
    <row r="5017" spans="1:1" x14ac:dyDescent="0.3">
      <c r="A5017" t="s">
        <v>0</v>
      </c>
    </row>
    <row r="5018" spans="1:1" x14ac:dyDescent="0.3">
      <c r="A5018" t="s">
        <v>0</v>
      </c>
    </row>
    <row r="5019" spans="1:1" x14ac:dyDescent="0.3">
      <c r="A5019" t="s">
        <v>0</v>
      </c>
    </row>
    <row r="5020" spans="1:1" x14ac:dyDescent="0.3">
      <c r="A5020" t="s">
        <v>0</v>
      </c>
    </row>
    <row r="5021" spans="1:1" x14ac:dyDescent="0.3">
      <c r="A5021" t="s">
        <v>0</v>
      </c>
    </row>
    <row r="5022" spans="1:1" x14ac:dyDescent="0.3">
      <c r="A5022" t="s">
        <v>0</v>
      </c>
    </row>
    <row r="5023" spans="1:1" x14ac:dyDescent="0.3">
      <c r="A5023" t="s">
        <v>0</v>
      </c>
    </row>
    <row r="5024" spans="1:1" x14ac:dyDescent="0.3">
      <c r="A5024" t="s">
        <v>0</v>
      </c>
    </row>
    <row r="5025" spans="1:1" x14ac:dyDescent="0.3">
      <c r="A5025" t="s">
        <v>0</v>
      </c>
    </row>
    <row r="5026" spans="1:1" x14ac:dyDescent="0.3">
      <c r="A5026" t="s">
        <v>0</v>
      </c>
    </row>
    <row r="5027" spans="1:1" x14ac:dyDescent="0.3">
      <c r="A5027" t="s">
        <v>0</v>
      </c>
    </row>
    <row r="5028" spans="1:1" x14ac:dyDescent="0.3">
      <c r="A5028" t="s">
        <v>0</v>
      </c>
    </row>
    <row r="5029" spans="1:1" x14ac:dyDescent="0.3">
      <c r="A5029" t="s">
        <v>0</v>
      </c>
    </row>
    <row r="5030" spans="1:1" x14ac:dyDescent="0.3">
      <c r="A5030" t="s">
        <v>0</v>
      </c>
    </row>
    <row r="5031" spans="1:1" x14ac:dyDescent="0.3">
      <c r="A5031" t="s">
        <v>0</v>
      </c>
    </row>
    <row r="5032" spans="1:1" x14ac:dyDescent="0.3">
      <c r="A5032" t="s">
        <v>0</v>
      </c>
    </row>
    <row r="5033" spans="1:1" x14ac:dyDescent="0.3">
      <c r="A5033" t="s">
        <v>0</v>
      </c>
    </row>
    <row r="5034" spans="1:1" x14ac:dyDescent="0.3">
      <c r="A5034" t="s">
        <v>0</v>
      </c>
    </row>
    <row r="5035" spans="1:1" x14ac:dyDescent="0.3">
      <c r="A5035" t="s">
        <v>0</v>
      </c>
    </row>
    <row r="5036" spans="1:1" x14ac:dyDescent="0.3">
      <c r="A5036" t="s">
        <v>0</v>
      </c>
    </row>
    <row r="5037" spans="1:1" x14ac:dyDescent="0.3">
      <c r="A5037" t="s">
        <v>0</v>
      </c>
    </row>
    <row r="5038" spans="1:1" x14ac:dyDescent="0.3">
      <c r="A5038" t="s">
        <v>0</v>
      </c>
    </row>
    <row r="5039" spans="1:1" x14ac:dyDescent="0.3">
      <c r="A5039" t="s">
        <v>0</v>
      </c>
    </row>
    <row r="5040" spans="1:1" x14ac:dyDescent="0.3">
      <c r="A5040" t="s">
        <v>0</v>
      </c>
    </row>
    <row r="5041" spans="1:1" x14ac:dyDescent="0.3">
      <c r="A5041" t="s">
        <v>0</v>
      </c>
    </row>
    <row r="5042" spans="1:1" x14ac:dyDescent="0.3">
      <c r="A5042" t="s">
        <v>0</v>
      </c>
    </row>
    <row r="5043" spans="1:1" x14ac:dyDescent="0.3">
      <c r="A5043" t="s">
        <v>0</v>
      </c>
    </row>
    <row r="5044" spans="1:1" x14ac:dyDescent="0.3">
      <c r="A5044" t="s">
        <v>0</v>
      </c>
    </row>
    <row r="5045" spans="1:1" x14ac:dyDescent="0.3">
      <c r="A5045" t="s">
        <v>0</v>
      </c>
    </row>
    <row r="5046" spans="1:1" x14ac:dyDescent="0.3">
      <c r="A5046" t="s">
        <v>0</v>
      </c>
    </row>
    <row r="5047" spans="1:1" x14ac:dyDescent="0.3">
      <c r="A5047" t="s">
        <v>0</v>
      </c>
    </row>
    <row r="5048" spans="1:1" x14ac:dyDescent="0.3">
      <c r="A5048" t="s">
        <v>0</v>
      </c>
    </row>
    <row r="5049" spans="1:1" x14ac:dyDescent="0.3">
      <c r="A5049" t="s">
        <v>0</v>
      </c>
    </row>
    <row r="5050" spans="1:1" x14ac:dyDescent="0.3">
      <c r="A5050" t="s">
        <v>0</v>
      </c>
    </row>
    <row r="5051" spans="1:1" x14ac:dyDescent="0.3">
      <c r="A5051" t="s">
        <v>0</v>
      </c>
    </row>
    <row r="5052" spans="1:1" x14ac:dyDescent="0.3">
      <c r="A5052" t="s">
        <v>0</v>
      </c>
    </row>
    <row r="5053" spans="1:1" x14ac:dyDescent="0.3">
      <c r="A5053" t="s">
        <v>0</v>
      </c>
    </row>
    <row r="5054" spans="1:1" x14ac:dyDescent="0.3">
      <c r="A5054" t="s">
        <v>0</v>
      </c>
    </row>
    <row r="5055" spans="1:1" x14ac:dyDescent="0.3">
      <c r="A5055" t="s">
        <v>0</v>
      </c>
    </row>
    <row r="5056" spans="1:1" x14ac:dyDescent="0.3">
      <c r="A5056" t="s">
        <v>0</v>
      </c>
    </row>
    <row r="5057" spans="1:1" x14ac:dyDescent="0.3">
      <c r="A5057" t="s">
        <v>0</v>
      </c>
    </row>
    <row r="5058" spans="1:1" x14ac:dyDescent="0.3">
      <c r="A5058" t="s">
        <v>0</v>
      </c>
    </row>
    <row r="5059" spans="1:1" x14ac:dyDescent="0.3">
      <c r="A5059" t="s">
        <v>0</v>
      </c>
    </row>
    <row r="5060" spans="1:1" x14ac:dyDescent="0.3">
      <c r="A5060" t="s">
        <v>0</v>
      </c>
    </row>
    <row r="5061" spans="1:1" x14ac:dyDescent="0.3">
      <c r="A5061" t="s">
        <v>0</v>
      </c>
    </row>
    <row r="5062" spans="1:1" x14ac:dyDescent="0.3">
      <c r="A5062" t="s">
        <v>0</v>
      </c>
    </row>
    <row r="5063" spans="1:1" x14ac:dyDescent="0.3">
      <c r="A5063" t="s">
        <v>0</v>
      </c>
    </row>
    <row r="5064" spans="1:1" x14ac:dyDescent="0.3">
      <c r="A5064" t="s">
        <v>0</v>
      </c>
    </row>
    <row r="5065" spans="1:1" x14ac:dyDescent="0.3">
      <c r="A5065" t="s">
        <v>0</v>
      </c>
    </row>
    <row r="5066" spans="1:1" x14ac:dyDescent="0.3">
      <c r="A5066" t="s">
        <v>0</v>
      </c>
    </row>
    <row r="5067" spans="1:1" x14ac:dyDescent="0.3">
      <c r="A5067" t="s">
        <v>0</v>
      </c>
    </row>
    <row r="5068" spans="1:1" x14ac:dyDescent="0.3">
      <c r="A5068" t="s">
        <v>0</v>
      </c>
    </row>
    <row r="5069" spans="1:1" x14ac:dyDescent="0.3">
      <c r="A5069" t="s">
        <v>0</v>
      </c>
    </row>
    <row r="5070" spans="1:1" x14ac:dyDescent="0.3">
      <c r="A5070" t="s">
        <v>0</v>
      </c>
    </row>
    <row r="5071" spans="1:1" x14ac:dyDescent="0.3">
      <c r="A5071" t="s">
        <v>0</v>
      </c>
    </row>
    <row r="5072" spans="1:1" x14ac:dyDescent="0.3">
      <c r="A5072" t="s">
        <v>0</v>
      </c>
    </row>
    <row r="5073" spans="1:1" x14ac:dyDescent="0.3">
      <c r="A5073" t="s">
        <v>0</v>
      </c>
    </row>
    <row r="5074" spans="1:1" x14ac:dyDescent="0.3">
      <c r="A5074" t="s">
        <v>0</v>
      </c>
    </row>
    <row r="5075" spans="1:1" x14ac:dyDescent="0.3">
      <c r="A5075" t="s">
        <v>0</v>
      </c>
    </row>
    <row r="5076" spans="1:1" x14ac:dyDescent="0.3">
      <c r="A5076" t="s">
        <v>0</v>
      </c>
    </row>
    <row r="5077" spans="1:1" x14ac:dyDescent="0.3">
      <c r="A5077" t="s">
        <v>0</v>
      </c>
    </row>
    <row r="5078" spans="1:1" x14ac:dyDescent="0.3">
      <c r="A5078" t="s">
        <v>0</v>
      </c>
    </row>
    <row r="5079" spans="1:1" x14ac:dyDescent="0.3">
      <c r="A5079" t="s">
        <v>0</v>
      </c>
    </row>
    <row r="5080" spans="1:1" x14ac:dyDescent="0.3">
      <c r="A5080" t="s">
        <v>0</v>
      </c>
    </row>
    <row r="5081" spans="1:1" x14ac:dyDescent="0.3">
      <c r="A5081" t="s">
        <v>0</v>
      </c>
    </row>
    <row r="5082" spans="1:1" x14ac:dyDescent="0.3">
      <c r="A5082" t="s">
        <v>0</v>
      </c>
    </row>
    <row r="5083" spans="1:1" x14ac:dyDescent="0.3">
      <c r="A5083" t="s">
        <v>0</v>
      </c>
    </row>
    <row r="5084" spans="1:1" x14ac:dyDescent="0.3">
      <c r="A5084" t="s">
        <v>0</v>
      </c>
    </row>
    <row r="5085" spans="1:1" x14ac:dyDescent="0.3">
      <c r="A5085" t="s">
        <v>0</v>
      </c>
    </row>
    <row r="5086" spans="1:1" x14ac:dyDescent="0.3">
      <c r="A5086" t="s">
        <v>0</v>
      </c>
    </row>
    <row r="5087" spans="1:1" x14ac:dyDescent="0.3">
      <c r="A5087" t="s">
        <v>0</v>
      </c>
    </row>
    <row r="5088" spans="1:1" x14ac:dyDescent="0.3">
      <c r="A5088" t="s">
        <v>0</v>
      </c>
    </row>
    <row r="5089" spans="1:1" x14ac:dyDescent="0.3">
      <c r="A5089" t="s">
        <v>0</v>
      </c>
    </row>
    <row r="5090" spans="1:1" x14ac:dyDescent="0.3">
      <c r="A5090" t="s">
        <v>0</v>
      </c>
    </row>
    <row r="5091" spans="1:1" x14ac:dyDescent="0.3">
      <c r="A5091" t="s">
        <v>0</v>
      </c>
    </row>
    <row r="5092" spans="1:1" x14ac:dyDescent="0.3">
      <c r="A5092" t="s">
        <v>0</v>
      </c>
    </row>
    <row r="5093" spans="1:1" x14ac:dyDescent="0.3">
      <c r="A5093" t="s">
        <v>0</v>
      </c>
    </row>
    <row r="5094" spans="1:1" x14ac:dyDescent="0.3">
      <c r="A5094" t="s">
        <v>0</v>
      </c>
    </row>
    <row r="5095" spans="1:1" x14ac:dyDescent="0.3">
      <c r="A5095" t="s">
        <v>0</v>
      </c>
    </row>
    <row r="5096" spans="1:1" x14ac:dyDescent="0.3">
      <c r="A5096" t="s">
        <v>0</v>
      </c>
    </row>
    <row r="5097" spans="1:1" x14ac:dyDescent="0.3">
      <c r="A5097" t="s">
        <v>0</v>
      </c>
    </row>
    <row r="5098" spans="1:1" x14ac:dyDescent="0.3">
      <c r="A5098" t="s">
        <v>0</v>
      </c>
    </row>
    <row r="5099" spans="1:1" x14ac:dyDescent="0.3">
      <c r="A5099" t="s">
        <v>0</v>
      </c>
    </row>
    <row r="5100" spans="1:1" x14ac:dyDescent="0.3">
      <c r="A5100" t="s">
        <v>0</v>
      </c>
    </row>
    <row r="5101" spans="1:1" x14ac:dyDescent="0.3">
      <c r="A5101" t="s">
        <v>0</v>
      </c>
    </row>
    <row r="5102" spans="1:1" x14ac:dyDescent="0.3">
      <c r="A5102" t="s">
        <v>0</v>
      </c>
    </row>
    <row r="5103" spans="1:1" x14ac:dyDescent="0.3">
      <c r="A5103" t="s">
        <v>0</v>
      </c>
    </row>
    <row r="5104" spans="1:1" x14ac:dyDescent="0.3">
      <c r="A5104" t="s">
        <v>0</v>
      </c>
    </row>
    <row r="5105" spans="1:1" x14ac:dyDescent="0.3">
      <c r="A5105" t="s">
        <v>0</v>
      </c>
    </row>
    <row r="5106" spans="1:1" x14ac:dyDescent="0.3">
      <c r="A5106" t="s">
        <v>0</v>
      </c>
    </row>
    <row r="5107" spans="1:1" x14ac:dyDescent="0.3">
      <c r="A5107" t="s">
        <v>0</v>
      </c>
    </row>
    <row r="5108" spans="1:1" x14ac:dyDescent="0.3">
      <c r="A5108" t="s">
        <v>0</v>
      </c>
    </row>
    <row r="5109" spans="1:1" x14ac:dyDescent="0.3">
      <c r="A5109" t="s">
        <v>0</v>
      </c>
    </row>
    <row r="5110" spans="1:1" x14ac:dyDescent="0.3">
      <c r="A5110" t="s">
        <v>0</v>
      </c>
    </row>
    <row r="5111" spans="1:1" x14ac:dyDescent="0.3">
      <c r="A5111" t="s">
        <v>0</v>
      </c>
    </row>
    <row r="5112" spans="1:1" x14ac:dyDescent="0.3">
      <c r="A5112" t="s">
        <v>0</v>
      </c>
    </row>
    <row r="5113" spans="1:1" x14ac:dyDescent="0.3">
      <c r="A5113" t="s">
        <v>0</v>
      </c>
    </row>
    <row r="5114" spans="1:1" x14ac:dyDescent="0.3">
      <c r="A5114" t="s">
        <v>0</v>
      </c>
    </row>
    <row r="5115" spans="1:1" x14ac:dyDescent="0.3">
      <c r="A5115" t="s">
        <v>0</v>
      </c>
    </row>
    <row r="5116" spans="1:1" x14ac:dyDescent="0.3">
      <c r="A5116" t="s">
        <v>0</v>
      </c>
    </row>
    <row r="5117" spans="1:1" x14ac:dyDescent="0.3">
      <c r="A5117" t="s">
        <v>0</v>
      </c>
    </row>
    <row r="5118" spans="1:1" x14ac:dyDescent="0.3">
      <c r="A5118" t="s">
        <v>0</v>
      </c>
    </row>
    <row r="5119" spans="1:1" x14ac:dyDescent="0.3">
      <c r="A5119" t="s">
        <v>0</v>
      </c>
    </row>
    <row r="5120" spans="1:1" x14ac:dyDescent="0.3">
      <c r="A5120" t="s">
        <v>0</v>
      </c>
    </row>
    <row r="5121" spans="1:1" x14ac:dyDescent="0.3">
      <c r="A5121" t="s">
        <v>0</v>
      </c>
    </row>
    <row r="5122" spans="1:1" x14ac:dyDescent="0.3">
      <c r="A5122" t="s">
        <v>0</v>
      </c>
    </row>
    <row r="5123" spans="1:1" x14ac:dyDescent="0.3">
      <c r="A5123" t="s">
        <v>0</v>
      </c>
    </row>
    <row r="5124" spans="1:1" x14ac:dyDescent="0.3">
      <c r="A5124" t="s">
        <v>0</v>
      </c>
    </row>
    <row r="5125" spans="1:1" x14ac:dyDescent="0.3">
      <c r="A5125" t="s">
        <v>0</v>
      </c>
    </row>
    <row r="5126" spans="1:1" x14ac:dyDescent="0.3">
      <c r="A5126" t="s">
        <v>0</v>
      </c>
    </row>
    <row r="5127" spans="1:1" x14ac:dyDescent="0.3">
      <c r="A5127" t="s">
        <v>0</v>
      </c>
    </row>
    <row r="5128" spans="1:1" x14ac:dyDescent="0.3">
      <c r="A5128" t="s">
        <v>0</v>
      </c>
    </row>
    <row r="5129" spans="1:1" x14ac:dyDescent="0.3">
      <c r="A5129" t="s">
        <v>0</v>
      </c>
    </row>
    <row r="5130" spans="1:1" x14ac:dyDescent="0.3">
      <c r="A5130" t="s">
        <v>0</v>
      </c>
    </row>
    <row r="5131" spans="1:1" x14ac:dyDescent="0.3">
      <c r="A5131" t="s">
        <v>0</v>
      </c>
    </row>
    <row r="5132" spans="1:1" x14ac:dyDescent="0.3">
      <c r="A5132" t="s">
        <v>0</v>
      </c>
    </row>
    <row r="5133" spans="1:1" x14ac:dyDescent="0.3">
      <c r="A5133" t="s">
        <v>0</v>
      </c>
    </row>
    <row r="5134" spans="1:1" x14ac:dyDescent="0.3">
      <c r="A5134" t="s">
        <v>0</v>
      </c>
    </row>
    <row r="5135" spans="1:1" x14ac:dyDescent="0.3">
      <c r="A5135" t="s">
        <v>0</v>
      </c>
    </row>
    <row r="5136" spans="1:1" x14ac:dyDescent="0.3">
      <c r="A5136" t="s">
        <v>0</v>
      </c>
    </row>
    <row r="5137" spans="1:1" x14ac:dyDescent="0.3">
      <c r="A5137" t="s">
        <v>0</v>
      </c>
    </row>
    <row r="5138" spans="1:1" x14ac:dyDescent="0.3">
      <c r="A5138" t="s">
        <v>0</v>
      </c>
    </row>
    <row r="5139" spans="1:1" x14ac:dyDescent="0.3">
      <c r="A5139" t="s">
        <v>0</v>
      </c>
    </row>
    <row r="5140" spans="1:1" x14ac:dyDescent="0.3">
      <c r="A5140" t="s">
        <v>0</v>
      </c>
    </row>
    <row r="5141" spans="1:1" x14ac:dyDescent="0.3">
      <c r="A5141" t="s">
        <v>0</v>
      </c>
    </row>
    <row r="5142" spans="1:1" x14ac:dyDescent="0.3">
      <c r="A5142" t="s">
        <v>0</v>
      </c>
    </row>
    <row r="5143" spans="1:1" x14ac:dyDescent="0.3">
      <c r="A5143" t="s">
        <v>0</v>
      </c>
    </row>
    <row r="5144" spans="1:1" x14ac:dyDescent="0.3">
      <c r="A5144" t="s">
        <v>0</v>
      </c>
    </row>
    <row r="5145" spans="1:1" x14ac:dyDescent="0.3">
      <c r="A5145" t="s">
        <v>0</v>
      </c>
    </row>
    <row r="5146" spans="1:1" x14ac:dyDescent="0.3">
      <c r="A5146" t="s">
        <v>0</v>
      </c>
    </row>
    <row r="5147" spans="1:1" x14ac:dyDescent="0.3">
      <c r="A5147" t="s">
        <v>0</v>
      </c>
    </row>
    <row r="5148" spans="1:1" x14ac:dyDescent="0.3">
      <c r="A5148" t="s">
        <v>0</v>
      </c>
    </row>
    <row r="5149" spans="1:1" x14ac:dyDescent="0.3">
      <c r="A5149" t="s">
        <v>0</v>
      </c>
    </row>
    <row r="5150" spans="1:1" x14ac:dyDescent="0.3">
      <c r="A5150" t="s">
        <v>0</v>
      </c>
    </row>
    <row r="5151" spans="1:1" x14ac:dyDescent="0.3">
      <c r="A5151" t="s">
        <v>0</v>
      </c>
    </row>
    <row r="5152" spans="1:1" x14ac:dyDescent="0.3">
      <c r="A5152" t="s">
        <v>0</v>
      </c>
    </row>
    <row r="5153" spans="1:1" x14ac:dyDescent="0.3">
      <c r="A5153" t="s">
        <v>0</v>
      </c>
    </row>
    <row r="5154" spans="1:1" x14ac:dyDescent="0.3">
      <c r="A5154" t="s">
        <v>0</v>
      </c>
    </row>
    <row r="5155" spans="1:1" x14ac:dyDescent="0.3">
      <c r="A5155" t="s">
        <v>0</v>
      </c>
    </row>
    <row r="5156" spans="1:1" x14ac:dyDescent="0.3">
      <c r="A5156" t="s">
        <v>0</v>
      </c>
    </row>
    <row r="5157" spans="1:1" x14ac:dyDescent="0.3">
      <c r="A5157" t="s">
        <v>0</v>
      </c>
    </row>
    <row r="5158" spans="1:1" x14ac:dyDescent="0.3">
      <c r="A5158" t="s">
        <v>0</v>
      </c>
    </row>
    <row r="5159" spans="1:1" x14ac:dyDescent="0.3">
      <c r="A5159" t="s">
        <v>0</v>
      </c>
    </row>
    <row r="5160" spans="1:1" x14ac:dyDescent="0.3">
      <c r="A5160" t="s">
        <v>0</v>
      </c>
    </row>
    <row r="5161" spans="1:1" x14ac:dyDescent="0.3">
      <c r="A5161" t="s">
        <v>0</v>
      </c>
    </row>
    <row r="5162" spans="1:1" x14ac:dyDescent="0.3">
      <c r="A5162" t="s">
        <v>0</v>
      </c>
    </row>
    <row r="5163" spans="1:1" x14ac:dyDescent="0.3">
      <c r="A5163" t="s">
        <v>0</v>
      </c>
    </row>
    <row r="5164" spans="1:1" x14ac:dyDescent="0.3">
      <c r="A5164" t="s">
        <v>0</v>
      </c>
    </row>
    <row r="5165" spans="1:1" x14ac:dyDescent="0.3">
      <c r="A5165" t="s">
        <v>0</v>
      </c>
    </row>
    <row r="5166" spans="1:1" x14ac:dyDescent="0.3">
      <c r="A5166" t="s">
        <v>0</v>
      </c>
    </row>
    <row r="5167" spans="1:1" x14ac:dyDescent="0.3">
      <c r="A5167" t="s">
        <v>0</v>
      </c>
    </row>
    <row r="5168" spans="1:1" x14ac:dyDescent="0.3">
      <c r="A5168" t="s">
        <v>0</v>
      </c>
    </row>
    <row r="5169" spans="1:1" x14ac:dyDescent="0.3">
      <c r="A5169" t="s">
        <v>0</v>
      </c>
    </row>
    <row r="5170" spans="1:1" x14ac:dyDescent="0.3">
      <c r="A5170" t="s">
        <v>0</v>
      </c>
    </row>
    <row r="5171" spans="1:1" x14ac:dyDescent="0.3">
      <c r="A5171" t="s">
        <v>0</v>
      </c>
    </row>
    <row r="5172" spans="1:1" x14ac:dyDescent="0.3">
      <c r="A5172" t="s">
        <v>0</v>
      </c>
    </row>
    <row r="5173" spans="1:1" x14ac:dyDescent="0.3">
      <c r="A5173" t="s">
        <v>0</v>
      </c>
    </row>
    <row r="5174" spans="1:1" x14ac:dyDescent="0.3">
      <c r="A5174" t="s">
        <v>0</v>
      </c>
    </row>
    <row r="5175" spans="1:1" x14ac:dyDescent="0.3">
      <c r="A5175" t="s">
        <v>0</v>
      </c>
    </row>
    <row r="5176" spans="1:1" x14ac:dyDescent="0.3">
      <c r="A5176" t="s">
        <v>0</v>
      </c>
    </row>
    <row r="5177" spans="1:1" x14ac:dyDescent="0.3">
      <c r="A5177" t="s">
        <v>0</v>
      </c>
    </row>
    <row r="5178" spans="1:1" x14ac:dyDescent="0.3">
      <c r="A5178" t="s">
        <v>0</v>
      </c>
    </row>
    <row r="5179" spans="1:1" x14ac:dyDescent="0.3">
      <c r="A5179" t="s">
        <v>0</v>
      </c>
    </row>
    <row r="5180" spans="1:1" x14ac:dyDescent="0.3">
      <c r="A5180" t="s">
        <v>0</v>
      </c>
    </row>
    <row r="5181" spans="1:1" x14ac:dyDescent="0.3">
      <c r="A5181" t="s">
        <v>0</v>
      </c>
    </row>
    <row r="5182" spans="1:1" x14ac:dyDescent="0.3">
      <c r="A5182" t="s">
        <v>0</v>
      </c>
    </row>
    <row r="5183" spans="1:1" x14ac:dyDescent="0.3">
      <c r="A5183" t="s">
        <v>0</v>
      </c>
    </row>
    <row r="5184" spans="1:1" x14ac:dyDescent="0.3">
      <c r="A5184" t="s">
        <v>0</v>
      </c>
    </row>
    <row r="5185" spans="1:1" x14ac:dyDescent="0.3">
      <c r="A5185" t="s">
        <v>0</v>
      </c>
    </row>
    <row r="5186" spans="1:1" x14ac:dyDescent="0.3">
      <c r="A5186" t="s">
        <v>0</v>
      </c>
    </row>
    <row r="5187" spans="1:1" x14ac:dyDescent="0.3">
      <c r="A5187" t="s">
        <v>0</v>
      </c>
    </row>
    <row r="5188" spans="1:1" x14ac:dyDescent="0.3">
      <c r="A5188" t="s">
        <v>0</v>
      </c>
    </row>
    <row r="5189" spans="1:1" x14ac:dyDescent="0.3">
      <c r="A5189" t="s">
        <v>0</v>
      </c>
    </row>
    <row r="5190" spans="1:1" x14ac:dyDescent="0.3">
      <c r="A5190" t="s">
        <v>0</v>
      </c>
    </row>
    <row r="5191" spans="1:1" x14ac:dyDescent="0.3">
      <c r="A5191" t="s">
        <v>0</v>
      </c>
    </row>
    <row r="5192" spans="1:1" x14ac:dyDescent="0.3">
      <c r="A5192" t="s">
        <v>0</v>
      </c>
    </row>
    <row r="5193" spans="1:1" x14ac:dyDescent="0.3">
      <c r="A5193" t="s">
        <v>0</v>
      </c>
    </row>
    <row r="5194" spans="1:1" x14ac:dyDescent="0.3">
      <c r="A5194" t="s">
        <v>0</v>
      </c>
    </row>
    <row r="5195" spans="1:1" x14ac:dyDescent="0.3">
      <c r="A5195" t="s">
        <v>0</v>
      </c>
    </row>
    <row r="5196" spans="1:1" x14ac:dyDescent="0.3">
      <c r="A5196" t="s">
        <v>0</v>
      </c>
    </row>
    <row r="5197" spans="1:1" x14ac:dyDescent="0.3">
      <c r="A5197" t="s">
        <v>0</v>
      </c>
    </row>
    <row r="5198" spans="1:1" x14ac:dyDescent="0.3">
      <c r="A5198" t="s">
        <v>0</v>
      </c>
    </row>
    <row r="5199" spans="1:1" x14ac:dyDescent="0.3">
      <c r="A5199" t="s">
        <v>0</v>
      </c>
    </row>
    <row r="5200" spans="1:1" x14ac:dyDescent="0.3">
      <c r="A5200" t="s">
        <v>0</v>
      </c>
    </row>
    <row r="5201" spans="1:1" x14ac:dyDescent="0.3">
      <c r="A5201" t="s">
        <v>0</v>
      </c>
    </row>
    <row r="5202" spans="1:1" x14ac:dyDescent="0.3">
      <c r="A5202" t="s">
        <v>0</v>
      </c>
    </row>
    <row r="5203" spans="1:1" x14ac:dyDescent="0.3">
      <c r="A5203" t="s">
        <v>0</v>
      </c>
    </row>
    <row r="5204" spans="1:1" x14ac:dyDescent="0.3">
      <c r="A5204" t="s">
        <v>0</v>
      </c>
    </row>
    <row r="5205" spans="1:1" x14ac:dyDescent="0.3">
      <c r="A5205" t="s">
        <v>0</v>
      </c>
    </row>
    <row r="5206" spans="1:1" x14ac:dyDescent="0.3">
      <c r="A5206" t="s">
        <v>0</v>
      </c>
    </row>
    <row r="5207" spans="1:1" x14ac:dyDescent="0.3">
      <c r="A5207" t="s">
        <v>0</v>
      </c>
    </row>
    <row r="5208" spans="1:1" x14ac:dyDescent="0.3">
      <c r="A5208" t="s">
        <v>0</v>
      </c>
    </row>
    <row r="5209" spans="1:1" x14ac:dyDescent="0.3">
      <c r="A5209" t="s">
        <v>0</v>
      </c>
    </row>
    <row r="5210" spans="1:1" x14ac:dyDescent="0.3">
      <c r="A5210" t="s">
        <v>0</v>
      </c>
    </row>
    <row r="5211" spans="1:1" x14ac:dyDescent="0.3">
      <c r="A5211" t="s">
        <v>0</v>
      </c>
    </row>
    <row r="5212" spans="1:1" x14ac:dyDescent="0.3">
      <c r="A5212" t="s">
        <v>0</v>
      </c>
    </row>
    <row r="5213" spans="1:1" x14ac:dyDescent="0.3">
      <c r="A5213" t="s">
        <v>0</v>
      </c>
    </row>
    <row r="5214" spans="1:1" x14ac:dyDescent="0.3">
      <c r="A5214" t="s">
        <v>0</v>
      </c>
    </row>
    <row r="5215" spans="1:1" x14ac:dyDescent="0.3">
      <c r="A5215" t="s">
        <v>0</v>
      </c>
    </row>
    <row r="5216" spans="1:1" x14ac:dyDescent="0.3">
      <c r="A5216" t="s">
        <v>0</v>
      </c>
    </row>
    <row r="5217" spans="1:1" x14ac:dyDescent="0.3">
      <c r="A5217" t="s">
        <v>0</v>
      </c>
    </row>
    <row r="5218" spans="1:1" x14ac:dyDescent="0.3">
      <c r="A5218" t="s">
        <v>0</v>
      </c>
    </row>
    <row r="5219" spans="1:1" x14ac:dyDescent="0.3">
      <c r="A5219" t="s">
        <v>0</v>
      </c>
    </row>
    <row r="5220" spans="1:1" x14ac:dyDescent="0.3">
      <c r="A5220" t="s">
        <v>0</v>
      </c>
    </row>
    <row r="5221" spans="1:1" x14ac:dyDescent="0.3">
      <c r="A5221" t="s">
        <v>0</v>
      </c>
    </row>
    <row r="5222" spans="1:1" x14ac:dyDescent="0.3">
      <c r="A5222" t="s">
        <v>0</v>
      </c>
    </row>
    <row r="5223" spans="1:1" x14ac:dyDescent="0.3">
      <c r="A5223" t="s">
        <v>0</v>
      </c>
    </row>
    <row r="5224" spans="1:1" x14ac:dyDescent="0.3">
      <c r="A5224" t="s">
        <v>0</v>
      </c>
    </row>
    <row r="5225" spans="1:1" x14ac:dyDescent="0.3">
      <c r="A5225" t="s">
        <v>0</v>
      </c>
    </row>
    <row r="5226" spans="1:1" x14ac:dyDescent="0.3">
      <c r="A5226" t="s">
        <v>0</v>
      </c>
    </row>
    <row r="5227" spans="1:1" x14ac:dyDescent="0.3">
      <c r="A5227" t="s">
        <v>0</v>
      </c>
    </row>
    <row r="5228" spans="1:1" x14ac:dyDescent="0.3">
      <c r="A5228" t="s">
        <v>0</v>
      </c>
    </row>
    <row r="5229" spans="1:1" x14ac:dyDescent="0.3">
      <c r="A5229" t="s">
        <v>0</v>
      </c>
    </row>
    <row r="5230" spans="1:1" x14ac:dyDescent="0.3">
      <c r="A5230" t="s">
        <v>0</v>
      </c>
    </row>
    <row r="5231" spans="1:1" x14ac:dyDescent="0.3">
      <c r="A5231" t="s">
        <v>0</v>
      </c>
    </row>
    <row r="5232" spans="1:1" x14ac:dyDescent="0.3">
      <c r="A5232" t="s">
        <v>0</v>
      </c>
    </row>
    <row r="5233" spans="1:1" x14ac:dyDescent="0.3">
      <c r="A5233" t="s">
        <v>0</v>
      </c>
    </row>
    <row r="5234" spans="1:1" x14ac:dyDescent="0.3">
      <c r="A5234" t="s">
        <v>0</v>
      </c>
    </row>
    <row r="5235" spans="1:1" x14ac:dyDescent="0.3">
      <c r="A5235" t="s">
        <v>0</v>
      </c>
    </row>
    <row r="5236" spans="1:1" x14ac:dyDescent="0.3">
      <c r="A5236" t="s">
        <v>0</v>
      </c>
    </row>
    <row r="5237" spans="1:1" x14ac:dyDescent="0.3">
      <c r="A5237" t="s">
        <v>0</v>
      </c>
    </row>
    <row r="5238" spans="1:1" x14ac:dyDescent="0.3">
      <c r="A5238" t="s">
        <v>0</v>
      </c>
    </row>
    <row r="5239" spans="1:1" x14ac:dyDescent="0.3">
      <c r="A5239" t="s">
        <v>0</v>
      </c>
    </row>
    <row r="5240" spans="1:1" x14ac:dyDescent="0.3">
      <c r="A5240" t="s">
        <v>0</v>
      </c>
    </row>
    <row r="5241" spans="1:1" x14ac:dyDescent="0.3">
      <c r="A5241" t="s">
        <v>0</v>
      </c>
    </row>
    <row r="5242" spans="1:1" x14ac:dyDescent="0.3">
      <c r="A5242" t="s">
        <v>0</v>
      </c>
    </row>
    <row r="5243" spans="1:1" x14ac:dyDescent="0.3">
      <c r="A5243" t="s">
        <v>0</v>
      </c>
    </row>
    <row r="5244" spans="1:1" x14ac:dyDescent="0.3">
      <c r="A5244" t="s">
        <v>0</v>
      </c>
    </row>
    <row r="5245" spans="1:1" x14ac:dyDescent="0.3">
      <c r="A5245" t="s">
        <v>0</v>
      </c>
    </row>
    <row r="5246" spans="1:1" x14ac:dyDescent="0.3">
      <c r="A5246" t="s">
        <v>0</v>
      </c>
    </row>
    <row r="5247" spans="1:1" x14ac:dyDescent="0.3">
      <c r="A5247" t="s">
        <v>0</v>
      </c>
    </row>
    <row r="5248" spans="1:1" x14ac:dyDescent="0.3">
      <c r="A5248" t="s">
        <v>0</v>
      </c>
    </row>
    <row r="5249" spans="1:1" x14ac:dyDescent="0.3">
      <c r="A5249" t="s">
        <v>0</v>
      </c>
    </row>
    <row r="5250" spans="1:1" x14ac:dyDescent="0.3">
      <c r="A5250" t="s">
        <v>0</v>
      </c>
    </row>
    <row r="5251" spans="1:1" x14ac:dyDescent="0.3">
      <c r="A5251" t="s">
        <v>0</v>
      </c>
    </row>
    <row r="5252" spans="1:1" x14ac:dyDescent="0.3">
      <c r="A5252" t="s">
        <v>0</v>
      </c>
    </row>
    <row r="5253" spans="1:1" x14ac:dyDescent="0.3">
      <c r="A5253" t="s">
        <v>0</v>
      </c>
    </row>
    <row r="5254" spans="1:1" x14ac:dyDescent="0.3">
      <c r="A5254" t="s">
        <v>0</v>
      </c>
    </row>
    <row r="5255" spans="1:1" x14ac:dyDescent="0.3">
      <c r="A5255" t="s">
        <v>0</v>
      </c>
    </row>
    <row r="5256" spans="1:1" x14ac:dyDescent="0.3">
      <c r="A5256" t="s">
        <v>0</v>
      </c>
    </row>
    <row r="5257" spans="1:1" x14ac:dyDescent="0.3">
      <c r="A5257" t="s">
        <v>0</v>
      </c>
    </row>
    <row r="5258" spans="1:1" x14ac:dyDescent="0.3">
      <c r="A5258" t="s">
        <v>0</v>
      </c>
    </row>
    <row r="5259" spans="1:1" x14ac:dyDescent="0.3">
      <c r="A5259" t="s">
        <v>0</v>
      </c>
    </row>
    <row r="5260" spans="1:1" x14ac:dyDescent="0.3">
      <c r="A5260" t="s">
        <v>0</v>
      </c>
    </row>
    <row r="5261" spans="1:1" x14ac:dyDescent="0.3">
      <c r="A5261" t="s">
        <v>0</v>
      </c>
    </row>
    <row r="5262" spans="1:1" x14ac:dyDescent="0.3">
      <c r="A5262" t="s">
        <v>0</v>
      </c>
    </row>
    <row r="5263" spans="1:1" x14ac:dyDescent="0.3">
      <c r="A5263" t="s">
        <v>0</v>
      </c>
    </row>
    <row r="5264" spans="1:1" x14ac:dyDescent="0.3">
      <c r="A5264" t="s">
        <v>0</v>
      </c>
    </row>
    <row r="5265" spans="1:1" x14ac:dyDescent="0.3">
      <c r="A5265" t="s">
        <v>0</v>
      </c>
    </row>
    <row r="5266" spans="1:1" x14ac:dyDescent="0.3">
      <c r="A5266" t="s">
        <v>0</v>
      </c>
    </row>
    <row r="5267" spans="1:1" x14ac:dyDescent="0.3">
      <c r="A5267" t="s">
        <v>0</v>
      </c>
    </row>
    <row r="5268" spans="1:1" x14ac:dyDescent="0.3">
      <c r="A5268" t="s">
        <v>0</v>
      </c>
    </row>
    <row r="5269" spans="1:1" x14ac:dyDescent="0.3">
      <c r="A5269" t="s">
        <v>0</v>
      </c>
    </row>
    <row r="5270" spans="1:1" x14ac:dyDescent="0.3">
      <c r="A5270" t="s">
        <v>0</v>
      </c>
    </row>
    <row r="5271" spans="1:1" x14ac:dyDescent="0.3">
      <c r="A5271" t="s">
        <v>0</v>
      </c>
    </row>
    <row r="5272" spans="1:1" x14ac:dyDescent="0.3">
      <c r="A5272" t="s">
        <v>0</v>
      </c>
    </row>
    <row r="5273" spans="1:1" x14ac:dyDescent="0.3">
      <c r="A5273" t="s">
        <v>0</v>
      </c>
    </row>
    <row r="5274" spans="1:1" x14ac:dyDescent="0.3">
      <c r="A5274" t="s">
        <v>0</v>
      </c>
    </row>
    <row r="5275" spans="1:1" x14ac:dyDescent="0.3">
      <c r="A5275" t="s">
        <v>0</v>
      </c>
    </row>
    <row r="5276" spans="1:1" x14ac:dyDescent="0.3">
      <c r="A5276" t="s">
        <v>0</v>
      </c>
    </row>
    <row r="5277" spans="1:1" x14ac:dyDescent="0.3">
      <c r="A5277" t="s">
        <v>0</v>
      </c>
    </row>
    <row r="5278" spans="1:1" x14ac:dyDescent="0.3">
      <c r="A5278" t="s">
        <v>0</v>
      </c>
    </row>
    <row r="5279" spans="1:1" x14ac:dyDescent="0.3">
      <c r="A5279" t="s">
        <v>0</v>
      </c>
    </row>
    <row r="5280" spans="1:1" x14ac:dyDescent="0.3">
      <c r="A5280" t="s">
        <v>0</v>
      </c>
    </row>
    <row r="5281" spans="1:1" x14ac:dyDescent="0.3">
      <c r="A5281" t="s">
        <v>0</v>
      </c>
    </row>
    <row r="5282" spans="1:1" x14ac:dyDescent="0.3">
      <c r="A5282" t="s">
        <v>0</v>
      </c>
    </row>
    <row r="5283" spans="1:1" x14ac:dyDescent="0.3">
      <c r="A5283" t="s">
        <v>0</v>
      </c>
    </row>
    <row r="5284" spans="1:1" x14ac:dyDescent="0.3">
      <c r="A5284" t="s">
        <v>0</v>
      </c>
    </row>
    <row r="5285" spans="1:1" x14ac:dyDescent="0.3">
      <c r="A5285" t="s">
        <v>0</v>
      </c>
    </row>
    <row r="5286" spans="1:1" x14ac:dyDescent="0.3">
      <c r="A5286" t="s">
        <v>0</v>
      </c>
    </row>
    <row r="5287" spans="1:1" x14ac:dyDescent="0.3">
      <c r="A5287" t="s">
        <v>0</v>
      </c>
    </row>
    <row r="5288" spans="1:1" x14ac:dyDescent="0.3">
      <c r="A5288" t="s">
        <v>0</v>
      </c>
    </row>
    <row r="5289" spans="1:1" x14ac:dyDescent="0.3">
      <c r="A5289" t="s">
        <v>0</v>
      </c>
    </row>
    <row r="5290" spans="1:1" x14ac:dyDescent="0.3">
      <c r="A5290" t="s">
        <v>0</v>
      </c>
    </row>
    <row r="5291" spans="1:1" x14ac:dyDescent="0.3">
      <c r="A5291" t="s">
        <v>0</v>
      </c>
    </row>
    <row r="5292" spans="1:1" x14ac:dyDescent="0.3">
      <c r="A5292" t="s">
        <v>0</v>
      </c>
    </row>
    <row r="5293" spans="1:1" x14ac:dyDescent="0.3">
      <c r="A5293" t="s">
        <v>0</v>
      </c>
    </row>
    <row r="5294" spans="1:1" x14ac:dyDescent="0.3">
      <c r="A5294" t="s">
        <v>0</v>
      </c>
    </row>
    <row r="5295" spans="1:1" x14ac:dyDescent="0.3">
      <c r="A5295" t="s">
        <v>0</v>
      </c>
    </row>
    <row r="5296" spans="1:1" x14ac:dyDescent="0.3">
      <c r="A5296" t="s">
        <v>0</v>
      </c>
    </row>
    <row r="5297" spans="1:1" x14ac:dyDescent="0.3">
      <c r="A5297" t="s">
        <v>0</v>
      </c>
    </row>
    <row r="5298" spans="1:1" x14ac:dyDescent="0.3">
      <c r="A5298" t="s">
        <v>0</v>
      </c>
    </row>
    <row r="5299" spans="1:1" x14ac:dyDescent="0.3">
      <c r="A5299" t="s">
        <v>0</v>
      </c>
    </row>
    <row r="5300" spans="1:1" x14ac:dyDescent="0.3">
      <c r="A5300" t="s">
        <v>0</v>
      </c>
    </row>
    <row r="5301" spans="1:1" x14ac:dyDescent="0.3">
      <c r="A5301" t="s">
        <v>0</v>
      </c>
    </row>
    <row r="5302" spans="1:1" x14ac:dyDescent="0.3">
      <c r="A5302" t="s">
        <v>0</v>
      </c>
    </row>
    <row r="5303" spans="1:1" x14ac:dyDescent="0.3">
      <c r="A5303" t="s">
        <v>0</v>
      </c>
    </row>
    <row r="5304" spans="1:1" x14ac:dyDescent="0.3">
      <c r="A5304" t="s">
        <v>0</v>
      </c>
    </row>
    <row r="5305" spans="1:1" x14ac:dyDescent="0.3">
      <c r="A5305" t="s">
        <v>0</v>
      </c>
    </row>
    <row r="5306" spans="1:1" x14ac:dyDescent="0.3">
      <c r="A5306" t="s">
        <v>0</v>
      </c>
    </row>
    <row r="5307" spans="1:1" x14ac:dyDescent="0.3">
      <c r="A5307" t="s">
        <v>0</v>
      </c>
    </row>
    <row r="5308" spans="1:1" x14ac:dyDescent="0.3">
      <c r="A5308" t="s">
        <v>0</v>
      </c>
    </row>
    <row r="5309" spans="1:1" x14ac:dyDescent="0.3">
      <c r="A5309" t="s">
        <v>0</v>
      </c>
    </row>
    <row r="5310" spans="1:1" x14ac:dyDescent="0.3">
      <c r="A5310" t="s">
        <v>0</v>
      </c>
    </row>
    <row r="5311" spans="1:1" x14ac:dyDescent="0.3">
      <c r="A5311" t="s">
        <v>0</v>
      </c>
    </row>
    <row r="5312" spans="1:1" x14ac:dyDescent="0.3">
      <c r="A5312" t="s">
        <v>0</v>
      </c>
    </row>
    <row r="5313" spans="1:1" x14ac:dyDescent="0.3">
      <c r="A5313" t="s">
        <v>0</v>
      </c>
    </row>
    <row r="5314" spans="1:1" x14ac:dyDescent="0.3">
      <c r="A5314" t="s">
        <v>0</v>
      </c>
    </row>
    <row r="5315" spans="1:1" x14ac:dyDescent="0.3">
      <c r="A5315" t="s">
        <v>0</v>
      </c>
    </row>
    <row r="5316" spans="1:1" x14ac:dyDescent="0.3">
      <c r="A5316" t="s">
        <v>0</v>
      </c>
    </row>
    <row r="5317" spans="1:1" x14ac:dyDescent="0.3">
      <c r="A5317" t="s">
        <v>0</v>
      </c>
    </row>
    <row r="5318" spans="1:1" x14ac:dyDescent="0.3">
      <c r="A5318" t="s">
        <v>0</v>
      </c>
    </row>
    <row r="5319" spans="1:1" x14ac:dyDescent="0.3">
      <c r="A5319" t="s">
        <v>0</v>
      </c>
    </row>
    <row r="5320" spans="1:1" x14ac:dyDescent="0.3">
      <c r="A5320" t="s">
        <v>0</v>
      </c>
    </row>
    <row r="5321" spans="1:1" x14ac:dyDescent="0.3">
      <c r="A5321" t="s">
        <v>0</v>
      </c>
    </row>
    <row r="5322" spans="1:1" x14ac:dyDescent="0.3">
      <c r="A5322" t="s">
        <v>0</v>
      </c>
    </row>
    <row r="5323" spans="1:1" x14ac:dyDescent="0.3">
      <c r="A5323" t="s">
        <v>0</v>
      </c>
    </row>
    <row r="5324" spans="1:1" x14ac:dyDescent="0.3">
      <c r="A5324" t="s">
        <v>0</v>
      </c>
    </row>
    <row r="5325" spans="1:1" x14ac:dyDescent="0.3">
      <c r="A5325" t="s">
        <v>0</v>
      </c>
    </row>
    <row r="5326" spans="1:1" x14ac:dyDescent="0.3">
      <c r="A5326" t="s">
        <v>0</v>
      </c>
    </row>
    <row r="5327" spans="1:1" x14ac:dyDescent="0.3">
      <c r="A5327" t="s">
        <v>0</v>
      </c>
    </row>
    <row r="5328" spans="1:1" x14ac:dyDescent="0.3">
      <c r="A5328" t="s">
        <v>0</v>
      </c>
    </row>
    <row r="5329" spans="1:1" x14ac:dyDescent="0.3">
      <c r="A5329" t="s">
        <v>0</v>
      </c>
    </row>
    <row r="5330" spans="1:1" x14ac:dyDescent="0.3">
      <c r="A5330" t="s">
        <v>0</v>
      </c>
    </row>
    <row r="5331" spans="1:1" x14ac:dyDescent="0.3">
      <c r="A5331" t="s">
        <v>0</v>
      </c>
    </row>
    <row r="5332" spans="1:1" x14ac:dyDescent="0.3">
      <c r="A5332" t="s">
        <v>0</v>
      </c>
    </row>
    <row r="5333" spans="1:1" x14ac:dyDescent="0.3">
      <c r="A5333" t="s">
        <v>0</v>
      </c>
    </row>
    <row r="5334" spans="1:1" x14ac:dyDescent="0.3">
      <c r="A5334" t="s">
        <v>0</v>
      </c>
    </row>
    <row r="5335" spans="1:1" x14ac:dyDescent="0.3">
      <c r="A5335" t="s">
        <v>0</v>
      </c>
    </row>
    <row r="5336" spans="1:1" x14ac:dyDescent="0.3">
      <c r="A5336" t="s">
        <v>0</v>
      </c>
    </row>
    <row r="5337" spans="1:1" x14ac:dyDescent="0.3">
      <c r="A5337" t="s">
        <v>0</v>
      </c>
    </row>
    <row r="5338" spans="1:1" x14ac:dyDescent="0.3">
      <c r="A5338" t="s">
        <v>0</v>
      </c>
    </row>
    <row r="5339" spans="1:1" x14ac:dyDescent="0.3">
      <c r="A5339" t="s">
        <v>0</v>
      </c>
    </row>
    <row r="5340" spans="1:1" x14ac:dyDescent="0.3">
      <c r="A5340" t="s">
        <v>0</v>
      </c>
    </row>
    <row r="5341" spans="1:1" x14ac:dyDescent="0.3">
      <c r="A5341" t="s">
        <v>0</v>
      </c>
    </row>
    <row r="5342" spans="1:1" x14ac:dyDescent="0.3">
      <c r="A5342" t="s">
        <v>0</v>
      </c>
    </row>
    <row r="5343" spans="1:1" x14ac:dyDescent="0.3">
      <c r="A5343" t="s">
        <v>0</v>
      </c>
    </row>
    <row r="5344" spans="1:1" x14ac:dyDescent="0.3">
      <c r="A5344" t="s">
        <v>0</v>
      </c>
    </row>
    <row r="5345" spans="1:1" x14ac:dyDescent="0.3">
      <c r="A5345" t="s">
        <v>0</v>
      </c>
    </row>
    <row r="5346" spans="1:1" x14ac:dyDescent="0.3">
      <c r="A5346" t="s">
        <v>0</v>
      </c>
    </row>
    <row r="5347" spans="1:1" x14ac:dyDescent="0.3">
      <c r="A5347" t="s">
        <v>0</v>
      </c>
    </row>
    <row r="5348" spans="1:1" x14ac:dyDescent="0.3">
      <c r="A5348" t="s">
        <v>0</v>
      </c>
    </row>
    <row r="5349" spans="1:1" x14ac:dyDescent="0.3">
      <c r="A5349" t="s">
        <v>0</v>
      </c>
    </row>
    <row r="5350" spans="1:1" x14ac:dyDescent="0.3">
      <c r="A5350" t="s">
        <v>0</v>
      </c>
    </row>
    <row r="5351" spans="1:1" x14ac:dyDescent="0.3">
      <c r="A5351" t="s">
        <v>0</v>
      </c>
    </row>
    <row r="5352" spans="1:1" x14ac:dyDescent="0.3">
      <c r="A5352" t="s">
        <v>0</v>
      </c>
    </row>
    <row r="5353" spans="1:1" x14ac:dyDescent="0.3">
      <c r="A5353" t="s">
        <v>0</v>
      </c>
    </row>
    <row r="5354" spans="1:1" x14ac:dyDescent="0.3">
      <c r="A5354" t="s">
        <v>0</v>
      </c>
    </row>
    <row r="5355" spans="1:1" x14ac:dyDescent="0.3">
      <c r="A5355" t="s">
        <v>0</v>
      </c>
    </row>
    <row r="5356" spans="1:1" x14ac:dyDescent="0.3">
      <c r="A5356" t="s">
        <v>0</v>
      </c>
    </row>
    <row r="5357" spans="1:1" x14ac:dyDescent="0.3">
      <c r="A5357" t="s">
        <v>0</v>
      </c>
    </row>
    <row r="5358" spans="1:1" x14ac:dyDescent="0.3">
      <c r="A5358" t="s">
        <v>0</v>
      </c>
    </row>
    <row r="5359" spans="1:1" x14ac:dyDescent="0.3">
      <c r="A5359" t="s">
        <v>0</v>
      </c>
    </row>
    <row r="5360" spans="1:1" x14ac:dyDescent="0.3">
      <c r="A5360" t="s">
        <v>0</v>
      </c>
    </row>
    <row r="5361" spans="1:1" x14ac:dyDescent="0.3">
      <c r="A5361" t="s">
        <v>0</v>
      </c>
    </row>
    <row r="5362" spans="1:1" x14ac:dyDescent="0.3">
      <c r="A5362" t="s">
        <v>0</v>
      </c>
    </row>
    <row r="5363" spans="1:1" x14ac:dyDescent="0.3">
      <c r="A5363" t="s">
        <v>0</v>
      </c>
    </row>
    <row r="5364" spans="1:1" x14ac:dyDescent="0.3">
      <c r="A5364" t="s">
        <v>0</v>
      </c>
    </row>
    <row r="5365" spans="1:1" x14ac:dyDescent="0.3">
      <c r="A5365" t="s">
        <v>0</v>
      </c>
    </row>
    <row r="5366" spans="1:1" x14ac:dyDescent="0.3">
      <c r="A5366" t="s">
        <v>0</v>
      </c>
    </row>
    <row r="5367" spans="1:1" x14ac:dyDescent="0.3">
      <c r="A5367" t="s">
        <v>0</v>
      </c>
    </row>
    <row r="5368" spans="1:1" x14ac:dyDescent="0.3">
      <c r="A5368" t="s">
        <v>0</v>
      </c>
    </row>
    <row r="5369" spans="1:1" x14ac:dyDescent="0.3">
      <c r="A5369" t="s">
        <v>0</v>
      </c>
    </row>
    <row r="5370" spans="1:1" x14ac:dyDescent="0.3">
      <c r="A5370" t="s">
        <v>0</v>
      </c>
    </row>
    <row r="5371" spans="1:1" x14ac:dyDescent="0.3">
      <c r="A5371" t="s">
        <v>0</v>
      </c>
    </row>
    <row r="5372" spans="1:1" x14ac:dyDescent="0.3">
      <c r="A5372" t="s">
        <v>0</v>
      </c>
    </row>
    <row r="5373" spans="1:1" x14ac:dyDescent="0.3">
      <c r="A5373" t="s">
        <v>0</v>
      </c>
    </row>
    <row r="5374" spans="1:1" x14ac:dyDescent="0.3">
      <c r="A5374" t="s">
        <v>0</v>
      </c>
    </row>
    <row r="5375" spans="1:1" x14ac:dyDescent="0.3">
      <c r="A5375" t="s">
        <v>0</v>
      </c>
    </row>
    <row r="5376" spans="1:1" x14ac:dyDescent="0.3">
      <c r="A5376" t="s">
        <v>0</v>
      </c>
    </row>
    <row r="5377" spans="1:1" x14ac:dyDescent="0.3">
      <c r="A5377" t="s">
        <v>0</v>
      </c>
    </row>
    <row r="5378" spans="1:1" x14ac:dyDescent="0.3">
      <c r="A5378" t="s">
        <v>0</v>
      </c>
    </row>
    <row r="5379" spans="1:1" x14ac:dyDescent="0.3">
      <c r="A5379" t="s">
        <v>0</v>
      </c>
    </row>
    <row r="5380" spans="1:1" x14ac:dyDescent="0.3">
      <c r="A5380" t="s">
        <v>0</v>
      </c>
    </row>
    <row r="5381" spans="1:1" x14ac:dyDescent="0.3">
      <c r="A5381" t="s">
        <v>0</v>
      </c>
    </row>
    <row r="5382" spans="1:1" x14ac:dyDescent="0.3">
      <c r="A5382" t="s">
        <v>0</v>
      </c>
    </row>
    <row r="5383" spans="1:1" x14ac:dyDescent="0.3">
      <c r="A5383" t="s">
        <v>0</v>
      </c>
    </row>
    <row r="5384" spans="1:1" x14ac:dyDescent="0.3">
      <c r="A5384" t="s">
        <v>0</v>
      </c>
    </row>
    <row r="5385" spans="1:1" x14ac:dyDescent="0.3">
      <c r="A5385" t="s">
        <v>0</v>
      </c>
    </row>
    <row r="5386" spans="1:1" x14ac:dyDescent="0.3">
      <c r="A5386" t="s">
        <v>0</v>
      </c>
    </row>
    <row r="5387" spans="1:1" x14ac:dyDescent="0.3">
      <c r="A5387" t="s">
        <v>0</v>
      </c>
    </row>
    <row r="5388" spans="1:1" x14ac:dyDescent="0.3">
      <c r="A5388" t="s">
        <v>0</v>
      </c>
    </row>
    <row r="5389" spans="1:1" x14ac:dyDescent="0.3">
      <c r="A5389" t="s">
        <v>0</v>
      </c>
    </row>
    <row r="5390" spans="1:1" x14ac:dyDescent="0.3">
      <c r="A5390" t="s">
        <v>0</v>
      </c>
    </row>
    <row r="5391" spans="1:1" x14ac:dyDescent="0.3">
      <c r="A5391" t="s">
        <v>0</v>
      </c>
    </row>
    <row r="5392" spans="1:1" x14ac:dyDescent="0.3">
      <c r="A5392" t="s">
        <v>0</v>
      </c>
    </row>
    <row r="5393" spans="1:1" x14ac:dyDescent="0.3">
      <c r="A5393" t="s">
        <v>0</v>
      </c>
    </row>
    <row r="5394" spans="1:1" x14ac:dyDescent="0.3">
      <c r="A5394" t="s">
        <v>0</v>
      </c>
    </row>
    <row r="5395" spans="1:1" x14ac:dyDescent="0.3">
      <c r="A5395" t="s">
        <v>0</v>
      </c>
    </row>
    <row r="5396" spans="1:1" x14ac:dyDescent="0.3">
      <c r="A5396" t="s">
        <v>0</v>
      </c>
    </row>
    <row r="5397" spans="1:1" x14ac:dyDescent="0.3">
      <c r="A5397" t="s">
        <v>0</v>
      </c>
    </row>
    <row r="5398" spans="1:1" x14ac:dyDescent="0.3">
      <c r="A5398" t="s">
        <v>0</v>
      </c>
    </row>
    <row r="5399" spans="1:1" x14ac:dyDescent="0.3">
      <c r="A5399" t="s">
        <v>0</v>
      </c>
    </row>
    <row r="5400" spans="1:1" x14ac:dyDescent="0.3">
      <c r="A5400" t="s">
        <v>0</v>
      </c>
    </row>
    <row r="5401" spans="1:1" x14ac:dyDescent="0.3">
      <c r="A5401" t="s">
        <v>0</v>
      </c>
    </row>
    <row r="5402" spans="1:1" x14ac:dyDescent="0.3">
      <c r="A5402" t="s">
        <v>0</v>
      </c>
    </row>
    <row r="5403" spans="1:1" x14ac:dyDescent="0.3">
      <c r="A5403" t="s">
        <v>0</v>
      </c>
    </row>
    <row r="5404" spans="1:1" x14ac:dyDescent="0.3">
      <c r="A5404" t="s">
        <v>0</v>
      </c>
    </row>
    <row r="5405" spans="1:1" x14ac:dyDescent="0.3">
      <c r="A5405" t="s">
        <v>0</v>
      </c>
    </row>
    <row r="5406" spans="1:1" x14ac:dyDescent="0.3">
      <c r="A5406" t="s">
        <v>0</v>
      </c>
    </row>
    <row r="5407" spans="1:1" x14ac:dyDescent="0.3">
      <c r="A5407" t="s">
        <v>0</v>
      </c>
    </row>
    <row r="5408" spans="1:1" x14ac:dyDescent="0.3">
      <c r="A5408" t="s">
        <v>0</v>
      </c>
    </row>
    <row r="5409" spans="1:1" x14ac:dyDescent="0.3">
      <c r="A5409" t="s">
        <v>0</v>
      </c>
    </row>
    <row r="5410" spans="1:1" x14ac:dyDescent="0.3">
      <c r="A5410" t="s">
        <v>0</v>
      </c>
    </row>
    <row r="5411" spans="1:1" x14ac:dyDescent="0.3">
      <c r="A5411" t="s">
        <v>0</v>
      </c>
    </row>
    <row r="5412" spans="1:1" x14ac:dyDescent="0.3">
      <c r="A5412" t="s">
        <v>0</v>
      </c>
    </row>
    <row r="5413" spans="1:1" x14ac:dyDescent="0.3">
      <c r="A5413" t="s">
        <v>0</v>
      </c>
    </row>
    <row r="5414" spans="1:1" x14ac:dyDescent="0.3">
      <c r="A5414" t="s">
        <v>0</v>
      </c>
    </row>
    <row r="5415" spans="1:1" x14ac:dyDescent="0.3">
      <c r="A5415" t="s">
        <v>0</v>
      </c>
    </row>
    <row r="5416" spans="1:1" x14ac:dyDescent="0.3">
      <c r="A5416" t="s">
        <v>0</v>
      </c>
    </row>
    <row r="5417" spans="1:1" x14ac:dyDescent="0.3">
      <c r="A5417" t="s">
        <v>0</v>
      </c>
    </row>
    <row r="5418" spans="1:1" x14ac:dyDescent="0.3">
      <c r="A5418" t="s">
        <v>0</v>
      </c>
    </row>
    <row r="5419" spans="1:1" x14ac:dyDescent="0.3">
      <c r="A5419" t="s">
        <v>0</v>
      </c>
    </row>
    <row r="5420" spans="1:1" x14ac:dyDescent="0.3">
      <c r="A5420" t="s">
        <v>0</v>
      </c>
    </row>
    <row r="5421" spans="1:1" x14ac:dyDescent="0.3">
      <c r="A5421" t="s">
        <v>0</v>
      </c>
    </row>
    <row r="5422" spans="1:1" x14ac:dyDescent="0.3">
      <c r="A5422" t="s">
        <v>0</v>
      </c>
    </row>
    <row r="5423" spans="1:1" x14ac:dyDescent="0.3">
      <c r="A5423" t="s">
        <v>0</v>
      </c>
    </row>
    <row r="5424" spans="1:1" x14ac:dyDescent="0.3">
      <c r="A5424" t="s">
        <v>0</v>
      </c>
    </row>
    <row r="5425" spans="1:1" x14ac:dyDescent="0.3">
      <c r="A5425" t="s">
        <v>0</v>
      </c>
    </row>
    <row r="5426" spans="1:1" x14ac:dyDescent="0.3">
      <c r="A5426" t="s">
        <v>0</v>
      </c>
    </row>
    <row r="5427" spans="1:1" x14ac:dyDescent="0.3">
      <c r="A5427" t="s">
        <v>0</v>
      </c>
    </row>
    <row r="5428" spans="1:1" x14ac:dyDescent="0.3">
      <c r="A5428" t="s">
        <v>0</v>
      </c>
    </row>
    <row r="5429" spans="1:1" x14ac:dyDescent="0.3">
      <c r="A5429" t="s">
        <v>0</v>
      </c>
    </row>
    <row r="5430" spans="1:1" x14ac:dyDescent="0.3">
      <c r="A5430" t="s">
        <v>0</v>
      </c>
    </row>
    <row r="5431" spans="1:1" x14ac:dyDescent="0.3">
      <c r="A5431" t="s">
        <v>0</v>
      </c>
    </row>
    <row r="5432" spans="1:1" x14ac:dyDescent="0.3">
      <c r="A5432" t="s">
        <v>0</v>
      </c>
    </row>
    <row r="5433" spans="1:1" x14ac:dyDescent="0.3">
      <c r="A5433" t="s">
        <v>0</v>
      </c>
    </row>
    <row r="5434" spans="1:1" x14ac:dyDescent="0.3">
      <c r="A5434" t="s">
        <v>0</v>
      </c>
    </row>
    <row r="5435" spans="1:1" x14ac:dyDescent="0.3">
      <c r="A5435" t="s">
        <v>0</v>
      </c>
    </row>
    <row r="5436" spans="1:1" x14ac:dyDescent="0.3">
      <c r="A5436" t="s">
        <v>0</v>
      </c>
    </row>
    <row r="5437" spans="1:1" x14ac:dyDescent="0.3">
      <c r="A5437" t="s">
        <v>0</v>
      </c>
    </row>
    <row r="5438" spans="1:1" x14ac:dyDescent="0.3">
      <c r="A5438" t="s">
        <v>0</v>
      </c>
    </row>
    <row r="5439" spans="1:1" x14ac:dyDescent="0.3">
      <c r="A5439" t="s">
        <v>0</v>
      </c>
    </row>
    <row r="5440" spans="1:1" x14ac:dyDescent="0.3">
      <c r="A5440" t="s">
        <v>0</v>
      </c>
    </row>
    <row r="5441" spans="1:1" x14ac:dyDescent="0.3">
      <c r="A5441" t="s">
        <v>0</v>
      </c>
    </row>
    <row r="5442" spans="1:1" x14ac:dyDescent="0.3">
      <c r="A5442" t="s">
        <v>0</v>
      </c>
    </row>
    <row r="5443" spans="1:1" x14ac:dyDescent="0.3">
      <c r="A5443" t="s">
        <v>0</v>
      </c>
    </row>
    <row r="5444" spans="1:1" x14ac:dyDescent="0.3">
      <c r="A5444" t="s">
        <v>0</v>
      </c>
    </row>
    <row r="5445" spans="1:1" x14ac:dyDescent="0.3">
      <c r="A5445" t="s">
        <v>0</v>
      </c>
    </row>
    <row r="5446" spans="1:1" x14ac:dyDescent="0.3">
      <c r="A5446" t="s">
        <v>0</v>
      </c>
    </row>
    <row r="5447" spans="1:1" x14ac:dyDescent="0.3">
      <c r="A5447" t="s">
        <v>0</v>
      </c>
    </row>
    <row r="5448" spans="1:1" x14ac:dyDescent="0.3">
      <c r="A5448" t="s">
        <v>0</v>
      </c>
    </row>
    <row r="5449" spans="1:1" x14ac:dyDescent="0.3">
      <c r="A5449" t="s">
        <v>0</v>
      </c>
    </row>
    <row r="5450" spans="1:1" x14ac:dyDescent="0.3">
      <c r="A5450" t="s">
        <v>0</v>
      </c>
    </row>
    <row r="5451" spans="1:1" x14ac:dyDescent="0.3">
      <c r="A5451" t="s">
        <v>0</v>
      </c>
    </row>
    <row r="5452" spans="1:1" x14ac:dyDescent="0.3">
      <c r="A5452" t="s">
        <v>0</v>
      </c>
    </row>
    <row r="5453" spans="1:1" x14ac:dyDescent="0.3">
      <c r="A5453" t="s">
        <v>0</v>
      </c>
    </row>
    <row r="5454" spans="1:1" x14ac:dyDescent="0.3">
      <c r="A5454" t="s">
        <v>0</v>
      </c>
    </row>
    <row r="5455" spans="1:1" x14ac:dyDescent="0.3">
      <c r="A5455" t="s">
        <v>0</v>
      </c>
    </row>
    <row r="5456" spans="1:1" x14ac:dyDescent="0.3">
      <c r="A5456" t="s">
        <v>0</v>
      </c>
    </row>
    <row r="5457" spans="1:1" x14ac:dyDescent="0.3">
      <c r="A5457" t="s">
        <v>0</v>
      </c>
    </row>
    <row r="5458" spans="1:1" x14ac:dyDescent="0.3">
      <c r="A5458" t="s">
        <v>0</v>
      </c>
    </row>
    <row r="5459" spans="1:1" x14ac:dyDescent="0.3">
      <c r="A5459" t="s">
        <v>0</v>
      </c>
    </row>
    <row r="5460" spans="1:1" x14ac:dyDescent="0.3">
      <c r="A5460" t="s">
        <v>0</v>
      </c>
    </row>
    <row r="5461" spans="1:1" x14ac:dyDescent="0.3">
      <c r="A5461" t="s">
        <v>0</v>
      </c>
    </row>
    <row r="5462" spans="1:1" x14ac:dyDescent="0.3">
      <c r="A5462" t="s">
        <v>0</v>
      </c>
    </row>
    <row r="5463" spans="1:1" x14ac:dyDescent="0.3">
      <c r="A5463" t="s">
        <v>0</v>
      </c>
    </row>
    <row r="5464" spans="1:1" x14ac:dyDescent="0.3">
      <c r="A5464" t="s">
        <v>0</v>
      </c>
    </row>
    <row r="5465" spans="1:1" x14ac:dyDescent="0.3">
      <c r="A5465" t="s">
        <v>0</v>
      </c>
    </row>
    <row r="5466" spans="1:1" x14ac:dyDescent="0.3">
      <c r="A5466" t="s">
        <v>0</v>
      </c>
    </row>
    <row r="5467" spans="1:1" x14ac:dyDescent="0.3">
      <c r="A5467" t="s">
        <v>0</v>
      </c>
    </row>
    <row r="5468" spans="1:1" x14ac:dyDescent="0.3">
      <c r="A5468" t="s">
        <v>0</v>
      </c>
    </row>
    <row r="5469" spans="1:1" x14ac:dyDescent="0.3">
      <c r="A5469" t="s">
        <v>0</v>
      </c>
    </row>
    <row r="5470" spans="1:1" x14ac:dyDescent="0.3">
      <c r="A5470" t="s">
        <v>0</v>
      </c>
    </row>
    <row r="5471" spans="1:1" x14ac:dyDescent="0.3">
      <c r="A5471" t="s">
        <v>0</v>
      </c>
    </row>
    <row r="5472" spans="1:1" x14ac:dyDescent="0.3">
      <c r="A5472" t="s">
        <v>0</v>
      </c>
    </row>
    <row r="5473" spans="1:1" x14ac:dyDescent="0.3">
      <c r="A5473" t="s">
        <v>0</v>
      </c>
    </row>
    <row r="5474" spans="1:1" x14ac:dyDescent="0.3">
      <c r="A5474" t="s">
        <v>0</v>
      </c>
    </row>
    <row r="5475" spans="1:1" x14ac:dyDescent="0.3">
      <c r="A5475" t="s">
        <v>0</v>
      </c>
    </row>
    <row r="5476" spans="1:1" x14ac:dyDescent="0.3">
      <c r="A5476" t="s">
        <v>0</v>
      </c>
    </row>
    <row r="5477" spans="1:1" x14ac:dyDescent="0.3">
      <c r="A5477" t="s">
        <v>0</v>
      </c>
    </row>
    <row r="5478" spans="1:1" x14ac:dyDescent="0.3">
      <c r="A5478" t="s">
        <v>0</v>
      </c>
    </row>
    <row r="5479" spans="1:1" x14ac:dyDescent="0.3">
      <c r="A5479" t="s">
        <v>0</v>
      </c>
    </row>
    <row r="5480" spans="1:1" x14ac:dyDescent="0.3">
      <c r="A5480" t="s">
        <v>0</v>
      </c>
    </row>
    <row r="5481" spans="1:1" x14ac:dyDescent="0.3">
      <c r="A5481" t="s">
        <v>0</v>
      </c>
    </row>
    <row r="5482" spans="1:1" x14ac:dyDescent="0.3">
      <c r="A5482" t="s">
        <v>0</v>
      </c>
    </row>
    <row r="5483" spans="1:1" x14ac:dyDescent="0.3">
      <c r="A5483" t="s">
        <v>0</v>
      </c>
    </row>
    <row r="5484" spans="1:1" x14ac:dyDescent="0.3">
      <c r="A5484" t="s">
        <v>0</v>
      </c>
    </row>
    <row r="5485" spans="1:1" x14ac:dyDescent="0.3">
      <c r="A5485" t="s">
        <v>0</v>
      </c>
    </row>
    <row r="5486" spans="1:1" x14ac:dyDescent="0.3">
      <c r="A5486" t="s">
        <v>0</v>
      </c>
    </row>
    <row r="5487" spans="1:1" x14ac:dyDescent="0.3">
      <c r="A5487" t="s">
        <v>0</v>
      </c>
    </row>
    <row r="5488" spans="1:1" x14ac:dyDescent="0.3">
      <c r="A5488" t="s">
        <v>0</v>
      </c>
    </row>
    <row r="5489" spans="1:1" x14ac:dyDescent="0.3">
      <c r="A5489" t="s">
        <v>0</v>
      </c>
    </row>
    <row r="5490" spans="1:1" x14ac:dyDescent="0.3">
      <c r="A5490" t="s">
        <v>0</v>
      </c>
    </row>
    <row r="5491" spans="1:1" x14ac:dyDescent="0.3">
      <c r="A5491" t="s">
        <v>0</v>
      </c>
    </row>
    <row r="5492" spans="1:1" x14ac:dyDescent="0.3">
      <c r="A5492" t="s">
        <v>0</v>
      </c>
    </row>
    <row r="5493" spans="1:1" x14ac:dyDescent="0.3">
      <c r="A5493" t="s">
        <v>0</v>
      </c>
    </row>
    <row r="5494" spans="1:1" x14ac:dyDescent="0.3">
      <c r="A5494" t="s">
        <v>0</v>
      </c>
    </row>
    <row r="5495" spans="1:1" x14ac:dyDescent="0.3">
      <c r="A5495" t="s">
        <v>0</v>
      </c>
    </row>
    <row r="5496" spans="1:1" x14ac:dyDescent="0.3">
      <c r="A5496" t="s">
        <v>0</v>
      </c>
    </row>
    <row r="5497" spans="1:1" x14ac:dyDescent="0.3">
      <c r="A5497" t="s">
        <v>0</v>
      </c>
    </row>
    <row r="5498" spans="1:1" x14ac:dyDescent="0.3">
      <c r="A5498" t="s">
        <v>0</v>
      </c>
    </row>
    <row r="5499" spans="1:1" x14ac:dyDescent="0.3">
      <c r="A5499" t="s">
        <v>0</v>
      </c>
    </row>
    <row r="5500" spans="1:1" x14ac:dyDescent="0.3">
      <c r="A5500" t="s">
        <v>0</v>
      </c>
    </row>
    <row r="5501" spans="1:1" x14ac:dyDescent="0.3">
      <c r="A5501" t="s">
        <v>0</v>
      </c>
    </row>
    <row r="5502" spans="1:1" x14ac:dyDescent="0.3">
      <c r="A5502" t="s">
        <v>0</v>
      </c>
    </row>
    <row r="5503" spans="1:1" x14ac:dyDescent="0.3">
      <c r="A5503" t="s">
        <v>0</v>
      </c>
    </row>
    <row r="5504" spans="1:1" x14ac:dyDescent="0.3">
      <c r="A5504" t="s">
        <v>0</v>
      </c>
    </row>
    <row r="5505" spans="1:1" x14ac:dyDescent="0.3">
      <c r="A5505" t="s">
        <v>0</v>
      </c>
    </row>
    <row r="5506" spans="1:1" x14ac:dyDescent="0.3">
      <c r="A5506" t="s">
        <v>0</v>
      </c>
    </row>
    <row r="5507" spans="1:1" x14ac:dyDescent="0.3">
      <c r="A5507" t="s">
        <v>0</v>
      </c>
    </row>
    <row r="5508" spans="1:1" x14ac:dyDescent="0.3">
      <c r="A5508" t="s">
        <v>0</v>
      </c>
    </row>
    <row r="5509" spans="1:1" x14ac:dyDescent="0.3">
      <c r="A5509" t="s">
        <v>0</v>
      </c>
    </row>
    <row r="5510" spans="1:1" x14ac:dyDescent="0.3">
      <c r="A5510" t="s">
        <v>0</v>
      </c>
    </row>
    <row r="5511" spans="1:1" x14ac:dyDescent="0.3">
      <c r="A5511" t="s">
        <v>0</v>
      </c>
    </row>
    <row r="5512" spans="1:1" x14ac:dyDescent="0.3">
      <c r="A5512" t="s">
        <v>0</v>
      </c>
    </row>
    <row r="5513" spans="1:1" x14ac:dyDescent="0.3">
      <c r="A5513" t="s">
        <v>0</v>
      </c>
    </row>
    <row r="5514" spans="1:1" x14ac:dyDescent="0.3">
      <c r="A5514" t="s">
        <v>0</v>
      </c>
    </row>
    <row r="5515" spans="1:1" x14ac:dyDescent="0.3">
      <c r="A5515" t="s">
        <v>0</v>
      </c>
    </row>
    <row r="5516" spans="1:1" x14ac:dyDescent="0.3">
      <c r="A5516" t="s">
        <v>0</v>
      </c>
    </row>
    <row r="5517" spans="1:1" x14ac:dyDescent="0.3">
      <c r="A5517" t="s">
        <v>0</v>
      </c>
    </row>
    <row r="5518" spans="1:1" x14ac:dyDescent="0.3">
      <c r="A5518" t="s">
        <v>0</v>
      </c>
    </row>
    <row r="5519" spans="1:1" x14ac:dyDescent="0.3">
      <c r="A5519" t="s">
        <v>0</v>
      </c>
    </row>
    <row r="5520" spans="1:1" x14ac:dyDescent="0.3">
      <c r="A5520" t="s">
        <v>0</v>
      </c>
    </row>
    <row r="5521" spans="1:1" x14ac:dyDescent="0.3">
      <c r="A5521" t="s">
        <v>0</v>
      </c>
    </row>
    <row r="5522" spans="1:1" x14ac:dyDescent="0.3">
      <c r="A5522" t="s">
        <v>0</v>
      </c>
    </row>
    <row r="5523" spans="1:1" x14ac:dyDescent="0.3">
      <c r="A5523" t="s">
        <v>0</v>
      </c>
    </row>
    <row r="5524" spans="1:1" x14ac:dyDescent="0.3">
      <c r="A5524" t="s">
        <v>0</v>
      </c>
    </row>
    <row r="5525" spans="1:1" x14ac:dyDescent="0.3">
      <c r="A5525" t="s">
        <v>0</v>
      </c>
    </row>
    <row r="5526" spans="1:1" x14ac:dyDescent="0.3">
      <c r="A5526" t="s">
        <v>0</v>
      </c>
    </row>
    <row r="5527" spans="1:1" x14ac:dyDescent="0.3">
      <c r="A5527" t="s">
        <v>0</v>
      </c>
    </row>
    <row r="5528" spans="1:1" x14ac:dyDescent="0.3">
      <c r="A5528" t="s">
        <v>0</v>
      </c>
    </row>
    <row r="5529" spans="1:1" x14ac:dyDescent="0.3">
      <c r="A5529" t="s">
        <v>0</v>
      </c>
    </row>
    <row r="5530" spans="1:1" x14ac:dyDescent="0.3">
      <c r="A5530" t="s">
        <v>0</v>
      </c>
    </row>
    <row r="5531" spans="1:1" x14ac:dyDescent="0.3">
      <c r="A5531" t="s">
        <v>0</v>
      </c>
    </row>
    <row r="5532" spans="1:1" x14ac:dyDescent="0.3">
      <c r="A5532" t="s">
        <v>0</v>
      </c>
    </row>
    <row r="5533" spans="1:1" x14ac:dyDescent="0.3">
      <c r="A5533" t="s">
        <v>0</v>
      </c>
    </row>
    <row r="5534" spans="1:1" x14ac:dyDescent="0.3">
      <c r="A5534" t="s">
        <v>0</v>
      </c>
    </row>
    <row r="5535" spans="1:1" x14ac:dyDescent="0.3">
      <c r="A5535" t="s">
        <v>0</v>
      </c>
    </row>
    <row r="5536" spans="1:1" x14ac:dyDescent="0.3">
      <c r="A5536" t="s">
        <v>0</v>
      </c>
    </row>
    <row r="5537" spans="1:1" x14ac:dyDescent="0.3">
      <c r="A5537" t="s">
        <v>0</v>
      </c>
    </row>
    <row r="5538" spans="1:1" x14ac:dyDescent="0.3">
      <c r="A5538" t="s">
        <v>0</v>
      </c>
    </row>
    <row r="5539" spans="1:1" x14ac:dyDescent="0.3">
      <c r="A5539" t="s">
        <v>0</v>
      </c>
    </row>
    <row r="5540" spans="1:1" x14ac:dyDescent="0.3">
      <c r="A5540" t="s">
        <v>0</v>
      </c>
    </row>
    <row r="5541" spans="1:1" x14ac:dyDescent="0.3">
      <c r="A5541" t="s">
        <v>0</v>
      </c>
    </row>
    <row r="5542" spans="1:1" x14ac:dyDescent="0.3">
      <c r="A5542" t="s">
        <v>0</v>
      </c>
    </row>
    <row r="5543" spans="1:1" x14ac:dyDescent="0.3">
      <c r="A5543" t="s">
        <v>0</v>
      </c>
    </row>
    <row r="5544" spans="1:1" x14ac:dyDescent="0.3">
      <c r="A5544" t="s">
        <v>0</v>
      </c>
    </row>
    <row r="5545" spans="1:1" x14ac:dyDescent="0.3">
      <c r="A5545" t="s">
        <v>0</v>
      </c>
    </row>
    <row r="5546" spans="1:1" x14ac:dyDescent="0.3">
      <c r="A5546" t="s">
        <v>0</v>
      </c>
    </row>
    <row r="5547" spans="1:1" x14ac:dyDescent="0.3">
      <c r="A5547" t="s">
        <v>0</v>
      </c>
    </row>
    <row r="5548" spans="1:1" x14ac:dyDescent="0.3">
      <c r="A5548" t="s">
        <v>0</v>
      </c>
    </row>
    <row r="5549" spans="1:1" x14ac:dyDescent="0.3">
      <c r="A5549" t="s">
        <v>0</v>
      </c>
    </row>
    <row r="5550" spans="1:1" x14ac:dyDescent="0.3">
      <c r="A5550" t="s">
        <v>0</v>
      </c>
    </row>
    <row r="5551" spans="1:1" x14ac:dyDescent="0.3">
      <c r="A5551" t="s">
        <v>0</v>
      </c>
    </row>
    <row r="5552" spans="1:1" x14ac:dyDescent="0.3">
      <c r="A5552" t="s">
        <v>0</v>
      </c>
    </row>
    <row r="5553" spans="1:1" x14ac:dyDescent="0.3">
      <c r="A5553" t="s">
        <v>0</v>
      </c>
    </row>
    <row r="5554" spans="1:1" x14ac:dyDescent="0.3">
      <c r="A5554" t="s">
        <v>0</v>
      </c>
    </row>
    <row r="5555" spans="1:1" x14ac:dyDescent="0.3">
      <c r="A5555" t="s">
        <v>0</v>
      </c>
    </row>
    <row r="5556" spans="1:1" x14ac:dyDescent="0.3">
      <c r="A5556" t="s">
        <v>0</v>
      </c>
    </row>
    <row r="5557" spans="1:1" x14ac:dyDescent="0.3">
      <c r="A5557" t="s">
        <v>0</v>
      </c>
    </row>
    <row r="5558" spans="1:1" x14ac:dyDescent="0.3">
      <c r="A5558" t="s">
        <v>0</v>
      </c>
    </row>
    <row r="5559" spans="1:1" x14ac:dyDescent="0.3">
      <c r="A5559" t="s">
        <v>0</v>
      </c>
    </row>
    <row r="5560" spans="1:1" x14ac:dyDescent="0.3">
      <c r="A5560" t="s">
        <v>0</v>
      </c>
    </row>
    <row r="5561" spans="1:1" x14ac:dyDescent="0.3">
      <c r="A5561" t="s">
        <v>0</v>
      </c>
    </row>
    <row r="5562" spans="1:1" x14ac:dyDescent="0.3">
      <c r="A5562" t="s">
        <v>0</v>
      </c>
    </row>
    <row r="5563" spans="1:1" x14ac:dyDescent="0.3">
      <c r="A5563" t="s">
        <v>0</v>
      </c>
    </row>
    <row r="5564" spans="1:1" x14ac:dyDescent="0.3">
      <c r="A5564" t="s">
        <v>0</v>
      </c>
    </row>
    <row r="5565" spans="1:1" x14ac:dyDescent="0.3">
      <c r="A5565" t="s">
        <v>0</v>
      </c>
    </row>
    <row r="5566" spans="1:1" x14ac:dyDescent="0.3">
      <c r="A5566" t="s">
        <v>0</v>
      </c>
    </row>
    <row r="5567" spans="1:1" x14ac:dyDescent="0.3">
      <c r="A5567" t="s">
        <v>0</v>
      </c>
    </row>
    <row r="5568" spans="1:1" x14ac:dyDescent="0.3">
      <c r="A5568" t="s">
        <v>0</v>
      </c>
    </row>
    <row r="5569" spans="1:1" x14ac:dyDescent="0.3">
      <c r="A5569" t="s">
        <v>0</v>
      </c>
    </row>
    <row r="5570" spans="1:1" x14ac:dyDescent="0.3">
      <c r="A5570" t="s">
        <v>0</v>
      </c>
    </row>
    <row r="5571" spans="1:1" x14ac:dyDescent="0.3">
      <c r="A5571" t="s">
        <v>0</v>
      </c>
    </row>
    <row r="5572" spans="1:1" x14ac:dyDescent="0.3">
      <c r="A5572" t="s">
        <v>0</v>
      </c>
    </row>
    <row r="5573" spans="1:1" x14ac:dyDescent="0.3">
      <c r="A5573" t="s">
        <v>0</v>
      </c>
    </row>
    <row r="5574" spans="1:1" x14ac:dyDescent="0.3">
      <c r="A5574" t="s">
        <v>0</v>
      </c>
    </row>
    <row r="5575" spans="1:1" x14ac:dyDescent="0.3">
      <c r="A5575" t="s">
        <v>0</v>
      </c>
    </row>
    <row r="5576" spans="1:1" x14ac:dyDescent="0.3">
      <c r="A5576" t="s">
        <v>0</v>
      </c>
    </row>
    <row r="5577" spans="1:1" x14ac:dyDescent="0.3">
      <c r="A5577" t="s">
        <v>0</v>
      </c>
    </row>
    <row r="5578" spans="1:1" x14ac:dyDescent="0.3">
      <c r="A5578" t="s">
        <v>0</v>
      </c>
    </row>
    <row r="5579" spans="1:1" x14ac:dyDescent="0.3">
      <c r="A5579" t="s">
        <v>0</v>
      </c>
    </row>
    <row r="5580" spans="1:1" x14ac:dyDescent="0.3">
      <c r="A5580" t="s">
        <v>0</v>
      </c>
    </row>
    <row r="5581" spans="1:1" x14ac:dyDescent="0.3">
      <c r="A5581" t="s">
        <v>0</v>
      </c>
    </row>
    <row r="5582" spans="1:1" x14ac:dyDescent="0.3">
      <c r="A5582" t="s">
        <v>0</v>
      </c>
    </row>
    <row r="5583" spans="1:1" x14ac:dyDescent="0.3">
      <c r="A5583" t="s">
        <v>0</v>
      </c>
    </row>
    <row r="5584" spans="1:1" x14ac:dyDescent="0.3">
      <c r="A5584" t="s">
        <v>0</v>
      </c>
    </row>
    <row r="5585" spans="1:1" x14ac:dyDescent="0.3">
      <c r="A5585" t="s">
        <v>0</v>
      </c>
    </row>
    <row r="5586" spans="1:1" x14ac:dyDescent="0.3">
      <c r="A5586" t="s">
        <v>0</v>
      </c>
    </row>
    <row r="5587" spans="1:1" x14ac:dyDescent="0.3">
      <c r="A5587" t="s">
        <v>0</v>
      </c>
    </row>
    <row r="5588" spans="1:1" x14ac:dyDescent="0.3">
      <c r="A5588" t="s">
        <v>0</v>
      </c>
    </row>
    <row r="5589" spans="1:1" x14ac:dyDescent="0.3">
      <c r="A5589" t="s">
        <v>0</v>
      </c>
    </row>
    <row r="5590" spans="1:1" x14ac:dyDescent="0.3">
      <c r="A5590" t="s">
        <v>0</v>
      </c>
    </row>
    <row r="5591" spans="1:1" x14ac:dyDescent="0.3">
      <c r="A5591" t="s">
        <v>0</v>
      </c>
    </row>
    <row r="5592" spans="1:1" x14ac:dyDescent="0.3">
      <c r="A5592" t="s">
        <v>0</v>
      </c>
    </row>
    <row r="5593" spans="1:1" x14ac:dyDescent="0.3">
      <c r="A5593" t="s">
        <v>0</v>
      </c>
    </row>
    <row r="5594" spans="1:1" x14ac:dyDescent="0.3">
      <c r="A5594" t="s">
        <v>0</v>
      </c>
    </row>
    <row r="5595" spans="1:1" x14ac:dyDescent="0.3">
      <c r="A5595" t="s">
        <v>0</v>
      </c>
    </row>
    <row r="5596" spans="1:1" x14ac:dyDescent="0.3">
      <c r="A5596" t="s">
        <v>0</v>
      </c>
    </row>
    <row r="5597" spans="1:1" x14ac:dyDescent="0.3">
      <c r="A5597" t="s">
        <v>0</v>
      </c>
    </row>
    <row r="5598" spans="1:1" x14ac:dyDescent="0.3">
      <c r="A5598" t="s">
        <v>0</v>
      </c>
    </row>
    <row r="5599" spans="1:1" x14ac:dyDescent="0.3">
      <c r="A5599" t="s">
        <v>0</v>
      </c>
    </row>
    <row r="5600" spans="1:1" x14ac:dyDescent="0.3">
      <c r="A5600" t="s">
        <v>0</v>
      </c>
    </row>
    <row r="5601" spans="1:1" x14ac:dyDescent="0.3">
      <c r="A5601" t="s">
        <v>0</v>
      </c>
    </row>
    <row r="5602" spans="1:1" x14ac:dyDescent="0.3">
      <c r="A5602" t="s">
        <v>0</v>
      </c>
    </row>
    <row r="5603" spans="1:1" x14ac:dyDescent="0.3">
      <c r="A5603" t="s">
        <v>0</v>
      </c>
    </row>
    <row r="5604" spans="1:1" x14ac:dyDescent="0.3">
      <c r="A5604" t="s">
        <v>0</v>
      </c>
    </row>
    <row r="5605" spans="1:1" x14ac:dyDescent="0.3">
      <c r="A5605" t="s">
        <v>0</v>
      </c>
    </row>
    <row r="5606" spans="1:1" x14ac:dyDescent="0.3">
      <c r="A5606" t="s">
        <v>0</v>
      </c>
    </row>
    <row r="5607" spans="1:1" x14ac:dyDescent="0.3">
      <c r="A5607" t="s">
        <v>0</v>
      </c>
    </row>
    <row r="5608" spans="1:1" x14ac:dyDescent="0.3">
      <c r="A5608" t="s">
        <v>0</v>
      </c>
    </row>
    <row r="5609" spans="1:1" x14ac:dyDescent="0.3">
      <c r="A5609" t="s">
        <v>0</v>
      </c>
    </row>
    <row r="5610" spans="1:1" x14ac:dyDescent="0.3">
      <c r="A5610" t="s">
        <v>0</v>
      </c>
    </row>
    <row r="5611" spans="1:1" x14ac:dyDescent="0.3">
      <c r="A5611" t="s">
        <v>0</v>
      </c>
    </row>
    <row r="5612" spans="1:1" x14ac:dyDescent="0.3">
      <c r="A5612" t="s">
        <v>0</v>
      </c>
    </row>
    <row r="5613" spans="1:1" x14ac:dyDescent="0.3">
      <c r="A5613" t="s">
        <v>0</v>
      </c>
    </row>
    <row r="5614" spans="1:1" x14ac:dyDescent="0.3">
      <c r="A5614" t="s">
        <v>0</v>
      </c>
    </row>
    <row r="5615" spans="1:1" x14ac:dyDescent="0.3">
      <c r="A5615" t="s">
        <v>0</v>
      </c>
    </row>
    <row r="5616" spans="1:1" x14ac:dyDescent="0.3">
      <c r="A5616" t="s">
        <v>0</v>
      </c>
    </row>
    <row r="5617" spans="1:1" x14ac:dyDescent="0.3">
      <c r="A5617" t="s">
        <v>0</v>
      </c>
    </row>
    <row r="5618" spans="1:1" x14ac:dyDescent="0.3">
      <c r="A5618" t="s">
        <v>0</v>
      </c>
    </row>
    <row r="5619" spans="1:1" x14ac:dyDescent="0.3">
      <c r="A5619" t="s">
        <v>0</v>
      </c>
    </row>
    <row r="5620" spans="1:1" x14ac:dyDescent="0.3">
      <c r="A5620" t="s">
        <v>0</v>
      </c>
    </row>
    <row r="5621" spans="1:1" x14ac:dyDescent="0.3">
      <c r="A5621" t="s">
        <v>0</v>
      </c>
    </row>
    <row r="5622" spans="1:1" x14ac:dyDescent="0.3">
      <c r="A5622" t="s">
        <v>0</v>
      </c>
    </row>
    <row r="5623" spans="1:1" x14ac:dyDescent="0.3">
      <c r="A5623" t="s">
        <v>0</v>
      </c>
    </row>
    <row r="5624" spans="1:1" x14ac:dyDescent="0.3">
      <c r="A5624" t="s">
        <v>0</v>
      </c>
    </row>
    <row r="5625" spans="1:1" x14ac:dyDescent="0.3">
      <c r="A5625" t="s">
        <v>0</v>
      </c>
    </row>
    <row r="5626" spans="1:1" x14ac:dyDescent="0.3">
      <c r="A5626" t="s">
        <v>0</v>
      </c>
    </row>
    <row r="5627" spans="1:1" x14ac:dyDescent="0.3">
      <c r="A5627" t="s">
        <v>0</v>
      </c>
    </row>
    <row r="5628" spans="1:1" x14ac:dyDescent="0.3">
      <c r="A5628" t="s">
        <v>0</v>
      </c>
    </row>
    <row r="5629" spans="1:1" x14ac:dyDescent="0.3">
      <c r="A5629" t="s">
        <v>0</v>
      </c>
    </row>
    <row r="5630" spans="1:1" x14ac:dyDescent="0.3">
      <c r="A5630" t="s">
        <v>0</v>
      </c>
    </row>
    <row r="5631" spans="1:1" x14ac:dyDescent="0.3">
      <c r="A5631" t="s">
        <v>0</v>
      </c>
    </row>
    <row r="5632" spans="1:1" x14ac:dyDescent="0.3">
      <c r="A5632" t="s">
        <v>0</v>
      </c>
    </row>
    <row r="5633" spans="1:1" x14ac:dyDescent="0.3">
      <c r="A5633" t="s">
        <v>0</v>
      </c>
    </row>
    <row r="5634" spans="1:1" x14ac:dyDescent="0.3">
      <c r="A5634" t="s">
        <v>0</v>
      </c>
    </row>
    <row r="5635" spans="1:1" x14ac:dyDescent="0.3">
      <c r="A5635" t="s">
        <v>0</v>
      </c>
    </row>
    <row r="5636" spans="1:1" x14ac:dyDescent="0.3">
      <c r="A5636" t="s">
        <v>0</v>
      </c>
    </row>
    <row r="5637" spans="1:1" x14ac:dyDescent="0.3">
      <c r="A5637" t="s">
        <v>0</v>
      </c>
    </row>
    <row r="5638" spans="1:1" x14ac:dyDescent="0.3">
      <c r="A5638" t="s">
        <v>0</v>
      </c>
    </row>
    <row r="5639" spans="1:1" x14ac:dyDescent="0.3">
      <c r="A5639" t="s">
        <v>0</v>
      </c>
    </row>
    <row r="5640" spans="1:1" x14ac:dyDescent="0.3">
      <c r="A5640" t="s">
        <v>0</v>
      </c>
    </row>
    <row r="5641" spans="1:1" x14ac:dyDescent="0.3">
      <c r="A5641" t="s">
        <v>0</v>
      </c>
    </row>
    <row r="5642" spans="1:1" x14ac:dyDescent="0.3">
      <c r="A5642" t="s">
        <v>0</v>
      </c>
    </row>
    <row r="5643" spans="1:1" x14ac:dyDescent="0.3">
      <c r="A5643" t="s">
        <v>0</v>
      </c>
    </row>
    <row r="5644" spans="1:1" x14ac:dyDescent="0.3">
      <c r="A5644" t="s">
        <v>0</v>
      </c>
    </row>
    <row r="5645" spans="1:1" x14ac:dyDescent="0.3">
      <c r="A5645" t="s">
        <v>0</v>
      </c>
    </row>
    <row r="5646" spans="1:1" x14ac:dyDescent="0.3">
      <c r="A5646" t="s">
        <v>0</v>
      </c>
    </row>
    <row r="5647" spans="1:1" x14ac:dyDescent="0.3">
      <c r="A5647" t="s">
        <v>0</v>
      </c>
    </row>
    <row r="5648" spans="1:1" x14ac:dyDescent="0.3">
      <c r="A5648" t="s">
        <v>0</v>
      </c>
    </row>
    <row r="5649" spans="1:1" x14ac:dyDescent="0.3">
      <c r="A5649" t="s">
        <v>0</v>
      </c>
    </row>
    <row r="5650" spans="1:1" x14ac:dyDescent="0.3">
      <c r="A5650" t="s">
        <v>0</v>
      </c>
    </row>
    <row r="5651" spans="1:1" x14ac:dyDescent="0.3">
      <c r="A5651" t="s">
        <v>0</v>
      </c>
    </row>
    <row r="5652" spans="1:1" x14ac:dyDescent="0.3">
      <c r="A5652" t="s">
        <v>0</v>
      </c>
    </row>
    <row r="5653" spans="1:1" x14ac:dyDescent="0.3">
      <c r="A5653" t="s">
        <v>0</v>
      </c>
    </row>
    <row r="5654" spans="1:1" x14ac:dyDescent="0.3">
      <c r="A5654" t="s">
        <v>0</v>
      </c>
    </row>
    <row r="5655" spans="1:1" x14ac:dyDescent="0.3">
      <c r="A5655" t="s">
        <v>0</v>
      </c>
    </row>
    <row r="5656" spans="1:1" x14ac:dyDescent="0.3">
      <c r="A5656" t="s">
        <v>0</v>
      </c>
    </row>
    <row r="5657" spans="1:1" x14ac:dyDescent="0.3">
      <c r="A5657" t="s">
        <v>0</v>
      </c>
    </row>
    <row r="5658" spans="1:1" x14ac:dyDescent="0.3">
      <c r="A5658" t="s">
        <v>0</v>
      </c>
    </row>
    <row r="5659" spans="1:1" x14ac:dyDescent="0.3">
      <c r="A5659" t="s">
        <v>0</v>
      </c>
    </row>
    <row r="5660" spans="1:1" x14ac:dyDescent="0.3">
      <c r="A5660" t="s">
        <v>0</v>
      </c>
    </row>
    <row r="5661" spans="1:1" x14ac:dyDescent="0.3">
      <c r="A5661" t="s">
        <v>0</v>
      </c>
    </row>
    <row r="5662" spans="1:1" x14ac:dyDescent="0.3">
      <c r="A5662" t="s">
        <v>0</v>
      </c>
    </row>
    <row r="5663" spans="1:1" x14ac:dyDescent="0.3">
      <c r="A5663" t="s">
        <v>0</v>
      </c>
    </row>
    <row r="5664" spans="1:1" x14ac:dyDescent="0.3">
      <c r="A5664" t="s">
        <v>0</v>
      </c>
    </row>
    <row r="5665" spans="1:1" x14ac:dyDescent="0.3">
      <c r="A5665" t="s">
        <v>0</v>
      </c>
    </row>
    <row r="5666" spans="1:1" x14ac:dyDescent="0.3">
      <c r="A5666" t="s">
        <v>0</v>
      </c>
    </row>
    <row r="5667" spans="1:1" x14ac:dyDescent="0.3">
      <c r="A5667" t="s">
        <v>0</v>
      </c>
    </row>
    <row r="5668" spans="1:1" x14ac:dyDescent="0.3">
      <c r="A5668" t="s">
        <v>0</v>
      </c>
    </row>
    <row r="5669" spans="1:1" x14ac:dyDescent="0.3">
      <c r="A5669" t="s">
        <v>0</v>
      </c>
    </row>
    <row r="5670" spans="1:1" x14ac:dyDescent="0.3">
      <c r="A5670" t="s">
        <v>0</v>
      </c>
    </row>
    <row r="5671" spans="1:1" x14ac:dyDescent="0.3">
      <c r="A5671" t="s">
        <v>0</v>
      </c>
    </row>
    <row r="5672" spans="1:1" x14ac:dyDescent="0.3">
      <c r="A5672" t="s">
        <v>0</v>
      </c>
    </row>
    <row r="5673" spans="1:1" x14ac:dyDescent="0.3">
      <c r="A5673" t="s">
        <v>0</v>
      </c>
    </row>
    <row r="5674" spans="1:1" x14ac:dyDescent="0.3">
      <c r="A5674" t="s">
        <v>0</v>
      </c>
    </row>
    <row r="5675" spans="1:1" x14ac:dyDescent="0.3">
      <c r="A5675" t="s">
        <v>0</v>
      </c>
    </row>
    <row r="5676" spans="1:1" x14ac:dyDescent="0.3">
      <c r="A5676" t="s">
        <v>0</v>
      </c>
    </row>
    <row r="5677" spans="1:1" x14ac:dyDescent="0.3">
      <c r="A5677" t="s">
        <v>0</v>
      </c>
    </row>
    <row r="5678" spans="1:1" x14ac:dyDescent="0.3">
      <c r="A5678" t="s">
        <v>0</v>
      </c>
    </row>
    <row r="5679" spans="1:1" x14ac:dyDescent="0.3">
      <c r="A5679" t="s">
        <v>0</v>
      </c>
    </row>
    <row r="5680" spans="1:1" x14ac:dyDescent="0.3">
      <c r="A5680" t="s">
        <v>0</v>
      </c>
    </row>
    <row r="5681" spans="1:1" x14ac:dyDescent="0.3">
      <c r="A5681" t="s">
        <v>0</v>
      </c>
    </row>
    <row r="5682" spans="1:1" x14ac:dyDescent="0.3">
      <c r="A5682" t="s">
        <v>0</v>
      </c>
    </row>
    <row r="5683" spans="1:1" x14ac:dyDescent="0.3">
      <c r="A5683" t="s">
        <v>0</v>
      </c>
    </row>
    <row r="5684" spans="1:1" x14ac:dyDescent="0.3">
      <c r="A5684" t="s">
        <v>0</v>
      </c>
    </row>
    <row r="5685" spans="1:1" x14ac:dyDescent="0.3">
      <c r="A5685" t="s">
        <v>0</v>
      </c>
    </row>
    <row r="5686" spans="1:1" x14ac:dyDescent="0.3">
      <c r="A5686" t="s">
        <v>0</v>
      </c>
    </row>
    <row r="5687" spans="1:1" x14ac:dyDescent="0.3">
      <c r="A5687" t="s">
        <v>0</v>
      </c>
    </row>
    <row r="5688" spans="1:1" x14ac:dyDescent="0.3">
      <c r="A5688" t="s">
        <v>0</v>
      </c>
    </row>
    <row r="5689" spans="1:1" x14ac:dyDescent="0.3">
      <c r="A5689" t="s">
        <v>0</v>
      </c>
    </row>
    <row r="5690" spans="1:1" x14ac:dyDescent="0.3">
      <c r="A5690" t="s">
        <v>0</v>
      </c>
    </row>
    <row r="5691" spans="1:1" x14ac:dyDescent="0.3">
      <c r="A5691" t="s">
        <v>0</v>
      </c>
    </row>
    <row r="5692" spans="1:1" x14ac:dyDescent="0.3">
      <c r="A5692" t="s">
        <v>0</v>
      </c>
    </row>
    <row r="5693" spans="1:1" x14ac:dyDescent="0.3">
      <c r="A5693" t="s">
        <v>0</v>
      </c>
    </row>
    <row r="5694" spans="1:1" x14ac:dyDescent="0.3">
      <c r="A5694" t="s">
        <v>0</v>
      </c>
    </row>
    <row r="5695" spans="1:1" x14ac:dyDescent="0.3">
      <c r="A5695" t="s">
        <v>0</v>
      </c>
    </row>
    <row r="5696" spans="1:1" x14ac:dyDescent="0.3">
      <c r="A5696" t="s">
        <v>0</v>
      </c>
    </row>
    <row r="5697" spans="1:1" x14ac:dyDescent="0.3">
      <c r="A5697" t="s">
        <v>0</v>
      </c>
    </row>
    <row r="5698" spans="1:1" x14ac:dyDescent="0.3">
      <c r="A5698" t="s">
        <v>0</v>
      </c>
    </row>
    <row r="5699" spans="1:1" x14ac:dyDescent="0.3">
      <c r="A5699" t="s">
        <v>0</v>
      </c>
    </row>
    <row r="5700" spans="1:1" x14ac:dyDescent="0.3">
      <c r="A5700" t="s">
        <v>0</v>
      </c>
    </row>
    <row r="5701" spans="1:1" x14ac:dyDescent="0.3">
      <c r="A5701" t="s">
        <v>0</v>
      </c>
    </row>
    <row r="5702" spans="1:1" x14ac:dyDescent="0.3">
      <c r="A5702" t="s">
        <v>0</v>
      </c>
    </row>
    <row r="5703" spans="1:1" x14ac:dyDescent="0.3">
      <c r="A5703" t="s">
        <v>0</v>
      </c>
    </row>
    <row r="5704" spans="1:1" x14ac:dyDescent="0.3">
      <c r="A5704" t="s">
        <v>0</v>
      </c>
    </row>
    <row r="5705" spans="1:1" x14ac:dyDescent="0.3">
      <c r="A5705" t="s">
        <v>0</v>
      </c>
    </row>
    <row r="5706" spans="1:1" x14ac:dyDescent="0.3">
      <c r="A5706" t="s">
        <v>0</v>
      </c>
    </row>
    <row r="5707" spans="1:1" x14ac:dyDescent="0.3">
      <c r="A5707" t="s">
        <v>0</v>
      </c>
    </row>
    <row r="5708" spans="1:1" x14ac:dyDescent="0.3">
      <c r="A5708" t="s">
        <v>0</v>
      </c>
    </row>
    <row r="5709" spans="1:1" x14ac:dyDescent="0.3">
      <c r="A5709" t="s">
        <v>0</v>
      </c>
    </row>
    <row r="5710" spans="1:1" x14ac:dyDescent="0.3">
      <c r="A5710" t="s">
        <v>0</v>
      </c>
    </row>
    <row r="5711" spans="1:1" x14ac:dyDescent="0.3">
      <c r="A5711" t="s">
        <v>0</v>
      </c>
    </row>
    <row r="5712" spans="1:1" x14ac:dyDescent="0.3">
      <c r="A5712" t="s">
        <v>0</v>
      </c>
    </row>
    <row r="5713" spans="1:1" x14ac:dyDescent="0.3">
      <c r="A5713" t="s">
        <v>0</v>
      </c>
    </row>
    <row r="5714" spans="1:1" x14ac:dyDescent="0.3">
      <c r="A5714" t="s">
        <v>0</v>
      </c>
    </row>
    <row r="5715" spans="1:1" x14ac:dyDescent="0.3">
      <c r="A5715" t="s">
        <v>0</v>
      </c>
    </row>
    <row r="5716" spans="1:1" x14ac:dyDescent="0.3">
      <c r="A5716" t="s">
        <v>0</v>
      </c>
    </row>
    <row r="5717" spans="1:1" x14ac:dyDescent="0.3">
      <c r="A5717" t="s">
        <v>0</v>
      </c>
    </row>
    <row r="5718" spans="1:1" x14ac:dyDescent="0.3">
      <c r="A5718" t="s">
        <v>0</v>
      </c>
    </row>
    <row r="5719" spans="1:1" x14ac:dyDescent="0.3">
      <c r="A5719" t="s">
        <v>0</v>
      </c>
    </row>
    <row r="5720" spans="1:1" x14ac:dyDescent="0.3">
      <c r="A5720" t="s">
        <v>0</v>
      </c>
    </row>
    <row r="5721" spans="1:1" x14ac:dyDescent="0.3">
      <c r="A5721" t="s">
        <v>0</v>
      </c>
    </row>
    <row r="5722" spans="1:1" x14ac:dyDescent="0.3">
      <c r="A5722" t="s">
        <v>0</v>
      </c>
    </row>
    <row r="5723" spans="1:1" x14ac:dyDescent="0.3">
      <c r="A5723" t="s">
        <v>0</v>
      </c>
    </row>
    <row r="5724" spans="1:1" x14ac:dyDescent="0.3">
      <c r="A5724" t="s">
        <v>0</v>
      </c>
    </row>
    <row r="5725" spans="1:1" x14ac:dyDescent="0.3">
      <c r="A5725" t="s">
        <v>0</v>
      </c>
    </row>
    <row r="5726" spans="1:1" x14ac:dyDescent="0.3">
      <c r="A5726" t="s">
        <v>0</v>
      </c>
    </row>
    <row r="5727" spans="1:1" x14ac:dyDescent="0.3">
      <c r="A5727" t="s">
        <v>0</v>
      </c>
    </row>
    <row r="5728" spans="1:1" x14ac:dyDescent="0.3">
      <c r="A5728" t="s">
        <v>0</v>
      </c>
    </row>
    <row r="5729" spans="1:1" x14ac:dyDescent="0.3">
      <c r="A5729" t="s">
        <v>0</v>
      </c>
    </row>
    <row r="5730" spans="1:1" x14ac:dyDescent="0.3">
      <c r="A5730" t="s">
        <v>0</v>
      </c>
    </row>
    <row r="5731" spans="1:1" x14ac:dyDescent="0.3">
      <c r="A5731" t="s">
        <v>0</v>
      </c>
    </row>
    <row r="5732" spans="1:1" x14ac:dyDescent="0.3">
      <c r="A5732" t="s">
        <v>0</v>
      </c>
    </row>
    <row r="5733" spans="1:1" x14ac:dyDescent="0.3">
      <c r="A5733" t="s">
        <v>0</v>
      </c>
    </row>
    <row r="5734" spans="1:1" x14ac:dyDescent="0.3">
      <c r="A5734" t="s">
        <v>0</v>
      </c>
    </row>
    <row r="5735" spans="1:1" x14ac:dyDescent="0.3">
      <c r="A5735" t="s">
        <v>0</v>
      </c>
    </row>
    <row r="5736" spans="1:1" x14ac:dyDescent="0.3">
      <c r="A5736" t="s">
        <v>0</v>
      </c>
    </row>
    <row r="5737" spans="1:1" x14ac:dyDescent="0.3">
      <c r="A5737" t="s">
        <v>0</v>
      </c>
    </row>
    <row r="5738" spans="1:1" x14ac:dyDescent="0.3">
      <c r="A5738" t="s">
        <v>0</v>
      </c>
    </row>
    <row r="5739" spans="1:1" x14ac:dyDescent="0.3">
      <c r="A5739" t="s">
        <v>0</v>
      </c>
    </row>
    <row r="5740" spans="1:1" x14ac:dyDescent="0.3">
      <c r="A5740" t="s">
        <v>0</v>
      </c>
    </row>
    <row r="5741" spans="1:1" x14ac:dyDescent="0.3">
      <c r="A5741" t="s">
        <v>0</v>
      </c>
    </row>
    <row r="5742" spans="1:1" x14ac:dyDescent="0.3">
      <c r="A5742" t="s">
        <v>0</v>
      </c>
    </row>
    <row r="5743" spans="1:1" x14ac:dyDescent="0.3">
      <c r="A5743" t="s">
        <v>0</v>
      </c>
    </row>
    <row r="5744" spans="1:1" x14ac:dyDescent="0.3">
      <c r="A5744" t="s">
        <v>0</v>
      </c>
    </row>
    <row r="5745" spans="1:1" x14ac:dyDescent="0.3">
      <c r="A5745" t="s">
        <v>0</v>
      </c>
    </row>
    <row r="5746" spans="1:1" x14ac:dyDescent="0.3">
      <c r="A5746" t="s">
        <v>0</v>
      </c>
    </row>
    <row r="5747" spans="1:1" x14ac:dyDescent="0.3">
      <c r="A5747" t="s">
        <v>0</v>
      </c>
    </row>
    <row r="5748" spans="1:1" x14ac:dyDescent="0.3">
      <c r="A5748" t="s">
        <v>0</v>
      </c>
    </row>
    <row r="5749" spans="1:1" x14ac:dyDescent="0.3">
      <c r="A5749" t="s">
        <v>0</v>
      </c>
    </row>
    <row r="5750" spans="1:1" x14ac:dyDescent="0.3">
      <c r="A5750" t="s">
        <v>0</v>
      </c>
    </row>
    <row r="5751" spans="1:1" x14ac:dyDescent="0.3">
      <c r="A5751" t="s">
        <v>0</v>
      </c>
    </row>
    <row r="5752" spans="1:1" x14ac:dyDescent="0.3">
      <c r="A5752" t="s">
        <v>0</v>
      </c>
    </row>
    <row r="5753" spans="1:1" x14ac:dyDescent="0.3">
      <c r="A5753" t="s">
        <v>0</v>
      </c>
    </row>
    <row r="5754" spans="1:1" x14ac:dyDescent="0.3">
      <c r="A5754" t="s">
        <v>0</v>
      </c>
    </row>
    <row r="5755" spans="1:1" x14ac:dyDescent="0.3">
      <c r="A5755" t="s">
        <v>0</v>
      </c>
    </row>
    <row r="5756" spans="1:1" x14ac:dyDescent="0.3">
      <c r="A5756" t="s">
        <v>0</v>
      </c>
    </row>
    <row r="5757" spans="1:1" x14ac:dyDescent="0.3">
      <c r="A5757" t="s">
        <v>0</v>
      </c>
    </row>
    <row r="5758" spans="1:1" x14ac:dyDescent="0.3">
      <c r="A5758" t="s">
        <v>0</v>
      </c>
    </row>
    <row r="5759" spans="1:1" x14ac:dyDescent="0.3">
      <c r="A5759" t="s">
        <v>0</v>
      </c>
    </row>
    <row r="5760" spans="1:1" x14ac:dyDescent="0.3">
      <c r="A5760" t="s">
        <v>0</v>
      </c>
    </row>
    <row r="5761" spans="1:1" x14ac:dyDescent="0.3">
      <c r="A5761" t="s">
        <v>0</v>
      </c>
    </row>
    <row r="5762" spans="1:1" x14ac:dyDescent="0.3">
      <c r="A5762" t="s">
        <v>0</v>
      </c>
    </row>
    <row r="5763" spans="1:1" x14ac:dyDescent="0.3">
      <c r="A5763" t="s">
        <v>0</v>
      </c>
    </row>
    <row r="5764" spans="1:1" x14ac:dyDescent="0.3">
      <c r="A5764" t="s">
        <v>0</v>
      </c>
    </row>
    <row r="5765" spans="1:1" x14ac:dyDescent="0.3">
      <c r="A5765" t="s">
        <v>0</v>
      </c>
    </row>
    <row r="5766" spans="1:1" x14ac:dyDescent="0.3">
      <c r="A5766" t="s">
        <v>0</v>
      </c>
    </row>
    <row r="5767" spans="1:1" x14ac:dyDescent="0.3">
      <c r="A5767" t="s">
        <v>0</v>
      </c>
    </row>
    <row r="5768" spans="1:1" x14ac:dyDescent="0.3">
      <c r="A5768" t="s">
        <v>0</v>
      </c>
    </row>
    <row r="5769" spans="1:1" x14ac:dyDescent="0.3">
      <c r="A5769" t="s">
        <v>0</v>
      </c>
    </row>
    <row r="5770" spans="1:1" x14ac:dyDescent="0.3">
      <c r="A5770" t="s">
        <v>0</v>
      </c>
    </row>
    <row r="5771" spans="1:1" x14ac:dyDescent="0.3">
      <c r="A5771" t="s">
        <v>0</v>
      </c>
    </row>
    <row r="5772" spans="1:1" x14ac:dyDescent="0.3">
      <c r="A5772" t="s">
        <v>0</v>
      </c>
    </row>
    <row r="5773" spans="1:1" x14ac:dyDescent="0.3">
      <c r="A5773" t="s">
        <v>0</v>
      </c>
    </row>
    <row r="5774" spans="1:1" x14ac:dyDescent="0.3">
      <c r="A5774" t="s">
        <v>0</v>
      </c>
    </row>
    <row r="5775" spans="1:1" x14ac:dyDescent="0.3">
      <c r="A5775" t="s">
        <v>0</v>
      </c>
    </row>
    <row r="5776" spans="1:1" x14ac:dyDescent="0.3">
      <c r="A5776" t="s">
        <v>0</v>
      </c>
    </row>
    <row r="5777" spans="1:1" x14ac:dyDescent="0.3">
      <c r="A5777" t="s">
        <v>0</v>
      </c>
    </row>
    <row r="5778" spans="1:1" x14ac:dyDescent="0.3">
      <c r="A5778" t="s">
        <v>0</v>
      </c>
    </row>
    <row r="5779" spans="1:1" x14ac:dyDescent="0.3">
      <c r="A5779" t="s">
        <v>0</v>
      </c>
    </row>
    <row r="5780" spans="1:1" x14ac:dyDescent="0.3">
      <c r="A5780" t="s">
        <v>0</v>
      </c>
    </row>
    <row r="5781" spans="1:1" x14ac:dyDescent="0.3">
      <c r="A5781" t="s">
        <v>0</v>
      </c>
    </row>
    <row r="5782" spans="1:1" x14ac:dyDescent="0.3">
      <c r="A5782" t="s">
        <v>0</v>
      </c>
    </row>
    <row r="5783" spans="1:1" x14ac:dyDescent="0.3">
      <c r="A5783" t="s">
        <v>0</v>
      </c>
    </row>
    <row r="5784" spans="1:1" x14ac:dyDescent="0.3">
      <c r="A5784" t="s">
        <v>0</v>
      </c>
    </row>
    <row r="5785" spans="1:1" x14ac:dyDescent="0.3">
      <c r="A5785" t="s">
        <v>0</v>
      </c>
    </row>
    <row r="5786" spans="1:1" x14ac:dyDescent="0.3">
      <c r="A5786" t="s">
        <v>0</v>
      </c>
    </row>
    <row r="5787" spans="1:1" x14ac:dyDescent="0.3">
      <c r="A5787" t="s">
        <v>0</v>
      </c>
    </row>
    <row r="5788" spans="1:1" x14ac:dyDescent="0.3">
      <c r="A5788" t="s">
        <v>0</v>
      </c>
    </row>
    <row r="5789" spans="1:1" x14ac:dyDescent="0.3">
      <c r="A5789" t="s">
        <v>0</v>
      </c>
    </row>
    <row r="5790" spans="1:1" x14ac:dyDescent="0.3">
      <c r="A5790" t="s">
        <v>0</v>
      </c>
    </row>
    <row r="5791" spans="1:1" x14ac:dyDescent="0.3">
      <c r="A5791" t="s">
        <v>0</v>
      </c>
    </row>
    <row r="5792" spans="1:1" x14ac:dyDescent="0.3">
      <c r="A5792" t="s">
        <v>0</v>
      </c>
    </row>
    <row r="5793" spans="1:1" x14ac:dyDescent="0.3">
      <c r="A5793" t="s">
        <v>0</v>
      </c>
    </row>
    <row r="5794" spans="1:1" x14ac:dyDescent="0.3">
      <c r="A5794" t="s">
        <v>0</v>
      </c>
    </row>
    <row r="5795" spans="1:1" x14ac:dyDescent="0.3">
      <c r="A5795" t="s">
        <v>0</v>
      </c>
    </row>
    <row r="5796" spans="1:1" x14ac:dyDescent="0.3">
      <c r="A5796" t="s">
        <v>0</v>
      </c>
    </row>
    <row r="5797" spans="1:1" x14ac:dyDescent="0.3">
      <c r="A5797" t="s">
        <v>0</v>
      </c>
    </row>
    <row r="5798" spans="1:1" x14ac:dyDescent="0.3">
      <c r="A5798" t="s">
        <v>0</v>
      </c>
    </row>
    <row r="5799" spans="1:1" x14ac:dyDescent="0.3">
      <c r="A5799" t="s">
        <v>0</v>
      </c>
    </row>
    <row r="5800" spans="1:1" x14ac:dyDescent="0.3">
      <c r="A5800" t="s">
        <v>0</v>
      </c>
    </row>
    <row r="5801" spans="1:1" x14ac:dyDescent="0.3">
      <c r="A5801" t="s">
        <v>0</v>
      </c>
    </row>
    <row r="5802" spans="1:1" x14ac:dyDescent="0.3">
      <c r="A5802" t="s">
        <v>0</v>
      </c>
    </row>
    <row r="5803" spans="1:1" x14ac:dyDescent="0.3">
      <c r="A5803" t="s">
        <v>0</v>
      </c>
    </row>
    <row r="5804" spans="1:1" x14ac:dyDescent="0.3">
      <c r="A5804" t="s">
        <v>0</v>
      </c>
    </row>
    <row r="5805" spans="1:1" x14ac:dyDescent="0.3">
      <c r="A5805" t="s">
        <v>0</v>
      </c>
    </row>
    <row r="5806" spans="1:1" x14ac:dyDescent="0.3">
      <c r="A5806" t="s">
        <v>0</v>
      </c>
    </row>
    <row r="5807" spans="1:1" x14ac:dyDescent="0.3">
      <c r="A5807" t="s">
        <v>0</v>
      </c>
    </row>
    <row r="5808" spans="1:1" x14ac:dyDescent="0.3">
      <c r="A5808" t="s">
        <v>0</v>
      </c>
    </row>
    <row r="5809" spans="1:1" x14ac:dyDescent="0.3">
      <c r="A5809" t="s">
        <v>0</v>
      </c>
    </row>
    <row r="5810" spans="1:1" x14ac:dyDescent="0.3">
      <c r="A5810" t="s">
        <v>0</v>
      </c>
    </row>
    <row r="5811" spans="1:1" x14ac:dyDescent="0.3">
      <c r="A5811" t="s">
        <v>0</v>
      </c>
    </row>
    <row r="5812" spans="1:1" x14ac:dyDescent="0.3">
      <c r="A5812" t="s">
        <v>0</v>
      </c>
    </row>
    <row r="5813" spans="1:1" x14ac:dyDescent="0.3">
      <c r="A5813" t="s">
        <v>0</v>
      </c>
    </row>
    <row r="5814" spans="1:1" x14ac:dyDescent="0.3">
      <c r="A5814" t="s">
        <v>0</v>
      </c>
    </row>
    <row r="5815" spans="1:1" x14ac:dyDescent="0.3">
      <c r="A5815" t="s">
        <v>0</v>
      </c>
    </row>
    <row r="5816" spans="1:1" x14ac:dyDescent="0.3">
      <c r="A5816" t="s">
        <v>0</v>
      </c>
    </row>
    <row r="5817" spans="1:1" x14ac:dyDescent="0.3">
      <c r="A5817" t="s">
        <v>0</v>
      </c>
    </row>
    <row r="5818" spans="1:1" x14ac:dyDescent="0.3">
      <c r="A5818" t="s">
        <v>0</v>
      </c>
    </row>
    <row r="5819" spans="1:1" x14ac:dyDescent="0.3">
      <c r="A5819" t="s">
        <v>0</v>
      </c>
    </row>
    <row r="5820" spans="1:1" x14ac:dyDescent="0.3">
      <c r="A5820" t="s">
        <v>0</v>
      </c>
    </row>
    <row r="5821" spans="1:1" x14ac:dyDescent="0.3">
      <c r="A5821" t="s">
        <v>0</v>
      </c>
    </row>
    <row r="5822" spans="1:1" x14ac:dyDescent="0.3">
      <c r="A5822" t="s">
        <v>0</v>
      </c>
    </row>
    <row r="5823" spans="1:1" x14ac:dyDescent="0.3">
      <c r="A5823" t="s">
        <v>0</v>
      </c>
    </row>
    <row r="5824" spans="1:1" x14ac:dyDescent="0.3">
      <c r="A5824" t="s">
        <v>0</v>
      </c>
    </row>
    <row r="5825" spans="1:1" x14ac:dyDescent="0.3">
      <c r="A5825" t="s">
        <v>0</v>
      </c>
    </row>
    <row r="5826" spans="1:1" x14ac:dyDescent="0.3">
      <c r="A5826" t="s">
        <v>0</v>
      </c>
    </row>
    <row r="5827" spans="1:1" x14ac:dyDescent="0.3">
      <c r="A5827" t="s">
        <v>0</v>
      </c>
    </row>
    <row r="5828" spans="1:1" x14ac:dyDescent="0.3">
      <c r="A5828" t="s">
        <v>0</v>
      </c>
    </row>
    <row r="5829" spans="1:1" x14ac:dyDescent="0.3">
      <c r="A5829" t="s">
        <v>0</v>
      </c>
    </row>
    <row r="5830" spans="1:1" x14ac:dyDescent="0.3">
      <c r="A5830" t="s">
        <v>0</v>
      </c>
    </row>
    <row r="5831" spans="1:1" x14ac:dyDescent="0.3">
      <c r="A5831" t="s">
        <v>0</v>
      </c>
    </row>
    <row r="5832" spans="1:1" x14ac:dyDescent="0.3">
      <c r="A5832" t="s">
        <v>0</v>
      </c>
    </row>
    <row r="5833" spans="1:1" x14ac:dyDescent="0.3">
      <c r="A5833" t="s">
        <v>0</v>
      </c>
    </row>
    <row r="5834" spans="1:1" x14ac:dyDescent="0.3">
      <c r="A5834" t="s">
        <v>0</v>
      </c>
    </row>
    <row r="5835" spans="1:1" x14ac:dyDescent="0.3">
      <c r="A5835" t="s">
        <v>0</v>
      </c>
    </row>
    <row r="5836" spans="1:1" x14ac:dyDescent="0.3">
      <c r="A5836" t="s">
        <v>0</v>
      </c>
    </row>
    <row r="5837" spans="1:1" x14ac:dyDescent="0.3">
      <c r="A5837" t="s">
        <v>0</v>
      </c>
    </row>
    <row r="5838" spans="1:1" x14ac:dyDescent="0.3">
      <c r="A5838" t="s">
        <v>0</v>
      </c>
    </row>
    <row r="5839" spans="1:1" x14ac:dyDescent="0.3">
      <c r="A5839" t="s">
        <v>0</v>
      </c>
    </row>
    <row r="5840" spans="1:1" x14ac:dyDescent="0.3">
      <c r="A5840" t="s">
        <v>0</v>
      </c>
    </row>
    <row r="5841" spans="1:1" x14ac:dyDescent="0.3">
      <c r="A5841" t="s">
        <v>0</v>
      </c>
    </row>
    <row r="5842" spans="1:1" x14ac:dyDescent="0.3">
      <c r="A5842" t="s">
        <v>0</v>
      </c>
    </row>
    <row r="5843" spans="1:1" x14ac:dyDescent="0.3">
      <c r="A5843" t="s">
        <v>0</v>
      </c>
    </row>
    <row r="5844" spans="1:1" x14ac:dyDescent="0.3">
      <c r="A5844" t="s">
        <v>0</v>
      </c>
    </row>
    <row r="5845" spans="1:1" x14ac:dyDescent="0.3">
      <c r="A5845" t="s">
        <v>0</v>
      </c>
    </row>
    <row r="5846" spans="1:1" x14ac:dyDescent="0.3">
      <c r="A5846" t="s">
        <v>0</v>
      </c>
    </row>
    <row r="5847" spans="1:1" x14ac:dyDescent="0.3">
      <c r="A5847" t="s">
        <v>0</v>
      </c>
    </row>
    <row r="5848" spans="1:1" x14ac:dyDescent="0.3">
      <c r="A5848" t="s">
        <v>0</v>
      </c>
    </row>
    <row r="5849" spans="1:1" x14ac:dyDescent="0.3">
      <c r="A5849" t="s">
        <v>0</v>
      </c>
    </row>
    <row r="5850" spans="1:1" x14ac:dyDescent="0.3">
      <c r="A5850" t="s">
        <v>0</v>
      </c>
    </row>
    <row r="5851" spans="1:1" x14ac:dyDescent="0.3">
      <c r="A5851" t="s">
        <v>0</v>
      </c>
    </row>
    <row r="5852" spans="1:1" x14ac:dyDescent="0.3">
      <c r="A5852" t="s">
        <v>0</v>
      </c>
    </row>
    <row r="5853" spans="1:1" x14ac:dyDescent="0.3">
      <c r="A5853" t="s">
        <v>0</v>
      </c>
    </row>
    <row r="5854" spans="1:1" x14ac:dyDescent="0.3">
      <c r="A5854" t="s">
        <v>0</v>
      </c>
    </row>
    <row r="5855" spans="1:1" x14ac:dyDescent="0.3">
      <c r="A5855" t="s">
        <v>0</v>
      </c>
    </row>
    <row r="5856" spans="1:1" x14ac:dyDescent="0.3">
      <c r="A5856" t="s">
        <v>0</v>
      </c>
    </row>
    <row r="5857" spans="1:1" x14ac:dyDescent="0.3">
      <c r="A5857" t="s">
        <v>0</v>
      </c>
    </row>
    <row r="5858" spans="1:1" x14ac:dyDescent="0.3">
      <c r="A5858" t="s">
        <v>0</v>
      </c>
    </row>
    <row r="5859" spans="1:1" x14ac:dyDescent="0.3">
      <c r="A5859" t="s">
        <v>0</v>
      </c>
    </row>
    <row r="5860" spans="1:1" x14ac:dyDescent="0.3">
      <c r="A5860" t="s">
        <v>0</v>
      </c>
    </row>
    <row r="5861" spans="1:1" x14ac:dyDescent="0.3">
      <c r="A5861" t="s">
        <v>0</v>
      </c>
    </row>
    <row r="5862" spans="1:1" x14ac:dyDescent="0.3">
      <c r="A5862" t="s">
        <v>0</v>
      </c>
    </row>
    <row r="5863" spans="1:1" x14ac:dyDescent="0.3">
      <c r="A5863" t="s">
        <v>0</v>
      </c>
    </row>
    <row r="5864" spans="1:1" x14ac:dyDescent="0.3">
      <c r="A5864" t="s">
        <v>0</v>
      </c>
    </row>
    <row r="5865" spans="1:1" x14ac:dyDescent="0.3">
      <c r="A5865" t="s">
        <v>0</v>
      </c>
    </row>
    <row r="5866" spans="1:1" x14ac:dyDescent="0.3">
      <c r="A5866" t="s">
        <v>0</v>
      </c>
    </row>
    <row r="5867" spans="1:1" x14ac:dyDescent="0.3">
      <c r="A5867" t="s">
        <v>0</v>
      </c>
    </row>
    <row r="5868" spans="1:1" x14ac:dyDescent="0.3">
      <c r="A5868" t="s">
        <v>0</v>
      </c>
    </row>
    <row r="5869" spans="1:1" x14ac:dyDescent="0.3">
      <c r="A5869" t="s">
        <v>0</v>
      </c>
    </row>
    <row r="5870" spans="1:1" x14ac:dyDescent="0.3">
      <c r="A5870" t="s">
        <v>0</v>
      </c>
    </row>
    <row r="5871" spans="1:1" x14ac:dyDescent="0.3">
      <c r="A5871" t="s">
        <v>0</v>
      </c>
    </row>
    <row r="5872" spans="1:1" x14ac:dyDescent="0.3">
      <c r="A5872" t="s">
        <v>0</v>
      </c>
    </row>
    <row r="5873" spans="1:1" x14ac:dyDescent="0.3">
      <c r="A5873" t="s">
        <v>0</v>
      </c>
    </row>
    <row r="5874" spans="1:1" x14ac:dyDescent="0.3">
      <c r="A5874" t="s">
        <v>0</v>
      </c>
    </row>
    <row r="5875" spans="1:1" x14ac:dyDescent="0.3">
      <c r="A5875" t="s">
        <v>0</v>
      </c>
    </row>
    <row r="5876" spans="1:1" x14ac:dyDescent="0.3">
      <c r="A5876" t="s">
        <v>0</v>
      </c>
    </row>
    <row r="5877" spans="1:1" x14ac:dyDescent="0.3">
      <c r="A5877" t="s">
        <v>0</v>
      </c>
    </row>
    <row r="5878" spans="1:1" x14ac:dyDescent="0.3">
      <c r="A5878" t="s">
        <v>0</v>
      </c>
    </row>
    <row r="5879" spans="1:1" x14ac:dyDescent="0.3">
      <c r="A5879" t="s">
        <v>0</v>
      </c>
    </row>
    <row r="5880" spans="1:1" x14ac:dyDescent="0.3">
      <c r="A5880" t="s">
        <v>0</v>
      </c>
    </row>
    <row r="5881" spans="1:1" x14ac:dyDescent="0.3">
      <c r="A5881" t="s">
        <v>0</v>
      </c>
    </row>
    <row r="5882" spans="1:1" x14ac:dyDescent="0.3">
      <c r="A5882" t="s">
        <v>0</v>
      </c>
    </row>
    <row r="5883" spans="1:1" x14ac:dyDescent="0.3">
      <c r="A5883" t="s">
        <v>0</v>
      </c>
    </row>
    <row r="5884" spans="1:1" x14ac:dyDescent="0.3">
      <c r="A5884" t="s">
        <v>0</v>
      </c>
    </row>
    <row r="5885" spans="1:1" x14ac:dyDescent="0.3">
      <c r="A5885" t="s">
        <v>0</v>
      </c>
    </row>
    <row r="5886" spans="1:1" x14ac:dyDescent="0.3">
      <c r="A5886" t="s">
        <v>0</v>
      </c>
    </row>
    <row r="5887" spans="1:1" x14ac:dyDescent="0.3">
      <c r="A5887" t="s">
        <v>0</v>
      </c>
    </row>
    <row r="5888" spans="1:1" x14ac:dyDescent="0.3">
      <c r="A5888" t="s">
        <v>0</v>
      </c>
    </row>
    <row r="5889" spans="1:1" x14ac:dyDescent="0.3">
      <c r="A5889" t="s">
        <v>0</v>
      </c>
    </row>
    <row r="5890" spans="1:1" x14ac:dyDescent="0.3">
      <c r="A5890" t="s">
        <v>0</v>
      </c>
    </row>
    <row r="5891" spans="1:1" x14ac:dyDescent="0.3">
      <c r="A5891" t="s">
        <v>0</v>
      </c>
    </row>
    <row r="5892" spans="1:1" x14ac:dyDescent="0.3">
      <c r="A5892" t="s">
        <v>0</v>
      </c>
    </row>
    <row r="5893" spans="1:1" x14ac:dyDescent="0.3">
      <c r="A5893" t="s">
        <v>0</v>
      </c>
    </row>
    <row r="5894" spans="1:1" x14ac:dyDescent="0.3">
      <c r="A5894" t="s">
        <v>0</v>
      </c>
    </row>
    <row r="5895" spans="1:1" x14ac:dyDescent="0.3">
      <c r="A5895" t="s">
        <v>0</v>
      </c>
    </row>
    <row r="5896" spans="1:1" x14ac:dyDescent="0.3">
      <c r="A5896" t="s">
        <v>0</v>
      </c>
    </row>
    <row r="5897" spans="1:1" x14ac:dyDescent="0.3">
      <c r="A5897" t="s">
        <v>0</v>
      </c>
    </row>
    <row r="5898" spans="1:1" x14ac:dyDescent="0.3">
      <c r="A5898" t="s">
        <v>0</v>
      </c>
    </row>
    <row r="5899" spans="1:1" x14ac:dyDescent="0.3">
      <c r="A5899" t="s">
        <v>0</v>
      </c>
    </row>
    <row r="5900" spans="1:1" x14ac:dyDescent="0.3">
      <c r="A5900" t="s">
        <v>0</v>
      </c>
    </row>
    <row r="5901" spans="1:1" x14ac:dyDescent="0.3">
      <c r="A5901" t="s">
        <v>0</v>
      </c>
    </row>
    <row r="5902" spans="1:1" x14ac:dyDescent="0.3">
      <c r="A5902" t="s">
        <v>0</v>
      </c>
    </row>
    <row r="5903" spans="1:1" x14ac:dyDescent="0.3">
      <c r="A5903" t="s">
        <v>0</v>
      </c>
    </row>
    <row r="5904" spans="1:1" x14ac:dyDescent="0.3">
      <c r="A5904" t="s">
        <v>0</v>
      </c>
    </row>
    <row r="5905" spans="1:1" x14ac:dyDescent="0.3">
      <c r="A5905" t="s">
        <v>0</v>
      </c>
    </row>
    <row r="5906" spans="1:1" x14ac:dyDescent="0.3">
      <c r="A5906" t="s">
        <v>0</v>
      </c>
    </row>
    <row r="5907" spans="1:1" x14ac:dyDescent="0.3">
      <c r="A5907" t="s">
        <v>0</v>
      </c>
    </row>
    <row r="5908" spans="1:1" x14ac:dyDescent="0.3">
      <c r="A5908" t="s">
        <v>0</v>
      </c>
    </row>
    <row r="5909" spans="1:1" x14ac:dyDescent="0.3">
      <c r="A5909" t="s">
        <v>0</v>
      </c>
    </row>
    <row r="5910" spans="1:1" x14ac:dyDescent="0.3">
      <c r="A5910" t="s">
        <v>0</v>
      </c>
    </row>
    <row r="5911" spans="1:1" x14ac:dyDescent="0.3">
      <c r="A5911" t="s">
        <v>0</v>
      </c>
    </row>
    <row r="5912" spans="1:1" x14ac:dyDescent="0.3">
      <c r="A5912" t="s">
        <v>0</v>
      </c>
    </row>
    <row r="5913" spans="1:1" x14ac:dyDescent="0.3">
      <c r="A5913" t="s">
        <v>0</v>
      </c>
    </row>
    <row r="5914" spans="1:1" x14ac:dyDescent="0.3">
      <c r="A5914" t="s">
        <v>0</v>
      </c>
    </row>
    <row r="5915" spans="1:1" x14ac:dyDescent="0.3">
      <c r="A5915" t="s">
        <v>0</v>
      </c>
    </row>
    <row r="5916" spans="1:1" x14ac:dyDescent="0.3">
      <c r="A5916" t="s">
        <v>0</v>
      </c>
    </row>
    <row r="5917" spans="1:1" x14ac:dyDescent="0.3">
      <c r="A5917" t="s">
        <v>0</v>
      </c>
    </row>
    <row r="5918" spans="1:1" x14ac:dyDescent="0.3">
      <c r="A5918" t="s">
        <v>0</v>
      </c>
    </row>
    <row r="5919" spans="1:1" x14ac:dyDescent="0.3">
      <c r="A5919" t="s">
        <v>0</v>
      </c>
    </row>
    <row r="5920" spans="1:1" x14ac:dyDescent="0.3">
      <c r="A5920" t="s">
        <v>0</v>
      </c>
    </row>
    <row r="5921" spans="1:1" x14ac:dyDescent="0.3">
      <c r="A5921" t="s">
        <v>0</v>
      </c>
    </row>
    <row r="5922" spans="1:1" x14ac:dyDescent="0.3">
      <c r="A5922" t="s">
        <v>0</v>
      </c>
    </row>
    <row r="5923" spans="1:1" x14ac:dyDescent="0.3">
      <c r="A5923" t="s">
        <v>0</v>
      </c>
    </row>
    <row r="5924" spans="1:1" x14ac:dyDescent="0.3">
      <c r="A5924" t="s">
        <v>0</v>
      </c>
    </row>
    <row r="5925" spans="1:1" x14ac:dyDescent="0.3">
      <c r="A5925" t="s">
        <v>0</v>
      </c>
    </row>
    <row r="5926" spans="1:1" x14ac:dyDescent="0.3">
      <c r="A5926" t="s">
        <v>0</v>
      </c>
    </row>
    <row r="5927" spans="1:1" x14ac:dyDescent="0.3">
      <c r="A5927" t="s">
        <v>0</v>
      </c>
    </row>
    <row r="5928" spans="1:1" x14ac:dyDescent="0.3">
      <c r="A5928" t="s">
        <v>0</v>
      </c>
    </row>
    <row r="5929" spans="1:1" x14ac:dyDescent="0.3">
      <c r="A5929" t="s">
        <v>0</v>
      </c>
    </row>
    <row r="5930" spans="1:1" x14ac:dyDescent="0.3">
      <c r="A5930" t="s">
        <v>0</v>
      </c>
    </row>
    <row r="5931" spans="1:1" x14ac:dyDescent="0.3">
      <c r="A5931" t="s">
        <v>0</v>
      </c>
    </row>
    <row r="5932" spans="1:1" x14ac:dyDescent="0.3">
      <c r="A5932" t="s">
        <v>0</v>
      </c>
    </row>
    <row r="5933" spans="1:1" x14ac:dyDescent="0.3">
      <c r="A5933" t="s">
        <v>0</v>
      </c>
    </row>
    <row r="5934" spans="1:1" x14ac:dyDescent="0.3">
      <c r="A5934" t="s">
        <v>0</v>
      </c>
    </row>
    <row r="5935" spans="1:1" x14ac:dyDescent="0.3">
      <c r="A5935" t="s">
        <v>0</v>
      </c>
    </row>
    <row r="5936" spans="1:1" x14ac:dyDescent="0.3">
      <c r="A5936" t="s">
        <v>0</v>
      </c>
    </row>
    <row r="5937" spans="1:1" x14ac:dyDescent="0.3">
      <c r="A5937" t="s">
        <v>0</v>
      </c>
    </row>
    <row r="5938" spans="1:1" x14ac:dyDescent="0.3">
      <c r="A5938" t="s">
        <v>0</v>
      </c>
    </row>
    <row r="5939" spans="1:1" x14ac:dyDescent="0.3">
      <c r="A5939" t="s">
        <v>0</v>
      </c>
    </row>
    <row r="5940" spans="1:1" x14ac:dyDescent="0.3">
      <c r="A5940" t="s">
        <v>0</v>
      </c>
    </row>
    <row r="5941" spans="1:1" x14ac:dyDescent="0.3">
      <c r="A5941" t="s">
        <v>0</v>
      </c>
    </row>
    <row r="5942" spans="1:1" x14ac:dyDescent="0.3">
      <c r="A5942" t="s">
        <v>0</v>
      </c>
    </row>
    <row r="5943" spans="1:1" x14ac:dyDescent="0.3">
      <c r="A5943" t="s">
        <v>0</v>
      </c>
    </row>
    <row r="5944" spans="1:1" x14ac:dyDescent="0.3">
      <c r="A5944" t="s">
        <v>0</v>
      </c>
    </row>
    <row r="5945" spans="1:1" x14ac:dyDescent="0.3">
      <c r="A5945" t="s">
        <v>0</v>
      </c>
    </row>
    <row r="5946" spans="1:1" x14ac:dyDescent="0.3">
      <c r="A5946" t="s">
        <v>0</v>
      </c>
    </row>
    <row r="5947" spans="1:1" x14ac:dyDescent="0.3">
      <c r="A5947" t="s">
        <v>0</v>
      </c>
    </row>
    <row r="5948" spans="1:1" x14ac:dyDescent="0.3">
      <c r="A5948" t="s">
        <v>0</v>
      </c>
    </row>
    <row r="5949" spans="1:1" x14ac:dyDescent="0.3">
      <c r="A5949" t="s">
        <v>0</v>
      </c>
    </row>
    <row r="5950" spans="1:1" x14ac:dyDescent="0.3">
      <c r="A5950" t="s">
        <v>0</v>
      </c>
    </row>
    <row r="5951" spans="1:1" x14ac:dyDescent="0.3">
      <c r="A5951" t="s">
        <v>0</v>
      </c>
    </row>
    <row r="5952" spans="1:1" x14ac:dyDescent="0.3">
      <c r="A5952" t="s">
        <v>0</v>
      </c>
    </row>
    <row r="5953" spans="1:1" x14ac:dyDescent="0.3">
      <c r="A5953" t="s">
        <v>0</v>
      </c>
    </row>
    <row r="5954" spans="1:1" x14ac:dyDescent="0.3">
      <c r="A5954" t="s">
        <v>0</v>
      </c>
    </row>
    <row r="5955" spans="1:1" x14ac:dyDescent="0.3">
      <c r="A5955" t="s">
        <v>0</v>
      </c>
    </row>
    <row r="5956" spans="1:1" x14ac:dyDescent="0.3">
      <c r="A5956" t="s">
        <v>0</v>
      </c>
    </row>
    <row r="5957" spans="1:1" x14ac:dyDescent="0.3">
      <c r="A5957" t="s">
        <v>0</v>
      </c>
    </row>
    <row r="5958" spans="1:1" x14ac:dyDescent="0.3">
      <c r="A5958" t="s">
        <v>0</v>
      </c>
    </row>
    <row r="5959" spans="1:1" x14ac:dyDescent="0.3">
      <c r="A5959" t="s">
        <v>0</v>
      </c>
    </row>
    <row r="5960" spans="1:1" x14ac:dyDescent="0.3">
      <c r="A5960" t="s">
        <v>0</v>
      </c>
    </row>
    <row r="5961" spans="1:1" x14ac:dyDescent="0.3">
      <c r="A5961" t="s">
        <v>0</v>
      </c>
    </row>
    <row r="5962" spans="1:1" x14ac:dyDescent="0.3">
      <c r="A5962" t="s">
        <v>0</v>
      </c>
    </row>
    <row r="5963" spans="1:1" x14ac:dyDescent="0.3">
      <c r="A5963" t="s">
        <v>0</v>
      </c>
    </row>
    <row r="5964" spans="1:1" x14ac:dyDescent="0.3">
      <c r="A5964" t="s">
        <v>0</v>
      </c>
    </row>
    <row r="5965" spans="1:1" x14ac:dyDescent="0.3">
      <c r="A5965" t="s">
        <v>0</v>
      </c>
    </row>
    <row r="5966" spans="1:1" x14ac:dyDescent="0.3">
      <c r="A5966" t="s">
        <v>0</v>
      </c>
    </row>
    <row r="5967" spans="1:1" x14ac:dyDescent="0.3">
      <c r="A5967" t="s">
        <v>0</v>
      </c>
    </row>
    <row r="5968" spans="1:1" x14ac:dyDescent="0.3">
      <c r="A5968" t="s">
        <v>0</v>
      </c>
    </row>
    <row r="5969" spans="1:1" x14ac:dyDescent="0.3">
      <c r="A5969" t="s">
        <v>0</v>
      </c>
    </row>
    <row r="5970" spans="1:1" x14ac:dyDescent="0.3">
      <c r="A5970" t="s">
        <v>0</v>
      </c>
    </row>
    <row r="5971" spans="1:1" x14ac:dyDescent="0.3">
      <c r="A5971" t="s">
        <v>0</v>
      </c>
    </row>
    <row r="5972" spans="1:1" x14ac:dyDescent="0.3">
      <c r="A5972" t="s">
        <v>0</v>
      </c>
    </row>
    <row r="5973" spans="1:1" x14ac:dyDescent="0.3">
      <c r="A5973" t="s">
        <v>0</v>
      </c>
    </row>
    <row r="5974" spans="1:1" x14ac:dyDescent="0.3">
      <c r="A5974" t="s">
        <v>0</v>
      </c>
    </row>
    <row r="5975" spans="1:1" x14ac:dyDescent="0.3">
      <c r="A5975" t="s">
        <v>0</v>
      </c>
    </row>
    <row r="5976" spans="1:1" x14ac:dyDescent="0.3">
      <c r="A5976" t="s">
        <v>0</v>
      </c>
    </row>
    <row r="5977" spans="1:1" x14ac:dyDescent="0.3">
      <c r="A5977" t="s">
        <v>0</v>
      </c>
    </row>
    <row r="5978" spans="1:1" x14ac:dyDescent="0.3">
      <c r="A5978" t="s">
        <v>0</v>
      </c>
    </row>
    <row r="5979" spans="1:1" x14ac:dyDescent="0.3">
      <c r="A5979" t="s">
        <v>0</v>
      </c>
    </row>
    <row r="5980" spans="1:1" x14ac:dyDescent="0.3">
      <c r="A5980" t="s">
        <v>0</v>
      </c>
    </row>
    <row r="5981" spans="1:1" x14ac:dyDescent="0.3">
      <c r="A5981" t="s">
        <v>0</v>
      </c>
    </row>
    <row r="5982" spans="1:1" x14ac:dyDescent="0.3">
      <c r="A5982" t="s">
        <v>0</v>
      </c>
    </row>
    <row r="5983" spans="1:1" x14ac:dyDescent="0.3">
      <c r="A5983" t="s">
        <v>0</v>
      </c>
    </row>
    <row r="5984" spans="1:1" x14ac:dyDescent="0.3">
      <c r="A5984" t="s">
        <v>0</v>
      </c>
    </row>
    <row r="5985" spans="1:1" x14ac:dyDescent="0.3">
      <c r="A5985" t="s">
        <v>0</v>
      </c>
    </row>
    <row r="5986" spans="1:1" x14ac:dyDescent="0.3">
      <c r="A5986" t="s">
        <v>0</v>
      </c>
    </row>
    <row r="5987" spans="1:1" x14ac:dyDescent="0.3">
      <c r="A5987" t="s">
        <v>0</v>
      </c>
    </row>
    <row r="5988" spans="1:1" x14ac:dyDescent="0.3">
      <c r="A5988" t="s">
        <v>0</v>
      </c>
    </row>
    <row r="5989" spans="1:1" x14ac:dyDescent="0.3">
      <c r="A5989" t="s">
        <v>0</v>
      </c>
    </row>
    <row r="5990" spans="1:1" x14ac:dyDescent="0.3">
      <c r="A5990" t="s">
        <v>0</v>
      </c>
    </row>
    <row r="5991" spans="1:1" x14ac:dyDescent="0.3">
      <c r="A5991" t="s">
        <v>0</v>
      </c>
    </row>
    <row r="5992" spans="1:1" x14ac:dyDescent="0.3">
      <c r="A5992" t="s">
        <v>0</v>
      </c>
    </row>
    <row r="5993" spans="1:1" x14ac:dyDescent="0.3">
      <c r="A5993" t="s">
        <v>0</v>
      </c>
    </row>
    <row r="5994" spans="1:1" x14ac:dyDescent="0.3">
      <c r="A5994" t="s">
        <v>0</v>
      </c>
    </row>
    <row r="5995" spans="1:1" x14ac:dyDescent="0.3">
      <c r="A5995" t="s">
        <v>0</v>
      </c>
    </row>
    <row r="5996" spans="1:1" x14ac:dyDescent="0.3">
      <c r="A5996" t="s">
        <v>0</v>
      </c>
    </row>
    <row r="5997" spans="1:1" x14ac:dyDescent="0.3">
      <c r="A5997" t="s">
        <v>0</v>
      </c>
    </row>
    <row r="5998" spans="1:1" x14ac:dyDescent="0.3">
      <c r="A5998" t="s">
        <v>0</v>
      </c>
    </row>
    <row r="5999" spans="1:1" x14ac:dyDescent="0.3">
      <c r="A5999" t="s">
        <v>0</v>
      </c>
    </row>
    <row r="6000" spans="1:1" x14ac:dyDescent="0.3">
      <c r="A6000" t="s">
        <v>0</v>
      </c>
    </row>
    <row r="6001" spans="1:1" x14ac:dyDescent="0.3">
      <c r="A6001" t="s">
        <v>0</v>
      </c>
    </row>
    <row r="6002" spans="1:1" x14ac:dyDescent="0.3">
      <c r="A6002" t="s">
        <v>0</v>
      </c>
    </row>
    <row r="6003" spans="1:1" x14ac:dyDescent="0.3">
      <c r="A6003" t="s">
        <v>0</v>
      </c>
    </row>
    <row r="6004" spans="1:1" x14ac:dyDescent="0.3">
      <c r="A6004" t="s">
        <v>0</v>
      </c>
    </row>
    <row r="6005" spans="1:1" x14ac:dyDescent="0.3">
      <c r="A6005" t="s">
        <v>0</v>
      </c>
    </row>
    <row r="6006" spans="1:1" x14ac:dyDescent="0.3">
      <c r="A6006" t="s">
        <v>0</v>
      </c>
    </row>
    <row r="6007" spans="1:1" x14ac:dyDescent="0.3">
      <c r="A6007" t="s">
        <v>0</v>
      </c>
    </row>
    <row r="6008" spans="1:1" x14ac:dyDescent="0.3">
      <c r="A6008" t="s">
        <v>0</v>
      </c>
    </row>
    <row r="6009" spans="1:1" x14ac:dyDescent="0.3">
      <c r="A6009" t="s">
        <v>0</v>
      </c>
    </row>
    <row r="6010" spans="1:1" x14ac:dyDescent="0.3">
      <c r="A6010" t="s">
        <v>0</v>
      </c>
    </row>
    <row r="6011" spans="1:1" x14ac:dyDescent="0.3">
      <c r="A6011" t="s">
        <v>0</v>
      </c>
    </row>
    <row r="6012" spans="1:1" x14ac:dyDescent="0.3">
      <c r="A6012" t="s">
        <v>0</v>
      </c>
    </row>
    <row r="6013" spans="1:1" x14ac:dyDescent="0.3">
      <c r="A6013" t="s">
        <v>0</v>
      </c>
    </row>
    <row r="6014" spans="1:1" x14ac:dyDescent="0.3">
      <c r="A6014" t="s">
        <v>0</v>
      </c>
    </row>
    <row r="6015" spans="1:1" x14ac:dyDescent="0.3">
      <c r="A6015" t="s">
        <v>0</v>
      </c>
    </row>
    <row r="6016" spans="1:1" x14ac:dyDescent="0.3">
      <c r="A6016" t="s">
        <v>0</v>
      </c>
    </row>
    <row r="6017" spans="1:1" x14ac:dyDescent="0.3">
      <c r="A6017" t="s">
        <v>0</v>
      </c>
    </row>
    <row r="6018" spans="1:1" x14ac:dyDescent="0.3">
      <c r="A6018" t="s">
        <v>0</v>
      </c>
    </row>
    <row r="6019" spans="1:1" x14ac:dyDescent="0.3">
      <c r="A6019" t="s">
        <v>0</v>
      </c>
    </row>
    <row r="6020" spans="1:1" x14ac:dyDescent="0.3">
      <c r="A6020" t="s">
        <v>0</v>
      </c>
    </row>
    <row r="6021" spans="1:1" x14ac:dyDescent="0.3">
      <c r="A6021" t="s">
        <v>0</v>
      </c>
    </row>
    <row r="6022" spans="1:1" x14ac:dyDescent="0.3">
      <c r="A6022" t="s">
        <v>0</v>
      </c>
    </row>
    <row r="6023" spans="1:1" x14ac:dyDescent="0.3">
      <c r="A6023" t="s">
        <v>0</v>
      </c>
    </row>
    <row r="6024" spans="1:1" x14ac:dyDescent="0.3">
      <c r="A6024" t="s">
        <v>0</v>
      </c>
    </row>
    <row r="6025" spans="1:1" x14ac:dyDescent="0.3">
      <c r="A6025" t="s">
        <v>0</v>
      </c>
    </row>
    <row r="6026" spans="1:1" x14ac:dyDescent="0.3">
      <c r="A6026" t="s">
        <v>0</v>
      </c>
    </row>
    <row r="6027" spans="1:1" x14ac:dyDescent="0.3">
      <c r="A6027" t="s">
        <v>0</v>
      </c>
    </row>
    <row r="6028" spans="1:1" x14ac:dyDescent="0.3">
      <c r="A6028" t="s">
        <v>0</v>
      </c>
    </row>
    <row r="6029" spans="1:1" x14ac:dyDescent="0.3">
      <c r="A6029" t="s">
        <v>0</v>
      </c>
    </row>
    <row r="6030" spans="1:1" x14ac:dyDescent="0.3">
      <c r="A6030" t="s">
        <v>0</v>
      </c>
    </row>
    <row r="6031" spans="1:1" x14ac:dyDescent="0.3">
      <c r="A6031" t="s">
        <v>0</v>
      </c>
    </row>
    <row r="6032" spans="1:1" x14ac:dyDescent="0.3">
      <c r="A6032" t="s">
        <v>0</v>
      </c>
    </row>
    <row r="6033" spans="1:1" x14ac:dyDescent="0.3">
      <c r="A6033" t="s">
        <v>0</v>
      </c>
    </row>
    <row r="6034" spans="1:1" x14ac:dyDescent="0.3">
      <c r="A6034" t="s">
        <v>0</v>
      </c>
    </row>
    <row r="6035" spans="1:1" x14ac:dyDescent="0.3">
      <c r="A6035" t="s">
        <v>0</v>
      </c>
    </row>
    <row r="6036" spans="1:1" x14ac:dyDescent="0.3">
      <c r="A6036" t="s">
        <v>0</v>
      </c>
    </row>
    <row r="6037" spans="1:1" x14ac:dyDescent="0.3">
      <c r="A6037" t="s">
        <v>0</v>
      </c>
    </row>
    <row r="6038" spans="1:1" x14ac:dyDescent="0.3">
      <c r="A6038" t="s">
        <v>0</v>
      </c>
    </row>
    <row r="6039" spans="1:1" x14ac:dyDescent="0.3">
      <c r="A6039" t="s">
        <v>0</v>
      </c>
    </row>
    <row r="6040" spans="1:1" x14ac:dyDescent="0.3">
      <c r="A6040" t="s">
        <v>0</v>
      </c>
    </row>
    <row r="6041" spans="1:1" x14ac:dyDescent="0.3">
      <c r="A6041" t="s">
        <v>0</v>
      </c>
    </row>
    <row r="6042" spans="1:1" x14ac:dyDescent="0.3">
      <c r="A6042" t="s">
        <v>0</v>
      </c>
    </row>
    <row r="6043" spans="1:1" x14ac:dyDescent="0.3">
      <c r="A6043" t="s">
        <v>0</v>
      </c>
    </row>
    <row r="6044" spans="1:1" x14ac:dyDescent="0.3">
      <c r="A6044" t="s">
        <v>0</v>
      </c>
    </row>
    <row r="6045" spans="1:1" x14ac:dyDescent="0.3">
      <c r="A6045" t="s">
        <v>0</v>
      </c>
    </row>
    <row r="6046" spans="1:1" x14ac:dyDescent="0.3">
      <c r="A6046" t="s">
        <v>0</v>
      </c>
    </row>
    <row r="6047" spans="1:1" x14ac:dyDescent="0.3">
      <c r="A6047" t="s">
        <v>0</v>
      </c>
    </row>
    <row r="6048" spans="1:1" x14ac:dyDescent="0.3">
      <c r="A6048" t="s">
        <v>0</v>
      </c>
    </row>
    <row r="6049" spans="1:1" x14ac:dyDescent="0.3">
      <c r="A6049" t="s">
        <v>0</v>
      </c>
    </row>
    <row r="6050" spans="1:1" x14ac:dyDescent="0.3">
      <c r="A6050" t="s">
        <v>0</v>
      </c>
    </row>
    <row r="6051" spans="1:1" x14ac:dyDescent="0.3">
      <c r="A6051" t="s">
        <v>0</v>
      </c>
    </row>
    <row r="6052" spans="1:1" x14ac:dyDescent="0.3">
      <c r="A6052" t="s">
        <v>0</v>
      </c>
    </row>
    <row r="6053" spans="1:1" x14ac:dyDescent="0.3">
      <c r="A6053" t="s">
        <v>0</v>
      </c>
    </row>
    <row r="6054" spans="1:1" x14ac:dyDescent="0.3">
      <c r="A6054" t="s">
        <v>0</v>
      </c>
    </row>
    <row r="6055" spans="1:1" x14ac:dyDescent="0.3">
      <c r="A6055" t="s">
        <v>0</v>
      </c>
    </row>
    <row r="6056" spans="1:1" x14ac:dyDescent="0.3">
      <c r="A6056" t="s">
        <v>0</v>
      </c>
    </row>
    <row r="6057" spans="1:1" x14ac:dyDescent="0.3">
      <c r="A6057" t="s">
        <v>0</v>
      </c>
    </row>
    <row r="6058" spans="1:1" x14ac:dyDescent="0.3">
      <c r="A6058" t="s">
        <v>0</v>
      </c>
    </row>
    <row r="6059" spans="1:1" x14ac:dyDescent="0.3">
      <c r="A6059" t="s">
        <v>0</v>
      </c>
    </row>
    <row r="6060" spans="1:1" x14ac:dyDescent="0.3">
      <c r="A6060" t="s">
        <v>0</v>
      </c>
    </row>
    <row r="6061" spans="1:1" x14ac:dyDescent="0.3">
      <c r="A6061" t="s">
        <v>0</v>
      </c>
    </row>
    <row r="6062" spans="1:1" x14ac:dyDescent="0.3">
      <c r="A6062" t="s">
        <v>0</v>
      </c>
    </row>
    <row r="6063" spans="1:1" x14ac:dyDescent="0.3">
      <c r="A6063" t="s">
        <v>0</v>
      </c>
    </row>
    <row r="6064" spans="1:1" x14ac:dyDescent="0.3">
      <c r="A6064" t="s">
        <v>0</v>
      </c>
    </row>
    <row r="6065" spans="1:1" x14ac:dyDescent="0.3">
      <c r="A6065" t="s">
        <v>0</v>
      </c>
    </row>
    <row r="6066" spans="1:1" x14ac:dyDescent="0.3">
      <c r="A6066" t="s">
        <v>0</v>
      </c>
    </row>
    <row r="6067" spans="1:1" x14ac:dyDescent="0.3">
      <c r="A6067" t="s">
        <v>0</v>
      </c>
    </row>
    <row r="6068" spans="1:1" x14ac:dyDescent="0.3">
      <c r="A6068" t="s">
        <v>0</v>
      </c>
    </row>
    <row r="6069" spans="1:1" x14ac:dyDescent="0.3">
      <c r="A6069" t="s">
        <v>0</v>
      </c>
    </row>
    <row r="6070" spans="1:1" x14ac:dyDescent="0.3">
      <c r="A6070" t="s">
        <v>0</v>
      </c>
    </row>
    <row r="6071" spans="1:1" x14ac:dyDescent="0.3">
      <c r="A6071" t="s">
        <v>0</v>
      </c>
    </row>
    <row r="6072" spans="1:1" x14ac:dyDescent="0.3">
      <c r="A6072" t="s">
        <v>0</v>
      </c>
    </row>
    <row r="6073" spans="1:1" x14ac:dyDescent="0.3">
      <c r="A6073" t="s">
        <v>0</v>
      </c>
    </row>
    <row r="6074" spans="1:1" x14ac:dyDescent="0.3">
      <c r="A6074" t="s">
        <v>0</v>
      </c>
    </row>
    <row r="6075" spans="1:1" x14ac:dyDescent="0.3">
      <c r="A6075" t="s">
        <v>0</v>
      </c>
    </row>
    <row r="6076" spans="1:1" x14ac:dyDescent="0.3">
      <c r="A6076" t="s">
        <v>0</v>
      </c>
    </row>
    <row r="6077" spans="1:1" x14ac:dyDescent="0.3">
      <c r="A6077" t="s">
        <v>0</v>
      </c>
    </row>
    <row r="6078" spans="1:1" x14ac:dyDescent="0.3">
      <c r="A6078" t="s">
        <v>0</v>
      </c>
    </row>
    <row r="6079" spans="1:1" x14ac:dyDescent="0.3">
      <c r="A6079" t="s">
        <v>0</v>
      </c>
    </row>
    <row r="6080" spans="1:1" x14ac:dyDescent="0.3">
      <c r="A6080" t="s">
        <v>0</v>
      </c>
    </row>
    <row r="6081" spans="1:1" x14ac:dyDescent="0.3">
      <c r="A6081" t="s">
        <v>0</v>
      </c>
    </row>
    <row r="6082" spans="1:1" x14ac:dyDescent="0.3">
      <c r="A6082" t="s">
        <v>0</v>
      </c>
    </row>
    <row r="6083" spans="1:1" x14ac:dyDescent="0.3">
      <c r="A6083" t="s">
        <v>0</v>
      </c>
    </row>
    <row r="6084" spans="1:1" x14ac:dyDescent="0.3">
      <c r="A6084" t="s">
        <v>0</v>
      </c>
    </row>
    <row r="6085" spans="1:1" x14ac:dyDescent="0.3">
      <c r="A6085" t="s">
        <v>0</v>
      </c>
    </row>
    <row r="6086" spans="1:1" x14ac:dyDescent="0.3">
      <c r="A6086" t="s">
        <v>0</v>
      </c>
    </row>
    <row r="6087" spans="1:1" x14ac:dyDescent="0.3">
      <c r="A6087" t="s">
        <v>0</v>
      </c>
    </row>
    <row r="6088" spans="1:1" x14ac:dyDescent="0.3">
      <c r="A6088" t="s">
        <v>0</v>
      </c>
    </row>
    <row r="6089" spans="1:1" x14ac:dyDescent="0.3">
      <c r="A6089" t="s">
        <v>0</v>
      </c>
    </row>
    <row r="6090" spans="1:1" x14ac:dyDescent="0.3">
      <c r="A6090" t="s">
        <v>0</v>
      </c>
    </row>
    <row r="6091" spans="1:1" x14ac:dyDescent="0.3">
      <c r="A6091" t="s">
        <v>0</v>
      </c>
    </row>
    <row r="6092" spans="1:1" x14ac:dyDescent="0.3">
      <c r="A6092" t="s">
        <v>0</v>
      </c>
    </row>
    <row r="6093" spans="1:1" x14ac:dyDescent="0.3">
      <c r="A6093" t="s">
        <v>0</v>
      </c>
    </row>
    <row r="6094" spans="1:1" x14ac:dyDescent="0.3">
      <c r="A6094" t="s">
        <v>0</v>
      </c>
    </row>
    <row r="6095" spans="1:1" x14ac:dyDescent="0.3">
      <c r="A6095" t="s">
        <v>0</v>
      </c>
    </row>
    <row r="6096" spans="1:1" x14ac:dyDescent="0.3">
      <c r="A6096" t="s">
        <v>0</v>
      </c>
    </row>
    <row r="6097" spans="1:1" x14ac:dyDescent="0.3">
      <c r="A6097" t="s">
        <v>0</v>
      </c>
    </row>
    <row r="6098" spans="1:1" x14ac:dyDescent="0.3">
      <c r="A6098" t="s">
        <v>0</v>
      </c>
    </row>
    <row r="6099" spans="1:1" x14ac:dyDescent="0.3">
      <c r="A6099" t="s">
        <v>0</v>
      </c>
    </row>
    <row r="6100" spans="1:1" x14ac:dyDescent="0.3">
      <c r="A6100" t="s">
        <v>0</v>
      </c>
    </row>
    <row r="6101" spans="1:1" x14ac:dyDescent="0.3">
      <c r="A6101" t="s">
        <v>0</v>
      </c>
    </row>
    <row r="6102" spans="1:1" x14ac:dyDescent="0.3">
      <c r="A6102" t="s">
        <v>0</v>
      </c>
    </row>
    <row r="6103" spans="1:1" x14ac:dyDescent="0.3">
      <c r="A6103" t="s">
        <v>0</v>
      </c>
    </row>
    <row r="6104" spans="1:1" x14ac:dyDescent="0.3">
      <c r="A6104" t="s">
        <v>0</v>
      </c>
    </row>
    <row r="6105" spans="1:1" x14ac:dyDescent="0.3">
      <c r="A6105" t="s">
        <v>0</v>
      </c>
    </row>
    <row r="6106" spans="1:1" x14ac:dyDescent="0.3">
      <c r="A6106" t="s">
        <v>0</v>
      </c>
    </row>
    <row r="6107" spans="1:1" x14ac:dyDescent="0.3">
      <c r="A6107" t="s">
        <v>0</v>
      </c>
    </row>
    <row r="6108" spans="1:1" x14ac:dyDescent="0.3">
      <c r="A6108" t="s">
        <v>0</v>
      </c>
    </row>
    <row r="6109" spans="1:1" x14ac:dyDescent="0.3">
      <c r="A6109" t="s">
        <v>0</v>
      </c>
    </row>
    <row r="6110" spans="1:1" x14ac:dyDescent="0.3">
      <c r="A6110" t="s">
        <v>0</v>
      </c>
    </row>
    <row r="6111" spans="1:1" x14ac:dyDescent="0.3">
      <c r="A6111" t="s">
        <v>0</v>
      </c>
    </row>
    <row r="6112" spans="1:1" x14ac:dyDescent="0.3">
      <c r="A6112" t="s">
        <v>0</v>
      </c>
    </row>
    <row r="6113" spans="1:1" x14ac:dyDescent="0.3">
      <c r="A6113" t="s">
        <v>0</v>
      </c>
    </row>
    <row r="6114" spans="1:1" x14ac:dyDescent="0.3">
      <c r="A6114" t="s">
        <v>0</v>
      </c>
    </row>
    <row r="6115" spans="1:1" x14ac:dyDescent="0.3">
      <c r="A6115" t="s">
        <v>0</v>
      </c>
    </row>
    <row r="6116" spans="1:1" x14ac:dyDescent="0.3">
      <c r="A6116" t="s">
        <v>0</v>
      </c>
    </row>
    <row r="6117" spans="1:1" x14ac:dyDescent="0.3">
      <c r="A6117" t="s">
        <v>0</v>
      </c>
    </row>
    <row r="6118" spans="1:1" x14ac:dyDescent="0.3">
      <c r="A6118" t="s">
        <v>0</v>
      </c>
    </row>
    <row r="6119" spans="1:1" x14ac:dyDescent="0.3">
      <c r="A6119" t="s">
        <v>0</v>
      </c>
    </row>
    <row r="6120" spans="1:1" x14ac:dyDescent="0.3">
      <c r="A6120" t="s">
        <v>0</v>
      </c>
    </row>
    <row r="6121" spans="1:1" x14ac:dyDescent="0.3">
      <c r="A6121" t="s">
        <v>0</v>
      </c>
    </row>
    <row r="6122" spans="1:1" x14ac:dyDescent="0.3">
      <c r="A6122" t="s">
        <v>0</v>
      </c>
    </row>
    <row r="6123" spans="1:1" x14ac:dyDescent="0.3">
      <c r="A6123" t="s">
        <v>0</v>
      </c>
    </row>
    <row r="6124" spans="1:1" x14ac:dyDescent="0.3">
      <c r="A6124" t="s">
        <v>0</v>
      </c>
    </row>
    <row r="6125" spans="1:1" x14ac:dyDescent="0.3">
      <c r="A6125" t="s">
        <v>0</v>
      </c>
    </row>
    <row r="6126" spans="1:1" x14ac:dyDescent="0.3">
      <c r="A6126" t="s">
        <v>0</v>
      </c>
    </row>
    <row r="6127" spans="1:1" x14ac:dyDescent="0.3">
      <c r="A6127" t="s">
        <v>0</v>
      </c>
    </row>
    <row r="6128" spans="1:1" x14ac:dyDescent="0.3">
      <c r="A6128" t="s">
        <v>0</v>
      </c>
    </row>
    <row r="6129" spans="1:1" x14ac:dyDescent="0.3">
      <c r="A6129" t="s">
        <v>0</v>
      </c>
    </row>
    <row r="6130" spans="1:1" x14ac:dyDescent="0.3">
      <c r="A6130" t="s">
        <v>0</v>
      </c>
    </row>
    <row r="6131" spans="1:1" x14ac:dyDescent="0.3">
      <c r="A6131" t="s">
        <v>0</v>
      </c>
    </row>
    <row r="6132" spans="1:1" x14ac:dyDescent="0.3">
      <c r="A6132" t="s">
        <v>0</v>
      </c>
    </row>
    <row r="6133" spans="1:1" x14ac:dyDescent="0.3">
      <c r="A6133" t="s">
        <v>0</v>
      </c>
    </row>
    <row r="6134" spans="1:1" x14ac:dyDescent="0.3">
      <c r="A6134" t="s">
        <v>0</v>
      </c>
    </row>
    <row r="6135" spans="1:1" x14ac:dyDescent="0.3">
      <c r="A6135" t="s">
        <v>0</v>
      </c>
    </row>
    <row r="6136" spans="1:1" x14ac:dyDescent="0.3">
      <c r="A6136" t="s">
        <v>0</v>
      </c>
    </row>
    <row r="6137" spans="1:1" x14ac:dyDescent="0.3">
      <c r="A6137" t="s">
        <v>0</v>
      </c>
    </row>
    <row r="6138" spans="1:1" x14ac:dyDescent="0.3">
      <c r="A6138" t="s">
        <v>0</v>
      </c>
    </row>
    <row r="6139" spans="1:1" x14ac:dyDescent="0.3">
      <c r="A6139" t="s">
        <v>0</v>
      </c>
    </row>
    <row r="6140" spans="1:1" x14ac:dyDescent="0.3">
      <c r="A6140" t="s">
        <v>0</v>
      </c>
    </row>
    <row r="6141" spans="1:1" x14ac:dyDescent="0.3">
      <c r="A6141" t="s">
        <v>0</v>
      </c>
    </row>
    <row r="6142" spans="1:1" x14ac:dyDescent="0.3">
      <c r="A6142" t="s">
        <v>0</v>
      </c>
    </row>
    <row r="6143" spans="1:1" x14ac:dyDescent="0.3">
      <c r="A6143" t="s">
        <v>0</v>
      </c>
    </row>
    <row r="6144" spans="1:1" x14ac:dyDescent="0.3">
      <c r="A6144" t="s">
        <v>0</v>
      </c>
    </row>
    <row r="6145" spans="1:1" x14ac:dyDescent="0.3">
      <c r="A6145" t="s">
        <v>0</v>
      </c>
    </row>
    <row r="6146" spans="1:1" x14ac:dyDescent="0.3">
      <c r="A6146" t="s">
        <v>0</v>
      </c>
    </row>
    <row r="6147" spans="1:1" x14ac:dyDescent="0.3">
      <c r="A6147" t="s">
        <v>0</v>
      </c>
    </row>
    <row r="6148" spans="1:1" x14ac:dyDescent="0.3">
      <c r="A6148" t="s">
        <v>0</v>
      </c>
    </row>
    <row r="6149" spans="1:1" x14ac:dyDescent="0.3">
      <c r="A6149" t="s">
        <v>0</v>
      </c>
    </row>
    <row r="6150" spans="1:1" x14ac:dyDescent="0.3">
      <c r="A6150" t="s">
        <v>0</v>
      </c>
    </row>
    <row r="6151" spans="1:1" x14ac:dyDescent="0.3">
      <c r="A6151" t="s">
        <v>0</v>
      </c>
    </row>
    <row r="6152" spans="1:1" x14ac:dyDescent="0.3">
      <c r="A6152" t="s">
        <v>0</v>
      </c>
    </row>
    <row r="6153" spans="1:1" x14ac:dyDescent="0.3">
      <c r="A6153" t="s">
        <v>0</v>
      </c>
    </row>
    <row r="6154" spans="1:1" x14ac:dyDescent="0.3">
      <c r="A6154" t="s">
        <v>0</v>
      </c>
    </row>
    <row r="6155" spans="1:1" x14ac:dyDescent="0.3">
      <c r="A6155" t="s">
        <v>0</v>
      </c>
    </row>
    <row r="6156" spans="1:1" x14ac:dyDescent="0.3">
      <c r="A6156" t="s">
        <v>0</v>
      </c>
    </row>
    <row r="6157" spans="1:1" x14ac:dyDescent="0.3">
      <c r="A6157" t="s">
        <v>0</v>
      </c>
    </row>
    <row r="6158" spans="1:1" x14ac:dyDescent="0.3">
      <c r="A6158" t="s">
        <v>0</v>
      </c>
    </row>
    <row r="6159" spans="1:1" x14ac:dyDescent="0.3">
      <c r="A6159" t="s">
        <v>0</v>
      </c>
    </row>
    <row r="6160" spans="1:1" x14ac:dyDescent="0.3">
      <c r="A6160" t="s">
        <v>0</v>
      </c>
    </row>
    <row r="6161" spans="1:1" x14ac:dyDescent="0.3">
      <c r="A6161" t="s">
        <v>0</v>
      </c>
    </row>
    <row r="6162" spans="1:1" x14ac:dyDescent="0.3">
      <c r="A6162" t="s">
        <v>0</v>
      </c>
    </row>
    <row r="6163" spans="1:1" x14ac:dyDescent="0.3">
      <c r="A6163" t="s">
        <v>0</v>
      </c>
    </row>
    <row r="6164" spans="1:1" x14ac:dyDescent="0.3">
      <c r="A6164" t="s">
        <v>0</v>
      </c>
    </row>
    <row r="6165" spans="1:1" x14ac:dyDescent="0.3">
      <c r="A6165" t="s">
        <v>0</v>
      </c>
    </row>
    <row r="6166" spans="1:1" x14ac:dyDescent="0.3">
      <c r="A6166" t="s">
        <v>0</v>
      </c>
    </row>
    <row r="6167" spans="1:1" x14ac:dyDescent="0.3">
      <c r="A6167" t="s">
        <v>0</v>
      </c>
    </row>
    <row r="6168" spans="1:1" x14ac:dyDescent="0.3">
      <c r="A6168" t="s">
        <v>0</v>
      </c>
    </row>
    <row r="6169" spans="1:1" x14ac:dyDescent="0.3">
      <c r="A6169" t="s">
        <v>0</v>
      </c>
    </row>
    <row r="6170" spans="1:1" x14ac:dyDescent="0.3">
      <c r="A6170" t="s">
        <v>0</v>
      </c>
    </row>
    <row r="6171" spans="1:1" x14ac:dyDescent="0.3">
      <c r="A6171" t="s">
        <v>0</v>
      </c>
    </row>
    <row r="6172" spans="1:1" x14ac:dyDescent="0.3">
      <c r="A6172" t="s">
        <v>0</v>
      </c>
    </row>
    <row r="6173" spans="1:1" x14ac:dyDescent="0.3">
      <c r="A6173" t="s">
        <v>0</v>
      </c>
    </row>
    <row r="6174" spans="1:1" x14ac:dyDescent="0.3">
      <c r="A6174" t="s">
        <v>0</v>
      </c>
    </row>
    <row r="6175" spans="1:1" x14ac:dyDescent="0.3">
      <c r="A6175" t="s">
        <v>0</v>
      </c>
    </row>
    <row r="6176" spans="1:1" x14ac:dyDescent="0.3">
      <c r="A6176" t="s">
        <v>0</v>
      </c>
    </row>
    <row r="6177" spans="1:1" x14ac:dyDescent="0.3">
      <c r="A6177" t="s">
        <v>0</v>
      </c>
    </row>
    <row r="6178" spans="1:1" x14ac:dyDescent="0.3">
      <c r="A6178" t="s">
        <v>0</v>
      </c>
    </row>
    <row r="6179" spans="1:1" x14ac:dyDescent="0.3">
      <c r="A6179" t="s">
        <v>0</v>
      </c>
    </row>
    <row r="6180" spans="1:1" x14ac:dyDescent="0.3">
      <c r="A6180" t="s">
        <v>0</v>
      </c>
    </row>
    <row r="6181" spans="1:1" x14ac:dyDescent="0.3">
      <c r="A6181" t="s">
        <v>0</v>
      </c>
    </row>
    <row r="6182" spans="1:1" x14ac:dyDescent="0.3">
      <c r="A6182" t="s">
        <v>0</v>
      </c>
    </row>
    <row r="6183" spans="1:1" x14ac:dyDescent="0.3">
      <c r="A6183" t="s">
        <v>0</v>
      </c>
    </row>
    <row r="6184" spans="1:1" x14ac:dyDescent="0.3">
      <c r="A6184" t="s">
        <v>0</v>
      </c>
    </row>
    <row r="6185" spans="1:1" x14ac:dyDescent="0.3">
      <c r="A6185" t="s">
        <v>0</v>
      </c>
    </row>
    <row r="6186" spans="1:1" x14ac:dyDescent="0.3">
      <c r="A6186" t="s">
        <v>0</v>
      </c>
    </row>
    <row r="6187" spans="1:1" x14ac:dyDescent="0.3">
      <c r="A6187" t="s">
        <v>0</v>
      </c>
    </row>
    <row r="6188" spans="1:1" x14ac:dyDescent="0.3">
      <c r="A6188" t="s">
        <v>0</v>
      </c>
    </row>
    <row r="6189" spans="1:1" x14ac:dyDescent="0.3">
      <c r="A6189" t="s">
        <v>0</v>
      </c>
    </row>
    <row r="6190" spans="1:1" x14ac:dyDescent="0.3">
      <c r="A6190" t="s">
        <v>0</v>
      </c>
    </row>
    <row r="6191" spans="1:1" x14ac:dyDescent="0.3">
      <c r="A6191" t="s">
        <v>0</v>
      </c>
    </row>
    <row r="6192" spans="1:1" x14ac:dyDescent="0.3">
      <c r="A6192" t="s">
        <v>0</v>
      </c>
    </row>
    <row r="6193" spans="1:1" x14ac:dyDescent="0.3">
      <c r="A6193" t="s">
        <v>0</v>
      </c>
    </row>
    <row r="6194" spans="1:1" x14ac:dyDescent="0.3">
      <c r="A6194" t="s">
        <v>0</v>
      </c>
    </row>
    <row r="6195" spans="1:1" x14ac:dyDescent="0.3">
      <c r="A6195" t="s">
        <v>0</v>
      </c>
    </row>
    <row r="6196" spans="1:1" x14ac:dyDescent="0.3">
      <c r="A6196" t="s">
        <v>0</v>
      </c>
    </row>
    <row r="6197" spans="1:1" x14ac:dyDescent="0.3">
      <c r="A6197" t="s">
        <v>0</v>
      </c>
    </row>
    <row r="6198" spans="1:1" x14ac:dyDescent="0.3">
      <c r="A6198" t="s">
        <v>0</v>
      </c>
    </row>
    <row r="6199" spans="1:1" x14ac:dyDescent="0.3">
      <c r="A6199" t="s">
        <v>0</v>
      </c>
    </row>
    <row r="6200" spans="1:1" x14ac:dyDescent="0.3">
      <c r="A6200" t="s">
        <v>0</v>
      </c>
    </row>
    <row r="6201" spans="1:1" x14ac:dyDescent="0.3">
      <c r="A6201" t="s">
        <v>0</v>
      </c>
    </row>
    <row r="6202" spans="1:1" x14ac:dyDescent="0.3">
      <c r="A6202" t="s">
        <v>0</v>
      </c>
    </row>
    <row r="6203" spans="1:1" x14ac:dyDescent="0.3">
      <c r="A6203" t="s">
        <v>0</v>
      </c>
    </row>
    <row r="6204" spans="1:1" x14ac:dyDescent="0.3">
      <c r="A6204" t="s">
        <v>0</v>
      </c>
    </row>
    <row r="6205" spans="1:1" x14ac:dyDescent="0.3">
      <c r="A6205" t="s">
        <v>0</v>
      </c>
    </row>
    <row r="6206" spans="1:1" x14ac:dyDescent="0.3">
      <c r="A6206" t="s">
        <v>0</v>
      </c>
    </row>
    <row r="6207" spans="1:1" x14ac:dyDescent="0.3">
      <c r="A6207" t="s">
        <v>0</v>
      </c>
    </row>
    <row r="6208" spans="1:1" x14ac:dyDescent="0.3">
      <c r="A6208" t="s">
        <v>0</v>
      </c>
    </row>
    <row r="6209" spans="1:1" x14ac:dyDescent="0.3">
      <c r="A6209" t="s">
        <v>0</v>
      </c>
    </row>
    <row r="6210" spans="1:1" x14ac:dyDescent="0.3">
      <c r="A6210" t="s">
        <v>0</v>
      </c>
    </row>
    <row r="6211" spans="1:1" x14ac:dyDescent="0.3">
      <c r="A6211" t="s">
        <v>0</v>
      </c>
    </row>
    <row r="6212" spans="1:1" x14ac:dyDescent="0.3">
      <c r="A6212" t="s">
        <v>0</v>
      </c>
    </row>
    <row r="6213" spans="1:1" x14ac:dyDescent="0.3">
      <c r="A6213" t="s">
        <v>0</v>
      </c>
    </row>
    <row r="6214" spans="1:1" x14ac:dyDescent="0.3">
      <c r="A6214" t="s">
        <v>0</v>
      </c>
    </row>
    <row r="6215" spans="1:1" x14ac:dyDescent="0.3">
      <c r="A6215" t="s">
        <v>0</v>
      </c>
    </row>
    <row r="6216" spans="1:1" x14ac:dyDescent="0.3">
      <c r="A6216" t="s">
        <v>0</v>
      </c>
    </row>
    <row r="6217" spans="1:1" x14ac:dyDescent="0.3">
      <c r="A6217" t="s">
        <v>0</v>
      </c>
    </row>
    <row r="6218" spans="1:1" x14ac:dyDescent="0.3">
      <c r="A6218" t="s">
        <v>0</v>
      </c>
    </row>
    <row r="6219" spans="1:1" x14ac:dyDescent="0.3">
      <c r="A6219" t="s">
        <v>0</v>
      </c>
    </row>
    <row r="6220" spans="1:1" x14ac:dyDescent="0.3">
      <c r="A6220" t="s">
        <v>0</v>
      </c>
    </row>
    <row r="6221" spans="1:1" x14ac:dyDescent="0.3">
      <c r="A6221" t="s">
        <v>0</v>
      </c>
    </row>
    <row r="6222" spans="1:1" x14ac:dyDescent="0.3">
      <c r="A6222" t="s">
        <v>0</v>
      </c>
    </row>
    <row r="6223" spans="1:1" x14ac:dyDescent="0.3">
      <c r="A6223" t="s">
        <v>0</v>
      </c>
    </row>
    <row r="6224" spans="1:1" x14ac:dyDescent="0.3">
      <c r="A6224" t="s">
        <v>0</v>
      </c>
    </row>
    <row r="6225" spans="1:1" x14ac:dyDescent="0.3">
      <c r="A6225" t="s">
        <v>0</v>
      </c>
    </row>
    <row r="6226" spans="1:1" x14ac:dyDescent="0.3">
      <c r="A6226" t="s">
        <v>0</v>
      </c>
    </row>
    <row r="6227" spans="1:1" x14ac:dyDescent="0.3">
      <c r="A6227" t="s">
        <v>0</v>
      </c>
    </row>
    <row r="6228" spans="1:1" x14ac:dyDescent="0.3">
      <c r="A6228" t="s">
        <v>0</v>
      </c>
    </row>
    <row r="6229" spans="1:1" x14ac:dyDescent="0.3">
      <c r="A6229" t="s">
        <v>0</v>
      </c>
    </row>
    <row r="6230" spans="1:1" x14ac:dyDescent="0.3">
      <c r="A6230" t="s">
        <v>0</v>
      </c>
    </row>
    <row r="6231" spans="1:1" x14ac:dyDescent="0.3">
      <c r="A6231" t="s">
        <v>0</v>
      </c>
    </row>
    <row r="6232" spans="1:1" x14ac:dyDescent="0.3">
      <c r="A6232" t="s">
        <v>0</v>
      </c>
    </row>
    <row r="6233" spans="1:1" x14ac:dyDescent="0.3">
      <c r="A6233" t="s">
        <v>0</v>
      </c>
    </row>
    <row r="6234" spans="1:1" x14ac:dyDescent="0.3">
      <c r="A6234" t="s">
        <v>0</v>
      </c>
    </row>
    <row r="6235" spans="1:1" x14ac:dyDescent="0.3">
      <c r="A6235" t="s">
        <v>0</v>
      </c>
    </row>
    <row r="6236" spans="1:1" x14ac:dyDescent="0.3">
      <c r="A6236" t="s">
        <v>0</v>
      </c>
    </row>
    <row r="6237" spans="1:1" x14ac:dyDescent="0.3">
      <c r="A6237" t="s">
        <v>0</v>
      </c>
    </row>
    <row r="6238" spans="1:1" x14ac:dyDescent="0.3">
      <c r="A6238" t="s">
        <v>0</v>
      </c>
    </row>
    <row r="6239" spans="1:1" x14ac:dyDescent="0.3">
      <c r="A6239" t="s">
        <v>0</v>
      </c>
    </row>
    <row r="6240" spans="1:1" x14ac:dyDescent="0.3">
      <c r="A6240" t="s">
        <v>0</v>
      </c>
    </row>
    <row r="6241" spans="1:1" x14ac:dyDescent="0.3">
      <c r="A6241" t="s">
        <v>0</v>
      </c>
    </row>
    <row r="6242" spans="1:1" x14ac:dyDescent="0.3">
      <c r="A6242" t="s">
        <v>0</v>
      </c>
    </row>
    <row r="6243" spans="1:1" x14ac:dyDescent="0.3">
      <c r="A6243" t="s">
        <v>0</v>
      </c>
    </row>
    <row r="6244" spans="1:1" x14ac:dyDescent="0.3">
      <c r="A6244" t="s">
        <v>0</v>
      </c>
    </row>
    <row r="6245" spans="1:1" x14ac:dyDescent="0.3">
      <c r="A6245" t="s">
        <v>0</v>
      </c>
    </row>
    <row r="6246" spans="1:1" x14ac:dyDescent="0.3">
      <c r="A6246" t="s">
        <v>0</v>
      </c>
    </row>
    <row r="6247" spans="1:1" x14ac:dyDescent="0.3">
      <c r="A6247" t="s">
        <v>0</v>
      </c>
    </row>
    <row r="6248" spans="1:1" x14ac:dyDescent="0.3">
      <c r="A6248" t="s">
        <v>0</v>
      </c>
    </row>
    <row r="6249" spans="1:1" x14ac:dyDescent="0.3">
      <c r="A6249" t="s">
        <v>0</v>
      </c>
    </row>
    <row r="6250" spans="1:1" x14ac:dyDescent="0.3">
      <c r="A6250" t="s">
        <v>0</v>
      </c>
    </row>
    <row r="6251" spans="1:1" x14ac:dyDescent="0.3">
      <c r="A6251" t="s">
        <v>0</v>
      </c>
    </row>
    <row r="6252" spans="1:1" x14ac:dyDescent="0.3">
      <c r="A6252" t="s">
        <v>0</v>
      </c>
    </row>
    <row r="6253" spans="1:1" x14ac:dyDescent="0.3">
      <c r="A6253" t="s">
        <v>0</v>
      </c>
    </row>
    <row r="6254" spans="1:1" x14ac:dyDescent="0.3">
      <c r="A6254" t="s">
        <v>0</v>
      </c>
    </row>
    <row r="6255" spans="1:1" x14ac:dyDescent="0.3">
      <c r="A6255" t="s">
        <v>0</v>
      </c>
    </row>
    <row r="6256" spans="1:1" x14ac:dyDescent="0.3">
      <c r="A6256" t="s">
        <v>0</v>
      </c>
    </row>
    <row r="6257" spans="1:1" x14ac:dyDescent="0.3">
      <c r="A6257" t="s">
        <v>0</v>
      </c>
    </row>
    <row r="6258" spans="1:1" x14ac:dyDescent="0.3">
      <c r="A6258" t="s">
        <v>0</v>
      </c>
    </row>
    <row r="6259" spans="1:1" x14ac:dyDescent="0.3">
      <c r="A6259" t="s">
        <v>0</v>
      </c>
    </row>
    <row r="6260" spans="1:1" x14ac:dyDescent="0.3">
      <c r="A6260" t="s">
        <v>0</v>
      </c>
    </row>
    <row r="6261" spans="1:1" x14ac:dyDescent="0.3">
      <c r="A6261" t="s">
        <v>0</v>
      </c>
    </row>
    <row r="6262" spans="1:1" x14ac:dyDescent="0.3">
      <c r="A6262" t="s">
        <v>0</v>
      </c>
    </row>
    <row r="6263" spans="1:1" x14ac:dyDescent="0.3">
      <c r="A6263" t="s">
        <v>0</v>
      </c>
    </row>
    <row r="6264" spans="1:1" x14ac:dyDescent="0.3">
      <c r="A6264" t="s">
        <v>0</v>
      </c>
    </row>
    <row r="6265" spans="1:1" x14ac:dyDescent="0.3">
      <c r="A6265" t="s">
        <v>0</v>
      </c>
    </row>
    <row r="6266" spans="1:1" x14ac:dyDescent="0.3">
      <c r="A6266" t="s">
        <v>0</v>
      </c>
    </row>
    <row r="6267" spans="1:1" x14ac:dyDescent="0.3">
      <c r="A6267" t="s">
        <v>0</v>
      </c>
    </row>
    <row r="6268" spans="1:1" x14ac:dyDescent="0.3">
      <c r="A6268" t="s">
        <v>0</v>
      </c>
    </row>
    <row r="6269" spans="1:1" x14ac:dyDescent="0.3">
      <c r="A6269" t="s">
        <v>0</v>
      </c>
    </row>
    <row r="6270" spans="1:1" x14ac:dyDescent="0.3">
      <c r="A6270" t="s">
        <v>0</v>
      </c>
    </row>
    <row r="6271" spans="1:1" x14ac:dyDescent="0.3">
      <c r="A6271" t="s">
        <v>0</v>
      </c>
    </row>
    <row r="6272" spans="1:1" x14ac:dyDescent="0.3">
      <c r="A6272" t="s">
        <v>0</v>
      </c>
    </row>
    <row r="6273" spans="1:1" x14ac:dyDescent="0.3">
      <c r="A6273" t="s">
        <v>0</v>
      </c>
    </row>
    <row r="6274" spans="1:1" x14ac:dyDescent="0.3">
      <c r="A6274" t="s">
        <v>0</v>
      </c>
    </row>
    <row r="6275" spans="1:1" x14ac:dyDescent="0.3">
      <c r="A6275" t="s">
        <v>0</v>
      </c>
    </row>
    <row r="6276" spans="1:1" x14ac:dyDescent="0.3">
      <c r="A6276" t="s">
        <v>0</v>
      </c>
    </row>
    <row r="6277" spans="1:1" x14ac:dyDescent="0.3">
      <c r="A6277" t="s">
        <v>0</v>
      </c>
    </row>
    <row r="6278" spans="1:1" x14ac:dyDescent="0.3">
      <c r="A6278" t="s">
        <v>0</v>
      </c>
    </row>
    <row r="6279" spans="1:1" x14ac:dyDescent="0.3">
      <c r="A6279" t="s">
        <v>0</v>
      </c>
    </row>
    <row r="6280" spans="1:1" x14ac:dyDescent="0.3">
      <c r="A6280" t="s">
        <v>0</v>
      </c>
    </row>
    <row r="6281" spans="1:1" x14ac:dyDescent="0.3">
      <c r="A6281" t="s">
        <v>0</v>
      </c>
    </row>
    <row r="6282" spans="1:1" x14ac:dyDescent="0.3">
      <c r="A6282" t="s">
        <v>0</v>
      </c>
    </row>
    <row r="6283" spans="1:1" x14ac:dyDescent="0.3">
      <c r="A6283" t="s">
        <v>0</v>
      </c>
    </row>
    <row r="6284" spans="1:1" x14ac:dyDescent="0.3">
      <c r="A6284" t="s">
        <v>0</v>
      </c>
    </row>
    <row r="6285" spans="1:1" x14ac:dyDescent="0.3">
      <c r="A6285" t="s">
        <v>0</v>
      </c>
    </row>
    <row r="6286" spans="1:1" x14ac:dyDescent="0.3">
      <c r="A6286" t="s">
        <v>0</v>
      </c>
    </row>
    <row r="6287" spans="1:1" x14ac:dyDescent="0.3">
      <c r="A6287" t="s">
        <v>0</v>
      </c>
    </row>
    <row r="6288" spans="1:1" x14ac:dyDescent="0.3">
      <c r="A6288" t="s">
        <v>0</v>
      </c>
    </row>
    <row r="6289" spans="1:1" x14ac:dyDescent="0.3">
      <c r="A6289" t="s">
        <v>0</v>
      </c>
    </row>
    <row r="6290" spans="1:1" x14ac:dyDescent="0.3">
      <c r="A6290" t="s">
        <v>0</v>
      </c>
    </row>
    <row r="6291" spans="1:1" x14ac:dyDescent="0.3">
      <c r="A6291" t="s">
        <v>0</v>
      </c>
    </row>
    <row r="6292" spans="1:1" x14ac:dyDescent="0.3">
      <c r="A6292" t="s">
        <v>0</v>
      </c>
    </row>
    <row r="6293" spans="1:1" x14ac:dyDescent="0.3">
      <c r="A6293" t="s">
        <v>0</v>
      </c>
    </row>
    <row r="6294" spans="1:1" x14ac:dyDescent="0.3">
      <c r="A6294" t="s">
        <v>0</v>
      </c>
    </row>
    <row r="6295" spans="1:1" x14ac:dyDescent="0.3">
      <c r="A6295" t="s">
        <v>0</v>
      </c>
    </row>
    <row r="6296" spans="1:1" x14ac:dyDescent="0.3">
      <c r="A6296" t="s">
        <v>0</v>
      </c>
    </row>
    <row r="6297" spans="1:1" x14ac:dyDescent="0.3">
      <c r="A6297" t="s">
        <v>0</v>
      </c>
    </row>
    <row r="6298" spans="1:1" x14ac:dyDescent="0.3">
      <c r="A6298" t="s">
        <v>0</v>
      </c>
    </row>
    <row r="6299" spans="1:1" x14ac:dyDescent="0.3">
      <c r="A6299" t="s">
        <v>0</v>
      </c>
    </row>
    <row r="6300" spans="1:1" x14ac:dyDescent="0.3">
      <c r="A6300" t="s">
        <v>0</v>
      </c>
    </row>
    <row r="6301" spans="1:1" x14ac:dyDescent="0.3">
      <c r="A6301" t="s">
        <v>0</v>
      </c>
    </row>
    <row r="6302" spans="1:1" x14ac:dyDescent="0.3">
      <c r="A6302" t="s">
        <v>0</v>
      </c>
    </row>
    <row r="6303" spans="1:1" x14ac:dyDescent="0.3">
      <c r="A6303" t="s">
        <v>0</v>
      </c>
    </row>
    <row r="6304" spans="1:1" x14ac:dyDescent="0.3">
      <c r="A6304" t="s">
        <v>0</v>
      </c>
    </row>
    <row r="6305" spans="1:1" x14ac:dyDescent="0.3">
      <c r="A6305" t="s">
        <v>0</v>
      </c>
    </row>
    <row r="6306" spans="1:1" x14ac:dyDescent="0.3">
      <c r="A6306" t="s">
        <v>0</v>
      </c>
    </row>
    <row r="6307" spans="1:1" x14ac:dyDescent="0.3">
      <c r="A6307" t="s">
        <v>0</v>
      </c>
    </row>
    <row r="6308" spans="1:1" x14ac:dyDescent="0.3">
      <c r="A6308" t="s">
        <v>0</v>
      </c>
    </row>
    <row r="6309" spans="1:1" x14ac:dyDescent="0.3">
      <c r="A6309" t="s">
        <v>0</v>
      </c>
    </row>
    <row r="6310" spans="1:1" x14ac:dyDescent="0.3">
      <c r="A6310" t="s">
        <v>0</v>
      </c>
    </row>
    <row r="6311" spans="1:1" x14ac:dyDescent="0.3">
      <c r="A6311" t="s">
        <v>0</v>
      </c>
    </row>
    <row r="6312" spans="1:1" x14ac:dyDescent="0.3">
      <c r="A6312" t="s">
        <v>0</v>
      </c>
    </row>
    <row r="6313" spans="1:1" x14ac:dyDescent="0.3">
      <c r="A6313" t="s">
        <v>0</v>
      </c>
    </row>
    <row r="6314" spans="1:1" x14ac:dyDescent="0.3">
      <c r="A6314" t="s">
        <v>0</v>
      </c>
    </row>
    <row r="6315" spans="1:1" x14ac:dyDescent="0.3">
      <c r="A6315" t="s">
        <v>0</v>
      </c>
    </row>
    <row r="6316" spans="1:1" x14ac:dyDescent="0.3">
      <c r="A6316" t="s">
        <v>0</v>
      </c>
    </row>
    <row r="6317" spans="1:1" x14ac:dyDescent="0.3">
      <c r="A6317" t="s">
        <v>0</v>
      </c>
    </row>
    <row r="6318" spans="1:1" x14ac:dyDescent="0.3">
      <c r="A6318" t="s">
        <v>0</v>
      </c>
    </row>
    <row r="6319" spans="1:1" x14ac:dyDescent="0.3">
      <c r="A6319" t="s">
        <v>0</v>
      </c>
    </row>
    <row r="6320" spans="1:1" x14ac:dyDescent="0.3">
      <c r="A6320" t="s">
        <v>0</v>
      </c>
    </row>
    <row r="6321" spans="1:1" x14ac:dyDescent="0.3">
      <c r="A6321" t="s">
        <v>0</v>
      </c>
    </row>
    <row r="6322" spans="1:1" x14ac:dyDescent="0.3">
      <c r="A6322" t="s">
        <v>0</v>
      </c>
    </row>
    <row r="6323" spans="1:1" x14ac:dyDescent="0.3">
      <c r="A6323" t="s">
        <v>0</v>
      </c>
    </row>
    <row r="6324" spans="1:1" x14ac:dyDescent="0.3">
      <c r="A6324" t="s">
        <v>0</v>
      </c>
    </row>
    <row r="6325" spans="1:1" x14ac:dyDescent="0.3">
      <c r="A6325" t="s">
        <v>0</v>
      </c>
    </row>
    <row r="6326" spans="1:1" x14ac:dyDescent="0.3">
      <c r="A6326" t="s">
        <v>0</v>
      </c>
    </row>
    <row r="6327" spans="1:1" x14ac:dyDescent="0.3">
      <c r="A6327" t="s">
        <v>0</v>
      </c>
    </row>
    <row r="6328" spans="1:1" x14ac:dyDescent="0.3">
      <c r="A6328" t="s">
        <v>0</v>
      </c>
    </row>
    <row r="6329" spans="1:1" x14ac:dyDescent="0.3">
      <c r="A6329" t="s">
        <v>0</v>
      </c>
    </row>
    <row r="6330" spans="1:1" x14ac:dyDescent="0.3">
      <c r="A6330" t="s">
        <v>0</v>
      </c>
    </row>
    <row r="6331" spans="1:1" x14ac:dyDescent="0.3">
      <c r="A6331" t="s">
        <v>0</v>
      </c>
    </row>
    <row r="6332" spans="1:1" x14ac:dyDescent="0.3">
      <c r="A6332" t="s">
        <v>0</v>
      </c>
    </row>
    <row r="6333" spans="1:1" x14ac:dyDescent="0.3">
      <c r="A6333" t="s">
        <v>0</v>
      </c>
    </row>
    <row r="6334" spans="1:1" x14ac:dyDescent="0.3">
      <c r="A6334" t="s">
        <v>0</v>
      </c>
    </row>
    <row r="6335" spans="1:1" x14ac:dyDescent="0.3">
      <c r="A6335" t="s">
        <v>0</v>
      </c>
    </row>
    <row r="6336" spans="1:1" x14ac:dyDescent="0.3">
      <c r="A6336" t="s">
        <v>0</v>
      </c>
    </row>
    <row r="6337" spans="1:1" x14ac:dyDescent="0.3">
      <c r="A6337" t="s">
        <v>0</v>
      </c>
    </row>
    <row r="6338" spans="1:1" x14ac:dyDescent="0.3">
      <c r="A6338" t="s">
        <v>0</v>
      </c>
    </row>
    <row r="6339" spans="1:1" x14ac:dyDescent="0.3">
      <c r="A6339" t="s">
        <v>0</v>
      </c>
    </row>
    <row r="6340" spans="1:1" x14ac:dyDescent="0.3">
      <c r="A6340" t="s">
        <v>0</v>
      </c>
    </row>
    <row r="6341" spans="1:1" x14ac:dyDescent="0.3">
      <c r="A6341" t="s">
        <v>0</v>
      </c>
    </row>
    <row r="6342" spans="1:1" x14ac:dyDescent="0.3">
      <c r="A6342" t="s">
        <v>0</v>
      </c>
    </row>
    <row r="6343" spans="1:1" x14ac:dyDescent="0.3">
      <c r="A6343" t="s">
        <v>0</v>
      </c>
    </row>
    <row r="6344" spans="1:1" x14ac:dyDescent="0.3">
      <c r="A6344" t="s">
        <v>0</v>
      </c>
    </row>
    <row r="6345" spans="1:1" x14ac:dyDescent="0.3">
      <c r="A6345" t="s">
        <v>0</v>
      </c>
    </row>
    <row r="6346" spans="1:1" x14ac:dyDescent="0.3">
      <c r="A6346" t="s">
        <v>0</v>
      </c>
    </row>
    <row r="6347" spans="1:1" x14ac:dyDescent="0.3">
      <c r="A6347" t="s">
        <v>0</v>
      </c>
    </row>
    <row r="6348" spans="1:1" x14ac:dyDescent="0.3">
      <c r="A6348" t="s">
        <v>0</v>
      </c>
    </row>
    <row r="6349" spans="1:1" x14ac:dyDescent="0.3">
      <c r="A6349" t="s">
        <v>0</v>
      </c>
    </row>
    <row r="6350" spans="1:1" x14ac:dyDescent="0.3">
      <c r="A6350" t="s">
        <v>0</v>
      </c>
    </row>
    <row r="6351" spans="1:1" x14ac:dyDescent="0.3">
      <c r="A6351" t="s">
        <v>0</v>
      </c>
    </row>
    <row r="6352" spans="1:1" x14ac:dyDescent="0.3">
      <c r="A6352" t="s">
        <v>0</v>
      </c>
    </row>
    <row r="6353" spans="1:1" x14ac:dyDescent="0.3">
      <c r="A6353" t="s">
        <v>0</v>
      </c>
    </row>
    <row r="6354" spans="1:1" x14ac:dyDescent="0.3">
      <c r="A6354" t="s">
        <v>0</v>
      </c>
    </row>
    <row r="6355" spans="1:1" x14ac:dyDescent="0.3">
      <c r="A6355" t="s">
        <v>0</v>
      </c>
    </row>
    <row r="6356" spans="1:1" x14ac:dyDescent="0.3">
      <c r="A6356" t="s">
        <v>0</v>
      </c>
    </row>
    <row r="6357" spans="1:1" x14ac:dyDescent="0.3">
      <c r="A6357" t="s">
        <v>0</v>
      </c>
    </row>
    <row r="6358" spans="1:1" x14ac:dyDescent="0.3">
      <c r="A6358" t="s">
        <v>0</v>
      </c>
    </row>
    <row r="6359" spans="1:1" x14ac:dyDescent="0.3">
      <c r="A6359" t="s">
        <v>0</v>
      </c>
    </row>
    <row r="6360" spans="1:1" x14ac:dyDescent="0.3">
      <c r="A6360" t="s">
        <v>0</v>
      </c>
    </row>
    <row r="6361" spans="1:1" x14ac:dyDescent="0.3">
      <c r="A6361" t="s">
        <v>0</v>
      </c>
    </row>
    <row r="6362" spans="1:1" x14ac:dyDescent="0.3">
      <c r="A6362" t="s">
        <v>0</v>
      </c>
    </row>
    <row r="6363" spans="1:1" x14ac:dyDescent="0.3">
      <c r="A6363" t="s">
        <v>0</v>
      </c>
    </row>
    <row r="6364" spans="1:1" x14ac:dyDescent="0.3">
      <c r="A6364" t="s">
        <v>0</v>
      </c>
    </row>
    <row r="6365" spans="1:1" x14ac:dyDescent="0.3">
      <c r="A6365" t="s">
        <v>0</v>
      </c>
    </row>
    <row r="6366" spans="1:1" x14ac:dyDescent="0.3">
      <c r="A6366" t="s">
        <v>0</v>
      </c>
    </row>
    <row r="6367" spans="1:1" x14ac:dyDescent="0.3">
      <c r="A6367" t="s">
        <v>0</v>
      </c>
    </row>
    <row r="6368" spans="1:1" x14ac:dyDescent="0.3">
      <c r="A6368" t="s">
        <v>0</v>
      </c>
    </row>
    <row r="6369" spans="1:1" x14ac:dyDescent="0.3">
      <c r="A6369" t="s">
        <v>0</v>
      </c>
    </row>
    <row r="6370" spans="1:1" x14ac:dyDescent="0.3">
      <c r="A6370" t="s">
        <v>0</v>
      </c>
    </row>
    <row r="6371" spans="1:1" x14ac:dyDescent="0.3">
      <c r="A6371" t="s">
        <v>0</v>
      </c>
    </row>
    <row r="6372" spans="1:1" x14ac:dyDescent="0.3">
      <c r="A6372" t="s">
        <v>0</v>
      </c>
    </row>
    <row r="6373" spans="1:1" x14ac:dyDescent="0.3">
      <c r="A6373" t="s">
        <v>0</v>
      </c>
    </row>
    <row r="6374" spans="1:1" x14ac:dyDescent="0.3">
      <c r="A6374" t="s">
        <v>0</v>
      </c>
    </row>
    <row r="6375" spans="1:1" x14ac:dyDescent="0.3">
      <c r="A6375" t="s">
        <v>0</v>
      </c>
    </row>
    <row r="6376" spans="1:1" x14ac:dyDescent="0.3">
      <c r="A6376" t="s">
        <v>0</v>
      </c>
    </row>
    <row r="6377" spans="1:1" x14ac:dyDescent="0.3">
      <c r="A6377" t="s">
        <v>0</v>
      </c>
    </row>
    <row r="6378" spans="1:1" x14ac:dyDescent="0.3">
      <c r="A6378" t="s">
        <v>0</v>
      </c>
    </row>
    <row r="6379" spans="1:1" x14ac:dyDescent="0.3">
      <c r="A6379" t="s">
        <v>0</v>
      </c>
    </row>
    <row r="6380" spans="1:1" x14ac:dyDescent="0.3">
      <c r="A6380" t="s">
        <v>0</v>
      </c>
    </row>
    <row r="6381" spans="1:1" x14ac:dyDescent="0.3">
      <c r="A6381" t="s">
        <v>0</v>
      </c>
    </row>
    <row r="6382" spans="1:1" x14ac:dyDescent="0.3">
      <c r="A6382" t="s">
        <v>0</v>
      </c>
    </row>
    <row r="6383" spans="1:1" x14ac:dyDescent="0.3">
      <c r="A6383" t="s">
        <v>0</v>
      </c>
    </row>
    <row r="6384" spans="1:1" x14ac:dyDescent="0.3">
      <c r="A6384" t="s">
        <v>0</v>
      </c>
    </row>
    <row r="6385" spans="1:1" x14ac:dyDescent="0.3">
      <c r="A6385" t="s">
        <v>0</v>
      </c>
    </row>
    <row r="6386" spans="1:1" x14ac:dyDescent="0.3">
      <c r="A6386" t="s">
        <v>0</v>
      </c>
    </row>
    <row r="6387" spans="1:1" x14ac:dyDescent="0.3">
      <c r="A6387" t="s">
        <v>0</v>
      </c>
    </row>
    <row r="6388" spans="1:1" x14ac:dyDescent="0.3">
      <c r="A6388" t="s">
        <v>0</v>
      </c>
    </row>
    <row r="6389" spans="1:1" x14ac:dyDescent="0.3">
      <c r="A6389" t="s">
        <v>0</v>
      </c>
    </row>
    <row r="6390" spans="1:1" x14ac:dyDescent="0.3">
      <c r="A6390" t="s">
        <v>0</v>
      </c>
    </row>
    <row r="6391" spans="1:1" x14ac:dyDescent="0.3">
      <c r="A6391" t="s">
        <v>0</v>
      </c>
    </row>
    <row r="6392" spans="1:1" x14ac:dyDescent="0.3">
      <c r="A6392" t="s">
        <v>0</v>
      </c>
    </row>
    <row r="6393" spans="1:1" x14ac:dyDescent="0.3">
      <c r="A6393" t="s">
        <v>0</v>
      </c>
    </row>
    <row r="6394" spans="1:1" x14ac:dyDescent="0.3">
      <c r="A6394" t="s">
        <v>0</v>
      </c>
    </row>
    <row r="6395" spans="1:1" x14ac:dyDescent="0.3">
      <c r="A6395" t="s">
        <v>0</v>
      </c>
    </row>
    <row r="6396" spans="1:1" x14ac:dyDescent="0.3">
      <c r="A6396" t="s">
        <v>0</v>
      </c>
    </row>
    <row r="6397" spans="1:1" x14ac:dyDescent="0.3">
      <c r="A6397" t="s">
        <v>0</v>
      </c>
    </row>
    <row r="6398" spans="1:1" x14ac:dyDescent="0.3">
      <c r="A6398" t="s">
        <v>0</v>
      </c>
    </row>
    <row r="6399" spans="1:1" x14ac:dyDescent="0.3">
      <c r="A6399" t="s">
        <v>0</v>
      </c>
    </row>
    <row r="6400" spans="1:1" x14ac:dyDescent="0.3">
      <c r="A6400" t="s">
        <v>0</v>
      </c>
    </row>
    <row r="6401" spans="1:1" x14ac:dyDescent="0.3">
      <c r="A6401" t="s">
        <v>0</v>
      </c>
    </row>
    <row r="6402" spans="1:1" x14ac:dyDescent="0.3">
      <c r="A6402" t="s">
        <v>0</v>
      </c>
    </row>
    <row r="6403" spans="1:1" x14ac:dyDescent="0.3">
      <c r="A6403" t="s">
        <v>0</v>
      </c>
    </row>
    <row r="6404" spans="1:1" x14ac:dyDescent="0.3">
      <c r="A6404" t="s">
        <v>0</v>
      </c>
    </row>
    <row r="6405" spans="1:1" x14ac:dyDescent="0.3">
      <c r="A6405" t="s">
        <v>0</v>
      </c>
    </row>
    <row r="6406" spans="1:1" x14ac:dyDescent="0.3">
      <c r="A6406" t="s">
        <v>0</v>
      </c>
    </row>
    <row r="6407" spans="1:1" x14ac:dyDescent="0.3">
      <c r="A6407" t="s">
        <v>0</v>
      </c>
    </row>
    <row r="6408" spans="1:1" x14ac:dyDescent="0.3">
      <c r="A6408" t="s">
        <v>0</v>
      </c>
    </row>
    <row r="6409" spans="1:1" x14ac:dyDescent="0.3">
      <c r="A6409" t="s">
        <v>0</v>
      </c>
    </row>
    <row r="6410" spans="1:1" x14ac:dyDescent="0.3">
      <c r="A6410" t="s">
        <v>0</v>
      </c>
    </row>
    <row r="6411" spans="1:1" x14ac:dyDescent="0.3">
      <c r="A6411" t="s">
        <v>0</v>
      </c>
    </row>
    <row r="6412" spans="1:1" x14ac:dyDescent="0.3">
      <c r="A6412" t="s">
        <v>0</v>
      </c>
    </row>
    <row r="6413" spans="1:1" x14ac:dyDescent="0.3">
      <c r="A6413" t="s">
        <v>0</v>
      </c>
    </row>
    <row r="6414" spans="1:1" x14ac:dyDescent="0.3">
      <c r="A6414" t="s">
        <v>0</v>
      </c>
    </row>
    <row r="6415" spans="1:1" x14ac:dyDescent="0.3">
      <c r="A6415" t="s">
        <v>0</v>
      </c>
    </row>
    <row r="6416" spans="1:1" x14ac:dyDescent="0.3">
      <c r="A6416" t="s">
        <v>0</v>
      </c>
    </row>
    <row r="6417" spans="1:1" x14ac:dyDescent="0.3">
      <c r="A6417" t="s">
        <v>0</v>
      </c>
    </row>
    <row r="6418" spans="1:1" x14ac:dyDescent="0.3">
      <c r="A6418" t="s">
        <v>0</v>
      </c>
    </row>
    <row r="6419" spans="1:1" x14ac:dyDescent="0.3">
      <c r="A6419" t="s">
        <v>0</v>
      </c>
    </row>
    <row r="6420" spans="1:1" x14ac:dyDescent="0.3">
      <c r="A6420" t="s">
        <v>0</v>
      </c>
    </row>
    <row r="6421" spans="1:1" x14ac:dyDescent="0.3">
      <c r="A6421" t="s">
        <v>0</v>
      </c>
    </row>
    <row r="6422" spans="1:1" x14ac:dyDescent="0.3">
      <c r="A6422" t="s">
        <v>0</v>
      </c>
    </row>
    <row r="6423" spans="1:1" x14ac:dyDescent="0.3">
      <c r="A6423" t="s">
        <v>0</v>
      </c>
    </row>
    <row r="6424" spans="1:1" x14ac:dyDescent="0.3">
      <c r="A6424" t="s">
        <v>0</v>
      </c>
    </row>
    <row r="6425" spans="1:1" x14ac:dyDescent="0.3">
      <c r="A6425" t="s">
        <v>0</v>
      </c>
    </row>
    <row r="6426" spans="1:1" x14ac:dyDescent="0.3">
      <c r="A6426" t="s">
        <v>0</v>
      </c>
    </row>
    <row r="6427" spans="1:1" x14ac:dyDescent="0.3">
      <c r="A6427" t="s">
        <v>0</v>
      </c>
    </row>
    <row r="6428" spans="1:1" x14ac:dyDescent="0.3">
      <c r="A6428" t="s">
        <v>0</v>
      </c>
    </row>
    <row r="6429" spans="1:1" x14ac:dyDescent="0.3">
      <c r="A6429" t="s">
        <v>0</v>
      </c>
    </row>
    <row r="6430" spans="1:1" x14ac:dyDescent="0.3">
      <c r="A6430" t="s">
        <v>0</v>
      </c>
    </row>
    <row r="6431" spans="1:1" x14ac:dyDescent="0.3">
      <c r="A6431" t="s">
        <v>0</v>
      </c>
    </row>
    <row r="6432" spans="1:1" x14ac:dyDescent="0.3">
      <c r="A6432" t="s">
        <v>0</v>
      </c>
    </row>
    <row r="6433" spans="1:1" x14ac:dyDescent="0.3">
      <c r="A6433" t="s">
        <v>0</v>
      </c>
    </row>
    <row r="6434" spans="1:1" x14ac:dyDescent="0.3">
      <c r="A6434" t="s">
        <v>0</v>
      </c>
    </row>
    <row r="6435" spans="1:1" x14ac:dyDescent="0.3">
      <c r="A6435" t="s">
        <v>0</v>
      </c>
    </row>
    <row r="6436" spans="1:1" x14ac:dyDescent="0.3">
      <c r="A6436" t="s">
        <v>0</v>
      </c>
    </row>
    <row r="6437" spans="1:1" x14ac:dyDescent="0.3">
      <c r="A6437" t="s">
        <v>0</v>
      </c>
    </row>
    <row r="6438" spans="1:1" x14ac:dyDescent="0.3">
      <c r="A6438" t="s">
        <v>0</v>
      </c>
    </row>
    <row r="6439" spans="1:1" x14ac:dyDescent="0.3">
      <c r="A6439" t="s">
        <v>0</v>
      </c>
    </row>
    <row r="6440" spans="1:1" x14ac:dyDescent="0.3">
      <c r="A6440" t="s">
        <v>0</v>
      </c>
    </row>
    <row r="6441" spans="1:1" x14ac:dyDescent="0.3">
      <c r="A6441" t="s">
        <v>0</v>
      </c>
    </row>
    <row r="6442" spans="1:1" x14ac:dyDescent="0.3">
      <c r="A6442" t="s">
        <v>0</v>
      </c>
    </row>
    <row r="6443" spans="1:1" x14ac:dyDescent="0.3">
      <c r="A6443" t="s">
        <v>0</v>
      </c>
    </row>
    <row r="6444" spans="1:1" x14ac:dyDescent="0.3">
      <c r="A6444" t="s">
        <v>0</v>
      </c>
    </row>
    <row r="6445" spans="1:1" x14ac:dyDescent="0.3">
      <c r="A6445" t="s">
        <v>0</v>
      </c>
    </row>
    <row r="6446" spans="1:1" x14ac:dyDescent="0.3">
      <c r="A6446" t="s">
        <v>0</v>
      </c>
    </row>
    <row r="6447" spans="1:1" x14ac:dyDescent="0.3">
      <c r="A6447" t="s">
        <v>0</v>
      </c>
    </row>
    <row r="6448" spans="1:1" x14ac:dyDescent="0.3">
      <c r="A6448" t="s">
        <v>0</v>
      </c>
    </row>
    <row r="6449" spans="1:1" x14ac:dyDescent="0.3">
      <c r="A6449" t="s">
        <v>0</v>
      </c>
    </row>
    <row r="6450" spans="1:1" x14ac:dyDescent="0.3">
      <c r="A6450" t="s">
        <v>0</v>
      </c>
    </row>
    <row r="6451" spans="1:1" x14ac:dyDescent="0.3">
      <c r="A6451" t="s">
        <v>0</v>
      </c>
    </row>
    <row r="6452" spans="1:1" x14ac:dyDescent="0.3">
      <c r="A6452" t="s">
        <v>0</v>
      </c>
    </row>
    <row r="6453" spans="1:1" x14ac:dyDescent="0.3">
      <c r="A6453" t="s">
        <v>0</v>
      </c>
    </row>
    <row r="6454" spans="1:1" x14ac:dyDescent="0.3">
      <c r="A6454" t="s">
        <v>0</v>
      </c>
    </row>
    <row r="6455" spans="1:1" x14ac:dyDescent="0.3">
      <c r="A6455" t="s">
        <v>0</v>
      </c>
    </row>
    <row r="6456" spans="1:1" x14ac:dyDescent="0.3">
      <c r="A6456" t="s">
        <v>0</v>
      </c>
    </row>
    <row r="6457" spans="1:1" x14ac:dyDescent="0.3">
      <c r="A6457" t="s">
        <v>0</v>
      </c>
    </row>
    <row r="6458" spans="1:1" x14ac:dyDescent="0.3">
      <c r="A6458" t="s">
        <v>0</v>
      </c>
    </row>
    <row r="6459" spans="1:1" x14ac:dyDescent="0.3">
      <c r="A6459" t="s">
        <v>0</v>
      </c>
    </row>
    <row r="6460" spans="1:1" x14ac:dyDescent="0.3">
      <c r="A6460" t="s">
        <v>0</v>
      </c>
    </row>
    <row r="6461" spans="1:1" x14ac:dyDescent="0.3">
      <c r="A6461" t="s">
        <v>0</v>
      </c>
    </row>
    <row r="6462" spans="1:1" x14ac:dyDescent="0.3">
      <c r="A6462" t="s">
        <v>0</v>
      </c>
    </row>
    <row r="6463" spans="1:1" x14ac:dyDescent="0.3">
      <c r="A6463" t="s">
        <v>0</v>
      </c>
    </row>
    <row r="6464" spans="1:1" x14ac:dyDescent="0.3">
      <c r="A6464" t="s">
        <v>0</v>
      </c>
    </row>
    <row r="6465" spans="1:1" x14ac:dyDescent="0.3">
      <c r="A6465" t="s">
        <v>0</v>
      </c>
    </row>
    <row r="6466" spans="1:1" x14ac:dyDescent="0.3">
      <c r="A6466" t="s">
        <v>0</v>
      </c>
    </row>
    <row r="6467" spans="1:1" x14ac:dyDescent="0.3">
      <c r="A6467" t="s">
        <v>0</v>
      </c>
    </row>
    <row r="6468" spans="1:1" x14ac:dyDescent="0.3">
      <c r="A6468" t="s">
        <v>0</v>
      </c>
    </row>
    <row r="6469" spans="1:1" x14ac:dyDescent="0.3">
      <c r="A6469" t="s">
        <v>0</v>
      </c>
    </row>
    <row r="6470" spans="1:1" x14ac:dyDescent="0.3">
      <c r="A6470" t="s">
        <v>0</v>
      </c>
    </row>
    <row r="6471" spans="1:1" x14ac:dyDescent="0.3">
      <c r="A6471" t="s">
        <v>0</v>
      </c>
    </row>
    <row r="6472" spans="1:1" x14ac:dyDescent="0.3">
      <c r="A6472" t="s">
        <v>0</v>
      </c>
    </row>
    <row r="6473" spans="1:1" x14ac:dyDescent="0.3">
      <c r="A6473" t="s">
        <v>0</v>
      </c>
    </row>
    <row r="6474" spans="1:1" x14ac:dyDescent="0.3">
      <c r="A6474" t="s">
        <v>0</v>
      </c>
    </row>
    <row r="6475" spans="1:1" x14ac:dyDescent="0.3">
      <c r="A6475" t="s">
        <v>0</v>
      </c>
    </row>
    <row r="6476" spans="1:1" x14ac:dyDescent="0.3">
      <c r="A6476" t="s">
        <v>0</v>
      </c>
    </row>
    <row r="6477" spans="1:1" x14ac:dyDescent="0.3">
      <c r="A6477" t="s">
        <v>0</v>
      </c>
    </row>
    <row r="6478" spans="1:1" x14ac:dyDescent="0.3">
      <c r="A6478" t="s">
        <v>0</v>
      </c>
    </row>
    <row r="6479" spans="1:1" x14ac:dyDescent="0.3">
      <c r="A6479" t="s">
        <v>0</v>
      </c>
    </row>
    <row r="6480" spans="1:1" x14ac:dyDescent="0.3">
      <c r="A6480" t="s">
        <v>0</v>
      </c>
    </row>
    <row r="6481" spans="1:1" x14ac:dyDescent="0.3">
      <c r="A6481" t="s">
        <v>0</v>
      </c>
    </row>
    <row r="6482" spans="1:1" x14ac:dyDescent="0.3">
      <c r="A6482" t="s">
        <v>0</v>
      </c>
    </row>
    <row r="6483" spans="1:1" x14ac:dyDescent="0.3">
      <c r="A6483" t="s">
        <v>0</v>
      </c>
    </row>
    <row r="6484" spans="1:1" x14ac:dyDescent="0.3">
      <c r="A6484" t="s">
        <v>0</v>
      </c>
    </row>
    <row r="6485" spans="1:1" x14ac:dyDescent="0.3">
      <c r="A6485" t="s">
        <v>0</v>
      </c>
    </row>
    <row r="6486" spans="1:1" x14ac:dyDescent="0.3">
      <c r="A6486" t="s">
        <v>0</v>
      </c>
    </row>
    <row r="6487" spans="1:1" x14ac:dyDescent="0.3">
      <c r="A6487" t="s">
        <v>0</v>
      </c>
    </row>
    <row r="6488" spans="1:1" x14ac:dyDescent="0.3">
      <c r="A6488" t="s">
        <v>0</v>
      </c>
    </row>
    <row r="6489" spans="1:1" x14ac:dyDescent="0.3">
      <c r="A6489" t="s">
        <v>0</v>
      </c>
    </row>
    <row r="6490" spans="1:1" x14ac:dyDescent="0.3">
      <c r="A6490" t="s">
        <v>0</v>
      </c>
    </row>
    <row r="6491" spans="1:1" x14ac:dyDescent="0.3">
      <c r="A6491" t="s">
        <v>0</v>
      </c>
    </row>
    <row r="6492" spans="1:1" x14ac:dyDescent="0.3">
      <c r="A6492" t="s">
        <v>0</v>
      </c>
    </row>
    <row r="6493" spans="1:1" x14ac:dyDescent="0.3">
      <c r="A6493" t="s">
        <v>0</v>
      </c>
    </row>
    <row r="6494" spans="1:1" x14ac:dyDescent="0.3">
      <c r="A6494" t="s">
        <v>0</v>
      </c>
    </row>
    <row r="6495" spans="1:1" x14ac:dyDescent="0.3">
      <c r="A6495" t="s">
        <v>0</v>
      </c>
    </row>
    <row r="6496" spans="1:1" x14ac:dyDescent="0.3">
      <c r="A6496" t="s">
        <v>0</v>
      </c>
    </row>
    <row r="6497" spans="1:1" x14ac:dyDescent="0.3">
      <c r="A6497" t="s">
        <v>0</v>
      </c>
    </row>
    <row r="6498" spans="1:1" x14ac:dyDescent="0.3">
      <c r="A6498" t="s">
        <v>0</v>
      </c>
    </row>
    <row r="6499" spans="1:1" x14ac:dyDescent="0.3">
      <c r="A6499" t="s">
        <v>0</v>
      </c>
    </row>
    <row r="6500" spans="1:1" x14ac:dyDescent="0.3">
      <c r="A6500" t="s">
        <v>0</v>
      </c>
    </row>
    <row r="6501" spans="1:1" x14ac:dyDescent="0.3">
      <c r="A6501" t="s">
        <v>0</v>
      </c>
    </row>
    <row r="6502" spans="1:1" x14ac:dyDescent="0.3">
      <c r="A6502" t="s">
        <v>0</v>
      </c>
    </row>
    <row r="6503" spans="1:1" x14ac:dyDescent="0.3">
      <c r="A6503" t="s">
        <v>0</v>
      </c>
    </row>
    <row r="6504" spans="1:1" x14ac:dyDescent="0.3">
      <c r="A6504" t="s">
        <v>0</v>
      </c>
    </row>
    <row r="6505" spans="1:1" x14ac:dyDescent="0.3">
      <c r="A6505" t="s">
        <v>0</v>
      </c>
    </row>
    <row r="6506" spans="1:1" x14ac:dyDescent="0.3">
      <c r="A6506" t="s">
        <v>0</v>
      </c>
    </row>
    <row r="6507" spans="1:1" x14ac:dyDescent="0.3">
      <c r="A6507" t="s">
        <v>0</v>
      </c>
    </row>
    <row r="6508" spans="1:1" x14ac:dyDescent="0.3">
      <c r="A6508" t="s">
        <v>0</v>
      </c>
    </row>
    <row r="6509" spans="1:1" x14ac:dyDescent="0.3">
      <c r="A6509" t="s">
        <v>0</v>
      </c>
    </row>
    <row r="6510" spans="1:1" x14ac:dyDescent="0.3">
      <c r="A6510" t="s">
        <v>0</v>
      </c>
    </row>
    <row r="6511" spans="1:1" x14ac:dyDescent="0.3">
      <c r="A6511" t="s">
        <v>0</v>
      </c>
    </row>
    <row r="6512" spans="1:1" x14ac:dyDescent="0.3">
      <c r="A6512" t="s">
        <v>0</v>
      </c>
    </row>
    <row r="6513" spans="1:1" x14ac:dyDescent="0.3">
      <c r="A6513" t="s">
        <v>0</v>
      </c>
    </row>
    <row r="6514" spans="1:1" x14ac:dyDescent="0.3">
      <c r="A6514" t="s">
        <v>0</v>
      </c>
    </row>
    <row r="6515" spans="1:1" x14ac:dyDescent="0.3">
      <c r="A6515" t="s">
        <v>0</v>
      </c>
    </row>
    <row r="6516" spans="1:1" x14ac:dyDescent="0.3">
      <c r="A6516" t="s">
        <v>0</v>
      </c>
    </row>
    <row r="6517" spans="1:1" x14ac:dyDescent="0.3">
      <c r="A6517" t="s">
        <v>0</v>
      </c>
    </row>
    <row r="6518" spans="1:1" x14ac:dyDescent="0.3">
      <c r="A6518" t="s">
        <v>0</v>
      </c>
    </row>
    <row r="6519" spans="1:1" x14ac:dyDescent="0.3">
      <c r="A6519" t="s">
        <v>0</v>
      </c>
    </row>
    <row r="6520" spans="1:1" x14ac:dyDescent="0.3">
      <c r="A6520" t="s">
        <v>0</v>
      </c>
    </row>
    <row r="6521" spans="1:1" x14ac:dyDescent="0.3">
      <c r="A6521" t="s">
        <v>0</v>
      </c>
    </row>
    <row r="6522" spans="1:1" x14ac:dyDescent="0.3">
      <c r="A6522" t="s">
        <v>0</v>
      </c>
    </row>
    <row r="6523" spans="1:1" x14ac:dyDescent="0.3">
      <c r="A6523" t="s">
        <v>0</v>
      </c>
    </row>
    <row r="6524" spans="1:1" x14ac:dyDescent="0.3">
      <c r="A6524" t="s">
        <v>0</v>
      </c>
    </row>
    <row r="6525" spans="1:1" x14ac:dyDescent="0.3">
      <c r="A6525" t="s">
        <v>0</v>
      </c>
    </row>
    <row r="6526" spans="1:1" x14ac:dyDescent="0.3">
      <c r="A6526" t="s">
        <v>0</v>
      </c>
    </row>
    <row r="6527" spans="1:1" x14ac:dyDescent="0.3">
      <c r="A6527" t="s">
        <v>0</v>
      </c>
    </row>
    <row r="6528" spans="1:1" x14ac:dyDescent="0.3">
      <c r="A6528" t="s">
        <v>0</v>
      </c>
    </row>
    <row r="6529" spans="1:1" x14ac:dyDescent="0.3">
      <c r="A6529" t="s">
        <v>0</v>
      </c>
    </row>
    <row r="6530" spans="1:1" x14ac:dyDescent="0.3">
      <c r="A6530" t="s">
        <v>0</v>
      </c>
    </row>
    <row r="6531" spans="1:1" x14ac:dyDescent="0.3">
      <c r="A6531" t="s">
        <v>0</v>
      </c>
    </row>
    <row r="6532" spans="1:1" x14ac:dyDescent="0.3">
      <c r="A6532" t="s">
        <v>0</v>
      </c>
    </row>
    <row r="6533" spans="1:1" x14ac:dyDescent="0.3">
      <c r="A6533" t="s">
        <v>0</v>
      </c>
    </row>
    <row r="6534" spans="1:1" x14ac:dyDescent="0.3">
      <c r="A6534" t="s">
        <v>0</v>
      </c>
    </row>
    <row r="6535" spans="1:1" x14ac:dyDescent="0.3">
      <c r="A6535" t="s">
        <v>0</v>
      </c>
    </row>
    <row r="6536" spans="1:1" x14ac:dyDescent="0.3">
      <c r="A6536" t="s">
        <v>0</v>
      </c>
    </row>
    <row r="6537" spans="1:1" x14ac:dyDescent="0.3">
      <c r="A6537" t="s">
        <v>0</v>
      </c>
    </row>
    <row r="6538" spans="1:1" x14ac:dyDescent="0.3">
      <c r="A6538" t="s">
        <v>0</v>
      </c>
    </row>
    <row r="6539" spans="1:1" x14ac:dyDescent="0.3">
      <c r="A6539" t="s">
        <v>0</v>
      </c>
    </row>
    <row r="6540" spans="1:1" x14ac:dyDescent="0.3">
      <c r="A6540" t="s">
        <v>0</v>
      </c>
    </row>
    <row r="6541" spans="1:1" x14ac:dyDescent="0.3">
      <c r="A6541" t="s">
        <v>0</v>
      </c>
    </row>
    <row r="6542" spans="1:1" x14ac:dyDescent="0.3">
      <c r="A6542" t="s">
        <v>0</v>
      </c>
    </row>
    <row r="6543" spans="1:1" x14ac:dyDescent="0.3">
      <c r="A6543" t="s">
        <v>0</v>
      </c>
    </row>
    <row r="6544" spans="1:1" x14ac:dyDescent="0.3">
      <c r="A6544" t="s">
        <v>0</v>
      </c>
    </row>
    <row r="6545" spans="1:1" x14ac:dyDescent="0.3">
      <c r="A6545" t="s">
        <v>0</v>
      </c>
    </row>
    <row r="6546" spans="1:1" x14ac:dyDescent="0.3">
      <c r="A6546" t="s">
        <v>0</v>
      </c>
    </row>
    <row r="6547" spans="1:1" x14ac:dyDescent="0.3">
      <c r="A6547" t="s">
        <v>0</v>
      </c>
    </row>
    <row r="6548" spans="1:1" x14ac:dyDescent="0.3">
      <c r="A6548" t="s">
        <v>0</v>
      </c>
    </row>
    <row r="6549" spans="1:1" x14ac:dyDescent="0.3">
      <c r="A6549" t="s">
        <v>0</v>
      </c>
    </row>
    <row r="6550" spans="1:1" x14ac:dyDescent="0.3">
      <c r="A6550" t="s">
        <v>0</v>
      </c>
    </row>
    <row r="6551" spans="1:1" x14ac:dyDescent="0.3">
      <c r="A6551" t="s">
        <v>0</v>
      </c>
    </row>
    <row r="6552" spans="1:1" x14ac:dyDescent="0.3">
      <c r="A6552" t="s">
        <v>0</v>
      </c>
    </row>
    <row r="6553" spans="1:1" x14ac:dyDescent="0.3">
      <c r="A6553" t="s">
        <v>0</v>
      </c>
    </row>
    <row r="6554" spans="1:1" x14ac:dyDescent="0.3">
      <c r="A6554" t="s">
        <v>0</v>
      </c>
    </row>
    <row r="6555" spans="1:1" x14ac:dyDescent="0.3">
      <c r="A6555" t="s">
        <v>0</v>
      </c>
    </row>
    <row r="6556" spans="1:1" x14ac:dyDescent="0.3">
      <c r="A6556" t="s">
        <v>0</v>
      </c>
    </row>
    <row r="6557" spans="1:1" x14ac:dyDescent="0.3">
      <c r="A6557" t="s">
        <v>0</v>
      </c>
    </row>
    <row r="6558" spans="1:1" x14ac:dyDescent="0.3">
      <c r="A6558" t="s">
        <v>0</v>
      </c>
    </row>
    <row r="6559" spans="1:1" x14ac:dyDescent="0.3">
      <c r="A6559" t="s">
        <v>0</v>
      </c>
    </row>
    <row r="6560" spans="1:1" x14ac:dyDescent="0.3">
      <c r="A6560" t="s">
        <v>0</v>
      </c>
    </row>
    <row r="6561" spans="1:1" x14ac:dyDescent="0.3">
      <c r="A6561" t="s">
        <v>0</v>
      </c>
    </row>
    <row r="6562" spans="1:1" x14ac:dyDescent="0.3">
      <c r="A6562" t="s">
        <v>0</v>
      </c>
    </row>
    <row r="6563" spans="1:1" x14ac:dyDescent="0.3">
      <c r="A6563" t="s">
        <v>0</v>
      </c>
    </row>
    <row r="6564" spans="1:1" x14ac:dyDescent="0.3">
      <c r="A6564" t="s">
        <v>0</v>
      </c>
    </row>
    <row r="6565" spans="1:1" x14ac:dyDescent="0.3">
      <c r="A6565" t="s">
        <v>0</v>
      </c>
    </row>
    <row r="6566" spans="1:1" x14ac:dyDescent="0.3">
      <c r="A6566" t="s">
        <v>0</v>
      </c>
    </row>
    <row r="6567" spans="1:1" x14ac:dyDescent="0.3">
      <c r="A6567" t="s">
        <v>0</v>
      </c>
    </row>
    <row r="6568" spans="1:1" x14ac:dyDescent="0.3">
      <c r="A6568" t="s">
        <v>0</v>
      </c>
    </row>
    <row r="6569" spans="1:1" x14ac:dyDescent="0.3">
      <c r="A6569" t="s">
        <v>0</v>
      </c>
    </row>
    <row r="6570" spans="1:1" x14ac:dyDescent="0.3">
      <c r="A6570" t="s">
        <v>0</v>
      </c>
    </row>
    <row r="6571" spans="1:1" x14ac:dyDescent="0.3">
      <c r="A6571" t="s">
        <v>0</v>
      </c>
    </row>
    <row r="6572" spans="1:1" x14ac:dyDescent="0.3">
      <c r="A6572" t="s">
        <v>0</v>
      </c>
    </row>
    <row r="6573" spans="1:1" x14ac:dyDescent="0.3">
      <c r="A6573" t="s">
        <v>0</v>
      </c>
    </row>
    <row r="6574" spans="1:1" x14ac:dyDescent="0.3">
      <c r="A6574" t="s">
        <v>0</v>
      </c>
    </row>
    <row r="6575" spans="1:1" x14ac:dyDescent="0.3">
      <c r="A6575" t="s">
        <v>0</v>
      </c>
    </row>
    <row r="6576" spans="1:1" x14ac:dyDescent="0.3">
      <c r="A6576" t="s">
        <v>0</v>
      </c>
    </row>
    <row r="6577" spans="1:1" x14ac:dyDescent="0.3">
      <c r="A6577" t="s">
        <v>0</v>
      </c>
    </row>
    <row r="6578" spans="1:1" x14ac:dyDescent="0.3">
      <c r="A6578" t="s">
        <v>0</v>
      </c>
    </row>
    <row r="6579" spans="1:1" x14ac:dyDescent="0.3">
      <c r="A6579" t="s">
        <v>0</v>
      </c>
    </row>
    <row r="6580" spans="1:1" x14ac:dyDescent="0.3">
      <c r="A6580" t="s">
        <v>0</v>
      </c>
    </row>
    <row r="6581" spans="1:1" x14ac:dyDescent="0.3">
      <c r="A6581" t="s">
        <v>0</v>
      </c>
    </row>
    <row r="6582" spans="1:1" x14ac:dyDescent="0.3">
      <c r="A6582" t="s">
        <v>0</v>
      </c>
    </row>
    <row r="6583" spans="1:1" x14ac:dyDescent="0.3">
      <c r="A6583" t="s">
        <v>0</v>
      </c>
    </row>
    <row r="6584" spans="1:1" x14ac:dyDescent="0.3">
      <c r="A6584" t="s">
        <v>0</v>
      </c>
    </row>
    <row r="6585" spans="1:1" x14ac:dyDescent="0.3">
      <c r="A6585" t="s">
        <v>0</v>
      </c>
    </row>
    <row r="6586" spans="1:1" x14ac:dyDescent="0.3">
      <c r="A6586" t="s">
        <v>0</v>
      </c>
    </row>
    <row r="6587" spans="1:1" x14ac:dyDescent="0.3">
      <c r="A6587" t="s">
        <v>0</v>
      </c>
    </row>
    <row r="6588" spans="1:1" x14ac:dyDescent="0.3">
      <c r="A6588" t="s">
        <v>0</v>
      </c>
    </row>
    <row r="6589" spans="1:1" x14ac:dyDescent="0.3">
      <c r="A6589" t="s">
        <v>0</v>
      </c>
    </row>
    <row r="6590" spans="1:1" x14ac:dyDescent="0.3">
      <c r="A6590" t="s">
        <v>0</v>
      </c>
    </row>
    <row r="6591" spans="1:1" x14ac:dyDescent="0.3">
      <c r="A6591" t="s">
        <v>0</v>
      </c>
    </row>
    <row r="6592" spans="1:1" x14ac:dyDescent="0.3">
      <c r="A6592" t="s">
        <v>0</v>
      </c>
    </row>
    <row r="6593" spans="1:1" x14ac:dyDescent="0.3">
      <c r="A6593" t="s">
        <v>0</v>
      </c>
    </row>
    <row r="6594" spans="1:1" x14ac:dyDescent="0.3">
      <c r="A6594" t="s">
        <v>0</v>
      </c>
    </row>
    <row r="6595" spans="1:1" x14ac:dyDescent="0.3">
      <c r="A6595" t="s">
        <v>0</v>
      </c>
    </row>
    <row r="6596" spans="1:1" x14ac:dyDescent="0.3">
      <c r="A6596" t="s">
        <v>0</v>
      </c>
    </row>
    <row r="6597" spans="1:1" x14ac:dyDescent="0.3">
      <c r="A6597" t="s">
        <v>0</v>
      </c>
    </row>
    <row r="6598" spans="1:1" x14ac:dyDescent="0.3">
      <c r="A6598" t="s">
        <v>0</v>
      </c>
    </row>
    <row r="6599" spans="1:1" x14ac:dyDescent="0.3">
      <c r="A6599" t="s">
        <v>0</v>
      </c>
    </row>
    <row r="6600" spans="1:1" x14ac:dyDescent="0.3">
      <c r="A6600" t="s">
        <v>0</v>
      </c>
    </row>
    <row r="6601" spans="1:1" x14ac:dyDescent="0.3">
      <c r="A6601" t="s">
        <v>0</v>
      </c>
    </row>
    <row r="6602" spans="1:1" x14ac:dyDescent="0.3">
      <c r="A6602" t="s">
        <v>0</v>
      </c>
    </row>
    <row r="6603" spans="1:1" x14ac:dyDescent="0.3">
      <c r="A6603" t="s">
        <v>0</v>
      </c>
    </row>
    <row r="6604" spans="1:1" x14ac:dyDescent="0.3">
      <c r="A6604" t="s">
        <v>0</v>
      </c>
    </row>
    <row r="6605" spans="1:1" x14ac:dyDescent="0.3">
      <c r="A6605" t="s">
        <v>0</v>
      </c>
    </row>
    <row r="6606" spans="1:1" x14ac:dyDescent="0.3">
      <c r="A6606" t="s">
        <v>0</v>
      </c>
    </row>
    <row r="6607" spans="1:1" x14ac:dyDescent="0.3">
      <c r="A6607" t="s">
        <v>0</v>
      </c>
    </row>
    <row r="6608" spans="1:1" x14ac:dyDescent="0.3">
      <c r="A6608" t="s">
        <v>0</v>
      </c>
    </row>
    <row r="6609" spans="1:1" x14ac:dyDescent="0.3">
      <c r="A6609" t="s">
        <v>0</v>
      </c>
    </row>
    <row r="6610" spans="1:1" x14ac:dyDescent="0.3">
      <c r="A6610" t="s">
        <v>0</v>
      </c>
    </row>
    <row r="6611" spans="1:1" x14ac:dyDescent="0.3">
      <c r="A6611" t="s">
        <v>0</v>
      </c>
    </row>
    <row r="6612" spans="1:1" x14ac:dyDescent="0.3">
      <c r="A6612" t="s">
        <v>0</v>
      </c>
    </row>
    <row r="6613" spans="1:1" x14ac:dyDescent="0.3">
      <c r="A6613" t="s">
        <v>0</v>
      </c>
    </row>
    <row r="6614" spans="1:1" x14ac:dyDescent="0.3">
      <c r="A6614" t="s">
        <v>0</v>
      </c>
    </row>
    <row r="6615" spans="1:1" x14ac:dyDescent="0.3">
      <c r="A6615" t="s">
        <v>0</v>
      </c>
    </row>
    <row r="6616" spans="1:1" x14ac:dyDescent="0.3">
      <c r="A6616" t="s">
        <v>0</v>
      </c>
    </row>
    <row r="6617" spans="1:1" x14ac:dyDescent="0.3">
      <c r="A6617" t="s">
        <v>0</v>
      </c>
    </row>
    <row r="6618" spans="1:1" x14ac:dyDescent="0.3">
      <c r="A6618" t="s">
        <v>0</v>
      </c>
    </row>
    <row r="6619" spans="1:1" x14ac:dyDescent="0.3">
      <c r="A6619" t="s">
        <v>0</v>
      </c>
    </row>
    <row r="6620" spans="1:1" x14ac:dyDescent="0.3">
      <c r="A6620" t="s">
        <v>0</v>
      </c>
    </row>
    <row r="6621" spans="1:1" x14ac:dyDescent="0.3">
      <c r="A6621" t="s">
        <v>0</v>
      </c>
    </row>
    <row r="6622" spans="1:1" x14ac:dyDescent="0.3">
      <c r="A6622" t="s">
        <v>0</v>
      </c>
    </row>
    <row r="6623" spans="1:1" x14ac:dyDescent="0.3">
      <c r="A6623" t="s">
        <v>0</v>
      </c>
    </row>
    <row r="6624" spans="1:1" x14ac:dyDescent="0.3">
      <c r="A6624" t="s">
        <v>0</v>
      </c>
    </row>
    <row r="6625" spans="1:1" x14ac:dyDescent="0.3">
      <c r="A6625" t="s">
        <v>0</v>
      </c>
    </row>
    <row r="6626" spans="1:1" x14ac:dyDescent="0.3">
      <c r="A6626" t="s">
        <v>0</v>
      </c>
    </row>
    <row r="6627" spans="1:1" x14ac:dyDescent="0.3">
      <c r="A6627" t="s">
        <v>0</v>
      </c>
    </row>
    <row r="6628" spans="1:1" x14ac:dyDescent="0.3">
      <c r="A6628" t="s">
        <v>0</v>
      </c>
    </row>
    <row r="6629" spans="1:1" x14ac:dyDescent="0.3">
      <c r="A6629" t="s">
        <v>0</v>
      </c>
    </row>
    <row r="6630" spans="1:1" x14ac:dyDescent="0.3">
      <c r="A6630" t="s">
        <v>0</v>
      </c>
    </row>
    <row r="6631" spans="1:1" x14ac:dyDescent="0.3">
      <c r="A6631" t="s">
        <v>0</v>
      </c>
    </row>
    <row r="6632" spans="1:1" x14ac:dyDescent="0.3">
      <c r="A6632" t="s">
        <v>0</v>
      </c>
    </row>
    <row r="6633" spans="1:1" x14ac:dyDescent="0.3">
      <c r="A6633" t="s">
        <v>0</v>
      </c>
    </row>
    <row r="6634" spans="1:1" x14ac:dyDescent="0.3">
      <c r="A6634" t="s">
        <v>0</v>
      </c>
    </row>
    <row r="6635" spans="1:1" x14ac:dyDescent="0.3">
      <c r="A6635" t="s">
        <v>0</v>
      </c>
    </row>
    <row r="6636" spans="1:1" x14ac:dyDescent="0.3">
      <c r="A6636" t="s">
        <v>0</v>
      </c>
    </row>
    <row r="6637" spans="1:1" x14ac:dyDescent="0.3">
      <c r="A6637" t="s">
        <v>0</v>
      </c>
    </row>
    <row r="6638" spans="1:1" x14ac:dyDescent="0.3">
      <c r="A6638" t="s">
        <v>0</v>
      </c>
    </row>
    <row r="6639" spans="1:1" x14ac:dyDescent="0.3">
      <c r="A6639" t="s">
        <v>0</v>
      </c>
    </row>
    <row r="6640" spans="1:1" x14ac:dyDescent="0.3">
      <c r="A6640" t="s">
        <v>0</v>
      </c>
    </row>
    <row r="6641" spans="1:1" x14ac:dyDescent="0.3">
      <c r="A6641" t="s">
        <v>0</v>
      </c>
    </row>
    <row r="6642" spans="1:1" x14ac:dyDescent="0.3">
      <c r="A6642" t="s">
        <v>0</v>
      </c>
    </row>
    <row r="6643" spans="1:1" x14ac:dyDescent="0.3">
      <c r="A6643" t="s">
        <v>0</v>
      </c>
    </row>
    <row r="6644" spans="1:1" x14ac:dyDescent="0.3">
      <c r="A6644" t="s">
        <v>0</v>
      </c>
    </row>
    <row r="6645" spans="1:1" x14ac:dyDescent="0.3">
      <c r="A6645" t="s">
        <v>0</v>
      </c>
    </row>
    <row r="6646" spans="1:1" x14ac:dyDescent="0.3">
      <c r="A6646" t="s">
        <v>0</v>
      </c>
    </row>
    <row r="6647" spans="1:1" x14ac:dyDescent="0.3">
      <c r="A6647" t="s">
        <v>0</v>
      </c>
    </row>
    <row r="6648" spans="1:1" x14ac:dyDescent="0.3">
      <c r="A6648" t="s">
        <v>0</v>
      </c>
    </row>
    <row r="6649" spans="1:1" x14ac:dyDescent="0.3">
      <c r="A6649" t="s">
        <v>0</v>
      </c>
    </row>
    <row r="6650" spans="1:1" x14ac:dyDescent="0.3">
      <c r="A6650" t="s">
        <v>0</v>
      </c>
    </row>
    <row r="6651" spans="1:1" x14ac:dyDescent="0.3">
      <c r="A6651" t="s">
        <v>0</v>
      </c>
    </row>
    <row r="6652" spans="1:1" x14ac:dyDescent="0.3">
      <c r="A6652" t="s">
        <v>0</v>
      </c>
    </row>
    <row r="6653" spans="1:1" x14ac:dyDescent="0.3">
      <c r="A6653" t="s">
        <v>0</v>
      </c>
    </row>
    <row r="6654" spans="1:1" x14ac:dyDescent="0.3">
      <c r="A6654" t="s">
        <v>0</v>
      </c>
    </row>
    <row r="6655" spans="1:1" x14ac:dyDescent="0.3">
      <c r="A6655" t="s">
        <v>0</v>
      </c>
    </row>
    <row r="6656" spans="1:1" x14ac:dyDescent="0.3">
      <c r="A6656" t="s">
        <v>0</v>
      </c>
    </row>
    <row r="6657" spans="1:1" x14ac:dyDescent="0.3">
      <c r="A6657" t="s">
        <v>0</v>
      </c>
    </row>
    <row r="6658" spans="1:1" x14ac:dyDescent="0.3">
      <c r="A6658" t="s">
        <v>0</v>
      </c>
    </row>
    <row r="6659" spans="1:1" x14ac:dyDescent="0.3">
      <c r="A6659" t="s">
        <v>0</v>
      </c>
    </row>
    <row r="6660" spans="1:1" x14ac:dyDescent="0.3">
      <c r="A6660" t="s">
        <v>0</v>
      </c>
    </row>
    <row r="6661" spans="1:1" x14ac:dyDescent="0.3">
      <c r="A6661" t="s">
        <v>0</v>
      </c>
    </row>
    <row r="6662" spans="1:1" x14ac:dyDescent="0.3">
      <c r="A6662" t="s">
        <v>0</v>
      </c>
    </row>
    <row r="6663" spans="1:1" x14ac:dyDescent="0.3">
      <c r="A6663" t="s">
        <v>0</v>
      </c>
    </row>
    <row r="6664" spans="1:1" x14ac:dyDescent="0.3">
      <c r="A6664" t="s">
        <v>0</v>
      </c>
    </row>
    <row r="6665" spans="1:1" x14ac:dyDescent="0.3">
      <c r="A6665" t="s">
        <v>0</v>
      </c>
    </row>
    <row r="6666" spans="1:1" x14ac:dyDescent="0.3">
      <c r="A6666" t="s">
        <v>0</v>
      </c>
    </row>
    <row r="6667" spans="1:1" x14ac:dyDescent="0.3">
      <c r="A6667" t="s">
        <v>0</v>
      </c>
    </row>
    <row r="6668" spans="1:1" x14ac:dyDescent="0.3">
      <c r="A6668" t="s">
        <v>0</v>
      </c>
    </row>
    <row r="6669" spans="1:1" x14ac:dyDescent="0.3">
      <c r="A6669" t="s">
        <v>0</v>
      </c>
    </row>
    <row r="6670" spans="1:1" x14ac:dyDescent="0.3">
      <c r="A6670" t="s">
        <v>0</v>
      </c>
    </row>
    <row r="6671" spans="1:1" x14ac:dyDescent="0.3">
      <c r="A6671" t="s">
        <v>0</v>
      </c>
    </row>
    <row r="6672" spans="1:1" x14ac:dyDescent="0.3">
      <c r="A6672" t="s">
        <v>0</v>
      </c>
    </row>
    <row r="6673" spans="1:1" x14ac:dyDescent="0.3">
      <c r="A6673" t="s">
        <v>0</v>
      </c>
    </row>
    <row r="6674" spans="1:1" x14ac:dyDescent="0.3">
      <c r="A6674" t="s">
        <v>0</v>
      </c>
    </row>
    <row r="6675" spans="1:1" x14ac:dyDescent="0.3">
      <c r="A6675" t="s">
        <v>0</v>
      </c>
    </row>
    <row r="6676" spans="1:1" x14ac:dyDescent="0.3">
      <c r="A6676" t="s">
        <v>0</v>
      </c>
    </row>
    <row r="6677" spans="1:1" x14ac:dyDescent="0.3">
      <c r="A6677" t="s">
        <v>0</v>
      </c>
    </row>
    <row r="6678" spans="1:1" x14ac:dyDescent="0.3">
      <c r="A6678" t="s">
        <v>0</v>
      </c>
    </row>
    <row r="6679" spans="1:1" x14ac:dyDescent="0.3">
      <c r="A6679" t="s">
        <v>0</v>
      </c>
    </row>
    <row r="6680" spans="1:1" x14ac:dyDescent="0.3">
      <c r="A6680" t="s">
        <v>0</v>
      </c>
    </row>
    <row r="6681" spans="1:1" x14ac:dyDescent="0.3">
      <c r="A6681" t="s">
        <v>0</v>
      </c>
    </row>
    <row r="6682" spans="1:1" x14ac:dyDescent="0.3">
      <c r="A6682" t="s">
        <v>0</v>
      </c>
    </row>
    <row r="6683" spans="1:1" x14ac:dyDescent="0.3">
      <c r="A6683" t="s">
        <v>0</v>
      </c>
    </row>
    <row r="6684" spans="1:1" x14ac:dyDescent="0.3">
      <c r="A6684" t="s">
        <v>0</v>
      </c>
    </row>
    <row r="6685" spans="1:1" x14ac:dyDescent="0.3">
      <c r="A6685" t="s">
        <v>0</v>
      </c>
    </row>
    <row r="6686" spans="1:1" x14ac:dyDescent="0.3">
      <c r="A6686" t="s">
        <v>0</v>
      </c>
    </row>
    <row r="6687" spans="1:1" x14ac:dyDescent="0.3">
      <c r="A6687" t="s">
        <v>0</v>
      </c>
    </row>
    <row r="6688" spans="1:1" x14ac:dyDescent="0.3">
      <c r="A6688" t="s">
        <v>0</v>
      </c>
    </row>
    <row r="6689" spans="1:1" x14ac:dyDescent="0.3">
      <c r="A6689" t="s">
        <v>0</v>
      </c>
    </row>
    <row r="6690" spans="1:1" x14ac:dyDescent="0.3">
      <c r="A6690" t="s">
        <v>0</v>
      </c>
    </row>
    <row r="6691" spans="1:1" x14ac:dyDescent="0.3">
      <c r="A6691" t="s">
        <v>0</v>
      </c>
    </row>
    <row r="6692" spans="1:1" x14ac:dyDescent="0.3">
      <c r="A6692" t="s">
        <v>0</v>
      </c>
    </row>
    <row r="6693" spans="1:1" x14ac:dyDescent="0.3">
      <c r="A6693" t="s">
        <v>0</v>
      </c>
    </row>
    <row r="6694" spans="1:1" x14ac:dyDescent="0.3">
      <c r="A6694" t="s">
        <v>0</v>
      </c>
    </row>
    <row r="6695" spans="1:1" x14ac:dyDescent="0.3">
      <c r="A6695" t="s">
        <v>0</v>
      </c>
    </row>
    <row r="6696" spans="1:1" x14ac:dyDescent="0.3">
      <c r="A6696" t="s">
        <v>0</v>
      </c>
    </row>
    <row r="6697" spans="1:1" x14ac:dyDescent="0.3">
      <c r="A6697" t="s">
        <v>0</v>
      </c>
    </row>
    <row r="6698" spans="1:1" x14ac:dyDescent="0.3">
      <c r="A6698" t="s">
        <v>0</v>
      </c>
    </row>
    <row r="6699" spans="1:1" x14ac:dyDescent="0.3">
      <c r="A6699" t="s">
        <v>0</v>
      </c>
    </row>
    <row r="6700" spans="1:1" x14ac:dyDescent="0.3">
      <c r="A6700" t="s">
        <v>0</v>
      </c>
    </row>
    <row r="6701" spans="1:1" x14ac:dyDescent="0.3">
      <c r="A6701" t="s">
        <v>0</v>
      </c>
    </row>
    <row r="6702" spans="1:1" x14ac:dyDescent="0.3">
      <c r="A6702" t="s">
        <v>0</v>
      </c>
    </row>
    <row r="6703" spans="1:1" x14ac:dyDescent="0.3">
      <c r="A6703" t="s">
        <v>0</v>
      </c>
    </row>
    <row r="6704" spans="1:1" x14ac:dyDescent="0.3">
      <c r="A6704" t="s">
        <v>0</v>
      </c>
    </row>
    <row r="6705" spans="1:1" x14ac:dyDescent="0.3">
      <c r="A6705" t="s">
        <v>0</v>
      </c>
    </row>
    <row r="6706" spans="1:1" x14ac:dyDescent="0.3">
      <c r="A6706" t="s">
        <v>0</v>
      </c>
    </row>
    <row r="6707" spans="1:1" x14ac:dyDescent="0.3">
      <c r="A6707" t="s">
        <v>0</v>
      </c>
    </row>
    <row r="6708" spans="1:1" x14ac:dyDescent="0.3">
      <c r="A6708" t="s">
        <v>0</v>
      </c>
    </row>
    <row r="6709" spans="1:1" x14ac:dyDescent="0.3">
      <c r="A6709" t="s">
        <v>0</v>
      </c>
    </row>
    <row r="6710" spans="1:1" x14ac:dyDescent="0.3">
      <c r="A6710" t="s">
        <v>0</v>
      </c>
    </row>
    <row r="6711" spans="1:1" x14ac:dyDescent="0.3">
      <c r="A6711" t="s">
        <v>0</v>
      </c>
    </row>
    <row r="6712" spans="1:1" x14ac:dyDescent="0.3">
      <c r="A6712" t="s">
        <v>0</v>
      </c>
    </row>
    <row r="6713" spans="1:1" x14ac:dyDescent="0.3">
      <c r="A6713" t="s">
        <v>0</v>
      </c>
    </row>
    <row r="6714" spans="1:1" x14ac:dyDescent="0.3">
      <c r="A6714" t="s">
        <v>0</v>
      </c>
    </row>
    <row r="6715" spans="1:1" x14ac:dyDescent="0.3">
      <c r="A6715" t="s">
        <v>0</v>
      </c>
    </row>
    <row r="6716" spans="1:1" x14ac:dyDescent="0.3">
      <c r="A6716" t="s">
        <v>0</v>
      </c>
    </row>
    <row r="6717" spans="1:1" x14ac:dyDescent="0.3">
      <c r="A6717" t="s">
        <v>0</v>
      </c>
    </row>
    <row r="6718" spans="1:1" x14ac:dyDescent="0.3">
      <c r="A6718" t="s">
        <v>0</v>
      </c>
    </row>
    <row r="6719" spans="1:1" x14ac:dyDescent="0.3">
      <c r="A6719" t="s">
        <v>0</v>
      </c>
    </row>
    <row r="6720" spans="1:1" x14ac:dyDescent="0.3">
      <c r="A6720" t="s">
        <v>0</v>
      </c>
    </row>
    <row r="6721" spans="1:1" x14ac:dyDescent="0.3">
      <c r="A6721" t="s">
        <v>0</v>
      </c>
    </row>
    <row r="6722" spans="1:1" x14ac:dyDescent="0.3">
      <c r="A6722" t="s">
        <v>0</v>
      </c>
    </row>
    <row r="6723" spans="1:1" x14ac:dyDescent="0.3">
      <c r="A6723" t="s">
        <v>0</v>
      </c>
    </row>
    <row r="6724" spans="1:1" x14ac:dyDescent="0.3">
      <c r="A6724" t="s">
        <v>0</v>
      </c>
    </row>
    <row r="6725" spans="1:1" x14ac:dyDescent="0.3">
      <c r="A6725" t="s">
        <v>0</v>
      </c>
    </row>
    <row r="6726" spans="1:1" x14ac:dyDescent="0.3">
      <c r="A6726" t="s">
        <v>0</v>
      </c>
    </row>
    <row r="6727" spans="1:1" x14ac:dyDescent="0.3">
      <c r="A6727" t="s">
        <v>0</v>
      </c>
    </row>
    <row r="6728" spans="1:1" x14ac:dyDescent="0.3">
      <c r="A6728" t="s">
        <v>0</v>
      </c>
    </row>
    <row r="6729" spans="1:1" x14ac:dyDescent="0.3">
      <c r="A6729" t="s">
        <v>0</v>
      </c>
    </row>
    <row r="6730" spans="1:1" x14ac:dyDescent="0.3">
      <c r="A6730" t="s">
        <v>0</v>
      </c>
    </row>
    <row r="6731" spans="1:1" x14ac:dyDescent="0.3">
      <c r="A6731" t="s">
        <v>0</v>
      </c>
    </row>
    <row r="6732" spans="1:1" x14ac:dyDescent="0.3">
      <c r="A6732" t="s">
        <v>0</v>
      </c>
    </row>
    <row r="6733" spans="1:1" x14ac:dyDescent="0.3">
      <c r="A6733" t="s">
        <v>0</v>
      </c>
    </row>
    <row r="6734" spans="1:1" x14ac:dyDescent="0.3">
      <c r="A6734" t="s">
        <v>0</v>
      </c>
    </row>
    <row r="6735" spans="1:1" x14ac:dyDescent="0.3">
      <c r="A6735" t="s">
        <v>0</v>
      </c>
    </row>
    <row r="6736" spans="1:1" x14ac:dyDescent="0.3">
      <c r="A6736" t="s">
        <v>0</v>
      </c>
    </row>
    <row r="6737" spans="1:1" x14ac:dyDescent="0.3">
      <c r="A6737" t="s">
        <v>0</v>
      </c>
    </row>
    <row r="6738" spans="1:1" x14ac:dyDescent="0.3">
      <c r="A6738" t="s">
        <v>0</v>
      </c>
    </row>
    <row r="6739" spans="1:1" x14ac:dyDescent="0.3">
      <c r="A6739" t="s">
        <v>0</v>
      </c>
    </row>
    <row r="6740" spans="1:1" x14ac:dyDescent="0.3">
      <c r="A6740" t="s">
        <v>0</v>
      </c>
    </row>
    <row r="6741" spans="1:1" x14ac:dyDescent="0.3">
      <c r="A6741" t="s">
        <v>0</v>
      </c>
    </row>
    <row r="6742" spans="1:1" x14ac:dyDescent="0.3">
      <c r="A6742" t="s">
        <v>0</v>
      </c>
    </row>
    <row r="6743" spans="1:1" x14ac:dyDescent="0.3">
      <c r="A6743" t="s">
        <v>0</v>
      </c>
    </row>
    <row r="6744" spans="1:1" x14ac:dyDescent="0.3">
      <c r="A6744" t="s">
        <v>0</v>
      </c>
    </row>
    <row r="6745" spans="1:1" x14ac:dyDescent="0.3">
      <c r="A6745" t="s">
        <v>0</v>
      </c>
    </row>
    <row r="6746" spans="1:1" x14ac:dyDescent="0.3">
      <c r="A6746" t="s">
        <v>0</v>
      </c>
    </row>
    <row r="6747" spans="1:1" x14ac:dyDescent="0.3">
      <c r="A6747" t="s">
        <v>0</v>
      </c>
    </row>
    <row r="6748" spans="1:1" x14ac:dyDescent="0.3">
      <c r="A6748" t="s">
        <v>0</v>
      </c>
    </row>
    <row r="6749" spans="1:1" x14ac:dyDescent="0.3">
      <c r="A6749" t="s">
        <v>0</v>
      </c>
    </row>
    <row r="6750" spans="1:1" x14ac:dyDescent="0.3">
      <c r="A6750" t="s">
        <v>0</v>
      </c>
    </row>
    <row r="6751" spans="1:1" x14ac:dyDescent="0.3">
      <c r="A6751" t="s">
        <v>0</v>
      </c>
    </row>
    <row r="6752" spans="1:1" x14ac:dyDescent="0.3">
      <c r="A6752" t="s">
        <v>0</v>
      </c>
    </row>
    <row r="6753" spans="1:1" x14ac:dyDescent="0.3">
      <c r="A6753" t="s">
        <v>0</v>
      </c>
    </row>
    <row r="6754" spans="1:1" x14ac:dyDescent="0.3">
      <c r="A6754" t="s">
        <v>0</v>
      </c>
    </row>
    <row r="6755" spans="1:1" x14ac:dyDescent="0.3">
      <c r="A6755" t="s">
        <v>0</v>
      </c>
    </row>
    <row r="6756" spans="1:1" x14ac:dyDescent="0.3">
      <c r="A6756" t="s">
        <v>0</v>
      </c>
    </row>
    <row r="6757" spans="1:1" x14ac:dyDescent="0.3">
      <c r="A6757" t="s">
        <v>0</v>
      </c>
    </row>
    <row r="6758" spans="1:1" x14ac:dyDescent="0.3">
      <c r="A6758" t="s">
        <v>0</v>
      </c>
    </row>
    <row r="6759" spans="1:1" x14ac:dyDescent="0.3">
      <c r="A6759" t="s">
        <v>0</v>
      </c>
    </row>
    <row r="6760" spans="1:1" x14ac:dyDescent="0.3">
      <c r="A6760" t="s">
        <v>0</v>
      </c>
    </row>
    <row r="6761" spans="1:1" x14ac:dyDescent="0.3">
      <c r="A6761" t="s">
        <v>0</v>
      </c>
    </row>
    <row r="6762" spans="1:1" x14ac:dyDescent="0.3">
      <c r="A6762" t="s">
        <v>0</v>
      </c>
    </row>
    <row r="6763" spans="1:1" x14ac:dyDescent="0.3">
      <c r="A6763" t="s">
        <v>0</v>
      </c>
    </row>
    <row r="6764" spans="1:1" x14ac:dyDescent="0.3">
      <c r="A6764" t="s">
        <v>0</v>
      </c>
    </row>
    <row r="6765" spans="1:1" x14ac:dyDescent="0.3">
      <c r="A6765" t="s">
        <v>0</v>
      </c>
    </row>
    <row r="6766" spans="1:1" x14ac:dyDescent="0.3">
      <c r="A6766" t="s">
        <v>0</v>
      </c>
    </row>
    <row r="6767" spans="1:1" x14ac:dyDescent="0.3">
      <c r="A6767" t="s">
        <v>0</v>
      </c>
    </row>
    <row r="6768" spans="1:1" x14ac:dyDescent="0.3">
      <c r="A6768" t="s">
        <v>0</v>
      </c>
    </row>
    <row r="6769" spans="1:1" x14ac:dyDescent="0.3">
      <c r="A6769" t="s">
        <v>0</v>
      </c>
    </row>
    <row r="6770" spans="1:1" x14ac:dyDescent="0.3">
      <c r="A6770" t="s">
        <v>0</v>
      </c>
    </row>
    <row r="6771" spans="1:1" x14ac:dyDescent="0.3">
      <c r="A6771" t="s">
        <v>0</v>
      </c>
    </row>
    <row r="6772" spans="1:1" x14ac:dyDescent="0.3">
      <c r="A6772" t="s">
        <v>0</v>
      </c>
    </row>
    <row r="6773" spans="1:1" x14ac:dyDescent="0.3">
      <c r="A6773" t="s">
        <v>0</v>
      </c>
    </row>
    <row r="6774" spans="1:1" x14ac:dyDescent="0.3">
      <c r="A6774" t="s">
        <v>0</v>
      </c>
    </row>
    <row r="6775" spans="1:1" x14ac:dyDescent="0.3">
      <c r="A6775" t="s">
        <v>0</v>
      </c>
    </row>
    <row r="6776" spans="1:1" x14ac:dyDescent="0.3">
      <c r="A6776" t="s">
        <v>0</v>
      </c>
    </row>
    <row r="6777" spans="1:1" x14ac:dyDescent="0.3">
      <c r="A6777" t="s">
        <v>0</v>
      </c>
    </row>
    <row r="6778" spans="1:1" x14ac:dyDescent="0.3">
      <c r="A6778" t="s">
        <v>0</v>
      </c>
    </row>
    <row r="6779" spans="1:1" x14ac:dyDescent="0.3">
      <c r="A6779" t="s">
        <v>0</v>
      </c>
    </row>
    <row r="6780" spans="1:1" x14ac:dyDescent="0.3">
      <c r="A6780" t="s">
        <v>0</v>
      </c>
    </row>
    <row r="6781" spans="1:1" x14ac:dyDescent="0.3">
      <c r="A6781" t="s">
        <v>0</v>
      </c>
    </row>
    <row r="6782" spans="1:1" x14ac:dyDescent="0.3">
      <c r="A6782" t="s">
        <v>0</v>
      </c>
    </row>
    <row r="6783" spans="1:1" x14ac:dyDescent="0.3">
      <c r="A6783" t="s">
        <v>0</v>
      </c>
    </row>
    <row r="6784" spans="1:1" x14ac:dyDescent="0.3">
      <c r="A6784" t="s">
        <v>0</v>
      </c>
    </row>
    <row r="6785" spans="1:1" x14ac:dyDescent="0.3">
      <c r="A6785" t="s">
        <v>0</v>
      </c>
    </row>
    <row r="6786" spans="1:1" x14ac:dyDescent="0.3">
      <c r="A6786" t="s">
        <v>0</v>
      </c>
    </row>
    <row r="6787" spans="1:1" x14ac:dyDescent="0.3">
      <c r="A6787" t="s">
        <v>0</v>
      </c>
    </row>
    <row r="6788" spans="1:1" x14ac:dyDescent="0.3">
      <c r="A6788" t="s">
        <v>0</v>
      </c>
    </row>
    <row r="6789" spans="1:1" x14ac:dyDescent="0.3">
      <c r="A6789" t="s">
        <v>0</v>
      </c>
    </row>
    <row r="6790" spans="1:1" x14ac:dyDescent="0.3">
      <c r="A6790" t="s">
        <v>0</v>
      </c>
    </row>
    <row r="6791" spans="1:1" x14ac:dyDescent="0.3">
      <c r="A6791" t="s">
        <v>0</v>
      </c>
    </row>
    <row r="6792" spans="1:1" x14ac:dyDescent="0.3">
      <c r="A6792" t="s">
        <v>0</v>
      </c>
    </row>
    <row r="6793" spans="1:1" x14ac:dyDescent="0.3">
      <c r="A6793" t="s">
        <v>0</v>
      </c>
    </row>
    <row r="6794" spans="1:1" x14ac:dyDescent="0.3">
      <c r="A6794" t="s">
        <v>0</v>
      </c>
    </row>
    <row r="6795" spans="1:1" x14ac:dyDescent="0.3">
      <c r="A6795" t="s">
        <v>0</v>
      </c>
    </row>
    <row r="6796" spans="1:1" x14ac:dyDescent="0.3">
      <c r="A6796" t="s">
        <v>0</v>
      </c>
    </row>
    <row r="6797" spans="1:1" x14ac:dyDescent="0.3">
      <c r="A6797" t="s">
        <v>0</v>
      </c>
    </row>
    <row r="6798" spans="1:1" x14ac:dyDescent="0.3">
      <c r="A6798" t="s">
        <v>0</v>
      </c>
    </row>
    <row r="6799" spans="1:1" x14ac:dyDescent="0.3">
      <c r="A6799" t="s">
        <v>0</v>
      </c>
    </row>
    <row r="6800" spans="1:1" x14ac:dyDescent="0.3">
      <c r="A6800" t="s">
        <v>0</v>
      </c>
    </row>
    <row r="6801" spans="1:1" x14ac:dyDescent="0.3">
      <c r="A6801" t="s">
        <v>0</v>
      </c>
    </row>
    <row r="6802" spans="1:1" x14ac:dyDescent="0.3">
      <c r="A6802" t="s">
        <v>0</v>
      </c>
    </row>
    <row r="6803" spans="1:1" x14ac:dyDescent="0.3">
      <c r="A6803" t="s">
        <v>0</v>
      </c>
    </row>
    <row r="6804" spans="1:1" x14ac:dyDescent="0.3">
      <c r="A6804" t="s">
        <v>0</v>
      </c>
    </row>
    <row r="6805" spans="1:1" x14ac:dyDescent="0.3">
      <c r="A6805" t="s">
        <v>0</v>
      </c>
    </row>
    <row r="6806" spans="1:1" x14ac:dyDescent="0.3">
      <c r="A6806" t="s">
        <v>0</v>
      </c>
    </row>
    <row r="6807" spans="1:1" x14ac:dyDescent="0.3">
      <c r="A6807" t="s">
        <v>0</v>
      </c>
    </row>
    <row r="6808" spans="1:1" x14ac:dyDescent="0.3">
      <c r="A6808" t="s">
        <v>0</v>
      </c>
    </row>
    <row r="6809" spans="1:1" x14ac:dyDescent="0.3">
      <c r="A6809" t="s">
        <v>0</v>
      </c>
    </row>
    <row r="6810" spans="1:1" x14ac:dyDescent="0.3">
      <c r="A6810" t="s">
        <v>0</v>
      </c>
    </row>
    <row r="6811" spans="1:1" x14ac:dyDescent="0.3">
      <c r="A6811" t="s">
        <v>0</v>
      </c>
    </row>
    <row r="6812" spans="1:1" x14ac:dyDescent="0.3">
      <c r="A6812" t="s">
        <v>0</v>
      </c>
    </row>
    <row r="6813" spans="1:1" x14ac:dyDescent="0.3">
      <c r="A6813" t="s">
        <v>0</v>
      </c>
    </row>
    <row r="6814" spans="1:1" x14ac:dyDescent="0.3">
      <c r="A6814" t="s">
        <v>0</v>
      </c>
    </row>
    <row r="6815" spans="1:1" x14ac:dyDescent="0.3">
      <c r="A6815" t="s">
        <v>0</v>
      </c>
    </row>
    <row r="6816" spans="1:1" x14ac:dyDescent="0.3">
      <c r="A6816" t="s">
        <v>0</v>
      </c>
    </row>
    <row r="6817" spans="1:1" x14ac:dyDescent="0.3">
      <c r="A6817" t="s">
        <v>0</v>
      </c>
    </row>
    <row r="6818" spans="1:1" x14ac:dyDescent="0.3">
      <c r="A6818" t="s">
        <v>0</v>
      </c>
    </row>
    <row r="6819" spans="1:1" x14ac:dyDescent="0.3">
      <c r="A6819" t="s">
        <v>0</v>
      </c>
    </row>
    <row r="6820" spans="1:1" x14ac:dyDescent="0.3">
      <c r="A6820" t="s">
        <v>0</v>
      </c>
    </row>
    <row r="6821" spans="1:1" x14ac:dyDescent="0.3">
      <c r="A6821" t="s">
        <v>0</v>
      </c>
    </row>
    <row r="6822" spans="1:1" x14ac:dyDescent="0.3">
      <c r="A6822" t="s">
        <v>0</v>
      </c>
    </row>
    <row r="6823" spans="1:1" x14ac:dyDescent="0.3">
      <c r="A6823" t="s">
        <v>0</v>
      </c>
    </row>
    <row r="6824" spans="1:1" x14ac:dyDescent="0.3">
      <c r="A6824" t="s">
        <v>0</v>
      </c>
    </row>
    <row r="6825" spans="1:1" x14ac:dyDescent="0.3">
      <c r="A6825" t="s">
        <v>0</v>
      </c>
    </row>
    <row r="6826" spans="1:1" x14ac:dyDescent="0.3">
      <c r="A6826" t="s">
        <v>0</v>
      </c>
    </row>
    <row r="6827" spans="1:1" x14ac:dyDescent="0.3">
      <c r="A6827" t="s">
        <v>0</v>
      </c>
    </row>
    <row r="6828" spans="1:1" x14ac:dyDescent="0.3">
      <c r="A6828" t="s">
        <v>0</v>
      </c>
    </row>
    <row r="6829" spans="1:1" x14ac:dyDescent="0.3">
      <c r="A6829" t="s">
        <v>0</v>
      </c>
    </row>
    <row r="6830" spans="1:1" x14ac:dyDescent="0.3">
      <c r="A6830" t="s">
        <v>0</v>
      </c>
    </row>
    <row r="6831" spans="1:1" x14ac:dyDescent="0.3">
      <c r="A6831" t="s">
        <v>0</v>
      </c>
    </row>
    <row r="6832" spans="1:1" x14ac:dyDescent="0.3">
      <c r="A6832" t="s">
        <v>0</v>
      </c>
    </row>
    <row r="6833" spans="1:1" x14ac:dyDescent="0.3">
      <c r="A6833" t="s">
        <v>0</v>
      </c>
    </row>
    <row r="6834" spans="1:1" x14ac:dyDescent="0.3">
      <c r="A6834" t="s">
        <v>0</v>
      </c>
    </row>
    <row r="6835" spans="1:1" x14ac:dyDescent="0.3">
      <c r="A6835" t="s">
        <v>0</v>
      </c>
    </row>
    <row r="6836" spans="1:1" x14ac:dyDescent="0.3">
      <c r="A6836" t="s">
        <v>0</v>
      </c>
    </row>
    <row r="6837" spans="1:1" x14ac:dyDescent="0.3">
      <c r="A6837" t="s">
        <v>0</v>
      </c>
    </row>
    <row r="6838" spans="1:1" x14ac:dyDescent="0.3">
      <c r="A6838" t="s">
        <v>0</v>
      </c>
    </row>
    <row r="6839" spans="1:1" x14ac:dyDescent="0.3">
      <c r="A6839" t="s">
        <v>0</v>
      </c>
    </row>
    <row r="6840" spans="1:1" x14ac:dyDescent="0.3">
      <c r="A6840" t="s">
        <v>0</v>
      </c>
    </row>
    <row r="6841" spans="1:1" x14ac:dyDescent="0.3">
      <c r="A6841" t="s">
        <v>0</v>
      </c>
    </row>
    <row r="6842" spans="1:1" x14ac:dyDescent="0.3">
      <c r="A6842" t="s">
        <v>0</v>
      </c>
    </row>
    <row r="6843" spans="1:1" x14ac:dyDescent="0.3">
      <c r="A6843" t="s">
        <v>0</v>
      </c>
    </row>
    <row r="6844" spans="1:1" x14ac:dyDescent="0.3">
      <c r="A6844" t="s">
        <v>0</v>
      </c>
    </row>
    <row r="6845" spans="1:1" x14ac:dyDescent="0.3">
      <c r="A6845" t="s">
        <v>0</v>
      </c>
    </row>
    <row r="6846" spans="1:1" x14ac:dyDescent="0.3">
      <c r="A6846" t="s">
        <v>0</v>
      </c>
    </row>
    <row r="6847" spans="1:1" x14ac:dyDescent="0.3">
      <c r="A6847" t="s">
        <v>0</v>
      </c>
    </row>
    <row r="6848" spans="1:1" x14ac:dyDescent="0.3">
      <c r="A6848" t="s">
        <v>0</v>
      </c>
    </row>
    <row r="6849" spans="1:1" x14ac:dyDescent="0.3">
      <c r="A6849" t="s">
        <v>0</v>
      </c>
    </row>
    <row r="6850" spans="1:1" x14ac:dyDescent="0.3">
      <c r="A6850" t="s">
        <v>0</v>
      </c>
    </row>
    <row r="6851" spans="1:1" x14ac:dyDescent="0.3">
      <c r="A6851" t="s">
        <v>0</v>
      </c>
    </row>
    <row r="6852" spans="1:1" x14ac:dyDescent="0.3">
      <c r="A6852" t="s">
        <v>0</v>
      </c>
    </row>
    <row r="6853" spans="1:1" x14ac:dyDescent="0.3">
      <c r="A6853" t="s">
        <v>0</v>
      </c>
    </row>
    <row r="6854" spans="1:1" x14ac:dyDescent="0.3">
      <c r="A6854" t="s">
        <v>0</v>
      </c>
    </row>
    <row r="6855" spans="1:1" x14ac:dyDescent="0.3">
      <c r="A6855" t="s">
        <v>0</v>
      </c>
    </row>
    <row r="6856" spans="1:1" x14ac:dyDescent="0.3">
      <c r="A6856" t="s">
        <v>0</v>
      </c>
    </row>
    <row r="6857" spans="1:1" x14ac:dyDescent="0.3">
      <c r="A6857" t="s">
        <v>0</v>
      </c>
    </row>
    <row r="6858" spans="1:1" x14ac:dyDescent="0.3">
      <c r="A6858" t="s">
        <v>0</v>
      </c>
    </row>
    <row r="6859" spans="1:1" x14ac:dyDescent="0.3">
      <c r="A6859" t="s">
        <v>0</v>
      </c>
    </row>
    <row r="6860" spans="1:1" x14ac:dyDescent="0.3">
      <c r="A6860" t="s">
        <v>0</v>
      </c>
    </row>
    <row r="6861" spans="1:1" x14ac:dyDescent="0.3">
      <c r="A6861" t="s">
        <v>0</v>
      </c>
    </row>
    <row r="6862" spans="1:1" x14ac:dyDescent="0.3">
      <c r="A6862" t="s">
        <v>0</v>
      </c>
    </row>
    <row r="6863" spans="1:1" x14ac:dyDescent="0.3">
      <c r="A6863" t="s">
        <v>0</v>
      </c>
    </row>
    <row r="6864" spans="1:1" x14ac:dyDescent="0.3">
      <c r="A6864" t="s">
        <v>0</v>
      </c>
    </row>
    <row r="6865" spans="1:1" x14ac:dyDescent="0.3">
      <c r="A6865" t="s">
        <v>0</v>
      </c>
    </row>
    <row r="6866" spans="1:1" x14ac:dyDescent="0.3">
      <c r="A6866" t="s">
        <v>0</v>
      </c>
    </row>
    <row r="6867" spans="1:1" x14ac:dyDescent="0.3">
      <c r="A6867" t="s">
        <v>0</v>
      </c>
    </row>
    <row r="6868" spans="1:1" x14ac:dyDescent="0.3">
      <c r="A6868" t="s">
        <v>0</v>
      </c>
    </row>
    <row r="6869" spans="1:1" x14ac:dyDescent="0.3">
      <c r="A6869" t="s">
        <v>0</v>
      </c>
    </row>
    <row r="6870" spans="1:1" x14ac:dyDescent="0.3">
      <c r="A6870" t="s">
        <v>0</v>
      </c>
    </row>
    <row r="6871" spans="1:1" x14ac:dyDescent="0.3">
      <c r="A6871" t="s">
        <v>0</v>
      </c>
    </row>
    <row r="6872" spans="1:1" x14ac:dyDescent="0.3">
      <c r="A6872" t="s">
        <v>0</v>
      </c>
    </row>
    <row r="6873" spans="1:1" x14ac:dyDescent="0.3">
      <c r="A6873" t="s">
        <v>0</v>
      </c>
    </row>
    <row r="6874" spans="1:1" x14ac:dyDescent="0.3">
      <c r="A6874" t="s">
        <v>0</v>
      </c>
    </row>
    <row r="6875" spans="1:1" x14ac:dyDescent="0.3">
      <c r="A6875" t="s">
        <v>0</v>
      </c>
    </row>
    <row r="6876" spans="1:1" x14ac:dyDescent="0.3">
      <c r="A6876" t="s">
        <v>0</v>
      </c>
    </row>
    <row r="6877" spans="1:1" x14ac:dyDescent="0.3">
      <c r="A6877" t="s">
        <v>0</v>
      </c>
    </row>
    <row r="6878" spans="1:1" x14ac:dyDescent="0.3">
      <c r="A6878" t="s">
        <v>0</v>
      </c>
    </row>
    <row r="6879" spans="1:1" x14ac:dyDescent="0.3">
      <c r="A6879" t="s">
        <v>0</v>
      </c>
    </row>
    <row r="6880" spans="1:1" x14ac:dyDescent="0.3">
      <c r="A6880" t="s">
        <v>0</v>
      </c>
    </row>
    <row r="6881" spans="1:1" x14ac:dyDescent="0.3">
      <c r="A6881" t="s">
        <v>0</v>
      </c>
    </row>
    <row r="6882" spans="1:1" x14ac:dyDescent="0.3">
      <c r="A6882" t="s">
        <v>0</v>
      </c>
    </row>
    <row r="6883" spans="1:1" x14ac:dyDescent="0.3">
      <c r="A6883" t="s">
        <v>0</v>
      </c>
    </row>
    <row r="6884" spans="1:1" x14ac:dyDescent="0.3">
      <c r="A6884" t="s">
        <v>0</v>
      </c>
    </row>
    <row r="6885" spans="1:1" x14ac:dyDescent="0.3">
      <c r="A6885" t="s">
        <v>0</v>
      </c>
    </row>
    <row r="6886" spans="1:1" x14ac:dyDescent="0.3">
      <c r="A6886" t="s">
        <v>0</v>
      </c>
    </row>
    <row r="6887" spans="1:1" x14ac:dyDescent="0.3">
      <c r="A6887" t="s">
        <v>0</v>
      </c>
    </row>
    <row r="6888" spans="1:1" x14ac:dyDescent="0.3">
      <c r="A6888" t="s">
        <v>0</v>
      </c>
    </row>
    <row r="6889" spans="1:1" x14ac:dyDescent="0.3">
      <c r="A6889" t="s">
        <v>0</v>
      </c>
    </row>
    <row r="6890" spans="1:1" x14ac:dyDescent="0.3">
      <c r="A6890" t="s">
        <v>0</v>
      </c>
    </row>
    <row r="6891" spans="1:1" x14ac:dyDescent="0.3">
      <c r="A6891" t="s">
        <v>0</v>
      </c>
    </row>
    <row r="6892" spans="1:1" x14ac:dyDescent="0.3">
      <c r="A6892" t="s">
        <v>0</v>
      </c>
    </row>
    <row r="6893" spans="1:1" x14ac:dyDescent="0.3">
      <c r="A6893" t="s">
        <v>0</v>
      </c>
    </row>
    <row r="6894" spans="1:1" x14ac:dyDescent="0.3">
      <c r="A6894" t="s">
        <v>0</v>
      </c>
    </row>
    <row r="6895" spans="1:1" x14ac:dyDescent="0.3">
      <c r="A6895" t="s">
        <v>0</v>
      </c>
    </row>
    <row r="6896" spans="1:1" x14ac:dyDescent="0.3">
      <c r="A6896" t="s">
        <v>0</v>
      </c>
    </row>
    <row r="6897" spans="1:1" x14ac:dyDescent="0.3">
      <c r="A6897" t="s">
        <v>0</v>
      </c>
    </row>
    <row r="6898" spans="1:1" x14ac:dyDescent="0.3">
      <c r="A6898" t="s">
        <v>0</v>
      </c>
    </row>
    <row r="6899" spans="1:1" x14ac:dyDescent="0.3">
      <c r="A6899" t="s">
        <v>0</v>
      </c>
    </row>
    <row r="6900" spans="1:1" x14ac:dyDescent="0.3">
      <c r="A6900" t="s">
        <v>0</v>
      </c>
    </row>
    <row r="6901" spans="1:1" x14ac:dyDescent="0.3">
      <c r="A6901" t="s">
        <v>0</v>
      </c>
    </row>
    <row r="6902" spans="1:1" x14ac:dyDescent="0.3">
      <c r="A6902" t="s">
        <v>0</v>
      </c>
    </row>
    <row r="6903" spans="1:1" x14ac:dyDescent="0.3">
      <c r="A6903" t="s">
        <v>0</v>
      </c>
    </row>
    <row r="6904" spans="1:1" x14ac:dyDescent="0.3">
      <c r="A6904" t="s">
        <v>0</v>
      </c>
    </row>
    <row r="6905" spans="1:1" x14ac:dyDescent="0.3">
      <c r="A6905" t="s">
        <v>0</v>
      </c>
    </row>
    <row r="6906" spans="1:1" x14ac:dyDescent="0.3">
      <c r="A6906" t="s">
        <v>0</v>
      </c>
    </row>
    <row r="6907" spans="1:1" x14ac:dyDescent="0.3">
      <c r="A6907" t="s">
        <v>0</v>
      </c>
    </row>
    <row r="6908" spans="1:1" x14ac:dyDescent="0.3">
      <c r="A6908" t="s">
        <v>0</v>
      </c>
    </row>
    <row r="6909" spans="1:1" x14ac:dyDescent="0.3">
      <c r="A6909" t="s">
        <v>0</v>
      </c>
    </row>
    <row r="6910" spans="1:1" x14ac:dyDescent="0.3">
      <c r="A6910" t="s">
        <v>0</v>
      </c>
    </row>
    <row r="6911" spans="1:1" x14ac:dyDescent="0.3">
      <c r="A6911" t="s">
        <v>0</v>
      </c>
    </row>
    <row r="6912" spans="1:1" x14ac:dyDescent="0.3">
      <c r="A6912" t="s">
        <v>0</v>
      </c>
    </row>
    <row r="6913" spans="1:1" x14ac:dyDescent="0.3">
      <c r="A6913" t="s">
        <v>0</v>
      </c>
    </row>
    <row r="6914" spans="1:1" x14ac:dyDescent="0.3">
      <c r="A6914" t="s">
        <v>0</v>
      </c>
    </row>
    <row r="6915" spans="1:1" x14ac:dyDescent="0.3">
      <c r="A6915" t="s">
        <v>0</v>
      </c>
    </row>
    <row r="6916" spans="1:1" x14ac:dyDescent="0.3">
      <c r="A6916" t="s">
        <v>0</v>
      </c>
    </row>
    <row r="6917" spans="1:1" x14ac:dyDescent="0.3">
      <c r="A6917" t="s">
        <v>0</v>
      </c>
    </row>
    <row r="6918" spans="1:1" x14ac:dyDescent="0.3">
      <c r="A6918" t="s">
        <v>0</v>
      </c>
    </row>
    <row r="6919" spans="1:1" x14ac:dyDescent="0.3">
      <c r="A6919" t="s">
        <v>0</v>
      </c>
    </row>
    <row r="6920" spans="1:1" x14ac:dyDescent="0.3">
      <c r="A6920" t="s">
        <v>0</v>
      </c>
    </row>
    <row r="6921" spans="1:1" x14ac:dyDescent="0.3">
      <c r="A6921" t="s">
        <v>0</v>
      </c>
    </row>
    <row r="6922" spans="1:1" x14ac:dyDescent="0.3">
      <c r="A6922" t="s">
        <v>0</v>
      </c>
    </row>
    <row r="6923" spans="1:1" x14ac:dyDescent="0.3">
      <c r="A6923" t="s">
        <v>0</v>
      </c>
    </row>
    <row r="6924" spans="1:1" x14ac:dyDescent="0.3">
      <c r="A6924" t="s">
        <v>0</v>
      </c>
    </row>
    <row r="6925" spans="1:1" x14ac:dyDescent="0.3">
      <c r="A6925" t="s">
        <v>0</v>
      </c>
    </row>
    <row r="6926" spans="1:1" x14ac:dyDescent="0.3">
      <c r="A6926" t="s">
        <v>0</v>
      </c>
    </row>
    <row r="6927" spans="1:1" x14ac:dyDescent="0.3">
      <c r="A6927" t="s">
        <v>0</v>
      </c>
    </row>
    <row r="6928" spans="1:1" x14ac:dyDescent="0.3">
      <c r="A6928" t="s">
        <v>0</v>
      </c>
    </row>
    <row r="6929" spans="1:1" x14ac:dyDescent="0.3">
      <c r="A6929" t="s">
        <v>0</v>
      </c>
    </row>
    <row r="6930" spans="1:1" x14ac:dyDescent="0.3">
      <c r="A6930" t="s">
        <v>0</v>
      </c>
    </row>
    <row r="6931" spans="1:1" x14ac:dyDescent="0.3">
      <c r="A6931" t="s">
        <v>0</v>
      </c>
    </row>
    <row r="6932" spans="1:1" x14ac:dyDescent="0.3">
      <c r="A6932" t="s">
        <v>0</v>
      </c>
    </row>
    <row r="6933" spans="1:1" x14ac:dyDescent="0.3">
      <c r="A6933" t="s">
        <v>0</v>
      </c>
    </row>
    <row r="6934" spans="1:1" x14ac:dyDescent="0.3">
      <c r="A6934" t="s">
        <v>0</v>
      </c>
    </row>
    <row r="6935" spans="1:1" x14ac:dyDescent="0.3">
      <c r="A6935" t="s">
        <v>0</v>
      </c>
    </row>
    <row r="6936" spans="1:1" x14ac:dyDescent="0.3">
      <c r="A6936" t="s">
        <v>0</v>
      </c>
    </row>
    <row r="6937" spans="1:1" x14ac:dyDescent="0.3">
      <c r="A6937" t="s">
        <v>0</v>
      </c>
    </row>
    <row r="6938" spans="1:1" x14ac:dyDescent="0.3">
      <c r="A6938" t="s">
        <v>0</v>
      </c>
    </row>
    <row r="6939" spans="1:1" x14ac:dyDescent="0.3">
      <c r="A6939" t="s">
        <v>0</v>
      </c>
    </row>
    <row r="6940" spans="1:1" x14ac:dyDescent="0.3">
      <c r="A6940" t="s">
        <v>0</v>
      </c>
    </row>
    <row r="6941" spans="1:1" x14ac:dyDescent="0.3">
      <c r="A6941" t="s">
        <v>0</v>
      </c>
    </row>
    <row r="6942" spans="1:1" x14ac:dyDescent="0.3">
      <c r="A6942" t="s">
        <v>0</v>
      </c>
    </row>
    <row r="6943" spans="1:1" x14ac:dyDescent="0.3">
      <c r="A6943" t="s">
        <v>0</v>
      </c>
    </row>
    <row r="6944" spans="1:1" x14ac:dyDescent="0.3">
      <c r="A6944" t="s">
        <v>0</v>
      </c>
    </row>
    <row r="6945" spans="1:1" x14ac:dyDescent="0.3">
      <c r="A6945" t="s">
        <v>0</v>
      </c>
    </row>
    <row r="6946" spans="1:1" x14ac:dyDescent="0.3">
      <c r="A6946" t="s">
        <v>0</v>
      </c>
    </row>
    <row r="6947" spans="1:1" x14ac:dyDescent="0.3">
      <c r="A6947" t="s">
        <v>0</v>
      </c>
    </row>
    <row r="6948" spans="1:1" x14ac:dyDescent="0.3">
      <c r="A6948" t="s">
        <v>0</v>
      </c>
    </row>
    <row r="6949" spans="1:1" x14ac:dyDescent="0.3">
      <c r="A6949" t="s">
        <v>0</v>
      </c>
    </row>
    <row r="6950" spans="1:1" x14ac:dyDescent="0.3">
      <c r="A6950" t="s">
        <v>0</v>
      </c>
    </row>
    <row r="6951" spans="1:1" x14ac:dyDescent="0.3">
      <c r="A6951" t="s">
        <v>0</v>
      </c>
    </row>
    <row r="6952" spans="1:1" x14ac:dyDescent="0.3">
      <c r="A6952" t="s">
        <v>0</v>
      </c>
    </row>
    <row r="6953" spans="1:1" x14ac:dyDescent="0.3">
      <c r="A6953" t="s">
        <v>0</v>
      </c>
    </row>
    <row r="6954" spans="1:1" x14ac:dyDescent="0.3">
      <c r="A6954" t="s">
        <v>0</v>
      </c>
    </row>
    <row r="6955" spans="1:1" x14ac:dyDescent="0.3">
      <c r="A6955" t="s">
        <v>0</v>
      </c>
    </row>
    <row r="6956" spans="1:1" x14ac:dyDescent="0.3">
      <c r="A6956" t="s">
        <v>0</v>
      </c>
    </row>
    <row r="6957" spans="1:1" x14ac:dyDescent="0.3">
      <c r="A6957" t="s">
        <v>0</v>
      </c>
    </row>
    <row r="6958" spans="1:1" x14ac:dyDescent="0.3">
      <c r="A6958" t="s">
        <v>0</v>
      </c>
    </row>
    <row r="6959" spans="1:1" x14ac:dyDescent="0.3">
      <c r="A6959" t="s">
        <v>0</v>
      </c>
    </row>
    <row r="6960" spans="1:1" x14ac:dyDescent="0.3">
      <c r="A6960" t="s">
        <v>0</v>
      </c>
    </row>
    <row r="6961" spans="1:1" x14ac:dyDescent="0.3">
      <c r="A6961" t="s">
        <v>0</v>
      </c>
    </row>
    <row r="6962" spans="1:1" x14ac:dyDescent="0.3">
      <c r="A6962" t="s">
        <v>0</v>
      </c>
    </row>
    <row r="6963" spans="1:1" x14ac:dyDescent="0.3">
      <c r="A6963" t="s">
        <v>0</v>
      </c>
    </row>
    <row r="6964" spans="1:1" x14ac:dyDescent="0.3">
      <c r="A6964" t="s">
        <v>0</v>
      </c>
    </row>
    <row r="6965" spans="1:1" x14ac:dyDescent="0.3">
      <c r="A6965" t="s">
        <v>0</v>
      </c>
    </row>
    <row r="6966" spans="1:1" x14ac:dyDescent="0.3">
      <c r="A6966" t="s">
        <v>0</v>
      </c>
    </row>
    <row r="6967" spans="1:1" x14ac:dyDescent="0.3">
      <c r="A6967" t="s">
        <v>0</v>
      </c>
    </row>
    <row r="6968" spans="1:1" x14ac:dyDescent="0.3">
      <c r="A6968" t="s">
        <v>0</v>
      </c>
    </row>
    <row r="6969" spans="1:1" x14ac:dyDescent="0.3">
      <c r="A6969" t="s">
        <v>0</v>
      </c>
    </row>
    <row r="6970" spans="1:1" x14ac:dyDescent="0.3">
      <c r="A6970" t="s">
        <v>0</v>
      </c>
    </row>
    <row r="6971" spans="1:1" x14ac:dyDescent="0.3">
      <c r="A6971" t="s">
        <v>0</v>
      </c>
    </row>
    <row r="6972" spans="1:1" x14ac:dyDescent="0.3">
      <c r="A6972" t="s">
        <v>0</v>
      </c>
    </row>
    <row r="6973" spans="1:1" x14ac:dyDescent="0.3">
      <c r="A6973" t="s">
        <v>0</v>
      </c>
    </row>
    <row r="6974" spans="1:1" x14ac:dyDescent="0.3">
      <c r="A6974" t="s">
        <v>0</v>
      </c>
    </row>
    <row r="6975" spans="1:1" x14ac:dyDescent="0.3">
      <c r="A6975" t="s">
        <v>0</v>
      </c>
    </row>
    <row r="6976" spans="1:1" x14ac:dyDescent="0.3">
      <c r="A6976" t="s">
        <v>0</v>
      </c>
    </row>
    <row r="6977" spans="1:1" x14ac:dyDescent="0.3">
      <c r="A6977" t="s">
        <v>0</v>
      </c>
    </row>
    <row r="6978" spans="1:1" x14ac:dyDescent="0.3">
      <c r="A6978" t="s">
        <v>0</v>
      </c>
    </row>
    <row r="6979" spans="1:1" x14ac:dyDescent="0.3">
      <c r="A6979" t="s">
        <v>0</v>
      </c>
    </row>
    <row r="6980" spans="1:1" x14ac:dyDescent="0.3">
      <c r="A6980" t="s">
        <v>0</v>
      </c>
    </row>
    <row r="6981" spans="1:1" x14ac:dyDescent="0.3">
      <c r="A6981" t="s">
        <v>0</v>
      </c>
    </row>
    <row r="6982" spans="1:1" x14ac:dyDescent="0.3">
      <c r="A6982" t="s">
        <v>0</v>
      </c>
    </row>
    <row r="6983" spans="1:1" x14ac:dyDescent="0.3">
      <c r="A6983" t="s">
        <v>0</v>
      </c>
    </row>
    <row r="6984" spans="1:1" x14ac:dyDescent="0.3">
      <c r="A6984" t="s">
        <v>0</v>
      </c>
    </row>
    <row r="6985" spans="1:1" x14ac:dyDescent="0.3">
      <c r="A6985" t="s">
        <v>0</v>
      </c>
    </row>
    <row r="6986" spans="1:1" x14ac:dyDescent="0.3">
      <c r="A6986" t="s">
        <v>0</v>
      </c>
    </row>
    <row r="6987" spans="1:1" x14ac:dyDescent="0.3">
      <c r="A6987" t="s">
        <v>0</v>
      </c>
    </row>
    <row r="6988" spans="1:1" x14ac:dyDescent="0.3">
      <c r="A6988" t="s">
        <v>0</v>
      </c>
    </row>
    <row r="6989" spans="1:1" x14ac:dyDescent="0.3">
      <c r="A6989" t="s">
        <v>0</v>
      </c>
    </row>
    <row r="6990" spans="1:1" x14ac:dyDescent="0.3">
      <c r="A6990" t="s">
        <v>0</v>
      </c>
    </row>
    <row r="6991" spans="1:1" x14ac:dyDescent="0.3">
      <c r="A6991" t="s">
        <v>0</v>
      </c>
    </row>
    <row r="6992" spans="1:1" x14ac:dyDescent="0.3">
      <c r="A6992" t="s">
        <v>0</v>
      </c>
    </row>
    <row r="6993" spans="1:1" x14ac:dyDescent="0.3">
      <c r="A6993" t="s">
        <v>0</v>
      </c>
    </row>
    <row r="6994" spans="1:1" x14ac:dyDescent="0.3">
      <c r="A6994" t="s">
        <v>0</v>
      </c>
    </row>
    <row r="6995" spans="1:1" x14ac:dyDescent="0.3">
      <c r="A6995" t="s">
        <v>0</v>
      </c>
    </row>
    <row r="6996" spans="1:1" x14ac:dyDescent="0.3">
      <c r="A6996" t="s">
        <v>0</v>
      </c>
    </row>
    <row r="6997" spans="1:1" x14ac:dyDescent="0.3">
      <c r="A6997" t="s">
        <v>0</v>
      </c>
    </row>
    <row r="6998" spans="1:1" x14ac:dyDescent="0.3">
      <c r="A6998" t="s">
        <v>0</v>
      </c>
    </row>
    <row r="6999" spans="1:1" x14ac:dyDescent="0.3">
      <c r="A6999" t="s">
        <v>0</v>
      </c>
    </row>
    <row r="7000" spans="1:1" x14ac:dyDescent="0.3">
      <c r="A7000" t="s">
        <v>0</v>
      </c>
    </row>
    <row r="7001" spans="1:1" x14ac:dyDescent="0.3">
      <c r="A7001" t="s">
        <v>0</v>
      </c>
    </row>
    <row r="7002" spans="1:1" x14ac:dyDescent="0.3">
      <c r="A7002" t="s">
        <v>0</v>
      </c>
    </row>
    <row r="7003" spans="1:1" x14ac:dyDescent="0.3">
      <c r="A7003" t="s">
        <v>0</v>
      </c>
    </row>
    <row r="7004" spans="1:1" x14ac:dyDescent="0.3">
      <c r="A7004" t="s">
        <v>0</v>
      </c>
    </row>
    <row r="7005" spans="1:1" x14ac:dyDescent="0.3">
      <c r="A7005" t="s">
        <v>0</v>
      </c>
    </row>
    <row r="7006" spans="1:1" x14ac:dyDescent="0.3">
      <c r="A7006" t="s">
        <v>0</v>
      </c>
    </row>
    <row r="7007" spans="1:1" x14ac:dyDescent="0.3">
      <c r="A7007" t="s">
        <v>0</v>
      </c>
    </row>
    <row r="7008" spans="1:1" x14ac:dyDescent="0.3">
      <c r="A7008" t="s">
        <v>0</v>
      </c>
    </row>
    <row r="7009" spans="1:1" x14ac:dyDescent="0.3">
      <c r="A7009" t="s">
        <v>0</v>
      </c>
    </row>
    <row r="7010" spans="1:1" x14ac:dyDescent="0.3">
      <c r="A7010" t="s">
        <v>0</v>
      </c>
    </row>
    <row r="7011" spans="1:1" x14ac:dyDescent="0.3">
      <c r="A7011" t="s">
        <v>0</v>
      </c>
    </row>
    <row r="7012" spans="1:1" x14ac:dyDescent="0.3">
      <c r="A7012" t="s">
        <v>0</v>
      </c>
    </row>
    <row r="7013" spans="1:1" x14ac:dyDescent="0.3">
      <c r="A7013" t="s">
        <v>0</v>
      </c>
    </row>
    <row r="7014" spans="1:1" x14ac:dyDescent="0.3">
      <c r="A7014" t="s">
        <v>0</v>
      </c>
    </row>
    <row r="7015" spans="1:1" x14ac:dyDescent="0.3">
      <c r="A7015" t="s">
        <v>0</v>
      </c>
    </row>
    <row r="7016" spans="1:1" x14ac:dyDescent="0.3">
      <c r="A7016" t="s">
        <v>0</v>
      </c>
    </row>
    <row r="7017" spans="1:1" x14ac:dyDescent="0.3">
      <c r="A7017" t="s">
        <v>0</v>
      </c>
    </row>
    <row r="7018" spans="1:1" x14ac:dyDescent="0.3">
      <c r="A7018" t="s">
        <v>0</v>
      </c>
    </row>
    <row r="7019" spans="1:1" x14ac:dyDescent="0.3">
      <c r="A7019" t="s">
        <v>0</v>
      </c>
    </row>
    <row r="7020" spans="1:1" x14ac:dyDescent="0.3">
      <c r="A7020" t="s">
        <v>0</v>
      </c>
    </row>
    <row r="7021" spans="1:1" x14ac:dyDescent="0.3">
      <c r="A7021" t="s">
        <v>0</v>
      </c>
    </row>
    <row r="7022" spans="1:1" x14ac:dyDescent="0.3">
      <c r="A7022" t="s">
        <v>0</v>
      </c>
    </row>
    <row r="7023" spans="1:1" x14ac:dyDescent="0.3">
      <c r="A7023" t="s">
        <v>0</v>
      </c>
    </row>
    <row r="7024" spans="1:1" x14ac:dyDescent="0.3">
      <c r="A7024" t="s">
        <v>0</v>
      </c>
    </row>
    <row r="7025" spans="1:1" x14ac:dyDescent="0.3">
      <c r="A7025" t="s">
        <v>0</v>
      </c>
    </row>
    <row r="7026" spans="1:1" x14ac:dyDescent="0.3">
      <c r="A7026" t="s">
        <v>0</v>
      </c>
    </row>
    <row r="7027" spans="1:1" x14ac:dyDescent="0.3">
      <c r="A7027" t="s">
        <v>0</v>
      </c>
    </row>
    <row r="7028" spans="1:1" x14ac:dyDescent="0.3">
      <c r="A7028" t="s">
        <v>0</v>
      </c>
    </row>
    <row r="7029" spans="1:1" x14ac:dyDescent="0.3">
      <c r="A7029" t="s">
        <v>0</v>
      </c>
    </row>
    <row r="7030" spans="1:1" x14ac:dyDescent="0.3">
      <c r="A7030" t="s">
        <v>0</v>
      </c>
    </row>
    <row r="7031" spans="1:1" x14ac:dyDescent="0.3">
      <c r="A7031" t="s">
        <v>0</v>
      </c>
    </row>
    <row r="7032" spans="1:1" x14ac:dyDescent="0.3">
      <c r="A7032" t="s">
        <v>0</v>
      </c>
    </row>
    <row r="7033" spans="1:1" x14ac:dyDescent="0.3">
      <c r="A7033" t="s">
        <v>0</v>
      </c>
    </row>
    <row r="7034" spans="1:1" x14ac:dyDescent="0.3">
      <c r="A7034" t="s">
        <v>0</v>
      </c>
    </row>
    <row r="7035" spans="1:1" x14ac:dyDescent="0.3">
      <c r="A7035" t="s">
        <v>0</v>
      </c>
    </row>
    <row r="7036" spans="1:1" x14ac:dyDescent="0.3">
      <c r="A7036" t="s">
        <v>0</v>
      </c>
    </row>
    <row r="7037" spans="1:1" x14ac:dyDescent="0.3">
      <c r="A7037" t="s">
        <v>0</v>
      </c>
    </row>
    <row r="7038" spans="1:1" x14ac:dyDescent="0.3">
      <c r="A7038" t="s">
        <v>0</v>
      </c>
    </row>
    <row r="7039" spans="1:1" x14ac:dyDescent="0.3">
      <c r="A7039" t="s">
        <v>0</v>
      </c>
    </row>
    <row r="7040" spans="1:1" x14ac:dyDescent="0.3">
      <c r="A7040" t="s">
        <v>0</v>
      </c>
    </row>
    <row r="7041" spans="1:1" x14ac:dyDescent="0.3">
      <c r="A7041" t="s">
        <v>0</v>
      </c>
    </row>
    <row r="7042" spans="1:1" x14ac:dyDescent="0.3">
      <c r="A7042" t="s">
        <v>0</v>
      </c>
    </row>
    <row r="7043" spans="1:1" x14ac:dyDescent="0.3">
      <c r="A7043" t="s">
        <v>0</v>
      </c>
    </row>
    <row r="7044" spans="1:1" x14ac:dyDescent="0.3">
      <c r="A7044" t="s">
        <v>0</v>
      </c>
    </row>
    <row r="7045" spans="1:1" x14ac:dyDescent="0.3">
      <c r="A7045" t="s">
        <v>0</v>
      </c>
    </row>
    <row r="7046" spans="1:1" x14ac:dyDescent="0.3">
      <c r="A7046" t="s">
        <v>0</v>
      </c>
    </row>
    <row r="7047" spans="1:1" x14ac:dyDescent="0.3">
      <c r="A7047" t="s">
        <v>0</v>
      </c>
    </row>
    <row r="7048" spans="1:1" x14ac:dyDescent="0.3">
      <c r="A7048" t="s">
        <v>0</v>
      </c>
    </row>
    <row r="7049" spans="1:1" x14ac:dyDescent="0.3">
      <c r="A7049" t="s">
        <v>0</v>
      </c>
    </row>
    <row r="7050" spans="1:1" x14ac:dyDescent="0.3">
      <c r="A7050" t="s">
        <v>0</v>
      </c>
    </row>
    <row r="7051" spans="1:1" x14ac:dyDescent="0.3">
      <c r="A7051" t="s">
        <v>0</v>
      </c>
    </row>
    <row r="7052" spans="1:1" x14ac:dyDescent="0.3">
      <c r="A7052" t="s">
        <v>0</v>
      </c>
    </row>
    <row r="7053" spans="1:1" x14ac:dyDescent="0.3">
      <c r="A7053" t="s">
        <v>0</v>
      </c>
    </row>
    <row r="7054" spans="1:1" x14ac:dyDescent="0.3">
      <c r="A7054" t="s">
        <v>0</v>
      </c>
    </row>
    <row r="7055" spans="1:1" x14ac:dyDescent="0.3">
      <c r="A7055" t="s">
        <v>0</v>
      </c>
    </row>
    <row r="7056" spans="1:1" x14ac:dyDescent="0.3">
      <c r="A7056" t="s">
        <v>0</v>
      </c>
    </row>
    <row r="7057" spans="1:1" x14ac:dyDescent="0.3">
      <c r="A7057" t="s">
        <v>0</v>
      </c>
    </row>
    <row r="7058" spans="1:1" x14ac:dyDescent="0.3">
      <c r="A7058" t="s">
        <v>0</v>
      </c>
    </row>
    <row r="7059" spans="1:1" x14ac:dyDescent="0.3">
      <c r="A7059" t="s">
        <v>0</v>
      </c>
    </row>
    <row r="7060" spans="1:1" x14ac:dyDescent="0.3">
      <c r="A7060" t="s">
        <v>0</v>
      </c>
    </row>
    <row r="7061" spans="1:1" x14ac:dyDescent="0.3">
      <c r="A7061" t="s">
        <v>0</v>
      </c>
    </row>
    <row r="7062" spans="1:1" x14ac:dyDescent="0.3">
      <c r="A7062" t="s">
        <v>0</v>
      </c>
    </row>
    <row r="7063" spans="1:1" x14ac:dyDescent="0.3">
      <c r="A7063" t="s">
        <v>0</v>
      </c>
    </row>
    <row r="7064" spans="1:1" x14ac:dyDescent="0.3">
      <c r="A7064" t="s">
        <v>0</v>
      </c>
    </row>
    <row r="7065" spans="1:1" x14ac:dyDescent="0.3">
      <c r="A7065" t="s">
        <v>0</v>
      </c>
    </row>
    <row r="7066" spans="1:1" x14ac:dyDescent="0.3">
      <c r="A7066" t="s">
        <v>0</v>
      </c>
    </row>
    <row r="7067" spans="1:1" x14ac:dyDescent="0.3">
      <c r="A7067" t="s">
        <v>0</v>
      </c>
    </row>
    <row r="7068" spans="1:1" x14ac:dyDescent="0.3">
      <c r="A7068" t="s">
        <v>0</v>
      </c>
    </row>
    <row r="7069" spans="1:1" x14ac:dyDescent="0.3">
      <c r="A7069" t="s">
        <v>0</v>
      </c>
    </row>
    <row r="7070" spans="1:1" x14ac:dyDescent="0.3">
      <c r="A7070" t="s">
        <v>0</v>
      </c>
    </row>
    <row r="7071" spans="1:1" x14ac:dyDescent="0.3">
      <c r="A7071" t="s">
        <v>0</v>
      </c>
    </row>
    <row r="7072" spans="1:1" x14ac:dyDescent="0.3">
      <c r="A7072" t="s">
        <v>0</v>
      </c>
    </row>
    <row r="7073" spans="1:1" x14ac:dyDescent="0.3">
      <c r="A7073" t="s">
        <v>0</v>
      </c>
    </row>
    <row r="7074" spans="1:1" x14ac:dyDescent="0.3">
      <c r="A7074" t="s">
        <v>0</v>
      </c>
    </row>
    <row r="7075" spans="1:1" x14ac:dyDescent="0.3">
      <c r="A7075" t="s">
        <v>0</v>
      </c>
    </row>
    <row r="7076" spans="1:1" x14ac:dyDescent="0.3">
      <c r="A7076" t="s">
        <v>0</v>
      </c>
    </row>
    <row r="7077" spans="1:1" x14ac:dyDescent="0.3">
      <c r="A7077" t="s">
        <v>0</v>
      </c>
    </row>
    <row r="7078" spans="1:1" x14ac:dyDescent="0.3">
      <c r="A7078" t="s">
        <v>0</v>
      </c>
    </row>
    <row r="7079" spans="1:1" x14ac:dyDescent="0.3">
      <c r="A7079" t="s">
        <v>0</v>
      </c>
    </row>
    <row r="7080" spans="1:1" x14ac:dyDescent="0.3">
      <c r="A7080" t="s">
        <v>0</v>
      </c>
    </row>
    <row r="7081" spans="1:1" x14ac:dyDescent="0.3">
      <c r="A7081" t="s">
        <v>0</v>
      </c>
    </row>
    <row r="7082" spans="1:1" x14ac:dyDescent="0.3">
      <c r="A7082" t="s">
        <v>0</v>
      </c>
    </row>
    <row r="7083" spans="1:1" x14ac:dyDescent="0.3">
      <c r="A7083" t="s">
        <v>0</v>
      </c>
    </row>
    <row r="7084" spans="1:1" x14ac:dyDescent="0.3">
      <c r="A7084" t="s">
        <v>0</v>
      </c>
    </row>
    <row r="7085" spans="1:1" x14ac:dyDescent="0.3">
      <c r="A7085" t="s">
        <v>0</v>
      </c>
    </row>
    <row r="7086" spans="1:1" x14ac:dyDescent="0.3">
      <c r="A7086" t="s">
        <v>0</v>
      </c>
    </row>
    <row r="7087" spans="1:1" x14ac:dyDescent="0.3">
      <c r="A7087" t="s">
        <v>0</v>
      </c>
    </row>
    <row r="7088" spans="1:1" x14ac:dyDescent="0.3">
      <c r="A7088" t="s">
        <v>0</v>
      </c>
    </row>
    <row r="7089" spans="1:1" x14ac:dyDescent="0.3">
      <c r="A7089" t="s">
        <v>0</v>
      </c>
    </row>
    <row r="7090" spans="1:1" x14ac:dyDescent="0.3">
      <c r="A7090" t="s">
        <v>0</v>
      </c>
    </row>
    <row r="7091" spans="1:1" x14ac:dyDescent="0.3">
      <c r="A7091" t="s">
        <v>0</v>
      </c>
    </row>
    <row r="7092" spans="1:1" x14ac:dyDescent="0.3">
      <c r="A7092" t="s">
        <v>0</v>
      </c>
    </row>
    <row r="7093" spans="1:1" x14ac:dyDescent="0.3">
      <c r="A7093" t="s">
        <v>0</v>
      </c>
    </row>
    <row r="7094" spans="1:1" x14ac:dyDescent="0.3">
      <c r="A7094" t="s">
        <v>0</v>
      </c>
    </row>
    <row r="7095" spans="1:1" x14ac:dyDescent="0.3">
      <c r="A7095" t="s">
        <v>0</v>
      </c>
    </row>
    <row r="7096" spans="1:1" x14ac:dyDescent="0.3">
      <c r="A7096" t="s">
        <v>0</v>
      </c>
    </row>
    <row r="7097" spans="1:1" x14ac:dyDescent="0.3">
      <c r="A7097" t="s">
        <v>0</v>
      </c>
    </row>
    <row r="7098" spans="1:1" x14ac:dyDescent="0.3">
      <c r="A7098" t="s">
        <v>0</v>
      </c>
    </row>
    <row r="7099" spans="1:1" x14ac:dyDescent="0.3">
      <c r="A7099" t="s">
        <v>0</v>
      </c>
    </row>
    <row r="7100" spans="1:1" x14ac:dyDescent="0.3">
      <c r="A7100" t="s">
        <v>0</v>
      </c>
    </row>
    <row r="7101" spans="1:1" x14ac:dyDescent="0.3">
      <c r="A7101" t="s">
        <v>0</v>
      </c>
    </row>
    <row r="7102" spans="1:1" x14ac:dyDescent="0.3">
      <c r="A7102" t="s">
        <v>0</v>
      </c>
    </row>
    <row r="7103" spans="1:1" x14ac:dyDescent="0.3">
      <c r="A7103" t="s">
        <v>0</v>
      </c>
    </row>
    <row r="7104" spans="1:1" x14ac:dyDescent="0.3">
      <c r="A7104" t="s">
        <v>0</v>
      </c>
    </row>
    <row r="7105" spans="1:1" x14ac:dyDescent="0.3">
      <c r="A7105" t="s">
        <v>0</v>
      </c>
    </row>
    <row r="7106" spans="1:1" x14ac:dyDescent="0.3">
      <c r="A7106" t="s">
        <v>0</v>
      </c>
    </row>
    <row r="7107" spans="1:1" x14ac:dyDescent="0.3">
      <c r="A7107" t="s">
        <v>0</v>
      </c>
    </row>
    <row r="7108" spans="1:1" x14ac:dyDescent="0.3">
      <c r="A7108" t="s">
        <v>0</v>
      </c>
    </row>
    <row r="7109" spans="1:1" x14ac:dyDescent="0.3">
      <c r="A7109" t="s">
        <v>0</v>
      </c>
    </row>
    <row r="7110" spans="1:1" x14ac:dyDescent="0.3">
      <c r="A7110" t="s">
        <v>0</v>
      </c>
    </row>
    <row r="7111" spans="1:1" x14ac:dyDescent="0.3">
      <c r="A7111" t="s">
        <v>0</v>
      </c>
    </row>
    <row r="7112" spans="1:1" x14ac:dyDescent="0.3">
      <c r="A7112" t="s">
        <v>0</v>
      </c>
    </row>
    <row r="7113" spans="1:1" x14ac:dyDescent="0.3">
      <c r="A7113" t="s">
        <v>0</v>
      </c>
    </row>
    <row r="7114" spans="1:1" x14ac:dyDescent="0.3">
      <c r="A7114" t="s">
        <v>0</v>
      </c>
    </row>
    <row r="7115" spans="1:1" x14ac:dyDescent="0.3">
      <c r="A7115" t="s">
        <v>0</v>
      </c>
    </row>
    <row r="7116" spans="1:1" x14ac:dyDescent="0.3">
      <c r="A7116" t="s">
        <v>0</v>
      </c>
    </row>
    <row r="7117" spans="1:1" x14ac:dyDescent="0.3">
      <c r="A7117" t="s">
        <v>0</v>
      </c>
    </row>
    <row r="7118" spans="1:1" x14ac:dyDescent="0.3">
      <c r="A7118" t="s">
        <v>0</v>
      </c>
    </row>
    <row r="7119" spans="1:1" x14ac:dyDescent="0.3">
      <c r="A7119" t="s">
        <v>0</v>
      </c>
    </row>
    <row r="7120" spans="1:1" x14ac:dyDescent="0.3">
      <c r="A7120" t="s">
        <v>0</v>
      </c>
    </row>
    <row r="7121" spans="1:1" x14ac:dyDescent="0.3">
      <c r="A7121" t="s">
        <v>0</v>
      </c>
    </row>
    <row r="7122" spans="1:1" x14ac:dyDescent="0.3">
      <c r="A7122" t="s">
        <v>0</v>
      </c>
    </row>
    <row r="7123" spans="1:1" x14ac:dyDescent="0.3">
      <c r="A7123" t="s">
        <v>0</v>
      </c>
    </row>
    <row r="7124" spans="1:1" x14ac:dyDescent="0.3">
      <c r="A7124" t="s">
        <v>0</v>
      </c>
    </row>
    <row r="7125" spans="1:1" x14ac:dyDescent="0.3">
      <c r="A7125" t="s">
        <v>0</v>
      </c>
    </row>
    <row r="7126" spans="1:1" x14ac:dyDescent="0.3">
      <c r="A7126" t="s">
        <v>0</v>
      </c>
    </row>
    <row r="7127" spans="1:1" x14ac:dyDescent="0.3">
      <c r="A7127" t="s">
        <v>0</v>
      </c>
    </row>
    <row r="7128" spans="1:1" x14ac:dyDescent="0.3">
      <c r="A7128" t="s">
        <v>0</v>
      </c>
    </row>
    <row r="7129" spans="1:1" x14ac:dyDescent="0.3">
      <c r="A7129" t="s">
        <v>0</v>
      </c>
    </row>
    <row r="7130" spans="1:1" x14ac:dyDescent="0.3">
      <c r="A7130" t="s">
        <v>0</v>
      </c>
    </row>
    <row r="7131" spans="1:1" x14ac:dyDescent="0.3">
      <c r="A7131" t="s">
        <v>0</v>
      </c>
    </row>
    <row r="7132" spans="1:1" x14ac:dyDescent="0.3">
      <c r="A7132" t="s">
        <v>0</v>
      </c>
    </row>
    <row r="7133" spans="1:1" x14ac:dyDescent="0.3">
      <c r="A7133" t="s">
        <v>0</v>
      </c>
    </row>
    <row r="7134" spans="1:1" x14ac:dyDescent="0.3">
      <c r="A7134" t="s">
        <v>0</v>
      </c>
    </row>
    <row r="7135" spans="1:1" x14ac:dyDescent="0.3">
      <c r="A7135" t="s">
        <v>0</v>
      </c>
    </row>
    <row r="7136" spans="1:1" x14ac:dyDescent="0.3">
      <c r="A7136" t="s">
        <v>0</v>
      </c>
    </row>
    <row r="7137" spans="1:1" x14ac:dyDescent="0.3">
      <c r="A7137" t="s">
        <v>0</v>
      </c>
    </row>
    <row r="7138" spans="1:1" x14ac:dyDescent="0.3">
      <c r="A7138" t="s">
        <v>0</v>
      </c>
    </row>
    <row r="7139" spans="1:1" x14ac:dyDescent="0.3">
      <c r="A7139" t="s">
        <v>0</v>
      </c>
    </row>
    <row r="7140" spans="1:1" x14ac:dyDescent="0.3">
      <c r="A7140" t="s">
        <v>0</v>
      </c>
    </row>
    <row r="7141" spans="1:1" x14ac:dyDescent="0.3">
      <c r="A7141" t="s">
        <v>0</v>
      </c>
    </row>
    <row r="7142" spans="1:1" x14ac:dyDescent="0.3">
      <c r="A7142" t="s">
        <v>0</v>
      </c>
    </row>
    <row r="7143" spans="1:1" x14ac:dyDescent="0.3">
      <c r="A7143" t="s">
        <v>0</v>
      </c>
    </row>
    <row r="7144" spans="1:1" x14ac:dyDescent="0.3">
      <c r="A7144" t="s">
        <v>0</v>
      </c>
    </row>
    <row r="7145" spans="1:1" x14ac:dyDescent="0.3">
      <c r="A7145" t="s">
        <v>0</v>
      </c>
    </row>
    <row r="7146" spans="1:1" x14ac:dyDescent="0.3">
      <c r="A7146" t="s">
        <v>0</v>
      </c>
    </row>
    <row r="7147" spans="1:1" x14ac:dyDescent="0.3">
      <c r="A7147" t="s">
        <v>0</v>
      </c>
    </row>
    <row r="7148" spans="1:1" x14ac:dyDescent="0.3">
      <c r="A7148" t="s">
        <v>0</v>
      </c>
    </row>
    <row r="7149" spans="1:1" x14ac:dyDescent="0.3">
      <c r="A7149" t="s">
        <v>0</v>
      </c>
    </row>
    <row r="7150" spans="1:1" x14ac:dyDescent="0.3">
      <c r="A7150" t="s">
        <v>0</v>
      </c>
    </row>
    <row r="7151" spans="1:1" x14ac:dyDescent="0.3">
      <c r="A7151" t="s">
        <v>0</v>
      </c>
    </row>
    <row r="7152" spans="1:1" x14ac:dyDescent="0.3">
      <c r="A7152" t="s">
        <v>0</v>
      </c>
    </row>
    <row r="7153" spans="1:1" x14ac:dyDescent="0.3">
      <c r="A7153" t="s">
        <v>0</v>
      </c>
    </row>
    <row r="7154" spans="1:1" x14ac:dyDescent="0.3">
      <c r="A7154" t="s">
        <v>0</v>
      </c>
    </row>
    <row r="7155" spans="1:1" x14ac:dyDescent="0.3">
      <c r="A7155" t="s">
        <v>0</v>
      </c>
    </row>
    <row r="7156" spans="1:1" x14ac:dyDescent="0.3">
      <c r="A7156" t="s">
        <v>0</v>
      </c>
    </row>
    <row r="7157" spans="1:1" x14ac:dyDescent="0.3">
      <c r="A7157" t="s">
        <v>0</v>
      </c>
    </row>
    <row r="7158" spans="1:1" x14ac:dyDescent="0.3">
      <c r="A7158" t="s">
        <v>0</v>
      </c>
    </row>
    <row r="7159" spans="1:1" x14ac:dyDescent="0.3">
      <c r="A7159" t="s">
        <v>0</v>
      </c>
    </row>
    <row r="7160" spans="1:1" x14ac:dyDescent="0.3">
      <c r="A7160" t="s">
        <v>0</v>
      </c>
    </row>
    <row r="7161" spans="1:1" x14ac:dyDescent="0.3">
      <c r="A7161" t="s">
        <v>0</v>
      </c>
    </row>
    <row r="7162" spans="1:1" x14ac:dyDescent="0.3">
      <c r="A7162" t="s">
        <v>0</v>
      </c>
    </row>
    <row r="7163" spans="1:1" x14ac:dyDescent="0.3">
      <c r="A7163" t="s">
        <v>0</v>
      </c>
    </row>
    <row r="7164" spans="1:1" x14ac:dyDescent="0.3">
      <c r="A7164" t="s">
        <v>0</v>
      </c>
    </row>
    <row r="7165" spans="1:1" x14ac:dyDescent="0.3">
      <c r="A7165" t="s">
        <v>0</v>
      </c>
    </row>
    <row r="7166" spans="1:1" x14ac:dyDescent="0.3">
      <c r="A7166" t="s">
        <v>0</v>
      </c>
    </row>
    <row r="7167" spans="1:1" x14ac:dyDescent="0.3">
      <c r="A7167" t="s">
        <v>0</v>
      </c>
    </row>
    <row r="7168" spans="1:1" x14ac:dyDescent="0.3">
      <c r="A7168" t="s">
        <v>0</v>
      </c>
    </row>
    <row r="7169" spans="1:1" x14ac:dyDescent="0.3">
      <c r="A7169" t="s">
        <v>0</v>
      </c>
    </row>
    <row r="7170" spans="1:1" x14ac:dyDescent="0.3">
      <c r="A7170" t="s">
        <v>0</v>
      </c>
    </row>
    <row r="7171" spans="1:1" x14ac:dyDescent="0.3">
      <c r="A7171" t="s">
        <v>0</v>
      </c>
    </row>
    <row r="7172" spans="1:1" x14ac:dyDescent="0.3">
      <c r="A7172" t="s">
        <v>0</v>
      </c>
    </row>
    <row r="7173" spans="1:1" x14ac:dyDescent="0.3">
      <c r="A7173" t="s">
        <v>0</v>
      </c>
    </row>
    <row r="7174" spans="1:1" x14ac:dyDescent="0.3">
      <c r="A7174" t="s">
        <v>0</v>
      </c>
    </row>
    <row r="7175" spans="1:1" x14ac:dyDescent="0.3">
      <c r="A7175" t="s">
        <v>0</v>
      </c>
    </row>
    <row r="7176" spans="1:1" x14ac:dyDescent="0.3">
      <c r="A7176" t="s">
        <v>0</v>
      </c>
    </row>
    <row r="7177" spans="1:1" x14ac:dyDescent="0.3">
      <c r="A7177" t="s">
        <v>0</v>
      </c>
    </row>
    <row r="7178" spans="1:1" x14ac:dyDescent="0.3">
      <c r="A7178" t="s">
        <v>0</v>
      </c>
    </row>
    <row r="7179" spans="1:1" x14ac:dyDescent="0.3">
      <c r="A7179" t="s">
        <v>0</v>
      </c>
    </row>
    <row r="7180" spans="1:1" x14ac:dyDescent="0.3">
      <c r="A7180" t="s">
        <v>0</v>
      </c>
    </row>
    <row r="7181" spans="1:1" x14ac:dyDescent="0.3">
      <c r="A7181" t="s">
        <v>0</v>
      </c>
    </row>
    <row r="7182" spans="1:1" x14ac:dyDescent="0.3">
      <c r="A7182" t="s">
        <v>0</v>
      </c>
    </row>
    <row r="7183" spans="1:1" x14ac:dyDescent="0.3">
      <c r="A7183" t="s">
        <v>0</v>
      </c>
    </row>
    <row r="7184" spans="1:1" x14ac:dyDescent="0.3">
      <c r="A7184" t="s">
        <v>0</v>
      </c>
    </row>
    <row r="7185" spans="1:1" x14ac:dyDescent="0.3">
      <c r="A7185" t="s">
        <v>0</v>
      </c>
    </row>
    <row r="7186" spans="1:1" x14ac:dyDescent="0.3">
      <c r="A7186" t="s">
        <v>0</v>
      </c>
    </row>
    <row r="7187" spans="1:1" x14ac:dyDescent="0.3">
      <c r="A7187" t="s">
        <v>0</v>
      </c>
    </row>
    <row r="7188" spans="1:1" x14ac:dyDescent="0.3">
      <c r="A7188" t="s">
        <v>0</v>
      </c>
    </row>
    <row r="7189" spans="1:1" x14ac:dyDescent="0.3">
      <c r="A7189" t="s">
        <v>0</v>
      </c>
    </row>
    <row r="7190" spans="1:1" x14ac:dyDescent="0.3">
      <c r="A7190" t="s">
        <v>0</v>
      </c>
    </row>
    <row r="7191" spans="1:1" x14ac:dyDescent="0.3">
      <c r="A7191" t="s">
        <v>0</v>
      </c>
    </row>
    <row r="7192" spans="1:1" x14ac:dyDescent="0.3">
      <c r="A7192" t="s">
        <v>0</v>
      </c>
    </row>
    <row r="7193" spans="1:1" x14ac:dyDescent="0.3">
      <c r="A7193" t="s">
        <v>0</v>
      </c>
    </row>
    <row r="7194" spans="1:1" x14ac:dyDescent="0.3">
      <c r="A7194" t="s">
        <v>0</v>
      </c>
    </row>
    <row r="7195" spans="1:1" x14ac:dyDescent="0.3">
      <c r="A7195" t="s">
        <v>0</v>
      </c>
    </row>
    <row r="7196" spans="1:1" x14ac:dyDescent="0.3">
      <c r="A7196" t="s">
        <v>0</v>
      </c>
    </row>
    <row r="7197" spans="1:1" x14ac:dyDescent="0.3">
      <c r="A7197" t="s">
        <v>0</v>
      </c>
    </row>
    <row r="7198" spans="1:1" x14ac:dyDescent="0.3">
      <c r="A7198" t="s">
        <v>0</v>
      </c>
    </row>
    <row r="7199" spans="1:1" x14ac:dyDescent="0.3">
      <c r="A7199" t="s">
        <v>0</v>
      </c>
    </row>
    <row r="7200" spans="1:1" x14ac:dyDescent="0.3">
      <c r="A7200" t="s">
        <v>0</v>
      </c>
    </row>
    <row r="7201" spans="1:1" x14ac:dyDescent="0.3">
      <c r="A7201" t="s">
        <v>0</v>
      </c>
    </row>
    <row r="7202" spans="1:1" x14ac:dyDescent="0.3">
      <c r="A7202" t="s">
        <v>0</v>
      </c>
    </row>
    <row r="7203" spans="1:1" x14ac:dyDescent="0.3">
      <c r="A7203" t="s">
        <v>0</v>
      </c>
    </row>
    <row r="7204" spans="1:1" x14ac:dyDescent="0.3">
      <c r="A7204" t="s">
        <v>0</v>
      </c>
    </row>
    <row r="7205" spans="1:1" x14ac:dyDescent="0.3">
      <c r="A7205" t="s">
        <v>0</v>
      </c>
    </row>
    <row r="7206" spans="1:1" x14ac:dyDescent="0.3">
      <c r="A7206" t="s">
        <v>0</v>
      </c>
    </row>
    <row r="7207" spans="1:1" x14ac:dyDescent="0.3">
      <c r="A7207" t="s">
        <v>0</v>
      </c>
    </row>
    <row r="7208" spans="1:1" x14ac:dyDescent="0.3">
      <c r="A7208" t="s">
        <v>0</v>
      </c>
    </row>
    <row r="7209" spans="1:1" x14ac:dyDescent="0.3">
      <c r="A7209" t="s">
        <v>0</v>
      </c>
    </row>
    <row r="7210" spans="1:1" x14ac:dyDescent="0.3">
      <c r="A7210" t="s">
        <v>0</v>
      </c>
    </row>
    <row r="7211" spans="1:1" x14ac:dyDescent="0.3">
      <c r="A7211" t="s">
        <v>0</v>
      </c>
    </row>
    <row r="7212" spans="1:1" x14ac:dyDescent="0.3">
      <c r="A7212" t="s">
        <v>0</v>
      </c>
    </row>
    <row r="7213" spans="1:1" x14ac:dyDescent="0.3">
      <c r="A7213" t="s">
        <v>0</v>
      </c>
    </row>
    <row r="7214" spans="1:1" x14ac:dyDescent="0.3">
      <c r="A7214" t="s">
        <v>0</v>
      </c>
    </row>
    <row r="7215" spans="1:1" x14ac:dyDescent="0.3">
      <c r="A7215" t="s">
        <v>0</v>
      </c>
    </row>
    <row r="7216" spans="1:1" x14ac:dyDescent="0.3">
      <c r="A7216" t="s">
        <v>0</v>
      </c>
    </row>
    <row r="7217" spans="1:1" x14ac:dyDescent="0.3">
      <c r="A7217" t="s">
        <v>0</v>
      </c>
    </row>
    <row r="7218" spans="1:1" x14ac:dyDescent="0.3">
      <c r="A7218" t="s">
        <v>0</v>
      </c>
    </row>
    <row r="7219" spans="1:1" x14ac:dyDescent="0.3">
      <c r="A7219" t="s">
        <v>0</v>
      </c>
    </row>
    <row r="7220" spans="1:1" x14ac:dyDescent="0.3">
      <c r="A7220" t="s">
        <v>0</v>
      </c>
    </row>
    <row r="7221" spans="1:1" x14ac:dyDescent="0.3">
      <c r="A7221" t="s">
        <v>0</v>
      </c>
    </row>
    <row r="7222" spans="1:1" x14ac:dyDescent="0.3">
      <c r="A7222" t="s">
        <v>0</v>
      </c>
    </row>
    <row r="7223" spans="1:1" x14ac:dyDescent="0.3">
      <c r="A7223" t="s">
        <v>0</v>
      </c>
    </row>
    <row r="7224" spans="1:1" x14ac:dyDescent="0.3">
      <c r="A7224" t="s">
        <v>0</v>
      </c>
    </row>
    <row r="7225" spans="1:1" x14ac:dyDescent="0.3">
      <c r="A7225" t="s">
        <v>0</v>
      </c>
    </row>
    <row r="7226" spans="1:1" x14ac:dyDescent="0.3">
      <c r="A7226" t="s">
        <v>0</v>
      </c>
    </row>
    <row r="7227" spans="1:1" x14ac:dyDescent="0.3">
      <c r="A7227" t="s">
        <v>0</v>
      </c>
    </row>
    <row r="7228" spans="1:1" x14ac:dyDescent="0.3">
      <c r="A7228" t="s">
        <v>0</v>
      </c>
    </row>
    <row r="7229" spans="1:1" x14ac:dyDescent="0.3">
      <c r="A7229" t="s">
        <v>0</v>
      </c>
    </row>
    <row r="7230" spans="1:1" x14ac:dyDescent="0.3">
      <c r="A7230" t="s">
        <v>0</v>
      </c>
    </row>
    <row r="7231" spans="1:1" x14ac:dyDescent="0.3">
      <c r="A7231" t="s">
        <v>0</v>
      </c>
    </row>
    <row r="7232" spans="1:1" x14ac:dyDescent="0.3">
      <c r="A7232" t="s">
        <v>0</v>
      </c>
    </row>
    <row r="7233" spans="1:1" x14ac:dyDescent="0.3">
      <c r="A7233" t="s">
        <v>0</v>
      </c>
    </row>
    <row r="7234" spans="1:1" x14ac:dyDescent="0.3">
      <c r="A7234" t="s">
        <v>0</v>
      </c>
    </row>
    <row r="7235" spans="1:1" x14ac:dyDescent="0.3">
      <c r="A7235" t="s">
        <v>0</v>
      </c>
    </row>
    <row r="7236" spans="1:1" x14ac:dyDescent="0.3">
      <c r="A7236" t="s">
        <v>0</v>
      </c>
    </row>
    <row r="7237" spans="1:1" x14ac:dyDescent="0.3">
      <c r="A7237" t="s">
        <v>0</v>
      </c>
    </row>
    <row r="7238" spans="1:1" x14ac:dyDescent="0.3">
      <c r="A7238" t="s">
        <v>0</v>
      </c>
    </row>
    <row r="7239" spans="1:1" x14ac:dyDescent="0.3">
      <c r="A7239" t="s">
        <v>0</v>
      </c>
    </row>
    <row r="7240" spans="1:1" x14ac:dyDescent="0.3">
      <c r="A7240" t="s">
        <v>0</v>
      </c>
    </row>
    <row r="7241" spans="1:1" x14ac:dyDescent="0.3">
      <c r="A7241" t="s">
        <v>0</v>
      </c>
    </row>
    <row r="7242" spans="1:1" x14ac:dyDescent="0.3">
      <c r="A7242" t="s">
        <v>0</v>
      </c>
    </row>
    <row r="7243" spans="1:1" x14ac:dyDescent="0.3">
      <c r="A7243" t="s">
        <v>0</v>
      </c>
    </row>
    <row r="7244" spans="1:1" x14ac:dyDescent="0.3">
      <c r="A7244" t="s">
        <v>0</v>
      </c>
    </row>
    <row r="7245" spans="1:1" x14ac:dyDescent="0.3">
      <c r="A7245" t="s">
        <v>0</v>
      </c>
    </row>
    <row r="7246" spans="1:1" x14ac:dyDescent="0.3">
      <c r="A7246" t="s">
        <v>0</v>
      </c>
    </row>
    <row r="7247" spans="1:1" x14ac:dyDescent="0.3">
      <c r="A7247" t="s">
        <v>0</v>
      </c>
    </row>
    <row r="7248" spans="1:1" x14ac:dyDescent="0.3">
      <c r="A7248" t="s">
        <v>0</v>
      </c>
    </row>
    <row r="7249" spans="1:1" x14ac:dyDescent="0.3">
      <c r="A7249" t="s">
        <v>0</v>
      </c>
    </row>
    <row r="7250" spans="1:1" x14ac:dyDescent="0.3">
      <c r="A7250" t="s">
        <v>0</v>
      </c>
    </row>
    <row r="7251" spans="1:1" x14ac:dyDescent="0.3">
      <c r="A7251" t="s">
        <v>0</v>
      </c>
    </row>
    <row r="7252" spans="1:1" x14ac:dyDescent="0.3">
      <c r="A7252" t="s">
        <v>0</v>
      </c>
    </row>
    <row r="7253" spans="1:1" x14ac:dyDescent="0.3">
      <c r="A7253" t="s">
        <v>0</v>
      </c>
    </row>
    <row r="7254" spans="1:1" x14ac:dyDescent="0.3">
      <c r="A7254" t="s">
        <v>0</v>
      </c>
    </row>
    <row r="7255" spans="1:1" x14ac:dyDescent="0.3">
      <c r="A7255" t="s">
        <v>0</v>
      </c>
    </row>
    <row r="7256" spans="1:1" x14ac:dyDescent="0.3">
      <c r="A7256" t="s">
        <v>0</v>
      </c>
    </row>
    <row r="7257" spans="1:1" x14ac:dyDescent="0.3">
      <c r="A7257" t="s">
        <v>0</v>
      </c>
    </row>
    <row r="7258" spans="1:1" x14ac:dyDescent="0.3">
      <c r="A7258" t="s">
        <v>0</v>
      </c>
    </row>
    <row r="7259" spans="1:1" x14ac:dyDescent="0.3">
      <c r="A7259" t="s">
        <v>0</v>
      </c>
    </row>
    <row r="7260" spans="1:1" x14ac:dyDescent="0.3">
      <c r="A7260" t="s">
        <v>0</v>
      </c>
    </row>
    <row r="7261" spans="1:1" x14ac:dyDescent="0.3">
      <c r="A7261" t="s">
        <v>0</v>
      </c>
    </row>
    <row r="7262" spans="1:1" x14ac:dyDescent="0.3">
      <c r="A7262" t="s">
        <v>0</v>
      </c>
    </row>
    <row r="7263" spans="1:1" x14ac:dyDescent="0.3">
      <c r="A7263" t="s">
        <v>0</v>
      </c>
    </row>
    <row r="7264" spans="1:1" x14ac:dyDescent="0.3">
      <c r="A7264" t="s">
        <v>0</v>
      </c>
    </row>
    <row r="7265" spans="1:1" x14ac:dyDescent="0.3">
      <c r="A7265" t="s">
        <v>0</v>
      </c>
    </row>
    <row r="7266" spans="1:1" x14ac:dyDescent="0.3">
      <c r="A7266" t="s">
        <v>0</v>
      </c>
    </row>
    <row r="7267" spans="1:1" x14ac:dyDescent="0.3">
      <c r="A7267" t="s">
        <v>0</v>
      </c>
    </row>
    <row r="7268" spans="1:1" x14ac:dyDescent="0.3">
      <c r="A7268" t="s">
        <v>0</v>
      </c>
    </row>
    <row r="7269" spans="1:1" x14ac:dyDescent="0.3">
      <c r="A7269" t="s">
        <v>0</v>
      </c>
    </row>
    <row r="7270" spans="1:1" x14ac:dyDescent="0.3">
      <c r="A7270" t="s">
        <v>0</v>
      </c>
    </row>
    <row r="7271" spans="1:1" x14ac:dyDescent="0.3">
      <c r="A7271" t="s">
        <v>0</v>
      </c>
    </row>
    <row r="7272" spans="1:1" x14ac:dyDescent="0.3">
      <c r="A7272" t="s">
        <v>0</v>
      </c>
    </row>
    <row r="7273" spans="1:1" x14ac:dyDescent="0.3">
      <c r="A7273" t="s">
        <v>0</v>
      </c>
    </row>
    <row r="7274" spans="1:1" x14ac:dyDescent="0.3">
      <c r="A7274" t="s">
        <v>0</v>
      </c>
    </row>
    <row r="7275" spans="1:1" x14ac:dyDescent="0.3">
      <c r="A7275" t="s">
        <v>0</v>
      </c>
    </row>
    <row r="7276" spans="1:1" x14ac:dyDescent="0.3">
      <c r="A7276" t="s">
        <v>0</v>
      </c>
    </row>
    <row r="7277" spans="1:1" x14ac:dyDescent="0.3">
      <c r="A7277" t="s">
        <v>0</v>
      </c>
    </row>
    <row r="7278" spans="1:1" x14ac:dyDescent="0.3">
      <c r="A7278" t="s">
        <v>0</v>
      </c>
    </row>
    <row r="7279" spans="1:1" x14ac:dyDescent="0.3">
      <c r="A7279" t="s">
        <v>0</v>
      </c>
    </row>
    <row r="7280" spans="1:1" x14ac:dyDescent="0.3">
      <c r="A7280" t="s">
        <v>0</v>
      </c>
    </row>
    <row r="7281" spans="1:1" x14ac:dyDescent="0.3">
      <c r="A7281" t="s">
        <v>0</v>
      </c>
    </row>
    <row r="7282" spans="1:1" x14ac:dyDescent="0.3">
      <c r="A7282" t="s">
        <v>0</v>
      </c>
    </row>
    <row r="7283" spans="1:1" x14ac:dyDescent="0.3">
      <c r="A7283" t="s">
        <v>0</v>
      </c>
    </row>
    <row r="7284" spans="1:1" x14ac:dyDescent="0.3">
      <c r="A7284" t="s">
        <v>0</v>
      </c>
    </row>
    <row r="7285" spans="1:1" x14ac:dyDescent="0.3">
      <c r="A7285" t="s">
        <v>0</v>
      </c>
    </row>
    <row r="7286" spans="1:1" x14ac:dyDescent="0.3">
      <c r="A7286" t="s">
        <v>0</v>
      </c>
    </row>
    <row r="7287" spans="1:1" x14ac:dyDescent="0.3">
      <c r="A7287" t="s">
        <v>0</v>
      </c>
    </row>
    <row r="7288" spans="1:1" x14ac:dyDescent="0.3">
      <c r="A7288" t="s">
        <v>0</v>
      </c>
    </row>
    <row r="7289" spans="1:1" x14ac:dyDescent="0.3">
      <c r="A7289" t="s">
        <v>0</v>
      </c>
    </row>
    <row r="7290" spans="1:1" x14ac:dyDescent="0.3">
      <c r="A7290" t="s">
        <v>0</v>
      </c>
    </row>
    <row r="7291" spans="1:1" x14ac:dyDescent="0.3">
      <c r="A7291" t="s">
        <v>0</v>
      </c>
    </row>
    <row r="7292" spans="1:1" x14ac:dyDescent="0.3">
      <c r="A7292" t="s">
        <v>0</v>
      </c>
    </row>
    <row r="7293" spans="1:1" x14ac:dyDescent="0.3">
      <c r="A7293" t="s">
        <v>0</v>
      </c>
    </row>
    <row r="7294" spans="1:1" x14ac:dyDescent="0.3">
      <c r="A7294" t="s">
        <v>0</v>
      </c>
    </row>
    <row r="7295" spans="1:1" x14ac:dyDescent="0.3">
      <c r="A7295" t="s">
        <v>0</v>
      </c>
    </row>
    <row r="7296" spans="1:1" x14ac:dyDescent="0.3">
      <c r="A7296" t="s">
        <v>0</v>
      </c>
    </row>
    <row r="7297" spans="1:1" x14ac:dyDescent="0.3">
      <c r="A7297" t="s">
        <v>0</v>
      </c>
    </row>
    <row r="7298" spans="1:1" x14ac:dyDescent="0.3">
      <c r="A7298" t="s">
        <v>0</v>
      </c>
    </row>
    <row r="7299" spans="1:1" x14ac:dyDescent="0.3">
      <c r="A7299" t="s">
        <v>0</v>
      </c>
    </row>
    <row r="7300" spans="1:1" x14ac:dyDescent="0.3">
      <c r="A7300" t="s">
        <v>0</v>
      </c>
    </row>
    <row r="7301" spans="1:1" x14ac:dyDescent="0.3">
      <c r="A7301" t="s">
        <v>0</v>
      </c>
    </row>
    <row r="7302" spans="1:1" x14ac:dyDescent="0.3">
      <c r="A7302" t="s">
        <v>0</v>
      </c>
    </row>
    <row r="7303" spans="1:1" x14ac:dyDescent="0.3">
      <c r="A7303" t="s">
        <v>0</v>
      </c>
    </row>
    <row r="7304" spans="1:1" x14ac:dyDescent="0.3">
      <c r="A7304" t="s">
        <v>0</v>
      </c>
    </row>
    <row r="7305" spans="1:1" x14ac:dyDescent="0.3">
      <c r="A7305" t="s">
        <v>0</v>
      </c>
    </row>
    <row r="7306" spans="1:1" x14ac:dyDescent="0.3">
      <c r="A7306" t="s">
        <v>0</v>
      </c>
    </row>
    <row r="7307" spans="1:1" x14ac:dyDescent="0.3">
      <c r="A7307" t="s">
        <v>0</v>
      </c>
    </row>
    <row r="7308" spans="1:1" x14ac:dyDescent="0.3">
      <c r="A7308" t="s">
        <v>0</v>
      </c>
    </row>
    <row r="7309" spans="1:1" x14ac:dyDescent="0.3">
      <c r="A7309" t="s">
        <v>0</v>
      </c>
    </row>
    <row r="7310" spans="1:1" x14ac:dyDescent="0.3">
      <c r="A7310" t="s">
        <v>0</v>
      </c>
    </row>
    <row r="7311" spans="1:1" x14ac:dyDescent="0.3">
      <c r="A7311" t="s">
        <v>0</v>
      </c>
    </row>
    <row r="7312" spans="1:1" x14ac:dyDescent="0.3">
      <c r="A7312" t="s">
        <v>0</v>
      </c>
    </row>
    <row r="7313" spans="1:1" x14ac:dyDescent="0.3">
      <c r="A7313" t="s">
        <v>0</v>
      </c>
    </row>
    <row r="7314" spans="1:1" x14ac:dyDescent="0.3">
      <c r="A7314" t="s">
        <v>0</v>
      </c>
    </row>
    <row r="7315" spans="1:1" x14ac:dyDescent="0.3">
      <c r="A7315" t="s">
        <v>0</v>
      </c>
    </row>
    <row r="7316" spans="1:1" x14ac:dyDescent="0.3">
      <c r="A7316" t="s">
        <v>0</v>
      </c>
    </row>
    <row r="7317" spans="1:1" x14ac:dyDescent="0.3">
      <c r="A7317" t="s">
        <v>0</v>
      </c>
    </row>
    <row r="7318" spans="1:1" x14ac:dyDescent="0.3">
      <c r="A7318" t="s">
        <v>0</v>
      </c>
    </row>
    <row r="7319" spans="1:1" x14ac:dyDescent="0.3">
      <c r="A7319" t="s">
        <v>0</v>
      </c>
    </row>
    <row r="7320" spans="1:1" x14ac:dyDescent="0.3">
      <c r="A7320" t="s">
        <v>0</v>
      </c>
    </row>
    <row r="7321" spans="1:1" x14ac:dyDescent="0.3">
      <c r="A7321" t="s">
        <v>0</v>
      </c>
    </row>
    <row r="7322" spans="1:1" x14ac:dyDescent="0.3">
      <c r="A7322" t="s">
        <v>0</v>
      </c>
    </row>
    <row r="7323" spans="1:1" x14ac:dyDescent="0.3">
      <c r="A7323" t="s">
        <v>0</v>
      </c>
    </row>
    <row r="7324" spans="1:1" x14ac:dyDescent="0.3">
      <c r="A7324" t="s">
        <v>0</v>
      </c>
    </row>
    <row r="7325" spans="1:1" x14ac:dyDescent="0.3">
      <c r="A7325" t="s">
        <v>0</v>
      </c>
    </row>
    <row r="7326" spans="1:1" x14ac:dyDescent="0.3">
      <c r="A7326" t="s">
        <v>0</v>
      </c>
    </row>
    <row r="7327" spans="1:1" x14ac:dyDescent="0.3">
      <c r="A7327" t="s">
        <v>0</v>
      </c>
    </row>
    <row r="7328" spans="1:1" x14ac:dyDescent="0.3">
      <c r="A7328" t="s">
        <v>0</v>
      </c>
    </row>
    <row r="7329" spans="1:1" x14ac:dyDescent="0.3">
      <c r="A7329" t="s">
        <v>0</v>
      </c>
    </row>
    <row r="7330" spans="1:1" x14ac:dyDescent="0.3">
      <c r="A7330" t="s">
        <v>0</v>
      </c>
    </row>
    <row r="7331" spans="1:1" x14ac:dyDescent="0.3">
      <c r="A7331" t="s">
        <v>0</v>
      </c>
    </row>
    <row r="7332" spans="1:1" x14ac:dyDescent="0.3">
      <c r="A7332" t="s">
        <v>0</v>
      </c>
    </row>
    <row r="7333" spans="1:1" x14ac:dyDescent="0.3">
      <c r="A7333" t="s">
        <v>0</v>
      </c>
    </row>
    <row r="7334" spans="1:1" x14ac:dyDescent="0.3">
      <c r="A7334" t="s">
        <v>0</v>
      </c>
    </row>
    <row r="7335" spans="1:1" x14ac:dyDescent="0.3">
      <c r="A7335" t="s">
        <v>0</v>
      </c>
    </row>
    <row r="7336" spans="1:1" x14ac:dyDescent="0.3">
      <c r="A7336" t="s">
        <v>0</v>
      </c>
    </row>
    <row r="7337" spans="1:1" x14ac:dyDescent="0.3">
      <c r="A7337" t="s">
        <v>0</v>
      </c>
    </row>
    <row r="7338" spans="1:1" x14ac:dyDescent="0.3">
      <c r="A7338" t="s">
        <v>0</v>
      </c>
    </row>
    <row r="7339" spans="1:1" x14ac:dyDescent="0.3">
      <c r="A7339" t="s">
        <v>0</v>
      </c>
    </row>
    <row r="7340" spans="1:1" x14ac:dyDescent="0.3">
      <c r="A7340" t="s">
        <v>0</v>
      </c>
    </row>
    <row r="7341" spans="1:1" x14ac:dyDescent="0.3">
      <c r="A7341" t="s">
        <v>0</v>
      </c>
    </row>
    <row r="7342" spans="1:1" x14ac:dyDescent="0.3">
      <c r="A7342" t="s">
        <v>0</v>
      </c>
    </row>
    <row r="7343" spans="1:1" x14ac:dyDescent="0.3">
      <c r="A7343" t="s">
        <v>0</v>
      </c>
    </row>
    <row r="7344" spans="1:1" x14ac:dyDescent="0.3">
      <c r="A7344" t="s">
        <v>0</v>
      </c>
    </row>
    <row r="7345" spans="1:1" x14ac:dyDescent="0.3">
      <c r="A7345" t="s">
        <v>0</v>
      </c>
    </row>
    <row r="7346" spans="1:1" x14ac:dyDescent="0.3">
      <c r="A7346" t="s">
        <v>0</v>
      </c>
    </row>
    <row r="7347" spans="1:1" x14ac:dyDescent="0.3">
      <c r="A7347" t="s">
        <v>0</v>
      </c>
    </row>
    <row r="7348" spans="1:1" x14ac:dyDescent="0.3">
      <c r="A7348" t="s">
        <v>0</v>
      </c>
    </row>
    <row r="7349" spans="1:1" x14ac:dyDescent="0.3">
      <c r="A7349" t="s">
        <v>0</v>
      </c>
    </row>
    <row r="7350" spans="1:1" x14ac:dyDescent="0.3">
      <c r="A7350" t="s">
        <v>0</v>
      </c>
    </row>
    <row r="7351" spans="1:1" x14ac:dyDescent="0.3">
      <c r="A7351" t="s">
        <v>0</v>
      </c>
    </row>
    <row r="7352" spans="1:1" x14ac:dyDescent="0.3">
      <c r="A7352" t="s">
        <v>0</v>
      </c>
    </row>
    <row r="7353" spans="1:1" x14ac:dyDescent="0.3">
      <c r="A7353" t="s">
        <v>0</v>
      </c>
    </row>
    <row r="7354" spans="1:1" x14ac:dyDescent="0.3">
      <c r="A7354" t="s">
        <v>0</v>
      </c>
    </row>
    <row r="7355" spans="1:1" x14ac:dyDescent="0.3">
      <c r="A7355" t="s">
        <v>0</v>
      </c>
    </row>
    <row r="7356" spans="1:1" x14ac:dyDescent="0.3">
      <c r="A7356" t="s">
        <v>0</v>
      </c>
    </row>
    <row r="7357" spans="1:1" x14ac:dyDescent="0.3">
      <c r="A7357" t="s">
        <v>0</v>
      </c>
    </row>
    <row r="7358" spans="1:1" x14ac:dyDescent="0.3">
      <c r="A7358" t="s">
        <v>0</v>
      </c>
    </row>
    <row r="7359" spans="1:1" x14ac:dyDescent="0.3">
      <c r="A7359" t="s">
        <v>0</v>
      </c>
    </row>
    <row r="7360" spans="1:1" x14ac:dyDescent="0.3">
      <c r="A7360" t="s">
        <v>0</v>
      </c>
    </row>
    <row r="7361" spans="1:1" x14ac:dyDescent="0.3">
      <c r="A7361" t="s">
        <v>0</v>
      </c>
    </row>
    <row r="7362" spans="1:1" x14ac:dyDescent="0.3">
      <c r="A7362" t="s">
        <v>0</v>
      </c>
    </row>
    <row r="7363" spans="1:1" x14ac:dyDescent="0.3">
      <c r="A7363" t="s">
        <v>0</v>
      </c>
    </row>
    <row r="7364" spans="1:1" x14ac:dyDescent="0.3">
      <c r="A7364" t="s">
        <v>0</v>
      </c>
    </row>
    <row r="7365" spans="1:1" x14ac:dyDescent="0.3">
      <c r="A7365" t="s">
        <v>0</v>
      </c>
    </row>
    <row r="7366" spans="1:1" x14ac:dyDescent="0.3">
      <c r="A7366" t="s">
        <v>0</v>
      </c>
    </row>
    <row r="7367" spans="1:1" x14ac:dyDescent="0.3">
      <c r="A7367" t="s">
        <v>0</v>
      </c>
    </row>
    <row r="7368" spans="1:1" x14ac:dyDescent="0.3">
      <c r="A7368" t="s">
        <v>0</v>
      </c>
    </row>
    <row r="7369" spans="1:1" x14ac:dyDescent="0.3">
      <c r="A7369" t="s">
        <v>0</v>
      </c>
    </row>
    <row r="7370" spans="1:1" x14ac:dyDescent="0.3">
      <c r="A7370" t="s">
        <v>0</v>
      </c>
    </row>
    <row r="7371" spans="1:1" x14ac:dyDescent="0.3">
      <c r="A7371" t="s">
        <v>0</v>
      </c>
    </row>
    <row r="7372" spans="1:1" x14ac:dyDescent="0.3">
      <c r="A7372" t="s">
        <v>0</v>
      </c>
    </row>
    <row r="7373" spans="1:1" x14ac:dyDescent="0.3">
      <c r="A7373" t="s">
        <v>0</v>
      </c>
    </row>
    <row r="7374" spans="1:1" x14ac:dyDescent="0.3">
      <c r="A7374" t="s">
        <v>0</v>
      </c>
    </row>
    <row r="7375" spans="1:1" x14ac:dyDescent="0.3">
      <c r="A7375" t="s">
        <v>0</v>
      </c>
    </row>
    <row r="7376" spans="1:1" x14ac:dyDescent="0.3">
      <c r="A7376" t="s">
        <v>0</v>
      </c>
    </row>
    <row r="7377" spans="1:1" x14ac:dyDescent="0.3">
      <c r="A7377" t="s">
        <v>0</v>
      </c>
    </row>
    <row r="7378" spans="1:1" x14ac:dyDescent="0.3">
      <c r="A7378" t="s">
        <v>0</v>
      </c>
    </row>
    <row r="7379" spans="1:1" x14ac:dyDescent="0.3">
      <c r="A7379" t="s">
        <v>0</v>
      </c>
    </row>
    <row r="7380" spans="1:1" x14ac:dyDescent="0.3">
      <c r="A7380" t="s">
        <v>0</v>
      </c>
    </row>
    <row r="7381" spans="1:1" x14ac:dyDescent="0.3">
      <c r="A7381" t="s">
        <v>0</v>
      </c>
    </row>
    <row r="7382" spans="1:1" x14ac:dyDescent="0.3">
      <c r="A7382" t="s">
        <v>0</v>
      </c>
    </row>
    <row r="7383" spans="1:1" x14ac:dyDescent="0.3">
      <c r="A7383" t="s">
        <v>0</v>
      </c>
    </row>
    <row r="7384" spans="1:1" x14ac:dyDescent="0.3">
      <c r="A7384" t="s">
        <v>0</v>
      </c>
    </row>
    <row r="7385" spans="1:1" x14ac:dyDescent="0.3">
      <c r="A7385" t="s">
        <v>0</v>
      </c>
    </row>
    <row r="7386" spans="1:1" x14ac:dyDescent="0.3">
      <c r="A7386" t="s">
        <v>0</v>
      </c>
    </row>
    <row r="7387" spans="1:1" x14ac:dyDescent="0.3">
      <c r="A7387" t="s">
        <v>0</v>
      </c>
    </row>
    <row r="7388" spans="1:1" x14ac:dyDescent="0.3">
      <c r="A7388" t="s">
        <v>0</v>
      </c>
    </row>
    <row r="7389" spans="1:1" x14ac:dyDescent="0.3">
      <c r="A7389" t="s">
        <v>0</v>
      </c>
    </row>
    <row r="7390" spans="1:1" x14ac:dyDescent="0.3">
      <c r="A7390" t="s">
        <v>0</v>
      </c>
    </row>
    <row r="7391" spans="1:1" x14ac:dyDescent="0.3">
      <c r="A7391" t="s">
        <v>0</v>
      </c>
    </row>
    <row r="7392" spans="1:1" x14ac:dyDescent="0.3">
      <c r="A7392" t="s">
        <v>0</v>
      </c>
    </row>
    <row r="7393" spans="1:1" x14ac:dyDescent="0.3">
      <c r="A7393" t="s">
        <v>0</v>
      </c>
    </row>
    <row r="7394" spans="1:1" x14ac:dyDescent="0.3">
      <c r="A7394" t="s">
        <v>0</v>
      </c>
    </row>
    <row r="7395" spans="1:1" x14ac:dyDescent="0.3">
      <c r="A7395" t="s">
        <v>0</v>
      </c>
    </row>
    <row r="7396" spans="1:1" x14ac:dyDescent="0.3">
      <c r="A7396" t="s">
        <v>0</v>
      </c>
    </row>
    <row r="7397" spans="1:1" x14ac:dyDescent="0.3">
      <c r="A7397" t="s">
        <v>0</v>
      </c>
    </row>
    <row r="7398" spans="1:1" x14ac:dyDescent="0.3">
      <c r="A7398" t="s">
        <v>0</v>
      </c>
    </row>
    <row r="7399" spans="1:1" x14ac:dyDescent="0.3">
      <c r="A7399" t="s">
        <v>0</v>
      </c>
    </row>
    <row r="7400" spans="1:1" x14ac:dyDescent="0.3">
      <c r="A7400" t="s">
        <v>0</v>
      </c>
    </row>
    <row r="7401" spans="1:1" x14ac:dyDescent="0.3">
      <c r="A7401" t="s">
        <v>0</v>
      </c>
    </row>
    <row r="7402" spans="1:1" x14ac:dyDescent="0.3">
      <c r="A7402" t="s">
        <v>0</v>
      </c>
    </row>
    <row r="7403" spans="1:1" x14ac:dyDescent="0.3">
      <c r="A7403" t="s">
        <v>0</v>
      </c>
    </row>
    <row r="7404" spans="1:1" x14ac:dyDescent="0.3">
      <c r="A7404" t="s">
        <v>0</v>
      </c>
    </row>
    <row r="7405" spans="1:1" x14ac:dyDescent="0.3">
      <c r="A7405" t="s">
        <v>0</v>
      </c>
    </row>
    <row r="7406" spans="1:1" x14ac:dyDescent="0.3">
      <c r="A7406" t="s">
        <v>0</v>
      </c>
    </row>
    <row r="7407" spans="1:1" x14ac:dyDescent="0.3">
      <c r="A7407" t="s">
        <v>0</v>
      </c>
    </row>
    <row r="7408" spans="1:1" x14ac:dyDescent="0.3">
      <c r="A7408" t="s">
        <v>0</v>
      </c>
    </row>
    <row r="7409" spans="1:1" x14ac:dyDescent="0.3">
      <c r="A7409" t="s">
        <v>0</v>
      </c>
    </row>
    <row r="7410" spans="1:1" x14ac:dyDescent="0.3">
      <c r="A7410" t="s">
        <v>0</v>
      </c>
    </row>
    <row r="7411" spans="1:1" x14ac:dyDescent="0.3">
      <c r="A7411" t="s">
        <v>0</v>
      </c>
    </row>
    <row r="7412" spans="1:1" x14ac:dyDescent="0.3">
      <c r="A7412" t="s">
        <v>0</v>
      </c>
    </row>
    <row r="7413" spans="1:1" x14ac:dyDescent="0.3">
      <c r="A7413" t="s">
        <v>0</v>
      </c>
    </row>
    <row r="7414" spans="1:1" x14ac:dyDescent="0.3">
      <c r="A7414" t="s">
        <v>0</v>
      </c>
    </row>
    <row r="7415" spans="1:1" x14ac:dyDescent="0.3">
      <c r="A7415" t="s">
        <v>0</v>
      </c>
    </row>
    <row r="7416" spans="1:1" x14ac:dyDescent="0.3">
      <c r="A7416" t="s">
        <v>0</v>
      </c>
    </row>
    <row r="7417" spans="1:1" x14ac:dyDescent="0.3">
      <c r="A7417" t="s">
        <v>0</v>
      </c>
    </row>
    <row r="7418" spans="1:1" x14ac:dyDescent="0.3">
      <c r="A7418" t="s">
        <v>0</v>
      </c>
    </row>
    <row r="7419" spans="1:1" x14ac:dyDescent="0.3">
      <c r="A7419" t="s">
        <v>0</v>
      </c>
    </row>
    <row r="7420" spans="1:1" x14ac:dyDescent="0.3">
      <c r="A7420" t="s">
        <v>0</v>
      </c>
    </row>
    <row r="7421" spans="1:1" x14ac:dyDescent="0.3">
      <c r="A7421" t="s">
        <v>0</v>
      </c>
    </row>
    <row r="7422" spans="1:1" x14ac:dyDescent="0.3">
      <c r="A7422" t="s">
        <v>0</v>
      </c>
    </row>
    <row r="7423" spans="1:1" x14ac:dyDescent="0.3">
      <c r="A7423" t="s">
        <v>0</v>
      </c>
    </row>
    <row r="7424" spans="1:1" x14ac:dyDescent="0.3">
      <c r="A7424" t="s">
        <v>0</v>
      </c>
    </row>
    <row r="7425" spans="1:1" x14ac:dyDescent="0.3">
      <c r="A7425" t="s">
        <v>0</v>
      </c>
    </row>
    <row r="7426" spans="1:1" x14ac:dyDescent="0.3">
      <c r="A7426" t="s">
        <v>0</v>
      </c>
    </row>
    <row r="7427" spans="1:1" x14ac:dyDescent="0.3">
      <c r="A7427" t="s">
        <v>0</v>
      </c>
    </row>
    <row r="7428" spans="1:1" x14ac:dyDescent="0.3">
      <c r="A7428" t="s">
        <v>0</v>
      </c>
    </row>
    <row r="7429" spans="1:1" x14ac:dyDescent="0.3">
      <c r="A7429" t="s">
        <v>0</v>
      </c>
    </row>
    <row r="7430" spans="1:1" x14ac:dyDescent="0.3">
      <c r="A7430" t="s">
        <v>0</v>
      </c>
    </row>
    <row r="7431" spans="1:1" x14ac:dyDescent="0.3">
      <c r="A7431" t="s">
        <v>0</v>
      </c>
    </row>
    <row r="7432" spans="1:1" x14ac:dyDescent="0.3">
      <c r="A7432" t="s">
        <v>0</v>
      </c>
    </row>
    <row r="7433" spans="1:1" x14ac:dyDescent="0.3">
      <c r="A7433" t="s">
        <v>0</v>
      </c>
    </row>
    <row r="7434" spans="1:1" x14ac:dyDescent="0.3">
      <c r="A7434" t="s">
        <v>0</v>
      </c>
    </row>
    <row r="7435" spans="1:1" x14ac:dyDescent="0.3">
      <c r="A7435" t="s">
        <v>0</v>
      </c>
    </row>
    <row r="7436" spans="1:1" x14ac:dyDescent="0.3">
      <c r="A7436" t="s">
        <v>0</v>
      </c>
    </row>
    <row r="7437" spans="1:1" x14ac:dyDescent="0.3">
      <c r="A7437" t="s">
        <v>0</v>
      </c>
    </row>
    <row r="7438" spans="1:1" x14ac:dyDescent="0.3">
      <c r="A7438" t="s">
        <v>0</v>
      </c>
    </row>
    <row r="7439" spans="1:1" x14ac:dyDescent="0.3">
      <c r="A7439" t="s">
        <v>0</v>
      </c>
    </row>
    <row r="7440" spans="1:1" x14ac:dyDescent="0.3">
      <c r="A7440" t="s">
        <v>0</v>
      </c>
    </row>
    <row r="7441" spans="1:1" x14ac:dyDescent="0.3">
      <c r="A7441" t="s">
        <v>0</v>
      </c>
    </row>
    <row r="7442" spans="1:1" x14ac:dyDescent="0.3">
      <c r="A7442" t="s">
        <v>0</v>
      </c>
    </row>
    <row r="7443" spans="1:1" x14ac:dyDescent="0.3">
      <c r="A7443" t="s">
        <v>0</v>
      </c>
    </row>
    <row r="7444" spans="1:1" x14ac:dyDescent="0.3">
      <c r="A7444" t="s">
        <v>0</v>
      </c>
    </row>
    <row r="7445" spans="1:1" x14ac:dyDescent="0.3">
      <c r="A7445" t="s">
        <v>0</v>
      </c>
    </row>
    <row r="7446" spans="1:1" x14ac:dyDescent="0.3">
      <c r="A7446" t="s">
        <v>0</v>
      </c>
    </row>
    <row r="7447" spans="1:1" x14ac:dyDescent="0.3">
      <c r="A7447" t="s">
        <v>0</v>
      </c>
    </row>
    <row r="7448" spans="1:1" x14ac:dyDescent="0.3">
      <c r="A7448" t="s">
        <v>0</v>
      </c>
    </row>
    <row r="7449" spans="1:1" x14ac:dyDescent="0.3">
      <c r="A7449" t="s">
        <v>0</v>
      </c>
    </row>
    <row r="7450" spans="1:1" x14ac:dyDescent="0.3">
      <c r="A7450" t="s">
        <v>0</v>
      </c>
    </row>
    <row r="7451" spans="1:1" x14ac:dyDescent="0.3">
      <c r="A7451" t="s">
        <v>0</v>
      </c>
    </row>
    <row r="7452" spans="1:1" x14ac:dyDescent="0.3">
      <c r="A7452" t="s">
        <v>0</v>
      </c>
    </row>
    <row r="7453" spans="1:1" x14ac:dyDescent="0.3">
      <c r="A7453" t="s">
        <v>0</v>
      </c>
    </row>
    <row r="7454" spans="1:1" x14ac:dyDescent="0.3">
      <c r="A7454" t="s">
        <v>0</v>
      </c>
    </row>
    <row r="7455" spans="1:1" x14ac:dyDescent="0.3">
      <c r="A7455" t="s">
        <v>0</v>
      </c>
    </row>
    <row r="7456" spans="1:1" x14ac:dyDescent="0.3">
      <c r="A7456" t="s">
        <v>0</v>
      </c>
    </row>
    <row r="7457" spans="1:1" x14ac:dyDescent="0.3">
      <c r="A7457" t="s">
        <v>0</v>
      </c>
    </row>
    <row r="7458" spans="1:1" x14ac:dyDescent="0.3">
      <c r="A7458" t="s">
        <v>0</v>
      </c>
    </row>
    <row r="7459" spans="1:1" x14ac:dyDescent="0.3">
      <c r="A7459" t="s">
        <v>0</v>
      </c>
    </row>
    <row r="7460" spans="1:1" x14ac:dyDescent="0.3">
      <c r="A7460" t="s">
        <v>0</v>
      </c>
    </row>
    <row r="7461" spans="1:1" x14ac:dyDescent="0.3">
      <c r="A7461" t="s">
        <v>0</v>
      </c>
    </row>
    <row r="7462" spans="1:1" x14ac:dyDescent="0.3">
      <c r="A7462" t="s">
        <v>0</v>
      </c>
    </row>
    <row r="7463" spans="1:1" x14ac:dyDescent="0.3">
      <c r="A7463" t="s">
        <v>0</v>
      </c>
    </row>
    <row r="7464" spans="1:1" x14ac:dyDescent="0.3">
      <c r="A7464" t="s">
        <v>0</v>
      </c>
    </row>
    <row r="7465" spans="1:1" x14ac:dyDescent="0.3">
      <c r="A7465" t="s">
        <v>0</v>
      </c>
    </row>
    <row r="7466" spans="1:1" x14ac:dyDescent="0.3">
      <c r="A7466" t="s">
        <v>0</v>
      </c>
    </row>
    <row r="7467" spans="1:1" x14ac:dyDescent="0.3">
      <c r="A7467" t="s">
        <v>0</v>
      </c>
    </row>
    <row r="7468" spans="1:1" x14ac:dyDescent="0.3">
      <c r="A7468" t="s">
        <v>0</v>
      </c>
    </row>
    <row r="7469" spans="1:1" x14ac:dyDescent="0.3">
      <c r="A7469" t="s">
        <v>0</v>
      </c>
    </row>
    <row r="7470" spans="1:1" x14ac:dyDescent="0.3">
      <c r="A7470" t="s">
        <v>0</v>
      </c>
    </row>
    <row r="7471" spans="1:1" x14ac:dyDescent="0.3">
      <c r="A7471" t="s">
        <v>0</v>
      </c>
    </row>
    <row r="7472" spans="1:1" x14ac:dyDescent="0.3">
      <c r="A7472" t="s">
        <v>0</v>
      </c>
    </row>
    <row r="7473" spans="1:1" x14ac:dyDescent="0.3">
      <c r="A7473" t="s">
        <v>0</v>
      </c>
    </row>
    <row r="7474" spans="1:1" x14ac:dyDescent="0.3">
      <c r="A7474" t="s">
        <v>0</v>
      </c>
    </row>
    <row r="7475" spans="1:1" x14ac:dyDescent="0.3">
      <c r="A7475" t="s">
        <v>0</v>
      </c>
    </row>
    <row r="7476" spans="1:1" x14ac:dyDescent="0.3">
      <c r="A7476" t="s">
        <v>0</v>
      </c>
    </row>
    <row r="7477" spans="1:1" x14ac:dyDescent="0.3">
      <c r="A7477" t="s">
        <v>0</v>
      </c>
    </row>
    <row r="7478" spans="1:1" x14ac:dyDescent="0.3">
      <c r="A7478" t="s">
        <v>0</v>
      </c>
    </row>
    <row r="7479" spans="1:1" x14ac:dyDescent="0.3">
      <c r="A7479" t="s">
        <v>0</v>
      </c>
    </row>
    <row r="7480" spans="1:1" x14ac:dyDescent="0.3">
      <c r="A7480" t="s">
        <v>0</v>
      </c>
    </row>
    <row r="7481" spans="1:1" x14ac:dyDescent="0.3">
      <c r="A7481" t="s">
        <v>0</v>
      </c>
    </row>
    <row r="7482" spans="1:1" x14ac:dyDescent="0.3">
      <c r="A7482" t="s">
        <v>0</v>
      </c>
    </row>
    <row r="7483" spans="1:1" x14ac:dyDescent="0.3">
      <c r="A7483" t="s">
        <v>0</v>
      </c>
    </row>
    <row r="7484" spans="1:1" x14ac:dyDescent="0.3">
      <c r="A7484" t="s">
        <v>0</v>
      </c>
    </row>
    <row r="7485" spans="1:1" x14ac:dyDescent="0.3">
      <c r="A7485" t="s">
        <v>0</v>
      </c>
    </row>
    <row r="7486" spans="1:1" x14ac:dyDescent="0.3">
      <c r="A7486" t="s">
        <v>0</v>
      </c>
    </row>
    <row r="7487" spans="1:1" x14ac:dyDescent="0.3">
      <c r="A7487" t="s">
        <v>0</v>
      </c>
    </row>
    <row r="7488" spans="1:1" x14ac:dyDescent="0.3">
      <c r="A7488" t="s">
        <v>0</v>
      </c>
    </row>
    <row r="7489" spans="1:1" x14ac:dyDescent="0.3">
      <c r="A7489" t="s">
        <v>0</v>
      </c>
    </row>
    <row r="7490" spans="1:1" x14ac:dyDescent="0.3">
      <c r="A7490" t="s">
        <v>0</v>
      </c>
    </row>
    <row r="7491" spans="1:1" x14ac:dyDescent="0.3">
      <c r="A7491" t="s">
        <v>0</v>
      </c>
    </row>
    <row r="7492" spans="1:1" x14ac:dyDescent="0.3">
      <c r="A7492" t="s">
        <v>0</v>
      </c>
    </row>
    <row r="7493" spans="1:1" x14ac:dyDescent="0.3">
      <c r="A7493" t="s">
        <v>0</v>
      </c>
    </row>
    <row r="7494" spans="1:1" x14ac:dyDescent="0.3">
      <c r="A7494" t="s">
        <v>0</v>
      </c>
    </row>
    <row r="7495" spans="1:1" x14ac:dyDescent="0.3">
      <c r="A7495" t="s">
        <v>0</v>
      </c>
    </row>
    <row r="7496" spans="1:1" x14ac:dyDescent="0.3">
      <c r="A7496" t="s">
        <v>0</v>
      </c>
    </row>
    <row r="7497" spans="1:1" x14ac:dyDescent="0.3">
      <c r="A7497" t="s">
        <v>0</v>
      </c>
    </row>
    <row r="7498" spans="1:1" x14ac:dyDescent="0.3">
      <c r="A7498" t="s">
        <v>0</v>
      </c>
    </row>
    <row r="7499" spans="1:1" x14ac:dyDescent="0.3">
      <c r="A7499" t="s">
        <v>0</v>
      </c>
    </row>
    <row r="7500" spans="1:1" x14ac:dyDescent="0.3">
      <c r="A7500" t="s">
        <v>0</v>
      </c>
    </row>
    <row r="7501" spans="1:1" x14ac:dyDescent="0.3">
      <c r="A7501" t="s">
        <v>0</v>
      </c>
    </row>
    <row r="7502" spans="1:1" x14ac:dyDescent="0.3">
      <c r="A7502" t="s">
        <v>0</v>
      </c>
    </row>
    <row r="7503" spans="1:1" x14ac:dyDescent="0.3">
      <c r="A7503" t="s">
        <v>0</v>
      </c>
    </row>
    <row r="7504" spans="1:1" x14ac:dyDescent="0.3">
      <c r="A7504" t="s">
        <v>0</v>
      </c>
    </row>
    <row r="7505" spans="1:1" x14ac:dyDescent="0.3">
      <c r="A7505" t="s">
        <v>0</v>
      </c>
    </row>
    <row r="7506" spans="1:1" x14ac:dyDescent="0.3">
      <c r="A7506" t="s">
        <v>0</v>
      </c>
    </row>
    <row r="7507" spans="1:1" x14ac:dyDescent="0.3">
      <c r="A7507" t="s">
        <v>0</v>
      </c>
    </row>
    <row r="7508" spans="1:1" x14ac:dyDescent="0.3">
      <c r="A7508" t="s">
        <v>0</v>
      </c>
    </row>
    <row r="7509" spans="1:1" x14ac:dyDescent="0.3">
      <c r="A7509" t="s">
        <v>0</v>
      </c>
    </row>
    <row r="7510" spans="1:1" x14ac:dyDescent="0.3">
      <c r="A7510" t="s">
        <v>0</v>
      </c>
    </row>
    <row r="7511" spans="1:1" x14ac:dyDescent="0.3">
      <c r="A7511" t="s">
        <v>0</v>
      </c>
    </row>
    <row r="7512" spans="1:1" x14ac:dyDescent="0.3">
      <c r="A7512" t="s">
        <v>0</v>
      </c>
    </row>
    <row r="7513" spans="1:1" x14ac:dyDescent="0.3">
      <c r="A7513" t="s">
        <v>0</v>
      </c>
    </row>
    <row r="7514" spans="1:1" x14ac:dyDescent="0.3">
      <c r="A7514" t="s">
        <v>0</v>
      </c>
    </row>
    <row r="7515" spans="1:1" x14ac:dyDescent="0.3">
      <c r="A7515" t="s">
        <v>0</v>
      </c>
    </row>
    <row r="7516" spans="1:1" x14ac:dyDescent="0.3">
      <c r="A7516" t="s">
        <v>0</v>
      </c>
    </row>
    <row r="7517" spans="1:1" x14ac:dyDescent="0.3">
      <c r="A7517" t="s">
        <v>0</v>
      </c>
    </row>
    <row r="7518" spans="1:1" x14ac:dyDescent="0.3">
      <c r="A7518" t="s">
        <v>0</v>
      </c>
    </row>
    <row r="7519" spans="1:1" x14ac:dyDescent="0.3">
      <c r="A7519" t="s">
        <v>0</v>
      </c>
    </row>
    <row r="7520" spans="1:1" x14ac:dyDescent="0.3">
      <c r="A7520" t="s">
        <v>0</v>
      </c>
    </row>
    <row r="7521" spans="1:1" x14ac:dyDescent="0.3">
      <c r="A7521" t="s">
        <v>0</v>
      </c>
    </row>
    <row r="7522" spans="1:1" x14ac:dyDescent="0.3">
      <c r="A7522" t="s">
        <v>0</v>
      </c>
    </row>
    <row r="7523" spans="1:1" x14ac:dyDescent="0.3">
      <c r="A7523" t="s">
        <v>0</v>
      </c>
    </row>
    <row r="7524" spans="1:1" x14ac:dyDescent="0.3">
      <c r="A7524" t="s">
        <v>0</v>
      </c>
    </row>
    <row r="7525" spans="1:1" x14ac:dyDescent="0.3">
      <c r="A7525" t="s">
        <v>0</v>
      </c>
    </row>
    <row r="7526" spans="1:1" x14ac:dyDescent="0.3">
      <c r="A7526" t="s">
        <v>0</v>
      </c>
    </row>
    <row r="7527" spans="1:1" x14ac:dyDescent="0.3">
      <c r="A7527" t="s">
        <v>0</v>
      </c>
    </row>
    <row r="7528" spans="1:1" x14ac:dyDescent="0.3">
      <c r="A7528" t="s">
        <v>0</v>
      </c>
    </row>
    <row r="7529" spans="1:1" x14ac:dyDescent="0.3">
      <c r="A7529" t="s">
        <v>0</v>
      </c>
    </row>
    <row r="7530" spans="1:1" x14ac:dyDescent="0.3">
      <c r="A7530" t="s">
        <v>0</v>
      </c>
    </row>
    <row r="7531" spans="1:1" x14ac:dyDescent="0.3">
      <c r="A7531" t="s">
        <v>0</v>
      </c>
    </row>
    <row r="7532" spans="1:1" x14ac:dyDescent="0.3">
      <c r="A7532" t="s">
        <v>0</v>
      </c>
    </row>
    <row r="7533" spans="1:1" x14ac:dyDescent="0.3">
      <c r="A7533" t="s">
        <v>0</v>
      </c>
    </row>
    <row r="7534" spans="1:1" x14ac:dyDescent="0.3">
      <c r="A7534" t="s">
        <v>0</v>
      </c>
    </row>
    <row r="7535" spans="1:1" x14ac:dyDescent="0.3">
      <c r="A7535" t="s">
        <v>0</v>
      </c>
    </row>
    <row r="7536" spans="1:1" x14ac:dyDescent="0.3">
      <c r="A7536" t="s">
        <v>0</v>
      </c>
    </row>
    <row r="7537" spans="1:1" x14ac:dyDescent="0.3">
      <c r="A7537" t="s">
        <v>0</v>
      </c>
    </row>
    <row r="7538" spans="1:1" x14ac:dyDescent="0.3">
      <c r="A7538" t="s">
        <v>0</v>
      </c>
    </row>
    <row r="7539" spans="1:1" x14ac:dyDescent="0.3">
      <c r="A7539" t="s">
        <v>0</v>
      </c>
    </row>
    <row r="7540" spans="1:1" x14ac:dyDescent="0.3">
      <c r="A7540" t="s">
        <v>0</v>
      </c>
    </row>
    <row r="7541" spans="1:1" x14ac:dyDescent="0.3">
      <c r="A7541" t="s">
        <v>0</v>
      </c>
    </row>
    <row r="7542" spans="1:1" x14ac:dyDescent="0.3">
      <c r="A7542" t="s">
        <v>0</v>
      </c>
    </row>
    <row r="7543" spans="1:1" x14ac:dyDescent="0.3">
      <c r="A7543" t="s">
        <v>0</v>
      </c>
    </row>
    <row r="7544" spans="1:1" x14ac:dyDescent="0.3">
      <c r="A7544" t="s">
        <v>0</v>
      </c>
    </row>
    <row r="7545" spans="1:1" x14ac:dyDescent="0.3">
      <c r="A7545" t="s">
        <v>0</v>
      </c>
    </row>
    <row r="7546" spans="1:1" x14ac:dyDescent="0.3">
      <c r="A7546" t="s">
        <v>0</v>
      </c>
    </row>
    <row r="7547" spans="1:1" x14ac:dyDescent="0.3">
      <c r="A7547" t="s">
        <v>0</v>
      </c>
    </row>
    <row r="7548" spans="1:1" x14ac:dyDescent="0.3">
      <c r="A7548" t="s">
        <v>0</v>
      </c>
    </row>
    <row r="7549" spans="1:1" x14ac:dyDescent="0.3">
      <c r="A7549" t="s">
        <v>0</v>
      </c>
    </row>
    <row r="7550" spans="1:1" x14ac:dyDescent="0.3">
      <c r="A7550" t="s">
        <v>0</v>
      </c>
    </row>
    <row r="7551" spans="1:1" x14ac:dyDescent="0.3">
      <c r="A7551" t="s">
        <v>0</v>
      </c>
    </row>
    <row r="7552" spans="1:1" x14ac:dyDescent="0.3">
      <c r="A7552" t="s">
        <v>0</v>
      </c>
    </row>
    <row r="7553" spans="1:1" x14ac:dyDescent="0.3">
      <c r="A7553" t="s">
        <v>0</v>
      </c>
    </row>
    <row r="7554" spans="1:1" x14ac:dyDescent="0.3">
      <c r="A7554" t="s">
        <v>0</v>
      </c>
    </row>
    <row r="7555" spans="1:1" x14ac:dyDescent="0.3">
      <c r="A7555" t="s">
        <v>0</v>
      </c>
    </row>
    <row r="7556" spans="1:1" x14ac:dyDescent="0.3">
      <c r="A7556" t="s">
        <v>0</v>
      </c>
    </row>
    <row r="7557" spans="1:1" x14ac:dyDescent="0.3">
      <c r="A7557" t="s">
        <v>0</v>
      </c>
    </row>
    <row r="7558" spans="1:1" x14ac:dyDescent="0.3">
      <c r="A7558" t="s">
        <v>0</v>
      </c>
    </row>
    <row r="7559" spans="1:1" x14ac:dyDescent="0.3">
      <c r="A7559" t="s">
        <v>0</v>
      </c>
    </row>
    <row r="7560" spans="1:1" x14ac:dyDescent="0.3">
      <c r="A7560" t="s">
        <v>0</v>
      </c>
    </row>
    <row r="7561" spans="1:1" x14ac:dyDescent="0.3">
      <c r="A7561" t="s">
        <v>0</v>
      </c>
    </row>
    <row r="7562" spans="1:1" x14ac:dyDescent="0.3">
      <c r="A7562" t="s">
        <v>0</v>
      </c>
    </row>
    <row r="7563" spans="1:1" x14ac:dyDescent="0.3">
      <c r="A7563" t="s">
        <v>0</v>
      </c>
    </row>
    <row r="7564" spans="1:1" x14ac:dyDescent="0.3">
      <c r="A7564" t="s">
        <v>0</v>
      </c>
    </row>
    <row r="7565" spans="1:1" x14ac:dyDescent="0.3">
      <c r="A7565" t="s">
        <v>0</v>
      </c>
    </row>
    <row r="7566" spans="1:1" x14ac:dyDescent="0.3">
      <c r="A7566" t="s">
        <v>0</v>
      </c>
    </row>
    <row r="7567" spans="1:1" x14ac:dyDescent="0.3">
      <c r="A7567" t="s">
        <v>0</v>
      </c>
    </row>
    <row r="7568" spans="1:1" x14ac:dyDescent="0.3">
      <c r="A7568" t="s">
        <v>0</v>
      </c>
    </row>
    <row r="7569" spans="1:1" x14ac:dyDescent="0.3">
      <c r="A7569" t="s">
        <v>0</v>
      </c>
    </row>
    <row r="7570" spans="1:1" x14ac:dyDescent="0.3">
      <c r="A7570" t="s">
        <v>0</v>
      </c>
    </row>
    <row r="7571" spans="1:1" x14ac:dyDescent="0.3">
      <c r="A7571" t="s">
        <v>0</v>
      </c>
    </row>
    <row r="7572" spans="1:1" x14ac:dyDescent="0.3">
      <c r="A7572" t="s">
        <v>0</v>
      </c>
    </row>
    <row r="7573" spans="1:1" x14ac:dyDescent="0.3">
      <c r="A7573" t="s">
        <v>0</v>
      </c>
    </row>
    <row r="7574" spans="1:1" x14ac:dyDescent="0.3">
      <c r="A7574" t="s">
        <v>0</v>
      </c>
    </row>
    <row r="7575" spans="1:1" x14ac:dyDescent="0.3">
      <c r="A7575" t="s">
        <v>0</v>
      </c>
    </row>
    <row r="7576" spans="1:1" x14ac:dyDescent="0.3">
      <c r="A7576" t="s">
        <v>0</v>
      </c>
    </row>
    <row r="7577" spans="1:1" x14ac:dyDescent="0.3">
      <c r="A7577" t="s">
        <v>0</v>
      </c>
    </row>
    <row r="7578" spans="1:1" x14ac:dyDescent="0.3">
      <c r="A7578" t="s">
        <v>0</v>
      </c>
    </row>
    <row r="7579" spans="1:1" x14ac:dyDescent="0.3">
      <c r="A7579" t="s">
        <v>0</v>
      </c>
    </row>
    <row r="7580" spans="1:1" x14ac:dyDescent="0.3">
      <c r="A7580" t="s">
        <v>0</v>
      </c>
    </row>
    <row r="7581" spans="1:1" x14ac:dyDescent="0.3">
      <c r="A7581" t="s">
        <v>0</v>
      </c>
    </row>
    <row r="7582" spans="1:1" x14ac:dyDescent="0.3">
      <c r="A7582" t="s">
        <v>0</v>
      </c>
    </row>
    <row r="7583" spans="1:1" x14ac:dyDescent="0.3">
      <c r="A7583" t="s">
        <v>0</v>
      </c>
    </row>
    <row r="7584" spans="1:1" x14ac:dyDescent="0.3">
      <c r="A7584" t="s">
        <v>0</v>
      </c>
    </row>
    <row r="7585" spans="1:1" x14ac:dyDescent="0.3">
      <c r="A7585" t="s">
        <v>0</v>
      </c>
    </row>
    <row r="7586" spans="1:1" x14ac:dyDescent="0.3">
      <c r="A7586" t="s">
        <v>0</v>
      </c>
    </row>
    <row r="7587" spans="1:1" x14ac:dyDescent="0.3">
      <c r="A7587" t="s">
        <v>0</v>
      </c>
    </row>
    <row r="7588" spans="1:1" x14ac:dyDescent="0.3">
      <c r="A7588" t="s">
        <v>0</v>
      </c>
    </row>
    <row r="7589" spans="1:1" x14ac:dyDescent="0.3">
      <c r="A7589" t="s">
        <v>0</v>
      </c>
    </row>
    <row r="7590" spans="1:1" x14ac:dyDescent="0.3">
      <c r="A7590" t="s">
        <v>0</v>
      </c>
    </row>
    <row r="7591" spans="1:1" x14ac:dyDescent="0.3">
      <c r="A7591" t="s">
        <v>0</v>
      </c>
    </row>
    <row r="7592" spans="1:1" x14ac:dyDescent="0.3">
      <c r="A7592" t="s">
        <v>0</v>
      </c>
    </row>
    <row r="7593" spans="1:1" x14ac:dyDescent="0.3">
      <c r="A7593" t="s">
        <v>0</v>
      </c>
    </row>
    <row r="7594" spans="1:1" x14ac:dyDescent="0.3">
      <c r="A7594" t="s">
        <v>0</v>
      </c>
    </row>
    <row r="7595" spans="1:1" x14ac:dyDescent="0.3">
      <c r="A7595" t="s">
        <v>0</v>
      </c>
    </row>
    <row r="7596" spans="1:1" x14ac:dyDescent="0.3">
      <c r="A7596" t="s">
        <v>0</v>
      </c>
    </row>
    <row r="7597" spans="1:1" x14ac:dyDescent="0.3">
      <c r="A7597" t="s">
        <v>0</v>
      </c>
    </row>
    <row r="7598" spans="1:1" x14ac:dyDescent="0.3">
      <c r="A7598" t="s">
        <v>0</v>
      </c>
    </row>
    <row r="7599" spans="1:1" x14ac:dyDescent="0.3">
      <c r="A7599" t="s">
        <v>0</v>
      </c>
    </row>
    <row r="7600" spans="1:1" x14ac:dyDescent="0.3">
      <c r="A7600" t="s">
        <v>0</v>
      </c>
    </row>
    <row r="7601" spans="1:1" x14ac:dyDescent="0.3">
      <c r="A7601" t="s">
        <v>0</v>
      </c>
    </row>
    <row r="7602" spans="1:1" x14ac:dyDescent="0.3">
      <c r="A7602" t="s">
        <v>0</v>
      </c>
    </row>
    <row r="7603" spans="1:1" x14ac:dyDescent="0.3">
      <c r="A7603" t="s">
        <v>0</v>
      </c>
    </row>
    <row r="7604" spans="1:1" x14ac:dyDescent="0.3">
      <c r="A7604" t="s">
        <v>0</v>
      </c>
    </row>
    <row r="7605" spans="1:1" x14ac:dyDescent="0.3">
      <c r="A7605" t="s">
        <v>0</v>
      </c>
    </row>
    <row r="7606" spans="1:1" x14ac:dyDescent="0.3">
      <c r="A7606" t="s">
        <v>0</v>
      </c>
    </row>
    <row r="7607" spans="1:1" x14ac:dyDescent="0.3">
      <c r="A7607" t="s">
        <v>0</v>
      </c>
    </row>
    <row r="7608" spans="1:1" x14ac:dyDescent="0.3">
      <c r="A7608" t="s">
        <v>0</v>
      </c>
    </row>
    <row r="7609" spans="1:1" x14ac:dyDescent="0.3">
      <c r="A7609" t="s">
        <v>0</v>
      </c>
    </row>
    <row r="7610" spans="1:1" x14ac:dyDescent="0.3">
      <c r="A7610" t="s">
        <v>0</v>
      </c>
    </row>
    <row r="7611" spans="1:1" x14ac:dyDescent="0.3">
      <c r="A7611" t="s">
        <v>0</v>
      </c>
    </row>
    <row r="7612" spans="1:1" x14ac:dyDescent="0.3">
      <c r="A7612" t="s">
        <v>0</v>
      </c>
    </row>
    <row r="7613" spans="1:1" x14ac:dyDescent="0.3">
      <c r="A7613" t="s">
        <v>0</v>
      </c>
    </row>
    <row r="7614" spans="1:1" x14ac:dyDescent="0.3">
      <c r="A7614" t="s">
        <v>0</v>
      </c>
    </row>
    <row r="7615" spans="1:1" x14ac:dyDescent="0.3">
      <c r="A7615" t="s">
        <v>0</v>
      </c>
    </row>
    <row r="7616" spans="1:1" x14ac:dyDescent="0.3">
      <c r="A7616" t="s">
        <v>0</v>
      </c>
    </row>
    <row r="7617" spans="1:1" x14ac:dyDescent="0.3">
      <c r="A7617" t="s">
        <v>0</v>
      </c>
    </row>
    <row r="7618" spans="1:1" x14ac:dyDescent="0.3">
      <c r="A7618" t="s">
        <v>0</v>
      </c>
    </row>
    <row r="7619" spans="1:1" x14ac:dyDescent="0.3">
      <c r="A7619" t="s">
        <v>0</v>
      </c>
    </row>
    <row r="7620" spans="1:1" x14ac:dyDescent="0.3">
      <c r="A7620" t="s">
        <v>0</v>
      </c>
    </row>
    <row r="7621" spans="1:1" x14ac:dyDescent="0.3">
      <c r="A7621" t="s">
        <v>0</v>
      </c>
    </row>
    <row r="7622" spans="1:1" x14ac:dyDescent="0.3">
      <c r="A7622" t="s">
        <v>0</v>
      </c>
    </row>
    <row r="7623" spans="1:1" x14ac:dyDescent="0.3">
      <c r="A7623" t="s">
        <v>0</v>
      </c>
    </row>
    <row r="7624" spans="1:1" x14ac:dyDescent="0.3">
      <c r="A7624" t="s">
        <v>0</v>
      </c>
    </row>
    <row r="7625" spans="1:1" x14ac:dyDescent="0.3">
      <c r="A7625" t="s">
        <v>0</v>
      </c>
    </row>
    <row r="7626" spans="1:1" x14ac:dyDescent="0.3">
      <c r="A7626" t="s">
        <v>0</v>
      </c>
    </row>
    <row r="7627" spans="1:1" x14ac:dyDescent="0.3">
      <c r="A7627" t="s">
        <v>0</v>
      </c>
    </row>
    <row r="7628" spans="1:1" x14ac:dyDescent="0.3">
      <c r="A7628" t="s">
        <v>0</v>
      </c>
    </row>
    <row r="7629" spans="1:1" x14ac:dyDescent="0.3">
      <c r="A7629" t="s">
        <v>0</v>
      </c>
    </row>
    <row r="7630" spans="1:1" x14ac:dyDescent="0.3">
      <c r="A7630" t="s">
        <v>0</v>
      </c>
    </row>
    <row r="7631" spans="1:1" x14ac:dyDescent="0.3">
      <c r="A7631" t="s">
        <v>0</v>
      </c>
    </row>
    <row r="7632" spans="1:1" x14ac:dyDescent="0.3">
      <c r="A7632" t="s">
        <v>0</v>
      </c>
    </row>
    <row r="7633" spans="1:1" x14ac:dyDescent="0.3">
      <c r="A7633" t="s">
        <v>0</v>
      </c>
    </row>
    <row r="7634" spans="1:1" x14ac:dyDescent="0.3">
      <c r="A7634" t="s">
        <v>0</v>
      </c>
    </row>
    <row r="7635" spans="1:1" x14ac:dyDescent="0.3">
      <c r="A7635" t="s">
        <v>0</v>
      </c>
    </row>
    <row r="7636" spans="1:1" x14ac:dyDescent="0.3">
      <c r="A7636" t="s">
        <v>0</v>
      </c>
    </row>
    <row r="7637" spans="1:1" x14ac:dyDescent="0.3">
      <c r="A7637" t="s">
        <v>0</v>
      </c>
    </row>
    <row r="7638" spans="1:1" x14ac:dyDescent="0.3">
      <c r="A7638" t="s">
        <v>0</v>
      </c>
    </row>
    <row r="7639" spans="1:1" x14ac:dyDescent="0.3">
      <c r="A7639" t="s">
        <v>0</v>
      </c>
    </row>
    <row r="7640" spans="1:1" x14ac:dyDescent="0.3">
      <c r="A7640" t="s">
        <v>0</v>
      </c>
    </row>
    <row r="7641" spans="1:1" x14ac:dyDescent="0.3">
      <c r="A7641" t="s">
        <v>0</v>
      </c>
    </row>
    <row r="7642" spans="1:1" x14ac:dyDescent="0.3">
      <c r="A7642" t="s">
        <v>0</v>
      </c>
    </row>
    <row r="7643" spans="1:1" x14ac:dyDescent="0.3">
      <c r="A7643" t="s">
        <v>0</v>
      </c>
    </row>
    <row r="7644" spans="1:1" x14ac:dyDescent="0.3">
      <c r="A7644" t="s">
        <v>0</v>
      </c>
    </row>
    <row r="7645" spans="1:1" x14ac:dyDescent="0.3">
      <c r="A7645" t="s">
        <v>0</v>
      </c>
    </row>
    <row r="7646" spans="1:1" x14ac:dyDescent="0.3">
      <c r="A7646" t="s">
        <v>0</v>
      </c>
    </row>
    <row r="7647" spans="1:1" x14ac:dyDescent="0.3">
      <c r="A7647" t="s">
        <v>0</v>
      </c>
    </row>
    <row r="7648" spans="1:1" x14ac:dyDescent="0.3">
      <c r="A7648" t="s">
        <v>0</v>
      </c>
    </row>
    <row r="7649" spans="1:1" x14ac:dyDescent="0.3">
      <c r="A7649" t="s">
        <v>0</v>
      </c>
    </row>
    <row r="7650" spans="1:1" x14ac:dyDescent="0.3">
      <c r="A7650" t="s">
        <v>0</v>
      </c>
    </row>
    <row r="7651" spans="1:1" x14ac:dyDescent="0.3">
      <c r="A7651" t="s">
        <v>0</v>
      </c>
    </row>
    <row r="7652" spans="1:1" x14ac:dyDescent="0.3">
      <c r="A7652" t="s">
        <v>0</v>
      </c>
    </row>
    <row r="7653" spans="1:1" x14ac:dyDescent="0.3">
      <c r="A7653" t="s">
        <v>0</v>
      </c>
    </row>
    <row r="7654" spans="1:1" x14ac:dyDescent="0.3">
      <c r="A7654" t="s">
        <v>0</v>
      </c>
    </row>
    <row r="7655" spans="1:1" x14ac:dyDescent="0.3">
      <c r="A7655" t="s">
        <v>0</v>
      </c>
    </row>
    <row r="7656" spans="1:1" x14ac:dyDescent="0.3">
      <c r="A7656" t="s">
        <v>0</v>
      </c>
    </row>
    <row r="7657" spans="1:1" x14ac:dyDescent="0.3">
      <c r="A7657" t="s">
        <v>0</v>
      </c>
    </row>
    <row r="7658" spans="1:1" x14ac:dyDescent="0.3">
      <c r="A7658" t="s">
        <v>0</v>
      </c>
    </row>
    <row r="7659" spans="1:1" x14ac:dyDescent="0.3">
      <c r="A7659" t="s">
        <v>0</v>
      </c>
    </row>
    <row r="7660" spans="1:1" x14ac:dyDescent="0.3">
      <c r="A7660" t="s">
        <v>0</v>
      </c>
    </row>
    <row r="7661" spans="1:1" x14ac:dyDescent="0.3">
      <c r="A7661" t="s">
        <v>0</v>
      </c>
    </row>
    <row r="7662" spans="1:1" x14ac:dyDescent="0.3">
      <c r="A7662" t="s">
        <v>0</v>
      </c>
    </row>
    <row r="7663" spans="1:1" x14ac:dyDescent="0.3">
      <c r="A7663" t="s">
        <v>0</v>
      </c>
    </row>
    <row r="7664" spans="1:1" x14ac:dyDescent="0.3">
      <c r="A7664" t="s">
        <v>0</v>
      </c>
    </row>
    <row r="7665" spans="1:1" x14ac:dyDescent="0.3">
      <c r="A7665" t="s">
        <v>0</v>
      </c>
    </row>
    <row r="7666" spans="1:1" x14ac:dyDescent="0.3">
      <c r="A7666" t="s">
        <v>0</v>
      </c>
    </row>
    <row r="7667" spans="1:1" x14ac:dyDescent="0.3">
      <c r="A7667" t="s">
        <v>0</v>
      </c>
    </row>
    <row r="7668" spans="1:1" x14ac:dyDescent="0.3">
      <c r="A7668" t="s">
        <v>0</v>
      </c>
    </row>
    <row r="7669" spans="1:1" x14ac:dyDescent="0.3">
      <c r="A7669" t="s">
        <v>0</v>
      </c>
    </row>
    <row r="7670" spans="1:1" x14ac:dyDescent="0.3">
      <c r="A7670" t="s">
        <v>0</v>
      </c>
    </row>
    <row r="7671" spans="1:1" x14ac:dyDescent="0.3">
      <c r="A7671" t="s">
        <v>0</v>
      </c>
    </row>
    <row r="7672" spans="1:1" x14ac:dyDescent="0.3">
      <c r="A7672" t="s">
        <v>0</v>
      </c>
    </row>
    <row r="7673" spans="1:1" x14ac:dyDescent="0.3">
      <c r="A7673" t="s">
        <v>0</v>
      </c>
    </row>
    <row r="7674" spans="1:1" x14ac:dyDescent="0.3">
      <c r="A7674" t="s">
        <v>0</v>
      </c>
    </row>
    <row r="7675" spans="1:1" x14ac:dyDescent="0.3">
      <c r="A7675" t="s">
        <v>0</v>
      </c>
    </row>
    <row r="7676" spans="1:1" x14ac:dyDescent="0.3">
      <c r="A7676" t="s">
        <v>0</v>
      </c>
    </row>
    <row r="7677" spans="1:1" x14ac:dyDescent="0.3">
      <c r="A7677" t="s">
        <v>0</v>
      </c>
    </row>
    <row r="7678" spans="1:1" x14ac:dyDescent="0.3">
      <c r="A7678" t="s">
        <v>0</v>
      </c>
    </row>
    <row r="7679" spans="1:1" x14ac:dyDescent="0.3">
      <c r="A7679" t="s">
        <v>0</v>
      </c>
    </row>
    <row r="7680" spans="1:1" x14ac:dyDescent="0.3">
      <c r="A7680" t="s">
        <v>0</v>
      </c>
    </row>
    <row r="7681" spans="1:1" x14ac:dyDescent="0.3">
      <c r="A7681" t="s">
        <v>0</v>
      </c>
    </row>
    <row r="7682" spans="1:1" x14ac:dyDescent="0.3">
      <c r="A7682" t="s">
        <v>0</v>
      </c>
    </row>
    <row r="7683" spans="1:1" x14ac:dyDescent="0.3">
      <c r="A7683" t="s">
        <v>0</v>
      </c>
    </row>
    <row r="7684" spans="1:1" x14ac:dyDescent="0.3">
      <c r="A7684" t="s">
        <v>0</v>
      </c>
    </row>
    <row r="7685" spans="1:1" x14ac:dyDescent="0.3">
      <c r="A7685" t="s">
        <v>0</v>
      </c>
    </row>
    <row r="7686" spans="1:1" x14ac:dyDescent="0.3">
      <c r="A7686" t="s">
        <v>0</v>
      </c>
    </row>
    <row r="7687" spans="1:1" x14ac:dyDescent="0.3">
      <c r="A7687" t="s">
        <v>0</v>
      </c>
    </row>
    <row r="7688" spans="1:1" x14ac:dyDescent="0.3">
      <c r="A7688" t="s">
        <v>0</v>
      </c>
    </row>
    <row r="7689" spans="1:1" x14ac:dyDescent="0.3">
      <c r="A7689" t="s">
        <v>0</v>
      </c>
    </row>
    <row r="7690" spans="1:1" x14ac:dyDescent="0.3">
      <c r="A7690" t="s">
        <v>0</v>
      </c>
    </row>
    <row r="7691" spans="1:1" x14ac:dyDescent="0.3">
      <c r="A7691" t="s">
        <v>0</v>
      </c>
    </row>
    <row r="7692" spans="1:1" x14ac:dyDescent="0.3">
      <c r="A7692" t="s">
        <v>0</v>
      </c>
    </row>
    <row r="7693" spans="1:1" x14ac:dyDescent="0.3">
      <c r="A7693" t="s">
        <v>0</v>
      </c>
    </row>
    <row r="7694" spans="1:1" x14ac:dyDescent="0.3">
      <c r="A7694" t="s">
        <v>0</v>
      </c>
    </row>
    <row r="7695" spans="1:1" x14ac:dyDescent="0.3">
      <c r="A7695" t="s">
        <v>0</v>
      </c>
    </row>
    <row r="7696" spans="1:1" x14ac:dyDescent="0.3">
      <c r="A7696" t="s">
        <v>0</v>
      </c>
    </row>
    <row r="7697" spans="1:1" x14ac:dyDescent="0.3">
      <c r="A7697" t="s">
        <v>0</v>
      </c>
    </row>
    <row r="7698" spans="1:1" x14ac:dyDescent="0.3">
      <c r="A7698" t="s">
        <v>0</v>
      </c>
    </row>
    <row r="7699" spans="1:1" x14ac:dyDescent="0.3">
      <c r="A7699" t="s">
        <v>0</v>
      </c>
    </row>
    <row r="7700" spans="1:1" x14ac:dyDescent="0.3">
      <c r="A7700" t="s">
        <v>0</v>
      </c>
    </row>
    <row r="7701" spans="1:1" x14ac:dyDescent="0.3">
      <c r="A7701" t="s">
        <v>0</v>
      </c>
    </row>
    <row r="7702" spans="1:1" x14ac:dyDescent="0.3">
      <c r="A7702" t="s">
        <v>0</v>
      </c>
    </row>
    <row r="7703" spans="1:1" x14ac:dyDescent="0.3">
      <c r="A7703" t="s">
        <v>0</v>
      </c>
    </row>
    <row r="7704" spans="1:1" x14ac:dyDescent="0.3">
      <c r="A7704" t="s">
        <v>0</v>
      </c>
    </row>
    <row r="7705" spans="1:1" x14ac:dyDescent="0.3">
      <c r="A7705" t="s">
        <v>0</v>
      </c>
    </row>
    <row r="7706" spans="1:1" x14ac:dyDescent="0.3">
      <c r="A7706" t="s">
        <v>0</v>
      </c>
    </row>
    <row r="7707" spans="1:1" x14ac:dyDescent="0.3">
      <c r="A7707" t="s">
        <v>0</v>
      </c>
    </row>
    <row r="7708" spans="1:1" x14ac:dyDescent="0.3">
      <c r="A7708" t="s">
        <v>0</v>
      </c>
    </row>
    <row r="7709" spans="1:1" x14ac:dyDescent="0.3">
      <c r="A7709" t="s">
        <v>0</v>
      </c>
    </row>
    <row r="7710" spans="1:1" x14ac:dyDescent="0.3">
      <c r="A7710" t="s">
        <v>0</v>
      </c>
    </row>
    <row r="7711" spans="1:1" x14ac:dyDescent="0.3">
      <c r="A7711" t="s">
        <v>0</v>
      </c>
    </row>
    <row r="7712" spans="1:1" x14ac:dyDescent="0.3">
      <c r="A7712" t="s">
        <v>0</v>
      </c>
    </row>
    <row r="7713" spans="1:1" x14ac:dyDescent="0.3">
      <c r="A7713" t="s">
        <v>0</v>
      </c>
    </row>
    <row r="7714" spans="1:1" x14ac:dyDescent="0.3">
      <c r="A7714" t="s">
        <v>0</v>
      </c>
    </row>
    <row r="7715" spans="1:1" x14ac:dyDescent="0.3">
      <c r="A7715" t="s">
        <v>0</v>
      </c>
    </row>
    <row r="7716" spans="1:1" x14ac:dyDescent="0.3">
      <c r="A7716" t="s">
        <v>0</v>
      </c>
    </row>
    <row r="7717" spans="1:1" x14ac:dyDescent="0.3">
      <c r="A7717" t="s">
        <v>0</v>
      </c>
    </row>
    <row r="7718" spans="1:1" x14ac:dyDescent="0.3">
      <c r="A7718" t="s">
        <v>0</v>
      </c>
    </row>
    <row r="7719" spans="1:1" x14ac:dyDescent="0.3">
      <c r="A7719" t="s">
        <v>0</v>
      </c>
    </row>
    <row r="7720" spans="1:1" x14ac:dyDescent="0.3">
      <c r="A7720" t="s">
        <v>0</v>
      </c>
    </row>
    <row r="7721" spans="1:1" x14ac:dyDescent="0.3">
      <c r="A7721" t="s">
        <v>0</v>
      </c>
    </row>
    <row r="7722" spans="1:1" x14ac:dyDescent="0.3">
      <c r="A7722" t="s">
        <v>0</v>
      </c>
    </row>
    <row r="7723" spans="1:1" x14ac:dyDescent="0.3">
      <c r="A7723" t="s">
        <v>0</v>
      </c>
    </row>
    <row r="7724" spans="1:1" x14ac:dyDescent="0.3">
      <c r="A7724" t="s">
        <v>0</v>
      </c>
    </row>
    <row r="7725" spans="1:1" x14ac:dyDescent="0.3">
      <c r="A7725" t="s">
        <v>0</v>
      </c>
    </row>
    <row r="7726" spans="1:1" x14ac:dyDescent="0.3">
      <c r="A7726" t="s">
        <v>0</v>
      </c>
    </row>
    <row r="7727" spans="1:1" x14ac:dyDescent="0.3">
      <c r="A7727" t="s">
        <v>0</v>
      </c>
    </row>
    <row r="7728" spans="1:1" x14ac:dyDescent="0.3">
      <c r="A7728" t="s">
        <v>0</v>
      </c>
    </row>
    <row r="7729" spans="1:1" x14ac:dyDescent="0.3">
      <c r="A7729" t="s">
        <v>0</v>
      </c>
    </row>
    <row r="7730" spans="1:1" x14ac:dyDescent="0.3">
      <c r="A7730" t="s">
        <v>0</v>
      </c>
    </row>
    <row r="7731" spans="1:1" x14ac:dyDescent="0.3">
      <c r="A7731" t="s">
        <v>0</v>
      </c>
    </row>
    <row r="7732" spans="1:1" x14ac:dyDescent="0.3">
      <c r="A7732" t="s">
        <v>0</v>
      </c>
    </row>
    <row r="7733" spans="1:1" x14ac:dyDescent="0.3">
      <c r="A7733" t="s">
        <v>0</v>
      </c>
    </row>
    <row r="7734" spans="1:1" x14ac:dyDescent="0.3">
      <c r="A7734" t="s">
        <v>0</v>
      </c>
    </row>
    <row r="7735" spans="1:1" x14ac:dyDescent="0.3">
      <c r="A7735" t="s">
        <v>0</v>
      </c>
    </row>
    <row r="7736" spans="1:1" x14ac:dyDescent="0.3">
      <c r="A7736" t="s">
        <v>0</v>
      </c>
    </row>
    <row r="7737" spans="1:1" x14ac:dyDescent="0.3">
      <c r="A7737" t="s">
        <v>0</v>
      </c>
    </row>
    <row r="7738" spans="1:1" x14ac:dyDescent="0.3">
      <c r="A7738" t="s">
        <v>0</v>
      </c>
    </row>
    <row r="7739" spans="1:1" x14ac:dyDescent="0.3">
      <c r="A7739" t="s">
        <v>0</v>
      </c>
    </row>
    <row r="7740" spans="1:1" x14ac:dyDescent="0.3">
      <c r="A7740" t="s">
        <v>0</v>
      </c>
    </row>
    <row r="7741" spans="1:1" x14ac:dyDescent="0.3">
      <c r="A7741" t="s">
        <v>0</v>
      </c>
    </row>
    <row r="7742" spans="1:1" x14ac:dyDescent="0.3">
      <c r="A7742" t="s">
        <v>0</v>
      </c>
    </row>
    <row r="7743" spans="1:1" x14ac:dyDescent="0.3">
      <c r="A7743" t="s">
        <v>0</v>
      </c>
    </row>
    <row r="7744" spans="1:1" x14ac:dyDescent="0.3">
      <c r="A7744" t="s">
        <v>0</v>
      </c>
    </row>
    <row r="7745" spans="1:1" x14ac:dyDescent="0.3">
      <c r="A7745" t="s">
        <v>0</v>
      </c>
    </row>
    <row r="7746" spans="1:1" x14ac:dyDescent="0.3">
      <c r="A7746" t="s">
        <v>0</v>
      </c>
    </row>
    <row r="7747" spans="1:1" x14ac:dyDescent="0.3">
      <c r="A7747" t="s">
        <v>0</v>
      </c>
    </row>
    <row r="7748" spans="1:1" x14ac:dyDescent="0.3">
      <c r="A7748" t="s">
        <v>0</v>
      </c>
    </row>
    <row r="7749" spans="1:1" x14ac:dyDescent="0.3">
      <c r="A7749" t="s">
        <v>0</v>
      </c>
    </row>
    <row r="7750" spans="1:1" x14ac:dyDescent="0.3">
      <c r="A7750" t="s">
        <v>0</v>
      </c>
    </row>
    <row r="7751" spans="1:1" x14ac:dyDescent="0.3">
      <c r="A7751" t="s">
        <v>0</v>
      </c>
    </row>
    <row r="7752" spans="1:1" x14ac:dyDescent="0.3">
      <c r="A7752" t="s">
        <v>0</v>
      </c>
    </row>
    <row r="7753" spans="1:1" x14ac:dyDescent="0.3">
      <c r="A7753" t="s">
        <v>0</v>
      </c>
    </row>
    <row r="7754" spans="1:1" x14ac:dyDescent="0.3">
      <c r="A7754" t="s">
        <v>0</v>
      </c>
    </row>
    <row r="7755" spans="1:1" x14ac:dyDescent="0.3">
      <c r="A7755" t="s">
        <v>0</v>
      </c>
    </row>
    <row r="7756" spans="1:1" x14ac:dyDescent="0.3">
      <c r="A7756" t="s">
        <v>0</v>
      </c>
    </row>
    <row r="7757" spans="1:1" x14ac:dyDescent="0.3">
      <c r="A7757" t="s">
        <v>0</v>
      </c>
    </row>
    <row r="7758" spans="1:1" x14ac:dyDescent="0.3">
      <c r="A7758" t="s">
        <v>0</v>
      </c>
    </row>
    <row r="7759" spans="1:1" x14ac:dyDescent="0.3">
      <c r="A7759" t="s">
        <v>0</v>
      </c>
    </row>
    <row r="7760" spans="1:1" x14ac:dyDescent="0.3">
      <c r="A7760" t="s">
        <v>0</v>
      </c>
    </row>
    <row r="7761" spans="1:1" x14ac:dyDescent="0.3">
      <c r="A7761" t="s">
        <v>0</v>
      </c>
    </row>
    <row r="7762" spans="1:1" x14ac:dyDescent="0.3">
      <c r="A7762" t="s">
        <v>0</v>
      </c>
    </row>
    <row r="7763" spans="1:1" x14ac:dyDescent="0.3">
      <c r="A7763" t="s">
        <v>0</v>
      </c>
    </row>
    <row r="7764" spans="1:1" x14ac:dyDescent="0.3">
      <c r="A7764" t="s">
        <v>0</v>
      </c>
    </row>
    <row r="7765" spans="1:1" x14ac:dyDescent="0.3">
      <c r="A7765" t="s">
        <v>0</v>
      </c>
    </row>
    <row r="7766" spans="1:1" x14ac:dyDescent="0.3">
      <c r="A7766" t="s">
        <v>0</v>
      </c>
    </row>
    <row r="7767" spans="1:1" x14ac:dyDescent="0.3">
      <c r="A7767" t="s">
        <v>0</v>
      </c>
    </row>
    <row r="7768" spans="1:1" x14ac:dyDescent="0.3">
      <c r="A7768" t="s">
        <v>0</v>
      </c>
    </row>
    <row r="7769" spans="1:1" x14ac:dyDescent="0.3">
      <c r="A7769" t="s">
        <v>0</v>
      </c>
    </row>
    <row r="7770" spans="1:1" x14ac:dyDescent="0.3">
      <c r="A7770" t="s">
        <v>0</v>
      </c>
    </row>
    <row r="7771" spans="1:1" x14ac:dyDescent="0.3">
      <c r="A7771" t="s">
        <v>0</v>
      </c>
    </row>
    <row r="7772" spans="1:1" x14ac:dyDescent="0.3">
      <c r="A7772" t="s">
        <v>0</v>
      </c>
    </row>
    <row r="7773" spans="1:1" x14ac:dyDescent="0.3">
      <c r="A7773" t="s">
        <v>0</v>
      </c>
    </row>
    <row r="7774" spans="1:1" x14ac:dyDescent="0.3">
      <c r="A7774" t="s">
        <v>0</v>
      </c>
    </row>
    <row r="7775" spans="1:1" x14ac:dyDescent="0.3">
      <c r="A7775" t="s">
        <v>0</v>
      </c>
    </row>
    <row r="7776" spans="1:1" x14ac:dyDescent="0.3">
      <c r="A7776" t="s">
        <v>0</v>
      </c>
    </row>
    <row r="7777" spans="1:1" x14ac:dyDescent="0.3">
      <c r="A7777" t="s">
        <v>0</v>
      </c>
    </row>
    <row r="7778" spans="1:1" x14ac:dyDescent="0.3">
      <c r="A7778" t="s">
        <v>0</v>
      </c>
    </row>
    <row r="7779" spans="1:1" x14ac:dyDescent="0.3">
      <c r="A7779" t="s">
        <v>0</v>
      </c>
    </row>
    <row r="7780" spans="1:1" x14ac:dyDescent="0.3">
      <c r="A7780" t="s">
        <v>0</v>
      </c>
    </row>
    <row r="7781" spans="1:1" x14ac:dyDescent="0.3">
      <c r="A7781" t="s">
        <v>0</v>
      </c>
    </row>
    <row r="7782" spans="1:1" x14ac:dyDescent="0.3">
      <c r="A7782" t="s">
        <v>0</v>
      </c>
    </row>
    <row r="7783" spans="1:1" x14ac:dyDescent="0.3">
      <c r="A7783" t="s">
        <v>0</v>
      </c>
    </row>
    <row r="7784" spans="1:1" x14ac:dyDescent="0.3">
      <c r="A7784" t="s">
        <v>0</v>
      </c>
    </row>
    <row r="7785" spans="1:1" x14ac:dyDescent="0.3">
      <c r="A7785" t="s">
        <v>0</v>
      </c>
    </row>
    <row r="7786" spans="1:1" x14ac:dyDescent="0.3">
      <c r="A7786" t="s">
        <v>0</v>
      </c>
    </row>
    <row r="7787" spans="1:1" x14ac:dyDescent="0.3">
      <c r="A7787" t="s">
        <v>0</v>
      </c>
    </row>
    <row r="7788" spans="1:1" x14ac:dyDescent="0.3">
      <c r="A7788" t="s">
        <v>0</v>
      </c>
    </row>
    <row r="7789" spans="1:1" x14ac:dyDescent="0.3">
      <c r="A7789" t="s">
        <v>0</v>
      </c>
    </row>
    <row r="7790" spans="1:1" x14ac:dyDescent="0.3">
      <c r="A7790" t="s">
        <v>0</v>
      </c>
    </row>
    <row r="7791" spans="1:1" x14ac:dyDescent="0.3">
      <c r="A7791" t="s">
        <v>0</v>
      </c>
    </row>
    <row r="7792" spans="1:1" x14ac:dyDescent="0.3">
      <c r="A7792" t="s">
        <v>0</v>
      </c>
    </row>
    <row r="7793" spans="1:1" x14ac:dyDescent="0.3">
      <c r="A7793" t="s">
        <v>0</v>
      </c>
    </row>
    <row r="7794" spans="1:1" x14ac:dyDescent="0.3">
      <c r="A7794" t="s">
        <v>0</v>
      </c>
    </row>
    <row r="7795" spans="1:1" x14ac:dyDescent="0.3">
      <c r="A7795" t="s">
        <v>0</v>
      </c>
    </row>
    <row r="7796" spans="1:1" x14ac:dyDescent="0.3">
      <c r="A7796" t="s">
        <v>0</v>
      </c>
    </row>
    <row r="7797" spans="1:1" x14ac:dyDescent="0.3">
      <c r="A7797" t="s">
        <v>0</v>
      </c>
    </row>
    <row r="7798" spans="1:1" x14ac:dyDescent="0.3">
      <c r="A7798" t="s">
        <v>0</v>
      </c>
    </row>
    <row r="7799" spans="1:1" x14ac:dyDescent="0.3">
      <c r="A7799" t="s">
        <v>0</v>
      </c>
    </row>
    <row r="7800" spans="1:1" x14ac:dyDescent="0.3">
      <c r="A7800" t="s">
        <v>0</v>
      </c>
    </row>
    <row r="7801" spans="1:1" x14ac:dyDescent="0.3">
      <c r="A7801" t="s">
        <v>0</v>
      </c>
    </row>
    <row r="7802" spans="1:1" x14ac:dyDescent="0.3">
      <c r="A7802" t="s">
        <v>0</v>
      </c>
    </row>
    <row r="7803" spans="1:1" x14ac:dyDescent="0.3">
      <c r="A7803" t="s">
        <v>0</v>
      </c>
    </row>
    <row r="7804" spans="1:1" x14ac:dyDescent="0.3">
      <c r="A7804" t="s">
        <v>0</v>
      </c>
    </row>
    <row r="7805" spans="1:1" x14ac:dyDescent="0.3">
      <c r="A7805" t="s">
        <v>0</v>
      </c>
    </row>
    <row r="7806" spans="1:1" x14ac:dyDescent="0.3">
      <c r="A7806" t="s">
        <v>0</v>
      </c>
    </row>
    <row r="7807" spans="1:1" x14ac:dyDescent="0.3">
      <c r="A7807" t="s">
        <v>0</v>
      </c>
    </row>
    <row r="7808" spans="1:1" x14ac:dyDescent="0.3">
      <c r="A7808" t="s">
        <v>0</v>
      </c>
    </row>
    <row r="7809" spans="1:1" x14ac:dyDescent="0.3">
      <c r="A7809" t="s">
        <v>0</v>
      </c>
    </row>
    <row r="7810" spans="1:1" x14ac:dyDescent="0.3">
      <c r="A7810" t="s">
        <v>0</v>
      </c>
    </row>
    <row r="7811" spans="1:1" x14ac:dyDescent="0.3">
      <c r="A7811" t="s">
        <v>0</v>
      </c>
    </row>
    <row r="7812" spans="1:1" x14ac:dyDescent="0.3">
      <c r="A7812" t="s">
        <v>0</v>
      </c>
    </row>
    <row r="7813" spans="1:1" x14ac:dyDescent="0.3">
      <c r="A7813" t="s">
        <v>0</v>
      </c>
    </row>
    <row r="7814" spans="1:1" x14ac:dyDescent="0.3">
      <c r="A7814" t="s">
        <v>0</v>
      </c>
    </row>
    <row r="7815" spans="1:1" x14ac:dyDescent="0.3">
      <c r="A7815" t="s">
        <v>0</v>
      </c>
    </row>
    <row r="7816" spans="1:1" x14ac:dyDescent="0.3">
      <c r="A7816" t="s">
        <v>0</v>
      </c>
    </row>
    <row r="7817" spans="1:1" x14ac:dyDescent="0.3">
      <c r="A7817" t="s">
        <v>0</v>
      </c>
    </row>
    <row r="7818" spans="1:1" x14ac:dyDescent="0.3">
      <c r="A7818" t="s">
        <v>0</v>
      </c>
    </row>
    <row r="7819" spans="1:1" x14ac:dyDescent="0.3">
      <c r="A7819" t="s">
        <v>0</v>
      </c>
    </row>
    <row r="7820" spans="1:1" x14ac:dyDescent="0.3">
      <c r="A7820" t="s">
        <v>0</v>
      </c>
    </row>
    <row r="7821" spans="1:1" x14ac:dyDescent="0.3">
      <c r="A7821" t="s">
        <v>0</v>
      </c>
    </row>
    <row r="7822" spans="1:1" x14ac:dyDescent="0.3">
      <c r="A7822" t="s">
        <v>0</v>
      </c>
    </row>
    <row r="7823" spans="1:1" x14ac:dyDescent="0.3">
      <c r="A7823" t="s">
        <v>0</v>
      </c>
    </row>
    <row r="7824" spans="1:1" x14ac:dyDescent="0.3">
      <c r="A7824" t="s">
        <v>0</v>
      </c>
    </row>
    <row r="7825" spans="1:1" x14ac:dyDescent="0.3">
      <c r="A7825" t="s">
        <v>0</v>
      </c>
    </row>
    <row r="7826" spans="1:1" x14ac:dyDescent="0.3">
      <c r="A7826" t="s">
        <v>0</v>
      </c>
    </row>
    <row r="7827" spans="1:1" x14ac:dyDescent="0.3">
      <c r="A7827" t="s">
        <v>0</v>
      </c>
    </row>
    <row r="7828" spans="1:1" x14ac:dyDescent="0.3">
      <c r="A7828" t="s">
        <v>0</v>
      </c>
    </row>
    <row r="7829" spans="1:1" x14ac:dyDescent="0.3">
      <c r="A7829" t="s">
        <v>0</v>
      </c>
    </row>
    <row r="7830" spans="1:1" x14ac:dyDescent="0.3">
      <c r="A7830" t="s">
        <v>0</v>
      </c>
    </row>
    <row r="7831" spans="1:1" x14ac:dyDescent="0.3">
      <c r="A7831" t="s">
        <v>0</v>
      </c>
    </row>
    <row r="7832" spans="1:1" x14ac:dyDescent="0.3">
      <c r="A7832" t="s">
        <v>0</v>
      </c>
    </row>
    <row r="7833" spans="1:1" x14ac:dyDescent="0.3">
      <c r="A7833" t="s">
        <v>0</v>
      </c>
    </row>
    <row r="7834" spans="1:1" x14ac:dyDescent="0.3">
      <c r="A7834" t="s">
        <v>0</v>
      </c>
    </row>
    <row r="7835" spans="1:1" x14ac:dyDescent="0.3">
      <c r="A7835" t="s">
        <v>0</v>
      </c>
    </row>
    <row r="7836" spans="1:1" x14ac:dyDescent="0.3">
      <c r="A7836" t="s">
        <v>0</v>
      </c>
    </row>
    <row r="7837" spans="1:1" x14ac:dyDescent="0.3">
      <c r="A7837" t="s">
        <v>0</v>
      </c>
    </row>
    <row r="7838" spans="1:1" x14ac:dyDescent="0.3">
      <c r="A7838" t="s">
        <v>0</v>
      </c>
    </row>
    <row r="7839" spans="1:1" x14ac:dyDescent="0.3">
      <c r="A7839" t="s">
        <v>0</v>
      </c>
    </row>
    <row r="7840" spans="1:1" x14ac:dyDescent="0.3">
      <c r="A7840" t="s">
        <v>0</v>
      </c>
    </row>
    <row r="7841" spans="1:1" x14ac:dyDescent="0.3">
      <c r="A7841" t="s">
        <v>0</v>
      </c>
    </row>
    <row r="7842" spans="1:1" x14ac:dyDescent="0.3">
      <c r="A7842" t="s">
        <v>0</v>
      </c>
    </row>
    <row r="7843" spans="1:1" x14ac:dyDescent="0.3">
      <c r="A7843" t="s">
        <v>0</v>
      </c>
    </row>
    <row r="7844" spans="1:1" x14ac:dyDescent="0.3">
      <c r="A7844" t="s">
        <v>0</v>
      </c>
    </row>
    <row r="7845" spans="1:1" x14ac:dyDescent="0.3">
      <c r="A7845" t="s">
        <v>0</v>
      </c>
    </row>
    <row r="7846" spans="1:1" x14ac:dyDescent="0.3">
      <c r="A7846" t="s">
        <v>0</v>
      </c>
    </row>
    <row r="7847" spans="1:1" x14ac:dyDescent="0.3">
      <c r="A7847" t="s">
        <v>0</v>
      </c>
    </row>
    <row r="7848" spans="1:1" x14ac:dyDescent="0.3">
      <c r="A7848" t="s">
        <v>0</v>
      </c>
    </row>
    <row r="7849" spans="1:1" x14ac:dyDescent="0.3">
      <c r="A7849" t="s">
        <v>0</v>
      </c>
    </row>
    <row r="7850" spans="1:1" x14ac:dyDescent="0.3">
      <c r="A7850" t="s">
        <v>0</v>
      </c>
    </row>
    <row r="7851" spans="1:1" x14ac:dyDescent="0.3">
      <c r="A7851" t="s">
        <v>0</v>
      </c>
    </row>
    <row r="7852" spans="1:1" x14ac:dyDescent="0.3">
      <c r="A7852" t="s">
        <v>0</v>
      </c>
    </row>
    <row r="7853" spans="1:1" x14ac:dyDescent="0.3">
      <c r="A7853" t="s">
        <v>0</v>
      </c>
    </row>
    <row r="7854" spans="1:1" x14ac:dyDescent="0.3">
      <c r="A7854" t="s">
        <v>0</v>
      </c>
    </row>
    <row r="7855" spans="1:1" x14ac:dyDescent="0.3">
      <c r="A7855" t="s">
        <v>0</v>
      </c>
    </row>
    <row r="7856" spans="1:1" x14ac:dyDescent="0.3">
      <c r="A7856" t="s">
        <v>0</v>
      </c>
    </row>
    <row r="7857" spans="1:1" x14ac:dyDescent="0.3">
      <c r="A7857" t="s">
        <v>0</v>
      </c>
    </row>
    <row r="7858" spans="1:1" x14ac:dyDescent="0.3">
      <c r="A7858" t="s">
        <v>0</v>
      </c>
    </row>
    <row r="7859" spans="1:1" x14ac:dyDescent="0.3">
      <c r="A7859" t="s">
        <v>0</v>
      </c>
    </row>
    <row r="7860" spans="1:1" x14ac:dyDescent="0.3">
      <c r="A7860" t="s">
        <v>0</v>
      </c>
    </row>
    <row r="7861" spans="1:1" x14ac:dyDescent="0.3">
      <c r="A7861" t="s">
        <v>0</v>
      </c>
    </row>
    <row r="7862" spans="1:1" x14ac:dyDescent="0.3">
      <c r="A7862" t="s">
        <v>0</v>
      </c>
    </row>
    <row r="7863" spans="1:1" x14ac:dyDescent="0.3">
      <c r="A7863" t="s">
        <v>0</v>
      </c>
    </row>
    <row r="7864" spans="1:1" x14ac:dyDescent="0.3">
      <c r="A7864" t="s">
        <v>0</v>
      </c>
    </row>
    <row r="7865" spans="1:1" x14ac:dyDescent="0.3">
      <c r="A7865" t="s">
        <v>0</v>
      </c>
    </row>
    <row r="7866" spans="1:1" x14ac:dyDescent="0.3">
      <c r="A7866" t="s">
        <v>0</v>
      </c>
    </row>
    <row r="7867" spans="1:1" x14ac:dyDescent="0.3">
      <c r="A7867" t="s">
        <v>0</v>
      </c>
    </row>
    <row r="7868" spans="1:1" x14ac:dyDescent="0.3">
      <c r="A7868" t="s">
        <v>0</v>
      </c>
    </row>
    <row r="7869" spans="1:1" x14ac:dyDescent="0.3">
      <c r="A7869" t="s">
        <v>0</v>
      </c>
    </row>
    <row r="7870" spans="1:1" x14ac:dyDescent="0.3">
      <c r="A7870" t="s">
        <v>0</v>
      </c>
    </row>
    <row r="7871" spans="1:1" x14ac:dyDescent="0.3">
      <c r="A7871" t="s">
        <v>0</v>
      </c>
    </row>
    <row r="7872" spans="1:1" x14ac:dyDescent="0.3">
      <c r="A7872" t="s">
        <v>0</v>
      </c>
    </row>
    <row r="7873" spans="1:1" x14ac:dyDescent="0.3">
      <c r="A7873" t="s">
        <v>0</v>
      </c>
    </row>
    <row r="7874" spans="1:1" x14ac:dyDescent="0.3">
      <c r="A7874" t="s">
        <v>0</v>
      </c>
    </row>
    <row r="7875" spans="1:1" x14ac:dyDescent="0.3">
      <c r="A7875" t="s">
        <v>0</v>
      </c>
    </row>
    <row r="7876" spans="1:1" x14ac:dyDescent="0.3">
      <c r="A7876" t="s">
        <v>0</v>
      </c>
    </row>
    <row r="7877" spans="1:1" x14ac:dyDescent="0.3">
      <c r="A7877" t="s">
        <v>0</v>
      </c>
    </row>
    <row r="7878" spans="1:1" x14ac:dyDescent="0.3">
      <c r="A7878" t="s">
        <v>0</v>
      </c>
    </row>
    <row r="7879" spans="1:1" x14ac:dyDescent="0.3">
      <c r="A7879" t="s">
        <v>0</v>
      </c>
    </row>
    <row r="7880" spans="1:1" x14ac:dyDescent="0.3">
      <c r="A7880" t="s">
        <v>0</v>
      </c>
    </row>
    <row r="7881" spans="1:1" x14ac:dyDescent="0.3">
      <c r="A7881" t="s">
        <v>0</v>
      </c>
    </row>
    <row r="7882" spans="1:1" x14ac:dyDescent="0.3">
      <c r="A7882" t="s">
        <v>0</v>
      </c>
    </row>
    <row r="7883" spans="1:1" x14ac:dyDescent="0.3">
      <c r="A7883" t="s">
        <v>0</v>
      </c>
    </row>
    <row r="7884" spans="1:1" x14ac:dyDescent="0.3">
      <c r="A7884" t="s">
        <v>0</v>
      </c>
    </row>
    <row r="7885" spans="1:1" x14ac:dyDescent="0.3">
      <c r="A7885" t="s">
        <v>0</v>
      </c>
    </row>
    <row r="7886" spans="1:1" x14ac:dyDescent="0.3">
      <c r="A7886" t="s">
        <v>0</v>
      </c>
    </row>
    <row r="7887" spans="1:1" x14ac:dyDescent="0.3">
      <c r="A7887" t="s">
        <v>0</v>
      </c>
    </row>
    <row r="7888" spans="1:1" x14ac:dyDescent="0.3">
      <c r="A7888" t="s">
        <v>0</v>
      </c>
    </row>
    <row r="7889" spans="1:1" x14ac:dyDescent="0.3">
      <c r="A7889" t="s">
        <v>0</v>
      </c>
    </row>
    <row r="7890" spans="1:1" x14ac:dyDescent="0.3">
      <c r="A7890" t="s">
        <v>0</v>
      </c>
    </row>
    <row r="7891" spans="1:1" x14ac:dyDescent="0.3">
      <c r="A7891" t="s">
        <v>0</v>
      </c>
    </row>
    <row r="7892" spans="1:1" x14ac:dyDescent="0.3">
      <c r="A7892" t="s">
        <v>0</v>
      </c>
    </row>
    <row r="7893" spans="1:1" x14ac:dyDescent="0.3">
      <c r="A7893" t="s">
        <v>0</v>
      </c>
    </row>
    <row r="7894" spans="1:1" x14ac:dyDescent="0.3">
      <c r="A7894" t="s">
        <v>0</v>
      </c>
    </row>
    <row r="7895" spans="1:1" x14ac:dyDescent="0.3">
      <c r="A7895" t="s">
        <v>0</v>
      </c>
    </row>
    <row r="7896" spans="1:1" x14ac:dyDescent="0.3">
      <c r="A7896" t="s">
        <v>0</v>
      </c>
    </row>
    <row r="7897" spans="1:1" x14ac:dyDescent="0.3">
      <c r="A7897" t="s">
        <v>0</v>
      </c>
    </row>
    <row r="7898" spans="1:1" x14ac:dyDescent="0.3">
      <c r="A7898" t="s">
        <v>0</v>
      </c>
    </row>
    <row r="7899" spans="1:1" x14ac:dyDescent="0.3">
      <c r="A7899" t="s">
        <v>0</v>
      </c>
    </row>
    <row r="7900" spans="1:1" x14ac:dyDescent="0.3">
      <c r="A7900" t="s">
        <v>0</v>
      </c>
    </row>
    <row r="7901" spans="1:1" x14ac:dyDescent="0.3">
      <c r="A7901" t="s">
        <v>0</v>
      </c>
    </row>
    <row r="7902" spans="1:1" x14ac:dyDescent="0.3">
      <c r="A7902" t="s">
        <v>0</v>
      </c>
    </row>
    <row r="7903" spans="1:1" x14ac:dyDescent="0.3">
      <c r="A7903" t="s">
        <v>0</v>
      </c>
    </row>
    <row r="7904" spans="1:1" x14ac:dyDescent="0.3">
      <c r="A7904" t="s">
        <v>0</v>
      </c>
    </row>
    <row r="7905" spans="1:1" x14ac:dyDescent="0.3">
      <c r="A7905" t="s">
        <v>0</v>
      </c>
    </row>
    <row r="7906" spans="1:1" x14ac:dyDescent="0.3">
      <c r="A7906" t="s">
        <v>0</v>
      </c>
    </row>
    <row r="7907" spans="1:1" x14ac:dyDescent="0.3">
      <c r="A7907" t="s">
        <v>0</v>
      </c>
    </row>
    <row r="7908" spans="1:1" x14ac:dyDescent="0.3">
      <c r="A7908" t="s">
        <v>0</v>
      </c>
    </row>
    <row r="7909" spans="1:1" x14ac:dyDescent="0.3">
      <c r="A7909" t="s">
        <v>0</v>
      </c>
    </row>
    <row r="7910" spans="1:1" x14ac:dyDescent="0.3">
      <c r="A7910" t="s">
        <v>0</v>
      </c>
    </row>
    <row r="7911" spans="1:1" x14ac:dyDescent="0.3">
      <c r="A7911" t="s">
        <v>0</v>
      </c>
    </row>
    <row r="7912" spans="1:1" x14ac:dyDescent="0.3">
      <c r="A7912" t="s">
        <v>0</v>
      </c>
    </row>
    <row r="7913" spans="1:1" x14ac:dyDescent="0.3">
      <c r="A7913" t="s">
        <v>0</v>
      </c>
    </row>
    <row r="7914" spans="1:1" x14ac:dyDescent="0.3">
      <c r="A7914" t="s">
        <v>0</v>
      </c>
    </row>
    <row r="7915" spans="1:1" x14ac:dyDescent="0.3">
      <c r="A7915" t="s">
        <v>0</v>
      </c>
    </row>
    <row r="7916" spans="1:1" x14ac:dyDescent="0.3">
      <c r="A7916" t="s">
        <v>0</v>
      </c>
    </row>
    <row r="7917" spans="1:1" x14ac:dyDescent="0.3">
      <c r="A7917" t="s">
        <v>0</v>
      </c>
    </row>
    <row r="7918" spans="1:1" x14ac:dyDescent="0.3">
      <c r="A7918" t="s">
        <v>0</v>
      </c>
    </row>
    <row r="7919" spans="1:1" x14ac:dyDescent="0.3">
      <c r="A7919" t="s">
        <v>0</v>
      </c>
    </row>
    <row r="7920" spans="1:1" x14ac:dyDescent="0.3">
      <c r="A7920" t="s">
        <v>0</v>
      </c>
    </row>
    <row r="7921" spans="1:1" x14ac:dyDescent="0.3">
      <c r="A7921" t="s">
        <v>0</v>
      </c>
    </row>
    <row r="7922" spans="1:1" x14ac:dyDescent="0.3">
      <c r="A7922" t="s">
        <v>0</v>
      </c>
    </row>
    <row r="7923" spans="1:1" x14ac:dyDescent="0.3">
      <c r="A7923" t="s">
        <v>0</v>
      </c>
    </row>
    <row r="7924" spans="1:1" x14ac:dyDescent="0.3">
      <c r="A7924" t="s">
        <v>0</v>
      </c>
    </row>
    <row r="7925" spans="1:1" x14ac:dyDescent="0.3">
      <c r="A7925" t="s">
        <v>0</v>
      </c>
    </row>
    <row r="7926" spans="1:1" x14ac:dyDescent="0.3">
      <c r="A7926" t="s">
        <v>0</v>
      </c>
    </row>
    <row r="7927" spans="1:1" x14ac:dyDescent="0.3">
      <c r="A7927" t="s">
        <v>0</v>
      </c>
    </row>
    <row r="7928" spans="1:1" x14ac:dyDescent="0.3">
      <c r="A7928" t="s">
        <v>0</v>
      </c>
    </row>
    <row r="7929" spans="1:1" x14ac:dyDescent="0.3">
      <c r="A7929" t="s">
        <v>0</v>
      </c>
    </row>
    <row r="7930" spans="1:1" x14ac:dyDescent="0.3">
      <c r="A7930" t="s">
        <v>0</v>
      </c>
    </row>
    <row r="7931" spans="1:1" x14ac:dyDescent="0.3">
      <c r="A7931" t="s">
        <v>0</v>
      </c>
    </row>
    <row r="7932" spans="1:1" x14ac:dyDescent="0.3">
      <c r="A7932" t="s">
        <v>0</v>
      </c>
    </row>
    <row r="7933" spans="1:1" x14ac:dyDescent="0.3">
      <c r="A7933" t="s">
        <v>0</v>
      </c>
    </row>
    <row r="7934" spans="1:1" x14ac:dyDescent="0.3">
      <c r="A7934" t="s">
        <v>0</v>
      </c>
    </row>
    <row r="7935" spans="1:1" x14ac:dyDescent="0.3">
      <c r="A7935" t="s">
        <v>0</v>
      </c>
    </row>
    <row r="7936" spans="1:1" x14ac:dyDescent="0.3">
      <c r="A7936" t="s">
        <v>0</v>
      </c>
    </row>
    <row r="7937" spans="1:1" x14ac:dyDescent="0.3">
      <c r="A7937" t="s">
        <v>0</v>
      </c>
    </row>
    <row r="7938" spans="1:1" x14ac:dyDescent="0.3">
      <c r="A7938" t="s">
        <v>0</v>
      </c>
    </row>
    <row r="7939" spans="1:1" x14ac:dyDescent="0.3">
      <c r="A7939" t="s">
        <v>0</v>
      </c>
    </row>
    <row r="7940" spans="1:1" x14ac:dyDescent="0.3">
      <c r="A7940" t="s">
        <v>0</v>
      </c>
    </row>
    <row r="7941" spans="1:1" x14ac:dyDescent="0.3">
      <c r="A7941" t="s">
        <v>0</v>
      </c>
    </row>
    <row r="7942" spans="1:1" x14ac:dyDescent="0.3">
      <c r="A7942" t="s">
        <v>0</v>
      </c>
    </row>
    <row r="7943" spans="1:1" x14ac:dyDescent="0.3">
      <c r="A7943" t="s">
        <v>0</v>
      </c>
    </row>
    <row r="7944" spans="1:1" x14ac:dyDescent="0.3">
      <c r="A7944" t="s">
        <v>0</v>
      </c>
    </row>
    <row r="7945" spans="1:1" x14ac:dyDescent="0.3">
      <c r="A7945" t="s">
        <v>0</v>
      </c>
    </row>
    <row r="7946" spans="1:1" x14ac:dyDescent="0.3">
      <c r="A7946" t="s">
        <v>0</v>
      </c>
    </row>
    <row r="7947" spans="1:1" x14ac:dyDescent="0.3">
      <c r="A7947" t="s">
        <v>0</v>
      </c>
    </row>
    <row r="7948" spans="1:1" x14ac:dyDescent="0.3">
      <c r="A7948" t="s">
        <v>0</v>
      </c>
    </row>
    <row r="7949" spans="1:1" x14ac:dyDescent="0.3">
      <c r="A7949" t="s">
        <v>0</v>
      </c>
    </row>
    <row r="7950" spans="1:1" x14ac:dyDescent="0.3">
      <c r="A7950" t="s">
        <v>0</v>
      </c>
    </row>
    <row r="7951" spans="1:1" x14ac:dyDescent="0.3">
      <c r="A7951" t="s">
        <v>0</v>
      </c>
    </row>
    <row r="7952" spans="1:1" x14ac:dyDescent="0.3">
      <c r="A7952" t="s">
        <v>0</v>
      </c>
    </row>
    <row r="7953" spans="1:1" x14ac:dyDescent="0.3">
      <c r="A7953" t="s">
        <v>0</v>
      </c>
    </row>
    <row r="7954" spans="1:1" x14ac:dyDescent="0.3">
      <c r="A7954" t="s">
        <v>0</v>
      </c>
    </row>
    <row r="7955" spans="1:1" x14ac:dyDescent="0.3">
      <c r="A7955" t="s">
        <v>0</v>
      </c>
    </row>
    <row r="7956" spans="1:1" x14ac:dyDescent="0.3">
      <c r="A7956" t="s">
        <v>0</v>
      </c>
    </row>
    <row r="7957" spans="1:1" x14ac:dyDescent="0.3">
      <c r="A7957" t="s">
        <v>0</v>
      </c>
    </row>
    <row r="7958" spans="1:1" x14ac:dyDescent="0.3">
      <c r="A7958" t="s">
        <v>0</v>
      </c>
    </row>
    <row r="7959" spans="1:1" x14ac:dyDescent="0.3">
      <c r="A7959" t="s">
        <v>0</v>
      </c>
    </row>
    <row r="7960" spans="1:1" x14ac:dyDescent="0.3">
      <c r="A7960" t="s">
        <v>0</v>
      </c>
    </row>
    <row r="7961" spans="1:1" x14ac:dyDescent="0.3">
      <c r="A7961" t="s">
        <v>0</v>
      </c>
    </row>
    <row r="7962" spans="1:1" x14ac:dyDescent="0.3">
      <c r="A7962" t="s">
        <v>0</v>
      </c>
    </row>
    <row r="7963" spans="1:1" x14ac:dyDescent="0.3">
      <c r="A7963" t="s">
        <v>0</v>
      </c>
    </row>
    <row r="7964" spans="1:1" x14ac:dyDescent="0.3">
      <c r="A7964" t="s">
        <v>0</v>
      </c>
    </row>
    <row r="7965" spans="1:1" x14ac:dyDescent="0.3">
      <c r="A7965" t="s">
        <v>0</v>
      </c>
    </row>
    <row r="7966" spans="1:1" x14ac:dyDescent="0.3">
      <c r="A7966" t="s">
        <v>0</v>
      </c>
    </row>
    <row r="7967" spans="1:1" x14ac:dyDescent="0.3">
      <c r="A7967" t="s">
        <v>0</v>
      </c>
    </row>
    <row r="7968" spans="1:1" x14ac:dyDescent="0.3">
      <c r="A7968" t="s">
        <v>0</v>
      </c>
    </row>
    <row r="7969" spans="1:1" x14ac:dyDescent="0.3">
      <c r="A7969" t="s">
        <v>0</v>
      </c>
    </row>
    <row r="7970" spans="1:1" x14ac:dyDescent="0.3">
      <c r="A7970" t="s">
        <v>0</v>
      </c>
    </row>
    <row r="7971" spans="1:1" x14ac:dyDescent="0.3">
      <c r="A7971" t="s">
        <v>0</v>
      </c>
    </row>
    <row r="7972" spans="1:1" x14ac:dyDescent="0.3">
      <c r="A7972" t="s">
        <v>0</v>
      </c>
    </row>
    <row r="7973" spans="1:1" x14ac:dyDescent="0.3">
      <c r="A7973" t="s">
        <v>0</v>
      </c>
    </row>
    <row r="7974" spans="1:1" x14ac:dyDescent="0.3">
      <c r="A7974" t="s">
        <v>0</v>
      </c>
    </row>
    <row r="7975" spans="1:1" x14ac:dyDescent="0.3">
      <c r="A7975" t="s">
        <v>0</v>
      </c>
    </row>
    <row r="7976" spans="1:1" x14ac:dyDescent="0.3">
      <c r="A7976" t="s">
        <v>0</v>
      </c>
    </row>
    <row r="7977" spans="1:1" x14ac:dyDescent="0.3">
      <c r="A7977" t="s">
        <v>0</v>
      </c>
    </row>
    <row r="7978" spans="1:1" x14ac:dyDescent="0.3">
      <c r="A7978" t="s">
        <v>0</v>
      </c>
    </row>
    <row r="7979" spans="1:1" x14ac:dyDescent="0.3">
      <c r="A7979" t="s">
        <v>0</v>
      </c>
    </row>
    <row r="7980" spans="1:1" x14ac:dyDescent="0.3">
      <c r="A7980" t="s">
        <v>0</v>
      </c>
    </row>
    <row r="7981" spans="1:1" x14ac:dyDescent="0.3">
      <c r="A7981" t="s">
        <v>0</v>
      </c>
    </row>
    <row r="7982" spans="1:1" x14ac:dyDescent="0.3">
      <c r="A7982" t="s">
        <v>0</v>
      </c>
    </row>
    <row r="7983" spans="1:1" x14ac:dyDescent="0.3">
      <c r="A7983" t="s">
        <v>0</v>
      </c>
    </row>
    <row r="7984" spans="1:1" x14ac:dyDescent="0.3">
      <c r="A7984" t="s">
        <v>0</v>
      </c>
    </row>
    <row r="7985" spans="1:1" x14ac:dyDescent="0.3">
      <c r="A7985" t="s">
        <v>0</v>
      </c>
    </row>
    <row r="7986" spans="1:1" x14ac:dyDescent="0.3">
      <c r="A7986" t="s">
        <v>0</v>
      </c>
    </row>
    <row r="7987" spans="1:1" x14ac:dyDescent="0.3">
      <c r="A7987" t="s">
        <v>0</v>
      </c>
    </row>
    <row r="7988" spans="1:1" x14ac:dyDescent="0.3">
      <c r="A7988" t="s">
        <v>0</v>
      </c>
    </row>
    <row r="7989" spans="1:1" x14ac:dyDescent="0.3">
      <c r="A7989" t="s">
        <v>0</v>
      </c>
    </row>
    <row r="7990" spans="1:1" x14ac:dyDescent="0.3">
      <c r="A7990" t="s">
        <v>0</v>
      </c>
    </row>
    <row r="7991" spans="1:1" x14ac:dyDescent="0.3">
      <c r="A7991" t="s">
        <v>0</v>
      </c>
    </row>
    <row r="7992" spans="1:1" x14ac:dyDescent="0.3">
      <c r="A7992" t="s">
        <v>0</v>
      </c>
    </row>
    <row r="7993" spans="1:1" x14ac:dyDescent="0.3">
      <c r="A7993" t="s">
        <v>0</v>
      </c>
    </row>
    <row r="7994" spans="1:1" x14ac:dyDescent="0.3">
      <c r="A7994" t="s">
        <v>0</v>
      </c>
    </row>
    <row r="7995" spans="1:1" x14ac:dyDescent="0.3">
      <c r="A7995" t="s">
        <v>0</v>
      </c>
    </row>
    <row r="7996" spans="1:1" x14ac:dyDescent="0.3">
      <c r="A7996" t="s">
        <v>0</v>
      </c>
    </row>
    <row r="7997" spans="1:1" x14ac:dyDescent="0.3">
      <c r="A7997" t="s">
        <v>0</v>
      </c>
    </row>
    <row r="7998" spans="1:1" x14ac:dyDescent="0.3">
      <c r="A7998" t="s">
        <v>0</v>
      </c>
    </row>
    <row r="7999" spans="1:1" x14ac:dyDescent="0.3">
      <c r="A7999" t="s">
        <v>0</v>
      </c>
    </row>
    <row r="8000" spans="1:1" x14ac:dyDescent="0.3">
      <c r="A8000" t="s">
        <v>0</v>
      </c>
    </row>
    <row r="8001" spans="1:1" x14ac:dyDescent="0.3">
      <c r="A8001" t="s">
        <v>0</v>
      </c>
    </row>
    <row r="8002" spans="1:1" x14ac:dyDescent="0.3">
      <c r="A8002" t="s">
        <v>0</v>
      </c>
    </row>
    <row r="8003" spans="1:1" x14ac:dyDescent="0.3">
      <c r="A8003" t="s">
        <v>0</v>
      </c>
    </row>
    <row r="8004" spans="1:1" x14ac:dyDescent="0.3">
      <c r="A8004" t="s">
        <v>0</v>
      </c>
    </row>
    <row r="8005" spans="1:1" x14ac:dyDescent="0.3">
      <c r="A8005" t="s">
        <v>0</v>
      </c>
    </row>
    <row r="8006" spans="1:1" x14ac:dyDescent="0.3">
      <c r="A8006" t="s">
        <v>0</v>
      </c>
    </row>
    <row r="8007" spans="1:1" x14ac:dyDescent="0.3">
      <c r="A8007" t="s">
        <v>0</v>
      </c>
    </row>
    <row r="8008" spans="1:1" x14ac:dyDescent="0.3">
      <c r="A8008" t="s">
        <v>0</v>
      </c>
    </row>
    <row r="8009" spans="1:1" x14ac:dyDescent="0.3">
      <c r="A8009" t="s">
        <v>0</v>
      </c>
    </row>
    <row r="8010" spans="1:1" x14ac:dyDescent="0.3">
      <c r="A8010" t="s">
        <v>0</v>
      </c>
    </row>
    <row r="8011" spans="1:1" x14ac:dyDescent="0.3">
      <c r="A8011" t="s">
        <v>0</v>
      </c>
    </row>
    <row r="8012" spans="1:1" x14ac:dyDescent="0.3">
      <c r="A8012" t="s">
        <v>0</v>
      </c>
    </row>
    <row r="8013" spans="1:1" x14ac:dyDescent="0.3">
      <c r="A8013" t="s">
        <v>0</v>
      </c>
    </row>
    <row r="8014" spans="1:1" x14ac:dyDescent="0.3">
      <c r="A8014" t="s">
        <v>0</v>
      </c>
    </row>
    <row r="8015" spans="1:1" x14ac:dyDescent="0.3">
      <c r="A8015" t="s">
        <v>0</v>
      </c>
    </row>
    <row r="8016" spans="1:1" x14ac:dyDescent="0.3">
      <c r="A8016" t="s">
        <v>0</v>
      </c>
    </row>
    <row r="8017" spans="1:1" x14ac:dyDescent="0.3">
      <c r="A8017" t="s">
        <v>0</v>
      </c>
    </row>
    <row r="8018" spans="1:1" x14ac:dyDescent="0.3">
      <c r="A8018" t="s">
        <v>0</v>
      </c>
    </row>
    <row r="8019" spans="1:1" x14ac:dyDescent="0.3">
      <c r="A8019" t="s">
        <v>0</v>
      </c>
    </row>
    <row r="8020" spans="1:1" x14ac:dyDescent="0.3">
      <c r="A8020" t="s">
        <v>0</v>
      </c>
    </row>
    <row r="8021" spans="1:1" x14ac:dyDescent="0.3">
      <c r="A8021" t="s">
        <v>0</v>
      </c>
    </row>
    <row r="8022" spans="1:1" x14ac:dyDescent="0.3">
      <c r="A8022" t="s">
        <v>0</v>
      </c>
    </row>
    <row r="8023" spans="1:1" x14ac:dyDescent="0.3">
      <c r="A8023" t="s">
        <v>0</v>
      </c>
    </row>
    <row r="8024" spans="1:1" x14ac:dyDescent="0.3">
      <c r="A8024" t="s">
        <v>0</v>
      </c>
    </row>
    <row r="8025" spans="1:1" x14ac:dyDescent="0.3">
      <c r="A8025" t="s">
        <v>0</v>
      </c>
    </row>
    <row r="8026" spans="1:1" x14ac:dyDescent="0.3">
      <c r="A8026" t="s">
        <v>0</v>
      </c>
    </row>
    <row r="8027" spans="1:1" x14ac:dyDescent="0.3">
      <c r="A8027" t="s">
        <v>0</v>
      </c>
    </row>
    <row r="8028" spans="1:1" x14ac:dyDescent="0.3">
      <c r="A8028" t="s">
        <v>0</v>
      </c>
    </row>
    <row r="8029" spans="1:1" x14ac:dyDescent="0.3">
      <c r="A8029" t="s">
        <v>0</v>
      </c>
    </row>
    <row r="8030" spans="1:1" x14ac:dyDescent="0.3">
      <c r="A8030" t="s">
        <v>0</v>
      </c>
    </row>
    <row r="8031" spans="1:1" x14ac:dyDescent="0.3">
      <c r="A8031" t="s">
        <v>0</v>
      </c>
    </row>
    <row r="8032" spans="1:1" x14ac:dyDescent="0.3">
      <c r="A8032" t="s">
        <v>0</v>
      </c>
    </row>
    <row r="8033" spans="1:1" x14ac:dyDescent="0.3">
      <c r="A8033" t="s">
        <v>0</v>
      </c>
    </row>
    <row r="8034" spans="1:1" x14ac:dyDescent="0.3">
      <c r="A8034" t="s">
        <v>0</v>
      </c>
    </row>
    <row r="8035" spans="1:1" x14ac:dyDescent="0.3">
      <c r="A8035" t="s">
        <v>0</v>
      </c>
    </row>
    <row r="8036" spans="1:1" x14ac:dyDescent="0.3">
      <c r="A8036" t="s">
        <v>0</v>
      </c>
    </row>
    <row r="8037" spans="1:1" x14ac:dyDescent="0.3">
      <c r="A8037" t="s">
        <v>0</v>
      </c>
    </row>
    <row r="8038" spans="1:1" x14ac:dyDescent="0.3">
      <c r="A8038" t="s">
        <v>0</v>
      </c>
    </row>
    <row r="8039" spans="1:1" x14ac:dyDescent="0.3">
      <c r="A8039" t="s">
        <v>0</v>
      </c>
    </row>
    <row r="8040" spans="1:1" x14ac:dyDescent="0.3">
      <c r="A8040" t="s">
        <v>0</v>
      </c>
    </row>
    <row r="8041" spans="1:1" x14ac:dyDescent="0.3">
      <c r="A8041" t="s">
        <v>0</v>
      </c>
    </row>
    <row r="8042" spans="1:1" x14ac:dyDescent="0.3">
      <c r="A8042" t="s">
        <v>0</v>
      </c>
    </row>
    <row r="8043" spans="1:1" x14ac:dyDescent="0.3">
      <c r="A8043" t="s">
        <v>0</v>
      </c>
    </row>
    <row r="8044" spans="1:1" x14ac:dyDescent="0.3">
      <c r="A8044" t="s">
        <v>0</v>
      </c>
    </row>
    <row r="8045" spans="1:1" x14ac:dyDescent="0.3">
      <c r="A8045" t="s">
        <v>0</v>
      </c>
    </row>
    <row r="8046" spans="1:1" x14ac:dyDescent="0.3">
      <c r="A8046" t="s">
        <v>0</v>
      </c>
    </row>
    <row r="8047" spans="1:1" x14ac:dyDescent="0.3">
      <c r="A8047" t="s">
        <v>0</v>
      </c>
    </row>
    <row r="8048" spans="1:1" x14ac:dyDescent="0.3">
      <c r="A8048" t="s">
        <v>0</v>
      </c>
    </row>
    <row r="8049" spans="1:1" x14ac:dyDescent="0.3">
      <c r="A8049" t="s">
        <v>0</v>
      </c>
    </row>
    <row r="8050" spans="1:1" x14ac:dyDescent="0.3">
      <c r="A8050" t="s">
        <v>0</v>
      </c>
    </row>
    <row r="8051" spans="1:1" x14ac:dyDescent="0.3">
      <c r="A8051" t="s">
        <v>0</v>
      </c>
    </row>
    <row r="8052" spans="1:1" x14ac:dyDescent="0.3">
      <c r="A8052" t="s">
        <v>0</v>
      </c>
    </row>
    <row r="8053" spans="1:1" x14ac:dyDescent="0.3">
      <c r="A8053" t="s">
        <v>0</v>
      </c>
    </row>
    <row r="8054" spans="1:1" x14ac:dyDescent="0.3">
      <c r="A8054" t="s">
        <v>0</v>
      </c>
    </row>
    <row r="8055" spans="1:1" x14ac:dyDescent="0.3">
      <c r="A8055" t="s">
        <v>0</v>
      </c>
    </row>
    <row r="8056" spans="1:1" x14ac:dyDescent="0.3">
      <c r="A8056" t="s">
        <v>0</v>
      </c>
    </row>
    <row r="8057" spans="1:1" x14ac:dyDescent="0.3">
      <c r="A8057" t="s">
        <v>0</v>
      </c>
    </row>
    <row r="8058" spans="1:1" x14ac:dyDescent="0.3">
      <c r="A8058" t="s">
        <v>0</v>
      </c>
    </row>
    <row r="8059" spans="1:1" x14ac:dyDescent="0.3">
      <c r="A8059" t="s">
        <v>0</v>
      </c>
    </row>
    <row r="8060" spans="1:1" x14ac:dyDescent="0.3">
      <c r="A8060" t="s">
        <v>0</v>
      </c>
    </row>
    <row r="8061" spans="1:1" x14ac:dyDescent="0.3">
      <c r="A8061" t="s">
        <v>0</v>
      </c>
    </row>
    <row r="8062" spans="1:1" x14ac:dyDescent="0.3">
      <c r="A8062" t="s">
        <v>0</v>
      </c>
    </row>
    <row r="8063" spans="1:1" x14ac:dyDescent="0.3">
      <c r="A8063" t="s">
        <v>0</v>
      </c>
    </row>
    <row r="8064" spans="1:1" x14ac:dyDescent="0.3">
      <c r="A8064" t="s">
        <v>0</v>
      </c>
    </row>
    <row r="8065" spans="1:1" x14ac:dyDescent="0.3">
      <c r="A8065" t="s">
        <v>0</v>
      </c>
    </row>
    <row r="8066" spans="1:1" x14ac:dyDescent="0.3">
      <c r="A8066" t="s">
        <v>0</v>
      </c>
    </row>
    <row r="8067" spans="1:1" x14ac:dyDescent="0.3">
      <c r="A8067" t="s">
        <v>0</v>
      </c>
    </row>
    <row r="8068" spans="1:1" x14ac:dyDescent="0.3">
      <c r="A8068" t="s">
        <v>0</v>
      </c>
    </row>
    <row r="8069" spans="1:1" x14ac:dyDescent="0.3">
      <c r="A8069" t="s">
        <v>0</v>
      </c>
    </row>
    <row r="8070" spans="1:1" x14ac:dyDescent="0.3">
      <c r="A8070" t="s">
        <v>0</v>
      </c>
    </row>
    <row r="8071" spans="1:1" x14ac:dyDescent="0.3">
      <c r="A8071" t="s">
        <v>0</v>
      </c>
    </row>
    <row r="8072" spans="1:1" x14ac:dyDescent="0.3">
      <c r="A8072" t="s">
        <v>0</v>
      </c>
    </row>
    <row r="8073" spans="1:1" x14ac:dyDescent="0.3">
      <c r="A8073" t="s">
        <v>0</v>
      </c>
    </row>
    <row r="8074" spans="1:1" x14ac:dyDescent="0.3">
      <c r="A8074" t="s">
        <v>0</v>
      </c>
    </row>
    <row r="8075" spans="1:1" x14ac:dyDescent="0.3">
      <c r="A8075" t="s">
        <v>0</v>
      </c>
    </row>
    <row r="8076" spans="1:1" x14ac:dyDescent="0.3">
      <c r="A8076" t="s">
        <v>0</v>
      </c>
    </row>
    <row r="8077" spans="1:1" x14ac:dyDescent="0.3">
      <c r="A8077" t="s">
        <v>0</v>
      </c>
    </row>
    <row r="8078" spans="1:1" x14ac:dyDescent="0.3">
      <c r="A8078" t="s">
        <v>0</v>
      </c>
    </row>
    <row r="8079" spans="1:1" x14ac:dyDescent="0.3">
      <c r="A8079" t="s">
        <v>0</v>
      </c>
    </row>
    <row r="8080" spans="1:1" x14ac:dyDescent="0.3">
      <c r="A8080" t="s">
        <v>0</v>
      </c>
    </row>
    <row r="8081" spans="1:1" x14ac:dyDescent="0.3">
      <c r="A8081" t="s">
        <v>0</v>
      </c>
    </row>
    <row r="8082" spans="1:1" x14ac:dyDescent="0.3">
      <c r="A8082" t="s">
        <v>0</v>
      </c>
    </row>
    <row r="8083" spans="1:1" x14ac:dyDescent="0.3">
      <c r="A8083" t="s">
        <v>0</v>
      </c>
    </row>
    <row r="8084" spans="1:1" x14ac:dyDescent="0.3">
      <c r="A8084" t="s">
        <v>0</v>
      </c>
    </row>
    <row r="8085" spans="1:1" x14ac:dyDescent="0.3">
      <c r="A8085" t="s">
        <v>0</v>
      </c>
    </row>
    <row r="8086" spans="1:1" x14ac:dyDescent="0.3">
      <c r="A8086" t="s">
        <v>0</v>
      </c>
    </row>
    <row r="8087" spans="1:1" x14ac:dyDescent="0.3">
      <c r="A8087" t="s">
        <v>0</v>
      </c>
    </row>
    <row r="8088" spans="1:1" x14ac:dyDescent="0.3">
      <c r="A8088" t="s">
        <v>0</v>
      </c>
    </row>
    <row r="8089" spans="1:1" x14ac:dyDescent="0.3">
      <c r="A8089" t="s">
        <v>0</v>
      </c>
    </row>
    <row r="8090" spans="1:1" x14ac:dyDescent="0.3">
      <c r="A8090" t="s">
        <v>0</v>
      </c>
    </row>
    <row r="8091" spans="1:1" x14ac:dyDescent="0.3">
      <c r="A8091" t="s">
        <v>0</v>
      </c>
    </row>
    <row r="8092" spans="1:1" x14ac:dyDescent="0.3">
      <c r="A8092" t="s">
        <v>0</v>
      </c>
    </row>
    <row r="8093" spans="1:1" x14ac:dyDescent="0.3">
      <c r="A8093" t="s">
        <v>0</v>
      </c>
    </row>
    <row r="8094" spans="1:1" x14ac:dyDescent="0.3">
      <c r="A8094" t="s">
        <v>0</v>
      </c>
    </row>
    <row r="8095" spans="1:1" x14ac:dyDescent="0.3">
      <c r="A8095" t="s">
        <v>0</v>
      </c>
    </row>
    <row r="8096" spans="1:1" x14ac:dyDescent="0.3">
      <c r="A8096" t="s">
        <v>0</v>
      </c>
    </row>
    <row r="8097" spans="1:1" x14ac:dyDescent="0.3">
      <c r="A8097" t="s">
        <v>0</v>
      </c>
    </row>
    <row r="8098" spans="1:1" x14ac:dyDescent="0.3">
      <c r="A8098" t="s">
        <v>0</v>
      </c>
    </row>
    <row r="8099" spans="1:1" x14ac:dyDescent="0.3">
      <c r="A8099" t="s">
        <v>0</v>
      </c>
    </row>
    <row r="8100" spans="1:1" x14ac:dyDescent="0.3">
      <c r="A8100" t="s">
        <v>0</v>
      </c>
    </row>
    <row r="8101" spans="1:1" x14ac:dyDescent="0.3">
      <c r="A8101" t="s">
        <v>0</v>
      </c>
    </row>
    <row r="8102" spans="1:1" x14ac:dyDescent="0.3">
      <c r="A8102" t="s">
        <v>0</v>
      </c>
    </row>
    <row r="8103" spans="1:1" x14ac:dyDescent="0.3">
      <c r="A8103" t="s">
        <v>0</v>
      </c>
    </row>
    <row r="8104" spans="1:1" x14ac:dyDescent="0.3">
      <c r="A8104" t="s">
        <v>0</v>
      </c>
    </row>
    <row r="8105" spans="1:1" x14ac:dyDescent="0.3">
      <c r="A8105" t="s">
        <v>0</v>
      </c>
    </row>
    <row r="8106" spans="1:1" x14ac:dyDescent="0.3">
      <c r="A8106" t="s">
        <v>0</v>
      </c>
    </row>
    <row r="8107" spans="1:1" x14ac:dyDescent="0.3">
      <c r="A8107" t="s">
        <v>0</v>
      </c>
    </row>
    <row r="8108" spans="1:1" x14ac:dyDescent="0.3">
      <c r="A8108" t="s">
        <v>0</v>
      </c>
    </row>
    <row r="8109" spans="1:1" x14ac:dyDescent="0.3">
      <c r="A8109" t="s">
        <v>0</v>
      </c>
    </row>
    <row r="8110" spans="1:1" x14ac:dyDescent="0.3">
      <c r="A8110" t="s">
        <v>0</v>
      </c>
    </row>
    <row r="8111" spans="1:1" x14ac:dyDescent="0.3">
      <c r="A8111" t="s">
        <v>0</v>
      </c>
    </row>
    <row r="8112" spans="1:1" x14ac:dyDescent="0.3">
      <c r="A8112" t="s">
        <v>0</v>
      </c>
    </row>
    <row r="8113" spans="1:1" x14ac:dyDescent="0.3">
      <c r="A8113" t="s">
        <v>0</v>
      </c>
    </row>
    <row r="8114" spans="1:1" x14ac:dyDescent="0.3">
      <c r="A8114" t="s">
        <v>0</v>
      </c>
    </row>
    <row r="8115" spans="1:1" x14ac:dyDescent="0.3">
      <c r="A8115" t="s">
        <v>0</v>
      </c>
    </row>
    <row r="8116" spans="1:1" x14ac:dyDescent="0.3">
      <c r="A8116" t="s">
        <v>0</v>
      </c>
    </row>
    <row r="8117" spans="1:1" x14ac:dyDescent="0.3">
      <c r="A8117" t="s">
        <v>0</v>
      </c>
    </row>
    <row r="8118" spans="1:1" x14ac:dyDescent="0.3">
      <c r="A8118" t="s">
        <v>0</v>
      </c>
    </row>
    <row r="8119" spans="1:1" x14ac:dyDescent="0.3">
      <c r="A8119" t="s">
        <v>0</v>
      </c>
    </row>
    <row r="8120" spans="1:1" x14ac:dyDescent="0.3">
      <c r="A8120" t="s">
        <v>0</v>
      </c>
    </row>
    <row r="8121" spans="1:1" x14ac:dyDescent="0.3">
      <c r="A8121" t="s">
        <v>0</v>
      </c>
    </row>
    <row r="8122" spans="1:1" x14ac:dyDescent="0.3">
      <c r="A8122" t="s">
        <v>0</v>
      </c>
    </row>
    <row r="8123" spans="1:1" x14ac:dyDescent="0.3">
      <c r="A8123" t="s">
        <v>0</v>
      </c>
    </row>
    <row r="8124" spans="1:1" x14ac:dyDescent="0.3">
      <c r="A8124" t="s">
        <v>0</v>
      </c>
    </row>
    <row r="8125" spans="1:1" x14ac:dyDescent="0.3">
      <c r="A8125" t="s">
        <v>0</v>
      </c>
    </row>
    <row r="8126" spans="1:1" x14ac:dyDescent="0.3">
      <c r="A8126" t="s">
        <v>0</v>
      </c>
    </row>
    <row r="8127" spans="1:1" x14ac:dyDescent="0.3">
      <c r="A8127" t="s">
        <v>0</v>
      </c>
    </row>
    <row r="8128" spans="1:1" x14ac:dyDescent="0.3">
      <c r="A8128" t="s">
        <v>0</v>
      </c>
    </row>
    <row r="8129" spans="1:1" x14ac:dyDescent="0.3">
      <c r="A8129" t="s">
        <v>0</v>
      </c>
    </row>
    <row r="8130" spans="1:1" x14ac:dyDescent="0.3">
      <c r="A8130" t="s">
        <v>0</v>
      </c>
    </row>
    <row r="8131" spans="1:1" x14ac:dyDescent="0.3">
      <c r="A8131" t="s">
        <v>0</v>
      </c>
    </row>
    <row r="8132" spans="1:1" x14ac:dyDescent="0.3">
      <c r="A8132" t="s">
        <v>0</v>
      </c>
    </row>
    <row r="8133" spans="1:1" x14ac:dyDescent="0.3">
      <c r="A8133" t="s">
        <v>0</v>
      </c>
    </row>
    <row r="8134" spans="1:1" x14ac:dyDescent="0.3">
      <c r="A8134" t="s">
        <v>0</v>
      </c>
    </row>
    <row r="8135" spans="1:1" x14ac:dyDescent="0.3">
      <c r="A8135" t="s">
        <v>0</v>
      </c>
    </row>
    <row r="8136" spans="1:1" x14ac:dyDescent="0.3">
      <c r="A8136" t="s">
        <v>0</v>
      </c>
    </row>
    <row r="8137" spans="1:1" x14ac:dyDescent="0.3">
      <c r="A8137" t="s">
        <v>0</v>
      </c>
    </row>
    <row r="8138" spans="1:1" x14ac:dyDescent="0.3">
      <c r="A8138" t="s">
        <v>0</v>
      </c>
    </row>
    <row r="8139" spans="1:1" x14ac:dyDescent="0.3">
      <c r="A8139" t="s">
        <v>0</v>
      </c>
    </row>
    <row r="8140" spans="1:1" x14ac:dyDescent="0.3">
      <c r="A8140" t="s">
        <v>0</v>
      </c>
    </row>
    <row r="8141" spans="1:1" x14ac:dyDescent="0.3">
      <c r="A8141" t="s">
        <v>0</v>
      </c>
    </row>
    <row r="8142" spans="1:1" x14ac:dyDescent="0.3">
      <c r="A8142" t="s">
        <v>0</v>
      </c>
    </row>
    <row r="8143" spans="1:1" x14ac:dyDescent="0.3">
      <c r="A8143" t="s">
        <v>0</v>
      </c>
    </row>
    <row r="8144" spans="1:1" x14ac:dyDescent="0.3">
      <c r="A8144" t="s">
        <v>0</v>
      </c>
    </row>
    <row r="8145" spans="1:1" x14ac:dyDescent="0.3">
      <c r="A8145" t="s">
        <v>0</v>
      </c>
    </row>
    <row r="8146" spans="1:1" x14ac:dyDescent="0.3">
      <c r="A8146" t="s">
        <v>0</v>
      </c>
    </row>
    <row r="8147" spans="1:1" x14ac:dyDescent="0.3">
      <c r="A8147" t="s">
        <v>0</v>
      </c>
    </row>
    <row r="8148" spans="1:1" x14ac:dyDescent="0.3">
      <c r="A8148" t="s">
        <v>0</v>
      </c>
    </row>
    <row r="8149" spans="1:1" x14ac:dyDescent="0.3">
      <c r="A8149" t="s">
        <v>0</v>
      </c>
    </row>
    <row r="8150" spans="1:1" x14ac:dyDescent="0.3">
      <c r="A8150" t="s">
        <v>0</v>
      </c>
    </row>
    <row r="8151" spans="1:1" x14ac:dyDescent="0.3">
      <c r="A8151" t="s">
        <v>0</v>
      </c>
    </row>
    <row r="8152" spans="1:1" x14ac:dyDescent="0.3">
      <c r="A8152" t="s">
        <v>0</v>
      </c>
    </row>
    <row r="8153" spans="1:1" x14ac:dyDescent="0.3">
      <c r="A8153" t="s">
        <v>0</v>
      </c>
    </row>
    <row r="8154" spans="1:1" x14ac:dyDescent="0.3">
      <c r="A8154" t="s">
        <v>0</v>
      </c>
    </row>
    <row r="8155" spans="1:1" x14ac:dyDescent="0.3">
      <c r="A8155" t="s">
        <v>0</v>
      </c>
    </row>
    <row r="8156" spans="1:1" x14ac:dyDescent="0.3">
      <c r="A8156" t="s">
        <v>0</v>
      </c>
    </row>
    <row r="8157" spans="1:1" x14ac:dyDescent="0.3">
      <c r="A8157" t="s">
        <v>0</v>
      </c>
    </row>
    <row r="8158" spans="1:1" x14ac:dyDescent="0.3">
      <c r="A8158" t="s">
        <v>0</v>
      </c>
    </row>
    <row r="8159" spans="1:1" x14ac:dyDescent="0.3">
      <c r="A8159" t="s">
        <v>0</v>
      </c>
    </row>
    <row r="8160" spans="1:1" x14ac:dyDescent="0.3">
      <c r="A8160" t="s">
        <v>0</v>
      </c>
    </row>
    <row r="8161" spans="1:1" x14ac:dyDescent="0.3">
      <c r="A8161" t="s">
        <v>0</v>
      </c>
    </row>
    <row r="8162" spans="1:1" x14ac:dyDescent="0.3">
      <c r="A8162" t="s">
        <v>0</v>
      </c>
    </row>
    <row r="8163" spans="1:1" x14ac:dyDescent="0.3">
      <c r="A8163" t="s">
        <v>0</v>
      </c>
    </row>
    <row r="8164" spans="1:1" x14ac:dyDescent="0.3">
      <c r="A8164" t="s">
        <v>0</v>
      </c>
    </row>
    <row r="8165" spans="1:1" x14ac:dyDescent="0.3">
      <c r="A8165" t="s">
        <v>0</v>
      </c>
    </row>
    <row r="8166" spans="1:1" x14ac:dyDescent="0.3">
      <c r="A8166" t="s">
        <v>0</v>
      </c>
    </row>
    <row r="8167" spans="1:1" x14ac:dyDescent="0.3">
      <c r="A8167" t="s">
        <v>0</v>
      </c>
    </row>
    <row r="8168" spans="1:1" x14ac:dyDescent="0.3">
      <c r="A8168" t="s">
        <v>0</v>
      </c>
    </row>
    <row r="8169" spans="1:1" x14ac:dyDescent="0.3">
      <c r="A8169" t="s">
        <v>0</v>
      </c>
    </row>
    <row r="8170" spans="1:1" x14ac:dyDescent="0.3">
      <c r="A8170" t="s">
        <v>0</v>
      </c>
    </row>
    <row r="8171" spans="1:1" x14ac:dyDescent="0.3">
      <c r="A8171" t="s">
        <v>0</v>
      </c>
    </row>
    <row r="8172" spans="1:1" x14ac:dyDescent="0.3">
      <c r="A8172" t="s">
        <v>0</v>
      </c>
    </row>
    <row r="8173" spans="1:1" x14ac:dyDescent="0.3">
      <c r="A8173" t="s">
        <v>0</v>
      </c>
    </row>
    <row r="8174" spans="1:1" x14ac:dyDescent="0.3">
      <c r="A8174" t="s">
        <v>0</v>
      </c>
    </row>
    <row r="8175" spans="1:1" x14ac:dyDescent="0.3">
      <c r="A8175" t="s">
        <v>0</v>
      </c>
    </row>
    <row r="8176" spans="1:1" x14ac:dyDescent="0.3">
      <c r="A8176" t="s">
        <v>0</v>
      </c>
    </row>
    <row r="8177" spans="1:1" x14ac:dyDescent="0.3">
      <c r="A8177" t="s">
        <v>0</v>
      </c>
    </row>
    <row r="8178" spans="1:1" x14ac:dyDescent="0.3">
      <c r="A8178" t="s">
        <v>0</v>
      </c>
    </row>
    <row r="8179" spans="1:1" x14ac:dyDescent="0.3">
      <c r="A8179" t="s">
        <v>0</v>
      </c>
    </row>
    <row r="8180" spans="1:1" x14ac:dyDescent="0.3">
      <c r="A8180" t="s">
        <v>0</v>
      </c>
    </row>
    <row r="8181" spans="1:1" x14ac:dyDescent="0.3">
      <c r="A8181" t="s">
        <v>0</v>
      </c>
    </row>
    <row r="8182" spans="1:1" x14ac:dyDescent="0.3">
      <c r="A8182" t="s">
        <v>0</v>
      </c>
    </row>
    <row r="8183" spans="1:1" x14ac:dyDescent="0.3">
      <c r="A8183" t="s">
        <v>0</v>
      </c>
    </row>
    <row r="8184" spans="1:1" x14ac:dyDescent="0.3">
      <c r="A8184" t="s">
        <v>0</v>
      </c>
    </row>
    <row r="8185" spans="1:1" x14ac:dyDescent="0.3">
      <c r="A8185" t="s">
        <v>0</v>
      </c>
    </row>
    <row r="8186" spans="1:1" x14ac:dyDescent="0.3">
      <c r="A8186" t="s">
        <v>0</v>
      </c>
    </row>
    <row r="8187" spans="1:1" x14ac:dyDescent="0.3">
      <c r="A8187" t="s">
        <v>0</v>
      </c>
    </row>
    <row r="8188" spans="1:1" x14ac:dyDescent="0.3">
      <c r="A8188" t="s">
        <v>0</v>
      </c>
    </row>
    <row r="8189" spans="1:1" x14ac:dyDescent="0.3">
      <c r="A8189" t="s">
        <v>0</v>
      </c>
    </row>
    <row r="8190" spans="1:1" x14ac:dyDescent="0.3">
      <c r="A8190" t="s">
        <v>0</v>
      </c>
    </row>
    <row r="8191" spans="1:1" x14ac:dyDescent="0.3">
      <c r="A8191" t="s">
        <v>0</v>
      </c>
    </row>
    <row r="8192" spans="1:1" x14ac:dyDescent="0.3">
      <c r="A8192" t="s">
        <v>0</v>
      </c>
    </row>
    <row r="8193" spans="1:1" x14ac:dyDescent="0.3">
      <c r="A8193" t="s">
        <v>0</v>
      </c>
    </row>
    <row r="8194" spans="1:1" x14ac:dyDescent="0.3">
      <c r="A8194" t="s">
        <v>0</v>
      </c>
    </row>
    <row r="8195" spans="1:1" x14ac:dyDescent="0.3">
      <c r="A8195" t="s">
        <v>0</v>
      </c>
    </row>
    <row r="8196" spans="1:1" x14ac:dyDescent="0.3">
      <c r="A8196" t="s">
        <v>0</v>
      </c>
    </row>
    <row r="8197" spans="1:1" x14ac:dyDescent="0.3">
      <c r="A8197" t="s">
        <v>0</v>
      </c>
    </row>
    <row r="8198" spans="1:1" x14ac:dyDescent="0.3">
      <c r="A8198" t="s">
        <v>0</v>
      </c>
    </row>
    <row r="8199" spans="1:1" x14ac:dyDescent="0.3">
      <c r="A8199" t="s">
        <v>0</v>
      </c>
    </row>
    <row r="8200" spans="1:1" x14ac:dyDescent="0.3">
      <c r="A8200" t="s">
        <v>0</v>
      </c>
    </row>
    <row r="8201" spans="1:1" x14ac:dyDescent="0.3">
      <c r="A8201" t="s">
        <v>0</v>
      </c>
    </row>
    <row r="8202" spans="1:1" x14ac:dyDescent="0.3">
      <c r="A8202" t="s">
        <v>0</v>
      </c>
    </row>
    <row r="8203" spans="1:1" x14ac:dyDescent="0.3">
      <c r="A8203" t="s">
        <v>0</v>
      </c>
    </row>
    <row r="8204" spans="1:1" x14ac:dyDescent="0.3">
      <c r="A8204" t="s">
        <v>0</v>
      </c>
    </row>
    <row r="8205" spans="1:1" x14ac:dyDescent="0.3">
      <c r="A8205" t="s">
        <v>0</v>
      </c>
    </row>
    <row r="8206" spans="1:1" x14ac:dyDescent="0.3">
      <c r="A8206" t="s">
        <v>0</v>
      </c>
    </row>
    <row r="8207" spans="1:1" x14ac:dyDescent="0.3">
      <c r="A8207" t="s">
        <v>0</v>
      </c>
    </row>
    <row r="8208" spans="1:1" x14ac:dyDescent="0.3">
      <c r="A8208" t="s">
        <v>0</v>
      </c>
    </row>
    <row r="8209" spans="1:1" x14ac:dyDescent="0.3">
      <c r="A8209" t="s">
        <v>0</v>
      </c>
    </row>
    <row r="8210" spans="1:1" x14ac:dyDescent="0.3">
      <c r="A8210" t="s">
        <v>0</v>
      </c>
    </row>
    <row r="8211" spans="1:1" x14ac:dyDescent="0.3">
      <c r="A8211" t="s">
        <v>0</v>
      </c>
    </row>
    <row r="8212" spans="1:1" x14ac:dyDescent="0.3">
      <c r="A8212" t="s">
        <v>0</v>
      </c>
    </row>
    <row r="8213" spans="1:1" x14ac:dyDescent="0.3">
      <c r="A8213" t="s">
        <v>0</v>
      </c>
    </row>
    <row r="8214" spans="1:1" x14ac:dyDescent="0.3">
      <c r="A8214" t="s">
        <v>0</v>
      </c>
    </row>
    <row r="8215" spans="1:1" x14ac:dyDescent="0.3">
      <c r="A8215" t="s">
        <v>0</v>
      </c>
    </row>
    <row r="8216" spans="1:1" x14ac:dyDescent="0.3">
      <c r="A8216" t="s">
        <v>0</v>
      </c>
    </row>
    <row r="8217" spans="1:1" x14ac:dyDescent="0.3">
      <c r="A8217" t="s">
        <v>0</v>
      </c>
    </row>
    <row r="8218" spans="1:1" x14ac:dyDescent="0.3">
      <c r="A8218" t="s">
        <v>0</v>
      </c>
    </row>
    <row r="8219" spans="1:1" x14ac:dyDescent="0.3">
      <c r="A8219" t="s">
        <v>0</v>
      </c>
    </row>
    <row r="8220" spans="1:1" x14ac:dyDescent="0.3">
      <c r="A8220" t="s">
        <v>0</v>
      </c>
    </row>
    <row r="8221" spans="1:1" x14ac:dyDescent="0.3">
      <c r="A8221" t="s">
        <v>0</v>
      </c>
    </row>
    <row r="8222" spans="1:1" x14ac:dyDescent="0.3">
      <c r="A8222" t="s">
        <v>0</v>
      </c>
    </row>
    <row r="8223" spans="1:1" x14ac:dyDescent="0.3">
      <c r="A8223" t="s">
        <v>0</v>
      </c>
    </row>
    <row r="8224" spans="1:1" x14ac:dyDescent="0.3">
      <c r="A8224" t="s">
        <v>0</v>
      </c>
    </row>
    <row r="8225" spans="1:1" x14ac:dyDescent="0.3">
      <c r="A8225" t="s">
        <v>0</v>
      </c>
    </row>
    <row r="8226" spans="1:1" x14ac:dyDescent="0.3">
      <c r="A8226" t="s">
        <v>0</v>
      </c>
    </row>
    <row r="8227" spans="1:1" x14ac:dyDescent="0.3">
      <c r="A8227" t="s">
        <v>0</v>
      </c>
    </row>
    <row r="8228" spans="1:1" x14ac:dyDescent="0.3">
      <c r="A8228" t="s">
        <v>0</v>
      </c>
    </row>
    <row r="8229" spans="1:1" x14ac:dyDescent="0.3">
      <c r="A8229" t="s">
        <v>0</v>
      </c>
    </row>
    <row r="8230" spans="1:1" x14ac:dyDescent="0.3">
      <c r="A8230" t="s">
        <v>0</v>
      </c>
    </row>
    <row r="8231" spans="1:1" x14ac:dyDescent="0.3">
      <c r="A8231" t="s">
        <v>0</v>
      </c>
    </row>
    <row r="8232" spans="1:1" x14ac:dyDescent="0.3">
      <c r="A8232" t="s">
        <v>0</v>
      </c>
    </row>
    <row r="8233" spans="1:1" x14ac:dyDescent="0.3">
      <c r="A8233" t="s">
        <v>0</v>
      </c>
    </row>
    <row r="8234" spans="1:1" x14ac:dyDescent="0.3">
      <c r="A8234" t="s">
        <v>0</v>
      </c>
    </row>
    <row r="8235" spans="1:1" x14ac:dyDescent="0.3">
      <c r="A8235" t="s">
        <v>0</v>
      </c>
    </row>
    <row r="8236" spans="1:1" x14ac:dyDescent="0.3">
      <c r="A8236" t="s">
        <v>0</v>
      </c>
    </row>
    <row r="8237" spans="1:1" x14ac:dyDescent="0.3">
      <c r="A8237" t="s">
        <v>0</v>
      </c>
    </row>
    <row r="8238" spans="1:1" x14ac:dyDescent="0.3">
      <c r="A8238" t="s">
        <v>0</v>
      </c>
    </row>
    <row r="8239" spans="1:1" x14ac:dyDescent="0.3">
      <c r="A8239" t="s">
        <v>0</v>
      </c>
    </row>
    <row r="8240" spans="1:1" x14ac:dyDescent="0.3">
      <c r="A8240" t="s">
        <v>0</v>
      </c>
    </row>
    <row r="8241" spans="1:1" x14ac:dyDescent="0.3">
      <c r="A8241" t="s">
        <v>0</v>
      </c>
    </row>
    <row r="8242" spans="1:1" x14ac:dyDescent="0.3">
      <c r="A8242" t="s">
        <v>0</v>
      </c>
    </row>
    <row r="8243" spans="1:1" x14ac:dyDescent="0.3">
      <c r="A8243" t="s">
        <v>0</v>
      </c>
    </row>
    <row r="8244" spans="1:1" x14ac:dyDescent="0.3">
      <c r="A8244" t="s">
        <v>0</v>
      </c>
    </row>
    <row r="8245" spans="1:1" x14ac:dyDescent="0.3">
      <c r="A8245" t="s">
        <v>0</v>
      </c>
    </row>
    <row r="8246" spans="1:1" x14ac:dyDescent="0.3">
      <c r="A8246" t="s">
        <v>0</v>
      </c>
    </row>
    <row r="8247" spans="1:1" x14ac:dyDescent="0.3">
      <c r="A8247" t="s">
        <v>0</v>
      </c>
    </row>
    <row r="8248" spans="1:1" x14ac:dyDescent="0.3">
      <c r="A8248" t="s">
        <v>0</v>
      </c>
    </row>
    <row r="8249" spans="1:1" x14ac:dyDescent="0.3">
      <c r="A8249" t="s">
        <v>0</v>
      </c>
    </row>
    <row r="8250" spans="1:1" x14ac:dyDescent="0.3">
      <c r="A8250" t="s">
        <v>0</v>
      </c>
    </row>
    <row r="8251" spans="1:1" x14ac:dyDescent="0.3">
      <c r="A8251" t="s">
        <v>0</v>
      </c>
    </row>
    <row r="8252" spans="1:1" x14ac:dyDescent="0.3">
      <c r="A8252" t="s">
        <v>0</v>
      </c>
    </row>
    <row r="8253" spans="1:1" x14ac:dyDescent="0.3">
      <c r="A8253" t="s">
        <v>0</v>
      </c>
    </row>
    <row r="8254" spans="1:1" x14ac:dyDescent="0.3">
      <c r="A8254" t="s">
        <v>0</v>
      </c>
    </row>
    <row r="8255" spans="1:1" x14ac:dyDescent="0.3">
      <c r="A8255" t="s">
        <v>0</v>
      </c>
    </row>
    <row r="8256" spans="1:1" x14ac:dyDescent="0.3">
      <c r="A8256" t="s">
        <v>0</v>
      </c>
    </row>
    <row r="8257" spans="1:1" x14ac:dyDescent="0.3">
      <c r="A8257" t="s">
        <v>0</v>
      </c>
    </row>
    <row r="8258" spans="1:1" x14ac:dyDescent="0.3">
      <c r="A8258" t="s">
        <v>0</v>
      </c>
    </row>
    <row r="8259" spans="1:1" x14ac:dyDescent="0.3">
      <c r="A8259" t="s">
        <v>0</v>
      </c>
    </row>
    <row r="8260" spans="1:1" x14ac:dyDescent="0.3">
      <c r="A8260" t="s">
        <v>0</v>
      </c>
    </row>
    <row r="8261" spans="1:1" x14ac:dyDescent="0.3">
      <c r="A8261" t="s">
        <v>0</v>
      </c>
    </row>
    <row r="8262" spans="1:1" x14ac:dyDescent="0.3">
      <c r="A8262" t="s">
        <v>0</v>
      </c>
    </row>
    <row r="8263" spans="1:1" x14ac:dyDescent="0.3">
      <c r="A8263" t="s">
        <v>0</v>
      </c>
    </row>
    <row r="8264" spans="1:1" x14ac:dyDescent="0.3">
      <c r="A8264" t="s">
        <v>0</v>
      </c>
    </row>
    <row r="8265" spans="1:1" x14ac:dyDescent="0.3">
      <c r="A8265" t="s">
        <v>0</v>
      </c>
    </row>
    <row r="8266" spans="1:1" x14ac:dyDescent="0.3">
      <c r="A8266" t="s">
        <v>0</v>
      </c>
    </row>
    <row r="8267" spans="1:1" x14ac:dyDescent="0.3">
      <c r="A8267" t="s">
        <v>0</v>
      </c>
    </row>
    <row r="8268" spans="1:1" x14ac:dyDescent="0.3">
      <c r="A8268" t="s">
        <v>0</v>
      </c>
    </row>
    <row r="8269" spans="1:1" x14ac:dyDescent="0.3">
      <c r="A8269" t="s">
        <v>0</v>
      </c>
    </row>
    <row r="8270" spans="1:1" x14ac:dyDescent="0.3">
      <c r="A8270" t="s">
        <v>0</v>
      </c>
    </row>
    <row r="8271" spans="1:1" x14ac:dyDescent="0.3">
      <c r="A8271" t="s">
        <v>0</v>
      </c>
    </row>
    <row r="8272" spans="1:1" x14ac:dyDescent="0.3">
      <c r="A8272" t="s">
        <v>0</v>
      </c>
    </row>
    <row r="8273" spans="1:1" x14ac:dyDescent="0.3">
      <c r="A8273" t="s">
        <v>0</v>
      </c>
    </row>
    <row r="8274" spans="1:1" x14ac:dyDescent="0.3">
      <c r="A8274" t="s">
        <v>0</v>
      </c>
    </row>
    <row r="8275" spans="1:1" x14ac:dyDescent="0.3">
      <c r="A8275" t="s">
        <v>0</v>
      </c>
    </row>
    <row r="8276" spans="1:1" x14ac:dyDescent="0.3">
      <c r="A8276" t="s">
        <v>0</v>
      </c>
    </row>
    <row r="8277" spans="1:1" x14ac:dyDescent="0.3">
      <c r="A8277" t="s">
        <v>0</v>
      </c>
    </row>
    <row r="8278" spans="1:1" x14ac:dyDescent="0.3">
      <c r="A8278" t="s">
        <v>0</v>
      </c>
    </row>
    <row r="8279" spans="1:1" x14ac:dyDescent="0.3">
      <c r="A8279" t="s">
        <v>0</v>
      </c>
    </row>
    <row r="8280" spans="1:1" x14ac:dyDescent="0.3">
      <c r="A8280" t="s">
        <v>0</v>
      </c>
    </row>
    <row r="8281" spans="1:1" x14ac:dyDescent="0.3">
      <c r="A8281" t="s">
        <v>0</v>
      </c>
    </row>
    <row r="8282" spans="1:1" x14ac:dyDescent="0.3">
      <c r="A8282" t="s">
        <v>0</v>
      </c>
    </row>
    <row r="8283" spans="1:1" x14ac:dyDescent="0.3">
      <c r="A8283" t="s">
        <v>0</v>
      </c>
    </row>
    <row r="8284" spans="1:1" x14ac:dyDescent="0.3">
      <c r="A8284" t="s">
        <v>0</v>
      </c>
    </row>
    <row r="8285" spans="1:1" x14ac:dyDescent="0.3">
      <c r="A8285" t="s">
        <v>0</v>
      </c>
    </row>
    <row r="8286" spans="1:1" x14ac:dyDescent="0.3">
      <c r="A8286" t="s">
        <v>0</v>
      </c>
    </row>
    <row r="8287" spans="1:1" x14ac:dyDescent="0.3">
      <c r="A8287" t="s">
        <v>0</v>
      </c>
    </row>
    <row r="8288" spans="1:1" x14ac:dyDescent="0.3">
      <c r="A8288" t="s">
        <v>0</v>
      </c>
    </row>
    <row r="8289" spans="1:1" x14ac:dyDescent="0.3">
      <c r="A8289" t="s">
        <v>0</v>
      </c>
    </row>
    <row r="8290" spans="1:1" x14ac:dyDescent="0.3">
      <c r="A8290" t="s">
        <v>0</v>
      </c>
    </row>
    <row r="8291" spans="1:1" x14ac:dyDescent="0.3">
      <c r="A8291" t="s">
        <v>0</v>
      </c>
    </row>
    <row r="8292" spans="1:1" x14ac:dyDescent="0.3">
      <c r="A8292" t="s">
        <v>0</v>
      </c>
    </row>
    <row r="8293" spans="1:1" x14ac:dyDescent="0.3">
      <c r="A8293" t="s">
        <v>0</v>
      </c>
    </row>
    <row r="8294" spans="1:1" x14ac:dyDescent="0.3">
      <c r="A8294" t="s">
        <v>0</v>
      </c>
    </row>
    <row r="8295" spans="1:1" x14ac:dyDescent="0.3">
      <c r="A8295" t="s">
        <v>0</v>
      </c>
    </row>
    <row r="8296" spans="1:1" x14ac:dyDescent="0.3">
      <c r="A8296" t="s">
        <v>0</v>
      </c>
    </row>
    <row r="8297" spans="1:1" x14ac:dyDescent="0.3">
      <c r="A8297" t="s">
        <v>0</v>
      </c>
    </row>
    <row r="8298" spans="1:1" x14ac:dyDescent="0.3">
      <c r="A8298" t="s">
        <v>0</v>
      </c>
    </row>
    <row r="8299" spans="1:1" x14ac:dyDescent="0.3">
      <c r="A8299" t="s">
        <v>0</v>
      </c>
    </row>
    <row r="8300" spans="1:1" x14ac:dyDescent="0.3">
      <c r="A8300" t="s">
        <v>0</v>
      </c>
    </row>
    <row r="8301" spans="1:1" x14ac:dyDescent="0.3">
      <c r="A8301" t="s">
        <v>0</v>
      </c>
    </row>
    <row r="8302" spans="1:1" x14ac:dyDescent="0.3">
      <c r="A8302" t="s">
        <v>0</v>
      </c>
    </row>
    <row r="8303" spans="1:1" x14ac:dyDescent="0.3">
      <c r="A8303" t="s">
        <v>0</v>
      </c>
    </row>
    <row r="8304" spans="1:1" x14ac:dyDescent="0.3">
      <c r="A8304" t="s">
        <v>0</v>
      </c>
    </row>
    <row r="8305" spans="1:1" x14ac:dyDescent="0.3">
      <c r="A8305" t="s">
        <v>0</v>
      </c>
    </row>
    <row r="8306" spans="1:1" x14ac:dyDescent="0.3">
      <c r="A8306" t="s">
        <v>0</v>
      </c>
    </row>
    <row r="8307" spans="1:1" x14ac:dyDescent="0.3">
      <c r="A8307" t="s">
        <v>0</v>
      </c>
    </row>
    <row r="8308" spans="1:1" x14ac:dyDescent="0.3">
      <c r="A8308" t="s">
        <v>0</v>
      </c>
    </row>
    <row r="8309" spans="1:1" x14ac:dyDescent="0.3">
      <c r="A8309" t="s">
        <v>0</v>
      </c>
    </row>
    <row r="8310" spans="1:1" x14ac:dyDescent="0.3">
      <c r="A8310" t="s">
        <v>0</v>
      </c>
    </row>
    <row r="8311" spans="1:1" x14ac:dyDescent="0.3">
      <c r="A8311" t="s">
        <v>0</v>
      </c>
    </row>
    <row r="8312" spans="1:1" x14ac:dyDescent="0.3">
      <c r="A8312" t="s">
        <v>0</v>
      </c>
    </row>
    <row r="8313" spans="1:1" x14ac:dyDescent="0.3">
      <c r="A8313" t="s">
        <v>0</v>
      </c>
    </row>
    <row r="8314" spans="1:1" x14ac:dyDescent="0.3">
      <c r="A8314" t="s">
        <v>0</v>
      </c>
    </row>
    <row r="8315" spans="1:1" x14ac:dyDescent="0.3">
      <c r="A8315" t="s">
        <v>0</v>
      </c>
    </row>
    <row r="8316" spans="1:1" x14ac:dyDescent="0.3">
      <c r="A8316" t="s">
        <v>0</v>
      </c>
    </row>
    <row r="8317" spans="1:1" x14ac:dyDescent="0.3">
      <c r="A8317" t="s">
        <v>0</v>
      </c>
    </row>
    <row r="8318" spans="1:1" x14ac:dyDescent="0.3">
      <c r="A8318" t="s">
        <v>0</v>
      </c>
    </row>
    <row r="8319" spans="1:1" x14ac:dyDescent="0.3">
      <c r="A8319" t="s">
        <v>0</v>
      </c>
    </row>
    <row r="8320" spans="1:1" x14ac:dyDescent="0.3">
      <c r="A8320" t="s">
        <v>0</v>
      </c>
    </row>
    <row r="8321" spans="1:1" x14ac:dyDescent="0.3">
      <c r="A8321" t="s">
        <v>0</v>
      </c>
    </row>
    <row r="8322" spans="1:1" x14ac:dyDescent="0.3">
      <c r="A8322" t="s">
        <v>0</v>
      </c>
    </row>
    <row r="8323" spans="1:1" x14ac:dyDescent="0.3">
      <c r="A8323" t="s">
        <v>0</v>
      </c>
    </row>
    <row r="8324" spans="1:1" x14ac:dyDescent="0.3">
      <c r="A8324" t="s">
        <v>0</v>
      </c>
    </row>
    <row r="8325" spans="1:1" x14ac:dyDescent="0.3">
      <c r="A8325" t="s">
        <v>0</v>
      </c>
    </row>
    <row r="8326" spans="1:1" x14ac:dyDescent="0.3">
      <c r="A8326" t="s">
        <v>0</v>
      </c>
    </row>
    <row r="8327" spans="1:1" x14ac:dyDescent="0.3">
      <c r="A8327" t="s">
        <v>0</v>
      </c>
    </row>
    <row r="8328" spans="1:1" x14ac:dyDescent="0.3">
      <c r="A8328" t="s">
        <v>0</v>
      </c>
    </row>
    <row r="8329" spans="1:1" x14ac:dyDescent="0.3">
      <c r="A8329" t="s">
        <v>0</v>
      </c>
    </row>
    <row r="8330" spans="1:1" x14ac:dyDescent="0.3">
      <c r="A8330" t="s">
        <v>0</v>
      </c>
    </row>
    <row r="8331" spans="1:1" x14ac:dyDescent="0.3">
      <c r="A8331" t="s">
        <v>0</v>
      </c>
    </row>
    <row r="8332" spans="1:1" x14ac:dyDescent="0.3">
      <c r="A8332" t="s">
        <v>0</v>
      </c>
    </row>
    <row r="8333" spans="1:1" x14ac:dyDescent="0.3">
      <c r="A8333" t="s">
        <v>0</v>
      </c>
    </row>
    <row r="8334" spans="1:1" x14ac:dyDescent="0.3">
      <c r="A8334" t="s">
        <v>0</v>
      </c>
    </row>
    <row r="8335" spans="1:1" x14ac:dyDescent="0.3">
      <c r="A8335" t="s">
        <v>0</v>
      </c>
    </row>
    <row r="8336" spans="1:1" x14ac:dyDescent="0.3">
      <c r="A8336" t="s">
        <v>0</v>
      </c>
    </row>
    <row r="8337" spans="1:1" x14ac:dyDescent="0.3">
      <c r="A8337" t="s">
        <v>0</v>
      </c>
    </row>
    <row r="8338" spans="1:1" x14ac:dyDescent="0.3">
      <c r="A8338" t="s">
        <v>0</v>
      </c>
    </row>
    <row r="8339" spans="1:1" x14ac:dyDescent="0.3">
      <c r="A8339" t="s">
        <v>0</v>
      </c>
    </row>
    <row r="8340" spans="1:1" x14ac:dyDescent="0.3">
      <c r="A8340" t="s">
        <v>0</v>
      </c>
    </row>
    <row r="8341" spans="1:1" x14ac:dyDescent="0.3">
      <c r="A8341" t="s">
        <v>0</v>
      </c>
    </row>
    <row r="8342" spans="1:1" x14ac:dyDescent="0.3">
      <c r="A8342" t="s">
        <v>0</v>
      </c>
    </row>
    <row r="8343" spans="1:1" x14ac:dyDescent="0.3">
      <c r="A8343" t="s">
        <v>0</v>
      </c>
    </row>
    <row r="8344" spans="1:1" x14ac:dyDescent="0.3">
      <c r="A8344" t="s">
        <v>0</v>
      </c>
    </row>
    <row r="8345" spans="1:1" x14ac:dyDescent="0.3">
      <c r="A8345" t="s">
        <v>0</v>
      </c>
    </row>
    <row r="8346" spans="1:1" x14ac:dyDescent="0.3">
      <c r="A8346" t="s">
        <v>0</v>
      </c>
    </row>
    <row r="8347" spans="1:1" x14ac:dyDescent="0.3">
      <c r="A8347" t="s">
        <v>0</v>
      </c>
    </row>
    <row r="8348" spans="1:1" x14ac:dyDescent="0.3">
      <c r="A8348" t="s">
        <v>0</v>
      </c>
    </row>
    <row r="8349" spans="1:1" x14ac:dyDescent="0.3">
      <c r="A8349" t="s">
        <v>0</v>
      </c>
    </row>
    <row r="8350" spans="1:1" x14ac:dyDescent="0.3">
      <c r="A8350" t="s">
        <v>0</v>
      </c>
    </row>
    <row r="8351" spans="1:1" x14ac:dyDescent="0.3">
      <c r="A8351" t="s">
        <v>0</v>
      </c>
    </row>
    <row r="8352" spans="1:1" x14ac:dyDescent="0.3">
      <c r="A8352" t="s">
        <v>0</v>
      </c>
    </row>
    <row r="8353" spans="1:1" x14ac:dyDescent="0.3">
      <c r="A8353" t="s">
        <v>0</v>
      </c>
    </row>
    <row r="8354" spans="1:1" x14ac:dyDescent="0.3">
      <c r="A8354" t="s">
        <v>0</v>
      </c>
    </row>
    <row r="8355" spans="1:1" x14ac:dyDescent="0.3">
      <c r="A8355" t="s">
        <v>0</v>
      </c>
    </row>
    <row r="8356" spans="1:1" x14ac:dyDescent="0.3">
      <c r="A8356" t="s">
        <v>0</v>
      </c>
    </row>
    <row r="8357" spans="1:1" x14ac:dyDescent="0.3">
      <c r="A8357" t="s">
        <v>0</v>
      </c>
    </row>
    <row r="8358" spans="1:1" x14ac:dyDescent="0.3">
      <c r="A8358" t="s">
        <v>0</v>
      </c>
    </row>
    <row r="8359" spans="1:1" x14ac:dyDescent="0.3">
      <c r="A8359" t="s">
        <v>0</v>
      </c>
    </row>
    <row r="8360" spans="1:1" x14ac:dyDescent="0.3">
      <c r="A8360" t="s">
        <v>0</v>
      </c>
    </row>
    <row r="8361" spans="1:1" x14ac:dyDescent="0.3">
      <c r="A8361" t="s">
        <v>0</v>
      </c>
    </row>
    <row r="8362" spans="1:1" x14ac:dyDescent="0.3">
      <c r="A8362" t="s">
        <v>0</v>
      </c>
    </row>
    <row r="8363" spans="1:1" x14ac:dyDescent="0.3">
      <c r="A8363" t="s">
        <v>0</v>
      </c>
    </row>
    <row r="8364" spans="1:1" x14ac:dyDescent="0.3">
      <c r="A8364" t="s">
        <v>0</v>
      </c>
    </row>
    <row r="8365" spans="1:1" x14ac:dyDescent="0.3">
      <c r="A8365" t="s">
        <v>0</v>
      </c>
    </row>
    <row r="8366" spans="1:1" x14ac:dyDescent="0.3">
      <c r="A8366" t="s">
        <v>0</v>
      </c>
    </row>
    <row r="8367" spans="1:1" x14ac:dyDescent="0.3">
      <c r="A8367" t="s">
        <v>0</v>
      </c>
    </row>
    <row r="8368" spans="1:1" x14ac:dyDescent="0.3">
      <c r="A8368" t="s">
        <v>0</v>
      </c>
    </row>
    <row r="8369" spans="1:1" x14ac:dyDescent="0.3">
      <c r="A8369" t="s">
        <v>0</v>
      </c>
    </row>
    <row r="8370" spans="1:1" x14ac:dyDescent="0.3">
      <c r="A8370" t="s">
        <v>0</v>
      </c>
    </row>
    <row r="8371" spans="1:1" x14ac:dyDescent="0.3">
      <c r="A8371" t="s">
        <v>0</v>
      </c>
    </row>
    <row r="8372" spans="1:1" x14ac:dyDescent="0.3">
      <c r="A8372" t="s">
        <v>0</v>
      </c>
    </row>
    <row r="8373" spans="1:1" x14ac:dyDescent="0.3">
      <c r="A8373" t="s">
        <v>0</v>
      </c>
    </row>
    <row r="8374" spans="1:1" x14ac:dyDescent="0.3">
      <c r="A8374" t="s">
        <v>0</v>
      </c>
    </row>
    <row r="8375" spans="1:1" x14ac:dyDescent="0.3">
      <c r="A8375" t="s">
        <v>0</v>
      </c>
    </row>
    <row r="8376" spans="1:1" x14ac:dyDescent="0.3">
      <c r="A8376" t="s">
        <v>0</v>
      </c>
    </row>
    <row r="8377" spans="1:1" x14ac:dyDescent="0.3">
      <c r="A8377" t="s">
        <v>0</v>
      </c>
    </row>
    <row r="8378" spans="1:1" x14ac:dyDescent="0.3">
      <c r="A8378" t="s">
        <v>0</v>
      </c>
    </row>
    <row r="8379" spans="1:1" x14ac:dyDescent="0.3">
      <c r="A8379" t="s">
        <v>0</v>
      </c>
    </row>
    <row r="8380" spans="1:1" x14ac:dyDescent="0.3">
      <c r="A8380" t="s">
        <v>0</v>
      </c>
    </row>
    <row r="8381" spans="1:1" x14ac:dyDescent="0.3">
      <c r="A8381" t="s">
        <v>0</v>
      </c>
    </row>
    <row r="8382" spans="1:1" x14ac:dyDescent="0.3">
      <c r="A8382" t="s">
        <v>0</v>
      </c>
    </row>
    <row r="8383" spans="1:1" x14ac:dyDescent="0.3">
      <c r="A8383" t="s">
        <v>0</v>
      </c>
    </row>
    <row r="8384" spans="1:1" x14ac:dyDescent="0.3">
      <c r="A8384" t="s">
        <v>0</v>
      </c>
    </row>
    <row r="8385" spans="1:1" x14ac:dyDescent="0.3">
      <c r="A8385" t="s">
        <v>0</v>
      </c>
    </row>
    <row r="8386" spans="1:1" x14ac:dyDescent="0.3">
      <c r="A8386" t="s">
        <v>0</v>
      </c>
    </row>
    <row r="8387" spans="1:1" x14ac:dyDescent="0.3">
      <c r="A8387" t="s">
        <v>0</v>
      </c>
    </row>
    <row r="8388" spans="1:1" x14ac:dyDescent="0.3">
      <c r="A8388" t="s">
        <v>0</v>
      </c>
    </row>
    <row r="8389" spans="1:1" x14ac:dyDescent="0.3">
      <c r="A8389" t="s">
        <v>0</v>
      </c>
    </row>
    <row r="8390" spans="1:1" x14ac:dyDescent="0.3">
      <c r="A8390" t="s">
        <v>0</v>
      </c>
    </row>
    <row r="8391" spans="1:1" x14ac:dyDescent="0.3">
      <c r="A8391" t="s">
        <v>0</v>
      </c>
    </row>
    <row r="8392" spans="1:1" x14ac:dyDescent="0.3">
      <c r="A8392" t="s">
        <v>0</v>
      </c>
    </row>
    <row r="8393" spans="1:1" x14ac:dyDescent="0.3">
      <c r="A8393" t="s">
        <v>0</v>
      </c>
    </row>
    <row r="8394" spans="1:1" x14ac:dyDescent="0.3">
      <c r="A8394" t="s">
        <v>0</v>
      </c>
    </row>
    <row r="8395" spans="1:1" x14ac:dyDescent="0.3">
      <c r="A8395" t="s">
        <v>0</v>
      </c>
    </row>
    <row r="8396" spans="1:1" x14ac:dyDescent="0.3">
      <c r="A8396" t="s">
        <v>0</v>
      </c>
    </row>
    <row r="8397" spans="1:1" x14ac:dyDescent="0.3">
      <c r="A8397" t="s">
        <v>0</v>
      </c>
    </row>
    <row r="8398" spans="1:1" x14ac:dyDescent="0.3">
      <c r="A8398" t="s">
        <v>0</v>
      </c>
    </row>
    <row r="8399" spans="1:1" x14ac:dyDescent="0.3">
      <c r="A8399" t="s">
        <v>0</v>
      </c>
    </row>
    <row r="8400" spans="1:1" x14ac:dyDescent="0.3">
      <c r="A8400" t="s">
        <v>0</v>
      </c>
    </row>
    <row r="8401" spans="1:1" x14ac:dyDescent="0.3">
      <c r="A8401" t="s">
        <v>0</v>
      </c>
    </row>
    <row r="8402" spans="1:1" x14ac:dyDescent="0.3">
      <c r="A8402" t="s">
        <v>0</v>
      </c>
    </row>
    <row r="8403" spans="1:1" x14ac:dyDescent="0.3">
      <c r="A8403" t="s">
        <v>0</v>
      </c>
    </row>
    <row r="8404" spans="1:1" x14ac:dyDescent="0.3">
      <c r="A8404" t="s">
        <v>0</v>
      </c>
    </row>
    <row r="8405" spans="1:1" x14ac:dyDescent="0.3">
      <c r="A8405" t="s">
        <v>0</v>
      </c>
    </row>
    <row r="8406" spans="1:1" x14ac:dyDescent="0.3">
      <c r="A8406" t="s">
        <v>0</v>
      </c>
    </row>
    <row r="8407" spans="1:1" x14ac:dyDescent="0.3">
      <c r="A8407" t="s">
        <v>0</v>
      </c>
    </row>
    <row r="8408" spans="1:1" x14ac:dyDescent="0.3">
      <c r="A8408" t="s">
        <v>0</v>
      </c>
    </row>
    <row r="8409" spans="1:1" x14ac:dyDescent="0.3">
      <c r="A8409" t="s">
        <v>0</v>
      </c>
    </row>
    <row r="8410" spans="1:1" x14ac:dyDescent="0.3">
      <c r="A8410" t="s">
        <v>0</v>
      </c>
    </row>
    <row r="8411" spans="1:1" x14ac:dyDescent="0.3">
      <c r="A8411" t="s">
        <v>0</v>
      </c>
    </row>
    <row r="8412" spans="1:1" x14ac:dyDescent="0.3">
      <c r="A8412" t="s">
        <v>0</v>
      </c>
    </row>
    <row r="8413" spans="1:1" x14ac:dyDescent="0.3">
      <c r="A8413" t="s">
        <v>0</v>
      </c>
    </row>
    <row r="8414" spans="1:1" x14ac:dyDescent="0.3">
      <c r="A8414" t="s">
        <v>0</v>
      </c>
    </row>
    <row r="8415" spans="1:1" x14ac:dyDescent="0.3">
      <c r="A8415" t="s">
        <v>0</v>
      </c>
    </row>
    <row r="8416" spans="1:1" x14ac:dyDescent="0.3">
      <c r="A8416" t="s">
        <v>0</v>
      </c>
    </row>
    <row r="8417" spans="1:1" x14ac:dyDescent="0.3">
      <c r="A8417" t="s">
        <v>0</v>
      </c>
    </row>
    <row r="8418" spans="1:1" x14ac:dyDescent="0.3">
      <c r="A8418" t="s">
        <v>0</v>
      </c>
    </row>
    <row r="8419" spans="1:1" x14ac:dyDescent="0.3">
      <c r="A8419" t="s">
        <v>0</v>
      </c>
    </row>
    <row r="8420" spans="1:1" x14ac:dyDescent="0.3">
      <c r="A8420" t="s">
        <v>0</v>
      </c>
    </row>
    <row r="8421" spans="1:1" x14ac:dyDescent="0.3">
      <c r="A8421" t="s">
        <v>0</v>
      </c>
    </row>
    <row r="8422" spans="1:1" x14ac:dyDescent="0.3">
      <c r="A8422" t="s">
        <v>0</v>
      </c>
    </row>
    <row r="8423" spans="1:1" x14ac:dyDescent="0.3">
      <c r="A8423" t="s">
        <v>0</v>
      </c>
    </row>
    <row r="8424" spans="1:1" x14ac:dyDescent="0.3">
      <c r="A8424" t="s">
        <v>0</v>
      </c>
    </row>
    <row r="8425" spans="1:1" x14ac:dyDescent="0.3">
      <c r="A8425" t="s">
        <v>0</v>
      </c>
    </row>
    <row r="8426" spans="1:1" x14ac:dyDescent="0.3">
      <c r="A8426" t="s">
        <v>0</v>
      </c>
    </row>
    <row r="8427" spans="1:1" x14ac:dyDescent="0.3">
      <c r="A8427" t="s">
        <v>0</v>
      </c>
    </row>
    <row r="8428" spans="1:1" x14ac:dyDescent="0.3">
      <c r="A8428" t="s">
        <v>0</v>
      </c>
    </row>
    <row r="8429" spans="1:1" x14ac:dyDescent="0.3">
      <c r="A8429" t="s">
        <v>0</v>
      </c>
    </row>
    <row r="8430" spans="1:1" x14ac:dyDescent="0.3">
      <c r="A8430" t="s">
        <v>0</v>
      </c>
    </row>
    <row r="8431" spans="1:1" x14ac:dyDescent="0.3">
      <c r="A8431" t="s">
        <v>0</v>
      </c>
    </row>
    <row r="8432" spans="1:1" x14ac:dyDescent="0.3">
      <c r="A8432" t="s">
        <v>0</v>
      </c>
    </row>
    <row r="8433" spans="1:1" x14ac:dyDescent="0.3">
      <c r="A8433" t="s">
        <v>0</v>
      </c>
    </row>
    <row r="8434" spans="1:1" x14ac:dyDescent="0.3">
      <c r="A8434" t="s">
        <v>0</v>
      </c>
    </row>
    <row r="8435" spans="1:1" x14ac:dyDescent="0.3">
      <c r="A8435" t="s">
        <v>0</v>
      </c>
    </row>
    <row r="8436" spans="1:1" x14ac:dyDescent="0.3">
      <c r="A8436" t="s">
        <v>0</v>
      </c>
    </row>
    <row r="8437" spans="1:1" x14ac:dyDescent="0.3">
      <c r="A8437" t="s">
        <v>0</v>
      </c>
    </row>
    <row r="8438" spans="1:1" x14ac:dyDescent="0.3">
      <c r="A8438" t="s">
        <v>0</v>
      </c>
    </row>
    <row r="8439" spans="1:1" x14ac:dyDescent="0.3">
      <c r="A8439" t="s">
        <v>0</v>
      </c>
    </row>
    <row r="8440" spans="1:1" x14ac:dyDescent="0.3">
      <c r="A8440" t="s">
        <v>0</v>
      </c>
    </row>
    <row r="8441" spans="1:1" x14ac:dyDescent="0.3">
      <c r="A8441" t="s">
        <v>0</v>
      </c>
    </row>
    <row r="8442" spans="1:1" x14ac:dyDescent="0.3">
      <c r="A8442" t="s">
        <v>0</v>
      </c>
    </row>
    <row r="8443" spans="1:1" x14ac:dyDescent="0.3">
      <c r="A8443" t="s">
        <v>0</v>
      </c>
    </row>
    <row r="8444" spans="1:1" x14ac:dyDescent="0.3">
      <c r="A8444" t="s">
        <v>0</v>
      </c>
    </row>
    <row r="8445" spans="1:1" x14ac:dyDescent="0.3">
      <c r="A8445" t="s">
        <v>0</v>
      </c>
    </row>
    <row r="8446" spans="1:1" x14ac:dyDescent="0.3">
      <c r="A8446" t="s">
        <v>0</v>
      </c>
    </row>
    <row r="8447" spans="1:1" x14ac:dyDescent="0.3">
      <c r="A8447" t="s">
        <v>0</v>
      </c>
    </row>
    <row r="8448" spans="1:1" x14ac:dyDescent="0.3">
      <c r="A8448" t="s">
        <v>0</v>
      </c>
    </row>
    <row r="8449" spans="1:1" x14ac:dyDescent="0.3">
      <c r="A8449" t="s">
        <v>0</v>
      </c>
    </row>
    <row r="8450" spans="1:1" x14ac:dyDescent="0.3">
      <c r="A8450" t="s">
        <v>0</v>
      </c>
    </row>
    <row r="8451" spans="1:1" x14ac:dyDescent="0.3">
      <c r="A8451" t="s">
        <v>0</v>
      </c>
    </row>
    <row r="8452" spans="1:1" x14ac:dyDescent="0.3">
      <c r="A8452" t="s">
        <v>0</v>
      </c>
    </row>
    <row r="8453" spans="1:1" x14ac:dyDescent="0.3">
      <c r="A8453" t="s">
        <v>0</v>
      </c>
    </row>
    <row r="8454" spans="1:1" x14ac:dyDescent="0.3">
      <c r="A8454" t="s">
        <v>0</v>
      </c>
    </row>
    <row r="8455" spans="1:1" x14ac:dyDescent="0.3">
      <c r="A8455" t="s">
        <v>0</v>
      </c>
    </row>
    <row r="8456" spans="1:1" x14ac:dyDescent="0.3">
      <c r="A8456" t="s">
        <v>0</v>
      </c>
    </row>
    <row r="8457" spans="1:1" x14ac:dyDescent="0.3">
      <c r="A8457" t="s">
        <v>0</v>
      </c>
    </row>
    <row r="8458" spans="1:1" x14ac:dyDescent="0.3">
      <c r="A8458" t="s">
        <v>0</v>
      </c>
    </row>
    <row r="8459" spans="1:1" x14ac:dyDescent="0.3">
      <c r="A8459" t="s">
        <v>0</v>
      </c>
    </row>
    <row r="8460" spans="1:1" x14ac:dyDescent="0.3">
      <c r="A8460" t="s">
        <v>0</v>
      </c>
    </row>
    <row r="8461" spans="1:1" x14ac:dyDescent="0.3">
      <c r="A8461" t="s">
        <v>0</v>
      </c>
    </row>
    <row r="8462" spans="1:1" x14ac:dyDescent="0.3">
      <c r="A8462" t="s">
        <v>0</v>
      </c>
    </row>
    <row r="8463" spans="1:1" x14ac:dyDescent="0.3">
      <c r="A8463" t="s">
        <v>0</v>
      </c>
    </row>
    <row r="8464" spans="1:1" x14ac:dyDescent="0.3">
      <c r="A8464" t="s">
        <v>0</v>
      </c>
    </row>
    <row r="8465" spans="1:1" x14ac:dyDescent="0.3">
      <c r="A8465" t="s">
        <v>0</v>
      </c>
    </row>
    <row r="8466" spans="1:1" x14ac:dyDescent="0.3">
      <c r="A8466" t="s">
        <v>0</v>
      </c>
    </row>
    <row r="8467" spans="1:1" x14ac:dyDescent="0.3">
      <c r="A8467" t="s">
        <v>0</v>
      </c>
    </row>
    <row r="8468" spans="1:1" x14ac:dyDescent="0.3">
      <c r="A8468" t="s">
        <v>0</v>
      </c>
    </row>
    <row r="8469" spans="1:1" x14ac:dyDescent="0.3">
      <c r="A8469" t="s">
        <v>0</v>
      </c>
    </row>
    <row r="8470" spans="1:1" x14ac:dyDescent="0.3">
      <c r="A8470" t="s">
        <v>0</v>
      </c>
    </row>
    <row r="8471" spans="1:1" x14ac:dyDescent="0.3">
      <c r="A8471" t="s">
        <v>0</v>
      </c>
    </row>
    <row r="8472" spans="1:1" x14ac:dyDescent="0.3">
      <c r="A8472" t="s">
        <v>0</v>
      </c>
    </row>
    <row r="8473" spans="1:1" x14ac:dyDescent="0.3">
      <c r="A8473" t="s">
        <v>0</v>
      </c>
    </row>
    <row r="8474" spans="1:1" x14ac:dyDescent="0.3">
      <c r="A8474" t="s">
        <v>0</v>
      </c>
    </row>
    <row r="8475" spans="1:1" x14ac:dyDescent="0.3">
      <c r="A8475" t="s">
        <v>0</v>
      </c>
    </row>
    <row r="8476" spans="1:1" x14ac:dyDescent="0.3">
      <c r="A8476" t="s">
        <v>0</v>
      </c>
    </row>
    <row r="8477" spans="1:1" x14ac:dyDescent="0.3">
      <c r="A8477" t="s">
        <v>0</v>
      </c>
    </row>
    <row r="8478" spans="1:1" x14ac:dyDescent="0.3">
      <c r="A8478" t="s">
        <v>0</v>
      </c>
    </row>
    <row r="8479" spans="1:1" x14ac:dyDescent="0.3">
      <c r="A8479" t="s">
        <v>0</v>
      </c>
    </row>
    <row r="8480" spans="1:1" x14ac:dyDescent="0.3">
      <c r="A8480" t="s">
        <v>0</v>
      </c>
    </row>
    <row r="8481" spans="1:1" x14ac:dyDescent="0.3">
      <c r="A8481" t="s">
        <v>0</v>
      </c>
    </row>
    <row r="8482" spans="1:1" x14ac:dyDescent="0.3">
      <c r="A8482" t="s">
        <v>0</v>
      </c>
    </row>
    <row r="8483" spans="1:1" x14ac:dyDescent="0.3">
      <c r="A8483" t="s">
        <v>0</v>
      </c>
    </row>
    <row r="8484" spans="1:1" x14ac:dyDescent="0.3">
      <c r="A8484" t="s">
        <v>0</v>
      </c>
    </row>
    <row r="8485" spans="1:1" x14ac:dyDescent="0.3">
      <c r="A8485" t="s">
        <v>0</v>
      </c>
    </row>
    <row r="8486" spans="1:1" x14ac:dyDescent="0.3">
      <c r="A8486" t="s">
        <v>0</v>
      </c>
    </row>
    <row r="8487" spans="1:1" x14ac:dyDescent="0.3">
      <c r="A8487" t="s">
        <v>0</v>
      </c>
    </row>
    <row r="8488" spans="1:1" x14ac:dyDescent="0.3">
      <c r="A8488" t="s">
        <v>0</v>
      </c>
    </row>
    <row r="8489" spans="1:1" x14ac:dyDescent="0.3">
      <c r="A8489" t="s">
        <v>0</v>
      </c>
    </row>
    <row r="8490" spans="1:1" x14ac:dyDescent="0.3">
      <c r="A8490" t="s">
        <v>0</v>
      </c>
    </row>
    <row r="8491" spans="1:1" x14ac:dyDescent="0.3">
      <c r="A8491" t="s">
        <v>0</v>
      </c>
    </row>
    <row r="8492" spans="1:1" x14ac:dyDescent="0.3">
      <c r="A8492" t="s">
        <v>0</v>
      </c>
    </row>
    <row r="8493" spans="1:1" x14ac:dyDescent="0.3">
      <c r="A8493" t="s">
        <v>0</v>
      </c>
    </row>
    <row r="8494" spans="1:1" x14ac:dyDescent="0.3">
      <c r="A8494" t="s">
        <v>0</v>
      </c>
    </row>
    <row r="8495" spans="1:1" x14ac:dyDescent="0.3">
      <c r="A8495" t="s">
        <v>0</v>
      </c>
    </row>
    <row r="8496" spans="1:1" x14ac:dyDescent="0.3">
      <c r="A8496" t="s">
        <v>0</v>
      </c>
    </row>
    <row r="8497" spans="1:1" x14ac:dyDescent="0.3">
      <c r="A8497" t="s">
        <v>0</v>
      </c>
    </row>
    <row r="8498" spans="1:1" x14ac:dyDescent="0.3">
      <c r="A8498" t="s">
        <v>0</v>
      </c>
    </row>
    <row r="8499" spans="1:1" x14ac:dyDescent="0.3">
      <c r="A8499" t="s">
        <v>0</v>
      </c>
    </row>
    <row r="8500" spans="1:1" x14ac:dyDescent="0.3">
      <c r="A8500" t="s">
        <v>0</v>
      </c>
    </row>
    <row r="8501" spans="1:1" x14ac:dyDescent="0.3">
      <c r="A8501" t="s">
        <v>0</v>
      </c>
    </row>
    <row r="8502" spans="1:1" x14ac:dyDescent="0.3">
      <c r="A8502" t="s">
        <v>0</v>
      </c>
    </row>
    <row r="8503" spans="1:1" x14ac:dyDescent="0.3">
      <c r="A8503" t="s">
        <v>0</v>
      </c>
    </row>
    <row r="8504" spans="1:1" x14ac:dyDescent="0.3">
      <c r="A8504" t="s">
        <v>0</v>
      </c>
    </row>
    <row r="8505" spans="1:1" x14ac:dyDescent="0.3">
      <c r="A8505" t="s">
        <v>0</v>
      </c>
    </row>
    <row r="8506" spans="1:1" x14ac:dyDescent="0.3">
      <c r="A8506" t="s">
        <v>0</v>
      </c>
    </row>
    <row r="8507" spans="1:1" x14ac:dyDescent="0.3">
      <c r="A8507" t="s">
        <v>0</v>
      </c>
    </row>
    <row r="8508" spans="1:1" x14ac:dyDescent="0.3">
      <c r="A8508" t="s">
        <v>0</v>
      </c>
    </row>
    <row r="8509" spans="1:1" x14ac:dyDescent="0.3">
      <c r="A8509" t="s">
        <v>0</v>
      </c>
    </row>
    <row r="8510" spans="1:1" x14ac:dyDescent="0.3">
      <c r="A8510" t="s">
        <v>0</v>
      </c>
    </row>
    <row r="8511" spans="1:1" x14ac:dyDescent="0.3">
      <c r="A8511" t="s">
        <v>0</v>
      </c>
    </row>
    <row r="8512" spans="1:1" x14ac:dyDescent="0.3">
      <c r="A8512" t="s">
        <v>0</v>
      </c>
    </row>
    <row r="8513" spans="1:1" x14ac:dyDescent="0.3">
      <c r="A8513" t="s">
        <v>0</v>
      </c>
    </row>
    <row r="8514" spans="1:1" x14ac:dyDescent="0.3">
      <c r="A8514" t="s">
        <v>0</v>
      </c>
    </row>
    <row r="8515" spans="1:1" x14ac:dyDescent="0.3">
      <c r="A8515" t="s">
        <v>0</v>
      </c>
    </row>
    <row r="8516" spans="1:1" x14ac:dyDescent="0.3">
      <c r="A8516" t="s">
        <v>0</v>
      </c>
    </row>
    <row r="8517" spans="1:1" x14ac:dyDescent="0.3">
      <c r="A8517" t="s">
        <v>0</v>
      </c>
    </row>
    <row r="8518" spans="1:1" x14ac:dyDescent="0.3">
      <c r="A8518" t="s">
        <v>0</v>
      </c>
    </row>
    <row r="8519" spans="1:1" x14ac:dyDescent="0.3">
      <c r="A8519" t="s">
        <v>0</v>
      </c>
    </row>
    <row r="8520" spans="1:1" x14ac:dyDescent="0.3">
      <c r="A8520" t="s">
        <v>0</v>
      </c>
    </row>
    <row r="8521" spans="1:1" x14ac:dyDescent="0.3">
      <c r="A8521" t="s">
        <v>0</v>
      </c>
    </row>
    <row r="8522" spans="1:1" x14ac:dyDescent="0.3">
      <c r="A8522" t="s">
        <v>0</v>
      </c>
    </row>
    <row r="8523" spans="1:1" x14ac:dyDescent="0.3">
      <c r="A8523" t="s">
        <v>0</v>
      </c>
    </row>
    <row r="8524" spans="1:1" x14ac:dyDescent="0.3">
      <c r="A8524" t="s">
        <v>0</v>
      </c>
    </row>
    <row r="8525" spans="1:1" x14ac:dyDescent="0.3">
      <c r="A8525" t="s">
        <v>0</v>
      </c>
    </row>
    <row r="8526" spans="1:1" x14ac:dyDescent="0.3">
      <c r="A8526" t="s">
        <v>0</v>
      </c>
    </row>
    <row r="8527" spans="1:1" x14ac:dyDescent="0.3">
      <c r="A8527" t="s">
        <v>0</v>
      </c>
    </row>
    <row r="8528" spans="1:1" x14ac:dyDescent="0.3">
      <c r="A8528" t="s">
        <v>0</v>
      </c>
    </row>
    <row r="8529" spans="1:1" x14ac:dyDescent="0.3">
      <c r="A8529" t="s">
        <v>0</v>
      </c>
    </row>
    <row r="8530" spans="1:1" x14ac:dyDescent="0.3">
      <c r="A8530" t="s">
        <v>0</v>
      </c>
    </row>
    <row r="8531" spans="1:1" x14ac:dyDescent="0.3">
      <c r="A8531" t="s">
        <v>0</v>
      </c>
    </row>
    <row r="8532" spans="1:1" x14ac:dyDescent="0.3">
      <c r="A8532" t="s">
        <v>0</v>
      </c>
    </row>
    <row r="8533" spans="1:1" x14ac:dyDescent="0.3">
      <c r="A8533" t="s">
        <v>0</v>
      </c>
    </row>
    <row r="8534" spans="1:1" x14ac:dyDescent="0.3">
      <c r="A8534" t="s">
        <v>0</v>
      </c>
    </row>
    <row r="8535" spans="1:1" x14ac:dyDescent="0.3">
      <c r="A8535" t="s">
        <v>0</v>
      </c>
    </row>
    <row r="8536" spans="1:1" x14ac:dyDescent="0.3">
      <c r="A8536" t="s">
        <v>0</v>
      </c>
    </row>
    <row r="8537" spans="1:1" x14ac:dyDescent="0.3">
      <c r="A8537" t="s">
        <v>0</v>
      </c>
    </row>
    <row r="8538" spans="1:1" x14ac:dyDescent="0.3">
      <c r="A8538" t="s">
        <v>0</v>
      </c>
    </row>
    <row r="8539" spans="1:1" x14ac:dyDescent="0.3">
      <c r="A8539" t="s">
        <v>0</v>
      </c>
    </row>
    <row r="8540" spans="1:1" x14ac:dyDescent="0.3">
      <c r="A8540" t="s">
        <v>0</v>
      </c>
    </row>
    <row r="8541" spans="1:1" x14ac:dyDescent="0.3">
      <c r="A8541" t="s">
        <v>0</v>
      </c>
    </row>
    <row r="8542" spans="1:1" x14ac:dyDescent="0.3">
      <c r="A8542" t="s">
        <v>0</v>
      </c>
    </row>
    <row r="8543" spans="1:1" x14ac:dyDescent="0.3">
      <c r="A8543" t="s">
        <v>0</v>
      </c>
    </row>
    <row r="8544" spans="1:1" x14ac:dyDescent="0.3">
      <c r="A8544" t="s">
        <v>0</v>
      </c>
    </row>
    <row r="8545" spans="1:1" x14ac:dyDescent="0.3">
      <c r="A8545" t="s">
        <v>0</v>
      </c>
    </row>
    <row r="8546" spans="1:1" x14ac:dyDescent="0.3">
      <c r="A8546" t="s">
        <v>0</v>
      </c>
    </row>
    <row r="8547" spans="1:1" x14ac:dyDescent="0.3">
      <c r="A8547" t="s">
        <v>0</v>
      </c>
    </row>
    <row r="8548" spans="1:1" x14ac:dyDescent="0.3">
      <c r="A8548" t="s">
        <v>0</v>
      </c>
    </row>
    <row r="8549" spans="1:1" x14ac:dyDescent="0.3">
      <c r="A8549" t="s">
        <v>0</v>
      </c>
    </row>
    <row r="8550" spans="1:1" x14ac:dyDescent="0.3">
      <c r="A8550" t="s">
        <v>0</v>
      </c>
    </row>
    <row r="8551" spans="1:1" x14ac:dyDescent="0.3">
      <c r="A8551" t="s">
        <v>0</v>
      </c>
    </row>
    <row r="8552" spans="1:1" x14ac:dyDescent="0.3">
      <c r="A8552" t="s">
        <v>0</v>
      </c>
    </row>
    <row r="8553" spans="1:1" x14ac:dyDescent="0.3">
      <c r="A8553" t="s">
        <v>0</v>
      </c>
    </row>
    <row r="8554" spans="1:1" x14ac:dyDescent="0.3">
      <c r="A8554" t="s">
        <v>0</v>
      </c>
    </row>
    <row r="8555" spans="1:1" x14ac:dyDescent="0.3">
      <c r="A8555" t="s">
        <v>0</v>
      </c>
    </row>
    <row r="8556" spans="1:1" x14ac:dyDescent="0.3">
      <c r="A8556" t="s">
        <v>0</v>
      </c>
    </row>
    <row r="8557" spans="1:1" x14ac:dyDescent="0.3">
      <c r="A8557" t="s">
        <v>0</v>
      </c>
    </row>
    <row r="8558" spans="1:1" x14ac:dyDescent="0.3">
      <c r="A8558" t="s">
        <v>0</v>
      </c>
    </row>
    <row r="8559" spans="1:1" x14ac:dyDescent="0.3">
      <c r="A8559" t="s">
        <v>0</v>
      </c>
    </row>
    <row r="8560" spans="1:1" x14ac:dyDescent="0.3">
      <c r="A8560" t="s">
        <v>0</v>
      </c>
    </row>
    <row r="8561" spans="1:1" x14ac:dyDescent="0.3">
      <c r="A8561" t="s">
        <v>0</v>
      </c>
    </row>
    <row r="8562" spans="1:1" x14ac:dyDescent="0.3">
      <c r="A8562" t="s">
        <v>0</v>
      </c>
    </row>
    <row r="8563" spans="1:1" x14ac:dyDescent="0.3">
      <c r="A8563" t="s">
        <v>0</v>
      </c>
    </row>
    <row r="8564" spans="1:1" x14ac:dyDescent="0.3">
      <c r="A8564" t="s">
        <v>0</v>
      </c>
    </row>
    <row r="8565" spans="1:1" x14ac:dyDescent="0.3">
      <c r="A8565" t="s">
        <v>0</v>
      </c>
    </row>
    <row r="8566" spans="1:1" x14ac:dyDescent="0.3">
      <c r="A8566" t="s">
        <v>0</v>
      </c>
    </row>
    <row r="8567" spans="1:1" x14ac:dyDescent="0.3">
      <c r="A8567" t="s">
        <v>0</v>
      </c>
    </row>
    <row r="8568" spans="1:1" x14ac:dyDescent="0.3">
      <c r="A8568" t="s">
        <v>0</v>
      </c>
    </row>
    <row r="8569" spans="1:1" x14ac:dyDescent="0.3">
      <c r="A8569" t="s">
        <v>0</v>
      </c>
    </row>
    <row r="8570" spans="1:1" x14ac:dyDescent="0.3">
      <c r="A8570" t="s">
        <v>0</v>
      </c>
    </row>
    <row r="8571" spans="1:1" x14ac:dyDescent="0.3">
      <c r="A8571" t="s">
        <v>0</v>
      </c>
    </row>
    <row r="8572" spans="1:1" x14ac:dyDescent="0.3">
      <c r="A8572" t="s">
        <v>0</v>
      </c>
    </row>
    <row r="8573" spans="1:1" x14ac:dyDescent="0.3">
      <c r="A8573" t="s">
        <v>0</v>
      </c>
    </row>
    <row r="8574" spans="1:1" x14ac:dyDescent="0.3">
      <c r="A8574" t="s">
        <v>0</v>
      </c>
    </row>
    <row r="8575" spans="1:1" x14ac:dyDescent="0.3">
      <c r="A8575" t="s">
        <v>0</v>
      </c>
    </row>
    <row r="8576" spans="1:1" x14ac:dyDescent="0.3">
      <c r="A8576" t="s">
        <v>0</v>
      </c>
    </row>
    <row r="8577" spans="1:1" x14ac:dyDescent="0.3">
      <c r="A8577" t="s">
        <v>0</v>
      </c>
    </row>
    <row r="8578" spans="1:1" x14ac:dyDescent="0.3">
      <c r="A8578" t="s">
        <v>0</v>
      </c>
    </row>
    <row r="8579" spans="1:1" x14ac:dyDescent="0.3">
      <c r="A8579" t="s">
        <v>0</v>
      </c>
    </row>
    <row r="8580" spans="1:1" x14ac:dyDescent="0.3">
      <c r="A8580" t="s">
        <v>0</v>
      </c>
    </row>
    <row r="8581" spans="1:1" x14ac:dyDescent="0.3">
      <c r="A8581" t="s">
        <v>0</v>
      </c>
    </row>
    <row r="8582" spans="1:1" x14ac:dyDescent="0.3">
      <c r="A8582" t="s">
        <v>0</v>
      </c>
    </row>
    <row r="8583" spans="1:1" x14ac:dyDescent="0.3">
      <c r="A8583" t="s">
        <v>0</v>
      </c>
    </row>
    <row r="8584" spans="1:1" x14ac:dyDescent="0.3">
      <c r="A8584" t="s">
        <v>0</v>
      </c>
    </row>
    <row r="8585" spans="1:1" x14ac:dyDescent="0.3">
      <c r="A8585" t="s">
        <v>0</v>
      </c>
    </row>
    <row r="8586" spans="1:1" x14ac:dyDescent="0.3">
      <c r="A8586" t="s">
        <v>0</v>
      </c>
    </row>
    <row r="8587" spans="1:1" x14ac:dyDescent="0.3">
      <c r="A8587" t="s">
        <v>0</v>
      </c>
    </row>
    <row r="8588" spans="1:1" x14ac:dyDescent="0.3">
      <c r="A8588" t="s">
        <v>0</v>
      </c>
    </row>
    <row r="8589" spans="1:1" x14ac:dyDescent="0.3">
      <c r="A8589" t="s">
        <v>0</v>
      </c>
    </row>
    <row r="8590" spans="1:1" x14ac:dyDescent="0.3">
      <c r="A8590" t="s">
        <v>0</v>
      </c>
    </row>
    <row r="8591" spans="1:1" x14ac:dyDescent="0.3">
      <c r="A8591" t="s">
        <v>0</v>
      </c>
    </row>
    <row r="8592" spans="1:1" x14ac:dyDescent="0.3">
      <c r="A8592" t="s">
        <v>0</v>
      </c>
    </row>
    <row r="8593" spans="1:1" x14ac:dyDescent="0.3">
      <c r="A8593" t="s">
        <v>0</v>
      </c>
    </row>
    <row r="8594" spans="1:1" x14ac:dyDescent="0.3">
      <c r="A8594" t="s">
        <v>0</v>
      </c>
    </row>
    <row r="8595" spans="1:1" x14ac:dyDescent="0.3">
      <c r="A8595" t="s">
        <v>0</v>
      </c>
    </row>
    <row r="8596" spans="1:1" x14ac:dyDescent="0.3">
      <c r="A8596" t="s">
        <v>0</v>
      </c>
    </row>
    <row r="8597" spans="1:1" x14ac:dyDescent="0.3">
      <c r="A8597" t="s">
        <v>0</v>
      </c>
    </row>
    <row r="8598" spans="1:1" x14ac:dyDescent="0.3">
      <c r="A8598" t="s">
        <v>0</v>
      </c>
    </row>
    <row r="8599" spans="1:1" x14ac:dyDescent="0.3">
      <c r="A8599" t="s">
        <v>0</v>
      </c>
    </row>
    <row r="8600" spans="1:1" x14ac:dyDescent="0.3">
      <c r="A8600" t="s">
        <v>0</v>
      </c>
    </row>
    <row r="8601" spans="1:1" x14ac:dyDescent="0.3">
      <c r="A8601" t="s">
        <v>0</v>
      </c>
    </row>
    <row r="8602" spans="1:1" x14ac:dyDescent="0.3">
      <c r="A8602" t="s">
        <v>0</v>
      </c>
    </row>
    <row r="8603" spans="1:1" x14ac:dyDescent="0.3">
      <c r="A8603" t="s">
        <v>0</v>
      </c>
    </row>
    <row r="8604" spans="1:1" x14ac:dyDescent="0.3">
      <c r="A8604" t="s">
        <v>0</v>
      </c>
    </row>
    <row r="8605" spans="1:1" x14ac:dyDescent="0.3">
      <c r="A8605" t="s">
        <v>0</v>
      </c>
    </row>
    <row r="8606" spans="1:1" x14ac:dyDescent="0.3">
      <c r="A8606" t="s">
        <v>0</v>
      </c>
    </row>
    <row r="8607" spans="1:1" x14ac:dyDescent="0.3">
      <c r="A8607" t="s">
        <v>0</v>
      </c>
    </row>
    <row r="8608" spans="1:1" x14ac:dyDescent="0.3">
      <c r="A8608" t="s">
        <v>0</v>
      </c>
    </row>
    <row r="8609" spans="1:1" x14ac:dyDescent="0.3">
      <c r="A8609" t="s">
        <v>0</v>
      </c>
    </row>
    <row r="8610" spans="1:1" x14ac:dyDescent="0.3">
      <c r="A8610" t="s">
        <v>0</v>
      </c>
    </row>
    <row r="8611" spans="1:1" x14ac:dyDescent="0.3">
      <c r="A8611" t="s">
        <v>0</v>
      </c>
    </row>
    <row r="8612" spans="1:1" x14ac:dyDescent="0.3">
      <c r="A8612" t="s">
        <v>0</v>
      </c>
    </row>
    <row r="8613" spans="1:1" x14ac:dyDescent="0.3">
      <c r="A8613" t="s">
        <v>0</v>
      </c>
    </row>
    <row r="8614" spans="1:1" x14ac:dyDescent="0.3">
      <c r="A8614" t="s">
        <v>0</v>
      </c>
    </row>
    <row r="8615" spans="1:1" x14ac:dyDescent="0.3">
      <c r="A8615" t="s">
        <v>0</v>
      </c>
    </row>
    <row r="8616" spans="1:1" x14ac:dyDescent="0.3">
      <c r="A8616" t="s">
        <v>0</v>
      </c>
    </row>
    <row r="8617" spans="1:1" x14ac:dyDescent="0.3">
      <c r="A8617" t="s">
        <v>0</v>
      </c>
    </row>
    <row r="8618" spans="1:1" x14ac:dyDescent="0.3">
      <c r="A8618" t="s">
        <v>0</v>
      </c>
    </row>
    <row r="8619" spans="1:1" x14ac:dyDescent="0.3">
      <c r="A8619" t="s">
        <v>0</v>
      </c>
    </row>
    <row r="8620" spans="1:1" x14ac:dyDescent="0.3">
      <c r="A8620" t="s">
        <v>0</v>
      </c>
    </row>
    <row r="8621" spans="1:1" x14ac:dyDescent="0.3">
      <c r="A8621" t="s">
        <v>0</v>
      </c>
    </row>
    <row r="8622" spans="1:1" x14ac:dyDescent="0.3">
      <c r="A8622" t="s">
        <v>0</v>
      </c>
    </row>
    <row r="8623" spans="1:1" x14ac:dyDescent="0.3">
      <c r="A8623" t="s">
        <v>0</v>
      </c>
    </row>
    <row r="8624" spans="1:1" x14ac:dyDescent="0.3">
      <c r="A8624" t="s">
        <v>0</v>
      </c>
    </row>
    <row r="8625" spans="1:1" x14ac:dyDescent="0.3">
      <c r="A8625" t="s">
        <v>0</v>
      </c>
    </row>
    <row r="8626" spans="1:1" x14ac:dyDescent="0.3">
      <c r="A8626" t="s">
        <v>0</v>
      </c>
    </row>
    <row r="8627" spans="1:1" x14ac:dyDescent="0.3">
      <c r="A8627" t="s">
        <v>0</v>
      </c>
    </row>
    <row r="8628" spans="1:1" x14ac:dyDescent="0.3">
      <c r="A8628" t="s">
        <v>0</v>
      </c>
    </row>
    <row r="8629" spans="1:1" x14ac:dyDescent="0.3">
      <c r="A8629" t="s">
        <v>0</v>
      </c>
    </row>
    <row r="8630" spans="1:1" x14ac:dyDescent="0.3">
      <c r="A8630" t="s">
        <v>0</v>
      </c>
    </row>
    <row r="8631" spans="1:1" x14ac:dyDescent="0.3">
      <c r="A8631" t="s">
        <v>0</v>
      </c>
    </row>
    <row r="8632" spans="1:1" x14ac:dyDescent="0.3">
      <c r="A8632" t="s">
        <v>0</v>
      </c>
    </row>
    <row r="8633" spans="1:1" x14ac:dyDescent="0.3">
      <c r="A8633" t="s">
        <v>0</v>
      </c>
    </row>
    <row r="8634" spans="1:1" x14ac:dyDescent="0.3">
      <c r="A8634" t="s">
        <v>0</v>
      </c>
    </row>
    <row r="8635" spans="1:1" x14ac:dyDescent="0.3">
      <c r="A8635" t="s">
        <v>0</v>
      </c>
    </row>
    <row r="8636" spans="1:1" x14ac:dyDescent="0.3">
      <c r="A8636" t="s">
        <v>0</v>
      </c>
    </row>
    <row r="8637" spans="1:1" x14ac:dyDescent="0.3">
      <c r="A8637" t="s">
        <v>0</v>
      </c>
    </row>
    <row r="8638" spans="1:1" x14ac:dyDescent="0.3">
      <c r="A8638" t="s">
        <v>0</v>
      </c>
    </row>
    <row r="8639" spans="1:1" x14ac:dyDescent="0.3">
      <c r="A8639" t="s">
        <v>0</v>
      </c>
    </row>
    <row r="8640" spans="1:1" x14ac:dyDescent="0.3">
      <c r="A8640" t="s">
        <v>0</v>
      </c>
    </row>
    <row r="8641" spans="1:1" x14ac:dyDescent="0.3">
      <c r="A8641" t="s">
        <v>0</v>
      </c>
    </row>
    <row r="8642" spans="1:1" x14ac:dyDescent="0.3">
      <c r="A8642" t="s">
        <v>0</v>
      </c>
    </row>
    <row r="8643" spans="1:1" x14ac:dyDescent="0.3">
      <c r="A8643" t="s">
        <v>0</v>
      </c>
    </row>
    <row r="8644" spans="1:1" x14ac:dyDescent="0.3">
      <c r="A8644" t="s">
        <v>0</v>
      </c>
    </row>
    <row r="8645" spans="1:1" x14ac:dyDescent="0.3">
      <c r="A8645" t="s">
        <v>0</v>
      </c>
    </row>
    <row r="8646" spans="1:1" x14ac:dyDescent="0.3">
      <c r="A8646" t="s">
        <v>0</v>
      </c>
    </row>
    <row r="8647" spans="1:1" x14ac:dyDescent="0.3">
      <c r="A8647" t="s">
        <v>0</v>
      </c>
    </row>
    <row r="8648" spans="1:1" x14ac:dyDescent="0.3">
      <c r="A8648" t="s">
        <v>0</v>
      </c>
    </row>
    <row r="8649" spans="1:1" x14ac:dyDescent="0.3">
      <c r="A8649" t="s">
        <v>0</v>
      </c>
    </row>
    <row r="8650" spans="1:1" x14ac:dyDescent="0.3">
      <c r="A8650" t="s">
        <v>0</v>
      </c>
    </row>
    <row r="8651" spans="1:1" x14ac:dyDescent="0.3">
      <c r="A8651" t="s">
        <v>0</v>
      </c>
    </row>
    <row r="8652" spans="1:1" x14ac:dyDescent="0.3">
      <c r="A8652" t="s">
        <v>0</v>
      </c>
    </row>
    <row r="8653" spans="1:1" x14ac:dyDescent="0.3">
      <c r="A8653" t="s">
        <v>0</v>
      </c>
    </row>
    <row r="8654" spans="1:1" x14ac:dyDescent="0.3">
      <c r="A8654" t="s">
        <v>0</v>
      </c>
    </row>
    <row r="8655" spans="1:1" x14ac:dyDescent="0.3">
      <c r="A8655" t="s">
        <v>0</v>
      </c>
    </row>
    <row r="8656" spans="1:1" x14ac:dyDescent="0.3">
      <c r="A8656" t="s">
        <v>0</v>
      </c>
    </row>
    <row r="8657" spans="1:1" x14ac:dyDescent="0.3">
      <c r="A8657" t="s">
        <v>0</v>
      </c>
    </row>
    <row r="8658" spans="1:1" x14ac:dyDescent="0.3">
      <c r="A8658" t="s">
        <v>0</v>
      </c>
    </row>
    <row r="8659" spans="1:1" x14ac:dyDescent="0.3">
      <c r="A8659" t="s">
        <v>0</v>
      </c>
    </row>
    <row r="8660" spans="1:1" x14ac:dyDescent="0.3">
      <c r="A8660" t="s">
        <v>0</v>
      </c>
    </row>
    <row r="8661" spans="1:1" x14ac:dyDescent="0.3">
      <c r="A8661" t="s">
        <v>0</v>
      </c>
    </row>
    <row r="8662" spans="1:1" x14ac:dyDescent="0.3">
      <c r="A8662" t="s">
        <v>0</v>
      </c>
    </row>
    <row r="8663" spans="1:1" x14ac:dyDescent="0.3">
      <c r="A8663" t="s">
        <v>0</v>
      </c>
    </row>
    <row r="8664" spans="1:1" x14ac:dyDescent="0.3">
      <c r="A8664" t="s">
        <v>0</v>
      </c>
    </row>
    <row r="8665" spans="1:1" x14ac:dyDescent="0.3">
      <c r="A8665" t="s">
        <v>0</v>
      </c>
    </row>
    <row r="8666" spans="1:1" x14ac:dyDescent="0.3">
      <c r="A8666" t="s">
        <v>0</v>
      </c>
    </row>
    <row r="8667" spans="1:1" x14ac:dyDescent="0.3">
      <c r="A8667" t="s">
        <v>0</v>
      </c>
    </row>
    <row r="8668" spans="1:1" x14ac:dyDescent="0.3">
      <c r="A8668" t="s">
        <v>0</v>
      </c>
    </row>
    <row r="8669" spans="1:1" x14ac:dyDescent="0.3">
      <c r="A8669" t="s">
        <v>0</v>
      </c>
    </row>
    <row r="8670" spans="1:1" x14ac:dyDescent="0.3">
      <c r="A8670" t="s">
        <v>0</v>
      </c>
    </row>
    <row r="8671" spans="1:1" x14ac:dyDescent="0.3">
      <c r="A8671" t="s">
        <v>0</v>
      </c>
    </row>
    <row r="8672" spans="1:1" x14ac:dyDescent="0.3">
      <c r="A8672" t="s">
        <v>0</v>
      </c>
    </row>
    <row r="8673" spans="1:1" x14ac:dyDescent="0.3">
      <c r="A8673" t="s">
        <v>0</v>
      </c>
    </row>
    <row r="8674" spans="1:1" x14ac:dyDescent="0.3">
      <c r="A8674" t="s">
        <v>0</v>
      </c>
    </row>
    <row r="8675" spans="1:1" x14ac:dyDescent="0.3">
      <c r="A8675" t="s">
        <v>0</v>
      </c>
    </row>
    <row r="8676" spans="1:1" x14ac:dyDescent="0.3">
      <c r="A8676" t="s">
        <v>0</v>
      </c>
    </row>
    <row r="8677" spans="1:1" x14ac:dyDescent="0.3">
      <c r="A8677" t="s">
        <v>0</v>
      </c>
    </row>
    <row r="8678" spans="1:1" x14ac:dyDescent="0.3">
      <c r="A8678" t="s">
        <v>0</v>
      </c>
    </row>
    <row r="8679" spans="1:1" x14ac:dyDescent="0.3">
      <c r="A8679" t="s">
        <v>0</v>
      </c>
    </row>
    <row r="8680" spans="1:1" x14ac:dyDescent="0.3">
      <c r="A8680" t="s">
        <v>0</v>
      </c>
    </row>
    <row r="8681" spans="1:1" x14ac:dyDescent="0.3">
      <c r="A8681" t="s">
        <v>0</v>
      </c>
    </row>
    <row r="8682" spans="1:1" x14ac:dyDescent="0.3">
      <c r="A8682" t="s">
        <v>0</v>
      </c>
    </row>
    <row r="8683" spans="1:1" x14ac:dyDescent="0.3">
      <c r="A8683" t="s">
        <v>0</v>
      </c>
    </row>
    <row r="8684" spans="1:1" x14ac:dyDescent="0.3">
      <c r="A8684" t="s">
        <v>0</v>
      </c>
    </row>
    <row r="8685" spans="1:1" x14ac:dyDescent="0.3">
      <c r="A8685" t="s">
        <v>0</v>
      </c>
    </row>
    <row r="8686" spans="1:1" x14ac:dyDescent="0.3">
      <c r="A8686" t="s">
        <v>0</v>
      </c>
    </row>
    <row r="8687" spans="1:1" x14ac:dyDescent="0.3">
      <c r="A8687" t="s">
        <v>0</v>
      </c>
    </row>
    <row r="8688" spans="1:1" x14ac:dyDescent="0.3">
      <c r="A8688" t="s">
        <v>0</v>
      </c>
    </row>
    <row r="8689" spans="1:1" x14ac:dyDescent="0.3">
      <c r="A8689" t="s">
        <v>0</v>
      </c>
    </row>
    <row r="8690" spans="1:1" x14ac:dyDescent="0.3">
      <c r="A8690" t="s">
        <v>0</v>
      </c>
    </row>
    <row r="8691" spans="1:1" x14ac:dyDescent="0.3">
      <c r="A8691" t="s">
        <v>0</v>
      </c>
    </row>
    <row r="8692" spans="1:1" x14ac:dyDescent="0.3">
      <c r="A8692" t="s">
        <v>0</v>
      </c>
    </row>
    <row r="8693" spans="1:1" x14ac:dyDescent="0.3">
      <c r="A8693" t="s">
        <v>0</v>
      </c>
    </row>
    <row r="8694" spans="1:1" x14ac:dyDescent="0.3">
      <c r="A8694" t="s">
        <v>0</v>
      </c>
    </row>
    <row r="8695" spans="1:1" x14ac:dyDescent="0.3">
      <c r="A8695" t="s">
        <v>0</v>
      </c>
    </row>
    <row r="8696" spans="1:1" x14ac:dyDescent="0.3">
      <c r="A8696" t="s">
        <v>0</v>
      </c>
    </row>
    <row r="8697" spans="1:1" x14ac:dyDescent="0.3">
      <c r="A8697" t="s">
        <v>0</v>
      </c>
    </row>
    <row r="8698" spans="1:1" x14ac:dyDescent="0.3">
      <c r="A8698" t="s">
        <v>0</v>
      </c>
    </row>
    <row r="8699" spans="1:1" x14ac:dyDescent="0.3">
      <c r="A8699" t="s">
        <v>0</v>
      </c>
    </row>
    <row r="8700" spans="1:1" x14ac:dyDescent="0.3">
      <c r="A8700" t="s">
        <v>0</v>
      </c>
    </row>
    <row r="8701" spans="1:1" x14ac:dyDescent="0.3">
      <c r="A8701" t="s">
        <v>0</v>
      </c>
    </row>
    <row r="8702" spans="1:1" x14ac:dyDescent="0.3">
      <c r="A8702" t="s">
        <v>0</v>
      </c>
    </row>
    <row r="8703" spans="1:1" x14ac:dyDescent="0.3">
      <c r="A8703" t="s">
        <v>0</v>
      </c>
    </row>
    <row r="8704" spans="1:1" x14ac:dyDescent="0.3">
      <c r="A8704" t="s">
        <v>0</v>
      </c>
    </row>
    <row r="8705" spans="1:1" x14ac:dyDescent="0.3">
      <c r="A8705" t="s">
        <v>0</v>
      </c>
    </row>
    <row r="8706" spans="1:1" x14ac:dyDescent="0.3">
      <c r="A8706" t="s">
        <v>0</v>
      </c>
    </row>
    <row r="8707" spans="1:1" x14ac:dyDescent="0.3">
      <c r="A8707" t="s">
        <v>0</v>
      </c>
    </row>
    <row r="8708" spans="1:1" x14ac:dyDescent="0.3">
      <c r="A8708" t="s">
        <v>0</v>
      </c>
    </row>
    <row r="8709" spans="1:1" x14ac:dyDescent="0.3">
      <c r="A8709" t="s">
        <v>0</v>
      </c>
    </row>
    <row r="8710" spans="1:1" x14ac:dyDescent="0.3">
      <c r="A8710" t="s">
        <v>0</v>
      </c>
    </row>
    <row r="8711" spans="1:1" x14ac:dyDescent="0.3">
      <c r="A8711" t="s">
        <v>0</v>
      </c>
    </row>
    <row r="8712" spans="1:1" x14ac:dyDescent="0.3">
      <c r="A8712" t="s">
        <v>0</v>
      </c>
    </row>
    <row r="8713" spans="1:1" x14ac:dyDescent="0.3">
      <c r="A8713" t="s">
        <v>0</v>
      </c>
    </row>
    <row r="8714" spans="1:1" x14ac:dyDescent="0.3">
      <c r="A8714" t="s">
        <v>0</v>
      </c>
    </row>
    <row r="8715" spans="1:1" x14ac:dyDescent="0.3">
      <c r="A8715" t="s">
        <v>0</v>
      </c>
    </row>
    <row r="8716" spans="1:1" x14ac:dyDescent="0.3">
      <c r="A8716" t="s">
        <v>0</v>
      </c>
    </row>
    <row r="8717" spans="1:1" x14ac:dyDescent="0.3">
      <c r="A8717" t="s">
        <v>0</v>
      </c>
    </row>
    <row r="8718" spans="1:1" x14ac:dyDescent="0.3">
      <c r="A8718" t="s">
        <v>0</v>
      </c>
    </row>
    <row r="8719" spans="1:1" x14ac:dyDescent="0.3">
      <c r="A8719" t="s">
        <v>0</v>
      </c>
    </row>
    <row r="8720" spans="1:1" x14ac:dyDescent="0.3">
      <c r="A8720" t="s">
        <v>0</v>
      </c>
    </row>
    <row r="8721" spans="1:1" x14ac:dyDescent="0.3">
      <c r="A8721" t="s">
        <v>0</v>
      </c>
    </row>
    <row r="8722" spans="1:1" x14ac:dyDescent="0.3">
      <c r="A8722" t="s">
        <v>0</v>
      </c>
    </row>
    <row r="8723" spans="1:1" x14ac:dyDescent="0.3">
      <c r="A8723" t="s">
        <v>0</v>
      </c>
    </row>
    <row r="8724" spans="1:1" x14ac:dyDescent="0.3">
      <c r="A8724" t="s">
        <v>0</v>
      </c>
    </row>
    <row r="8725" spans="1:1" x14ac:dyDescent="0.3">
      <c r="A8725" t="s">
        <v>0</v>
      </c>
    </row>
    <row r="8726" spans="1:1" x14ac:dyDescent="0.3">
      <c r="A8726" t="s">
        <v>0</v>
      </c>
    </row>
    <row r="8727" spans="1:1" x14ac:dyDescent="0.3">
      <c r="A8727" t="s">
        <v>0</v>
      </c>
    </row>
    <row r="8728" spans="1:1" x14ac:dyDescent="0.3">
      <c r="A8728" t="s">
        <v>0</v>
      </c>
    </row>
    <row r="8729" spans="1:1" x14ac:dyDescent="0.3">
      <c r="A8729" t="s">
        <v>0</v>
      </c>
    </row>
    <row r="8730" spans="1:1" x14ac:dyDescent="0.3">
      <c r="A8730" t="s">
        <v>0</v>
      </c>
    </row>
    <row r="8731" spans="1:1" x14ac:dyDescent="0.3">
      <c r="A8731" t="s">
        <v>0</v>
      </c>
    </row>
    <row r="8732" spans="1:1" x14ac:dyDescent="0.3">
      <c r="A8732" t="s">
        <v>0</v>
      </c>
    </row>
    <row r="8733" spans="1:1" x14ac:dyDescent="0.3">
      <c r="A8733" t="s">
        <v>0</v>
      </c>
    </row>
    <row r="8734" spans="1:1" x14ac:dyDescent="0.3">
      <c r="A8734" t="s">
        <v>0</v>
      </c>
    </row>
    <row r="8735" spans="1:1" x14ac:dyDescent="0.3">
      <c r="A8735" t="s">
        <v>0</v>
      </c>
    </row>
    <row r="8736" spans="1:1" x14ac:dyDescent="0.3">
      <c r="A8736" t="s">
        <v>0</v>
      </c>
    </row>
    <row r="8737" spans="1:1" x14ac:dyDescent="0.3">
      <c r="A8737" t="s">
        <v>0</v>
      </c>
    </row>
    <row r="8738" spans="1:1" x14ac:dyDescent="0.3">
      <c r="A8738" t="s">
        <v>0</v>
      </c>
    </row>
    <row r="8739" spans="1:1" x14ac:dyDescent="0.3">
      <c r="A8739" t="s">
        <v>0</v>
      </c>
    </row>
    <row r="8740" spans="1:1" x14ac:dyDescent="0.3">
      <c r="A8740" t="s">
        <v>0</v>
      </c>
    </row>
    <row r="8741" spans="1:1" x14ac:dyDescent="0.3">
      <c r="A8741" t="s">
        <v>0</v>
      </c>
    </row>
    <row r="8742" spans="1:1" x14ac:dyDescent="0.3">
      <c r="A8742" t="s">
        <v>0</v>
      </c>
    </row>
    <row r="8743" spans="1:1" x14ac:dyDescent="0.3">
      <c r="A8743" t="s">
        <v>0</v>
      </c>
    </row>
    <row r="8744" spans="1:1" x14ac:dyDescent="0.3">
      <c r="A8744" t="s">
        <v>0</v>
      </c>
    </row>
    <row r="8745" spans="1:1" x14ac:dyDescent="0.3">
      <c r="A8745" t="s">
        <v>0</v>
      </c>
    </row>
    <row r="8746" spans="1:1" x14ac:dyDescent="0.3">
      <c r="A8746" t="s">
        <v>0</v>
      </c>
    </row>
    <row r="8747" spans="1:1" x14ac:dyDescent="0.3">
      <c r="A8747" t="s">
        <v>0</v>
      </c>
    </row>
    <row r="8748" spans="1:1" x14ac:dyDescent="0.3">
      <c r="A8748" t="s">
        <v>0</v>
      </c>
    </row>
    <row r="8749" spans="1:1" x14ac:dyDescent="0.3">
      <c r="A8749" t="s">
        <v>0</v>
      </c>
    </row>
    <row r="8750" spans="1:1" x14ac:dyDescent="0.3">
      <c r="A8750" t="s">
        <v>0</v>
      </c>
    </row>
    <row r="8751" spans="1:1" x14ac:dyDescent="0.3">
      <c r="A8751" t="s">
        <v>0</v>
      </c>
    </row>
    <row r="8752" spans="1:1" x14ac:dyDescent="0.3">
      <c r="A8752" t="s">
        <v>0</v>
      </c>
    </row>
    <row r="8753" spans="1:1" x14ac:dyDescent="0.3">
      <c r="A8753" t="s">
        <v>0</v>
      </c>
    </row>
    <row r="8754" spans="1:1" x14ac:dyDescent="0.3">
      <c r="A8754" t="s">
        <v>0</v>
      </c>
    </row>
    <row r="8755" spans="1:1" x14ac:dyDescent="0.3">
      <c r="A8755" t="s">
        <v>0</v>
      </c>
    </row>
    <row r="8756" spans="1:1" x14ac:dyDescent="0.3">
      <c r="A8756" t="s">
        <v>0</v>
      </c>
    </row>
    <row r="8757" spans="1:1" x14ac:dyDescent="0.3">
      <c r="A8757" t="s">
        <v>0</v>
      </c>
    </row>
    <row r="8758" spans="1:1" x14ac:dyDescent="0.3">
      <c r="A8758" t="s">
        <v>0</v>
      </c>
    </row>
    <row r="8759" spans="1:1" x14ac:dyDescent="0.3">
      <c r="A8759" t="s">
        <v>0</v>
      </c>
    </row>
    <row r="8760" spans="1:1" x14ac:dyDescent="0.3">
      <c r="A8760" t="s">
        <v>0</v>
      </c>
    </row>
    <row r="8761" spans="1:1" x14ac:dyDescent="0.3">
      <c r="A8761" t="s">
        <v>0</v>
      </c>
    </row>
    <row r="8762" spans="1:1" x14ac:dyDescent="0.3">
      <c r="A8762" t="s">
        <v>0</v>
      </c>
    </row>
    <row r="8763" spans="1:1" x14ac:dyDescent="0.3">
      <c r="A8763" t="s">
        <v>0</v>
      </c>
    </row>
    <row r="8764" spans="1:1" x14ac:dyDescent="0.3">
      <c r="A8764" t="s">
        <v>0</v>
      </c>
    </row>
    <row r="8765" spans="1:1" x14ac:dyDescent="0.3">
      <c r="A8765" t="s">
        <v>0</v>
      </c>
    </row>
    <row r="8766" spans="1:1" x14ac:dyDescent="0.3">
      <c r="A8766" t="s">
        <v>0</v>
      </c>
    </row>
    <row r="8767" spans="1:1" x14ac:dyDescent="0.3">
      <c r="A8767" t="s">
        <v>0</v>
      </c>
    </row>
    <row r="8768" spans="1:1" x14ac:dyDescent="0.3">
      <c r="A8768" t="s">
        <v>0</v>
      </c>
    </row>
    <row r="8769" spans="1:1" x14ac:dyDescent="0.3">
      <c r="A8769" t="s">
        <v>0</v>
      </c>
    </row>
    <row r="8770" spans="1:1" x14ac:dyDescent="0.3">
      <c r="A8770" t="s">
        <v>0</v>
      </c>
    </row>
    <row r="8771" spans="1:1" x14ac:dyDescent="0.3">
      <c r="A8771" t="s">
        <v>0</v>
      </c>
    </row>
    <row r="8772" spans="1:1" x14ac:dyDescent="0.3">
      <c r="A8772" t="s">
        <v>0</v>
      </c>
    </row>
    <row r="8773" spans="1:1" x14ac:dyDescent="0.3">
      <c r="A8773" t="s">
        <v>0</v>
      </c>
    </row>
    <row r="8774" spans="1:1" x14ac:dyDescent="0.3">
      <c r="A8774" t="s">
        <v>0</v>
      </c>
    </row>
    <row r="8775" spans="1:1" x14ac:dyDescent="0.3">
      <c r="A8775" t="s">
        <v>0</v>
      </c>
    </row>
    <row r="8776" spans="1:1" x14ac:dyDescent="0.3">
      <c r="A8776" t="s">
        <v>0</v>
      </c>
    </row>
    <row r="8777" spans="1:1" x14ac:dyDescent="0.3">
      <c r="A8777" t="s">
        <v>0</v>
      </c>
    </row>
    <row r="8778" spans="1:1" x14ac:dyDescent="0.3">
      <c r="A8778" t="s">
        <v>0</v>
      </c>
    </row>
    <row r="8779" spans="1:1" x14ac:dyDescent="0.3">
      <c r="A8779" t="s">
        <v>0</v>
      </c>
    </row>
    <row r="8780" spans="1:1" x14ac:dyDescent="0.3">
      <c r="A8780" t="s">
        <v>0</v>
      </c>
    </row>
    <row r="8781" spans="1:1" x14ac:dyDescent="0.3">
      <c r="A8781" t="s">
        <v>0</v>
      </c>
    </row>
    <row r="8782" spans="1:1" x14ac:dyDescent="0.3">
      <c r="A8782" t="s">
        <v>0</v>
      </c>
    </row>
    <row r="8783" spans="1:1" x14ac:dyDescent="0.3">
      <c r="A8783" t="s">
        <v>0</v>
      </c>
    </row>
    <row r="8784" spans="1:1" x14ac:dyDescent="0.3">
      <c r="A8784" t="s">
        <v>0</v>
      </c>
    </row>
    <row r="8785" spans="1:1" x14ac:dyDescent="0.3">
      <c r="A8785" t="s">
        <v>0</v>
      </c>
    </row>
    <row r="8786" spans="1:1" x14ac:dyDescent="0.3">
      <c r="A8786" t="s">
        <v>0</v>
      </c>
    </row>
    <row r="8787" spans="1:1" x14ac:dyDescent="0.3">
      <c r="A8787" t="s">
        <v>0</v>
      </c>
    </row>
    <row r="8788" spans="1:1" x14ac:dyDescent="0.3">
      <c r="A8788" t="s">
        <v>0</v>
      </c>
    </row>
    <row r="8789" spans="1:1" x14ac:dyDescent="0.3">
      <c r="A8789" t="s">
        <v>0</v>
      </c>
    </row>
    <row r="8790" spans="1:1" x14ac:dyDescent="0.3">
      <c r="A8790" t="s">
        <v>0</v>
      </c>
    </row>
    <row r="8791" spans="1:1" x14ac:dyDescent="0.3">
      <c r="A8791" t="s">
        <v>0</v>
      </c>
    </row>
    <row r="8792" spans="1:1" x14ac:dyDescent="0.3">
      <c r="A8792" t="s">
        <v>0</v>
      </c>
    </row>
    <row r="8793" spans="1:1" x14ac:dyDescent="0.3">
      <c r="A8793" t="s">
        <v>0</v>
      </c>
    </row>
    <row r="8794" spans="1:1" x14ac:dyDescent="0.3">
      <c r="A8794" t="s">
        <v>0</v>
      </c>
    </row>
    <row r="8795" spans="1:1" x14ac:dyDescent="0.3">
      <c r="A8795" t="s">
        <v>0</v>
      </c>
    </row>
    <row r="8796" spans="1:1" x14ac:dyDescent="0.3">
      <c r="A8796" t="s">
        <v>0</v>
      </c>
    </row>
    <row r="8797" spans="1:1" x14ac:dyDescent="0.3">
      <c r="A8797" t="s">
        <v>0</v>
      </c>
    </row>
    <row r="8798" spans="1:1" x14ac:dyDescent="0.3">
      <c r="A8798" t="s">
        <v>0</v>
      </c>
    </row>
    <row r="8799" spans="1:1" x14ac:dyDescent="0.3">
      <c r="A8799" t="s">
        <v>0</v>
      </c>
    </row>
    <row r="8800" spans="1:1" x14ac:dyDescent="0.3">
      <c r="A8800" t="s">
        <v>0</v>
      </c>
    </row>
    <row r="8801" spans="1:1" x14ac:dyDescent="0.3">
      <c r="A8801" t="s">
        <v>0</v>
      </c>
    </row>
    <row r="8802" spans="1:1" x14ac:dyDescent="0.3">
      <c r="A8802" t="s">
        <v>0</v>
      </c>
    </row>
    <row r="8803" spans="1:1" x14ac:dyDescent="0.3">
      <c r="A8803" t="s">
        <v>0</v>
      </c>
    </row>
    <row r="8804" spans="1:1" x14ac:dyDescent="0.3">
      <c r="A8804" t="s">
        <v>0</v>
      </c>
    </row>
    <row r="8805" spans="1:1" x14ac:dyDescent="0.3">
      <c r="A8805" t="s">
        <v>0</v>
      </c>
    </row>
    <row r="8806" spans="1:1" x14ac:dyDescent="0.3">
      <c r="A8806" t="s">
        <v>0</v>
      </c>
    </row>
    <row r="8807" spans="1:1" x14ac:dyDescent="0.3">
      <c r="A8807" t="s">
        <v>0</v>
      </c>
    </row>
    <row r="8808" spans="1:1" x14ac:dyDescent="0.3">
      <c r="A8808" t="s">
        <v>0</v>
      </c>
    </row>
    <row r="8809" spans="1:1" x14ac:dyDescent="0.3">
      <c r="A8809" t="s">
        <v>0</v>
      </c>
    </row>
    <row r="8810" spans="1:1" x14ac:dyDescent="0.3">
      <c r="A8810" t="s">
        <v>0</v>
      </c>
    </row>
    <row r="8811" spans="1:1" x14ac:dyDescent="0.3">
      <c r="A8811" t="s">
        <v>0</v>
      </c>
    </row>
    <row r="8812" spans="1:1" x14ac:dyDescent="0.3">
      <c r="A8812" t="s">
        <v>0</v>
      </c>
    </row>
    <row r="8813" spans="1:1" x14ac:dyDescent="0.3">
      <c r="A8813" t="s">
        <v>0</v>
      </c>
    </row>
    <row r="8814" spans="1:1" x14ac:dyDescent="0.3">
      <c r="A8814" t="s">
        <v>0</v>
      </c>
    </row>
    <row r="8815" spans="1:1" x14ac:dyDescent="0.3">
      <c r="A8815" t="s">
        <v>0</v>
      </c>
    </row>
    <row r="8816" spans="1:1" x14ac:dyDescent="0.3">
      <c r="A8816" t="s">
        <v>0</v>
      </c>
    </row>
    <row r="8817" spans="1:1" x14ac:dyDescent="0.3">
      <c r="A8817" t="s">
        <v>0</v>
      </c>
    </row>
    <row r="8818" spans="1:1" x14ac:dyDescent="0.3">
      <c r="A8818" t="s">
        <v>0</v>
      </c>
    </row>
    <row r="8819" spans="1:1" x14ac:dyDescent="0.3">
      <c r="A8819" t="s">
        <v>0</v>
      </c>
    </row>
    <row r="8820" spans="1:1" x14ac:dyDescent="0.3">
      <c r="A8820" t="s">
        <v>0</v>
      </c>
    </row>
    <row r="8821" spans="1:1" x14ac:dyDescent="0.3">
      <c r="A8821" t="s">
        <v>0</v>
      </c>
    </row>
    <row r="8822" spans="1:1" x14ac:dyDescent="0.3">
      <c r="A8822" t="s">
        <v>0</v>
      </c>
    </row>
    <row r="8823" spans="1:1" x14ac:dyDescent="0.3">
      <c r="A8823" t="s">
        <v>0</v>
      </c>
    </row>
    <row r="8824" spans="1:1" x14ac:dyDescent="0.3">
      <c r="A8824" t="s">
        <v>0</v>
      </c>
    </row>
    <row r="8825" spans="1:1" x14ac:dyDescent="0.3">
      <c r="A8825" t="s">
        <v>0</v>
      </c>
    </row>
    <row r="8826" spans="1:1" x14ac:dyDescent="0.3">
      <c r="A8826" t="s">
        <v>0</v>
      </c>
    </row>
    <row r="8827" spans="1:1" x14ac:dyDescent="0.3">
      <c r="A8827" t="s">
        <v>0</v>
      </c>
    </row>
    <row r="8828" spans="1:1" x14ac:dyDescent="0.3">
      <c r="A8828" t="s">
        <v>0</v>
      </c>
    </row>
    <row r="8829" spans="1:1" x14ac:dyDescent="0.3">
      <c r="A8829" t="s">
        <v>0</v>
      </c>
    </row>
    <row r="8830" spans="1:1" x14ac:dyDescent="0.3">
      <c r="A8830" t="s">
        <v>0</v>
      </c>
    </row>
    <row r="8831" spans="1:1" x14ac:dyDescent="0.3">
      <c r="A8831" t="s">
        <v>0</v>
      </c>
    </row>
    <row r="8832" spans="1:1" x14ac:dyDescent="0.3">
      <c r="A8832" t="s">
        <v>0</v>
      </c>
    </row>
    <row r="8833" spans="1:1" x14ac:dyDescent="0.3">
      <c r="A8833" t="s">
        <v>0</v>
      </c>
    </row>
    <row r="8834" spans="1:1" x14ac:dyDescent="0.3">
      <c r="A8834" t="s">
        <v>0</v>
      </c>
    </row>
    <row r="8835" spans="1:1" x14ac:dyDescent="0.3">
      <c r="A8835" t="s">
        <v>0</v>
      </c>
    </row>
    <row r="8836" spans="1:1" x14ac:dyDescent="0.3">
      <c r="A8836" t="s">
        <v>0</v>
      </c>
    </row>
    <row r="8837" spans="1:1" x14ac:dyDescent="0.3">
      <c r="A8837" t="s">
        <v>0</v>
      </c>
    </row>
    <row r="8838" spans="1:1" x14ac:dyDescent="0.3">
      <c r="A8838" t="s">
        <v>0</v>
      </c>
    </row>
    <row r="8839" spans="1:1" x14ac:dyDescent="0.3">
      <c r="A8839" t="s">
        <v>0</v>
      </c>
    </row>
    <row r="8840" spans="1:1" x14ac:dyDescent="0.3">
      <c r="A8840" t="s">
        <v>0</v>
      </c>
    </row>
    <row r="8841" spans="1:1" x14ac:dyDescent="0.3">
      <c r="A8841" t="s">
        <v>0</v>
      </c>
    </row>
    <row r="8842" spans="1:1" x14ac:dyDescent="0.3">
      <c r="A8842" t="s">
        <v>0</v>
      </c>
    </row>
    <row r="8843" spans="1:1" x14ac:dyDescent="0.3">
      <c r="A8843" t="s">
        <v>0</v>
      </c>
    </row>
    <row r="8844" spans="1:1" x14ac:dyDescent="0.3">
      <c r="A8844" t="s">
        <v>0</v>
      </c>
    </row>
    <row r="8845" spans="1:1" x14ac:dyDescent="0.3">
      <c r="A8845" t="s">
        <v>0</v>
      </c>
    </row>
    <row r="8846" spans="1:1" x14ac:dyDescent="0.3">
      <c r="A8846" t="s">
        <v>0</v>
      </c>
    </row>
    <row r="8847" spans="1:1" x14ac:dyDescent="0.3">
      <c r="A8847" t="s">
        <v>0</v>
      </c>
    </row>
    <row r="8848" spans="1:1" x14ac:dyDescent="0.3">
      <c r="A8848" t="s">
        <v>0</v>
      </c>
    </row>
    <row r="8849" spans="1:1" x14ac:dyDescent="0.3">
      <c r="A8849" t="s">
        <v>0</v>
      </c>
    </row>
    <row r="8850" spans="1:1" x14ac:dyDescent="0.3">
      <c r="A8850" t="s">
        <v>0</v>
      </c>
    </row>
    <row r="8851" spans="1:1" x14ac:dyDescent="0.3">
      <c r="A8851" t="s">
        <v>0</v>
      </c>
    </row>
    <row r="8852" spans="1:1" x14ac:dyDescent="0.3">
      <c r="A8852" t="s">
        <v>0</v>
      </c>
    </row>
    <row r="8853" spans="1:1" x14ac:dyDescent="0.3">
      <c r="A8853" t="s">
        <v>0</v>
      </c>
    </row>
    <row r="8854" spans="1:1" x14ac:dyDescent="0.3">
      <c r="A8854" t="s">
        <v>0</v>
      </c>
    </row>
    <row r="8855" spans="1:1" x14ac:dyDescent="0.3">
      <c r="A8855" t="s">
        <v>0</v>
      </c>
    </row>
    <row r="8856" spans="1:1" x14ac:dyDescent="0.3">
      <c r="A8856" t="s">
        <v>0</v>
      </c>
    </row>
    <row r="8857" spans="1:1" x14ac:dyDescent="0.3">
      <c r="A8857" t="s">
        <v>0</v>
      </c>
    </row>
    <row r="8858" spans="1:1" x14ac:dyDescent="0.3">
      <c r="A8858" t="s">
        <v>0</v>
      </c>
    </row>
    <row r="8859" spans="1:1" x14ac:dyDescent="0.3">
      <c r="A8859" t="s">
        <v>0</v>
      </c>
    </row>
    <row r="8860" spans="1:1" x14ac:dyDescent="0.3">
      <c r="A8860" t="s">
        <v>0</v>
      </c>
    </row>
    <row r="8861" spans="1:1" x14ac:dyDescent="0.3">
      <c r="A8861" t="s">
        <v>0</v>
      </c>
    </row>
    <row r="8862" spans="1:1" x14ac:dyDescent="0.3">
      <c r="A8862" t="s">
        <v>0</v>
      </c>
    </row>
    <row r="8863" spans="1:1" x14ac:dyDescent="0.3">
      <c r="A8863" t="s">
        <v>0</v>
      </c>
    </row>
    <row r="8864" spans="1:1" x14ac:dyDescent="0.3">
      <c r="A8864" t="s">
        <v>0</v>
      </c>
    </row>
    <row r="8865" spans="1:1" x14ac:dyDescent="0.3">
      <c r="A8865" t="s">
        <v>0</v>
      </c>
    </row>
    <row r="8866" spans="1:1" x14ac:dyDescent="0.3">
      <c r="A8866" t="s">
        <v>0</v>
      </c>
    </row>
    <row r="8867" spans="1:1" x14ac:dyDescent="0.3">
      <c r="A8867" t="s">
        <v>0</v>
      </c>
    </row>
    <row r="8868" spans="1:1" x14ac:dyDescent="0.3">
      <c r="A8868" t="s">
        <v>0</v>
      </c>
    </row>
    <row r="8869" spans="1:1" x14ac:dyDescent="0.3">
      <c r="A8869" t="s">
        <v>0</v>
      </c>
    </row>
    <row r="8870" spans="1:1" x14ac:dyDescent="0.3">
      <c r="A8870" t="s">
        <v>0</v>
      </c>
    </row>
    <row r="8871" spans="1:1" x14ac:dyDescent="0.3">
      <c r="A8871" t="s">
        <v>0</v>
      </c>
    </row>
    <row r="8872" spans="1:1" x14ac:dyDescent="0.3">
      <c r="A8872" t="s">
        <v>0</v>
      </c>
    </row>
    <row r="8873" spans="1:1" x14ac:dyDescent="0.3">
      <c r="A8873" t="s">
        <v>0</v>
      </c>
    </row>
    <row r="8874" spans="1:1" x14ac:dyDescent="0.3">
      <c r="A8874" t="s">
        <v>0</v>
      </c>
    </row>
    <row r="8875" spans="1:1" x14ac:dyDescent="0.3">
      <c r="A8875" t="s">
        <v>0</v>
      </c>
    </row>
    <row r="8876" spans="1:1" x14ac:dyDescent="0.3">
      <c r="A8876" t="s">
        <v>0</v>
      </c>
    </row>
    <row r="8877" spans="1:1" x14ac:dyDescent="0.3">
      <c r="A8877" t="s">
        <v>0</v>
      </c>
    </row>
    <row r="8878" spans="1:1" x14ac:dyDescent="0.3">
      <c r="A8878" t="s">
        <v>0</v>
      </c>
    </row>
    <row r="8879" spans="1:1" x14ac:dyDescent="0.3">
      <c r="A8879" t="s">
        <v>0</v>
      </c>
    </row>
    <row r="8880" spans="1:1" x14ac:dyDescent="0.3">
      <c r="A8880" t="s">
        <v>0</v>
      </c>
    </row>
    <row r="8881" spans="1:1" x14ac:dyDescent="0.3">
      <c r="A8881" t="s">
        <v>0</v>
      </c>
    </row>
    <row r="8882" spans="1:1" x14ac:dyDescent="0.3">
      <c r="A8882" t="s">
        <v>0</v>
      </c>
    </row>
    <row r="8883" spans="1:1" x14ac:dyDescent="0.3">
      <c r="A8883" t="s">
        <v>0</v>
      </c>
    </row>
    <row r="8884" spans="1:1" x14ac:dyDescent="0.3">
      <c r="A8884" t="s">
        <v>0</v>
      </c>
    </row>
    <row r="8885" spans="1:1" x14ac:dyDescent="0.3">
      <c r="A8885" t="s">
        <v>0</v>
      </c>
    </row>
    <row r="8886" spans="1:1" x14ac:dyDescent="0.3">
      <c r="A8886" t="s">
        <v>0</v>
      </c>
    </row>
    <row r="8887" spans="1:1" x14ac:dyDescent="0.3">
      <c r="A8887" t="s">
        <v>0</v>
      </c>
    </row>
    <row r="8888" spans="1:1" x14ac:dyDescent="0.3">
      <c r="A8888" t="s">
        <v>0</v>
      </c>
    </row>
    <row r="8889" spans="1:1" x14ac:dyDescent="0.3">
      <c r="A8889" t="s">
        <v>0</v>
      </c>
    </row>
    <row r="8890" spans="1:1" x14ac:dyDescent="0.3">
      <c r="A8890" t="s">
        <v>0</v>
      </c>
    </row>
    <row r="8891" spans="1:1" x14ac:dyDescent="0.3">
      <c r="A8891" t="s">
        <v>0</v>
      </c>
    </row>
    <row r="8892" spans="1:1" x14ac:dyDescent="0.3">
      <c r="A8892" t="s">
        <v>0</v>
      </c>
    </row>
    <row r="8893" spans="1:1" x14ac:dyDescent="0.3">
      <c r="A8893" t="s">
        <v>0</v>
      </c>
    </row>
    <row r="8894" spans="1:1" x14ac:dyDescent="0.3">
      <c r="A8894" t="s">
        <v>0</v>
      </c>
    </row>
    <row r="8895" spans="1:1" x14ac:dyDescent="0.3">
      <c r="A8895" t="s">
        <v>0</v>
      </c>
    </row>
    <row r="8896" spans="1:1" x14ac:dyDescent="0.3">
      <c r="A8896" t="s">
        <v>0</v>
      </c>
    </row>
    <row r="8897" spans="1:1" x14ac:dyDescent="0.3">
      <c r="A8897" t="s">
        <v>0</v>
      </c>
    </row>
    <row r="8898" spans="1:1" x14ac:dyDescent="0.3">
      <c r="A8898" t="s">
        <v>0</v>
      </c>
    </row>
    <row r="8899" spans="1:1" x14ac:dyDescent="0.3">
      <c r="A8899" t="s">
        <v>0</v>
      </c>
    </row>
    <row r="8900" spans="1:1" x14ac:dyDescent="0.3">
      <c r="A8900" t="s">
        <v>0</v>
      </c>
    </row>
    <row r="8901" spans="1:1" x14ac:dyDescent="0.3">
      <c r="A8901" t="s">
        <v>0</v>
      </c>
    </row>
    <row r="8902" spans="1:1" x14ac:dyDescent="0.3">
      <c r="A8902" t="s">
        <v>0</v>
      </c>
    </row>
    <row r="8903" spans="1:1" x14ac:dyDescent="0.3">
      <c r="A8903" t="s">
        <v>0</v>
      </c>
    </row>
    <row r="8904" spans="1:1" x14ac:dyDescent="0.3">
      <c r="A8904" t="s">
        <v>0</v>
      </c>
    </row>
    <row r="8905" spans="1:1" x14ac:dyDescent="0.3">
      <c r="A8905" t="s">
        <v>0</v>
      </c>
    </row>
    <row r="8906" spans="1:1" x14ac:dyDescent="0.3">
      <c r="A8906" t="s">
        <v>0</v>
      </c>
    </row>
    <row r="8907" spans="1:1" x14ac:dyDescent="0.3">
      <c r="A8907" t="s">
        <v>0</v>
      </c>
    </row>
    <row r="8908" spans="1:1" x14ac:dyDescent="0.3">
      <c r="A8908" t="s">
        <v>0</v>
      </c>
    </row>
    <row r="8909" spans="1:1" x14ac:dyDescent="0.3">
      <c r="A8909" t="s">
        <v>0</v>
      </c>
    </row>
    <row r="8910" spans="1:1" x14ac:dyDescent="0.3">
      <c r="A8910" t="s">
        <v>0</v>
      </c>
    </row>
    <row r="8911" spans="1:1" x14ac:dyDescent="0.3">
      <c r="A8911" t="s">
        <v>0</v>
      </c>
    </row>
    <row r="8912" spans="1:1" x14ac:dyDescent="0.3">
      <c r="A8912" t="s">
        <v>0</v>
      </c>
    </row>
    <row r="8913" spans="1:1" x14ac:dyDescent="0.3">
      <c r="A8913" t="s">
        <v>0</v>
      </c>
    </row>
    <row r="8914" spans="1:1" x14ac:dyDescent="0.3">
      <c r="A8914" t="s">
        <v>0</v>
      </c>
    </row>
    <row r="8915" spans="1:1" x14ac:dyDescent="0.3">
      <c r="A8915" t="s">
        <v>0</v>
      </c>
    </row>
    <row r="8916" spans="1:1" x14ac:dyDescent="0.3">
      <c r="A8916" t="s">
        <v>0</v>
      </c>
    </row>
    <row r="8917" spans="1:1" x14ac:dyDescent="0.3">
      <c r="A8917" t="s">
        <v>0</v>
      </c>
    </row>
    <row r="8918" spans="1:1" x14ac:dyDescent="0.3">
      <c r="A8918" t="s">
        <v>0</v>
      </c>
    </row>
    <row r="8919" spans="1:1" x14ac:dyDescent="0.3">
      <c r="A8919" t="s">
        <v>0</v>
      </c>
    </row>
    <row r="8920" spans="1:1" x14ac:dyDescent="0.3">
      <c r="A8920" t="s">
        <v>0</v>
      </c>
    </row>
    <row r="8921" spans="1:1" x14ac:dyDescent="0.3">
      <c r="A8921" t="s">
        <v>0</v>
      </c>
    </row>
    <row r="8922" spans="1:1" x14ac:dyDescent="0.3">
      <c r="A8922" t="s">
        <v>0</v>
      </c>
    </row>
    <row r="8923" spans="1:1" x14ac:dyDescent="0.3">
      <c r="A8923" t="s">
        <v>0</v>
      </c>
    </row>
    <row r="8924" spans="1:1" x14ac:dyDescent="0.3">
      <c r="A8924" t="s">
        <v>0</v>
      </c>
    </row>
    <row r="8925" spans="1:1" x14ac:dyDescent="0.3">
      <c r="A8925" t="s">
        <v>0</v>
      </c>
    </row>
    <row r="8926" spans="1:1" x14ac:dyDescent="0.3">
      <c r="A8926" t="s">
        <v>0</v>
      </c>
    </row>
    <row r="8927" spans="1:1" x14ac:dyDescent="0.3">
      <c r="A8927" t="s">
        <v>0</v>
      </c>
    </row>
    <row r="8928" spans="1:1" x14ac:dyDescent="0.3">
      <c r="A8928" t="s">
        <v>0</v>
      </c>
    </row>
    <row r="8929" spans="1:1" x14ac:dyDescent="0.3">
      <c r="A8929" t="s">
        <v>0</v>
      </c>
    </row>
    <row r="8930" spans="1:1" x14ac:dyDescent="0.3">
      <c r="A8930" t="s">
        <v>0</v>
      </c>
    </row>
    <row r="8931" spans="1:1" x14ac:dyDescent="0.3">
      <c r="A8931" t="s">
        <v>0</v>
      </c>
    </row>
    <row r="8932" spans="1:1" x14ac:dyDescent="0.3">
      <c r="A8932" t="s">
        <v>0</v>
      </c>
    </row>
    <row r="8933" spans="1:1" x14ac:dyDescent="0.3">
      <c r="A8933" t="s">
        <v>0</v>
      </c>
    </row>
    <row r="8934" spans="1:1" x14ac:dyDescent="0.3">
      <c r="A8934" t="s">
        <v>0</v>
      </c>
    </row>
    <row r="8935" spans="1:1" x14ac:dyDescent="0.3">
      <c r="A8935" t="s">
        <v>0</v>
      </c>
    </row>
    <row r="8936" spans="1:1" x14ac:dyDescent="0.3">
      <c r="A8936" t="s">
        <v>0</v>
      </c>
    </row>
    <row r="8937" spans="1:1" x14ac:dyDescent="0.3">
      <c r="A8937" t="s">
        <v>0</v>
      </c>
    </row>
    <row r="8938" spans="1:1" x14ac:dyDescent="0.3">
      <c r="A8938" t="s">
        <v>0</v>
      </c>
    </row>
    <row r="8939" spans="1:1" x14ac:dyDescent="0.3">
      <c r="A8939" t="s">
        <v>0</v>
      </c>
    </row>
    <row r="8940" spans="1:1" x14ac:dyDescent="0.3">
      <c r="A8940" t="s">
        <v>0</v>
      </c>
    </row>
    <row r="8941" spans="1:1" x14ac:dyDescent="0.3">
      <c r="A8941" t="s">
        <v>0</v>
      </c>
    </row>
    <row r="8942" spans="1:1" x14ac:dyDescent="0.3">
      <c r="A8942" t="s">
        <v>0</v>
      </c>
    </row>
    <row r="8943" spans="1:1" x14ac:dyDescent="0.3">
      <c r="A8943" t="s">
        <v>0</v>
      </c>
    </row>
    <row r="8944" spans="1:1" x14ac:dyDescent="0.3">
      <c r="A8944" t="s">
        <v>0</v>
      </c>
    </row>
    <row r="8945" spans="1:1" x14ac:dyDescent="0.3">
      <c r="A8945" t="s">
        <v>0</v>
      </c>
    </row>
    <row r="8946" spans="1:1" x14ac:dyDescent="0.3">
      <c r="A8946" t="s">
        <v>0</v>
      </c>
    </row>
    <row r="8947" spans="1:1" x14ac:dyDescent="0.3">
      <c r="A8947" t="s">
        <v>0</v>
      </c>
    </row>
    <row r="8948" spans="1:1" x14ac:dyDescent="0.3">
      <c r="A8948" t="s">
        <v>0</v>
      </c>
    </row>
    <row r="8949" spans="1:1" x14ac:dyDescent="0.3">
      <c r="A8949" t="s">
        <v>0</v>
      </c>
    </row>
    <row r="8950" spans="1:1" x14ac:dyDescent="0.3">
      <c r="A8950" t="s">
        <v>0</v>
      </c>
    </row>
    <row r="8951" spans="1:1" x14ac:dyDescent="0.3">
      <c r="A8951" t="s">
        <v>0</v>
      </c>
    </row>
    <row r="8952" spans="1:1" x14ac:dyDescent="0.3">
      <c r="A8952" t="s">
        <v>0</v>
      </c>
    </row>
    <row r="8953" spans="1:1" x14ac:dyDescent="0.3">
      <c r="A8953" t="s">
        <v>0</v>
      </c>
    </row>
    <row r="8954" spans="1:1" x14ac:dyDescent="0.3">
      <c r="A8954" t="s">
        <v>0</v>
      </c>
    </row>
    <row r="8955" spans="1:1" x14ac:dyDescent="0.3">
      <c r="A8955" t="s">
        <v>0</v>
      </c>
    </row>
    <row r="8956" spans="1:1" x14ac:dyDescent="0.3">
      <c r="A8956" t="s">
        <v>0</v>
      </c>
    </row>
    <row r="8957" spans="1:1" x14ac:dyDescent="0.3">
      <c r="A8957" t="s">
        <v>0</v>
      </c>
    </row>
    <row r="8958" spans="1:1" x14ac:dyDescent="0.3">
      <c r="A8958" t="s">
        <v>0</v>
      </c>
    </row>
    <row r="8959" spans="1:1" x14ac:dyDescent="0.3">
      <c r="A8959" t="s">
        <v>0</v>
      </c>
    </row>
    <row r="8960" spans="1:1" x14ac:dyDescent="0.3">
      <c r="A8960" t="s">
        <v>0</v>
      </c>
    </row>
    <row r="8961" spans="1:1" x14ac:dyDescent="0.3">
      <c r="A8961" t="s">
        <v>0</v>
      </c>
    </row>
    <row r="8962" spans="1:1" x14ac:dyDescent="0.3">
      <c r="A8962" t="s">
        <v>0</v>
      </c>
    </row>
    <row r="8963" spans="1:1" x14ac:dyDescent="0.3">
      <c r="A8963" t="s">
        <v>0</v>
      </c>
    </row>
    <row r="8964" spans="1:1" x14ac:dyDescent="0.3">
      <c r="A8964" t="s">
        <v>0</v>
      </c>
    </row>
    <row r="8965" spans="1:1" x14ac:dyDescent="0.3">
      <c r="A8965" t="s">
        <v>0</v>
      </c>
    </row>
    <row r="8966" spans="1:1" x14ac:dyDescent="0.3">
      <c r="A8966" t="s">
        <v>0</v>
      </c>
    </row>
    <row r="8967" spans="1:1" x14ac:dyDescent="0.3">
      <c r="A8967" t="s">
        <v>0</v>
      </c>
    </row>
    <row r="8968" spans="1:1" x14ac:dyDescent="0.3">
      <c r="A8968" t="s">
        <v>0</v>
      </c>
    </row>
    <row r="8969" spans="1:1" x14ac:dyDescent="0.3">
      <c r="A8969" t="s">
        <v>0</v>
      </c>
    </row>
    <row r="8970" spans="1:1" x14ac:dyDescent="0.3">
      <c r="A8970" t="s">
        <v>0</v>
      </c>
    </row>
    <row r="8971" spans="1:1" x14ac:dyDescent="0.3">
      <c r="A8971" t="s">
        <v>0</v>
      </c>
    </row>
    <row r="8972" spans="1:1" x14ac:dyDescent="0.3">
      <c r="A8972" t="s">
        <v>0</v>
      </c>
    </row>
    <row r="8973" spans="1:1" x14ac:dyDescent="0.3">
      <c r="A8973" t="s">
        <v>0</v>
      </c>
    </row>
    <row r="8974" spans="1:1" x14ac:dyDescent="0.3">
      <c r="A8974" t="s">
        <v>0</v>
      </c>
    </row>
    <row r="8975" spans="1:1" x14ac:dyDescent="0.3">
      <c r="A8975" t="s">
        <v>0</v>
      </c>
    </row>
    <row r="8976" spans="1:1" x14ac:dyDescent="0.3">
      <c r="A8976" t="s">
        <v>0</v>
      </c>
    </row>
    <row r="8977" spans="1:1" x14ac:dyDescent="0.3">
      <c r="A8977" t="s">
        <v>0</v>
      </c>
    </row>
    <row r="8978" spans="1:1" x14ac:dyDescent="0.3">
      <c r="A8978" t="s">
        <v>0</v>
      </c>
    </row>
    <row r="8979" spans="1:1" x14ac:dyDescent="0.3">
      <c r="A8979" t="s">
        <v>0</v>
      </c>
    </row>
    <row r="8980" spans="1:1" x14ac:dyDescent="0.3">
      <c r="A8980" t="s">
        <v>0</v>
      </c>
    </row>
    <row r="8981" spans="1:1" x14ac:dyDescent="0.3">
      <c r="A8981" t="s">
        <v>0</v>
      </c>
    </row>
    <row r="8982" spans="1:1" x14ac:dyDescent="0.3">
      <c r="A8982" t="s">
        <v>0</v>
      </c>
    </row>
    <row r="8983" spans="1:1" x14ac:dyDescent="0.3">
      <c r="A8983" t="s">
        <v>0</v>
      </c>
    </row>
    <row r="8984" spans="1:1" x14ac:dyDescent="0.3">
      <c r="A8984" t="s">
        <v>0</v>
      </c>
    </row>
    <row r="8985" spans="1:1" x14ac:dyDescent="0.3">
      <c r="A8985" t="s">
        <v>0</v>
      </c>
    </row>
    <row r="8986" spans="1:1" x14ac:dyDescent="0.3">
      <c r="A8986" t="s">
        <v>0</v>
      </c>
    </row>
    <row r="8987" spans="1:1" x14ac:dyDescent="0.3">
      <c r="A8987" t="s">
        <v>0</v>
      </c>
    </row>
    <row r="8988" spans="1:1" x14ac:dyDescent="0.3">
      <c r="A8988" t="s">
        <v>0</v>
      </c>
    </row>
    <row r="8989" spans="1:1" x14ac:dyDescent="0.3">
      <c r="A8989" t="s">
        <v>0</v>
      </c>
    </row>
    <row r="8990" spans="1:1" x14ac:dyDescent="0.3">
      <c r="A8990" t="s">
        <v>0</v>
      </c>
    </row>
    <row r="8991" spans="1:1" x14ac:dyDescent="0.3">
      <c r="A8991" t="s">
        <v>0</v>
      </c>
    </row>
    <row r="8992" spans="1:1" x14ac:dyDescent="0.3">
      <c r="A8992" t="s">
        <v>0</v>
      </c>
    </row>
    <row r="8993" spans="1:1" x14ac:dyDescent="0.3">
      <c r="A8993" t="s">
        <v>0</v>
      </c>
    </row>
    <row r="8994" spans="1:1" x14ac:dyDescent="0.3">
      <c r="A8994" t="s">
        <v>0</v>
      </c>
    </row>
    <row r="8995" spans="1:1" x14ac:dyDescent="0.3">
      <c r="A8995" t="s">
        <v>0</v>
      </c>
    </row>
    <row r="8996" spans="1:1" x14ac:dyDescent="0.3">
      <c r="A8996" t="s">
        <v>0</v>
      </c>
    </row>
    <row r="8997" spans="1:1" x14ac:dyDescent="0.3">
      <c r="A8997" t="s">
        <v>0</v>
      </c>
    </row>
    <row r="8998" spans="1:1" x14ac:dyDescent="0.3">
      <c r="A8998" t="s">
        <v>0</v>
      </c>
    </row>
    <row r="8999" spans="1:1" x14ac:dyDescent="0.3">
      <c r="A8999" t="s">
        <v>0</v>
      </c>
    </row>
    <row r="9000" spans="1:1" x14ac:dyDescent="0.3">
      <c r="A9000" t="s">
        <v>0</v>
      </c>
    </row>
    <row r="9001" spans="1:1" x14ac:dyDescent="0.3">
      <c r="A9001" t="s">
        <v>0</v>
      </c>
    </row>
    <row r="9002" spans="1:1" x14ac:dyDescent="0.3">
      <c r="A9002" t="s">
        <v>0</v>
      </c>
    </row>
    <row r="9003" spans="1:1" x14ac:dyDescent="0.3">
      <c r="A9003" t="s">
        <v>0</v>
      </c>
    </row>
    <row r="9004" spans="1:1" x14ac:dyDescent="0.3">
      <c r="A9004" t="s">
        <v>0</v>
      </c>
    </row>
    <row r="9005" spans="1:1" x14ac:dyDescent="0.3">
      <c r="A9005" t="s">
        <v>0</v>
      </c>
    </row>
    <row r="9006" spans="1:1" x14ac:dyDescent="0.3">
      <c r="A9006" t="s">
        <v>0</v>
      </c>
    </row>
    <row r="9007" spans="1:1" x14ac:dyDescent="0.3">
      <c r="A9007" t="s">
        <v>0</v>
      </c>
    </row>
    <row r="9008" spans="1:1" x14ac:dyDescent="0.3">
      <c r="A9008" t="s">
        <v>0</v>
      </c>
    </row>
    <row r="9009" spans="1:1" x14ac:dyDescent="0.3">
      <c r="A9009" t="s">
        <v>0</v>
      </c>
    </row>
    <row r="9010" spans="1:1" x14ac:dyDescent="0.3">
      <c r="A9010" t="s">
        <v>0</v>
      </c>
    </row>
    <row r="9011" spans="1:1" x14ac:dyDescent="0.3">
      <c r="A9011" t="s">
        <v>0</v>
      </c>
    </row>
    <row r="9012" spans="1:1" x14ac:dyDescent="0.3">
      <c r="A9012" t="s">
        <v>0</v>
      </c>
    </row>
    <row r="9013" spans="1:1" x14ac:dyDescent="0.3">
      <c r="A9013" t="s">
        <v>0</v>
      </c>
    </row>
    <row r="9014" spans="1:1" x14ac:dyDescent="0.3">
      <c r="A9014" t="s">
        <v>0</v>
      </c>
    </row>
    <row r="9015" spans="1:1" x14ac:dyDescent="0.3">
      <c r="A9015" t="s">
        <v>0</v>
      </c>
    </row>
    <row r="9016" spans="1:1" x14ac:dyDescent="0.3">
      <c r="A9016" t="s">
        <v>0</v>
      </c>
    </row>
    <row r="9017" spans="1:1" x14ac:dyDescent="0.3">
      <c r="A9017" t="s">
        <v>0</v>
      </c>
    </row>
    <row r="9018" spans="1:1" x14ac:dyDescent="0.3">
      <c r="A9018" t="s">
        <v>0</v>
      </c>
    </row>
    <row r="9019" spans="1:1" x14ac:dyDescent="0.3">
      <c r="A9019" t="s">
        <v>0</v>
      </c>
    </row>
    <row r="9020" spans="1:1" x14ac:dyDescent="0.3">
      <c r="A9020" t="s">
        <v>0</v>
      </c>
    </row>
    <row r="9021" spans="1:1" x14ac:dyDescent="0.3">
      <c r="A9021" t="s">
        <v>0</v>
      </c>
    </row>
    <row r="9022" spans="1:1" x14ac:dyDescent="0.3">
      <c r="A9022" t="s">
        <v>0</v>
      </c>
    </row>
    <row r="9023" spans="1:1" x14ac:dyDescent="0.3">
      <c r="A9023" t="s">
        <v>0</v>
      </c>
    </row>
    <row r="9024" spans="1:1" x14ac:dyDescent="0.3">
      <c r="A9024" t="s">
        <v>0</v>
      </c>
    </row>
    <row r="9025" spans="1:1" x14ac:dyDescent="0.3">
      <c r="A9025" t="s">
        <v>0</v>
      </c>
    </row>
    <row r="9026" spans="1:1" x14ac:dyDescent="0.3">
      <c r="A9026" t="s">
        <v>0</v>
      </c>
    </row>
    <row r="9027" spans="1:1" x14ac:dyDescent="0.3">
      <c r="A9027" t="s">
        <v>0</v>
      </c>
    </row>
    <row r="9028" spans="1:1" x14ac:dyDescent="0.3">
      <c r="A9028" t="s">
        <v>0</v>
      </c>
    </row>
    <row r="9029" spans="1:1" x14ac:dyDescent="0.3">
      <c r="A9029" t="s">
        <v>0</v>
      </c>
    </row>
    <row r="9030" spans="1:1" x14ac:dyDescent="0.3">
      <c r="A9030" t="s">
        <v>0</v>
      </c>
    </row>
    <row r="9031" spans="1:1" x14ac:dyDescent="0.3">
      <c r="A9031" t="s">
        <v>0</v>
      </c>
    </row>
    <row r="9032" spans="1:1" x14ac:dyDescent="0.3">
      <c r="A9032" t="s">
        <v>0</v>
      </c>
    </row>
    <row r="9033" spans="1:1" x14ac:dyDescent="0.3">
      <c r="A9033" t="s">
        <v>0</v>
      </c>
    </row>
    <row r="9034" spans="1:1" x14ac:dyDescent="0.3">
      <c r="A9034" t="s">
        <v>0</v>
      </c>
    </row>
    <row r="9035" spans="1:1" x14ac:dyDescent="0.3">
      <c r="A9035" t="s">
        <v>0</v>
      </c>
    </row>
    <row r="9036" spans="1:1" x14ac:dyDescent="0.3">
      <c r="A9036" t="s">
        <v>0</v>
      </c>
    </row>
    <row r="9037" spans="1:1" x14ac:dyDescent="0.3">
      <c r="A9037" t="s">
        <v>0</v>
      </c>
    </row>
    <row r="9038" spans="1:1" x14ac:dyDescent="0.3">
      <c r="A9038" t="s">
        <v>0</v>
      </c>
    </row>
    <row r="9039" spans="1:1" x14ac:dyDescent="0.3">
      <c r="A9039" t="s">
        <v>0</v>
      </c>
    </row>
    <row r="9040" spans="1:1" x14ac:dyDescent="0.3">
      <c r="A9040" t="s">
        <v>0</v>
      </c>
    </row>
    <row r="9041" spans="1:1" x14ac:dyDescent="0.3">
      <c r="A9041" t="s">
        <v>0</v>
      </c>
    </row>
    <row r="9042" spans="1:1" x14ac:dyDescent="0.3">
      <c r="A9042" t="s">
        <v>0</v>
      </c>
    </row>
    <row r="9043" spans="1:1" x14ac:dyDescent="0.3">
      <c r="A9043" t="s">
        <v>0</v>
      </c>
    </row>
    <row r="9044" spans="1:1" x14ac:dyDescent="0.3">
      <c r="A9044" t="s">
        <v>0</v>
      </c>
    </row>
    <row r="9045" spans="1:1" x14ac:dyDescent="0.3">
      <c r="A9045" t="s">
        <v>0</v>
      </c>
    </row>
    <row r="9046" spans="1:1" x14ac:dyDescent="0.3">
      <c r="A9046" t="s">
        <v>0</v>
      </c>
    </row>
    <row r="9047" spans="1:1" x14ac:dyDescent="0.3">
      <c r="A9047" t="s">
        <v>0</v>
      </c>
    </row>
    <row r="9048" spans="1:1" x14ac:dyDescent="0.3">
      <c r="A9048" t="s">
        <v>0</v>
      </c>
    </row>
    <row r="9049" spans="1:1" x14ac:dyDescent="0.3">
      <c r="A9049" t="s">
        <v>0</v>
      </c>
    </row>
    <row r="9050" spans="1:1" x14ac:dyDescent="0.3">
      <c r="A9050" t="s">
        <v>0</v>
      </c>
    </row>
    <row r="9051" spans="1:1" x14ac:dyDescent="0.3">
      <c r="A9051" t="s">
        <v>0</v>
      </c>
    </row>
    <row r="9052" spans="1:1" x14ac:dyDescent="0.3">
      <c r="A9052" t="s">
        <v>0</v>
      </c>
    </row>
    <row r="9053" spans="1:1" x14ac:dyDescent="0.3">
      <c r="A9053" t="s">
        <v>0</v>
      </c>
    </row>
    <row r="9054" spans="1:1" x14ac:dyDescent="0.3">
      <c r="A9054" t="s">
        <v>0</v>
      </c>
    </row>
    <row r="9055" spans="1:1" x14ac:dyDescent="0.3">
      <c r="A9055" t="s">
        <v>0</v>
      </c>
    </row>
    <row r="9056" spans="1:1" x14ac:dyDescent="0.3">
      <c r="A9056" t="s">
        <v>0</v>
      </c>
    </row>
    <row r="9057" spans="1:1" x14ac:dyDescent="0.3">
      <c r="A9057" t="s">
        <v>0</v>
      </c>
    </row>
    <row r="9058" spans="1:1" x14ac:dyDescent="0.3">
      <c r="A9058" t="s">
        <v>0</v>
      </c>
    </row>
    <row r="9059" spans="1:1" x14ac:dyDescent="0.3">
      <c r="A9059" t="s">
        <v>0</v>
      </c>
    </row>
    <row r="9060" spans="1:1" x14ac:dyDescent="0.3">
      <c r="A9060" t="s">
        <v>0</v>
      </c>
    </row>
    <row r="9061" spans="1:1" x14ac:dyDescent="0.3">
      <c r="A9061" t="s">
        <v>0</v>
      </c>
    </row>
    <row r="9062" spans="1:1" x14ac:dyDescent="0.3">
      <c r="A9062" t="s">
        <v>0</v>
      </c>
    </row>
    <row r="9063" spans="1:1" x14ac:dyDescent="0.3">
      <c r="A9063" t="s">
        <v>0</v>
      </c>
    </row>
    <row r="9064" spans="1:1" x14ac:dyDescent="0.3">
      <c r="A9064" t="s">
        <v>0</v>
      </c>
    </row>
    <row r="9065" spans="1:1" x14ac:dyDescent="0.3">
      <c r="A9065" t="s">
        <v>0</v>
      </c>
    </row>
    <row r="9066" spans="1:1" x14ac:dyDescent="0.3">
      <c r="A9066" t="s">
        <v>0</v>
      </c>
    </row>
    <row r="9067" spans="1:1" x14ac:dyDescent="0.3">
      <c r="A9067" t="s">
        <v>0</v>
      </c>
    </row>
    <row r="9068" spans="1:1" x14ac:dyDescent="0.3">
      <c r="A9068" t="s">
        <v>0</v>
      </c>
    </row>
    <row r="9069" spans="1:1" x14ac:dyDescent="0.3">
      <c r="A9069" t="s">
        <v>0</v>
      </c>
    </row>
    <row r="9070" spans="1:1" x14ac:dyDescent="0.3">
      <c r="A9070" t="s">
        <v>0</v>
      </c>
    </row>
    <row r="9071" spans="1:1" x14ac:dyDescent="0.3">
      <c r="A9071" t="s">
        <v>0</v>
      </c>
    </row>
    <row r="9072" spans="1:1" x14ac:dyDescent="0.3">
      <c r="A9072" t="s">
        <v>0</v>
      </c>
    </row>
    <row r="9073" spans="1:1" x14ac:dyDescent="0.3">
      <c r="A9073" t="s">
        <v>0</v>
      </c>
    </row>
    <row r="9074" spans="1:1" x14ac:dyDescent="0.3">
      <c r="A9074" t="s">
        <v>0</v>
      </c>
    </row>
    <row r="9075" spans="1:1" x14ac:dyDescent="0.3">
      <c r="A9075" t="s">
        <v>0</v>
      </c>
    </row>
    <row r="9076" spans="1:1" x14ac:dyDescent="0.3">
      <c r="A9076" t="s">
        <v>0</v>
      </c>
    </row>
    <row r="9077" spans="1:1" x14ac:dyDescent="0.3">
      <c r="A9077" t="s">
        <v>0</v>
      </c>
    </row>
    <row r="9078" spans="1:1" x14ac:dyDescent="0.3">
      <c r="A9078" t="s">
        <v>0</v>
      </c>
    </row>
    <row r="9079" spans="1:1" x14ac:dyDescent="0.3">
      <c r="A9079" t="s">
        <v>0</v>
      </c>
    </row>
    <row r="9080" spans="1:1" x14ac:dyDescent="0.3">
      <c r="A9080" t="s">
        <v>0</v>
      </c>
    </row>
    <row r="9081" spans="1:1" x14ac:dyDescent="0.3">
      <c r="A9081" t="s">
        <v>0</v>
      </c>
    </row>
    <row r="9082" spans="1:1" x14ac:dyDescent="0.3">
      <c r="A9082" t="s">
        <v>0</v>
      </c>
    </row>
    <row r="9083" spans="1:1" x14ac:dyDescent="0.3">
      <c r="A9083" t="s">
        <v>0</v>
      </c>
    </row>
    <row r="9084" spans="1:1" x14ac:dyDescent="0.3">
      <c r="A9084" t="s">
        <v>0</v>
      </c>
    </row>
    <row r="9085" spans="1:1" x14ac:dyDescent="0.3">
      <c r="A9085" t="s">
        <v>0</v>
      </c>
    </row>
    <row r="9086" spans="1:1" x14ac:dyDescent="0.3">
      <c r="A9086" t="s">
        <v>0</v>
      </c>
    </row>
    <row r="9087" spans="1:1" x14ac:dyDescent="0.3">
      <c r="A9087" t="s">
        <v>0</v>
      </c>
    </row>
    <row r="9088" spans="1:1" x14ac:dyDescent="0.3">
      <c r="A9088" t="s">
        <v>0</v>
      </c>
    </row>
    <row r="9089" spans="1:1" x14ac:dyDescent="0.3">
      <c r="A9089" t="s">
        <v>0</v>
      </c>
    </row>
    <row r="9090" spans="1:1" x14ac:dyDescent="0.3">
      <c r="A9090" t="s">
        <v>0</v>
      </c>
    </row>
    <row r="9091" spans="1:1" x14ac:dyDescent="0.3">
      <c r="A9091" t="s">
        <v>0</v>
      </c>
    </row>
    <row r="9092" spans="1:1" x14ac:dyDescent="0.3">
      <c r="A9092" t="s">
        <v>0</v>
      </c>
    </row>
    <row r="9093" spans="1:1" x14ac:dyDescent="0.3">
      <c r="A9093" t="s">
        <v>0</v>
      </c>
    </row>
    <row r="9094" spans="1:1" x14ac:dyDescent="0.3">
      <c r="A9094" t="s">
        <v>0</v>
      </c>
    </row>
    <row r="9095" spans="1:1" x14ac:dyDescent="0.3">
      <c r="A9095" t="s">
        <v>0</v>
      </c>
    </row>
    <row r="9096" spans="1:1" x14ac:dyDescent="0.3">
      <c r="A9096" t="s">
        <v>0</v>
      </c>
    </row>
    <row r="9097" spans="1:1" x14ac:dyDescent="0.3">
      <c r="A9097" t="s">
        <v>0</v>
      </c>
    </row>
    <row r="9098" spans="1:1" x14ac:dyDescent="0.3">
      <c r="A9098" t="s">
        <v>0</v>
      </c>
    </row>
    <row r="9099" spans="1:1" x14ac:dyDescent="0.3">
      <c r="A9099" t="s">
        <v>0</v>
      </c>
    </row>
    <row r="9100" spans="1:1" x14ac:dyDescent="0.3">
      <c r="A9100" t="s">
        <v>0</v>
      </c>
    </row>
    <row r="9101" spans="1:1" x14ac:dyDescent="0.3">
      <c r="A9101" t="s">
        <v>0</v>
      </c>
    </row>
    <row r="9102" spans="1:1" x14ac:dyDescent="0.3">
      <c r="A9102" t="s">
        <v>0</v>
      </c>
    </row>
    <row r="9103" spans="1:1" x14ac:dyDescent="0.3">
      <c r="A9103" t="s">
        <v>0</v>
      </c>
    </row>
    <row r="9104" spans="1:1" x14ac:dyDescent="0.3">
      <c r="A9104" t="s">
        <v>0</v>
      </c>
    </row>
    <row r="9105" spans="1:1" x14ac:dyDescent="0.3">
      <c r="A9105" t="s">
        <v>0</v>
      </c>
    </row>
    <row r="9106" spans="1:1" x14ac:dyDescent="0.3">
      <c r="A9106" t="s">
        <v>0</v>
      </c>
    </row>
    <row r="9107" spans="1:1" x14ac:dyDescent="0.3">
      <c r="A9107" t="s">
        <v>0</v>
      </c>
    </row>
    <row r="9108" spans="1:1" x14ac:dyDescent="0.3">
      <c r="A9108" t="s">
        <v>0</v>
      </c>
    </row>
    <row r="9109" spans="1:1" x14ac:dyDescent="0.3">
      <c r="A9109" t="s">
        <v>0</v>
      </c>
    </row>
    <row r="9110" spans="1:1" x14ac:dyDescent="0.3">
      <c r="A9110" t="s">
        <v>0</v>
      </c>
    </row>
    <row r="9111" spans="1:1" x14ac:dyDescent="0.3">
      <c r="A9111" t="s">
        <v>0</v>
      </c>
    </row>
    <row r="9112" spans="1:1" x14ac:dyDescent="0.3">
      <c r="A9112" t="s">
        <v>0</v>
      </c>
    </row>
    <row r="9113" spans="1:1" x14ac:dyDescent="0.3">
      <c r="A9113" t="s">
        <v>0</v>
      </c>
    </row>
    <row r="9114" spans="1:1" x14ac:dyDescent="0.3">
      <c r="A9114" t="s">
        <v>0</v>
      </c>
    </row>
    <row r="9115" spans="1:1" x14ac:dyDescent="0.3">
      <c r="A9115" t="s">
        <v>0</v>
      </c>
    </row>
    <row r="9116" spans="1:1" x14ac:dyDescent="0.3">
      <c r="A9116" t="s">
        <v>0</v>
      </c>
    </row>
    <row r="9117" spans="1:1" x14ac:dyDescent="0.3">
      <c r="A9117" t="s">
        <v>0</v>
      </c>
    </row>
    <row r="9118" spans="1:1" x14ac:dyDescent="0.3">
      <c r="A9118" t="s">
        <v>0</v>
      </c>
    </row>
    <row r="9119" spans="1:1" x14ac:dyDescent="0.3">
      <c r="A9119" t="s">
        <v>0</v>
      </c>
    </row>
    <row r="9120" spans="1:1" x14ac:dyDescent="0.3">
      <c r="A9120" t="s">
        <v>0</v>
      </c>
    </row>
    <row r="9121" spans="1:1" x14ac:dyDescent="0.3">
      <c r="A9121" t="s">
        <v>0</v>
      </c>
    </row>
    <row r="9122" spans="1:1" x14ac:dyDescent="0.3">
      <c r="A9122" t="s">
        <v>0</v>
      </c>
    </row>
    <row r="9123" spans="1:1" x14ac:dyDescent="0.3">
      <c r="A9123" t="s">
        <v>0</v>
      </c>
    </row>
    <row r="9124" spans="1:1" x14ac:dyDescent="0.3">
      <c r="A9124" t="s">
        <v>0</v>
      </c>
    </row>
    <row r="9125" spans="1:1" x14ac:dyDescent="0.3">
      <c r="A9125" t="s">
        <v>0</v>
      </c>
    </row>
    <row r="9126" spans="1:1" x14ac:dyDescent="0.3">
      <c r="A9126" t="s">
        <v>0</v>
      </c>
    </row>
    <row r="9127" spans="1:1" x14ac:dyDescent="0.3">
      <c r="A9127" t="s">
        <v>0</v>
      </c>
    </row>
    <row r="9128" spans="1:1" x14ac:dyDescent="0.3">
      <c r="A9128" t="s">
        <v>0</v>
      </c>
    </row>
    <row r="9129" spans="1:1" x14ac:dyDescent="0.3">
      <c r="A9129" t="s">
        <v>0</v>
      </c>
    </row>
    <row r="9130" spans="1:1" x14ac:dyDescent="0.3">
      <c r="A9130" t="s">
        <v>0</v>
      </c>
    </row>
    <row r="9131" spans="1:1" x14ac:dyDescent="0.3">
      <c r="A9131" t="s">
        <v>0</v>
      </c>
    </row>
    <row r="9132" spans="1:1" x14ac:dyDescent="0.3">
      <c r="A9132" t="s">
        <v>0</v>
      </c>
    </row>
    <row r="9133" spans="1:1" x14ac:dyDescent="0.3">
      <c r="A9133" t="s">
        <v>0</v>
      </c>
    </row>
    <row r="9134" spans="1:1" x14ac:dyDescent="0.3">
      <c r="A9134" t="s">
        <v>0</v>
      </c>
    </row>
    <row r="9135" spans="1:1" x14ac:dyDescent="0.3">
      <c r="A9135" t="s">
        <v>0</v>
      </c>
    </row>
    <row r="9136" spans="1:1" x14ac:dyDescent="0.3">
      <c r="A9136" t="s">
        <v>0</v>
      </c>
    </row>
    <row r="9137" spans="1:1" x14ac:dyDescent="0.3">
      <c r="A9137" t="s">
        <v>0</v>
      </c>
    </row>
    <row r="9138" spans="1:1" x14ac:dyDescent="0.3">
      <c r="A9138" t="s">
        <v>0</v>
      </c>
    </row>
    <row r="9139" spans="1:1" x14ac:dyDescent="0.3">
      <c r="A9139" t="s">
        <v>0</v>
      </c>
    </row>
    <row r="9140" spans="1:1" x14ac:dyDescent="0.3">
      <c r="A9140" t="s">
        <v>0</v>
      </c>
    </row>
    <row r="9141" spans="1:1" x14ac:dyDescent="0.3">
      <c r="A9141" t="s">
        <v>0</v>
      </c>
    </row>
    <row r="9142" spans="1:1" x14ac:dyDescent="0.3">
      <c r="A9142" t="s">
        <v>0</v>
      </c>
    </row>
    <row r="9143" spans="1:1" x14ac:dyDescent="0.3">
      <c r="A9143" t="s">
        <v>0</v>
      </c>
    </row>
    <row r="9144" spans="1:1" x14ac:dyDescent="0.3">
      <c r="A9144" t="s">
        <v>0</v>
      </c>
    </row>
    <row r="9145" spans="1:1" x14ac:dyDescent="0.3">
      <c r="A9145" t="s">
        <v>0</v>
      </c>
    </row>
    <row r="9146" spans="1:1" x14ac:dyDescent="0.3">
      <c r="A9146" t="s">
        <v>0</v>
      </c>
    </row>
    <row r="9147" spans="1:1" x14ac:dyDescent="0.3">
      <c r="A9147" t="s">
        <v>0</v>
      </c>
    </row>
    <row r="9148" spans="1:1" x14ac:dyDescent="0.3">
      <c r="A9148" t="s">
        <v>0</v>
      </c>
    </row>
    <row r="9149" spans="1:1" x14ac:dyDescent="0.3">
      <c r="A9149" t="s">
        <v>0</v>
      </c>
    </row>
    <row r="9150" spans="1:1" x14ac:dyDescent="0.3">
      <c r="A9150" t="s">
        <v>0</v>
      </c>
    </row>
    <row r="9151" spans="1:1" x14ac:dyDescent="0.3">
      <c r="A9151" t="s">
        <v>0</v>
      </c>
    </row>
    <row r="9152" spans="1:1" x14ac:dyDescent="0.3">
      <c r="A9152" t="s">
        <v>0</v>
      </c>
    </row>
    <row r="9153" spans="1:1" x14ac:dyDescent="0.3">
      <c r="A9153" t="s">
        <v>0</v>
      </c>
    </row>
    <row r="9154" spans="1:1" x14ac:dyDescent="0.3">
      <c r="A9154" t="s">
        <v>0</v>
      </c>
    </row>
    <row r="9155" spans="1:1" x14ac:dyDescent="0.3">
      <c r="A9155" t="s">
        <v>0</v>
      </c>
    </row>
    <row r="9156" spans="1:1" x14ac:dyDescent="0.3">
      <c r="A9156" t="s">
        <v>0</v>
      </c>
    </row>
    <row r="9157" spans="1:1" x14ac:dyDescent="0.3">
      <c r="A9157" t="s">
        <v>0</v>
      </c>
    </row>
    <row r="9158" spans="1:1" x14ac:dyDescent="0.3">
      <c r="A9158" t="s">
        <v>0</v>
      </c>
    </row>
    <row r="9159" spans="1:1" x14ac:dyDescent="0.3">
      <c r="A9159" t="s">
        <v>0</v>
      </c>
    </row>
    <row r="9160" spans="1:1" x14ac:dyDescent="0.3">
      <c r="A9160" t="s">
        <v>0</v>
      </c>
    </row>
    <row r="9161" spans="1:1" x14ac:dyDescent="0.3">
      <c r="A9161" t="s">
        <v>0</v>
      </c>
    </row>
    <row r="9162" spans="1:1" x14ac:dyDescent="0.3">
      <c r="A9162" t="s">
        <v>0</v>
      </c>
    </row>
    <row r="9163" spans="1:1" x14ac:dyDescent="0.3">
      <c r="A9163" t="s">
        <v>0</v>
      </c>
    </row>
    <row r="9164" spans="1:1" x14ac:dyDescent="0.3">
      <c r="A9164" t="s">
        <v>0</v>
      </c>
    </row>
    <row r="9165" spans="1:1" x14ac:dyDescent="0.3">
      <c r="A9165" t="s">
        <v>0</v>
      </c>
    </row>
    <row r="9166" spans="1:1" x14ac:dyDescent="0.3">
      <c r="A9166" t="s">
        <v>0</v>
      </c>
    </row>
    <row r="9167" spans="1:1" x14ac:dyDescent="0.3">
      <c r="A9167" t="s">
        <v>0</v>
      </c>
    </row>
    <row r="9168" spans="1:1" x14ac:dyDescent="0.3">
      <c r="A9168" t="s">
        <v>0</v>
      </c>
    </row>
    <row r="9169" spans="1:1" x14ac:dyDescent="0.3">
      <c r="A9169" t="s">
        <v>0</v>
      </c>
    </row>
    <row r="9170" spans="1:1" x14ac:dyDescent="0.3">
      <c r="A9170" t="s">
        <v>0</v>
      </c>
    </row>
    <row r="9171" spans="1:1" x14ac:dyDescent="0.3">
      <c r="A9171" t="s">
        <v>0</v>
      </c>
    </row>
    <row r="9172" spans="1:1" x14ac:dyDescent="0.3">
      <c r="A9172" t="s">
        <v>0</v>
      </c>
    </row>
    <row r="9173" spans="1:1" x14ac:dyDescent="0.3">
      <c r="A9173" t="s">
        <v>0</v>
      </c>
    </row>
    <row r="9174" spans="1:1" x14ac:dyDescent="0.3">
      <c r="A9174" t="s">
        <v>0</v>
      </c>
    </row>
    <row r="9175" spans="1:1" x14ac:dyDescent="0.3">
      <c r="A9175" t="s">
        <v>0</v>
      </c>
    </row>
    <row r="9176" spans="1:1" x14ac:dyDescent="0.3">
      <c r="A9176" t="s">
        <v>0</v>
      </c>
    </row>
    <row r="9177" spans="1:1" x14ac:dyDescent="0.3">
      <c r="A9177" t="s">
        <v>0</v>
      </c>
    </row>
    <row r="9178" spans="1:1" x14ac:dyDescent="0.3">
      <c r="A9178" t="s">
        <v>0</v>
      </c>
    </row>
    <row r="9179" spans="1:1" x14ac:dyDescent="0.3">
      <c r="A9179" t="s">
        <v>0</v>
      </c>
    </row>
    <row r="9180" spans="1:1" x14ac:dyDescent="0.3">
      <c r="A9180" t="s">
        <v>0</v>
      </c>
    </row>
    <row r="9181" spans="1:1" x14ac:dyDescent="0.3">
      <c r="A9181" t="s">
        <v>0</v>
      </c>
    </row>
    <row r="9182" spans="1:1" x14ac:dyDescent="0.3">
      <c r="A9182" t="s">
        <v>0</v>
      </c>
    </row>
    <row r="9183" spans="1:1" x14ac:dyDescent="0.3">
      <c r="A9183" t="s">
        <v>0</v>
      </c>
    </row>
    <row r="9184" spans="1:1" x14ac:dyDescent="0.3">
      <c r="A9184" t="s">
        <v>0</v>
      </c>
    </row>
    <row r="9185" spans="1:1" x14ac:dyDescent="0.3">
      <c r="A9185" t="s">
        <v>0</v>
      </c>
    </row>
    <row r="9186" spans="1:1" x14ac:dyDescent="0.3">
      <c r="A9186" t="s">
        <v>0</v>
      </c>
    </row>
    <row r="9187" spans="1:1" x14ac:dyDescent="0.3">
      <c r="A9187" t="s">
        <v>0</v>
      </c>
    </row>
    <row r="9188" spans="1:1" x14ac:dyDescent="0.3">
      <c r="A9188" t="s">
        <v>0</v>
      </c>
    </row>
    <row r="9189" spans="1:1" x14ac:dyDescent="0.3">
      <c r="A9189" t="s">
        <v>0</v>
      </c>
    </row>
    <row r="9190" spans="1:1" x14ac:dyDescent="0.3">
      <c r="A9190" t="s">
        <v>0</v>
      </c>
    </row>
    <row r="9191" spans="1:1" x14ac:dyDescent="0.3">
      <c r="A9191" t="s">
        <v>0</v>
      </c>
    </row>
    <row r="9192" spans="1:1" x14ac:dyDescent="0.3">
      <c r="A9192" t="s">
        <v>0</v>
      </c>
    </row>
    <row r="9193" spans="1:1" x14ac:dyDescent="0.3">
      <c r="A9193" t="s">
        <v>0</v>
      </c>
    </row>
    <row r="9194" spans="1:1" x14ac:dyDescent="0.3">
      <c r="A9194" t="s">
        <v>0</v>
      </c>
    </row>
    <row r="9195" spans="1:1" x14ac:dyDescent="0.3">
      <c r="A9195" t="s">
        <v>0</v>
      </c>
    </row>
    <row r="9196" spans="1:1" x14ac:dyDescent="0.3">
      <c r="A9196" t="s">
        <v>0</v>
      </c>
    </row>
    <row r="9197" spans="1:1" x14ac:dyDescent="0.3">
      <c r="A9197" t="s">
        <v>0</v>
      </c>
    </row>
    <row r="9198" spans="1:1" x14ac:dyDescent="0.3">
      <c r="A9198" t="s">
        <v>0</v>
      </c>
    </row>
    <row r="9199" spans="1:1" x14ac:dyDescent="0.3">
      <c r="A9199" t="s">
        <v>0</v>
      </c>
    </row>
    <row r="9200" spans="1:1" x14ac:dyDescent="0.3">
      <c r="A9200" t="s">
        <v>0</v>
      </c>
    </row>
    <row r="9201" spans="1:1" x14ac:dyDescent="0.3">
      <c r="A9201" t="s">
        <v>0</v>
      </c>
    </row>
    <row r="9202" spans="1:1" x14ac:dyDescent="0.3">
      <c r="A9202" t="s">
        <v>0</v>
      </c>
    </row>
    <row r="9203" spans="1:1" x14ac:dyDescent="0.3">
      <c r="A9203" t="s">
        <v>0</v>
      </c>
    </row>
    <row r="9204" spans="1:1" x14ac:dyDescent="0.3">
      <c r="A9204" t="s">
        <v>0</v>
      </c>
    </row>
    <row r="9205" spans="1:1" x14ac:dyDescent="0.3">
      <c r="A9205" t="s">
        <v>0</v>
      </c>
    </row>
    <row r="9206" spans="1:1" x14ac:dyDescent="0.3">
      <c r="A9206" t="s">
        <v>0</v>
      </c>
    </row>
    <row r="9207" spans="1:1" x14ac:dyDescent="0.3">
      <c r="A9207" t="s">
        <v>0</v>
      </c>
    </row>
    <row r="9208" spans="1:1" x14ac:dyDescent="0.3">
      <c r="A9208" t="s">
        <v>0</v>
      </c>
    </row>
    <row r="9209" spans="1:1" x14ac:dyDescent="0.3">
      <c r="A9209" t="s">
        <v>0</v>
      </c>
    </row>
    <row r="9210" spans="1:1" x14ac:dyDescent="0.3">
      <c r="A9210" t="s">
        <v>0</v>
      </c>
    </row>
    <row r="9211" spans="1:1" x14ac:dyDescent="0.3">
      <c r="A9211" t="s">
        <v>0</v>
      </c>
    </row>
    <row r="9212" spans="1:1" x14ac:dyDescent="0.3">
      <c r="A9212" t="s">
        <v>0</v>
      </c>
    </row>
    <row r="9213" spans="1:1" x14ac:dyDescent="0.3">
      <c r="A9213" t="s">
        <v>0</v>
      </c>
    </row>
    <row r="9214" spans="1:1" x14ac:dyDescent="0.3">
      <c r="A9214" t="s">
        <v>0</v>
      </c>
    </row>
    <row r="9215" spans="1:1" x14ac:dyDescent="0.3">
      <c r="A9215" t="s">
        <v>0</v>
      </c>
    </row>
    <row r="9216" spans="1:1" x14ac:dyDescent="0.3">
      <c r="A9216" t="s">
        <v>0</v>
      </c>
    </row>
    <row r="9217" spans="1:1" x14ac:dyDescent="0.3">
      <c r="A9217" t="s">
        <v>0</v>
      </c>
    </row>
    <row r="9218" spans="1:1" x14ac:dyDescent="0.3">
      <c r="A9218" t="s">
        <v>0</v>
      </c>
    </row>
    <row r="9219" spans="1:1" x14ac:dyDescent="0.3">
      <c r="A9219" t="s">
        <v>0</v>
      </c>
    </row>
    <row r="9220" spans="1:1" x14ac:dyDescent="0.3">
      <c r="A9220" t="s">
        <v>0</v>
      </c>
    </row>
    <row r="9221" spans="1:1" x14ac:dyDescent="0.3">
      <c r="A9221" t="s">
        <v>0</v>
      </c>
    </row>
    <row r="9222" spans="1:1" x14ac:dyDescent="0.3">
      <c r="A9222" t="s">
        <v>0</v>
      </c>
    </row>
    <row r="9223" spans="1:1" x14ac:dyDescent="0.3">
      <c r="A9223" t="s">
        <v>0</v>
      </c>
    </row>
    <row r="9224" spans="1:1" x14ac:dyDescent="0.3">
      <c r="A9224" t="s">
        <v>0</v>
      </c>
    </row>
    <row r="9225" spans="1:1" x14ac:dyDescent="0.3">
      <c r="A9225" t="s">
        <v>0</v>
      </c>
    </row>
    <row r="9226" spans="1:1" x14ac:dyDescent="0.3">
      <c r="A9226" t="s">
        <v>0</v>
      </c>
    </row>
    <row r="9227" spans="1:1" x14ac:dyDescent="0.3">
      <c r="A9227" t="s">
        <v>0</v>
      </c>
    </row>
    <row r="9228" spans="1:1" x14ac:dyDescent="0.3">
      <c r="A9228" t="s">
        <v>0</v>
      </c>
    </row>
    <row r="9229" spans="1:1" x14ac:dyDescent="0.3">
      <c r="A9229" t="s">
        <v>0</v>
      </c>
    </row>
    <row r="9230" spans="1:1" x14ac:dyDescent="0.3">
      <c r="A9230" t="s">
        <v>0</v>
      </c>
    </row>
    <row r="9231" spans="1:1" x14ac:dyDescent="0.3">
      <c r="A9231" t="s">
        <v>0</v>
      </c>
    </row>
    <row r="9232" spans="1:1" x14ac:dyDescent="0.3">
      <c r="A9232" t="s">
        <v>0</v>
      </c>
    </row>
    <row r="9233" spans="1:1" x14ac:dyDescent="0.3">
      <c r="A9233" t="s">
        <v>0</v>
      </c>
    </row>
    <row r="9234" spans="1:1" x14ac:dyDescent="0.3">
      <c r="A9234" t="s">
        <v>0</v>
      </c>
    </row>
    <row r="9235" spans="1:1" x14ac:dyDescent="0.3">
      <c r="A9235" t="s">
        <v>0</v>
      </c>
    </row>
    <row r="9236" spans="1:1" x14ac:dyDescent="0.3">
      <c r="A9236" t="s">
        <v>0</v>
      </c>
    </row>
    <row r="9237" spans="1:1" x14ac:dyDescent="0.3">
      <c r="A9237" t="s">
        <v>0</v>
      </c>
    </row>
    <row r="9238" spans="1:1" x14ac:dyDescent="0.3">
      <c r="A9238" t="s">
        <v>0</v>
      </c>
    </row>
    <row r="9239" spans="1:1" x14ac:dyDescent="0.3">
      <c r="A9239" t="s">
        <v>0</v>
      </c>
    </row>
    <row r="9240" spans="1:1" x14ac:dyDescent="0.3">
      <c r="A9240" t="s">
        <v>0</v>
      </c>
    </row>
    <row r="9241" spans="1:1" x14ac:dyDescent="0.3">
      <c r="A9241" t="s">
        <v>0</v>
      </c>
    </row>
    <row r="9242" spans="1:1" x14ac:dyDescent="0.3">
      <c r="A9242" t="s">
        <v>0</v>
      </c>
    </row>
    <row r="9243" spans="1:1" x14ac:dyDescent="0.3">
      <c r="A9243" t="s">
        <v>0</v>
      </c>
    </row>
    <row r="9244" spans="1:1" x14ac:dyDescent="0.3">
      <c r="A9244" t="s">
        <v>0</v>
      </c>
    </row>
    <row r="9245" spans="1:1" x14ac:dyDescent="0.3">
      <c r="A9245" t="s">
        <v>0</v>
      </c>
    </row>
    <row r="9246" spans="1:1" x14ac:dyDescent="0.3">
      <c r="A9246" t="s">
        <v>0</v>
      </c>
    </row>
    <row r="9247" spans="1:1" x14ac:dyDescent="0.3">
      <c r="A9247" t="s">
        <v>0</v>
      </c>
    </row>
    <row r="9248" spans="1:1" x14ac:dyDescent="0.3">
      <c r="A9248" t="s">
        <v>0</v>
      </c>
    </row>
    <row r="9249" spans="1:1" x14ac:dyDescent="0.3">
      <c r="A9249" t="s">
        <v>0</v>
      </c>
    </row>
    <row r="9250" spans="1:1" x14ac:dyDescent="0.3">
      <c r="A9250" t="s">
        <v>0</v>
      </c>
    </row>
    <row r="9251" spans="1:1" x14ac:dyDescent="0.3">
      <c r="A9251" t="s">
        <v>0</v>
      </c>
    </row>
    <row r="9252" spans="1:1" x14ac:dyDescent="0.3">
      <c r="A9252" t="s">
        <v>0</v>
      </c>
    </row>
    <row r="9253" spans="1:1" x14ac:dyDescent="0.3">
      <c r="A9253" t="s">
        <v>0</v>
      </c>
    </row>
    <row r="9254" spans="1:1" x14ac:dyDescent="0.3">
      <c r="A9254" t="s">
        <v>0</v>
      </c>
    </row>
    <row r="9255" spans="1:1" x14ac:dyDescent="0.3">
      <c r="A9255" t="s">
        <v>0</v>
      </c>
    </row>
    <row r="9256" spans="1:1" x14ac:dyDescent="0.3">
      <c r="A9256" t="s">
        <v>0</v>
      </c>
    </row>
    <row r="9257" spans="1:1" x14ac:dyDescent="0.3">
      <c r="A9257" t="s">
        <v>0</v>
      </c>
    </row>
    <row r="9258" spans="1:1" x14ac:dyDescent="0.3">
      <c r="A9258" t="s">
        <v>0</v>
      </c>
    </row>
    <row r="9259" spans="1:1" x14ac:dyDescent="0.3">
      <c r="A9259" t="s">
        <v>0</v>
      </c>
    </row>
    <row r="9260" spans="1:1" x14ac:dyDescent="0.3">
      <c r="A9260" t="s">
        <v>0</v>
      </c>
    </row>
    <row r="9261" spans="1:1" x14ac:dyDescent="0.3">
      <c r="A9261" t="s">
        <v>0</v>
      </c>
    </row>
    <row r="9262" spans="1:1" x14ac:dyDescent="0.3">
      <c r="A9262" t="s">
        <v>0</v>
      </c>
    </row>
    <row r="9263" spans="1:1" x14ac:dyDescent="0.3">
      <c r="A9263" t="s">
        <v>0</v>
      </c>
    </row>
    <row r="9264" spans="1:1" x14ac:dyDescent="0.3">
      <c r="A9264" t="s">
        <v>0</v>
      </c>
    </row>
    <row r="9265" spans="1:1" x14ac:dyDescent="0.3">
      <c r="A9265" t="s">
        <v>0</v>
      </c>
    </row>
    <row r="9266" spans="1:1" x14ac:dyDescent="0.3">
      <c r="A9266" t="s">
        <v>0</v>
      </c>
    </row>
    <row r="9267" spans="1:1" x14ac:dyDescent="0.3">
      <c r="A9267" t="s">
        <v>0</v>
      </c>
    </row>
    <row r="9268" spans="1:1" x14ac:dyDescent="0.3">
      <c r="A9268" t="s">
        <v>0</v>
      </c>
    </row>
    <row r="9269" spans="1:1" x14ac:dyDescent="0.3">
      <c r="A9269" t="s">
        <v>0</v>
      </c>
    </row>
    <row r="9270" spans="1:1" x14ac:dyDescent="0.3">
      <c r="A9270" t="s">
        <v>0</v>
      </c>
    </row>
    <row r="9271" spans="1:1" x14ac:dyDescent="0.3">
      <c r="A9271" t="s">
        <v>0</v>
      </c>
    </row>
    <row r="9272" spans="1:1" x14ac:dyDescent="0.3">
      <c r="A9272" t="s">
        <v>0</v>
      </c>
    </row>
    <row r="9273" spans="1:1" x14ac:dyDescent="0.3">
      <c r="A9273" t="s">
        <v>0</v>
      </c>
    </row>
    <row r="9274" spans="1:1" x14ac:dyDescent="0.3">
      <c r="A9274" t="s">
        <v>0</v>
      </c>
    </row>
    <row r="9275" spans="1:1" x14ac:dyDescent="0.3">
      <c r="A9275" t="s">
        <v>0</v>
      </c>
    </row>
    <row r="9276" spans="1:1" x14ac:dyDescent="0.3">
      <c r="A9276" t="s">
        <v>0</v>
      </c>
    </row>
    <row r="9277" spans="1:1" x14ac:dyDescent="0.3">
      <c r="A9277" t="s">
        <v>0</v>
      </c>
    </row>
    <row r="9278" spans="1:1" x14ac:dyDescent="0.3">
      <c r="A9278" t="s">
        <v>0</v>
      </c>
    </row>
    <row r="9279" spans="1:1" x14ac:dyDescent="0.3">
      <c r="A9279" t="s">
        <v>0</v>
      </c>
    </row>
    <row r="9280" spans="1:1" x14ac:dyDescent="0.3">
      <c r="A9280" t="s">
        <v>0</v>
      </c>
    </row>
    <row r="9281" spans="1:1" x14ac:dyDescent="0.3">
      <c r="A9281" t="s">
        <v>0</v>
      </c>
    </row>
    <row r="9282" spans="1:1" x14ac:dyDescent="0.3">
      <c r="A9282" t="s">
        <v>0</v>
      </c>
    </row>
    <row r="9283" spans="1:1" x14ac:dyDescent="0.3">
      <c r="A9283" t="s">
        <v>0</v>
      </c>
    </row>
    <row r="9284" spans="1:1" x14ac:dyDescent="0.3">
      <c r="A9284" t="s">
        <v>0</v>
      </c>
    </row>
    <row r="9285" spans="1:1" x14ac:dyDescent="0.3">
      <c r="A9285" t="s">
        <v>0</v>
      </c>
    </row>
    <row r="9286" spans="1:1" x14ac:dyDescent="0.3">
      <c r="A9286" t="s">
        <v>0</v>
      </c>
    </row>
    <row r="9287" spans="1:1" x14ac:dyDescent="0.3">
      <c r="A9287" t="s">
        <v>0</v>
      </c>
    </row>
    <row r="9288" spans="1:1" x14ac:dyDescent="0.3">
      <c r="A9288" t="s">
        <v>0</v>
      </c>
    </row>
    <row r="9289" spans="1:1" x14ac:dyDescent="0.3">
      <c r="A9289" t="s">
        <v>0</v>
      </c>
    </row>
    <row r="9290" spans="1:1" x14ac:dyDescent="0.3">
      <c r="A9290" t="s">
        <v>0</v>
      </c>
    </row>
    <row r="9291" spans="1:1" x14ac:dyDescent="0.3">
      <c r="A9291" t="s">
        <v>0</v>
      </c>
    </row>
    <row r="9292" spans="1:1" x14ac:dyDescent="0.3">
      <c r="A9292" t="s">
        <v>0</v>
      </c>
    </row>
    <row r="9293" spans="1:1" x14ac:dyDescent="0.3">
      <c r="A9293" t="s">
        <v>0</v>
      </c>
    </row>
    <row r="9294" spans="1:1" x14ac:dyDescent="0.3">
      <c r="A9294" t="s">
        <v>0</v>
      </c>
    </row>
    <row r="9295" spans="1:1" x14ac:dyDescent="0.3">
      <c r="A9295" t="s">
        <v>0</v>
      </c>
    </row>
    <row r="9296" spans="1:1" x14ac:dyDescent="0.3">
      <c r="A9296" t="s">
        <v>0</v>
      </c>
    </row>
    <row r="9297" spans="1:1" x14ac:dyDescent="0.3">
      <c r="A9297" t="s">
        <v>0</v>
      </c>
    </row>
    <row r="9298" spans="1:1" x14ac:dyDescent="0.3">
      <c r="A9298" t="s">
        <v>0</v>
      </c>
    </row>
    <row r="9299" spans="1:1" x14ac:dyDescent="0.3">
      <c r="A9299" t="s">
        <v>0</v>
      </c>
    </row>
    <row r="9300" spans="1:1" x14ac:dyDescent="0.3">
      <c r="A9300" t="s">
        <v>0</v>
      </c>
    </row>
    <row r="9301" spans="1:1" x14ac:dyDescent="0.3">
      <c r="A9301" t="s">
        <v>0</v>
      </c>
    </row>
    <row r="9302" spans="1:1" x14ac:dyDescent="0.3">
      <c r="A9302" t="s">
        <v>0</v>
      </c>
    </row>
    <row r="9303" spans="1:1" x14ac:dyDescent="0.3">
      <c r="A9303" t="s">
        <v>0</v>
      </c>
    </row>
    <row r="9304" spans="1:1" x14ac:dyDescent="0.3">
      <c r="A9304" t="s">
        <v>0</v>
      </c>
    </row>
    <row r="9305" spans="1:1" x14ac:dyDescent="0.3">
      <c r="A9305" t="s">
        <v>0</v>
      </c>
    </row>
    <row r="9306" spans="1:1" x14ac:dyDescent="0.3">
      <c r="A9306" t="s">
        <v>0</v>
      </c>
    </row>
    <row r="9307" spans="1:1" x14ac:dyDescent="0.3">
      <c r="A9307" t="s">
        <v>0</v>
      </c>
    </row>
    <row r="9308" spans="1:1" x14ac:dyDescent="0.3">
      <c r="A9308" t="s">
        <v>0</v>
      </c>
    </row>
    <row r="9309" spans="1:1" x14ac:dyDescent="0.3">
      <c r="A9309" t="s">
        <v>0</v>
      </c>
    </row>
    <row r="9310" spans="1:1" x14ac:dyDescent="0.3">
      <c r="A9310" t="s">
        <v>0</v>
      </c>
    </row>
    <row r="9311" spans="1:1" x14ac:dyDescent="0.3">
      <c r="A9311" t="s">
        <v>0</v>
      </c>
    </row>
    <row r="9312" spans="1:1" x14ac:dyDescent="0.3">
      <c r="A9312" t="s">
        <v>0</v>
      </c>
    </row>
    <row r="9313" spans="1:1" x14ac:dyDescent="0.3">
      <c r="A9313" t="s">
        <v>0</v>
      </c>
    </row>
    <row r="9314" spans="1:1" x14ac:dyDescent="0.3">
      <c r="A9314" t="s">
        <v>0</v>
      </c>
    </row>
    <row r="9315" spans="1:1" x14ac:dyDescent="0.3">
      <c r="A9315" t="s">
        <v>0</v>
      </c>
    </row>
    <row r="9316" spans="1:1" x14ac:dyDescent="0.3">
      <c r="A9316" t="s">
        <v>0</v>
      </c>
    </row>
    <row r="9317" spans="1:1" x14ac:dyDescent="0.3">
      <c r="A9317" t="s">
        <v>0</v>
      </c>
    </row>
    <row r="9318" spans="1:1" x14ac:dyDescent="0.3">
      <c r="A9318" t="s">
        <v>0</v>
      </c>
    </row>
    <row r="9319" spans="1:1" x14ac:dyDescent="0.3">
      <c r="A9319" t="s">
        <v>0</v>
      </c>
    </row>
    <row r="9320" spans="1:1" x14ac:dyDescent="0.3">
      <c r="A9320" t="s">
        <v>0</v>
      </c>
    </row>
    <row r="9321" spans="1:1" x14ac:dyDescent="0.3">
      <c r="A9321" t="s">
        <v>0</v>
      </c>
    </row>
    <row r="9322" spans="1:1" x14ac:dyDescent="0.3">
      <c r="A9322" t="s">
        <v>0</v>
      </c>
    </row>
    <row r="9323" spans="1:1" x14ac:dyDescent="0.3">
      <c r="A9323" t="s">
        <v>0</v>
      </c>
    </row>
    <row r="9324" spans="1:1" x14ac:dyDescent="0.3">
      <c r="A9324" t="s">
        <v>0</v>
      </c>
    </row>
    <row r="9325" spans="1:1" x14ac:dyDescent="0.3">
      <c r="A9325" t="s">
        <v>0</v>
      </c>
    </row>
    <row r="9326" spans="1:1" x14ac:dyDescent="0.3">
      <c r="A9326" t="s">
        <v>0</v>
      </c>
    </row>
    <row r="9327" spans="1:1" x14ac:dyDescent="0.3">
      <c r="A9327" t="s">
        <v>0</v>
      </c>
    </row>
    <row r="9328" spans="1:1" x14ac:dyDescent="0.3">
      <c r="A9328" t="s">
        <v>0</v>
      </c>
    </row>
    <row r="9329" spans="1:1" x14ac:dyDescent="0.3">
      <c r="A9329" t="s">
        <v>0</v>
      </c>
    </row>
    <row r="9330" spans="1:1" x14ac:dyDescent="0.3">
      <c r="A9330" t="s">
        <v>0</v>
      </c>
    </row>
    <row r="9331" spans="1:1" x14ac:dyDescent="0.3">
      <c r="A9331" t="s">
        <v>0</v>
      </c>
    </row>
    <row r="9332" spans="1:1" x14ac:dyDescent="0.3">
      <c r="A9332" t="s">
        <v>0</v>
      </c>
    </row>
    <row r="9333" spans="1:1" x14ac:dyDescent="0.3">
      <c r="A9333" t="s">
        <v>0</v>
      </c>
    </row>
    <row r="9334" spans="1:1" x14ac:dyDescent="0.3">
      <c r="A9334" t="s">
        <v>0</v>
      </c>
    </row>
    <row r="9335" spans="1:1" x14ac:dyDescent="0.3">
      <c r="A9335" t="s">
        <v>0</v>
      </c>
    </row>
    <row r="9336" spans="1:1" x14ac:dyDescent="0.3">
      <c r="A9336" t="s">
        <v>0</v>
      </c>
    </row>
    <row r="9337" spans="1:1" x14ac:dyDescent="0.3">
      <c r="A9337" t="s">
        <v>0</v>
      </c>
    </row>
    <row r="9338" spans="1:1" x14ac:dyDescent="0.3">
      <c r="A9338" t="s">
        <v>0</v>
      </c>
    </row>
    <row r="9339" spans="1:1" x14ac:dyDescent="0.3">
      <c r="A9339" t="s">
        <v>0</v>
      </c>
    </row>
    <row r="9340" spans="1:1" x14ac:dyDescent="0.3">
      <c r="A9340" t="s">
        <v>0</v>
      </c>
    </row>
    <row r="9341" spans="1:1" x14ac:dyDescent="0.3">
      <c r="A9341" t="s">
        <v>0</v>
      </c>
    </row>
    <row r="9342" spans="1:1" x14ac:dyDescent="0.3">
      <c r="A9342" t="s">
        <v>0</v>
      </c>
    </row>
    <row r="9343" spans="1:1" x14ac:dyDescent="0.3">
      <c r="A9343" t="s">
        <v>0</v>
      </c>
    </row>
    <row r="9344" spans="1:1" x14ac:dyDescent="0.3">
      <c r="A9344" t="s">
        <v>0</v>
      </c>
    </row>
    <row r="9345" spans="1:1" x14ac:dyDescent="0.3">
      <c r="A9345" t="s">
        <v>0</v>
      </c>
    </row>
    <row r="9346" spans="1:1" x14ac:dyDescent="0.3">
      <c r="A9346" t="s">
        <v>0</v>
      </c>
    </row>
    <row r="9347" spans="1:1" x14ac:dyDescent="0.3">
      <c r="A9347" t="s">
        <v>0</v>
      </c>
    </row>
    <row r="9348" spans="1:1" x14ac:dyDescent="0.3">
      <c r="A9348" t="s">
        <v>0</v>
      </c>
    </row>
    <row r="9349" spans="1:1" x14ac:dyDescent="0.3">
      <c r="A9349" t="s">
        <v>0</v>
      </c>
    </row>
    <row r="9350" spans="1:1" x14ac:dyDescent="0.3">
      <c r="A9350" t="s">
        <v>0</v>
      </c>
    </row>
    <row r="9351" spans="1:1" x14ac:dyDescent="0.3">
      <c r="A9351" t="s">
        <v>0</v>
      </c>
    </row>
    <row r="9352" spans="1:1" x14ac:dyDescent="0.3">
      <c r="A9352" t="s">
        <v>0</v>
      </c>
    </row>
    <row r="9353" spans="1:1" x14ac:dyDescent="0.3">
      <c r="A9353" t="s">
        <v>0</v>
      </c>
    </row>
    <row r="9354" spans="1:1" x14ac:dyDescent="0.3">
      <c r="A9354" t="s">
        <v>0</v>
      </c>
    </row>
    <row r="9355" spans="1:1" x14ac:dyDescent="0.3">
      <c r="A9355" t="s">
        <v>0</v>
      </c>
    </row>
    <row r="9356" spans="1:1" x14ac:dyDescent="0.3">
      <c r="A9356" t="s">
        <v>0</v>
      </c>
    </row>
    <row r="9357" spans="1:1" x14ac:dyDescent="0.3">
      <c r="A9357" t="s">
        <v>0</v>
      </c>
    </row>
    <row r="9358" spans="1:1" x14ac:dyDescent="0.3">
      <c r="A9358" t="s">
        <v>0</v>
      </c>
    </row>
    <row r="9359" spans="1:1" x14ac:dyDescent="0.3">
      <c r="A9359" t="s">
        <v>0</v>
      </c>
    </row>
    <row r="9360" spans="1:1" x14ac:dyDescent="0.3">
      <c r="A9360" t="s">
        <v>0</v>
      </c>
    </row>
    <row r="9361" spans="1:1" x14ac:dyDescent="0.3">
      <c r="A9361" t="s">
        <v>0</v>
      </c>
    </row>
    <row r="9362" spans="1:1" x14ac:dyDescent="0.3">
      <c r="A9362" t="s">
        <v>0</v>
      </c>
    </row>
    <row r="9363" spans="1:1" x14ac:dyDescent="0.3">
      <c r="A9363" t="s">
        <v>0</v>
      </c>
    </row>
    <row r="9364" spans="1:1" x14ac:dyDescent="0.3">
      <c r="A9364" t="s">
        <v>0</v>
      </c>
    </row>
    <row r="9365" spans="1:1" x14ac:dyDescent="0.3">
      <c r="A9365" t="s">
        <v>0</v>
      </c>
    </row>
    <row r="9366" spans="1:1" x14ac:dyDescent="0.3">
      <c r="A9366" t="s">
        <v>0</v>
      </c>
    </row>
    <row r="9367" spans="1:1" x14ac:dyDescent="0.3">
      <c r="A9367" t="s">
        <v>0</v>
      </c>
    </row>
    <row r="9368" spans="1:1" x14ac:dyDescent="0.3">
      <c r="A9368" t="s">
        <v>0</v>
      </c>
    </row>
    <row r="9369" spans="1:1" x14ac:dyDescent="0.3">
      <c r="A9369" t="s">
        <v>0</v>
      </c>
    </row>
    <row r="9370" spans="1:1" x14ac:dyDescent="0.3">
      <c r="A9370" t="s">
        <v>0</v>
      </c>
    </row>
    <row r="9371" spans="1:1" x14ac:dyDescent="0.3">
      <c r="A9371" t="s">
        <v>0</v>
      </c>
    </row>
    <row r="9372" spans="1:1" x14ac:dyDescent="0.3">
      <c r="A9372" t="s">
        <v>0</v>
      </c>
    </row>
    <row r="9373" spans="1:1" x14ac:dyDescent="0.3">
      <c r="A9373" t="s">
        <v>0</v>
      </c>
    </row>
    <row r="9374" spans="1:1" x14ac:dyDescent="0.3">
      <c r="A9374" t="s">
        <v>0</v>
      </c>
    </row>
    <row r="9375" spans="1:1" x14ac:dyDescent="0.3">
      <c r="A9375" t="s">
        <v>0</v>
      </c>
    </row>
    <row r="9376" spans="1:1" x14ac:dyDescent="0.3">
      <c r="A9376" t="s">
        <v>0</v>
      </c>
    </row>
    <row r="9377" spans="1:1" x14ac:dyDescent="0.3">
      <c r="A9377" t="s">
        <v>0</v>
      </c>
    </row>
    <row r="9378" spans="1:1" x14ac:dyDescent="0.3">
      <c r="A9378" t="s">
        <v>0</v>
      </c>
    </row>
    <row r="9379" spans="1:1" x14ac:dyDescent="0.3">
      <c r="A9379" t="s">
        <v>0</v>
      </c>
    </row>
    <row r="9380" spans="1:1" x14ac:dyDescent="0.3">
      <c r="A9380" t="s">
        <v>0</v>
      </c>
    </row>
    <row r="9381" spans="1:1" x14ac:dyDescent="0.3">
      <c r="A9381" t="s">
        <v>0</v>
      </c>
    </row>
    <row r="9382" spans="1:1" x14ac:dyDescent="0.3">
      <c r="A9382" t="s">
        <v>0</v>
      </c>
    </row>
    <row r="9383" spans="1:1" x14ac:dyDescent="0.3">
      <c r="A9383" t="s">
        <v>0</v>
      </c>
    </row>
    <row r="9384" spans="1:1" x14ac:dyDescent="0.3">
      <c r="A9384" t="s">
        <v>0</v>
      </c>
    </row>
    <row r="9385" spans="1:1" x14ac:dyDescent="0.3">
      <c r="A9385" t="s">
        <v>0</v>
      </c>
    </row>
    <row r="9386" spans="1:1" x14ac:dyDescent="0.3">
      <c r="A9386" t="s">
        <v>0</v>
      </c>
    </row>
    <row r="9387" spans="1:1" x14ac:dyDescent="0.3">
      <c r="A9387" t="s">
        <v>0</v>
      </c>
    </row>
    <row r="9388" spans="1:1" x14ac:dyDescent="0.3">
      <c r="A9388" t="s">
        <v>0</v>
      </c>
    </row>
    <row r="9389" spans="1:1" x14ac:dyDescent="0.3">
      <c r="A9389" t="s">
        <v>0</v>
      </c>
    </row>
    <row r="9390" spans="1:1" x14ac:dyDescent="0.3">
      <c r="A9390" t="s">
        <v>0</v>
      </c>
    </row>
    <row r="9391" spans="1:1" x14ac:dyDescent="0.3">
      <c r="A9391" t="s">
        <v>0</v>
      </c>
    </row>
    <row r="9392" spans="1:1" x14ac:dyDescent="0.3">
      <c r="A9392" t="s">
        <v>0</v>
      </c>
    </row>
    <row r="9393" spans="1:1" x14ac:dyDescent="0.3">
      <c r="A9393" t="s">
        <v>0</v>
      </c>
    </row>
    <row r="9394" spans="1:1" x14ac:dyDescent="0.3">
      <c r="A9394" t="s">
        <v>0</v>
      </c>
    </row>
    <row r="9395" spans="1:1" x14ac:dyDescent="0.3">
      <c r="A9395" t="s">
        <v>0</v>
      </c>
    </row>
    <row r="9396" spans="1:1" x14ac:dyDescent="0.3">
      <c r="A9396" t="s">
        <v>0</v>
      </c>
    </row>
    <row r="9397" spans="1:1" x14ac:dyDescent="0.3">
      <c r="A9397" t="s">
        <v>0</v>
      </c>
    </row>
    <row r="9398" spans="1:1" x14ac:dyDescent="0.3">
      <c r="A9398" t="s">
        <v>0</v>
      </c>
    </row>
    <row r="9399" spans="1:1" x14ac:dyDescent="0.3">
      <c r="A9399" t="s">
        <v>0</v>
      </c>
    </row>
    <row r="9400" spans="1:1" x14ac:dyDescent="0.3">
      <c r="A9400" t="s">
        <v>0</v>
      </c>
    </row>
    <row r="9401" spans="1:1" x14ac:dyDescent="0.3">
      <c r="A9401" t="s">
        <v>0</v>
      </c>
    </row>
    <row r="9402" spans="1:1" x14ac:dyDescent="0.3">
      <c r="A9402" t="s">
        <v>0</v>
      </c>
    </row>
    <row r="9403" spans="1:1" x14ac:dyDescent="0.3">
      <c r="A9403" t="s">
        <v>0</v>
      </c>
    </row>
    <row r="9404" spans="1:1" x14ac:dyDescent="0.3">
      <c r="A9404" t="s">
        <v>0</v>
      </c>
    </row>
    <row r="9405" spans="1:1" x14ac:dyDescent="0.3">
      <c r="A9405" t="s">
        <v>0</v>
      </c>
    </row>
    <row r="9406" spans="1:1" x14ac:dyDescent="0.3">
      <c r="A9406" t="s">
        <v>0</v>
      </c>
    </row>
    <row r="9407" spans="1:1" x14ac:dyDescent="0.3">
      <c r="A9407" t="s">
        <v>0</v>
      </c>
    </row>
    <row r="9408" spans="1:1" x14ac:dyDescent="0.3">
      <c r="A9408" t="s">
        <v>0</v>
      </c>
    </row>
    <row r="9409" spans="1:1" x14ac:dyDescent="0.3">
      <c r="A9409" t="s">
        <v>0</v>
      </c>
    </row>
    <row r="9410" spans="1:1" x14ac:dyDescent="0.3">
      <c r="A9410" t="s">
        <v>0</v>
      </c>
    </row>
    <row r="9411" spans="1:1" x14ac:dyDescent="0.3">
      <c r="A9411" t="s">
        <v>0</v>
      </c>
    </row>
    <row r="9412" spans="1:1" x14ac:dyDescent="0.3">
      <c r="A9412" t="s">
        <v>0</v>
      </c>
    </row>
    <row r="9413" spans="1:1" x14ac:dyDescent="0.3">
      <c r="A9413" t="s">
        <v>0</v>
      </c>
    </row>
    <row r="9414" spans="1:1" x14ac:dyDescent="0.3">
      <c r="A9414" t="s">
        <v>0</v>
      </c>
    </row>
    <row r="9415" spans="1:1" x14ac:dyDescent="0.3">
      <c r="A9415" t="s">
        <v>0</v>
      </c>
    </row>
    <row r="9416" spans="1:1" x14ac:dyDescent="0.3">
      <c r="A9416" t="s">
        <v>0</v>
      </c>
    </row>
    <row r="9417" spans="1:1" x14ac:dyDescent="0.3">
      <c r="A9417" t="s">
        <v>0</v>
      </c>
    </row>
    <row r="9418" spans="1:1" x14ac:dyDescent="0.3">
      <c r="A9418" t="s">
        <v>0</v>
      </c>
    </row>
    <row r="9419" spans="1:1" x14ac:dyDescent="0.3">
      <c r="A9419" t="s">
        <v>0</v>
      </c>
    </row>
    <row r="9420" spans="1:1" x14ac:dyDescent="0.3">
      <c r="A9420" t="s">
        <v>0</v>
      </c>
    </row>
    <row r="9421" spans="1:1" x14ac:dyDescent="0.3">
      <c r="A9421" t="s">
        <v>0</v>
      </c>
    </row>
    <row r="9422" spans="1:1" x14ac:dyDescent="0.3">
      <c r="A9422" t="s">
        <v>0</v>
      </c>
    </row>
    <row r="9423" spans="1:1" x14ac:dyDescent="0.3">
      <c r="A9423" t="s">
        <v>0</v>
      </c>
    </row>
    <row r="9424" spans="1:1" x14ac:dyDescent="0.3">
      <c r="A9424" t="s">
        <v>0</v>
      </c>
    </row>
    <row r="9425" spans="1:1" x14ac:dyDescent="0.3">
      <c r="A9425" t="s">
        <v>0</v>
      </c>
    </row>
    <row r="9426" spans="1:1" x14ac:dyDescent="0.3">
      <c r="A9426" t="s">
        <v>0</v>
      </c>
    </row>
    <row r="9427" spans="1:1" x14ac:dyDescent="0.3">
      <c r="A9427" t="s">
        <v>0</v>
      </c>
    </row>
    <row r="9428" spans="1:1" x14ac:dyDescent="0.3">
      <c r="A9428" t="s">
        <v>0</v>
      </c>
    </row>
    <row r="9429" spans="1:1" x14ac:dyDescent="0.3">
      <c r="A9429" t="s">
        <v>0</v>
      </c>
    </row>
    <row r="9430" spans="1:1" x14ac:dyDescent="0.3">
      <c r="A9430" t="s">
        <v>0</v>
      </c>
    </row>
    <row r="9431" spans="1:1" x14ac:dyDescent="0.3">
      <c r="A9431" t="s">
        <v>0</v>
      </c>
    </row>
    <row r="9432" spans="1:1" x14ac:dyDescent="0.3">
      <c r="A9432" t="s">
        <v>0</v>
      </c>
    </row>
    <row r="9433" spans="1:1" x14ac:dyDescent="0.3">
      <c r="A9433" t="s">
        <v>0</v>
      </c>
    </row>
    <row r="9434" spans="1:1" x14ac:dyDescent="0.3">
      <c r="A9434" t="s">
        <v>0</v>
      </c>
    </row>
    <row r="9435" spans="1:1" x14ac:dyDescent="0.3">
      <c r="A9435" t="s">
        <v>0</v>
      </c>
    </row>
    <row r="9436" spans="1:1" x14ac:dyDescent="0.3">
      <c r="A9436" t="s">
        <v>0</v>
      </c>
    </row>
    <row r="9437" spans="1:1" x14ac:dyDescent="0.3">
      <c r="A9437" t="s">
        <v>0</v>
      </c>
    </row>
    <row r="9438" spans="1:1" x14ac:dyDescent="0.3">
      <c r="A9438" t="s">
        <v>0</v>
      </c>
    </row>
    <row r="9439" spans="1:1" x14ac:dyDescent="0.3">
      <c r="A9439" t="s">
        <v>0</v>
      </c>
    </row>
    <row r="9440" spans="1:1" x14ac:dyDescent="0.3">
      <c r="A9440" t="s">
        <v>0</v>
      </c>
    </row>
    <row r="9441" spans="1:1" x14ac:dyDescent="0.3">
      <c r="A9441" t="s">
        <v>0</v>
      </c>
    </row>
    <row r="9442" spans="1:1" x14ac:dyDescent="0.3">
      <c r="A9442" t="s">
        <v>0</v>
      </c>
    </row>
    <row r="9443" spans="1:1" x14ac:dyDescent="0.3">
      <c r="A9443" t="s">
        <v>0</v>
      </c>
    </row>
    <row r="9444" spans="1:1" x14ac:dyDescent="0.3">
      <c r="A9444" t="s">
        <v>0</v>
      </c>
    </row>
    <row r="9445" spans="1:1" x14ac:dyDescent="0.3">
      <c r="A9445" t="s">
        <v>0</v>
      </c>
    </row>
    <row r="9446" spans="1:1" x14ac:dyDescent="0.3">
      <c r="A9446" t="s">
        <v>0</v>
      </c>
    </row>
    <row r="9447" spans="1:1" x14ac:dyDescent="0.3">
      <c r="A9447" t="s">
        <v>0</v>
      </c>
    </row>
    <row r="9448" spans="1:1" x14ac:dyDescent="0.3">
      <c r="A9448" t="s">
        <v>0</v>
      </c>
    </row>
    <row r="9449" spans="1:1" x14ac:dyDescent="0.3">
      <c r="A9449" t="s">
        <v>0</v>
      </c>
    </row>
    <row r="9450" spans="1:1" x14ac:dyDescent="0.3">
      <c r="A9450" t="s">
        <v>0</v>
      </c>
    </row>
    <row r="9451" spans="1:1" x14ac:dyDescent="0.3">
      <c r="A9451" t="s">
        <v>0</v>
      </c>
    </row>
    <row r="9452" spans="1:1" x14ac:dyDescent="0.3">
      <c r="A9452" t="s">
        <v>0</v>
      </c>
    </row>
    <row r="9453" spans="1:1" x14ac:dyDescent="0.3">
      <c r="A9453" t="s">
        <v>0</v>
      </c>
    </row>
    <row r="9454" spans="1:1" x14ac:dyDescent="0.3">
      <c r="A9454" t="s">
        <v>0</v>
      </c>
    </row>
    <row r="9455" spans="1:1" x14ac:dyDescent="0.3">
      <c r="A9455" t="s">
        <v>0</v>
      </c>
    </row>
    <row r="9456" spans="1:1" x14ac:dyDescent="0.3">
      <c r="A9456" t="s">
        <v>0</v>
      </c>
    </row>
    <row r="9457" spans="1:1" x14ac:dyDescent="0.3">
      <c r="A9457" t="s">
        <v>0</v>
      </c>
    </row>
    <row r="9458" spans="1:1" x14ac:dyDescent="0.3">
      <c r="A9458" t="s">
        <v>0</v>
      </c>
    </row>
    <row r="9459" spans="1:1" x14ac:dyDescent="0.3">
      <c r="A9459" t="s">
        <v>0</v>
      </c>
    </row>
    <row r="9460" spans="1:1" x14ac:dyDescent="0.3">
      <c r="A9460" t="s">
        <v>0</v>
      </c>
    </row>
    <row r="9461" spans="1:1" x14ac:dyDescent="0.3">
      <c r="A9461" t="s">
        <v>0</v>
      </c>
    </row>
    <row r="9462" spans="1:1" x14ac:dyDescent="0.3">
      <c r="A9462" t="s">
        <v>0</v>
      </c>
    </row>
    <row r="9463" spans="1:1" x14ac:dyDescent="0.3">
      <c r="A9463" t="s">
        <v>0</v>
      </c>
    </row>
    <row r="9464" spans="1:1" x14ac:dyDescent="0.3">
      <c r="A9464" t="s">
        <v>0</v>
      </c>
    </row>
    <row r="9465" spans="1:1" x14ac:dyDescent="0.3">
      <c r="A9465" t="s">
        <v>0</v>
      </c>
    </row>
    <row r="9466" spans="1:1" x14ac:dyDescent="0.3">
      <c r="A9466" t="s">
        <v>0</v>
      </c>
    </row>
    <row r="9467" spans="1:1" x14ac:dyDescent="0.3">
      <c r="A9467" t="s">
        <v>0</v>
      </c>
    </row>
    <row r="9468" spans="1:1" x14ac:dyDescent="0.3">
      <c r="A9468" t="s">
        <v>0</v>
      </c>
    </row>
    <row r="9469" spans="1:1" x14ac:dyDescent="0.3">
      <c r="A9469" t="s">
        <v>0</v>
      </c>
    </row>
    <row r="9470" spans="1:1" x14ac:dyDescent="0.3">
      <c r="A9470" t="s">
        <v>0</v>
      </c>
    </row>
    <row r="9471" spans="1:1" x14ac:dyDescent="0.3">
      <c r="A9471" t="s">
        <v>0</v>
      </c>
    </row>
    <row r="9472" spans="1:1" x14ac:dyDescent="0.3">
      <c r="A9472" t="s">
        <v>0</v>
      </c>
    </row>
    <row r="9473" spans="1:1" x14ac:dyDescent="0.3">
      <c r="A9473" t="s">
        <v>0</v>
      </c>
    </row>
    <row r="9474" spans="1:1" x14ac:dyDescent="0.3">
      <c r="A9474" t="s">
        <v>0</v>
      </c>
    </row>
    <row r="9475" spans="1:1" x14ac:dyDescent="0.3">
      <c r="A9475" t="s">
        <v>0</v>
      </c>
    </row>
    <row r="9476" spans="1:1" x14ac:dyDescent="0.3">
      <c r="A9476" t="s">
        <v>0</v>
      </c>
    </row>
    <row r="9477" spans="1:1" x14ac:dyDescent="0.3">
      <c r="A9477" t="s">
        <v>0</v>
      </c>
    </row>
    <row r="9478" spans="1:1" x14ac:dyDescent="0.3">
      <c r="A9478" t="s">
        <v>0</v>
      </c>
    </row>
    <row r="9479" spans="1:1" x14ac:dyDescent="0.3">
      <c r="A9479" t="s">
        <v>0</v>
      </c>
    </row>
    <row r="9480" spans="1:1" x14ac:dyDescent="0.3">
      <c r="A9480" t="s">
        <v>0</v>
      </c>
    </row>
    <row r="9481" spans="1:1" x14ac:dyDescent="0.3">
      <c r="A9481" t="s">
        <v>0</v>
      </c>
    </row>
    <row r="9482" spans="1:1" x14ac:dyDescent="0.3">
      <c r="A9482" t="s">
        <v>0</v>
      </c>
    </row>
    <row r="9483" spans="1:1" x14ac:dyDescent="0.3">
      <c r="A9483" t="s">
        <v>0</v>
      </c>
    </row>
    <row r="9484" spans="1:1" x14ac:dyDescent="0.3">
      <c r="A9484" t="s">
        <v>0</v>
      </c>
    </row>
    <row r="9485" spans="1:1" x14ac:dyDescent="0.3">
      <c r="A9485" t="s">
        <v>0</v>
      </c>
    </row>
    <row r="9486" spans="1:1" x14ac:dyDescent="0.3">
      <c r="A9486" t="s">
        <v>0</v>
      </c>
    </row>
    <row r="9487" spans="1:1" x14ac:dyDescent="0.3">
      <c r="A9487" t="s">
        <v>0</v>
      </c>
    </row>
    <row r="9488" spans="1:1" x14ac:dyDescent="0.3">
      <c r="A9488" t="s">
        <v>0</v>
      </c>
    </row>
    <row r="9489" spans="1:1" x14ac:dyDescent="0.3">
      <c r="A9489" t="s">
        <v>0</v>
      </c>
    </row>
    <row r="9490" spans="1:1" x14ac:dyDescent="0.3">
      <c r="A9490" t="s">
        <v>0</v>
      </c>
    </row>
    <row r="9491" spans="1:1" x14ac:dyDescent="0.3">
      <c r="A9491" t="s">
        <v>0</v>
      </c>
    </row>
    <row r="9492" spans="1:1" x14ac:dyDescent="0.3">
      <c r="A9492" t="s">
        <v>0</v>
      </c>
    </row>
    <row r="9493" spans="1:1" x14ac:dyDescent="0.3">
      <c r="A9493" t="s">
        <v>0</v>
      </c>
    </row>
    <row r="9494" spans="1:1" x14ac:dyDescent="0.3">
      <c r="A9494" t="s">
        <v>0</v>
      </c>
    </row>
    <row r="9495" spans="1:1" x14ac:dyDescent="0.3">
      <c r="A9495" t="s">
        <v>0</v>
      </c>
    </row>
    <row r="9496" spans="1:1" x14ac:dyDescent="0.3">
      <c r="A9496" t="s">
        <v>0</v>
      </c>
    </row>
    <row r="9497" spans="1:1" x14ac:dyDescent="0.3">
      <c r="A9497" t="s">
        <v>0</v>
      </c>
    </row>
    <row r="9498" spans="1:1" x14ac:dyDescent="0.3">
      <c r="A9498" t="s">
        <v>0</v>
      </c>
    </row>
    <row r="9499" spans="1:1" x14ac:dyDescent="0.3">
      <c r="A9499" t="s">
        <v>0</v>
      </c>
    </row>
    <row r="9500" spans="1:1" x14ac:dyDescent="0.3">
      <c r="A9500" t="s">
        <v>0</v>
      </c>
    </row>
    <row r="9501" spans="1:1" x14ac:dyDescent="0.3">
      <c r="A9501" t="s">
        <v>0</v>
      </c>
    </row>
    <row r="9502" spans="1:1" x14ac:dyDescent="0.3">
      <c r="A9502" t="s">
        <v>0</v>
      </c>
    </row>
    <row r="9503" spans="1:1" x14ac:dyDescent="0.3">
      <c r="A9503" t="s">
        <v>0</v>
      </c>
    </row>
    <row r="9504" spans="1:1" x14ac:dyDescent="0.3">
      <c r="A9504" t="s">
        <v>0</v>
      </c>
    </row>
    <row r="9505" spans="1:1" x14ac:dyDescent="0.3">
      <c r="A9505" t="s">
        <v>0</v>
      </c>
    </row>
    <row r="9506" spans="1:1" x14ac:dyDescent="0.3">
      <c r="A9506" t="s">
        <v>0</v>
      </c>
    </row>
    <row r="9507" spans="1:1" x14ac:dyDescent="0.3">
      <c r="A9507" t="s">
        <v>0</v>
      </c>
    </row>
    <row r="9508" spans="1:1" x14ac:dyDescent="0.3">
      <c r="A9508" t="s">
        <v>0</v>
      </c>
    </row>
    <row r="9509" spans="1:1" x14ac:dyDescent="0.3">
      <c r="A9509" t="s">
        <v>0</v>
      </c>
    </row>
    <row r="9510" spans="1:1" x14ac:dyDescent="0.3">
      <c r="A9510" t="s">
        <v>0</v>
      </c>
    </row>
    <row r="9511" spans="1:1" x14ac:dyDescent="0.3">
      <c r="A9511" t="s">
        <v>0</v>
      </c>
    </row>
    <row r="9512" spans="1:1" x14ac:dyDescent="0.3">
      <c r="A9512" t="s">
        <v>0</v>
      </c>
    </row>
    <row r="9513" spans="1:1" x14ac:dyDescent="0.3">
      <c r="A9513" t="s">
        <v>0</v>
      </c>
    </row>
    <row r="9514" spans="1:1" x14ac:dyDescent="0.3">
      <c r="A9514" t="s">
        <v>0</v>
      </c>
    </row>
    <row r="9515" spans="1:1" x14ac:dyDescent="0.3">
      <c r="A9515" t="s">
        <v>0</v>
      </c>
    </row>
    <row r="9516" spans="1:1" x14ac:dyDescent="0.3">
      <c r="A9516" t="s">
        <v>0</v>
      </c>
    </row>
    <row r="9517" spans="1:1" x14ac:dyDescent="0.3">
      <c r="A9517" t="s">
        <v>0</v>
      </c>
    </row>
    <row r="9518" spans="1:1" x14ac:dyDescent="0.3">
      <c r="A9518" t="s">
        <v>0</v>
      </c>
    </row>
    <row r="9519" spans="1:1" x14ac:dyDescent="0.3">
      <c r="A9519" t="s">
        <v>0</v>
      </c>
    </row>
    <row r="9520" spans="1:1" x14ac:dyDescent="0.3">
      <c r="A9520" t="s">
        <v>0</v>
      </c>
    </row>
    <row r="9521" spans="1:1" x14ac:dyDescent="0.3">
      <c r="A9521" t="s">
        <v>0</v>
      </c>
    </row>
    <row r="9522" spans="1:1" x14ac:dyDescent="0.3">
      <c r="A9522" t="s">
        <v>0</v>
      </c>
    </row>
    <row r="9523" spans="1:1" x14ac:dyDescent="0.3">
      <c r="A9523" t="s">
        <v>0</v>
      </c>
    </row>
    <row r="9524" spans="1:1" x14ac:dyDescent="0.3">
      <c r="A9524" t="s">
        <v>0</v>
      </c>
    </row>
    <row r="9525" spans="1:1" x14ac:dyDescent="0.3">
      <c r="A9525" t="s">
        <v>0</v>
      </c>
    </row>
    <row r="9526" spans="1:1" x14ac:dyDescent="0.3">
      <c r="A9526" t="s">
        <v>0</v>
      </c>
    </row>
    <row r="9527" spans="1:1" x14ac:dyDescent="0.3">
      <c r="A9527" t="s">
        <v>0</v>
      </c>
    </row>
    <row r="9528" spans="1:1" x14ac:dyDescent="0.3">
      <c r="A9528" t="s">
        <v>0</v>
      </c>
    </row>
    <row r="9529" spans="1:1" x14ac:dyDescent="0.3">
      <c r="A9529" t="s">
        <v>0</v>
      </c>
    </row>
    <row r="9530" spans="1:1" x14ac:dyDescent="0.3">
      <c r="A9530" t="s">
        <v>0</v>
      </c>
    </row>
    <row r="9531" spans="1:1" x14ac:dyDescent="0.3">
      <c r="A9531" t="s">
        <v>0</v>
      </c>
    </row>
    <row r="9532" spans="1:1" x14ac:dyDescent="0.3">
      <c r="A9532" t="s">
        <v>0</v>
      </c>
    </row>
    <row r="9533" spans="1:1" x14ac:dyDescent="0.3">
      <c r="A9533" t="s">
        <v>0</v>
      </c>
    </row>
    <row r="9534" spans="1:1" x14ac:dyDescent="0.3">
      <c r="A9534" t="s">
        <v>0</v>
      </c>
    </row>
    <row r="9535" spans="1:1" x14ac:dyDescent="0.3">
      <c r="A9535" t="s">
        <v>0</v>
      </c>
    </row>
    <row r="9536" spans="1:1" x14ac:dyDescent="0.3">
      <c r="A9536" t="s">
        <v>0</v>
      </c>
    </row>
    <row r="9537" spans="1:1" x14ac:dyDescent="0.3">
      <c r="A9537" t="s">
        <v>0</v>
      </c>
    </row>
    <row r="9538" spans="1:1" x14ac:dyDescent="0.3">
      <c r="A9538" t="s">
        <v>0</v>
      </c>
    </row>
    <row r="9539" spans="1:1" x14ac:dyDescent="0.3">
      <c r="A9539" t="s">
        <v>0</v>
      </c>
    </row>
    <row r="9540" spans="1:1" x14ac:dyDescent="0.3">
      <c r="A9540" t="s">
        <v>0</v>
      </c>
    </row>
    <row r="9541" spans="1:1" x14ac:dyDescent="0.3">
      <c r="A9541" t="s">
        <v>0</v>
      </c>
    </row>
    <row r="9542" spans="1:1" x14ac:dyDescent="0.3">
      <c r="A9542" t="s">
        <v>0</v>
      </c>
    </row>
    <row r="9543" spans="1:1" x14ac:dyDescent="0.3">
      <c r="A9543" t="s">
        <v>0</v>
      </c>
    </row>
    <row r="9544" spans="1:1" x14ac:dyDescent="0.3">
      <c r="A9544" t="s">
        <v>0</v>
      </c>
    </row>
    <row r="9545" spans="1:1" x14ac:dyDescent="0.3">
      <c r="A9545" t="s">
        <v>0</v>
      </c>
    </row>
    <row r="9546" spans="1:1" x14ac:dyDescent="0.3">
      <c r="A9546" t="s">
        <v>0</v>
      </c>
    </row>
    <row r="9547" spans="1:1" x14ac:dyDescent="0.3">
      <c r="A9547" t="s">
        <v>0</v>
      </c>
    </row>
    <row r="9548" spans="1:1" x14ac:dyDescent="0.3">
      <c r="A9548" t="s">
        <v>0</v>
      </c>
    </row>
    <row r="9549" spans="1:1" x14ac:dyDescent="0.3">
      <c r="A9549" t="s">
        <v>0</v>
      </c>
    </row>
    <row r="9550" spans="1:1" x14ac:dyDescent="0.3">
      <c r="A9550" t="s">
        <v>0</v>
      </c>
    </row>
    <row r="9551" spans="1:1" x14ac:dyDescent="0.3">
      <c r="A9551" t="s">
        <v>0</v>
      </c>
    </row>
    <row r="9552" spans="1:1" x14ac:dyDescent="0.3">
      <c r="A9552" t="s">
        <v>0</v>
      </c>
    </row>
    <row r="9553" spans="1:1" x14ac:dyDescent="0.3">
      <c r="A9553" t="s">
        <v>0</v>
      </c>
    </row>
    <row r="9554" spans="1:1" x14ac:dyDescent="0.3">
      <c r="A9554" t="s">
        <v>0</v>
      </c>
    </row>
    <row r="9555" spans="1:1" x14ac:dyDescent="0.3">
      <c r="A9555" t="s">
        <v>0</v>
      </c>
    </row>
    <row r="9556" spans="1:1" x14ac:dyDescent="0.3">
      <c r="A9556" t="s">
        <v>0</v>
      </c>
    </row>
    <row r="9557" spans="1:1" x14ac:dyDescent="0.3">
      <c r="A9557" t="s">
        <v>0</v>
      </c>
    </row>
    <row r="9558" spans="1:1" x14ac:dyDescent="0.3">
      <c r="A9558" t="s">
        <v>0</v>
      </c>
    </row>
    <row r="9559" spans="1:1" x14ac:dyDescent="0.3">
      <c r="A9559" t="s">
        <v>0</v>
      </c>
    </row>
    <row r="9560" spans="1:1" x14ac:dyDescent="0.3">
      <c r="A9560" t="s">
        <v>0</v>
      </c>
    </row>
    <row r="9561" spans="1:1" x14ac:dyDescent="0.3">
      <c r="A9561" t="s">
        <v>0</v>
      </c>
    </row>
    <row r="9562" spans="1:1" x14ac:dyDescent="0.3">
      <c r="A9562" t="s">
        <v>0</v>
      </c>
    </row>
    <row r="9563" spans="1:1" x14ac:dyDescent="0.3">
      <c r="A9563" t="s">
        <v>0</v>
      </c>
    </row>
    <row r="9564" spans="1:1" x14ac:dyDescent="0.3">
      <c r="A9564" t="s">
        <v>0</v>
      </c>
    </row>
    <row r="9565" spans="1:1" x14ac:dyDescent="0.3">
      <c r="A9565" t="s">
        <v>0</v>
      </c>
    </row>
    <row r="9566" spans="1:1" x14ac:dyDescent="0.3">
      <c r="A9566" t="s">
        <v>0</v>
      </c>
    </row>
    <row r="9567" spans="1:1" x14ac:dyDescent="0.3">
      <c r="A9567" t="s">
        <v>0</v>
      </c>
    </row>
    <row r="9568" spans="1:1" x14ac:dyDescent="0.3">
      <c r="A9568" t="s">
        <v>0</v>
      </c>
    </row>
    <row r="9569" spans="1:1" x14ac:dyDescent="0.3">
      <c r="A9569" t="s">
        <v>0</v>
      </c>
    </row>
    <row r="9570" spans="1:1" x14ac:dyDescent="0.3">
      <c r="A9570" t="s">
        <v>0</v>
      </c>
    </row>
    <row r="9571" spans="1:1" x14ac:dyDescent="0.3">
      <c r="A9571" t="s">
        <v>0</v>
      </c>
    </row>
    <row r="9572" spans="1:1" x14ac:dyDescent="0.3">
      <c r="A9572" t="s">
        <v>0</v>
      </c>
    </row>
    <row r="9573" spans="1:1" x14ac:dyDescent="0.3">
      <c r="A9573" t="s">
        <v>0</v>
      </c>
    </row>
    <row r="9574" spans="1:1" x14ac:dyDescent="0.3">
      <c r="A9574" t="s">
        <v>0</v>
      </c>
    </row>
    <row r="9575" spans="1:1" x14ac:dyDescent="0.3">
      <c r="A9575" t="s">
        <v>0</v>
      </c>
    </row>
    <row r="9576" spans="1:1" x14ac:dyDescent="0.3">
      <c r="A9576" t="s">
        <v>0</v>
      </c>
    </row>
    <row r="9577" spans="1:1" x14ac:dyDescent="0.3">
      <c r="A9577" t="s">
        <v>0</v>
      </c>
    </row>
    <row r="9578" spans="1:1" x14ac:dyDescent="0.3">
      <c r="A9578" t="s">
        <v>0</v>
      </c>
    </row>
    <row r="9579" spans="1:1" x14ac:dyDescent="0.3">
      <c r="A9579" t="s">
        <v>0</v>
      </c>
    </row>
    <row r="9580" spans="1:1" x14ac:dyDescent="0.3">
      <c r="A9580" t="s">
        <v>0</v>
      </c>
    </row>
    <row r="9581" spans="1:1" x14ac:dyDescent="0.3">
      <c r="A9581" t="s">
        <v>0</v>
      </c>
    </row>
    <row r="9582" spans="1:1" x14ac:dyDescent="0.3">
      <c r="A9582" t="s">
        <v>0</v>
      </c>
    </row>
    <row r="9583" spans="1:1" x14ac:dyDescent="0.3">
      <c r="A9583" t="s">
        <v>0</v>
      </c>
    </row>
    <row r="9584" spans="1:1" x14ac:dyDescent="0.3">
      <c r="A9584" t="s">
        <v>0</v>
      </c>
    </row>
    <row r="9585" spans="1:1" x14ac:dyDescent="0.3">
      <c r="A9585" t="s">
        <v>0</v>
      </c>
    </row>
    <row r="9586" spans="1:1" x14ac:dyDescent="0.3">
      <c r="A9586" t="s">
        <v>0</v>
      </c>
    </row>
    <row r="9587" spans="1:1" x14ac:dyDescent="0.3">
      <c r="A9587" t="s">
        <v>0</v>
      </c>
    </row>
    <row r="9588" spans="1:1" x14ac:dyDescent="0.3">
      <c r="A9588" t="s">
        <v>0</v>
      </c>
    </row>
    <row r="9589" spans="1:1" x14ac:dyDescent="0.3">
      <c r="A9589" t="s">
        <v>0</v>
      </c>
    </row>
    <row r="9590" spans="1:1" x14ac:dyDescent="0.3">
      <c r="A9590" t="s">
        <v>0</v>
      </c>
    </row>
    <row r="9591" spans="1:1" x14ac:dyDescent="0.3">
      <c r="A9591" t="s">
        <v>0</v>
      </c>
    </row>
    <row r="9592" spans="1:1" x14ac:dyDescent="0.3">
      <c r="A9592" t="s">
        <v>0</v>
      </c>
    </row>
    <row r="9593" spans="1:1" x14ac:dyDescent="0.3">
      <c r="A9593" t="s">
        <v>0</v>
      </c>
    </row>
    <row r="9594" spans="1:1" x14ac:dyDescent="0.3">
      <c r="A9594" t="s">
        <v>0</v>
      </c>
    </row>
    <row r="9595" spans="1:1" x14ac:dyDescent="0.3">
      <c r="A9595" t="s">
        <v>0</v>
      </c>
    </row>
    <row r="9596" spans="1:1" x14ac:dyDescent="0.3">
      <c r="A9596" t="s">
        <v>0</v>
      </c>
    </row>
    <row r="9597" spans="1:1" x14ac:dyDescent="0.3">
      <c r="A9597" t="s">
        <v>0</v>
      </c>
    </row>
    <row r="9598" spans="1:1" x14ac:dyDescent="0.3">
      <c r="A9598" t="s">
        <v>0</v>
      </c>
    </row>
    <row r="9599" spans="1:1" x14ac:dyDescent="0.3">
      <c r="A9599" t="s">
        <v>0</v>
      </c>
    </row>
    <row r="9600" spans="1:1" x14ac:dyDescent="0.3">
      <c r="A9600" t="s">
        <v>0</v>
      </c>
    </row>
    <row r="9601" spans="1:1" x14ac:dyDescent="0.3">
      <c r="A9601" t="s">
        <v>0</v>
      </c>
    </row>
    <row r="9602" spans="1:1" x14ac:dyDescent="0.3">
      <c r="A9602" t="s">
        <v>0</v>
      </c>
    </row>
    <row r="9603" spans="1:1" x14ac:dyDescent="0.3">
      <c r="A9603" t="s">
        <v>0</v>
      </c>
    </row>
    <row r="9604" spans="1:1" x14ac:dyDescent="0.3">
      <c r="A9604" t="s">
        <v>0</v>
      </c>
    </row>
    <row r="9605" spans="1:1" x14ac:dyDescent="0.3">
      <c r="A9605" t="s">
        <v>0</v>
      </c>
    </row>
    <row r="9606" spans="1:1" x14ac:dyDescent="0.3">
      <c r="A9606" t="s">
        <v>0</v>
      </c>
    </row>
    <row r="9607" spans="1:1" x14ac:dyDescent="0.3">
      <c r="A9607" t="s">
        <v>0</v>
      </c>
    </row>
    <row r="9608" spans="1:1" x14ac:dyDescent="0.3">
      <c r="A9608" t="s">
        <v>0</v>
      </c>
    </row>
    <row r="9609" spans="1:1" x14ac:dyDescent="0.3">
      <c r="A9609" t="s">
        <v>0</v>
      </c>
    </row>
    <row r="9610" spans="1:1" x14ac:dyDescent="0.3">
      <c r="A9610" t="s">
        <v>0</v>
      </c>
    </row>
    <row r="9611" spans="1:1" x14ac:dyDescent="0.3">
      <c r="A9611" t="s">
        <v>0</v>
      </c>
    </row>
    <row r="9612" spans="1:1" x14ac:dyDescent="0.3">
      <c r="A9612" t="s">
        <v>0</v>
      </c>
    </row>
    <row r="9613" spans="1:1" x14ac:dyDescent="0.3">
      <c r="A9613" t="s">
        <v>0</v>
      </c>
    </row>
    <row r="9614" spans="1:1" x14ac:dyDescent="0.3">
      <c r="A9614" t="s">
        <v>0</v>
      </c>
    </row>
    <row r="9615" spans="1:1" x14ac:dyDescent="0.3">
      <c r="A9615" t="s">
        <v>0</v>
      </c>
    </row>
    <row r="9616" spans="1:1" x14ac:dyDescent="0.3">
      <c r="A9616" t="s">
        <v>0</v>
      </c>
    </row>
    <row r="9617" spans="1:1" x14ac:dyDescent="0.3">
      <c r="A9617" t="s">
        <v>0</v>
      </c>
    </row>
    <row r="9618" spans="1:1" x14ac:dyDescent="0.3">
      <c r="A9618" t="s">
        <v>0</v>
      </c>
    </row>
    <row r="9619" spans="1:1" x14ac:dyDescent="0.3">
      <c r="A9619" t="s">
        <v>0</v>
      </c>
    </row>
    <row r="9620" spans="1:1" x14ac:dyDescent="0.3">
      <c r="A9620" t="s">
        <v>0</v>
      </c>
    </row>
    <row r="9621" spans="1:1" x14ac:dyDescent="0.3">
      <c r="A9621" t="s">
        <v>0</v>
      </c>
    </row>
    <row r="9622" spans="1:1" x14ac:dyDescent="0.3">
      <c r="A9622" t="s">
        <v>0</v>
      </c>
    </row>
    <row r="9623" spans="1:1" x14ac:dyDescent="0.3">
      <c r="A9623" t="s">
        <v>0</v>
      </c>
    </row>
    <row r="9624" spans="1:1" x14ac:dyDescent="0.3">
      <c r="A9624" t="s">
        <v>0</v>
      </c>
    </row>
    <row r="9625" spans="1:1" x14ac:dyDescent="0.3">
      <c r="A9625" t="s">
        <v>0</v>
      </c>
    </row>
    <row r="9626" spans="1:1" x14ac:dyDescent="0.3">
      <c r="A9626" t="s">
        <v>0</v>
      </c>
    </row>
    <row r="9627" spans="1:1" x14ac:dyDescent="0.3">
      <c r="A9627" t="s">
        <v>0</v>
      </c>
    </row>
    <row r="9628" spans="1:1" x14ac:dyDescent="0.3">
      <c r="A9628" t="s">
        <v>0</v>
      </c>
    </row>
    <row r="9629" spans="1:1" x14ac:dyDescent="0.3">
      <c r="A9629" t="s">
        <v>0</v>
      </c>
    </row>
    <row r="9630" spans="1:1" x14ac:dyDescent="0.3">
      <c r="A9630" t="s">
        <v>0</v>
      </c>
    </row>
    <row r="9631" spans="1:1" x14ac:dyDescent="0.3">
      <c r="A9631" t="s">
        <v>0</v>
      </c>
    </row>
    <row r="9632" spans="1:1" x14ac:dyDescent="0.3">
      <c r="A9632" t="s">
        <v>0</v>
      </c>
    </row>
    <row r="9633" spans="1:1" x14ac:dyDescent="0.3">
      <c r="A9633" t="s">
        <v>0</v>
      </c>
    </row>
    <row r="9634" spans="1:1" x14ac:dyDescent="0.3">
      <c r="A9634" t="s">
        <v>0</v>
      </c>
    </row>
    <row r="9635" spans="1:1" x14ac:dyDescent="0.3">
      <c r="A9635" t="s">
        <v>0</v>
      </c>
    </row>
    <row r="9636" spans="1:1" x14ac:dyDescent="0.3">
      <c r="A9636" t="s">
        <v>0</v>
      </c>
    </row>
    <row r="9637" spans="1:1" x14ac:dyDescent="0.3">
      <c r="A9637" t="s">
        <v>0</v>
      </c>
    </row>
    <row r="9638" spans="1:1" x14ac:dyDescent="0.3">
      <c r="A9638" t="s">
        <v>0</v>
      </c>
    </row>
    <row r="9639" spans="1:1" x14ac:dyDescent="0.3">
      <c r="A9639" t="s">
        <v>0</v>
      </c>
    </row>
    <row r="9640" spans="1:1" x14ac:dyDescent="0.3">
      <c r="A9640" t="s">
        <v>0</v>
      </c>
    </row>
    <row r="9641" spans="1:1" x14ac:dyDescent="0.3">
      <c r="A9641" t="s">
        <v>0</v>
      </c>
    </row>
    <row r="9642" spans="1:1" x14ac:dyDescent="0.3">
      <c r="A9642" t="s">
        <v>0</v>
      </c>
    </row>
    <row r="9643" spans="1:1" x14ac:dyDescent="0.3">
      <c r="A9643" t="s">
        <v>0</v>
      </c>
    </row>
    <row r="9644" spans="1:1" x14ac:dyDescent="0.3">
      <c r="A9644" t="s">
        <v>0</v>
      </c>
    </row>
    <row r="9645" spans="1:1" x14ac:dyDescent="0.3">
      <c r="A9645" t="s">
        <v>0</v>
      </c>
    </row>
    <row r="9646" spans="1:1" x14ac:dyDescent="0.3">
      <c r="A9646" t="s">
        <v>0</v>
      </c>
    </row>
    <row r="9647" spans="1:1" x14ac:dyDescent="0.3">
      <c r="A9647" t="s">
        <v>0</v>
      </c>
    </row>
    <row r="9648" spans="1:1" x14ac:dyDescent="0.3">
      <c r="A9648" t="s">
        <v>0</v>
      </c>
    </row>
    <row r="9649" spans="1:1" x14ac:dyDescent="0.3">
      <c r="A9649" t="s">
        <v>0</v>
      </c>
    </row>
    <row r="9650" spans="1:1" x14ac:dyDescent="0.3">
      <c r="A9650" t="s">
        <v>0</v>
      </c>
    </row>
    <row r="9651" spans="1:1" x14ac:dyDescent="0.3">
      <c r="A9651" t="s">
        <v>0</v>
      </c>
    </row>
    <row r="9652" spans="1:1" x14ac:dyDescent="0.3">
      <c r="A9652" t="s">
        <v>0</v>
      </c>
    </row>
    <row r="9653" spans="1:1" x14ac:dyDescent="0.3">
      <c r="A9653" t="s">
        <v>0</v>
      </c>
    </row>
    <row r="9654" spans="1:1" x14ac:dyDescent="0.3">
      <c r="A9654" t="s">
        <v>0</v>
      </c>
    </row>
    <row r="9655" spans="1:1" x14ac:dyDescent="0.3">
      <c r="A9655" t="s">
        <v>0</v>
      </c>
    </row>
    <row r="9656" spans="1:1" x14ac:dyDescent="0.3">
      <c r="A9656" t="s">
        <v>0</v>
      </c>
    </row>
    <row r="9657" spans="1:1" x14ac:dyDescent="0.3">
      <c r="A9657" t="s">
        <v>0</v>
      </c>
    </row>
    <row r="9658" spans="1:1" x14ac:dyDescent="0.3">
      <c r="A9658" t="s">
        <v>0</v>
      </c>
    </row>
    <row r="9659" spans="1:1" x14ac:dyDescent="0.3">
      <c r="A9659" t="s">
        <v>0</v>
      </c>
    </row>
    <row r="9660" spans="1:1" x14ac:dyDescent="0.3">
      <c r="A9660" t="s">
        <v>0</v>
      </c>
    </row>
    <row r="9661" spans="1:1" x14ac:dyDescent="0.3">
      <c r="A9661" t="s">
        <v>0</v>
      </c>
    </row>
    <row r="9662" spans="1:1" x14ac:dyDescent="0.3">
      <c r="A9662" t="s">
        <v>0</v>
      </c>
    </row>
    <row r="9663" spans="1:1" x14ac:dyDescent="0.3">
      <c r="A9663" t="s">
        <v>0</v>
      </c>
    </row>
    <row r="9664" spans="1:1" x14ac:dyDescent="0.3">
      <c r="A9664" t="s">
        <v>0</v>
      </c>
    </row>
    <row r="9665" spans="1:1" x14ac:dyDescent="0.3">
      <c r="A9665" t="s">
        <v>0</v>
      </c>
    </row>
    <row r="9666" spans="1:1" x14ac:dyDescent="0.3">
      <c r="A9666" t="s">
        <v>0</v>
      </c>
    </row>
    <row r="9667" spans="1:1" x14ac:dyDescent="0.3">
      <c r="A9667" t="s">
        <v>0</v>
      </c>
    </row>
    <row r="9668" spans="1:1" x14ac:dyDescent="0.3">
      <c r="A9668" t="s">
        <v>0</v>
      </c>
    </row>
    <row r="9669" spans="1:1" x14ac:dyDescent="0.3">
      <c r="A9669" t="s">
        <v>0</v>
      </c>
    </row>
    <row r="9670" spans="1:1" x14ac:dyDescent="0.3">
      <c r="A9670" t="s">
        <v>0</v>
      </c>
    </row>
    <row r="9671" spans="1:1" x14ac:dyDescent="0.3">
      <c r="A9671" t="s">
        <v>0</v>
      </c>
    </row>
    <row r="9672" spans="1:1" x14ac:dyDescent="0.3">
      <c r="A9672" t="s">
        <v>0</v>
      </c>
    </row>
    <row r="9673" spans="1:1" x14ac:dyDescent="0.3">
      <c r="A9673" t="s">
        <v>0</v>
      </c>
    </row>
    <row r="9674" spans="1:1" x14ac:dyDescent="0.3">
      <c r="A9674" t="s">
        <v>0</v>
      </c>
    </row>
    <row r="9675" spans="1:1" x14ac:dyDescent="0.3">
      <c r="A9675" t="s">
        <v>0</v>
      </c>
    </row>
    <row r="9676" spans="1:1" x14ac:dyDescent="0.3">
      <c r="A9676" t="s">
        <v>0</v>
      </c>
    </row>
    <row r="9677" spans="1:1" x14ac:dyDescent="0.3">
      <c r="A9677" t="s">
        <v>0</v>
      </c>
    </row>
    <row r="9678" spans="1:1" x14ac:dyDescent="0.3">
      <c r="A9678" t="s">
        <v>0</v>
      </c>
    </row>
    <row r="9679" spans="1:1" x14ac:dyDescent="0.3">
      <c r="A9679" t="s">
        <v>0</v>
      </c>
    </row>
    <row r="9680" spans="1:1" x14ac:dyDescent="0.3">
      <c r="A9680" t="s">
        <v>0</v>
      </c>
    </row>
    <row r="9681" spans="1:1" x14ac:dyDescent="0.3">
      <c r="A9681" t="s">
        <v>0</v>
      </c>
    </row>
    <row r="9682" spans="1:1" x14ac:dyDescent="0.3">
      <c r="A9682" t="s">
        <v>0</v>
      </c>
    </row>
    <row r="9683" spans="1:1" x14ac:dyDescent="0.3">
      <c r="A9683" t="s">
        <v>0</v>
      </c>
    </row>
    <row r="9684" spans="1:1" x14ac:dyDescent="0.3">
      <c r="A9684" t="s">
        <v>0</v>
      </c>
    </row>
    <row r="9685" spans="1:1" x14ac:dyDescent="0.3">
      <c r="A9685" t="s">
        <v>0</v>
      </c>
    </row>
    <row r="9686" spans="1:1" x14ac:dyDescent="0.3">
      <c r="A9686" t="s">
        <v>0</v>
      </c>
    </row>
    <row r="9687" spans="1:1" x14ac:dyDescent="0.3">
      <c r="A9687" t="s">
        <v>0</v>
      </c>
    </row>
    <row r="9688" spans="1:1" x14ac:dyDescent="0.3">
      <c r="A9688" t="s">
        <v>0</v>
      </c>
    </row>
    <row r="9689" spans="1:1" x14ac:dyDescent="0.3">
      <c r="A9689" t="s">
        <v>0</v>
      </c>
    </row>
    <row r="9690" spans="1:1" x14ac:dyDescent="0.3">
      <c r="A9690" t="s">
        <v>0</v>
      </c>
    </row>
    <row r="9691" spans="1:1" x14ac:dyDescent="0.3">
      <c r="A9691" t="s">
        <v>0</v>
      </c>
    </row>
    <row r="9692" spans="1:1" x14ac:dyDescent="0.3">
      <c r="A9692" t="s">
        <v>0</v>
      </c>
    </row>
    <row r="9693" spans="1:1" x14ac:dyDescent="0.3">
      <c r="A9693" t="s">
        <v>0</v>
      </c>
    </row>
    <row r="9694" spans="1:1" x14ac:dyDescent="0.3">
      <c r="A9694" t="s">
        <v>0</v>
      </c>
    </row>
    <row r="9695" spans="1:1" x14ac:dyDescent="0.3">
      <c r="A9695" t="s">
        <v>0</v>
      </c>
    </row>
    <row r="9696" spans="1:1" x14ac:dyDescent="0.3">
      <c r="A9696" t="s">
        <v>0</v>
      </c>
    </row>
    <row r="9697" spans="1:1" x14ac:dyDescent="0.3">
      <c r="A9697" t="s">
        <v>0</v>
      </c>
    </row>
    <row r="9698" spans="1:1" x14ac:dyDescent="0.3">
      <c r="A9698" t="s">
        <v>0</v>
      </c>
    </row>
    <row r="9699" spans="1:1" x14ac:dyDescent="0.3">
      <c r="A9699" t="s">
        <v>0</v>
      </c>
    </row>
    <row r="9700" spans="1:1" x14ac:dyDescent="0.3">
      <c r="A9700" t="s">
        <v>0</v>
      </c>
    </row>
    <row r="9701" spans="1:1" x14ac:dyDescent="0.3">
      <c r="A9701" t="s">
        <v>0</v>
      </c>
    </row>
    <row r="9702" spans="1:1" x14ac:dyDescent="0.3">
      <c r="A9702" t="s">
        <v>0</v>
      </c>
    </row>
    <row r="9703" spans="1:1" x14ac:dyDescent="0.3">
      <c r="A9703" t="s">
        <v>0</v>
      </c>
    </row>
    <row r="9704" spans="1:1" x14ac:dyDescent="0.3">
      <c r="A9704" t="s">
        <v>0</v>
      </c>
    </row>
    <row r="9705" spans="1:1" x14ac:dyDescent="0.3">
      <c r="A9705" t="s">
        <v>0</v>
      </c>
    </row>
    <row r="9706" spans="1:1" x14ac:dyDescent="0.3">
      <c r="A9706" t="s">
        <v>0</v>
      </c>
    </row>
    <row r="9707" spans="1:1" x14ac:dyDescent="0.3">
      <c r="A9707" t="s">
        <v>0</v>
      </c>
    </row>
    <row r="9708" spans="1:1" x14ac:dyDescent="0.3">
      <c r="A9708" t="s">
        <v>0</v>
      </c>
    </row>
    <row r="9709" spans="1:1" x14ac:dyDescent="0.3">
      <c r="A9709" t="s">
        <v>0</v>
      </c>
    </row>
    <row r="9710" spans="1:1" x14ac:dyDescent="0.3">
      <c r="A9710" t="s">
        <v>0</v>
      </c>
    </row>
    <row r="9711" spans="1:1" x14ac:dyDescent="0.3">
      <c r="A9711" t="s">
        <v>0</v>
      </c>
    </row>
    <row r="9712" spans="1:1" x14ac:dyDescent="0.3">
      <c r="A9712" t="s">
        <v>0</v>
      </c>
    </row>
    <row r="9713" spans="1:1" x14ac:dyDescent="0.3">
      <c r="A9713" t="s">
        <v>0</v>
      </c>
    </row>
    <row r="9714" spans="1:1" x14ac:dyDescent="0.3">
      <c r="A9714" t="s">
        <v>0</v>
      </c>
    </row>
    <row r="9715" spans="1:1" x14ac:dyDescent="0.3">
      <c r="A9715" t="s">
        <v>0</v>
      </c>
    </row>
    <row r="9716" spans="1:1" x14ac:dyDescent="0.3">
      <c r="A9716" t="s">
        <v>0</v>
      </c>
    </row>
    <row r="9717" spans="1:1" x14ac:dyDescent="0.3">
      <c r="A9717" t="s">
        <v>0</v>
      </c>
    </row>
    <row r="9718" spans="1:1" x14ac:dyDescent="0.3">
      <c r="A9718" t="s">
        <v>0</v>
      </c>
    </row>
    <row r="9719" spans="1:1" x14ac:dyDescent="0.3">
      <c r="A9719" t="s">
        <v>0</v>
      </c>
    </row>
    <row r="9720" spans="1:1" x14ac:dyDescent="0.3">
      <c r="A9720" t="s">
        <v>0</v>
      </c>
    </row>
    <row r="9721" spans="1:1" x14ac:dyDescent="0.3">
      <c r="A9721" t="s">
        <v>0</v>
      </c>
    </row>
    <row r="9722" spans="1:1" x14ac:dyDescent="0.3">
      <c r="A9722" t="s">
        <v>0</v>
      </c>
    </row>
    <row r="9723" spans="1:1" x14ac:dyDescent="0.3">
      <c r="A9723" t="s">
        <v>0</v>
      </c>
    </row>
    <row r="9724" spans="1:1" x14ac:dyDescent="0.3">
      <c r="A9724" t="s">
        <v>0</v>
      </c>
    </row>
    <row r="9725" spans="1:1" x14ac:dyDescent="0.3">
      <c r="A9725" t="s">
        <v>0</v>
      </c>
    </row>
    <row r="9726" spans="1:1" x14ac:dyDescent="0.3">
      <c r="A9726" t="s">
        <v>0</v>
      </c>
    </row>
    <row r="9727" spans="1:1" x14ac:dyDescent="0.3">
      <c r="A9727" t="s">
        <v>0</v>
      </c>
    </row>
    <row r="9728" spans="1:1" x14ac:dyDescent="0.3">
      <c r="A9728" t="s">
        <v>0</v>
      </c>
    </row>
    <row r="9729" spans="1:1" x14ac:dyDescent="0.3">
      <c r="A9729" t="s">
        <v>0</v>
      </c>
    </row>
    <row r="9730" spans="1:1" x14ac:dyDescent="0.3">
      <c r="A9730" t="s">
        <v>0</v>
      </c>
    </row>
    <row r="9731" spans="1:1" x14ac:dyDescent="0.3">
      <c r="A9731" t="s">
        <v>0</v>
      </c>
    </row>
    <row r="9732" spans="1:1" x14ac:dyDescent="0.3">
      <c r="A9732" t="s">
        <v>0</v>
      </c>
    </row>
    <row r="9733" spans="1:1" x14ac:dyDescent="0.3">
      <c r="A9733" t="s">
        <v>0</v>
      </c>
    </row>
    <row r="9734" spans="1:1" x14ac:dyDescent="0.3">
      <c r="A9734" t="s">
        <v>0</v>
      </c>
    </row>
    <row r="9735" spans="1:1" x14ac:dyDescent="0.3">
      <c r="A9735" t="s">
        <v>0</v>
      </c>
    </row>
    <row r="9736" spans="1:1" x14ac:dyDescent="0.3">
      <c r="A9736" t="s">
        <v>0</v>
      </c>
    </row>
    <row r="9737" spans="1:1" x14ac:dyDescent="0.3">
      <c r="A9737" t="s">
        <v>0</v>
      </c>
    </row>
    <row r="9738" spans="1:1" x14ac:dyDescent="0.3">
      <c r="A9738" t="s">
        <v>0</v>
      </c>
    </row>
    <row r="9739" spans="1:1" x14ac:dyDescent="0.3">
      <c r="A9739" t="s">
        <v>0</v>
      </c>
    </row>
    <row r="9740" spans="1:1" x14ac:dyDescent="0.3">
      <c r="A9740" t="s">
        <v>0</v>
      </c>
    </row>
    <row r="9741" spans="1:1" x14ac:dyDescent="0.3">
      <c r="A9741" t="s">
        <v>0</v>
      </c>
    </row>
    <row r="9742" spans="1:1" x14ac:dyDescent="0.3">
      <c r="A9742" t="s">
        <v>0</v>
      </c>
    </row>
    <row r="9743" spans="1:1" x14ac:dyDescent="0.3">
      <c r="A9743" t="s">
        <v>0</v>
      </c>
    </row>
    <row r="9744" spans="1:1" x14ac:dyDescent="0.3">
      <c r="A9744" t="s">
        <v>0</v>
      </c>
    </row>
    <row r="9745" spans="1:1" x14ac:dyDescent="0.3">
      <c r="A9745" t="s">
        <v>0</v>
      </c>
    </row>
    <row r="9746" spans="1:1" x14ac:dyDescent="0.3">
      <c r="A9746" t="s">
        <v>0</v>
      </c>
    </row>
    <row r="9747" spans="1:1" x14ac:dyDescent="0.3">
      <c r="A9747" t="s">
        <v>0</v>
      </c>
    </row>
    <row r="9748" spans="1:1" x14ac:dyDescent="0.3">
      <c r="A9748" t="s">
        <v>0</v>
      </c>
    </row>
    <row r="9749" spans="1:1" x14ac:dyDescent="0.3">
      <c r="A9749" t="s">
        <v>0</v>
      </c>
    </row>
    <row r="9750" spans="1:1" x14ac:dyDescent="0.3">
      <c r="A9750" t="s">
        <v>0</v>
      </c>
    </row>
    <row r="9751" spans="1:1" x14ac:dyDescent="0.3">
      <c r="A9751" t="s">
        <v>0</v>
      </c>
    </row>
    <row r="9752" spans="1:1" x14ac:dyDescent="0.3">
      <c r="A9752" t="s">
        <v>0</v>
      </c>
    </row>
    <row r="9753" spans="1:1" x14ac:dyDescent="0.3">
      <c r="A9753" t="s">
        <v>0</v>
      </c>
    </row>
    <row r="9754" spans="1:1" x14ac:dyDescent="0.3">
      <c r="A9754" t="s">
        <v>0</v>
      </c>
    </row>
    <row r="9755" spans="1:1" x14ac:dyDescent="0.3">
      <c r="A9755" t="s">
        <v>0</v>
      </c>
    </row>
    <row r="9756" spans="1:1" x14ac:dyDescent="0.3">
      <c r="A9756" t="s">
        <v>0</v>
      </c>
    </row>
    <row r="9757" spans="1:1" x14ac:dyDescent="0.3">
      <c r="A9757" t="s">
        <v>0</v>
      </c>
    </row>
    <row r="9758" spans="1:1" x14ac:dyDescent="0.3">
      <c r="A9758" t="s">
        <v>0</v>
      </c>
    </row>
    <row r="9759" spans="1:1" x14ac:dyDescent="0.3">
      <c r="A9759" t="s">
        <v>0</v>
      </c>
    </row>
    <row r="9760" spans="1:1" x14ac:dyDescent="0.3">
      <c r="A9760" t="s">
        <v>0</v>
      </c>
    </row>
    <row r="9761" spans="1:1" x14ac:dyDescent="0.3">
      <c r="A9761" t="s">
        <v>0</v>
      </c>
    </row>
    <row r="9762" spans="1:1" x14ac:dyDescent="0.3">
      <c r="A9762" t="s">
        <v>0</v>
      </c>
    </row>
    <row r="9763" spans="1:1" x14ac:dyDescent="0.3">
      <c r="A9763" t="s">
        <v>0</v>
      </c>
    </row>
    <row r="9764" spans="1:1" x14ac:dyDescent="0.3">
      <c r="A9764" t="s">
        <v>0</v>
      </c>
    </row>
    <row r="9765" spans="1:1" x14ac:dyDescent="0.3">
      <c r="A9765" t="s">
        <v>0</v>
      </c>
    </row>
    <row r="9766" spans="1:1" x14ac:dyDescent="0.3">
      <c r="A9766" t="s">
        <v>0</v>
      </c>
    </row>
    <row r="9767" spans="1:1" x14ac:dyDescent="0.3">
      <c r="A9767" t="s">
        <v>0</v>
      </c>
    </row>
    <row r="9768" spans="1:1" x14ac:dyDescent="0.3">
      <c r="A9768" t="s">
        <v>0</v>
      </c>
    </row>
    <row r="9769" spans="1:1" x14ac:dyDescent="0.3">
      <c r="A9769" t="s">
        <v>0</v>
      </c>
    </row>
    <row r="9770" spans="1:1" x14ac:dyDescent="0.3">
      <c r="A9770" t="s">
        <v>0</v>
      </c>
    </row>
    <row r="9771" spans="1:1" x14ac:dyDescent="0.3">
      <c r="A9771" t="s">
        <v>0</v>
      </c>
    </row>
    <row r="9772" spans="1:1" x14ac:dyDescent="0.3">
      <c r="A9772" t="s">
        <v>0</v>
      </c>
    </row>
    <row r="9773" spans="1:1" x14ac:dyDescent="0.3">
      <c r="A9773" t="s">
        <v>0</v>
      </c>
    </row>
    <row r="9774" spans="1:1" x14ac:dyDescent="0.3">
      <c r="A9774" t="s">
        <v>0</v>
      </c>
    </row>
    <row r="9775" spans="1:1" x14ac:dyDescent="0.3">
      <c r="A9775" t="s">
        <v>0</v>
      </c>
    </row>
    <row r="9776" spans="1:1" x14ac:dyDescent="0.3">
      <c r="A9776" t="s">
        <v>0</v>
      </c>
    </row>
    <row r="9777" spans="1:1" x14ac:dyDescent="0.3">
      <c r="A9777" t="s">
        <v>0</v>
      </c>
    </row>
    <row r="9778" spans="1:1" x14ac:dyDescent="0.3">
      <c r="A9778" t="s">
        <v>0</v>
      </c>
    </row>
    <row r="9779" spans="1:1" x14ac:dyDescent="0.3">
      <c r="A9779" t="s">
        <v>0</v>
      </c>
    </row>
    <row r="9780" spans="1:1" x14ac:dyDescent="0.3">
      <c r="A9780" t="s">
        <v>0</v>
      </c>
    </row>
    <row r="9781" spans="1:1" x14ac:dyDescent="0.3">
      <c r="A9781" t="s">
        <v>0</v>
      </c>
    </row>
    <row r="9782" spans="1:1" x14ac:dyDescent="0.3">
      <c r="A9782" t="s">
        <v>0</v>
      </c>
    </row>
    <row r="9783" spans="1:1" x14ac:dyDescent="0.3">
      <c r="A9783" t="s">
        <v>0</v>
      </c>
    </row>
    <row r="9784" spans="1:1" x14ac:dyDescent="0.3">
      <c r="A9784" t="s">
        <v>0</v>
      </c>
    </row>
    <row r="9785" spans="1:1" x14ac:dyDescent="0.3">
      <c r="A9785" t="s">
        <v>0</v>
      </c>
    </row>
    <row r="9786" spans="1:1" x14ac:dyDescent="0.3">
      <c r="A9786" t="s">
        <v>0</v>
      </c>
    </row>
    <row r="9787" spans="1:1" x14ac:dyDescent="0.3">
      <c r="A9787" t="s">
        <v>0</v>
      </c>
    </row>
    <row r="9788" spans="1:1" x14ac:dyDescent="0.3">
      <c r="A9788" t="s">
        <v>0</v>
      </c>
    </row>
    <row r="9789" spans="1:1" x14ac:dyDescent="0.3">
      <c r="A9789" t="s">
        <v>0</v>
      </c>
    </row>
    <row r="9790" spans="1:1" x14ac:dyDescent="0.3">
      <c r="A9790" t="s">
        <v>0</v>
      </c>
    </row>
    <row r="9791" spans="1:1" x14ac:dyDescent="0.3">
      <c r="A9791" t="s">
        <v>0</v>
      </c>
    </row>
    <row r="9792" spans="1:1" x14ac:dyDescent="0.3">
      <c r="A9792" t="s">
        <v>0</v>
      </c>
    </row>
    <row r="9793" spans="1:1" x14ac:dyDescent="0.3">
      <c r="A9793" t="s">
        <v>0</v>
      </c>
    </row>
    <row r="9794" spans="1:1" x14ac:dyDescent="0.3">
      <c r="A9794" t="s">
        <v>0</v>
      </c>
    </row>
    <row r="9795" spans="1:1" x14ac:dyDescent="0.3">
      <c r="A9795" t="s">
        <v>0</v>
      </c>
    </row>
    <row r="9796" spans="1:1" x14ac:dyDescent="0.3">
      <c r="A9796" t="s">
        <v>0</v>
      </c>
    </row>
    <row r="9797" spans="1:1" x14ac:dyDescent="0.3">
      <c r="A9797" t="s">
        <v>0</v>
      </c>
    </row>
    <row r="9798" spans="1:1" x14ac:dyDescent="0.3">
      <c r="A9798" t="s">
        <v>0</v>
      </c>
    </row>
    <row r="9799" spans="1:1" x14ac:dyDescent="0.3">
      <c r="A9799" t="s">
        <v>0</v>
      </c>
    </row>
    <row r="9800" spans="1:1" x14ac:dyDescent="0.3">
      <c r="A9800" t="s">
        <v>0</v>
      </c>
    </row>
    <row r="9801" spans="1:1" x14ac:dyDescent="0.3">
      <c r="A9801" t="s">
        <v>0</v>
      </c>
    </row>
    <row r="9802" spans="1:1" x14ac:dyDescent="0.3">
      <c r="A9802" t="s">
        <v>0</v>
      </c>
    </row>
    <row r="9803" spans="1:1" x14ac:dyDescent="0.3">
      <c r="A9803" t="s">
        <v>0</v>
      </c>
    </row>
    <row r="9804" spans="1:1" x14ac:dyDescent="0.3">
      <c r="A9804" t="s">
        <v>0</v>
      </c>
    </row>
    <row r="9805" spans="1:1" x14ac:dyDescent="0.3">
      <c r="A9805" t="s">
        <v>0</v>
      </c>
    </row>
    <row r="9806" spans="1:1" x14ac:dyDescent="0.3">
      <c r="A9806" t="s">
        <v>0</v>
      </c>
    </row>
    <row r="9807" spans="1:1" x14ac:dyDescent="0.3">
      <c r="A9807" t="s">
        <v>0</v>
      </c>
    </row>
    <row r="9808" spans="1:1" x14ac:dyDescent="0.3">
      <c r="A9808" t="s">
        <v>0</v>
      </c>
    </row>
    <row r="9809" spans="1:1" x14ac:dyDescent="0.3">
      <c r="A9809" t="s">
        <v>0</v>
      </c>
    </row>
    <row r="9810" spans="1:1" x14ac:dyDescent="0.3">
      <c r="A9810" t="s">
        <v>0</v>
      </c>
    </row>
    <row r="9811" spans="1:1" x14ac:dyDescent="0.3">
      <c r="A9811" t="s">
        <v>0</v>
      </c>
    </row>
    <row r="9812" spans="1:1" x14ac:dyDescent="0.3">
      <c r="A9812" t="s">
        <v>0</v>
      </c>
    </row>
    <row r="9813" spans="1:1" x14ac:dyDescent="0.3">
      <c r="A9813" t="s">
        <v>0</v>
      </c>
    </row>
    <row r="9814" spans="1:1" x14ac:dyDescent="0.3">
      <c r="A9814" t="s">
        <v>0</v>
      </c>
    </row>
    <row r="9815" spans="1:1" x14ac:dyDescent="0.3">
      <c r="A9815" t="s">
        <v>0</v>
      </c>
    </row>
    <row r="9816" spans="1:1" x14ac:dyDescent="0.3">
      <c r="A9816" t="s">
        <v>0</v>
      </c>
    </row>
    <row r="9817" spans="1:1" x14ac:dyDescent="0.3">
      <c r="A9817" t="s">
        <v>0</v>
      </c>
    </row>
    <row r="9818" spans="1:1" x14ac:dyDescent="0.3">
      <c r="A9818" t="s">
        <v>0</v>
      </c>
    </row>
    <row r="9819" spans="1:1" x14ac:dyDescent="0.3">
      <c r="A9819" t="s">
        <v>0</v>
      </c>
    </row>
    <row r="9820" spans="1:1" x14ac:dyDescent="0.3">
      <c r="A9820" t="s">
        <v>0</v>
      </c>
    </row>
    <row r="9821" spans="1:1" x14ac:dyDescent="0.3">
      <c r="A9821" t="s">
        <v>0</v>
      </c>
    </row>
    <row r="9822" spans="1:1" x14ac:dyDescent="0.3">
      <c r="A9822" t="s">
        <v>0</v>
      </c>
    </row>
    <row r="9823" spans="1:1" x14ac:dyDescent="0.3">
      <c r="A9823" t="s">
        <v>0</v>
      </c>
    </row>
    <row r="9824" spans="1:1" x14ac:dyDescent="0.3">
      <c r="A9824" t="s">
        <v>0</v>
      </c>
    </row>
    <row r="9825" spans="1:1" x14ac:dyDescent="0.3">
      <c r="A9825" t="s">
        <v>0</v>
      </c>
    </row>
    <row r="9826" spans="1:1" x14ac:dyDescent="0.3">
      <c r="A9826" t="s">
        <v>0</v>
      </c>
    </row>
    <row r="9827" spans="1:1" x14ac:dyDescent="0.3">
      <c r="A9827" t="s">
        <v>0</v>
      </c>
    </row>
    <row r="9828" spans="1:1" x14ac:dyDescent="0.3">
      <c r="A9828" t="s">
        <v>0</v>
      </c>
    </row>
    <row r="9829" spans="1:1" x14ac:dyDescent="0.3">
      <c r="A9829" t="s">
        <v>0</v>
      </c>
    </row>
    <row r="9830" spans="1:1" x14ac:dyDescent="0.3">
      <c r="A9830" t="s">
        <v>0</v>
      </c>
    </row>
    <row r="9831" spans="1:1" x14ac:dyDescent="0.3">
      <c r="A9831" t="s">
        <v>0</v>
      </c>
    </row>
    <row r="9832" spans="1:1" x14ac:dyDescent="0.3">
      <c r="A9832" t="s">
        <v>0</v>
      </c>
    </row>
    <row r="9833" spans="1:1" x14ac:dyDescent="0.3">
      <c r="A9833" t="s">
        <v>0</v>
      </c>
    </row>
    <row r="9834" spans="1:1" x14ac:dyDescent="0.3">
      <c r="A9834" t="s">
        <v>0</v>
      </c>
    </row>
    <row r="9835" spans="1:1" x14ac:dyDescent="0.3">
      <c r="A9835" t="s">
        <v>0</v>
      </c>
    </row>
    <row r="9836" spans="1:1" x14ac:dyDescent="0.3">
      <c r="A9836" t="s">
        <v>0</v>
      </c>
    </row>
    <row r="9837" spans="1:1" x14ac:dyDescent="0.3">
      <c r="A9837" t="s">
        <v>0</v>
      </c>
    </row>
    <row r="9838" spans="1:1" x14ac:dyDescent="0.3">
      <c r="A9838" t="s">
        <v>0</v>
      </c>
    </row>
    <row r="9839" spans="1:1" x14ac:dyDescent="0.3">
      <c r="A9839" t="s">
        <v>0</v>
      </c>
    </row>
    <row r="9840" spans="1:1" x14ac:dyDescent="0.3">
      <c r="A9840" t="s">
        <v>0</v>
      </c>
    </row>
    <row r="9841" spans="1:1" x14ac:dyDescent="0.3">
      <c r="A9841" t="s">
        <v>0</v>
      </c>
    </row>
    <row r="9842" spans="1:1" x14ac:dyDescent="0.3">
      <c r="A9842" t="s">
        <v>0</v>
      </c>
    </row>
    <row r="9843" spans="1:1" x14ac:dyDescent="0.3">
      <c r="A9843" t="s">
        <v>0</v>
      </c>
    </row>
    <row r="9844" spans="1:1" x14ac:dyDescent="0.3">
      <c r="A9844" t="s">
        <v>0</v>
      </c>
    </row>
    <row r="9845" spans="1:1" x14ac:dyDescent="0.3">
      <c r="A9845" t="s">
        <v>0</v>
      </c>
    </row>
    <row r="9846" spans="1:1" x14ac:dyDescent="0.3">
      <c r="A9846" t="s">
        <v>0</v>
      </c>
    </row>
    <row r="9847" spans="1:1" x14ac:dyDescent="0.3">
      <c r="A9847" t="s">
        <v>0</v>
      </c>
    </row>
    <row r="9848" spans="1:1" x14ac:dyDescent="0.3">
      <c r="A9848" t="s">
        <v>0</v>
      </c>
    </row>
    <row r="9849" spans="1:1" x14ac:dyDescent="0.3">
      <c r="A9849" t="s">
        <v>0</v>
      </c>
    </row>
    <row r="9850" spans="1:1" x14ac:dyDescent="0.3">
      <c r="A9850" t="s">
        <v>0</v>
      </c>
    </row>
    <row r="9851" spans="1:1" x14ac:dyDescent="0.3">
      <c r="A9851" t="s">
        <v>0</v>
      </c>
    </row>
    <row r="9852" spans="1:1" x14ac:dyDescent="0.3">
      <c r="A9852" t="s">
        <v>0</v>
      </c>
    </row>
    <row r="9853" spans="1:1" x14ac:dyDescent="0.3">
      <c r="A9853" t="s">
        <v>0</v>
      </c>
    </row>
    <row r="9854" spans="1:1" x14ac:dyDescent="0.3">
      <c r="A9854" t="s">
        <v>0</v>
      </c>
    </row>
    <row r="9855" spans="1:1" x14ac:dyDescent="0.3">
      <c r="A9855" t="s">
        <v>0</v>
      </c>
    </row>
    <row r="9856" spans="1:1" x14ac:dyDescent="0.3">
      <c r="A9856" t="s">
        <v>0</v>
      </c>
    </row>
    <row r="9857" spans="1:1" x14ac:dyDescent="0.3">
      <c r="A9857" t="s">
        <v>0</v>
      </c>
    </row>
    <row r="9858" spans="1:1" x14ac:dyDescent="0.3">
      <c r="A9858" t="s">
        <v>0</v>
      </c>
    </row>
    <row r="9859" spans="1:1" x14ac:dyDescent="0.3">
      <c r="A9859" t="s">
        <v>0</v>
      </c>
    </row>
    <row r="9860" spans="1:1" x14ac:dyDescent="0.3">
      <c r="A9860" t="s">
        <v>0</v>
      </c>
    </row>
    <row r="9861" spans="1:1" x14ac:dyDescent="0.3">
      <c r="A9861" t="s">
        <v>0</v>
      </c>
    </row>
    <row r="9862" spans="1:1" x14ac:dyDescent="0.3">
      <c r="A9862" t="s">
        <v>0</v>
      </c>
    </row>
    <row r="9863" spans="1:1" x14ac:dyDescent="0.3">
      <c r="A9863" t="s">
        <v>0</v>
      </c>
    </row>
    <row r="9864" spans="1:1" x14ac:dyDescent="0.3">
      <c r="A9864" t="s">
        <v>0</v>
      </c>
    </row>
    <row r="9865" spans="1:1" x14ac:dyDescent="0.3">
      <c r="A9865" t="s">
        <v>0</v>
      </c>
    </row>
    <row r="9866" spans="1:1" x14ac:dyDescent="0.3">
      <c r="A9866" t="s">
        <v>0</v>
      </c>
    </row>
    <row r="9867" spans="1:1" x14ac:dyDescent="0.3">
      <c r="A9867" t="s">
        <v>0</v>
      </c>
    </row>
    <row r="9868" spans="1:1" x14ac:dyDescent="0.3">
      <c r="A9868" t="s">
        <v>0</v>
      </c>
    </row>
    <row r="9869" spans="1:1" x14ac:dyDescent="0.3">
      <c r="A9869" t="s">
        <v>0</v>
      </c>
    </row>
    <row r="9870" spans="1:1" x14ac:dyDescent="0.3">
      <c r="A9870" t="s">
        <v>0</v>
      </c>
    </row>
    <row r="9871" spans="1:1" x14ac:dyDescent="0.3">
      <c r="A9871" t="s">
        <v>0</v>
      </c>
    </row>
    <row r="9872" spans="1:1" x14ac:dyDescent="0.3">
      <c r="A9872" t="s">
        <v>0</v>
      </c>
    </row>
    <row r="9873" spans="1:1" x14ac:dyDescent="0.3">
      <c r="A9873" t="s">
        <v>0</v>
      </c>
    </row>
    <row r="9874" spans="1:1" x14ac:dyDescent="0.3">
      <c r="A9874" t="s">
        <v>0</v>
      </c>
    </row>
    <row r="9875" spans="1:1" x14ac:dyDescent="0.3">
      <c r="A9875" t="s">
        <v>0</v>
      </c>
    </row>
    <row r="9876" spans="1:1" x14ac:dyDescent="0.3">
      <c r="A9876" t="s">
        <v>0</v>
      </c>
    </row>
    <row r="9877" spans="1:1" x14ac:dyDescent="0.3">
      <c r="A9877" t="s">
        <v>0</v>
      </c>
    </row>
    <row r="9878" spans="1:1" x14ac:dyDescent="0.3">
      <c r="A9878" t="s">
        <v>0</v>
      </c>
    </row>
    <row r="9879" spans="1:1" x14ac:dyDescent="0.3">
      <c r="A9879" t="s">
        <v>0</v>
      </c>
    </row>
    <row r="9880" spans="1:1" x14ac:dyDescent="0.3">
      <c r="A9880" t="s">
        <v>0</v>
      </c>
    </row>
    <row r="9881" spans="1:1" x14ac:dyDescent="0.3">
      <c r="A9881" t="s">
        <v>0</v>
      </c>
    </row>
    <row r="9882" spans="1:1" x14ac:dyDescent="0.3">
      <c r="A9882" t="s">
        <v>0</v>
      </c>
    </row>
    <row r="9883" spans="1:1" x14ac:dyDescent="0.3">
      <c r="A9883" t="s">
        <v>0</v>
      </c>
    </row>
    <row r="9884" spans="1:1" x14ac:dyDescent="0.3">
      <c r="A9884" t="s">
        <v>0</v>
      </c>
    </row>
    <row r="9885" spans="1:1" x14ac:dyDescent="0.3">
      <c r="A9885" t="s">
        <v>0</v>
      </c>
    </row>
    <row r="9886" spans="1:1" x14ac:dyDescent="0.3">
      <c r="A9886" t="s">
        <v>0</v>
      </c>
    </row>
    <row r="9887" spans="1:1" x14ac:dyDescent="0.3">
      <c r="A9887" t="s">
        <v>0</v>
      </c>
    </row>
    <row r="9888" spans="1:1" x14ac:dyDescent="0.3">
      <c r="A9888" t="s">
        <v>0</v>
      </c>
    </row>
    <row r="9889" spans="1:1" x14ac:dyDescent="0.3">
      <c r="A9889" t="s">
        <v>0</v>
      </c>
    </row>
    <row r="9890" spans="1:1" x14ac:dyDescent="0.3">
      <c r="A9890" t="s">
        <v>0</v>
      </c>
    </row>
    <row r="9891" spans="1:1" x14ac:dyDescent="0.3">
      <c r="A9891" t="s">
        <v>0</v>
      </c>
    </row>
    <row r="9892" spans="1:1" x14ac:dyDescent="0.3">
      <c r="A9892" t="s">
        <v>0</v>
      </c>
    </row>
    <row r="9893" spans="1:1" x14ac:dyDescent="0.3">
      <c r="A9893" t="s">
        <v>0</v>
      </c>
    </row>
    <row r="9894" spans="1:1" x14ac:dyDescent="0.3">
      <c r="A9894" t="s">
        <v>0</v>
      </c>
    </row>
    <row r="9895" spans="1:1" x14ac:dyDescent="0.3">
      <c r="A9895" t="s">
        <v>0</v>
      </c>
    </row>
    <row r="9896" spans="1:1" x14ac:dyDescent="0.3">
      <c r="A9896" t="s">
        <v>0</v>
      </c>
    </row>
    <row r="9897" spans="1:1" x14ac:dyDescent="0.3">
      <c r="A9897" t="s">
        <v>0</v>
      </c>
    </row>
    <row r="9898" spans="1:1" x14ac:dyDescent="0.3">
      <c r="A9898" t="s">
        <v>0</v>
      </c>
    </row>
    <row r="9899" spans="1:1" x14ac:dyDescent="0.3">
      <c r="A9899" t="s">
        <v>0</v>
      </c>
    </row>
    <row r="9900" spans="1:1" x14ac:dyDescent="0.3">
      <c r="A9900" t="s">
        <v>0</v>
      </c>
    </row>
    <row r="9901" spans="1:1" x14ac:dyDescent="0.3">
      <c r="A9901" t="s">
        <v>0</v>
      </c>
    </row>
    <row r="9902" spans="1:1" x14ac:dyDescent="0.3">
      <c r="A9902" t="s">
        <v>0</v>
      </c>
    </row>
    <row r="9903" spans="1:1" x14ac:dyDescent="0.3">
      <c r="A9903" t="s">
        <v>0</v>
      </c>
    </row>
    <row r="9904" spans="1:1" x14ac:dyDescent="0.3">
      <c r="A9904" t="s">
        <v>0</v>
      </c>
    </row>
    <row r="9905" spans="1:1" x14ac:dyDescent="0.3">
      <c r="A9905" t="s">
        <v>0</v>
      </c>
    </row>
    <row r="9906" spans="1:1" x14ac:dyDescent="0.3">
      <c r="A9906" t="s">
        <v>0</v>
      </c>
    </row>
    <row r="9907" spans="1:1" x14ac:dyDescent="0.3">
      <c r="A9907" t="s">
        <v>0</v>
      </c>
    </row>
    <row r="9908" spans="1:1" x14ac:dyDescent="0.3">
      <c r="A9908" t="s">
        <v>0</v>
      </c>
    </row>
    <row r="9909" spans="1:1" x14ac:dyDescent="0.3">
      <c r="A9909" t="s">
        <v>0</v>
      </c>
    </row>
    <row r="9910" spans="1:1" x14ac:dyDescent="0.3">
      <c r="A9910" t="s">
        <v>0</v>
      </c>
    </row>
    <row r="9911" spans="1:1" x14ac:dyDescent="0.3">
      <c r="A9911" t="s">
        <v>0</v>
      </c>
    </row>
    <row r="9912" spans="1:1" x14ac:dyDescent="0.3">
      <c r="A9912" t="s">
        <v>0</v>
      </c>
    </row>
    <row r="9913" spans="1:1" x14ac:dyDescent="0.3">
      <c r="A9913" t="s">
        <v>0</v>
      </c>
    </row>
    <row r="9914" spans="1:1" x14ac:dyDescent="0.3">
      <c r="A9914" t="s">
        <v>0</v>
      </c>
    </row>
    <row r="9915" spans="1:1" x14ac:dyDescent="0.3">
      <c r="A9915" t="s">
        <v>0</v>
      </c>
    </row>
    <row r="9916" spans="1:1" x14ac:dyDescent="0.3">
      <c r="A9916" t="s">
        <v>0</v>
      </c>
    </row>
    <row r="9917" spans="1:1" x14ac:dyDescent="0.3">
      <c r="A9917" t="s">
        <v>0</v>
      </c>
    </row>
    <row r="9918" spans="1:1" x14ac:dyDescent="0.3">
      <c r="A9918" t="s">
        <v>0</v>
      </c>
    </row>
    <row r="9919" spans="1:1" x14ac:dyDescent="0.3">
      <c r="A9919" t="s">
        <v>0</v>
      </c>
    </row>
    <row r="9920" spans="1:1" x14ac:dyDescent="0.3">
      <c r="A9920" t="s">
        <v>0</v>
      </c>
    </row>
    <row r="9921" spans="1:1" x14ac:dyDescent="0.3">
      <c r="A9921" t="s">
        <v>0</v>
      </c>
    </row>
    <row r="9922" spans="1:1" x14ac:dyDescent="0.3">
      <c r="A9922" t="s">
        <v>0</v>
      </c>
    </row>
    <row r="9923" spans="1:1" x14ac:dyDescent="0.3">
      <c r="A9923" t="s">
        <v>0</v>
      </c>
    </row>
    <row r="9924" spans="1:1" x14ac:dyDescent="0.3">
      <c r="A9924" t="s">
        <v>0</v>
      </c>
    </row>
    <row r="9925" spans="1:1" x14ac:dyDescent="0.3">
      <c r="A9925" t="s">
        <v>0</v>
      </c>
    </row>
    <row r="9926" spans="1:1" x14ac:dyDescent="0.3">
      <c r="A9926" t="s">
        <v>0</v>
      </c>
    </row>
    <row r="9927" spans="1:1" x14ac:dyDescent="0.3">
      <c r="A9927" t="s">
        <v>0</v>
      </c>
    </row>
    <row r="9928" spans="1:1" x14ac:dyDescent="0.3">
      <c r="A9928" t="s">
        <v>0</v>
      </c>
    </row>
    <row r="9929" spans="1:1" x14ac:dyDescent="0.3">
      <c r="A9929" t="s">
        <v>0</v>
      </c>
    </row>
    <row r="9930" spans="1:1" x14ac:dyDescent="0.3">
      <c r="A9930" t="s">
        <v>0</v>
      </c>
    </row>
    <row r="9931" spans="1:1" x14ac:dyDescent="0.3">
      <c r="A9931" t="s">
        <v>0</v>
      </c>
    </row>
    <row r="9932" spans="1:1" x14ac:dyDescent="0.3">
      <c r="A9932" t="s">
        <v>0</v>
      </c>
    </row>
    <row r="9933" spans="1:1" x14ac:dyDescent="0.3">
      <c r="A9933" t="s">
        <v>0</v>
      </c>
    </row>
    <row r="9934" spans="1:1" x14ac:dyDescent="0.3">
      <c r="A9934" t="s">
        <v>0</v>
      </c>
    </row>
    <row r="9935" spans="1:1" x14ac:dyDescent="0.3">
      <c r="A9935" t="s">
        <v>0</v>
      </c>
    </row>
    <row r="9936" spans="1:1" x14ac:dyDescent="0.3">
      <c r="A9936" t="s">
        <v>0</v>
      </c>
    </row>
    <row r="9937" spans="1:1" x14ac:dyDescent="0.3">
      <c r="A9937" t="s">
        <v>0</v>
      </c>
    </row>
    <row r="9938" spans="1:1" x14ac:dyDescent="0.3">
      <c r="A9938" t="s">
        <v>0</v>
      </c>
    </row>
    <row r="9939" spans="1:1" x14ac:dyDescent="0.3">
      <c r="A9939" t="s">
        <v>0</v>
      </c>
    </row>
    <row r="9940" spans="1:1" x14ac:dyDescent="0.3">
      <c r="A9940" t="s">
        <v>0</v>
      </c>
    </row>
    <row r="9941" spans="1:1" x14ac:dyDescent="0.3">
      <c r="A9941" t="s">
        <v>0</v>
      </c>
    </row>
    <row r="9942" spans="1:1" x14ac:dyDescent="0.3">
      <c r="A9942" t="s">
        <v>0</v>
      </c>
    </row>
    <row r="9943" spans="1:1" x14ac:dyDescent="0.3">
      <c r="A9943" t="s">
        <v>0</v>
      </c>
    </row>
    <row r="9944" spans="1:1" x14ac:dyDescent="0.3">
      <c r="A9944" t="s">
        <v>0</v>
      </c>
    </row>
    <row r="9945" spans="1:1" x14ac:dyDescent="0.3">
      <c r="A9945" t="s">
        <v>0</v>
      </c>
    </row>
    <row r="9946" spans="1:1" x14ac:dyDescent="0.3">
      <c r="A9946" t="s">
        <v>0</v>
      </c>
    </row>
    <row r="9947" spans="1:1" x14ac:dyDescent="0.3">
      <c r="A9947" t="s">
        <v>0</v>
      </c>
    </row>
    <row r="9948" spans="1:1" x14ac:dyDescent="0.3">
      <c r="A9948" t="s">
        <v>0</v>
      </c>
    </row>
    <row r="9949" spans="1:1" x14ac:dyDescent="0.3">
      <c r="A9949" t="s">
        <v>0</v>
      </c>
    </row>
    <row r="9950" spans="1:1" x14ac:dyDescent="0.3">
      <c r="A9950" t="s">
        <v>0</v>
      </c>
    </row>
    <row r="9951" spans="1:1" x14ac:dyDescent="0.3">
      <c r="A9951" t="s">
        <v>0</v>
      </c>
    </row>
    <row r="9952" spans="1:1" x14ac:dyDescent="0.3">
      <c r="A9952" t="s">
        <v>0</v>
      </c>
    </row>
    <row r="9953" spans="1:1" x14ac:dyDescent="0.3">
      <c r="A9953" t="s">
        <v>0</v>
      </c>
    </row>
    <row r="9954" spans="1:1" x14ac:dyDescent="0.3">
      <c r="A9954" t="s">
        <v>0</v>
      </c>
    </row>
    <row r="9955" spans="1:1" x14ac:dyDescent="0.3">
      <c r="A9955" t="s">
        <v>0</v>
      </c>
    </row>
    <row r="9956" spans="1:1" x14ac:dyDescent="0.3">
      <c r="A9956" t="s">
        <v>0</v>
      </c>
    </row>
    <row r="9957" spans="1:1" x14ac:dyDescent="0.3">
      <c r="A9957" t="s">
        <v>0</v>
      </c>
    </row>
    <row r="9958" spans="1:1" x14ac:dyDescent="0.3">
      <c r="A9958" t="s">
        <v>0</v>
      </c>
    </row>
    <row r="9959" spans="1:1" x14ac:dyDescent="0.3">
      <c r="A9959" t="s">
        <v>0</v>
      </c>
    </row>
    <row r="9960" spans="1:1" x14ac:dyDescent="0.3">
      <c r="A9960" t="s">
        <v>0</v>
      </c>
    </row>
    <row r="9961" spans="1:1" x14ac:dyDescent="0.3">
      <c r="A9961" t="s">
        <v>0</v>
      </c>
    </row>
    <row r="9962" spans="1:1" x14ac:dyDescent="0.3">
      <c r="A9962" t="s">
        <v>0</v>
      </c>
    </row>
    <row r="9963" spans="1:1" x14ac:dyDescent="0.3">
      <c r="A9963" t="s">
        <v>0</v>
      </c>
    </row>
    <row r="9964" spans="1:1" x14ac:dyDescent="0.3">
      <c r="A9964" t="s">
        <v>0</v>
      </c>
    </row>
    <row r="9965" spans="1:1" x14ac:dyDescent="0.3">
      <c r="A9965" t="s">
        <v>0</v>
      </c>
    </row>
    <row r="9966" spans="1:1" x14ac:dyDescent="0.3">
      <c r="A9966" t="s">
        <v>0</v>
      </c>
    </row>
    <row r="9967" spans="1:1" x14ac:dyDescent="0.3">
      <c r="A9967" t="s">
        <v>0</v>
      </c>
    </row>
    <row r="9968" spans="1:1" x14ac:dyDescent="0.3">
      <c r="A9968" t="s">
        <v>0</v>
      </c>
    </row>
    <row r="9969" spans="1:1" x14ac:dyDescent="0.3">
      <c r="A9969" t="s">
        <v>0</v>
      </c>
    </row>
    <row r="9970" spans="1:1" x14ac:dyDescent="0.3">
      <c r="A9970" t="s">
        <v>0</v>
      </c>
    </row>
    <row r="9971" spans="1:1" x14ac:dyDescent="0.3">
      <c r="A9971" t="s">
        <v>0</v>
      </c>
    </row>
    <row r="9972" spans="1:1" x14ac:dyDescent="0.3">
      <c r="A9972" t="s">
        <v>0</v>
      </c>
    </row>
    <row r="9973" spans="1:1" x14ac:dyDescent="0.3">
      <c r="A9973" t="s">
        <v>0</v>
      </c>
    </row>
    <row r="9974" spans="1:1" x14ac:dyDescent="0.3">
      <c r="A9974" t="s">
        <v>0</v>
      </c>
    </row>
    <row r="9975" spans="1:1" x14ac:dyDescent="0.3">
      <c r="A9975" t="s">
        <v>0</v>
      </c>
    </row>
    <row r="9976" spans="1:1" x14ac:dyDescent="0.3">
      <c r="A9976" t="s">
        <v>0</v>
      </c>
    </row>
    <row r="9977" spans="1:1" x14ac:dyDescent="0.3">
      <c r="A9977" t="s">
        <v>0</v>
      </c>
    </row>
    <row r="9978" spans="1:1" x14ac:dyDescent="0.3">
      <c r="A9978" t="s">
        <v>0</v>
      </c>
    </row>
    <row r="9979" spans="1:1" x14ac:dyDescent="0.3">
      <c r="A9979" t="s">
        <v>0</v>
      </c>
    </row>
    <row r="9980" spans="1:1" x14ac:dyDescent="0.3">
      <c r="A9980" t="s">
        <v>0</v>
      </c>
    </row>
    <row r="9981" spans="1:1" x14ac:dyDescent="0.3">
      <c r="A9981" t="s">
        <v>0</v>
      </c>
    </row>
    <row r="9982" spans="1:1" x14ac:dyDescent="0.3">
      <c r="A9982" t="s">
        <v>0</v>
      </c>
    </row>
    <row r="9983" spans="1:1" x14ac:dyDescent="0.3">
      <c r="A9983" t="s">
        <v>0</v>
      </c>
    </row>
    <row r="9984" spans="1:1" x14ac:dyDescent="0.3">
      <c r="A9984" t="s">
        <v>0</v>
      </c>
    </row>
    <row r="9985" spans="1:1" x14ac:dyDescent="0.3">
      <c r="A9985" t="s">
        <v>0</v>
      </c>
    </row>
    <row r="9986" spans="1:1" x14ac:dyDescent="0.3">
      <c r="A9986" t="s">
        <v>0</v>
      </c>
    </row>
    <row r="9987" spans="1:1" x14ac:dyDescent="0.3">
      <c r="A9987" t="s">
        <v>0</v>
      </c>
    </row>
    <row r="9988" spans="1:1" x14ac:dyDescent="0.3">
      <c r="A9988" t="s">
        <v>0</v>
      </c>
    </row>
    <row r="9989" spans="1:1" x14ac:dyDescent="0.3">
      <c r="A9989" t="s">
        <v>0</v>
      </c>
    </row>
    <row r="9990" spans="1:1" x14ac:dyDescent="0.3">
      <c r="A9990" t="s">
        <v>0</v>
      </c>
    </row>
    <row r="9991" spans="1:1" x14ac:dyDescent="0.3">
      <c r="A9991" t="s">
        <v>0</v>
      </c>
    </row>
    <row r="9992" spans="1:1" x14ac:dyDescent="0.3">
      <c r="A9992" t="s">
        <v>0</v>
      </c>
    </row>
    <row r="9993" spans="1:1" x14ac:dyDescent="0.3">
      <c r="A9993" t="s">
        <v>0</v>
      </c>
    </row>
    <row r="9994" spans="1:1" x14ac:dyDescent="0.3">
      <c r="A9994" t="s">
        <v>0</v>
      </c>
    </row>
    <row r="9995" spans="1:1" x14ac:dyDescent="0.3">
      <c r="A9995" t="s">
        <v>0</v>
      </c>
    </row>
    <row r="9996" spans="1:1" x14ac:dyDescent="0.3">
      <c r="A9996" t="s">
        <v>0</v>
      </c>
    </row>
    <row r="9997" spans="1:1" x14ac:dyDescent="0.3">
      <c r="A9997" t="s">
        <v>0</v>
      </c>
    </row>
    <row r="9998" spans="1:1" x14ac:dyDescent="0.3">
      <c r="A9998" t="s">
        <v>0</v>
      </c>
    </row>
    <row r="9999" spans="1:1" x14ac:dyDescent="0.3">
      <c r="A9999" t="s">
        <v>0</v>
      </c>
    </row>
    <row r="10000" spans="1:1" x14ac:dyDescent="0.3">
      <c r="A10000" t="s">
        <v>0</v>
      </c>
    </row>
    <row r="10001" spans="1:1" x14ac:dyDescent="0.3">
      <c r="A10001" t="s">
        <v>0</v>
      </c>
    </row>
    <row r="10002" spans="1:1" x14ac:dyDescent="0.3">
      <c r="A10002" t="s">
        <v>0</v>
      </c>
    </row>
    <row r="10003" spans="1:1" x14ac:dyDescent="0.3">
      <c r="A10003" t="s">
        <v>0</v>
      </c>
    </row>
    <row r="10004" spans="1:1" x14ac:dyDescent="0.3">
      <c r="A10004" t="s">
        <v>0</v>
      </c>
    </row>
    <row r="10005" spans="1:1" x14ac:dyDescent="0.3">
      <c r="A10005" t="s">
        <v>0</v>
      </c>
    </row>
    <row r="10006" spans="1:1" x14ac:dyDescent="0.3">
      <c r="A10006" t="s">
        <v>0</v>
      </c>
    </row>
    <row r="10007" spans="1:1" x14ac:dyDescent="0.3">
      <c r="A10007" t="s">
        <v>0</v>
      </c>
    </row>
    <row r="10008" spans="1:1" x14ac:dyDescent="0.3">
      <c r="A10008" t="s">
        <v>0</v>
      </c>
    </row>
    <row r="10009" spans="1:1" x14ac:dyDescent="0.3">
      <c r="A10009" t="s">
        <v>0</v>
      </c>
    </row>
    <row r="10010" spans="1:1" x14ac:dyDescent="0.3">
      <c r="A10010" t="s">
        <v>0</v>
      </c>
    </row>
    <row r="10011" spans="1:1" x14ac:dyDescent="0.3">
      <c r="A10011" t="s">
        <v>0</v>
      </c>
    </row>
    <row r="10012" spans="1:1" x14ac:dyDescent="0.3">
      <c r="A10012" t="s">
        <v>0</v>
      </c>
    </row>
    <row r="10013" spans="1:1" x14ac:dyDescent="0.3">
      <c r="A10013" t="s">
        <v>0</v>
      </c>
    </row>
    <row r="10014" spans="1:1" x14ac:dyDescent="0.3">
      <c r="A10014" t="s">
        <v>0</v>
      </c>
    </row>
    <row r="10015" spans="1:1" x14ac:dyDescent="0.3">
      <c r="A10015" t="s">
        <v>0</v>
      </c>
    </row>
    <row r="10016" spans="1:1" x14ac:dyDescent="0.3">
      <c r="A10016" t="s">
        <v>0</v>
      </c>
    </row>
    <row r="10017" spans="1:1" x14ac:dyDescent="0.3">
      <c r="A10017" t="s">
        <v>0</v>
      </c>
    </row>
    <row r="10018" spans="1:1" x14ac:dyDescent="0.3">
      <c r="A10018" t="s">
        <v>0</v>
      </c>
    </row>
    <row r="10019" spans="1:1" x14ac:dyDescent="0.3">
      <c r="A10019" t="s">
        <v>0</v>
      </c>
    </row>
    <row r="10020" spans="1:1" x14ac:dyDescent="0.3">
      <c r="A10020" t="s">
        <v>0</v>
      </c>
    </row>
    <row r="10021" spans="1:1" x14ac:dyDescent="0.3">
      <c r="A10021" t="s">
        <v>0</v>
      </c>
    </row>
    <row r="10022" spans="1:1" x14ac:dyDescent="0.3">
      <c r="A10022" t="s">
        <v>0</v>
      </c>
    </row>
    <row r="10023" spans="1:1" x14ac:dyDescent="0.3">
      <c r="A10023" t="s">
        <v>0</v>
      </c>
    </row>
    <row r="10024" spans="1:1" x14ac:dyDescent="0.3">
      <c r="A10024" t="s">
        <v>0</v>
      </c>
    </row>
    <row r="10025" spans="1:1" x14ac:dyDescent="0.3">
      <c r="A10025" t="s">
        <v>0</v>
      </c>
    </row>
    <row r="10026" spans="1:1" x14ac:dyDescent="0.3">
      <c r="A10026" t="s">
        <v>0</v>
      </c>
    </row>
    <row r="10027" spans="1:1" x14ac:dyDescent="0.3">
      <c r="A10027" t="s">
        <v>0</v>
      </c>
    </row>
    <row r="10028" spans="1:1" x14ac:dyDescent="0.3">
      <c r="A10028" t="s">
        <v>0</v>
      </c>
    </row>
    <row r="10029" spans="1:1" x14ac:dyDescent="0.3">
      <c r="A10029" t="s">
        <v>0</v>
      </c>
    </row>
    <row r="10030" spans="1:1" x14ac:dyDescent="0.3">
      <c r="A10030" t="s">
        <v>0</v>
      </c>
    </row>
    <row r="10031" spans="1:1" x14ac:dyDescent="0.3">
      <c r="A10031" t="s">
        <v>0</v>
      </c>
    </row>
    <row r="10032" spans="1:1" x14ac:dyDescent="0.3">
      <c r="A10032" t="s">
        <v>0</v>
      </c>
    </row>
    <row r="10033" spans="1:1" x14ac:dyDescent="0.3">
      <c r="A10033" t="s">
        <v>0</v>
      </c>
    </row>
    <row r="10034" spans="1:1" x14ac:dyDescent="0.3">
      <c r="A10034" t="s">
        <v>0</v>
      </c>
    </row>
    <row r="10035" spans="1:1" x14ac:dyDescent="0.3">
      <c r="A10035" t="s">
        <v>0</v>
      </c>
    </row>
    <row r="10036" spans="1:1" x14ac:dyDescent="0.3">
      <c r="A10036" t="s">
        <v>0</v>
      </c>
    </row>
    <row r="10037" spans="1:1" x14ac:dyDescent="0.3">
      <c r="A10037" t="s">
        <v>0</v>
      </c>
    </row>
    <row r="10038" spans="1:1" x14ac:dyDescent="0.3">
      <c r="A10038" t="s">
        <v>0</v>
      </c>
    </row>
    <row r="10039" spans="1:1" x14ac:dyDescent="0.3">
      <c r="A10039" t="s">
        <v>0</v>
      </c>
    </row>
    <row r="10040" spans="1:1" x14ac:dyDescent="0.3">
      <c r="A10040" t="s">
        <v>0</v>
      </c>
    </row>
    <row r="10041" spans="1:1" x14ac:dyDescent="0.3">
      <c r="A10041" t="s">
        <v>0</v>
      </c>
    </row>
    <row r="10042" spans="1:1" x14ac:dyDescent="0.3">
      <c r="A10042" t="s">
        <v>0</v>
      </c>
    </row>
    <row r="10043" spans="1:1" x14ac:dyDescent="0.3">
      <c r="A10043" t="s">
        <v>0</v>
      </c>
    </row>
    <row r="10044" spans="1:1" x14ac:dyDescent="0.3">
      <c r="A10044" t="s">
        <v>0</v>
      </c>
    </row>
    <row r="10045" spans="1:1" x14ac:dyDescent="0.3">
      <c r="A10045" t="s">
        <v>0</v>
      </c>
    </row>
    <row r="10046" spans="1:1" x14ac:dyDescent="0.3">
      <c r="A10046" t="s">
        <v>0</v>
      </c>
    </row>
    <row r="10047" spans="1:1" x14ac:dyDescent="0.3">
      <c r="A10047" t="s">
        <v>0</v>
      </c>
    </row>
    <row r="10048" spans="1:1" x14ac:dyDescent="0.3">
      <c r="A10048" t="s">
        <v>0</v>
      </c>
    </row>
    <row r="10049" spans="1:1" x14ac:dyDescent="0.3">
      <c r="A10049" t="s">
        <v>0</v>
      </c>
    </row>
    <row r="10050" spans="1:1" x14ac:dyDescent="0.3">
      <c r="A10050" t="s">
        <v>0</v>
      </c>
    </row>
    <row r="10051" spans="1:1" x14ac:dyDescent="0.3">
      <c r="A10051" t="s">
        <v>0</v>
      </c>
    </row>
    <row r="10052" spans="1:1" x14ac:dyDescent="0.3">
      <c r="A10052" t="s">
        <v>0</v>
      </c>
    </row>
    <row r="10053" spans="1:1" x14ac:dyDescent="0.3">
      <c r="A10053" t="s">
        <v>0</v>
      </c>
    </row>
    <row r="10054" spans="1:1" x14ac:dyDescent="0.3">
      <c r="A10054" t="s">
        <v>0</v>
      </c>
    </row>
    <row r="10055" spans="1:1" x14ac:dyDescent="0.3">
      <c r="A10055" t="s">
        <v>0</v>
      </c>
    </row>
    <row r="10056" spans="1:1" x14ac:dyDescent="0.3">
      <c r="A10056" t="s">
        <v>0</v>
      </c>
    </row>
    <row r="10057" spans="1:1" x14ac:dyDescent="0.3">
      <c r="A10057" t="s">
        <v>0</v>
      </c>
    </row>
    <row r="10058" spans="1:1" x14ac:dyDescent="0.3">
      <c r="A10058" t="s">
        <v>0</v>
      </c>
    </row>
    <row r="10059" spans="1:1" x14ac:dyDescent="0.3">
      <c r="A10059" t="s">
        <v>0</v>
      </c>
    </row>
    <row r="10060" spans="1:1" x14ac:dyDescent="0.3">
      <c r="A10060" t="s">
        <v>0</v>
      </c>
    </row>
    <row r="10061" spans="1:1" x14ac:dyDescent="0.3">
      <c r="A10061" t="s">
        <v>0</v>
      </c>
    </row>
    <row r="10062" spans="1:1" x14ac:dyDescent="0.3">
      <c r="A10062" t="s">
        <v>0</v>
      </c>
    </row>
    <row r="10063" spans="1:1" x14ac:dyDescent="0.3">
      <c r="A10063" t="s">
        <v>0</v>
      </c>
    </row>
    <row r="10064" spans="1:1" x14ac:dyDescent="0.3">
      <c r="A10064" t="s">
        <v>0</v>
      </c>
    </row>
    <row r="10065" spans="1:1" x14ac:dyDescent="0.3">
      <c r="A10065" t="s">
        <v>0</v>
      </c>
    </row>
    <row r="10066" spans="1:1" x14ac:dyDescent="0.3">
      <c r="A10066" t="s">
        <v>0</v>
      </c>
    </row>
    <row r="10067" spans="1:1" x14ac:dyDescent="0.3">
      <c r="A10067" t="s">
        <v>0</v>
      </c>
    </row>
    <row r="10068" spans="1:1" x14ac:dyDescent="0.3">
      <c r="A10068" t="s">
        <v>0</v>
      </c>
    </row>
    <row r="10069" spans="1:1" x14ac:dyDescent="0.3">
      <c r="A10069" t="s">
        <v>0</v>
      </c>
    </row>
    <row r="10070" spans="1:1" x14ac:dyDescent="0.3">
      <c r="A10070" t="s">
        <v>0</v>
      </c>
    </row>
    <row r="10071" spans="1:1" x14ac:dyDescent="0.3">
      <c r="A10071" t="s">
        <v>0</v>
      </c>
    </row>
    <row r="10072" spans="1:1" x14ac:dyDescent="0.3">
      <c r="A10072" t="s">
        <v>0</v>
      </c>
    </row>
    <row r="10073" spans="1:1" x14ac:dyDescent="0.3">
      <c r="A10073" t="s">
        <v>0</v>
      </c>
    </row>
    <row r="10074" spans="1:1" x14ac:dyDescent="0.3">
      <c r="A10074" t="s">
        <v>0</v>
      </c>
    </row>
    <row r="10075" spans="1:1" x14ac:dyDescent="0.3">
      <c r="A10075" t="s">
        <v>0</v>
      </c>
    </row>
    <row r="10076" spans="1:1" x14ac:dyDescent="0.3">
      <c r="A10076" t="s">
        <v>0</v>
      </c>
    </row>
    <row r="10077" spans="1:1" x14ac:dyDescent="0.3">
      <c r="A10077" t="s">
        <v>0</v>
      </c>
    </row>
    <row r="10078" spans="1:1" x14ac:dyDescent="0.3">
      <c r="A10078" t="s">
        <v>0</v>
      </c>
    </row>
    <row r="10079" spans="1:1" x14ac:dyDescent="0.3">
      <c r="A10079" t="s">
        <v>0</v>
      </c>
    </row>
    <row r="10080" spans="1:1" x14ac:dyDescent="0.3">
      <c r="A10080" t="s">
        <v>0</v>
      </c>
    </row>
    <row r="10081" spans="1:1" x14ac:dyDescent="0.3">
      <c r="A10081" t="s">
        <v>0</v>
      </c>
    </row>
    <row r="10082" spans="1:1" x14ac:dyDescent="0.3">
      <c r="A10082" t="s">
        <v>0</v>
      </c>
    </row>
    <row r="10083" spans="1:1" x14ac:dyDescent="0.3">
      <c r="A10083" t="s">
        <v>0</v>
      </c>
    </row>
    <row r="10084" spans="1:1" x14ac:dyDescent="0.3">
      <c r="A10084" t="s">
        <v>0</v>
      </c>
    </row>
    <row r="10085" spans="1:1" x14ac:dyDescent="0.3">
      <c r="A10085" t="s">
        <v>0</v>
      </c>
    </row>
    <row r="10086" spans="1:1" x14ac:dyDescent="0.3">
      <c r="A10086" t="s">
        <v>0</v>
      </c>
    </row>
    <row r="10087" spans="1:1" x14ac:dyDescent="0.3">
      <c r="A10087" t="s">
        <v>0</v>
      </c>
    </row>
    <row r="10088" spans="1:1" x14ac:dyDescent="0.3">
      <c r="A10088" t="s">
        <v>0</v>
      </c>
    </row>
    <row r="10089" spans="1:1" x14ac:dyDescent="0.3">
      <c r="A10089" t="s">
        <v>0</v>
      </c>
    </row>
    <row r="10090" spans="1:1" x14ac:dyDescent="0.3">
      <c r="A10090" t="s">
        <v>0</v>
      </c>
    </row>
    <row r="10091" spans="1:1" x14ac:dyDescent="0.3">
      <c r="A10091" t="s">
        <v>0</v>
      </c>
    </row>
    <row r="10092" spans="1:1" x14ac:dyDescent="0.3">
      <c r="A10092" t="s">
        <v>0</v>
      </c>
    </row>
    <row r="10093" spans="1:1" x14ac:dyDescent="0.3">
      <c r="A10093" t="s">
        <v>0</v>
      </c>
    </row>
    <row r="10094" spans="1:1" x14ac:dyDescent="0.3">
      <c r="A10094" t="s">
        <v>0</v>
      </c>
    </row>
    <row r="10095" spans="1:1" x14ac:dyDescent="0.3">
      <c r="A10095" t="s">
        <v>0</v>
      </c>
    </row>
    <row r="10096" spans="1:1" x14ac:dyDescent="0.3">
      <c r="A10096" t="s">
        <v>0</v>
      </c>
    </row>
    <row r="10097" spans="1:1" x14ac:dyDescent="0.3">
      <c r="A10097" t="s">
        <v>0</v>
      </c>
    </row>
    <row r="10098" spans="1:1" x14ac:dyDescent="0.3">
      <c r="A10098" t="s">
        <v>0</v>
      </c>
    </row>
    <row r="10099" spans="1:1" x14ac:dyDescent="0.3">
      <c r="A10099" t="s">
        <v>0</v>
      </c>
    </row>
    <row r="10100" spans="1:1" x14ac:dyDescent="0.3">
      <c r="A10100" t="s">
        <v>0</v>
      </c>
    </row>
    <row r="10101" spans="1:1" x14ac:dyDescent="0.3">
      <c r="A10101" t="s">
        <v>0</v>
      </c>
    </row>
    <row r="10102" spans="1:1" x14ac:dyDescent="0.3">
      <c r="A10102" t="s">
        <v>0</v>
      </c>
    </row>
    <row r="10103" spans="1:1" x14ac:dyDescent="0.3">
      <c r="A10103" t="s">
        <v>0</v>
      </c>
    </row>
    <row r="10104" spans="1:1" x14ac:dyDescent="0.3">
      <c r="A10104" t="s">
        <v>0</v>
      </c>
    </row>
    <row r="10105" spans="1:1" x14ac:dyDescent="0.3">
      <c r="A10105" t="s">
        <v>0</v>
      </c>
    </row>
    <row r="10106" spans="1:1" x14ac:dyDescent="0.3">
      <c r="A10106" t="s">
        <v>0</v>
      </c>
    </row>
    <row r="10107" spans="1:1" x14ac:dyDescent="0.3">
      <c r="A10107" t="s">
        <v>0</v>
      </c>
    </row>
    <row r="10108" spans="1:1" x14ac:dyDescent="0.3">
      <c r="A10108" t="s">
        <v>0</v>
      </c>
    </row>
    <row r="10109" spans="1:1" x14ac:dyDescent="0.3">
      <c r="A10109" t="s">
        <v>0</v>
      </c>
    </row>
    <row r="10110" spans="1:1" x14ac:dyDescent="0.3">
      <c r="A10110" t="s">
        <v>0</v>
      </c>
    </row>
    <row r="10111" spans="1:1" x14ac:dyDescent="0.3">
      <c r="A10111" t="s">
        <v>0</v>
      </c>
    </row>
    <row r="10112" spans="1:1" x14ac:dyDescent="0.3">
      <c r="A10112" t="s">
        <v>0</v>
      </c>
    </row>
    <row r="10113" spans="1:1" x14ac:dyDescent="0.3">
      <c r="A10113" t="s">
        <v>0</v>
      </c>
    </row>
    <row r="10114" spans="1:1" x14ac:dyDescent="0.3">
      <c r="A10114" t="s">
        <v>0</v>
      </c>
    </row>
    <row r="10115" spans="1:1" x14ac:dyDescent="0.3">
      <c r="A10115" t="s">
        <v>0</v>
      </c>
    </row>
    <row r="10116" spans="1:1" x14ac:dyDescent="0.3">
      <c r="A10116" t="s">
        <v>0</v>
      </c>
    </row>
    <row r="10117" spans="1:1" x14ac:dyDescent="0.3">
      <c r="A10117" t="s">
        <v>0</v>
      </c>
    </row>
    <row r="10118" spans="1:1" x14ac:dyDescent="0.3">
      <c r="A10118" t="s">
        <v>0</v>
      </c>
    </row>
    <row r="10119" spans="1:1" x14ac:dyDescent="0.3">
      <c r="A10119" t="s">
        <v>0</v>
      </c>
    </row>
    <row r="10120" spans="1:1" x14ac:dyDescent="0.3">
      <c r="A10120" t="s">
        <v>0</v>
      </c>
    </row>
    <row r="10121" spans="1:1" x14ac:dyDescent="0.3">
      <c r="A10121" t="s">
        <v>0</v>
      </c>
    </row>
    <row r="10122" spans="1:1" x14ac:dyDescent="0.3">
      <c r="A10122" t="s">
        <v>0</v>
      </c>
    </row>
    <row r="10123" spans="1:1" x14ac:dyDescent="0.3">
      <c r="A10123" t="s">
        <v>0</v>
      </c>
    </row>
    <row r="10124" spans="1:1" x14ac:dyDescent="0.3">
      <c r="A10124" t="s">
        <v>0</v>
      </c>
    </row>
    <row r="10125" spans="1:1" x14ac:dyDescent="0.3">
      <c r="A10125" t="s">
        <v>0</v>
      </c>
    </row>
    <row r="10126" spans="1:1" x14ac:dyDescent="0.3">
      <c r="A10126" t="s">
        <v>0</v>
      </c>
    </row>
    <row r="10127" spans="1:1" x14ac:dyDescent="0.3">
      <c r="A10127" t="s">
        <v>0</v>
      </c>
    </row>
    <row r="10128" spans="1:1" x14ac:dyDescent="0.3">
      <c r="A10128" t="s">
        <v>0</v>
      </c>
    </row>
    <row r="10129" spans="1:1" x14ac:dyDescent="0.3">
      <c r="A10129" t="s">
        <v>0</v>
      </c>
    </row>
    <row r="10130" spans="1:1" x14ac:dyDescent="0.3">
      <c r="A10130" t="s">
        <v>0</v>
      </c>
    </row>
    <row r="10131" spans="1:1" x14ac:dyDescent="0.3">
      <c r="A10131" t="s">
        <v>0</v>
      </c>
    </row>
    <row r="10132" spans="1:1" x14ac:dyDescent="0.3">
      <c r="A10132" t="s">
        <v>0</v>
      </c>
    </row>
    <row r="10133" spans="1:1" x14ac:dyDescent="0.3">
      <c r="A10133" t="s">
        <v>0</v>
      </c>
    </row>
    <row r="10134" spans="1:1" x14ac:dyDescent="0.3">
      <c r="A10134" t="s">
        <v>0</v>
      </c>
    </row>
    <row r="10135" spans="1:1" x14ac:dyDescent="0.3">
      <c r="A10135" t="s">
        <v>0</v>
      </c>
    </row>
    <row r="10136" spans="1:1" x14ac:dyDescent="0.3">
      <c r="A10136" t="s">
        <v>0</v>
      </c>
    </row>
    <row r="10137" spans="1:1" x14ac:dyDescent="0.3">
      <c r="A10137" t="s">
        <v>0</v>
      </c>
    </row>
    <row r="10138" spans="1:1" x14ac:dyDescent="0.3">
      <c r="A10138" t="s">
        <v>0</v>
      </c>
    </row>
    <row r="10139" spans="1:1" x14ac:dyDescent="0.3">
      <c r="A10139" t="s">
        <v>0</v>
      </c>
    </row>
    <row r="10140" spans="1:1" x14ac:dyDescent="0.3">
      <c r="A10140" t="s">
        <v>0</v>
      </c>
    </row>
    <row r="10141" spans="1:1" x14ac:dyDescent="0.3">
      <c r="A10141" t="s">
        <v>0</v>
      </c>
    </row>
    <row r="10142" spans="1:1" x14ac:dyDescent="0.3">
      <c r="A10142" t="s">
        <v>0</v>
      </c>
    </row>
    <row r="10143" spans="1:1" x14ac:dyDescent="0.3">
      <c r="A10143" t="s">
        <v>0</v>
      </c>
    </row>
    <row r="10144" spans="1:1" x14ac:dyDescent="0.3">
      <c r="A10144" t="s">
        <v>0</v>
      </c>
    </row>
    <row r="10145" spans="1:1" x14ac:dyDescent="0.3">
      <c r="A10145" t="s">
        <v>0</v>
      </c>
    </row>
    <row r="10146" spans="1:1" x14ac:dyDescent="0.3">
      <c r="A10146" t="s">
        <v>0</v>
      </c>
    </row>
    <row r="10147" spans="1:1" x14ac:dyDescent="0.3">
      <c r="A10147" t="s">
        <v>0</v>
      </c>
    </row>
    <row r="10148" spans="1:1" x14ac:dyDescent="0.3">
      <c r="A10148" t="s">
        <v>0</v>
      </c>
    </row>
    <row r="10149" spans="1:1" x14ac:dyDescent="0.3">
      <c r="A10149" t="s">
        <v>0</v>
      </c>
    </row>
    <row r="10150" spans="1:1" x14ac:dyDescent="0.3">
      <c r="A10150" t="s">
        <v>0</v>
      </c>
    </row>
    <row r="10151" spans="1:1" x14ac:dyDescent="0.3">
      <c r="A10151" t="s">
        <v>0</v>
      </c>
    </row>
    <row r="10152" spans="1:1" x14ac:dyDescent="0.3">
      <c r="A10152" t="s">
        <v>0</v>
      </c>
    </row>
    <row r="10153" spans="1:1" x14ac:dyDescent="0.3">
      <c r="A10153" t="s">
        <v>0</v>
      </c>
    </row>
    <row r="10154" spans="1:1" x14ac:dyDescent="0.3">
      <c r="A10154" t="s">
        <v>0</v>
      </c>
    </row>
    <row r="10155" spans="1:1" x14ac:dyDescent="0.3">
      <c r="A10155" t="s">
        <v>0</v>
      </c>
    </row>
    <row r="10156" spans="1:1" x14ac:dyDescent="0.3">
      <c r="A10156" t="s">
        <v>0</v>
      </c>
    </row>
    <row r="10157" spans="1:1" x14ac:dyDescent="0.3">
      <c r="A10157" t="s">
        <v>0</v>
      </c>
    </row>
    <row r="10158" spans="1:1" x14ac:dyDescent="0.3">
      <c r="A10158" t="s">
        <v>0</v>
      </c>
    </row>
    <row r="10159" spans="1:1" x14ac:dyDescent="0.3">
      <c r="A10159" t="s">
        <v>0</v>
      </c>
    </row>
    <row r="10160" spans="1:1" x14ac:dyDescent="0.3">
      <c r="A10160" t="s">
        <v>0</v>
      </c>
    </row>
    <row r="10161" spans="1:1" x14ac:dyDescent="0.3">
      <c r="A10161" t="s">
        <v>0</v>
      </c>
    </row>
    <row r="10162" spans="1:1" x14ac:dyDescent="0.3">
      <c r="A10162" t="s">
        <v>0</v>
      </c>
    </row>
    <row r="10163" spans="1:1" x14ac:dyDescent="0.3">
      <c r="A10163" t="s">
        <v>0</v>
      </c>
    </row>
    <row r="10164" spans="1:1" x14ac:dyDescent="0.3">
      <c r="A10164" t="s">
        <v>0</v>
      </c>
    </row>
    <row r="10165" spans="1:1" x14ac:dyDescent="0.3">
      <c r="A10165" t="s">
        <v>0</v>
      </c>
    </row>
    <row r="10166" spans="1:1" x14ac:dyDescent="0.3">
      <c r="A10166" t="s">
        <v>0</v>
      </c>
    </row>
    <row r="10167" spans="1:1" x14ac:dyDescent="0.3">
      <c r="A10167" t="s">
        <v>0</v>
      </c>
    </row>
    <row r="10168" spans="1:1" x14ac:dyDescent="0.3">
      <c r="A10168" t="s">
        <v>0</v>
      </c>
    </row>
    <row r="10169" spans="1:1" x14ac:dyDescent="0.3">
      <c r="A10169" t="s">
        <v>0</v>
      </c>
    </row>
    <row r="10170" spans="1:1" x14ac:dyDescent="0.3">
      <c r="A10170" t="s">
        <v>0</v>
      </c>
    </row>
    <row r="10171" spans="1:1" x14ac:dyDescent="0.3">
      <c r="A10171" t="s">
        <v>0</v>
      </c>
    </row>
    <row r="10172" spans="1:1" x14ac:dyDescent="0.3">
      <c r="A10172" t="s">
        <v>0</v>
      </c>
    </row>
    <row r="10173" spans="1:1" x14ac:dyDescent="0.3">
      <c r="A10173" t="s">
        <v>0</v>
      </c>
    </row>
    <row r="10174" spans="1:1" x14ac:dyDescent="0.3">
      <c r="A10174" t="s">
        <v>0</v>
      </c>
    </row>
    <row r="10175" spans="1:1" x14ac:dyDescent="0.3">
      <c r="A10175" t="s">
        <v>0</v>
      </c>
    </row>
    <row r="10176" spans="1:1" x14ac:dyDescent="0.3">
      <c r="A10176" t="s">
        <v>0</v>
      </c>
    </row>
    <row r="10177" spans="1:1" x14ac:dyDescent="0.3">
      <c r="A10177" t="s">
        <v>0</v>
      </c>
    </row>
    <row r="10178" spans="1:1" x14ac:dyDescent="0.3">
      <c r="A10178" t="s">
        <v>0</v>
      </c>
    </row>
    <row r="10179" spans="1:1" x14ac:dyDescent="0.3">
      <c r="A10179" t="s">
        <v>0</v>
      </c>
    </row>
    <row r="10180" spans="1:1" x14ac:dyDescent="0.3">
      <c r="A10180" t="s">
        <v>0</v>
      </c>
    </row>
    <row r="10181" spans="1:1" x14ac:dyDescent="0.3">
      <c r="A10181" t="s">
        <v>0</v>
      </c>
    </row>
    <row r="10182" spans="1:1" x14ac:dyDescent="0.3">
      <c r="A10182" t="s">
        <v>0</v>
      </c>
    </row>
    <row r="10183" spans="1:1" x14ac:dyDescent="0.3">
      <c r="A10183" t="s">
        <v>0</v>
      </c>
    </row>
    <row r="10184" spans="1:1" x14ac:dyDescent="0.3">
      <c r="A10184" t="s">
        <v>0</v>
      </c>
    </row>
    <row r="10185" spans="1:1" x14ac:dyDescent="0.3">
      <c r="A10185" t="s">
        <v>0</v>
      </c>
    </row>
    <row r="10186" spans="1:1" x14ac:dyDescent="0.3">
      <c r="A10186" t="s">
        <v>0</v>
      </c>
    </row>
    <row r="10187" spans="1:1" x14ac:dyDescent="0.3">
      <c r="A10187" t="s">
        <v>0</v>
      </c>
    </row>
    <row r="10188" spans="1:1" x14ac:dyDescent="0.3">
      <c r="A10188" t="s">
        <v>0</v>
      </c>
    </row>
    <row r="10189" spans="1:1" x14ac:dyDescent="0.3">
      <c r="A10189" t="s">
        <v>0</v>
      </c>
    </row>
    <row r="10190" spans="1:1" x14ac:dyDescent="0.3">
      <c r="A10190" t="s">
        <v>0</v>
      </c>
    </row>
    <row r="10191" spans="1:1" x14ac:dyDescent="0.3">
      <c r="A10191" t="s">
        <v>0</v>
      </c>
    </row>
    <row r="10192" spans="1:1" x14ac:dyDescent="0.3">
      <c r="A10192" t="s">
        <v>0</v>
      </c>
    </row>
    <row r="10193" spans="1:1" x14ac:dyDescent="0.3">
      <c r="A10193" t="s">
        <v>0</v>
      </c>
    </row>
    <row r="10194" spans="1:1" x14ac:dyDescent="0.3">
      <c r="A10194" t="s">
        <v>0</v>
      </c>
    </row>
    <row r="10195" spans="1:1" x14ac:dyDescent="0.3">
      <c r="A10195" t="s">
        <v>0</v>
      </c>
    </row>
    <row r="10196" spans="1:1" x14ac:dyDescent="0.3">
      <c r="A10196" t="s">
        <v>0</v>
      </c>
    </row>
    <row r="10197" spans="1:1" x14ac:dyDescent="0.3">
      <c r="A10197" t="s">
        <v>0</v>
      </c>
    </row>
    <row r="10198" spans="1:1" x14ac:dyDescent="0.3">
      <c r="A10198" t="s">
        <v>0</v>
      </c>
    </row>
    <row r="10199" spans="1:1" x14ac:dyDescent="0.3">
      <c r="A10199" t="s">
        <v>0</v>
      </c>
    </row>
    <row r="10200" spans="1:1" x14ac:dyDescent="0.3">
      <c r="A10200" t="s">
        <v>0</v>
      </c>
    </row>
    <row r="10201" spans="1:1" x14ac:dyDescent="0.3">
      <c r="A10201" t="s">
        <v>0</v>
      </c>
    </row>
    <row r="10202" spans="1:1" x14ac:dyDescent="0.3">
      <c r="A10202" t="s">
        <v>0</v>
      </c>
    </row>
    <row r="10203" spans="1:1" x14ac:dyDescent="0.3">
      <c r="A10203" t="s">
        <v>0</v>
      </c>
    </row>
    <row r="10204" spans="1:1" x14ac:dyDescent="0.3">
      <c r="A10204" t="s">
        <v>0</v>
      </c>
    </row>
    <row r="10205" spans="1:1" x14ac:dyDescent="0.3">
      <c r="A10205" t="s">
        <v>0</v>
      </c>
    </row>
    <row r="10206" spans="1:1" x14ac:dyDescent="0.3">
      <c r="A10206" t="s">
        <v>0</v>
      </c>
    </row>
    <row r="10207" spans="1:1" x14ac:dyDescent="0.3">
      <c r="A10207" t="s">
        <v>0</v>
      </c>
    </row>
    <row r="10208" spans="1:1" x14ac:dyDescent="0.3">
      <c r="A10208" t="s">
        <v>0</v>
      </c>
    </row>
    <row r="10209" spans="1:1" x14ac:dyDescent="0.3">
      <c r="A10209" t="s">
        <v>0</v>
      </c>
    </row>
    <row r="10210" spans="1:1" x14ac:dyDescent="0.3">
      <c r="A10210" t="s">
        <v>0</v>
      </c>
    </row>
    <row r="10211" spans="1:1" x14ac:dyDescent="0.3">
      <c r="A10211" t="s">
        <v>0</v>
      </c>
    </row>
    <row r="10212" spans="1:1" x14ac:dyDescent="0.3">
      <c r="A10212" t="s">
        <v>0</v>
      </c>
    </row>
    <row r="10213" spans="1:1" x14ac:dyDescent="0.3">
      <c r="A10213" t="s">
        <v>0</v>
      </c>
    </row>
    <row r="10214" spans="1:1" x14ac:dyDescent="0.3">
      <c r="A10214" t="s">
        <v>0</v>
      </c>
    </row>
    <row r="10215" spans="1:1" x14ac:dyDescent="0.3">
      <c r="A10215" t="s">
        <v>0</v>
      </c>
    </row>
    <row r="10216" spans="1:1" x14ac:dyDescent="0.3">
      <c r="A10216" t="s">
        <v>0</v>
      </c>
    </row>
    <row r="10217" spans="1:1" x14ac:dyDescent="0.3">
      <c r="A10217" t="s">
        <v>0</v>
      </c>
    </row>
    <row r="10218" spans="1:1" x14ac:dyDescent="0.3">
      <c r="A10218" t="s">
        <v>0</v>
      </c>
    </row>
    <row r="10219" spans="1:1" x14ac:dyDescent="0.3">
      <c r="A10219" t="s">
        <v>0</v>
      </c>
    </row>
    <row r="10220" spans="1:1" x14ac:dyDescent="0.3">
      <c r="A10220" t="s">
        <v>0</v>
      </c>
    </row>
    <row r="10221" spans="1:1" x14ac:dyDescent="0.3">
      <c r="A10221" t="s">
        <v>0</v>
      </c>
    </row>
    <row r="10222" spans="1:1" x14ac:dyDescent="0.3">
      <c r="A10222" t="s">
        <v>0</v>
      </c>
    </row>
    <row r="10223" spans="1:1" x14ac:dyDescent="0.3">
      <c r="A10223" t="s">
        <v>0</v>
      </c>
    </row>
    <row r="10224" spans="1:1" x14ac:dyDescent="0.3">
      <c r="A10224" t="s">
        <v>0</v>
      </c>
    </row>
    <row r="10225" spans="1:1" x14ac:dyDescent="0.3">
      <c r="A10225" t="s">
        <v>0</v>
      </c>
    </row>
    <row r="10226" spans="1:1" x14ac:dyDescent="0.3">
      <c r="A10226" t="s">
        <v>0</v>
      </c>
    </row>
    <row r="10227" spans="1:1" x14ac:dyDescent="0.3">
      <c r="A10227" t="s">
        <v>0</v>
      </c>
    </row>
    <row r="10228" spans="1:1" x14ac:dyDescent="0.3">
      <c r="A10228" t="s">
        <v>0</v>
      </c>
    </row>
    <row r="10229" spans="1:1" x14ac:dyDescent="0.3">
      <c r="A10229" t="s">
        <v>0</v>
      </c>
    </row>
    <row r="10230" spans="1:1" x14ac:dyDescent="0.3">
      <c r="A10230" t="s">
        <v>0</v>
      </c>
    </row>
    <row r="10231" spans="1:1" x14ac:dyDescent="0.3">
      <c r="A10231" t="s">
        <v>0</v>
      </c>
    </row>
    <row r="10232" spans="1:1" x14ac:dyDescent="0.3">
      <c r="A10232" t="s">
        <v>0</v>
      </c>
    </row>
    <row r="10233" spans="1:1" x14ac:dyDescent="0.3">
      <c r="A10233" t="s">
        <v>0</v>
      </c>
    </row>
    <row r="10234" spans="1:1" x14ac:dyDescent="0.3">
      <c r="A10234" t="s">
        <v>0</v>
      </c>
    </row>
    <row r="10235" spans="1:1" x14ac:dyDescent="0.3">
      <c r="A10235" t="s">
        <v>0</v>
      </c>
    </row>
    <row r="10236" spans="1:1" x14ac:dyDescent="0.3">
      <c r="A10236" t="s">
        <v>0</v>
      </c>
    </row>
    <row r="10237" spans="1:1" x14ac:dyDescent="0.3">
      <c r="A10237" t="s">
        <v>0</v>
      </c>
    </row>
    <row r="10238" spans="1:1" x14ac:dyDescent="0.3">
      <c r="A10238" t="s">
        <v>0</v>
      </c>
    </row>
    <row r="10239" spans="1:1" x14ac:dyDescent="0.3">
      <c r="A10239" t="s">
        <v>0</v>
      </c>
    </row>
    <row r="10240" spans="1:1" x14ac:dyDescent="0.3">
      <c r="A10240" t="s">
        <v>0</v>
      </c>
    </row>
    <row r="10241" spans="1:1" x14ac:dyDescent="0.3">
      <c r="A10241" t="s">
        <v>0</v>
      </c>
    </row>
    <row r="10242" spans="1:1" x14ac:dyDescent="0.3">
      <c r="A10242" t="s">
        <v>0</v>
      </c>
    </row>
    <row r="10243" spans="1:1" x14ac:dyDescent="0.3">
      <c r="A10243" t="s">
        <v>0</v>
      </c>
    </row>
    <row r="10244" spans="1:1" x14ac:dyDescent="0.3">
      <c r="A10244" t="s">
        <v>0</v>
      </c>
    </row>
    <row r="10245" spans="1:1" x14ac:dyDescent="0.3">
      <c r="A10245" t="s">
        <v>0</v>
      </c>
    </row>
    <row r="10246" spans="1:1" x14ac:dyDescent="0.3">
      <c r="A10246" t="s">
        <v>0</v>
      </c>
    </row>
    <row r="10247" spans="1:1" x14ac:dyDescent="0.3">
      <c r="A10247" t="s">
        <v>0</v>
      </c>
    </row>
    <row r="10248" spans="1:1" x14ac:dyDescent="0.3">
      <c r="A10248" t="s">
        <v>0</v>
      </c>
    </row>
    <row r="10249" spans="1:1" x14ac:dyDescent="0.3">
      <c r="A10249" t="s">
        <v>0</v>
      </c>
    </row>
    <row r="10250" spans="1:1" x14ac:dyDescent="0.3">
      <c r="A10250" t="s">
        <v>0</v>
      </c>
    </row>
    <row r="10251" spans="1:1" x14ac:dyDescent="0.3">
      <c r="A10251" t="s">
        <v>0</v>
      </c>
    </row>
    <row r="10252" spans="1:1" x14ac:dyDescent="0.3">
      <c r="A10252" t="s">
        <v>0</v>
      </c>
    </row>
    <row r="10253" spans="1:1" x14ac:dyDescent="0.3">
      <c r="A10253" t="s">
        <v>0</v>
      </c>
    </row>
    <row r="10254" spans="1:1" x14ac:dyDescent="0.3">
      <c r="A10254" t="s">
        <v>0</v>
      </c>
    </row>
    <row r="10255" spans="1:1" x14ac:dyDescent="0.3">
      <c r="A10255" t="s">
        <v>0</v>
      </c>
    </row>
    <row r="10256" spans="1:1" x14ac:dyDescent="0.3">
      <c r="A10256" t="s">
        <v>0</v>
      </c>
    </row>
    <row r="10257" spans="1:1" x14ac:dyDescent="0.3">
      <c r="A10257" t="s">
        <v>0</v>
      </c>
    </row>
    <row r="10258" spans="1:1" x14ac:dyDescent="0.3">
      <c r="A10258" t="s">
        <v>0</v>
      </c>
    </row>
    <row r="10259" spans="1:1" x14ac:dyDescent="0.3">
      <c r="A10259" t="s">
        <v>0</v>
      </c>
    </row>
    <row r="10260" spans="1:1" x14ac:dyDescent="0.3">
      <c r="A10260" t="s">
        <v>0</v>
      </c>
    </row>
    <row r="10261" spans="1:1" x14ac:dyDescent="0.3">
      <c r="A10261" t="s">
        <v>0</v>
      </c>
    </row>
    <row r="10262" spans="1:1" x14ac:dyDescent="0.3">
      <c r="A10262" t="s">
        <v>0</v>
      </c>
    </row>
    <row r="10263" spans="1:1" x14ac:dyDescent="0.3">
      <c r="A10263" t="s">
        <v>0</v>
      </c>
    </row>
    <row r="10264" spans="1:1" x14ac:dyDescent="0.3">
      <c r="A10264" t="s">
        <v>0</v>
      </c>
    </row>
    <row r="10265" spans="1:1" x14ac:dyDescent="0.3">
      <c r="A10265" t="s">
        <v>0</v>
      </c>
    </row>
    <row r="10266" spans="1:1" x14ac:dyDescent="0.3">
      <c r="A10266" t="s">
        <v>0</v>
      </c>
    </row>
    <row r="10267" spans="1:1" x14ac:dyDescent="0.3">
      <c r="A10267" t="s">
        <v>0</v>
      </c>
    </row>
    <row r="10268" spans="1:1" x14ac:dyDescent="0.3">
      <c r="A10268" t="s">
        <v>0</v>
      </c>
    </row>
    <row r="10269" spans="1:1" x14ac:dyDescent="0.3">
      <c r="A10269" t="s">
        <v>0</v>
      </c>
    </row>
    <row r="10270" spans="1:1" x14ac:dyDescent="0.3">
      <c r="A10270" t="s">
        <v>0</v>
      </c>
    </row>
    <row r="10271" spans="1:1" x14ac:dyDescent="0.3">
      <c r="A10271" t="s">
        <v>0</v>
      </c>
    </row>
    <row r="10272" spans="1:1" x14ac:dyDescent="0.3">
      <c r="A10272" t="s">
        <v>0</v>
      </c>
    </row>
    <row r="10273" spans="1:1" x14ac:dyDescent="0.3">
      <c r="A10273" t="s">
        <v>0</v>
      </c>
    </row>
    <row r="10274" spans="1:1" x14ac:dyDescent="0.3">
      <c r="A10274" t="s">
        <v>0</v>
      </c>
    </row>
    <row r="10275" spans="1:1" x14ac:dyDescent="0.3">
      <c r="A10275" t="s">
        <v>0</v>
      </c>
    </row>
    <row r="10276" spans="1:1" x14ac:dyDescent="0.3">
      <c r="A10276" t="s">
        <v>0</v>
      </c>
    </row>
    <row r="10277" spans="1:1" x14ac:dyDescent="0.3">
      <c r="A10277" t="s">
        <v>0</v>
      </c>
    </row>
    <row r="10278" spans="1:1" x14ac:dyDescent="0.3">
      <c r="A10278" t="s">
        <v>0</v>
      </c>
    </row>
    <row r="10279" spans="1:1" x14ac:dyDescent="0.3">
      <c r="A10279" t="s">
        <v>0</v>
      </c>
    </row>
    <row r="10280" spans="1:1" x14ac:dyDescent="0.3">
      <c r="A10280" t="s">
        <v>0</v>
      </c>
    </row>
    <row r="10281" spans="1:1" x14ac:dyDescent="0.3">
      <c r="A10281" t="s">
        <v>0</v>
      </c>
    </row>
    <row r="10282" spans="1:1" x14ac:dyDescent="0.3">
      <c r="A10282" t="s">
        <v>0</v>
      </c>
    </row>
    <row r="10283" spans="1:1" x14ac:dyDescent="0.3">
      <c r="A10283" t="s">
        <v>0</v>
      </c>
    </row>
    <row r="10284" spans="1:1" x14ac:dyDescent="0.3">
      <c r="A10284" t="s">
        <v>0</v>
      </c>
    </row>
    <row r="10285" spans="1:1" x14ac:dyDescent="0.3">
      <c r="A10285" t="s">
        <v>0</v>
      </c>
    </row>
    <row r="10286" spans="1:1" x14ac:dyDescent="0.3">
      <c r="A10286" t="s">
        <v>0</v>
      </c>
    </row>
    <row r="10287" spans="1:1" x14ac:dyDescent="0.3">
      <c r="A10287" t="s">
        <v>0</v>
      </c>
    </row>
    <row r="10288" spans="1:1" x14ac:dyDescent="0.3">
      <c r="A10288" t="s">
        <v>0</v>
      </c>
    </row>
    <row r="10289" spans="1:1" x14ac:dyDescent="0.3">
      <c r="A10289" t="s">
        <v>0</v>
      </c>
    </row>
    <row r="10290" spans="1:1" x14ac:dyDescent="0.3">
      <c r="A10290" t="s">
        <v>0</v>
      </c>
    </row>
    <row r="10291" spans="1:1" x14ac:dyDescent="0.3">
      <c r="A10291" t="s">
        <v>0</v>
      </c>
    </row>
    <row r="10292" spans="1:1" x14ac:dyDescent="0.3">
      <c r="A10292" t="s">
        <v>0</v>
      </c>
    </row>
    <row r="10293" spans="1:1" x14ac:dyDescent="0.3">
      <c r="A10293" t="s">
        <v>0</v>
      </c>
    </row>
    <row r="10294" spans="1:1" x14ac:dyDescent="0.3">
      <c r="A10294" t="s">
        <v>0</v>
      </c>
    </row>
    <row r="10295" spans="1:1" x14ac:dyDescent="0.3">
      <c r="A10295" t="s">
        <v>0</v>
      </c>
    </row>
    <row r="10296" spans="1:1" x14ac:dyDescent="0.3">
      <c r="A10296" t="s">
        <v>0</v>
      </c>
    </row>
    <row r="10297" spans="1:1" x14ac:dyDescent="0.3">
      <c r="A10297" t="s">
        <v>0</v>
      </c>
    </row>
    <row r="10298" spans="1:1" x14ac:dyDescent="0.3">
      <c r="A10298" t="s">
        <v>0</v>
      </c>
    </row>
    <row r="10299" spans="1:1" x14ac:dyDescent="0.3">
      <c r="A10299" t="s">
        <v>0</v>
      </c>
    </row>
    <row r="10300" spans="1:1" x14ac:dyDescent="0.3">
      <c r="A10300" t="s">
        <v>0</v>
      </c>
    </row>
    <row r="10301" spans="1:1" x14ac:dyDescent="0.3">
      <c r="A10301" t="s">
        <v>0</v>
      </c>
    </row>
    <row r="10302" spans="1:1" x14ac:dyDescent="0.3">
      <c r="A10302" t="s">
        <v>0</v>
      </c>
    </row>
    <row r="10303" spans="1:1" x14ac:dyDescent="0.3">
      <c r="A10303" t="s">
        <v>0</v>
      </c>
    </row>
    <row r="10304" spans="1:1" x14ac:dyDescent="0.3">
      <c r="A10304" t="s">
        <v>0</v>
      </c>
    </row>
    <row r="10305" spans="1:1" x14ac:dyDescent="0.3">
      <c r="A10305" t="s">
        <v>0</v>
      </c>
    </row>
    <row r="10306" spans="1:1" x14ac:dyDescent="0.3">
      <c r="A10306" t="s">
        <v>0</v>
      </c>
    </row>
    <row r="10307" spans="1:1" x14ac:dyDescent="0.3">
      <c r="A10307" t="s">
        <v>0</v>
      </c>
    </row>
    <row r="10308" spans="1:1" x14ac:dyDescent="0.3">
      <c r="A10308" t="s">
        <v>0</v>
      </c>
    </row>
    <row r="10309" spans="1:1" x14ac:dyDescent="0.3">
      <c r="A10309" t="s">
        <v>0</v>
      </c>
    </row>
    <row r="10310" spans="1:1" x14ac:dyDescent="0.3">
      <c r="A10310" t="s">
        <v>0</v>
      </c>
    </row>
    <row r="10311" spans="1:1" x14ac:dyDescent="0.3">
      <c r="A10311" t="s">
        <v>0</v>
      </c>
    </row>
    <row r="10312" spans="1:1" x14ac:dyDescent="0.3">
      <c r="A10312" t="s">
        <v>0</v>
      </c>
    </row>
    <row r="10313" spans="1:1" x14ac:dyDescent="0.3">
      <c r="A10313" t="s">
        <v>0</v>
      </c>
    </row>
    <row r="10314" spans="1:1" x14ac:dyDescent="0.3">
      <c r="A10314" t="s">
        <v>0</v>
      </c>
    </row>
    <row r="10315" spans="1:1" x14ac:dyDescent="0.3">
      <c r="A10315" t="s">
        <v>0</v>
      </c>
    </row>
    <row r="10316" spans="1:1" x14ac:dyDescent="0.3">
      <c r="A10316" t="s">
        <v>0</v>
      </c>
    </row>
    <row r="10317" spans="1:1" x14ac:dyDescent="0.3">
      <c r="A10317" t="s">
        <v>0</v>
      </c>
    </row>
    <row r="10318" spans="1:1" x14ac:dyDescent="0.3">
      <c r="A10318" t="s">
        <v>0</v>
      </c>
    </row>
    <row r="10319" spans="1:1" x14ac:dyDescent="0.3">
      <c r="A10319" t="s">
        <v>0</v>
      </c>
    </row>
    <row r="10320" spans="1:1" x14ac:dyDescent="0.3">
      <c r="A10320" t="s">
        <v>0</v>
      </c>
    </row>
    <row r="10321" spans="1:1" x14ac:dyDescent="0.3">
      <c r="A10321" t="s">
        <v>0</v>
      </c>
    </row>
    <row r="10322" spans="1:1" x14ac:dyDescent="0.3">
      <c r="A10322" t="s">
        <v>0</v>
      </c>
    </row>
    <row r="10323" spans="1:1" x14ac:dyDescent="0.3">
      <c r="A10323" t="s">
        <v>0</v>
      </c>
    </row>
    <row r="10324" spans="1:1" x14ac:dyDescent="0.3">
      <c r="A10324" t="s">
        <v>0</v>
      </c>
    </row>
    <row r="10325" spans="1:1" x14ac:dyDescent="0.3">
      <c r="A10325" t="s">
        <v>0</v>
      </c>
    </row>
    <row r="10326" spans="1:1" x14ac:dyDescent="0.3">
      <c r="A10326" t="s">
        <v>0</v>
      </c>
    </row>
    <row r="10327" spans="1:1" x14ac:dyDescent="0.3">
      <c r="A10327" t="s">
        <v>0</v>
      </c>
    </row>
    <row r="10328" spans="1:1" x14ac:dyDescent="0.3">
      <c r="A10328" t="s">
        <v>0</v>
      </c>
    </row>
    <row r="10329" spans="1:1" x14ac:dyDescent="0.3">
      <c r="A10329" t="s">
        <v>0</v>
      </c>
    </row>
    <row r="10330" spans="1:1" x14ac:dyDescent="0.3">
      <c r="A10330" t="s">
        <v>0</v>
      </c>
    </row>
    <row r="10331" spans="1:1" x14ac:dyDescent="0.3">
      <c r="A10331" t="s">
        <v>0</v>
      </c>
    </row>
    <row r="10332" spans="1:1" x14ac:dyDescent="0.3">
      <c r="A10332" t="s">
        <v>0</v>
      </c>
    </row>
    <row r="10333" spans="1:1" x14ac:dyDescent="0.3">
      <c r="A10333" t="s">
        <v>0</v>
      </c>
    </row>
    <row r="10334" spans="1:1" x14ac:dyDescent="0.3">
      <c r="A10334" t="s">
        <v>0</v>
      </c>
    </row>
    <row r="10335" spans="1:1" x14ac:dyDescent="0.3">
      <c r="A10335" t="s">
        <v>0</v>
      </c>
    </row>
    <row r="10336" spans="1:1" x14ac:dyDescent="0.3">
      <c r="A10336" t="s">
        <v>0</v>
      </c>
    </row>
    <row r="10337" spans="1:1" x14ac:dyDescent="0.3">
      <c r="A10337" t="s">
        <v>0</v>
      </c>
    </row>
    <row r="10338" spans="1:1" x14ac:dyDescent="0.3">
      <c r="A10338" t="s">
        <v>0</v>
      </c>
    </row>
    <row r="10339" spans="1:1" x14ac:dyDescent="0.3">
      <c r="A10339" t="s">
        <v>0</v>
      </c>
    </row>
    <row r="10340" spans="1:1" x14ac:dyDescent="0.3">
      <c r="A10340" t="s">
        <v>0</v>
      </c>
    </row>
    <row r="10341" spans="1:1" x14ac:dyDescent="0.3">
      <c r="A10341" t="s">
        <v>0</v>
      </c>
    </row>
    <row r="10342" spans="1:1" x14ac:dyDescent="0.3">
      <c r="A10342" t="s">
        <v>0</v>
      </c>
    </row>
    <row r="10343" spans="1:1" x14ac:dyDescent="0.3">
      <c r="A10343" t="s">
        <v>0</v>
      </c>
    </row>
    <row r="10344" spans="1:1" x14ac:dyDescent="0.3">
      <c r="A10344" t="s">
        <v>0</v>
      </c>
    </row>
    <row r="10345" spans="1:1" x14ac:dyDescent="0.3">
      <c r="A10345" t="s">
        <v>0</v>
      </c>
    </row>
    <row r="10346" spans="1:1" x14ac:dyDescent="0.3">
      <c r="A10346" t="s">
        <v>0</v>
      </c>
    </row>
    <row r="10347" spans="1:1" x14ac:dyDescent="0.3">
      <c r="A10347" t="s">
        <v>0</v>
      </c>
    </row>
    <row r="10348" spans="1:1" x14ac:dyDescent="0.3">
      <c r="A10348" t="s">
        <v>0</v>
      </c>
    </row>
    <row r="10349" spans="1:1" x14ac:dyDescent="0.3">
      <c r="A10349" t="s">
        <v>0</v>
      </c>
    </row>
    <row r="10350" spans="1:1" x14ac:dyDescent="0.3">
      <c r="A10350" t="s">
        <v>0</v>
      </c>
    </row>
    <row r="10351" spans="1:1" x14ac:dyDescent="0.3">
      <c r="A10351" t="s">
        <v>0</v>
      </c>
    </row>
    <row r="10352" spans="1:1" x14ac:dyDescent="0.3">
      <c r="A10352" t="s">
        <v>0</v>
      </c>
    </row>
    <row r="10353" spans="1:1" x14ac:dyDescent="0.3">
      <c r="A10353" t="s">
        <v>0</v>
      </c>
    </row>
    <row r="10354" spans="1:1" x14ac:dyDescent="0.3">
      <c r="A10354" t="s">
        <v>0</v>
      </c>
    </row>
    <row r="10355" spans="1:1" x14ac:dyDescent="0.3">
      <c r="A10355" t="s">
        <v>0</v>
      </c>
    </row>
    <row r="10356" spans="1:1" x14ac:dyDescent="0.3">
      <c r="A10356" t="s">
        <v>0</v>
      </c>
    </row>
    <row r="10357" spans="1:1" x14ac:dyDescent="0.3">
      <c r="A10357" t="s">
        <v>0</v>
      </c>
    </row>
    <row r="10358" spans="1:1" x14ac:dyDescent="0.3">
      <c r="A10358" t="s">
        <v>0</v>
      </c>
    </row>
    <row r="10359" spans="1:1" x14ac:dyDescent="0.3">
      <c r="A10359" t="s">
        <v>0</v>
      </c>
    </row>
    <row r="10360" spans="1:1" x14ac:dyDescent="0.3">
      <c r="A10360" t="s">
        <v>0</v>
      </c>
    </row>
    <row r="10361" spans="1:1" x14ac:dyDescent="0.3">
      <c r="A10361" t="s">
        <v>0</v>
      </c>
    </row>
    <row r="10362" spans="1:1" x14ac:dyDescent="0.3">
      <c r="A10362" t="s">
        <v>0</v>
      </c>
    </row>
    <row r="10363" spans="1:1" x14ac:dyDescent="0.3">
      <c r="A10363" t="s">
        <v>0</v>
      </c>
    </row>
    <row r="10364" spans="1:1" x14ac:dyDescent="0.3">
      <c r="A10364" t="s">
        <v>0</v>
      </c>
    </row>
    <row r="10365" spans="1:1" x14ac:dyDescent="0.3">
      <c r="A10365" t="s">
        <v>0</v>
      </c>
    </row>
    <row r="10366" spans="1:1" x14ac:dyDescent="0.3">
      <c r="A10366" t="s">
        <v>0</v>
      </c>
    </row>
    <row r="10367" spans="1:1" x14ac:dyDescent="0.3">
      <c r="A10367" t="s">
        <v>0</v>
      </c>
    </row>
    <row r="10368" spans="1:1" x14ac:dyDescent="0.3">
      <c r="A10368" t="s">
        <v>0</v>
      </c>
    </row>
    <row r="10369" spans="1:1" x14ac:dyDescent="0.3">
      <c r="A10369" t="s">
        <v>0</v>
      </c>
    </row>
    <row r="10370" spans="1:1" x14ac:dyDescent="0.3">
      <c r="A10370" t="s">
        <v>0</v>
      </c>
    </row>
    <row r="10371" spans="1:1" x14ac:dyDescent="0.3">
      <c r="A10371" t="s">
        <v>0</v>
      </c>
    </row>
    <row r="10372" spans="1:1" x14ac:dyDescent="0.3">
      <c r="A10372" t="s">
        <v>0</v>
      </c>
    </row>
    <row r="10373" spans="1:1" x14ac:dyDescent="0.3">
      <c r="A10373" t="s">
        <v>0</v>
      </c>
    </row>
    <row r="10374" spans="1:1" x14ac:dyDescent="0.3">
      <c r="A10374" t="s">
        <v>0</v>
      </c>
    </row>
    <row r="10375" spans="1:1" x14ac:dyDescent="0.3">
      <c r="A10375" t="s">
        <v>0</v>
      </c>
    </row>
    <row r="10376" spans="1:1" x14ac:dyDescent="0.3">
      <c r="A10376" t="s">
        <v>0</v>
      </c>
    </row>
    <row r="10377" spans="1:1" x14ac:dyDescent="0.3">
      <c r="A10377" t="s">
        <v>0</v>
      </c>
    </row>
    <row r="10378" spans="1:1" x14ac:dyDescent="0.3">
      <c r="A10378" t="s">
        <v>0</v>
      </c>
    </row>
    <row r="10379" spans="1:1" x14ac:dyDescent="0.3">
      <c r="A10379" t="s">
        <v>0</v>
      </c>
    </row>
    <row r="10380" spans="1:1" x14ac:dyDescent="0.3">
      <c r="A10380" t="s">
        <v>0</v>
      </c>
    </row>
    <row r="10381" spans="1:1" x14ac:dyDescent="0.3">
      <c r="A10381" t="s">
        <v>0</v>
      </c>
    </row>
    <row r="10382" spans="1:1" x14ac:dyDescent="0.3">
      <c r="A10382" t="s">
        <v>0</v>
      </c>
    </row>
    <row r="10383" spans="1:1" x14ac:dyDescent="0.3">
      <c r="A10383" t="s">
        <v>0</v>
      </c>
    </row>
    <row r="10384" spans="1:1" x14ac:dyDescent="0.3">
      <c r="A10384" t="s">
        <v>0</v>
      </c>
    </row>
    <row r="10385" spans="1:1" x14ac:dyDescent="0.3">
      <c r="A10385" t="s">
        <v>0</v>
      </c>
    </row>
    <row r="10386" spans="1:1" x14ac:dyDescent="0.3">
      <c r="A10386" t="s">
        <v>0</v>
      </c>
    </row>
    <row r="10387" spans="1:1" x14ac:dyDescent="0.3">
      <c r="A10387" t="s">
        <v>0</v>
      </c>
    </row>
    <row r="10388" spans="1:1" x14ac:dyDescent="0.3">
      <c r="A10388" t="s">
        <v>0</v>
      </c>
    </row>
    <row r="10389" spans="1:1" x14ac:dyDescent="0.3">
      <c r="A10389" t="s">
        <v>0</v>
      </c>
    </row>
    <row r="10390" spans="1:1" x14ac:dyDescent="0.3">
      <c r="A10390" t="s">
        <v>0</v>
      </c>
    </row>
    <row r="10391" spans="1:1" x14ac:dyDescent="0.3">
      <c r="A10391" t="s">
        <v>0</v>
      </c>
    </row>
    <row r="10392" spans="1:1" x14ac:dyDescent="0.3">
      <c r="A10392" t="s">
        <v>0</v>
      </c>
    </row>
    <row r="10393" spans="1:1" x14ac:dyDescent="0.3">
      <c r="A10393" t="s">
        <v>0</v>
      </c>
    </row>
    <row r="10394" spans="1:1" x14ac:dyDescent="0.3">
      <c r="A10394" t="s">
        <v>0</v>
      </c>
    </row>
    <row r="10395" spans="1:1" x14ac:dyDescent="0.3">
      <c r="A10395" t="s">
        <v>0</v>
      </c>
    </row>
    <row r="10396" spans="1:1" x14ac:dyDescent="0.3">
      <c r="A10396" t="s">
        <v>0</v>
      </c>
    </row>
    <row r="10397" spans="1:1" x14ac:dyDescent="0.3">
      <c r="A10397" t="s">
        <v>0</v>
      </c>
    </row>
    <row r="10398" spans="1:1" x14ac:dyDescent="0.3">
      <c r="A10398" t="s">
        <v>0</v>
      </c>
    </row>
    <row r="10399" spans="1:1" x14ac:dyDescent="0.3">
      <c r="A10399" t="s">
        <v>0</v>
      </c>
    </row>
    <row r="10400" spans="1:1" x14ac:dyDescent="0.3">
      <c r="A10400" t="s">
        <v>0</v>
      </c>
    </row>
    <row r="10401" spans="1:1" x14ac:dyDescent="0.3">
      <c r="A10401" t="s">
        <v>0</v>
      </c>
    </row>
    <row r="10402" spans="1:1" x14ac:dyDescent="0.3">
      <c r="A10402" t="s">
        <v>0</v>
      </c>
    </row>
    <row r="10403" spans="1:1" x14ac:dyDescent="0.3">
      <c r="A10403" t="s">
        <v>0</v>
      </c>
    </row>
    <row r="10404" spans="1:1" x14ac:dyDescent="0.3">
      <c r="A10404" t="s">
        <v>0</v>
      </c>
    </row>
    <row r="10405" spans="1:1" x14ac:dyDescent="0.3">
      <c r="A10405" t="s">
        <v>0</v>
      </c>
    </row>
    <row r="10406" spans="1:1" x14ac:dyDescent="0.3">
      <c r="A10406" t="s">
        <v>0</v>
      </c>
    </row>
    <row r="10407" spans="1:1" x14ac:dyDescent="0.3">
      <c r="A10407" t="s">
        <v>0</v>
      </c>
    </row>
    <row r="10408" spans="1:1" x14ac:dyDescent="0.3">
      <c r="A10408" t="s">
        <v>0</v>
      </c>
    </row>
    <row r="10409" spans="1:1" x14ac:dyDescent="0.3">
      <c r="A10409" t="s">
        <v>0</v>
      </c>
    </row>
    <row r="10410" spans="1:1" x14ac:dyDescent="0.3">
      <c r="A10410" t="s">
        <v>0</v>
      </c>
    </row>
    <row r="10411" spans="1:1" x14ac:dyDescent="0.3">
      <c r="A10411" t="s">
        <v>0</v>
      </c>
    </row>
    <row r="10412" spans="1:1" x14ac:dyDescent="0.3">
      <c r="A10412" t="s">
        <v>0</v>
      </c>
    </row>
    <row r="10413" spans="1:1" x14ac:dyDescent="0.3">
      <c r="A10413" t="s">
        <v>0</v>
      </c>
    </row>
    <row r="10414" spans="1:1" x14ac:dyDescent="0.3">
      <c r="A10414" t="s">
        <v>0</v>
      </c>
    </row>
    <row r="10415" spans="1:1" x14ac:dyDescent="0.3">
      <c r="A10415" t="s">
        <v>0</v>
      </c>
    </row>
    <row r="10416" spans="1:1" x14ac:dyDescent="0.3">
      <c r="A10416" t="s">
        <v>0</v>
      </c>
    </row>
    <row r="10417" spans="1:1" x14ac:dyDescent="0.3">
      <c r="A10417" t="s">
        <v>0</v>
      </c>
    </row>
    <row r="10418" spans="1:1" x14ac:dyDescent="0.3">
      <c r="A10418" t="s">
        <v>0</v>
      </c>
    </row>
    <row r="10419" spans="1:1" x14ac:dyDescent="0.3">
      <c r="A10419" t="s">
        <v>0</v>
      </c>
    </row>
    <row r="10420" spans="1:1" x14ac:dyDescent="0.3">
      <c r="A10420" t="s">
        <v>0</v>
      </c>
    </row>
    <row r="10421" spans="1:1" x14ac:dyDescent="0.3">
      <c r="A10421" t="s">
        <v>0</v>
      </c>
    </row>
    <row r="10422" spans="1:1" x14ac:dyDescent="0.3">
      <c r="A10422" t="s">
        <v>0</v>
      </c>
    </row>
    <row r="10423" spans="1:1" x14ac:dyDescent="0.3">
      <c r="A10423" t="s">
        <v>0</v>
      </c>
    </row>
    <row r="10424" spans="1:1" x14ac:dyDescent="0.3">
      <c r="A10424" t="s">
        <v>0</v>
      </c>
    </row>
    <row r="10425" spans="1:1" x14ac:dyDescent="0.3">
      <c r="A10425" t="s">
        <v>0</v>
      </c>
    </row>
    <row r="10426" spans="1:1" x14ac:dyDescent="0.3">
      <c r="A10426" t="s">
        <v>0</v>
      </c>
    </row>
    <row r="10427" spans="1:1" x14ac:dyDescent="0.3">
      <c r="A10427" t="s">
        <v>0</v>
      </c>
    </row>
    <row r="10428" spans="1:1" x14ac:dyDescent="0.3">
      <c r="A10428" t="s">
        <v>0</v>
      </c>
    </row>
    <row r="10429" spans="1:1" x14ac:dyDescent="0.3">
      <c r="A10429" t="s">
        <v>0</v>
      </c>
    </row>
    <row r="10430" spans="1:1" x14ac:dyDescent="0.3">
      <c r="A10430" t="s">
        <v>0</v>
      </c>
    </row>
    <row r="10431" spans="1:1" x14ac:dyDescent="0.3">
      <c r="A10431" t="s">
        <v>0</v>
      </c>
    </row>
    <row r="10432" spans="1:1" x14ac:dyDescent="0.3">
      <c r="A10432" t="s">
        <v>0</v>
      </c>
    </row>
    <row r="10433" spans="1:1" x14ac:dyDescent="0.3">
      <c r="A10433" t="s">
        <v>0</v>
      </c>
    </row>
    <row r="10434" spans="1:1" x14ac:dyDescent="0.3">
      <c r="A10434" t="s">
        <v>0</v>
      </c>
    </row>
    <row r="10435" spans="1:1" x14ac:dyDescent="0.3">
      <c r="A10435" t="s">
        <v>0</v>
      </c>
    </row>
    <row r="10436" spans="1:1" x14ac:dyDescent="0.3">
      <c r="A10436" t="s">
        <v>0</v>
      </c>
    </row>
    <row r="10437" spans="1:1" x14ac:dyDescent="0.3">
      <c r="A10437" t="s">
        <v>0</v>
      </c>
    </row>
    <row r="10438" spans="1:1" x14ac:dyDescent="0.3">
      <c r="A10438" t="s">
        <v>0</v>
      </c>
    </row>
    <row r="10439" spans="1:1" x14ac:dyDescent="0.3">
      <c r="A10439" t="s">
        <v>0</v>
      </c>
    </row>
    <row r="10440" spans="1:1" x14ac:dyDescent="0.3">
      <c r="A10440" t="s">
        <v>0</v>
      </c>
    </row>
    <row r="10441" spans="1:1" x14ac:dyDescent="0.3">
      <c r="A10441" t="s">
        <v>0</v>
      </c>
    </row>
    <row r="10442" spans="1:1" x14ac:dyDescent="0.3">
      <c r="A10442" t="s">
        <v>0</v>
      </c>
    </row>
    <row r="10443" spans="1:1" x14ac:dyDescent="0.3">
      <c r="A10443" t="s">
        <v>0</v>
      </c>
    </row>
    <row r="10444" spans="1:1" x14ac:dyDescent="0.3">
      <c r="A10444" t="s">
        <v>0</v>
      </c>
    </row>
    <row r="10445" spans="1:1" x14ac:dyDescent="0.3">
      <c r="A10445" t="s">
        <v>0</v>
      </c>
    </row>
    <row r="10446" spans="1:1" x14ac:dyDescent="0.3">
      <c r="A10446" t="s">
        <v>0</v>
      </c>
    </row>
    <row r="10447" spans="1:1" x14ac:dyDescent="0.3">
      <c r="A10447" t="s">
        <v>0</v>
      </c>
    </row>
    <row r="10448" spans="1:1" x14ac:dyDescent="0.3">
      <c r="A10448" t="s">
        <v>0</v>
      </c>
    </row>
    <row r="10449" spans="1:1" x14ac:dyDescent="0.3">
      <c r="A10449" t="s">
        <v>0</v>
      </c>
    </row>
    <row r="10450" spans="1:1" x14ac:dyDescent="0.3">
      <c r="A10450" t="s">
        <v>0</v>
      </c>
    </row>
    <row r="10451" spans="1:1" x14ac:dyDescent="0.3">
      <c r="A10451" t="s">
        <v>0</v>
      </c>
    </row>
    <row r="10452" spans="1:1" x14ac:dyDescent="0.3">
      <c r="A10452" t="s">
        <v>0</v>
      </c>
    </row>
    <row r="10453" spans="1:1" x14ac:dyDescent="0.3">
      <c r="A10453" t="s">
        <v>0</v>
      </c>
    </row>
    <row r="10454" spans="1:1" x14ac:dyDescent="0.3">
      <c r="A10454" t="s">
        <v>0</v>
      </c>
    </row>
    <row r="10455" spans="1:1" x14ac:dyDescent="0.3">
      <c r="A10455" t="s">
        <v>0</v>
      </c>
    </row>
    <row r="10456" spans="1:1" x14ac:dyDescent="0.3">
      <c r="A10456" t="s">
        <v>0</v>
      </c>
    </row>
    <row r="10457" spans="1:1" x14ac:dyDescent="0.3">
      <c r="A10457" t="s">
        <v>0</v>
      </c>
    </row>
    <row r="10458" spans="1:1" x14ac:dyDescent="0.3">
      <c r="A10458" t="s">
        <v>0</v>
      </c>
    </row>
    <row r="10459" spans="1:1" x14ac:dyDescent="0.3">
      <c r="A10459" t="s">
        <v>0</v>
      </c>
    </row>
    <row r="10460" spans="1:1" x14ac:dyDescent="0.3">
      <c r="A10460" t="s">
        <v>0</v>
      </c>
    </row>
    <row r="10461" spans="1:1" x14ac:dyDescent="0.3">
      <c r="A10461" t="s">
        <v>0</v>
      </c>
    </row>
    <row r="10462" spans="1:1" x14ac:dyDescent="0.3">
      <c r="A10462" t="s">
        <v>0</v>
      </c>
    </row>
    <row r="10463" spans="1:1" x14ac:dyDescent="0.3">
      <c r="A10463" t="s">
        <v>0</v>
      </c>
    </row>
    <row r="10464" spans="1:1" x14ac:dyDescent="0.3">
      <c r="A10464" t="s">
        <v>0</v>
      </c>
    </row>
    <row r="10465" spans="1:1" x14ac:dyDescent="0.3">
      <c r="A10465" t="s">
        <v>0</v>
      </c>
    </row>
    <row r="10466" spans="1:1" x14ac:dyDescent="0.3">
      <c r="A10466" t="s">
        <v>0</v>
      </c>
    </row>
    <row r="10467" spans="1:1" x14ac:dyDescent="0.3">
      <c r="A10467" t="s">
        <v>0</v>
      </c>
    </row>
    <row r="10468" spans="1:1" x14ac:dyDescent="0.3">
      <c r="A10468" t="s">
        <v>0</v>
      </c>
    </row>
    <row r="10469" spans="1:1" x14ac:dyDescent="0.3">
      <c r="A10469" t="s">
        <v>0</v>
      </c>
    </row>
    <row r="10470" spans="1:1" x14ac:dyDescent="0.3">
      <c r="A10470" t="s">
        <v>0</v>
      </c>
    </row>
    <row r="10471" spans="1:1" x14ac:dyDescent="0.3">
      <c r="A10471" t="s">
        <v>0</v>
      </c>
    </row>
    <row r="10472" spans="1:1" x14ac:dyDescent="0.3">
      <c r="A10472" t="s">
        <v>0</v>
      </c>
    </row>
    <row r="10473" spans="1:1" x14ac:dyDescent="0.3">
      <c r="A10473" t="s">
        <v>0</v>
      </c>
    </row>
    <row r="10474" spans="1:1" x14ac:dyDescent="0.3">
      <c r="A10474" t="s">
        <v>0</v>
      </c>
    </row>
    <row r="10475" spans="1:1" x14ac:dyDescent="0.3">
      <c r="A10475" t="s">
        <v>0</v>
      </c>
    </row>
    <row r="10476" spans="1:1" x14ac:dyDescent="0.3">
      <c r="A10476" t="s">
        <v>0</v>
      </c>
    </row>
    <row r="10477" spans="1:1" x14ac:dyDescent="0.3">
      <c r="A10477" t="s">
        <v>0</v>
      </c>
    </row>
    <row r="10478" spans="1:1" x14ac:dyDescent="0.3">
      <c r="A10478" t="s">
        <v>0</v>
      </c>
    </row>
    <row r="10479" spans="1:1" x14ac:dyDescent="0.3">
      <c r="A10479" t="s">
        <v>0</v>
      </c>
    </row>
    <row r="10480" spans="1:1" x14ac:dyDescent="0.3">
      <c r="A10480" t="s">
        <v>0</v>
      </c>
    </row>
    <row r="10481" spans="1:1" x14ac:dyDescent="0.3">
      <c r="A10481" t="s">
        <v>0</v>
      </c>
    </row>
    <row r="10482" spans="1:1" x14ac:dyDescent="0.3">
      <c r="A10482" t="s">
        <v>0</v>
      </c>
    </row>
    <row r="10483" spans="1:1" x14ac:dyDescent="0.3">
      <c r="A10483" t="s">
        <v>0</v>
      </c>
    </row>
    <row r="10484" spans="1:1" x14ac:dyDescent="0.3">
      <c r="A10484" t="s">
        <v>0</v>
      </c>
    </row>
    <row r="10485" spans="1:1" x14ac:dyDescent="0.3">
      <c r="A10485" t="s">
        <v>0</v>
      </c>
    </row>
    <row r="10486" spans="1:1" x14ac:dyDescent="0.3">
      <c r="A10486" t="s">
        <v>0</v>
      </c>
    </row>
    <row r="10487" spans="1:1" x14ac:dyDescent="0.3">
      <c r="A10487" t="s">
        <v>0</v>
      </c>
    </row>
    <row r="10488" spans="1:1" x14ac:dyDescent="0.3">
      <c r="A10488" t="s">
        <v>0</v>
      </c>
    </row>
    <row r="10489" spans="1:1" x14ac:dyDescent="0.3">
      <c r="A10489" t="s">
        <v>0</v>
      </c>
    </row>
    <row r="10490" spans="1:1" x14ac:dyDescent="0.3">
      <c r="A10490" t="s">
        <v>0</v>
      </c>
    </row>
    <row r="10491" spans="1:1" x14ac:dyDescent="0.3">
      <c r="A10491" t="s">
        <v>0</v>
      </c>
    </row>
    <row r="10492" spans="1:1" x14ac:dyDescent="0.3">
      <c r="A10492" t="s">
        <v>0</v>
      </c>
    </row>
    <row r="10493" spans="1:1" x14ac:dyDescent="0.3">
      <c r="A10493" t="s">
        <v>0</v>
      </c>
    </row>
    <row r="10494" spans="1:1" x14ac:dyDescent="0.3">
      <c r="A10494" t="s">
        <v>0</v>
      </c>
    </row>
    <row r="10495" spans="1:1" x14ac:dyDescent="0.3">
      <c r="A10495" t="s">
        <v>0</v>
      </c>
    </row>
    <row r="10496" spans="1:1" x14ac:dyDescent="0.3">
      <c r="A10496" t="s">
        <v>0</v>
      </c>
    </row>
    <row r="10497" spans="1:1" x14ac:dyDescent="0.3">
      <c r="A10497" t="s">
        <v>0</v>
      </c>
    </row>
    <row r="10498" spans="1:1" x14ac:dyDescent="0.3">
      <c r="A10498" t="s">
        <v>0</v>
      </c>
    </row>
    <row r="10499" spans="1:1" x14ac:dyDescent="0.3">
      <c r="A10499" t="s">
        <v>0</v>
      </c>
    </row>
    <row r="10500" spans="1:1" x14ac:dyDescent="0.3">
      <c r="A10500" t="s">
        <v>0</v>
      </c>
    </row>
    <row r="10501" spans="1:1" x14ac:dyDescent="0.3">
      <c r="A10501" t="s">
        <v>0</v>
      </c>
    </row>
    <row r="10502" spans="1:1" x14ac:dyDescent="0.3">
      <c r="A10502" t="s">
        <v>0</v>
      </c>
    </row>
    <row r="10503" spans="1:1" x14ac:dyDescent="0.3">
      <c r="A10503" t="s">
        <v>0</v>
      </c>
    </row>
    <row r="10504" spans="1:1" x14ac:dyDescent="0.3">
      <c r="A10504" t="s">
        <v>0</v>
      </c>
    </row>
    <row r="10505" spans="1:1" x14ac:dyDescent="0.3">
      <c r="A10505" t="s">
        <v>0</v>
      </c>
    </row>
    <row r="10506" spans="1:1" x14ac:dyDescent="0.3">
      <c r="A10506" t="s">
        <v>0</v>
      </c>
    </row>
    <row r="10507" spans="1:1" x14ac:dyDescent="0.3">
      <c r="A10507" t="s">
        <v>0</v>
      </c>
    </row>
    <row r="10508" spans="1:1" x14ac:dyDescent="0.3">
      <c r="A10508" t="s">
        <v>0</v>
      </c>
    </row>
    <row r="10509" spans="1:1" x14ac:dyDescent="0.3">
      <c r="A10509" t="s">
        <v>0</v>
      </c>
    </row>
    <row r="10510" spans="1:1" x14ac:dyDescent="0.3">
      <c r="A10510" t="s">
        <v>0</v>
      </c>
    </row>
    <row r="10511" spans="1:1" x14ac:dyDescent="0.3">
      <c r="A10511" t="s">
        <v>0</v>
      </c>
    </row>
    <row r="10512" spans="1:1" x14ac:dyDescent="0.3">
      <c r="A10512" t="s">
        <v>0</v>
      </c>
    </row>
    <row r="10513" spans="1:1" x14ac:dyDescent="0.3">
      <c r="A10513" t="s">
        <v>0</v>
      </c>
    </row>
    <row r="10514" spans="1:1" x14ac:dyDescent="0.3">
      <c r="A10514" t="s">
        <v>0</v>
      </c>
    </row>
    <row r="10515" spans="1:1" x14ac:dyDescent="0.3">
      <c r="A10515" t="s">
        <v>0</v>
      </c>
    </row>
    <row r="10516" spans="1:1" x14ac:dyDescent="0.3">
      <c r="A10516" t="s">
        <v>0</v>
      </c>
    </row>
    <row r="10517" spans="1:1" x14ac:dyDescent="0.3">
      <c r="A10517" t="s">
        <v>0</v>
      </c>
    </row>
    <row r="10518" spans="1:1" x14ac:dyDescent="0.3">
      <c r="A10518" t="s">
        <v>0</v>
      </c>
    </row>
    <row r="10519" spans="1:1" x14ac:dyDescent="0.3">
      <c r="A10519" t="s">
        <v>0</v>
      </c>
    </row>
    <row r="10520" spans="1:1" x14ac:dyDescent="0.3">
      <c r="A10520" t="s">
        <v>0</v>
      </c>
    </row>
    <row r="10521" spans="1:1" x14ac:dyDescent="0.3">
      <c r="A10521" t="s">
        <v>0</v>
      </c>
    </row>
    <row r="10522" spans="1:1" x14ac:dyDescent="0.3">
      <c r="A10522" t="s">
        <v>0</v>
      </c>
    </row>
    <row r="10523" spans="1:1" x14ac:dyDescent="0.3">
      <c r="A10523" t="s">
        <v>0</v>
      </c>
    </row>
    <row r="10524" spans="1:1" x14ac:dyDescent="0.3">
      <c r="A10524" t="s">
        <v>0</v>
      </c>
    </row>
    <row r="10525" spans="1:1" x14ac:dyDescent="0.3">
      <c r="A10525" t="s">
        <v>0</v>
      </c>
    </row>
    <row r="10526" spans="1:1" x14ac:dyDescent="0.3">
      <c r="A10526" t="s">
        <v>0</v>
      </c>
    </row>
    <row r="10527" spans="1:1" x14ac:dyDescent="0.3">
      <c r="A10527" t="s">
        <v>0</v>
      </c>
    </row>
    <row r="10528" spans="1:1" x14ac:dyDescent="0.3">
      <c r="A10528" t="s">
        <v>0</v>
      </c>
    </row>
    <row r="10529" spans="1:1" x14ac:dyDescent="0.3">
      <c r="A10529" t="s">
        <v>0</v>
      </c>
    </row>
    <row r="10530" spans="1:1" x14ac:dyDescent="0.3">
      <c r="A10530" t="s">
        <v>0</v>
      </c>
    </row>
    <row r="10531" spans="1:1" x14ac:dyDescent="0.3">
      <c r="A10531" t="s">
        <v>0</v>
      </c>
    </row>
    <row r="10532" spans="1:1" x14ac:dyDescent="0.3">
      <c r="A10532" t="s">
        <v>0</v>
      </c>
    </row>
    <row r="10533" spans="1:1" x14ac:dyDescent="0.3">
      <c r="A10533" t="s">
        <v>0</v>
      </c>
    </row>
    <row r="10534" spans="1:1" x14ac:dyDescent="0.3">
      <c r="A10534" t="s">
        <v>0</v>
      </c>
    </row>
    <row r="10535" spans="1:1" x14ac:dyDescent="0.3">
      <c r="A10535" t="s">
        <v>0</v>
      </c>
    </row>
    <row r="10536" spans="1:1" x14ac:dyDescent="0.3">
      <c r="A10536" t="s">
        <v>0</v>
      </c>
    </row>
    <row r="10537" spans="1:1" x14ac:dyDescent="0.3">
      <c r="A10537" t="s">
        <v>0</v>
      </c>
    </row>
    <row r="10538" spans="1:1" x14ac:dyDescent="0.3">
      <c r="A10538" t="s">
        <v>0</v>
      </c>
    </row>
    <row r="10539" spans="1:1" x14ac:dyDescent="0.3">
      <c r="A10539" t="s">
        <v>0</v>
      </c>
    </row>
    <row r="10540" spans="1:1" x14ac:dyDescent="0.3">
      <c r="A10540" t="s">
        <v>0</v>
      </c>
    </row>
    <row r="10541" spans="1:1" x14ac:dyDescent="0.3">
      <c r="A10541" t="s">
        <v>0</v>
      </c>
    </row>
    <row r="10542" spans="1:1" x14ac:dyDescent="0.3">
      <c r="A10542" t="s">
        <v>0</v>
      </c>
    </row>
    <row r="10543" spans="1:1" x14ac:dyDescent="0.3">
      <c r="A10543" t="s">
        <v>0</v>
      </c>
    </row>
    <row r="10544" spans="1:1" x14ac:dyDescent="0.3">
      <c r="A10544" t="s">
        <v>0</v>
      </c>
    </row>
    <row r="10545" spans="1:1" x14ac:dyDescent="0.3">
      <c r="A10545" t="s">
        <v>0</v>
      </c>
    </row>
    <row r="10546" spans="1:1" x14ac:dyDescent="0.3">
      <c r="A10546" t="s">
        <v>0</v>
      </c>
    </row>
    <row r="10547" spans="1:1" x14ac:dyDescent="0.3">
      <c r="A10547" t="s">
        <v>0</v>
      </c>
    </row>
    <row r="10548" spans="1:1" x14ac:dyDescent="0.3">
      <c r="A10548" t="s">
        <v>0</v>
      </c>
    </row>
    <row r="10549" spans="1:1" x14ac:dyDescent="0.3">
      <c r="A10549" t="s">
        <v>0</v>
      </c>
    </row>
    <row r="10550" spans="1:1" x14ac:dyDescent="0.3">
      <c r="A10550" t="s">
        <v>0</v>
      </c>
    </row>
    <row r="10551" spans="1:1" x14ac:dyDescent="0.3">
      <c r="A10551" t="s">
        <v>0</v>
      </c>
    </row>
    <row r="10552" spans="1:1" x14ac:dyDescent="0.3">
      <c r="A10552" t="s">
        <v>0</v>
      </c>
    </row>
    <row r="10553" spans="1:1" x14ac:dyDescent="0.3">
      <c r="A10553" t="s">
        <v>0</v>
      </c>
    </row>
    <row r="10554" spans="1:1" x14ac:dyDescent="0.3">
      <c r="A10554" t="s">
        <v>0</v>
      </c>
    </row>
    <row r="10555" spans="1:1" x14ac:dyDescent="0.3">
      <c r="A10555" t="s">
        <v>0</v>
      </c>
    </row>
    <row r="10556" spans="1:1" x14ac:dyDescent="0.3">
      <c r="A10556" t="s">
        <v>0</v>
      </c>
    </row>
    <row r="10557" spans="1:1" x14ac:dyDescent="0.3">
      <c r="A10557" t="s">
        <v>0</v>
      </c>
    </row>
    <row r="10558" spans="1:1" x14ac:dyDescent="0.3">
      <c r="A10558" t="s">
        <v>0</v>
      </c>
    </row>
    <row r="10559" spans="1:1" x14ac:dyDescent="0.3">
      <c r="A10559" t="s">
        <v>0</v>
      </c>
    </row>
    <row r="10560" spans="1:1" x14ac:dyDescent="0.3">
      <c r="A10560" t="s">
        <v>0</v>
      </c>
    </row>
    <row r="10561" spans="1:1" x14ac:dyDescent="0.3">
      <c r="A10561" t="s">
        <v>0</v>
      </c>
    </row>
    <row r="10562" spans="1:1" x14ac:dyDescent="0.3">
      <c r="A10562" t="s">
        <v>0</v>
      </c>
    </row>
    <row r="10563" spans="1:1" x14ac:dyDescent="0.3">
      <c r="A10563" t="s">
        <v>0</v>
      </c>
    </row>
    <row r="10564" spans="1:1" x14ac:dyDescent="0.3">
      <c r="A10564" t="s">
        <v>0</v>
      </c>
    </row>
    <row r="10565" spans="1:1" x14ac:dyDescent="0.3">
      <c r="A10565" t="s">
        <v>0</v>
      </c>
    </row>
    <row r="10566" spans="1:1" x14ac:dyDescent="0.3">
      <c r="A10566" t="s">
        <v>0</v>
      </c>
    </row>
    <row r="10567" spans="1:1" x14ac:dyDescent="0.3">
      <c r="A10567" t="s">
        <v>0</v>
      </c>
    </row>
    <row r="10568" spans="1:1" x14ac:dyDescent="0.3">
      <c r="A10568" t="s">
        <v>0</v>
      </c>
    </row>
    <row r="10569" spans="1:1" x14ac:dyDescent="0.3">
      <c r="A10569" t="s">
        <v>0</v>
      </c>
    </row>
    <row r="10570" spans="1:1" x14ac:dyDescent="0.3">
      <c r="A10570" t="s">
        <v>0</v>
      </c>
    </row>
    <row r="10571" spans="1:1" x14ac:dyDescent="0.3">
      <c r="A10571" t="s">
        <v>0</v>
      </c>
    </row>
    <row r="10572" spans="1:1" x14ac:dyDescent="0.3">
      <c r="A10572" t="s">
        <v>0</v>
      </c>
    </row>
    <row r="10573" spans="1:1" x14ac:dyDescent="0.3">
      <c r="A10573" t="s">
        <v>0</v>
      </c>
    </row>
    <row r="10574" spans="1:1" x14ac:dyDescent="0.3">
      <c r="A10574" t="s">
        <v>0</v>
      </c>
    </row>
    <row r="10575" spans="1:1" x14ac:dyDescent="0.3">
      <c r="A10575" t="s">
        <v>0</v>
      </c>
    </row>
    <row r="10576" spans="1:1" x14ac:dyDescent="0.3">
      <c r="A10576" t="s">
        <v>0</v>
      </c>
    </row>
    <row r="10577" spans="1:1" x14ac:dyDescent="0.3">
      <c r="A10577" t="s">
        <v>0</v>
      </c>
    </row>
    <row r="10578" spans="1:1" x14ac:dyDescent="0.3">
      <c r="A10578" t="s">
        <v>0</v>
      </c>
    </row>
    <row r="10579" spans="1:1" x14ac:dyDescent="0.3">
      <c r="A10579" t="s">
        <v>0</v>
      </c>
    </row>
    <row r="10580" spans="1:1" x14ac:dyDescent="0.3">
      <c r="A10580" t="s">
        <v>0</v>
      </c>
    </row>
    <row r="10581" spans="1:1" x14ac:dyDescent="0.3">
      <c r="A10581" t="s">
        <v>0</v>
      </c>
    </row>
    <row r="10582" spans="1:1" x14ac:dyDescent="0.3">
      <c r="A10582" t="s">
        <v>0</v>
      </c>
    </row>
    <row r="10583" spans="1:1" x14ac:dyDescent="0.3">
      <c r="A10583" t="s">
        <v>0</v>
      </c>
    </row>
    <row r="10584" spans="1:1" x14ac:dyDescent="0.3">
      <c r="A10584" t="s">
        <v>0</v>
      </c>
    </row>
    <row r="10585" spans="1:1" x14ac:dyDescent="0.3">
      <c r="A10585" t="s">
        <v>0</v>
      </c>
    </row>
    <row r="10586" spans="1:1" x14ac:dyDescent="0.3">
      <c r="A10586" t="s">
        <v>0</v>
      </c>
    </row>
    <row r="10587" spans="1:1" x14ac:dyDescent="0.3">
      <c r="A10587" t="s">
        <v>0</v>
      </c>
    </row>
    <row r="10588" spans="1:1" x14ac:dyDescent="0.3">
      <c r="A10588" t="s">
        <v>0</v>
      </c>
    </row>
    <row r="10589" spans="1:1" x14ac:dyDescent="0.3">
      <c r="A10589" t="s">
        <v>0</v>
      </c>
    </row>
    <row r="10590" spans="1:1" x14ac:dyDescent="0.3">
      <c r="A10590" t="s">
        <v>0</v>
      </c>
    </row>
    <row r="10591" spans="1:1" x14ac:dyDescent="0.3">
      <c r="A10591" t="s">
        <v>0</v>
      </c>
    </row>
    <row r="10592" spans="1:1" x14ac:dyDescent="0.3">
      <c r="A10592" t="s">
        <v>0</v>
      </c>
    </row>
    <row r="10593" spans="1:1" x14ac:dyDescent="0.3">
      <c r="A10593" t="s">
        <v>0</v>
      </c>
    </row>
    <row r="10594" spans="1:1" x14ac:dyDescent="0.3">
      <c r="A10594" t="s">
        <v>0</v>
      </c>
    </row>
    <row r="10595" spans="1:1" x14ac:dyDescent="0.3">
      <c r="A10595" t="s">
        <v>0</v>
      </c>
    </row>
    <row r="10596" spans="1:1" x14ac:dyDescent="0.3">
      <c r="A10596" t="s">
        <v>0</v>
      </c>
    </row>
    <row r="10597" spans="1:1" x14ac:dyDescent="0.3">
      <c r="A10597" t="s">
        <v>0</v>
      </c>
    </row>
    <row r="10598" spans="1:1" x14ac:dyDescent="0.3">
      <c r="A10598" t="s">
        <v>0</v>
      </c>
    </row>
    <row r="10599" spans="1:1" x14ac:dyDescent="0.3">
      <c r="A10599" t="s">
        <v>0</v>
      </c>
    </row>
    <row r="10600" spans="1:1" x14ac:dyDescent="0.3">
      <c r="A10600" t="s">
        <v>0</v>
      </c>
    </row>
    <row r="10601" spans="1:1" x14ac:dyDescent="0.3">
      <c r="A10601" t="s">
        <v>0</v>
      </c>
    </row>
    <row r="10602" spans="1:1" x14ac:dyDescent="0.3">
      <c r="A10602" t="s">
        <v>0</v>
      </c>
    </row>
    <row r="10603" spans="1:1" x14ac:dyDescent="0.3">
      <c r="A10603" t="s">
        <v>0</v>
      </c>
    </row>
    <row r="10604" spans="1:1" x14ac:dyDescent="0.3">
      <c r="A10604" t="s">
        <v>0</v>
      </c>
    </row>
    <row r="10605" spans="1:1" x14ac:dyDescent="0.3">
      <c r="A10605" t="s">
        <v>0</v>
      </c>
    </row>
    <row r="10606" spans="1:1" x14ac:dyDescent="0.3">
      <c r="A10606" t="s">
        <v>0</v>
      </c>
    </row>
    <row r="10607" spans="1:1" x14ac:dyDescent="0.3">
      <c r="A10607" t="s">
        <v>0</v>
      </c>
    </row>
    <row r="10608" spans="1:1" x14ac:dyDescent="0.3">
      <c r="A10608" t="s">
        <v>0</v>
      </c>
    </row>
    <row r="10609" spans="1:1" x14ac:dyDescent="0.3">
      <c r="A10609" t="s">
        <v>0</v>
      </c>
    </row>
    <row r="10610" spans="1:1" x14ac:dyDescent="0.3">
      <c r="A10610" t="s">
        <v>0</v>
      </c>
    </row>
    <row r="10611" spans="1:1" x14ac:dyDescent="0.3">
      <c r="A10611" t="s">
        <v>0</v>
      </c>
    </row>
    <row r="10612" spans="1:1" x14ac:dyDescent="0.3">
      <c r="A10612" t="s">
        <v>0</v>
      </c>
    </row>
    <row r="10613" spans="1:1" x14ac:dyDescent="0.3">
      <c r="A10613" t="s">
        <v>0</v>
      </c>
    </row>
    <row r="10614" spans="1:1" x14ac:dyDescent="0.3">
      <c r="A10614" t="s">
        <v>0</v>
      </c>
    </row>
    <row r="10615" spans="1:1" x14ac:dyDescent="0.3">
      <c r="A10615" t="s">
        <v>0</v>
      </c>
    </row>
    <row r="10616" spans="1:1" x14ac:dyDescent="0.3">
      <c r="A10616" t="s">
        <v>0</v>
      </c>
    </row>
    <row r="10617" spans="1:1" x14ac:dyDescent="0.3">
      <c r="A10617" t="s">
        <v>0</v>
      </c>
    </row>
    <row r="10618" spans="1:1" x14ac:dyDescent="0.3">
      <c r="A10618" t="s">
        <v>0</v>
      </c>
    </row>
    <row r="10619" spans="1:1" x14ac:dyDescent="0.3">
      <c r="A10619" t="s">
        <v>0</v>
      </c>
    </row>
    <row r="10620" spans="1:1" x14ac:dyDescent="0.3">
      <c r="A10620" t="s">
        <v>0</v>
      </c>
    </row>
    <row r="10621" spans="1:1" x14ac:dyDescent="0.3">
      <c r="A10621" t="s">
        <v>0</v>
      </c>
    </row>
    <row r="10622" spans="1:1" x14ac:dyDescent="0.3">
      <c r="A10622" t="s">
        <v>0</v>
      </c>
    </row>
    <row r="10623" spans="1:1" x14ac:dyDescent="0.3">
      <c r="A10623" t="s">
        <v>0</v>
      </c>
    </row>
    <row r="10624" spans="1:1" x14ac:dyDescent="0.3">
      <c r="A10624" t="s">
        <v>0</v>
      </c>
    </row>
    <row r="10625" spans="1:1" x14ac:dyDescent="0.3">
      <c r="A10625" t="s">
        <v>0</v>
      </c>
    </row>
    <row r="10626" spans="1:1" x14ac:dyDescent="0.3">
      <c r="A10626" t="s">
        <v>0</v>
      </c>
    </row>
    <row r="10627" spans="1:1" x14ac:dyDescent="0.3">
      <c r="A10627" t="s">
        <v>0</v>
      </c>
    </row>
    <row r="10628" spans="1:1" x14ac:dyDescent="0.3">
      <c r="A10628" t="s">
        <v>0</v>
      </c>
    </row>
    <row r="10629" spans="1:1" x14ac:dyDescent="0.3">
      <c r="A10629" t="s">
        <v>0</v>
      </c>
    </row>
    <row r="10630" spans="1:1" x14ac:dyDescent="0.3">
      <c r="A10630" t="s">
        <v>0</v>
      </c>
    </row>
    <row r="10631" spans="1:1" x14ac:dyDescent="0.3">
      <c r="A10631" t="s">
        <v>0</v>
      </c>
    </row>
    <row r="10632" spans="1:1" x14ac:dyDescent="0.3">
      <c r="A10632" t="s">
        <v>0</v>
      </c>
    </row>
    <row r="10633" spans="1:1" x14ac:dyDescent="0.3">
      <c r="A10633" t="s">
        <v>0</v>
      </c>
    </row>
    <row r="10634" spans="1:1" x14ac:dyDescent="0.3">
      <c r="A10634" t="s">
        <v>0</v>
      </c>
    </row>
    <row r="10635" spans="1:1" x14ac:dyDescent="0.3">
      <c r="A10635" t="s">
        <v>0</v>
      </c>
    </row>
    <row r="10636" spans="1:1" x14ac:dyDescent="0.3">
      <c r="A10636" t="s">
        <v>0</v>
      </c>
    </row>
    <row r="10637" spans="1:1" x14ac:dyDescent="0.3">
      <c r="A10637" t="s">
        <v>0</v>
      </c>
    </row>
    <row r="10638" spans="1:1" x14ac:dyDescent="0.3">
      <c r="A10638" t="s">
        <v>0</v>
      </c>
    </row>
    <row r="10639" spans="1:1" x14ac:dyDescent="0.3">
      <c r="A10639" t="s">
        <v>0</v>
      </c>
    </row>
    <row r="10640" spans="1:1" x14ac:dyDescent="0.3">
      <c r="A10640" t="s">
        <v>0</v>
      </c>
    </row>
    <row r="10641" spans="1:1" x14ac:dyDescent="0.3">
      <c r="A10641" t="s">
        <v>0</v>
      </c>
    </row>
    <row r="10642" spans="1:1" x14ac:dyDescent="0.3">
      <c r="A10642" t="s">
        <v>0</v>
      </c>
    </row>
    <row r="10643" spans="1:1" x14ac:dyDescent="0.3">
      <c r="A10643" t="s">
        <v>0</v>
      </c>
    </row>
    <row r="10644" spans="1:1" x14ac:dyDescent="0.3">
      <c r="A10644" t="s">
        <v>0</v>
      </c>
    </row>
    <row r="10645" spans="1:1" x14ac:dyDescent="0.3">
      <c r="A10645" t="s">
        <v>0</v>
      </c>
    </row>
    <row r="10646" spans="1:1" x14ac:dyDescent="0.3">
      <c r="A10646" t="s">
        <v>0</v>
      </c>
    </row>
    <row r="10647" spans="1:1" x14ac:dyDescent="0.3">
      <c r="A10647" t="s">
        <v>0</v>
      </c>
    </row>
    <row r="10648" spans="1:1" x14ac:dyDescent="0.3">
      <c r="A10648" t="s">
        <v>0</v>
      </c>
    </row>
    <row r="10649" spans="1:1" x14ac:dyDescent="0.3">
      <c r="A10649" t="s">
        <v>0</v>
      </c>
    </row>
    <row r="10650" spans="1:1" x14ac:dyDescent="0.3">
      <c r="A10650" t="s">
        <v>0</v>
      </c>
    </row>
    <row r="10651" spans="1:1" x14ac:dyDescent="0.3">
      <c r="A10651" t="s">
        <v>0</v>
      </c>
    </row>
    <row r="10652" spans="1:1" x14ac:dyDescent="0.3">
      <c r="A10652" t="s">
        <v>0</v>
      </c>
    </row>
    <row r="10653" spans="1:1" x14ac:dyDescent="0.3">
      <c r="A10653" t="s">
        <v>0</v>
      </c>
    </row>
    <row r="10654" spans="1:1" x14ac:dyDescent="0.3">
      <c r="A10654" t="s">
        <v>0</v>
      </c>
    </row>
    <row r="10655" spans="1:1" x14ac:dyDescent="0.3">
      <c r="A10655" t="s">
        <v>0</v>
      </c>
    </row>
    <row r="10656" spans="1:1" x14ac:dyDescent="0.3">
      <c r="A10656" t="s">
        <v>0</v>
      </c>
    </row>
    <row r="10657" spans="1:1" x14ac:dyDescent="0.3">
      <c r="A10657" t="s">
        <v>0</v>
      </c>
    </row>
    <row r="10658" spans="1:1" x14ac:dyDescent="0.3">
      <c r="A10658" t="s">
        <v>0</v>
      </c>
    </row>
    <row r="10659" spans="1:1" x14ac:dyDescent="0.3">
      <c r="A10659" t="s">
        <v>0</v>
      </c>
    </row>
    <row r="10660" spans="1:1" x14ac:dyDescent="0.3">
      <c r="A10660" t="s">
        <v>0</v>
      </c>
    </row>
    <row r="10661" spans="1:1" x14ac:dyDescent="0.3">
      <c r="A10661" t="s">
        <v>0</v>
      </c>
    </row>
    <row r="10662" spans="1:1" x14ac:dyDescent="0.3">
      <c r="A10662" t="s">
        <v>0</v>
      </c>
    </row>
    <row r="10663" spans="1:1" x14ac:dyDescent="0.3">
      <c r="A10663" t="s">
        <v>0</v>
      </c>
    </row>
    <row r="10664" spans="1:1" x14ac:dyDescent="0.3">
      <c r="A10664" t="s">
        <v>0</v>
      </c>
    </row>
    <row r="10665" spans="1:1" x14ac:dyDescent="0.3">
      <c r="A10665" t="s">
        <v>0</v>
      </c>
    </row>
    <row r="10666" spans="1:1" x14ac:dyDescent="0.3">
      <c r="A10666" t="s">
        <v>0</v>
      </c>
    </row>
    <row r="10667" spans="1:1" x14ac:dyDescent="0.3">
      <c r="A10667" t="s">
        <v>0</v>
      </c>
    </row>
    <row r="10668" spans="1:1" x14ac:dyDescent="0.3">
      <c r="A10668" t="s">
        <v>0</v>
      </c>
    </row>
    <row r="10669" spans="1:1" x14ac:dyDescent="0.3">
      <c r="A10669" t="s">
        <v>0</v>
      </c>
    </row>
    <row r="10670" spans="1:1" x14ac:dyDescent="0.3">
      <c r="A10670" t="s">
        <v>0</v>
      </c>
    </row>
    <row r="10671" spans="1:1" x14ac:dyDescent="0.3">
      <c r="A10671" t="s">
        <v>0</v>
      </c>
    </row>
    <row r="10672" spans="1:1" x14ac:dyDescent="0.3">
      <c r="A10672" t="s">
        <v>0</v>
      </c>
    </row>
    <row r="10673" spans="1:1" x14ac:dyDescent="0.3">
      <c r="A10673" t="s">
        <v>0</v>
      </c>
    </row>
    <row r="10674" spans="1:1" x14ac:dyDescent="0.3">
      <c r="A10674" t="s">
        <v>0</v>
      </c>
    </row>
    <row r="10675" spans="1:1" x14ac:dyDescent="0.3">
      <c r="A10675" t="s">
        <v>0</v>
      </c>
    </row>
    <row r="10676" spans="1:1" x14ac:dyDescent="0.3">
      <c r="A10676" t="s">
        <v>0</v>
      </c>
    </row>
    <row r="10677" spans="1:1" x14ac:dyDescent="0.3">
      <c r="A10677" t="s">
        <v>0</v>
      </c>
    </row>
    <row r="10678" spans="1:1" x14ac:dyDescent="0.3">
      <c r="A10678" t="s">
        <v>0</v>
      </c>
    </row>
    <row r="10679" spans="1:1" x14ac:dyDescent="0.3">
      <c r="A10679" t="s">
        <v>0</v>
      </c>
    </row>
    <row r="10680" spans="1:1" x14ac:dyDescent="0.3">
      <c r="A10680" t="s">
        <v>0</v>
      </c>
    </row>
    <row r="10681" spans="1:1" x14ac:dyDescent="0.3">
      <c r="A10681" t="s">
        <v>0</v>
      </c>
    </row>
    <row r="10682" spans="1:1" x14ac:dyDescent="0.3">
      <c r="A10682" t="s">
        <v>0</v>
      </c>
    </row>
    <row r="10683" spans="1:1" x14ac:dyDescent="0.3">
      <c r="A10683" t="s">
        <v>0</v>
      </c>
    </row>
    <row r="10684" spans="1:1" x14ac:dyDescent="0.3">
      <c r="A10684" t="s">
        <v>0</v>
      </c>
    </row>
    <row r="10685" spans="1:1" x14ac:dyDescent="0.3">
      <c r="A10685" t="s">
        <v>0</v>
      </c>
    </row>
    <row r="10686" spans="1:1" x14ac:dyDescent="0.3">
      <c r="A10686" t="s">
        <v>0</v>
      </c>
    </row>
    <row r="10687" spans="1:1" x14ac:dyDescent="0.3">
      <c r="A10687" t="s">
        <v>0</v>
      </c>
    </row>
    <row r="10688" spans="1:1" x14ac:dyDescent="0.3">
      <c r="A10688" t="s">
        <v>0</v>
      </c>
    </row>
    <row r="10689" spans="1:1" x14ac:dyDescent="0.3">
      <c r="A10689" t="s">
        <v>0</v>
      </c>
    </row>
    <row r="10690" spans="1:1" x14ac:dyDescent="0.3">
      <c r="A10690" t="s">
        <v>0</v>
      </c>
    </row>
    <row r="10691" spans="1:1" x14ac:dyDescent="0.3">
      <c r="A10691" t="s">
        <v>0</v>
      </c>
    </row>
    <row r="10692" spans="1:1" x14ac:dyDescent="0.3">
      <c r="A10692" t="s">
        <v>0</v>
      </c>
    </row>
    <row r="10693" spans="1:1" x14ac:dyDescent="0.3">
      <c r="A10693" t="s">
        <v>0</v>
      </c>
    </row>
    <row r="10694" spans="1:1" x14ac:dyDescent="0.3">
      <c r="A10694" t="s">
        <v>0</v>
      </c>
    </row>
    <row r="10695" spans="1:1" x14ac:dyDescent="0.3">
      <c r="A10695" t="s">
        <v>0</v>
      </c>
    </row>
    <row r="10696" spans="1:1" x14ac:dyDescent="0.3">
      <c r="A10696" t="s">
        <v>0</v>
      </c>
    </row>
    <row r="10697" spans="1:1" x14ac:dyDescent="0.3">
      <c r="A10697" t="s">
        <v>0</v>
      </c>
    </row>
    <row r="10698" spans="1:1" x14ac:dyDescent="0.3">
      <c r="A10698" t="s">
        <v>0</v>
      </c>
    </row>
    <row r="10699" spans="1:1" x14ac:dyDescent="0.3">
      <c r="A10699" t="s">
        <v>0</v>
      </c>
    </row>
    <row r="10700" spans="1:1" x14ac:dyDescent="0.3">
      <c r="A10700" t="s">
        <v>0</v>
      </c>
    </row>
    <row r="10701" spans="1:1" x14ac:dyDescent="0.3">
      <c r="A10701" t="s">
        <v>0</v>
      </c>
    </row>
    <row r="10702" spans="1:1" x14ac:dyDescent="0.3">
      <c r="A10702" t="s">
        <v>0</v>
      </c>
    </row>
    <row r="10703" spans="1:1" x14ac:dyDescent="0.3">
      <c r="A10703" t="s">
        <v>0</v>
      </c>
    </row>
    <row r="10704" spans="1:1" x14ac:dyDescent="0.3">
      <c r="A10704" t="s">
        <v>0</v>
      </c>
    </row>
    <row r="10705" spans="1:1" x14ac:dyDescent="0.3">
      <c r="A10705" t="s">
        <v>0</v>
      </c>
    </row>
    <row r="10706" spans="1:1" x14ac:dyDescent="0.3">
      <c r="A10706" t="s">
        <v>0</v>
      </c>
    </row>
    <row r="10707" spans="1:1" x14ac:dyDescent="0.3">
      <c r="A10707" t="s">
        <v>0</v>
      </c>
    </row>
    <row r="10708" spans="1:1" x14ac:dyDescent="0.3">
      <c r="A10708" t="s">
        <v>0</v>
      </c>
    </row>
    <row r="10709" spans="1:1" x14ac:dyDescent="0.3">
      <c r="A10709" t="s">
        <v>0</v>
      </c>
    </row>
    <row r="10710" spans="1:1" x14ac:dyDescent="0.3">
      <c r="A10710" t="s">
        <v>0</v>
      </c>
    </row>
    <row r="10711" spans="1:1" x14ac:dyDescent="0.3">
      <c r="A10711" t="s">
        <v>0</v>
      </c>
    </row>
    <row r="10712" spans="1:1" x14ac:dyDescent="0.3">
      <c r="A10712" t="s">
        <v>0</v>
      </c>
    </row>
    <row r="10713" spans="1:1" x14ac:dyDescent="0.3">
      <c r="A10713" t="s">
        <v>0</v>
      </c>
    </row>
    <row r="10714" spans="1:1" x14ac:dyDescent="0.3">
      <c r="A10714" t="s">
        <v>0</v>
      </c>
    </row>
    <row r="10715" spans="1:1" x14ac:dyDescent="0.3">
      <c r="A10715" t="s">
        <v>0</v>
      </c>
    </row>
    <row r="10716" spans="1:1" x14ac:dyDescent="0.3">
      <c r="A10716" t="s">
        <v>0</v>
      </c>
    </row>
    <row r="10717" spans="1:1" x14ac:dyDescent="0.3">
      <c r="A10717" t="s">
        <v>0</v>
      </c>
    </row>
    <row r="10718" spans="1:1" x14ac:dyDescent="0.3">
      <c r="A10718" t="s">
        <v>0</v>
      </c>
    </row>
    <row r="10719" spans="1:1" x14ac:dyDescent="0.3">
      <c r="A10719" t="s">
        <v>0</v>
      </c>
    </row>
    <row r="10720" spans="1:1" x14ac:dyDescent="0.3">
      <c r="A10720" t="s">
        <v>0</v>
      </c>
    </row>
    <row r="10721" spans="1:1" x14ac:dyDescent="0.3">
      <c r="A10721" t="s">
        <v>0</v>
      </c>
    </row>
    <row r="10722" spans="1:1" x14ac:dyDescent="0.3">
      <c r="A10722" t="s">
        <v>0</v>
      </c>
    </row>
    <row r="10723" spans="1:1" x14ac:dyDescent="0.3">
      <c r="A10723" t="s">
        <v>0</v>
      </c>
    </row>
    <row r="10724" spans="1:1" x14ac:dyDescent="0.3">
      <c r="A10724" t="s">
        <v>0</v>
      </c>
    </row>
    <row r="10725" spans="1:1" x14ac:dyDescent="0.3">
      <c r="A10725" t="s">
        <v>0</v>
      </c>
    </row>
    <row r="10726" spans="1:1" x14ac:dyDescent="0.3">
      <c r="A10726" t="s">
        <v>0</v>
      </c>
    </row>
    <row r="10727" spans="1:1" x14ac:dyDescent="0.3">
      <c r="A10727" t="s">
        <v>0</v>
      </c>
    </row>
    <row r="10728" spans="1:1" x14ac:dyDescent="0.3">
      <c r="A10728" t="s">
        <v>0</v>
      </c>
    </row>
    <row r="10729" spans="1:1" x14ac:dyDescent="0.3">
      <c r="A10729" t="s">
        <v>0</v>
      </c>
    </row>
    <row r="10730" spans="1:1" x14ac:dyDescent="0.3">
      <c r="A10730" t="s">
        <v>0</v>
      </c>
    </row>
    <row r="10731" spans="1:1" x14ac:dyDescent="0.3">
      <c r="A10731" t="s">
        <v>0</v>
      </c>
    </row>
    <row r="10732" spans="1:1" x14ac:dyDescent="0.3">
      <c r="A10732" t="s">
        <v>0</v>
      </c>
    </row>
    <row r="10733" spans="1:1" x14ac:dyDescent="0.3">
      <c r="A10733" t="s">
        <v>0</v>
      </c>
    </row>
    <row r="10734" spans="1:1" x14ac:dyDescent="0.3">
      <c r="A10734" t="s">
        <v>0</v>
      </c>
    </row>
    <row r="10735" spans="1:1" x14ac:dyDescent="0.3">
      <c r="A10735" t="s">
        <v>0</v>
      </c>
    </row>
    <row r="10736" spans="1:1" x14ac:dyDescent="0.3">
      <c r="A10736" t="s">
        <v>0</v>
      </c>
    </row>
    <row r="10737" spans="1:1" x14ac:dyDescent="0.3">
      <c r="A10737" t="s">
        <v>0</v>
      </c>
    </row>
    <row r="10738" spans="1:1" x14ac:dyDescent="0.3">
      <c r="A10738" t="s">
        <v>0</v>
      </c>
    </row>
    <row r="10739" spans="1:1" x14ac:dyDescent="0.3">
      <c r="A10739" t="s">
        <v>0</v>
      </c>
    </row>
    <row r="10740" spans="1:1" x14ac:dyDescent="0.3">
      <c r="A10740" t="s">
        <v>0</v>
      </c>
    </row>
    <row r="10741" spans="1:1" x14ac:dyDescent="0.3">
      <c r="A10741" t="s">
        <v>0</v>
      </c>
    </row>
    <row r="10742" spans="1:1" x14ac:dyDescent="0.3">
      <c r="A10742" t="s">
        <v>0</v>
      </c>
    </row>
    <row r="10743" spans="1:1" x14ac:dyDescent="0.3">
      <c r="A10743" t="s">
        <v>0</v>
      </c>
    </row>
    <row r="10744" spans="1:1" x14ac:dyDescent="0.3">
      <c r="A10744" t="s">
        <v>0</v>
      </c>
    </row>
    <row r="10745" spans="1:1" x14ac:dyDescent="0.3">
      <c r="A10745" t="s">
        <v>0</v>
      </c>
    </row>
    <row r="10746" spans="1:1" x14ac:dyDescent="0.3">
      <c r="A10746" t="s">
        <v>0</v>
      </c>
    </row>
    <row r="10747" spans="1:1" x14ac:dyDescent="0.3">
      <c r="A10747" t="s">
        <v>0</v>
      </c>
    </row>
    <row r="10748" spans="1:1" x14ac:dyDescent="0.3">
      <c r="A10748" t="s">
        <v>0</v>
      </c>
    </row>
    <row r="10749" spans="1:1" x14ac:dyDescent="0.3">
      <c r="A10749" t="s">
        <v>0</v>
      </c>
    </row>
    <row r="10750" spans="1:1" x14ac:dyDescent="0.3">
      <c r="A10750" t="s">
        <v>0</v>
      </c>
    </row>
    <row r="10751" spans="1:1" x14ac:dyDescent="0.3">
      <c r="A10751" t="s">
        <v>0</v>
      </c>
    </row>
    <row r="10752" spans="1:1" x14ac:dyDescent="0.3">
      <c r="A10752" t="s">
        <v>0</v>
      </c>
    </row>
    <row r="10753" spans="1:1" x14ac:dyDescent="0.3">
      <c r="A10753" t="s">
        <v>0</v>
      </c>
    </row>
    <row r="10754" spans="1:1" x14ac:dyDescent="0.3">
      <c r="A10754" t="s">
        <v>0</v>
      </c>
    </row>
    <row r="10755" spans="1:1" x14ac:dyDescent="0.3">
      <c r="A10755" t="s">
        <v>0</v>
      </c>
    </row>
    <row r="10756" spans="1:1" x14ac:dyDescent="0.3">
      <c r="A10756" t="s">
        <v>0</v>
      </c>
    </row>
    <row r="10757" spans="1:1" x14ac:dyDescent="0.3">
      <c r="A10757" t="s">
        <v>0</v>
      </c>
    </row>
    <row r="10758" spans="1:1" x14ac:dyDescent="0.3">
      <c r="A10758" t="s">
        <v>0</v>
      </c>
    </row>
    <row r="10759" spans="1:1" x14ac:dyDescent="0.3">
      <c r="A10759" t="s">
        <v>0</v>
      </c>
    </row>
    <row r="10760" spans="1:1" x14ac:dyDescent="0.3">
      <c r="A10760" t="s">
        <v>0</v>
      </c>
    </row>
    <row r="10761" spans="1:1" x14ac:dyDescent="0.3">
      <c r="A10761" t="s">
        <v>0</v>
      </c>
    </row>
    <row r="10762" spans="1:1" x14ac:dyDescent="0.3">
      <c r="A10762" t="s">
        <v>0</v>
      </c>
    </row>
    <row r="10763" spans="1:1" x14ac:dyDescent="0.3">
      <c r="A10763" t="s">
        <v>0</v>
      </c>
    </row>
    <row r="10764" spans="1:1" x14ac:dyDescent="0.3">
      <c r="A10764" t="s">
        <v>0</v>
      </c>
    </row>
    <row r="10765" spans="1:1" x14ac:dyDescent="0.3">
      <c r="A10765" t="s">
        <v>0</v>
      </c>
    </row>
    <row r="10766" spans="1:1" x14ac:dyDescent="0.3">
      <c r="A10766" t="s">
        <v>0</v>
      </c>
    </row>
    <row r="10767" spans="1:1" x14ac:dyDescent="0.3">
      <c r="A10767" t="s">
        <v>0</v>
      </c>
    </row>
    <row r="10768" spans="1:1" x14ac:dyDescent="0.3">
      <c r="A10768" t="s">
        <v>0</v>
      </c>
    </row>
    <row r="10769" spans="1:1" x14ac:dyDescent="0.3">
      <c r="A10769" t="s">
        <v>0</v>
      </c>
    </row>
    <row r="10770" spans="1:1" x14ac:dyDescent="0.3">
      <c r="A10770" t="s">
        <v>0</v>
      </c>
    </row>
    <row r="10771" spans="1:1" x14ac:dyDescent="0.3">
      <c r="A10771" t="s">
        <v>0</v>
      </c>
    </row>
    <row r="10772" spans="1:1" x14ac:dyDescent="0.3">
      <c r="A10772" t="s">
        <v>0</v>
      </c>
    </row>
    <row r="10773" spans="1:1" x14ac:dyDescent="0.3">
      <c r="A10773" t="s">
        <v>0</v>
      </c>
    </row>
    <row r="10774" spans="1:1" x14ac:dyDescent="0.3">
      <c r="A10774" t="s">
        <v>0</v>
      </c>
    </row>
    <row r="10775" spans="1:1" x14ac:dyDescent="0.3">
      <c r="A10775" t="s">
        <v>0</v>
      </c>
    </row>
    <row r="10776" spans="1:1" x14ac:dyDescent="0.3">
      <c r="A10776" t="s">
        <v>0</v>
      </c>
    </row>
    <row r="10777" spans="1:1" x14ac:dyDescent="0.3">
      <c r="A10777" t="s">
        <v>0</v>
      </c>
    </row>
    <row r="10778" spans="1:1" x14ac:dyDescent="0.3">
      <c r="A10778" t="s">
        <v>0</v>
      </c>
    </row>
    <row r="10779" spans="1:1" x14ac:dyDescent="0.3">
      <c r="A10779" t="s">
        <v>0</v>
      </c>
    </row>
    <row r="10780" spans="1:1" x14ac:dyDescent="0.3">
      <c r="A10780" t="s">
        <v>0</v>
      </c>
    </row>
    <row r="10781" spans="1:1" x14ac:dyDescent="0.3">
      <c r="A10781" t="s">
        <v>0</v>
      </c>
    </row>
    <row r="10782" spans="1:1" x14ac:dyDescent="0.3">
      <c r="A10782" t="s">
        <v>0</v>
      </c>
    </row>
    <row r="10783" spans="1:1" x14ac:dyDescent="0.3">
      <c r="A10783" t="s">
        <v>0</v>
      </c>
    </row>
    <row r="10784" spans="1:1" x14ac:dyDescent="0.3">
      <c r="A10784" t="s">
        <v>0</v>
      </c>
    </row>
    <row r="10785" spans="1:1" x14ac:dyDescent="0.3">
      <c r="A10785" t="s">
        <v>0</v>
      </c>
    </row>
    <row r="10786" spans="1:1" x14ac:dyDescent="0.3">
      <c r="A10786" t="s">
        <v>0</v>
      </c>
    </row>
    <row r="10787" spans="1:1" x14ac:dyDescent="0.3">
      <c r="A10787" t="s">
        <v>0</v>
      </c>
    </row>
    <row r="10788" spans="1:1" x14ac:dyDescent="0.3">
      <c r="A10788" t="s">
        <v>0</v>
      </c>
    </row>
    <row r="10789" spans="1:1" x14ac:dyDescent="0.3">
      <c r="A10789" t="s">
        <v>0</v>
      </c>
    </row>
    <row r="10790" spans="1:1" x14ac:dyDescent="0.3">
      <c r="A10790" t="s">
        <v>0</v>
      </c>
    </row>
    <row r="10791" spans="1:1" x14ac:dyDescent="0.3">
      <c r="A10791" t="s">
        <v>0</v>
      </c>
    </row>
    <row r="10792" spans="1:1" x14ac:dyDescent="0.3">
      <c r="A10792" t="s">
        <v>0</v>
      </c>
    </row>
    <row r="10793" spans="1:1" x14ac:dyDescent="0.3">
      <c r="A10793" t="s">
        <v>0</v>
      </c>
    </row>
    <row r="10794" spans="1:1" x14ac:dyDescent="0.3">
      <c r="A10794" t="s">
        <v>0</v>
      </c>
    </row>
    <row r="10795" spans="1:1" x14ac:dyDescent="0.3">
      <c r="A10795" t="s">
        <v>0</v>
      </c>
    </row>
    <row r="10796" spans="1:1" x14ac:dyDescent="0.3">
      <c r="A10796" t="s">
        <v>0</v>
      </c>
    </row>
    <row r="10797" spans="1:1" x14ac:dyDescent="0.3">
      <c r="A10797" t="s">
        <v>0</v>
      </c>
    </row>
    <row r="10798" spans="1:1" x14ac:dyDescent="0.3">
      <c r="A10798" t="s">
        <v>0</v>
      </c>
    </row>
    <row r="10799" spans="1:1" x14ac:dyDescent="0.3">
      <c r="A10799" t="s">
        <v>0</v>
      </c>
    </row>
    <row r="10800" spans="1:1" x14ac:dyDescent="0.3">
      <c r="A10800" t="s">
        <v>0</v>
      </c>
    </row>
    <row r="10801" spans="1:1" x14ac:dyDescent="0.3">
      <c r="A10801" t="s">
        <v>0</v>
      </c>
    </row>
    <row r="10802" spans="1:1" x14ac:dyDescent="0.3">
      <c r="A10802" t="s">
        <v>0</v>
      </c>
    </row>
    <row r="10803" spans="1:1" x14ac:dyDescent="0.3">
      <c r="A10803" t="s">
        <v>0</v>
      </c>
    </row>
    <row r="10804" spans="1:1" x14ac:dyDescent="0.3">
      <c r="A10804" t="s">
        <v>0</v>
      </c>
    </row>
    <row r="10805" spans="1:1" x14ac:dyDescent="0.3">
      <c r="A10805" t="s">
        <v>0</v>
      </c>
    </row>
    <row r="10806" spans="1:1" x14ac:dyDescent="0.3">
      <c r="A10806" t="s">
        <v>0</v>
      </c>
    </row>
    <row r="10807" spans="1:1" x14ac:dyDescent="0.3">
      <c r="A10807" t="s">
        <v>0</v>
      </c>
    </row>
    <row r="10808" spans="1:1" x14ac:dyDescent="0.3">
      <c r="A10808" t="s">
        <v>0</v>
      </c>
    </row>
    <row r="10809" spans="1:1" x14ac:dyDescent="0.3">
      <c r="A10809" t="s">
        <v>0</v>
      </c>
    </row>
    <row r="10810" spans="1:1" x14ac:dyDescent="0.3">
      <c r="A10810" t="s">
        <v>0</v>
      </c>
    </row>
    <row r="10811" spans="1:1" x14ac:dyDescent="0.3">
      <c r="A10811" t="s">
        <v>0</v>
      </c>
    </row>
    <row r="10812" spans="1:1" x14ac:dyDescent="0.3">
      <c r="A10812" t="s">
        <v>0</v>
      </c>
    </row>
    <row r="10813" spans="1:1" x14ac:dyDescent="0.3">
      <c r="A10813" t="s">
        <v>0</v>
      </c>
    </row>
    <row r="10814" spans="1:1" x14ac:dyDescent="0.3">
      <c r="A10814" t="s">
        <v>0</v>
      </c>
    </row>
    <row r="10815" spans="1:1" x14ac:dyDescent="0.3">
      <c r="A10815" t="s">
        <v>0</v>
      </c>
    </row>
    <row r="10816" spans="1:1" x14ac:dyDescent="0.3">
      <c r="A10816" t="s">
        <v>0</v>
      </c>
    </row>
    <row r="10817" spans="1:1" x14ac:dyDescent="0.3">
      <c r="A10817" t="s">
        <v>0</v>
      </c>
    </row>
    <row r="10818" spans="1:1" x14ac:dyDescent="0.3">
      <c r="A10818" t="s">
        <v>0</v>
      </c>
    </row>
    <row r="10819" spans="1:1" x14ac:dyDescent="0.3">
      <c r="A10819" t="s">
        <v>0</v>
      </c>
    </row>
    <row r="10820" spans="1:1" x14ac:dyDescent="0.3">
      <c r="A10820" t="s">
        <v>0</v>
      </c>
    </row>
    <row r="10821" spans="1:1" x14ac:dyDescent="0.3">
      <c r="A10821" t="s">
        <v>0</v>
      </c>
    </row>
    <row r="10822" spans="1:1" x14ac:dyDescent="0.3">
      <c r="A10822" t="s">
        <v>0</v>
      </c>
    </row>
    <row r="10823" spans="1:1" x14ac:dyDescent="0.3">
      <c r="A10823" t="s">
        <v>0</v>
      </c>
    </row>
    <row r="10824" spans="1:1" x14ac:dyDescent="0.3">
      <c r="A10824" t="s">
        <v>0</v>
      </c>
    </row>
    <row r="10825" spans="1:1" x14ac:dyDescent="0.3">
      <c r="A10825" t="s">
        <v>0</v>
      </c>
    </row>
    <row r="10826" spans="1:1" x14ac:dyDescent="0.3">
      <c r="A10826" t="s">
        <v>0</v>
      </c>
    </row>
    <row r="10827" spans="1:1" x14ac:dyDescent="0.3">
      <c r="A10827" t="s">
        <v>0</v>
      </c>
    </row>
    <row r="10828" spans="1:1" x14ac:dyDescent="0.3">
      <c r="A10828" t="s">
        <v>0</v>
      </c>
    </row>
    <row r="10829" spans="1:1" x14ac:dyDescent="0.3">
      <c r="A10829" t="s">
        <v>0</v>
      </c>
    </row>
    <row r="10830" spans="1:1" x14ac:dyDescent="0.3">
      <c r="A10830" t="s">
        <v>0</v>
      </c>
    </row>
    <row r="10831" spans="1:1" x14ac:dyDescent="0.3">
      <c r="A10831" t="s">
        <v>0</v>
      </c>
    </row>
    <row r="10832" spans="1:1" x14ac:dyDescent="0.3">
      <c r="A10832" t="s">
        <v>0</v>
      </c>
    </row>
    <row r="10833" spans="1:1" x14ac:dyDescent="0.3">
      <c r="A10833" t="s">
        <v>0</v>
      </c>
    </row>
    <row r="10834" spans="1:1" x14ac:dyDescent="0.3">
      <c r="A10834" t="s">
        <v>0</v>
      </c>
    </row>
    <row r="10835" spans="1:1" x14ac:dyDescent="0.3">
      <c r="A10835" t="s">
        <v>0</v>
      </c>
    </row>
    <row r="10836" spans="1:1" x14ac:dyDescent="0.3">
      <c r="A10836" t="s">
        <v>0</v>
      </c>
    </row>
    <row r="10837" spans="1:1" x14ac:dyDescent="0.3">
      <c r="A10837" t="s">
        <v>0</v>
      </c>
    </row>
    <row r="10838" spans="1:1" x14ac:dyDescent="0.3">
      <c r="A10838" t="s">
        <v>0</v>
      </c>
    </row>
    <row r="10839" spans="1:1" x14ac:dyDescent="0.3">
      <c r="A10839" t="s">
        <v>0</v>
      </c>
    </row>
    <row r="10840" spans="1:1" x14ac:dyDescent="0.3">
      <c r="A10840" t="s">
        <v>0</v>
      </c>
    </row>
    <row r="10841" spans="1:1" x14ac:dyDescent="0.3">
      <c r="A10841" t="s">
        <v>0</v>
      </c>
    </row>
    <row r="10842" spans="1:1" x14ac:dyDescent="0.3">
      <c r="A10842" t="s">
        <v>0</v>
      </c>
    </row>
    <row r="10843" spans="1:1" x14ac:dyDescent="0.3">
      <c r="A10843" t="s">
        <v>0</v>
      </c>
    </row>
    <row r="10844" spans="1:1" x14ac:dyDescent="0.3">
      <c r="A10844" t="s">
        <v>0</v>
      </c>
    </row>
    <row r="10845" spans="1:1" x14ac:dyDescent="0.3">
      <c r="A10845" t="s">
        <v>0</v>
      </c>
    </row>
    <row r="10846" spans="1:1" x14ac:dyDescent="0.3">
      <c r="A10846" t="s">
        <v>0</v>
      </c>
    </row>
    <row r="10847" spans="1:1" x14ac:dyDescent="0.3">
      <c r="A10847" t="s">
        <v>0</v>
      </c>
    </row>
    <row r="10848" spans="1:1" x14ac:dyDescent="0.3">
      <c r="A10848" t="s">
        <v>0</v>
      </c>
    </row>
    <row r="10849" spans="1:1" x14ac:dyDescent="0.3">
      <c r="A10849" t="s">
        <v>0</v>
      </c>
    </row>
    <row r="10850" spans="1:1" x14ac:dyDescent="0.3">
      <c r="A10850" t="s">
        <v>0</v>
      </c>
    </row>
    <row r="10851" spans="1:1" x14ac:dyDescent="0.3">
      <c r="A10851" t="s">
        <v>0</v>
      </c>
    </row>
    <row r="10852" spans="1:1" x14ac:dyDescent="0.3">
      <c r="A10852" t="s">
        <v>0</v>
      </c>
    </row>
    <row r="10853" spans="1:1" x14ac:dyDescent="0.3">
      <c r="A10853" t="s">
        <v>0</v>
      </c>
    </row>
    <row r="10854" spans="1:1" x14ac:dyDescent="0.3">
      <c r="A10854" t="s">
        <v>0</v>
      </c>
    </row>
    <row r="10855" spans="1:1" x14ac:dyDescent="0.3">
      <c r="A10855" t="s">
        <v>0</v>
      </c>
    </row>
    <row r="10856" spans="1:1" x14ac:dyDescent="0.3">
      <c r="A10856" t="s">
        <v>0</v>
      </c>
    </row>
    <row r="10857" spans="1:1" x14ac:dyDescent="0.3">
      <c r="A10857" t="s">
        <v>0</v>
      </c>
    </row>
    <row r="10858" spans="1:1" x14ac:dyDescent="0.3">
      <c r="A10858" t="s">
        <v>0</v>
      </c>
    </row>
    <row r="10859" spans="1:1" x14ac:dyDescent="0.3">
      <c r="A10859" t="s">
        <v>0</v>
      </c>
    </row>
    <row r="10860" spans="1:1" x14ac:dyDescent="0.3">
      <c r="A10860" t="s">
        <v>0</v>
      </c>
    </row>
    <row r="10861" spans="1:1" x14ac:dyDescent="0.3">
      <c r="A10861" t="s">
        <v>0</v>
      </c>
    </row>
    <row r="10862" spans="1:1" x14ac:dyDescent="0.3">
      <c r="A10862" t="s">
        <v>0</v>
      </c>
    </row>
    <row r="10863" spans="1:1" x14ac:dyDescent="0.3">
      <c r="A10863" t="s">
        <v>0</v>
      </c>
    </row>
    <row r="10864" spans="1:1" x14ac:dyDescent="0.3">
      <c r="A10864" t="s">
        <v>0</v>
      </c>
    </row>
    <row r="10865" spans="1:1" x14ac:dyDescent="0.3">
      <c r="A10865" t="s">
        <v>0</v>
      </c>
    </row>
    <row r="10866" spans="1:1" x14ac:dyDescent="0.3">
      <c r="A10866" t="s">
        <v>0</v>
      </c>
    </row>
    <row r="10867" spans="1:1" x14ac:dyDescent="0.3">
      <c r="A10867" t="s">
        <v>0</v>
      </c>
    </row>
    <row r="10868" spans="1:1" x14ac:dyDescent="0.3">
      <c r="A10868" t="s">
        <v>0</v>
      </c>
    </row>
    <row r="10869" spans="1:1" x14ac:dyDescent="0.3">
      <c r="A10869" t="s">
        <v>0</v>
      </c>
    </row>
    <row r="10870" spans="1:1" x14ac:dyDescent="0.3">
      <c r="A10870" t="s">
        <v>0</v>
      </c>
    </row>
    <row r="10871" spans="1:1" x14ac:dyDescent="0.3">
      <c r="A10871" t="s">
        <v>0</v>
      </c>
    </row>
    <row r="10872" spans="1:1" x14ac:dyDescent="0.3">
      <c r="A10872" t="s">
        <v>0</v>
      </c>
    </row>
    <row r="10873" spans="1:1" x14ac:dyDescent="0.3">
      <c r="A10873" t="s">
        <v>0</v>
      </c>
    </row>
    <row r="10874" spans="1:1" x14ac:dyDescent="0.3">
      <c r="A10874" t="s">
        <v>0</v>
      </c>
    </row>
    <row r="10875" spans="1:1" x14ac:dyDescent="0.3">
      <c r="A10875" t="s">
        <v>0</v>
      </c>
    </row>
    <row r="10876" spans="1:1" x14ac:dyDescent="0.3">
      <c r="A10876" t="s">
        <v>0</v>
      </c>
    </row>
    <row r="10877" spans="1:1" x14ac:dyDescent="0.3">
      <c r="A10877" t="s">
        <v>0</v>
      </c>
    </row>
    <row r="10878" spans="1:1" x14ac:dyDescent="0.3">
      <c r="A10878" t="s">
        <v>0</v>
      </c>
    </row>
    <row r="10879" spans="1:1" x14ac:dyDescent="0.3">
      <c r="A10879" t="s">
        <v>0</v>
      </c>
    </row>
    <row r="10880" spans="1:1" x14ac:dyDescent="0.3">
      <c r="A10880" t="s">
        <v>0</v>
      </c>
    </row>
    <row r="10881" spans="1:1" x14ac:dyDescent="0.3">
      <c r="A10881" t="s">
        <v>0</v>
      </c>
    </row>
    <row r="10882" spans="1:1" x14ac:dyDescent="0.3">
      <c r="A10882" t="s">
        <v>0</v>
      </c>
    </row>
    <row r="10883" spans="1:1" x14ac:dyDescent="0.3">
      <c r="A10883" t="s">
        <v>0</v>
      </c>
    </row>
    <row r="10884" spans="1:1" x14ac:dyDescent="0.3">
      <c r="A10884" t="s">
        <v>0</v>
      </c>
    </row>
    <row r="10885" spans="1:1" x14ac:dyDescent="0.3">
      <c r="A10885" t="s">
        <v>0</v>
      </c>
    </row>
    <row r="10886" spans="1:1" x14ac:dyDescent="0.3">
      <c r="A10886" t="s">
        <v>0</v>
      </c>
    </row>
    <row r="10887" spans="1:1" x14ac:dyDescent="0.3">
      <c r="A10887" t="s">
        <v>0</v>
      </c>
    </row>
    <row r="10888" spans="1:1" x14ac:dyDescent="0.3">
      <c r="A10888" t="s">
        <v>0</v>
      </c>
    </row>
    <row r="10889" spans="1:1" x14ac:dyDescent="0.3">
      <c r="A10889" t="s">
        <v>0</v>
      </c>
    </row>
    <row r="10890" spans="1:1" x14ac:dyDescent="0.3">
      <c r="A10890" t="s">
        <v>0</v>
      </c>
    </row>
    <row r="10891" spans="1:1" x14ac:dyDescent="0.3">
      <c r="A10891" t="s">
        <v>0</v>
      </c>
    </row>
    <row r="10892" spans="1:1" x14ac:dyDescent="0.3">
      <c r="A10892" t="s">
        <v>0</v>
      </c>
    </row>
    <row r="10893" spans="1:1" x14ac:dyDescent="0.3">
      <c r="A10893" t="s">
        <v>0</v>
      </c>
    </row>
    <row r="10894" spans="1:1" x14ac:dyDescent="0.3">
      <c r="A10894" t="s">
        <v>0</v>
      </c>
    </row>
    <row r="10895" spans="1:1" x14ac:dyDescent="0.3">
      <c r="A10895" t="s">
        <v>0</v>
      </c>
    </row>
    <row r="10896" spans="1:1" x14ac:dyDescent="0.3">
      <c r="A10896" t="s">
        <v>0</v>
      </c>
    </row>
    <row r="10897" spans="1:1" x14ac:dyDescent="0.3">
      <c r="A10897" t="s">
        <v>0</v>
      </c>
    </row>
    <row r="10898" spans="1:1" x14ac:dyDescent="0.3">
      <c r="A10898" t="s">
        <v>0</v>
      </c>
    </row>
    <row r="10899" spans="1:1" x14ac:dyDescent="0.3">
      <c r="A10899" t="s">
        <v>0</v>
      </c>
    </row>
    <row r="10900" spans="1:1" x14ac:dyDescent="0.3">
      <c r="A10900" t="s">
        <v>0</v>
      </c>
    </row>
    <row r="10901" spans="1:1" x14ac:dyDescent="0.3">
      <c r="A10901" t="s">
        <v>0</v>
      </c>
    </row>
    <row r="10902" spans="1:1" x14ac:dyDescent="0.3">
      <c r="A10902" t="s">
        <v>0</v>
      </c>
    </row>
    <row r="10903" spans="1:1" x14ac:dyDescent="0.3">
      <c r="A10903" t="s">
        <v>0</v>
      </c>
    </row>
    <row r="10904" spans="1:1" x14ac:dyDescent="0.3">
      <c r="A10904" t="s">
        <v>0</v>
      </c>
    </row>
    <row r="10905" spans="1:1" x14ac:dyDescent="0.3">
      <c r="A10905" t="s">
        <v>0</v>
      </c>
    </row>
    <row r="10906" spans="1:1" x14ac:dyDescent="0.3">
      <c r="A10906" t="s">
        <v>0</v>
      </c>
    </row>
    <row r="10907" spans="1:1" x14ac:dyDescent="0.3">
      <c r="A10907" t="s">
        <v>0</v>
      </c>
    </row>
    <row r="10908" spans="1:1" x14ac:dyDescent="0.3">
      <c r="A10908" t="s">
        <v>0</v>
      </c>
    </row>
    <row r="10909" spans="1:1" x14ac:dyDescent="0.3">
      <c r="A10909" t="s">
        <v>0</v>
      </c>
    </row>
    <row r="10910" spans="1:1" x14ac:dyDescent="0.3">
      <c r="A10910" t="s">
        <v>0</v>
      </c>
    </row>
    <row r="10911" spans="1:1" x14ac:dyDescent="0.3">
      <c r="A10911" t="s">
        <v>0</v>
      </c>
    </row>
    <row r="10912" spans="1:1" x14ac:dyDescent="0.3">
      <c r="A10912" t="s">
        <v>0</v>
      </c>
    </row>
    <row r="10913" spans="1:1" x14ac:dyDescent="0.3">
      <c r="A10913" t="s">
        <v>0</v>
      </c>
    </row>
    <row r="10914" spans="1:1" x14ac:dyDescent="0.3">
      <c r="A10914" t="s">
        <v>0</v>
      </c>
    </row>
    <row r="10915" spans="1:1" x14ac:dyDescent="0.3">
      <c r="A10915" t="s">
        <v>0</v>
      </c>
    </row>
    <row r="10916" spans="1:1" x14ac:dyDescent="0.3">
      <c r="A10916" t="s">
        <v>0</v>
      </c>
    </row>
    <row r="10917" spans="1:1" x14ac:dyDescent="0.3">
      <c r="A10917" t="s">
        <v>0</v>
      </c>
    </row>
    <row r="10918" spans="1:1" x14ac:dyDescent="0.3">
      <c r="A10918" t="s">
        <v>0</v>
      </c>
    </row>
    <row r="10919" spans="1:1" x14ac:dyDescent="0.3">
      <c r="A10919" t="s">
        <v>0</v>
      </c>
    </row>
    <row r="10920" spans="1:1" x14ac:dyDescent="0.3">
      <c r="A10920" t="s">
        <v>0</v>
      </c>
    </row>
    <row r="10921" spans="1:1" x14ac:dyDescent="0.3">
      <c r="A10921" t="s">
        <v>0</v>
      </c>
    </row>
    <row r="10922" spans="1:1" x14ac:dyDescent="0.3">
      <c r="A10922" t="s">
        <v>0</v>
      </c>
    </row>
    <row r="10923" spans="1:1" x14ac:dyDescent="0.3">
      <c r="A10923" t="s">
        <v>0</v>
      </c>
    </row>
    <row r="10924" spans="1:1" x14ac:dyDescent="0.3">
      <c r="A10924" t="s">
        <v>0</v>
      </c>
    </row>
    <row r="10925" spans="1:1" x14ac:dyDescent="0.3">
      <c r="A10925" t="s">
        <v>0</v>
      </c>
    </row>
    <row r="10926" spans="1:1" x14ac:dyDescent="0.3">
      <c r="A10926" t="s">
        <v>0</v>
      </c>
    </row>
    <row r="10927" spans="1:1" x14ac:dyDescent="0.3">
      <c r="A10927" t="s">
        <v>0</v>
      </c>
    </row>
    <row r="10928" spans="1:1" x14ac:dyDescent="0.3">
      <c r="A10928" t="s">
        <v>0</v>
      </c>
    </row>
    <row r="10929" spans="1:1" x14ac:dyDescent="0.3">
      <c r="A10929" t="s">
        <v>0</v>
      </c>
    </row>
    <row r="10930" spans="1:1" x14ac:dyDescent="0.3">
      <c r="A10930" t="s">
        <v>0</v>
      </c>
    </row>
    <row r="10931" spans="1:1" x14ac:dyDescent="0.3">
      <c r="A10931" t="s">
        <v>0</v>
      </c>
    </row>
    <row r="10932" spans="1:1" x14ac:dyDescent="0.3">
      <c r="A10932" t="s">
        <v>0</v>
      </c>
    </row>
    <row r="10933" spans="1:1" x14ac:dyDescent="0.3">
      <c r="A10933" t="s">
        <v>0</v>
      </c>
    </row>
    <row r="10934" spans="1:1" x14ac:dyDescent="0.3">
      <c r="A10934" t="s">
        <v>0</v>
      </c>
    </row>
    <row r="10935" spans="1:1" x14ac:dyDescent="0.3">
      <c r="A10935" t="s">
        <v>0</v>
      </c>
    </row>
    <row r="10936" spans="1:1" x14ac:dyDescent="0.3">
      <c r="A10936" t="s">
        <v>0</v>
      </c>
    </row>
    <row r="10937" spans="1:1" x14ac:dyDescent="0.3">
      <c r="A10937" t="s">
        <v>0</v>
      </c>
    </row>
    <row r="10938" spans="1:1" x14ac:dyDescent="0.3">
      <c r="A10938" t="s">
        <v>0</v>
      </c>
    </row>
    <row r="10939" spans="1:1" x14ac:dyDescent="0.3">
      <c r="A10939" t="s">
        <v>0</v>
      </c>
    </row>
    <row r="10940" spans="1:1" x14ac:dyDescent="0.3">
      <c r="A10940" t="s">
        <v>0</v>
      </c>
    </row>
    <row r="10941" spans="1:1" x14ac:dyDescent="0.3">
      <c r="A10941" t="s">
        <v>0</v>
      </c>
    </row>
    <row r="10942" spans="1:1" x14ac:dyDescent="0.3">
      <c r="A10942" t="s">
        <v>0</v>
      </c>
    </row>
    <row r="10943" spans="1:1" x14ac:dyDescent="0.3">
      <c r="A10943" t="s">
        <v>0</v>
      </c>
    </row>
    <row r="10944" spans="1:1" x14ac:dyDescent="0.3">
      <c r="A10944" t="s">
        <v>0</v>
      </c>
    </row>
    <row r="10945" spans="1:1" x14ac:dyDescent="0.3">
      <c r="A10945" t="s">
        <v>0</v>
      </c>
    </row>
    <row r="10946" spans="1:1" x14ac:dyDescent="0.3">
      <c r="A10946" t="s">
        <v>0</v>
      </c>
    </row>
    <row r="10947" spans="1:1" x14ac:dyDescent="0.3">
      <c r="A10947" t="s">
        <v>0</v>
      </c>
    </row>
    <row r="10948" spans="1:1" x14ac:dyDescent="0.3">
      <c r="A10948" t="s">
        <v>0</v>
      </c>
    </row>
    <row r="10949" spans="1:1" x14ac:dyDescent="0.3">
      <c r="A10949" t="s">
        <v>0</v>
      </c>
    </row>
    <row r="10950" spans="1:1" x14ac:dyDescent="0.3">
      <c r="A10950" t="s">
        <v>0</v>
      </c>
    </row>
    <row r="10951" spans="1:1" x14ac:dyDescent="0.3">
      <c r="A10951" t="s">
        <v>0</v>
      </c>
    </row>
    <row r="10952" spans="1:1" x14ac:dyDescent="0.3">
      <c r="A10952" t="s">
        <v>0</v>
      </c>
    </row>
    <row r="10953" spans="1:1" x14ac:dyDescent="0.3">
      <c r="A10953" t="s">
        <v>0</v>
      </c>
    </row>
    <row r="10954" spans="1:1" x14ac:dyDescent="0.3">
      <c r="A10954" t="s">
        <v>0</v>
      </c>
    </row>
    <row r="10955" spans="1:1" x14ac:dyDescent="0.3">
      <c r="A10955" t="s">
        <v>0</v>
      </c>
    </row>
    <row r="10956" spans="1:1" x14ac:dyDescent="0.3">
      <c r="A10956" t="s">
        <v>0</v>
      </c>
    </row>
    <row r="10957" spans="1:1" x14ac:dyDescent="0.3">
      <c r="A10957" t="s">
        <v>0</v>
      </c>
    </row>
    <row r="10958" spans="1:1" x14ac:dyDescent="0.3">
      <c r="A10958" t="s">
        <v>0</v>
      </c>
    </row>
    <row r="10959" spans="1:1" x14ac:dyDescent="0.3">
      <c r="A10959" t="s">
        <v>0</v>
      </c>
    </row>
    <row r="10960" spans="1:1" x14ac:dyDescent="0.3">
      <c r="A10960" t="s">
        <v>0</v>
      </c>
    </row>
    <row r="10961" spans="1:1" x14ac:dyDescent="0.3">
      <c r="A10961" t="s">
        <v>0</v>
      </c>
    </row>
    <row r="10962" spans="1:1" x14ac:dyDescent="0.3">
      <c r="A10962" t="s">
        <v>0</v>
      </c>
    </row>
    <row r="10963" spans="1:1" x14ac:dyDescent="0.3">
      <c r="A10963" t="s">
        <v>0</v>
      </c>
    </row>
    <row r="10964" spans="1:1" x14ac:dyDescent="0.3">
      <c r="A10964" t="s">
        <v>0</v>
      </c>
    </row>
    <row r="10965" spans="1:1" x14ac:dyDescent="0.3">
      <c r="A10965" t="s">
        <v>0</v>
      </c>
    </row>
    <row r="10966" spans="1:1" x14ac:dyDescent="0.3">
      <c r="A10966" t="s">
        <v>0</v>
      </c>
    </row>
    <row r="10967" spans="1:1" x14ac:dyDescent="0.3">
      <c r="A10967" t="s">
        <v>0</v>
      </c>
    </row>
    <row r="10968" spans="1:1" x14ac:dyDescent="0.3">
      <c r="A10968" t="s">
        <v>0</v>
      </c>
    </row>
    <row r="10969" spans="1:1" x14ac:dyDescent="0.3">
      <c r="A10969" t="s">
        <v>0</v>
      </c>
    </row>
    <row r="10970" spans="1:1" x14ac:dyDescent="0.3">
      <c r="A10970" t="s">
        <v>0</v>
      </c>
    </row>
    <row r="10971" spans="1:1" x14ac:dyDescent="0.3">
      <c r="A10971" t="s">
        <v>0</v>
      </c>
    </row>
    <row r="10972" spans="1:1" x14ac:dyDescent="0.3">
      <c r="A10972" t="s">
        <v>0</v>
      </c>
    </row>
    <row r="10973" spans="1:1" x14ac:dyDescent="0.3">
      <c r="A10973" t="s">
        <v>0</v>
      </c>
    </row>
    <row r="10974" spans="1:1" x14ac:dyDescent="0.3">
      <c r="A10974" t="s">
        <v>0</v>
      </c>
    </row>
    <row r="10975" spans="1:1" x14ac:dyDescent="0.3">
      <c r="A10975" t="s">
        <v>0</v>
      </c>
    </row>
    <row r="10976" spans="1:1" x14ac:dyDescent="0.3">
      <c r="A10976" t="s">
        <v>0</v>
      </c>
    </row>
    <row r="10977" spans="1:1" x14ac:dyDescent="0.3">
      <c r="A10977" t="s">
        <v>0</v>
      </c>
    </row>
    <row r="10978" spans="1:1" x14ac:dyDescent="0.3">
      <c r="A10978" t="s">
        <v>0</v>
      </c>
    </row>
    <row r="10979" spans="1:1" x14ac:dyDescent="0.3">
      <c r="A10979" t="s">
        <v>0</v>
      </c>
    </row>
    <row r="10980" spans="1:1" x14ac:dyDescent="0.3">
      <c r="A10980" t="s">
        <v>0</v>
      </c>
    </row>
    <row r="10981" spans="1:1" x14ac:dyDescent="0.3">
      <c r="A10981" t="s">
        <v>0</v>
      </c>
    </row>
    <row r="10982" spans="1:1" x14ac:dyDescent="0.3">
      <c r="A10982" t="s">
        <v>0</v>
      </c>
    </row>
    <row r="10983" spans="1:1" x14ac:dyDescent="0.3">
      <c r="A10983" t="s">
        <v>0</v>
      </c>
    </row>
    <row r="10984" spans="1:1" x14ac:dyDescent="0.3">
      <c r="A10984" t="s">
        <v>0</v>
      </c>
    </row>
    <row r="10985" spans="1:1" x14ac:dyDescent="0.3">
      <c r="A10985" t="s">
        <v>0</v>
      </c>
    </row>
    <row r="10986" spans="1:1" x14ac:dyDescent="0.3">
      <c r="A10986" t="s">
        <v>0</v>
      </c>
    </row>
    <row r="10987" spans="1:1" x14ac:dyDescent="0.3">
      <c r="A10987" t="s">
        <v>0</v>
      </c>
    </row>
    <row r="10988" spans="1:1" x14ac:dyDescent="0.3">
      <c r="A10988" t="s">
        <v>0</v>
      </c>
    </row>
    <row r="10989" spans="1:1" x14ac:dyDescent="0.3">
      <c r="A10989" t="s">
        <v>0</v>
      </c>
    </row>
    <row r="10990" spans="1:1" x14ac:dyDescent="0.3">
      <c r="A10990" t="s">
        <v>0</v>
      </c>
    </row>
    <row r="10991" spans="1:1" x14ac:dyDescent="0.3">
      <c r="A10991" t="s">
        <v>0</v>
      </c>
    </row>
    <row r="10992" spans="1:1" x14ac:dyDescent="0.3">
      <c r="A10992" t="s">
        <v>0</v>
      </c>
    </row>
    <row r="10993" spans="1:1" x14ac:dyDescent="0.3">
      <c r="A10993" t="s">
        <v>0</v>
      </c>
    </row>
    <row r="10994" spans="1:1" x14ac:dyDescent="0.3">
      <c r="A10994" t="s">
        <v>0</v>
      </c>
    </row>
    <row r="10995" spans="1:1" x14ac:dyDescent="0.3">
      <c r="A10995" t="s">
        <v>0</v>
      </c>
    </row>
    <row r="10996" spans="1:1" x14ac:dyDescent="0.3">
      <c r="A10996" t="s">
        <v>0</v>
      </c>
    </row>
    <row r="10997" spans="1:1" x14ac:dyDescent="0.3">
      <c r="A10997" t="s">
        <v>0</v>
      </c>
    </row>
    <row r="10998" spans="1:1" x14ac:dyDescent="0.3">
      <c r="A10998" t="s">
        <v>0</v>
      </c>
    </row>
    <row r="10999" spans="1:1" x14ac:dyDescent="0.3">
      <c r="A10999" t="s">
        <v>0</v>
      </c>
    </row>
    <row r="11000" spans="1:1" x14ac:dyDescent="0.3">
      <c r="A11000" t="s">
        <v>0</v>
      </c>
    </row>
    <row r="11001" spans="1:1" x14ac:dyDescent="0.3">
      <c r="A11001" t="s">
        <v>0</v>
      </c>
    </row>
    <row r="11002" spans="1:1" x14ac:dyDescent="0.3">
      <c r="A11002" t="s">
        <v>0</v>
      </c>
    </row>
    <row r="11003" spans="1:1" x14ac:dyDescent="0.3">
      <c r="A11003" t="s">
        <v>0</v>
      </c>
    </row>
    <row r="11004" spans="1:1" x14ac:dyDescent="0.3">
      <c r="A11004" t="s">
        <v>0</v>
      </c>
    </row>
    <row r="11005" spans="1:1" x14ac:dyDescent="0.3">
      <c r="A11005" t="s">
        <v>0</v>
      </c>
    </row>
    <row r="11006" spans="1:1" x14ac:dyDescent="0.3">
      <c r="A11006" t="s">
        <v>0</v>
      </c>
    </row>
    <row r="11007" spans="1:1" x14ac:dyDescent="0.3">
      <c r="A11007" t="s">
        <v>0</v>
      </c>
    </row>
    <row r="11008" spans="1:1" x14ac:dyDescent="0.3">
      <c r="A11008" t="s">
        <v>0</v>
      </c>
    </row>
    <row r="11009" spans="1:1" x14ac:dyDescent="0.3">
      <c r="A11009" t="s">
        <v>0</v>
      </c>
    </row>
    <row r="11010" spans="1:1" x14ac:dyDescent="0.3">
      <c r="A11010" t="s">
        <v>0</v>
      </c>
    </row>
    <row r="11011" spans="1:1" x14ac:dyDescent="0.3">
      <c r="A11011" t="s">
        <v>0</v>
      </c>
    </row>
    <row r="11012" spans="1:1" x14ac:dyDescent="0.3">
      <c r="A11012" t="s">
        <v>0</v>
      </c>
    </row>
    <row r="11013" spans="1:1" x14ac:dyDescent="0.3">
      <c r="A11013" t="s">
        <v>0</v>
      </c>
    </row>
    <row r="11014" spans="1:1" x14ac:dyDescent="0.3">
      <c r="A11014" t="s">
        <v>0</v>
      </c>
    </row>
    <row r="11015" spans="1:1" x14ac:dyDescent="0.3">
      <c r="A11015" t="s">
        <v>0</v>
      </c>
    </row>
    <row r="11016" spans="1:1" x14ac:dyDescent="0.3">
      <c r="A11016" t="s">
        <v>0</v>
      </c>
    </row>
    <row r="11017" spans="1:1" x14ac:dyDescent="0.3">
      <c r="A11017" t="s">
        <v>0</v>
      </c>
    </row>
    <row r="11018" spans="1:1" x14ac:dyDescent="0.3">
      <c r="A11018" t="s">
        <v>0</v>
      </c>
    </row>
    <row r="11019" spans="1:1" x14ac:dyDescent="0.3">
      <c r="A11019" t="s">
        <v>0</v>
      </c>
    </row>
    <row r="11020" spans="1:1" x14ac:dyDescent="0.3">
      <c r="A11020" t="s">
        <v>0</v>
      </c>
    </row>
    <row r="11021" spans="1:1" x14ac:dyDescent="0.3">
      <c r="A11021" t="s">
        <v>0</v>
      </c>
    </row>
    <row r="11022" spans="1:1" x14ac:dyDescent="0.3">
      <c r="A11022" t="s">
        <v>0</v>
      </c>
    </row>
    <row r="11023" spans="1:1" x14ac:dyDescent="0.3">
      <c r="A11023" t="s">
        <v>0</v>
      </c>
    </row>
    <row r="11024" spans="1:1" x14ac:dyDescent="0.3">
      <c r="A11024" t="s">
        <v>0</v>
      </c>
    </row>
    <row r="11025" spans="1:1" x14ac:dyDescent="0.3">
      <c r="A11025" t="s">
        <v>0</v>
      </c>
    </row>
    <row r="11026" spans="1:1" x14ac:dyDescent="0.3">
      <c r="A11026" t="s">
        <v>0</v>
      </c>
    </row>
    <row r="11027" spans="1:1" x14ac:dyDescent="0.3">
      <c r="A11027" t="s">
        <v>0</v>
      </c>
    </row>
    <row r="11028" spans="1:1" x14ac:dyDescent="0.3">
      <c r="A11028" t="s">
        <v>0</v>
      </c>
    </row>
    <row r="11029" spans="1:1" x14ac:dyDescent="0.3">
      <c r="A11029" t="s">
        <v>0</v>
      </c>
    </row>
    <row r="11030" spans="1:1" x14ac:dyDescent="0.3">
      <c r="A11030" t="s">
        <v>0</v>
      </c>
    </row>
    <row r="11031" spans="1:1" x14ac:dyDescent="0.3">
      <c r="A11031" t="s">
        <v>0</v>
      </c>
    </row>
    <row r="11032" spans="1:1" x14ac:dyDescent="0.3">
      <c r="A11032" t="s">
        <v>0</v>
      </c>
    </row>
    <row r="11033" spans="1:1" x14ac:dyDescent="0.3">
      <c r="A11033" t="s">
        <v>0</v>
      </c>
    </row>
    <row r="11034" spans="1:1" x14ac:dyDescent="0.3">
      <c r="A11034" t="s">
        <v>0</v>
      </c>
    </row>
    <row r="11035" spans="1:1" x14ac:dyDescent="0.3">
      <c r="A11035" t="s">
        <v>0</v>
      </c>
    </row>
    <row r="11036" spans="1:1" x14ac:dyDescent="0.3">
      <c r="A11036" t="s">
        <v>0</v>
      </c>
    </row>
    <row r="11037" spans="1:1" x14ac:dyDescent="0.3">
      <c r="A11037" t="s">
        <v>0</v>
      </c>
    </row>
    <row r="11038" spans="1:1" x14ac:dyDescent="0.3">
      <c r="A11038" t="s">
        <v>0</v>
      </c>
    </row>
    <row r="11039" spans="1:1" x14ac:dyDescent="0.3">
      <c r="A11039" t="s">
        <v>0</v>
      </c>
    </row>
    <row r="11040" spans="1:1" x14ac:dyDescent="0.3">
      <c r="A11040" t="s">
        <v>0</v>
      </c>
    </row>
    <row r="11041" spans="1:1" x14ac:dyDescent="0.3">
      <c r="A11041" t="s">
        <v>0</v>
      </c>
    </row>
    <row r="11042" spans="1:1" x14ac:dyDescent="0.3">
      <c r="A11042" t="s">
        <v>0</v>
      </c>
    </row>
    <row r="11043" spans="1:1" x14ac:dyDescent="0.3">
      <c r="A11043" t="s">
        <v>0</v>
      </c>
    </row>
    <row r="11044" spans="1:1" x14ac:dyDescent="0.3">
      <c r="A11044" t="s">
        <v>0</v>
      </c>
    </row>
    <row r="11045" spans="1:1" x14ac:dyDescent="0.3">
      <c r="A11045" t="s">
        <v>0</v>
      </c>
    </row>
    <row r="11046" spans="1:1" x14ac:dyDescent="0.3">
      <c r="A11046" t="s">
        <v>0</v>
      </c>
    </row>
    <row r="11047" spans="1:1" x14ac:dyDescent="0.3">
      <c r="A11047" t="s">
        <v>0</v>
      </c>
    </row>
    <row r="11048" spans="1:1" x14ac:dyDescent="0.3">
      <c r="A11048" t="s">
        <v>0</v>
      </c>
    </row>
    <row r="11049" spans="1:1" x14ac:dyDescent="0.3">
      <c r="A11049" t="s">
        <v>0</v>
      </c>
    </row>
    <row r="11050" spans="1:1" x14ac:dyDescent="0.3">
      <c r="A11050" t="s">
        <v>0</v>
      </c>
    </row>
    <row r="11051" spans="1:1" x14ac:dyDescent="0.3">
      <c r="A11051" t="s">
        <v>0</v>
      </c>
    </row>
    <row r="11052" spans="1:1" x14ac:dyDescent="0.3">
      <c r="A11052" t="s">
        <v>0</v>
      </c>
    </row>
    <row r="11053" spans="1:1" x14ac:dyDescent="0.3">
      <c r="A11053" t="s">
        <v>0</v>
      </c>
    </row>
    <row r="11054" spans="1:1" x14ac:dyDescent="0.3">
      <c r="A11054" t="s">
        <v>0</v>
      </c>
    </row>
    <row r="11055" spans="1:1" x14ac:dyDescent="0.3">
      <c r="A11055" t="s">
        <v>0</v>
      </c>
    </row>
    <row r="11056" spans="1:1" x14ac:dyDescent="0.3">
      <c r="A11056" t="s">
        <v>0</v>
      </c>
    </row>
    <row r="11057" spans="1:1" x14ac:dyDescent="0.3">
      <c r="A11057" t="s">
        <v>0</v>
      </c>
    </row>
    <row r="11058" spans="1:1" x14ac:dyDescent="0.3">
      <c r="A11058" t="s">
        <v>0</v>
      </c>
    </row>
    <row r="11059" spans="1:1" x14ac:dyDescent="0.3">
      <c r="A11059" t="s">
        <v>0</v>
      </c>
    </row>
    <row r="11060" spans="1:1" x14ac:dyDescent="0.3">
      <c r="A11060" t="s">
        <v>0</v>
      </c>
    </row>
    <row r="11061" spans="1:1" x14ac:dyDescent="0.3">
      <c r="A11061" t="s">
        <v>0</v>
      </c>
    </row>
    <row r="11062" spans="1:1" x14ac:dyDescent="0.3">
      <c r="A11062" t="s">
        <v>0</v>
      </c>
    </row>
    <row r="11063" spans="1:1" x14ac:dyDescent="0.3">
      <c r="A11063" t="s">
        <v>0</v>
      </c>
    </row>
    <row r="11064" spans="1:1" x14ac:dyDescent="0.3">
      <c r="A11064" t="s">
        <v>0</v>
      </c>
    </row>
    <row r="11065" spans="1:1" x14ac:dyDescent="0.3">
      <c r="A11065" t="s">
        <v>0</v>
      </c>
    </row>
    <row r="11066" spans="1:1" x14ac:dyDescent="0.3">
      <c r="A11066" t="s">
        <v>0</v>
      </c>
    </row>
    <row r="11067" spans="1:1" x14ac:dyDescent="0.3">
      <c r="A11067" t="s">
        <v>0</v>
      </c>
    </row>
    <row r="11068" spans="1:1" x14ac:dyDescent="0.3">
      <c r="A11068" t="s">
        <v>0</v>
      </c>
    </row>
    <row r="11069" spans="1:1" x14ac:dyDescent="0.3">
      <c r="A11069" t="s">
        <v>0</v>
      </c>
    </row>
    <row r="11070" spans="1:1" x14ac:dyDescent="0.3">
      <c r="A11070" t="s">
        <v>0</v>
      </c>
    </row>
    <row r="11071" spans="1:1" x14ac:dyDescent="0.3">
      <c r="A11071" t="s">
        <v>0</v>
      </c>
    </row>
    <row r="11072" spans="1:1" x14ac:dyDescent="0.3">
      <c r="A11072" t="s">
        <v>0</v>
      </c>
    </row>
    <row r="11073" spans="1:1" x14ac:dyDescent="0.3">
      <c r="A11073" t="s">
        <v>0</v>
      </c>
    </row>
    <row r="11074" spans="1:1" x14ac:dyDescent="0.3">
      <c r="A11074" t="s">
        <v>0</v>
      </c>
    </row>
    <row r="11075" spans="1:1" x14ac:dyDescent="0.3">
      <c r="A11075" t="s">
        <v>0</v>
      </c>
    </row>
    <row r="11076" spans="1:1" x14ac:dyDescent="0.3">
      <c r="A11076" t="s">
        <v>0</v>
      </c>
    </row>
    <row r="11077" spans="1:1" x14ac:dyDescent="0.3">
      <c r="A11077" t="s">
        <v>0</v>
      </c>
    </row>
    <row r="11078" spans="1:1" x14ac:dyDescent="0.3">
      <c r="A11078" t="s">
        <v>0</v>
      </c>
    </row>
    <row r="11079" spans="1:1" x14ac:dyDescent="0.3">
      <c r="A11079" t="s">
        <v>0</v>
      </c>
    </row>
    <row r="11080" spans="1:1" x14ac:dyDescent="0.3">
      <c r="A11080" t="s">
        <v>0</v>
      </c>
    </row>
    <row r="11081" spans="1:1" x14ac:dyDescent="0.3">
      <c r="A11081" t="s">
        <v>0</v>
      </c>
    </row>
    <row r="11082" spans="1:1" x14ac:dyDescent="0.3">
      <c r="A11082" t="s">
        <v>0</v>
      </c>
    </row>
    <row r="11083" spans="1:1" x14ac:dyDescent="0.3">
      <c r="A11083" t="s">
        <v>0</v>
      </c>
    </row>
    <row r="11084" spans="1:1" x14ac:dyDescent="0.3">
      <c r="A11084" t="s">
        <v>0</v>
      </c>
    </row>
    <row r="11085" spans="1:1" x14ac:dyDescent="0.3">
      <c r="A11085" t="s">
        <v>0</v>
      </c>
    </row>
    <row r="11086" spans="1:1" x14ac:dyDescent="0.3">
      <c r="A11086" t="s">
        <v>0</v>
      </c>
    </row>
    <row r="11087" spans="1:1" x14ac:dyDescent="0.3">
      <c r="A11087" t="s">
        <v>0</v>
      </c>
    </row>
    <row r="11088" spans="1:1" x14ac:dyDescent="0.3">
      <c r="A11088" t="s">
        <v>0</v>
      </c>
    </row>
    <row r="11089" spans="1:1" x14ac:dyDescent="0.3">
      <c r="A11089" t="s">
        <v>0</v>
      </c>
    </row>
    <row r="11090" spans="1:1" x14ac:dyDescent="0.3">
      <c r="A11090" t="s">
        <v>0</v>
      </c>
    </row>
    <row r="11091" spans="1:1" x14ac:dyDescent="0.3">
      <c r="A11091" t="s">
        <v>0</v>
      </c>
    </row>
    <row r="11092" spans="1:1" x14ac:dyDescent="0.3">
      <c r="A11092" t="s">
        <v>0</v>
      </c>
    </row>
    <row r="11093" spans="1:1" x14ac:dyDescent="0.3">
      <c r="A11093" t="s">
        <v>0</v>
      </c>
    </row>
    <row r="11094" spans="1:1" x14ac:dyDescent="0.3">
      <c r="A11094" t="s">
        <v>0</v>
      </c>
    </row>
    <row r="11095" spans="1:1" x14ac:dyDescent="0.3">
      <c r="A11095" t="s">
        <v>0</v>
      </c>
    </row>
    <row r="11096" spans="1:1" x14ac:dyDescent="0.3">
      <c r="A11096" t="s">
        <v>0</v>
      </c>
    </row>
    <row r="11097" spans="1:1" x14ac:dyDescent="0.3">
      <c r="A11097" t="s">
        <v>0</v>
      </c>
    </row>
    <row r="11098" spans="1:1" x14ac:dyDescent="0.3">
      <c r="A11098" t="s">
        <v>0</v>
      </c>
    </row>
    <row r="11099" spans="1:1" x14ac:dyDescent="0.3">
      <c r="A11099" t="s">
        <v>0</v>
      </c>
    </row>
    <row r="11100" spans="1:1" x14ac:dyDescent="0.3">
      <c r="A11100" t="s">
        <v>0</v>
      </c>
    </row>
    <row r="11101" spans="1:1" x14ac:dyDescent="0.3">
      <c r="A11101" t="s">
        <v>0</v>
      </c>
    </row>
    <row r="11102" spans="1:1" x14ac:dyDescent="0.3">
      <c r="A11102" t="s">
        <v>0</v>
      </c>
    </row>
    <row r="11103" spans="1:1" x14ac:dyDescent="0.3">
      <c r="A11103" t="s">
        <v>0</v>
      </c>
    </row>
    <row r="11104" spans="1:1" x14ac:dyDescent="0.3">
      <c r="A11104" t="s">
        <v>0</v>
      </c>
    </row>
    <row r="11105" spans="1:1" x14ac:dyDescent="0.3">
      <c r="A11105" t="s">
        <v>0</v>
      </c>
    </row>
    <row r="11106" spans="1:1" x14ac:dyDescent="0.3">
      <c r="A11106" t="s">
        <v>0</v>
      </c>
    </row>
    <row r="11107" spans="1:1" x14ac:dyDescent="0.3">
      <c r="A11107" t="s">
        <v>0</v>
      </c>
    </row>
    <row r="11108" spans="1:1" x14ac:dyDescent="0.3">
      <c r="A11108" t="s">
        <v>0</v>
      </c>
    </row>
    <row r="11109" spans="1:1" x14ac:dyDescent="0.3">
      <c r="A11109" t="s">
        <v>0</v>
      </c>
    </row>
    <row r="11110" spans="1:1" x14ac:dyDescent="0.3">
      <c r="A11110" t="s">
        <v>0</v>
      </c>
    </row>
    <row r="11111" spans="1:1" x14ac:dyDescent="0.3">
      <c r="A11111" t="s">
        <v>0</v>
      </c>
    </row>
    <row r="11112" spans="1:1" x14ac:dyDescent="0.3">
      <c r="A11112" t="s">
        <v>0</v>
      </c>
    </row>
    <row r="11113" spans="1:1" x14ac:dyDescent="0.3">
      <c r="A11113" t="s">
        <v>0</v>
      </c>
    </row>
    <row r="11114" spans="1:1" x14ac:dyDescent="0.3">
      <c r="A11114" t="s">
        <v>0</v>
      </c>
    </row>
    <row r="11115" spans="1:1" x14ac:dyDescent="0.3">
      <c r="A11115" t="s">
        <v>0</v>
      </c>
    </row>
    <row r="11116" spans="1:1" x14ac:dyDescent="0.3">
      <c r="A11116" t="s">
        <v>0</v>
      </c>
    </row>
    <row r="11117" spans="1:1" x14ac:dyDescent="0.3">
      <c r="A11117" t="s">
        <v>0</v>
      </c>
    </row>
    <row r="11118" spans="1:1" x14ac:dyDescent="0.3">
      <c r="A11118" t="s">
        <v>0</v>
      </c>
    </row>
    <row r="11119" spans="1:1" x14ac:dyDescent="0.3">
      <c r="A11119" t="s">
        <v>0</v>
      </c>
    </row>
    <row r="11120" spans="1:1" x14ac:dyDescent="0.3">
      <c r="A11120" t="s">
        <v>0</v>
      </c>
    </row>
    <row r="11121" spans="1:1" x14ac:dyDescent="0.3">
      <c r="A11121" t="s">
        <v>0</v>
      </c>
    </row>
    <row r="11122" spans="1:1" x14ac:dyDescent="0.3">
      <c r="A11122" t="s">
        <v>0</v>
      </c>
    </row>
    <row r="11123" spans="1:1" x14ac:dyDescent="0.3">
      <c r="A11123" t="s">
        <v>0</v>
      </c>
    </row>
    <row r="11124" spans="1:1" x14ac:dyDescent="0.3">
      <c r="A11124" t="s">
        <v>0</v>
      </c>
    </row>
    <row r="11125" spans="1:1" x14ac:dyDescent="0.3">
      <c r="A11125" t="s">
        <v>0</v>
      </c>
    </row>
    <row r="11126" spans="1:1" x14ac:dyDescent="0.3">
      <c r="A11126" t="s">
        <v>0</v>
      </c>
    </row>
    <row r="11127" spans="1:1" x14ac:dyDescent="0.3">
      <c r="A11127" t="s">
        <v>0</v>
      </c>
    </row>
    <row r="11128" spans="1:1" x14ac:dyDescent="0.3">
      <c r="A11128" t="s">
        <v>0</v>
      </c>
    </row>
    <row r="11129" spans="1:1" x14ac:dyDescent="0.3">
      <c r="A11129" t="s">
        <v>0</v>
      </c>
    </row>
    <row r="11130" spans="1:1" x14ac:dyDescent="0.3">
      <c r="A11130" t="s">
        <v>0</v>
      </c>
    </row>
    <row r="11131" spans="1:1" x14ac:dyDescent="0.3">
      <c r="A11131" t="s">
        <v>0</v>
      </c>
    </row>
    <row r="11132" spans="1:1" x14ac:dyDescent="0.3">
      <c r="A11132" t="s">
        <v>0</v>
      </c>
    </row>
    <row r="11133" spans="1:1" x14ac:dyDescent="0.3">
      <c r="A11133" t="s">
        <v>0</v>
      </c>
    </row>
    <row r="11134" spans="1:1" x14ac:dyDescent="0.3">
      <c r="A11134" t="s">
        <v>0</v>
      </c>
    </row>
    <row r="11135" spans="1:1" x14ac:dyDescent="0.3">
      <c r="A11135" t="s">
        <v>0</v>
      </c>
    </row>
    <row r="11136" spans="1:1" x14ac:dyDescent="0.3">
      <c r="A11136" t="s">
        <v>0</v>
      </c>
    </row>
    <row r="11137" spans="1:1" x14ac:dyDescent="0.3">
      <c r="A11137" t="s">
        <v>0</v>
      </c>
    </row>
    <row r="11138" spans="1:1" x14ac:dyDescent="0.3">
      <c r="A11138" t="s">
        <v>0</v>
      </c>
    </row>
    <row r="11139" spans="1:1" x14ac:dyDescent="0.3">
      <c r="A11139" t="s">
        <v>0</v>
      </c>
    </row>
    <row r="11140" spans="1:1" x14ac:dyDescent="0.3">
      <c r="A11140" t="s">
        <v>0</v>
      </c>
    </row>
    <row r="11141" spans="1:1" x14ac:dyDescent="0.3">
      <c r="A11141" t="s">
        <v>0</v>
      </c>
    </row>
    <row r="11142" spans="1:1" x14ac:dyDescent="0.3">
      <c r="A11142" t="s">
        <v>0</v>
      </c>
    </row>
    <row r="11143" spans="1:1" x14ac:dyDescent="0.3">
      <c r="A11143" t="s">
        <v>0</v>
      </c>
    </row>
    <row r="11144" spans="1:1" x14ac:dyDescent="0.3">
      <c r="A11144" t="s">
        <v>0</v>
      </c>
    </row>
    <row r="11145" spans="1:1" x14ac:dyDescent="0.3">
      <c r="A11145" t="s">
        <v>0</v>
      </c>
    </row>
    <row r="11146" spans="1:1" x14ac:dyDescent="0.3">
      <c r="A11146" t="s">
        <v>0</v>
      </c>
    </row>
    <row r="11147" spans="1:1" x14ac:dyDescent="0.3">
      <c r="A11147" t="s">
        <v>0</v>
      </c>
    </row>
    <row r="11148" spans="1:1" x14ac:dyDescent="0.3">
      <c r="A11148" t="s">
        <v>0</v>
      </c>
    </row>
    <row r="11149" spans="1:1" x14ac:dyDescent="0.3">
      <c r="A11149" t="s">
        <v>0</v>
      </c>
    </row>
    <row r="11150" spans="1:1" x14ac:dyDescent="0.3">
      <c r="A11150" t="s">
        <v>0</v>
      </c>
    </row>
    <row r="11151" spans="1:1" x14ac:dyDescent="0.3">
      <c r="A11151" t="s">
        <v>0</v>
      </c>
    </row>
    <row r="11152" spans="1:1" x14ac:dyDescent="0.3">
      <c r="A11152" t="s">
        <v>0</v>
      </c>
    </row>
    <row r="11153" spans="1:1" x14ac:dyDescent="0.3">
      <c r="A11153" t="s">
        <v>0</v>
      </c>
    </row>
    <row r="11154" spans="1:1" x14ac:dyDescent="0.3">
      <c r="A11154" t="s">
        <v>0</v>
      </c>
    </row>
    <row r="11155" spans="1:1" x14ac:dyDescent="0.3">
      <c r="A11155" t="s">
        <v>0</v>
      </c>
    </row>
    <row r="11156" spans="1:1" x14ac:dyDescent="0.3">
      <c r="A11156" t="s">
        <v>0</v>
      </c>
    </row>
    <row r="11157" spans="1:1" x14ac:dyDescent="0.3">
      <c r="A11157" t="s">
        <v>0</v>
      </c>
    </row>
    <row r="11158" spans="1:1" x14ac:dyDescent="0.3">
      <c r="A11158" t="s">
        <v>0</v>
      </c>
    </row>
    <row r="11159" spans="1:1" x14ac:dyDescent="0.3">
      <c r="A11159" t="s">
        <v>0</v>
      </c>
    </row>
    <row r="11160" spans="1:1" x14ac:dyDescent="0.3">
      <c r="A11160" t="s">
        <v>0</v>
      </c>
    </row>
    <row r="11161" spans="1:1" x14ac:dyDescent="0.3">
      <c r="A11161" t="s">
        <v>0</v>
      </c>
    </row>
    <row r="11162" spans="1:1" x14ac:dyDescent="0.3">
      <c r="A11162" t="s">
        <v>0</v>
      </c>
    </row>
    <row r="11163" spans="1:1" x14ac:dyDescent="0.3">
      <c r="A11163" t="s">
        <v>0</v>
      </c>
    </row>
    <row r="11164" spans="1:1" x14ac:dyDescent="0.3">
      <c r="A11164" t="s">
        <v>0</v>
      </c>
    </row>
    <row r="11165" spans="1:1" x14ac:dyDescent="0.3">
      <c r="A11165" t="s">
        <v>0</v>
      </c>
    </row>
    <row r="11166" spans="1:1" x14ac:dyDescent="0.3">
      <c r="A11166" t="s">
        <v>0</v>
      </c>
    </row>
    <row r="11167" spans="1:1" x14ac:dyDescent="0.3">
      <c r="A11167" t="s">
        <v>0</v>
      </c>
    </row>
    <row r="11168" spans="1:1" x14ac:dyDescent="0.3">
      <c r="A11168" t="s">
        <v>0</v>
      </c>
    </row>
    <row r="11169" spans="1:1" x14ac:dyDescent="0.3">
      <c r="A11169" t="s">
        <v>0</v>
      </c>
    </row>
    <row r="11170" spans="1:1" x14ac:dyDescent="0.3">
      <c r="A11170" t="s">
        <v>0</v>
      </c>
    </row>
    <row r="11171" spans="1:1" x14ac:dyDescent="0.3">
      <c r="A11171" t="s">
        <v>0</v>
      </c>
    </row>
    <row r="11172" spans="1:1" x14ac:dyDescent="0.3">
      <c r="A11172" t="s">
        <v>0</v>
      </c>
    </row>
    <row r="11173" spans="1:1" x14ac:dyDescent="0.3">
      <c r="A11173" t="s">
        <v>0</v>
      </c>
    </row>
    <row r="11174" spans="1:1" x14ac:dyDescent="0.3">
      <c r="A11174" t="s">
        <v>0</v>
      </c>
    </row>
    <row r="11175" spans="1:1" x14ac:dyDescent="0.3">
      <c r="A11175" t="s">
        <v>0</v>
      </c>
    </row>
    <row r="11176" spans="1:1" x14ac:dyDescent="0.3">
      <c r="A11176" t="s">
        <v>0</v>
      </c>
    </row>
    <row r="11177" spans="1:1" x14ac:dyDescent="0.3">
      <c r="A11177" t="s">
        <v>0</v>
      </c>
    </row>
    <row r="11178" spans="1:1" x14ac:dyDescent="0.3">
      <c r="A11178" t="s">
        <v>0</v>
      </c>
    </row>
    <row r="11179" spans="1:1" x14ac:dyDescent="0.3">
      <c r="A11179" t="s">
        <v>0</v>
      </c>
    </row>
    <row r="11180" spans="1:1" x14ac:dyDescent="0.3">
      <c r="A11180" t="s">
        <v>0</v>
      </c>
    </row>
    <row r="11181" spans="1:1" x14ac:dyDescent="0.3">
      <c r="A11181" t="s">
        <v>0</v>
      </c>
    </row>
    <row r="11182" spans="1:1" x14ac:dyDescent="0.3">
      <c r="A11182" t="s">
        <v>0</v>
      </c>
    </row>
    <row r="11183" spans="1:1" x14ac:dyDescent="0.3">
      <c r="A11183" t="s">
        <v>0</v>
      </c>
    </row>
    <row r="11184" spans="1:1" x14ac:dyDescent="0.3">
      <c r="A11184" t="s">
        <v>0</v>
      </c>
    </row>
    <row r="11185" spans="1:1" x14ac:dyDescent="0.3">
      <c r="A11185" t="s">
        <v>0</v>
      </c>
    </row>
    <row r="11186" spans="1:1" x14ac:dyDescent="0.3">
      <c r="A11186" t="s">
        <v>0</v>
      </c>
    </row>
    <row r="11187" spans="1:1" x14ac:dyDescent="0.3">
      <c r="A11187" t="s">
        <v>0</v>
      </c>
    </row>
    <row r="11188" spans="1:1" x14ac:dyDescent="0.3">
      <c r="A11188" t="s">
        <v>0</v>
      </c>
    </row>
    <row r="11189" spans="1:1" x14ac:dyDescent="0.3">
      <c r="A11189" t="s">
        <v>0</v>
      </c>
    </row>
    <row r="11190" spans="1:1" x14ac:dyDescent="0.3">
      <c r="A11190" t="s">
        <v>0</v>
      </c>
    </row>
    <row r="11191" spans="1:1" x14ac:dyDescent="0.3">
      <c r="A11191" t="s">
        <v>0</v>
      </c>
    </row>
    <row r="11192" spans="1:1" x14ac:dyDescent="0.3">
      <c r="A11192" t="s">
        <v>0</v>
      </c>
    </row>
    <row r="11193" spans="1:1" x14ac:dyDescent="0.3">
      <c r="A11193" t="s">
        <v>0</v>
      </c>
    </row>
    <row r="11194" spans="1:1" x14ac:dyDescent="0.3">
      <c r="A11194" t="s">
        <v>0</v>
      </c>
    </row>
    <row r="11195" spans="1:1" x14ac:dyDescent="0.3">
      <c r="A11195" t="s">
        <v>0</v>
      </c>
    </row>
    <row r="11196" spans="1:1" x14ac:dyDescent="0.3">
      <c r="A11196" t="s">
        <v>0</v>
      </c>
    </row>
    <row r="11197" spans="1:1" x14ac:dyDescent="0.3">
      <c r="A11197" t="s">
        <v>0</v>
      </c>
    </row>
    <row r="11198" spans="1:1" x14ac:dyDescent="0.3">
      <c r="A11198" t="s">
        <v>0</v>
      </c>
    </row>
    <row r="11199" spans="1:1" x14ac:dyDescent="0.3">
      <c r="A11199" t="s">
        <v>0</v>
      </c>
    </row>
    <row r="11200" spans="1:1" x14ac:dyDescent="0.3">
      <c r="A11200" t="s">
        <v>0</v>
      </c>
    </row>
    <row r="11201" spans="1:1" x14ac:dyDescent="0.3">
      <c r="A11201" t="s">
        <v>0</v>
      </c>
    </row>
    <row r="11202" spans="1:1" x14ac:dyDescent="0.3">
      <c r="A11202" t="s">
        <v>0</v>
      </c>
    </row>
    <row r="11203" spans="1:1" x14ac:dyDescent="0.3">
      <c r="A11203" t="s">
        <v>0</v>
      </c>
    </row>
    <row r="11204" spans="1:1" x14ac:dyDescent="0.3">
      <c r="A11204" t="s">
        <v>0</v>
      </c>
    </row>
    <row r="11205" spans="1:1" x14ac:dyDescent="0.3">
      <c r="A11205" t="s">
        <v>0</v>
      </c>
    </row>
    <row r="11206" spans="1:1" x14ac:dyDescent="0.3">
      <c r="A11206" t="s">
        <v>0</v>
      </c>
    </row>
    <row r="11207" spans="1:1" x14ac:dyDescent="0.3">
      <c r="A11207" t="s">
        <v>0</v>
      </c>
    </row>
    <row r="11208" spans="1:1" x14ac:dyDescent="0.3">
      <c r="A11208" t="s">
        <v>0</v>
      </c>
    </row>
    <row r="11209" spans="1:1" x14ac:dyDescent="0.3">
      <c r="A11209" t="s">
        <v>0</v>
      </c>
    </row>
    <row r="11210" spans="1:1" x14ac:dyDescent="0.3">
      <c r="A11210" t="s">
        <v>0</v>
      </c>
    </row>
    <row r="11211" spans="1:1" x14ac:dyDescent="0.3">
      <c r="A11211" t="s">
        <v>0</v>
      </c>
    </row>
    <row r="11212" spans="1:1" x14ac:dyDescent="0.3">
      <c r="A11212" t="s">
        <v>0</v>
      </c>
    </row>
    <row r="11213" spans="1:1" x14ac:dyDescent="0.3">
      <c r="A11213" t="s">
        <v>0</v>
      </c>
    </row>
    <row r="11214" spans="1:1" x14ac:dyDescent="0.3">
      <c r="A11214" t="s">
        <v>0</v>
      </c>
    </row>
    <row r="11215" spans="1:1" x14ac:dyDescent="0.3">
      <c r="A11215" t="s">
        <v>0</v>
      </c>
    </row>
    <row r="11216" spans="1:1" x14ac:dyDescent="0.3">
      <c r="A11216" t="s">
        <v>0</v>
      </c>
    </row>
    <row r="11217" spans="1:1" x14ac:dyDescent="0.3">
      <c r="A11217" t="s">
        <v>0</v>
      </c>
    </row>
    <row r="11218" spans="1:1" x14ac:dyDescent="0.3">
      <c r="A11218" t="s">
        <v>0</v>
      </c>
    </row>
    <row r="11219" spans="1:1" x14ac:dyDescent="0.3">
      <c r="A11219" t="s">
        <v>0</v>
      </c>
    </row>
    <row r="11220" spans="1:1" x14ac:dyDescent="0.3">
      <c r="A11220" t="s">
        <v>0</v>
      </c>
    </row>
    <row r="11221" spans="1:1" x14ac:dyDescent="0.3">
      <c r="A11221" t="s">
        <v>0</v>
      </c>
    </row>
    <row r="11222" spans="1:1" x14ac:dyDescent="0.3">
      <c r="A11222" t="s">
        <v>0</v>
      </c>
    </row>
    <row r="11223" spans="1:1" x14ac:dyDescent="0.3">
      <c r="A11223" t="s">
        <v>0</v>
      </c>
    </row>
    <row r="11224" spans="1:1" x14ac:dyDescent="0.3">
      <c r="A11224" t="s">
        <v>0</v>
      </c>
    </row>
    <row r="11225" spans="1:1" x14ac:dyDescent="0.3">
      <c r="A11225" t="s">
        <v>0</v>
      </c>
    </row>
    <row r="11226" spans="1:1" x14ac:dyDescent="0.3">
      <c r="A11226" t="s">
        <v>0</v>
      </c>
    </row>
    <row r="11227" spans="1:1" x14ac:dyDescent="0.3">
      <c r="A11227" t="s">
        <v>0</v>
      </c>
    </row>
    <row r="11228" spans="1:1" x14ac:dyDescent="0.3">
      <c r="A11228" t="s">
        <v>0</v>
      </c>
    </row>
    <row r="11229" spans="1:1" x14ac:dyDescent="0.3">
      <c r="A11229" t="s">
        <v>0</v>
      </c>
    </row>
    <row r="11230" spans="1:1" x14ac:dyDescent="0.3">
      <c r="A11230" t="s">
        <v>0</v>
      </c>
    </row>
    <row r="11231" spans="1:1" x14ac:dyDescent="0.3">
      <c r="A11231" t="s">
        <v>0</v>
      </c>
    </row>
    <row r="11232" spans="1:1" x14ac:dyDescent="0.3">
      <c r="A11232" t="s">
        <v>0</v>
      </c>
    </row>
    <row r="11233" spans="1:1" x14ac:dyDescent="0.3">
      <c r="A11233" t="s">
        <v>0</v>
      </c>
    </row>
    <row r="11234" spans="1:1" x14ac:dyDescent="0.3">
      <c r="A11234" t="s">
        <v>0</v>
      </c>
    </row>
    <row r="11235" spans="1:1" x14ac:dyDescent="0.3">
      <c r="A11235" t="s">
        <v>0</v>
      </c>
    </row>
    <row r="11236" spans="1:1" x14ac:dyDescent="0.3">
      <c r="A11236" t="s">
        <v>0</v>
      </c>
    </row>
    <row r="11237" spans="1:1" x14ac:dyDescent="0.3">
      <c r="A11237" t="s">
        <v>0</v>
      </c>
    </row>
    <row r="11238" spans="1:1" x14ac:dyDescent="0.3">
      <c r="A11238" t="s">
        <v>0</v>
      </c>
    </row>
    <row r="11239" spans="1:1" x14ac:dyDescent="0.3">
      <c r="A11239" t="s">
        <v>0</v>
      </c>
    </row>
    <row r="11240" spans="1:1" x14ac:dyDescent="0.3">
      <c r="A11240" t="s">
        <v>0</v>
      </c>
    </row>
    <row r="11241" spans="1:1" x14ac:dyDescent="0.3">
      <c r="A11241" t="s">
        <v>0</v>
      </c>
    </row>
    <row r="11242" spans="1:1" x14ac:dyDescent="0.3">
      <c r="A11242" t="s">
        <v>0</v>
      </c>
    </row>
    <row r="11243" spans="1:1" x14ac:dyDescent="0.3">
      <c r="A11243" t="s">
        <v>0</v>
      </c>
    </row>
    <row r="11244" spans="1:1" x14ac:dyDescent="0.3">
      <c r="A11244" t="s">
        <v>0</v>
      </c>
    </row>
    <row r="11245" spans="1:1" x14ac:dyDescent="0.3">
      <c r="A11245" t="s">
        <v>0</v>
      </c>
    </row>
    <row r="11246" spans="1:1" x14ac:dyDescent="0.3">
      <c r="A11246" t="s">
        <v>0</v>
      </c>
    </row>
    <row r="11247" spans="1:1" x14ac:dyDescent="0.3">
      <c r="A11247" t="s">
        <v>0</v>
      </c>
    </row>
    <row r="11248" spans="1:1" x14ac:dyDescent="0.3">
      <c r="A11248" t="s">
        <v>0</v>
      </c>
    </row>
    <row r="11249" spans="1:1" x14ac:dyDescent="0.3">
      <c r="A11249" t="s">
        <v>0</v>
      </c>
    </row>
    <row r="11250" spans="1:1" x14ac:dyDescent="0.3">
      <c r="A11250" t="s">
        <v>0</v>
      </c>
    </row>
    <row r="11251" spans="1:1" x14ac:dyDescent="0.3">
      <c r="A11251" t="s">
        <v>0</v>
      </c>
    </row>
    <row r="11252" spans="1:1" x14ac:dyDescent="0.3">
      <c r="A11252" t="s">
        <v>0</v>
      </c>
    </row>
    <row r="11253" spans="1:1" x14ac:dyDescent="0.3">
      <c r="A11253" t="s">
        <v>0</v>
      </c>
    </row>
    <row r="11254" spans="1:1" x14ac:dyDescent="0.3">
      <c r="A11254" t="s">
        <v>0</v>
      </c>
    </row>
    <row r="11255" spans="1:1" x14ac:dyDescent="0.3">
      <c r="A11255" t="s">
        <v>0</v>
      </c>
    </row>
    <row r="11256" spans="1:1" x14ac:dyDescent="0.3">
      <c r="A11256" t="s">
        <v>0</v>
      </c>
    </row>
    <row r="11257" spans="1:1" x14ac:dyDescent="0.3">
      <c r="A11257" t="s">
        <v>0</v>
      </c>
    </row>
    <row r="11258" spans="1:1" x14ac:dyDescent="0.3">
      <c r="A11258" t="s">
        <v>0</v>
      </c>
    </row>
    <row r="11259" spans="1:1" x14ac:dyDescent="0.3">
      <c r="A11259" t="s">
        <v>0</v>
      </c>
    </row>
    <row r="11260" spans="1:1" x14ac:dyDescent="0.3">
      <c r="A11260" t="s">
        <v>0</v>
      </c>
    </row>
    <row r="11261" spans="1:1" x14ac:dyDescent="0.3">
      <c r="A11261" t="s">
        <v>0</v>
      </c>
    </row>
    <row r="11262" spans="1:1" x14ac:dyDescent="0.3">
      <c r="A11262" t="s">
        <v>0</v>
      </c>
    </row>
    <row r="11263" spans="1:1" x14ac:dyDescent="0.3">
      <c r="A11263" t="s">
        <v>0</v>
      </c>
    </row>
    <row r="11264" spans="1:1" x14ac:dyDescent="0.3">
      <c r="A11264" t="s">
        <v>0</v>
      </c>
    </row>
    <row r="11265" spans="1:1" x14ac:dyDescent="0.3">
      <c r="A11265" t="s">
        <v>0</v>
      </c>
    </row>
    <row r="11266" spans="1:1" x14ac:dyDescent="0.3">
      <c r="A11266" t="s">
        <v>0</v>
      </c>
    </row>
    <row r="11267" spans="1:1" x14ac:dyDescent="0.3">
      <c r="A11267" t="s">
        <v>0</v>
      </c>
    </row>
    <row r="11268" spans="1:1" x14ac:dyDescent="0.3">
      <c r="A11268" t="s">
        <v>0</v>
      </c>
    </row>
    <row r="11269" spans="1:1" x14ac:dyDescent="0.3">
      <c r="A11269" t="s">
        <v>0</v>
      </c>
    </row>
    <row r="11270" spans="1:1" x14ac:dyDescent="0.3">
      <c r="A11270" t="s">
        <v>0</v>
      </c>
    </row>
    <row r="11271" spans="1:1" x14ac:dyDescent="0.3">
      <c r="A11271" t="s">
        <v>0</v>
      </c>
    </row>
    <row r="11272" spans="1:1" x14ac:dyDescent="0.3">
      <c r="A11272" t="s">
        <v>0</v>
      </c>
    </row>
    <row r="11273" spans="1:1" x14ac:dyDescent="0.3">
      <c r="A11273" t="s">
        <v>0</v>
      </c>
    </row>
    <row r="11274" spans="1:1" x14ac:dyDescent="0.3">
      <c r="A11274" t="s">
        <v>0</v>
      </c>
    </row>
    <row r="11275" spans="1:1" x14ac:dyDescent="0.3">
      <c r="A11275" t="s">
        <v>0</v>
      </c>
    </row>
    <row r="11276" spans="1:1" x14ac:dyDescent="0.3">
      <c r="A11276" t="s">
        <v>0</v>
      </c>
    </row>
    <row r="11277" spans="1:1" x14ac:dyDescent="0.3">
      <c r="A11277" t="s">
        <v>0</v>
      </c>
    </row>
    <row r="11278" spans="1:1" x14ac:dyDescent="0.3">
      <c r="A11278" t="s">
        <v>0</v>
      </c>
    </row>
    <row r="11279" spans="1:1" x14ac:dyDescent="0.3">
      <c r="A11279" t="s">
        <v>0</v>
      </c>
    </row>
    <row r="11280" spans="1:1" x14ac:dyDescent="0.3">
      <c r="A11280" t="s">
        <v>0</v>
      </c>
    </row>
    <row r="11281" spans="1:1" x14ac:dyDescent="0.3">
      <c r="A11281" t="s">
        <v>0</v>
      </c>
    </row>
    <row r="11282" spans="1:1" x14ac:dyDescent="0.3">
      <c r="A11282" t="s">
        <v>0</v>
      </c>
    </row>
    <row r="11283" spans="1:1" x14ac:dyDescent="0.3">
      <c r="A11283" t="s">
        <v>0</v>
      </c>
    </row>
    <row r="11284" spans="1:1" x14ac:dyDescent="0.3">
      <c r="A11284" t="s">
        <v>0</v>
      </c>
    </row>
    <row r="11285" spans="1:1" x14ac:dyDescent="0.3">
      <c r="A11285" t="s">
        <v>0</v>
      </c>
    </row>
    <row r="11286" spans="1:1" x14ac:dyDescent="0.3">
      <c r="A11286" t="s">
        <v>0</v>
      </c>
    </row>
    <row r="11287" spans="1:1" x14ac:dyDescent="0.3">
      <c r="A11287" t="s">
        <v>0</v>
      </c>
    </row>
    <row r="11288" spans="1:1" x14ac:dyDescent="0.3">
      <c r="A11288" t="s">
        <v>0</v>
      </c>
    </row>
    <row r="11289" spans="1:1" x14ac:dyDescent="0.3">
      <c r="A11289" t="s">
        <v>0</v>
      </c>
    </row>
    <row r="11290" spans="1:1" x14ac:dyDescent="0.3">
      <c r="A11290" t="s">
        <v>0</v>
      </c>
    </row>
    <row r="11291" spans="1:1" x14ac:dyDescent="0.3">
      <c r="A11291" t="s">
        <v>0</v>
      </c>
    </row>
    <row r="11292" spans="1:1" x14ac:dyDescent="0.3">
      <c r="A11292" t="s">
        <v>0</v>
      </c>
    </row>
    <row r="11293" spans="1:1" x14ac:dyDescent="0.3">
      <c r="A11293" t="s">
        <v>0</v>
      </c>
    </row>
    <row r="11294" spans="1:1" x14ac:dyDescent="0.3">
      <c r="A11294" t="s">
        <v>0</v>
      </c>
    </row>
    <row r="11295" spans="1:1" x14ac:dyDescent="0.3">
      <c r="A11295" t="s">
        <v>0</v>
      </c>
    </row>
    <row r="11296" spans="1:1" x14ac:dyDescent="0.3">
      <c r="A11296" t="s">
        <v>0</v>
      </c>
    </row>
    <row r="11297" spans="1:1" x14ac:dyDescent="0.3">
      <c r="A11297" t="s">
        <v>0</v>
      </c>
    </row>
    <row r="11298" spans="1:1" x14ac:dyDescent="0.3">
      <c r="A11298" t="s">
        <v>0</v>
      </c>
    </row>
    <row r="11299" spans="1:1" x14ac:dyDescent="0.3">
      <c r="A11299" t="s">
        <v>0</v>
      </c>
    </row>
    <row r="11300" spans="1:1" x14ac:dyDescent="0.3">
      <c r="A11300" t="s">
        <v>0</v>
      </c>
    </row>
    <row r="11301" spans="1:1" x14ac:dyDescent="0.3">
      <c r="A11301" t="s">
        <v>0</v>
      </c>
    </row>
    <row r="11302" spans="1:1" x14ac:dyDescent="0.3">
      <c r="A11302" t="s">
        <v>0</v>
      </c>
    </row>
    <row r="11303" spans="1:1" x14ac:dyDescent="0.3">
      <c r="A11303" t="s">
        <v>0</v>
      </c>
    </row>
    <row r="11304" spans="1:1" x14ac:dyDescent="0.3">
      <c r="A11304" t="s">
        <v>0</v>
      </c>
    </row>
    <row r="11305" spans="1:1" x14ac:dyDescent="0.3">
      <c r="A11305" t="s">
        <v>0</v>
      </c>
    </row>
    <row r="11306" spans="1:1" x14ac:dyDescent="0.3">
      <c r="A11306" t="s">
        <v>0</v>
      </c>
    </row>
    <row r="11307" spans="1:1" x14ac:dyDescent="0.3">
      <c r="A11307" t="s">
        <v>0</v>
      </c>
    </row>
    <row r="11308" spans="1:1" x14ac:dyDescent="0.3">
      <c r="A11308" t="s">
        <v>0</v>
      </c>
    </row>
    <row r="11309" spans="1:1" x14ac:dyDescent="0.3">
      <c r="A11309" t="s">
        <v>0</v>
      </c>
    </row>
    <row r="11310" spans="1:1" x14ac:dyDescent="0.3">
      <c r="A11310" t="s">
        <v>0</v>
      </c>
    </row>
    <row r="11311" spans="1:1" x14ac:dyDescent="0.3">
      <c r="A11311" t="s">
        <v>0</v>
      </c>
    </row>
    <row r="11312" spans="1:1" x14ac:dyDescent="0.3">
      <c r="A11312" t="s">
        <v>0</v>
      </c>
    </row>
    <row r="11313" spans="1:1" x14ac:dyDescent="0.3">
      <c r="A11313" t="s">
        <v>0</v>
      </c>
    </row>
    <row r="11314" spans="1:1" x14ac:dyDescent="0.3">
      <c r="A11314" t="s">
        <v>0</v>
      </c>
    </row>
    <row r="11315" spans="1:1" x14ac:dyDescent="0.3">
      <c r="A11315" t="s">
        <v>0</v>
      </c>
    </row>
    <row r="11316" spans="1:1" x14ac:dyDescent="0.3">
      <c r="A11316" t="s">
        <v>0</v>
      </c>
    </row>
    <row r="11317" spans="1:1" x14ac:dyDescent="0.3">
      <c r="A11317" t="s">
        <v>0</v>
      </c>
    </row>
    <row r="11318" spans="1:1" x14ac:dyDescent="0.3">
      <c r="A11318" t="s">
        <v>0</v>
      </c>
    </row>
    <row r="11319" spans="1:1" x14ac:dyDescent="0.3">
      <c r="A11319" t="s">
        <v>0</v>
      </c>
    </row>
    <row r="11320" spans="1:1" x14ac:dyDescent="0.3">
      <c r="A11320" t="s">
        <v>0</v>
      </c>
    </row>
    <row r="11321" spans="1:1" x14ac:dyDescent="0.3">
      <c r="A11321" t="s">
        <v>0</v>
      </c>
    </row>
    <row r="11322" spans="1:1" x14ac:dyDescent="0.3">
      <c r="A11322" t="s">
        <v>0</v>
      </c>
    </row>
    <row r="11323" spans="1:1" x14ac:dyDescent="0.3">
      <c r="A11323" t="s">
        <v>0</v>
      </c>
    </row>
    <row r="11324" spans="1:1" x14ac:dyDescent="0.3">
      <c r="A11324" t="s">
        <v>0</v>
      </c>
    </row>
    <row r="11325" spans="1:1" x14ac:dyDescent="0.3">
      <c r="A11325" t="s">
        <v>0</v>
      </c>
    </row>
    <row r="11326" spans="1:1" x14ac:dyDescent="0.3">
      <c r="A11326" t="s">
        <v>0</v>
      </c>
    </row>
    <row r="11327" spans="1:1" x14ac:dyDescent="0.3">
      <c r="A11327" t="s">
        <v>0</v>
      </c>
    </row>
    <row r="11328" spans="1:1" x14ac:dyDescent="0.3">
      <c r="A11328" t="s">
        <v>0</v>
      </c>
    </row>
    <row r="11329" spans="1:1" x14ac:dyDescent="0.3">
      <c r="A11329" t="s">
        <v>0</v>
      </c>
    </row>
    <row r="11330" spans="1:1" x14ac:dyDescent="0.3">
      <c r="A11330" t="s">
        <v>0</v>
      </c>
    </row>
    <row r="11331" spans="1:1" x14ac:dyDescent="0.3">
      <c r="A11331" t="s">
        <v>0</v>
      </c>
    </row>
    <row r="11332" spans="1:1" x14ac:dyDescent="0.3">
      <c r="A11332" t="s">
        <v>0</v>
      </c>
    </row>
    <row r="11333" spans="1:1" x14ac:dyDescent="0.3">
      <c r="A11333" t="s">
        <v>0</v>
      </c>
    </row>
    <row r="11334" spans="1:1" x14ac:dyDescent="0.3">
      <c r="A11334" t="s">
        <v>0</v>
      </c>
    </row>
    <row r="11335" spans="1:1" x14ac:dyDescent="0.3">
      <c r="A11335" t="s">
        <v>0</v>
      </c>
    </row>
    <row r="11336" spans="1:1" x14ac:dyDescent="0.3">
      <c r="A11336" t="s">
        <v>0</v>
      </c>
    </row>
    <row r="11337" spans="1:1" x14ac:dyDescent="0.3">
      <c r="A11337" t="s">
        <v>0</v>
      </c>
    </row>
    <row r="11338" spans="1:1" x14ac:dyDescent="0.3">
      <c r="A11338" t="s">
        <v>0</v>
      </c>
    </row>
    <row r="11339" spans="1:1" x14ac:dyDescent="0.3">
      <c r="A11339" t="s">
        <v>0</v>
      </c>
    </row>
    <row r="11340" spans="1:1" x14ac:dyDescent="0.3">
      <c r="A11340" t="s">
        <v>0</v>
      </c>
    </row>
    <row r="11341" spans="1:1" x14ac:dyDescent="0.3">
      <c r="A11341" t="s">
        <v>0</v>
      </c>
    </row>
    <row r="11342" spans="1:1" x14ac:dyDescent="0.3">
      <c r="A11342" t="s">
        <v>0</v>
      </c>
    </row>
    <row r="11343" spans="1:1" x14ac:dyDescent="0.3">
      <c r="A11343" t="s">
        <v>0</v>
      </c>
    </row>
    <row r="11344" spans="1:1" x14ac:dyDescent="0.3">
      <c r="A11344" t="s">
        <v>0</v>
      </c>
    </row>
    <row r="11345" spans="1:1" x14ac:dyDescent="0.3">
      <c r="A11345" t="s">
        <v>0</v>
      </c>
    </row>
    <row r="11346" spans="1:1" x14ac:dyDescent="0.3">
      <c r="A11346" t="s">
        <v>0</v>
      </c>
    </row>
    <row r="11347" spans="1:1" x14ac:dyDescent="0.3">
      <c r="A11347" t="s">
        <v>0</v>
      </c>
    </row>
    <row r="11348" spans="1:1" x14ac:dyDescent="0.3">
      <c r="A11348" t="s">
        <v>0</v>
      </c>
    </row>
    <row r="11349" spans="1:1" x14ac:dyDescent="0.3">
      <c r="A11349" t="s">
        <v>0</v>
      </c>
    </row>
    <row r="11350" spans="1:1" x14ac:dyDescent="0.3">
      <c r="A11350" t="s">
        <v>0</v>
      </c>
    </row>
    <row r="11351" spans="1:1" x14ac:dyDescent="0.3">
      <c r="A11351" t="s">
        <v>0</v>
      </c>
    </row>
    <row r="11352" spans="1:1" x14ac:dyDescent="0.3">
      <c r="A11352" t="s">
        <v>0</v>
      </c>
    </row>
    <row r="11353" spans="1:1" x14ac:dyDescent="0.3">
      <c r="A11353" t="s">
        <v>0</v>
      </c>
    </row>
    <row r="11354" spans="1:1" x14ac:dyDescent="0.3">
      <c r="A11354" t="s">
        <v>0</v>
      </c>
    </row>
    <row r="11355" spans="1:1" x14ac:dyDescent="0.3">
      <c r="A11355" t="s">
        <v>0</v>
      </c>
    </row>
    <row r="11356" spans="1:1" x14ac:dyDescent="0.3">
      <c r="A11356" t="s">
        <v>0</v>
      </c>
    </row>
    <row r="11357" spans="1:1" x14ac:dyDescent="0.3">
      <c r="A11357" t="s">
        <v>0</v>
      </c>
    </row>
    <row r="11358" spans="1:1" x14ac:dyDescent="0.3">
      <c r="A11358" t="s">
        <v>0</v>
      </c>
    </row>
    <row r="11359" spans="1:1" x14ac:dyDescent="0.3">
      <c r="A11359" t="s">
        <v>0</v>
      </c>
    </row>
    <row r="11360" spans="1:1" x14ac:dyDescent="0.3">
      <c r="A11360" t="s">
        <v>0</v>
      </c>
    </row>
    <row r="11361" spans="1:1" x14ac:dyDescent="0.3">
      <c r="A11361" t="s">
        <v>0</v>
      </c>
    </row>
    <row r="11362" spans="1:1" x14ac:dyDescent="0.3">
      <c r="A11362" t="s">
        <v>0</v>
      </c>
    </row>
    <row r="11363" spans="1:1" x14ac:dyDescent="0.3">
      <c r="A11363" t="s">
        <v>0</v>
      </c>
    </row>
    <row r="11364" spans="1:1" x14ac:dyDescent="0.3">
      <c r="A11364" t="s">
        <v>0</v>
      </c>
    </row>
    <row r="11365" spans="1:1" x14ac:dyDescent="0.3">
      <c r="A11365" t="s">
        <v>0</v>
      </c>
    </row>
    <row r="11366" spans="1:1" x14ac:dyDescent="0.3">
      <c r="A11366" t="s">
        <v>0</v>
      </c>
    </row>
    <row r="11367" spans="1:1" x14ac:dyDescent="0.3">
      <c r="A11367" t="s">
        <v>0</v>
      </c>
    </row>
    <row r="11368" spans="1:1" x14ac:dyDescent="0.3">
      <c r="A11368" t="s">
        <v>0</v>
      </c>
    </row>
    <row r="11369" spans="1:1" x14ac:dyDescent="0.3">
      <c r="A11369" t="s">
        <v>0</v>
      </c>
    </row>
    <row r="11370" spans="1:1" x14ac:dyDescent="0.3">
      <c r="A11370" t="s">
        <v>0</v>
      </c>
    </row>
    <row r="11371" spans="1:1" x14ac:dyDescent="0.3">
      <c r="A11371" t="s">
        <v>0</v>
      </c>
    </row>
    <row r="11372" spans="1:1" x14ac:dyDescent="0.3">
      <c r="A11372" t="s">
        <v>0</v>
      </c>
    </row>
    <row r="11373" spans="1:1" x14ac:dyDescent="0.3">
      <c r="A11373" t="s">
        <v>0</v>
      </c>
    </row>
    <row r="11374" spans="1:1" x14ac:dyDescent="0.3">
      <c r="A11374" t="s">
        <v>0</v>
      </c>
    </row>
    <row r="11375" spans="1:1" x14ac:dyDescent="0.3">
      <c r="A11375" t="s">
        <v>0</v>
      </c>
    </row>
    <row r="11376" spans="1:1" x14ac:dyDescent="0.3">
      <c r="A11376" t="s">
        <v>0</v>
      </c>
    </row>
    <row r="11377" spans="1:1" x14ac:dyDescent="0.3">
      <c r="A11377" t="s">
        <v>0</v>
      </c>
    </row>
    <row r="11378" spans="1:1" x14ac:dyDescent="0.3">
      <c r="A11378" t="s">
        <v>0</v>
      </c>
    </row>
    <row r="11379" spans="1:1" x14ac:dyDescent="0.3">
      <c r="A11379" t="s">
        <v>0</v>
      </c>
    </row>
    <row r="11380" spans="1:1" x14ac:dyDescent="0.3">
      <c r="A11380" t="s">
        <v>0</v>
      </c>
    </row>
    <row r="11381" spans="1:1" x14ac:dyDescent="0.3">
      <c r="A11381" t="s">
        <v>0</v>
      </c>
    </row>
    <row r="11382" spans="1:1" x14ac:dyDescent="0.3">
      <c r="A11382" t="s">
        <v>0</v>
      </c>
    </row>
    <row r="11383" spans="1:1" x14ac:dyDescent="0.3">
      <c r="A11383" t="s">
        <v>0</v>
      </c>
    </row>
    <row r="11384" spans="1:1" x14ac:dyDescent="0.3">
      <c r="A11384" t="s">
        <v>0</v>
      </c>
    </row>
    <row r="11385" spans="1:1" x14ac:dyDescent="0.3">
      <c r="A11385" t="s">
        <v>0</v>
      </c>
    </row>
    <row r="11386" spans="1:1" x14ac:dyDescent="0.3">
      <c r="A11386" t="s">
        <v>0</v>
      </c>
    </row>
    <row r="11387" spans="1:1" x14ac:dyDescent="0.3">
      <c r="A11387" t="s">
        <v>0</v>
      </c>
    </row>
    <row r="11388" spans="1:1" x14ac:dyDescent="0.3">
      <c r="A11388" t="s">
        <v>0</v>
      </c>
    </row>
    <row r="11389" spans="1:1" x14ac:dyDescent="0.3">
      <c r="A11389" t="s">
        <v>0</v>
      </c>
    </row>
    <row r="11390" spans="1:1" x14ac:dyDescent="0.3">
      <c r="A11390" t="s">
        <v>0</v>
      </c>
    </row>
    <row r="11391" spans="1:1" x14ac:dyDescent="0.3">
      <c r="A11391" t="s">
        <v>0</v>
      </c>
    </row>
    <row r="11392" spans="1:1" x14ac:dyDescent="0.3">
      <c r="A11392" t="s">
        <v>0</v>
      </c>
    </row>
    <row r="11393" spans="1:1" x14ac:dyDescent="0.3">
      <c r="A11393" t="s">
        <v>0</v>
      </c>
    </row>
    <row r="11394" spans="1:1" x14ac:dyDescent="0.3">
      <c r="A11394" t="s">
        <v>0</v>
      </c>
    </row>
    <row r="11395" spans="1:1" x14ac:dyDescent="0.3">
      <c r="A11395" t="s">
        <v>0</v>
      </c>
    </row>
    <row r="11396" spans="1:1" x14ac:dyDescent="0.3">
      <c r="A11396" t="s">
        <v>0</v>
      </c>
    </row>
    <row r="11397" spans="1:1" x14ac:dyDescent="0.3">
      <c r="A11397" t="s">
        <v>0</v>
      </c>
    </row>
    <row r="11398" spans="1:1" x14ac:dyDescent="0.3">
      <c r="A11398" t="s">
        <v>0</v>
      </c>
    </row>
    <row r="11399" spans="1:1" x14ac:dyDescent="0.3">
      <c r="A11399" t="s">
        <v>0</v>
      </c>
    </row>
    <row r="11400" spans="1:1" x14ac:dyDescent="0.3">
      <c r="A11400" t="s">
        <v>0</v>
      </c>
    </row>
    <row r="11401" spans="1:1" x14ac:dyDescent="0.3">
      <c r="A11401" t="s">
        <v>0</v>
      </c>
    </row>
    <row r="11402" spans="1:1" x14ac:dyDescent="0.3">
      <c r="A11402" t="s">
        <v>0</v>
      </c>
    </row>
    <row r="11403" spans="1:1" x14ac:dyDescent="0.3">
      <c r="A11403" t="s">
        <v>0</v>
      </c>
    </row>
    <row r="11404" spans="1:1" x14ac:dyDescent="0.3">
      <c r="A11404" t="s">
        <v>0</v>
      </c>
    </row>
    <row r="11405" spans="1:1" x14ac:dyDescent="0.3">
      <c r="A11405" t="s">
        <v>0</v>
      </c>
    </row>
    <row r="11406" spans="1:1" x14ac:dyDescent="0.3">
      <c r="A11406" t="s">
        <v>0</v>
      </c>
    </row>
    <row r="11407" spans="1:1" x14ac:dyDescent="0.3">
      <c r="A11407" t="s">
        <v>0</v>
      </c>
    </row>
    <row r="11408" spans="1:1" x14ac:dyDescent="0.3">
      <c r="A11408" t="s">
        <v>0</v>
      </c>
    </row>
    <row r="11409" spans="1:1" x14ac:dyDescent="0.3">
      <c r="A11409" t="s">
        <v>0</v>
      </c>
    </row>
    <row r="11410" spans="1:1" x14ac:dyDescent="0.3">
      <c r="A11410" t="s">
        <v>0</v>
      </c>
    </row>
    <row r="11411" spans="1:1" x14ac:dyDescent="0.3">
      <c r="A11411" t="s">
        <v>0</v>
      </c>
    </row>
    <row r="11412" spans="1:1" x14ac:dyDescent="0.3">
      <c r="A11412" t="s">
        <v>0</v>
      </c>
    </row>
    <row r="11413" spans="1:1" x14ac:dyDescent="0.3">
      <c r="A11413" t="s">
        <v>0</v>
      </c>
    </row>
    <row r="11414" spans="1:1" x14ac:dyDescent="0.3">
      <c r="A11414" t="s">
        <v>0</v>
      </c>
    </row>
    <row r="11415" spans="1:1" x14ac:dyDescent="0.3">
      <c r="A11415" t="s">
        <v>0</v>
      </c>
    </row>
    <row r="11416" spans="1:1" x14ac:dyDescent="0.3">
      <c r="A11416" t="s">
        <v>0</v>
      </c>
    </row>
    <row r="11417" spans="1:1" x14ac:dyDescent="0.3">
      <c r="A11417" t="s">
        <v>0</v>
      </c>
    </row>
    <row r="11418" spans="1:1" x14ac:dyDescent="0.3">
      <c r="A11418" t="s">
        <v>0</v>
      </c>
    </row>
    <row r="11419" spans="1:1" x14ac:dyDescent="0.3">
      <c r="A11419" t="s">
        <v>0</v>
      </c>
    </row>
    <row r="11420" spans="1:1" x14ac:dyDescent="0.3">
      <c r="A11420" t="s">
        <v>0</v>
      </c>
    </row>
    <row r="11421" spans="1:1" x14ac:dyDescent="0.3">
      <c r="A11421" t="s">
        <v>0</v>
      </c>
    </row>
    <row r="11422" spans="1:1" x14ac:dyDescent="0.3">
      <c r="A11422" t="s">
        <v>0</v>
      </c>
    </row>
    <row r="11423" spans="1:1" x14ac:dyDescent="0.3">
      <c r="A11423" t="s">
        <v>0</v>
      </c>
    </row>
    <row r="11424" spans="1:1" x14ac:dyDescent="0.3">
      <c r="A11424" t="s">
        <v>0</v>
      </c>
    </row>
    <row r="11425" spans="1:1" x14ac:dyDescent="0.3">
      <c r="A11425" t="s">
        <v>0</v>
      </c>
    </row>
    <row r="11426" spans="1:1" x14ac:dyDescent="0.3">
      <c r="A11426" t="s">
        <v>0</v>
      </c>
    </row>
    <row r="11427" spans="1:1" x14ac:dyDescent="0.3">
      <c r="A11427" t="s">
        <v>0</v>
      </c>
    </row>
    <row r="11428" spans="1:1" x14ac:dyDescent="0.3">
      <c r="A11428" t="s">
        <v>0</v>
      </c>
    </row>
    <row r="11429" spans="1:1" x14ac:dyDescent="0.3">
      <c r="A11429" t="s">
        <v>0</v>
      </c>
    </row>
    <row r="11430" spans="1:1" x14ac:dyDescent="0.3">
      <c r="A11430" t="s">
        <v>0</v>
      </c>
    </row>
    <row r="11431" spans="1:1" x14ac:dyDescent="0.3">
      <c r="A11431" t="s">
        <v>0</v>
      </c>
    </row>
    <row r="11432" spans="1:1" x14ac:dyDescent="0.3">
      <c r="A11432" t="s">
        <v>0</v>
      </c>
    </row>
    <row r="11433" spans="1:1" x14ac:dyDescent="0.3">
      <c r="A11433" t="s">
        <v>0</v>
      </c>
    </row>
    <row r="11434" spans="1:1" x14ac:dyDescent="0.3">
      <c r="A11434" t="s">
        <v>0</v>
      </c>
    </row>
    <row r="11435" spans="1:1" x14ac:dyDescent="0.3">
      <c r="A11435" t="s">
        <v>0</v>
      </c>
    </row>
    <row r="11436" spans="1:1" x14ac:dyDescent="0.3">
      <c r="A11436" t="s">
        <v>0</v>
      </c>
    </row>
    <row r="11437" spans="1:1" x14ac:dyDescent="0.3">
      <c r="A11437" t="s">
        <v>0</v>
      </c>
    </row>
    <row r="11438" spans="1:1" x14ac:dyDescent="0.3">
      <c r="A11438" t="s">
        <v>0</v>
      </c>
    </row>
    <row r="11439" spans="1:1" x14ac:dyDescent="0.3">
      <c r="A11439" t="s">
        <v>0</v>
      </c>
    </row>
    <row r="11440" spans="1:1" x14ac:dyDescent="0.3">
      <c r="A11440" t="s">
        <v>0</v>
      </c>
    </row>
    <row r="11441" spans="1:1" x14ac:dyDescent="0.3">
      <c r="A11441" t="s">
        <v>0</v>
      </c>
    </row>
    <row r="11442" spans="1:1" x14ac:dyDescent="0.3">
      <c r="A11442" t="s">
        <v>0</v>
      </c>
    </row>
    <row r="11443" spans="1:1" x14ac:dyDescent="0.3">
      <c r="A11443" t="s">
        <v>0</v>
      </c>
    </row>
    <row r="11444" spans="1:1" x14ac:dyDescent="0.3">
      <c r="A11444" t="s">
        <v>0</v>
      </c>
    </row>
    <row r="11445" spans="1:1" x14ac:dyDescent="0.3">
      <c r="A11445" t="s">
        <v>0</v>
      </c>
    </row>
    <row r="11446" spans="1:1" x14ac:dyDescent="0.3">
      <c r="A11446" t="s">
        <v>0</v>
      </c>
    </row>
    <row r="11447" spans="1:1" x14ac:dyDescent="0.3">
      <c r="A11447" t="s">
        <v>0</v>
      </c>
    </row>
    <row r="11448" spans="1:1" x14ac:dyDescent="0.3">
      <c r="A11448" t="s">
        <v>0</v>
      </c>
    </row>
    <row r="11449" spans="1:1" x14ac:dyDescent="0.3">
      <c r="A11449" t="s">
        <v>0</v>
      </c>
    </row>
    <row r="11450" spans="1:1" x14ac:dyDescent="0.3">
      <c r="A11450" t="s">
        <v>0</v>
      </c>
    </row>
    <row r="11451" spans="1:1" x14ac:dyDescent="0.3">
      <c r="A11451" t="s">
        <v>0</v>
      </c>
    </row>
    <row r="11452" spans="1:1" x14ac:dyDescent="0.3">
      <c r="A11452" t="s">
        <v>0</v>
      </c>
    </row>
    <row r="11453" spans="1:1" x14ac:dyDescent="0.3">
      <c r="A11453" t="s">
        <v>0</v>
      </c>
    </row>
    <row r="11454" spans="1:1" x14ac:dyDescent="0.3">
      <c r="A11454" t="s">
        <v>0</v>
      </c>
    </row>
    <row r="11455" spans="1:1" x14ac:dyDescent="0.3">
      <c r="A11455" t="s">
        <v>0</v>
      </c>
    </row>
    <row r="11456" spans="1:1" x14ac:dyDescent="0.3">
      <c r="A11456" t="s">
        <v>0</v>
      </c>
    </row>
    <row r="11457" spans="1:1" x14ac:dyDescent="0.3">
      <c r="A11457" t="s">
        <v>0</v>
      </c>
    </row>
    <row r="11458" spans="1:1" x14ac:dyDescent="0.3">
      <c r="A11458" t="s">
        <v>0</v>
      </c>
    </row>
    <row r="11459" spans="1:1" x14ac:dyDescent="0.3">
      <c r="A11459" t="s">
        <v>0</v>
      </c>
    </row>
    <row r="11460" spans="1:1" x14ac:dyDescent="0.3">
      <c r="A11460" t="s">
        <v>0</v>
      </c>
    </row>
    <row r="11461" spans="1:1" x14ac:dyDescent="0.3">
      <c r="A11461" t="s">
        <v>0</v>
      </c>
    </row>
    <row r="11462" spans="1:1" x14ac:dyDescent="0.3">
      <c r="A11462" t="s">
        <v>0</v>
      </c>
    </row>
    <row r="11463" spans="1:1" x14ac:dyDescent="0.3">
      <c r="A11463" t="s">
        <v>0</v>
      </c>
    </row>
    <row r="11464" spans="1:1" x14ac:dyDescent="0.3">
      <c r="A11464" t="s">
        <v>0</v>
      </c>
    </row>
    <row r="11465" spans="1:1" x14ac:dyDescent="0.3">
      <c r="A11465" t="s">
        <v>0</v>
      </c>
    </row>
    <row r="11466" spans="1:1" x14ac:dyDescent="0.3">
      <c r="A11466" t="s">
        <v>0</v>
      </c>
    </row>
    <row r="11467" spans="1:1" x14ac:dyDescent="0.3">
      <c r="A11467" t="s">
        <v>0</v>
      </c>
    </row>
    <row r="11468" spans="1:1" x14ac:dyDescent="0.3">
      <c r="A11468" t="s">
        <v>0</v>
      </c>
    </row>
    <row r="11469" spans="1:1" x14ac:dyDescent="0.3">
      <c r="A11469" t="s">
        <v>0</v>
      </c>
    </row>
    <row r="11470" spans="1:1" x14ac:dyDescent="0.3">
      <c r="A11470" t="s">
        <v>0</v>
      </c>
    </row>
    <row r="11471" spans="1:1" x14ac:dyDescent="0.3">
      <c r="A11471" t="s">
        <v>0</v>
      </c>
    </row>
    <row r="11472" spans="1:1" x14ac:dyDescent="0.3">
      <c r="A11472" t="s">
        <v>0</v>
      </c>
    </row>
    <row r="11473" spans="1:1" x14ac:dyDescent="0.3">
      <c r="A11473" t="s">
        <v>0</v>
      </c>
    </row>
    <row r="11474" spans="1:1" x14ac:dyDescent="0.3">
      <c r="A11474" t="s">
        <v>0</v>
      </c>
    </row>
    <row r="11475" spans="1:1" x14ac:dyDescent="0.3">
      <c r="A11475" t="s">
        <v>0</v>
      </c>
    </row>
    <row r="11476" spans="1:1" x14ac:dyDescent="0.3">
      <c r="A11476" t="s">
        <v>0</v>
      </c>
    </row>
    <row r="11477" spans="1:1" x14ac:dyDescent="0.3">
      <c r="A11477" t="s">
        <v>0</v>
      </c>
    </row>
    <row r="11478" spans="1:1" x14ac:dyDescent="0.3">
      <c r="A11478" t="s">
        <v>0</v>
      </c>
    </row>
    <row r="11479" spans="1:1" x14ac:dyDescent="0.3">
      <c r="A11479" t="s">
        <v>0</v>
      </c>
    </row>
    <row r="11480" spans="1:1" x14ac:dyDescent="0.3">
      <c r="A11480" t="s">
        <v>0</v>
      </c>
    </row>
    <row r="11481" spans="1:1" x14ac:dyDescent="0.3">
      <c r="A11481" t="s">
        <v>0</v>
      </c>
    </row>
    <row r="11482" spans="1:1" x14ac:dyDescent="0.3">
      <c r="A11482" t="s">
        <v>0</v>
      </c>
    </row>
    <row r="11483" spans="1:1" x14ac:dyDescent="0.3">
      <c r="A11483" t="s">
        <v>0</v>
      </c>
    </row>
    <row r="11484" spans="1:1" x14ac:dyDescent="0.3">
      <c r="A11484" t="s">
        <v>0</v>
      </c>
    </row>
    <row r="11485" spans="1:1" x14ac:dyDescent="0.3">
      <c r="A11485" t="s">
        <v>0</v>
      </c>
    </row>
    <row r="11486" spans="1:1" x14ac:dyDescent="0.3">
      <c r="A11486" t="s">
        <v>0</v>
      </c>
    </row>
    <row r="11487" spans="1:1" x14ac:dyDescent="0.3">
      <c r="A11487" t="s">
        <v>0</v>
      </c>
    </row>
    <row r="11488" spans="1:1" x14ac:dyDescent="0.3">
      <c r="A11488" t="s">
        <v>0</v>
      </c>
    </row>
    <row r="11489" spans="1:1" x14ac:dyDescent="0.3">
      <c r="A11489" t="s">
        <v>0</v>
      </c>
    </row>
    <row r="11490" spans="1:1" x14ac:dyDescent="0.3">
      <c r="A11490" t="s">
        <v>0</v>
      </c>
    </row>
    <row r="11491" spans="1:1" x14ac:dyDescent="0.3">
      <c r="A11491" t="s">
        <v>0</v>
      </c>
    </row>
    <row r="11492" spans="1:1" x14ac:dyDescent="0.3">
      <c r="A11492" t="s">
        <v>0</v>
      </c>
    </row>
    <row r="11493" spans="1:1" x14ac:dyDescent="0.3">
      <c r="A11493" t="s">
        <v>0</v>
      </c>
    </row>
    <row r="11494" spans="1:1" x14ac:dyDescent="0.3">
      <c r="A11494" t="s">
        <v>0</v>
      </c>
    </row>
    <row r="11495" spans="1:1" x14ac:dyDescent="0.3">
      <c r="A11495" t="s">
        <v>0</v>
      </c>
    </row>
    <row r="11496" spans="1:1" x14ac:dyDescent="0.3">
      <c r="A11496" t="s">
        <v>0</v>
      </c>
    </row>
    <row r="11497" spans="1:1" x14ac:dyDescent="0.3">
      <c r="A11497" t="s">
        <v>0</v>
      </c>
    </row>
    <row r="11498" spans="1:1" x14ac:dyDescent="0.3">
      <c r="A11498" t="s">
        <v>0</v>
      </c>
    </row>
    <row r="11499" spans="1:1" x14ac:dyDescent="0.3">
      <c r="A11499" t="s">
        <v>0</v>
      </c>
    </row>
    <row r="11500" spans="1:1" x14ac:dyDescent="0.3">
      <c r="A11500" t="s">
        <v>0</v>
      </c>
    </row>
    <row r="11501" spans="1:1" x14ac:dyDescent="0.3">
      <c r="A11501" t="s">
        <v>0</v>
      </c>
    </row>
    <row r="11502" spans="1:1" x14ac:dyDescent="0.3">
      <c r="A11502" t="s">
        <v>0</v>
      </c>
    </row>
    <row r="11503" spans="1:1" x14ac:dyDescent="0.3">
      <c r="A11503" t="s">
        <v>0</v>
      </c>
    </row>
    <row r="11504" spans="1:1" x14ac:dyDescent="0.3">
      <c r="A11504" t="s">
        <v>0</v>
      </c>
    </row>
    <row r="11505" spans="1:1" x14ac:dyDescent="0.3">
      <c r="A11505" t="s">
        <v>0</v>
      </c>
    </row>
    <row r="11506" spans="1:1" x14ac:dyDescent="0.3">
      <c r="A11506" t="s">
        <v>0</v>
      </c>
    </row>
    <row r="11507" spans="1:1" x14ac:dyDescent="0.3">
      <c r="A11507" t="s">
        <v>0</v>
      </c>
    </row>
    <row r="11508" spans="1:1" x14ac:dyDescent="0.3">
      <c r="A11508" t="s">
        <v>0</v>
      </c>
    </row>
    <row r="11509" spans="1:1" x14ac:dyDescent="0.3">
      <c r="A11509" t="s">
        <v>0</v>
      </c>
    </row>
    <row r="11510" spans="1:1" x14ac:dyDescent="0.3">
      <c r="A11510" t="s">
        <v>0</v>
      </c>
    </row>
    <row r="11511" spans="1:1" x14ac:dyDescent="0.3">
      <c r="A11511" t="s">
        <v>0</v>
      </c>
    </row>
    <row r="11512" spans="1:1" x14ac:dyDescent="0.3">
      <c r="A11512" t="s">
        <v>0</v>
      </c>
    </row>
    <row r="11513" spans="1:1" x14ac:dyDescent="0.3">
      <c r="A11513" t="s">
        <v>0</v>
      </c>
    </row>
    <row r="11514" spans="1:1" x14ac:dyDescent="0.3">
      <c r="A11514" t="s">
        <v>0</v>
      </c>
    </row>
    <row r="11515" spans="1:1" x14ac:dyDescent="0.3">
      <c r="A11515" t="s">
        <v>0</v>
      </c>
    </row>
    <row r="11516" spans="1:1" x14ac:dyDescent="0.3">
      <c r="A11516" t="s">
        <v>0</v>
      </c>
    </row>
    <row r="11517" spans="1:1" x14ac:dyDescent="0.3">
      <c r="A11517" t="s">
        <v>0</v>
      </c>
    </row>
    <row r="11518" spans="1:1" x14ac:dyDescent="0.3">
      <c r="A11518" t="s">
        <v>0</v>
      </c>
    </row>
    <row r="11519" spans="1:1" x14ac:dyDescent="0.3">
      <c r="A11519" t="s">
        <v>0</v>
      </c>
    </row>
    <row r="11520" spans="1:1" x14ac:dyDescent="0.3">
      <c r="A11520" t="s">
        <v>0</v>
      </c>
    </row>
    <row r="11521" spans="1:1" x14ac:dyDescent="0.3">
      <c r="A11521" t="s">
        <v>0</v>
      </c>
    </row>
    <row r="11522" spans="1:1" x14ac:dyDescent="0.3">
      <c r="A11522" t="s">
        <v>0</v>
      </c>
    </row>
    <row r="11523" spans="1:1" x14ac:dyDescent="0.3">
      <c r="A11523" t="s">
        <v>0</v>
      </c>
    </row>
    <row r="11524" spans="1:1" x14ac:dyDescent="0.3">
      <c r="A11524" t="s">
        <v>0</v>
      </c>
    </row>
    <row r="11525" spans="1:1" x14ac:dyDescent="0.3">
      <c r="A11525" t="s">
        <v>0</v>
      </c>
    </row>
    <row r="11526" spans="1:1" x14ac:dyDescent="0.3">
      <c r="A11526" t="s">
        <v>0</v>
      </c>
    </row>
    <row r="11527" spans="1:1" x14ac:dyDescent="0.3">
      <c r="A11527" t="s">
        <v>0</v>
      </c>
    </row>
    <row r="11528" spans="1:1" x14ac:dyDescent="0.3">
      <c r="A11528" t="s">
        <v>0</v>
      </c>
    </row>
    <row r="11529" spans="1:1" x14ac:dyDescent="0.3">
      <c r="A11529" t="s">
        <v>0</v>
      </c>
    </row>
    <row r="11530" spans="1:1" x14ac:dyDescent="0.3">
      <c r="A11530" t="s">
        <v>0</v>
      </c>
    </row>
    <row r="11531" spans="1:1" x14ac:dyDescent="0.3">
      <c r="A11531" t="s">
        <v>0</v>
      </c>
    </row>
    <row r="11532" spans="1:1" x14ac:dyDescent="0.3">
      <c r="A11532" t="s">
        <v>0</v>
      </c>
    </row>
    <row r="11533" spans="1:1" x14ac:dyDescent="0.3">
      <c r="A11533" t="s">
        <v>0</v>
      </c>
    </row>
    <row r="11534" spans="1:1" x14ac:dyDescent="0.3">
      <c r="A11534" t="s">
        <v>0</v>
      </c>
    </row>
    <row r="11535" spans="1:1" x14ac:dyDescent="0.3">
      <c r="A11535" t="s">
        <v>0</v>
      </c>
    </row>
    <row r="11536" spans="1:1" x14ac:dyDescent="0.3">
      <c r="A11536" t="s">
        <v>0</v>
      </c>
    </row>
    <row r="11537" spans="1:1" x14ac:dyDescent="0.3">
      <c r="A11537" t="s">
        <v>0</v>
      </c>
    </row>
    <row r="11538" spans="1:1" x14ac:dyDescent="0.3">
      <c r="A11538" t="s">
        <v>0</v>
      </c>
    </row>
    <row r="11539" spans="1:1" x14ac:dyDescent="0.3">
      <c r="A11539" t="s">
        <v>0</v>
      </c>
    </row>
    <row r="11540" spans="1:1" x14ac:dyDescent="0.3">
      <c r="A11540" t="s">
        <v>0</v>
      </c>
    </row>
    <row r="11541" spans="1:1" x14ac:dyDescent="0.3">
      <c r="A11541" t="s">
        <v>0</v>
      </c>
    </row>
    <row r="11542" spans="1:1" x14ac:dyDescent="0.3">
      <c r="A11542" t="s">
        <v>0</v>
      </c>
    </row>
    <row r="11543" spans="1:1" x14ac:dyDescent="0.3">
      <c r="A11543" t="s">
        <v>0</v>
      </c>
    </row>
    <row r="11544" spans="1:1" x14ac:dyDescent="0.3">
      <c r="A11544" t="s">
        <v>0</v>
      </c>
    </row>
    <row r="11545" spans="1:1" x14ac:dyDescent="0.3">
      <c r="A11545" t="s">
        <v>0</v>
      </c>
    </row>
    <row r="11546" spans="1:1" x14ac:dyDescent="0.3">
      <c r="A11546" t="s">
        <v>0</v>
      </c>
    </row>
    <row r="11547" spans="1:1" x14ac:dyDescent="0.3">
      <c r="A11547" t="s">
        <v>0</v>
      </c>
    </row>
    <row r="11548" spans="1:1" x14ac:dyDescent="0.3">
      <c r="A11548" t="s">
        <v>0</v>
      </c>
    </row>
    <row r="11549" spans="1:1" x14ac:dyDescent="0.3">
      <c r="A11549" t="s">
        <v>0</v>
      </c>
    </row>
    <row r="11550" spans="1:1" x14ac:dyDescent="0.3">
      <c r="A11550" t="s">
        <v>0</v>
      </c>
    </row>
    <row r="11551" spans="1:1" x14ac:dyDescent="0.3">
      <c r="A11551" t="s">
        <v>0</v>
      </c>
    </row>
    <row r="11552" spans="1:1" x14ac:dyDescent="0.3">
      <c r="A11552" t="s">
        <v>0</v>
      </c>
    </row>
    <row r="11553" spans="1:1" x14ac:dyDescent="0.3">
      <c r="A11553" t="s">
        <v>0</v>
      </c>
    </row>
    <row r="11554" spans="1:1" x14ac:dyDescent="0.3">
      <c r="A11554" t="s">
        <v>0</v>
      </c>
    </row>
    <row r="11555" spans="1:1" x14ac:dyDescent="0.3">
      <c r="A11555" t="s">
        <v>0</v>
      </c>
    </row>
    <row r="11556" spans="1:1" x14ac:dyDescent="0.3">
      <c r="A11556" t="s">
        <v>0</v>
      </c>
    </row>
    <row r="11557" spans="1:1" x14ac:dyDescent="0.3">
      <c r="A11557" t="s">
        <v>0</v>
      </c>
    </row>
    <row r="11558" spans="1:1" x14ac:dyDescent="0.3">
      <c r="A11558" t="s">
        <v>0</v>
      </c>
    </row>
    <row r="11559" spans="1:1" x14ac:dyDescent="0.3">
      <c r="A11559" t="s">
        <v>0</v>
      </c>
    </row>
    <row r="11560" spans="1:1" x14ac:dyDescent="0.3">
      <c r="A11560" t="s">
        <v>0</v>
      </c>
    </row>
    <row r="11561" spans="1:1" x14ac:dyDescent="0.3">
      <c r="A11561" t="s">
        <v>0</v>
      </c>
    </row>
    <row r="11562" spans="1:1" x14ac:dyDescent="0.3">
      <c r="A11562" t="s">
        <v>0</v>
      </c>
    </row>
    <row r="11563" spans="1:1" x14ac:dyDescent="0.3">
      <c r="A11563" t="s">
        <v>0</v>
      </c>
    </row>
    <row r="11564" spans="1:1" x14ac:dyDescent="0.3">
      <c r="A11564" t="s">
        <v>0</v>
      </c>
    </row>
    <row r="11565" spans="1:1" x14ac:dyDescent="0.3">
      <c r="A11565" t="s">
        <v>0</v>
      </c>
    </row>
    <row r="11566" spans="1:1" x14ac:dyDescent="0.3">
      <c r="A11566" t="s">
        <v>0</v>
      </c>
    </row>
    <row r="11567" spans="1:1" x14ac:dyDescent="0.3">
      <c r="A11567" t="s">
        <v>0</v>
      </c>
    </row>
    <row r="11568" spans="1:1" x14ac:dyDescent="0.3">
      <c r="A11568" t="s">
        <v>0</v>
      </c>
    </row>
    <row r="11569" spans="1:1" x14ac:dyDescent="0.3">
      <c r="A11569" t="s">
        <v>0</v>
      </c>
    </row>
    <row r="11570" spans="1:1" x14ac:dyDescent="0.3">
      <c r="A11570" t="s">
        <v>0</v>
      </c>
    </row>
    <row r="11571" spans="1:1" x14ac:dyDescent="0.3">
      <c r="A11571" t="s">
        <v>0</v>
      </c>
    </row>
    <row r="11572" spans="1:1" x14ac:dyDescent="0.3">
      <c r="A11572" t="s">
        <v>0</v>
      </c>
    </row>
    <row r="11573" spans="1:1" x14ac:dyDescent="0.3">
      <c r="A11573" t="s">
        <v>0</v>
      </c>
    </row>
    <row r="11574" spans="1:1" x14ac:dyDescent="0.3">
      <c r="A11574" t="s">
        <v>0</v>
      </c>
    </row>
    <row r="11575" spans="1:1" x14ac:dyDescent="0.3">
      <c r="A11575" t="s">
        <v>0</v>
      </c>
    </row>
    <row r="11576" spans="1:1" x14ac:dyDescent="0.3">
      <c r="A11576" t="s">
        <v>0</v>
      </c>
    </row>
    <row r="11577" spans="1:1" x14ac:dyDescent="0.3">
      <c r="A11577" t="s">
        <v>0</v>
      </c>
    </row>
    <row r="11578" spans="1:1" x14ac:dyDescent="0.3">
      <c r="A11578" t="s">
        <v>0</v>
      </c>
    </row>
    <row r="11579" spans="1:1" x14ac:dyDescent="0.3">
      <c r="A11579" t="s">
        <v>0</v>
      </c>
    </row>
    <row r="11580" spans="1:1" x14ac:dyDescent="0.3">
      <c r="A11580" t="s">
        <v>0</v>
      </c>
    </row>
    <row r="11581" spans="1:1" x14ac:dyDescent="0.3">
      <c r="A11581" t="s">
        <v>0</v>
      </c>
    </row>
    <row r="11582" spans="1:1" x14ac:dyDescent="0.3">
      <c r="A11582" t="s">
        <v>0</v>
      </c>
    </row>
    <row r="11583" spans="1:1" x14ac:dyDescent="0.3">
      <c r="A11583" t="s">
        <v>0</v>
      </c>
    </row>
    <row r="11584" spans="1:1" x14ac:dyDescent="0.3">
      <c r="A11584" t="s">
        <v>0</v>
      </c>
    </row>
    <row r="11585" spans="1:1" x14ac:dyDescent="0.3">
      <c r="A11585" t="s">
        <v>0</v>
      </c>
    </row>
    <row r="11586" spans="1:1" x14ac:dyDescent="0.3">
      <c r="A11586" t="s">
        <v>0</v>
      </c>
    </row>
    <row r="11587" spans="1:1" x14ac:dyDescent="0.3">
      <c r="A11587" t="s">
        <v>0</v>
      </c>
    </row>
    <row r="11588" spans="1:1" x14ac:dyDescent="0.3">
      <c r="A11588" t="s">
        <v>0</v>
      </c>
    </row>
    <row r="11589" spans="1:1" x14ac:dyDescent="0.3">
      <c r="A11589" t="s">
        <v>0</v>
      </c>
    </row>
    <row r="11590" spans="1:1" x14ac:dyDescent="0.3">
      <c r="A11590" t="s">
        <v>0</v>
      </c>
    </row>
    <row r="11591" spans="1:1" x14ac:dyDescent="0.3">
      <c r="A11591" t="s">
        <v>0</v>
      </c>
    </row>
    <row r="11592" spans="1:1" x14ac:dyDescent="0.3">
      <c r="A11592" t="s">
        <v>0</v>
      </c>
    </row>
    <row r="11593" spans="1:1" x14ac:dyDescent="0.3">
      <c r="A11593" t="s">
        <v>0</v>
      </c>
    </row>
    <row r="11594" spans="1:1" x14ac:dyDescent="0.3">
      <c r="A11594" t="s">
        <v>0</v>
      </c>
    </row>
    <row r="11595" spans="1:1" x14ac:dyDescent="0.3">
      <c r="A11595" t="s">
        <v>0</v>
      </c>
    </row>
    <row r="11596" spans="1:1" x14ac:dyDescent="0.3">
      <c r="A11596" t="s">
        <v>0</v>
      </c>
    </row>
    <row r="11597" spans="1:1" x14ac:dyDescent="0.3">
      <c r="A11597" t="s">
        <v>0</v>
      </c>
    </row>
    <row r="11598" spans="1:1" x14ac:dyDescent="0.3">
      <c r="A11598" t="s">
        <v>0</v>
      </c>
    </row>
    <row r="11599" spans="1:1" x14ac:dyDescent="0.3">
      <c r="A11599" t="s">
        <v>0</v>
      </c>
    </row>
    <row r="11600" spans="1:1" x14ac:dyDescent="0.3">
      <c r="A11600" t="s">
        <v>0</v>
      </c>
    </row>
    <row r="11601" spans="1:1" x14ac:dyDescent="0.3">
      <c r="A11601" t="s">
        <v>0</v>
      </c>
    </row>
    <row r="11602" spans="1:1" x14ac:dyDescent="0.3">
      <c r="A11602" t="s">
        <v>0</v>
      </c>
    </row>
    <row r="11603" spans="1:1" x14ac:dyDescent="0.3">
      <c r="A11603" t="s">
        <v>0</v>
      </c>
    </row>
    <row r="11604" spans="1:1" x14ac:dyDescent="0.3">
      <c r="A11604" t="s">
        <v>0</v>
      </c>
    </row>
    <row r="11605" spans="1:1" x14ac:dyDescent="0.3">
      <c r="A11605" t="s">
        <v>0</v>
      </c>
    </row>
    <row r="11606" spans="1:1" x14ac:dyDescent="0.3">
      <c r="A11606" t="s">
        <v>0</v>
      </c>
    </row>
    <row r="11607" spans="1:1" x14ac:dyDescent="0.3">
      <c r="A11607" t="s">
        <v>0</v>
      </c>
    </row>
    <row r="11608" spans="1:1" x14ac:dyDescent="0.3">
      <c r="A11608" t="s">
        <v>0</v>
      </c>
    </row>
    <row r="11609" spans="1:1" x14ac:dyDescent="0.3">
      <c r="A11609" t="s">
        <v>0</v>
      </c>
    </row>
    <row r="11610" spans="1:1" x14ac:dyDescent="0.3">
      <c r="A11610" t="s">
        <v>0</v>
      </c>
    </row>
    <row r="11611" spans="1:1" x14ac:dyDescent="0.3">
      <c r="A11611" t="s">
        <v>0</v>
      </c>
    </row>
    <row r="11612" spans="1:1" x14ac:dyDescent="0.3">
      <c r="A11612" t="s">
        <v>0</v>
      </c>
    </row>
    <row r="11613" spans="1:1" x14ac:dyDescent="0.3">
      <c r="A11613" t="s">
        <v>0</v>
      </c>
    </row>
    <row r="11614" spans="1:1" x14ac:dyDescent="0.3">
      <c r="A11614" t="s">
        <v>0</v>
      </c>
    </row>
    <row r="11615" spans="1:1" x14ac:dyDescent="0.3">
      <c r="A11615" t="s">
        <v>0</v>
      </c>
    </row>
    <row r="11616" spans="1:1" x14ac:dyDescent="0.3">
      <c r="A11616" t="s">
        <v>0</v>
      </c>
    </row>
    <row r="11617" spans="1:1" x14ac:dyDescent="0.3">
      <c r="A11617" t="s">
        <v>0</v>
      </c>
    </row>
    <row r="11618" spans="1:1" x14ac:dyDescent="0.3">
      <c r="A11618" t="s">
        <v>0</v>
      </c>
    </row>
    <row r="11619" spans="1:1" x14ac:dyDescent="0.3">
      <c r="A11619" t="s">
        <v>0</v>
      </c>
    </row>
    <row r="11620" spans="1:1" x14ac:dyDescent="0.3">
      <c r="A11620" t="s">
        <v>0</v>
      </c>
    </row>
    <row r="11621" spans="1:1" x14ac:dyDescent="0.3">
      <c r="A11621" t="s">
        <v>0</v>
      </c>
    </row>
    <row r="11622" spans="1:1" x14ac:dyDescent="0.3">
      <c r="A11622" t="s">
        <v>0</v>
      </c>
    </row>
    <row r="11623" spans="1:1" x14ac:dyDescent="0.3">
      <c r="A11623" t="s">
        <v>0</v>
      </c>
    </row>
    <row r="11624" spans="1:1" x14ac:dyDescent="0.3">
      <c r="A11624" t="s">
        <v>0</v>
      </c>
    </row>
    <row r="11625" spans="1:1" x14ac:dyDescent="0.3">
      <c r="A11625" t="s">
        <v>0</v>
      </c>
    </row>
    <row r="11626" spans="1:1" x14ac:dyDescent="0.3">
      <c r="A11626" t="s">
        <v>0</v>
      </c>
    </row>
    <row r="11627" spans="1:1" x14ac:dyDescent="0.3">
      <c r="A11627" t="s">
        <v>0</v>
      </c>
    </row>
    <row r="11628" spans="1:1" x14ac:dyDescent="0.3">
      <c r="A11628" t="s">
        <v>0</v>
      </c>
    </row>
    <row r="11629" spans="1:1" x14ac:dyDescent="0.3">
      <c r="A11629" t="s">
        <v>0</v>
      </c>
    </row>
    <row r="11630" spans="1:1" x14ac:dyDescent="0.3">
      <c r="A11630" t="s">
        <v>0</v>
      </c>
    </row>
    <row r="11631" spans="1:1" x14ac:dyDescent="0.3">
      <c r="A11631" t="s">
        <v>0</v>
      </c>
    </row>
    <row r="11632" spans="1:1" x14ac:dyDescent="0.3">
      <c r="A11632" t="s">
        <v>0</v>
      </c>
    </row>
    <row r="11633" spans="1:1" x14ac:dyDescent="0.3">
      <c r="A11633" t="s">
        <v>0</v>
      </c>
    </row>
    <row r="11634" spans="1:1" x14ac:dyDescent="0.3">
      <c r="A11634" t="s">
        <v>0</v>
      </c>
    </row>
    <row r="11635" spans="1:1" x14ac:dyDescent="0.3">
      <c r="A11635" t="s">
        <v>0</v>
      </c>
    </row>
    <row r="11636" spans="1:1" x14ac:dyDescent="0.3">
      <c r="A11636" t="s">
        <v>0</v>
      </c>
    </row>
    <row r="11637" spans="1:1" x14ac:dyDescent="0.3">
      <c r="A11637" t="s">
        <v>0</v>
      </c>
    </row>
    <row r="11638" spans="1:1" x14ac:dyDescent="0.3">
      <c r="A11638" t="s">
        <v>0</v>
      </c>
    </row>
    <row r="11639" spans="1:1" x14ac:dyDescent="0.3">
      <c r="A11639" t="s">
        <v>0</v>
      </c>
    </row>
    <row r="11640" spans="1:1" x14ac:dyDescent="0.3">
      <c r="A11640" t="s">
        <v>0</v>
      </c>
    </row>
    <row r="11641" spans="1:1" x14ac:dyDescent="0.3">
      <c r="A11641" t="s">
        <v>0</v>
      </c>
    </row>
    <row r="11642" spans="1:1" x14ac:dyDescent="0.3">
      <c r="A11642" t="s">
        <v>0</v>
      </c>
    </row>
    <row r="11643" spans="1:1" x14ac:dyDescent="0.3">
      <c r="A11643" t="s">
        <v>0</v>
      </c>
    </row>
    <row r="11644" spans="1:1" x14ac:dyDescent="0.3">
      <c r="A11644" t="s">
        <v>0</v>
      </c>
    </row>
    <row r="11645" spans="1:1" x14ac:dyDescent="0.3">
      <c r="A11645" t="s">
        <v>0</v>
      </c>
    </row>
    <row r="11646" spans="1:1" x14ac:dyDescent="0.3">
      <c r="A11646" t="s">
        <v>0</v>
      </c>
    </row>
    <row r="11647" spans="1:1" x14ac:dyDescent="0.3">
      <c r="A11647" t="s">
        <v>0</v>
      </c>
    </row>
    <row r="11648" spans="1:1" x14ac:dyDescent="0.3">
      <c r="A11648" t="s">
        <v>0</v>
      </c>
    </row>
    <row r="11649" spans="1:1" x14ac:dyDescent="0.3">
      <c r="A11649" t="s">
        <v>0</v>
      </c>
    </row>
    <row r="11650" spans="1:1" x14ac:dyDescent="0.3">
      <c r="A11650" t="s">
        <v>0</v>
      </c>
    </row>
    <row r="11651" spans="1:1" x14ac:dyDescent="0.3">
      <c r="A11651" t="s">
        <v>0</v>
      </c>
    </row>
    <row r="11652" spans="1:1" x14ac:dyDescent="0.3">
      <c r="A11652" t="s">
        <v>0</v>
      </c>
    </row>
    <row r="11653" spans="1:1" x14ac:dyDescent="0.3">
      <c r="A11653" t="s">
        <v>0</v>
      </c>
    </row>
    <row r="11654" spans="1:1" x14ac:dyDescent="0.3">
      <c r="A11654" t="s">
        <v>0</v>
      </c>
    </row>
    <row r="11655" spans="1:1" x14ac:dyDescent="0.3">
      <c r="A11655" t="s">
        <v>0</v>
      </c>
    </row>
    <row r="11656" spans="1:1" x14ac:dyDescent="0.3">
      <c r="A11656" t="s">
        <v>0</v>
      </c>
    </row>
    <row r="11657" spans="1:1" x14ac:dyDescent="0.3">
      <c r="A11657" t="s">
        <v>0</v>
      </c>
    </row>
    <row r="11658" spans="1:1" x14ac:dyDescent="0.3">
      <c r="A11658" t="s">
        <v>0</v>
      </c>
    </row>
    <row r="11659" spans="1:1" x14ac:dyDescent="0.3">
      <c r="A11659" t="s">
        <v>0</v>
      </c>
    </row>
    <row r="11660" spans="1:1" x14ac:dyDescent="0.3">
      <c r="A11660" t="s">
        <v>0</v>
      </c>
    </row>
    <row r="11661" spans="1:1" x14ac:dyDescent="0.3">
      <c r="A11661" t="s">
        <v>0</v>
      </c>
    </row>
    <row r="11662" spans="1:1" x14ac:dyDescent="0.3">
      <c r="A11662" t="s">
        <v>0</v>
      </c>
    </row>
    <row r="11663" spans="1:1" x14ac:dyDescent="0.3">
      <c r="A11663" t="s">
        <v>0</v>
      </c>
    </row>
    <row r="11664" spans="1:1" x14ac:dyDescent="0.3">
      <c r="A11664" t="s">
        <v>0</v>
      </c>
    </row>
    <row r="11665" spans="1:1" x14ac:dyDescent="0.3">
      <c r="A11665" t="s">
        <v>0</v>
      </c>
    </row>
    <row r="11666" spans="1:1" x14ac:dyDescent="0.3">
      <c r="A11666" t="s">
        <v>0</v>
      </c>
    </row>
    <row r="11667" spans="1:1" x14ac:dyDescent="0.3">
      <c r="A11667" t="s">
        <v>0</v>
      </c>
    </row>
    <row r="11668" spans="1:1" x14ac:dyDescent="0.3">
      <c r="A11668" t="s">
        <v>0</v>
      </c>
    </row>
    <row r="11669" spans="1:1" x14ac:dyDescent="0.3">
      <c r="A11669" t="s">
        <v>0</v>
      </c>
    </row>
    <row r="11670" spans="1:1" x14ac:dyDescent="0.3">
      <c r="A11670" t="s">
        <v>0</v>
      </c>
    </row>
    <row r="11671" spans="1:1" x14ac:dyDescent="0.3">
      <c r="A11671" t="s">
        <v>0</v>
      </c>
    </row>
    <row r="11672" spans="1:1" x14ac:dyDescent="0.3">
      <c r="A11672" t="s">
        <v>0</v>
      </c>
    </row>
    <row r="11673" spans="1:1" x14ac:dyDescent="0.3">
      <c r="A11673" t="s">
        <v>0</v>
      </c>
    </row>
    <row r="11674" spans="1:1" x14ac:dyDescent="0.3">
      <c r="A11674" t="s">
        <v>0</v>
      </c>
    </row>
    <row r="11675" spans="1:1" x14ac:dyDescent="0.3">
      <c r="A11675" t="s">
        <v>0</v>
      </c>
    </row>
    <row r="11676" spans="1:1" x14ac:dyDescent="0.3">
      <c r="A11676" t="s">
        <v>0</v>
      </c>
    </row>
    <row r="11677" spans="1:1" x14ac:dyDescent="0.3">
      <c r="A11677" t="s">
        <v>0</v>
      </c>
    </row>
    <row r="11678" spans="1:1" x14ac:dyDescent="0.3">
      <c r="A11678" t="s">
        <v>0</v>
      </c>
    </row>
    <row r="11679" spans="1:1" x14ac:dyDescent="0.3">
      <c r="A11679" t="s">
        <v>0</v>
      </c>
    </row>
    <row r="11680" spans="1:1" x14ac:dyDescent="0.3">
      <c r="A11680" t="s">
        <v>0</v>
      </c>
    </row>
    <row r="11681" spans="1:1" x14ac:dyDescent="0.3">
      <c r="A11681" t="s">
        <v>0</v>
      </c>
    </row>
    <row r="11682" spans="1:1" x14ac:dyDescent="0.3">
      <c r="A11682" t="s">
        <v>0</v>
      </c>
    </row>
    <row r="11683" spans="1:1" x14ac:dyDescent="0.3">
      <c r="A11683" t="s">
        <v>0</v>
      </c>
    </row>
    <row r="11684" spans="1:1" x14ac:dyDescent="0.3">
      <c r="A11684" t="s">
        <v>0</v>
      </c>
    </row>
    <row r="11685" spans="1:1" x14ac:dyDescent="0.3">
      <c r="A11685" t="s">
        <v>0</v>
      </c>
    </row>
    <row r="11686" spans="1:1" x14ac:dyDescent="0.3">
      <c r="A11686" t="s">
        <v>0</v>
      </c>
    </row>
    <row r="11687" spans="1:1" x14ac:dyDescent="0.3">
      <c r="A11687" t="s">
        <v>0</v>
      </c>
    </row>
    <row r="11688" spans="1:1" x14ac:dyDescent="0.3">
      <c r="A11688" t="s">
        <v>0</v>
      </c>
    </row>
    <row r="11689" spans="1:1" x14ac:dyDescent="0.3">
      <c r="A11689" t="s">
        <v>0</v>
      </c>
    </row>
    <row r="11690" spans="1:1" x14ac:dyDescent="0.3">
      <c r="A11690" t="s">
        <v>0</v>
      </c>
    </row>
    <row r="11691" spans="1:1" x14ac:dyDescent="0.3">
      <c r="A11691" t="s">
        <v>0</v>
      </c>
    </row>
    <row r="11692" spans="1:1" x14ac:dyDescent="0.3">
      <c r="A11692" t="s">
        <v>0</v>
      </c>
    </row>
    <row r="11693" spans="1:1" x14ac:dyDescent="0.3">
      <c r="A11693" t="s">
        <v>0</v>
      </c>
    </row>
    <row r="11694" spans="1:1" x14ac:dyDescent="0.3">
      <c r="A11694" t="s">
        <v>0</v>
      </c>
    </row>
    <row r="11695" spans="1:1" x14ac:dyDescent="0.3">
      <c r="A11695" t="s">
        <v>0</v>
      </c>
    </row>
    <row r="11696" spans="1:1" x14ac:dyDescent="0.3">
      <c r="A11696" t="s">
        <v>0</v>
      </c>
    </row>
    <row r="11697" spans="1:1" x14ac:dyDescent="0.3">
      <c r="A11697" t="s">
        <v>0</v>
      </c>
    </row>
    <row r="11698" spans="1:1" x14ac:dyDescent="0.3">
      <c r="A11698" t="s">
        <v>0</v>
      </c>
    </row>
    <row r="11699" spans="1:1" x14ac:dyDescent="0.3">
      <c r="A11699" t="s">
        <v>0</v>
      </c>
    </row>
    <row r="11700" spans="1:1" x14ac:dyDescent="0.3">
      <c r="A11700" t="s">
        <v>0</v>
      </c>
    </row>
    <row r="11701" spans="1:1" x14ac:dyDescent="0.3">
      <c r="A11701" t="s">
        <v>0</v>
      </c>
    </row>
    <row r="11702" spans="1:1" x14ac:dyDescent="0.3">
      <c r="A11702" t="s">
        <v>0</v>
      </c>
    </row>
    <row r="11703" spans="1:1" x14ac:dyDescent="0.3">
      <c r="A11703" t="s">
        <v>0</v>
      </c>
    </row>
    <row r="11704" spans="1:1" x14ac:dyDescent="0.3">
      <c r="A11704" t="s">
        <v>0</v>
      </c>
    </row>
    <row r="11705" spans="1:1" x14ac:dyDescent="0.3">
      <c r="A11705" t="s">
        <v>0</v>
      </c>
    </row>
    <row r="11706" spans="1:1" x14ac:dyDescent="0.3">
      <c r="A11706" t="s">
        <v>0</v>
      </c>
    </row>
    <row r="11707" spans="1:1" x14ac:dyDescent="0.3">
      <c r="A11707" t="s">
        <v>0</v>
      </c>
    </row>
    <row r="11708" spans="1:1" x14ac:dyDescent="0.3">
      <c r="A11708" t="s">
        <v>0</v>
      </c>
    </row>
    <row r="11709" spans="1:1" x14ac:dyDescent="0.3">
      <c r="A11709" t="s">
        <v>0</v>
      </c>
    </row>
    <row r="11710" spans="1:1" x14ac:dyDescent="0.3">
      <c r="A11710" t="s">
        <v>0</v>
      </c>
    </row>
    <row r="11711" spans="1:1" x14ac:dyDescent="0.3">
      <c r="A11711" t="s">
        <v>0</v>
      </c>
    </row>
    <row r="11712" spans="1:1" x14ac:dyDescent="0.3">
      <c r="A11712" t="s">
        <v>0</v>
      </c>
    </row>
    <row r="11713" spans="1:1" x14ac:dyDescent="0.3">
      <c r="A11713" t="s">
        <v>0</v>
      </c>
    </row>
    <row r="11714" spans="1:1" x14ac:dyDescent="0.3">
      <c r="A11714" t="s">
        <v>0</v>
      </c>
    </row>
    <row r="11715" spans="1:1" x14ac:dyDescent="0.3">
      <c r="A11715" t="s">
        <v>0</v>
      </c>
    </row>
    <row r="11716" spans="1:1" x14ac:dyDescent="0.3">
      <c r="A11716" t="s">
        <v>0</v>
      </c>
    </row>
    <row r="11717" spans="1:1" x14ac:dyDescent="0.3">
      <c r="A11717" t="s">
        <v>0</v>
      </c>
    </row>
    <row r="11718" spans="1:1" x14ac:dyDescent="0.3">
      <c r="A11718" t="s">
        <v>0</v>
      </c>
    </row>
    <row r="11719" spans="1:1" x14ac:dyDescent="0.3">
      <c r="A11719" t="s">
        <v>0</v>
      </c>
    </row>
    <row r="11720" spans="1:1" x14ac:dyDescent="0.3">
      <c r="A11720" t="s">
        <v>0</v>
      </c>
    </row>
    <row r="11721" spans="1:1" x14ac:dyDescent="0.3">
      <c r="A11721" t="s">
        <v>0</v>
      </c>
    </row>
    <row r="11722" spans="1:1" x14ac:dyDescent="0.3">
      <c r="A11722" t="s">
        <v>0</v>
      </c>
    </row>
    <row r="11723" spans="1:1" x14ac:dyDescent="0.3">
      <c r="A11723" t="s">
        <v>0</v>
      </c>
    </row>
    <row r="11724" spans="1:1" x14ac:dyDescent="0.3">
      <c r="A11724" t="s">
        <v>0</v>
      </c>
    </row>
    <row r="11725" spans="1:1" x14ac:dyDescent="0.3">
      <c r="A11725" t="s">
        <v>0</v>
      </c>
    </row>
    <row r="11726" spans="1:1" x14ac:dyDescent="0.3">
      <c r="A11726" t="s">
        <v>0</v>
      </c>
    </row>
    <row r="11727" spans="1:1" x14ac:dyDescent="0.3">
      <c r="A11727" t="s">
        <v>0</v>
      </c>
    </row>
    <row r="11728" spans="1:1" x14ac:dyDescent="0.3">
      <c r="A11728" t="s">
        <v>0</v>
      </c>
    </row>
    <row r="11729" spans="1:1" x14ac:dyDescent="0.3">
      <c r="A11729" t="s">
        <v>0</v>
      </c>
    </row>
    <row r="11730" spans="1:1" x14ac:dyDescent="0.3">
      <c r="A11730" t="s">
        <v>0</v>
      </c>
    </row>
    <row r="11731" spans="1:1" x14ac:dyDescent="0.3">
      <c r="A11731" t="s">
        <v>0</v>
      </c>
    </row>
    <row r="11732" spans="1:1" x14ac:dyDescent="0.3">
      <c r="A11732" t="s">
        <v>0</v>
      </c>
    </row>
    <row r="11733" spans="1:1" x14ac:dyDescent="0.3">
      <c r="A11733" t="s">
        <v>0</v>
      </c>
    </row>
    <row r="11734" spans="1:1" x14ac:dyDescent="0.3">
      <c r="A11734" t="s">
        <v>0</v>
      </c>
    </row>
    <row r="11735" spans="1:1" x14ac:dyDescent="0.3">
      <c r="A11735" t="s">
        <v>0</v>
      </c>
    </row>
    <row r="11736" spans="1:1" x14ac:dyDescent="0.3">
      <c r="A11736" t="s">
        <v>0</v>
      </c>
    </row>
    <row r="11737" spans="1:1" x14ac:dyDescent="0.3">
      <c r="A11737" t="s">
        <v>0</v>
      </c>
    </row>
    <row r="11738" spans="1:1" x14ac:dyDescent="0.3">
      <c r="A11738" t="s">
        <v>0</v>
      </c>
    </row>
    <row r="11739" spans="1:1" x14ac:dyDescent="0.3">
      <c r="A11739" t="s">
        <v>0</v>
      </c>
    </row>
    <row r="11740" spans="1:1" x14ac:dyDescent="0.3">
      <c r="A11740" t="s">
        <v>0</v>
      </c>
    </row>
    <row r="11741" spans="1:1" x14ac:dyDescent="0.3">
      <c r="A11741" t="s">
        <v>0</v>
      </c>
    </row>
    <row r="11742" spans="1:1" x14ac:dyDescent="0.3">
      <c r="A11742" t="s">
        <v>0</v>
      </c>
    </row>
    <row r="11743" spans="1:1" x14ac:dyDescent="0.3">
      <c r="A11743" t="s">
        <v>0</v>
      </c>
    </row>
    <row r="11744" spans="1:1" x14ac:dyDescent="0.3">
      <c r="A11744" t="s">
        <v>0</v>
      </c>
    </row>
    <row r="11745" spans="1:1" x14ac:dyDescent="0.3">
      <c r="A11745" t="s">
        <v>0</v>
      </c>
    </row>
    <row r="11746" spans="1:1" x14ac:dyDescent="0.3">
      <c r="A11746" t="s">
        <v>0</v>
      </c>
    </row>
    <row r="11747" spans="1:1" x14ac:dyDescent="0.3">
      <c r="A11747" t="s">
        <v>0</v>
      </c>
    </row>
    <row r="11748" spans="1:1" x14ac:dyDescent="0.3">
      <c r="A11748" t="s">
        <v>0</v>
      </c>
    </row>
    <row r="11749" spans="1:1" x14ac:dyDescent="0.3">
      <c r="A11749" t="s">
        <v>0</v>
      </c>
    </row>
    <row r="11750" spans="1:1" x14ac:dyDescent="0.3">
      <c r="A11750" t="s">
        <v>0</v>
      </c>
    </row>
    <row r="11751" spans="1:1" x14ac:dyDescent="0.3">
      <c r="A11751" t="s">
        <v>0</v>
      </c>
    </row>
    <row r="11752" spans="1:1" x14ac:dyDescent="0.3">
      <c r="A11752" t="s">
        <v>0</v>
      </c>
    </row>
    <row r="11753" spans="1:1" x14ac:dyDescent="0.3">
      <c r="A11753" t="s">
        <v>0</v>
      </c>
    </row>
    <row r="11754" spans="1:1" x14ac:dyDescent="0.3">
      <c r="A11754" t="s">
        <v>0</v>
      </c>
    </row>
    <row r="11755" spans="1:1" x14ac:dyDescent="0.3">
      <c r="A11755" t="s">
        <v>0</v>
      </c>
    </row>
    <row r="11756" spans="1:1" x14ac:dyDescent="0.3">
      <c r="A11756" t="s">
        <v>0</v>
      </c>
    </row>
    <row r="11757" spans="1:1" x14ac:dyDescent="0.3">
      <c r="A11757" t="s">
        <v>0</v>
      </c>
    </row>
    <row r="11758" spans="1:1" x14ac:dyDescent="0.3">
      <c r="A11758" t="s">
        <v>0</v>
      </c>
    </row>
    <row r="11759" spans="1:1" x14ac:dyDescent="0.3">
      <c r="A11759" t="s">
        <v>0</v>
      </c>
    </row>
    <row r="11760" spans="1:1" x14ac:dyDescent="0.3">
      <c r="A11760" t="s">
        <v>0</v>
      </c>
    </row>
    <row r="11761" spans="1:1" x14ac:dyDescent="0.3">
      <c r="A11761" t="s">
        <v>0</v>
      </c>
    </row>
    <row r="11762" spans="1:1" x14ac:dyDescent="0.3">
      <c r="A11762" t="s">
        <v>0</v>
      </c>
    </row>
    <row r="11763" spans="1:1" x14ac:dyDescent="0.3">
      <c r="A11763" t="s">
        <v>0</v>
      </c>
    </row>
    <row r="11764" spans="1:1" x14ac:dyDescent="0.3">
      <c r="A11764" t="s">
        <v>0</v>
      </c>
    </row>
    <row r="11765" spans="1:1" x14ac:dyDescent="0.3">
      <c r="A11765" t="s">
        <v>0</v>
      </c>
    </row>
    <row r="11766" spans="1:1" x14ac:dyDescent="0.3">
      <c r="A11766" t="s">
        <v>0</v>
      </c>
    </row>
    <row r="11767" spans="1:1" x14ac:dyDescent="0.3">
      <c r="A11767" t="s">
        <v>0</v>
      </c>
    </row>
    <row r="11768" spans="1:1" x14ac:dyDescent="0.3">
      <c r="A11768" t="s">
        <v>0</v>
      </c>
    </row>
    <row r="11769" spans="1:1" x14ac:dyDescent="0.3">
      <c r="A11769" t="s">
        <v>0</v>
      </c>
    </row>
    <row r="11770" spans="1:1" x14ac:dyDescent="0.3">
      <c r="A11770" t="s">
        <v>0</v>
      </c>
    </row>
    <row r="11771" spans="1:1" x14ac:dyDescent="0.3">
      <c r="A11771" t="s">
        <v>0</v>
      </c>
    </row>
    <row r="11772" spans="1:1" x14ac:dyDescent="0.3">
      <c r="A11772" t="s">
        <v>0</v>
      </c>
    </row>
    <row r="11773" spans="1:1" x14ac:dyDescent="0.3">
      <c r="A11773" t="s">
        <v>0</v>
      </c>
    </row>
    <row r="11774" spans="1:1" x14ac:dyDescent="0.3">
      <c r="A11774" t="s">
        <v>0</v>
      </c>
    </row>
    <row r="11775" spans="1:1" x14ac:dyDescent="0.3">
      <c r="A11775" t="s">
        <v>0</v>
      </c>
    </row>
    <row r="11776" spans="1:1" x14ac:dyDescent="0.3">
      <c r="A11776" t="s">
        <v>0</v>
      </c>
    </row>
    <row r="11777" spans="1:1" x14ac:dyDescent="0.3">
      <c r="A11777" t="s">
        <v>0</v>
      </c>
    </row>
    <row r="11778" spans="1:1" x14ac:dyDescent="0.3">
      <c r="A11778" t="s">
        <v>0</v>
      </c>
    </row>
    <row r="11779" spans="1:1" x14ac:dyDescent="0.3">
      <c r="A11779" t="s">
        <v>0</v>
      </c>
    </row>
    <row r="11780" spans="1:1" x14ac:dyDescent="0.3">
      <c r="A11780" t="s">
        <v>0</v>
      </c>
    </row>
    <row r="11781" spans="1:1" x14ac:dyDescent="0.3">
      <c r="A11781" t="s">
        <v>0</v>
      </c>
    </row>
    <row r="11782" spans="1:1" x14ac:dyDescent="0.3">
      <c r="A11782" t="s">
        <v>0</v>
      </c>
    </row>
    <row r="11783" spans="1:1" x14ac:dyDescent="0.3">
      <c r="A11783" t="s">
        <v>0</v>
      </c>
    </row>
    <row r="11784" spans="1:1" x14ac:dyDescent="0.3">
      <c r="A11784" t="s">
        <v>0</v>
      </c>
    </row>
    <row r="11785" spans="1:1" x14ac:dyDescent="0.3">
      <c r="A11785" t="s">
        <v>0</v>
      </c>
    </row>
    <row r="11786" spans="1:1" x14ac:dyDescent="0.3">
      <c r="A11786" t="s">
        <v>0</v>
      </c>
    </row>
    <row r="11787" spans="1:1" x14ac:dyDescent="0.3">
      <c r="A11787" t="s">
        <v>0</v>
      </c>
    </row>
    <row r="11788" spans="1:1" x14ac:dyDescent="0.3">
      <c r="A11788" t="s">
        <v>0</v>
      </c>
    </row>
    <row r="11789" spans="1:1" x14ac:dyDescent="0.3">
      <c r="A11789" t="s">
        <v>0</v>
      </c>
    </row>
    <row r="11790" spans="1:1" x14ac:dyDescent="0.3">
      <c r="A11790" t="s">
        <v>0</v>
      </c>
    </row>
    <row r="11791" spans="1:1" x14ac:dyDescent="0.3">
      <c r="A11791" t="s">
        <v>0</v>
      </c>
    </row>
    <row r="11792" spans="1:1" x14ac:dyDescent="0.3">
      <c r="A11792" t="s">
        <v>0</v>
      </c>
    </row>
    <row r="11793" spans="1:1" x14ac:dyDescent="0.3">
      <c r="A11793" t="s">
        <v>0</v>
      </c>
    </row>
    <row r="11794" spans="1:1" x14ac:dyDescent="0.3">
      <c r="A11794" t="s">
        <v>0</v>
      </c>
    </row>
    <row r="11795" spans="1:1" x14ac:dyDescent="0.3">
      <c r="A11795" t="s">
        <v>0</v>
      </c>
    </row>
    <row r="11796" spans="1:1" x14ac:dyDescent="0.3">
      <c r="A11796" t="s">
        <v>0</v>
      </c>
    </row>
    <row r="11797" spans="1:1" x14ac:dyDescent="0.3">
      <c r="A11797" t="s">
        <v>0</v>
      </c>
    </row>
    <row r="11798" spans="1:1" x14ac:dyDescent="0.3">
      <c r="A11798" t="s">
        <v>0</v>
      </c>
    </row>
    <row r="11799" spans="1:1" x14ac:dyDescent="0.3">
      <c r="A11799" t="s">
        <v>0</v>
      </c>
    </row>
    <row r="11800" spans="1:1" x14ac:dyDescent="0.3">
      <c r="A11800" t="s">
        <v>0</v>
      </c>
    </row>
    <row r="11801" spans="1:1" x14ac:dyDescent="0.3">
      <c r="A11801" t="s">
        <v>0</v>
      </c>
    </row>
    <row r="11802" spans="1:1" x14ac:dyDescent="0.3">
      <c r="A11802" t="s">
        <v>0</v>
      </c>
    </row>
    <row r="11803" spans="1:1" x14ac:dyDescent="0.3">
      <c r="A11803" t="s">
        <v>0</v>
      </c>
    </row>
    <row r="11804" spans="1:1" x14ac:dyDescent="0.3">
      <c r="A11804" t="s">
        <v>0</v>
      </c>
    </row>
    <row r="11805" spans="1:1" x14ac:dyDescent="0.3">
      <c r="A11805" t="s">
        <v>0</v>
      </c>
    </row>
    <row r="11806" spans="1:1" x14ac:dyDescent="0.3">
      <c r="A11806" t="s">
        <v>0</v>
      </c>
    </row>
    <row r="11807" spans="1:1" x14ac:dyDescent="0.3">
      <c r="A11807" t="s">
        <v>0</v>
      </c>
    </row>
    <row r="11808" spans="1:1" x14ac:dyDescent="0.3">
      <c r="A11808" t="s">
        <v>0</v>
      </c>
    </row>
    <row r="11809" spans="1:1" x14ac:dyDescent="0.3">
      <c r="A11809" t="s">
        <v>0</v>
      </c>
    </row>
    <row r="11810" spans="1:1" x14ac:dyDescent="0.3">
      <c r="A11810" t="s">
        <v>0</v>
      </c>
    </row>
    <row r="11811" spans="1:1" x14ac:dyDescent="0.3">
      <c r="A11811" t="s">
        <v>0</v>
      </c>
    </row>
    <row r="11812" spans="1:1" x14ac:dyDescent="0.3">
      <c r="A11812" t="s">
        <v>0</v>
      </c>
    </row>
    <row r="11813" spans="1:1" x14ac:dyDescent="0.3">
      <c r="A11813" t="s">
        <v>0</v>
      </c>
    </row>
    <row r="11814" spans="1:1" x14ac:dyDescent="0.3">
      <c r="A11814" t="s">
        <v>0</v>
      </c>
    </row>
    <row r="11815" spans="1:1" x14ac:dyDescent="0.3">
      <c r="A11815" t="s">
        <v>0</v>
      </c>
    </row>
    <row r="11816" spans="1:1" x14ac:dyDescent="0.3">
      <c r="A11816" t="s">
        <v>0</v>
      </c>
    </row>
    <row r="11817" spans="1:1" x14ac:dyDescent="0.3">
      <c r="A11817" t="s">
        <v>0</v>
      </c>
    </row>
    <row r="11818" spans="1:1" x14ac:dyDescent="0.3">
      <c r="A11818" t="s">
        <v>0</v>
      </c>
    </row>
    <row r="11819" spans="1:1" x14ac:dyDescent="0.3">
      <c r="A11819" t="s">
        <v>0</v>
      </c>
    </row>
    <row r="11820" spans="1:1" x14ac:dyDescent="0.3">
      <c r="A11820" t="s">
        <v>0</v>
      </c>
    </row>
    <row r="11821" spans="1:1" x14ac:dyDescent="0.3">
      <c r="A11821" t="s">
        <v>0</v>
      </c>
    </row>
    <row r="11822" spans="1:1" x14ac:dyDescent="0.3">
      <c r="A11822" t="s">
        <v>0</v>
      </c>
    </row>
    <row r="11823" spans="1:1" x14ac:dyDescent="0.3">
      <c r="A11823" t="s">
        <v>0</v>
      </c>
    </row>
    <row r="11824" spans="1:1" x14ac:dyDescent="0.3">
      <c r="A11824" t="s">
        <v>0</v>
      </c>
    </row>
    <row r="11825" spans="1:1" x14ac:dyDescent="0.3">
      <c r="A11825" t="s">
        <v>0</v>
      </c>
    </row>
    <row r="11826" spans="1:1" x14ac:dyDescent="0.3">
      <c r="A11826" t="s">
        <v>0</v>
      </c>
    </row>
    <row r="11827" spans="1:1" x14ac:dyDescent="0.3">
      <c r="A11827" t="s">
        <v>0</v>
      </c>
    </row>
    <row r="11828" spans="1:1" x14ac:dyDescent="0.3">
      <c r="A11828" t="s">
        <v>0</v>
      </c>
    </row>
    <row r="11829" spans="1:1" x14ac:dyDescent="0.3">
      <c r="A11829" t="s">
        <v>0</v>
      </c>
    </row>
    <row r="11830" spans="1:1" x14ac:dyDescent="0.3">
      <c r="A11830" t="s">
        <v>0</v>
      </c>
    </row>
    <row r="11831" spans="1:1" x14ac:dyDescent="0.3">
      <c r="A11831" t="s">
        <v>0</v>
      </c>
    </row>
    <row r="11832" spans="1:1" x14ac:dyDescent="0.3">
      <c r="A11832" t="s">
        <v>0</v>
      </c>
    </row>
    <row r="11833" spans="1:1" x14ac:dyDescent="0.3">
      <c r="A11833" t="s">
        <v>0</v>
      </c>
    </row>
    <row r="11834" spans="1:1" x14ac:dyDescent="0.3">
      <c r="A11834" t="s">
        <v>0</v>
      </c>
    </row>
    <row r="11835" spans="1:1" x14ac:dyDescent="0.3">
      <c r="A11835" t="s">
        <v>0</v>
      </c>
    </row>
    <row r="11836" spans="1:1" x14ac:dyDescent="0.3">
      <c r="A11836" t="s">
        <v>0</v>
      </c>
    </row>
    <row r="11837" spans="1:1" x14ac:dyDescent="0.3">
      <c r="A11837" t="s">
        <v>0</v>
      </c>
    </row>
    <row r="11838" spans="1:1" x14ac:dyDescent="0.3">
      <c r="A11838" t="s">
        <v>0</v>
      </c>
    </row>
    <row r="11839" spans="1:1" x14ac:dyDescent="0.3">
      <c r="A11839" t="s">
        <v>0</v>
      </c>
    </row>
    <row r="11840" spans="1:1" x14ac:dyDescent="0.3">
      <c r="A11840" t="s">
        <v>0</v>
      </c>
    </row>
    <row r="11841" spans="1:1" x14ac:dyDescent="0.3">
      <c r="A11841" t="s">
        <v>0</v>
      </c>
    </row>
    <row r="11842" spans="1:1" x14ac:dyDescent="0.3">
      <c r="A11842" t="s">
        <v>0</v>
      </c>
    </row>
    <row r="11843" spans="1:1" x14ac:dyDescent="0.3">
      <c r="A11843" t="s">
        <v>0</v>
      </c>
    </row>
    <row r="11844" spans="1:1" x14ac:dyDescent="0.3">
      <c r="A11844" t="s">
        <v>0</v>
      </c>
    </row>
    <row r="11845" spans="1:1" x14ac:dyDescent="0.3">
      <c r="A11845" t="s">
        <v>0</v>
      </c>
    </row>
    <row r="11846" spans="1:1" x14ac:dyDescent="0.3">
      <c r="A11846" t="s">
        <v>0</v>
      </c>
    </row>
    <row r="11847" spans="1:1" x14ac:dyDescent="0.3">
      <c r="A11847" t="s">
        <v>0</v>
      </c>
    </row>
    <row r="11848" spans="1:1" x14ac:dyDescent="0.3">
      <c r="A11848" t="s">
        <v>0</v>
      </c>
    </row>
    <row r="11849" spans="1:1" x14ac:dyDescent="0.3">
      <c r="A11849" t="s">
        <v>0</v>
      </c>
    </row>
    <row r="11850" spans="1:1" x14ac:dyDescent="0.3">
      <c r="A11850" t="s">
        <v>0</v>
      </c>
    </row>
    <row r="11851" spans="1:1" x14ac:dyDescent="0.3">
      <c r="A11851" t="s">
        <v>0</v>
      </c>
    </row>
    <row r="11852" spans="1:1" x14ac:dyDescent="0.3">
      <c r="A11852" t="s">
        <v>0</v>
      </c>
    </row>
    <row r="11853" spans="1:1" x14ac:dyDescent="0.3">
      <c r="A11853" t="s">
        <v>0</v>
      </c>
    </row>
    <row r="11854" spans="1:1" x14ac:dyDescent="0.3">
      <c r="A11854" t="s">
        <v>0</v>
      </c>
    </row>
    <row r="11855" spans="1:1" x14ac:dyDescent="0.3">
      <c r="A11855" t="s">
        <v>0</v>
      </c>
    </row>
    <row r="11856" spans="1:1" x14ac:dyDescent="0.3">
      <c r="A11856" t="s">
        <v>0</v>
      </c>
    </row>
    <row r="11857" spans="1:1" x14ac:dyDescent="0.3">
      <c r="A11857" t="s">
        <v>0</v>
      </c>
    </row>
    <row r="11858" spans="1:1" x14ac:dyDescent="0.3">
      <c r="A11858" t="s">
        <v>0</v>
      </c>
    </row>
    <row r="11859" spans="1:1" x14ac:dyDescent="0.3">
      <c r="A11859" t="s">
        <v>0</v>
      </c>
    </row>
    <row r="11860" spans="1:1" x14ac:dyDescent="0.3">
      <c r="A11860" t="s">
        <v>0</v>
      </c>
    </row>
    <row r="11861" spans="1:1" x14ac:dyDescent="0.3">
      <c r="A11861" t="s">
        <v>0</v>
      </c>
    </row>
    <row r="11862" spans="1:1" x14ac:dyDescent="0.3">
      <c r="A11862" t="s">
        <v>0</v>
      </c>
    </row>
    <row r="11863" spans="1:1" x14ac:dyDescent="0.3">
      <c r="A11863" t="s">
        <v>0</v>
      </c>
    </row>
    <row r="11864" spans="1:1" x14ac:dyDescent="0.3">
      <c r="A11864" t="s">
        <v>0</v>
      </c>
    </row>
    <row r="11865" spans="1:1" x14ac:dyDescent="0.3">
      <c r="A11865" t="s">
        <v>0</v>
      </c>
    </row>
    <row r="11866" spans="1:1" x14ac:dyDescent="0.3">
      <c r="A11866" t="s">
        <v>0</v>
      </c>
    </row>
    <row r="11867" spans="1:1" x14ac:dyDescent="0.3">
      <c r="A11867" t="s">
        <v>0</v>
      </c>
    </row>
    <row r="11868" spans="1:1" x14ac:dyDescent="0.3">
      <c r="A11868" t="s">
        <v>0</v>
      </c>
    </row>
    <row r="11869" spans="1:1" x14ac:dyDescent="0.3">
      <c r="A11869" t="s">
        <v>0</v>
      </c>
    </row>
    <row r="11870" spans="1:1" x14ac:dyDescent="0.3">
      <c r="A11870" t="s">
        <v>0</v>
      </c>
    </row>
    <row r="11871" spans="1:1" x14ac:dyDescent="0.3">
      <c r="A11871" t="s">
        <v>0</v>
      </c>
    </row>
    <row r="11872" spans="1:1" x14ac:dyDescent="0.3">
      <c r="A11872" t="s">
        <v>0</v>
      </c>
    </row>
    <row r="11873" spans="1:1" x14ac:dyDescent="0.3">
      <c r="A11873" t="s">
        <v>0</v>
      </c>
    </row>
    <row r="11874" spans="1:1" x14ac:dyDescent="0.3">
      <c r="A11874" t="s">
        <v>0</v>
      </c>
    </row>
    <row r="11875" spans="1:1" x14ac:dyDescent="0.3">
      <c r="A11875" t="s">
        <v>0</v>
      </c>
    </row>
    <row r="11876" spans="1:1" x14ac:dyDescent="0.3">
      <c r="A11876" t="s">
        <v>0</v>
      </c>
    </row>
    <row r="11877" spans="1:1" x14ac:dyDescent="0.3">
      <c r="A11877" t="s">
        <v>0</v>
      </c>
    </row>
    <row r="11878" spans="1:1" x14ac:dyDescent="0.3">
      <c r="A11878" t="s">
        <v>0</v>
      </c>
    </row>
    <row r="11879" spans="1:1" x14ac:dyDescent="0.3">
      <c r="A11879" t="s">
        <v>0</v>
      </c>
    </row>
    <row r="11880" spans="1:1" x14ac:dyDescent="0.3">
      <c r="A11880" t="s">
        <v>0</v>
      </c>
    </row>
    <row r="11881" spans="1:1" x14ac:dyDescent="0.3">
      <c r="A11881" t="s">
        <v>0</v>
      </c>
    </row>
    <row r="11882" spans="1:1" x14ac:dyDescent="0.3">
      <c r="A11882" t="s">
        <v>0</v>
      </c>
    </row>
    <row r="11883" spans="1:1" x14ac:dyDescent="0.3">
      <c r="A11883" t="s">
        <v>0</v>
      </c>
    </row>
    <row r="11884" spans="1:1" x14ac:dyDescent="0.3">
      <c r="A11884" t="s">
        <v>0</v>
      </c>
    </row>
    <row r="11885" spans="1:1" x14ac:dyDescent="0.3">
      <c r="A11885" t="s">
        <v>0</v>
      </c>
    </row>
    <row r="11886" spans="1:1" x14ac:dyDescent="0.3">
      <c r="A11886" t="s">
        <v>0</v>
      </c>
    </row>
    <row r="11887" spans="1:1" x14ac:dyDescent="0.3">
      <c r="A11887" t="s">
        <v>0</v>
      </c>
    </row>
    <row r="11888" spans="1:1" x14ac:dyDescent="0.3">
      <c r="A11888" t="s">
        <v>0</v>
      </c>
    </row>
    <row r="11889" spans="1:1" x14ac:dyDescent="0.3">
      <c r="A11889" t="s">
        <v>0</v>
      </c>
    </row>
    <row r="11890" spans="1:1" x14ac:dyDescent="0.3">
      <c r="A11890" t="s">
        <v>0</v>
      </c>
    </row>
    <row r="11891" spans="1:1" x14ac:dyDescent="0.3">
      <c r="A11891" t="s">
        <v>0</v>
      </c>
    </row>
    <row r="11892" spans="1:1" x14ac:dyDescent="0.3">
      <c r="A11892" t="s">
        <v>0</v>
      </c>
    </row>
    <row r="11893" spans="1:1" x14ac:dyDescent="0.3">
      <c r="A11893" t="s">
        <v>0</v>
      </c>
    </row>
    <row r="11894" spans="1:1" x14ac:dyDescent="0.3">
      <c r="A11894" t="s">
        <v>0</v>
      </c>
    </row>
    <row r="11895" spans="1:1" x14ac:dyDescent="0.3">
      <c r="A11895" t="s">
        <v>0</v>
      </c>
    </row>
    <row r="11896" spans="1:1" x14ac:dyDescent="0.3">
      <c r="A11896" t="s">
        <v>0</v>
      </c>
    </row>
    <row r="11897" spans="1:1" x14ac:dyDescent="0.3">
      <c r="A11897" t="s">
        <v>0</v>
      </c>
    </row>
    <row r="11898" spans="1:1" x14ac:dyDescent="0.3">
      <c r="A11898" t="s">
        <v>0</v>
      </c>
    </row>
    <row r="11899" spans="1:1" x14ac:dyDescent="0.3">
      <c r="A11899" t="s">
        <v>0</v>
      </c>
    </row>
    <row r="11900" spans="1:1" x14ac:dyDescent="0.3">
      <c r="A11900" t="s">
        <v>0</v>
      </c>
    </row>
    <row r="11901" spans="1:1" x14ac:dyDescent="0.3">
      <c r="A11901" t="s">
        <v>0</v>
      </c>
    </row>
    <row r="11902" spans="1:1" x14ac:dyDescent="0.3">
      <c r="A11902" t="s">
        <v>0</v>
      </c>
    </row>
    <row r="11903" spans="1:1" x14ac:dyDescent="0.3">
      <c r="A11903" t="s">
        <v>0</v>
      </c>
    </row>
    <row r="11904" spans="1:1" x14ac:dyDescent="0.3">
      <c r="A11904" t="s">
        <v>0</v>
      </c>
    </row>
    <row r="11905" spans="1:1" x14ac:dyDescent="0.3">
      <c r="A11905" t="s">
        <v>0</v>
      </c>
    </row>
    <row r="11906" spans="1:1" x14ac:dyDescent="0.3">
      <c r="A11906" t="s">
        <v>0</v>
      </c>
    </row>
    <row r="11907" spans="1:1" x14ac:dyDescent="0.3">
      <c r="A11907" t="s">
        <v>0</v>
      </c>
    </row>
    <row r="11908" spans="1:1" x14ac:dyDescent="0.3">
      <c r="A11908" t="s">
        <v>0</v>
      </c>
    </row>
    <row r="11909" spans="1:1" x14ac:dyDescent="0.3">
      <c r="A11909" t="s">
        <v>0</v>
      </c>
    </row>
    <row r="11910" spans="1:1" x14ac:dyDescent="0.3">
      <c r="A11910" t="s">
        <v>0</v>
      </c>
    </row>
    <row r="11911" spans="1:1" x14ac:dyDescent="0.3">
      <c r="A11911" t="s">
        <v>0</v>
      </c>
    </row>
    <row r="11912" spans="1:1" x14ac:dyDescent="0.3">
      <c r="A11912" t="s">
        <v>0</v>
      </c>
    </row>
    <row r="11913" spans="1:1" x14ac:dyDescent="0.3">
      <c r="A11913" t="s">
        <v>0</v>
      </c>
    </row>
    <row r="11914" spans="1:1" x14ac:dyDescent="0.3">
      <c r="A11914" t="s">
        <v>0</v>
      </c>
    </row>
    <row r="11915" spans="1:1" x14ac:dyDescent="0.3">
      <c r="A11915" t="s">
        <v>0</v>
      </c>
    </row>
    <row r="11916" spans="1:1" x14ac:dyDescent="0.3">
      <c r="A11916" t="s">
        <v>0</v>
      </c>
    </row>
    <row r="11917" spans="1:1" x14ac:dyDescent="0.3">
      <c r="A11917" t="s">
        <v>0</v>
      </c>
    </row>
    <row r="11918" spans="1:1" x14ac:dyDescent="0.3">
      <c r="A11918" t="s">
        <v>0</v>
      </c>
    </row>
    <row r="11919" spans="1:1" x14ac:dyDescent="0.3">
      <c r="A11919" t="s">
        <v>0</v>
      </c>
    </row>
    <row r="11920" spans="1:1" x14ac:dyDescent="0.3">
      <c r="A11920" t="s">
        <v>0</v>
      </c>
    </row>
    <row r="11921" spans="1:1" x14ac:dyDescent="0.3">
      <c r="A11921" t="s">
        <v>0</v>
      </c>
    </row>
    <row r="11922" spans="1:1" x14ac:dyDescent="0.3">
      <c r="A11922" t="s">
        <v>0</v>
      </c>
    </row>
    <row r="11923" spans="1:1" x14ac:dyDescent="0.3">
      <c r="A11923" t="s">
        <v>0</v>
      </c>
    </row>
    <row r="11924" spans="1:1" x14ac:dyDescent="0.3">
      <c r="A11924" t="s">
        <v>0</v>
      </c>
    </row>
    <row r="11925" spans="1:1" x14ac:dyDescent="0.3">
      <c r="A11925" t="s">
        <v>0</v>
      </c>
    </row>
    <row r="11926" spans="1:1" x14ac:dyDescent="0.3">
      <c r="A11926" t="s">
        <v>0</v>
      </c>
    </row>
    <row r="11927" spans="1:1" x14ac:dyDescent="0.3">
      <c r="A11927" t="s">
        <v>0</v>
      </c>
    </row>
    <row r="11928" spans="1:1" x14ac:dyDescent="0.3">
      <c r="A11928" t="s">
        <v>0</v>
      </c>
    </row>
    <row r="11929" spans="1:1" x14ac:dyDescent="0.3">
      <c r="A11929" t="s">
        <v>0</v>
      </c>
    </row>
    <row r="11930" spans="1:1" x14ac:dyDescent="0.3">
      <c r="A11930" t="s">
        <v>0</v>
      </c>
    </row>
    <row r="11931" spans="1:1" x14ac:dyDescent="0.3">
      <c r="A11931" t="s">
        <v>0</v>
      </c>
    </row>
    <row r="11932" spans="1:1" x14ac:dyDescent="0.3">
      <c r="A11932" t="s">
        <v>0</v>
      </c>
    </row>
    <row r="11933" spans="1:1" x14ac:dyDescent="0.3">
      <c r="A11933" t="s">
        <v>0</v>
      </c>
    </row>
    <row r="11934" spans="1:1" x14ac:dyDescent="0.3">
      <c r="A11934" t="s">
        <v>0</v>
      </c>
    </row>
    <row r="11935" spans="1:1" x14ac:dyDescent="0.3">
      <c r="A11935" t="s">
        <v>0</v>
      </c>
    </row>
    <row r="11936" spans="1:1" x14ac:dyDescent="0.3">
      <c r="A11936" t="s">
        <v>0</v>
      </c>
    </row>
    <row r="11937" spans="1:1" x14ac:dyDescent="0.3">
      <c r="A11937" t="s">
        <v>0</v>
      </c>
    </row>
    <row r="11938" spans="1:1" x14ac:dyDescent="0.3">
      <c r="A11938" t="s">
        <v>0</v>
      </c>
    </row>
    <row r="11939" spans="1:1" x14ac:dyDescent="0.3">
      <c r="A11939" t="s">
        <v>0</v>
      </c>
    </row>
    <row r="11940" spans="1:1" x14ac:dyDescent="0.3">
      <c r="A11940" t="s">
        <v>0</v>
      </c>
    </row>
    <row r="11941" spans="1:1" x14ac:dyDescent="0.3">
      <c r="A11941" t="s">
        <v>0</v>
      </c>
    </row>
    <row r="11942" spans="1:1" x14ac:dyDescent="0.3">
      <c r="A11942" t="s">
        <v>0</v>
      </c>
    </row>
    <row r="11943" spans="1:1" x14ac:dyDescent="0.3">
      <c r="A11943" t="s">
        <v>0</v>
      </c>
    </row>
    <row r="11944" spans="1:1" x14ac:dyDescent="0.3">
      <c r="A11944" t="s">
        <v>0</v>
      </c>
    </row>
    <row r="11945" spans="1:1" x14ac:dyDescent="0.3">
      <c r="A11945" t="s">
        <v>0</v>
      </c>
    </row>
    <row r="11946" spans="1:1" x14ac:dyDescent="0.3">
      <c r="A11946" t="s">
        <v>0</v>
      </c>
    </row>
    <row r="11947" spans="1:1" x14ac:dyDescent="0.3">
      <c r="A11947" t="s">
        <v>0</v>
      </c>
    </row>
    <row r="11948" spans="1:1" x14ac:dyDescent="0.3">
      <c r="A11948" t="s">
        <v>0</v>
      </c>
    </row>
    <row r="11949" spans="1:1" x14ac:dyDescent="0.3">
      <c r="A11949" t="s">
        <v>0</v>
      </c>
    </row>
    <row r="11950" spans="1:1" x14ac:dyDescent="0.3">
      <c r="A11950" t="s">
        <v>0</v>
      </c>
    </row>
    <row r="11951" spans="1:1" x14ac:dyDescent="0.3">
      <c r="A11951" t="s">
        <v>0</v>
      </c>
    </row>
    <row r="11952" spans="1:1" x14ac:dyDescent="0.3">
      <c r="A11952" t="s">
        <v>0</v>
      </c>
    </row>
    <row r="11953" spans="1:1" x14ac:dyDescent="0.3">
      <c r="A11953" t="s">
        <v>0</v>
      </c>
    </row>
    <row r="11954" spans="1:1" x14ac:dyDescent="0.3">
      <c r="A11954" t="s">
        <v>0</v>
      </c>
    </row>
    <row r="11955" spans="1:1" x14ac:dyDescent="0.3">
      <c r="A11955" t="s">
        <v>0</v>
      </c>
    </row>
    <row r="11956" spans="1:1" x14ac:dyDescent="0.3">
      <c r="A11956" t="s">
        <v>0</v>
      </c>
    </row>
    <row r="11957" spans="1:1" x14ac:dyDescent="0.3">
      <c r="A11957" t="s">
        <v>0</v>
      </c>
    </row>
    <row r="11958" spans="1:1" x14ac:dyDescent="0.3">
      <c r="A11958" t="s">
        <v>0</v>
      </c>
    </row>
    <row r="11959" spans="1:1" x14ac:dyDescent="0.3">
      <c r="A11959" t="s">
        <v>0</v>
      </c>
    </row>
    <row r="11960" spans="1:1" x14ac:dyDescent="0.3">
      <c r="A11960" t="s">
        <v>0</v>
      </c>
    </row>
    <row r="11961" spans="1:1" x14ac:dyDescent="0.3">
      <c r="A11961" t="s">
        <v>0</v>
      </c>
    </row>
    <row r="11962" spans="1:1" x14ac:dyDescent="0.3">
      <c r="A11962" t="s">
        <v>0</v>
      </c>
    </row>
    <row r="11963" spans="1:1" x14ac:dyDescent="0.3">
      <c r="A11963" t="s">
        <v>0</v>
      </c>
    </row>
    <row r="11964" spans="1:1" x14ac:dyDescent="0.3">
      <c r="A11964" t="s">
        <v>0</v>
      </c>
    </row>
    <row r="11965" spans="1:1" x14ac:dyDescent="0.3">
      <c r="A11965" t="s">
        <v>0</v>
      </c>
    </row>
    <row r="11966" spans="1:1" x14ac:dyDescent="0.3">
      <c r="A11966" t="s">
        <v>0</v>
      </c>
    </row>
    <row r="11967" spans="1:1" x14ac:dyDescent="0.3">
      <c r="A11967" t="s">
        <v>0</v>
      </c>
    </row>
    <row r="11968" spans="1:1" x14ac:dyDescent="0.3">
      <c r="A11968" t="s">
        <v>0</v>
      </c>
    </row>
    <row r="11969" spans="1:1" x14ac:dyDescent="0.3">
      <c r="A11969" t="s">
        <v>0</v>
      </c>
    </row>
    <row r="11970" spans="1:1" x14ac:dyDescent="0.3">
      <c r="A11970" t="s">
        <v>0</v>
      </c>
    </row>
    <row r="11971" spans="1:1" x14ac:dyDescent="0.3">
      <c r="A11971" t="s">
        <v>0</v>
      </c>
    </row>
    <row r="11972" spans="1:1" x14ac:dyDescent="0.3">
      <c r="A11972" t="s">
        <v>0</v>
      </c>
    </row>
    <row r="11973" spans="1:1" x14ac:dyDescent="0.3">
      <c r="A11973" t="s">
        <v>0</v>
      </c>
    </row>
    <row r="11974" spans="1:1" x14ac:dyDescent="0.3">
      <c r="A11974" t="s">
        <v>0</v>
      </c>
    </row>
    <row r="11975" spans="1:1" x14ac:dyDescent="0.3">
      <c r="A11975" t="s">
        <v>0</v>
      </c>
    </row>
    <row r="11976" spans="1:1" x14ac:dyDescent="0.3">
      <c r="A11976" t="s">
        <v>0</v>
      </c>
    </row>
    <row r="11977" spans="1:1" x14ac:dyDescent="0.3">
      <c r="A11977" t="s">
        <v>0</v>
      </c>
    </row>
    <row r="11978" spans="1:1" x14ac:dyDescent="0.3">
      <c r="A11978" t="s">
        <v>0</v>
      </c>
    </row>
    <row r="11979" spans="1:1" x14ac:dyDescent="0.3">
      <c r="A11979" t="s">
        <v>0</v>
      </c>
    </row>
    <row r="11980" spans="1:1" x14ac:dyDescent="0.3">
      <c r="A11980" t="s">
        <v>0</v>
      </c>
    </row>
    <row r="11981" spans="1:1" x14ac:dyDescent="0.3">
      <c r="A11981" t="s">
        <v>0</v>
      </c>
    </row>
    <row r="11982" spans="1:1" x14ac:dyDescent="0.3">
      <c r="A11982" t="s">
        <v>0</v>
      </c>
    </row>
    <row r="11983" spans="1:1" x14ac:dyDescent="0.3">
      <c r="A11983" t="s">
        <v>0</v>
      </c>
    </row>
    <row r="11984" spans="1:1" x14ac:dyDescent="0.3">
      <c r="A11984" t="s">
        <v>0</v>
      </c>
    </row>
    <row r="11985" spans="1:1" x14ac:dyDescent="0.3">
      <c r="A11985" t="s">
        <v>0</v>
      </c>
    </row>
    <row r="11986" spans="1:1" x14ac:dyDescent="0.3">
      <c r="A11986" t="s">
        <v>0</v>
      </c>
    </row>
    <row r="11987" spans="1:1" x14ac:dyDescent="0.3">
      <c r="A11987" t="s">
        <v>0</v>
      </c>
    </row>
    <row r="11988" spans="1:1" x14ac:dyDescent="0.3">
      <c r="A11988" t="s">
        <v>0</v>
      </c>
    </row>
    <row r="11989" spans="1:1" x14ac:dyDescent="0.3">
      <c r="A11989" t="s">
        <v>0</v>
      </c>
    </row>
    <row r="11990" spans="1:1" x14ac:dyDescent="0.3">
      <c r="A11990" t="s">
        <v>0</v>
      </c>
    </row>
    <row r="11991" spans="1:1" x14ac:dyDescent="0.3">
      <c r="A11991" t="s">
        <v>0</v>
      </c>
    </row>
    <row r="11992" spans="1:1" x14ac:dyDescent="0.3">
      <c r="A11992" t="s">
        <v>0</v>
      </c>
    </row>
    <row r="11993" spans="1:1" x14ac:dyDescent="0.3">
      <c r="A11993" t="s">
        <v>0</v>
      </c>
    </row>
    <row r="11994" spans="1:1" x14ac:dyDescent="0.3">
      <c r="A11994" t="s">
        <v>0</v>
      </c>
    </row>
    <row r="11995" spans="1:1" x14ac:dyDescent="0.3">
      <c r="A11995" t="s">
        <v>0</v>
      </c>
    </row>
    <row r="11996" spans="1:1" x14ac:dyDescent="0.3">
      <c r="A11996" t="s">
        <v>0</v>
      </c>
    </row>
    <row r="11997" spans="1:1" x14ac:dyDescent="0.3">
      <c r="A11997" t="s">
        <v>0</v>
      </c>
    </row>
    <row r="11998" spans="1:1" x14ac:dyDescent="0.3">
      <c r="A11998" t="s">
        <v>0</v>
      </c>
    </row>
    <row r="11999" spans="1:1" x14ac:dyDescent="0.3">
      <c r="A11999" t="s">
        <v>0</v>
      </c>
    </row>
    <row r="12000" spans="1:1" x14ac:dyDescent="0.3">
      <c r="A12000" t="s">
        <v>0</v>
      </c>
    </row>
    <row r="12001" spans="1:1" x14ac:dyDescent="0.3">
      <c r="A12001" t="s">
        <v>0</v>
      </c>
    </row>
    <row r="12002" spans="1:1" x14ac:dyDescent="0.3">
      <c r="A12002" t="s">
        <v>0</v>
      </c>
    </row>
    <row r="12003" spans="1:1" x14ac:dyDescent="0.3">
      <c r="A12003" t="s">
        <v>0</v>
      </c>
    </row>
    <row r="12004" spans="1:1" x14ac:dyDescent="0.3">
      <c r="A12004" t="s">
        <v>0</v>
      </c>
    </row>
    <row r="12005" spans="1:1" x14ac:dyDescent="0.3">
      <c r="A12005" t="s">
        <v>0</v>
      </c>
    </row>
    <row r="12006" spans="1:1" x14ac:dyDescent="0.3">
      <c r="A12006" t="s">
        <v>0</v>
      </c>
    </row>
    <row r="12007" spans="1:1" x14ac:dyDescent="0.3">
      <c r="A12007" t="s">
        <v>0</v>
      </c>
    </row>
    <row r="12008" spans="1:1" x14ac:dyDescent="0.3">
      <c r="A12008" t="s">
        <v>0</v>
      </c>
    </row>
    <row r="12009" spans="1:1" x14ac:dyDescent="0.3">
      <c r="A12009" t="s">
        <v>0</v>
      </c>
    </row>
    <row r="12010" spans="1:1" x14ac:dyDescent="0.3">
      <c r="A12010" t="s">
        <v>0</v>
      </c>
    </row>
    <row r="12011" spans="1:1" x14ac:dyDescent="0.3">
      <c r="A12011" t="s">
        <v>0</v>
      </c>
    </row>
    <row r="12012" spans="1:1" x14ac:dyDescent="0.3">
      <c r="A12012" t="s">
        <v>0</v>
      </c>
    </row>
    <row r="12013" spans="1:1" x14ac:dyDescent="0.3">
      <c r="A12013" t="s">
        <v>0</v>
      </c>
    </row>
    <row r="12014" spans="1:1" x14ac:dyDescent="0.3">
      <c r="A12014" t="s">
        <v>0</v>
      </c>
    </row>
    <row r="12015" spans="1:1" x14ac:dyDescent="0.3">
      <c r="A12015" t="s">
        <v>0</v>
      </c>
    </row>
    <row r="12016" spans="1:1" x14ac:dyDescent="0.3">
      <c r="A12016" t="s">
        <v>0</v>
      </c>
    </row>
    <row r="12017" spans="1:1" x14ac:dyDescent="0.3">
      <c r="A12017" t="s">
        <v>0</v>
      </c>
    </row>
    <row r="12018" spans="1:1" x14ac:dyDescent="0.3">
      <c r="A12018" t="s">
        <v>0</v>
      </c>
    </row>
    <row r="12019" spans="1:1" x14ac:dyDescent="0.3">
      <c r="A12019" t="s">
        <v>0</v>
      </c>
    </row>
    <row r="12020" spans="1:1" x14ac:dyDescent="0.3">
      <c r="A12020" t="s">
        <v>0</v>
      </c>
    </row>
    <row r="12021" spans="1:1" x14ac:dyDescent="0.3">
      <c r="A12021" t="s">
        <v>0</v>
      </c>
    </row>
    <row r="12022" spans="1:1" x14ac:dyDescent="0.3">
      <c r="A12022" t="s">
        <v>0</v>
      </c>
    </row>
    <row r="12023" spans="1:1" x14ac:dyDescent="0.3">
      <c r="A12023" t="s">
        <v>0</v>
      </c>
    </row>
    <row r="12024" spans="1:1" x14ac:dyDescent="0.3">
      <c r="A12024" t="s">
        <v>0</v>
      </c>
    </row>
    <row r="12025" spans="1:1" x14ac:dyDescent="0.3">
      <c r="A12025" t="s">
        <v>0</v>
      </c>
    </row>
    <row r="12026" spans="1:1" x14ac:dyDescent="0.3">
      <c r="A12026" t="s">
        <v>0</v>
      </c>
    </row>
    <row r="12027" spans="1:1" x14ac:dyDescent="0.3">
      <c r="A12027" t="s">
        <v>0</v>
      </c>
    </row>
    <row r="12028" spans="1:1" x14ac:dyDescent="0.3">
      <c r="A12028" t="s">
        <v>0</v>
      </c>
    </row>
    <row r="12029" spans="1:1" x14ac:dyDescent="0.3">
      <c r="A12029" t="s">
        <v>0</v>
      </c>
    </row>
    <row r="12030" spans="1:1" x14ac:dyDescent="0.3">
      <c r="A12030" t="s">
        <v>0</v>
      </c>
    </row>
    <row r="12031" spans="1:1" x14ac:dyDescent="0.3">
      <c r="A12031" t="s">
        <v>0</v>
      </c>
    </row>
    <row r="12032" spans="1:1" x14ac:dyDescent="0.3">
      <c r="A12032" t="s">
        <v>0</v>
      </c>
    </row>
    <row r="12033" spans="1:1" x14ac:dyDescent="0.3">
      <c r="A12033" t="s">
        <v>0</v>
      </c>
    </row>
    <row r="12034" spans="1:1" x14ac:dyDescent="0.3">
      <c r="A12034" t="s">
        <v>0</v>
      </c>
    </row>
    <row r="12035" spans="1:1" x14ac:dyDescent="0.3">
      <c r="A12035" t="s">
        <v>0</v>
      </c>
    </row>
    <row r="12036" spans="1:1" x14ac:dyDescent="0.3">
      <c r="A12036" t="s">
        <v>0</v>
      </c>
    </row>
    <row r="12037" spans="1:1" x14ac:dyDescent="0.3">
      <c r="A12037" t="s">
        <v>0</v>
      </c>
    </row>
    <row r="12038" spans="1:1" x14ac:dyDescent="0.3">
      <c r="A12038" t="s">
        <v>0</v>
      </c>
    </row>
    <row r="12039" spans="1:1" x14ac:dyDescent="0.3">
      <c r="A12039" t="s">
        <v>0</v>
      </c>
    </row>
    <row r="12040" spans="1:1" x14ac:dyDescent="0.3">
      <c r="A12040" t="s">
        <v>0</v>
      </c>
    </row>
    <row r="12041" spans="1:1" x14ac:dyDescent="0.3">
      <c r="A12041" t="s">
        <v>0</v>
      </c>
    </row>
    <row r="12042" spans="1:1" x14ac:dyDescent="0.3">
      <c r="A12042" t="s">
        <v>0</v>
      </c>
    </row>
    <row r="12043" spans="1:1" x14ac:dyDescent="0.3">
      <c r="A12043" t="s">
        <v>0</v>
      </c>
    </row>
    <row r="12044" spans="1:1" x14ac:dyDescent="0.3">
      <c r="A12044" t="s">
        <v>0</v>
      </c>
    </row>
    <row r="12045" spans="1:1" x14ac:dyDescent="0.3">
      <c r="A12045" t="s">
        <v>0</v>
      </c>
    </row>
    <row r="12046" spans="1:1" x14ac:dyDescent="0.3">
      <c r="A12046" t="s">
        <v>0</v>
      </c>
    </row>
    <row r="12047" spans="1:1" x14ac:dyDescent="0.3">
      <c r="A12047" t="s">
        <v>0</v>
      </c>
    </row>
    <row r="12048" spans="1:1" x14ac:dyDescent="0.3">
      <c r="A12048" t="s">
        <v>0</v>
      </c>
    </row>
    <row r="12049" spans="1:1" x14ac:dyDescent="0.3">
      <c r="A12049" t="s">
        <v>0</v>
      </c>
    </row>
    <row r="12050" spans="1:1" x14ac:dyDescent="0.3">
      <c r="A12050" t="s">
        <v>0</v>
      </c>
    </row>
    <row r="12051" spans="1:1" x14ac:dyDescent="0.3">
      <c r="A12051" t="s">
        <v>0</v>
      </c>
    </row>
    <row r="12052" spans="1:1" x14ac:dyDescent="0.3">
      <c r="A12052" t="s">
        <v>0</v>
      </c>
    </row>
    <row r="12053" spans="1:1" x14ac:dyDescent="0.3">
      <c r="A12053" t="s">
        <v>0</v>
      </c>
    </row>
    <row r="12054" spans="1:1" x14ac:dyDescent="0.3">
      <c r="A12054" t="s">
        <v>0</v>
      </c>
    </row>
    <row r="12055" spans="1:1" x14ac:dyDescent="0.3">
      <c r="A12055" t="s">
        <v>0</v>
      </c>
    </row>
    <row r="12056" spans="1:1" x14ac:dyDescent="0.3">
      <c r="A12056" t="s">
        <v>0</v>
      </c>
    </row>
    <row r="12057" spans="1:1" x14ac:dyDescent="0.3">
      <c r="A12057" t="s">
        <v>0</v>
      </c>
    </row>
    <row r="12058" spans="1:1" x14ac:dyDescent="0.3">
      <c r="A12058" t="s">
        <v>0</v>
      </c>
    </row>
    <row r="12059" spans="1:1" x14ac:dyDescent="0.3">
      <c r="A12059" t="s">
        <v>0</v>
      </c>
    </row>
    <row r="12060" spans="1:1" x14ac:dyDescent="0.3">
      <c r="A12060" t="s">
        <v>0</v>
      </c>
    </row>
    <row r="12061" spans="1:1" x14ac:dyDescent="0.3">
      <c r="A12061" t="s">
        <v>0</v>
      </c>
    </row>
    <row r="12062" spans="1:1" x14ac:dyDescent="0.3">
      <c r="A12062" t="s">
        <v>0</v>
      </c>
    </row>
    <row r="12063" spans="1:1" x14ac:dyDescent="0.3">
      <c r="A12063" t="s">
        <v>0</v>
      </c>
    </row>
    <row r="12064" spans="1:1" x14ac:dyDescent="0.3">
      <c r="A12064" t="s">
        <v>0</v>
      </c>
    </row>
    <row r="12065" spans="1:1" x14ac:dyDescent="0.3">
      <c r="A12065" t="s">
        <v>0</v>
      </c>
    </row>
    <row r="12066" spans="1:1" x14ac:dyDescent="0.3">
      <c r="A12066" t="s">
        <v>0</v>
      </c>
    </row>
    <row r="12067" spans="1:1" x14ac:dyDescent="0.3">
      <c r="A12067" t="s">
        <v>0</v>
      </c>
    </row>
    <row r="12068" spans="1:1" x14ac:dyDescent="0.3">
      <c r="A12068" t="s">
        <v>0</v>
      </c>
    </row>
    <row r="12069" spans="1:1" x14ac:dyDescent="0.3">
      <c r="A12069" t="s">
        <v>0</v>
      </c>
    </row>
    <row r="12070" spans="1:1" x14ac:dyDescent="0.3">
      <c r="A12070" t="s">
        <v>0</v>
      </c>
    </row>
    <row r="12071" spans="1:1" x14ac:dyDescent="0.3">
      <c r="A12071" t="s">
        <v>0</v>
      </c>
    </row>
    <row r="12072" spans="1:1" x14ac:dyDescent="0.3">
      <c r="A12072" t="s">
        <v>0</v>
      </c>
    </row>
    <row r="12073" spans="1:1" x14ac:dyDescent="0.3">
      <c r="A12073" t="s">
        <v>0</v>
      </c>
    </row>
    <row r="12074" spans="1:1" x14ac:dyDescent="0.3">
      <c r="A12074" t="s">
        <v>0</v>
      </c>
    </row>
    <row r="12075" spans="1:1" x14ac:dyDescent="0.3">
      <c r="A12075" t="s">
        <v>0</v>
      </c>
    </row>
    <row r="12076" spans="1:1" x14ac:dyDescent="0.3">
      <c r="A12076" t="s">
        <v>0</v>
      </c>
    </row>
    <row r="12077" spans="1:1" x14ac:dyDescent="0.3">
      <c r="A12077" t="s">
        <v>0</v>
      </c>
    </row>
    <row r="12078" spans="1:1" x14ac:dyDescent="0.3">
      <c r="A12078" t="s">
        <v>0</v>
      </c>
    </row>
    <row r="12079" spans="1:1" x14ac:dyDescent="0.3">
      <c r="A12079" t="s">
        <v>0</v>
      </c>
    </row>
    <row r="12080" spans="1:1" x14ac:dyDescent="0.3">
      <c r="A12080" t="s">
        <v>0</v>
      </c>
    </row>
    <row r="12081" spans="1:1" x14ac:dyDescent="0.3">
      <c r="A12081" t="s">
        <v>0</v>
      </c>
    </row>
    <row r="12082" spans="1:1" x14ac:dyDescent="0.3">
      <c r="A12082" t="s">
        <v>0</v>
      </c>
    </row>
    <row r="12083" spans="1:1" x14ac:dyDescent="0.3">
      <c r="A12083" t="s">
        <v>0</v>
      </c>
    </row>
    <row r="12084" spans="1:1" x14ac:dyDescent="0.3">
      <c r="A12084" t="s">
        <v>0</v>
      </c>
    </row>
    <row r="12085" spans="1:1" x14ac:dyDescent="0.3">
      <c r="A12085" t="s">
        <v>0</v>
      </c>
    </row>
    <row r="12086" spans="1:1" x14ac:dyDescent="0.3">
      <c r="A12086" t="s">
        <v>0</v>
      </c>
    </row>
    <row r="12087" spans="1:1" x14ac:dyDescent="0.3">
      <c r="A12087" t="s">
        <v>0</v>
      </c>
    </row>
    <row r="12088" spans="1:1" x14ac:dyDescent="0.3">
      <c r="A12088" t="s">
        <v>0</v>
      </c>
    </row>
    <row r="12089" spans="1:1" x14ac:dyDescent="0.3">
      <c r="A12089" t="s">
        <v>0</v>
      </c>
    </row>
    <row r="12090" spans="1:1" x14ac:dyDescent="0.3">
      <c r="A12090" t="s">
        <v>0</v>
      </c>
    </row>
    <row r="12091" spans="1:1" x14ac:dyDescent="0.3">
      <c r="A12091" t="s">
        <v>0</v>
      </c>
    </row>
    <row r="12092" spans="1:1" x14ac:dyDescent="0.3">
      <c r="A12092" t="s">
        <v>0</v>
      </c>
    </row>
    <row r="12093" spans="1:1" x14ac:dyDescent="0.3">
      <c r="A12093" t="s">
        <v>0</v>
      </c>
    </row>
    <row r="12094" spans="1:1" x14ac:dyDescent="0.3">
      <c r="A12094" t="s">
        <v>0</v>
      </c>
    </row>
    <row r="12095" spans="1:1" x14ac:dyDescent="0.3">
      <c r="A12095" t="s">
        <v>0</v>
      </c>
    </row>
    <row r="12096" spans="1:1" x14ac:dyDescent="0.3">
      <c r="A12096" t="s">
        <v>0</v>
      </c>
    </row>
    <row r="12097" spans="1:1" x14ac:dyDescent="0.3">
      <c r="A12097" t="s">
        <v>0</v>
      </c>
    </row>
    <row r="12098" spans="1:1" x14ac:dyDescent="0.3">
      <c r="A12098" t="s">
        <v>0</v>
      </c>
    </row>
    <row r="12099" spans="1:1" x14ac:dyDescent="0.3">
      <c r="A12099" t="s">
        <v>0</v>
      </c>
    </row>
    <row r="12100" spans="1:1" x14ac:dyDescent="0.3">
      <c r="A12100" t="s">
        <v>0</v>
      </c>
    </row>
    <row r="12101" spans="1:1" x14ac:dyDescent="0.3">
      <c r="A12101" t="s">
        <v>0</v>
      </c>
    </row>
    <row r="12102" spans="1:1" x14ac:dyDescent="0.3">
      <c r="A12102" t="s">
        <v>0</v>
      </c>
    </row>
    <row r="12103" spans="1:1" x14ac:dyDescent="0.3">
      <c r="A12103" t="s">
        <v>0</v>
      </c>
    </row>
    <row r="12104" spans="1:1" x14ac:dyDescent="0.3">
      <c r="A12104" t="s">
        <v>0</v>
      </c>
    </row>
    <row r="12105" spans="1:1" x14ac:dyDescent="0.3">
      <c r="A12105" t="s">
        <v>0</v>
      </c>
    </row>
    <row r="12106" spans="1:1" x14ac:dyDescent="0.3">
      <c r="A12106" t="s">
        <v>0</v>
      </c>
    </row>
    <row r="12107" spans="1:1" x14ac:dyDescent="0.3">
      <c r="A12107" t="s">
        <v>0</v>
      </c>
    </row>
    <row r="12108" spans="1:1" x14ac:dyDescent="0.3">
      <c r="A12108" t="s">
        <v>0</v>
      </c>
    </row>
    <row r="12109" spans="1:1" x14ac:dyDescent="0.3">
      <c r="A12109" t="s">
        <v>0</v>
      </c>
    </row>
    <row r="12110" spans="1:1" x14ac:dyDescent="0.3">
      <c r="A12110" t="s">
        <v>0</v>
      </c>
    </row>
    <row r="12111" spans="1:1" x14ac:dyDescent="0.3">
      <c r="A12111" t="s">
        <v>0</v>
      </c>
    </row>
    <row r="12112" spans="1:1" x14ac:dyDescent="0.3">
      <c r="A12112" t="s">
        <v>0</v>
      </c>
    </row>
    <row r="12113" spans="1:1" x14ac:dyDescent="0.3">
      <c r="A12113" t="s">
        <v>0</v>
      </c>
    </row>
    <row r="12114" spans="1:1" x14ac:dyDescent="0.3">
      <c r="A12114" t="s">
        <v>0</v>
      </c>
    </row>
    <row r="12115" spans="1:1" x14ac:dyDescent="0.3">
      <c r="A12115" t="s">
        <v>0</v>
      </c>
    </row>
    <row r="12116" spans="1:1" x14ac:dyDescent="0.3">
      <c r="A12116" t="s">
        <v>0</v>
      </c>
    </row>
    <row r="12117" spans="1:1" x14ac:dyDescent="0.3">
      <c r="A12117" t="s">
        <v>0</v>
      </c>
    </row>
    <row r="12118" spans="1:1" x14ac:dyDescent="0.3">
      <c r="A12118" t="s">
        <v>0</v>
      </c>
    </row>
    <row r="12119" spans="1:1" x14ac:dyDescent="0.3">
      <c r="A12119" t="s">
        <v>0</v>
      </c>
    </row>
    <row r="12120" spans="1:1" x14ac:dyDescent="0.3">
      <c r="A12120" t="s">
        <v>0</v>
      </c>
    </row>
    <row r="12121" spans="1:1" x14ac:dyDescent="0.3">
      <c r="A12121" t="s">
        <v>0</v>
      </c>
    </row>
    <row r="12122" spans="1:1" x14ac:dyDescent="0.3">
      <c r="A12122" t="s">
        <v>0</v>
      </c>
    </row>
    <row r="12123" spans="1:1" x14ac:dyDescent="0.3">
      <c r="A12123" t="s">
        <v>0</v>
      </c>
    </row>
    <row r="12124" spans="1:1" x14ac:dyDescent="0.3">
      <c r="A12124" t="s">
        <v>0</v>
      </c>
    </row>
    <row r="12125" spans="1:1" x14ac:dyDescent="0.3">
      <c r="A12125" t="s">
        <v>0</v>
      </c>
    </row>
    <row r="12126" spans="1:1" x14ac:dyDescent="0.3">
      <c r="A12126" t="s">
        <v>0</v>
      </c>
    </row>
    <row r="12127" spans="1:1" x14ac:dyDescent="0.3">
      <c r="A12127" t="s">
        <v>0</v>
      </c>
    </row>
    <row r="12128" spans="1:1" x14ac:dyDescent="0.3">
      <c r="A12128" t="s">
        <v>0</v>
      </c>
    </row>
    <row r="12129" spans="1:1" x14ac:dyDescent="0.3">
      <c r="A12129" t="s">
        <v>0</v>
      </c>
    </row>
    <row r="12130" spans="1:1" x14ac:dyDescent="0.3">
      <c r="A12130" t="s">
        <v>0</v>
      </c>
    </row>
    <row r="12131" spans="1:1" x14ac:dyDescent="0.3">
      <c r="A12131" t="s">
        <v>0</v>
      </c>
    </row>
    <row r="12132" spans="1:1" x14ac:dyDescent="0.3">
      <c r="A12132" t="s">
        <v>0</v>
      </c>
    </row>
    <row r="12133" spans="1:1" x14ac:dyDescent="0.3">
      <c r="A12133" t="s">
        <v>0</v>
      </c>
    </row>
    <row r="12134" spans="1:1" x14ac:dyDescent="0.3">
      <c r="A12134" t="s">
        <v>0</v>
      </c>
    </row>
    <row r="12135" spans="1:1" x14ac:dyDescent="0.3">
      <c r="A12135" t="s">
        <v>0</v>
      </c>
    </row>
    <row r="12136" spans="1:1" x14ac:dyDescent="0.3">
      <c r="A12136" t="s">
        <v>0</v>
      </c>
    </row>
    <row r="12137" spans="1:1" x14ac:dyDescent="0.3">
      <c r="A12137" t="s">
        <v>0</v>
      </c>
    </row>
    <row r="12138" spans="1:1" x14ac:dyDescent="0.3">
      <c r="A12138" t="s">
        <v>0</v>
      </c>
    </row>
    <row r="12139" spans="1:1" x14ac:dyDescent="0.3">
      <c r="A12139" t="s">
        <v>0</v>
      </c>
    </row>
    <row r="12140" spans="1:1" x14ac:dyDescent="0.3">
      <c r="A12140" t="s">
        <v>0</v>
      </c>
    </row>
    <row r="12141" spans="1:1" x14ac:dyDescent="0.3">
      <c r="A12141" t="s">
        <v>0</v>
      </c>
    </row>
    <row r="12142" spans="1:1" x14ac:dyDescent="0.3">
      <c r="A12142" t="s">
        <v>0</v>
      </c>
    </row>
    <row r="12143" spans="1:1" x14ac:dyDescent="0.3">
      <c r="A12143" t="s">
        <v>0</v>
      </c>
    </row>
    <row r="12144" spans="1:1" x14ac:dyDescent="0.3">
      <c r="A12144" t="s">
        <v>0</v>
      </c>
    </row>
    <row r="12145" spans="1:1" x14ac:dyDescent="0.3">
      <c r="A12145" t="s">
        <v>0</v>
      </c>
    </row>
    <row r="12146" spans="1:1" x14ac:dyDescent="0.3">
      <c r="A12146" t="s">
        <v>0</v>
      </c>
    </row>
    <row r="12147" spans="1:1" x14ac:dyDescent="0.3">
      <c r="A12147" t="s">
        <v>0</v>
      </c>
    </row>
    <row r="12148" spans="1:1" x14ac:dyDescent="0.3">
      <c r="A12148" t="s">
        <v>0</v>
      </c>
    </row>
    <row r="12149" spans="1:1" x14ac:dyDescent="0.3">
      <c r="A12149" t="s">
        <v>0</v>
      </c>
    </row>
    <row r="12150" spans="1:1" x14ac:dyDescent="0.3">
      <c r="A12150" t="s">
        <v>0</v>
      </c>
    </row>
    <row r="12151" spans="1:1" x14ac:dyDescent="0.3">
      <c r="A12151" t="s">
        <v>0</v>
      </c>
    </row>
    <row r="12152" spans="1:1" x14ac:dyDescent="0.3">
      <c r="A12152" t="s">
        <v>0</v>
      </c>
    </row>
    <row r="12153" spans="1:1" x14ac:dyDescent="0.3">
      <c r="A12153" t="s">
        <v>0</v>
      </c>
    </row>
    <row r="12154" spans="1:1" x14ac:dyDescent="0.3">
      <c r="A12154" t="s">
        <v>0</v>
      </c>
    </row>
    <row r="12155" spans="1:1" x14ac:dyDescent="0.3">
      <c r="A12155" t="s">
        <v>0</v>
      </c>
    </row>
    <row r="12156" spans="1:1" x14ac:dyDescent="0.3">
      <c r="A12156" t="s">
        <v>0</v>
      </c>
    </row>
    <row r="12157" spans="1:1" x14ac:dyDescent="0.3">
      <c r="A12157" t="s">
        <v>0</v>
      </c>
    </row>
    <row r="12158" spans="1:1" x14ac:dyDescent="0.3">
      <c r="A12158" t="s">
        <v>0</v>
      </c>
    </row>
    <row r="12159" spans="1:1" x14ac:dyDescent="0.3">
      <c r="A12159" t="s">
        <v>0</v>
      </c>
    </row>
    <row r="12160" spans="1:1" x14ac:dyDescent="0.3">
      <c r="A12160" t="s">
        <v>0</v>
      </c>
    </row>
    <row r="12161" spans="1:1" x14ac:dyDescent="0.3">
      <c r="A12161" t="s">
        <v>0</v>
      </c>
    </row>
    <row r="12162" spans="1:1" x14ac:dyDescent="0.3">
      <c r="A12162" t="s">
        <v>0</v>
      </c>
    </row>
    <row r="12163" spans="1:1" x14ac:dyDescent="0.3">
      <c r="A12163" t="s">
        <v>0</v>
      </c>
    </row>
    <row r="12164" spans="1:1" x14ac:dyDescent="0.3">
      <c r="A12164" t="s">
        <v>0</v>
      </c>
    </row>
    <row r="12165" spans="1:1" x14ac:dyDescent="0.3">
      <c r="A12165" t="s">
        <v>0</v>
      </c>
    </row>
    <row r="12166" spans="1:1" x14ac:dyDescent="0.3">
      <c r="A12166" t="s">
        <v>0</v>
      </c>
    </row>
    <row r="12167" spans="1:1" x14ac:dyDescent="0.3">
      <c r="A12167" t="s">
        <v>0</v>
      </c>
    </row>
    <row r="12168" spans="1:1" x14ac:dyDescent="0.3">
      <c r="A12168" t="s">
        <v>0</v>
      </c>
    </row>
    <row r="12169" spans="1:1" x14ac:dyDescent="0.3">
      <c r="A12169" t="s">
        <v>0</v>
      </c>
    </row>
    <row r="12170" spans="1:1" x14ac:dyDescent="0.3">
      <c r="A12170" t="s">
        <v>0</v>
      </c>
    </row>
    <row r="12171" spans="1:1" x14ac:dyDescent="0.3">
      <c r="A12171" t="s">
        <v>0</v>
      </c>
    </row>
    <row r="12172" spans="1:1" x14ac:dyDescent="0.3">
      <c r="A12172" t="s">
        <v>0</v>
      </c>
    </row>
    <row r="12173" spans="1:1" x14ac:dyDescent="0.3">
      <c r="A12173" t="s">
        <v>0</v>
      </c>
    </row>
    <row r="12174" spans="1:1" x14ac:dyDescent="0.3">
      <c r="A12174" t="s">
        <v>0</v>
      </c>
    </row>
    <row r="12175" spans="1:1" x14ac:dyDescent="0.3">
      <c r="A12175" t="s">
        <v>0</v>
      </c>
    </row>
    <row r="12176" spans="1:1" x14ac:dyDescent="0.3">
      <c r="A12176" t="s">
        <v>0</v>
      </c>
    </row>
    <row r="12177" spans="1:1" x14ac:dyDescent="0.3">
      <c r="A12177" t="s">
        <v>0</v>
      </c>
    </row>
    <row r="12178" spans="1:1" x14ac:dyDescent="0.3">
      <c r="A12178" t="s">
        <v>0</v>
      </c>
    </row>
    <row r="12179" spans="1:1" x14ac:dyDescent="0.3">
      <c r="A12179" t="s">
        <v>0</v>
      </c>
    </row>
    <row r="12180" spans="1:1" x14ac:dyDescent="0.3">
      <c r="A12180" t="s">
        <v>0</v>
      </c>
    </row>
    <row r="12181" spans="1:1" x14ac:dyDescent="0.3">
      <c r="A12181" t="s">
        <v>0</v>
      </c>
    </row>
    <row r="12182" spans="1:1" x14ac:dyDescent="0.3">
      <c r="A12182" t="s">
        <v>0</v>
      </c>
    </row>
    <row r="12183" spans="1:1" x14ac:dyDescent="0.3">
      <c r="A12183" t="s">
        <v>0</v>
      </c>
    </row>
    <row r="12184" spans="1:1" x14ac:dyDescent="0.3">
      <c r="A12184" t="s">
        <v>0</v>
      </c>
    </row>
    <row r="12185" spans="1:1" x14ac:dyDescent="0.3">
      <c r="A12185" t="s">
        <v>0</v>
      </c>
    </row>
    <row r="12186" spans="1:1" x14ac:dyDescent="0.3">
      <c r="A12186" t="s">
        <v>0</v>
      </c>
    </row>
    <row r="12187" spans="1:1" x14ac:dyDescent="0.3">
      <c r="A12187" t="s">
        <v>0</v>
      </c>
    </row>
    <row r="12188" spans="1:1" x14ac:dyDescent="0.3">
      <c r="A12188" t="s">
        <v>0</v>
      </c>
    </row>
    <row r="12189" spans="1:1" x14ac:dyDescent="0.3">
      <c r="A12189" t="s">
        <v>0</v>
      </c>
    </row>
    <row r="12190" spans="1:1" x14ac:dyDescent="0.3">
      <c r="A12190" t="s">
        <v>0</v>
      </c>
    </row>
    <row r="12191" spans="1:1" x14ac:dyDescent="0.3">
      <c r="A12191" t="s">
        <v>0</v>
      </c>
    </row>
    <row r="12192" spans="1:1" x14ac:dyDescent="0.3">
      <c r="A12192" t="s">
        <v>0</v>
      </c>
    </row>
    <row r="12193" spans="1:1" x14ac:dyDescent="0.3">
      <c r="A12193" t="s">
        <v>0</v>
      </c>
    </row>
    <row r="12194" spans="1:1" x14ac:dyDescent="0.3">
      <c r="A12194" t="s">
        <v>0</v>
      </c>
    </row>
    <row r="12195" spans="1:1" x14ac:dyDescent="0.3">
      <c r="A12195" t="s">
        <v>0</v>
      </c>
    </row>
    <row r="12196" spans="1:1" x14ac:dyDescent="0.3">
      <c r="A12196" t="s">
        <v>0</v>
      </c>
    </row>
    <row r="12197" spans="1:1" x14ac:dyDescent="0.3">
      <c r="A12197" t="s">
        <v>0</v>
      </c>
    </row>
    <row r="12198" spans="1:1" x14ac:dyDescent="0.3">
      <c r="A12198" t="s">
        <v>0</v>
      </c>
    </row>
    <row r="12199" spans="1:1" x14ac:dyDescent="0.3">
      <c r="A12199" t="s">
        <v>0</v>
      </c>
    </row>
    <row r="12200" spans="1:1" x14ac:dyDescent="0.3">
      <c r="A12200" t="s">
        <v>0</v>
      </c>
    </row>
    <row r="12201" spans="1:1" x14ac:dyDescent="0.3">
      <c r="A12201" t="s">
        <v>0</v>
      </c>
    </row>
    <row r="12202" spans="1:1" x14ac:dyDescent="0.3">
      <c r="A12202" t="s">
        <v>0</v>
      </c>
    </row>
    <row r="12203" spans="1:1" x14ac:dyDescent="0.3">
      <c r="A12203" t="s">
        <v>0</v>
      </c>
    </row>
    <row r="12204" spans="1:1" x14ac:dyDescent="0.3">
      <c r="A12204" t="s">
        <v>0</v>
      </c>
    </row>
    <row r="12205" spans="1:1" x14ac:dyDescent="0.3">
      <c r="A12205" t="s">
        <v>0</v>
      </c>
    </row>
    <row r="12206" spans="1:1" x14ac:dyDescent="0.3">
      <c r="A12206" t="s">
        <v>0</v>
      </c>
    </row>
    <row r="12207" spans="1:1" x14ac:dyDescent="0.3">
      <c r="A12207" t="s">
        <v>0</v>
      </c>
    </row>
    <row r="12208" spans="1:1" x14ac:dyDescent="0.3">
      <c r="A12208" t="s">
        <v>0</v>
      </c>
    </row>
    <row r="12209" spans="1:1" x14ac:dyDescent="0.3">
      <c r="A12209" t="s">
        <v>0</v>
      </c>
    </row>
    <row r="12210" spans="1:1" x14ac:dyDescent="0.3">
      <c r="A12210" t="s">
        <v>0</v>
      </c>
    </row>
    <row r="12211" spans="1:1" x14ac:dyDescent="0.3">
      <c r="A12211" t="s">
        <v>0</v>
      </c>
    </row>
    <row r="12212" spans="1:1" x14ac:dyDescent="0.3">
      <c r="A12212" t="s">
        <v>0</v>
      </c>
    </row>
    <row r="12213" spans="1:1" x14ac:dyDescent="0.3">
      <c r="A12213" t="s">
        <v>0</v>
      </c>
    </row>
    <row r="12214" spans="1:1" x14ac:dyDescent="0.3">
      <c r="A12214" t="s">
        <v>0</v>
      </c>
    </row>
    <row r="12215" spans="1:1" x14ac:dyDescent="0.3">
      <c r="A12215" t="s">
        <v>0</v>
      </c>
    </row>
    <row r="12216" spans="1:1" x14ac:dyDescent="0.3">
      <c r="A12216" t="s">
        <v>0</v>
      </c>
    </row>
    <row r="12217" spans="1:1" x14ac:dyDescent="0.3">
      <c r="A12217" t="s">
        <v>0</v>
      </c>
    </row>
    <row r="12218" spans="1:1" x14ac:dyDescent="0.3">
      <c r="A12218" t="s">
        <v>0</v>
      </c>
    </row>
    <row r="12219" spans="1:1" x14ac:dyDescent="0.3">
      <c r="A12219" t="s">
        <v>0</v>
      </c>
    </row>
    <row r="12220" spans="1:1" x14ac:dyDescent="0.3">
      <c r="A12220" t="s">
        <v>0</v>
      </c>
    </row>
    <row r="12221" spans="1:1" x14ac:dyDescent="0.3">
      <c r="A12221" t="s">
        <v>0</v>
      </c>
    </row>
    <row r="12222" spans="1:1" x14ac:dyDescent="0.3">
      <c r="A12222" t="s">
        <v>0</v>
      </c>
    </row>
    <row r="12223" spans="1:1" x14ac:dyDescent="0.3">
      <c r="A12223" t="s">
        <v>0</v>
      </c>
    </row>
    <row r="12224" spans="1:1" x14ac:dyDescent="0.3">
      <c r="A12224" t="s">
        <v>0</v>
      </c>
    </row>
    <row r="12225" spans="1:1" x14ac:dyDescent="0.3">
      <c r="A12225" t="s">
        <v>0</v>
      </c>
    </row>
    <row r="12226" spans="1:1" x14ac:dyDescent="0.3">
      <c r="A12226" t="s">
        <v>0</v>
      </c>
    </row>
    <row r="12227" spans="1:1" x14ac:dyDescent="0.3">
      <c r="A12227" t="s">
        <v>0</v>
      </c>
    </row>
    <row r="12228" spans="1:1" x14ac:dyDescent="0.3">
      <c r="A12228" t="s">
        <v>0</v>
      </c>
    </row>
    <row r="12229" spans="1:1" x14ac:dyDescent="0.3">
      <c r="A12229" t="s">
        <v>0</v>
      </c>
    </row>
    <row r="12230" spans="1:1" x14ac:dyDescent="0.3">
      <c r="A12230" t="s">
        <v>0</v>
      </c>
    </row>
    <row r="12231" spans="1:1" x14ac:dyDescent="0.3">
      <c r="A12231" t="s">
        <v>0</v>
      </c>
    </row>
    <row r="12232" spans="1:1" x14ac:dyDescent="0.3">
      <c r="A12232" t="s">
        <v>0</v>
      </c>
    </row>
    <row r="12233" spans="1:1" x14ac:dyDescent="0.3">
      <c r="A12233" t="s">
        <v>0</v>
      </c>
    </row>
    <row r="12234" spans="1:1" x14ac:dyDescent="0.3">
      <c r="A12234" t="s">
        <v>0</v>
      </c>
    </row>
    <row r="12235" spans="1:1" x14ac:dyDescent="0.3">
      <c r="A12235" t="s">
        <v>0</v>
      </c>
    </row>
    <row r="12236" spans="1:1" x14ac:dyDescent="0.3">
      <c r="A12236" t="s">
        <v>0</v>
      </c>
    </row>
    <row r="12237" spans="1:1" x14ac:dyDescent="0.3">
      <c r="A12237" t="s">
        <v>0</v>
      </c>
    </row>
    <row r="12238" spans="1:1" x14ac:dyDescent="0.3">
      <c r="A12238" t="s">
        <v>0</v>
      </c>
    </row>
    <row r="12239" spans="1:1" x14ac:dyDescent="0.3">
      <c r="A12239" t="s">
        <v>0</v>
      </c>
    </row>
    <row r="12240" spans="1:1" x14ac:dyDescent="0.3">
      <c r="A12240" t="s">
        <v>0</v>
      </c>
    </row>
    <row r="12241" spans="1:1" x14ac:dyDescent="0.3">
      <c r="A12241" t="s">
        <v>0</v>
      </c>
    </row>
    <row r="12242" spans="1:1" x14ac:dyDescent="0.3">
      <c r="A12242" t="s">
        <v>0</v>
      </c>
    </row>
    <row r="12243" spans="1:1" x14ac:dyDescent="0.3">
      <c r="A12243" t="s">
        <v>0</v>
      </c>
    </row>
    <row r="12244" spans="1:1" x14ac:dyDescent="0.3">
      <c r="A12244" t="s">
        <v>0</v>
      </c>
    </row>
    <row r="12245" spans="1:1" x14ac:dyDescent="0.3">
      <c r="A12245" t="s">
        <v>0</v>
      </c>
    </row>
    <row r="12246" spans="1:1" x14ac:dyDescent="0.3">
      <c r="A12246" t="s">
        <v>0</v>
      </c>
    </row>
    <row r="12247" spans="1:1" x14ac:dyDescent="0.3">
      <c r="A12247" t="s">
        <v>0</v>
      </c>
    </row>
    <row r="12248" spans="1:1" x14ac:dyDescent="0.3">
      <c r="A12248" t="s">
        <v>0</v>
      </c>
    </row>
    <row r="12249" spans="1:1" x14ac:dyDescent="0.3">
      <c r="A12249" t="s">
        <v>0</v>
      </c>
    </row>
    <row r="12250" spans="1:1" x14ac:dyDescent="0.3">
      <c r="A12250" t="s">
        <v>0</v>
      </c>
    </row>
    <row r="12251" spans="1:1" x14ac:dyDescent="0.3">
      <c r="A12251" t="s">
        <v>0</v>
      </c>
    </row>
    <row r="12252" spans="1:1" x14ac:dyDescent="0.3">
      <c r="A12252" t="s">
        <v>0</v>
      </c>
    </row>
    <row r="12253" spans="1:1" x14ac:dyDescent="0.3">
      <c r="A12253" t="s">
        <v>0</v>
      </c>
    </row>
    <row r="12254" spans="1:1" x14ac:dyDescent="0.3">
      <c r="A12254" t="s">
        <v>0</v>
      </c>
    </row>
    <row r="12255" spans="1:1" x14ac:dyDescent="0.3">
      <c r="A12255" t="s">
        <v>0</v>
      </c>
    </row>
    <row r="12256" spans="1:1" x14ac:dyDescent="0.3">
      <c r="A12256" t="s">
        <v>0</v>
      </c>
    </row>
    <row r="12257" spans="1:1" x14ac:dyDescent="0.3">
      <c r="A12257" t="s">
        <v>0</v>
      </c>
    </row>
    <row r="12258" spans="1:1" x14ac:dyDescent="0.3">
      <c r="A12258" t="s">
        <v>0</v>
      </c>
    </row>
    <row r="12259" spans="1:1" x14ac:dyDescent="0.3">
      <c r="A12259" t="s">
        <v>0</v>
      </c>
    </row>
    <row r="12260" spans="1:1" x14ac:dyDescent="0.3">
      <c r="A12260" t="s">
        <v>0</v>
      </c>
    </row>
    <row r="12261" spans="1:1" x14ac:dyDescent="0.3">
      <c r="A12261" t="s">
        <v>0</v>
      </c>
    </row>
    <row r="12262" spans="1:1" x14ac:dyDescent="0.3">
      <c r="A12262" t="s">
        <v>0</v>
      </c>
    </row>
    <row r="12263" spans="1:1" x14ac:dyDescent="0.3">
      <c r="A12263" t="s">
        <v>0</v>
      </c>
    </row>
    <row r="12264" spans="1:1" x14ac:dyDescent="0.3">
      <c r="A12264" t="s">
        <v>0</v>
      </c>
    </row>
    <row r="12265" spans="1:1" x14ac:dyDescent="0.3">
      <c r="A12265" t="s">
        <v>0</v>
      </c>
    </row>
    <row r="12266" spans="1:1" x14ac:dyDescent="0.3">
      <c r="A12266" t="s">
        <v>0</v>
      </c>
    </row>
    <row r="12267" spans="1:1" x14ac:dyDescent="0.3">
      <c r="A12267" t="s">
        <v>0</v>
      </c>
    </row>
    <row r="12268" spans="1:1" x14ac:dyDescent="0.3">
      <c r="A12268" t="s">
        <v>0</v>
      </c>
    </row>
    <row r="12269" spans="1:1" x14ac:dyDescent="0.3">
      <c r="A12269" t="s">
        <v>0</v>
      </c>
    </row>
    <row r="12270" spans="1:1" x14ac:dyDescent="0.3">
      <c r="A12270" t="s">
        <v>0</v>
      </c>
    </row>
    <row r="12271" spans="1:1" x14ac:dyDescent="0.3">
      <c r="A12271" t="s">
        <v>0</v>
      </c>
    </row>
    <row r="12272" spans="1:1" x14ac:dyDescent="0.3">
      <c r="A12272" t="s">
        <v>0</v>
      </c>
    </row>
    <row r="12273" spans="1:1" x14ac:dyDescent="0.3">
      <c r="A12273" t="s">
        <v>0</v>
      </c>
    </row>
    <row r="12274" spans="1:1" x14ac:dyDescent="0.3">
      <c r="A12274" t="s">
        <v>0</v>
      </c>
    </row>
    <row r="12275" spans="1:1" x14ac:dyDescent="0.3">
      <c r="A12275" t="s">
        <v>0</v>
      </c>
    </row>
    <row r="12276" spans="1:1" x14ac:dyDescent="0.3">
      <c r="A12276" t="s">
        <v>0</v>
      </c>
    </row>
    <row r="12277" spans="1:1" x14ac:dyDescent="0.3">
      <c r="A12277" t="s">
        <v>0</v>
      </c>
    </row>
    <row r="12278" spans="1:1" x14ac:dyDescent="0.3">
      <c r="A12278" t="s">
        <v>0</v>
      </c>
    </row>
    <row r="12279" spans="1:1" x14ac:dyDescent="0.3">
      <c r="A12279" t="s">
        <v>0</v>
      </c>
    </row>
    <row r="12280" spans="1:1" x14ac:dyDescent="0.3">
      <c r="A12280" t="s">
        <v>0</v>
      </c>
    </row>
    <row r="12281" spans="1:1" x14ac:dyDescent="0.3">
      <c r="A12281" t="s">
        <v>0</v>
      </c>
    </row>
    <row r="12282" spans="1:1" x14ac:dyDescent="0.3">
      <c r="A12282" t="s">
        <v>0</v>
      </c>
    </row>
    <row r="12283" spans="1:1" x14ac:dyDescent="0.3">
      <c r="A12283" t="s">
        <v>0</v>
      </c>
    </row>
    <row r="12284" spans="1:1" x14ac:dyDescent="0.3">
      <c r="A12284" t="s">
        <v>0</v>
      </c>
    </row>
    <row r="12285" spans="1:1" x14ac:dyDescent="0.3">
      <c r="A12285" t="s">
        <v>0</v>
      </c>
    </row>
    <row r="12286" spans="1:1" x14ac:dyDescent="0.3">
      <c r="A12286" t="s">
        <v>0</v>
      </c>
    </row>
    <row r="12287" spans="1:1" x14ac:dyDescent="0.3">
      <c r="A12287" t="s">
        <v>0</v>
      </c>
    </row>
    <row r="12288" spans="1:1" x14ac:dyDescent="0.3">
      <c r="A12288" t="s">
        <v>0</v>
      </c>
    </row>
    <row r="12289" spans="1:1" x14ac:dyDescent="0.3">
      <c r="A12289" t="s">
        <v>0</v>
      </c>
    </row>
    <row r="12290" spans="1:1" x14ac:dyDescent="0.3">
      <c r="A12290" t="s">
        <v>0</v>
      </c>
    </row>
    <row r="12291" spans="1:1" x14ac:dyDescent="0.3">
      <c r="A12291" t="s">
        <v>0</v>
      </c>
    </row>
    <row r="12292" spans="1:1" x14ac:dyDescent="0.3">
      <c r="A12292" t="s">
        <v>0</v>
      </c>
    </row>
    <row r="12293" spans="1:1" x14ac:dyDescent="0.3">
      <c r="A12293" t="s">
        <v>0</v>
      </c>
    </row>
    <row r="12294" spans="1:1" x14ac:dyDescent="0.3">
      <c r="A12294" t="s">
        <v>0</v>
      </c>
    </row>
    <row r="12295" spans="1:1" x14ac:dyDescent="0.3">
      <c r="A12295" t="s">
        <v>0</v>
      </c>
    </row>
    <row r="12296" spans="1:1" x14ac:dyDescent="0.3">
      <c r="A12296" t="s">
        <v>0</v>
      </c>
    </row>
    <row r="12297" spans="1:1" x14ac:dyDescent="0.3">
      <c r="A12297" t="s">
        <v>0</v>
      </c>
    </row>
    <row r="12298" spans="1:1" x14ac:dyDescent="0.3">
      <c r="A12298" t="s">
        <v>0</v>
      </c>
    </row>
    <row r="12299" spans="1:1" x14ac:dyDescent="0.3">
      <c r="A12299" t="s">
        <v>0</v>
      </c>
    </row>
    <row r="12300" spans="1:1" x14ac:dyDescent="0.3">
      <c r="A12300" t="s">
        <v>0</v>
      </c>
    </row>
    <row r="12301" spans="1:1" x14ac:dyDescent="0.3">
      <c r="A12301" t="s">
        <v>0</v>
      </c>
    </row>
    <row r="12302" spans="1:1" x14ac:dyDescent="0.3">
      <c r="A12302" t="s">
        <v>0</v>
      </c>
    </row>
    <row r="12303" spans="1:1" x14ac:dyDescent="0.3">
      <c r="A12303" t="s">
        <v>0</v>
      </c>
    </row>
    <row r="12304" spans="1:1" x14ac:dyDescent="0.3">
      <c r="A12304" t="s">
        <v>0</v>
      </c>
    </row>
    <row r="12305" spans="1:1" x14ac:dyDescent="0.3">
      <c r="A12305" t="s">
        <v>0</v>
      </c>
    </row>
    <row r="12306" spans="1:1" x14ac:dyDescent="0.3">
      <c r="A12306" t="s">
        <v>0</v>
      </c>
    </row>
    <row r="12307" spans="1:1" x14ac:dyDescent="0.3">
      <c r="A12307" t="s">
        <v>0</v>
      </c>
    </row>
    <row r="12308" spans="1:1" x14ac:dyDescent="0.3">
      <c r="A12308" t="s">
        <v>0</v>
      </c>
    </row>
    <row r="12309" spans="1:1" x14ac:dyDescent="0.3">
      <c r="A12309" t="s">
        <v>0</v>
      </c>
    </row>
    <row r="12310" spans="1:1" x14ac:dyDescent="0.3">
      <c r="A12310" t="s">
        <v>0</v>
      </c>
    </row>
    <row r="12311" spans="1:1" x14ac:dyDescent="0.3">
      <c r="A12311" t="s">
        <v>0</v>
      </c>
    </row>
    <row r="12312" spans="1:1" x14ac:dyDescent="0.3">
      <c r="A12312" t="s">
        <v>0</v>
      </c>
    </row>
    <row r="12313" spans="1:1" x14ac:dyDescent="0.3">
      <c r="A12313" t="s">
        <v>0</v>
      </c>
    </row>
    <row r="12314" spans="1:1" x14ac:dyDescent="0.3">
      <c r="A12314" t="s">
        <v>0</v>
      </c>
    </row>
    <row r="12315" spans="1:1" x14ac:dyDescent="0.3">
      <c r="A12315" t="s">
        <v>0</v>
      </c>
    </row>
    <row r="12316" spans="1:1" x14ac:dyDescent="0.3">
      <c r="A12316" t="s">
        <v>0</v>
      </c>
    </row>
    <row r="12317" spans="1:1" x14ac:dyDescent="0.3">
      <c r="A12317" t="s">
        <v>0</v>
      </c>
    </row>
    <row r="12318" spans="1:1" x14ac:dyDescent="0.3">
      <c r="A12318" t="s">
        <v>0</v>
      </c>
    </row>
    <row r="12319" spans="1:1" x14ac:dyDescent="0.3">
      <c r="A12319" t="s">
        <v>0</v>
      </c>
    </row>
    <row r="12320" spans="1:1" x14ac:dyDescent="0.3">
      <c r="A12320" t="s">
        <v>0</v>
      </c>
    </row>
    <row r="12321" spans="1:1" x14ac:dyDescent="0.3">
      <c r="A12321" t="s">
        <v>0</v>
      </c>
    </row>
    <row r="12322" spans="1:1" x14ac:dyDescent="0.3">
      <c r="A12322" t="s">
        <v>0</v>
      </c>
    </row>
    <row r="12323" spans="1:1" x14ac:dyDescent="0.3">
      <c r="A12323" t="s">
        <v>0</v>
      </c>
    </row>
    <row r="12324" spans="1:1" x14ac:dyDescent="0.3">
      <c r="A12324" t="s">
        <v>0</v>
      </c>
    </row>
    <row r="12325" spans="1:1" x14ac:dyDescent="0.3">
      <c r="A12325" t="s">
        <v>0</v>
      </c>
    </row>
    <row r="12326" spans="1:1" x14ac:dyDescent="0.3">
      <c r="A12326" t="s">
        <v>0</v>
      </c>
    </row>
    <row r="12327" spans="1:1" x14ac:dyDescent="0.3">
      <c r="A12327" t="s">
        <v>0</v>
      </c>
    </row>
    <row r="12328" spans="1:1" x14ac:dyDescent="0.3">
      <c r="A12328" t="s">
        <v>0</v>
      </c>
    </row>
    <row r="12329" spans="1:1" x14ac:dyDescent="0.3">
      <c r="A12329" t="s">
        <v>0</v>
      </c>
    </row>
    <row r="12330" spans="1:1" x14ac:dyDescent="0.3">
      <c r="A12330" t="s">
        <v>0</v>
      </c>
    </row>
    <row r="12331" spans="1:1" x14ac:dyDescent="0.3">
      <c r="A12331" t="s">
        <v>0</v>
      </c>
    </row>
    <row r="12332" spans="1:1" x14ac:dyDescent="0.3">
      <c r="A12332" t="s">
        <v>0</v>
      </c>
    </row>
    <row r="12333" spans="1:1" x14ac:dyDescent="0.3">
      <c r="A12333" t="s">
        <v>0</v>
      </c>
    </row>
    <row r="12334" spans="1:1" x14ac:dyDescent="0.3">
      <c r="A12334" t="s">
        <v>0</v>
      </c>
    </row>
    <row r="12335" spans="1:1" x14ac:dyDescent="0.3">
      <c r="A12335" t="s">
        <v>0</v>
      </c>
    </row>
    <row r="12336" spans="1:1" x14ac:dyDescent="0.3">
      <c r="A12336" t="s">
        <v>0</v>
      </c>
    </row>
    <row r="12337" spans="1:1" x14ac:dyDescent="0.3">
      <c r="A12337" t="s">
        <v>0</v>
      </c>
    </row>
    <row r="12338" spans="1:1" x14ac:dyDescent="0.3">
      <c r="A12338" t="s">
        <v>0</v>
      </c>
    </row>
    <row r="12339" spans="1:1" x14ac:dyDescent="0.3">
      <c r="A12339" t="s">
        <v>0</v>
      </c>
    </row>
    <row r="12340" spans="1:1" x14ac:dyDescent="0.3">
      <c r="A12340" t="s">
        <v>0</v>
      </c>
    </row>
    <row r="12341" spans="1:1" x14ac:dyDescent="0.3">
      <c r="A12341" t="s">
        <v>0</v>
      </c>
    </row>
    <row r="12342" spans="1:1" x14ac:dyDescent="0.3">
      <c r="A12342" t="s">
        <v>0</v>
      </c>
    </row>
    <row r="12343" spans="1:1" x14ac:dyDescent="0.3">
      <c r="A12343" t="s">
        <v>0</v>
      </c>
    </row>
    <row r="12344" spans="1:1" x14ac:dyDescent="0.3">
      <c r="A12344" t="s">
        <v>0</v>
      </c>
    </row>
    <row r="12345" spans="1:1" x14ac:dyDescent="0.3">
      <c r="A12345" t="s">
        <v>0</v>
      </c>
    </row>
    <row r="12346" spans="1:1" x14ac:dyDescent="0.3">
      <c r="A12346" t="s">
        <v>0</v>
      </c>
    </row>
    <row r="12347" spans="1:1" x14ac:dyDescent="0.3">
      <c r="A12347" t="s">
        <v>0</v>
      </c>
    </row>
    <row r="12348" spans="1:1" x14ac:dyDescent="0.3">
      <c r="A12348" t="s">
        <v>0</v>
      </c>
    </row>
    <row r="12349" spans="1:1" x14ac:dyDescent="0.3">
      <c r="A12349" t="s">
        <v>0</v>
      </c>
    </row>
    <row r="12350" spans="1:1" x14ac:dyDescent="0.3">
      <c r="A12350" t="s">
        <v>0</v>
      </c>
    </row>
    <row r="12351" spans="1:1" x14ac:dyDescent="0.3">
      <c r="A12351" t="s">
        <v>0</v>
      </c>
    </row>
    <row r="12352" spans="1:1" x14ac:dyDescent="0.3">
      <c r="A12352" t="s">
        <v>0</v>
      </c>
    </row>
    <row r="12353" spans="1:1" x14ac:dyDescent="0.3">
      <c r="A12353" t="s">
        <v>0</v>
      </c>
    </row>
    <row r="12354" spans="1:1" x14ac:dyDescent="0.3">
      <c r="A12354" t="s">
        <v>0</v>
      </c>
    </row>
    <row r="12355" spans="1:1" x14ac:dyDescent="0.3">
      <c r="A12355" t="s">
        <v>0</v>
      </c>
    </row>
    <row r="12356" spans="1:1" x14ac:dyDescent="0.3">
      <c r="A12356" t="s">
        <v>0</v>
      </c>
    </row>
    <row r="12357" spans="1:1" x14ac:dyDescent="0.3">
      <c r="A12357" t="s">
        <v>0</v>
      </c>
    </row>
    <row r="12358" spans="1:1" x14ac:dyDescent="0.3">
      <c r="A12358" t="s">
        <v>0</v>
      </c>
    </row>
    <row r="12359" spans="1:1" x14ac:dyDescent="0.3">
      <c r="A12359" t="s">
        <v>0</v>
      </c>
    </row>
    <row r="12360" spans="1:1" x14ac:dyDescent="0.3">
      <c r="A12360" t="s">
        <v>0</v>
      </c>
    </row>
    <row r="12361" spans="1:1" x14ac:dyDescent="0.3">
      <c r="A12361" t="s">
        <v>0</v>
      </c>
    </row>
    <row r="12362" spans="1:1" x14ac:dyDescent="0.3">
      <c r="A12362" t="s">
        <v>0</v>
      </c>
    </row>
    <row r="12363" spans="1:1" x14ac:dyDescent="0.3">
      <c r="A12363" t="s">
        <v>0</v>
      </c>
    </row>
    <row r="12364" spans="1:1" x14ac:dyDescent="0.3">
      <c r="A12364" t="s">
        <v>0</v>
      </c>
    </row>
    <row r="12365" spans="1:1" x14ac:dyDescent="0.3">
      <c r="A12365" t="s">
        <v>0</v>
      </c>
    </row>
    <row r="12366" spans="1:1" x14ac:dyDescent="0.3">
      <c r="A12366" t="s">
        <v>0</v>
      </c>
    </row>
    <row r="12367" spans="1:1" x14ac:dyDescent="0.3">
      <c r="A12367" t="s">
        <v>0</v>
      </c>
    </row>
    <row r="12368" spans="1:1" x14ac:dyDescent="0.3">
      <c r="A12368" t="s">
        <v>0</v>
      </c>
    </row>
    <row r="12369" spans="1:1" x14ac:dyDescent="0.3">
      <c r="A12369" t="s">
        <v>0</v>
      </c>
    </row>
    <row r="12370" spans="1:1" x14ac:dyDescent="0.3">
      <c r="A12370" t="s">
        <v>0</v>
      </c>
    </row>
    <row r="12371" spans="1:1" x14ac:dyDescent="0.3">
      <c r="A12371" t="s">
        <v>0</v>
      </c>
    </row>
    <row r="12372" spans="1:1" x14ac:dyDescent="0.3">
      <c r="A12372" t="s">
        <v>0</v>
      </c>
    </row>
    <row r="12373" spans="1:1" x14ac:dyDescent="0.3">
      <c r="A12373" t="s">
        <v>0</v>
      </c>
    </row>
    <row r="12374" spans="1:1" x14ac:dyDescent="0.3">
      <c r="A12374" t="s">
        <v>0</v>
      </c>
    </row>
    <row r="12375" spans="1:1" x14ac:dyDescent="0.3">
      <c r="A12375" t="s">
        <v>0</v>
      </c>
    </row>
    <row r="12376" spans="1:1" x14ac:dyDescent="0.3">
      <c r="A12376" t="s">
        <v>0</v>
      </c>
    </row>
    <row r="12377" spans="1:1" x14ac:dyDescent="0.3">
      <c r="A12377" t="s">
        <v>0</v>
      </c>
    </row>
    <row r="12378" spans="1:1" x14ac:dyDescent="0.3">
      <c r="A12378" t="s">
        <v>0</v>
      </c>
    </row>
    <row r="12379" spans="1:1" x14ac:dyDescent="0.3">
      <c r="A12379" t="s">
        <v>0</v>
      </c>
    </row>
    <row r="12380" spans="1:1" x14ac:dyDescent="0.3">
      <c r="A12380" t="s">
        <v>0</v>
      </c>
    </row>
    <row r="12381" spans="1:1" x14ac:dyDescent="0.3">
      <c r="A12381" t="s">
        <v>0</v>
      </c>
    </row>
    <row r="12382" spans="1:1" x14ac:dyDescent="0.3">
      <c r="A12382" t="s">
        <v>0</v>
      </c>
    </row>
    <row r="12383" spans="1:1" x14ac:dyDescent="0.3">
      <c r="A12383" t="s">
        <v>0</v>
      </c>
    </row>
    <row r="12384" spans="1:1" x14ac:dyDescent="0.3">
      <c r="A12384" t="s">
        <v>0</v>
      </c>
    </row>
    <row r="12385" spans="1:1" x14ac:dyDescent="0.3">
      <c r="A12385" t="s">
        <v>0</v>
      </c>
    </row>
    <row r="12386" spans="1:1" x14ac:dyDescent="0.3">
      <c r="A12386" t="s">
        <v>0</v>
      </c>
    </row>
    <row r="12387" spans="1:1" x14ac:dyDescent="0.3">
      <c r="A12387" t="s">
        <v>0</v>
      </c>
    </row>
    <row r="12388" spans="1:1" x14ac:dyDescent="0.3">
      <c r="A12388" t="s">
        <v>0</v>
      </c>
    </row>
    <row r="12389" spans="1:1" x14ac:dyDescent="0.3">
      <c r="A12389" t="s">
        <v>0</v>
      </c>
    </row>
    <row r="12390" spans="1:1" x14ac:dyDescent="0.3">
      <c r="A12390" t="s">
        <v>0</v>
      </c>
    </row>
    <row r="12391" spans="1:1" x14ac:dyDescent="0.3">
      <c r="A12391" t="s">
        <v>0</v>
      </c>
    </row>
    <row r="12392" spans="1:1" x14ac:dyDescent="0.3">
      <c r="A12392" t="s">
        <v>0</v>
      </c>
    </row>
    <row r="12393" spans="1:1" x14ac:dyDescent="0.3">
      <c r="A12393" t="s">
        <v>0</v>
      </c>
    </row>
    <row r="12394" spans="1:1" x14ac:dyDescent="0.3">
      <c r="A12394" t="s">
        <v>0</v>
      </c>
    </row>
    <row r="12395" spans="1:1" x14ac:dyDescent="0.3">
      <c r="A12395" t="s">
        <v>0</v>
      </c>
    </row>
    <row r="12396" spans="1:1" x14ac:dyDescent="0.3">
      <c r="A12396" t="s">
        <v>0</v>
      </c>
    </row>
    <row r="12397" spans="1:1" x14ac:dyDescent="0.3">
      <c r="A12397" t="s">
        <v>0</v>
      </c>
    </row>
    <row r="12398" spans="1:1" x14ac:dyDescent="0.3">
      <c r="A12398" t="s">
        <v>0</v>
      </c>
    </row>
    <row r="12399" spans="1:1" x14ac:dyDescent="0.3">
      <c r="A12399" t="s">
        <v>0</v>
      </c>
    </row>
    <row r="12400" spans="1:1" x14ac:dyDescent="0.3">
      <c r="A12400" t="s">
        <v>0</v>
      </c>
    </row>
    <row r="12401" spans="1:1" x14ac:dyDescent="0.3">
      <c r="A12401" t="s">
        <v>0</v>
      </c>
    </row>
    <row r="12402" spans="1:1" x14ac:dyDescent="0.3">
      <c r="A12402" t="s">
        <v>0</v>
      </c>
    </row>
    <row r="12403" spans="1:1" x14ac:dyDescent="0.3">
      <c r="A12403" t="s">
        <v>0</v>
      </c>
    </row>
    <row r="12404" spans="1:1" x14ac:dyDescent="0.3">
      <c r="A12404" t="s">
        <v>0</v>
      </c>
    </row>
    <row r="12405" spans="1:1" x14ac:dyDescent="0.3">
      <c r="A12405" t="s">
        <v>0</v>
      </c>
    </row>
    <row r="12406" spans="1:1" x14ac:dyDescent="0.3">
      <c r="A12406" t="s">
        <v>0</v>
      </c>
    </row>
    <row r="12407" spans="1:1" x14ac:dyDescent="0.3">
      <c r="A12407" t="s">
        <v>0</v>
      </c>
    </row>
    <row r="12408" spans="1:1" x14ac:dyDescent="0.3">
      <c r="A12408" t="s">
        <v>0</v>
      </c>
    </row>
    <row r="12409" spans="1:1" x14ac:dyDescent="0.3">
      <c r="A12409" t="s">
        <v>0</v>
      </c>
    </row>
    <row r="12410" spans="1:1" x14ac:dyDescent="0.3">
      <c r="A12410" t="s">
        <v>0</v>
      </c>
    </row>
    <row r="12411" spans="1:1" x14ac:dyDescent="0.3">
      <c r="A12411" t="s">
        <v>0</v>
      </c>
    </row>
    <row r="12412" spans="1:1" x14ac:dyDescent="0.3">
      <c r="A12412" t="s">
        <v>0</v>
      </c>
    </row>
    <row r="12413" spans="1:1" x14ac:dyDescent="0.3">
      <c r="A12413" t="s">
        <v>0</v>
      </c>
    </row>
    <row r="12414" spans="1:1" x14ac:dyDescent="0.3">
      <c r="A12414" t="s">
        <v>0</v>
      </c>
    </row>
    <row r="12415" spans="1:1" x14ac:dyDescent="0.3">
      <c r="A12415" t="s">
        <v>0</v>
      </c>
    </row>
    <row r="12416" spans="1:1" x14ac:dyDescent="0.3">
      <c r="A12416" t="s">
        <v>0</v>
      </c>
    </row>
    <row r="12417" spans="1:1" x14ac:dyDescent="0.3">
      <c r="A12417" t="s">
        <v>0</v>
      </c>
    </row>
    <row r="12418" spans="1:1" x14ac:dyDescent="0.3">
      <c r="A12418" t="s">
        <v>0</v>
      </c>
    </row>
    <row r="12419" spans="1:1" x14ac:dyDescent="0.3">
      <c r="A12419" t="s">
        <v>0</v>
      </c>
    </row>
    <row r="12420" spans="1:1" x14ac:dyDescent="0.3">
      <c r="A12420" t="s">
        <v>0</v>
      </c>
    </row>
    <row r="12421" spans="1:1" x14ac:dyDescent="0.3">
      <c r="A12421" t="s">
        <v>0</v>
      </c>
    </row>
    <row r="12422" spans="1:1" x14ac:dyDescent="0.3">
      <c r="A12422" t="s">
        <v>0</v>
      </c>
    </row>
    <row r="12423" spans="1:1" x14ac:dyDescent="0.3">
      <c r="A12423" t="s">
        <v>0</v>
      </c>
    </row>
    <row r="12424" spans="1:1" x14ac:dyDescent="0.3">
      <c r="A12424" t="s">
        <v>0</v>
      </c>
    </row>
    <row r="12425" spans="1:1" x14ac:dyDescent="0.3">
      <c r="A12425" t="s">
        <v>0</v>
      </c>
    </row>
    <row r="12426" spans="1:1" x14ac:dyDescent="0.3">
      <c r="A12426" t="s">
        <v>0</v>
      </c>
    </row>
    <row r="12427" spans="1:1" x14ac:dyDescent="0.3">
      <c r="A12427" t="s">
        <v>0</v>
      </c>
    </row>
    <row r="12428" spans="1:1" x14ac:dyDescent="0.3">
      <c r="A12428" t="s">
        <v>0</v>
      </c>
    </row>
    <row r="12429" spans="1:1" x14ac:dyDescent="0.3">
      <c r="A12429" t="s">
        <v>0</v>
      </c>
    </row>
    <row r="12430" spans="1:1" x14ac:dyDescent="0.3">
      <c r="A12430" t="s">
        <v>0</v>
      </c>
    </row>
    <row r="12431" spans="1:1" x14ac:dyDescent="0.3">
      <c r="A12431" t="s">
        <v>0</v>
      </c>
    </row>
    <row r="12432" spans="1:1" x14ac:dyDescent="0.3">
      <c r="A12432" t="s">
        <v>0</v>
      </c>
    </row>
    <row r="12433" spans="1:1" x14ac:dyDescent="0.3">
      <c r="A12433" t="s">
        <v>0</v>
      </c>
    </row>
    <row r="12434" spans="1:1" x14ac:dyDescent="0.3">
      <c r="A12434" t="s">
        <v>0</v>
      </c>
    </row>
    <row r="12435" spans="1:1" x14ac:dyDescent="0.3">
      <c r="A12435" t="s">
        <v>0</v>
      </c>
    </row>
    <row r="12436" spans="1:1" x14ac:dyDescent="0.3">
      <c r="A12436" t="s">
        <v>0</v>
      </c>
    </row>
    <row r="12437" spans="1:1" x14ac:dyDescent="0.3">
      <c r="A12437" t="s">
        <v>0</v>
      </c>
    </row>
    <row r="12438" spans="1:1" x14ac:dyDescent="0.3">
      <c r="A12438" t="s">
        <v>0</v>
      </c>
    </row>
    <row r="12439" spans="1:1" x14ac:dyDescent="0.3">
      <c r="A12439" t="s">
        <v>0</v>
      </c>
    </row>
    <row r="12440" spans="1:1" x14ac:dyDescent="0.3">
      <c r="A12440" t="s">
        <v>0</v>
      </c>
    </row>
    <row r="12441" spans="1:1" x14ac:dyDescent="0.3">
      <c r="A12441" t="s">
        <v>0</v>
      </c>
    </row>
    <row r="12442" spans="1:1" x14ac:dyDescent="0.3">
      <c r="A12442" t="s">
        <v>0</v>
      </c>
    </row>
    <row r="12443" spans="1:1" x14ac:dyDescent="0.3">
      <c r="A12443" t="s">
        <v>0</v>
      </c>
    </row>
    <row r="12444" spans="1:1" x14ac:dyDescent="0.3">
      <c r="A12444" t="s">
        <v>0</v>
      </c>
    </row>
    <row r="12445" spans="1:1" x14ac:dyDescent="0.3">
      <c r="A12445" t="s">
        <v>0</v>
      </c>
    </row>
    <row r="12446" spans="1:1" x14ac:dyDescent="0.3">
      <c r="A12446" t="s">
        <v>0</v>
      </c>
    </row>
    <row r="12447" spans="1:1" x14ac:dyDescent="0.3">
      <c r="A12447" t="s">
        <v>0</v>
      </c>
    </row>
    <row r="12448" spans="1:1" x14ac:dyDescent="0.3">
      <c r="A12448" t="s">
        <v>0</v>
      </c>
    </row>
    <row r="12449" spans="1:1" x14ac:dyDescent="0.3">
      <c r="A12449" t="s">
        <v>0</v>
      </c>
    </row>
    <row r="12450" spans="1:1" x14ac:dyDescent="0.3">
      <c r="A12450" t="s">
        <v>0</v>
      </c>
    </row>
    <row r="12451" spans="1:1" x14ac:dyDescent="0.3">
      <c r="A12451" t="s">
        <v>0</v>
      </c>
    </row>
    <row r="12452" spans="1:1" x14ac:dyDescent="0.3">
      <c r="A12452" t="s">
        <v>0</v>
      </c>
    </row>
    <row r="12453" spans="1:1" x14ac:dyDescent="0.3">
      <c r="A12453" t="s">
        <v>0</v>
      </c>
    </row>
    <row r="12454" spans="1:1" x14ac:dyDescent="0.3">
      <c r="A12454" t="s">
        <v>0</v>
      </c>
    </row>
    <row r="12455" spans="1:1" x14ac:dyDescent="0.3">
      <c r="A12455" t="s">
        <v>0</v>
      </c>
    </row>
    <row r="12456" spans="1:1" x14ac:dyDescent="0.3">
      <c r="A12456" t="s">
        <v>0</v>
      </c>
    </row>
    <row r="12457" spans="1:1" x14ac:dyDescent="0.3">
      <c r="A12457" t="s">
        <v>0</v>
      </c>
    </row>
    <row r="12458" spans="1:1" x14ac:dyDescent="0.3">
      <c r="A12458" t="s">
        <v>0</v>
      </c>
    </row>
    <row r="12459" spans="1:1" x14ac:dyDescent="0.3">
      <c r="A12459" t="s">
        <v>0</v>
      </c>
    </row>
    <row r="12460" spans="1:1" x14ac:dyDescent="0.3">
      <c r="A12460" t="s">
        <v>0</v>
      </c>
    </row>
    <row r="12461" spans="1:1" x14ac:dyDescent="0.3">
      <c r="A12461" t="s">
        <v>0</v>
      </c>
    </row>
    <row r="12462" spans="1:1" x14ac:dyDescent="0.3">
      <c r="A12462" t="s">
        <v>0</v>
      </c>
    </row>
    <row r="12463" spans="1:1" x14ac:dyDescent="0.3">
      <c r="A12463" t="s">
        <v>0</v>
      </c>
    </row>
    <row r="12464" spans="1:1" x14ac:dyDescent="0.3">
      <c r="A12464" t="s">
        <v>0</v>
      </c>
    </row>
    <row r="12465" spans="1:1" x14ac:dyDescent="0.3">
      <c r="A12465" t="s">
        <v>0</v>
      </c>
    </row>
    <row r="12466" spans="1:1" x14ac:dyDescent="0.3">
      <c r="A12466" t="s">
        <v>0</v>
      </c>
    </row>
    <row r="12467" spans="1:1" x14ac:dyDescent="0.3">
      <c r="A12467" t="s">
        <v>0</v>
      </c>
    </row>
    <row r="12468" spans="1:1" x14ac:dyDescent="0.3">
      <c r="A12468" t="s">
        <v>0</v>
      </c>
    </row>
    <row r="12469" spans="1:1" x14ac:dyDescent="0.3">
      <c r="A12469" t="s">
        <v>0</v>
      </c>
    </row>
    <row r="12470" spans="1:1" x14ac:dyDescent="0.3">
      <c r="A12470" t="s">
        <v>0</v>
      </c>
    </row>
    <row r="12471" spans="1:1" x14ac:dyDescent="0.3">
      <c r="A12471" t="s">
        <v>0</v>
      </c>
    </row>
    <row r="12472" spans="1:1" x14ac:dyDescent="0.3">
      <c r="A12472" t="s">
        <v>0</v>
      </c>
    </row>
    <row r="12473" spans="1:1" x14ac:dyDescent="0.3">
      <c r="A12473" t="s">
        <v>0</v>
      </c>
    </row>
    <row r="12474" spans="1:1" x14ac:dyDescent="0.3">
      <c r="A12474" t="s">
        <v>0</v>
      </c>
    </row>
    <row r="12475" spans="1:1" x14ac:dyDescent="0.3">
      <c r="A12475" t="s">
        <v>0</v>
      </c>
    </row>
    <row r="12476" spans="1:1" x14ac:dyDescent="0.3">
      <c r="A12476" t="s">
        <v>0</v>
      </c>
    </row>
    <row r="12477" spans="1:1" x14ac:dyDescent="0.3">
      <c r="A12477" t="s">
        <v>0</v>
      </c>
    </row>
    <row r="12478" spans="1:1" x14ac:dyDescent="0.3">
      <c r="A12478" t="s">
        <v>0</v>
      </c>
    </row>
    <row r="12479" spans="1:1" x14ac:dyDescent="0.3">
      <c r="A12479" t="s">
        <v>0</v>
      </c>
    </row>
    <row r="12480" spans="1:1" x14ac:dyDescent="0.3">
      <c r="A12480" t="s">
        <v>0</v>
      </c>
    </row>
    <row r="12481" spans="1:1" x14ac:dyDescent="0.3">
      <c r="A12481" t="s">
        <v>0</v>
      </c>
    </row>
    <row r="12482" spans="1:1" x14ac:dyDescent="0.3">
      <c r="A12482" t="s">
        <v>0</v>
      </c>
    </row>
    <row r="12483" spans="1:1" x14ac:dyDescent="0.3">
      <c r="A12483" t="s">
        <v>0</v>
      </c>
    </row>
    <row r="12484" spans="1:1" x14ac:dyDescent="0.3">
      <c r="A12484" t="s">
        <v>0</v>
      </c>
    </row>
    <row r="12485" spans="1:1" x14ac:dyDescent="0.3">
      <c r="A12485" t="s">
        <v>0</v>
      </c>
    </row>
    <row r="12486" spans="1:1" x14ac:dyDescent="0.3">
      <c r="A12486" t="s">
        <v>0</v>
      </c>
    </row>
    <row r="12487" spans="1:1" x14ac:dyDescent="0.3">
      <c r="A12487" t="s">
        <v>0</v>
      </c>
    </row>
    <row r="12488" spans="1:1" x14ac:dyDescent="0.3">
      <c r="A12488" t="s">
        <v>0</v>
      </c>
    </row>
    <row r="12489" spans="1:1" x14ac:dyDescent="0.3">
      <c r="A12489" t="s">
        <v>0</v>
      </c>
    </row>
    <row r="12490" spans="1:1" x14ac:dyDescent="0.3">
      <c r="A12490" t="s">
        <v>0</v>
      </c>
    </row>
    <row r="12491" spans="1:1" x14ac:dyDescent="0.3">
      <c r="A12491" t="s">
        <v>0</v>
      </c>
    </row>
    <row r="12492" spans="1:1" x14ac:dyDescent="0.3">
      <c r="A12492" t="s">
        <v>0</v>
      </c>
    </row>
    <row r="12493" spans="1:1" x14ac:dyDescent="0.3">
      <c r="A12493" t="s">
        <v>0</v>
      </c>
    </row>
    <row r="12494" spans="1:1" x14ac:dyDescent="0.3">
      <c r="A12494" t="s">
        <v>0</v>
      </c>
    </row>
    <row r="12495" spans="1:1" x14ac:dyDescent="0.3">
      <c r="A12495" t="s">
        <v>0</v>
      </c>
    </row>
    <row r="12496" spans="1:1" x14ac:dyDescent="0.3">
      <c r="A12496" t="s">
        <v>0</v>
      </c>
    </row>
    <row r="12497" spans="1:1" x14ac:dyDescent="0.3">
      <c r="A12497" t="s">
        <v>0</v>
      </c>
    </row>
    <row r="12498" spans="1:1" x14ac:dyDescent="0.3">
      <c r="A12498" t="s">
        <v>0</v>
      </c>
    </row>
    <row r="12499" spans="1:1" x14ac:dyDescent="0.3">
      <c r="A12499" t="s">
        <v>0</v>
      </c>
    </row>
    <row r="12500" spans="1:1" x14ac:dyDescent="0.3">
      <c r="A12500" t="s">
        <v>0</v>
      </c>
    </row>
    <row r="12501" spans="1:1" x14ac:dyDescent="0.3">
      <c r="A12501" t="s">
        <v>0</v>
      </c>
    </row>
    <row r="12502" spans="1:1" x14ac:dyDescent="0.3">
      <c r="A12502" t="s">
        <v>0</v>
      </c>
    </row>
    <row r="12503" spans="1:1" x14ac:dyDescent="0.3">
      <c r="A12503" t="s">
        <v>0</v>
      </c>
    </row>
    <row r="12504" spans="1:1" x14ac:dyDescent="0.3">
      <c r="A12504" t="s">
        <v>0</v>
      </c>
    </row>
    <row r="12505" spans="1:1" x14ac:dyDescent="0.3">
      <c r="A12505" t="s">
        <v>0</v>
      </c>
    </row>
    <row r="12506" spans="1:1" x14ac:dyDescent="0.3">
      <c r="A12506" t="s">
        <v>0</v>
      </c>
    </row>
    <row r="12507" spans="1:1" x14ac:dyDescent="0.3">
      <c r="A12507" t="s">
        <v>0</v>
      </c>
    </row>
    <row r="12508" spans="1:1" x14ac:dyDescent="0.3">
      <c r="A12508" t="s">
        <v>0</v>
      </c>
    </row>
    <row r="12509" spans="1:1" x14ac:dyDescent="0.3">
      <c r="A12509" t="s">
        <v>0</v>
      </c>
    </row>
    <row r="12510" spans="1:1" x14ac:dyDescent="0.3">
      <c r="A12510" t="s">
        <v>0</v>
      </c>
    </row>
    <row r="12511" spans="1:1" x14ac:dyDescent="0.3">
      <c r="A12511" t="s">
        <v>0</v>
      </c>
    </row>
    <row r="12512" spans="1:1" x14ac:dyDescent="0.3">
      <c r="A12512" t="s">
        <v>0</v>
      </c>
    </row>
    <row r="12513" spans="1:1" x14ac:dyDescent="0.3">
      <c r="A12513" t="s">
        <v>0</v>
      </c>
    </row>
    <row r="12514" spans="1:1" x14ac:dyDescent="0.3">
      <c r="A12514" t="s">
        <v>0</v>
      </c>
    </row>
    <row r="12515" spans="1:1" x14ac:dyDescent="0.3">
      <c r="A12515" t="s">
        <v>0</v>
      </c>
    </row>
    <row r="12516" spans="1:1" x14ac:dyDescent="0.3">
      <c r="A12516" t="s">
        <v>0</v>
      </c>
    </row>
    <row r="12517" spans="1:1" x14ac:dyDescent="0.3">
      <c r="A12517" t="s">
        <v>0</v>
      </c>
    </row>
    <row r="12518" spans="1:1" x14ac:dyDescent="0.3">
      <c r="A12518" t="s">
        <v>0</v>
      </c>
    </row>
    <row r="12519" spans="1:1" x14ac:dyDescent="0.3">
      <c r="A12519" t="s">
        <v>0</v>
      </c>
    </row>
    <row r="12520" spans="1:1" x14ac:dyDescent="0.3">
      <c r="A12520" t="s">
        <v>0</v>
      </c>
    </row>
    <row r="12521" spans="1:1" x14ac:dyDescent="0.3">
      <c r="A12521" t="s">
        <v>0</v>
      </c>
    </row>
    <row r="12522" spans="1:1" x14ac:dyDescent="0.3">
      <c r="A12522" t="s">
        <v>0</v>
      </c>
    </row>
    <row r="12523" spans="1:1" x14ac:dyDescent="0.3">
      <c r="A12523" t="s">
        <v>0</v>
      </c>
    </row>
    <row r="12524" spans="1:1" x14ac:dyDescent="0.3">
      <c r="A12524" t="s">
        <v>0</v>
      </c>
    </row>
    <row r="12525" spans="1:1" x14ac:dyDescent="0.3">
      <c r="A12525" t="s">
        <v>0</v>
      </c>
    </row>
    <row r="12526" spans="1:1" x14ac:dyDescent="0.3">
      <c r="A12526" t="s">
        <v>0</v>
      </c>
    </row>
    <row r="12527" spans="1:1" x14ac:dyDescent="0.3">
      <c r="A12527" t="s">
        <v>0</v>
      </c>
    </row>
    <row r="12528" spans="1:1" x14ac:dyDescent="0.3">
      <c r="A12528" t="s">
        <v>0</v>
      </c>
    </row>
    <row r="12529" spans="1:1" x14ac:dyDescent="0.3">
      <c r="A12529" t="s">
        <v>0</v>
      </c>
    </row>
    <row r="12530" spans="1:1" x14ac:dyDescent="0.3">
      <c r="A12530" t="s">
        <v>0</v>
      </c>
    </row>
    <row r="12531" spans="1:1" x14ac:dyDescent="0.3">
      <c r="A12531" t="s">
        <v>0</v>
      </c>
    </row>
    <row r="12532" spans="1:1" x14ac:dyDescent="0.3">
      <c r="A12532" t="s">
        <v>0</v>
      </c>
    </row>
    <row r="12533" spans="1:1" x14ac:dyDescent="0.3">
      <c r="A12533" t="s">
        <v>0</v>
      </c>
    </row>
    <row r="12534" spans="1:1" x14ac:dyDescent="0.3">
      <c r="A12534" t="s">
        <v>0</v>
      </c>
    </row>
    <row r="12535" spans="1:1" x14ac:dyDescent="0.3">
      <c r="A12535" t="s">
        <v>0</v>
      </c>
    </row>
    <row r="12536" spans="1:1" x14ac:dyDescent="0.3">
      <c r="A12536" t="s">
        <v>0</v>
      </c>
    </row>
    <row r="12537" spans="1:1" x14ac:dyDescent="0.3">
      <c r="A12537" t="s">
        <v>0</v>
      </c>
    </row>
    <row r="12538" spans="1:1" x14ac:dyDescent="0.3">
      <c r="A12538" t="s">
        <v>0</v>
      </c>
    </row>
    <row r="12539" spans="1:1" x14ac:dyDescent="0.3">
      <c r="A12539" t="s">
        <v>0</v>
      </c>
    </row>
    <row r="12540" spans="1:1" x14ac:dyDescent="0.3">
      <c r="A12540" t="s">
        <v>0</v>
      </c>
    </row>
    <row r="12541" spans="1:1" x14ac:dyDescent="0.3">
      <c r="A12541" t="s">
        <v>0</v>
      </c>
    </row>
    <row r="12542" spans="1:1" x14ac:dyDescent="0.3">
      <c r="A12542" t="s">
        <v>0</v>
      </c>
    </row>
    <row r="12543" spans="1:1" x14ac:dyDescent="0.3">
      <c r="A12543" t="s">
        <v>0</v>
      </c>
    </row>
    <row r="12544" spans="1:1" x14ac:dyDescent="0.3">
      <c r="A12544" t="s">
        <v>0</v>
      </c>
    </row>
    <row r="12545" spans="1:1" x14ac:dyDescent="0.3">
      <c r="A12545" t="s">
        <v>0</v>
      </c>
    </row>
    <row r="12546" spans="1:1" x14ac:dyDescent="0.3">
      <c r="A12546" t="s">
        <v>0</v>
      </c>
    </row>
    <row r="12547" spans="1:1" x14ac:dyDescent="0.3">
      <c r="A12547" t="s">
        <v>0</v>
      </c>
    </row>
    <row r="12548" spans="1:1" x14ac:dyDescent="0.3">
      <c r="A12548" t="s">
        <v>0</v>
      </c>
    </row>
    <row r="12549" spans="1:1" x14ac:dyDescent="0.3">
      <c r="A12549" t="s">
        <v>0</v>
      </c>
    </row>
    <row r="12550" spans="1:1" x14ac:dyDescent="0.3">
      <c r="A12550" t="s">
        <v>0</v>
      </c>
    </row>
    <row r="12551" spans="1:1" x14ac:dyDescent="0.3">
      <c r="A12551" t="s">
        <v>0</v>
      </c>
    </row>
    <row r="12552" spans="1:1" x14ac:dyDescent="0.3">
      <c r="A12552" t="s">
        <v>0</v>
      </c>
    </row>
    <row r="12553" spans="1:1" x14ac:dyDescent="0.3">
      <c r="A12553" t="s">
        <v>0</v>
      </c>
    </row>
    <row r="12554" spans="1:1" x14ac:dyDescent="0.3">
      <c r="A12554" t="s">
        <v>0</v>
      </c>
    </row>
    <row r="12555" spans="1:1" x14ac:dyDescent="0.3">
      <c r="A12555" t="s">
        <v>0</v>
      </c>
    </row>
    <row r="12556" spans="1:1" x14ac:dyDescent="0.3">
      <c r="A12556" t="s">
        <v>0</v>
      </c>
    </row>
    <row r="12557" spans="1:1" x14ac:dyDescent="0.3">
      <c r="A12557" t="s">
        <v>0</v>
      </c>
    </row>
    <row r="12558" spans="1:1" x14ac:dyDescent="0.3">
      <c r="A12558" t="s">
        <v>0</v>
      </c>
    </row>
    <row r="12559" spans="1:1" x14ac:dyDescent="0.3">
      <c r="A12559" t="s">
        <v>0</v>
      </c>
    </row>
    <row r="12560" spans="1:1" x14ac:dyDescent="0.3">
      <c r="A12560" t="s">
        <v>0</v>
      </c>
    </row>
    <row r="12561" spans="1:1" x14ac:dyDescent="0.3">
      <c r="A12561" t="s">
        <v>0</v>
      </c>
    </row>
    <row r="12562" spans="1:1" x14ac:dyDescent="0.3">
      <c r="A12562" t="s">
        <v>0</v>
      </c>
    </row>
    <row r="12563" spans="1:1" x14ac:dyDescent="0.3">
      <c r="A12563" t="s">
        <v>0</v>
      </c>
    </row>
    <row r="12564" spans="1:1" x14ac:dyDescent="0.3">
      <c r="A12564" t="s">
        <v>0</v>
      </c>
    </row>
    <row r="12565" spans="1:1" x14ac:dyDescent="0.3">
      <c r="A12565" t="s">
        <v>0</v>
      </c>
    </row>
    <row r="12566" spans="1:1" x14ac:dyDescent="0.3">
      <c r="A12566" t="s">
        <v>0</v>
      </c>
    </row>
    <row r="12567" spans="1:1" x14ac:dyDescent="0.3">
      <c r="A12567" t="s">
        <v>0</v>
      </c>
    </row>
    <row r="12568" spans="1:1" x14ac:dyDescent="0.3">
      <c r="A12568" t="s">
        <v>0</v>
      </c>
    </row>
    <row r="12569" spans="1:1" x14ac:dyDescent="0.3">
      <c r="A12569" t="s">
        <v>0</v>
      </c>
    </row>
    <row r="12570" spans="1:1" x14ac:dyDescent="0.3">
      <c r="A12570" t="s">
        <v>0</v>
      </c>
    </row>
    <row r="12571" spans="1:1" x14ac:dyDescent="0.3">
      <c r="A12571" t="s">
        <v>0</v>
      </c>
    </row>
    <row r="12572" spans="1:1" x14ac:dyDescent="0.3">
      <c r="A12572" t="s">
        <v>0</v>
      </c>
    </row>
    <row r="12573" spans="1:1" x14ac:dyDescent="0.3">
      <c r="A12573" t="s">
        <v>0</v>
      </c>
    </row>
    <row r="12574" spans="1:1" x14ac:dyDescent="0.3">
      <c r="A12574" t="s">
        <v>0</v>
      </c>
    </row>
    <row r="12575" spans="1:1" x14ac:dyDescent="0.3">
      <c r="A12575" t="s">
        <v>0</v>
      </c>
    </row>
    <row r="12576" spans="1:1" x14ac:dyDescent="0.3">
      <c r="A12576" t="s">
        <v>0</v>
      </c>
    </row>
    <row r="12577" spans="1:1" x14ac:dyDescent="0.3">
      <c r="A12577" t="s">
        <v>0</v>
      </c>
    </row>
    <row r="12578" spans="1:1" x14ac:dyDescent="0.3">
      <c r="A12578" t="s">
        <v>0</v>
      </c>
    </row>
    <row r="12579" spans="1:1" x14ac:dyDescent="0.3">
      <c r="A12579" t="s">
        <v>0</v>
      </c>
    </row>
    <row r="12580" spans="1:1" x14ac:dyDescent="0.3">
      <c r="A12580" t="s">
        <v>0</v>
      </c>
    </row>
    <row r="12581" spans="1:1" x14ac:dyDescent="0.3">
      <c r="A12581" t="s">
        <v>0</v>
      </c>
    </row>
    <row r="12582" spans="1:1" x14ac:dyDescent="0.3">
      <c r="A12582" t="s">
        <v>0</v>
      </c>
    </row>
    <row r="12583" spans="1:1" x14ac:dyDescent="0.3">
      <c r="A12583" t="s">
        <v>0</v>
      </c>
    </row>
    <row r="12584" spans="1:1" x14ac:dyDescent="0.3">
      <c r="A12584" t="s">
        <v>0</v>
      </c>
    </row>
    <row r="12585" spans="1:1" x14ac:dyDescent="0.3">
      <c r="A12585" t="s">
        <v>0</v>
      </c>
    </row>
    <row r="12586" spans="1:1" x14ac:dyDescent="0.3">
      <c r="A12586" t="s">
        <v>0</v>
      </c>
    </row>
    <row r="12587" spans="1:1" x14ac:dyDescent="0.3">
      <c r="A12587" t="s">
        <v>0</v>
      </c>
    </row>
    <row r="12588" spans="1:1" x14ac:dyDescent="0.3">
      <c r="A12588" t="s">
        <v>0</v>
      </c>
    </row>
    <row r="12589" spans="1:1" x14ac:dyDescent="0.3">
      <c r="A12589" t="s">
        <v>0</v>
      </c>
    </row>
    <row r="12590" spans="1:1" x14ac:dyDescent="0.3">
      <c r="A12590" t="s">
        <v>0</v>
      </c>
    </row>
    <row r="12591" spans="1:1" x14ac:dyDescent="0.3">
      <c r="A12591" t="s">
        <v>0</v>
      </c>
    </row>
    <row r="12592" spans="1:1" x14ac:dyDescent="0.3">
      <c r="A12592" t="s">
        <v>0</v>
      </c>
    </row>
    <row r="12593" spans="1:1" x14ac:dyDescent="0.3">
      <c r="A12593" t="s">
        <v>0</v>
      </c>
    </row>
    <row r="12594" spans="1:1" x14ac:dyDescent="0.3">
      <c r="A12594" t="s">
        <v>0</v>
      </c>
    </row>
    <row r="12595" spans="1:1" x14ac:dyDescent="0.3">
      <c r="A12595" t="s">
        <v>0</v>
      </c>
    </row>
    <row r="12596" spans="1:1" x14ac:dyDescent="0.3">
      <c r="A12596" t="s">
        <v>0</v>
      </c>
    </row>
    <row r="12597" spans="1:1" x14ac:dyDescent="0.3">
      <c r="A12597" t="s">
        <v>0</v>
      </c>
    </row>
    <row r="12598" spans="1:1" x14ac:dyDescent="0.3">
      <c r="A12598" t="s">
        <v>0</v>
      </c>
    </row>
    <row r="12599" spans="1:1" x14ac:dyDescent="0.3">
      <c r="A12599" t="s">
        <v>0</v>
      </c>
    </row>
    <row r="12600" spans="1:1" x14ac:dyDescent="0.3">
      <c r="A12600" t="s">
        <v>0</v>
      </c>
    </row>
    <row r="12601" spans="1:1" x14ac:dyDescent="0.3">
      <c r="A12601" t="s">
        <v>0</v>
      </c>
    </row>
    <row r="12602" spans="1:1" x14ac:dyDescent="0.3">
      <c r="A12602" t="s">
        <v>0</v>
      </c>
    </row>
    <row r="12603" spans="1:1" x14ac:dyDescent="0.3">
      <c r="A12603" t="s">
        <v>0</v>
      </c>
    </row>
    <row r="12604" spans="1:1" x14ac:dyDescent="0.3">
      <c r="A12604" t="s">
        <v>0</v>
      </c>
    </row>
    <row r="12605" spans="1:1" x14ac:dyDescent="0.3">
      <c r="A12605" t="s">
        <v>0</v>
      </c>
    </row>
    <row r="12606" spans="1:1" x14ac:dyDescent="0.3">
      <c r="A12606" t="s">
        <v>0</v>
      </c>
    </row>
    <row r="12607" spans="1:1" x14ac:dyDescent="0.3">
      <c r="A12607" t="s">
        <v>0</v>
      </c>
    </row>
    <row r="12608" spans="1:1" x14ac:dyDescent="0.3">
      <c r="A12608" t="s">
        <v>0</v>
      </c>
    </row>
    <row r="12609" spans="1:1" x14ac:dyDescent="0.3">
      <c r="A12609" t="s">
        <v>0</v>
      </c>
    </row>
    <row r="12610" spans="1:1" x14ac:dyDescent="0.3">
      <c r="A12610" t="s">
        <v>0</v>
      </c>
    </row>
    <row r="12611" spans="1:1" x14ac:dyDescent="0.3">
      <c r="A12611" t="s">
        <v>0</v>
      </c>
    </row>
    <row r="12612" spans="1:1" x14ac:dyDescent="0.3">
      <c r="A12612" t="s">
        <v>0</v>
      </c>
    </row>
    <row r="12613" spans="1:1" x14ac:dyDescent="0.3">
      <c r="A12613" t="s">
        <v>0</v>
      </c>
    </row>
    <row r="12614" spans="1:1" x14ac:dyDescent="0.3">
      <c r="A12614" t="s">
        <v>0</v>
      </c>
    </row>
    <row r="12615" spans="1:1" x14ac:dyDescent="0.3">
      <c r="A12615" t="s">
        <v>0</v>
      </c>
    </row>
    <row r="12616" spans="1:1" x14ac:dyDescent="0.3">
      <c r="A12616" t="s">
        <v>0</v>
      </c>
    </row>
    <row r="12617" spans="1:1" x14ac:dyDescent="0.3">
      <c r="A12617" t="s">
        <v>0</v>
      </c>
    </row>
    <row r="12618" spans="1:1" x14ac:dyDescent="0.3">
      <c r="A12618" t="s">
        <v>0</v>
      </c>
    </row>
    <row r="12619" spans="1:1" x14ac:dyDescent="0.3">
      <c r="A12619" t="s">
        <v>0</v>
      </c>
    </row>
    <row r="12620" spans="1:1" x14ac:dyDescent="0.3">
      <c r="A12620" t="s">
        <v>0</v>
      </c>
    </row>
    <row r="12621" spans="1:1" x14ac:dyDescent="0.3">
      <c r="A12621" t="s">
        <v>0</v>
      </c>
    </row>
    <row r="12622" spans="1:1" x14ac:dyDescent="0.3">
      <c r="A12622" t="s">
        <v>0</v>
      </c>
    </row>
    <row r="12623" spans="1:1" x14ac:dyDescent="0.3">
      <c r="A12623" t="s">
        <v>0</v>
      </c>
    </row>
    <row r="12624" spans="1:1" x14ac:dyDescent="0.3">
      <c r="A12624" t="s">
        <v>0</v>
      </c>
    </row>
    <row r="12625" spans="1:1" x14ac:dyDescent="0.3">
      <c r="A12625" t="s">
        <v>0</v>
      </c>
    </row>
    <row r="12626" spans="1:1" x14ac:dyDescent="0.3">
      <c r="A12626" t="s">
        <v>0</v>
      </c>
    </row>
    <row r="12627" spans="1:1" x14ac:dyDescent="0.3">
      <c r="A12627" t="s">
        <v>0</v>
      </c>
    </row>
    <row r="12628" spans="1:1" x14ac:dyDescent="0.3">
      <c r="A12628" t="s">
        <v>0</v>
      </c>
    </row>
    <row r="12629" spans="1:1" x14ac:dyDescent="0.3">
      <c r="A12629" t="s">
        <v>0</v>
      </c>
    </row>
    <row r="12630" spans="1:1" x14ac:dyDescent="0.3">
      <c r="A12630" t="s">
        <v>0</v>
      </c>
    </row>
    <row r="12631" spans="1:1" x14ac:dyDescent="0.3">
      <c r="A12631" t="s">
        <v>0</v>
      </c>
    </row>
    <row r="12632" spans="1:1" x14ac:dyDescent="0.3">
      <c r="A12632" t="s">
        <v>0</v>
      </c>
    </row>
    <row r="12633" spans="1:1" x14ac:dyDescent="0.3">
      <c r="A12633" t="s">
        <v>0</v>
      </c>
    </row>
    <row r="12634" spans="1:1" x14ac:dyDescent="0.3">
      <c r="A12634" t="s">
        <v>0</v>
      </c>
    </row>
    <row r="12635" spans="1:1" x14ac:dyDescent="0.3">
      <c r="A12635" t="s">
        <v>0</v>
      </c>
    </row>
    <row r="12636" spans="1:1" x14ac:dyDescent="0.3">
      <c r="A12636" t="s">
        <v>0</v>
      </c>
    </row>
    <row r="12637" spans="1:1" x14ac:dyDescent="0.3">
      <c r="A12637" t="s">
        <v>0</v>
      </c>
    </row>
    <row r="12638" spans="1:1" x14ac:dyDescent="0.3">
      <c r="A12638" t="s">
        <v>0</v>
      </c>
    </row>
    <row r="12639" spans="1:1" x14ac:dyDescent="0.3">
      <c r="A12639" t="s">
        <v>0</v>
      </c>
    </row>
    <row r="12640" spans="1:1" x14ac:dyDescent="0.3">
      <c r="A12640" t="s">
        <v>0</v>
      </c>
    </row>
    <row r="12641" spans="1:1" x14ac:dyDescent="0.3">
      <c r="A12641" t="s">
        <v>0</v>
      </c>
    </row>
    <row r="12642" spans="1:1" x14ac:dyDescent="0.3">
      <c r="A12642" t="s">
        <v>0</v>
      </c>
    </row>
    <row r="12643" spans="1:1" x14ac:dyDescent="0.3">
      <c r="A12643" t="s">
        <v>0</v>
      </c>
    </row>
    <row r="12644" spans="1:1" x14ac:dyDescent="0.3">
      <c r="A12644" t="s">
        <v>0</v>
      </c>
    </row>
    <row r="12645" spans="1:1" x14ac:dyDescent="0.3">
      <c r="A12645" t="s">
        <v>0</v>
      </c>
    </row>
    <row r="12646" spans="1:1" x14ac:dyDescent="0.3">
      <c r="A12646" t="s">
        <v>0</v>
      </c>
    </row>
    <row r="12647" spans="1:1" x14ac:dyDescent="0.3">
      <c r="A12647" t="s">
        <v>0</v>
      </c>
    </row>
    <row r="12648" spans="1:1" x14ac:dyDescent="0.3">
      <c r="A12648" t="s">
        <v>0</v>
      </c>
    </row>
    <row r="12649" spans="1:1" x14ac:dyDescent="0.3">
      <c r="A12649" t="s">
        <v>0</v>
      </c>
    </row>
    <row r="12650" spans="1:1" x14ac:dyDescent="0.3">
      <c r="A12650" t="s">
        <v>0</v>
      </c>
    </row>
    <row r="12651" spans="1:1" x14ac:dyDescent="0.3">
      <c r="A12651" t="s">
        <v>0</v>
      </c>
    </row>
    <row r="12652" spans="1:1" x14ac:dyDescent="0.3">
      <c r="A12652" t="s">
        <v>0</v>
      </c>
    </row>
    <row r="12653" spans="1:1" x14ac:dyDescent="0.3">
      <c r="A12653" t="s">
        <v>0</v>
      </c>
    </row>
    <row r="12654" spans="1:1" x14ac:dyDescent="0.3">
      <c r="A12654" t="s">
        <v>0</v>
      </c>
    </row>
    <row r="12655" spans="1:1" x14ac:dyDescent="0.3">
      <c r="A12655" t="s">
        <v>0</v>
      </c>
    </row>
    <row r="12656" spans="1:1" x14ac:dyDescent="0.3">
      <c r="A12656" t="s">
        <v>0</v>
      </c>
    </row>
    <row r="12657" spans="1:1" x14ac:dyDescent="0.3">
      <c r="A12657" t="s">
        <v>0</v>
      </c>
    </row>
    <row r="12658" spans="1:1" x14ac:dyDescent="0.3">
      <c r="A12658" t="s">
        <v>0</v>
      </c>
    </row>
    <row r="12659" spans="1:1" x14ac:dyDescent="0.3">
      <c r="A12659" t="s">
        <v>0</v>
      </c>
    </row>
    <row r="12660" spans="1:1" x14ac:dyDescent="0.3">
      <c r="A12660" t="s">
        <v>0</v>
      </c>
    </row>
    <row r="12661" spans="1:1" x14ac:dyDescent="0.3">
      <c r="A12661" t="s">
        <v>0</v>
      </c>
    </row>
    <row r="12662" spans="1:1" x14ac:dyDescent="0.3">
      <c r="A12662" t="s">
        <v>0</v>
      </c>
    </row>
    <row r="12663" spans="1:1" x14ac:dyDescent="0.3">
      <c r="A12663" t="s">
        <v>0</v>
      </c>
    </row>
    <row r="12664" spans="1:1" x14ac:dyDescent="0.3">
      <c r="A12664" t="s">
        <v>0</v>
      </c>
    </row>
    <row r="12665" spans="1:1" x14ac:dyDescent="0.3">
      <c r="A12665" t="s">
        <v>0</v>
      </c>
    </row>
    <row r="12666" spans="1:1" x14ac:dyDescent="0.3">
      <c r="A12666" t="s">
        <v>0</v>
      </c>
    </row>
    <row r="12667" spans="1:1" x14ac:dyDescent="0.3">
      <c r="A12667" t="s">
        <v>0</v>
      </c>
    </row>
    <row r="12668" spans="1:1" x14ac:dyDescent="0.3">
      <c r="A12668" t="s">
        <v>0</v>
      </c>
    </row>
    <row r="12669" spans="1:1" x14ac:dyDescent="0.3">
      <c r="A12669" t="s">
        <v>0</v>
      </c>
    </row>
    <row r="12670" spans="1:1" x14ac:dyDescent="0.3">
      <c r="A12670" t="s">
        <v>0</v>
      </c>
    </row>
    <row r="12671" spans="1:1" x14ac:dyDescent="0.3">
      <c r="A12671" t="s">
        <v>0</v>
      </c>
    </row>
    <row r="12672" spans="1:1" x14ac:dyDescent="0.3">
      <c r="A12672" t="s">
        <v>0</v>
      </c>
    </row>
    <row r="12673" spans="1:1" x14ac:dyDescent="0.3">
      <c r="A12673" t="s">
        <v>0</v>
      </c>
    </row>
    <row r="12674" spans="1:1" x14ac:dyDescent="0.3">
      <c r="A12674" t="s">
        <v>0</v>
      </c>
    </row>
    <row r="12675" spans="1:1" x14ac:dyDescent="0.3">
      <c r="A12675" t="s">
        <v>0</v>
      </c>
    </row>
    <row r="12676" spans="1:1" x14ac:dyDescent="0.3">
      <c r="A12676" t="s">
        <v>0</v>
      </c>
    </row>
    <row r="12677" spans="1:1" x14ac:dyDescent="0.3">
      <c r="A12677" t="s">
        <v>0</v>
      </c>
    </row>
    <row r="12678" spans="1:1" x14ac:dyDescent="0.3">
      <c r="A12678" t="s">
        <v>0</v>
      </c>
    </row>
    <row r="12679" spans="1:1" x14ac:dyDescent="0.3">
      <c r="A12679" t="s">
        <v>0</v>
      </c>
    </row>
    <row r="12680" spans="1:1" x14ac:dyDescent="0.3">
      <c r="A12680" t="s">
        <v>0</v>
      </c>
    </row>
    <row r="12681" spans="1:1" x14ac:dyDescent="0.3">
      <c r="A12681" t="s">
        <v>0</v>
      </c>
    </row>
    <row r="12682" spans="1:1" x14ac:dyDescent="0.3">
      <c r="A12682" t="s">
        <v>0</v>
      </c>
    </row>
    <row r="12683" spans="1:1" x14ac:dyDescent="0.3">
      <c r="A12683" t="s">
        <v>0</v>
      </c>
    </row>
    <row r="12684" spans="1:1" x14ac:dyDescent="0.3">
      <c r="A12684" t="s">
        <v>0</v>
      </c>
    </row>
    <row r="12685" spans="1:1" x14ac:dyDescent="0.3">
      <c r="A12685" t="s">
        <v>0</v>
      </c>
    </row>
    <row r="12686" spans="1:1" x14ac:dyDescent="0.3">
      <c r="A12686" t="s">
        <v>0</v>
      </c>
    </row>
    <row r="12687" spans="1:1" x14ac:dyDescent="0.3">
      <c r="A12687" t="s">
        <v>0</v>
      </c>
    </row>
    <row r="12688" spans="1:1" x14ac:dyDescent="0.3">
      <c r="A12688" t="s">
        <v>0</v>
      </c>
    </row>
    <row r="12689" spans="1:1" x14ac:dyDescent="0.3">
      <c r="A12689" t="s">
        <v>0</v>
      </c>
    </row>
    <row r="12690" spans="1:1" x14ac:dyDescent="0.3">
      <c r="A12690" t="s">
        <v>0</v>
      </c>
    </row>
    <row r="12691" spans="1:1" x14ac:dyDescent="0.3">
      <c r="A12691" t="s">
        <v>0</v>
      </c>
    </row>
    <row r="12692" spans="1:1" x14ac:dyDescent="0.3">
      <c r="A12692" t="s">
        <v>0</v>
      </c>
    </row>
    <row r="12693" spans="1:1" x14ac:dyDescent="0.3">
      <c r="A12693" t="s">
        <v>0</v>
      </c>
    </row>
    <row r="12694" spans="1:1" x14ac:dyDescent="0.3">
      <c r="A12694" t="s">
        <v>0</v>
      </c>
    </row>
    <row r="12695" spans="1:1" x14ac:dyDescent="0.3">
      <c r="A12695" t="s">
        <v>0</v>
      </c>
    </row>
    <row r="12696" spans="1:1" x14ac:dyDescent="0.3">
      <c r="A12696" t="s">
        <v>0</v>
      </c>
    </row>
    <row r="12697" spans="1:1" x14ac:dyDescent="0.3">
      <c r="A12697" t="s">
        <v>0</v>
      </c>
    </row>
    <row r="12698" spans="1:1" x14ac:dyDescent="0.3">
      <c r="A12698" t="s">
        <v>0</v>
      </c>
    </row>
    <row r="12699" spans="1:1" x14ac:dyDescent="0.3">
      <c r="A12699" t="s">
        <v>0</v>
      </c>
    </row>
    <row r="12700" spans="1:1" x14ac:dyDescent="0.3">
      <c r="A12700" t="s">
        <v>0</v>
      </c>
    </row>
    <row r="12701" spans="1:1" x14ac:dyDescent="0.3">
      <c r="A12701" t="s">
        <v>0</v>
      </c>
    </row>
    <row r="12702" spans="1:1" x14ac:dyDescent="0.3">
      <c r="A12702" t="s">
        <v>0</v>
      </c>
    </row>
    <row r="12703" spans="1:1" x14ac:dyDescent="0.3">
      <c r="A12703" t="s">
        <v>0</v>
      </c>
    </row>
    <row r="12704" spans="1:1" x14ac:dyDescent="0.3">
      <c r="A12704" t="s">
        <v>0</v>
      </c>
    </row>
    <row r="12705" spans="1:1" x14ac:dyDescent="0.3">
      <c r="A12705" t="s">
        <v>0</v>
      </c>
    </row>
    <row r="12706" spans="1:1" x14ac:dyDescent="0.3">
      <c r="A12706" t="s">
        <v>0</v>
      </c>
    </row>
    <row r="12707" spans="1:1" x14ac:dyDescent="0.3">
      <c r="A12707" t="s">
        <v>0</v>
      </c>
    </row>
    <row r="12708" spans="1:1" x14ac:dyDescent="0.3">
      <c r="A12708" t="s">
        <v>0</v>
      </c>
    </row>
    <row r="12709" spans="1:1" x14ac:dyDescent="0.3">
      <c r="A12709" t="s">
        <v>0</v>
      </c>
    </row>
    <row r="12710" spans="1:1" x14ac:dyDescent="0.3">
      <c r="A12710" t="s">
        <v>0</v>
      </c>
    </row>
    <row r="12711" spans="1:1" x14ac:dyDescent="0.3">
      <c r="A12711" t="s">
        <v>0</v>
      </c>
    </row>
    <row r="12712" spans="1:1" x14ac:dyDescent="0.3">
      <c r="A12712" t="s">
        <v>0</v>
      </c>
    </row>
    <row r="12713" spans="1:1" x14ac:dyDescent="0.3">
      <c r="A12713" t="s">
        <v>0</v>
      </c>
    </row>
    <row r="12714" spans="1:1" x14ac:dyDescent="0.3">
      <c r="A12714" t="s">
        <v>0</v>
      </c>
    </row>
    <row r="12715" spans="1:1" x14ac:dyDescent="0.3">
      <c r="A12715" t="s">
        <v>0</v>
      </c>
    </row>
    <row r="12716" spans="1:1" x14ac:dyDescent="0.3">
      <c r="A12716" t="s">
        <v>0</v>
      </c>
    </row>
    <row r="12717" spans="1:1" x14ac:dyDescent="0.3">
      <c r="A12717" t="s">
        <v>0</v>
      </c>
    </row>
    <row r="12718" spans="1:1" x14ac:dyDescent="0.3">
      <c r="A12718" t="s">
        <v>0</v>
      </c>
    </row>
    <row r="12719" spans="1:1" x14ac:dyDescent="0.3">
      <c r="A12719" t="s">
        <v>0</v>
      </c>
    </row>
    <row r="12720" spans="1:1" x14ac:dyDescent="0.3">
      <c r="A12720" t="s">
        <v>0</v>
      </c>
    </row>
    <row r="12721" spans="1:1" x14ac:dyDescent="0.3">
      <c r="A12721" t="s">
        <v>0</v>
      </c>
    </row>
    <row r="12722" spans="1:1" x14ac:dyDescent="0.3">
      <c r="A12722" t="s">
        <v>0</v>
      </c>
    </row>
    <row r="12723" spans="1:1" x14ac:dyDescent="0.3">
      <c r="A12723" t="s">
        <v>0</v>
      </c>
    </row>
    <row r="12724" spans="1:1" x14ac:dyDescent="0.3">
      <c r="A12724" t="s">
        <v>0</v>
      </c>
    </row>
    <row r="12725" spans="1:1" x14ac:dyDescent="0.3">
      <c r="A12725" t="s">
        <v>0</v>
      </c>
    </row>
    <row r="12726" spans="1:1" x14ac:dyDescent="0.3">
      <c r="A12726" t="s">
        <v>0</v>
      </c>
    </row>
    <row r="12727" spans="1:1" x14ac:dyDescent="0.3">
      <c r="A12727" t="s">
        <v>0</v>
      </c>
    </row>
    <row r="12728" spans="1:1" x14ac:dyDescent="0.3">
      <c r="A12728" t="s">
        <v>0</v>
      </c>
    </row>
    <row r="12729" spans="1:1" x14ac:dyDescent="0.3">
      <c r="A12729" t="s">
        <v>0</v>
      </c>
    </row>
    <row r="12730" spans="1:1" x14ac:dyDescent="0.3">
      <c r="A12730" t="s">
        <v>0</v>
      </c>
    </row>
    <row r="12731" spans="1:1" x14ac:dyDescent="0.3">
      <c r="A12731" t="s">
        <v>0</v>
      </c>
    </row>
    <row r="12732" spans="1:1" x14ac:dyDescent="0.3">
      <c r="A12732" t="s">
        <v>0</v>
      </c>
    </row>
    <row r="12733" spans="1:1" x14ac:dyDescent="0.3">
      <c r="A12733" t="s">
        <v>0</v>
      </c>
    </row>
    <row r="12734" spans="1:1" x14ac:dyDescent="0.3">
      <c r="A12734" t="s">
        <v>0</v>
      </c>
    </row>
    <row r="12735" spans="1:1" x14ac:dyDescent="0.3">
      <c r="A12735" t="s">
        <v>0</v>
      </c>
    </row>
    <row r="12736" spans="1:1" x14ac:dyDescent="0.3">
      <c r="A12736" t="s">
        <v>0</v>
      </c>
    </row>
    <row r="12737" spans="1:1" x14ac:dyDescent="0.3">
      <c r="A12737" t="s">
        <v>0</v>
      </c>
    </row>
    <row r="12738" spans="1:1" x14ac:dyDescent="0.3">
      <c r="A12738" t="s">
        <v>0</v>
      </c>
    </row>
    <row r="12739" spans="1:1" x14ac:dyDescent="0.3">
      <c r="A12739" t="s">
        <v>0</v>
      </c>
    </row>
    <row r="12740" spans="1:1" x14ac:dyDescent="0.3">
      <c r="A12740" t="s">
        <v>0</v>
      </c>
    </row>
    <row r="12741" spans="1:1" x14ac:dyDescent="0.3">
      <c r="A12741" t="s">
        <v>0</v>
      </c>
    </row>
    <row r="12742" spans="1:1" x14ac:dyDescent="0.3">
      <c r="A12742" t="s">
        <v>0</v>
      </c>
    </row>
    <row r="12743" spans="1:1" x14ac:dyDescent="0.3">
      <c r="A12743" t="s">
        <v>0</v>
      </c>
    </row>
    <row r="12744" spans="1:1" x14ac:dyDescent="0.3">
      <c r="A12744" t="s">
        <v>0</v>
      </c>
    </row>
    <row r="12745" spans="1:1" x14ac:dyDescent="0.3">
      <c r="A12745" t="s">
        <v>0</v>
      </c>
    </row>
    <row r="12746" spans="1:1" x14ac:dyDescent="0.3">
      <c r="A12746" t="s">
        <v>0</v>
      </c>
    </row>
    <row r="12747" spans="1:1" x14ac:dyDescent="0.3">
      <c r="A12747" t="s">
        <v>0</v>
      </c>
    </row>
    <row r="12748" spans="1:1" x14ac:dyDescent="0.3">
      <c r="A12748" t="s">
        <v>0</v>
      </c>
    </row>
    <row r="12749" spans="1:1" x14ac:dyDescent="0.3">
      <c r="A12749" t="s">
        <v>0</v>
      </c>
    </row>
    <row r="12750" spans="1:1" x14ac:dyDescent="0.3">
      <c r="A12750" t="s">
        <v>0</v>
      </c>
    </row>
    <row r="12751" spans="1:1" x14ac:dyDescent="0.3">
      <c r="A12751" t="s">
        <v>0</v>
      </c>
    </row>
    <row r="12752" spans="1:1" x14ac:dyDescent="0.3">
      <c r="A12752" t="s">
        <v>0</v>
      </c>
    </row>
    <row r="12753" spans="1:1" x14ac:dyDescent="0.3">
      <c r="A12753" t="s">
        <v>0</v>
      </c>
    </row>
    <row r="12754" spans="1:1" x14ac:dyDescent="0.3">
      <c r="A12754" t="s">
        <v>0</v>
      </c>
    </row>
    <row r="12755" spans="1:1" x14ac:dyDescent="0.3">
      <c r="A12755" t="s">
        <v>0</v>
      </c>
    </row>
    <row r="12756" spans="1:1" x14ac:dyDescent="0.3">
      <c r="A12756" t="s">
        <v>0</v>
      </c>
    </row>
    <row r="12757" spans="1:1" x14ac:dyDescent="0.3">
      <c r="A12757" t="s">
        <v>0</v>
      </c>
    </row>
    <row r="12758" spans="1:1" x14ac:dyDescent="0.3">
      <c r="A12758" t="s">
        <v>0</v>
      </c>
    </row>
    <row r="12759" spans="1:1" x14ac:dyDescent="0.3">
      <c r="A12759" t="s">
        <v>0</v>
      </c>
    </row>
    <row r="12760" spans="1:1" x14ac:dyDescent="0.3">
      <c r="A12760" t="s">
        <v>0</v>
      </c>
    </row>
    <row r="12761" spans="1:1" x14ac:dyDescent="0.3">
      <c r="A12761" t="s">
        <v>0</v>
      </c>
    </row>
    <row r="12762" spans="1:1" x14ac:dyDescent="0.3">
      <c r="A12762" t="s">
        <v>0</v>
      </c>
    </row>
    <row r="12763" spans="1:1" x14ac:dyDescent="0.3">
      <c r="A12763" t="s">
        <v>0</v>
      </c>
    </row>
    <row r="12764" spans="1:1" x14ac:dyDescent="0.3">
      <c r="A12764" t="s">
        <v>0</v>
      </c>
    </row>
    <row r="12765" spans="1:1" x14ac:dyDescent="0.3">
      <c r="A12765" t="s">
        <v>0</v>
      </c>
    </row>
    <row r="12766" spans="1:1" x14ac:dyDescent="0.3">
      <c r="A12766" t="s">
        <v>0</v>
      </c>
    </row>
    <row r="12767" spans="1:1" x14ac:dyDescent="0.3">
      <c r="A12767" t="s">
        <v>0</v>
      </c>
    </row>
    <row r="12768" spans="1:1" x14ac:dyDescent="0.3">
      <c r="A12768" t="s">
        <v>0</v>
      </c>
    </row>
    <row r="12769" spans="1:1" x14ac:dyDescent="0.3">
      <c r="A12769" t="s">
        <v>0</v>
      </c>
    </row>
    <row r="12770" spans="1:1" x14ac:dyDescent="0.3">
      <c r="A12770" t="s">
        <v>0</v>
      </c>
    </row>
    <row r="12771" spans="1:1" x14ac:dyDescent="0.3">
      <c r="A12771" t="s">
        <v>0</v>
      </c>
    </row>
    <row r="12772" spans="1:1" x14ac:dyDescent="0.3">
      <c r="A12772" t="s">
        <v>0</v>
      </c>
    </row>
    <row r="12773" spans="1:1" x14ac:dyDescent="0.3">
      <c r="A12773" t="s">
        <v>0</v>
      </c>
    </row>
    <row r="12774" spans="1:1" x14ac:dyDescent="0.3">
      <c r="A12774" t="s">
        <v>0</v>
      </c>
    </row>
    <row r="12775" spans="1:1" x14ac:dyDescent="0.3">
      <c r="A12775" t="s">
        <v>0</v>
      </c>
    </row>
    <row r="12776" spans="1:1" x14ac:dyDescent="0.3">
      <c r="A12776" t="s">
        <v>0</v>
      </c>
    </row>
    <row r="12777" spans="1:1" x14ac:dyDescent="0.3">
      <c r="A12777" t="s">
        <v>0</v>
      </c>
    </row>
    <row r="12778" spans="1:1" x14ac:dyDescent="0.3">
      <c r="A12778" t="s">
        <v>0</v>
      </c>
    </row>
    <row r="12779" spans="1:1" x14ac:dyDescent="0.3">
      <c r="A12779" t="s">
        <v>0</v>
      </c>
    </row>
    <row r="12780" spans="1:1" x14ac:dyDescent="0.3">
      <c r="A12780" t="s">
        <v>0</v>
      </c>
    </row>
    <row r="12781" spans="1:1" x14ac:dyDescent="0.3">
      <c r="A12781" t="s">
        <v>0</v>
      </c>
    </row>
    <row r="12782" spans="1:1" x14ac:dyDescent="0.3">
      <c r="A12782" t="s">
        <v>0</v>
      </c>
    </row>
    <row r="12783" spans="1:1" x14ac:dyDescent="0.3">
      <c r="A12783" t="s">
        <v>0</v>
      </c>
    </row>
    <row r="12784" spans="1:1" x14ac:dyDescent="0.3">
      <c r="A12784" t="s">
        <v>0</v>
      </c>
    </row>
    <row r="12785" spans="1:1" x14ac:dyDescent="0.3">
      <c r="A12785" t="s">
        <v>0</v>
      </c>
    </row>
    <row r="12786" spans="1:1" x14ac:dyDescent="0.3">
      <c r="A12786" t="s">
        <v>0</v>
      </c>
    </row>
    <row r="12787" spans="1:1" x14ac:dyDescent="0.3">
      <c r="A12787" t="s">
        <v>0</v>
      </c>
    </row>
    <row r="12788" spans="1:1" x14ac:dyDescent="0.3">
      <c r="A12788" t="s">
        <v>0</v>
      </c>
    </row>
    <row r="12789" spans="1:1" x14ac:dyDescent="0.3">
      <c r="A12789" t="s">
        <v>0</v>
      </c>
    </row>
    <row r="12790" spans="1:1" x14ac:dyDescent="0.3">
      <c r="A12790" t="s">
        <v>0</v>
      </c>
    </row>
    <row r="12791" spans="1:1" x14ac:dyDescent="0.3">
      <c r="A12791" t="s">
        <v>0</v>
      </c>
    </row>
    <row r="12792" spans="1:1" x14ac:dyDescent="0.3">
      <c r="A12792" t="s">
        <v>0</v>
      </c>
    </row>
    <row r="12793" spans="1:1" x14ac:dyDescent="0.3">
      <c r="A12793" t="s">
        <v>0</v>
      </c>
    </row>
    <row r="12794" spans="1:1" x14ac:dyDescent="0.3">
      <c r="A12794" t="s">
        <v>0</v>
      </c>
    </row>
    <row r="12795" spans="1:1" x14ac:dyDescent="0.3">
      <c r="A12795" t="s">
        <v>0</v>
      </c>
    </row>
    <row r="12796" spans="1:1" x14ac:dyDescent="0.3">
      <c r="A12796" t="s">
        <v>0</v>
      </c>
    </row>
    <row r="12797" spans="1:1" x14ac:dyDescent="0.3">
      <c r="A12797" t="s">
        <v>0</v>
      </c>
    </row>
    <row r="12798" spans="1:1" x14ac:dyDescent="0.3">
      <c r="A12798" t="s">
        <v>0</v>
      </c>
    </row>
    <row r="12799" spans="1:1" x14ac:dyDescent="0.3">
      <c r="A12799" t="s">
        <v>0</v>
      </c>
    </row>
    <row r="12800" spans="1:1" x14ac:dyDescent="0.3">
      <c r="A12800" t="s">
        <v>0</v>
      </c>
    </row>
    <row r="12801" spans="1:1" x14ac:dyDescent="0.3">
      <c r="A12801" t="s">
        <v>0</v>
      </c>
    </row>
    <row r="12802" spans="1:1" x14ac:dyDescent="0.3">
      <c r="A12802" t="s">
        <v>0</v>
      </c>
    </row>
    <row r="12803" spans="1:1" x14ac:dyDescent="0.3">
      <c r="A12803" t="s">
        <v>0</v>
      </c>
    </row>
    <row r="12804" spans="1:1" x14ac:dyDescent="0.3">
      <c r="A12804" t="s">
        <v>0</v>
      </c>
    </row>
    <row r="12805" spans="1:1" x14ac:dyDescent="0.3">
      <c r="A12805" t="s">
        <v>0</v>
      </c>
    </row>
    <row r="12806" spans="1:1" x14ac:dyDescent="0.3">
      <c r="A12806" t="s">
        <v>0</v>
      </c>
    </row>
    <row r="12807" spans="1:1" x14ac:dyDescent="0.3">
      <c r="A12807" t="s">
        <v>0</v>
      </c>
    </row>
    <row r="12808" spans="1:1" x14ac:dyDescent="0.3">
      <c r="A12808" t="s">
        <v>0</v>
      </c>
    </row>
    <row r="12809" spans="1:1" x14ac:dyDescent="0.3">
      <c r="A12809" t="s">
        <v>0</v>
      </c>
    </row>
    <row r="12810" spans="1:1" x14ac:dyDescent="0.3">
      <c r="A12810" t="s">
        <v>0</v>
      </c>
    </row>
    <row r="12811" spans="1:1" x14ac:dyDescent="0.3">
      <c r="A12811" t="s">
        <v>0</v>
      </c>
    </row>
    <row r="12812" spans="1:1" x14ac:dyDescent="0.3">
      <c r="A12812" t="s">
        <v>0</v>
      </c>
    </row>
    <row r="12813" spans="1:1" x14ac:dyDescent="0.3">
      <c r="A12813" t="s">
        <v>0</v>
      </c>
    </row>
    <row r="12814" spans="1:1" x14ac:dyDescent="0.3">
      <c r="A12814" t="s">
        <v>0</v>
      </c>
    </row>
    <row r="12815" spans="1:1" x14ac:dyDescent="0.3">
      <c r="A12815" t="s">
        <v>0</v>
      </c>
    </row>
    <row r="12816" spans="1:1" x14ac:dyDescent="0.3">
      <c r="A12816" t="s">
        <v>0</v>
      </c>
    </row>
    <row r="12817" spans="1:1" x14ac:dyDescent="0.3">
      <c r="A12817" t="s">
        <v>0</v>
      </c>
    </row>
    <row r="12818" spans="1:1" x14ac:dyDescent="0.3">
      <c r="A12818" t="s">
        <v>0</v>
      </c>
    </row>
    <row r="12819" spans="1:1" x14ac:dyDescent="0.3">
      <c r="A12819" t="s">
        <v>0</v>
      </c>
    </row>
    <row r="12820" spans="1:1" x14ac:dyDescent="0.3">
      <c r="A12820" t="s">
        <v>0</v>
      </c>
    </row>
    <row r="12821" spans="1:1" x14ac:dyDescent="0.3">
      <c r="A12821" t="s">
        <v>0</v>
      </c>
    </row>
    <row r="12822" spans="1:1" x14ac:dyDescent="0.3">
      <c r="A12822" t="s">
        <v>0</v>
      </c>
    </row>
    <row r="12823" spans="1:1" x14ac:dyDescent="0.3">
      <c r="A12823" t="s">
        <v>0</v>
      </c>
    </row>
    <row r="12824" spans="1:1" x14ac:dyDescent="0.3">
      <c r="A12824" t="s">
        <v>0</v>
      </c>
    </row>
    <row r="12825" spans="1:1" x14ac:dyDescent="0.3">
      <c r="A12825" t="s">
        <v>0</v>
      </c>
    </row>
    <row r="12826" spans="1:1" x14ac:dyDescent="0.3">
      <c r="A12826" t="s">
        <v>0</v>
      </c>
    </row>
    <row r="12827" spans="1:1" x14ac:dyDescent="0.3">
      <c r="A12827" t="s">
        <v>0</v>
      </c>
    </row>
    <row r="12828" spans="1:1" x14ac:dyDescent="0.3">
      <c r="A12828" t="s">
        <v>0</v>
      </c>
    </row>
    <row r="12829" spans="1:1" x14ac:dyDescent="0.3">
      <c r="A12829" t="s">
        <v>0</v>
      </c>
    </row>
    <row r="12830" spans="1:1" x14ac:dyDescent="0.3">
      <c r="A12830" t="s">
        <v>0</v>
      </c>
    </row>
    <row r="12831" spans="1:1" x14ac:dyDescent="0.3">
      <c r="A12831" t="s">
        <v>0</v>
      </c>
    </row>
    <row r="12832" spans="1:1" x14ac:dyDescent="0.3">
      <c r="A12832" t="s">
        <v>0</v>
      </c>
    </row>
    <row r="12833" spans="1:1" x14ac:dyDescent="0.3">
      <c r="A12833" t="s">
        <v>0</v>
      </c>
    </row>
    <row r="12834" spans="1:1" x14ac:dyDescent="0.3">
      <c r="A12834" t="s">
        <v>0</v>
      </c>
    </row>
    <row r="12835" spans="1:1" x14ac:dyDescent="0.3">
      <c r="A12835" t="s">
        <v>0</v>
      </c>
    </row>
    <row r="12836" spans="1:1" x14ac:dyDescent="0.3">
      <c r="A12836" t="s">
        <v>0</v>
      </c>
    </row>
    <row r="12837" spans="1:1" x14ac:dyDescent="0.3">
      <c r="A12837" t="s">
        <v>0</v>
      </c>
    </row>
    <row r="12838" spans="1:1" x14ac:dyDescent="0.3">
      <c r="A12838" t="s">
        <v>0</v>
      </c>
    </row>
    <row r="12839" spans="1:1" x14ac:dyDescent="0.3">
      <c r="A12839" t="s">
        <v>0</v>
      </c>
    </row>
    <row r="12840" spans="1:1" x14ac:dyDescent="0.3">
      <c r="A12840" t="s">
        <v>0</v>
      </c>
    </row>
    <row r="12841" spans="1:1" x14ac:dyDescent="0.3">
      <c r="A12841" t="s">
        <v>0</v>
      </c>
    </row>
    <row r="12842" spans="1:1" x14ac:dyDescent="0.3">
      <c r="A12842" t="s">
        <v>0</v>
      </c>
    </row>
    <row r="12843" spans="1:1" x14ac:dyDescent="0.3">
      <c r="A12843" t="s">
        <v>0</v>
      </c>
    </row>
    <row r="12844" spans="1:1" x14ac:dyDescent="0.3">
      <c r="A12844" t="s">
        <v>0</v>
      </c>
    </row>
    <row r="12845" spans="1:1" x14ac:dyDescent="0.3">
      <c r="A12845" t="s">
        <v>0</v>
      </c>
    </row>
    <row r="12846" spans="1:1" x14ac:dyDescent="0.3">
      <c r="A12846" t="s">
        <v>0</v>
      </c>
    </row>
    <row r="12847" spans="1:1" x14ac:dyDescent="0.3">
      <c r="A12847" t="s">
        <v>0</v>
      </c>
    </row>
    <row r="12848" spans="1:1" x14ac:dyDescent="0.3">
      <c r="A12848" t="s">
        <v>0</v>
      </c>
    </row>
    <row r="12849" spans="1:1" x14ac:dyDescent="0.3">
      <c r="A12849" t="s">
        <v>0</v>
      </c>
    </row>
    <row r="12850" spans="1:1" x14ac:dyDescent="0.3">
      <c r="A12850" t="s">
        <v>0</v>
      </c>
    </row>
    <row r="12851" spans="1:1" x14ac:dyDescent="0.3">
      <c r="A12851" t="s">
        <v>0</v>
      </c>
    </row>
    <row r="12852" spans="1:1" x14ac:dyDescent="0.3">
      <c r="A12852" t="s">
        <v>0</v>
      </c>
    </row>
    <row r="12853" spans="1:1" x14ac:dyDescent="0.3">
      <c r="A12853" t="s">
        <v>0</v>
      </c>
    </row>
    <row r="12854" spans="1:1" x14ac:dyDescent="0.3">
      <c r="A12854" t="s">
        <v>0</v>
      </c>
    </row>
    <row r="12855" spans="1:1" x14ac:dyDescent="0.3">
      <c r="A12855" t="s">
        <v>0</v>
      </c>
    </row>
    <row r="12856" spans="1:1" x14ac:dyDescent="0.3">
      <c r="A12856" t="s">
        <v>0</v>
      </c>
    </row>
    <row r="12857" spans="1:1" x14ac:dyDescent="0.3">
      <c r="A12857" t="s">
        <v>0</v>
      </c>
    </row>
    <row r="12858" spans="1:1" x14ac:dyDescent="0.3">
      <c r="A12858" t="s">
        <v>0</v>
      </c>
    </row>
    <row r="12859" spans="1:1" x14ac:dyDescent="0.3">
      <c r="A12859" t="s">
        <v>0</v>
      </c>
    </row>
    <row r="12860" spans="1:1" x14ac:dyDescent="0.3">
      <c r="A12860" t="s">
        <v>0</v>
      </c>
    </row>
    <row r="12861" spans="1:1" x14ac:dyDescent="0.3">
      <c r="A12861" t="s">
        <v>0</v>
      </c>
    </row>
    <row r="12862" spans="1:1" x14ac:dyDescent="0.3">
      <c r="A12862" t="s">
        <v>0</v>
      </c>
    </row>
    <row r="12863" spans="1:1" x14ac:dyDescent="0.3">
      <c r="A12863" t="s">
        <v>0</v>
      </c>
    </row>
    <row r="12864" spans="1:1" x14ac:dyDescent="0.3">
      <c r="A12864" t="s">
        <v>0</v>
      </c>
    </row>
    <row r="12865" spans="1:1" x14ac:dyDescent="0.3">
      <c r="A12865" t="s">
        <v>0</v>
      </c>
    </row>
    <row r="12866" spans="1:1" x14ac:dyDescent="0.3">
      <c r="A12866" t="s">
        <v>0</v>
      </c>
    </row>
    <row r="12867" spans="1:1" x14ac:dyDescent="0.3">
      <c r="A12867" t="s">
        <v>0</v>
      </c>
    </row>
    <row r="12868" spans="1:1" x14ac:dyDescent="0.3">
      <c r="A12868" t="s">
        <v>0</v>
      </c>
    </row>
    <row r="12869" spans="1:1" x14ac:dyDescent="0.3">
      <c r="A12869" t="s">
        <v>0</v>
      </c>
    </row>
    <row r="12870" spans="1:1" x14ac:dyDescent="0.3">
      <c r="A12870" t="s">
        <v>0</v>
      </c>
    </row>
    <row r="12871" spans="1:1" x14ac:dyDescent="0.3">
      <c r="A12871" t="s">
        <v>0</v>
      </c>
    </row>
    <row r="12872" spans="1:1" x14ac:dyDescent="0.3">
      <c r="A12872" t="s">
        <v>0</v>
      </c>
    </row>
    <row r="12873" spans="1:1" x14ac:dyDescent="0.3">
      <c r="A12873" t="s">
        <v>0</v>
      </c>
    </row>
    <row r="12874" spans="1:1" x14ac:dyDescent="0.3">
      <c r="A12874" t="s">
        <v>0</v>
      </c>
    </row>
    <row r="12875" spans="1:1" x14ac:dyDescent="0.3">
      <c r="A12875" t="s">
        <v>0</v>
      </c>
    </row>
    <row r="12876" spans="1:1" x14ac:dyDescent="0.3">
      <c r="A12876" t="s">
        <v>0</v>
      </c>
    </row>
    <row r="12877" spans="1:1" x14ac:dyDescent="0.3">
      <c r="A12877" t="s">
        <v>0</v>
      </c>
    </row>
    <row r="12878" spans="1:1" x14ac:dyDescent="0.3">
      <c r="A12878" t="s">
        <v>0</v>
      </c>
    </row>
    <row r="12879" spans="1:1" x14ac:dyDescent="0.3">
      <c r="A12879" t="s">
        <v>0</v>
      </c>
    </row>
    <row r="12880" spans="1:1" x14ac:dyDescent="0.3">
      <c r="A12880" t="s">
        <v>0</v>
      </c>
    </row>
    <row r="12881" spans="1:1" x14ac:dyDescent="0.3">
      <c r="A12881" t="s">
        <v>0</v>
      </c>
    </row>
    <row r="12882" spans="1:1" x14ac:dyDescent="0.3">
      <c r="A12882" t="s">
        <v>0</v>
      </c>
    </row>
    <row r="12883" spans="1:1" x14ac:dyDescent="0.3">
      <c r="A12883" t="s">
        <v>0</v>
      </c>
    </row>
    <row r="12884" spans="1:1" x14ac:dyDescent="0.3">
      <c r="A12884" t="s">
        <v>0</v>
      </c>
    </row>
    <row r="12885" spans="1:1" x14ac:dyDescent="0.3">
      <c r="A12885" t="s">
        <v>0</v>
      </c>
    </row>
    <row r="12886" spans="1:1" x14ac:dyDescent="0.3">
      <c r="A12886" t="s">
        <v>0</v>
      </c>
    </row>
    <row r="12887" spans="1:1" x14ac:dyDescent="0.3">
      <c r="A12887" t="s">
        <v>0</v>
      </c>
    </row>
    <row r="12888" spans="1:1" x14ac:dyDescent="0.3">
      <c r="A12888" t="s">
        <v>0</v>
      </c>
    </row>
    <row r="12889" spans="1:1" x14ac:dyDescent="0.3">
      <c r="A12889" t="s">
        <v>0</v>
      </c>
    </row>
    <row r="12890" spans="1:1" x14ac:dyDescent="0.3">
      <c r="A12890" t="s">
        <v>0</v>
      </c>
    </row>
    <row r="12891" spans="1:1" x14ac:dyDescent="0.3">
      <c r="A12891" t="s">
        <v>0</v>
      </c>
    </row>
    <row r="12892" spans="1:1" x14ac:dyDescent="0.3">
      <c r="A12892" t="s">
        <v>0</v>
      </c>
    </row>
    <row r="12893" spans="1:1" x14ac:dyDescent="0.3">
      <c r="A12893" t="s">
        <v>0</v>
      </c>
    </row>
    <row r="12894" spans="1:1" x14ac:dyDescent="0.3">
      <c r="A12894" t="s">
        <v>0</v>
      </c>
    </row>
    <row r="12895" spans="1:1" x14ac:dyDescent="0.3">
      <c r="A12895" t="s">
        <v>0</v>
      </c>
    </row>
    <row r="12896" spans="1:1" x14ac:dyDescent="0.3">
      <c r="A12896" t="s">
        <v>0</v>
      </c>
    </row>
    <row r="12897" spans="1:1" x14ac:dyDescent="0.3">
      <c r="A12897" t="s">
        <v>0</v>
      </c>
    </row>
    <row r="12898" spans="1:1" x14ac:dyDescent="0.3">
      <c r="A12898" t="s">
        <v>0</v>
      </c>
    </row>
    <row r="12899" spans="1:1" x14ac:dyDescent="0.3">
      <c r="A12899" t="s">
        <v>0</v>
      </c>
    </row>
    <row r="12900" spans="1:1" x14ac:dyDescent="0.3">
      <c r="A12900" t="s">
        <v>0</v>
      </c>
    </row>
    <row r="12901" spans="1:1" x14ac:dyDescent="0.3">
      <c r="A12901" t="s">
        <v>0</v>
      </c>
    </row>
    <row r="12902" spans="1:1" x14ac:dyDescent="0.3">
      <c r="A12902" t="s">
        <v>0</v>
      </c>
    </row>
    <row r="12903" spans="1:1" x14ac:dyDescent="0.3">
      <c r="A12903" t="s">
        <v>0</v>
      </c>
    </row>
    <row r="12904" spans="1:1" x14ac:dyDescent="0.3">
      <c r="A12904" t="s">
        <v>0</v>
      </c>
    </row>
    <row r="12905" spans="1:1" x14ac:dyDescent="0.3">
      <c r="A12905" t="s">
        <v>0</v>
      </c>
    </row>
    <row r="12906" spans="1:1" x14ac:dyDescent="0.3">
      <c r="A12906" t="s">
        <v>0</v>
      </c>
    </row>
    <row r="12907" spans="1:1" x14ac:dyDescent="0.3">
      <c r="A12907" t="s">
        <v>0</v>
      </c>
    </row>
    <row r="12908" spans="1:1" x14ac:dyDescent="0.3">
      <c r="A12908" t="s">
        <v>0</v>
      </c>
    </row>
    <row r="12909" spans="1:1" x14ac:dyDescent="0.3">
      <c r="A12909" t="s">
        <v>0</v>
      </c>
    </row>
    <row r="12910" spans="1:1" x14ac:dyDescent="0.3">
      <c r="A12910" t="s">
        <v>0</v>
      </c>
    </row>
    <row r="12911" spans="1:1" x14ac:dyDescent="0.3">
      <c r="A12911" t="s">
        <v>0</v>
      </c>
    </row>
    <row r="12912" spans="1:1" x14ac:dyDescent="0.3">
      <c r="A12912" t="s">
        <v>0</v>
      </c>
    </row>
    <row r="12913" spans="1:1" x14ac:dyDescent="0.3">
      <c r="A12913" t="s">
        <v>0</v>
      </c>
    </row>
    <row r="12914" spans="1:1" x14ac:dyDescent="0.3">
      <c r="A12914" t="s">
        <v>0</v>
      </c>
    </row>
    <row r="12915" spans="1:1" x14ac:dyDescent="0.3">
      <c r="A12915" t="s">
        <v>0</v>
      </c>
    </row>
    <row r="12916" spans="1:1" x14ac:dyDescent="0.3">
      <c r="A12916" t="s">
        <v>0</v>
      </c>
    </row>
    <row r="12917" spans="1:1" x14ac:dyDescent="0.3">
      <c r="A12917" t="s">
        <v>0</v>
      </c>
    </row>
    <row r="12918" spans="1:1" x14ac:dyDescent="0.3">
      <c r="A12918" t="s">
        <v>0</v>
      </c>
    </row>
    <row r="12919" spans="1:1" x14ac:dyDescent="0.3">
      <c r="A12919" t="s">
        <v>0</v>
      </c>
    </row>
    <row r="12920" spans="1:1" x14ac:dyDescent="0.3">
      <c r="A12920" t="s">
        <v>0</v>
      </c>
    </row>
    <row r="12921" spans="1:1" x14ac:dyDescent="0.3">
      <c r="A12921" t="s">
        <v>0</v>
      </c>
    </row>
    <row r="12922" spans="1:1" x14ac:dyDescent="0.3">
      <c r="A12922" t="s">
        <v>0</v>
      </c>
    </row>
    <row r="12923" spans="1:1" x14ac:dyDescent="0.3">
      <c r="A12923" t="s">
        <v>0</v>
      </c>
    </row>
    <row r="12924" spans="1:1" x14ac:dyDescent="0.3">
      <c r="A12924" t="s">
        <v>0</v>
      </c>
    </row>
    <row r="12925" spans="1:1" x14ac:dyDescent="0.3">
      <c r="A12925" t="s">
        <v>0</v>
      </c>
    </row>
    <row r="12926" spans="1:1" x14ac:dyDescent="0.3">
      <c r="A12926" t="s">
        <v>0</v>
      </c>
    </row>
    <row r="12927" spans="1:1" x14ac:dyDescent="0.3">
      <c r="A12927" t="s">
        <v>0</v>
      </c>
    </row>
    <row r="12928" spans="1:1" x14ac:dyDescent="0.3">
      <c r="A12928" t="s">
        <v>0</v>
      </c>
    </row>
    <row r="12929" spans="1:1" x14ac:dyDescent="0.3">
      <c r="A12929" t="s">
        <v>0</v>
      </c>
    </row>
    <row r="12930" spans="1:1" x14ac:dyDescent="0.3">
      <c r="A12930" t="s">
        <v>0</v>
      </c>
    </row>
    <row r="12931" spans="1:1" x14ac:dyDescent="0.3">
      <c r="A12931" t="s">
        <v>0</v>
      </c>
    </row>
    <row r="12932" spans="1:1" x14ac:dyDescent="0.3">
      <c r="A12932" t="s">
        <v>0</v>
      </c>
    </row>
    <row r="12933" spans="1:1" x14ac:dyDescent="0.3">
      <c r="A12933" t="s">
        <v>0</v>
      </c>
    </row>
    <row r="12934" spans="1:1" x14ac:dyDescent="0.3">
      <c r="A12934" t="s">
        <v>0</v>
      </c>
    </row>
    <row r="12935" spans="1:1" x14ac:dyDescent="0.3">
      <c r="A12935" t="s">
        <v>0</v>
      </c>
    </row>
    <row r="12936" spans="1:1" x14ac:dyDescent="0.3">
      <c r="A12936" t="s">
        <v>0</v>
      </c>
    </row>
    <row r="12937" spans="1:1" x14ac:dyDescent="0.3">
      <c r="A12937" t="s">
        <v>0</v>
      </c>
    </row>
    <row r="12938" spans="1:1" x14ac:dyDescent="0.3">
      <c r="A12938" t="s">
        <v>0</v>
      </c>
    </row>
    <row r="12939" spans="1:1" x14ac:dyDescent="0.3">
      <c r="A12939" t="s">
        <v>0</v>
      </c>
    </row>
    <row r="12940" spans="1:1" x14ac:dyDescent="0.3">
      <c r="A12940" t="s">
        <v>0</v>
      </c>
    </row>
    <row r="12941" spans="1:1" x14ac:dyDescent="0.3">
      <c r="A12941" t="s">
        <v>0</v>
      </c>
    </row>
    <row r="12942" spans="1:1" x14ac:dyDescent="0.3">
      <c r="A12942" t="s">
        <v>0</v>
      </c>
    </row>
    <row r="12943" spans="1:1" x14ac:dyDescent="0.3">
      <c r="A12943" t="s">
        <v>0</v>
      </c>
    </row>
    <row r="12944" spans="1:1" x14ac:dyDescent="0.3">
      <c r="A12944" t="s">
        <v>0</v>
      </c>
    </row>
    <row r="12945" spans="1:1" x14ac:dyDescent="0.3">
      <c r="A12945" t="s">
        <v>0</v>
      </c>
    </row>
    <row r="12946" spans="1:1" x14ac:dyDescent="0.3">
      <c r="A12946" t="s">
        <v>0</v>
      </c>
    </row>
    <row r="12947" spans="1:1" x14ac:dyDescent="0.3">
      <c r="A12947" t="s">
        <v>0</v>
      </c>
    </row>
    <row r="12948" spans="1:1" x14ac:dyDescent="0.3">
      <c r="A12948" t="s">
        <v>0</v>
      </c>
    </row>
    <row r="12949" spans="1:1" x14ac:dyDescent="0.3">
      <c r="A12949" t="s">
        <v>0</v>
      </c>
    </row>
    <row r="12950" spans="1:1" x14ac:dyDescent="0.3">
      <c r="A12950" t="s">
        <v>0</v>
      </c>
    </row>
    <row r="12951" spans="1:1" x14ac:dyDescent="0.3">
      <c r="A12951" t="s">
        <v>0</v>
      </c>
    </row>
    <row r="12952" spans="1:1" x14ac:dyDescent="0.3">
      <c r="A12952" t="s">
        <v>0</v>
      </c>
    </row>
    <row r="12953" spans="1:1" x14ac:dyDescent="0.3">
      <c r="A12953" t="s">
        <v>0</v>
      </c>
    </row>
    <row r="12954" spans="1:1" x14ac:dyDescent="0.3">
      <c r="A12954" t="s">
        <v>0</v>
      </c>
    </row>
    <row r="12955" spans="1:1" x14ac:dyDescent="0.3">
      <c r="A12955" t="s">
        <v>0</v>
      </c>
    </row>
    <row r="12956" spans="1:1" x14ac:dyDescent="0.3">
      <c r="A12956" t="s">
        <v>0</v>
      </c>
    </row>
    <row r="12957" spans="1:1" x14ac:dyDescent="0.3">
      <c r="A12957" t="s">
        <v>0</v>
      </c>
    </row>
    <row r="12958" spans="1:1" x14ac:dyDescent="0.3">
      <c r="A12958" t="s">
        <v>0</v>
      </c>
    </row>
    <row r="12959" spans="1:1" x14ac:dyDescent="0.3">
      <c r="A12959" t="s">
        <v>0</v>
      </c>
    </row>
    <row r="12960" spans="1:1" x14ac:dyDescent="0.3">
      <c r="A12960" t="s">
        <v>0</v>
      </c>
    </row>
    <row r="12961" spans="1:1" x14ac:dyDescent="0.3">
      <c r="A12961" t="s">
        <v>0</v>
      </c>
    </row>
    <row r="12962" spans="1:1" x14ac:dyDescent="0.3">
      <c r="A12962" t="s">
        <v>0</v>
      </c>
    </row>
    <row r="12963" spans="1:1" x14ac:dyDescent="0.3">
      <c r="A12963" t="s">
        <v>0</v>
      </c>
    </row>
    <row r="12964" spans="1:1" x14ac:dyDescent="0.3">
      <c r="A12964" t="s">
        <v>0</v>
      </c>
    </row>
    <row r="12965" spans="1:1" x14ac:dyDescent="0.3">
      <c r="A12965" t="s">
        <v>0</v>
      </c>
    </row>
    <row r="12966" spans="1:1" x14ac:dyDescent="0.3">
      <c r="A12966" t="s">
        <v>0</v>
      </c>
    </row>
    <row r="12967" spans="1:1" x14ac:dyDescent="0.3">
      <c r="A12967" t="s">
        <v>0</v>
      </c>
    </row>
    <row r="12968" spans="1:1" x14ac:dyDescent="0.3">
      <c r="A12968" t="s">
        <v>0</v>
      </c>
    </row>
    <row r="12969" spans="1:1" x14ac:dyDescent="0.3">
      <c r="A12969" t="s">
        <v>0</v>
      </c>
    </row>
    <row r="12970" spans="1:1" x14ac:dyDescent="0.3">
      <c r="A12970" t="s">
        <v>0</v>
      </c>
    </row>
    <row r="12971" spans="1:1" x14ac:dyDescent="0.3">
      <c r="A12971" t="s">
        <v>0</v>
      </c>
    </row>
    <row r="12972" spans="1:1" x14ac:dyDescent="0.3">
      <c r="A12972" t="s">
        <v>0</v>
      </c>
    </row>
    <row r="12973" spans="1:1" x14ac:dyDescent="0.3">
      <c r="A12973" t="s">
        <v>0</v>
      </c>
    </row>
    <row r="12974" spans="1:1" x14ac:dyDescent="0.3">
      <c r="A12974" t="s">
        <v>0</v>
      </c>
    </row>
    <row r="12975" spans="1:1" x14ac:dyDescent="0.3">
      <c r="A12975" t="s">
        <v>0</v>
      </c>
    </row>
    <row r="12976" spans="1:1" x14ac:dyDescent="0.3">
      <c r="A12976" t="s">
        <v>0</v>
      </c>
    </row>
    <row r="12977" spans="1:1" x14ac:dyDescent="0.3">
      <c r="A12977" t="s">
        <v>0</v>
      </c>
    </row>
    <row r="12978" spans="1:1" x14ac:dyDescent="0.3">
      <c r="A12978" t="s">
        <v>0</v>
      </c>
    </row>
    <row r="12979" spans="1:1" x14ac:dyDescent="0.3">
      <c r="A12979" t="s">
        <v>0</v>
      </c>
    </row>
    <row r="12980" spans="1:1" x14ac:dyDescent="0.3">
      <c r="A12980" t="s">
        <v>0</v>
      </c>
    </row>
    <row r="12981" spans="1:1" x14ac:dyDescent="0.3">
      <c r="A12981" t="s">
        <v>0</v>
      </c>
    </row>
    <row r="12982" spans="1:1" x14ac:dyDescent="0.3">
      <c r="A12982" t="s">
        <v>0</v>
      </c>
    </row>
    <row r="12983" spans="1:1" x14ac:dyDescent="0.3">
      <c r="A12983" t="s">
        <v>0</v>
      </c>
    </row>
    <row r="12984" spans="1:1" x14ac:dyDescent="0.3">
      <c r="A12984" t="s">
        <v>0</v>
      </c>
    </row>
    <row r="12985" spans="1:1" x14ac:dyDescent="0.3">
      <c r="A12985" t="s">
        <v>0</v>
      </c>
    </row>
    <row r="12986" spans="1:1" x14ac:dyDescent="0.3">
      <c r="A12986" t="s">
        <v>0</v>
      </c>
    </row>
    <row r="12987" spans="1:1" x14ac:dyDescent="0.3">
      <c r="A12987" t="s">
        <v>0</v>
      </c>
    </row>
    <row r="12988" spans="1:1" x14ac:dyDescent="0.3">
      <c r="A12988" t="s">
        <v>0</v>
      </c>
    </row>
    <row r="12989" spans="1:1" x14ac:dyDescent="0.3">
      <c r="A12989" t="s">
        <v>0</v>
      </c>
    </row>
    <row r="12990" spans="1:1" x14ac:dyDescent="0.3">
      <c r="A12990" t="s">
        <v>0</v>
      </c>
    </row>
    <row r="12991" spans="1:1" x14ac:dyDescent="0.3">
      <c r="A12991" t="s">
        <v>0</v>
      </c>
    </row>
    <row r="12992" spans="1:1" x14ac:dyDescent="0.3">
      <c r="A12992" t="s">
        <v>0</v>
      </c>
    </row>
    <row r="12993" spans="1:1" x14ac:dyDescent="0.3">
      <c r="A12993" t="s">
        <v>0</v>
      </c>
    </row>
    <row r="12994" spans="1:1" x14ac:dyDescent="0.3">
      <c r="A12994" t="s">
        <v>0</v>
      </c>
    </row>
    <row r="12995" spans="1:1" x14ac:dyDescent="0.3">
      <c r="A12995" t="s">
        <v>0</v>
      </c>
    </row>
    <row r="12996" spans="1:1" x14ac:dyDescent="0.3">
      <c r="A12996" t="s">
        <v>0</v>
      </c>
    </row>
    <row r="12997" spans="1:1" x14ac:dyDescent="0.3">
      <c r="A12997" t="s">
        <v>0</v>
      </c>
    </row>
    <row r="12998" spans="1:1" x14ac:dyDescent="0.3">
      <c r="A12998" t="s">
        <v>0</v>
      </c>
    </row>
    <row r="12999" spans="1:1" x14ac:dyDescent="0.3">
      <c r="A12999" t="s">
        <v>0</v>
      </c>
    </row>
    <row r="13000" spans="1:1" x14ac:dyDescent="0.3">
      <c r="A13000" t="s">
        <v>0</v>
      </c>
    </row>
    <row r="13001" spans="1:1" x14ac:dyDescent="0.3">
      <c r="A13001" t="s">
        <v>0</v>
      </c>
    </row>
    <row r="13002" spans="1:1" x14ac:dyDescent="0.3">
      <c r="A13002" t="s">
        <v>0</v>
      </c>
    </row>
    <row r="13003" spans="1:1" x14ac:dyDescent="0.3">
      <c r="A13003" t="s">
        <v>0</v>
      </c>
    </row>
    <row r="13004" spans="1:1" x14ac:dyDescent="0.3">
      <c r="A13004" t="s">
        <v>0</v>
      </c>
    </row>
    <row r="13005" spans="1:1" x14ac:dyDescent="0.3">
      <c r="A13005" t="s">
        <v>0</v>
      </c>
    </row>
    <row r="13006" spans="1:1" x14ac:dyDescent="0.3">
      <c r="A13006" t="s">
        <v>0</v>
      </c>
    </row>
    <row r="13007" spans="1:1" x14ac:dyDescent="0.3">
      <c r="A13007" t="s">
        <v>0</v>
      </c>
    </row>
    <row r="13008" spans="1:1" x14ac:dyDescent="0.3">
      <c r="A13008" t="s">
        <v>0</v>
      </c>
    </row>
    <row r="13009" spans="1:1" x14ac:dyDescent="0.3">
      <c r="A13009" t="s">
        <v>0</v>
      </c>
    </row>
    <row r="13010" spans="1:1" x14ac:dyDescent="0.3">
      <c r="A13010" t="s">
        <v>0</v>
      </c>
    </row>
    <row r="13011" spans="1:1" x14ac:dyDescent="0.3">
      <c r="A13011" t="s">
        <v>0</v>
      </c>
    </row>
    <row r="13012" spans="1:1" x14ac:dyDescent="0.3">
      <c r="A13012" t="s">
        <v>0</v>
      </c>
    </row>
    <row r="13013" spans="1:1" x14ac:dyDescent="0.3">
      <c r="A13013" t="s">
        <v>0</v>
      </c>
    </row>
    <row r="13014" spans="1:1" x14ac:dyDescent="0.3">
      <c r="A13014" t="s">
        <v>0</v>
      </c>
    </row>
    <row r="13015" spans="1:1" x14ac:dyDescent="0.3">
      <c r="A13015" t="s">
        <v>0</v>
      </c>
    </row>
    <row r="13016" spans="1:1" x14ac:dyDescent="0.3">
      <c r="A13016" t="s">
        <v>0</v>
      </c>
    </row>
    <row r="13017" spans="1:1" x14ac:dyDescent="0.3">
      <c r="A13017" t="s">
        <v>0</v>
      </c>
    </row>
    <row r="13018" spans="1:1" x14ac:dyDescent="0.3">
      <c r="A13018" t="s">
        <v>0</v>
      </c>
    </row>
    <row r="13019" spans="1:1" x14ac:dyDescent="0.3">
      <c r="A13019" t="s">
        <v>0</v>
      </c>
    </row>
    <row r="13020" spans="1:1" x14ac:dyDescent="0.3">
      <c r="A13020" t="s">
        <v>0</v>
      </c>
    </row>
    <row r="13021" spans="1:1" x14ac:dyDescent="0.3">
      <c r="A13021" t="s">
        <v>0</v>
      </c>
    </row>
    <row r="13022" spans="1:1" x14ac:dyDescent="0.3">
      <c r="A13022" t="s">
        <v>0</v>
      </c>
    </row>
    <row r="13023" spans="1:1" x14ac:dyDescent="0.3">
      <c r="A13023" t="s">
        <v>0</v>
      </c>
    </row>
    <row r="13024" spans="1:1" x14ac:dyDescent="0.3">
      <c r="A13024" t="s">
        <v>0</v>
      </c>
    </row>
    <row r="13025" spans="1:1" x14ac:dyDescent="0.3">
      <c r="A13025" t="s">
        <v>0</v>
      </c>
    </row>
    <row r="13026" spans="1:1" x14ac:dyDescent="0.3">
      <c r="A13026" t="s">
        <v>0</v>
      </c>
    </row>
    <row r="13027" spans="1:1" x14ac:dyDescent="0.3">
      <c r="A13027" t="s">
        <v>0</v>
      </c>
    </row>
    <row r="13028" spans="1:1" x14ac:dyDescent="0.3">
      <c r="A13028" t="s">
        <v>0</v>
      </c>
    </row>
    <row r="13029" spans="1:1" x14ac:dyDescent="0.3">
      <c r="A13029" t="s">
        <v>0</v>
      </c>
    </row>
    <row r="13030" spans="1:1" x14ac:dyDescent="0.3">
      <c r="A13030" t="s">
        <v>0</v>
      </c>
    </row>
    <row r="13031" spans="1:1" x14ac:dyDescent="0.3">
      <c r="A13031" t="s">
        <v>0</v>
      </c>
    </row>
    <row r="13032" spans="1:1" x14ac:dyDescent="0.3">
      <c r="A13032" t="s">
        <v>0</v>
      </c>
    </row>
    <row r="13033" spans="1:1" x14ac:dyDescent="0.3">
      <c r="A13033" t="s">
        <v>0</v>
      </c>
    </row>
    <row r="13034" spans="1:1" x14ac:dyDescent="0.3">
      <c r="A13034" t="s">
        <v>0</v>
      </c>
    </row>
    <row r="13035" spans="1:1" x14ac:dyDescent="0.3">
      <c r="A13035" t="s">
        <v>0</v>
      </c>
    </row>
    <row r="13036" spans="1:1" x14ac:dyDescent="0.3">
      <c r="A13036" t="s">
        <v>0</v>
      </c>
    </row>
    <row r="13037" spans="1:1" x14ac:dyDescent="0.3">
      <c r="A13037" t="s">
        <v>0</v>
      </c>
    </row>
    <row r="13038" spans="1:1" x14ac:dyDescent="0.3">
      <c r="A13038" t="s">
        <v>0</v>
      </c>
    </row>
    <row r="13039" spans="1:1" x14ac:dyDescent="0.3">
      <c r="A13039" t="s">
        <v>0</v>
      </c>
    </row>
    <row r="13040" spans="1:1" x14ac:dyDescent="0.3">
      <c r="A13040" t="s">
        <v>0</v>
      </c>
    </row>
    <row r="13041" spans="1:1" x14ac:dyDescent="0.3">
      <c r="A13041" t="s">
        <v>0</v>
      </c>
    </row>
    <row r="13042" spans="1:1" x14ac:dyDescent="0.3">
      <c r="A13042" t="s">
        <v>0</v>
      </c>
    </row>
    <row r="13043" spans="1:1" x14ac:dyDescent="0.3">
      <c r="A13043" t="s">
        <v>0</v>
      </c>
    </row>
    <row r="13044" spans="1:1" x14ac:dyDescent="0.3">
      <c r="A13044" t="s">
        <v>0</v>
      </c>
    </row>
    <row r="13045" spans="1:1" x14ac:dyDescent="0.3">
      <c r="A13045" t="s">
        <v>0</v>
      </c>
    </row>
    <row r="13046" spans="1:1" x14ac:dyDescent="0.3">
      <c r="A13046" t="s">
        <v>0</v>
      </c>
    </row>
    <row r="13047" spans="1:1" x14ac:dyDescent="0.3">
      <c r="A13047" t="s">
        <v>0</v>
      </c>
    </row>
    <row r="13048" spans="1:1" x14ac:dyDescent="0.3">
      <c r="A13048" t="s">
        <v>0</v>
      </c>
    </row>
    <row r="13049" spans="1:1" x14ac:dyDescent="0.3">
      <c r="A13049" t="s">
        <v>0</v>
      </c>
    </row>
    <row r="13050" spans="1:1" x14ac:dyDescent="0.3">
      <c r="A13050" t="s">
        <v>0</v>
      </c>
    </row>
    <row r="13051" spans="1:1" x14ac:dyDescent="0.3">
      <c r="A13051" t="s">
        <v>0</v>
      </c>
    </row>
    <row r="13052" spans="1:1" x14ac:dyDescent="0.3">
      <c r="A13052" t="s">
        <v>0</v>
      </c>
    </row>
    <row r="13053" spans="1:1" x14ac:dyDescent="0.3">
      <c r="A13053" t="s">
        <v>0</v>
      </c>
    </row>
    <row r="13054" spans="1:1" x14ac:dyDescent="0.3">
      <c r="A13054" t="s">
        <v>0</v>
      </c>
    </row>
    <row r="13055" spans="1:1" x14ac:dyDescent="0.3">
      <c r="A13055" t="s">
        <v>0</v>
      </c>
    </row>
    <row r="13056" spans="1:1" x14ac:dyDescent="0.3">
      <c r="A13056" t="s">
        <v>0</v>
      </c>
    </row>
    <row r="13057" spans="1:1" x14ac:dyDescent="0.3">
      <c r="A13057" t="s">
        <v>0</v>
      </c>
    </row>
    <row r="13058" spans="1:1" x14ac:dyDescent="0.3">
      <c r="A13058" t="s">
        <v>0</v>
      </c>
    </row>
    <row r="13059" spans="1:1" x14ac:dyDescent="0.3">
      <c r="A13059" t="s">
        <v>0</v>
      </c>
    </row>
    <row r="13060" spans="1:1" x14ac:dyDescent="0.3">
      <c r="A13060" t="s">
        <v>0</v>
      </c>
    </row>
    <row r="13061" spans="1:1" x14ac:dyDescent="0.3">
      <c r="A13061" t="s">
        <v>0</v>
      </c>
    </row>
    <row r="13062" spans="1:1" x14ac:dyDescent="0.3">
      <c r="A13062" t="s">
        <v>0</v>
      </c>
    </row>
    <row r="13063" spans="1:1" x14ac:dyDescent="0.3">
      <c r="A13063" t="s">
        <v>0</v>
      </c>
    </row>
    <row r="13064" spans="1:1" x14ac:dyDescent="0.3">
      <c r="A13064" t="s">
        <v>0</v>
      </c>
    </row>
    <row r="13065" spans="1:1" x14ac:dyDescent="0.3">
      <c r="A13065" t="s">
        <v>0</v>
      </c>
    </row>
    <row r="13066" spans="1:1" x14ac:dyDescent="0.3">
      <c r="A13066" t="s">
        <v>0</v>
      </c>
    </row>
    <row r="13067" spans="1:1" x14ac:dyDescent="0.3">
      <c r="A13067" t="s">
        <v>0</v>
      </c>
    </row>
    <row r="13068" spans="1:1" x14ac:dyDescent="0.3">
      <c r="A13068" t="s">
        <v>0</v>
      </c>
    </row>
    <row r="13069" spans="1:1" x14ac:dyDescent="0.3">
      <c r="A13069" t="s">
        <v>0</v>
      </c>
    </row>
    <row r="13070" spans="1:1" x14ac:dyDescent="0.3">
      <c r="A13070" t="s">
        <v>0</v>
      </c>
    </row>
    <row r="13071" spans="1:1" x14ac:dyDescent="0.3">
      <c r="A13071" t="s">
        <v>0</v>
      </c>
    </row>
    <row r="13072" spans="1:1" x14ac:dyDescent="0.3">
      <c r="A13072" t="s">
        <v>0</v>
      </c>
    </row>
    <row r="13073" spans="1:1" x14ac:dyDescent="0.3">
      <c r="A13073" t="s">
        <v>0</v>
      </c>
    </row>
    <row r="13074" spans="1:1" x14ac:dyDescent="0.3">
      <c r="A13074" t="s">
        <v>0</v>
      </c>
    </row>
    <row r="13075" spans="1:1" x14ac:dyDescent="0.3">
      <c r="A13075" t="s">
        <v>0</v>
      </c>
    </row>
    <row r="13076" spans="1:1" x14ac:dyDescent="0.3">
      <c r="A13076" t="s">
        <v>0</v>
      </c>
    </row>
    <row r="13077" spans="1:1" x14ac:dyDescent="0.3">
      <c r="A13077" t="s">
        <v>0</v>
      </c>
    </row>
    <row r="13078" spans="1:1" x14ac:dyDescent="0.3">
      <c r="A13078" t="s">
        <v>0</v>
      </c>
    </row>
    <row r="13079" spans="1:1" x14ac:dyDescent="0.3">
      <c r="A13079" t="s">
        <v>0</v>
      </c>
    </row>
    <row r="13080" spans="1:1" x14ac:dyDescent="0.3">
      <c r="A13080" t="s">
        <v>0</v>
      </c>
    </row>
    <row r="13081" spans="1:1" x14ac:dyDescent="0.3">
      <c r="A13081" t="s">
        <v>0</v>
      </c>
    </row>
    <row r="13082" spans="1:1" x14ac:dyDescent="0.3">
      <c r="A13082" t="s">
        <v>0</v>
      </c>
    </row>
    <row r="13083" spans="1:1" x14ac:dyDescent="0.3">
      <c r="A13083" t="s">
        <v>0</v>
      </c>
    </row>
    <row r="13084" spans="1:1" x14ac:dyDescent="0.3">
      <c r="A13084" t="s">
        <v>0</v>
      </c>
    </row>
    <row r="13085" spans="1:1" x14ac:dyDescent="0.3">
      <c r="A13085" t="s">
        <v>0</v>
      </c>
    </row>
    <row r="13086" spans="1:1" x14ac:dyDescent="0.3">
      <c r="A13086" t="s">
        <v>0</v>
      </c>
    </row>
    <row r="13087" spans="1:1" x14ac:dyDescent="0.3">
      <c r="A13087" t="s">
        <v>0</v>
      </c>
    </row>
    <row r="13088" spans="1:1" x14ac:dyDescent="0.3">
      <c r="A13088" t="s">
        <v>0</v>
      </c>
    </row>
    <row r="13089" spans="1:1" x14ac:dyDescent="0.3">
      <c r="A13089" t="s">
        <v>0</v>
      </c>
    </row>
    <row r="13090" spans="1:1" x14ac:dyDescent="0.3">
      <c r="A13090" t="s">
        <v>0</v>
      </c>
    </row>
    <row r="13091" spans="1:1" x14ac:dyDescent="0.3">
      <c r="A13091" t="s">
        <v>0</v>
      </c>
    </row>
    <row r="13092" spans="1:1" x14ac:dyDescent="0.3">
      <c r="A13092" t="s">
        <v>0</v>
      </c>
    </row>
    <row r="13093" spans="1:1" x14ac:dyDescent="0.3">
      <c r="A13093" t="s">
        <v>0</v>
      </c>
    </row>
    <row r="13094" spans="1:1" x14ac:dyDescent="0.3">
      <c r="A13094" t="s">
        <v>0</v>
      </c>
    </row>
    <row r="13095" spans="1:1" x14ac:dyDescent="0.3">
      <c r="A13095" t="s">
        <v>0</v>
      </c>
    </row>
    <row r="13096" spans="1:1" x14ac:dyDescent="0.3">
      <c r="A13096" t="s">
        <v>0</v>
      </c>
    </row>
    <row r="13097" spans="1:1" x14ac:dyDescent="0.3">
      <c r="A13097" t="s">
        <v>0</v>
      </c>
    </row>
    <row r="13098" spans="1:1" x14ac:dyDescent="0.3">
      <c r="A13098" t="s">
        <v>0</v>
      </c>
    </row>
    <row r="13099" spans="1:1" x14ac:dyDescent="0.3">
      <c r="A13099" t="s">
        <v>0</v>
      </c>
    </row>
    <row r="13100" spans="1:1" x14ac:dyDescent="0.3">
      <c r="A13100" t="s">
        <v>0</v>
      </c>
    </row>
    <row r="13101" spans="1:1" x14ac:dyDescent="0.3">
      <c r="A13101" t="s">
        <v>0</v>
      </c>
    </row>
    <row r="13102" spans="1:1" x14ac:dyDescent="0.3">
      <c r="A13102" t="s">
        <v>0</v>
      </c>
    </row>
    <row r="13103" spans="1:1" x14ac:dyDescent="0.3">
      <c r="A13103" t="s">
        <v>0</v>
      </c>
    </row>
    <row r="13104" spans="1:1" x14ac:dyDescent="0.3">
      <c r="A13104" t="s">
        <v>0</v>
      </c>
    </row>
    <row r="13105" spans="1:1" x14ac:dyDescent="0.3">
      <c r="A13105" t="s">
        <v>0</v>
      </c>
    </row>
    <row r="13106" spans="1:1" x14ac:dyDescent="0.3">
      <c r="A13106" t="s">
        <v>0</v>
      </c>
    </row>
    <row r="13107" spans="1:1" x14ac:dyDescent="0.3">
      <c r="A13107" t="s">
        <v>0</v>
      </c>
    </row>
    <row r="13108" spans="1:1" x14ac:dyDescent="0.3">
      <c r="A13108" t="s">
        <v>0</v>
      </c>
    </row>
    <row r="13109" spans="1:1" x14ac:dyDescent="0.3">
      <c r="A13109" t="s">
        <v>0</v>
      </c>
    </row>
    <row r="13110" spans="1:1" x14ac:dyDescent="0.3">
      <c r="A13110" t="s">
        <v>0</v>
      </c>
    </row>
    <row r="13111" spans="1:1" x14ac:dyDescent="0.3">
      <c r="A13111" t="s">
        <v>0</v>
      </c>
    </row>
    <row r="13112" spans="1:1" x14ac:dyDescent="0.3">
      <c r="A13112" t="s">
        <v>0</v>
      </c>
    </row>
    <row r="13113" spans="1:1" x14ac:dyDescent="0.3">
      <c r="A13113" t="s">
        <v>0</v>
      </c>
    </row>
    <row r="13114" spans="1:1" x14ac:dyDescent="0.3">
      <c r="A13114" t="s">
        <v>0</v>
      </c>
    </row>
    <row r="13115" spans="1:1" x14ac:dyDescent="0.3">
      <c r="A13115" t="s">
        <v>0</v>
      </c>
    </row>
    <row r="13116" spans="1:1" x14ac:dyDescent="0.3">
      <c r="A13116" t="s">
        <v>0</v>
      </c>
    </row>
    <row r="13117" spans="1:1" x14ac:dyDescent="0.3">
      <c r="A13117" t="s">
        <v>0</v>
      </c>
    </row>
    <row r="13118" spans="1:1" x14ac:dyDescent="0.3">
      <c r="A13118" t="s">
        <v>0</v>
      </c>
    </row>
    <row r="13119" spans="1:1" x14ac:dyDescent="0.3">
      <c r="A13119" t="s">
        <v>0</v>
      </c>
    </row>
    <row r="13120" spans="1:1" x14ac:dyDescent="0.3">
      <c r="A13120" t="s">
        <v>0</v>
      </c>
    </row>
    <row r="13121" spans="1:1" x14ac:dyDescent="0.3">
      <c r="A13121" t="s">
        <v>0</v>
      </c>
    </row>
    <row r="13122" spans="1:1" x14ac:dyDescent="0.3">
      <c r="A13122" t="s">
        <v>0</v>
      </c>
    </row>
    <row r="13123" spans="1:1" x14ac:dyDescent="0.3">
      <c r="A13123" t="s">
        <v>0</v>
      </c>
    </row>
    <row r="13124" spans="1:1" x14ac:dyDescent="0.3">
      <c r="A13124" t="s">
        <v>0</v>
      </c>
    </row>
    <row r="13125" spans="1:1" x14ac:dyDescent="0.3">
      <c r="A13125" t="s">
        <v>0</v>
      </c>
    </row>
    <row r="13126" spans="1:1" x14ac:dyDescent="0.3">
      <c r="A13126" t="s">
        <v>0</v>
      </c>
    </row>
    <row r="13127" spans="1:1" x14ac:dyDescent="0.3">
      <c r="A13127" t="s">
        <v>0</v>
      </c>
    </row>
    <row r="13128" spans="1:1" x14ac:dyDescent="0.3">
      <c r="A13128" t="s">
        <v>0</v>
      </c>
    </row>
    <row r="13129" spans="1:1" x14ac:dyDescent="0.3">
      <c r="A13129" t="s">
        <v>0</v>
      </c>
    </row>
    <row r="13130" spans="1:1" x14ac:dyDescent="0.3">
      <c r="A13130" t="s">
        <v>0</v>
      </c>
    </row>
    <row r="13131" spans="1:1" x14ac:dyDescent="0.3">
      <c r="A13131" t="s">
        <v>0</v>
      </c>
    </row>
    <row r="13132" spans="1:1" x14ac:dyDescent="0.3">
      <c r="A13132" t="s">
        <v>0</v>
      </c>
    </row>
    <row r="13133" spans="1:1" x14ac:dyDescent="0.3">
      <c r="A13133" t="s">
        <v>0</v>
      </c>
    </row>
    <row r="13134" spans="1:1" x14ac:dyDescent="0.3">
      <c r="A13134" t="s">
        <v>0</v>
      </c>
    </row>
    <row r="13135" spans="1:1" x14ac:dyDescent="0.3">
      <c r="A13135" t="s">
        <v>0</v>
      </c>
    </row>
    <row r="13136" spans="1:1" x14ac:dyDescent="0.3">
      <c r="A13136" t="s">
        <v>0</v>
      </c>
    </row>
    <row r="13137" spans="1:1" x14ac:dyDescent="0.3">
      <c r="A13137" t="s">
        <v>0</v>
      </c>
    </row>
    <row r="13138" spans="1:1" x14ac:dyDescent="0.3">
      <c r="A13138" t="s">
        <v>0</v>
      </c>
    </row>
    <row r="13139" spans="1:1" x14ac:dyDescent="0.3">
      <c r="A13139" t="s">
        <v>0</v>
      </c>
    </row>
    <row r="13140" spans="1:1" x14ac:dyDescent="0.3">
      <c r="A13140" t="s">
        <v>0</v>
      </c>
    </row>
    <row r="13141" spans="1:1" x14ac:dyDescent="0.3">
      <c r="A13141" t="s">
        <v>0</v>
      </c>
    </row>
    <row r="13142" spans="1:1" x14ac:dyDescent="0.3">
      <c r="A13142" t="s">
        <v>0</v>
      </c>
    </row>
    <row r="13143" spans="1:1" x14ac:dyDescent="0.3">
      <c r="A13143" t="s">
        <v>0</v>
      </c>
    </row>
    <row r="13144" spans="1:1" x14ac:dyDescent="0.3">
      <c r="A13144" t="s">
        <v>0</v>
      </c>
    </row>
    <row r="13145" spans="1:1" x14ac:dyDescent="0.3">
      <c r="A13145" t="s">
        <v>0</v>
      </c>
    </row>
    <row r="13146" spans="1:1" x14ac:dyDescent="0.3">
      <c r="A13146" t="s">
        <v>0</v>
      </c>
    </row>
    <row r="13147" spans="1:1" x14ac:dyDescent="0.3">
      <c r="A13147" t="s">
        <v>0</v>
      </c>
    </row>
    <row r="13148" spans="1:1" x14ac:dyDescent="0.3">
      <c r="A13148" t="s">
        <v>0</v>
      </c>
    </row>
    <row r="13149" spans="1:1" x14ac:dyDescent="0.3">
      <c r="A13149" t="s">
        <v>0</v>
      </c>
    </row>
    <row r="13150" spans="1:1" x14ac:dyDescent="0.3">
      <c r="A13150" t="s">
        <v>0</v>
      </c>
    </row>
    <row r="13151" spans="1:1" x14ac:dyDescent="0.3">
      <c r="A13151" t="s">
        <v>0</v>
      </c>
    </row>
    <row r="13152" spans="1:1" x14ac:dyDescent="0.3">
      <c r="A13152" t="s">
        <v>0</v>
      </c>
    </row>
    <row r="13153" spans="1:1" x14ac:dyDescent="0.3">
      <c r="A13153" t="s">
        <v>0</v>
      </c>
    </row>
    <row r="13154" spans="1:1" x14ac:dyDescent="0.3">
      <c r="A13154" t="s">
        <v>0</v>
      </c>
    </row>
    <row r="13155" spans="1:1" x14ac:dyDescent="0.3">
      <c r="A13155" t="s">
        <v>0</v>
      </c>
    </row>
    <row r="13156" spans="1:1" x14ac:dyDescent="0.3">
      <c r="A13156" t="s">
        <v>0</v>
      </c>
    </row>
    <row r="13157" spans="1:1" x14ac:dyDescent="0.3">
      <c r="A13157" t="s">
        <v>0</v>
      </c>
    </row>
    <row r="13158" spans="1:1" x14ac:dyDescent="0.3">
      <c r="A13158" t="s">
        <v>0</v>
      </c>
    </row>
    <row r="13159" spans="1:1" x14ac:dyDescent="0.3">
      <c r="A13159" t="s">
        <v>0</v>
      </c>
    </row>
    <row r="13160" spans="1:1" x14ac:dyDescent="0.3">
      <c r="A13160" t="s">
        <v>0</v>
      </c>
    </row>
    <row r="13161" spans="1:1" x14ac:dyDescent="0.3">
      <c r="A13161" t="s">
        <v>0</v>
      </c>
    </row>
    <row r="13162" spans="1:1" x14ac:dyDescent="0.3">
      <c r="A13162" t="s">
        <v>0</v>
      </c>
    </row>
    <row r="13163" spans="1:1" x14ac:dyDescent="0.3">
      <c r="A13163" t="s">
        <v>0</v>
      </c>
    </row>
    <row r="13164" spans="1:1" x14ac:dyDescent="0.3">
      <c r="A13164" t="s">
        <v>0</v>
      </c>
    </row>
    <row r="13165" spans="1:1" x14ac:dyDescent="0.3">
      <c r="A13165" t="s">
        <v>0</v>
      </c>
    </row>
    <row r="13166" spans="1:1" x14ac:dyDescent="0.3">
      <c r="A13166" t="s">
        <v>0</v>
      </c>
    </row>
    <row r="13167" spans="1:1" x14ac:dyDescent="0.3">
      <c r="A13167" t="s">
        <v>0</v>
      </c>
    </row>
    <row r="13168" spans="1:1" x14ac:dyDescent="0.3">
      <c r="A13168" t="s">
        <v>0</v>
      </c>
    </row>
    <row r="13169" spans="1:1" x14ac:dyDescent="0.3">
      <c r="A13169" t="s">
        <v>0</v>
      </c>
    </row>
    <row r="13170" spans="1:1" x14ac:dyDescent="0.3">
      <c r="A13170" t="s">
        <v>0</v>
      </c>
    </row>
    <row r="13171" spans="1:1" x14ac:dyDescent="0.3">
      <c r="A13171" t="s">
        <v>0</v>
      </c>
    </row>
    <row r="13172" spans="1:1" x14ac:dyDescent="0.3">
      <c r="A13172" t="s">
        <v>0</v>
      </c>
    </row>
    <row r="13173" spans="1:1" x14ac:dyDescent="0.3">
      <c r="A13173" t="s">
        <v>0</v>
      </c>
    </row>
    <row r="13174" spans="1:1" x14ac:dyDescent="0.3">
      <c r="A13174" t="s">
        <v>0</v>
      </c>
    </row>
    <row r="13175" spans="1:1" x14ac:dyDescent="0.3">
      <c r="A13175" t="s">
        <v>0</v>
      </c>
    </row>
    <row r="13176" spans="1:1" x14ac:dyDescent="0.3">
      <c r="A13176" t="s">
        <v>0</v>
      </c>
    </row>
    <row r="13177" spans="1:1" x14ac:dyDescent="0.3">
      <c r="A13177" t="s">
        <v>0</v>
      </c>
    </row>
    <row r="13178" spans="1:1" x14ac:dyDescent="0.3">
      <c r="A13178" t="s">
        <v>0</v>
      </c>
    </row>
    <row r="13179" spans="1:1" x14ac:dyDescent="0.3">
      <c r="A13179" t="s">
        <v>0</v>
      </c>
    </row>
    <row r="13180" spans="1:1" x14ac:dyDescent="0.3">
      <c r="A13180" t="s">
        <v>0</v>
      </c>
    </row>
    <row r="13181" spans="1:1" x14ac:dyDescent="0.3">
      <c r="A13181" t="s">
        <v>0</v>
      </c>
    </row>
    <row r="13182" spans="1:1" x14ac:dyDescent="0.3">
      <c r="A13182" t="s">
        <v>0</v>
      </c>
    </row>
    <row r="13183" spans="1:1" x14ac:dyDescent="0.3">
      <c r="A13183" t="s">
        <v>0</v>
      </c>
    </row>
    <row r="13184" spans="1:1" x14ac:dyDescent="0.3">
      <c r="A13184" t="s">
        <v>0</v>
      </c>
    </row>
    <row r="13185" spans="1:1" x14ac:dyDescent="0.3">
      <c r="A13185" t="s">
        <v>0</v>
      </c>
    </row>
    <row r="13186" spans="1:1" x14ac:dyDescent="0.3">
      <c r="A13186" t="s">
        <v>0</v>
      </c>
    </row>
    <row r="13187" spans="1:1" x14ac:dyDescent="0.3">
      <c r="A13187" t="s">
        <v>0</v>
      </c>
    </row>
    <row r="13188" spans="1:1" x14ac:dyDescent="0.3">
      <c r="A13188" t="s">
        <v>0</v>
      </c>
    </row>
    <row r="13189" spans="1:1" x14ac:dyDescent="0.3">
      <c r="A13189" t="s">
        <v>0</v>
      </c>
    </row>
    <row r="13190" spans="1:1" x14ac:dyDescent="0.3">
      <c r="A13190" t="s">
        <v>0</v>
      </c>
    </row>
    <row r="13191" spans="1:1" x14ac:dyDescent="0.3">
      <c r="A13191" t="s">
        <v>0</v>
      </c>
    </row>
    <row r="13192" spans="1:1" x14ac:dyDescent="0.3">
      <c r="A13192" t="s">
        <v>0</v>
      </c>
    </row>
    <row r="13193" spans="1:1" x14ac:dyDescent="0.3">
      <c r="A13193" t="s">
        <v>0</v>
      </c>
    </row>
    <row r="13194" spans="1:1" x14ac:dyDescent="0.3">
      <c r="A13194" t="s">
        <v>0</v>
      </c>
    </row>
    <row r="13195" spans="1:1" x14ac:dyDescent="0.3">
      <c r="A13195" t="s">
        <v>0</v>
      </c>
    </row>
    <row r="13196" spans="1:1" x14ac:dyDescent="0.3">
      <c r="A13196" t="s">
        <v>0</v>
      </c>
    </row>
    <row r="13197" spans="1:1" x14ac:dyDescent="0.3">
      <c r="A13197" t="s">
        <v>0</v>
      </c>
    </row>
    <row r="13198" spans="1:1" x14ac:dyDescent="0.3">
      <c r="A13198" t="s">
        <v>0</v>
      </c>
    </row>
    <row r="13199" spans="1:1" x14ac:dyDescent="0.3">
      <c r="A13199" t="s">
        <v>0</v>
      </c>
    </row>
    <row r="13200" spans="1:1" x14ac:dyDescent="0.3">
      <c r="A13200" t="s">
        <v>0</v>
      </c>
    </row>
    <row r="13201" spans="1:1" x14ac:dyDescent="0.3">
      <c r="A13201" t="s">
        <v>0</v>
      </c>
    </row>
    <row r="13202" spans="1:1" x14ac:dyDescent="0.3">
      <c r="A13202" t="s">
        <v>0</v>
      </c>
    </row>
    <row r="13203" spans="1:1" x14ac:dyDescent="0.3">
      <c r="A13203" t="s">
        <v>0</v>
      </c>
    </row>
    <row r="13204" spans="1:1" x14ac:dyDescent="0.3">
      <c r="A13204" t="s">
        <v>0</v>
      </c>
    </row>
    <row r="13205" spans="1:1" x14ac:dyDescent="0.3">
      <c r="A13205" t="s">
        <v>0</v>
      </c>
    </row>
    <row r="13206" spans="1:1" x14ac:dyDescent="0.3">
      <c r="A13206" t="s">
        <v>0</v>
      </c>
    </row>
    <row r="13207" spans="1:1" x14ac:dyDescent="0.3">
      <c r="A13207" t="s">
        <v>0</v>
      </c>
    </row>
    <row r="13208" spans="1:1" x14ac:dyDescent="0.3">
      <c r="A13208" t="s">
        <v>0</v>
      </c>
    </row>
    <row r="13209" spans="1:1" x14ac:dyDescent="0.3">
      <c r="A13209" t="s">
        <v>0</v>
      </c>
    </row>
    <row r="13210" spans="1:1" x14ac:dyDescent="0.3">
      <c r="A13210" t="s">
        <v>0</v>
      </c>
    </row>
    <row r="13211" spans="1:1" x14ac:dyDescent="0.3">
      <c r="A13211" t="s">
        <v>0</v>
      </c>
    </row>
    <row r="13212" spans="1:1" x14ac:dyDescent="0.3">
      <c r="A13212" t="s">
        <v>0</v>
      </c>
    </row>
    <row r="13213" spans="1:1" x14ac:dyDescent="0.3">
      <c r="A13213" t="s">
        <v>0</v>
      </c>
    </row>
    <row r="13214" spans="1:1" x14ac:dyDescent="0.3">
      <c r="A13214" t="s">
        <v>0</v>
      </c>
    </row>
    <row r="13215" spans="1:1" x14ac:dyDescent="0.3">
      <c r="A13215" t="s">
        <v>0</v>
      </c>
    </row>
    <row r="13216" spans="1:1" x14ac:dyDescent="0.3">
      <c r="A13216" t="s">
        <v>0</v>
      </c>
    </row>
    <row r="13217" spans="1:1" x14ac:dyDescent="0.3">
      <c r="A13217" t="s">
        <v>0</v>
      </c>
    </row>
    <row r="13218" spans="1:1" x14ac:dyDescent="0.3">
      <c r="A13218" t="s">
        <v>0</v>
      </c>
    </row>
    <row r="13219" spans="1:1" x14ac:dyDescent="0.3">
      <c r="A13219" t="s">
        <v>0</v>
      </c>
    </row>
    <row r="13220" spans="1:1" x14ac:dyDescent="0.3">
      <c r="A13220" t="s">
        <v>0</v>
      </c>
    </row>
    <row r="13221" spans="1:1" x14ac:dyDescent="0.3">
      <c r="A13221" t="s">
        <v>0</v>
      </c>
    </row>
    <row r="13222" spans="1:1" x14ac:dyDescent="0.3">
      <c r="A13222" t="s">
        <v>0</v>
      </c>
    </row>
    <row r="13223" spans="1:1" x14ac:dyDescent="0.3">
      <c r="A13223" t="s">
        <v>0</v>
      </c>
    </row>
    <row r="13224" spans="1:1" x14ac:dyDescent="0.3">
      <c r="A13224" t="s">
        <v>0</v>
      </c>
    </row>
    <row r="13225" spans="1:1" x14ac:dyDescent="0.3">
      <c r="A13225" t="s">
        <v>0</v>
      </c>
    </row>
    <row r="13226" spans="1:1" x14ac:dyDescent="0.3">
      <c r="A13226" t="s">
        <v>0</v>
      </c>
    </row>
    <row r="13227" spans="1:1" x14ac:dyDescent="0.3">
      <c r="A13227" t="s">
        <v>0</v>
      </c>
    </row>
    <row r="13228" spans="1:1" x14ac:dyDescent="0.3">
      <c r="A13228" t="s">
        <v>0</v>
      </c>
    </row>
    <row r="13229" spans="1:1" x14ac:dyDescent="0.3">
      <c r="A13229" t="s">
        <v>0</v>
      </c>
    </row>
    <row r="13230" spans="1:1" x14ac:dyDescent="0.3">
      <c r="A13230" t="s">
        <v>0</v>
      </c>
    </row>
    <row r="13231" spans="1:1" x14ac:dyDescent="0.3">
      <c r="A13231" t="s">
        <v>0</v>
      </c>
    </row>
    <row r="13232" spans="1:1" x14ac:dyDescent="0.3">
      <c r="A13232" t="s">
        <v>0</v>
      </c>
    </row>
    <row r="13233" spans="1:1" x14ac:dyDescent="0.3">
      <c r="A13233" t="s">
        <v>0</v>
      </c>
    </row>
    <row r="13234" spans="1:1" x14ac:dyDescent="0.3">
      <c r="A13234" t="s">
        <v>0</v>
      </c>
    </row>
    <row r="13235" spans="1:1" x14ac:dyDescent="0.3">
      <c r="A13235" t="s">
        <v>0</v>
      </c>
    </row>
    <row r="13236" spans="1:1" x14ac:dyDescent="0.3">
      <c r="A13236" t="s">
        <v>0</v>
      </c>
    </row>
    <row r="13237" spans="1:1" x14ac:dyDescent="0.3">
      <c r="A13237" t="s">
        <v>0</v>
      </c>
    </row>
    <row r="13238" spans="1:1" x14ac:dyDescent="0.3">
      <c r="A13238" t="s">
        <v>0</v>
      </c>
    </row>
    <row r="13239" spans="1:1" x14ac:dyDescent="0.3">
      <c r="A13239" t="s">
        <v>0</v>
      </c>
    </row>
    <row r="13240" spans="1:1" x14ac:dyDescent="0.3">
      <c r="A13240" t="s">
        <v>0</v>
      </c>
    </row>
    <row r="13241" spans="1:1" x14ac:dyDescent="0.3">
      <c r="A13241" t="s">
        <v>0</v>
      </c>
    </row>
    <row r="13242" spans="1:1" x14ac:dyDescent="0.3">
      <c r="A13242" t="s">
        <v>0</v>
      </c>
    </row>
    <row r="13243" spans="1:1" x14ac:dyDescent="0.3">
      <c r="A13243" t="s">
        <v>0</v>
      </c>
    </row>
    <row r="13244" spans="1:1" x14ac:dyDescent="0.3">
      <c r="A13244" t="s">
        <v>0</v>
      </c>
    </row>
    <row r="13245" spans="1:1" x14ac:dyDescent="0.3">
      <c r="A13245" t="s">
        <v>0</v>
      </c>
    </row>
    <row r="13246" spans="1:1" x14ac:dyDescent="0.3">
      <c r="A13246" t="s">
        <v>0</v>
      </c>
    </row>
    <row r="13247" spans="1:1" x14ac:dyDescent="0.3">
      <c r="A13247" t="s">
        <v>0</v>
      </c>
    </row>
    <row r="13248" spans="1:1" x14ac:dyDescent="0.3">
      <c r="A13248" t="s">
        <v>0</v>
      </c>
    </row>
    <row r="13249" spans="1:1" x14ac:dyDescent="0.3">
      <c r="A13249" t="s">
        <v>0</v>
      </c>
    </row>
    <row r="13250" spans="1:1" x14ac:dyDescent="0.3">
      <c r="A13250" t="s">
        <v>0</v>
      </c>
    </row>
    <row r="13251" spans="1:1" x14ac:dyDescent="0.3">
      <c r="A13251" t="s">
        <v>0</v>
      </c>
    </row>
    <row r="13252" spans="1:1" x14ac:dyDescent="0.3">
      <c r="A13252" t="s">
        <v>0</v>
      </c>
    </row>
    <row r="13253" spans="1:1" x14ac:dyDescent="0.3">
      <c r="A13253" t="s">
        <v>0</v>
      </c>
    </row>
    <row r="13254" spans="1:1" x14ac:dyDescent="0.3">
      <c r="A13254" t="s">
        <v>0</v>
      </c>
    </row>
    <row r="13255" spans="1:1" x14ac:dyDescent="0.3">
      <c r="A13255" t="s">
        <v>0</v>
      </c>
    </row>
    <row r="13256" spans="1:1" x14ac:dyDescent="0.3">
      <c r="A13256" t="s">
        <v>0</v>
      </c>
    </row>
    <row r="13257" spans="1:1" x14ac:dyDescent="0.3">
      <c r="A13257" t="s">
        <v>0</v>
      </c>
    </row>
    <row r="13258" spans="1:1" x14ac:dyDescent="0.3">
      <c r="A13258" t="s">
        <v>0</v>
      </c>
    </row>
    <row r="13259" spans="1:1" x14ac:dyDescent="0.3">
      <c r="A13259" t="s">
        <v>0</v>
      </c>
    </row>
    <row r="13260" spans="1:1" x14ac:dyDescent="0.3">
      <c r="A13260" t="s">
        <v>0</v>
      </c>
    </row>
    <row r="13261" spans="1:1" x14ac:dyDescent="0.3">
      <c r="A13261" t="s">
        <v>0</v>
      </c>
    </row>
    <row r="13262" spans="1:1" x14ac:dyDescent="0.3">
      <c r="A13262" t="s">
        <v>0</v>
      </c>
    </row>
    <row r="13263" spans="1:1" x14ac:dyDescent="0.3">
      <c r="A13263" t="s">
        <v>0</v>
      </c>
    </row>
    <row r="13264" spans="1:1" x14ac:dyDescent="0.3">
      <c r="A13264" t="s">
        <v>0</v>
      </c>
    </row>
    <row r="13265" spans="1:1" x14ac:dyDescent="0.3">
      <c r="A13265" t="s">
        <v>0</v>
      </c>
    </row>
    <row r="13266" spans="1:1" x14ac:dyDescent="0.3">
      <c r="A13266" t="s">
        <v>0</v>
      </c>
    </row>
    <row r="13267" spans="1:1" x14ac:dyDescent="0.3">
      <c r="A13267" t="s">
        <v>0</v>
      </c>
    </row>
    <row r="13268" spans="1:1" x14ac:dyDescent="0.3">
      <c r="A13268" t="s">
        <v>0</v>
      </c>
    </row>
    <row r="13269" spans="1:1" x14ac:dyDescent="0.3">
      <c r="A13269" t="s">
        <v>0</v>
      </c>
    </row>
    <row r="13270" spans="1:1" x14ac:dyDescent="0.3">
      <c r="A13270" t="s">
        <v>0</v>
      </c>
    </row>
    <row r="13271" spans="1:1" x14ac:dyDescent="0.3">
      <c r="A13271" t="s">
        <v>0</v>
      </c>
    </row>
    <row r="13272" spans="1:1" x14ac:dyDescent="0.3">
      <c r="A13272" t="s">
        <v>0</v>
      </c>
    </row>
    <row r="13273" spans="1:1" x14ac:dyDescent="0.3">
      <c r="A13273" t="s">
        <v>0</v>
      </c>
    </row>
    <row r="13274" spans="1:1" x14ac:dyDescent="0.3">
      <c r="A13274" t="s">
        <v>0</v>
      </c>
    </row>
    <row r="13275" spans="1:1" x14ac:dyDescent="0.3">
      <c r="A13275" t="s">
        <v>0</v>
      </c>
    </row>
    <row r="13276" spans="1:1" x14ac:dyDescent="0.3">
      <c r="A13276" t="s">
        <v>0</v>
      </c>
    </row>
    <row r="13277" spans="1:1" x14ac:dyDescent="0.3">
      <c r="A13277" t="s">
        <v>0</v>
      </c>
    </row>
    <row r="13278" spans="1:1" x14ac:dyDescent="0.3">
      <c r="A13278" t="s">
        <v>0</v>
      </c>
    </row>
    <row r="13279" spans="1:1" x14ac:dyDescent="0.3">
      <c r="A13279" t="s">
        <v>0</v>
      </c>
    </row>
    <row r="13280" spans="1:1" x14ac:dyDescent="0.3">
      <c r="A13280" t="s">
        <v>0</v>
      </c>
    </row>
    <row r="13281" spans="1:1" x14ac:dyDescent="0.3">
      <c r="A13281" t="s">
        <v>0</v>
      </c>
    </row>
    <row r="13282" spans="1:1" x14ac:dyDescent="0.3">
      <c r="A13282" t="s">
        <v>0</v>
      </c>
    </row>
    <row r="13283" spans="1:1" x14ac:dyDescent="0.3">
      <c r="A13283" t="s">
        <v>0</v>
      </c>
    </row>
    <row r="13284" spans="1:1" x14ac:dyDescent="0.3">
      <c r="A13284" t="s">
        <v>0</v>
      </c>
    </row>
    <row r="13285" spans="1:1" x14ac:dyDescent="0.3">
      <c r="A13285" t="s">
        <v>0</v>
      </c>
    </row>
    <row r="13286" spans="1:1" x14ac:dyDescent="0.3">
      <c r="A13286" t="s">
        <v>0</v>
      </c>
    </row>
    <row r="13287" spans="1:1" x14ac:dyDescent="0.3">
      <c r="A13287" t="s">
        <v>0</v>
      </c>
    </row>
    <row r="13288" spans="1:1" x14ac:dyDescent="0.3">
      <c r="A13288" t="s">
        <v>0</v>
      </c>
    </row>
    <row r="13289" spans="1:1" x14ac:dyDescent="0.3">
      <c r="A13289" t="s">
        <v>0</v>
      </c>
    </row>
    <row r="13290" spans="1:1" x14ac:dyDescent="0.3">
      <c r="A13290" t="s">
        <v>0</v>
      </c>
    </row>
    <row r="13291" spans="1:1" x14ac:dyDescent="0.3">
      <c r="A13291" t="s">
        <v>0</v>
      </c>
    </row>
    <row r="13292" spans="1:1" x14ac:dyDescent="0.3">
      <c r="A13292" t="s">
        <v>0</v>
      </c>
    </row>
    <row r="13293" spans="1:1" x14ac:dyDescent="0.3">
      <c r="A13293" t="s">
        <v>0</v>
      </c>
    </row>
    <row r="13294" spans="1:1" x14ac:dyDescent="0.3">
      <c r="A13294" t="s">
        <v>0</v>
      </c>
    </row>
    <row r="13295" spans="1:1" x14ac:dyDescent="0.3">
      <c r="A13295" t="s">
        <v>0</v>
      </c>
    </row>
    <row r="13296" spans="1:1" x14ac:dyDescent="0.3">
      <c r="A13296" t="s">
        <v>0</v>
      </c>
    </row>
    <row r="13297" spans="1:1" x14ac:dyDescent="0.3">
      <c r="A13297" t="s">
        <v>0</v>
      </c>
    </row>
    <row r="13298" spans="1:1" x14ac:dyDescent="0.3">
      <c r="A13298" t="s">
        <v>0</v>
      </c>
    </row>
    <row r="13299" spans="1:1" x14ac:dyDescent="0.3">
      <c r="A13299" t="s">
        <v>0</v>
      </c>
    </row>
    <row r="13300" spans="1:1" x14ac:dyDescent="0.3">
      <c r="A13300" t="s">
        <v>0</v>
      </c>
    </row>
    <row r="13301" spans="1:1" x14ac:dyDescent="0.3">
      <c r="A13301" t="s">
        <v>0</v>
      </c>
    </row>
    <row r="13302" spans="1:1" x14ac:dyDescent="0.3">
      <c r="A13302" t="s">
        <v>0</v>
      </c>
    </row>
    <row r="13303" spans="1:1" x14ac:dyDescent="0.3">
      <c r="A13303" t="s">
        <v>0</v>
      </c>
    </row>
    <row r="13304" spans="1:1" x14ac:dyDescent="0.3">
      <c r="A13304" t="s">
        <v>0</v>
      </c>
    </row>
    <row r="13305" spans="1:1" x14ac:dyDescent="0.3">
      <c r="A13305" t="s">
        <v>0</v>
      </c>
    </row>
    <row r="13306" spans="1:1" x14ac:dyDescent="0.3">
      <c r="A13306" t="s">
        <v>0</v>
      </c>
    </row>
    <row r="13307" spans="1:1" x14ac:dyDescent="0.3">
      <c r="A13307" t="s">
        <v>0</v>
      </c>
    </row>
    <row r="13308" spans="1:1" x14ac:dyDescent="0.3">
      <c r="A13308" t="s">
        <v>0</v>
      </c>
    </row>
    <row r="13309" spans="1:1" x14ac:dyDescent="0.3">
      <c r="A13309" t="s">
        <v>0</v>
      </c>
    </row>
    <row r="13310" spans="1:1" x14ac:dyDescent="0.3">
      <c r="A13310" t="s">
        <v>0</v>
      </c>
    </row>
    <row r="13311" spans="1:1" x14ac:dyDescent="0.3">
      <c r="A13311" t="s">
        <v>0</v>
      </c>
    </row>
    <row r="13312" spans="1:1" x14ac:dyDescent="0.3">
      <c r="A13312" t="s">
        <v>0</v>
      </c>
    </row>
    <row r="13313" spans="1:1" x14ac:dyDescent="0.3">
      <c r="A13313" t="s">
        <v>0</v>
      </c>
    </row>
    <row r="13314" spans="1:1" x14ac:dyDescent="0.3">
      <c r="A13314" t="s">
        <v>0</v>
      </c>
    </row>
    <row r="13315" spans="1:1" x14ac:dyDescent="0.3">
      <c r="A13315" t="s">
        <v>0</v>
      </c>
    </row>
    <row r="13316" spans="1:1" x14ac:dyDescent="0.3">
      <c r="A13316" t="s">
        <v>0</v>
      </c>
    </row>
    <row r="13317" spans="1:1" x14ac:dyDescent="0.3">
      <c r="A13317" t="s">
        <v>0</v>
      </c>
    </row>
    <row r="13318" spans="1:1" x14ac:dyDescent="0.3">
      <c r="A13318" t="s">
        <v>0</v>
      </c>
    </row>
    <row r="13319" spans="1:1" x14ac:dyDescent="0.3">
      <c r="A13319" t="s">
        <v>0</v>
      </c>
    </row>
    <row r="13320" spans="1:1" x14ac:dyDescent="0.3">
      <c r="A13320" t="s">
        <v>0</v>
      </c>
    </row>
    <row r="13321" spans="1:1" x14ac:dyDescent="0.3">
      <c r="A13321" t="s">
        <v>0</v>
      </c>
    </row>
    <row r="13322" spans="1:1" x14ac:dyDescent="0.3">
      <c r="A13322" t="s">
        <v>0</v>
      </c>
    </row>
    <row r="13323" spans="1:1" x14ac:dyDescent="0.3">
      <c r="A13323" t="s">
        <v>0</v>
      </c>
    </row>
    <row r="13324" spans="1:1" x14ac:dyDescent="0.3">
      <c r="A13324" t="s">
        <v>0</v>
      </c>
    </row>
    <row r="13325" spans="1:1" x14ac:dyDescent="0.3">
      <c r="A13325" t="s">
        <v>0</v>
      </c>
    </row>
    <row r="13326" spans="1:1" x14ac:dyDescent="0.3">
      <c r="A13326" t="s">
        <v>0</v>
      </c>
    </row>
    <row r="13327" spans="1:1" x14ac:dyDescent="0.3">
      <c r="A13327" t="s">
        <v>0</v>
      </c>
    </row>
    <row r="13328" spans="1:1" x14ac:dyDescent="0.3">
      <c r="A13328" t="s">
        <v>0</v>
      </c>
    </row>
    <row r="13329" spans="1:1" x14ac:dyDescent="0.3">
      <c r="A13329" t="s">
        <v>0</v>
      </c>
    </row>
    <row r="13330" spans="1:1" x14ac:dyDescent="0.3">
      <c r="A13330" t="s">
        <v>0</v>
      </c>
    </row>
    <row r="13331" spans="1:1" x14ac:dyDescent="0.3">
      <c r="A13331" t="s">
        <v>0</v>
      </c>
    </row>
    <row r="13332" spans="1:1" x14ac:dyDescent="0.3">
      <c r="A13332" t="s">
        <v>0</v>
      </c>
    </row>
    <row r="13333" spans="1:1" x14ac:dyDescent="0.3">
      <c r="A13333" t="s">
        <v>0</v>
      </c>
    </row>
    <row r="13334" spans="1:1" x14ac:dyDescent="0.3">
      <c r="A13334" t="s">
        <v>0</v>
      </c>
    </row>
    <row r="13335" spans="1:1" x14ac:dyDescent="0.3">
      <c r="A13335" t="s">
        <v>0</v>
      </c>
    </row>
    <row r="13336" spans="1:1" x14ac:dyDescent="0.3">
      <c r="A13336" t="s">
        <v>0</v>
      </c>
    </row>
    <row r="13337" spans="1:1" x14ac:dyDescent="0.3">
      <c r="A13337" t="s">
        <v>0</v>
      </c>
    </row>
    <row r="13338" spans="1:1" x14ac:dyDescent="0.3">
      <c r="A13338" t="s">
        <v>0</v>
      </c>
    </row>
    <row r="13339" spans="1:1" x14ac:dyDescent="0.3">
      <c r="A13339" t="s">
        <v>0</v>
      </c>
    </row>
    <row r="13340" spans="1:1" x14ac:dyDescent="0.3">
      <c r="A13340" t="s">
        <v>0</v>
      </c>
    </row>
    <row r="13341" spans="1:1" x14ac:dyDescent="0.3">
      <c r="A13341" t="s">
        <v>0</v>
      </c>
    </row>
    <row r="13342" spans="1:1" x14ac:dyDescent="0.3">
      <c r="A13342" t="s">
        <v>0</v>
      </c>
    </row>
    <row r="13343" spans="1:1" x14ac:dyDescent="0.3">
      <c r="A13343" t="s">
        <v>0</v>
      </c>
    </row>
    <row r="13344" spans="1:1" x14ac:dyDescent="0.3">
      <c r="A13344" t="s">
        <v>0</v>
      </c>
    </row>
    <row r="13345" spans="1:1" x14ac:dyDescent="0.3">
      <c r="A13345" t="s">
        <v>0</v>
      </c>
    </row>
    <row r="13346" spans="1:1" x14ac:dyDescent="0.3">
      <c r="A13346" t="s">
        <v>0</v>
      </c>
    </row>
    <row r="13347" spans="1:1" x14ac:dyDescent="0.3">
      <c r="A13347" t="s">
        <v>0</v>
      </c>
    </row>
    <row r="13348" spans="1:1" x14ac:dyDescent="0.3">
      <c r="A13348" t="s">
        <v>0</v>
      </c>
    </row>
    <row r="13349" spans="1:1" x14ac:dyDescent="0.3">
      <c r="A13349" t="s">
        <v>0</v>
      </c>
    </row>
    <row r="13350" spans="1:1" x14ac:dyDescent="0.3">
      <c r="A13350" t="s">
        <v>0</v>
      </c>
    </row>
    <row r="13351" spans="1:1" x14ac:dyDescent="0.3">
      <c r="A13351" t="s">
        <v>0</v>
      </c>
    </row>
    <row r="13352" spans="1:1" x14ac:dyDescent="0.3">
      <c r="A13352" t="s">
        <v>0</v>
      </c>
    </row>
    <row r="13353" spans="1:1" x14ac:dyDescent="0.3">
      <c r="A13353" t="s">
        <v>0</v>
      </c>
    </row>
    <row r="13354" spans="1:1" x14ac:dyDescent="0.3">
      <c r="A13354" t="s">
        <v>0</v>
      </c>
    </row>
    <row r="13355" spans="1:1" x14ac:dyDescent="0.3">
      <c r="A13355" t="s">
        <v>0</v>
      </c>
    </row>
    <row r="13356" spans="1:1" x14ac:dyDescent="0.3">
      <c r="A13356" t="s">
        <v>0</v>
      </c>
    </row>
    <row r="13357" spans="1:1" x14ac:dyDescent="0.3">
      <c r="A13357" t="s">
        <v>0</v>
      </c>
    </row>
    <row r="13358" spans="1:1" x14ac:dyDescent="0.3">
      <c r="A13358" t="s">
        <v>0</v>
      </c>
    </row>
    <row r="13359" spans="1:1" x14ac:dyDescent="0.3">
      <c r="A13359" t="s">
        <v>0</v>
      </c>
    </row>
    <row r="13360" spans="1:1" x14ac:dyDescent="0.3">
      <c r="A13360" t="s">
        <v>0</v>
      </c>
    </row>
    <row r="13361" spans="1:1" x14ac:dyDescent="0.3">
      <c r="A13361" t="s">
        <v>0</v>
      </c>
    </row>
    <row r="13362" spans="1:1" x14ac:dyDescent="0.3">
      <c r="A13362" t="s">
        <v>0</v>
      </c>
    </row>
    <row r="13363" spans="1:1" x14ac:dyDescent="0.3">
      <c r="A13363" t="s">
        <v>0</v>
      </c>
    </row>
    <row r="13364" spans="1:1" x14ac:dyDescent="0.3">
      <c r="A13364" t="s">
        <v>0</v>
      </c>
    </row>
    <row r="13365" spans="1:1" x14ac:dyDescent="0.3">
      <c r="A13365" t="s">
        <v>0</v>
      </c>
    </row>
    <row r="13366" spans="1:1" x14ac:dyDescent="0.3">
      <c r="A13366" t="s">
        <v>0</v>
      </c>
    </row>
    <row r="13367" spans="1:1" x14ac:dyDescent="0.3">
      <c r="A13367" t="s">
        <v>0</v>
      </c>
    </row>
    <row r="13368" spans="1:1" x14ac:dyDescent="0.3">
      <c r="A13368" t="s">
        <v>0</v>
      </c>
    </row>
    <row r="13369" spans="1:1" x14ac:dyDescent="0.3">
      <c r="A13369" t="s">
        <v>0</v>
      </c>
    </row>
    <row r="13370" spans="1:1" x14ac:dyDescent="0.3">
      <c r="A13370" t="s">
        <v>0</v>
      </c>
    </row>
    <row r="13371" spans="1:1" x14ac:dyDescent="0.3">
      <c r="A13371" t="s">
        <v>0</v>
      </c>
    </row>
    <row r="13372" spans="1:1" x14ac:dyDescent="0.3">
      <c r="A13372" t="s">
        <v>0</v>
      </c>
    </row>
    <row r="13373" spans="1:1" x14ac:dyDescent="0.3">
      <c r="A13373" t="s">
        <v>0</v>
      </c>
    </row>
    <row r="13374" spans="1:1" x14ac:dyDescent="0.3">
      <c r="A13374" t="s">
        <v>0</v>
      </c>
    </row>
    <row r="13375" spans="1:1" x14ac:dyDescent="0.3">
      <c r="A13375" t="s">
        <v>0</v>
      </c>
    </row>
    <row r="13376" spans="1:1" x14ac:dyDescent="0.3">
      <c r="A13376" t="s">
        <v>0</v>
      </c>
    </row>
    <row r="13377" spans="1:1" x14ac:dyDescent="0.3">
      <c r="A13377" t="s">
        <v>0</v>
      </c>
    </row>
    <row r="13378" spans="1:1" x14ac:dyDescent="0.3">
      <c r="A13378" t="s">
        <v>0</v>
      </c>
    </row>
    <row r="13379" spans="1:1" x14ac:dyDescent="0.3">
      <c r="A13379" t="s">
        <v>0</v>
      </c>
    </row>
    <row r="13380" spans="1:1" x14ac:dyDescent="0.3">
      <c r="A13380" t="s">
        <v>0</v>
      </c>
    </row>
    <row r="13381" spans="1:1" x14ac:dyDescent="0.3">
      <c r="A13381" t="s">
        <v>0</v>
      </c>
    </row>
    <row r="13382" spans="1:1" x14ac:dyDescent="0.3">
      <c r="A13382" t="s">
        <v>0</v>
      </c>
    </row>
    <row r="13383" spans="1:1" x14ac:dyDescent="0.3">
      <c r="A13383" t="s">
        <v>0</v>
      </c>
    </row>
    <row r="13384" spans="1:1" x14ac:dyDescent="0.3">
      <c r="A13384" t="s">
        <v>0</v>
      </c>
    </row>
    <row r="13385" spans="1:1" x14ac:dyDescent="0.3">
      <c r="A13385" t="s">
        <v>0</v>
      </c>
    </row>
    <row r="13386" spans="1:1" x14ac:dyDescent="0.3">
      <c r="A13386" t="s">
        <v>0</v>
      </c>
    </row>
    <row r="13387" spans="1:1" x14ac:dyDescent="0.3">
      <c r="A13387" t="s">
        <v>0</v>
      </c>
    </row>
    <row r="13388" spans="1:1" x14ac:dyDescent="0.3">
      <c r="A13388" t="s">
        <v>0</v>
      </c>
    </row>
    <row r="13389" spans="1:1" x14ac:dyDescent="0.3">
      <c r="A13389" t="s">
        <v>0</v>
      </c>
    </row>
    <row r="13390" spans="1:1" x14ac:dyDescent="0.3">
      <c r="A13390" t="s">
        <v>0</v>
      </c>
    </row>
    <row r="13391" spans="1:1" x14ac:dyDescent="0.3">
      <c r="A13391" t="s">
        <v>0</v>
      </c>
    </row>
    <row r="13392" spans="1:1" x14ac:dyDescent="0.3">
      <c r="A13392" t="s">
        <v>0</v>
      </c>
    </row>
    <row r="13393" spans="1:1" x14ac:dyDescent="0.3">
      <c r="A13393" t="s">
        <v>0</v>
      </c>
    </row>
    <row r="13394" spans="1:1" x14ac:dyDescent="0.3">
      <c r="A13394" t="s">
        <v>0</v>
      </c>
    </row>
    <row r="13395" spans="1:1" x14ac:dyDescent="0.3">
      <c r="A13395" t="s">
        <v>0</v>
      </c>
    </row>
    <row r="13396" spans="1:1" x14ac:dyDescent="0.3">
      <c r="A13396" t="s">
        <v>0</v>
      </c>
    </row>
    <row r="13397" spans="1:1" x14ac:dyDescent="0.3">
      <c r="A13397" t="s">
        <v>0</v>
      </c>
    </row>
    <row r="13398" spans="1:1" x14ac:dyDescent="0.3">
      <c r="A13398" t="s">
        <v>0</v>
      </c>
    </row>
    <row r="13399" spans="1:1" x14ac:dyDescent="0.3">
      <c r="A13399" t="s">
        <v>0</v>
      </c>
    </row>
    <row r="13400" spans="1:1" x14ac:dyDescent="0.3">
      <c r="A13400" t="s">
        <v>0</v>
      </c>
    </row>
    <row r="13401" spans="1:1" x14ac:dyDescent="0.3">
      <c r="A13401" t="s">
        <v>0</v>
      </c>
    </row>
    <row r="13402" spans="1:1" x14ac:dyDescent="0.3">
      <c r="A13402" t="s">
        <v>0</v>
      </c>
    </row>
    <row r="13403" spans="1:1" x14ac:dyDescent="0.3">
      <c r="A13403" t="s">
        <v>0</v>
      </c>
    </row>
    <row r="13404" spans="1:1" x14ac:dyDescent="0.3">
      <c r="A13404" t="s">
        <v>0</v>
      </c>
    </row>
    <row r="13405" spans="1:1" x14ac:dyDescent="0.3">
      <c r="A13405" t="s">
        <v>0</v>
      </c>
    </row>
    <row r="13406" spans="1:1" x14ac:dyDescent="0.3">
      <c r="A13406" t="s">
        <v>0</v>
      </c>
    </row>
    <row r="13407" spans="1:1" x14ac:dyDescent="0.3">
      <c r="A13407" t="s">
        <v>0</v>
      </c>
    </row>
    <row r="13408" spans="1:1" x14ac:dyDescent="0.3">
      <c r="A13408" t="s">
        <v>0</v>
      </c>
    </row>
    <row r="13409" spans="1:1" x14ac:dyDescent="0.3">
      <c r="A13409" t="s">
        <v>0</v>
      </c>
    </row>
    <row r="13410" spans="1:1" x14ac:dyDescent="0.3">
      <c r="A13410" t="s">
        <v>0</v>
      </c>
    </row>
    <row r="13411" spans="1:1" x14ac:dyDescent="0.3">
      <c r="A13411" t="s">
        <v>0</v>
      </c>
    </row>
    <row r="13412" spans="1:1" x14ac:dyDescent="0.3">
      <c r="A13412" t="s">
        <v>0</v>
      </c>
    </row>
    <row r="13413" spans="1:1" x14ac:dyDescent="0.3">
      <c r="A13413" t="s">
        <v>0</v>
      </c>
    </row>
    <row r="13414" spans="1:1" x14ac:dyDescent="0.3">
      <c r="A13414" t="s">
        <v>0</v>
      </c>
    </row>
    <row r="13415" spans="1:1" x14ac:dyDescent="0.3">
      <c r="A13415" t="s">
        <v>0</v>
      </c>
    </row>
    <row r="13416" spans="1:1" x14ac:dyDescent="0.3">
      <c r="A13416" t="s">
        <v>0</v>
      </c>
    </row>
    <row r="13417" spans="1:1" x14ac:dyDescent="0.3">
      <c r="A13417" t="s">
        <v>0</v>
      </c>
    </row>
    <row r="13418" spans="1:1" x14ac:dyDescent="0.3">
      <c r="A13418" t="s">
        <v>0</v>
      </c>
    </row>
    <row r="13419" spans="1:1" x14ac:dyDescent="0.3">
      <c r="A13419" t="s">
        <v>0</v>
      </c>
    </row>
    <row r="13420" spans="1:1" x14ac:dyDescent="0.3">
      <c r="A13420" t="s">
        <v>0</v>
      </c>
    </row>
    <row r="13421" spans="1:1" x14ac:dyDescent="0.3">
      <c r="A13421" t="s">
        <v>0</v>
      </c>
    </row>
    <row r="13422" spans="1:1" x14ac:dyDescent="0.3">
      <c r="A13422" t="s">
        <v>0</v>
      </c>
    </row>
    <row r="13423" spans="1:1" x14ac:dyDescent="0.3">
      <c r="A13423" t="s">
        <v>0</v>
      </c>
    </row>
    <row r="13424" spans="1:1" x14ac:dyDescent="0.3">
      <c r="A13424" t="s">
        <v>0</v>
      </c>
    </row>
    <row r="13425" spans="1:1" x14ac:dyDescent="0.3">
      <c r="A13425" t="s">
        <v>0</v>
      </c>
    </row>
    <row r="13426" spans="1:1" x14ac:dyDescent="0.3">
      <c r="A13426" t="s">
        <v>0</v>
      </c>
    </row>
    <row r="13427" spans="1:1" x14ac:dyDescent="0.3">
      <c r="A13427" t="s">
        <v>0</v>
      </c>
    </row>
    <row r="13428" spans="1:1" x14ac:dyDescent="0.3">
      <c r="A13428" t="s">
        <v>0</v>
      </c>
    </row>
    <row r="13429" spans="1:1" x14ac:dyDescent="0.3">
      <c r="A13429" t="s">
        <v>0</v>
      </c>
    </row>
    <row r="13430" spans="1:1" x14ac:dyDescent="0.3">
      <c r="A13430" t="s">
        <v>0</v>
      </c>
    </row>
    <row r="13431" spans="1:1" x14ac:dyDescent="0.3">
      <c r="A13431" t="s">
        <v>0</v>
      </c>
    </row>
    <row r="13432" spans="1:1" x14ac:dyDescent="0.3">
      <c r="A13432" t="s">
        <v>0</v>
      </c>
    </row>
    <row r="13433" spans="1:1" x14ac:dyDescent="0.3">
      <c r="A13433" t="s">
        <v>0</v>
      </c>
    </row>
    <row r="13434" spans="1:1" x14ac:dyDescent="0.3">
      <c r="A13434" t="s">
        <v>0</v>
      </c>
    </row>
    <row r="13435" spans="1:1" x14ac:dyDescent="0.3">
      <c r="A13435" t="s">
        <v>0</v>
      </c>
    </row>
    <row r="13436" spans="1:1" x14ac:dyDescent="0.3">
      <c r="A13436" t="s">
        <v>0</v>
      </c>
    </row>
    <row r="13437" spans="1:1" x14ac:dyDescent="0.3">
      <c r="A13437" t="s">
        <v>0</v>
      </c>
    </row>
    <row r="13438" spans="1:1" x14ac:dyDescent="0.3">
      <c r="A13438" t="s">
        <v>0</v>
      </c>
    </row>
    <row r="13439" spans="1:1" x14ac:dyDescent="0.3">
      <c r="A13439" t="s">
        <v>0</v>
      </c>
    </row>
    <row r="13440" spans="1:1" x14ac:dyDescent="0.3">
      <c r="A13440" t="s">
        <v>0</v>
      </c>
    </row>
    <row r="13441" spans="1:1" x14ac:dyDescent="0.3">
      <c r="A13441" t="s">
        <v>0</v>
      </c>
    </row>
    <row r="13442" spans="1:1" x14ac:dyDescent="0.3">
      <c r="A13442" t="s">
        <v>0</v>
      </c>
    </row>
    <row r="13443" spans="1:1" x14ac:dyDescent="0.3">
      <c r="A13443" t="s">
        <v>0</v>
      </c>
    </row>
    <row r="13444" spans="1:1" x14ac:dyDescent="0.3">
      <c r="A13444" t="s">
        <v>0</v>
      </c>
    </row>
    <row r="13445" spans="1:1" x14ac:dyDescent="0.3">
      <c r="A13445" t="s">
        <v>0</v>
      </c>
    </row>
    <row r="13446" spans="1:1" x14ac:dyDescent="0.3">
      <c r="A13446" t="s">
        <v>0</v>
      </c>
    </row>
    <row r="13447" spans="1:1" x14ac:dyDescent="0.3">
      <c r="A13447" t="s">
        <v>0</v>
      </c>
    </row>
    <row r="13448" spans="1:1" x14ac:dyDescent="0.3">
      <c r="A13448" t="s">
        <v>0</v>
      </c>
    </row>
    <row r="13449" spans="1:1" x14ac:dyDescent="0.3">
      <c r="A13449" t="s">
        <v>0</v>
      </c>
    </row>
    <row r="13450" spans="1:1" x14ac:dyDescent="0.3">
      <c r="A13450" t="s">
        <v>0</v>
      </c>
    </row>
    <row r="13451" spans="1:1" x14ac:dyDescent="0.3">
      <c r="A13451" t="s">
        <v>0</v>
      </c>
    </row>
    <row r="13452" spans="1:1" x14ac:dyDescent="0.3">
      <c r="A13452" t="s">
        <v>0</v>
      </c>
    </row>
    <row r="13453" spans="1:1" x14ac:dyDescent="0.3">
      <c r="A13453" t="s">
        <v>0</v>
      </c>
    </row>
    <row r="13454" spans="1:1" x14ac:dyDescent="0.3">
      <c r="A13454" t="s">
        <v>0</v>
      </c>
    </row>
    <row r="13455" spans="1:1" x14ac:dyDescent="0.3">
      <c r="A13455" t="s">
        <v>0</v>
      </c>
    </row>
    <row r="13456" spans="1:1" x14ac:dyDescent="0.3">
      <c r="A13456" t="s">
        <v>0</v>
      </c>
    </row>
    <row r="13457" spans="1:1" x14ac:dyDescent="0.3">
      <c r="A13457" t="s">
        <v>0</v>
      </c>
    </row>
    <row r="13458" spans="1:1" x14ac:dyDescent="0.3">
      <c r="A13458" t="s">
        <v>0</v>
      </c>
    </row>
    <row r="13459" spans="1:1" x14ac:dyDescent="0.3">
      <c r="A13459" t="s">
        <v>0</v>
      </c>
    </row>
    <row r="13460" spans="1:1" x14ac:dyDescent="0.3">
      <c r="A13460" t="s">
        <v>0</v>
      </c>
    </row>
    <row r="13461" spans="1:1" x14ac:dyDescent="0.3">
      <c r="A13461" t="s">
        <v>0</v>
      </c>
    </row>
    <row r="13462" spans="1:1" x14ac:dyDescent="0.3">
      <c r="A13462" t="s">
        <v>0</v>
      </c>
    </row>
    <row r="13463" spans="1:1" x14ac:dyDescent="0.3">
      <c r="A13463" t="s">
        <v>0</v>
      </c>
    </row>
    <row r="13464" spans="1:1" x14ac:dyDescent="0.3">
      <c r="A13464" t="s">
        <v>0</v>
      </c>
    </row>
    <row r="13465" spans="1:1" x14ac:dyDescent="0.3">
      <c r="A13465" t="s">
        <v>0</v>
      </c>
    </row>
    <row r="13466" spans="1:1" x14ac:dyDescent="0.3">
      <c r="A13466" t="s">
        <v>0</v>
      </c>
    </row>
    <row r="13467" spans="1:1" x14ac:dyDescent="0.3">
      <c r="A13467" t="s">
        <v>0</v>
      </c>
    </row>
    <row r="13468" spans="1:1" x14ac:dyDescent="0.3">
      <c r="A13468" t="s">
        <v>0</v>
      </c>
    </row>
    <row r="13469" spans="1:1" x14ac:dyDescent="0.3">
      <c r="A13469" t="s">
        <v>0</v>
      </c>
    </row>
    <row r="13470" spans="1:1" x14ac:dyDescent="0.3">
      <c r="A13470" t="s">
        <v>0</v>
      </c>
    </row>
    <row r="13471" spans="1:1" x14ac:dyDescent="0.3">
      <c r="A13471" t="s">
        <v>0</v>
      </c>
    </row>
    <row r="13472" spans="1:1" x14ac:dyDescent="0.3">
      <c r="A13472" t="s">
        <v>0</v>
      </c>
    </row>
    <row r="13473" spans="1:1" x14ac:dyDescent="0.3">
      <c r="A13473" t="s">
        <v>0</v>
      </c>
    </row>
    <row r="13474" spans="1:1" x14ac:dyDescent="0.3">
      <c r="A13474" t="s">
        <v>0</v>
      </c>
    </row>
    <row r="13475" spans="1:1" x14ac:dyDescent="0.3">
      <c r="A13475" t="s">
        <v>0</v>
      </c>
    </row>
    <row r="13476" spans="1:1" x14ac:dyDescent="0.3">
      <c r="A13476" t="s">
        <v>0</v>
      </c>
    </row>
    <row r="13477" spans="1:1" x14ac:dyDescent="0.3">
      <c r="A13477" t="s">
        <v>0</v>
      </c>
    </row>
    <row r="13478" spans="1:1" x14ac:dyDescent="0.3">
      <c r="A13478" t="s">
        <v>0</v>
      </c>
    </row>
    <row r="13479" spans="1:1" x14ac:dyDescent="0.3">
      <c r="A13479" t="s">
        <v>0</v>
      </c>
    </row>
    <row r="13480" spans="1:1" x14ac:dyDescent="0.3">
      <c r="A13480" t="s">
        <v>0</v>
      </c>
    </row>
    <row r="13481" spans="1:1" x14ac:dyDescent="0.3">
      <c r="A13481" t="s">
        <v>0</v>
      </c>
    </row>
    <row r="13482" spans="1:1" x14ac:dyDescent="0.3">
      <c r="A13482" t="s">
        <v>0</v>
      </c>
    </row>
    <row r="13483" spans="1:1" x14ac:dyDescent="0.3">
      <c r="A13483" t="s">
        <v>0</v>
      </c>
    </row>
    <row r="13484" spans="1:1" x14ac:dyDescent="0.3">
      <c r="A13484" t="s">
        <v>0</v>
      </c>
    </row>
    <row r="13485" spans="1:1" x14ac:dyDescent="0.3">
      <c r="A13485" t="s">
        <v>0</v>
      </c>
    </row>
    <row r="13486" spans="1:1" x14ac:dyDescent="0.3">
      <c r="A13486" t="s">
        <v>0</v>
      </c>
    </row>
    <row r="13487" spans="1:1" x14ac:dyDescent="0.3">
      <c r="A13487" t="s">
        <v>0</v>
      </c>
    </row>
    <row r="13488" spans="1:1" x14ac:dyDescent="0.3">
      <c r="A13488" t="s">
        <v>0</v>
      </c>
    </row>
    <row r="13489" spans="1:1" x14ac:dyDescent="0.3">
      <c r="A13489" t="s">
        <v>0</v>
      </c>
    </row>
    <row r="13490" spans="1:1" x14ac:dyDescent="0.3">
      <c r="A13490" t="s">
        <v>0</v>
      </c>
    </row>
    <row r="13491" spans="1:1" x14ac:dyDescent="0.3">
      <c r="A13491" t="s">
        <v>0</v>
      </c>
    </row>
    <row r="13492" spans="1:1" x14ac:dyDescent="0.3">
      <c r="A13492" t="s">
        <v>0</v>
      </c>
    </row>
    <row r="13493" spans="1:1" x14ac:dyDescent="0.3">
      <c r="A13493" t="s">
        <v>0</v>
      </c>
    </row>
    <row r="13494" spans="1:1" x14ac:dyDescent="0.3">
      <c r="A13494" t="s">
        <v>0</v>
      </c>
    </row>
    <row r="13495" spans="1:1" x14ac:dyDescent="0.3">
      <c r="A13495" t="s">
        <v>0</v>
      </c>
    </row>
    <row r="13496" spans="1:1" x14ac:dyDescent="0.3">
      <c r="A13496" t="s">
        <v>0</v>
      </c>
    </row>
    <row r="13497" spans="1:1" x14ac:dyDescent="0.3">
      <c r="A13497" t="s">
        <v>0</v>
      </c>
    </row>
    <row r="13498" spans="1:1" x14ac:dyDescent="0.3">
      <c r="A13498" t="s">
        <v>0</v>
      </c>
    </row>
    <row r="13499" spans="1:1" x14ac:dyDescent="0.3">
      <c r="A13499" t="s">
        <v>0</v>
      </c>
    </row>
    <row r="13500" spans="1:1" x14ac:dyDescent="0.3">
      <c r="A13500" t="s">
        <v>0</v>
      </c>
    </row>
    <row r="13501" spans="1:1" x14ac:dyDescent="0.3">
      <c r="A13501" t="s">
        <v>0</v>
      </c>
    </row>
    <row r="13502" spans="1:1" x14ac:dyDescent="0.3">
      <c r="A13502" t="s">
        <v>0</v>
      </c>
    </row>
    <row r="13503" spans="1:1" x14ac:dyDescent="0.3">
      <c r="A13503" t="s">
        <v>0</v>
      </c>
    </row>
    <row r="13504" spans="1:1" x14ac:dyDescent="0.3">
      <c r="A13504" t="s">
        <v>0</v>
      </c>
    </row>
    <row r="13505" spans="1:1" x14ac:dyDescent="0.3">
      <c r="A13505" t="s">
        <v>0</v>
      </c>
    </row>
    <row r="13506" spans="1:1" x14ac:dyDescent="0.3">
      <c r="A13506" t="s">
        <v>0</v>
      </c>
    </row>
    <row r="13507" spans="1:1" x14ac:dyDescent="0.3">
      <c r="A13507" t="s">
        <v>0</v>
      </c>
    </row>
    <row r="13508" spans="1:1" x14ac:dyDescent="0.3">
      <c r="A13508" t="s">
        <v>0</v>
      </c>
    </row>
    <row r="13509" spans="1:1" x14ac:dyDescent="0.3">
      <c r="A13509" t="s">
        <v>0</v>
      </c>
    </row>
    <row r="13510" spans="1:1" x14ac:dyDescent="0.3">
      <c r="A13510" t="s">
        <v>0</v>
      </c>
    </row>
    <row r="13511" spans="1:1" x14ac:dyDescent="0.3">
      <c r="A13511" t="s">
        <v>0</v>
      </c>
    </row>
    <row r="13512" spans="1:1" x14ac:dyDescent="0.3">
      <c r="A13512" t="s">
        <v>0</v>
      </c>
    </row>
    <row r="13513" spans="1:1" x14ac:dyDescent="0.3">
      <c r="A13513" t="s">
        <v>0</v>
      </c>
    </row>
    <row r="13514" spans="1:1" x14ac:dyDescent="0.3">
      <c r="A13514" t="s">
        <v>0</v>
      </c>
    </row>
    <row r="13515" spans="1:1" x14ac:dyDescent="0.3">
      <c r="A13515" t="s">
        <v>0</v>
      </c>
    </row>
    <row r="13516" spans="1:1" x14ac:dyDescent="0.3">
      <c r="A13516" t="s">
        <v>0</v>
      </c>
    </row>
    <row r="13517" spans="1:1" x14ac:dyDescent="0.3">
      <c r="A13517" t="s">
        <v>0</v>
      </c>
    </row>
    <row r="13518" spans="1:1" x14ac:dyDescent="0.3">
      <c r="A13518" t="s">
        <v>0</v>
      </c>
    </row>
    <row r="13519" spans="1:1" x14ac:dyDescent="0.3">
      <c r="A13519" t="s">
        <v>0</v>
      </c>
    </row>
    <row r="13520" spans="1:1" x14ac:dyDescent="0.3">
      <c r="A13520" t="s">
        <v>0</v>
      </c>
    </row>
    <row r="13521" spans="1:1" x14ac:dyDescent="0.3">
      <c r="A13521" t="s">
        <v>0</v>
      </c>
    </row>
    <row r="13522" spans="1:1" x14ac:dyDescent="0.3">
      <c r="A13522" t="s">
        <v>0</v>
      </c>
    </row>
    <row r="13523" spans="1:1" x14ac:dyDescent="0.3">
      <c r="A13523" t="s">
        <v>0</v>
      </c>
    </row>
    <row r="13524" spans="1:1" x14ac:dyDescent="0.3">
      <c r="A13524" t="s">
        <v>0</v>
      </c>
    </row>
    <row r="13525" spans="1:1" x14ac:dyDescent="0.3">
      <c r="A13525" t="s">
        <v>0</v>
      </c>
    </row>
    <row r="13526" spans="1:1" x14ac:dyDescent="0.3">
      <c r="A13526" t="s">
        <v>0</v>
      </c>
    </row>
    <row r="13527" spans="1:1" x14ac:dyDescent="0.3">
      <c r="A13527" t="s">
        <v>0</v>
      </c>
    </row>
    <row r="13528" spans="1:1" x14ac:dyDescent="0.3">
      <c r="A13528" t="s">
        <v>0</v>
      </c>
    </row>
    <row r="13529" spans="1:1" x14ac:dyDescent="0.3">
      <c r="A13529" t="s">
        <v>0</v>
      </c>
    </row>
    <row r="13530" spans="1:1" x14ac:dyDescent="0.3">
      <c r="A13530" t="s">
        <v>0</v>
      </c>
    </row>
    <row r="13531" spans="1:1" x14ac:dyDescent="0.3">
      <c r="A13531" t="s">
        <v>0</v>
      </c>
    </row>
    <row r="13532" spans="1:1" x14ac:dyDescent="0.3">
      <c r="A13532" t="s">
        <v>0</v>
      </c>
    </row>
    <row r="13533" spans="1:1" x14ac:dyDescent="0.3">
      <c r="A13533" t="s">
        <v>0</v>
      </c>
    </row>
    <row r="13534" spans="1:1" x14ac:dyDescent="0.3">
      <c r="A13534" t="s">
        <v>0</v>
      </c>
    </row>
    <row r="13535" spans="1:1" x14ac:dyDescent="0.3">
      <c r="A13535" t="s">
        <v>0</v>
      </c>
    </row>
    <row r="13536" spans="1:1" x14ac:dyDescent="0.3">
      <c r="A13536" t="s">
        <v>0</v>
      </c>
    </row>
    <row r="13537" spans="1:1" x14ac:dyDescent="0.3">
      <c r="A13537" t="s">
        <v>0</v>
      </c>
    </row>
    <row r="13538" spans="1:1" x14ac:dyDescent="0.3">
      <c r="A13538" t="s">
        <v>0</v>
      </c>
    </row>
    <row r="13539" spans="1:1" x14ac:dyDescent="0.3">
      <c r="A13539" t="s">
        <v>0</v>
      </c>
    </row>
    <row r="13540" spans="1:1" x14ac:dyDescent="0.3">
      <c r="A13540" t="s">
        <v>0</v>
      </c>
    </row>
    <row r="13541" spans="1:1" x14ac:dyDescent="0.3">
      <c r="A13541" t="s">
        <v>0</v>
      </c>
    </row>
    <row r="13542" spans="1:1" x14ac:dyDescent="0.3">
      <c r="A13542" t="s">
        <v>0</v>
      </c>
    </row>
    <row r="13543" spans="1:1" x14ac:dyDescent="0.3">
      <c r="A13543" t="s">
        <v>0</v>
      </c>
    </row>
    <row r="13544" spans="1:1" x14ac:dyDescent="0.3">
      <c r="A13544" t="s">
        <v>0</v>
      </c>
    </row>
    <row r="13545" spans="1:1" x14ac:dyDescent="0.3">
      <c r="A13545" t="s">
        <v>0</v>
      </c>
    </row>
    <row r="13546" spans="1:1" x14ac:dyDescent="0.3">
      <c r="A13546" t="s">
        <v>0</v>
      </c>
    </row>
    <row r="13547" spans="1:1" x14ac:dyDescent="0.3">
      <c r="A13547" t="s">
        <v>0</v>
      </c>
    </row>
    <row r="13548" spans="1:1" x14ac:dyDescent="0.3">
      <c r="A13548" t="s">
        <v>0</v>
      </c>
    </row>
    <row r="13549" spans="1:1" x14ac:dyDescent="0.3">
      <c r="A13549" t="s">
        <v>0</v>
      </c>
    </row>
    <row r="13550" spans="1:1" x14ac:dyDescent="0.3">
      <c r="A13550" t="s">
        <v>0</v>
      </c>
    </row>
    <row r="13551" spans="1:1" x14ac:dyDescent="0.3">
      <c r="A13551" t="s">
        <v>0</v>
      </c>
    </row>
    <row r="13552" spans="1:1" x14ac:dyDescent="0.3">
      <c r="A13552" t="s">
        <v>0</v>
      </c>
    </row>
    <row r="13553" spans="1:1" x14ac:dyDescent="0.3">
      <c r="A13553" t="s">
        <v>0</v>
      </c>
    </row>
    <row r="13554" spans="1:1" x14ac:dyDescent="0.3">
      <c r="A13554" t="s">
        <v>0</v>
      </c>
    </row>
    <row r="13555" spans="1:1" x14ac:dyDescent="0.3">
      <c r="A13555" t="s">
        <v>0</v>
      </c>
    </row>
    <row r="13556" spans="1:1" x14ac:dyDescent="0.3">
      <c r="A13556" t="s">
        <v>0</v>
      </c>
    </row>
    <row r="13557" spans="1:1" x14ac:dyDescent="0.3">
      <c r="A13557" t="s">
        <v>0</v>
      </c>
    </row>
    <row r="13558" spans="1:1" x14ac:dyDescent="0.3">
      <c r="A13558" t="s">
        <v>0</v>
      </c>
    </row>
    <row r="13559" spans="1:1" x14ac:dyDescent="0.3">
      <c r="A13559" t="s">
        <v>0</v>
      </c>
    </row>
    <row r="13560" spans="1:1" x14ac:dyDescent="0.3">
      <c r="A13560" t="s">
        <v>0</v>
      </c>
    </row>
    <row r="13561" spans="1:1" x14ac:dyDescent="0.3">
      <c r="A13561" t="s">
        <v>0</v>
      </c>
    </row>
    <row r="13562" spans="1:1" x14ac:dyDescent="0.3">
      <c r="A13562" t="s">
        <v>0</v>
      </c>
    </row>
    <row r="13563" spans="1:1" x14ac:dyDescent="0.3">
      <c r="A13563" t="s">
        <v>0</v>
      </c>
    </row>
    <row r="13564" spans="1:1" x14ac:dyDescent="0.3">
      <c r="A13564" t="s">
        <v>0</v>
      </c>
    </row>
    <row r="13565" spans="1:1" x14ac:dyDescent="0.3">
      <c r="A13565" t="s">
        <v>0</v>
      </c>
    </row>
    <row r="13566" spans="1:1" x14ac:dyDescent="0.3">
      <c r="A13566" t="s">
        <v>0</v>
      </c>
    </row>
    <row r="13567" spans="1:1" x14ac:dyDescent="0.3">
      <c r="A13567" t="s">
        <v>0</v>
      </c>
    </row>
    <row r="13568" spans="1:1" x14ac:dyDescent="0.3">
      <c r="A13568" t="s">
        <v>0</v>
      </c>
    </row>
    <row r="13569" spans="1:1" x14ac:dyDescent="0.3">
      <c r="A13569" t="s">
        <v>0</v>
      </c>
    </row>
    <row r="13570" spans="1:1" x14ac:dyDescent="0.3">
      <c r="A13570" t="s">
        <v>0</v>
      </c>
    </row>
    <row r="13571" spans="1:1" x14ac:dyDescent="0.3">
      <c r="A13571" t="s">
        <v>0</v>
      </c>
    </row>
    <row r="13572" spans="1:1" x14ac:dyDescent="0.3">
      <c r="A13572" t="s">
        <v>0</v>
      </c>
    </row>
    <row r="13573" spans="1:1" x14ac:dyDescent="0.3">
      <c r="A13573" t="s">
        <v>0</v>
      </c>
    </row>
    <row r="13574" spans="1:1" x14ac:dyDescent="0.3">
      <c r="A13574" t="s">
        <v>0</v>
      </c>
    </row>
    <row r="13575" spans="1:1" x14ac:dyDescent="0.3">
      <c r="A13575" t="s">
        <v>0</v>
      </c>
    </row>
    <row r="13576" spans="1:1" x14ac:dyDescent="0.3">
      <c r="A13576" t="s">
        <v>0</v>
      </c>
    </row>
    <row r="13577" spans="1:1" x14ac:dyDescent="0.3">
      <c r="A13577" t="s">
        <v>0</v>
      </c>
    </row>
    <row r="13578" spans="1:1" x14ac:dyDescent="0.3">
      <c r="A13578" t="s">
        <v>0</v>
      </c>
    </row>
    <row r="13579" spans="1:1" x14ac:dyDescent="0.3">
      <c r="A13579" t="s">
        <v>0</v>
      </c>
    </row>
    <row r="13580" spans="1:1" x14ac:dyDescent="0.3">
      <c r="A13580" t="s">
        <v>0</v>
      </c>
    </row>
    <row r="13581" spans="1:1" x14ac:dyDescent="0.3">
      <c r="A13581" t="s">
        <v>0</v>
      </c>
    </row>
    <row r="13582" spans="1:1" x14ac:dyDescent="0.3">
      <c r="A13582" t="s">
        <v>0</v>
      </c>
    </row>
    <row r="13583" spans="1:1" x14ac:dyDescent="0.3">
      <c r="A13583" t="s">
        <v>0</v>
      </c>
    </row>
    <row r="13584" spans="1:1" x14ac:dyDescent="0.3">
      <c r="A13584" t="s">
        <v>0</v>
      </c>
    </row>
    <row r="13585" spans="1:1" x14ac:dyDescent="0.3">
      <c r="A13585" t="s">
        <v>0</v>
      </c>
    </row>
    <row r="13586" spans="1:1" x14ac:dyDescent="0.3">
      <c r="A13586" t="s">
        <v>0</v>
      </c>
    </row>
    <row r="13587" spans="1:1" x14ac:dyDescent="0.3">
      <c r="A13587" t="s">
        <v>0</v>
      </c>
    </row>
    <row r="13588" spans="1:1" x14ac:dyDescent="0.3">
      <c r="A13588" t="s">
        <v>0</v>
      </c>
    </row>
    <row r="13589" spans="1:1" x14ac:dyDescent="0.3">
      <c r="A13589" t="s">
        <v>0</v>
      </c>
    </row>
    <row r="13590" spans="1:1" x14ac:dyDescent="0.3">
      <c r="A13590" t="s">
        <v>0</v>
      </c>
    </row>
    <row r="13591" spans="1:1" x14ac:dyDescent="0.3">
      <c r="A13591" t="s">
        <v>0</v>
      </c>
    </row>
    <row r="13592" spans="1:1" x14ac:dyDescent="0.3">
      <c r="A13592" t="s">
        <v>0</v>
      </c>
    </row>
    <row r="13593" spans="1:1" x14ac:dyDescent="0.3">
      <c r="A13593" t="s">
        <v>0</v>
      </c>
    </row>
    <row r="13594" spans="1:1" x14ac:dyDescent="0.3">
      <c r="A13594" t="s">
        <v>0</v>
      </c>
    </row>
    <row r="13595" spans="1:1" x14ac:dyDescent="0.3">
      <c r="A13595" t="s">
        <v>0</v>
      </c>
    </row>
    <row r="13596" spans="1:1" x14ac:dyDescent="0.3">
      <c r="A13596" t="s">
        <v>0</v>
      </c>
    </row>
    <row r="13597" spans="1:1" x14ac:dyDescent="0.3">
      <c r="A13597" t="s">
        <v>0</v>
      </c>
    </row>
    <row r="13598" spans="1:1" x14ac:dyDescent="0.3">
      <c r="A13598" t="s">
        <v>0</v>
      </c>
    </row>
    <row r="13599" spans="1:1" x14ac:dyDescent="0.3">
      <c r="A13599" t="s">
        <v>0</v>
      </c>
    </row>
    <row r="13600" spans="1:1" x14ac:dyDescent="0.3">
      <c r="A13600" t="s">
        <v>0</v>
      </c>
    </row>
    <row r="13601" spans="1:1" x14ac:dyDescent="0.3">
      <c r="A13601" t="s">
        <v>0</v>
      </c>
    </row>
    <row r="13602" spans="1:1" x14ac:dyDescent="0.3">
      <c r="A13602" t="s">
        <v>0</v>
      </c>
    </row>
    <row r="13603" spans="1:1" x14ac:dyDescent="0.3">
      <c r="A13603" t="s">
        <v>0</v>
      </c>
    </row>
    <row r="13604" spans="1:1" x14ac:dyDescent="0.3">
      <c r="A13604" t="s">
        <v>0</v>
      </c>
    </row>
    <row r="13605" spans="1:1" x14ac:dyDescent="0.3">
      <c r="A13605" t="s">
        <v>0</v>
      </c>
    </row>
    <row r="13606" spans="1:1" x14ac:dyDescent="0.3">
      <c r="A13606" t="s">
        <v>0</v>
      </c>
    </row>
    <row r="13607" spans="1:1" x14ac:dyDescent="0.3">
      <c r="A13607" t="s">
        <v>0</v>
      </c>
    </row>
    <row r="13608" spans="1:1" x14ac:dyDescent="0.3">
      <c r="A13608" t="s">
        <v>0</v>
      </c>
    </row>
    <row r="13609" spans="1:1" x14ac:dyDescent="0.3">
      <c r="A13609" t="s">
        <v>0</v>
      </c>
    </row>
    <row r="13610" spans="1:1" x14ac:dyDescent="0.3">
      <c r="A13610" t="s">
        <v>0</v>
      </c>
    </row>
    <row r="13611" spans="1:1" x14ac:dyDescent="0.3">
      <c r="A13611" t="s">
        <v>0</v>
      </c>
    </row>
    <row r="13612" spans="1:1" x14ac:dyDescent="0.3">
      <c r="A13612" t="s">
        <v>0</v>
      </c>
    </row>
    <row r="13613" spans="1:1" x14ac:dyDescent="0.3">
      <c r="A13613" t="s">
        <v>0</v>
      </c>
    </row>
    <row r="13614" spans="1:1" x14ac:dyDescent="0.3">
      <c r="A13614" t="s">
        <v>0</v>
      </c>
    </row>
    <row r="13615" spans="1:1" x14ac:dyDescent="0.3">
      <c r="A13615" t="s">
        <v>0</v>
      </c>
    </row>
    <row r="13616" spans="1:1" x14ac:dyDescent="0.3">
      <c r="A13616" t="s">
        <v>0</v>
      </c>
    </row>
    <row r="13617" spans="1:1" x14ac:dyDescent="0.3">
      <c r="A13617" t="s">
        <v>0</v>
      </c>
    </row>
    <row r="13618" spans="1:1" x14ac:dyDescent="0.3">
      <c r="A13618" t="s">
        <v>0</v>
      </c>
    </row>
    <row r="13619" spans="1:1" x14ac:dyDescent="0.3">
      <c r="A13619" t="s">
        <v>0</v>
      </c>
    </row>
    <row r="13620" spans="1:1" x14ac:dyDescent="0.3">
      <c r="A13620" t="s">
        <v>0</v>
      </c>
    </row>
    <row r="13621" spans="1:1" x14ac:dyDescent="0.3">
      <c r="A13621" t="s">
        <v>0</v>
      </c>
    </row>
    <row r="13622" spans="1:1" x14ac:dyDescent="0.3">
      <c r="A13622" t="s">
        <v>0</v>
      </c>
    </row>
    <row r="13623" spans="1:1" x14ac:dyDescent="0.3">
      <c r="A13623" t="s">
        <v>0</v>
      </c>
    </row>
    <row r="13624" spans="1:1" x14ac:dyDescent="0.3">
      <c r="A13624" t="s">
        <v>0</v>
      </c>
    </row>
    <row r="13625" spans="1:1" x14ac:dyDescent="0.3">
      <c r="A13625" t="s">
        <v>0</v>
      </c>
    </row>
    <row r="13626" spans="1:1" x14ac:dyDescent="0.3">
      <c r="A13626" t="s">
        <v>0</v>
      </c>
    </row>
    <row r="13627" spans="1:1" x14ac:dyDescent="0.3">
      <c r="A13627" t="s">
        <v>0</v>
      </c>
    </row>
    <row r="13628" spans="1:1" x14ac:dyDescent="0.3">
      <c r="A13628" t="s">
        <v>0</v>
      </c>
    </row>
    <row r="13629" spans="1:1" x14ac:dyDescent="0.3">
      <c r="A13629" t="s">
        <v>0</v>
      </c>
    </row>
    <row r="13630" spans="1:1" x14ac:dyDescent="0.3">
      <c r="A13630" t="s">
        <v>0</v>
      </c>
    </row>
    <row r="13631" spans="1:1" x14ac:dyDescent="0.3">
      <c r="A13631" t="s">
        <v>0</v>
      </c>
    </row>
    <row r="13632" spans="1:1" x14ac:dyDescent="0.3">
      <c r="A13632" t="s">
        <v>0</v>
      </c>
    </row>
    <row r="13633" spans="1:1" x14ac:dyDescent="0.3">
      <c r="A13633" t="s">
        <v>0</v>
      </c>
    </row>
    <row r="13634" spans="1:1" x14ac:dyDescent="0.3">
      <c r="A13634" t="s">
        <v>0</v>
      </c>
    </row>
    <row r="13635" spans="1:1" x14ac:dyDescent="0.3">
      <c r="A13635" t="s">
        <v>0</v>
      </c>
    </row>
    <row r="13636" spans="1:1" x14ac:dyDescent="0.3">
      <c r="A13636" t="s">
        <v>0</v>
      </c>
    </row>
    <row r="13637" spans="1:1" x14ac:dyDescent="0.3">
      <c r="A13637" t="s">
        <v>0</v>
      </c>
    </row>
    <row r="13638" spans="1:1" x14ac:dyDescent="0.3">
      <c r="A13638" t="s">
        <v>0</v>
      </c>
    </row>
    <row r="13639" spans="1:1" x14ac:dyDescent="0.3">
      <c r="A13639" t="s">
        <v>0</v>
      </c>
    </row>
    <row r="13640" spans="1:1" x14ac:dyDescent="0.3">
      <c r="A13640" t="s">
        <v>0</v>
      </c>
    </row>
    <row r="13641" spans="1:1" x14ac:dyDescent="0.3">
      <c r="A13641" t="s">
        <v>0</v>
      </c>
    </row>
    <row r="13642" spans="1:1" x14ac:dyDescent="0.3">
      <c r="A13642" t="s">
        <v>0</v>
      </c>
    </row>
    <row r="13643" spans="1:1" x14ac:dyDescent="0.3">
      <c r="A13643" t="s">
        <v>0</v>
      </c>
    </row>
    <row r="13644" spans="1:1" x14ac:dyDescent="0.3">
      <c r="A13644" t="s">
        <v>0</v>
      </c>
    </row>
    <row r="13645" spans="1:1" x14ac:dyDescent="0.3">
      <c r="A13645" t="s">
        <v>0</v>
      </c>
    </row>
    <row r="13646" spans="1:1" x14ac:dyDescent="0.3">
      <c r="A13646" t="s">
        <v>0</v>
      </c>
    </row>
    <row r="13647" spans="1:1" x14ac:dyDescent="0.3">
      <c r="A13647" t="s">
        <v>0</v>
      </c>
    </row>
    <row r="13648" spans="1:1" x14ac:dyDescent="0.3">
      <c r="A13648" t="s">
        <v>0</v>
      </c>
    </row>
    <row r="13649" spans="1:1" x14ac:dyDescent="0.3">
      <c r="A13649" t="s">
        <v>0</v>
      </c>
    </row>
    <row r="13650" spans="1:1" x14ac:dyDescent="0.3">
      <c r="A13650" t="s">
        <v>0</v>
      </c>
    </row>
    <row r="13651" spans="1:1" x14ac:dyDescent="0.3">
      <c r="A13651" t="s">
        <v>0</v>
      </c>
    </row>
    <row r="13652" spans="1:1" x14ac:dyDescent="0.3">
      <c r="A13652" t="s">
        <v>0</v>
      </c>
    </row>
    <row r="13653" spans="1:1" x14ac:dyDescent="0.3">
      <c r="A13653" t="s">
        <v>0</v>
      </c>
    </row>
    <row r="13654" spans="1:1" x14ac:dyDescent="0.3">
      <c r="A13654" t="s">
        <v>0</v>
      </c>
    </row>
    <row r="13655" spans="1:1" x14ac:dyDescent="0.3">
      <c r="A13655" t="s">
        <v>0</v>
      </c>
    </row>
    <row r="13656" spans="1:1" x14ac:dyDescent="0.3">
      <c r="A13656" t="s">
        <v>0</v>
      </c>
    </row>
    <row r="13657" spans="1:1" x14ac:dyDescent="0.3">
      <c r="A13657" t="s">
        <v>0</v>
      </c>
    </row>
    <row r="13658" spans="1:1" x14ac:dyDescent="0.3">
      <c r="A13658" t="s">
        <v>0</v>
      </c>
    </row>
    <row r="13659" spans="1:1" x14ac:dyDescent="0.3">
      <c r="A13659" t="s">
        <v>0</v>
      </c>
    </row>
    <row r="13660" spans="1:1" x14ac:dyDescent="0.3">
      <c r="A13660" t="s">
        <v>0</v>
      </c>
    </row>
    <row r="13661" spans="1:1" x14ac:dyDescent="0.3">
      <c r="A13661" t="s">
        <v>0</v>
      </c>
    </row>
    <row r="13662" spans="1:1" x14ac:dyDescent="0.3">
      <c r="A13662" t="s">
        <v>0</v>
      </c>
    </row>
    <row r="13663" spans="1:1" x14ac:dyDescent="0.3">
      <c r="A13663" t="s">
        <v>0</v>
      </c>
    </row>
    <row r="13664" spans="1:1" x14ac:dyDescent="0.3">
      <c r="A13664" t="s">
        <v>0</v>
      </c>
    </row>
    <row r="13665" spans="1:1" x14ac:dyDescent="0.3">
      <c r="A13665" t="s">
        <v>0</v>
      </c>
    </row>
    <row r="13666" spans="1:1" x14ac:dyDescent="0.3">
      <c r="A13666" t="s">
        <v>0</v>
      </c>
    </row>
    <row r="13667" spans="1:1" x14ac:dyDescent="0.3">
      <c r="A13667" t="s">
        <v>0</v>
      </c>
    </row>
    <row r="13668" spans="1:1" x14ac:dyDescent="0.3">
      <c r="A13668" t="s">
        <v>0</v>
      </c>
    </row>
    <row r="13669" spans="1:1" x14ac:dyDescent="0.3">
      <c r="A13669" t="s">
        <v>0</v>
      </c>
    </row>
    <row r="13670" spans="1:1" x14ac:dyDescent="0.3">
      <c r="A13670" t="s">
        <v>0</v>
      </c>
    </row>
    <row r="13671" spans="1:1" x14ac:dyDescent="0.3">
      <c r="A13671" t="s">
        <v>0</v>
      </c>
    </row>
    <row r="13672" spans="1:1" x14ac:dyDescent="0.3">
      <c r="A13672" t="s">
        <v>0</v>
      </c>
    </row>
    <row r="13673" spans="1:1" x14ac:dyDescent="0.3">
      <c r="A13673" t="s">
        <v>0</v>
      </c>
    </row>
    <row r="13674" spans="1:1" x14ac:dyDescent="0.3">
      <c r="A13674" t="s">
        <v>0</v>
      </c>
    </row>
    <row r="13675" spans="1:1" x14ac:dyDescent="0.3">
      <c r="A13675" t="s">
        <v>0</v>
      </c>
    </row>
    <row r="13676" spans="1:1" x14ac:dyDescent="0.3">
      <c r="A13676" t="s">
        <v>0</v>
      </c>
    </row>
    <row r="13677" spans="1:1" x14ac:dyDescent="0.3">
      <c r="A13677" t="s">
        <v>0</v>
      </c>
    </row>
    <row r="13678" spans="1:1" x14ac:dyDescent="0.3">
      <c r="A13678" t="s">
        <v>0</v>
      </c>
    </row>
    <row r="13679" spans="1:1" x14ac:dyDescent="0.3">
      <c r="A13679" t="s">
        <v>0</v>
      </c>
    </row>
    <row r="13680" spans="1:1" x14ac:dyDescent="0.3">
      <c r="A13680" t="s">
        <v>0</v>
      </c>
    </row>
    <row r="13681" spans="1:1" x14ac:dyDescent="0.3">
      <c r="A13681" t="s">
        <v>0</v>
      </c>
    </row>
    <row r="13682" spans="1:1" x14ac:dyDescent="0.3">
      <c r="A13682" t="s">
        <v>0</v>
      </c>
    </row>
    <row r="13683" spans="1:1" x14ac:dyDescent="0.3">
      <c r="A13683" t="s">
        <v>0</v>
      </c>
    </row>
    <row r="13684" spans="1:1" x14ac:dyDescent="0.3">
      <c r="A13684" t="s">
        <v>0</v>
      </c>
    </row>
    <row r="13685" spans="1:1" x14ac:dyDescent="0.3">
      <c r="A13685" t="s">
        <v>0</v>
      </c>
    </row>
    <row r="13686" spans="1:1" x14ac:dyDescent="0.3">
      <c r="A13686" t="s">
        <v>0</v>
      </c>
    </row>
    <row r="13687" spans="1:1" x14ac:dyDescent="0.3">
      <c r="A13687" t="s">
        <v>0</v>
      </c>
    </row>
    <row r="13688" spans="1:1" x14ac:dyDescent="0.3">
      <c r="A13688" t="s">
        <v>0</v>
      </c>
    </row>
    <row r="13689" spans="1:1" x14ac:dyDescent="0.3">
      <c r="A13689" t="s">
        <v>0</v>
      </c>
    </row>
    <row r="13690" spans="1:1" x14ac:dyDescent="0.3">
      <c r="A13690" t="s">
        <v>0</v>
      </c>
    </row>
    <row r="13691" spans="1:1" x14ac:dyDescent="0.3">
      <c r="A13691" t="s">
        <v>0</v>
      </c>
    </row>
    <row r="13692" spans="1:1" x14ac:dyDescent="0.3">
      <c r="A13692" t="s">
        <v>0</v>
      </c>
    </row>
    <row r="13693" spans="1:1" x14ac:dyDescent="0.3">
      <c r="A13693" t="s">
        <v>0</v>
      </c>
    </row>
    <row r="13694" spans="1:1" x14ac:dyDescent="0.3">
      <c r="A13694" t="s">
        <v>0</v>
      </c>
    </row>
    <row r="13695" spans="1:1" x14ac:dyDescent="0.3">
      <c r="A13695" t="s">
        <v>0</v>
      </c>
    </row>
    <row r="13696" spans="1:1" x14ac:dyDescent="0.3">
      <c r="A13696" t="s">
        <v>0</v>
      </c>
    </row>
    <row r="13697" spans="1:1" x14ac:dyDescent="0.3">
      <c r="A13697" t="s">
        <v>0</v>
      </c>
    </row>
    <row r="13698" spans="1:1" x14ac:dyDescent="0.3">
      <c r="A13698" t="s">
        <v>0</v>
      </c>
    </row>
    <row r="13699" spans="1:1" x14ac:dyDescent="0.3">
      <c r="A13699" t="s">
        <v>0</v>
      </c>
    </row>
    <row r="13700" spans="1:1" x14ac:dyDescent="0.3">
      <c r="A13700" t="s">
        <v>0</v>
      </c>
    </row>
    <row r="13701" spans="1:1" x14ac:dyDescent="0.3">
      <c r="A13701" t="s">
        <v>0</v>
      </c>
    </row>
    <row r="13702" spans="1:1" x14ac:dyDescent="0.3">
      <c r="A13702" t="s">
        <v>0</v>
      </c>
    </row>
    <row r="13703" spans="1:1" x14ac:dyDescent="0.3">
      <c r="A13703" t="s">
        <v>0</v>
      </c>
    </row>
    <row r="13704" spans="1:1" x14ac:dyDescent="0.3">
      <c r="A13704" t="s">
        <v>0</v>
      </c>
    </row>
    <row r="13705" spans="1:1" x14ac:dyDescent="0.3">
      <c r="A13705" t="s">
        <v>0</v>
      </c>
    </row>
    <row r="13706" spans="1:1" x14ac:dyDescent="0.3">
      <c r="A13706" t="s">
        <v>0</v>
      </c>
    </row>
    <row r="13707" spans="1:1" x14ac:dyDescent="0.3">
      <c r="A13707" t="s">
        <v>0</v>
      </c>
    </row>
    <row r="13708" spans="1:1" x14ac:dyDescent="0.3">
      <c r="A13708" t="s">
        <v>0</v>
      </c>
    </row>
    <row r="13709" spans="1:1" x14ac:dyDescent="0.3">
      <c r="A13709" t="s">
        <v>0</v>
      </c>
    </row>
    <row r="13710" spans="1:1" x14ac:dyDescent="0.3">
      <c r="A13710" t="s">
        <v>0</v>
      </c>
    </row>
    <row r="13711" spans="1:1" x14ac:dyDescent="0.3">
      <c r="A13711" t="s">
        <v>0</v>
      </c>
    </row>
    <row r="13712" spans="1:1" x14ac:dyDescent="0.3">
      <c r="A13712" t="s">
        <v>0</v>
      </c>
    </row>
    <row r="13713" spans="1:1" x14ac:dyDescent="0.3">
      <c r="A13713" t="s">
        <v>0</v>
      </c>
    </row>
    <row r="13714" spans="1:1" x14ac:dyDescent="0.3">
      <c r="A13714" t="s">
        <v>0</v>
      </c>
    </row>
    <row r="13715" spans="1:1" x14ac:dyDescent="0.3">
      <c r="A13715" t="s">
        <v>0</v>
      </c>
    </row>
    <row r="13716" spans="1:1" x14ac:dyDescent="0.3">
      <c r="A13716" t="s">
        <v>0</v>
      </c>
    </row>
    <row r="13717" spans="1:1" x14ac:dyDescent="0.3">
      <c r="A13717" t="s">
        <v>0</v>
      </c>
    </row>
    <row r="13718" spans="1:1" x14ac:dyDescent="0.3">
      <c r="A13718" t="s">
        <v>0</v>
      </c>
    </row>
    <row r="13719" spans="1:1" x14ac:dyDescent="0.3">
      <c r="A13719" t="s">
        <v>0</v>
      </c>
    </row>
    <row r="13720" spans="1:1" x14ac:dyDescent="0.3">
      <c r="A13720" t="s">
        <v>0</v>
      </c>
    </row>
    <row r="13721" spans="1:1" x14ac:dyDescent="0.3">
      <c r="A13721" t="s">
        <v>0</v>
      </c>
    </row>
    <row r="13722" spans="1:1" x14ac:dyDescent="0.3">
      <c r="A13722" t="s">
        <v>0</v>
      </c>
    </row>
    <row r="13723" spans="1:1" x14ac:dyDescent="0.3">
      <c r="A13723" t="s">
        <v>0</v>
      </c>
    </row>
    <row r="13724" spans="1:1" x14ac:dyDescent="0.3">
      <c r="A13724" t="s">
        <v>0</v>
      </c>
    </row>
    <row r="13725" spans="1:1" x14ac:dyDescent="0.3">
      <c r="A13725" t="s">
        <v>0</v>
      </c>
    </row>
    <row r="13726" spans="1:1" x14ac:dyDescent="0.3">
      <c r="A13726" t="s">
        <v>0</v>
      </c>
    </row>
    <row r="13727" spans="1:1" x14ac:dyDescent="0.3">
      <c r="A13727" t="s">
        <v>0</v>
      </c>
    </row>
    <row r="13728" spans="1:1" x14ac:dyDescent="0.3">
      <c r="A13728" t="s">
        <v>0</v>
      </c>
    </row>
    <row r="13729" spans="1:1" x14ac:dyDescent="0.3">
      <c r="A13729" t="s">
        <v>0</v>
      </c>
    </row>
    <row r="13730" spans="1:1" x14ac:dyDescent="0.3">
      <c r="A13730" t="s">
        <v>0</v>
      </c>
    </row>
    <row r="13731" spans="1:1" x14ac:dyDescent="0.3">
      <c r="A13731" t="s">
        <v>0</v>
      </c>
    </row>
    <row r="13732" spans="1:1" x14ac:dyDescent="0.3">
      <c r="A13732" t="s">
        <v>0</v>
      </c>
    </row>
    <row r="13733" spans="1:1" x14ac:dyDescent="0.3">
      <c r="A13733" t="s">
        <v>0</v>
      </c>
    </row>
    <row r="13734" spans="1:1" x14ac:dyDescent="0.3">
      <c r="A13734" t="s">
        <v>0</v>
      </c>
    </row>
    <row r="13735" spans="1:1" x14ac:dyDescent="0.3">
      <c r="A13735" t="s">
        <v>0</v>
      </c>
    </row>
    <row r="13736" spans="1:1" x14ac:dyDescent="0.3">
      <c r="A13736" t="s">
        <v>0</v>
      </c>
    </row>
    <row r="13737" spans="1:1" x14ac:dyDescent="0.3">
      <c r="A13737" t="s">
        <v>0</v>
      </c>
    </row>
    <row r="13738" spans="1:1" x14ac:dyDescent="0.3">
      <c r="A13738" t="s">
        <v>0</v>
      </c>
    </row>
    <row r="13739" spans="1:1" x14ac:dyDescent="0.3">
      <c r="A13739" t="s">
        <v>0</v>
      </c>
    </row>
    <row r="13740" spans="1:1" x14ac:dyDescent="0.3">
      <c r="A13740" t="s">
        <v>0</v>
      </c>
    </row>
    <row r="13741" spans="1:1" x14ac:dyDescent="0.3">
      <c r="A13741" t="s">
        <v>0</v>
      </c>
    </row>
    <row r="13742" spans="1:1" x14ac:dyDescent="0.3">
      <c r="A13742" t="s">
        <v>0</v>
      </c>
    </row>
    <row r="13743" spans="1:1" x14ac:dyDescent="0.3">
      <c r="A13743" t="s">
        <v>0</v>
      </c>
    </row>
    <row r="13744" spans="1:1" x14ac:dyDescent="0.3">
      <c r="A13744" t="s">
        <v>0</v>
      </c>
    </row>
    <row r="13745" spans="1:1" x14ac:dyDescent="0.3">
      <c r="A13745" t="s">
        <v>0</v>
      </c>
    </row>
    <row r="13746" spans="1:1" x14ac:dyDescent="0.3">
      <c r="A13746" t="s">
        <v>0</v>
      </c>
    </row>
    <row r="13747" spans="1:1" x14ac:dyDescent="0.3">
      <c r="A13747" t="s">
        <v>0</v>
      </c>
    </row>
    <row r="13748" spans="1:1" x14ac:dyDescent="0.3">
      <c r="A13748" t="s">
        <v>0</v>
      </c>
    </row>
    <row r="13749" spans="1:1" x14ac:dyDescent="0.3">
      <c r="A13749" t="s">
        <v>0</v>
      </c>
    </row>
    <row r="13750" spans="1:1" x14ac:dyDescent="0.3">
      <c r="A13750" t="s">
        <v>0</v>
      </c>
    </row>
    <row r="13751" spans="1:1" x14ac:dyDescent="0.3">
      <c r="A13751" t="s">
        <v>0</v>
      </c>
    </row>
    <row r="13752" spans="1:1" x14ac:dyDescent="0.3">
      <c r="A13752" t="s">
        <v>0</v>
      </c>
    </row>
    <row r="13753" spans="1:1" x14ac:dyDescent="0.3">
      <c r="A13753" t="s">
        <v>0</v>
      </c>
    </row>
    <row r="13754" spans="1:1" x14ac:dyDescent="0.3">
      <c r="A13754" t="s">
        <v>0</v>
      </c>
    </row>
    <row r="13755" spans="1:1" x14ac:dyDescent="0.3">
      <c r="A13755" t="s">
        <v>0</v>
      </c>
    </row>
    <row r="13756" spans="1:1" x14ac:dyDescent="0.3">
      <c r="A13756" t="s">
        <v>0</v>
      </c>
    </row>
    <row r="13757" spans="1:1" x14ac:dyDescent="0.3">
      <c r="A13757" t="s">
        <v>0</v>
      </c>
    </row>
    <row r="13758" spans="1:1" x14ac:dyDescent="0.3">
      <c r="A13758" t="s">
        <v>0</v>
      </c>
    </row>
    <row r="13759" spans="1:1" x14ac:dyDescent="0.3">
      <c r="A13759" t="s">
        <v>0</v>
      </c>
    </row>
    <row r="13760" spans="1:1" x14ac:dyDescent="0.3">
      <c r="A13760" t="s">
        <v>0</v>
      </c>
    </row>
    <row r="13761" spans="1:1" x14ac:dyDescent="0.3">
      <c r="A13761" t="s">
        <v>0</v>
      </c>
    </row>
    <row r="13762" spans="1:1" x14ac:dyDescent="0.3">
      <c r="A13762" t="s">
        <v>0</v>
      </c>
    </row>
    <row r="13763" spans="1:1" x14ac:dyDescent="0.3">
      <c r="A13763" t="s">
        <v>0</v>
      </c>
    </row>
    <row r="13764" spans="1:1" x14ac:dyDescent="0.3">
      <c r="A13764" t="s">
        <v>0</v>
      </c>
    </row>
    <row r="13765" spans="1:1" x14ac:dyDescent="0.3">
      <c r="A13765" t="s">
        <v>0</v>
      </c>
    </row>
    <row r="13766" spans="1:1" x14ac:dyDescent="0.3">
      <c r="A13766" t="s">
        <v>0</v>
      </c>
    </row>
    <row r="13767" spans="1:1" x14ac:dyDescent="0.3">
      <c r="A13767" t="s">
        <v>0</v>
      </c>
    </row>
    <row r="13768" spans="1:1" x14ac:dyDescent="0.3">
      <c r="A13768" t="s">
        <v>0</v>
      </c>
    </row>
    <row r="13769" spans="1:1" x14ac:dyDescent="0.3">
      <c r="A13769" t="s">
        <v>0</v>
      </c>
    </row>
    <row r="13770" spans="1:1" x14ac:dyDescent="0.3">
      <c r="A13770" t="s">
        <v>0</v>
      </c>
    </row>
    <row r="13771" spans="1:1" x14ac:dyDescent="0.3">
      <c r="A13771" t="s">
        <v>0</v>
      </c>
    </row>
    <row r="13772" spans="1:1" x14ac:dyDescent="0.3">
      <c r="A13772" t="s">
        <v>0</v>
      </c>
    </row>
    <row r="13773" spans="1:1" x14ac:dyDescent="0.3">
      <c r="A13773" t="s">
        <v>0</v>
      </c>
    </row>
    <row r="13774" spans="1:1" x14ac:dyDescent="0.3">
      <c r="A13774" t="s">
        <v>0</v>
      </c>
    </row>
    <row r="13775" spans="1:1" x14ac:dyDescent="0.3">
      <c r="A13775" t="s">
        <v>0</v>
      </c>
    </row>
    <row r="13776" spans="1:1" x14ac:dyDescent="0.3">
      <c r="A13776" t="s">
        <v>0</v>
      </c>
    </row>
    <row r="13777" spans="1:1" x14ac:dyDescent="0.3">
      <c r="A13777" t="s">
        <v>0</v>
      </c>
    </row>
    <row r="13778" spans="1:1" x14ac:dyDescent="0.3">
      <c r="A13778" t="s">
        <v>0</v>
      </c>
    </row>
    <row r="13779" spans="1:1" x14ac:dyDescent="0.3">
      <c r="A13779" t="s">
        <v>0</v>
      </c>
    </row>
    <row r="13780" spans="1:1" x14ac:dyDescent="0.3">
      <c r="A13780" t="s">
        <v>0</v>
      </c>
    </row>
    <row r="13781" spans="1:1" x14ac:dyDescent="0.3">
      <c r="A13781" t="s">
        <v>0</v>
      </c>
    </row>
    <row r="13782" spans="1:1" x14ac:dyDescent="0.3">
      <c r="A13782" t="s">
        <v>0</v>
      </c>
    </row>
    <row r="13783" spans="1:1" x14ac:dyDescent="0.3">
      <c r="A13783" t="s">
        <v>0</v>
      </c>
    </row>
    <row r="13784" spans="1:1" x14ac:dyDescent="0.3">
      <c r="A13784" t="s">
        <v>0</v>
      </c>
    </row>
    <row r="13785" spans="1:1" x14ac:dyDescent="0.3">
      <c r="A13785" t="s">
        <v>0</v>
      </c>
    </row>
    <row r="13786" spans="1:1" x14ac:dyDescent="0.3">
      <c r="A13786" t="s">
        <v>0</v>
      </c>
    </row>
    <row r="13787" spans="1:1" x14ac:dyDescent="0.3">
      <c r="A13787" t="s">
        <v>0</v>
      </c>
    </row>
    <row r="13788" spans="1:1" x14ac:dyDescent="0.3">
      <c r="A13788" t="s">
        <v>0</v>
      </c>
    </row>
    <row r="13789" spans="1:1" x14ac:dyDescent="0.3">
      <c r="A13789" t="s">
        <v>0</v>
      </c>
    </row>
    <row r="13790" spans="1:1" x14ac:dyDescent="0.3">
      <c r="A13790" t="s">
        <v>0</v>
      </c>
    </row>
    <row r="13791" spans="1:1" x14ac:dyDescent="0.3">
      <c r="A13791" t="s">
        <v>0</v>
      </c>
    </row>
    <row r="13792" spans="1:1" x14ac:dyDescent="0.3">
      <c r="A13792" t="s">
        <v>0</v>
      </c>
    </row>
    <row r="13793" spans="1:1" x14ac:dyDescent="0.3">
      <c r="A13793" t="s">
        <v>0</v>
      </c>
    </row>
    <row r="13794" spans="1:1" x14ac:dyDescent="0.3">
      <c r="A13794" t="s">
        <v>0</v>
      </c>
    </row>
    <row r="13795" spans="1:1" x14ac:dyDescent="0.3">
      <c r="A13795" t="s">
        <v>0</v>
      </c>
    </row>
    <row r="13796" spans="1:1" x14ac:dyDescent="0.3">
      <c r="A13796" t="s">
        <v>0</v>
      </c>
    </row>
    <row r="13797" spans="1:1" x14ac:dyDescent="0.3">
      <c r="A13797" t="s">
        <v>0</v>
      </c>
    </row>
    <row r="13798" spans="1:1" x14ac:dyDescent="0.3">
      <c r="A13798" t="s">
        <v>0</v>
      </c>
    </row>
    <row r="13799" spans="1:1" x14ac:dyDescent="0.3">
      <c r="A13799" t="s">
        <v>0</v>
      </c>
    </row>
    <row r="13800" spans="1:1" x14ac:dyDescent="0.3">
      <c r="A13800" t="s">
        <v>0</v>
      </c>
    </row>
    <row r="13801" spans="1:1" x14ac:dyDescent="0.3">
      <c r="A13801" t="s">
        <v>0</v>
      </c>
    </row>
    <row r="13802" spans="1:1" x14ac:dyDescent="0.3">
      <c r="A13802" t="s">
        <v>0</v>
      </c>
    </row>
    <row r="13803" spans="1:1" x14ac:dyDescent="0.3">
      <c r="A13803" t="s">
        <v>0</v>
      </c>
    </row>
    <row r="13804" spans="1:1" x14ac:dyDescent="0.3">
      <c r="A13804" t="s">
        <v>0</v>
      </c>
    </row>
    <row r="13805" spans="1:1" x14ac:dyDescent="0.3">
      <c r="A13805" t="s">
        <v>0</v>
      </c>
    </row>
    <row r="13806" spans="1:1" x14ac:dyDescent="0.3">
      <c r="A13806" t="s">
        <v>0</v>
      </c>
    </row>
    <row r="13807" spans="1:1" x14ac:dyDescent="0.3">
      <c r="A13807" t="s">
        <v>0</v>
      </c>
    </row>
    <row r="13808" spans="1:1" x14ac:dyDescent="0.3">
      <c r="A13808" t="s">
        <v>0</v>
      </c>
    </row>
    <row r="13809" spans="1:1" x14ac:dyDescent="0.3">
      <c r="A13809" t="s">
        <v>0</v>
      </c>
    </row>
    <row r="13810" spans="1:1" x14ac:dyDescent="0.3">
      <c r="A13810" t="s">
        <v>0</v>
      </c>
    </row>
    <row r="13811" spans="1:1" x14ac:dyDescent="0.3">
      <c r="A13811" t="s">
        <v>0</v>
      </c>
    </row>
    <row r="13812" spans="1:1" x14ac:dyDescent="0.3">
      <c r="A13812" t="s">
        <v>0</v>
      </c>
    </row>
    <row r="13813" spans="1:1" x14ac:dyDescent="0.3">
      <c r="A13813" t="s">
        <v>0</v>
      </c>
    </row>
    <row r="13814" spans="1:1" x14ac:dyDescent="0.3">
      <c r="A13814" t="s">
        <v>0</v>
      </c>
    </row>
    <row r="13815" spans="1:1" x14ac:dyDescent="0.3">
      <c r="A13815" t="s">
        <v>0</v>
      </c>
    </row>
    <row r="13816" spans="1:1" x14ac:dyDescent="0.3">
      <c r="A13816" t="s">
        <v>0</v>
      </c>
    </row>
    <row r="13817" spans="1:1" x14ac:dyDescent="0.3">
      <c r="A13817" t="s">
        <v>0</v>
      </c>
    </row>
    <row r="13818" spans="1:1" x14ac:dyDescent="0.3">
      <c r="A13818" t="s">
        <v>0</v>
      </c>
    </row>
    <row r="13819" spans="1:1" x14ac:dyDescent="0.3">
      <c r="A13819" t="s">
        <v>0</v>
      </c>
    </row>
    <row r="13820" spans="1:1" x14ac:dyDescent="0.3">
      <c r="A13820" t="s">
        <v>0</v>
      </c>
    </row>
    <row r="13821" spans="1:1" x14ac:dyDescent="0.3">
      <c r="A13821" t="s">
        <v>0</v>
      </c>
    </row>
    <row r="13822" spans="1:1" x14ac:dyDescent="0.3">
      <c r="A13822" t="s">
        <v>0</v>
      </c>
    </row>
    <row r="13823" spans="1:1" x14ac:dyDescent="0.3">
      <c r="A13823" t="s">
        <v>0</v>
      </c>
    </row>
    <row r="13824" spans="1:1" x14ac:dyDescent="0.3">
      <c r="A13824" t="s">
        <v>0</v>
      </c>
    </row>
    <row r="13825" spans="1:1" x14ac:dyDescent="0.3">
      <c r="A13825" t="s">
        <v>0</v>
      </c>
    </row>
    <row r="13826" spans="1:1" x14ac:dyDescent="0.3">
      <c r="A13826" t="s">
        <v>0</v>
      </c>
    </row>
    <row r="13827" spans="1:1" x14ac:dyDescent="0.3">
      <c r="A13827" t="s">
        <v>0</v>
      </c>
    </row>
    <row r="13828" spans="1:1" x14ac:dyDescent="0.3">
      <c r="A13828" t="s">
        <v>0</v>
      </c>
    </row>
    <row r="13829" spans="1:1" x14ac:dyDescent="0.3">
      <c r="A13829" t="s">
        <v>0</v>
      </c>
    </row>
    <row r="13830" spans="1:1" x14ac:dyDescent="0.3">
      <c r="A13830" t="s">
        <v>0</v>
      </c>
    </row>
    <row r="13831" spans="1:1" x14ac:dyDescent="0.3">
      <c r="A13831" t="s">
        <v>0</v>
      </c>
    </row>
    <row r="13832" spans="1:1" x14ac:dyDescent="0.3">
      <c r="A13832" t="s">
        <v>0</v>
      </c>
    </row>
    <row r="13833" spans="1:1" x14ac:dyDescent="0.3">
      <c r="A13833" t="s">
        <v>0</v>
      </c>
    </row>
    <row r="13834" spans="1:1" x14ac:dyDescent="0.3">
      <c r="A13834" t="s">
        <v>0</v>
      </c>
    </row>
    <row r="13835" spans="1:1" x14ac:dyDescent="0.3">
      <c r="A13835" t="s">
        <v>0</v>
      </c>
    </row>
    <row r="13836" spans="1:1" x14ac:dyDescent="0.3">
      <c r="A13836" t="s">
        <v>0</v>
      </c>
    </row>
    <row r="13837" spans="1:1" x14ac:dyDescent="0.3">
      <c r="A13837" t="s">
        <v>0</v>
      </c>
    </row>
    <row r="13838" spans="1:1" x14ac:dyDescent="0.3">
      <c r="A13838" t="s">
        <v>0</v>
      </c>
    </row>
    <row r="13839" spans="1:1" x14ac:dyDescent="0.3">
      <c r="A13839" t="s">
        <v>0</v>
      </c>
    </row>
    <row r="13840" spans="1:1" x14ac:dyDescent="0.3">
      <c r="A13840" t="s">
        <v>0</v>
      </c>
    </row>
    <row r="13841" spans="1:1" x14ac:dyDescent="0.3">
      <c r="A13841" t="s">
        <v>0</v>
      </c>
    </row>
    <row r="13842" spans="1:1" x14ac:dyDescent="0.3">
      <c r="A13842" t="s">
        <v>0</v>
      </c>
    </row>
    <row r="13843" spans="1:1" x14ac:dyDescent="0.3">
      <c r="A13843" t="s">
        <v>0</v>
      </c>
    </row>
    <row r="13844" spans="1:1" x14ac:dyDescent="0.3">
      <c r="A13844" t="s">
        <v>0</v>
      </c>
    </row>
    <row r="13845" spans="1:1" x14ac:dyDescent="0.3">
      <c r="A13845" t="s">
        <v>0</v>
      </c>
    </row>
    <row r="13846" spans="1:1" x14ac:dyDescent="0.3">
      <c r="A13846" t="s">
        <v>0</v>
      </c>
    </row>
    <row r="13847" spans="1:1" x14ac:dyDescent="0.3">
      <c r="A13847" t="s">
        <v>0</v>
      </c>
    </row>
    <row r="13848" spans="1:1" x14ac:dyDescent="0.3">
      <c r="A13848" t="s">
        <v>0</v>
      </c>
    </row>
    <row r="13849" spans="1:1" x14ac:dyDescent="0.3">
      <c r="A13849" t="s">
        <v>0</v>
      </c>
    </row>
    <row r="13850" spans="1:1" x14ac:dyDescent="0.3">
      <c r="A13850" t="s">
        <v>0</v>
      </c>
    </row>
    <row r="13851" spans="1:1" x14ac:dyDescent="0.3">
      <c r="A13851" t="s">
        <v>0</v>
      </c>
    </row>
    <row r="13852" spans="1:1" x14ac:dyDescent="0.3">
      <c r="A13852" t="s">
        <v>0</v>
      </c>
    </row>
    <row r="13853" spans="1:1" x14ac:dyDescent="0.3">
      <c r="A13853" t="s">
        <v>0</v>
      </c>
    </row>
    <row r="13854" spans="1:1" x14ac:dyDescent="0.3">
      <c r="A13854" t="s">
        <v>0</v>
      </c>
    </row>
    <row r="13855" spans="1:1" x14ac:dyDescent="0.3">
      <c r="A13855" t="s">
        <v>0</v>
      </c>
    </row>
    <row r="13856" spans="1:1" x14ac:dyDescent="0.3">
      <c r="A13856" t="s">
        <v>0</v>
      </c>
    </row>
    <row r="13857" spans="1:1" x14ac:dyDescent="0.3">
      <c r="A13857" t="s">
        <v>0</v>
      </c>
    </row>
    <row r="13858" spans="1:1" x14ac:dyDescent="0.3">
      <c r="A13858" t="s">
        <v>0</v>
      </c>
    </row>
    <row r="13859" spans="1:1" x14ac:dyDescent="0.3">
      <c r="A13859" t="s">
        <v>0</v>
      </c>
    </row>
    <row r="13860" spans="1:1" x14ac:dyDescent="0.3">
      <c r="A13860" t="s">
        <v>0</v>
      </c>
    </row>
    <row r="13861" spans="1:1" x14ac:dyDescent="0.3">
      <c r="A13861" t="s">
        <v>0</v>
      </c>
    </row>
    <row r="13862" spans="1:1" x14ac:dyDescent="0.3">
      <c r="A13862" t="s">
        <v>0</v>
      </c>
    </row>
    <row r="13863" spans="1:1" x14ac:dyDescent="0.3">
      <c r="A13863" t="s">
        <v>0</v>
      </c>
    </row>
    <row r="13864" spans="1:1" x14ac:dyDescent="0.3">
      <c r="A13864" t="s">
        <v>0</v>
      </c>
    </row>
    <row r="13865" spans="1:1" x14ac:dyDescent="0.3">
      <c r="A13865" t="s">
        <v>0</v>
      </c>
    </row>
    <row r="13866" spans="1:1" x14ac:dyDescent="0.3">
      <c r="A13866" t="s">
        <v>0</v>
      </c>
    </row>
    <row r="13867" spans="1:1" x14ac:dyDescent="0.3">
      <c r="A13867" t="s">
        <v>0</v>
      </c>
    </row>
    <row r="13868" spans="1:1" x14ac:dyDescent="0.3">
      <c r="A13868" t="s">
        <v>0</v>
      </c>
    </row>
    <row r="13869" spans="1:1" x14ac:dyDescent="0.3">
      <c r="A13869" t="s">
        <v>0</v>
      </c>
    </row>
    <row r="13870" spans="1:1" x14ac:dyDescent="0.3">
      <c r="A13870" t="s">
        <v>0</v>
      </c>
    </row>
    <row r="13871" spans="1:1" x14ac:dyDescent="0.3">
      <c r="A13871" t="s">
        <v>0</v>
      </c>
    </row>
    <row r="13872" spans="1:1" x14ac:dyDescent="0.3">
      <c r="A13872" t="s">
        <v>0</v>
      </c>
    </row>
    <row r="13873" spans="1:1" x14ac:dyDescent="0.3">
      <c r="A13873" t="s">
        <v>0</v>
      </c>
    </row>
    <row r="13874" spans="1:1" x14ac:dyDescent="0.3">
      <c r="A13874" t="s">
        <v>0</v>
      </c>
    </row>
    <row r="13875" spans="1:1" x14ac:dyDescent="0.3">
      <c r="A13875" t="s">
        <v>0</v>
      </c>
    </row>
    <row r="13876" spans="1:1" x14ac:dyDescent="0.3">
      <c r="A13876" t="s">
        <v>0</v>
      </c>
    </row>
    <row r="13877" spans="1:1" x14ac:dyDescent="0.3">
      <c r="A13877" t="s">
        <v>0</v>
      </c>
    </row>
    <row r="13878" spans="1:1" x14ac:dyDescent="0.3">
      <c r="A13878" t="s">
        <v>0</v>
      </c>
    </row>
    <row r="13879" spans="1:1" x14ac:dyDescent="0.3">
      <c r="A13879" t="s">
        <v>0</v>
      </c>
    </row>
    <row r="13880" spans="1:1" x14ac:dyDescent="0.3">
      <c r="A13880" t="s">
        <v>0</v>
      </c>
    </row>
    <row r="13881" spans="1:1" x14ac:dyDescent="0.3">
      <c r="A13881" t="s">
        <v>0</v>
      </c>
    </row>
    <row r="13882" spans="1:1" x14ac:dyDescent="0.3">
      <c r="A13882" t="s">
        <v>0</v>
      </c>
    </row>
    <row r="13883" spans="1:1" x14ac:dyDescent="0.3">
      <c r="A13883" t="s">
        <v>0</v>
      </c>
    </row>
    <row r="13884" spans="1:1" x14ac:dyDescent="0.3">
      <c r="A13884" t="s">
        <v>0</v>
      </c>
    </row>
    <row r="13885" spans="1:1" x14ac:dyDescent="0.3">
      <c r="A13885" t="s">
        <v>0</v>
      </c>
    </row>
    <row r="13886" spans="1:1" x14ac:dyDescent="0.3">
      <c r="A13886" t="s">
        <v>0</v>
      </c>
    </row>
    <row r="13887" spans="1:1" x14ac:dyDescent="0.3">
      <c r="A13887" t="s">
        <v>0</v>
      </c>
    </row>
    <row r="13888" spans="1:1" x14ac:dyDescent="0.3">
      <c r="A13888" t="s">
        <v>0</v>
      </c>
    </row>
    <row r="13889" spans="1:1" x14ac:dyDescent="0.3">
      <c r="A13889" t="s">
        <v>0</v>
      </c>
    </row>
    <row r="13890" spans="1:1" x14ac:dyDescent="0.3">
      <c r="A13890" t="s">
        <v>0</v>
      </c>
    </row>
    <row r="13891" spans="1:1" x14ac:dyDescent="0.3">
      <c r="A13891" t="s">
        <v>0</v>
      </c>
    </row>
    <row r="13892" spans="1:1" x14ac:dyDescent="0.3">
      <c r="A13892" t="s">
        <v>0</v>
      </c>
    </row>
    <row r="13893" spans="1:1" x14ac:dyDescent="0.3">
      <c r="A13893" t="s">
        <v>0</v>
      </c>
    </row>
    <row r="13894" spans="1:1" x14ac:dyDescent="0.3">
      <c r="A13894" t="s">
        <v>0</v>
      </c>
    </row>
    <row r="13895" spans="1:1" x14ac:dyDescent="0.3">
      <c r="A13895" t="s">
        <v>0</v>
      </c>
    </row>
    <row r="13896" spans="1:1" x14ac:dyDescent="0.3">
      <c r="A13896" t="s">
        <v>0</v>
      </c>
    </row>
    <row r="13897" spans="1:1" x14ac:dyDescent="0.3">
      <c r="A13897" t="s">
        <v>0</v>
      </c>
    </row>
    <row r="13898" spans="1:1" x14ac:dyDescent="0.3">
      <c r="A13898" t="s">
        <v>0</v>
      </c>
    </row>
    <row r="13899" spans="1:1" x14ac:dyDescent="0.3">
      <c r="A13899" t="s">
        <v>0</v>
      </c>
    </row>
    <row r="13900" spans="1:1" x14ac:dyDescent="0.3">
      <c r="A13900" t="s">
        <v>0</v>
      </c>
    </row>
    <row r="13901" spans="1:1" x14ac:dyDescent="0.3">
      <c r="A13901" t="s">
        <v>0</v>
      </c>
    </row>
    <row r="13902" spans="1:1" x14ac:dyDescent="0.3">
      <c r="A13902" t="s">
        <v>0</v>
      </c>
    </row>
    <row r="13903" spans="1:1" x14ac:dyDescent="0.3">
      <c r="A13903" t="s">
        <v>0</v>
      </c>
    </row>
    <row r="13904" spans="1:1" x14ac:dyDescent="0.3">
      <c r="A13904" t="s">
        <v>0</v>
      </c>
    </row>
    <row r="13905" spans="1:1" x14ac:dyDescent="0.3">
      <c r="A13905" t="s">
        <v>0</v>
      </c>
    </row>
    <row r="13906" spans="1:1" x14ac:dyDescent="0.3">
      <c r="A13906" t="s">
        <v>0</v>
      </c>
    </row>
    <row r="13907" spans="1:1" x14ac:dyDescent="0.3">
      <c r="A13907" t="s">
        <v>0</v>
      </c>
    </row>
    <row r="13908" spans="1:1" x14ac:dyDescent="0.3">
      <c r="A13908" t="s">
        <v>0</v>
      </c>
    </row>
    <row r="13909" spans="1:1" x14ac:dyDescent="0.3">
      <c r="A13909" t="s">
        <v>0</v>
      </c>
    </row>
    <row r="13910" spans="1:1" x14ac:dyDescent="0.3">
      <c r="A13910" t="s">
        <v>0</v>
      </c>
    </row>
    <row r="13911" spans="1:1" x14ac:dyDescent="0.3">
      <c r="A13911" t="s">
        <v>0</v>
      </c>
    </row>
    <row r="13912" spans="1:1" x14ac:dyDescent="0.3">
      <c r="A13912" t="s">
        <v>0</v>
      </c>
    </row>
    <row r="13913" spans="1:1" x14ac:dyDescent="0.3">
      <c r="A13913" t="s">
        <v>0</v>
      </c>
    </row>
    <row r="13914" spans="1:1" x14ac:dyDescent="0.3">
      <c r="A13914" t="s">
        <v>0</v>
      </c>
    </row>
    <row r="13915" spans="1:1" x14ac:dyDescent="0.3">
      <c r="A13915" t="s">
        <v>0</v>
      </c>
    </row>
    <row r="13916" spans="1:1" x14ac:dyDescent="0.3">
      <c r="A13916" t="s">
        <v>0</v>
      </c>
    </row>
    <row r="13917" spans="1:1" x14ac:dyDescent="0.3">
      <c r="A13917" t="s">
        <v>0</v>
      </c>
    </row>
    <row r="13918" spans="1:1" x14ac:dyDescent="0.3">
      <c r="A13918" t="s">
        <v>0</v>
      </c>
    </row>
    <row r="13919" spans="1:1" x14ac:dyDescent="0.3">
      <c r="A13919" t="s">
        <v>0</v>
      </c>
    </row>
    <row r="13920" spans="1:1" x14ac:dyDescent="0.3">
      <c r="A13920" t="s">
        <v>0</v>
      </c>
    </row>
    <row r="13921" spans="1:1" x14ac:dyDescent="0.3">
      <c r="A13921" t="s">
        <v>0</v>
      </c>
    </row>
    <row r="13922" spans="1:1" x14ac:dyDescent="0.3">
      <c r="A13922" t="s">
        <v>0</v>
      </c>
    </row>
    <row r="13923" spans="1:1" x14ac:dyDescent="0.3">
      <c r="A13923" t="s">
        <v>0</v>
      </c>
    </row>
    <row r="13924" spans="1:1" x14ac:dyDescent="0.3">
      <c r="A13924" t="s">
        <v>0</v>
      </c>
    </row>
    <row r="13925" spans="1:1" x14ac:dyDescent="0.3">
      <c r="A13925" t="s">
        <v>0</v>
      </c>
    </row>
    <row r="13926" spans="1:1" x14ac:dyDescent="0.3">
      <c r="A13926" t="s">
        <v>0</v>
      </c>
    </row>
    <row r="13927" spans="1:1" x14ac:dyDescent="0.3">
      <c r="A13927" t="s">
        <v>0</v>
      </c>
    </row>
    <row r="13928" spans="1:1" x14ac:dyDescent="0.3">
      <c r="A13928" t="s">
        <v>0</v>
      </c>
    </row>
    <row r="13929" spans="1:1" x14ac:dyDescent="0.3">
      <c r="A13929" t="s">
        <v>0</v>
      </c>
    </row>
    <row r="13930" spans="1:1" x14ac:dyDescent="0.3">
      <c r="A13930" t="s">
        <v>0</v>
      </c>
    </row>
    <row r="13931" spans="1:1" x14ac:dyDescent="0.3">
      <c r="A13931" t="s">
        <v>0</v>
      </c>
    </row>
    <row r="13932" spans="1:1" x14ac:dyDescent="0.3">
      <c r="A13932" t="s">
        <v>0</v>
      </c>
    </row>
    <row r="13933" spans="1:1" x14ac:dyDescent="0.3">
      <c r="A13933" t="s">
        <v>0</v>
      </c>
    </row>
    <row r="13934" spans="1:1" x14ac:dyDescent="0.3">
      <c r="A13934" t="s">
        <v>0</v>
      </c>
    </row>
    <row r="13935" spans="1:1" x14ac:dyDescent="0.3">
      <c r="A13935" t="s">
        <v>0</v>
      </c>
    </row>
    <row r="13936" spans="1:1" x14ac:dyDescent="0.3">
      <c r="A13936" t="s">
        <v>0</v>
      </c>
    </row>
    <row r="13937" spans="1:1" x14ac:dyDescent="0.3">
      <c r="A13937" t="s">
        <v>0</v>
      </c>
    </row>
    <row r="13938" spans="1:1" x14ac:dyDescent="0.3">
      <c r="A13938" t="s">
        <v>0</v>
      </c>
    </row>
    <row r="13939" spans="1:1" x14ac:dyDescent="0.3">
      <c r="A13939" t="s">
        <v>0</v>
      </c>
    </row>
    <row r="13940" spans="1:1" x14ac:dyDescent="0.3">
      <c r="A13940" t="s">
        <v>0</v>
      </c>
    </row>
    <row r="13941" spans="1:1" x14ac:dyDescent="0.3">
      <c r="A13941" t="s">
        <v>0</v>
      </c>
    </row>
    <row r="13942" spans="1:1" x14ac:dyDescent="0.3">
      <c r="A13942" t="s">
        <v>0</v>
      </c>
    </row>
    <row r="13943" spans="1:1" x14ac:dyDescent="0.3">
      <c r="A13943" t="s">
        <v>0</v>
      </c>
    </row>
    <row r="13944" spans="1:1" x14ac:dyDescent="0.3">
      <c r="A13944" t="s">
        <v>0</v>
      </c>
    </row>
    <row r="13945" spans="1:1" x14ac:dyDescent="0.3">
      <c r="A13945" t="s">
        <v>0</v>
      </c>
    </row>
    <row r="13946" spans="1:1" x14ac:dyDescent="0.3">
      <c r="A13946" t="s">
        <v>0</v>
      </c>
    </row>
    <row r="13947" spans="1:1" x14ac:dyDescent="0.3">
      <c r="A13947" t="s">
        <v>0</v>
      </c>
    </row>
    <row r="13948" spans="1:1" x14ac:dyDescent="0.3">
      <c r="A13948" t="s">
        <v>0</v>
      </c>
    </row>
    <row r="13949" spans="1:1" x14ac:dyDescent="0.3">
      <c r="A13949" t="s">
        <v>0</v>
      </c>
    </row>
    <row r="13950" spans="1:1" x14ac:dyDescent="0.3">
      <c r="A13950" t="s">
        <v>0</v>
      </c>
    </row>
    <row r="13951" spans="1:1" x14ac:dyDescent="0.3">
      <c r="A13951" t="s">
        <v>0</v>
      </c>
    </row>
    <row r="13952" spans="1:1" x14ac:dyDescent="0.3">
      <c r="A13952" t="s">
        <v>0</v>
      </c>
    </row>
    <row r="13953" spans="1:1" x14ac:dyDescent="0.3">
      <c r="A13953" t="s">
        <v>0</v>
      </c>
    </row>
    <row r="13954" spans="1:1" x14ac:dyDescent="0.3">
      <c r="A13954" t="s">
        <v>0</v>
      </c>
    </row>
    <row r="13955" spans="1:1" x14ac:dyDescent="0.3">
      <c r="A13955" t="s">
        <v>0</v>
      </c>
    </row>
    <row r="13956" spans="1:1" x14ac:dyDescent="0.3">
      <c r="A13956" t="s">
        <v>0</v>
      </c>
    </row>
    <row r="13957" spans="1:1" x14ac:dyDescent="0.3">
      <c r="A13957" t="s">
        <v>0</v>
      </c>
    </row>
    <row r="13958" spans="1:1" x14ac:dyDescent="0.3">
      <c r="A13958" t="s">
        <v>0</v>
      </c>
    </row>
    <row r="13959" spans="1:1" x14ac:dyDescent="0.3">
      <c r="A13959" t="s">
        <v>0</v>
      </c>
    </row>
    <row r="13960" spans="1:1" x14ac:dyDescent="0.3">
      <c r="A13960" t="s">
        <v>0</v>
      </c>
    </row>
    <row r="13961" spans="1:1" x14ac:dyDescent="0.3">
      <c r="A13961" t="s">
        <v>0</v>
      </c>
    </row>
    <row r="13962" spans="1:1" x14ac:dyDescent="0.3">
      <c r="A13962" t="s">
        <v>0</v>
      </c>
    </row>
    <row r="13963" spans="1:1" x14ac:dyDescent="0.3">
      <c r="A13963" t="s">
        <v>0</v>
      </c>
    </row>
    <row r="13964" spans="1:1" x14ac:dyDescent="0.3">
      <c r="A13964" t="s">
        <v>0</v>
      </c>
    </row>
    <row r="13965" spans="1:1" x14ac:dyDescent="0.3">
      <c r="A13965" t="s">
        <v>0</v>
      </c>
    </row>
    <row r="13966" spans="1:1" x14ac:dyDescent="0.3">
      <c r="A13966" t="s">
        <v>0</v>
      </c>
    </row>
    <row r="13967" spans="1:1" x14ac:dyDescent="0.3">
      <c r="A13967" t="s">
        <v>0</v>
      </c>
    </row>
    <row r="13968" spans="1:1" x14ac:dyDescent="0.3">
      <c r="A13968" t="s">
        <v>0</v>
      </c>
    </row>
    <row r="13969" spans="1:1" x14ac:dyDescent="0.3">
      <c r="A13969" t="s">
        <v>0</v>
      </c>
    </row>
    <row r="13970" spans="1:1" x14ac:dyDescent="0.3">
      <c r="A13970" t="s">
        <v>0</v>
      </c>
    </row>
    <row r="13971" spans="1:1" x14ac:dyDescent="0.3">
      <c r="A13971" t="s">
        <v>0</v>
      </c>
    </row>
    <row r="13972" spans="1:1" x14ac:dyDescent="0.3">
      <c r="A13972" t="s">
        <v>0</v>
      </c>
    </row>
    <row r="13973" spans="1:1" x14ac:dyDescent="0.3">
      <c r="A13973" t="s">
        <v>0</v>
      </c>
    </row>
    <row r="13974" spans="1:1" x14ac:dyDescent="0.3">
      <c r="A13974" t="s">
        <v>0</v>
      </c>
    </row>
    <row r="13975" spans="1:1" x14ac:dyDescent="0.3">
      <c r="A13975" t="s">
        <v>0</v>
      </c>
    </row>
    <row r="13976" spans="1:1" x14ac:dyDescent="0.3">
      <c r="A13976" t="s">
        <v>0</v>
      </c>
    </row>
    <row r="13977" spans="1:1" x14ac:dyDescent="0.3">
      <c r="A13977" t="s">
        <v>0</v>
      </c>
    </row>
    <row r="13978" spans="1:1" x14ac:dyDescent="0.3">
      <c r="A13978" t="s">
        <v>0</v>
      </c>
    </row>
    <row r="13979" spans="1:1" x14ac:dyDescent="0.3">
      <c r="A13979" t="s">
        <v>0</v>
      </c>
    </row>
    <row r="13980" spans="1:1" x14ac:dyDescent="0.3">
      <c r="A13980" t="s">
        <v>0</v>
      </c>
    </row>
    <row r="13981" spans="1:1" x14ac:dyDescent="0.3">
      <c r="A13981" t="s">
        <v>0</v>
      </c>
    </row>
    <row r="13982" spans="1:1" x14ac:dyDescent="0.3">
      <c r="A13982" t="s">
        <v>0</v>
      </c>
    </row>
    <row r="13983" spans="1:1" x14ac:dyDescent="0.3">
      <c r="A13983" t="s">
        <v>0</v>
      </c>
    </row>
    <row r="13984" spans="1:1" x14ac:dyDescent="0.3">
      <c r="A13984" t="s">
        <v>0</v>
      </c>
    </row>
    <row r="13985" spans="1:1" x14ac:dyDescent="0.3">
      <c r="A13985" t="s">
        <v>0</v>
      </c>
    </row>
    <row r="13986" spans="1:1" x14ac:dyDescent="0.3">
      <c r="A13986" t="s">
        <v>0</v>
      </c>
    </row>
    <row r="13987" spans="1:1" x14ac:dyDescent="0.3">
      <c r="A13987" t="s">
        <v>0</v>
      </c>
    </row>
    <row r="13988" spans="1:1" x14ac:dyDescent="0.3">
      <c r="A13988" t="s">
        <v>0</v>
      </c>
    </row>
    <row r="13989" spans="1:1" x14ac:dyDescent="0.3">
      <c r="A13989" t="s">
        <v>0</v>
      </c>
    </row>
    <row r="13990" spans="1:1" x14ac:dyDescent="0.3">
      <c r="A13990" t="s">
        <v>0</v>
      </c>
    </row>
    <row r="13991" spans="1:1" x14ac:dyDescent="0.3">
      <c r="A13991" t="s">
        <v>0</v>
      </c>
    </row>
    <row r="13992" spans="1:1" x14ac:dyDescent="0.3">
      <c r="A13992" t="s">
        <v>0</v>
      </c>
    </row>
    <row r="13993" spans="1:1" x14ac:dyDescent="0.3">
      <c r="A13993" t="s">
        <v>0</v>
      </c>
    </row>
    <row r="13994" spans="1:1" x14ac:dyDescent="0.3">
      <c r="A13994" t="s">
        <v>0</v>
      </c>
    </row>
    <row r="13995" spans="1:1" x14ac:dyDescent="0.3">
      <c r="A13995" t="s">
        <v>0</v>
      </c>
    </row>
    <row r="13996" spans="1:1" x14ac:dyDescent="0.3">
      <c r="A13996" t="s">
        <v>0</v>
      </c>
    </row>
    <row r="13997" spans="1:1" x14ac:dyDescent="0.3">
      <c r="A13997" t="s">
        <v>0</v>
      </c>
    </row>
    <row r="13998" spans="1:1" x14ac:dyDescent="0.3">
      <c r="A13998" t="s">
        <v>0</v>
      </c>
    </row>
    <row r="13999" spans="1:1" x14ac:dyDescent="0.3">
      <c r="A13999" t="s">
        <v>0</v>
      </c>
    </row>
    <row r="14000" spans="1:1" x14ac:dyDescent="0.3">
      <c r="A14000" t="s">
        <v>0</v>
      </c>
    </row>
    <row r="14001" spans="1:1" x14ac:dyDescent="0.3">
      <c r="A14001" t="s">
        <v>0</v>
      </c>
    </row>
    <row r="14002" spans="1:1" x14ac:dyDescent="0.3">
      <c r="A14002" t="s">
        <v>0</v>
      </c>
    </row>
    <row r="14003" spans="1:1" x14ac:dyDescent="0.3">
      <c r="A14003" t="s">
        <v>0</v>
      </c>
    </row>
    <row r="14004" spans="1:1" x14ac:dyDescent="0.3">
      <c r="A14004" t="s">
        <v>0</v>
      </c>
    </row>
    <row r="14005" spans="1:1" x14ac:dyDescent="0.3">
      <c r="A14005" t="s">
        <v>0</v>
      </c>
    </row>
    <row r="14006" spans="1:1" x14ac:dyDescent="0.3">
      <c r="A14006" t="s">
        <v>0</v>
      </c>
    </row>
    <row r="14007" spans="1:1" x14ac:dyDescent="0.3">
      <c r="A14007" t="s">
        <v>0</v>
      </c>
    </row>
    <row r="14008" spans="1:1" x14ac:dyDescent="0.3">
      <c r="A14008" t="s">
        <v>0</v>
      </c>
    </row>
    <row r="14009" spans="1:1" x14ac:dyDescent="0.3">
      <c r="A14009" t="s">
        <v>0</v>
      </c>
    </row>
    <row r="14010" spans="1:1" x14ac:dyDescent="0.3">
      <c r="A14010" t="s">
        <v>0</v>
      </c>
    </row>
    <row r="14011" spans="1:1" x14ac:dyDescent="0.3">
      <c r="A14011" t="s">
        <v>0</v>
      </c>
    </row>
    <row r="14012" spans="1:1" x14ac:dyDescent="0.3">
      <c r="A14012" t="s">
        <v>0</v>
      </c>
    </row>
    <row r="14013" spans="1:1" x14ac:dyDescent="0.3">
      <c r="A14013" t="s">
        <v>0</v>
      </c>
    </row>
    <row r="14014" spans="1:1" x14ac:dyDescent="0.3">
      <c r="A14014" t="s">
        <v>0</v>
      </c>
    </row>
    <row r="14015" spans="1:1" x14ac:dyDescent="0.3">
      <c r="A14015" t="s">
        <v>0</v>
      </c>
    </row>
    <row r="14016" spans="1:1" x14ac:dyDescent="0.3">
      <c r="A14016" t="s">
        <v>0</v>
      </c>
    </row>
    <row r="14017" spans="1:1" x14ac:dyDescent="0.3">
      <c r="A14017" t="s">
        <v>0</v>
      </c>
    </row>
    <row r="14018" spans="1:1" x14ac:dyDescent="0.3">
      <c r="A14018" t="s">
        <v>0</v>
      </c>
    </row>
    <row r="14019" spans="1:1" x14ac:dyDescent="0.3">
      <c r="A14019" t="s">
        <v>0</v>
      </c>
    </row>
    <row r="14020" spans="1:1" x14ac:dyDescent="0.3">
      <c r="A14020" t="s">
        <v>0</v>
      </c>
    </row>
    <row r="14021" spans="1:1" x14ac:dyDescent="0.3">
      <c r="A14021" t="s">
        <v>0</v>
      </c>
    </row>
    <row r="14022" spans="1:1" x14ac:dyDescent="0.3">
      <c r="A14022" t="s">
        <v>0</v>
      </c>
    </row>
    <row r="14023" spans="1:1" x14ac:dyDescent="0.3">
      <c r="A14023" t="s">
        <v>0</v>
      </c>
    </row>
    <row r="14024" spans="1:1" x14ac:dyDescent="0.3">
      <c r="A14024" t="s">
        <v>0</v>
      </c>
    </row>
    <row r="14025" spans="1:1" x14ac:dyDescent="0.3">
      <c r="A14025" t="s">
        <v>0</v>
      </c>
    </row>
    <row r="14026" spans="1:1" x14ac:dyDescent="0.3">
      <c r="A14026" t="s">
        <v>0</v>
      </c>
    </row>
    <row r="14027" spans="1:1" x14ac:dyDescent="0.3">
      <c r="A14027" t="s">
        <v>0</v>
      </c>
    </row>
    <row r="14028" spans="1:1" x14ac:dyDescent="0.3">
      <c r="A14028" t="s">
        <v>0</v>
      </c>
    </row>
    <row r="14029" spans="1:1" x14ac:dyDescent="0.3">
      <c r="A14029" t="s">
        <v>0</v>
      </c>
    </row>
    <row r="14030" spans="1:1" x14ac:dyDescent="0.3">
      <c r="A14030" t="s">
        <v>0</v>
      </c>
    </row>
    <row r="14031" spans="1:1" x14ac:dyDescent="0.3">
      <c r="A14031" t="s">
        <v>0</v>
      </c>
    </row>
    <row r="14032" spans="1:1" x14ac:dyDescent="0.3">
      <c r="A14032" t="s">
        <v>0</v>
      </c>
    </row>
    <row r="14033" spans="1:1" x14ac:dyDescent="0.3">
      <c r="A14033" t="s">
        <v>0</v>
      </c>
    </row>
    <row r="14034" spans="1:1" x14ac:dyDescent="0.3">
      <c r="A14034" t="s">
        <v>0</v>
      </c>
    </row>
    <row r="14035" spans="1:1" x14ac:dyDescent="0.3">
      <c r="A14035" t="s">
        <v>0</v>
      </c>
    </row>
    <row r="14036" spans="1:1" x14ac:dyDescent="0.3">
      <c r="A14036" t="s">
        <v>0</v>
      </c>
    </row>
    <row r="14037" spans="1:1" x14ac:dyDescent="0.3">
      <c r="A14037" t="s">
        <v>0</v>
      </c>
    </row>
    <row r="14038" spans="1:1" x14ac:dyDescent="0.3">
      <c r="A14038" t="s">
        <v>0</v>
      </c>
    </row>
    <row r="14039" spans="1:1" x14ac:dyDescent="0.3">
      <c r="A14039" t="s">
        <v>0</v>
      </c>
    </row>
    <row r="14040" spans="1:1" x14ac:dyDescent="0.3">
      <c r="A14040" t="s">
        <v>0</v>
      </c>
    </row>
    <row r="14041" spans="1:1" x14ac:dyDescent="0.3">
      <c r="A14041" t="s">
        <v>0</v>
      </c>
    </row>
    <row r="14042" spans="1:1" x14ac:dyDescent="0.3">
      <c r="A14042" t="s">
        <v>0</v>
      </c>
    </row>
    <row r="14043" spans="1:1" x14ac:dyDescent="0.3">
      <c r="A14043" t="s">
        <v>0</v>
      </c>
    </row>
    <row r="14044" spans="1:1" x14ac:dyDescent="0.3">
      <c r="A14044" t="s">
        <v>0</v>
      </c>
    </row>
    <row r="14045" spans="1:1" x14ac:dyDescent="0.3">
      <c r="A14045" t="s">
        <v>0</v>
      </c>
    </row>
    <row r="14046" spans="1:1" x14ac:dyDescent="0.3">
      <c r="A14046" t="s">
        <v>0</v>
      </c>
    </row>
    <row r="14047" spans="1:1" x14ac:dyDescent="0.3">
      <c r="A14047" t="s">
        <v>0</v>
      </c>
    </row>
    <row r="14048" spans="1:1" x14ac:dyDescent="0.3">
      <c r="A14048" t="s">
        <v>0</v>
      </c>
    </row>
    <row r="14049" spans="1:1" x14ac:dyDescent="0.3">
      <c r="A14049" t="s">
        <v>0</v>
      </c>
    </row>
    <row r="14050" spans="1:1" x14ac:dyDescent="0.3">
      <c r="A14050" t="s">
        <v>0</v>
      </c>
    </row>
    <row r="14051" spans="1:1" x14ac:dyDescent="0.3">
      <c r="A14051" t="s">
        <v>0</v>
      </c>
    </row>
    <row r="14052" spans="1:1" x14ac:dyDescent="0.3">
      <c r="A14052" t="s">
        <v>0</v>
      </c>
    </row>
    <row r="14053" spans="1:1" x14ac:dyDescent="0.3">
      <c r="A14053" t="s">
        <v>0</v>
      </c>
    </row>
    <row r="14054" spans="1:1" x14ac:dyDescent="0.3">
      <c r="A14054" t="s">
        <v>0</v>
      </c>
    </row>
    <row r="14055" spans="1:1" x14ac:dyDescent="0.3">
      <c r="A14055" t="s">
        <v>0</v>
      </c>
    </row>
    <row r="14056" spans="1:1" x14ac:dyDescent="0.3">
      <c r="A14056" t="s">
        <v>0</v>
      </c>
    </row>
    <row r="14057" spans="1:1" x14ac:dyDescent="0.3">
      <c r="A14057" t="s">
        <v>0</v>
      </c>
    </row>
    <row r="14058" spans="1:1" x14ac:dyDescent="0.3">
      <c r="A14058" t="s">
        <v>0</v>
      </c>
    </row>
    <row r="14059" spans="1:1" x14ac:dyDescent="0.3">
      <c r="A14059" t="s">
        <v>0</v>
      </c>
    </row>
    <row r="14060" spans="1:1" x14ac:dyDescent="0.3">
      <c r="A14060" t="s">
        <v>0</v>
      </c>
    </row>
    <row r="14061" spans="1:1" x14ac:dyDescent="0.3">
      <c r="A14061" t="s">
        <v>0</v>
      </c>
    </row>
    <row r="14062" spans="1:1" x14ac:dyDescent="0.3">
      <c r="A14062" t="s">
        <v>0</v>
      </c>
    </row>
    <row r="14063" spans="1:1" x14ac:dyDescent="0.3">
      <c r="A14063" t="s">
        <v>0</v>
      </c>
    </row>
    <row r="14064" spans="1:1" x14ac:dyDescent="0.3">
      <c r="A14064" t="s">
        <v>0</v>
      </c>
    </row>
    <row r="14065" spans="1:1" x14ac:dyDescent="0.3">
      <c r="A14065" t="s">
        <v>0</v>
      </c>
    </row>
    <row r="14066" spans="1:1" x14ac:dyDescent="0.3">
      <c r="A14066" t="s">
        <v>0</v>
      </c>
    </row>
    <row r="14067" spans="1:1" x14ac:dyDescent="0.3">
      <c r="A14067" t="s">
        <v>0</v>
      </c>
    </row>
    <row r="14068" spans="1:1" x14ac:dyDescent="0.3">
      <c r="A14068" t="s">
        <v>0</v>
      </c>
    </row>
    <row r="14069" spans="1:1" x14ac:dyDescent="0.3">
      <c r="A14069" t="s">
        <v>0</v>
      </c>
    </row>
    <row r="14070" spans="1:1" x14ac:dyDescent="0.3">
      <c r="A14070" t="s">
        <v>0</v>
      </c>
    </row>
    <row r="14071" spans="1:1" x14ac:dyDescent="0.3">
      <c r="A14071" t="s">
        <v>0</v>
      </c>
    </row>
    <row r="14072" spans="1:1" x14ac:dyDescent="0.3">
      <c r="A14072" t="s">
        <v>0</v>
      </c>
    </row>
    <row r="14073" spans="1:1" x14ac:dyDescent="0.3">
      <c r="A14073" t="s">
        <v>0</v>
      </c>
    </row>
    <row r="14074" spans="1:1" x14ac:dyDescent="0.3">
      <c r="A14074" t="s">
        <v>0</v>
      </c>
    </row>
    <row r="14075" spans="1:1" x14ac:dyDescent="0.3">
      <c r="A14075" t="s">
        <v>0</v>
      </c>
    </row>
    <row r="14076" spans="1:1" x14ac:dyDescent="0.3">
      <c r="A14076" t="s">
        <v>0</v>
      </c>
    </row>
    <row r="14077" spans="1:1" x14ac:dyDescent="0.3">
      <c r="A14077" t="s">
        <v>0</v>
      </c>
    </row>
    <row r="14078" spans="1:1" x14ac:dyDescent="0.3">
      <c r="A14078" t="s">
        <v>0</v>
      </c>
    </row>
    <row r="14079" spans="1:1" x14ac:dyDescent="0.3">
      <c r="A14079" t="s">
        <v>0</v>
      </c>
    </row>
    <row r="14080" spans="1:1" x14ac:dyDescent="0.3">
      <c r="A14080" t="s">
        <v>0</v>
      </c>
    </row>
    <row r="14081" spans="1:1" x14ac:dyDescent="0.3">
      <c r="A14081" t="s">
        <v>0</v>
      </c>
    </row>
    <row r="14082" spans="1:1" x14ac:dyDescent="0.3">
      <c r="A14082" t="s">
        <v>0</v>
      </c>
    </row>
    <row r="14083" spans="1:1" x14ac:dyDescent="0.3">
      <c r="A14083" t="s">
        <v>0</v>
      </c>
    </row>
    <row r="14084" spans="1:1" x14ac:dyDescent="0.3">
      <c r="A14084" t="s">
        <v>0</v>
      </c>
    </row>
    <row r="14085" spans="1:1" x14ac:dyDescent="0.3">
      <c r="A14085" t="s">
        <v>0</v>
      </c>
    </row>
    <row r="14086" spans="1:1" x14ac:dyDescent="0.3">
      <c r="A14086" t="s">
        <v>0</v>
      </c>
    </row>
    <row r="14087" spans="1:1" x14ac:dyDescent="0.3">
      <c r="A14087" t="s">
        <v>0</v>
      </c>
    </row>
    <row r="14088" spans="1:1" x14ac:dyDescent="0.3">
      <c r="A14088" t="s">
        <v>0</v>
      </c>
    </row>
    <row r="14089" spans="1:1" x14ac:dyDescent="0.3">
      <c r="A14089" t="s">
        <v>0</v>
      </c>
    </row>
    <row r="14090" spans="1:1" x14ac:dyDescent="0.3">
      <c r="A14090" t="s">
        <v>0</v>
      </c>
    </row>
    <row r="14091" spans="1:1" x14ac:dyDescent="0.3">
      <c r="A14091" t="s">
        <v>0</v>
      </c>
    </row>
    <row r="14092" spans="1:1" x14ac:dyDescent="0.3">
      <c r="A14092" t="s">
        <v>0</v>
      </c>
    </row>
    <row r="14093" spans="1:1" x14ac:dyDescent="0.3">
      <c r="A14093" t="s">
        <v>0</v>
      </c>
    </row>
    <row r="14094" spans="1:1" x14ac:dyDescent="0.3">
      <c r="A14094" t="s">
        <v>0</v>
      </c>
    </row>
    <row r="14095" spans="1:1" x14ac:dyDescent="0.3">
      <c r="A14095" t="s">
        <v>0</v>
      </c>
    </row>
    <row r="14096" spans="1:1" x14ac:dyDescent="0.3">
      <c r="A14096" t="s">
        <v>0</v>
      </c>
    </row>
    <row r="14097" spans="1:1" x14ac:dyDescent="0.3">
      <c r="A14097" t="s">
        <v>0</v>
      </c>
    </row>
    <row r="14098" spans="1:1" x14ac:dyDescent="0.3">
      <c r="A14098" t="s">
        <v>0</v>
      </c>
    </row>
    <row r="14099" spans="1:1" x14ac:dyDescent="0.3">
      <c r="A14099" t="s">
        <v>0</v>
      </c>
    </row>
    <row r="14100" spans="1:1" x14ac:dyDescent="0.3">
      <c r="A14100" t="s">
        <v>0</v>
      </c>
    </row>
    <row r="14101" spans="1:1" x14ac:dyDescent="0.3">
      <c r="A14101" t="s">
        <v>0</v>
      </c>
    </row>
    <row r="14102" spans="1:1" x14ac:dyDescent="0.3">
      <c r="A14102" t="s">
        <v>0</v>
      </c>
    </row>
    <row r="14103" spans="1:1" x14ac:dyDescent="0.3">
      <c r="A14103" t="s">
        <v>0</v>
      </c>
    </row>
    <row r="14104" spans="1:1" x14ac:dyDescent="0.3">
      <c r="A14104" t="s">
        <v>0</v>
      </c>
    </row>
    <row r="14105" spans="1:1" x14ac:dyDescent="0.3">
      <c r="A14105" t="s">
        <v>0</v>
      </c>
    </row>
    <row r="14106" spans="1:1" x14ac:dyDescent="0.3">
      <c r="A14106" t="s">
        <v>0</v>
      </c>
    </row>
    <row r="14107" spans="1:1" x14ac:dyDescent="0.3">
      <c r="A14107" t="s">
        <v>0</v>
      </c>
    </row>
    <row r="14108" spans="1:1" x14ac:dyDescent="0.3">
      <c r="A14108" t="s">
        <v>0</v>
      </c>
    </row>
    <row r="14109" spans="1:1" x14ac:dyDescent="0.3">
      <c r="A14109" t="s">
        <v>0</v>
      </c>
    </row>
    <row r="14110" spans="1:1" x14ac:dyDescent="0.3">
      <c r="A14110" t="s">
        <v>0</v>
      </c>
    </row>
    <row r="14111" spans="1:1" x14ac:dyDescent="0.3">
      <c r="A14111" t="s">
        <v>0</v>
      </c>
    </row>
    <row r="14112" spans="1:1" x14ac:dyDescent="0.3">
      <c r="A14112" t="s">
        <v>0</v>
      </c>
    </row>
    <row r="14113" spans="1:1" x14ac:dyDescent="0.3">
      <c r="A14113" t="s">
        <v>0</v>
      </c>
    </row>
    <row r="14114" spans="1:1" x14ac:dyDescent="0.3">
      <c r="A14114" t="s">
        <v>0</v>
      </c>
    </row>
    <row r="14115" spans="1:1" x14ac:dyDescent="0.3">
      <c r="A14115" t="s">
        <v>0</v>
      </c>
    </row>
    <row r="14116" spans="1:1" x14ac:dyDescent="0.3">
      <c r="A14116" t="s">
        <v>0</v>
      </c>
    </row>
    <row r="14117" spans="1:1" x14ac:dyDescent="0.3">
      <c r="A14117" t="s">
        <v>0</v>
      </c>
    </row>
    <row r="14118" spans="1:1" x14ac:dyDescent="0.3">
      <c r="A14118" t="s">
        <v>0</v>
      </c>
    </row>
    <row r="14119" spans="1:1" x14ac:dyDescent="0.3">
      <c r="A14119" t="s">
        <v>0</v>
      </c>
    </row>
    <row r="14120" spans="1:1" x14ac:dyDescent="0.3">
      <c r="A14120" t="s">
        <v>0</v>
      </c>
    </row>
    <row r="14121" spans="1:1" x14ac:dyDescent="0.3">
      <c r="A14121" t="s">
        <v>0</v>
      </c>
    </row>
    <row r="14122" spans="1:1" x14ac:dyDescent="0.3">
      <c r="A14122" t="s">
        <v>0</v>
      </c>
    </row>
    <row r="14123" spans="1:1" x14ac:dyDescent="0.3">
      <c r="A14123" t="s">
        <v>0</v>
      </c>
    </row>
    <row r="14124" spans="1:1" x14ac:dyDescent="0.3">
      <c r="A14124" t="s">
        <v>0</v>
      </c>
    </row>
    <row r="14125" spans="1:1" x14ac:dyDescent="0.3">
      <c r="A14125" t="s">
        <v>0</v>
      </c>
    </row>
    <row r="14126" spans="1:1" x14ac:dyDescent="0.3">
      <c r="A14126" t="s">
        <v>0</v>
      </c>
    </row>
    <row r="14127" spans="1:1" x14ac:dyDescent="0.3">
      <c r="A14127" t="s">
        <v>0</v>
      </c>
    </row>
    <row r="14128" spans="1:1" x14ac:dyDescent="0.3">
      <c r="A14128" t="s">
        <v>0</v>
      </c>
    </row>
    <row r="14129" spans="1:1" x14ac:dyDescent="0.3">
      <c r="A14129" t="s">
        <v>0</v>
      </c>
    </row>
    <row r="14130" spans="1:1" x14ac:dyDescent="0.3">
      <c r="A14130" t="s">
        <v>0</v>
      </c>
    </row>
    <row r="14131" spans="1:1" x14ac:dyDescent="0.3">
      <c r="A14131" t="s">
        <v>0</v>
      </c>
    </row>
    <row r="14132" spans="1:1" x14ac:dyDescent="0.3">
      <c r="A14132" t="s">
        <v>0</v>
      </c>
    </row>
    <row r="14133" spans="1:1" x14ac:dyDescent="0.3">
      <c r="A14133" t="s">
        <v>0</v>
      </c>
    </row>
    <row r="14134" spans="1:1" x14ac:dyDescent="0.3">
      <c r="A14134" t="s">
        <v>0</v>
      </c>
    </row>
    <row r="14135" spans="1:1" x14ac:dyDescent="0.3">
      <c r="A14135" t="s">
        <v>0</v>
      </c>
    </row>
    <row r="14136" spans="1:1" x14ac:dyDescent="0.3">
      <c r="A14136" t="s">
        <v>0</v>
      </c>
    </row>
    <row r="14137" spans="1:1" x14ac:dyDescent="0.3">
      <c r="A14137" t="s">
        <v>0</v>
      </c>
    </row>
    <row r="14138" spans="1:1" x14ac:dyDescent="0.3">
      <c r="A14138" t="s">
        <v>0</v>
      </c>
    </row>
    <row r="14139" spans="1:1" x14ac:dyDescent="0.3">
      <c r="A14139" t="s">
        <v>0</v>
      </c>
    </row>
    <row r="14140" spans="1:1" x14ac:dyDescent="0.3">
      <c r="A14140" t="s">
        <v>0</v>
      </c>
    </row>
    <row r="14141" spans="1:1" x14ac:dyDescent="0.3">
      <c r="A14141" t="s">
        <v>0</v>
      </c>
    </row>
    <row r="14142" spans="1:1" x14ac:dyDescent="0.3">
      <c r="A14142" t="s">
        <v>0</v>
      </c>
    </row>
    <row r="14143" spans="1:1" x14ac:dyDescent="0.3">
      <c r="A14143" t="s">
        <v>0</v>
      </c>
    </row>
    <row r="14144" spans="1:1" x14ac:dyDescent="0.3">
      <c r="A14144" t="s">
        <v>0</v>
      </c>
    </row>
    <row r="14145" spans="1:1" x14ac:dyDescent="0.3">
      <c r="A14145" t="s">
        <v>0</v>
      </c>
    </row>
    <row r="14146" spans="1:1" x14ac:dyDescent="0.3">
      <c r="A14146" t="s">
        <v>0</v>
      </c>
    </row>
    <row r="14147" spans="1:1" x14ac:dyDescent="0.3">
      <c r="A14147" t="s">
        <v>0</v>
      </c>
    </row>
    <row r="14148" spans="1:1" x14ac:dyDescent="0.3">
      <c r="A14148" t="s">
        <v>0</v>
      </c>
    </row>
    <row r="14149" spans="1:1" x14ac:dyDescent="0.3">
      <c r="A14149" t="s">
        <v>0</v>
      </c>
    </row>
    <row r="14150" spans="1:1" x14ac:dyDescent="0.3">
      <c r="A14150" t="s">
        <v>0</v>
      </c>
    </row>
    <row r="14151" spans="1:1" x14ac:dyDescent="0.3">
      <c r="A14151" t="s">
        <v>0</v>
      </c>
    </row>
    <row r="14152" spans="1:1" x14ac:dyDescent="0.3">
      <c r="A14152" t="s">
        <v>0</v>
      </c>
    </row>
    <row r="14153" spans="1:1" x14ac:dyDescent="0.3">
      <c r="A14153" t="s">
        <v>0</v>
      </c>
    </row>
    <row r="14154" spans="1:1" x14ac:dyDescent="0.3">
      <c r="A14154" t="s">
        <v>0</v>
      </c>
    </row>
    <row r="14155" spans="1:1" x14ac:dyDescent="0.3">
      <c r="A14155" t="s">
        <v>0</v>
      </c>
    </row>
    <row r="14156" spans="1:1" x14ac:dyDescent="0.3">
      <c r="A14156" t="s">
        <v>0</v>
      </c>
    </row>
    <row r="14157" spans="1:1" x14ac:dyDescent="0.3">
      <c r="A14157" t="s">
        <v>0</v>
      </c>
    </row>
    <row r="14158" spans="1:1" x14ac:dyDescent="0.3">
      <c r="A14158" t="s">
        <v>0</v>
      </c>
    </row>
    <row r="14159" spans="1:1" x14ac:dyDescent="0.3">
      <c r="A14159" t="s">
        <v>0</v>
      </c>
    </row>
    <row r="14160" spans="1:1" x14ac:dyDescent="0.3">
      <c r="A14160" t="s">
        <v>0</v>
      </c>
    </row>
    <row r="14161" spans="1:1" x14ac:dyDescent="0.3">
      <c r="A14161" t="s">
        <v>0</v>
      </c>
    </row>
    <row r="14162" spans="1:1" x14ac:dyDescent="0.3">
      <c r="A14162" t="s">
        <v>0</v>
      </c>
    </row>
    <row r="14163" spans="1:1" x14ac:dyDescent="0.3">
      <c r="A14163" t="s">
        <v>0</v>
      </c>
    </row>
    <row r="14164" spans="1:1" x14ac:dyDescent="0.3">
      <c r="A14164" t="s">
        <v>0</v>
      </c>
    </row>
    <row r="14165" spans="1:1" x14ac:dyDescent="0.3">
      <c r="A14165" t="s">
        <v>0</v>
      </c>
    </row>
    <row r="14166" spans="1:1" x14ac:dyDescent="0.3">
      <c r="A14166" t="s">
        <v>0</v>
      </c>
    </row>
    <row r="14167" spans="1:1" x14ac:dyDescent="0.3">
      <c r="A14167" t="s">
        <v>0</v>
      </c>
    </row>
    <row r="14168" spans="1:1" x14ac:dyDescent="0.3">
      <c r="A14168" t="s">
        <v>0</v>
      </c>
    </row>
    <row r="14169" spans="1:1" x14ac:dyDescent="0.3">
      <c r="A14169" t="s">
        <v>0</v>
      </c>
    </row>
    <row r="14170" spans="1:1" x14ac:dyDescent="0.3">
      <c r="A14170" t="s">
        <v>0</v>
      </c>
    </row>
    <row r="14171" spans="1:1" x14ac:dyDescent="0.3">
      <c r="A14171" t="s">
        <v>0</v>
      </c>
    </row>
    <row r="14172" spans="1:1" x14ac:dyDescent="0.3">
      <c r="A14172" t="s">
        <v>0</v>
      </c>
    </row>
    <row r="14173" spans="1:1" x14ac:dyDescent="0.3">
      <c r="A14173" t="s">
        <v>0</v>
      </c>
    </row>
    <row r="14174" spans="1:1" x14ac:dyDescent="0.3">
      <c r="A14174" t="s">
        <v>0</v>
      </c>
    </row>
    <row r="14175" spans="1:1" x14ac:dyDescent="0.3">
      <c r="A14175" t="s">
        <v>0</v>
      </c>
    </row>
    <row r="14176" spans="1:1" x14ac:dyDescent="0.3">
      <c r="A14176" t="s">
        <v>0</v>
      </c>
    </row>
    <row r="14177" spans="1:1" x14ac:dyDescent="0.3">
      <c r="A14177" t="s">
        <v>0</v>
      </c>
    </row>
    <row r="14178" spans="1:1" x14ac:dyDescent="0.3">
      <c r="A14178" t="s">
        <v>0</v>
      </c>
    </row>
    <row r="14179" spans="1:1" x14ac:dyDescent="0.3">
      <c r="A14179" t="s">
        <v>0</v>
      </c>
    </row>
    <row r="14180" spans="1:1" x14ac:dyDescent="0.3">
      <c r="A14180" t="s">
        <v>0</v>
      </c>
    </row>
    <row r="14181" spans="1:1" x14ac:dyDescent="0.3">
      <c r="A14181" t="s">
        <v>0</v>
      </c>
    </row>
    <row r="14182" spans="1:1" x14ac:dyDescent="0.3">
      <c r="A14182" t="s">
        <v>0</v>
      </c>
    </row>
    <row r="14183" spans="1:1" x14ac:dyDescent="0.3">
      <c r="A14183" t="s">
        <v>0</v>
      </c>
    </row>
    <row r="14184" spans="1:1" x14ac:dyDescent="0.3">
      <c r="A14184" t="s">
        <v>0</v>
      </c>
    </row>
    <row r="14185" spans="1:1" x14ac:dyDescent="0.3">
      <c r="A14185" t="s">
        <v>0</v>
      </c>
    </row>
    <row r="14186" spans="1:1" x14ac:dyDescent="0.3">
      <c r="A14186" t="s">
        <v>0</v>
      </c>
    </row>
    <row r="14187" spans="1:1" x14ac:dyDescent="0.3">
      <c r="A14187" t="s">
        <v>0</v>
      </c>
    </row>
    <row r="14188" spans="1:1" x14ac:dyDescent="0.3">
      <c r="A14188" t="s">
        <v>0</v>
      </c>
    </row>
    <row r="14189" spans="1:1" x14ac:dyDescent="0.3">
      <c r="A14189" t="s">
        <v>0</v>
      </c>
    </row>
    <row r="14190" spans="1:1" x14ac:dyDescent="0.3">
      <c r="A14190" t="s">
        <v>0</v>
      </c>
    </row>
    <row r="14191" spans="1:1" x14ac:dyDescent="0.3">
      <c r="A14191" t="s">
        <v>0</v>
      </c>
    </row>
    <row r="14192" spans="1:1" x14ac:dyDescent="0.3">
      <c r="A14192" t="s">
        <v>0</v>
      </c>
    </row>
    <row r="14193" spans="1:1" x14ac:dyDescent="0.3">
      <c r="A14193" t="s">
        <v>0</v>
      </c>
    </row>
    <row r="14194" spans="1:1" x14ac:dyDescent="0.3">
      <c r="A14194" t="s">
        <v>0</v>
      </c>
    </row>
    <row r="14195" spans="1:1" x14ac:dyDescent="0.3">
      <c r="A14195" t="s">
        <v>0</v>
      </c>
    </row>
    <row r="14196" spans="1:1" x14ac:dyDescent="0.3">
      <c r="A14196" t="s">
        <v>0</v>
      </c>
    </row>
    <row r="14197" spans="1:1" x14ac:dyDescent="0.3">
      <c r="A14197" t="s">
        <v>0</v>
      </c>
    </row>
    <row r="14198" spans="1:1" x14ac:dyDescent="0.3">
      <c r="A14198" t="s">
        <v>0</v>
      </c>
    </row>
    <row r="14199" spans="1:1" x14ac:dyDescent="0.3">
      <c r="A14199" t="s">
        <v>0</v>
      </c>
    </row>
    <row r="14200" spans="1:1" x14ac:dyDescent="0.3">
      <c r="A14200" t="s">
        <v>0</v>
      </c>
    </row>
    <row r="14201" spans="1:1" x14ac:dyDescent="0.3">
      <c r="A14201" t="s">
        <v>0</v>
      </c>
    </row>
    <row r="14202" spans="1:1" x14ac:dyDescent="0.3">
      <c r="A14202" t="s">
        <v>0</v>
      </c>
    </row>
    <row r="14203" spans="1:1" x14ac:dyDescent="0.3">
      <c r="A14203" t="s">
        <v>0</v>
      </c>
    </row>
    <row r="14204" spans="1:1" x14ac:dyDescent="0.3">
      <c r="A14204" t="s">
        <v>0</v>
      </c>
    </row>
    <row r="14205" spans="1:1" x14ac:dyDescent="0.3">
      <c r="A14205" t="s">
        <v>0</v>
      </c>
    </row>
    <row r="14206" spans="1:1" x14ac:dyDescent="0.3">
      <c r="A14206" t="s">
        <v>0</v>
      </c>
    </row>
    <row r="14207" spans="1:1" x14ac:dyDescent="0.3">
      <c r="A14207" t="s">
        <v>0</v>
      </c>
    </row>
    <row r="14208" spans="1:1" x14ac:dyDescent="0.3">
      <c r="A14208" t="s">
        <v>0</v>
      </c>
    </row>
    <row r="14209" spans="1:1" x14ac:dyDescent="0.3">
      <c r="A14209" t="s">
        <v>0</v>
      </c>
    </row>
    <row r="14210" spans="1:1" x14ac:dyDescent="0.3">
      <c r="A14210" t="s">
        <v>0</v>
      </c>
    </row>
    <row r="14211" spans="1:1" x14ac:dyDescent="0.3">
      <c r="A14211" t="s">
        <v>0</v>
      </c>
    </row>
    <row r="14212" spans="1:1" x14ac:dyDescent="0.3">
      <c r="A14212" t="s">
        <v>0</v>
      </c>
    </row>
    <row r="14213" spans="1:1" x14ac:dyDescent="0.3">
      <c r="A14213" t="s">
        <v>0</v>
      </c>
    </row>
    <row r="14214" spans="1:1" x14ac:dyDescent="0.3">
      <c r="A14214" t="s">
        <v>0</v>
      </c>
    </row>
    <row r="14215" spans="1:1" x14ac:dyDescent="0.3">
      <c r="A14215" t="s">
        <v>0</v>
      </c>
    </row>
    <row r="14216" spans="1:1" x14ac:dyDescent="0.3">
      <c r="A14216" t="s">
        <v>0</v>
      </c>
    </row>
    <row r="14217" spans="1:1" x14ac:dyDescent="0.3">
      <c r="A14217" t="s">
        <v>0</v>
      </c>
    </row>
    <row r="14218" spans="1:1" x14ac:dyDescent="0.3">
      <c r="A14218" t="s">
        <v>0</v>
      </c>
    </row>
    <row r="14219" spans="1:1" x14ac:dyDescent="0.3">
      <c r="A14219" t="s">
        <v>0</v>
      </c>
    </row>
    <row r="14220" spans="1:1" x14ac:dyDescent="0.3">
      <c r="A14220" t="s">
        <v>0</v>
      </c>
    </row>
    <row r="14221" spans="1:1" x14ac:dyDescent="0.3">
      <c r="A14221" t="s">
        <v>0</v>
      </c>
    </row>
    <row r="14222" spans="1:1" x14ac:dyDescent="0.3">
      <c r="A14222" t="s">
        <v>0</v>
      </c>
    </row>
    <row r="14223" spans="1:1" x14ac:dyDescent="0.3">
      <c r="A14223" t="s">
        <v>0</v>
      </c>
    </row>
    <row r="14224" spans="1:1" x14ac:dyDescent="0.3">
      <c r="A14224" t="s">
        <v>0</v>
      </c>
    </row>
    <row r="14225" spans="1:1" x14ac:dyDescent="0.3">
      <c r="A14225" t="s">
        <v>0</v>
      </c>
    </row>
    <row r="14226" spans="1:1" x14ac:dyDescent="0.3">
      <c r="A14226" t="s">
        <v>0</v>
      </c>
    </row>
    <row r="14227" spans="1:1" x14ac:dyDescent="0.3">
      <c r="A14227" t="s">
        <v>0</v>
      </c>
    </row>
    <row r="14228" spans="1:1" x14ac:dyDescent="0.3">
      <c r="A14228" t="s">
        <v>0</v>
      </c>
    </row>
    <row r="14229" spans="1:1" x14ac:dyDescent="0.3">
      <c r="A14229" t="s">
        <v>0</v>
      </c>
    </row>
    <row r="14230" spans="1:1" x14ac:dyDescent="0.3">
      <c r="A14230" t="s">
        <v>0</v>
      </c>
    </row>
    <row r="14231" spans="1:1" x14ac:dyDescent="0.3">
      <c r="A14231" t="s">
        <v>0</v>
      </c>
    </row>
    <row r="14232" spans="1:1" x14ac:dyDescent="0.3">
      <c r="A14232" t="s">
        <v>0</v>
      </c>
    </row>
    <row r="14233" spans="1:1" x14ac:dyDescent="0.3">
      <c r="A14233" t="s">
        <v>0</v>
      </c>
    </row>
    <row r="14234" spans="1:1" x14ac:dyDescent="0.3">
      <c r="A14234" t="s">
        <v>0</v>
      </c>
    </row>
    <row r="14235" spans="1:1" x14ac:dyDescent="0.3">
      <c r="A14235" t="s">
        <v>0</v>
      </c>
    </row>
    <row r="14236" spans="1:1" x14ac:dyDescent="0.3">
      <c r="A14236" t="s">
        <v>0</v>
      </c>
    </row>
    <row r="14237" spans="1:1" x14ac:dyDescent="0.3">
      <c r="A14237" t="s">
        <v>0</v>
      </c>
    </row>
    <row r="14238" spans="1:1" x14ac:dyDescent="0.3">
      <c r="A14238" t="s">
        <v>0</v>
      </c>
    </row>
    <row r="14239" spans="1:1" x14ac:dyDescent="0.3">
      <c r="A14239" t="s">
        <v>0</v>
      </c>
    </row>
    <row r="14240" spans="1:1" x14ac:dyDescent="0.3">
      <c r="A14240" t="s">
        <v>0</v>
      </c>
    </row>
    <row r="14241" spans="1:1" x14ac:dyDescent="0.3">
      <c r="A14241" t="s">
        <v>0</v>
      </c>
    </row>
    <row r="14242" spans="1:1" x14ac:dyDescent="0.3">
      <c r="A14242" t="s">
        <v>0</v>
      </c>
    </row>
    <row r="14243" spans="1:1" x14ac:dyDescent="0.3">
      <c r="A14243" t="s">
        <v>0</v>
      </c>
    </row>
    <row r="14244" spans="1:1" x14ac:dyDescent="0.3">
      <c r="A14244" t="s">
        <v>0</v>
      </c>
    </row>
    <row r="14245" spans="1:1" x14ac:dyDescent="0.3">
      <c r="A14245" t="s">
        <v>0</v>
      </c>
    </row>
    <row r="14246" spans="1:1" x14ac:dyDescent="0.3">
      <c r="A14246" t="s">
        <v>0</v>
      </c>
    </row>
    <row r="14247" spans="1:1" x14ac:dyDescent="0.3">
      <c r="A14247" t="s">
        <v>0</v>
      </c>
    </row>
    <row r="14248" spans="1:1" x14ac:dyDescent="0.3">
      <c r="A14248" t="s">
        <v>0</v>
      </c>
    </row>
    <row r="14249" spans="1:1" x14ac:dyDescent="0.3">
      <c r="A14249" t="s">
        <v>0</v>
      </c>
    </row>
    <row r="14250" spans="1:1" x14ac:dyDescent="0.3">
      <c r="A14250" t="s">
        <v>0</v>
      </c>
    </row>
    <row r="14251" spans="1:1" x14ac:dyDescent="0.3">
      <c r="A14251" t="s">
        <v>0</v>
      </c>
    </row>
    <row r="14252" spans="1:1" x14ac:dyDescent="0.3">
      <c r="A14252" t="s">
        <v>0</v>
      </c>
    </row>
    <row r="14253" spans="1:1" x14ac:dyDescent="0.3">
      <c r="A14253" t="s">
        <v>0</v>
      </c>
    </row>
    <row r="14254" spans="1:1" x14ac:dyDescent="0.3">
      <c r="A14254" t="s">
        <v>0</v>
      </c>
    </row>
    <row r="14255" spans="1:1" x14ac:dyDescent="0.3">
      <c r="A14255" t="s">
        <v>0</v>
      </c>
    </row>
    <row r="14256" spans="1:1" x14ac:dyDescent="0.3">
      <c r="A14256" t="s">
        <v>0</v>
      </c>
    </row>
    <row r="14257" spans="1:1" x14ac:dyDescent="0.3">
      <c r="A14257" t="s">
        <v>0</v>
      </c>
    </row>
    <row r="14258" spans="1:1" x14ac:dyDescent="0.3">
      <c r="A14258" t="s">
        <v>0</v>
      </c>
    </row>
    <row r="14259" spans="1:1" x14ac:dyDescent="0.3">
      <c r="A14259" t="s">
        <v>0</v>
      </c>
    </row>
    <row r="14260" spans="1:1" x14ac:dyDescent="0.3">
      <c r="A14260" t="s">
        <v>0</v>
      </c>
    </row>
    <row r="14261" spans="1:1" x14ac:dyDescent="0.3">
      <c r="A14261" t="s">
        <v>0</v>
      </c>
    </row>
    <row r="14262" spans="1:1" x14ac:dyDescent="0.3">
      <c r="A14262" t="s">
        <v>0</v>
      </c>
    </row>
    <row r="14263" spans="1:1" x14ac:dyDescent="0.3">
      <c r="A14263" t="s">
        <v>0</v>
      </c>
    </row>
    <row r="14264" spans="1:1" x14ac:dyDescent="0.3">
      <c r="A14264" t="s">
        <v>0</v>
      </c>
    </row>
    <row r="14265" spans="1:1" x14ac:dyDescent="0.3">
      <c r="A14265" t="s">
        <v>0</v>
      </c>
    </row>
    <row r="14266" spans="1:1" x14ac:dyDescent="0.3">
      <c r="A14266" t="s">
        <v>0</v>
      </c>
    </row>
    <row r="14267" spans="1:1" x14ac:dyDescent="0.3">
      <c r="A14267" t="s">
        <v>0</v>
      </c>
    </row>
    <row r="14268" spans="1:1" x14ac:dyDescent="0.3">
      <c r="A14268" t="s">
        <v>0</v>
      </c>
    </row>
    <row r="14269" spans="1:1" x14ac:dyDescent="0.3">
      <c r="A14269" t="s">
        <v>0</v>
      </c>
    </row>
    <row r="14270" spans="1:1" x14ac:dyDescent="0.3">
      <c r="A14270" t="s">
        <v>0</v>
      </c>
    </row>
    <row r="14271" spans="1:1" x14ac:dyDescent="0.3">
      <c r="A14271" t="s">
        <v>0</v>
      </c>
    </row>
    <row r="14272" spans="1:1" x14ac:dyDescent="0.3">
      <c r="A14272" t="s">
        <v>0</v>
      </c>
    </row>
    <row r="14273" spans="1:1" x14ac:dyDescent="0.3">
      <c r="A14273" t="s">
        <v>0</v>
      </c>
    </row>
    <row r="14274" spans="1:1" x14ac:dyDescent="0.3">
      <c r="A14274" t="s">
        <v>0</v>
      </c>
    </row>
    <row r="14275" spans="1:1" x14ac:dyDescent="0.3">
      <c r="A14275" t="s">
        <v>0</v>
      </c>
    </row>
    <row r="14276" spans="1:1" x14ac:dyDescent="0.3">
      <c r="A14276" t="s">
        <v>0</v>
      </c>
    </row>
    <row r="14277" spans="1:1" x14ac:dyDescent="0.3">
      <c r="A14277" t="s">
        <v>0</v>
      </c>
    </row>
    <row r="14278" spans="1:1" x14ac:dyDescent="0.3">
      <c r="A14278" t="s">
        <v>0</v>
      </c>
    </row>
    <row r="14279" spans="1:1" x14ac:dyDescent="0.3">
      <c r="A14279" t="s">
        <v>0</v>
      </c>
    </row>
    <row r="14280" spans="1:1" x14ac:dyDescent="0.3">
      <c r="A14280" t="s">
        <v>0</v>
      </c>
    </row>
    <row r="14281" spans="1:1" x14ac:dyDescent="0.3">
      <c r="A14281" t="s">
        <v>0</v>
      </c>
    </row>
    <row r="14282" spans="1:1" x14ac:dyDescent="0.3">
      <c r="A14282" t="s">
        <v>0</v>
      </c>
    </row>
    <row r="14283" spans="1:1" x14ac:dyDescent="0.3">
      <c r="A14283" t="s">
        <v>0</v>
      </c>
    </row>
    <row r="14284" spans="1:1" x14ac:dyDescent="0.3">
      <c r="A14284" t="s">
        <v>0</v>
      </c>
    </row>
    <row r="14285" spans="1:1" x14ac:dyDescent="0.3">
      <c r="A14285" t="s">
        <v>0</v>
      </c>
    </row>
    <row r="14286" spans="1:1" x14ac:dyDescent="0.3">
      <c r="A14286" t="s">
        <v>0</v>
      </c>
    </row>
    <row r="14287" spans="1:1" x14ac:dyDescent="0.3">
      <c r="A14287" t="s">
        <v>0</v>
      </c>
    </row>
    <row r="14288" spans="1:1" x14ac:dyDescent="0.3">
      <c r="A14288" t="s">
        <v>0</v>
      </c>
    </row>
    <row r="14289" spans="1:1" x14ac:dyDescent="0.3">
      <c r="A14289" t="s">
        <v>0</v>
      </c>
    </row>
    <row r="14290" spans="1:1" x14ac:dyDescent="0.3">
      <c r="A14290" t="s">
        <v>0</v>
      </c>
    </row>
    <row r="14291" spans="1:1" x14ac:dyDescent="0.3">
      <c r="A14291" t="s">
        <v>0</v>
      </c>
    </row>
    <row r="14292" spans="1:1" x14ac:dyDescent="0.3">
      <c r="A14292" t="s">
        <v>0</v>
      </c>
    </row>
    <row r="14293" spans="1:1" x14ac:dyDescent="0.3">
      <c r="A14293" t="s">
        <v>0</v>
      </c>
    </row>
    <row r="14294" spans="1:1" x14ac:dyDescent="0.3">
      <c r="A14294" t="s">
        <v>0</v>
      </c>
    </row>
    <row r="14295" spans="1:1" x14ac:dyDescent="0.3">
      <c r="A14295" t="s">
        <v>0</v>
      </c>
    </row>
    <row r="14296" spans="1:1" x14ac:dyDescent="0.3">
      <c r="A14296" t="s">
        <v>0</v>
      </c>
    </row>
    <row r="14297" spans="1:1" x14ac:dyDescent="0.3">
      <c r="A14297" t="s">
        <v>0</v>
      </c>
    </row>
    <row r="14298" spans="1:1" x14ac:dyDescent="0.3">
      <c r="A14298" t="s">
        <v>0</v>
      </c>
    </row>
    <row r="14299" spans="1:1" x14ac:dyDescent="0.3">
      <c r="A14299" t="s">
        <v>0</v>
      </c>
    </row>
    <row r="14300" spans="1:1" x14ac:dyDescent="0.3">
      <c r="A14300" t="s">
        <v>0</v>
      </c>
    </row>
    <row r="14301" spans="1:1" x14ac:dyDescent="0.3">
      <c r="A14301" t="s">
        <v>0</v>
      </c>
    </row>
    <row r="14302" spans="1:1" x14ac:dyDescent="0.3">
      <c r="A14302" t="s">
        <v>0</v>
      </c>
    </row>
    <row r="14303" spans="1:1" x14ac:dyDescent="0.3">
      <c r="A14303" t="s">
        <v>0</v>
      </c>
    </row>
    <row r="14304" spans="1:1" x14ac:dyDescent="0.3">
      <c r="A14304" t="s">
        <v>0</v>
      </c>
    </row>
    <row r="14305" spans="1:1" x14ac:dyDescent="0.3">
      <c r="A14305" t="s">
        <v>0</v>
      </c>
    </row>
    <row r="14306" spans="1:1" x14ac:dyDescent="0.3">
      <c r="A14306" t="s">
        <v>0</v>
      </c>
    </row>
    <row r="14307" spans="1:1" x14ac:dyDescent="0.3">
      <c r="A14307" t="s">
        <v>0</v>
      </c>
    </row>
    <row r="14308" spans="1:1" x14ac:dyDescent="0.3">
      <c r="A14308" t="s">
        <v>0</v>
      </c>
    </row>
    <row r="14309" spans="1:1" x14ac:dyDescent="0.3">
      <c r="A14309" t="s">
        <v>0</v>
      </c>
    </row>
    <row r="14310" spans="1:1" x14ac:dyDescent="0.3">
      <c r="A14310" t="s">
        <v>0</v>
      </c>
    </row>
    <row r="14311" spans="1:1" x14ac:dyDescent="0.3">
      <c r="A14311" t="s">
        <v>0</v>
      </c>
    </row>
    <row r="14312" spans="1:1" x14ac:dyDescent="0.3">
      <c r="A14312" t="s">
        <v>0</v>
      </c>
    </row>
    <row r="14313" spans="1:1" x14ac:dyDescent="0.3">
      <c r="A14313" t="s">
        <v>0</v>
      </c>
    </row>
    <row r="14314" spans="1:1" x14ac:dyDescent="0.3">
      <c r="A14314" t="s">
        <v>0</v>
      </c>
    </row>
    <row r="14315" spans="1:1" x14ac:dyDescent="0.3">
      <c r="A14315" t="s">
        <v>0</v>
      </c>
    </row>
    <row r="14316" spans="1:1" x14ac:dyDescent="0.3">
      <c r="A14316" t="s">
        <v>0</v>
      </c>
    </row>
    <row r="14317" spans="1:1" x14ac:dyDescent="0.3">
      <c r="A14317" t="s">
        <v>0</v>
      </c>
    </row>
    <row r="14318" spans="1:1" x14ac:dyDescent="0.3">
      <c r="A14318" t="s">
        <v>0</v>
      </c>
    </row>
    <row r="14319" spans="1:1" x14ac:dyDescent="0.3">
      <c r="A14319" t="s">
        <v>0</v>
      </c>
    </row>
    <row r="14320" spans="1:1" x14ac:dyDescent="0.3">
      <c r="A14320" t="s">
        <v>0</v>
      </c>
    </row>
    <row r="14321" spans="1:1" x14ac:dyDescent="0.3">
      <c r="A14321" t="s">
        <v>0</v>
      </c>
    </row>
    <row r="14322" spans="1:1" x14ac:dyDescent="0.3">
      <c r="A14322" t="s">
        <v>0</v>
      </c>
    </row>
    <row r="14323" spans="1:1" x14ac:dyDescent="0.3">
      <c r="A14323" t="s">
        <v>0</v>
      </c>
    </row>
    <row r="14324" spans="1:1" x14ac:dyDescent="0.3">
      <c r="A14324" t="s">
        <v>0</v>
      </c>
    </row>
    <row r="14325" spans="1:1" x14ac:dyDescent="0.3">
      <c r="A14325" t="s">
        <v>0</v>
      </c>
    </row>
    <row r="14326" spans="1:1" x14ac:dyDescent="0.3">
      <c r="A14326" t="s">
        <v>0</v>
      </c>
    </row>
    <row r="14327" spans="1:1" x14ac:dyDescent="0.3">
      <c r="A14327" t="s">
        <v>0</v>
      </c>
    </row>
    <row r="14328" spans="1:1" x14ac:dyDescent="0.3">
      <c r="A14328" t="s">
        <v>0</v>
      </c>
    </row>
    <row r="14329" spans="1:1" x14ac:dyDescent="0.3">
      <c r="A14329" t="s">
        <v>0</v>
      </c>
    </row>
    <row r="14330" spans="1:1" x14ac:dyDescent="0.3">
      <c r="A14330" t="s">
        <v>0</v>
      </c>
    </row>
    <row r="14331" spans="1:1" x14ac:dyDescent="0.3">
      <c r="A14331" t="s">
        <v>0</v>
      </c>
    </row>
    <row r="14332" spans="1:1" x14ac:dyDescent="0.3">
      <c r="A14332" t="s">
        <v>0</v>
      </c>
    </row>
    <row r="14333" spans="1:1" x14ac:dyDescent="0.3">
      <c r="A14333" t="s">
        <v>0</v>
      </c>
    </row>
    <row r="14334" spans="1:1" x14ac:dyDescent="0.3">
      <c r="A14334" t="s">
        <v>0</v>
      </c>
    </row>
    <row r="14335" spans="1:1" x14ac:dyDescent="0.3">
      <c r="A14335" t="s">
        <v>0</v>
      </c>
    </row>
    <row r="14336" spans="1:1" x14ac:dyDescent="0.3">
      <c r="A14336" t="s">
        <v>0</v>
      </c>
    </row>
    <row r="14337" spans="1:1" x14ac:dyDescent="0.3">
      <c r="A14337" t="s">
        <v>0</v>
      </c>
    </row>
    <row r="14338" spans="1:1" x14ac:dyDescent="0.3">
      <c r="A14338" t="s">
        <v>0</v>
      </c>
    </row>
    <row r="14339" spans="1:1" x14ac:dyDescent="0.3">
      <c r="A14339" t="s">
        <v>0</v>
      </c>
    </row>
    <row r="14340" spans="1:1" x14ac:dyDescent="0.3">
      <c r="A14340" t="s">
        <v>0</v>
      </c>
    </row>
    <row r="14341" spans="1:1" x14ac:dyDescent="0.3">
      <c r="A14341" t="s">
        <v>0</v>
      </c>
    </row>
    <row r="14342" spans="1:1" x14ac:dyDescent="0.3">
      <c r="A14342" t="s">
        <v>0</v>
      </c>
    </row>
    <row r="14343" spans="1:1" x14ac:dyDescent="0.3">
      <c r="A14343" t="s">
        <v>0</v>
      </c>
    </row>
    <row r="14344" spans="1:1" x14ac:dyDescent="0.3">
      <c r="A14344" t="s">
        <v>0</v>
      </c>
    </row>
    <row r="14345" spans="1:1" x14ac:dyDescent="0.3">
      <c r="A14345" t="s">
        <v>0</v>
      </c>
    </row>
    <row r="14346" spans="1:1" x14ac:dyDescent="0.3">
      <c r="A14346" t="s">
        <v>0</v>
      </c>
    </row>
    <row r="14347" spans="1:1" x14ac:dyDescent="0.3">
      <c r="A14347" t="s">
        <v>0</v>
      </c>
    </row>
    <row r="14348" spans="1:1" x14ac:dyDescent="0.3">
      <c r="A14348" t="s">
        <v>0</v>
      </c>
    </row>
    <row r="14349" spans="1:1" x14ac:dyDescent="0.3">
      <c r="A14349" t="s">
        <v>0</v>
      </c>
    </row>
    <row r="14350" spans="1:1" x14ac:dyDescent="0.3">
      <c r="A14350" t="s">
        <v>0</v>
      </c>
    </row>
    <row r="14351" spans="1:1" x14ac:dyDescent="0.3">
      <c r="A14351" t="s">
        <v>0</v>
      </c>
    </row>
    <row r="14352" spans="1:1" x14ac:dyDescent="0.3">
      <c r="A14352" t="s">
        <v>0</v>
      </c>
    </row>
    <row r="14353" spans="1:1" x14ac:dyDescent="0.3">
      <c r="A14353" t="s">
        <v>0</v>
      </c>
    </row>
    <row r="14354" spans="1:1" x14ac:dyDescent="0.3">
      <c r="A14354" t="s">
        <v>0</v>
      </c>
    </row>
    <row r="14355" spans="1:1" x14ac:dyDescent="0.3">
      <c r="A14355" t="s">
        <v>0</v>
      </c>
    </row>
    <row r="14356" spans="1:1" x14ac:dyDescent="0.3">
      <c r="A14356" t="s">
        <v>0</v>
      </c>
    </row>
    <row r="14357" spans="1:1" x14ac:dyDescent="0.3">
      <c r="A14357" t="s">
        <v>0</v>
      </c>
    </row>
    <row r="14358" spans="1:1" x14ac:dyDescent="0.3">
      <c r="A14358" t="s">
        <v>0</v>
      </c>
    </row>
    <row r="14359" spans="1:1" x14ac:dyDescent="0.3">
      <c r="A14359" t="s">
        <v>0</v>
      </c>
    </row>
    <row r="14360" spans="1:1" x14ac:dyDescent="0.3">
      <c r="A14360" t="s">
        <v>0</v>
      </c>
    </row>
    <row r="14361" spans="1:1" x14ac:dyDescent="0.3">
      <c r="A14361" t="s">
        <v>0</v>
      </c>
    </row>
    <row r="14362" spans="1:1" x14ac:dyDescent="0.3">
      <c r="A14362" t="s">
        <v>0</v>
      </c>
    </row>
    <row r="14363" spans="1:1" x14ac:dyDescent="0.3">
      <c r="A14363" t="s">
        <v>0</v>
      </c>
    </row>
    <row r="14364" spans="1:1" x14ac:dyDescent="0.3">
      <c r="A14364" t="s">
        <v>0</v>
      </c>
    </row>
    <row r="14365" spans="1:1" x14ac:dyDescent="0.3">
      <c r="A14365" t="s">
        <v>0</v>
      </c>
    </row>
    <row r="14366" spans="1:1" x14ac:dyDescent="0.3">
      <c r="A14366" t="s">
        <v>0</v>
      </c>
    </row>
    <row r="14367" spans="1:1" x14ac:dyDescent="0.3">
      <c r="A14367" t="s">
        <v>0</v>
      </c>
    </row>
    <row r="14368" spans="1:1" x14ac:dyDescent="0.3">
      <c r="A14368" t="s">
        <v>0</v>
      </c>
    </row>
    <row r="14369" spans="1:1" x14ac:dyDescent="0.3">
      <c r="A14369" t="s">
        <v>0</v>
      </c>
    </row>
    <row r="14370" spans="1:1" x14ac:dyDescent="0.3">
      <c r="A14370" t="s">
        <v>0</v>
      </c>
    </row>
    <row r="14371" spans="1:1" x14ac:dyDescent="0.3">
      <c r="A14371" t="s">
        <v>0</v>
      </c>
    </row>
    <row r="14372" spans="1:1" x14ac:dyDescent="0.3">
      <c r="A14372" t="s">
        <v>0</v>
      </c>
    </row>
    <row r="14373" spans="1:1" x14ac:dyDescent="0.3">
      <c r="A14373" t="s">
        <v>0</v>
      </c>
    </row>
    <row r="14374" spans="1:1" x14ac:dyDescent="0.3">
      <c r="A14374" t="s">
        <v>0</v>
      </c>
    </row>
    <row r="14375" spans="1:1" x14ac:dyDescent="0.3">
      <c r="A14375" t="s">
        <v>0</v>
      </c>
    </row>
    <row r="14376" spans="1:1" x14ac:dyDescent="0.3">
      <c r="A14376" t="s">
        <v>0</v>
      </c>
    </row>
    <row r="14377" spans="1:1" x14ac:dyDescent="0.3">
      <c r="A14377" t="s">
        <v>0</v>
      </c>
    </row>
    <row r="14378" spans="1:1" x14ac:dyDescent="0.3">
      <c r="A14378" t="s">
        <v>0</v>
      </c>
    </row>
    <row r="14379" spans="1:1" x14ac:dyDescent="0.3">
      <c r="A14379" t="s">
        <v>0</v>
      </c>
    </row>
    <row r="14380" spans="1:1" x14ac:dyDescent="0.3">
      <c r="A14380" t="s">
        <v>0</v>
      </c>
    </row>
    <row r="14381" spans="1:1" x14ac:dyDescent="0.3">
      <c r="A14381" t="s">
        <v>0</v>
      </c>
    </row>
    <row r="14382" spans="1:1" x14ac:dyDescent="0.3">
      <c r="A14382" t="s">
        <v>0</v>
      </c>
    </row>
    <row r="14383" spans="1:1" x14ac:dyDescent="0.3">
      <c r="A14383" t="s">
        <v>0</v>
      </c>
    </row>
    <row r="14384" spans="1:1" x14ac:dyDescent="0.3">
      <c r="A14384" t="s">
        <v>0</v>
      </c>
    </row>
    <row r="14385" spans="1:1" x14ac:dyDescent="0.3">
      <c r="A14385" t="s">
        <v>0</v>
      </c>
    </row>
    <row r="14386" spans="1:1" x14ac:dyDescent="0.3">
      <c r="A14386" t="s">
        <v>0</v>
      </c>
    </row>
    <row r="14387" spans="1:1" x14ac:dyDescent="0.3">
      <c r="A14387" t="s">
        <v>0</v>
      </c>
    </row>
    <row r="14388" spans="1:1" x14ac:dyDescent="0.3">
      <c r="A14388" t="s">
        <v>0</v>
      </c>
    </row>
    <row r="14389" spans="1:1" x14ac:dyDescent="0.3">
      <c r="A14389" t="s">
        <v>0</v>
      </c>
    </row>
    <row r="14390" spans="1:1" x14ac:dyDescent="0.3">
      <c r="A14390" t="s">
        <v>0</v>
      </c>
    </row>
    <row r="14391" spans="1:1" x14ac:dyDescent="0.3">
      <c r="A14391" t="s">
        <v>0</v>
      </c>
    </row>
    <row r="14392" spans="1:1" x14ac:dyDescent="0.3">
      <c r="A14392" t="s">
        <v>0</v>
      </c>
    </row>
    <row r="14393" spans="1:1" x14ac:dyDescent="0.3">
      <c r="A14393" t="s">
        <v>0</v>
      </c>
    </row>
    <row r="14394" spans="1:1" x14ac:dyDescent="0.3">
      <c r="A14394" t="s">
        <v>0</v>
      </c>
    </row>
    <row r="14395" spans="1:1" x14ac:dyDescent="0.3">
      <c r="A14395" t="s">
        <v>0</v>
      </c>
    </row>
    <row r="14396" spans="1:1" x14ac:dyDescent="0.3">
      <c r="A14396" t="s">
        <v>0</v>
      </c>
    </row>
    <row r="14397" spans="1:1" x14ac:dyDescent="0.3">
      <c r="A14397" t="s">
        <v>0</v>
      </c>
    </row>
    <row r="14398" spans="1:1" x14ac:dyDescent="0.3">
      <c r="A14398" t="s">
        <v>0</v>
      </c>
    </row>
    <row r="14399" spans="1:1" x14ac:dyDescent="0.3">
      <c r="A14399" t="s">
        <v>0</v>
      </c>
    </row>
    <row r="14400" spans="1:1" x14ac:dyDescent="0.3">
      <c r="A14400" t="s">
        <v>0</v>
      </c>
    </row>
    <row r="14401" spans="1:1" x14ac:dyDescent="0.3">
      <c r="A14401" t="s">
        <v>0</v>
      </c>
    </row>
    <row r="14402" spans="1:1" x14ac:dyDescent="0.3">
      <c r="A14402" t="s">
        <v>0</v>
      </c>
    </row>
    <row r="14403" spans="1:1" x14ac:dyDescent="0.3">
      <c r="A14403" t="s">
        <v>0</v>
      </c>
    </row>
    <row r="14404" spans="1:1" x14ac:dyDescent="0.3">
      <c r="A14404" t="s">
        <v>0</v>
      </c>
    </row>
    <row r="14405" spans="1:1" x14ac:dyDescent="0.3">
      <c r="A14405" t="s">
        <v>0</v>
      </c>
    </row>
    <row r="14406" spans="1:1" x14ac:dyDescent="0.3">
      <c r="A14406" t="s">
        <v>0</v>
      </c>
    </row>
    <row r="14407" spans="1:1" x14ac:dyDescent="0.3">
      <c r="A14407" t="s">
        <v>0</v>
      </c>
    </row>
    <row r="14408" spans="1:1" x14ac:dyDescent="0.3">
      <c r="A14408" t="s">
        <v>0</v>
      </c>
    </row>
    <row r="14409" spans="1:1" x14ac:dyDescent="0.3">
      <c r="A14409" t="s">
        <v>0</v>
      </c>
    </row>
    <row r="14410" spans="1:1" x14ac:dyDescent="0.3">
      <c r="A14410" t="s">
        <v>0</v>
      </c>
    </row>
    <row r="14411" spans="1:1" x14ac:dyDescent="0.3">
      <c r="A14411" t="s">
        <v>0</v>
      </c>
    </row>
    <row r="14412" spans="1:1" x14ac:dyDescent="0.3">
      <c r="A14412" t="s">
        <v>0</v>
      </c>
    </row>
    <row r="14413" spans="1:1" x14ac:dyDescent="0.3">
      <c r="A14413" t="s">
        <v>0</v>
      </c>
    </row>
    <row r="14414" spans="1:1" x14ac:dyDescent="0.3">
      <c r="A14414" t="s">
        <v>0</v>
      </c>
    </row>
    <row r="14415" spans="1:1" x14ac:dyDescent="0.3">
      <c r="A14415" t="s">
        <v>0</v>
      </c>
    </row>
    <row r="14416" spans="1:1" x14ac:dyDescent="0.3">
      <c r="A14416" t="s">
        <v>0</v>
      </c>
    </row>
    <row r="14417" spans="1:1" x14ac:dyDescent="0.3">
      <c r="A14417" t="s">
        <v>0</v>
      </c>
    </row>
    <row r="14418" spans="1:1" x14ac:dyDescent="0.3">
      <c r="A14418" t="s">
        <v>0</v>
      </c>
    </row>
    <row r="14419" spans="1:1" x14ac:dyDescent="0.3">
      <c r="A14419" t="s">
        <v>0</v>
      </c>
    </row>
    <row r="14420" spans="1:1" x14ac:dyDescent="0.3">
      <c r="A14420" t="s">
        <v>0</v>
      </c>
    </row>
    <row r="14421" spans="1:1" x14ac:dyDescent="0.3">
      <c r="A14421" t="s">
        <v>0</v>
      </c>
    </row>
    <row r="14422" spans="1:1" x14ac:dyDescent="0.3">
      <c r="A14422" t="s">
        <v>0</v>
      </c>
    </row>
    <row r="14423" spans="1:1" x14ac:dyDescent="0.3">
      <c r="A14423" t="s">
        <v>0</v>
      </c>
    </row>
    <row r="14424" spans="1:1" x14ac:dyDescent="0.3">
      <c r="A14424" t="s">
        <v>0</v>
      </c>
    </row>
    <row r="14425" spans="1:1" x14ac:dyDescent="0.3">
      <c r="A14425" t="s">
        <v>0</v>
      </c>
    </row>
    <row r="14426" spans="1:1" x14ac:dyDescent="0.3">
      <c r="A14426" t="s">
        <v>0</v>
      </c>
    </row>
    <row r="14427" spans="1:1" x14ac:dyDescent="0.3">
      <c r="A14427" t="s">
        <v>0</v>
      </c>
    </row>
    <row r="14428" spans="1:1" x14ac:dyDescent="0.3">
      <c r="A14428" t="s">
        <v>0</v>
      </c>
    </row>
    <row r="14429" spans="1:1" x14ac:dyDescent="0.3">
      <c r="A14429" t="s">
        <v>0</v>
      </c>
    </row>
    <row r="14430" spans="1:1" x14ac:dyDescent="0.3">
      <c r="A14430" t="s">
        <v>0</v>
      </c>
    </row>
    <row r="14431" spans="1:1" x14ac:dyDescent="0.3">
      <c r="A14431" t="s">
        <v>0</v>
      </c>
    </row>
    <row r="14432" spans="1:1" x14ac:dyDescent="0.3">
      <c r="A14432" t="s">
        <v>0</v>
      </c>
    </row>
    <row r="14433" spans="1:1" x14ac:dyDescent="0.3">
      <c r="A14433" t="s">
        <v>0</v>
      </c>
    </row>
    <row r="14434" spans="1:1" x14ac:dyDescent="0.3">
      <c r="A14434" t="s">
        <v>0</v>
      </c>
    </row>
    <row r="14435" spans="1:1" x14ac:dyDescent="0.3">
      <c r="A14435" t="s">
        <v>0</v>
      </c>
    </row>
    <row r="14436" spans="1:1" x14ac:dyDescent="0.3">
      <c r="A14436" t="s">
        <v>0</v>
      </c>
    </row>
    <row r="14437" spans="1:1" x14ac:dyDescent="0.3">
      <c r="A14437" t="s">
        <v>0</v>
      </c>
    </row>
    <row r="14438" spans="1:1" x14ac:dyDescent="0.3">
      <c r="A14438" t="s">
        <v>0</v>
      </c>
    </row>
    <row r="14439" spans="1:1" x14ac:dyDescent="0.3">
      <c r="A14439" t="s">
        <v>0</v>
      </c>
    </row>
    <row r="14440" spans="1:1" x14ac:dyDescent="0.3">
      <c r="A14440" t="s">
        <v>0</v>
      </c>
    </row>
    <row r="14441" spans="1:1" x14ac:dyDescent="0.3">
      <c r="A14441" t="s">
        <v>0</v>
      </c>
    </row>
    <row r="14442" spans="1:1" x14ac:dyDescent="0.3">
      <c r="A14442" t="s">
        <v>0</v>
      </c>
    </row>
    <row r="14443" spans="1:1" x14ac:dyDescent="0.3">
      <c r="A14443" t="s">
        <v>0</v>
      </c>
    </row>
    <row r="14444" spans="1:1" x14ac:dyDescent="0.3">
      <c r="A14444" t="s">
        <v>0</v>
      </c>
    </row>
    <row r="14445" spans="1:1" x14ac:dyDescent="0.3">
      <c r="A14445" t="s">
        <v>0</v>
      </c>
    </row>
    <row r="14446" spans="1:1" x14ac:dyDescent="0.3">
      <c r="A14446" t="s">
        <v>0</v>
      </c>
    </row>
    <row r="14447" spans="1:1" x14ac:dyDescent="0.3">
      <c r="A14447" t="s">
        <v>0</v>
      </c>
    </row>
    <row r="14448" spans="1:1" x14ac:dyDescent="0.3">
      <c r="A14448" t="s">
        <v>0</v>
      </c>
    </row>
    <row r="14449" spans="1:1" x14ac:dyDescent="0.3">
      <c r="A14449" t="s">
        <v>0</v>
      </c>
    </row>
    <row r="14450" spans="1:1" x14ac:dyDescent="0.3">
      <c r="A14450" t="s">
        <v>0</v>
      </c>
    </row>
    <row r="14451" spans="1:1" x14ac:dyDescent="0.3">
      <c r="A14451" t="s">
        <v>0</v>
      </c>
    </row>
    <row r="14452" spans="1:1" x14ac:dyDescent="0.3">
      <c r="A14452" t="s">
        <v>0</v>
      </c>
    </row>
    <row r="14453" spans="1:1" x14ac:dyDescent="0.3">
      <c r="A14453" t="s">
        <v>0</v>
      </c>
    </row>
    <row r="14454" spans="1:1" x14ac:dyDescent="0.3">
      <c r="A14454" t="s">
        <v>0</v>
      </c>
    </row>
    <row r="14455" spans="1:1" x14ac:dyDescent="0.3">
      <c r="A14455" t="s">
        <v>0</v>
      </c>
    </row>
    <row r="14456" spans="1:1" x14ac:dyDescent="0.3">
      <c r="A14456" t="s">
        <v>0</v>
      </c>
    </row>
    <row r="14457" spans="1:1" x14ac:dyDescent="0.3">
      <c r="A14457" t="s">
        <v>0</v>
      </c>
    </row>
    <row r="14458" spans="1:1" x14ac:dyDescent="0.3">
      <c r="A14458" t="s">
        <v>0</v>
      </c>
    </row>
    <row r="14459" spans="1:1" x14ac:dyDescent="0.3">
      <c r="A14459" t="s">
        <v>0</v>
      </c>
    </row>
    <row r="14460" spans="1:1" x14ac:dyDescent="0.3">
      <c r="A14460" t="s">
        <v>0</v>
      </c>
    </row>
    <row r="14461" spans="1:1" x14ac:dyDescent="0.3">
      <c r="A14461" t="s">
        <v>0</v>
      </c>
    </row>
    <row r="14462" spans="1:1" x14ac:dyDescent="0.3">
      <c r="A14462" t="s">
        <v>0</v>
      </c>
    </row>
    <row r="14463" spans="1:1" x14ac:dyDescent="0.3">
      <c r="A14463" t="s">
        <v>0</v>
      </c>
    </row>
    <row r="14464" spans="1:1" x14ac:dyDescent="0.3">
      <c r="A14464" t="s">
        <v>0</v>
      </c>
    </row>
    <row r="14465" spans="1:1" x14ac:dyDescent="0.3">
      <c r="A14465" t="s">
        <v>0</v>
      </c>
    </row>
    <row r="14466" spans="1:1" x14ac:dyDescent="0.3">
      <c r="A14466" t="s">
        <v>0</v>
      </c>
    </row>
    <row r="14467" spans="1:1" x14ac:dyDescent="0.3">
      <c r="A14467" t="s">
        <v>0</v>
      </c>
    </row>
    <row r="14468" spans="1:1" x14ac:dyDescent="0.3">
      <c r="A14468" t="s">
        <v>0</v>
      </c>
    </row>
    <row r="14469" spans="1:1" x14ac:dyDescent="0.3">
      <c r="A14469" t="s">
        <v>0</v>
      </c>
    </row>
    <row r="14470" spans="1:1" x14ac:dyDescent="0.3">
      <c r="A14470" t="s">
        <v>0</v>
      </c>
    </row>
    <row r="14471" spans="1:1" x14ac:dyDescent="0.3">
      <c r="A14471" t="s">
        <v>0</v>
      </c>
    </row>
    <row r="14472" spans="1:1" x14ac:dyDescent="0.3">
      <c r="A14472" t="s">
        <v>0</v>
      </c>
    </row>
    <row r="14473" spans="1:1" x14ac:dyDescent="0.3">
      <c r="A14473" t="s">
        <v>0</v>
      </c>
    </row>
    <row r="14474" spans="1:1" x14ac:dyDescent="0.3">
      <c r="A14474" t="s">
        <v>0</v>
      </c>
    </row>
    <row r="14475" spans="1:1" x14ac:dyDescent="0.3">
      <c r="A14475" t="s">
        <v>0</v>
      </c>
    </row>
    <row r="14476" spans="1:1" x14ac:dyDescent="0.3">
      <c r="A14476" t="s">
        <v>0</v>
      </c>
    </row>
    <row r="14477" spans="1:1" x14ac:dyDescent="0.3">
      <c r="A14477" t="s">
        <v>0</v>
      </c>
    </row>
    <row r="14478" spans="1:1" x14ac:dyDescent="0.3">
      <c r="A14478" t="s">
        <v>0</v>
      </c>
    </row>
    <row r="14479" spans="1:1" x14ac:dyDescent="0.3">
      <c r="A14479" t="s">
        <v>0</v>
      </c>
    </row>
    <row r="14480" spans="1:1" x14ac:dyDescent="0.3">
      <c r="A14480" t="s">
        <v>0</v>
      </c>
    </row>
    <row r="14481" spans="1:1" x14ac:dyDescent="0.3">
      <c r="A14481" t="s">
        <v>0</v>
      </c>
    </row>
    <row r="14482" spans="1:1" x14ac:dyDescent="0.3">
      <c r="A14482" t="s">
        <v>0</v>
      </c>
    </row>
    <row r="14483" spans="1:1" x14ac:dyDescent="0.3">
      <c r="A14483" t="s">
        <v>0</v>
      </c>
    </row>
    <row r="14484" spans="1:1" x14ac:dyDescent="0.3">
      <c r="A14484" t="s">
        <v>0</v>
      </c>
    </row>
    <row r="14485" spans="1:1" x14ac:dyDescent="0.3">
      <c r="A14485" t="s">
        <v>0</v>
      </c>
    </row>
    <row r="14486" spans="1:1" x14ac:dyDescent="0.3">
      <c r="A14486" t="s">
        <v>0</v>
      </c>
    </row>
    <row r="14487" spans="1:1" x14ac:dyDescent="0.3">
      <c r="A14487" t="s">
        <v>0</v>
      </c>
    </row>
    <row r="14488" spans="1:1" x14ac:dyDescent="0.3">
      <c r="A14488" t="s">
        <v>0</v>
      </c>
    </row>
    <row r="14489" spans="1:1" x14ac:dyDescent="0.3">
      <c r="A14489" t="s">
        <v>0</v>
      </c>
    </row>
    <row r="14490" spans="1:1" x14ac:dyDescent="0.3">
      <c r="A14490" t="s">
        <v>0</v>
      </c>
    </row>
    <row r="14491" spans="1:1" x14ac:dyDescent="0.3">
      <c r="A14491" t="s">
        <v>0</v>
      </c>
    </row>
    <row r="14492" spans="1:1" x14ac:dyDescent="0.3">
      <c r="A14492" t="s">
        <v>0</v>
      </c>
    </row>
    <row r="14493" spans="1:1" x14ac:dyDescent="0.3">
      <c r="A14493" t="s">
        <v>0</v>
      </c>
    </row>
    <row r="14494" spans="1:1" x14ac:dyDescent="0.3">
      <c r="A14494" t="s">
        <v>0</v>
      </c>
    </row>
    <row r="14495" spans="1:1" x14ac:dyDescent="0.3">
      <c r="A14495" t="s">
        <v>0</v>
      </c>
    </row>
    <row r="14496" spans="1:1" x14ac:dyDescent="0.3">
      <c r="A14496" t="s">
        <v>0</v>
      </c>
    </row>
    <row r="14497" spans="1:1" x14ac:dyDescent="0.3">
      <c r="A14497" t="s">
        <v>0</v>
      </c>
    </row>
    <row r="14498" spans="1:1" x14ac:dyDescent="0.3">
      <c r="A14498" t="s">
        <v>0</v>
      </c>
    </row>
    <row r="14499" spans="1:1" x14ac:dyDescent="0.3">
      <c r="A14499" t="s">
        <v>0</v>
      </c>
    </row>
    <row r="14500" spans="1:1" x14ac:dyDescent="0.3">
      <c r="A14500" t="s">
        <v>0</v>
      </c>
    </row>
    <row r="14501" spans="1:1" x14ac:dyDescent="0.3">
      <c r="A14501" t="s">
        <v>0</v>
      </c>
    </row>
    <row r="14502" spans="1:1" x14ac:dyDescent="0.3">
      <c r="A14502" t="s">
        <v>0</v>
      </c>
    </row>
    <row r="14503" spans="1:1" x14ac:dyDescent="0.3">
      <c r="A14503" t="s">
        <v>0</v>
      </c>
    </row>
    <row r="14504" spans="1:1" x14ac:dyDescent="0.3">
      <c r="A14504" t="s">
        <v>0</v>
      </c>
    </row>
    <row r="14505" spans="1:1" x14ac:dyDescent="0.3">
      <c r="A14505" t="s">
        <v>0</v>
      </c>
    </row>
    <row r="14506" spans="1:1" x14ac:dyDescent="0.3">
      <c r="A14506" t="s">
        <v>0</v>
      </c>
    </row>
    <row r="14507" spans="1:1" x14ac:dyDescent="0.3">
      <c r="A14507" t="s">
        <v>0</v>
      </c>
    </row>
    <row r="14508" spans="1:1" x14ac:dyDescent="0.3">
      <c r="A14508" t="s">
        <v>0</v>
      </c>
    </row>
    <row r="14509" spans="1:1" x14ac:dyDescent="0.3">
      <c r="A14509" t="s">
        <v>0</v>
      </c>
    </row>
    <row r="14510" spans="1:1" x14ac:dyDescent="0.3">
      <c r="A14510" t="s">
        <v>0</v>
      </c>
    </row>
    <row r="14511" spans="1:1" x14ac:dyDescent="0.3">
      <c r="A14511" t="s">
        <v>0</v>
      </c>
    </row>
    <row r="14512" spans="1:1" x14ac:dyDescent="0.3">
      <c r="A14512" t="s">
        <v>0</v>
      </c>
    </row>
    <row r="14513" spans="1:1" x14ac:dyDescent="0.3">
      <c r="A14513" t="s">
        <v>0</v>
      </c>
    </row>
    <row r="14514" spans="1:1" x14ac:dyDescent="0.3">
      <c r="A14514" t="s">
        <v>0</v>
      </c>
    </row>
    <row r="14515" spans="1:1" x14ac:dyDescent="0.3">
      <c r="A14515" t="s">
        <v>0</v>
      </c>
    </row>
    <row r="14516" spans="1:1" x14ac:dyDescent="0.3">
      <c r="A14516" t="s">
        <v>0</v>
      </c>
    </row>
    <row r="14517" spans="1:1" x14ac:dyDescent="0.3">
      <c r="A14517" t="s">
        <v>0</v>
      </c>
    </row>
    <row r="14518" spans="1:1" x14ac:dyDescent="0.3">
      <c r="A14518" t="s">
        <v>0</v>
      </c>
    </row>
    <row r="14519" spans="1:1" x14ac:dyDescent="0.3">
      <c r="A14519" t="s">
        <v>0</v>
      </c>
    </row>
    <row r="14520" spans="1:1" x14ac:dyDescent="0.3">
      <c r="A14520" t="s">
        <v>0</v>
      </c>
    </row>
    <row r="14521" spans="1:1" x14ac:dyDescent="0.3">
      <c r="A14521" t="s">
        <v>0</v>
      </c>
    </row>
    <row r="14522" spans="1:1" x14ac:dyDescent="0.3">
      <c r="A14522" t="s">
        <v>0</v>
      </c>
    </row>
    <row r="14523" spans="1:1" x14ac:dyDescent="0.3">
      <c r="A14523" t="s">
        <v>0</v>
      </c>
    </row>
    <row r="14524" spans="1:1" x14ac:dyDescent="0.3">
      <c r="A14524" t="s">
        <v>0</v>
      </c>
    </row>
    <row r="14525" spans="1:1" x14ac:dyDescent="0.3">
      <c r="A14525" t="s">
        <v>0</v>
      </c>
    </row>
    <row r="14526" spans="1:1" x14ac:dyDescent="0.3">
      <c r="A14526" t="s">
        <v>0</v>
      </c>
    </row>
    <row r="14527" spans="1:1" x14ac:dyDescent="0.3">
      <c r="A14527" t="s">
        <v>0</v>
      </c>
    </row>
    <row r="14528" spans="1:1" x14ac:dyDescent="0.3">
      <c r="A14528" t="s">
        <v>0</v>
      </c>
    </row>
    <row r="14529" spans="1:1" x14ac:dyDescent="0.3">
      <c r="A14529" t="s">
        <v>0</v>
      </c>
    </row>
    <row r="14530" spans="1:1" x14ac:dyDescent="0.3">
      <c r="A14530" t="s">
        <v>0</v>
      </c>
    </row>
    <row r="14531" spans="1:1" x14ac:dyDescent="0.3">
      <c r="A14531" t="s">
        <v>0</v>
      </c>
    </row>
    <row r="14532" spans="1:1" x14ac:dyDescent="0.3">
      <c r="A14532" t="s">
        <v>0</v>
      </c>
    </row>
    <row r="14533" spans="1:1" x14ac:dyDescent="0.3">
      <c r="A14533" t="s">
        <v>0</v>
      </c>
    </row>
    <row r="14534" spans="1:1" x14ac:dyDescent="0.3">
      <c r="A14534" t="s">
        <v>0</v>
      </c>
    </row>
    <row r="14535" spans="1:1" x14ac:dyDescent="0.3">
      <c r="A14535" t="s">
        <v>0</v>
      </c>
    </row>
    <row r="14536" spans="1:1" x14ac:dyDescent="0.3">
      <c r="A14536" t="s">
        <v>0</v>
      </c>
    </row>
    <row r="14537" spans="1:1" x14ac:dyDescent="0.3">
      <c r="A14537" t="s">
        <v>0</v>
      </c>
    </row>
    <row r="14538" spans="1:1" x14ac:dyDescent="0.3">
      <c r="A14538" t="s">
        <v>0</v>
      </c>
    </row>
    <row r="14539" spans="1:1" x14ac:dyDescent="0.3">
      <c r="A14539" t="s">
        <v>0</v>
      </c>
    </row>
    <row r="14540" spans="1:1" x14ac:dyDescent="0.3">
      <c r="A14540" t="s">
        <v>0</v>
      </c>
    </row>
    <row r="14541" spans="1:1" x14ac:dyDescent="0.3">
      <c r="A14541" t="s">
        <v>0</v>
      </c>
    </row>
    <row r="14542" spans="1:1" x14ac:dyDescent="0.3">
      <c r="A14542" t="s">
        <v>0</v>
      </c>
    </row>
    <row r="14543" spans="1:1" x14ac:dyDescent="0.3">
      <c r="A14543" t="s">
        <v>0</v>
      </c>
    </row>
    <row r="14544" spans="1:1" x14ac:dyDescent="0.3">
      <c r="A14544" t="s">
        <v>0</v>
      </c>
    </row>
    <row r="14545" spans="1:1" x14ac:dyDescent="0.3">
      <c r="A14545" t="s">
        <v>0</v>
      </c>
    </row>
    <row r="14546" spans="1:1" x14ac:dyDescent="0.3">
      <c r="A14546" t="s">
        <v>0</v>
      </c>
    </row>
    <row r="14547" spans="1:1" x14ac:dyDescent="0.3">
      <c r="A14547" t="s">
        <v>0</v>
      </c>
    </row>
    <row r="14548" spans="1:1" x14ac:dyDescent="0.3">
      <c r="A14548" t="s">
        <v>0</v>
      </c>
    </row>
    <row r="14549" spans="1:1" x14ac:dyDescent="0.3">
      <c r="A14549" t="s">
        <v>0</v>
      </c>
    </row>
    <row r="14550" spans="1:1" x14ac:dyDescent="0.3">
      <c r="A14550" t="s">
        <v>0</v>
      </c>
    </row>
    <row r="14551" spans="1:1" x14ac:dyDescent="0.3">
      <c r="A14551" t="s">
        <v>0</v>
      </c>
    </row>
    <row r="14552" spans="1:1" x14ac:dyDescent="0.3">
      <c r="A14552" t="s">
        <v>0</v>
      </c>
    </row>
    <row r="14553" spans="1:1" x14ac:dyDescent="0.3">
      <c r="A14553" t="s">
        <v>0</v>
      </c>
    </row>
    <row r="14554" spans="1:1" x14ac:dyDescent="0.3">
      <c r="A14554" t="s">
        <v>0</v>
      </c>
    </row>
    <row r="14555" spans="1:1" x14ac:dyDescent="0.3">
      <c r="A14555" t="s">
        <v>0</v>
      </c>
    </row>
    <row r="14556" spans="1:1" x14ac:dyDescent="0.3">
      <c r="A14556" t="s">
        <v>0</v>
      </c>
    </row>
    <row r="14557" spans="1:1" x14ac:dyDescent="0.3">
      <c r="A14557" t="s">
        <v>0</v>
      </c>
    </row>
    <row r="14558" spans="1:1" x14ac:dyDescent="0.3">
      <c r="A14558" t="s">
        <v>0</v>
      </c>
    </row>
    <row r="14559" spans="1:1" x14ac:dyDescent="0.3">
      <c r="A14559" t="s">
        <v>0</v>
      </c>
    </row>
    <row r="14560" spans="1:1" x14ac:dyDescent="0.3">
      <c r="A14560" t="s">
        <v>0</v>
      </c>
    </row>
    <row r="14561" spans="1:1" x14ac:dyDescent="0.3">
      <c r="A14561" t="s">
        <v>0</v>
      </c>
    </row>
    <row r="14562" spans="1:1" x14ac:dyDescent="0.3">
      <c r="A14562" t="s">
        <v>0</v>
      </c>
    </row>
    <row r="14563" spans="1:1" x14ac:dyDescent="0.3">
      <c r="A14563" t="s">
        <v>0</v>
      </c>
    </row>
    <row r="14564" spans="1:1" x14ac:dyDescent="0.3">
      <c r="A14564" t="s">
        <v>0</v>
      </c>
    </row>
    <row r="14565" spans="1:1" x14ac:dyDescent="0.3">
      <c r="A14565" t="s">
        <v>0</v>
      </c>
    </row>
    <row r="14566" spans="1:1" x14ac:dyDescent="0.3">
      <c r="A14566" t="s">
        <v>0</v>
      </c>
    </row>
    <row r="14567" spans="1:1" x14ac:dyDescent="0.3">
      <c r="A14567" t="s">
        <v>0</v>
      </c>
    </row>
    <row r="14568" spans="1:1" x14ac:dyDescent="0.3">
      <c r="A14568" t="s">
        <v>0</v>
      </c>
    </row>
    <row r="14569" spans="1:1" x14ac:dyDescent="0.3">
      <c r="A14569" t="s">
        <v>0</v>
      </c>
    </row>
    <row r="14570" spans="1:1" x14ac:dyDescent="0.3">
      <c r="A14570" t="s">
        <v>0</v>
      </c>
    </row>
    <row r="14571" spans="1:1" x14ac:dyDescent="0.3">
      <c r="A14571" t="s">
        <v>0</v>
      </c>
    </row>
    <row r="14572" spans="1:1" x14ac:dyDescent="0.3">
      <c r="A14572" t="s">
        <v>0</v>
      </c>
    </row>
    <row r="14573" spans="1:1" x14ac:dyDescent="0.3">
      <c r="A14573" t="s">
        <v>0</v>
      </c>
    </row>
    <row r="14574" spans="1:1" x14ac:dyDescent="0.3">
      <c r="A14574" t="s">
        <v>0</v>
      </c>
    </row>
    <row r="14575" spans="1:1" x14ac:dyDescent="0.3">
      <c r="A14575" t="s">
        <v>0</v>
      </c>
    </row>
    <row r="14576" spans="1:1" x14ac:dyDescent="0.3">
      <c r="A14576" t="s">
        <v>0</v>
      </c>
    </row>
    <row r="14577" spans="1:1" x14ac:dyDescent="0.3">
      <c r="A14577" t="s">
        <v>0</v>
      </c>
    </row>
    <row r="14578" spans="1:1" x14ac:dyDescent="0.3">
      <c r="A14578" t="s">
        <v>0</v>
      </c>
    </row>
    <row r="14579" spans="1:1" x14ac:dyDescent="0.3">
      <c r="A14579" t="s">
        <v>0</v>
      </c>
    </row>
    <row r="14580" spans="1:1" x14ac:dyDescent="0.3">
      <c r="A14580" t="s">
        <v>0</v>
      </c>
    </row>
    <row r="14581" spans="1:1" x14ac:dyDescent="0.3">
      <c r="A14581" t="s">
        <v>0</v>
      </c>
    </row>
    <row r="14582" spans="1:1" x14ac:dyDescent="0.3">
      <c r="A14582" t="s">
        <v>0</v>
      </c>
    </row>
    <row r="14583" spans="1:1" x14ac:dyDescent="0.3">
      <c r="A14583" t="s">
        <v>0</v>
      </c>
    </row>
    <row r="14584" spans="1:1" x14ac:dyDescent="0.3">
      <c r="A14584" t="s">
        <v>0</v>
      </c>
    </row>
    <row r="14585" spans="1:1" x14ac:dyDescent="0.3">
      <c r="A14585" t="s">
        <v>0</v>
      </c>
    </row>
    <row r="14586" spans="1:1" x14ac:dyDescent="0.3">
      <c r="A14586" t="s">
        <v>0</v>
      </c>
    </row>
    <row r="14587" spans="1:1" x14ac:dyDescent="0.3">
      <c r="A14587" t="s">
        <v>0</v>
      </c>
    </row>
    <row r="14588" spans="1:1" x14ac:dyDescent="0.3">
      <c r="A14588" t="s">
        <v>0</v>
      </c>
    </row>
    <row r="14589" spans="1:1" x14ac:dyDescent="0.3">
      <c r="A14589" t="s">
        <v>0</v>
      </c>
    </row>
    <row r="14590" spans="1:1" x14ac:dyDescent="0.3">
      <c r="A14590" t="s">
        <v>0</v>
      </c>
    </row>
    <row r="14591" spans="1:1" x14ac:dyDescent="0.3">
      <c r="A14591" t="s">
        <v>0</v>
      </c>
    </row>
    <row r="14592" spans="1:1" x14ac:dyDescent="0.3">
      <c r="A14592" t="s">
        <v>0</v>
      </c>
    </row>
    <row r="14593" spans="1:1" x14ac:dyDescent="0.3">
      <c r="A14593" t="s">
        <v>0</v>
      </c>
    </row>
    <row r="14594" spans="1:1" x14ac:dyDescent="0.3">
      <c r="A14594" t="s">
        <v>0</v>
      </c>
    </row>
    <row r="14595" spans="1:1" x14ac:dyDescent="0.3">
      <c r="A14595" t="s">
        <v>0</v>
      </c>
    </row>
    <row r="14596" spans="1:1" x14ac:dyDescent="0.3">
      <c r="A14596" t="s">
        <v>0</v>
      </c>
    </row>
    <row r="14597" spans="1:1" x14ac:dyDescent="0.3">
      <c r="A14597" t="s">
        <v>0</v>
      </c>
    </row>
    <row r="14598" spans="1:1" x14ac:dyDescent="0.3">
      <c r="A14598" t="s">
        <v>0</v>
      </c>
    </row>
    <row r="14599" spans="1:1" x14ac:dyDescent="0.3">
      <c r="A14599" t="s">
        <v>0</v>
      </c>
    </row>
    <row r="14600" spans="1:1" x14ac:dyDescent="0.3">
      <c r="A14600" t="s">
        <v>0</v>
      </c>
    </row>
    <row r="14601" spans="1:1" x14ac:dyDescent="0.3">
      <c r="A14601" t="s">
        <v>0</v>
      </c>
    </row>
    <row r="14602" spans="1:1" x14ac:dyDescent="0.3">
      <c r="A14602" t="s">
        <v>0</v>
      </c>
    </row>
    <row r="14603" spans="1:1" x14ac:dyDescent="0.3">
      <c r="A14603" t="s">
        <v>0</v>
      </c>
    </row>
    <row r="14604" spans="1:1" x14ac:dyDescent="0.3">
      <c r="A14604" t="s">
        <v>0</v>
      </c>
    </row>
    <row r="14605" spans="1:1" x14ac:dyDescent="0.3">
      <c r="A14605" t="s">
        <v>0</v>
      </c>
    </row>
    <row r="14606" spans="1:1" x14ac:dyDescent="0.3">
      <c r="A14606" t="s">
        <v>0</v>
      </c>
    </row>
    <row r="14607" spans="1:1" x14ac:dyDescent="0.3">
      <c r="A14607" t="s">
        <v>0</v>
      </c>
    </row>
    <row r="14608" spans="1:1" x14ac:dyDescent="0.3">
      <c r="A14608" t="s">
        <v>0</v>
      </c>
    </row>
    <row r="14609" spans="1:1" x14ac:dyDescent="0.3">
      <c r="A14609" t="s">
        <v>0</v>
      </c>
    </row>
    <row r="14610" spans="1:1" x14ac:dyDescent="0.3">
      <c r="A14610" t="s">
        <v>0</v>
      </c>
    </row>
    <row r="14611" spans="1:1" x14ac:dyDescent="0.3">
      <c r="A14611" t="s">
        <v>0</v>
      </c>
    </row>
    <row r="14612" spans="1:1" x14ac:dyDescent="0.3">
      <c r="A14612" t="s">
        <v>0</v>
      </c>
    </row>
    <row r="14613" spans="1:1" x14ac:dyDescent="0.3">
      <c r="A14613" t="s">
        <v>0</v>
      </c>
    </row>
    <row r="14614" spans="1:1" x14ac:dyDescent="0.3">
      <c r="A14614" t="s">
        <v>0</v>
      </c>
    </row>
    <row r="14615" spans="1:1" x14ac:dyDescent="0.3">
      <c r="A14615" t="s">
        <v>0</v>
      </c>
    </row>
    <row r="14616" spans="1:1" x14ac:dyDescent="0.3">
      <c r="A14616" t="s">
        <v>0</v>
      </c>
    </row>
    <row r="14617" spans="1:1" x14ac:dyDescent="0.3">
      <c r="A14617" t="s">
        <v>0</v>
      </c>
    </row>
    <row r="14618" spans="1:1" x14ac:dyDescent="0.3">
      <c r="A14618" t="s">
        <v>0</v>
      </c>
    </row>
    <row r="14619" spans="1:1" x14ac:dyDescent="0.3">
      <c r="A14619" t="s">
        <v>0</v>
      </c>
    </row>
    <row r="14620" spans="1:1" x14ac:dyDescent="0.3">
      <c r="A14620" t="s">
        <v>0</v>
      </c>
    </row>
    <row r="14621" spans="1:1" x14ac:dyDescent="0.3">
      <c r="A14621" t="s">
        <v>0</v>
      </c>
    </row>
    <row r="14622" spans="1:1" x14ac:dyDescent="0.3">
      <c r="A14622" t="s">
        <v>0</v>
      </c>
    </row>
    <row r="14623" spans="1:1" x14ac:dyDescent="0.3">
      <c r="A14623" t="s">
        <v>0</v>
      </c>
    </row>
    <row r="14624" spans="1:1" x14ac:dyDescent="0.3">
      <c r="A14624" t="s">
        <v>0</v>
      </c>
    </row>
    <row r="14625" spans="1:1" x14ac:dyDescent="0.3">
      <c r="A14625" t="s">
        <v>0</v>
      </c>
    </row>
    <row r="14626" spans="1:1" x14ac:dyDescent="0.3">
      <c r="A14626" t="s">
        <v>0</v>
      </c>
    </row>
    <row r="14627" spans="1:1" x14ac:dyDescent="0.3">
      <c r="A14627" t="s">
        <v>0</v>
      </c>
    </row>
    <row r="14628" spans="1:1" x14ac:dyDescent="0.3">
      <c r="A14628" t="s">
        <v>0</v>
      </c>
    </row>
    <row r="14629" spans="1:1" x14ac:dyDescent="0.3">
      <c r="A14629" t="s">
        <v>0</v>
      </c>
    </row>
    <row r="14630" spans="1:1" x14ac:dyDescent="0.3">
      <c r="A14630" t="s">
        <v>0</v>
      </c>
    </row>
    <row r="14631" spans="1:1" x14ac:dyDescent="0.3">
      <c r="A14631" t="s">
        <v>0</v>
      </c>
    </row>
    <row r="14632" spans="1:1" x14ac:dyDescent="0.3">
      <c r="A14632" t="s">
        <v>0</v>
      </c>
    </row>
    <row r="14633" spans="1:1" x14ac:dyDescent="0.3">
      <c r="A14633" t="s">
        <v>0</v>
      </c>
    </row>
    <row r="14634" spans="1:1" x14ac:dyDescent="0.3">
      <c r="A14634" t="s">
        <v>0</v>
      </c>
    </row>
    <row r="14635" spans="1:1" x14ac:dyDescent="0.3">
      <c r="A14635" t="s">
        <v>0</v>
      </c>
    </row>
    <row r="14636" spans="1:1" x14ac:dyDescent="0.3">
      <c r="A14636" t="s">
        <v>0</v>
      </c>
    </row>
    <row r="14637" spans="1:1" x14ac:dyDescent="0.3">
      <c r="A14637" t="s">
        <v>0</v>
      </c>
    </row>
    <row r="14638" spans="1:1" x14ac:dyDescent="0.3">
      <c r="A14638" t="s">
        <v>0</v>
      </c>
    </row>
    <row r="14639" spans="1:1" x14ac:dyDescent="0.3">
      <c r="A14639" t="s">
        <v>0</v>
      </c>
    </row>
    <row r="14640" spans="1:1" x14ac:dyDescent="0.3">
      <c r="A14640" t="s">
        <v>0</v>
      </c>
    </row>
    <row r="14641" spans="1:1" x14ac:dyDescent="0.3">
      <c r="A14641" t="s">
        <v>0</v>
      </c>
    </row>
    <row r="14642" spans="1:1" x14ac:dyDescent="0.3">
      <c r="A14642" t="s">
        <v>0</v>
      </c>
    </row>
    <row r="14643" spans="1:1" x14ac:dyDescent="0.3">
      <c r="A14643" t="s">
        <v>0</v>
      </c>
    </row>
    <row r="14644" spans="1:1" x14ac:dyDescent="0.3">
      <c r="A14644" t="s">
        <v>0</v>
      </c>
    </row>
    <row r="14645" spans="1:1" x14ac:dyDescent="0.3">
      <c r="A14645" t="s">
        <v>0</v>
      </c>
    </row>
    <row r="14646" spans="1:1" x14ac:dyDescent="0.3">
      <c r="A14646" t="s">
        <v>0</v>
      </c>
    </row>
    <row r="14647" spans="1:1" x14ac:dyDescent="0.3">
      <c r="A14647" t="s">
        <v>0</v>
      </c>
    </row>
    <row r="14648" spans="1:1" x14ac:dyDescent="0.3">
      <c r="A14648" t="s">
        <v>0</v>
      </c>
    </row>
    <row r="14649" spans="1:1" x14ac:dyDescent="0.3">
      <c r="A14649" t="s">
        <v>0</v>
      </c>
    </row>
    <row r="14650" spans="1:1" x14ac:dyDescent="0.3">
      <c r="A14650" t="s">
        <v>0</v>
      </c>
    </row>
    <row r="14651" spans="1:1" x14ac:dyDescent="0.3">
      <c r="A14651" t="s">
        <v>0</v>
      </c>
    </row>
    <row r="14652" spans="1:1" x14ac:dyDescent="0.3">
      <c r="A14652" t="s">
        <v>0</v>
      </c>
    </row>
    <row r="14653" spans="1:1" x14ac:dyDescent="0.3">
      <c r="A14653" t="s">
        <v>0</v>
      </c>
    </row>
    <row r="14654" spans="1:1" x14ac:dyDescent="0.3">
      <c r="A14654" t="s">
        <v>0</v>
      </c>
    </row>
    <row r="14655" spans="1:1" x14ac:dyDescent="0.3">
      <c r="A14655" t="s">
        <v>0</v>
      </c>
    </row>
    <row r="14656" spans="1:1" x14ac:dyDescent="0.3">
      <c r="A14656" t="s">
        <v>0</v>
      </c>
    </row>
    <row r="14657" spans="1:1" x14ac:dyDescent="0.3">
      <c r="A14657" t="s">
        <v>0</v>
      </c>
    </row>
    <row r="14658" spans="1:1" x14ac:dyDescent="0.3">
      <c r="A14658" t="s">
        <v>0</v>
      </c>
    </row>
    <row r="14659" spans="1:1" x14ac:dyDescent="0.3">
      <c r="A14659" t="s">
        <v>0</v>
      </c>
    </row>
    <row r="14660" spans="1:1" x14ac:dyDescent="0.3">
      <c r="A14660" t="s">
        <v>0</v>
      </c>
    </row>
    <row r="14661" spans="1:1" x14ac:dyDescent="0.3">
      <c r="A14661" t="s">
        <v>0</v>
      </c>
    </row>
    <row r="14662" spans="1:1" x14ac:dyDescent="0.3">
      <c r="A14662" t="s">
        <v>0</v>
      </c>
    </row>
    <row r="14663" spans="1:1" x14ac:dyDescent="0.3">
      <c r="A14663" t="s">
        <v>0</v>
      </c>
    </row>
    <row r="14664" spans="1:1" x14ac:dyDescent="0.3">
      <c r="A14664" t="s">
        <v>0</v>
      </c>
    </row>
    <row r="14665" spans="1:1" x14ac:dyDescent="0.3">
      <c r="A14665" t="s">
        <v>0</v>
      </c>
    </row>
    <row r="14666" spans="1:1" x14ac:dyDescent="0.3">
      <c r="A14666" t="s">
        <v>0</v>
      </c>
    </row>
    <row r="14667" spans="1:1" x14ac:dyDescent="0.3">
      <c r="A14667" t="s">
        <v>0</v>
      </c>
    </row>
    <row r="14668" spans="1:1" x14ac:dyDescent="0.3">
      <c r="A14668" t="s">
        <v>0</v>
      </c>
    </row>
    <row r="14669" spans="1:1" x14ac:dyDescent="0.3">
      <c r="A14669" t="s">
        <v>0</v>
      </c>
    </row>
    <row r="14670" spans="1:1" x14ac:dyDescent="0.3">
      <c r="A14670" t="s">
        <v>0</v>
      </c>
    </row>
    <row r="14671" spans="1:1" x14ac:dyDescent="0.3">
      <c r="A14671" t="s">
        <v>0</v>
      </c>
    </row>
    <row r="14672" spans="1:1" x14ac:dyDescent="0.3">
      <c r="A14672" t="s">
        <v>0</v>
      </c>
    </row>
    <row r="14673" spans="1:1" x14ac:dyDescent="0.3">
      <c r="A14673" t="s">
        <v>0</v>
      </c>
    </row>
    <row r="14674" spans="1:1" x14ac:dyDescent="0.3">
      <c r="A14674" t="s">
        <v>0</v>
      </c>
    </row>
    <row r="14675" spans="1:1" x14ac:dyDescent="0.3">
      <c r="A14675" t="s">
        <v>0</v>
      </c>
    </row>
    <row r="14676" spans="1:1" x14ac:dyDescent="0.3">
      <c r="A14676" t="s">
        <v>0</v>
      </c>
    </row>
    <row r="14677" spans="1:1" x14ac:dyDescent="0.3">
      <c r="A14677" t="s">
        <v>0</v>
      </c>
    </row>
    <row r="14678" spans="1:1" x14ac:dyDescent="0.3">
      <c r="A14678" t="s">
        <v>0</v>
      </c>
    </row>
    <row r="14679" spans="1:1" x14ac:dyDescent="0.3">
      <c r="A14679" t="s">
        <v>0</v>
      </c>
    </row>
    <row r="14680" spans="1:1" x14ac:dyDescent="0.3">
      <c r="A14680" t="s">
        <v>0</v>
      </c>
    </row>
    <row r="14681" spans="1:1" x14ac:dyDescent="0.3">
      <c r="A14681" t="s">
        <v>0</v>
      </c>
    </row>
    <row r="14682" spans="1:1" x14ac:dyDescent="0.3">
      <c r="A14682" t="s">
        <v>0</v>
      </c>
    </row>
    <row r="14683" spans="1:1" x14ac:dyDescent="0.3">
      <c r="A14683" t="s">
        <v>0</v>
      </c>
    </row>
    <row r="14684" spans="1:1" x14ac:dyDescent="0.3">
      <c r="A14684" t="s">
        <v>0</v>
      </c>
    </row>
    <row r="14685" spans="1:1" x14ac:dyDescent="0.3">
      <c r="A14685" t="s">
        <v>0</v>
      </c>
    </row>
    <row r="14686" spans="1:1" x14ac:dyDescent="0.3">
      <c r="A14686" t="s">
        <v>0</v>
      </c>
    </row>
    <row r="14687" spans="1:1" x14ac:dyDescent="0.3">
      <c r="A14687" t="s">
        <v>0</v>
      </c>
    </row>
    <row r="14688" spans="1:1" x14ac:dyDescent="0.3">
      <c r="A14688" t="s">
        <v>0</v>
      </c>
    </row>
    <row r="14689" spans="1:1" x14ac:dyDescent="0.3">
      <c r="A14689" t="s">
        <v>0</v>
      </c>
    </row>
    <row r="14690" spans="1:1" x14ac:dyDescent="0.3">
      <c r="A14690" t="s">
        <v>0</v>
      </c>
    </row>
    <row r="14691" spans="1:1" x14ac:dyDescent="0.3">
      <c r="A14691" t="s">
        <v>0</v>
      </c>
    </row>
    <row r="14692" spans="1:1" x14ac:dyDescent="0.3">
      <c r="A14692" t="s">
        <v>0</v>
      </c>
    </row>
    <row r="14693" spans="1:1" x14ac:dyDescent="0.3">
      <c r="A14693" t="s">
        <v>0</v>
      </c>
    </row>
    <row r="14694" spans="1:1" x14ac:dyDescent="0.3">
      <c r="A14694" t="s">
        <v>0</v>
      </c>
    </row>
    <row r="14695" spans="1:1" x14ac:dyDescent="0.3">
      <c r="A14695" t="s">
        <v>0</v>
      </c>
    </row>
    <row r="14696" spans="1:1" x14ac:dyDescent="0.3">
      <c r="A14696" t="s">
        <v>0</v>
      </c>
    </row>
    <row r="14697" spans="1:1" x14ac:dyDescent="0.3">
      <c r="A14697" t="s">
        <v>0</v>
      </c>
    </row>
    <row r="14698" spans="1:1" x14ac:dyDescent="0.3">
      <c r="A14698" t="s">
        <v>0</v>
      </c>
    </row>
    <row r="14699" spans="1:1" x14ac:dyDescent="0.3">
      <c r="A14699" t="s">
        <v>0</v>
      </c>
    </row>
    <row r="14700" spans="1:1" x14ac:dyDescent="0.3">
      <c r="A14700" t="s">
        <v>0</v>
      </c>
    </row>
    <row r="14701" spans="1:1" x14ac:dyDescent="0.3">
      <c r="A14701" t="s">
        <v>0</v>
      </c>
    </row>
    <row r="14702" spans="1:1" x14ac:dyDescent="0.3">
      <c r="A14702" t="s">
        <v>0</v>
      </c>
    </row>
    <row r="14703" spans="1:1" x14ac:dyDescent="0.3">
      <c r="A14703" t="s">
        <v>0</v>
      </c>
    </row>
    <row r="14704" spans="1:1" x14ac:dyDescent="0.3">
      <c r="A14704" t="s">
        <v>0</v>
      </c>
    </row>
    <row r="14705" spans="1:1" x14ac:dyDescent="0.3">
      <c r="A14705" t="s">
        <v>0</v>
      </c>
    </row>
    <row r="14706" spans="1:1" x14ac:dyDescent="0.3">
      <c r="A14706" t="s">
        <v>0</v>
      </c>
    </row>
    <row r="14707" spans="1:1" x14ac:dyDescent="0.3">
      <c r="A14707" t="s">
        <v>0</v>
      </c>
    </row>
    <row r="14708" spans="1:1" x14ac:dyDescent="0.3">
      <c r="A14708" t="s">
        <v>0</v>
      </c>
    </row>
    <row r="14709" spans="1:1" x14ac:dyDescent="0.3">
      <c r="A14709" t="s">
        <v>0</v>
      </c>
    </row>
    <row r="14710" spans="1:1" x14ac:dyDescent="0.3">
      <c r="A14710" t="s">
        <v>0</v>
      </c>
    </row>
    <row r="14711" spans="1:1" x14ac:dyDescent="0.3">
      <c r="A14711" t="s">
        <v>0</v>
      </c>
    </row>
    <row r="14712" spans="1:1" x14ac:dyDescent="0.3">
      <c r="A14712" t="s">
        <v>0</v>
      </c>
    </row>
    <row r="14713" spans="1:1" x14ac:dyDescent="0.3">
      <c r="A14713" t="s">
        <v>0</v>
      </c>
    </row>
    <row r="14714" spans="1:1" x14ac:dyDescent="0.3">
      <c r="A14714" t="s">
        <v>0</v>
      </c>
    </row>
    <row r="14715" spans="1:1" x14ac:dyDescent="0.3">
      <c r="A14715" t="s">
        <v>0</v>
      </c>
    </row>
    <row r="14716" spans="1:1" x14ac:dyDescent="0.3">
      <c r="A14716" t="s">
        <v>0</v>
      </c>
    </row>
    <row r="14717" spans="1:1" x14ac:dyDescent="0.3">
      <c r="A14717" t="s">
        <v>0</v>
      </c>
    </row>
    <row r="14718" spans="1:1" x14ac:dyDescent="0.3">
      <c r="A14718" t="s">
        <v>0</v>
      </c>
    </row>
    <row r="14719" spans="1:1" x14ac:dyDescent="0.3">
      <c r="A14719" t="s">
        <v>0</v>
      </c>
    </row>
    <row r="14720" spans="1:1" x14ac:dyDescent="0.3">
      <c r="A14720" t="s">
        <v>0</v>
      </c>
    </row>
    <row r="14721" spans="1:1" x14ac:dyDescent="0.3">
      <c r="A14721" t="s">
        <v>0</v>
      </c>
    </row>
    <row r="14722" spans="1:1" x14ac:dyDescent="0.3">
      <c r="A14722" t="s">
        <v>0</v>
      </c>
    </row>
    <row r="14723" spans="1:1" x14ac:dyDescent="0.3">
      <c r="A14723" t="s">
        <v>0</v>
      </c>
    </row>
    <row r="14724" spans="1:1" x14ac:dyDescent="0.3">
      <c r="A14724" t="s">
        <v>0</v>
      </c>
    </row>
    <row r="14725" spans="1:1" x14ac:dyDescent="0.3">
      <c r="A14725" t="s">
        <v>0</v>
      </c>
    </row>
    <row r="14726" spans="1:1" x14ac:dyDescent="0.3">
      <c r="A14726" t="s">
        <v>0</v>
      </c>
    </row>
    <row r="14727" spans="1:1" x14ac:dyDescent="0.3">
      <c r="A14727" t="s">
        <v>0</v>
      </c>
    </row>
    <row r="14728" spans="1:1" x14ac:dyDescent="0.3">
      <c r="A14728" t="s">
        <v>0</v>
      </c>
    </row>
    <row r="14729" spans="1:1" x14ac:dyDescent="0.3">
      <c r="A14729" t="s">
        <v>0</v>
      </c>
    </row>
    <row r="14730" spans="1:1" x14ac:dyDescent="0.3">
      <c r="A14730" t="s">
        <v>0</v>
      </c>
    </row>
    <row r="14731" spans="1:1" x14ac:dyDescent="0.3">
      <c r="A14731" t="s">
        <v>0</v>
      </c>
    </row>
    <row r="14732" spans="1:1" x14ac:dyDescent="0.3">
      <c r="A14732" t="s">
        <v>0</v>
      </c>
    </row>
    <row r="14733" spans="1:1" x14ac:dyDescent="0.3">
      <c r="A14733" t="s">
        <v>0</v>
      </c>
    </row>
    <row r="14734" spans="1:1" x14ac:dyDescent="0.3">
      <c r="A14734" t="s">
        <v>0</v>
      </c>
    </row>
    <row r="14735" spans="1:1" x14ac:dyDescent="0.3">
      <c r="A14735" t="s">
        <v>0</v>
      </c>
    </row>
    <row r="14736" spans="1:1" x14ac:dyDescent="0.3">
      <c r="A14736" t="s">
        <v>0</v>
      </c>
    </row>
    <row r="14737" spans="1:1" x14ac:dyDescent="0.3">
      <c r="A14737" t="s">
        <v>0</v>
      </c>
    </row>
    <row r="14738" spans="1:1" x14ac:dyDescent="0.3">
      <c r="A14738" t="s">
        <v>0</v>
      </c>
    </row>
    <row r="14739" spans="1:1" x14ac:dyDescent="0.3">
      <c r="A14739" t="s">
        <v>0</v>
      </c>
    </row>
    <row r="14740" spans="1:1" x14ac:dyDescent="0.3">
      <c r="A14740" t="s">
        <v>0</v>
      </c>
    </row>
    <row r="14741" spans="1:1" x14ac:dyDescent="0.3">
      <c r="A14741" t="s">
        <v>0</v>
      </c>
    </row>
    <row r="14742" spans="1:1" x14ac:dyDescent="0.3">
      <c r="A14742" t="s">
        <v>0</v>
      </c>
    </row>
    <row r="14743" spans="1:1" x14ac:dyDescent="0.3">
      <c r="A14743" t="s">
        <v>0</v>
      </c>
    </row>
    <row r="14744" spans="1:1" x14ac:dyDescent="0.3">
      <c r="A14744" t="s">
        <v>0</v>
      </c>
    </row>
    <row r="14745" spans="1:1" x14ac:dyDescent="0.3">
      <c r="A14745" t="s">
        <v>0</v>
      </c>
    </row>
    <row r="14746" spans="1:1" x14ac:dyDescent="0.3">
      <c r="A14746" t="s">
        <v>0</v>
      </c>
    </row>
    <row r="14747" spans="1:1" x14ac:dyDescent="0.3">
      <c r="A14747" t="s">
        <v>0</v>
      </c>
    </row>
    <row r="14748" spans="1:1" x14ac:dyDescent="0.3">
      <c r="A14748" t="s">
        <v>0</v>
      </c>
    </row>
    <row r="14749" spans="1:1" x14ac:dyDescent="0.3">
      <c r="A14749" t="s">
        <v>0</v>
      </c>
    </row>
    <row r="14750" spans="1:1" x14ac:dyDescent="0.3">
      <c r="A14750" t="s">
        <v>0</v>
      </c>
    </row>
    <row r="14751" spans="1:1" x14ac:dyDescent="0.3">
      <c r="A14751" t="s">
        <v>0</v>
      </c>
    </row>
    <row r="14752" spans="1:1" x14ac:dyDescent="0.3">
      <c r="A14752" t="s">
        <v>0</v>
      </c>
    </row>
    <row r="14753" spans="1:1" x14ac:dyDescent="0.3">
      <c r="A14753" t="s">
        <v>0</v>
      </c>
    </row>
    <row r="14754" spans="1:1" x14ac:dyDescent="0.3">
      <c r="A14754" t="s">
        <v>0</v>
      </c>
    </row>
    <row r="14755" spans="1:1" x14ac:dyDescent="0.3">
      <c r="A14755" t="s">
        <v>0</v>
      </c>
    </row>
    <row r="14756" spans="1:1" x14ac:dyDescent="0.3">
      <c r="A14756" t="s">
        <v>0</v>
      </c>
    </row>
    <row r="14757" spans="1:1" x14ac:dyDescent="0.3">
      <c r="A14757" t="s">
        <v>0</v>
      </c>
    </row>
    <row r="14758" spans="1:1" x14ac:dyDescent="0.3">
      <c r="A14758" t="s">
        <v>0</v>
      </c>
    </row>
    <row r="14759" spans="1:1" x14ac:dyDescent="0.3">
      <c r="A14759" t="s">
        <v>0</v>
      </c>
    </row>
    <row r="14760" spans="1:1" x14ac:dyDescent="0.3">
      <c r="A14760" t="s">
        <v>0</v>
      </c>
    </row>
    <row r="14761" spans="1:1" x14ac:dyDescent="0.3">
      <c r="A14761" t="s">
        <v>0</v>
      </c>
    </row>
    <row r="14762" spans="1:1" x14ac:dyDescent="0.3">
      <c r="A14762" t="s">
        <v>0</v>
      </c>
    </row>
    <row r="14763" spans="1:1" x14ac:dyDescent="0.3">
      <c r="A14763" t="s">
        <v>0</v>
      </c>
    </row>
    <row r="14764" spans="1:1" x14ac:dyDescent="0.3">
      <c r="A14764" t="s">
        <v>0</v>
      </c>
    </row>
    <row r="14765" spans="1:1" x14ac:dyDescent="0.3">
      <c r="A14765" t="s">
        <v>0</v>
      </c>
    </row>
    <row r="14766" spans="1:1" x14ac:dyDescent="0.3">
      <c r="A14766" t="s">
        <v>0</v>
      </c>
    </row>
    <row r="14767" spans="1:1" x14ac:dyDescent="0.3">
      <c r="A14767" t="s">
        <v>0</v>
      </c>
    </row>
    <row r="14768" spans="1:1" x14ac:dyDescent="0.3">
      <c r="A14768" t="s">
        <v>0</v>
      </c>
    </row>
    <row r="14769" spans="1:1" x14ac:dyDescent="0.3">
      <c r="A14769" t="s">
        <v>0</v>
      </c>
    </row>
    <row r="14770" spans="1:1" x14ac:dyDescent="0.3">
      <c r="A14770" t="s">
        <v>0</v>
      </c>
    </row>
    <row r="14771" spans="1:1" x14ac:dyDescent="0.3">
      <c r="A14771" t="s">
        <v>0</v>
      </c>
    </row>
    <row r="14772" spans="1:1" x14ac:dyDescent="0.3">
      <c r="A14772" t="s">
        <v>0</v>
      </c>
    </row>
    <row r="14773" spans="1:1" x14ac:dyDescent="0.3">
      <c r="A14773" t="s">
        <v>0</v>
      </c>
    </row>
    <row r="14774" spans="1:1" x14ac:dyDescent="0.3">
      <c r="A14774" t="s">
        <v>0</v>
      </c>
    </row>
    <row r="14775" spans="1:1" x14ac:dyDescent="0.3">
      <c r="A14775" t="s">
        <v>0</v>
      </c>
    </row>
    <row r="14776" spans="1:1" x14ac:dyDescent="0.3">
      <c r="A14776" t="s">
        <v>0</v>
      </c>
    </row>
    <row r="14777" spans="1:1" x14ac:dyDescent="0.3">
      <c r="A14777" t="s">
        <v>0</v>
      </c>
    </row>
    <row r="14778" spans="1:1" x14ac:dyDescent="0.3">
      <c r="A14778" t="s">
        <v>0</v>
      </c>
    </row>
    <row r="14779" spans="1:1" x14ac:dyDescent="0.3">
      <c r="A14779" t="s">
        <v>0</v>
      </c>
    </row>
    <row r="14780" spans="1:1" x14ac:dyDescent="0.3">
      <c r="A14780" t="s">
        <v>0</v>
      </c>
    </row>
    <row r="14781" spans="1:1" x14ac:dyDescent="0.3">
      <c r="A14781" t="s">
        <v>0</v>
      </c>
    </row>
    <row r="14782" spans="1:1" x14ac:dyDescent="0.3">
      <c r="A14782" t="s">
        <v>0</v>
      </c>
    </row>
    <row r="14783" spans="1:1" x14ac:dyDescent="0.3">
      <c r="A14783" t="s">
        <v>0</v>
      </c>
    </row>
    <row r="14784" spans="1:1" x14ac:dyDescent="0.3">
      <c r="A14784" t="s">
        <v>0</v>
      </c>
    </row>
    <row r="14785" spans="1:1" x14ac:dyDescent="0.3">
      <c r="A14785" t="s">
        <v>0</v>
      </c>
    </row>
    <row r="14786" spans="1:1" x14ac:dyDescent="0.3">
      <c r="A14786" t="s">
        <v>0</v>
      </c>
    </row>
    <row r="14787" spans="1:1" x14ac:dyDescent="0.3">
      <c r="A14787" t="s">
        <v>0</v>
      </c>
    </row>
    <row r="14788" spans="1:1" x14ac:dyDescent="0.3">
      <c r="A14788" t="s">
        <v>0</v>
      </c>
    </row>
    <row r="14789" spans="1:1" x14ac:dyDescent="0.3">
      <c r="A14789" t="s">
        <v>0</v>
      </c>
    </row>
    <row r="14790" spans="1:1" x14ac:dyDescent="0.3">
      <c r="A14790" t="s">
        <v>0</v>
      </c>
    </row>
    <row r="14791" spans="1:1" x14ac:dyDescent="0.3">
      <c r="A14791" t="s">
        <v>0</v>
      </c>
    </row>
    <row r="14792" spans="1:1" x14ac:dyDescent="0.3">
      <c r="A14792" t="s">
        <v>0</v>
      </c>
    </row>
    <row r="14793" spans="1:1" x14ac:dyDescent="0.3">
      <c r="A14793" t="s">
        <v>0</v>
      </c>
    </row>
    <row r="14794" spans="1:1" x14ac:dyDescent="0.3">
      <c r="A14794" t="s">
        <v>0</v>
      </c>
    </row>
    <row r="14795" spans="1:1" x14ac:dyDescent="0.3">
      <c r="A14795" t="s">
        <v>0</v>
      </c>
    </row>
    <row r="14796" spans="1:1" x14ac:dyDescent="0.3">
      <c r="A14796" t="s">
        <v>0</v>
      </c>
    </row>
    <row r="14797" spans="1:1" x14ac:dyDescent="0.3">
      <c r="A14797" t="s">
        <v>0</v>
      </c>
    </row>
    <row r="14798" spans="1:1" x14ac:dyDescent="0.3">
      <c r="A14798" t="s">
        <v>0</v>
      </c>
    </row>
    <row r="14799" spans="1:1" x14ac:dyDescent="0.3">
      <c r="A14799" t="s">
        <v>0</v>
      </c>
    </row>
    <row r="14800" spans="1:1" x14ac:dyDescent="0.3">
      <c r="A14800" t="s">
        <v>0</v>
      </c>
    </row>
    <row r="14801" spans="1:1" x14ac:dyDescent="0.3">
      <c r="A14801" t="s">
        <v>0</v>
      </c>
    </row>
    <row r="14802" spans="1:1" x14ac:dyDescent="0.3">
      <c r="A14802" t="s">
        <v>0</v>
      </c>
    </row>
    <row r="14803" spans="1:1" x14ac:dyDescent="0.3">
      <c r="A14803" t="s">
        <v>0</v>
      </c>
    </row>
    <row r="14804" spans="1:1" x14ac:dyDescent="0.3">
      <c r="A14804" t="s">
        <v>0</v>
      </c>
    </row>
    <row r="14805" spans="1:1" x14ac:dyDescent="0.3">
      <c r="A14805" t="s">
        <v>0</v>
      </c>
    </row>
    <row r="14806" spans="1:1" x14ac:dyDescent="0.3">
      <c r="A14806" t="s">
        <v>0</v>
      </c>
    </row>
    <row r="14807" spans="1:1" x14ac:dyDescent="0.3">
      <c r="A14807" t="s">
        <v>0</v>
      </c>
    </row>
    <row r="14808" spans="1:1" x14ac:dyDescent="0.3">
      <c r="A14808" t="s">
        <v>0</v>
      </c>
    </row>
    <row r="14809" spans="1:1" x14ac:dyDescent="0.3">
      <c r="A14809" t="s">
        <v>0</v>
      </c>
    </row>
    <row r="14810" spans="1:1" x14ac:dyDescent="0.3">
      <c r="A14810" t="s">
        <v>0</v>
      </c>
    </row>
    <row r="14811" spans="1:1" x14ac:dyDescent="0.3">
      <c r="A14811" t="s">
        <v>0</v>
      </c>
    </row>
    <row r="14812" spans="1:1" x14ac:dyDescent="0.3">
      <c r="A14812" t="s">
        <v>0</v>
      </c>
    </row>
    <row r="14813" spans="1:1" x14ac:dyDescent="0.3">
      <c r="A14813" t="s">
        <v>0</v>
      </c>
    </row>
    <row r="14814" spans="1:1" x14ac:dyDescent="0.3">
      <c r="A14814" t="s">
        <v>0</v>
      </c>
    </row>
    <row r="14815" spans="1:1" x14ac:dyDescent="0.3">
      <c r="A14815" t="s">
        <v>0</v>
      </c>
    </row>
    <row r="14816" spans="1:1" x14ac:dyDescent="0.3">
      <c r="A14816" t="s">
        <v>0</v>
      </c>
    </row>
    <row r="14817" spans="1:1" x14ac:dyDescent="0.3">
      <c r="A14817" t="s">
        <v>0</v>
      </c>
    </row>
    <row r="14818" spans="1:1" x14ac:dyDescent="0.3">
      <c r="A14818" t="s">
        <v>0</v>
      </c>
    </row>
    <row r="14819" spans="1:1" x14ac:dyDescent="0.3">
      <c r="A14819" t="s">
        <v>0</v>
      </c>
    </row>
    <row r="14820" spans="1:1" x14ac:dyDescent="0.3">
      <c r="A14820" t="s">
        <v>0</v>
      </c>
    </row>
    <row r="14821" spans="1:1" x14ac:dyDescent="0.3">
      <c r="A14821" t="s">
        <v>0</v>
      </c>
    </row>
    <row r="14822" spans="1:1" x14ac:dyDescent="0.3">
      <c r="A14822" t="s">
        <v>0</v>
      </c>
    </row>
    <row r="14823" spans="1:1" x14ac:dyDescent="0.3">
      <c r="A14823" t="s">
        <v>0</v>
      </c>
    </row>
    <row r="14824" spans="1:1" x14ac:dyDescent="0.3">
      <c r="A14824" t="s">
        <v>0</v>
      </c>
    </row>
    <row r="14825" spans="1:1" x14ac:dyDescent="0.3">
      <c r="A14825" t="s">
        <v>0</v>
      </c>
    </row>
    <row r="14826" spans="1:1" x14ac:dyDescent="0.3">
      <c r="A14826" t="s">
        <v>0</v>
      </c>
    </row>
    <row r="14827" spans="1:1" x14ac:dyDescent="0.3">
      <c r="A14827" t="s">
        <v>0</v>
      </c>
    </row>
    <row r="14828" spans="1:1" x14ac:dyDescent="0.3">
      <c r="A14828" t="s">
        <v>0</v>
      </c>
    </row>
    <row r="14829" spans="1:1" x14ac:dyDescent="0.3">
      <c r="A14829" t="s">
        <v>0</v>
      </c>
    </row>
    <row r="14830" spans="1:1" x14ac:dyDescent="0.3">
      <c r="A14830" t="s">
        <v>0</v>
      </c>
    </row>
    <row r="14831" spans="1:1" x14ac:dyDescent="0.3">
      <c r="A14831" t="s">
        <v>0</v>
      </c>
    </row>
    <row r="14832" spans="1:1" x14ac:dyDescent="0.3">
      <c r="A14832" t="s">
        <v>0</v>
      </c>
    </row>
    <row r="14833" spans="1:1" x14ac:dyDescent="0.3">
      <c r="A14833" t="s">
        <v>0</v>
      </c>
    </row>
    <row r="14834" spans="1:1" x14ac:dyDescent="0.3">
      <c r="A14834" t="s">
        <v>0</v>
      </c>
    </row>
    <row r="14835" spans="1:1" x14ac:dyDescent="0.3">
      <c r="A14835" t="s">
        <v>0</v>
      </c>
    </row>
    <row r="14836" spans="1:1" x14ac:dyDescent="0.3">
      <c r="A14836" t="s">
        <v>0</v>
      </c>
    </row>
    <row r="14837" spans="1:1" x14ac:dyDescent="0.3">
      <c r="A14837" t="s">
        <v>0</v>
      </c>
    </row>
    <row r="14838" spans="1:1" x14ac:dyDescent="0.3">
      <c r="A14838" t="s">
        <v>0</v>
      </c>
    </row>
    <row r="14839" spans="1:1" x14ac:dyDescent="0.3">
      <c r="A14839" t="s">
        <v>0</v>
      </c>
    </row>
    <row r="14840" spans="1:1" x14ac:dyDescent="0.3">
      <c r="A14840" t="s">
        <v>0</v>
      </c>
    </row>
    <row r="14841" spans="1:1" x14ac:dyDescent="0.3">
      <c r="A14841" t="s">
        <v>0</v>
      </c>
    </row>
    <row r="14842" spans="1:1" x14ac:dyDescent="0.3">
      <c r="A14842" t="s">
        <v>0</v>
      </c>
    </row>
    <row r="14843" spans="1:1" x14ac:dyDescent="0.3">
      <c r="A14843" t="s">
        <v>0</v>
      </c>
    </row>
    <row r="14844" spans="1:1" x14ac:dyDescent="0.3">
      <c r="A14844" t="s">
        <v>0</v>
      </c>
    </row>
    <row r="14845" spans="1:1" x14ac:dyDescent="0.3">
      <c r="A14845" t="s">
        <v>0</v>
      </c>
    </row>
    <row r="14846" spans="1:1" x14ac:dyDescent="0.3">
      <c r="A14846" t="s">
        <v>0</v>
      </c>
    </row>
    <row r="14847" spans="1:1" x14ac:dyDescent="0.3">
      <c r="A14847" t="s">
        <v>0</v>
      </c>
    </row>
    <row r="14848" spans="1:1" x14ac:dyDescent="0.3">
      <c r="A14848" t="s">
        <v>0</v>
      </c>
    </row>
    <row r="14849" spans="1:1" x14ac:dyDescent="0.3">
      <c r="A14849" t="s">
        <v>0</v>
      </c>
    </row>
    <row r="14850" spans="1:1" x14ac:dyDescent="0.3">
      <c r="A14850" t="s">
        <v>0</v>
      </c>
    </row>
    <row r="14851" spans="1:1" x14ac:dyDescent="0.3">
      <c r="A14851" t="s">
        <v>0</v>
      </c>
    </row>
    <row r="14852" spans="1:1" x14ac:dyDescent="0.3">
      <c r="A14852" t="s">
        <v>0</v>
      </c>
    </row>
    <row r="14853" spans="1:1" x14ac:dyDescent="0.3">
      <c r="A14853" t="s">
        <v>0</v>
      </c>
    </row>
    <row r="14854" spans="1:1" x14ac:dyDescent="0.3">
      <c r="A14854" t="s">
        <v>0</v>
      </c>
    </row>
    <row r="14855" spans="1:1" x14ac:dyDescent="0.3">
      <c r="A14855" t="s">
        <v>0</v>
      </c>
    </row>
    <row r="14856" spans="1:1" x14ac:dyDescent="0.3">
      <c r="A14856" t="s">
        <v>0</v>
      </c>
    </row>
    <row r="14857" spans="1:1" x14ac:dyDescent="0.3">
      <c r="A14857" t="s">
        <v>0</v>
      </c>
    </row>
    <row r="14858" spans="1:1" x14ac:dyDescent="0.3">
      <c r="A14858" t="s">
        <v>0</v>
      </c>
    </row>
    <row r="14859" spans="1:1" x14ac:dyDescent="0.3">
      <c r="A14859" t="s">
        <v>0</v>
      </c>
    </row>
    <row r="14860" spans="1:1" x14ac:dyDescent="0.3">
      <c r="A14860" t="s">
        <v>0</v>
      </c>
    </row>
    <row r="14861" spans="1:1" x14ac:dyDescent="0.3">
      <c r="A14861" t="s">
        <v>0</v>
      </c>
    </row>
    <row r="14862" spans="1:1" x14ac:dyDescent="0.3">
      <c r="A14862" t="s">
        <v>0</v>
      </c>
    </row>
    <row r="14863" spans="1:1" x14ac:dyDescent="0.3">
      <c r="A14863" t="s">
        <v>0</v>
      </c>
    </row>
    <row r="14864" spans="1:1" x14ac:dyDescent="0.3">
      <c r="A14864" t="s">
        <v>0</v>
      </c>
    </row>
    <row r="14865" spans="1:1" x14ac:dyDescent="0.3">
      <c r="A14865" t="s">
        <v>0</v>
      </c>
    </row>
    <row r="14866" spans="1:1" x14ac:dyDescent="0.3">
      <c r="A14866" t="s">
        <v>0</v>
      </c>
    </row>
    <row r="14867" spans="1:1" x14ac:dyDescent="0.3">
      <c r="A14867" t="s">
        <v>0</v>
      </c>
    </row>
    <row r="14868" spans="1:1" x14ac:dyDescent="0.3">
      <c r="A14868" t="s">
        <v>0</v>
      </c>
    </row>
    <row r="14869" spans="1:1" x14ac:dyDescent="0.3">
      <c r="A14869" t="s">
        <v>0</v>
      </c>
    </row>
    <row r="14870" spans="1:1" x14ac:dyDescent="0.3">
      <c r="A14870" t="s">
        <v>0</v>
      </c>
    </row>
    <row r="14871" spans="1:1" x14ac:dyDescent="0.3">
      <c r="A14871" t="s">
        <v>0</v>
      </c>
    </row>
    <row r="14872" spans="1:1" x14ac:dyDescent="0.3">
      <c r="A14872" t="s">
        <v>0</v>
      </c>
    </row>
    <row r="14873" spans="1:1" x14ac:dyDescent="0.3">
      <c r="A14873" t="s">
        <v>0</v>
      </c>
    </row>
    <row r="14874" spans="1:1" x14ac:dyDescent="0.3">
      <c r="A14874" t="s">
        <v>0</v>
      </c>
    </row>
    <row r="14875" spans="1:1" x14ac:dyDescent="0.3">
      <c r="A14875" t="s">
        <v>0</v>
      </c>
    </row>
    <row r="14876" spans="1:1" x14ac:dyDescent="0.3">
      <c r="A14876" t="s">
        <v>0</v>
      </c>
    </row>
    <row r="14877" spans="1:1" x14ac:dyDescent="0.3">
      <c r="A14877" t="s">
        <v>0</v>
      </c>
    </row>
    <row r="14878" spans="1:1" x14ac:dyDescent="0.3">
      <c r="A14878" t="s">
        <v>0</v>
      </c>
    </row>
    <row r="14879" spans="1:1" x14ac:dyDescent="0.3">
      <c r="A14879" t="s">
        <v>0</v>
      </c>
    </row>
    <row r="14880" spans="1:1" x14ac:dyDescent="0.3">
      <c r="A14880" t="s">
        <v>0</v>
      </c>
    </row>
    <row r="14881" spans="1:1" x14ac:dyDescent="0.3">
      <c r="A14881" t="s">
        <v>0</v>
      </c>
    </row>
    <row r="14882" spans="1:1" x14ac:dyDescent="0.3">
      <c r="A14882" t="s">
        <v>0</v>
      </c>
    </row>
    <row r="14883" spans="1:1" x14ac:dyDescent="0.3">
      <c r="A14883" t="s">
        <v>0</v>
      </c>
    </row>
    <row r="14884" spans="1:1" x14ac:dyDescent="0.3">
      <c r="A14884" t="s">
        <v>0</v>
      </c>
    </row>
    <row r="14885" spans="1:1" x14ac:dyDescent="0.3">
      <c r="A14885" t="s">
        <v>0</v>
      </c>
    </row>
    <row r="14886" spans="1:1" x14ac:dyDescent="0.3">
      <c r="A14886" t="s">
        <v>0</v>
      </c>
    </row>
    <row r="14887" spans="1:1" x14ac:dyDescent="0.3">
      <c r="A14887" t="s">
        <v>0</v>
      </c>
    </row>
    <row r="14888" spans="1:1" x14ac:dyDescent="0.3">
      <c r="A14888" t="s">
        <v>0</v>
      </c>
    </row>
    <row r="14889" spans="1:1" x14ac:dyDescent="0.3">
      <c r="A14889" t="s">
        <v>0</v>
      </c>
    </row>
    <row r="14890" spans="1:1" x14ac:dyDescent="0.3">
      <c r="A14890" t="s">
        <v>0</v>
      </c>
    </row>
    <row r="14891" spans="1:1" x14ac:dyDescent="0.3">
      <c r="A14891" t="s">
        <v>0</v>
      </c>
    </row>
    <row r="14892" spans="1:1" x14ac:dyDescent="0.3">
      <c r="A14892" t="s">
        <v>0</v>
      </c>
    </row>
    <row r="14893" spans="1:1" x14ac:dyDescent="0.3">
      <c r="A14893" t="s">
        <v>0</v>
      </c>
    </row>
    <row r="14894" spans="1:1" x14ac:dyDescent="0.3">
      <c r="A14894" t="s">
        <v>0</v>
      </c>
    </row>
    <row r="14895" spans="1:1" x14ac:dyDescent="0.3">
      <c r="A14895" t="s">
        <v>0</v>
      </c>
    </row>
    <row r="14896" spans="1:1" x14ac:dyDescent="0.3">
      <c r="A14896" t="s">
        <v>0</v>
      </c>
    </row>
    <row r="14897" spans="1:1" x14ac:dyDescent="0.3">
      <c r="A14897" t="s">
        <v>0</v>
      </c>
    </row>
    <row r="14898" spans="1:1" x14ac:dyDescent="0.3">
      <c r="A14898" t="s">
        <v>0</v>
      </c>
    </row>
    <row r="14899" spans="1:1" x14ac:dyDescent="0.3">
      <c r="A14899" t="s">
        <v>0</v>
      </c>
    </row>
    <row r="14900" spans="1:1" x14ac:dyDescent="0.3">
      <c r="A14900" t="s">
        <v>0</v>
      </c>
    </row>
    <row r="14901" spans="1:1" x14ac:dyDescent="0.3">
      <c r="A14901" t="s">
        <v>0</v>
      </c>
    </row>
    <row r="14902" spans="1:1" x14ac:dyDescent="0.3">
      <c r="A14902" t="s">
        <v>0</v>
      </c>
    </row>
    <row r="14903" spans="1:1" x14ac:dyDescent="0.3">
      <c r="A14903" t="s">
        <v>0</v>
      </c>
    </row>
    <row r="14904" spans="1:1" x14ac:dyDescent="0.3">
      <c r="A14904" t="s">
        <v>0</v>
      </c>
    </row>
    <row r="14905" spans="1:1" x14ac:dyDescent="0.3">
      <c r="A14905" t="s">
        <v>0</v>
      </c>
    </row>
    <row r="14906" spans="1:1" x14ac:dyDescent="0.3">
      <c r="A14906" t="s">
        <v>0</v>
      </c>
    </row>
    <row r="14907" spans="1:1" x14ac:dyDescent="0.3">
      <c r="A14907" t="s">
        <v>0</v>
      </c>
    </row>
    <row r="14908" spans="1:1" x14ac:dyDescent="0.3">
      <c r="A14908" t="s">
        <v>0</v>
      </c>
    </row>
    <row r="14909" spans="1:1" x14ac:dyDescent="0.3">
      <c r="A14909" t="s">
        <v>0</v>
      </c>
    </row>
    <row r="14910" spans="1:1" x14ac:dyDescent="0.3">
      <c r="A14910" t="s">
        <v>0</v>
      </c>
    </row>
    <row r="14911" spans="1:1" x14ac:dyDescent="0.3">
      <c r="A14911" t="s">
        <v>0</v>
      </c>
    </row>
    <row r="14912" spans="1:1" x14ac:dyDescent="0.3">
      <c r="A14912" t="s">
        <v>0</v>
      </c>
    </row>
    <row r="14913" spans="1:1" x14ac:dyDescent="0.3">
      <c r="A14913" t="s">
        <v>0</v>
      </c>
    </row>
    <row r="14914" spans="1:1" x14ac:dyDescent="0.3">
      <c r="A14914" t="s">
        <v>0</v>
      </c>
    </row>
    <row r="14915" spans="1:1" x14ac:dyDescent="0.3">
      <c r="A14915" t="s">
        <v>0</v>
      </c>
    </row>
    <row r="14916" spans="1:1" x14ac:dyDescent="0.3">
      <c r="A14916" t="s">
        <v>0</v>
      </c>
    </row>
    <row r="14917" spans="1:1" x14ac:dyDescent="0.3">
      <c r="A14917" t="s">
        <v>0</v>
      </c>
    </row>
    <row r="14918" spans="1:1" x14ac:dyDescent="0.3">
      <c r="A14918" t="s">
        <v>0</v>
      </c>
    </row>
    <row r="14919" spans="1:1" x14ac:dyDescent="0.3">
      <c r="A14919" t="s">
        <v>0</v>
      </c>
    </row>
    <row r="14920" spans="1:1" x14ac:dyDescent="0.3">
      <c r="A14920" t="s">
        <v>0</v>
      </c>
    </row>
    <row r="14921" spans="1:1" x14ac:dyDescent="0.3">
      <c r="A14921" t="s">
        <v>0</v>
      </c>
    </row>
    <row r="14922" spans="1:1" x14ac:dyDescent="0.3">
      <c r="A14922" t="s">
        <v>0</v>
      </c>
    </row>
    <row r="14923" spans="1:1" x14ac:dyDescent="0.3">
      <c r="A14923" t="s">
        <v>0</v>
      </c>
    </row>
    <row r="14924" spans="1:1" x14ac:dyDescent="0.3">
      <c r="A14924" t="s">
        <v>0</v>
      </c>
    </row>
    <row r="14925" spans="1:1" x14ac:dyDescent="0.3">
      <c r="A14925" t="s">
        <v>0</v>
      </c>
    </row>
    <row r="14926" spans="1:1" x14ac:dyDescent="0.3">
      <c r="A14926" t="s">
        <v>0</v>
      </c>
    </row>
    <row r="14927" spans="1:1" x14ac:dyDescent="0.3">
      <c r="A14927" t="s">
        <v>0</v>
      </c>
    </row>
    <row r="14928" spans="1:1" x14ac:dyDescent="0.3">
      <c r="A14928" t="s">
        <v>0</v>
      </c>
    </row>
    <row r="14929" spans="1:1" x14ac:dyDescent="0.3">
      <c r="A14929" t="s">
        <v>0</v>
      </c>
    </row>
    <row r="14930" spans="1:1" x14ac:dyDescent="0.3">
      <c r="A14930" t="s">
        <v>0</v>
      </c>
    </row>
    <row r="14931" spans="1:1" x14ac:dyDescent="0.3">
      <c r="A14931" t="s">
        <v>0</v>
      </c>
    </row>
    <row r="14932" spans="1:1" x14ac:dyDescent="0.3">
      <c r="A14932" t="s">
        <v>0</v>
      </c>
    </row>
    <row r="14933" spans="1:1" x14ac:dyDescent="0.3">
      <c r="A14933" t="s">
        <v>0</v>
      </c>
    </row>
    <row r="14934" spans="1:1" x14ac:dyDescent="0.3">
      <c r="A14934" t="s">
        <v>0</v>
      </c>
    </row>
    <row r="14935" spans="1:1" x14ac:dyDescent="0.3">
      <c r="A14935" t="s">
        <v>0</v>
      </c>
    </row>
    <row r="14936" spans="1:1" x14ac:dyDescent="0.3">
      <c r="A14936" t="s">
        <v>0</v>
      </c>
    </row>
    <row r="14937" spans="1:1" x14ac:dyDescent="0.3">
      <c r="A14937" t="s">
        <v>0</v>
      </c>
    </row>
    <row r="14938" spans="1:1" x14ac:dyDescent="0.3">
      <c r="A14938" t="s">
        <v>0</v>
      </c>
    </row>
    <row r="14939" spans="1:1" x14ac:dyDescent="0.3">
      <c r="A14939" t="s">
        <v>0</v>
      </c>
    </row>
    <row r="14940" spans="1:1" x14ac:dyDescent="0.3">
      <c r="A14940" t="s">
        <v>0</v>
      </c>
    </row>
    <row r="14941" spans="1:1" x14ac:dyDescent="0.3">
      <c r="A14941" t="s">
        <v>0</v>
      </c>
    </row>
    <row r="14942" spans="1:1" x14ac:dyDescent="0.3">
      <c r="A14942" t="s">
        <v>0</v>
      </c>
    </row>
    <row r="14943" spans="1:1" x14ac:dyDescent="0.3">
      <c r="A14943" t="s">
        <v>0</v>
      </c>
    </row>
    <row r="14944" spans="1:1" x14ac:dyDescent="0.3">
      <c r="A14944" t="s">
        <v>0</v>
      </c>
    </row>
    <row r="14945" spans="1:1" x14ac:dyDescent="0.3">
      <c r="A14945" t="s">
        <v>0</v>
      </c>
    </row>
    <row r="14946" spans="1:1" x14ac:dyDescent="0.3">
      <c r="A14946" t="s">
        <v>0</v>
      </c>
    </row>
    <row r="14947" spans="1:1" x14ac:dyDescent="0.3">
      <c r="A14947" t="s">
        <v>0</v>
      </c>
    </row>
    <row r="14948" spans="1:1" x14ac:dyDescent="0.3">
      <c r="A14948" t="s">
        <v>0</v>
      </c>
    </row>
    <row r="14949" spans="1:1" x14ac:dyDescent="0.3">
      <c r="A14949" t="s">
        <v>0</v>
      </c>
    </row>
    <row r="14950" spans="1:1" x14ac:dyDescent="0.3">
      <c r="A14950" t="s">
        <v>0</v>
      </c>
    </row>
    <row r="14951" spans="1:1" x14ac:dyDescent="0.3">
      <c r="A14951" t="s">
        <v>0</v>
      </c>
    </row>
    <row r="14952" spans="1:1" x14ac:dyDescent="0.3">
      <c r="A14952" t="s">
        <v>0</v>
      </c>
    </row>
    <row r="14953" spans="1:1" x14ac:dyDescent="0.3">
      <c r="A14953" t="s">
        <v>0</v>
      </c>
    </row>
    <row r="14954" spans="1:1" x14ac:dyDescent="0.3">
      <c r="A14954" t="s">
        <v>0</v>
      </c>
    </row>
    <row r="14955" spans="1:1" x14ac:dyDescent="0.3">
      <c r="A14955" t="s">
        <v>0</v>
      </c>
    </row>
    <row r="14956" spans="1:1" x14ac:dyDescent="0.3">
      <c r="A14956" t="s">
        <v>0</v>
      </c>
    </row>
    <row r="14957" spans="1:1" x14ac:dyDescent="0.3">
      <c r="A14957" t="s">
        <v>0</v>
      </c>
    </row>
    <row r="14958" spans="1:1" x14ac:dyDescent="0.3">
      <c r="A14958" t="s">
        <v>0</v>
      </c>
    </row>
    <row r="14959" spans="1:1" x14ac:dyDescent="0.3">
      <c r="A14959" t="s">
        <v>0</v>
      </c>
    </row>
    <row r="14960" spans="1:1" x14ac:dyDescent="0.3">
      <c r="A14960" t="s">
        <v>0</v>
      </c>
    </row>
    <row r="14961" spans="1:1" x14ac:dyDescent="0.3">
      <c r="A14961" t="s">
        <v>0</v>
      </c>
    </row>
    <row r="14962" spans="1:1" x14ac:dyDescent="0.3">
      <c r="A14962" t="s">
        <v>0</v>
      </c>
    </row>
    <row r="14963" spans="1:1" x14ac:dyDescent="0.3">
      <c r="A14963" t="s">
        <v>0</v>
      </c>
    </row>
    <row r="14964" spans="1:1" x14ac:dyDescent="0.3">
      <c r="A14964" t="s">
        <v>0</v>
      </c>
    </row>
    <row r="14965" spans="1:1" x14ac:dyDescent="0.3">
      <c r="A14965" t="s">
        <v>0</v>
      </c>
    </row>
    <row r="14966" spans="1:1" x14ac:dyDescent="0.3">
      <c r="A14966" t="s">
        <v>0</v>
      </c>
    </row>
    <row r="14967" spans="1:1" x14ac:dyDescent="0.3">
      <c r="A14967" t="s">
        <v>0</v>
      </c>
    </row>
    <row r="14968" spans="1:1" x14ac:dyDescent="0.3">
      <c r="A14968" t="s">
        <v>0</v>
      </c>
    </row>
    <row r="14969" spans="1:1" x14ac:dyDescent="0.3">
      <c r="A14969" t="s">
        <v>0</v>
      </c>
    </row>
    <row r="14970" spans="1:1" x14ac:dyDescent="0.3">
      <c r="A14970" t="s">
        <v>0</v>
      </c>
    </row>
    <row r="14971" spans="1:1" x14ac:dyDescent="0.3">
      <c r="A14971" t="s">
        <v>0</v>
      </c>
    </row>
    <row r="14972" spans="1:1" x14ac:dyDescent="0.3">
      <c r="A14972" t="s">
        <v>0</v>
      </c>
    </row>
    <row r="14973" spans="1:1" x14ac:dyDescent="0.3">
      <c r="A14973" t="s">
        <v>0</v>
      </c>
    </row>
    <row r="14974" spans="1:1" x14ac:dyDescent="0.3">
      <c r="A14974" t="s">
        <v>0</v>
      </c>
    </row>
    <row r="14975" spans="1:1" x14ac:dyDescent="0.3">
      <c r="A14975" t="s">
        <v>0</v>
      </c>
    </row>
    <row r="14976" spans="1:1" x14ac:dyDescent="0.3">
      <c r="A14976" t="s">
        <v>0</v>
      </c>
    </row>
    <row r="14977" spans="1:1" x14ac:dyDescent="0.3">
      <c r="A14977" t="s">
        <v>0</v>
      </c>
    </row>
    <row r="14978" spans="1:1" x14ac:dyDescent="0.3">
      <c r="A14978" t="s">
        <v>0</v>
      </c>
    </row>
    <row r="14979" spans="1:1" x14ac:dyDescent="0.3">
      <c r="A14979" t="s">
        <v>0</v>
      </c>
    </row>
    <row r="14980" spans="1:1" x14ac:dyDescent="0.3">
      <c r="A14980" t="s">
        <v>0</v>
      </c>
    </row>
    <row r="14981" spans="1:1" x14ac:dyDescent="0.3">
      <c r="A14981" t="s">
        <v>0</v>
      </c>
    </row>
    <row r="14982" spans="1:1" x14ac:dyDescent="0.3">
      <c r="A14982" t="s">
        <v>0</v>
      </c>
    </row>
    <row r="14983" spans="1:1" x14ac:dyDescent="0.3">
      <c r="A14983" t="s">
        <v>0</v>
      </c>
    </row>
    <row r="14984" spans="1:1" x14ac:dyDescent="0.3">
      <c r="A14984" t="s">
        <v>0</v>
      </c>
    </row>
    <row r="14985" spans="1:1" x14ac:dyDescent="0.3">
      <c r="A14985" t="s">
        <v>0</v>
      </c>
    </row>
    <row r="14986" spans="1:1" x14ac:dyDescent="0.3">
      <c r="A14986" t="s">
        <v>0</v>
      </c>
    </row>
    <row r="14987" spans="1:1" x14ac:dyDescent="0.3">
      <c r="A14987" t="s">
        <v>0</v>
      </c>
    </row>
    <row r="14988" spans="1:1" x14ac:dyDescent="0.3">
      <c r="A14988" t="s">
        <v>0</v>
      </c>
    </row>
    <row r="14989" spans="1:1" x14ac:dyDescent="0.3">
      <c r="A14989" t="s">
        <v>0</v>
      </c>
    </row>
    <row r="14990" spans="1:1" x14ac:dyDescent="0.3">
      <c r="A14990" t="s">
        <v>0</v>
      </c>
    </row>
    <row r="14991" spans="1:1" x14ac:dyDescent="0.3">
      <c r="A14991" t="s">
        <v>0</v>
      </c>
    </row>
    <row r="14992" spans="1:1" x14ac:dyDescent="0.3">
      <c r="A14992" t="s">
        <v>0</v>
      </c>
    </row>
    <row r="14993" spans="1:1" x14ac:dyDescent="0.3">
      <c r="A14993" t="s">
        <v>0</v>
      </c>
    </row>
    <row r="14994" spans="1:1" x14ac:dyDescent="0.3">
      <c r="A14994" t="s">
        <v>0</v>
      </c>
    </row>
    <row r="14995" spans="1:1" x14ac:dyDescent="0.3">
      <c r="A14995" t="s">
        <v>0</v>
      </c>
    </row>
    <row r="14996" spans="1:1" x14ac:dyDescent="0.3">
      <c r="A14996" t="s">
        <v>0</v>
      </c>
    </row>
    <row r="14997" spans="1:1" x14ac:dyDescent="0.3">
      <c r="A14997" t="s">
        <v>0</v>
      </c>
    </row>
    <row r="14998" spans="1:1" x14ac:dyDescent="0.3">
      <c r="A14998" t="s">
        <v>0</v>
      </c>
    </row>
    <row r="14999" spans="1:1" x14ac:dyDescent="0.3">
      <c r="A14999" t="s">
        <v>0</v>
      </c>
    </row>
    <row r="15000" spans="1:1" x14ac:dyDescent="0.3">
      <c r="A15000" t="s">
        <v>0</v>
      </c>
    </row>
    <row r="15001" spans="1:1" x14ac:dyDescent="0.3">
      <c r="A15001" t="s">
        <v>0</v>
      </c>
    </row>
    <row r="15002" spans="1:1" x14ac:dyDescent="0.3">
      <c r="A15002" t="s">
        <v>0</v>
      </c>
    </row>
    <row r="15003" spans="1:1" x14ac:dyDescent="0.3">
      <c r="A15003" t="s">
        <v>0</v>
      </c>
    </row>
    <row r="15004" spans="1:1" x14ac:dyDescent="0.3">
      <c r="A15004" t="s">
        <v>0</v>
      </c>
    </row>
    <row r="15005" spans="1:1" x14ac:dyDescent="0.3">
      <c r="A15005" t="s">
        <v>0</v>
      </c>
    </row>
    <row r="15006" spans="1:1" x14ac:dyDescent="0.3">
      <c r="A15006" t="s">
        <v>0</v>
      </c>
    </row>
    <row r="15007" spans="1:1" x14ac:dyDescent="0.3">
      <c r="A15007" t="s">
        <v>0</v>
      </c>
    </row>
    <row r="15008" spans="1:1" x14ac:dyDescent="0.3">
      <c r="A15008" t="s">
        <v>0</v>
      </c>
    </row>
    <row r="15009" spans="1:1" x14ac:dyDescent="0.3">
      <c r="A15009" t="s">
        <v>0</v>
      </c>
    </row>
    <row r="15010" spans="1:1" x14ac:dyDescent="0.3">
      <c r="A15010" t="s">
        <v>0</v>
      </c>
    </row>
    <row r="15011" spans="1:1" x14ac:dyDescent="0.3">
      <c r="A15011" t="s">
        <v>0</v>
      </c>
    </row>
    <row r="15012" spans="1:1" x14ac:dyDescent="0.3">
      <c r="A15012" t="s">
        <v>0</v>
      </c>
    </row>
    <row r="15013" spans="1:1" x14ac:dyDescent="0.3">
      <c r="A15013" t="s">
        <v>0</v>
      </c>
    </row>
    <row r="15014" spans="1:1" x14ac:dyDescent="0.3">
      <c r="A15014" t="s">
        <v>0</v>
      </c>
    </row>
    <row r="15015" spans="1:1" x14ac:dyDescent="0.3">
      <c r="A15015" t="s">
        <v>0</v>
      </c>
    </row>
    <row r="15016" spans="1:1" x14ac:dyDescent="0.3">
      <c r="A15016" t="s">
        <v>0</v>
      </c>
    </row>
    <row r="15017" spans="1:1" x14ac:dyDescent="0.3">
      <c r="A15017" t="s">
        <v>0</v>
      </c>
    </row>
    <row r="15018" spans="1:1" x14ac:dyDescent="0.3">
      <c r="A15018" t="s">
        <v>0</v>
      </c>
    </row>
    <row r="15019" spans="1:1" x14ac:dyDescent="0.3">
      <c r="A15019" t="s">
        <v>0</v>
      </c>
    </row>
    <row r="15020" spans="1:1" x14ac:dyDescent="0.3">
      <c r="A15020" t="s">
        <v>0</v>
      </c>
    </row>
    <row r="15021" spans="1:1" x14ac:dyDescent="0.3">
      <c r="A15021" t="s">
        <v>0</v>
      </c>
    </row>
    <row r="15022" spans="1:1" x14ac:dyDescent="0.3">
      <c r="A15022" t="s">
        <v>0</v>
      </c>
    </row>
    <row r="15023" spans="1:1" x14ac:dyDescent="0.3">
      <c r="A15023" t="s">
        <v>0</v>
      </c>
    </row>
    <row r="15024" spans="1:1" x14ac:dyDescent="0.3">
      <c r="A15024" t="s">
        <v>0</v>
      </c>
    </row>
    <row r="15025" spans="1:1" x14ac:dyDescent="0.3">
      <c r="A15025" t="s">
        <v>0</v>
      </c>
    </row>
    <row r="15026" spans="1:1" x14ac:dyDescent="0.3">
      <c r="A15026" t="s">
        <v>0</v>
      </c>
    </row>
    <row r="15027" spans="1:1" x14ac:dyDescent="0.3">
      <c r="A15027" t="s">
        <v>0</v>
      </c>
    </row>
    <row r="15028" spans="1:1" x14ac:dyDescent="0.3">
      <c r="A15028" t="s">
        <v>0</v>
      </c>
    </row>
    <row r="15029" spans="1:1" x14ac:dyDescent="0.3">
      <c r="A15029" t="s">
        <v>0</v>
      </c>
    </row>
    <row r="15030" spans="1:1" x14ac:dyDescent="0.3">
      <c r="A15030" t="s">
        <v>0</v>
      </c>
    </row>
    <row r="15031" spans="1:1" x14ac:dyDescent="0.3">
      <c r="A15031" t="s">
        <v>0</v>
      </c>
    </row>
    <row r="15032" spans="1:1" x14ac:dyDescent="0.3">
      <c r="A15032" t="s">
        <v>0</v>
      </c>
    </row>
    <row r="15033" spans="1:1" x14ac:dyDescent="0.3">
      <c r="A15033" t="s">
        <v>0</v>
      </c>
    </row>
    <row r="15034" spans="1:1" x14ac:dyDescent="0.3">
      <c r="A15034" t="s">
        <v>0</v>
      </c>
    </row>
    <row r="15035" spans="1:1" x14ac:dyDescent="0.3">
      <c r="A15035" t="s">
        <v>0</v>
      </c>
    </row>
    <row r="15036" spans="1:1" x14ac:dyDescent="0.3">
      <c r="A15036" t="s">
        <v>0</v>
      </c>
    </row>
    <row r="15037" spans="1:1" x14ac:dyDescent="0.3">
      <c r="A15037" t="s">
        <v>0</v>
      </c>
    </row>
    <row r="15038" spans="1:1" x14ac:dyDescent="0.3">
      <c r="A15038" t="s">
        <v>0</v>
      </c>
    </row>
    <row r="15039" spans="1:1" x14ac:dyDescent="0.3">
      <c r="A15039" t="s">
        <v>0</v>
      </c>
    </row>
    <row r="15040" spans="1:1" x14ac:dyDescent="0.3">
      <c r="A15040" t="s">
        <v>0</v>
      </c>
    </row>
    <row r="15041" spans="1:1" x14ac:dyDescent="0.3">
      <c r="A15041" t="s">
        <v>0</v>
      </c>
    </row>
    <row r="15042" spans="1:1" x14ac:dyDescent="0.3">
      <c r="A15042" t="s">
        <v>0</v>
      </c>
    </row>
    <row r="15043" spans="1:1" x14ac:dyDescent="0.3">
      <c r="A15043" t="s">
        <v>0</v>
      </c>
    </row>
    <row r="15044" spans="1:1" x14ac:dyDescent="0.3">
      <c r="A15044" t="s">
        <v>0</v>
      </c>
    </row>
    <row r="15045" spans="1:1" x14ac:dyDescent="0.3">
      <c r="A15045" t="s">
        <v>0</v>
      </c>
    </row>
    <row r="15046" spans="1:1" x14ac:dyDescent="0.3">
      <c r="A15046" t="s">
        <v>0</v>
      </c>
    </row>
    <row r="15047" spans="1:1" x14ac:dyDescent="0.3">
      <c r="A15047" t="s">
        <v>0</v>
      </c>
    </row>
    <row r="15048" spans="1:1" x14ac:dyDescent="0.3">
      <c r="A15048" t="s">
        <v>0</v>
      </c>
    </row>
    <row r="15049" spans="1:1" x14ac:dyDescent="0.3">
      <c r="A15049" t="s">
        <v>0</v>
      </c>
    </row>
    <row r="15050" spans="1:1" x14ac:dyDescent="0.3">
      <c r="A15050" t="s">
        <v>0</v>
      </c>
    </row>
    <row r="15051" spans="1:1" x14ac:dyDescent="0.3">
      <c r="A15051" t="s">
        <v>0</v>
      </c>
    </row>
    <row r="15052" spans="1:1" x14ac:dyDescent="0.3">
      <c r="A15052" t="s">
        <v>0</v>
      </c>
    </row>
    <row r="15053" spans="1:1" x14ac:dyDescent="0.3">
      <c r="A15053" t="s">
        <v>0</v>
      </c>
    </row>
    <row r="15054" spans="1:1" x14ac:dyDescent="0.3">
      <c r="A15054" t="s">
        <v>0</v>
      </c>
    </row>
    <row r="15055" spans="1:1" x14ac:dyDescent="0.3">
      <c r="A15055" t="s">
        <v>0</v>
      </c>
    </row>
    <row r="15056" spans="1:1" x14ac:dyDescent="0.3">
      <c r="A15056" t="s">
        <v>0</v>
      </c>
    </row>
    <row r="15057" spans="1:1" x14ac:dyDescent="0.3">
      <c r="A15057" t="s">
        <v>0</v>
      </c>
    </row>
    <row r="15058" spans="1:1" x14ac:dyDescent="0.3">
      <c r="A15058" t="s">
        <v>0</v>
      </c>
    </row>
    <row r="15059" spans="1:1" x14ac:dyDescent="0.3">
      <c r="A15059" t="s">
        <v>0</v>
      </c>
    </row>
    <row r="15060" spans="1:1" x14ac:dyDescent="0.3">
      <c r="A15060" t="s">
        <v>0</v>
      </c>
    </row>
    <row r="15061" spans="1:1" x14ac:dyDescent="0.3">
      <c r="A15061" t="s">
        <v>0</v>
      </c>
    </row>
    <row r="15062" spans="1:1" x14ac:dyDescent="0.3">
      <c r="A15062" t="s">
        <v>0</v>
      </c>
    </row>
    <row r="15063" spans="1:1" x14ac:dyDescent="0.3">
      <c r="A15063" t="s">
        <v>0</v>
      </c>
    </row>
    <row r="15064" spans="1:1" x14ac:dyDescent="0.3">
      <c r="A15064" t="s">
        <v>0</v>
      </c>
    </row>
    <row r="15065" spans="1:1" x14ac:dyDescent="0.3">
      <c r="A15065" t="s">
        <v>0</v>
      </c>
    </row>
    <row r="15066" spans="1:1" x14ac:dyDescent="0.3">
      <c r="A15066" t="s">
        <v>0</v>
      </c>
    </row>
    <row r="15067" spans="1:1" x14ac:dyDescent="0.3">
      <c r="A15067" t="s">
        <v>0</v>
      </c>
    </row>
    <row r="15068" spans="1:1" x14ac:dyDescent="0.3">
      <c r="A15068" t="s">
        <v>0</v>
      </c>
    </row>
    <row r="15069" spans="1:1" x14ac:dyDescent="0.3">
      <c r="A15069" t="s">
        <v>0</v>
      </c>
    </row>
    <row r="15070" spans="1:1" x14ac:dyDescent="0.3">
      <c r="A15070" t="s">
        <v>0</v>
      </c>
    </row>
    <row r="15071" spans="1:1" x14ac:dyDescent="0.3">
      <c r="A15071" t="s">
        <v>0</v>
      </c>
    </row>
    <row r="15072" spans="1:1" x14ac:dyDescent="0.3">
      <c r="A15072" t="s">
        <v>0</v>
      </c>
    </row>
    <row r="15073" spans="1:1" x14ac:dyDescent="0.3">
      <c r="A15073" t="s">
        <v>0</v>
      </c>
    </row>
    <row r="15074" spans="1:1" x14ac:dyDescent="0.3">
      <c r="A15074" t="s">
        <v>0</v>
      </c>
    </row>
    <row r="15075" spans="1:1" x14ac:dyDescent="0.3">
      <c r="A15075" t="s">
        <v>0</v>
      </c>
    </row>
    <row r="15076" spans="1:1" x14ac:dyDescent="0.3">
      <c r="A15076" t="s">
        <v>0</v>
      </c>
    </row>
    <row r="15077" spans="1:1" x14ac:dyDescent="0.3">
      <c r="A15077" t="s">
        <v>0</v>
      </c>
    </row>
    <row r="15078" spans="1:1" x14ac:dyDescent="0.3">
      <c r="A15078" t="s">
        <v>0</v>
      </c>
    </row>
    <row r="15079" spans="1:1" x14ac:dyDescent="0.3">
      <c r="A15079" t="s">
        <v>0</v>
      </c>
    </row>
    <row r="15080" spans="1:1" x14ac:dyDescent="0.3">
      <c r="A15080" t="s">
        <v>0</v>
      </c>
    </row>
    <row r="15081" spans="1:1" x14ac:dyDescent="0.3">
      <c r="A15081" t="s">
        <v>0</v>
      </c>
    </row>
    <row r="15082" spans="1:1" x14ac:dyDescent="0.3">
      <c r="A15082" t="s">
        <v>0</v>
      </c>
    </row>
    <row r="15083" spans="1:1" x14ac:dyDescent="0.3">
      <c r="A15083" t="s">
        <v>0</v>
      </c>
    </row>
    <row r="15084" spans="1:1" x14ac:dyDescent="0.3">
      <c r="A15084" t="s">
        <v>0</v>
      </c>
    </row>
    <row r="15085" spans="1:1" x14ac:dyDescent="0.3">
      <c r="A15085" t="s">
        <v>0</v>
      </c>
    </row>
    <row r="15086" spans="1:1" x14ac:dyDescent="0.3">
      <c r="A15086" t="s">
        <v>0</v>
      </c>
    </row>
    <row r="15087" spans="1:1" x14ac:dyDescent="0.3">
      <c r="A15087" t="s">
        <v>0</v>
      </c>
    </row>
    <row r="15088" spans="1:1" x14ac:dyDescent="0.3">
      <c r="A15088" t="s">
        <v>0</v>
      </c>
    </row>
    <row r="15089" spans="1:1" x14ac:dyDescent="0.3">
      <c r="A15089" t="s">
        <v>0</v>
      </c>
    </row>
    <row r="15090" spans="1:1" x14ac:dyDescent="0.3">
      <c r="A15090" t="s">
        <v>0</v>
      </c>
    </row>
    <row r="15091" spans="1:1" x14ac:dyDescent="0.3">
      <c r="A15091" t="s">
        <v>0</v>
      </c>
    </row>
    <row r="15092" spans="1:1" x14ac:dyDescent="0.3">
      <c r="A15092" t="s">
        <v>0</v>
      </c>
    </row>
    <row r="15093" spans="1:1" x14ac:dyDescent="0.3">
      <c r="A15093" t="s">
        <v>0</v>
      </c>
    </row>
    <row r="15094" spans="1:1" x14ac:dyDescent="0.3">
      <c r="A15094" t="s">
        <v>0</v>
      </c>
    </row>
    <row r="15095" spans="1:1" x14ac:dyDescent="0.3">
      <c r="A15095" t="s">
        <v>0</v>
      </c>
    </row>
    <row r="15096" spans="1:1" x14ac:dyDescent="0.3">
      <c r="A15096" t="s">
        <v>0</v>
      </c>
    </row>
    <row r="15097" spans="1:1" x14ac:dyDescent="0.3">
      <c r="A15097" t="s">
        <v>0</v>
      </c>
    </row>
    <row r="15098" spans="1:1" x14ac:dyDescent="0.3">
      <c r="A15098" t="s">
        <v>0</v>
      </c>
    </row>
    <row r="15099" spans="1:1" x14ac:dyDescent="0.3">
      <c r="A15099" t="s">
        <v>0</v>
      </c>
    </row>
    <row r="15100" spans="1:1" x14ac:dyDescent="0.3">
      <c r="A15100" t="s">
        <v>0</v>
      </c>
    </row>
    <row r="15101" spans="1:1" x14ac:dyDescent="0.3">
      <c r="A15101" t="s">
        <v>0</v>
      </c>
    </row>
    <row r="15102" spans="1:1" x14ac:dyDescent="0.3">
      <c r="A15102" t="s">
        <v>0</v>
      </c>
    </row>
    <row r="15103" spans="1:1" x14ac:dyDescent="0.3">
      <c r="A15103" t="s">
        <v>0</v>
      </c>
    </row>
    <row r="15104" spans="1:1" x14ac:dyDescent="0.3">
      <c r="A15104" t="s">
        <v>0</v>
      </c>
    </row>
    <row r="15105" spans="1:1" x14ac:dyDescent="0.3">
      <c r="A15105" t="s">
        <v>0</v>
      </c>
    </row>
    <row r="15106" spans="1:1" x14ac:dyDescent="0.3">
      <c r="A15106" t="s">
        <v>0</v>
      </c>
    </row>
    <row r="15107" spans="1:1" x14ac:dyDescent="0.3">
      <c r="A15107" t="s">
        <v>0</v>
      </c>
    </row>
    <row r="15108" spans="1:1" x14ac:dyDescent="0.3">
      <c r="A15108" t="s">
        <v>0</v>
      </c>
    </row>
    <row r="15109" spans="1:1" x14ac:dyDescent="0.3">
      <c r="A15109" t="s">
        <v>0</v>
      </c>
    </row>
    <row r="15110" spans="1:1" x14ac:dyDescent="0.3">
      <c r="A15110" t="s">
        <v>0</v>
      </c>
    </row>
    <row r="15111" spans="1:1" x14ac:dyDescent="0.3">
      <c r="A15111" t="s">
        <v>0</v>
      </c>
    </row>
    <row r="15112" spans="1:1" x14ac:dyDescent="0.3">
      <c r="A15112" t="s">
        <v>0</v>
      </c>
    </row>
    <row r="15113" spans="1:1" x14ac:dyDescent="0.3">
      <c r="A15113" t="s">
        <v>0</v>
      </c>
    </row>
    <row r="15114" spans="1:1" x14ac:dyDescent="0.3">
      <c r="A15114" t="s">
        <v>0</v>
      </c>
    </row>
    <row r="15115" spans="1:1" x14ac:dyDescent="0.3">
      <c r="A15115" t="s">
        <v>0</v>
      </c>
    </row>
    <row r="15116" spans="1:1" x14ac:dyDescent="0.3">
      <c r="A15116" t="s">
        <v>0</v>
      </c>
    </row>
    <row r="15117" spans="1:1" x14ac:dyDescent="0.3">
      <c r="A15117" t="s">
        <v>0</v>
      </c>
    </row>
    <row r="15118" spans="1:1" x14ac:dyDescent="0.3">
      <c r="A15118" t="s">
        <v>0</v>
      </c>
    </row>
    <row r="15119" spans="1:1" x14ac:dyDescent="0.3">
      <c r="A15119" t="s">
        <v>0</v>
      </c>
    </row>
    <row r="15120" spans="1:1" x14ac:dyDescent="0.3">
      <c r="A15120" t="s">
        <v>0</v>
      </c>
    </row>
    <row r="15121" spans="1:1" x14ac:dyDescent="0.3">
      <c r="A15121" t="s">
        <v>0</v>
      </c>
    </row>
    <row r="15122" spans="1:1" x14ac:dyDescent="0.3">
      <c r="A15122" t="s">
        <v>0</v>
      </c>
    </row>
    <row r="15123" spans="1:1" x14ac:dyDescent="0.3">
      <c r="A15123" t="s">
        <v>0</v>
      </c>
    </row>
    <row r="15124" spans="1:1" x14ac:dyDescent="0.3">
      <c r="A15124" t="s">
        <v>0</v>
      </c>
    </row>
    <row r="15125" spans="1:1" x14ac:dyDescent="0.3">
      <c r="A15125" t="s">
        <v>0</v>
      </c>
    </row>
    <row r="15126" spans="1:1" x14ac:dyDescent="0.3">
      <c r="A15126" t="s">
        <v>0</v>
      </c>
    </row>
    <row r="15127" spans="1:1" x14ac:dyDescent="0.3">
      <c r="A15127" t="s">
        <v>0</v>
      </c>
    </row>
    <row r="15128" spans="1:1" x14ac:dyDescent="0.3">
      <c r="A15128" t="s">
        <v>0</v>
      </c>
    </row>
    <row r="15129" spans="1:1" x14ac:dyDescent="0.3">
      <c r="A15129" t="s">
        <v>0</v>
      </c>
    </row>
    <row r="15130" spans="1:1" x14ac:dyDescent="0.3">
      <c r="A15130" t="s">
        <v>0</v>
      </c>
    </row>
    <row r="15131" spans="1:1" x14ac:dyDescent="0.3">
      <c r="A15131" t="s">
        <v>0</v>
      </c>
    </row>
    <row r="15132" spans="1:1" x14ac:dyDescent="0.3">
      <c r="A15132" t="s">
        <v>0</v>
      </c>
    </row>
    <row r="15133" spans="1:1" x14ac:dyDescent="0.3">
      <c r="A15133" t="s">
        <v>0</v>
      </c>
    </row>
    <row r="15134" spans="1:1" x14ac:dyDescent="0.3">
      <c r="A15134" t="s">
        <v>0</v>
      </c>
    </row>
    <row r="15135" spans="1:1" x14ac:dyDescent="0.3">
      <c r="A15135" t="s">
        <v>0</v>
      </c>
    </row>
    <row r="15136" spans="1:1" x14ac:dyDescent="0.3">
      <c r="A15136" t="s">
        <v>0</v>
      </c>
    </row>
    <row r="15137" spans="1:1" x14ac:dyDescent="0.3">
      <c r="A15137" t="s">
        <v>0</v>
      </c>
    </row>
    <row r="15138" spans="1:1" x14ac:dyDescent="0.3">
      <c r="A15138" t="s">
        <v>0</v>
      </c>
    </row>
    <row r="15139" spans="1:1" x14ac:dyDescent="0.3">
      <c r="A15139" t="s">
        <v>0</v>
      </c>
    </row>
    <row r="15140" spans="1:1" x14ac:dyDescent="0.3">
      <c r="A15140" t="s">
        <v>0</v>
      </c>
    </row>
    <row r="15141" spans="1:1" x14ac:dyDescent="0.3">
      <c r="A15141" t="s">
        <v>0</v>
      </c>
    </row>
    <row r="15142" spans="1:1" x14ac:dyDescent="0.3">
      <c r="A15142" t="s">
        <v>0</v>
      </c>
    </row>
    <row r="15143" spans="1:1" x14ac:dyDescent="0.3">
      <c r="A15143" t="s">
        <v>0</v>
      </c>
    </row>
    <row r="15144" spans="1:1" x14ac:dyDescent="0.3">
      <c r="A15144" t="s">
        <v>0</v>
      </c>
    </row>
    <row r="15145" spans="1:1" x14ac:dyDescent="0.3">
      <c r="A15145" t="s">
        <v>0</v>
      </c>
    </row>
    <row r="15146" spans="1:1" x14ac:dyDescent="0.3">
      <c r="A15146" t="s">
        <v>0</v>
      </c>
    </row>
    <row r="15147" spans="1:1" x14ac:dyDescent="0.3">
      <c r="A15147" t="s">
        <v>0</v>
      </c>
    </row>
    <row r="15148" spans="1:1" x14ac:dyDescent="0.3">
      <c r="A15148" t="s">
        <v>0</v>
      </c>
    </row>
    <row r="15149" spans="1:1" x14ac:dyDescent="0.3">
      <c r="A15149" t="s">
        <v>0</v>
      </c>
    </row>
    <row r="15150" spans="1:1" x14ac:dyDescent="0.3">
      <c r="A15150" t="s">
        <v>0</v>
      </c>
    </row>
    <row r="15151" spans="1:1" x14ac:dyDescent="0.3">
      <c r="A15151" t="s">
        <v>0</v>
      </c>
    </row>
    <row r="15152" spans="1:1" x14ac:dyDescent="0.3">
      <c r="A15152" t="s">
        <v>0</v>
      </c>
    </row>
    <row r="15153" spans="1:1" x14ac:dyDescent="0.3">
      <c r="A15153" t="s">
        <v>0</v>
      </c>
    </row>
    <row r="15154" spans="1:1" x14ac:dyDescent="0.3">
      <c r="A15154" t="s">
        <v>0</v>
      </c>
    </row>
    <row r="15155" spans="1:1" x14ac:dyDescent="0.3">
      <c r="A15155" t="s">
        <v>0</v>
      </c>
    </row>
    <row r="15156" spans="1:1" x14ac:dyDescent="0.3">
      <c r="A15156" t="s">
        <v>0</v>
      </c>
    </row>
    <row r="15157" spans="1:1" x14ac:dyDescent="0.3">
      <c r="A15157" t="s">
        <v>0</v>
      </c>
    </row>
    <row r="15158" spans="1:1" x14ac:dyDescent="0.3">
      <c r="A15158" t="s">
        <v>0</v>
      </c>
    </row>
    <row r="15159" spans="1:1" x14ac:dyDescent="0.3">
      <c r="A15159" t="s">
        <v>0</v>
      </c>
    </row>
    <row r="15160" spans="1:1" x14ac:dyDescent="0.3">
      <c r="A15160" t="s">
        <v>0</v>
      </c>
    </row>
    <row r="15161" spans="1:1" x14ac:dyDescent="0.3">
      <c r="A15161" t="s">
        <v>0</v>
      </c>
    </row>
    <row r="15162" spans="1:1" x14ac:dyDescent="0.3">
      <c r="A15162" t="s">
        <v>0</v>
      </c>
    </row>
    <row r="15163" spans="1:1" x14ac:dyDescent="0.3">
      <c r="A15163" t="s">
        <v>0</v>
      </c>
    </row>
    <row r="15164" spans="1:1" x14ac:dyDescent="0.3">
      <c r="A15164" t="s">
        <v>0</v>
      </c>
    </row>
    <row r="15165" spans="1:1" x14ac:dyDescent="0.3">
      <c r="A15165" t="s">
        <v>0</v>
      </c>
    </row>
    <row r="15166" spans="1:1" x14ac:dyDescent="0.3">
      <c r="A15166" t="s">
        <v>0</v>
      </c>
    </row>
    <row r="15167" spans="1:1" x14ac:dyDescent="0.3">
      <c r="A15167" t="s">
        <v>0</v>
      </c>
    </row>
    <row r="15168" spans="1:1" x14ac:dyDescent="0.3">
      <c r="A15168" t="s">
        <v>0</v>
      </c>
    </row>
    <row r="15169" spans="1:1" x14ac:dyDescent="0.3">
      <c r="A15169" t="s">
        <v>0</v>
      </c>
    </row>
    <row r="15170" spans="1:1" x14ac:dyDescent="0.3">
      <c r="A15170" t="s">
        <v>0</v>
      </c>
    </row>
    <row r="15171" spans="1:1" x14ac:dyDescent="0.3">
      <c r="A15171" t="s">
        <v>0</v>
      </c>
    </row>
    <row r="15172" spans="1:1" x14ac:dyDescent="0.3">
      <c r="A15172" t="s">
        <v>0</v>
      </c>
    </row>
    <row r="15173" spans="1:1" x14ac:dyDescent="0.3">
      <c r="A15173" t="s">
        <v>0</v>
      </c>
    </row>
    <row r="15174" spans="1:1" x14ac:dyDescent="0.3">
      <c r="A15174" t="s">
        <v>0</v>
      </c>
    </row>
    <row r="15175" spans="1:1" x14ac:dyDescent="0.3">
      <c r="A15175" t="s">
        <v>0</v>
      </c>
    </row>
    <row r="15176" spans="1:1" x14ac:dyDescent="0.3">
      <c r="A15176" t="s">
        <v>0</v>
      </c>
    </row>
    <row r="15177" spans="1:1" x14ac:dyDescent="0.3">
      <c r="A15177" t="s">
        <v>0</v>
      </c>
    </row>
    <row r="15178" spans="1:1" x14ac:dyDescent="0.3">
      <c r="A15178" t="s">
        <v>0</v>
      </c>
    </row>
    <row r="15179" spans="1:1" x14ac:dyDescent="0.3">
      <c r="A15179" t="s">
        <v>0</v>
      </c>
    </row>
    <row r="15180" spans="1:1" x14ac:dyDescent="0.3">
      <c r="A15180" t="s">
        <v>0</v>
      </c>
    </row>
    <row r="15181" spans="1:1" x14ac:dyDescent="0.3">
      <c r="A15181" t="s">
        <v>0</v>
      </c>
    </row>
    <row r="15182" spans="1:1" x14ac:dyDescent="0.3">
      <c r="A15182" t="s">
        <v>0</v>
      </c>
    </row>
    <row r="15183" spans="1:1" x14ac:dyDescent="0.3">
      <c r="A15183" t="s">
        <v>0</v>
      </c>
    </row>
    <row r="15184" spans="1:1" x14ac:dyDescent="0.3">
      <c r="A15184" t="s">
        <v>0</v>
      </c>
    </row>
    <row r="15185" spans="1:1" x14ac:dyDescent="0.3">
      <c r="A15185" t="s">
        <v>0</v>
      </c>
    </row>
    <row r="15186" spans="1:1" x14ac:dyDescent="0.3">
      <c r="A15186" t="s">
        <v>0</v>
      </c>
    </row>
    <row r="15187" spans="1:1" x14ac:dyDescent="0.3">
      <c r="A15187" t="s">
        <v>0</v>
      </c>
    </row>
    <row r="15188" spans="1:1" x14ac:dyDescent="0.3">
      <c r="A15188" t="s">
        <v>0</v>
      </c>
    </row>
    <row r="15189" spans="1:1" x14ac:dyDescent="0.3">
      <c r="A15189" t="s">
        <v>0</v>
      </c>
    </row>
    <row r="15190" spans="1:1" x14ac:dyDescent="0.3">
      <c r="A15190" t="s">
        <v>0</v>
      </c>
    </row>
    <row r="15191" spans="1:1" x14ac:dyDescent="0.3">
      <c r="A15191" t="s">
        <v>0</v>
      </c>
    </row>
    <row r="15192" spans="1:1" x14ac:dyDescent="0.3">
      <c r="A15192" t="s">
        <v>0</v>
      </c>
    </row>
    <row r="15193" spans="1:1" x14ac:dyDescent="0.3">
      <c r="A15193" t="s">
        <v>0</v>
      </c>
    </row>
    <row r="15194" spans="1:1" x14ac:dyDescent="0.3">
      <c r="A15194" t="s">
        <v>0</v>
      </c>
    </row>
    <row r="15195" spans="1:1" x14ac:dyDescent="0.3">
      <c r="A15195" t="s">
        <v>0</v>
      </c>
    </row>
    <row r="15196" spans="1:1" x14ac:dyDescent="0.3">
      <c r="A15196" t="s">
        <v>0</v>
      </c>
    </row>
    <row r="15197" spans="1:1" x14ac:dyDescent="0.3">
      <c r="A15197" t="s">
        <v>0</v>
      </c>
    </row>
    <row r="15198" spans="1:1" x14ac:dyDescent="0.3">
      <c r="A15198" t="s">
        <v>0</v>
      </c>
    </row>
    <row r="15199" spans="1:1" x14ac:dyDescent="0.3">
      <c r="A15199" t="s">
        <v>0</v>
      </c>
    </row>
    <row r="15200" spans="1:1" x14ac:dyDescent="0.3">
      <c r="A15200" t="s">
        <v>0</v>
      </c>
    </row>
    <row r="15201" spans="1:1" x14ac:dyDescent="0.3">
      <c r="A15201" t="s">
        <v>0</v>
      </c>
    </row>
    <row r="15202" spans="1:1" x14ac:dyDescent="0.3">
      <c r="A15202" t="s">
        <v>0</v>
      </c>
    </row>
    <row r="15203" spans="1:1" x14ac:dyDescent="0.3">
      <c r="A15203" t="s">
        <v>0</v>
      </c>
    </row>
    <row r="15204" spans="1:1" x14ac:dyDescent="0.3">
      <c r="A15204" t="s">
        <v>0</v>
      </c>
    </row>
    <row r="15205" spans="1:1" x14ac:dyDescent="0.3">
      <c r="A15205" t="s">
        <v>0</v>
      </c>
    </row>
    <row r="15206" spans="1:1" x14ac:dyDescent="0.3">
      <c r="A15206" t="s">
        <v>0</v>
      </c>
    </row>
    <row r="15207" spans="1:1" x14ac:dyDescent="0.3">
      <c r="A15207" t="s">
        <v>0</v>
      </c>
    </row>
    <row r="15208" spans="1:1" x14ac:dyDescent="0.3">
      <c r="A15208" t="s">
        <v>0</v>
      </c>
    </row>
    <row r="15209" spans="1:1" x14ac:dyDescent="0.3">
      <c r="A15209" t="s">
        <v>0</v>
      </c>
    </row>
    <row r="15210" spans="1:1" x14ac:dyDescent="0.3">
      <c r="A15210" t="s">
        <v>0</v>
      </c>
    </row>
    <row r="15211" spans="1:1" x14ac:dyDescent="0.3">
      <c r="A15211" t="s">
        <v>0</v>
      </c>
    </row>
    <row r="15212" spans="1:1" x14ac:dyDescent="0.3">
      <c r="A15212" t="s">
        <v>0</v>
      </c>
    </row>
    <row r="15213" spans="1:1" x14ac:dyDescent="0.3">
      <c r="A15213" t="s">
        <v>0</v>
      </c>
    </row>
    <row r="15214" spans="1:1" x14ac:dyDescent="0.3">
      <c r="A15214" t="s">
        <v>0</v>
      </c>
    </row>
    <row r="15215" spans="1:1" x14ac:dyDescent="0.3">
      <c r="A15215" t="s">
        <v>0</v>
      </c>
    </row>
    <row r="15216" spans="1:1" x14ac:dyDescent="0.3">
      <c r="A15216" t="s">
        <v>0</v>
      </c>
    </row>
    <row r="15217" spans="1:1" x14ac:dyDescent="0.3">
      <c r="A15217" t="s">
        <v>0</v>
      </c>
    </row>
    <row r="15218" spans="1:1" x14ac:dyDescent="0.3">
      <c r="A15218" t="s">
        <v>0</v>
      </c>
    </row>
    <row r="15219" spans="1:1" x14ac:dyDescent="0.3">
      <c r="A15219" t="s">
        <v>0</v>
      </c>
    </row>
    <row r="15220" spans="1:1" x14ac:dyDescent="0.3">
      <c r="A15220" t="s">
        <v>0</v>
      </c>
    </row>
    <row r="15221" spans="1:1" x14ac:dyDescent="0.3">
      <c r="A15221" t="s">
        <v>0</v>
      </c>
    </row>
    <row r="15222" spans="1:1" x14ac:dyDescent="0.3">
      <c r="A15222" t="s">
        <v>0</v>
      </c>
    </row>
    <row r="15223" spans="1:1" x14ac:dyDescent="0.3">
      <c r="A15223" t="s">
        <v>0</v>
      </c>
    </row>
    <row r="15224" spans="1:1" x14ac:dyDescent="0.3">
      <c r="A15224" t="s">
        <v>0</v>
      </c>
    </row>
    <row r="15225" spans="1:1" x14ac:dyDescent="0.3">
      <c r="A15225" t="s">
        <v>0</v>
      </c>
    </row>
    <row r="15226" spans="1:1" x14ac:dyDescent="0.3">
      <c r="A15226" t="s">
        <v>0</v>
      </c>
    </row>
    <row r="15227" spans="1:1" x14ac:dyDescent="0.3">
      <c r="A15227" t="s">
        <v>0</v>
      </c>
    </row>
    <row r="15228" spans="1:1" x14ac:dyDescent="0.3">
      <c r="A15228" t="s">
        <v>0</v>
      </c>
    </row>
    <row r="15229" spans="1:1" x14ac:dyDescent="0.3">
      <c r="A15229" t="s">
        <v>0</v>
      </c>
    </row>
    <row r="15230" spans="1:1" x14ac:dyDescent="0.3">
      <c r="A15230" t="s">
        <v>0</v>
      </c>
    </row>
    <row r="15231" spans="1:1" x14ac:dyDescent="0.3">
      <c r="A15231" t="s">
        <v>0</v>
      </c>
    </row>
    <row r="15232" spans="1:1" x14ac:dyDescent="0.3">
      <c r="A15232" t="s">
        <v>0</v>
      </c>
    </row>
    <row r="15233" spans="1:1" x14ac:dyDescent="0.3">
      <c r="A15233" t="s">
        <v>0</v>
      </c>
    </row>
    <row r="15234" spans="1:1" x14ac:dyDescent="0.3">
      <c r="A15234" t="s">
        <v>0</v>
      </c>
    </row>
    <row r="15235" spans="1:1" x14ac:dyDescent="0.3">
      <c r="A15235" t="s">
        <v>0</v>
      </c>
    </row>
    <row r="15236" spans="1:1" x14ac:dyDescent="0.3">
      <c r="A15236" t="s">
        <v>0</v>
      </c>
    </row>
    <row r="15237" spans="1:1" x14ac:dyDescent="0.3">
      <c r="A15237" t="s">
        <v>0</v>
      </c>
    </row>
    <row r="15238" spans="1:1" x14ac:dyDescent="0.3">
      <c r="A15238" t="s">
        <v>0</v>
      </c>
    </row>
    <row r="15239" spans="1:1" x14ac:dyDescent="0.3">
      <c r="A15239" t="s">
        <v>0</v>
      </c>
    </row>
    <row r="15240" spans="1:1" x14ac:dyDescent="0.3">
      <c r="A15240" t="s">
        <v>0</v>
      </c>
    </row>
    <row r="15241" spans="1:1" x14ac:dyDescent="0.3">
      <c r="A15241" t="s">
        <v>0</v>
      </c>
    </row>
    <row r="15242" spans="1:1" x14ac:dyDescent="0.3">
      <c r="A15242" t="s">
        <v>0</v>
      </c>
    </row>
    <row r="15243" spans="1:1" x14ac:dyDescent="0.3">
      <c r="A15243" t="s">
        <v>0</v>
      </c>
    </row>
    <row r="15244" spans="1:1" x14ac:dyDescent="0.3">
      <c r="A15244" t="s">
        <v>0</v>
      </c>
    </row>
    <row r="15245" spans="1:1" x14ac:dyDescent="0.3">
      <c r="A15245" t="s">
        <v>0</v>
      </c>
    </row>
    <row r="15246" spans="1:1" x14ac:dyDescent="0.3">
      <c r="A15246" t="s">
        <v>0</v>
      </c>
    </row>
    <row r="15247" spans="1:1" x14ac:dyDescent="0.3">
      <c r="A15247" t="s">
        <v>0</v>
      </c>
    </row>
    <row r="15248" spans="1:1" x14ac:dyDescent="0.3">
      <c r="A15248" t="s">
        <v>0</v>
      </c>
    </row>
    <row r="15249" spans="1:1" x14ac:dyDescent="0.3">
      <c r="A15249" t="s">
        <v>0</v>
      </c>
    </row>
    <row r="15250" spans="1:1" x14ac:dyDescent="0.3">
      <c r="A15250" t="s">
        <v>0</v>
      </c>
    </row>
    <row r="15251" spans="1:1" x14ac:dyDescent="0.3">
      <c r="A15251" t="s">
        <v>0</v>
      </c>
    </row>
    <row r="15252" spans="1:1" x14ac:dyDescent="0.3">
      <c r="A15252" t="s">
        <v>0</v>
      </c>
    </row>
    <row r="15253" spans="1:1" x14ac:dyDescent="0.3">
      <c r="A15253" t="s">
        <v>0</v>
      </c>
    </row>
    <row r="15254" spans="1:1" x14ac:dyDescent="0.3">
      <c r="A15254" t="s">
        <v>0</v>
      </c>
    </row>
    <row r="15255" spans="1:1" x14ac:dyDescent="0.3">
      <c r="A15255" t="s">
        <v>0</v>
      </c>
    </row>
    <row r="15256" spans="1:1" x14ac:dyDescent="0.3">
      <c r="A15256" t="s">
        <v>0</v>
      </c>
    </row>
    <row r="15257" spans="1:1" x14ac:dyDescent="0.3">
      <c r="A15257" t="s">
        <v>0</v>
      </c>
    </row>
    <row r="15258" spans="1:1" x14ac:dyDescent="0.3">
      <c r="A15258" t="s">
        <v>0</v>
      </c>
    </row>
    <row r="15259" spans="1:1" x14ac:dyDescent="0.3">
      <c r="A15259" t="s">
        <v>0</v>
      </c>
    </row>
    <row r="15260" spans="1:1" x14ac:dyDescent="0.3">
      <c r="A15260" t="s">
        <v>0</v>
      </c>
    </row>
    <row r="15261" spans="1:1" x14ac:dyDescent="0.3">
      <c r="A15261" t="s">
        <v>0</v>
      </c>
    </row>
    <row r="15262" spans="1:1" x14ac:dyDescent="0.3">
      <c r="A15262" t="s">
        <v>0</v>
      </c>
    </row>
    <row r="15263" spans="1:1" x14ac:dyDescent="0.3">
      <c r="A15263" t="s">
        <v>0</v>
      </c>
    </row>
    <row r="15264" spans="1:1" x14ac:dyDescent="0.3">
      <c r="A15264" t="s">
        <v>0</v>
      </c>
    </row>
    <row r="15265" spans="1:1" x14ac:dyDescent="0.3">
      <c r="A15265" t="s">
        <v>0</v>
      </c>
    </row>
    <row r="15266" spans="1:1" x14ac:dyDescent="0.3">
      <c r="A15266" t="s">
        <v>0</v>
      </c>
    </row>
    <row r="15267" spans="1:1" x14ac:dyDescent="0.3">
      <c r="A15267" t="s">
        <v>0</v>
      </c>
    </row>
    <row r="15268" spans="1:1" x14ac:dyDescent="0.3">
      <c r="A15268" t="s">
        <v>0</v>
      </c>
    </row>
    <row r="15269" spans="1:1" x14ac:dyDescent="0.3">
      <c r="A15269" t="s">
        <v>0</v>
      </c>
    </row>
    <row r="15270" spans="1:1" x14ac:dyDescent="0.3">
      <c r="A15270" t="s">
        <v>0</v>
      </c>
    </row>
    <row r="15271" spans="1:1" x14ac:dyDescent="0.3">
      <c r="A15271" t="s">
        <v>0</v>
      </c>
    </row>
    <row r="15272" spans="1:1" x14ac:dyDescent="0.3">
      <c r="A15272" t="s">
        <v>0</v>
      </c>
    </row>
    <row r="15273" spans="1:1" x14ac:dyDescent="0.3">
      <c r="A15273" t="s">
        <v>0</v>
      </c>
    </row>
    <row r="15274" spans="1:1" x14ac:dyDescent="0.3">
      <c r="A15274" t="s">
        <v>0</v>
      </c>
    </row>
    <row r="15275" spans="1:1" x14ac:dyDescent="0.3">
      <c r="A15275" t="s">
        <v>0</v>
      </c>
    </row>
    <row r="15276" spans="1:1" x14ac:dyDescent="0.3">
      <c r="A15276" t="s">
        <v>0</v>
      </c>
    </row>
    <row r="15277" spans="1:1" x14ac:dyDescent="0.3">
      <c r="A15277" t="s">
        <v>0</v>
      </c>
    </row>
    <row r="15278" spans="1:1" x14ac:dyDescent="0.3">
      <c r="A15278" t="s">
        <v>0</v>
      </c>
    </row>
    <row r="15279" spans="1:1" x14ac:dyDescent="0.3">
      <c r="A15279" t="s">
        <v>0</v>
      </c>
    </row>
    <row r="15280" spans="1:1" x14ac:dyDescent="0.3">
      <c r="A15280" t="s">
        <v>0</v>
      </c>
    </row>
    <row r="15281" spans="1:1" x14ac:dyDescent="0.3">
      <c r="A15281" t="s">
        <v>0</v>
      </c>
    </row>
    <row r="15282" spans="1:1" x14ac:dyDescent="0.3">
      <c r="A15282" t="s">
        <v>0</v>
      </c>
    </row>
    <row r="15283" spans="1:1" x14ac:dyDescent="0.3">
      <c r="A15283" t="s">
        <v>0</v>
      </c>
    </row>
    <row r="15284" spans="1:1" x14ac:dyDescent="0.3">
      <c r="A15284" t="s">
        <v>0</v>
      </c>
    </row>
    <row r="15285" spans="1:1" x14ac:dyDescent="0.3">
      <c r="A15285" t="s">
        <v>0</v>
      </c>
    </row>
    <row r="15286" spans="1:1" x14ac:dyDescent="0.3">
      <c r="A15286" t="s">
        <v>0</v>
      </c>
    </row>
    <row r="15287" spans="1:1" x14ac:dyDescent="0.3">
      <c r="A15287" t="s">
        <v>0</v>
      </c>
    </row>
    <row r="15288" spans="1:1" x14ac:dyDescent="0.3">
      <c r="A15288" t="s">
        <v>0</v>
      </c>
    </row>
    <row r="15289" spans="1:1" x14ac:dyDescent="0.3">
      <c r="A15289" t="s">
        <v>0</v>
      </c>
    </row>
    <row r="15290" spans="1:1" x14ac:dyDescent="0.3">
      <c r="A15290" t="s">
        <v>0</v>
      </c>
    </row>
    <row r="15291" spans="1:1" x14ac:dyDescent="0.3">
      <c r="A15291" t="s">
        <v>0</v>
      </c>
    </row>
    <row r="15292" spans="1:1" x14ac:dyDescent="0.3">
      <c r="A15292" t="s">
        <v>0</v>
      </c>
    </row>
    <row r="15293" spans="1:1" x14ac:dyDescent="0.3">
      <c r="A15293" t="s">
        <v>0</v>
      </c>
    </row>
    <row r="15294" spans="1:1" x14ac:dyDescent="0.3">
      <c r="A15294" t="s">
        <v>0</v>
      </c>
    </row>
    <row r="15295" spans="1:1" x14ac:dyDescent="0.3">
      <c r="A15295" t="s">
        <v>0</v>
      </c>
    </row>
    <row r="15296" spans="1:1" x14ac:dyDescent="0.3">
      <c r="A15296" t="s">
        <v>0</v>
      </c>
    </row>
    <row r="15297" spans="1:1" x14ac:dyDescent="0.3">
      <c r="A15297" t="s">
        <v>0</v>
      </c>
    </row>
    <row r="15298" spans="1:1" x14ac:dyDescent="0.3">
      <c r="A15298" t="s">
        <v>0</v>
      </c>
    </row>
    <row r="15299" spans="1:1" x14ac:dyDescent="0.3">
      <c r="A15299" t="s">
        <v>0</v>
      </c>
    </row>
    <row r="15300" spans="1:1" x14ac:dyDescent="0.3">
      <c r="A15300" t="s">
        <v>0</v>
      </c>
    </row>
    <row r="15301" spans="1:1" x14ac:dyDescent="0.3">
      <c r="A15301" t="s">
        <v>0</v>
      </c>
    </row>
    <row r="15302" spans="1:1" x14ac:dyDescent="0.3">
      <c r="A15302" t="s">
        <v>0</v>
      </c>
    </row>
    <row r="15303" spans="1:1" x14ac:dyDescent="0.3">
      <c r="A15303" t="s">
        <v>0</v>
      </c>
    </row>
    <row r="15304" spans="1:1" x14ac:dyDescent="0.3">
      <c r="A15304" t="s">
        <v>0</v>
      </c>
    </row>
    <row r="15305" spans="1:1" x14ac:dyDescent="0.3">
      <c r="A15305" t="s">
        <v>0</v>
      </c>
    </row>
    <row r="15306" spans="1:1" x14ac:dyDescent="0.3">
      <c r="A15306" t="s">
        <v>0</v>
      </c>
    </row>
    <row r="15307" spans="1:1" x14ac:dyDescent="0.3">
      <c r="A15307" t="s">
        <v>0</v>
      </c>
    </row>
    <row r="15308" spans="1:1" x14ac:dyDescent="0.3">
      <c r="A15308" t="s">
        <v>0</v>
      </c>
    </row>
    <row r="15309" spans="1:1" x14ac:dyDescent="0.3">
      <c r="A15309" t="s">
        <v>0</v>
      </c>
    </row>
    <row r="15310" spans="1:1" x14ac:dyDescent="0.3">
      <c r="A15310" t="s">
        <v>0</v>
      </c>
    </row>
    <row r="15311" spans="1:1" x14ac:dyDescent="0.3">
      <c r="A15311" t="s">
        <v>0</v>
      </c>
    </row>
    <row r="15312" spans="1:1" x14ac:dyDescent="0.3">
      <c r="A15312" t="s">
        <v>0</v>
      </c>
    </row>
    <row r="15313" spans="1:1" x14ac:dyDescent="0.3">
      <c r="A15313" t="s">
        <v>0</v>
      </c>
    </row>
    <row r="15314" spans="1:1" x14ac:dyDescent="0.3">
      <c r="A15314" t="s">
        <v>0</v>
      </c>
    </row>
    <row r="15315" spans="1:1" x14ac:dyDescent="0.3">
      <c r="A15315" t="s">
        <v>0</v>
      </c>
    </row>
    <row r="15316" spans="1:1" x14ac:dyDescent="0.3">
      <c r="A15316" t="s">
        <v>0</v>
      </c>
    </row>
    <row r="15317" spans="1:1" x14ac:dyDescent="0.3">
      <c r="A15317" t="s">
        <v>0</v>
      </c>
    </row>
    <row r="15318" spans="1:1" x14ac:dyDescent="0.3">
      <c r="A15318" t="s">
        <v>0</v>
      </c>
    </row>
    <row r="15319" spans="1:1" x14ac:dyDescent="0.3">
      <c r="A15319" t="s">
        <v>0</v>
      </c>
    </row>
    <row r="15320" spans="1:1" x14ac:dyDescent="0.3">
      <c r="A15320" t="s">
        <v>0</v>
      </c>
    </row>
    <row r="15321" spans="1:1" x14ac:dyDescent="0.3">
      <c r="A15321" t="s">
        <v>0</v>
      </c>
    </row>
    <row r="15322" spans="1:1" x14ac:dyDescent="0.3">
      <c r="A15322" t="s">
        <v>0</v>
      </c>
    </row>
    <row r="15323" spans="1:1" x14ac:dyDescent="0.3">
      <c r="A15323" t="s">
        <v>0</v>
      </c>
    </row>
    <row r="15324" spans="1:1" x14ac:dyDescent="0.3">
      <c r="A15324" t="s">
        <v>0</v>
      </c>
    </row>
    <row r="15325" spans="1:1" x14ac:dyDescent="0.3">
      <c r="A15325" t="s">
        <v>0</v>
      </c>
    </row>
    <row r="15326" spans="1:1" x14ac:dyDescent="0.3">
      <c r="A15326" t="s">
        <v>0</v>
      </c>
    </row>
    <row r="15327" spans="1:1" x14ac:dyDescent="0.3">
      <c r="A15327" t="s">
        <v>0</v>
      </c>
    </row>
    <row r="15328" spans="1:1" x14ac:dyDescent="0.3">
      <c r="A15328" t="s">
        <v>0</v>
      </c>
    </row>
    <row r="15329" spans="1:1" x14ac:dyDescent="0.3">
      <c r="A15329" t="s">
        <v>0</v>
      </c>
    </row>
    <row r="15330" spans="1:1" x14ac:dyDescent="0.3">
      <c r="A15330" t="s">
        <v>0</v>
      </c>
    </row>
    <row r="15331" spans="1:1" x14ac:dyDescent="0.3">
      <c r="A15331" t="s">
        <v>0</v>
      </c>
    </row>
    <row r="15332" spans="1:1" x14ac:dyDescent="0.3">
      <c r="A15332" t="s">
        <v>0</v>
      </c>
    </row>
    <row r="15333" spans="1:1" x14ac:dyDescent="0.3">
      <c r="A15333" t="s">
        <v>0</v>
      </c>
    </row>
    <row r="15334" spans="1:1" x14ac:dyDescent="0.3">
      <c r="A15334" t="s">
        <v>0</v>
      </c>
    </row>
    <row r="15335" spans="1:1" x14ac:dyDescent="0.3">
      <c r="A15335" t="s">
        <v>0</v>
      </c>
    </row>
    <row r="15336" spans="1:1" x14ac:dyDescent="0.3">
      <c r="A15336" t="s">
        <v>0</v>
      </c>
    </row>
    <row r="15337" spans="1:1" x14ac:dyDescent="0.3">
      <c r="A15337" t="s">
        <v>0</v>
      </c>
    </row>
    <row r="15338" spans="1:1" x14ac:dyDescent="0.3">
      <c r="A15338" t="s">
        <v>0</v>
      </c>
    </row>
    <row r="15339" spans="1:1" x14ac:dyDescent="0.3">
      <c r="A15339" t="s">
        <v>0</v>
      </c>
    </row>
    <row r="15340" spans="1:1" x14ac:dyDescent="0.3">
      <c r="A15340" t="s">
        <v>0</v>
      </c>
    </row>
    <row r="15341" spans="1:1" x14ac:dyDescent="0.3">
      <c r="A15341" t="s">
        <v>0</v>
      </c>
    </row>
    <row r="15342" spans="1:1" x14ac:dyDescent="0.3">
      <c r="A15342" t="s">
        <v>0</v>
      </c>
    </row>
    <row r="15343" spans="1:1" x14ac:dyDescent="0.3">
      <c r="A15343" t="s">
        <v>0</v>
      </c>
    </row>
    <row r="15344" spans="1:1" x14ac:dyDescent="0.3">
      <c r="A15344" t="s">
        <v>0</v>
      </c>
    </row>
    <row r="15345" spans="1:1" x14ac:dyDescent="0.3">
      <c r="A15345" t="s">
        <v>0</v>
      </c>
    </row>
    <row r="15346" spans="1:1" x14ac:dyDescent="0.3">
      <c r="A15346" t="s">
        <v>0</v>
      </c>
    </row>
    <row r="15347" spans="1:1" x14ac:dyDescent="0.3">
      <c r="A15347" t="s">
        <v>0</v>
      </c>
    </row>
    <row r="15348" spans="1:1" x14ac:dyDescent="0.3">
      <c r="A15348" t="s">
        <v>0</v>
      </c>
    </row>
    <row r="15349" spans="1:1" x14ac:dyDescent="0.3">
      <c r="A15349" t="s">
        <v>0</v>
      </c>
    </row>
    <row r="15350" spans="1:1" x14ac:dyDescent="0.3">
      <c r="A15350" t="s">
        <v>0</v>
      </c>
    </row>
    <row r="15351" spans="1:1" x14ac:dyDescent="0.3">
      <c r="A15351" t="s">
        <v>0</v>
      </c>
    </row>
    <row r="15352" spans="1:1" x14ac:dyDescent="0.3">
      <c r="A15352" t="s">
        <v>0</v>
      </c>
    </row>
    <row r="15353" spans="1:1" x14ac:dyDescent="0.3">
      <c r="A15353" t="s">
        <v>0</v>
      </c>
    </row>
    <row r="15354" spans="1:1" x14ac:dyDescent="0.3">
      <c r="A15354" t="s">
        <v>0</v>
      </c>
    </row>
    <row r="15355" spans="1:1" x14ac:dyDescent="0.3">
      <c r="A15355" t="s">
        <v>0</v>
      </c>
    </row>
    <row r="15356" spans="1:1" x14ac:dyDescent="0.3">
      <c r="A15356" t="s">
        <v>0</v>
      </c>
    </row>
    <row r="15357" spans="1:1" x14ac:dyDescent="0.3">
      <c r="A15357" t="s">
        <v>0</v>
      </c>
    </row>
    <row r="15358" spans="1:1" x14ac:dyDescent="0.3">
      <c r="A15358" t="s">
        <v>0</v>
      </c>
    </row>
    <row r="15359" spans="1:1" x14ac:dyDescent="0.3">
      <c r="A15359" t="s">
        <v>0</v>
      </c>
    </row>
    <row r="15360" spans="1:1" x14ac:dyDescent="0.3">
      <c r="A15360" t="s">
        <v>0</v>
      </c>
    </row>
    <row r="15361" spans="1:1" x14ac:dyDescent="0.3">
      <c r="A15361" t="s">
        <v>0</v>
      </c>
    </row>
    <row r="15362" spans="1:1" x14ac:dyDescent="0.3">
      <c r="A15362" t="s">
        <v>0</v>
      </c>
    </row>
    <row r="15363" spans="1:1" x14ac:dyDescent="0.3">
      <c r="A15363" t="s">
        <v>0</v>
      </c>
    </row>
    <row r="15364" spans="1:1" x14ac:dyDescent="0.3">
      <c r="A15364" t="s">
        <v>0</v>
      </c>
    </row>
    <row r="15365" spans="1:1" x14ac:dyDescent="0.3">
      <c r="A15365" t="s">
        <v>0</v>
      </c>
    </row>
    <row r="15366" spans="1:1" x14ac:dyDescent="0.3">
      <c r="A15366" t="s">
        <v>0</v>
      </c>
    </row>
    <row r="15367" spans="1:1" x14ac:dyDescent="0.3">
      <c r="A15367" t="s">
        <v>0</v>
      </c>
    </row>
    <row r="15368" spans="1:1" x14ac:dyDescent="0.3">
      <c r="A15368" t="s">
        <v>0</v>
      </c>
    </row>
    <row r="15369" spans="1:1" x14ac:dyDescent="0.3">
      <c r="A15369" t="s">
        <v>0</v>
      </c>
    </row>
    <row r="15370" spans="1:1" x14ac:dyDescent="0.3">
      <c r="A15370" t="s">
        <v>0</v>
      </c>
    </row>
    <row r="15371" spans="1:1" x14ac:dyDescent="0.3">
      <c r="A15371" t="s">
        <v>0</v>
      </c>
    </row>
    <row r="15372" spans="1:1" x14ac:dyDescent="0.3">
      <c r="A15372" t="s">
        <v>0</v>
      </c>
    </row>
    <row r="15373" spans="1:1" x14ac:dyDescent="0.3">
      <c r="A15373" t="s">
        <v>0</v>
      </c>
    </row>
    <row r="15374" spans="1:1" x14ac:dyDescent="0.3">
      <c r="A15374" t="s">
        <v>0</v>
      </c>
    </row>
    <row r="15375" spans="1:1" x14ac:dyDescent="0.3">
      <c r="A15375" t="s">
        <v>0</v>
      </c>
    </row>
    <row r="15376" spans="1:1" x14ac:dyDescent="0.3">
      <c r="A15376" t="s">
        <v>0</v>
      </c>
    </row>
    <row r="15377" spans="1:1" x14ac:dyDescent="0.3">
      <c r="A15377" t="s">
        <v>0</v>
      </c>
    </row>
    <row r="15378" spans="1:1" x14ac:dyDescent="0.3">
      <c r="A15378" t="s">
        <v>0</v>
      </c>
    </row>
    <row r="15379" spans="1:1" x14ac:dyDescent="0.3">
      <c r="A15379" t="s">
        <v>0</v>
      </c>
    </row>
    <row r="15380" spans="1:1" x14ac:dyDescent="0.3">
      <c r="A15380" t="s">
        <v>0</v>
      </c>
    </row>
    <row r="15381" spans="1:1" x14ac:dyDescent="0.3">
      <c r="A15381" t="s">
        <v>0</v>
      </c>
    </row>
    <row r="15382" spans="1:1" x14ac:dyDescent="0.3">
      <c r="A15382" t="s">
        <v>0</v>
      </c>
    </row>
    <row r="15383" spans="1:1" x14ac:dyDescent="0.3">
      <c r="A15383" t="s">
        <v>0</v>
      </c>
    </row>
    <row r="15384" spans="1:1" x14ac:dyDescent="0.3">
      <c r="A15384" t="s">
        <v>0</v>
      </c>
    </row>
    <row r="15385" spans="1:1" x14ac:dyDescent="0.3">
      <c r="A15385" t="s">
        <v>0</v>
      </c>
    </row>
    <row r="15386" spans="1:1" x14ac:dyDescent="0.3">
      <c r="A15386" t="s">
        <v>0</v>
      </c>
    </row>
    <row r="15387" spans="1:1" x14ac:dyDescent="0.3">
      <c r="A15387" t="s">
        <v>0</v>
      </c>
    </row>
    <row r="15388" spans="1:1" x14ac:dyDescent="0.3">
      <c r="A15388" t="s">
        <v>0</v>
      </c>
    </row>
    <row r="15389" spans="1:1" x14ac:dyDescent="0.3">
      <c r="A15389" t="s">
        <v>0</v>
      </c>
    </row>
    <row r="15390" spans="1:1" x14ac:dyDescent="0.3">
      <c r="A15390" t="s">
        <v>0</v>
      </c>
    </row>
    <row r="15391" spans="1:1" x14ac:dyDescent="0.3">
      <c r="A15391" t="s">
        <v>0</v>
      </c>
    </row>
    <row r="15392" spans="1:1" x14ac:dyDescent="0.3">
      <c r="A15392" t="s">
        <v>0</v>
      </c>
    </row>
    <row r="15393" spans="1:1" x14ac:dyDescent="0.3">
      <c r="A15393" t="s">
        <v>0</v>
      </c>
    </row>
    <row r="15394" spans="1:1" x14ac:dyDescent="0.3">
      <c r="A15394" t="s">
        <v>0</v>
      </c>
    </row>
    <row r="15395" spans="1:1" x14ac:dyDescent="0.3">
      <c r="A15395" t="s">
        <v>0</v>
      </c>
    </row>
    <row r="15396" spans="1:1" x14ac:dyDescent="0.3">
      <c r="A15396" t="s">
        <v>0</v>
      </c>
    </row>
    <row r="15397" spans="1:1" x14ac:dyDescent="0.3">
      <c r="A15397" t="s">
        <v>0</v>
      </c>
    </row>
    <row r="15398" spans="1:1" x14ac:dyDescent="0.3">
      <c r="A15398" t="s">
        <v>0</v>
      </c>
    </row>
    <row r="15399" spans="1:1" x14ac:dyDescent="0.3">
      <c r="A15399" t="s">
        <v>0</v>
      </c>
    </row>
    <row r="15400" spans="1:1" x14ac:dyDescent="0.3">
      <c r="A15400" t="s">
        <v>0</v>
      </c>
    </row>
    <row r="15401" spans="1:1" x14ac:dyDescent="0.3">
      <c r="A15401" t="s">
        <v>0</v>
      </c>
    </row>
    <row r="15402" spans="1:1" x14ac:dyDescent="0.3">
      <c r="A15402" t="s">
        <v>0</v>
      </c>
    </row>
    <row r="15403" spans="1:1" x14ac:dyDescent="0.3">
      <c r="A15403" t="s">
        <v>0</v>
      </c>
    </row>
    <row r="15404" spans="1:1" x14ac:dyDescent="0.3">
      <c r="A15404" t="s">
        <v>0</v>
      </c>
    </row>
    <row r="15405" spans="1:1" x14ac:dyDescent="0.3">
      <c r="A15405" t="s">
        <v>0</v>
      </c>
    </row>
    <row r="15406" spans="1:1" x14ac:dyDescent="0.3">
      <c r="A15406" t="s">
        <v>0</v>
      </c>
    </row>
    <row r="15407" spans="1:1" x14ac:dyDescent="0.3">
      <c r="A15407" t="s">
        <v>0</v>
      </c>
    </row>
    <row r="15408" spans="1:1" x14ac:dyDescent="0.3">
      <c r="A15408" t="s">
        <v>0</v>
      </c>
    </row>
    <row r="15409" spans="1:1" x14ac:dyDescent="0.3">
      <c r="A15409" t="s">
        <v>0</v>
      </c>
    </row>
    <row r="15410" spans="1:1" x14ac:dyDescent="0.3">
      <c r="A15410" t="s">
        <v>0</v>
      </c>
    </row>
    <row r="15411" spans="1:1" x14ac:dyDescent="0.3">
      <c r="A15411" t="s">
        <v>0</v>
      </c>
    </row>
    <row r="15412" spans="1:1" x14ac:dyDescent="0.3">
      <c r="A15412" t="s">
        <v>0</v>
      </c>
    </row>
    <row r="15413" spans="1:1" x14ac:dyDescent="0.3">
      <c r="A15413" t="s">
        <v>0</v>
      </c>
    </row>
    <row r="15414" spans="1:1" x14ac:dyDescent="0.3">
      <c r="A15414" t="s">
        <v>0</v>
      </c>
    </row>
    <row r="15415" spans="1:1" x14ac:dyDescent="0.3">
      <c r="A15415" t="s">
        <v>0</v>
      </c>
    </row>
    <row r="15416" spans="1:1" x14ac:dyDescent="0.3">
      <c r="A15416" t="s">
        <v>0</v>
      </c>
    </row>
    <row r="15417" spans="1:1" x14ac:dyDescent="0.3">
      <c r="A15417" t="s">
        <v>0</v>
      </c>
    </row>
    <row r="15418" spans="1:1" x14ac:dyDescent="0.3">
      <c r="A15418" t="s">
        <v>0</v>
      </c>
    </row>
    <row r="15419" spans="1:1" x14ac:dyDescent="0.3">
      <c r="A15419" t="s">
        <v>0</v>
      </c>
    </row>
    <row r="15420" spans="1:1" x14ac:dyDescent="0.3">
      <c r="A15420" t="s">
        <v>0</v>
      </c>
    </row>
    <row r="15421" spans="1:1" x14ac:dyDescent="0.3">
      <c r="A15421" t="s">
        <v>0</v>
      </c>
    </row>
    <row r="15422" spans="1:1" x14ac:dyDescent="0.3">
      <c r="A15422" t="s">
        <v>0</v>
      </c>
    </row>
    <row r="15423" spans="1:1" x14ac:dyDescent="0.3">
      <c r="A15423" t="s">
        <v>0</v>
      </c>
    </row>
    <row r="15424" spans="1:1" x14ac:dyDescent="0.3">
      <c r="A15424" t="s">
        <v>0</v>
      </c>
    </row>
    <row r="15425" spans="1:1" x14ac:dyDescent="0.3">
      <c r="A15425" t="s">
        <v>0</v>
      </c>
    </row>
    <row r="15426" spans="1:1" x14ac:dyDescent="0.3">
      <c r="A15426" t="s">
        <v>0</v>
      </c>
    </row>
    <row r="15427" spans="1:1" x14ac:dyDescent="0.3">
      <c r="A15427" t="s">
        <v>0</v>
      </c>
    </row>
    <row r="15428" spans="1:1" x14ac:dyDescent="0.3">
      <c r="A15428" t="s">
        <v>0</v>
      </c>
    </row>
    <row r="15429" spans="1:1" x14ac:dyDescent="0.3">
      <c r="A15429" t="s">
        <v>0</v>
      </c>
    </row>
    <row r="15430" spans="1:1" x14ac:dyDescent="0.3">
      <c r="A15430" t="s">
        <v>0</v>
      </c>
    </row>
    <row r="15431" spans="1:1" x14ac:dyDescent="0.3">
      <c r="A15431" t="s">
        <v>0</v>
      </c>
    </row>
    <row r="15432" spans="1:1" x14ac:dyDescent="0.3">
      <c r="A15432" t="s">
        <v>0</v>
      </c>
    </row>
    <row r="15433" spans="1:1" x14ac:dyDescent="0.3">
      <c r="A15433" t="s">
        <v>0</v>
      </c>
    </row>
    <row r="15434" spans="1:1" x14ac:dyDescent="0.3">
      <c r="A15434" t="s">
        <v>0</v>
      </c>
    </row>
    <row r="15435" spans="1:1" x14ac:dyDescent="0.3">
      <c r="A15435" t="s">
        <v>0</v>
      </c>
    </row>
    <row r="15436" spans="1:1" x14ac:dyDescent="0.3">
      <c r="A15436" t="s">
        <v>0</v>
      </c>
    </row>
    <row r="15437" spans="1:1" x14ac:dyDescent="0.3">
      <c r="A15437" t="s">
        <v>0</v>
      </c>
    </row>
    <row r="15438" spans="1:1" x14ac:dyDescent="0.3">
      <c r="A15438" t="s">
        <v>0</v>
      </c>
    </row>
    <row r="15439" spans="1:1" x14ac:dyDescent="0.3">
      <c r="A15439" t="s">
        <v>0</v>
      </c>
    </row>
    <row r="15440" spans="1:1" x14ac:dyDescent="0.3">
      <c r="A15440" t="s">
        <v>0</v>
      </c>
    </row>
    <row r="15441" spans="1:1" x14ac:dyDescent="0.3">
      <c r="A15441" t="s">
        <v>0</v>
      </c>
    </row>
    <row r="15442" spans="1:1" x14ac:dyDescent="0.3">
      <c r="A15442" t="s">
        <v>0</v>
      </c>
    </row>
    <row r="15443" spans="1:1" x14ac:dyDescent="0.3">
      <c r="A15443" t="s">
        <v>0</v>
      </c>
    </row>
    <row r="15444" spans="1:1" x14ac:dyDescent="0.3">
      <c r="A15444" t="s">
        <v>0</v>
      </c>
    </row>
    <row r="15445" spans="1:1" x14ac:dyDescent="0.3">
      <c r="A15445" t="s">
        <v>0</v>
      </c>
    </row>
    <row r="15446" spans="1:1" x14ac:dyDescent="0.3">
      <c r="A15446" t="s">
        <v>0</v>
      </c>
    </row>
    <row r="15447" spans="1:1" x14ac:dyDescent="0.3">
      <c r="A15447" t="s">
        <v>0</v>
      </c>
    </row>
    <row r="15448" spans="1:1" x14ac:dyDescent="0.3">
      <c r="A15448" t="s">
        <v>0</v>
      </c>
    </row>
    <row r="15449" spans="1:1" x14ac:dyDescent="0.3">
      <c r="A15449" t="s">
        <v>0</v>
      </c>
    </row>
    <row r="15450" spans="1:1" x14ac:dyDescent="0.3">
      <c r="A15450" t="s">
        <v>0</v>
      </c>
    </row>
    <row r="15451" spans="1:1" x14ac:dyDescent="0.3">
      <c r="A15451" t="s">
        <v>0</v>
      </c>
    </row>
    <row r="15452" spans="1:1" x14ac:dyDescent="0.3">
      <c r="A15452" t="s">
        <v>0</v>
      </c>
    </row>
    <row r="15453" spans="1:1" x14ac:dyDescent="0.3">
      <c r="A15453" t="s">
        <v>0</v>
      </c>
    </row>
    <row r="15454" spans="1:1" x14ac:dyDescent="0.3">
      <c r="A15454" t="s">
        <v>0</v>
      </c>
    </row>
    <row r="15455" spans="1:1" x14ac:dyDescent="0.3">
      <c r="A15455" t="s">
        <v>0</v>
      </c>
    </row>
    <row r="15456" spans="1:1" x14ac:dyDescent="0.3">
      <c r="A15456" t="s">
        <v>0</v>
      </c>
    </row>
    <row r="15457" spans="1:1" x14ac:dyDescent="0.3">
      <c r="A15457" t="s">
        <v>0</v>
      </c>
    </row>
    <row r="15458" spans="1:1" x14ac:dyDescent="0.3">
      <c r="A15458" t="s">
        <v>0</v>
      </c>
    </row>
    <row r="15459" spans="1:1" x14ac:dyDescent="0.3">
      <c r="A15459" t="s">
        <v>0</v>
      </c>
    </row>
    <row r="15460" spans="1:1" x14ac:dyDescent="0.3">
      <c r="A15460" t="s">
        <v>0</v>
      </c>
    </row>
    <row r="15461" spans="1:1" x14ac:dyDescent="0.3">
      <c r="A15461" t="s">
        <v>0</v>
      </c>
    </row>
    <row r="15462" spans="1:1" x14ac:dyDescent="0.3">
      <c r="A15462" t="s">
        <v>0</v>
      </c>
    </row>
    <row r="15463" spans="1:1" x14ac:dyDescent="0.3">
      <c r="A15463" t="s">
        <v>0</v>
      </c>
    </row>
    <row r="15464" spans="1:1" x14ac:dyDescent="0.3">
      <c r="A15464" t="s">
        <v>0</v>
      </c>
    </row>
    <row r="15465" spans="1:1" x14ac:dyDescent="0.3">
      <c r="A15465" t="s">
        <v>0</v>
      </c>
    </row>
    <row r="15466" spans="1:1" x14ac:dyDescent="0.3">
      <c r="A15466" t="s">
        <v>0</v>
      </c>
    </row>
    <row r="15467" spans="1:1" x14ac:dyDescent="0.3">
      <c r="A15467" t="s">
        <v>0</v>
      </c>
    </row>
    <row r="15468" spans="1:1" x14ac:dyDescent="0.3">
      <c r="A15468" t="s">
        <v>0</v>
      </c>
    </row>
    <row r="15469" spans="1:1" x14ac:dyDescent="0.3">
      <c r="A15469" t="s">
        <v>0</v>
      </c>
    </row>
    <row r="15470" spans="1:1" x14ac:dyDescent="0.3">
      <c r="A15470" t="s">
        <v>0</v>
      </c>
    </row>
    <row r="15471" spans="1:1" x14ac:dyDescent="0.3">
      <c r="A15471" t="s">
        <v>0</v>
      </c>
    </row>
    <row r="15472" spans="1:1" x14ac:dyDescent="0.3">
      <c r="A15472" t="s">
        <v>0</v>
      </c>
    </row>
    <row r="15473" spans="1:1" x14ac:dyDescent="0.3">
      <c r="A15473" t="s">
        <v>0</v>
      </c>
    </row>
    <row r="15474" spans="1:1" x14ac:dyDescent="0.3">
      <c r="A15474" t="s">
        <v>0</v>
      </c>
    </row>
    <row r="15475" spans="1:1" x14ac:dyDescent="0.3">
      <c r="A15475" t="s">
        <v>0</v>
      </c>
    </row>
    <row r="15476" spans="1:1" x14ac:dyDescent="0.3">
      <c r="A15476" t="s">
        <v>0</v>
      </c>
    </row>
    <row r="15477" spans="1:1" x14ac:dyDescent="0.3">
      <c r="A15477" t="s">
        <v>0</v>
      </c>
    </row>
    <row r="15478" spans="1:1" x14ac:dyDescent="0.3">
      <c r="A15478" t="s">
        <v>0</v>
      </c>
    </row>
    <row r="15479" spans="1:1" x14ac:dyDescent="0.3">
      <c r="A15479" t="s">
        <v>0</v>
      </c>
    </row>
    <row r="15480" spans="1:1" x14ac:dyDescent="0.3">
      <c r="A15480" t="s">
        <v>0</v>
      </c>
    </row>
    <row r="15481" spans="1:1" x14ac:dyDescent="0.3">
      <c r="A15481" t="s">
        <v>0</v>
      </c>
    </row>
    <row r="15482" spans="1:1" x14ac:dyDescent="0.3">
      <c r="A15482" t="s">
        <v>0</v>
      </c>
    </row>
    <row r="15483" spans="1:1" x14ac:dyDescent="0.3">
      <c r="A15483" t="s">
        <v>0</v>
      </c>
    </row>
    <row r="15484" spans="1:1" x14ac:dyDescent="0.3">
      <c r="A15484" t="s">
        <v>0</v>
      </c>
    </row>
    <row r="15485" spans="1:1" x14ac:dyDescent="0.3">
      <c r="A15485" t="s">
        <v>0</v>
      </c>
    </row>
    <row r="15486" spans="1:1" x14ac:dyDescent="0.3">
      <c r="A15486" t="s">
        <v>0</v>
      </c>
    </row>
    <row r="15487" spans="1:1" x14ac:dyDescent="0.3">
      <c r="A15487" t="s">
        <v>0</v>
      </c>
    </row>
    <row r="15488" spans="1:1" x14ac:dyDescent="0.3">
      <c r="A15488" t="s">
        <v>0</v>
      </c>
    </row>
    <row r="15489" spans="1:1" x14ac:dyDescent="0.3">
      <c r="A15489" t="s">
        <v>0</v>
      </c>
    </row>
    <row r="15490" spans="1:1" x14ac:dyDescent="0.3">
      <c r="A15490" t="s">
        <v>0</v>
      </c>
    </row>
    <row r="15491" spans="1:1" x14ac:dyDescent="0.3">
      <c r="A15491" t="s">
        <v>0</v>
      </c>
    </row>
    <row r="15492" spans="1:1" x14ac:dyDescent="0.3">
      <c r="A15492" t="s">
        <v>0</v>
      </c>
    </row>
    <row r="15493" spans="1:1" x14ac:dyDescent="0.3">
      <c r="A15493" t="s">
        <v>0</v>
      </c>
    </row>
    <row r="15494" spans="1:1" x14ac:dyDescent="0.3">
      <c r="A15494" t="s">
        <v>0</v>
      </c>
    </row>
    <row r="15495" spans="1:1" x14ac:dyDescent="0.3">
      <c r="A15495" t="s">
        <v>0</v>
      </c>
    </row>
    <row r="15496" spans="1:1" x14ac:dyDescent="0.3">
      <c r="A15496" t="s">
        <v>0</v>
      </c>
    </row>
    <row r="15497" spans="1:1" x14ac:dyDescent="0.3">
      <c r="A15497" t="s">
        <v>0</v>
      </c>
    </row>
    <row r="15498" spans="1:1" x14ac:dyDescent="0.3">
      <c r="A15498" t="s">
        <v>0</v>
      </c>
    </row>
    <row r="15499" spans="1:1" x14ac:dyDescent="0.3">
      <c r="A15499" t="s">
        <v>0</v>
      </c>
    </row>
    <row r="15500" spans="1:1" x14ac:dyDescent="0.3">
      <c r="A15500" t="s">
        <v>0</v>
      </c>
    </row>
    <row r="15501" spans="1:1" x14ac:dyDescent="0.3">
      <c r="A15501" t="s">
        <v>0</v>
      </c>
    </row>
    <row r="15502" spans="1:1" x14ac:dyDescent="0.3">
      <c r="A15502" t="s">
        <v>0</v>
      </c>
    </row>
    <row r="15503" spans="1:1" x14ac:dyDescent="0.3">
      <c r="A15503" t="s">
        <v>0</v>
      </c>
    </row>
    <row r="15504" spans="1:1" x14ac:dyDescent="0.3">
      <c r="A15504" t="s">
        <v>0</v>
      </c>
    </row>
    <row r="15505" spans="1:1" x14ac:dyDescent="0.3">
      <c r="A15505" t="s">
        <v>0</v>
      </c>
    </row>
    <row r="15506" spans="1:1" x14ac:dyDescent="0.3">
      <c r="A15506" t="s">
        <v>0</v>
      </c>
    </row>
    <row r="15507" spans="1:1" x14ac:dyDescent="0.3">
      <c r="A15507" t="s">
        <v>0</v>
      </c>
    </row>
    <row r="15508" spans="1:1" x14ac:dyDescent="0.3">
      <c r="A15508" t="s">
        <v>0</v>
      </c>
    </row>
    <row r="15509" spans="1:1" x14ac:dyDescent="0.3">
      <c r="A15509" t="s">
        <v>0</v>
      </c>
    </row>
    <row r="15510" spans="1:1" x14ac:dyDescent="0.3">
      <c r="A15510" t="s">
        <v>0</v>
      </c>
    </row>
    <row r="15511" spans="1:1" x14ac:dyDescent="0.3">
      <c r="A15511" t="s">
        <v>0</v>
      </c>
    </row>
    <row r="15512" spans="1:1" x14ac:dyDescent="0.3">
      <c r="A15512" t="s">
        <v>0</v>
      </c>
    </row>
    <row r="15513" spans="1:1" x14ac:dyDescent="0.3">
      <c r="A15513" t="s">
        <v>0</v>
      </c>
    </row>
    <row r="15514" spans="1:1" x14ac:dyDescent="0.3">
      <c r="A15514" t="s">
        <v>0</v>
      </c>
    </row>
    <row r="15515" spans="1:1" x14ac:dyDescent="0.3">
      <c r="A15515" t="s">
        <v>0</v>
      </c>
    </row>
    <row r="15516" spans="1:1" x14ac:dyDescent="0.3">
      <c r="A15516" t="s">
        <v>0</v>
      </c>
    </row>
    <row r="15517" spans="1:1" x14ac:dyDescent="0.3">
      <c r="A15517" t="s">
        <v>0</v>
      </c>
    </row>
    <row r="15518" spans="1:1" x14ac:dyDescent="0.3">
      <c r="A15518" t="s">
        <v>0</v>
      </c>
    </row>
    <row r="15519" spans="1:1" x14ac:dyDescent="0.3">
      <c r="A15519" t="s">
        <v>0</v>
      </c>
    </row>
    <row r="15520" spans="1:1" x14ac:dyDescent="0.3">
      <c r="A15520" t="s">
        <v>0</v>
      </c>
    </row>
    <row r="15521" spans="1:1" x14ac:dyDescent="0.3">
      <c r="A15521" t="s">
        <v>0</v>
      </c>
    </row>
    <row r="15522" spans="1:1" x14ac:dyDescent="0.3">
      <c r="A15522" t="s">
        <v>0</v>
      </c>
    </row>
    <row r="15523" spans="1:1" x14ac:dyDescent="0.3">
      <c r="A15523" t="s">
        <v>0</v>
      </c>
    </row>
    <row r="15524" spans="1:1" x14ac:dyDescent="0.3">
      <c r="A15524" t="s">
        <v>0</v>
      </c>
    </row>
    <row r="15525" spans="1:1" x14ac:dyDescent="0.3">
      <c r="A15525" t="s">
        <v>0</v>
      </c>
    </row>
    <row r="15526" spans="1:1" x14ac:dyDescent="0.3">
      <c r="A15526" t="s">
        <v>0</v>
      </c>
    </row>
    <row r="15527" spans="1:1" x14ac:dyDescent="0.3">
      <c r="A15527" t="s">
        <v>0</v>
      </c>
    </row>
    <row r="15528" spans="1:1" x14ac:dyDescent="0.3">
      <c r="A15528" t="s">
        <v>0</v>
      </c>
    </row>
    <row r="15529" spans="1:1" x14ac:dyDescent="0.3">
      <c r="A15529" t="s">
        <v>0</v>
      </c>
    </row>
    <row r="15530" spans="1:1" x14ac:dyDescent="0.3">
      <c r="A15530" t="s">
        <v>0</v>
      </c>
    </row>
    <row r="15531" spans="1:1" x14ac:dyDescent="0.3">
      <c r="A15531" t="s">
        <v>0</v>
      </c>
    </row>
    <row r="15532" spans="1:1" x14ac:dyDescent="0.3">
      <c r="A15532" t="s">
        <v>0</v>
      </c>
    </row>
    <row r="15533" spans="1:1" x14ac:dyDescent="0.3">
      <c r="A15533" t="s">
        <v>0</v>
      </c>
    </row>
    <row r="15534" spans="1:1" x14ac:dyDescent="0.3">
      <c r="A15534" t="s">
        <v>0</v>
      </c>
    </row>
    <row r="15535" spans="1:1" x14ac:dyDescent="0.3">
      <c r="A15535" t="s">
        <v>0</v>
      </c>
    </row>
    <row r="15536" spans="1:1" x14ac:dyDescent="0.3">
      <c r="A15536" t="s">
        <v>0</v>
      </c>
    </row>
    <row r="15537" spans="1:1" x14ac:dyDescent="0.3">
      <c r="A15537" t="s">
        <v>0</v>
      </c>
    </row>
    <row r="15538" spans="1:1" x14ac:dyDescent="0.3">
      <c r="A15538" t="s">
        <v>0</v>
      </c>
    </row>
    <row r="15539" spans="1:1" x14ac:dyDescent="0.3">
      <c r="A15539" t="s">
        <v>0</v>
      </c>
    </row>
    <row r="15540" spans="1:1" x14ac:dyDescent="0.3">
      <c r="A15540" t="s">
        <v>0</v>
      </c>
    </row>
    <row r="15541" spans="1:1" x14ac:dyDescent="0.3">
      <c r="A15541" t="s">
        <v>0</v>
      </c>
    </row>
    <row r="15542" spans="1:1" x14ac:dyDescent="0.3">
      <c r="A15542" t="s">
        <v>0</v>
      </c>
    </row>
    <row r="15543" spans="1:1" x14ac:dyDescent="0.3">
      <c r="A15543" t="s">
        <v>0</v>
      </c>
    </row>
    <row r="15544" spans="1:1" x14ac:dyDescent="0.3">
      <c r="A15544" t="s">
        <v>0</v>
      </c>
    </row>
    <row r="15545" spans="1:1" x14ac:dyDescent="0.3">
      <c r="A15545" t="s">
        <v>0</v>
      </c>
    </row>
    <row r="15546" spans="1:1" x14ac:dyDescent="0.3">
      <c r="A15546" t="s">
        <v>0</v>
      </c>
    </row>
    <row r="15547" spans="1:1" x14ac:dyDescent="0.3">
      <c r="A15547" t="s">
        <v>0</v>
      </c>
    </row>
    <row r="15548" spans="1:1" x14ac:dyDescent="0.3">
      <c r="A15548" t="s">
        <v>0</v>
      </c>
    </row>
    <row r="15549" spans="1:1" x14ac:dyDescent="0.3">
      <c r="A15549" t="s">
        <v>0</v>
      </c>
    </row>
    <row r="15550" spans="1:1" x14ac:dyDescent="0.3">
      <c r="A15550" t="s">
        <v>0</v>
      </c>
    </row>
    <row r="15551" spans="1:1" x14ac:dyDescent="0.3">
      <c r="A15551" t="s">
        <v>0</v>
      </c>
    </row>
    <row r="15552" spans="1:1" x14ac:dyDescent="0.3">
      <c r="A15552" t="s">
        <v>0</v>
      </c>
    </row>
    <row r="15553" spans="1:1" x14ac:dyDescent="0.3">
      <c r="A15553" t="s">
        <v>0</v>
      </c>
    </row>
    <row r="15554" spans="1:1" x14ac:dyDescent="0.3">
      <c r="A15554" t="s">
        <v>0</v>
      </c>
    </row>
    <row r="15555" spans="1:1" x14ac:dyDescent="0.3">
      <c r="A15555" t="s">
        <v>0</v>
      </c>
    </row>
    <row r="15556" spans="1:1" x14ac:dyDescent="0.3">
      <c r="A15556" t="s">
        <v>0</v>
      </c>
    </row>
    <row r="15557" spans="1:1" x14ac:dyDescent="0.3">
      <c r="A15557" t="s">
        <v>0</v>
      </c>
    </row>
    <row r="15558" spans="1:1" x14ac:dyDescent="0.3">
      <c r="A15558" t="s">
        <v>0</v>
      </c>
    </row>
    <row r="15559" spans="1:1" x14ac:dyDescent="0.3">
      <c r="A15559" t="s">
        <v>0</v>
      </c>
    </row>
    <row r="15560" spans="1:1" x14ac:dyDescent="0.3">
      <c r="A15560" t="s">
        <v>0</v>
      </c>
    </row>
    <row r="15561" spans="1:1" x14ac:dyDescent="0.3">
      <c r="A15561" t="s">
        <v>0</v>
      </c>
    </row>
    <row r="15562" spans="1:1" x14ac:dyDescent="0.3">
      <c r="A15562" t="s">
        <v>0</v>
      </c>
    </row>
    <row r="15563" spans="1:1" x14ac:dyDescent="0.3">
      <c r="A15563" t="s">
        <v>0</v>
      </c>
    </row>
    <row r="15564" spans="1:1" x14ac:dyDescent="0.3">
      <c r="A15564" t="s">
        <v>0</v>
      </c>
    </row>
    <row r="15565" spans="1:1" x14ac:dyDescent="0.3">
      <c r="A15565" t="s">
        <v>0</v>
      </c>
    </row>
    <row r="15566" spans="1:1" x14ac:dyDescent="0.3">
      <c r="A15566" t="s">
        <v>0</v>
      </c>
    </row>
    <row r="15567" spans="1:1" x14ac:dyDescent="0.3">
      <c r="A15567" t="s">
        <v>0</v>
      </c>
    </row>
    <row r="15568" spans="1:1" x14ac:dyDescent="0.3">
      <c r="A15568" t="s">
        <v>0</v>
      </c>
    </row>
    <row r="15569" spans="1:1" x14ac:dyDescent="0.3">
      <c r="A15569" t="s">
        <v>0</v>
      </c>
    </row>
    <row r="15570" spans="1:1" x14ac:dyDescent="0.3">
      <c r="A15570" t="s">
        <v>0</v>
      </c>
    </row>
    <row r="15571" spans="1:1" x14ac:dyDescent="0.3">
      <c r="A15571" t="s">
        <v>0</v>
      </c>
    </row>
    <row r="15572" spans="1:1" x14ac:dyDescent="0.3">
      <c r="A15572" t="s">
        <v>0</v>
      </c>
    </row>
    <row r="15573" spans="1:1" x14ac:dyDescent="0.3">
      <c r="A15573" t="s">
        <v>0</v>
      </c>
    </row>
    <row r="15574" spans="1:1" x14ac:dyDescent="0.3">
      <c r="A15574" t="s">
        <v>0</v>
      </c>
    </row>
    <row r="15575" spans="1:1" x14ac:dyDescent="0.3">
      <c r="A15575" t="s">
        <v>0</v>
      </c>
    </row>
    <row r="15576" spans="1:1" x14ac:dyDescent="0.3">
      <c r="A15576" t="s">
        <v>0</v>
      </c>
    </row>
    <row r="15577" spans="1:1" x14ac:dyDescent="0.3">
      <c r="A15577" t="s">
        <v>0</v>
      </c>
    </row>
    <row r="15578" spans="1:1" x14ac:dyDescent="0.3">
      <c r="A15578" t="s">
        <v>0</v>
      </c>
    </row>
    <row r="15579" spans="1:1" x14ac:dyDescent="0.3">
      <c r="A15579" t="s">
        <v>0</v>
      </c>
    </row>
    <row r="15580" spans="1:1" x14ac:dyDescent="0.3">
      <c r="A15580" t="s">
        <v>0</v>
      </c>
    </row>
    <row r="15581" spans="1:1" x14ac:dyDescent="0.3">
      <c r="A15581" t="s">
        <v>0</v>
      </c>
    </row>
    <row r="15582" spans="1:1" x14ac:dyDescent="0.3">
      <c r="A15582" t="s">
        <v>0</v>
      </c>
    </row>
    <row r="15583" spans="1:1" x14ac:dyDescent="0.3">
      <c r="A15583" t="s">
        <v>0</v>
      </c>
    </row>
    <row r="15584" spans="1:1" x14ac:dyDescent="0.3">
      <c r="A15584" t="s">
        <v>0</v>
      </c>
    </row>
    <row r="15585" spans="1:1" x14ac:dyDescent="0.3">
      <c r="A15585" t="s">
        <v>0</v>
      </c>
    </row>
    <row r="15586" spans="1:1" x14ac:dyDescent="0.3">
      <c r="A15586" t="s">
        <v>0</v>
      </c>
    </row>
    <row r="15587" spans="1:1" x14ac:dyDescent="0.3">
      <c r="A15587" t="s">
        <v>0</v>
      </c>
    </row>
    <row r="15588" spans="1:1" x14ac:dyDescent="0.3">
      <c r="A15588" t="s">
        <v>0</v>
      </c>
    </row>
    <row r="15589" spans="1:1" x14ac:dyDescent="0.3">
      <c r="A15589" t="s">
        <v>0</v>
      </c>
    </row>
    <row r="15590" spans="1:1" x14ac:dyDescent="0.3">
      <c r="A15590" t="s">
        <v>0</v>
      </c>
    </row>
    <row r="15591" spans="1:1" x14ac:dyDescent="0.3">
      <c r="A15591" t="s">
        <v>0</v>
      </c>
    </row>
    <row r="15592" spans="1:1" x14ac:dyDescent="0.3">
      <c r="A15592" t="s">
        <v>0</v>
      </c>
    </row>
    <row r="15593" spans="1:1" x14ac:dyDescent="0.3">
      <c r="A15593" t="s">
        <v>0</v>
      </c>
    </row>
    <row r="15594" spans="1:1" x14ac:dyDescent="0.3">
      <c r="A15594" t="s">
        <v>0</v>
      </c>
    </row>
    <row r="15595" spans="1:1" x14ac:dyDescent="0.3">
      <c r="A15595" t="s">
        <v>0</v>
      </c>
    </row>
    <row r="15596" spans="1:1" x14ac:dyDescent="0.3">
      <c r="A15596" t="s">
        <v>0</v>
      </c>
    </row>
    <row r="15597" spans="1:1" x14ac:dyDescent="0.3">
      <c r="A15597" t="s">
        <v>0</v>
      </c>
    </row>
    <row r="15598" spans="1:1" x14ac:dyDescent="0.3">
      <c r="A15598" t="s">
        <v>0</v>
      </c>
    </row>
    <row r="15599" spans="1:1" x14ac:dyDescent="0.3">
      <c r="A15599" t="s">
        <v>0</v>
      </c>
    </row>
    <row r="15600" spans="1:1" x14ac:dyDescent="0.3">
      <c r="A15600" t="s">
        <v>0</v>
      </c>
    </row>
    <row r="15601" spans="1:1" x14ac:dyDescent="0.3">
      <c r="A15601" t="s">
        <v>0</v>
      </c>
    </row>
    <row r="15602" spans="1:1" x14ac:dyDescent="0.3">
      <c r="A15602" t="s">
        <v>0</v>
      </c>
    </row>
    <row r="15603" spans="1:1" x14ac:dyDescent="0.3">
      <c r="A15603" t="s">
        <v>0</v>
      </c>
    </row>
    <row r="15604" spans="1:1" x14ac:dyDescent="0.3">
      <c r="A15604" t="s">
        <v>0</v>
      </c>
    </row>
    <row r="15605" spans="1:1" x14ac:dyDescent="0.3">
      <c r="A15605" t="s">
        <v>0</v>
      </c>
    </row>
    <row r="15606" spans="1:1" x14ac:dyDescent="0.3">
      <c r="A15606" t="s">
        <v>0</v>
      </c>
    </row>
    <row r="15607" spans="1:1" x14ac:dyDescent="0.3">
      <c r="A15607" t="s">
        <v>0</v>
      </c>
    </row>
    <row r="15608" spans="1:1" x14ac:dyDescent="0.3">
      <c r="A15608" t="s">
        <v>0</v>
      </c>
    </row>
    <row r="15609" spans="1:1" x14ac:dyDescent="0.3">
      <c r="A15609" t="s">
        <v>0</v>
      </c>
    </row>
    <row r="15610" spans="1:1" x14ac:dyDescent="0.3">
      <c r="A15610" t="s">
        <v>0</v>
      </c>
    </row>
    <row r="15611" spans="1:1" x14ac:dyDescent="0.3">
      <c r="A15611" t="s">
        <v>0</v>
      </c>
    </row>
    <row r="15612" spans="1:1" x14ac:dyDescent="0.3">
      <c r="A15612" t="s">
        <v>0</v>
      </c>
    </row>
    <row r="15613" spans="1:1" x14ac:dyDescent="0.3">
      <c r="A15613" t="s">
        <v>0</v>
      </c>
    </row>
    <row r="15614" spans="1:1" x14ac:dyDescent="0.3">
      <c r="A15614" t="s">
        <v>0</v>
      </c>
    </row>
    <row r="15615" spans="1:1" x14ac:dyDescent="0.3">
      <c r="A15615" t="s">
        <v>0</v>
      </c>
    </row>
    <row r="15616" spans="1:1" x14ac:dyDescent="0.3">
      <c r="A15616" t="s">
        <v>0</v>
      </c>
    </row>
    <row r="15617" spans="1:1" x14ac:dyDescent="0.3">
      <c r="A15617" t="s">
        <v>0</v>
      </c>
    </row>
    <row r="15618" spans="1:1" x14ac:dyDescent="0.3">
      <c r="A15618" t="s">
        <v>0</v>
      </c>
    </row>
    <row r="15619" spans="1:1" x14ac:dyDescent="0.3">
      <c r="A15619" t="s">
        <v>0</v>
      </c>
    </row>
    <row r="15620" spans="1:1" x14ac:dyDescent="0.3">
      <c r="A15620" t="s">
        <v>0</v>
      </c>
    </row>
    <row r="15621" spans="1:1" x14ac:dyDescent="0.3">
      <c r="A15621" t="s">
        <v>0</v>
      </c>
    </row>
    <row r="15622" spans="1:1" x14ac:dyDescent="0.3">
      <c r="A15622" t="s">
        <v>0</v>
      </c>
    </row>
    <row r="15623" spans="1:1" x14ac:dyDescent="0.3">
      <c r="A15623" t="s">
        <v>0</v>
      </c>
    </row>
    <row r="15624" spans="1:1" x14ac:dyDescent="0.3">
      <c r="A15624" t="s">
        <v>0</v>
      </c>
    </row>
    <row r="15625" spans="1:1" x14ac:dyDescent="0.3">
      <c r="A15625" t="s">
        <v>0</v>
      </c>
    </row>
    <row r="15626" spans="1:1" x14ac:dyDescent="0.3">
      <c r="A15626" t="s">
        <v>0</v>
      </c>
    </row>
    <row r="15627" spans="1:1" x14ac:dyDescent="0.3">
      <c r="A15627" t="s">
        <v>0</v>
      </c>
    </row>
    <row r="15628" spans="1:1" x14ac:dyDescent="0.3">
      <c r="A15628" t="s">
        <v>0</v>
      </c>
    </row>
    <row r="15629" spans="1:1" x14ac:dyDescent="0.3">
      <c r="A15629" t="s">
        <v>0</v>
      </c>
    </row>
    <row r="15630" spans="1:1" x14ac:dyDescent="0.3">
      <c r="A15630" t="s">
        <v>0</v>
      </c>
    </row>
    <row r="15631" spans="1:1" x14ac:dyDescent="0.3">
      <c r="A15631" t="s">
        <v>0</v>
      </c>
    </row>
    <row r="15632" spans="1:1" x14ac:dyDescent="0.3">
      <c r="A15632" t="s">
        <v>0</v>
      </c>
    </row>
    <row r="15633" spans="1:1" x14ac:dyDescent="0.3">
      <c r="A15633" t="s">
        <v>0</v>
      </c>
    </row>
    <row r="15634" spans="1:1" x14ac:dyDescent="0.3">
      <c r="A15634" t="s">
        <v>0</v>
      </c>
    </row>
    <row r="15635" spans="1:1" x14ac:dyDescent="0.3">
      <c r="A15635" t="s">
        <v>0</v>
      </c>
    </row>
    <row r="15636" spans="1:1" x14ac:dyDescent="0.3">
      <c r="A15636" t="s">
        <v>0</v>
      </c>
    </row>
    <row r="15637" spans="1:1" x14ac:dyDescent="0.3">
      <c r="A15637" t="s">
        <v>0</v>
      </c>
    </row>
    <row r="15638" spans="1:1" x14ac:dyDescent="0.3">
      <c r="A15638" t="s">
        <v>0</v>
      </c>
    </row>
    <row r="15639" spans="1:1" x14ac:dyDescent="0.3">
      <c r="A15639" t="s">
        <v>0</v>
      </c>
    </row>
    <row r="15640" spans="1:1" x14ac:dyDescent="0.3">
      <c r="A15640" t="s">
        <v>0</v>
      </c>
    </row>
    <row r="15641" spans="1:1" x14ac:dyDescent="0.3">
      <c r="A15641" t="s">
        <v>0</v>
      </c>
    </row>
    <row r="15642" spans="1:1" x14ac:dyDescent="0.3">
      <c r="A15642" t="s">
        <v>0</v>
      </c>
    </row>
    <row r="15643" spans="1:1" x14ac:dyDescent="0.3">
      <c r="A15643" t="s">
        <v>0</v>
      </c>
    </row>
    <row r="15644" spans="1:1" x14ac:dyDescent="0.3">
      <c r="A15644" t="s">
        <v>0</v>
      </c>
    </row>
    <row r="15645" spans="1:1" x14ac:dyDescent="0.3">
      <c r="A15645" t="s">
        <v>0</v>
      </c>
    </row>
    <row r="15646" spans="1:1" x14ac:dyDescent="0.3">
      <c r="A15646" t="s">
        <v>0</v>
      </c>
    </row>
    <row r="15647" spans="1:1" x14ac:dyDescent="0.3">
      <c r="A15647" t="s">
        <v>0</v>
      </c>
    </row>
    <row r="15648" spans="1:1" x14ac:dyDescent="0.3">
      <c r="A15648" t="s">
        <v>0</v>
      </c>
    </row>
    <row r="15649" spans="1:1" x14ac:dyDescent="0.3">
      <c r="A15649" t="s">
        <v>0</v>
      </c>
    </row>
    <row r="15650" spans="1:1" x14ac:dyDescent="0.3">
      <c r="A15650" t="s">
        <v>0</v>
      </c>
    </row>
    <row r="15651" spans="1:1" x14ac:dyDescent="0.3">
      <c r="A15651" t="s">
        <v>0</v>
      </c>
    </row>
    <row r="15652" spans="1:1" x14ac:dyDescent="0.3">
      <c r="A15652" t="s">
        <v>0</v>
      </c>
    </row>
    <row r="15653" spans="1:1" x14ac:dyDescent="0.3">
      <c r="A15653" t="s">
        <v>0</v>
      </c>
    </row>
    <row r="15654" spans="1:1" x14ac:dyDescent="0.3">
      <c r="A15654" t="s">
        <v>0</v>
      </c>
    </row>
    <row r="15655" spans="1:1" x14ac:dyDescent="0.3">
      <c r="A15655" t="s">
        <v>0</v>
      </c>
    </row>
    <row r="15656" spans="1:1" x14ac:dyDescent="0.3">
      <c r="A15656" t="s">
        <v>0</v>
      </c>
    </row>
    <row r="15657" spans="1:1" x14ac:dyDescent="0.3">
      <c r="A15657" t="s">
        <v>0</v>
      </c>
    </row>
    <row r="15658" spans="1:1" x14ac:dyDescent="0.3">
      <c r="A15658" t="s">
        <v>0</v>
      </c>
    </row>
    <row r="15659" spans="1:1" x14ac:dyDescent="0.3">
      <c r="A15659" t="s">
        <v>0</v>
      </c>
    </row>
    <row r="15660" spans="1:1" x14ac:dyDescent="0.3">
      <c r="A15660" t="s">
        <v>0</v>
      </c>
    </row>
    <row r="15661" spans="1:1" x14ac:dyDescent="0.3">
      <c r="A15661" t="s">
        <v>0</v>
      </c>
    </row>
    <row r="15662" spans="1:1" x14ac:dyDescent="0.3">
      <c r="A15662" t="s">
        <v>0</v>
      </c>
    </row>
    <row r="15663" spans="1:1" x14ac:dyDescent="0.3">
      <c r="A15663" t="s">
        <v>0</v>
      </c>
    </row>
    <row r="15664" spans="1:1" x14ac:dyDescent="0.3">
      <c r="A15664" t="s">
        <v>0</v>
      </c>
    </row>
    <row r="15665" spans="1:1" x14ac:dyDescent="0.3">
      <c r="A15665" t="s">
        <v>0</v>
      </c>
    </row>
    <row r="15666" spans="1:1" x14ac:dyDescent="0.3">
      <c r="A15666" t="s">
        <v>0</v>
      </c>
    </row>
    <row r="15667" spans="1:1" x14ac:dyDescent="0.3">
      <c r="A15667" t="s">
        <v>0</v>
      </c>
    </row>
    <row r="15668" spans="1:1" x14ac:dyDescent="0.3">
      <c r="A15668" t="s">
        <v>0</v>
      </c>
    </row>
    <row r="15669" spans="1:1" x14ac:dyDescent="0.3">
      <c r="A15669" t="s">
        <v>0</v>
      </c>
    </row>
    <row r="15670" spans="1:1" x14ac:dyDescent="0.3">
      <c r="A15670" t="s">
        <v>0</v>
      </c>
    </row>
    <row r="15671" spans="1:1" x14ac:dyDescent="0.3">
      <c r="A15671" t="s">
        <v>0</v>
      </c>
    </row>
    <row r="15672" spans="1:1" x14ac:dyDescent="0.3">
      <c r="A15672" t="s">
        <v>0</v>
      </c>
    </row>
    <row r="15673" spans="1:1" x14ac:dyDescent="0.3">
      <c r="A15673" t="s">
        <v>0</v>
      </c>
    </row>
    <row r="15674" spans="1:1" x14ac:dyDescent="0.3">
      <c r="A15674" t="s">
        <v>0</v>
      </c>
    </row>
    <row r="15675" spans="1:1" x14ac:dyDescent="0.3">
      <c r="A15675" t="s">
        <v>0</v>
      </c>
    </row>
    <row r="15676" spans="1:1" x14ac:dyDescent="0.3">
      <c r="A15676" t="s">
        <v>0</v>
      </c>
    </row>
    <row r="15677" spans="1:1" x14ac:dyDescent="0.3">
      <c r="A15677" t="s">
        <v>0</v>
      </c>
    </row>
    <row r="15678" spans="1:1" x14ac:dyDescent="0.3">
      <c r="A15678" t="s">
        <v>0</v>
      </c>
    </row>
    <row r="15679" spans="1:1" x14ac:dyDescent="0.3">
      <c r="A15679" t="s">
        <v>0</v>
      </c>
    </row>
    <row r="15680" spans="1:1" x14ac:dyDescent="0.3">
      <c r="A15680" t="s">
        <v>0</v>
      </c>
    </row>
    <row r="15681" spans="1:1" x14ac:dyDescent="0.3">
      <c r="A15681" t="s">
        <v>0</v>
      </c>
    </row>
    <row r="15682" spans="1:1" x14ac:dyDescent="0.3">
      <c r="A15682" t="s">
        <v>0</v>
      </c>
    </row>
    <row r="15683" spans="1:1" x14ac:dyDescent="0.3">
      <c r="A15683" t="s">
        <v>0</v>
      </c>
    </row>
    <row r="15684" spans="1:1" x14ac:dyDescent="0.3">
      <c r="A15684" t="s">
        <v>0</v>
      </c>
    </row>
    <row r="15685" spans="1:1" x14ac:dyDescent="0.3">
      <c r="A15685" t="s">
        <v>0</v>
      </c>
    </row>
    <row r="15686" spans="1:1" x14ac:dyDescent="0.3">
      <c r="A15686" t="s">
        <v>0</v>
      </c>
    </row>
    <row r="15687" spans="1:1" x14ac:dyDescent="0.3">
      <c r="A15687" t="s">
        <v>0</v>
      </c>
    </row>
    <row r="15688" spans="1:1" x14ac:dyDescent="0.3">
      <c r="A15688" t="s">
        <v>0</v>
      </c>
    </row>
    <row r="15689" spans="1:1" x14ac:dyDescent="0.3">
      <c r="A15689" t="s">
        <v>0</v>
      </c>
    </row>
    <row r="15690" spans="1:1" x14ac:dyDescent="0.3">
      <c r="A15690" t="s">
        <v>0</v>
      </c>
    </row>
    <row r="15691" spans="1:1" x14ac:dyDescent="0.3">
      <c r="A15691" t="s">
        <v>0</v>
      </c>
    </row>
    <row r="15692" spans="1:1" x14ac:dyDescent="0.3">
      <c r="A15692" t="s">
        <v>0</v>
      </c>
    </row>
    <row r="15693" spans="1:1" x14ac:dyDescent="0.3">
      <c r="A15693" t="s">
        <v>0</v>
      </c>
    </row>
    <row r="15694" spans="1:1" x14ac:dyDescent="0.3">
      <c r="A15694" t="s">
        <v>0</v>
      </c>
    </row>
    <row r="15695" spans="1:1" x14ac:dyDescent="0.3">
      <c r="A15695" t="s">
        <v>0</v>
      </c>
    </row>
    <row r="15696" spans="1:1" x14ac:dyDescent="0.3">
      <c r="A15696" t="s">
        <v>0</v>
      </c>
    </row>
    <row r="15697" spans="1:1" x14ac:dyDescent="0.3">
      <c r="A15697" t="s">
        <v>0</v>
      </c>
    </row>
    <row r="15698" spans="1:1" x14ac:dyDescent="0.3">
      <c r="A15698" t="s">
        <v>0</v>
      </c>
    </row>
    <row r="15699" spans="1:1" x14ac:dyDescent="0.3">
      <c r="A15699" t="s">
        <v>0</v>
      </c>
    </row>
    <row r="15700" spans="1:1" x14ac:dyDescent="0.3">
      <c r="A15700" t="s">
        <v>0</v>
      </c>
    </row>
    <row r="15701" spans="1:1" x14ac:dyDescent="0.3">
      <c r="A15701" t="s">
        <v>0</v>
      </c>
    </row>
    <row r="15702" spans="1:1" x14ac:dyDescent="0.3">
      <c r="A15702" t="s">
        <v>0</v>
      </c>
    </row>
    <row r="15703" spans="1:1" x14ac:dyDescent="0.3">
      <c r="A15703" t="s">
        <v>0</v>
      </c>
    </row>
    <row r="15704" spans="1:1" x14ac:dyDescent="0.3">
      <c r="A15704" t="s">
        <v>0</v>
      </c>
    </row>
    <row r="15705" spans="1:1" x14ac:dyDescent="0.3">
      <c r="A15705" t="s">
        <v>0</v>
      </c>
    </row>
    <row r="15706" spans="1:1" x14ac:dyDescent="0.3">
      <c r="A15706" t="s">
        <v>0</v>
      </c>
    </row>
    <row r="15707" spans="1:1" x14ac:dyDescent="0.3">
      <c r="A15707" t="s">
        <v>0</v>
      </c>
    </row>
    <row r="15708" spans="1:1" x14ac:dyDescent="0.3">
      <c r="A15708" t="s">
        <v>0</v>
      </c>
    </row>
    <row r="15709" spans="1:1" x14ac:dyDescent="0.3">
      <c r="A15709" t="s">
        <v>0</v>
      </c>
    </row>
    <row r="15710" spans="1:1" x14ac:dyDescent="0.3">
      <c r="A15710" t="s">
        <v>0</v>
      </c>
    </row>
    <row r="15711" spans="1:1" x14ac:dyDescent="0.3">
      <c r="A15711" t="s">
        <v>0</v>
      </c>
    </row>
    <row r="15712" spans="1:1" x14ac:dyDescent="0.3">
      <c r="A15712" t="s">
        <v>0</v>
      </c>
    </row>
    <row r="15713" spans="1:1" x14ac:dyDescent="0.3">
      <c r="A15713" t="s">
        <v>0</v>
      </c>
    </row>
    <row r="15714" spans="1:1" x14ac:dyDescent="0.3">
      <c r="A15714" t="s">
        <v>0</v>
      </c>
    </row>
    <row r="15715" spans="1:1" x14ac:dyDescent="0.3">
      <c r="A15715" t="s">
        <v>0</v>
      </c>
    </row>
    <row r="15716" spans="1:1" x14ac:dyDescent="0.3">
      <c r="A15716" t="s">
        <v>0</v>
      </c>
    </row>
    <row r="15717" spans="1:1" x14ac:dyDescent="0.3">
      <c r="A15717" t="s">
        <v>0</v>
      </c>
    </row>
    <row r="15718" spans="1:1" x14ac:dyDescent="0.3">
      <c r="A15718" t="s">
        <v>0</v>
      </c>
    </row>
    <row r="15719" spans="1:1" x14ac:dyDescent="0.3">
      <c r="A15719" t="s">
        <v>0</v>
      </c>
    </row>
    <row r="15720" spans="1:1" x14ac:dyDescent="0.3">
      <c r="A15720" t="s">
        <v>0</v>
      </c>
    </row>
    <row r="15721" spans="1:1" x14ac:dyDescent="0.3">
      <c r="A15721" t="s">
        <v>0</v>
      </c>
    </row>
    <row r="15722" spans="1:1" x14ac:dyDescent="0.3">
      <c r="A15722" t="s">
        <v>0</v>
      </c>
    </row>
    <row r="15723" spans="1:1" x14ac:dyDescent="0.3">
      <c r="A15723" t="s">
        <v>0</v>
      </c>
    </row>
    <row r="15724" spans="1:1" x14ac:dyDescent="0.3">
      <c r="A15724" t="s">
        <v>0</v>
      </c>
    </row>
    <row r="15725" spans="1:1" x14ac:dyDescent="0.3">
      <c r="A15725" t="s">
        <v>0</v>
      </c>
    </row>
    <row r="15726" spans="1:1" x14ac:dyDescent="0.3">
      <c r="A15726" t="s">
        <v>0</v>
      </c>
    </row>
    <row r="15727" spans="1:1" x14ac:dyDescent="0.3">
      <c r="A15727" t="s">
        <v>0</v>
      </c>
    </row>
    <row r="15728" spans="1:1" x14ac:dyDescent="0.3">
      <c r="A15728" t="s">
        <v>0</v>
      </c>
    </row>
    <row r="15729" spans="1:1" x14ac:dyDescent="0.3">
      <c r="A15729" t="s">
        <v>0</v>
      </c>
    </row>
    <row r="15730" spans="1:1" x14ac:dyDescent="0.3">
      <c r="A15730" t="s">
        <v>0</v>
      </c>
    </row>
    <row r="15731" spans="1:1" x14ac:dyDescent="0.3">
      <c r="A15731" t="s">
        <v>0</v>
      </c>
    </row>
    <row r="15732" spans="1:1" x14ac:dyDescent="0.3">
      <c r="A15732" t="s">
        <v>0</v>
      </c>
    </row>
    <row r="15733" spans="1:1" x14ac:dyDescent="0.3">
      <c r="A15733" t="s">
        <v>0</v>
      </c>
    </row>
    <row r="15734" spans="1:1" x14ac:dyDescent="0.3">
      <c r="A15734" t="s">
        <v>0</v>
      </c>
    </row>
    <row r="15735" spans="1:1" x14ac:dyDescent="0.3">
      <c r="A15735" t="s">
        <v>0</v>
      </c>
    </row>
    <row r="15736" spans="1:1" x14ac:dyDescent="0.3">
      <c r="A15736" t="s">
        <v>0</v>
      </c>
    </row>
    <row r="15737" spans="1:1" x14ac:dyDescent="0.3">
      <c r="A15737" t="s">
        <v>0</v>
      </c>
    </row>
    <row r="15738" spans="1:1" x14ac:dyDescent="0.3">
      <c r="A15738" t="s">
        <v>0</v>
      </c>
    </row>
    <row r="15739" spans="1:1" x14ac:dyDescent="0.3">
      <c r="A15739" t="s">
        <v>0</v>
      </c>
    </row>
    <row r="15740" spans="1:1" x14ac:dyDescent="0.3">
      <c r="A15740" t="s">
        <v>0</v>
      </c>
    </row>
    <row r="15741" spans="1:1" x14ac:dyDescent="0.3">
      <c r="A15741" t="s">
        <v>0</v>
      </c>
    </row>
    <row r="15742" spans="1:1" x14ac:dyDescent="0.3">
      <c r="A15742" t="s">
        <v>0</v>
      </c>
    </row>
    <row r="15743" spans="1:1" x14ac:dyDescent="0.3">
      <c r="A15743" t="s">
        <v>0</v>
      </c>
    </row>
    <row r="15744" spans="1:1" x14ac:dyDescent="0.3">
      <c r="A15744" t="s">
        <v>0</v>
      </c>
    </row>
    <row r="15745" spans="1:1" x14ac:dyDescent="0.3">
      <c r="A15745" t="s">
        <v>0</v>
      </c>
    </row>
    <row r="15746" spans="1:1" x14ac:dyDescent="0.3">
      <c r="A15746" t="s">
        <v>0</v>
      </c>
    </row>
    <row r="15747" spans="1:1" x14ac:dyDescent="0.3">
      <c r="A15747" t="s">
        <v>0</v>
      </c>
    </row>
    <row r="15748" spans="1:1" x14ac:dyDescent="0.3">
      <c r="A15748" t="s">
        <v>0</v>
      </c>
    </row>
    <row r="15749" spans="1:1" x14ac:dyDescent="0.3">
      <c r="A15749" t="s">
        <v>0</v>
      </c>
    </row>
    <row r="15750" spans="1:1" x14ac:dyDescent="0.3">
      <c r="A15750" t="s">
        <v>0</v>
      </c>
    </row>
    <row r="15751" spans="1:1" x14ac:dyDescent="0.3">
      <c r="A15751" t="s">
        <v>0</v>
      </c>
    </row>
    <row r="15752" spans="1:1" x14ac:dyDescent="0.3">
      <c r="A15752" t="s">
        <v>0</v>
      </c>
    </row>
    <row r="15753" spans="1:1" x14ac:dyDescent="0.3">
      <c r="A15753" t="s">
        <v>0</v>
      </c>
    </row>
    <row r="15754" spans="1:1" x14ac:dyDescent="0.3">
      <c r="A15754" t="s">
        <v>0</v>
      </c>
    </row>
    <row r="15755" spans="1:1" x14ac:dyDescent="0.3">
      <c r="A15755" t="s">
        <v>0</v>
      </c>
    </row>
    <row r="15756" spans="1:1" x14ac:dyDescent="0.3">
      <c r="A15756" t="s">
        <v>0</v>
      </c>
    </row>
    <row r="15757" spans="1:1" x14ac:dyDescent="0.3">
      <c r="A15757" t="s">
        <v>0</v>
      </c>
    </row>
    <row r="15758" spans="1:1" x14ac:dyDescent="0.3">
      <c r="A15758" t="s">
        <v>0</v>
      </c>
    </row>
    <row r="15759" spans="1:1" x14ac:dyDescent="0.3">
      <c r="A15759" t="s">
        <v>0</v>
      </c>
    </row>
    <row r="15760" spans="1:1" x14ac:dyDescent="0.3">
      <c r="A15760" t="s">
        <v>0</v>
      </c>
    </row>
    <row r="15761" spans="1:1" x14ac:dyDescent="0.3">
      <c r="A15761" t="s">
        <v>0</v>
      </c>
    </row>
    <row r="15762" spans="1:1" x14ac:dyDescent="0.3">
      <c r="A15762" t="s">
        <v>0</v>
      </c>
    </row>
    <row r="15763" spans="1:1" x14ac:dyDescent="0.3">
      <c r="A15763" t="s">
        <v>0</v>
      </c>
    </row>
    <row r="15764" spans="1:1" x14ac:dyDescent="0.3">
      <c r="A15764" t="s">
        <v>0</v>
      </c>
    </row>
    <row r="15765" spans="1:1" x14ac:dyDescent="0.3">
      <c r="A15765" t="s">
        <v>0</v>
      </c>
    </row>
    <row r="15766" spans="1:1" x14ac:dyDescent="0.3">
      <c r="A15766" t="s">
        <v>0</v>
      </c>
    </row>
    <row r="15767" spans="1:1" x14ac:dyDescent="0.3">
      <c r="A15767" t="s">
        <v>0</v>
      </c>
    </row>
    <row r="15768" spans="1:1" x14ac:dyDescent="0.3">
      <c r="A15768" t="s">
        <v>0</v>
      </c>
    </row>
    <row r="15769" spans="1:1" x14ac:dyDescent="0.3">
      <c r="A15769" t="s">
        <v>0</v>
      </c>
    </row>
    <row r="15770" spans="1:1" x14ac:dyDescent="0.3">
      <c r="A15770" t="s">
        <v>0</v>
      </c>
    </row>
    <row r="15771" spans="1:1" x14ac:dyDescent="0.3">
      <c r="A15771" t="s">
        <v>0</v>
      </c>
    </row>
    <row r="15772" spans="1:1" x14ac:dyDescent="0.3">
      <c r="A15772" t="s">
        <v>0</v>
      </c>
    </row>
    <row r="15773" spans="1:1" x14ac:dyDescent="0.3">
      <c r="A15773" t="s">
        <v>0</v>
      </c>
    </row>
    <row r="15774" spans="1:1" x14ac:dyDescent="0.3">
      <c r="A15774" t="s">
        <v>0</v>
      </c>
    </row>
    <row r="15775" spans="1:1" x14ac:dyDescent="0.3">
      <c r="A15775" t="s">
        <v>0</v>
      </c>
    </row>
    <row r="15776" spans="1:1" x14ac:dyDescent="0.3">
      <c r="A15776" t="s">
        <v>0</v>
      </c>
    </row>
    <row r="15777" spans="1:1" x14ac:dyDescent="0.3">
      <c r="A15777" t="s">
        <v>0</v>
      </c>
    </row>
    <row r="15778" spans="1:1" x14ac:dyDescent="0.3">
      <c r="A15778" t="s">
        <v>0</v>
      </c>
    </row>
    <row r="15779" spans="1:1" x14ac:dyDescent="0.3">
      <c r="A15779" t="s">
        <v>0</v>
      </c>
    </row>
    <row r="15780" spans="1:1" x14ac:dyDescent="0.3">
      <c r="A15780" t="s">
        <v>0</v>
      </c>
    </row>
    <row r="15781" spans="1:1" x14ac:dyDescent="0.3">
      <c r="A15781" t="s">
        <v>0</v>
      </c>
    </row>
    <row r="15782" spans="1:1" x14ac:dyDescent="0.3">
      <c r="A15782" t="s">
        <v>0</v>
      </c>
    </row>
    <row r="15783" spans="1:1" x14ac:dyDescent="0.3">
      <c r="A15783" t="s">
        <v>0</v>
      </c>
    </row>
    <row r="15784" spans="1:1" x14ac:dyDescent="0.3">
      <c r="A15784" t="s">
        <v>0</v>
      </c>
    </row>
    <row r="15785" spans="1:1" x14ac:dyDescent="0.3">
      <c r="A15785" t="s">
        <v>0</v>
      </c>
    </row>
    <row r="15786" spans="1:1" x14ac:dyDescent="0.3">
      <c r="A15786" t="s">
        <v>0</v>
      </c>
    </row>
    <row r="15787" spans="1:1" x14ac:dyDescent="0.3">
      <c r="A15787" t="s">
        <v>0</v>
      </c>
    </row>
    <row r="15788" spans="1:1" x14ac:dyDescent="0.3">
      <c r="A15788" t="s">
        <v>0</v>
      </c>
    </row>
    <row r="15789" spans="1:1" x14ac:dyDescent="0.3">
      <c r="A15789" t="s">
        <v>0</v>
      </c>
    </row>
    <row r="15790" spans="1:1" x14ac:dyDescent="0.3">
      <c r="A15790" t="s">
        <v>0</v>
      </c>
    </row>
    <row r="15791" spans="1:1" x14ac:dyDescent="0.3">
      <c r="A15791" t="s">
        <v>0</v>
      </c>
    </row>
    <row r="15792" spans="1:1" x14ac:dyDescent="0.3">
      <c r="A15792" t="s">
        <v>0</v>
      </c>
    </row>
    <row r="15793" spans="1:1" x14ac:dyDescent="0.3">
      <c r="A15793" t="s">
        <v>0</v>
      </c>
    </row>
    <row r="15794" spans="1:1" x14ac:dyDescent="0.3">
      <c r="A15794" t="s">
        <v>0</v>
      </c>
    </row>
    <row r="15795" spans="1:1" x14ac:dyDescent="0.3">
      <c r="A15795" t="s">
        <v>0</v>
      </c>
    </row>
    <row r="15796" spans="1:1" x14ac:dyDescent="0.3">
      <c r="A15796" t="s">
        <v>0</v>
      </c>
    </row>
    <row r="15797" spans="1:1" x14ac:dyDescent="0.3">
      <c r="A15797" t="s">
        <v>0</v>
      </c>
    </row>
    <row r="15798" spans="1:1" x14ac:dyDescent="0.3">
      <c r="A15798" t="s">
        <v>0</v>
      </c>
    </row>
    <row r="15799" spans="1:1" x14ac:dyDescent="0.3">
      <c r="A15799" t="s">
        <v>0</v>
      </c>
    </row>
    <row r="15800" spans="1:1" x14ac:dyDescent="0.3">
      <c r="A15800" t="s">
        <v>0</v>
      </c>
    </row>
    <row r="15801" spans="1:1" x14ac:dyDescent="0.3">
      <c r="A15801" t="s">
        <v>0</v>
      </c>
    </row>
    <row r="15802" spans="1:1" x14ac:dyDescent="0.3">
      <c r="A15802" t="s">
        <v>0</v>
      </c>
    </row>
    <row r="15803" spans="1:1" x14ac:dyDescent="0.3">
      <c r="A15803" t="s">
        <v>0</v>
      </c>
    </row>
    <row r="15804" spans="1:1" x14ac:dyDescent="0.3">
      <c r="A15804" t="s">
        <v>0</v>
      </c>
    </row>
    <row r="15805" spans="1:1" x14ac:dyDescent="0.3">
      <c r="A15805" t="s">
        <v>0</v>
      </c>
    </row>
    <row r="15806" spans="1:1" x14ac:dyDescent="0.3">
      <c r="A15806" t="s">
        <v>0</v>
      </c>
    </row>
    <row r="15807" spans="1:1" x14ac:dyDescent="0.3">
      <c r="A15807" t="s">
        <v>0</v>
      </c>
    </row>
    <row r="15808" spans="1:1" x14ac:dyDescent="0.3">
      <c r="A15808" t="s">
        <v>0</v>
      </c>
    </row>
    <row r="15809" spans="1:1" x14ac:dyDescent="0.3">
      <c r="A15809" t="s">
        <v>0</v>
      </c>
    </row>
    <row r="15810" spans="1:1" x14ac:dyDescent="0.3">
      <c r="A15810" t="s">
        <v>0</v>
      </c>
    </row>
    <row r="15811" spans="1:1" x14ac:dyDescent="0.3">
      <c r="A15811" t="s">
        <v>0</v>
      </c>
    </row>
    <row r="15812" spans="1:1" x14ac:dyDescent="0.3">
      <c r="A15812" t="s">
        <v>0</v>
      </c>
    </row>
    <row r="15813" spans="1:1" x14ac:dyDescent="0.3">
      <c r="A15813" t="s">
        <v>0</v>
      </c>
    </row>
    <row r="15814" spans="1:1" x14ac:dyDescent="0.3">
      <c r="A15814" t="s">
        <v>0</v>
      </c>
    </row>
    <row r="15815" spans="1:1" x14ac:dyDescent="0.3">
      <c r="A15815" t="s">
        <v>0</v>
      </c>
    </row>
    <row r="15816" spans="1:1" x14ac:dyDescent="0.3">
      <c r="A15816" t="s">
        <v>0</v>
      </c>
    </row>
    <row r="15817" spans="1:1" x14ac:dyDescent="0.3">
      <c r="A15817" t="s">
        <v>0</v>
      </c>
    </row>
    <row r="15818" spans="1:1" x14ac:dyDescent="0.3">
      <c r="A15818" t="s">
        <v>0</v>
      </c>
    </row>
    <row r="15819" spans="1:1" x14ac:dyDescent="0.3">
      <c r="A15819" t="s">
        <v>0</v>
      </c>
    </row>
    <row r="15820" spans="1:1" x14ac:dyDescent="0.3">
      <c r="A15820" t="s">
        <v>0</v>
      </c>
    </row>
    <row r="15821" spans="1:1" x14ac:dyDescent="0.3">
      <c r="A15821" t="s">
        <v>0</v>
      </c>
    </row>
    <row r="15822" spans="1:1" x14ac:dyDescent="0.3">
      <c r="A15822" t="s">
        <v>0</v>
      </c>
    </row>
    <row r="15823" spans="1:1" x14ac:dyDescent="0.3">
      <c r="A15823" t="s">
        <v>0</v>
      </c>
    </row>
    <row r="15824" spans="1:1" x14ac:dyDescent="0.3">
      <c r="A15824" t="s">
        <v>0</v>
      </c>
    </row>
    <row r="15825" spans="1:1" x14ac:dyDescent="0.3">
      <c r="A15825" t="s">
        <v>0</v>
      </c>
    </row>
    <row r="15826" spans="1:1" x14ac:dyDescent="0.3">
      <c r="A15826" t="s">
        <v>0</v>
      </c>
    </row>
    <row r="15827" spans="1:1" x14ac:dyDescent="0.3">
      <c r="A15827" t="s">
        <v>0</v>
      </c>
    </row>
    <row r="15828" spans="1:1" x14ac:dyDescent="0.3">
      <c r="A15828" t="s">
        <v>0</v>
      </c>
    </row>
    <row r="15829" spans="1:1" x14ac:dyDescent="0.3">
      <c r="A15829" t="s">
        <v>0</v>
      </c>
    </row>
    <row r="15830" spans="1:1" x14ac:dyDescent="0.3">
      <c r="A15830" t="s">
        <v>0</v>
      </c>
    </row>
    <row r="15831" spans="1:1" x14ac:dyDescent="0.3">
      <c r="A15831" t="s">
        <v>0</v>
      </c>
    </row>
    <row r="15832" spans="1:1" x14ac:dyDescent="0.3">
      <c r="A15832" t="s">
        <v>0</v>
      </c>
    </row>
    <row r="15833" spans="1:1" x14ac:dyDescent="0.3">
      <c r="A15833" t="s">
        <v>0</v>
      </c>
    </row>
    <row r="15834" spans="1:1" x14ac:dyDescent="0.3">
      <c r="A15834" t="s">
        <v>0</v>
      </c>
    </row>
    <row r="15835" spans="1:1" x14ac:dyDescent="0.3">
      <c r="A15835" t="s">
        <v>0</v>
      </c>
    </row>
    <row r="15836" spans="1:1" x14ac:dyDescent="0.3">
      <c r="A15836" t="s">
        <v>0</v>
      </c>
    </row>
    <row r="15837" spans="1:1" x14ac:dyDescent="0.3">
      <c r="A15837" t="s">
        <v>0</v>
      </c>
    </row>
    <row r="15838" spans="1:1" x14ac:dyDescent="0.3">
      <c r="A15838" t="s">
        <v>0</v>
      </c>
    </row>
    <row r="15839" spans="1:1" x14ac:dyDescent="0.3">
      <c r="A15839" t="s">
        <v>0</v>
      </c>
    </row>
    <row r="15840" spans="1:1" x14ac:dyDescent="0.3">
      <c r="A15840" t="s">
        <v>0</v>
      </c>
    </row>
    <row r="15841" spans="1:1" x14ac:dyDescent="0.3">
      <c r="A15841" t="s">
        <v>0</v>
      </c>
    </row>
    <row r="15842" spans="1:1" x14ac:dyDescent="0.3">
      <c r="A15842" t="s">
        <v>0</v>
      </c>
    </row>
    <row r="15843" spans="1:1" x14ac:dyDescent="0.3">
      <c r="A15843" t="s">
        <v>0</v>
      </c>
    </row>
    <row r="15844" spans="1:1" x14ac:dyDescent="0.3">
      <c r="A15844" t="s">
        <v>0</v>
      </c>
    </row>
    <row r="15845" spans="1:1" x14ac:dyDescent="0.3">
      <c r="A15845" t="s">
        <v>0</v>
      </c>
    </row>
    <row r="15846" spans="1:1" x14ac:dyDescent="0.3">
      <c r="A15846" t="s">
        <v>0</v>
      </c>
    </row>
    <row r="15847" spans="1:1" x14ac:dyDescent="0.3">
      <c r="A15847" t="s">
        <v>0</v>
      </c>
    </row>
    <row r="15848" spans="1:1" x14ac:dyDescent="0.3">
      <c r="A15848" t="s">
        <v>0</v>
      </c>
    </row>
    <row r="15849" spans="1:1" x14ac:dyDescent="0.3">
      <c r="A15849" t="s">
        <v>0</v>
      </c>
    </row>
    <row r="15850" spans="1:1" x14ac:dyDescent="0.3">
      <c r="A15850" t="s">
        <v>0</v>
      </c>
    </row>
    <row r="15851" spans="1:1" x14ac:dyDescent="0.3">
      <c r="A15851" t="s">
        <v>0</v>
      </c>
    </row>
    <row r="15852" spans="1:1" x14ac:dyDescent="0.3">
      <c r="A15852" t="s">
        <v>0</v>
      </c>
    </row>
    <row r="15853" spans="1:1" x14ac:dyDescent="0.3">
      <c r="A15853" t="s">
        <v>0</v>
      </c>
    </row>
    <row r="15854" spans="1:1" x14ac:dyDescent="0.3">
      <c r="A15854" t="s">
        <v>0</v>
      </c>
    </row>
    <row r="15855" spans="1:1" x14ac:dyDescent="0.3">
      <c r="A15855" t="s">
        <v>0</v>
      </c>
    </row>
    <row r="15856" spans="1:1" x14ac:dyDescent="0.3">
      <c r="A15856" t="s">
        <v>0</v>
      </c>
    </row>
    <row r="15857" spans="1:1" x14ac:dyDescent="0.3">
      <c r="A15857" t="s">
        <v>0</v>
      </c>
    </row>
    <row r="15858" spans="1:1" x14ac:dyDescent="0.3">
      <c r="A15858" t="s">
        <v>0</v>
      </c>
    </row>
    <row r="15859" spans="1:1" x14ac:dyDescent="0.3">
      <c r="A15859" t="s">
        <v>0</v>
      </c>
    </row>
    <row r="15860" spans="1:1" x14ac:dyDescent="0.3">
      <c r="A15860" t="s">
        <v>0</v>
      </c>
    </row>
    <row r="15861" spans="1:1" x14ac:dyDescent="0.3">
      <c r="A15861" t="s">
        <v>0</v>
      </c>
    </row>
    <row r="15862" spans="1:1" x14ac:dyDescent="0.3">
      <c r="A15862" t="s">
        <v>0</v>
      </c>
    </row>
    <row r="15863" spans="1:1" x14ac:dyDescent="0.3">
      <c r="A15863" t="s">
        <v>0</v>
      </c>
    </row>
    <row r="15864" spans="1:1" x14ac:dyDescent="0.3">
      <c r="A15864" t="s">
        <v>0</v>
      </c>
    </row>
    <row r="15865" spans="1:1" x14ac:dyDescent="0.3">
      <c r="A15865" t="s">
        <v>0</v>
      </c>
    </row>
    <row r="15866" spans="1:1" x14ac:dyDescent="0.3">
      <c r="A15866" t="s">
        <v>0</v>
      </c>
    </row>
    <row r="15867" spans="1:1" x14ac:dyDescent="0.3">
      <c r="A15867" t="s">
        <v>0</v>
      </c>
    </row>
    <row r="15868" spans="1:1" x14ac:dyDescent="0.3">
      <c r="A15868" t="s">
        <v>0</v>
      </c>
    </row>
    <row r="15869" spans="1:1" x14ac:dyDescent="0.3">
      <c r="A15869" t="s">
        <v>0</v>
      </c>
    </row>
    <row r="15870" spans="1:1" x14ac:dyDescent="0.3">
      <c r="A15870" t="s">
        <v>0</v>
      </c>
    </row>
    <row r="15871" spans="1:1" x14ac:dyDescent="0.3">
      <c r="A15871" t="s">
        <v>0</v>
      </c>
    </row>
    <row r="15872" spans="1:1" x14ac:dyDescent="0.3">
      <c r="A15872" t="s">
        <v>0</v>
      </c>
    </row>
    <row r="15873" spans="1:1" x14ac:dyDescent="0.3">
      <c r="A15873" t="s">
        <v>0</v>
      </c>
    </row>
    <row r="15874" spans="1:1" x14ac:dyDescent="0.3">
      <c r="A15874" t="s">
        <v>0</v>
      </c>
    </row>
    <row r="15875" spans="1:1" x14ac:dyDescent="0.3">
      <c r="A15875" t="s">
        <v>0</v>
      </c>
    </row>
    <row r="15876" spans="1:1" x14ac:dyDescent="0.3">
      <c r="A15876" t="s">
        <v>0</v>
      </c>
    </row>
    <row r="15877" spans="1:1" x14ac:dyDescent="0.3">
      <c r="A15877" t="s">
        <v>0</v>
      </c>
    </row>
    <row r="15878" spans="1:1" x14ac:dyDescent="0.3">
      <c r="A15878" t="s">
        <v>0</v>
      </c>
    </row>
    <row r="15879" spans="1:1" x14ac:dyDescent="0.3">
      <c r="A15879" t="s">
        <v>0</v>
      </c>
    </row>
    <row r="15880" spans="1:1" x14ac:dyDescent="0.3">
      <c r="A15880" t="s">
        <v>0</v>
      </c>
    </row>
    <row r="15881" spans="1:1" x14ac:dyDescent="0.3">
      <c r="A15881" t="s">
        <v>0</v>
      </c>
    </row>
    <row r="15882" spans="1:1" x14ac:dyDescent="0.3">
      <c r="A15882" t="s">
        <v>0</v>
      </c>
    </row>
    <row r="15883" spans="1:1" x14ac:dyDescent="0.3">
      <c r="A15883" t="s">
        <v>0</v>
      </c>
    </row>
    <row r="15884" spans="1:1" x14ac:dyDescent="0.3">
      <c r="A15884" t="s">
        <v>0</v>
      </c>
    </row>
    <row r="15885" spans="1:1" x14ac:dyDescent="0.3">
      <c r="A15885" t="s">
        <v>0</v>
      </c>
    </row>
    <row r="15886" spans="1:1" x14ac:dyDescent="0.3">
      <c r="A15886" t="s">
        <v>0</v>
      </c>
    </row>
    <row r="15887" spans="1:1" x14ac:dyDescent="0.3">
      <c r="A15887" t="s">
        <v>0</v>
      </c>
    </row>
    <row r="15888" spans="1:1" x14ac:dyDescent="0.3">
      <c r="A15888" t="s">
        <v>0</v>
      </c>
    </row>
    <row r="15889" spans="1:1" x14ac:dyDescent="0.3">
      <c r="A15889" t="s">
        <v>0</v>
      </c>
    </row>
    <row r="15890" spans="1:1" x14ac:dyDescent="0.3">
      <c r="A15890" t="s">
        <v>0</v>
      </c>
    </row>
    <row r="15891" spans="1:1" x14ac:dyDescent="0.3">
      <c r="A15891" t="s">
        <v>0</v>
      </c>
    </row>
    <row r="15892" spans="1:1" x14ac:dyDescent="0.3">
      <c r="A15892" t="s">
        <v>0</v>
      </c>
    </row>
    <row r="15893" spans="1:1" x14ac:dyDescent="0.3">
      <c r="A15893" t="s">
        <v>0</v>
      </c>
    </row>
    <row r="15894" spans="1:1" x14ac:dyDescent="0.3">
      <c r="A15894" t="s">
        <v>0</v>
      </c>
    </row>
    <row r="15895" spans="1:1" x14ac:dyDescent="0.3">
      <c r="A15895" t="s">
        <v>0</v>
      </c>
    </row>
    <row r="15896" spans="1:1" x14ac:dyDescent="0.3">
      <c r="A15896" t="s">
        <v>0</v>
      </c>
    </row>
    <row r="15897" spans="1:1" x14ac:dyDescent="0.3">
      <c r="A15897" t="s">
        <v>0</v>
      </c>
    </row>
    <row r="15898" spans="1:1" x14ac:dyDescent="0.3">
      <c r="A15898" t="s">
        <v>0</v>
      </c>
    </row>
    <row r="15899" spans="1:1" x14ac:dyDescent="0.3">
      <c r="A15899" t="s">
        <v>0</v>
      </c>
    </row>
    <row r="15900" spans="1:1" x14ac:dyDescent="0.3">
      <c r="A15900" t="s">
        <v>0</v>
      </c>
    </row>
    <row r="15901" spans="1:1" x14ac:dyDescent="0.3">
      <c r="A15901" t="s">
        <v>0</v>
      </c>
    </row>
    <row r="15902" spans="1:1" x14ac:dyDescent="0.3">
      <c r="A15902" t="s">
        <v>0</v>
      </c>
    </row>
    <row r="15903" spans="1:1" x14ac:dyDescent="0.3">
      <c r="A15903" t="s">
        <v>0</v>
      </c>
    </row>
    <row r="15904" spans="1:1" x14ac:dyDescent="0.3">
      <c r="A15904" t="s">
        <v>0</v>
      </c>
    </row>
    <row r="15905" spans="1:1" x14ac:dyDescent="0.3">
      <c r="A15905" t="s">
        <v>0</v>
      </c>
    </row>
    <row r="15906" spans="1:1" x14ac:dyDescent="0.3">
      <c r="A15906" t="s">
        <v>0</v>
      </c>
    </row>
    <row r="15907" spans="1:1" x14ac:dyDescent="0.3">
      <c r="A15907" t="s">
        <v>0</v>
      </c>
    </row>
    <row r="15908" spans="1:1" x14ac:dyDescent="0.3">
      <c r="A15908" t="s">
        <v>0</v>
      </c>
    </row>
    <row r="15909" spans="1:1" x14ac:dyDescent="0.3">
      <c r="A15909" t="s">
        <v>0</v>
      </c>
    </row>
    <row r="15910" spans="1:1" x14ac:dyDescent="0.3">
      <c r="A15910" t="s">
        <v>0</v>
      </c>
    </row>
    <row r="15911" spans="1:1" x14ac:dyDescent="0.3">
      <c r="A15911" t="s">
        <v>0</v>
      </c>
    </row>
    <row r="15912" spans="1:1" x14ac:dyDescent="0.3">
      <c r="A15912" t="s">
        <v>0</v>
      </c>
    </row>
    <row r="15913" spans="1:1" x14ac:dyDescent="0.3">
      <c r="A15913" t="s">
        <v>0</v>
      </c>
    </row>
    <row r="15914" spans="1:1" x14ac:dyDescent="0.3">
      <c r="A15914" t="s">
        <v>0</v>
      </c>
    </row>
    <row r="15915" spans="1:1" x14ac:dyDescent="0.3">
      <c r="A15915" t="s">
        <v>0</v>
      </c>
    </row>
    <row r="15916" spans="1:1" x14ac:dyDescent="0.3">
      <c r="A15916" t="s">
        <v>0</v>
      </c>
    </row>
    <row r="15917" spans="1:1" x14ac:dyDescent="0.3">
      <c r="A15917" t="s">
        <v>0</v>
      </c>
    </row>
    <row r="15918" spans="1:1" x14ac:dyDescent="0.3">
      <c r="A15918" t="s">
        <v>0</v>
      </c>
    </row>
    <row r="15919" spans="1:1" x14ac:dyDescent="0.3">
      <c r="A15919" t="s">
        <v>0</v>
      </c>
    </row>
    <row r="15920" spans="1:1" x14ac:dyDescent="0.3">
      <c r="A15920" t="s">
        <v>0</v>
      </c>
    </row>
    <row r="15921" spans="1:1" x14ac:dyDescent="0.3">
      <c r="A15921" t="s">
        <v>0</v>
      </c>
    </row>
    <row r="15922" spans="1:1" x14ac:dyDescent="0.3">
      <c r="A15922" t="s">
        <v>0</v>
      </c>
    </row>
    <row r="15923" spans="1:1" x14ac:dyDescent="0.3">
      <c r="A15923" t="s">
        <v>0</v>
      </c>
    </row>
    <row r="15924" spans="1:1" x14ac:dyDescent="0.3">
      <c r="A15924" t="s">
        <v>0</v>
      </c>
    </row>
    <row r="15925" spans="1:1" x14ac:dyDescent="0.3">
      <c r="A15925" t="s">
        <v>0</v>
      </c>
    </row>
    <row r="15926" spans="1:1" x14ac:dyDescent="0.3">
      <c r="A15926" t="s">
        <v>0</v>
      </c>
    </row>
    <row r="15927" spans="1:1" x14ac:dyDescent="0.3">
      <c r="A15927" t="s">
        <v>0</v>
      </c>
    </row>
    <row r="15928" spans="1:1" x14ac:dyDescent="0.3">
      <c r="A15928" t="s">
        <v>0</v>
      </c>
    </row>
    <row r="15929" spans="1:1" x14ac:dyDescent="0.3">
      <c r="A15929" t="s">
        <v>0</v>
      </c>
    </row>
    <row r="15930" spans="1:1" x14ac:dyDescent="0.3">
      <c r="A15930" t="s">
        <v>0</v>
      </c>
    </row>
    <row r="15931" spans="1:1" x14ac:dyDescent="0.3">
      <c r="A15931" t="s">
        <v>0</v>
      </c>
    </row>
    <row r="15932" spans="1:1" x14ac:dyDescent="0.3">
      <c r="A15932" t="s">
        <v>0</v>
      </c>
    </row>
    <row r="15933" spans="1:1" x14ac:dyDescent="0.3">
      <c r="A15933" t="s">
        <v>0</v>
      </c>
    </row>
    <row r="15934" spans="1:1" x14ac:dyDescent="0.3">
      <c r="A15934" t="s">
        <v>0</v>
      </c>
    </row>
    <row r="15935" spans="1:1" x14ac:dyDescent="0.3">
      <c r="A15935" t="s">
        <v>0</v>
      </c>
    </row>
    <row r="15936" spans="1:1" x14ac:dyDescent="0.3">
      <c r="A15936" t="s">
        <v>0</v>
      </c>
    </row>
    <row r="15937" spans="1:1" x14ac:dyDescent="0.3">
      <c r="A15937" t="s">
        <v>0</v>
      </c>
    </row>
    <row r="15938" spans="1:1" x14ac:dyDescent="0.3">
      <c r="A15938" t="s">
        <v>0</v>
      </c>
    </row>
    <row r="15939" spans="1:1" x14ac:dyDescent="0.3">
      <c r="A15939" t="s">
        <v>0</v>
      </c>
    </row>
    <row r="15940" spans="1:1" x14ac:dyDescent="0.3">
      <c r="A15940" t="s">
        <v>0</v>
      </c>
    </row>
    <row r="15941" spans="1:1" x14ac:dyDescent="0.3">
      <c r="A15941" t="s">
        <v>0</v>
      </c>
    </row>
    <row r="15942" spans="1:1" x14ac:dyDescent="0.3">
      <c r="A15942" t="s">
        <v>0</v>
      </c>
    </row>
    <row r="15943" spans="1:1" x14ac:dyDescent="0.3">
      <c r="A15943" t="s">
        <v>0</v>
      </c>
    </row>
    <row r="15944" spans="1:1" x14ac:dyDescent="0.3">
      <c r="A15944" t="s">
        <v>0</v>
      </c>
    </row>
    <row r="15945" spans="1:1" x14ac:dyDescent="0.3">
      <c r="A15945" t="s">
        <v>0</v>
      </c>
    </row>
    <row r="15946" spans="1:1" x14ac:dyDescent="0.3">
      <c r="A15946" t="s">
        <v>0</v>
      </c>
    </row>
    <row r="15947" spans="1:1" x14ac:dyDescent="0.3">
      <c r="A15947" t="s">
        <v>0</v>
      </c>
    </row>
    <row r="15948" spans="1:1" x14ac:dyDescent="0.3">
      <c r="A15948" t="s">
        <v>0</v>
      </c>
    </row>
    <row r="15949" spans="1:1" x14ac:dyDescent="0.3">
      <c r="A15949" t="s">
        <v>0</v>
      </c>
    </row>
    <row r="15950" spans="1:1" x14ac:dyDescent="0.3">
      <c r="A15950" t="s">
        <v>0</v>
      </c>
    </row>
    <row r="15951" spans="1:1" x14ac:dyDescent="0.3">
      <c r="A15951" t="s">
        <v>0</v>
      </c>
    </row>
    <row r="15952" spans="1:1" x14ac:dyDescent="0.3">
      <c r="A15952" t="s">
        <v>0</v>
      </c>
    </row>
    <row r="15953" spans="1:1" x14ac:dyDescent="0.3">
      <c r="A15953" t="s">
        <v>0</v>
      </c>
    </row>
    <row r="15954" spans="1:1" x14ac:dyDescent="0.3">
      <c r="A15954" t="s">
        <v>0</v>
      </c>
    </row>
    <row r="15955" spans="1:1" x14ac:dyDescent="0.3">
      <c r="A15955" t="s">
        <v>0</v>
      </c>
    </row>
    <row r="15956" spans="1:1" x14ac:dyDescent="0.3">
      <c r="A15956" t="s">
        <v>0</v>
      </c>
    </row>
    <row r="15957" spans="1:1" x14ac:dyDescent="0.3">
      <c r="A15957" t="s">
        <v>0</v>
      </c>
    </row>
    <row r="15958" spans="1:1" x14ac:dyDescent="0.3">
      <c r="A15958" t="s">
        <v>0</v>
      </c>
    </row>
    <row r="15959" spans="1:1" x14ac:dyDescent="0.3">
      <c r="A15959" t="s">
        <v>0</v>
      </c>
    </row>
    <row r="15960" spans="1:1" x14ac:dyDescent="0.3">
      <c r="A15960" t="s">
        <v>0</v>
      </c>
    </row>
    <row r="15961" spans="1:1" x14ac:dyDescent="0.3">
      <c r="A15961" t="s">
        <v>0</v>
      </c>
    </row>
    <row r="15962" spans="1:1" x14ac:dyDescent="0.3">
      <c r="A15962" t="s">
        <v>0</v>
      </c>
    </row>
    <row r="15963" spans="1:1" x14ac:dyDescent="0.3">
      <c r="A15963" t="s">
        <v>0</v>
      </c>
    </row>
    <row r="15964" spans="1:1" x14ac:dyDescent="0.3">
      <c r="A15964" t="s">
        <v>0</v>
      </c>
    </row>
    <row r="15965" spans="1:1" x14ac:dyDescent="0.3">
      <c r="A15965" t="s">
        <v>0</v>
      </c>
    </row>
    <row r="15966" spans="1:1" x14ac:dyDescent="0.3">
      <c r="A15966" t="s">
        <v>0</v>
      </c>
    </row>
    <row r="15967" spans="1:1" x14ac:dyDescent="0.3">
      <c r="A15967" t="s">
        <v>0</v>
      </c>
    </row>
    <row r="15968" spans="1:1" x14ac:dyDescent="0.3">
      <c r="A15968" t="s">
        <v>0</v>
      </c>
    </row>
    <row r="15969" spans="1:1" x14ac:dyDescent="0.3">
      <c r="A15969" t="s">
        <v>0</v>
      </c>
    </row>
    <row r="15970" spans="1:1" x14ac:dyDescent="0.3">
      <c r="A15970" t="s">
        <v>0</v>
      </c>
    </row>
    <row r="15971" spans="1:1" x14ac:dyDescent="0.3">
      <c r="A15971" t="s">
        <v>0</v>
      </c>
    </row>
    <row r="15972" spans="1:1" x14ac:dyDescent="0.3">
      <c r="A15972" t="s">
        <v>0</v>
      </c>
    </row>
    <row r="15973" spans="1:1" x14ac:dyDescent="0.3">
      <c r="A15973" t="s">
        <v>0</v>
      </c>
    </row>
    <row r="15974" spans="1:1" x14ac:dyDescent="0.3">
      <c r="A15974" t="s">
        <v>0</v>
      </c>
    </row>
    <row r="15975" spans="1:1" x14ac:dyDescent="0.3">
      <c r="A15975" t="s">
        <v>0</v>
      </c>
    </row>
    <row r="15976" spans="1:1" x14ac:dyDescent="0.3">
      <c r="A15976" t="s">
        <v>0</v>
      </c>
    </row>
    <row r="15977" spans="1:1" x14ac:dyDescent="0.3">
      <c r="A15977" t="s">
        <v>0</v>
      </c>
    </row>
    <row r="15978" spans="1:1" x14ac:dyDescent="0.3">
      <c r="A15978" t="s">
        <v>0</v>
      </c>
    </row>
    <row r="15979" spans="1:1" x14ac:dyDescent="0.3">
      <c r="A15979" t="s">
        <v>0</v>
      </c>
    </row>
    <row r="15980" spans="1:1" x14ac:dyDescent="0.3">
      <c r="A15980" t="s">
        <v>0</v>
      </c>
    </row>
    <row r="15981" spans="1:1" x14ac:dyDescent="0.3">
      <c r="A15981" t="s">
        <v>0</v>
      </c>
    </row>
    <row r="15982" spans="1:1" x14ac:dyDescent="0.3">
      <c r="A15982" t="s">
        <v>0</v>
      </c>
    </row>
    <row r="15983" spans="1:1" x14ac:dyDescent="0.3">
      <c r="A15983" t="s">
        <v>0</v>
      </c>
    </row>
    <row r="15984" spans="1:1" x14ac:dyDescent="0.3">
      <c r="A15984" t="s">
        <v>0</v>
      </c>
    </row>
    <row r="15985" spans="1:1" x14ac:dyDescent="0.3">
      <c r="A15985" t="s">
        <v>0</v>
      </c>
    </row>
    <row r="15986" spans="1:1" x14ac:dyDescent="0.3">
      <c r="A15986" t="s">
        <v>0</v>
      </c>
    </row>
    <row r="15987" spans="1:1" x14ac:dyDescent="0.3">
      <c r="A15987" t="s">
        <v>0</v>
      </c>
    </row>
    <row r="15988" spans="1:1" x14ac:dyDescent="0.3">
      <c r="A15988" t="s">
        <v>0</v>
      </c>
    </row>
    <row r="15989" spans="1:1" x14ac:dyDescent="0.3">
      <c r="A15989" t="s">
        <v>0</v>
      </c>
    </row>
    <row r="15990" spans="1:1" x14ac:dyDescent="0.3">
      <c r="A15990" t="s">
        <v>0</v>
      </c>
    </row>
    <row r="15991" spans="1:1" x14ac:dyDescent="0.3">
      <c r="A15991" t="s">
        <v>0</v>
      </c>
    </row>
    <row r="15992" spans="1:1" x14ac:dyDescent="0.3">
      <c r="A15992" t="s">
        <v>0</v>
      </c>
    </row>
    <row r="15993" spans="1:1" x14ac:dyDescent="0.3">
      <c r="A15993" t="s">
        <v>0</v>
      </c>
    </row>
    <row r="15994" spans="1:1" x14ac:dyDescent="0.3">
      <c r="A15994" t="s">
        <v>0</v>
      </c>
    </row>
    <row r="15995" spans="1:1" x14ac:dyDescent="0.3">
      <c r="A15995" t="s">
        <v>0</v>
      </c>
    </row>
    <row r="15996" spans="1:1" x14ac:dyDescent="0.3">
      <c r="A15996" t="s">
        <v>0</v>
      </c>
    </row>
    <row r="15997" spans="1:1" x14ac:dyDescent="0.3">
      <c r="A15997" t="s">
        <v>0</v>
      </c>
    </row>
    <row r="15998" spans="1:1" x14ac:dyDescent="0.3">
      <c r="A15998" t="s">
        <v>0</v>
      </c>
    </row>
    <row r="15999" spans="1:1" x14ac:dyDescent="0.3">
      <c r="A15999" t="s">
        <v>0</v>
      </c>
    </row>
    <row r="16000" spans="1:1" x14ac:dyDescent="0.3">
      <c r="A16000" t="s">
        <v>0</v>
      </c>
    </row>
    <row r="16001" spans="1:1" x14ac:dyDescent="0.3">
      <c r="A16001" t="s">
        <v>0</v>
      </c>
    </row>
    <row r="16002" spans="1:1" x14ac:dyDescent="0.3">
      <c r="A16002" t="s">
        <v>0</v>
      </c>
    </row>
    <row r="16003" spans="1:1" x14ac:dyDescent="0.3">
      <c r="A16003" t="s">
        <v>0</v>
      </c>
    </row>
    <row r="16004" spans="1:1" x14ac:dyDescent="0.3">
      <c r="A16004" t="s">
        <v>0</v>
      </c>
    </row>
    <row r="16005" spans="1:1" x14ac:dyDescent="0.3">
      <c r="A16005" t="s">
        <v>0</v>
      </c>
    </row>
    <row r="16006" spans="1:1" x14ac:dyDescent="0.3">
      <c r="A16006" t="s">
        <v>0</v>
      </c>
    </row>
    <row r="16007" spans="1:1" x14ac:dyDescent="0.3">
      <c r="A16007" t="s">
        <v>0</v>
      </c>
    </row>
    <row r="16008" spans="1:1" x14ac:dyDescent="0.3">
      <c r="A16008" t="s">
        <v>0</v>
      </c>
    </row>
    <row r="16009" spans="1:1" x14ac:dyDescent="0.3">
      <c r="A16009" t="s">
        <v>0</v>
      </c>
    </row>
    <row r="16010" spans="1:1" x14ac:dyDescent="0.3">
      <c r="A16010" t="s">
        <v>0</v>
      </c>
    </row>
    <row r="16011" spans="1:1" x14ac:dyDescent="0.3">
      <c r="A16011" t="s">
        <v>0</v>
      </c>
    </row>
    <row r="16012" spans="1:1" x14ac:dyDescent="0.3">
      <c r="A16012" t="s">
        <v>0</v>
      </c>
    </row>
    <row r="16013" spans="1:1" x14ac:dyDescent="0.3">
      <c r="A16013" t="s">
        <v>0</v>
      </c>
    </row>
    <row r="16014" spans="1:1" x14ac:dyDescent="0.3">
      <c r="A16014" t="s">
        <v>0</v>
      </c>
    </row>
    <row r="16015" spans="1:1" x14ac:dyDescent="0.3">
      <c r="A16015" t="s">
        <v>0</v>
      </c>
    </row>
    <row r="16016" spans="1:1" x14ac:dyDescent="0.3">
      <c r="A16016" t="s">
        <v>0</v>
      </c>
    </row>
    <row r="16017" spans="1:1" x14ac:dyDescent="0.3">
      <c r="A16017" t="s">
        <v>0</v>
      </c>
    </row>
    <row r="16018" spans="1:1" x14ac:dyDescent="0.3">
      <c r="A16018" t="s">
        <v>0</v>
      </c>
    </row>
    <row r="16019" spans="1:1" x14ac:dyDescent="0.3">
      <c r="A16019" t="s">
        <v>0</v>
      </c>
    </row>
    <row r="16020" spans="1:1" x14ac:dyDescent="0.3">
      <c r="A16020" t="s">
        <v>0</v>
      </c>
    </row>
    <row r="16021" spans="1:1" x14ac:dyDescent="0.3">
      <c r="A16021" t="s">
        <v>0</v>
      </c>
    </row>
    <row r="16022" spans="1:1" x14ac:dyDescent="0.3">
      <c r="A16022" t="s">
        <v>0</v>
      </c>
    </row>
    <row r="16023" spans="1:1" x14ac:dyDescent="0.3">
      <c r="A16023" t="s">
        <v>0</v>
      </c>
    </row>
    <row r="16024" spans="1:1" x14ac:dyDescent="0.3">
      <c r="A16024" t="s">
        <v>0</v>
      </c>
    </row>
    <row r="16025" spans="1:1" x14ac:dyDescent="0.3">
      <c r="A16025" t="s">
        <v>0</v>
      </c>
    </row>
    <row r="16026" spans="1:1" x14ac:dyDescent="0.3">
      <c r="A16026" t="s">
        <v>0</v>
      </c>
    </row>
    <row r="16027" spans="1:1" x14ac:dyDescent="0.3">
      <c r="A16027" t="s">
        <v>0</v>
      </c>
    </row>
    <row r="16028" spans="1:1" x14ac:dyDescent="0.3">
      <c r="A16028" t="s">
        <v>0</v>
      </c>
    </row>
    <row r="16029" spans="1:1" x14ac:dyDescent="0.3">
      <c r="A16029" t="s">
        <v>0</v>
      </c>
    </row>
    <row r="16030" spans="1:1" x14ac:dyDescent="0.3">
      <c r="A16030" t="s">
        <v>0</v>
      </c>
    </row>
    <row r="16031" spans="1:1" x14ac:dyDescent="0.3">
      <c r="A16031" t="s">
        <v>0</v>
      </c>
    </row>
    <row r="16032" spans="1:1" x14ac:dyDescent="0.3">
      <c r="A16032" t="s">
        <v>0</v>
      </c>
    </row>
    <row r="16033" spans="1:1" x14ac:dyDescent="0.3">
      <c r="A16033" t="s">
        <v>0</v>
      </c>
    </row>
    <row r="16034" spans="1:1" x14ac:dyDescent="0.3">
      <c r="A16034" t="s">
        <v>0</v>
      </c>
    </row>
    <row r="16035" spans="1:1" x14ac:dyDescent="0.3">
      <c r="A16035" t="s">
        <v>0</v>
      </c>
    </row>
    <row r="16036" spans="1:1" x14ac:dyDescent="0.3">
      <c r="A16036" t="s">
        <v>0</v>
      </c>
    </row>
    <row r="16037" spans="1:1" x14ac:dyDescent="0.3">
      <c r="A16037" t="s">
        <v>0</v>
      </c>
    </row>
    <row r="16038" spans="1:1" x14ac:dyDescent="0.3">
      <c r="A16038" t="s">
        <v>0</v>
      </c>
    </row>
    <row r="16039" spans="1:1" x14ac:dyDescent="0.3">
      <c r="A16039" t="s">
        <v>0</v>
      </c>
    </row>
    <row r="16040" spans="1:1" x14ac:dyDescent="0.3">
      <c r="A16040" t="s">
        <v>0</v>
      </c>
    </row>
    <row r="16041" spans="1:1" x14ac:dyDescent="0.3">
      <c r="A16041" t="s">
        <v>0</v>
      </c>
    </row>
    <row r="16042" spans="1:1" x14ac:dyDescent="0.3">
      <c r="A16042" t="s">
        <v>0</v>
      </c>
    </row>
    <row r="16043" spans="1:1" x14ac:dyDescent="0.3">
      <c r="A16043" t="s">
        <v>0</v>
      </c>
    </row>
    <row r="16044" spans="1:1" x14ac:dyDescent="0.3">
      <c r="A16044" t="s">
        <v>0</v>
      </c>
    </row>
    <row r="16045" spans="1:1" x14ac:dyDescent="0.3">
      <c r="A16045" t="s">
        <v>0</v>
      </c>
    </row>
    <row r="16046" spans="1:1" x14ac:dyDescent="0.3">
      <c r="A16046" t="s">
        <v>0</v>
      </c>
    </row>
    <row r="16047" spans="1:1" x14ac:dyDescent="0.3">
      <c r="A16047" t="s">
        <v>0</v>
      </c>
    </row>
    <row r="16048" spans="1:1" x14ac:dyDescent="0.3">
      <c r="A16048" t="s">
        <v>0</v>
      </c>
    </row>
    <row r="16049" spans="1:1" x14ac:dyDescent="0.3">
      <c r="A16049" t="s">
        <v>0</v>
      </c>
    </row>
    <row r="16050" spans="1:1" x14ac:dyDescent="0.3">
      <c r="A16050" t="s">
        <v>0</v>
      </c>
    </row>
    <row r="16051" spans="1:1" x14ac:dyDescent="0.3">
      <c r="A16051" t="s">
        <v>0</v>
      </c>
    </row>
    <row r="16052" spans="1:1" x14ac:dyDescent="0.3">
      <c r="A16052" t="s">
        <v>0</v>
      </c>
    </row>
    <row r="16053" spans="1:1" x14ac:dyDescent="0.3">
      <c r="A16053" t="s">
        <v>0</v>
      </c>
    </row>
    <row r="16054" spans="1:1" x14ac:dyDescent="0.3">
      <c r="A16054" t="s">
        <v>0</v>
      </c>
    </row>
    <row r="16055" spans="1:1" x14ac:dyDescent="0.3">
      <c r="A16055" t="s">
        <v>0</v>
      </c>
    </row>
    <row r="16056" spans="1:1" x14ac:dyDescent="0.3">
      <c r="A16056" t="s">
        <v>0</v>
      </c>
    </row>
    <row r="16057" spans="1:1" x14ac:dyDescent="0.3">
      <c r="A16057" t="s">
        <v>0</v>
      </c>
    </row>
    <row r="16058" spans="1:1" x14ac:dyDescent="0.3">
      <c r="A16058" t="s">
        <v>0</v>
      </c>
    </row>
    <row r="16059" spans="1:1" x14ac:dyDescent="0.3">
      <c r="A16059" t="s">
        <v>0</v>
      </c>
    </row>
    <row r="16060" spans="1:1" x14ac:dyDescent="0.3">
      <c r="A16060" t="s">
        <v>0</v>
      </c>
    </row>
    <row r="16061" spans="1:1" x14ac:dyDescent="0.3">
      <c r="A16061" t="s">
        <v>0</v>
      </c>
    </row>
    <row r="16062" spans="1:1" x14ac:dyDescent="0.3">
      <c r="A16062" t="s">
        <v>0</v>
      </c>
    </row>
    <row r="16063" spans="1:1" x14ac:dyDescent="0.3">
      <c r="A16063" t="s">
        <v>0</v>
      </c>
    </row>
    <row r="16064" spans="1:1" x14ac:dyDescent="0.3">
      <c r="A16064" t="s">
        <v>0</v>
      </c>
    </row>
    <row r="16065" spans="1:1" x14ac:dyDescent="0.3">
      <c r="A16065" t="s">
        <v>0</v>
      </c>
    </row>
    <row r="16066" spans="1:1" x14ac:dyDescent="0.3">
      <c r="A16066" t="s">
        <v>0</v>
      </c>
    </row>
    <row r="16067" spans="1:1" x14ac:dyDescent="0.3">
      <c r="A16067" t="s">
        <v>0</v>
      </c>
    </row>
    <row r="16068" spans="1:1" x14ac:dyDescent="0.3">
      <c r="A16068" t="s">
        <v>0</v>
      </c>
    </row>
    <row r="16069" spans="1:1" x14ac:dyDescent="0.3">
      <c r="A16069" t="s">
        <v>0</v>
      </c>
    </row>
    <row r="16070" spans="1:1" x14ac:dyDescent="0.3">
      <c r="A16070" t="s">
        <v>0</v>
      </c>
    </row>
    <row r="16071" spans="1:1" x14ac:dyDescent="0.3">
      <c r="A16071" t="s">
        <v>0</v>
      </c>
    </row>
    <row r="16072" spans="1:1" x14ac:dyDescent="0.3">
      <c r="A16072" t="s">
        <v>0</v>
      </c>
    </row>
    <row r="16073" spans="1:1" x14ac:dyDescent="0.3">
      <c r="A16073" t="s">
        <v>0</v>
      </c>
    </row>
    <row r="16074" spans="1:1" x14ac:dyDescent="0.3">
      <c r="A16074" t="s">
        <v>0</v>
      </c>
    </row>
    <row r="16075" spans="1:1" x14ac:dyDescent="0.3">
      <c r="A16075" t="s">
        <v>0</v>
      </c>
    </row>
    <row r="16076" spans="1:1" x14ac:dyDescent="0.3">
      <c r="A16076" t="s">
        <v>0</v>
      </c>
    </row>
    <row r="16077" spans="1:1" x14ac:dyDescent="0.3">
      <c r="A16077" t="s">
        <v>0</v>
      </c>
    </row>
    <row r="16078" spans="1:1" x14ac:dyDescent="0.3">
      <c r="A16078" t="s">
        <v>0</v>
      </c>
    </row>
    <row r="16079" spans="1:1" x14ac:dyDescent="0.3">
      <c r="A16079" t="s">
        <v>0</v>
      </c>
    </row>
    <row r="16080" spans="1:1" x14ac:dyDescent="0.3">
      <c r="A16080" t="s">
        <v>0</v>
      </c>
    </row>
    <row r="16081" spans="1:1" x14ac:dyDescent="0.3">
      <c r="A16081" t="s">
        <v>0</v>
      </c>
    </row>
    <row r="16082" spans="1:1" x14ac:dyDescent="0.3">
      <c r="A16082" t="s">
        <v>0</v>
      </c>
    </row>
    <row r="16083" spans="1:1" x14ac:dyDescent="0.3">
      <c r="A16083" t="s">
        <v>0</v>
      </c>
    </row>
    <row r="16084" spans="1:1" x14ac:dyDescent="0.3">
      <c r="A16084" t="s">
        <v>0</v>
      </c>
    </row>
    <row r="16085" spans="1:1" x14ac:dyDescent="0.3">
      <c r="A16085" t="s">
        <v>0</v>
      </c>
    </row>
    <row r="16086" spans="1:1" x14ac:dyDescent="0.3">
      <c r="A16086" t="s">
        <v>0</v>
      </c>
    </row>
    <row r="16087" spans="1:1" x14ac:dyDescent="0.3">
      <c r="A16087" t="s">
        <v>0</v>
      </c>
    </row>
    <row r="16088" spans="1:1" x14ac:dyDescent="0.3">
      <c r="A16088" t="s">
        <v>0</v>
      </c>
    </row>
    <row r="16089" spans="1:1" x14ac:dyDescent="0.3">
      <c r="A16089" t="s">
        <v>0</v>
      </c>
    </row>
    <row r="16090" spans="1:1" x14ac:dyDescent="0.3">
      <c r="A16090" t="s">
        <v>0</v>
      </c>
    </row>
    <row r="16091" spans="1:1" x14ac:dyDescent="0.3">
      <c r="A16091" t="s">
        <v>0</v>
      </c>
    </row>
    <row r="16092" spans="1:1" x14ac:dyDescent="0.3">
      <c r="A16092" t="s">
        <v>0</v>
      </c>
    </row>
    <row r="16093" spans="1:1" x14ac:dyDescent="0.3">
      <c r="A16093" t="s">
        <v>0</v>
      </c>
    </row>
    <row r="16094" spans="1:1" x14ac:dyDescent="0.3">
      <c r="A16094" t="s">
        <v>0</v>
      </c>
    </row>
    <row r="16095" spans="1:1" x14ac:dyDescent="0.3">
      <c r="A16095" t="s">
        <v>0</v>
      </c>
    </row>
    <row r="16096" spans="1:1" x14ac:dyDescent="0.3">
      <c r="A16096" t="s">
        <v>0</v>
      </c>
    </row>
    <row r="16097" spans="1:1" x14ac:dyDescent="0.3">
      <c r="A16097" t="s">
        <v>0</v>
      </c>
    </row>
    <row r="16098" spans="1:1" x14ac:dyDescent="0.3">
      <c r="A16098" t="s">
        <v>0</v>
      </c>
    </row>
    <row r="16099" spans="1:1" x14ac:dyDescent="0.3">
      <c r="A16099" t="s">
        <v>0</v>
      </c>
    </row>
    <row r="16100" spans="1:1" x14ac:dyDescent="0.3">
      <c r="A16100" t="s">
        <v>0</v>
      </c>
    </row>
    <row r="16101" spans="1:1" x14ac:dyDescent="0.3">
      <c r="A16101" t="s">
        <v>0</v>
      </c>
    </row>
    <row r="16102" spans="1:1" x14ac:dyDescent="0.3">
      <c r="A16102" t="s">
        <v>0</v>
      </c>
    </row>
    <row r="16103" spans="1:1" x14ac:dyDescent="0.3">
      <c r="A16103" t="s">
        <v>0</v>
      </c>
    </row>
    <row r="16104" spans="1:1" x14ac:dyDescent="0.3">
      <c r="A16104" t="s">
        <v>0</v>
      </c>
    </row>
    <row r="16105" spans="1:1" x14ac:dyDescent="0.3">
      <c r="A16105" t="s">
        <v>0</v>
      </c>
    </row>
    <row r="16106" spans="1:1" x14ac:dyDescent="0.3">
      <c r="A16106" t="s">
        <v>0</v>
      </c>
    </row>
    <row r="16107" spans="1:1" x14ac:dyDescent="0.3">
      <c r="A16107" t="s">
        <v>0</v>
      </c>
    </row>
    <row r="16108" spans="1:1" x14ac:dyDescent="0.3">
      <c r="A16108" t="s">
        <v>0</v>
      </c>
    </row>
    <row r="16109" spans="1:1" x14ac:dyDescent="0.3">
      <c r="A16109" t="s">
        <v>0</v>
      </c>
    </row>
    <row r="16110" spans="1:1" x14ac:dyDescent="0.3">
      <c r="A16110" t="s">
        <v>0</v>
      </c>
    </row>
    <row r="16111" spans="1:1" x14ac:dyDescent="0.3">
      <c r="A16111" t="s">
        <v>0</v>
      </c>
    </row>
    <row r="16112" spans="1:1" x14ac:dyDescent="0.3">
      <c r="A16112" t="s">
        <v>0</v>
      </c>
    </row>
    <row r="16113" spans="1:1" x14ac:dyDescent="0.3">
      <c r="A16113" t="s">
        <v>0</v>
      </c>
    </row>
    <row r="16114" spans="1:1" x14ac:dyDescent="0.3">
      <c r="A16114" t="s">
        <v>0</v>
      </c>
    </row>
    <row r="16115" spans="1:1" x14ac:dyDescent="0.3">
      <c r="A16115" t="s">
        <v>0</v>
      </c>
    </row>
    <row r="16116" spans="1:1" x14ac:dyDescent="0.3">
      <c r="A16116" t="s">
        <v>0</v>
      </c>
    </row>
    <row r="16117" spans="1:1" x14ac:dyDescent="0.3">
      <c r="A16117" t="s">
        <v>0</v>
      </c>
    </row>
    <row r="16118" spans="1:1" x14ac:dyDescent="0.3">
      <c r="A16118" t="s">
        <v>0</v>
      </c>
    </row>
    <row r="16119" spans="1:1" x14ac:dyDescent="0.3">
      <c r="A16119" t="s">
        <v>0</v>
      </c>
    </row>
    <row r="16120" spans="1:1" x14ac:dyDescent="0.3">
      <c r="A16120" t="s">
        <v>0</v>
      </c>
    </row>
    <row r="16121" spans="1:1" x14ac:dyDescent="0.3">
      <c r="A16121" t="s">
        <v>0</v>
      </c>
    </row>
    <row r="16122" spans="1:1" x14ac:dyDescent="0.3">
      <c r="A16122" t="s">
        <v>0</v>
      </c>
    </row>
    <row r="16123" spans="1:1" x14ac:dyDescent="0.3">
      <c r="A16123" t="s">
        <v>0</v>
      </c>
    </row>
    <row r="16124" spans="1:1" x14ac:dyDescent="0.3">
      <c r="A16124" t="s">
        <v>0</v>
      </c>
    </row>
    <row r="16125" spans="1:1" x14ac:dyDescent="0.3">
      <c r="A16125" t="s">
        <v>0</v>
      </c>
    </row>
    <row r="16126" spans="1:1" x14ac:dyDescent="0.3">
      <c r="A16126" t="s">
        <v>0</v>
      </c>
    </row>
    <row r="16127" spans="1:1" x14ac:dyDescent="0.3">
      <c r="A16127" t="s">
        <v>0</v>
      </c>
    </row>
    <row r="16128" spans="1:1" x14ac:dyDescent="0.3">
      <c r="A16128" t="s">
        <v>0</v>
      </c>
    </row>
    <row r="16129" spans="1:1" x14ac:dyDescent="0.3">
      <c r="A16129" t="s">
        <v>0</v>
      </c>
    </row>
    <row r="16130" spans="1:1" x14ac:dyDescent="0.3">
      <c r="A16130" t="s">
        <v>0</v>
      </c>
    </row>
    <row r="16131" spans="1:1" x14ac:dyDescent="0.3">
      <c r="A16131" t="s">
        <v>0</v>
      </c>
    </row>
    <row r="16132" spans="1:1" x14ac:dyDescent="0.3">
      <c r="A16132" t="s">
        <v>0</v>
      </c>
    </row>
    <row r="16133" spans="1:1" x14ac:dyDescent="0.3">
      <c r="A16133" t="s">
        <v>0</v>
      </c>
    </row>
    <row r="16134" spans="1:1" x14ac:dyDescent="0.3">
      <c r="A16134" t="s">
        <v>0</v>
      </c>
    </row>
    <row r="16135" spans="1:1" x14ac:dyDescent="0.3">
      <c r="A16135" t="s">
        <v>0</v>
      </c>
    </row>
    <row r="16136" spans="1:1" x14ac:dyDescent="0.3">
      <c r="A16136" t="s">
        <v>0</v>
      </c>
    </row>
    <row r="16137" spans="1:1" x14ac:dyDescent="0.3">
      <c r="A16137" t="s">
        <v>0</v>
      </c>
    </row>
    <row r="16138" spans="1:1" x14ac:dyDescent="0.3">
      <c r="A16138" t="s">
        <v>0</v>
      </c>
    </row>
    <row r="16139" spans="1:1" x14ac:dyDescent="0.3">
      <c r="A16139" t="s">
        <v>0</v>
      </c>
    </row>
    <row r="16140" spans="1:1" x14ac:dyDescent="0.3">
      <c r="A16140" t="s">
        <v>0</v>
      </c>
    </row>
    <row r="16141" spans="1:1" x14ac:dyDescent="0.3">
      <c r="A16141" t="s">
        <v>0</v>
      </c>
    </row>
    <row r="16142" spans="1:1" x14ac:dyDescent="0.3">
      <c r="A16142" t="s">
        <v>0</v>
      </c>
    </row>
    <row r="16143" spans="1:1" x14ac:dyDescent="0.3">
      <c r="A16143" t="s">
        <v>0</v>
      </c>
    </row>
    <row r="16144" spans="1:1" x14ac:dyDescent="0.3">
      <c r="A16144" t="s">
        <v>0</v>
      </c>
    </row>
    <row r="16145" spans="1:1" x14ac:dyDescent="0.3">
      <c r="A16145" t="s">
        <v>0</v>
      </c>
    </row>
    <row r="16146" spans="1:1" x14ac:dyDescent="0.3">
      <c r="A16146" t="s">
        <v>0</v>
      </c>
    </row>
    <row r="16147" spans="1:1" x14ac:dyDescent="0.3">
      <c r="A16147" t="s">
        <v>0</v>
      </c>
    </row>
    <row r="16148" spans="1:1" x14ac:dyDescent="0.3">
      <c r="A16148" t="s">
        <v>0</v>
      </c>
    </row>
    <row r="16149" spans="1:1" x14ac:dyDescent="0.3">
      <c r="A16149" t="s">
        <v>0</v>
      </c>
    </row>
    <row r="16150" spans="1:1" x14ac:dyDescent="0.3">
      <c r="A16150" t="s">
        <v>0</v>
      </c>
    </row>
    <row r="16151" spans="1:1" x14ac:dyDescent="0.3">
      <c r="A16151" t="s">
        <v>0</v>
      </c>
    </row>
    <row r="16152" spans="1:1" x14ac:dyDescent="0.3">
      <c r="A16152" t="s">
        <v>0</v>
      </c>
    </row>
    <row r="16153" spans="1:1" x14ac:dyDescent="0.3">
      <c r="A16153" t="s">
        <v>0</v>
      </c>
    </row>
    <row r="16154" spans="1:1" x14ac:dyDescent="0.3">
      <c r="A16154" t="s">
        <v>0</v>
      </c>
    </row>
    <row r="16155" spans="1:1" x14ac:dyDescent="0.3">
      <c r="A16155" t="s">
        <v>0</v>
      </c>
    </row>
    <row r="16156" spans="1:1" x14ac:dyDescent="0.3">
      <c r="A16156" t="s">
        <v>0</v>
      </c>
    </row>
    <row r="16157" spans="1:1" x14ac:dyDescent="0.3">
      <c r="A16157" t="s">
        <v>0</v>
      </c>
    </row>
    <row r="16158" spans="1:1" x14ac:dyDescent="0.3">
      <c r="A16158" t="s">
        <v>0</v>
      </c>
    </row>
    <row r="16159" spans="1:1" x14ac:dyDescent="0.3">
      <c r="A16159" t="s">
        <v>0</v>
      </c>
    </row>
    <row r="16160" spans="1:1" x14ac:dyDescent="0.3">
      <c r="A16160" t="s">
        <v>0</v>
      </c>
    </row>
    <row r="16161" spans="1:1" x14ac:dyDescent="0.3">
      <c r="A16161" t="s">
        <v>0</v>
      </c>
    </row>
    <row r="16162" spans="1:1" x14ac:dyDescent="0.3">
      <c r="A16162" t="s">
        <v>0</v>
      </c>
    </row>
    <row r="16163" spans="1:1" x14ac:dyDescent="0.3">
      <c r="A16163" t="s">
        <v>0</v>
      </c>
    </row>
    <row r="16164" spans="1:1" x14ac:dyDescent="0.3">
      <c r="A16164" t="s">
        <v>0</v>
      </c>
    </row>
    <row r="16165" spans="1:1" x14ac:dyDescent="0.3">
      <c r="A16165" t="s">
        <v>0</v>
      </c>
    </row>
    <row r="16166" spans="1:1" x14ac:dyDescent="0.3">
      <c r="A16166" t="s">
        <v>0</v>
      </c>
    </row>
    <row r="16167" spans="1:1" x14ac:dyDescent="0.3">
      <c r="A16167" t="s">
        <v>0</v>
      </c>
    </row>
    <row r="16168" spans="1:1" x14ac:dyDescent="0.3">
      <c r="A16168" t="s">
        <v>0</v>
      </c>
    </row>
    <row r="16169" spans="1:1" x14ac:dyDescent="0.3">
      <c r="A16169" t="s">
        <v>0</v>
      </c>
    </row>
    <row r="16170" spans="1:1" x14ac:dyDescent="0.3">
      <c r="A16170" t="s">
        <v>0</v>
      </c>
    </row>
    <row r="16171" spans="1:1" x14ac:dyDescent="0.3">
      <c r="A16171" t="s">
        <v>0</v>
      </c>
    </row>
    <row r="16172" spans="1:1" x14ac:dyDescent="0.3">
      <c r="A16172" t="s">
        <v>0</v>
      </c>
    </row>
    <row r="16173" spans="1:1" x14ac:dyDescent="0.3">
      <c r="A16173" t="s">
        <v>0</v>
      </c>
    </row>
    <row r="16174" spans="1:1" x14ac:dyDescent="0.3">
      <c r="A16174" t="s">
        <v>0</v>
      </c>
    </row>
    <row r="16175" spans="1:1" x14ac:dyDescent="0.3">
      <c r="A16175" t="s">
        <v>0</v>
      </c>
    </row>
    <row r="16176" spans="1:1" x14ac:dyDescent="0.3">
      <c r="A16176" t="s">
        <v>0</v>
      </c>
    </row>
    <row r="16177" spans="1:1" x14ac:dyDescent="0.3">
      <c r="A16177" t="s">
        <v>0</v>
      </c>
    </row>
    <row r="16178" spans="1:1" x14ac:dyDescent="0.3">
      <c r="A16178" t="s">
        <v>0</v>
      </c>
    </row>
    <row r="16179" spans="1:1" x14ac:dyDescent="0.3">
      <c r="A16179" t="s">
        <v>0</v>
      </c>
    </row>
    <row r="16180" spans="1:1" x14ac:dyDescent="0.3">
      <c r="A16180" t="s">
        <v>0</v>
      </c>
    </row>
    <row r="16181" spans="1:1" x14ac:dyDescent="0.3">
      <c r="A16181" t="s">
        <v>0</v>
      </c>
    </row>
    <row r="16182" spans="1:1" x14ac:dyDescent="0.3">
      <c r="A16182" t="s">
        <v>0</v>
      </c>
    </row>
    <row r="16183" spans="1:1" x14ac:dyDescent="0.3">
      <c r="A16183" t="s">
        <v>0</v>
      </c>
    </row>
    <row r="16184" spans="1:1" x14ac:dyDescent="0.3">
      <c r="A16184" t="s">
        <v>0</v>
      </c>
    </row>
    <row r="16185" spans="1:1" x14ac:dyDescent="0.3">
      <c r="A16185" t="s">
        <v>0</v>
      </c>
    </row>
    <row r="16186" spans="1:1" x14ac:dyDescent="0.3">
      <c r="A16186" t="s">
        <v>0</v>
      </c>
    </row>
    <row r="16187" spans="1:1" x14ac:dyDescent="0.3">
      <c r="A16187" t="s">
        <v>0</v>
      </c>
    </row>
    <row r="16188" spans="1:1" x14ac:dyDescent="0.3">
      <c r="A16188" t="s">
        <v>0</v>
      </c>
    </row>
    <row r="16189" spans="1:1" x14ac:dyDescent="0.3">
      <c r="A16189" t="s">
        <v>0</v>
      </c>
    </row>
    <row r="16190" spans="1:1" x14ac:dyDescent="0.3">
      <c r="A16190" t="s">
        <v>0</v>
      </c>
    </row>
    <row r="16191" spans="1:1" x14ac:dyDescent="0.3">
      <c r="A16191" t="s">
        <v>0</v>
      </c>
    </row>
    <row r="16192" spans="1:1" x14ac:dyDescent="0.3">
      <c r="A16192" t="s">
        <v>0</v>
      </c>
    </row>
    <row r="16193" spans="1:1" x14ac:dyDescent="0.3">
      <c r="A16193" t="s">
        <v>0</v>
      </c>
    </row>
    <row r="16194" spans="1:1" x14ac:dyDescent="0.3">
      <c r="A16194" t="s">
        <v>0</v>
      </c>
    </row>
    <row r="16195" spans="1:1" x14ac:dyDescent="0.3">
      <c r="A16195" t="s">
        <v>0</v>
      </c>
    </row>
    <row r="16196" spans="1:1" x14ac:dyDescent="0.3">
      <c r="A16196" t="s">
        <v>0</v>
      </c>
    </row>
    <row r="16197" spans="1:1" x14ac:dyDescent="0.3">
      <c r="A16197" t="s">
        <v>0</v>
      </c>
    </row>
    <row r="16198" spans="1:1" x14ac:dyDescent="0.3">
      <c r="A16198" t="s">
        <v>0</v>
      </c>
    </row>
    <row r="16199" spans="1:1" x14ac:dyDescent="0.3">
      <c r="A16199" t="s">
        <v>0</v>
      </c>
    </row>
    <row r="16200" spans="1:1" x14ac:dyDescent="0.3">
      <c r="A16200" t="s">
        <v>0</v>
      </c>
    </row>
    <row r="16201" spans="1:1" x14ac:dyDescent="0.3">
      <c r="A16201" t="s">
        <v>0</v>
      </c>
    </row>
    <row r="16202" spans="1:1" x14ac:dyDescent="0.3">
      <c r="A16202" t="s">
        <v>0</v>
      </c>
    </row>
    <row r="16203" spans="1:1" x14ac:dyDescent="0.3">
      <c r="A16203" t="s">
        <v>0</v>
      </c>
    </row>
    <row r="16204" spans="1:1" x14ac:dyDescent="0.3">
      <c r="A16204" t="s">
        <v>0</v>
      </c>
    </row>
    <row r="16205" spans="1:1" x14ac:dyDescent="0.3">
      <c r="A16205" t="s">
        <v>0</v>
      </c>
    </row>
    <row r="16206" spans="1:1" x14ac:dyDescent="0.3">
      <c r="A16206" t="s">
        <v>0</v>
      </c>
    </row>
    <row r="16207" spans="1:1" x14ac:dyDescent="0.3">
      <c r="A16207" t="s">
        <v>0</v>
      </c>
    </row>
    <row r="16208" spans="1:1" x14ac:dyDescent="0.3">
      <c r="A16208" t="s">
        <v>0</v>
      </c>
    </row>
    <row r="16209" spans="1:1" x14ac:dyDescent="0.3">
      <c r="A16209" t="s">
        <v>0</v>
      </c>
    </row>
    <row r="16210" spans="1:1" x14ac:dyDescent="0.3">
      <c r="A16210" t="s">
        <v>0</v>
      </c>
    </row>
    <row r="16211" spans="1:1" x14ac:dyDescent="0.3">
      <c r="A16211" t="s">
        <v>0</v>
      </c>
    </row>
    <row r="16212" spans="1:1" x14ac:dyDescent="0.3">
      <c r="A16212" t="s">
        <v>0</v>
      </c>
    </row>
    <row r="16213" spans="1:1" x14ac:dyDescent="0.3">
      <c r="A16213" t="s">
        <v>0</v>
      </c>
    </row>
    <row r="16214" spans="1:1" x14ac:dyDescent="0.3">
      <c r="A16214" t="s">
        <v>0</v>
      </c>
    </row>
    <row r="16215" spans="1:1" x14ac:dyDescent="0.3">
      <c r="A16215" t="s">
        <v>0</v>
      </c>
    </row>
    <row r="16216" spans="1:1" x14ac:dyDescent="0.3">
      <c r="A16216" t="s">
        <v>0</v>
      </c>
    </row>
    <row r="16217" spans="1:1" x14ac:dyDescent="0.3">
      <c r="A16217" t="s">
        <v>0</v>
      </c>
    </row>
    <row r="16218" spans="1:1" x14ac:dyDescent="0.3">
      <c r="A16218" t="s">
        <v>0</v>
      </c>
    </row>
    <row r="16219" spans="1:1" x14ac:dyDescent="0.3">
      <c r="A16219" t="s">
        <v>0</v>
      </c>
    </row>
    <row r="16220" spans="1:1" x14ac:dyDescent="0.3">
      <c r="A16220" t="s">
        <v>0</v>
      </c>
    </row>
    <row r="16221" spans="1:1" x14ac:dyDescent="0.3">
      <c r="A16221" t="s">
        <v>0</v>
      </c>
    </row>
    <row r="16222" spans="1:1" x14ac:dyDescent="0.3">
      <c r="A16222" t="s">
        <v>0</v>
      </c>
    </row>
    <row r="16223" spans="1:1" x14ac:dyDescent="0.3">
      <c r="A16223" t="s">
        <v>0</v>
      </c>
    </row>
    <row r="16224" spans="1:1" x14ac:dyDescent="0.3">
      <c r="A16224" t="s">
        <v>0</v>
      </c>
    </row>
    <row r="16225" spans="1:1" x14ac:dyDescent="0.3">
      <c r="A16225" t="s">
        <v>0</v>
      </c>
    </row>
    <row r="16226" spans="1:1" x14ac:dyDescent="0.3">
      <c r="A16226" t="s">
        <v>0</v>
      </c>
    </row>
    <row r="16227" spans="1:1" x14ac:dyDescent="0.3">
      <c r="A16227" t="s">
        <v>0</v>
      </c>
    </row>
    <row r="16228" spans="1:1" x14ac:dyDescent="0.3">
      <c r="A16228" t="s">
        <v>0</v>
      </c>
    </row>
    <row r="16229" spans="1:1" x14ac:dyDescent="0.3">
      <c r="A16229" t="s">
        <v>0</v>
      </c>
    </row>
    <row r="16230" spans="1:1" x14ac:dyDescent="0.3">
      <c r="A16230" t="s">
        <v>0</v>
      </c>
    </row>
    <row r="16231" spans="1:1" x14ac:dyDescent="0.3">
      <c r="A16231" t="s">
        <v>0</v>
      </c>
    </row>
    <row r="16232" spans="1:1" x14ac:dyDescent="0.3">
      <c r="A16232" t="s">
        <v>0</v>
      </c>
    </row>
    <row r="16233" spans="1:1" x14ac:dyDescent="0.3">
      <c r="A16233" t="s">
        <v>0</v>
      </c>
    </row>
    <row r="16234" spans="1:1" x14ac:dyDescent="0.3">
      <c r="A16234" t="s">
        <v>0</v>
      </c>
    </row>
    <row r="16235" spans="1:1" x14ac:dyDescent="0.3">
      <c r="A16235" t="s">
        <v>0</v>
      </c>
    </row>
    <row r="16236" spans="1:1" x14ac:dyDescent="0.3">
      <c r="A16236" t="s">
        <v>0</v>
      </c>
    </row>
    <row r="16237" spans="1:1" x14ac:dyDescent="0.3">
      <c r="A16237" t="s">
        <v>0</v>
      </c>
    </row>
    <row r="16238" spans="1:1" x14ac:dyDescent="0.3">
      <c r="A16238" t="s">
        <v>0</v>
      </c>
    </row>
    <row r="16239" spans="1:1" x14ac:dyDescent="0.3">
      <c r="A16239" t="s">
        <v>0</v>
      </c>
    </row>
    <row r="16240" spans="1:1" x14ac:dyDescent="0.3">
      <c r="A16240" t="s">
        <v>0</v>
      </c>
    </row>
    <row r="16241" spans="1:1" x14ac:dyDescent="0.3">
      <c r="A16241" t="s">
        <v>0</v>
      </c>
    </row>
    <row r="16242" spans="1:1" x14ac:dyDescent="0.3">
      <c r="A16242" t="s">
        <v>0</v>
      </c>
    </row>
    <row r="16243" spans="1:1" x14ac:dyDescent="0.3">
      <c r="A16243" t="s">
        <v>0</v>
      </c>
    </row>
    <row r="16244" spans="1:1" x14ac:dyDescent="0.3">
      <c r="A16244" t="s">
        <v>0</v>
      </c>
    </row>
    <row r="16245" spans="1:1" x14ac:dyDescent="0.3">
      <c r="A16245" t="s">
        <v>0</v>
      </c>
    </row>
    <row r="16246" spans="1:1" x14ac:dyDescent="0.3">
      <c r="A16246" t="s">
        <v>0</v>
      </c>
    </row>
    <row r="16247" spans="1:1" x14ac:dyDescent="0.3">
      <c r="A16247" t="s">
        <v>0</v>
      </c>
    </row>
    <row r="16248" spans="1:1" x14ac:dyDescent="0.3">
      <c r="A16248" t="s">
        <v>0</v>
      </c>
    </row>
    <row r="16249" spans="1:1" x14ac:dyDescent="0.3">
      <c r="A16249" t="s">
        <v>0</v>
      </c>
    </row>
    <row r="16250" spans="1:1" x14ac:dyDescent="0.3">
      <c r="A16250" t="s">
        <v>0</v>
      </c>
    </row>
    <row r="16251" spans="1:1" x14ac:dyDescent="0.3">
      <c r="A16251" t="s">
        <v>0</v>
      </c>
    </row>
    <row r="16252" spans="1:1" x14ac:dyDescent="0.3">
      <c r="A16252" t="s">
        <v>0</v>
      </c>
    </row>
    <row r="16253" spans="1:1" x14ac:dyDescent="0.3">
      <c r="A16253" t="s">
        <v>0</v>
      </c>
    </row>
    <row r="16254" spans="1:1" x14ac:dyDescent="0.3">
      <c r="A16254" t="s">
        <v>0</v>
      </c>
    </row>
    <row r="16255" spans="1:1" x14ac:dyDescent="0.3">
      <c r="A16255" t="s">
        <v>0</v>
      </c>
    </row>
    <row r="16256" spans="1:1" x14ac:dyDescent="0.3">
      <c r="A16256" t="s">
        <v>0</v>
      </c>
    </row>
    <row r="16257" spans="1:1" x14ac:dyDescent="0.3">
      <c r="A16257" t="s">
        <v>0</v>
      </c>
    </row>
    <row r="16258" spans="1:1" x14ac:dyDescent="0.3">
      <c r="A16258" t="s">
        <v>0</v>
      </c>
    </row>
    <row r="16259" spans="1:1" x14ac:dyDescent="0.3">
      <c r="A16259" t="s">
        <v>0</v>
      </c>
    </row>
    <row r="16260" spans="1:1" x14ac:dyDescent="0.3">
      <c r="A16260" t="s">
        <v>0</v>
      </c>
    </row>
    <row r="16261" spans="1:1" x14ac:dyDescent="0.3">
      <c r="A16261" t="s">
        <v>0</v>
      </c>
    </row>
    <row r="16262" spans="1:1" x14ac:dyDescent="0.3">
      <c r="A16262" t="s">
        <v>0</v>
      </c>
    </row>
    <row r="16263" spans="1:1" x14ac:dyDescent="0.3">
      <c r="A16263" t="s">
        <v>0</v>
      </c>
    </row>
    <row r="16264" spans="1:1" x14ac:dyDescent="0.3">
      <c r="A16264" t="s">
        <v>0</v>
      </c>
    </row>
    <row r="16265" spans="1:1" x14ac:dyDescent="0.3">
      <c r="A16265" t="s">
        <v>0</v>
      </c>
    </row>
    <row r="16266" spans="1:1" x14ac:dyDescent="0.3">
      <c r="A16266" t="s">
        <v>0</v>
      </c>
    </row>
    <row r="16267" spans="1:1" x14ac:dyDescent="0.3">
      <c r="A16267" t="s">
        <v>0</v>
      </c>
    </row>
    <row r="16268" spans="1:1" x14ac:dyDescent="0.3">
      <c r="A16268" t="s">
        <v>0</v>
      </c>
    </row>
    <row r="16269" spans="1:1" x14ac:dyDescent="0.3">
      <c r="A16269" t="s">
        <v>0</v>
      </c>
    </row>
    <row r="16270" spans="1:1" x14ac:dyDescent="0.3">
      <c r="A16270" t="s">
        <v>0</v>
      </c>
    </row>
    <row r="16271" spans="1:1" x14ac:dyDescent="0.3">
      <c r="A16271" t="s">
        <v>0</v>
      </c>
    </row>
    <row r="16272" spans="1:1" x14ac:dyDescent="0.3">
      <c r="A16272" t="s">
        <v>0</v>
      </c>
    </row>
    <row r="16273" spans="1:1" x14ac:dyDescent="0.3">
      <c r="A16273" t="s">
        <v>0</v>
      </c>
    </row>
    <row r="16274" spans="1:1" x14ac:dyDescent="0.3">
      <c r="A16274" t="s">
        <v>0</v>
      </c>
    </row>
    <row r="16275" spans="1:1" x14ac:dyDescent="0.3">
      <c r="A16275" t="s">
        <v>0</v>
      </c>
    </row>
    <row r="16276" spans="1:1" x14ac:dyDescent="0.3">
      <c r="A16276" t="s">
        <v>0</v>
      </c>
    </row>
    <row r="16277" spans="1:1" x14ac:dyDescent="0.3">
      <c r="A16277" t="s">
        <v>0</v>
      </c>
    </row>
    <row r="16278" spans="1:1" x14ac:dyDescent="0.3">
      <c r="A16278" t="s">
        <v>0</v>
      </c>
    </row>
    <row r="16279" spans="1:1" x14ac:dyDescent="0.3">
      <c r="A16279" t="s">
        <v>0</v>
      </c>
    </row>
    <row r="16280" spans="1:1" x14ac:dyDescent="0.3">
      <c r="A16280" t="s">
        <v>0</v>
      </c>
    </row>
    <row r="16281" spans="1:1" x14ac:dyDescent="0.3">
      <c r="A16281" t="s">
        <v>0</v>
      </c>
    </row>
    <row r="16282" spans="1:1" x14ac:dyDescent="0.3">
      <c r="A16282" t="s">
        <v>0</v>
      </c>
    </row>
    <row r="16283" spans="1:1" x14ac:dyDescent="0.3">
      <c r="A16283" t="s">
        <v>0</v>
      </c>
    </row>
    <row r="16284" spans="1:1" x14ac:dyDescent="0.3">
      <c r="A16284" t="s">
        <v>0</v>
      </c>
    </row>
    <row r="16285" spans="1:1" x14ac:dyDescent="0.3">
      <c r="A16285" t="s">
        <v>0</v>
      </c>
    </row>
    <row r="16286" spans="1:1" x14ac:dyDescent="0.3">
      <c r="A16286" t="s">
        <v>0</v>
      </c>
    </row>
    <row r="16287" spans="1:1" x14ac:dyDescent="0.3">
      <c r="A16287" t="s">
        <v>0</v>
      </c>
    </row>
    <row r="16288" spans="1:1" x14ac:dyDescent="0.3">
      <c r="A16288" t="s">
        <v>0</v>
      </c>
    </row>
    <row r="16289" spans="1:1" x14ac:dyDescent="0.3">
      <c r="A16289" t="s">
        <v>0</v>
      </c>
    </row>
    <row r="16290" spans="1:1" x14ac:dyDescent="0.3">
      <c r="A16290" t="s">
        <v>0</v>
      </c>
    </row>
    <row r="16291" spans="1:1" x14ac:dyDescent="0.3">
      <c r="A16291" t="s">
        <v>0</v>
      </c>
    </row>
    <row r="16292" spans="1:1" x14ac:dyDescent="0.3">
      <c r="A16292" t="s">
        <v>0</v>
      </c>
    </row>
    <row r="16293" spans="1:1" x14ac:dyDescent="0.3">
      <c r="A16293" t="s">
        <v>0</v>
      </c>
    </row>
    <row r="16294" spans="1:1" x14ac:dyDescent="0.3">
      <c r="A16294" t="s">
        <v>0</v>
      </c>
    </row>
    <row r="16295" spans="1:1" x14ac:dyDescent="0.3">
      <c r="A16295" t="s">
        <v>0</v>
      </c>
    </row>
    <row r="16296" spans="1:1" x14ac:dyDescent="0.3">
      <c r="A16296" t="s">
        <v>0</v>
      </c>
    </row>
    <row r="16297" spans="1:1" x14ac:dyDescent="0.3">
      <c r="A16297" t="s">
        <v>0</v>
      </c>
    </row>
    <row r="16298" spans="1:1" x14ac:dyDescent="0.3">
      <c r="A16298" t="s">
        <v>0</v>
      </c>
    </row>
    <row r="16299" spans="1:1" x14ac:dyDescent="0.3">
      <c r="A16299" t="s">
        <v>0</v>
      </c>
    </row>
    <row r="16300" spans="1:1" x14ac:dyDescent="0.3">
      <c r="A16300" t="s">
        <v>0</v>
      </c>
    </row>
    <row r="16301" spans="1:1" x14ac:dyDescent="0.3">
      <c r="A16301" t="s">
        <v>0</v>
      </c>
    </row>
    <row r="16302" spans="1:1" x14ac:dyDescent="0.3">
      <c r="A16302" t="s">
        <v>0</v>
      </c>
    </row>
    <row r="16303" spans="1:1" x14ac:dyDescent="0.3">
      <c r="A16303" t="s">
        <v>0</v>
      </c>
    </row>
    <row r="16304" spans="1:1" x14ac:dyDescent="0.3">
      <c r="A16304" t="s">
        <v>0</v>
      </c>
    </row>
    <row r="16305" spans="1:1" x14ac:dyDescent="0.3">
      <c r="A16305" t="s">
        <v>0</v>
      </c>
    </row>
    <row r="16306" spans="1:1" x14ac:dyDescent="0.3">
      <c r="A16306" t="s">
        <v>0</v>
      </c>
    </row>
    <row r="16307" spans="1:1" x14ac:dyDescent="0.3">
      <c r="A16307" t="s">
        <v>0</v>
      </c>
    </row>
    <row r="16308" spans="1:1" x14ac:dyDescent="0.3">
      <c r="A16308" t="s">
        <v>0</v>
      </c>
    </row>
    <row r="16309" spans="1:1" x14ac:dyDescent="0.3">
      <c r="A16309" t="s">
        <v>0</v>
      </c>
    </row>
    <row r="16310" spans="1:1" x14ac:dyDescent="0.3">
      <c r="A16310" t="s">
        <v>0</v>
      </c>
    </row>
    <row r="16311" spans="1:1" x14ac:dyDescent="0.3">
      <c r="A16311" t="s">
        <v>0</v>
      </c>
    </row>
    <row r="16312" spans="1:1" x14ac:dyDescent="0.3">
      <c r="A16312" t="s">
        <v>0</v>
      </c>
    </row>
    <row r="16313" spans="1:1" x14ac:dyDescent="0.3">
      <c r="A16313" t="s">
        <v>0</v>
      </c>
    </row>
    <row r="16314" spans="1:1" x14ac:dyDescent="0.3">
      <c r="A16314" t="s">
        <v>0</v>
      </c>
    </row>
    <row r="16315" spans="1:1" x14ac:dyDescent="0.3">
      <c r="A16315" t="s">
        <v>0</v>
      </c>
    </row>
    <row r="16316" spans="1:1" x14ac:dyDescent="0.3">
      <c r="A16316" t="s">
        <v>0</v>
      </c>
    </row>
    <row r="16317" spans="1:1" x14ac:dyDescent="0.3">
      <c r="A16317" t="s">
        <v>0</v>
      </c>
    </row>
    <row r="16318" spans="1:1" x14ac:dyDescent="0.3">
      <c r="A16318" t="s">
        <v>0</v>
      </c>
    </row>
    <row r="16319" spans="1:1" x14ac:dyDescent="0.3">
      <c r="A16319" t="s">
        <v>0</v>
      </c>
    </row>
    <row r="16320" spans="1:1" x14ac:dyDescent="0.3">
      <c r="A16320" t="s">
        <v>0</v>
      </c>
    </row>
    <row r="16321" spans="1:1" x14ac:dyDescent="0.3">
      <c r="A16321" t="s">
        <v>0</v>
      </c>
    </row>
    <row r="16322" spans="1:1" x14ac:dyDescent="0.3">
      <c r="A16322" t="s">
        <v>0</v>
      </c>
    </row>
    <row r="16323" spans="1:1" x14ac:dyDescent="0.3">
      <c r="A16323" t="s">
        <v>0</v>
      </c>
    </row>
    <row r="16324" spans="1:1" x14ac:dyDescent="0.3">
      <c r="A16324" t="s">
        <v>0</v>
      </c>
    </row>
    <row r="16325" spans="1:1" x14ac:dyDescent="0.3">
      <c r="A16325" t="s">
        <v>0</v>
      </c>
    </row>
    <row r="16326" spans="1:1" x14ac:dyDescent="0.3">
      <c r="A16326" t="s">
        <v>0</v>
      </c>
    </row>
    <row r="16327" spans="1:1" x14ac:dyDescent="0.3">
      <c r="A16327" t="s">
        <v>0</v>
      </c>
    </row>
    <row r="16328" spans="1:1" x14ac:dyDescent="0.3">
      <c r="A16328" t="s">
        <v>0</v>
      </c>
    </row>
    <row r="16329" spans="1:1" x14ac:dyDescent="0.3">
      <c r="A16329" t="s">
        <v>0</v>
      </c>
    </row>
    <row r="16330" spans="1:1" x14ac:dyDescent="0.3">
      <c r="A16330" t="s">
        <v>0</v>
      </c>
    </row>
    <row r="16331" spans="1:1" x14ac:dyDescent="0.3">
      <c r="A16331" t="s">
        <v>0</v>
      </c>
    </row>
    <row r="16332" spans="1:1" x14ac:dyDescent="0.3">
      <c r="A16332" t="s">
        <v>0</v>
      </c>
    </row>
    <row r="16333" spans="1:1" x14ac:dyDescent="0.3">
      <c r="A16333" t="s">
        <v>0</v>
      </c>
    </row>
    <row r="16334" spans="1:1" x14ac:dyDescent="0.3">
      <c r="A16334" t="s">
        <v>0</v>
      </c>
    </row>
    <row r="16335" spans="1:1" x14ac:dyDescent="0.3">
      <c r="A16335" t="s">
        <v>0</v>
      </c>
    </row>
    <row r="16336" spans="1:1" x14ac:dyDescent="0.3">
      <c r="A16336" t="s">
        <v>0</v>
      </c>
    </row>
    <row r="16337" spans="1:1" x14ac:dyDescent="0.3">
      <c r="A16337" t="s">
        <v>0</v>
      </c>
    </row>
    <row r="16338" spans="1:1" x14ac:dyDescent="0.3">
      <c r="A16338" t="s">
        <v>0</v>
      </c>
    </row>
    <row r="16339" spans="1:1" x14ac:dyDescent="0.3">
      <c r="A16339" t="s">
        <v>0</v>
      </c>
    </row>
    <row r="16340" spans="1:1" x14ac:dyDescent="0.3">
      <c r="A16340" t="s">
        <v>0</v>
      </c>
    </row>
    <row r="16341" spans="1:1" x14ac:dyDescent="0.3">
      <c r="A16341" t="s">
        <v>0</v>
      </c>
    </row>
    <row r="16342" spans="1:1" x14ac:dyDescent="0.3">
      <c r="A16342" t="s">
        <v>0</v>
      </c>
    </row>
    <row r="16343" spans="1:1" x14ac:dyDescent="0.3">
      <c r="A16343" t="s">
        <v>0</v>
      </c>
    </row>
    <row r="16344" spans="1:1" x14ac:dyDescent="0.3">
      <c r="A16344" t="s">
        <v>0</v>
      </c>
    </row>
    <row r="16345" spans="1:1" x14ac:dyDescent="0.3">
      <c r="A16345" t="s">
        <v>0</v>
      </c>
    </row>
    <row r="16346" spans="1:1" x14ac:dyDescent="0.3">
      <c r="A16346" t="s">
        <v>0</v>
      </c>
    </row>
    <row r="16347" spans="1:1" x14ac:dyDescent="0.3">
      <c r="A16347" t="s">
        <v>0</v>
      </c>
    </row>
    <row r="16348" spans="1:1" x14ac:dyDescent="0.3">
      <c r="A16348" t="s">
        <v>0</v>
      </c>
    </row>
    <row r="16349" spans="1:1" x14ac:dyDescent="0.3">
      <c r="A16349" t="s">
        <v>0</v>
      </c>
    </row>
    <row r="16350" spans="1:1" x14ac:dyDescent="0.3">
      <c r="A16350" t="s">
        <v>0</v>
      </c>
    </row>
    <row r="16351" spans="1:1" x14ac:dyDescent="0.3">
      <c r="A16351" t="s">
        <v>0</v>
      </c>
    </row>
    <row r="16352" spans="1:1" x14ac:dyDescent="0.3">
      <c r="A16352" t="s">
        <v>0</v>
      </c>
    </row>
    <row r="16353" spans="1:1" x14ac:dyDescent="0.3">
      <c r="A16353" t="s">
        <v>0</v>
      </c>
    </row>
    <row r="16354" spans="1:1" x14ac:dyDescent="0.3">
      <c r="A16354" t="s">
        <v>0</v>
      </c>
    </row>
    <row r="16355" spans="1:1" x14ac:dyDescent="0.3">
      <c r="A16355" t="s">
        <v>0</v>
      </c>
    </row>
    <row r="16356" spans="1:1" x14ac:dyDescent="0.3">
      <c r="A16356" t="s">
        <v>0</v>
      </c>
    </row>
    <row r="16357" spans="1:1" x14ac:dyDescent="0.3">
      <c r="A16357" t="s">
        <v>0</v>
      </c>
    </row>
    <row r="16358" spans="1:1" x14ac:dyDescent="0.3">
      <c r="A16358" t="s">
        <v>0</v>
      </c>
    </row>
    <row r="16359" spans="1:1" x14ac:dyDescent="0.3">
      <c r="A16359" t="s">
        <v>0</v>
      </c>
    </row>
    <row r="16360" spans="1:1" x14ac:dyDescent="0.3">
      <c r="A16360" t="s">
        <v>0</v>
      </c>
    </row>
    <row r="16361" spans="1:1" x14ac:dyDescent="0.3">
      <c r="A16361" t="s">
        <v>0</v>
      </c>
    </row>
    <row r="16362" spans="1:1" x14ac:dyDescent="0.3">
      <c r="A16362" t="s">
        <v>0</v>
      </c>
    </row>
    <row r="16363" spans="1:1" x14ac:dyDescent="0.3">
      <c r="A16363" t="s">
        <v>0</v>
      </c>
    </row>
    <row r="16364" spans="1:1" x14ac:dyDescent="0.3">
      <c r="A16364" t="s">
        <v>0</v>
      </c>
    </row>
    <row r="16365" spans="1:1" x14ac:dyDescent="0.3">
      <c r="A16365" t="s">
        <v>0</v>
      </c>
    </row>
    <row r="16366" spans="1:1" x14ac:dyDescent="0.3">
      <c r="A16366" t="s">
        <v>0</v>
      </c>
    </row>
    <row r="16367" spans="1:1" x14ac:dyDescent="0.3">
      <c r="A16367" t="s">
        <v>0</v>
      </c>
    </row>
    <row r="16368" spans="1:1" x14ac:dyDescent="0.3">
      <c r="A16368" t="s">
        <v>0</v>
      </c>
    </row>
    <row r="16369" spans="1:1" x14ac:dyDescent="0.3">
      <c r="A16369" t="s">
        <v>0</v>
      </c>
    </row>
    <row r="16370" spans="1:1" x14ac:dyDescent="0.3">
      <c r="A16370" t="s">
        <v>0</v>
      </c>
    </row>
    <row r="16371" spans="1:1" x14ac:dyDescent="0.3">
      <c r="A16371" t="s">
        <v>0</v>
      </c>
    </row>
    <row r="16372" spans="1:1" x14ac:dyDescent="0.3">
      <c r="A16372" t="s">
        <v>0</v>
      </c>
    </row>
    <row r="16373" spans="1:1" x14ac:dyDescent="0.3">
      <c r="A16373" t="s">
        <v>0</v>
      </c>
    </row>
    <row r="16374" spans="1:1" x14ac:dyDescent="0.3">
      <c r="A16374" t="s">
        <v>0</v>
      </c>
    </row>
    <row r="16375" spans="1:1" x14ac:dyDescent="0.3">
      <c r="A16375" t="s">
        <v>0</v>
      </c>
    </row>
    <row r="16376" spans="1:1" x14ac:dyDescent="0.3">
      <c r="A16376" t="s">
        <v>0</v>
      </c>
    </row>
    <row r="16377" spans="1:1" x14ac:dyDescent="0.3">
      <c r="A16377" t="s">
        <v>0</v>
      </c>
    </row>
    <row r="16378" spans="1:1" x14ac:dyDescent="0.3">
      <c r="A16378" t="s">
        <v>0</v>
      </c>
    </row>
    <row r="16379" spans="1:1" x14ac:dyDescent="0.3">
      <c r="A16379" t="s">
        <v>0</v>
      </c>
    </row>
    <row r="16380" spans="1:1" x14ac:dyDescent="0.3">
      <c r="A16380" t="s">
        <v>0</v>
      </c>
    </row>
    <row r="16381" spans="1:1" x14ac:dyDescent="0.3">
      <c r="A16381" t="s">
        <v>0</v>
      </c>
    </row>
    <row r="16382" spans="1:1" x14ac:dyDescent="0.3">
      <c r="A16382" t="s">
        <v>0</v>
      </c>
    </row>
    <row r="16383" spans="1:1" x14ac:dyDescent="0.3">
      <c r="A16383" t="s">
        <v>0</v>
      </c>
    </row>
    <row r="16384" spans="1:1" x14ac:dyDescent="0.3">
      <c r="A16384" t="s">
        <v>0</v>
      </c>
    </row>
    <row r="16385" spans="1:1" x14ac:dyDescent="0.3">
      <c r="A16385" t="s">
        <v>0</v>
      </c>
    </row>
    <row r="16386" spans="1:1" x14ac:dyDescent="0.3">
      <c r="A16386" t="s">
        <v>0</v>
      </c>
    </row>
    <row r="16387" spans="1:1" x14ac:dyDescent="0.3">
      <c r="A16387" t="s">
        <v>0</v>
      </c>
    </row>
    <row r="16388" spans="1:1" x14ac:dyDescent="0.3">
      <c r="A16388" t="s">
        <v>0</v>
      </c>
    </row>
    <row r="16389" spans="1:1" x14ac:dyDescent="0.3">
      <c r="A16389" t="s">
        <v>0</v>
      </c>
    </row>
    <row r="16390" spans="1:1" x14ac:dyDescent="0.3">
      <c r="A16390" t="s">
        <v>0</v>
      </c>
    </row>
    <row r="16391" spans="1:1" x14ac:dyDescent="0.3">
      <c r="A16391" t="s">
        <v>0</v>
      </c>
    </row>
    <row r="16392" spans="1:1" x14ac:dyDescent="0.3">
      <c r="A16392" t="s">
        <v>0</v>
      </c>
    </row>
    <row r="16393" spans="1:1" x14ac:dyDescent="0.3">
      <c r="A16393" t="s">
        <v>0</v>
      </c>
    </row>
    <row r="16394" spans="1:1" x14ac:dyDescent="0.3">
      <c r="A16394" t="s">
        <v>0</v>
      </c>
    </row>
    <row r="16395" spans="1:1" x14ac:dyDescent="0.3">
      <c r="A16395" t="s">
        <v>0</v>
      </c>
    </row>
    <row r="16396" spans="1:1" x14ac:dyDescent="0.3">
      <c r="A16396" t="s">
        <v>0</v>
      </c>
    </row>
    <row r="16397" spans="1:1" x14ac:dyDescent="0.3">
      <c r="A16397" t="s">
        <v>0</v>
      </c>
    </row>
    <row r="16398" spans="1:1" x14ac:dyDescent="0.3">
      <c r="A16398" t="s">
        <v>0</v>
      </c>
    </row>
    <row r="16399" spans="1:1" x14ac:dyDescent="0.3">
      <c r="A16399" t="s">
        <v>0</v>
      </c>
    </row>
    <row r="16400" spans="1:1" x14ac:dyDescent="0.3">
      <c r="A16400" t="s">
        <v>0</v>
      </c>
    </row>
    <row r="16401" spans="1:1" x14ac:dyDescent="0.3">
      <c r="A16401" t="s">
        <v>0</v>
      </c>
    </row>
    <row r="16402" spans="1:1" x14ac:dyDescent="0.3">
      <c r="A16402" t="s">
        <v>0</v>
      </c>
    </row>
    <row r="16403" spans="1:1" x14ac:dyDescent="0.3">
      <c r="A16403" t="s">
        <v>0</v>
      </c>
    </row>
    <row r="16404" spans="1:1" x14ac:dyDescent="0.3">
      <c r="A16404" t="s">
        <v>0</v>
      </c>
    </row>
    <row r="16405" spans="1:1" x14ac:dyDescent="0.3">
      <c r="A16405" t="s">
        <v>0</v>
      </c>
    </row>
    <row r="16406" spans="1:1" x14ac:dyDescent="0.3">
      <c r="A16406" t="s">
        <v>0</v>
      </c>
    </row>
    <row r="16407" spans="1:1" x14ac:dyDescent="0.3">
      <c r="A16407" t="s">
        <v>0</v>
      </c>
    </row>
    <row r="16408" spans="1:1" x14ac:dyDescent="0.3">
      <c r="A16408" t="s">
        <v>0</v>
      </c>
    </row>
    <row r="16409" spans="1:1" x14ac:dyDescent="0.3">
      <c r="A16409" t="s">
        <v>0</v>
      </c>
    </row>
    <row r="16410" spans="1:1" x14ac:dyDescent="0.3">
      <c r="A16410" t="s">
        <v>0</v>
      </c>
    </row>
    <row r="16411" spans="1:1" x14ac:dyDescent="0.3">
      <c r="A16411" t="s">
        <v>0</v>
      </c>
    </row>
    <row r="16412" spans="1:1" x14ac:dyDescent="0.3">
      <c r="A16412" t="s">
        <v>0</v>
      </c>
    </row>
    <row r="16413" spans="1:1" x14ac:dyDescent="0.3">
      <c r="A16413" t="s">
        <v>0</v>
      </c>
    </row>
    <row r="16414" spans="1:1" x14ac:dyDescent="0.3">
      <c r="A16414" t="s">
        <v>0</v>
      </c>
    </row>
    <row r="16415" spans="1:1" x14ac:dyDescent="0.3">
      <c r="A16415" t="s">
        <v>0</v>
      </c>
    </row>
    <row r="16416" spans="1:1" x14ac:dyDescent="0.3">
      <c r="A16416" t="s">
        <v>0</v>
      </c>
    </row>
    <row r="16417" spans="1:1" x14ac:dyDescent="0.3">
      <c r="A16417" t="s">
        <v>0</v>
      </c>
    </row>
    <row r="16418" spans="1:1" x14ac:dyDescent="0.3">
      <c r="A16418" t="s">
        <v>0</v>
      </c>
    </row>
    <row r="16419" spans="1:1" x14ac:dyDescent="0.3">
      <c r="A16419" t="s">
        <v>0</v>
      </c>
    </row>
    <row r="16420" spans="1:1" x14ac:dyDescent="0.3">
      <c r="A16420" t="s">
        <v>0</v>
      </c>
    </row>
    <row r="16421" spans="1:1" x14ac:dyDescent="0.3">
      <c r="A16421" t="s">
        <v>0</v>
      </c>
    </row>
    <row r="16422" spans="1:1" x14ac:dyDescent="0.3">
      <c r="A16422" t="s">
        <v>0</v>
      </c>
    </row>
    <row r="16423" spans="1:1" x14ac:dyDescent="0.3">
      <c r="A16423" t="s">
        <v>0</v>
      </c>
    </row>
    <row r="16424" spans="1:1" x14ac:dyDescent="0.3">
      <c r="A16424" t="s">
        <v>0</v>
      </c>
    </row>
    <row r="16425" spans="1:1" x14ac:dyDescent="0.3">
      <c r="A16425" t="s">
        <v>0</v>
      </c>
    </row>
    <row r="16426" spans="1:1" x14ac:dyDescent="0.3">
      <c r="A16426" t="s">
        <v>0</v>
      </c>
    </row>
    <row r="16427" spans="1:1" x14ac:dyDescent="0.3">
      <c r="A16427" t="s">
        <v>0</v>
      </c>
    </row>
    <row r="16428" spans="1:1" x14ac:dyDescent="0.3">
      <c r="A16428" t="s">
        <v>0</v>
      </c>
    </row>
    <row r="16429" spans="1:1" x14ac:dyDescent="0.3">
      <c r="A16429" t="s">
        <v>0</v>
      </c>
    </row>
    <row r="16430" spans="1:1" x14ac:dyDescent="0.3">
      <c r="A16430" t="s">
        <v>0</v>
      </c>
    </row>
    <row r="16431" spans="1:1" x14ac:dyDescent="0.3">
      <c r="A16431" t="s">
        <v>0</v>
      </c>
    </row>
    <row r="16432" spans="1:1" x14ac:dyDescent="0.3">
      <c r="A16432" t="s">
        <v>0</v>
      </c>
    </row>
    <row r="16433" spans="1:1" x14ac:dyDescent="0.3">
      <c r="A16433" t="s">
        <v>0</v>
      </c>
    </row>
    <row r="16434" spans="1:1" x14ac:dyDescent="0.3">
      <c r="A16434" t="s">
        <v>0</v>
      </c>
    </row>
    <row r="16435" spans="1:1" x14ac:dyDescent="0.3">
      <c r="A16435" t="s">
        <v>0</v>
      </c>
    </row>
    <row r="16436" spans="1:1" x14ac:dyDescent="0.3">
      <c r="A16436" t="s">
        <v>0</v>
      </c>
    </row>
    <row r="16437" spans="1:1" x14ac:dyDescent="0.3">
      <c r="A16437" t="s">
        <v>0</v>
      </c>
    </row>
    <row r="16438" spans="1:1" x14ac:dyDescent="0.3">
      <c r="A16438" t="s">
        <v>0</v>
      </c>
    </row>
    <row r="16439" spans="1:1" x14ac:dyDescent="0.3">
      <c r="A16439" t="s">
        <v>0</v>
      </c>
    </row>
    <row r="16440" spans="1:1" x14ac:dyDescent="0.3">
      <c r="A16440" t="s">
        <v>0</v>
      </c>
    </row>
    <row r="16441" spans="1:1" x14ac:dyDescent="0.3">
      <c r="A16441" t="s">
        <v>0</v>
      </c>
    </row>
    <row r="16442" spans="1:1" x14ac:dyDescent="0.3">
      <c r="A16442" t="s">
        <v>0</v>
      </c>
    </row>
    <row r="16443" spans="1:1" x14ac:dyDescent="0.3">
      <c r="A16443" t="s">
        <v>0</v>
      </c>
    </row>
    <row r="16444" spans="1:1" x14ac:dyDescent="0.3">
      <c r="A16444" t="s">
        <v>0</v>
      </c>
    </row>
    <row r="16445" spans="1:1" x14ac:dyDescent="0.3">
      <c r="A16445" t="s">
        <v>0</v>
      </c>
    </row>
    <row r="16446" spans="1:1" x14ac:dyDescent="0.3">
      <c r="A16446" t="s">
        <v>0</v>
      </c>
    </row>
    <row r="16447" spans="1:1" x14ac:dyDescent="0.3">
      <c r="A16447" t="s">
        <v>0</v>
      </c>
    </row>
    <row r="16448" spans="1:1" x14ac:dyDescent="0.3">
      <c r="A16448" t="s">
        <v>0</v>
      </c>
    </row>
    <row r="16449" spans="1:1" x14ac:dyDescent="0.3">
      <c r="A16449" t="s">
        <v>0</v>
      </c>
    </row>
    <row r="16450" spans="1:1" x14ac:dyDescent="0.3">
      <c r="A16450" t="s">
        <v>0</v>
      </c>
    </row>
    <row r="16451" spans="1:1" x14ac:dyDescent="0.3">
      <c r="A16451" t="s">
        <v>0</v>
      </c>
    </row>
    <row r="16452" spans="1:1" x14ac:dyDescent="0.3">
      <c r="A16452" t="s">
        <v>0</v>
      </c>
    </row>
    <row r="16453" spans="1:1" x14ac:dyDescent="0.3">
      <c r="A16453" t="s">
        <v>0</v>
      </c>
    </row>
    <row r="16454" spans="1:1" x14ac:dyDescent="0.3">
      <c r="A16454" t="s">
        <v>0</v>
      </c>
    </row>
    <row r="16455" spans="1:1" x14ac:dyDescent="0.3">
      <c r="A16455" t="s">
        <v>0</v>
      </c>
    </row>
    <row r="16456" spans="1:1" x14ac:dyDescent="0.3">
      <c r="A16456" t="s">
        <v>0</v>
      </c>
    </row>
    <row r="16457" spans="1:1" x14ac:dyDescent="0.3">
      <c r="A16457" t="s">
        <v>0</v>
      </c>
    </row>
    <row r="16458" spans="1:1" x14ac:dyDescent="0.3">
      <c r="A16458" t="s">
        <v>0</v>
      </c>
    </row>
    <row r="16459" spans="1:1" x14ac:dyDescent="0.3">
      <c r="A16459" t="s">
        <v>0</v>
      </c>
    </row>
    <row r="16460" spans="1:1" x14ac:dyDescent="0.3">
      <c r="A16460" t="s">
        <v>0</v>
      </c>
    </row>
    <row r="16461" spans="1:1" x14ac:dyDescent="0.3">
      <c r="A16461" t="s">
        <v>0</v>
      </c>
    </row>
    <row r="16462" spans="1:1" x14ac:dyDescent="0.3">
      <c r="A16462" t="s">
        <v>0</v>
      </c>
    </row>
    <row r="16463" spans="1:1" x14ac:dyDescent="0.3">
      <c r="A16463" t="s">
        <v>0</v>
      </c>
    </row>
    <row r="16464" spans="1:1" x14ac:dyDescent="0.3">
      <c r="A16464" t="s">
        <v>0</v>
      </c>
    </row>
    <row r="16465" spans="1:1" x14ac:dyDescent="0.3">
      <c r="A16465" t="s">
        <v>0</v>
      </c>
    </row>
    <row r="16466" spans="1:1" x14ac:dyDescent="0.3">
      <c r="A16466" t="s">
        <v>0</v>
      </c>
    </row>
    <row r="16467" spans="1:1" x14ac:dyDescent="0.3">
      <c r="A16467" t="s">
        <v>0</v>
      </c>
    </row>
    <row r="16468" spans="1:1" x14ac:dyDescent="0.3">
      <c r="A16468" t="s">
        <v>0</v>
      </c>
    </row>
    <row r="16469" spans="1:1" x14ac:dyDescent="0.3">
      <c r="A16469" t="s">
        <v>0</v>
      </c>
    </row>
    <row r="16470" spans="1:1" x14ac:dyDescent="0.3">
      <c r="A16470" t="s">
        <v>0</v>
      </c>
    </row>
    <row r="16471" spans="1:1" x14ac:dyDescent="0.3">
      <c r="A16471" t="s">
        <v>0</v>
      </c>
    </row>
    <row r="16472" spans="1:1" x14ac:dyDescent="0.3">
      <c r="A16472" t="s">
        <v>0</v>
      </c>
    </row>
    <row r="16473" spans="1:1" x14ac:dyDescent="0.3">
      <c r="A16473" t="s">
        <v>0</v>
      </c>
    </row>
    <row r="16474" spans="1:1" x14ac:dyDescent="0.3">
      <c r="A16474" t="s">
        <v>0</v>
      </c>
    </row>
    <row r="16475" spans="1:1" x14ac:dyDescent="0.3">
      <c r="A16475" t="s">
        <v>0</v>
      </c>
    </row>
    <row r="16476" spans="1:1" x14ac:dyDescent="0.3">
      <c r="A16476" t="s">
        <v>0</v>
      </c>
    </row>
    <row r="16477" spans="1:1" x14ac:dyDescent="0.3">
      <c r="A16477" t="s">
        <v>0</v>
      </c>
    </row>
    <row r="16478" spans="1:1" x14ac:dyDescent="0.3">
      <c r="A16478" t="s">
        <v>0</v>
      </c>
    </row>
    <row r="16479" spans="1:1" x14ac:dyDescent="0.3">
      <c r="A16479" t="s">
        <v>0</v>
      </c>
    </row>
    <row r="16480" spans="1:1" x14ac:dyDescent="0.3">
      <c r="A16480" t="s">
        <v>0</v>
      </c>
    </row>
    <row r="16481" spans="1:1" x14ac:dyDescent="0.3">
      <c r="A16481" t="s">
        <v>0</v>
      </c>
    </row>
    <row r="16482" spans="1:1" x14ac:dyDescent="0.3">
      <c r="A16482" t="s">
        <v>0</v>
      </c>
    </row>
    <row r="16483" spans="1:1" x14ac:dyDescent="0.3">
      <c r="A16483" t="s">
        <v>0</v>
      </c>
    </row>
    <row r="16484" spans="1:1" x14ac:dyDescent="0.3">
      <c r="A16484" t="s">
        <v>0</v>
      </c>
    </row>
    <row r="16485" spans="1:1" x14ac:dyDescent="0.3">
      <c r="A16485" t="s">
        <v>0</v>
      </c>
    </row>
    <row r="16486" spans="1:1" x14ac:dyDescent="0.3">
      <c r="A16486" t="s">
        <v>0</v>
      </c>
    </row>
    <row r="16487" spans="1:1" x14ac:dyDescent="0.3">
      <c r="A16487" t="s">
        <v>0</v>
      </c>
    </row>
    <row r="16488" spans="1:1" x14ac:dyDescent="0.3">
      <c r="A16488" t="s">
        <v>0</v>
      </c>
    </row>
    <row r="16489" spans="1:1" x14ac:dyDescent="0.3">
      <c r="A16489" t="s">
        <v>0</v>
      </c>
    </row>
    <row r="16490" spans="1:1" x14ac:dyDescent="0.3">
      <c r="A16490" t="s">
        <v>0</v>
      </c>
    </row>
    <row r="16491" spans="1:1" x14ac:dyDescent="0.3">
      <c r="A16491" t="s">
        <v>0</v>
      </c>
    </row>
    <row r="16492" spans="1:1" x14ac:dyDescent="0.3">
      <c r="A16492" t="s">
        <v>0</v>
      </c>
    </row>
    <row r="16493" spans="1:1" x14ac:dyDescent="0.3">
      <c r="A16493" t="s">
        <v>0</v>
      </c>
    </row>
    <row r="16494" spans="1:1" x14ac:dyDescent="0.3">
      <c r="A16494" t="s">
        <v>0</v>
      </c>
    </row>
    <row r="16495" spans="1:1" x14ac:dyDescent="0.3">
      <c r="A16495" t="s">
        <v>0</v>
      </c>
    </row>
    <row r="16496" spans="1:1" x14ac:dyDescent="0.3">
      <c r="A16496" t="s">
        <v>0</v>
      </c>
    </row>
    <row r="16497" spans="1:1" x14ac:dyDescent="0.3">
      <c r="A16497" t="s">
        <v>0</v>
      </c>
    </row>
    <row r="16498" spans="1:1" x14ac:dyDescent="0.3">
      <c r="A16498" t="s">
        <v>0</v>
      </c>
    </row>
    <row r="16499" spans="1:1" x14ac:dyDescent="0.3">
      <c r="A16499" t="s">
        <v>0</v>
      </c>
    </row>
    <row r="16500" spans="1:1" x14ac:dyDescent="0.3">
      <c r="A16500" t="s">
        <v>0</v>
      </c>
    </row>
    <row r="16501" spans="1:1" x14ac:dyDescent="0.3">
      <c r="A16501" t="s">
        <v>0</v>
      </c>
    </row>
    <row r="16502" spans="1:1" x14ac:dyDescent="0.3">
      <c r="A16502" t="s">
        <v>0</v>
      </c>
    </row>
    <row r="16503" spans="1:1" x14ac:dyDescent="0.3">
      <c r="A16503" t="s">
        <v>0</v>
      </c>
    </row>
    <row r="16504" spans="1:1" x14ac:dyDescent="0.3">
      <c r="A16504" t="s">
        <v>0</v>
      </c>
    </row>
    <row r="16505" spans="1:1" x14ac:dyDescent="0.3">
      <c r="A16505" t="s">
        <v>0</v>
      </c>
    </row>
    <row r="16506" spans="1:1" x14ac:dyDescent="0.3">
      <c r="A16506" t="s">
        <v>0</v>
      </c>
    </row>
    <row r="16507" spans="1:1" x14ac:dyDescent="0.3">
      <c r="A16507" t="s">
        <v>0</v>
      </c>
    </row>
    <row r="16508" spans="1:1" x14ac:dyDescent="0.3">
      <c r="A16508" t="s">
        <v>0</v>
      </c>
    </row>
    <row r="16509" spans="1:1" x14ac:dyDescent="0.3">
      <c r="A16509" t="s">
        <v>0</v>
      </c>
    </row>
    <row r="16510" spans="1:1" x14ac:dyDescent="0.3">
      <c r="A16510" t="s">
        <v>0</v>
      </c>
    </row>
    <row r="16511" spans="1:1" x14ac:dyDescent="0.3">
      <c r="A16511" t="s">
        <v>0</v>
      </c>
    </row>
    <row r="16512" spans="1:1" x14ac:dyDescent="0.3">
      <c r="A16512" t="s">
        <v>0</v>
      </c>
    </row>
    <row r="16513" spans="1:1" x14ac:dyDescent="0.3">
      <c r="A16513" t="s">
        <v>0</v>
      </c>
    </row>
    <row r="16514" spans="1:1" x14ac:dyDescent="0.3">
      <c r="A16514" t="s">
        <v>0</v>
      </c>
    </row>
    <row r="16515" spans="1:1" x14ac:dyDescent="0.3">
      <c r="A16515" t="s">
        <v>0</v>
      </c>
    </row>
    <row r="16516" spans="1:1" x14ac:dyDescent="0.3">
      <c r="A16516" t="s">
        <v>0</v>
      </c>
    </row>
    <row r="16517" spans="1:1" x14ac:dyDescent="0.3">
      <c r="A16517" t="s">
        <v>0</v>
      </c>
    </row>
    <row r="16518" spans="1:1" x14ac:dyDescent="0.3">
      <c r="A16518" t="s">
        <v>0</v>
      </c>
    </row>
    <row r="16519" spans="1:1" x14ac:dyDescent="0.3">
      <c r="A16519" t="s">
        <v>0</v>
      </c>
    </row>
    <row r="16520" spans="1:1" x14ac:dyDescent="0.3">
      <c r="A16520" t="s">
        <v>0</v>
      </c>
    </row>
    <row r="16521" spans="1:1" x14ac:dyDescent="0.3">
      <c r="A16521" t="s">
        <v>0</v>
      </c>
    </row>
    <row r="16522" spans="1:1" x14ac:dyDescent="0.3">
      <c r="A16522" t="s">
        <v>0</v>
      </c>
    </row>
    <row r="16523" spans="1:1" x14ac:dyDescent="0.3">
      <c r="A16523" t="s">
        <v>0</v>
      </c>
    </row>
    <row r="16524" spans="1:1" x14ac:dyDescent="0.3">
      <c r="A16524" t="s">
        <v>0</v>
      </c>
    </row>
    <row r="16525" spans="1:1" x14ac:dyDescent="0.3">
      <c r="A16525" t="s">
        <v>0</v>
      </c>
    </row>
    <row r="16526" spans="1:1" x14ac:dyDescent="0.3">
      <c r="A16526" t="s">
        <v>0</v>
      </c>
    </row>
    <row r="16527" spans="1:1" x14ac:dyDescent="0.3">
      <c r="A16527" t="s">
        <v>0</v>
      </c>
    </row>
    <row r="16528" spans="1:1" x14ac:dyDescent="0.3">
      <c r="A16528" t="s">
        <v>0</v>
      </c>
    </row>
    <row r="16529" spans="1:1" x14ac:dyDescent="0.3">
      <c r="A16529" t="s">
        <v>0</v>
      </c>
    </row>
    <row r="16530" spans="1:1" x14ac:dyDescent="0.3">
      <c r="A16530" t="s">
        <v>0</v>
      </c>
    </row>
    <row r="16531" spans="1:1" x14ac:dyDescent="0.3">
      <c r="A16531" t="s">
        <v>0</v>
      </c>
    </row>
    <row r="16532" spans="1:1" x14ac:dyDescent="0.3">
      <c r="A16532" t="s">
        <v>0</v>
      </c>
    </row>
    <row r="16533" spans="1:1" x14ac:dyDescent="0.3">
      <c r="A16533" t="s">
        <v>0</v>
      </c>
    </row>
    <row r="16534" spans="1:1" x14ac:dyDescent="0.3">
      <c r="A16534" t="s">
        <v>0</v>
      </c>
    </row>
    <row r="16535" spans="1:1" x14ac:dyDescent="0.3">
      <c r="A16535" t="s">
        <v>0</v>
      </c>
    </row>
    <row r="16536" spans="1:1" x14ac:dyDescent="0.3">
      <c r="A16536" t="s">
        <v>0</v>
      </c>
    </row>
    <row r="16537" spans="1:1" x14ac:dyDescent="0.3">
      <c r="A16537" t="s">
        <v>0</v>
      </c>
    </row>
    <row r="16538" spans="1:1" x14ac:dyDescent="0.3">
      <c r="A16538" t="s">
        <v>0</v>
      </c>
    </row>
    <row r="16539" spans="1:1" x14ac:dyDescent="0.3">
      <c r="A16539" t="s">
        <v>0</v>
      </c>
    </row>
    <row r="16540" spans="1:1" x14ac:dyDescent="0.3">
      <c r="A16540" t="s">
        <v>0</v>
      </c>
    </row>
    <row r="16541" spans="1:1" x14ac:dyDescent="0.3">
      <c r="A16541" t="s">
        <v>0</v>
      </c>
    </row>
    <row r="16542" spans="1:1" x14ac:dyDescent="0.3">
      <c r="A16542" t="s">
        <v>0</v>
      </c>
    </row>
    <row r="16543" spans="1:1" x14ac:dyDescent="0.3">
      <c r="A16543" t="s">
        <v>0</v>
      </c>
    </row>
    <row r="16544" spans="1:1" x14ac:dyDescent="0.3">
      <c r="A16544" t="s">
        <v>0</v>
      </c>
    </row>
    <row r="16545" spans="1:1" x14ac:dyDescent="0.3">
      <c r="A16545" t="s">
        <v>0</v>
      </c>
    </row>
    <row r="16546" spans="1:1" x14ac:dyDescent="0.3">
      <c r="A16546" t="s">
        <v>0</v>
      </c>
    </row>
    <row r="16547" spans="1:1" x14ac:dyDescent="0.3">
      <c r="A16547" t="s">
        <v>0</v>
      </c>
    </row>
    <row r="16548" spans="1:1" x14ac:dyDescent="0.3">
      <c r="A16548" t="s">
        <v>0</v>
      </c>
    </row>
    <row r="16549" spans="1:1" x14ac:dyDescent="0.3">
      <c r="A16549" t="s">
        <v>0</v>
      </c>
    </row>
    <row r="16550" spans="1:1" x14ac:dyDescent="0.3">
      <c r="A16550" t="s">
        <v>0</v>
      </c>
    </row>
    <row r="16551" spans="1:1" x14ac:dyDescent="0.3">
      <c r="A16551" t="s">
        <v>0</v>
      </c>
    </row>
    <row r="16552" spans="1:1" x14ac:dyDescent="0.3">
      <c r="A16552" t="s">
        <v>0</v>
      </c>
    </row>
    <row r="16553" spans="1:1" x14ac:dyDescent="0.3">
      <c r="A16553" t="s">
        <v>0</v>
      </c>
    </row>
    <row r="16554" spans="1:1" x14ac:dyDescent="0.3">
      <c r="A16554" t="s">
        <v>0</v>
      </c>
    </row>
    <row r="16555" spans="1:1" x14ac:dyDescent="0.3">
      <c r="A16555" t="s">
        <v>0</v>
      </c>
    </row>
    <row r="16556" spans="1:1" x14ac:dyDescent="0.3">
      <c r="A16556" t="s">
        <v>0</v>
      </c>
    </row>
    <row r="16557" spans="1:1" x14ac:dyDescent="0.3">
      <c r="A16557" t="s">
        <v>0</v>
      </c>
    </row>
    <row r="16558" spans="1:1" x14ac:dyDescent="0.3">
      <c r="A16558" t="s">
        <v>0</v>
      </c>
    </row>
    <row r="16559" spans="1:1" x14ac:dyDescent="0.3">
      <c r="A16559" t="s">
        <v>0</v>
      </c>
    </row>
    <row r="16560" spans="1:1" x14ac:dyDescent="0.3">
      <c r="A16560" t="s">
        <v>0</v>
      </c>
    </row>
    <row r="16561" spans="1:1" x14ac:dyDescent="0.3">
      <c r="A16561" t="s">
        <v>0</v>
      </c>
    </row>
    <row r="16562" spans="1:1" x14ac:dyDescent="0.3">
      <c r="A16562" t="s">
        <v>0</v>
      </c>
    </row>
    <row r="16563" spans="1:1" x14ac:dyDescent="0.3">
      <c r="A16563" t="s">
        <v>0</v>
      </c>
    </row>
    <row r="16564" spans="1:1" x14ac:dyDescent="0.3">
      <c r="A16564" t="s">
        <v>0</v>
      </c>
    </row>
    <row r="16565" spans="1:1" x14ac:dyDescent="0.3">
      <c r="A16565" t="s">
        <v>0</v>
      </c>
    </row>
    <row r="16566" spans="1:1" x14ac:dyDescent="0.3">
      <c r="A16566" t="s">
        <v>0</v>
      </c>
    </row>
    <row r="16567" spans="1:1" x14ac:dyDescent="0.3">
      <c r="A16567" t="s">
        <v>0</v>
      </c>
    </row>
    <row r="16568" spans="1:1" x14ac:dyDescent="0.3">
      <c r="A16568" t="s">
        <v>0</v>
      </c>
    </row>
    <row r="16569" spans="1:1" x14ac:dyDescent="0.3">
      <c r="A16569" t="s">
        <v>0</v>
      </c>
    </row>
    <row r="16570" spans="1:1" x14ac:dyDescent="0.3">
      <c r="A16570" t="s">
        <v>0</v>
      </c>
    </row>
    <row r="16571" spans="1:1" x14ac:dyDescent="0.3">
      <c r="A16571" t="s">
        <v>0</v>
      </c>
    </row>
    <row r="16572" spans="1:1" x14ac:dyDescent="0.3">
      <c r="A16572" t="s">
        <v>0</v>
      </c>
    </row>
    <row r="16573" spans="1:1" x14ac:dyDescent="0.3">
      <c r="A16573" t="s">
        <v>0</v>
      </c>
    </row>
    <row r="16574" spans="1:1" x14ac:dyDescent="0.3">
      <c r="A16574" t="s">
        <v>0</v>
      </c>
    </row>
    <row r="16575" spans="1:1" x14ac:dyDescent="0.3">
      <c r="A16575" t="s">
        <v>0</v>
      </c>
    </row>
    <row r="16576" spans="1:1" x14ac:dyDescent="0.3">
      <c r="A16576" t="s">
        <v>0</v>
      </c>
    </row>
    <row r="16577" spans="1:1" x14ac:dyDescent="0.3">
      <c r="A16577" t="s">
        <v>0</v>
      </c>
    </row>
    <row r="16578" spans="1:1" x14ac:dyDescent="0.3">
      <c r="A16578" t="s">
        <v>0</v>
      </c>
    </row>
    <row r="16579" spans="1:1" x14ac:dyDescent="0.3">
      <c r="A16579" t="s">
        <v>0</v>
      </c>
    </row>
    <row r="16580" spans="1:1" x14ac:dyDescent="0.3">
      <c r="A16580" t="s">
        <v>0</v>
      </c>
    </row>
    <row r="16581" spans="1:1" x14ac:dyDescent="0.3">
      <c r="A16581" t="s">
        <v>0</v>
      </c>
    </row>
    <row r="16582" spans="1:1" x14ac:dyDescent="0.3">
      <c r="A16582" t="s">
        <v>0</v>
      </c>
    </row>
    <row r="16583" spans="1:1" x14ac:dyDescent="0.3">
      <c r="A16583" t="s">
        <v>0</v>
      </c>
    </row>
    <row r="16584" spans="1:1" x14ac:dyDescent="0.3">
      <c r="A16584" t="s">
        <v>0</v>
      </c>
    </row>
    <row r="16585" spans="1:1" x14ac:dyDescent="0.3">
      <c r="A16585" t="s">
        <v>0</v>
      </c>
    </row>
    <row r="16586" spans="1:1" x14ac:dyDescent="0.3">
      <c r="A16586" t="s">
        <v>0</v>
      </c>
    </row>
    <row r="16587" spans="1:1" x14ac:dyDescent="0.3">
      <c r="A16587" t="s">
        <v>0</v>
      </c>
    </row>
    <row r="16588" spans="1:1" x14ac:dyDescent="0.3">
      <c r="A16588" t="s">
        <v>0</v>
      </c>
    </row>
    <row r="16589" spans="1:1" x14ac:dyDescent="0.3">
      <c r="A16589" t="s">
        <v>0</v>
      </c>
    </row>
    <row r="16590" spans="1:1" x14ac:dyDescent="0.3">
      <c r="A16590" t="s">
        <v>0</v>
      </c>
    </row>
    <row r="16591" spans="1:1" x14ac:dyDescent="0.3">
      <c r="A16591" t="s">
        <v>0</v>
      </c>
    </row>
    <row r="16592" spans="1:1" x14ac:dyDescent="0.3">
      <c r="A16592" t="s">
        <v>0</v>
      </c>
    </row>
    <row r="16593" spans="1:1" x14ac:dyDescent="0.3">
      <c r="A16593" t="s">
        <v>0</v>
      </c>
    </row>
    <row r="16594" spans="1:1" x14ac:dyDescent="0.3">
      <c r="A16594" t="s">
        <v>0</v>
      </c>
    </row>
    <row r="16595" spans="1:1" x14ac:dyDescent="0.3">
      <c r="A16595" t="s">
        <v>0</v>
      </c>
    </row>
    <row r="16596" spans="1:1" x14ac:dyDescent="0.3">
      <c r="A16596" t="s">
        <v>0</v>
      </c>
    </row>
    <row r="16597" spans="1:1" x14ac:dyDescent="0.3">
      <c r="A16597" t="s">
        <v>0</v>
      </c>
    </row>
    <row r="16598" spans="1:1" x14ac:dyDescent="0.3">
      <c r="A16598" t="s">
        <v>0</v>
      </c>
    </row>
    <row r="16599" spans="1:1" x14ac:dyDescent="0.3">
      <c r="A16599" t="s">
        <v>0</v>
      </c>
    </row>
    <row r="16600" spans="1:1" x14ac:dyDescent="0.3">
      <c r="A16600" t="s">
        <v>0</v>
      </c>
    </row>
    <row r="16601" spans="1:1" x14ac:dyDescent="0.3">
      <c r="A16601" t="s">
        <v>0</v>
      </c>
    </row>
    <row r="16602" spans="1:1" x14ac:dyDescent="0.3">
      <c r="A16602" t="s">
        <v>0</v>
      </c>
    </row>
    <row r="16603" spans="1:1" x14ac:dyDescent="0.3">
      <c r="A16603" t="s">
        <v>0</v>
      </c>
    </row>
    <row r="16604" spans="1:1" x14ac:dyDescent="0.3">
      <c r="A16604" t="s">
        <v>0</v>
      </c>
    </row>
    <row r="16605" spans="1:1" x14ac:dyDescent="0.3">
      <c r="A16605" t="s">
        <v>0</v>
      </c>
    </row>
    <row r="16606" spans="1:1" x14ac:dyDescent="0.3">
      <c r="A16606" t="s">
        <v>0</v>
      </c>
    </row>
    <row r="16607" spans="1:1" x14ac:dyDescent="0.3">
      <c r="A16607" t="s">
        <v>0</v>
      </c>
    </row>
    <row r="16608" spans="1:1" x14ac:dyDescent="0.3">
      <c r="A16608" t="s">
        <v>0</v>
      </c>
    </row>
    <row r="16609" spans="1:1" x14ac:dyDescent="0.3">
      <c r="A16609" t="s">
        <v>0</v>
      </c>
    </row>
    <row r="16610" spans="1:1" x14ac:dyDescent="0.3">
      <c r="A16610" t="s">
        <v>0</v>
      </c>
    </row>
    <row r="16611" spans="1:1" x14ac:dyDescent="0.3">
      <c r="A16611" t="s">
        <v>0</v>
      </c>
    </row>
    <row r="16612" spans="1:1" x14ac:dyDescent="0.3">
      <c r="A16612" t="s">
        <v>0</v>
      </c>
    </row>
    <row r="16613" spans="1:1" x14ac:dyDescent="0.3">
      <c r="A16613" t="s">
        <v>0</v>
      </c>
    </row>
    <row r="16614" spans="1:1" x14ac:dyDescent="0.3">
      <c r="A16614" t="s">
        <v>0</v>
      </c>
    </row>
    <row r="16615" spans="1:1" x14ac:dyDescent="0.3">
      <c r="A16615" t="s">
        <v>0</v>
      </c>
    </row>
    <row r="16616" spans="1:1" x14ac:dyDescent="0.3">
      <c r="A16616" t="s">
        <v>0</v>
      </c>
    </row>
    <row r="16617" spans="1:1" x14ac:dyDescent="0.3">
      <c r="A16617" t="s">
        <v>0</v>
      </c>
    </row>
    <row r="16618" spans="1:1" x14ac:dyDescent="0.3">
      <c r="A16618" t="s">
        <v>0</v>
      </c>
    </row>
    <row r="16619" spans="1:1" x14ac:dyDescent="0.3">
      <c r="A16619" t="s">
        <v>0</v>
      </c>
    </row>
    <row r="16620" spans="1:1" x14ac:dyDescent="0.3">
      <c r="A16620" t="s">
        <v>0</v>
      </c>
    </row>
    <row r="16621" spans="1:1" x14ac:dyDescent="0.3">
      <c r="A16621" t="s">
        <v>0</v>
      </c>
    </row>
    <row r="16622" spans="1:1" x14ac:dyDescent="0.3">
      <c r="A16622" t="s">
        <v>0</v>
      </c>
    </row>
    <row r="16623" spans="1:1" x14ac:dyDescent="0.3">
      <c r="A16623" t="s">
        <v>0</v>
      </c>
    </row>
    <row r="16624" spans="1:1" x14ac:dyDescent="0.3">
      <c r="A16624" t="s">
        <v>0</v>
      </c>
    </row>
    <row r="16625" spans="1:1" x14ac:dyDescent="0.3">
      <c r="A16625" t="s">
        <v>0</v>
      </c>
    </row>
    <row r="16626" spans="1:1" x14ac:dyDescent="0.3">
      <c r="A16626" t="s">
        <v>0</v>
      </c>
    </row>
    <row r="16627" spans="1:1" x14ac:dyDescent="0.3">
      <c r="A16627" t="s">
        <v>0</v>
      </c>
    </row>
    <row r="16628" spans="1:1" x14ac:dyDescent="0.3">
      <c r="A16628" t="s">
        <v>0</v>
      </c>
    </row>
    <row r="16629" spans="1:1" x14ac:dyDescent="0.3">
      <c r="A16629" t="s">
        <v>0</v>
      </c>
    </row>
    <row r="16630" spans="1:1" x14ac:dyDescent="0.3">
      <c r="A16630" t="s">
        <v>0</v>
      </c>
    </row>
    <row r="16631" spans="1:1" x14ac:dyDescent="0.3">
      <c r="A16631" t="s">
        <v>0</v>
      </c>
    </row>
    <row r="16632" spans="1:1" x14ac:dyDescent="0.3">
      <c r="A16632" t="s">
        <v>0</v>
      </c>
    </row>
    <row r="16633" spans="1:1" x14ac:dyDescent="0.3">
      <c r="A16633" t="s">
        <v>0</v>
      </c>
    </row>
    <row r="16634" spans="1:1" x14ac:dyDescent="0.3">
      <c r="A16634" t="s">
        <v>0</v>
      </c>
    </row>
    <row r="16635" spans="1:1" x14ac:dyDescent="0.3">
      <c r="A16635" t="s">
        <v>0</v>
      </c>
    </row>
    <row r="16636" spans="1:1" x14ac:dyDescent="0.3">
      <c r="A16636" t="s">
        <v>0</v>
      </c>
    </row>
    <row r="16637" spans="1:1" x14ac:dyDescent="0.3">
      <c r="A16637" t="s">
        <v>0</v>
      </c>
    </row>
    <row r="16638" spans="1:1" x14ac:dyDescent="0.3">
      <c r="A16638" t="s">
        <v>0</v>
      </c>
    </row>
    <row r="16639" spans="1:1" x14ac:dyDescent="0.3">
      <c r="A16639" t="s">
        <v>0</v>
      </c>
    </row>
    <row r="16640" spans="1:1" x14ac:dyDescent="0.3">
      <c r="A16640" t="s">
        <v>0</v>
      </c>
    </row>
    <row r="16641" spans="1:1" x14ac:dyDescent="0.3">
      <c r="A16641" t="s">
        <v>0</v>
      </c>
    </row>
    <row r="16642" spans="1:1" x14ac:dyDescent="0.3">
      <c r="A16642" t="s">
        <v>0</v>
      </c>
    </row>
    <row r="16643" spans="1:1" x14ac:dyDescent="0.3">
      <c r="A16643" t="s">
        <v>0</v>
      </c>
    </row>
    <row r="16644" spans="1:1" x14ac:dyDescent="0.3">
      <c r="A16644" t="s">
        <v>0</v>
      </c>
    </row>
    <row r="16645" spans="1:1" x14ac:dyDescent="0.3">
      <c r="A16645" t="s">
        <v>0</v>
      </c>
    </row>
    <row r="16646" spans="1:1" x14ac:dyDescent="0.3">
      <c r="A16646" t="s">
        <v>0</v>
      </c>
    </row>
    <row r="16647" spans="1:1" x14ac:dyDescent="0.3">
      <c r="A16647" t="s">
        <v>0</v>
      </c>
    </row>
    <row r="16648" spans="1:1" x14ac:dyDescent="0.3">
      <c r="A16648" t="s">
        <v>0</v>
      </c>
    </row>
    <row r="16649" spans="1:1" x14ac:dyDescent="0.3">
      <c r="A16649" t="s">
        <v>0</v>
      </c>
    </row>
    <row r="16650" spans="1:1" x14ac:dyDescent="0.3">
      <c r="A16650" t="s">
        <v>0</v>
      </c>
    </row>
    <row r="16651" spans="1:1" x14ac:dyDescent="0.3">
      <c r="A16651" t="s">
        <v>0</v>
      </c>
    </row>
    <row r="16652" spans="1:1" x14ac:dyDescent="0.3">
      <c r="A16652" t="s">
        <v>0</v>
      </c>
    </row>
    <row r="16653" spans="1:1" x14ac:dyDescent="0.3">
      <c r="A16653" t="s">
        <v>0</v>
      </c>
    </row>
    <row r="16654" spans="1:1" x14ac:dyDescent="0.3">
      <c r="A16654" t="s">
        <v>0</v>
      </c>
    </row>
    <row r="16655" spans="1:1" x14ac:dyDescent="0.3">
      <c r="A16655" t="s">
        <v>0</v>
      </c>
    </row>
    <row r="16656" spans="1:1" x14ac:dyDescent="0.3">
      <c r="A16656" t="s">
        <v>0</v>
      </c>
    </row>
    <row r="16657" spans="1:1" x14ac:dyDescent="0.3">
      <c r="A16657" t="s">
        <v>0</v>
      </c>
    </row>
    <row r="16658" spans="1:1" x14ac:dyDescent="0.3">
      <c r="A16658" t="s">
        <v>0</v>
      </c>
    </row>
    <row r="16659" spans="1:1" x14ac:dyDescent="0.3">
      <c r="A16659" t="s">
        <v>0</v>
      </c>
    </row>
    <row r="16660" spans="1:1" x14ac:dyDescent="0.3">
      <c r="A16660" t="s">
        <v>0</v>
      </c>
    </row>
    <row r="16661" spans="1:1" x14ac:dyDescent="0.3">
      <c r="A16661" t="s">
        <v>0</v>
      </c>
    </row>
    <row r="16662" spans="1:1" x14ac:dyDescent="0.3">
      <c r="A16662" t="s">
        <v>0</v>
      </c>
    </row>
    <row r="16663" spans="1:1" x14ac:dyDescent="0.3">
      <c r="A16663" t="s">
        <v>0</v>
      </c>
    </row>
    <row r="16664" spans="1:1" x14ac:dyDescent="0.3">
      <c r="A16664" t="s">
        <v>0</v>
      </c>
    </row>
    <row r="16665" spans="1:1" x14ac:dyDescent="0.3">
      <c r="A16665" t="s">
        <v>0</v>
      </c>
    </row>
    <row r="16666" spans="1:1" x14ac:dyDescent="0.3">
      <c r="A16666" t="s">
        <v>0</v>
      </c>
    </row>
    <row r="16667" spans="1:1" x14ac:dyDescent="0.3">
      <c r="A16667" t="s">
        <v>0</v>
      </c>
    </row>
    <row r="16668" spans="1:1" x14ac:dyDescent="0.3">
      <c r="A16668" t="s">
        <v>0</v>
      </c>
    </row>
    <row r="16669" spans="1:1" x14ac:dyDescent="0.3">
      <c r="A16669" t="s">
        <v>0</v>
      </c>
    </row>
    <row r="16670" spans="1:1" x14ac:dyDescent="0.3">
      <c r="A16670" t="s">
        <v>0</v>
      </c>
    </row>
    <row r="16671" spans="1:1" x14ac:dyDescent="0.3">
      <c r="A16671" t="s">
        <v>0</v>
      </c>
    </row>
    <row r="16672" spans="1:1" x14ac:dyDescent="0.3">
      <c r="A16672" t="s">
        <v>0</v>
      </c>
    </row>
    <row r="16673" spans="1:1" x14ac:dyDescent="0.3">
      <c r="A16673" t="s">
        <v>0</v>
      </c>
    </row>
    <row r="16674" spans="1:1" x14ac:dyDescent="0.3">
      <c r="A16674" t="s">
        <v>0</v>
      </c>
    </row>
    <row r="16675" spans="1:1" x14ac:dyDescent="0.3">
      <c r="A16675" t="s">
        <v>0</v>
      </c>
    </row>
    <row r="16676" spans="1:1" x14ac:dyDescent="0.3">
      <c r="A16676" t="s">
        <v>0</v>
      </c>
    </row>
    <row r="16677" spans="1:1" x14ac:dyDescent="0.3">
      <c r="A16677" t="s">
        <v>0</v>
      </c>
    </row>
    <row r="16678" spans="1:1" x14ac:dyDescent="0.3">
      <c r="A16678" t="s">
        <v>0</v>
      </c>
    </row>
    <row r="16679" spans="1:1" x14ac:dyDescent="0.3">
      <c r="A16679" t="s">
        <v>0</v>
      </c>
    </row>
    <row r="16680" spans="1:1" x14ac:dyDescent="0.3">
      <c r="A16680" t="s">
        <v>0</v>
      </c>
    </row>
    <row r="16681" spans="1:1" x14ac:dyDescent="0.3">
      <c r="A16681" t="s">
        <v>0</v>
      </c>
    </row>
    <row r="16682" spans="1:1" x14ac:dyDescent="0.3">
      <c r="A16682" t="s">
        <v>0</v>
      </c>
    </row>
    <row r="16683" spans="1:1" x14ac:dyDescent="0.3">
      <c r="A16683" t="s">
        <v>0</v>
      </c>
    </row>
    <row r="16684" spans="1:1" x14ac:dyDescent="0.3">
      <c r="A16684" t="s">
        <v>0</v>
      </c>
    </row>
    <row r="16685" spans="1:1" x14ac:dyDescent="0.3">
      <c r="A16685" t="s">
        <v>0</v>
      </c>
    </row>
    <row r="16686" spans="1:1" x14ac:dyDescent="0.3">
      <c r="A16686" t="s">
        <v>0</v>
      </c>
    </row>
    <row r="16687" spans="1:1" x14ac:dyDescent="0.3">
      <c r="A16687" t="s">
        <v>0</v>
      </c>
    </row>
    <row r="16688" spans="1:1" x14ac:dyDescent="0.3">
      <c r="A16688" t="s">
        <v>0</v>
      </c>
    </row>
    <row r="16689" spans="1:1" x14ac:dyDescent="0.3">
      <c r="A16689" t="s">
        <v>0</v>
      </c>
    </row>
    <row r="16690" spans="1:1" x14ac:dyDescent="0.3">
      <c r="A16690" t="s">
        <v>0</v>
      </c>
    </row>
    <row r="16691" spans="1:1" x14ac:dyDescent="0.3">
      <c r="A16691" t="s">
        <v>0</v>
      </c>
    </row>
    <row r="16692" spans="1:1" x14ac:dyDescent="0.3">
      <c r="A16692" t="s">
        <v>0</v>
      </c>
    </row>
    <row r="16693" spans="1:1" x14ac:dyDescent="0.3">
      <c r="A16693" t="s">
        <v>0</v>
      </c>
    </row>
    <row r="16694" spans="1:1" x14ac:dyDescent="0.3">
      <c r="A16694" t="s">
        <v>0</v>
      </c>
    </row>
    <row r="16695" spans="1:1" x14ac:dyDescent="0.3">
      <c r="A16695" t="s">
        <v>0</v>
      </c>
    </row>
    <row r="16696" spans="1:1" x14ac:dyDescent="0.3">
      <c r="A16696" t="s">
        <v>0</v>
      </c>
    </row>
    <row r="16697" spans="1:1" x14ac:dyDescent="0.3">
      <c r="A16697" t="s">
        <v>0</v>
      </c>
    </row>
    <row r="16698" spans="1:1" x14ac:dyDescent="0.3">
      <c r="A16698" t="s">
        <v>0</v>
      </c>
    </row>
    <row r="16699" spans="1:1" x14ac:dyDescent="0.3">
      <c r="A16699" t="s">
        <v>0</v>
      </c>
    </row>
    <row r="16700" spans="1:1" x14ac:dyDescent="0.3">
      <c r="A16700" t="s">
        <v>0</v>
      </c>
    </row>
    <row r="16701" spans="1:1" x14ac:dyDescent="0.3">
      <c r="A16701" t="s">
        <v>0</v>
      </c>
    </row>
    <row r="16702" spans="1:1" x14ac:dyDescent="0.3">
      <c r="A16702" t="s">
        <v>0</v>
      </c>
    </row>
    <row r="16703" spans="1:1" x14ac:dyDescent="0.3">
      <c r="A16703" t="s">
        <v>0</v>
      </c>
    </row>
    <row r="16704" spans="1:1" x14ac:dyDescent="0.3">
      <c r="A16704" t="s">
        <v>0</v>
      </c>
    </row>
    <row r="16705" spans="1:1" x14ac:dyDescent="0.3">
      <c r="A16705" t="s">
        <v>0</v>
      </c>
    </row>
    <row r="16706" spans="1:1" x14ac:dyDescent="0.3">
      <c r="A16706" t="s">
        <v>0</v>
      </c>
    </row>
    <row r="16707" spans="1:1" x14ac:dyDescent="0.3">
      <c r="A16707" t="s">
        <v>0</v>
      </c>
    </row>
    <row r="16708" spans="1:1" x14ac:dyDescent="0.3">
      <c r="A16708" t="s">
        <v>0</v>
      </c>
    </row>
    <row r="16709" spans="1:1" x14ac:dyDescent="0.3">
      <c r="A16709" t="s">
        <v>0</v>
      </c>
    </row>
    <row r="16710" spans="1:1" x14ac:dyDescent="0.3">
      <c r="A16710" t="s">
        <v>0</v>
      </c>
    </row>
    <row r="16711" spans="1:1" x14ac:dyDescent="0.3">
      <c r="A16711" t="s">
        <v>0</v>
      </c>
    </row>
    <row r="16712" spans="1:1" x14ac:dyDescent="0.3">
      <c r="A16712" t="s">
        <v>0</v>
      </c>
    </row>
    <row r="16713" spans="1:1" x14ac:dyDescent="0.3">
      <c r="A16713" t="s">
        <v>0</v>
      </c>
    </row>
    <row r="16714" spans="1:1" x14ac:dyDescent="0.3">
      <c r="A16714" t="s">
        <v>0</v>
      </c>
    </row>
    <row r="16715" spans="1:1" x14ac:dyDescent="0.3">
      <c r="A16715" t="s">
        <v>0</v>
      </c>
    </row>
    <row r="16716" spans="1:1" x14ac:dyDescent="0.3">
      <c r="A16716" t="s">
        <v>0</v>
      </c>
    </row>
    <row r="16717" spans="1:1" x14ac:dyDescent="0.3">
      <c r="A16717" t="s">
        <v>0</v>
      </c>
    </row>
    <row r="16718" spans="1:1" x14ac:dyDescent="0.3">
      <c r="A16718" t="s">
        <v>0</v>
      </c>
    </row>
    <row r="16719" spans="1:1" x14ac:dyDescent="0.3">
      <c r="A16719" t="s">
        <v>0</v>
      </c>
    </row>
    <row r="16720" spans="1:1" x14ac:dyDescent="0.3">
      <c r="A16720" t="s">
        <v>0</v>
      </c>
    </row>
    <row r="16721" spans="1:1" x14ac:dyDescent="0.3">
      <c r="A16721" t="s">
        <v>0</v>
      </c>
    </row>
    <row r="16722" spans="1:1" x14ac:dyDescent="0.3">
      <c r="A16722" t="s">
        <v>0</v>
      </c>
    </row>
    <row r="16723" spans="1:1" x14ac:dyDescent="0.3">
      <c r="A16723" t="s">
        <v>0</v>
      </c>
    </row>
    <row r="16724" spans="1:1" x14ac:dyDescent="0.3">
      <c r="A16724" t="s">
        <v>0</v>
      </c>
    </row>
    <row r="16725" spans="1:1" x14ac:dyDescent="0.3">
      <c r="A16725" t="s">
        <v>0</v>
      </c>
    </row>
    <row r="16726" spans="1:1" x14ac:dyDescent="0.3">
      <c r="A16726" t="s">
        <v>0</v>
      </c>
    </row>
    <row r="16727" spans="1:1" x14ac:dyDescent="0.3">
      <c r="A16727" t="s">
        <v>0</v>
      </c>
    </row>
    <row r="16728" spans="1:1" x14ac:dyDescent="0.3">
      <c r="A16728" t="s">
        <v>0</v>
      </c>
    </row>
    <row r="16729" spans="1:1" x14ac:dyDescent="0.3">
      <c r="A16729" t="s">
        <v>0</v>
      </c>
    </row>
    <row r="16730" spans="1:1" x14ac:dyDescent="0.3">
      <c r="A16730" t="s">
        <v>0</v>
      </c>
    </row>
    <row r="16731" spans="1:1" x14ac:dyDescent="0.3">
      <c r="A16731" t="s">
        <v>0</v>
      </c>
    </row>
    <row r="16732" spans="1:1" x14ac:dyDescent="0.3">
      <c r="A16732" t="s">
        <v>0</v>
      </c>
    </row>
    <row r="16733" spans="1:1" x14ac:dyDescent="0.3">
      <c r="A16733" t="s">
        <v>0</v>
      </c>
    </row>
    <row r="16734" spans="1:1" x14ac:dyDescent="0.3">
      <c r="A16734" t="s">
        <v>0</v>
      </c>
    </row>
    <row r="16735" spans="1:1" x14ac:dyDescent="0.3">
      <c r="A16735" t="s">
        <v>0</v>
      </c>
    </row>
    <row r="16736" spans="1:1" x14ac:dyDescent="0.3">
      <c r="A16736" t="s">
        <v>0</v>
      </c>
    </row>
    <row r="16737" spans="1:1" x14ac:dyDescent="0.3">
      <c r="A16737" t="s">
        <v>0</v>
      </c>
    </row>
    <row r="16738" spans="1:1" x14ac:dyDescent="0.3">
      <c r="A16738" t="s">
        <v>0</v>
      </c>
    </row>
    <row r="16739" spans="1:1" x14ac:dyDescent="0.3">
      <c r="A16739" t="s">
        <v>0</v>
      </c>
    </row>
    <row r="16740" spans="1:1" x14ac:dyDescent="0.3">
      <c r="A16740" t="s">
        <v>0</v>
      </c>
    </row>
    <row r="16741" spans="1:1" x14ac:dyDescent="0.3">
      <c r="A16741" t="s">
        <v>0</v>
      </c>
    </row>
    <row r="16742" spans="1:1" x14ac:dyDescent="0.3">
      <c r="A16742" t="s">
        <v>0</v>
      </c>
    </row>
    <row r="16743" spans="1:1" x14ac:dyDescent="0.3">
      <c r="A16743" t="s">
        <v>0</v>
      </c>
    </row>
    <row r="16744" spans="1:1" x14ac:dyDescent="0.3">
      <c r="A16744" t="s">
        <v>0</v>
      </c>
    </row>
    <row r="16745" spans="1:1" x14ac:dyDescent="0.3">
      <c r="A16745" t="s">
        <v>0</v>
      </c>
    </row>
    <row r="16746" spans="1:1" x14ac:dyDescent="0.3">
      <c r="A16746" t="s">
        <v>0</v>
      </c>
    </row>
    <row r="16747" spans="1:1" x14ac:dyDescent="0.3">
      <c r="A16747" t="s">
        <v>0</v>
      </c>
    </row>
    <row r="16748" spans="1:1" x14ac:dyDescent="0.3">
      <c r="A16748" t="s">
        <v>0</v>
      </c>
    </row>
    <row r="16749" spans="1:1" x14ac:dyDescent="0.3">
      <c r="A16749" t="s">
        <v>0</v>
      </c>
    </row>
    <row r="16750" spans="1:1" x14ac:dyDescent="0.3">
      <c r="A16750" t="s">
        <v>0</v>
      </c>
    </row>
    <row r="16751" spans="1:1" x14ac:dyDescent="0.3">
      <c r="A16751" t="s">
        <v>0</v>
      </c>
    </row>
    <row r="16752" spans="1:1" x14ac:dyDescent="0.3">
      <c r="A16752" t="s">
        <v>0</v>
      </c>
    </row>
    <row r="16753" spans="1:1" x14ac:dyDescent="0.3">
      <c r="A16753" t="s">
        <v>0</v>
      </c>
    </row>
    <row r="16754" spans="1:1" x14ac:dyDescent="0.3">
      <c r="A16754" t="s">
        <v>0</v>
      </c>
    </row>
    <row r="16755" spans="1:1" x14ac:dyDescent="0.3">
      <c r="A16755" t="s">
        <v>0</v>
      </c>
    </row>
    <row r="16756" spans="1:1" x14ac:dyDescent="0.3">
      <c r="A16756" t="s">
        <v>0</v>
      </c>
    </row>
    <row r="16757" spans="1:1" x14ac:dyDescent="0.3">
      <c r="A16757" t="s">
        <v>0</v>
      </c>
    </row>
    <row r="16758" spans="1:1" x14ac:dyDescent="0.3">
      <c r="A16758" t="s">
        <v>0</v>
      </c>
    </row>
    <row r="16759" spans="1:1" x14ac:dyDescent="0.3">
      <c r="A16759" t="s">
        <v>0</v>
      </c>
    </row>
    <row r="16760" spans="1:1" x14ac:dyDescent="0.3">
      <c r="A16760" t="s">
        <v>0</v>
      </c>
    </row>
    <row r="16761" spans="1:1" x14ac:dyDescent="0.3">
      <c r="A16761" t="s">
        <v>0</v>
      </c>
    </row>
    <row r="16762" spans="1:1" x14ac:dyDescent="0.3">
      <c r="A16762" t="s">
        <v>0</v>
      </c>
    </row>
    <row r="16763" spans="1:1" x14ac:dyDescent="0.3">
      <c r="A16763" t="s">
        <v>0</v>
      </c>
    </row>
    <row r="16764" spans="1:1" x14ac:dyDescent="0.3">
      <c r="A16764" t="s">
        <v>0</v>
      </c>
    </row>
    <row r="16765" spans="1:1" x14ac:dyDescent="0.3">
      <c r="A16765" t="s">
        <v>0</v>
      </c>
    </row>
    <row r="16766" spans="1:1" x14ac:dyDescent="0.3">
      <c r="A16766" t="s">
        <v>0</v>
      </c>
    </row>
    <row r="16767" spans="1:1" x14ac:dyDescent="0.3">
      <c r="A16767" t="s">
        <v>0</v>
      </c>
    </row>
    <row r="16768" spans="1:1" x14ac:dyDescent="0.3">
      <c r="A16768" t="s">
        <v>0</v>
      </c>
    </row>
    <row r="16769" spans="1:1" x14ac:dyDescent="0.3">
      <c r="A16769" t="s">
        <v>0</v>
      </c>
    </row>
    <row r="16770" spans="1:1" x14ac:dyDescent="0.3">
      <c r="A16770" t="s">
        <v>0</v>
      </c>
    </row>
    <row r="16771" spans="1:1" x14ac:dyDescent="0.3">
      <c r="A16771" t="s">
        <v>0</v>
      </c>
    </row>
    <row r="16772" spans="1:1" x14ac:dyDescent="0.3">
      <c r="A16772" t="s">
        <v>0</v>
      </c>
    </row>
    <row r="16773" spans="1:1" x14ac:dyDescent="0.3">
      <c r="A16773" t="s">
        <v>0</v>
      </c>
    </row>
    <row r="16774" spans="1:1" x14ac:dyDescent="0.3">
      <c r="A16774" t="s">
        <v>0</v>
      </c>
    </row>
    <row r="16775" spans="1:1" x14ac:dyDescent="0.3">
      <c r="A16775" t="s">
        <v>0</v>
      </c>
    </row>
    <row r="16776" spans="1:1" x14ac:dyDescent="0.3">
      <c r="A16776" t="s">
        <v>0</v>
      </c>
    </row>
    <row r="16777" spans="1:1" x14ac:dyDescent="0.3">
      <c r="A16777" t="s">
        <v>0</v>
      </c>
    </row>
    <row r="16778" spans="1:1" x14ac:dyDescent="0.3">
      <c r="A16778" t="s">
        <v>0</v>
      </c>
    </row>
    <row r="16779" spans="1:1" x14ac:dyDescent="0.3">
      <c r="A16779" t="s">
        <v>0</v>
      </c>
    </row>
    <row r="16780" spans="1:1" x14ac:dyDescent="0.3">
      <c r="A16780" t="s">
        <v>0</v>
      </c>
    </row>
    <row r="16781" spans="1:1" x14ac:dyDescent="0.3">
      <c r="A16781" t="s">
        <v>0</v>
      </c>
    </row>
    <row r="16782" spans="1:1" x14ac:dyDescent="0.3">
      <c r="A16782" t="s">
        <v>0</v>
      </c>
    </row>
    <row r="16783" spans="1:1" x14ac:dyDescent="0.3">
      <c r="A16783" t="s">
        <v>0</v>
      </c>
    </row>
    <row r="16784" spans="1:1" x14ac:dyDescent="0.3">
      <c r="A16784" t="s">
        <v>0</v>
      </c>
    </row>
    <row r="16785" spans="1:1" x14ac:dyDescent="0.3">
      <c r="A16785" t="s">
        <v>0</v>
      </c>
    </row>
    <row r="16786" spans="1:1" x14ac:dyDescent="0.3">
      <c r="A16786" t="s">
        <v>0</v>
      </c>
    </row>
    <row r="16787" spans="1:1" x14ac:dyDescent="0.3">
      <c r="A16787" t="s">
        <v>0</v>
      </c>
    </row>
    <row r="16788" spans="1:1" x14ac:dyDescent="0.3">
      <c r="A16788" t="s">
        <v>0</v>
      </c>
    </row>
    <row r="16789" spans="1:1" x14ac:dyDescent="0.3">
      <c r="A16789" t="s">
        <v>0</v>
      </c>
    </row>
    <row r="16790" spans="1:1" x14ac:dyDescent="0.3">
      <c r="A16790" t="s">
        <v>0</v>
      </c>
    </row>
    <row r="16791" spans="1:1" x14ac:dyDescent="0.3">
      <c r="A16791" t="s">
        <v>0</v>
      </c>
    </row>
    <row r="16792" spans="1:1" x14ac:dyDescent="0.3">
      <c r="A16792" t="s">
        <v>0</v>
      </c>
    </row>
    <row r="16793" spans="1:1" x14ac:dyDescent="0.3">
      <c r="A16793" t="s">
        <v>0</v>
      </c>
    </row>
    <row r="16794" spans="1:1" x14ac:dyDescent="0.3">
      <c r="A16794" t="s">
        <v>0</v>
      </c>
    </row>
    <row r="16795" spans="1:1" x14ac:dyDescent="0.3">
      <c r="A16795" t="s">
        <v>0</v>
      </c>
    </row>
    <row r="16796" spans="1:1" x14ac:dyDescent="0.3">
      <c r="A16796" t="s">
        <v>0</v>
      </c>
    </row>
    <row r="16797" spans="1:1" x14ac:dyDescent="0.3">
      <c r="A16797" t="s">
        <v>0</v>
      </c>
    </row>
    <row r="16798" spans="1:1" x14ac:dyDescent="0.3">
      <c r="A16798" t="s">
        <v>0</v>
      </c>
    </row>
    <row r="16799" spans="1:1" x14ac:dyDescent="0.3">
      <c r="A16799" t="s">
        <v>0</v>
      </c>
    </row>
    <row r="16800" spans="1:1" x14ac:dyDescent="0.3">
      <c r="A16800" t="s">
        <v>0</v>
      </c>
    </row>
    <row r="16801" spans="1:1" x14ac:dyDescent="0.3">
      <c r="A16801" t="s">
        <v>0</v>
      </c>
    </row>
    <row r="16802" spans="1:1" x14ac:dyDescent="0.3">
      <c r="A16802" t="s">
        <v>0</v>
      </c>
    </row>
    <row r="16803" spans="1:1" x14ac:dyDescent="0.3">
      <c r="A16803" t="s">
        <v>0</v>
      </c>
    </row>
    <row r="16804" spans="1:1" x14ac:dyDescent="0.3">
      <c r="A16804" t="s">
        <v>0</v>
      </c>
    </row>
    <row r="16805" spans="1:1" x14ac:dyDescent="0.3">
      <c r="A16805" t="s">
        <v>0</v>
      </c>
    </row>
    <row r="16806" spans="1:1" x14ac:dyDescent="0.3">
      <c r="A16806" t="s">
        <v>0</v>
      </c>
    </row>
    <row r="16807" spans="1:1" x14ac:dyDescent="0.3">
      <c r="A16807" t="s">
        <v>0</v>
      </c>
    </row>
    <row r="16808" spans="1:1" x14ac:dyDescent="0.3">
      <c r="A16808" t="s">
        <v>0</v>
      </c>
    </row>
    <row r="16809" spans="1:1" x14ac:dyDescent="0.3">
      <c r="A16809" t="s">
        <v>0</v>
      </c>
    </row>
    <row r="16810" spans="1:1" x14ac:dyDescent="0.3">
      <c r="A16810" t="s">
        <v>0</v>
      </c>
    </row>
    <row r="16811" spans="1:1" x14ac:dyDescent="0.3">
      <c r="A16811" t="s">
        <v>0</v>
      </c>
    </row>
    <row r="16812" spans="1:1" x14ac:dyDescent="0.3">
      <c r="A16812" t="s">
        <v>0</v>
      </c>
    </row>
    <row r="16813" spans="1:1" x14ac:dyDescent="0.3">
      <c r="A16813" t="s">
        <v>0</v>
      </c>
    </row>
    <row r="16814" spans="1:1" x14ac:dyDescent="0.3">
      <c r="A16814" t="s">
        <v>0</v>
      </c>
    </row>
    <row r="16815" spans="1:1" x14ac:dyDescent="0.3">
      <c r="A16815" t="s">
        <v>0</v>
      </c>
    </row>
    <row r="16816" spans="1:1" x14ac:dyDescent="0.3">
      <c r="A16816" t="s">
        <v>0</v>
      </c>
    </row>
    <row r="16817" spans="1:1" x14ac:dyDescent="0.3">
      <c r="A16817" t="s">
        <v>0</v>
      </c>
    </row>
    <row r="16818" spans="1:1" x14ac:dyDescent="0.3">
      <c r="A16818" t="s">
        <v>0</v>
      </c>
    </row>
    <row r="16819" spans="1:1" x14ac:dyDescent="0.3">
      <c r="A16819" t="s">
        <v>0</v>
      </c>
    </row>
    <row r="16820" spans="1:1" x14ac:dyDescent="0.3">
      <c r="A16820" t="s">
        <v>0</v>
      </c>
    </row>
    <row r="16821" spans="1:1" x14ac:dyDescent="0.3">
      <c r="A16821" t="s">
        <v>0</v>
      </c>
    </row>
    <row r="16822" spans="1:1" x14ac:dyDescent="0.3">
      <c r="A16822" t="s">
        <v>0</v>
      </c>
    </row>
    <row r="16823" spans="1:1" x14ac:dyDescent="0.3">
      <c r="A16823" t="s">
        <v>0</v>
      </c>
    </row>
    <row r="16824" spans="1:1" x14ac:dyDescent="0.3">
      <c r="A16824" t="s">
        <v>0</v>
      </c>
    </row>
    <row r="16825" spans="1:1" x14ac:dyDescent="0.3">
      <c r="A16825" t="s">
        <v>0</v>
      </c>
    </row>
    <row r="16826" spans="1:1" x14ac:dyDescent="0.3">
      <c r="A16826" t="s">
        <v>0</v>
      </c>
    </row>
    <row r="16827" spans="1:1" x14ac:dyDescent="0.3">
      <c r="A16827" t="s">
        <v>0</v>
      </c>
    </row>
    <row r="16828" spans="1:1" x14ac:dyDescent="0.3">
      <c r="A16828" t="s">
        <v>0</v>
      </c>
    </row>
    <row r="16829" spans="1:1" x14ac:dyDescent="0.3">
      <c r="A16829" t="s">
        <v>0</v>
      </c>
    </row>
    <row r="16830" spans="1:1" x14ac:dyDescent="0.3">
      <c r="A16830" t="s">
        <v>0</v>
      </c>
    </row>
    <row r="16831" spans="1:1" x14ac:dyDescent="0.3">
      <c r="A16831" t="s">
        <v>0</v>
      </c>
    </row>
    <row r="16832" spans="1:1" x14ac:dyDescent="0.3">
      <c r="A16832" t="s">
        <v>0</v>
      </c>
    </row>
    <row r="16833" spans="1:1" x14ac:dyDescent="0.3">
      <c r="A16833" t="s">
        <v>0</v>
      </c>
    </row>
    <row r="16834" spans="1:1" x14ac:dyDescent="0.3">
      <c r="A16834" t="s">
        <v>0</v>
      </c>
    </row>
    <row r="16835" spans="1:1" x14ac:dyDescent="0.3">
      <c r="A16835" t="s">
        <v>0</v>
      </c>
    </row>
    <row r="16836" spans="1:1" x14ac:dyDescent="0.3">
      <c r="A16836" t="s">
        <v>0</v>
      </c>
    </row>
    <row r="16837" spans="1:1" x14ac:dyDescent="0.3">
      <c r="A16837" t="s">
        <v>0</v>
      </c>
    </row>
    <row r="16838" spans="1:1" x14ac:dyDescent="0.3">
      <c r="A16838" t="s">
        <v>0</v>
      </c>
    </row>
    <row r="16839" spans="1:1" x14ac:dyDescent="0.3">
      <c r="A16839" t="s">
        <v>0</v>
      </c>
    </row>
    <row r="16840" spans="1:1" x14ac:dyDescent="0.3">
      <c r="A16840" t="s">
        <v>0</v>
      </c>
    </row>
    <row r="16841" spans="1:1" x14ac:dyDescent="0.3">
      <c r="A16841" t="s">
        <v>0</v>
      </c>
    </row>
    <row r="16842" spans="1:1" x14ac:dyDescent="0.3">
      <c r="A16842" t="s">
        <v>0</v>
      </c>
    </row>
    <row r="16843" spans="1:1" x14ac:dyDescent="0.3">
      <c r="A16843" t="s">
        <v>0</v>
      </c>
    </row>
    <row r="16844" spans="1:1" x14ac:dyDescent="0.3">
      <c r="A16844" t="s">
        <v>0</v>
      </c>
    </row>
    <row r="16845" spans="1:1" x14ac:dyDescent="0.3">
      <c r="A16845" t="s">
        <v>0</v>
      </c>
    </row>
    <row r="16846" spans="1:1" x14ac:dyDescent="0.3">
      <c r="A16846" t="s">
        <v>0</v>
      </c>
    </row>
    <row r="16847" spans="1:1" x14ac:dyDescent="0.3">
      <c r="A16847" t="s">
        <v>0</v>
      </c>
    </row>
    <row r="16848" spans="1:1" x14ac:dyDescent="0.3">
      <c r="A16848" t="s">
        <v>0</v>
      </c>
    </row>
    <row r="16849" spans="1:1" x14ac:dyDescent="0.3">
      <c r="A16849" t="s">
        <v>0</v>
      </c>
    </row>
    <row r="16850" spans="1:1" x14ac:dyDescent="0.3">
      <c r="A16850" t="s">
        <v>0</v>
      </c>
    </row>
    <row r="16851" spans="1:1" x14ac:dyDescent="0.3">
      <c r="A16851" t="s">
        <v>0</v>
      </c>
    </row>
    <row r="16852" spans="1:1" x14ac:dyDescent="0.3">
      <c r="A16852" t="s">
        <v>0</v>
      </c>
    </row>
    <row r="16853" spans="1:1" x14ac:dyDescent="0.3">
      <c r="A16853" t="s">
        <v>0</v>
      </c>
    </row>
    <row r="16854" spans="1:1" x14ac:dyDescent="0.3">
      <c r="A16854" t="s">
        <v>0</v>
      </c>
    </row>
    <row r="16855" spans="1:1" x14ac:dyDescent="0.3">
      <c r="A16855" t="s">
        <v>0</v>
      </c>
    </row>
    <row r="16856" spans="1:1" x14ac:dyDescent="0.3">
      <c r="A16856" t="s">
        <v>0</v>
      </c>
    </row>
    <row r="16857" spans="1:1" x14ac:dyDescent="0.3">
      <c r="A16857" t="s">
        <v>0</v>
      </c>
    </row>
    <row r="16858" spans="1:1" x14ac:dyDescent="0.3">
      <c r="A16858" t="s">
        <v>0</v>
      </c>
    </row>
    <row r="16859" spans="1:1" x14ac:dyDescent="0.3">
      <c r="A16859" t="s">
        <v>0</v>
      </c>
    </row>
    <row r="16860" spans="1:1" x14ac:dyDescent="0.3">
      <c r="A16860" t="s">
        <v>0</v>
      </c>
    </row>
    <row r="16861" spans="1:1" x14ac:dyDescent="0.3">
      <c r="A16861" t="s">
        <v>0</v>
      </c>
    </row>
    <row r="16862" spans="1:1" x14ac:dyDescent="0.3">
      <c r="A16862" t="s">
        <v>0</v>
      </c>
    </row>
    <row r="16863" spans="1:1" x14ac:dyDescent="0.3">
      <c r="A16863" t="s">
        <v>0</v>
      </c>
    </row>
    <row r="16864" spans="1:1" x14ac:dyDescent="0.3">
      <c r="A16864" t="s">
        <v>0</v>
      </c>
    </row>
    <row r="16865" spans="1:1" x14ac:dyDescent="0.3">
      <c r="A16865" t="s">
        <v>0</v>
      </c>
    </row>
    <row r="16866" spans="1:1" x14ac:dyDescent="0.3">
      <c r="A16866" t="s">
        <v>0</v>
      </c>
    </row>
    <row r="16867" spans="1:1" x14ac:dyDescent="0.3">
      <c r="A16867" t="s">
        <v>0</v>
      </c>
    </row>
    <row r="16868" spans="1:1" x14ac:dyDescent="0.3">
      <c r="A16868" t="s">
        <v>0</v>
      </c>
    </row>
    <row r="16869" spans="1:1" x14ac:dyDescent="0.3">
      <c r="A16869" t="s">
        <v>0</v>
      </c>
    </row>
    <row r="16870" spans="1:1" x14ac:dyDescent="0.3">
      <c r="A16870" t="s">
        <v>0</v>
      </c>
    </row>
    <row r="16871" spans="1:1" x14ac:dyDescent="0.3">
      <c r="A16871" t="s">
        <v>0</v>
      </c>
    </row>
    <row r="16872" spans="1:1" x14ac:dyDescent="0.3">
      <c r="A16872" t="s">
        <v>0</v>
      </c>
    </row>
    <row r="16873" spans="1:1" x14ac:dyDescent="0.3">
      <c r="A16873" t="s">
        <v>0</v>
      </c>
    </row>
    <row r="16874" spans="1:1" x14ac:dyDescent="0.3">
      <c r="A16874" t="s">
        <v>0</v>
      </c>
    </row>
    <row r="16875" spans="1:1" x14ac:dyDescent="0.3">
      <c r="A16875" t="s">
        <v>0</v>
      </c>
    </row>
    <row r="16876" spans="1:1" x14ac:dyDescent="0.3">
      <c r="A16876" t="s">
        <v>0</v>
      </c>
    </row>
    <row r="16877" spans="1:1" x14ac:dyDescent="0.3">
      <c r="A16877" t="s">
        <v>0</v>
      </c>
    </row>
    <row r="16878" spans="1:1" x14ac:dyDescent="0.3">
      <c r="A16878" t="s">
        <v>0</v>
      </c>
    </row>
    <row r="16879" spans="1:1" x14ac:dyDescent="0.3">
      <c r="A16879" t="s">
        <v>0</v>
      </c>
    </row>
    <row r="16880" spans="1:1" x14ac:dyDescent="0.3">
      <c r="A16880" t="s">
        <v>0</v>
      </c>
    </row>
    <row r="16881" spans="1:1" x14ac:dyDescent="0.3">
      <c r="A16881" t="s">
        <v>0</v>
      </c>
    </row>
    <row r="16882" spans="1:1" x14ac:dyDescent="0.3">
      <c r="A16882" t="s">
        <v>0</v>
      </c>
    </row>
    <row r="16883" spans="1:1" x14ac:dyDescent="0.3">
      <c r="A16883" t="s">
        <v>0</v>
      </c>
    </row>
    <row r="16884" spans="1:1" x14ac:dyDescent="0.3">
      <c r="A16884" t="s">
        <v>0</v>
      </c>
    </row>
    <row r="16885" spans="1:1" x14ac:dyDescent="0.3">
      <c r="A16885" t="s">
        <v>0</v>
      </c>
    </row>
    <row r="16886" spans="1:1" x14ac:dyDescent="0.3">
      <c r="A16886" t="s">
        <v>0</v>
      </c>
    </row>
    <row r="16887" spans="1:1" x14ac:dyDescent="0.3">
      <c r="A16887" t="s">
        <v>0</v>
      </c>
    </row>
    <row r="16888" spans="1:1" x14ac:dyDescent="0.3">
      <c r="A16888" t="s">
        <v>0</v>
      </c>
    </row>
    <row r="16889" spans="1:1" x14ac:dyDescent="0.3">
      <c r="A16889" t="s">
        <v>0</v>
      </c>
    </row>
    <row r="16890" spans="1:1" x14ac:dyDescent="0.3">
      <c r="A16890" t="s">
        <v>0</v>
      </c>
    </row>
    <row r="16891" spans="1:1" x14ac:dyDescent="0.3">
      <c r="A16891" t="s">
        <v>0</v>
      </c>
    </row>
    <row r="16892" spans="1:1" x14ac:dyDescent="0.3">
      <c r="A16892" t="s">
        <v>0</v>
      </c>
    </row>
    <row r="16893" spans="1:1" x14ac:dyDescent="0.3">
      <c r="A16893" t="s">
        <v>0</v>
      </c>
    </row>
    <row r="16894" spans="1:1" x14ac:dyDescent="0.3">
      <c r="A16894" t="s">
        <v>0</v>
      </c>
    </row>
    <row r="16895" spans="1:1" x14ac:dyDescent="0.3">
      <c r="A16895" t="s">
        <v>0</v>
      </c>
    </row>
    <row r="16896" spans="1:1" x14ac:dyDescent="0.3">
      <c r="A16896" t="s">
        <v>0</v>
      </c>
    </row>
    <row r="16897" spans="1:1" x14ac:dyDescent="0.3">
      <c r="A16897" t="s">
        <v>0</v>
      </c>
    </row>
    <row r="16898" spans="1:1" x14ac:dyDescent="0.3">
      <c r="A16898" t="s">
        <v>0</v>
      </c>
    </row>
    <row r="16899" spans="1:1" x14ac:dyDescent="0.3">
      <c r="A16899" t="s">
        <v>0</v>
      </c>
    </row>
    <row r="16900" spans="1:1" x14ac:dyDescent="0.3">
      <c r="A16900" t="s">
        <v>0</v>
      </c>
    </row>
    <row r="16901" spans="1:1" x14ac:dyDescent="0.3">
      <c r="A16901" t="s">
        <v>0</v>
      </c>
    </row>
    <row r="16902" spans="1:1" x14ac:dyDescent="0.3">
      <c r="A16902" t="s">
        <v>0</v>
      </c>
    </row>
    <row r="16903" spans="1:1" x14ac:dyDescent="0.3">
      <c r="A16903" t="s">
        <v>0</v>
      </c>
    </row>
    <row r="16904" spans="1:1" x14ac:dyDescent="0.3">
      <c r="A16904" t="s">
        <v>0</v>
      </c>
    </row>
    <row r="16905" spans="1:1" x14ac:dyDescent="0.3">
      <c r="A16905" t="s">
        <v>0</v>
      </c>
    </row>
    <row r="16906" spans="1:1" x14ac:dyDescent="0.3">
      <c r="A16906" t="s">
        <v>0</v>
      </c>
    </row>
    <row r="16907" spans="1:1" x14ac:dyDescent="0.3">
      <c r="A16907" t="s">
        <v>0</v>
      </c>
    </row>
    <row r="16908" spans="1:1" x14ac:dyDescent="0.3">
      <c r="A16908" t="s">
        <v>0</v>
      </c>
    </row>
    <row r="16909" spans="1:1" x14ac:dyDescent="0.3">
      <c r="A16909" t="s">
        <v>0</v>
      </c>
    </row>
    <row r="16910" spans="1:1" x14ac:dyDescent="0.3">
      <c r="A16910" t="s">
        <v>0</v>
      </c>
    </row>
    <row r="16911" spans="1:1" x14ac:dyDescent="0.3">
      <c r="A16911" t="s">
        <v>0</v>
      </c>
    </row>
    <row r="16912" spans="1:1" x14ac:dyDescent="0.3">
      <c r="A16912" t="s">
        <v>0</v>
      </c>
    </row>
    <row r="16913" spans="1:1" x14ac:dyDescent="0.3">
      <c r="A16913" t="s">
        <v>0</v>
      </c>
    </row>
    <row r="16914" spans="1:1" x14ac:dyDescent="0.3">
      <c r="A16914" t="s">
        <v>0</v>
      </c>
    </row>
    <row r="16915" spans="1:1" x14ac:dyDescent="0.3">
      <c r="A16915" t="s">
        <v>0</v>
      </c>
    </row>
    <row r="16916" spans="1:1" x14ac:dyDescent="0.3">
      <c r="A16916" t="s">
        <v>0</v>
      </c>
    </row>
    <row r="16917" spans="1:1" x14ac:dyDescent="0.3">
      <c r="A16917" t="s">
        <v>0</v>
      </c>
    </row>
    <row r="16918" spans="1:1" x14ac:dyDescent="0.3">
      <c r="A16918" t="s">
        <v>0</v>
      </c>
    </row>
    <row r="16919" spans="1:1" x14ac:dyDescent="0.3">
      <c r="A16919" t="s">
        <v>0</v>
      </c>
    </row>
    <row r="16920" spans="1:1" x14ac:dyDescent="0.3">
      <c r="A16920" t="s">
        <v>0</v>
      </c>
    </row>
    <row r="16921" spans="1:1" x14ac:dyDescent="0.3">
      <c r="A16921" t="s">
        <v>0</v>
      </c>
    </row>
    <row r="16922" spans="1:1" x14ac:dyDescent="0.3">
      <c r="A16922" t="s">
        <v>0</v>
      </c>
    </row>
    <row r="16923" spans="1:1" x14ac:dyDescent="0.3">
      <c r="A16923" t="s">
        <v>0</v>
      </c>
    </row>
    <row r="16924" spans="1:1" x14ac:dyDescent="0.3">
      <c r="A16924" t="s">
        <v>0</v>
      </c>
    </row>
    <row r="16925" spans="1:1" x14ac:dyDescent="0.3">
      <c r="A16925" t="s">
        <v>0</v>
      </c>
    </row>
    <row r="16926" spans="1:1" x14ac:dyDescent="0.3">
      <c r="A16926" t="s">
        <v>0</v>
      </c>
    </row>
    <row r="16927" spans="1:1" x14ac:dyDescent="0.3">
      <c r="A16927" t="s">
        <v>0</v>
      </c>
    </row>
    <row r="16928" spans="1:1" x14ac:dyDescent="0.3">
      <c r="A16928" t="s">
        <v>0</v>
      </c>
    </row>
    <row r="16929" spans="1:1" x14ac:dyDescent="0.3">
      <c r="A16929" t="s">
        <v>0</v>
      </c>
    </row>
    <row r="16930" spans="1:1" x14ac:dyDescent="0.3">
      <c r="A16930" t="s">
        <v>0</v>
      </c>
    </row>
    <row r="16931" spans="1:1" x14ac:dyDescent="0.3">
      <c r="A16931" t="s">
        <v>0</v>
      </c>
    </row>
    <row r="16932" spans="1:1" x14ac:dyDescent="0.3">
      <c r="A16932" t="s">
        <v>0</v>
      </c>
    </row>
    <row r="16933" spans="1:1" x14ac:dyDescent="0.3">
      <c r="A16933" t="s">
        <v>0</v>
      </c>
    </row>
    <row r="16934" spans="1:1" x14ac:dyDescent="0.3">
      <c r="A16934" t="s">
        <v>0</v>
      </c>
    </row>
    <row r="16935" spans="1:1" x14ac:dyDescent="0.3">
      <c r="A16935" t="s">
        <v>0</v>
      </c>
    </row>
    <row r="16936" spans="1:1" x14ac:dyDescent="0.3">
      <c r="A16936" t="s">
        <v>0</v>
      </c>
    </row>
    <row r="16937" spans="1:1" x14ac:dyDescent="0.3">
      <c r="A16937" t="s">
        <v>0</v>
      </c>
    </row>
    <row r="16938" spans="1:1" x14ac:dyDescent="0.3">
      <c r="A16938" t="s">
        <v>0</v>
      </c>
    </row>
    <row r="16939" spans="1:1" x14ac:dyDescent="0.3">
      <c r="A16939" t="s">
        <v>0</v>
      </c>
    </row>
    <row r="16940" spans="1:1" x14ac:dyDescent="0.3">
      <c r="A16940" t="s">
        <v>0</v>
      </c>
    </row>
    <row r="16941" spans="1:1" x14ac:dyDescent="0.3">
      <c r="A16941" t="s">
        <v>0</v>
      </c>
    </row>
    <row r="16942" spans="1:1" x14ac:dyDescent="0.3">
      <c r="A16942" t="s">
        <v>0</v>
      </c>
    </row>
    <row r="16943" spans="1:1" x14ac:dyDescent="0.3">
      <c r="A16943" t="s">
        <v>0</v>
      </c>
    </row>
    <row r="16944" spans="1:1" x14ac:dyDescent="0.3">
      <c r="A16944" t="s">
        <v>0</v>
      </c>
    </row>
    <row r="16945" spans="1:1" x14ac:dyDescent="0.3">
      <c r="A16945" t="s">
        <v>0</v>
      </c>
    </row>
    <row r="16946" spans="1:1" x14ac:dyDescent="0.3">
      <c r="A16946" t="s">
        <v>0</v>
      </c>
    </row>
    <row r="16947" spans="1:1" x14ac:dyDescent="0.3">
      <c r="A16947" t="s">
        <v>0</v>
      </c>
    </row>
    <row r="16948" spans="1:1" x14ac:dyDescent="0.3">
      <c r="A16948" t="s">
        <v>0</v>
      </c>
    </row>
    <row r="16949" spans="1:1" x14ac:dyDescent="0.3">
      <c r="A16949" t="s">
        <v>0</v>
      </c>
    </row>
    <row r="16950" spans="1:1" x14ac:dyDescent="0.3">
      <c r="A16950" t="s">
        <v>0</v>
      </c>
    </row>
    <row r="16951" spans="1:1" x14ac:dyDescent="0.3">
      <c r="A16951" t="s">
        <v>0</v>
      </c>
    </row>
    <row r="16952" spans="1:1" x14ac:dyDescent="0.3">
      <c r="A16952" t="s">
        <v>0</v>
      </c>
    </row>
    <row r="16953" spans="1:1" x14ac:dyDescent="0.3">
      <c r="A16953" t="s">
        <v>0</v>
      </c>
    </row>
    <row r="16954" spans="1:1" x14ac:dyDescent="0.3">
      <c r="A16954" t="s">
        <v>0</v>
      </c>
    </row>
    <row r="16955" spans="1:1" x14ac:dyDescent="0.3">
      <c r="A16955" t="s">
        <v>0</v>
      </c>
    </row>
    <row r="16956" spans="1:1" x14ac:dyDescent="0.3">
      <c r="A16956" t="s">
        <v>0</v>
      </c>
    </row>
    <row r="16957" spans="1:1" x14ac:dyDescent="0.3">
      <c r="A16957" t="s">
        <v>0</v>
      </c>
    </row>
    <row r="16958" spans="1:1" x14ac:dyDescent="0.3">
      <c r="A16958" t="s">
        <v>0</v>
      </c>
    </row>
    <row r="16959" spans="1:1" x14ac:dyDescent="0.3">
      <c r="A16959" t="s">
        <v>0</v>
      </c>
    </row>
    <row r="16960" spans="1:1" x14ac:dyDescent="0.3">
      <c r="A16960" t="s">
        <v>0</v>
      </c>
    </row>
    <row r="16961" spans="1:1" x14ac:dyDescent="0.3">
      <c r="A16961" t="s">
        <v>0</v>
      </c>
    </row>
    <row r="16962" spans="1:1" x14ac:dyDescent="0.3">
      <c r="A16962" t="s">
        <v>0</v>
      </c>
    </row>
    <row r="16963" spans="1:1" x14ac:dyDescent="0.3">
      <c r="A16963" t="s">
        <v>0</v>
      </c>
    </row>
    <row r="16964" spans="1:1" x14ac:dyDescent="0.3">
      <c r="A16964" t="s">
        <v>0</v>
      </c>
    </row>
    <row r="16965" spans="1:1" x14ac:dyDescent="0.3">
      <c r="A16965" t="s">
        <v>0</v>
      </c>
    </row>
    <row r="16966" spans="1:1" x14ac:dyDescent="0.3">
      <c r="A16966" t="s">
        <v>0</v>
      </c>
    </row>
    <row r="16967" spans="1:1" x14ac:dyDescent="0.3">
      <c r="A16967" t="s">
        <v>0</v>
      </c>
    </row>
    <row r="16968" spans="1:1" x14ac:dyDescent="0.3">
      <c r="A16968" t="s">
        <v>0</v>
      </c>
    </row>
    <row r="16969" spans="1:1" x14ac:dyDescent="0.3">
      <c r="A16969" t="s">
        <v>0</v>
      </c>
    </row>
    <row r="16970" spans="1:1" x14ac:dyDescent="0.3">
      <c r="A16970" t="s">
        <v>0</v>
      </c>
    </row>
    <row r="16971" spans="1:1" x14ac:dyDescent="0.3">
      <c r="A16971" t="s">
        <v>0</v>
      </c>
    </row>
    <row r="16972" spans="1:1" x14ac:dyDescent="0.3">
      <c r="A16972" t="s">
        <v>0</v>
      </c>
    </row>
    <row r="16973" spans="1:1" x14ac:dyDescent="0.3">
      <c r="A16973" t="s">
        <v>0</v>
      </c>
    </row>
    <row r="16974" spans="1:1" x14ac:dyDescent="0.3">
      <c r="A16974" t="s">
        <v>0</v>
      </c>
    </row>
    <row r="16975" spans="1:1" x14ac:dyDescent="0.3">
      <c r="A16975" t="s">
        <v>0</v>
      </c>
    </row>
    <row r="16976" spans="1:1" x14ac:dyDescent="0.3">
      <c r="A16976" t="s">
        <v>0</v>
      </c>
    </row>
    <row r="16977" spans="1:1" x14ac:dyDescent="0.3">
      <c r="A16977" t="s">
        <v>0</v>
      </c>
    </row>
    <row r="16978" spans="1:1" x14ac:dyDescent="0.3">
      <c r="A16978" t="s">
        <v>0</v>
      </c>
    </row>
    <row r="16979" spans="1:1" x14ac:dyDescent="0.3">
      <c r="A16979" t="s">
        <v>0</v>
      </c>
    </row>
    <row r="16980" spans="1:1" x14ac:dyDescent="0.3">
      <c r="A16980" t="s">
        <v>0</v>
      </c>
    </row>
    <row r="16981" spans="1:1" x14ac:dyDescent="0.3">
      <c r="A16981" t="s">
        <v>0</v>
      </c>
    </row>
    <row r="16982" spans="1:1" x14ac:dyDescent="0.3">
      <c r="A16982" t="s">
        <v>0</v>
      </c>
    </row>
    <row r="16983" spans="1:1" x14ac:dyDescent="0.3">
      <c r="A16983" t="s">
        <v>0</v>
      </c>
    </row>
    <row r="16984" spans="1:1" x14ac:dyDescent="0.3">
      <c r="A16984" t="s">
        <v>0</v>
      </c>
    </row>
    <row r="16985" spans="1:1" x14ac:dyDescent="0.3">
      <c r="A16985" t="s">
        <v>0</v>
      </c>
    </row>
    <row r="16986" spans="1:1" x14ac:dyDescent="0.3">
      <c r="A16986" t="s">
        <v>0</v>
      </c>
    </row>
    <row r="16987" spans="1:1" x14ac:dyDescent="0.3">
      <c r="A16987" t="s">
        <v>0</v>
      </c>
    </row>
    <row r="16988" spans="1:1" x14ac:dyDescent="0.3">
      <c r="A16988" t="s">
        <v>0</v>
      </c>
    </row>
    <row r="16989" spans="1:1" x14ac:dyDescent="0.3">
      <c r="A16989" t="s">
        <v>0</v>
      </c>
    </row>
    <row r="16990" spans="1:1" x14ac:dyDescent="0.3">
      <c r="A16990" t="s">
        <v>0</v>
      </c>
    </row>
    <row r="16991" spans="1:1" x14ac:dyDescent="0.3">
      <c r="A16991" t="s">
        <v>0</v>
      </c>
    </row>
    <row r="16992" spans="1:1" x14ac:dyDescent="0.3">
      <c r="A16992" t="s">
        <v>0</v>
      </c>
    </row>
    <row r="16993" spans="1:1" x14ac:dyDescent="0.3">
      <c r="A16993" t="s">
        <v>0</v>
      </c>
    </row>
    <row r="16994" spans="1:1" x14ac:dyDescent="0.3">
      <c r="A16994" t="s">
        <v>0</v>
      </c>
    </row>
    <row r="16995" spans="1:1" x14ac:dyDescent="0.3">
      <c r="A16995" t="s">
        <v>0</v>
      </c>
    </row>
    <row r="16996" spans="1:1" x14ac:dyDescent="0.3">
      <c r="A16996" t="s">
        <v>0</v>
      </c>
    </row>
    <row r="16997" spans="1:1" x14ac:dyDescent="0.3">
      <c r="A16997" t="s">
        <v>0</v>
      </c>
    </row>
    <row r="16998" spans="1:1" x14ac:dyDescent="0.3">
      <c r="A16998" t="s">
        <v>0</v>
      </c>
    </row>
    <row r="16999" spans="1:1" x14ac:dyDescent="0.3">
      <c r="A16999" t="s">
        <v>0</v>
      </c>
    </row>
    <row r="17000" spans="1:1" x14ac:dyDescent="0.3">
      <c r="A17000" t="s">
        <v>0</v>
      </c>
    </row>
    <row r="17001" spans="1:1" x14ac:dyDescent="0.3">
      <c r="A17001" t="s">
        <v>0</v>
      </c>
    </row>
    <row r="17002" spans="1:1" x14ac:dyDescent="0.3">
      <c r="A17002" t="s">
        <v>0</v>
      </c>
    </row>
    <row r="17003" spans="1:1" x14ac:dyDescent="0.3">
      <c r="A17003" t="s">
        <v>0</v>
      </c>
    </row>
    <row r="17004" spans="1:1" x14ac:dyDescent="0.3">
      <c r="A17004" t="s">
        <v>0</v>
      </c>
    </row>
    <row r="17005" spans="1:1" x14ac:dyDescent="0.3">
      <c r="A17005" t="s">
        <v>0</v>
      </c>
    </row>
    <row r="17006" spans="1:1" x14ac:dyDescent="0.3">
      <c r="A17006" t="s">
        <v>0</v>
      </c>
    </row>
    <row r="17007" spans="1:1" x14ac:dyDescent="0.3">
      <c r="A17007" t="s">
        <v>0</v>
      </c>
    </row>
    <row r="17008" spans="1:1" x14ac:dyDescent="0.3">
      <c r="A17008" t="s">
        <v>0</v>
      </c>
    </row>
    <row r="17009" spans="1:1" x14ac:dyDescent="0.3">
      <c r="A17009" t="s">
        <v>0</v>
      </c>
    </row>
    <row r="17010" spans="1:1" x14ac:dyDescent="0.3">
      <c r="A17010" t="s">
        <v>0</v>
      </c>
    </row>
    <row r="17011" spans="1:1" x14ac:dyDescent="0.3">
      <c r="A17011" t="s">
        <v>0</v>
      </c>
    </row>
    <row r="17012" spans="1:1" x14ac:dyDescent="0.3">
      <c r="A17012" t="s">
        <v>0</v>
      </c>
    </row>
    <row r="17013" spans="1:1" x14ac:dyDescent="0.3">
      <c r="A17013" t="s">
        <v>0</v>
      </c>
    </row>
    <row r="17014" spans="1:1" x14ac:dyDescent="0.3">
      <c r="A17014" t="s">
        <v>0</v>
      </c>
    </row>
    <row r="17015" spans="1:1" x14ac:dyDescent="0.3">
      <c r="A17015" t="s">
        <v>0</v>
      </c>
    </row>
    <row r="17016" spans="1:1" x14ac:dyDescent="0.3">
      <c r="A17016" t="s">
        <v>0</v>
      </c>
    </row>
    <row r="17017" spans="1:1" x14ac:dyDescent="0.3">
      <c r="A17017" t="s">
        <v>0</v>
      </c>
    </row>
    <row r="17018" spans="1:1" x14ac:dyDescent="0.3">
      <c r="A17018" t="s">
        <v>0</v>
      </c>
    </row>
    <row r="17019" spans="1:1" x14ac:dyDescent="0.3">
      <c r="A17019" t="s">
        <v>0</v>
      </c>
    </row>
    <row r="17020" spans="1:1" x14ac:dyDescent="0.3">
      <c r="A17020" t="s">
        <v>0</v>
      </c>
    </row>
    <row r="17021" spans="1:1" x14ac:dyDescent="0.3">
      <c r="A17021" t="s">
        <v>0</v>
      </c>
    </row>
    <row r="17022" spans="1:1" x14ac:dyDescent="0.3">
      <c r="A17022" t="s">
        <v>0</v>
      </c>
    </row>
    <row r="17023" spans="1:1" x14ac:dyDescent="0.3">
      <c r="A17023" t="s">
        <v>0</v>
      </c>
    </row>
    <row r="17024" spans="1:1" x14ac:dyDescent="0.3">
      <c r="A17024" t="s">
        <v>0</v>
      </c>
    </row>
    <row r="17025" spans="1:1" x14ac:dyDescent="0.3">
      <c r="A17025" t="s">
        <v>0</v>
      </c>
    </row>
    <row r="17026" spans="1:1" x14ac:dyDescent="0.3">
      <c r="A17026" t="s">
        <v>0</v>
      </c>
    </row>
    <row r="17027" spans="1:1" x14ac:dyDescent="0.3">
      <c r="A17027" t="s">
        <v>0</v>
      </c>
    </row>
    <row r="17028" spans="1:1" x14ac:dyDescent="0.3">
      <c r="A17028" t="s">
        <v>0</v>
      </c>
    </row>
    <row r="17029" spans="1:1" x14ac:dyDescent="0.3">
      <c r="A17029" t="s">
        <v>0</v>
      </c>
    </row>
    <row r="17030" spans="1:1" x14ac:dyDescent="0.3">
      <c r="A17030" t="s">
        <v>0</v>
      </c>
    </row>
    <row r="17031" spans="1:1" x14ac:dyDescent="0.3">
      <c r="A17031" t="s">
        <v>0</v>
      </c>
    </row>
    <row r="17032" spans="1:1" x14ac:dyDescent="0.3">
      <c r="A17032" t="s">
        <v>0</v>
      </c>
    </row>
    <row r="17033" spans="1:1" x14ac:dyDescent="0.3">
      <c r="A17033" t="s">
        <v>0</v>
      </c>
    </row>
    <row r="17034" spans="1:1" x14ac:dyDescent="0.3">
      <c r="A17034" t="s">
        <v>0</v>
      </c>
    </row>
    <row r="17035" spans="1:1" x14ac:dyDescent="0.3">
      <c r="A17035" t="s">
        <v>0</v>
      </c>
    </row>
    <row r="17036" spans="1:1" x14ac:dyDescent="0.3">
      <c r="A17036" t="s">
        <v>0</v>
      </c>
    </row>
    <row r="17037" spans="1:1" x14ac:dyDescent="0.3">
      <c r="A17037" t="s">
        <v>0</v>
      </c>
    </row>
    <row r="17038" spans="1:1" x14ac:dyDescent="0.3">
      <c r="A17038" t="s">
        <v>0</v>
      </c>
    </row>
    <row r="17039" spans="1:1" x14ac:dyDescent="0.3">
      <c r="A17039" t="s">
        <v>0</v>
      </c>
    </row>
    <row r="17040" spans="1:1" x14ac:dyDescent="0.3">
      <c r="A17040" t="s">
        <v>0</v>
      </c>
    </row>
    <row r="17041" spans="1:1" x14ac:dyDescent="0.3">
      <c r="A17041" t="s">
        <v>0</v>
      </c>
    </row>
    <row r="17042" spans="1:1" x14ac:dyDescent="0.3">
      <c r="A17042" t="s">
        <v>0</v>
      </c>
    </row>
    <row r="17043" spans="1:1" x14ac:dyDescent="0.3">
      <c r="A17043" t="s">
        <v>0</v>
      </c>
    </row>
    <row r="17044" spans="1:1" x14ac:dyDescent="0.3">
      <c r="A17044" t="s">
        <v>0</v>
      </c>
    </row>
    <row r="17045" spans="1:1" x14ac:dyDescent="0.3">
      <c r="A17045" t="s">
        <v>0</v>
      </c>
    </row>
    <row r="17046" spans="1:1" x14ac:dyDescent="0.3">
      <c r="A17046" t="s">
        <v>0</v>
      </c>
    </row>
    <row r="17047" spans="1:1" x14ac:dyDescent="0.3">
      <c r="A17047" t="s">
        <v>0</v>
      </c>
    </row>
    <row r="17048" spans="1:1" x14ac:dyDescent="0.3">
      <c r="A17048" t="s">
        <v>0</v>
      </c>
    </row>
    <row r="17049" spans="1:1" x14ac:dyDescent="0.3">
      <c r="A17049" t="s">
        <v>0</v>
      </c>
    </row>
    <row r="17050" spans="1:1" x14ac:dyDescent="0.3">
      <c r="A17050" t="s">
        <v>0</v>
      </c>
    </row>
    <row r="17051" spans="1:1" x14ac:dyDescent="0.3">
      <c r="A17051" t="s">
        <v>0</v>
      </c>
    </row>
    <row r="17052" spans="1:1" x14ac:dyDescent="0.3">
      <c r="A17052" t="s">
        <v>0</v>
      </c>
    </row>
    <row r="17053" spans="1:1" x14ac:dyDescent="0.3">
      <c r="A17053" t="s">
        <v>0</v>
      </c>
    </row>
    <row r="17054" spans="1:1" x14ac:dyDescent="0.3">
      <c r="A17054" t="s">
        <v>0</v>
      </c>
    </row>
    <row r="17055" spans="1:1" x14ac:dyDescent="0.3">
      <c r="A17055" t="s">
        <v>0</v>
      </c>
    </row>
    <row r="17056" spans="1:1" x14ac:dyDescent="0.3">
      <c r="A17056" t="s">
        <v>0</v>
      </c>
    </row>
    <row r="17057" spans="1:1" x14ac:dyDescent="0.3">
      <c r="A17057" t="s">
        <v>0</v>
      </c>
    </row>
    <row r="17058" spans="1:1" x14ac:dyDescent="0.3">
      <c r="A17058" t="s">
        <v>0</v>
      </c>
    </row>
    <row r="17059" spans="1:1" x14ac:dyDescent="0.3">
      <c r="A17059" t="s">
        <v>0</v>
      </c>
    </row>
    <row r="17060" spans="1:1" x14ac:dyDescent="0.3">
      <c r="A17060" t="s">
        <v>0</v>
      </c>
    </row>
    <row r="17061" spans="1:1" x14ac:dyDescent="0.3">
      <c r="A17061" t="s">
        <v>0</v>
      </c>
    </row>
    <row r="17062" spans="1:1" x14ac:dyDescent="0.3">
      <c r="A17062" t="s">
        <v>0</v>
      </c>
    </row>
    <row r="17063" spans="1:1" x14ac:dyDescent="0.3">
      <c r="A17063" t="s">
        <v>0</v>
      </c>
    </row>
    <row r="17064" spans="1:1" x14ac:dyDescent="0.3">
      <c r="A17064" t="s">
        <v>0</v>
      </c>
    </row>
    <row r="17065" spans="1:1" x14ac:dyDescent="0.3">
      <c r="A17065" t="s">
        <v>0</v>
      </c>
    </row>
    <row r="17066" spans="1:1" x14ac:dyDescent="0.3">
      <c r="A17066" t="s">
        <v>0</v>
      </c>
    </row>
    <row r="17067" spans="1:1" x14ac:dyDescent="0.3">
      <c r="A17067" t="s">
        <v>0</v>
      </c>
    </row>
    <row r="17068" spans="1:1" x14ac:dyDescent="0.3">
      <c r="A17068" t="s">
        <v>0</v>
      </c>
    </row>
    <row r="17069" spans="1:1" x14ac:dyDescent="0.3">
      <c r="A17069" t="s">
        <v>0</v>
      </c>
    </row>
    <row r="17070" spans="1:1" x14ac:dyDescent="0.3">
      <c r="A17070" t="s">
        <v>0</v>
      </c>
    </row>
    <row r="17071" spans="1:1" x14ac:dyDescent="0.3">
      <c r="A17071" t="s">
        <v>0</v>
      </c>
    </row>
    <row r="17072" spans="1:1" x14ac:dyDescent="0.3">
      <c r="A17072" t="s">
        <v>0</v>
      </c>
    </row>
    <row r="17073" spans="1:1" x14ac:dyDescent="0.3">
      <c r="A17073" t="s">
        <v>0</v>
      </c>
    </row>
    <row r="17074" spans="1:1" x14ac:dyDescent="0.3">
      <c r="A17074" t="s">
        <v>0</v>
      </c>
    </row>
    <row r="17075" spans="1:1" x14ac:dyDescent="0.3">
      <c r="A17075" t="s">
        <v>0</v>
      </c>
    </row>
    <row r="17076" spans="1:1" x14ac:dyDescent="0.3">
      <c r="A17076" t="s">
        <v>0</v>
      </c>
    </row>
    <row r="17077" spans="1:1" x14ac:dyDescent="0.3">
      <c r="A17077" t="s">
        <v>0</v>
      </c>
    </row>
    <row r="17078" spans="1:1" x14ac:dyDescent="0.3">
      <c r="A17078" t="s">
        <v>0</v>
      </c>
    </row>
    <row r="17079" spans="1:1" x14ac:dyDescent="0.3">
      <c r="A17079" t="s">
        <v>0</v>
      </c>
    </row>
    <row r="17080" spans="1:1" x14ac:dyDescent="0.3">
      <c r="A17080" t="s">
        <v>0</v>
      </c>
    </row>
    <row r="17081" spans="1:1" x14ac:dyDescent="0.3">
      <c r="A17081" t="s">
        <v>0</v>
      </c>
    </row>
    <row r="17082" spans="1:1" x14ac:dyDescent="0.3">
      <c r="A17082" t="s">
        <v>0</v>
      </c>
    </row>
    <row r="17083" spans="1:1" x14ac:dyDescent="0.3">
      <c r="A17083" t="s">
        <v>0</v>
      </c>
    </row>
    <row r="17084" spans="1:1" x14ac:dyDescent="0.3">
      <c r="A17084" t="s">
        <v>0</v>
      </c>
    </row>
    <row r="17085" spans="1:1" x14ac:dyDescent="0.3">
      <c r="A17085" t="s">
        <v>0</v>
      </c>
    </row>
    <row r="17086" spans="1:1" x14ac:dyDescent="0.3">
      <c r="A17086" t="s">
        <v>0</v>
      </c>
    </row>
    <row r="17087" spans="1:1" x14ac:dyDescent="0.3">
      <c r="A17087" t="s">
        <v>0</v>
      </c>
    </row>
    <row r="17088" spans="1:1" x14ac:dyDescent="0.3">
      <c r="A17088" t="s">
        <v>0</v>
      </c>
    </row>
    <row r="17089" spans="1:1" x14ac:dyDescent="0.3">
      <c r="A17089" t="s">
        <v>0</v>
      </c>
    </row>
    <row r="17090" spans="1:1" x14ac:dyDescent="0.3">
      <c r="A17090" t="s">
        <v>0</v>
      </c>
    </row>
    <row r="17091" spans="1:1" x14ac:dyDescent="0.3">
      <c r="A17091" t="s">
        <v>0</v>
      </c>
    </row>
    <row r="17092" spans="1:1" x14ac:dyDescent="0.3">
      <c r="A17092" t="s">
        <v>0</v>
      </c>
    </row>
    <row r="17093" spans="1:1" x14ac:dyDescent="0.3">
      <c r="A17093" t="s">
        <v>0</v>
      </c>
    </row>
    <row r="17094" spans="1:1" x14ac:dyDescent="0.3">
      <c r="A17094" t="s">
        <v>0</v>
      </c>
    </row>
    <row r="17095" spans="1:1" x14ac:dyDescent="0.3">
      <c r="A17095" t="s">
        <v>0</v>
      </c>
    </row>
    <row r="17096" spans="1:1" x14ac:dyDescent="0.3">
      <c r="A17096" t="s">
        <v>0</v>
      </c>
    </row>
    <row r="17097" spans="1:1" x14ac:dyDescent="0.3">
      <c r="A17097" t="s">
        <v>0</v>
      </c>
    </row>
    <row r="17098" spans="1:1" x14ac:dyDescent="0.3">
      <c r="A17098" t="s">
        <v>0</v>
      </c>
    </row>
    <row r="17099" spans="1:1" x14ac:dyDescent="0.3">
      <c r="A17099" t="s">
        <v>0</v>
      </c>
    </row>
    <row r="17100" spans="1:1" x14ac:dyDescent="0.3">
      <c r="A17100" t="s">
        <v>0</v>
      </c>
    </row>
    <row r="17101" spans="1:1" x14ac:dyDescent="0.3">
      <c r="A17101" t="s">
        <v>0</v>
      </c>
    </row>
    <row r="17102" spans="1:1" x14ac:dyDescent="0.3">
      <c r="A17102" t="s">
        <v>0</v>
      </c>
    </row>
    <row r="17103" spans="1:1" x14ac:dyDescent="0.3">
      <c r="A17103" t="s">
        <v>0</v>
      </c>
    </row>
    <row r="17104" spans="1:1" x14ac:dyDescent="0.3">
      <c r="A17104" t="s">
        <v>0</v>
      </c>
    </row>
    <row r="17105" spans="1:1" x14ac:dyDescent="0.3">
      <c r="A17105" t="s">
        <v>0</v>
      </c>
    </row>
    <row r="17106" spans="1:1" x14ac:dyDescent="0.3">
      <c r="A17106" t="s">
        <v>0</v>
      </c>
    </row>
    <row r="17107" spans="1:1" x14ac:dyDescent="0.3">
      <c r="A17107" t="s">
        <v>0</v>
      </c>
    </row>
    <row r="17108" spans="1:1" x14ac:dyDescent="0.3">
      <c r="A17108" t="s">
        <v>0</v>
      </c>
    </row>
    <row r="17109" spans="1:1" x14ac:dyDescent="0.3">
      <c r="A17109" t="s">
        <v>0</v>
      </c>
    </row>
    <row r="17110" spans="1:1" x14ac:dyDescent="0.3">
      <c r="A17110" t="s">
        <v>0</v>
      </c>
    </row>
    <row r="17111" spans="1:1" x14ac:dyDescent="0.3">
      <c r="A17111" t="s">
        <v>0</v>
      </c>
    </row>
    <row r="17112" spans="1:1" x14ac:dyDescent="0.3">
      <c r="A17112" t="s">
        <v>0</v>
      </c>
    </row>
    <row r="17113" spans="1:1" x14ac:dyDescent="0.3">
      <c r="A17113" t="s">
        <v>0</v>
      </c>
    </row>
    <row r="17114" spans="1:1" x14ac:dyDescent="0.3">
      <c r="A17114" t="s">
        <v>0</v>
      </c>
    </row>
    <row r="17115" spans="1:1" x14ac:dyDescent="0.3">
      <c r="A17115" t="s">
        <v>0</v>
      </c>
    </row>
    <row r="17116" spans="1:1" x14ac:dyDescent="0.3">
      <c r="A17116" t="s">
        <v>0</v>
      </c>
    </row>
    <row r="17117" spans="1:1" x14ac:dyDescent="0.3">
      <c r="A17117" t="s">
        <v>0</v>
      </c>
    </row>
    <row r="17118" spans="1:1" x14ac:dyDescent="0.3">
      <c r="A17118" t="s">
        <v>0</v>
      </c>
    </row>
    <row r="17119" spans="1:1" x14ac:dyDescent="0.3">
      <c r="A17119" t="s">
        <v>0</v>
      </c>
    </row>
    <row r="17120" spans="1:1" x14ac:dyDescent="0.3">
      <c r="A17120" t="s">
        <v>0</v>
      </c>
    </row>
    <row r="17121" spans="1:1" x14ac:dyDescent="0.3">
      <c r="A17121" t="s">
        <v>0</v>
      </c>
    </row>
    <row r="17122" spans="1:1" x14ac:dyDescent="0.3">
      <c r="A17122" t="s">
        <v>0</v>
      </c>
    </row>
    <row r="17123" spans="1:1" x14ac:dyDescent="0.3">
      <c r="A17123" t="s">
        <v>0</v>
      </c>
    </row>
    <row r="17124" spans="1:1" x14ac:dyDescent="0.3">
      <c r="A17124" t="s">
        <v>0</v>
      </c>
    </row>
    <row r="17125" spans="1:1" x14ac:dyDescent="0.3">
      <c r="A17125" t="s">
        <v>0</v>
      </c>
    </row>
    <row r="17126" spans="1:1" x14ac:dyDescent="0.3">
      <c r="A17126" t="s">
        <v>0</v>
      </c>
    </row>
    <row r="17127" spans="1:1" x14ac:dyDescent="0.3">
      <c r="A17127" t="s">
        <v>0</v>
      </c>
    </row>
    <row r="17128" spans="1:1" x14ac:dyDescent="0.3">
      <c r="A17128" t="s">
        <v>0</v>
      </c>
    </row>
    <row r="17129" spans="1:1" x14ac:dyDescent="0.3">
      <c r="A17129" t="s">
        <v>0</v>
      </c>
    </row>
    <row r="17130" spans="1:1" x14ac:dyDescent="0.3">
      <c r="A17130" t="s">
        <v>0</v>
      </c>
    </row>
    <row r="17131" spans="1:1" x14ac:dyDescent="0.3">
      <c r="A17131" t="s">
        <v>0</v>
      </c>
    </row>
    <row r="17132" spans="1:1" x14ac:dyDescent="0.3">
      <c r="A17132" t="s">
        <v>0</v>
      </c>
    </row>
    <row r="17133" spans="1:1" x14ac:dyDescent="0.3">
      <c r="A17133" t="s">
        <v>0</v>
      </c>
    </row>
    <row r="17134" spans="1:1" x14ac:dyDescent="0.3">
      <c r="A17134" t="s">
        <v>0</v>
      </c>
    </row>
    <row r="17135" spans="1:1" x14ac:dyDescent="0.3">
      <c r="A17135" t="s">
        <v>0</v>
      </c>
    </row>
    <row r="17136" spans="1:1" x14ac:dyDescent="0.3">
      <c r="A17136" t="s">
        <v>0</v>
      </c>
    </row>
    <row r="17137" spans="1:1" x14ac:dyDescent="0.3">
      <c r="A17137" t="s">
        <v>0</v>
      </c>
    </row>
    <row r="17138" spans="1:1" x14ac:dyDescent="0.3">
      <c r="A17138" t="s">
        <v>0</v>
      </c>
    </row>
    <row r="17139" spans="1:1" x14ac:dyDescent="0.3">
      <c r="A17139" t="s">
        <v>0</v>
      </c>
    </row>
    <row r="17140" spans="1:1" x14ac:dyDescent="0.3">
      <c r="A17140" t="s">
        <v>0</v>
      </c>
    </row>
    <row r="17141" spans="1:1" x14ac:dyDescent="0.3">
      <c r="A17141" t="s">
        <v>0</v>
      </c>
    </row>
    <row r="17142" spans="1:1" x14ac:dyDescent="0.3">
      <c r="A17142" t="s">
        <v>0</v>
      </c>
    </row>
    <row r="17143" spans="1:1" x14ac:dyDescent="0.3">
      <c r="A17143" t="s">
        <v>0</v>
      </c>
    </row>
    <row r="17144" spans="1:1" x14ac:dyDescent="0.3">
      <c r="A17144" t="s">
        <v>0</v>
      </c>
    </row>
    <row r="17145" spans="1:1" x14ac:dyDescent="0.3">
      <c r="A17145" t="s">
        <v>0</v>
      </c>
    </row>
    <row r="17146" spans="1:1" x14ac:dyDescent="0.3">
      <c r="A17146" t="s">
        <v>0</v>
      </c>
    </row>
    <row r="17147" spans="1:1" x14ac:dyDescent="0.3">
      <c r="A17147" t="s">
        <v>0</v>
      </c>
    </row>
    <row r="17148" spans="1:1" x14ac:dyDescent="0.3">
      <c r="A17148" t="s">
        <v>0</v>
      </c>
    </row>
    <row r="17149" spans="1:1" x14ac:dyDescent="0.3">
      <c r="A17149" t="s">
        <v>0</v>
      </c>
    </row>
    <row r="17150" spans="1:1" x14ac:dyDescent="0.3">
      <c r="A17150" t="s">
        <v>0</v>
      </c>
    </row>
    <row r="17151" spans="1:1" x14ac:dyDescent="0.3">
      <c r="A17151" t="s">
        <v>0</v>
      </c>
    </row>
    <row r="17152" spans="1:1" x14ac:dyDescent="0.3">
      <c r="A17152" t="s">
        <v>0</v>
      </c>
    </row>
    <row r="17153" spans="1:1" x14ac:dyDescent="0.3">
      <c r="A17153" t="s">
        <v>0</v>
      </c>
    </row>
    <row r="17154" spans="1:1" x14ac:dyDescent="0.3">
      <c r="A17154" t="s">
        <v>0</v>
      </c>
    </row>
    <row r="17155" spans="1:1" x14ac:dyDescent="0.3">
      <c r="A17155" t="s">
        <v>0</v>
      </c>
    </row>
    <row r="17156" spans="1:1" x14ac:dyDescent="0.3">
      <c r="A17156" t="s">
        <v>0</v>
      </c>
    </row>
    <row r="17157" spans="1:1" x14ac:dyDescent="0.3">
      <c r="A17157" t="s">
        <v>0</v>
      </c>
    </row>
    <row r="17158" spans="1:1" x14ac:dyDescent="0.3">
      <c r="A17158" t="s">
        <v>0</v>
      </c>
    </row>
    <row r="17159" spans="1:1" x14ac:dyDescent="0.3">
      <c r="A17159" t="s">
        <v>0</v>
      </c>
    </row>
    <row r="17160" spans="1:1" x14ac:dyDescent="0.3">
      <c r="A17160" t="s">
        <v>0</v>
      </c>
    </row>
    <row r="17161" spans="1:1" x14ac:dyDescent="0.3">
      <c r="A17161" t="s">
        <v>0</v>
      </c>
    </row>
    <row r="17162" spans="1:1" x14ac:dyDescent="0.3">
      <c r="A17162" t="s">
        <v>0</v>
      </c>
    </row>
    <row r="17163" spans="1:1" x14ac:dyDescent="0.3">
      <c r="A17163" t="s">
        <v>0</v>
      </c>
    </row>
    <row r="17164" spans="1:1" x14ac:dyDescent="0.3">
      <c r="A17164" t="s">
        <v>0</v>
      </c>
    </row>
    <row r="17165" spans="1:1" x14ac:dyDescent="0.3">
      <c r="A17165" t="s">
        <v>0</v>
      </c>
    </row>
    <row r="17166" spans="1:1" x14ac:dyDescent="0.3">
      <c r="A17166" t="s">
        <v>0</v>
      </c>
    </row>
    <row r="17167" spans="1:1" x14ac:dyDescent="0.3">
      <c r="A17167" t="s">
        <v>0</v>
      </c>
    </row>
    <row r="17168" spans="1:1" x14ac:dyDescent="0.3">
      <c r="A17168" t="s">
        <v>0</v>
      </c>
    </row>
    <row r="17169" spans="1:1" x14ac:dyDescent="0.3">
      <c r="A17169" t="s">
        <v>0</v>
      </c>
    </row>
    <row r="17170" spans="1:1" x14ac:dyDescent="0.3">
      <c r="A17170" t="s">
        <v>0</v>
      </c>
    </row>
    <row r="17171" spans="1:1" x14ac:dyDescent="0.3">
      <c r="A17171" t="s">
        <v>0</v>
      </c>
    </row>
    <row r="17172" spans="1:1" x14ac:dyDescent="0.3">
      <c r="A17172" t="s">
        <v>0</v>
      </c>
    </row>
    <row r="17173" spans="1:1" x14ac:dyDescent="0.3">
      <c r="A17173" t="s">
        <v>0</v>
      </c>
    </row>
    <row r="17174" spans="1:1" x14ac:dyDescent="0.3">
      <c r="A17174" t="s">
        <v>0</v>
      </c>
    </row>
    <row r="17175" spans="1:1" x14ac:dyDescent="0.3">
      <c r="A17175" t="s">
        <v>0</v>
      </c>
    </row>
    <row r="17176" spans="1:1" x14ac:dyDescent="0.3">
      <c r="A17176" t="s">
        <v>0</v>
      </c>
    </row>
    <row r="17177" spans="1:1" x14ac:dyDescent="0.3">
      <c r="A17177" t="s">
        <v>0</v>
      </c>
    </row>
    <row r="17178" spans="1:1" x14ac:dyDescent="0.3">
      <c r="A17178" t="s">
        <v>0</v>
      </c>
    </row>
    <row r="17179" spans="1:1" x14ac:dyDescent="0.3">
      <c r="A17179" t="s">
        <v>0</v>
      </c>
    </row>
    <row r="17180" spans="1:1" x14ac:dyDescent="0.3">
      <c r="A17180" t="s">
        <v>0</v>
      </c>
    </row>
    <row r="17181" spans="1:1" x14ac:dyDescent="0.3">
      <c r="A17181" t="s">
        <v>0</v>
      </c>
    </row>
    <row r="17182" spans="1:1" x14ac:dyDescent="0.3">
      <c r="A17182" t="s">
        <v>0</v>
      </c>
    </row>
    <row r="17183" spans="1:1" x14ac:dyDescent="0.3">
      <c r="A17183" t="s">
        <v>0</v>
      </c>
    </row>
    <row r="17184" spans="1:1" x14ac:dyDescent="0.3">
      <c r="A17184" t="s">
        <v>0</v>
      </c>
    </row>
    <row r="17185" spans="1:1" x14ac:dyDescent="0.3">
      <c r="A17185" t="s">
        <v>0</v>
      </c>
    </row>
    <row r="17186" spans="1:1" x14ac:dyDescent="0.3">
      <c r="A17186" t="s">
        <v>0</v>
      </c>
    </row>
    <row r="17187" spans="1:1" x14ac:dyDescent="0.3">
      <c r="A17187" t="s">
        <v>0</v>
      </c>
    </row>
    <row r="17188" spans="1:1" x14ac:dyDescent="0.3">
      <c r="A17188" t="s">
        <v>0</v>
      </c>
    </row>
    <row r="17189" spans="1:1" x14ac:dyDescent="0.3">
      <c r="A17189" t="s">
        <v>0</v>
      </c>
    </row>
    <row r="17190" spans="1:1" x14ac:dyDescent="0.3">
      <c r="A17190" t="s">
        <v>0</v>
      </c>
    </row>
    <row r="17191" spans="1:1" x14ac:dyDescent="0.3">
      <c r="A17191" t="s">
        <v>0</v>
      </c>
    </row>
    <row r="17192" spans="1:1" x14ac:dyDescent="0.3">
      <c r="A17192" t="s">
        <v>0</v>
      </c>
    </row>
    <row r="17193" spans="1:1" x14ac:dyDescent="0.3">
      <c r="A17193" t="s">
        <v>0</v>
      </c>
    </row>
    <row r="17194" spans="1:1" x14ac:dyDescent="0.3">
      <c r="A17194" t="s">
        <v>0</v>
      </c>
    </row>
    <row r="17195" spans="1:1" x14ac:dyDescent="0.3">
      <c r="A17195" t="s">
        <v>0</v>
      </c>
    </row>
    <row r="17196" spans="1:1" x14ac:dyDescent="0.3">
      <c r="A17196" t="s">
        <v>0</v>
      </c>
    </row>
    <row r="17197" spans="1:1" x14ac:dyDescent="0.3">
      <c r="A17197" t="s">
        <v>0</v>
      </c>
    </row>
    <row r="17198" spans="1:1" x14ac:dyDescent="0.3">
      <c r="A17198" t="s">
        <v>0</v>
      </c>
    </row>
    <row r="17199" spans="1:1" x14ac:dyDescent="0.3">
      <c r="A17199" t="s">
        <v>0</v>
      </c>
    </row>
    <row r="17200" spans="1:1" x14ac:dyDescent="0.3">
      <c r="A17200" t="s">
        <v>0</v>
      </c>
    </row>
    <row r="17201" spans="1:1" x14ac:dyDescent="0.3">
      <c r="A17201" t="s">
        <v>0</v>
      </c>
    </row>
    <row r="17202" spans="1:1" x14ac:dyDescent="0.3">
      <c r="A17202" t="s">
        <v>0</v>
      </c>
    </row>
    <row r="17203" spans="1:1" x14ac:dyDescent="0.3">
      <c r="A17203" t="s">
        <v>0</v>
      </c>
    </row>
    <row r="17204" spans="1:1" x14ac:dyDescent="0.3">
      <c r="A17204" t="s">
        <v>0</v>
      </c>
    </row>
    <row r="17205" spans="1:1" x14ac:dyDescent="0.3">
      <c r="A17205" t="s">
        <v>0</v>
      </c>
    </row>
    <row r="17206" spans="1:1" x14ac:dyDescent="0.3">
      <c r="A17206" t="s">
        <v>0</v>
      </c>
    </row>
    <row r="17207" spans="1:1" x14ac:dyDescent="0.3">
      <c r="A17207" t="s">
        <v>0</v>
      </c>
    </row>
    <row r="17208" spans="1:1" x14ac:dyDescent="0.3">
      <c r="A17208" t="s">
        <v>0</v>
      </c>
    </row>
    <row r="17209" spans="1:1" x14ac:dyDescent="0.3">
      <c r="A17209" t="s">
        <v>0</v>
      </c>
    </row>
    <row r="17210" spans="1:1" x14ac:dyDescent="0.3">
      <c r="A17210" t="s">
        <v>0</v>
      </c>
    </row>
    <row r="17211" spans="1:1" x14ac:dyDescent="0.3">
      <c r="A17211" t="s">
        <v>0</v>
      </c>
    </row>
    <row r="17212" spans="1:1" x14ac:dyDescent="0.3">
      <c r="A17212" t="s">
        <v>0</v>
      </c>
    </row>
    <row r="17213" spans="1:1" x14ac:dyDescent="0.3">
      <c r="A17213" t="s">
        <v>0</v>
      </c>
    </row>
    <row r="17214" spans="1:1" x14ac:dyDescent="0.3">
      <c r="A17214" t="s">
        <v>0</v>
      </c>
    </row>
    <row r="17215" spans="1:1" x14ac:dyDescent="0.3">
      <c r="A17215" t="s">
        <v>0</v>
      </c>
    </row>
    <row r="17216" spans="1:1" x14ac:dyDescent="0.3">
      <c r="A17216" t="s">
        <v>0</v>
      </c>
    </row>
    <row r="17217" spans="1:1" x14ac:dyDescent="0.3">
      <c r="A17217" t="s">
        <v>0</v>
      </c>
    </row>
    <row r="17218" spans="1:1" x14ac:dyDescent="0.3">
      <c r="A17218" t="s">
        <v>0</v>
      </c>
    </row>
    <row r="17219" spans="1:1" x14ac:dyDescent="0.3">
      <c r="A17219" t="s">
        <v>0</v>
      </c>
    </row>
    <row r="17220" spans="1:1" x14ac:dyDescent="0.3">
      <c r="A17220" t="s">
        <v>0</v>
      </c>
    </row>
    <row r="17221" spans="1:1" x14ac:dyDescent="0.3">
      <c r="A17221" t="s">
        <v>0</v>
      </c>
    </row>
    <row r="17222" spans="1:1" x14ac:dyDescent="0.3">
      <c r="A17222" t="s">
        <v>0</v>
      </c>
    </row>
    <row r="17223" spans="1:1" x14ac:dyDescent="0.3">
      <c r="A17223" t="s">
        <v>0</v>
      </c>
    </row>
    <row r="17224" spans="1:1" x14ac:dyDescent="0.3">
      <c r="A17224" t="s">
        <v>0</v>
      </c>
    </row>
    <row r="17225" spans="1:1" x14ac:dyDescent="0.3">
      <c r="A17225" t="s">
        <v>0</v>
      </c>
    </row>
    <row r="17226" spans="1:1" x14ac:dyDescent="0.3">
      <c r="A17226" t="s">
        <v>0</v>
      </c>
    </row>
    <row r="17227" spans="1:1" x14ac:dyDescent="0.3">
      <c r="A17227" t="s">
        <v>0</v>
      </c>
    </row>
    <row r="17228" spans="1:1" x14ac:dyDescent="0.3">
      <c r="A17228" t="s">
        <v>0</v>
      </c>
    </row>
    <row r="17229" spans="1:1" x14ac:dyDescent="0.3">
      <c r="A17229" t="s">
        <v>0</v>
      </c>
    </row>
    <row r="17230" spans="1:1" x14ac:dyDescent="0.3">
      <c r="A17230" t="s">
        <v>0</v>
      </c>
    </row>
    <row r="17231" spans="1:1" x14ac:dyDescent="0.3">
      <c r="A17231" t="s">
        <v>0</v>
      </c>
    </row>
    <row r="17232" spans="1:1" x14ac:dyDescent="0.3">
      <c r="A17232" t="s">
        <v>0</v>
      </c>
    </row>
    <row r="17233" spans="1:1" x14ac:dyDescent="0.3">
      <c r="A17233" t="s">
        <v>0</v>
      </c>
    </row>
    <row r="17234" spans="1:1" x14ac:dyDescent="0.3">
      <c r="A17234" t="s">
        <v>0</v>
      </c>
    </row>
    <row r="17235" spans="1:1" x14ac:dyDescent="0.3">
      <c r="A17235" t="s">
        <v>0</v>
      </c>
    </row>
    <row r="17236" spans="1:1" x14ac:dyDescent="0.3">
      <c r="A17236" t="s">
        <v>0</v>
      </c>
    </row>
    <row r="17237" spans="1:1" x14ac:dyDescent="0.3">
      <c r="A17237" t="s">
        <v>0</v>
      </c>
    </row>
    <row r="17238" spans="1:1" x14ac:dyDescent="0.3">
      <c r="A17238" t="s">
        <v>0</v>
      </c>
    </row>
    <row r="17239" spans="1:1" x14ac:dyDescent="0.3">
      <c r="A17239" t="s">
        <v>0</v>
      </c>
    </row>
    <row r="17240" spans="1:1" x14ac:dyDescent="0.3">
      <c r="A17240" t="s">
        <v>0</v>
      </c>
    </row>
    <row r="17241" spans="1:1" x14ac:dyDescent="0.3">
      <c r="A17241" t="s">
        <v>0</v>
      </c>
    </row>
    <row r="17242" spans="1:1" x14ac:dyDescent="0.3">
      <c r="A17242" t="s">
        <v>0</v>
      </c>
    </row>
    <row r="17243" spans="1:1" x14ac:dyDescent="0.3">
      <c r="A17243" t="s">
        <v>0</v>
      </c>
    </row>
    <row r="17244" spans="1:1" x14ac:dyDescent="0.3">
      <c r="A17244" t="s">
        <v>0</v>
      </c>
    </row>
    <row r="17245" spans="1:1" x14ac:dyDescent="0.3">
      <c r="A17245" t="s">
        <v>0</v>
      </c>
    </row>
    <row r="17246" spans="1:1" x14ac:dyDescent="0.3">
      <c r="A17246" t="s">
        <v>0</v>
      </c>
    </row>
    <row r="17247" spans="1:1" x14ac:dyDescent="0.3">
      <c r="A17247" t="s">
        <v>0</v>
      </c>
    </row>
    <row r="17248" spans="1:1" x14ac:dyDescent="0.3">
      <c r="A17248" t="s">
        <v>0</v>
      </c>
    </row>
    <row r="17249" spans="1:1" x14ac:dyDescent="0.3">
      <c r="A17249" t="s">
        <v>0</v>
      </c>
    </row>
    <row r="17250" spans="1:1" x14ac:dyDescent="0.3">
      <c r="A17250" t="s">
        <v>0</v>
      </c>
    </row>
    <row r="17251" spans="1:1" x14ac:dyDescent="0.3">
      <c r="A17251" t="s">
        <v>0</v>
      </c>
    </row>
    <row r="17252" spans="1:1" x14ac:dyDescent="0.3">
      <c r="A17252" t="s">
        <v>0</v>
      </c>
    </row>
    <row r="17253" spans="1:1" x14ac:dyDescent="0.3">
      <c r="A17253" t="s">
        <v>0</v>
      </c>
    </row>
    <row r="17254" spans="1:1" x14ac:dyDescent="0.3">
      <c r="A17254" t="s">
        <v>0</v>
      </c>
    </row>
    <row r="17255" spans="1:1" x14ac:dyDescent="0.3">
      <c r="A17255" t="s">
        <v>0</v>
      </c>
    </row>
    <row r="17256" spans="1:1" x14ac:dyDescent="0.3">
      <c r="A17256" t="s">
        <v>0</v>
      </c>
    </row>
    <row r="17257" spans="1:1" x14ac:dyDescent="0.3">
      <c r="A17257" t="s">
        <v>0</v>
      </c>
    </row>
    <row r="17258" spans="1:1" x14ac:dyDescent="0.3">
      <c r="A17258" t="s">
        <v>0</v>
      </c>
    </row>
    <row r="17259" spans="1:1" x14ac:dyDescent="0.3">
      <c r="A17259" t="s">
        <v>0</v>
      </c>
    </row>
    <row r="17260" spans="1:1" x14ac:dyDescent="0.3">
      <c r="A17260" t="s">
        <v>0</v>
      </c>
    </row>
    <row r="17261" spans="1:1" x14ac:dyDescent="0.3">
      <c r="A17261" t="s">
        <v>0</v>
      </c>
    </row>
    <row r="17262" spans="1:1" x14ac:dyDescent="0.3">
      <c r="A17262" t="s">
        <v>0</v>
      </c>
    </row>
    <row r="17263" spans="1:1" x14ac:dyDescent="0.3">
      <c r="A17263" t="s">
        <v>0</v>
      </c>
    </row>
    <row r="17264" spans="1:1" x14ac:dyDescent="0.3">
      <c r="A17264" t="s">
        <v>0</v>
      </c>
    </row>
    <row r="17265" spans="1:1" x14ac:dyDescent="0.3">
      <c r="A17265" t="s">
        <v>0</v>
      </c>
    </row>
    <row r="17266" spans="1:1" x14ac:dyDescent="0.3">
      <c r="A17266" t="s">
        <v>0</v>
      </c>
    </row>
    <row r="17267" spans="1:1" x14ac:dyDescent="0.3">
      <c r="A17267" t="s">
        <v>0</v>
      </c>
    </row>
    <row r="17268" spans="1:1" x14ac:dyDescent="0.3">
      <c r="A17268" t="s">
        <v>0</v>
      </c>
    </row>
    <row r="17269" spans="1:1" x14ac:dyDescent="0.3">
      <c r="A17269" t="s">
        <v>0</v>
      </c>
    </row>
    <row r="17270" spans="1:1" x14ac:dyDescent="0.3">
      <c r="A17270" t="s">
        <v>0</v>
      </c>
    </row>
    <row r="17271" spans="1:1" x14ac:dyDescent="0.3">
      <c r="A17271" t="s">
        <v>0</v>
      </c>
    </row>
    <row r="17272" spans="1:1" x14ac:dyDescent="0.3">
      <c r="A17272" t="s">
        <v>0</v>
      </c>
    </row>
    <row r="17273" spans="1:1" x14ac:dyDescent="0.3">
      <c r="A17273" t="s">
        <v>0</v>
      </c>
    </row>
    <row r="17274" spans="1:1" x14ac:dyDescent="0.3">
      <c r="A17274" t="s">
        <v>0</v>
      </c>
    </row>
    <row r="17275" spans="1:1" x14ac:dyDescent="0.3">
      <c r="A17275" t="s">
        <v>0</v>
      </c>
    </row>
    <row r="17276" spans="1:1" x14ac:dyDescent="0.3">
      <c r="A17276" t="s">
        <v>0</v>
      </c>
    </row>
    <row r="17277" spans="1:1" x14ac:dyDescent="0.3">
      <c r="A17277" t="s">
        <v>0</v>
      </c>
    </row>
    <row r="17278" spans="1:1" x14ac:dyDescent="0.3">
      <c r="A17278" t="s">
        <v>0</v>
      </c>
    </row>
    <row r="17279" spans="1:1" x14ac:dyDescent="0.3">
      <c r="A17279" t="s">
        <v>0</v>
      </c>
    </row>
    <row r="17280" spans="1:1" x14ac:dyDescent="0.3">
      <c r="A17280" t="s">
        <v>0</v>
      </c>
    </row>
    <row r="17281" spans="1:1" x14ac:dyDescent="0.3">
      <c r="A17281" t="s">
        <v>0</v>
      </c>
    </row>
    <row r="17282" spans="1:1" x14ac:dyDescent="0.3">
      <c r="A17282" t="s">
        <v>0</v>
      </c>
    </row>
    <row r="17283" spans="1:1" x14ac:dyDescent="0.3">
      <c r="A17283" t="s">
        <v>0</v>
      </c>
    </row>
    <row r="17284" spans="1:1" x14ac:dyDescent="0.3">
      <c r="A17284" t="s">
        <v>0</v>
      </c>
    </row>
    <row r="17285" spans="1:1" x14ac:dyDescent="0.3">
      <c r="A17285" t="s">
        <v>0</v>
      </c>
    </row>
    <row r="17286" spans="1:1" x14ac:dyDescent="0.3">
      <c r="A17286" t="s">
        <v>0</v>
      </c>
    </row>
    <row r="17287" spans="1:1" x14ac:dyDescent="0.3">
      <c r="A17287" t="s">
        <v>0</v>
      </c>
    </row>
    <row r="17288" spans="1:1" x14ac:dyDescent="0.3">
      <c r="A17288" t="s">
        <v>0</v>
      </c>
    </row>
    <row r="17289" spans="1:1" x14ac:dyDescent="0.3">
      <c r="A17289" t="s">
        <v>0</v>
      </c>
    </row>
    <row r="17290" spans="1:1" x14ac:dyDescent="0.3">
      <c r="A17290" t="s">
        <v>0</v>
      </c>
    </row>
    <row r="17291" spans="1:1" x14ac:dyDescent="0.3">
      <c r="A17291" t="s">
        <v>0</v>
      </c>
    </row>
    <row r="17292" spans="1:1" x14ac:dyDescent="0.3">
      <c r="A17292" t="s">
        <v>0</v>
      </c>
    </row>
    <row r="17293" spans="1:1" x14ac:dyDescent="0.3">
      <c r="A17293" t="s">
        <v>0</v>
      </c>
    </row>
    <row r="17294" spans="1:1" x14ac:dyDescent="0.3">
      <c r="A17294" t="s">
        <v>0</v>
      </c>
    </row>
    <row r="17295" spans="1:1" x14ac:dyDescent="0.3">
      <c r="A17295" t="s">
        <v>0</v>
      </c>
    </row>
    <row r="17296" spans="1:1" x14ac:dyDescent="0.3">
      <c r="A17296" t="s">
        <v>0</v>
      </c>
    </row>
    <row r="17297" spans="1:1" x14ac:dyDescent="0.3">
      <c r="A17297" t="s">
        <v>0</v>
      </c>
    </row>
    <row r="17298" spans="1:1" x14ac:dyDescent="0.3">
      <c r="A17298" t="s">
        <v>0</v>
      </c>
    </row>
    <row r="17299" spans="1:1" x14ac:dyDescent="0.3">
      <c r="A17299" t="s">
        <v>0</v>
      </c>
    </row>
    <row r="17300" spans="1:1" x14ac:dyDescent="0.3">
      <c r="A17300" t="s">
        <v>0</v>
      </c>
    </row>
    <row r="17301" spans="1:1" x14ac:dyDescent="0.3">
      <c r="A17301" t="s">
        <v>0</v>
      </c>
    </row>
    <row r="17302" spans="1:1" x14ac:dyDescent="0.3">
      <c r="A17302" t="s">
        <v>0</v>
      </c>
    </row>
    <row r="17303" spans="1:1" x14ac:dyDescent="0.3">
      <c r="A17303" t="s">
        <v>0</v>
      </c>
    </row>
    <row r="17304" spans="1:1" x14ac:dyDescent="0.3">
      <c r="A17304" t="s">
        <v>0</v>
      </c>
    </row>
    <row r="17305" spans="1:1" x14ac:dyDescent="0.3">
      <c r="A17305" t="s">
        <v>0</v>
      </c>
    </row>
    <row r="17306" spans="1:1" x14ac:dyDescent="0.3">
      <c r="A17306" t="s">
        <v>0</v>
      </c>
    </row>
    <row r="17307" spans="1:1" x14ac:dyDescent="0.3">
      <c r="A17307" t="s">
        <v>0</v>
      </c>
    </row>
    <row r="17308" spans="1:1" x14ac:dyDescent="0.3">
      <c r="A17308" t="s">
        <v>0</v>
      </c>
    </row>
    <row r="17309" spans="1:1" x14ac:dyDescent="0.3">
      <c r="A17309" t="s">
        <v>0</v>
      </c>
    </row>
    <row r="17310" spans="1:1" x14ac:dyDescent="0.3">
      <c r="A17310" t="s">
        <v>0</v>
      </c>
    </row>
    <row r="17311" spans="1:1" x14ac:dyDescent="0.3">
      <c r="A17311" t="s">
        <v>0</v>
      </c>
    </row>
    <row r="17312" spans="1:1" x14ac:dyDescent="0.3">
      <c r="A17312" t="s">
        <v>0</v>
      </c>
    </row>
    <row r="17313" spans="1:1" x14ac:dyDescent="0.3">
      <c r="A17313" t="s">
        <v>0</v>
      </c>
    </row>
    <row r="17314" spans="1:1" x14ac:dyDescent="0.3">
      <c r="A17314" t="s">
        <v>0</v>
      </c>
    </row>
    <row r="17315" spans="1:1" x14ac:dyDescent="0.3">
      <c r="A17315" t="s">
        <v>0</v>
      </c>
    </row>
    <row r="17316" spans="1:1" x14ac:dyDescent="0.3">
      <c r="A17316" t="s">
        <v>0</v>
      </c>
    </row>
    <row r="17317" spans="1:1" x14ac:dyDescent="0.3">
      <c r="A17317" t="s">
        <v>0</v>
      </c>
    </row>
    <row r="17318" spans="1:1" x14ac:dyDescent="0.3">
      <c r="A17318" t="s">
        <v>0</v>
      </c>
    </row>
    <row r="17319" spans="1:1" x14ac:dyDescent="0.3">
      <c r="A17319" t="s">
        <v>0</v>
      </c>
    </row>
    <row r="17320" spans="1:1" x14ac:dyDescent="0.3">
      <c r="A17320" t="s">
        <v>0</v>
      </c>
    </row>
    <row r="17321" spans="1:1" x14ac:dyDescent="0.3">
      <c r="A17321" t="s">
        <v>0</v>
      </c>
    </row>
    <row r="17322" spans="1:1" x14ac:dyDescent="0.3">
      <c r="A17322" t="s">
        <v>0</v>
      </c>
    </row>
    <row r="17323" spans="1:1" x14ac:dyDescent="0.3">
      <c r="A17323" t="s">
        <v>0</v>
      </c>
    </row>
    <row r="17324" spans="1:1" x14ac:dyDescent="0.3">
      <c r="A17324" t="s">
        <v>0</v>
      </c>
    </row>
    <row r="17325" spans="1:1" x14ac:dyDescent="0.3">
      <c r="A17325" t="s">
        <v>0</v>
      </c>
    </row>
    <row r="17326" spans="1:1" x14ac:dyDescent="0.3">
      <c r="A17326" t="s">
        <v>0</v>
      </c>
    </row>
    <row r="17327" spans="1:1" x14ac:dyDescent="0.3">
      <c r="A17327" t="s">
        <v>0</v>
      </c>
    </row>
    <row r="17328" spans="1:1" x14ac:dyDescent="0.3">
      <c r="A17328" t="s">
        <v>0</v>
      </c>
    </row>
    <row r="17329" spans="1:1" x14ac:dyDescent="0.3">
      <c r="A17329" t="s">
        <v>0</v>
      </c>
    </row>
    <row r="17330" spans="1:1" x14ac:dyDescent="0.3">
      <c r="A17330" t="s">
        <v>0</v>
      </c>
    </row>
    <row r="17331" spans="1:1" x14ac:dyDescent="0.3">
      <c r="A17331" t="s">
        <v>0</v>
      </c>
    </row>
    <row r="17332" spans="1:1" x14ac:dyDescent="0.3">
      <c r="A17332" t="s">
        <v>0</v>
      </c>
    </row>
    <row r="17333" spans="1:1" x14ac:dyDescent="0.3">
      <c r="A17333" t="s">
        <v>0</v>
      </c>
    </row>
    <row r="17334" spans="1:1" x14ac:dyDescent="0.3">
      <c r="A17334" t="s">
        <v>0</v>
      </c>
    </row>
    <row r="17335" spans="1:1" x14ac:dyDescent="0.3">
      <c r="A17335" t="s">
        <v>0</v>
      </c>
    </row>
    <row r="17336" spans="1:1" x14ac:dyDescent="0.3">
      <c r="A17336" t="s">
        <v>0</v>
      </c>
    </row>
    <row r="17337" spans="1:1" x14ac:dyDescent="0.3">
      <c r="A17337" t="s">
        <v>0</v>
      </c>
    </row>
    <row r="17338" spans="1:1" x14ac:dyDescent="0.3">
      <c r="A17338" t="s">
        <v>0</v>
      </c>
    </row>
    <row r="17339" spans="1:1" x14ac:dyDescent="0.3">
      <c r="A17339" t="s">
        <v>0</v>
      </c>
    </row>
    <row r="17340" spans="1:1" x14ac:dyDescent="0.3">
      <c r="A17340" t="s">
        <v>0</v>
      </c>
    </row>
    <row r="17341" spans="1:1" x14ac:dyDescent="0.3">
      <c r="A17341" t="s">
        <v>0</v>
      </c>
    </row>
    <row r="17342" spans="1:1" x14ac:dyDescent="0.3">
      <c r="A17342" t="s">
        <v>0</v>
      </c>
    </row>
    <row r="17343" spans="1:1" x14ac:dyDescent="0.3">
      <c r="A17343" t="s">
        <v>0</v>
      </c>
    </row>
    <row r="17344" spans="1:1" x14ac:dyDescent="0.3">
      <c r="A17344" t="s">
        <v>0</v>
      </c>
    </row>
    <row r="17345" spans="1:1" x14ac:dyDescent="0.3">
      <c r="A17345" t="s">
        <v>0</v>
      </c>
    </row>
    <row r="17346" spans="1:1" x14ac:dyDescent="0.3">
      <c r="A17346" t="s">
        <v>0</v>
      </c>
    </row>
    <row r="17347" spans="1:1" x14ac:dyDescent="0.3">
      <c r="A17347" t="s">
        <v>0</v>
      </c>
    </row>
    <row r="17348" spans="1:1" x14ac:dyDescent="0.3">
      <c r="A17348" t="s">
        <v>0</v>
      </c>
    </row>
    <row r="17349" spans="1:1" x14ac:dyDescent="0.3">
      <c r="A17349" t="s">
        <v>0</v>
      </c>
    </row>
    <row r="17350" spans="1:1" x14ac:dyDescent="0.3">
      <c r="A17350" t="s">
        <v>0</v>
      </c>
    </row>
    <row r="17351" spans="1:1" x14ac:dyDescent="0.3">
      <c r="A17351" t="s">
        <v>0</v>
      </c>
    </row>
    <row r="17352" spans="1:1" x14ac:dyDescent="0.3">
      <c r="A17352" t="s">
        <v>0</v>
      </c>
    </row>
    <row r="17353" spans="1:1" x14ac:dyDescent="0.3">
      <c r="A17353" t="s">
        <v>0</v>
      </c>
    </row>
    <row r="17354" spans="1:1" x14ac:dyDescent="0.3">
      <c r="A17354" t="s">
        <v>0</v>
      </c>
    </row>
    <row r="17355" spans="1:1" x14ac:dyDescent="0.3">
      <c r="A17355" t="s">
        <v>0</v>
      </c>
    </row>
    <row r="17356" spans="1:1" x14ac:dyDescent="0.3">
      <c r="A17356" t="s">
        <v>0</v>
      </c>
    </row>
    <row r="17357" spans="1:1" x14ac:dyDescent="0.3">
      <c r="A17357" t="s">
        <v>0</v>
      </c>
    </row>
    <row r="17358" spans="1:1" x14ac:dyDescent="0.3">
      <c r="A17358" t="s">
        <v>0</v>
      </c>
    </row>
    <row r="17359" spans="1:1" x14ac:dyDescent="0.3">
      <c r="A17359" t="s">
        <v>0</v>
      </c>
    </row>
    <row r="17360" spans="1:1" x14ac:dyDescent="0.3">
      <c r="A17360" t="s">
        <v>0</v>
      </c>
    </row>
    <row r="17361" spans="1:1" x14ac:dyDescent="0.3">
      <c r="A17361" t="s">
        <v>0</v>
      </c>
    </row>
    <row r="17362" spans="1:1" x14ac:dyDescent="0.3">
      <c r="A17362" t="s">
        <v>0</v>
      </c>
    </row>
    <row r="17363" spans="1:1" x14ac:dyDescent="0.3">
      <c r="A17363" t="s">
        <v>0</v>
      </c>
    </row>
    <row r="17364" spans="1:1" x14ac:dyDescent="0.3">
      <c r="A17364" t="s">
        <v>0</v>
      </c>
    </row>
    <row r="17365" spans="1:1" x14ac:dyDescent="0.3">
      <c r="A17365" t="s">
        <v>0</v>
      </c>
    </row>
    <row r="17366" spans="1:1" x14ac:dyDescent="0.3">
      <c r="A17366" t="s">
        <v>0</v>
      </c>
    </row>
    <row r="17367" spans="1:1" x14ac:dyDescent="0.3">
      <c r="A17367" t="s">
        <v>0</v>
      </c>
    </row>
    <row r="17368" spans="1:1" x14ac:dyDescent="0.3">
      <c r="A17368" t="s">
        <v>0</v>
      </c>
    </row>
    <row r="17369" spans="1:1" x14ac:dyDescent="0.3">
      <c r="A17369" t="s">
        <v>0</v>
      </c>
    </row>
    <row r="17370" spans="1:1" x14ac:dyDescent="0.3">
      <c r="A17370" t="s">
        <v>0</v>
      </c>
    </row>
    <row r="17371" spans="1:1" x14ac:dyDescent="0.3">
      <c r="A17371" t="s">
        <v>0</v>
      </c>
    </row>
    <row r="17372" spans="1:1" x14ac:dyDescent="0.3">
      <c r="A17372" t="s">
        <v>0</v>
      </c>
    </row>
    <row r="17373" spans="1:1" x14ac:dyDescent="0.3">
      <c r="A17373" t="s">
        <v>0</v>
      </c>
    </row>
    <row r="17374" spans="1:1" x14ac:dyDescent="0.3">
      <c r="A17374" t="s">
        <v>0</v>
      </c>
    </row>
    <row r="17375" spans="1:1" x14ac:dyDescent="0.3">
      <c r="A17375" t="s">
        <v>0</v>
      </c>
    </row>
    <row r="17376" spans="1:1" x14ac:dyDescent="0.3">
      <c r="A17376" t="s">
        <v>0</v>
      </c>
    </row>
    <row r="17377" spans="1:1" x14ac:dyDescent="0.3">
      <c r="A17377" t="s">
        <v>0</v>
      </c>
    </row>
    <row r="17378" spans="1:1" x14ac:dyDescent="0.3">
      <c r="A17378" t="s">
        <v>0</v>
      </c>
    </row>
    <row r="17379" spans="1:1" x14ac:dyDescent="0.3">
      <c r="A17379" t="s">
        <v>0</v>
      </c>
    </row>
    <row r="17380" spans="1:1" x14ac:dyDescent="0.3">
      <c r="A17380" t="s">
        <v>0</v>
      </c>
    </row>
    <row r="17381" spans="1:1" x14ac:dyDescent="0.3">
      <c r="A17381" t="s">
        <v>0</v>
      </c>
    </row>
    <row r="17382" spans="1:1" x14ac:dyDescent="0.3">
      <c r="A17382" t="s">
        <v>0</v>
      </c>
    </row>
    <row r="17383" spans="1:1" x14ac:dyDescent="0.3">
      <c r="A17383" t="s">
        <v>0</v>
      </c>
    </row>
    <row r="17384" spans="1:1" x14ac:dyDescent="0.3">
      <c r="A17384" t="s">
        <v>0</v>
      </c>
    </row>
    <row r="17385" spans="1:1" x14ac:dyDescent="0.3">
      <c r="A17385" t="s">
        <v>0</v>
      </c>
    </row>
    <row r="17386" spans="1:1" x14ac:dyDescent="0.3">
      <c r="A17386" t="s">
        <v>0</v>
      </c>
    </row>
    <row r="17387" spans="1:1" x14ac:dyDescent="0.3">
      <c r="A17387" t="s">
        <v>0</v>
      </c>
    </row>
    <row r="17388" spans="1:1" x14ac:dyDescent="0.3">
      <c r="A17388" t="s">
        <v>0</v>
      </c>
    </row>
    <row r="17389" spans="1:1" x14ac:dyDescent="0.3">
      <c r="A17389" t="s">
        <v>0</v>
      </c>
    </row>
    <row r="17390" spans="1:1" x14ac:dyDescent="0.3">
      <c r="A17390" t="s">
        <v>0</v>
      </c>
    </row>
    <row r="17391" spans="1:1" x14ac:dyDescent="0.3">
      <c r="A17391" t="s">
        <v>0</v>
      </c>
    </row>
    <row r="17392" spans="1:1" x14ac:dyDescent="0.3">
      <c r="A17392" t="s">
        <v>0</v>
      </c>
    </row>
    <row r="17393" spans="1:1" x14ac:dyDescent="0.3">
      <c r="A17393" t="s">
        <v>0</v>
      </c>
    </row>
    <row r="17394" spans="1:1" x14ac:dyDescent="0.3">
      <c r="A17394" t="s">
        <v>0</v>
      </c>
    </row>
    <row r="17395" spans="1:1" x14ac:dyDescent="0.3">
      <c r="A17395" t="s">
        <v>0</v>
      </c>
    </row>
    <row r="17396" spans="1:1" x14ac:dyDescent="0.3">
      <c r="A17396" t="s">
        <v>0</v>
      </c>
    </row>
    <row r="17397" spans="1:1" x14ac:dyDescent="0.3">
      <c r="A17397" t="s">
        <v>0</v>
      </c>
    </row>
    <row r="17398" spans="1:1" x14ac:dyDescent="0.3">
      <c r="A17398" t="s">
        <v>0</v>
      </c>
    </row>
    <row r="17399" spans="1:1" x14ac:dyDescent="0.3">
      <c r="A17399" t="s">
        <v>0</v>
      </c>
    </row>
    <row r="17400" spans="1:1" x14ac:dyDescent="0.3">
      <c r="A17400" t="s">
        <v>0</v>
      </c>
    </row>
    <row r="17401" spans="1:1" x14ac:dyDescent="0.3">
      <c r="A17401" t="s">
        <v>0</v>
      </c>
    </row>
    <row r="17402" spans="1:1" x14ac:dyDescent="0.3">
      <c r="A17402" t="s">
        <v>0</v>
      </c>
    </row>
    <row r="17403" spans="1:1" x14ac:dyDescent="0.3">
      <c r="A17403" t="s">
        <v>0</v>
      </c>
    </row>
    <row r="17404" spans="1:1" x14ac:dyDescent="0.3">
      <c r="A17404" t="s">
        <v>0</v>
      </c>
    </row>
    <row r="17405" spans="1:1" x14ac:dyDescent="0.3">
      <c r="A17405" t="s">
        <v>0</v>
      </c>
    </row>
    <row r="17406" spans="1:1" x14ac:dyDescent="0.3">
      <c r="A17406" t="s">
        <v>0</v>
      </c>
    </row>
    <row r="17407" spans="1:1" x14ac:dyDescent="0.3">
      <c r="A17407" t="s">
        <v>0</v>
      </c>
    </row>
    <row r="17408" spans="1:1" x14ac:dyDescent="0.3">
      <c r="A17408" t="s">
        <v>0</v>
      </c>
    </row>
    <row r="17409" spans="1:1" x14ac:dyDescent="0.3">
      <c r="A17409" t="s">
        <v>0</v>
      </c>
    </row>
    <row r="17410" spans="1:1" x14ac:dyDescent="0.3">
      <c r="A17410" t="s">
        <v>0</v>
      </c>
    </row>
    <row r="17411" spans="1:1" x14ac:dyDescent="0.3">
      <c r="A17411" t="s">
        <v>0</v>
      </c>
    </row>
    <row r="17412" spans="1:1" x14ac:dyDescent="0.3">
      <c r="A17412" t="s">
        <v>0</v>
      </c>
    </row>
    <row r="17413" spans="1:1" x14ac:dyDescent="0.3">
      <c r="A17413" t="s">
        <v>0</v>
      </c>
    </row>
    <row r="17414" spans="1:1" x14ac:dyDescent="0.3">
      <c r="A17414" t="s">
        <v>0</v>
      </c>
    </row>
    <row r="17415" spans="1:1" x14ac:dyDescent="0.3">
      <c r="A17415" t="s">
        <v>0</v>
      </c>
    </row>
    <row r="17416" spans="1:1" x14ac:dyDescent="0.3">
      <c r="A17416" t="s">
        <v>0</v>
      </c>
    </row>
    <row r="17417" spans="1:1" x14ac:dyDescent="0.3">
      <c r="A17417" t="s">
        <v>0</v>
      </c>
    </row>
    <row r="17418" spans="1:1" x14ac:dyDescent="0.3">
      <c r="A17418" t="s">
        <v>0</v>
      </c>
    </row>
    <row r="17419" spans="1:1" x14ac:dyDescent="0.3">
      <c r="A17419" t="s">
        <v>0</v>
      </c>
    </row>
    <row r="17420" spans="1:1" x14ac:dyDescent="0.3">
      <c r="A17420" t="s">
        <v>0</v>
      </c>
    </row>
    <row r="17421" spans="1:1" x14ac:dyDescent="0.3">
      <c r="A17421" t="s">
        <v>0</v>
      </c>
    </row>
    <row r="17422" spans="1:1" x14ac:dyDescent="0.3">
      <c r="A17422" t="s">
        <v>0</v>
      </c>
    </row>
    <row r="17423" spans="1:1" x14ac:dyDescent="0.3">
      <c r="A17423" t="s">
        <v>0</v>
      </c>
    </row>
    <row r="17424" spans="1:1" x14ac:dyDescent="0.3">
      <c r="A17424" t="s">
        <v>0</v>
      </c>
    </row>
    <row r="17425" spans="1:1" x14ac:dyDescent="0.3">
      <c r="A17425" t="s">
        <v>0</v>
      </c>
    </row>
    <row r="17426" spans="1:1" x14ac:dyDescent="0.3">
      <c r="A17426" t="s">
        <v>0</v>
      </c>
    </row>
    <row r="17427" spans="1:1" x14ac:dyDescent="0.3">
      <c r="A17427" t="s">
        <v>0</v>
      </c>
    </row>
    <row r="17428" spans="1:1" x14ac:dyDescent="0.3">
      <c r="A17428" t="s">
        <v>0</v>
      </c>
    </row>
    <row r="17429" spans="1:1" x14ac:dyDescent="0.3">
      <c r="A17429" t="s">
        <v>0</v>
      </c>
    </row>
    <row r="17430" spans="1:1" x14ac:dyDescent="0.3">
      <c r="A17430" t="s">
        <v>0</v>
      </c>
    </row>
    <row r="17431" spans="1:1" x14ac:dyDescent="0.3">
      <c r="A17431" t="s">
        <v>0</v>
      </c>
    </row>
    <row r="17432" spans="1:1" x14ac:dyDescent="0.3">
      <c r="A17432" t="s">
        <v>0</v>
      </c>
    </row>
    <row r="17433" spans="1:1" x14ac:dyDescent="0.3">
      <c r="A17433" t="s">
        <v>0</v>
      </c>
    </row>
    <row r="17434" spans="1:1" x14ac:dyDescent="0.3">
      <c r="A17434" t="s">
        <v>0</v>
      </c>
    </row>
    <row r="17435" spans="1:1" x14ac:dyDescent="0.3">
      <c r="A17435" t="s">
        <v>0</v>
      </c>
    </row>
    <row r="17436" spans="1:1" x14ac:dyDescent="0.3">
      <c r="A17436" t="s">
        <v>0</v>
      </c>
    </row>
    <row r="17437" spans="1:1" x14ac:dyDescent="0.3">
      <c r="A17437" t="s">
        <v>0</v>
      </c>
    </row>
    <row r="17438" spans="1:1" x14ac:dyDescent="0.3">
      <c r="A17438" t="s">
        <v>0</v>
      </c>
    </row>
    <row r="17439" spans="1:1" x14ac:dyDescent="0.3">
      <c r="A17439" t="s">
        <v>0</v>
      </c>
    </row>
    <row r="17440" spans="1:1" x14ac:dyDescent="0.3">
      <c r="A17440" t="s">
        <v>0</v>
      </c>
    </row>
    <row r="17441" spans="1:1" x14ac:dyDescent="0.3">
      <c r="A17441" t="s">
        <v>0</v>
      </c>
    </row>
    <row r="17442" spans="1:1" x14ac:dyDescent="0.3">
      <c r="A17442" t="s">
        <v>0</v>
      </c>
    </row>
    <row r="17443" spans="1:1" x14ac:dyDescent="0.3">
      <c r="A17443" t="s">
        <v>0</v>
      </c>
    </row>
    <row r="17444" spans="1:1" x14ac:dyDescent="0.3">
      <c r="A17444" t="s">
        <v>0</v>
      </c>
    </row>
    <row r="17445" spans="1:1" x14ac:dyDescent="0.3">
      <c r="A17445" t="s">
        <v>0</v>
      </c>
    </row>
    <row r="17446" spans="1:1" x14ac:dyDescent="0.3">
      <c r="A17446" t="s">
        <v>0</v>
      </c>
    </row>
    <row r="17447" spans="1:1" x14ac:dyDescent="0.3">
      <c r="A17447" t="s">
        <v>0</v>
      </c>
    </row>
    <row r="17448" spans="1:1" x14ac:dyDescent="0.3">
      <c r="A17448" t="s">
        <v>0</v>
      </c>
    </row>
    <row r="17449" spans="1:1" x14ac:dyDescent="0.3">
      <c r="A17449" t="s">
        <v>0</v>
      </c>
    </row>
    <row r="17450" spans="1:1" x14ac:dyDescent="0.3">
      <c r="A17450" t="s">
        <v>0</v>
      </c>
    </row>
    <row r="17451" spans="1:1" x14ac:dyDescent="0.3">
      <c r="A17451" t="s">
        <v>0</v>
      </c>
    </row>
    <row r="17452" spans="1:1" x14ac:dyDescent="0.3">
      <c r="A17452" t="s">
        <v>0</v>
      </c>
    </row>
    <row r="17453" spans="1:1" x14ac:dyDescent="0.3">
      <c r="A17453" t="s">
        <v>0</v>
      </c>
    </row>
    <row r="17454" spans="1:1" x14ac:dyDescent="0.3">
      <c r="A17454" t="s">
        <v>0</v>
      </c>
    </row>
    <row r="17455" spans="1:1" x14ac:dyDescent="0.3">
      <c r="A17455" t="s">
        <v>0</v>
      </c>
    </row>
    <row r="17456" spans="1:1" x14ac:dyDescent="0.3">
      <c r="A17456" t="s">
        <v>0</v>
      </c>
    </row>
    <row r="17457" spans="1:1" x14ac:dyDescent="0.3">
      <c r="A17457" t="s">
        <v>0</v>
      </c>
    </row>
    <row r="17458" spans="1:1" x14ac:dyDescent="0.3">
      <c r="A17458" t="s">
        <v>0</v>
      </c>
    </row>
    <row r="17459" spans="1:1" x14ac:dyDescent="0.3">
      <c r="A17459" t="s">
        <v>0</v>
      </c>
    </row>
    <row r="17460" spans="1:1" x14ac:dyDescent="0.3">
      <c r="A17460" t="s">
        <v>0</v>
      </c>
    </row>
    <row r="17461" spans="1:1" x14ac:dyDescent="0.3">
      <c r="A17461" t="s">
        <v>0</v>
      </c>
    </row>
    <row r="17462" spans="1:1" x14ac:dyDescent="0.3">
      <c r="A17462" t="s">
        <v>0</v>
      </c>
    </row>
    <row r="17463" spans="1:1" x14ac:dyDescent="0.3">
      <c r="A17463" t="s">
        <v>0</v>
      </c>
    </row>
    <row r="17464" spans="1:1" x14ac:dyDescent="0.3">
      <c r="A17464" t="s">
        <v>0</v>
      </c>
    </row>
    <row r="17465" spans="1:1" x14ac:dyDescent="0.3">
      <c r="A17465" t="s">
        <v>0</v>
      </c>
    </row>
    <row r="17466" spans="1:1" x14ac:dyDescent="0.3">
      <c r="A17466" t="s">
        <v>0</v>
      </c>
    </row>
    <row r="17467" spans="1:1" x14ac:dyDescent="0.3">
      <c r="A17467" t="s">
        <v>0</v>
      </c>
    </row>
    <row r="17468" spans="1:1" x14ac:dyDescent="0.3">
      <c r="A17468" t="s">
        <v>0</v>
      </c>
    </row>
    <row r="17469" spans="1:1" x14ac:dyDescent="0.3">
      <c r="A17469" t="s">
        <v>0</v>
      </c>
    </row>
    <row r="17470" spans="1:1" x14ac:dyDescent="0.3">
      <c r="A17470" t="s">
        <v>0</v>
      </c>
    </row>
    <row r="17471" spans="1:1" x14ac:dyDescent="0.3">
      <c r="A17471" t="s">
        <v>0</v>
      </c>
    </row>
    <row r="17472" spans="1:1" x14ac:dyDescent="0.3">
      <c r="A17472" t="s">
        <v>0</v>
      </c>
    </row>
    <row r="17473" spans="1:1" x14ac:dyDescent="0.3">
      <c r="A17473" t="s">
        <v>0</v>
      </c>
    </row>
    <row r="17474" spans="1:1" x14ac:dyDescent="0.3">
      <c r="A17474" t="s">
        <v>0</v>
      </c>
    </row>
    <row r="17475" spans="1:1" x14ac:dyDescent="0.3">
      <c r="A17475" t="s">
        <v>0</v>
      </c>
    </row>
    <row r="17476" spans="1:1" x14ac:dyDescent="0.3">
      <c r="A17476" t="s">
        <v>0</v>
      </c>
    </row>
    <row r="17477" spans="1:1" x14ac:dyDescent="0.3">
      <c r="A17477" t="s">
        <v>0</v>
      </c>
    </row>
    <row r="17478" spans="1:1" x14ac:dyDescent="0.3">
      <c r="A17478" t="s">
        <v>0</v>
      </c>
    </row>
    <row r="17479" spans="1:1" x14ac:dyDescent="0.3">
      <c r="A17479" t="s">
        <v>0</v>
      </c>
    </row>
    <row r="17480" spans="1:1" x14ac:dyDescent="0.3">
      <c r="A17480" t="s">
        <v>0</v>
      </c>
    </row>
    <row r="17481" spans="1:1" x14ac:dyDescent="0.3">
      <c r="A17481" t="s">
        <v>0</v>
      </c>
    </row>
    <row r="17482" spans="1:1" x14ac:dyDescent="0.3">
      <c r="A17482" t="s">
        <v>0</v>
      </c>
    </row>
    <row r="17483" spans="1:1" x14ac:dyDescent="0.3">
      <c r="A17483" t="s">
        <v>0</v>
      </c>
    </row>
    <row r="17484" spans="1:1" x14ac:dyDescent="0.3">
      <c r="A17484" t="s">
        <v>0</v>
      </c>
    </row>
    <row r="17485" spans="1:1" x14ac:dyDescent="0.3">
      <c r="A17485" t="s">
        <v>0</v>
      </c>
    </row>
    <row r="17486" spans="1:1" x14ac:dyDescent="0.3">
      <c r="A17486" t="s">
        <v>0</v>
      </c>
    </row>
    <row r="17487" spans="1:1" x14ac:dyDescent="0.3">
      <c r="A17487" t="s">
        <v>0</v>
      </c>
    </row>
    <row r="17488" spans="1:1" x14ac:dyDescent="0.3">
      <c r="A17488" t="s">
        <v>0</v>
      </c>
    </row>
    <row r="17489" spans="1:1" x14ac:dyDescent="0.3">
      <c r="A17489" t="s">
        <v>0</v>
      </c>
    </row>
    <row r="17490" spans="1:1" x14ac:dyDescent="0.3">
      <c r="A17490" t="s">
        <v>0</v>
      </c>
    </row>
    <row r="17491" spans="1:1" x14ac:dyDescent="0.3">
      <c r="A17491" t="s">
        <v>0</v>
      </c>
    </row>
    <row r="17492" spans="1:1" x14ac:dyDescent="0.3">
      <c r="A17492" t="s">
        <v>0</v>
      </c>
    </row>
    <row r="17493" spans="1:1" x14ac:dyDescent="0.3">
      <c r="A17493" t="s">
        <v>0</v>
      </c>
    </row>
    <row r="17494" spans="1:1" x14ac:dyDescent="0.3">
      <c r="A17494" t="s">
        <v>0</v>
      </c>
    </row>
    <row r="17495" spans="1:1" x14ac:dyDescent="0.3">
      <c r="A17495" t="s">
        <v>0</v>
      </c>
    </row>
    <row r="17496" spans="1:1" x14ac:dyDescent="0.3">
      <c r="A17496" t="s">
        <v>0</v>
      </c>
    </row>
    <row r="17497" spans="1:1" x14ac:dyDescent="0.3">
      <c r="A17497" t="s">
        <v>0</v>
      </c>
    </row>
    <row r="17498" spans="1:1" x14ac:dyDescent="0.3">
      <c r="A17498" t="s">
        <v>0</v>
      </c>
    </row>
    <row r="17499" spans="1:1" x14ac:dyDescent="0.3">
      <c r="A17499" t="s">
        <v>0</v>
      </c>
    </row>
    <row r="17500" spans="1:1" x14ac:dyDescent="0.3">
      <c r="A17500" t="s">
        <v>0</v>
      </c>
    </row>
    <row r="17501" spans="1:1" x14ac:dyDescent="0.3">
      <c r="A17501" t="s">
        <v>0</v>
      </c>
    </row>
    <row r="17502" spans="1:1" x14ac:dyDescent="0.3">
      <c r="A17502" t="s">
        <v>0</v>
      </c>
    </row>
    <row r="17503" spans="1:1" x14ac:dyDescent="0.3">
      <c r="A17503" t="s">
        <v>0</v>
      </c>
    </row>
    <row r="17504" spans="1:1" x14ac:dyDescent="0.3">
      <c r="A17504" t="s">
        <v>0</v>
      </c>
    </row>
    <row r="17505" spans="1:1" x14ac:dyDescent="0.3">
      <c r="A17505" t="s">
        <v>0</v>
      </c>
    </row>
    <row r="17506" spans="1:1" x14ac:dyDescent="0.3">
      <c r="A17506" t="s">
        <v>0</v>
      </c>
    </row>
    <row r="17507" spans="1:1" x14ac:dyDescent="0.3">
      <c r="A17507" t="s">
        <v>0</v>
      </c>
    </row>
    <row r="17508" spans="1:1" x14ac:dyDescent="0.3">
      <c r="A17508" t="s">
        <v>0</v>
      </c>
    </row>
    <row r="17509" spans="1:1" x14ac:dyDescent="0.3">
      <c r="A17509" t="s">
        <v>0</v>
      </c>
    </row>
    <row r="17510" spans="1:1" x14ac:dyDescent="0.3">
      <c r="A17510" t="s">
        <v>0</v>
      </c>
    </row>
    <row r="17511" spans="1:1" x14ac:dyDescent="0.3">
      <c r="A17511" t="s">
        <v>0</v>
      </c>
    </row>
    <row r="17512" spans="1:1" x14ac:dyDescent="0.3">
      <c r="A17512" t="s">
        <v>0</v>
      </c>
    </row>
    <row r="17513" spans="1:1" x14ac:dyDescent="0.3">
      <c r="A17513" t="s">
        <v>0</v>
      </c>
    </row>
    <row r="17514" spans="1:1" x14ac:dyDescent="0.3">
      <c r="A17514" t="s">
        <v>0</v>
      </c>
    </row>
    <row r="17515" spans="1:1" x14ac:dyDescent="0.3">
      <c r="A17515" t="s">
        <v>0</v>
      </c>
    </row>
    <row r="17516" spans="1:1" x14ac:dyDescent="0.3">
      <c r="A17516" t="s">
        <v>0</v>
      </c>
    </row>
    <row r="17517" spans="1:1" x14ac:dyDescent="0.3">
      <c r="A17517" t="s">
        <v>0</v>
      </c>
    </row>
    <row r="17518" spans="1:1" x14ac:dyDescent="0.3">
      <c r="A17518" t="s">
        <v>0</v>
      </c>
    </row>
    <row r="17519" spans="1:1" x14ac:dyDescent="0.3">
      <c r="A17519" t="s">
        <v>0</v>
      </c>
    </row>
    <row r="17520" spans="1:1" x14ac:dyDescent="0.3">
      <c r="A17520" t="s">
        <v>0</v>
      </c>
    </row>
    <row r="17521" spans="1:1" x14ac:dyDescent="0.3">
      <c r="A17521" t="s">
        <v>0</v>
      </c>
    </row>
    <row r="17522" spans="1:1" x14ac:dyDescent="0.3">
      <c r="A17522" t="s">
        <v>0</v>
      </c>
    </row>
    <row r="17523" spans="1:1" x14ac:dyDescent="0.3">
      <c r="A17523" t="s">
        <v>0</v>
      </c>
    </row>
    <row r="17524" spans="1:1" x14ac:dyDescent="0.3">
      <c r="A17524" t="s">
        <v>0</v>
      </c>
    </row>
    <row r="17525" spans="1:1" x14ac:dyDescent="0.3">
      <c r="A17525" t="s">
        <v>0</v>
      </c>
    </row>
    <row r="17526" spans="1:1" x14ac:dyDescent="0.3">
      <c r="A17526" t="s">
        <v>0</v>
      </c>
    </row>
    <row r="17527" spans="1:1" x14ac:dyDescent="0.3">
      <c r="A17527" t="s">
        <v>0</v>
      </c>
    </row>
    <row r="17528" spans="1:1" x14ac:dyDescent="0.3">
      <c r="A17528" t="s">
        <v>0</v>
      </c>
    </row>
    <row r="17529" spans="1:1" x14ac:dyDescent="0.3">
      <c r="A17529" t="s">
        <v>0</v>
      </c>
    </row>
    <row r="17530" spans="1:1" x14ac:dyDescent="0.3">
      <c r="A17530" t="s">
        <v>0</v>
      </c>
    </row>
    <row r="17531" spans="1:1" x14ac:dyDescent="0.3">
      <c r="A17531" t="s">
        <v>0</v>
      </c>
    </row>
    <row r="17532" spans="1:1" x14ac:dyDescent="0.3">
      <c r="A17532" t="s">
        <v>0</v>
      </c>
    </row>
    <row r="17533" spans="1:1" x14ac:dyDescent="0.3">
      <c r="A17533" t="s">
        <v>0</v>
      </c>
    </row>
    <row r="17534" spans="1:1" x14ac:dyDescent="0.3">
      <c r="A17534" t="s">
        <v>0</v>
      </c>
    </row>
    <row r="17535" spans="1:1" x14ac:dyDescent="0.3">
      <c r="A17535" t="s">
        <v>0</v>
      </c>
    </row>
    <row r="17536" spans="1:1" x14ac:dyDescent="0.3">
      <c r="A17536" t="s">
        <v>0</v>
      </c>
    </row>
    <row r="17537" spans="1:1" x14ac:dyDescent="0.3">
      <c r="A17537" t="s">
        <v>0</v>
      </c>
    </row>
    <row r="17538" spans="1:1" x14ac:dyDescent="0.3">
      <c r="A17538" t="s">
        <v>0</v>
      </c>
    </row>
    <row r="17539" spans="1:1" x14ac:dyDescent="0.3">
      <c r="A17539" t="s">
        <v>0</v>
      </c>
    </row>
    <row r="17540" spans="1:1" x14ac:dyDescent="0.3">
      <c r="A17540" t="s">
        <v>0</v>
      </c>
    </row>
    <row r="17541" spans="1:1" x14ac:dyDescent="0.3">
      <c r="A17541" t="s">
        <v>0</v>
      </c>
    </row>
    <row r="17542" spans="1:1" x14ac:dyDescent="0.3">
      <c r="A17542" t="s">
        <v>0</v>
      </c>
    </row>
    <row r="17543" spans="1:1" x14ac:dyDescent="0.3">
      <c r="A17543" t="s">
        <v>0</v>
      </c>
    </row>
    <row r="17544" spans="1:1" x14ac:dyDescent="0.3">
      <c r="A17544" t="s">
        <v>0</v>
      </c>
    </row>
    <row r="17545" spans="1:1" x14ac:dyDescent="0.3">
      <c r="A17545" t="s">
        <v>0</v>
      </c>
    </row>
    <row r="17546" spans="1:1" x14ac:dyDescent="0.3">
      <c r="A17546" t="s">
        <v>0</v>
      </c>
    </row>
    <row r="17547" spans="1:1" x14ac:dyDescent="0.3">
      <c r="A17547" t="s">
        <v>0</v>
      </c>
    </row>
    <row r="17548" spans="1:1" x14ac:dyDescent="0.3">
      <c r="A17548" t="s">
        <v>0</v>
      </c>
    </row>
    <row r="17549" spans="1:1" x14ac:dyDescent="0.3">
      <c r="A17549" t="s">
        <v>0</v>
      </c>
    </row>
    <row r="17550" spans="1:1" x14ac:dyDescent="0.3">
      <c r="A17550" t="s">
        <v>0</v>
      </c>
    </row>
    <row r="17551" spans="1:1" x14ac:dyDescent="0.3">
      <c r="A17551" t="s">
        <v>0</v>
      </c>
    </row>
    <row r="17552" spans="1:1" x14ac:dyDescent="0.3">
      <c r="A17552" t="s">
        <v>0</v>
      </c>
    </row>
    <row r="17553" spans="1:1" x14ac:dyDescent="0.3">
      <c r="A17553" t="s">
        <v>0</v>
      </c>
    </row>
    <row r="17554" spans="1:1" x14ac:dyDescent="0.3">
      <c r="A17554" t="s">
        <v>0</v>
      </c>
    </row>
    <row r="17555" spans="1:1" x14ac:dyDescent="0.3">
      <c r="A17555" t="s">
        <v>0</v>
      </c>
    </row>
    <row r="17556" spans="1:1" x14ac:dyDescent="0.3">
      <c r="A17556" t="s">
        <v>0</v>
      </c>
    </row>
    <row r="17557" spans="1:1" x14ac:dyDescent="0.3">
      <c r="A17557" t="s">
        <v>0</v>
      </c>
    </row>
    <row r="17558" spans="1:1" x14ac:dyDescent="0.3">
      <c r="A17558" t="s">
        <v>0</v>
      </c>
    </row>
    <row r="17559" spans="1:1" x14ac:dyDescent="0.3">
      <c r="A17559" t="s">
        <v>0</v>
      </c>
    </row>
    <row r="17560" spans="1:1" x14ac:dyDescent="0.3">
      <c r="A17560" t="s">
        <v>0</v>
      </c>
    </row>
    <row r="17561" spans="1:1" x14ac:dyDescent="0.3">
      <c r="A17561" t="s">
        <v>0</v>
      </c>
    </row>
    <row r="17562" spans="1:1" x14ac:dyDescent="0.3">
      <c r="A17562" t="s">
        <v>0</v>
      </c>
    </row>
    <row r="17563" spans="1:1" x14ac:dyDescent="0.3">
      <c r="A17563" t="s">
        <v>0</v>
      </c>
    </row>
    <row r="17564" spans="1:1" x14ac:dyDescent="0.3">
      <c r="A17564" t="s">
        <v>0</v>
      </c>
    </row>
    <row r="17565" spans="1:1" x14ac:dyDescent="0.3">
      <c r="A17565" t="s">
        <v>0</v>
      </c>
    </row>
    <row r="17566" spans="1:1" x14ac:dyDescent="0.3">
      <c r="A17566" t="s">
        <v>0</v>
      </c>
    </row>
    <row r="17567" spans="1:1" x14ac:dyDescent="0.3">
      <c r="A17567" t="s">
        <v>0</v>
      </c>
    </row>
    <row r="17568" spans="1:1" x14ac:dyDescent="0.3">
      <c r="A17568" t="s">
        <v>0</v>
      </c>
    </row>
    <row r="17569" spans="1:1" x14ac:dyDescent="0.3">
      <c r="A17569" t="s">
        <v>0</v>
      </c>
    </row>
    <row r="17570" spans="1:1" x14ac:dyDescent="0.3">
      <c r="A17570" t="s">
        <v>0</v>
      </c>
    </row>
    <row r="17571" spans="1:1" x14ac:dyDescent="0.3">
      <c r="A17571" t="s">
        <v>0</v>
      </c>
    </row>
    <row r="17572" spans="1:1" x14ac:dyDescent="0.3">
      <c r="A17572" t="s">
        <v>0</v>
      </c>
    </row>
    <row r="17573" spans="1:1" x14ac:dyDescent="0.3">
      <c r="A17573" t="s">
        <v>0</v>
      </c>
    </row>
    <row r="17574" spans="1:1" x14ac:dyDescent="0.3">
      <c r="A17574" t="s">
        <v>0</v>
      </c>
    </row>
    <row r="17575" spans="1:1" x14ac:dyDescent="0.3">
      <c r="A17575" t="s">
        <v>0</v>
      </c>
    </row>
    <row r="17576" spans="1:1" x14ac:dyDescent="0.3">
      <c r="A17576" t="s">
        <v>0</v>
      </c>
    </row>
    <row r="17577" spans="1:1" x14ac:dyDescent="0.3">
      <c r="A17577" t="s">
        <v>0</v>
      </c>
    </row>
    <row r="17578" spans="1:1" x14ac:dyDescent="0.3">
      <c r="A17578" t="s">
        <v>0</v>
      </c>
    </row>
    <row r="17579" spans="1:1" x14ac:dyDescent="0.3">
      <c r="A17579" t="s">
        <v>0</v>
      </c>
    </row>
    <row r="17580" spans="1:1" x14ac:dyDescent="0.3">
      <c r="A17580" t="s">
        <v>0</v>
      </c>
    </row>
    <row r="17581" spans="1:1" x14ac:dyDescent="0.3">
      <c r="A17581" t="s">
        <v>0</v>
      </c>
    </row>
    <row r="17582" spans="1:1" x14ac:dyDescent="0.3">
      <c r="A17582" t="s">
        <v>0</v>
      </c>
    </row>
    <row r="17583" spans="1:1" x14ac:dyDescent="0.3">
      <c r="A17583" t="s">
        <v>0</v>
      </c>
    </row>
    <row r="17584" spans="1:1" x14ac:dyDescent="0.3">
      <c r="A17584" t="s">
        <v>0</v>
      </c>
    </row>
    <row r="17585" spans="1:1" x14ac:dyDescent="0.3">
      <c r="A17585" t="s">
        <v>0</v>
      </c>
    </row>
    <row r="17586" spans="1:1" x14ac:dyDescent="0.3">
      <c r="A17586" t="s">
        <v>0</v>
      </c>
    </row>
    <row r="17587" spans="1:1" x14ac:dyDescent="0.3">
      <c r="A17587" t="s">
        <v>0</v>
      </c>
    </row>
    <row r="17588" spans="1:1" x14ac:dyDescent="0.3">
      <c r="A17588" t="s">
        <v>0</v>
      </c>
    </row>
    <row r="17589" spans="1:1" x14ac:dyDescent="0.3">
      <c r="A17589" t="s">
        <v>0</v>
      </c>
    </row>
    <row r="17590" spans="1:1" x14ac:dyDescent="0.3">
      <c r="A17590" t="s">
        <v>0</v>
      </c>
    </row>
    <row r="17591" spans="1:1" x14ac:dyDescent="0.3">
      <c r="A17591" t="s">
        <v>0</v>
      </c>
    </row>
    <row r="17592" spans="1:1" x14ac:dyDescent="0.3">
      <c r="A17592" t="s">
        <v>0</v>
      </c>
    </row>
    <row r="17593" spans="1:1" x14ac:dyDescent="0.3">
      <c r="A17593" t="s">
        <v>0</v>
      </c>
    </row>
    <row r="17594" spans="1:1" x14ac:dyDescent="0.3">
      <c r="A17594" t="s">
        <v>0</v>
      </c>
    </row>
    <row r="17595" spans="1:1" x14ac:dyDescent="0.3">
      <c r="A17595" t="s">
        <v>0</v>
      </c>
    </row>
    <row r="17596" spans="1:1" x14ac:dyDescent="0.3">
      <c r="A17596" t="s">
        <v>0</v>
      </c>
    </row>
    <row r="17597" spans="1:1" x14ac:dyDescent="0.3">
      <c r="A17597" t="s">
        <v>0</v>
      </c>
    </row>
    <row r="17598" spans="1:1" x14ac:dyDescent="0.3">
      <c r="A17598" t="s">
        <v>0</v>
      </c>
    </row>
    <row r="17599" spans="1:1" x14ac:dyDescent="0.3">
      <c r="A17599" t="s">
        <v>0</v>
      </c>
    </row>
    <row r="17600" spans="1:1" x14ac:dyDescent="0.3">
      <c r="A17600" t="s">
        <v>0</v>
      </c>
    </row>
    <row r="17601" spans="1:1" x14ac:dyDescent="0.3">
      <c r="A17601" t="s">
        <v>0</v>
      </c>
    </row>
    <row r="17602" spans="1:1" x14ac:dyDescent="0.3">
      <c r="A17602" t="s">
        <v>0</v>
      </c>
    </row>
    <row r="17603" spans="1:1" x14ac:dyDescent="0.3">
      <c r="A17603" t="s">
        <v>0</v>
      </c>
    </row>
    <row r="17604" spans="1:1" x14ac:dyDescent="0.3">
      <c r="A17604" t="s">
        <v>0</v>
      </c>
    </row>
    <row r="17605" spans="1:1" x14ac:dyDescent="0.3">
      <c r="A17605" t="s">
        <v>0</v>
      </c>
    </row>
    <row r="17606" spans="1:1" x14ac:dyDescent="0.3">
      <c r="A17606" t="s">
        <v>0</v>
      </c>
    </row>
    <row r="17607" spans="1:1" x14ac:dyDescent="0.3">
      <c r="A17607" t="s">
        <v>0</v>
      </c>
    </row>
    <row r="17608" spans="1:1" x14ac:dyDescent="0.3">
      <c r="A17608" t="s">
        <v>0</v>
      </c>
    </row>
    <row r="17609" spans="1:1" x14ac:dyDescent="0.3">
      <c r="A17609" t="s">
        <v>0</v>
      </c>
    </row>
    <row r="17610" spans="1:1" x14ac:dyDescent="0.3">
      <c r="A17610" t="s">
        <v>0</v>
      </c>
    </row>
    <row r="17611" spans="1:1" x14ac:dyDescent="0.3">
      <c r="A17611" t="s">
        <v>0</v>
      </c>
    </row>
    <row r="17612" spans="1:1" x14ac:dyDescent="0.3">
      <c r="A17612" t="s">
        <v>0</v>
      </c>
    </row>
    <row r="17613" spans="1:1" x14ac:dyDescent="0.3">
      <c r="A17613" t="s">
        <v>0</v>
      </c>
    </row>
    <row r="17614" spans="1:1" x14ac:dyDescent="0.3">
      <c r="A17614" t="s">
        <v>0</v>
      </c>
    </row>
    <row r="17615" spans="1:1" x14ac:dyDescent="0.3">
      <c r="A17615" t="s">
        <v>0</v>
      </c>
    </row>
    <row r="17616" spans="1:1" x14ac:dyDescent="0.3">
      <c r="A17616" t="s">
        <v>0</v>
      </c>
    </row>
    <row r="17617" spans="1:1" x14ac:dyDescent="0.3">
      <c r="A17617" t="s">
        <v>0</v>
      </c>
    </row>
    <row r="17618" spans="1:1" x14ac:dyDescent="0.3">
      <c r="A17618" t="s">
        <v>0</v>
      </c>
    </row>
    <row r="17619" spans="1:1" x14ac:dyDescent="0.3">
      <c r="A17619" t="s">
        <v>0</v>
      </c>
    </row>
    <row r="17620" spans="1:1" x14ac:dyDescent="0.3">
      <c r="A17620" t="s">
        <v>0</v>
      </c>
    </row>
    <row r="17621" spans="1:1" x14ac:dyDescent="0.3">
      <c r="A17621" t="s">
        <v>0</v>
      </c>
    </row>
    <row r="17622" spans="1:1" x14ac:dyDescent="0.3">
      <c r="A17622" t="s">
        <v>0</v>
      </c>
    </row>
    <row r="17623" spans="1:1" x14ac:dyDescent="0.3">
      <c r="A17623" t="s">
        <v>0</v>
      </c>
    </row>
    <row r="17624" spans="1:1" x14ac:dyDescent="0.3">
      <c r="A17624" t="s">
        <v>0</v>
      </c>
    </row>
    <row r="17625" spans="1:1" x14ac:dyDescent="0.3">
      <c r="A17625" t="s">
        <v>0</v>
      </c>
    </row>
    <row r="17626" spans="1:1" x14ac:dyDescent="0.3">
      <c r="A17626" t="s">
        <v>0</v>
      </c>
    </row>
    <row r="17627" spans="1:1" x14ac:dyDescent="0.3">
      <c r="A17627" t="s">
        <v>0</v>
      </c>
    </row>
    <row r="17628" spans="1:1" x14ac:dyDescent="0.3">
      <c r="A17628" t="s">
        <v>0</v>
      </c>
    </row>
    <row r="17629" spans="1:1" x14ac:dyDescent="0.3">
      <c r="A17629" t="s">
        <v>0</v>
      </c>
    </row>
    <row r="17630" spans="1:1" x14ac:dyDescent="0.3">
      <c r="A17630" t="s">
        <v>0</v>
      </c>
    </row>
    <row r="17631" spans="1:1" x14ac:dyDescent="0.3">
      <c r="A17631" t="s">
        <v>0</v>
      </c>
    </row>
    <row r="17632" spans="1:1" x14ac:dyDescent="0.3">
      <c r="A17632" t="s">
        <v>0</v>
      </c>
    </row>
    <row r="17633" spans="1:1" x14ac:dyDescent="0.3">
      <c r="A17633" t="s">
        <v>0</v>
      </c>
    </row>
    <row r="17634" spans="1:1" x14ac:dyDescent="0.3">
      <c r="A17634" t="s">
        <v>0</v>
      </c>
    </row>
    <row r="17635" spans="1:1" x14ac:dyDescent="0.3">
      <c r="A17635" t="s">
        <v>0</v>
      </c>
    </row>
    <row r="17636" spans="1:1" x14ac:dyDescent="0.3">
      <c r="A17636" t="s">
        <v>0</v>
      </c>
    </row>
    <row r="17637" spans="1:1" x14ac:dyDescent="0.3">
      <c r="A17637" t="s">
        <v>0</v>
      </c>
    </row>
    <row r="17638" spans="1:1" x14ac:dyDescent="0.3">
      <c r="A17638" t="s">
        <v>0</v>
      </c>
    </row>
    <row r="17639" spans="1:1" x14ac:dyDescent="0.3">
      <c r="A17639" t="s">
        <v>0</v>
      </c>
    </row>
    <row r="17640" spans="1:1" x14ac:dyDescent="0.3">
      <c r="A17640" t="s">
        <v>0</v>
      </c>
    </row>
    <row r="17641" spans="1:1" x14ac:dyDescent="0.3">
      <c r="A17641" t="s">
        <v>0</v>
      </c>
    </row>
    <row r="17642" spans="1:1" x14ac:dyDescent="0.3">
      <c r="A17642" t="s">
        <v>0</v>
      </c>
    </row>
    <row r="17643" spans="1:1" x14ac:dyDescent="0.3">
      <c r="A17643" t="s">
        <v>0</v>
      </c>
    </row>
    <row r="17644" spans="1:1" x14ac:dyDescent="0.3">
      <c r="A17644" t="s">
        <v>0</v>
      </c>
    </row>
    <row r="17645" spans="1:1" x14ac:dyDescent="0.3">
      <c r="A17645" t="s">
        <v>0</v>
      </c>
    </row>
    <row r="17646" spans="1:1" x14ac:dyDescent="0.3">
      <c r="A17646" t="s">
        <v>0</v>
      </c>
    </row>
    <row r="17647" spans="1:1" x14ac:dyDescent="0.3">
      <c r="A17647" t="s">
        <v>0</v>
      </c>
    </row>
    <row r="17648" spans="1:1" x14ac:dyDescent="0.3">
      <c r="A17648" t="s">
        <v>0</v>
      </c>
    </row>
    <row r="17649" spans="1:1" x14ac:dyDescent="0.3">
      <c r="A17649" t="s">
        <v>0</v>
      </c>
    </row>
    <row r="17650" spans="1:1" x14ac:dyDescent="0.3">
      <c r="A17650" t="s">
        <v>0</v>
      </c>
    </row>
    <row r="17651" spans="1:1" x14ac:dyDescent="0.3">
      <c r="A17651" t="s">
        <v>0</v>
      </c>
    </row>
    <row r="17652" spans="1:1" x14ac:dyDescent="0.3">
      <c r="A17652" t="s">
        <v>0</v>
      </c>
    </row>
    <row r="17653" spans="1:1" x14ac:dyDescent="0.3">
      <c r="A17653" t="s">
        <v>0</v>
      </c>
    </row>
    <row r="17654" spans="1:1" x14ac:dyDescent="0.3">
      <c r="A17654" t="s">
        <v>0</v>
      </c>
    </row>
    <row r="17655" spans="1:1" x14ac:dyDescent="0.3">
      <c r="A17655" t="s">
        <v>0</v>
      </c>
    </row>
    <row r="17656" spans="1:1" x14ac:dyDescent="0.3">
      <c r="A17656" t="s">
        <v>0</v>
      </c>
    </row>
    <row r="17657" spans="1:1" x14ac:dyDescent="0.3">
      <c r="A17657" t="s">
        <v>0</v>
      </c>
    </row>
    <row r="17658" spans="1:1" x14ac:dyDescent="0.3">
      <c r="A17658" t="s">
        <v>0</v>
      </c>
    </row>
    <row r="17659" spans="1:1" x14ac:dyDescent="0.3">
      <c r="A17659" t="s">
        <v>0</v>
      </c>
    </row>
    <row r="17660" spans="1:1" x14ac:dyDescent="0.3">
      <c r="A17660" t="s">
        <v>0</v>
      </c>
    </row>
    <row r="17661" spans="1:1" x14ac:dyDescent="0.3">
      <c r="A17661" t="s">
        <v>0</v>
      </c>
    </row>
    <row r="17662" spans="1:1" x14ac:dyDescent="0.3">
      <c r="A17662" t="s">
        <v>0</v>
      </c>
    </row>
    <row r="17663" spans="1:1" x14ac:dyDescent="0.3">
      <c r="A17663" t="s">
        <v>0</v>
      </c>
    </row>
    <row r="17664" spans="1:1" x14ac:dyDescent="0.3">
      <c r="A17664" t="s">
        <v>0</v>
      </c>
    </row>
    <row r="17665" spans="1:1" x14ac:dyDescent="0.3">
      <c r="A17665" t="s">
        <v>0</v>
      </c>
    </row>
    <row r="17666" spans="1:1" x14ac:dyDescent="0.3">
      <c r="A17666" t="s">
        <v>0</v>
      </c>
    </row>
    <row r="17667" spans="1:1" x14ac:dyDescent="0.3">
      <c r="A17667" t="s">
        <v>0</v>
      </c>
    </row>
    <row r="17668" spans="1:1" x14ac:dyDescent="0.3">
      <c r="A17668" t="s">
        <v>0</v>
      </c>
    </row>
    <row r="17669" spans="1:1" x14ac:dyDescent="0.3">
      <c r="A17669" t="s">
        <v>0</v>
      </c>
    </row>
    <row r="17670" spans="1:1" x14ac:dyDescent="0.3">
      <c r="A17670" t="s">
        <v>0</v>
      </c>
    </row>
    <row r="17671" spans="1:1" x14ac:dyDescent="0.3">
      <c r="A17671" t="s">
        <v>0</v>
      </c>
    </row>
    <row r="17672" spans="1:1" x14ac:dyDescent="0.3">
      <c r="A17672" t="s">
        <v>0</v>
      </c>
    </row>
    <row r="17673" spans="1:1" x14ac:dyDescent="0.3">
      <c r="A17673" t="s">
        <v>0</v>
      </c>
    </row>
    <row r="17674" spans="1:1" x14ac:dyDescent="0.3">
      <c r="A17674" t="s">
        <v>0</v>
      </c>
    </row>
    <row r="17675" spans="1:1" x14ac:dyDescent="0.3">
      <c r="A17675" t="s">
        <v>0</v>
      </c>
    </row>
    <row r="17676" spans="1:1" x14ac:dyDescent="0.3">
      <c r="A17676" t="s">
        <v>0</v>
      </c>
    </row>
    <row r="17677" spans="1:1" x14ac:dyDescent="0.3">
      <c r="A17677" t="s">
        <v>0</v>
      </c>
    </row>
    <row r="17678" spans="1:1" x14ac:dyDescent="0.3">
      <c r="A17678" t="s">
        <v>0</v>
      </c>
    </row>
    <row r="17679" spans="1:1" x14ac:dyDescent="0.3">
      <c r="A17679" t="s">
        <v>0</v>
      </c>
    </row>
    <row r="17680" spans="1:1" x14ac:dyDescent="0.3">
      <c r="A17680" t="s">
        <v>0</v>
      </c>
    </row>
    <row r="17681" spans="1:1" x14ac:dyDescent="0.3">
      <c r="A17681" t="s">
        <v>0</v>
      </c>
    </row>
    <row r="17682" spans="1:1" x14ac:dyDescent="0.3">
      <c r="A17682" t="s">
        <v>0</v>
      </c>
    </row>
    <row r="17683" spans="1:1" x14ac:dyDescent="0.3">
      <c r="A17683" t="s">
        <v>0</v>
      </c>
    </row>
    <row r="17684" spans="1:1" x14ac:dyDescent="0.3">
      <c r="A17684" t="s">
        <v>0</v>
      </c>
    </row>
    <row r="17685" spans="1:1" x14ac:dyDescent="0.3">
      <c r="A17685" t="s">
        <v>0</v>
      </c>
    </row>
    <row r="17686" spans="1:1" x14ac:dyDescent="0.3">
      <c r="A17686" t="s">
        <v>0</v>
      </c>
    </row>
    <row r="17687" spans="1:1" x14ac:dyDescent="0.3">
      <c r="A17687" t="s">
        <v>0</v>
      </c>
    </row>
    <row r="17688" spans="1:1" x14ac:dyDescent="0.3">
      <c r="A17688" t="s">
        <v>0</v>
      </c>
    </row>
    <row r="17689" spans="1:1" x14ac:dyDescent="0.3">
      <c r="A17689" t="s">
        <v>0</v>
      </c>
    </row>
    <row r="17690" spans="1:1" x14ac:dyDescent="0.3">
      <c r="A17690" t="s">
        <v>0</v>
      </c>
    </row>
    <row r="17691" spans="1:1" x14ac:dyDescent="0.3">
      <c r="A17691" t="s">
        <v>0</v>
      </c>
    </row>
    <row r="17692" spans="1:1" x14ac:dyDescent="0.3">
      <c r="A17692" t="s">
        <v>0</v>
      </c>
    </row>
    <row r="17693" spans="1:1" x14ac:dyDescent="0.3">
      <c r="A17693" t="s">
        <v>0</v>
      </c>
    </row>
    <row r="17694" spans="1:1" x14ac:dyDescent="0.3">
      <c r="A17694" t="s">
        <v>0</v>
      </c>
    </row>
    <row r="17695" spans="1:1" x14ac:dyDescent="0.3">
      <c r="A17695" t="s">
        <v>0</v>
      </c>
    </row>
    <row r="17696" spans="1:1" x14ac:dyDescent="0.3">
      <c r="A17696" t="s">
        <v>0</v>
      </c>
    </row>
    <row r="17697" spans="1:1" x14ac:dyDescent="0.3">
      <c r="A17697" t="s">
        <v>0</v>
      </c>
    </row>
    <row r="17698" spans="1:1" x14ac:dyDescent="0.3">
      <c r="A17698" t="s">
        <v>0</v>
      </c>
    </row>
    <row r="17699" spans="1:1" x14ac:dyDescent="0.3">
      <c r="A17699" t="s">
        <v>0</v>
      </c>
    </row>
    <row r="17700" spans="1:1" x14ac:dyDescent="0.3">
      <c r="A17700" t="s">
        <v>0</v>
      </c>
    </row>
    <row r="17701" spans="1:1" x14ac:dyDescent="0.3">
      <c r="A17701" t="s">
        <v>0</v>
      </c>
    </row>
    <row r="17702" spans="1:1" x14ac:dyDescent="0.3">
      <c r="A17702" t="s">
        <v>0</v>
      </c>
    </row>
    <row r="17703" spans="1:1" x14ac:dyDescent="0.3">
      <c r="A17703" t="s">
        <v>0</v>
      </c>
    </row>
    <row r="17704" spans="1:1" x14ac:dyDescent="0.3">
      <c r="A17704" t="s">
        <v>0</v>
      </c>
    </row>
    <row r="17705" spans="1:1" x14ac:dyDescent="0.3">
      <c r="A17705" t="s">
        <v>0</v>
      </c>
    </row>
    <row r="17706" spans="1:1" x14ac:dyDescent="0.3">
      <c r="A17706" t="s">
        <v>0</v>
      </c>
    </row>
    <row r="17707" spans="1:1" x14ac:dyDescent="0.3">
      <c r="A17707" t="s">
        <v>0</v>
      </c>
    </row>
    <row r="17708" spans="1:1" x14ac:dyDescent="0.3">
      <c r="A17708" t="s">
        <v>0</v>
      </c>
    </row>
    <row r="17709" spans="1:1" x14ac:dyDescent="0.3">
      <c r="A17709" t="s">
        <v>0</v>
      </c>
    </row>
    <row r="17710" spans="1:1" x14ac:dyDescent="0.3">
      <c r="A17710" t="s">
        <v>0</v>
      </c>
    </row>
    <row r="17711" spans="1:1" x14ac:dyDescent="0.3">
      <c r="A17711" t="s">
        <v>0</v>
      </c>
    </row>
    <row r="17712" spans="1:1" x14ac:dyDescent="0.3">
      <c r="A17712" t="s">
        <v>0</v>
      </c>
    </row>
    <row r="17713" spans="1:1" x14ac:dyDescent="0.3">
      <c r="A17713" t="s">
        <v>0</v>
      </c>
    </row>
    <row r="17714" spans="1:1" x14ac:dyDescent="0.3">
      <c r="A17714" t="s">
        <v>0</v>
      </c>
    </row>
    <row r="17715" spans="1:1" x14ac:dyDescent="0.3">
      <c r="A17715" t="s">
        <v>0</v>
      </c>
    </row>
    <row r="17716" spans="1:1" x14ac:dyDescent="0.3">
      <c r="A17716" t="s">
        <v>0</v>
      </c>
    </row>
    <row r="17717" spans="1:1" x14ac:dyDescent="0.3">
      <c r="A17717" t="s">
        <v>0</v>
      </c>
    </row>
    <row r="17718" spans="1:1" x14ac:dyDescent="0.3">
      <c r="A17718" t="s">
        <v>0</v>
      </c>
    </row>
    <row r="17719" spans="1:1" x14ac:dyDescent="0.3">
      <c r="A17719" t="s">
        <v>0</v>
      </c>
    </row>
    <row r="17720" spans="1:1" x14ac:dyDescent="0.3">
      <c r="A17720" t="s">
        <v>0</v>
      </c>
    </row>
    <row r="17721" spans="1:1" x14ac:dyDescent="0.3">
      <c r="A17721" t="s">
        <v>0</v>
      </c>
    </row>
    <row r="17722" spans="1:1" x14ac:dyDescent="0.3">
      <c r="A17722" t="s">
        <v>0</v>
      </c>
    </row>
    <row r="17723" spans="1:1" x14ac:dyDescent="0.3">
      <c r="A17723" t="s">
        <v>0</v>
      </c>
    </row>
    <row r="17724" spans="1:1" x14ac:dyDescent="0.3">
      <c r="A17724" t="s">
        <v>0</v>
      </c>
    </row>
    <row r="17725" spans="1:1" x14ac:dyDescent="0.3">
      <c r="A17725" t="s">
        <v>0</v>
      </c>
    </row>
    <row r="17726" spans="1:1" x14ac:dyDescent="0.3">
      <c r="A17726" t="s">
        <v>0</v>
      </c>
    </row>
    <row r="17727" spans="1:1" x14ac:dyDescent="0.3">
      <c r="A17727" t="s">
        <v>0</v>
      </c>
    </row>
    <row r="17728" spans="1:1" x14ac:dyDescent="0.3">
      <c r="A17728" t="s">
        <v>0</v>
      </c>
    </row>
    <row r="17729" spans="1:1" x14ac:dyDescent="0.3">
      <c r="A17729" t="s">
        <v>0</v>
      </c>
    </row>
    <row r="17730" spans="1:1" x14ac:dyDescent="0.3">
      <c r="A17730" t="s">
        <v>0</v>
      </c>
    </row>
    <row r="17731" spans="1:1" x14ac:dyDescent="0.3">
      <c r="A17731" t="s">
        <v>0</v>
      </c>
    </row>
    <row r="17732" spans="1:1" x14ac:dyDescent="0.3">
      <c r="A17732" t="s">
        <v>0</v>
      </c>
    </row>
    <row r="17733" spans="1:1" x14ac:dyDescent="0.3">
      <c r="A17733" t="s">
        <v>0</v>
      </c>
    </row>
    <row r="17734" spans="1:1" x14ac:dyDescent="0.3">
      <c r="A17734" t="s">
        <v>0</v>
      </c>
    </row>
    <row r="17735" spans="1:1" x14ac:dyDescent="0.3">
      <c r="A17735" t="s">
        <v>0</v>
      </c>
    </row>
    <row r="17736" spans="1:1" x14ac:dyDescent="0.3">
      <c r="A17736" t="s">
        <v>0</v>
      </c>
    </row>
    <row r="17737" spans="1:1" x14ac:dyDescent="0.3">
      <c r="A17737" t="s">
        <v>0</v>
      </c>
    </row>
    <row r="17738" spans="1:1" x14ac:dyDescent="0.3">
      <c r="A17738" t="s">
        <v>0</v>
      </c>
    </row>
    <row r="17739" spans="1:1" x14ac:dyDescent="0.3">
      <c r="A17739" t="s">
        <v>0</v>
      </c>
    </row>
    <row r="17740" spans="1:1" x14ac:dyDescent="0.3">
      <c r="A17740" t="s">
        <v>0</v>
      </c>
    </row>
    <row r="17741" spans="1:1" x14ac:dyDescent="0.3">
      <c r="A17741" t="s">
        <v>0</v>
      </c>
    </row>
    <row r="17742" spans="1:1" x14ac:dyDescent="0.3">
      <c r="A17742" t="s">
        <v>0</v>
      </c>
    </row>
    <row r="17743" spans="1:1" x14ac:dyDescent="0.3">
      <c r="A17743" t="s">
        <v>0</v>
      </c>
    </row>
    <row r="17744" spans="1:1" x14ac:dyDescent="0.3">
      <c r="A17744" t="s">
        <v>0</v>
      </c>
    </row>
    <row r="17745" spans="1:1" x14ac:dyDescent="0.3">
      <c r="A17745" t="s">
        <v>0</v>
      </c>
    </row>
    <row r="17746" spans="1:1" x14ac:dyDescent="0.3">
      <c r="A17746" t="s">
        <v>0</v>
      </c>
    </row>
    <row r="17747" spans="1:1" x14ac:dyDescent="0.3">
      <c r="A17747" t="s">
        <v>0</v>
      </c>
    </row>
    <row r="17748" spans="1:1" x14ac:dyDescent="0.3">
      <c r="A17748" t="s">
        <v>0</v>
      </c>
    </row>
    <row r="17749" spans="1:1" x14ac:dyDescent="0.3">
      <c r="A17749" t="s">
        <v>0</v>
      </c>
    </row>
    <row r="17750" spans="1:1" x14ac:dyDescent="0.3">
      <c r="A17750" t="s">
        <v>0</v>
      </c>
    </row>
    <row r="17751" spans="1:1" x14ac:dyDescent="0.3">
      <c r="A17751" t="s">
        <v>0</v>
      </c>
    </row>
    <row r="17752" spans="1:1" x14ac:dyDescent="0.3">
      <c r="A17752" t="s">
        <v>0</v>
      </c>
    </row>
    <row r="17753" spans="1:1" x14ac:dyDescent="0.3">
      <c r="A17753" t="s">
        <v>0</v>
      </c>
    </row>
    <row r="17754" spans="1:1" x14ac:dyDescent="0.3">
      <c r="A17754" t="s">
        <v>0</v>
      </c>
    </row>
    <row r="17755" spans="1:1" x14ac:dyDescent="0.3">
      <c r="A17755" t="s">
        <v>0</v>
      </c>
    </row>
    <row r="17756" spans="1:1" x14ac:dyDescent="0.3">
      <c r="A17756" t="s">
        <v>0</v>
      </c>
    </row>
    <row r="17757" spans="1:1" x14ac:dyDescent="0.3">
      <c r="A17757" t="s">
        <v>0</v>
      </c>
    </row>
    <row r="17758" spans="1:1" x14ac:dyDescent="0.3">
      <c r="A17758" t="s">
        <v>0</v>
      </c>
    </row>
    <row r="17759" spans="1:1" x14ac:dyDescent="0.3">
      <c r="A17759" t="s">
        <v>0</v>
      </c>
    </row>
    <row r="17760" spans="1:1" x14ac:dyDescent="0.3">
      <c r="A17760" t="s">
        <v>0</v>
      </c>
    </row>
    <row r="17761" spans="1:1" x14ac:dyDescent="0.3">
      <c r="A17761" t="s">
        <v>0</v>
      </c>
    </row>
    <row r="17762" spans="1:1" x14ac:dyDescent="0.3">
      <c r="A17762" t="s">
        <v>0</v>
      </c>
    </row>
    <row r="17763" spans="1:1" x14ac:dyDescent="0.3">
      <c r="A17763" t="s">
        <v>0</v>
      </c>
    </row>
    <row r="17764" spans="1:1" x14ac:dyDescent="0.3">
      <c r="A17764" t="s">
        <v>0</v>
      </c>
    </row>
    <row r="17765" spans="1:1" x14ac:dyDescent="0.3">
      <c r="A17765" t="s">
        <v>0</v>
      </c>
    </row>
    <row r="17766" spans="1:1" x14ac:dyDescent="0.3">
      <c r="A17766" t="s">
        <v>0</v>
      </c>
    </row>
    <row r="17767" spans="1:1" x14ac:dyDescent="0.3">
      <c r="A17767" t="s">
        <v>0</v>
      </c>
    </row>
    <row r="17768" spans="1:1" x14ac:dyDescent="0.3">
      <c r="A17768" t="s">
        <v>0</v>
      </c>
    </row>
    <row r="17769" spans="1:1" x14ac:dyDescent="0.3">
      <c r="A17769" t="s">
        <v>0</v>
      </c>
    </row>
    <row r="17770" spans="1:1" x14ac:dyDescent="0.3">
      <c r="A17770" t="s">
        <v>0</v>
      </c>
    </row>
    <row r="17771" spans="1:1" x14ac:dyDescent="0.3">
      <c r="A17771" t="s">
        <v>0</v>
      </c>
    </row>
    <row r="17772" spans="1:1" x14ac:dyDescent="0.3">
      <c r="A17772" t="s">
        <v>0</v>
      </c>
    </row>
    <row r="17773" spans="1:1" x14ac:dyDescent="0.3">
      <c r="A17773" t="s">
        <v>0</v>
      </c>
    </row>
    <row r="17774" spans="1:1" x14ac:dyDescent="0.3">
      <c r="A17774" t="s">
        <v>0</v>
      </c>
    </row>
    <row r="17775" spans="1:1" x14ac:dyDescent="0.3">
      <c r="A17775" t="s">
        <v>0</v>
      </c>
    </row>
    <row r="17776" spans="1:1" x14ac:dyDescent="0.3">
      <c r="A17776" t="s">
        <v>0</v>
      </c>
    </row>
    <row r="17777" spans="1:1" x14ac:dyDescent="0.3">
      <c r="A17777" t="s">
        <v>0</v>
      </c>
    </row>
    <row r="17778" spans="1:1" x14ac:dyDescent="0.3">
      <c r="A17778" t="s">
        <v>0</v>
      </c>
    </row>
    <row r="17779" spans="1:1" x14ac:dyDescent="0.3">
      <c r="A17779" t="s">
        <v>0</v>
      </c>
    </row>
    <row r="17780" spans="1:1" x14ac:dyDescent="0.3">
      <c r="A17780" t="s">
        <v>0</v>
      </c>
    </row>
    <row r="17781" spans="1:1" x14ac:dyDescent="0.3">
      <c r="A17781" t="s">
        <v>0</v>
      </c>
    </row>
    <row r="17782" spans="1:1" x14ac:dyDescent="0.3">
      <c r="A17782" t="s">
        <v>0</v>
      </c>
    </row>
    <row r="17783" spans="1:1" x14ac:dyDescent="0.3">
      <c r="A17783" t="s">
        <v>0</v>
      </c>
    </row>
    <row r="17784" spans="1:1" x14ac:dyDescent="0.3">
      <c r="A17784" t="s">
        <v>0</v>
      </c>
    </row>
    <row r="17785" spans="1:1" x14ac:dyDescent="0.3">
      <c r="A17785" t="s">
        <v>0</v>
      </c>
    </row>
    <row r="17786" spans="1:1" x14ac:dyDescent="0.3">
      <c r="A17786" t="s">
        <v>0</v>
      </c>
    </row>
    <row r="17787" spans="1:1" x14ac:dyDescent="0.3">
      <c r="A17787" t="s">
        <v>0</v>
      </c>
    </row>
    <row r="17788" spans="1:1" x14ac:dyDescent="0.3">
      <c r="A17788" t="s">
        <v>0</v>
      </c>
    </row>
    <row r="17789" spans="1:1" x14ac:dyDescent="0.3">
      <c r="A17789" t="s">
        <v>0</v>
      </c>
    </row>
    <row r="17790" spans="1:1" x14ac:dyDescent="0.3">
      <c r="A17790" t="s">
        <v>0</v>
      </c>
    </row>
    <row r="17791" spans="1:1" x14ac:dyDescent="0.3">
      <c r="A17791" t="s">
        <v>0</v>
      </c>
    </row>
    <row r="17792" spans="1:1" x14ac:dyDescent="0.3">
      <c r="A17792" t="s">
        <v>0</v>
      </c>
    </row>
    <row r="17793" spans="1:1" x14ac:dyDescent="0.3">
      <c r="A17793" t="s">
        <v>0</v>
      </c>
    </row>
    <row r="17794" spans="1:1" x14ac:dyDescent="0.3">
      <c r="A17794" t="s">
        <v>0</v>
      </c>
    </row>
    <row r="17795" spans="1:1" x14ac:dyDescent="0.3">
      <c r="A17795" t="s">
        <v>0</v>
      </c>
    </row>
    <row r="17796" spans="1:1" x14ac:dyDescent="0.3">
      <c r="A17796" t="s">
        <v>0</v>
      </c>
    </row>
    <row r="17797" spans="1:1" x14ac:dyDescent="0.3">
      <c r="A17797" t="s">
        <v>0</v>
      </c>
    </row>
    <row r="17798" spans="1:1" x14ac:dyDescent="0.3">
      <c r="A17798" t="s">
        <v>0</v>
      </c>
    </row>
    <row r="17799" spans="1:1" x14ac:dyDescent="0.3">
      <c r="A17799" t="s">
        <v>0</v>
      </c>
    </row>
    <row r="17800" spans="1:1" x14ac:dyDescent="0.3">
      <c r="A17800" t="s">
        <v>0</v>
      </c>
    </row>
    <row r="17801" spans="1:1" x14ac:dyDescent="0.3">
      <c r="A17801" t="s">
        <v>0</v>
      </c>
    </row>
    <row r="17802" spans="1:1" x14ac:dyDescent="0.3">
      <c r="A17802" t="s">
        <v>0</v>
      </c>
    </row>
    <row r="17803" spans="1:1" x14ac:dyDescent="0.3">
      <c r="A17803" t="s">
        <v>0</v>
      </c>
    </row>
    <row r="17804" spans="1:1" x14ac:dyDescent="0.3">
      <c r="A17804" t="s">
        <v>0</v>
      </c>
    </row>
    <row r="17805" spans="1:1" x14ac:dyDescent="0.3">
      <c r="A17805" t="s">
        <v>0</v>
      </c>
    </row>
    <row r="17806" spans="1:1" x14ac:dyDescent="0.3">
      <c r="A17806" t="s">
        <v>0</v>
      </c>
    </row>
    <row r="17807" spans="1:1" x14ac:dyDescent="0.3">
      <c r="A17807" t="s">
        <v>0</v>
      </c>
    </row>
    <row r="17808" spans="1:1" x14ac:dyDescent="0.3">
      <c r="A17808" t="s">
        <v>0</v>
      </c>
    </row>
    <row r="17809" spans="1:1" x14ac:dyDescent="0.3">
      <c r="A17809" t="s">
        <v>0</v>
      </c>
    </row>
    <row r="17810" spans="1:1" x14ac:dyDescent="0.3">
      <c r="A17810" t="s">
        <v>0</v>
      </c>
    </row>
    <row r="17811" spans="1:1" x14ac:dyDescent="0.3">
      <c r="A17811" t="s">
        <v>0</v>
      </c>
    </row>
    <row r="17812" spans="1:1" x14ac:dyDescent="0.3">
      <c r="A17812" t="s">
        <v>0</v>
      </c>
    </row>
    <row r="17813" spans="1:1" x14ac:dyDescent="0.3">
      <c r="A17813" t="s">
        <v>0</v>
      </c>
    </row>
    <row r="17814" spans="1:1" x14ac:dyDescent="0.3">
      <c r="A17814" t="s">
        <v>0</v>
      </c>
    </row>
    <row r="17815" spans="1:1" x14ac:dyDescent="0.3">
      <c r="A17815" t="s">
        <v>0</v>
      </c>
    </row>
    <row r="17816" spans="1:1" x14ac:dyDescent="0.3">
      <c r="A17816" t="s">
        <v>0</v>
      </c>
    </row>
    <row r="17817" spans="1:1" x14ac:dyDescent="0.3">
      <c r="A17817" t="s">
        <v>0</v>
      </c>
    </row>
    <row r="17818" spans="1:1" x14ac:dyDescent="0.3">
      <c r="A17818" t="s">
        <v>0</v>
      </c>
    </row>
    <row r="17819" spans="1:1" x14ac:dyDescent="0.3">
      <c r="A17819" t="s">
        <v>0</v>
      </c>
    </row>
    <row r="17820" spans="1:1" x14ac:dyDescent="0.3">
      <c r="A17820" t="s">
        <v>0</v>
      </c>
    </row>
    <row r="17821" spans="1:1" x14ac:dyDescent="0.3">
      <c r="A17821" t="s">
        <v>0</v>
      </c>
    </row>
    <row r="17822" spans="1:1" x14ac:dyDescent="0.3">
      <c r="A17822" t="s">
        <v>0</v>
      </c>
    </row>
    <row r="17823" spans="1:1" x14ac:dyDescent="0.3">
      <c r="A17823" t="s">
        <v>0</v>
      </c>
    </row>
    <row r="17824" spans="1:1" x14ac:dyDescent="0.3">
      <c r="A17824" t="s">
        <v>0</v>
      </c>
    </row>
    <row r="17825" spans="1:1" x14ac:dyDescent="0.3">
      <c r="A17825" t="s">
        <v>0</v>
      </c>
    </row>
    <row r="17826" spans="1:1" x14ac:dyDescent="0.3">
      <c r="A17826" t="s">
        <v>0</v>
      </c>
    </row>
    <row r="17827" spans="1:1" x14ac:dyDescent="0.3">
      <c r="A17827" t="s">
        <v>0</v>
      </c>
    </row>
    <row r="17828" spans="1:1" x14ac:dyDescent="0.3">
      <c r="A17828" t="s">
        <v>0</v>
      </c>
    </row>
    <row r="17829" spans="1:1" x14ac:dyDescent="0.3">
      <c r="A17829" t="s">
        <v>0</v>
      </c>
    </row>
    <row r="17830" spans="1:1" x14ac:dyDescent="0.3">
      <c r="A17830" t="s">
        <v>0</v>
      </c>
    </row>
    <row r="17831" spans="1:1" x14ac:dyDescent="0.3">
      <c r="A17831" t="s">
        <v>0</v>
      </c>
    </row>
    <row r="17832" spans="1:1" x14ac:dyDescent="0.3">
      <c r="A17832" t="s">
        <v>0</v>
      </c>
    </row>
    <row r="17833" spans="1:1" x14ac:dyDescent="0.3">
      <c r="A17833" t="s">
        <v>0</v>
      </c>
    </row>
    <row r="17834" spans="1:1" x14ac:dyDescent="0.3">
      <c r="A17834" t="s">
        <v>0</v>
      </c>
    </row>
    <row r="17835" spans="1:1" x14ac:dyDescent="0.3">
      <c r="A17835" t="s">
        <v>0</v>
      </c>
    </row>
    <row r="17836" spans="1:1" x14ac:dyDescent="0.3">
      <c r="A17836" t="s">
        <v>0</v>
      </c>
    </row>
    <row r="17837" spans="1:1" x14ac:dyDescent="0.3">
      <c r="A17837" t="s">
        <v>0</v>
      </c>
    </row>
    <row r="17838" spans="1:1" x14ac:dyDescent="0.3">
      <c r="A17838" t="s">
        <v>0</v>
      </c>
    </row>
    <row r="17839" spans="1:1" x14ac:dyDescent="0.3">
      <c r="A17839" t="s">
        <v>0</v>
      </c>
    </row>
    <row r="17840" spans="1:1" x14ac:dyDescent="0.3">
      <c r="A17840" t="s">
        <v>0</v>
      </c>
    </row>
    <row r="17841" spans="1:1" x14ac:dyDescent="0.3">
      <c r="A17841" t="s">
        <v>0</v>
      </c>
    </row>
    <row r="17842" spans="1:1" x14ac:dyDescent="0.3">
      <c r="A17842" t="s">
        <v>0</v>
      </c>
    </row>
    <row r="17843" spans="1:1" x14ac:dyDescent="0.3">
      <c r="A17843" t="s">
        <v>0</v>
      </c>
    </row>
    <row r="17844" spans="1:1" x14ac:dyDescent="0.3">
      <c r="A17844" t="s">
        <v>0</v>
      </c>
    </row>
    <row r="17845" spans="1:1" x14ac:dyDescent="0.3">
      <c r="A17845" t="s">
        <v>0</v>
      </c>
    </row>
    <row r="17846" spans="1:1" x14ac:dyDescent="0.3">
      <c r="A17846" t="s">
        <v>0</v>
      </c>
    </row>
    <row r="17847" spans="1:1" x14ac:dyDescent="0.3">
      <c r="A17847" t="s">
        <v>0</v>
      </c>
    </row>
    <row r="17848" spans="1:1" x14ac:dyDescent="0.3">
      <c r="A17848" t="s">
        <v>0</v>
      </c>
    </row>
    <row r="17849" spans="1:1" x14ac:dyDescent="0.3">
      <c r="A17849" t="s">
        <v>0</v>
      </c>
    </row>
    <row r="17850" spans="1:1" x14ac:dyDescent="0.3">
      <c r="A17850" t="s">
        <v>0</v>
      </c>
    </row>
    <row r="17851" spans="1:1" x14ac:dyDescent="0.3">
      <c r="A17851" t="s">
        <v>0</v>
      </c>
    </row>
    <row r="17852" spans="1:1" x14ac:dyDescent="0.3">
      <c r="A17852" t="s">
        <v>0</v>
      </c>
    </row>
    <row r="17853" spans="1:1" x14ac:dyDescent="0.3">
      <c r="A17853" t="s">
        <v>0</v>
      </c>
    </row>
    <row r="17854" spans="1:1" x14ac:dyDescent="0.3">
      <c r="A17854" t="s">
        <v>0</v>
      </c>
    </row>
    <row r="17855" spans="1:1" x14ac:dyDescent="0.3">
      <c r="A17855" t="s">
        <v>0</v>
      </c>
    </row>
    <row r="17856" spans="1:1" x14ac:dyDescent="0.3">
      <c r="A17856" t="s">
        <v>0</v>
      </c>
    </row>
    <row r="17857" spans="1:1" x14ac:dyDescent="0.3">
      <c r="A17857" t="s">
        <v>0</v>
      </c>
    </row>
    <row r="17858" spans="1:1" x14ac:dyDescent="0.3">
      <c r="A17858" t="s">
        <v>0</v>
      </c>
    </row>
    <row r="17859" spans="1:1" x14ac:dyDescent="0.3">
      <c r="A17859" t="s">
        <v>0</v>
      </c>
    </row>
    <row r="17860" spans="1:1" x14ac:dyDescent="0.3">
      <c r="A17860" t="s">
        <v>0</v>
      </c>
    </row>
    <row r="17861" spans="1:1" x14ac:dyDescent="0.3">
      <c r="A17861" t="s">
        <v>0</v>
      </c>
    </row>
    <row r="17862" spans="1:1" x14ac:dyDescent="0.3">
      <c r="A17862" t="s">
        <v>0</v>
      </c>
    </row>
    <row r="17863" spans="1:1" x14ac:dyDescent="0.3">
      <c r="A17863" t="s">
        <v>0</v>
      </c>
    </row>
    <row r="17864" spans="1:1" x14ac:dyDescent="0.3">
      <c r="A17864" t="s">
        <v>0</v>
      </c>
    </row>
    <row r="17865" spans="1:1" x14ac:dyDescent="0.3">
      <c r="A17865" t="s">
        <v>0</v>
      </c>
    </row>
    <row r="17866" spans="1:1" x14ac:dyDescent="0.3">
      <c r="A17866" t="s">
        <v>0</v>
      </c>
    </row>
    <row r="17867" spans="1:1" x14ac:dyDescent="0.3">
      <c r="A17867" t="s">
        <v>0</v>
      </c>
    </row>
    <row r="17868" spans="1:1" x14ac:dyDescent="0.3">
      <c r="A17868" t="s">
        <v>0</v>
      </c>
    </row>
    <row r="17869" spans="1:1" x14ac:dyDescent="0.3">
      <c r="A17869" t="s">
        <v>0</v>
      </c>
    </row>
    <row r="17870" spans="1:1" x14ac:dyDescent="0.3">
      <c r="A17870" t="s">
        <v>0</v>
      </c>
    </row>
    <row r="17871" spans="1:1" x14ac:dyDescent="0.3">
      <c r="A17871" t="s">
        <v>0</v>
      </c>
    </row>
    <row r="17872" spans="1:1" x14ac:dyDescent="0.3">
      <c r="A17872" t="s">
        <v>0</v>
      </c>
    </row>
    <row r="17873" spans="1:1" x14ac:dyDescent="0.3">
      <c r="A17873" t="s">
        <v>0</v>
      </c>
    </row>
    <row r="17874" spans="1:1" x14ac:dyDescent="0.3">
      <c r="A17874" t="s">
        <v>0</v>
      </c>
    </row>
    <row r="17875" spans="1:1" x14ac:dyDescent="0.3">
      <c r="A17875" t="s">
        <v>0</v>
      </c>
    </row>
    <row r="17876" spans="1:1" x14ac:dyDescent="0.3">
      <c r="A17876" t="s">
        <v>0</v>
      </c>
    </row>
    <row r="17877" spans="1:1" x14ac:dyDescent="0.3">
      <c r="A17877" t="s">
        <v>0</v>
      </c>
    </row>
    <row r="17878" spans="1:1" x14ac:dyDescent="0.3">
      <c r="A17878" t="s">
        <v>0</v>
      </c>
    </row>
    <row r="17879" spans="1:1" x14ac:dyDescent="0.3">
      <c r="A17879" t="s">
        <v>0</v>
      </c>
    </row>
    <row r="17880" spans="1:1" x14ac:dyDescent="0.3">
      <c r="A17880" t="s">
        <v>0</v>
      </c>
    </row>
    <row r="17881" spans="1:1" x14ac:dyDescent="0.3">
      <c r="A17881" t="s">
        <v>0</v>
      </c>
    </row>
    <row r="17882" spans="1:1" x14ac:dyDescent="0.3">
      <c r="A17882" t="s">
        <v>0</v>
      </c>
    </row>
    <row r="17883" spans="1:1" x14ac:dyDescent="0.3">
      <c r="A17883" t="s">
        <v>0</v>
      </c>
    </row>
    <row r="17884" spans="1:1" x14ac:dyDescent="0.3">
      <c r="A17884" t="s">
        <v>0</v>
      </c>
    </row>
    <row r="17885" spans="1:1" x14ac:dyDescent="0.3">
      <c r="A17885" t="s">
        <v>0</v>
      </c>
    </row>
    <row r="17886" spans="1:1" x14ac:dyDescent="0.3">
      <c r="A17886" t="s">
        <v>0</v>
      </c>
    </row>
    <row r="17887" spans="1:1" x14ac:dyDescent="0.3">
      <c r="A17887" t="s">
        <v>0</v>
      </c>
    </row>
    <row r="17888" spans="1:1" x14ac:dyDescent="0.3">
      <c r="A17888" t="s">
        <v>0</v>
      </c>
    </row>
    <row r="17889" spans="1:1" x14ac:dyDescent="0.3">
      <c r="A17889" t="s">
        <v>0</v>
      </c>
    </row>
    <row r="17890" spans="1:1" x14ac:dyDescent="0.3">
      <c r="A17890" t="s">
        <v>0</v>
      </c>
    </row>
    <row r="17891" spans="1:1" x14ac:dyDescent="0.3">
      <c r="A17891" t="s">
        <v>0</v>
      </c>
    </row>
    <row r="17892" spans="1:1" x14ac:dyDescent="0.3">
      <c r="A17892" t="s">
        <v>0</v>
      </c>
    </row>
    <row r="17893" spans="1:1" x14ac:dyDescent="0.3">
      <c r="A17893" t="s">
        <v>0</v>
      </c>
    </row>
    <row r="17894" spans="1:1" x14ac:dyDescent="0.3">
      <c r="A17894" t="s">
        <v>0</v>
      </c>
    </row>
    <row r="17895" spans="1:1" x14ac:dyDescent="0.3">
      <c r="A17895" t="s">
        <v>0</v>
      </c>
    </row>
    <row r="17896" spans="1:1" x14ac:dyDescent="0.3">
      <c r="A17896" t="s">
        <v>0</v>
      </c>
    </row>
    <row r="17897" spans="1:1" x14ac:dyDescent="0.3">
      <c r="A17897" t="s">
        <v>0</v>
      </c>
    </row>
    <row r="17898" spans="1:1" x14ac:dyDescent="0.3">
      <c r="A17898" t="s">
        <v>0</v>
      </c>
    </row>
    <row r="17899" spans="1:1" x14ac:dyDescent="0.3">
      <c r="A17899" t="s">
        <v>0</v>
      </c>
    </row>
    <row r="17900" spans="1:1" x14ac:dyDescent="0.3">
      <c r="A17900" t="s">
        <v>0</v>
      </c>
    </row>
    <row r="17901" spans="1:1" x14ac:dyDescent="0.3">
      <c r="A17901" t="s">
        <v>0</v>
      </c>
    </row>
    <row r="17902" spans="1:1" x14ac:dyDescent="0.3">
      <c r="A17902" t="s">
        <v>0</v>
      </c>
    </row>
    <row r="17903" spans="1:1" x14ac:dyDescent="0.3">
      <c r="A17903" t="s">
        <v>0</v>
      </c>
    </row>
    <row r="17904" spans="1:1" x14ac:dyDescent="0.3">
      <c r="A17904" t="s">
        <v>0</v>
      </c>
    </row>
    <row r="17905" spans="1:1" x14ac:dyDescent="0.3">
      <c r="A17905" t="s">
        <v>0</v>
      </c>
    </row>
    <row r="17906" spans="1:1" x14ac:dyDescent="0.3">
      <c r="A17906" t="s">
        <v>0</v>
      </c>
    </row>
    <row r="17907" spans="1:1" x14ac:dyDescent="0.3">
      <c r="A17907" t="s">
        <v>0</v>
      </c>
    </row>
    <row r="17908" spans="1:1" x14ac:dyDescent="0.3">
      <c r="A17908" t="s">
        <v>0</v>
      </c>
    </row>
    <row r="17909" spans="1:1" x14ac:dyDescent="0.3">
      <c r="A17909" t="s">
        <v>0</v>
      </c>
    </row>
    <row r="17910" spans="1:1" x14ac:dyDescent="0.3">
      <c r="A17910" t="s">
        <v>0</v>
      </c>
    </row>
    <row r="17911" spans="1:1" x14ac:dyDescent="0.3">
      <c r="A17911" t="s">
        <v>0</v>
      </c>
    </row>
    <row r="17912" spans="1:1" x14ac:dyDescent="0.3">
      <c r="A17912" t="s">
        <v>0</v>
      </c>
    </row>
    <row r="17913" spans="1:1" x14ac:dyDescent="0.3">
      <c r="A17913" t="s">
        <v>0</v>
      </c>
    </row>
    <row r="17914" spans="1:1" x14ac:dyDescent="0.3">
      <c r="A17914" t="s">
        <v>0</v>
      </c>
    </row>
    <row r="17915" spans="1:1" x14ac:dyDescent="0.3">
      <c r="A17915" t="s">
        <v>0</v>
      </c>
    </row>
    <row r="17916" spans="1:1" x14ac:dyDescent="0.3">
      <c r="A17916" t="s">
        <v>0</v>
      </c>
    </row>
    <row r="17917" spans="1:1" x14ac:dyDescent="0.3">
      <c r="A17917" t="s">
        <v>0</v>
      </c>
    </row>
    <row r="17918" spans="1:1" x14ac:dyDescent="0.3">
      <c r="A17918" t="s">
        <v>0</v>
      </c>
    </row>
    <row r="17919" spans="1:1" x14ac:dyDescent="0.3">
      <c r="A17919" t="s">
        <v>0</v>
      </c>
    </row>
    <row r="17920" spans="1:1" x14ac:dyDescent="0.3">
      <c r="A17920" t="s">
        <v>0</v>
      </c>
    </row>
    <row r="17921" spans="1:1" x14ac:dyDescent="0.3">
      <c r="A17921" t="s">
        <v>0</v>
      </c>
    </row>
    <row r="17922" spans="1:1" x14ac:dyDescent="0.3">
      <c r="A17922" t="s">
        <v>0</v>
      </c>
    </row>
    <row r="17923" spans="1:1" x14ac:dyDescent="0.3">
      <c r="A17923" t="s">
        <v>0</v>
      </c>
    </row>
    <row r="17924" spans="1:1" x14ac:dyDescent="0.3">
      <c r="A17924" t="s">
        <v>0</v>
      </c>
    </row>
    <row r="17925" spans="1:1" x14ac:dyDescent="0.3">
      <c r="A17925" t="s">
        <v>0</v>
      </c>
    </row>
    <row r="17926" spans="1:1" x14ac:dyDescent="0.3">
      <c r="A17926" t="s">
        <v>0</v>
      </c>
    </row>
    <row r="17927" spans="1:1" x14ac:dyDescent="0.3">
      <c r="A17927" t="s">
        <v>0</v>
      </c>
    </row>
    <row r="17928" spans="1:1" x14ac:dyDescent="0.3">
      <c r="A17928" t="s">
        <v>0</v>
      </c>
    </row>
    <row r="17929" spans="1:1" x14ac:dyDescent="0.3">
      <c r="A17929" t="s">
        <v>0</v>
      </c>
    </row>
    <row r="17930" spans="1:1" x14ac:dyDescent="0.3">
      <c r="A17930" t="s">
        <v>0</v>
      </c>
    </row>
    <row r="17931" spans="1:1" x14ac:dyDescent="0.3">
      <c r="A17931" t="s">
        <v>0</v>
      </c>
    </row>
    <row r="17932" spans="1:1" x14ac:dyDescent="0.3">
      <c r="A17932" t="s">
        <v>0</v>
      </c>
    </row>
    <row r="17933" spans="1:1" x14ac:dyDescent="0.3">
      <c r="A17933" t="s">
        <v>0</v>
      </c>
    </row>
    <row r="17934" spans="1:1" x14ac:dyDescent="0.3">
      <c r="A17934" t="s">
        <v>0</v>
      </c>
    </row>
    <row r="17935" spans="1:1" x14ac:dyDescent="0.3">
      <c r="A17935" t="s">
        <v>0</v>
      </c>
    </row>
    <row r="17936" spans="1:1" x14ac:dyDescent="0.3">
      <c r="A17936" t="s">
        <v>0</v>
      </c>
    </row>
    <row r="17937" spans="1:1" x14ac:dyDescent="0.3">
      <c r="A17937" t="s">
        <v>0</v>
      </c>
    </row>
    <row r="17938" spans="1:1" x14ac:dyDescent="0.3">
      <c r="A17938" t="s">
        <v>0</v>
      </c>
    </row>
    <row r="17939" spans="1:1" x14ac:dyDescent="0.3">
      <c r="A17939" t="s">
        <v>0</v>
      </c>
    </row>
    <row r="17940" spans="1:1" x14ac:dyDescent="0.3">
      <c r="A17940" t="s">
        <v>0</v>
      </c>
    </row>
    <row r="17941" spans="1:1" x14ac:dyDescent="0.3">
      <c r="A17941" t="s">
        <v>0</v>
      </c>
    </row>
    <row r="17942" spans="1:1" x14ac:dyDescent="0.3">
      <c r="A17942" t="s">
        <v>0</v>
      </c>
    </row>
    <row r="17943" spans="1:1" x14ac:dyDescent="0.3">
      <c r="A17943" t="s">
        <v>0</v>
      </c>
    </row>
    <row r="17944" spans="1:1" x14ac:dyDescent="0.3">
      <c r="A17944" t="s">
        <v>0</v>
      </c>
    </row>
    <row r="17945" spans="1:1" x14ac:dyDescent="0.3">
      <c r="A17945" t="s">
        <v>0</v>
      </c>
    </row>
    <row r="17946" spans="1:1" x14ac:dyDescent="0.3">
      <c r="A17946" t="s">
        <v>0</v>
      </c>
    </row>
    <row r="17947" spans="1:1" x14ac:dyDescent="0.3">
      <c r="A17947" t="s">
        <v>0</v>
      </c>
    </row>
    <row r="17948" spans="1:1" x14ac:dyDescent="0.3">
      <c r="A17948" t="s">
        <v>0</v>
      </c>
    </row>
    <row r="17949" spans="1:1" x14ac:dyDescent="0.3">
      <c r="A17949" t="s">
        <v>0</v>
      </c>
    </row>
    <row r="17950" spans="1:1" x14ac:dyDescent="0.3">
      <c r="A17950" t="s">
        <v>0</v>
      </c>
    </row>
    <row r="17951" spans="1:1" x14ac:dyDescent="0.3">
      <c r="A17951" t="s">
        <v>0</v>
      </c>
    </row>
    <row r="17952" spans="1:1" x14ac:dyDescent="0.3">
      <c r="A17952" t="s">
        <v>0</v>
      </c>
    </row>
    <row r="17953" spans="1:1" x14ac:dyDescent="0.3">
      <c r="A17953" t="s">
        <v>0</v>
      </c>
    </row>
    <row r="17954" spans="1:1" x14ac:dyDescent="0.3">
      <c r="A17954" t="s">
        <v>0</v>
      </c>
    </row>
    <row r="17955" spans="1:1" x14ac:dyDescent="0.3">
      <c r="A17955" t="s">
        <v>0</v>
      </c>
    </row>
    <row r="17956" spans="1:1" x14ac:dyDescent="0.3">
      <c r="A17956" t="s">
        <v>0</v>
      </c>
    </row>
    <row r="17957" spans="1:1" x14ac:dyDescent="0.3">
      <c r="A17957" t="s">
        <v>0</v>
      </c>
    </row>
    <row r="17958" spans="1:1" x14ac:dyDescent="0.3">
      <c r="A17958" t="s">
        <v>0</v>
      </c>
    </row>
    <row r="17959" spans="1:1" x14ac:dyDescent="0.3">
      <c r="A17959" t="s">
        <v>0</v>
      </c>
    </row>
    <row r="17960" spans="1:1" x14ac:dyDescent="0.3">
      <c r="A17960" t="s">
        <v>0</v>
      </c>
    </row>
    <row r="17961" spans="1:1" x14ac:dyDescent="0.3">
      <c r="A17961" t="s">
        <v>0</v>
      </c>
    </row>
    <row r="17962" spans="1:1" x14ac:dyDescent="0.3">
      <c r="A17962" t="s">
        <v>0</v>
      </c>
    </row>
    <row r="17963" spans="1:1" x14ac:dyDescent="0.3">
      <c r="A17963" t="s">
        <v>0</v>
      </c>
    </row>
    <row r="17964" spans="1:1" x14ac:dyDescent="0.3">
      <c r="A17964" t="s">
        <v>0</v>
      </c>
    </row>
    <row r="17965" spans="1:1" x14ac:dyDescent="0.3">
      <c r="A17965" t="s">
        <v>0</v>
      </c>
    </row>
    <row r="17966" spans="1:1" x14ac:dyDescent="0.3">
      <c r="A17966" t="s">
        <v>0</v>
      </c>
    </row>
    <row r="17967" spans="1:1" x14ac:dyDescent="0.3">
      <c r="A17967" t="s">
        <v>0</v>
      </c>
    </row>
    <row r="17968" spans="1:1" x14ac:dyDescent="0.3">
      <c r="A17968" t="s">
        <v>0</v>
      </c>
    </row>
    <row r="17969" spans="1:1" x14ac:dyDescent="0.3">
      <c r="A17969" t="s">
        <v>0</v>
      </c>
    </row>
    <row r="17970" spans="1:1" x14ac:dyDescent="0.3">
      <c r="A17970" t="s">
        <v>0</v>
      </c>
    </row>
    <row r="17971" spans="1:1" x14ac:dyDescent="0.3">
      <c r="A17971" t="s">
        <v>0</v>
      </c>
    </row>
    <row r="17972" spans="1:1" x14ac:dyDescent="0.3">
      <c r="A17972" t="s">
        <v>0</v>
      </c>
    </row>
    <row r="17973" spans="1:1" x14ac:dyDescent="0.3">
      <c r="A17973" t="s">
        <v>0</v>
      </c>
    </row>
    <row r="17974" spans="1:1" x14ac:dyDescent="0.3">
      <c r="A17974" t="s">
        <v>0</v>
      </c>
    </row>
    <row r="17975" spans="1:1" x14ac:dyDescent="0.3">
      <c r="A17975" t="s">
        <v>0</v>
      </c>
    </row>
    <row r="17976" spans="1:1" x14ac:dyDescent="0.3">
      <c r="A17976" t="s">
        <v>0</v>
      </c>
    </row>
    <row r="17977" spans="1:1" x14ac:dyDescent="0.3">
      <c r="A17977" t="s">
        <v>0</v>
      </c>
    </row>
    <row r="17978" spans="1:1" x14ac:dyDescent="0.3">
      <c r="A17978" t="s">
        <v>0</v>
      </c>
    </row>
    <row r="17979" spans="1:1" x14ac:dyDescent="0.3">
      <c r="A17979" t="s">
        <v>0</v>
      </c>
    </row>
    <row r="17980" spans="1:1" x14ac:dyDescent="0.3">
      <c r="A17980" t="s">
        <v>0</v>
      </c>
    </row>
    <row r="17981" spans="1:1" x14ac:dyDescent="0.3">
      <c r="A17981" t="s">
        <v>0</v>
      </c>
    </row>
    <row r="17982" spans="1:1" x14ac:dyDescent="0.3">
      <c r="A17982" t="s">
        <v>0</v>
      </c>
    </row>
    <row r="17983" spans="1:1" x14ac:dyDescent="0.3">
      <c r="A17983" t="s">
        <v>0</v>
      </c>
    </row>
    <row r="17984" spans="1:1" x14ac:dyDescent="0.3">
      <c r="A17984" t="s">
        <v>0</v>
      </c>
    </row>
    <row r="17985" spans="1:1" x14ac:dyDescent="0.3">
      <c r="A17985" t="s">
        <v>0</v>
      </c>
    </row>
    <row r="17986" spans="1:1" x14ac:dyDescent="0.3">
      <c r="A17986" t="s">
        <v>0</v>
      </c>
    </row>
    <row r="17987" spans="1:1" x14ac:dyDescent="0.3">
      <c r="A17987" t="s">
        <v>0</v>
      </c>
    </row>
    <row r="17988" spans="1:1" x14ac:dyDescent="0.3">
      <c r="A17988" t="s">
        <v>0</v>
      </c>
    </row>
    <row r="17989" spans="1:1" x14ac:dyDescent="0.3">
      <c r="A17989" t="s">
        <v>0</v>
      </c>
    </row>
    <row r="17990" spans="1:1" x14ac:dyDescent="0.3">
      <c r="A17990" t="s">
        <v>0</v>
      </c>
    </row>
    <row r="17991" spans="1:1" x14ac:dyDescent="0.3">
      <c r="A17991" t="s">
        <v>0</v>
      </c>
    </row>
    <row r="17992" spans="1:1" x14ac:dyDescent="0.3">
      <c r="A17992" t="s">
        <v>0</v>
      </c>
    </row>
    <row r="17993" spans="1:1" x14ac:dyDescent="0.3">
      <c r="A17993" t="s">
        <v>0</v>
      </c>
    </row>
    <row r="17994" spans="1:1" x14ac:dyDescent="0.3">
      <c r="A17994" t="s">
        <v>0</v>
      </c>
    </row>
    <row r="17995" spans="1:1" x14ac:dyDescent="0.3">
      <c r="A17995" t="s">
        <v>0</v>
      </c>
    </row>
    <row r="17996" spans="1:1" x14ac:dyDescent="0.3">
      <c r="A17996" t="s">
        <v>0</v>
      </c>
    </row>
    <row r="17997" spans="1:1" x14ac:dyDescent="0.3">
      <c r="A17997" t="s">
        <v>0</v>
      </c>
    </row>
    <row r="17998" spans="1:1" x14ac:dyDescent="0.3">
      <c r="A17998" t="s">
        <v>0</v>
      </c>
    </row>
    <row r="17999" spans="1:1" x14ac:dyDescent="0.3">
      <c r="A17999" t="s">
        <v>0</v>
      </c>
    </row>
    <row r="18000" spans="1:1" x14ac:dyDescent="0.3">
      <c r="A18000" t="s">
        <v>0</v>
      </c>
    </row>
    <row r="18001" spans="1:1" x14ac:dyDescent="0.3">
      <c r="A18001" t="s">
        <v>0</v>
      </c>
    </row>
    <row r="18002" spans="1:1" x14ac:dyDescent="0.3">
      <c r="A18002" t="s">
        <v>0</v>
      </c>
    </row>
    <row r="18003" spans="1:1" x14ac:dyDescent="0.3">
      <c r="A18003" t="s">
        <v>0</v>
      </c>
    </row>
    <row r="18004" spans="1:1" x14ac:dyDescent="0.3">
      <c r="A18004" t="s">
        <v>0</v>
      </c>
    </row>
    <row r="18005" spans="1:1" x14ac:dyDescent="0.3">
      <c r="A18005" t="s">
        <v>0</v>
      </c>
    </row>
    <row r="18006" spans="1:1" x14ac:dyDescent="0.3">
      <c r="A18006" t="s">
        <v>0</v>
      </c>
    </row>
    <row r="18007" spans="1:1" x14ac:dyDescent="0.3">
      <c r="A18007" t="s">
        <v>0</v>
      </c>
    </row>
    <row r="18008" spans="1:1" x14ac:dyDescent="0.3">
      <c r="A18008" t="s">
        <v>0</v>
      </c>
    </row>
    <row r="18009" spans="1:1" x14ac:dyDescent="0.3">
      <c r="A18009" t="s">
        <v>0</v>
      </c>
    </row>
    <row r="18010" spans="1:1" x14ac:dyDescent="0.3">
      <c r="A18010" t="s">
        <v>0</v>
      </c>
    </row>
    <row r="18011" spans="1:1" x14ac:dyDescent="0.3">
      <c r="A18011" t="s">
        <v>0</v>
      </c>
    </row>
    <row r="18012" spans="1:1" x14ac:dyDescent="0.3">
      <c r="A18012" t="s">
        <v>0</v>
      </c>
    </row>
    <row r="18013" spans="1:1" x14ac:dyDescent="0.3">
      <c r="A18013" t="s">
        <v>0</v>
      </c>
    </row>
    <row r="18014" spans="1:1" x14ac:dyDescent="0.3">
      <c r="A18014" t="s">
        <v>0</v>
      </c>
    </row>
    <row r="18015" spans="1:1" x14ac:dyDescent="0.3">
      <c r="A18015" t="s">
        <v>0</v>
      </c>
    </row>
    <row r="18016" spans="1:1" x14ac:dyDescent="0.3">
      <c r="A18016" t="s">
        <v>0</v>
      </c>
    </row>
    <row r="18017" spans="1:1" x14ac:dyDescent="0.3">
      <c r="A18017" t="s">
        <v>0</v>
      </c>
    </row>
    <row r="18018" spans="1:1" x14ac:dyDescent="0.3">
      <c r="A18018" t="s">
        <v>0</v>
      </c>
    </row>
    <row r="18019" spans="1:1" x14ac:dyDescent="0.3">
      <c r="A18019" t="s">
        <v>0</v>
      </c>
    </row>
    <row r="18020" spans="1:1" x14ac:dyDescent="0.3">
      <c r="A18020" t="s">
        <v>0</v>
      </c>
    </row>
    <row r="18021" spans="1:1" x14ac:dyDescent="0.3">
      <c r="A18021" t="s">
        <v>0</v>
      </c>
    </row>
    <row r="18022" spans="1:1" x14ac:dyDescent="0.3">
      <c r="A18022" t="s">
        <v>0</v>
      </c>
    </row>
    <row r="18023" spans="1:1" x14ac:dyDescent="0.3">
      <c r="A18023" t="s">
        <v>0</v>
      </c>
    </row>
    <row r="18024" spans="1:1" x14ac:dyDescent="0.3">
      <c r="A18024" t="s">
        <v>0</v>
      </c>
    </row>
    <row r="18025" spans="1:1" x14ac:dyDescent="0.3">
      <c r="A18025" t="s">
        <v>0</v>
      </c>
    </row>
    <row r="18026" spans="1:1" x14ac:dyDescent="0.3">
      <c r="A18026" t="s">
        <v>0</v>
      </c>
    </row>
    <row r="18027" spans="1:1" x14ac:dyDescent="0.3">
      <c r="A18027" t="s">
        <v>0</v>
      </c>
    </row>
    <row r="18028" spans="1:1" x14ac:dyDescent="0.3">
      <c r="A18028" t="s">
        <v>0</v>
      </c>
    </row>
    <row r="18029" spans="1:1" x14ac:dyDescent="0.3">
      <c r="A18029" t="s">
        <v>0</v>
      </c>
    </row>
    <row r="18030" spans="1:1" x14ac:dyDescent="0.3">
      <c r="A18030" t="s">
        <v>0</v>
      </c>
    </row>
    <row r="18031" spans="1:1" x14ac:dyDescent="0.3">
      <c r="A18031" t="s">
        <v>0</v>
      </c>
    </row>
    <row r="18032" spans="1:1" x14ac:dyDescent="0.3">
      <c r="A18032" t="s">
        <v>0</v>
      </c>
    </row>
    <row r="18033" spans="1:1" x14ac:dyDescent="0.3">
      <c r="A18033" t="s">
        <v>0</v>
      </c>
    </row>
    <row r="18034" spans="1:1" x14ac:dyDescent="0.3">
      <c r="A18034" t="s">
        <v>0</v>
      </c>
    </row>
    <row r="18035" spans="1:1" x14ac:dyDescent="0.3">
      <c r="A18035" t="s">
        <v>0</v>
      </c>
    </row>
    <row r="18036" spans="1:1" x14ac:dyDescent="0.3">
      <c r="A18036" t="s">
        <v>0</v>
      </c>
    </row>
    <row r="18037" spans="1:1" x14ac:dyDescent="0.3">
      <c r="A18037" t="s">
        <v>0</v>
      </c>
    </row>
    <row r="18038" spans="1:1" x14ac:dyDescent="0.3">
      <c r="A18038" t="s">
        <v>0</v>
      </c>
    </row>
    <row r="18039" spans="1:1" x14ac:dyDescent="0.3">
      <c r="A18039" t="s">
        <v>0</v>
      </c>
    </row>
    <row r="18040" spans="1:1" x14ac:dyDescent="0.3">
      <c r="A18040" t="s">
        <v>0</v>
      </c>
    </row>
    <row r="18041" spans="1:1" x14ac:dyDescent="0.3">
      <c r="A18041" t="s">
        <v>0</v>
      </c>
    </row>
    <row r="18042" spans="1:1" x14ac:dyDescent="0.3">
      <c r="A18042" t="s">
        <v>0</v>
      </c>
    </row>
    <row r="18043" spans="1:1" x14ac:dyDescent="0.3">
      <c r="A18043" t="s">
        <v>0</v>
      </c>
    </row>
    <row r="18044" spans="1:1" x14ac:dyDescent="0.3">
      <c r="A18044" t="s">
        <v>0</v>
      </c>
    </row>
    <row r="18045" spans="1:1" x14ac:dyDescent="0.3">
      <c r="A18045" t="s">
        <v>0</v>
      </c>
    </row>
    <row r="18046" spans="1:1" x14ac:dyDescent="0.3">
      <c r="A18046" t="s">
        <v>0</v>
      </c>
    </row>
    <row r="18047" spans="1:1" x14ac:dyDescent="0.3">
      <c r="A18047" t="s">
        <v>0</v>
      </c>
    </row>
    <row r="18048" spans="1:1" x14ac:dyDescent="0.3">
      <c r="A18048" t="s">
        <v>0</v>
      </c>
    </row>
    <row r="18049" spans="1:1" x14ac:dyDescent="0.3">
      <c r="A18049" t="s">
        <v>0</v>
      </c>
    </row>
    <row r="18050" spans="1:1" x14ac:dyDescent="0.3">
      <c r="A18050" t="s">
        <v>0</v>
      </c>
    </row>
    <row r="18051" spans="1:1" x14ac:dyDescent="0.3">
      <c r="A18051" t="s">
        <v>0</v>
      </c>
    </row>
    <row r="18052" spans="1:1" x14ac:dyDescent="0.3">
      <c r="A18052" t="s">
        <v>0</v>
      </c>
    </row>
    <row r="18053" spans="1:1" x14ac:dyDescent="0.3">
      <c r="A18053" t="s">
        <v>0</v>
      </c>
    </row>
    <row r="18054" spans="1:1" x14ac:dyDescent="0.3">
      <c r="A18054" t="s">
        <v>0</v>
      </c>
    </row>
    <row r="18055" spans="1:1" x14ac:dyDescent="0.3">
      <c r="A18055" t="s">
        <v>0</v>
      </c>
    </row>
    <row r="18056" spans="1:1" x14ac:dyDescent="0.3">
      <c r="A18056" t="s">
        <v>0</v>
      </c>
    </row>
    <row r="18057" spans="1:1" x14ac:dyDescent="0.3">
      <c r="A18057" t="s">
        <v>0</v>
      </c>
    </row>
    <row r="18058" spans="1:1" x14ac:dyDescent="0.3">
      <c r="A18058" t="s">
        <v>0</v>
      </c>
    </row>
    <row r="18059" spans="1:1" x14ac:dyDescent="0.3">
      <c r="A18059" t="s">
        <v>0</v>
      </c>
    </row>
    <row r="18060" spans="1:1" x14ac:dyDescent="0.3">
      <c r="A18060" t="s">
        <v>0</v>
      </c>
    </row>
    <row r="18061" spans="1:1" x14ac:dyDescent="0.3">
      <c r="A18061" t="s">
        <v>0</v>
      </c>
    </row>
    <row r="18062" spans="1:1" x14ac:dyDescent="0.3">
      <c r="A18062" t="s">
        <v>0</v>
      </c>
    </row>
    <row r="18063" spans="1:1" x14ac:dyDescent="0.3">
      <c r="A18063" t="s">
        <v>0</v>
      </c>
    </row>
    <row r="18064" spans="1:1" x14ac:dyDescent="0.3">
      <c r="A18064" t="s">
        <v>0</v>
      </c>
    </row>
    <row r="18065" spans="1:1" x14ac:dyDescent="0.3">
      <c r="A18065" t="s">
        <v>0</v>
      </c>
    </row>
    <row r="18066" spans="1:1" x14ac:dyDescent="0.3">
      <c r="A18066" t="s">
        <v>0</v>
      </c>
    </row>
    <row r="18067" spans="1:1" x14ac:dyDescent="0.3">
      <c r="A18067" t="s">
        <v>0</v>
      </c>
    </row>
    <row r="18068" spans="1:1" x14ac:dyDescent="0.3">
      <c r="A18068" t="s">
        <v>0</v>
      </c>
    </row>
    <row r="18069" spans="1:1" x14ac:dyDescent="0.3">
      <c r="A18069" t="s">
        <v>0</v>
      </c>
    </row>
    <row r="18070" spans="1:1" x14ac:dyDescent="0.3">
      <c r="A18070" t="s">
        <v>0</v>
      </c>
    </row>
    <row r="18071" spans="1:1" x14ac:dyDescent="0.3">
      <c r="A18071" t="s">
        <v>0</v>
      </c>
    </row>
    <row r="18072" spans="1:1" x14ac:dyDescent="0.3">
      <c r="A18072" t="s">
        <v>0</v>
      </c>
    </row>
    <row r="18073" spans="1:1" x14ac:dyDescent="0.3">
      <c r="A18073" t="s">
        <v>0</v>
      </c>
    </row>
    <row r="18074" spans="1:1" x14ac:dyDescent="0.3">
      <c r="A18074" t="s">
        <v>0</v>
      </c>
    </row>
    <row r="18075" spans="1:1" x14ac:dyDescent="0.3">
      <c r="A18075" t="s">
        <v>0</v>
      </c>
    </row>
    <row r="18076" spans="1:1" x14ac:dyDescent="0.3">
      <c r="A18076" t="s">
        <v>0</v>
      </c>
    </row>
    <row r="18077" spans="1:1" x14ac:dyDescent="0.3">
      <c r="A18077" t="s">
        <v>0</v>
      </c>
    </row>
    <row r="18078" spans="1:1" x14ac:dyDescent="0.3">
      <c r="A18078" t="s">
        <v>0</v>
      </c>
    </row>
    <row r="18079" spans="1:1" x14ac:dyDescent="0.3">
      <c r="A18079" t="s">
        <v>0</v>
      </c>
    </row>
    <row r="18080" spans="1:1" x14ac:dyDescent="0.3">
      <c r="A18080" t="s">
        <v>0</v>
      </c>
    </row>
    <row r="18081" spans="1:1" x14ac:dyDescent="0.3">
      <c r="A18081" t="s">
        <v>0</v>
      </c>
    </row>
    <row r="18082" spans="1:1" x14ac:dyDescent="0.3">
      <c r="A18082" t="s">
        <v>0</v>
      </c>
    </row>
    <row r="18083" spans="1:1" x14ac:dyDescent="0.3">
      <c r="A18083" t="s">
        <v>0</v>
      </c>
    </row>
    <row r="18084" spans="1:1" x14ac:dyDescent="0.3">
      <c r="A18084" t="s">
        <v>0</v>
      </c>
    </row>
    <row r="18085" spans="1:1" x14ac:dyDescent="0.3">
      <c r="A18085" t="s">
        <v>0</v>
      </c>
    </row>
    <row r="18086" spans="1:1" x14ac:dyDescent="0.3">
      <c r="A18086" t="s">
        <v>0</v>
      </c>
    </row>
    <row r="18087" spans="1:1" x14ac:dyDescent="0.3">
      <c r="A18087" t="s">
        <v>0</v>
      </c>
    </row>
    <row r="18088" spans="1:1" x14ac:dyDescent="0.3">
      <c r="A18088" t="s">
        <v>0</v>
      </c>
    </row>
    <row r="18089" spans="1:1" x14ac:dyDescent="0.3">
      <c r="A18089" t="s">
        <v>0</v>
      </c>
    </row>
    <row r="18090" spans="1:1" x14ac:dyDescent="0.3">
      <c r="A18090" t="s">
        <v>0</v>
      </c>
    </row>
    <row r="18091" spans="1:1" x14ac:dyDescent="0.3">
      <c r="A18091" t="s">
        <v>0</v>
      </c>
    </row>
    <row r="18092" spans="1:1" x14ac:dyDescent="0.3">
      <c r="A18092" t="s">
        <v>0</v>
      </c>
    </row>
    <row r="18093" spans="1:1" x14ac:dyDescent="0.3">
      <c r="A18093" t="s">
        <v>0</v>
      </c>
    </row>
    <row r="18094" spans="1:1" x14ac:dyDescent="0.3">
      <c r="A18094" t="s">
        <v>0</v>
      </c>
    </row>
    <row r="18095" spans="1:1" x14ac:dyDescent="0.3">
      <c r="A18095" t="s">
        <v>0</v>
      </c>
    </row>
    <row r="18096" spans="1:1" x14ac:dyDescent="0.3">
      <c r="A18096" t="s">
        <v>0</v>
      </c>
    </row>
    <row r="18097" spans="1:1" x14ac:dyDescent="0.3">
      <c r="A18097" t="s">
        <v>0</v>
      </c>
    </row>
    <row r="18098" spans="1:1" x14ac:dyDescent="0.3">
      <c r="A18098" t="s">
        <v>0</v>
      </c>
    </row>
    <row r="18099" spans="1:1" x14ac:dyDescent="0.3">
      <c r="A18099" t="s">
        <v>0</v>
      </c>
    </row>
    <row r="18100" spans="1:1" x14ac:dyDescent="0.3">
      <c r="A18100" t="s">
        <v>0</v>
      </c>
    </row>
    <row r="18101" spans="1:1" x14ac:dyDescent="0.3">
      <c r="A18101" t="s">
        <v>0</v>
      </c>
    </row>
    <row r="18102" spans="1:1" x14ac:dyDescent="0.3">
      <c r="A18102" t="s">
        <v>0</v>
      </c>
    </row>
    <row r="18103" spans="1:1" x14ac:dyDescent="0.3">
      <c r="A18103" t="s">
        <v>0</v>
      </c>
    </row>
    <row r="18104" spans="1:1" x14ac:dyDescent="0.3">
      <c r="A18104" t="s">
        <v>0</v>
      </c>
    </row>
    <row r="18105" spans="1:1" x14ac:dyDescent="0.3">
      <c r="A18105" t="s">
        <v>0</v>
      </c>
    </row>
    <row r="18106" spans="1:1" x14ac:dyDescent="0.3">
      <c r="A18106" t="s">
        <v>0</v>
      </c>
    </row>
    <row r="18107" spans="1:1" x14ac:dyDescent="0.3">
      <c r="A18107" t="s">
        <v>0</v>
      </c>
    </row>
    <row r="18108" spans="1:1" x14ac:dyDescent="0.3">
      <c r="A18108" t="s">
        <v>0</v>
      </c>
    </row>
    <row r="18109" spans="1:1" x14ac:dyDescent="0.3">
      <c r="A18109" t="s">
        <v>0</v>
      </c>
    </row>
    <row r="18110" spans="1:1" x14ac:dyDescent="0.3">
      <c r="A18110" t="s">
        <v>0</v>
      </c>
    </row>
    <row r="18111" spans="1:1" x14ac:dyDescent="0.3">
      <c r="A18111" t="s">
        <v>0</v>
      </c>
    </row>
    <row r="18112" spans="1:1" x14ac:dyDescent="0.3">
      <c r="A18112" t="s">
        <v>0</v>
      </c>
    </row>
    <row r="18113" spans="1:1" x14ac:dyDescent="0.3">
      <c r="A18113" t="s">
        <v>0</v>
      </c>
    </row>
    <row r="18114" spans="1:1" x14ac:dyDescent="0.3">
      <c r="A18114" t="s">
        <v>0</v>
      </c>
    </row>
    <row r="18115" spans="1:1" x14ac:dyDescent="0.3">
      <c r="A18115" t="s">
        <v>0</v>
      </c>
    </row>
    <row r="18116" spans="1:1" x14ac:dyDescent="0.3">
      <c r="A18116" t="s">
        <v>0</v>
      </c>
    </row>
    <row r="18117" spans="1:1" x14ac:dyDescent="0.3">
      <c r="A18117" t="s">
        <v>0</v>
      </c>
    </row>
    <row r="18118" spans="1:1" x14ac:dyDescent="0.3">
      <c r="A18118" t="s">
        <v>0</v>
      </c>
    </row>
    <row r="18119" spans="1:1" x14ac:dyDescent="0.3">
      <c r="A18119" t="s">
        <v>0</v>
      </c>
    </row>
    <row r="18120" spans="1:1" x14ac:dyDescent="0.3">
      <c r="A18120" t="s">
        <v>0</v>
      </c>
    </row>
    <row r="18121" spans="1:1" x14ac:dyDescent="0.3">
      <c r="A18121" t="s">
        <v>0</v>
      </c>
    </row>
    <row r="18122" spans="1:1" x14ac:dyDescent="0.3">
      <c r="A18122" t="s">
        <v>0</v>
      </c>
    </row>
    <row r="18123" spans="1:1" x14ac:dyDescent="0.3">
      <c r="A18123" t="s">
        <v>0</v>
      </c>
    </row>
    <row r="18124" spans="1:1" x14ac:dyDescent="0.3">
      <c r="A18124" t="s">
        <v>0</v>
      </c>
    </row>
    <row r="18125" spans="1:1" x14ac:dyDescent="0.3">
      <c r="A18125" t="s">
        <v>0</v>
      </c>
    </row>
    <row r="18126" spans="1:1" x14ac:dyDescent="0.3">
      <c r="A18126" t="s">
        <v>0</v>
      </c>
    </row>
    <row r="18127" spans="1:1" x14ac:dyDescent="0.3">
      <c r="A18127" t="s">
        <v>0</v>
      </c>
    </row>
    <row r="18128" spans="1:1" x14ac:dyDescent="0.3">
      <c r="A18128" t="s">
        <v>0</v>
      </c>
    </row>
    <row r="18129" spans="1:1" x14ac:dyDescent="0.3">
      <c r="A18129" t="s">
        <v>0</v>
      </c>
    </row>
    <row r="18130" spans="1:1" x14ac:dyDescent="0.3">
      <c r="A18130" t="s">
        <v>0</v>
      </c>
    </row>
    <row r="18131" spans="1:1" x14ac:dyDescent="0.3">
      <c r="A18131" t="s">
        <v>0</v>
      </c>
    </row>
    <row r="18132" spans="1:1" x14ac:dyDescent="0.3">
      <c r="A18132" t="s">
        <v>0</v>
      </c>
    </row>
    <row r="18133" spans="1:1" x14ac:dyDescent="0.3">
      <c r="A18133" t="s">
        <v>0</v>
      </c>
    </row>
    <row r="18134" spans="1:1" x14ac:dyDescent="0.3">
      <c r="A18134" t="s">
        <v>0</v>
      </c>
    </row>
    <row r="18135" spans="1:1" x14ac:dyDescent="0.3">
      <c r="A18135" t="s">
        <v>0</v>
      </c>
    </row>
    <row r="18136" spans="1:1" x14ac:dyDescent="0.3">
      <c r="A18136" t="s">
        <v>0</v>
      </c>
    </row>
    <row r="18137" spans="1:1" x14ac:dyDescent="0.3">
      <c r="A18137" t="s">
        <v>0</v>
      </c>
    </row>
    <row r="18138" spans="1:1" x14ac:dyDescent="0.3">
      <c r="A18138" t="s">
        <v>0</v>
      </c>
    </row>
    <row r="18139" spans="1:1" x14ac:dyDescent="0.3">
      <c r="A18139" t="s">
        <v>0</v>
      </c>
    </row>
    <row r="18140" spans="1:1" x14ac:dyDescent="0.3">
      <c r="A18140" t="s">
        <v>0</v>
      </c>
    </row>
    <row r="18141" spans="1:1" x14ac:dyDescent="0.3">
      <c r="A18141" t="s">
        <v>0</v>
      </c>
    </row>
    <row r="18142" spans="1:1" x14ac:dyDescent="0.3">
      <c r="A18142" t="s">
        <v>0</v>
      </c>
    </row>
    <row r="18143" spans="1:1" x14ac:dyDescent="0.3">
      <c r="A18143" t="s">
        <v>0</v>
      </c>
    </row>
    <row r="18144" spans="1:1" x14ac:dyDescent="0.3">
      <c r="A18144" t="s">
        <v>0</v>
      </c>
    </row>
    <row r="18145" spans="1:1" x14ac:dyDescent="0.3">
      <c r="A18145" t="s">
        <v>0</v>
      </c>
    </row>
    <row r="18146" spans="1:1" x14ac:dyDescent="0.3">
      <c r="A18146" t="s">
        <v>0</v>
      </c>
    </row>
    <row r="18147" spans="1:1" x14ac:dyDescent="0.3">
      <c r="A18147" t="s">
        <v>0</v>
      </c>
    </row>
    <row r="18148" spans="1:1" x14ac:dyDescent="0.3">
      <c r="A18148" t="s">
        <v>0</v>
      </c>
    </row>
    <row r="18149" spans="1:1" x14ac:dyDescent="0.3">
      <c r="A18149" t="s">
        <v>0</v>
      </c>
    </row>
    <row r="18150" spans="1:1" x14ac:dyDescent="0.3">
      <c r="A18150" t="s">
        <v>0</v>
      </c>
    </row>
    <row r="18151" spans="1:1" x14ac:dyDescent="0.3">
      <c r="A18151" t="s">
        <v>0</v>
      </c>
    </row>
    <row r="18152" spans="1:1" x14ac:dyDescent="0.3">
      <c r="A18152" t="s">
        <v>0</v>
      </c>
    </row>
    <row r="18153" spans="1:1" x14ac:dyDescent="0.3">
      <c r="A18153" t="s">
        <v>0</v>
      </c>
    </row>
    <row r="18154" spans="1:1" x14ac:dyDescent="0.3">
      <c r="A18154" t="s">
        <v>0</v>
      </c>
    </row>
    <row r="18155" spans="1:1" x14ac:dyDescent="0.3">
      <c r="A18155" t="s">
        <v>0</v>
      </c>
    </row>
    <row r="18156" spans="1:1" x14ac:dyDescent="0.3">
      <c r="A18156" t="s">
        <v>0</v>
      </c>
    </row>
    <row r="18157" spans="1:1" x14ac:dyDescent="0.3">
      <c r="A18157" t="s">
        <v>0</v>
      </c>
    </row>
    <row r="18158" spans="1:1" x14ac:dyDescent="0.3">
      <c r="A18158" t="s">
        <v>0</v>
      </c>
    </row>
    <row r="18159" spans="1:1" x14ac:dyDescent="0.3">
      <c r="A18159" t="s">
        <v>0</v>
      </c>
    </row>
    <row r="18160" spans="1:1" x14ac:dyDescent="0.3">
      <c r="A18160" t="s">
        <v>0</v>
      </c>
    </row>
    <row r="18161" spans="1:1" x14ac:dyDescent="0.3">
      <c r="A18161" t="s">
        <v>0</v>
      </c>
    </row>
    <row r="18162" spans="1:1" x14ac:dyDescent="0.3">
      <c r="A18162" t="s">
        <v>0</v>
      </c>
    </row>
    <row r="18163" spans="1:1" x14ac:dyDescent="0.3">
      <c r="A18163" t="s">
        <v>0</v>
      </c>
    </row>
    <row r="18164" spans="1:1" x14ac:dyDescent="0.3">
      <c r="A18164" t="s">
        <v>0</v>
      </c>
    </row>
    <row r="18165" spans="1:1" x14ac:dyDescent="0.3">
      <c r="A18165" t="s">
        <v>0</v>
      </c>
    </row>
    <row r="18166" spans="1:1" x14ac:dyDescent="0.3">
      <c r="A18166" t="s">
        <v>0</v>
      </c>
    </row>
    <row r="18167" spans="1:1" x14ac:dyDescent="0.3">
      <c r="A18167" t="s">
        <v>0</v>
      </c>
    </row>
    <row r="18168" spans="1:1" x14ac:dyDescent="0.3">
      <c r="A18168" t="s">
        <v>0</v>
      </c>
    </row>
    <row r="18169" spans="1:1" x14ac:dyDescent="0.3">
      <c r="A18169" t="s">
        <v>0</v>
      </c>
    </row>
    <row r="18170" spans="1:1" x14ac:dyDescent="0.3">
      <c r="A18170" t="s">
        <v>0</v>
      </c>
    </row>
    <row r="18171" spans="1:1" x14ac:dyDescent="0.3">
      <c r="A18171" t="s">
        <v>0</v>
      </c>
    </row>
    <row r="18172" spans="1:1" x14ac:dyDescent="0.3">
      <c r="A18172" t="s">
        <v>0</v>
      </c>
    </row>
    <row r="18173" spans="1:1" x14ac:dyDescent="0.3">
      <c r="A18173" t="s">
        <v>0</v>
      </c>
    </row>
    <row r="18174" spans="1:1" x14ac:dyDescent="0.3">
      <c r="A18174" t="s">
        <v>0</v>
      </c>
    </row>
    <row r="18175" spans="1:1" x14ac:dyDescent="0.3">
      <c r="A18175" t="s">
        <v>0</v>
      </c>
    </row>
    <row r="18176" spans="1:1" x14ac:dyDescent="0.3">
      <c r="A18176" t="s">
        <v>0</v>
      </c>
    </row>
    <row r="18177" spans="1:1" x14ac:dyDescent="0.3">
      <c r="A18177" t="s">
        <v>0</v>
      </c>
    </row>
    <row r="18178" spans="1:1" x14ac:dyDescent="0.3">
      <c r="A18178" t="s">
        <v>0</v>
      </c>
    </row>
    <row r="18179" spans="1:1" x14ac:dyDescent="0.3">
      <c r="A18179" t="s">
        <v>0</v>
      </c>
    </row>
    <row r="18180" spans="1:1" x14ac:dyDescent="0.3">
      <c r="A18180" t="s">
        <v>0</v>
      </c>
    </row>
    <row r="18181" spans="1:1" x14ac:dyDescent="0.3">
      <c r="A18181" t="s">
        <v>0</v>
      </c>
    </row>
    <row r="18182" spans="1:1" x14ac:dyDescent="0.3">
      <c r="A18182" t="s">
        <v>0</v>
      </c>
    </row>
    <row r="18183" spans="1:1" x14ac:dyDescent="0.3">
      <c r="A18183" t="s">
        <v>0</v>
      </c>
    </row>
    <row r="18184" spans="1:1" x14ac:dyDescent="0.3">
      <c r="A18184" t="s">
        <v>0</v>
      </c>
    </row>
    <row r="18185" spans="1:1" x14ac:dyDescent="0.3">
      <c r="A18185" t="s">
        <v>0</v>
      </c>
    </row>
    <row r="18186" spans="1:1" x14ac:dyDescent="0.3">
      <c r="A18186" t="s">
        <v>0</v>
      </c>
    </row>
    <row r="18187" spans="1:1" x14ac:dyDescent="0.3">
      <c r="A18187" t="s">
        <v>0</v>
      </c>
    </row>
    <row r="18188" spans="1:1" x14ac:dyDescent="0.3">
      <c r="A18188" t="s">
        <v>0</v>
      </c>
    </row>
    <row r="18189" spans="1:1" x14ac:dyDescent="0.3">
      <c r="A18189" t="s">
        <v>0</v>
      </c>
    </row>
    <row r="18190" spans="1:1" x14ac:dyDescent="0.3">
      <c r="A18190" t="s">
        <v>0</v>
      </c>
    </row>
    <row r="18191" spans="1:1" x14ac:dyDescent="0.3">
      <c r="A18191" t="s">
        <v>0</v>
      </c>
    </row>
    <row r="18192" spans="1:1" x14ac:dyDescent="0.3">
      <c r="A18192" t="s">
        <v>0</v>
      </c>
    </row>
    <row r="18193" spans="1:1" x14ac:dyDescent="0.3">
      <c r="A18193" t="s">
        <v>0</v>
      </c>
    </row>
    <row r="18194" spans="1:1" x14ac:dyDescent="0.3">
      <c r="A18194" t="s">
        <v>0</v>
      </c>
    </row>
    <row r="18195" spans="1:1" x14ac:dyDescent="0.3">
      <c r="A18195" t="s">
        <v>0</v>
      </c>
    </row>
    <row r="18196" spans="1:1" x14ac:dyDescent="0.3">
      <c r="A18196" t="s">
        <v>0</v>
      </c>
    </row>
    <row r="18197" spans="1:1" x14ac:dyDescent="0.3">
      <c r="A18197" t="s">
        <v>0</v>
      </c>
    </row>
    <row r="18198" spans="1:1" x14ac:dyDescent="0.3">
      <c r="A18198" t="s">
        <v>0</v>
      </c>
    </row>
    <row r="18199" spans="1:1" x14ac:dyDescent="0.3">
      <c r="A18199" t="s">
        <v>0</v>
      </c>
    </row>
    <row r="18200" spans="1:1" x14ac:dyDescent="0.3">
      <c r="A18200" t="s">
        <v>0</v>
      </c>
    </row>
    <row r="18201" spans="1:1" x14ac:dyDescent="0.3">
      <c r="A18201" t="s">
        <v>0</v>
      </c>
    </row>
    <row r="18202" spans="1:1" x14ac:dyDescent="0.3">
      <c r="A18202" t="s">
        <v>0</v>
      </c>
    </row>
    <row r="18203" spans="1:1" x14ac:dyDescent="0.3">
      <c r="A18203" t="s">
        <v>0</v>
      </c>
    </row>
    <row r="18204" spans="1:1" x14ac:dyDescent="0.3">
      <c r="A18204" t="s">
        <v>0</v>
      </c>
    </row>
    <row r="18205" spans="1:1" x14ac:dyDescent="0.3">
      <c r="A18205" t="s">
        <v>0</v>
      </c>
    </row>
    <row r="18206" spans="1:1" x14ac:dyDescent="0.3">
      <c r="A18206" t="s">
        <v>0</v>
      </c>
    </row>
    <row r="18207" spans="1:1" x14ac:dyDescent="0.3">
      <c r="A18207" t="s">
        <v>0</v>
      </c>
    </row>
    <row r="18208" spans="1:1" x14ac:dyDescent="0.3">
      <c r="A18208" t="s">
        <v>0</v>
      </c>
    </row>
    <row r="18209" spans="1:1" x14ac:dyDescent="0.3">
      <c r="A18209" t="s">
        <v>0</v>
      </c>
    </row>
    <row r="18210" spans="1:1" x14ac:dyDescent="0.3">
      <c r="A18210" t="s">
        <v>0</v>
      </c>
    </row>
    <row r="18211" spans="1:1" x14ac:dyDescent="0.3">
      <c r="A18211" t="s">
        <v>0</v>
      </c>
    </row>
    <row r="18212" spans="1:1" x14ac:dyDescent="0.3">
      <c r="A18212" t="s">
        <v>0</v>
      </c>
    </row>
    <row r="18213" spans="1:1" x14ac:dyDescent="0.3">
      <c r="A18213" t="s">
        <v>0</v>
      </c>
    </row>
    <row r="18214" spans="1:1" x14ac:dyDescent="0.3">
      <c r="A18214" t="s">
        <v>0</v>
      </c>
    </row>
    <row r="18215" spans="1:1" x14ac:dyDescent="0.3">
      <c r="A18215" t="s">
        <v>0</v>
      </c>
    </row>
    <row r="18216" spans="1:1" x14ac:dyDescent="0.3">
      <c r="A18216" t="s">
        <v>0</v>
      </c>
    </row>
    <row r="18217" spans="1:1" x14ac:dyDescent="0.3">
      <c r="A18217" t="s">
        <v>0</v>
      </c>
    </row>
    <row r="18218" spans="1:1" x14ac:dyDescent="0.3">
      <c r="A18218" t="s">
        <v>0</v>
      </c>
    </row>
    <row r="18219" spans="1:1" x14ac:dyDescent="0.3">
      <c r="A18219" t="s">
        <v>0</v>
      </c>
    </row>
    <row r="18220" spans="1:1" x14ac:dyDescent="0.3">
      <c r="A18220" t="s">
        <v>0</v>
      </c>
    </row>
    <row r="18221" spans="1:1" x14ac:dyDescent="0.3">
      <c r="A18221" t="s">
        <v>0</v>
      </c>
    </row>
    <row r="18222" spans="1:1" x14ac:dyDescent="0.3">
      <c r="A18222" t="s">
        <v>0</v>
      </c>
    </row>
    <row r="18223" spans="1:1" x14ac:dyDescent="0.3">
      <c r="A18223" t="s">
        <v>0</v>
      </c>
    </row>
    <row r="18224" spans="1:1" x14ac:dyDescent="0.3">
      <c r="A18224" t="s">
        <v>0</v>
      </c>
    </row>
    <row r="18225" spans="1:1" x14ac:dyDescent="0.3">
      <c r="A18225" t="s">
        <v>0</v>
      </c>
    </row>
    <row r="18226" spans="1:1" x14ac:dyDescent="0.3">
      <c r="A18226" t="s">
        <v>0</v>
      </c>
    </row>
    <row r="18227" spans="1:1" x14ac:dyDescent="0.3">
      <c r="A18227" t="s">
        <v>0</v>
      </c>
    </row>
    <row r="18228" spans="1:1" x14ac:dyDescent="0.3">
      <c r="A18228" t="s">
        <v>0</v>
      </c>
    </row>
    <row r="18229" spans="1:1" x14ac:dyDescent="0.3">
      <c r="A18229" t="s">
        <v>0</v>
      </c>
    </row>
    <row r="18230" spans="1:1" x14ac:dyDescent="0.3">
      <c r="A18230" t="s">
        <v>0</v>
      </c>
    </row>
    <row r="18231" spans="1:1" x14ac:dyDescent="0.3">
      <c r="A18231" t="s">
        <v>0</v>
      </c>
    </row>
    <row r="18232" spans="1:1" x14ac:dyDescent="0.3">
      <c r="A18232" t="s">
        <v>0</v>
      </c>
    </row>
    <row r="18233" spans="1:1" x14ac:dyDescent="0.3">
      <c r="A18233" t="s">
        <v>0</v>
      </c>
    </row>
    <row r="18234" spans="1:1" x14ac:dyDescent="0.3">
      <c r="A18234" t="s">
        <v>0</v>
      </c>
    </row>
    <row r="18235" spans="1:1" x14ac:dyDescent="0.3">
      <c r="A18235" t="s">
        <v>0</v>
      </c>
    </row>
    <row r="18236" spans="1:1" x14ac:dyDescent="0.3">
      <c r="A18236" t="s">
        <v>0</v>
      </c>
    </row>
    <row r="18237" spans="1:1" x14ac:dyDescent="0.3">
      <c r="A18237" t="s">
        <v>0</v>
      </c>
    </row>
    <row r="18238" spans="1:1" x14ac:dyDescent="0.3">
      <c r="A18238" t="s">
        <v>0</v>
      </c>
    </row>
    <row r="18239" spans="1:1" x14ac:dyDescent="0.3">
      <c r="A18239" t="s">
        <v>0</v>
      </c>
    </row>
    <row r="18240" spans="1:1" x14ac:dyDescent="0.3">
      <c r="A18240" t="s">
        <v>0</v>
      </c>
    </row>
    <row r="18241" spans="1:1" x14ac:dyDescent="0.3">
      <c r="A18241" t="s">
        <v>0</v>
      </c>
    </row>
    <row r="18242" spans="1:1" x14ac:dyDescent="0.3">
      <c r="A18242" t="s">
        <v>0</v>
      </c>
    </row>
    <row r="18243" spans="1:1" x14ac:dyDescent="0.3">
      <c r="A18243" t="s">
        <v>0</v>
      </c>
    </row>
    <row r="18244" spans="1:1" x14ac:dyDescent="0.3">
      <c r="A18244" t="s">
        <v>0</v>
      </c>
    </row>
    <row r="18245" spans="1:1" x14ac:dyDescent="0.3">
      <c r="A18245" t="s">
        <v>0</v>
      </c>
    </row>
    <row r="18246" spans="1:1" x14ac:dyDescent="0.3">
      <c r="A18246" t="s">
        <v>0</v>
      </c>
    </row>
    <row r="18247" spans="1:1" x14ac:dyDescent="0.3">
      <c r="A18247" t="s">
        <v>0</v>
      </c>
    </row>
    <row r="18248" spans="1:1" x14ac:dyDescent="0.3">
      <c r="A18248" t="s">
        <v>0</v>
      </c>
    </row>
    <row r="18249" spans="1:1" x14ac:dyDescent="0.3">
      <c r="A18249" t="s">
        <v>0</v>
      </c>
    </row>
    <row r="18250" spans="1:1" x14ac:dyDescent="0.3">
      <c r="A18250" t="s">
        <v>0</v>
      </c>
    </row>
    <row r="18251" spans="1:1" x14ac:dyDescent="0.3">
      <c r="A18251" t="s">
        <v>0</v>
      </c>
    </row>
    <row r="18252" spans="1:1" x14ac:dyDescent="0.3">
      <c r="A18252" t="s">
        <v>0</v>
      </c>
    </row>
    <row r="18253" spans="1:1" x14ac:dyDescent="0.3">
      <c r="A18253" t="s">
        <v>0</v>
      </c>
    </row>
    <row r="18254" spans="1:1" x14ac:dyDescent="0.3">
      <c r="A18254" t="s">
        <v>0</v>
      </c>
    </row>
    <row r="18255" spans="1:1" x14ac:dyDescent="0.3">
      <c r="A18255" t="s">
        <v>0</v>
      </c>
    </row>
    <row r="18256" spans="1:1" x14ac:dyDescent="0.3">
      <c r="A18256" t="s">
        <v>0</v>
      </c>
    </row>
    <row r="18257" spans="1:1" x14ac:dyDescent="0.3">
      <c r="A18257" t="s">
        <v>0</v>
      </c>
    </row>
    <row r="18258" spans="1:1" x14ac:dyDescent="0.3">
      <c r="A18258" t="s">
        <v>0</v>
      </c>
    </row>
    <row r="18259" spans="1:1" x14ac:dyDescent="0.3">
      <c r="A18259" t="s">
        <v>0</v>
      </c>
    </row>
    <row r="18260" spans="1:1" x14ac:dyDescent="0.3">
      <c r="A18260" t="s">
        <v>0</v>
      </c>
    </row>
    <row r="18261" spans="1:1" x14ac:dyDescent="0.3">
      <c r="A18261" t="s">
        <v>0</v>
      </c>
    </row>
    <row r="18262" spans="1:1" x14ac:dyDescent="0.3">
      <c r="A18262" t="s">
        <v>0</v>
      </c>
    </row>
    <row r="18263" spans="1:1" x14ac:dyDescent="0.3">
      <c r="A18263" t="s">
        <v>0</v>
      </c>
    </row>
    <row r="18264" spans="1:1" x14ac:dyDescent="0.3">
      <c r="A18264" t="s">
        <v>0</v>
      </c>
    </row>
    <row r="18265" spans="1:1" x14ac:dyDescent="0.3">
      <c r="A18265" t="s">
        <v>0</v>
      </c>
    </row>
    <row r="18266" spans="1:1" x14ac:dyDescent="0.3">
      <c r="A18266" t="s">
        <v>0</v>
      </c>
    </row>
    <row r="18267" spans="1:1" x14ac:dyDescent="0.3">
      <c r="A18267" t="s">
        <v>0</v>
      </c>
    </row>
    <row r="18268" spans="1:1" x14ac:dyDescent="0.3">
      <c r="A18268" t="s">
        <v>0</v>
      </c>
    </row>
    <row r="18269" spans="1:1" x14ac:dyDescent="0.3">
      <c r="A18269" t="s">
        <v>0</v>
      </c>
    </row>
    <row r="18270" spans="1:1" x14ac:dyDescent="0.3">
      <c r="A18270" t="s">
        <v>0</v>
      </c>
    </row>
    <row r="18271" spans="1:1" x14ac:dyDescent="0.3">
      <c r="A18271" t="s">
        <v>0</v>
      </c>
    </row>
    <row r="18272" spans="1:1" x14ac:dyDescent="0.3">
      <c r="A18272" t="s">
        <v>0</v>
      </c>
    </row>
    <row r="18273" spans="1:1" x14ac:dyDescent="0.3">
      <c r="A18273" t="s">
        <v>0</v>
      </c>
    </row>
    <row r="18274" spans="1:1" x14ac:dyDescent="0.3">
      <c r="A18274" t="s">
        <v>0</v>
      </c>
    </row>
    <row r="18275" spans="1:1" x14ac:dyDescent="0.3">
      <c r="A18275" t="s">
        <v>0</v>
      </c>
    </row>
    <row r="18276" spans="1:1" x14ac:dyDescent="0.3">
      <c r="A18276" t="s">
        <v>0</v>
      </c>
    </row>
    <row r="18277" spans="1:1" x14ac:dyDescent="0.3">
      <c r="A18277" t="s">
        <v>0</v>
      </c>
    </row>
    <row r="18278" spans="1:1" x14ac:dyDescent="0.3">
      <c r="A18278" t="s">
        <v>0</v>
      </c>
    </row>
    <row r="18279" spans="1:1" x14ac:dyDescent="0.3">
      <c r="A18279" t="s">
        <v>0</v>
      </c>
    </row>
    <row r="18280" spans="1:1" x14ac:dyDescent="0.3">
      <c r="A18280" t="s">
        <v>0</v>
      </c>
    </row>
    <row r="18281" spans="1:1" x14ac:dyDescent="0.3">
      <c r="A18281" t="s">
        <v>0</v>
      </c>
    </row>
    <row r="18282" spans="1:1" x14ac:dyDescent="0.3">
      <c r="A18282" t="s">
        <v>0</v>
      </c>
    </row>
    <row r="18283" spans="1:1" x14ac:dyDescent="0.3">
      <c r="A18283" t="s">
        <v>0</v>
      </c>
    </row>
    <row r="18284" spans="1:1" x14ac:dyDescent="0.3">
      <c r="A18284" t="s">
        <v>0</v>
      </c>
    </row>
    <row r="18285" spans="1:1" x14ac:dyDescent="0.3">
      <c r="A18285" t="s">
        <v>0</v>
      </c>
    </row>
    <row r="18286" spans="1:1" x14ac:dyDescent="0.3">
      <c r="A18286" t="s">
        <v>0</v>
      </c>
    </row>
    <row r="18287" spans="1:1" x14ac:dyDescent="0.3">
      <c r="A18287" t="s">
        <v>0</v>
      </c>
    </row>
    <row r="18288" spans="1:1" x14ac:dyDescent="0.3">
      <c r="A18288" t="s">
        <v>0</v>
      </c>
    </row>
    <row r="18289" spans="1:1" x14ac:dyDescent="0.3">
      <c r="A18289" t="s">
        <v>0</v>
      </c>
    </row>
    <row r="18290" spans="1:1" x14ac:dyDescent="0.3">
      <c r="A18290" t="s">
        <v>0</v>
      </c>
    </row>
    <row r="18291" spans="1:1" x14ac:dyDescent="0.3">
      <c r="A18291" t="s">
        <v>0</v>
      </c>
    </row>
    <row r="18292" spans="1:1" x14ac:dyDescent="0.3">
      <c r="A18292" t="s">
        <v>0</v>
      </c>
    </row>
    <row r="18293" spans="1:1" x14ac:dyDescent="0.3">
      <c r="A18293" t="s">
        <v>0</v>
      </c>
    </row>
    <row r="18294" spans="1:1" x14ac:dyDescent="0.3">
      <c r="A18294" t="s">
        <v>0</v>
      </c>
    </row>
    <row r="18295" spans="1:1" x14ac:dyDescent="0.3">
      <c r="A18295" t="s">
        <v>0</v>
      </c>
    </row>
    <row r="18296" spans="1:1" x14ac:dyDescent="0.3">
      <c r="A18296" t="s">
        <v>0</v>
      </c>
    </row>
    <row r="18297" spans="1:1" x14ac:dyDescent="0.3">
      <c r="A18297" t="s">
        <v>0</v>
      </c>
    </row>
    <row r="18298" spans="1:1" x14ac:dyDescent="0.3">
      <c r="A18298" t="s">
        <v>0</v>
      </c>
    </row>
    <row r="18299" spans="1:1" x14ac:dyDescent="0.3">
      <c r="A18299" t="s">
        <v>0</v>
      </c>
    </row>
    <row r="18300" spans="1:1" x14ac:dyDescent="0.3">
      <c r="A18300" t="s">
        <v>0</v>
      </c>
    </row>
    <row r="18301" spans="1:1" x14ac:dyDescent="0.3">
      <c r="A18301" t="s">
        <v>0</v>
      </c>
    </row>
    <row r="18302" spans="1:1" x14ac:dyDescent="0.3">
      <c r="A18302" t="s">
        <v>0</v>
      </c>
    </row>
    <row r="18303" spans="1:1" x14ac:dyDescent="0.3">
      <c r="A18303" t="s">
        <v>0</v>
      </c>
    </row>
    <row r="18304" spans="1:1" x14ac:dyDescent="0.3">
      <c r="A18304" t="s">
        <v>0</v>
      </c>
    </row>
    <row r="18305" spans="1:1" x14ac:dyDescent="0.3">
      <c r="A18305" t="s">
        <v>0</v>
      </c>
    </row>
    <row r="18306" spans="1:1" x14ac:dyDescent="0.3">
      <c r="A18306" t="s">
        <v>0</v>
      </c>
    </row>
    <row r="18307" spans="1:1" x14ac:dyDescent="0.3">
      <c r="A18307" t="s">
        <v>0</v>
      </c>
    </row>
    <row r="18308" spans="1:1" x14ac:dyDescent="0.3">
      <c r="A18308" t="s">
        <v>0</v>
      </c>
    </row>
    <row r="18309" spans="1:1" x14ac:dyDescent="0.3">
      <c r="A18309" t="s">
        <v>0</v>
      </c>
    </row>
    <row r="18310" spans="1:1" x14ac:dyDescent="0.3">
      <c r="A18310" t="s">
        <v>0</v>
      </c>
    </row>
    <row r="18311" spans="1:1" x14ac:dyDescent="0.3">
      <c r="A18311" t="s">
        <v>0</v>
      </c>
    </row>
    <row r="18312" spans="1:1" x14ac:dyDescent="0.3">
      <c r="A18312" t="s">
        <v>0</v>
      </c>
    </row>
    <row r="18313" spans="1:1" x14ac:dyDescent="0.3">
      <c r="A18313" t="s">
        <v>0</v>
      </c>
    </row>
    <row r="18314" spans="1:1" x14ac:dyDescent="0.3">
      <c r="A18314" t="s">
        <v>0</v>
      </c>
    </row>
    <row r="18315" spans="1:1" x14ac:dyDescent="0.3">
      <c r="A18315" t="s">
        <v>0</v>
      </c>
    </row>
    <row r="18316" spans="1:1" x14ac:dyDescent="0.3">
      <c r="A18316" t="s">
        <v>0</v>
      </c>
    </row>
    <row r="18317" spans="1:1" x14ac:dyDescent="0.3">
      <c r="A18317" t="s">
        <v>0</v>
      </c>
    </row>
    <row r="18318" spans="1:1" x14ac:dyDescent="0.3">
      <c r="A18318" t="s">
        <v>0</v>
      </c>
    </row>
    <row r="18319" spans="1:1" x14ac:dyDescent="0.3">
      <c r="A18319" t="s">
        <v>0</v>
      </c>
    </row>
    <row r="18320" spans="1:1" x14ac:dyDescent="0.3">
      <c r="A18320" t="s">
        <v>0</v>
      </c>
    </row>
    <row r="18321" spans="1:1" x14ac:dyDescent="0.3">
      <c r="A18321" t="s">
        <v>0</v>
      </c>
    </row>
    <row r="18322" spans="1:1" x14ac:dyDescent="0.3">
      <c r="A18322" t="s">
        <v>0</v>
      </c>
    </row>
    <row r="18323" spans="1:1" x14ac:dyDescent="0.3">
      <c r="A18323" t="s">
        <v>0</v>
      </c>
    </row>
    <row r="18324" spans="1:1" x14ac:dyDescent="0.3">
      <c r="A18324" t="s">
        <v>0</v>
      </c>
    </row>
    <row r="18325" spans="1:1" x14ac:dyDescent="0.3">
      <c r="A18325" t="s">
        <v>0</v>
      </c>
    </row>
    <row r="18326" spans="1:1" x14ac:dyDescent="0.3">
      <c r="A18326" t="s">
        <v>0</v>
      </c>
    </row>
    <row r="18327" spans="1:1" x14ac:dyDescent="0.3">
      <c r="A18327" t="s">
        <v>0</v>
      </c>
    </row>
    <row r="18328" spans="1:1" x14ac:dyDescent="0.3">
      <c r="A18328" t="s">
        <v>0</v>
      </c>
    </row>
    <row r="18329" spans="1:1" x14ac:dyDescent="0.3">
      <c r="A18329" t="s">
        <v>0</v>
      </c>
    </row>
    <row r="18330" spans="1:1" x14ac:dyDescent="0.3">
      <c r="A18330" t="s">
        <v>0</v>
      </c>
    </row>
    <row r="18331" spans="1:1" x14ac:dyDescent="0.3">
      <c r="A18331" t="s">
        <v>0</v>
      </c>
    </row>
    <row r="18332" spans="1:1" x14ac:dyDescent="0.3">
      <c r="A18332" t="s">
        <v>0</v>
      </c>
    </row>
    <row r="18333" spans="1:1" x14ac:dyDescent="0.3">
      <c r="A18333" t="s">
        <v>0</v>
      </c>
    </row>
    <row r="18334" spans="1:1" x14ac:dyDescent="0.3">
      <c r="A18334" t="s">
        <v>0</v>
      </c>
    </row>
    <row r="18335" spans="1:1" x14ac:dyDescent="0.3">
      <c r="A18335" t="s">
        <v>0</v>
      </c>
    </row>
    <row r="18336" spans="1:1" x14ac:dyDescent="0.3">
      <c r="A18336" t="s">
        <v>0</v>
      </c>
    </row>
    <row r="18337" spans="1:1" x14ac:dyDescent="0.3">
      <c r="A18337" t="s">
        <v>0</v>
      </c>
    </row>
    <row r="18338" spans="1:1" x14ac:dyDescent="0.3">
      <c r="A18338" t="s">
        <v>0</v>
      </c>
    </row>
    <row r="18339" spans="1:1" x14ac:dyDescent="0.3">
      <c r="A18339" t="s">
        <v>0</v>
      </c>
    </row>
    <row r="18340" spans="1:1" x14ac:dyDescent="0.3">
      <c r="A18340" t="s">
        <v>0</v>
      </c>
    </row>
    <row r="18341" spans="1:1" x14ac:dyDescent="0.3">
      <c r="A18341" t="s">
        <v>0</v>
      </c>
    </row>
    <row r="18342" spans="1:1" x14ac:dyDescent="0.3">
      <c r="A18342" t="s">
        <v>0</v>
      </c>
    </row>
    <row r="18343" spans="1:1" x14ac:dyDescent="0.3">
      <c r="A18343" t="s">
        <v>0</v>
      </c>
    </row>
    <row r="18344" spans="1:1" x14ac:dyDescent="0.3">
      <c r="A18344" t="s">
        <v>0</v>
      </c>
    </row>
    <row r="18345" spans="1:1" x14ac:dyDescent="0.3">
      <c r="A18345" t="s">
        <v>0</v>
      </c>
    </row>
    <row r="18346" spans="1:1" x14ac:dyDescent="0.3">
      <c r="A18346" t="s">
        <v>0</v>
      </c>
    </row>
    <row r="18347" spans="1:1" x14ac:dyDescent="0.3">
      <c r="A18347" t="s">
        <v>0</v>
      </c>
    </row>
    <row r="18348" spans="1:1" x14ac:dyDescent="0.3">
      <c r="A18348" t="s">
        <v>0</v>
      </c>
    </row>
    <row r="18349" spans="1:1" x14ac:dyDescent="0.3">
      <c r="A18349" t="s">
        <v>0</v>
      </c>
    </row>
    <row r="18350" spans="1:1" x14ac:dyDescent="0.3">
      <c r="A18350" t="s">
        <v>0</v>
      </c>
    </row>
    <row r="18351" spans="1:1" x14ac:dyDescent="0.3">
      <c r="A18351" t="s">
        <v>0</v>
      </c>
    </row>
    <row r="18352" spans="1:1" x14ac:dyDescent="0.3">
      <c r="A18352" t="s">
        <v>0</v>
      </c>
    </row>
    <row r="18353" spans="1:1" x14ac:dyDescent="0.3">
      <c r="A18353" t="s">
        <v>0</v>
      </c>
    </row>
    <row r="18354" spans="1:1" x14ac:dyDescent="0.3">
      <c r="A18354" t="s">
        <v>0</v>
      </c>
    </row>
    <row r="18355" spans="1:1" x14ac:dyDescent="0.3">
      <c r="A18355" t="s">
        <v>0</v>
      </c>
    </row>
    <row r="18356" spans="1:1" x14ac:dyDescent="0.3">
      <c r="A18356" t="s">
        <v>0</v>
      </c>
    </row>
    <row r="18357" spans="1:1" x14ac:dyDescent="0.3">
      <c r="A18357" t="s">
        <v>0</v>
      </c>
    </row>
    <row r="18358" spans="1:1" x14ac:dyDescent="0.3">
      <c r="A18358" t="s">
        <v>0</v>
      </c>
    </row>
    <row r="18359" spans="1:1" x14ac:dyDescent="0.3">
      <c r="A18359" t="s">
        <v>0</v>
      </c>
    </row>
    <row r="18360" spans="1:1" x14ac:dyDescent="0.3">
      <c r="A18360" t="s">
        <v>0</v>
      </c>
    </row>
    <row r="18361" spans="1:1" x14ac:dyDescent="0.3">
      <c r="A18361" t="s">
        <v>0</v>
      </c>
    </row>
    <row r="18362" spans="1:1" x14ac:dyDescent="0.3">
      <c r="A18362" t="s">
        <v>0</v>
      </c>
    </row>
    <row r="18363" spans="1:1" x14ac:dyDescent="0.3">
      <c r="A18363" t="s">
        <v>0</v>
      </c>
    </row>
    <row r="18364" spans="1:1" x14ac:dyDescent="0.3">
      <c r="A18364" t="s">
        <v>0</v>
      </c>
    </row>
    <row r="18365" spans="1:1" x14ac:dyDescent="0.3">
      <c r="A18365" t="s">
        <v>0</v>
      </c>
    </row>
    <row r="18366" spans="1:1" x14ac:dyDescent="0.3">
      <c r="A18366" t="s">
        <v>0</v>
      </c>
    </row>
    <row r="18367" spans="1:1" x14ac:dyDescent="0.3">
      <c r="A18367" t="s">
        <v>0</v>
      </c>
    </row>
    <row r="18368" spans="1:1" x14ac:dyDescent="0.3">
      <c r="A18368" t="s">
        <v>0</v>
      </c>
    </row>
    <row r="18369" spans="1:1" x14ac:dyDescent="0.3">
      <c r="A18369" t="s">
        <v>0</v>
      </c>
    </row>
    <row r="18370" spans="1:1" x14ac:dyDescent="0.3">
      <c r="A18370" t="s">
        <v>0</v>
      </c>
    </row>
    <row r="18371" spans="1:1" x14ac:dyDescent="0.3">
      <c r="A18371" t="s">
        <v>0</v>
      </c>
    </row>
    <row r="18372" spans="1:1" x14ac:dyDescent="0.3">
      <c r="A18372" t="s">
        <v>0</v>
      </c>
    </row>
    <row r="18373" spans="1:1" x14ac:dyDescent="0.3">
      <c r="A18373" t="s">
        <v>0</v>
      </c>
    </row>
    <row r="18374" spans="1:1" x14ac:dyDescent="0.3">
      <c r="A18374" t="s">
        <v>0</v>
      </c>
    </row>
    <row r="18375" spans="1:1" x14ac:dyDescent="0.3">
      <c r="A18375" t="s">
        <v>0</v>
      </c>
    </row>
    <row r="18376" spans="1:1" x14ac:dyDescent="0.3">
      <c r="A18376" t="s">
        <v>0</v>
      </c>
    </row>
    <row r="18377" spans="1:1" x14ac:dyDescent="0.3">
      <c r="A18377" t="s">
        <v>0</v>
      </c>
    </row>
    <row r="18378" spans="1:1" x14ac:dyDescent="0.3">
      <c r="A18378" t="s">
        <v>0</v>
      </c>
    </row>
    <row r="18379" spans="1:1" x14ac:dyDescent="0.3">
      <c r="A18379" t="s">
        <v>0</v>
      </c>
    </row>
    <row r="18380" spans="1:1" x14ac:dyDescent="0.3">
      <c r="A18380" t="s">
        <v>0</v>
      </c>
    </row>
    <row r="18381" spans="1:1" x14ac:dyDescent="0.3">
      <c r="A18381" t="s">
        <v>0</v>
      </c>
    </row>
    <row r="18382" spans="1:1" x14ac:dyDescent="0.3">
      <c r="A18382" t="s">
        <v>0</v>
      </c>
    </row>
    <row r="18383" spans="1:1" x14ac:dyDescent="0.3">
      <c r="A18383" t="s">
        <v>0</v>
      </c>
    </row>
    <row r="18384" spans="1:1" x14ac:dyDescent="0.3">
      <c r="A18384" t="s">
        <v>0</v>
      </c>
    </row>
    <row r="18385" spans="1:1" x14ac:dyDescent="0.3">
      <c r="A18385" t="s">
        <v>0</v>
      </c>
    </row>
    <row r="18386" spans="1:1" x14ac:dyDescent="0.3">
      <c r="A18386" t="s">
        <v>0</v>
      </c>
    </row>
    <row r="18387" spans="1:1" x14ac:dyDescent="0.3">
      <c r="A18387" t="s">
        <v>0</v>
      </c>
    </row>
    <row r="18388" spans="1:1" x14ac:dyDescent="0.3">
      <c r="A18388" t="s">
        <v>0</v>
      </c>
    </row>
    <row r="18389" spans="1:1" x14ac:dyDescent="0.3">
      <c r="A18389" t="s">
        <v>0</v>
      </c>
    </row>
    <row r="18390" spans="1:1" x14ac:dyDescent="0.3">
      <c r="A18390" t="s">
        <v>0</v>
      </c>
    </row>
    <row r="18391" spans="1:1" x14ac:dyDescent="0.3">
      <c r="A18391" t="s">
        <v>0</v>
      </c>
    </row>
    <row r="18392" spans="1:1" x14ac:dyDescent="0.3">
      <c r="A18392" t="s">
        <v>0</v>
      </c>
    </row>
    <row r="18393" spans="1:1" x14ac:dyDescent="0.3">
      <c r="A18393" t="s">
        <v>0</v>
      </c>
    </row>
    <row r="18394" spans="1:1" x14ac:dyDescent="0.3">
      <c r="A18394" t="s">
        <v>0</v>
      </c>
    </row>
    <row r="18395" spans="1:1" x14ac:dyDescent="0.3">
      <c r="A18395" t="s">
        <v>0</v>
      </c>
    </row>
    <row r="18396" spans="1:1" x14ac:dyDescent="0.3">
      <c r="A18396" t="s">
        <v>0</v>
      </c>
    </row>
    <row r="18397" spans="1:1" x14ac:dyDescent="0.3">
      <c r="A18397" t="s">
        <v>0</v>
      </c>
    </row>
    <row r="18398" spans="1:1" x14ac:dyDescent="0.3">
      <c r="A18398" t="s">
        <v>0</v>
      </c>
    </row>
    <row r="18399" spans="1:1" x14ac:dyDescent="0.3">
      <c r="A18399" t="s">
        <v>0</v>
      </c>
    </row>
    <row r="18400" spans="1:1" x14ac:dyDescent="0.3">
      <c r="A18400" t="s">
        <v>0</v>
      </c>
    </row>
    <row r="18401" spans="1:1" x14ac:dyDescent="0.3">
      <c r="A18401" t="s">
        <v>0</v>
      </c>
    </row>
    <row r="18402" spans="1:1" x14ac:dyDescent="0.3">
      <c r="A18402" t="s">
        <v>0</v>
      </c>
    </row>
    <row r="18403" spans="1:1" x14ac:dyDescent="0.3">
      <c r="A18403" t="s">
        <v>0</v>
      </c>
    </row>
    <row r="18404" spans="1:1" x14ac:dyDescent="0.3">
      <c r="A18404" t="s">
        <v>0</v>
      </c>
    </row>
    <row r="18405" spans="1:1" x14ac:dyDescent="0.3">
      <c r="A18405" t="s">
        <v>0</v>
      </c>
    </row>
    <row r="18406" spans="1:1" x14ac:dyDescent="0.3">
      <c r="A18406" t="s">
        <v>0</v>
      </c>
    </row>
    <row r="18407" spans="1:1" x14ac:dyDescent="0.3">
      <c r="A18407" t="s">
        <v>0</v>
      </c>
    </row>
    <row r="18408" spans="1:1" x14ac:dyDescent="0.3">
      <c r="A18408" t="s">
        <v>0</v>
      </c>
    </row>
    <row r="18409" spans="1:1" x14ac:dyDescent="0.3">
      <c r="A18409" t="s">
        <v>0</v>
      </c>
    </row>
    <row r="18410" spans="1:1" x14ac:dyDescent="0.3">
      <c r="A18410" t="s">
        <v>0</v>
      </c>
    </row>
    <row r="18411" spans="1:1" x14ac:dyDescent="0.3">
      <c r="A18411" t="s">
        <v>0</v>
      </c>
    </row>
    <row r="18412" spans="1:1" x14ac:dyDescent="0.3">
      <c r="A18412" t="s">
        <v>0</v>
      </c>
    </row>
    <row r="18413" spans="1:1" x14ac:dyDescent="0.3">
      <c r="A18413" t="s">
        <v>0</v>
      </c>
    </row>
    <row r="18414" spans="1:1" x14ac:dyDescent="0.3">
      <c r="A18414" t="s">
        <v>0</v>
      </c>
    </row>
    <row r="18415" spans="1:1" x14ac:dyDescent="0.3">
      <c r="A18415" t="s">
        <v>0</v>
      </c>
    </row>
    <row r="18416" spans="1:1" x14ac:dyDescent="0.3">
      <c r="A18416" t="s">
        <v>0</v>
      </c>
    </row>
    <row r="18417" spans="1:1" x14ac:dyDescent="0.3">
      <c r="A18417" t="s">
        <v>0</v>
      </c>
    </row>
    <row r="18418" spans="1:1" x14ac:dyDescent="0.3">
      <c r="A18418" t="s">
        <v>0</v>
      </c>
    </row>
    <row r="18419" spans="1:1" x14ac:dyDescent="0.3">
      <c r="A18419" t="s">
        <v>0</v>
      </c>
    </row>
    <row r="18420" spans="1:1" x14ac:dyDescent="0.3">
      <c r="A18420" t="s">
        <v>0</v>
      </c>
    </row>
    <row r="18421" spans="1:1" x14ac:dyDescent="0.3">
      <c r="A18421" t="s">
        <v>0</v>
      </c>
    </row>
    <row r="18422" spans="1:1" x14ac:dyDescent="0.3">
      <c r="A18422" t="s">
        <v>0</v>
      </c>
    </row>
    <row r="18423" spans="1:1" x14ac:dyDescent="0.3">
      <c r="A18423" t="s">
        <v>0</v>
      </c>
    </row>
    <row r="18424" spans="1:1" x14ac:dyDescent="0.3">
      <c r="A18424" t="s">
        <v>0</v>
      </c>
    </row>
    <row r="18425" spans="1:1" x14ac:dyDescent="0.3">
      <c r="A18425" t="s">
        <v>0</v>
      </c>
    </row>
    <row r="18426" spans="1:1" x14ac:dyDescent="0.3">
      <c r="A18426" t="s">
        <v>0</v>
      </c>
    </row>
    <row r="18427" spans="1:1" x14ac:dyDescent="0.3">
      <c r="A18427" t="s">
        <v>0</v>
      </c>
    </row>
    <row r="18428" spans="1:1" x14ac:dyDescent="0.3">
      <c r="A18428" t="s">
        <v>0</v>
      </c>
    </row>
    <row r="18429" spans="1:1" x14ac:dyDescent="0.3">
      <c r="A18429" t="s">
        <v>0</v>
      </c>
    </row>
    <row r="18430" spans="1:1" x14ac:dyDescent="0.3">
      <c r="A18430" t="s">
        <v>0</v>
      </c>
    </row>
    <row r="18431" spans="1:1" x14ac:dyDescent="0.3">
      <c r="A18431" t="s">
        <v>0</v>
      </c>
    </row>
    <row r="18432" spans="1:1" x14ac:dyDescent="0.3">
      <c r="A18432" t="s">
        <v>0</v>
      </c>
    </row>
    <row r="18433" spans="1:1" x14ac:dyDescent="0.3">
      <c r="A18433" t="s">
        <v>0</v>
      </c>
    </row>
    <row r="18434" spans="1:1" x14ac:dyDescent="0.3">
      <c r="A18434" t="s">
        <v>0</v>
      </c>
    </row>
    <row r="18435" spans="1:1" x14ac:dyDescent="0.3">
      <c r="A18435" t="s">
        <v>0</v>
      </c>
    </row>
    <row r="18436" spans="1:1" x14ac:dyDescent="0.3">
      <c r="A18436" t="s">
        <v>0</v>
      </c>
    </row>
    <row r="18437" spans="1:1" x14ac:dyDescent="0.3">
      <c r="A18437" t="s">
        <v>0</v>
      </c>
    </row>
    <row r="18438" spans="1:1" x14ac:dyDescent="0.3">
      <c r="A18438" t="s">
        <v>0</v>
      </c>
    </row>
    <row r="18439" spans="1:1" x14ac:dyDescent="0.3">
      <c r="A18439" t="s">
        <v>0</v>
      </c>
    </row>
    <row r="18440" spans="1:1" x14ac:dyDescent="0.3">
      <c r="A18440" t="s">
        <v>0</v>
      </c>
    </row>
    <row r="18441" spans="1:1" x14ac:dyDescent="0.3">
      <c r="A18441" t="s">
        <v>0</v>
      </c>
    </row>
    <row r="18442" spans="1:1" x14ac:dyDescent="0.3">
      <c r="A18442" t="s">
        <v>0</v>
      </c>
    </row>
    <row r="18443" spans="1:1" x14ac:dyDescent="0.3">
      <c r="A18443" t="s">
        <v>0</v>
      </c>
    </row>
    <row r="18444" spans="1:1" x14ac:dyDescent="0.3">
      <c r="A18444" t="s">
        <v>0</v>
      </c>
    </row>
    <row r="18445" spans="1:1" x14ac:dyDescent="0.3">
      <c r="A18445" t="s">
        <v>0</v>
      </c>
    </row>
    <row r="18446" spans="1:1" x14ac:dyDescent="0.3">
      <c r="A18446" t="s">
        <v>0</v>
      </c>
    </row>
    <row r="18447" spans="1:1" x14ac:dyDescent="0.3">
      <c r="A18447" t="s">
        <v>0</v>
      </c>
    </row>
    <row r="18448" spans="1:1" x14ac:dyDescent="0.3">
      <c r="A18448" t="s">
        <v>0</v>
      </c>
    </row>
    <row r="18449" spans="1:1" x14ac:dyDescent="0.3">
      <c r="A18449" t="s">
        <v>0</v>
      </c>
    </row>
    <row r="18450" spans="1:1" x14ac:dyDescent="0.3">
      <c r="A18450" t="s">
        <v>0</v>
      </c>
    </row>
    <row r="18451" spans="1:1" x14ac:dyDescent="0.3">
      <c r="A18451" t="s">
        <v>0</v>
      </c>
    </row>
    <row r="18452" spans="1:1" x14ac:dyDescent="0.3">
      <c r="A18452" t="s">
        <v>0</v>
      </c>
    </row>
    <row r="18453" spans="1:1" x14ac:dyDescent="0.3">
      <c r="A18453" t="s">
        <v>0</v>
      </c>
    </row>
    <row r="18454" spans="1:1" x14ac:dyDescent="0.3">
      <c r="A18454" t="s">
        <v>0</v>
      </c>
    </row>
    <row r="18455" spans="1:1" x14ac:dyDescent="0.3">
      <c r="A18455" t="s">
        <v>0</v>
      </c>
    </row>
    <row r="18456" spans="1:1" x14ac:dyDescent="0.3">
      <c r="A18456" t="s">
        <v>0</v>
      </c>
    </row>
    <row r="18457" spans="1:1" x14ac:dyDescent="0.3">
      <c r="A18457" t="s">
        <v>0</v>
      </c>
    </row>
    <row r="18458" spans="1:1" x14ac:dyDescent="0.3">
      <c r="A18458" t="s">
        <v>0</v>
      </c>
    </row>
    <row r="18459" spans="1:1" x14ac:dyDescent="0.3">
      <c r="A18459" t="s">
        <v>0</v>
      </c>
    </row>
    <row r="18460" spans="1:1" x14ac:dyDescent="0.3">
      <c r="A18460" t="s">
        <v>0</v>
      </c>
    </row>
    <row r="18461" spans="1:1" x14ac:dyDescent="0.3">
      <c r="A18461" t="s">
        <v>0</v>
      </c>
    </row>
    <row r="18462" spans="1:1" x14ac:dyDescent="0.3">
      <c r="A18462" t="s">
        <v>0</v>
      </c>
    </row>
    <row r="18463" spans="1:1" x14ac:dyDescent="0.3">
      <c r="A18463" t="s">
        <v>0</v>
      </c>
    </row>
    <row r="18464" spans="1:1" x14ac:dyDescent="0.3">
      <c r="A18464" t="s">
        <v>0</v>
      </c>
    </row>
    <row r="18465" spans="1:1" x14ac:dyDescent="0.3">
      <c r="A18465" t="s">
        <v>0</v>
      </c>
    </row>
    <row r="18466" spans="1:1" x14ac:dyDescent="0.3">
      <c r="A18466" t="s">
        <v>0</v>
      </c>
    </row>
    <row r="18467" spans="1:1" x14ac:dyDescent="0.3">
      <c r="A18467" t="s">
        <v>0</v>
      </c>
    </row>
    <row r="18468" spans="1:1" x14ac:dyDescent="0.3">
      <c r="A18468" t="s">
        <v>0</v>
      </c>
    </row>
    <row r="18469" spans="1:1" x14ac:dyDescent="0.3">
      <c r="A18469" t="s">
        <v>0</v>
      </c>
    </row>
    <row r="18470" spans="1:1" x14ac:dyDescent="0.3">
      <c r="A18470" t="s">
        <v>0</v>
      </c>
    </row>
    <row r="18471" spans="1:1" x14ac:dyDescent="0.3">
      <c r="A18471" t="s">
        <v>0</v>
      </c>
    </row>
    <row r="18472" spans="1:1" x14ac:dyDescent="0.3">
      <c r="A18472" t="s">
        <v>0</v>
      </c>
    </row>
    <row r="18473" spans="1:1" x14ac:dyDescent="0.3">
      <c r="A18473" t="s">
        <v>0</v>
      </c>
    </row>
    <row r="18474" spans="1:1" x14ac:dyDescent="0.3">
      <c r="A18474" t="s">
        <v>0</v>
      </c>
    </row>
    <row r="18475" spans="1:1" x14ac:dyDescent="0.3">
      <c r="A18475" t="s">
        <v>0</v>
      </c>
    </row>
    <row r="18476" spans="1:1" x14ac:dyDescent="0.3">
      <c r="A18476" t="s">
        <v>0</v>
      </c>
    </row>
    <row r="18477" spans="1:1" x14ac:dyDescent="0.3">
      <c r="A18477" t="s">
        <v>0</v>
      </c>
    </row>
    <row r="18478" spans="1:1" x14ac:dyDescent="0.3">
      <c r="A18478" t="s">
        <v>0</v>
      </c>
    </row>
    <row r="18479" spans="1:1" x14ac:dyDescent="0.3">
      <c r="A18479" t="s">
        <v>0</v>
      </c>
    </row>
    <row r="18480" spans="1:1" x14ac:dyDescent="0.3">
      <c r="A18480" t="s">
        <v>0</v>
      </c>
    </row>
    <row r="18481" spans="1:1" x14ac:dyDescent="0.3">
      <c r="A18481" t="s">
        <v>0</v>
      </c>
    </row>
    <row r="18482" spans="1:1" x14ac:dyDescent="0.3">
      <c r="A18482" t="s">
        <v>0</v>
      </c>
    </row>
    <row r="18483" spans="1:1" x14ac:dyDescent="0.3">
      <c r="A18483" t="s">
        <v>0</v>
      </c>
    </row>
    <row r="18484" spans="1:1" x14ac:dyDescent="0.3">
      <c r="A18484" t="s">
        <v>0</v>
      </c>
    </row>
    <row r="18485" spans="1:1" x14ac:dyDescent="0.3">
      <c r="A18485" t="s">
        <v>0</v>
      </c>
    </row>
    <row r="18486" spans="1:1" x14ac:dyDescent="0.3">
      <c r="A18486" t="s">
        <v>0</v>
      </c>
    </row>
    <row r="18487" spans="1:1" x14ac:dyDescent="0.3">
      <c r="A18487" t="s">
        <v>0</v>
      </c>
    </row>
    <row r="18488" spans="1:1" x14ac:dyDescent="0.3">
      <c r="A18488" t="s">
        <v>0</v>
      </c>
    </row>
    <row r="18489" spans="1:1" x14ac:dyDescent="0.3">
      <c r="A18489" t="s">
        <v>0</v>
      </c>
    </row>
    <row r="18490" spans="1:1" x14ac:dyDescent="0.3">
      <c r="A18490" t="s">
        <v>0</v>
      </c>
    </row>
    <row r="18491" spans="1:1" x14ac:dyDescent="0.3">
      <c r="A18491" t="s">
        <v>0</v>
      </c>
    </row>
    <row r="18492" spans="1:1" x14ac:dyDescent="0.3">
      <c r="A18492" t="s">
        <v>0</v>
      </c>
    </row>
    <row r="18493" spans="1:1" x14ac:dyDescent="0.3">
      <c r="A18493" t="s">
        <v>0</v>
      </c>
    </row>
    <row r="18494" spans="1:1" x14ac:dyDescent="0.3">
      <c r="A18494" t="s">
        <v>0</v>
      </c>
    </row>
    <row r="18495" spans="1:1" x14ac:dyDescent="0.3">
      <c r="A18495" t="s">
        <v>0</v>
      </c>
    </row>
    <row r="18496" spans="1:1" x14ac:dyDescent="0.3">
      <c r="A18496" t="s">
        <v>0</v>
      </c>
    </row>
    <row r="18497" spans="1:1" x14ac:dyDescent="0.3">
      <c r="A18497" t="s">
        <v>0</v>
      </c>
    </row>
    <row r="18498" spans="1:1" x14ac:dyDescent="0.3">
      <c r="A18498" t="s">
        <v>0</v>
      </c>
    </row>
    <row r="18499" spans="1:1" x14ac:dyDescent="0.3">
      <c r="A18499" t="s">
        <v>0</v>
      </c>
    </row>
    <row r="18500" spans="1:1" x14ac:dyDescent="0.3">
      <c r="A18500" t="s">
        <v>0</v>
      </c>
    </row>
    <row r="18501" spans="1:1" x14ac:dyDescent="0.3">
      <c r="A18501" t="s">
        <v>0</v>
      </c>
    </row>
    <row r="18502" spans="1:1" x14ac:dyDescent="0.3">
      <c r="A18502" t="s">
        <v>0</v>
      </c>
    </row>
    <row r="18503" spans="1:1" x14ac:dyDescent="0.3">
      <c r="A18503" t="s">
        <v>0</v>
      </c>
    </row>
    <row r="18504" spans="1:1" x14ac:dyDescent="0.3">
      <c r="A18504" t="s">
        <v>0</v>
      </c>
    </row>
    <row r="18505" spans="1:1" x14ac:dyDescent="0.3">
      <c r="A18505" t="s">
        <v>0</v>
      </c>
    </row>
    <row r="18506" spans="1:1" x14ac:dyDescent="0.3">
      <c r="A18506" t="s">
        <v>0</v>
      </c>
    </row>
    <row r="18507" spans="1:1" x14ac:dyDescent="0.3">
      <c r="A18507" t="s">
        <v>0</v>
      </c>
    </row>
    <row r="18508" spans="1:1" x14ac:dyDescent="0.3">
      <c r="A18508" t="s">
        <v>0</v>
      </c>
    </row>
    <row r="18509" spans="1:1" x14ac:dyDescent="0.3">
      <c r="A18509" t="s">
        <v>0</v>
      </c>
    </row>
    <row r="18510" spans="1:1" x14ac:dyDescent="0.3">
      <c r="A18510" t="s">
        <v>0</v>
      </c>
    </row>
    <row r="18511" spans="1:1" x14ac:dyDescent="0.3">
      <c r="A18511" t="s">
        <v>0</v>
      </c>
    </row>
    <row r="18512" spans="1:1" x14ac:dyDescent="0.3">
      <c r="A18512" t="s">
        <v>0</v>
      </c>
    </row>
    <row r="18513" spans="1:1" x14ac:dyDescent="0.3">
      <c r="A18513" t="s">
        <v>0</v>
      </c>
    </row>
    <row r="18514" spans="1:1" x14ac:dyDescent="0.3">
      <c r="A18514" t="s">
        <v>0</v>
      </c>
    </row>
    <row r="18515" spans="1:1" x14ac:dyDescent="0.3">
      <c r="A18515" t="s">
        <v>0</v>
      </c>
    </row>
    <row r="18516" spans="1:1" x14ac:dyDescent="0.3">
      <c r="A18516" t="s">
        <v>0</v>
      </c>
    </row>
    <row r="18517" spans="1:1" x14ac:dyDescent="0.3">
      <c r="A18517" t="s">
        <v>0</v>
      </c>
    </row>
    <row r="18518" spans="1:1" x14ac:dyDescent="0.3">
      <c r="A18518" t="s">
        <v>0</v>
      </c>
    </row>
    <row r="18519" spans="1:1" x14ac:dyDescent="0.3">
      <c r="A18519" t="s">
        <v>0</v>
      </c>
    </row>
    <row r="18520" spans="1:1" x14ac:dyDescent="0.3">
      <c r="A18520" t="s">
        <v>0</v>
      </c>
    </row>
    <row r="18521" spans="1:1" x14ac:dyDescent="0.3">
      <c r="A18521" t="s">
        <v>0</v>
      </c>
    </row>
    <row r="18522" spans="1:1" x14ac:dyDescent="0.3">
      <c r="A18522" t="s">
        <v>0</v>
      </c>
    </row>
    <row r="18523" spans="1:1" x14ac:dyDescent="0.3">
      <c r="A18523" t="s">
        <v>0</v>
      </c>
    </row>
    <row r="18524" spans="1:1" x14ac:dyDescent="0.3">
      <c r="A18524" t="s">
        <v>0</v>
      </c>
    </row>
    <row r="18525" spans="1:1" x14ac:dyDescent="0.3">
      <c r="A18525" t="s">
        <v>0</v>
      </c>
    </row>
    <row r="18526" spans="1:1" x14ac:dyDescent="0.3">
      <c r="A18526" t="s">
        <v>0</v>
      </c>
    </row>
    <row r="18527" spans="1:1" x14ac:dyDescent="0.3">
      <c r="A18527" t="s">
        <v>0</v>
      </c>
    </row>
    <row r="18528" spans="1:1" x14ac:dyDescent="0.3">
      <c r="A18528" t="s">
        <v>0</v>
      </c>
    </row>
    <row r="18529" spans="1:1" x14ac:dyDescent="0.3">
      <c r="A18529" t="s">
        <v>0</v>
      </c>
    </row>
    <row r="18530" spans="1:1" x14ac:dyDescent="0.3">
      <c r="A18530" t="s">
        <v>0</v>
      </c>
    </row>
    <row r="18531" spans="1:1" x14ac:dyDescent="0.3">
      <c r="A18531" t="s">
        <v>0</v>
      </c>
    </row>
    <row r="18532" spans="1:1" x14ac:dyDescent="0.3">
      <c r="A18532" t="s">
        <v>0</v>
      </c>
    </row>
    <row r="18533" spans="1:1" x14ac:dyDescent="0.3">
      <c r="A18533" t="s">
        <v>0</v>
      </c>
    </row>
    <row r="18534" spans="1:1" x14ac:dyDescent="0.3">
      <c r="A18534" t="s">
        <v>0</v>
      </c>
    </row>
    <row r="18535" spans="1:1" x14ac:dyDescent="0.3">
      <c r="A18535" t="s">
        <v>0</v>
      </c>
    </row>
    <row r="18536" spans="1:1" x14ac:dyDescent="0.3">
      <c r="A18536" t="s">
        <v>0</v>
      </c>
    </row>
    <row r="18537" spans="1:1" x14ac:dyDescent="0.3">
      <c r="A18537" t="s">
        <v>0</v>
      </c>
    </row>
    <row r="18538" spans="1:1" x14ac:dyDescent="0.3">
      <c r="A18538" t="s">
        <v>0</v>
      </c>
    </row>
    <row r="18539" spans="1:1" x14ac:dyDescent="0.3">
      <c r="A18539" t="s">
        <v>0</v>
      </c>
    </row>
    <row r="18540" spans="1:1" x14ac:dyDescent="0.3">
      <c r="A18540" t="s">
        <v>0</v>
      </c>
    </row>
    <row r="18541" spans="1:1" x14ac:dyDescent="0.3">
      <c r="A18541" t="s">
        <v>0</v>
      </c>
    </row>
    <row r="18542" spans="1:1" x14ac:dyDescent="0.3">
      <c r="A18542" t="s">
        <v>0</v>
      </c>
    </row>
    <row r="18543" spans="1:1" x14ac:dyDescent="0.3">
      <c r="A18543" t="s">
        <v>0</v>
      </c>
    </row>
    <row r="18544" spans="1:1" x14ac:dyDescent="0.3">
      <c r="A18544" t="s">
        <v>0</v>
      </c>
    </row>
    <row r="18545" spans="1:1" x14ac:dyDescent="0.3">
      <c r="A18545" t="s">
        <v>0</v>
      </c>
    </row>
    <row r="18546" spans="1:1" x14ac:dyDescent="0.3">
      <c r="A18546" t="s">
        <v>0</v>
      </c>
    </row>
    <row r="18547" spans="1:1" x14ac:dyDescent="0.3">
      <c r="A18547" t="s">
        <v>0</v>
      </c>
    </row>
    <row r="18548" spans="1:1" x14ac:dyDescent="0.3">
      <c r="A18548" t="s">
        <v>0</v>
      </c>
    </row>
    <row r="18549" spans="1:1" x14ac:dyDescent="0.3">
      <c r="A18549" t="s">
        <v>0</v>
      </c>
    </row>
    <row r="18550" spans="1:1" x14ac:dyDescent="0.3">
      <c r="A18550" t="s">
        <v>0</v>
      </c>
    </row>
    <row r="18551" spans="1:1" x14ac:dyDescent="0.3">
      <c r="A18551" t="s">
        <v>0</v>
      </c>
    </row>
    <row r="18552" spans="1:1" x14ac:dyDescent="0.3">
      <c r="A18552" t="s">
        <v>0</v>
      </c>
    </row>
    <row r="18553" spans="1:1" x14ac:dyDescent="0.3">
      <c r="A18553" t="s">
        <v>0</v>
      </c>
    </row>
    <row r="18554" spans="1:1" x14ac:dyDescent="0.3">
      <c r="A18554" t="s">
        <v>0</v>
      </c>
    </row>
    <row r="18555" spans="1:1" x14ac:dyDescent="0.3">
      <c r="A18555" t="s">
        <v>0</v>
      </c>
    </row>
    <row r="18556" spans="1:1" x14ac:dyDescent="0.3">
      <c r="A18556" t="s">
        <v>0</v>
      </c>
    </row>
    <row r="18557" spans="1:1" x14ac:dyDescent="0.3">
      <c r="A18557" t="s">
        <v>0</v>
      </c>
    </row>
    <row r="18558" spans="1:1" x14ac:dyDescent="0.3">
      <c r="A18558" t="s">
        <v>0</v>
      </c>
    </row>
    <row r="18559" spans="1:1" x14ac:dyDescent="0.3">
      <c r="A18559" t="s">
        <v>0</v>
      </c>
    </row>
    <row r="18560" spans="1:1" x14ac:dyDescent="0.3">
      <c r="A18560" t="s">
        <v>0</v>
      </c>
    </row>
    <row r="18561" spans="1:1" x14ac:dyDescent="0.3">
      <c r="A18561" t="s">
        <v>0</v>
      </c>
    </row>
    <row r="18562" spans="1:1" x14ac:dyDescent="0.3">
      <c r="A18562" t="s">
        <v>0</v>
      </c>
    </row>
    <row r="18563" spans="1:1" x14ac:dyDescent="0.3">
      <c r="A18563" t="s">
        <v>0</v>
      </c>
    </row>
    <row r="18564" spans="1:1" x14ac:dyDescent="0.3">
      <c r="A18564" t="s">
        <v>0</v>
      </c>
    </row>
    <row r="18565" spans="1:1" x14ac:dyDescent="0.3">
      <c r="A18565" t="s">
        <v>0</v>
      </c>
    </row>
    <row r="18566" spans="1:1" x14ac:dyDescent="0.3">
      <c r="A18566" t="s">
        <v>0</v>
      </c>
    </row>
    <row r="18567" spans="1:1" x14ac:dyDescent="0.3">
      <c r="A18567" t="s">
        <v>0</v>
      </c>
    </row>
    <row r="18568" spans="1:1" x14ac:dyDescent="0.3">
      <c r="A18568" t="s">
        <v>0</v>
      </c>
    </row>
    <row r="18569" spans="1:1" x14ac:dyDescent="0.3">
      <c r="A18569" t="s">
        <v>0</v>
      </c>
    </row>
    <row r="18570" spans="1:1" x14ac:dyDescent="0.3">
      <c r="A18570" t="s">
        <v>0</v>
      </c>
    </row>
    <row r="18571" spans="1:1" x14ac:dyDescent="0.3">
      <c r="A18571" t="s">
        <v>0</v>
      </c>
    </row>
    <row r="18572" spans="1:1" x14ac:dyDescent="0.3">
      <c r="A18572" t="s">
        <v>0</v>
      </c>
    </row>
    <row r="18573" spans="1:1" x14ac:dyDescent="0.3">
      <c r="A18573" t="s">
        <v>0</v>
      </c>
    </row>
    <row r="18574" spans="1:1" x14ac:dyDescent="0.3">
      <c r="A18574" t="s">
        <v>0</v>
      </c>
    </row>
    <row r="18575" spans="1:1" x14ac:dyDescent="0.3">
      <c r="A18575" t="s">
        <v>0</v>
      </c>
    </row>
    <row r="18576" spans="1:1" x14ac:dyDescent="0.3">
      <c r="A18576" t="s">
        <v>0</v>
      </c>
    </row>
    <row r="18577" spans="1:1" x14ac:dyDescent="0.3">
      <c r="A18577" t="s">
        <v>0</v>
      </c>
    </row>
    <row r="18578" spans="1:1" x14ac:dyDescent="0.3">
      <c r="A18578" t="s">
        <v>0</v>
      </c>
    </row>
    <row r="18579" spans="1:1" x14ac:dyDescent="0.3">
      <c r="A18579" t="s">
        <v>0</v>
      </c>
    </row>
    <row r="18580" spans="1:1" x14ac:dyDescent="0.3">
      <c r="A18580" t="s">
        <v>0</v>
      </c>
    </row>
    <row r="18581" spans="1:1" x14ac:dyDescent="0.3">
      <c r="A18581" t="s">
        <v>0</v>
      </c>
    </row>
    <row r="18582" spans="1:1" x14ac:dyDescent="0.3">
      <c r="A18582" t="s">
        <v>0</v>
      </c>
    </row>
    <row r="18583" spans="1:1" x14ac:dyDescent="0.3">
      <c r="A18583" t="s">
        <v>0</v>
      </c>
    </row>
    <row r="18584" spans="1:1" x14ac:dyDescent="0.3">
      <c r="A18584" t="s">
        <v>0</v>
      </c>
    </row>
    <row r="18585" spans="1:1" x14ac:dyDescent="0.3">
      <c r="A18585" t="s">
        <v>0</v>
      </c>
    </row>
    <row r="18586" spans="1:1" x14ac:dyDescent="0.3">
      <c r="A18586" t="s">
        <v>0</v>
      </c>
    </row>
    <row r="18587" spans="1:1" x14ac:dyDescent="0.3">
      <c r="A18587" t="s">
        <v>0</v>
      </c>
    </row>
    <row r="18588" spans="1:1" x14ac:dyDescent="0.3">
      <c r="A18588" t="s">
        <v>0</v>
      </c>
    </row>
    <row r="18589" spans="1:1" x14ac:dyDescent="0.3">
      <c r="A18589" t="s">
        <v>0</v>
      </c>
    </row>
    <row r="18590" spans="1:1" x14ac:dyDescent="0.3">
      <c r="A18590" t="s">
        <v>0</v>
      </c>
    </row>
    <row r="18591" spans="1:1" x14ac:dyDescent="0.3">
      <c r="A18591" t="s">
        <v>0</v>
      </c>
    </row>
    <row r="18592" spans="1:1" x14ac:dyDescent="0.3">
      <c r="A18592" t="s">
        <v>0</v>
      </c>
    </row>
    <row r="18593" spans="1:1" x14ac:dyDescent="0.3">
      <c r="A18593" t="s">
        <v>0</v>
      </c>
    </row>
    <row r="18594" spans="1:1" x14ac:dyDescent="0.3">
      <c r="A18594" t="s">
        <v>0</v>
      </c>
    </row>
    <row r="18595" spans="1:1" x14ac:dyDescent="0.3">
      <c r="A18595" t="s">
        <v>0</v>
      </c>
    </row>
    <row r="18596" spans="1:1" x14ac:dyDescent="0.3">
      <c r="A18596" t="s">
        <v>0</v>
      </c>
    </row>
    <row r="18597" spans="1:1" x14ac:dyDescent="0.3">
      <c r="A18597" t="s">
        <v>0</v>
      </c>
    </row>
    <row r="18598" spans="1:1" x14ac:dyDescent="0.3">
      <c r="A18598" t="s">
        <v>0</v>
      </c>
    </row>
    <row r="18599" spans="1:1" x14ac:dyDescent="0.3">
      <c r="A18599" t="s">
        <v>0</v>
      </c>
    </row>
    <row r="18600" spans="1:1" x14ac:dyDescent="0.3">
      <c r="A18600" t="s">
        <v>0</v>
      </c>
    </row>
    <row r="18601" spans="1:1" x14ac:dyDescent="0.3">
      <c r="A18601" t="s">
        <v>0</v>
      </c>
    </row>
    <row r="18602" spans="1:1" x14ac:dyDescent="0.3">
      <c r="A18602" t="s">
        <v>0</v>
      </c>
    </row>
    <row r="18603" spans="1:1" x14ac:dyDescent="0.3">
      <c r="A18603" t="s">
        <v>0</v>
      </c>
    </row>
    <row r="18604" spans="1:1" x14ac:dyDescent="0.3">
      <c r="A18604" t="s">
        <v>0</v>
      </c>
    </row>
    <row r="18605" spans="1:1" x14ac:dyDescent="0.3">
      <c r="A18605" t="s">
        <v>0</v>
      </c>
    </row>
    <row r="18606" spans="1:1" x14ac:dyDescent="0.3">
      <c r="A18606" t="s">
        <v>0</v>
      </c>
    </row>
    <row r="18607" spans="1:1" x14ac:dyDescent="0.3">
      <c r="A18607" t="s">
        <v>0</v>
      </c>
    </row>
    <row r="18608" spans="1:1" x14ac:dyDescent="0.3">
      <c r="A18608" t="s">
        <v>0</v>
      </c>
    </row>
    <row r="18609" spans="1:1" x14ac:dyDescent="0.3">
      <c r="A18609" t="s">
        <v>0</v>
      </c>
    </row>
    <row r="18610" spans="1:1" x14ac:dyDescent="0.3">
      <c r="A18610" t="s">
        <v>0</v>
      </c>
    </row>
    <row r="18611" spans="1:1" x14ac:dyDescent="0.3">
      <c r="A18611" t="s">
        <v>0</v>
      </c>
    </row>
    <row r="18612" spans="1:1" x14ac:dyDescent="0.3">
      <c r="A18612" t="s">
        <v>0</v>
      </c>
    </row>
    <row r="18613" spans="1:1" x14ac:dyDescent="0.3">
      <c r="A18613" t="s">
        <v>0</v>
      </c>
    </row>
    <row r="18614" spans="1:1" x14ac:dyDescent="0.3">
      <c r="A18614" t="s">
        <v>0</v>
      </c>
    </row>
    <row r="18615" spans="1:1" x14ac:dyDescent="0.3">
      <c r="A18615" t="s">
        <v>0</v>
      </c>
    </row>
    <row r="18616" spans="1:1" x14ac:dyDescent="0.3">
      <c r="A18616" t="s">
        <v>0</v>
      </c>
    </row>
    <row r="18617" spans="1:1" x14ac:dyDescent="0.3">
      <c r="A18617" t="s">
        <v>0</v>
      </c>
    </row>
    <row r="18618" spans="1:1" x14ac:dyDescent="0.3">
      <c r="A18618" t="s">
        <v>0</v>
      </c>
    </row>
    <row r="18619" spans="1:1" x14ac:dyDescent="0.3">
      <c r="A18619" t="s">
        <v>0</v>
      </c>
    </row>
    <row r="18620" spans="1:1" x14ac:dyDescent="0.3">
      <c r="A18620" t="s">
        <v>0</v>
      </c>
    </row>
    <row r="18621" spans="1:1" x14ac:dyDescent="0.3">
      <c r="A18621" t="s">
        <v>0</v>
      </c>
    </row>
    <row r="18622" spans="1:1" x14ac:dyDescent="0.3">
      <c r="A18622" t="s">
        <v>0</v>
      </c>
    </row>
    <row r="18623" spans="1:1" x14ac:dyDescent="0.3">
      <c r="A18623" t="s">
        <v>0</v>
      </c>
    </row>
    <row r="18624" spans="1:1" x14ac:dyDescent="0.3">
      <c r="A18624" t="s">
        <v>0</v>
      </c>
    </row>
    <row r="18625" spans="1:1" x14ac:dyDescent="0.3">
      <c r="A18625" t="s">
        <v>0</v>
      </c>
    </row>
    <row r="18626" spans="1:1" x14ac:dyDescent="0.3">
      <c r="A18626" t="s">
        <v>0</v>
      </c>
    </row>
    <row r="18627" spans="1:1" x14ac:dyDescent="0.3">
      <c r="A18627" t="s">
        <v>0</v>
      </c>
    </row>
    <row r="18628" spans="1:1" x14ac:dyDescent="0.3">
      <c r="A18628" t="s">
        <v>0</v>
      </c>
    </row>
    <row r="18629" spans="1:1" x14ac:dyDescent="0.3">
      <c r="A18629" t="s">
        <v>0</v>
      </c>
    </row>
    <row r="18630" spans="1:1" x14ac:dyDescent="0.3">
      <c r="A18630" t="s">
        <v>0</v>
      </c>
    </row>
    <row r="18631" spans="1:1" x14ac:dyDescent="0.3">
      <c r="A18631" t="s">
        <v>0</v>
      </c>
    </row>
    <row r="18632" spans="1:1" x14ac:dyDescent="0.3">
      <c r="A18632" t="s">
        <v>0</v>
      </c>
    </row>
    <row r="18633" spans="1:1" x14ac:dyDescent="0.3">
      <c r="A18633" t="s">
        <v>0</v>
      </c>
    </row>
    <row r="18634" spans="1:1" x14ac:dyDescent="0.3">
      <c r="A18634" t="s">
        <v>0</v>
      </c>
    </row>
    <row r="18635" spans="1:1" x14ac:dyDescent="0.3">
      <c r="A18635" t="s">
        <v>0</v>
      </c>
    </row>
    <row r="18636" spans="1:1" x14ac:dyDescent="0.3">
      <c r="A18636" t="s">
        <v>0</v>
      </c>
    </row>
    <row r="18637" spans="1:1" x14ac:dyDescent="0.3">
      <c r="A18637" t="s">
        <v>0</v>
      </c>
    </row>
    <row r="18638" spans="1:1" x14ac:dyDescent="0.3">
      <c r="A18638" t="s">
        <v>0</v>
      </c>
    </row>
    <row r="18639" spans="1:1" x14ac:dyDescent="0.3">
      <c r="A18639" t="s">
        <v>0</v>
      </c>
    </row>
    <row r="18640" spans="1:1" x14ac:dyDescent="0.3">
      <c r="A18640" t="s">
        <v>0</v>
      </c>
    </row>
    <row r="18641" spans="1:1" x14ac:dyDescent="0.3">
      <c r="A18641" t="s">
        <v>0</v>
      </c>
    </row>
    <row r="18642" spans="1:1" x14ac:dyDescent="0.3">
      <c r="A18642" t="s">
        <v>0</v>
      </c>
    </row>
    <row r="18643" spans="1:1" x14ac:dyDescent="0.3">
      <c r="A18643" t="s">
        <v>0</v>
      </c>
    </row>
    <row r="18644" spans="1:1" x14ac:dyDescent="0.3">
      <c r="A18644" t="s">
        <v>0</v>
      </c>
    </row>
    <row r="18645" spans="1:1" x14ac:dyDescent="0.3">
      <c r="A18645" t="s">
        <v>0</v>
      </c>
    </row>
    <row r="18646" spans="1:1" x14ac:dyDescent="0.3">
      <c r="A18646" t="s">
        <v>0</v>
      </c>
    </row>
    <row r="18647" spans="1:1" x14ac:dyDescent="0.3">
      <c r="A18647" t="s">
        <v>0</v>
      </c>
    </row>
    <row r="18648" spans="1:1" x14ac:dyDescent="0.3">
      <c r="A18648" t="s">
        <v>0</v>
      </c>
    </row>
    <row r="18649" spans="1:1" x14ac:dyDescent="0.3">
      <c r="A18649" t="s">
        <v>0</v>
      </c>
    </row>
    <row r="18650" spans="1:1" x14ac:dyDescent="0.3">
      <c r="A18650" t="s">
        <v>0</v>
      </c>
    </row>
    <row r="18651" spans="1:1" x14ac:dyDescent="0.3">
      <c r="A18651" t="s">
        <v>0</v>
      </c>
    </row>
    <row r="18652" spans="1:1" x14ac:dyDescent="0.3">
      <c r="A18652" t="s">
        <v>0</v>
      </c>
    </row>
    <row r="18653" spans="1:1" x14ac:dyDescent="0.3">
      <c r="A18653" t="s">
        <v>0</v>
      </c>
    </row>
    <row r="18654" spans="1:1" x14ac:dyDescent="0.3">
      <c r="A18654" t="s">
        <v>0</v>
      </c>
    </row>
    <row r="18655" spans="1:1" x14ac:dyDescent="0.3">
      <c r="A18655" t="s">
        <v>0</v>
      </c>
    </row>
    <row r="18656" spans="1:1" x14ac:dyDescent="0.3">
      <c r="A18656" t="s">
        <v>0</v>
      </c>
    </row>
    <row r="18657" spans="1:1" x14ac:dyDescent="0.3">
      <c r="A18657" t="s">
        <v>0</v>
      </c>
    </row>
    <row r="18658" spans="1:1" x14ac:dyDescent="0.3">
      <c r="A18658" t="s">
        <v>0</v>
      </c>
    </row>
    <row r="18659" spans="1:1" x14ac:dyDescent="0.3">
      <c r="A18659" t="s">
        <v>0</v>
      </c>
    </row>
    <row r="18660" spans="1:1" x14ac:dyDescent="0.3">
      <c r="A18660" t="s">
        <v>0</v>
      </c>
    </row>
    <row r="18661" spans="1:1" x14ac:dyDescent="0.3">
      <c r="A18661" t="s">
        <v>0</v>
      </c>
    </row>
    <row r="18662" spans="1:1" x14ac:dyDescent="0.3">
      <c r="A18662" t="s">
        <v>0</v>
      </c>
    </row>
    <row r="18663" spans="1:1" x14ac:dyDescent="0.3">
      <c r="A18663" t="s">
        <v>0</v>
      </c>
    </row>
    <row r="18664" spans="1:1" x14ac:dyDescent="0.3">
      <c r="A18664" t="s">
        <v>0</v>
      </c>
    </row>
    <row r="18665" spans="1:1" x14ac:dyDescent="0.3">
      <c r="A18665" t="s">
        <v>0</v>
      </c>
    </row>
    <row r="18666" spans="1:1" x14ac:dyDescent="0.3">
      <c r="A18666" t="s">
        <v>0</v>
      </c>
    </row>
    <row r="18667" spans="1:1" x14ac:dyDescent="0.3">
      <c r="A18667" t="s">
        <v>0</v>
      </c>
    </row>
    <row r="18668" spans="1:1" x14ac:dyDescent="0.3">
      <c r="A18668" t="s">
        <v>0</v>
      </c>
    </row>
    <row r="18669" spans="1:1" x14ac:dyDescent="0.3">
      <c r="A18669" t="s">
        <v>0</v>
      </c>
    </row>
    <row r="18670" spans="1:1" x14ac:dyDescent="0.3">
      <c r="A18670" t="s">
        <v>0</v>
      </c>
    </row>
    <row r="18671" spans="1:1" x14ac:dyDescent="0.3">
      <c r="A18671" t="s">
        <v>0</v>
      </c>
    </row>
    <row r="18672" spans="1:1" x14ac:dyDescent="0.3">
      <c r="A18672" t="s">
        <v>0</v>
      </c>
    </row>
    <row r="18673" spans="1:1" x14ac:dyDescent="0.3">
      <c r="A18673" t="s">
        <v>0</v>
      </c>
    </row>
    <row r="18674" spans="1:1" x14ac:dyDescent="0.3">
      <c r="A18674" t="s">
        <v>0</v>
      </c>
    </row>
    <row r="18675" spans="1:1" x14ac:dyDescent="0.3">
      <c r="A18675" t="s">
        <v>0</v>
      </c>
    </row>
    <row r="18676" spans="1:1" x14ac:dyDescent="0.3">
      <c r="A18676" t="s">
        <v>0</v>
      </c>
    </row>
    <row r="18677" spans="1:1" x14ac:dyDescent="0.3">
      <c r="A18677" t="s">
        <v>0</v>
      </c>
    </row>
    <row r="18678" spans="1:1" x14ac:dyDescent="0.3">
      <c r="A18678" t="s">
        <v>0</v>
      </c>
    </row>
    <row r="18679" spans="1:1" x14ac:dyDescent="0.3">
      <c r="A18679" t="s">
        <v>0</v>
      </c>
    </row>
    <row r="18680" spans="1:1" x14ac:dyDescent="0.3">
      <c r="A18680" t="s">
        <v>0</v>
      </c>
    </row>
    <row r="18681" spans="1:1" x14ac:dyDescent="0.3">
      <c r="A18681" t="s">
        <v>0</v>
      </c>
    </row>
    <row r="18682" spans="1:1" x14ac:dyDescent="0.3">
      <c r="A18682" t="s">
        <v>0</v>
      </c>
    </row>
    <row r="18683" spans="1:1" x14ac:dyDescent="0.3">
      <c r="A18683" t="s">
        <v>0</v>
      </c>
    </row>
    <row r="18684" spans="1:1" x14ac:dyDescent="0.3">
      <c r="A18684" t="s">
        <v>0</v>
      </c>
    </row>
    <row r="18685" spans="1:1" x14ac:dyDescent="0.3">
      <c r="A18685" t="s">
        <v>0</v>
      </c>
    </row>
    <row r="18686" spans="1:1" x14ac:dyDescent="0.3">
      <c r="A18686" t="s">
        <v>0</v>
      </c>
    </row>
    <row r="18687" spans="1:1" x14ac:dyDescent="0.3">
      <c r="A18687" t="s">
        <v>0</v>
      </c>
    </row>
    <row r="18688" spans="1:1" x14ac:dyDescent="0.3">
      <c r="A18688" t="s">
        <v>0</v>
      </c>
    </row>
    <row r="18689" spans="1:1" x14ac:dyDescent="0.3">
      <c r="A18689" t="s">
        <v>0</v>
      </c>
    </row>
    <row r="18690" spans="1:1" x14ac:dyDescent="0.3">
      <c r="A18690" t="s">
        <v>0</v>
      </c>
    </row>
    <row r="18691" spans="1:1" x14ac:dyDescent="0.3">
      <c r="A18691" t="s">
        <v>0</v>
      </c>
    </row>
    <row r="18692" spans="1:1" x14ac:dyDescent="0.3">
      <c r="A18692" t="s">
        <v>0</v>
      </c>
    </row>
    <row r="18693" spans="1:1" x14ac:dyDescent="0.3">
      <c r="A18693" t="s">
        <v>0</v>
      </c>
    </row>
    <row r="18694" spans="1:1" x14ac:dyDescent="0.3">
      <c r="A18694" t="s">
        <v>0</v>
      </c>
    </row>
    <row r="18695" spans="1:1" x14ac:dyDescent="0.3">
      <c r="A18695" t="s">
        <v>0</v>
      </c>
    </row>
    <row r="18696" spans="1:1" x14ac:dyDescent="0.3">
      <c r="A18696" t="s">
        <v>0</v>
      </c>
    </row>
    <row r="18697" spans="1:1" x14ac:dyDescent="0.3">
      <c r="A18697" t="s">
        <v>0</v>
      </c>
    </row>
    <row r="18698" spans="1:1" x14ac:dyDescent="0.3">
      <c r="A18698" t="s">
        <v>0</v>
      </c>
    </row>
    <row r="18699" spans="1:1" x14ac:dyDescent="0.3">
      <c r="A18699" t="s">
        <v>0</v>
      </c>
    </row>
    <row r="18700" spans="1:1" x14ac:dyDescent="0.3">
      <c r="A18700" t="s">
        <v>0</v>
      </c>
    </row>
    <row r="18701" spans="1:1" x14ac:dyDescent="0.3">
      <c r="A18701" t="s">
        <v>0</v>
      </c>
    </row>
    <row r="18702" spans="1:1" x14ac:dyDescent="0.3">
      <c r="A18702" t="s">
        <v>0</v>
      </c>
    </row>
    <row r="18703" spans="1:1" x14ac:dyDescent="0.3">
      <c r="A18703" t="s">
        <v>0</v>
      </c>
    </row>
    <row r="18704" spans="1:1" x14ac:dyDescent="0.3">
      <c r="A18704" t="s">
        <v>0</v>
      </c>
    </row>
    <row r="18705" spans="1:1" x14ac:dyDescent="0.3">
      <c r="A18705" t="s">
        <v>0</v>
      </c>
    </row>
    <row r="18706" spans="1:1" x14ac:dyDescent="0.3">
      <c r="A18706" t="s">
        <v>0</v>
      </c>
    </row>
    <row r="18707" spans="1:1" x14ac:dyDescent="0.3">
      <c r="A18707" t="s">
        <v>0</v>
      </c>
    </row>
    <row r="18708" spans="1:1" x14ac:dyDescent="0.3">
      <c r="A18708" t="s">
        <v>0</v>
      </c>
    </row>
    <row r="18709" spans="1:1" x14ac:dyDescent="0.3">
      <c r="A18709" t="s">
        <v>0</v>
      </c>
    </row>
    <row r="18710" spans="1:1" x14ac:dyDescent="0.3">
      <c r="A18710" t="s">
        <v>0</v>
      </c>
    </row>
    <row r="18711" spans="1:1" x14ac:dyDescent="0.3">
      <c r="A18711" t="s">
        <v>0</v>
      </c>
    </row>
    <row r="18712" spans="1:1" x14ac:dyDescent="0.3">
      <c r="A18712" t="s">
        <v>0</v>
      </c>
    </row>
    <row r="18713" spans="1:1" x14ac:dyDescent="0.3">
      <c r="A18713" t="s">
        <v>0</v>
      </c>
    </row>
    <row r="18714" spans="1:1" x14ac:dyDescent="0.3">
      <c r="A18714" t="s">
        <v>0</v>
      </c>
    </row>
    <row r="18715" spans="1:1" x14ac:dyDescent="0.3">
      <c r="A18715" t="s">
        <v>0</v>
      </c>
    </row>
    <row r="18716" spans="1:1" x14ac:dyDescent="0.3">
      <c r="A18716" t="s">
        <v>0</v>
      </c>
    </row>
    <row r="18717" spans="1:1" x14ac:dyDescent="0.3">
      <c r="A18717" t="s">
        <v>0</v>
      </c>
    </row>
    <row r="18718" spans="1:1" x14ac:dyDescent="0.3">
      <c r="A18718" t="s">
        <v>0</v>
      </c>
    </row>
    <row r="18719" spans="1:1" x14ac:dyDescent="0.3">
      <c r="A18719" t="s">
        <v>0</v>
      </c>
    </row>
    <row r="18720" spans="1:1" x14ac:dyDescent="0.3">
      <c r="A18720" t="s">
        <v>0</v>
      </c>
    </row>
    <row r="18721" spans="1:1" x14ac:dyDescent="0.3">
      <c r="A18721" t="s">
        <v>0</v>
      </c>
    </row>
    <row r="18722" spans="1:1" x14ac:dyDescent="0.3">
      <c r="A18722" t="s">
        <v>0</v>
      </c>
    </row>
    <row r="18723" spans="1:1" x14ac:dyDescent="0.3">
      <c r="A18723" t="s">
        <v>0</v>
      </c>
    </row>
    <row r="18724" spans="1:1" x14ac:dyDescent="0.3">
      <c r="A18724" t="s">
        <v>0</v>
      </c>
    </row>
    <row r="18725" spans="1:1" x14ac:dyDescent="0.3">
      <c r="A18725" t="s">
        <v>0</v>
      </c>
    </row>
    <row r="18726" spans="1:1" x14ac:dyDescent="0.3">
      <c r="A18726" t="s">
        <v>0</v>
      </c>
    </row>
    <row r="18727" spans="1:1" x14ac:dyDescent="0.3">
      <c r="A18727" t="s">
        <v>0</v>
      </c>
    </row>
    <row r="18728" spans="1:1" x14ac:dyDescent="0.3">
      <c r="A18728" t="s">
        <v>0</v>
      </c>
    </row>
    <row r="18729" spans="1:1" x14ac:dyDescent="0.3">
      <c r="A18729" t="s">
        <v>0</v>
      </c>
    </row>
    <row r="18730" spans="1:1" x14ac:dyDescent="0.3">
      <c r="A18730" t="s">
        <v>0</v>
      </c>
    </row>
    <row r="18731" spans="1:1" x14ac:dyDescent="0.3">
      <c r="A18731" t="s">
        <v>0</v>
      </c>
    </row>
    <row r="18732" spans="1:1" x14ac:dyDescent="0.3">
      <c r="A18732" t="s">
        <v>0</v>
      </c>
    </row>
    <row r="18733" spans="1:1" x14ac:dyDescent="0.3">
      <c r="A18733" t="s">
        <v>0</v>
      </c>
    </row>
    <row r="18734" spans="1:1" x14ac:dyDescent="0.3">
      <c r="A18734" t="s">
        <v>0</v>
      </c>
    </row>
    <row r="18735" spans="1:1" x14ac:dyDescent="0.3">
      <c r="A18735" t="s">
        <v>0</v>
      </c>
    </row>
    <row r="18736" spans="1:1" x14ac:dyDescent="0.3">
      <c r="A18736" t="s">
        <v>0</v>
      </c>
    </row>
    <row r="18737" spans="1:1" x14ac:dyDescent="0.3">
      <c r="A18737" t="s">
        <v>0</v>
      </c>
    </row>
    <row r="18738" spans="1:1" x14ac:dyDescent="0.3">
      <c r="A18738" t="s">
        <v>0</v>
      </c>
    </row>
    <row r="18739" spans="1:1" x14ac:dyDescent="0.3">
      <c r="A18739" t="s">
        <v>0</v>
      </c>
    </row>
    <row r="18740" spans="1:1" x14ac:dyDescent="0.3">
      <c r="A18740" t="s">
        <v>0</v>
      </c>
    </row>
    <row r="18741" spans="1:1" x14ac:dyDescent="0.3">
      <c r="A18741" t="s">
        <v>0</v>
      </c>
    </row>
    <row r="18742" spans="1:1" x14ac:dyDescent="0.3">
      <c r="A18742" t="s">
        <v>0</v>
      </c>
    </row>
    <row r="18743" spans="1:1" x14ac:dyDescent="0.3">
      <c r="A18743" t="s">
        <v>0</v>
      </c>
    </row>
    <row r="18744" spans="1:1" x14ac:dyDescent="0.3">
      <c r="A18744" t="s">
        <v>0</v>
      </c>
    </row>
    <row r="18745" spans="1:1" x14ac:dyDescent="0.3">
      <c r="A18745" t="s">
        <v>0</v>
      </c>
    </row>
    <row r="18746" spans="1:1" x14ac:dyDescent="0.3">
      <c r="A18746" t="s">
        <v>0</v>
      </c>
    </row>
    <row r="18747" spans="1:1" x14ac:dyDescent="0.3">
      <c r="A18747" t="s">
        <v>0</v>
      </c>
    </row>
    <row r="18748" spans="1:1" x14ac:dyDescent="0.3">
      <c r="A18748" t="s">
        <v>0</v>
      </c>
    </row>
    <row r="18749" spans="1:1" x14ac:dyDescent="0.3">
      <c r="A18749" t="s">
        <v>0</v>
      </c>
    </row>
    <row r="18750" spans="1:1" x14ac:dyDescent="0.3">
      <c r="A18750" t="s">
        <v>0</v>
      </c>
    </row>
    <row r="18751" spans="1:1" x14ac:dyDescent="0.3">
      <c r="A18751" t="s">
        <v>0</v>
      </c>
    </row>
    <row r="18752" spans="1:1" x14ac:dyDescent="0.3">
      <c r="A18752" t="s">
        <v>0</v>
      </c>
    </row>
    <row r="18753" spans="1:1" x14ac:dyDescent="0.3">
      <c r="A18753" t="s">
        <v>0</v>
      </c>
    </row>
    <row r="18754" spans="1:1" x14ac:dyDescent="0.3">
      <c r="A18754" t="s">
        <v>0</v>
      </c>
    </row>
    <row r="18755" spans="1:1" x14ac:dyDescent="0.3">
      <c r="A18755" t="s">
        <v>0</v>
      </c>
    </row>
    <row r="18756" spans="1:1" x14ac:dyDescent="0.3">
      <c r="A18756" t="s">
        <v>0</v>
      </c>
    </row>
    <row r="18757" spans="1:1" x14ac:dyDescent="0.3">
      <c r="A18757" t="s">
        <v>0</v>
      </c>
    </row>
    <row r="18758" spans="1:1" x14ac:dyDescent="0.3">
      <c r="A18758" t="s">
        <v>0</v>
      </c>
    </row>
    <row r="18759" spans="1:1" x14ac:dyDescent="0.3">
      <c r="A18759" t="s">
        <v>0</v>
      </c>
    </row>
    <row r="18760" spans="1:1" x14ac:dyDescent="0.3">
      <c r="A18760" t="s">
        <v>0</v>
      </c>
    </row>
    <row r="18761" spans="1:1" x14ac:dyDescent="0.3">
      <c r="A18761" t="s">
        <v>0</v>
      </c>
    </row>
    <row r="18762" spans="1:1" x14ac:dyDescent="0.3">
      <c r="A18762" t="s">
        <v>0</v>
      </c>
    </row>
    <row r="18763" spans="1:1" x14ac:dyDescent="0.3">
      <c r="A18763" t="s">
        <v>0</v>
      </c>
    </row>
    <row r="18764" spans="1:1" x14ac:dyDescent="0.3">
      <c r="A18764" t="s">
        <v>0</v>
      </c>
    </row>
    <row r="18765" spans="1:1" x14ac:dyDescent="0.3">
      <c r="A18765" t="s">
        <v>0</v>
      </c>
    </row>
    <row r="18766" spans="1:1" x14ac:dyDescent="0.3">
      <c r="A18766" t="s">
        <v>0</v>
      </c>
    </row>
    <row r="18767" spans="1:1" x14ac:dyDescent="0.3">
      <c r="A18767" t="s">
        <v>0</v>
      </c>
    </row>
    <row r="18768" spans="1:1" x14ac:dyDescent="0.3">
      <c r="A18768" t="s">
        <v>0</v>
      </c>
    </row>
    <row r="18769" spans="1:1" x14ac:dyDescent="0.3">
      <c r="A18769" t="s">
        <v>0</v>
      </c>
    </row>
    <row r="18770" spans="1:1" x14ac:dyDescent="0.3">
      <c r="A18770" t="s">
        <v>0</v>
      </c>
    </row>
    <row r="18771" spans="1:1" x14ac:dyDescent="0.3">
      <c r="A18771" t="s">
        <v>0</v>
      </c>
    </row>
    <row r="18772" spans="1:1" x14ac:dyDescent="0.3">
      <c r="A18772" t="s">
        <v>0</v>
      </c>
    </row>
    <row r="18773" spans="1:1" x14ac:dyDescent="0.3">
      <c r="A18773" t="s">
        <v>0</v>
      </c>
    </row>
    <row r="18774" spans="1:1" x14ac:dyDescent="0.3">
      <c r="A18774" t="s">
        <v>0</v>
      </c>
    </row>
    <row r="18775" spans="1:1" x14ac:dyDescent="0.3">
      <c r="A18775" t="s">
        <v>0</v>
      </c>
    </row>
    <row r="18776" spans="1:1" x14ac:dyDescent="0.3">
      <c r="A18776" t="s">
        <v>0</v>
      </c>
    </row>
    <row r="18777" spans="1:1" x14ac:dyDescent="0.3">
      <c r="A18777" t="s">
        <v>0</v>
      </c>
    </row>
    <row r="18778" spans="1:1" x14ac:dyDescent="0.3">
      <c r="A18778" t="s">
        <v>0</v>
      </c>
    </row>
    <row r="18779" spans="1:1" x14ac:dyDescent="0.3">
      <c r="A18779" t="s">
        <v>0</v>
      </c>
    </row>
    <row r="18780" spans="1:1" x14ac:dyDescent="0.3">
      <c r="A18780" t="s">
        <v>0</v>
      </c>
    </row>
    <row r="18781" spans="1:1" x14ac:dyDescent="0.3">
      <c r="A18781" t="s">
        <v>0</v>
      </c>
    </row>
    <row r="18782" spans="1:1" x14ac:dyDescent="0.3">
      <c r="A18782" t="s">
        <v>0</v>
      </c>
    </row>
    <row r="18783" spans="1:1" x14ac:dyDescent="0.3">
      <c r="A18783" t="s">
        <v>0</v>
      </c>
    </row>
    <row r="18784" spans="1:1" x14ac:dyDescent="0.3">
      <c r="A18784" t="s">
        <v>0</v>
      </c>
    </row>
    <row r="18785" spans="1:1" x14ac:dyDescent="0.3">
      <c r="A18785" t="s">
        <v>0</v>
      </c>
    </row>
    <row r="18786" spans="1:1" x14ac:dyDescent="0.3">
      <c r="A18786" t="s">
        <v>0</v>
      </c>
    </row>
    <row r="18787" spans="1:1" x14ac:dyDescent="0.3">
      <c r="A18787" t="s">
        <v>0</v>
      </c>
    </row>
    <row r="18788" spans="1:1" x14ac:dyDescent="0.3">
      <c r="A18788" t="s">
        <v>0</v>
      </c>
    </row>
    <row r="18789" spans="1:1" x14ac:dyDescent="0.3">
      <c r="A18789" t="s">
        <v>0</v>
      </c>
    </row>
    <row r="18790" spans="1:1" x14ac:dyDescent="0.3">
      <c r="A18790" t="s">
        <v>0</v>
      </c>
    </row>
    <row r="18791" spans="1:1" x14ac:dyDescent="0.3">
      <c r="A18791" t="s">
        <v>0</v>
      </c>
    </row>
    <row r="18792" spans="1:1" x14ac:dyDescent="0.3">
      <c r="A18792" t="s">
        <v>0</v>
      </c>
    </row>
    <row r="18793" spans="1:1" x14ac:dyDescent="0.3">
      <c r="A18793" t="s">
        <v>0</v>
      </c>
    </row>
    <row r="18794" spans="1:1" x14ac:dyDescent="0.3">
      <c r="A18794" t="s">
        <v>0</v>
      </c>
    </row>
    <row r="18795" spans="1:1" x14ac:dyDescent="0.3">
      <c r="A18795" t="s">
        <v>0</v>
      </c>
    </row>
    <row r="18796" spans="1:1" x14ac:dyDescent="0.3">
      <c r="A18796" t="s">
        <v>0</v>
      </c>
    </row>
    <row r="18797" spans="1:1" x14ac:dyDescent="0.3">
      <c r="A18797" t="s">
        <v>0</v>
      </c>
    </row>
    <row r="18798" spans="1:1" x14ac:dyDescent="0.3">
      <c r="A18798" t="s">
        <v>0</v>
      </c>
    </row>
    <row r="18799" spans="1:1" x14ac:dyDescent="0.3">
      <c r="A18799" t="s">
        <v>0</v>
      </c>
    </row>
    <row r="18800" spans="1:1" x14ac:dyDescent="0.3">
      <c r="A18800" t="s">
        <v>0</v>
      </c>
    </row>
    <row r="18801" spans="1:1" x14ac:dyDescent="0.3">
      <c r="A18801" t="s">
        <v>0</v>
      </c>
    </row>
    <row r="18802" spans="1:1" x14ac:dyDescent="0.3">
      <c r="A18802" t="s">
        <v>0</v>
      </c>
    </row>
    <row r="18803" spans="1:1" x14ac:dyDescent="0.3">
      <c r="A18803" t="s">
        <v>0</v>
      </c>
    </row>
    <row r="18804" spans="1:1" x14ac:dyDescent="0.3">
      <c r="A18804" t="s">
        <v>0</v>
      </c>
    </row>
    <row r="18805" spans="1:1" x14ac:dyDescent="0.3">
      <c r="A18805" t="s">
        <v>0</v>
      </c>
    </row>
    <row r="18806" spans="1:1" x14ac:dyDescent="0.3">
      <c r="A18806" t="s">
        <v>0</v>
      </c>
    </row>
    <row r="18807" spans="1:1" x14ac:dyDescent="0.3">
      <c r="A18807" t="s">
        <v>0</v>
      </c>
    </row>
    <row r="18808" spans="1:1" x14ac:dyDescent="0.3">
      <c r="A18808" t="s">
        <v>0</v>
      </c>
    </row>
    <row r="18809" spans="1:1" x14ac:dyDescent="0.3">
      <c r="A18809" t="s">
        <v>0</v>
      </c>
    </row>
    <row r="18810" spans="1:1" x14ac:dyDescent="0.3">
      <c r="A18810" t="s">
        <v>0</v>
      </c>
    </row>
    <row r="18811" spans="1:1" x14ac:dyDescent="0.3">
      <c r="A18811" t="s">
        <v>0</v>
      </c>
    </row>
    <row r="18812" spans="1:1" x14ac:dyDescent="0.3">
      <c r="A18812" t="s">
        <v>0</v>
      </c>
    </row>
    <row r="18813" spans="1:1" x14ac:dyDescent="0.3">
      <c r="A18813" t="s">
        <v>0</v>
      </c>
    </row>
    <row r="18814" spans="1:1" x14ac:dyDescent="0.3">
      <c r="A18814" t="s">
        <v>0</v>
      </c>
    </row>
    <row r="18815" spans="1:1" x14ac:dyDescent="0.3">
      <c r="A18815" t="s">
        <v>0</v>
      </c>
    </row>
    <row r="18816" spans="1:1" x14ac:dyDescent="0.3">
      <c r="A18816" t="s">
        <v>0</v>
      </c>
    </row>
    <row r="18817" spans="1:1" x14ac:dyDescent="0.3">
      <c r="A18817" t="s">
        <v>0</v>
      </c>
    </row>
    <row r="18818" spans="1:1" x14ac:dyDescent="0.3">
      <c r="A18818" t="s">
        <v>0</v>
      </c>
    </row>
    <row r="18819" spans="1:1" x14ac:dyDescent="0.3">
      <c r="A18819" t="s">
        <v>0</v>
      </c>
    </row>
    <row r="18820" spans="1:1" x14ac:dyDescent="0.3">
      <c r="A18820" t="s">
        <v>0</v>
      </c>
    </row>
    <row r="18821" spans="1:1" x14ac:dyDescent="0.3">
      <c r="A18821" t="s">
        <v>0</v>
      </c>
    </row>
    <row r="18822" spans="1:1" x14ac:dyDescent="0.3">
      <c r="A18822" t="s">
        <v>0</v>
      </c>
    </row>
    <row r="18823" spans="1:1" x14ac:dyDescent="0.3">
      <c r="A18823" t="s">
        <v>0</v>
      </c>
    </row>
    <row r="18824" spans="1:1" x14ac:dyDescent="0.3">
      <c r="A18824" t="s">
        <v>0</v>
      </c>
    </row>
    <row r="18825" spans="1:1" x14ac:dyDescent="0.3">
      <c r="A18825" t="s">
        <v>0</v>
      </c>
    </row>
    <row r="18826" spans="1:1" x14ac:dyDescent="0.3">
      <c r="A18826" t="s">
        <v>0</v>
      </c>
    </row>
    <row r="18827" spans="1:1" x14ac:dyDescent="0.3">
      <c r="A18827" t="s">
        <v>0</v>
      </c>
    </row>
    <row r="18828" spans="1:1" x14ac:dyDescent="0.3">
      <c r="A18828" t="s">
        <v>0</v>
      </c>
    </row>
    <row r="18829" spans="1:1" x14ac:dyDescent="0.3">
      <c r="A18829" t="s">
        <v>0</v>
      </c>
    </row>
    <row r="18830" spans="1:1" x14ac:dyDescent="0.3">
      <c r="A18830" t="s">
        <v>0</v>
      </c>
    </row>
    <row r="18831" spans="1:1" x14ac:dyDescent="0.3">
      <c r="A18831" t="s">
        <v>0</v>
      </c>
    </row>
    <row r="18832" spans="1:1" x14ac:dyDescent="0.3">
      <c r="A18832" t="s">
        <v>0</v>
      </c>
    </row>
    <row r="18833" spans="1:1" x14ac:dyDescent="0.3">
      <c r="A18833" t="s">
        <v>0</v>
      </c>
    </row>
    <row r="18834" spans="1:1" x14ac:dyDescent="0.3">
      <c r="A18834" t="s">
        <v>0</v>
      </c>
    </row>
    <row r="18835" spans="1:1" x14ac:dyDescent="0.3">
      <c r="A18835" t="s">
        <v>0</v>
      </c>
    </row>
    <row r="18836" spans="1:1" x14ac:dyDescent="0.3">
      <c r="A18836" t="s">
        <v>0</v>
      </c>
    </row>
    <row r="18837" spans="1:1" x14ac:dyDescent="0.3">
      <c r="A18837" t="s">
        <v>0</v>
      </c>
    </row>
    <row r="18838" spans="1:1" x14ac:dyDescent="0.3">
      <c r="A18838" t="s">
        <v>0</v>
      </c>
    </row>
    <row r="18839" spans="1:1" x14ac:dyDescent="0.3">
      <c r="A18839" t="s">
        <v>0</v>
      </c>
    </row>
    <row r="18840" spans="1:1" x14ac:dyDescent="0.3">
      <c r="A18840" t="s">
        <v>0</v>
      </c>
    </row>
    <row r="18841" spans="1:1" x14ac:dyDescent="0.3">
      <c r="A18841" t="s">
        <v>0</v>
      </c>
    </row>
    <row r="18842" spans="1:1" x14ac:dyDescent="0.3">
      <c r="A18842" t="s">
        <v>0</v>
      </c>
    </row>
    <row r="18843" spans="1:1" x14ac:dyDescent="0.3">
      <c r="A18843" t="s">
        <v>0</v>
      </c>
    </row>
    <row r="18844" spans="1:1" x14ac:dyDescent="0.3">
      <c r="A18844" t="s">
        <v>0</v>
      </c>
    </row>
    <row r="18845" spans="1:1" x14ac:dyDescent="0.3">
      <c r="A18845" t="s">
        <v>0</v>
      </c>
    </row>
    <row r="18846" spans="1:1" x14ac:dyDescent="0.3">
      <c r="A18846" t="s">
        <v>0</v>
      </c>
    </row>
    <row r="18847" spans="1:1" x14ac:dyDescent="0.3">
      <c r="A18847" t="s">
        <v>0</v>
      </c>
    </row>
    <row r="18848" spans="1:1" x14ac:dyDescent="0.3">
      <c r="A18848" t="s">
        <v>0</v>
      </c>
    </row>
    <row r="18849" spans="1:1" x14ac:dyDescent="0.3">
      <c r="A18849" t="s">
        <v>0</v>
      </c>
    </row>
    <row r="18850" spans="1:1" x14ac:dyDescent="0.3">
      <c r="A18850" t="s">
        <v>0</v>
      </c>
    </row>
    <row r="18851" spans="1:1" x14ac:dyDescent="0.3">
      <c r="A18851" t="s">
        <v>0</v>
      </c>
    </row>
    <row r="18852" spans="1:1" x14ac:dyDescent="0.3">
      <c r="A18852" t="s">
        <v>0</v>
      </c>
    </row>
    <row r="18853" spans="1:1" x14ac:dyDescent="0.3">
      <c r="A18853" t="s">
        <v>0</v>
      </c>
    </row>
    <row r="18854" spans="1:1" x14ac:dyDescent="0.3">
      <c r="A18854" t="s">
        <v>0</v>
      </c>
    </row>
    <row r="18855" spans="1:1" x14ac:dyDescent="0.3">
      <c r="A18855" t="s">
        <v>0</v>
      </c>
    </row>
    <row r="18856" spans="1:1" x14ac:dyDescent="0.3">
      <c r="A18856" t="s">
        <v>0</v>
      </c>
    </row>
    <row r="18857" spans="1:1" x14ac:dyDescent="0.3">
      <c r="A18857" t="s">
        <v>0</v>
      </c>
    </row>
    <row r="18858" spans="1:1" x14ac:dyDescent="0.3">
      <c r="A18858" t="s">
        <v>0</v>
      </c>
    </row>
    <row r="18859" spans="1:1" x14ac:dyDescent="0.3">
      <c r="A18859" t="s">
        <v>0</v>
      </c>
    </row>
    <row r="18860" spans="1:1" x14ac:dyDescent="0.3">
      <c r="A18860" t="s">
        <v>0</v>
      </c>
    </row>
    <row r="18861" spans="1:1" x14ac:dyDescent="0.3">
      <c r="A18861" t="s">
        <v>0</v>
      </c>
    </row>
    <row r="18862" spans="1:1" x14ac:dyDescent="0.3">
      <c r="A18862" t="s">
        <v>0</v>
      </c>
    </row>
    <row r="18863" spans="1:1" x14ac:dyDescent="0.3">
      <c r="A18863" t="s">
        <v>0</v>
      </c>
    </row>
    <row r="18864" spans="1:1" x14ac:dyDescent="0.3">
      <c r="A18864" t="s">
        <v>0</v>
      </c>
    </row>
    <row r="18865" spans="1:1" x14ac:dyDescent="0.3">
      <c r="A18865" t="s">
        <v>0</v>
      </c>
    </row>
    <row r="18866" spans="1:1" x14ac:dyDescent="0.3">
      <c r="A18866" t="s">
        <v>0</v>
      </c>
    </row>
    <row r="18867" spans="1:1" x14ac:dyDescent="0.3">
      <c r="A18867" t="s">
        <v>0</v>
      </c>
    </row>
    <row r="18868" spans="1:1" x14ac:dyDescent="0.3">
      <c r="A18868" t="s">
        <v>0</v>
      </c>
    </row>
    <row r="18869" spans="1:1" x14ac:dyDescent="0.3">
      <c r="A18869" t="s">
        <v>0</v>
      </c>
    </row>
    <row r="18870" spans="1:1" x14ac:dyDescent="0.3">
      <c r="A18870" t="s">
        <v>0</v>
      </c>
    </row>
    <row r="18871" spans="1:1" x14ac:dyDescent="0.3">
      <c r="A18871" t="s">
        <v>0</v>
      </c>
    </row>
    <row r="18872" spans="1:1" x14ac:dyDescent="0.3">
      <c r="A18872" t="s">
        <v>0</v>
      </c>
    </row>
    <row r="18873" spans="1:1" x14ac:dyDescent="0.3">
      <c r="A18873" t="s">
        <v>0</v>
      </c>
    </row>
    <row r="18874" spans="1:1" x14ac:dyDescent="0.3">
      <c r="A18874" t="s">
        <v>0</v>
      </c>
    </row>
    <row r="18875" spans="1:1" x14ac:dyDescent="0.3">
      <c r="A18875" t="s">
        <v>0</v>
      </c>
    </row>
    <row r="18876" spans="1:1" x14ac:dyDescent="0.3">
      <c r="A18876" t="s">
        <v>0</v>
      </c>
    </row>
    <row r="18877" spans="1:1" x14ac:dyDescent="0.3">
      <c r="A18877" t="s">
        <v>0</v>
      </c>
    </row>
    <row r="18878" spans="1:1" x14ac:dyDescent="0.3">
      <c r="A18878" t="s">
        <v>0</v>
      </c>
    </row>
    <row r="18879" spans="1:1" x14ac:dyDescent="0.3">
      <c r="A18879" t="s">
        <v>0</v>
      </c>
    </row>
    <row r="18880" spans="1:1" x14ac:dyDescent="0.3">
      <c r="A18880" t="s">
        <v>0</v>
      </c>
    </row>
    <row r="18881" spans="1:1" x14ac:dyDescent="0.3">
      <c r="A18881" t="s">
        <v>0</v>
      </c>
    </row>
    <row r="18882" spans="1:1" x14ac:dyDescent="0.3">
      <c r="A18882" t="s">
        <v>0</v>
      </c>
    </row>
    <row r="18883" spans="1:1" x14ac:dyDescent="0.3">
      <c r="A18883" t="s">
        <v>0</v>
      </c>
    </row>
    <row r="18884" spans="1:1" x14ac:dyDescent="0.3">
      <c r="A18884" t="s">
        <v>0</v>
      </c>
    </row>
    <row r="18885" spans="1:1" x14ac:dyDescent="0.3">
      <c r="A18885" t="s">
        <v>0</v>
      </c>
    </row>
    <row r="18886" spans="1:1" x14ac:dyDescent="0.3">
      <c r="A18886" t="s">
        <v>0</v>
      </c>
    </row>
    <row r="18887" spans="1:1" x14ac:dyDescent="0.3">
      <c r="A18887" t="s">
        <v>0</v>
      </c>
    </row>
    <row r="18888" spans="1:1" x14ac:dyDescent="0.3">
      <c r="A18888" t="s">
        <v>0</v>
      </c>
    </row>
    <row r="18889" spans="1:1" x14ac:dyDescent="0.3">
      <c r="A18889" t="s">
        <v>0</v>
      </c>
    </row>
    <row r="18890" spans="1:1" x14ac:dyDescent="0.3">
      <c r="A18890" t="s">
        <v>0</v>
      </c>
    </row>
    <row r="18891" spans="1:1" x14ac:dyDescent="0.3">
      <c r="A18891" t="s">
        <v>0</v>
      </c>
    </row>
    <row r="18892" spans="1:1" x14ac:dyDescent="0.3">
      <c r="A18892" t="s">
        <v>0</v>
      </c>
    </row>
    <row r="18893" spans="1:1" x14ac:dyDescent="0.3">
      <c r="A18893" t="s">
        <v>0</v>
      </c>
    </row>
    <row r="18894" spans="1:1" x14ac:dyDescent="0.3">
      <c r="A18894" t="s">
        <v>0</v>
      </c>
    </row>
    <row r="18895" spans="1:1" x14ac:dyDescent="0.3">
      <c r="A18895" t="s">
        <v>0</v>
      </c>
    </row>
    <row r="18896" spans="1:1" x14ac:dyDescent="0.3">
      <c r="A18896" t="s">
        <v>0</v>
      </c>
    </row>
    <row r="18897" spans="1:1" x14ac:dyDescent="0.3">
      <c r="A18897" t="s">
        <v>0</v>
      </c>
    </row>
    <row r="18898" spans="1:1" x14ac:dyDescent="0.3">
      <c r="A18898" t="s">
        <v>0</v>
      </c>
    </row>
    <row r="18899" spans="1:1" x14ac:dyDescent="0.3">
      <c r="A18899" t="s">
        <v>0</v>
      </c>
    </row>
    <row r="18900" spans="1:1" x14ac:dyDescent="0.3">
      <c r="A18900" t="s">
        <v>0</v>
      </c>
    </row>
    <row r="18901" spans="1:1" x14ac:dyDescent="0.3">
      <c r="A18901" t="s">
        <v>0</v>
      </c>
    </row>
    <row r="18902" spans="1:1" x14ac:dyDescent="0.3">
      <c r="A18902" t="s">
        <v>0</v>
      </c>
    </row>
    <row r="18903" spans="1:1" x14ac:dyDescent="0.3">
      <c r="A18903" t="s">
        <v>0</v>
      </c>
    </row>
    <row r="18904" spans="1:1" x14ac:dyDescent="0.3">
      <c r="A18904" t="s">
        <v>0</v>
      </c>
    </row>
    <row r="18905" spans="1:1" x14ac:dyDescent="0.3">
      <c r="A18905" t="s">
        <v>0</v>
      </c>
    </row>
    <row r="18906" spans="1:1" x14ac:dyDescent="0.3">
      <c r="A18906" t="s">
        <v>0</v>
      </c>
    </row>
    <row r="18907" spans="1:1" x14ac:dyDescent="0.3">
      <c r="A18907" t="s">
        <v>0</v>
      </c>
    </row>
    <row r="18908" spans="1:1" x14ac:dyDescent="0.3">
      <c r="A18908" t="s">
        <v>0</v>
      </c>
    </row>
    <row r="18909" spans="1:1" x14ac:dyDescent="0.3">
      <c r="A18909" t="s">
        <v>0</v>
      </c>
    </row>
    <row r="18910" spans="1:1" x14ac:dyDescent="0.3">
      <c r="A18910" t="s">
        <v>0</v>
      </c>
    </row>
    <row r="18911" spans="1:1" x14ac:dyDescent="0.3">
      <c r="A18911" t="s">
        <v>0</v>
      </c>
    </row>
    <row r="18912" spans="1:1" x14ac:dyDescent="0.3">
      <c r="A18912" t="s">
        <v>0</v>
      </c>
    </row>
    <row r="18913" spans="1:1" x14ac:dyDescent="0.3">
      <c r="A18913" t="s">
        <v>0</v>
      </c>
    </row>
    <row r="18914" spans="1:1" x14ac:dyDescent="0.3">
      <c r="A18914" t="s">
        <v>0</v>
      </c>
    </row>
    <row r="18915" spans="1:1" x14ac:dyDescent="0.3">
      <c r="A18915" t="s">
        <v>0</v>
      </c>
    </row>
    <row r="18916" spans="1:1" x14ac:dyDescent="0.3">
      <c r="A18916" t="s">
        <v>0</v>
      </c>
    </row>
    <row r="18917" spans="1:1" x14ac:dyDescent="0.3">
      <c r="A18917" t="s">
        <v>0</v>
      </c>
    </row>
    <row r="18918" spans="1:1" x14ac:dyDescent="0.3">
      <c r="A18918" t="s">
        <v>0</v>
      </c>
    </row>
    <row r="18919" spans="1:1" x14ac:dyDescent="0.3">
      <c r="A18919" t="s">
        <v>0</v>
      </c>
    </row>
    <row r="18920" spans="1:1" x14ac:dyDescent="0.3">
      <c r="A18920" t="s">
        <v>0</v>
      </c>
    </row>
    <row r="18921" spans="1:1" x14ac:dyDescent="0.3">
      <c r="A18921" t="s">
        <v>0</v>
      </c>
    </row>
    <row r="18922" spans="1:1" x14ac:dyDescent="0.3">
      <c r="A18922" t="s">
        <v>0</v>
      </c>
    </row>
    <row r="18923" spans="1:1" x14ac:dyDescent="0.3">
      <c r="A18923" t="s">
        <v>0</v>
      </c>
    </row>
    <row r="18924" spans="1:1" x14ac:dyDescent="0.3">
      <c r="A18924" t="s">
        <v>0</v>
      </c>
    </row>
    <row r="18925" spans="1:1" x14ac:dyDescent="0.3">
      <c r="A18925" t="s">
        <v>0</v>
      </c>
    </row>
    <row r="18926" spans="1:1" x14ac:dyDescent="0.3">
      <c r="A18926" t="s">
        <v>0</v>
      </c>
    </row>
    <row r="18927" spans="1:1" x14ac:dyDescent="0.3">
      <c r="A18927" t="s">
        <v>0</v>
      </c>
    </row>
    <row r="18928" spans="1:1" x14ac:dyDescent="0.3">
      <c r="A18928" t="s">
        <v>0</v>
      </c>
    </row>
    <row r="18929" spans="1:1" x14ac:dyDescent="0.3">
      <c r="A18929" t="s">
        <v>0</v>
      </c>
    </row>
    <row r="18930" spans="1:1" x14ac:dyDescent="0.3">
      <c r="A18930" t="s">
        <v>0</v>
      </c>
    </row>
    <row r="18931" spans="1:1" x14ac:dyDescent="0.3">
      <c r="A18931" t="s">
        <v>0</v>
      </c>
    </row>
    <row r="18932" spans="1:1" x14ac:dyDescent="0.3">
      <c r="A18932" t="s">
        <v>0</v>
      </c>
    </row>
    <row r="18933" spans="1:1" x14ac:dyDescent="0.3">
      <c r="A18933" t="s">
        <v>0</v>
      </c>
    </row>
    <row r="18934" spans="1:1" x14ac:dyDescent="0.3">
      <c r="A18934" t="s">
        <v>0</v>
      </c>
    </row>
    <row r="18935" spans="1:1" x14ac:dyDescent="0.3">
      <c r="A18935" t="s">
        <v>0</v>
      </c>
    </row>
    <row r="18936" spans="1:1" x14ac:dyDescent="0.3">
      <c r="A18936" t="s">
        <v>0</v>
      </c>
    </row>
    <row r="18937" spans="1:1" x14ac:dyDescent="0.3">
      <c r="A18937" t="s">
        <v>0</v>
      </c>
    </row>
    <row r="18938" spans="1:1" x14ac:dyDescent="0.3">
      <c r="A18938" t="s">
        <v>0</v>
      </c>
    </row>
    <row r="18939" spans="1:1" x14ac:dyDescent="0.3">
      <c r="A18939" t="s">
        <v>0</v>
      </c>
    </row>
    <row r="18940" spans="1:1" x14ac:dyDescent="0.3">
      <c r="A18940" t="s">
        <v>0</v>
      </c>
    </row>
    <row r="18941" spans="1:1" x14ac:dyDescent="0.3">
      <c r="A18941" t="s">
        <v>0</v>
      </c>
    </row>
    <row r="18942" spans="1:1" x14ac:dyDescent="0.3">
      <c r="A18942" t="s">
        <v>0</v>
      </c>
    </row>
    <row r="18943" spans="1:1" x14ac:dyDescent="0.3">
      <c r="A18943" t="s">
        <v>0</v>
      </c>
    </row>
    <row r="18944" spans="1:1" x14ac:dyDescent="0.3">
      <c r="A18944" t="s">
        <v>0</v>
      </c>
    </row>
    <row r="18945" spans="1:1" x14ac:dyDescent="0.3">
      <c r="A18945" t="s">
        <v>0</v>
      </c>
    </row>
    <row r="18946" spans="1:1" x14ac:dyDescent="0.3">
      <c r="A18946" t="s">
        <v>0</v>
      </c>
    </row>
    <row r="18947" spans="1:1" x14ac:dyDescent="0.3">
      <c r="A18947" t="s">
        <v>0</v>
      </c>
    </row>
    <row r="18948" spans="1:1" x14ac:dyDescent="0.3">
      <c r="A18948" t="s">
        <v>0</v>
      </c>
    </row>
    <row r="18949" spans="1:1" x14ac:dyDescent="0.3">
      <c r="A18949" t="s">
        <v>0</v>
      </c>
    </row>
    <row r="18950" spans="1:1" x14ac:dyDescent="0.3">
      <c r="A18950" t="s">
        <v>0</v>
      </c>
    </row>
    <row r="18951" spans="1:1" x14ac:dyDescent="0.3">
      <c r="A18951" t="s">
        <v>0</v>
      </c>
    </row>
    <row r="18952" spans="1:1" x14ac:dyDescent="0.3">
      <c r="A18952" t="s">
        <v>0</v>
      </c>
    </row>
    <row r="18953" spans="1:1" x14ac:dyDescent="0.3">
      <c r="A18953" t="s">
        <v>0</v>
      </c>
    </row>
    <row r="18954" spans="1:1" x14ac:dyDescent="0.3">
      <c r="A18954" t="s">
        <v>0</v>
      </c>
    </row>
    <row r="18955" spans="1:1" x14ac:dyDescent="0.3">
      <c r="A18955" t="s">
        <v>0</v>
      </c>
    </row>
    <row r="18956" spans="1:1" x14ac:dyDescent="0.3">
      <c r="A18956" t="s">
        <v>0</v>
      </c>
    </row>
    <row r="18957" spans="1:1" x14ac:dyDescent="0.3">
      <c r="A18957" t="s">
        <v>0</v>
      </c>
    </row>
    <row r="18958" spans="1:1" x14ac:dyDescent="0.3">
      <c r="A18958" t="s">
        <v>0</v>
      </c>
    </row>
    <row r="18959" spans="1:1" x14ac:dyDescent="0.3">
      <c r="A18959" t="s">
        <v>0</v>
      </c>
    </row>
    <row r="18960" spans="1:1" x14ac:dyDescent="0.3">
      <c r="A18960" t="s">
        <v>0</v>
      </c>
    </row>
    <row r="18961" spans="1:1" x14ac:dyDescent="0.3">
      <c r="A18961" t="s">
        <v>0</v>
      </c>
    </row>
    <row r="18962" spans="1:1" x14ac:dyDescent="0.3">
      <c r="A18962" t="s">
        <v>0</v>
      </c>
    </row>
    <row r="18963" spans="1:1" x14ac:dyDescent="0.3">
      <c r="A18963" t="s">
        <v>0</v>
      </c>
    </row>
    <row r="18964" spans="1:1" x14ac:dyDescent="0.3">
      <c r="A18964" t="s">
        <v>0</v>
      </c>
    </row>
    <row r="18965" spans="1:1" x14ac:dyDescent="0.3">
      <c r="A18965" t="s">
        <v>0</v>
      </c>
    </row>
    <row r="18966" spans="1:1" x14ac:dyDescent="0.3">
      <c r="A18966" t="s">
        <v>0</v>
      </c>
    </row>
    <row r="18967" spans="1:1" x14ac:dyDescent="0.3">
      <c r="A18967" t="s">
        <v>0</v>
      </c>
    </row>
    <row r="18968" spans="1:1" x14ac:dyDescent="0.3">
      <c r="A18968" t="s">
        <v>0</v>
      </c>
    </row>
    <row r="18969" spans="1:1" x14ac:dyDescent="0.3">
      <c r="A18969" t="s">
        <v>0</v>
      </c>
    </row>
    <row r="18970" spans="1:1" x14ac:dyDescent="0.3">
      <c r="A18970" t="s">
        <v>0</v>
      </c>
    </row>
    <row r="18971" spans="1:1" x14ac:dyDescent="0.3">
      <c r="A18971" t="s">
        <v>0</v>
      </c>
    </row>
    <row r="18972" spans="1:1" x14ac:dyDescent="0.3">
      <c r="A18972" t="s">
        <v>0</v>
      </c>
    </row>
    <row r="18973" spans="1:1" x14ac:dyDescent="0.3">
      <c r="A18973" t="s">
        <v>0</v>
      </c>
    </row>
    <row r="18974" spans="1:1" x14ac:dyDescent="0.3">
      <c r="A18974" t="s">
        <v>0</v>
      </c>
    </row>
    <row r="18975" spans="1:1" x14ac:dyDescent="0.3">
      <c r="A18975" t="s">
        <v>0</v>
      </c>
    </row>
    <row r="18976" spans="1:1" x14ac:dyDescent="0.3">
      <c r="A18976" t="s">
        <v>0</v>
      </c>
    </row>
    <row r="18977" spans="1:1" x14ac:dyDescent="0.3">
      <c r="A18977" t="s">
        <v>0</v>
      </c>
    </row>
    <row r="18978" spans="1:1" x14ac:dyDescent="0.3">
      <c r="A18978" t="s">
        <v>0</v>
      </c>
    </row>
    <row r="18979" spans="1:1" x14ac:dyDescent="0.3">
      <c r="A18979" t="s">
        <v>0</v>
      </c>
    </row>
    <row r="18980" spans="1:1" x14ac:dyDescent="0.3">
      <c r="A18980" t="s">
        <v>0</v>
      </c>
    </row>
    <row r="18981" spans="1:1" x14ac:dyDescent="0.3">
      <c r="A18981" t="s">
        <v>0</v>
      </c>
    </row>
    <row r="18982" spans="1:1" x14ac:dyDescent="0.3">
      <c r="A18982" t="s">
        <v>0</v>
      </c>
    </row>
    <row r="18983" spans="1:1" x14ac:dyDescent="0.3">
      <c r="A18983" t="s">
        <v>0</v>
      </c>
    </row>
    <row r="18984" spans="1:1" x14ac:dyDescent="0.3">
      <c r="A18984" t="s">
        <v>0</v>
      </c>
    </row>
    <row r="18985" spans="1:1" x14ac:dyDescent="0.3">
      <c r="A18985" t="s">
        <v>0</v>
      </c>
    </row>
    <row r="18986" spans="1:1" x14ac:dyDescent="0.3">
      <c r="A18986" t="s">
        <v>0</v>
      </c>
    </row>
    <row r="18987" spans="1:1" x14ac:dyDescent="0.3">
      <c r="A18987" t="s">
        <v>0</v>
      </c>
    </row>
    <row r="18988" spans="1:1" x14ac:dyDescent="0.3">
      <c r="A18988" t="s">
        <v>0</v>
      </c>
    </row>
    <row r="18989" spans="1:1" x14ac:dyDescent="0.3">
      <c r="A18989" t="s">
        <v>0</v>
      </c>
    </row>
    <row r="18990" spans="1:1" x14ac:dyDescent="0.3">
      <c r="A18990" t="s">
        <v>0</v>
      </c>
    </row>
    <row r="18991" spans="1:1" x14ac:dyDescent="0.3">
      <c r="A18991" t="s">
        <v>0</v>
      </c>
    </row>
    <row r="18992" spans="1:1" x14ac:dyDescent="0.3">
      <c r="A18992" t="s">
        <v>0</v>
      </c>
    </row>
    <row r="18993" spans="1:1" x14ac:dyDescent="0.3">
      <c r="A18993" t="s">
        <v>0</v>
      </c>
    </row>
    <row r="18994" spans="1:1" x14ac:dyDescent="0.3">
      <c r="A18994" t="s">
        <v>0</v>
      </c>
    </row>
    <row r="18995" spans="1:1" x14ac:dyDescent="0.3">
      <c r="A18995" t="s">
        <v>0</v>
      </c>
    </row>
    <row r="18996" spans="1:1" x14ac:dyDescent="0.3">
      <c r="A18996" t="s">
        <v>0</v>
      </c>
    </row>
    <row r="18997" spans="1:1" x14ac:dyDescent="0.3">
      <c r="A18997" t="s">
        <v>0</v>
      </c>
    </row>
    <row r="18998" spans="1:1" x14ac:dyDescent="0.3">
      <c r="A18998" t="s">
        <v>0</v>
      </c>
    </row>
    <row r="18999" spans="1:1" x14ac:dyDescent="0.3">
      <c r="A18999" t="s">
        <v>0</v>
      </c>
    </row>
    <row r="19000" spans="1:1" x14ac:dyDescent="0.3">
      <c r="A19000" t="s">
        <v>0</v>
      </c>
    </row>
    <row r="19001" spans="1:1" x14ac:dyDescent="0.3">
      <c r="A19001" t="s">
        <v>0</v>
      </c>
    </row>
    <row r="19002" spans="1:1" x14ac:dyDescent="0.3">
      <c r="A19002" t="s">
        <v>0</v>
      </c>
    </row>
    <row r="19003" spans="1:1" x14ac:dyDescent="0.3">
      <c r="A19003" t="s">
        <v>0</v>
      </c>
    </row>
    <row r="19004" spans="1:1" x14ac:dyDescent="0.3">
      <c r="A19004" t="s">
        <v>0</v>
      </c>
    </row>
    <row r="19005" spans="1:1" x14ac:dyDescent="0.3">
      <c r="A19005" t="s">
        <v>0</v>
      </c>
    </row>
    <row r="19006" spans="1:1" x14ac:dyDescent="0.3">
      <c r="A19006" t="s">
        <v>0</v>
      </c>
    </row>
    <row r="19007" spans="1:1" x14ac:dyDescent="0.3">
      <c r="A19007" t="s">
        <v>0</v>
      </c>
    </row>
    <row r="19008" spans="1:1" x14ac:dyDescent="0.3">
      <c r="A19008" t="s">
        <v>0</v>
      </c>
    </row>
    <row r="19009" spans="1:1" x14ac:dyDescent="0.3">
      <c r="A19009" t="s">
        <v>0</v>
      </c>
    </row>
    <row r="19010" spans="1:1" x14ac:dyDescent="0.3">
      <c r="A19010" t="s">
        <v>0</v>
      </c>
    </row>
    <row r="19011" spans="1:1" x14ac:dyDescent="0.3">
      <c r="A19011" t="s">
        <v>0</v>
      </c>
    </row>
    <row r="19012" spans="1:1" x14ac:dyDescent="0.3">
      <c r="A19012" t="s">
        <v>0</v>
      </c>
    </row>
    <row r="19013" spans="1:1" x14ac:dyDescent="0.3">
      <c r="A19013" t="s">
        <v>0</v>
      </c>
    </row>
    <row r="19014" spans="1:1" x14ac:dyDescent="0.3">
      <c r="A19014" t="s">
        <v>0</v>
      </c>
    </row>
    <row r="19015" spans="1:1" x14ac:dyDescent="0.3">
      <c r="A19015" t="s">
        <v>0</v>
      </c>
    </row>
    <row r="19016" spans="1:1" x14ac:dyDescent="0.3">
      <c r="A19016" t="s">
        <v>0</v>
      </c>
    </row>
    <row r="19017" spans="1:1" x14ac:dyDescent="0.3">
      <c r="A19017" t="s">
        <v>0</v>
      </c>
    </row>
    <row r="19018" spans="1:1" x14ac:dyDescent="0.3">
      <c r="A19018" t="s">
        <v>0</v>
      </c>
    </row>
    <row r="19019" spans="1:1" x14ac:dyDescent="0.3">
      <c r="A19019" t="s">
        <v>0</v>
      </c>
    </row>
    <row r="19020" spans="1:1" x14ac:dyDescent="0.3">
      <c r="A19020" t="s">
        <v>0</v>
      </c>
    </row>
    <row r="19021" spans="1:1" x14ac:dyDescent="0.3">
      <c r="A19021" t="s">
        <v>0</v>
      </c>
    </row>
    <row r="19022" spans="1:1" x14ac:dyDescent="0.3">
      <c r="A19022" t="s">
        <v>0</v>
      </c>
    </row>
    <row r="19023" spans="1:1" x14ac:dyDescent="0.3">
      <c r="A19023" t="s">
        <v>0</v>
      </c>
    </row>
    <row r="19024" spans="1:1" x14ac:dyDescent="0.3">
      <c r="A19024" t="s">
        <v>0</v>
      </c>
    </row>
    <row r="19025" spans="1:1" x14ac:dyDescent="0.3">
      <c r="A19025" t="s">
        <v>0</v>
      </c>
    </row>
    <row r="19026" spans="1:1" x14ac:dyDescent="0.3">
      <c r="A19026" t="s">
        <v>0</v>
      </c>
    </row>
    <row r="19027" spans="1:1" x14ac:dyDescent="0.3">
      <c r="A19027" t="s">
        <v>0</v>
      </c>
    </row>
    <row r="19028" spans="1:1" x14ac:dyDescent="0.3">
      <c r="A19028" t="s">
        <v>0</v>
      </c>
    </row>
    <row r="19029" spans="1:1" x14ac:dyDescent="0.3">
      <c r="A19029" t="s">
        <v>0</v>
      </c>
    </row>
    <row r="19030" spans="1:1" x14ac:dyDescent="0.3">
      <c r="A19030" t="s">
        <v>0</v>
      </c>
    </row>
    <row r="19031" spans="1:1" x14ac:dyDescent="0.3">
      <c r="A19031" t="s">
        <v>0</v>
      </c>
    </row>
    <row r="19032" spans="1:1" x14ac:dyDescent="0.3">
      <c r="A19032" t="s">
        <v>0</v>
      </c>
    </row>
    <row r="19033" spans="1:1" x14ac:dyDescent="0.3">
      <c r="A19033" t="s">
        <v>0</v>
      </c>
    </row>
    <row r="19034" spans="1:1" x14ac:dyDescent="0.3">
      <c r="A19034" t="s">
        <v>0</v>
      </c>
    </row>
    <row r="19035" spans="1:1" x14ac:dyDescent="0.3">
      <c r="A19035" t="s">
        <v>0</v>
      </c>
    </row>
    <row r="19036" spans="1:1" x14ac:dyDescent="0.3">
      <c r="A19036" t="s">
        <v>0</v>
      </c>
    </row>
    <row r="19037" spans="1:1" x14ac:dyDescent="0.3">
      <c r="A19037" t="s">
        <v>0</v>
      </c>
    </row>
    <row r="19038" spans="1:1" x14ac:dyDescent="0.3">
      <c r="A19038" t="s">
        <v>0</v>
      </c>
    </row>
    <row r="19039" spans="1:1" x14ac:dyDescent="0.3">
      <c r="A19039" t="s">
        <v>0</v>
      </c>
    </row>
    <row r="19040" spans="1:1" x14ac:dyDescent="0.3">
      <c r="A19040" t="s">
        <v>0</v>
      </c>
    </row>
    <row r="19041" spans="1:1" x14ac:dyDescent="0.3">
      <c r="A19041" t="s">
        <v>0</v>
      </c>
    </row>
    <row r="19042" spans="1:1" x14ac:dyDescent="0.3">
      <c r="A19042" t="s">
        <v>0</v>
      </c>
    </row>
    <row r="19043" spans="1:1" x14ac:dyDescent="0.3">
      <c r="A19043" t="s">
        <v>0</v>
      </c>
    </row>
    <row r="19044" spans="1:1" x14ac:dyDescent="0.3">
      <c r="A19044" t="s">
        <v>0</v>
      </c>
    </row>
    <row r="19045" spans="1:1" x14ac:dyDescent="0.3">
      <c r="A19045" t="s">
        <v>0</v>
      </c>
    </row>
    <row r="19046" spans="1:1" x14ac:dyDescent="0.3">
      <c r="A19046" t="s">
        <v>0</v>
      </c>
    </row>
    <row r="19047" spans="1:1" x14ac:dyDescent="0.3">
      <c r="A19047" t="s">
        <v>0</v>
      </c>
    </row>
    <row r="19048" spans="1:1" x14ac:dyDescent="0.3">
      <c r="A19048" t="s">
        <v>0</v>
      </c>
    </row>
    <row r="19049" spans="1:1" x14ac:dyDescent="0.3">
      <c r="A19049" t="s">
        <v>0</v>
      </c>
    </row>
    <row r="19050" spans="1:1" x14ac:dyDescent="0.3">
      <c r="A19050" t="s">
        <v>0</v>
      </c>
    </row>
    <row r="19051" spans="1:1" x14ac:dyDescent="0.3">
      <c r="A19051" t="s">
        <v>0</v>
      </c>
    </row>
    <row r="19052" spans="1:1" x14ac:dyDescent="0.3">
      <c r="A19052" t="s">
        <v>0</v>
      </c>
    </row>
    <row r="19053" spans="1:1" x14ac:dyDescent="0.3">
      <c r="A19053" t="s">
        <v>0</v>
      </c>
    </row>
    <row r="19054" spans="1:1" x14ac:dyDescent="0.3">
      <c r="A19054" t="s">
        <v>0</v>
      </c>
    </row>
    <row r="19055" spans="1:1" x14ac:dyDescent="0.3">
      <c r="A19055" t="s">
        <v>0</v>
      </c>
    </row>
    <row r="19056" spans="1:1" x14ac:dyDescent="0.3">
      <c r="A19056" t="s">
        <v>0</v>
      </c>
    </row>
    <row r="19057" spans="1:1" x14ac:dyDescent="0.3">
      <c r="A19057" t="s">
        <v>0</v>
      </c>
    </row>
    <row r="19058" spans="1:1" x14ac:dyDescent="0.3">
      <c r="A19058" t="s">
        <v>0</v>
      </c>
    </row>
    <row r="19059" spans="1:1" x14ac:dyDescent="0.3">
      <c r="A19059" t="s">
        <v>0</v>
      </c>
    </row>
    <row r="19060" spans="1:1" x14ac:dyDescent="0.3">
      <c r="A19060" t="s">
        <v>0</v>
      </c>
    </row>
    <row r="19061" spans="1:1" x14ac:dyDescent="0.3">
      <c r="A19061" t="s">
        <v>0</v>
      </c>
    </row>
    <row r="19062" spans="1:1" x14ac:dyDescent="0.3">
      <c r="A19062" t="s">
        <v>0</v>
      </c>
    </row>
    <row r="19063" spans="1:1" x14ac:dyDescent="0.3">
      <c r="A19063" t="s">
        <v>0</v>
      </c>
    </row>
    <row r="19064" spans="1:1" x14ac:dyDescent="0.3">
      <c r="A19064" t="s">
        <v>0</v>
      </c>
    </row>
    <row r="19065" spans="1:1" x14ac:dyDescent="0.3">
      <c r="A19065" t="s">
        <v>0</v>
      </c>
    </row>
    <row r="19066" spans="1:1" x14ac:dyDescent="0.3">
      <c r="A19066" t="s">
        <v>0</v>
      </c>
    </row>
    <row r="19067" spans="1:1" x14ac:dyDescent="0.3">
      <c r="A19067" t="s">
        <v>0</v>
      </c>
    </row>
    <row r="19068" spans="1:1" x14ac:dyDescent="0.3">
      <c r="A19068" t="s">
        <v>0</v>
      </c>
    </row>
    <row r="19069" spans="1:1" x14ac:dyDescent="0.3">
      <c r="A19069" t="s">
        <v>0</v>
      </c>
    </row>
    <row r="19070" spans="1:1" x14ac:dyDescent="0.3">
      <c r="A19070" t="s">
        <v>0</v>
      </c>
    </row>
    <row r="19071" spans="1:1" x14ac:dyDescent="0.3">
      <c r="A19071" t="s">
        <v>0</v>
      </c>
    </row>
    <row r="19072" spans="1:1" x14ac:dyDescent="0.3">
      <c r="A19072" t="s">
        <v>0</v>
      </c>
    </row>
    <row r="19073" spans="1:1" x14ac:dyDescent="0.3">
      <c r="A19073" t="s">
        <v>0</v>
      </c>
    </row>
    <row r="19074" spans="1:1" x14ac:dyDescent="0.3">
      <c r="A19074" t="s">
        <v>0</v>
      </c>
    </row>
    <row r="19075" spans="1:1" x14ac:dyDescent="0.3">
      <c r="A19075" t="s">
        <v>0</v>
      </c>
    </row>
    <row r="19076" spans="1:1" x14ac:dyDescent="0.3">
      <c r="A19076" t="s">
        <v>0</v>
      </c>
    </row>
    <row r="19077" spans="1:1" x14ac:dyDescent="0.3">
      <c r="A19077" t="s">
        <v>0</v>
      </c>
    </row>
    <row r="19078" spans="1:1" x14ac:dyDescent="0.3">
      <c r="A19078" t="s">
        <v>0</v>
      </c>
    </row>
    <row r="19079" spans="1:1" x14ac:dyDescent="0.3">
      <c r="A19079" t="s">
        <v>0</v>
      </c>
    </row>
    <row r="19080" spans="1:1" x14ac:dyDescent="0.3">
      <c r="A19080" t="s">
        <v>0</v>
      </c>
    </row>
    <row r="19081" spans="1:1" x14ac:dyDescent="0.3">
      <c r="A19081" t="s">
        <v>0</v>
      </c>
    </row>
    <row r="19082" spans="1:1" x14ac:dyDescent="0.3">
      <c r="A19082" t="s">
        <v>0</v>
      </c>
    </row>
    <row r="19083" spans="1:1" x14ac:dyDescent="0.3">
      <c r="A19083" t="s">
        <v>0</v>
      </c>
    </row>
    <row r="19084" spans="1:1" x14ac:dyDescent="0.3">
      <c r="A19084" t="s">
        <v>0</v>
      </c>
    </row>
    <row r="19085" spans="1:1" x14ac:dyDescent="0.3">
      <c r="A19085" t="s">
        <v>0</v>
      </c>
    </row>
    <row r="19086" spans="1:1" x14ac:dyDescent="0.3">
      <c r="A19086" t="s">
        <v>0</v>
      </c>
    </row>
    <row r="19087" spans="1:1" x14ac:dyDescent="0.3">
      <c r="A19087" t="s">
        <v>0</v>
      </c>
    </row>
    <row r="19088" spans="1:1" x14ac:dyDescent="0.3">
      <c r="A19088" t="s">
        <v>0</v>
      </c>
    </row>
    <row r="19089" spans="1:1" x14ac:dyDescent="0.3">
      <c r="A19089" t="s">
        <v>0</v>
      </c>
    </row>
    <row r="19090" spans="1:1" x14ac:dyDescent="0.3">
      <c r="A19090" t="s">
        <v>0</v>
      </c>
    </row>
    <row r="19091" spans="1:1" x14ac:dyDescent="0.3">
      <c r="A19091" t="s">
        <v>0</v>
      </c>
    </row>
    <row r="19092" spans="1:1" x14ac:dyDescent="0.3">
      <c r="A19092" t="s">
        <v>0</v>
      </c>
    </row>
    <row r="19093" spans="1:1" x14ac:dyDescent="0.3">
      <c r="A19093" t="s">
        <v>0</v>
      </c>
    </row>
    <row r="19094" spans="1:1" x14ac:dyDescent="0.3">
      <c r="A19094" t="s">
        <v>0</v>
      </c>
    </row>
    <row r="19095" spans="1:1" x14ac:dyDescent="0.3">
      <c r="A19095" t="s">
        <v>0</v>
      </c>
    </row>
    <row r="19096" spans="1:1" x14ac:dyDescent="0.3">
      <c r="A19096" t="s">
        <v>0</v>
      </c>
    </row>
    <row r="19097" spans="1:1" x14ac:dyDescent="0.3">
      <c r="A19097" t="s">
        <v>0</v>
      </c>
    </row>
    <row r="19098" spans="1:1" x14ac:dyDescent="0.3">
      <c r="A19098" t="s">
        <v>0</v>
      </c>
    </row>
    <row r="19099" spans="1:1" x14ac:dyDescent="0.3">
      <c r="A19099" t="s">
        <v>0</v>
      </c>
    </row>
    <row r="19100" spans="1:1" x14ac:dyDescent="0.3">
      <c r="A19100" t="s">
        <v>0</v>
      </c>
    </row>
    <row r="19101" spans="1:1" x14ac:dyDescent="0.3">
      <c r="A19101" t="s">
        <v>0</v>
      </c>
    </row>
    <row r="19102" spans="1:1" x14ac:dyDescent="0.3">
      <c r="A19102" t="s">
        <v>0</v>
      </c>
    </row>
    <row r="19103" spans="1:1" x14ac:dyDescent="0.3">
      <c r="A19103" t="s">
        <v>0</v>
      </c>
    </row>
    <row r="19104" spans="1:1" x14ac:dyDescent="0.3">
      <c r="A19104" t="s">
        <v>0</v>
      </c>
    </row>
    <row r="19105" spans="1:1" x14ac:dyDescent="0.3">
      <c r="A19105" t="s">
        <v>0</v>
      </c>
    </row>
    <row r="19106" spans="1:1" x14ac:dyDescent="0.3">
      <c r="A19106" t="s">
        <v>0</v>
      </c>
    </row>
    <row r="19107" spans="1:1" x14ac:dyDescent="0.3">
      <c r="A19107" t="s">
        <v>0</v>
      </c>
    </row>
    <row r="19108" spans="1:1" x14ac:dyDescent="0.3">
      <c r="A19108" t="s">
        <v>0</v>
      </c>
    </row>
    <row r="19109" spans="1:1" x14ac:dyDescent="0.3">
      <c r="A19109" t="s">
        <v>0</v>
      </c>
    </row>
    <row r="19110" spans="1:1" x14ac:dyDescent="0.3">
      <c r="A19110" t="s">
        <v>0</v>
      </c>
    </row>
    <row r="19111" spans="1:1" x14ac:dyDescent="0.3">
      <c r="A19111" t="s">
        <v>0</v>
      </c>
    </row>
    <row r="19112" spans="1:1" x14ac:dyDescent="0.3">
      <c r="A19112" t="s">
        <v>0</v>
      </c>
    </row>
    <row r="19113" spans="1:1" x14ac:dyDescent="0.3">
      <c r="A19113" t="s">
        <v>0</v>
      </c>
    </row>
    <row r="19114" spans="1:1" x14ac:dyDescent="0.3">
      <c r="A19114" t="s">
        <v>0</v>
      </c>
    </row>
    <row r="19115" spans="1:1" x14ac:dyDescent="0.3">
      <c r="A19115" t="s">
        <v>0</v>
      </c>
    </row>
    <row r="19116" spans="1:1" x14ac:dyDescent="0.3">
      <c r="A19116" t="s">
        <v>0</v>
      </c>
    </row>
    <row r="19117" spans="1:1" x14ac:dyDescent="0.3">
      <c r="A19117" t="s">
        <v>0</v>
      </c>
    </row>
    <row r="19118" spans="1:1" x14ac:dyDescent="0.3">
      <c r="A19118" t="s">
        <v>0</v>
      </c>
    </row>
    <row r="19119" spans="1:1" x14ac:dyDescent="0.3">
      <c r="A19119" t="s">
        <v>0</v>
      </c>
    </row>
    <row r="19120" spans="1:1" x14ac:dyDescent="0.3">
      <c r="A19120" t="s">
        <v>0</v>
      </c>
    </row>
    <row r="19121" spans="1:1" x14ac:dyDescent="0.3">
      <c r="A19121" t="s">
        <v>0</v>
      </c>
    </row>
    <row r="19122" spans="1:1" x14ac:dyDescent="0.3">
      <c r="A19122" t="s">
        <v>0</v>
      </c>
    </row>
    <row r="19123" spans="1:1" x14ac:dyDescent="0.3">
      <c r="A19123" t="s">
        <v>0</v>
      </c>
    </row>
    <row r="19124" spans="1:1" x14ac:dyDescent="0.3">
      <c r="A19124" t="s">
        <v>0</v>
      </c>
    </row>
    <row r="19125" spans="1:1" x14ac:dyDescent="0.3">
      <c r="A19125" t="s">
        <v>0</v>
      </c>
    </row>
    <row r="19126" spans="1:1" x14ac:dyDescent="0.3">
      <c r="A19126" t="s">
        <v>0</v>
      </c>
    </row>
    <row r="19127" spans="1:1" x14ac:dyDescent="0.3">
      <c r="A19127" t="s">
        <v>0</v>
      </c>
    </row>
    <row r="19128" spans="1:1" x14ac:dyDescent="0.3">
      <c r="A19128" t="s">
        <v>0</v>
      </c>
    </row>
    <row r="19129" spans="1:1" x14ac:dyDescent="0.3">
      <c r="A19129" t="s">
        <v>0</v>
      </c>
    </row>
    <row r="19130" spans="1:1" x14ac:dyDescent="0.3">
      <c r="A19130" t="s">
        <v>0</v>
      </c>
    </row>
    <row r="19131" spans="1:1" x14ac:dyDescent="0.3">
      <c r="A19131" t="s">
        <v>0</v>
      </c>
    </row>
    <row r="19132" spans="1:1" x14ac:dyDescent="0.3">
      <c r="A19132" t="s">
        <v>0</v>
      </c>
    </row>
    <row r="19133" spans="1:1" x14ac:dyDescent="0.3">
      <c r="A19133" t="s">
        <v>0</v>
      </c>
    </row>
    <row r="19134" spans="1:1" x14ac:dyDescent="0.3">
      <c r="A19134" t="s">
        <v>0</v>
      </c>
    </row>
    <row r="19135" spans="1:1" x14ac:dyDescent="0.3">
      <c r="A19135" t="s">
        <v>0</v>
      </c>
    </row>
    <row r="19136" spans="1:1" x14ac:dyDescent="0.3">
      <c r="A19136" t="s">
        <v>0</v>
      </c>
    </row>
    <row r="19137" spans="1:1" x14ac:dyDescent="0.3">
      <c r="A19137" t="s">
        <v>0</v>
      </c>
    </row>
    <row r="19138" spans="1:1" x14ac:dyDescent="0.3">
      <c r="A19138" t="s">
        <v>0</v>
      </c>
    </row>
    <row r="19139" spans="1:1" x14ac:dyDescent="0.3">
      <c r="A19139" t="s">
        <v>0</v>
      </c>
    </row>
    <row r="19140" spans="1:1" x14ac:dyDescent="0.3">
      <c r="A19140" t="s">
        <v>0</v>
      </c>
    </row>
    <row r="19141" spans="1:1" x14ac:dyDescent="0.3">
      <c r="A19141" t="s">
        <v>0</v>
      </c>
    </row>
    <row r="19142" spans="1:1" x14ac:dyDescent="0.3">
      <c r="A19142" t="s">
        <v>0</v>
      </c>
    </row>
    <row r="19143" spans="1:1" x14ac:dyDescent="0.3">
      <c r="A19143" t="s">
        <v>0</v>
      </c>
    </row>
    <row r="19144" spans="1:1" x14ac:dyDescent="0.3">
      <c r="A19144" t="s">
        <v>0</v>
      </c>
    </row>
    <row r="19145" spans="1:1" x14ac:dyDescent="0.3">
      <c r="A19145" t="s">
        <v>0</v>
      </c>
    </row>
    <row r="19146" spans="1:1" x14ac:dyDescent="0.3">
      <c r="A19146" t="s">
        <v>0</v>
      </c>
    </row>
    <row r="19147" spans="1:1" x14ac:dyDescent="0.3">
      <c r="A19147" t="s">
        <v>0</v>
      </c>
    </row>
    <row r="19148" spans="1:1" x14ac:dyDescent="0.3">
      <c r="A19148" t="s">
        <v>0</v>
      </c>
    </row>
    <row r="19149" spans="1:1" x14ac:dyDescent="0.3">
      <c r="A19149" t="s">
        <v>0</v>
      </c>
    </row>
    <row r="19150" spans="1:1" x14ac:dyDescent="0.3">
      <c r="A19150" t="s">
        <v>0</v>
      </c>
    </row>
    <row r="19151" spans="1:1" x14ac:dyDescent="0.3">
      <c r="A19151" t="s">
        <v>0</v>
      </c>
    </row>
    <row r="19152" spans="1:1" x14ac:dyDescent="0.3">
      <c r="A19152" t="s">
        <v>0</v>
      </c>
    </row>
    <row r="19153" spans="1:1" x14ac:dyDescent="0.3">
      <c r="A19153" t="s">
        <v>0</v>
      </c>
    </row>
    <row r="19154" spans="1:1" x14ac:dyDescent="0.3">
      <c r="A19154" t="s">
        <v>0</v>
      </c>
    </row>
    <row r="19155" spans="1:1" x14ac:dyDescent="0.3">
      <c r="A19155" t="s">
        <v>0</v>
      </c>
    </row>
    <row r="19156" spans="1:1" x14ac:dyDescent="0.3">
      <c r="A19156" t="s">
        <v>0</v>
      </c>
    </row>
    <row r="19157" spans="1:1" x14ac:dyDescent="0.3">
      <c r="A19157" t="s">
        <v>0</v>
      </c>
    </row>
    <row r="19158" spans="1:1" x14ac:dyDescent="0.3">
      <c r="A19158" t="s">
        <v>0</v>
      </c>
    </row>
    <row r="19159" spans="1:1" x14ac:dyDescent="0.3">
      <c r="A19159" t="s">
        <v>0</v>
      </c>
    </row>
    <row r="19160" spans="1:1" x14ac:dyDescent="0.3">
      <c r="A19160" t="s">
        <v>0</v>
      </c>
    </row>
    <row r="19161" spans="1:1" x14ac:dyDescent="0.3">
      <c r="A19161" t="s">
        <v>0</v>
      </c>
    </row>
    <row r="19162" spans="1:1" x14ac:dyDescent="0.3">
      <c r="A19162" t="s">
        <v>0</v>
      </c>
    </row>
    <row r="19163" spans="1:1" x14ac:dyDescent="0.3">
      <c r="A19163" t="s">
        <v>0</v>
      </c>
    </row>
    <row r="19164" spans="1:1" x14ac:dyDescent="0.3">
      <c r="A19164" t="s">
        <v>0</v>
      </c>
    </row>
    <row r="19165" spans="1:1" x14ac:dyDescent="0.3">
      <c r="A19165" t="s">
        <v>0</v>
      </c>
    </row>
    <row r="19166" spans="1:1" x14ac:dyDescent="0.3">
      <c r="A19166" t="s">
        <v>0</v>
      </c>
    </row>
    <row r="19167" spans="1:1" x14ac:dyDescent="0.3">
      <c r="A19167" t="s">
        <v>0</v>
      </c>
    </row>
    <row r="19168" spans="1:1" x14ac:dyDescent="0.3">
      <c r="A19168" t="s">
        <v>0</v>
      </c>
    </row>
    <row r="19169" spans="1:1" x14ac:dyDescent="0.3">
      <c r="A19169" t="s">
        <v>0</v>
      </c>
    </row>
    <row r="19170" spans="1:1" x14ac:dyDescent="0.3">
      <c r="A19170" t="s">
        <v>0</v>
      </c>
    </row>
    <row r="19171" spans="1:1" x14ac:dyDescent="0.3">
      <c r="A19171" t="s">
        <v>0</v>
      </c>
    </row>
    <row r="19172" spans="1:1" x14ac:dyDescent="0.3">
      <c r="A19172" t="s">
        <v>0</v>
      </c>
    </row>
    <row r="19173" spans="1:1" x14ac:dyDescent="0.3">
      <c r="A19173" t="s">
        <v>0</v>
      </c>
    </row>
    <row r="19174" spans="1:1" x14ac:dyDescent="0.3">
      <c r="A19174" t="s">
        <v>0</v>
      </c>
    </row>
    <row r="19175" spans="1:1" x14ac:dyDescent="0.3">
      <c r="A19175" t="s">
        <v>0</v>
      </c>
    </row>
    <row r="19176" spans="1:1" x14ac:dyDescent="0.3">
      <c r="A19176" t="s">
        <v>0</v>
      </c>
    </row>
    <row r="19177" spans="1:1" x14ac:dyDescent="0.3">
      <c r="A19177" t="s">
        <v>0</v>
      </c>
    </row>
    <row r="19178" spans="1:1" x14ac:dyDescent="0.3">
      <c r="A19178" t="s">
        <v>0</v>
      </c>
    </row>
    <row r="19179" spans="1:1" x14ac:dyDescent="0.3">
      <c r="A19179" t="s">
        <v>0</v>
      </c>
    </row>
    <row r="19180" spans="1:1" x14ac:dyDescent="0.3">
      <c r="A19180" t="s">
        <v>0</v>
      </c>
    </row>
    <row r="19181" spans="1:1" x14ac:dyDescent="0.3">
      <c r="A19181" t="s">
        <v>0</v>
      </c>
    </row>
    <row r="19182" spans="1:1" x14ac:dyDescent="0.3">
      <c r="A19182" t="s">
        <v>0</v>
      </c>
    </row>
    <row r="19183" spans="1:1" x14ac:dyDescent="0.3">
      <c r="A19183" t="s">
        <v>0</v>
      </c>
    </row>
    <row r="19184" spans="1:1" x14ac:dyDescent="0.3">
      <c r="A19184" t="s">
        <v>0</v>
      </c>
    </row>
    <row r="19185" spans="1:1" x14ac:dyDescent="0.3">
      <c r="A19185" t="s">
        <v>0</v>
      </c>
    </row>
    <row r="19186" spans="1:1" x14ac:dyDescent="0.3">
      <c r="A19186" t="s">
        <v>0</v>
      </c>
    </row>
    <row r="19187" spans="1:1" x14ac:dyDescent="0.3">
      <c r="A19187" t="s">
        <v>0</v>
      </c>
    </row>
    <row r="19188" spans="1:1" x14ac:dyDescent="0.3">
      <c r="A19188" t="s">
        <v>0</v>
      </c>
    </row>
    <row r="19189" spans="1:1" x14ac:dyDescent="0.3">
      <c r="A19189" t="s">
        <v>0</v>
      </c>
    </row>
    <row r="19190" spans="1:1" x14ac:dyDescent="0.3">
      <c r="A19190" t="s">
        <v>0</v>
      </c>
    </row>
    <row r="19191" spans="1:1" x14ac:dyDescent="0.3">
      <c r="A19191" t="s">
        <v>0</v>
      </c>
    </row>
    <row r="19192" spans="1:1" x14ac:dyDescent="0.3">
      <c r="A19192" t="s">
        <v>0</v>
      </c>
    </row>
    <row r="19193" spans="1:1" x14ac:dyDescent="0.3">
      <c r="A19193" t="s">
        <v>0</v>
      </c>
    </row>
    <row r="19194" spans="1:1" x14ac:dyDescent="0.3">
      <c r="A19194" t="s">
        <v>0</v>
      </c>
    </row>
    <row r="19195" spans="1:1" x14ac:dyDescent="0.3">
      <c r="A19195" t="s">
        <v>0</v>
      </c>
    </row>
    <row r="19196" spans="1:1" x14ac:dyDescent="0.3">
      <c r="A19196" t="s">
        <v>0</v>
      </c>
    </row>
    <row r="19197" spans="1:1" x14ac:dyDescent="0.3">
      <c r="A19197" t="s">
        <v>0</v>
      </c>
    </row>
    <row r="19198" spans="1:1" x14ac:dyDescent="0.3">
      <c r="A19198" t="s">
        <v>0</v>
      </c>
    </row>
    <row r="19199" spans="1:1" x14ac:dyDescent="0.3">
      <c r="A19199" t="s">
        <v>0</v>
      </c>
    </row>
    <row r="19200" spans="1:1" x14ac:dyDescent="0.3">
      <c r="A19200" t="s">
        <v>0</v>
      </c>
    </row>
    <row r="19201" spans="1:1" x14ac:dyDescent="0.3">
      <c r="A19201" t="s">
        <v>0</v>
      </c>
    </row>
    <row r="19202" spans="1:1" x14ac:dyDescent="0.3">
      <c r="A19202" t="s">
        <v>0</v>
      </c>
    </row>
    <row r="19203" spans="1:1" x14ac:dyDescent="0.3">
      <c r="A19203" t="s">
        <v>0</v>
      </c>
    </row>
    <row r="19204" spans="1:1" x14ac:dyDescent="0.3">
      <c r="A19204" t="s">
        <v>0</v>
      </c>
    </row>
    <row r="19205" spans="1:1" x14ac:dyDescent="0.3">
      <c r="A19205" t="s">
        <v>0</v>
      </c>
    </row>
    <row r="19206" spans="1:1" x14ac:dyDescent="0.3">
      <c r="A19206" t="s">
        <v>0</v>
      </c>
    </row>
    <row r="19207" spans="1:1" x14ac:dyDescent="0.3">
      <c r="A19207" t="s">
        <v>0</v>
      </c>
    </row>
    <row r="19208" spans="1:1" x14ac:dyDescent="0.3">
      <c r="A19208" t="s">
        <v>0</v>
      </c>
    </row>
    <row r="19209" spans="1:1" x14ac:dyDescent="0.3">
      <c r="A19209" t="s">
        <v>0</v>
      </c>
    </row>
    <row r="19210" spans="1:1" x14ac:dyDescent="0.3">
      <c r="A19210" t="s">
        <v>0</v>
      </c>
    </row>
    <row r="19211" spans="1:1" x14ac:dyDescent="0.3">
      <c r="A19211" t="s">
        <v>0</v>
      </c>
    </row>
    <row r="19212" spans="1:1" x14ac:dyDescent="0.3">
      <c r="A19212" t="s">
        <v>0</v>
      </c>
    </row>
    <row r="19213" spans="1:1" x14ac:dyDescent="0.3">
      <c r="A19213" t="s">
        <v>0</v>
      </c>
    </row>
    <row r="19214" spans="1:1" x14ac:dyDescent="0.3">
      <c r="A19214" t="s">
        <v>0</v>
      </c>
    </row>
    <row r="19215" spans="1:1" x14ac:dyDescent="0.3">
      <c r="A19215" t="s">
        <v>0</v>
      </c>
    </row>
    <row r="19216" spans="1:1" x14ac:dyDescent="0.3">
      <c r="A19216" t="s">
        <v>0</v>
      </c>
    </row>
    <row r="19217" spans="1:1" x14ac:dyDescent="0.3">
      <c r="A19217" t="s">
        <v>0</v>
      </c>
    </row>
    <row r="19218" spans="1:1" x14ac:dyDescent="0.3">
      <c r="A19218" t="s">
        <v>0</v>
      </c>
    </row>
    <row r="19219" spans="1:1" x14ac:dyDescent="0.3">
      <c r="A19219" t="s">
        <v>0</v>
      </c>
    </row>
    <row r="19220" spans="1:1" x14ac:dyDescent="0.3">
      <c r="A19220" t="s">
        <v>0</v>
      </c>
    </row>
    <row r="19221" spans="1:1" x14ac:dyDescent="0.3">
      <c r="A19221" t="s">
        <v>0</v>
      </c>
    </row>
    <row r="19222" spans="1:1" x14ac:dyDescent="0.3">
      <c r="A19222" t="s">
        <v>0</v>
      </c>
    </row>
    <row r="19223" spans="1:1" x14ac:dyDescent="0.3">
      <c r="A19223" t="s">
        <v>0</v>
      </c>
    </row>
    <row r="19224" spans="1:1" x14ac:dyDescent="0.3">
      <c r="A19224" t="s">
        <v>0</v>
      </c>
    </row>
    <row r="19225" spans="1:1" x14ac:dyDescent="0.3">
      <c r="A19225" t="s">
        <v>0</v>
      </c>
    </row>
    <row r="19226" spans="1:1" x14ac:dyDescent="0.3">
      <c r="A19226" t="s">
        <v>0</v>
      </c>
    </row>
    <row r="19227" spans="1:1" x14ac:dyDescent="0.3">
      <c r="A19227" t="s">
        <v>0</v>
      </c>
    </row>
    <row r="19228" spans="1:1" x14ac:dyDescent="0.3">
      <c r="A19228" t="s">
        <v>0</v>
      </c>
    </row>
    <row r="19229" spans="1:1" x14ac:dyDescent="0.3">
      <c r="A19229" t="s">
        <v>0</v>
      </c>
    </row>
    <row r="19230" spans="1:1" x14ac:dyDescent="0.3">
      <c r="A19230" t="s">
        <v>0</v>
      </c>
    </row>
    <row r="19231" spans="1:1" x14ac:dyDescent="0.3">
      <c r="A19231" t="s">
        <v>0</v>
      </c>
    </row>
    <row r="19232" spans="1:1" x14ac:dyDescent="0.3">
      <c r="A19232" t="s">
        <v>0</v>
      </c>
    </row>
    <row r="19233" spans="1:1" x14ac:dyDescent="0.3">
      <c r="A19233" t="s">
        <v>0</v>
      </c>
    </row>
    <row r="19234" spans="1:1" x14ac:dyDescent="0.3">
      <c r="A19234" t="s">
        <v>0</v>
      </c>
    </row>
    <row r="19235" spans="1:1" x14ac:dyDescent="0.3">
      <c r="A19235" t="s">
        <v>0</v>
      </c>
    </row>
    <row r="19236" spans="1:1" x14ac:dyDescent="0.3">
      <c r="A19236" t="s">
        <v>0</v>
      </c>
    </row>
    <row r="19237" spans="1:1" x14ac:dyDescent="0.3">
      <c r="A19237" t="s">
        <v>0</v>
      </c>
    </row>
    <row r="19238" spans="1:1" x14ac:dyDescent="0.3">
      <c r="A19238" t="s">
        <v>0</v>
      </c>
    </row>
    <row r="19239" spans="1:1" x14ac:dyDescent="0.3">
      <c r="A19239" t="s">
        <v>0</v>
      </c>
    </row>
    <row r="19240" spans="1:1" x14ac:dyDescent="0.3">
      <c r="A19240" t="s">
        <v>0</v>
      </c>
    </row>
    <row r="19241" spans="1:1" x14ac:dyDescent="0.3">
      <c r="A19241" t="s">
        <v>0</v>
      </c>
    </row>
    <row r="19242" spans="1:1" x14ac:dyDescent="0.3">
      <c r="A19242" t="s">
        <v>0</v>
      </c>
    </row>
    <row r="19243" spans="1:1" x14ac:dyDescent="0.3">
      <c r="A19243" t="s">
        <v>0</v>
      </c>
    </row>
    <row r="19244" spans="1:1" x14ac:dyDescent="0.3">
      <c r="A19244" t="s">
        <v>0</v>
      </c>
    </row>
    <row r="19245" spans="1:1" x14ac:dyDescent="0.3">
      <c r="A19245" t="s">
        <v>0</v>
      </c>
    </row>
    <row r="19246" spans="1:1" x14ac:dyDescent="0.3">
      <c r="A19246" t="s">
        <v>0</v>
      </c>
    </row>
    <row r="19247" spans="1:1" x14ac:dyDescent="0.3">
      <c r="A19247" t="s">
        <v>0</v>
      </c>
    </row>
    <row r="19248" spans="1:1" x14ac:dyDescent="0.3">
      <c r="A19248" t="s">
        <v>0</v>
      </c>
    </row>
    <row r="19249" spans="1:1" x14ac:dyDescent="0.3">
      <c r="A19249" t="s">
        <v>0</v>
      </c>
    </row>
    <row r="19250" spans="1:1" x14ac:dyDescent="0.3">
      <c r="A19250" t="s">
        <v>0</v>
      </c>
    </row>
    <row r="19251" spans="1:1" x14ac:dyDescent="0.3">
      <c r="A19251" t="s">
        <v>0</v>
      </c>
    </row>
    <row r="19252" spans="1:1" x14ac:dyDescent="0.3">
      <c r="A19252" t="s">
        <v>0</v>
      </c>
    </row>
    <row r="19253" spans="1:1" x14ac:dyDescent="0.3">
      <c r="A19253" t="s">
        <v>0</v>
      </c>
    </row>
    <row r="19254" spans="1:1" x14ac:dyDescent="0.3">
      <c r="A19254" t="s">
        <v>0</v>
      </c>
    </row>
    <row r="19255" spans="1:1" x14ac:dyDescent="0.3">
      <c r="A19255" t="s">
        <v>0</v>
      </c>
    </row>
    <row r="19256" spans="1:1" x14ac:dyDescent="0.3">
      <c r="A19256" t="s">
        <v>0</v>
      </c>
    </row>
    <row r="19257" spans="1:1" x14ac:dyDescent="0.3">
      <c r="A19257" t="s">
        <v>0</v>
      </c>
    </row>
    <row r="19258" spans="1:1" x14ac:dyDescent="0.3">
      <c r="A19258" t="s">
        <v>0</v>
      </c>
    </row>
    <row r="19259" spans="1:1" x14ac:dyDescent="0.3">
      <c r="A19259" t="s">
        <v>0</v>
      </c>
    </row>
    <row r="19260" spans="1:1" x14ac:dyDescent="0.3">
      <c r="A19260" t="s">
        <v>0</v>
      </c>
    </row>
    <row r="19261" spans="1:1" x14ac:dyDescent="0.3">
      <c r="A19261" t="s">
        <v>0</v>
      </c>
    </row>
    <row r="19262" spans="1:1" x14ac:dyDescent="0.3">
      <c r="A19262" t="s">
        <v>0</v>
      </c>
    </row>
    <row r="19263" spans="1:1" x14ac:dyDescent="0.3">
      <c r="A19263" t="s">
        <v>0</v>
      </c>
    </row>
    <row r="19264" spans="1:1" x14ac:dyDescent="0.3">
      <c r="A19264" t="s">
        <v>0</v>
      </c>
    </row>
    <row r="19265" spans="1:1" x14ac:dyDescent="0.3">
      <c r="A19265" t="s">
        <v>0</v>
      </c>
    </row>
    <row r="19266" spans="1:1" x14ac:dyDescent="0.3">
      <c r="A19266" t="s">
        <v>0</v>
      </c>
    </row>
    <row r="19267" spans="1:1" x14ac:dyDescent="0.3">
      <c r="A19267" t="s">
        <v>0</v>
      </c>
    </row>
    <row r="19268" spans="1:1" x14ac:dyDescent="0.3">
      <c r="A19268" t="s">
        <v>0</v>
      </c>
    </row>
    <row r="19269" spans="1:1" x14ac:dyDescent="0.3">
      <c r="A19269" t="s">
        <v>0</v>
      </c>
    </row>
    <row r="19270" spans="1:1" x14ac:dyDescent="0.3">
      <c r="A19270" t="s">
        <v>0</v>
      </c>
    </row>
    <row r="19271" spans="1:1" x14ac:dyDescent="0.3">
      <c r="A19271" t="s">
        <v>0</v>
      </c>
    </row>
    <row r="19272" spans="1:1" x14ac:dyDescent="0.3">
      <c r="A19272" t="s">
        <v>0</v>
      </c>
    </row>
    <row r="19273" spans="1:1" x14ac:dyDescent="0.3">
      <c r="A19273" t="s">
        <v>0</v>
      </c>
    </row>
    <row r="19274" spans="1:1" x14ac:dyDescent="0.3">
      <c r="A19274" t="s">
        <v>0</v>
      </c>
    </row>
    <row r="19275" spans="1:1" x14ac:dyDescent="0.3">
      <c r="A19275" t="s">
        <v>0</v>
      </c>
    </row>
    <row r="19276" spans="1:1" x14ac:dyDescent="0.3">
      <c r="A19276" t="s">
        <v>0</v>
      </c>
    </row>
    <row r="19277" spans="1:1" x14ac:dyDescent="0.3">
      <c r="A19277" t="s">
        <v>0</v>
      </c>
    </row>
    <row r="19278" spans="1:1" x14ac:dyDescent="0.3">
      <c r="A19278" t="s">
        <v>0</v>
      </c>
    </row>
    <row r="19279" spans="1:1" x14ac:dyDescent="0.3">
      <c r="A19279" t="s">
        <v>0</v>
      </c>
    </row>
    <row r="19280" spans="1:1" x14ac:dyDescent="0.3">
      <c r="A19280" t="s">
        <v>0</v>
      </c>
    </row>
    <row r="19281" spans="1:1" x14ac:dyDescent="0.3">
      <c r="A19281" t="s">
        <v>0</v>
      </c>
    </row>
    <row r="19282" spans="1:1" x14ac:dyDescent="0.3">
      <c r="A19282" t="s">
        <v>0</v>
      </c>
    </row>
    <row r="19283" spans="1:1" x14ac:dyDescent="0.3">
      <c r="A19283" t="s">
        <v>0</v>
      </c>
    </row>
    <row r="19284" spans="1:1" x14ac:dyDescent="0.3">
      <c r="A19284" t="s">
        <v>0</v>
      </c>
    </row>
    <row r="19285" spans="1:1" x14ac:dyDescent="0.3">
      <c r="A19285" t="s">
        <v>0</v>
      </c>
    </row>
    <row r="19286" spans="1:1" x14ac:dyDescent="0.3">
      <c r="A19286" t="s">
        <v>0</v>
      </c>
    </row>
    <row r="19287" spans="1:1" x14ac:dyDescent="0.3">
      <c r="A19287" t="s">
        <v>0</v>
      </c>
    </row>
    <row r="19288" spans="1:1" x14ac:dyDescent="0.3">
      <c r="A19288" t="s">
        <v>0</v>
      </c>
    </row>
    <row r="19289" spans="1:1" x14ac:dyDescent="0.3">
      <c r="A19289" t="s">
        <v>0</v>
      </c>
    </row>
    <row r="19290" spans="1:1" x14ac:dyDescent="0.3">
      <c r="A19290" t="s">
        <v>0</v>
      </c>
    </row>
    <row r="19291" spans="1:1" x14ac:dyDescent="0.3">
      <c r="A19291" t="s">
        <v>0</v>
      </c>
    </row>
    <row r="19292" spans="1:1" x14ac:dyDescent="0.3">
      <c r="A19292" t="s">
        <v>0</v>
      </c>
    </row>
    <row r="19293" spans="1:1" x14ac:dyDescent="0.3">
      <c r="A19293" t="s">
        <v>0</v>
      </c>
    </row>
    <row r="19294" spans="1:1" x14ac:dyDescent="0.3">
      <c r="A19294" t="s">
        <v>0</v>
      </c>
    </row>
    <row r="19295" spans="1:1" x14ac:dyDescent="0.3">
      <c r="A19295" t="s">
        <v>0</v>
      </c>
    </row>
    <row r="19296" spans="1:1" x14ac:dyDescent="0.3">
      <c r="A19296" t="s">
        <v>0</v>
      </c>
    </row>
    <row r="19297" spans="1:1" x14ac:dyDescent="0.3">
      <c r="A19297" t="s">
        <v>0</v>
      </c>
    </row>
    <row r="19298" spans="1:1" x14ac:dyDescent="0.3">
      <c r="A19298" t="s">
        <v>0</v>
      </c>
    </row>
    <row r="19299" spans="1:1" x14ac:dyDescent="0.3">
      <c r="A19299" t="s">
        <v>0</v>
      </c>
    </row>
    <row r="19300" spans="1:1" x14ac:dyDescent="0.3">
      <c r="A19300" t="s">
        <v>0</v>
      </c>
    </row>
    <row r="19301" spans="1:1" x14ac:dyDescent="0.3">
      <c r="A19301" t="s">
        <v>0</v>
      </c>
    </row>
    <row r="19302" spans="1:1" x14ac:dyDescent="0.3">
      <c r="A19302" t="s">
        <v>0</v>
      </c>
    </row>
    <row r="19303" spans="1:1" x14ac:dyDescent="0.3">
      <c r="A19303" t="s">
        <v>0</v>
      </c>
    </row>
    <row r="19304" spans="1:1" x14ac:dyDescent="0.3">
      <c r="A19304" t="s">
        <v>0</v>
      </c>
    </row>
    <row r="19305" spans="1:1" x14ac:dyDescent="0.3">
      <c r="A19305" t="s">
        <v>0</v>
      </c>
    </row>
    <row r="19306" spans="1:1" x14ac:dyDescent="0.3">
      <c r="A19306" t="s">
        <v>0</v>
      </c>
    </row>
    <row r="19307" spans="1:1" x14ac:dyDescent="0.3">
      <c r="A19307" t="s">
        <v>0</v>
      </c>
    </row>
    <row r="19308" spans="1:1" x14ac:dyDescent="0.3">
      <c r="A19308" t="s">
        <v>0</v>
      </c>
    </row>
    <row r="19309" spans="1:1" x14ac:dyDescent="0.3">
      <c r="A19309" t="s">
        <v>0</v>
      </c>
    </row>
    <row r="19310" spans="1:1" x14ac:dyDescent="0.3">
      <c r="A19310" t="s">
        <v>0</v>
      </c>
    </row>
    <row r="19311" spans="1:1" x14ac:dyDescent="0.3">
      <c r="A19311" t="s">
        <v>0</v>
      </c>
    </row>
    <row r="19312" spans="1:1" x14ac:dyDescent="0.3">
      <c r="A19312" t="s">
        <v>0</v>
      </c>
    </row>
    <row r="19313" spans="1:1" x14ac:dyDescent="0.3">
      <c r="A19313" t="s">
        <v>0</v>
      </c>
    </row>
    <row r="19314" spans="1:1" x14ac:dyDescent="0.3">
      <c r="A19314" t="s">
        <v>0</v>
      </c>
    </row>
    <row r="19315" spans="1:1" x14ac:dyDescent="0.3">
      <c r="A19315" t="s">
        <v>0</v>
      </c>
    </row>
    <row r="19316" spans="1:1" x14ac:dyDescent="0.3">
      <c r="A19316" t="s">
        <v>0</v>
      </c>
    </row>
    <row r="19317" spans="1:1" x14ac:dyDescent="0.3">
      <c r="A19317" t="s">
        <v>0</v>
      </c>
    </row>
    <row r="19318" spans="1:1" x14ac:dyDescent="0.3">
      <c r="A19318" t="s">
        <v>0</v>
      </c>
    </row>
    <row r="19319" spans="1:1" x14ac:dyDescent="0.3">
      <c r="A19319" t="s">
        <v>0</v>
      </c>
    </row>
    <row r="19320" spans="1:1" x14ac:dyDescent="0.3">
      <c r="A19320" t="s">
        <v>0</v>
      </c>
    </row>
    <row r="19321" spans="1:1" x14ac:dyDescent="0.3">
      <c r="A19321" t="s">
        <v>0</v>
      </c>
    </row>
    <row r="19322" spans="1:1" x14ac:dyDescent="0.3">
      <c r="A19322" t="s">
        <v>0</v>
      </c>
    </row>
    <row r="19323" spans="1:1" x14ac:dyDescent="0.3">
      <c r="A19323" t="s">
        <v>0</v>
      </c>
    </row>
    <row r="19324" spans="1:1" x14ac:dyDescent="0.3">
      <c r="A19324" t="s">
        <v>0</v>
      </c>
    </row>
    <row r="19325" spans="1:1" x14ac:dyDescent="0.3">
      <c r="A19325" t="s">
        <v>0</v>
      </c>
    </row>
    <row r="19326" spans="1:1" x14ac:dyDescent="0.3">
      <c r="A19326" t="s">
        <v>0</v>
      </c>
    </row>
    <row r="19327" spans="1:1" x14ac:dyDescent="0.3">
      <c r="A19327" t="s">
        <v>0</v>
      </c>
    </row>
    <row r="19328" spans="1:1" x14ac:dyDescent="0.3">
      <c r="A19328" t="s">
        <v>0</v>
      </c>
    </row>
    <row r="19329" spans="1:1" x14ac:dyDescent="0.3">
      <c r="A19329" t="s">
        <v>0</v>
      </c>
    </row>
    <row r="19330" spans="1:1" x14ac:dyDescent="0.3">
      <c r="A19330" t="s">
        <v>0</v>
      </c>
    </row>
    <row r="19331" spans="1:1" x14ac:dyDescent="0.3">
      <c r="A19331" t="s">
        <v>0</v>
      </c>
    </row>
    <row r="19332" spans="1:1" x14ac:dyDescent="0.3">
      <c r="A19332" t="s">
        <v>0</v>
      </c>
    </row>
    <row r="19333" spans="1:1" x14ac:dyDescent="0.3">
      <c r="A19333" t="s">
        <v>0</v>
      </c>
    </row>
    <row r="19334" spans="1:1" x14ac:dyDescent="0.3">
      <c r="A19334" t="s">
        <v>0</v>
      </c>
    </row>
    <row r="19335" spans="1:1" x14ac:dyDescent="0.3">
      <c r="A19335" t="s">
        <v>0</v>
      </c>
    </row>
    <row r="19336" spans="1:1" x14ac:dyDescent="0.3">
      <c r="A19336" t="s">
        <v>0</v>
      </c>
    </row>
    <row r="19337" spans="1:1" x14ac:dyDescent="0.3">
      <c r="A19337" t="s">
        <v>0</v>
      </c>
    </row>
    <row r="19338" spans="1:1" x14ac:dyDescent="0.3">
      <c r="A19338" t="s">
        <v>0</v>
      </c>
    </row>
    <row r="19339" spans="1:1" x14ac:dyDescent="0.3">
      <c r="A19339" t="s">
        <v>0</v>
      </c>
    </row>
    <row r="19340" spans="1:1" x14ac:dyDescent="0.3">
      <c r="A19340" t="s">
        <v>0</v>
      </c>
    </row>
    <row r="19341" spans="1:1" x14ac:dyDescent="0.3">
      <c r="A19341" t="s">
        <v>0</v>
      </c>
    </row>
    <row r="19342" spans="1:1" x14ac:dyDescent="0.3">
      <c r="A19342" t="s">
        <v>0</v>
      </c>
    </row>
    <row r="19343" spans="1:1" x14ac:dyDescent="0.3">
      <c r="A19343" t="s">
        <v>0</v>
      </c>
    </row>
    <row r="19344" spans="1:1" x14ac:dyDescent="0.3">
      <c r="A19344" t="s">
        <v>0</v>
      </c>
    </row>
    <row r="19345" spans="1:1" x14ac:dyDescent="0.3">
      <c r="A19345" t="s">
        <v>0</v>
      </c>
    </row>
    <row r="19346" spans="1:1" x14ac:dyDescent="0.3">
      <c r="A19346" t="s">
        <v>0</v>
      </c>
    </row>
    <row r="19347" spans="1:1" x14ac:dyDescent="0.3">
      <c r="A19347" t="s">
        <v>0</v>
      </c>
    </row>
    <row r="19348" spans="1:1" x14ac:dyDescent="0.3">
      <c r="A19348" t="s">
        <v>0</v>
      </c>
    </row>
    <row r="19349" spans="1:1" x14ac:dyDescent="0.3">
      <c r="A19349" t="s">
        <v>0</v>
      </c>
    </row>
    <row r="19350" spans="1:1" x14ac:dyDescent="0.3">
      <c r="A19350" t="s">
        <v>0</v>
      </c>
    </row>
    <row r="19351" spans="1:1" x14ac:dyDescent="0.3">
      <c r="A19351" t="s">
        <v>0</v>
      </c>
    </row>
    <row r="19352" spans="1:1" x14ac:dyDescent="0.3">
      <c r="A19352" t="s">
        <v>0</v>
      </c>
    </row>
    <row r="19353" spans="1:1" x14ac:dyDescent="0.3">
      <c r="A19353" t="s">
        <v>0</v>
      </c>
    </row>
    <row r="19354" spans="1:1" x14ac:dyDescent="0.3">
      <c r="A19354" t="s">
        <v>0</v>
      </c>
    </row>
    <row r="19355" spans="1:1" x14ac:dyDescent="0.3">
      <c r="A19355" t="s">
        <v>0</v>
      </c>
    </row>
    <row r="19356" spans="1:1" x14ac:dyDescent="0.3">
      <c r="A19356" t="s">
        <v>0</v>
      </c>
    </row>
    <row r="19357" spans="1:1" x14ac:dyDescent="0.3">
      <c r="A19357" t="s">
        <v>0</v>
      </c>
    </row>
    <row r="19358" spans="1:1" x14ac:dyDescent="0.3">
      <c r="A19358" t="s">
        <v>0</v>
      </c>
    </row>
    <row r="19359" spans="1:1" x14ac:dyDescent="0.3">
      <c r="A19359" t="s">
        <v>0</v>
      </c>
    </row>
    <row r="19360" spans="1:1" x14ac:dyDescent="0.3">
      <c r="A19360" t="s">
        <v>0</v>
      </c>
    </row>
    <row r="19361" spans="1:1" x14ac:dyDescent="0.3">
      <c r="A19361" t="s">
        <v>0</v>
      </c>
    </row>
    <row r="19362" spans="1:1" x14ac:dyDescent="0.3">
      <c r="A19362" t="s">
        <v>0</v>
      </c>
    </row>
    <row r="19363" spans="1:1" x14ac:dyDescent="0.3">
      <c r="A19363" t="s">
        <v>0</v>
      </c>
    </row>
    <row r="19364" spans="1:1" x14ac:dyDescent="0.3">
      <c r="A19364" t="s">
        <v>0</v>
      </c>
    </row>
    <row r="19365" spans="1:1" x14ac:dyDescent="0.3">
      <c r="A19365" t="s">
        <v>0</v>
      </c>
    </row>
    <row r="19366" spans="1:1" x14ac:dyDescent="0.3">
      <c r="A19366" t="s">
        <v>0</v>
      </c>
    </row>
    <row r="19367" spans="1:1" x14ac:dyDescent="0.3">
      <c r="A19367" t="s">
        <v>0</v>
      </c>
    </row>
    <row r="19368" spans="1:1" x14ac:dyDescent="0.3">
      <c r="A19368" t="s">
        <v>0</v>
      </c>
    </row>
    <row r="19369" spans="1:1" x14ac:dyDescent="0.3">
      <c r="A19369" t="s">
        <v>0</v>
      </c>
    </row>
    <row r="19370" spans="1:1" x14ac:dyDescent="0.3">
      <c r="A19370" t="s">
        <v>0</v>
      </c>
    </row>
    <row r="19371" spans="1:1" x14ac:dyDescent="0.3">
      <c r="A19371" t="s">
        <v>0</v>
      </c>
    </row>
    <row r="19372" spans="1:1" x14ac:dyDescent="0.3">
      <c r="A19372" t="s">
        <v>0</v>
      </c>
    </row>
    <row r="19373" spans="1:1" x14ac:dyDescent="0.3">
      <c r="A19373" t="s">
        <v>0</v>
      </c>
    </row>
    <row r="19374" spans="1:1" x14ac:dyDescent="0.3">
      <c r="A19374" t="s">
        <v>0</v>
      </c>
    </row>
    <row r="19375" spans="1:1" x14ac:dyDescent="0.3">
      <c r="A19375" t="s">
        <v>0</v>
      </c>
    </row>
    <row r="19376" spans="1:1" x14ac:dyDescent="0.3">
      <c r="A19376" t="s">
        <v>0</v>
      </c>
    </row>
    <row r="19377" spans="1:1" x14ac:dyDescent="0.3">
      <c r="A19377" t="s">
        <v>0</v>
      </c>
    </row>
    <row r="19378" spans="1:1" x14ac:dyDescent="0.3">
      <c r="A19378" t="s">
        <v>0</v>
      </c>
    </row>
    <row r="19379" spans="1:1" x14ac:dyDescent="0.3">
      <c r="A19379" t="s">
        <v>0</v>
      </c>
    </row>
    <row r="19380" spans="1:1" x14ac:dyDescent="0.3">
      <c r="A19380" t="s">
        <v>0</v>
      </c>
    </row>
    <row r="19381" spans="1:1" x14ac:dyDescent="0.3">
      <c r="A19381" t="s">
        <v>0</v>
      </c>
    </row>
    <row r="19382" spans="1:1" x14ac:dyDescent="0.3">
      <c r="A19382" t="s">
        <v>0</v>
      </c>
    </row>
    <row r="19383" spans="1:1" x14ac:dyDescent="0.3">
      <c r="A19383" t="s">
        <v>0</v>
      </c>
    </row>
    <row r="19384" spans="1:1" x14ac:dyDescent="0.3">
      <c r="A19384" t="s">
        <v>0</v>
      </c>
    </row>
    <row r="19385" spans="1:1" x14ac:dyDescent="0.3">
      <c r="A19385" t="s">
        <v>0</v>
      </c>
    </row>
    <row r="19386" spans="1:1" x14ac:dyDescent="0.3">
      <c r="A19386" t="s">
        <v>0</v>
      </c>
    </row>
    <row r="19387" spans="1:1" x14ac:dyDescent="0.3">
      <c r="A19387" t="s">
        <v>0</v>
      </c>
    </row>
    <row r="19388" spans="1:1" x14ac:dyDescent="0.3">
      <c r="A19388" t="s">
        <v>0</v>
      </c>
    </row>
    <row r="19389" spans="1:1" x14ac:dyDescent="0.3">
      <c r="A19389" t="s">
        <v>0</v>
      </c>
    </row>
    <row r="19390" spans="1:1" x14ac:dyDescent="0.3">
      <c r="A19390" t="s">
        <v>0</v>
      </c>
    </row>
    <row r="19391" spans="1:1" x14ac:dyDescent="0.3">
      <c r="A19391" t="s">
        <v>0</v>
      </c>
    </row>
    <row r="19392" spans="1:1" x14ac:dyDescent="0.3">
      <c r="A19392" t="s">
        <v>0</v>
      </c>
    </row>
    <row r="19393" spans="1:1" x14ac:dyDescent="0.3">
      <c r="A19393" t="s">
        <v>0</v>
      </c>
    </row>
    <row r="19394" spans="1:1" x14ac:dyDescent="0.3">
      <c r="A19394" t="s">
        <v>0</v>
      </c>
    </row>
    <row r="19395" spans="1:1" x14ac:dyDescent="0.3">
      <c r="A19395" t="s">
        <v>0</v>
      </c>
    </row>
    <row r="19396" spans="1:1" x14ac:dyDescent="0.3">
      <c r="A19396" t="s">
        <v>0</v>
      </c>
    </row>
    <row r="19397" spans="1:1" x14ac:dyDescent="0.3">
      <c r="A19397" t="s">
        <v>0</v>
      </c>
    </row>
    <row r="19398" spans="1:1" x14ac:dyDescent="0.3">
      <c r="A19398" t="s">
        <v>0</v>
      </c>
    </row>
    <row r="19399" spans="1:1" x14ac:dyDescent="0.3">
      <c r="A19399" t="s">
        <v>0</v>
      </c>
    </row>
    <row r="19400" spans="1:1" x14ac:dyDescent="0.3">
      <c r="A19400" t="s">
        <v>0</v>
      </c>
    </row>
    <row r="19401" spans="1:1" x14ac:dyDescent="0.3">
      <c r="A19401" t="s">
        <v>0</v>
      </c>
    </row>
    <row r="19402" spans="1:1" x14ac:dyDescent="0.3">
      <c r="A19402" t="s">
        <v>0</v>
      </c>
    </row>
    <row r="19403" spans="1:1" x14ac:dyDescent="0.3">
      <c r="A19403" t="s">
        <v>0</v>
      </c>
    </row>
    <row r="19404" spans="1:1" x14ac:dyDescent="0.3">
      <c r="A19404" t="s">
        <v>0</v>
      </c>
    </row>
    <row r="19405" spans="1:1" x14ac:dyDescent="0.3">
      <c r="A19405" t="s">
        <v>0</v>
      </c>
    </row>
    <row r="19406" spans="1:1" x14ac:dyDescent="0.3">
      <c r="A19406" t="s">
        <v>0</v>
      </c>
    </row>
    <row r="19407" spans="1:1" x14ac:dyDescent="0.3">
      <c r="A19407" t="s">
        <v>0</v>
      </c>
    </row>
    <row r="19408" spans="1:1" x14ac:dyDescent="0.3">
      <c r="A19408" t="s">
        <v>0</v>
      </c>
    </row>
    <row r="19409" spans="1:1" x14ac:dyDescent="0.3">
      <c r="A19409" t="s">
        <v>0</v>
      </c>
    </row>
    <row r="19410" spans="1:1" x14ac:dyDescent="0.3">
      <c r="A19410" t="s">
        <v>0</v>
      </c>
    </row>
    <row r="19411" spans="1:1" x14ac:dyDescent="0.3">
      <c r="A19411" t="s">
        <v>0</v>
      </c>
    </row>
    <row r="19412" spans="1:1" x14ac:dyDescent="0.3">
      <c r="A19412" t="s">
        <v>0</v>
      </c>
    </row>
    <row r="19413" spans="1:1" x14ac:dyDescent="0.3">
      <c r="A19413" t="s">
        <v>0</v>
      </c>
    </row>
    <row r="19414" spans="1:1" x14ac:dyDescent="0.3">
      <c r="A19414" t="s">
        <v>0</v>
      </c>
    </row>
    <row r="19415" spans="1:1" x14ac:dyDescent="0.3">
      <c r="A19415" t="s">
        <v>0</v>
      </c>
    </row>
    <row r="19416" spans="1:1" x14ac:dyDescent="0.3">
      <c r="A19416" t="s">
        <v>0</v>
      </c>
    </row>
    <row r="19417" spans="1:1" x14ac:dyDescent="0.3">
      <c r="A19417" t="s">
        <v>0</v>
      </c>
    </row>
    <row r="19418" spans="1:1" x14ac:dyDescent="0.3">
      <c r="A19418" t="s">
        <v>0</v>
      </c>
    </row>
    <row r="19419" spans="1:1" x14ac:dyDescent="0.3">
      <c r="A19419" t="s">
        <v>0</v>
      </c>
    </row>
    <row r="19420" spans="1:1" x14ac:dyDescent="0.3">
      <c r="A19420" t="s">
        <v>0</v>
      </c>
    </row>
    <row r="19421" spans="1:1" x14ac:dyDescent="0.3">
      <c r="A19421" t="s">
        <v>0</v>
      </c>
    </row>
    <row r="19422" spans="1:1" x14ac:dyDescent="0.3">
      <c r="A19422" t="s">
        <v>0</v>
      </c>
    </row>
    <row r="19423" spans="1:1" x14ac:dyDescent="0.3">
      <c r="A19423" t="s">
        <v>0</v>
      </c>
    </row>
    <row r="19424" spans="1:1" x14ac:dyDescent="0.3">
      <c r="A19424" t="s">
        <v>0</v>
      </c>
    </row>
    <row r="19425" spans="1:1" x14ac:dyDescent="0.3">
      <c r="A19425" t="s">
        <v>0</v>
      </c>
    </row>
    <row r="19426" spans="1:1" x14ac:dyDescent="0.3">
      <c r="A19426" t="s">
        <v>0</v>
      </c>
    </row>
    <row r="19427" spans="1:1" x14ac:dyDescent="0.3">
      <c r="A19427" t="s">
        <v>0</v>
      </c>
    </row>
    <row r="19428" spans="1:1" x14ac:dyDescent="0.3">
      <c r="A19428" t="s">
        <v>0</v>
      </c>
    </row>
    <row r="19429" spans="1:1" x14ac:dyDescent="0.3">
      <c r="A19429" t="s">
        <v>0</v>
      </c>
    </row>
    <row r="19430" spans="1:1" x14ac:dyDescent="0.3">
      <c r="A19430" t="s">
        <v>0</v>
      </c>
    </row>
    <row r="19431" spans="1:1" x14ac:dyDescent="0.3">
      <c r="A19431" t="s">
        <v>0</v>
      </c>
    </row>
    <row r="19432" spans="1:1" x14ac:dyDescent="0.3">
      <c r="A19432" t="s">
        <v>0</v>
      </c>
    </row>
    <row r="19433" spans="1:1" x14ac:dyDescent="0.3">
      <c r="A19433" t="s">
        <v>0</v>
      </c>
    </row>
    <row r="19434" spans="1:1" x14ac:dyDescent="0.3">
      <c r="A19434" t="s">
        <v>0</v>
      </c>
    </row>
    <row r="19435" spans="1:1" x14ac:dyDescent="0.3">
      <c r="A19435" t="s">
        <v>0</v>
      </c>
    </row>
    <row r="19436" spans="1:1" x14ac:dyDescent="0.3">
      <c r="A19436" t="s">
        <v>0</v>
      </c>
    </row>
    <row r="19437" spans="1:1" x14ac:dyDescent="0.3">
      <c r="A19437" t="s">
        <v>0</v>
      </c>
    </row>
    <row r="19438" spans="1:1" x14ac:dyDescent="0.3">
      <c r="A19438" t="s">
        <v>0</v>
      </c>
    </row>
    <row r="19439" spans="1:1" x14ac:dyDescent="0.3">
      <c r="A19439" t="s">
        <v>0</v>
      </c>
    </row>
    <row r="19440" spans="1:1" x14ac:dyDescent="0.3">
      <c r="A19440" t="s">
        <v>0</v>
      </c>
    </row>
    <row r="19441" spans="1:1" x14ac:dyDescent="0.3">
      <c r="A19441" t="s">
        <v>0</v>
      </c>
    </row>
    <row r="19442" spans="1:1" x14ac:dyDescent="0.3">
      <c r="A19442" t="s">
        <v>0</v>
      </c>
    </row>
    <row r="19443" spans="1:1" x14ac:dyDescent="0.3">
      <c r="A19443" t="s">
        <v>0</v>
      </c>
    </row>
    <row r="19444" spans="1:1" x14ac:dyDescent="0.3">
      <c r="A19444" t="s">
        <v>0</v>
      </c>
    </row>
    <row r="19445" spans="1:1" x14ac:dyDescent="0.3">
      <c r="A19445" t="s">
        <v>0</v>
      </c>
    </row>
    <row r="19446" spans="1:1" x14ac:dyDescent="0.3">
      <c r="A19446" t="s">
        <v>0</v>
      </c>
    </row>
    <row r="19447" spans="1:1" x14ac:dyDescent="0.3">
      <c r="A19447" t="s">
        <v>0</v>
      </c>
    </row>
    <row r="19448" spans="1:1" x14ac:dyDescent="0.3">
      <c r="A19448" t="s">
        <v>0</v>
      </c>
    </row>
    <row r="19449" spans="1:1" x14ac:dyDescent="0.3">
      <c r="A19449" t="s">
        <v>0</v>
      </c>
    </row>
    <row r="19450" spans="1:1" x14ac:dyDescent="0.3">
      <c r="A19450" t="s">
        <v>0</v>
      </c>
    </row>
    <row r="19451" spans="1:1" x14ac:dyDescent="0.3">
      <c r="A19451" t="s">
        <v>0</v>
      </c>
    </row>
    <row r="19452" spans="1:1" x14ac:dyDescent="0.3">
      <c r="A19452" t="s">
        <v>0</v>
      </c>
    </row>
    <row r="19453" spans="1:1" x14ac:dyDescent="0.3">
      <c r="A19453" t="s">
        <v>0</v>
      </c>
    </row>
    <row r="19454" spans="1:1" x14ac:dyDescent="0.3">
      <c r="A19454" t="s">
        <v>0</v>
      </c>
    </row>
    <row r="19455" spans="1:1" x14ac:dyDescent="0.3">
      <c r="A19455" t="s">
        <v>0</v>
      </c>
    </row>
    <row r="19456" spans="1:1" x14ac:dyDescent="0.3">
      <c r="A19456" t="s">
        <v>0</v>
      </c>
    </row>
    <row r="19457" spans="1:1" x14ac:dyDescent="0.3">
      <c r="A19457" t="s">
        <v>0</v>
      </c>
    </row>
    <row r="19458" spans="1:1" x14ac:dyDescent="0.3">
      <c r="A19458" t="s">
        <v>0</v>
      </c>
    </row>
    <row r="19459" spans="1:1" x14ac:dyDescent="0.3">
      <c r="A19459" t="s">
        <v>0</v>
      </c>
    </row>
    <row r="19460" spans="1:1" x14ac:dyDescent="0.3">
      <c r="A19460" t="s">
        <v>0</v>
      </c>
    </row>
    <row r="19461" spans="1:1" x14ac:dyDescent="0.3">
      <c r="A19461" t="s">
        <v>0</v>
      </c>
    </row>
    <row r="19462" spans="1:1" x14ac:dyDescent="0.3">
      <c r="A19462" t="s">
        <v>0</v>
      </c>
    </row>
    <row r="19463" spans="1:1" x14ac:dyDescent="0.3">
      <c r="A19463" t="s">
        <v>0</v>
      </c>
    </row>
    <row r="19464" spans="1:1" x14ac:dyDescent="0.3">
      <c r="A19464" t="s">
        <v>0</v>
      </c>
    </row>
    <row r="19465" spans="1:1" x14ac:dyDescent="0.3">
      <c r="A19465" t="s">
        <v>0</v>
      </c>
    </row>
    <row r="19466" spans="1:1" x14ac:dyDescent="0.3">
      <c r="A19466" t="s">
        <v>0</v>
      </c>
    </row>
    <row r="19467" spans="1:1" x14ac:dyDescent="0.3">
      <c r="A19467" t="s">
        <v>0</v>
      </c>
    </row>
    <row r="19468" spans="1:1" x14ac:dyDescent="0.3">
      <c r="A19468" t="s">
        <v>0</v>
      </c>
    </row>
    <row r="19469" spans="1:1" x14ac:dyDescent="0.3">
      <c r="A19469" t="s">
        <v>0</v>
      </c>
    </row>
    <row r="19470" spans="1:1" x14ac:dyDescent="0.3">
      <c r="A19470" t="s">
        <v>0</v>
      </c>
    </row>
    <row r="19471" spans="1:1" x14ac:dyDescent="0.3">
      <c r="A19471" t="s">
        <v>0</v>
      </c>
    </row>
    <row r="19472" spans="1:1" x14ac:dyDescent="0.3">
      <c r="A19472" t="s">
        <v>0</v>
      </c>
    </row>
    <row r="19473" spans="1:1" x14ac:dyDescent="0.3">
      <c r="A19473" t="s">
        <v>0</v>
      </c>
    </row>
    <row r="19474" spans="1:1" x14ac:dyDescent="0.3">
      <c r="A19474" t="s">
        <v>0</v>
      </c>
    </row>
    <row r="19475" spans="1:1" x14ac:dyDescent="0.3">
      <c r="A19475" t="s">
        <v>0</v>
      </c>
    </row>
    <row r="19476" spans="1:1" x14ac:dyDescent="0.3">
      <c r="A19476" t="s">
        <v>0</v>
      </c>
    </row>
    <row r="19477" spans="1:1" x14ac:dyDescent="0.3">
      <c r="A19477" t="s">
        <v>0</v>
      </c>
    </row>
    <row r="19478" spans="1:1" x14ac:dyDescent="0.3">
      <c r="A19478" t="s">
        <v>0</v>
      </c>
    </row>
    <row r="19479" spans="1:1" x14ac:dyDescent="0.3">
      <c r="A19479" t="s">
        <v>0</v>
      </c>
    </row>
    <row r="19480" spans="1:1" x14ac:dyDescent="0.3">
      <c r="A19480" t="s">
        <v>0</v>
      </c>
    </row>
    <row r="19481" spans="1:1" x14ac:dyDescent="0.3">
      <c r="A19481" t="s">
        <v>0</v>
      </c>
    </row>
    <row r="19482" spans="1:1" x14ac:dyDescent="0.3">
      <c r="A19482" t="s">
        <v>0</v>
      </c>
    </row>
    <row r="19483" spans="1:1" x14ac:dyDescent="0.3">
      <c r="A19483" t="s">
        <v>0</v>
      </c>
    </row>
    <row r="19484" spans="1:1" x14ac:dyDescent="0.3">
      <c r="A19484" t="s">
        <v>0</v>
      </c>
    </row>
    <row r="19485" spans="1:1" x14ac:dyDescent="0.3">
      <c r="A19485" t="s">
        <v>0</v>
      </c>
    </row>
    <row r="19486" spans="1:1" x14ac:dyDescent="0.3">
      <c r="A19486" t="s">
        <v>0</v>
      </c>
    </row>
    <row r="19487" spans="1:1" x14ac:dyDescent="0.3">
      <c r="A19487" t="s">
        <v>0</v>
      </c>
    </row>
    <row r="19488" spans="1:1" x14ac:dyDescent="0.3">
      <c r="A19488" t="s">
        <v>0</v>
      </c>
    </row>
    <row r="19489" spans="1:1" x14ac:dyDescent="0.3">
      <c r="A19489" t="s">
        <v>0</v>
      </c>
    </row>
    <row r="19490" spans="1:1" x14ac:dyDescent="0.3">
      <c r="A19490" t="s">
        <v>0</v>
      </c>
    </row>
    <row r="19491" spans="1:1" x14ac:dyDescent="0.3">
      <c r="A19491" t="s">
        <v>0</v>
      </c>
    </row>
    <row r="19492" spans="1:1" x14ac:dyDescent="0.3">
      <c r="A19492" t="s">
        <v>0</v>
      </c>
    </row>
    <row r="19493" spans="1:1" x14ac:dyDescent="0.3">
      <c r="A19493" t="s">
        <v>0</v>
      </c>
    </row>
    <row r="19494" spans="1:1" x14ac:dyDescent="0.3">
      <c r="A19494" t="s">
        <v>0</v>
      </c>
    </row>
    <row r="19495" spans="1:1" x14ac:dyDescent="0.3">
      <c r="A19495" t="s">
        <v>0</v>
      </c>
    </row>
    <row r="19496" spans="1:1" x14ac:dyDescent="0.3">
      <c r="A19496" t="s">
        <v>0</v>
      </c>
    </row>
    <row r="19497" spans="1:1" x14ac:dyDescent="0.3">
      <c r="A19497" t="s">
        <v>0</v>
      </c>
    </row>
    <row r="19498" spans="1:1" x14ac:dyDescent="0.3">
      <c r="A19498" t="s">
        <v>0</v>
      </c>
    </row>
    <row r="19499" spans="1:1" x14ac:dyDescent="0.3">
      <c r="A19499" t="s">
        <v>0</v>
      </c>
    </row>
    <row r="19500" spans="1:1" x14ac:dyDescent="0.3">
      <c r="A19500" t="s">
        <v>0</v>
      </c>
    </row>
    <row r="19501" spans="1:1" x14ac:dyDescent="0.3">
      <c r="A19501" t="s">
        <v>0</v>
      </c>
    </row>
    <row r="19502" spans="1:1" x14ac:dyDescent="0.3">
      <c r="A19502" t="s">
        <v>0</v>
      </c>
    </row>
    <row r="19503" spans="1:1" x14ac:dyDescent="0.3">
      <c r="A19503" t="s">
        <v>0</v>
      </c>
    </row>
    <row r="19504" spans="1:1" x14ac:dyDescent="0.3">
      <c r="A19504" t="s">
        <v>0</v>
      </c>
    </row>
    <row r="19505" spans="1:1" x14ac:dyDescent="0.3">
      <c r="A19505" t="s">
        <v>0</v>
      </c>
    </row>
    <row r="19506" spans="1:1" x14ac:dyDescent="0.3">
      <c r="A19506" t="s">
        <v>0</v>
      </c>
    </row>
    <row r="19507" spans="1:1" x14ac:dyDescent="0.3">
      <c r="A19507" t="s">
        <v>0</v>
      </c>
    </row>
    <row r="19508" spans="1:1" x14ac:dyDescent="0.3">
      <c r="A19508" t="s">
        <v>0</v>
      </c>
    </row>
    <row r="19509" spans="1:1" x14ac:dyDescent="0.3">
      <c r="A19509" t="s">
        <v>0</v>
      </c>
    </row>
    <row r="19510" spans="1:1" x14ac:dyDescent="0.3">
      <c r="A19510" t="s">
        <v>0</v>
      </c>
    </row>
    <row r="19511" spans="1:1" x14ac:dyDescent="0.3">
      <c r="A19511" t="s">
        <v>0</v>
      </c>
    </row>
    <row r="19512" spans="1:1" x14ac:dyDescent="0.3">
      <c r="A19512" t="s">
        <v>0</v>
      </c>
    </row>
    <row r="19513" spans="1:1" x14ac:dyDescent="0.3">
      <c r="A19513" t="s">
        <v>0</v>
      </c>
    </row>
    <row r="19514" spans="1:1" x14ac:dyDescent="0.3">
      <c r="A19514" t="s">
        <v>0</v>
      </c>
    </row>
    <row r="19515" spans="1:1" x14ac:dyDescent="0.3">
      <c r="A19515" t="s">
        <v>0</v>
      </c>
    </row>
    <row r="19516" spans="1:1" x14ac:dyDescent="0.3">
      <c r="A19516" t="s">
        <v>0</v>
      </c>
    </row>
    <row r="19517" spans="1:1" x14ac:dyDescent="0.3">
      <c r="A19517" t="s">
        <v>0</v>
      </c>
    </row>
    <row r="19518" spans="1:1" x14ac:dyDescent="0.3">
      <c r="A19518" t="s">
        <v>0</v>
      </c>
    </row>
    <row r="19519" spans="1:1" x14ac:dyDescent="0.3">
      <c r="A19519" t="s">
        <v>0</v>
      </c>
    </row>
    <row r="19520" spans="1:1" x14ac:dyDescent="0.3">
      <c r="A19520" t="s">
        <v>0</v>
      </c>
    </row>
    <row r="19521" spans="1:1" x14ac:dyDescent="0.3">
      <c r="A19521" t="s">
        <v>0</v>
      </c>
    </row>
    <row r="19522" spans="1:1" x14ac:dyDescent="0.3">
      <c r="A19522" t="s">
        <v>0</v>
      </c>
    </row>
    <row r="19523" spans="1:1" x14ac:dyDescent="0.3">
      <c r="A19523" t="s">
        <v>0</v>
      </c>
    </row>
    <row r="19524" spans="1:1" x14ac:dyDescent="0.3">
      <c r="A19524" t="s">
        <v>0</v>
      </c>
    </row>
    <row r="19525" spans="1:1" x14ac:dyDescent="0.3">
      <c r="A19525" t="s">
        <v>0</v>
      </c>
    </row>
    <row r="19526" spans="1:1" x14ac:dyDescent="0.3">
      <c r="A19526" t="s">
        <v>0</v>
      </c>
    </row>
    <row r="19527" spans="1:1" x14ac:dyDescent="0.3">
      <c r="A19527" t="s">
        <v>0</v>
      </c>
    </row>
    <row r="19528" spans="1:1" x14ac:dyDescent="0.3">
      <c r="A19528" t="s">
        <v>0</v>
      </c>
    </row>
    <row r="19529" spans="1:1" x14ac:dyDescent="0.3">
      <c r="A19529" t="s">
        <v>0</v>
      </c>
    </row>
    <row r="19530" spans="1:1" x14ac:dyDescent="0.3">
      <c r="A19530" t="s">
        <v>0</v>
      </c>
    </row>
    <row r="19531" spans="1:1" x14ac:dyDescent="0.3">
      <c r="A19531" t="s">
        <v>0</v>
      </c>
    </row>
    <row r="19532" spans="1:1" x14ac:dyDescent="0.3">
      <c r="A19532" t="s">
        <v>0</v>
      </c>
    </row>
    <row r="19533" spans="1:1" x14ac:dyDescent="0.3">
      <c r="A19533" t="s">
        <v>0</v>
      </c>
    </row>
    <row r="19534" spans="1:1" x14ac:dyDescent="0.3">
      <c r="A19534" t="s">
        <v>0</v>
      </c>
    </row>
    <row r="19535" spans="1:1" x14ac:dyDescent="0.3">
      <c r="A19535" t="s">
        <v>0</v>
      </c>
    </row>
    <row r="19536" spans="1:1" x14ac:dyDescent="0.3">
      <c r="A19536" t="s">
        <v>0</v>
      </c>
    </row>
    <row r="19537" spans="1:1" x14ac:dyDescent="0.3">
      <c r="A19537" t="s">
        <v>0</v>
      </c>
    </row>
    <row r="19538" spans="1:1" x14ac:dyDescent="0.3">
      <c r="A19538" t="s">
        <v>0</v>
      </c>
    </row>
    <row r="19539" spans="1:1" x14ac:dyDescent="0.3">
      <c r="A19539" t="s">
        <v>0</v>
      </c>
    </row>
    <row r="19540" spans="1:1" x14ac:dyDescent="0.3">
      <c r="A19540" t="s">
        <v>0</v>
      </c>
    </row>
    <row r="19541" spans="1:1" x14ac:dyDescent="0.3">
      <c r="A19541" t="s">
        <v>0</v>
      </c>
    </row>
    <row r="19542" spans="1:1" x14ac:dyDescent="0.3">
      <c r="A19542" t="s">
        <v>0</v>
      </c>
    </row>
    <row r="19543" spans="1:1" x14ac:dyDescent="0.3">
      <c r="A19543" t="s">
        <v>0</v>
      </c>
    </row>
    <row r="19544" spans="1:1" x14ac:dyDescent="0.3">
      <c r="A19544" t="s">
        <v>0</v>
      </c>
    </row>
    <row r="19545" spans="1:1" x14ac:dyDescent="0.3">
      <c r="A19545" t="s">
        <v>0</v>
      </c>
    </row>
    <row r="19546" spans="1:1" x14ac:dyDescent="0.3">
      <c r="A19546" t="s">
        <v>0</v>
      </c>
    </row>
    <row r="19547" spans="1:1" x14ac:dyDescent="0.3">
      <c r="A19547" t="s">
        <v>0</v>
      </c>
    </row>
    <row r="19548" spans="1:1" x14ac:dyDescent="0.3">
      <c r="A19548" t="s">
        <v>0</v>
      </c>
    </row>
    <row r="19549" spans="1:1" x14ac:dyDescent="0.3">
      <c r="A19549" t="s">
        <v>0</v>
      </c>
    </row>
    <row r="19550" spans="1:1" x14ac:dyDescent="0.3">
      <c r="A19550" t="s">
        <v>0</v>
      </c>
    </row>
    <row r="19551" spans="1:1" x14ac:dyDescent="0.3">
      <c r="A19551" t="s">
        <v>0</v>
      </c>
    </row>
    <row r="19552" spans="1:1" x14ac:dyDescent="0.3">
      <c r="A19552" t="s">
        <v>0</v>
      </c>
    </row>
    <row r="19553" spans="1:1" x14ac:dyDescent="0.3">
      <c r="A19553" t="s">
        <v>0</v>
      </c>
    </row>
    <row r="19554" spans="1:1" x14ac:dyDescent="0.3">
      <c r="A19554" t="s">
        <v>0</v>
      </c>
    </row>
    <row r="19555" spans="1:1" x14ac:dyDescent="0.3">
      <c r="A19555" t="s">
        <v>0</v>
      </c>
    </row>
    <row r="19556" spans="1:1" x14ac:dyDescent="0.3">
      <c r="A19556" t="s">
        <v>0</v>
      </c>
    </row>
    <row r="19557" spans="1:1" x14ac:dyDescent="0.3">
      <c r="A19557" t="s">
        <v>0</v>
      </c>
    </row>
    <row r="19558" spans="1:1" x14ac:dyDescent="0.3">
      <c r="A19558" t="s">
        <v>0</v>
      </c>
    </row>
    <row r="19559" spans="1:1" x14ac:dyDescent="0.3">
      <c r="A19559" t="s">
        <v>0</v>
      </c>
    </row>
    <row r="19560" spans="1:1" x14ac:dyDescent="0.3">
      <c r="A19560" t="s">
        <v>0</v>
      </c>
    </row>
    <row r="19561" spans="1:1" x14ac:dyDescent="0.3">
      <c r="A19561" t="s">
        <v>0</v>
      </c>
    </row>
    <row r="19562" spans="1:1" x14ac:dyDescent="0.3">
      <c r="A19562" t="s">
        <v>0</v>
      </c>
    </row>
    <row r="19563" spans="1:1" x14ac:dyDescent="0.3">
      <c r="A19563" t="s">
        <v>0</v>
      </c>
    </row>
    <row r="19564" spans="1:1" x14ac:dyDescent="0.3">
      <c r="A19564" t="s">
        <v>0</v>
      </c>
    </row>
    <row r="19565" spans="1:1" x14ac:dyDescent="0.3">
      <c r="A19565" t="s">
        <v>0</v>
      </c>
    </row>
    <row r="19566" spans="1:1" x14ac:dyDescent="0.3">
      <c r="A19566" t="s">
        <v>0</v>
      </c>
    </row>
    <row r="19567" spans="1:1" x14ac:dyDescent="0.3">
      <c r="A19567" t="s">
        <v>0</v>
      </c>
    </row>
    <row r="19568" spans="1:1" x14ac:dyDescent="0.3">
      <c r="A19568" t="s">
        <v>0</v>
      </c>
    </row>
    <row r="19569" spans="1:1" x14ac:dyDescent="0.3">
      <c r="A19569" t="s">
        <v>0</v>
      </c>
    </row>
    <row r="19570" spans="1:1" x14ac:dyDescent="0.3">
      <c r="A19570" t="s">
        <v>0</v>
      </c>
    </row>
    <row r="19571" spans="1:1" x14ac:dyDescent="0.3">
      <c r="A19571" t="s">
        <v>0</v>
      </c>
    </row>
    <row r="19572" spans="1:1" x14ac:dyDescent="0.3">
      <c r="A19572" t="s">
        <v>0</v>
      </c>
    </row>
    <row r="19573" spans="1:1" x14ac:dyDescent="0.3">
      <c r="A19573" t="s">
        <v>0</v>
      </c>
    </row>
    <row r="19574" spans="1:1" x14ac:dyDescent="0.3">
      <c r="A19574" t="s">
        <v>0</v>
      </c>
    </row>
    <row r="19575" spans="1:1" x14ac:dyDescent="0.3">
      <c r="A19575" t="s">
        <v>0</v>
      </c>
    </row>
    <row r="19576" spans="1:1" x14ac:dyDescent="0.3">
      <c r="A19576" t="s">
        <v>0</v>
      </c>
    </row>
    <row r="19577" spans="1:1" x14ac:dyDescent="0.3">
      <c r="A19577" t="s">
        <v>0</v>
      </c>
    </row>
    <row r="19578" spans="1:1" x14ac:dyDescent="0.3">
      <c r="A19578" t="s">
        <v>0</v>
      </c>
    </row>
    <row r="19579" spans="1:1" x14ac:dyDescent="0.3">
      <c r="A19579" t="s">
        <v>0</v>
      </c>
    </row>
    <row r="19580" spans="1:1" x14ac:dyDescent="0.3">
      <c r="A19580" t="s">
        <v>0</v>
      </c>
    </row>
    <row r="19581" spans="1:1" x14ac:dyDescent="0.3">
      <c r="A19581" t="s">
        <v>0</v>
      </c>
    </row>
    <row r="19582" spans="1:1" x14ac:dyDescent="0.3">
      <c r="A19582" t="s">
        <v>0</v>
      </c>
    </row>
    <row r="19583" spans="1:1" x14ac:dyDescent="0.3">
      <c r="A19583" t="s">
        <v>0</v>
      </c>
    </row>
    <row r="19584" spans="1:1" x14ac:dyDescent="0.3">
      <c r="A19584" t="s">
        <v>0</v>
      </c>
    </row>
    <row r="19585" spans="1:1" x14ac:dyDescent="0.3">
      <c r="A19585" t="s">
        <v>0</v>
      </c>
    </row>
    <row r="19586" spans="1:1" x14ac:dyDescent="0.3">
      <c r="A19586" t="s">
        <v>0</v>
      </c>
    </row>
    <row r="19587" spans="1:1" x14ac:dyDescent="0.3">
      <c r="A19587" t="s">
        <v>0</v>
      </c>
    </row>
    <row r="19588" spans="1:1" x14ac:dyDescent="0.3">
      <c r="A19588" t="s">
        <v>0</v>
      </c>
    </row>
    <row r="19589" spans="1:1" x14ac:dyDescent="0.3">
      <c r="A19589" t="s">
        <v>0</v>
      </c>
    </row>
    <row r="19590" spans="1:1" x14ac:dyDescent="0.3">
      <c r="A19590" t="s">
        <v>0</v>
      </c>
    </row>
    <row r="19591" spans="1:1" x14ac:dyDescent="0.3">
      <c r="A19591" t="s">
        <v>0</v>
      </c>
    </row>
    <row r="19592" spans="1:1" x14ac:dyDescent="0.3">
      <c r="A19592" t="s">
        <v>0</v>
      </c>
    </row>
    <row r="19593" spans="1:1" x14ac:dyDescent="0.3">
      <c r="A19593" t="s">
        <v>0</v>
      </c>
    </row>
    <row r="19594" spans="1:1" x14ac:dyDescent="0.3">
      <c r="A19594" t="s">
        <v>0</v>
      </c>
    </row>
    <row r="19595" spans="1:1" x14ac:dyDescent="0.3">
      <c r="A19595" t="s">
        <v>0</v>
      </c>
    </row>
    <row r="19596" spans="1:1" x14ac:dyDescent="0.3">
      <c r="A19596" t="s">
        <v>0</v>
      </c>
    </row>
    <row r="19597" spans="1:1" x14ac:dyDescent="0.3">
      <c r="A19597" t="s">
        <v>0</v>
      </c>
    </row>
    <row r="19598" spans="1:1" x14ac:dyDescent="0.3">
      <c r="A19598" t="s">
        <v>0</v>
      </c>
    </row>
    <row r="19599" spans="1:1" x14ac:dyDescent="0.3">
      <c r="A19599" t="s">
        <v>0</v>
      </c>
    </row>
    <row r="19600" spans="1:1" x14ac:dyDescent="0.3">
      <c r="A19600" t="s">
        <v>0</v>
      </c>
    </row>
    <row r="19601" spans="1:1" x14ac:dyDescent="0.3">
      <c r="A19601" t="s">
        <v>0</v>
      </c>
    </row>
    <row r="19602" spans="1:1" x14ac:dyDescent="0.3">
      <c r="A19602" t="s">
        <v>0</v>
      </c>
    </row>
    <row r="19603" spans="1:1" x14ac:dyDescent="0.3">
      <c r="A19603" t="s">
        <v>0</v>
      </c>
    </row>
    <row r="19604" spans="1:1" x14ac:dyDescent="0.3">
      <c r="A19604" t="s">
        <v>0</v>
      </c>
    </row>
    <row r="19605" spans="1:1" x14ac:dyDescent="0.3">
      <c r="A19605" t="s">
        <v>0</v>
      </c>
    </row>
    <row r="19606" spans="1:1" x14ac:dyDescent="0.3">
      <c r="A19606" t="s">
        <v>0</v>
      </c>
    </row>
    <row r="19607" spans="1:1" x14ac:dyDescent="0.3">
      <c r="A19607" t="s">
        <v>0</v>
      </c>
    </row>
    <row r="19608" spans="1:1" x14ac:dyDescent="0.3">
      <c r="A19608" t="s">
        <v>0</v>
      </c>
    </row>
    <row r="19609" spans="1:1" x14ac:dyDescent="0.3">
      <c r="A19609" t="s">
        <v>0</v>
      </c>
    </row>
    <row r="19610" spans="1:1" x14ac:dyDescent="0.3">
      <c r="A19610" t="s">
        <v>0</v>
      </c>
    </row>
    <row r="19611" spans="1:1" x14ac:dyDescent="0.3">
      <c r="A19611" t="s">
        <v>0</v>
      </c>
    </row>
    <row r="19612" spans="1:1" x14ac:dyDescent="0.3">
      <c r="A19612" t="s">
        <v>0</v>
      </c>
    </row>
    <row r="19613" spans="1:1" x14ac:dyDescent="0.3">
      <c r="A19613" t="s">
        <v>0</v>
      </c>
    </row>
    <row r="19614" spans="1:1" x14ac:dyDescent="0.3">
      <c r="A19614" t="s">
        <v>0</v>
      </c>
    </row>
    <row r="19615" spans="1:1" x14ac:dyDescent="0.3">
      <c r="A19615" t="s">
        <v>0</v>
      </c>
    </row>
    <row r="19616" spans="1:1" x14ac:dyDescent="0.3">
      <c r="A19616" t="s">
        <v>0</v>
      </c>
    </row>
    <row r="19617" spans="1:1" x14ac:dyDescent="0.3">
      <c r="A19617" t="s">
        <v>0</v>
      </c>
    </row>
    <row r="19618" spans="1:1" x14ac:dyDescent="0.3">
      <c r="A19618" t="s">
        <v>0</v>
      </c>
    </row>
    <row r="19619" spans="1:1" x14ac:dyDescent="0.3">
      <c r="A19619" t="s">
        <v>0</v>
      </c>
    </row>
    <row r="19620" spans="1:1" x14ac:dyDescent="0.3">
      <c r="A19620" t="s">
        <v>0</v>
      </c>
    </row>
    <row r="19621" spans="1:1" x14ac:dyDescent="0.3">
      <c r="A19621" t="s">
        <v>0</v>
      </c>
    </row>
    <row r="19622" spans="1:1" x14ac:dyDescent="0.3">
      <c r="A19622" t="s">
        <v>0</v>
      </c>
    </row>
    <row r="19623" spans="1:1" x14ac:dyDescent="0.3">
      <c r="A19623" t="s">
        <v>0</v>
      </c>
    </row>
    <row r="19624" spans="1:1" x14ac:dyDescent="0.3">
      <c r="A19624" t="s">
        <v>0</v>
      </c>
    </row>
    <row r="19625" spans="1:1" x14ac:dyDescent="0.3">
      <c r="A19625" t="s">
        <v>0</v>
      </c>
    </row>
    <row r="19626" spans="1:1" x14ac:dyDescent="0.3">
      <c r="A19626" t="s">
        <v>0</v>
      </c>
    </row>
    <row r="19627" spans="1:1" x14ac:dyDescent="0.3">
      <c r="A19627" t="s">
        <v>0</v>
      </c>
    </row>
    <row r="19628" spans="1:1" x14ac:dyDescent="0.3">
      <c r="A19628" t="s">
        <v>0</v>
      </c>
    </row>
    <row r="19629" spans="1:1" x14ac:dyDescent="0.3">
      <c r="A19629" t="s">
        <v>0</v>
      </c>
    </row>
    <row r="19630" spans="1:1" x14ac:dyDescent="0.3">
      <c r="A19630" t="s">
        <v>0</v>
      </c>
    </row>
    <row r="19631" spans="1:1" x14ac:dyDescent="0.3">
      <c r="A19631" t="s">
        <v>0</v>
      </c>
    </row>
    <row r="19632" spans="1:1" x14ac:dyDescent="0.3">
      <c r="A19632" t="s">
        <v>0</v>
      </c>
    </row>
    <row r="19633" spans="1:1" x14ac:dyDescent="0.3">
      <c r="A19633" t="s">
        <v>0</v>
      </c>
    </row>
    <row r="19634" spans="1:1" x14ac:dyDescent="0.3">
      <c r="A19634" t="s">
        <v>0</v>
      </c>
    </row>
    <row r="19635" spans="1:1" x14ac:dyDescent="0.3">
      <c r="A19635" t="s">
        <v>0</v>
      </c>
    </row>
    <row r="19636" spans="1:1" x14ac:dyDescent="0.3">
      <c r="A19636" t="s">
        <v>0</v>
      </c>
    </row>
    <row r="19637" spans="1:1" x14ac:dyDescent="0.3">
      <c r="A19637" t="s">
        <v>0</v>
      </c>
    </row>
    <row r="19638" spans="1:1" x14ac:dyDescent="0.3">
      <c r="A19638" t="s">
        <v>0</v>
      </c>
    </row>
    <row r="19639" spans="1:1" x14ac:dyDescent="0.3">
      <c r="A19639" t="s">
        <v>0</v>
      </c>
    </row>
    <row r="19640" spans="1:1" x14ac:dyDescent="0.3">
      <c r="A19640" t="s">
        <v>0</v>
      </c>
    </row>
    <row r="19641" spans="1:1" x14ac:dyDescent="0.3">
      <c r="A19641" t="s">
        <v>0</v>
      </c>
    </row>
    <row r="19642" spans="1:1" x14ac:dyDescent="0.3">
      <c r="A19642" t="s">
        <v>0</v>
      </c>
    </row>
    <row r="19643" spans="1:1" x14ac:dyDescent="0.3">
      <c r="A19643" t="s">
        <v>0</v>
      </c>
    </row>
    <row r="19644" spans="1:1" x14ac:dyDescent="0.3">
      <c r="A19644" t="s">
        <v>0</v>
      </c>
    </row>
    <row r="19645" spans="1:1" x14ac:dyDescent="0.3">
      <c r="A19645" t="s">
        <v>0</v>
      </c>
    </row>
    <row r="19646" spans="1:1" x14ac:dyDescent="0.3">
      <c r="A19646" t="s">
        <v>0</v>
      </c>
    </row>
    <row r="19647" spans="1:1" x14ac:dyDescent="0.3">
      <c r="A19647" t="s">
        <v>0</v>
      </c>
    </row>
    <row r="19648" spans="1:1" x14ac:dyDescent="0.3">
      <c r="A19648" t="s">
        <v>0</v>
      </c>
    </row>
    <row r="19649" spans="1:1" x14ac:dyDescent="0.3">
      <c r="A19649" t="s">
        <v>0</v>
      </c>
    </row>
    <row r="19650" spans="1:1" x14ac:dyDescent="0.3">
      <c r="A19650" t="s">
        <v>0</v>
      </c>
    </row>
    <row r="19651" spans="1:1" x14ac:dyDescent="0.3">
      <c r="A19651" t="s">
        <v>0</v>
      </c>
    </row>
    <row r="19652" spans="1:1" x14ac:dyDescent="0.3">
      <c r="A19652" t="s">
        <v>0</v>
      </c>
    </row>
    <row r="19653" spans="1:1" x14ac:dyDescent="0.3">
      <c r="A19653" t="s">
        <v>0</v>
      </c>
    </row>
    <row r="19654" spans="1:1" x14ac:dyDescent="0.3">
      <c r="A19654" t="s">
        <v>0</v>
      </c>
    </row>
    <row r="19655" spans="1:1" x14ac:dyDescent="0.3">
      <c r="A19655" t="s">
        <v>0</v>
      </c>
    </row>
    <row r="19656" spans="1:1" x14ac:dyDescent="0.3">
      <c r="A19656" t="s">
        <v>0</v>
      </c>
    </row>
    <row r="19657" spans="1:1" x14ac:dyDescent="0.3">
      <c r="A19657" t="s">
        <v>0</v>
      </c>
    </row>
    <row r="19658" spans="1:1" x14ac:dyDescent="0.3">
      <c r="A19658" t="s">
        <v>0</v>
      </c>
    </row>
    <row r="19659" spans="1:1" x14ac:dyDescent="0.3">
      <c r="A19659" t="s">
        <v>0</v>
      </c>
    </row>
    <row r="19660" spans="1:1" x14ac:dyDescent="0.3">
      <c r="A19660" t="s">
        <v>0</v>
      </c>
    </row>
    <row r="19661" spans="1:1" x14ac:dyDescent="0.3">
      <c r="A19661" t="s">
        <v>0</v>
      </c>
    </row>
    <row r="19662" spans="1:1" x14ac:dyDescent="0.3">
      <c r="A19662" t="s">
        <v>0</v>
      </c>
    </row>
    <row r="19663" spans="1:1" x14ac:dyDescent="0.3">
      <c r="A19663" t="s">
        <v>0</v>
      </c>
    </row>
    <row r="19664" spans="1:1" x14ac:dyDescent="0.3">
      <c r="A19664" t="s">
        <v>0</v>
      </c>
    </row>
    <row r="19665" spans="1:1" x14ac:dyDescent="0.3">
      <c r="A19665" t="s">
        <v>0</v>
      </c>
    </row>
    <row r="19666" spans="1:1" x14ac:dyDescent="0.3">
      <c r="A19666" t="s">
        <v>0</v>
      </c>
    </row>
    <row r="19667" spans="1:1" x14ac:dyDescent="0.3">
      <c r="A19667" t="s">
        <v>0</v>
      </c>
    </row>
    <row r="19668" spans="1:1" x14ac:dyDescent="0.3">
      <c r="A19668" t="s">
        <v>0</v>
      </c>
    </row>
    <row r="19669" spans="1:1" x14ac:dyDescent="0.3">
      <c r="A19669" t="s">
        <v>0</v>
      </c>
    </row>
    <row r="19670" spans="1:1" x14ac:dyDescent="0.3">
      <c r="A19670" t="s">
        <v>0</v>
      </c>
    </row>
    <row r="19671" spans="1:1" x14ac:dyDescent="0.3">
      <c r="A19671" t="s">
        <v>0</v>
      </c>
    </row>
    <row r="19672" spans="1:1" x14ac:dyDescent="0.3">
      <c r="A19672" t="s">
        <v>0</v>
      </c>
    </row>
    <row r="19673" spans="1:1" x14ac:dyDescent="0.3">
      <c r="A19673" t="s">
        <v>0</v>
      </c>
    </row>
    <row r="19674" spans="1:1" x14ac:dyDescent="0.3">
      <c r="A19674" t="s">
        <v>0</v>
      </c>
    </row>
    <row r="19675" spans="1:1" x14ac:dyDescent="0.3">
      <c r="A19675" t="s">
        <v>0</v>
      </c>
    </row>
    <row r="19676" spans="1:1" x14ac:dyDescent="0.3">
      <c r="A19676" t="s">
        <v>0</v>
      </c>
    </row>
    <row r="19677" spans="1:1" x14ac:dyDescent="0.3">
      <c r="A19677" t="s">
        <v>0</v>
      </c>
    </row>
    <row r="19678" spans="1:1" x14ac:dyDescent="0.3">
      <c r="A19678" t="s">
        <v>0</v>
      </c>
    </row>
    <row r="19679" spans="1:1" x14ac:dyDescent="0.3">
      <c r="A19679" t="s">
        <v>0</v>
      </c>
    </row>
    <row r="19680" spans="1:1" x14ac:dyDescent="0.3">
      <c r="A19680" t="s">
        <v>0</v>
      </c>
    </row>
    <row r="19681" spans="1:1" x14ac:dyDescent="0.3">
      <c r="A19681" t="s">
        <v>0</v>
      </c>
    </row>
    <row r="19682" spans="1:1" x14ac:dyDescent="0.3">
      <c r="A19682" t="s">
        <v>0</v>
      </c>
    </row>
    <row r="19683" spans="1:1" x14ac:dyDescent="0.3">
      <c r="A19683" t="s">
        <v>0</v>
      </c>
    </row>
    <row r="19684" spans="1:1" x14ac:dyDescent="0.3">
      <c r="A19684" t="s">
        <v>0</v>
      </c>
    </row>
    <row r="19685" spans="1:1" x14ac:dyDescent="0.3">
      <c r="A19685" t="s">
        <v>0</v>
      </c>
    </row>
    <row r="19686" spans="1:1" x14ac:dyDescent="0.3">
      <c r="A19686" t="s">
        <v>0</v>
      </c>
    </row>
    <row r="19687" spans="1:1" x14ac:dyDescent="0.3">
      <c r="A19687" t="s">
        <v>0</v>
      </c>
    </row>
    <row r="19688" spans="1:1" x14ac:dyDescent="0.3">
      <c r="A19688" t="s">
        <v>0</v>
      </c>
    </row>
    <row r="19689" spans="1:1" x14ac:dyDescent="0.3">
      <c r="A19689" t="s">
        <v>0</v>
      </c>
    </row>
    <row r="19690" spans="1:1" x14ac:dyDescent="0.3">
      <c r="A19690" t="s">
        <v>0</v>
      </c>
    </row>
    <row r="19691" spans="1:1" x14ac:dyDescent="0.3">
      <c r="A19691" t="s">
        <v>0</v>
      </c>
    </row>
    <row r="19692" spans="1:1" x14ac:dyDescent="0.3">
      <c r="A19692" t="s">
        <v>0</v>
      </c>
    </row>
    <row r="19693" spans="1:1" x14ac:dyDescent="0.3">
      <c r="A19693" t="s">
        <v>0</v>
      </c>
    </row>
    <row r="19694" spans="1:1" x14ac:dyDescent="0.3">
      <c r="A19694" t="s">
        <v>0</v>
      </c>
    </row>
    <row r="19695" spans="1:1" x14ac:dyDescent="0.3">
      <c r="A19695" t="s">
        <v>0</v>
      </c>
    </row>
    <row r="19696" spans="1:1" x14ac:dyDescent="0.3">
      <c r="A19696" t="s">
        <v>0</v>
      </c>
    </row>
    <row r="19697" spans="1:1" x14ac:dyDescent="0.3">
      <c r="A19697" t="s">
        <v>0</v>
      </c>
    </row>
    <row r="19698" spans="1:1" x14ac:dyDescent="0.3">
      <c r="A19698" t="s">
        <v>0</v>
      </c>
    </row>
    <row r="19699" spans="1:1" x14ac:dyDescent="0.3">
      <c r="A19699" t="s">
        <v>0</v>
      </c>
    </row>
    <row r="19700" spans="1:1" x14ac:dyDescent="0.3">
      <c r="A19700" t="s">
        <v>0</v>
      </c>
    </row>
    <row r="19701" spans="1:1" x14ac:dyDescent="0.3">
      <c r="A19701" t="s">
        <v>0</v>
      </c>
    </row>
    <row r="19702" spans="1:1" x14ac:dyDescent="0.3">
      <c r="A19702" t="s">
        <v>0</v>
      </c>
    </row>
    <row r="19703" spans="1:1" x14ac:dyDescent="0.3">
      <c r="A19703" t="s">
        <v>0</v>
      </c>
    </row>
    <row r="19704" spans="1:1" x14ac:dyDescent="0.3">
      <c r="A19704" t="s">
        <v>0</v>
      </c>
    </row>
    <row r="19705" spans="1:1" x14ac:dyDescent="0.3">
      <c r="A19705" t="s">
        <v>0</v>
      </c>
    </row>
    <row r="19706" spans="1:1" x14ac:dyDescent="0.3">
      <c r="A19706" t="s">
        <v>0</v>
      </c>
    </row>
    <row r="19707" spans="1:1" x14ac:dyDescent="0.3">
      <c r="A19707" t="s">
        <v>0</v>
      </c>
    </row>
    <row r="19708" spans="1:1" x14ac:dyDescent="0.3">
      <c r="A19708" t="s">
        <v>0</v>
      </c>
    </row>
    <row r="19709" spans="1:1" x14ac:dyDescent="0.3">
      <c r="A19709" t="s">
        <v>0</v>
      </c>
    </row>
    <row r="19710" spans="1:1" x14ac:dyDescent="0.3">
      <c r="A19710" t="s">
        <v>0</v>
      </c>
    </row>
    <row r="19711" spans="1:1" x14ac:dyDescent="0.3">
      <c r="A19711" t="s">
        <v>0</v>
      </c>
    </row>
    <row r="19712" spans="1:1" x14ac:dyDescent="0.3">
      <c r="A19712" t="s">
        <v>0</v>
      </c>
    </row>
    <row r="19713" spans="1:1" x14ac:dyDescent="0.3">
      <c r="A19713" t="s">
        <v>0</v>
      </c>
    </row>
    <row r="19714" spans="1:1" x14ac:dyDescent="0.3">
      <c r="A19714" t="s">
        <v>0</v>
      </c>
    </row>
    <row r="19715" spans="1:1" x14ac:dyDescent="0.3">
      <c r="A19715" t="s">
        <v>0</v>
      </c>
    </row>
    <row r="19716" spans="1:1" x14ac:dyDescent="0.3">
      <c r="A19716" t="s">
        <v>0</v>
      </c>
    </row>
    <row r="19717" spans="1:1" x14ac:dyDescent="0.3">
      <c r="A19717" t="s">
        <v>0</v>
      </c>
    </row>
    <row r="19718" spans="1:1" x14ac:dyDescent="0.3">
      <c r="A19718" t="s">
        <v>0</v>
      </c>
    </row>
    <row r="19719" spans="1:1" x14ac:dyDescent="0.3">
      <c r="A19719" t="s">
        <v>0</v>
      </c>
    </row>
    <row r="19720" spans="1:1" x14ac:dyDescent="0.3">
      <c r="A19720" t="s">
        <v>0</v>
      </c>
    </row>
    <row r="19721" spans="1:1" x14ac:dyDescent="0.3">
      <c r="A19721" t="s">
        <v>0</v>
      </c>
    </row>
    <row r="19722" spans="1:1" x14ac:dyDescent="0.3">
      <c r="A19722" t="s">
        <v>0</v>
      </c>
    </row>
    <row r="19723" spans="1:1" x14ac:dyDescent="0.3">
      <c r="A19723" t="s">
        <v>0</v>
      </c>
    </row>
    <row r="19724" spans="1:1" x14ac:dyDescent="0.3">
      <c r="A19724" t="s">
        <v>0</v>
      </c>
    </row>
    <row r="19725" spans="1:1" x14ac:dyDescent="0.3">
      <c r="A19725" t="s">
        <v>0</v>
      </c>
    </row>
    <row r="19726" spans="1:1" x14ac:dyDescent="0.3">
      <c r="A19726" t="s">
        <v>0</v>
      </c>
    </row>
    <row r="19727" spans="1:1" x14ac:dyDescent="0.3">
      <c r="A19727" t="s">
        <v>0</v>
      </c>
    </row>
    <row r="19728" spans="1:1" x14ac:dyDescent="0.3">
      <c r="A19728" t="s">
        <v>0</v>
      </c>
    </row>
    <row r="19729" spans="1:1" x14ac:dyDescent="0.3">
      <c r="A19729" t="s">
        <v>0</v>
      </c>
    </row>
    <row r="19730" spans="1:1" x14ac:dyDescent="0.3">
      <c r="A19730" t="s">
        <v>0</v>
      </c>
    </row>
    <row r="19731" spans="1:1" x14ac:dyDescent="0.3">
      <c r="A19731" t="s">
        <v>0</v>
      </c>
    </row>
    <row r="19732" spans="1:1" x14ac:dyDescent="0.3">
      <c r="A19732" t="s">
        <v>0</v>
      </c>
    </row>
    <row r="19733" spans="1:1" x14ac:dyDescent="0.3">
      <c r="A19733" t="s">
        <v>0</v>
      </c>
    </row>
    <row r="19734" spans="1:1" x14ac:dyDescent="0.3">
      <c r="A19734" t="s">
        <v>0</v>
      </c>
    </row>
    <row r="19735" spans="1:1" x14ac:dyDescent="0.3">
      <c r="A19735" t="s">
        <v>0</v>
      </c>
    </row>
    <row r="19736" spans="1:1" x14ac:dyDescent="0.3">
      <c r="A19736" t="s">
        <v>0</v>
      </c>
    </row>
    <row r="19737" spans="1:1" x14ac:dyDescent="0.3">
      <c r="A19737" t="s">
        <v>0</v>
      </c>
    </row>
    <row r="19738" spans="1:1" x14ac:dyDescent="0.3">
      <c r="A19738" t="s">
        <v>0</v>
      </c>
    </row>
    <row r="19739" spans="1:1" x14ac:dyDescent="0.3">
      <c r="A19739" t="s">
        <v>0</v>
      </c>
    </row>
    <row r="19740" spans="1:1" x14ac:dyDescent="0.3">
      <c r="A19740" t="s">
        <v>0</v>
      </c>
    </row>
    <row r="19741" spans="1:1" x14ac:dyDescent="0.3">
      <c r="A19741" t="s">
        <v>0</v>
      </c>
    </row>
    <row r="19742" spans="1:1" x14ac:dyDescent="0.3">
      <c r="A19742" t="s">
        <v>0</v>
      </c>
    </row>
    <row r="19743" spans="1:1" x14ac:dyDescent="0.3">
      <c r="A19743" t="s">
        <v>0</v>
      </c>
    </row>
    <row r="19744" spans="1:1" x14ac:dyDescent="0.3">
      <c r="A19744" t="s">
        <v>0</v>
      </c>
    </row>
    <row r="19745" spans="1:1" x14ac:dyDescent="0.3">
      <c r="A19745" t="s">
        <v>0</v>
      </c>
    </row>
    <row r="19746" spans="1:1" x14ac:dyDescent="0.3">
      <c r="A19746" t="s">
        <v>0</v>
      </c>
    </row>
    <row r="19747" spans="1:1" x14ac:dyDescent="0.3">
      <c r="A19747" t="s">
        <v>0</v>
      </c>
    </row>
    <row r="19748" spans="1:1" x14ac:dyDescent="0.3">
      <c r="A19748" t="s">
        <v>0</v>
      </c>
    </row>
    <row r="19749" spans="1:1" x14ac:dyDescent="0.3">
      <c r="A19749" t="s">
        <v>0</v>
      </c>
    </row>
    <row r="19750" spans="1:1" x14ac:dyDescent="0.3">
      <c r="A19750" t="s">
        <v>0</v>
      </c>
    </row>
    <row r="19751" spans="1:1" x14ac:dyDescent="0.3">
      <c r="A19751" t="s">
        <v>0</v>
      </c>
    </row>
    <row r="19752" spans="1:1" x14ac:dyDescent="0.3">
      <c r="A19752" t="s">
        <v>0</v>
      </c>
    </row>
    <row r="19753" spans="1:1" x14ac:dyDescent="0.3">
      <c r="A19753" t="s">
        <v>0</v>
      </c>
    </row>
    <row r="19754" spans="1:1" x14ac:dyDescent="0.3">
      <c r="A19754" t="s">
        <v>0</v>
      </c>
    </row>
    <row r="19755" spans="1:1" x14ac:dyDescent="0.3">
      <c r="A19755" t="s">
        <v>0</v>
      </c>
    </row>
    <row r="19756" spans="1:1" x14ac:dyDescent="0.3">
      <c r="A19756" t="s">
        <v>0</v>
      </c>
    </row>
    <row r="19757" spans="1:1" x14ac:dyDescent="0.3">
      <c r="A19757" t="s">
        <v>0</v>
      </c>
    </row>
    <row r="19758" spans="1:1" x14ac:dyDescent="0.3">
      <c r="A19758" t="s">
        <v>0</v>
      </c>
    </row>
    <row r="19759" spans="1:1" x14ac:dyDescent="0.3">
      <c r="A19759" t="s">
        <v>0</v>
      </c>
    </row>
    <row r="19760" spans="1:1" x14ac:dyDescent="0.3">
      <c r="A19760" t="s">
        <v>0</v>
      </c>
    </row>
    <row r="19761" spans="1:1" x14ac:dyDescent="0.3">
      <c r="A19761" t="s">
        <v>0</v>
      </c>
    </row>
    <row r="19762" spans="1:1" x14ac:dyDescent="0.3">
      <c r="A19762" t="s">
        <v>0</v>
      </c>
    </row>
    <row r="19763" spans="1:1" x14ac:dyDescent="0.3">
      <c r="A19763" t="s">
        <v>0</v>
      </c>
    </row>
    <row r="19764" spans="1:1" x14ac:dyDescent="0.3">
      <c r="A19764" t="s">
        <v>0</v>
      </c>
    </row>
    <row r="19765" spans="1:1" x14ac:dyDescent="0.3">
      <c r="A19765" t="s">
        <v>0</v>
      </c>
    </row>
    <row r="19766" spans="1:1" x14ac:dyDescent="0.3">
      <c r="A19766" t="s">
        <v>0</v>
      </c>
    </row>
    <row r="19767" spans="1:1" x14ac:dyDescent="0.3">
      <c r="A19767" t="s">
        <v>0</v>
      </c>
    </row>
    <row r="19768" spans="1:1" x14ac:dyDescent="0.3">
      <c r="A19768" t="s">
        <v>0</v>
      </c>
    </row>
    <row r="19769" spans="1:1" x14ac:dyDescent="0.3">
      <c r="A19769" t="s">
        <v>0</v>
      </c>
    </row>
    <row r="19770" spans="1:1" x14ac:dyDescent="0.3">
      <c r="A19770" t="s">
        <v>0</v>
      </c>
    </row>
    <row r="19771" spans="1:1" x14ac:dyDescent="0.3">
      <c r="A19771" t="s">
        <v>0</v>
      </c>
    </row>
    <row r="19772" spans="1:1" x14ac:dyDescent="0.3">
      <c r="A19772" t="s">
        <v>0</v>
      </c>
    </row>
    <row r="19773" spans="1:1" x14ac:dyDescent="0.3">
      <c r="A19773" t="s">
        <v>0</v>
      </c>
    </row>
    <row r="19774" spans="1:1" x14ac:dyDescent="0.3">
      <c r="A19774" t="s">
        <v>0</v>
      </c>
    </row>
    <row r="19775" spans="1:1" x14ac:dyDescent="0.3">
      <c r="A19775" t="s">
        <v>0</v>
      </c>
    </row>
    <row r="19776" spans="1:1" x14ac:dyDescent="0.3">
      <c r="A19776" t="s">
        <v>0</v>
      </c>
    </row>
    <row r="19777" spans="1:1" x14ac:dyDescent="0.3">
      <c r="A19777" t="s">
        <v>0</v>
      </c>
    </row>
    <row r="19778" spans="1:1" x14ac:dyDescent="0.3">
      <c r="A19778" t="s">
        <v>0</v>
      </c>
    </row>
    <row r="19779" spans="1:1" x14ac:dyDescent="0.3">
      <c r="A19779" t="s">
        <v>0</v>
      </c>
    </row>
    <row r="19780" spans="1:1" x14ac:dyDescent="0.3">
      <c r="A19780" t="s">
        <v>0</v>
      </c>
    </row>
    <row r="19781" spans="1:1" x14ac:dyDescent="0.3">
      <c r="A19781" t="s">
        <v>0</v>
      </c>
    </row>
    <row r="19782" spans="1:1" x14ac:dyDescent="0.3">
      <c r="A19782" t="s">
        <v>0</v>
      </c>
    </row>
    <row r="19783" spans="1:1" x14ac:dyDescent="0.3">
      <c r="A19783" t="s">
        <v>0</v>
      </c>
    </row>
    <row r="19784" spans="1:1" x14ac:dyDescent="0.3">
      <c r="A19784" t="s">
        <v>0</v>
      </c>
    </row>
    <row r="19785" spans="1:1" x14ac:dyDescent="0.3">
      <c r="A19785" t="s">
        <v>0</v>
      </c>
    </row>
    <row r="19786" spans="1:1" x14ac:dyDescent="0.3">
      <c r="A19786" t="s">
        <v>0</v>
      </c>
    </row>
    <row r="19787" spans="1:1" x14ac:dyDescent="0.3">
      <c r="A19787" t="s">
        <v>0</v>
      </c>
    </row>
    <row r="19788" spans="1:1" x14ac:dyDescent="0.3">
      <c r="A19788" t="s">
        <v>0</v>
      </c>
    </row>
    <row r="19789" spans="1:1" x14ac:dyDescent="0.3">
      <c r="A19789" t="s">
        <v>0</v>
      </c>
    </row>
    <row r="19790" spans="1:1" x14ac:dyDescent="0.3">
      <c r="A19790" t="s">
        <v>0</v>
      </c>
    </row>
    <row r="19791" spans="1:1" x14ac:dyDescent="0.3">
      <c r="A19791" t="s">
        <v>0</v>
      </c>
    </row>
    <row r="19792" spans="1:1" x14ac:dyDescent="0.3">
      <c r="A19792" t="s">
        <v>0</v>
      </c>
    </row>
    <row r="19793" spans="1:1" x14ac:dyDescent="0.3">
      <c r="A19793" t="s">
        <v>0</v>
      </c>
    </row>
    <row r="19794" spans="1:1" x14ac:dyDescent="0.3">
      <c r="A19794" t="s">
        <v>0</v>
      </c>
    </row>
    <row r="19795" spans="1:1" x14ac:dyDescent="0.3">
      <c r="A19795" t="s">
        <v>0</v>
      </c>
    </row>
    <row r="19796" spans="1:1" x14ac:dyDescent="0.3">
      <c r="A19796" t="s">
        <v>0</v>
      </c>
    </row>
    <row r="19797" spans="1:1" x14ac:dyDescent="0.3">
      <c r="A19797" t="s">
        <v>0</v>
      </c>
    </row>
    <row r="19798" spans="1:1" x14ac:dyDescent="0.3">
      <c r="A19798" t="s">
        <v>0</v>
      </c>
    </row>
    <row r="19799" spans="1:1" x14ac:dyDescent="0.3">
      <c r="A19799" t="s">
        <v>0</v>
      </c>
    </row>
    <row r="19800" spans="1:1" x14ac:dyDescent="0.3">
      <c r="A19800" t="s">
        <v>0</v>
      </c>
    </row>
    <row r="19801" spans="1:1" x14ac:dyDescent="0.3">
      <c r="A19801" t="s">
        <v>0</v>
      </c>
    </row>
    <row r="19802" spans="1:1" x14ac:dyDescent="0.3">
      <c r="A19802" t="s">
        <v>0</v>
      </c>
    </row>
    <row r="19803" spans="1:1" x14ac:dyDescent="0.3">
      <c r="A19803" t="s">
        <v>0</v>
      </c>
    </row>
    <row r="19804" spans="1:1" x14ac:dyDescent="0.3">
      <c r="A19804" t="s">
        <v>0</v>
      </c>
    </row>
    <row r="19805" spans="1:1" x14ac:dyDescent="0.3">
      <c r="A19805" t="s">
        <v>0</v>
      </c>
    </row>
    <row r="19806" spans="1:1" x14ac:dyDescent="0.3">
      <c r="A19806" t="s">
        <v>0</v>
      </c>
    </row>
    <row r="19807" spans="1:1" x14ac:dyDescent="0.3">
      <c r="A19807" t="s">
        <v>0</v>
      </c>
    </row>
    <row r="19808" spans="1:1" x14ac:dyDescent="0.3">
      <c r="A19808" t="s">
        <v>0</v>
      </c>
    </row>
    <row r="19809" spans="1:1" x14ac:dyDescent="0.3">
      <c r="A19809" t="s">
        <v>0</v>
      </c>
    </row>
    <row r="19810" spans="1:1" x14ac:dyDescent="0.3">
      <c r="A19810" t="s">
        <v>0</v>
      </c>
    </row>
    <row r="19811" spans="1:1" x14ac:dyDescent="0.3">
      <c r="A19811" t="s">
        <v>0</v>
      </c>
    </row>
    <row r="19812" spans="1:1" x14ac:dyDescent="0.3">
      <c r="A19812" t="s">
        <v>0</v>
      </c>
    </row>
    <row r="19813" spans="1:1" x14ac:dyDescent="0.3">
      <c r="A19813" t="s">
        <v>0</v>
      </c>
    </row>
    <row r="19814" spans="1:1" x14ac:dyDescent="0.3">
      <c r="A19814" t="s">
        <v>0</v>
      </c>
    </row>
    <row r="19815" spans="1:1" x14ac:dyDescent="0.3">
      <c r="A19815" t="s">
        <v>0</v>
      </c>
    </row>
    <row r="19816" spans="1:1" x14ac:dyDescent="0.3">
      <c r="A19816" t="s">
        <v>0</v>
      </c>
    </row>
    <row r="19817" spans="1:1" x14ac:dyDescent="0.3">
      <c r="A19817" t="s">
        <v>0</v>
      </c>
    </row>
    <row r="19818" spans="1:1" x14ac:dyDescent="0.3">
      <c r="A19818" t="s">
        <v>0</v>
      </c>
    </row>
    <row r="19819" spans="1:1" x14ac:dyDescent="0.3">
      <c r="A19819" t="s">
        <v>0</v>
      </c>
    </row>
    <row r="19820" spans="1:1" x14ac:dyDescent="0.3">
      <c r="A19820" t="s">
        <v>0</v>
      </c>
    </row>
    <row r="19821" spans="1:1" x14ac:dyDescent="0.3">
      <c r="A19821" t="s">
        <v>0</v>
      </c>
    </row>
    <row r="19822" spans="1:1" x14ac:dyDescent="0.3">
      <c r="A19822" t="s">
        <v>0</v>
      </c>
    </row>
    <row r="19823" spans="1:1" x14ac:dyDescent="0.3">
      <c r="A19823" t="s">
        <v>0</v>
      </c>
    </row>
    <row r="19824" spans="1:1" x14ac:dyDescent="0.3">
      <c r="A19824" t="s">
        <v>0</v>
      </c>
    </row>
    <row r="19825" spans="1:1" x14ac:dyDescent="0.3">
      <c r="A19825" t="s">
        <v>0</v>
      </c>
    </row>
    <row r="19826" spans="1:1" x14ac:dyDescent="0.3">
      <c r="A19826" t="s">
        <v>0</v>
      </c>
    </row>
    <row r="19827" spans="1:1" x14ac:dyDescent="0.3">
      <c r="A19827" t="s">
        <v>0</v>
      </c>
    </row>
    <row r="19828" spans="1:1" x14ac:dyDescent="0.3">
      <c r="A19828" t="s">
        <v>0</v>
      </c>
    </row>
    <row r="19829" spans="1:1" x14ac:dyDescent="0.3">
      <c r="A19829" t="s">
        <v>0</v>
      </c>
    </row>
    <row r="19830" spans="1:1" x14ac:dyDescent="0.3">
      <c r="A19830" t="s">
        <v>0</v>
      </c>
    </row>
    <row r="19831" spans="1:1" x14ac:dyDescent="0.3">
      <c r="A19831" t="s">
        <v>0</v>
      </c>
    </row>
    <row r="19832" spans="1:1" x14ac:dyDescent="0.3">
      <c r="A19832" t="s">
        <v>0</v>
      </c>
    </row>
    <row r="19833" spans="1:1" x14ac:dyDescent="0.3">
      <c r="A19833" t="s">
        <v>0</v>
      </c>
    </row>
    <row r="19834" spans="1:1" x14ac:dyDescent="0.3">
      <c r="A19834" t="s">
        <v>0</v>
      </c>
    </row>
    <row r="19835" spans="1:1" x14ac:dyDescent="0.3">
      <c r="A19835" t="s">
        <v>0</v>
      </c>
    </row>
    <row r="19836" spans="1:1" x14ac:dyDescent="0.3">
      <c r="A19836" t="s">
        <v>0</v>
      </c>
    </row>
    <row r="19837" spans="1:1" x14ac:dyDescent="0.3">
      <c r="A19837" t="s">
        <v>0</v>
      </c>
    </row>
    <row r="19838" spans="1:1" x14ac:dyDescent="0.3">
      <c r="A19838" t="s">
        <v>0</v>
      </c>
    </row>
    <row r="19839" spans="1:1" x14ac:dyDescent="0.3">
      <c r="A19839" t="s">
        <v>0</v>
      </c>
    </row>
    <row r="19840" spans="1:1" x14ac:dyDescent="0.3">
      <c r="A19840" t="s">
        <v>0</v>
      </c>
    </row>
    <row r="19841" spans="1:1" x14ac:dyDescent="0.3">
      <c r="A19841" t="s">
        <v>0</v>
      </c>
    </row>
    <row r="19842" spans="1:1" x14ac:dyDescent="0.3">
      <c r="A19842" t="s">
        <v>0</v>
      </c>
    </row>
    <row r="19843" spans="1:1" x14ac:dyDescent="0.3">
      <c r="A19843" t="s">
        <v>0</v>
      </c>
    </row>
    <row r="19844" spans="1:1" x14ac:dyDescent="0.3">
      <c r="A19844" t="s">
        <v>0</v>
      </c>
    </row>
    <row r="19845" spans="1:1" x14ac:dyDescent="0.3">
      <c r="A19845" t="s">
        <v>0</v>
      </c>
    </row>
    <row r="19846" spans="1:1" x14ac:dyDescent="0.3">
      <c r="A19846" t="s">
        <v>0</v>
      </c>
    </row>
    <row r="19847" spans="1:1" x14ac:dyDescent="0.3">
      <c r="A19847" t="s">
        <v>0</v>
      </c>
    </row>
    <row r="19848" spans="1:1" x14ac:dyDescent="0.3">
      <c r="A19848" t="s">
        <v>0</v>
      </c>
    </row>
    <row r="19849" spans="1:1" x14ac:dyDescent="0.3">
      <c r="A19849" t="s">
        <v>0</v>
      </c>
    </row>
    <row r="19850" spans="1:1" x14ac:dyDescent="0.3">
      <c r="A19850" t="s">
        <v>0</v>
      </c>
    </row>
    <row r="19851" spans="1:1" x14ac:dyDescent="0.3">
      <c r="A19851" t="s">
        <v>0</v>
      </c>
    </row>
    <row r="19852" spans="1:1" x14ac:dyDescent="0.3">
      <c r="A19852" t="s">
        <v>0</v>
      </c>
    </row>
    <row r="19853" spans="1:1" x14ac:dyDescent="0.3">
      <c r="A19853" t="s">
        <v>0</v>
      </c>
    </row>
    <row r="19854" spans="1:1" x14ac:dyDescent="0.3">
      <c r="A19854" t="s">
        <v>0</v>
      </c>
    </row>
    <row r="19855" spans="1:1" x14ac:dyDescent="0.3">
      <c r="A19855" t="s">
        <v>0</v>
      </c>
    </row>
    <row r="19856" spans="1:1" x14ac:dyDescent="0.3">
      <c r="A19856" t="s">
        <v>0</v>
      </c>
    </row>
    <row r="19857" spans="1:1" x14ac:dyDescent="0.3">
      <c r="A19857" t="s">
        <v>0</v>
      </c>
    </row>
    <row r="19858" spans="1:1" x14ac:dyDescent="0.3">
      <c r="A19858" t="s">
        <v>0</v>
      </c>
    </row>
    <row r="19859" spans="1:1" x14ac:dyDescent="0.3">
      <c r="A19859" t="s">
        <v>0</v>
      </c>
    </row>
    <row r="19860" spans="1:1" x14ac:dyDescent="0.3">
      <c r="A19860" t="s">
        <v>0</v>
      </c>
    </row>
    <row r="19861" spans="1:1" x14ac:dyDescent="0.3">
      <c r="A19861" t="s">
        <v>0</v>
      </c>
    </row>
    <row r="19862" spans="1:1" x14ac:dyDescent="0.3">
      <c r="A19862" t="s">
        <v>0</v>
      </c>
    </row>
    <row r="19863" spans="1:1" x14ac:dyDescent="0.3">
      <c r="A19863" t="s">
        <v>0</v>
      </c>
    </row>
    <row r="19864" spans="1:1" x14ac:dyDescent="0.3">
      <c r="A19864" t="s">
        <v>0</v>
      </c>
    </row>
    <row r="19865" spans="1:1" x14ac:dyDescent="0.3">
      <c r="A19865" t="s">
        <v>0</v>
      </c>
    </row>
    <row r="19866" spans="1:1" x14ac:dyDescent="0.3">
      <c r="A19866" t="s">
        <v>0</v>
      </c>
    </row>
    <row r="19867" spans="1:1" x14ac:dyDescent="0.3">
      <c r="A19867" t="s">
        <v>0</v>
      </c>
    </row>
    <row r="19868" spans="1:1" x14ac:dyDescent="0.3">
      <c r="A19868" t="s">
        <v>0</v>
      </c>
    </row>
    <row r="19869" spans="1:1" x14ac:dyDescent="0.3">
      <c r="A19869" t="s">
        <v>0</v>
      </c>
    </row>
    <row r="19870" spans="1:1" x14ac:dyDescent="0.3">
      <c r="A19870" t="s">
        <v>0</v>
      </c>
    </row>
    <row r="19871" spans="1:1" x14ac:dyDescent="0.3">
      <c r="A19871" t="s">
        <v>0</v>
      </c>
    </row>
    <row r="19872" spans="1:1" x14ac:dyDescent="0.3">
      <c r="A19872" t="s">
        <v>0</v>
      </c>
    </row>
    <row r="19873" spans="1:1" x14ac:dyDescent="0.3">
      <c r="A19873" t="s">
        <v>0</v>
      </c>
    </row>
    <row r="19874" spans="1:1" x14ac:dyDescent="0.3">
      <c r="A19874" t="s">
        <v>0</v>
      </c>
    </row>
    <row r="19875" spans="1:1" x14ac:dyDescent="0.3">
      <c r="A19875" t="s">
        <v>0</v>
      </c>
    </row>
    <row r="19876" spans="1:1" x14ac:dyDescent="0.3">
      <c r="A19876" t="s">
        <v>0</v>
      </c>
    </row>
    <row r="19877" spans="1:1" x14ac:dyDescent="0.3">
      <c r="A19877" t="s">
        <v>0</v>
      </c>
    </row>
    <row r="19878" spans="1:1" x14ac:dyDescent="0.3">
      <c r="A19878" t="s">
        <v>0</v>
      </c>
    </row>
    <row r="19879" spans="1:1" x14ac:dyDescent="0.3">
      <c r="A19879" t="s">
        <v>0</v>
      </c>
    </row>
    <row r="19880" spans="1:1" x14ac:dyDescent="0.3">
      <c r="A19880" t="s">
        <v>0</v>
      </c>
    </row>
    <row r="19881" spans="1:1" x14ac:dyDescent="0.3">
      <c r="A19881" t="s">
        <v>0</v>
      </c>
    </row>
    <row r="19882" spans="1:1" x14ac:dyDescent="0.3">
      <c r="A19882" t="s">
        <v>0</v>
      </c>
    </row>
    <row r="19883" spans="1:1" x14ac:dyDescent="0.3">
      <c r="A19883" t="s">
        <v>0</v>
      </c>
    </row>
    <row r="19884" spans="1:1" x14ac:dyDescent="0.3">
      <c r="A19884" t="s">
        <v>0</v>
      </c>
    </row>
    <row r="19885" spans="1:1" x14ac:dyDescent="0.3">
      <c r="A19885" t="s">
        <v>0</v>
      </c>
    </row>
    <row r="19886" spans="1:1" x14ac:dyDescent="0.3">
      <c r="A19886" t="s">
        <v>0</v>
      </c>
    </row>
    <row r="19887" spans="1:1" x14ac:dyDescent="0.3">
      <c r="A19887" t="s">
        <v>0</v>
      </c>
    </row>
    <row r="19888" spans="1:1" x14ac:dyDescent="0.3">
      <c r="A19888" t="s">
        <v>0</v>
      </c>
    </row>
    <row r="19889" spans="1:1" x14ac:dyDescent="0.3">
      <c r="A19889" t="s">
        <v>0</v>
      </c>
    </row>
    <row r="19890" spans="1:1" x14ac:dyDescent="0.3">
      <c r="A19890" t="s">
        <v>0</v>
      </c>
    </row>
    <row r="19891" spans="1:1" x14ac:dyDescent="0.3">
      <c r="A19891" t="s">
        <v>0</v>
      </c>
    </row>
    <row r="19892" spans="1:1" x14ac:dyDescent="0.3">
      <c r="A19892" t="s">
        <v>0</v>
      </c>
    </row>
    <row r="19893" spans="1:1" x14ac:dyDescent="0.3">
      <c r="A19893" t="s">
        <v>0</v>
      </c>
    </row>
    <row r="19894" spans="1:1" x14ac:dyDescent="0.3">
      <c r="A19894" t="s">
        <v>0</v>
      </c>
    </row>
    <row r="19895" spans="1:1" x14ac:dyDescent="0.3">
      <c r="A19895" t="s">
        <v>0</v>
      </c>
    </row>
    <row r="19896" spans="1:1" x14ac:dyDescent="0.3">
      <c r="A19896" t="s">
        <v>0</v>
      </c>
    </row>
    <row r="19897" spans="1:1" x14ac:dyDescent="0.3">
      <c r="A19897" t="s">
        <v>0</v>
      </c>
    </row>
    <row r="19898" spans="1:1" x14ac:dyDescent="0.3">
      <c r="A19898" t="s">
        <v>0</v>
      </c>
    </row>
    <row r="19899" spans="1:1" x14ac:dyDescent="0.3">
      <c r="A19899" t="s">
        <v>0</v>
      </c>
    </row>
    <row r="19900" spans="1:1" x14ac:dyDescent="0.3">
      <c r="A19900" t="s">
        <v>0</v>
      </c>
    </row>
    <row r="19901" spans="1:1" x14ac:dyDescent="0.3">
      <c r="A19901" t="s">
        <v>0</v>
      </c>
    </row>
    <row r="19902" spans="1:1" x14ac:dyDescent="0.3">
      <c r="A19902" t="s">
        <v>0</v>
      </c>
    </row>
    <row r="19903" spans="1:1" x14ac:dyDescent="0.3">
      <c r="A19903" t="s">
        <v>0</v>
      </c>
    </row>
    <row r="19904" spans="1:1" x14ac:dyDescent="0.3">
      <c r="A19904" t="s">
        <v>0</v>
      </c>
    </row>
    <row r="19905" spans="1:1" x14ac:dyDescent="0.3">
      <c r="A19905" t="s">
        <v>0</v>
      </c>
    </row>
    <row r="19906" spans="1:1" x14ac:dyDescent="0.3">
      <c r="A19906" t="s">
        <v>0</v>
      </c>
    </row>
    <row r="19907" spans="1:1" x14ac:dyDescent="0.3">
      <c r="A19907" t="s">
        <v>0</v>
      </c>
    </row>
    <row r="19908" spans="1:1" x14ac:dyDescent="0.3">
      <c r="A19908" t="s">
        <v>0</v>
      </c>
    </row>
    <row r="19909" spans="1:1" x14ac:dyDescent="0.3">
      <c r="A19909" t="s">
        <v>0</v>
      </c>
    </row>
    <row r="19910" spans="1:1" x14ac:dyDescent="0.3">
      <c r="A19910" t="s">
        <v>0</v>
      </c>
    </row>
    <row r="19911" spans="1:1" x14ac:dyDescent="0.3">
      <c r="A19911" t="s">
        <v>0</v>
      </c>
    </row>
    <row r="19912" spans="1:1" x14ac:dyDescent="0.3">
      <c r="A19912" t="s">
        <v>0</v>
      </c>
    </row>
    <row r="19913" spans="1:1" x14ac:dyDescent="0.3">
      <c r="A19913" t="s">
        <v>0</v>
      </c>
    </row>
    <row r="19914" spans="1:1" x14ac:dyDescent="0.3">
      <c r="A19914" t="s">
        <v>0</v>
      </c>
    </row>
    <row r="19915" spans="1:1" x14ac:dyDescent="0.3">
      <c r="A19915" t="s">
        <v>0</v>
      </c>
    </row>
    <row r="19916" spans="1:1" x14ac:dyDescent="0.3">
      <c r="A19916" t="s">
        <v>0</v>
      </c>
    </row>
    <row r="19917" spans="1:1" x14ac:dyDescent="0.3">
      <c r="A19917" t="s">
        <v>0</v>
      </c>
    </row>
    <row r="19918" spans="1:1" x14ac:dyDescent="0.3">
      <c r="A19918" t="s">
        <v>0</v>
      </c>
    </row>
    <row r="19919" spans="1:1" x14ac:dyDescent="0.3">
      <c r="A19919" t="s">
        <v>0</v>
      </c>
    </row>
    <row r="19920" spans="1:1" x14ac:dyDescent="0.3">
      <c r="A19920" t="s">
        <v>0</v>
      </c>
    </row>
    <row r="19921" spans="1:1" x14ac:dyDescent="0.3">
      <c r="A19921" t="s">
        <v>0</v>
      </c>
    </row>
    <row r="19922" spans="1:1" x14ac:dyDescent="0.3">
      <c r="A19922" t="s">
        <v>0</v>
      </c>
    </row>
    <row r="19923" spans="1:1" x14ac:dyDescent="0.3">
      <c r="A19923" t="s">
        <v>0</v>
      </c>
    </row>
    <row r="19924" spans="1:1" x14ac:dyDescent="0.3">
      <c r="A19924" t="s">
        <v>0</v>
      </c>
    </row>
    <row r="19925" spans="1:1" x14ac:dyDescent="0.3">
      <c r="A19925" t="s">
        <v>0</v>
      </c>
    </row>
    <row r="19926" spans="1:1" x14ac:dyDescent="0.3">
      <c r="A19926" t="s">
        <v>0</v>
      </c>
    </row>
    <row r="19927" spans="1:1" x14ac:dyDescent="0.3">
      <c r="A19927" t="s">
        <v>0</v>
      </c>
    </row>
    <row r="19928" spans="1:1" x14ac:dyDescent="0.3">
      <c r="A19928" t="s">
        <v>0</v>
      </c>
    </row>
    <row r="19929" spans="1:1" x14ac:dyDescent="0.3">
      <c r="A19929" t="s">
        <v>0</v>
      </c>
    </row>
    <row r="19930" spans="1:1" x14ac:dyDescent="0.3">
      <c r="A19930" t="s">
        <v>0</v>
      </c>
    </row>
    <row r="19931" spans="1:1" x14ac:dyDescent="0.3">
      <c r="A19931" t="s">
        <v>0</v>
      </c>
    </row>
    <row r="19932" spans="1:1" x14ac:dyDescent="0.3">
      <c r="A19932" t="s">
        <v>0</v>
      </c>
    </row>
    <row r="19933" spans="1:1" x14ac:dyDescent="0.3">
      <c r="A19933" t="s">
        <v>0</v>
      </c>
    </row>
    <row r="19934" spans="1:1" x14ac:dyDescent="0.3">
      <c r="A19934" t="s">
        <v>0</v>
      </c>
    </row>
    <row r="19935" spans="1:1" x14ac:dyDescent="0.3">
      <c r="A19935" t="s">
        <v>0</v>
      </c>
    </row>
    <row r="19936" spans="1:1" x14ac:dyDescent="0.3">
      <c r="A19936" t="s">
        <v>0</v>
      </c>
    </row>
    <row r="19937" spans="1:1" x14ac:dyDescent="0.3">
      <c r="A19937" t="s">
        <v>0</v>
      </c>
    </row>
    <row r="19938" spans="1:1" x14ac:dyDescent="0.3">
      <c r="A19938" t="s">
        <v>0</v>
      </c>
    </row>
    <row r="19939" spans="1:1" x14ac:dyDescent="0.3">
      <c r="A19939" t="s">
        <v>0</v>
      </c>
    </row>
    <row r="19940" spans="1:1" x14ac:dyDescent="0.3">
      <c r="A19940" t="s">
        <v>0</v>
      </c>
    </row>
    <row r="19941" spans="1:1" x14ac:dyDescent="0.3">
      <c r="A19941" t="s">
        <v>0</v>
      </c>
    </row>
    <row r="19942" spans="1:1" x14ac:dyDescent="0.3">
      <c r="A19942" t="s">
        <v>0</v>
      </c>
    </row>
    <row r="19943" spans="1:1" x14ac:dyDescent="0.3">
      <c r="A19943" t="s">
        <v>0</v>
      </c>
    </row>
    <row r="19944" spans="1:1" x14ac:dyDescent="0.3">
      <c r="A19944" t="s">
        <v>0</v>
      </c>
    </row>
    <row r="19945" spans="1:1" x14ac:dyDescent="0.3">
      <c r="A19945" t="s">
        <v>0</v>
      </c>
    </row>
    <row r="19946" spans="1:1" x14ac:dyDescent="0.3">
      <c r="A19946" t="s">
        <v>0</v>
      </c>
    </row>
    <row r="19947" spans="1:1" x14ac:dyDescent="0.3">
      <c r="A19947" t="s">
        <v>0</v>
      </c>
    </row>
    <row r="19948" spans="1:1" x14ac:dyDescent="0.3">
      <c r="A19948" t="s">
        <v>0</v>
      </c>
    </row>
    <row r="19949" spans="1:1" x14ac:dyDescent="0.3">
      <c r="A19949" t="s">
        <v>0</v>
      </c>
    </row>
    <row r="19950" spans="1:1" x14ac:dyDescent="0.3">
      <c r="A19950" t="s">
        <v>0</v>
      </c>
    </row>
    <row r="19951" spans="1:1" x14ac:dyDescent="0.3">
      <c r="A19951" t="s">
        <v>0</v>
      </c>
    </row>
    <row r="19952" spans="1:1" x14ac:dyDescent="0.3">
      <c r="A19952" t="s">
        <v>0</v>
      </c>
    </row>
    <row r="19953" spans="1:1" x14ac:dyDescent="0.3">
      <c r="A19953" t="s">
        <v>0</v>
      </c>
    </row>
    <row r="19954" spans="1:1" x14ac:dyDescent="0.3">
      <c r="A19954" t="s">
        <v>0</v>
      </c>
    </row>
    <row r="19955" spans="1:1" x14ac:dyDescent="0.3">
      <c r="A19955" t="s">
        <v>0</v>
      </c>
    </row>
    <row r="19956" spans="1:1" x14ac:dyDescent="0.3">
      <c r="A19956" t="s">
        <v>0</v>
      </c>
    </row>
    <row r="19957" spans="1:1" x14ac:dyDescent="0.3">
      <c r="A19957" t="s">
        <v>0</v>
      </c>
    </row>
    <row r="19958" spans="1:1" x14ac:dyDescent="0.3">
      <c r="A19958" t="s">
        <v>0</v>
      </c>
    </row>
    <row r="19959" spans="1:1" x14ac:dyDescent="0.3">
      <c r="A19959" t="s">
        <v>0</v>
      </c>
    </row>
    <row r="19960" spans="1:1" x14ac:dyDescent="0.3">
      <c r="A19960" t="s">
        <v>0</v>
      </c>
    </row>
    <row r="19961" spans="1:1" x14ac:dyDescent="0.3">
      <c r="A19961" t="s">
        <v>0</v>
      </c>
    </row>
    <row r="19962" spans="1:1" x14ac:dyDescent="0.3">
      <c r="A19962" t="s">
        <v>0</v>
      </c>
    </row>
    <row r="19963" spans="1:1" x14ac:dyDescent="0.3">
      <c r="A19963" t="s">
        <v>0</v>
      </c>
    </row>
    <row r="19964" spans="1:1" x14ac:dyDescent="0.3">
      <c r="A19964" t="s">
        <v>0</v>
      </c>
    </row>
    <row r="19965" spans="1:1" x14ac:dyDescent="0.3">
      <c r="A19965" t="s">
        <v>0</v>
      </c>
    </row>
    <row r="19966" spans="1:1" x14ac:dyDescent="0.3">
      <c r="A19966" t="s">
        <v>0</v>
      </c>
    </row>
    <row r="19967" spans="1:1" x14ac:dyDescent="0.3">
      <c r="A19967" t="s">
        <v>0</v>
      </c>
    </row>
    <row r="19968" spans="1:1" x14ac:dyDescent="0.3">
      <c r="A19968" t="s">
        <v>0</v>
      </c>
    </row>
    <row r="19969" spans="1:1" x14ac:dyDescent="0.3">
      <c r="A19969" t="s">
        <v>0</v>
      </c>
    </row>
    <row r="19970" spans="1:1" x14ac:dyDescent="0.3">
      <c r="A19970" t="s">
        <v>0</v>
      </c>
    </row>
    <row r="19971" spans="1:1" x14ac:dyDescent="0.3">
      <c r="A19971" t="s">
        <v>0</v>
      </c>
    </row>
    <row r="19972" spans="1:1" x14ac:dyDescent="0.3">
      <c r="A19972" t="s">
        <v>0</v>
      </c>
    </row>
    <row r="19973" spans="1:1" x14ac:dyDescent="0.3">
      <c r="A19973" t="s">
        <v>0</v>
      </c>
    </row>
    <row r="19974" spans="1:1" x14ac:dyDescent="0.3">
      <c r="A19974" t="s">
        <v>0</v>
      </c>
    </row>
    <row r="19975" spans="1:1" x14ac:dyDescent="0.3">
      <c r="A19975" t="s">
        <v>0</v>
      </c>
    </row>
    <row r="19976" spans="1:1" x14ac:dyDescent="0.3">
      <c r="A19976" t="s">
        <v>0</v>
      </c>
    </row>
    <row r="19977" spans="1:1" x14ac:dyDescent="0.3">
      <c r="A19977" t="s">
        <v>0</v>
      </c>
    </row>
    <row r="19978" spans="1:1" x14ac:dyDescent="0.3">
      <c r="A19978" t="s">
        <v>0</v>
      </c>
    </row>
    <row r="19979" spans="1:1" x14ac:dyDescent="0.3">
      <c r="A19979" t="s">
        <v>0</v>
      </c>
    </row>
    <row r="19980" spans="1:1" x14ac:dyDescent="0.3">
      <c r="A19980" t="s">
        <v>0</v>
      </c>
    </row>
    <row r="19981" spans="1:1" x14ac:dyDescent="0.3">
      <c r="A19981" t="s">
        <v>0</v>
      </c>
    </row>
    <row r="19982" spans="1:1" x14ac:dyDescent="0.3">
      <c r="A19982" t="s">
        <v>0</v>
      </c>
    </row>
    <row r="19983" spans="1:1" x14ac:dyDescent="0.3">
      <c r="A19983" t="s">
        <v>0</v>
      </c>
    </row>
    <row r="19984" spans="1:1" x14ac:dyDescent="0.3">
      <c r="A19984" t="s">
        <v>0</v>
      </c>
    </row>
    <row r="19985" spans="1:1" x14ac:dyDescent="0.3">
      <c r="A19985" t="s">
        <v>0</v>
      </c>
    </row>
    <row r="19986" spans="1:1" x14ac:dyDescent="0.3">
      <c r="A19986" t="s">
        <v>0</v>
      </c>
    </row>
    <row r="19987" spans="1:1" x14ac:dyDescent="0.3">
      <c r="A19987" t="s">
        <v>0</v>
      </c>
    </row>
    <row r="19988" spans="1:1" x14ac:dyDescent="0.3">
      <c r="A19988" t="s">
        <v>0</v>
      </c>
    </row>
    <row r="19989" spans="1:1" x14ac:dyDescent="0.3">
      <c r="A19989" t="s">
        <v>0</v>
      </c>
    </row>
    <row r="19990" spans="1:1" x14ac:dyDescent="0.3">
      <c r="A19990" t="s">
        <v>0</v>
      </c>
    </row>
    <row r="19991" spans="1:1" x14ac:dyDescent="0.3">
      <c r="A19991" t="s">
        <v>0</v>
      </c>
    </row>
    <row r="19992" spans="1:1" x14ac:dyDescent="0.3">
      <c r="A19992" t="s">
        <v>0</v>
      </c>
    </row>
    <row r="19993" spans="1:1" x14ac:dyDescent="0.3">
      <c r="A19993" t="s">
        <v>0</v>
      </c>
    </row>
    <row r="19994" spans="1:1" x14ac:dyDescent="0.3">
      <c r="A19994" t="s">
        <v>0</v>
      </c>
    </row>
    <row r="19995" spans="1:1" x14ac:dyDescent="0.3">
      <c r="A19995" t="s">
        <v>0</v>
      </c>
    </row>
    <row r="19996" spans="1:1" x14ac:dyDescent="0.3">
      <c r="A19996" t="s">
        <v>0</v>
      </c>
    </row>
    <row r="19997" spans="1:1" x14ac:dyDescent="0.3">
      <c r="A19997" t="s">
        <v>0</v>
      </c>
    </row>
    <row r="19998" spans="1:1" x14ac:dyDescent="0.3">
      <c r="A19998" t="s">
        <v>0</v>
      </c>
    </row>
    <row r="19999" spans="1:1" x14ac:dyDescent="0.3">
      <c r="A19999" t="s">
        <v>0</v>
      </c>
    </row>
    <row r="20000" spans="1:1" x14ac:dyDescent="0.3">
      <c r="A20000" t="s">
        <v>0</v>
      </c>
    </row>
    <row r="20001" spans="1:1" x14ac:dyDescent="0.3">
      <c r="A20001" t="s">
        <v>0</v>
      </c>
    </row>
    <row r="20002" spans="1:1" x14ac:dyDescent="0.3">
      <c r="A20002" t="s">
        <v>0</v>
      </c>
    </row>
    <row r="20003" spans="1:1" x14ac:dyDescent="0.3">
      <c r="A20003" t="s">
        <v>0</v>
      </c>
    </row>
    <row r="20004" spans="1:1" x14ac:dyDescent="0.3">
      <c r="A20004" t="s">
        <v>0</v>
      </c>
    </row>
    <row r="20005" spans="1:1" x14ac:dyDescent="0.3">
      <c r="A20005" t="s">
        <v>0</v>
      </c>
    </row>
    <row r="20006" spans="1:1" x14ac:dyDescent="0.3">
      <c r="A20006" t="s">
        <v>0</v>
      </c>
    </row>
    <row r="20007" spans="1:1" x14ac:dyDescent="0.3">
      <c r="A20007" t="s">
        <v>0</v>
      </c>
    </row>
    <row r="20008" spans="1:1" x14ac:dyDescent="0.3">
      <c r="A20008" t="s">
        <v>0</v>
      </c>
    </row>
    <row r="20009" spans="1:1" x14ac:dyDescent="0.3">
      <c r="A20009" t="s">
        <v>0</v>
      </c>
    </row>
    <row r="20010" spans="1:1" x14ac:dyDescent="0.3">
      <c r="A20010" t="s">
        <v>0</v>
      </c>
    </row>
    <row r="20011" spans="1:1" x14ac:dyDescent="0.3">
      <c r="A20011" t="s">
        <v>0</v>
      </c>
    </row>
    <row r="20012" spans="1:1" x14ac:dyDescent="0.3">
      <c r="A20012" t="s">
        <v>0</v>
      </c>
    </row>
    <row r="20013" spans="1:1" x14ac:dyDescent="0.3">
      <c r="A20013" t="s">
        <v>0</v>
      </c>
    </row>
    <row r="20014" spans="1:1" x14ac:dyDescent="0.3">
      <c r="A20014" t="s">
        <v>0</v>
      </c>
    </row>
    <row r="20015" spans="1:1" x14ac:dyDescent="0.3">
      <c r="A20015" t="s">
        <v>0</v>
      </c>
    </row>
    <row r="20016" spans="1:1" x14ac:dyDescent="0.3">
      <c r="A20016" t="s">
        <v>0</v>
      </c>
    </row>
    <row r="20017" spans="1:1" x14ac:dyDescent="0.3">
      <c r="A20017" t="s">
        <v>0</v>
      </c>
    </row>
    <row r="20018" spans="1:1" x14ac:dyDescent="0.3">
      <c r="A20018" t="s">
        <v>0</v>
      </c>
    </row>
    <row r="20019" spans="1:1" x14ac:dyDescent="0.3">
      <c r="A20019" t="s">
        <v>0</v>
      </c>
    </row>
    <row r="20020" spans="1:1" x14ac:dyDescent="0.3">
      <c r="A20020" t="s">
        <v>0</v>
      </c>
    </row>
    <row r="20021" spans="1:1" x14ac:dyDescent="0.3">
      <c r="A20021" t="s">
        <v>0</v>
      </c>
    </row>
    <row r="20022" spans="1:1" x14ac:dyDescent="0.3">
      <c r="A20022" t="s">
        <v>0</v>
      </c>
    </row>
    <row r="20023" spans="1:1" x14ac:dyDescent="0.3">
      <c r="A20023" t="s">
        <v>0</v>
      </c>
    </row>
    <row r="20024" spans="1:1" x14ac:dyDescent="0.3">
      <c r="A20024" t="s">
        <v>0</v>
      </c>
    </row>
    <row r="20025" spans="1:1" x14ac:dyDescent="0.3">
      <c r="A20025" t="s">
        <v>0</v>
      </c>
    </row>
    <row r="20026" spans="1:1" x14ac:dyDescent="0.3">
      <c r="A20026" t="s">
        <v>0</v>
      </c>
    </row>
    <row r="20027" spans="1:1" x14ac:dyDescent="0.3">
      <c r="A20027" t="s">
        <v>0</v>
      </c>
    </row>
    <row r="20028" spans="1:1" x14ac:dyDescent="0.3">
      <c r="A20028" t="s">
        <v>0</v>
      </c>
    </row>
    <row r="20029" spans="1:1" x14ac:dyDescent="0.3">
      <c r="A20029" t="s">
        <v>0</v>
      </c>
    </row>
    <row r="20030" spans="1:1" x14ac:dyDescent="0.3">
      <c r="A20030" t="s">
        <v>0</v>
      </c>
    </row>
    <row r="20031" spans="1:1" x14ac:dyDescent="0.3">
      <c r="A20031" t="s">
        <v>0</v>
      </c>
    </row>
    <row r="20032" spans="1:1" x14ac:dyDescent="0.3">
      <c r="A20032" t="s">
        <v>0</v>
      </c>
    </row>
    <row r="20033" spans="1:1" x14ac:dyDescent="0.3">
      <c r="A20033" t="s">
        <v>0</v>
      </c>
    </row>
    <row r="20034" spans="1:1" x14ac:dyDescent="0.3">
      <c r="A20034" t="s">
        <v>0</v>
      </c>
    </row>
    <row r="20035" spans="1:1" x14ac:dyDescent="0.3">
      <c r="A20035" t="s">
        <v>0</v>
      </c>
    </row>
    <row r="20036" spans="1:1" x14ac:dyDescent="0.3">
      <c r="A20036" t="s">
        <v>0</v>
      </c>
    </row>
    <row r="20037" spans="1:1" x14ac:dyDescent="0.3">
      <c r="A20037" t="s">
        <v>0</v>
      </c>
    </row>
    <row r="20038" spans="1:1" x14ac:dyDescent="0.3">
      <c r="A20038" t="s">
        <v>0</v>
      </c>
    </row>
    <row r="20039" spans="1:1" x14ac:dyDescent="0.3">
      <c r="A20039" t="s">
        <v>0</v>
      </c>
    </row>
    <row r="20040" spans="1:1" x14ac:dyDescent="0.3">
      <c r="A20040" t="s">
        <v>0</v>
      </c>
    </row>
    <row r="20041" spans="1:1" x14ac:dyDescent="0.3">
      <c r="A20041" t="s">
        <v>0</v>
      </c>
    </row>
    <row r="20042" spans="1:1" x14ac:dyDescent="0.3">
      <c r="A20042" t="s">
        <v>0</v>
      </c>
    </row>
    <row r="20043" spans="1:1" x14ac:dyDescent="0.3">
      <c r="A20043" t="s">
        <v>0</v>
      </c>
    </row>
    <row r="20044" spans="1:1" x14ac:dyDescent="0.3">
      <c r="A20044" t="s">
        <v>0</v>
      </c>
    </row>
    <row r="20045" spans="1:1" x14ac:dyDescent="0.3">
      <c r="A20045" t="s">
        <v>0</v>
      </c>
    </row>
    <row r="20046" spans="1:1" x14ac:dyDescent="0.3">
      <c r="A20046" t="s">
        <v>0</v>
      </c>
    </row>
    <row r="20047" spans="1:1" x14ac:dyDescent="0.3">
      <c r="A20047" t="s">
        <v>0</v>
      </c>
    </row>
    <row r="20048" spans="1:1" x14ac:dyDescent="0.3">
      <c r="A20048" t="s">
        <v>0</v>
      </c>
    </row>
    <row r="20049" spans="1:1" x14ac:dyDescent="0.3">
      <c r="A20049" t="s">
        <v>0</v>
      </c>
    </row>
    <row r="20050" spans="1:1" x14ac:dyDescent="0.3">
      <c r="A20050" t="s">
        <v>0</v>
      </c>
    </row>
    <row r="20051" spans="1:1" x14ac:dyDescent="0.3">
      <c r="A20051" t="s">
        <v>0</v>
      </c>
    </row>
    <row r="20052" spans="1:1" x14ac:dyDescent="0.3">
      <c r="A20052" t="s">
        <v>0</v>
      </c>
    </row>
    <row r="20053" spans="1:1" x14ac:dyDescent="0.3">
      <c r="A20053" t="s">
        <v>0</v>
      </c>
    </row>
    <row r="20054" spans="1:1" x14ac:dyDescent="0.3">
      <c r="A20054" t="s">
        <v>0</v>
      </c>
    </row>
    <row r="20055" spans="1:1" x14ac:dyDescent="0.3">
      <c r="A20055" t="s">
        <v>0</v>
      </c>
    </row>
    <row r="20056" spans="1:1" x14ac:dyDescent="0.3">
      <c r="A20056" t="s">
        <v>0</v>
      </c>
    </row>
    <row r="20057" spans="1:1" x14ac:dyDescent="0.3">
      <c r="A20057" t="s">
        <v>0</v>
      </c>
    </row>
    <row r="20058" spans="1:1" x14ac:dyDescent="0.3">
      <c r="A20058" t="s">
        <v>0</v>
      </c>
    </row>
    <row r="20059" spans="1:1" x14ac:dyDescent="0.3">
      <c r="A20059" t="s">
        <v>0</v>
      </c>
    </row>
    <row r="20060" spans="1:1" x14ac:dyDescent="0.3">
      <c r="A20060" t="s">
        <v>0</v>
      </c>
    </row>
    <row r="20061" spans="1:1" x14ac:dyDescent="0.3">
      <c r="A20061" t="s">
        <v>0</v>
      </c>
    </row>
    <row r="20062" spans="1:1" x14ac:dyDescent="0.3">
      <c r="A20062" t="s">
        <v>0</v>
      </c>
    </row>
    <row r="20063" spans="1:1" x14ac:dyDescent="0.3">
      <c r="A20063" t="s">
        <v>0</v>
      </c>
    </row>
    <row r="20064" spans="1:1" x14ac:dyDescent="0.3">
      <c r="A20064" t="s">
        <v>0</v>
      </c>
    </row>
    <row r="20065" spans="1:1" x14ac:dyDescent="0.3">
      <c r="A20065" t="s">
        <v>0</v>
      </c>
    </row>
    <row r="20066" spans="1:1" x14ac:dyDescent="0.3">
      <c r="A20066" t="s">
        <v>0</v>
      </c>
    </row>
    <row r="20067" spans="1:1" x14ac:dyDescent="0.3">
      <c r="A20067" t="s">
        <v>0</v>
      </c>
    </row>
    <row r="20068" spans="1:1" x14ac:dyDescent="0.3">
      <c r="A20068" t="s">
        <v>0</v>
      </c>
    </row>
    <row r="20069" spans="1:1" x14ac:dyDescent="0.3">
      <c r="A20069" t="s">
        <v>0</v>
      </c>
    </row>
    <row r="20070" spans="1:1" x14ac:dyDescent="0.3">
      <c r="A20070" t="s">
        <v>0</v>
      </c>
    </row>
    <row r="20071" spans="1:1" x14ac:dyDescent="0.3">
      <c r="A20071" t="s">
        <v>0</v>
      </c>
    </row>
    <row r="20072" spans="1:1" x14ac:dyDescent="0.3">
      <c r="A20072" t="s">
        <v>0</v>
      </c>
    </row>
    <row r="20073" spans="1:1" x14ac:dyDescent="0.3">
      <c r="A20073" t="s">
        <v>0</v>
      </c>
    </row>
    <row r="20074" spans="1:1" x14ac:dyDescent="0.3">
      <c r="A20074" t="s">
        <v>0</v>
      </c>
    </row>
    <row r="20075" spans="1:1" x14ac:dyDescent="0.3">
      <c r="A20075" t="s">
        <v>0</v>
      </c>
    </row>
    <row r="20076" spans="1:1" x14ac:dyDescent="0.3">
      <c r="A20076" t="s">
        <v>0</v>
      </c>
    </row>
    <row r="20077" spans="1:1" x14ac:dyDescent="0.3">
      <c r="A20077" t="s">
        <v>0</v>
      </c>
    </row>
    <row r="20078" spans="1:1" x14ac:dyDescent="0.3">
      <c r="A20078" t="s">
        <v>0</v>
      </c>
    </row>
    <row r="20079" spans="1:1" x14ac:dyDescent="0.3">
      <c r="A20079" t="s">
        <v>0</v>
      </c>
    </row>
    <row r="20080" spans="1:1" x14ac:dyDescent="0.3">
      <c r="A20080" t="s">
        <v>0</v>
      </c>
    </row>
    <row r="20081" spans="1:1" x14ac:dyDescent="0.3">
      <c r="A20081" t="s">
        <v>0</v>
      </c>
    </row>
    <row r="20082" spans="1:1" x14ac:dyDescent="0.3">
      <c r="A20082" t="s">
        <v>0</v>
      </c>
    </row>
    <row r="20083" spans="1:1" x14ac:dyDescent="0.3">
      <c r="A20083" t="s">
        <v>0</v>
      </c>
    </row>
    <row r="20084" spans="1:1" x14ac:dyDescent="0.3">
      <c r="A20084" t="s">
        <v>0</v>
      </c>
    </row>
    <row r="20085" spans="1:1" x14ac:dyDescent="0.3">
      <c r="A20085" t="s">
        <v>0</v>
      </c>
    </row>
    <row r="20086" spans="1:1" x14ac:dyDescent="0.3">
      <c r="A20086" t="s">
        <v>0</v>
      </c>
    </row>
    <row r="20087" spans="1:1" x14ac:dyDescent="0.3">
      <c r="A20087" t="s">
        <v>0</v>
      </c>
    </row>
    <row r="20088" spans="1:1" x14ac:dyDescent="0.3">
      <c r="A20088" t="s">
        <v>0</v>
      </c>
    </row>
    <row r="20089" spans="1:1" x14ac:dyDescent="0.3">
      <c r="A20089" t="s">
        <v>0</v>
      </c>
    </row>
    <row r="20090" spans="1:1" x14ac:dyDescent="0.3">
      <c r="A20090" t="s">
        <v>0</v>
      </c>
    </row>
    <row r="20091" spans="1:1" x14ac:dyDescent="0.3">
      <c r="A20091" t="s">
        <v>0</v>
      </c>
    </row>
    <row r="20092" spans="1:1" x14ac:dyDescent="0.3">
      <c r="A20092" t="s">
        <v>0</v>
      </c>
    </row>
    <row r="20093" spans="1:1" x14ac:dyDescent="0.3">
      <c r="A20093" t="s">
        <v>0</v>
      </c>
    </row>
    <row r="20094" spans="1:1" x14ac:dyDescent="0.3">
      <c r="A20094" t="s">
        <v>0</v>
      </c>
    </row>
    <row r="20095" spans="1:1" x14ac:dyDescent="0.3">
      <c r="A20095" t="s">
        <v>0</v>
      </c>
    </row>
    <row r="20096" spans="1:1" x14ac:dyDescent="0.3">
      <c r="A20096" t="s">
        <v>0</v>
      </c>
    </row>
    <row r="20097" spans="1:1" x14ac:dyDescent="0.3">
      <c r="A20097" t="s">
        <v>0</v>
      </c>
    </row>
    <row r="20098" spans="1:1" x14ac:dyDescent="0.3">
      <c r="A20098" t="s">
        <v>0</v>
      </c>
    </row>
    <row r="20099" spans="1:1" x14ac:dyDescent="0.3">
      <c r="A20099" t="s">
        <v>0</v>
      </c>
    </row>
    <row r="20100" spans="1:1" x14ac:dyDescent="0.3">
      <c r="A20100" t="s">
        <v>0</v>
      </c>
    </row>
    <row r="20101" spans="1:1" x14ac:dyDescent="0.3">
      <c r="A20101" t="s">
        <v>0</v>
      </c>
    </row>
    <row r="20102" spans="1:1" x14ac:dyDescent="0.3">
      <c r="A20102" t="s">
        <v>0</v>
      </c>
    </row>
    <row r="20103" spans="1:1" x14ac:dyDescent="0.3">
      <c r="A20103" t="s">
        <v>0</v>
      </c>
    </row>
    <row r="20104" spans="1:1" x14ac:dyDescent="0.3">
      <c r="A20104" t="s">
        <v>0</v>
      </c>
    </row>
    <row r="20105" spans="1:1" x14ac:dyDescent="0.3">
      <c r="A20105" t="s">
        <v>0</v>
      </c>
    </row>
    <row r="20106" spans="1:1" x14ac:dyDescent="0.3">
      <c r="A20106" t="s">
        <v>0</v>
      </c>
    </row>
    <row r="20107" spans="1:1" x14ac:dyDescent="0.3">
      <c r="A20107" t="s">
        <v>0</v>
      </c>
    </row>
    <row r="20108" spans="1:1" x14ac:dyDescent="0.3">
      <c r="A20108" t="s">
        <v>0</v>
      </c>
    </row>
    <row r="20109" spans="1:1" x14ac:dyDescent="0.3">
      <c r="A20109" t="s">
        <v>0</v>
      </c>
    </row>
    <row r="20110" spans="1:1" x14ac:dyDescent="0.3">
      <c r="A20110" t="s">
        <v>0</v>
      </c>
    </row>
    <row r="20111" spans="1:1" x14ac:dyDescent="0.3">
      <c r="A20111" t="s">
        <v>0</v>
      </c>
    </row>
    <row r="20112" spans="1:1" x14ac:dyDescent="0.3">
      <c r="A20112" t="s">
        <v>0</v>
      </c>
    </row>
    <row r="20113" spans="1:1" x14ac:dyDescent="0.3">
      <c r="A20113" t="s">
        <v>0</v>
      </c>
    </row>
    <row r="20114" spans="1:1" x14ac:dyDescent="0.3">
      <c r="A20114" t="s">
        <v>0</v>
      </c>
    </row>
    <row r="20115" spans="1:1" x14ac:dyDescent="0.3">
      <c r="A20115" t="s">
        <v>0</v>
      </c>
    </row>
    <row r="20116" spans="1:1" x14ac:dyDescent="0.3">
      <c r="A20116" t="s">
        <v>0</v>
      </c>
    </row>
    <row r="20117" spans="1:1" x14ac:dyDescent="0.3">
      <c r="A20117" t="s">
        <v>0</v>
      </c>
    </row>
    <row r="20118" spans="1:1" x14ac:dyDescent="0.3">
      <c r="A20118" t="s">
        <v>0</v>
      </c>
    </row>
    <row r="20119" spans="1:1" x14ac:dyDescent="0.3">
      <c r="A20119" t="s">
        <v>0</v>
      </c>
    </row>
    <row r="20120" spans="1:1" x14ac:dyDescent="0.3">
      <c r="A20120" t="s">
        <v>0</v>
      </c>
    </row>
    <row r="20121" spans="1:1" x14ac:dyDescent="0.3">
      <c r="A20121" t="s">
        <v>0</v>
      </c>
    </row>
    <row r="20122" spans="1:1" x14ac:dyDescent="0.3">
      <c r="A20122" t="s">
        <v>0</v>
      </c>
    </row>
    <row r="20123" spans="1:1" x14ac:dyDescent="0.3">
      <c r="A20123" t="s">
        <v>0</v>
      </c>
    </row>
    <row r="20124" spans="1:1" x14ac:dyDescent="0.3">
      <c r="A20124" t="s">
        <v>0</v>
      </c>
    </row>
    <row r="20125" spans="1:1" x14ac:dyDescent="0.3">
      <c r="A20125" t="s">
        <v>0</v>
      </c>
    </row>
    <row r="20126" spans="1:1" x14ac:dyDescent="0.3">
      <c r="A20126" t="s">
        <v>0</v>
      </c>
    </row>
    <row r="20127" spans="1:1" x14ac:dyDescent="0.3">
      <c r="A20127" t="s">
        <v>0</v>
      </c>
    </row>
    <row r="20128" spans="1:1" x14ac:dyDescent="0.3">
      <c r="A20128" t="s">
        <v>0</v>
      </c>
    </row>
    <row r="20129" spans="1:1" x14ac:dyDescent="0.3">
      <c r="A20129" t="s">
        <v>0</v>
      </c>
    </row>
    <row r="20130" spans="1:1" x14ac:dyDescent="0.3">
      <c r="A20130" t="s">
        <v>0</v>
      </c>
    </row>
    <row r="20131" spans="1:1" x14ac:dyDescent="0.3">
      <c r="A20131" t="s">
        <v>0</v>
      </c>
    </row>
    <row r="20132" spans="1:1" x14ac:dyDescent="0.3">
      <c r="A20132" t="s">
        <v>0</v>
      </c>
    </row>
    <row r="20133" spans="1:1" x14ac:dyDescent="0.3">
      <c r="A20133" t="s">
        <v>0</v>
      </c>
    </row>
    <row r="20134" spans="1:1" x14ac:dyDescent="0.3">
      <c r="A20134" t="s">
        <v>0</v>
      </c>
    </row>
    <row r="20135" spans="1:1" x14ac:dyDescent="0.3">
      <c r="A20135" t="s">
        <v>0</v>
      </c>
    </row>
    <row r="20136" spans="1:1" x14ac:dyDescent="0.3">
      <c r="A20136" t="s">
        <v>0</v>
      </c>
    </row>
    <row r="20137" spans="1:1" x14ac:dyDescent="0.3">
      <c r="A20137" t="s">
        <v>0</v>
      </c>
    </row>
    <row r="20138" spans="1:1" x14ac:dyDescent="0.3">
      <c r="A20138" t="s">
        <v>0</v>
      </c>
    </row>
    <row r="20139" spans="1:1" x14ac:dyDescent="0.3">
      <c r="A20139" t="s">
        <v>0</v>
      </c>
    </row>
    <row r="20140" spans="1:1" x14ac:dyDescent="0.3">
      <c r="A20140" t="s">
        <v>0</v>
      </c>
    </row>
    <row r="20141" spans="1:1" x14ac:dyDescent="0.3">
      <c r="A20141" t="s">
        <v>0</v>
      </c>
    </row>
    <row r="20142" spans="1:1" x14ac:dyDescent="0.3">
      <c r="A20142" t="s">
        <v>0</v>
      </c>
    </row>
    <row r="20143" spans="1:1" x14ac:dyDescent="0.3">
      <c r="A20143" t="s">
        <v>0</v>
      </c>
    </row>
    <row r="20144" spans="1:1" x14ac:dyDescent="0.3">
      <c r="A20144" t="s">
        <v>0</v>
      </c>
    </row>
    <row r="20145" spans="1:1" x14ac:dyDescent="0.3">
      <c r="A20145" t="s">
        <v>0</v>
      </c>
    </row>
    <row r="20146" spans="1:1" x14ac:dyDescent="0.3">
      <c r="A20146" t="s">
        <v>0</v>
      </c>
    </row>
    <row r="20147" spans="1:1" x14ac:dyDescent="0.3">
      <c r="A20147" t="s">
        <v>0</v>
      </c>
    </row>
    <row r="20148" spans="1:1" x14ac:dyDescent="0.3">
      <c r="A20148" t="s">
        <v>0</v>
      </c>
    </row>
    <row r="20149" spans="1:1" x14ac:dyDescent="0.3">
      <c r="A20149" t="s">
        <v>0</v>
      </c>
    </row>
    <row r="20150" spans="1:1" x14ac:dyDescent="0.3">
      <c r="A20150" t="s">
        <v>0</v>
      </c>
    </row>
    <row r="20151" spans="1:1" x14ac:dyDescent="0.3">
      <c r="A20151" t="s">
        <v>0</v>
      </c>
    </row>
    <row r="20152" spans="1:1" x14ac:dyDescent="0.3">
      <c r="A20152" t="s">
        <v>0</v>
      </c>
    </row>
    <row r="20153" spans="1:1" x14ac:dyDescent="0.3">
      <c r="A20153" t="s">
        <v>0</v>
      </c>
    </row>
    <row r="20154" spans="1:1" x14ac:dyDescent="0.3">
      <c r="A20154" t="s">
        <v>0</v>
      </c>
    </row>
    <row r="20155" spans="1:1" x14ac:dyDescent="0.3">
      <c r="A20155" t="s">
        <v>0</v>
      </c>
    </row>
    <row r="20156" spans="1:1" x14ac:dyDescent="0.3">
      <c r="A20156" t="s">
        <v>0</v>
      </c>
    </row>
    <row r="20157" spans="1:1" x14ac:dyDescent="0.3">
      <c r="A20157" t="s">
        <v>0</v>
      </c>
    </row>
    <row r="20158" spans="1:1" x14ac:dyDescent="0.3">
      <c r="A20158" t="s">
        <v>0</v>
      </c>
    </row>
    <row r="20159" spans="1:1" x14ac:dyDescent="0.3">
      <c r="A20159" t="s">
        <v>0</v>
      </c>
    </row>
    <row r="20160" spans="1:1" x14ac:dyDescent="0.3">
      <c r="A20160" t="s">
        <v>0</v>
      </c>
    </row>
    <row r="20161" spans="1:1" x14ac:dyDescent="0.3">
      <c r="A20161" t="s">
        <v>0</v>
      </c>
    </row>
    <row r="20162" spans="1:1" x14ac:dyDescent="0.3">
      <c r="A20162" t="s">
        <v>0</v>
      </c>
    </row>
    <row r="20163" spans="1:1" x14ac:dyDescent="0.3">
      <c r="A20163" t="s">
        <v>0</v>
      </c>
    </row>
    <row r="20164" spans="1:1" x14ac:dyDescent="0.3">
      <c r="A20164" t="s">
        <v>0</v>
      </c>
    </row>
    <row r="20165" spans="1:1" x14ac:dyDescent="0.3">
      <c r="A20165" t="s">
        <v>0</v>
      </c>
    </row>
    <row r="20166" spans="1:1" x14ac:dyDescent="0.3">
      <c r="A20166" t="s">
        <v>0</v>
      </c>
    </row>
    <row r="20167" spans="1:1" x14ac:dyDescent="0.3">
      <c r="A20167" t="s">
        <v>0</v>
      </c>
    </row>
    <row r="20168" spans="1:1" x14ac:dyDescent="0.3">
      <c r="A20168" t="s">
        <v>0</v>
      </c>
    </row>
    <row r="20169" spans="1:1" x14ac:dyDescent="0.3">
      <c r="A20169" t="s">
        <v>0</v>
      </c>
    </row>
    <row r="20170" spans="1:1" x14ac:dyDescent="0.3">
      <c r="A20170" t="s">
        <v>0</v>
      </c>
    </row>
    <row r="20171" spans="1:1" x14ac:dyDescent="0.3">
      <c r="A20171" t="s">
        <v>0</v>
      </c>
    </row>
    <row r="20172" spans="1:1" x14ac:dyDescent="0.3">
      <c r="A20172" t="s">
        <v>0</v>
      </c>
    </row>
    <row r="20173" spans="1:1" x14ac:dyDescent="0.3">
      <c r="A20173" t="s">
        <v>0</v>
      </c>
    </row>
    <row r="20174" spans="1:1" x14ac:dyDescent="0.3">
      <c r="A20174" t="s">
        <v>0</v>
      </c>
    </row>
    <row r="20175" spans="1:1" x14ac:dyDescent="0.3">
      <c r="A20175" t="s">
        <v>0</v>
      </c>
    </row>
    <row r="20176" spans="1:1" x14ac:dyDescent="0.3">
      <c r="A20176" t="s">
        <v>0</v>
      </c>
    </row>
    <row r="20177" spans="1:1" x14ac:dyDescent="0.3">
      <c r="A20177" t="s">
        <v>0</v>
      </c>
    </row>
    <row r="20178" spans="1:1" x14ac:dyDescent="0.3">
      <c r="A20178" t="s">
        <v>0</v>
      </c>
    </row>
    <row r="20179" spans="1:1" x14ac:dyDescent="0.3">
      <c r="A20179" t="s">
        <v>0</v>
      </c>
    </row>
    <row r="20180" spans="1:1" x14ac:dyDescent="0.3">
      <c r="A20180" t="s">
        <v>0</v>
      </c>
    </row>
    <row r="20181" spans="1:1" x14ac:dyDescent="0.3">
      <c r="A20181" t="s">
        <v>0</v>
      </c>
    </row>
    <row r="20182" spans="1:1" x14ac:dyDescent="0.3">
      <c r="A20182" t="s">
        <v>0</v>
      </c>
    </row>
    <row r="20183" spans="1:1" x14ac:dyDescent="0.3">
      <c r="A20183" t="s">
        <v>0</v>
      </c>
    </row>
    <row r="20184" spans="1:1" x14ac:dyDescent="0.3">
      <c r="A20184" t="s">
        <v>0</v>
      </c>
    </row>
    <row r="20185" spans="1:1" x14ac:dyDescent="0.3">
      <c r="A20185" t="s">
        <v>0</v>
      </c>
    </row>
    <row r="20186" spans="1:1" x14ac:dyDescent="0.3">
      <c r="A20186" t="s">
        <v>0</v>
      </c>
    </row>
    <row r="20187" spans="1:1" x14ac:dyDescent="0.3">
      <c r="A20187" t="s">
        <v>0</v>
      </c>
    </row>
    <row r="20188" spans="1:1" x14ac:dyDescent="0.3">
      <c r="A20188" t="s">
        <v>0</v>
      </c>
    </row>
    <row r="20189" spans="1:1" x14ac:dyDescent="0.3">
      <c r="A20189" t="s">
        <v>0</v>
      </c>
    </row>
    <row r="20190" spans="1:1" x14ac:dyDescent="0.3">
      <c r="A20190" t="s">
        <v>0</v>
      </c>
    </row>
    <row r="20191" spans="1:1" x14ac:dyDescent="0.3">
      <c r="A20191" t="s">
        <v>0</v>
      </c>
    </row>
    <row r="20192" spans="1:1" x14ac:dyDescent="0.3">
      <c r="A20192" t="s">
        <v>0</v>
      </c>
    </row>
    <row r="20193" spans="1:1" x14ac:dyDescent="0.3">
      <c r="A20193" t="s">
        <v>0</v>
      </c>
    </row>
    <row r="20194" spans="1:1" x14ac:dyDescent="0.3">
      <c r="A20194" t="s">
        <v>0</v>
      </c>
    </row>
    <row r="20195" spans="1:1" x14ac:dyDescent="0.3">
      <c r="A20195" t="s">
        <v>0</v>
      </c>
    </row>
    <row r="20196" spans="1:1" x14ac:dyDescent="0.3">
      <c r="A20196" t="s">
        <v>0</v>
      </c>
    </row>
    <row r="20197" spans="1:1" x14ac:dyDescent="0.3">
      <c r="A20197" t="s">
        <v>0</v>
      </c>
    </row>
    <row r="20198" spans="1:1" x14ac:dyDescent="0.3">
      <c r="A20198" t="s">
        <v>0</v>
      </c>
    </row>
    <row r="20199" spans="1:1" x14ac:dyDescent="0.3">
      <c r="A20199" t="s">
        <v>0</v>
      </c>
    </row>
    <row r="20200" spans="1:1" x14ac:dyDescent="0.3">
      <c r="A20200" t="s">
        <v>0</v>
      </c>
    </row>
    <row r="20201" spans="1:1" x14ac:dyDescent="0.3">
      <c r="A20201" t="s">
        <v>0</v>
      </c>
    </row>
    <row r="20202" spans="1:1" x14ac:dyDescent="0.3">
      <c r="A20202" t="s">
        <v>0</v>
      </c>
    </row>
    <row r="20203" spans="1:1" x14ac:dyDescent="0.3">
      <c r="A20203" t="s">
        <v>0</v>
      </c>
    </row>
    <row r="20204" spans="1:1" x14ac:dyDescent="0.3">
      <c r="A20204" t="s">
        <v>0</v>
      </c>
    </row>
    <row r="20205" spans="1:1" x14ac:dyDescent="0.3">
      <c r="A20205" t="s">
        <v>0</v>
      </c>
    </row>
    <row r="20206" spans="1:1" x14ac:dyDescent="0.3">
      <c r="A20206" t="s">
        <v>0</v>
      </c>
    </row>
    <row r="20207" spans="1:1" x14ac:dyDescent="0.3">
      <c r="A20207" t="s">
        <v>0</v>
      </c>
    </row>
    <row r="20208" spans="1:1" x14ac:dyDescent="0.3">
      <c r="A20208" t="s">
        <v>0</v>
      </c>
    </row>
    <row r="20209" spans="1:1" x14ac:dyDescent="0.3">
      <c r="A20209" t="s">
        <v>0</v>
      </c>
    </row>
    <row r="20210" spans="1:1" x14ac:dyDescent="0.3">
      <c r="A20210" t="s">
        <v>0</v>
      </c>
    </row>
    <row r="20211" spans="1:1" x14ac:dyDescent="0.3">
      <c r="A20211" t="s">
        <v>0</v>
      </c>
    </row>
    <row r="20212" spans="1:1" x14ac:dyDescent="0.3">
      <c r="A20212" t="s">
        <v>0</v>
      </c>
    </row>
    <row r="20213" spans="1:1" x14ac:dyDescent="0.3">
      <c r="A20213" t="s">
        <v>0</v>
      </c>
    </row>
    <row r="20214" spans="1:1" x14ac:dyDescent="0.3">
      <c r="A20214" t="s">
        <v>0</v>
      </c>
    </row>
    <row r="20215" spans="1:1" x14ac:dyDescent="0.3">
      <c r="A20215" t="s">
        <v>0</v>
      </c>
    </row>
    <row r="20216" spans="1:1" x14ac:dyDescent="0.3">
      <c r="A20216" t="s">
        <v>0</v>
      </c>
    </row>
    <row r="20217" spans="1:1" x14ac:dyDescent="0.3">
      <c r="A20217" t="s">
        <v>0</v>
      </c>
    </row>
    <row r="20218" spans="1:1" x14ac:dyDescent="0.3">
      <c r="A20218" t="s">
        <v>0</v>
      </c>
    </row>
    <row r="20219" spans="1:1" x14ac:dyDescent="0.3">
      <c r="A20219" t="s">
        <v>0</v>
      </c>
    </row>
    <row r="20220" spans="1:1" x14ac:dyDescent="0.3">
      <c r="A20220" t="s">
        <v>0</v>
      </c>
    </row>
    <row r="20221" spans="1:1" x14ac:dyDescent="0.3">
      <c r="A20221" t="s">
        <v>0</v>
      </c>
    </row>
    <row r="20222" spans="1:1" x14ac:dyDescent="0.3">
      <c r="A20222" t="s">
        <v>0</v>
      </c>
    </row>
    <row r="20223" spans="1:1" x14ac:dyDescent="0.3">
      <c r="A20223" t="s">
        <v>0</v>
      </c>
    </row>
    <row r="20224" spans="1:1" x14ac:dyDescent="0.3">
      <c r="A20224" t="s">
        <v>0</v>
      </c>
    </row>
    <row r="20225" spans="1:1" x14ac:dyDescent="0.3">
      <c r="A20225" t="s">
        <v>0</v>
      </c>
    </row>
    <row r="20226" spans="1:1" x14ac:dyDescent="0.3">
      <c r="A20226" t="s">
        <v>0</v>
      </c>
    </row>
    <row r="20227" spans="1:1" x14ac:dyDescent="0.3">
      <c r="A20227" t="s">
        <v>0</v>
      </c>
    </row>
    <row r="20228" spans="1:1" x14ac:dyDescent="0.3">
      <c r="A20228" t="s">
        <v>0</v>
      </c>
    </row>
    <row r="20229" spans="1:1" x14ac:dyDescent="0.3">
      <c r="A20229" t="s">
        <v>0</v>
      </c>
    </row>
    <row r="20230" spans="1:1" x14ac:dyDescent="0.3">
      <c r="A20230" t="s">
        <v>0</v>
      </c>
    </row>
    <row r="20231" spans="1:1" x14ac:dyDescent="0.3">
      <c r="A20231" t="s">
        <v>0</v>
      </c>
    </row>
    <row r="20232" spans="1:1" x14ac:dyDescent="0.3">
      <c r="A20232" t="s">
        <v>0</v>
      </c>
    </row>
    <row r="20233" spans="1:1" x14ac:dyDescent="0.3">
      <c r="A20233" t="s">
        <v>0</v>
      </c>
    </row>
    <row r="20234" spans="1:1" x14ac:dyDescent="0.3">
      <c r="A20234" t="s">
        <v>0</v>
      </c>
    </row>
    <row r="20235" spans="1:1" x14ac:dyDescent="0.3">
      <c r="A20235" t="s">
        <v>0</v>
      </c>
    </row>
    <row r="20236" spans="1:1" x14ac:dyDescent="0.3">
      <c r="A20236" t="s">
        <v>0</v>
      </c>
    </row>
    <row r="20237" spans="1:1" x14ac:dyDescent="0.3">
      <c r="A20237" t="s">
        <v>0</v>
      </c>
    </row>
    <row r="20238" spans="1:1" x14ac:dyDescent="0.3">
      <c r="A20238" t="s">
        <v>0</v>
      </c>
    </row>
    <row r="20239" spans="1:1" x14ac:dyDescent="0.3">
      <c r="A20239" t="s">
        <v>0</v>
      </c>
    </row>
    <row r="20240" spans="1:1" x14ac:dyDescent="0.3">
      <c r="A20240" t="s">
        <v>0</v>
      </c>
    </row>
    <row r="20241" spans="1:1" x14ac:dyDescent="0.3">
      <c r="A20241" t="s">
        <v>0</v>
      </c>
    </row>
    <row r="20242" spans="1:1" x14ac:dyDescent="0.3">
      <c r="A20242" t="s">
        <v>0</v>
      </c>
    </row>
    <row r="20243" spans="1:1" x14ac:dyDescent="0.3">
      <c r="A20243" t="s">
        <v>0</v>
      </c>
    </row>
    <row r="20244" spans="1:1" x14ac:dyDescent="0.3">
      <c r="A20244" t="s">
        <v>0</v>
      </c>
    </row>
    <row r="20245" spans="1:1" x14ac:dyDescent="0.3">
      <c r="A20245" t="s">
        <v>0</v>
      </c>
    </row>
    <row r="20246" spans="1:1" x14ac:dyDescent="0.3">
      <c r="A20246" t="s">
        <v>0</v>
      </c>
    </row>
    <row r="20247" spans="1:1" x14ac:dyDescent="0.3">
      <c r="A20247" t="s">
        <v>0</v>
      </c>
    </row>
    <row r="20248" spans="1:1" x14ac:dyDescent="0.3">
      <c r="A20248" t="s">
        <v>0</v>
      </c>
    </row>
    <row r="20249" spans="1:1" x14ac:dyDescent="0.3">
      <c r="A20249" t="s">
        <v>0</v>
      </c>
    </row>
    <row r="20250" spans="1:1" x14ac:dyDescent="0.3">
      <c r="A20250" t="s">
        <v>0</v>
      </c>
    </row>
    <row r="20251" spans="1:1" x14ac:dyDescent="0.3">
      <c r="A20251" t="s">
        <v>0</v>
      </c>
    </row>
    <row r="20252" spans="1:1" x14ac:dyDescent="0.3">
      <c r="A20252" t="s">
        <v>0</v>
      </c>
    </row>
    <row r="20253" spans="1:1" x14ac:dyDescent="0.3">
      <c r="A20253" t="s">
        <v>0</v>
      </c>
    </row>
    <row r="20254" spans="1:1" x14ac:dyDescent="0.3">
      <c r="A20254" t="s">
        <v>0</v>
      </c>
    </row>
    <row r="20255" spans="1:1" x14ac:dyDescent="0.3">
      <c r="A20255" t="s">
        <v>0</v>
      </c>
    </row>
    <row r="20256" spans="1:1" x14ac:dyDescent="0.3">
      <c r="A20256" t="s">
        <v>0</v>
      </c>
    </row>
    <row r="20257" spans="1:1" x14ac:dyDescent="0.3">
      <c r="A20257" t="s">
        <v>0</v>
      </c>
    </row>
    <row r="20258" spans="1:1" x14ac:dyDescent="0.3">
      <c r="A20258" t="s">
        <v>0</v>
      </c>
    </row>
    <row r="20259" spans="1:1" x14ac:dyDescent="0.3">
      <c r="A20259" t="s">
        <v>0</v>
      </c>
    </row>
    <row r="20260" spans="1:1" x14ac:dyDescent="0.3">
      <c r="A20260" t="s">
        <v>0</v>
      </c>
    </row>
    <row r="20261" spans="1:1" x14ac:dyDescent="0.3">
      <c r="A20261" t="s">
        <v>0</v>
      </c>
    </row>
    <row r="20262" spans="1:1" x14ac:dyDescent="0.3">
      <c r="A20262" t="s">
        <v>0</v>
      </c>
    </row>
    <row r="20263" spans="1:1" x14ac:dyDescent="0.3">
      <c r="A20263" t="s">
        <v>0</v>
      </c>
    </row>
    <row r="20264" spans="1:1" x14ac:dyDescent="0.3">
      <c r="A20264" t="s">
        <v>0</v>
      </c>
    </row>
    <row r="20265" spans="1:1" x14ac:dyDescent="0.3">
      <c r="A20265" t="s">
        <v>0</v>
      </c>
    </row>
    <row r="20266" spans="1:1" x14ac:dyDescent="0.3">
      <c r="A20266" t="s">
        <v>0</v>
      </c>
    </row>
    <row r="20267" spans="1:1" x14ac:dyDescent="0.3">
      <c r="A20267" t="s">
        <v>0</v>
      </c>
    </row>
    <row r="20268" spans="1:1" x14ac:dyDescent="0.3">
      <c r="A20268" t="s">
        <v>0</v>
      </c>
    </row>
    <row r="20269" spans="1:1" x14ac:dyDescent="0.3">
      <c r="A20269" t="s">
        <v>0</v>
      </c>
    </row>
    <row r="20270" spans="1:1" x14ac:dyDescent="0.3">
      <c r="A20270" t="s">
        <v>0</v>
      </c>
    </row>
    <row r="20271" spans="1:1" x14ac:dyDescent="0.3">
      <c r="A20271" t="s">
        <v>0</v>
      </c>
    </row>
    <row r="20272" spans="1:1" x14ac:dyDescent="0.3">
      <c r="A20272" t="s">
        <v>0</v>
      </c>
    </row>
    <row r="20273" spans="1:1" x14ac:dyDescent="0.3">
      <c r="A20273" t="s">
        <v>0</v>
      </c>
    </row>
    <row r="20274" spans="1:1" x14ac:dyDescent="0.3">
      <c r="A20274" t="s">
        <v>0</v>
      </c>
    </row>
    <row r="20275" spans="1:1" x14ac:dyDescent="0.3">
      <c r="A20275" t="s">
        <v>0</v>
      </c>
    </row>
    <row r="20276" spans="1:1" x14ac:dyDescent="0.3">
      <c r="A20276" t="s">
        <v>0</v>
      </c>
    </row>
    <row r="20277" spans="1:1" x14ac:dyDescent="0.3">
      <c r="A20277" t="s">
        <v>0</v>
      </c>
    </row>
    <row r="20278" spans="1:1" x14ac:dyDescent="0.3">
      <c r="A20278" t="s">
        <v>0</v>
      </c>
    </row>
    <row r="20279" spans="1:1" x14ac:dyDescent="0.3">
      <c r="A20279" t="s">
        <v>0</v>
      </c>
    </row>
    <row r="20280" spans="1:1" x14ac:dyDescent="0.3">
      <c r="A20280" t="s">
        <v>0</v>
      </c>
    </row>
    <row r="20281" spans="1:1" x14ac:dyDescent="0.3">
      <c r="A20281" t="s">
        <v>0</v>
      </c>
    </row>
    <row r="20282" spans="1:1" x14ac:dyDescent="0.3">
      <c r="A20282" t="s">
        <v>0</v>
      </c>
    </row>
    <row r="20283" spans="1:1" x14ac:dyDescent="0.3">
      <c r="A20283" t="s">
        <v>0</v>
      </c>
    </row>
    <row r="20284" spans="1:1" x14ac:dyDescent="0.3">
      <c r="A20284" t="s">
        <v>0</v>
      </c>
    </row>
    <row r="20285" spans="1:1" x14ac:dyDescent="0.3">
      <c r="A20285" t="s">
        <v>0</v>
      </c>
    </row>
    <row r="20286" spans="1:1" x14ac:dyDescent="0.3">
      <c r="A20286" t="s">
        <v>0</v>
      </c>
    </row>
    <row r="20287" spans="1:1" x14ac:dyDescent="0.3">
      <c r="A20287" t="s">
        <v>0</v>
      </c>
    </row>
    <row r="20288" spans="1:1" x14ac:dyDescent="0.3">
      <c r="A20288" t="s">
        <v>0</v>
      </c>
    </row>
    <row r="20289" spans="1:1" x14ac:dyDescent="0.3">
      <c r="A20289" t="s">
        <v>0</v>
      </c>
    </row>
    <row r="20290" spans="1:1" x14ac:dyDescent="0.3">
      <c r="A20290" t="s">
        <v>0</v>
      </c>
    </row>
    <row r="20291" spans="1:1" x14ac:dyDescent="0.3">
      <c r="A20291" t="s">
        <v>0</v>
      </c>
    </row>
    <row r="20292" spans="1:1" x14ac:dyDescent="0.3">
      <c r="A20292" t="s">
        <v>0</v>
      </c>
    </row>
    <row r="20293" spans="1:1" x14ac:dyDescent="0.3">
      <c r="A20293" t="s">
        <v>0</v>
      </c>
    </row>
    <row r="20294" spans="1:1" x14ac:dyDescent="0.3">
      <c r="A20294" t="s">
        <v>0</v>
      </c>
    </row>
    <row r="20295" spans="1:1" x14ac:dyDescent="0.3">
      <c r="A20295" t="s">
        <v>0</v>
      </c>
    </row>
    <row r="20296" spans="1:1" x14ac:dyDescent="0.3">
      <c r="A20296" t="s">
        <v>0</v>
      </c>
    </row>
    <row r="20297" spans="1:1" x14ac:dyDescent="0.3">
      <c r="A20297" t="s">
        <v>0</v>
      </c>
    </row>
    <row r="20298" spans="1:1" x14ac:dyDescent="0.3">
      <c r="A20298" t="s">
        <v>0</v>
      </c>
    </row>
    <row r="20299" spans="1:1" x14ac:dyDescent="0.3">
      <c r="A20299" t="s">
        <v>0</v>
      </c>
    </row>
    <row r="20300" spans="1:1" x14ac:dyDescent="0.3">
      <c r="A20300" t="s">
        <v>0</v>
      </c>
    </row>
    <row r="20301" spans="1:1" x14ac:dyDescent="0.3">
      <c r="A20301" t="s">
        <v>0</v>
      </c>
    </row>
    <row r="20302" spans="1:1" x14ac:dyDescent="0.3">
      <c r="A20302" t="s">
        <v>0</v>
      </c>
    </row>
    <row r="20303" spans="1:1" x14ac:dyDescent="0.3">
      <c r="A20303" t="s">
        <v>0</v>
      </c>
    </row>
    <row r="20304" spans="1:1" x14ac:dyDescent="0.3">
      <c r="A20304" t="s">
        <v>0</v>
      </c>
    </row>
    <row r="20305" spans="1:1" x14ac:dyDescent="0.3">
      <c r="A20305" t="s">
        <v>0</v>
      </c>
    </row>
    <row r="20306" spans="1:1" x14ac:dyDescent="0.3">
      <c r="A20306" t="s">
        <v>0</v>
      </c>
    </row>
    <row r="20307" spans="1:1" x14ac:dyDescent="0.3">
      <c r="A20307" t="s">
        <v>0</v>
      </c>
    </row>
    <row r="20308" spans="1:1" x14ac:dyDescent="0.3">
      <c r="A20308" t="s">
        <v>0</v>
      </c>
    </row>
    <row r="20309" spans="1:1" x14ac:dyDescent="0.3">
      <c r="A20309" t="s">
        <v>0</v>
      </c>
    </row>
    <row r="20310" spans="1:1" x14ac:dyDescent="0.3">
      <c r="A20310" t="s">
        <v>0</v>
      </c>
    </row>
    <row r="20311" spans="1:1" x14ac:dyDescent="0.3">
      <c r="A20311" t="s">
        <v>0</v>
      </c>
    </row>
    <row r="20312" spans="1:1" x14ac:dyDescent="0.3">
      <c r="A20312" t="s">
        <v>0</v>
      </c>
    </row>
    <row r="20313" spans="1:1" x14ac:dyDescent="0.3">
      <c r="A20313" t="s">
        <v>0</v>
      </c>
    </row>
    <row r="20314" spans="1:1" x14ac:dyDescent="0.3">
      <c r="A20314" t="s">
        <v>0</v>
      </c>
    </row>
    <row r="20315" spans="1:1" x14ac:dyDescent="0.3">
      <c r="A20315" t="s">
        <v>0</v>
      </c>
    </row>
    <row r="20316" spans="1:1" x14ac:dyDescent="0.3">
      <c r="A20316" t="s">
        <v>0</v>
      </c>
    </row>
    <row r="20317" spans="1:1" x14ac:dyDescent="0.3">
      <c r="A20317" t="s">
        <v>0</v>
      </c>
    </row>
    <row r="20318" spans="1:1" x14ac:dyDescent="0.3">
      <c r="A20318" t="s">
        <v>0</v>
      </c>
    </row>
    <row r="20319" spans="1:1" x14ac:dyDescent="0.3">
      <c r="A20319" t="s">
        <v>0</v>
      </c>
    </row>
    <row r="20320" spans="1:1" x14ac:dyDescent="0.3">
      <c r="A20320" t="s">
        <v>0</v>
      </c>
    </row>
    <row r="20321" spans="1:1" x14ac:dyDescent="0.3">
      <c r="A20321" t="s">
        <v>0</v>
      </c>
    </row>
    <row r="20322" spans="1:1" x14ac:dyDescent="0.3">
      <c r="A20322" t="s">
        <v>0</v>
      </c>
    </row>
    <row r="20323" spans="1:1" x14ac:dyDescent="0.3">
      <c r="A20323" t="s">
        <v>0</v>
      </c>
    </row>
    <row r="20324" spans="1:1" x14ac:dyDescent="0.3">
      <c r="A20324" t="s">
        <v>0</v>
      </c>
    </row>
    <row r="20325" spans="1:1" x14ac:dyDescent="0.3">
      <c r="A20325" t="s">
        <v>0</v>
      </c>
    </row>
    <row r="20326" spans="1:1" x14ac:dyDescent="0.3">
      <c r="A20326" t="s">
        <v>0</v>
      </c>
    </row>
    <row r="20327" spans="1:1" x14ac:dyDescent="0.3">
      <c r="A20327" t="s">
        <v>0</v>
      </c>
    </row>
    <row r="20328" spans="1:1" x14ac:dyDescent="0.3">
      <c r="A20328" t="s">
        <v>0</v>
      </c>
    </row>
    <row r="20329" spans="1:1" x14ac:dyDescent="0.3">
      <c r="A20329" t="s">
        <v>0</v>
      </c>
    </row>
    <row r="20330" spans="1:1" x14ac:dyDescent="0.3">
      <c r="A20330" t="s">
        <v>0</v>
      </c>
    </row>
    <row r="20331" spans="1:1" x14ac:dyDescent="0.3">
      <c r="A20331" t="s">
        <v>0</v>
      </c>
    </row>
    <row r="20332" spans="1:1" x14ac:dyDescent="0.3">
      <c r="A20332" t="s">
        <v>0</v>
      </c>
    </row>
    <row r="20333" spans="1:1" x14ac:dyDescent="0.3">
      <c r="A20333" t="s">
        <v>0</v>
      </c>
    </row>
    <row r="20334" spans="1:1" x14ac:dyDescent="0.3">
      <c r="A20334" t="s">
        <v>0</v>
      </c>
    </row>
    <row r="20335" spans="1:1" x14ac:dyDescent="0.3">
      <c r="A20335" t="s">
        <v>0</v>
      </c>
    </row>
    <row r="20336" spans="1:1" x14ac:dyDescent="0.3">
      <c r="A20336" t="s">
        <v>0</v>
      </c>
    </row>
    <row r="20337" spans="1:1" x14ac:dyDescent="0.3">
      <c r="A20337" t="s">
        <v>0</v>
      </c>
    </row>
    <row r="20338" spans="1:1" x14ac:dyDescent="0.3">
      <c r="A20338" t="s">
        <v>0</v>
      </c>
    </row>
    <row r="20339" spans="1:1" x14ac:dyDescent="0.3">
      <c r="A20339" t="s">
        <v>0</v>
      </c>
    </row>
    <row r="20340" spans="1:1" x14ac:dyDescent="0.3">
      <c r="A20340" t="s">
        <v>0</v>
      </c>
    </row>
    <row r="20341" spans="1:1" x14ac:dyDescent="0.3">
      <c r="A20341" t="s">
        <v>0</v>
      </c>
    </row>
    <row r="20342" spans="1:1" x14ac:dyDescent="0.3">
      <c r="A20342" t="s">
        <v>0</v>
      </c>
    </row>
    <row r="20343" spans="1:1" x14ac:dyDescent="0.3">
      <c r="A20343" t="s">
        <v>0</v>
      </c>
    </row>
    <row r="20344" spans="1:1" x14ac:dyDescent="0.3">
      <c r="A20344" t="s">
        <v>0</v>
      </c>
    </row>
    <row r="20345" spans="1:1" x14ac:dyDescent="0.3">
      <c r="A20345" t="s">
        <v>0</v>
      </c>
    </row>
    <row r="20346" spans="1:1" x14ac:dyDescent="0.3">
      <c r="A20346" t="s">
        <v>0</v>
      </c>
    </row>
    <row r="20347" spans="1:1" x14ac:dyDescent="0.3">
      <c r="A20347" t="s">
        <v>0</v>
      </c>
    </row>
    <row r="20348" spans="1:1" x14ac:dyDescent="0.3">
      <c r="A20348" t="s">
        <v>0</v>
      </c>
    </row>
    <row r="20349" spans="1:1" x14ac:dyDescent="0.3">
      <c r="A20349" t="s">
        <v>0</v>
      </c>
    </row>
    <row r="20350" spans="1:1" x14ac:dyDescent="0.3">
      <c r="A20350" t="s">
        <v>0</v>
      </c>
    </row>
    <row r="20351" spans="1:1" x14ac:dyDescent="0.3">
      <c r="A20351" t="s">
        <v>0</v>
      </c>
    </row>
    <row r="20352" spans="1:1" x14ac:dyDescent="0.3">
      <c r="A20352" t="s">
        <v>0</v>
      </c>
    </row>
    <row r="20353" spans="1:1" x14ac:dyDescent="0.3">
      <c r="A20353" t="s">
        <v>0</v>
      </c>
    </row>
    <row r="20354" spans="1:1" x14ac:dyDescent="0.3">
      <c r="A20354" t="s">
        <v>0</v>
      </c>
    </row>
    <row r="20355" spans="1:1" x14ac:dyDescent="0.3">
      <c r="A20355" t="s">
        <v>0</v>
      </c>
    </row>
    <row r="20356" spans="1:1" x14ac:dyDescent="0.3">
      <c r="A20356" t="s">
        <v>0</v>
      </c>
    </row>
    <row r="20357" spans="1:1" x14ac:dyDescent="0.3">
      <c r="A20357" t="s">
        <v>0</v>
      </c>
    </row>
    <row r="20358" spans="1:1" x14ac:dyDescent="0.3">
      <c r="A20358" t="s">
        <v>0</v>
      </c>
    </row>
    <row r="20359" spans="1:1" x14ac:dyDescent="0.3">
      <c r="A20359" t="s">
        <v>0</v>
      </c>
    </row>
    <row r="20360" spans="1:1" x14ac:dyDescent="0.3">
      <c r="A20360" t="s">
        <v>0</v>
      </c>
    </row>
    <row r="20361" spans="1:1" x14ac:dyDescent="0.3">
      <c r="A20361" t="s">
        <v>0</v>
      </c>
    </row>
    <row r="20362" spans="1:1" x14ac:dyDescent="0.3">
      <c r="A20362" t="s">
        <v>0</v>
      </c>
    </row>
    <row r="20363" spans="1:1" x14ac:dyDescent="0.3">
      <c r="A20363" t="s">
        <v>0</v>
      </c>
    </row>
    <row r="20364" spans="1:1" x14ac:dyDescent="0.3">
      <c r="A20364" t="s">
        <v>0</v>
      </c>
    </row>
    <row r="20365" spans="1:1" x14ac:dyDescent="0.3">
      <c r="A20365" t="s">
        <v>0</v>
      </c>
    </row>
    <row r="20366" spans="1:1" x14ac:dyDescent="0.3">
      <c r="A20366" t="s">
        <v>0</v>
      </c>
    </row>
    <row r="20367" spans="1:1" x14ac:dyDescent="0.3">
      <c r="A20367" t="s">
        <v>0</v>
      </c>
    </row>
    <row r="20368" spans="1:1" x14ac:dyDescent="0.3">
      <c r="A20368" t="s">
        <v>0</v>
      </c>
    </row>
    <row r="20369" spans="1:1" x14ac:dyDescent="0.3">
      <c r="A20369" t="s">
        <v>0</v>
      </c>
    </row>
    <row r="20370" spans="1:1" x14ac:dyDescent="0.3">
      <c r="A20370" t="s">
        <v>0</v>
      </c>
    </row>
    <row r="20371" spans="1:1" x14ac:dyDescent="0.3">
      <c r="A20371" t="s">
        <v>0</v>
      </c>
    </row>
    <row r="20372" spans="1:1" x14ac:dyDescent="0.3">
      <c r="A20372" t="s">
        <v>0</v>
      </c>
    </row>
    <row r="20373" spans="1:1" x14ac:dyDescent="0.3">
      <c r="A20373" t="s">
        <v>0</v>
      </c>
    </row>
    <row r="20374" spans="1:1" x14ac:dyDescent="0.3">
      <c r="A20374" t="s">
        <v>0</v>
      </c>
    </row>
    <row r="20375" spans="1:1" x14ac:dyDescent="0.3">
      <c r="A20375" t="s">
        <v>0</v>
      </c>
    </row>
    <row r="20376" spans="1:1" x14ac:dyDescent="0.3">
      <c r="A20376" t="s">
        <v>0</v>
      </c>
    </row>
    <row r="20377" spans="1:1" x14ac:dyDescent="0.3">
      <c r="A20377" t="s">
        <v>0</v>
      </c>
    </row>
    <row r="20378" spans="1:1" x14ac:dyDescent="0.3">
      <c r="A20378" t="s">
        <v>0</v>
      </c>
    </row>
    <row r="20379" spans="1:1" x14ac:dyDescent="0.3">
      <c r="A20379" t="s">
        <v>0</v>
      </c>
    </row>
    <row r="20380" spans="1:1" x14ac:dyDescent="0.3">
      <c r="A20380" t="s">
        <v>0</v>
      </c>
    </row>
    <row r="20381" spans="1:1" x14ac:dyDescent="0.3">
      <c r="A20381" t="s">
        <v>0</v>
      </c>
    </row>
    <row r="20382" spans="1:1" x14ac:dyDescent="0.3">
      <c r="A20382" t="s">
        <v>0</v>
      </c>
    </row>
    <row r="20383" spans="1:1" x14ac:dyDescent="0.3">
      <c r="A20383" t="s">
        <v>0</v>
      </c>
    </row>
    <row r="20384" spans="1:1" x14ac:dyDescent="0.3">
      <c r="A20384" t="s">
        <v>0</v>
      </c>
    </row>
    <row r="20385" spans="1:1" x14ac:dyDescent="0.3">
      <c r="A20385" t="s">
        <v>0</v>
      </c>
    </row>
    <row r="20386" spans="1:1" x14ac:dyDescent="0.3">
      <c r="A20386" t="s">
        <v>0</v>
      </c>
    </row>
    <row r="20387" spans="1:1" x14ac:dyDescent="0.3">
      <c r="A20387" t="s">
        <v>0</v>
      </c>
    </row>
    <row r="20388" spans="1:1" x14ac:dyDescent="0.3">
      <c r="A20388" t="s">
        <v>0</v>
      </c>
    </row>
    <row r="20389" spans="1:1" x14ac:dyDescent="0.3">
      <c r="A20389" t="s">
        <v>0</v>
      </c>
    </row>
    <row r="20390" spans="1:1" x14ac:dyDescent="0.3">
      <c r="A20390" t="s">
        <v>0</v>
      </c>
    </row>
    <row r="20391" spans="1:1" x14ac:dyDescent="0.3">
      <c r="A20391" t="s">
        <v>0</v>
      </c>
    </row>
    <row r="20392" spans="1:1" x14ac:dyDescent="0.3">
      <c r="A20392" t="s">
        <v>0</v>
      </c>
    </row>
    <row r="20393" spans="1:1" x14ac:dyDescent="0.3">
      <c r="A20393" t="s">
        <v>0</v>
      </c>
    </row>
    <row r="20394" spans="1:1" x14ac:dyDescent="0.3">
      <c r="A20394" t="s">
        <v>0</v>
      </c>
    </row>
    <row r="20395" spans="1:1" x14ac:dyDescent="0.3">
      <c r="A20395" t="s">
        <v>0</v>
      </c>
    </row>
    <row r="20396" spans="1:1" x14ac:dyDescent="0.3">
      <c r="A20396" t="s">
        <v>0</v>
      </c>
    </row>
    <row r="20397" spans="1:1" x14ac:dyDescent="0.3">
      <c r="A20397" t="s">
        <v>0</v>
      </c>
    </row>
    <row r="20398" spans="1:1" x14ac:dyDescent="0.3">
      <c r="A20398" t="s">
        <v>0</v>
      </c>
    </row>
    <row r="20399" spans="1:1" x14ac:dyDescent="0.3">
      <c r="A20399" t="s">
        <v>0</v>
      </c>
    </row>
    <row r="20400" spans="1:1" x14ac:dyDescent="0.3">
      <c r="A20400" t="s">
        <v>0</v>
      </c>
    </row>
    <row r="20401" spans="1:1" x14ac:dyDescent="0.3">
      <c r="A20401" t="s">
        <v>0</v>
      </c>
    </row>
    <row r="20402" spans="1:1" x14ac:dyDescent="0.3">
      <c r="A20402" t="s">
        <v>0</v>
      </c>
    </row>
    <row r="20403" spans="1:1" x14ac:dyDescent="0.3">
      <c r="A20403" t="s">
        <v>0</v>
      </c>
    </row>
    <row r="20404" spans="1:1" x14ac:dyDescent="0.3">
      <c r="A20404" t="s">
        <v>0</v>
      </c>
    </row>
    <row r="20405" spans="1:1" x14ac:dyDescent="0.3">
      <c r="A20405" t="s">
        <v>0</v>
      </c>
    </row>
    <row r="20406" spans="1:1" x14ac:dyDescent="0.3">
      <c r="A20406" t="s">
        <v>0</v>
      </c>
    </row>
    <row r="20407" spans="1:1" x14ac:dyDescent="0.3">
      <c r="A20407" t="s">
        <v>0</v>
      </c>
    </row>
    <row r="20408" spans="1:1" x14ac:dyDescent="0.3">
      <c r="A20408" t="s">
        <v>0</v>
      </c>
    </row>
    <row r="20409" spans="1:1" x14ac:dyDescent="0.3">
      <c r="A20409" t="s">
        <v>0</v>
      </c>
    </row>
    <row r="20410" spans="1:1" x14ac:dyDescent="0.3">
      <c r="A20410" t="s">
        <v>0</v>
      </c>
    </row>
    <row r="20411" spans="1:1" x14ac:dyDescent="0.3">
      <c r="A20411" t="s">
        <v>0</v>
      </c>
    </row>
    <row r="20412" spans="1:1" x14ac:dyDescent="0.3">
      <c r="A20412" t="s">
        <v>0</v>
      </c>
    </row>
    <row r="20413" spans="1:1" x14ac:dyDescent="0.3">
      <c r="A20413" t="s">
        <v>0</v>
      </c>
    </row>
    <row r="20414" spans="1:1" x14ac:dyDescent="0.3">
      <c r="A20414" t="s">
        <v>0</v>
      </c>
    </row>
    <row r="20415" spans="1:1" x14ac:dyDescent="0.3">
      <c r="A20415" t="s">
        <v>0</v>
      </c>
    </row>
    <row r="20416" spans="1:1" x14ac:dyDescent="0.3">
      <c r="A20416" t="s">
        <v>0</v>
      </c>
    </row>
    <row r="20417" spans="1:1" x14ac:dyDescent="0.3">
      <c r="A20417" t="s">
        <v>0</v>
      </c>
    </row>
    <row r="20418" spans="1:1" x14ac:dyDescent="0.3">
      <c r="A20418" t="s">
        <v>0</v>
      </c>
    </row>
    <row r="20419" spans="1:1" x14ac:dyDescent="0.3">
      <c r="A20419" t="s">
        <v>0</v>
      </c>
    </row>
    <row r="20420" spans="1:1" x14ac:dyDescent="0.3">
      <c r="A20420" t="s">
        <v>0</v>
      </c>
    </row>
    <row r="20421" spans="1:1" x14ac:dyDescent="0.3">
      <c r="A20421" t="s">
        <v>0</v>
      </c>
    </row>
    <row r="20422" spans="1:1" x14ac:dyDescent="0.3">
      <c r="A20422" t="s">
        <v>0</v>
      </c>
    </row>
    <row r="20423" spans="1:1" x14ac:dyDescent="0.3">
      <c r="A20423" t="s">
        <v>0</v>
      </c>
    </row>
    <row r="20424" spans="1:1" x14ac:dyDescent="0.3">
      <c r="A20424" t="s">
        <v>0</v>
      </c>
    </row>
    <row r="20425" spans="1:1" x14ac:dyDescent="0.3">
      <c r="A20425" t="s">
        <v>0</v>
      </c>
    </row>
    <row r="20426" spans="1:1" x14ac:dyDescent="0.3">
      <c r="A20426" t="s">
        <v>0</v>
      </c>
    </row>
    <row r="20427" spans="1:1" x14ac:dyDescent="0.3">
      <c r="A20427" t="s">
        <v>0</v>
      </c>
    </row>
    <row r="20428" spans="1:1" x14ac:dyDescent="0.3">
      <c r="A20428" t="s">
        <v>0</v>
      </c>
    </row>
    <row r="20429" spans="1:1" x14ac:dyDescent="0.3">
      <c r="A20429" t="s">
        <v>0</v>
      </c>
    </row>
    <row r="20430" spans="1:1" x14ac:dyDescent="0.3">
      <c r="A20430" t="s">
        <v>0</v>
      </c>
    </row>
    <row r="20431" spans="1:1" x14ac:dyDescent="0.3">
      <c r="A20431" t="s">
        <v>0</v>
      </c>
    </row>
    <row r="20432" spans="1:1" x14ac:dyDescent="0.3">
      <c r="A20432" t="s">
        <v>0</v>
      </c>
    </row>
    <row r="20433" spans="1:1" x14ac:dyDescent="0.3">
      <c r="A20433" t="s">
        <v>0</v>
      </c>
    </row>
    <row r="20434" spans="1:1" x14ac:dyDescent="0.3">
      <c r="A20434" t="s">
        <v>0</v>
      </c>
    </row>
    <row r="20435" spans="1:1" x14ac:dyDescent="0.3">
      <c r="A20435" t="s">
        <v>0</v>
      </c>
    </row>
    <row r="20436" spans="1:1" x14ac:dyDescent="0.3">
      <c r="A20436" t="s">
        <v>0</v>
      </c>
    </row>
    <row r="20437" spans="1:1" x14ac:dyDescent="0.3">
      <c r="A20437" t="s">
        <v>0</v>
      </c>
    </row>
    <row r="20438" spans="1:1" x14ac:dyDescent="0.3">
      <c r="A20438" t="s">
        <v>0</v>
      </c>
    </row>
    <row r="20439" spans="1:1" x14ac:dyDescent="0.3">
      <c r="A20439" t="s">
        <v>0</v>
      </c>
    </row>
    <row r="20440" spans="1:1" x14ac:dyDescent="0.3">
      <c r="A20440" t="s">
        <v>0</v>
      </c>
    </row>
    <row r="20441" spans="1:1" x14ac:dyDescent="0.3">
      <c r="A20441" t="s">
        <v>0</v>
      </c>
    </row>
    <row r="20442" spans="1:1" x14ac:dyDescent="0.3">
      <c r="A20442" t="s">
        <v>0</v>
      </c>
    </row>
    <row r="20443" spans="1:1" x14ac:dyDescent="0.3">
      <c r="A20443" t="s">
        <v>0</v>
      </c>
    </row>
    <row r="20444" spans="1:1" x14ac:dyDescent="0.3">
      <c r="A20444" t="s">
        <v>0</v>
      </c>
    </row>
    <row r="20445" spans="1:1" x14ac:dyDescent="0.3">
      <c r="A20445" t="s">
        <v>0</v>
      </c>
    </row>
    <row r="20446" spans="1:1" x14ac:dyDescent="0.3">
      <c r="A20446" t="s">
        <v>0</v>
      </c>
    </row>
    <row r="20447" spans="1:1" x14ac:dyDescent="0.3">
      <c r="A20447" t="s">
        <v>0</v>
      </c>
    </row>
    <row r="20448" spans="1:1" x14ac:dyDescent="0.3">
      <c r="A20448" t="s">
        <v>0</v>
      </c>
    </row>
    <row r="20449" spans="1:1" x14ac:dyDescent="0.3">
      <c r="A20449" t="s">
        <v>0</v>
      </c>
    </row>
    <row r="20450" spans="1:1" x14ac:dyDescent="0.3">
      <c r="A20450" t="s">
        <v>0</v>
      </c>
    </row>
    <row r="20451" spans="1:1" x14ac:dyDescent="0.3">
      <c r="A20451" t="s">
        <v>0</v>
      </c>
    </row>
    <row r="20452" spans="1:1" x14ac:dyDescent="0.3">
      <c r="A20452" t="s">
        <v>0</v>
      </c>
    </row>
    <row r="20453" spans="1:1" x14ac:dyDescent="0.3">
      <c r="A20453" t="s">
        <v>0</v>
      </c>
    </row>
    <row r="20454" spans="1:1" x14ac:dyDescent="0.3">
      <c r="A20454" t="s">
        <v>0</v>
      </c>
    </row>
    <row r="20455" spans="1:1" x14ac:dyDescent="0.3">
      <c r="A20455" t="s">
        <v>0</v>
      </c>
    </row>
    <row r="20456" spans="1:1" x14ac:dyDescent="0.3">
      <c r="A20456" t="s">
        <v>0</v>
      </c>
    </row>
    <row r="20457" spans="1:1" x14ac:dyDescent="0.3">
      <c r="A20457" t="s">
        <v>0</v>
      </c>
    </row>
    <row r="20458" spans="1:1" x14ac:dyDescent="0.3">
      <c r="A20458" t="s">
        <v>0</v>
      </c>
    </row>
    <row r="20459" spans="1:1" x14ac:dyDescent="0.3">
      <c r="A20459" t="s">
        <v>0</v>
      </c>
    </row>
    <row r="20460" spans="1:1" x14ac:dyDescent="0.3">
      <c r="A20460" t="s">
        <v>0</v>
      </c>
    </row>
    <row r="20461" spans="1:1" x14ac:dyDescent="0.3">
      <c r="A20461" t="s">
        <v>0</v>
      </c>
    </row>
    <row r="20462" spans="1:1" x14ac:dyDescent="0.3">
      <c r="A20462" t="s">
        <v>0</v>
      </c>
    </row>
    <row r="20463" spans="1:1" x14ac:dyDescent="0.3">
      <c r="A20463" t="s">
        <v>0</v>
      </c>
    </row>
    <row r="20464" spans="1:1" x14ac:dyDescent="0.3">
      <c r="A20464" t="s">
        <v>0</v>
      </c>
    </row>
    <row r="20465" spans="1:1" x14ac:dyDescent="0.3">
      <c r="A20465" t="s">
        <v>0</v>
      </c>
    </row>
    <row r="20466" spans="1:1" x14ac:dyDescent="0.3">
      <c r="A20466" t="s">
        <v>0</v>
      </c>
    </row>
    <row r="20467" spans="1:1" x14ac:dyDescent="0.3">
      <c r="A20467" t="s">
        <v>0</v>
      </c>
    </row>
    <row r="20468" spans="1:1" x14ac:dyDescent="0.3">
      <c r="A20468" t="s">
        <v>0</v>
      </c>
    </row>
    <row r="20469" spans="1:1" x14ac:dyDescent="0.3">
      <c r="A20469" t="s">
        <v>0</v>
      </c>
    </row>
    <row r="20470" spans="1:1" x14ac:dyDescent="0.3">
      <c r="A20470" t="s">
        <v>0</v>
      </c>
    </row>
    <row r="20471" spans="1:1" x14ac:dyDescent="0.3">
      <c r="A20471" t="s">
        <v>0</v>
      </c>
    </row>
    <row r="20472" spans="1:1" x14ac:dyDescent="0.3">
      <c r="A20472" t="s">
        <v>0</v>
      </c>
    </row>
    <row r="20473" spans="1:1" x14ac:dyDescent="0.3">
      <c r="A20473" t="s">
        <v>0</v>
      </c>
    </row>
    <row r="20474" spans="1:1" x14ac:dyDescent="0.3">
      <c r="A20474" t="s">
        <v>0</v>
      </c>
    </row>
    <row r="20475" spans="1:1" x14ac:dyDescent="0.3">
      <c r="A20475" t="s">
        <v>0</v>
      </c>
    </row>
    <row r="20476" spans="1:1" x14ac:dyDescent="0.3">
      <c r="A20476" t="s">
        <v>0</v>
      </c>
    </row>
    <row r="20477" spans="1:1" x14ac:dyDescent="0.3">
      <c r="A20477" t="s">
        <v>0</v>
      </c>
    </row>
    <row r="20478" spans="1:1" x14ac:dyDescent="0.3">
      <c r="A20478" t="s">
        <v>0</v>
      </c>
    </row>
    <row r="20479" spans="1:1" x14ac:dyDescent="0.3">
      <c r="A20479" t="s">
        <v>0</v>
      </c>
    </row>
    <row r="20480" spans="1:1" x14ac:dyDescent="0.3">
      <c r="A20480" t="s">
        <v>0</v>
      </c>
    </row>
    <row r="20481" spans="1:1" x14ac:dyDescent="0.3">
      <c r="A20481" t="s">
        <v>0</v>
      </c>
    </row>
    <row r="20482" spans="1:1" x14ac:dyDescent="0.3">
      <c r="A20482" t="s">
        <v>0</v>
      </c>
    </row>
    <row r="20483" spans="1:1" x14ac:dyDescent="0.3">
      <c r="A20483" t="s">
        <v>0</v>
      </c>
    </row>
    <row r="20484" spans="1:1" x14ac:dyDescent="0.3">
      <c r="A20484" t="s">
        <v>0</v>
      </c>
    </row>
    <row r="20485" spans="1:1" x14ac:dyDescent="0.3">
      <c r="A20485" t="s">
        <v>0</v>
      </c>
    </row>
    <row r="20486" spans="1:1" x14ac:dyDescent="0.3">
      <c r="A20486" t="s">
        <v>0</v>
      </c>
    </row>
    <row r="20487" spans="1:1" x14ac:dyDescent="0.3">
      <c r="A20487" t="s">
        <v>0</v>
      </c>
    </row>
    <row r="20488" spans="1:1" x14ac:dyDescent="0.3">
      <c r="A20488" t="s">
        <v>0</v>
      </c>
    </row>
    <row r="20489" spans="1:1" x14ac:dyDescent="0.3">
      <c r="A20489" t="s">
        <v>0</v>
      </c>
    </row>
    <row r="20490" spans="1:1" x14ac:dyDescent="0.3">
      <c r="A20490" t="s">
        <v>0</v>
      </c>
    </row>
    <row r="20491" spans="1:1" x14ac:dyDescent="0.3">
      <c r="A20491" t="s">
        <v>0</v>
      </c>
    </row>
    <row r="20492" spans="1:1" x14ac:dyDescent="0.3">
      <c r="A20492" t="s">
        <v>0</v>
      </c>
    </row>
    <row r="20493" spans="1:1" x14ac:dyDescent="0.3">
      <c r="A20493" t="s">
        <v>0</v>
      </c>
    </row>
    <row r="20494" spans="1:1" x14ac:dyDescent="0.3">
      <c r="A20494" t="s">
        <v>0</v>
      </c>
    </row>
    <row r="20495" spans="1:1" x14ac:dyDescent="0.3">
      <c r="A20495" t="s">
        <v>0</v>
      </c>
    </row>
    <row r="20496" spans="1:1" x14ac:dyDescent="0.3">
      <c r="A20496" t="s">
        <v>0</v>
      </c>
    </row>
    <row r="20497" spans="1:1" x14ac:dyDescent="0.3">
      <c r="A20497" t="s">
        <v>0</v>
      </c>
    </row>
    <row r="20498" spans="1:1" x14ac:dyDescent="0.3">
      <c r="A20498" t="s">
        <v>0</v>
      </c>
    </row>
    <row r="20499" spans="1:1" x14ac:dyDescent="0.3">
      <c r="A20499" t="s">
        <v>0</v>
      </c>
    </row>
    <row r="20500" spans="1:1" x14ac:dyDescent="0.3">
      <c r="A20500" t="s">
        <v>0</v>
      </c>
    </row>
    <row r="20501" spans="1:1" x14ac:dyDescent="0.3">
      <c r="A20501" t="s">
        <v>0</v>
      </c>
    </row>
    <row r="20502" spans="1:1" x14ac:dyDescent="0.3">
      <c r="A20502" t="s">
        <v>0</v>
      </c>
    </row>
    <row r="20503" spans="1:1" x14ac:dyDescent="0.3">
      <c r="A20503" t="s">
        <v>0</v>
      </c>
    </row>
    <row r="20504" spans="1:1" x14ac:dyDescent="0.3">
      <c r="A20504" t="s">
        <v>0</v>
      </c>
    </row>
    <row r="20505" spans="1:1" x14ac:dyDescent="0.3">
      <c r="A20505" t="s">
        <v>0</v>
      </c>
    </row>
    <row r="20506" spans="1:1" x14ac:dyDescent="0.3">
      <c r="A20506" t="s">
        <v>0</v>
      </c>
    </row>
    <row r="20507" spans="1:1" x14ac:dyDescent="0.3">
      <c r="A20507" t="s">
        <v>0</v>
      </c>
    </row>
    <row r="20508" spans="1:1" x14ac:dyDescent="0.3">
      <c r="A20508" t="s">
        <v>0</v>
      </c>
    </row>
    <row r="20509" spans="1:1" x14ac:dyDescent="0.3">
      <c r="A20509" t="s">
        <v>0</v>
      </c>
    </row>
    <row r="20510" spans="1:1" x14ac:dyDescent="0.3">
      <c r="A20510" t="s">
        <v>0</v>
      </c>
    </row>
    <row r="20511" spans="1:1" x14ac:dyDescent="0.3">
      <c r="A20511" t="s">
        <v>0</v>
      </c>
    </row>
    <row r="20512" spans="1:1" x14ac:dyDescent="0.3">
      <c r="A20512" t="s">
        <v>0</v>
      </c>
    </row>
    <row r="20513" spans="1:1" x14ac:dyDescent="0.3">
      <c r="A20513" t="s">
        <v>0</v>
      </c>
    </row>
    <row r="20514" spans="1:1" x14ac:dyDescent="0.3">
      <c r="A20514" t="s">
        <v>0</v>
      </c>
    </row>
    <row r="20515" spans="1:1" x14ac:dyDescent="0.3">
      <c r="A20515" t="s">
        <v>0</v>
      </c>
    </row>
    <row r="20516" spans="1:1" x14ac:dyDescent="0.3">
      <c r="A20516" t="s">
        <v>0</v>
      </c>
    </row>
    <row r="20517" spans="1:1" x14ac:dyDescent="0.3">
      <c r="A20517" t="s">
        <v>0</v>
      </c>
    </row>
    <row r="20518" spans="1:1" x14ac:dyDescent="0.3">
      <c r="A20518" t="s">
        <v>0</v>
      </c>
    </row>
    <row r="20519" spans="1:1" x14ac:dyDescent="0.3">
      <c r="A20519" t="s">
        <v>0</v>
      </c>
    </row>
    <row r="20520" spans="1:1" x14ac:dyDescent="0.3">
      <c r="A20520" t="s">
        <v>0</v>
      </c>
    </row>
    <row r="20521" spans="1:1" x14ac:dyDescent="0.3">
      <c r="A20521" t="s">
        <v>0</v>
      </c>
    </row>
    <row r="20522" spans="1:1" x14ac:dyDescent="0.3">
      <c r="A20522" t="s">
        <v>0</v>
      </c>
    </row>
    <row r="20523" spans="1:1" x14ac:dyDescent="0.3">
      <c r="A20523" t="s">
        <v>0</v>
      </c>
    </row>
    <row r="20524" spans="1:1" x14ac:dyDescent="0.3">
      <c r="A20524" t="s">
        <v>0</v>
      </c>
    </row>
    <row r="20525" spans="1:1" x14ac:dyDescent="0.3">
      <c r="A20525" t="s">
        <v>0</v>
      </c>
    </row>
    <row r="20526" spans="1:1" x14ac:dyDescent="0.3">
      <c r="A20526" t="s">
        <v>0</v>
      </c>
    </row>
    <row r="20527" spans="1:1" x14ac:dyDescent="0.3">
      <c r="A20527" t="s">
        <v>0</v>
      </c>
    </row>
    <row r="20528" spans="1:1" x14ac:dyDescent="0.3">
      <c r="A20528" t="s">
        <v>0</v>
      </c>
    </row>
    <row r="20529" spans="1:1" x14ac:dyDescent="0.3">
      <c r="A20529" t="s">
        <v>0</v>
      </c>
    </row>
    <row r="20530" spans="1:1" x14ac:dyDescent="0.3">
      <c r="A20530" t="s">
        <v>0</v>
      </c>
    </row>
    <row r="20531" spans="1:1" x14ac:dyDescent="0.3">
      <c r="A20531" t="s">
        <v>0</v>
      </c>
    </row>
    <row r="20532" spans="1:1" x14ac:dyDescent="0.3">
      <c r="A20532" t="s">
        <v>0</v>
      </c>
    </row>
    <row r="20533" spans="1:1" x14ac:dyDescent="0.3">
      <c r="A20533" t="s">
        <v>0</v>
      </c>
    </row>
    <row r="20534" spans="1:1" x14ac:dyDescent="0.3">
      <c r="A20534" t="s">
        <v>0</v>
      </c>
    </row>
    <row r="20535" spans="1:1" x14ac:dyDescent="0.3">
      <c r="A20535" t="s">
        <v>0</v>
      </c>
    </row>
    <row r="20536" spans="1:1" x14ac:dyDescent="0.3">
      <c r="A20536" t="s">
        <v>0</v>
      </c>
    </row>
    <row r="20537" spans="1:1" x14ac:dyDescent="0.3">
      <c r="A20537" t="s">
        <v>0</v>
      </c>
    </row>
    <row r="20538" spans="1:1" x14ac:dyDescent="0.3">
      <c r="A20538" t="s">
        <v>0</v>
      </c>
    </row>
    <row r="20539" spans="1:1" x14ac:dyDescent="0.3">
      <c r="A20539" t="s">
        <v>0</v>
      </c>
    </row>
    <row r="20540" spans="1:1" x14ac:dyDescent="0.3">
      <c r="A20540" t="s">
        <v>0</v>
      </c>
    </row>
    <row r="20541" spans="1:1" x14ac:dyDescent="0.3">
      <c r="A20541" t="s">
        <v>0</v>
      </c>
    </row>
    <row r="20542" spans="1:1" x14ac:dyDescent="0.3">
      <c r="A20542" t="s">
        <v>0</v>
      </c>
    </row>
    <row r="20543" spans="1:1" x14ac:dyDescent="0.3">
      <c r="A20543" t="s">
        <v>0</v>
      </c>
    </row>
    <row r="20544" spans="1:1" x14ac:dyDescent="0.3">
      <c r="A20544" t="s">
        <v>0</v>
      </c>
    </row>
    <row r="20545" spans="1:1" x14ac:dyDescent="0.3">
      <c r="A20545" t="s">
        <v>0</v>
      </c>
    </row>
    <row r="20546" spans="1:1" x14ac:dyDescent="0.3">
      <c r="A20546" t="s">
        <v>0</v>
      </c>
    </row>
    <row r="20547" spans="1:1" x14ac:dyDescent="0.3">
      <c r="A20547" t="s">
        <v>0</v>
      </c>
    </row>
    <row r="20548" spans="1:1" x14ac:dyDescent="0.3">
      <c r="A20548" t="s">
        <v>0</v>
      </c>
    </row>
    <row r="20549" spans="1:1" x14ac:dyDescent="0.3">
      <c r="A20549" t="s">
        <v>0</v>
      </c>
    </row>
    <row r="20550" spans="1:1" x14ac:dyDescent="0.3">
      <c r="A20550" t="s">
        <v>0</v>
      </c>
    </row>
    <row r="20551" spans="1:1" x14ac:dyDescent="0.3">
      <c r="A20551" t="s">
        <v>0</v>
      </c>
    </row>
    <row r="20552" spans="1:1" x14ac:dyDescent="0.3">
      <c r="A20552" t="s">
        <v>0</v>
      </c>
    </row>
    <row r="20553" spans="1:1" x14ac:dyDescent="0.3">
      <c r="A20553" t="s">
        <v>0</v>
      </c>
    </row>
    <row r="20554" spans="1:1" x14ac:dyDescent="0.3">
      <c r="A20554" t="s">
        <v>0</v>
      </c>
    </row>
    <row r="20555" spans="1:1" x14ac:dyDescent="0.3">
      <c r="A20555" t="s">
        <v>0</v>
      </c>
    </row>
    <row r="20556" spans="1:1" x14ac:dyDescent="0.3">
      <c r="A20556" t="s">
        <v>0</v>
      </c>
    </row>
    <row r="20557" spans="1:1" x14ac:dyDescent="0.3">
      <c r="A20557" t="s">
        <v>0</v>
      </c>
    </row>
    <row r="20558" spans="1:1" x14ac:dyDescent="0.3">
      <c r="A20558" t="s">
        <v>0</v>
      </c>
    </row>
    <row r="20559" spans="1:1" x14ac:dyDescent="0.3">
      <c r="A20559" t="s">
        <v>0</v>
      </c>
    </row>
    <row r="20560" spans="1:1" x14ac:dyDescent="0.3">
      <c r="A20560" t="s">
        <v>0</v>
      </c>
    </row>
    <row r="20561" spans="1:1" x14ac:dyDescent="0.3">
      <c r="A20561" t="s">
        <v>0</v>
      </c>
    </row>
    <row r="20562" spans="1:1" x14ac:dyDescent="0.3">
      <c r="A20562" t="s">
        <v>0</v>
      </c>
    </row>
    <row r="20563" spans="1:1" x14ac:dyDescent="0.3">
      <c r="A20563" t="s">
        <v>0</v>
      </c>
    </row>
    <row r="20564" spans="1:1" x14ac:dyDescent="0.3">
      <c r="A20564" t="s">
        <v>0</v>
      </c>
    </row>
    <row r="20565" spans="1:1" x14ac:dyDescent="0.3">
      <c r="A20565" t="s">
        <v>0</v>
      </c>
    </row>
    <row r="20566" spans="1:1" x14ac:dyDescent="0.3">
      <c r="A20566" t="s">
        <v>0</v>
      </c>
    </row>
    <row r="20567" spans="1:1" x14ac:dyDescent="0.3">
      <c r="A20567" t="s">
        <v>0</v>
      </c>
    </row>
    <row r="20568" spans="1:1" x14ac:dyDescent="0.3">
      <c r="A20568" t="s">
        <v>0</v>
      </c>
    </row>
    <row r="20569" spans="1:1" x14ac:dyDescent="0.3">
      <c r="A20569" t="s">
        <v>0</v>
      </c>
    </row>
    <row r="20570" spans="1:1" x14ac:dyDescent="0.3">
      <c r="A20570" t="s">
        <v>0</v>
      </c>
    </row>
    <row r="20571" spans="1:1" x14ac:dyDescent="0.3">
      <c r="A20571" t="s">
        <v>0</v>
      </c>
    </row>
    <row r="20572" spans="1:1" x14ac:dyDescent="0.3">
      <c r="A20572" t="s">
        <v>0</v>
      </c>
    </row>
    <row r="20573" spans="1:1" x14ac:dyDescent="0.3">
      <c r="A20573" t="s">
        <v>0</v>
      </c>
    </row>
    <row r="20574" spans="1:1" x14ac:dyDescent="0.3">
      <c r="A20574" t="s">
        <v>0</v>
      </c>
    </row>
    <row r="20575" spans="1:1" x14ac:dyDescent="0.3">
      <c r="A20575" t="s">
        <v>0</v>
      </c>
    </row>
    <row r="20576" spans="1:1" x14ac:dyDescent="0.3">
      <c r="A20576" t="s">
        <v>0</v>
      </c>
    </row>
    <row r="20577" spans="1:1" x14ac:dyDescent="0.3">
      <c r="A20577" t="s">
        <v>0</v>
      </c>
    </row>
    <row r="20578" spans="1:1" x14ac:dyDescent="0.3">
      <c r="A20578" t="s">
        <v>0</v>
      </c>
    </row>
    <row r="20579" spans="1:1" x14ac:dyDescent="0.3">
      <c r="A20579" t="s">
        <v>0</v>
      </c>
    </row>
    <row r="20580" spans="1:1" x14ac:dyDescent="0.3">
      <c r="A20580" t="s">
        <v>0</v>
      </c>
    </row>
    <row r="20581" spans="1:1" x14ac:dyDescent="0.3">
      <c r="A20581" t="s">
        <v>0</v>
      </c>
    </row>
    <row r="20582" spans="1:1" x14ac:dyDescent="0.3">
      <c r="A20582" t="s">
        <v>0</v>
      </c>
    </row>
    <row r="20583" spans="1:1" x14ac:dyDescent="0.3">
      <c r="A20583" t="s">
        <v>0</v>
      </c>
    </row>
    <row r="20584" spans="1:1" x14ac:dyDescent="0.3">
      <c r="A20584" t="s">
        <v>0</v>
      </c>
    </row>
    <row r="20585" spans="1:1" x14ac:dyDescent="0.3">
      <c r="A20585" t="s">
        <v>0</v>
      </c>
    </row>
    <row r="20586" spans="1:1" x14ac:dyDescent="0.3">
      <c r="A20586" t="s">
        <v>0</v>
      </c>
    </row>
    <row r="20587" spans="1:1" x14ac:dyDescent="0.3">
      <c r="A20587" t="s">
        <v>0</v>
      </c>
    </row>
    <row r="20588" spans="1:1" x14ac:dyDescent="0.3">
      <c r="A20588" t="s">
        <v>0</v>
      </c>
    </row>
    <row r="20589" spans="1:1" x14ac:dyDescent="0.3">
      <c r="A20589" t="s">
        <v>0</v>
      </c>
    </row>
    <row r="20590" spans="1:1" x14ac:dyDescent="0.3">
      <c r="A20590" t="s">
        <v>0</v>
      </c>
    </row>
    <row r="20591" spans="1:1" x14ac:dyDescent="0.3">
      <c r="A20591" t="s">
        <v>0</v>
      </c>
    </row>
    <row r="20592" spans="1:1" x14ac:dyDescent="0.3">
      <c r="A20592" t="s">
        <v>0</v>
      </c>
    </row>
    <row r="20593" spans="1:1" x14ac:dyDescent="0.3">
      <c r="A20593" t="s">
        <v>0</v>
      </c>
    </row>
    <row r="20594" spans="1:1" x14ac:dyDescent="0.3">
      <c r="A20594" t="s">
        <v>0</v>
      </c>
    </row>
    <row r="20595" spans="1:1" x14ac:dyDescent="0.3">
      <c r="A20595" t="s">
        <v>0</v>
      </c>
    </row>
    <row r="20596" spans="1:1" x14ac:dyDescent="0.3">
      <c r="A20596" t="s">
        <v>0</v>
      </c>
    </row>
    <row r="20597" spans="1:1" x14ac:dyDescent="0.3">
      <c r="A20597" t="s">
        <v>0</v>
      </c>
    </row>
    <row r="20598" spans="1:1" x14ac:dyDescent="0.3">
      <c r="A20598" t="s">
        <v>0</v>
      </c>
    </row>
    <row r="20599" spans="1:1" x14ac:dyDescent="0.3">
      <c r="A20599" t="s">
        <v>0</v>
      </c>
    </row>
    <row r="20600" spans="1:1" x14ac:dyDescent="0.3">
      <c r="A20600" t="s">
        <v>0</v>
      </c>
    </row>
    <row r="20601" spans="1:1" x14ac:dyDescent="0.3">
      <c r="A20601" t="s">
        <v>0</v>
      </c>
    </row>
    <row r="20602" spans="1:1" x14ac:dyDescent="0.3">
      <c r="A20602" t="s">
        <v>0</v>
      </c>
    </row>
    <row r="20603" spans="1:1" x14ac:dyDescent="0.3">
      <c r="A20603" t="s">
        <v>0</v>
      </c>
    </row>
    <row r="20604" spans="1:1" x14ac:dyDescent="0.3">
      <c r="A20604" t="s">
        <v>0</v>
      </c>
    </row>
    <row r="20605" spans="1:1" x14ac:dyDescent="0.3">
      <c r="A20605" t="s">
        <v>0</v>
      </c>
    </row>
    <row r="20606" spans="1:1" x14ac:dyDescent="0.3">
      <c r="A20606" t="s">
        <v>0</v>
      </c>
    </row>
    <row r="20607" spans="1:1" x14ac:dyDescent="0.3">
      <c r="A20607" t="s">
        <v>0</v>
      </c>
    </row>
    <row r="20608" spans="1:1" x14ac:dyDescent="0.3">
      <c r="A20608" t="s">
        <v>0</v>
      </c>
    </row>
    <row r="20609" spans="1:1" x14ac:dyDescent="0.3">
      <c r="A20609" t="s">
        <v>0</v>
      </c>
    </row>
    <row r="20610" spans="1:1" x14ac:dyDescent="0.3">
      <c r="A20610" t="s">
        <v>0</v>
      </c>
    </row>
    <row r="20611" spans="1:1" x14ac:dyDescent="0.3">
      <c r="A20611" t="s">
        <v>0</v>
      </c>
    </row>
    <row r="20612" spans="1:1" x14ac:dyDescent="0.3">
      <c r="A20612" t="s">
        <v>0</v>
      </c>
    </row>
    <row r="20613" spans="1:1" x14ac:dyDescent="0.3">
      <c r="A20613" t="s">
        <v>0</v>
      </c>
    </row>
    <row r="20614" spans="1:1" x14ac:dyDescent="0.3">
      <c r="A20614" t="s">
        <v>0</v>
      </c>
    </row>
    <row r="20615" spans="1:1" x14ac:dyDescent="0.3">
      <c r="A20615" t="s">
        <v>0</v>
      </c>
    </row>
    <row r="20616" spans="1:1" x14ac:dyDescent="0.3">
      <c r="A20616" t="s">
        <v>0</v>
      </c>
    </row>
    <row r="20617" spans="1:1" x14ac:dyDescent="0.3">
      <c r="A20617" t="s">
        <v>0</v>
      </c>
    </row>
    <row r="20618" spans="1:1" x14ac:dyDescent="0.3">
      <c r="A20618" t="s">
        <v>0</v>
      </c>
    </row>
    <row r="20619" spans="1:1" x14ac:dyDescent="0.3">
      <c r="A20619" t="s">
        <v>0</v>
      </c>
    </row>
    <row r="20620" spans="1:1" x14ac:dyDescent="0.3">
      <c r="A20620" t="s">
        <v>0</v>
      </c>
    </row>
    <row r="20621" spans="1:1" x14ac:dyDescent="0.3">
      <c r="A20621" t="s">
        <v>0</v>
      </c>
    </row>
    <row r="20622" spans="1:1" x14ac:dyDescent="0.3">
      <c r="A20622" t="s">
        <v>0</v>
      </c>
    </row>
    <row r="20623" spans="1:1" x14ac:dyDescent="0.3">
      <c r="A20623" t="s">
        <v>0</v>
      </c>
    </row>
    <row r="20624" spans="1:1" x14ac:dyDescent="0.3">
      <c r="A20624" t="s">
        <v>0</v>
      </c>
    </row>
    <row r="20625" spans="1:1" x14ac:dyDescent="0.3">
      <c r="A20625" t="s">
        <v>0</v>
      </c>
    </row>
    <row r="20626" spans="1:1" x14ac:dyDescent="0.3">
      <c r="A20626" t="s">
        <v>0</v>
      </c>
    </row>
    <row r="20627" spans="1:1" x14ac:dyDescent="0.3">
      <c r="A20627" t="s">
        <v>0</v>
      </c>
    </row>
    <row r="20628" spans="1:1" x14ac:dyDescent="0.3">
      <c r="A20628" t="s">
        <v>0</v>
      </c>
    </row>
    <row r="20629" spans="1:1" x14ac:dyDescent="0.3">
      <c r="A20629" t="s">
        <v>0</v>
      </c>
    </row>
    <row r="20630" spans="1:1" x14ac:dyDescent="0.3">
      <c r="A20630" t="s">
        <v>0</v>
      </c>
    </row>
    <row r="20631" spans="1:1" x14ac:dyDescent="0.3">
      <c r="A20631" t="s">
        <v>0</v>
      </c>
    </row>
    <row r="20632" spans="1:1" x14ac:dyDescent="0.3">
      <c r="A20632" t="s">
        <v>0</v>
      </c>
    </row>
    <row r="20633" spans="1:1" x14ac:dyDescent="0.3">
      <c r="A20633" t="s">
        <v>0</v>
      </c>
    </row>
    <row r="20634" spans="1:1" x14ac:dyDescent="0.3">
      <c r="A20634" t="s">
        <v>0</v>
      </c>
    </row>
    <row r="20635" spans="1:1" x14ac:dyDescent="0.3">
      <c r="A20635" t="s">
        <v>0</v>
      </c>
    </row>
    <row r="20636" spans="1:1" x14ac:dyDescent="0.3">
      <c r="A20636" t="s">
        <v>0</v>
      </c>
    </row>
    <row r="20637" spans="1:1" x14ac:dyDescent="0.3">
      <c r="A20637" t="s">
        <v>0</v>
      </c>
    </row>
    <row r="20638" spans="1:1" x14ac:dyDescent="0.3">
      <c r="A20638" t="s">
        <v>0</v>
      </c>
    </row>
    <row r="20639" spans="1:1" x14ac:dyDescent="0.3">
      <c r="A20639" t="s">
        <v>0</v>
      </c>
    </row>
    <row r="20640" spans="1:1" x14ac:dyDescent="0.3">
      <c r="A20640" t="s">
        <v>0</v>
      </c>
    </row>
    <row r="20641" spans="1:1" x14ac:dyDescent="0.3">
      <c r="A20641" t="s">
        <v>0</v>
      </c>
    </row>
    <row r="20642" spans="1:1" x14ac:dyDescent="0.3">
      <c r="A20642" t="s">
        <v>0</v>
      </c>
    </row>
    <row r="20643" spans="1:1" x14ac:dyDescent="0.3">
      <c r="A20643" t="s">
        <v>0</v>
      </c>
    </row>
    <row r="20644" spans="1:1" x14ac:dyDescent="0.3">
      <c r="A20644" t="s">
        <v>0</v>
      </c>
    </row>
    <row r="20645" spans="1:1" x14ac:dyDescent="0.3">
      <c r="A20645" t="s">
        <v>0</v>
      </c>
    </row>
    <row r="20646" spans="1:1" x14ac:dyDescent="0.3">
      <c r="A20646" t="s">
        <v>0</v>
      </c>
    </row>
    <row r="20647" spans="1:1" x14ac:dyDescent="0.3">
      <c r="A20647" t="s">
        <v>0</v>
      </c>
    </row>
    <row r="20648" spans="1:1" x14ac:dyDescent="0.3">
      <c r="A20648" t="s">
        <v>0</v>
      </c>
    </row>
    <row r="20649" spans="1:1" x14ac:dyDescent="0.3">
      <c r="A20649" t="s">
        <v>0</v>
      </c>
    </row>
    <row r="20650" spans="1:1" x14ac:dyDescent="0.3">
      <c r="A20650" t="s">
        <v>0</v>
      </c>
    </row>
    <row r="20651" spans="1:1" x14ac:dyDescent="0.3">
      <c r="A20651" t="s">
        <v>0</v>
      </c>
    </row>
    <row r="20652" spans="1:1" x14ac:dyDescent="0.3">
      <c r="A20652" t="s">
        <v>0</v>
      </c>
    </row>
    <row r="20653" spans="1:1" x14ac:dyDescent="0.3">
      <c r="A20653" t="s">
        <v>0</v>
      </c>
    </row>
    <row r="20654" spans="1:1" x14ac:dyDescent="0.3">
      <c r="A20654" t="s">
        <v>0</v>
      </c>
    </row>
    <row r="20655" spans="1:1" x14ac:dyDescent="0.3">
      <c r="A20655" t="s">
        <v>0</v>
      </c>
    </row>
    <row r="20656" spans="1:1" x14ac:dyDescent="0.3">
      <c r="A20656" t="s">
        <v>0</v>
      </c>
    </row>
    <row r="20657" spans="1:1" x14ac:dyDescent="0.3">
      <c r="A20657" t="s">
        <v>0</v>
      </c>
    </row>
    <row r="20658" spans="1:1" x14ac:dyDescent="0.3">
      <c r="A20658" t="s">
        <v>0</v>
      </c>
    </row>
    <row r="20659" spans="1:1" x14ac:dyDescent="0.3">
      <c r="A20659" t="s">
        <v>0</v>
      </c>
    </row>
    <row r="20660" spans="1:1" x14ac:dyDescent="0.3">
      <c r="A20660" t="s">
        <v>0</v>
      </c>
    </row>
    <row r="20661" spans="1:1" x14ac:dyDescent="0.3">
      <c r="A20661" t="s">
        <v>0</v>
      </c>
    </row>
    <row r="20662" spans="1:1" x14ac:dyDescent="0.3">
      <c r="A20662" t="s">
        <v>0</v>
      </c>
    </row>
    <row r="20663" spans="1:1" x14ac:dyDescent="0.3">
      <c r="A20663" t="s">
        <v>0</v>
      </c>
    </row>
    <row r="20664" spans="1:1" x14ac:dyDescent="0.3">
      <c r="A20664" t="s">
        <v>0</v>
      </c>
    </row>
    <row r="20665" spans="1:1" x14ac:dyDescent="0.3">
      <c r="A20665" t="s">
        <v>0</v>
      </c>
    </row>
    <row r="20666" spans="1:1" x14ac:dyDescent="0.3">
      <c r="A20666" t="s">
        <v>0</v>
      </c>
    </row>
    <row r="20667" spans="1:1" x14ac:dyDescent="0.3">
      <c r="A20667" t="s">
        <v>0</v>
      </c>
    </row>
    <row r="20668" spans="1:1" x14ac:dyDescent="0.3">
      <c r="A20668" t="s">
        <v>0</v>
      </c>
    </row>
    <row r="20669" spans="1:1" x14ac:dyDescent="0.3">
      <c r="A20669" t="s">
        <v>0</v>
      </c>
    </row>
    <row r="20670" spans="1:1" x14ac:dyDescent="0.3">
      <c r="A20670" t="s">
        <v>0</v>
      </c>
    </row>
    <row r="20671" spans="1:1" x14ac:dyDescent="0.3">
      <c r="A20671" t="s">
        <v>0</v>
      </c>
    </row>
    <row r="20672" spans="1:1" x14ac:dyDescent="0.3">
      <c r="A20672" t="s">
        <v>0</v>
      </c>
    </row>
    <row r="20673" spans="1:1" x14ac:dyDescent="0.3">
      <c r="A20673" t="s">
        <v>0</v>
      </c>
    </row>
    <row r="20674" spans="1:1" x14ac:dyDescent="0.3">
      <c r="A20674" t="s">
        <v>0</v>
      </c>
    </row>
    <row r="20675" spans="1:1" x14ac:dyDescent="0.3">
      <c r="A20675" t="s">
        <v>0</v>
      </c>
    </row>
    <row r="20676" spans="1:1" x14ac:dyDescent="0.3">
      <c r="A20676" t="s">
        <v>0</v>
      </c>
    </row>
    <row r="20677" spans="1:1" x14ac:dyDescent="0.3">
      <c r="A20677" t="s">
        <v>0</v>
      </c>
    </row>
    <row r="20678" spans="1:1" x14ac:dyDescent="0.3">
      <c r="A20678" t="s">
        <v>0</v>
      </c>
    </row>
    <row r="20679" spans="1:1" x14ac:dyDescent="0.3">
      <c r="A20679" t="s">
        <v>0</v>
      </c>
    </row>
    <row r="20680" spans="1:1" x14ac:dyDescent="0.3">
      <c r="A20680" t="s">
        <v>0</v>
      </c>
    </row>
    <row r="20681" spans="1:1" x14ac:dyDescent="0.3">
      <c r="A20681" t="s">
        <v>0</v>
      </c>
    </row>
    <row r="20682" spans="1:1" x14ac:dyDescent="0.3">
      <c r="A20682" t="s">
        <v>0</v>
      </c>
    </row>
    <row r="20683" spans="1:1" x14ac:dyDescent="0.3">
      <c r="A20683" t="s">
        <v>0</v>
      </c>
    </row>
    <row r="20684" spans="1:1" x14ac:dyDescent="0.3">
      <c r="A20684" t="s">
        <v>0</v>
      </c>
    </row>
    <row r="20685" spans="1:1" x14ac:dyDescent="0.3">
      <c r="A20685" t="s">
        <v>0</v>
      </c>
    </row>
    <row r="20686" spans="1:1" x14ac:dyDescent="0.3">
      <c r="A20686" t="s">
        <v>0</v>
      </c>
    </row>
    <row r="20687" spans="1:1" x14ac:dyDescent="0.3">
      <c r="A20687" t="s">
        <v>0</v>
      </c>
    </row>
    <row r="20688" spans="1:1" x14ac:dyDescent="0.3">
      <c r="A20688" t="s">
        <v>0</v>
      </c>
    </row>
    <row r="20689" spans="1:1" x14ac:dyDescent="0.3">
      <c r="A20689" t="s">
        <v>0</v>
      </c>
    </row>
    <row r="20690" spans="1:1" x14ac:dyDescent="0.3">
      <c r="A20690" t="s">
        <v>0</v>
      </c>
    </row>
    <row r="20691" spans="1:1" x14ac:dyDescent="0.3">
      <c r="A20691" t="s">
        <v>0</v>
      </c>
    </row>
    <row r="20692" spans="1:1" x14ac:dyDescent="0.3">
      <c r="A20692" t="s">
        <v>0</v>
      </c>
    </row>
    <row r="20693" spans="1:1" x14ac:dyDescent="0.3">
      <c r="A20693" t="s">
        <v>0</v>
      </c>
    </row>
    <row r="20694" spans="1:1" x14ac:dyDescent="0.3">
      <c r="A20694" t="s">
        <v>0</v>
      </c>
    </row>
    <row r="20695" spans="1:1" x14ac:dyDescent="0.3">
      <c r="A20695" t="s">
        <v>0</v>
      </c>
    </row>
    <row r="20696" spans="1:1" x14ac:dyDescent="0.3">
      <c r="A20696" t="s">
        <v>0</v>
      </c>
    </row>
    <row r="20697" spans="1:1" x14ac:dyDescent="0.3">
      <c r="A20697" t="s">
        <v>0</v>
      </c>
    </row>
    <row r="20698" spans="1:1" x14ac:dyDescent="0.3">
      <c r="A20698" t="s">
        <v>0</v>
      </c>
    </row>
    <row r="20699" spans="1:1" x14ac:dyDescent="0.3">
      <c r="A20699" t="s">
        <v>0</v>
      </c>
    </row>
    <row r="20700" spans="1:1" x14ac:dyDescent="0.3">
      <c r="A20700" t="s">
        <v>0</v>
      </c>
    </row>
    <row r="20701" spans="1:1" x14ac:dyDescent="0.3">
      <c r="A20701" t="s">
        <v>0</v>
      </c>
    </row>
    <row r="20702" spans="1:1" x14ac:dyDescent="0.3">
      <c r="A20702" t="s">
        <v>0</v>
      </c>
    </row>
    <row r="20703" spans="1:1" x14ac:dyDescent="0.3">
      <c r="A20703" t="s">
        <v>0</v>
      </c>
    </row>
    <row r="20704" spans="1:1" x14ac:dyDescent="0.3">
      <c r="A20704" t="s">
        <v>0</v>
      </c>
    </row>
    <row r="20705" spans="1:1" x14ac:dyDescent="0.3">
      <c r="A20705" t="s">
        <v>0</v>
      </c>
    </row>
    <row r="20706" spans="1:1" x14ac:dyDescent="0.3">
      <c r="A20706" t="s">
        <v>0</v>
      </c>
    </row>
    <row r="20707" spans="1:1" x14ac:dyDescent="0.3">
      <c r="A20707" t="s">
        <v>0</v>
      </c>
    </row>
    <row r="20708" spans="1:1" x14ac:dyDescent="0.3">
      <c r="A20708" t="s">
        <v>0</v>
      </c>
    </row>
    <row r="20709" spans="1:1" x14ac:dyDescent="0.3">
      <c r="A20709" t="s">
        <v>0</v>
      </c>
    </row>
    <row r="20710" spans="1:1" x14ac:dyDescent="0.3">
      <c r="A20710" t="s">
        <v>0</v>
      </c>
    </row>
    <row r="20711" spans="1:1" x14ac:dyDescent="0.3">
      <c r="A20711" t="s">
        <v>0</v>
      </c>
    </row>
    <row r="20712" spans="1:1" x14ac:dyDescent="0.3">
      <c r="A20712" t="s">
        <v>0</v>
      </c>
    </row>
    <row r="20713" spans="1:1" x14ac:dyDescent="0.3">
      <c r="A20713" t="s">
        <v>0</v>
      </c>
    </row>
    <row r="20714" spans="1:1" x14ac:dyDescent="0.3">
      <c r="A20714" t="s">
        <v>0</v>
      </c>
    </row>
    <row r="20715" spans="1:1" x14ac:dyDescent="0.3">
      <c r="A20715" t="s">
        <v>0</v>
      </c>
    </row>
    <row r="20716" spans="1:1" x14ac:dyDescent="0.3">
      <c r="A20716" t="s">
        <v>0</v>
      </c>
    </row>
    <row r="20717" spans="1:1" x14ac:dyDescent="0.3">
      <c r="A20717" t="s">
        <v>0</v>
      </c>
    </row>
    <row r="20718" spans="1:1" x14ac:dyDescent="0.3">
      <c r="A20718" t="s">
        <v>0</v>
      </c>
    </row>
    <row r="20719" spans="1:1" x14ac:dyDescent="0.3">
      <c r="A20719" t="s">
        <v>0</v>
      </c>
    </row>
    <row r="20720" spans="1:1" x14ac:dyDescent="0.3">
      <c r="A20720" t="s">
        <v>0</v>
      </c>
    </row>
    <row r="20721" spans="1:1" x14ac:dyDescent="0.3">
      <c r="A20721" t="s">
        <v>0</v>
      </c>
    </row>
    <row r="20722" spans="1:1" x14ac:dyDescent="0.3">
      <c r="A20722" t="s">
        <v>0</v>
      </c>
    </row>
    <row r="20723" spans="1:1" x14ac:dyDescent="0.3">
      <c r="A20723" t="s">
        <v>0</v>
      </c>
    </row>
    <row r="20724" spans="1:1" x14ac:dyDescent="0.3">
      <c r="A20724" t="s">
        <v>0</v>
      </c>
    </row>
    <row r="20725" spans="1:1" x14ac:dyDescent="0.3">
      <c r="A20725" t="s">
        <v>0</v>
      </c>
    </row>
    <row r="20726" spans="1:1" x14ac:dyDescent="0.3">
      <c r="A20726" t="s">
        <v>0</v>
      </c>
    </row>
    <row r="20727" spans="1:1" x14ac:dyDescent="0.3">
      <c r="A20727" t="s">
        <v>0</v>
      </c>
    </row>
    <row r="20728" spans="1:1" x14ac:dyDescent="0.3">
      <c r="A20728" t="s">
        <v>0</v>
      </c>
    </row>
    <row r="20729" spans="1:1" x14ac:dyDescent="0.3">
      <c r="A20729" t="s">
        <v>0</v>
      </c>
    </row>
    <row r="20730" spans="1:1" x14ac:dyDescent="0.3">
      <c r="A20730" t="s">
        <v>0</v>
      </c>
    </row>
    <row r="20731" spans="1:1" x14ac:dyDescent="0.3">
      <c r="A20731" t="s">
        <v>0</v>
      </c>
    </row>
    <row r="20732" spans="1:1" x14ac:dyDescent="0.3">
      <c r="A20732" t="s">
        <v>0</v>
      </c>
    </row>
    <row r="20733" spans="1:1" x14ac:dyDescent="0.3">
      <c r="A20733" t="s">
        <v>0</v>
      </c>
    </row>
    <row r="20734" spans="1:1" x14ac:dyDescent="0.3">
      <c r="A20734" t="s">
        <v>0</v>
      </c>
    </row>
    <row r="20735" spans="1:1" x14ac:dyDescent="0.3">
      <c r="A20735" t="s">
        <v>0</v>
      </c>
    </row>
    <row r="20736" spans="1:1" x14ac:dyDescent="0.3">
      <c r="A20736" t="s">
        <v>0</v>
      </c>
    </row>
    <row r="20737" spans="1:1" x14ac:dyDescent="0.3">
      <c r="A20737" t="s">
        <v>0</v>
      </c>
    </row>
    <row r="20738" spans="1:1" x14ac:dyDescent="0.3">
      <c r="A20738" t="s">
        <v>0</v>
      </c>
    </row>
    <row r="20739" spans="1:1" x14ac:dyDescent="0.3">
      <c r="A20739" t="s">
        <v>0</v>
      </c>
    </row>
    <row r="20740" spans="1:1" x14ac:dyDescent="0.3">
      <c r="A20740" t="s">
        <v>0</v>
      </c>
    </row>
    <row r="20741" spans="1:1" x14ac:dyDescent="0.3">
      <c r="A20741" t="s">
        <v>0</v>
      </c>
    </row>
    <row r="20742" spans="1:1" x14ac:dyDescent="0.3">
      <c r="A20742" t="s">
        <v>0</v>
      </c>
    </row>
    <row r="20743" spans="1:1" x14ac:dyDescent="0.3">
      <c r="A20743" t="s">
        <v>0</v>
      </c>
    </row>
    <row r="20744" spans="1:1" x14ac:dyDescent="0.3">
      <c r="A20744" t="s">
        <v>0</v>
      </c>
    </row>
    <row r="20745" spans="1:1" x14ac:dyDescent="0.3">
      <c r="A20745" t="s">
        <v>0</v>
      </c>
    </row>
    <row r="20746" spans="1:1" x14ac:dyDescent="0.3">
      <c r="A20746" t="s">
        <v>0</v>
      </c>
    </row>
    <row r="20747" spans="1:1" x14ac:dyDescent="0.3">
      <c r="A20747" t="s">
        <v>0</v>
      </c>
    </row>
    <row r="20748" spans="1:1" x14ac:dyDescent="0.3">
      <c r="A20748" t="s">
        <v>0</v>
      </c>
    </row>
    <row r="20749" spans="1:1" x14ac:dyDescent="0.3">
      <c r="A20749" t="s">
        <v>0</v>
      </c>
    </row>
    <row r="20750" spans="1:1" x14ac:dyDescent="0.3">
      <c r="A20750" t="s">
        <v>0</v>
      </c>
    </row>
    <row r="20751" spans="1:1" x14ac:dyDescent="0.3">
      <c r="A20751" t="s">
        <v>0</v>
      </c>
    </row>
    <row r="20752" spans="1:1" x14ac:dyDescent="0.3">
      <c r="A20752" t="s">
        <v>0</v>
      </c>
    </row>
    <row r="20753" spans="1:1" x14ac:dyDescent="0.3">
      <c r="A20753" t="s">
        <v>0</v>
      </c>
    </row>
    <row r="20754" spans="1:1" x14ac:dyDescent="0.3">
      <c r="A20754" t="s">
        <v>0</v>
      </c>
    </row>
    <row r="20755" spans="1:1" x14ac:dyDescent="0.3">
      <c r="A20755" t="s">
        <v>0</v>
      </c>
    </row>
    <row r="20756" spans="1:1" x14ac:dyDescent="0.3">
      <c r="A20756" t="s">
        <v>0</v>
      </c>
    </row>
    <row r="20757" spans="1:1" x14ac:dyDescent="0.3">
      <c r="A20757" t="s">
        <v>0</v>
      </c>
    </row>
    <row r="20758" spans="1:1" x14ac:dyDescent="0.3">
      <c r="A20758" t="s">
        <v>0</v>
      </c>
    </row>
    <row r="20759" spans="1:1" x14ac:dyDescent="0.3">
      <c r="A20759" t="s">
        <v>0</v>
      </c>
    </row>
    <row r="20760" spans="1:1" x14ac:dyDescent="0.3">
      <c r="A20760" t="s">
        <v>0</v>
      </c>
    </row>
    <row r="20761" spans="1:1" x14ac:dyDescent="0.3">
      <c r="A20761" t="s">
        <v>0</v>
      </c>
    </row>
    <row r="20762" spans="1:1" x14ac:dyDescent="0.3">
      <c r="A20762" t="s">
        <v>0</v>
      </c>
    </row>
    <row r="20763" spans="1:1" x14ac:dyDescent="0.3">
      <c r="A20763" t="s">
        <v>0</v>
      </c>
    </row>
    <row r="20764" spans="1:1" x14ac:dyDescent="0.3">
      <c r="A20764" t="s">
        <v>0</v>
      </c>
    </row>
    <row r="20765" spans="1:1" x14ac:dyDescent="0.3">
      <c r="A20765" t="s">
        <v>0</v>
      </c>
    </row>
    <row r="20766" spans="1:1" x14ac:dyDescent="0.3">
      <c r="A20766" t="s">
        <v>0</v>
      </c>
    </row>
    <row r="20767" spans="1:1" x14ac:dyDescent="0.3">
      <c r="A20767" t="s">
        <v>0</v>
      </c>
    </row>
    <row r="20768" spans="1:1" x14ac:dyDescent="0.3">
      <c r="A20768" t="s">
        <v>0</v>
      </c>
    </row>
    <row r="20769" spans="1:1" x14ac:dyDescent="0.3">
      <c r="A20769" t="s">
        <v>0</v>
      </c>
    </row>
    <row r="20770" spans="1:1" x14ac:dyDescent="0.3">
      <c r="A20770" t="s">
        <v>0</v>
      </c>
    </row>
    <row r="20771" spans="1:1" x14ac:dyDescent="0.3">
      <c r="A20771" t="s">
        <v>0</v>
      </c>
    </row>
    <row r="20772" spans="1:1" x14ac:dyDescent="0.3">
      <c r="A20772" t="s">
        <v>0</v>
      </c>
    </row>
    <row r="20773" spans="1:1" x14ac:dyDescent="0.3">
      <c r="A20773" t="s">
        <v>0</v>
      </c>
    </row>
    <row r="20774" spans="1:1" x14ac:dyDescent="0.3">
      <c r="A20774" t="s">
        <v>0</v>
      </c>
    </row>
    <row r="20775" spans="1:1" x14ac:dyDescent="0.3">
      <c r="A20775" t="s">
        <v>0</v>
      </c>
    </row>
    <row r="20776" spans="1:1" x14ac:dyDescent="0.3">
      <c r="A20776" t="s">
        <v>0</v>
      </c>
    </row>
    <row r="20777" spans="1:1" x14ac:dyDescent="0.3">
      <c r="A20777" t="s">
        <v>0</v>
      </c>
    </row>
    <row r="20778" spans="1:1" x14ac:dyDescent="0.3">
      <c r="A20778" t="s">
        <v>0</v>
      </c>
    </row>
    <row r="20779" spans="1:1" x14ac:dyDescent="0.3">
      <c r="A20779" t="s">
        <v>0</v>
      </c>
    </row>
    <row r="20780" spans="1:1" x14ac:dyDescent="0.3">
      <c r="A20780" t="s">
        <v>0</v>
      </c>
    </row>
    <row r="20781" spans="1:1" x14ac:dyDescent="0.3">
      <c r="A20781" t="s">
        <v>0</v>
      </c>
    </row>
    <row r="20782" spans="1:1" x14ac:dyDescent="0.3">
      <c r="A20782" t="s">
        <v>0</v>
      </c>
    </row>
    <row r="20783" spans="1:1" x14ac:dyDescent="0.3">
      <c r="A20783" t="s">
        <v>0</v>
      </c>
    </row>
    <row r="20784" spans="1:1" x14ac:dyDescent="0.3">
      <c r="A20784" t="s">
        <v>0</v>
      </c>
    </row>
    <row r="20785" spans="1:1" x14ac:dyDescent="0.3">
      <c r="A20785" t="s">
        <v>0</v>
      </c>
    </row>
    <row r="20786" spans="1:1" x14ac:dyDescent="0.3">
      <c r="A20786" t="s">
        <v>0</v>
      </c>
    </row>
    <row r="20787" spans="1:1" x14ac:dyDescent="0.3">
      <c r="A20787" t="s">
        <v>0</v>
      </c>
    </row>
    <row r="20788" spans="1:1" x14ac:dyDescent="0.3">
      <c r="A20788" t="s">
        <v>0</v>
      </c>
    </row>
    <row r="20789" spans="1:1" x14ac:dyDescent="0.3">
      <c r="A20789" t="s">
        <v>0</v>
      </c>
    </row>
    <row r="20790" spans="1:1" x14ac:dyDescent="0.3">
      <c r="A20790" t="s">
        <v>0</v>
      </c>
    </row>
    <row r="20791" spans="1:1" x14ac:dyDescent="0.3">
      <c r="A20791" t="s">
        <v>0</v>
      </c>
    </row>
    <row r="20792" spans="1:1" x14ac:dyDescent="0.3">
      <c r="A20792" t="s">
        <v>0</v>
      </c>
    </row>
    <row r="20793" spans="1:1" x14ac:dyDescent="0.3">
      <c r="A20793" t="s">
        <v>0</v>
      </c>
    </row>
    <row r="20794" spans="1:1" x14ac:dyDescent="0.3">
      <c r="A20794" t="s">
        <v>0</v>
      </c>
    </row>
    <row r="20795" spans="1:1" x14ac:dyDescent="0.3">
      <c r="A20795" t="s">
        <v>0</v>
      </c>
    </row>
    <row r="20796" spans="1:1" x14ac:dyDescent="0.3">
      <c r="A20796" t="s">
        <v>0</v>
      </c>
    </row>
    <row r="20797" spans="1:1" x14ac:dyDescent="0.3">
      <c r="A20797" t="s">
        <v>0</v>
      </c>
    </row>
    <row r="20798" spans="1:1" x14ac:dyDescent="0.3">
      <c r="A20798" t="s">
        <v>0</v>
      </c>
    </row>
    <row r="20799" spans="1:1" x14ac:dyDescent="0.3">
      <c r="A20799" t="s">
        <v>0</v>
      </c>
    </row>
    <row r="20800" spans="1:1" x14ac:dyDescent="0.3">
      <c r="A20800" t="s">
        <v>0</v>
      </c>
    </row>
    <row r="20801" spans="1:1" x14ac:dyDescent="0.3">
      <c r="A20801" t="s">
        <v>0</v>
      </c>
    </row>
    <row r="20802" spans="1:1" x14ac:dyDescent="0.3">
      <c r="A20802" t="s">
        <v>0</v>
      </c>
    </row>
    <row r="20803" spans="1:1" x14ac:dyDescent="0.3">
      <c r="A20803" t="s">
        <v>0</v>
      </c>
    </row>
    <row r="20804" spans="1:1" x14ac:dyDescent="0.3">
      <c r="A20804" t="s">
        <v>0</v>
      </c>
    </row>
    <row r="20805" spans="1:1" x14ac:dyDescent="0.3">
      <c r="A20805" t="s">
        <v>0</v>
      </c>
    </row>
    <row r="20806" spans="1:1" x14ac:dyDescent="0.3">
      <c r="A20806" t="s">
        <v>0</v>
      </c>
    </row>
    <row r="20807" spans="1:1" x14ac:dyDescent="0.3">
      <c r="A20807" t="s">
        <v>0</v>
      </c>
    </row>
    <row r="20808" spans="1:1" x14ac:dyDescent="0.3">
      <c r="A20808" t="s">
        <v>0</v>
      </c>
    </row>
    <row r="20809" spans="1:1" x14ac:dyDescent="0.3">
      <c r="A20809" t="s">
        <v>0</v>
      </c>
    </row>
    <row r="20810" spans="1:1" x14ac:dyDescent="0.3">
      <c r="A20810" t="s">
        <v>0</v>
      </c>
    </row>
    <row r="20811" spans="1:1" x14ac:dyDescent="0.3">
      <c r="A20811" t="s">
        <v>0</v>
      </c>
    </row>
    <row r="20812" spans="1:1" x14ac:dyDescent="0.3">
      <c r="A20812" t="s">
        <v>0</v>
      </c>
    </row>
    <row r="20813" spans="1:1" x14ac:dyDescent="0.3">
      <c r="A20813" t="s">
        <v>0</v>
      </c>
    </row>
    <row r="20814" spans="1:1" x14ac:dyDescent="0.3">
      <c r="A20814" t="s">
        <v>0</v>
      </c>
    </row>
    <row r="20815" spans="1:1" x14ac:dyDescent="0.3">
      <c r="A20815" t="s">
        <v>0</v>
      </c>
    </row>
    <row r="20816" spans="1:1" x14ac:dyDescent="0.3">
      <c r="A20816" t="s">
        <v>0</v>
      </c>
    </row>
    <row r="20817" spans="1:1" x14ac:dyDescent="0.3">
      <c r="A20817" t="s">
        <v>0</v>
      </c>
    </row>
    <row r="20818" spans="1:1" x14ac:dyDescent="0.3">
      <c r="A20818" t="s">
        <v>0</v>
      </c>
    </row>
    <row r="20819" spans="1:1" x14ac:dyDescent="0.3">
      <c r="A20819" t="s">
        <v>0</v>
      </c>
    </row>
    <row r="20820" spans="1:1" x14ac:dyDescent="0.3">
      <c r="A20820" t="s">
        <v>0</v>
      </c>
    </row>
    <row r="20821" spans="1:1" x14ac:dyDescent="0.3">
      <c r="A20821" t="s">
        <v>0</v>
      </c>
    </row>
    <row r="20822" spans="1:1" x14ac:dyDescent="0.3">
      <c r="A20822" t="s">
        <v>0</v>
      </c>
    </row>
    <row r="20823" spans="1:1" x14ac:dyDescent="0.3">
      <c r="A20823" t="s">
        <v>0</v>
      </c>
    </row>
    <row r="20824" spans="1:1" x14ac:dyDescent="0.3">
      <c r="A20824" t="s">
        <v>0</v>
      </c>
    </row>
    <row r="20825" spans="1:1" x14ac:dyDescent="0.3">
      <c r="A20825" t="s">
        <v>0</v>
      </c>
    </row>
    <row r="20826" spans="1:1" x14ac:dyDescent="0.3">
      <c r="A20826" t="s">
        <v>0</v>
      </c>
    </row>
    <row r="20827" spans="1:1" x14ac:dyDescent="0.3">
      <c r="A20827" t="s">
        <v>0</v>
      </c>
    </row>
    <row r="20828" spans="1:1" x14ac:dyDescent="0.3">
      <c r="A20828" t="s">
        <v>0</v>
      </c>
    </row>
    <row r="20829" spans="1:1" x14ac:dyDescent="0.3">
      <c r="A20829" t="s">
        <v>0</v>
      </c>
    </row>
    <row r="20830" spans="1:1" x14ac:dyDescent="0.3">
      <c r="A20830" t="s">
        <v>0</v>
      </c>
    </row>
    <row r="20831" spans="1:1" x14ac:dyDescent="0.3">
      <c r="A20831" t="s">
        <v>0</v>
      </c>
    </row>
    <row r="20832" spans="1:1" x14ac:dyDescent="0.3">
      <c r="A20832" t="s">
        <v>0</v>
      </c>
    </row>
    <row r="20833" spans="1:1" x14ac:dyDescent="0.3">
      <c r="A20833" t="s">
        <v>0</v>
      </c>
    </row>
    <row r="20834" spans="1:1" x14ac:dyDescent="0.3">
      <c r="A20834" t="s">
        <v>0</v>
      </c>
    </row>
    <row r="20835" spans="1:1" x14ac:dyDescent="0.3">
      <c r="A20835" t="s">
        <v>0</v>
      </c>
    </row>
    <row r="20836" spans="1:1" x14ac:dyDescent="0.3">
      <c r="A20836" t="s">
        <v>0</v>
      </c>
    </row>
    <row r="20837" spans="1:1" x14ac:dyDescent="0.3">
      <c r="A20837" t="s">
        <v>0</v>
      </c>
    </row>
    <row r="20838" spans="1:1" x14ac:dyDescent="0.3">
      <c r="A20838" t="s">
        <v>0</v>
      </c>
    </row>
    <row r="20839" spans="1:1" x14ac:dyDescent="0.3">
      <c r="A20839" t="s">
        <v>0</v>
      </c>
    </row>
    <row r="20840" spans="1:1" x14ac:dyDescent="0.3">
      <c r="A20840" t="s">
        <v>0</v>
      </c>
    </row>
    <row r="20841" spans="1:1" x14ac:dyDescent="0.3">
      <c r="A20841" t="s">
        <v>0</v>
      </c>
    </row>
    <row r="20842" spans="1:1" x14ac:dyDescent="0.3">
      <c r="A20842" t="s">
        <v>0</v>
      </c>
    </row>
    <row r="20843" spans="1:1" x14ac:dyDescent="0.3">
      <c r="A20843" t="s">
        <v>0</v>
      </c>
    </row>
    <row r="20844" spans="1:1" x14ac:dyDescent="0.3">
      <c r="A20844" t="s">
        <v>0</v>
      </c>
    </row>
    <row r="20845" spans="1:1" x14ac:dyDescent="0.3">
      <c r="A20845" t="s">
        <v>0</v>
      </c>
    </row>
    <row r="20846" spans="1:1" x14ac:dyDescent="0.3">
      <c r="A20846" t="s">
        <v>0</v>
      </c>
    </row>
    <row r="20847" spans="1:1" x14ac:dyDescent="0.3">
      <c r="A20847" t="s">
        <v>0</v>
      </c>
    </row>
    <row r="20848" spans="1:1" x14ac:dyDescent="0.3">
      <c r="A20848" t="s">
        <v>0</v>
      </c>
    </row>
    <row r="20849" spans="1:1" x14ac:dyDescent="0.3">
      <c r="A20849" t="s">
        <v>0</v>
      </c>
    </row>
    <row r="20850" spans="1:1" x14ac:dyDescent="0.3">
      <c r="A20850" t="s">
        <v>0</v>
      </c>
    </row>
    <row r="20851" spans="1:1" x14ac:dyDescent="0.3">
      <c r="A20851" t="s">
        <v>0</v>
      </c>
    </row>
    <row r="20852" spans="1:1" x14ac:dyDescent="0.3">
      <c r="A20852" t="s">
        <v>0</v>
      </c>
    </row>
    <row r="20853" spans="1:1" x14ac:dyDescent="0.3">
      <c r="A20853" t="s">
        <v>0</v>
      </c>
    </row>
    <row r="20854" spans="1:1" x14ac:dyDescent="0.3">
      <c r="A20854" t="s">
        <v>0</v>
      </c>
    </row>
    <row r="20855" spans="1:1" x14ac:dyDescent="0.3">
      <c r="A20855" t="s">
        <v>0</v>
      </c>
    </row>
    <row r="20856" spans="1:1" x14ac:dyDescent="0.3">
      <c r="A20856" t="s">
        <v>0</v>
      </c>
    </row>
    <row r="20857" spans="1:1" x14ac:dyDescent="0.3">
      <c r="A20857" t="s">
        <v>0</v>
      </c>
    </row>
    <row r="20858" spans="1:1" x14ac:dyDescent="0.3">
      <c r="A20858" t="s">
        <v>0</v>
      </c>
    </row>
    <row r="20859" spans="1:1" x14ac:dyDescent="0.3">
      <c r="A20859" t="s">
        <v>0</v>
      </c>
    </row>
    <row r="20860" spans="1:1" x14ac:dyDescent="0.3">
      <c r="A20860" t="s">
        <v>0</v>
      </c>
    </row>
    <row r="20861" spans="1:1" x14ac:dyDescent="0.3">
      <c r="A20861" t="s">
        <v>0</v>
      </c>
    </row>
    <row r="20862" spans="1:1" x14ac:dyDescent="0.3">
      <c r="A20862" t="s">
        <v>0</v>
      </c>
    </row>
    <row r="20863" spans="1:1" x14ac:dyDescent="0.3">
      <c r="A20863" t="s">
        <v>0</v>
      </c>
    </row>
    <row r="20864" spans="1:1" x14ac:dyDescent="0.3">
      <c r="A20864" t="s">
        <v>0</v>
      </c>
    </row>
    <row r="20865" spans="1:1" x14ac:dyDescent="0.3">
      <c r="A20865" t="s">
        <v>0</v>
      </c>
    </row>
    <row r="20866" spans="1:1" x14ac:dyDescent="0.3">
      <c r="A20866" t="s">
        <v>0</v>
      </c>
    </row>
    <row r="20867" spans="1:1" x14ac:dyDescent="0.3">
      <c r="A20867" t="s">
        <v>0</v>
      </c>
    </row>
    <row r="20868" spans="1:1" x14ac:dyDescent="0.3">
      <c r="A20868" t="s">
        <v>0</v>
      </c>
    </row>
    <row r="20869" spans="1:1" x14ac:dyDescent="0.3">
      <c r="A20869" t="s">
        <v>0</v>
      </c>
    </row>
    <row r="20870" spans="1:1" x14ac:dyDescent="0.3">
      <c r="A20870" t="s">
        <v>0</v>
      </c>
    </row>
    <row r="20871" spans="1:1" x14ac:dyDescent="0.3">
      <c r="A20871" t="s">
        <v>0</v>
      </c>
    </row>
    <row r="20872" spans="1:1" x14ac:dyDescent="0.3">
      <c r="A20872" t="s">
        <v>0</v>
      </c>
    </row>
    <row r="20873" spans="1:1" x14ac:dyDescent="0.3">
      <c r="A20873" t="s">
        <v>0</v>
      </c>
    </row>
    <row r="20874" spans="1:1" x14ac:dyDescent="0.3">
      <c r="A20874" t="s">
        <v>0</v>
      </c>
    </row>
    <row r="20875" spans="1:1" x14ac:dyDescent="0.3">
      <c r="A20875" t="s">
        <v>0</v>
      </c>
    </row>
    <row r="20876" spans="1:1" x14ac:dyDescent="0.3">
      <c r="A20876" t="s">
        <v>0</v>
      </c>
    </row>
    <row r="20877" spans="1:1" x14ac:dyDescent="0.3">
      <c r="A20877" t="s">
        <v>0</v>
      </c>
    </row>
    <row r="20878" spans="1:1" x14ac:dyDescent="0.3">
      <c r="A20878" t="s">
        <v>0</v>
      </c>
    </row>
    <row r="20879" spans="1:1" x14ac:dyDescent="0.3">
      <c r="A20879" t="s">
        <v>0</v>
      </c>
    </row>
    <row r="20880" spans="1:1" x14ac:dyDescent="0.3">
      <c r="A20880" t="s">
        <v>0</v>
      </c>
    </row>
    <row r="20881" spans="1:1" x14ac:dyDescent="0.3">
      <c r="A20881" t="s">
        <v>0</v>
      </c>
    </row>
    <row r="20882" spans="1:1" x14ac:dyDescent="0.3">
      <c r="A20882" t="s">
        <v>0</v>
      </c>
    </row>
    <row r="20883" spans="1:1" x14ac:dyDescent="0.3">
      <c r="A20883" t="s">
        <v>0</v>
      </c>
    </row>
    <row r="20884" spans="1:1" x14ac:dyDescent="0.3">
      <c r="A20884" t="s">
        <v>0</v>
      </c>
    </row>
    <row r="20885" spans="1:1" x14ac:dyDescent="0.3">
      <c r="A20885" t="s">
        <v>0</v>
      </c>
    </row>
    <row r="20886" spans="1:1" x14ac:dyDescent="0.3">
      <c r="A20886" t="s">
        <v>0</v>
      </c>
    </row>
    <row r="20887" spans="1:1" x14ac:dyDescent="0.3">
      <c r="A20887" t="s">
        <v>0</v>
      </c>
    </row>
    <row r="20888" spans="1:1" x14ac:dyDescent="0.3">
      <c r="A20888" t="s">
        <v>0</v>
      </c>
    </row>
    <row r="20889" spans="1:1" x14ac:dyDescent="0.3">
      <c r="A20889" t="s">
        <v>0</v>
      </c>
    </row>
    <row r="20890" spans="1:1" x14ac:dyDescent="0.3">
      <c r="A20890" t="s">
        <v>0</v>
      </c>
    </row>
    <row r="20891" spans="1:1" x14ac:dyDescent="0.3">
      <c r="A20891" t="s">
        <v>0</v>
      </c>
    </row>
    <row r="20892" spans="1:1" x14ac:dyDescent="0.3">
      <c r="A20892" t="s">
        <v>0</v>
      </c>
    </row>
    <row r="20893" spans="1:1" x14ac:dyDescent="0.3">
      <c r="A20893" t="s">
        <v>0</v>
      </c>
    </row>
    <row r="20894" spans="1:1" x14ac:dyDescent="0.3">
      <c r="A20894" t="s">
        <v>0</v>
      </c>
    </row>
    <row r="20895" spans="1:1" x14ac:dyDescent="0.3">
      <c r="A20895" t="s">
        <v>0</v>
      </c>
    </row>
    <row r="20896" spans="1:1" x14ac:dyDescent="0.3">
      <c r="A20896" t="s">
        <v>0</v>
      </c>
    </row>
    <row r="20897" spans="1:1" x14ac:dyDescent="0.3">
      <c r="A20897" t="s">
        <v>0</v>
      </c>
    </row>
    <row r="20898" spans="1:1" x14ac:dyDescent="0.3">
      <c r="A20898" t="s">
        <v>0</v>
      </c>
    </row>
    <row r="20899" spans="1:1" x14ac:dyDescent="0.3">
      <c r="A20899" t="s">
        <v>0</v>
      </c>
    </row>
    <row r="20900" spans="1:1" x14ac:dyDescent="0.3">
      <c r="A20900" t="s">
        <v>0</v>
      </c>
    </row>
    <row r="20901" spans="1:1" x14ac:dyDescent="0.3">
      <c r="A20901" t="s">
        <v>0</v>
      </c>
    </row>
    <row r="20902" spans="1:1" x14ac:dyDescent="0.3">
      <c r="A20902" t="s">
        <v>0</v>
      </c>
    </row>
    <row r="20903" spans="1:1" x14ac:dyDescent="0.3">
      <c r="A20903" t="s">
        <v>0</v>
      </c>
    </row>
    <row r="20904" spans="1:1" x14ac:dyDescent="0.3">
      <c r="A20904" t="s">
        <v>0</v>
      </c>
    </row>
    <row r="20905" spans="1:1" x14ac:dyDescent="0.3">
      <c r="A20905" t="s">
        <v>0</v>
      </c>
    </row>
    <row r="20906" spans="1:1" x14ac:dyDescent="0.3">
      <c r="A20906" t="s">
        <v>0</v>
      </c>
    </row>
    <row r="20907" spans="1:1" x14ac:dyDescent="0.3">
      <c r="A20907" t="s">
        <v>0</v>
      </c>
    </row>
    <row r="20908" spans="1:1" x14ac:dyDescent="0.3">
      <c r="A20908" t="s">
        <v>0</v>
      </c>
    </row>
    <row r="20909" spans="1:1" x14ac:dyDescent="0.3">
      <c r="A20909" t="s">
        <v>0</v>
      </c>
    </row>
    <row r="20910" spans="1:1" x14ac:dyDescent="0.3">
      <c r="A20910" t="s">
        <v>0</v>
      </c>
    </row>
    <row r="20911" spans="1:1" x14ac:dyDescent="0.3">
      <c r="A20911" t="s">
        <v>0</v>
      </c>
    </row>
    <row r="20912" spans="1:1" x14ac:dyDescent="0.3">
      <c r="A20912" t="s">
        <v>0</v>
      </c>
    </row>
    <row r="20913" spans="1:1" x14ac:dyDescent="0.3">
      <c r="A20913" t="s">
        <v>0</v>
      </c>
    </row>
    <row r="20914" spans="1:1" x14ac:dyDescent="0.3">
      <c r="A20914" t="s">
        <v>0</v>
      </c>
    </row>
    <row r="20915" spans="1:1" x14ac:dyDescent="0.3">
      <c r="A20915" t="s">
        <v>0</v>
      </c>
    </row>
    <row r="20916" spans="1:1" x14ac:dyDescent="0.3">
      <c r="A20916" t="s">
        <v>0</v>
      </c>
    </row>
    <row r="20917" spans="1:1" x14ac:dyDescent="0.3">
      <c r="A20917" t="s">
        <v>0</v>
      </c>
    </row>
    <row r="20918" spans="1:1" x14ac:dyDescent="0.3">
      <c r="A20918" t="s">
        <v>0</v>
      </c>
    </row>
    <row r="20919" spans="1:1" x14ac:dyDescent="0.3">
      <c r="A20919" t="s">
        <v>0</v>
      </c>
    </row>
    <row r="20920" spans="1:1" x14ac:dyDescent="0.3">
      <c r="A20920" t="s">
        <v>0</v>
      </c>
    </row>
    <row r="20921" spans="1:1" x14ac:dyDescent="0.3">
      <c r="A20921" t="s">
        <v>0</v>
      </c>
    </row>
    <row r="20922" spans="1:1" x14ac:dyDescent="0.3">
      <c r="A20922" t="s">
        <v>0</v>
      </c>
    </row>
    <row r="20923" spans="1:1" x14ac:dyDescent="0.3">
      <c r="A20923" t="s">
        <v>0</v>
      </c>
    </row>
    <row r="20924" spans="1:1" x14ac:dyDescent="0.3">
      <c r="A20924" t="s">
        <v>0</v>
      </c>
    </row>
    <row r="20925" spans="1:1" x14ac:dyDescent="0.3">
      <c r="A20925" t="s">
        <v>0</v>
      </c>
    </row>
    <row r="20926" spans="1:1" x14ac:dyDescent="0.3">
      <c r="A20926" t="s">
        <v>0</v>
      </c>
    </row>
    <row r="20927" spans="1:1" x14ac:dyDescent="0.3">
      <c r="A20927" t="s">
        <v>0</v>
      </c>
    </row>
    <row r="20928" spans="1:1" x14ac:dyDescent="0.3">
      <c r="A20928" t="s">
        <v>0</v>
      </c>
    </row>
    <row r="20929" spans="1:1" x14ac:dyDescent="0.3">
      <c r="A20929" t="s">
        <v>0</v>
      </c>
    </row>
    <row r="20930" spans="1:1" x14ac:dyDescent="0.3">
      <c r="A20930" t="s">
        <v>0</v>
      </c>
    </row>
    <row r="20931" spans="1:1" x14ac:dyDescent="0.3">
      <c r="A20931" t="s">
        <v>0</v>
      </c>
    </row>
    <row r="20932" spans="1:1" x14ac:dyDescent="0.3">
      <c r="A20932" t="s">
        <v>0</v>
      </c>
    </row>
    <row r="20933" spans="1:1" x14ac:dyDescent="0.3">
      <c r="A20933" t="s">
        <v>0</v>
      </c>
    </row>
    <row r="20934" spans="1:1" x14ac:dyDescent="0.3">
      <c r="A20934" t="s">
        <v>0</v>
      </c>
    </row>
    <row r="20935" spans="1:1" x14ac:dyDescent="0.3">
      <c r="A20935" t="s">
        <v>0</v>
      </c>
    </row>
    <row r="20936" spans="1:1" x14ac:dyDescent="0.3">
      <c r="A20936" t="s">
        <v>0</v>
      </c>
    </row>
    <row r="20937" spans="1:1" x14ac:dyDescent="0.3">
      <c r="A20937" t="s">
        <v>0</v>
      </c>
    </row>
    <row r="20938" spans="1:1" x14ac:dyDescent="0.3">
      <c r="A20938" t="s">
        <v>0</v>
      </c>
    </row>
    <row r="20939" spans="1:1" x14ac:dyDescent="0.3">
      <c r="A20939" t="s">
        <v>0</v>
      </c>
    </row>
    <row r="20940" spans="1:1" x14ac:dyDescent="0.3">
      <c r="A20940" t="s">
        <v>0</v>
      </c>
    </row>
    <row r="20941" spans="1:1" x14ac:dyDescent="0.3">
      <c r="A20941" t="s">
        <v>0</v>
      </c>
    </row>
    <row r="20942" spans="1:1" x14ac:dyDescent="0.3">
      <c r="A20942" t="s">
        <v>0</v>
      </c>
    </row>
    <row r="20943" spans="1:1" x14ac:dyDescent="0.3">
      <c r="A20943" t="s">
        <v>0</v>
      </c>
    </row>
    <row r="20944" spans="1:1" x14ac:dyDescent="0.3">
      <c r="A20944" t="s">
        <v>0</v>
      </c>
    </row>
    <row r="20945" spans="1:1" x14ac:dyDescent="0.3">
      <c r="A20945" t="s">
        <v>0</v>
      </c>
    </row>
    <row r="20946" spans="1:1" x14ac:dyDescent="0.3">
      <c r="A20946" t="s">
        <v>0</v>
      </c>
    </row>
    <row r="20947" spans="1:1" x14ac:dyDescent="0.3">
      <c r="A20947" t="s">
        <v>0</v>
      </c>
    </row>
    <row r="20948" spans="1:1" x14ac:dyDescent="0.3">
      <c r="A20948" t="s">
        <v>0</v>
      </c>
    </row>
    <row r="20949" spans="1:1" x14ac:dyDescent="0.3">
      <c r="A20949" t="s">
        <v>0</v>
      </c>
    </row>
    <row r="20950" spans="1:1" x14ac:dyDescent="0.3">
      <c r="A20950" t="s">
        <v>0</v>
      </c>
    </row>
    <row r="20951" spans="1:1" x14ac:dyDescent="0.3">
      <c r="A20951" t="s">
        <v>0</v>
      </c>
    </row>
    <row r="20952" spans="1:1" x14ac:dyDescent="0.3">
      <c r="A20952" t="s">
        <v>0</v>
      </c>
    </row>
    <row r="20953" spans="1:1" x14ac:dyDescent="0.3">
      <c r="A20953" t="s">
        <v>0</v>
      </c>
    </row>
    <row r="20954" spans="1:1" x14ac:dyDescent="0.3">
      <c r="A20954" t="s">
        <v>0</v>
      </c>
    </row>
    <row r="20955" spans="1:1" x14ac:dyDescent="0.3">
      <c r="A20955" t="s">
        <v>0</v>
      </c>
    </row>
    <row r="20956" spans="1:1" x14ac:dyDescent="0.3">
      <c r="A20956" t="s">
        <v>0</v>
      </c>
    </row>
    <row r="20957" spans="1:1" x14ac:dyDescent="0.3">
      <c r="A20957" t="s">
        <v>0</v>
      </c>
    </row>
    <row r="20958" spans="1:1" x14ac:dyDescent="0.3">
      <c r="A20958" t="s">
        <v>0</v>
      </c>
    </row>
    <row r="20959" spans="1:1" x14ac:dyDescent="0.3">
      <c r="A20959" t="s">
        <v>0</v>
      </c>
    </row>
    <row r="20960" spans="1:1" x14ac:dyDescent="0.3">
      <c r="A20960" t="s">
        <v>0</v>
      </c>
    </row>
    <row r="20961" spans="1:1" x14ac:dyDescent="0.3">
      <c r="A20961" t="s">
        <v>0</v>
      </c>
    </row>
    <row r="20962" spans="1:1" x14ac:dyDescent="0.3">
      <c r="A20962" t="s">
        <v>0</v>
      </c>
    </row>
    <row r="20963" spans="1:1" x14ac:dyDescent="0.3">
      <c r="A20963" t="s">
        <v>0</v>
      </c>
    </row>
    <row r="20964" spans="1:1" x14ac:dyDescent="0.3">
      <c r="A20964" t="s">
        <v>0</v>
      </c>
    </row>
    <row r="20965" spans="1:1" x14ac:dyDescent="0.3">
      <c r="A20965" t="s">
        <v>0</v>
      </c>
    </row>
    <row r="20966" spans="1:1" x14ac:dyDescent="0.3">
      <c r="A20966" t="s">
        <v>0</v>
      </c>
    </row>
    <row r="20967" spans="1:1" x14ac:dyDescent="0.3">
      <c r="A20967" t="s">
        <v>0</v>
      </c>
    </row>
    <row r="20968" spans="1:1" x14ac:dyDescent="0.3">
      <c r="A20968" t="s">
        <v>0</v>
      </c>
    </row>
    <row r="20969" spans="1:1" x14ac:dyDescent="0.3">
      <c r="A20969" t="s">
        <v>0</v>
      </c>
    </row>
    <row r="20970" spans="1:1" x14ac:dyDescent="0.3">
      <c r="A20970" t="s">
        <v>0</v>
      </c>
    </row>
    <row r="20971" spans="1:1" x14ac:dyDescent="0.3">
      <c r="A20971" t="s">
        <v>0</v>
      </c>
    </row>
    <row r="20972" spans="1:1" x14ac:dyDescent="0.3">
      <c r="A20972" t="s">
        <v>0</v>
      </c>
    </row>
    <row r="20973" spans="1:1" x14ac:dyDescent="0.3">
      <c r="A20973" t="s">
        <v>0</v>
      </c>
    </row>
    <row r="20974" spans="1:1" x14ac:dyDescent="0.3">
      <c r="A20974" t="s">
        <v>0</v>
      </c>
    </row>
    <row r="20975" spans="1:1" x14ac:dyDescent="0.3">
      <c r="A20975" t="s">
        <v>0</v>
      </c>
    </row>
    <row r="20976" spans="1:1" x14ac:dyDescent="0.3">
      <c r="A20976" t="s">
        <v>0</v>
      </c>
    </row>
    <row r="20977" spans="1:1" x14ac:dyDescent="0.3">
      <c r="A20977" t="s">
        <v>0</v>
      </c>
    </row>
    <row r="20978" spans="1:1" x14ac:dyDescent="0.3">
      <c r="A20978" t="s">
        <v>0</v>
      </c>
    </row>
    <row r="20979" spans="1:1" x14ac:dyDescent="0.3">
      <c r="A20979" t="s">
        <v>0</v>
      </c>
    </row>
    <row r="20980" spans="1:1" x14ac:dyDescent="0.3">
      <c r="A20980" t="s">
        <v>0</v>
      </c>
    </row>
    <row r="20981" spans="1:1" x14ac:dyDescent="0.3">
      <c r="A20981" t="s">
        <v>0</v>
      </c>
    </row>
    <row r="20982" spans="1:1" x14ac:dyDescent="0.3">
      <c r="A20982" t="s">
        <v>0</v>
      </c>
    </row>
    <row r="20983" spans="1:1" x14ac:dyDescent="0.3">
      <c r="A20983" t="s">
        <v>0</v>
      </c>
    </row>
    <row r="20984" spans="1:1" x14ac:dyDescent="0.3">
      <c r="A20984" t="s">
        <v>0</v>
      </c>
    </row>
    <row r="20985" spans="1:1" x14ac:dyDescent="0.3">
      <c r="A20985" t="s">
        <v>0</v>
      </c>
    </row>
    <row r="20986" spans="1:1" x14ac:dyDescent="0.3">
      <c r="A20986" t="s">
        <v>0</v>
      </c>
    </row>
    <row r="20987" spans="1:1" x14ac:dyDescent="0.3">
      <c r="A20987" t="s">
        <v>0</v>
      </c>
    </row>
    <row r="20988" spans="1:1" x14ac:dyDescent="0.3">
      <c r="A20988" t="s">
        <v>0</v>
      </c>
    </row>
    <row r="20989" spans="1:1" x14ac:dyDescent="0.3">
      <c r="A20989" t="s">
        <v>0</v>
      </c>
    </row>
    <row r="20990" spans="1:1" x14ac:dyDescent="0.3">
      <c r="A20990" t="s">
        <v>0</v>
      </c>
    </row>
    <row r="20991" spans="1:1" x14ac:dyDescent="0.3">
      <c r="A20991" t="s">
        <v>0</v>
      </c>
    </row>
    <row r="20992" spans="1:1" x14ac:dyDescent="0.3">
      <c r="A20992" t="s">
        <v>0</v>
      </c>
    </row>
    <row r="20993" spans="1:1" x14ac:dyDescent="0.3">
      <c r="A20993" t="s">
        <v>0</v>
      </c>
    </row>
    <row r="20994" spans="1:1" x14ac:dyDescent="0.3">
      <c r="A20994" t="s">
        <v>0</v>
      </c>
    </row>
    <row r="20995" spans="1:1" x14ac:dyDescent="0.3">
      <c r="A20995" t="s">
        <v>0</v>
      </c>
    </row>
    <row r="20996" spans="1:1" x14ac:dyDescent="0.3">
      <c r="A20996" t="s">
        <v>0</v>
      </c>
    </row>
    <row r="20997" spans="1:1" x14ac:dyDescent="0.3">
      <c r="A20997" t="s">
        <v>0</v>
      </c>
    </row>
    <row r="20998" spans="1:1" x14ac:dyDescent="0.3">
      <c r="A20998" t="s">
        <v>0</v>
      </c>
    </row>
    <row r="20999" spans="1:1" x14ac:dyDescent="0.3">
      <c r="A20999" t="s">
        <v>0</v>
      </c>
    </row>
    <row r="21000" spans="1:1" x14ac:dyDescent="0.3">
      <c r="A21000" t="s">
        <v>0</v>
      </c>
    </row>
    <row r="21001" spans="1:1" x14ac:dyDescent="0.3">
      <c r="A21001" t="s">
        <v>0</v>
      </c>
    </row>
    <row r="21002" spans="1:1" x14ac:dyDescent="0.3">
      <c r="A21002" t="s">
        <v>0</v>
      </c>
    </row>
    <row r="21003" spans="1:1" x14ac:dyDescent="0.3">
      <c r="A21003" t="s">
        <v>0</v>
      </c>
    </row>
    <row r="21004" spans="1:1" x14ac:dyDescent="0.3">
      <c r="A21004" t="s">
        <v>0</v>
      </c>
    </row>
    <row r="21005" spans="1:1" x14ac:dyDescent="0.3">
      <c r="A21005" t="s">
        <v>0</v>
      </c>
    </row>
    <row r="21006" spans="1:1" x14ac:dyDescent="0.3">
      <c r="A21006" t="s">
        <v>0</v>
      </c>
    </row>
    <row r="21007" spans="1:1" x14ac:dyDescent="0.3">
      <c r="A21007" t="s">
        <v>0</v>
      </c>
    </row>
    <row r="21008" spans="1:1" x14ac:dyDescent="0.3">
      <c r="A21008" t="s">
        <v>0</v>
      </c>
    </row>
    <row r="21009" spans="1:1" x14ac:dyDescent="0.3">
      <c r="A21009" t="s">
        <v>0</v>
      </c>
    </row>
    <row r="21010" spans="1:1" x14ac:dyDescent="0.3">
      <c r="A21010" t="s">
        <v>0</v>
      </c>
    </row>
    <row r="21011" spans="1:1" x14ac:dyDescent="0.3">
      <c r="A21011" t="s">
        <v>0</v>
      </c>
    </row>
    <row r="21012" spans="1:1" x14ac:dyDescent="0.3">
      <c r="A21012" t="s">
        <v>0</v>
      </c>
    </row>
    <row r="21013" spans="1:1" x14ac:dyDescent="0.3">
      <c r="A21013" t="s">
        <v>0</v>
      </c>
    </row>
    <row r="21014" spans="1:1" x14ac:dyDescent="0.3">
      <c r="A21014" t="s">
        <v>0</v>
      </c>
    </row>
    <row r="21015" spans="1:1" x14ac:dyDescent="0.3">
      <c r="A21015" t="s">
        <v>0</v>
      </c>
    </row>
    <row r="21016" spans="1:1" x14ac:dyDescent="0.3">
      <c r="A21016" t="s">
        <v>0</v>
      </c>
    </row>
    <row r="21017" spans="1:1" x14ac:dyDescent="0.3">
      <c r="A21017" t="s">
        <v>0</v>
      </c>
    </row>
    <row r="21018" spans="1:1" x14ac:dyDescent="0.3">
      <c r="A21018" t="s">
        <v>0</v>
      </c>
    </row>
    <row r="21019" spans="1:1" x14ac:dyDescent="0.3">
      <c r="A21019" t="s">
        <v>0</v>
      </c>
    </row>
    <row r="21020" spans="1:1" x14ac:dyDescent="0.3">
      <c r="A21020" t="s">
        <v>0</v>
      </c>
    </row>
    <row r="21021" spans="1:1" x14ac:dyDescent="0.3">
      <c r="A21021" t="s">
        <v>0</v>
      </c>
    </row>
    <row r="21022" spans="1:1" x14ac:dyDescent="0.3">
      <c r="A21022" t="s">
        <v>0</v>
      </c>
    </row>
    <row r="21023" spans="1:1" x14ac:dyDescent="0.3">
      <c r="A21023" t="s">
        <v>0</v>
      </c>
    </row>
    <row r="21024" spans="1:1" x14ac:dyDescent="0.3">
      <c r="A21024" t="s">
        <v>0</v>
      </c>
    </row>
    <row r="21025" spans="1:1" x14ac:dyDescent="0.3">
      <c r="A21025" t="s">
        <v>0</v>
      </c>
    </row>
    <row r="21026" spans="1:1" x14ac:dyDescent="0.3">
      <c r="A21026" t="s">
        <v>0</v>
      </c>
    </row>
    <row r="21027" spans="1:1" x14ac:dyDescent="0.3">
      <c r="A21027" t="s">
        <v>0</v>
      </c>
    </row>
    <row r="21028" spans="1:1" x14ac:dyDescent="0.3">
      <c r="A21028" t="s">
        <v>0</v>
      </c>
    </row>
    <row r="21029" spans="1:1" x14ac:dyDescent="0.3">
      <c r="A21029" t="s">
        <v>0</v>
      </c>
    </row>
    <row r="21030" spans="1:1" x14ac:dyDescent="0.3">
      <c r="A21030" t="s">
        <v>0</v>
      </c>
    </row>
    <row r="21031" spans="1:1" x14ac:dyDescent="0.3">
      <c r="A21031" t="s">
        <v>0</v>
      </c>
    </row>
    <row r="21032" spans="1:1" x14ac:dyDescent="0.3">
      <c r="A21032" t="s">
        <v>0</v>
      </c>
    </row>
    <row r="21033" spans="1:1" x14ac:dyDescent="0.3">
      <c r="A21033" t="s">
        <v>0</v>
      </c>
    </row>
    <row r="21034" spans="1:1" x14ac:dyDescent="0.3">
      <c r="A21034" t="s">
        <v>0</v>
      </c>
    </row>
    <row r="21035" spans="1:1" x14ac:dyDescent="0.3">
      <c r="A21035" t="s">
        <v>0</v>
      </c>
    </row>
    <row r="21036" spans="1:1" x14ac:dyDescent="0.3">
      <c r="A21036" t="s">
        <v>0</v>
      </c>
    </row>
    <row r="21037" spans="1:1" x14ac:dyDescent="0.3">
      <c r="A21037" t="s">
        <v>0</v>
      </c>
    </row>
    <row r="21038" spans="1:1" x14ac:dyDescent="0.3">
      <c r="A21038" t="s">
        <v>0</v>
      </c>
    </row>
    <row r="21039" spans="1:1" x14ac:dyDescent="0.3">
      <c r="A21039" t="s">
        <v>0</v>
      </c>
    </row>
    <row r="21040" spans="1:1" x14ac:dyDescent="0.3">
      <c r="A21040" t="s">
        <v>0</v>
      </c>
    </row>
    <row r="21041" spans="1:1" x14ac:dyDescent="0.3">
      <c r="A21041" t="s">
        <v>0</v>
      </c>
    </row>
    <row r="21042" spans="1:1" x14ac:dyDescent="0.3">
      <c r="A21042" t="s">
        <v>0</v>
      </c>
    </row>
    <row r="21043" spans="1:1" x14ac:dyDescent="0.3">
      <c r="A21043" t="s">
        <v>0</v>
      </c>
    </row>
    <row r="21044" spans="1:1" x14ac:dyDescent="0.3">
      <c r="A21044" t="s">
        <v>0</v>
      </c>
    </row>
    <row r="21045" spans="1:1" x14ac:dyDescent="0.3">
      <c r="A21045" t="s">
        <v>0</v>
      </c>
    </row>
    <row r="21046" spans="1:1" x14ac:dyDescent="0.3">
      <c r="A21046" t="s">
        <v>0</v>
      </c>
    </row>
    <row r="21047" spans="1:1" x14ac:dyDescent="0.3">
      <c r="A21047" t="s">
        <v>0</v>
      </c>
    </row>
    <row r="21048" spans="1:1" x14ac:dyDescent="0.3">
      <c r="A21048" t="s">
        <v>0</v>
      </c>
    </row>
    <row r="21049" spans="1:1" x14ac:dyDescent="0.3">
      <c r="A21049" t="s">
        <v>0</v>
      </c>
    </row>
    <row r="21050" spans="1:1" x14ac:dyDescent="0.3">
      <c r="A21050" t="s">
        <v>0</v>
      </c>
    </row>
    <row r="21051" spans="1:1" x14ac:dyDescent="0.3">
      <c r="A21051" t="s">
        <v>0</v>
      </c>
    </row>
    <row r="21052" spans="1:1" x14ac:dyDescent="0.3">
      <c r="A21052" t="s">
        <v>0</v>
      </c>
    </row>
    <row r="21053" spans="1:1" x14ac:dyDescent="0.3">
      <c r="A21053" t="s">
        <v>0</v>
      </c>
    </row>
    <row r="21054" spans="1:1" x14ac:dyDescent="0.3">
      <c r="A21054" t="s">
        <v>0</v>
      </c>
    </row>
    <row r="21055" spans="1:1" x14ac:dyDescent="0.3">
      <c r="A21055" t="s">
        <v>0</v>
      </c>
    </row>
    <row r="21056" spans="1:1" x14ac:dyDescent="0.3">
      <c r="A21056" t="s">
        <v>0</v>
      </c>
    </row>
    <row r="21057" spans="1:1" x14ac:dyDescent="0.3">
      <c r="A21057" t="s">
        <v>0</v>
      </c>
    </row>
    <row r="21058" spans="1:1" x14ac:dyDescent="0.3">
      <c r="A21058" t="s">
        <v>0</v>
      </c>
    </row>
    <row r="21059" spans="1:1" x14ac:dyDescent="0.3">
      <c r="A21059" t="s">
        <v>0</v>
      </c>
    </row>
    <row r="21060" spans="1:1" x14ac:dyDescent="0.3">
      <c r="A21060" t="s">
        <v>0</v>
      </c>
    </row>
    <row r="21061" spans="1:1" x14ac:dyDescent="0.3">
      <c r="A21061" t="s">
        <v>0</v>
      </c>
    </row>
    <row r="21062" spans="1:1" x14ac:dyDescent="0.3">
      <c r="A21062" t="s">
        <v>0</v>
      </c>
    </row>
    <row r="21063" spans="1:1" x14ac:dyDescent="0.3">
      <c r="A21063" t="s">
        <v>0</v>
      </c>
    </row>
    <row r="21064" spans="1:1" x14ac:dyDescent="0.3">
      <c r="A21064" t="s">
        <v>0</v>
      </c>
    </row>
    <row r="21065" spans="1:1" x14ac:dyDescent="0.3">
      <c r="A21065" t="s">
        <v>0</v>
      </c>
    </row>
    <row r="21066" spans="1:1" x14ac:dyDescent="0.3">
      <c r="A21066" t="s">
        <v>0</v>
      </c>
    </row>
    <row r="21067" spans="1:1" x14ac:dyDescent="0.3">
      <c r="A21067" t="s">
        <v>0</v>
      </c>
    </row>
    <row r="21068" spans="1:1" x14ac:dyDescent="0.3">
      <c r="A21068" t="s">
        <v>0</v>
      </c>
    </row>
    <row r="21069" spans="1:1" x14ac:dyDescent="0.3">
      <c r="A21069" t="s">
        <v>0</v>
      </c>
    </row>
    <row r="21070" spans="1:1" x14ac:dyDescent="0.3">
      <c r="A21070" t="s">
        <v>0</v>
      </c>
    </row>
    <row r="21071" spans="1:1" x14ac:dyDescent="0.3">
      <c r="A21071" t="s">
        <v>0</v>
      </c>
    </row>
    <row r="21072" spans="1:1" x14ac:dyDescent="0.3">
      <c r="A21072" t="s">
        <v>0</v>
      </c>
    </row>
    <row r="21073" spans="1:1" x14ac:dyDescent="0.3">
      <c r="A21073" t="s">
        <v>0</v>
      </c>
    </row>
    <row r="21074" spans="1:1" x14ac:dyDescent="0.3">
      <c r="A21074" t="s">
        <v>0</v>
      </c>
    </row>
    <row r="21075" spans="1:1" x14ac:dyDescent="0.3">
      <c r="A21075" t="s">
        <v>0</v>
      </c>
    </row>
    <row r="21076" spans="1:1" x14ac:dyDescent="0.3">
      <c r="A21076" t="s">
        <v>0</v>
      </c>
    </row>
    <row r="21077" spans="1:1" x14ac:dyDescent="0.3">
      <c r="A21077" t="s">
        <v>0</v>
      </c>
    </row>
    <row r="21078" spans="1:1" x14ac:dyDescent="0.3">
      <c r="A21078" t="s">
        <v>0</v>
      </c>
    </row>
    <row r="21079" spans="1:1" x14ac:dyDescent="0.3">
      <c r="A21079" t="s">
        <v>0</v>
      </c>
    </row>
    <row r="21080" spans="1:1" x14ac:dyDescent="0.3">
      <c r="A21080" t="s">
        <v>0</v>
      </c>
    </row>
    <row r="21081" spans="1:1" x14ac:dyDescent="0.3">
      <c r="A21081" t="s">
        <v>0</v>
      </c>
    </row>
    <row r="21082" spans="1:1" x14ac:dyDescent="0.3">
      <c r="A21082" t="s">
        <v>0</v>
      </c>
    </row>
    <row r="21083" spans="1:1" x14ac:dyDescent="0.3">
      <c r="A21083" t="s">
        <v>0</v>
      </c>
    </row>
    <row r="21084" spans="1:1" x14ac:dyDescent="0.3">
      <c r="A21084" t="s">
        <v>0</v>
      </c>
    </row>
    <row r="21085" spans="1:1" x14ac:dyDescent="0.3">
      <c r="A21085" t="s">
        <v>0</v>
      </c>
    </row>
    <row r="21086" spans="1:1" x14ac:dyDescent="0.3">
      <c r="A21086" t="s">
        <v>0</v>
      </c>
    </row>
    <row r="21087" spans="1:1" x14ac:dyDescent="0.3">
      <c r="A21087" t="s">
        <v>0</v>
      </c>
    </row>
    <row r="21088" spans="1:1" x14ac:dyDescent="0.3">
      <c r="A21088" t="s">
        <v>0</v>
      </c>
    </row>
    <row r="21089" spans="1:1" x14ac:dyDescent="0.3">
      <c r="A21089" t="s">
        <v>0</v>
      </c>
    </row>
    <row r="21090" spans="1:1" x14ac:dyDescent="0.3">
      <c r="A21090" t="s">
        <v>0</v>
      </c>
    </row>
    <row r="21091" spans="1:1" x14ac:dyDescent="0.3">
      <c r="A21091" t="s">
        <v>0</v>
      </c>
    </row>
    <row r="21092" spans="1:1" x14ac:dyDescent="0.3">
      <c r="A21092" t="s">
        <v>0</v>
      </c>
    </row>
    <row r="21093" spans="1:1" x14ac:dyDescent="0.3">
      <c r="A21093" t="s">
        <v>0</v>
      </c>
    </row>
    <row r="21094" spans="1:1" x14ac:dyDescent="0.3">
      <c r="A21094" t="s">
        <v>0</v>
      </c>
    </row>
    <row r="21095" spans="1:1" x14ac:dyDescent="0.3">
      <c r="A21095" t="s">
        <v>0</v>
      </c>
    </row>
    <row r="21096" spans="1:1" x14ac:dyDescent="0.3">
      <c r="A21096" t="s">
        <v>0</v>
      </c>
    </row>
    <row r="21097" spans="1:1" x14ac:dyDescent="0.3">
      <c r="A21097" t="s">
        <v>0</v>
      </c>
    </row>
    <row r="21098" spans="1:1" x14ac:dyDescent="0.3">
      <c r="A21098" t="s">
        <v>0</v>
      </c>
    </row>
    <row r="21099" spans="1:1" x14ac:dyDescent="0.3">
      <c r="A21099" t="s">
        <v>0</v>
      </c>
    </row>
    <row r="21100" spans="1:1" x14ac:dyDescent="0.3">
      <c r="A21100" t="s">
        <v>0</v>
      </c>
    </row>
    <row r="21101" spans="1:1" x14ac:dyDescent="0.3">
      <c r="A21101" t="s">
        <v>0</v>
      </c>
    </row>
    <row r="21102" spans="1:1" x14ac:dyDescent="0.3">
      <c r="A21102" t="s">
        <v>0</v>
      </c>
    </row>
    <row r="21103" spans="1:1" x14ac:dyDescent="0.3">
      <c r="A21103" t="s">
        <v>0</v>
      </c>
    </row>
    <row r="21104" spans="1:1" x14ac:dyDescent="0.3">
      <c r="A21104" t="s">
        <v>0</v>
      </c>
    </row>
    <row r="21105" spans="1:1" x14ac:dyDescent="0.3">
      <c r="A21105" t="s">
        <v>0</v>
      </c>
    </row>
    <row r="21106" spans="1:1" x14ac:dyDescent="0.3">
      <c r="A21106" t="s">
        <v>0</v>
      </c>
    </row>
    <row r="21107" spans="1:1" x14ac:dyDescent="0.3">
      <c r="A21107" t="s">
        <v>0</v>
      </c>
    </row>
    <row r="21108" spans="1:1" x14ac:dyDescent="0.3">
      <c r="A21108" t="s">
        <v>0</v>
      </c>
    </row>
    <row r="21109" spans="1:1" x14ac:dyDescent="0.3">
      <c r="A21109" t="s">
        <v>0</v>
      </c>
    </row>
    <row r="21110" spans="1:1" x14ac:dyDescent="0.3">
      <c r="A21110" t="s">
        <v>0</v>
      </c>
    </row>
    <row r="21111" spans="1:1" x14ac:dyDescent="0.3">
      <c r="A21111" t="s">
        <v>0</v>
      </c>
    </row>
    <row r="21112" spans="1:1" x14ac:dyDescent="0.3">
      <c r="A21112" t="s">
        <v>0</v>
      </c>
    </row>
    <row r="21113" spans="1:1" x14ac:dyDescent="0.3">
      <c r="A21113" t="s">
        <v>0</v>
      </c>
    </row>
    <row r="21114" spans="1:1" x14ac:dyDescent="0.3">
      <c r="A21114" t="s">
        <v>0</v>
      </c>
    </row>
    <row r="21115" spans="1:1" x14ac:dyDescent="0.3">
      <c r="A21115" t="s">
        <v>0</v>
      </c>
    </row>
    <row r="21116" spans="1:1" x14ac:dyDescent="0.3">
      <c r="A21116" t="s">
        <v>0</v>
      </c>
    </row>
    <row r="21117" spans="1:1" x14ac:dyDescent="0.3">
      <c r="A21117" t="s">
        <v>0</v>
      </c>
    </row>
    <row r="21118" spans="1:1" x14ac:dyDescent="0.3">
      <c r="A21118" t="s">
        <v>0</v>
      </c>
    </row>
    <row r="21119" spans="1:1" x14ac:dyDescent="0.3">
      <c r="A21119" t="s">
        <v>0</v>
      </c>
    </row>
    <row r="21120" spans="1:1" x14ac:dyDescent="0.3">
      <c r="A21120" t="s">
        <v>0</v>
      </c>
    </row>
    <row r="21121" spans="1:1" x14ac:dyDescent="0.3">
      <c r="A21121" t="s">
        <v>0</v>
      </c>
    </row>
    <row r="21122" spans="1:1" x14ac:dyDescent="0.3">
      <c r="A21122" t="s">
        <v>0</v>
      </c>
    </row>
    <row r="21123" spans="1:1" x14ac:dyDescent="0.3">
      <c r="A21123" t="s">
        <v>0</v>
      </c>
    </row>
    <row r="21124" spans="1:1" x14ac:dyDescent="0.3">
      <c r="A21124" t="s">
        <v>0</v>
      </c>
    </row>
    <row r="21125" spans="1:1" x14ac:dyDescent="0.3">
      <c r="A21125" t="s">
        <v>0</v>
      </c>
    </row>
    <row r="21126" spans="1:1" x14ac:dyDescent="0.3">
      <c r="A21126" t="s">
        <v>0</v>
      </c>
    </row>
    <row r="21127" spans="1:1" x14ac:dyDescent="0.3">
      <c r="A21127" t="s">
        <v>0</v>
      </c>
    </row>
    <row r="21128" spans="1:1" x14ac:dyDescent="0.3">
      <c r="A21128" t="s">
        <v>0</v>
      </c>
    </row>
    <row r="21129" spans="1:1" x14ac:dyDescent="0.3">
      <c r="A21129" t="s">
        <v>0</v>
      </c>
    </row>
    <row r="21130" spans="1:1" x14ac:dyDescent="0.3">
      <c r="A21130" t="s">
        <v>0</v>
      </c>
    </row>
    <row r="21131" spans="1:1" x14ac:dyDescent="0.3">
      <c r="A21131" t="s">
        <v>0</v>
      </c>
    </row>
    <row r="21132" spans="1:1" x14ac:dyDescent="0.3">
      <c r="A21132" t="s">
        <v>0</v>
      </c>
    </row>
    <row r="21133" spans="1:1" x14ac:dyDescent="0.3">
      <c r="A21133" t="s">
        <v>0</v>
      </c>
    </row>
    <row r="21134" spans="1:1" x14ac:dyDescent="0.3">
      <c r="A21134" t="s">
        <v>0</v>
      </c>
    </row>
    <row r="21135" spans="1:1" x14ac:dyDescent="0.3">
      <c r="A21135" t="s">
        <v>0</v>
      </c>
    </row>
    <row r="21136" spans="1:1" x14ac:dyDescent="0.3">
      <c r="A21136" t="s">
        <v>0</v>
      </c>
    </row>
    <row r="21137" spans="1:1" x14ac:dyDescent="0.3">
      <c r="A21137" t="s">
        <v>0</v>
      </c>
    </row>
    <row r="21138" spans="1:1" x14ac:dyDescent="0.3">
      <c r="A21138" t="s">
        <v>0</v>
      </c>
    </row>
    <row r="21139" spans="1:1" x14ac:dyDescent="0.3">
      <c r="A21139" t="s">
        <v>0</v>
      </c>
    </row>
    <row r="21140" spans="1:1" x14ac:dyDescent="0.3">
      <c r="A21140" t="s">
        <v>0</v>
      </c>
    </row>
    <row r="21141" spans="1:1" x14ac:dyDescent="0.3">
      <c r="A21141" t="s">
        <v>0</v>
      </c>
    </row>
    <row r="21142" spans="1:1" x14ac:dyDescent="0.3">
      <c r="A21142" t="s">
        <v>0</v>
      </c>
    </row>
    <row r="21143" spans="1:1" x14ac:dyDescent="0.3">
      <c r="A21143" t="s">
        <v>0</v>
      </c>
    </row>
    <row r="21144" spans="1:1" x14ac:dyDescent="0.3">
      <c r="A21144" t="s">
        <v>0</v>
      </c>
    </row>
    <row r="21145" spans="1:1" x14ac:dyDescent="0.3">
      <c r="A21145" t="s">
        <v>0</v>
      </c>
    </row>
    <row r="21146" spans="1:1" x14ac:dyDescent="0.3">
      <c r="A21146" t="s">
        <v>0</v>
      </c>
    </row>
    <row r="21147" spans="1:1" x14ac:dyDescent="0.3">
      <c r="A21147" t="s">
        <v>0</v>
      </c>
    </row>
    <row r="21148" spans="1:1" x14ac:dyDescent="0.3">
      <c r="A21148" t="s">
        <v>0</v>
      </c>
    </row>
    <row r="21149" spans="1:1" x14ac:dyDescent="0.3">
      <c r="A21149" t="s">
        <v>0</v>
      </c>
    </row>
    <row r="21150" spans="1:1" x14ac:dyDescent="0.3">
      <c r="A21150" t="s">
        <v>0</v>
      </c>
    </row>
    <row r="21151" spans="1:1" x14ac:dyDescent="0.3">
      <c r="A21151" t="s">
        <v>0</v>
      </c>
    </row>
    <row r="21152" spans="1:1" x14ac:dyDescent="0.3">
      <c r="A21152" t="s">
        <v>0</v>
      </c>
    </row>
    <row r="21153" spans="1:1" x14ac:dyDescent="0.3">
      <c r="A21153" t="s">
        <v>0</v>
      </c>
    </row>
    <row r="21154" spans="1:1" x14ac:dyDescent="0.3">
      <c r="A21154" t="s">
        <v>0</v>
      </c>
    </row>
    <row r="21155" spans="1:1" x14ac:dyDescent="0.3">
      <c r="A21155" t="s">
        <v>0</v>
      </c>
    </row>
    <row r="21156" spans="1:1" x14ac:dyDescent="0.3">
      <c r="A21156" t="s">
        <v>0</v>
      </c>
    </row>
    <row r="21157" spans="1:1" x14ac:dyDescent="0.3">
      <c r="A21157" t="s">
        <v>0</v>
      </c>
    </row>
    <row r="21158" spans="1:1" x14ac:dyDescent="0.3">
      <c r="A21158" t="s">
        <v>0</v>
      </c>
    </row>
    <row r="21159" spans="1:1" x14ac:dyDescent="0.3">
      <c r="A21159" t="s">
        <v>0</v>
      </c>
    </row>
    <row r="21160" spans="1:1" x14ac:dyDescent="0.3">
      <c r="A21160" t="s">
        <v>0</v>
      </c>
    </row>
    <row r="21161" spans="1:1" x14ac:dyDescent="0.3">
      <c r="A21161" t="s">
        <v>0</v>
      </c>
    </row>
    <row r="21162" spans="1:1" x14ac:dyDescent="0.3">
      <c r="A21162" t="s">
        <v>0</v>
      </c>
    </row>
    <row r="21163" spans="1:1" x14ac:dyDescent="0.3">
      <c r="A21163" t="s">
        <v>0</v>
      </c>
    </row>
    <row r="21164" spans="1:1" x14ac:dyDescent="0.3">
      <c r="A21164" t="s">
        <v>0</v>
      </c>
    </row>
    <row r="21165" spans="1:1" x14ac:dyDescent="0.3">
      <c r="A21165" t="s">
        <v>0</v>
      </c>
    </row>
    <row r="21166" spans="1:1" x14ac:dyDescent="0.3">
      <c r="A21166" t="s">
        <v>0</v>
      </c>
    </row>
    <row r="21167" spans="1:1" x14ac:dyDescent="0.3">
      <c r="A21167" t="s">
        <v>0</v>
      </c>
    </row>
    <row r="21168" spans="1:1" x14ac:dyDescent="0.3">
      <c r="A21168" t="s">
        <v>0</v>
      </c>
    </row>
    <row r="21169" spans="1:1" x14ac:dyDescent="0.3">
      <c r="A21169" t="s">
        <v>0</v>
      </c>
    </row>
    <row r="21170" spans="1:1" x14ac:dyDescent="0.3">
      <c r="A21170" t="s">
        <v>0</v>
      </c>
    </row>
    <row r="21171" spans="1:1" x14ac:dyDescent="0.3">
      <c r="A21171" t="s">
        <v>0</v>
      </c>
    </row>
    <row r="21172" spans="1:1" x14ac:dyDescent="0.3">
      <c r="A21172" t="s">
        <v>0</v>
      </c>
    </row>
    <row r="21173" spans="1:1" x14ac:dyDescent="0.3">
      <c r="A21173" t="s">
        <v>0</v>
      </c>
    </row>
    <row r="21174" spans="1:1" x14ac:dyDescent="0.3">
      <c r="A21174" t="s">
        <v>0</v>
      </c>
    </row>
    <row r="21175" spans="1:1" x14ac:dyDescent="0.3">
      <c r="A21175" t="s">
        <v>0</v>
      </c>
    </row>
    <row r="21176" spans="1:1" x14ac:dyDescent="0.3">
      <c r="A21176" t="s">
        <v>0</v>
      </c>
    </row>
    <row r="21177" spans="1:1" x14ac:dyDescent="0.3">
      <c r="A21177" t="s">
        <v>0</v>
      </c>
    </row>
    <row r="21178" spans="1:1" x14ac:dyDescent="0.3">
      <c r="A21178" t="s">
        <v>0</v>
      </c>
    </row>
    <row r="21179" spans="1:1" x14ac:dyDescent="0.3">
      <c r="A21179" t="s">
        <v>0</v>
      </c>
    </row>
    <row r="21180" spans="1:1" x14ac:dyDescent="0.3">
      <c r="A21180" t="s">
        <v>0</v>
      </c>
    </row>
    <row r="21181" spans="1:1" x14ac:dyDescent="0.3">
      <c r="A21181" t="s">
        <v>0</v>
      </c>
    </row>
    <row r="21182" spans="1:1" x14ac:dyDescent="0.3">
      <c r="A21182" t="s">
        <v>0</v>
      </c>
    </row>
    <row r="21183" spans="1:1" x14ac:dyDescent="0.3">
      <c r="A21183" t="s">
        <v>0</v>
      </c>
    </row>
    <row r="21184" spans="1:1" x14ac:dyDescent="0.3">
      <c r="A21184" t="s">
        <v>0</v>
      </c>
    </row>
    <row r="21185" spans="1:1" x14ac:dyDescent="0.3">
      <c r="A21185" t="s">
        <v>0</v>
      </c>
    </row>
    <row r="21186" spans="1:1" x14ac:dyDescent="0.3">
      <c r="A21186" t="s">
        <v>0</v>
      </c>
    </row>
    <row r="21187" spans="1:1" x14ac:dyDescent="0.3">
      <c r="A21187" t="s">
        <v>0</v>
      </c>
    </row>
    <row r="21188" spans="1:1" x14ac:dyDescent="0.3">
      <c r="A21188" t="s">
        <v>0</v>
      </c>
    </row>
    <row r="21189" spans="1:1" x14ac:dyDescent="0.3">
      <c r="A21189" t="s">
        <v>0</v>
      </c>
    </row>
    <row r="21190" spans="1:1" x14ac:dyDescent="0.3">
      <c r="A21190" t="s">
        <v>0</v>
      </c>
    </row>
    <row r="21191" spans="1:1" x14ac:dyDescent="0.3">
      <c r="A21191" t="s">
        <v>0</v>
      </c>
    </row>
    <row r="21192" spans="1:1" x14ac:dyDescent="0.3">
      <c r="A21192" t="s">
        <v>0</v>
      </c>
    </row>
    <row r="21193" spans="1:1" x14ac:dyDescent="0.3">
      <c r="A21193" t="s">
        <v>0</v>
      </c>
    </row>
    <row r="21194" spans="1:1" x14ac:dyDescent="0.3">
      <c r="A21194" t="s">
        <v>0</v>
      </c>
    </row>
    <row r="21195" spans="1:1" x14ac:dyDescent="0.3">
      <c r="A21195" t="s">
        <v>0</v>
      </c>
    </row>
    <row r="21196" spans="1:1" x14ac:dyDescent="0.3">
      <c r="A21196" t="s">
        <v>0</v>
      </c>
    </row>
    <row r="21197" spans="1:1" x14ac:dyDescent="0.3">
      <c r="A21197" t="s">
        <v>0</v>
      </c>
    </row>
    <row r="21198" spans="1:1" x14ac:dyDescent="0.3">
      <c r="A21198" t="s">
        <v>0</v>
      </c>
    </row>
    <row r="21199" spans="1:1" x14ac:dyDescent="0.3">
      <c r="A21199" t="s">
        <v>0</v>
      </c>
    </row>
    <row r="21200" spans="1:1" x14ac:dyDescent="0.3">
      <c r="A21200" t="s">
        <v>0</v>
      </c>
    </row>
    <row r="21201" spans="1:1" x14ac:dyDescent="0.3">
      <c r="A21201" t="s">
        <v>0</v>
      </c>
    </row>
    <row r="21202" spans="1:1" x14ac:dyDescent="0.3">
      <c r="A21202" t="s">
        <v>0</v>
      </c>
    </row>
    <row r="21203" spans="1:1" x14ac:dyDescent="0.3">
      <c r="A21203" t="s">
        <v>0</v>
      </c>
    </row>
    <row r="21204" spans="1:1" x14ac:dyDescent="0.3">
      <c r="A21204" t="s">
        <v>0</v>
      </c>
    </row>
    <row r="21205" spans="1:1" x14ac:dyDescent="0.3">
      <c r="A21205" t="s">
        <v>0</v>
      </c>
    </row>
    <row r="21206" spans="1:1" x14ac:dyDescent="0.3">
      <c r="A21206" t="s">
        <v>0</v>
      </c>
    </row>
    <row r="21207" spans="1:1" x14ac:dyDescent="0.3">
      <c r="A21207" t="s">
        <v>0</v>
      </c>
    </row>
    <row r="21208" spans="1:1" x14ac:dyDescent="0.3">
      <c r="A21208" t="s">
        <v>0</v>
      </c>
    </row>
    <row r="21209" spans="1:1" x14ac:dyDescent="0.3">
      <c r="A21209" t="s">
        <v>0</v>
      </c>
    </row>
    <row r="21210" spans="1:1" x14ac:dyDescent="0.3">
      <c r="A21210" t="s">
        <v>0</v>
      </c>
    </row>
    <row r="21211" spans="1:1" x14ac:dyDescent="0.3">
      <c r="A21211" t="s">
        <v>0</v>
      </c>
    </row>
    <row r="21212" spans="1:1" x14ac:dyDescent="0.3">
      <c r="A21212" t="s">
        <v>0</v>
      </c>
    </row>
    <row r="21213" spans="1:1" x14ac:dyDescent="0.3">
      <c r="A21213" t="s">
        <v>0</v>
      </c>
    </row>
    <row r="21214" spans="1:1" x14ac:dyDescent="0.3">
      <c r="A21214" t="s">
        <v>0</v>
      </c>
    </row>
    <row r="21215" spans="1:1" x14ac:dyDescent="0.3">
      <c r="A21215" t="s">
        <v>0</v>
      </c>
    </row>
    <row r="21216" spans="1:1" x14ac:dyDescent="0.3">
      <c r="A21216" t="s">
        <v>0</v>
      </c>
    </row>
    <row r="21217" spans="1:1" x14ac:dyDescent="0.3">
      <c r="A21217" t="s">
        <v>0</v>
      </c>
    </row>
    <row r="21218" spans="1:1" x14ac:dyDescent="0.3">
      <c r="A21218" t="s">
        <v>0</v>
      </c>
    </row>
    <row r="21219" spans="1:1" x14ac:dyDescent="0.3">
      <c r="A21219" t="s">
        <v>0</v>
      </c>
    </row>
    <row r="21220" spans="1:1" x14ac:dyDescent="0.3">
      <c r="A21220" t="s">
        <v>0</v>
      </c>
    </row>
    <row r="21221" spans="1:1" x14ac:dyDescent="0.3">
      <c r="A21221" t="s">
        <v>0</v>
      </c>
    </row>
    <row r="21222" spans="1:1" x14ac:dyDescent="0.3">
      <c r="A21222" t="s">
        <v>0</v>
      </c>
    </row>
    <row r="21223" spans="1:1" x14ac:dyDescent="0.3">
      <c r="A21223" t="s">
        <v>0</v>
      </c>
    </row>
    <row r="21224" spans="1:1" x14ac:dyDescent="0.3">
      <c r="A21224" t="s">
        <v>0</v>
      </c>
    </row>
    <row r="21225" spans="1:1" x14ac:dyDescent="0.3">
      <c r="A21225" t="s">
        <v>0</v>
      </c>
    </row>
    <row r="21226" spans="1:1" x14ac:dyDescent="0.3">
      <c r="A21226" t="s">
        <v>0</v>
      </c>
    </row>
    <row r="21227" spans="1:1" x14ac:dyDescent="0.3">
      <c r="A21227" t="s">
        <v>0</v>
      </c>
    </row>
    <row r="21228" spans="1:1" x14ac:dyDescent="0.3">
      <c r="A21228" t="s">
        <v>0</v>
      </c>
    </row>
    <row r="21229" spans="1:1" x14ac:dyDescent="0.3">
      <c r="A21229" t="s">
        <v>0</v>
      </c>
    </row>
    <row r="21230" spans="1:1" x14ac:dyDescent="0.3">
      <c r="A21230" t="s">
        <v>0</v>
      </c>
    </row>
    <row r="21231" spans="1:1" x14ac:dyDescent="0.3">
      <c r="A21231" t="s">
        <v>0</v>
      </c>
    </row>
    <row r="21232" spans="1:1" x14ac:dyDescent="0.3">
      <c r="A21232" t="s">
        <v>0</v>
      </c>
    </row>
    <row r="21233" spans="1:1" x14ac:dyDescent="0.3">
      <c r="A21233" t="s">
        <v>0</v>
      </c>
    </row>
    <row r="21234" spans="1:1" x14ac:dyDescent="0.3">
      <c r="A21234" t="s">
        <v>0</v>
      </c>
    </row>
    <row r="21235" spans="1:1" x14ac:dyDescent="0.3">
      <c r="A21235" t="s">
        <v>0</v>
      </c>
    </row>
    <row r="21236" spans="1:1" x14ac:dyDescent="0.3">
      <c r="A21236" t="s">
        <v>0</v>
      </c>
    </row>
    <row r="21237" spans="1:1" x14ac:dyDescent="0.3">
      <c r="A21237" t="s">
        <v>0</v>
      </c>
    </row>
    <row r="21238" spans="1:1" x14ac:dyDescent="0.3">
      <c r="A21238" t="s">
        <v>0</v>
      </c>
    </row>
    <row r="21239" spans="1:1" x14ac:dyDescent="0.3">
      <c r="A21239" t="s">
        <v>0</v>
      </c>
    </row>
    <row r="21240" spans="1:1" x14ac:dyDescent="0.3">
      <c r="A21240" t="s">
        <v>0</v>
      </c>
    </row>
    <row r="21241" spans="1:1" x14ac:dyDescent="0.3">
      <c r="A21241" t="s">
        <v>0</v>
      </c>
    </row>
    <row r="21242" spans="1:1" x14ac:dyDescent="0.3">
      <c r="A21242" t="s">
        <v>0</v>
      </c>
    </row>
    <row r="21243" spans="1:1" x14ac:dyDescent="0.3">
      <c r="A21243" t="s">
        <v>0</v>
      </c>
    </row>
    <row r="21244" spans="1:1" x14ac:dyDescent="0.3">
      <c r="A21244" t="s">
        <v>0</v>
      </c>
    </row>
    <row r="21245" spans="1:1" x14ac:dyDescent="0.3">
      <c r="A21245" t="s">
        <v>0</v>
      </c>
    </row>
    <row r="21246" spans="1:1" x14ac:dyDescent="0.3">
      <c r="A21246" t="s">
        <v>0</v>
      </c>
    </row>
    <row r="21247" spans="1:1" x14ac:dyDescent="0.3">
      <c r="A21247" t="s">
        <v>0</v>
      </c>
    </row>
    <row r="21248" spans="1:1" x14ac:dyDescent="0.3">
      <c r="A21248" t="s">
        <v>0</v>
      </c>
    </row>
    <row r="21249" spans="1:1" x14ac:dyDescent="0.3">
      <c r="A21249" t="s">
        <v>0</v>
      </c>
    </row>
    <row r="21250" spans="1:1" x14ac:dyDescent="0.3">
      <c r="A21250" t="s">
        <v>0</v>
      </c>
    </row>
    <row r="21251" spans="1:1" x14ac:dyDescent="0.3">
      <c r="A21251" t="s">
        <v>0</v>
      </c>
    </row>
    <row r="21252" spans="1:1" x14ac:dyDescent="0.3">
      <c r="A21252" t="s">
        <v>0</v>
      </c>
    </row>
    <row r="21253" spans="1:1" x14ac:dyDescent="0.3">
      <c r="A21253" t="s">
        <v>0</v>
      </c>
    </row>
    <row r="21254" spans="1:1" x14ac:dyDescent="0.3">
      <c r="A21254" t="s">
        <v>0</v>
      </c>
    </row>
    <row r="21255" spans="1:1" x14ac:dyDescent="0.3">
      <c r="A21255" t="s">
        <v>0</v>
      </c>
    </row>
    <row r="21256" spans="1:1" x14ac:dyDescent="0.3">
      <c r="A21256" t="s">
        <v>0</v>
      </c>
    </row>
    <row r="21257" spans="1:1" x14ac:dyDescent="0.3">
      <c r="A21257" t="s">
        <v>0</v>
      </c>
    </row>
    <row r="21258" spans="1:1" x14ac:dyDescent="0.3">
      <c r="A21258" t="s">
        <v>0</v>
      </c>
    </row>
    <row r="21259" spans="1:1" x14ac:dyDescent="0.3">
      <c r="A21259" t="s">
        <v>0</v>
      </c>
    </row>
    <row r="21260" spans="1:1" x14ac:dyDescent="0.3">
      <c r="A21260" t="s">
        <v>0</v>
      </c>
    </row>
    <row r="21261" spans="1:1" x14ac:dyDescent="0.3">
      <c r="A21261" t="s">
        <v>0</v>
      </c>
    </row>
    <row r="21262" spans="1:1" x14ac:dyDescent="0.3">
      <c r="A21262" t="s">
        <v>0</v>
      </c>
    </row>
    <row r="21263" spans="1:1" x14ac:dyDescent="0.3">
      <c r="A21263" t="s">
        <v>0</v>
      </c>
    </row>
    <row r="21264" spans="1:1" x14ac:dyDescent="0.3">
      <c r="A21264" t="s">
        <v>0</v>
      </c>
    </row>
    <row r="21265" spans="1:1" x14ac:dyDescent="0.3">
      <c r="A21265" t="s">
        <v>0</v>
      </c>
    </row>
    <row r="21266" spans="1:1" x14ac:dyDescent="0.3">
      <c r="A21266" t="s">
        <v>0</v>
      </c>
    </row>
    <row r="21267" spans="1:1" x14ac:dyDescent="0.3">
      <c r="A21267" t="s">
        <v>0</v>
      </c>
    </row>
    <row r="21268" spans="1:1" x14ac:dyDescent="0.3">
      <c r="A21268" t="s">
        <v>0</v>
      </c>
    </row>
    <row r="21269" spans="1:1" x14ac:dyDescent="0.3">
      <c r="A21269" t="s">
        <v>0</v>
      </c>
    </row>
    <row r="21270" spans="1:1" x14ac:dyDescent="0.3">
      <c r="A21270" t="s">
        <v>0</v>
      </c>
    </row>
    <row r="21271" spans="1:1" x14ac:dyDescent="0.3">
      <c r="A21271" t="s">
        <v>0</v>
      </c>
    </row>
    <row r="21272" spans="1:1" x14ac:dyDescent="0.3">
      <c r="A21272" t="s">
        <v>0</v>
      </c>
    </row>
    <row r="21273" spans="1:1" x14ac:dyDescent="0.3">
      <c r="A21273" t="s">
        <v>0</v>
      </c>
    </row>
    <row r="21274" spans="1:1" x14ac:dyDescent="0.3">
      <c r="A21274" t="s">
        <v>0</v>
      </c>
    </row>
    <row r="21275" spans="1:1" x14ac:dyDescent="0.3">
      <c r="A21275" t="s">
        <v>0</v>
      </c>
    </row>
    <row r="21276" spans="1:1" x14ac:dyDescent="0.3">
      <c r="A21276" t="s">
        <v>0</v>
      </c>
    </row>
    <row r="21277" spans="1:1" x14ac:dyDescent="0.3">
      <c r="A21277" t="s">
        <v>0</v>
      </c>
    </row>
    <row r="21278" spans="1:1" x14ac:dyDescent="0.3">
      <c r="A21278" t="s">
        <v>0</v>
      </c>
    </row>
    <row r="21279" spans="1:1" x14ac:dyDescent="0.3">
      <c r="A21279" t="s">
        <v>0</v>
      </c>
    </row>
    <row r="21280" spans="1:1" x14ac:dyDescent="0.3">
      <c r="A21280" t="s">
        <v>0</v>
      </c>
    </row>
    <row r="21281" spans="1:1" x14ac:dyDescent="0.3">
      <c r="A21281" t="s">
        <v>0</v>
      </c>
    </row>
    <row r="21282" spans="1:1" x14ac:dyDescent="0.3">
      <c r="A21282" t="s">
        <v>0</v>
      </c>
    </row>
    <row r="21283" spans="1:1" x14ac:dyDescent="0.3">
      <c r="A21283" t="s">
        <v>0</v>
      </c>
    </row>
    <row r="21284" spans="1:1" x14ac:dyDescent="0.3">
      <c r="A21284" t="s">
        <v>0</v>
      </c>
    </row>
    <row r="21285" spans="1:1" x14ac:dyDescent="0.3">
      <c r="A21285" t="s">
        <v>0</v>
      </c>
    </row>
    <row r="21286" spans="1:1" x14ac:dyDescent="0.3">
      <c r="A21286" t="s">
        <v>0</v>
      </c>
    </row>
    <row r="21287" spans="1:1" x14ac:dyDescent="0.3">
      <c r="A21287" t="s">
        <v>0</v>
      </c>
    </row>
    <row r="21288" spans="1:1" x14ac:dyDescent="0.3">
      <c r="A21288" t="s">
        <v>0</v>
      </c>
    </row>
    <row r="21289" spans="1:1" x14ac:dyDescent="0.3">
      <c r="A21289" t="s">
        <v>0</v>
      </c>
    </row>
    <row r="21290" spans="1:1" x14ac:dyDescent="0.3">
      <c r="A21290" t="s">
        <v>0</v>
      </c>
    </row>
    <row r="21291" spans="1:1" x14ac:dyDescent="0.3">
      <c r="A21291" t="s">
        <v>0</v>
      </c>
    </row>
    <row r="21292" spans="1:1" x14ac:dyDescent="0.3">
      <c r="A21292" t="s">
        <v>0</v>
      </c>
    </row>
    <row r="21293" spans="1:1" x14ac:dyDescent="0.3">
      <c r="A21293" t="s">
        <v>0</v>
      </c>
    </row>
    <row r="21294" spans="1:1" x14ac:dyDescent="0.3">
      <c r="A21294" t="s">
        <v>0</v>
      </c>
    </row>
    <row r="21295" spans="1:1" x14ac:dyDescent="0.3">
      <c r="A21295" t="s">
        <v>0</v>
      </c>
    </row>
    <row r="21296" spans="1:1" x14ac:dyDescent="0.3">
      <c r="A21296" t="s">
        <v>0</v>
      </c>
    </row>
    <row r="21297" spans="1:1" x14ac:dyDescent="0.3">
      <c r="A21297" t="s">
        <v>0</v>
      </c>
    </row>
    <row r="21298" spans="1:1" x14ac:dyDescent="0.3">
      <c r="A21298" t="s">
        <v>0</v>
      </c>
    </row>
    <row r="21299" spans="1:1" x14ac:dyDescent="0.3">
      <c r="A21299" t="s">
        <v>0</v>
      </c>
    </row>
    <row r="21300" spans="1:1" x14ac:dyDescent="0.3">
      <c r="A21300" t="s">
        <v>0</v>
      </c>
    </row>
    <row r="21301" spans="1:1" x14ac:dyDescent="0.3">
      <c r="A21301" t="s">
        <v>0</v>
      </c>
    </row>
    <row r="21302" spans="1:1" x14ac:dyDescent="0.3">
      <c r="A21302" t="s">
        <v>0</v>
      </c>
    </row>
    <row r="21303" spans="1:1" x14ac:dyDescent="0.3">
      <c r="A21303" t="s">
        <v>0</v>
      </c>
    </row>
    <row r="21304" spans="1:1" x14ac:dyDescent="0.3">
      <c r="A21304" t="s">
        <v>0</v>
      </c>
    </row>
    <row r="21305" spans="1:1" x14ac:dyDescent="0.3">
      <c r="A21305" t="s">
        <v>0</v>
      </c>
    </row>
    <row r="21306" spans="1:1" x14ac:dyDescent="0.3">
      <c r="A21306" t="s">
        <v>0</v>
      </c>
    </row>
    <row r="21307" spans="1:1" x14ac:dyDescent="0.3">
      <c r="A21307" t="s">
        <v>0</v>
      </c>
    </row>
    <row r="21308" spans="1:1" x14ac:dyDescent="0.3">
      <c r="A21308" t="s">
        <v>0</v>
      </c>
    </row>
    <row r="21309" spans="1:1" x14ac:dyDescent="0.3">
      <c r="A21309" t="s">
        <v>0</v>
      </c>
    </row>
    <row r="21310" spans="1:1" x14ac:dyDescent="0.3">
      <c r="A21310" t="s">
        <v>0</v>
      </c>
    </row>
    <row r="21311" spans="1:1" x14ac:dyDescent="0.3">
      <c r="A21311" t="s">
        <v>0</v>
      </c>
    </row>
    <row r="21312" spans="1:1" x14ac:dyDescent="0.3">
      <c r="A21312" t="s">
        <v>0</v>
      </c>
    </row>
    <row r="21313" spans="1:1" x14ac:dyDescent="0.3">
      <c r="A21313" t="s">
        <v>0</v>
      </c>
    </row>
    <row r="21314" spans="1:1" x14ac:dyDescent="0.3">
      <c r="A21314" t="s">
        <v>0</v>
      </c>
    </row>
    <row r="21315" spans="1:1" x14ac:dyDescent="0.3">
      <c r="A21315" t="s">
        <v>0</v>
      </c>
    </row>
    <row r="21316" spans="1:1" x14ac:dyDescent="0.3">
      <c r="A21316" t="s">
        <v>0</v>
      </c>
    </row>
    <row r="21317" spans="1:1" x14ac:dyDescent="0.3">
      <c r="A21317" t="s">
        <v>0</v>
      </c>
    </row>
    <row r="21318" spans="1:1" x14ac:dyDescent="0.3">
      <c r="A21318" t="s">
        <v>0</v>
      </c>
    </row>
    <row r="21319" spans="1:1" x14ac:dyDescent="0.3">
      <c r="A21319" t="s">
        <v>0</v>
      </c>
    </row>
    <row r="21320" spans="1:1" x14ac:dyDescent="0.3">
      <c r="A21320" t="s">
        <v>0</v>
      </c>
    </row>
    <row r="21321" spans="1:1" x14ac:dyDescent="0.3">
      <c r="A21321" t="s">
        <v>0</v>
      </c>
    </row>
    <row r="21322" spans="1:1" x14ac:dyDescent="0.3">
      <c r="A21322" t="s">
        <v>0</v>
      </c>
    </row>
    <row r="21323" spans="1:1" x14ac:dyDescent="0.3">
      <c r="A21323" t="s">
        <v>0</v>
      </c>
    </row>
    <row r="21324" spans="1:1" x14ac:dyDescent="0.3">
      <c r="A21324" t="s">
        <v>0</v>
      </c>
    </row>
    <row r="21325" spans="1:1" x14ac:dyDescent="0.3">
      <c r="A21325" t="s">
        <v>0</v>
      </c>
    </row>
    <row r="21326" spans="1:1" x14ac:dyDescent="0.3">
      <c r="A21326" t="s">
        <v>0</v>
      </c>
    </row>
    <row r="21327" spans="1:1" x14ac:dyDescent="0.3">
      <c r="A21327" t="s">
        <v>0</v>
      </c>
    </row>
    <row r="21328" spans="1:1" x14ac:dyDescent="0.3">
      <c r="A21328" t="s">
        <v>0</v>
      </c>
    </row>
    <row r="21329" spans="1:1" x14ac:dyDescent="0.3">
      <c r="A21329" t="s">
        <v>0</v>
      </c>
    </row>
    <row r="21330" spans="1:1" x14ac:dyDescent="0.3">
      <c r="A21330" t="s">
        <v>0</v>
      </c>
    </row>
    <row r="21331" spans="1:1" x14ac:dyDescent="0.3">
      <c r="A21331" t="s">
        <v>0</v>
      </c>
    </row>
    <row r="21332" spans="1:1" x14ac:dyDescent="0.3">
      <c r="A21332" t="s">
        <v>0</v>
      </c>
    </row>
    <row r="21333" spans="1:1" x14ac:dyDescent="0.3">
      <c r="A21333" t="s">
        <v>0</v>
      </c>
    </row>
    <row r="21334" spans="1:1" x14ac:dyDescent="0.3">
      <c r="A21334" t="s">
        <v>0</v>
      </c>
    </row>
    <row r="21335" spans="1:1" x14ac:dyDescent="0.3">
      <c r="A21335" t="s">
        <v>0</v>
      </c>
    </row>
    <row r="21336" spans="1:1" x14ac:dyDescent="0.3">
      <c r="A21336" t="s">
        <v>0</v>
      </c>
    </row>
    <row r="21337" spans="1:1" x14ac:dyDescent="0.3">
      <c r="A21337" t="s">
        <v>0</v>
      </c>
    </row>
    <row r="21338" spans="1:1" x14ac:dyDescent="0.3">
      <c r="A21338" t="s">
        <v>0</v>
      </c>
    </row>
    <row r="21339" spans="1:1" x14ac:dyDescent="0.3">
      <c r="A21339" t="s">
        <v>0</v>
      </c>
    </row>
    <row r="21340" spans="1:1" x14ac:dyDescent="0.3">
      <c r="A21340" t="s">
        <v>0</v>
      </c>
    </row>
    <row r="21341" spans="1:1" x14ac:dyDescent="0.3">
      <c r="A21341" t="s">
        <v>0</v>
      </c>
    </row>
    <row r="21342" spans="1:1" x14ac:dyDescent="0.3">
      <c r="A21342" t="s">
        <v>0</v>
      </c>
    </row>
    <row r="21343" spans="1:1" x14ac:dyDescent="0.3">
      <c r="A21343" t="s">
        <v>0</v>
      </c>
    </row>
    <row r="21344" spans="1:1" x14ac:dyDescent="0.3">
      <c r="A21344" t="s">
        <v>0</v>
      </c>
    </row>
    <row r="21345" spans="1:1" x14ac:dyDescent="0.3">
      <c r="A21345" t="s">
        <v>0</v>
      </c>
    </row>
    <row r="21346" spans="1:1" x14ac:dyDescent="0.3">
      <c r="A21346" t="s">
        <v>0</v>
      </c>
    </row>
    <row r="21347" spans="1:1" x14ac:dyDescent="0.3">
      <c r="A21347" t="s">
        <v>0</v>
      </c>
    </row>
    <row r="21348" spans="1:1" x14ac:dyDescent="0.3">
      <c r="A21348" t="s">
        <v>0</v>
      </c>
    </row>
    <row r="21349" spans="1:1" x14ac:dyDescent="0.3">
      <c r="A21349" t="s">
        <v>0</v>
      </c>
    </row>
    <row r="21350" spans="1:1" x14ac:dyDescent="0.3">
      <c r="A21350" t="s">
        <v>0</v>
      </c>
    </row>
    <row r="21351" spans="1:1" x14ac:dyDescent="0.3">
      <c r="A21351" t="s">
        <v>0</v>
      </c>
    </row>
    <row r="21352" spans="1:1" x14ac:dyDescent="0.3">
      <c r="A21352" t="s">
        <v>0</v>
      </c>
    </row>
    <row r="21353" spans="1:1" x14ac:dyDescent="0.3">
      <c r="A21353" t="s">
        <v>0</v>
      </c>
    </row>
    <row r="21354" spans="1:1" x14ac:dyDescent="0.3">
      <c r="A21354" t="s">
        <v>0</v>
      </c>
    </row>
    <row r="21355" spans="1:1" x14ac:dyDescent="0.3">
      <c r="A21355" t="s">
        <v>0</v>
      </c>
    </row>
    <row r="21356" spans="1:1" x14ac:dyDescent="0.3">
      <c r="A21356" t="s">
        <v>0</v>
      </c>
    </row>
    <row r="21357" spans="1:1" x14ac:dyDescent="0.3">
      <c r="A21357" t="s">
        <v>0</v>
      </c>
    </row>
    <row r="21358" spans="1:1" x14ac:dyDescent="0.3">
      <c r="A21358" t="s">
        <v>0</v>
      </c>
    </row>
    <row r="21359" spans="1:1" x14ac:dyDescent="0.3">
      <c r="A21359" t="s">
        <v>0</v>
      </c>
    </row>
    <row r="21360" spans="1:1" x14ac:dyDescent="0.3">
      <c r="A21360" t="s">
        <v>0</v>
      </c>
    </row>
    <row r="21361" spans="1:1" x14ac:dyDescent="0.3">
      <c r="A21361" t="s">
        <v>0</v>
      </c>
    </row>
    <row r="21362" spans="1:1" x14ac:dyDescent="0.3">
      <c r="A21362" t="s">
        <v>0</v>
      </c>
    </row>
    <row r="21363" spans="1:1" x14ac:dyDescent="0.3">
      <c r="A21363" t="s">
        <v>0</v>
      </c>
    </row>
    <row r="21364" spans="1:1" x14ac:dyDescent="0.3">
      <c r="A21364" t="s">
        <v>0</v>
      </c>
    </row>
    <row r="21365" spans="1:1" x14ac:dyDescent="0.3">
      <c r="A21365" t="s">
        <v>0</v>
      </c>
    </row>
    <row r="21366" spans="1:1" x14ac:dyDescent="0.3">
      <c r="A21366" t="s">
        <v>0</v>
      </c>
    </row>
    <row r="21367" spans="1:1" x14ac:dyDescent="0.3">
      <c r="A21367" t="s">
        <v>0</v>
      </c>
    </row>
    <row r="21368" spans="1:1" x14ac:dyDescent="0.3">
      <c r="A21368" t="s">
        <v>0</v>
      </c>
    </row>
    <row r="21369" spans="1:1" x14ac:dyDescent="0.3">
      <c r="A21369" t="s">
        <v>0</v>
      </c>
    </row>
    <row r="21370" spans="1:1" x14ac:dyDescent="0.3">
      <c r="A21370" t="s">
        <v>0</v>
      </c>
    </row>
    <row r="21371" spans="1:1" x14ac:dyDescent="0.3">
      <c r="A21371" t="s">
        <v>0</v>
      </c>
    </row>
    <row r="21372" spans="1:1" x14ac:dyDescent="0.3">
      <c r="A21372" t="s">
        <v>0</v>
      </c>
    </row>
    <row r="21373" spans="1:1" x14ac:dyDescent="0.3">
      <c r="A21373" t="s">
        <v>0</v>
      </c>
    </row>
    <row r="21374" spans="1:1" x14ac:dyDescent="0.3">
      <c r="A21374" t="s">
        <v>0</v>
      </c>
    </row>
    <row r="21375" spans="1:1" x14ac:dyDescent="0.3">
      <c r="A21375" t="s">
        <v>0</v>
      </c>
    </row>
    <row r="21376" spans="1:1" x14ac:dyDescent="0.3">
      <c r="A21376" t="s">
        <v>0</v>
      </c>
    </row>
    <row r="21377" spans="1:1" x14ac:dyDescent="0.3">
      <c r="A21377" t="s">
        <v>0</v>
      </c>
    </row>
    <row r="21378" spans="1:1" x14ac:dyDescent="0.3">
      <c r="A21378" t="s">
        <v>0</v>
      </c>
    </row>
    <row r="21379" spans="1:1" x14ac:dyDescent="0.3">
      <c r="A21379" t="s">
        <v>0</v>
      </c>
    </row>
    <row r="21380" spans="1:1" x14ac:dyDescent="0.3">
      <c r="A21380" t="s">
        <v>0</v>
      </c>
    </row>
    <row r="21381" spans="1:1" x14ac:dyDescent="0.3">
      <c r="A21381" t="s">
        <v>0</v>
      </c>
    </row>
    <row r="21382" spans="1:1" x14ac:dyDescent="0.3">
      <c r="A21382" t="s">
        <v>0</v>
      </c>
    </row>
    <row r="21383" spans="1:1" x14ac:dyDescent="0.3">
      <c r="A21383" t="s">
        <v>0</v>
      </c>
    </row>
    <row r="21384" spans="1:1" x14ac:dyDescent="0.3">
      <c r="A21384" t="s">
        <v>0</v>
      </c>
    </row>
    <row r="21385" spans="1:1" x14ac:dyDescent="0.3">
      <c r="A21385" t="s">
        <v>0</v>
      </c>
    </row>
    <row r="21386" spans="1:1" x14ac:dyDescent="0.3">
      <c r="A21386" t="s">
        <v>0</v>
      </c>
    </row>
    <row r="21387" spans="1:1" x14ac:dyDescent="0.3">
      <c r="A21387" t="s">
        <v>0</v>
      </c>
    </row>
    <row r="21388" spans="1:1" x14ac:dyDescent="0.3">
      <c r="A21388" t="s">
        <v>0</v>
      </c>
    </row>
    <row r="21389" spans="1:1" x14ac:dyDescent="0.3">
      <c r="A21389" t="s">
        <v>0</v>
      </c>
    </row>
    <row r="21390" spans="1:1" x14ac:dyDescent="0.3">
      <c r="A21390" t="s">
        <v>0</v>
      </c>
    </row>
    <row r="21391" spans="1:1" x14ac:dyDescent="0.3">
      <c r="A21391" t="s">
        <v>0</v>
      </c>
    </row>
    <row r="21392" spans="1:1" x14ac:dyDescent="0.3">
      <c r="A21392" t="s">
        <v>0</v>
      </c>
    </row>
    <row r="21393" spans="1:1" x14ac:dyDescent="0.3">
      <c r="A21393" t="s">
        <v>0</v>
      </c>
    </row>
    <row r="21394" spans="1:1" x14ac:dyDescent="0.3">
      <c r="A21394" t="s">
        <v>0</v>
      </c>
    </row>
    <row r="21395" spans="1:1" x14ac:dyDescent="0.3">
      <c r="A21395" t="s">
        <v>0</v>
      </c>
    </row>
    <row r="21396" spans="1:1" x14ac:dyDescent="0.3">
      <c r="A21396" t="s">
        <v>0</v>
      </c>
    </row>
    <row r="21397" spans="1:1" x14ac:dyDescent="0.3">
      <c r="A21397" t="s">
        <v>0</v>
      </c>
    </row>
    <row r="21398" spans="1:1" x14ac:dyDescent="0.3">
      <c r="A21398" t="s">
        <v>0</v>
      </c>
    </row>
    <row r="21399" spans="1:1" x14ac:dyDescent="0.3">
      <c r="A21399" t="s">
        <v>0</v>
      </c>
    </row>
    <row r="21400" spans="1:1" x14ac:dyDescent="0.3">
      <c r="A21400" t="s">
        <v>0</v>
      </c>
    </row>
    <row r="21401" spans="1:1" x14ac:dyDescent="0.3">
      <c r="A21401" t="s">
        <v>0</v>
      </c>
    </row>
    <row r="21402" spans="1:1" x14ac:dyDescent="0.3">
      <c r="A21402" t="s">
        <v>0</v>
      </c>
    </row>
    <row r="21403" spans="1:1" x14ac:dyDescent="0.3">
      <c r="A21403" t="s">
        <v>0</v>
      </c>
    </row>
    <row r="21404" spans="1:1" x14ac:dyDescent="0.3">
      <c r="A21404" t="s">
        <v>0</v>
      </c>
    </row>
    <row r="21405" spans="1:1" x14ac:dyDescent="0.3">
      <c r="A21405" t="s">
        <v>0</v>
      </c>
    </row>
    <row r="21406" spans="1:1" x14ac:dyDescent="0.3">
      <c r="A21406" t="s">
        <v>0</v>
      </c>
    </row>
    <row r="21407" spans="1:1" x14ac:dyDescent="0.3">
      <c r="A21407" t="s">
        <v>0</v>
      </c>
    </row>
    <row r="21408" spans="1:1" x14ac:dyDescent="0.3">
      <c r="A21408" t="s">
        <v>0</v>
      </c>
    </row>
    <row r="21409" spans="1:1" x14ac:dyDescent="0.3">
      <c r="A21409" t="s">
        <v>0</v>
      </c>
    </row>
    <row r="21410" spans="1:1" x14ac:dyDescent="0.3">
      <c r="A21410" t="s">
        <v>0</v>
      </c>
    </row>
    <row r="21411" spans="1:1" x14ac:dyDescent="0.3">
      <c r="A21411" t="s">
        <v>0</v>
      </c>
    </row>
    <row r="21412" spans="1:1" x14ac:dyDescent="0.3">
      <c r="A21412" t="s">
        <v>0</v>
      </c>
    </row>
    <row r="21413" spans="1:1" x14ac:dyDescent="0.3">
      <c r="A21413" t="s">
        <v>0</v>
      </c>
    </row>
    <row r="21414" spans="1:1" x14ac:dyDescent="0.3">
      <c r="A21414" t="s">
        <v>0</v>
      </c>
    </row>
    <row r="21415" spans="1:1" x14ac:dyDescent="0.3">
      <c r="A21415" t="s">
        <v>0</v>
      </c>
    </row>
    <row r="21416" spans="1:1" x14ac:dyDescent="0.3">
      <c r="A21416" t="s">
        <v>0</v>
      </c>
    </row>
    <row r="21417" spans="1:1" x14ac:dyDescent="0.3">
      <c r="A21417" t="s">
        <v>0</v>
      </c>
    </row>
    <row r="21418" spans="1:1" x14ac:dyDescent="0.3">
      <c r="A21418" t="s">
        <v>0</v>
      </c>
    </row>
    <row r="21419" spans="1:1" x14ac:dyDescent="0.3">
      <c r="A21419" t="s">
        <v>0</v>
      </c>
    </row>
    <row r="21420" spans="1:1" x14ac:dyDescent="0.3">
      <c r="A21420" t="s">
        <v>0</v>
      </c>
    </row>
    <row r="21421" spans="1:1" x14ac:dyDescent="0.3">
      <c r="A21421" t="s">
        <v>0</v>
      </c>
    </row>
    <row r="21422" spans="1:1" x14ac:dyDescent="0.3">
      <c r="A21422" t="s">
        <v>0</v>
      </c>
    </row>
    <row r="21423" spans="1:1" x14ac:dyDescent="0.3">
      <c r="A21423" t="s">
        <v>0</v>
      </c>
    </row>
    <row r="21424" spans="1:1" x14ac:dyDescent="0.3">
      <c r="A21424" t="s">
        <v>0</v>
      </c>
    </row>
    <row r="21425" spans="1:1" x14ac:dyDescent="0.3">
      <c r="A21425" t="s">
        <v>0</v>
      </c>
    </row>
    <row r="21426" spans="1:1" x14ac:dyDescent="0.3">
      <c r="A21426" t="s">
        <v>0</v>
      </c>
    </row>
    <row r="21427" spans="1:1" x14ac:dyDescent="0.3">
      <c r="A21427" t="s">
        <v>0</v>
      </c>
    </row>
    <row r="21428" spans="1:1" x14ac:dyDescent="0.3">
      <c r="A21428" t="s">
        <v>0</v>
      </c>
    </row>
    <row r="21429" spans="1:1" x14ac:dyDescent="0.3">
      <c r="A21429" t="s">
        <v>0</v>
      </c>
    </row>
    <row r="21430" spans="1:1" x14ac:dyDescent="0.3">
      <c r="A21430" t="s">
        <v>0</v>
      </c>
    </row>
    <row r="21431" spans="1:1" x14ac:dyDescent="0.3">
      <c r="A21431" t="s">
        <v>0</v>
      </c>
    </row>
    <row r="21432" spans="1:1" x14ac:dyDescent="0.3">
      <c r="A21432" t="s">
        <v>0</v>
      </c>
    </row>
    <row r="21433" spans="1:1" x14ac:dyDescent="0.3">
      <c r="A21433" t="s">
        <v>0</v>
      </c>
    </row>
    <row r="21434" spans="1:1" x14ac:dyDescent="0.3">
      <c r="A21434" t="s">
        <v>0</v>
      </c>
    </row>
    <row r="21435" spans="1:1" x14ac:dyDescent="0.3">
      <c r="A21435" t="s">
        <v>0</v>
      </c>
    </row>
    <row r="21436" spans="1:1" x14ac:dyDescent="0.3">
      <c r="A21436" t="s">
        <v>0</v>
      </c>
    </row>
    <row r="21437" spans="1:1" x14ac:dyDescent="0.3">
      <c r="A21437" t="s">
        <v>0</v>
      </c>
    </row>
    <row r="21438" spans="1:1" x14ac:dyDescent="0.3">
      <c r="A21438" t="s">
        <v>0</v>
      </c>
    </row>
    <row r="21439" spans="1:1" x14ac:dyDescent="0.3">
      <c r="A21439" t="s">
        <v>0</v>
      </c>
    </row>
    <row r="21440" spans="1:1" x14ac:dyDescent="0.3">
      <c r="A21440" t="s">
        <v>0</v>
      </c>
    </row>
    <row r="21441" spans="1:1" x14ac:dyDescent="0.3">
      <c r="A21441" t="s">
        <v>0</v>
      </c>
    </row>
    <row r="21442" spans="1:1" x14ac:dyDescent="0.3">
      <c r="A21442" t="s">
        <v>0</v>
      </c>
    </row>
    <row r="21443" spans="1:1" x14ac:dyDescent="0.3">
      <c r="A21443" t="s">
        <v>0</v>
      </c>
    </row>
    <row r="21444" spans="1:1" x14ac:dyDescent="0.3">
      <c r="A21444" t="s">
        <v>0</v>
      </c>
    </row>
    <row r="21445" spans="1:1" x14ac:dyDescent="0.3">
      <c r="A21445" t="s">
        <v>0</v>
      </c>
    </row>
    <row r="21446" spans="1:1" x14ac:dyDescent="0.3">
      <c r="A21446" t="s">
        <v>0</v>
      </c>
    </row>
    <row r="21447" spans="1:1" x14ac:dyDescent="0.3">
      <c r="A21447" t="s">
        <v>0</v>
      </c>
    </row>
    <row r="21448" spans="1:1" x14ac:dyDescent="0.3">
      <c r="A21448" t="s">
        <v>0</v>
      </c>
    </row>
    <row r="21449" spans="1:1" x14ac:dyDescent="0.3">
      <c r="A21449" t="s">
        <v>0</v>
      </c>
    </row>
    <row r="21450" spans="1:1" x14ac:dyDescent="0.3">
      <c r="A21450" t="s">
        <v>0</v>
      </c>
    </row>
    <row r="21451" spans="1:1" x14ac:dyDescent="0.3">
      <c r="A21451" t="s">
        <v>0</v>
      </c>
    </row>
    <row r="21452" spans="1:1" x14ac:dyDescent="0.3">
      <c r="A21452" t="s">
        <v>0</v>
      </c>
    </row>
    <row r="21453" spans="1:1" x14ac:dyDescent="0.3">
      <c r="A21453" t="s">
        <v>0</v>
      </c>
    </row>
    <row r="21454" spans="1:1" x14ac:dyDescent="0.3">
      <c r="A21454" t="s">
        <v>0</v>
      </c>
    </row>
    <row r="21455" spans="1:1" x14ac:dyDescent="0.3">
      <c r="A21455" t="s">
        <v>0</v>
      </c>
    </row>
    <row r="21456" spans="1:1" x14ac:dyDescent="0.3">
      <c r="A21456" t="s">
        <v>0</v>
      </c>
    </row>
    <row r="21457" spans="1:1" x14ac:dyDescent="0.3">
      <c r="A21457" t="s">
        <v>0</v>
      </c>
    </row>
    <row r="21458" spans="1:1" x14ac:dyDescent="0.3">
      <c r="A21458" t="s">
        <v>0</v>
      </c>
    </row>
    <row r="21459" spans="1:1" x14ac:dyDescent="0.3">
      <c r="A21459" t="s">
        <v>0</v>
      </c>
    </row>
    <row r="21460" spans="1:1" x14ac:dyDescent="0.3">
      <c r="A21460" t="s">
        <v>0</v>
      </c>
    </row>
    <row r="21461" spans="1:1" x14ac:dyDescent="0.3">
      <c r="A21461" t="s">
        <v>0</v>
      </c>
    </row>
    <row r="21462" spans="1:1" x14ac:dyDescent="0.3">
      <c r="A21462" t="s">
        <v>0</v>
      </c>
    </row>
    <row r="21463" spans="1:1" x14ac:dyDescent="0.3">
      <c r="A21463" t="s">
        <v>0</v>
      </c>
    </row>
    <row r="21464" spans="1:1" x14ac:dyDescent="0.3">
      <c r="A21464" t="s">
        <v>0</v>
      </c>
    </row>
    <row r="21465" spans="1:1" x14ac:dyDescent="0.3">
      <c r="A21465" t="s">
        <v>0</v>
      </c>
    </row>
    <row r="21466" spans="1:1" x14ac:dyDescent="0.3">
      <c r="A21466" t="s">
        <v>0</v>
      </c>
    </row>
    <row r="21467" spans="1:1" x14ac:dyDescent="0.3">
      <c r="A21467" t="s">
        <v>0</v>
      </c>
    </row>
    <row r="21468" spans="1:1" x14ac:dyDescent="0.3">
      <c r="A21468" t="s">
        <v>0</v>
      </c>
    </row>
    <row r="21469" spans="1:1" x14ac:dyDescent="0.3">
      <c r="A21469" t="s">
        <v>0</v>
      </c>
    </row>
    <row r="21470" spans="1:1" x14ac:dyDescent="0.3">
      <c r="A21470" t="s">
        <v>0</v>
      </c>
    </row>
    <row r="21471" spans="1:1" x14ac:dyDescent="0.3">
      <c r="A21471" t="s">
        <v>0</v>
      </c>
    </row>
    <row r="21472" spans="1:1" x14ac:dyDescent="0.3">
      <c r="A21472" t="s">
        <v>0</v>
      </c>
    </row>
    <row r="21473" spans="1:1" x14ac:dyDescent="0.3">
      <c r="A21473" t="s">
        <v>0</v>
      </c>
    </row>
    <row r="21474" spans="1:1" x14ac:dyDescent="0.3">
      <c r="A21474" t="s">
        <v>0</v>
      </c>
    </row>
    <row r="21475" spans="1:1" x14ac:dyDescent="0.3">
      <c r="A21475" t="s">
        <v>0</v>
      </c>
    </row>
    <row r="21476" spans="1:1" x14ac:dyDescent="0.3">
      <c r="A21476" t="s">
        <v>0</v>
      </c>
    </row>
    <row r="21477" spans="1:1" x14ac:dyDescent="0.3">
      <c r="A21477" t="s">
        <v>0</v>
      </c>
    </row>
    <row r="21478" spans="1:1" x14ac:dyDescent="0.3">
      <c r="A21478" t="s">
        <v>0</v>
      </c>
    </row>
    <row r="21479" spans="1:1" x14ac:dyDescent="0.3">
      <c r="A21479" t="s">
        <v>0</v>
      </c>
    </row>
    <row r="21480" spans="1:1" x14ac:dyDescent="0.3">
      <c r="A21480" t="s">
        <v>0</v>
      </c>
    </row>
    <row r="21481" spans="1:1" x14ac:dyDescent="0.3">
      <c r="A21481" t="s">
        <v>0</v>
      </c>
    </row>
    <row r="21482" spans="1:1" x14ac:dyDescent="0.3">
      <c r="A21482" t="s">
        <v>0</v>
      </c>
    </row>
    <row r="21483" spans="1:1" x14ac:dyDescent="0.3">
      <c r="A21483" t="s">
        <v>0</v>
      </c>
    </row>
    <row r="21484" spans="1:1" x14ac:dyDescent="0.3">
      <c r="A21484" t="s">
        <v>0</v>
      </c>
    </row>
    <row r="21485" spans="1:1" x14ac:dyDescent="0.3">
      <c r="A21485" t="s">
        <v>0</v>
      </c>
    </row>
    <row r="21486" spans="1:1" x14ac:dyDescent="0.3">
      <c r="A21486" t="s">
        <v>0</v>
      </c>
    </row>
    <row r="21487" spans="1:1" x14ac:dyDescent="0.3">
      <c r="A21487" t="s">
        <v>0</v>
      </c>
    </row>
    <row r="21488" spans="1:1" x14ac:dyDescent="0.3">
      <c r="A21488" t="s">
        <v>0</v>
      </c>
    </row>
    <row r="21489" spans="1:1" x14ac:dyDescent="0.3">
      <c r="A21489" t="s">
        <v>0</v>
      </c>
    </row>
    <row r="21490" spans="1:1" x14ac:dyDescent="0.3">
      <c r="A21490" t="s">
        <v>0</v>
      </c>
    </row>
    <row r="21491" spans="1:1" x14ac:dyDescent="0.3">
      <c r="A21491" t="s">
        <v>0</v>
      </c>
    </row>
    <row r="21492" spans="1:1" x14ac:dyDescent="0.3">
      <c r="A21492" t="s">
        <v>0</v>
      </c>
    </row>
    <row r="21493" spans="1:1" x14ac:dyDescent="0.3">
      <c r="A21493" t="s">
        <v>0</v>
      </c>
    </row>
    <row r="21494" spans="1:1" x14ac:dyDescent="0.3">
      <c r="A21494" t="s">
        <v>0</v>
      </c>
    </row>
    <row r="21495" spans="1:1" x14ac:dyDescent="0.3">
      <c r="A21495" t="s">
        <v>0</v>
      </c>
    </row>
    <row r="21496" spans="1:1" x14ac:dyDescent="0.3">
      <c r="A21496" t="s">
        <v>0</v>
      </c>
    </row>
    <row r="21497" spans="1:1" x14ac:dyDescent="0.3">
      <c r="A21497" t="s">
        <v>0</v>
      </c>
    </row>
    <row r="21498" spans="1:1" x14ac:dyDescent="0.3">
      <c r="A21498" t="s">
        <v>0</v>
      </c>
    </row>
    <row r="21499" spans="1:1" x14ac:dyDescent="0.3">
      <c r="A21499" t="s">
        <v>0</v>
      </c>
    </row>
    <row r="21500" spans="1:1" x14ac:dyDescent="0.3">
      <c r="A21500" t="s">
        <v>0</v>
      </c>
    </row>
    <row r="21501" spans="1:1" x14ac:dyDescent="0.3">
      <c r="A21501" t="s">
        <v>0</v>
      </c>
    </row>
    <row r="21502" spans="1:1" x14ac:dyDescent="0.3">
      <c r="A21502" t="s">
        <v>0</v>
      </c>
    </row>
    <row r="21503" spans="1:1" x14ac:dyDescent="0.3">
      <c r="A21503" t="s">
        <v>0</v>
      </c>
    </row>
    <row r="21504" spans="1:1" x14ac:dyDescent="0.3">
      <c r="A21504" t="s">
        <v>0</v>
      </c>
    </row>
    <row r="21505" spans="1:1" x14ac:dyDescent="0.3">
      <c r="A21505" t="s">
        <v>0</v>
      </c>
    </row>
    <row r="21506" spans="1:1" x14ac:dyDescent="0.3">
      <c r="A21506" t="s">
        <v>0</v>
      </c>
    </row>
    <row r="21507" spans="1:1" x14ac:dyDescent="0.3">
      <c r="A21507" t="s">
        <v>0</v>
      </c>
    </row>
    <row r="21508" spans="1:1" x14ac:dyDescent="0.3">
      <c r="A21508" t="s">
        <v>0</v>
      </c>
    </row>
    <row r="21509" spans="1:1" x14ac:dyDescent="0.3">
      <c r="A21509" t="s">
        <v>0</v>
      </c>
    </row>
    <row r="21510" spans="1:1" x14ac:dyDescent="0.3">
      <c r="A21510" t="s">
        <v>0</v>
      </c>
    </row>
    <row r="21511" spans="1:1" x14ac:dyDescent="0.3">
      <c r="A21511" t="s">
        <v>0</v>
      </c>
    </row>
    <row r="21512" spans="1:1" x14ac:dyDescent="0.3">
      <c r="A21512" t="s">
        <v>0</v>
      </c>
    </row>
    <row r="21513" spans="1:1" x14ac:dyDescent="0.3">
      <c r="A21513" t="s">
        <v>0</v>
      </c>
    </row>
    <row r="21514" spans="1:1" x14ac:dyDescent="0.3">
      <c r="A21514" t="s">
        <v>0</v>
      </c>
    </row>
    <row r="21515" spans="1:1" x14ac:dyDescent="0.3">
      <c r="A21515" t="s">
        <v>0</v>
      </c>
    </row>
    <row r="21516" spans="1:1" x14ac:dyDescent="0.3">
      <c r="A21516" t="s">
        <v>0</v>
      </c>
    </row>
    <row r="21517" spans="1:1" x14ac:dyDescent="0.3">
      <c r="A21517" t="s">
        <v>0</v>
      </c>
    </row>
    <row r="21518" spans="1:1" x14ac:dyDescent="0.3">
      <c r="A21518" t="s">
        <v>0</v>
      </c>
    </row>
    <row r="21519" spans="1:1" x14ac:dyDescent="0.3">
      <c r="A21519" t="s">
        <v>0</v>
      </c>
    </row>
    <row r="21520" spans="1:1" x14ac:dyDescent="0.3">
      <c r="A21520" t="s">
        <v>0</v>
      </c>
    </row>
    <row r="21521" spans="1:1" x14ac:dyDescent="0.3">
      <c r="A21521" t="s">
        <v>0</v>
      </c>
    </row>
    <row r="21522" spans="1:1" x14ac:dyDescent="0.3">
      <c r="A21522" t="s">
        <v>0</v>
      </c>
    </row>
    <row r="21523" spans="1:1" x14ac:dyDescent="0.3">
      <c r="A21523" t="s">
        <v>0</v>
      </c>
    </row>
    <row r="21524" spans="1:1" x14ac:dyDescent="0.3">
      <c r="A21524" t="s">
        <v>0</v>
      </c>
    </row>
    <row r="21525" spans="1:1" x14ac:dyDescent="0.3">
      <c r="A21525" t="s">
        <v>0</v>
      </c>
    </row>
    <row r="21526" spans="1:1" x14ac:dyDescent="0.3">
      <c r="A21526" t="s">
        <v>0</v>
      </c>
    </row>
    <row r="21527" spans="1:1" x14ac:dyDescent="0.3">
      <c r="A21527" t="s">
        <v>0</v>
      </c>
    </row>
    <row r="21528" spans="1:1" x14ac:dyDescent="0.3">
      <c r="A21528" t="s">
        <v>0</v>
      </c>
    </row>
    <row r="21529" spans="1:1" x14ac:dyDescent="0.3">
      <c r="A21529" t="s">
        <v>0</v>
      </c>
    </row>
    <row r="21530" spans="1:1" x14ac:dyDescent="0.3">
      <c r="A21530" t="s">
        <v>0</v>
      </c>
    </row>
    <row r="21531" spans="1:1" x14ac:dyDescent="0.3">
      <c r="A21531" t="s">
        <v>0</v>
      </c>
    </row>
    <row r="21532" spans="1:1" x14ac:dyDescent="0.3">
      <c r="A21532" t="s">
        <v>0</v>
      </c>
    </row>
    <row r="21533" spans="1:1" x14ac:dyDescent="0.3">
      <c r="A21533" t="s">
        <v>0</v>
      </c>
    </row>
    <row r="21534" spans="1:1" x14ac:dyDescent="0.3">
      <c r="A21534" t="s">
        <v>0</v>
      </c>
    </row>
    <row r="21535" spans="1:1" x14ac:dyDescent="0.3">
      <c r="A21535" t="s">
        <v>0</v>
      </c>
    </row>
    <row r="21536" spans="1:1" x14ac:dyDescent="0.3">
      <c r="A21536" t="s">
        <v>0</v>
      </c>
    </row>
    <row r="21537" spans="1:1" x14ac:dyDescent="0.3">
      <c r="A21537" t="s">
        <v>0</v>
      </c>
    </row>
    <row r="21538" spans="1:1" x14ac:dyDescent="0.3">
      <c r="A21538" t="s">
        <v>0</v>
      </c>
    </row>
    <row r="21539" spans="1:1" x14ac:dyDescent="0.3">
      <c r="A21539" t="s">
        <v>0</v>
      </c>
    </row>
    <row r="21540" spans="1:1" x14ac:dyDescent="0.3">
      <c r="A21540" t="s">
        <v>0</v>
      </c>
    </row>
    <row r="21541" spans="1:1" x14ac:dyDescent="0.3">
      <c r="A21541" t="s">
        <v>0</v>
      </c>
    </row>
    <row r="21542" spans="1:1" x14ac:dyDescent="0.3">
      <c r="A21542" t="s">
        <v>0</v>
      </c>
    </row>
    <row r="21543" spans="1:1" x14ac:dyDescent="0.3">
      <c r="A21543" t="s">
        <v>0</v>
      </c>
    </row>
    <row r="21544" spans="1:1" x14ac:dyDescent="0.3">
      <c r="A21544" t="s">
        <v>0</v>
      </c>
    </row>
    <row r="21545" spans="1:1" x14ac:dyDescent="0.3">
      <c r="A21545" t="s">
        <v>0</v>
      </c>
    </row>
    <row r="21546" spans="1:1" x14ac:dyDescent="0.3">
      <c r="A21546" t="s">
        <v>0</v>
      </c>
    </row>
    <row r="21547" spans="1:1" x14ac:dyDescent="0.3">
      <c r="A21547" t="s">
        <v>0</v>
      </c>
    </row>
    <row r="21548" spans="1:1" x14ac:dyDescent="0.3">
      <c r="A21548" t="s">
        <v>0</v>
      </c>
    </row>
    <row r="21549" spans="1:1" x14ac:dyDescent="0.3">
      <c r="A21549" t="s">
        <v>0</v>
      </c>
    </row>
    <row r="21550" spans="1:1" x14ac:dyDescent="0.3">
      <c r="A21550" t="s">
        <v>0</v>
      </c>
    </row>
    <row r="21551" spans="1:1" x14ac:dyDescent="0.3">
      <c r="A21551" t="s">
        <v>0</v>
      </c>
    </row>
    <row r="21552" spans="1:1" x14ac:dyDescent="0.3">
      <c r="A21552" t="s">
        <v>0</v>
      </c>
    </row>
    <row r="21553" spans="1:1" x14ac:dyDescent="0.3">
      <c r="A21553" t="s">
        <v>0</v>
      </c>
    </row>
    <row r="21554" spans="1:1" x14ac:dyDescent="0.3">
      <c r="A21554" t="s">
        <v>0</v>
      </c>
    </row>
    <row r="21555" spans="1:1" x14ac:dyDescent="0.3">
      <c r="A21555" t="s">
        <v>0</v>
      </c>
    </row>
    <row r="21556" spans="1:1" x14ac:dyDescent="0.3">
      <c r="A21556" t="s">
        <v>0</v>
      </c>
    </row>
    <row r="21557" spans="1:1" x14ac:dyDescent="0.3">
      <c r="A21557" t="s">
        <v>0</v>
      </c>
    </row>
    <row r="21558" spans="1:1" x14ac:dyDescent="0.3">
      <c r="A21558" t="s">
        <v>0</v>
      </c>
    </row>
    <row r="21559" spans="1:1" x14ac:dyDescent="0.3">
      <c r="A21559" t="s">
        <v>0</v>
      </c>
    </row>
    <row r="21560" spans="1:1" x14ac:dyDescent="0.3">
      <c r="A21560" t="s">
        <v>0</v>
      </c>
    </row>
    <row r="21561" spans="1:1" x14ac:dyDescent="0.3">
      <c r="A21561" t="s">
        <v>0</v>
      </c>
    </row>
    <row r="21562" spans="1:1" x14ac:dyDescent="0.3">
      <c r="A21562" t="s">
        <v>0</v>
      </c>
    </row>
    <row r="21563" spans="1:1" x14ac:dyDescent="0.3">
      <c r="A21563" t="s">
        <v>0</v>
      </c>
    </row>
    <row r="21564" spans="1:1" x14ac:dyDescent="0.3">
      <c r="A21564" t="s">
        <v>0</v>
      </c>
    </row>
    <row r="21565" spans="1:1" x14ac:dyDescent="0.3">
      <c r="A21565" t="s">
        <v>0</v>
      </c>
    </row>
    <row r="21566" spans="1:1" x14ac:dyDescent="0.3">
      <c r="A21566" t="s">
        <v>0</v>
      </c>
    </row>
    <row r="21567" spans="1:1" x14ac:dyDescent="0.3">
      <c r="A21567" t="s">
        <v>0</v>
      </c>
    </row>
    <row r="21568" spans="1:1" x14ac:dyDescent="0.3">
      <c r="A21568" t="s">
        <v>0</v>
      </c>
    </row>
    <row r="21569" spans="1:1" x14ac:dyDescent="0.3">
      <c r="A21569" t="s">
        <v>0</v>
      </c>
    </row>
    <row r="21570" spans="1:1" x14ac:dyDescent="0.3">
      <c r="A21570" t="s">
        <v>0</v>
      </c>
    </row>
    <row r="21571" spans="1:1" x14ac:dyDescent="0.3">
      <c r="A21571" t="s">
        <v>0</v>
      </c>
    </row>
    <row r="21572" spans="1:1" x14ac:dyDescent="0.3">
      <c r="A21572" t="s">
        <v>0</v>
      </c>
    </row>
    <row r="21573" spans="1:1" x14ac:dyDescent="0.3">
      <c r="A21573" t="s">
        <v>0</v>
      </c>
    </row>
    <row r="21574" spans="1:1" x14ac:dyDescent="0.3">
      <c r="A21574" t="s">
        <v>0</v>
      </c>
    </row>
    <row r="21575" spans="1:1" x14ac:dyDescent="0.3">
      <c r="A21575" t="s">
        <v>0</v>
      </c>
    </row>
    <row r="21576" spans="1:1" x14ac:dyDescent="0.3">
      <c r="A21576" t="s">
        <v>0</v>
      </c>
    </row>
    <row r="21577" spans="1:1" x14ac:dyDescent="0.3">
      <c r="A21577" t="s">
        <v>0</v>
      </c>
    </row>
    <row r="21578" spans="1:1" x14ac:dyDescent="0.3">
      <c r="A21578" t="s">
        <v>0</v>
      </c>
    </row>
    <row r="21579" spans="1:1" x14ac:dyDescent="0.3">
      <c r="A21579" t="s">
        <v>0</v>
      </c>
    </row>
    <row r="21580" spans="1:1" x14ac:dyDescent="0.3">
      <c r="A21580" t="s">
        <v>0</v>
      </c>
    </row>
    <row r="21581" spans="1:1" x14ac:dyDescent="0.3">
      <c r="A21581" t="s">
        <v>0</v>
      </c>
    </row>
    <row r="21582" spans="1:1" x14ac:dyDescent="0.3">
      <c r="A21582" t="s">
        <v>0</v>
      </c>
    </row>
    <row r="21583" spans="1:1" x14ac:dyDescent="0.3">
      <c r="A21583" t="s">
        <v>0</v>
      </c>
    </row>
    <row r="21584" spans="1:1" x14ac:dyDescent="0.3">
      <c r="A21584" t="s">
        <v>0</v>
      </c>
    </row>
    <row r="21585" spans="1:1" x14ac:dyDescent="0.3">
      <c r="A21585" t="s">
        <v>0</v>
      </c>
    </row>
    <row r="21586" spans="1:1" x14ac:dyDescent="0.3">
      <c r="A21586" t="s">
        <v>0</v>
      </c>
    </row>
    <row r="21587" spans="1:1" x14ac:dyDescent="0.3">
      <c r="A21587" t="s">
        <v>0</v>
      </c>
    </row>
    <row r="21588" spans="1:1" x14ac:dyDescent="0.3">
      <c r="A21588" t="s">
        <v>0</v>
      </c>
    </row>
    <row r="21589" spans="1:1" x14ac:dyDescent="0.3">
      <c r="A21589" t="s">
        <v>0</v>
      </c>
    </row>
    <row r="21590" spans="1:1" x14ac:dyDescent="0.3">
      <c r="A21590" t="s">
        <v>0</v>
      </c>
    </row>
    <row r="21591" spans="1:1" x14ac:dyDescent="0.3">
      <c r="A21591" t="s">
        <v>0</v>
      </c>
    </row>
    <row r="21592" spans="1:1" x14ac:dyDescent="0.3">
      <c r="A21592" t="s">
        <v>0</v>
      </c>
    </row>
    <row r="21593" spans="1:1" x14ac:dyDescent="0.3">
      <c r="A21593" t="s">
        <v>0</v>
      </c>
    </row>
    <row r="21594" spans="1:1" x14ac:dyDescent="0.3">
      <c r="A21594" t="s">
        <v>0</v>
      </c>
    </row>
    <row r="21595" spans="1:1" x14ac:dyDescent="0.3">
      <c r="A21595" t="s">
        <v>0</v>
      </c>
    </row>
    <row r="21596" spans="1:1" x14ac:dyDescent="0.3">
      <c r="A21596" t="s">
        <v>0</v>
      </c>
    </row>
    <row r="21597" spans="1:1" x14ac:dyDescent="0.3">
      <c r="A21597" t="s">
        <v>0</v>
      </c>
    </row>
    <row r="21598" spans="1:1" x14ac:dyDescent="0.3">
      <c r="A21598" t="s">
        <v>0</v>
      </c>
    </row>
    <row r="21599" spans="1:1" x14ac:dyDescent="0.3">
      <c r="A21599" t="s">
        <v>0</v>
      </c>
    </row>
    <row r="21600" spans="1:1" x14ac:dyDescent="0.3">
      <c r="A21600" t="s">
        <v>0</v>
      </c>
    </row>
    <row r="21601" spans="1:1" x14ac:dyDescent="0.3">
      <c r="A21601" t="s">
        <v>0</v>
      </c>
    </row>
    <row r="21602" spans="1:1" x14ac:dyDescent="0.3">
      <c r="A21602" t="s">
        <v>0</v>
      </c>
    </row>
    <row r="21603" spans="1:1" x14ac:dyDescent="0.3">
      <c r="A21603" t="s">
        <v>0</v>
      </c>
    </row>
    <row r="21604" spans="1:1" x14ac:dyDescent="0.3">
      <c r="A21604" t="s">
        <v>0</v>
      </c>
    </row>
    <row r="21605" spans="1:1" x14ac:dyDescent="0.3">
      <c r="A21605" t="s">
        <v>0</v>
      </c>
    </row>
    <row r="21606" spans="1:1" x14ac:dyDescent="0.3">
      <c r="A21606" t="s">
        <v>0</v>
      </c>
    </row>
    <row r="21607" spans="1:1" x14ac:dyDescent="0.3">
      <c r="A21607" t="s">
        <v>0</v>
      </c>
    </row>
    <row r="21608" spans="1:1" x14ac:dyDescent="0.3">
      <c r="A21608" t="s">
        <v>0</v>
      </c>
    </row>
    <row r="21609" spans="1:1" x14ac:dyDescent="0.3">
      <c r="A21609" t="s">
        <v>0</v>
      </c>
    </row>
    <row r="21610" spans="1:1" x14ac:dyDescent="0.3">
      <c r="A21610" t="s">
        <v>0</v>
      </c>
    </row>
    <row r="21611" spans="1:1" x14ac:dyDescent="0.3">
      <c r="A21611" t="s">
        <v>0</v>
      </c>
    </row>
    <row r="21612" spans="1:1" x14ac:dyDescent="0.3">
      <c r="A21612" t="s">
        <v>0</v>
      </c>
    </row>
    <row r="21613" spans="1:1" x14ac:dyDescent="0.3">
      <c r="A21613" t="s">
        <v>0</v>
      </c>
    </row>
    <row r="21614" spans="1:1" x14ac:dyDescent="0.3">
      <c r="A21614" t="s">
        <v>0</v>
      </c>
    </row>
    <row r="21615" spans="1:1" x14ac:dyDescent="0.3">
      <c r="A21615" t="s">
        <v>0</v>
      </c>
    </row>
    <row r="21616" spans="1:1" x14ac:dyDescent="0.3">
      <c r="A21616" t="s">
        <v>0</v>
      </c>
    </row>
    <row r="21617" spans="1:1" x14ac:dyDescent="0.3">
      <c r="A21617" t="s">
        <v>0</v>
      </c>
    </row>
    <row r="21618" spans="1:1" x14ac:dyDescent="0.3">
      <c r="A21618" t="s">
        <v>0</v>
      </c>
    </row>
    <row r="21619" spans="1:1" x14ac:dyDescent="0.3">
      <c r="A21619" t="s">
        <v>0</v>
      </c>
    </row>
    <row r="21620" spans="1:1" x14ac:dyDescent="0.3">
      <c r="A21620" t="s">
        <v>0</v>
      </c>
    </row>
    <row r="21621" spans="1:1" x14ac:dyDescent="0.3">
      <c r="A21621" t="s">
        <v>0</v>
      </c>
    </row>
    <row r="21622" spans="1:1" x14ac:dyDescent="0.3">
      <c r="A21622" t="s">
        <v>0</v>
      </c>
    </row>
    <row r="21623" spans="1:1" x14ac:dyDescent="0.3">
      <c r="A21623" t="s">
        <v>0</v>
      </c>
    </row>
    <row r="21624" spans="1:1" x14ac:dyDescent="0.3">
      <c r="A21624" t="s">
        <v>0</v>
      </c>
    </row>
    <row r="21625" spans="1:1" x14ac:dyDescent="0.3">
      <c r="A21625" t="s">
        <v>0</v>
      </c>
    </row>
    <row r="21626" spans="1:1" x14ac:dyDescent="0.3">
      <c r="A21626" t="s">
        <v>0</v>
      </c>
    </row>
    <row r="21627" spans="1:1" x14ac:dyDescent="0.3">
      <c r="A21627" t="s">
        <v>0</v>
      </c>
    </row>
    <row r="21628" spans="1:1" x14ac:dyDescent="0.3">
      <c r="A21628" t="s">
        <v>0</v>
      </c>
    </row>
    <row r="21629" spans="1:1" x14ac:dyDescent="0.3">
      <c r="A21629" t="s">
        <v>0</v>
      </c>
    </row>
    <row r="21630" spans="1:1" x14ac:dyDescent="0.3">
      <c r="A21630" t="s">
        <v>0</v>
      </c>
    </row>
    <row r="21631" spans="1:1" x14ac:dyDescent="0.3">
      <c r="A21631" t="s">
        <v>0</v>
      </c>
    </row>
    <row r="21632" spans="1:1" x14ac:dyDescent="0.3">
      <c r="A21632" t="s">
        <v>0</v>
      </c>
    </row>
    <row r="21633" spans="1:1" x14ac:dyDescent="0.3">
      <c r="A21633" t="s">
        <v>0</v>
      </c>
    </row>
    <row r="21634" spans="1:1" x14ac:dyDescent="0.3">
      <c r="A21634" t="s">
        <v>0</v>
      </c>
    </row>
    <row r="21635" spans="1:1" x14ac:dyDescent="0.3">
      <c r="A21635" t="s">
        <v>0</v>
      </c>
    </row>
    <row r="21636" spans="1:1" x14ac:dyDescent="0.3">
      <c r="A21636" t="s">
        <v>0</v>
      </c>
    </row>
    <row r="21637" spans="1:1" x14ac:dyDescent="0.3">
      <c r="A21637" t="s">
        <v>0</v>
      </c>
    </row>
    <row r="21638" spans="1:1" x14ac:dyDescent="0.3">
      <c r="A21638" t="s">
        <v>0</v>
      </c>
    </row>
    <row r="21639" spans="1:1" x14ac:dyDescent="0.3">
      <c r="A21639" t="s">
        <v>0</v>
      </c>
    </row>
    <row r="21640" spans="1:1" x14ac:dyDescent="0.3">
      <c r="A21640" t="s">
        <v>0</v>
      </c>
    </row>
    <row r="21641" spans="1:1" x14ac:dyDescent="0.3">
      <c r="A21641" t="s">
        <v>0</v>
      </c>
    </row>
    <row r="21642" spans="1:1" x14ac:dyDescent="0.3">
      <c r="A21642" t="s">
        <v>0</v>
      </c>
    </row>
    <row r="21643" spans="1:1" x14ac:dyDescent="0.3">
      <c r="A21643" t="s">
        <v>0</v>
      </c>
    </row>
    <row r="21644" spans="1:1" x14ac:dyDescent="0.3">
      <c r="A21644" t="s">
        <v>0</v>
      </c>
    </row>
    <row r="21645" spans="1:1" x14ac:dyDescent="0.3">
      <c r="A21645" t="s">
        <v>0</v>
      </c>
    </row>
    <row r="21646" spans="1:1" x14ac:dyDescent="0.3">
      <c r="A21646" t="s">
        <v>0</v>
      </c>
    </row>
    <row r="21647" spans="1:1" x14ac:dyDescent="0.3">
      <c r="A21647" t="s">
        <v>0</v>
      </c>
    </row>
    <row r="21648" spans="1:1" x14ac:dyDescent="0.3">
      <c r="A21648" t="s">
        <v>0</v>
      </c>
    </row>
    <row r="21649" spans="1:1" x14ac:dyDescent="0.3">
      <c r="A21649" t="s">
        <v>0</v>
      </c>
    </row>
    <row r="21650" spans="1:1" x14ac:dyDescent="0.3">
      <c r="A21650" t="s">
        <v>0</v>
      </c>
    </row>
    <row r="21651" spans="1:1" x14ac:dyDescent="0.3">
      <c r="A21651" t="s">
        <v>0</v>
      </c>
    </row>
    <row r="21652" spans="1:1" x14ac:dyDescent="0.3">
      <c r="A21652" t="s">
        <v>0</v>
      </c>
    </row>
    <row r="21653" spans="1:1" x14ac:dyDescent="0.3">
      <c r="A21653" t="s">
        <v>0</v>
      </c>
    </row>
    <row r="21654" spans="1:1" x14ac:dyDescent="0.3">
      <c r="A21654" t="s">
        <v>0</v>
      </c>
    </row>
    <row r="21655" spans="1:1" x14ac:dyDescent="0.3">
      <c r="A21655" t="s">
        <v>0</v>
      </c>
    </row>
    <row r="21656" spans="1:1" x14ac:dyDescent="0.3">
      <c r="A21656" t="s">
        <v>0</v>
      </c>
    </row>
    <row r="21657" spans="1:1" x14ac:dyDescent="0.3">
      <c r="A21657" t="s">
        <v>0</v>
      </c>
    </row>
    <row r="21658" spans="1:1" x14ac:dyDescent="0.3">
      <c r="A21658" t="s">
        <v>0</v>
      </c>
    </row>
    <row r="21659" spans="1:1" x14ac:dyDescent="0.3">
      <c r="A21659" t="s">
        <v>0</v>
      </c>
    </row>
    <row r="21660" spans="1:1" x14ac:dyDescent="0.3">
      <c r="A21660" t="s">
        <v>0</v>
      </c>
    </row>
    <row r="21661" spans="1:1" x14ac:dyDescent="0.3">
      <c r="A21661" t="s">
        <v>0</v>
      </c>
    </row>
    <row r="21662" spans="1:1" x14ac:dyDescent="0.3">
      <c r="A21662" t="s">
        <v>0</v>
      </c>
    </row>
    <row r="21663" spans="1:1" x14ac:dyDescent="0.3">
      <c r="A21663" t="s">
        <v>0</v>
      </c>
    </row>
    <row r="21664" spans="1:1" x14ac:dyDescent="0.3">
      <c r="A21664" t="s">
        <v>0</v>
      </c>
    </row>
    <row r="21665" spans="1:1" x14ac:dyDescent="0.3">
      <c r="A21665" t="s">
        <v>0</v>
      </c>
    </row>
    <row r="21666" spans="1:1" x14ac:dyDescent="0.3">
      <c r="A21666" t="s">
        <v>0</v>
      </c>
    </row>
    <row r="21667" spans="1:1" x14ac:dyDescent="0.3">
      <c r="A21667" t="s">
        <v>0</v>
      </c>
    </row>
    <row r="21668" spans="1:1" x14ac:dyDescent="0.3">
      <c r="A21668" t="s">
        <v>0</v>
      </c>
    </row>
    <row r="21669" spans="1:1" x14ac:dyDescent="0.3">
      <c r="A21669" t="s">
        <v>0</v>
      </c>
    </row>
    <row r="21670" spans="1:1" x14ac:dyDescent="0.3">
      <c r="A21670" t="s">
        <v>0</v>
      </c>
    </row>
    <row r="21671" spans="1:1" x14ac:dyDescent="0.3">
      <c r="A21671" t="s">
        <v>0</v>
      </c>
    </row>
    <row r="21672" spans="1:1" x14ac:dyDescent="0.3">
      <c r="A21672" t="s">
        <v>0</v>
      </c>
    </row>
    <row r="21673" spans="1:1" x14ac:dyDescent="0.3">
      <c r="A21673" t="s">
        <v>0</v>
      </c>
    </row>
    <row r="21674" spans="1:1" x14ac:dyDescent="0.3">
      <c r="A21674" t="s">
        <v>0</v>
      </c>
    </row>
    <row r="21675" spans="1:1" x14ac:dyDescent="0.3">
      <c r="A21675" t="s">
        <v>0</v>
      </c>
    </row>
    <row r="21676" spans="1:1" x14ac:dyDescent="0.3">
      <c r="A21676" t="s">
        <v>0</v>
      </c>
    </row>
    <row r="21677" spans="1:1" x14ac:dyDescent="0.3">
      <c r="A21677" t="s">
        <v>0</v>
      </c>
    </row>
    <row r="21678" spans="1:1" x14ac:dyDescent="0.3">
      <c r="A21678" t="s">
        <v>0</v>
      </c>
    </row>
    <row r="21679" spans="1:1" x14ac:dyDescent="0.3">
      <c r="A21679" t="s">
        <v>0</v>
      </c>
    </row>
    <row r="21680" spans="1:1" x14ac:dyDescent="0.3">
      <c r="A21680" t="s">
        <v>0</v>
      </c>
    </row>
    <row r="21681" spans="1:1" x14ac:dyDescent="0.3">
      <c r="A21681" t="s">
        <v>0</v>
      </c>
    </row>
    <row r="21682" spans="1:1" x14ac:dyDescent="0.3">
      <c r="A21682" t="s">
        <v>0</v>
      </c>
    </row>
    <row r="21683" spans="1:1" x14ac:dyDescent="0.3">
      <c r="A21683" t="s">
        <v>0</v>
      </c>
    </row>
    <row r="21684" spans="1:1" x14ac:dyDescent="0.3">
      <c r="A21684" t="s">
        <v>0</v>
      </c>
    </row>
    <row r="21685" spans="1:1" x14ac:dyDescent="0.3">
      <c r="A21685" t="s">
        <v>0</v>
      </c>
    </row>
    <row r="21686" spans="1:1" x14ac:dyDescent="0.3">
      <c r="A21686" t="s">
        <v>0</v>
      </c>
    </row>
    <row r="21687" spans="1:1" x14ac:dyDescent="0.3">
      <c r="A21687" t="s">
        <v>0</v>
      </c>
    </row>
    <row r="21688" spans="1:1" x14ac:dyDescent="0.3">
      <c r="A21688" t="s">
        <v>0</v>
      </c>
    </row>
    <row r="21689" spans="1:1" x14ac:dyDescent="0.3">
      <c r="A21689" t="s">
        <v>0</v>
      </c>
    </row>
    <row r="21690" spans="1:1" x14ac:dyDescent="0.3">
      <c r="A21690" t="s">
        <v>0</v>
      </c>
    </row>
    <row r="21691" spans="1:1" x14ac:dyDescent="0.3">
      <c r="A21691" t="s">
        <v>0</v>
      </c>
    </row>
    <row r="21692" spans="1:1" x14ac:dyDescent="0.3">
      <c r="A21692" t="s">
        <v>0</v>
      </c>
    </row>
    <row r="21693" spans="1:1" x14ac:dyDescent="0.3">
      <c r="A21693" t="s">
        <v>0</v>
      </c>
    </row>
    <row r="21694" spans="1:1" x14ac:dyDescent="0.3">
      <c r="A21694" t="s">
        <v>0</v>
      </c>
    </row>
    <row r="21695" spans="1:1" x14ac:dyDescent="0.3">
      <c r="A21695" t="s">
        <v>0</v>
      </c>
    </row>
    <row r="21696" spans="1:1" x14ac:dyDescent="0.3">
      <c r="A21696" t="s">
        <v>0</v>
      </c>
    </row>
    <row r="21697" spans="1:1" x14ac:dyDescent="0.3">
      <c r="A21697" t="s">
        <v>0</v>
      </c>
    </row>
    <row r="21698" spans="1:1" x14ac:dyDescent="0.3">
      <c r="A21698" t="s">
        <v>0</v>
      </c>
    </row>
    <row r="21699" spans="1:1" x14ac:dyDescent="0.3">
      <c r="A21699" t="s">
        <v>0</v>
      </c>
    </row>
    <row r="21700" spans="1:1" x14ac:dyDescent="0.3">
      <c r="A21700" t="s">
        <v>0</v>
      </c>
    </row>
    <row r="21701" spans="1:1" x14ac:dyDescent="0.3">
      <c r="A21701" t="s">
        <v>0</v>
      </c>
    </row>
    <row r="21702" spans="1:1" x14ac:dyDescent="0.3">
      <c r="A21702" t="s">
        <v>0</v>
      </c>
    </row>
    <row r="21703" spans="1:1" x14ac:dyDescent="0.3">
      <c r="A21703" t="s">
        <v>0</v>
      </c>
    </row>
    <row r="21704" spans="1:1" x14ac:dyDescent="0.3">
      <c r="A21704" t="s">
        <v>0</v>
      </c>
    </row>
    <row r="21705" spans="1:1" x14ac:dyDescent="0.3">
      <c r="A21705" t="s">
        <v>0</v>
      </c>
    </row>
    <row r="21706" spans="1:1" x14ac:dyDescent="0.3">
      <c r="A21706" t="s">
        <v>0</v>
      </c>
    </row>
    <row r="21707" spans="1:1" x14ac:dyDescent="0.3">
      <c r="A21707" t="s">
        <v>0</v>
      </c>
    </row>
    <row r="21708" spans="1:1" x14ac:dyDescent="0.3">
      <c r="A21708" t="s">
        <v>0</v>
      </c>
    </row>
    <row r="21709" spans="1:1" x14ac:dyDescent="0.3">
      <c r="A21709" t="s">
        <v>0</v>
      </c>
    </row>
    <row r="21710" spans="1:1" x14ac:dyDescent="0.3">
      <c r="A21710" t="s">
        <v>0</v>
      </c>
    </row>
    <row r="21711" spans="1:1" x14ac:dyDescent="0.3">
      <c r="A21711" t="s">
        <v>0</v>
      </c>
    </row>
    <row r="21712" spans="1:1" x14ac:dyDescent="0.3">
      <c r="A21712" t="s">
        <v>0</v>
      </c>
    </row>
    <row r="21713" spans="1:1" x14ac:dyDescent="0.3">
      <c r="A21713" t="s">
        <v>0</v>
      </c>
    </row>
    <row r="21714" spans="1:1" x14ac:dyDescent="0.3">
      <c r="A21714" t="s">
        <v>0</v>
      </c>
    </row>
    <row r="21715" spans="1:1" x14ac:dyDescent="0.3">
      <c r="A21715" t="s">
        <v>0</v>
      </c>
    </row>
    <row r="21716" spans="1:1" x14ac:dyDescent="0.3">
      <c r="A21716" t="s">
        <v>0</v>
      </c>
    </row>
    <row r="21717" spans="1:1" x14ac:dyDescent="0.3">
      <c r="A21717" t="s">
        <v>0</v>
      </c>
    </row>
    <row r="21718" spans="1:1" x14ac:dyDescent="0.3">
      <c r="A21718" t="s">
        <v>0</v>
      </c>
    </row>
    <row r="21719" spans="1:1" x14ac:dyDescent="0.3">
      <c r="A21719" t="s">
        <v>0</v>
      </c>
    </row>
    <row r="21720" spans="1:1" x14ac:dyDescent="0.3">
      <c r="A21720" t="s">
        <v>0</v>
      </c>
    </row>
    <row r="21721" spans="1:1" x14ac:dyDescent="0.3">
      <c r="A21721" t="s">
        <v>0</v>
      </c>
    </row>
    <row r="21722" spans="1:1" x14ac:dyDescent="0.3">
      <c r="A21722" t="s">
        <v>0</v>
      </c>
    </row>
    <row r="21723" spans="1:1" x14ac:dyDescent="0.3">
      <c r="A21723" t="s">
        <v>0</v>
      </c>
    </row>
    <row r="21724" spans="1:1" x14ac:dyDescent="0.3">
      <c r="A21724" t="s">
        <v>0</v>
      </c>
    </row>
    <row r="21725" spans="1:1" x14ac:dyDescent="0.3">
      <c r="A21725" t="s">
        <v>0</v>
      </c>
    </row>
    <row r="21726" spans="1:1" x14ac:dyDescent="0.3">
      <c r="A21726" t="s">
        <v>0</v>
      </c>
    </row>
    <row r="21727" spans="1:1" x14ac:dyDescent="0.3">
      <c r="A21727" t="s">
        <v>0</v>
      </c>
    </row>
    <row r="21728" spans="1:1" x14ac:dyDescent="0.3">
      <c r="A21728" t="s">
        <v>0</v>
      </c>
    </row>
    <row r="21729" spans="1:1" x14ac:dyDescent="0.3">
      <c r="A21729" t="s">
        <v>0</v>
      </c>
    </row>
    <row r="21730" spans="1:1" x14ac:dyDescent="0.3">
      <c r="A21730" t="s">
        <v>0</v>
      </c>
    </row>
    <row r="21731" spans="1:1" x14ac:dyDescent="0.3">
      <c r="A21731" t="s">
        <v>0</v>
      </c>
    </row>
    <row r="21732" spans="1:1" x14ac:dyDescent="0.3">
      <c r="A21732" t="s">
        <v>0</v>
      </c>
    </row>
    <row r="21733" spans="1:1" x14ac:dyDescent="0.3">
      <c r="A21733" t="s">
        <v>0</v>
      </c>
    </row>
    <row r="21734" spans="1:1" x14ac:dyDescent="0.3">
      <c r="A21734" t="s">
        <v>0</v>
      </c>
    </row>
    <row r="21735" spans="1:1" x14ac:dyDescent="0.3">
      <c r="A21735" t="s">
        <v>0</v>
      </c>
    </row>
    <row r="21736" spans="1:1" x14ac:dyDescent="0.3">
      <c r="A21736" t="s">
        <v>0</v>
      </c>
    </row>
    <row r="21737" spans="1:1" x14ac:dyDescent="0.3">
      <c r="A21737" t="s">
        <v>0</v>
      </c>
    </row>
    <row r="21738" spans="1:1" x14ac:dyDescent="0.3">
      <c r="A21738" t="s">
        <v>0</v>
      </c>
    </row>
    <row r="21739" spans="1:1" x14ac:dyDescent="0.3">
      <c r="A21739" t="s">
        <v>0</v>
      </c>
    </row>
    <row r="21740" spans="1:1" x14ac:dyDescent="0.3">
      <c r="A21740" t="s">
        <v>0</v>
      </c>
    </row>
    <row r="21741" spans="1:1" x14ac:dyDescent="0.3">
      <c r="A21741" t="s">
        <v>0</v>
      </c>
    </row>
    <row r="21742" spans="1:1" x14ac:dyDescent="0.3">
      <c r="A21742" t="s">
        <v>0</v>
      </c>
    </row>
    <row r="21743" spans="1:1" x14ac:dyDescent="0.3">
      <c r="A21743" t="s">
        <v>0</v>
      </c>
    </row>
    <row r="21744" spans="1:1" x14ac:dyDescent="0.3">
      <c r="A21744" t="s">
        <v>0</v>
      </c>
    </row>
    <row r="21745" spans="1:1" x14ac:dyDescent="0.3">
      <c r="A21745" t="s">
        <v>0</v>
      </c>
    </row>
    <row r="21746" spans="1:1" x14ac:dyDescent="0.3">
      <c r="A21746" t="s">
        <v>0</v>
      </c>
    </row>
    <row r="21747" spans="1:1" x14ac:dyDescent="0.3">
      <c r="A21747" t="s">
        <v>0</v>
      </c>
    </row>
    <row r="21748" spans="1:1" x14ac:dyDescent="0.3">
      <c r="A21748" t="s">
        <v>0</v>
      </c>
    </row>
    <row r="21749" spans="1:1" x14ac:dyDescent="0.3">
      <c r="A21749" t="s">
        <v>0</v>
      </c>
    </row>
    <row r="21750" spans="1:1" x14ac:dyDescent="0.3">
      <c r="A21750" t="s">
        <v>0</v>
      </c>
    </row>
    <row r="21751" spans="1:1" x14ac:dyDescent="0.3">
      <c r="A21751" t="s">
        <v>0</v>
      </c>
    </row>
    <row r="21752" spans="1:1" x14ac:dyDescent="0.3">
      <c r="A21752" t="s">
        <v>0</v>
      </c>
    </row>
    <row r="21753" spans="1:1" x14ac:dyDescent="0.3">
      <c r="A21753" t="s">
        <v>0</v>
      </c>
    </row>
    <row r="21754" spans="1:1" x14ac:dyDescent="0.3">
      <c r="A21754" t="s">
        <v>0</v>
      </c>
    </row>
    <row r="21755" spans="1:1" x14ac:dyDescent="0.3">
      <c r="A21755" t="s">
        <v>0</v>
      </c>
    </row>
    <row r="21756" spans="1:1" x14ac:dyDescent="0.3">
      <c r="A21756" t="s">
        <v>0</v>
      </c>
    </row>
    <row r="21757" spans="1:1" x14ac:dyDescent="0.3">
      <c r="A21757" t="s">
        <v>0</v>
      </c>
    </row>
    <row r="21758" spans="1:1" x14ac:dyDescent="0.3">
      <c r="A21758" t="s">
        <v>0</v>
      </c>
    </row>
    <row r="21759" spans="1:1" x14ac:dyDescent="0.3">
      <c r="A21759" t="s">
        <v>0</v>
      </c>
    </row>
    <row r="21760" spans="1:1" x14ac:dyDescent="0.3">
      <c r="A21760" t="s">
        <v>0</v>
      </c>
    </row>
    <row r="21761" spans="1:1" x14ac:dyDescent="0.3">
      <c r="A21761" t="s">
        <v>0</v>
      </c>
    </row>
    <row r="21762" spans="1:1" x14ac:dyDescent="0.3">
      <c r="A21762" t="s">
        <v>0</v>
      </c>
    </row>
    <row r="21763" spans="1:1" x14ac:dyDescent="0.3">
      <c r="A21763" t="s">
        <v>0</v>
      </c>
    </row>
    <row r="21764" spans="1:1" x14ac:dyDescent="0.3">
      <c r="A21764" t="s">
        <v>0</v>
      </c>
    </row>
    <row r="21765" spans="1:1" x14ac:dyDescent="0.3">
      <c r="A21765" t="s">
        <v>0</v>
      </c>
    </row>
    <row r="21766" spans="1:1" x14ac:dyDescent="0.3">
      <c r="A21766" t="s">
        <v>0</v>
      </c>
    </row>
    <row r="21767" spans="1:1" x14ac:dyDescent="0.3">
      <c r="A21767" t="s">
        <v>0</v>
      </c>
    </row>
    <row r="21768" spans="1:1" x14ac:dyDescent="0.3">
      <c r="A21768" t="s">
        <v>0</v>
      </c>
    </row>
    <row r="21769" spans="1:1" x14ac:dyDescent="0.3">
      <c r="A21769" t="s">
        <v>0</v>
      </c>
    </row>
    <row r="21770" spans="1:1" x14ac:dyDescent="0.3">
      <c r="A21770" t="s">
        <v>0</v>
      </c>
    </row>
    <row r="21771" spans="1:1" x14ac:dyDescent="0.3">
      <c r="A21771" t="s">
        <v>0</v>
      </c>
    </row>
    <row r="21772" spans="1:1" x14ac:dyDescent="0.3">
      <c r="A21772" t="s">
        <v>0</v>
      </c>
    </row>
    <row r="21773" spans="1:1" x14ac:dyDescent="0.3">
      <c r="A21773" t="s">
        <v>0</v>
      </c>
    </row>
    <row r="21774" spans="1:1" x14ac:dyDescent="0.3">
      <c r="A21774" t="s">
        <v>0</v>
      </c>
    </row>
    <row r="21775" spans="1:1" x14ac:dyDescent="0.3">
      <c r="A21775" t="s">
        <v>0</v>
      </c>
    </row>
    <row r="21776" spans="1:1" x14ac:dyDescent="0.3">
      <c r="A21776" t="s">
        <v>0</v>
      </c>
    </row>
    <row r="21777" spans="1:1" x14ac:dyDescent="0.3">
      <c r="A21777" t="s">
        <v>0</v>
      </c>
    </row>
    <row r="21778" spans="1:1" x14ac:dyDescent="0.3">
      <c r="A21778" t="s">
        <v>0</v>
      </c>
    </row>
    <row r="21779" spans="1:1" x14ac:dyDescent="0.3">
      <c r="A21779" t="s">
        <v>0</v>
      </c>
    </row>
    <row r="21780" spans="1:1" x14ac:dyDescent="0.3">
      <c r="A21780" t="s">
        <v>0</v>
      </c>
    </row>
    <row r="21781" spans="1:1" x14ac:dyDescent="0.3">
      <c r="A21781" t="s">
        <v>0</v>
      </c>
    </row>
    <row r="21782" spans="1:1" x14ac:dyDescent="0.3">
      <c r="A21782" t="s">
        <v>0</v>
      </c>
    </row>
    <row r="21783" spans="1:1" x14ac:dyDescent="0.3">
      <c r="A21783" t="s">
        <v>0</v>
      </c>
    </row>
    <row r="21784" spans="1:1" x14ac:dyDescent="0.3">
      <c r="A21784" t="s">
        <v>0</v>
      </c>
    </row>
    <row r="21785" spans="1:1" x14ac:dyDescent="0.3">
      <c r="A21785" t="s">
        <v>0</v>
      </c>
    </row>
    <row r="21786" spans="1:1" x14ac:dyDescent="0.3">
      <c r="A21786" t="s">
        <v>0</v>
      </c>
    </row>
    <row r="21787" spans="1:1" x14ac:dyDescent="0.3">
      <c r="A21787" t="s">
        <v>0</v>
      </c>
    </row>
    <row r="21788" spans="1:1" x14ac:dyDescent="0.3">
      <c r="A21788" t="s">
        <v>0</v>
      </c>
    </row>
    <row r="21789" spans="1:1" x14ac:dyDescent="0.3">
      <c r="A21789" t="s">
        <v>0</v>
      </c>
    </row>
    <row r="21790" spans="1:1" x14ac:dyDescent="0.3">
      <c r="A21790" t="s">
        <v>0</v>
      </c>
    </row>
    <row r="21791" spans="1:1" x14ac:dyDescent="0.3">
      <c r="A21791" t="s">
        <v>0</v>
      </c>
    </row>
    <row r="21792" spans="1:1" x14ac:dyDescent="0.3">
      <c r="A21792" t="s">
        <v>0</v>
      </c>
    </row>
    <row r="21793" spans="1:1" x14ac:dyDescent="0.3">
      <c r="A21793" t="s">
        <v>0</v>
      </c>
    </row>
    <row r="21794" spans="1:1" x14ac:dyDescent="0.3">
      <c r="A21794" t="s">
        <v>0</v>
      </c>
    </row>
    <row r="21795" spans="1:1" x14ac:dyDescent="0.3">
      <c r="A21795" t="s">
        <v>0</v>
      </c>
    </row>
    <row r="21796" spans="1:1" x14ac:dyDescent="0.3">
      <c r="A21796" t="s">
        <v>0</v>
      </c>
    </row>
    <row r="21797" spans="1:1" x14ac:dyDescent="0.3">
      <c r="A21797" t="s">
        <v>0</v>
      </c>
    </row>
    <row r="21798" spans="1:1" x14ac:dyDescent="0.3">
      <c r="A21798" t="s">
        <v>0</v>
      </c>
    </row>
    <row r="21799" spans="1:1" x14ac:dyDescent="0.3">
      <c r="A21799" t="s">
        <v>0</v>
      </c>
    </row>
    <row r="21800" spans="1:1" x14ac:dyDescent="0.3">
      <c r="A21800" t="s">
        <v>0</v>
      </c>
    </row>
    <row r="21801" spans="1:1" x14ac:dyDescent="0.3">
      <c r="A21801" t="s">
        <v>0</v>
      </c>
    </row>
    <row r="21802" spans="1:1" x14ac:dyDescent="0.3">
      <c r="A21802" t="s">
        <v>0</v>
      </c>
    </row>
    <row r="21803" spans="1:1" x14ac:dyDescent="0.3">
      <c r="A21803" t="s">
        <v>0</v>
      </c>
    </row>
    <row r="21804" spans="1:1" x14ac:dyDescent="0.3">
      <c r="A21804" t="s">
        <v>0</v>
      </c>
    </row>
    <row r="21805" spans="1:1" x14ac:dyDescent="0.3">
      <c r="A21805" t="s">
        <v>0</v>
      </c>
    </row>
    <row r="21806" spans="1:1" x14ac:dyDescent="0.3">
      <c r="A21806" t="s">
        <v>0</v>
      </c>
    </row>
    <row r="21807" spans="1:1" x14ac:dyDescent="0.3">
      <c r="A21807" t="s">
        <v>0</v>
      </c>
    </row>
    <row r="21808" spans="1:1" x14ac:dyDescent="0.3">
      <c r="A21808" t="s">
        <v>0</v>
      </c>
    </row>
    <row r="21809" spans="1:1" x14ac:dyDescent="0.3">
      <c r="A21809" t="s">
        <v>0</v>
      </c>
    </row>
    <row r="21810" spans="1:1" x14ac:dyDescent="0.3">
      <c r="A21810" t="s">
        <v>0</v>
      </c>
    </row>
    <row r="21811" spans="1:1" x14ac:dyDescent="0.3">
      <c r="A21811" t="s">
        <v>0</v>
      </c>
    </row>
    <row r="21812" spans="1:1" x14ac:dyDescent="0.3">
      <c r="A21812" t="s">
        <v>0</v>
      </c>
    </row>
    <row r="21813" spans="1:1" x14ac:dyDescent="0.3">
      <c r="A21813" t="s">
        <v>0</v>
      </c>
    </row>
    <row r="21814" spans="1:1" x14ac:dyDescent="0.3">
      <c r="A21814" t="s">
        <v>0</v>
      </c>
    </row>
    <row r="21815" spans="1:1" x14ac:dyDescent="0.3">
      <c r="A21815" t="s">
        <v>0</v>
      </c>
    </row>
    <row r="21816" spans="1:1" x14ac:dyDescent="0.3">
      <c r="A21816" t="s">
        <v>0</v>
      </c>
    </row>
    <row r="21817" spans="1:1" x14ac:dyDescent="0.3">
      <c r="A21817" t="s">
        <v>0</v>
      </c>
    </row>
    <row r="21818" spans="1:1" x14ac:dyDescent="0.3">
      <c r="A21818" t="s">
        <v>0</v>
      </c>
    </row>
    <row r="21819" spans="1:1" x14ac:dyDescent="0.3">
      <c r="A21819" t="s">
        <v>0</v>
      </c>
    </row>
    <row r="21820" spans="1:1" x14ac:dyDescent="0.3">
      <c r="A21820" t="s">
        <v>0</v>
      </c>
    </row>
    <row r="21821" spans="1:1" x14ac:dyDescent="0.3">
      <c r="A21821" t="s">
        <v>0</v>
      </c>
    </row>
    <row r="21822" spans="1:1" x14ac:dyDescent="0.3">
      <c r="A21822" t="s">
        <v>0</v>
      </c>
    </row>
    <row r="21823" spans="1:1" x14ac:dyDescent="0.3">
      <c r="A21823" t="s">
        <v>0</v>
      </c>
    </row>
    <row r="21824" spans="1:1" x14ac:dyDescent="0.3">
      <c r="A21824" t="s">
        <v>0</v>
      </c>
    </row>
    <row r="21825" spans="1:1" x14ac:dyDescent="0.3">
      <c r="A21825" t="s">
        <v>0</v>
      </c>
    </row>
    <row r="21826" spans="1:1" x14ac:dyDescent="0.3">
      <c r="A21826" t="s">
        <v>0</v>
      </c>
    </row>
    <row r="21827" spans="1:1" x14ac:dyDescent="0.3">
      <c r="A21827" t="s">
        <v>0</v>
      </c>
    </row>
    <row r="21828" spans="1:1" x14ac:dyDescent="0.3">
      <c r="A21828" t="s">
        <v>0</v>
      </c>
    </row>
    <row r="21829" spans="1:1" x14ac:dyDescent="0.3">
      <c r="A21829" t="s">
        <v>0</v>
      </c>
    </row>
    <row r="21830" spans="1:1" x14ac:dyDescent="0.3">
      <c r="A21830" t="s">
        <v>0</v>
      </c>
    </row>
    <row r="21831" spans="1:1" x14ac:dyDescent="0.3">
      <c r="A21831" t="s">
        <v>0</v>
      </c>
    </row>
    <row r="21832" spans="1:1" x14ac:dyDescent="0.3">
      <c r="A21832" t="s">
        <v>0</v>
      </c>
    </row>
    <row r="21833" spans="1:1" x14ac:dyDescent="0.3">
      <c r="A21833" t="s">
        <v>0</v>
      </c>
    </row>
    <row r="21834" spans="1:1" x14ac:dyDescent="0.3">
      <c r="A21834" t="s">
        <v>0</v>
      </c>
    </row>
    <row r="21835" spans="1:1" x14ac:dyDescent="0.3">
      <c r="A21835" t="s">
        <v>0</v>
      </c>
    </row>
    <row r="21836" spans="1:1" x14ac:dyDescent="0.3">
      <c r="A21836" t="s">
        <v>0</v>
      </c>
    </row>
    <row r="21837" spans="1:1" x14ac:dyDescent="0.3">
      <c r="A21837" t="s">
        <v>0</v>
      </c>
    </row>
    <row r="21838" spans="1:1" x14ac:dyDescent="0.3">
      <c r="A21838" t="s">
        <v>0</v>
      </c>
    </row>
    <row r="21839" spans="1:1" x14ac:dyDescent="0.3">
      <c r="A21839" t="s">
        <v>0</v>
      </c>
    </row>
    <row r="21840" spans="1:1" x14ac:dyDescent="0.3">
      <c r="A21840" t="s">
        <v>0</v>
      </c>
    </row>
    <row r="21841" spans="1:1" x14ac:dyDescent="0.3">
      <c r="A21841" t="s">
        <v>0</v>
      </c>
    </row>
    <row r="21842" spans="1:1" x14ac:dyDescent="0.3">
      <c r="A21842" t="s">
        <v>0</v>
      </c>
    </row>
    <row r="21843" spans="1:1" x14ac:dyDescent="0.3">
      <c r="A21843" t="s">
        <v>0</v>
      </c>
    </row>
    <row r="21844" spans="1:1" x14ac:dyDescent="0.3">
      <c r="A21844" t="s">
        <v>0</v>
      </c>
    </row>
    <row r="21845" spans="1:1" x14ac:dyDescent="0.3">
      <c r="A21845" t="s">
        <v>0</v>
      </c>
    </row>
    <row r="21846" spans="1:1" x14ac:dyDescent="0.3">
      <c r="A21846" t="s">
        <v>0</v>
      </c>
    </row>
    <row r="21847" spans="1:1" x14ac:dyDescent="0.3">
      <c r="A21847" t="s">
        <v>0</v>
      </c>
    </row>
    <row r="21848" spans="1:1" x14ac:dyDescent="0.3">
      <c r="A21848" t="s">
        <v>0</v>
      </c>
    </row>
    <row r="21849" spans="1:1" x14ac:dyDescent="0.3">
      <c r="A21849" t="s">
        <v>0</v>
      </c>
    </row>
    <row r="21850" spans="1:1" x14ac:dyDescent="0.3">
      <c r="A21850" t="s">
        <v>0</v>
      </c>
    </row>
    <row r="21851" spans="1:1" x14ac:dyDescent="0.3">
      <c r="A21851" t="s">
        <v>0</v>
      </c>
    </row>
    <row r="21852" spans="1:1" x14ac:dyDescent="0.3">
      <c r="A21852" t="s">
        <v>0</v>
      </c>
    </row>
    <row r="21853" spans="1:1" x14ac:dyDescent="0.3">
      <c r="A21853" t="s">
        <v>0</v>
      </c>
    </row>
    <row r="21854" spans="1:1" x14ac:dyDescent="0.3">
      <c r="A21854" t="s">
        <v>0</v>
      </c>
    </row>
    <row r="21855" spans="1:1" x14ac:dyDescent="0.3">
      <c r="A21855" t="s">
        <v>0</v>
      </c>
    </row>
    <row r="21856" spans="1:1" x14ac:dyDescent="0.3">
      <c r="A21856" t="s">
        <v>0</v>
      </c>
    </row>
    <row r="21857" spans="1:1" x14ac:dyDescent="0.3">
      <c r="A21857" t="s">
        <v>0</v>
      </c>
    </row>
    <row r="21858" spans="1:1" x14ac:dyDescent="0.3">
      <c r="A21858" t="s">
        <v>0</v>
      </c>
    </row>
    <row r="21859" spans="1:1" x14ac:dyDescent="0.3">
      <c r="A21859" t="s">
        <v>0</v>
      </c>
    </row>
    <row r="21860" spans="1:1" x14ac:dyDescent="0.3">
      <c r="A21860" t="s">
        <v>0</v>
      </c>
    </row>
    <row r="21861" spans="1:1" x14ac:dyDescent="0.3">
      <c r="A21861" t="s">
        <v>0</v>
      </c>
    </row>
    <row r="21862" spans="1:1" x14ac:dyDescent="0.3">
      <c r="A21862" t="s">
        <v>0</v>
      </c>
    </row>
    <row r="21863" spans="1:1" x14ac:dyDescent="0.3">
      <c r="A21863" t="s">
        <v>0</v>
      </c>
    </row>
    <row r="21864" spans="1:1" x14ac:dyDescent="0.3">
      <c r="A21864" t="s">
        <v>0</v>
      </c>
    </row>
    <row r="21865" spans="1:1" x14ac:dyDescent="0.3">
      <c r="A21865" t="s">
        <v>0</v>
      </c>
    </row>
    <row r="21866" spans="1:1" x14ac:dyDescent="0.3">
      <c r="A21866" t="s">
        <v>0</v>
      </c>
    </row>
    <row r="21867" spans="1:1" x14ac:dyDescent="0.3">
      <c r="A21867" t="s">
        <v>0</v>
      </c>
    </row>
    <row r="21868" spans="1:1" x14ac:dyDescent="0.3">
      <c r="A21868" t="s">
        <v>0</v>
      </c>
    </row>
    <row r="21869" spans="1:1" x14ac:dyDescent="0.3">
      <c r="A21869" t="s">
        <v>0</v>
      </c>
    </row>
    <row r="21870" spans="1:1" x14ac:dyDescent="0.3">
      <c r="A21870" t="s">
        <v>0</v>
      </c>
    </row>
    <row r="21871" spans="1:1" x14ac:dyDescent="0.3">
      <c r="A21871" t="s">
        <v>0</v>
      </c>
    </row>
    <row r="21872" spans="1:1" x14ac:dyDescent="0.3">
      <c r="A21872" t="s">
        <v>0</v>
      </c>
    </row>
    <row r="21873" spans="1:1" x14ac:dyDescent="0.3">
      <c r="A21873" t="s">
        <v>0</v>
      </c>
    </row>
    <row r="21874" spans="1:1" x14ac:dyDescent="0.3">
      <c r="A21874" t="s">
        <v>0</v>
      </c>
    </row>
    <row r="21875" spans="1:1" x14ac:dyDescent="0.3">
      <c r="A21875" t="s">
        <v>0</v>
      </c>
    </row>
    <row r="21876" spans="1:1" x14ac:dyDescent="0.3">
      <c r="A21876" t="s">
        <v>0</v>
      </c>
    </row>
    <row r="21877" spans="1:1" x14ac:dyDescent="0.3">
      <c r="A21877" t="s">
        <v>0</v>
      </c>
    </row>
    <row r="21878" spans="1:1" x14ac:dyDescent="0.3">
      <c r="A21878" t="s">
        <v>0</v>
      </c>
    </row>
    <row r="21879" spans="1:1" x14ac:dyDescent="0.3">
      <c r="A21879" t="s">
        <v>0</v>
      </c>
    </row>
    <row r="21880" spans="1:1" x14ac:dyDescent="0.3">
      <c r="A21880" t="s">
        <v>0</v>
      </c>
    </row>
    <row r="21881" spans="1:1" x14ac:dyDescent="0.3">
      <c r="A21881" t="s">
        <v>0</v>
      </c>
    </row>
    <row r="21882" spans="1:1" x14ac:dyDescent="0.3">
      <c r="A21882" t="s">
        <v>0</v>
      </c>
    </row>
    <row r="21883" spans="1:1" x14ac:dyDescent="0.3">
      <c r="A21883" t="s">
        <v>0</v>
      </c>
    </row>
    <row r="21884" spans="1:1" x14ac:dyDescent="0.3">
      <c r="A21884" t="s">
        <v>0</v>
      </c>
    </row>
    <row r="21885" spans="1:1" x14ac:dyDescent="0.3">
      <c r="A21885" t="s">
        <v>0</v>
      </c>
    </row>
    <row r="21886" spans="1:1" x14ac:dyDescent="0.3">
      <c r="A21886" t="s">
        <v>0</v>
      </c>
    </row>
    <row r="21887" spans="1:1" x14ac:dyDescent="0.3">
      <c r="A21887" t="s">
        <v>0</v>
      </c>
    </row>
    <row r="21888" spans="1:1" x14ac:dyDescent="0.3">
      <c r="A21888" t="s">
        <v>0</v>
      </c>
    </row>
    <row r="21889" spans="1:1" x14ac:dyDescent="0.3">
      <c r="A21889" t="s">
        <v>0</v>
      </c>
    </row>
    <row r="21890" spans="1:1" x14ac:dyDescent="0.3">
      <c r="A21890" t="s">
        <v>0</v>
      </c>
    </row>
    <row r="21891" spans="1:1" x14ac:dyDescent="0.3">
      <c r="A21891" t="s">
        <v>0</v>
      </c>
    </row>
    <row r="21892" spans="1:1" x14ac:dyDescent="0.3">
      <c r="A21892" t="s">
        <v>0</v>
      </c>
    </row>
    <row r="21893" spans="1:1" x14ac:dyDescent="0.3">
      <c r="A21893" t="s">
        <v>0</v>
      </c>
    </row>
    <row r="21894" spans="1:1" x14ac:dyDescent="0.3">
      <c r="A21894" t="s">
        <v>0</v>
      </c>
    </row>
    <row r="21895" spans="1:1" x14ac:dyDescent="0.3">
      <c r="A21895" t="s">
        <v>0</v>
      </c>
    </row>
    <row r="21896" spans="1:1" x14ac:dyDescent="0.3">
      <c r="A21896" t="s">
        <v>0</v>
      </c>
    </row>
    <row r="21897" spans="1:1" x14ac:dyDescent="0.3">
      <c r="A21897" t="s">
        <v>0</v>
      </c>
    </row>
    <row r="21898" spans="1:1" x14ac:dyDescent="0.3">
      <c r="A21898" t="s">
        <v>0</v>
      </c>
    </row>
    <row r="21899" spans="1:1" x14ac:dyDescent="0.3">
      <c r="A21899" t="s">
        <v>0</v>
      </c>
    </row>
    <row r="21900" spans="1:1" x14ac:dyDescent="0.3">
      <c r="A21900" t="s">
        <v>0</v>
      </c>
    </row>
    <row r="21901" spans="1:1" x14ac:dyDescent="0.3">
      <c r="A21901" t="s">
        <v>0</v>
      </c>
    </row>
    <row r="21902" spans="1:1" x14ac:dyDescent="0.3">
      <c r="A21902" t="s">
        <v>0</v>
      </c>
    </row>
    <row r="21903" spans="1:1" x14ac:dyDescent="0.3">
      <c r="A21903" t="s">
        <v>0</v>
      </c>
    </row>
    <row r="21904" spans="1:1" x14ac:dyDescent="0.3">
      <c r="A21904" t="s">
        <v>0</v>
      </c>
    </row>
    <row r="21905" spans="1:1" x14ac:dyDescent="0.3">
      <c r="A21905" t="s">
        <v>0</v>
      </c>
    </row>
    <row r="21906" spans="1:1" x14ac:dyDescent="0.3">
      <c r="A21906" t="s">
        <v>0</v>
      </c>
    </row>
    <row r="21907" spans="1:1" x14ac:dyDescent="0.3">
      <c r="A21907" t="s">
        <v>0</v>
      </c>
    </row>
    <row r="21908" spans="1:1" x14ac:dyDescent="0.3">
      <c r="A21908" t="s">
        <v>0</v>
      </c>
    </row>
    <row r="21909" spans="1:1" x14ac:dyDescent="0.3">
      <c r="A21909" t="s">
        <v>0</v>
      </c>
    </row>
    <row r="21910" spans="1:1" x14ac:dyDescent="0.3">
      <c r="A21910" t="s">
        <v>0</v>
      </c>
    </row>
    <row r="21911" spans="1:1" x14ac:dyDescent="0.3">
      <c r="A21911" t="s">
        <v>0</v>
      </c>
    </row>
    <row r="21912" spans="1:1" x14ac:dyDescent="0.3">
      <c r="A21912" t="s">
        <v>0</v>
      </c>
    </row>
    <row r="21913" spans="1:1" x14ac:dyDescent="0.3">
      <c r="A21913" t="s">
        <v>0</v>
      </c>
    </row>
    <row r="21914" spans="1:1" x14ac:dyDescent="0.3">
      <c r="A21914" t="s">
        <v>0</v>
      </c>
    </row>
    <row r="21915" spans="1:1" x14ac:dyDescent="0.3">
      <c r="A21915" t="s">
        <v>0</v>
      </c>
    </row>
    <row r="21916" spans="1:1" x14ac:dyDescent="0.3">
      <c r="A21916" t="s">
        <v>0</v>
      </c>
    </row>
    <row r="21917" spans="1:1" x14ac:dyDescent="0.3">
      <c r="A21917" t="s">
        <v>0</v>
      </c>
    </row>
    <row r="21918" spans="1:1" x14ac:dyDescent="0.3">
      <c r="A21918" t="s">
        <v>0</v>
      </c>
    </row>
    <row r="21919" spans="1:1" x14ac:dyDescent="0.3">
      <c r="A21919" t="s">
        <v>0</v>
      </c>
    </row>
    <row r="21920" spans="1:1" x14ac:dyDescent="0.3">
      <c r="A21920" t="s">
        <v>0</v>
      </c>
    </row>
    <row r="21921" spans="1:1" x14ac:dyDescent="0.3">
      <c r="A21921" t="s">
        <v>0</v>
      </c>
    </row>
    <row r="21922" spans="1:1" x14ac:dyDescent="0.3">
      <c r="A21922" t="s">
        <v>0</v>
      </c>
    </row>
    <row r="21923" spans="1:1" x14ac:dyDescent="0.3">
      <c r="A21923" t="s">
        <v>0</v>
      </c>
    </row>
    <row r="21924" spans="1:1" x14ac:dyDescent="0.3">
      <c r="A21924" t="s">
        <v>0</v>
      </c>
    </row>
    <row r="21925" spans="1:1" x14ac:dyDescent="0.3">
      <c r="A21925" t="s">
        <v>0</v>
      </c>
    </row>
    <row r="21926" spans="1:1" x14ac:dyDescent="0.3">
      <c r="A21926" t="s">
        <v>0</v>
      </c>
    </row>
    <row r="21927" spans="1:1" x14ac:dyDescent="0.3">
      <c r="A21927" t="s">
        <v>0</v>
      </c>
    </row>
    <row r="21928" spans="1:1" x14ac:dyDescent="0.3">
      <c r="A21928" t="s">
        <v>0</v>
      </c>
    </row>
    <row r="21929" spans="1:1" x14ac:dyDescent="0.3">
      <c r="A21929" t="s">
        <v>0</v>
      </c>
    </row>
    <row r="21930" spans="1:1" x14ac:dyDescent="0.3">
      <c r="A21930" t="s">
        <v>0</v>
      </c>
    </row>
    <row r="21931" spans="1:1" x14ac:dyDescent="0.3">
      <c r="A21931" t="s">
        <v>0</v>
      </c>
    </row>
    <row r="21932" spans="1:1" x14ac:dyDescent="0.3">
      <c r="A21932" t="s">
        <v>0</v>
      </c>
    </row>
    <row r="21933" spans="1:1" x14ac:dyDescent="0.3">
      <c r="A21933" t="s">
        <v>0</v>
      </c>
    </row>
    <row r="21934" spans="1:1" x14ac:dyDescent="0.3">
      <c r="A21934" t="s">
        <v>0</v>
      </c>
    </row>
    <row r="21935" spans="1:1" x14ac:dyDescent="0.3">
      <c r="A21935" t="s">
        <v>0</v>
      </c>
    </row>
    <row r="21936" spans="1:1" x14ac:dyDescent="0.3">
      <c r="A21936" t="s">
        <v>0</v>
      </c>
    </row>
    <row r="21937" spans="1:1" x14ac:dyDescent="0.3">
      <c r="A21937" t="s">
        <v>0</v>
      </c>
    </row>
    <row r="21938" spans="1:1" x14ac:dyDescent="0.3">
      <c r="A21938" t="s">
        <v>0</v>
      </c>
    </row>
    <row r="21939" spans="1:1" x14ac:dyDescent="0.3">
      <c r="A21939" t="s">
        <v>0</v>
      </c>
    </row>
    <row r="21940" spans="1:1" x14ac:dyDescent="0.3">
      <c r="A21940" t="s">
        <v>0</v>
      </c>
    </row>
    <row r="21941" spans="1:1" x14ac:dyDescent="0.3">
      <c r="A21941" t="s">
        <v>0</v>
      </c>
    </row>
    <row r="21942" spans="1:1" x14ac:dyDescent="0.3">
      <c r="A21942" t="s">
        <v>0</v>
      </c>
    </row>
    <row r="21943" spans="1:1" x14ac:dyDescent="0.3">
      <c r="A21943" t="s">
        <v>0</v>
      </c>
    </row>
    <row r="21944" spans="1:1" x14ac:dyDescent="0.3">
      <c r="A21944" t="s">
        <v>0</v>
      </c>
    </row>
    <row r="21945" spans="1:1" x14ac:dyDescent="0.3">
      <c r="A21945" t="s">
        <v>0</v>
      </c>
    </row>
    <row r="21946" spans="1:1" x14ac:dyDescent="0.3">
      <c r="A21946" t="s">
        <v>0</v>
      </c>
    </row>
    <row r="21947" spans="1:1" x14ac:dyDescent="0.3">
      <c r="A21947" t="s">
        <v>0</v>
      </c>
    </row>
    <row r="21948" spans="1:1" x14ac:dyDescent="0.3">
      <c r="A21948" t="s">
        <v>0</v>
      </c>
    </row>
    <row r="21949" spans="1:1" x14ac:dyDescent="0.3">
      <c r="A21949" t="s">
        <v>0</v>
      </c>
    </row>
    <row r="21950" spans="1:1" x14ac:dyDescent="0.3">
      <c r="A21950" t="s">
        <v>0</v>
      </c>
    </row>
    <row r="21951" spans="1:1" x14ac:dyDescent="0.3">
      <c r="A21951" t="s">
        <v>0</v>
      </c>
    </row>
    <row r="21952" spans="1:1" x14ac:dyDescent="0.3">
      <c r="A21952" t="s">
        <v>0</v>
      </c>
    </row>
    <row r="21953" spans="1:1" x14ac:dyDescent="0.3">
      <c r="A21953" t="s">
        <v>0</v>
      </c>
    </row>
    <row r="21954" spans="1:1" x14ac:dyDescent="0.3">
      <c r="A21954" t="s">
        <v>0</v>
      </c>
    </row>
    <row r="21955" spans="1:1" x14ac:dyDescent="0.3">
      <c r="A21955" t="s">
        <v>0</v>
      </c>
    </row>
    <row r="21956" spans="1:1" x14ac:dyDescent="0.3">
      <c r="A21956" t="s">
        <v>0</v>
      </c>
    </row>
    <row r="21957" spans="1:1" x14ac:dyDescent="0.3">
      <c r="A21957" t="s">
        <v>0</v>
      </c>
    </row>
    <row r="21958" spans="1:1" x14ac:dyDescent="0.3">
      <c r="A21958" t="s">
        <v>0</v>
      </c>
    </row>
    <row r="21959" spans="1:1" x14ac:dyDescent="0.3">
      <c r="A21959" t="s">
        <v>0</v>
      </c>
    </row>
    <row r="21960" spans="1:1" x14ac:dyDescent="0.3">
      <c r="A21960" t="s">
        <v>0</v>
      </c>
    </row>
    <row r="21961" spans="1:1" x14ac:dyDescent="0.3">
      <c r="A21961" t="s">
        <v>0</v>
      </c>
    </row>
    <row r="21962" spans="1:1" x14ac:dyDescent="0.3">
      <c r="A21962" t="s">
        <v>0</v>
      </c>
    </row>
    <row r="21963" spans="1:1" x14ac:dyDescent="0.3">
      <c r="A21963" t="s">
        <v>0</v>
      </c>
    </row>
    <row r="21964" spans="1:1" x14ac:dyDescent="0.3">
      <c r="A21964" t="s">
        <v>0</v>
      </c>
    </row>
    <row r="21965" spans="1:1" x14ac:dyDescent="0.3">
      <c r="A21965" t="s">
        <v>0</v>
      </c>
    </row>
    <row r="21966" spans="1:1" x14ac:dyDescent="0.3">
      <c r="A21966" t="s">
        <v>0</v>
      </c>
    </row>
    <row r="21967" spans="1:1" x14ac:dyDescent="0.3">
      <c r="A21967" t="s">
        <v>0</v>
      </c>
    </row>
    <row r="21968" spans="1:1" x14ac:dyDescent="0.3">
      <c r="A21968" t="s">
        <v>0</v>
      </c>
    </row>
    <row r="21969" spans="1:1" x14ac:dyDescent="0.3">
      <c r="A21969" t="s">
        <v>0</v>
      </c>
    </row>
    <row r="21970" spans="1:1" x14ac:dyDescent="0.3">
      <c r="A21970" t="s">
        <v>0</v>
      </c>
    </row>
    <row r="21971" spans="1:1" x14ac:dyDescent="0.3">
      <c r="A21971" t="s">
        <v>0</v>
      </c>
    </row>
    <row r="21972" spans="1:1" x14ac:dyDescent="0.3">
      <c r="A21972" t="s">
        <v>0</v>
      </c>
    </row>
    <row r="21973" spans="1:1" x14ac:dyDescent="0.3">
      <c r="A21973" t="s">
        <v>0</v>
      </c>
    </row>
    <row r="21974" spans="1:1" x14ac:dyDescent="0.3">
      <c r="A21974" t="s">
        <v>0</v>
      </c>
    </row>
    <row r="21975" spans="1:1" x14ac:dyDescent="0.3">
      <c r="A21975" t="s">
        <v>0</v>
      </c>
    </row>
    <row r="21976" spans="1:1" x14ac:dyDescent="0.3">
      <c r="A21976" t="s">
        <v>0</v>
      </c>
    </row>
    <row r="21977" spans="1:1" x14ac:dyDescent="0.3">
      <c r="A21977" t="s">
        <v>0</v>
      </c>
    </row>
    <row r="21978" spans="1:1" x14ac:dyDescent="0.3">
      <c r="A21978" t="s">
        <v>0</v>
      </c>
    </row>
    <row r="21979" spans="1:1" x14ac:dyDescent="0.3">
      <c r="A21979" t="s">
        <v>0</v>
      </c>
    </row>
    <row r="21980" spans="1:1" x14ac:dyDescent="0.3">
      <c r="A21980" t="s">
        <v>0</v>
      </c>
    </row>
    <row r="21981" spans="1:1" x14ac:dyDescent="0.3">
      <c r="A21981" t="s">
        <v>0</v>
      </c>
    </row>
    <row r="21982" spans="1:1" x14ac:dyDescent="0.3">
      <c r="A21982" t="s">
        <v>0</v>
      </c>
    </row>
    <row r="21983" spans="1:1" x14ac:dyDescent="0.3">
      <c r="A21983" t="s">
        <v>0</v>
      </c>
    </row>
    <row r="21984" spans="1:1" x14ac:dyDescent="0.3">
      <c r="A21984" t="s">
        <v>0</v>
      </c>
    </row>
    <row r="21985" spans="1:1" x14ac:dyDescent="0.3">
      <c r="A21985" t="s">
        <v>0</v>
      </c>
    </row>
    <row r="21986" spans="1:1" x14ac:dyDescent="0.3">
      <c r="A21986" t="s">
        <v>0</v>
      </c>
    </row>
    <row r="21987" spans="1:1" x14ac:dyDescent="0.3">
      <c r="A21987" t="s">
        <v>0</v>
      </c>
    </row>
    <row r="21988" spans="1:1" x14ac:dyDescent="0.3">
      <c r="A21988" t="s">
        <v>0</v>
      </c>
    </row>
    <row r="21989" spans="1:1" x14ac:dyDescent="0.3">
      <c r="A21989" t="s">
        <v>0</v>
      </c>
    </row>
    <row r="21990" spans="1:1" x14ac:dyDescent="0.3">
      <c r="A21990" t="s">
        <v>0</v>
      </c>
    </row>
    <row r="21991" spans="1:1" x14ac:dyDescent="0.3">
      <c r="A21991" t="s">
        <v>0</v>
      </c>
    </row>
    <row r="21992" spans="1:1" x14ac:dyDescent="0.3">
      <c r="A21992" t="s">
        <v>0</v>
      </c>
    </row>
    <row r="21993" spans="1:1" x14ac:dyDescent="0.3">
      <c r="A21993" t="s">
        <v>0</v>
      </c>
    </row>
    <row r="21994" spans="1:1" x14ac:dyDescent="0.3">
      <c r="A21994" t="s">
        <v>0</v>
      </c>
    </row>
    <row r="21995" spans="1:1" x14ac:dyDescent="0.3">
      <c r="A21995" t="s">
        <v>0</v>
      </c>
    </row>
    <row r="21996" spans="1:1" x14ac:dyDescent="0.3">
      <c r="A21996" t="s">
        <v>0</v>
      </c>
    </row>
    <row r="21997" spans="1:1" x14ac:dyDescent="0.3">
      <c r="A21997" t="s">
        <v>0</v>
      </c>
    </row>
    <row r="21998" spans="1:1" x14ac:dyDescent="0.3">
      <c r="A21998" t="s">
        <v>0</v>
      </c>
    </row>
    <row r="21999" spans="1:1" x14ac:dyDescent="0.3">
      <c r="A21999" t="s">
        <v>0</v>
      </c>
    </row>
    <row r="22000" spans="1:1" x14ac:dyDescent="0.3">
      <c r="A22000" t="s">
        <v>0</v>
      </c>
    </row>
    <row r="22001" spans="1:1" x14ac:dyDescent="0.3">
      <c r="A22001" t="s">
        <v>0</v>
      </c>
    </row>
    <row r="22002" spans="1:1" x14ac:dyDescent="0.3">
      <c r="A22002" t="s">
        <v>0</v>
      </c>
    </row>
    <row r="22003" spans="1:1" x14ac:dyDescent="0.3">
      <c r="A22003" t="s">
        <v>0</v>
      </c>
    </row>
    <row r="22004" spans="1:1" x14ac:dyDescent="0.3">
      <c r="A22004" t="s">
        <v>0</v>
      </c>
    </row>
    <row r="22005" spans="1:1" x14ac:dyDescent="0.3">
      <c r="A22005" t="s">
        <v>0</v>
      </c>
    </row>
    <row r="22006" spans="1:1" x14ac:dyDescent="0.3">
      <c r="A22006" t="s">
        <v>0</v>
      </c>
    </row>
    <row r="22007" spans="1:1" x14ac:dyDescent="0.3">
      <c r="A22007" t="s">
        <v>0</v>
      </c>
    </row>
    <row r="22008" spans="1:1" x14ac:dyDescent="0.3">
      <c r="A22008" t="s">
        <v>0</v>
      </c>
    </row>
    <row r="22009" spans="1:1" x14ac:dyDescent="0.3">
      <c r="A22009" t="s">
        <v>0</v>
      </c>
    </row>
    <row r="22010" spans="1:1" x14ac:dyDescent="0.3">
      <c r="A22010" t="s">
        <v>0</v>
      </c>
    </row>
    <row r="22011" spans="1:1" x14ac:dyDescent="0.3">
      <c r="A22011" t="s">
        <v>0</v>
      </c>
    </row>
    <row r="22012" spans="1:1" x14ac:dyDescent="0.3">
      <c r="A22012" t="s">
        <v>0</v>
      </c>
    </row>
    <row r="22013" spans="1:1" x14ac:dyDescent="0.3">
      <c r="A22013" t="s">
        <v>0</v>
      </c>
    </row>
    <row r="22014" spans="1:1" x14ac:dyDescent="0.3">
      <c r="A22014" t="s">
        <v>0</v>
      </c>
    </row>
    <row r="22015" spans="1:1" x14ac:dyDescent="0.3">
      <c r="A22015" t="s">
        <v>0</v>
      </c>
    </row>
    <row r="22016" spans="1:1" x14ac:dyDescent="0.3">
      <c r="A22016" t="s">
        <v>0</v>
      </c>
    </row>
    <row r="22017" spans="1:1" x14ac:dyDescent="0.3">
      <c r="A22017" t="s">
        <v>0</v>
      </c>
    </row>
    <row r="22018" spans="1:1" x14ac:dyDescent="0.3">
      <c r="A22018" t="s">
        <v>0</v>
      </c>
    </row>
    <row r="22019" spans="1:1" x14ac:dyDescent="0.3">
      <c r="A22019" t="s">
        <v>0</v>
      </c>
    </row>
    <row r="22020" spans="1:1" x14ac:dyDescent="0.3">
      <c r="A22020" t="s">
        <v>0</v>
      </c>
    </row>
    <row r="22021" spans="1:1" x14ac:dyDescent="0.3">
      <c r="A22021" t="s">
        <v>0</v>
      </c>
    </row>
    <row r="22022" spans="1:1" x14ac:dyDescent="0.3">
      <c r="A22022" t="s">
        <v>0</v>
      </c>
    </row>
    <row r="22023" spans="1:1" x14ac:dyDescent="0.3">
      <c r="A22023" t="s">
        <v>0</v>
      </c>
    </row>
    <row r="22024" spans="1:1" x14ac:dyDescent="0.3">
      <c r="A22024" t="s">
        <v>0</v>
      </c>
    </row>
    <row r="22025" spans="1:1" x14ac:dyDescent="0.3">
      <c r="A22025" t="s">
        <v>0</v>
      </c>
    </row>
    <row r="22026" spans="1:1" x14ac:dyDescent="0.3">
      <c r="A22026" t="s">
        <v>0</v>
      </c>
    </row>
    <row r="22027" spans="1:1" x14ac:dyDescent="0.3">
      <c r="A22027" t="s">
        <v>0</v>
      </c>
    </row>
    <row r="22028" spans="1:1" x14ac:dyDescent="0.3">
      <c r="A22028" t="s">
        <v>0</v>
      </c>
    </row>
    <row r="22029" spans="1:1" x14ac:dyDescent="0.3">
      <c r="A22029" t="s">
        <v>0</v>
      </c>
    </row>
    <row r="22030" spans="1:1" x14ac:dyDescent="0.3">
      <c r="A22030" t="s">
        <v>0</v>
      </c>
    </row>
    <row r="22031" spans="1:1" x14ac:dyDescent="0.3">
      <c r="A22031" t="s">
        <v>0</v>
      </c>
    </row>
    <row r="22032" spans="1:1" x14ac:dyDescent="0.3">
      <c r="A22032" t="s">
        <v>0</v>
      </c>
    </row>
    <row r="22033" spans="1:1" x14ac:dyDescent="0.3">
      <c r="A22033" t="s">
        <v>0</v>
      </c>
    </row>
    <row r="22034" spans="1:1" x14ac:dyDescent="0.3">
      <c r="A22034" t="s">
        <v>0</v>
      </c>
    </row>
    <row r="22035" spans="1:1" x14ac:dyDescent="0.3">
      <c r="A22035" t="s">
        <v>0</v>
      </c>
    </row>
    <row r="22036" spans="1:1" x14ac:dyDescent="0.3">
      <c r="A22036" t="s">
        <v>0</v>
      </c>
    </row>
    <row r="22037" spans="1:1" x14ac:dyDescent="0.3">
      <c r="A22037" t="s">
        <v>0</v>
      </c>
    </row>
    <row r="22038" spans="1:1" x14ac:dyDescent="0.3">
      <c r="A22038" t="s">
        <v>0</v>
      </c>
    </row>
    <row r="22039" spans="1:1" x14ac:dyDescent="0.3">
      <c r="A22039" t="s">
        <v>0</v>
      </c>
    </row>
    <row r="22040" spans="1:1" x14ac:dyDescent="0.3">
      <c r="A22040" t="s">
        <v>0</v>
      </c>
    </row>
    <row r="22041" spans="1:1" x14ac:dyDescent="0.3">
      <c r="A22041" t="s">
        <v>0</v>
      </c>
    </row>
    <row r="22042" spans="1:1" x14ac:dyDescent="0.3">
      <c r="A22042" t="s">
        <v>0</v>
      </c>
    </row>
    <row r="22043" spans="1:1" x14ac:dyDescent="0.3">
      <c r="A22043" t="s">
        <v>0</v>
      </c>
    </row>
    <row r="22044" spans="1:1" x14ac:dyDescent="0.3">
      <c r="A22044" t="s">
        <v>0</v>
      </c>
    </row>
    <row r="22045" spans="1:1" x14ac:dyDescent="0.3">
      <c r="A22045" t="s">
        <v>0</v>
      </c>
    </row>
    <row r="22046" spans="1:1" x14ac:dyDescent="0.3">
      <c r="A22046" t="s">
        <v>0</v>
      </c>
    </row>
    <row r="22047" spans="1:1" x14ac:dyDescent="0.3">
      <c r="A22047" t="s">
        <v>0</v>
      </c>
    </row>
    <row r="22048" spans="1:1" x14ac:dyDescent="0.3">
      <c r="A22048" t="s">
        <v>0</v>
      </c>
    </row>
    <row r="22049" spans="1:1" x14ac:dyDescent="0.3">
      <c r="A22049" t="s">
        <v>0</v>
      </c>
    </row>
    <row r="22050" spans="1:1" x14ac:dyDescent="0.3">
      <c r="A22050" t="s">
        <v>0</v>
      </c>
    </row>
    <row r="22051" spans="1:1" x14ac:dyDescent="0.3">
      <c r="A22051" t="s">
        <v>0</v>
      </c>
    </row>
    <row r="22052" spans="1:1" x14ac:dyDescent="0.3">
      <c r="A22052" t="s">
        <v>0</v>
      </c>
    </row>
    <row r="22053" spans="1:1" x14ac:dyDescent="0.3">
      <c r="A22053" t="s">
        <v>0</v>
      </c>
    </row>
    <row r="22054" spans="1:1" x14ac:dyDescent="0.3">
      <c r="A22054" t="s">
        <v>0</v>
      </c>
    </row>
    <row r="22055" spans="1:1" x14ac:dyDescent="0.3">
      <c r="A22055" t="s">
        <v>0</v>
      </c>
    </row>
    <row r="22056" spans="1:1" x14ac:dyDescent="0.3">
      <c r="A22056" t="s">
        <v>0</v>
      </c>
    </row>
    <row r="22057" spans="1:1" x14ac:dyDescent="0.3">
      <c r="A22057" t="s">
        <v>0</v>
      </c>
    </row>
    <row r="22058" spans="1:1" x14ac:dyDescent="0.3">
      <c r="A22058" t="s">
        <v>0</v>
      </c>
    </row>
    <row r="22059" spans="1:1" x14ac:dyDescent="0.3">
      <c r="A22059" t="s">
        <v>0</v>
      </c>
    </row>
    <row r="22060" spans="1:1" x14ac:dyDescent="0.3">
      <c r="A22060" t="s">
        <v>0</v>
      </c>
    </row>
    <row r="22061" spans="1:1" x14ac:dyDescent="0.3">
      <c r="A22061" t="s">
        <v>0</v>
      </c>
    </row>
    <row r="22062" spans="1:1" x14ac:dyDescent="0.3">
      <c r="A22062" t="s">
        <v>0</v>
      </c>
    </row>
    <row r="22063" spans="1:1" x14ac:dyDescent="0.3">
      <c r="A22063" t="s">
        <v>0</v>
      </c>
    </row>
    <row r="22064" spans="1:1" x14ac:dyDescent="0.3">
      <c r="A22064" t="s">
        <v>0</v>
      </c>
    </row>
    <row r="22065" spans="1:1" x14ac:dyDescent="0.3">
      <c r="A22065" t="s">
        <v>0</v>
      </c>
    </row>
    <row r="22066" spans="1:1" x14ac:dyDescent="0.3">
      <c r="A22066" t="s">
        <v>0</v>
      </c>
    </row>
    <row r="22067" spans="1:1" x14ac:dyDescent="0.3">
      <c r="A22067" t="s">
        <v>0</v>
      </c>
    </row>
    <row r="22068" spans="1:1" x14ac:dyDescent="0.3">
      <c r="A22068" t="s">
        <v>0</v>
      </c>
    </row>
    <row r="22069" spans="1:1" x14ac:dyDescent="0.3">
      <c r="A22069" t="s">
        <v>0</v>
      </c>
    </row>
    <row r="22070" spans="1:1" x14ac:dyDescent="0.3">
      <c r="A22070" t="s">
        <v>0</v>
      </c>
    </row>
    <row r="22071" spans="1:1" x14ac:dyDescent="0.3">
      <c r="A22071" t="s">
        <v>0</v>
      </c>
    </row>
    <row r="22072" spans="1:1" x14ac:dyDescent="0.3">
      <c r="A22072" t="s">
        <v>0</v>
      </c>
    </row>
    <row r="22073" spans="1:1" x14ac:dyDescent="0.3">
      <c r="A22073" t="s">
        <v>0</v>
      </c>
    </row>
    <row r="22074" spans="1:1" x14ac:dyDescent="0.3">
      <c r="A22074" t="s">
        <v>0</v>
      </c>
    </row>
    <row r="22075" spans="1:1" x14ac:dyDescent="0.3">
      <c r="A22075" t="s">
        <v>0</v>
      </c>
    </row>
    <row r="22076" spans="1:1" x14ac:dyDescent="0.3">
      <c r="A22076" t="s">
        <v>0</v>
      </c>
    </row>
    <row r="22077" spans="1:1" x14ac:dyDescent="0.3">
      <c r="A22077" t="s">
        <v>0</v>
      </c>
    </row>
    <row r="22078" spans="1:1" x14ac:dyDescent="0.3">
      <c r="A22078" t="s">
        <v>0</v>
      </c>
    </row>
    <row r="22079" spans="1:1" x14ac:dyDescent="0.3">
      <c r="A22079" t="s">
        <v>0</v>
      </c>
    </row>
    <row r="22080" spans="1:1" x14ac:dyDescent="0.3">
      <c r="A22080" t="s">
        <v>0</v>
      </c>
    </row>
    <row r="22081" spans="1:1" x14ac:dyDescent="0.3">
      <c r="A22081" t="s">
        <v>0</v>
      </c>
    </row>
    <row r="22082" spans="1:1" x14ac:dyDescent="0.3">
      <c r="A22082" t="s">
        <v>0</v>
      </c>
    </row>
    <row r="22083" spans="1:1" x14ac:dyDescent="0.3">
      <c r="A22083" t="s">
        <v>0</v>
      </c>
    </row>
    <row r="22084" spans="1:1" x14ac:dyDescent="0.3">
      <c r="A22084" t="s">
        <v>0</v>
      </c>
    </row>
    <row r="22085" spans="1:1" x14ac:dyDescent="0.3">
      <c r="A22085" t="s">
        <v>0</v>
      </c>
    </row>
    <row r="22086" spans="1:1" x14ac:dyDescent="0.3">
      <c r="A22086" t="s">
        <v>0</v>
      </c>
    </row>
    <row r="22087" spans="1:1" x14ac:dyDescent="0.3">
      <c r="A22087" t="s">
        <v>0</v>
      </c>
    </row>
    <row r="22088" spans="1:1" x14ac:dyDescent="0.3">
      <c r="A22088" t="s">
        <v>0</v>
      </c>
    </row>
    <row r="22089" spans="1:1" x14ac:dyDescent="0.3">
      <c r="A22089" t="s">
        <v>0</v>
      </c>
    </row>
    <row r="22090" spans="1:1" x14ac:dyDescent="0.3">
      <c r="A22090" t="s">
        <v>0</v>
      </c>
    </row>
    <row r="22091" spans="1:1" x14ac:dyDescent="0.3">
      <c r="A22091" t="s">
        <v>0</v>
      </c>
    </row>
    <row r="22092" spans="1:1" x14ac:dyDescent="0.3">
      <c r="A22092" t="s">
        <v>0</v>
      </c>
    </row>
    <row r="22093" spans="1:1" x14ac:dyDescent="0.3">
      <c r="A22093" t="s">
        <v>0</v>
      </c>
    </row>
    <row r="22094" spans="1:1" x14ac:dyDescent="0.3">
      <c r="A22094" t="s">
        <v>0</v>
      </c>
    </row>
    <row r="22095" spans="1:1" x14ac:dyDescent="0.3">
      <c r="A22095" t="s">
        <v>0</v>
      </c>
    </row>
    <row r="22096" spans="1:1" x14ac:dyDescent="0.3">
      <c r="A22096" t="s">
        <v>0</v>
      </c>
    </row>
    <row r="22097" spans="1:1" x14ac:dyDescent="0.3">
      <c r="A22097" t="s">
        <v>0</v>
      </c>
    </row>
    <row r="22098" spans="1:1" x14ac:dyDescent="0.3">
      <c r="A22098" t="s">
        <v>0</v>
      </c>
    </row>
    <row r="22099" spans="1:1" x14ac:dyDescent="0.3">
      <c r="A22099" t="s">
        <v>0</v>
      </c>
    </row>
    <row r="22100" spans="1:1" x14ac:dyDescent="0.3">
      <c r="A22100" t="s">
        <v>0</v>
      </c>
    </row>
    <row r="22101" spans="1:1" x14ac:dyDescent="0.3">
      <c r="A22101" t="s">
        <v>0</v>
      </c>
    </row>
    <row r="22102" spans="1:1" x14ac:dyDescent="0.3">
      <c r="A22102" t="s">
        <v>0</v>
      </c>
    </row>
    <row r="22103" spans="1:1" x14ac:dyDescent="0.3">
      <c r="A22103" t="s">
        <v>0</v>
      </c>
    </row>
    <row r="22104" spans="1:1" x14ac:dyDescent="0.3">
      <c r="A22104" t="s">
        <v>0</v>
      </c>
    </row>
    <row r="22105" spans="1:1" x14ac:dyDescent="0.3">
      <c r="A22105" t="s">
        <v>0</v>
      </c>
    </row>
    <row r="22106" spans="1:1" x14ac:dyDescent="0.3">
      <c r="A22106" t="s">
        <v>0</v>
      </c>
    </row>
    <row r="22107" spans="1:1" x14ac:dyDescent="0.3">
      <c r="A22107" t="s">
        <v>0</v>
      </c>
    </row>
    <row r="22108" spans="1:1" x14ac:dyDescent="0.3">
      <c r="A22108" t="s">
        <v>0</v>
      </c>
    </row>
    <row r="22109" spans="1:1" x14ac:dyDescent="0.3">
      <c r="A22109" t="s">
        <v>0</v>
      </c>
    </row>
    <row r="22110" spans="1:1" x14ac:dyDescent="0.3">
      <c r="A22110" t="s">
        <v>0</v>
      </c>
    </row>
    <row r="22111" spans="1:1" x14ac:dyDescent="0.3">
      <c r="A22111" t="s">
        <v>0</v>
      </c>
    </row>
    <row r="22112" spans="1:1" x14ac:dyDescent="0.3">
      <c r="A22112" t="s">
        <v>0</v>
      </c>
    </row>
    <row r="22113" spans="1:1" x14ac:dyDescent="0.3">
      <c r="A22113" t="s">
        <v>0</v>
      </c>
    </row>
    <row r="22114" spans="1:1" x14ac:dyDescent="0.3">
      <c r="A22114" t="s">
        <v>0</v>
      </c>
    </row>
    <row r="22115" spans="1:1" x14ac:dyDescent="0.3">
      <c r="A22115" t="s">
        <v>0</v>
      </c>
    </row>
    <row r="22116" spans="1:1" x14ac:dyDescent="0.3">
      <c r="A22116" t="s">
        <v>0</v>
      </c>
    </row>
    <row r="22117" spans="1:1" x14ac:dyDescent="0.3">
      <c r="A22117" t="s">
        <v>0</v>
      </c>
    </row>
    <row r="22118" spans="1:1" x14ac:dyDescent="0.3">
      <c r="A22118" t="s">
        <v>0</v>
      </c>
    </row>
    <row r="22119" spans="1:1" x14ac:dyDescent="0.3">
      <c r="A22119" t="s">
        <v>0</v>
      </c>
    </row>
    <row r="22120" spans="1:1" x14ac:dyDescent="0.3">
      <c r="A22120" t="s">
        <v>0</v>
      </c>
    </row>
    <row r="22121" spans="1:1" x14ac:dyDescent="0.3">
      <c r="A22121" t="s">
        <v>0</v>
      </c>
    </row>
    <row r="22122" spans="1:1" x14ac:dyDescent="0.3">
      <c r="A22122" t="s">
        <v>0</v>
      </c>
    </row>
    <row r="22123" spans="1:1" x14ac:dyDescent="0.3">
      <c r="A22123" t="s">
        <v>0</v>
      </c>
    </row>
    <row r="22124" spans="1:1" x14ac:dyDescent="0.3">
      <c r="A22124" t="s">
        <v>0</v>
      </c>
    </row>
    <row r="22125" spans="1:1" x14ac:dyDescent="0.3">
      <c r="A22125" t="s">
        <v>0</v>
      </c>
    </row>
    <row r="22126" spans="1:1" x14ac:dyDescent="0.3">
      <c r="A22126" t="s">
        <v>0</v>
      </c>
    </row>
    <row r="22127" spans="1:1" x14ac:dyDescent="0.3">
      <c r="A22127" t="s">
        <v>0</v>
      </c>
    </row>
    <row r="22128" spans="1:1" x14ac:dyDescent="0.3">
      <c r="A22128" t="s">
        <v>0</v>
      </c>
    </row>
    <row r="22129" spans="1:1" x14ac:dyDescent="0.3">
      <c r="A22129" t="s">
        <v>0</v>
      </c>
    </row>
    <row r="22130" spans="1:1" x14ac:dyDescent="0.3">
      <c r="A22130" t="s">
        <v>0</v>
      </c>
    </row>
    <row r="22131" spans="1:1" x14ac:dyDescent="0.3">
      <c r="A22131" t="s">
        <v>0</v>
      </c>
    </row>
    <row r="22132" spans="1:1" x14ac:dyDescent="0.3">
      <c r="A22132" t="s">
        <v>0</v>
      </c>
    </row>
    <row r="22133" spans="1:1" x14ac:dyDescent="0.3">
      <c r="A22133" t="s">
        <v>0</v>
      </c>
    </row>
    <row r="22134" spans="1:1" x14ac:dyDescent="0.3">
      <c r="A22134" t="s">
        <v>0</v>
      </c>
    </row>
    <row r="22135" spans="1:1" x14ac:dyDescent="0.3">
      <c r="A22135" t="s">
        <v>0</v>
      </c>
    </row>
    <row r="22136" spans="1:1" x14ac:dyDescent="0.3">
      <c r="A22136" t="s">
        <v>0</v>
      </c>
    </row>
    <row r="22137" spans="1:1" x14ac:dyDescent="0.3">
      <c r="A22137" t="s">
        <v>0</v>
      </c>
    </row>
    <row r="22138" spans="1:1" x14ac:dyDescent="0.3">
      <c r="A22138" t="s">
        <v>0</v>
      </c>
    </row>
    <row r="22139" spans="1:1" x14ac:dyDescent="0.3">
      <c r="A22139" t="s">
        <v>0</v>
      </c>
    </row>
    <row r="22140" spans="1:1" x14ac:dyDescent="0.3">
      <c r="A22140" t="s">
        <v>0</v>
      </c>
    </row>
    <row r="22141" spans="1:1" x14ac:dyDescent="0.3">
      <c r="A22141" t="s">
        <v>0</v>
      </c>
    </row>
    <row r="22142" spans="1:1" x14ac:dyDescent="0.3">
      <c r="A22142" t="s">
        <v>0</v>
      </c>
    </row>
    <row r="22143" spans="1:1" x14ac:dyDescent="0.3">
      <c r="A22143" t="s">
        <v>0</v>
      </c>
    </row>
    <row r="22144" spans="1:1" x14ac:dyDescent="0.3">
      <c r="A22144" t="s">
        <v>0</v>
      </c>
    </row>
    <row r="22145" spans="1:1" x14ac:dyDescent="0.3">
      <c r="A22145" t="s">
        <v>0</v>
      </c>
    </row>
    <row r="22146" spans="1:1" x14ac:dyDescent="0.3">
      <c r="A22146" t="s">
        <v>0</v>
      </c>
    </row>
    <row r="22147" spans="1:1" x14ac:dyDescent="0.3">
      <c r="A22147" t="s">
        <v>0</v>
      </c>
    </row>
    <row r="22148" spans="1:1" x14ac:dyDescent="0.3">
      <c r="A22148" t="s">
        <v>0</v>
      </c>
    </row>
    <row r="22149" spans="1:1" x14ac:dyDescent="0.3">
      <c r="A22149" t="s">
        <v>0</v>
      </c>
    </row>
    <row r="22150" spans="1:1" x14ac:dyDescent="0.3">
      <c r="A22150" t="s">
        <v>0</v>
      </c>
    </row>
    <row r="22151" spans="1:1" x14ac:dyDescent="0.3">
      <c r="A22151" t="s">
        <v>0</v>
      </c>
    </row>
    <row r="22152" spans="1:1" x14ac:dyDescent="0.3">
      <c r="A22152" t="s">
        <v>0</v>
      </c>
    </row>
    <row r="22153" spans="1:1" x14ac:dyDescent="0.3">
      <c r="A22153" t="s">
        <v>0</v>
      </c>
    </row>
    <row r="22154" spans="1:1" x14ac:dyDescent="0.3">
      <c r="A22154" t="s">
        <v>0</v>
      </c>
    </row>
    <row r="22155" spans="1:1" x14ac:dyDescent="0.3">
      <c r="A22155" t="s">
        <v>0</v>
      </c>
    </row>
    <row r="22156" spans="1:1" x14ac:dyDescent="0.3">
      <c r="A22156" t="s">
        <v>0</v>
      </c>
    </row>
    <row r="22157" spans="1:1" x14ac:dyDescent="0.3">
      <c r="A22157" t="s">
        <v>0</v>
      </c>
    </row>
    <row r="22158" spans="1:1" x14ac:dyDescent="0.3">
      <c r="A22158" t="s">
        <v>0</v>
      </c>
    </row>
    <row r="22159" spans="1:1" x14ac:dyDescent="0.3">
      <c r="A22159" t="s">
        <v>0</v>
      </c>
    </row>
    <row r="22160" spans="1:1" x14ac:dyDescent="0.3">
      <c r="A22160" t="s">
        <v>0</v>
      </c>
    </row>
    <row r="22161" spans="1:1" x14ac:dyDescent="0.3">
      <c r="A22161" t="s">
        <v>0</v>
      </c>
    </row>
    <row r="22162" spans="1:1" x14ac:dyDescent="0.3">
      <c r="A22162" t="s">
        <v>0</v>
      </c>
    </row>
    <row r="22163" spans="1:1" x14ac:dyDescent="0.3">
      <c r="A22163" t="s">
        <v>0</v>
      </c>
    </row>
    <row r="22164" spans="1:1" x14ac:dyDescent="0.3">
      <c r="A22164" t="s">
        <v>0</v>
      </c>
    </row>
    <row r="22165" spans="1:1" x14ac:dyDescent="0.3">
      <c r="A22165" t="s">
        <v>0</v>
      </c>
    </row>
    <row r="22166" spans="1:1" x14ac:dyDescent="0.3">
      <c r="A22166" t="s">
        <v>0</v>
      </c>
    </row>
    <row r="22167" spans="1:1" x14ac:dyDescent="0.3">
      <c r="A22167" t="s">
        <v>0</v>
      </c>
    </row>
    <row r="22168" spans="1:1" x14ac:dyDescent="0.3">
      <c r="A22168" t="s">
        <v>0</v>
      </c>
    </row>
    <row r="22169" spans="1:1" x14ac:dyDescent="0.3">
      <c r="A22169" t="s">
        <v>0</v>
      </c>
    </row>
    <row r="22170" spans="1:1" x14ac:dyDescent="0.3">
      <c r="A22170" t="s">
        <v>0</v>
      </c>
    </row>
    <row r="22171" spans="1:1" x14ac:dyDescent="0.3">
      <c r="A22171" t="s">
        <v>0</v>
      </c>
    </row>
    <row r="22172" spans="1:1" x14ac:dyDescent="0.3">
      <c r="A22172" t="s">
        <v>0</v>
      </c>
    </row>
    <row r="22173" spans="1:1" x14ac:dyDescent="0.3">
      <c r="A22173" t="s">
        <v>0</v>
      </c>
    </row>
    <row r="22174" spans="1:1" x14ac:dyDescent="0.3">
      <c r="A22174" t="s">
        <v>0</v>
      </c>
    </row>
    <row r="22175" spans="1:1" x14ac:dyDescent="0.3">
      <c r="A22175" t="s">
        <v>0</v>
      </c>
    </row>
    <row r="22176" spans="1:1" x14ac:dyDescent="0.3">
      <c r="A22176" t="s">
        <v>0</v>
      </c>
    </row>
    <row r="22177" spans="1:1" x14ac:dyDescent="0.3">
      <c r="A22177" t="s">
        <v>0</v>
      </c>
    </row>
    <row r="22178" spans="1:1" x14ac:dyDescent="0.3">
      <c r="A22178" t="s">
        <v>0</v>
      </c>
    </row>
    <row r="22179" spans="1:1" x14ac:dyDescent="0.3">
      <c r="A22179" t="s">
        <v>0</v>
      </c>
    </row>
    <row r="22180" spans="1:1" x14ac:dyDescent="0.3">
      <c r="A22180" t="s">
        <v>0</v>
      </c>
    </row>
    <row r="22181" spans="1:1" x14ac:dyDescent="0.3">
      <c r="A22181" t="s">
        <v>0</v>
      </c>
    </row>
    <row r="22182" spans="1:1" x14ac:dyDescent="0.3">
      <c r="A22182" t="s">
        <v>0</v>
      </c>
    </row>
    <row r="22183" spans="1:1" x14ac:dyDescent="0.3">
      <c r="A22183" t="s">
        <v>0</v>
      </c>
    </row>
    <row r="22184" spans="1:1" x14ac:dyDescent="0.3">
      <c r="A22184" t="s">
        <v>0</v>
      </c>
    </row>
    <row r="22185" spans="1:1" x14ac:dyDescent="0.3">
      <c r="A22185" t="s">
        <v>0</v>
      </c>
    </row>
    <row r="22186" spans="1:1" x14ac:dyDescent="0.3">
      <c r="A22186" t="s">
        <v>0</v>
      </c>
    </row>
    <row r="22187" spans="1:1" x14ac:dyDescent="0.3">
      <c r="A22187" t="s">
        <v>0</v>
      </c>
    </row>
    <row r="22188" spans="1:1" x14ac:dyDescent="0.3">
      <c r="A22188" t="s">
        <v>0</v>
      </c>
    </row>
    <row r="22189" spans="1:1" x14ac:dyDescent="0.3">
      <c r="A22189" t="s">
        <v>0</v>
      </c>
    </row>
    <row r="22190" spans="1:1" x14ac:dyDescent="0.3">
      <c r="A22190" t="s">
        <v>0</v>
      </c>
    </row>
    <row r="22191" spans="1:1" x14ac:dyDescent="0.3">
      <c r="A22191" t="s">
        <v>0</v>
      </c>
    </row>
    <row r="22192" spans="1:1" x14ac:dyDescent="0.3">
      <c r="A22192" t="s">
        <v>0</v>
      </c>
    </row>
    <row r="22193" spans="1:1" x14ac:dyDescent="0.3">
      <c r="A22193" t="s">
        <v>0</v>
      </c>
    </row>
    <row r="22194" spans="1:1" x14ac:dyDescent="0.3">
      <c r="A22194" t="s">
        <v>0</v>
      </c>
    </row>
    <row r="22195" spans="1:1" x14ac:dyDescent="0.3">
      <c r="A22195" t="s">
        <v>0</v>
      </c>
    </row>
    <row r="22196" spans="1:1" x14ac:dyDescent="0.3">
      <c r="A22196" t="s">
        <v>0</v>
      </c>
    </row>
    <row r="22197" spans="1:1" x14ac:dyDescent="0.3">
      <c r="A22197" t="s">
        <v>0</v>
      </c>
    </row>
    <row r="22198" spans="1:1" x14ac:dyDescent="0.3">
      <c r="A22198" t="s">
        <v>0</v>
      </c>
    </row>
    <row r="22199" spans="1:1" x14ac:dyDescent="0.3">
      <c r="A22199" t="s">
        <v>0</v>
      </c>
    </row>
    <row r="22200" spans="1:1" x14ac:dyDescent="0.3">
      <c r="A22200" t="s">
        <v>0</v>
      </c>
    </row>
    <row r="22201" spans="1:1" x14ac:dyDescent="0.3">
      <c r="A22201" t="s">
        <v>0</v>
      </c>
    </row>
    <row r="22202" spans="1:1" x14ac:dyDescent="0.3">
      <c r="A22202" t="s">
        <v>0</v>
      </c>
    </row>
    <row r="22203" spans="1:1" x14ac:dyDescent="0.3">
      <c r="A22203" t="s">
        <v>0</v>
      </c>
    </row>
    <row r="22204" spans="1:1" x14ac:dyDescent="0.3">
      <c r="A22204" t="s">
        <v>0</v>
      </c>
    </row>
    <row r="22205" spans="1:1" x14ac:dyDescent="0.3">
      <c r="A22205" t="s">
        <v>0</v>
      </c>
    </row>
    <row r="22206" spans="1:1" x14ac:dyDescent="0.3">
      <c r="A22206" t="s">
        <v>0</v>
      </c>
    </row>
    <row r="22207" spans="1:1" x14ac:dyDescent="0.3">
      <c r="A22207" t="s">
        <v>0</v>
      </c>
    </row>
    <row r="22208" spans="1:1" x14ac:dyDescent="0.3">
      <c r="A22208" t="s">
        <v>0</v>
      </c>
    </row>
    <row r="22209" spans="1:1" x14ac:dyDescent="0.3">
      <c r="A22209" t="s">
        <v>0</v>
      </c>
    </row>
    <row r="22210" spans="1:1" x14ac:dyDescent="0.3">
      <c r="A22210" t="s">
        <v>0</v>
      </c>
    </row>
    <row r="22211" spans="1:1" x14ac:dyDescent="0.3">
      <c r="A22211" t="s">
        <v>0</v>
      </c>
    </row>
    <row r="22212" spans="1:1" x14ac:dyDescent="0.3">
      <c r="A22212" t="s">
        <v>0</v>
      </c>
    </row>
    <row r="22213" spans="1:1" x14ac:dyDescent="0.3">
      <c r="A22213" t="s">
        <v>0</v>
      </c>
    </row>
    <row r="22214" spans="1:1" x14ac:dyDescent="0.3">
      <c r="A22214" t="s">
        <v>0</v>
      </c>
    </row>
    <row r="22215" spans="1:1" x14ac:dyDescent="0.3">
      <c r="A22215" t="s">
        <v>0</v>
      </c>
    </row>
    <row r="22216" spans="1:1" x14ac:dyDescent="0.3">
      <c r="A22216" t="s">
        <v>0</v>
      </c>
    </row>
    <row r="22217" spans="1:1" x14ac:dyDescent="0.3">
      <c r="A22217" t="s">
        <v>0</v>
      </c>
    </row>
    <row r="22218" spans="1:1" x14ac:dyDescent="0.3">
      <c r="A22218" t="s">
        <v>0</v>
      </c>
    </row>
    <row r="22219" spans="1:1" x14ac:dyDescent="0.3">
      <c r="A22219" t="s">
        <v>0</v>
      </c>
    </row>
    <row r="22220" spans="1:1" x14ac:dyDescent="0.3">
      <c r="A22220" t="s">
        <v>0</v>
      </c>
    </row>
    <row r="22221" spans="1:1" x14ac:dyDescent="0.3">
      <c r="A22221" t="s">
        <v>0</v>
      </c>
    </row>
    <row r="22222" spans="1:1" x14ac:dyDescent="0.3">
      <c r="A22222" t="s">
        <v>0</v>
      </c>
    </row>
    <row r="22223" spans="1:1" x14ac:dyDescent="0.3">
      <c r="A22223" t="s">
        <v>0</v>
      </c>
    </row>
    <row r="22224" spans="1:1" x14ac:dyDescent="0.3">
      <c r="A22224" t="s">
        <v>0</v>
      </c>
    </row>
    <row r="22225" spans="1:1" x14ac:dyDescent="0.3">
      <c r="A22225" t="s">
        <v>0</v>
      </c>
    </row>
    <row r="22226" spans="1:1" x14ac:dyDescent="0.3">
      <c r="A22226" t="s">
        <v>0</v>
      </c>
    </row>
    <row r="22227" spans="1:1" x14ac:dyDescent="0.3">
      <c r="A22227" t="s">
        <v>0</v>
      </c>
    </row>
    <row r="22228" spans="1:1" x14ac:dyDescent="0.3">
      <c r="A22228" t="s">
        <v>0</v>
      </c>
    </row>
    <row r="22229" spans="1:1" x14ac:dyDescent="0.3">
      <c r="A22229" t="s">
        <v>0</v>
      </c>
    </row>
    <row r="22230" spans="1:1" x14ac:dyDescent="0.3">
      <c r="A22230" t="s">
        <v>0</v>
      </c>
    </row>
    <row r="22231" spans="1:1" x14ac:dyDescent="0.3">
      <c r="A22231" t="s">
        <v>0</v>
      </c>
    </row>
    <row r="22232" spans="1:1" x14ac:dyDescent="0.3">
      <c r="A22232" t="s">
        <v>0</v>
      </c>
    </row>
    <row r="22233" spans="1:1" x14ac:dyDescent="0.3">
      <c r="A22233" t="s">
        <v>0</v>
      </c>
    </row>
    <row r="22234" spans="1:1" x14ac:dyDescent="0.3">
      <c r="A22234" t="s">
        <v>0</v>
      </c>
    </row>
    <row r="22235" spans="1:1" x14ac:dyDescent="0.3">
      <c r="A22235" t="s">
        <v>0</v>
      </c>
    </row>
    <row r="22236" spans="1:1" x14ac:dyDescent="0.3">
      <c r="A22236" t="s">
        <v>0</v>
      </c>
    </row>
    <row r="22237" spans="1:1" x14ac:dyDescent="0.3">
      <c r="A22237" t="s">
        <v>0</v>
      </c>
    </row>
    <row r="22238" spans="1:1" x14ac:dyDescent="0.3">
      <c r="A22238" t="s">
        <v>0</v>
      </c>
    </row>
    <row r="22239" spans="1:1" x14ac:dyDescent="0.3">
      <c r="A22239" t="s">
        <v>0</v>
      </c>
    </row>
    <row r="22240" spans="1:1" x14ac:dyDescent="0.3">
      <c r="A22240" t="s">
        <v>0</v>
      </c>
    </row>
    <row r="22241" spans="1:1" x14ac:dyDescent="0.3">
      <c r="A22241" t="s">
        <v>0</v>
      </c>
    </row>
    <row r="22242" spans="1:1" x14ac:dyDescent="0.3">
      <c r="A22242" t="s">
        <v>0</v>
      </c>
    </row>
    <row r="22243" spans="1:1" x14ac:dyDescent="0.3">
      <c r="A22243" t="s">
        <v>0</v>
      </c>
    </row>
    <row r="22244" spans="1:1" x14ac:dyDescent="0.3">
      <c r="A22244" t="s">
        <v>0</v>
      </c>
    </row>
    <row r="22245" spans="1:1" x14ac:dyDescent="0.3">
      <c r="A22245" t="s">
        <v>0</v>
      </c>
    </row>
    <row r="22246" spans="1:1" x14ac:dyDescent="0.3">
      <c r="A22246" t="s">
        <v>0</v>
      </c>
    </row>
    <row r="22247" spans="1:1" x14ac:dyDescent="0.3">
      <c r="A22247" t="s">
        <v>0</v>
      </c>
    </row>
    <row r="22248" spans="1:1" x14ac:dyDescent="0.3">
      <c r="A22248" t="s">
        <v>0</v>
      </c>
    </row>
    <row r="22249" spans="1:1" x14ac:dyDescent="0.3">
      <c r="A22249" t="s">
        <v>0</v>
      </c>
    </row>
    <row r="22250" spans="1:1" x14ac:dyDescent="0.3">
      <c r="A22250" t="s">
        <v>0</v>
      </c>
    </row>
    <row r="22251" spans="1:1" x14ac:dyDescent="0.3">
      <c r="A22251" t="s">
        <v>0</v>
      </c>
    </row>
    <row r="22252" spans="1:1" x14ac:dyDescent="0.3">
      <c r="A22252" t="s">
        <v>0</v>
      </c>
    </row>
    <row r="22253" spans="1:1" x14ac:dyDescent="0.3">
      <c r="A22253" t="s">
        <v>0</v>
      </c>
    </row>
    <row r="22254" spans="1:1" x14ac:dyDescent="0.3">
      <c r="A22254" t="s">
        <v>0</v>
      </c>
    </row>
    <row r="22255" spans="1:1" x14ac:dyDescent="0.3">
      <c r="A22255" t="s">
        <v>0</v>
      </c>
    </row>
    <row r="22256" spans="1:1" x14ac:dyDescent="0.3">
      <c r="A22256" t="s">
        <v>0</v>
      </c>
    </row>
    <row r="22257" spans="1:1" x14ac:dyDescent="0.3">
      <c r="A22257" t="s">
        <v>0</v>
      </c>
    </row>
    <row r="22258" spans="1:1" x14ac:dyDescent="0.3">
      <c r="A22258" t="s">
        <v>0</v>
      </c>
    </row>
    <row r="22259" spans="1:1" x14ac:dyDescent="0.3">
      <c r="A22259" t="s">
        <v>0</v>
      </c>
    </row>
    <row r="22260" spans="1:1" x14ac:dyDescent="0.3">
      <c r="A22260" t="s">
        <v>0</v>
      </c>
    </row>
    <row r="22261" spans="1:1" x14ac:dyDescent="0.3">
      <c r="A22261" t="s">
        <v>0</v>
      </c>
    </row>
    <row r="22262" spans="1:1" x14ac:dyDescent="0.3">
      <c r="A22262" t="s">
        <v>0</v>
      </c>
    </row>
    <row r="22263" spans="1:1" x14ac:dyDescent="0.3">
      <c r="A22263" t="s">
        <v>0</v>
      </c>
    </row>
    <row r="22264" spans="1:1" x14ac:dyDescent="0.3">
      <c r="A22264" t="s">
        <v>0</v>
      </c>
    </row>
    <row r="22265" spans="1:1" x14ac:dyDescent="0.3">
      <c r="A22265" t="s">
        <v>0</v>
      </c>
    </row>
    <row r="22266" spans="1:1" x14ac:dyDescent="0.3">
      <c r="A22266" t="s">
        <v>0</v>
      </c>
    </row>
    <row r="22267" spans="1:1" x14ac:dyDescent="0.3">
      <c r="A22267" t="s">
        <v>0</v>
      </c>
    </row>
    <row r="22268" spans="1:1" x14ac:dyDescent="0.3">
      <c r="A22268" t="s">
        <v>0</v>
      </c>
    </row>
    <row r="22269" spans="1:1" x14ac:dyDescent="0.3">
      <c r="A22269" t="s">
        <v>0</v>
      </c>
    </row>
    <row r="22270" spans="1:1" x14ac:dyDescent="0.3">
      <c r="A22270" t="s">
        <v>0</v>
      </c>
    </row>
    <row r="22271" spans="1:1" x14ac:dyDescent="0.3">
      <c r="A22271" t="s">
        <v>0</v>
      </c>
    </row>
    <row r="22272" spans="1:1" x14ac:dyDescent="0.3">
      <c r="A22272" t="s">
        <v>0</v>
      </c>
    </row>
    <row r="22273" spans="1:1" x14ac:dyDescent="0.3">
      <c r="A22273" t="s">
        <v>0</v>
      </c>
    </row>
    <row r="22274" spans="1:1" x14ac:dyDescent="0.3">
      <c r="A22274" t="s">
        <v>0</v>
      </c>
    </row>
    <row r="22275" spans="1:1" x14ac:dyDescent="0.3">
      <c r="A22275" t="s">
        <v>0</v>
      </c>
    </row>
    <row r="22276" spans="1:1" x14ac:dyDescent="0.3">
      <c r="A22276" t="s">
        <v>0</v>
      </c>
    </row>
    <row r="22277" spans="1:1" x14ac:dyDescent="0.3">
      <c r="A22277" t="s">
        <v>0</v>
      </c>
    </row>
    <row r="22278" spans="1:1" x14ac:dyDescent="0.3">
      <c r="A22278" t="s">
        <v>0</v>
      </c>
    </row>
    <row r="22279" spans="1:1" x14ac:dyDescent="0.3">
      <c r="A22279" t="s">
        <v>0</v>
      </c>
    </row>
    <row r="22280" spans="1:1" x14ac:dyDescent="0.3">
      <c r="A22280" t="s">
        <v>0</v>
      </c>
    </row>
    <row r="22281" spans="1:1" x14ac:dyDescent="0.3">
      <c r="A22281" t="s">
        <v>0</v>
      </c>
    </row>
    <row r="22282" spans="1:1" x14ac:dyDescent="0.3">
      <c r="A22282" t="s">
        <v>0</v>
      </c>
    </row>
    <row r="22283" spans="1:1" x14ac:dyDescent="0.3">
      <c r="A22283" t="s">
        <v>0</v>
      </c>
    </row>
    <row r="22284" spans="1:1" x14ac:dyDescent="0.3">
      <c r="A22284" t="s">
        <v>0</v>
      </c>
    </row>
    <row r="22285" spans="1:1" x14ac:dyDescent="0.3">
      <c r="A22285" t="s">
        <v>0</v>
      </c>
    </row>
    <row r="22286" spans="1:1" x14ac:dyDescent="0.3">
      <c r="A22286" t="s">
        <v>0</v>
      </c>
    </row>
    <row r="22287" spans="1:1" x14ac:dyDescent="0.3">
      <c r="A22287" t="s">
        <v>0</v>
      </c>
    </row>
    <row r="22288" spans="1:1" x14ac:dyDescent="0.3">
      <c r="A22288" t="s">
        <v>0</v>
      </c>
    </row>
    <row r="22289" spans="1:1" x14ac:dyDescent="0.3">
      <c r="A22289" t="s">
        <v>0</v>
      </c>
    </row>
    <row r="22290" spans="1:1" x14ac:dyDescent="0.3">
      <c r="A22290" t="s">
        <v>0</v>
      </c>
    </row>
    <row r="22291" spans="1:1" x14ac:dyDescent="0.3">
      <c r="A22291" t="s">
        <v>0</v>
      </c>
    </row>
    <row r="22292" spans="1:1" x14ac:dyDescent="0.3">
      <c r="A22292" t="s">
        <v>0</v>
      </c>
    </row>
    <row r="22293" spans="1:1" x14ac:dyDescent="0.3">
      <c r="A22293" t="s">
        <v>0</v>
      </c>
    </row>
    <row r="22294" spans="1:1" x14ac:dyDescent="0.3">
      <c r="A22294" t="s">
        <v>0</v>
      </c>
    </row>
    <row r="22295" spans="1:1" x14ac:dyDescent="0.3">
      <c r="A22295" t="s">
        <v>0</v>
      </c>
    </row>
    <row r="22296" spans="1:1" x14ac:dyDescent="0.3">
      <c r="A22296" t="s">
        <v>0</v>
      </c>
    </row>
    <row r="22297" spans="1:1" x14ac:dyDescent="0.3">
      <c r="A22297" t="s">
        <v>0</v>
      </c>
    </row>
    <row r="22298" spans="1:1" x14ac:dyDescent="0.3">
      <c r="A22298" t="s">
        <v>0</v>
      </c>
    </row>
    <row r="22299" spans="1:1" x14ac:dyDescent="0.3">
      <c r="A22299" t="s">
        <v>0</v>
      </c>
    </row>
    <row r="22300" spans="1:1" x14ac:dyDescent="0.3">
      <c r="A22300" t="s">
        <v>0</v>
      </c>
    </row>
    <row r="22301" spans="1:1" x14ac:dyDescent="0.3">
      <c r="A22301" t="s">
        <v>0</v>
      </c>
    </row>
    <row r="22302" spans="1:1" x14ac:dyDescent="0.3">
      <c r="A22302" t="s">
        <v>0</v>
      </c>
    </row>
    <row r="22303" spans="1:1" x14ac:dyDescent="0.3">
      <c r="A22303" t="s">
        <v>0</v>
      </c>
    </row>
    <row r="22304" spans="1:1" x14ac:dyDescent="0.3">
      <c r="A22304" t="s">
        <v>0</v>
      </c>
    </row>
    <row r="22305" spans="1:1" x14ac:dyDescent="0.3">
      <c r="A22305" t="s">
        <v>0</v>
      </c>
    </row>
    <row r="22306" spans="1:1" x14ac:dyDescent="0.3">
      <c r="A22306" t="s">
        <v>0</v>
      </c>
    </row>
    <row r="22307" spans="1:1" x14ac:dyDescent="0.3">
      <c r="A22307" t="s">
        <v>0</v>
      </c>
    </row>
    <row r="22308" spans="1:1" x14ac:dyDescent="0.3">
      <c r="A22308" t="s">
        <v>0</v>
      </c>
    </row>
    <row r="22309" spans="1:1" x14ac:dyDescent="0.3">
      <c r="A22309" t="s">
        <v>0</v>
      </c>
    </row>
    <row r="22310" spans="1:1" x14ac:dyDescent="0.3">
      <c r="A22310" t="s">
        <v>0</v>
      </c>
    </row>
    <row r="22311" spans="1:1" x14ac:dyDescent="0.3">
      <c r="A22311" t="s">
        <v>0</v>
      </c>
    </row>
    <row r="22312" spans="1:1" x14ac:dyDescent="0.3">
      <c r="A22312" t="s">
        <v>0</v>
      </c>
    </row>
    <row r="22313" spans="1:1" x14ac:dyDescent="0.3">
      <c r="A22313" t="s">
        <v>0</v>
      </c>
    </row>
    <row r="22314" spans="1:1" x14ac:dyDescent="0.3">
      <c r="A22314" t="s">
        <v>0</v>
      </c>
    </row>
    <row r="22315" spans="1:1" x14ac:dyDescent="0.3">
      <c r="A22315" t="s">
        <v>0</v>
      </c>
    </row>
    <row r="22316" spans="1:1" x14ac:dyDescent="0.3">
      <c r="A22316" t="s">
        <v>0</v>
      </c>
    </row>
    <row r="22317" spans="1:1" x14ac:dyDescent="0.3">
      <c r="A22317" t="s">
        <v>0</v>
      </c>
    </row>
    <row r="22318" spans="1:1" x14ac:dyDescent="0.3">
      <c r="A22318" t="s">
        <v>0</v>
      </c>
    </row>
    <row r="22319" spans="1:1" x14ac:dyDescent="0.3">
      <c r="A22319" t="s">
        <v>0</v>
      </c>
    </row>
    <row r="22320" spans="1:1" x14ac:dyDescent="0.3">
      <c r="A22320" t="s">
        <v>0</v>
      </c>
    </row>
    <row r="22321" spans="1:1" x14ac:dyDescent="0.3">
      <c r="A22321" t="s">
        <v>0</v>
      </c>
    </row>
    <row r="22322" spans="1:1" x14ac:dyDescent="0.3">
      <c r="A22322" t="s">
        <v>0</v>
      </c>
    </row>
    <row r="22323" spans="1:1" x14ac:dyDescent="0.3">
      <c r="A22323" t="s">
        <v>0</v>
      </c>
    </row>
    <row r="22324" spans="1:1" x14ac:dyDescent="0.3">
      <c r="A22324" t="s">
        <v>0</v>
      </c>
    </row>
    <row r="22325" spans="1:1" x14ac:dyDescent="0.3">
      <c r="A22325" t="s">
        <v>0</v>
      </c>
    </row>
    <row r="22326" spans="1:1" x14ac:dyDescent="0.3">
      <c r="A22326" t="s">
        <v>0</v>
      </c>
    </row>
    <row r="22327" spans="1:1" x14ac:dyDescent="0.3">
      <c r="A22327" t="s">
        <v>0</v>
      </c>
    </row>
    <row r="22328" spans="1:1" x14ac:dyDescent="0.3">
      <c r="A22328" t="s">
        <v>0</v>
      </c>
    </row>
    <row r="22329" spans="1:1" x14ac:dyDescent="0.3">
      <c r="A22329" t="s">
        <v>0</v>
      </c>
    </row>
    <row r="22330" spans="1:1" x14ac:dyDescent="0.3">
      <c r="A22330" t="s">
        <v>0</v>
      </c>
    </row>
    <row r="22331" spans="1:1" x14ac:dyDescent="0.3">
      <c r="A22331" t="s">
        <v>0</v>
      </c>
    </row>
    <row r="22332" spans="1:1" x14ac:dyDescent="0.3">
      <c r="A22332" t="s">
        <v>0</v>
      </c>
    </row>
    <row r="22333" spans="1:1" x14ac:dyDescent="0.3">
      <c r="A22333" t="s">
        <v>0</v>
      </c>
    </row>
    <row r="22334" spans="1:1" x14ac:dyDescent="0.3">
      <c r="A22334" t="s">
        <v>0</v>
      </c>
    </row>
    <row r="22335" spans="1:1" x14ac:dyDescent="0.3">
      <c r="A22335" t="s">
        <v>0</v>
      </c>
    </row>
    <row r="22336" spans="1:1" x14ac:dyDescent="0.3">
      <c r="A22336" t="s">
        <v>0</v>
      </c>
    </row>
    <row r="22337" spans="1:1" x14ac:dyDescent="0.3">
      <c r="A22337" t="s">
        <v>0</v>
      </c>
    </row>
    <row r="22338" spans="1:1" x14ac:dyDescent="0.3">
      <c r="A22338" t="s">
        <v>0</v>
      </c>
    </row>
    <row r="22339" spans="1:1" x14ac:dyDescent="0.3">
      <c r="A22339" t="s">
        <v>0</v>
      </c>
    </row>
    <row r="22340" spans="1:1" x14ac:dyDescent="0.3">
      <c r="A22340" t="s">
        <v>0</v>
      </c>
    </row>
    <row r="22341" spans="1:1" x14ac:dyDescent="0.3">
      <c r="A22341" t="s">
        <v>0</v>
      </c>
    </row>
    <row r="22342" spans="1:1" x14ac:dyDescent="0.3">
      <c r="A22342" t="s">
        <v>0</v>
      </c>
    </row>
    <row r="22343" spans="1:1" x14ac:dyDescent="0.3">
      <c r="A22343" t="s">
        <v>0</v>
      </c>
    </row>
    <row r="22344" spans="1:1" x14ac:dyDescent="0.3">
      <c r="A22344" t="s">
        <v>0</v>
      </c>
    </row>
    <row r="22345" spans="1:1" x14ac:dyDescent="0.3">
      <c r="A22345" t="s">
        <v>0</v>
      </c>
    </row>
    <row r="22346" spans="1:1" x14ac:dyDescent="0.3">
      <c r="A22346" t="s">
        <v>0</v>
      </c>
    </row>
    <row r="22347" spans="1:1" x14ac:dyDescent="0.3">
      <c r="A22347" t="s">
        <v>0</v>
      </c>
    </row>
    <row r="22348" spans="1:1" x14ac:dyDescent="0.3">
      <c r="A22348" t="s">
        <v>0</v>
      </c>
    </row>
    <row r="22349" spans="1:1" x14ac:dyDescent="0.3">
      <c r="A22349" t="s">
        <v>0</v>
      </c>
    </row>
    <row r="22350" spans="1:1" x14ac:dyDescent="0.3">
      <c r="A22350" t="s">
        <v>0</v>
      </c>
    </row>
    <row r="22351" spans="1:1" x14ac:dyDescent="0.3">
      <c r="A22351" t="s">
        <v>0</v>
      </c>
    </row>
    <row r="22352" spans="1:1" x14ac:dyDescent="0.3">
      <c r="A22352" t="s">
        <v>0</v>
      </c>
    </row>
    <row r="22353" spans="1:1" x14ac:dyDescent="0.3">
      <c r="A22353" t="s">
        <v>0</v>
      </c>
    </row>
    <row r="22354" spans="1:1" x14ac:dyDescent="0.3">
      <c r="A22354" t="s">
        <v>0</v>
      </c>
    </row>
    <row r="22355" spans="1:1" x14ac:dyDescent="0.3">
      <c r="A22355" t="s">
        <v>0</v>
      </c>
    </row>
    <row r="22356" spans="1:1" x14ac:dyDescent="0.3">
      <c r="A22356" t="s">
        <v>0</v>
      </c>
    </row>
    <row r="22357" spans="1:1" x14ac:dyDescent="0.3">
      <c r="A22357" t="s">
        <v>0</v>
      </c>
    </row>
    <row r="22358" spans="1:1" x14ac:dyDescent="0.3">
      <c r="A22358" t="s">
        <v>0</v>
      </c>
    </row>
    <row r="22359" spans="1:1" x14ac:dyDescent="0.3">
      <c r="A22359" t="s">
        <v>0</v>
      </c>
    </row>
    <row r="22360" spans="1:1" x14ac:dyDescent="0.3">
      <c r="A22360" t="s">
        <v>0</v>
      </c>
    </row>
    <row r="22361" spans="1:1" x14ac:dyDescent="0.3">
      <c r="A22361" t="s">
        <v>0</v>
      </c>
    </row>
    <row r="22362" spans="1:1" x14ac:dyDescent="0.3">
      <c r="A22362" t="s">
        <v>0</v>
      </c>
    </row>
    <row r="22363" spans="1:1" x14ac:dyDescent="0.3">
      <c r="A22363" t="s">
        <v>0</v>
      </c>
    </row>
    <row r="22364" spans="1:1" x14ac:dyDescent="0.3">
      <c r="A22364" t="s">
        <v>0</v>
      </c>
    </row>
    <row r="22365" spans="1:1" x14ac:dyDescent="0.3">
      <c r="A22365" t="s">
        <v>0</v>
      </c>
    </row>
    <row r="22366" spans="1:1" x14ac:dyDescent="0.3">
      <c r="A22366" t="s">
        <v>0</v>
      </c>
    </row>
    <row r="22367" spans="1:1" x14ac:dyDescent="0.3">
      <c r="A22367" t="s">
        <v>0</v>
      </c>
    </row>
    <row r="22368" spans="1:1" x14ac:dyDescent="0.3">
      <c r="A22368" t="s">
        <v>0</v>
      </c>
    </row>
    <row r="22369" spans="1:1" x14ac:dyDescent="0.3">
      <c r="A22369" t="s">
        <v>0</v>
      </c>
    </row>
    <row r="22370" spans="1:1" x14ac:dyDescent="0.3">
      <c r="A22370" t="s">
        <v>0</v>
      </c>
    </row>
    <row r="22371" spans="1:1" x14ac:dyDescent="0.3">
      <c r="A22371" t="s">
        <v>0</v>
      </c>
    </row>
    <row r="22372" spans="1:1" x14ac:dyDescent="0.3">
      <c r="A22372" t="s">
        <v>0</v>
      </c>
    </row>
    <row r="22373" spans="1:1" x14ac:dyDescent="0.3">
      <c r="A22373" t="s">
        <v>0</v>
      </c>
    </row>
    <row r="22374" spans="1:1" x14ac:dyDescent="0.3">
      <c r="A22374" t="s">
        <v>0</v>
      </c>
    </row>
    <row r="22375" spans="1:1" x14ac:dyDescent="0.3">
      <c r="A22375" t="s">
        <v>0</v>
      </c>
    </row>
    <row r="22376" spans="1:1" x14ac:dyDescent="0.3">
      <c r="A22376" t="s">
        <v>0</v>
      </c>
    </row>
    <row r="22377" spans="1:1" x14ac:dyDescent="0.3">
      <c r="A22377" t="s">
        <v>0</v>
      </c>
    </row>
    <row r="22378" spans="1:1" x14ac:dyDescent="0.3">
      <c r="A22378" t="s">
        <v>0</v>
      </c>
    </row>
    <row r="22379" spans="1:1" x14ac:dyDescent="0.3">
      <c r="A22379" t="s">
        <v>0</v>
      </c>
    </row>
    <row r="22380" spans="1:1" x14ac:dyDescent="0.3">
      <c r="A22380" t="s">
        <v>0</v>
      </c>
    </row>
    <row r="22381" spans="1:1" x14ac:dyDescent="0.3">
      <c r="A22381" t="s">
        <v>0</v>
      </c>
    </row>
    <row r="22382" spans="1:1" x14ac:dyDescent="0.3">
      <c r="A22382" t="s">
        <v>0</v>
      </c>
    </row>
    <row r="22383" spans="1:1" x14ac:dyDescent="0.3">
      <c r="A22383" t="s">
        <v>0</v>
      </c>
    </row>
    <row r="22384" spans="1:1" x14ac:dyDescent="0.3">
      <c r="A22384" t="s">
        <v>0</v>
      </c>
    </row>
    <row r="22385" spans="1:1" x14ac:dyDescent="0.3">
      <c r="A22385" t="s">
        <v>0</v>
      </c>
    </row>
    <row r="22386" spans="1:1" x14ac:dyDescent="0.3">
      <c r="A22386" t="s">
        <v>0</v>
      </c>
    </row>
    <row r="22387" spans="1:1" x14ac:dyDescent="0.3">
      <c r="A22387" t="s">
        <v>0</v>
      </c>
    </row>
    <row r="22388" spans="1:1" x14ac:dyDescent="0.3">
      <c r="A22388" t="s">
        <v>0</v>
      </c>
    </row>
    <row r="22389" spans="1:1" x14ac:dyDescent="0.3">
      <c r="A22389" t="s">
        <v>0</v>
      </c>
    </row>
    <row r="22390" spans="1:1" x14ac:dyDescent="0.3">
      <c r="A22390" t="s">
        <v>0</v>
      </c>
    </row>
    <row r="22391" spans="1:1" x14ac:dyDescent="0.3">
      <c r="A22391" t="s">
        <v>0</v>
      </c>
    </row>
    <row r="22392" spans="1:1" x14ac:dyDescent="0.3">
      <c r="A22392" t="s">
        <v>0</v>
      </c>
    </row>
    <row r="22393" spans="1:1" x14ac:dyDescent="0.3">
      <c r="A22393" t="s">
        <v>0</v>
      </c>
    </row>
    <row r="22394" spans="1:1" x14ac:dyDescent="0.3">
      <c r="A22394" t="s">
        <v>0</v>
      </c>
    </row>
    <row r="22395" spans="1:1" x14ac:dyDescent="0.3">
      <c r="A22395" t="s">
        <v>0</v>
      </c>
    </row>
    <row r="22396" spans="1:1" x14ac:dyDescent="0.3">
      <c r="A22396" t="s">
        <v>0</v>
      </c>
    </row>
    <row r="22397" spans="1:1" x14ac:dyDescent="0.3">
      <c r="A22397" t="s">
        <v>0</v>
      </c>
    </row>
    <row r="22398" spans="1:1" x14ac:dyDescent="0.3">
      <c r="A22398" t="s">
        <v>0</v>
      </c>
    </row>
    <row r="22399" spans="1:1" x14ac:dyDescent="0.3">
      <c r="A22399" t="s">
        <v>0</v>
      </c>
    </row>
    <row r="22400" spans="1:1" x14ac:dyDescent="0.3">
      <c r="A22400" t="s">
        <v>0</v>
      </c>
    </row>
    <row r="22401" spans="1:1" x14ac:dyDescent="0.3">
      <c r="A22401" t="s">
        <v>0</v>
      </c>
    </row>
    <row r="22402" spans="1:1" x14ac:dyDescent="0.3">
      <c r="A22402" t="s">
        <v>0</v>
      </c>
    </row>
    <row r="22403" spans="1:1" x14ac:dyDescent="0.3">
      <c r="A22403" t="s">
        <v>0</v>
      </c>
    </row>
    <row r="22404" spans="1:1" x14ac:dyDescent="0.3">
      <c r="A22404" t="s">
        <v>0</v>
      </c>
    </row>
    <row r="22405" spans="1:1" x14ac:dyDescent="0.3">
      <c r="A22405" t="s">
        <v>0</v>
      </c>
    </row>
    <row r="22406" spans="1:1" x14ac:dyDescent="0.3">
      <c r="A22406" t="s">
        <v>0</v>
      </c>
    </row>
    <row r="22407" spans="1:1" x14ac:dyDescent="0.3">
      <c r="A22407" t="s">
        <v>0</v>
      </c>
    </row>
    <row r="22408" spans="1:1" x14ac:dyDescent="0.3">
      <c r="A22408" t="s">
        <v>0</v>
      </c>
    </row>
    <row r="22409" spans="1:1" x14ac:dyDescent="0.3">
      <c r="A22409" t="s">
        <v>0</v>
      </c>
    </row>
    <row r="22410" spans="1:1" x14ac:dyDescent="0.3">
      <c r="A22410" t="s">
        <v>0</v>
      </c>
    </row>
    <row r="22411" spans="1:1" x14ac:dyDescent="0.3">
      <c r="A22411" t="s">
        <v>0</v>
      </c>
    </row>
    <row r="22412" spans="1:1" x14ac:dyDescent="0.3">
      <c r="A22412" t="s">
        <v>0</v>
      </c>
    </row>
    <row r="22413" spans="1:1" x14ac:dyDescent="0.3">
      <c r="A22413" t="s">
        <v>0</v>
      </c>
    </row>
    <row r="22414" spans="1:1" x14ac:dyDescent="0.3">
      <c r="A22414" t="s">
        <v>0</v>
      </c>
    </row>
    <row r="22415" spans="1:1" x14ac:dyDescent="0.3">
      <c r="A22415" t="s">
        <v>0</v>
      </c>
    </row>
    <row r="22416" spans="1:1" x14ac:dyDescent="0.3">
      <c r="A22416" t="s">
        <v>0</v>
      </c>
    </row>
    <row r="22417" spans="1:1" x14ac:dyDescent="0.3">
      <c r="A22417" t="s">
        <v>0</v>
      </c>
    </row>
    <row r="22418" spans="1:1" x14ac:dyDescent="0.3">
      <c r="A22418" t="s">
        <v>0</v>
      </c>
    </row>
    <row r="22419" spans="1:1" x14ac:dyDescent="0.3">
      <c r="A22419" t="s">
        <v>0</v>
      </c>
    </row>
    <row r="22420" spans="1:1" x14ac:dyDescent="0.3">
      <c r="A22420" t="s">
        <v>0</v>
      </c>
    </row>
    <row r="22421" spans="1:1" x14ac:dyDescent="0.3">
      <c r="A22421" t="s">
        <v>0</v>
      </c>
    </row>
    <row r="22422" spans="1:1" x14ac:dyDescent="0.3">
      <c r="A22422" t="s">
        <v>0</v>
      </c>
    </row>
    <row r="22423" spans="1:1" x14ac:dyDescent="0.3">
      <c r="A22423" t="s">
        <v>0</v>
      </c>
    </row>
    <row r="22424" spans="1:1" x14ac:dyDescent="0.3">
      <c r="A22424" t="s">
        <v>0</v>
      </c>
    </row>
    <row r="22425" spans="1:1" x14ac:dyDescent="0.3">
      <c r="A22425" t="s">
        <v>0</v>
      </c>
    </row>
    <row r="22426" spans="1:1" x14ac:dyDescent="0.3">
      <c r="A22426" t="s">
        <v>0</v>
      </c>
    </row>
    <row r="22427" spans="1:1" x14ac:dyDescent="0.3">
      <c r="A22427" t="s">
        <v>0</v>
      </c>
    </row>
    <row r="22428" spans="1:1" x14ac:dyDescent="0.3">
      <c r="A22428" t="s">
        <v>0</v>
      </c>
    </row>
    <row r="22429" spans="1:1" x14ac:dyDescent="0.3">
      <c r="A22429" t="s">
        <v>0</v>
      </c>
    </row>
    <row r="22430" spans="1:1" x14ac:dyDescent="0.3">
      <c r="A22430" t="s">
        <v>0</v>
      </c>
    </row>
    <row r="22431" spans="1:1" x14ac:dyDescent="0.3">
      <c r="A22431" t="s">
        <v>0</v>
      </c>
    </row>
    <row r="22432" spans="1:1" x14ac:dyDescent="0.3">
      <c r="A22432" t="s">
        <v>0</v>
      </c>
    </row>
    <row r="22433" spans="1:1" x14ac:dyDescent="0.3">
      <c r="A22433" t="s">
        <v>0</v>
      </c>
    </row>
    <row r="22434" spans="1:1" x14ac:dyDescent="0.3">
      <c r="A22434" t="s">
        <v>0</v>
      </c>
    </row>
    <row r="22435" spans="1:1" x14ac:dyDescent="0.3">
      <c r="A22435" t="s">
        <v>0</v>
      </c>
    </row>
    <row r="22436" spans="1:1" x14ac:dyDescent="0.3">
      <c r="A22436" t="s">
        <v>0</v>
      </c>
    </row>
    <row r="22437" spans="1:1" x14ac:dyDescent="0.3">
      <c r="A22437" t="s">
        <v>0</v>
      </c>
    </row>
    <row r="22438" spans="1:1" x14ac:dyDescent="0.3">
      <c r="A22438" t="s">
        <v>0</v>
      </c>
    </row>
    <row r="22439" spans="1:1" x14ac:dyDescent="0.3">
      <c r="A22439" t="s">
        <v>0</v>
      </c>
    </row>
    <row r="22440" spans="1:1" x14ac:dyDescent="0.3">
      <c r="A22440" t="s">
        <v>0</v>
      </c>
    </row>
    <row r="22441" spans="1:1" x14ac:dyDescent="0.3">
      <c r="A22441" t="s">
        <v>0</v>
      </c>
    </row>
    <row r="22442" spans="1:1" x14ac:dyDescent="0.3">
      <c r="A22442" t="s">
        <v>0</v>
      </c>
    </row>
    <row r="22443" spans="1:1" x14ac:dyDescent="0.3">
      <c r="A22443" t="s">
        <v>0</v>
      </c>
    </row>
    <row r="22444" spans="1:1" x14ac:dyDescent="0.3">
      <c r="A22444" t="s">
        <v>0</v>
      </c>
    </row>
    <row r="22445" spans="1:1" x14ac:dyDescent="0.3">
      <c r="A22445" t="s">
        <v>0</v>
      </c>
    </row>
    <row r="22446" spans="1:1" x14ac:dyDescent="0.3">
      <c r="A22446" t="s">
        <v>0</v>
      </c>
    </row>
    <row r="22447" spans="1:1" x14ac:dyDescent="0.3">
      <c r="A22447" t="s">
        <v>0</v>
      </c>
    </row>
    <row r="22448" spans="1:1" x14ac:dyDescent="0.3">
      <c r="A22448" t="s">
        <v>0</v>
      </c>
    </row>
    <row r="22449" spans="1:1" x14ac:dyDescent="0.3">
      <c r="A22449" t="s">
        <v>0</v>
      </c>
    </row>
    <row r="22450" spans="1:1" x14ac:dyDescent="0.3">
      <c r="A22450" t="s">
        <v>0</v>
      </c>
    </row>
    <row r="22451" spans="1:1" x14ac:dyDescent="0.3">
      <c r="A22451" t="s">
        <v>0</v>
      </c>
    </row>
    <row r="22452" spans="1:1" x14ac:dyDescent="0.3">
      <c r="A22452" t="s">
        <v>0</v>
      </c>
    </row>
    <row r="22453" spans="1:1" x14ac:dyDescent="0.3">
      <c r="A22453" t="s">
        <v>0</v>
      </c>
    </row>
    <row r="22454" spans="1:1" x14ac:dyDescent="0.3">
      <c r="A22454" t="s">
        <v>0</v>
      </c>
    </row>
    <row r="22455" spans="1:1" x14ac:dyDescent="0.3">
      <c r="A22455" t="s">
        <v>0</v>
      </c>
    </row>
    <row r="22456" spans="1:1" x14ac:dyDescent="0.3">
      <c r="A22456" t="s">
        <v>0</v>
      </c>
    </row>
    <row r="22457" spans="1:1" x14ac:dyDescent="0.3">
      <c r="A22457" t="s">
        <v>0</v>
      </c>
    </row>
    <row r="22458" spans="1:1" x14ac:dyDescent="0.3">
      <c r="A22458" t="s">
        <v>0</v>
      </c>
    </row>
    <row r="22459" spans="1:1" x14ac:dyDescent="0.3">
      <c r="A22459" t="s">
        <v>0</v>
      </c>
    </row>
    <row r="22460" spans="1:1" x14ac:dyDescent="0.3">
      <c r="A22460" t="s">
        <v>0</v>
      </c>
    </row>
    <row r="22461" spans="1:1" x14ac:dyDescent="0.3">
      <c r="A22461" t="s">
        <v>0</v>
      </c>
    </row>
    <row r="22462" spans="1:1" x14ac:dyDescent="0.3">
      <c r="A22462" t="s">
        <v>0</v>
      </c>
    </row>
    <row r="22463" spans="1:1" x14ac:dyDescent="0.3">
      <c r="A22463" t="s">
        <v>0</v>
      </c>
    </row>
    <row r="22464" spans="1:1" x14ac:dyDescent="0.3">
      <c r="A22464" t="s">
        <v>0</v>
      </c>
    </row>
    <row r="22465" spans="1:1" x14ac:dyDescent="0.3">
      <c r="A22465" t="s">
        <v>0</v>
      </c>
    </row>
    <row r="22466" spans="1:1" x14ac:dyDescent="0.3">
      <c r="A22466" t="s">
        <v>0</v>
      </c>
    </row>
    <row r="22467" spans="1:1" x14ac:dyDescent="0.3">
      <c r="A22467" t="s">
        <v>0</v>
      </c>
    </row>
    <row r="22468" spans="1:1" x14ac:dyDescent="0.3">
      <c r="A22468" t="s">
        <v>0</v>
      </c>
    </row>
    <row r="22469" spans="1:1" x14ac:dyDescent="0.3">
      <c r="A22469" t="s">
        <v>0</v>
      </c>
    </row>
    <row r="22470" spans="1:1" x14ac:dyDescent="0.3">
      <c r="A22470" t="s">
        <v>0</v>
      </c>
    </row>
    <row r="22471" spans="1:1" x14ac:dyDescent="0.3">
      <c r="A22471" t="s">
        <v>0</v>
      </c>
    </row>
    <row r="22472" spans="1:1" x14ac:dyDescent="0.3">
      <c r="A22472" t="s">
        <v>0</v>
      </c>
    </row>
    <row r="22473" spans="1:1" x14ac:dyDescent="0.3">
      <c r="A22473" t="s">
        <v>0</v>
      </c>
    </row>
    <row r="22474" spans="1:1" x14ac:dyDescent="0.3">
      <c r="A22474" t="s">
        <v>0</v>
      </c>
    </row>
    <row r="22475" spans="1:1" x14ac:dyDescent="0.3">
      <c r="A22475" t="s">
        <v>0</v>
      </c>
    </row>
    <row r="22476" spans="1:1" x14ac:dyDescent="0.3">
      <c r="A22476" t="s">
        <v>0</v>
      </c>
    </row>
    <row r="22477" spans="1:1" x14ac:dyDescent="0.3">
      <c r="A22477" t="s">
        <v>0</v>
      </c>
    </row>
    <row r="22478" spans="1:1" x14ac:dyDescent="0.3">
      <c r="A22478" t="s">
        <v>0</v>
      </c>
    </row>
    <row r="22479" spans="1:1" x14ac:dyDescent="0.3">
      <c r="A22479" t="s">
        <v>0</v>
      </c>
    </row>
    <row r="22480" spans="1:1" x14ac:dyDescent="0.3">
      <c r="A22480" t="s">
        <v>0</v>
      </c>
    </row>
    <row r="22481" spans="1:1" x14ac:dyDescent="0.3">
      <c r="A22481" t="s">
        <v>0</v>
      </c>
    </row>
    <row r="22482" spans="1:1" x14ac:dyDescent="0.3">
      <c r="A22482" t="s">
        <v>0</v>
      </c>
    </row>
    <row r="22483" spans="1:1" x14ac:dyDescent="0.3">
      <c r="A22483" t="s">
        <v>0</v>
      </c>
    </row>
    <row r="22484" spans="1:1" x14ac:dyDescent="0.3">
      <c r="A22484" t="s">
        <v>0</v>
      </c>
    </row>
    <row r="22485" spans="1:1" x14ac:dyDescent="0.3">
      <c r="A22485" t="s">
        <v>0</v>
      </c>
    </row>
    <row r="22486" spans="1:1" x14ac:dyDescent="0.3">
      <c r="A22486" t="s">
        <v>0</v>
      </c>
    </row>
    <row r="22487" spans="1:1" x14ac:dyDescent="0.3">
      <c r="A22487" t="s">
        <v>0</v>
      </c>
    </row>
    <row r="22488" spans="1:1" x14ac:dyDescent="0.3">
      <c r="A22488" t="s">
        <v>0</v>
      </c>
    </row>
    <row r="22489" spans="1:1" x14ac:dyDescent="0.3">
      <c r="A22489" t="s">
        <v>0</v>
      </c>
    </row>
    <row r="22490" spans="1:1" x14ac:dyDescent="0.3">
      <c r="A22490" t="s">
        <v>0</v>
      </c>
    </row>
    <row r="22491" spans="1:1" x14ac:dyDescent="0.3">
      <c r="A22491" t="s">
        <v>0</v>
      </c>
    </row>
    <row r="22492" spans="1:1" x14ac:dyDescent="0.3">
      <c r="A22492" t="s">
        <v>0</v>
      </c>
    </row>
    <row r="22493" spans="1:1" x14ac:dyDescent="0.3">
      <c r="A22493" t="s">
        <v>0</v>
      </c>
    </row>
    <row r="22494" spans="1:1" x14ac:dyDescent="0.3">
      <c r="A22494" t="s">
        <v>0</v>
      </c>
    </row>
    <row r="22495" spans="1:1" x14ac:dyDescent="0.3">
      <c r="A22495" t="s">
        <v>0</v>
      </c>
    </row>
    <row r="22496" spans="1:1" x14ac:dyDescent="0.3">
      <c r="A22496" t="s">
        <v>0</v>
      </c>
    </row>
    <row r="22497" spans="1:1" x14ac:dyDescent="0.3">
      <c r="A22497" t="s">
        <v>0</v>
      </c>
    </row>
    <row r="22498" spans="1:1" x14ac:dyDescent="0.3">
      <c r="A22498" t="s">
        <v>0</v>
      </c>
    </row>
    <row r="22499" spans="1:1" x14ac:dyDescent="0.3">
      <c r="A22499" t="s">
        <v>0</v>
      </c>
    </row>
    <row r="22500" spans="1:1" x14ac:dyDescent="0.3">
      <c r="A22500" t="s">
        <v>0</v>
      </c>
    </row>
    <row r="22501" spans="1:1" x14ac:dyDescent="0.3">
      <c r="A22501" t="s">
        <v>0</v>
      </c>
    </row>
    <row r="22502" spans="1:1" x14ac:dyDescent="0.3">
      <c r="A22502" t="s">
        <v>0</v>
      </c>
    </row>
    <row r="22503" spans="1:1" x14ac:dyDescent="0.3">
      <c r="A22503" t="s">
        <v>0</v>
      </c>
    </row>
    <row r="22504" spans="1:1" x14ac:dyDescent="0.3">
      <c r="A22504" t="s">
        <v>0</v>
      </c>
    </row>
    <row r="22505" spans="1:1" x14ac:dyDescent="0.3">
      <c r="A22505" t="s">
        <v>0</v>
      </c>
    </row>
    <row r="22506" spans="1:1" x14ac:dyDescent="0.3">
      <c r="A22506" t="s">
        <v>0</v>
      </c>
    </row>
    <row r="22507" spans="1:1" x14ac:dyDescent="0.3">
      <c r="A22507" t="s">
        <v>0</v>
      </c>
    </row>
    <row r="22508" spans="1:1" x14ac:dyDescent="0.3">
      <c r="A22508" t="s">
        <v>0</v>
      </c>
    </row>
    <row r="22509" spans="1:1" x14ac:dyDescent="0.3">
      <c r="A22509" t="s">
        <v>0</v>
      </c>
    </row>
    <row r="22510" spans="1:1" x14ac:dyDescent="0.3">
      <c r="A22510" t="s">
        <v>0</v>
      </c>
    </row>
    <row r="22511" spans="1:1" x14ac:dyDescent="0.3">
      <c r="A22511" t="s">
        <v>0</v>
      </c>
    </row>
    <row r="22512" spans="1:1" x14ac:dyDescent="0.3">
      <c r="A22512" t="s">
        <v>0</v>
      </c>
    </row>
    <row r="22513" spans="1:1" x14ac:dyDescent="0.3">
      <c r="A22513" t="s">
        <v>0</v>
      </c>
    </row>
    <row r="22514" spans="1:1" x14ac:dyDescent="0.3">
      <c r="A22514" t="s">
        <v>0</v>
      </c>
    </row>
    <row r="22515" spans="1:1" x14ac:dyDescent="0.3">
      <c r="A22515" t="s">
        <v>0</v>
      </c>
    </row>
    <row r="22516" spans="1:1" x14ac:dyDescent="0.3">
      <c r="A22516" t="s">
        <v>0</v>
      </c>
    </row>
    <row r="22517" spans="1:1" x14ac:dyDescent="0.3">
      <c r="A22517" t="s">
        <v>0</v>
      </c>
    </row>
    <row r="22518" spans="1:1" x14ac:dyDescent="0.3">
      <c r="A22518" t="s">
        <v>0</v>
      </c>
    </row>
    <row r="22519" spans="1:1" x14ac:dyDescent="0.3">
      <c r="A22519" t="s">
        <v>0</v>
      </c>
    </row>
    <row r="22520" spans="1:1" x14ac:dyDescent="0.3">
      <c r="A22520" t="s">
        <v>0</v>
      </c>
    </row>
    <row r="22521" spans="1:1" x14ac:dyDescent="0.3">
      <c r="A22521" t="s">
        <v>0</v>
      </c>
    </row>
    <row r="22522" spans="1:1" x14ac:dyDescent="0.3">
      <c r="A22522" t="s">
        <v>0</v>
      </c>
    </row>
    <row r="22523" spans="1:1" x14ac:dyDescent="0.3">
      <c r="A22523" t="s">
        <v>0</v>
      </c>
    </row>
    <row r="22524" spans="1:1" x14ac:dyDescent="0.3">
      <c r="A22524" t="s">
        <v>0</v>
      </c>
    </row>
    <row r="22525" spans="1:1" x14ac:dyDescent="0.3">
      <c r="A22525" t="s">
        <v>0</v>
      </c>
    </row>
    <row r="22526" spans="1:1" x14ac:dyDescent="0.3">
      <c r="A22526" t="s">
        <v>0</v>
      </c>
    </row>
    <row r="22527" spans="1:1" x14ac:dyDescent="0.3">
      <c r="A22527" t="s">
        <v>0</v>
      </c>
    </row>
    <row r="22528" spans="1:1" x14ac:dyDescent="0.3">
      <c r="A22528" t="s">
        <v>0</v>
      </c>
    </row>
    <row r="22529" spans="1:1" x14ac:dyDescent="0.3">
      <c r="A22529" t="s">
        <v>0</v>
      </c>
    </row>
    <row r="22530" spans="1:1" x14ac:dyDescent="0.3">
      <c r="A22530" t="s">
        <v>0</v>
      </c>
    </row>
    <row r="22531" spans="1:1" x14ac:dyDescent="0.3">
      <c r="A22531" t="s">
        <v>0</v>
      </c>
    </row>
    <row r="22532" spans="1:1" x14ac:dyDescent="0.3">
      <c r="A22532" t="s">
        <v>0</v>
      </c>
    </row>
    <row r="22533" spans="1:1" x14ac:dyDescent="0.3">
      <c r="A22533" t="s">
        <v>0</v>
      </c>
    </row>
    <row r="22534" spans="1:1" x14ac:dyDescent="0.3">
      <c r="A22534" t="s">
        <v>0</v>
      </c>
    </row>
    <row r="22535" spans="1:1" x14ac:dyDescent="0.3">
      <c r="A22535" t="s">
        <v>0</v>
      </c>
    </row>
    <row r="22536" spans="1:1" x14ac:dyDescent="0.3">
      <c r="A22536" t="s">
        <v>0</v>
      </c>
    </row>
    <row r="22537" spans="1:1" x14ac:dyDescent="0.3">
      <c r="A22537" t="s">
        <v>0</v>
      </c>
    </row>
    <row r="22538" spans="1:1" x14ac:dyDescent="0.3">
      <c r="A22538" t="s">
        <v>0</v>
      </c>
    </row>
    <row r="22539" spans="1:1" x14ac:dyDescent="0.3">
      <c r="A22539" t="s">
        <v>0</v>
      </c>
    </row>
    <row r="22540" spans="1:1" x14ac:dyDescent="0.3">
      <c r="A22540" t="s">
        <v>0</v>
      </c>
    </row>
    <row r="22541" spans="1:1" x14ac:dyDescent="0.3">
      <c r="A22541" t="s">
        <v>0</v>
      </c>
    </row>
    <row r="22542" spans="1:1" x14ac:dyDescent="0.3">
      <c r="A22542" t="s">
        <v>0</v>
      </c>
    </row>
    <row r="22543" spans="1:1" x14ac:dyDescent="0.3">
      <c r="A22543" t="s">
        <v>0</v>
      </c>
    </row>
    <row r="22544" spans="1:1" x14ac:dyDescent="0.3">
      <c r="A22544" t="s">
        <v>0</v>
      </c>
    </row>
    <row r="22545" spans="1:1" x14ac:dyDescent="0.3">
      <c r="A22545" t="s">
        <v>0</v>
      </c>
    </row>
    <row r="22546" spans="1:1" x14ac:dyDescent="0.3">
      <c r="A22546" t="s">
        <v>0</v>
      </c>
    </row>
    <row r="22547" spans="1:1" x14ac:dyDescent="0.3">
      <c r="A22547" t="s">
        <v>0</v>
      </c>
    </row>
    <row r="22548" spans="1:1" x14ac:dyDescent="0.3">
      <c r="A22548" t="s">
        <v>0</v>
      </c>
    </row>
    <row r="22549" spans="1:1" x14ac:dyDescent="0.3">
      <c r="A22549" t="s">
        <v>0</v>
      </c>
    </row>
    <row r="22550" spans="1:1" x14ac:dyDescent="0.3">
      <c r="A22550" t="s">
        <v>0</v>
      </c>
    </row>
    <row r="22551" spans="1:1" x14ac:dyDescent="0.3">
      <c r="A22551" t="s">
        <v>0</v>
      </c>
    </row>
    <row r="22552" spans="1:1" x14ac:dyDescent="0.3">
      <c r="A22552" t="s">
        <v>0</v>
      </c>
    </row>
    <row r="22553" spans="1:1" x14ac:dyDescent="0.3">
      <c r="A22553" t="s">
        <v>0</v>
      </c>
    </row>
    <row r="22554" spans="1:1" x14ac:dyDescent="0.3">
      <c r="A22554" t="s">
        <v>0</v>
      </c>
    </row>
    <row r="22555" spans="1:1" x14ac:dyDescent="0.3">
      <c r="A22555" t="s">
        <v>0</v>
      </c>
    </row>
    <row r="22556" spans="1:1" x14ac:dyDescent="0.3">
      <c r="A22556" t="s">
        <v>0</v>
      </c>
    </row>
    <row r="22557" spans="1:1" x14ac:dyDescent="0.3">
      <c r="A22557" t="s">
        <v>0</v>
      </c>
    </row>
    <row r="22558" spans="1:1" x14ac:dyDescent="0.3">
      <c r="A22558" t="s">
        <v>0</v>
      </c>
    </row>
    <row r="22559" spans="1:1" x14ac:dyDescent="0.3">
      <c r="A22559" t="s">
        <v>0</v>
      </c>
    </row>
    <row r="22560" spans="1:1" x14ac:dyDescent="0.3">
      <c r="A22560" t="s">
        <v>0</v>
      </c>
    </row>
    <row r="22561" spans="1:1" x14ac:dyDescent="0.3">
      <c r="A22561" t="s">
        <v>0</v>
      </c>
    </row>
    <row r="22562" spans="1:1" x14ac:dyDescent="0.3">
      <c r="A22562" t="s">
        <v>0</v>
      </c>
    </row>
    <row r="22563" spans="1:1" x14ac:dyDescent="0.3">
      <c r="A22563" t="s">
        <v>0</v>
      </c>
    </row>
    <row r="22564" spans="1:1" x14ac:dyDescent="0.3">
      <c r="A22564" t="s">
        <v>0</v>
      </c>
    </row>
    <row r="22565" spans="1:1" x14ac:dyDescent="0.3">
      <c r="A22565" t="s">
        <v>0</v>
      </c>
    </row>
    <row r="22566" spans="1:1" x14ac:dyDescent="0.3">
      <c r="A22566" t="s">
        <v>0</v>
      </c>
    </row>
    <row r="22567" spans="1:1" x14ac:dyDescent="0.3">
      <c r="A22567" t="s">
        <v>0</v>
      </c>
    </row>
    <row r="22568" spans="1:1" x14ac:dyDescent="0.3">
      <c r="A22568" t="s">
        <v>0</v>
      </c>
    </row>
    <row r="22569" spans="1:1" x14ac:dyDescent="0.3">
      <c r="A22569" t="s">
        <v>0</v>
      </c>
    </row>
    <row r="22570" spans="1:1" x14ac:dyDescent="0.3">
      <c r="A22570" t="s">
        <v>0</v>
      </c>
    </row>
    <row r="22571" spans="1:1" x14ac:dyDescent="0.3">
      <c r="A22571" t="s">
        <v>0</v>
      </c>
    </row>
    <row r="22572" spans="1:1" x14ac:dyDescent="0.3">
      <c r="A22572" t="s">
        <v>0</v>
      </c>
    </row>
    <row r="22573" spans="1:1" x14ac:dyDescent="0.3">
      <c r="A22573" t="s">
        <v>0</v>
      </c>
    </row>
    <row r="22574" spans="1:1" x14ac:dyDescent="0.3">
      <c r="A22574" t="s">
        <v>0</v>
      </c>
    </row>
    <row r="22575" spans="1:1" x14ac:dyDescent="0.3">
      <c r="A22575" t="s">
        <v>0</v>
      </c>
    </row>
    <row r="22576" spans="1:1" x14ac:dyDescent="0.3">
      <c r="A22576" t="s">
        <v>0</v>
      </c>
    </row>
    <row r="22577" spans="1:1" x14ac:dyDescent="0.3">
      <c r="A22577" t="s">
        <v>0</v>
      </c>
    </row>
    <row r="22578" spans="1:1" x14ac:dyDescent="0.3">
      <c r="A22578" t="s">
        <v>0</v>
      </c>
    </row>
    <row r="22579" spans="1:1" x14ac:dyDescent="0.3">
      <c r="A22579" t="s">
        <v>0</v>
      </c>
    </row>
    <row r="22580" spans="1:1" x14ac:dyDescent="0.3">
      <c r="A22580" t="s">
        <v>0</v>
      </c>
    </row>
    <row r="22581" spans="1:1" x14ac:dyDescent="0.3">
      <c r="A22581" t="s">
        <v>0</v>
      </c>
    </row>
    <row r="22582" spans="1:1" x14ac:dyDescent="0.3">
      <c r="A22582" t="s">
        <v>0</v>
      </c>
    </row>
    <row r="22583" spans="1:1" x14ac:dyDescent="0.3">
      <c r="A22583" t="s">
        <v>0</v>
      </c>
    </row>
    <row r="22584" spans="1:1" x14ac:dyDescent="0.3">
      <c r="A22584" t="s">
        <v>0</v>
      </c>
    </row>
    <row r="22585" spans="1:1" x14ac:dyDescent="0.3">
      <c r="A22585" t="s">
        <v>0</v>
      </c>
    </row>
    <row r="22586" spans="1:1" x14ac:dyDescent="0.3">
      <c r="A22586" t="s">
        <v>0</v>
      </c>
    </row>
    <row r="22587" spans="1:1" x14ac:dyDescent="0.3">
      <c r="A22587" t="s">
        <v>0</v>
      </c>
    </row>
    <row r="22588" spans="1:1" x14ac:dyDescent="0.3">
      <c r="A22588" t="s">
        <v>0</v>
      </c>
    </row>
    <row r="22589" spans="1:1" x14ac:dyDescent="0.3">
      <c r="A22589" t="s">
        <v>0</v>
      </c>
    </row>
    <row r="22590" spans="1:1" x14ac:dyDescent="0.3">
      <c r="A22590" t="s">
        <v>0</v>
      </c>
    </row>
    <row r="22591" spans="1:1" x14ac:dyDescent="0.3">
      <c r="A22591" t="s">
        <v>0</v>
      </c>
    </row>
    <row r="22592" spans="1:1" x14ac:dyDescent="0.3">
      <c r="A22592" t="s">
        <v>0</v>
      </c>
    </row>
    <row r="22593" spans="1:1" x14ac:dyDescent="0.3">
      <c r="A22593" t="s">
        <v>0</v>
      </c>
    </row>
    <row r="22594" spans="1:1" x14ac:dyDescent="0.3">
      <c r="A22594" t="s">
        <v>0</v>
      </c>
    </row>
    <row r="22595" spans="1:1" x14ac:dyDescent="0.3">
      <c r="A22595" t="s">
        <v>0</v>
      </c>
    </row>
    <row r="22596" spans="1:1" x14ac:dyDescent="0.3">
      <c r="A22596" t="s">
        <v>0</v>
      </c>
    </row>
    <row r="22597" spans="1:1" x14ac:dyDescent="0.3">
      <c r="A22597" t="s">
        <v>0</v>
      </c>
    </row>
    <row r="22598" spans="1:1" x14ac:dyDescent="0.3">
      <c r="A22598" t="s">
        <v>0</v>
      </c>
    </row>
    <row r="22599" spans="1:1" x14ac:dyDescent="0.3">
      <c r="A22599" t="s">
        <v>0</v>
      </c>
    </row>
    <row r="22600" spans="1:1" x14ac:dyDescent="0.3">
      <c r="A22600" t="s">
        <v>0</v>
      </c>
    </row>
    <row r="22601" spans="1:1" x14ac:dyDescent="0.3">
      <c r="A22601" t="s">
        <v>0</v>
      </c>
    </row>
    <row r="22602" spans="1:1" x14ac:dyDescent="0.3">
      <c r="A22602" t="s">
        <v>0</v>
      </c>
    </row>
    <row r="22603" spans="1:1" x14ac:dyDescent="0.3">
      <c r="A22603" t="s">
        <v>0</v>
      </c>
    </row>
    <row r="22604" spans="1:1" x14ac:dyDescent="0.3">
      <c r="A22604" t="s">
        <v>0</v>
      </c>
    </row>
    <row r="22605" spans="1:1" x14ac:dyDescent="0.3">
      <c r="A22605" t="s">
        <v>0</v>
      </c>
    </row>
    <row r="22606" spans="1:1" x14ac:dyDescent="0.3">
      <c r="A22606" t="s">
        <v>0</v>
      </c>
    </row>
    <row r="22607" spans="1:1" x14ac:dyDescent="0.3">
      <c r="A22607" t="s">
        <v>0</v>
      </c>
    </row>
    <row r="22608" spans="1:1" x14ac:dyDescent="0.3">
      <c r="A22608" t="s">
        <v>0</v>
      </c>
    </row>
    <row r="22609" spans="1:1" x14ac:dyDescent="0.3">
      <c r="A22609" t="s">
        <v>0</v>
      </c>
    </row>
    <row r="22610" spans="1:1" x14ac:dyDescent="0.3">
      <c r="A22610" t="s">
        <v>0</v>
      </c>
    </row>
    <row r="22611" spans="1:1" x14ac:dyDescent="0.3">
      <c r="A22611" t="s">
        <v>0</v>
      </c>
    </row>
    <row r="22612" spans="1:1" x14ac:dyDescent="0.3">
      <c r="A22612" t="s">
        <v>0</v>
      </c>
    </row>
    <row r="22613" spans="1:1" x14ac:dyDescent="0.3">
      <c r="A22613" t="s">
        <v>0</v>
      </c>
    </row>
    <row r="22614" spans="1:1" x14ac:dyDescent="0.3">
      <c r="A22614" t="s">
        <v>0</v>
      </c>
    </row>
    <row r="22615" spans="1:1" x14ac:dyDescent="0.3">
      <c r="A22615" t="s">
        <v>0</v>
      </c>
    </row>
    <row r="22616" spans="1:1" x14ac:dyDescent="0.3">
      <c r="A22616" t="s">
        <v>0</v>
      </c>
    </row>
    <row r="22617" spans="1:1" x14ac:dyDescent="0.3">
      <c r="A22617" t="s">
        <v>0</v>
      </c>
    </row>
    <row r="22618" spans="1:1" x14ac:dyDescent="0.3">
      <c r="A22618" t="s">
        <v>0</v>
      </c>
    </row>
    <row r="22619" spans="1:1" x14ac:dyDescent="0.3">
      <c r="A22619" t="s">
        <v>0</v>
      </c>
    </row>
    <row r="22620" spans="1:1" x14ac:dyDescent="0.3">
      <c r="A22620" t="s">
        <v>0</v>
      </c>
    </row>
    <row r="22621" spans="1:1" x14ac:dyDescent="0.3">
      <c r="A22621" t="s">
        <v>0</v>
      </c>
    </row>
    <row r="22622" spans="1:1" x14ac:dyDescent="0.3">
      <c r="A22622" t="s">
        <v>0</v>
      </c>
    </row>
    <row r="22623" spans="1:1" x14ac:dyDescent="0.3">
      <c r="A22623" t="s">
        <v>0</v>
      </c>
    </row>
    <row r="22624" spans="1:1" x14ac:dyDescent="0.3">
      <c r="A22624" t="s">
        <v>0</v>
      </c>
    </row>
    <row r="22625" spans="1:1" x14ac:dyDescent="0.3">
      <c r="A22625" t="s">
        <v>0</v>
      </c>
    </row>
    <row r="22626" spans="1:1" x14ac:dyDescent="0.3">
      <c r="A22626" t="s">
        <v>0</v>
      </c>
    </row>
    <row r="22627" spans="1:1" x14ac:dyDescent="0.3">
      <c r="A22627" t="s">
        <v>0</v>
      </c>
    </row>
    <row r="22628" spans="1:1" x14ac:dyDescent="0.3">
      <c r="A22628" t="s">
        <v>0</v>
      </c>
    </row>
    <row r="22629" spans="1:1" x14ac:dyDescent="0.3">
      <c r="A22629" t="s">
        <v>0</v>
      </c>
    </row>
    <row r="22630" spans="1:1" x14ac:dyDescent="0.3">
      <c r="A22630" t="s">
        <v>0</v>
      </c>
    </row>
    <row r="22631" spans="1:1" x14ac:dyDescent="0.3">
      <c r="A22631" t="s">
        <v>0</v>
      </c>
    </row>
    <row r="22632" spans="1:1" x14ac:dyDescent="0.3">
      <c r="A22632" t="s">
        <v>0</v>
      </c>
    </row>
    <row r="22633" spans="1:1" x14ac:dyDescent="0.3">
      <c r="A22633" t="s">
        <v>0</v>
      </c>
    </row>
    <row r="22634" spans="1:1" x14ac:dyDescent="0.3">
      <c r="A22634" t="s">
        <v>0</v>
      </c>
    </row>
    <row r="22635" spans="1:1" x14ac:dyDescent="0.3">
      <c r="A22635" t="s">
        <v>0</v>
      </c>
    </row>
    <row r="22636" spans="1:1" x14ac:dyDescent="0.3">
      <c r="A22636" t="s">
        <v>0</v>
      </c>
    </row>
    <row r="22637" spans="1:1" x14ac:dyDescent="0.3">
      <c r="A22637" t="s">
        <v>0</v>
      </c>
    </row>
    <row r="22638" spans="1:1" x14ac:dyDescent="0.3">
      <c r="A22638" t="s">
        <v>0</v>
      </c>
    </row>
    <row r="22639" spans="1:1" x14ac:dyDescent="0.3">
      <c r="A22639" t="s">
        <v>0</v>
      </c>
    </row>
    <row r="22640" spans="1:1" x14ac:dyDescent="0.3">
      <c r="A22640" t="s">
        <v>0</v>
      </c>
    </row>
    <row r="22641" spans="1:1" x14ac:dyDescent="0.3">
      <c r="A22641" t="s">
        <v>0</v>
      </c>
    </row>
    <row r="22642" spans="1:1" x14ac:dyDescent="0.3">
      <c r="A22642" t="s">
        <v>0</v>
      </c>
    </row>
    <row r="22643" spans="1:1" x14ac:dyDescent="0.3">
      <c r="A22643" t="s">
        <v>0</v>
      </c>
    </row>
    <row r="22644" spans="1:1" x14ac:dyDescent="0.3">
      <c r="A22644" t="s">
        <v>0</v>
      </c>
    </row>
    <row r="22645" spans="1:1" x14ac:dyDescent="0.3">
      <c r="A22645" t="s">
        <v>0</v>
      </c>
    </row>
    <row r="22646" spans="1:1" x14ac:dyDescent="0.3">
      <c r="A22646" t="s">
        <v>0</v>
      </c>
    </row>
    <row r="22647" spans="1:1" x14ac:dyDescent="0.3">
      <c r="A22647" t="s">
        <v>0</v>
      </c>
    </row>
    <row r="22648" spans="1:1" x14ac:dyDescent="0.3">
      <c r="A22648" t="s">
        <v>0</v>
      </c>
    </row>
    <row r="22649" spans="1:1" x14ac:dyDescent="0.3">
      <c r="A22649" t="s">
        <v>0</v>
      </c>
    </row>
    <row r="22650" spans="1:1" x14ac:dyDescent="0.3">
      <c r="A22650" t="s">
        <v>0</v>
      </c>
    </row>
    <row r="22651" spans="1:1" x14ac:dyDescent="0.3">
      <c r="A22651" t="s">
        <v>0</v>
      </c>
    </row>
    <row r="22652" spans="1:1" x14ac:dyDescent="0.3">
      <c r="A22652" t="s">
        <v>0</v>
      </c>
    </row>
    <row r="22653" spans="1:1" x14ac:dyDescent="0.3">
      <c r="A22653" t="s">
        <v>0</v>
      </c>
    </row>
    <row r="22654" spans="1:1" x14ac:dyDescent="0.3">
      <c r="A22654" t="s">
        <v>0</v>
      </c>
    </row>
    <row r="22655" spans="1:1" x14ac:dyDescent="0.3">
      <c r="A22655" t="s">
        <v>0</v>
      </c>
    </row>
    <row r="22656" spans="1:1" x14ac:dyDescent="0.3">
      <c r="A22656" t="s">
        <v>0</v>
      </c>
    </row>
    <row r="22657" spans="1:1" x14ac:dyDescent="0.3">
      <c r="A22657" t="s">
        <v>0</v>
      </c>
    </row>
    <row r="22658" spans="1:1" x14ac:dyDescent="0.3">
      <c r="A22658" t="s">
        <v>0</v>
      </c>
    </row>
    <row r="22659" spans="1:1" x14ac:dyDescent="0.3">
      <c r="A22659" t="s">
        <v>0</v>
      </c>
    </row>
    <row r="22660" spans="1:1" x14ac:dyDescent="0.3">
      <c r="A22660" t="s">
        <v>0</v>
      </c>
    </row>
    <row r="22661" spans="1:1" x14ac:dyDescent="0.3">
      <c r="A22661" t="s">
        <v>0</v>
      </c>
    </row>
    <row r="22662" spans="1:1" x14ac:dyDescent="0.3">
      <c r="A22662" t="s">
        <v>0</v>
      </c>
    </row>
    <row r="22663" spans="1:1" x14ac:dyDescent="0.3">
      <c r="A22663" t="s">
        <v>0</v>
      </c>
    </row>
    <row r="22664" spans="1:1" x14ac:dyDescent="0.3">
      <c r="A22664" t="s">
        <v>0</v>
      </c>
    </row>
    <row r="22665" spans="1:1" x14ac:dyDescent="0.3">
      <c r="A22665" t="s">
        <v>0</v>
      </c>
    </row>
    <row r="22666" spans="1:1" x14ac:dyDescent="0.3">
      <c r="A22666" t="s">
        <v>0</v>
      </c>
    </row>
    <row r="22667" spans="1:1" x14ac:dyDescent="0.3">
      <c r="A22667" t="s">
        <v>0</v>
      </c>
    </row>
    <row r="22668" spans="1:1" x14ac:dyDescent="0.3">
      <c r="A22668" t="s">
        <v>0</v>
      </c>
    </row>
    <row r="22669" spans="1:1" x14ac:dyDescent="0.3">
      <c r="A22669" t="s">
        <v>0</v>
      </c>
    </row>
    <row r="22670" spans="1:1" x14ac:dyDescent="0.3">
      <c r="A22670" t="s">
        <v>0</v>
      </c>
    </row>
    <row r="22671" spans="1:1" x14ac:dyDescent="0.3">
      <c r="A22671" t="s">
        <v>0</v>
      </c>
    </row>
    <row r="22672" spans="1:1" x14ac:dyDescent="0.3">
      <c r="A22672" t="s">
        <v>0</v>
      </c>
    </row>
    <row r="22673" spans="1:1" x14ac:dyDescent="0.3">
      <c r="A22673" t="s">
        <v>0</v>
      </c>
    </row>
    <row r="22674" spans="1:1" x14ac:dyDescent="0.3">
      <c r="A22674" t="s">
        <v>0</v>
      </c>
    </row>
    <row r="22675" spans="1:1" x14ac:dyDescent="0.3">
      <c r="A22675" t="s">
        <v>0</v>
      </c>
    </row>
    <row r="22676" spans="1:1" x14ac:dyDescent="0.3">
      <c r="A22676" t="s">
        <v>0</v>
      </c>
    </row>
    <row r="22677" spans="1:1" x14ac:dyDescent="0.3">
      <c r="A22677" t="s">
        <v>0</v>
      </c>
    </row>
    <row r="22678" spans="1:1" x14ac:dyDescent="0.3">
      <c r="A22678" t="s">
        <v>0</v>
      </c>
    </row>
    <row r="22679" spans="1:1" x14ac:dyDescent="0.3">
      <c r="A22679" t="s">
        <v>0</v>
      </c>
    </row>
    <row r="22680" spans="1:1" x14ac:dyDescent="0.3">
      <c r="A22680" t="s">
        <v>0</v>
      </c>
    </row>
    <row r="22681" spans="1:1" x14ac:dyDescent="0.3">
      <c r="A22681" t="s">
        <v>0</v>
      </c>
    </row>
    <row r="22682" spans="1:1" x14ac:dyDescent="0.3">
      <c r="A22682" t="s">
        <v>0</v>
      </c>
    </row>
    <row r="22683" spans="1:1" x14ac:dyDescent="0.3">
      <c r="A22683" t="s">
        <v>0</v>
      </c>
    </row>
    <row r="22684" spans="1:1" x14ac:dyDescent="0.3">
      <c r="A22684" t="s">
        <v>0</v>
      </c>
    </row>
    <row r="22685" spans="1:1" x14ac:dyDescent="0.3">
      <c r="A22685" t="s">
        <v>0</v>
      </c>
    </row>
    <row r="22686" spans="1:1" x14ac:dyDescent="0.3">
      <c r="A22686" t="s">
        <v>0</v>
      </c>
    </row>
    <row r="22687" spans="1:1" x14ac:dyDescent="0.3">
      <c r="A22687" t="s">
        <v>0</v>
      </c>
    </row>
    <row r="22688" spans="1:1" x14ac:dyDescent="0.3">
      <c r="A22688" t="s">
        <v>0</v>
      </c>
    </row>
    <row r="22689" spans="1:1" x14ac:dyDescent="0.3">
      <c r="A22689" t="s">
        <v>0</v>
      </c>
    </row>
    <row r="22690" spans="1:1" x14ac:dyDescent="0.3">
      <c r="A22690" t="s">
        <v>0</v>
      </c>
    </row>
    <row r="22691" spans="1:1" x14ac:dyDescent="0.3">
      <c r="A22691" t="s">
        <v>0</v>
      </c>
    </row>
    <row r="22692" spans="1:1" x14ac:dyDescent="0.3">
      <c r="A22692" t="s">
        <v>0</v>
      </c>
    </row>
    <row r="22693" spans="1:1" x14ac:dyDescent="0.3">
      <c r="A22693" t="s">
        <v>0</v>
      </c>
    </row>
    <row r="22694" spans="1:1" x14ac:dyDescent="0.3">
      <c r="A22694" t="s">
        <v>0</v>
      </c>
    </row>
    <row r="22695" spans="1:1" x14ac:dyDescent="0.3">
      <c r="A22695" t="s">
        <v>0</v>
      </c>
    </row>
    <row r="22696" spans="1:1" x14ac:dyDescent="0.3">
      <c r="A22696" t="s">
        <v>0</v>
      </c>
    </row>
    <row r="22697" spans="1:1" x14ac:dyDescent="0.3">
      <c r="A22697" t="s">
        <v>0</v>
      </c>
    </row>
    <row r="22698" spans="1:1" x14ac:dyDescent="0.3">
      <c r="A22698" t="s">
        <v>0</v>
      </c>
    </row>
    <row r="22699" spans="1:1" x14ac:dyDescent="0.3">
      <c r="A22699" t="s">
        <v>0</v>
      </c>
    </row>
    <row r="22700" spans="1:1" x14ac:dyDescent="0.3">
      <c r="A22700" t="s">
        <v>0</v>
      </c>
    </row>
    <row r="22701" spans="1:1" x14ac:dyDescent="0.3">
      <c r="A22701" t="s">
        <v>0</v>
      </c>
    </row>
    <row r="22702" spans="1:1" x14ac:dyDescent="0.3">
      <c r="A22702" t="s">
        <v>0</v>
      </c>
    </row>
    <row r="22703" spans="1:1" x14ac:dyDescent="0.3">
      <c r="A22703" t="s">
        <v>0</v>
      </c>
    </row>
    <row r="22704" spans="1:1" x14ac:dyDescent="0.3">
      <c r="A22704" t="s">
        <v>0</v>
      </c>
    </row>
    <row r="22705" spans="1:1" x14ac:dyDescent="0.3">
      <c r="A22705" t="s">
        <v>0</v>
      </c>
    </row>
    <row r="22706" spans="1:1" x14ac:dyDescent="0.3">
      <c r="A22706" t="s">
        <v>0</v>
      </c>
    </row>
    <row r="22707" spans="1:1" x14ac:dyDescent="0.3">
      <c r="A22707" t="s">
        <v>0</v>
      </c>
    </row>
    <row r="22708" spans="1:1" x14ac:dyDescent="0.3">
      <c r="A22708" t="s">
        <v>0</v>
      </c>
    </row>
    <row r="22709" spans="1:1" x14ac:dyDescent="0.3">
      <c r="A22709" t="s">
        <v>0</v>
      </c>
    </row>
    <row r="22710" spans="1:1" x14ac:dyDescent="0.3">
      <c r="A22710" t="s">
        <v>0</v>
      </c>
    </row>
    <row r="22711" spans="1:1" x14ac:dyDescent="0.3">
      <c r="A22711" t="s">
        <v>0</v>
      </c>
    </row>
    <row r="22712" spans="1:1" x14ac:dyDescent="0.3">
      <c r="A22712" t="s">
        <v>0</v>
      </c>
    </row>
    <row r="22713" spans="1:1" x14ac:dyDescent="0.3">
      <c r="A22713" t="s">
        <v>0</v>
      </c>
    </row>
    <row r="22714" spans="1:1" x14ac:dyDescent="0.3">
      <c r="A22714" t="s">
        <v>0</v>
      </c>
    </row>
    <row r="22715" spans="1:1" x14ac:dyDescent="0.3">
      <c r="A22715" t="s">
        <v>0</v>
      </c>
    </row>
    <row r="22716" spans="1:1" x14ac:dyDescent="0.3">
      <c r="A22716" t="s">
        <v>0</v>
      </c>
    </row>
    <row r="22717" spans="1:1" x14ac:dyDescent="0.3">
      <c r="A22717" t="s">
        <v>0</v>
      </c>
    </row>
    <row r="22718" spans="1:1" x14ac:dyDescent="0.3">
      <c r="A22718" t="s">
        <v>0</v>
      </c>
    </row>
    <row r="22719" spans="1:1" x14ac:dyDescent="0.3">
      <c r="A22719" t="s">
        <v>0</v>
      </c>
    </row>
    <row r="22720" spans="1:1" x14ac:dyDescent="0.3">
      <c r="A22720" t="s">
        <v>0</v>
      </c>
    </row>
    <row r="22721" spans="1:1" x14ac:dyDescent="0.3">
      <c r="A22721" t="s">
        <v>0</v>
      </c>
    </row>
    <row r="22722" spans="1:1" x14ac:dyDescent="0.3">
      <c r="A22722" t="s">
        <v>0</v>
      </c>
    </row>
    <row r="22723" spans="1:1" x14ac:dyDescent="0.3">
      <c r="A22723" t="s">
        <v>0</v>
      </c>
    </row>
    <row r="22724" spans="1:1" x14ac:dyDescent="0.3">
      <c r="A22724" t="s">
        <v>0</v>
      </c>
    </row>
    <row r="22725" spans="1:1" x14ac:dyDescent="0.3">
      <c r="A22725" t="s">
        <v>0</v>
      </c>
    </row>
    <row r="22726" spans="1:1" x14ac:dyDescent="0.3">
      <c r="A22726" t="s">
        <v>0</v>
      </c>
    </row>
    <row r="22727" spans="1:1" x14ac:dyDescent="0.3">
      <c r="A22727" t="s">
        <v>0</v>
      </c>
    </row>
    <row r="22728" spans="1:1" x14ac:dyDescent="0.3">
      <c r="A22728" t="s">
        <v>0</v>
      </c>
    </row>
    <row r="22729" spans="1:1" x14ac:dyDescent="0.3">
      <c r="A22729" t="s">
        <v>0</v>
      </c>
    </row>
    <row r="22730" spans="1:1" x14ac:dyDescent="0.3">
      <c r="A22730" t="s">
        <v>0</v>
      </c>
    </row>
    <row r="22731" spans="1:1" x14ac:dyDescent="0.3">
      <c r="A22731" t="s">
        <v>0</v>
      </c>
    </row>
    <row r="22732" spans="1:1" x14ac:dyDescent="0.3">
      <c r="A22732" t="s">
        <v>0</v>
      </c>
    </row>
    <row r="22733" spans="1:1" x14ac:dyDescent="0.3">
      <c r="A22733" t="s">
        <v>0</v>
      </c>
    </row>
    <row r="22734" spans="1:1" x14ac:dyDescent="0.3">
      <c r="A22734" t="s">
        <v>0</v>
      </c>
    </row>
    <row r="22735" spans="1:1" x14ac:dyDescent="0.3">
      <c r="A22735" t="s">
        <v>0</v>
      </c>
    </row>
    <row r="22736" spans="1:1" x14ac:dyDescent="0.3">
      <c r="A22736" t="s">
        <v>0</v>
      </c>
    </row>
    <row r="22737" spans="1:1" x14ac:dyDescent="0.3">
      <c r="A22737" t="s">
        <v>0</v>
      </c>
    </row>
    <row r="22738" spans="1:1" x14ac:dyDescent="0.3">
      <c r="A22738" t="s">
        <v>0</v>
      </c>
    </row>
    <row r="22739" spans="1:1" x14ac:dyDescent="0.3">
      <c r="A22739" t="s">
        <v>0</v>
      </c>
    </row>
    <row r="22740" spans="1:1" x14ac:dyDescent="0.3">
      <c r="A22740" t="s">
        <v>0</v>
      </c>
    </row>
    <row r="22741" spans="1:1" x14ac:dyDescent="0.3">
      <c r="A22741" t="s">
        <v>0</v>
      </c>
    </row>
    <row r="22742" spans="1:1" x14ac:dyDescent="0.3">
      <c r="A22742" t="s">
        <v>0</v>
      </c>
    </row>
    <row r="22743" spans="1:1" x14ac:dyDescent="0.3">
      <c r="A22743" t="s">
        <v>0</v>
      </c>
    </row>
    <row r="22744" spans="1:1" x14ac:dyDescent="0.3">
      <c r="A22744" t="s">
        <v>0</v>
      </c>
    </row>
    <row r="22745" spans="1:1" x14ac:dyDescent="0.3">
      <c r="A22745" t="s">
        <v>0</v>
      </c>
    </row>
    <row r="22746" spans="1:1" x14ac:dyDescent="0.3">
      <c r="A22746" t="s">
        <v>0</v>
      </c>
    </row>
    <row r="22747" spans="1:1" x14ac:dyDescent="0.3">
      <c r="A22747" t="s">
        <v>0</v>
      </c>
    </row>
    <row r="22748" spans="1:1" x14ac:dyDescent="0.3">
      <c r="A22748" t="s">
        <v>0</v>
      </c>
    </row>
    <row r="22749" spans="1:1" x14ac:dyDescent="0.3">
      <c r="A22749" t="s">
        <v>0</v>
      </c>
    </row>
    <row r="22750" spans="1:1" x14ac:dyDescent="0.3">
      <c r="A22750" t="s">
        <v>0</v>
      </c>
    </row>
    <row r="22751" spans="1:1" x14ac:dyDescent="0.3">
      <c r="A22751" t="s">
        <v>0</v>
      </c>
    </row>
    <row r="22752" spans="1:1" x14ac:dyDescent="0.3">
      <c r="A22752" t="s">
        <v>0</v>
      </c>
    </row>
    <row r="22753" spans="1:1" x14ac:dyDescent="0.3">
      <c r="A22753" t="s">
        <v>0</v>
      </c>
    </row>
    <row r="22754" spans="1:1" x14ac:dyDescent="0.3">
      <c r="A22754" t="s">
        <v>0</v>
      </c>
    </row>
    <row r="22755" spans="1:1" x14ac:dyDescent="0.3">
      <c r="A22755" t="s">
        <v>0</v>
      </c>
    </row>
    <row r="22756" spans="1:1" x14ac:dyDescent="0.3">
      <c r="A22756" t="s">
        <v>0</v>
      </c>
    </row>
    <row r="22757" spans="1:1" x14ac:dyDescent="0.3">
      <c r="A22757" t="s">
        <v>0</v>
      </c>
    </row>
    <row r="22758" spans="1:1" x14ac:dyDescent="0.3">
      <c r="A22758" t="s">
        <v>0</v>
      </c>
    </row>
    <row r="22759" spans="1:1" x14ac:dyDescent="0.3">
      <c r="A22759" t="s">
        <v>0</v>
      </c>
    </row>
    <row r="22760" spans="1:1" x14ac:dyDescent="0.3">
      <c r="A22760" t="s">
        <v>0</v>
      </c>
    </row>
    <row r="22761" spans="1:1" x14ac:dyDescent="0.3">
      <c r="A22761" t="s">
        <v>0</v>
      </c>
    </row>
    <row r="22762" spans="1:1" x14ac:dyDescent="0.3">
      <c r="A22762" t="s">
        <v>0</v>
      </c>
    </row>
    <row r="22763" spans="1:1" x14ac:dyDescent="0.3">
      <c r="A22763" t="s">
        <v>0</v>
      </c>
    </row>
    <row r="22764" spans="1:1" x14ac:dyDescent="0.3">
      <c r="A22764" t="s">
        <v>0</v>
      </c>
    </row>
    <row r="22765" spans="1:1" x14ac:dyDescent="0.3">
      <c r="A22765" t="s">
        <v>0</v>
      </c>
    </row>
    <row r="22766" spans="1:1" x14ac:dyDescent="0.3">
      <c r="A22766" t="s">
        <v>0</v>
      </c>
    </row>
    <row r="22767" spans="1:1" x14ac:dyDescent="0.3">
      <c r="A22767" t="s">
        <v>0</v>
      </c>
    </row>
    <row r="22768" spans="1:1" x14ac:dyDescent="0.3">
      <c r="A22768" t="s">
        <v>0</v>
      </c>
    </row>
    <row r="22769" spans="1:1" x14ac:dyDescent="0.3">
      <c r="A22769" t="s">
        <v>0</v>
      </c>
    </row>
    <row r="22770" spans="1:1" x14ac:dyDescent="0.3">
      <c r="A22770" t="s">
        <v>0</v>
      </c>
    </row>
    <row r="22771" spans="1:1" x14ac:dyDescent="0.3">
      <c r="A22771" t="s">
        <v>0</v>
      </c>
    </row>
    <row r="22772" spans="1:1" x14ac:dyDescent="0.3">
      <c r="A22772" t="s">
        <v>0</v>
      </c>
    </row>
    <row r="22773" spans="1:1" x14ac:dyDescent="0.3">
      <c r="A22773" t="s">
        <v>0</v>
      </c>
    </row>
    <row r="22774" spans="1:1" x14ac:dyDescent="0.3">
      <c r="A22774" t="s">
        <v>0</v>
      </c>
    </row>
    <row r="22775" spans="1:1" x14ac:dyDescent="0.3">
      <c r="A22775" t="s">
        <v>0</v>
      </c>
    </row>
    <row r="22776" spans="1:1" x14ac:dyDescent="0.3">
      <c r="A22776" t="s">
        <v>0</v>
      </c>
    </row>
    <row r="22777" spans="1:1" x14ac:dyDescent="0.3">
      <c r="A22777" t="s">
        <v>0</v>
      </c>
    </row>
    <row r="22778" spans="1:1" x14ac:dyDescent="0.3">
      <c r="A22778" t="s">
        <v>0</v>
      </c>
    </row>
    <row r="22779" spans="1:1" x14ac:dyDescent="0.3">
      <c r="A22779" t="s">
        <v>0</v>
      </c>
    </row>
    <row r="22780" spans="1:1" x14ac:dyDescent="0.3">
      <c r="A22780" t="s">
        <v>0</v>
      </c>
    </row>
    <row r="22781" spans="1:1" x14ac:dyDescent="0.3">
      <c r="A22781" t="s">
        <v>0</v>
      </c>
    </row>
    <row r="22782" spans="1:1" x14ac:dyDescent="0.3">
      <c r="A22782" t="s">
        <v>0</v>
      </c>
    </row>
    <row r="22783" spans="1:1" x14ac:dyDescent="0.3">
      <c r="A22783" t="s">
        <v>0</v>
      </c>
    </row>
    <row r="22784" spans="1:1" x14ac:dyDescent="0.3">
      <c r="A22784" t="s">
        <v>0</v>
      </c>
    </row>
    <row r="22785" spans="1:1" x14ac:dyDescent="0.3">
      <c r="A22785" t="s">
        <v>0</v>
      </c>
    </row>
    <row r="22786" spans="1:1" x14ac:dyDescent="0.3">
      <c r="A22786" t="s">
        <v>0</v>
      </c>
    </row>
    <row r="22787" spans="1:1" x14ac:dyDescent="0.3">
      <c r="A22787" t="s">
        <v>0</v>
      </c>
    </row>
    <row r="22788" spans="1:1" x14ac:dyDescent="0.3">
      <c r="A22788" t="s">
        <v>0</v>
      </c>
    </row>
    <row r="22789" spans="1:1" x14ac:dyDescent="0.3">
      <c r="A22789" t="s">
        <v>0</v>
      </c>
    </row>
    <row r="22790" spans="1:1" x14ac:dyDescent="0.3">
      <c r="A22790" t="s">
        <v>0</v>
      </c>
    </row>
    <row r="22791" spans="1:1" x14ac:dyDescent="0.3">
      <c r="A22791" t="s">
        <v>0</v>
      </c>
    </row>
    <row r="22792" spans="1:1" x14ac:dyDescent="0.3">
      <c r="A22792" t="s">
        <v>0</v>
      </c>
    </row>
    <row r="22793" spans="1:1" x14ac:dyDescent="0.3">
      <c r="A22793" t="s">
        <v>0</v>
      </c>
    </row>
    <row r="22794" spans="1:1" x14ac:dyDescent="0.3">
      <c r="A22794" t="s">
        <v>0</v>
      </c>
    </row>
    <row r="22795" spans="1:1" x14ac:dyDescent="0.3">
      <c r="A22795" t="s">
        <v>0</v>
      </c>
    </row>
    <row r="22796" spans="1:1" x14ac:dyDescent="0.3">
      <c r="A22796" t="s">
        <v>0</v>
      </c>
    </row>
    <row r="22797" spans="1:1" x14ac:dyDescent="0.3">
      <c r="A22797" t="s">
        <v>0</v>
      </c>
    </row>
    <row r="22798" spans="1:1" x14ac:dyDescent="0.3">
      <c r="A22798" t="s">
        <v>0</v>
      </c>
    </row>
    <row r="22799" spans="1:1" x14ac:dyDescent="0.3">
      <c r="A22799" t="s">
        <v>0</v>
      </c>
    </row>
    <row r="22800" spans="1:1" x14ac:dyDescent="0.3">
      <c r="A22800" t="s">
        <v>0</v>
      </c>
    </row>
    <row r="22801" spans="1:1" x14ac:dyDescent="0.3">
      <c r="A22801" t="s">
        <v>0</v>
      </c>
    </row>
    <row r="22802" spans="1:1" x14ac:dyDescent="0.3">
      <c r="A22802" t="s">
        <v>0</v>
      </c>
    </row>
    <row r="22803" spans="1:1" x14ac:dyDescent="0.3">
      <c r="A22803" t="s">
        <v>0</v>
      </c>
    </row>
    <row r="22804" spans="1:1" x14ac:dyDescent="0.3">
      <c r="A22804" t="s">
        <v>0</v>
      </c>
    </row>
    <row r="22805" spans="1:1" x14ac:dyDescent="0.3">
      <c r="A22805" t="s">
        <v>0</v>
      </c>
    </row>
    <row r="22806" spans="1:1" x14ac:dyDescent="0.3">
      <c r="A22806" t="s">
        <v>0</v>
      </c>
    </row>
    <row r="22807" spans="1:1" x14ac:dyDescent="0.3">
      <c r="A22807" t="s">
        <v>0</v>
      </c>
    </row>
    <row r="22808" spans="1:1" x14ac:dyDescent="0.3">
      <c r="A22808" t="s">
        <v>0</v>
      </c>
    </row>
    <row r="22809" spans="1:1" x14ac:dyDescent="0.3">
      <c r="A22809" t="s">
        <v>0</v>
      </c>
    </row>
    <row r="22810" spans="1:1" x14ac:dyDescent="0.3">
      <c r="A22810" t="s">
        <v>0</v>
      </c>
    </row>
    <row r="22811" spans="1:1" x14ac:dyDescent="0.3">
      <c r="A22811" t="s">
        <v>0</v>
      </c>
    </row>
    <row r="22812" spans="1:1" x14ac:dyDescent="0.3">
      <c r="A22812" t="s">
        <v>0</v>
      </c>
    </row>
    <row r="22813" spans="1:1" x14ac:dyDescent="0.3">
      <c r="A22813" t="s">
        <v>0</v>
      </c>
    </row>
    <row r="22814" spans="1:1" x14ac:dyDescent="0.3">
      <c r="A22814" t="s">
        <v>0</v>
      </c>
    </row>
    <row r="22815" spans="1:1" x14ac:dyDescent="0.3">
      <c r="A22815" t="s">
        <v>0</v>
      </c>
    </row>
    <row r="22816" spans="1:1" x14ac:dyDescent="0.3">
      <c r="A22816" t="s">
        <v>0</v>
      </c>
    </row>
    <row r="22817" spans="1:1" x14ac:dyDescent="0.3">
      <c r="A22817" t="s">
        <v>0</v>
      </c>
    </row>
    <row r="22818" spans="1:1" x14ac:dyDescent="0.3">
      <c r="A22818" t="s">
        <v>0</v>
      </c>
    </row>
    <row r="22819" spans="1:1" x14ac:dyDescent="0.3">
      <c r="A22819" t="s">
        <v>0</v>
      </c>
    </row>
    <row r="22820" spans="1:1" x14ac:dyDescent="0.3">
      <c r="A22820" t="s">
        <v>0</v>
      </c>
    </row>
    <row r="22821" spans="1:1" x14ac:dyDescent="0.3">
      <c r="A22821" t="s">
        <v>0</v>
      </c>
    </row>
    <row r="22822" spans="1:1" x14ac:dyDescent="0.3">
      <c r="A22822" t="s">
        <v>0</v>
      </c>
    </row>
    <row r="22823" spans="1:1" x14ac:dyDescent="0.3">
      <c r="A22823" t="s">
        <v>0</v>
      </c>
    </row>
    <row r="22824" spans="1:1" x14ac:dyDescent="0.3">
      <c r="A22824" t="s">
        <v>0</v>
      </c>
    </row>
    <row r="22825" spans="1:1" x14ac:dyDescent="0.3">
      <c r="A22825" t="s">
        <v>0</v>
      </c>
    </row>
    <row r="22826" spans="1:1" x14ac:dyDescent="0.3">
      <c r="A22826" t="s">
        <v>0</v>
      </c>
    </row>
    <row r="22827" spans="1:1" x14ac:dyDescent="0.3">
      <c r="A22827" t="s">
        <v>0</v>
      </c>
    </row>
    <row r="22828" spans="1:1" x14ac:dyDescent="0.3">
      <c r="A22828" t="s">
        <v>0</v>
      </c>
    </row>
    <row r="22829" spans="1:1" x14ac:dyDescent="0.3">
      <c r="A22829" t="s">
        <v>0</v>
      </c>
    </row>
    <row r="22830" spans="1:1" x14ac:dyDescent="0.3">
      <c r="A22830" t="s">
        <v>0</v>
      </c>
    </row>
    <row r="22831" spans="1:1" x14ac:dyDescent="0.3">
      <c r="A22831" t="s">
        <v>0</v>
      </c>
    </row>
    <row r="22832" spans="1:1" x14ac:dyDescent="0.3">
      <c r="A22832" t="s">
        <v>0</v>
      </c>
    </row>
    <row r="22833" spans="1:1" x14ac:dyDescent="0.3">
      <c r="A22833" t="s">
        <v>0</v>
      </c>
    </row>
    <row r="22834" spans="1:1" x14ac:dyDescent="0.3">
      <c r="A22834" t="s">
        <v>0</v>
      </c>
    </row>
    <row r="22835" spans="1:1" x14ac:dyDescent="0.3">
      <c r="A22835" t="s">
        <v>0</v>
      </c>
    </row>
    <row r="22836" spans="1:1" x14ac:dyDescent="0.3">
      <c r="A22836" t="s">
        <v>0</v>
      </c>
    </row>
    <row r="22837" spans="1:1" x14ac:dyDescent="0.3">
      <c r="A22837" t="s">
        <v>0</v>
      </c>
    </row>
    <row r="22838" spans="1:1" x14ac:dyDescent="0.3">
      <c r="A22838" t="s">
        <v>0</v>
      </c>
    </row>
    <row r="22839" spans="1:1" x14ac:dyDescent="0.3">
      <c r="A22839" t="s">
        <v>0</v>
      </c>
    </row>
    <row r="22840" spans="1:1" x14ac:dyDescent="0.3">
      <c r="A22840" t="s">
        <v>0</v>
      </c>
    </row>
    <row r="22841" spans="1:1" x14ac:dyDescent="0.3">
      <c r="A22841" t="s">
        <v>0</v>
      </c>
    </row>
    <row r="22842" spans="1:1" x14ac:dyDescent="0.3">
      <c r="A22842" t="s">
        <v>0</v>
      </c>
    </row>
    <row r="22843" spans="1:1" x14ac:dyDescent="0.3">
      <c r="A22843" t="s">
        <v>0</v>
      </c>
    </row>
    <row r="22844" spans="1:1" x14ac:dyDescent="0.3">
      <c r="A22844" t="s">
        <v>0</v>
      </c>
    </row>
    <row r="22845" spans="1:1" x14ac:dyDescent="0.3">
      <c r="A22845" t="s">
        <v>0</v>
      </c>
    </row>
    <row r="22846" spans="1:1" x14ac:dyDescent="0.3">
      <c r="A22846" t="s">
        <v>0</v>
      </c>
    </row>
    <row r="22847" spans="1:1" x14ac:dyDescent="0.3">
      <c r="A22847" t="s">
        <v>0</v>
      </c>
    </row>
    <row r="22848" spans="1:1" x14ac:dyDescent="0.3">
      <c r="A22848" t="s">
        <v>0</v>
      </c>
    </row>
    <row r="22849" spans="1:1" x14ac:dyDescent="0.3">
      <c r="A22849" t="s">
        <v>0</v>
      </c>
    </row>
    <row r="22850" spans="1:1" x14ac:dyDescent="0.3">
      <c r="A22850" t="s">
        <v>0</v>
      </c>
    </row>
    <row r="22851" spans="1:1" x14ac:dyDescent="0.3">
      <c r="A22851" t="s">
        <v>0</v>
      </c>
    </row>
    <row r="22852" spans="1:1" x14ac:dyDescent="0.3">
      <c r="A22852" t="s">
        <v>0</v>
      </c>
    </row>
    <row r="22853" spans="1:1" x14ac:dyDescent="0.3">
      <c r="A22853" t="s">
        <v>0</v>
      </c>
    </row>
    <row r="22854" spans="1:1" x14ac:dyDescent="0.3">
      <c r="A22854" t="s">
        <v>0</v>
      </c>
    </row>
    <row r="22855" spans="1:1" x14ac:dyDescent="0.3">
      <c r="A22855" t="s">
        <v>0</v>
      </c>
    </row>
    <row r="22856" spans="1:1" x14ac:dyDescent="0.3">
      <c r="A22856" t="s">
        <v>0</v>
      </c>
    </row>
    <row r="22857" spans="1:1" x14ac:dyDescent="0.3">
      <c r="A22857" t="s">
        <v>0</v>
      </c>
    </row>
    <row r="22858" spans="1:1" x14ac:dyDescent="0.3">
      <c r="A22858" t="s">
        <v>0</v>
      </c>
    </row>
    <row r="22859" spans="1:1" x14ac:dyDescent="0.3">
      <c r="A22859" t="s">
        <v>0</v>
      </c>
    </row>
    <row r="22860" spans="1:1" x14ac:dyDescent="0.3">
      <c r="A22860" t="s">
        <v>0</v>
      </c>
    </row>
    <row r="22861" spans="1:1" x14ac:dyDescent="0.3">
      <c r="A22861" t="s">
        <v>0</v>
      </c>
    </row>
    <row r="22862" spans="1:1" x14ac:dyDescent="0.3">
      <c r="A22862" t="s">
        <v>0</v>
      </c>
    </row>
    <row r="22863" spans="1:1" x14ac:dyDescent="0.3">
      <c r="A22863" t="s">
        <v>0</v>
      </c>
    </row>
    <row r="22864" spans="1:1" x14ac:dyDescent="0.3">
      <c r="A22864" t="s">
        <v>0</v>
      </c>
    </row>
    <row r="22865" spans="1:1" x14ac:dyDescent="0.3">
      <c r="A22865" t="s">
        <v>0</v>
      </c>
    </row>
    <row r="22866" spans="1:1" x14ac:dyDescent="0.3">
      <c r="A22866" t="s">
        <v>0</v>
      </c>
    </row>
    <row r="22867" spans="1:1" x14ac:dyDescent="0.3">
      <c r="A22867" t="s">
        <v>0</v>
      </c>
    </row>
    <row r="22868" spans="1:1" x14ac:dyDescent="0.3">
      <c r="A22868" t="s">
        <v>0</v>
      </c>
    </row>
    <row r="22869" spans="1:1" x14ac:dyDescent="0.3">
      <c r="A22869" t="s">
        <v>0</v>
      </c>
    </row>
    <row r="22870" spans="1:1" x14ac:dyDescent="0.3">
      <c r="A22870" t="s">
        <v>0</v>
      </c>
    </row>
    <row r="22871" spans="1:1" x14ac:dyDescent="0.3">
      <c r="A22871" t="s">
        <v>0</v>
      </c>
    </row>
    <row r="22872" spans="1:1" x14ac:dyDescent="0.3">
      <c r="A22872" t="s">
        <v>0</v>
      </c>
    </row>
    <row r="22873" spans="1:1" x14ac:dyDescent="0.3">
      <c r="A22873" t="s">
        <v>0</v>
      </c>
    </row>
    <row r="22874" spans="1:1" x14ac:dyDescent="0.3">
      <c r="A22874" t="s">
        <v>0</v>
      </c>
    </row>
    <row r="22875" spans="1:1" x14ac:dyDescent="0.3">
      <c r="A22875" t="s">
        <v>0</v>
      </c>
    </row>
    <row r="22876" spans="1:1" x14ac:dyDescent="0.3">
      <c r="A22876" t="s">
        <v>0</v>
      </c>
    </row>
    <row r="22877" spans="1:1" x14ac:dyDescent="0.3">
      <c r="A22877" t="s">
        <v>0</v>
      </c>
    </row>
    <row r="22878" spans="1:1" x14ac:dyDescent="0.3">
      <c r="A22878" t="s">
        <v>0</v>
      </c>
    </row>
    <row r="22879" spans="1:1" x14ac:dyDescent="0.3">
      <c r="A22879" t="s">
        <v>0</v>
      </c>
    </row>
    <row r="22880" spans="1:1" x14ac:dyDescent="0.3">
      <c r="A22880" t="s">
        <v>0</v>
      </c>
    </row>
    <row r="22881" spans="1:1" x14ac:dyDescent="0.3">
      <c r="A22881" t="s">
        <v>0</v>
      </c>
    </row>
    <row r="22882" spans="1:1" x14ac:dyDescent="0.3">
      <c r="A22882" t="s">
        <v>0</v>
      </c>
    </row>
    <row r="22883" spans="1:1" x14ac:dyDescent="0.3">
      <c r="A22883" t="s">
        <v>0</v>
      </c>
    </row>
    <row r="22884" spans="1:1" x14ac:dyDescent="0.3">
      <c r="A22884" t="s">
        <v>0</v>
      </c>
    </row>
    <row r="22885" spans="1:1" x14ac:dyDescent="0.3">
      <c r="A22885" t="s">
        <v>0</v>
      </c>
    </row>
    <row r="22886" spans="1:1" x14ac:dyDescent="0.3">
      <c r="A22886" t="s">
        <v>0</v>
      </c>
    </row>
    <row r="22887" spans="1:1" x14ac:dyDescent="0.3">
      <c r="A22887" t="s">
        <v>0</v>
      </c>
    </row>
    <row r="22888" spans="1:1" x14ac:dyDescent="0.3">
      <c r="A22888" t="s">
        <v>0</v>
      </c>
    </row>
    <row r="22889" spans="1:1" x14ac:dyDescent="0.3">
      <c r="A22889" t="s">
        <v>0</v>
      </c>
    </row>
    <row r="22890" spans="1:1" x14ac:dyDescent="0.3">
      <c r="A22890" t="s">
        <v>0</v>
      </c>
    </row>
    <row r="22891" spans="1:1" x14ac:dyDescent="0.3">
      <c r="A22891" t="s">
        <v>0</v>
      </c>
    </row>
    <row r="22892" spans="1:1" x14ac:dyDescent="0.3">
      <c r="A22892" t="s">
        <v>0</v>
      </c>
    </row>
    <row r="22893" spans="1:1" x14ac:dyDescent="0.3">
      <c r="A22893" t="s">
        <v>0</v>
      </c>
    </row>
    <row r="22894" spans="1:1" x14ac:dyDescent="0.3">
      <c r="A22894" t="s">
        <v>0</v>
      </c>
    </row>
    <row r="22895" spans="1:1" x14ac:dyDescent="0.3">
      <c r="A22895" t="s">
        <v>0</v>
      </c>
    </row>
    <row r="22896" spans="1:1" x14ac:dyDescent="0.3">
      <c r="A22896" t="s">
        <v>0</v>
      </c>
    </row>
    <row r="22897" spans="1:1" x14ac:dyDescent="0.3">
      <c r="A22897" t="s">
        <v>0</v>
      </c>
    </row>
    <row r="22898" spans="1:1" x14ac:dyDescent="0.3">
      <c r="A22898" t="s">
        <v>0</v>
      </c>
    </row>
    <row r="22899" spans="1:1" x14ac:dyDescent="0.3">
      <c r="A22899" t="s">
        <v>0</v>
      </c>
    </row>
    <row r="22900" spans="1:1" x14ac:dyDescent="0.3">
      <c r="A22900" t="s">
        <v>0</v>
      </c>
    </row>
    <row r="22901" spans="1:1" x14ac:dyDescent="0.3">
      <c r="A22901" t="s">
        <v>0</v>
      </c>
    </row>
    <row r="22902" spans="1:1" x14ac:dyDescent="0.3">
      <c r="A22902" t="s">
        <v>0</v>
      </c>
    </row>
    <row r="22903" spans="1:1" x14ac:dyDescent="0.3">
      <c r="A22903" t="s">
        <v>0</v>
      </c>
    </row>
    <row r="22904" spans="1:1" x14ac:dyDescent="0.3">
      <c r="A22904" t="s">
        <v>0</v>
      </c>
    </row>
    <row r="22905" spans="1:1" x14ac:dyDescent="0.3">
      <c r="A22905" t="s">
        <v>0</v>
      </c>
    </row>
    <row r="22906" spans="1:1" x14ac:dyDescent="0.3">
      <c r="A22906" t="s">
        <v>0</v>
      </c>
    </row>
    <row r="22907" spans="1:1" x14ac:dyDescent="0.3">
      <c r="A22907" t="s">
        <v>0</v>
      </c>
    </row>
    <row r="22908" spans="1:1" x14ac:dyDescent="0.3">
      <c r="A22908" t="s">
        <v>0</v>
      </c>
    </row>
    <row r="22909" spans="1:1" x14ac:dyDescent="0.3">
      <c r="A22909" t="s">
        <v>0</v>
      </c>
    </row>
    <row r="22910" spans="1:1" x14ac:dyDescent="0.3">
      <c r="A22910" t="s">
        <v>0</v>
      </c>
    </row>
    <row r="22911" spans="1:1" x14ac:dyDescent="0.3">
      <c r="A22911" t="s">
        <v>0</v>
      </c>
    </row>
    <row r="22912" spans="1:1" x14ac:dyDescent="0.3">
      <c r="A22912" t="s">
        <v>0</v>
      </c>
    </row>
    <row r="22913" spans="1:1" x14ac:dyDescent="0.3">
      <c r="A22913" t="s">
        <v>0</v>
      </c>
    </row>
    <row r="22914" spans="1:1" x14ac:dyDescent="0.3">
      <c r="A22914" t="s">
        <v>0</v>
      </c>
    </row>
    <row r="22915" spans="1:1" x14ac:dyDescent="0.3">
      <c r="A22915" t="s">
        <v>0</v>
      </c>
    </row>
    <row r="22916" spans="1:1" x14ac:dyDescent="0.3">
      <c r="A22916" t="s">
        <v>0</v>
      </c>
    </row>
    <row r="22917" spans="1:1" x14ac:dyDescent="0.3">
      <c r="A22917" t="s">
        <v>0</v>
      </c>
    </row>
    <row r="22918" spans="1:1" x14ac:dyDescent="0.3">
      <c r="A22918" t="s">
        <v>0</v>
      </c>
    </row>
    <row r="22919" spans="1:1" x14ac:dyDescent="0.3">
      <c r="A22919" t="s">
        <v>0</v>
      </c>
    </row>
    <row r="22920" spans="1:1" x14ac:dyDescent="0.3">
      <c r="A22920" t="s">
        <v>0</v>
      </c>
    </row>
    <row r="22921" spans="1:1" x14ac:dyDescent="0.3">
      <c r="A22921" t="s">
        <v>0</v>
      </c>
    </row>
    <row r="22922" spans="1:1" x14ac:dyDescent="0.3">
      <c r="A22922" t="s">
        <v>0</v>
      </c>
    </row>
    <row r="22923" spans="1:1" x14ac:dyDescent="0.3">
      <c r="A22923" t="s">
        <v>0</v>
      </c>
    </row>
    <row r="22924" spans="1:1" x14ac:dyDescent="0.3">
      <c r="A22924" t="s">
        <v>0</v>
      </c>
    </row>
    <row r="22925" spans="1:1" x14ac:dyDescent="0.3">
      <c r="A22925" t="s">
        <v>0</v>
      </c>
    </row>
    <row r="22926" spans="1:1" x14ac:dyDescent="0.3">
      <c r="A22926" t="s">
        <v>0</v>
      </c>
    </row>
    <row r="22927" spans="1:1" x14ac:dyDescent="0.3">
      <c r="A22927" t="s">
        <v>0</v>
      </c>
    </row>
    <row r="22928" spans="1:1" x14ac:dyDescent="0.3">
      <c r="A22928" t="s">
        <v>0</v>
      </c>
    </row>
    <row r="22929" spans="1:1" x14ac:dyDescent="0.3">
      <c r="A22929" t="s">
        <v>0</v>
      </c>
    </row>
    <row r="22930" spans="1:1" x14ac:dyDescent="0.3">
      <c r="A22930" t="s">
        <v>0</v>
      </c>
    </row>
    <row r="22931" spans="1:1" x14ac:dyDescent="0.3">
      <c r="A22931" t="s">
        <v>0</v>
      </c>
    </row>
    <row r="22932" spans="1:1" x14ac:dyDescent="0.3">
      <c r="A22932" t="s">
        <v>0</v>
      </c>
    </row>
    <row r="22933" spans="1:1" x14ac:dyDescent="0.3">
      <c r="A22933" t="s">
        <v>0</v>
      </c>
    </row>
    <row r="22934" spans="1:1" x14ac:dyDescent="0.3">
      <c r="A22934" t="s">
        <v>0</v>
      </c>
    </row>
    <row r="22935" spans="1:1" x14ac:dyDescent="0.3">
      <c r="A22935" t="s">
        <v>0</v>
      </c>
    </row>
    <row r="22936" spans="1:1" x14ac:dyDescent="0.3">
      <c r="A22936" t="s">
        <v>0</v>
      </c>
    </row>
    <row r="22937" spans="1:1" x14ac:dyDescent="0.3">
      <c r="A22937" t="s">
        <v>0</v>
      </c>
    </row>
    <row r="22938" spans="1:1" x14ac:dyDescent="0.3">
      <c r="A22938" t="s">
        <v>0</v>
      </c>
    </row>
    <row r="22939" spans="1:1" x14ac:dyDescent="0.3">
      <c r="A22939" t="s">
        <v>0</v>
      </c>
    </row>
    <row r="22940" spans="1:1" x14ac:dyDescent="0.3">
      <c r="A22940" t="s">
        <v>0</v>
      </c>
    </row>
    <row r="22941" spans="1:1" x14ac:dyDescent="0.3">
      <c r="A22941" t="s">
        <v>0</v>
      </c>
    </row>
    <row r="22942" spans="1:1" x14ac:dyDescent="0.3">
      <c r="A22942" t="s">
        <v>0</v>
      </c>
    </row>
    <row r="22943" spans="1:1" x14ac:dyDescent="0.3">
      <c r="A22943" t="s">
        <v>0</v>
      </c>
    </row>
    <row r="22944" spans="1:1" x14ac:dyDescent="0.3">
      <c r="A22944" t="s">
        <v>0</v>
      </c>
    </row>
    <row r="22945" spans="1:1" x14ac:dyDescent="0.3">
      <c r="A22945" t="s">
        <v>0</v>
      </c>
    </row>
    <row r="22946" spans="1:1" x14ac:dyDescent="0.3">
      <c r="A22946" t="s">
        <v>0</v>
      </c>
    </row>
    <row r="22947" spans="1:1" x14ac:dyDescent="0.3">
      <c r="A22947" t="s">
        <v>0</v>
      </c>
    </row>
    <row r="22948" spans="1:1" x14ac:dyDescent="0.3">
      <c r="A22948" t="s">
        <v>0</v>
      </c>
    </row>
    <row r="22949" spans="1:1" x14ac:dyDescent="0.3">
      <c r="A22949" t="s">
        <v>0</v>
      </c>
    </row>
    <row r="22950" spans="1:1" x14ac:dyDescent="0.3">
      <c r="A22950" t="s">
        <v>0</v>
      </c>
    </row>
    <row r="22951" spans="1:1" x14ac:dyDescent="0.3">
      <c r="A22951" t="s">
        <v>0</v>
      </c>
    </row>
    <row r="22952" spans="1:1" x14ac:dyDescent="0.3">
      <c r="A22952" t="s">
        <v>0</v>
      </c>
    </row>
    <row r="22953" spans="1:1" x14ac:dyDescent="0.3">
      <c r="A22953" t="s">
        <v>0</v>
      </c>
    </row>
    <row r="22954" spans="1:1" x14ac:dyDescent="0.3">
      <c r="A22954" t="s">
        <v>0</v>
      </c>
    </row>
    <row r="22955" spans="1:1" x14ac:dyDescent="0.3">
      <c r="A22955" t="s">
        <v>0</v>
      </c>
    </row>
    <row r="22956" spans="1:1" x14ac:dyDescent="0.3">
      <c r="A22956" t="s">
        <v>0</v>
      </c>
    </row>
    <row r="22957" spans="1:1" x14ac:dyDescent="0.3">
      <c r="A22957" t="s">
        <v>0</v>
      </c>
    </row>
    <row r="22958" spans="1:1" x14ac:dyDescent="0.3">
      <c r="A22958" t="s">
        <v>0</v>
      </c>
    </row>
    <row r="22959" spans="1:1" x14ac:dyDescent="0.3">
      <c r="A22959" t="s">
        <v>0</v>
      </c>
    </row>
    <row r="22960" spans="1:1" x14ac:dyDescent="0.3">
      <c r="A22960" t="s">
        <v>0</v>
      </c>
    </row>
    <row r="22961" spans="1:1" x14ac:dyDescent="0.3">
      <c r="A22961" t="s">
        <v>0</v>
      </c>
    </row>
    <row r="22962" spans="1:1" x14ac:dyDescent="0.3">
      <c r="A22962" t="s">
        <v>0</v>
      </c>
    </row>
    <row r="22963" spans="1:1" x14ac:dyDescent="0.3">
      <c r="A22963" t="s">
        <v>0</v>
      </c>
    </row>
    <row r="22964" spans="1:1" x14ac:dyDescent="0.3">
      <c r="A22964" t="s">
        <v>0</v>
      </c>
    </row>
    <row r="22965" spans="1:1" x14ac:dyDescent="0.3">
      <c r="A22965" t="s">
        <v>0</v>
      </c>
    </row>
    <row r="22966" spans="1:1" x14ac:dyDescent="0.3">
      <c r="A22966" t="s">
        <v>0</v>
      </c>
    </row>
    <row r="22967" spans="1:1" x14ac:dyDescent="0.3">
      <c r="A22967" t="s">
        <v>0</v>
      </c>
    </row>
    <row r="22968" spans="1:1" x14ac:dyDescent="0.3">
      <c r="A22968" t="s">
        <v>0</v>
      </c>
    </row>
    <row r="22969" spans="1:1" x14ac:dyDescent="0.3">
      <c r="A22969" t="s">
        <v>0</v>
      </c>
    </row>
    <row r="22970" spans="1:1" x14ac:dyDescent="0.3">
      <c r="A22970" t="s">
        <v>0</v>
      </c>
    </row>
    <row r="22971" spans="1:1" x14ac:dyDescent="0.3">
      <c r="A22971" t="s">
        <v>0</v>
      </c>
    </row>
    <row r="22972" spans="1:1" x14ac:dyDescent="0.3">
      <c r="A22972" t="s">
        <v>0</v>
      </c>
    </row>
    <row r="22973" spans="1:1" x14ac:dyDescent="0.3">
      <c r="A22973" t="s">
        <v>0</v>
      </c>
    </row>
    <row r="22974" spans="1:1" x14ac:dyDescent="0.3">
      <c r="A22974" t="s">
        <v>0</v>
      </c>
    </row>
    <row r="22975" spans="1:1" x14ac:dyDescent="0.3">
      <c r="A22975" t="s">
        <v>0</v>
      </c>
    </row>
    <row r="22976" spans="1:1" x14ac:dyDescent="0.3">
      <c r="A22976" t="s">
        <v>0</v>
      </c>
    </row>
    <row r="22977" spans="1:1" x14ac:dyDescent="0.3">
      <c r="A22977" t="s">
        <v>0</v>
      </c>
    </row>
    <row r="22978" spans="1:1" x14ac:dyDescent="0.3">
      <c r="A22978" t="s">
        <v>0</v>
      </c>
    </row>
    <row r="22979" spans="1:1" x14ac:dyDescent="0.3">
      <c r="A22979" t="s">
        <v>0</v>
      </c>
    </row>
    <row r="22980" spans="1:1" x14ac:dyDescent="0.3">
      <c r="A22980" t="s">
        <v>0</v>
      </c>
    </row>
    <row r="22981" spans="1:1" x14ac:dyDescent="0.3">
      <c r="A22981" t="s">
        <v>0</v>
      </c>
    </row>
    <row r="22982" spans="1:1" x14ac:dyDescent="0.3">
      <c r="A22982" t="s">
        <v>0</v>
      </c>
    </row>
    <row r="22983" spans="1:1" x14ac:dyDescent="0.3">
      <c r="A22983" t="s">
        <v>0</v>
      </c>
    </row>
    <row r="22984" spans="1:1" x14ac:dyDescent="0.3">
      <c r="A22984" t="s">
        <v>0</v>
      </c>
    </row>
    <row r="22985" spans="1:1" x14ac:dyDescent="0.3">
      <c r="A22985" t="s">
        <v>0</v>
      </c>
    </row>
    <row r="22986" spans="1:1" x14ac:dyDescent="0.3">
      <c r="A22986" t="s">
        <v>0</v>
      </c>
    </row>
    <row r="22987" spans="1:1" x14ac:dyDescent="0.3">
      <c r="A22987" t="s">
        <v>0</v>
      </c>
    </row>
    <row r="22988" spans="1:1" x14ac:dyDescent="0.3">
      <c r="A22988" t="s">
        <v>0</v>
      </c>
    </row>
    <row r="22989" spans="1:1" x14ac:dyDescent="0.3">
      <c r="A22989" t="s">
        <v>0</v>
      </c>
    </row>
    <row r="22990" spans="1:1" x14ac:dyDescent="0.3">
      <c r="A22990" t="s">
        <v>0</v>
      </c>
    </row>
    <row r="22991" spans="1:1" x14ac:dyDescent="0.3">
      <c r="A22991" t="s">
        <v>0</v>
      </c>
    </row>
    <row r="22992" spans="1:1" x14ac:dyDescent="0.3">
      <c r="A22992" t="s">
        <v>0</v>
      </c>
    </row>
    <row r="22993" spans="1:1" x14ac:dyDescent="0.3">
      <c r="A22993" t="s">
        <v>0</v>
      </c>
    </row>
    <row r="22994" spans="1:1" x14ac:dyDescent="0.3">
      <c r="A22994" t="s">
        <v>0</v>
      </c>
    </row>
    <row r="22995" spans="1:1" x14ac:dyDescent="0.3">
      <c r="A22995" t="s">
        <v>0</v>
      </c>
    </row>
    <row r="22996" spans="1:1" x14ac:dyDescent="0.3">
      <c r="A22996" t="s">
        <v>0</v>
      </c>
    </row>
    <row r="22997" spans="1:1" x14ac:dyDescent="0.3">
      <c r="A22997" t="s">
        <v>0</v>
      </c>
    </row>
    <row r="22998" spans="1:1" x14ac:dyDescent="0.3">
      <c r="A22998" t="s">
        <v>0</v>
      </c>
    </row>
    <row r="22999" spans="1:1" x14ac:dyDescent="0.3">
      <c r="A22999" t="s">
        <v>0</v>
      </c>
    </row>
    <row r="23000" spans="1:1" x14ac:dyDescent="0.3">
      <c r="A23000" t="s">
        <v>0</v>
      </c>
    </row>
    <row r="23001" spans="1:1" x14ac:dyDescent="0.3">
      <c r="A23001" t="s">
        <v>0</v>
      </c>
    </row>
    <row r="23002" spans="1:1" x14ac:dyDescent="0.3">
      <c r="A23002" t="s">
        <v>0</v>
      </c>
    </row>
    <row r="23003" spans="1:1" x14ac:dyDescent="0.3">
      <c r="A23003" t="s">
        <v>0</v>
      </c>
    </row>
    <row r="23004" spans="1:1" x14ac:dyDescent="0.3">
      <c r="A23004" t="s">
        <v>0</v>
      </c>
    </row>
    <row r="23005" spans="1:1" x14ac:dyDescent="0.3">
      <c r="A23005" t="s">
        <v>0</v>
      </c>
    </row>
    <row r="23006" spans="1:1" x14ac:dyDescent="0.3">
      <c r="A23006" t="s">
        <v>0</v>
      </c>
    </row>
    <row r="23007" spans="1:1" x14ac:dyDescent="0.3">
      <c r="A23007" t="s">
        <v>0</v>
      </c>
    </row>
    <row r="23008" spans="1:1" x14ac:dyDescent="0.3">
      <c r="A23008" t="s">
        <v>0</v>
      </c>
    </row>
    <row r="23009" spans="1:1" x14ac:dyDescent="0.3">
      <c r="A23009" t="s">
        <v>0</v>
      </c>
    </row>
    <row r="23010" spans="1:1" x14ac:dyDescent="0.3">
      <c r="A23010" t="s">
        <v>0</v>
      </c>
    </row>
    <row r="23011" spans="1:1" x14ac:dyDescent="0.3">
      <c r="A23011" t="s">
        <v>0</v>
      </c>
    </row>
    <row r="23012" spans="1:1" x14ac:dyDescent="0.3">
      <c r="A23012" t="s">
        <v>0</v>
      </c>
    </row>
    <row r="23013" spans="1:1" x14ac:dyDescent="0.3">
      <c r="A23013" t="s">
        <v>0</v>
      </c>
    </row>
    <row r="23014" spans="1:1" x14ac:dyDescent="0.3">
      <c r="A23014" t="s">
        <v>0</v>
      </c>
    </row>
    <row r="23015" spans="1:1" x14ac:dyDescent="0.3">
      <c r="A23015" t="s">
        <v>0</v>
      </c>
    </row>
    <row r="23016" spans="1:1" x14ac:dyDescent="0.3">
      <c r="A23016" t="s">
        <v>0</v>
      </c>
    </row>
    <row r="23017" spans="1:1" x14ac:dyDescent="0.3">
      <c r="A23017" t="s">
        <v>0</v>
      </c>
    </row>
    <row r="23018" spans="1:1" x14ac:dyDescent="0.3">
      <c r="A23018" t="s">
        <v>0</v>
      </c>
    </row>
    <row r="23019" spans="1:1" x14ac:dyDescent="0.3">
      <c r="A23019" t="s">
        <v>0</v>
      </c>
    </row>
    <row r="23020" spans="1:1" x14ac:dyDescent="0.3">
      <c r="A23020" t="s">
        <v>0</v>
      </c>
    </row>
    <row r="23021" spans="1:1" x14ac:dyDescent="0.3">
      <c r="A23021" t="s">
        <v>0</v>
      </c>
    </row>
    <row r="23022" spans="1:1" x14ac:dyDescent="0.3">
      <c r="A23022" t="s">
        <v>0</v>
      </c>
    </row>
    <row r="23023" spans="1:1" x14ac:dyDescent="0.3">
      <c r="A23023" t="s">
        <v>0</v>
      </c>
    </row>
    <row r="23024" spans="1:1" x14ac:dyDescent="0.3">
      <c r="A23024" t="s">
        <v>0</v>
      </c>
    </row>
    <row r="23025" spans="1:1" x14ac:dyDescent="0.3">
      <c r="A23025" t="s">
        <v>0</v>
      </c>
    </row>
    <row r="23026" spans="1:1" x14ac:dyDescent="0.3">
      <c r="A23026" t="s">
        <v>0</v>
      </c>
    </row>
    <row r="23027" spans="1:1" x14ac:dyDescent="0.3">
      <c r="A23027" t="s">
        <v>0</v>
      </c>
    </row>
    <row r="23028" spans="1:1" x14ac:dyDescent="0.3">
      <c r="A23028" t="s">
        <v>0</v>
      </c>
    </row>
    <row r="23029" spans="1:1" x14ac:dyDescent="0.3">
      <c r="A23029" t="s">
        <v>0</v>
      </c>
    </row>
    <row r="23030" spans="1:1" x14ac:dyDescent="0.3">
      <c r="A23030" t="s">
        <v>0</v>
      </c>
    </row>
    <row r="23031" spans="1:1" x14ac:dyDescent="0.3">
      <c r="A23031" t="s">
        <v>0</v>
      </c>
    </row>
    <row r="23032" spans="1:1" x14ac:dyDescent="0.3">
      <c r="A23032" t="s">
        <v>0</v>
      </c>
    </row>
    <row r="23033" spans="1:1" x14ac:dyDescent="0.3">
      <c r="A23033" t="s">
        <v>0</v>
      </c>
    </row>
    <row r="23034" spans="1:1" x14ac:dyDescent="0.3">
      <c r="A23034" t="s">
        <v>0</v>
      </c>
    </row>
    <row r="23035" spans="1:1" x14ac:dyDescent="0.3">
      <c r="A23035" t="s">
        <v>0</v>
      </c>
    </row>
    <row r="23036" spans="1:1" x14ac:dyDescent="0.3">
      <c r="A23036" t="s">
        <v>0</v>
      </c>
    </row>
    <row r="23037" spans="1:1" x14ac:dyDescent="0.3">
      <c r="A23037" t="s">
        <v>0</v>
      </c>
    </row>
    <row r="23038" spans="1:1" x14ac:dyDescent="0.3">
      <c r="A23038" t="s">
        <v>0</v>
      </c>
    </row>
    <row r="23039" spans="1:1" x14ac:dyDescent="0.3">
      <c r="A23039" t="s">
        <v>0</v>
      </c>
    </row>
    <row r="23040" spans="1:1" x14ac:dyDescent="0.3">
      <c r="A23040" t="s">
        <v>0</v>
      </c>
    </row>
    <row r="23041" spans="1:1" x14ac:dyDescent="0.3">
      <c r="A23041" t="s">
        <v>0</v>
      </c>
    </row>
    <row r="23042" spans="1:1" x14ac:dyDescent="0.3">
      <c r="A23042" t="s">
        <v>0</v>
      </c>
    </row>
    <row r="23043" spans="1:1" x14ac:dyDescent="0.3">
      <c r="A23043" t="s">
        <v>0</v>
      </c>
    </row>
    <row r="23044" spans="1:1" x14ac:dyDescent="0.3">
      <c r="A23044" t="s">
        <v>0</v>
      </c>
    </row>
    <row r="23045" spans="1:1" x14ac:dyDescent="0.3">
      <c r="A23045" t="s">
        <v>0</v>
      </c>
    </row>
    <row r="23046" spans="1:1" x14ac:dyDescent="0.3">
      <c r="A23046" t="s">
        <v>0</v>
      </c>
    </row>
    <row r="23047" spans="1:1" x14ac:dyDescent="0.3">
      <c r="A23047" t="s">
        <v>0</v>
      </c>
    </row>
    <row r="23048" spans="1:1" x14ac:dyDescent="0.3">
      <c r="A23048" t="s">
        <v>0</v>
      </c>
    </row>
    <row r="23049" spans="1:1" x14ac:dyDescent="0.3">
      <c r="A23049" t="s">
        <v>0</v>
      </c>
    </row>
    <row r="23050" spans="1:1" x14ac:dyDescent="0.3">
      <c r="A23050" t="s">
        <v>0</v>
      </c>
    </row>
    <row r="23051" spans="1:1" x14ac:dyDescent="0.3">
      <c r="A23051" t="s">
        <v>0</v>
      </c>
    </row>
    <row r="23052" spans="1:1" x14ac:dyDescent="0.3">
      <c r="A23052" t="s">
        <v>0</v>
      </c>
    </row>
    <row r="23053" spans="1:1" x14ac:dyDescent="0.3">
      <c r="A23053" t="s">
        <v>0</v>
      </c>
    </row>
    <row r="23054" spans="1:1" x14ac:dyDescent="0.3">
      <c r="A23054" t="s">
        <v>0</v>
      </c>
    </row>
    <row r="23055" spans="1:1" x14ac:dyDescent="0.3">
      <c r="A23055" t="s">
        <v>0</v>
      </c>
    </row>
    <row r="23056" spans="1:1" x14ac:dyDescent="0.3">
      <c r="A23056" t="s">
        <v>0</v>
      </c>
    </row>
    <row r="23057" spans="1:1" x14ac:dyDescent="0.3">
      <c r="A23057" t="s">
        <v>0</v>
      </c>
    </row>
    <row r="23058" spans="1:1" x14ac:dyDescent="0.3">
      <c r="A23058" t="s">
        <v>0</v>
      </c>
    </row>
    <row r="23059" spans="1:1" x14ac:dyDescent="0.3">
      <c r="A23059" t="s">
        <v>0</v>
      </c>
    </row>
    <row r="23060" spans="1:1" x14ac:dyDescent="0.3">
      <c r="A23060" t="s">
        <v>0</v>
      </c>
    </row>
    <row r="23061" spans="1:1" x14ac:dyDescent="0.3">
      <c r="A23061" t="s">
        <v>0</v>
      </c>
    </row>
    <row r="23062" spans="1:1" x14ac:dyDescent="0.3">
      <c r="A23062" t="s">
        <v>0</v>
      </c>
    </row>
    <row r="23063" spans="1:1" x14ac:dyDescent="0.3">
      <c r="A23063" t="s">
        <v>0</v>
      </c>
    </row>
    <row r="23064" spans="1:1" x14ac:dyDescent="0.3">
      <c r="A23064" t="s">
        <v>0</v>
      </c>
    </row>
    <row r="23065" spans="1:1" x14ac:dyDescent="0.3">
      <c r="A23065" t="s">
        <v>0</v>
      </c>
    </row>
    <row r="23066" spans="1:1" x14ac:dyDescent="0.3">
      <c r="A23066" t="s">
        <v>0</v>
      </c>
    </row>
    <row r="23067" spans="1:1" x14ac:dyDescent="0.3">
      <c r="A23067" t="s">
        <v>0</v>
      </c>
    </row>
    <row r="23068" spans="1:1" x14ac:dyDescent="0.3">
      <c r="A23068" t="s">
        <v>0</v>
      </c>
    </row>
    <row r="23069" spans="1:1" x14ac:dyDescent="0.3">
      <c r="A23069" t="s">
        <v>0</v>
      </c>
    </row>
    <row r="23070" spans="1:1" x14ac:dyDescent="0.3">
      <c r="A23070" t="s">
        <v>0</v>
      </c>
    </row>
    <row r="23071" spans="1:1" x14ac:dyDescent="0.3">
      <c r="A23071" t="s">
        <v>0</v>
      </c>
    </row>
    <row r="23072" spans="1:1" x14ac:dyDescent="0.3">
      <c r="A23072" t="s">
        <v>0</v>
      </c>
    </row>
    <row r="23073" spans="1:1" x14ac:dyDescent="0.3">
      <c r="A23073" t="s">
        <v>0</v>
      </c>
    </row>
    <row r="23074" spans="1:1" x14ac:dyDescent="0.3">
      <c r="A23074" t="s">
        <v>0</v>
      </c>
    </row>
    <row r="23075" spans="1:1" x14ac:dyDescent="0.3">
      <c r="A23075" t="s">
        <v>0</v>
      </c>
    </row>
    <row r="23076" spans="1:1" x14ac:dyDescent="0.3">
      <c r="A23076" t="s">
        <v>0</v>
      </c>
    </row>
    <row r="23077" spans="1:1" x14ac:dyDescent="0.3">
      <c r="A23077" t="s">
        <v>0</v>
      </c>
    </row>
    <row r="23078" spans="1:1" x14ac:dyDescent="0.3">
      <c r="A23078" t="s">
        <v>0</v>
      </c>
    </row>
    <row r="23079" spans="1:1" x14ac:dyDescent="0.3">
      <c r="A23079" t="s">
        <v>0</v>
      </c>
    </row>
    <row r="23080" spans="1:1" x14ac:dyDescent="0.3">
      <c r="A23080" t="s">
        <v>0</v>
      </c>
    </row>
    <row r="23081" spans="1:1" x14ac:dyDescent="0.3">
      <c r="A23081" t="s">
        <v>0</v>
      </c>
    </row>
    <row r="23082" spans="1:1" x14ac:dyDescent="0.3">
      <c r="A23082" t="s">
        <v>0</v>
      </c>
    </row>
    <row r="23083" spans="1:1" x14ac:dyDescent="0.3">
      <c r="A23083" t="s">
        <v>0</v>
      </c>
    </row>
    <row r="23084" spans="1:1" x14ac:dyDescent="0.3">
      <c r="A23084" t="s">
        <v>0</v>
      </c>
    </row>
    <row r="23085" spans="1:1" x14ac:dyDescent="0.3">
      <c r="A23085" t="s">
        <v>0</v>
      </c>
    </row>
    <row r="23086" spans="1:1" x14ac:dyDescent="0.3">
      <c r="A23086" t="s">
        <v>0</v>
      </c>
    </row>
    <row r="23087" spans="1:1" x14ac:dyDescent="0.3">
      <c r="A23087" t="s">
        <v>0</v>
      </c>
    </row>
    <row r="23088" spans="1:1" x14ac:dyDescent="0.3">
      <c r="A23088" t="s">
        <v>0</v>
      </c>
    </row>
    <row r="23089" spans="1:1" x14ac:dyDescent="0.3">
      <c r="A23089" t="s">
        <v>0</v>
      </c>
    </row>
    <row r="23090" spans="1:1" x14ac:dyDescent="0.3">
      <c r="A23090" t="s">
        <v>0</v>
      </c>
    </row>
    <row r="23091" spans="1:1" x14ac:dyDescent="0.3">
      <c r="A23091" t="s">
        <v>0</v>
      </c>
    </row>
    <row r="23092" spans="1:1" x14ac:dyDescent="0.3">
      <c r="A23092" t="s">
        <v>0</v>
      </c>
    </row>
    <row r="23093" spans="1:1" x14ac:dyDescent="0.3">
      <c r="A23093" t="s">
        <v>0</v>
      </c>
    </row>
    <row r="23094" spans="1:1" x14ac:dyDescent="0.3">
      <c r="A23094" t="s">
        <v>0</v>
      </c>
    </row>
    <row r="23095" spans="1:1" x14ac:dyDescent="0.3">
      <c r="A23095" t="s">
        <v>0</v>
      </c>
    </row>
    <row r="23096" spans="1:1" x14ac:dyDescent="0.3">
      <c r="A23096" t="s">
        <v>0</v>
      </c>
    </row>
    <row r="23097" spans="1:1" x14ac:dyDescent="0.3">
      <c r="A23097" t="s">
        <v>0</v>
      </c>
    </row>
    <row r="23098" spans="1:1" x14ac:dyDescent="0.3">
      <c r="A23098" t="s">
        <v>0</v>
      </c>
    </row>
    <row r="23099" spans="1:1" x14ac:dyDescent="0.3">
      <c r="A23099" t="s">
        <v>0</v>
      </c>
    </row>
    <row r="23100" spans="1:1" x14ac:dyDescent="0.3">
      <c r="A23100" t="s">
        <v>0</v>
      </c>
    </row>
    <row r="23101" spans="1:1" x14ac:dyDescent="0.3">
      <c r="A23101" t="s">
        <v>0</v>
      </c>
    </row>
    <row r="23102" spans="1:1" x14ac:dyDescent="0.3">
      <c r="A23102" t="s">
        <v>0</v>
      </c>
    </row>
    <row r="23103" spans="1:1" x14ac:dyDescent="0.3">
      <c r="A23103" t="s">
        <v>0</v>
      </c>
    </row>
    <row r="23104" spans="1:1" x14ac:dyDescent="0.3">
      <c r="A23104" t="s">
        <v>0</v>
      </c>
    </row>
    <row r="23105" spans="1:1" x14ac:dyDescent="0.3">
      <c r="A23105" t="s">
        <v>0</v>
      </c>
    </row>
    <row r="23106" spans="1:1" x14ac:dyDescent="0.3">
      <c r="A23106" t="s">
        <v>0</v>
      </c>
    </row>
    <row r="23107" spans="1:1" x14ac:dyDescent="0.3">
      <c r="A23107" t="s">
        <v>0</v>
      </c>
    </row>
    <row r="23108" spans="1:1" x14ac:dyDescent="0.3">
      <c r="A23108" t="s">
        <v>0</v>
      </c>
    </row>
    <row r="23109" spans="1:1" x14ac:dyDescent="0.3">
      <c r="A23109" t="s">
        <v>0</v>
      </c>
    </row>
    <row r="23110" spans="1:1" x14ac:dyDescent="0.3">
      <c r="A23110" t="s">
        <v>0</v>
      </c>
    </row>
    <row r="23111" spans="1:1" x14ac:dyDescent="0.3">
      <c r="A23111" t="s">
        <v>0</v>
      </c>
    </row>
    <row r="23112" spans="1:1" x14ac:dyDescent="0.3">
      <c r="A23112" t="s">
        <v>0</v>
      </c>
    </row>
    <row r="23113" spans="1:1" x14ac:dyDescent="0.3">
      <c r="A23113" t="s">
        <v>0</v>
      </c>
    </row>
    <row r="23114" spans="1:1" x14ac:dyDescent="0.3">
      <c r="A23114" t="s">
        <v>0</v>
      </c>
    </row>
    <row r="23115" spans="1:1" x14ac:dyDescent="0.3">
      <c r="A23115" t="s">
        <v>0</v>
      </c>
    </row>
    <row r="23116" spans="1:1" x14ac:dyDescent="0.3">
      <c r="A23116" t="s">
        <v>0</v>
      </c>
    </row>
    <row r="23117" spans="1:1" x14ac:dyDescent="0.3">
      <c r="A23117" t="s">
        <v>0</v>
      </c>
    </row>
    <row r="23118" spans="1:1" x14ac:dyDescent="0.3">
      <c r="A23118" t="s">
        <v>0</v>
      </c>
    </row>
    <row r="23119" spans="1:1" x14ac:dyDescent="0.3">
      <c r="A23119" t="s">
        <v>0</v>
      </c>
    </row>
    <row r="23120" spans="1:1" x14ac:dyDescent="0.3">
      <c r="A23120" t="s">
        <v>0</v>
      </c>
    </row>
    <row r="23121" spans="1:1" x14ac:dyDescent="0.3">
      <c r="A23121" t="s">
        <v>0</v>
      </c>
    </row>
    <row r="23122" spans="1:1" x14ac:dyDescent="0.3">
      <c r="A23122" t="s">
        <v>0</v>
      </c>
    </row>
    <row r="23123" spans="1:1" x14ac:dyDescent="0.3">
      <c r="A23123" t="s">
        <v>0</v>
      </c>
    </row>
    <row r="23124" spans="1:1" x14ac:dyDescent="0.3">
      <c r="A23124" t="s">
        <v>0</v>
      </c>
    </row>
    <row r="23125" spans="1:1" x14ac:dyDescent="0.3">
      <c r="A23125" t="s">
        <v>0</v>
      </c>
    </row>
    <row r="23126" spans="1:1" x14ac:dyDescent="0.3">
      <c r="A23126" t="s">
        <v>0</v>
      </c>
    </row>
    <row r="23127" spans="1:1" x14ac:dyDescent="0.3">
      <c r="A23127" t="s">
        <v>0</v>
      </c>
    </row>
    <row r="23128" spans="1:1" x14ac:dyDescent="0.3">
      <c r="A23128" t="s">
        <v>0</v>
      </c>
    </row>
    <row r="23129" spans="1:1" x14ac:dyDescent="0.3">
      <c r="A23129" t="s">
        <v>0</v>
      </c>
    </row>
    <row r="23130" spans="1:1" x14ac:dyDescent="0.3">
      <c r="A23130" t="s">
        <v>0</v>
      </c>
    </row>
    <row r="23131" spans="1:1" x14ac:dyDescent="0.3">
      <c r="A23131" t="s">
        <v>0</v>
      </c>
    </row>
    <row r="23132" spans="1:1" x14ac:dyDescent="0.3">
      <c r="A23132" t="s">
        <v>0</v>
      </c>
    </row>
    <row r="23133" spans="1:1" x14ac:dyDescent="0.3">
      <c r="A23133" t="s">
        <v>0</v>
      </c>
    </row>
    <row r="23134" spans="1:1" x14ac:dyDescent="0.3">
      <c r="A23134" t="s">
        <v>0</v>
      </c>
    </row>
    <row r="23135" spans="1:1" x14ac:dyDescent="0.3">
      <c r="A23135" t="s">
        <v>0</v>
      </c>
    </row>
    <row r="23136" spans="1:1" x14ac:dyDescent="0.3">
      <c r="A23136" t="s">
        <v>0</v>
      </c>
    </row>
    <row r="23137" spans="1:1" x14ac:dyDescent="0.3">
      <c r="A23137" t="s">
        <v>0</v>
      </c>
    </row>
    <row r="23138" spans="1:1" x14ac:dyDescent="0.3">
      <c r="A23138" t="s">
        <v>0</v>
      </c>
    </row>
    <row r="23139" spans="1:1" x14ac:dyDescent="0.3">
      <c r="A23139" t="s">
        <v>0</v>
      </c>
    </row>
    <row r="23140" spans="1:1" x14ac:dyDescent="0.3">
      <c r="A23140" t="s">
        <v>0</v>
      </c>
    </row>
    <row r="23141" spans="1:1" x14ac:dyDescent="0.3">
      <c r="A23141" t="s">
        <v>0</v>
      </c>
    </row>
    <row r="23142" spans="1:1" x14ac:dyDescent="0.3">
      <c r="A23142" t="s">
        <v>0</v>
      </c>
    </row>
    <row r="23143" spans="1:1" x14ac:dyDescent="0.3">
      <c r="A23143" t="s">
        <v>0</v>
      </c>
    </row>
    <row r="23144" spans="1:1" x14ac:dyDescent="0.3">
      <c r="A23144" t="s">
        <v>0</v>
      </c>
    </row>
    <row r="23145" spans="1:1" x14ac:dyDescent="0.3">
      <c r="A23145" t="s">
        <v>0</v>
      </c>
    </row>
    <row r="23146" spans="1:1" x14ac:dyDescent="0.3">
      <c r="A23146" t="s">
        <v>0</v>
      </c>
    </row>
    <row r="23147" spans="1:1" x14ac:dyDescent="0.3">
      <c r="A23147" t="s">
        <v>0</v>
      </c>
    </row>
    <row r="23148" spans="1:1" x14ac:dyDescent="0.3">
      <c r="A23148" t="s">
        <v>0</v>
      </c>
    </row>
    <row r="23149" spans="1:1" x14ac:dyDescent="0.3">
      <c r="A23149" t="s">
        <v>0</v>
      </c>
    </row>
    <row r="23150" spans="1:1" x14ac:dyDescent="0.3">
      <c r="A23150" t="s">
        <v>0</v>
      </c>
    </row>
    <row r="23151" spans="1:1" x14ac:dyDescent="0.3">
      <c r="A23151" t="s">
        <v>0</v>
      </c>
    </row>
    <row r="23152" spans="1:1" x14ac:dyDescent="0.3">
      <c r="A23152" t="s">
        <v>0</v>
      </c>
    </row>
    <row r="23153" spans="1:1" x14ac:dyDescent="0.3">
      <c r="A23153" t="s">
        <v>0</v>
      </c>
    </row>
    <row r="23154" spans="1:1" x14ac:dyDescent="0.3">
      <c r="A23154" t="s">
        <v>0</v>
      </c>
    </row>
    <row r="23155" spans="1:1" x14ac:dyDescent="0.3">
      <c r="A23155" t="s">
        <v>0</v>
      </c>
    </row>
    <row r="23156" spans="1:1" x14ac:dyDescent="0.3">
      <c r="A23156" t="s">
        <v>0</v>
      </c>
    </row>
    <row r="23157" spans="1:1" x14ac:dyDescent="0.3">
      <c r="A23157" t="s">
        <v>0</v>
      </c>
    </row>
    <row r="23158" spans="1:1" x14ac:dyDescent="0.3">
      <c r="A23158" t="s">
        <v>0</v>
      </c>
    </row>
    <row r="23159" spans="1:1" x14ac:dyDescent="0.3">
      <c r="A23159" t="s">
        <v>0</v>
      </c>
    </row>
    <row r="23160" spans="1:1" x14ac:dyDescent="0.3">
      <c r="A23160" t="s">
        <v>0</v>
      </c>
    </row>
    <row r="23161" spans="1:1" x14ac:dyDescent="0.3">
      <c r="A23161" t="s">
        <v>0</v>
      </c>
    </row>
    <row r="23162" spans="1:1" x14ac:dyDescent="0.3">
      <c r="A23162" t="s">
        <v>0</v>
      </c>
    </row>
    <row r="23163" spans="1:1" x14ac:dyDescent="0.3">
      <c r="A23163" t="s">
        <v>0</v>
      </c>
    </row>
    <row r="23164" spans="1:1" x14ac:dyDescent="0.3">
      <c r="A23164" t="s">
        <v>0</v>
      </c>
    </row>
    <row r="23165" spans="1:1" x14ac:dyDescent="0.3">
      <c r="A23165" t="s">
        <v>0</v>
      </c>
    </row>
    <row r="23166" spans="1:1" x14ac:dyDescent="0.3">
      <c r="A23166" t="s">
        <v>0</v>
      </c>
    </row>
    <row r="23167" spans="1:1" x14ac:dyDescent="0.3">
      <c r="A23167" t="s">
        <v>0</v>
      </c>
    </row>
    <row r="23168" spans="1:1" x14ac:dyDescent="0.3">
      <c r="A23168" t="s">
        <v>0</v>
      </c>
    </row>
    <row r="23169" spans="1:1" x14ac:dyDescent="0.3">
      <c r="A23169" t="s">
        <v>0</v>
      </c>
    </row>
    <row r="23170" spans="1:1" x14ac:dyDescent="0.3">
      <c r="A23170" t="s">
        <v>0</v>
      </c>
    </row>
    <row r="23171" spans="1:1" x14ac:dyDescent="0.3">
      <c r="A23171" t="s">
        <v>0</v>
      </c>
    </row>
    <row r="23172" spans="1:1" x14ac:dyDescent="0.3">
      <c r="A23172" t="s">
        <v>0</v>
      </c>
    </row>
    <row r="23173" spans="1:1" x14ac:dyDescent="0.3">
      <c r="A23173" t="s">
        <v>0</v>
      </c>
    </row>
    <row r="23174" spans="1:1" x14ac:dyDescent="0.3">
      <c r="A23174" t="s">
        <v>0</v>
      </c>
    </row>
    <row r="23175" spans="1:1" x14ac:dyDescent="0.3">
      <c r="A23175" t="s">
        <v>0</v>
      </c>
    </row>
    <row r="23176" spans="1:1" x14ac:dyDescent="0.3">
      <c r="A23176" t="s">
        <v>0</v>
      </c>
    </row>
    <row r="23177" spans="1:1" x14ac:dyDescent="0.3">
      <c r="A23177" t="s">
        <v>0</v>
      </c>
    </row>
    <row r="23178" spans="1:1" x14ac:dyDescent="0.3">
      <c r="A23178" t="s">
        <v>0</v>
      </c>
    </row>
    <row r="23179" spans="1:1" x14ac:dyDescent="0.3">
      <c r="A23179" t="s">
        <v>0</v>
      </c>
    </row>
    <row r="23180" spans="1:1" x14ac:dyDescent="0.3">
      <c r="A23180" t="s">
        <v>0</v>
      </c>
    </row>
    <row r="23181" spans="1:1" x14ac:dyDescent="0.3">
      <c r="A23181" t="s">
        <v>0</v>
      </c>
    </row>
    <row r="23182" spans="1:1" x14ac:dyDescent="0.3">
      <c r="A23182" t="s">
        <v>0</v>
      </c>
    </row>
    <row r="23183" spans="1:1" x14ac:dyDescent="0.3">
      <c r="A23183" t="s">
        <v>0</v>
      </c>
    </row>
    <row r="23184" spans="1:1" x14ac:dyDescent="0.3">
      <c r="A23184" t="s">
        <v>0</v>
      </c>
    </row>
    <row r="23185" spans="1:1" x14ac:dyDescent="0.3">
      <c r="A23185" t="s">
        <v>0</v>
      </c>
    </row>
    <row r="23186" spans="1:1" x14ac:dyDescent="0.3">
      <c r="A23186" t="s">
        <v>0</v>
      </c>
    </row>
    <row r="23187" spans="1:1" x14ac:dyDescent="0.3">
      <c r="A23187" t="s">
        <v>0</v>
      </c>
    </row>
    <row r="23188" spans="1:1" x14ac:dyDescent="0.3">
      <c r="A23188" t="s">
        <v>0</v>
      </c>
    </row>
    <row r="23189" spans="1:1" x14ac:dyDescent="0.3">
      <c r="A23189" t="s">
        <v>0</v>
      </c>
    </row>
    <row r="23190" spans="1:1" x14ac:dyDescent="0.3">
      <c r="A23190" t="s">
        <v>0</v>
      </c>
    </row>
    <row r="23191" spans="1:1" x14ac:dyDescent="0.3">
      <c r="A23191" t="s">
        <v>0</v>
      </c>
    </row>
    <row r="23192" spans="1:1" x14ac:dyDescent="0.3">
      <c r="A23192" t="s">
        <v>0</v>
      </c>
    </row>
    <row r="23193" spans="1:1" x14ac:dyDescent="0.3">
      <c r="A23193" t="s">
        <v>0</v>
      </c>
    </row>
    <row r="23194" spans="1:1" x14ac:dyDescent="0.3">
      <c r="A23194" t="s">
        <v>0</v>
      </c>
    </row>
    <row r="23195" spans="1:1" x14ac:dyDescent="0.3">
      <c r="A23195" t="s">
        <v>0</v>
      </c>
    </row>
    <row r="23196" spans="1:1" x14ac:dyDescent="0.3">
      <c r="A23196" t="s">
        <v>0</v>
      </c>
    </row>
    <row r="23197" spans="1:1" x14ac:dyDescent="0.3">
      <c r="A23197" t="s">
        <v>0</v>
      </c>
    </row>
    <row r="23198" spans="1:1" x14ac:dyDescent="0.3">
      <c r="A23198" t="s">
        <v>0</v>
      </c>
    </row>
    <row r="23199" spans="1:1" x14ac:dyDescent="0.3">
      <c r="A23199" t="s">
        <v>0</v>
      </c>
    </row>
    <row r="23200" spans="1:1" x14ac:dyDescent="0.3">
      <c r="A23200" t="s">
        <v>0</v>
      </c>
    </row>
    <row r="23201" spans="1:1" x14ac:dyDescent="0.3">
      <c r="A23201" t="s">
        <v>0</v>
      </c>
    </row>
    <row r="23202" spans="1:1" x14ac:dyDescent="0.3">
      <c r="A23202" t="s">
        <v>0</v>
      </c>
    </row>
    <row r="23203" spans="1:1" x14ac:dyDescent="0.3">
      <c r="A23203" t="s">
        <v>0</v>
      </c>
    </row>
    <row r="23204" spans="1:1" x14ac:dyDescent="0.3">
      <c r="A23204" t="s">
        <v>0</v>
      </c>
    </row>
    <row r="23205" spans="1:1" x14ac:dyDescent="0.3">
      <c r="A23205" t="s">
        <v>0</v>
      </c>
    </row>
    <row r="23206" spans="1:1" x14ac:dyDescent="0.3">
      <c r="A23206" t="s">
        <v>0</v>
      </c>
    </row>
    <row r="23207" spans="1:1" x14ac:dyDescent="0.3">
      <c r="A23207" t="s">
        <v>0</v>
      </c>
    </row>
    <row r="23208" spans="1:1" x14ac:dyDescent="0.3">
      <c r="A23208" t="s">
        <v>0</v>
      </c>
    </row>
    <row r="23209" spans="1:1" x14ac:dyDescent="0.3">
      <c r="A23209" t="s">
        <v>0</v>
      </c>
    </row>
    <row r="23210" spans="1:1" x14ac:dyDescent="0.3">
      <c r="A23210" t="s">
        <v>0</v>
      </c>
    </row>
    <row r="23211" spans="1:1" x14ac:dyDescent="0.3">
      <c r="A23211" t="s">
        <v>0</v>
      </c>
    </row>
    <row r="23212" spans="1:1" x14ac:dyDescent="0.3">
      <c r="A23212" t="s">
        <v>0</v>
      </c>
    </row>
    <row r="23213" spans="1:1" x14ac:dyDescent="0.3">
      <c r="A23213" t="s">
        <v>0</v>
      </c>
    </row>
    <row r="23214" spans="1:1" x14ac:dyDescent="0.3">
      <c r="A23214" t="s">
        <v>0</v>
      </c>
    </row>
    <row r="23215" spans="1:1" x14ac:dyDescent="0.3">
      <c r="A23215" t="s">
        <v>0</v>
      </c>
    </row>
    <row r="23216" spans="1:1" x14ac:dyDescent="0.3">
      <c r="A23216" t="s">
        <v>0</v>
      </c>
    </row>
    <row r="23217" spans="1:1" x14ac:dyDescent="0.3">
      <c r="A23217" t="s">
        <v>0</v>
      </c>
    </row>
    <row r="23218" spans="1:1" x14ac:dyDescent="0.3">
      <c r="A23218" t="s">
        <v>0</v>
      </c>
    </row>
    <row r="23219" spans="1:1" x14ac:dyDescent="0.3">
      <c r="A23219" t="s">
        <v>0</v>
      </c>
    </row>
    <row r="23220" spans="1:1" x14ac:dyDescent="0.3">
      <c r="A23220" t="s">
        <v>0</v>
      </c>
    </row>
    <row r="23221" spans="1:1" x14ac:dyDescent="0.3">
      <c r="A23221" t="s">
        <v>0</v>
      </c>
    </row>
    <row r="23222" spans="1:1" x14ac:dyDescent="0.3">
      <c r="A23222" t="s">
        <v>0</v>
      </c>
    </row>
    <row r="23223" spans="1:1" x14ac:dyDescent="0.3">
      <c r="A23223" t="s">
        <v>0</v>
      </c>
    </row>
    <row r="23224" spans="1:1" x14ac:dyDescent="0.3">
      <c r="A23224" t="s">
        <v>0</v>
      </c>
    </row>
    <row r="23225" spans="1:1" x14ac:dyDescent="0.3">
      <c r="A23225" t="s">
        <v>0</v>
      </c>
    </row>
    <row r="23226" spans="1:1" x14ac:dyDescent="0.3">
      <c r="A23226" t="s">
        <v>0</v>
      </c>
    </row>
    <row r="23227" spans="1:1" x14ac:dyDescent="0.3">
      <c r="A23227" t="s">
        <v>0</v>
      </c>
    </row>
    <row r="23228" spans="1:1" x14ac:dyDescent="0.3">
      <c r="A23228" t="s">
        <v>0</v>
      </c>
    </row>
    <row r="23229" spans="1:1" x14ac:dyDescent="0.3">
      <c r="A23229" t="s">
        <v>0</v>
      </c>
    </row>
    <row r="23230" spans="1:1" x14ac:dyDescent="0.3">
      <c r="A23230" t="s">
        <v>0</v>
      </c>
    </row>
    <row r="23231" spans="1:1" x14ac:dyDescent="0.3">
      <c r="A23231" t="s">
        <v>0</v>
      </c>
    </row>
    <row r="23232" spans="1:1" x14ac:dyDescent="0.3">
      <c r="A23232" t="s">
        <v>0</v>
      </c>
    </row>
    <row r="23233" spans="1:1" x14ac:dyDescent="0.3">
      <c r="A23233" t="s">
        <v>0</v>
      </c>
    </row>
    <row r="23234" spans="1:1" x14ac:dyDescent="0.3">
      <c r="A23234" t="s">
        <v>0</v>
      </c>
    </row>
    <row r="23235" spans="1:1" x14ac:dyDescent="0.3">
      <c r="A23235" t="s">
        <v>0</v>
      </c>
    </row>
    <row r="23236" spans="1:1" x14ac:dyDescent="0.3">
      <c r="A23236" t="s">
        <v>0</v>
      </c>
    </row>
    <row r="23237" spans="1:1" x14ac:dyDescent="0.3">
      <c r="A23237" t="s">
        <v>0</v>
      </c>
    </row>
    <row r="23238" spans="1:1" x14ac:dyDescent="0.3">
      <c r="A23238" t="s">
        <v>0</v>
      </c>
    </row>
    <row r="23239" spans="1:1" x14ac:dyDescent="0.3">
      <c r="A23239" t="s">
        <v>0</v>
      </c>
    </row>
    <row r="23240" spans="1:1" x14ac:dyDescent="0.3">
      <c r="A23240" t="s">
        <v>0</v>
      </c>
    </row>
    <row r="23241" spans="1:1" x14ac:dyDescent="0.3">
      <c r="A23241" t="s">
        <v>0</v>
      </c>
    </row>
    <row r="23242" spans="1:1" x14ac:dyDescent="0.3">
      <c r="A23242" t="s">
        <v>0</v>
      </c>
    </row>
    <row r="23243" spans="1:1" x14ac:dyDescent="0.3">
      <c r="A23243" t="s">
        <v>0</v>
      </c>
    </row>
    <row r="23244" spans="1:1" x14ac:dyDescent="0.3">
      <c r="A23244" t="s">
        <v>0</v>
      </c>
    </row>
    <row r="23245" spans="1:1" x14ac:dyDescent="0.3">
      <c r="A23245" t="s">
        <v>0</v>
      </c>
    </row>
    <row r="23246" spans="1:1" x14ac:dyDescent="0.3">
      <c r="A23246" t="s">
        <v>0</v>
      </c>
    </row>
    <row r="23247" spans="1:1" x14ac:dyDescent="0.3">
      <c r="A23247" t="s">
        <v>0</v>
      </c>
    </row>
    <row r="23248" spans="1:1" x14ac:dyDescent="0.3">
      <c r="A23248" t="s">
        <v>0</v>
      </c>
    </row>
    <row r="23249" spans="1:1" x14ac:dyDescent="0.3">
      <c r="A23249" t="s">
        <v>0</v>
      </c>
    </row>
    <row r="23250" spans="1:1" x14ac:dyDescent="0.3">
      <c r="A23250" t="s">
        <v>0</v>
      </c>
    </row>
    <row r="23251" spans="1:1" x14ac:dyDescent="0.3">
      <c r="A23251" t="s">
        <v>0</v>
      </c>
    </row>
    <row r="23252" spans="1:1" x14ac:dyDescent="0.3">
      <c r="A23252" t="s">
        <v>0</v>
      </c>
    </row>
    <row r="23253" spans="1:1" x14ac:dyDescent="0.3">
      <c r="A23253" t="s">
        <v>0</v>
      </c>
    </row>
    <row r="23254" spans="1:1" x14ac:dyDescent="0.3">
      <c r="A23254" t="s">
        <v>0</v>
      </c>
    </row>
    <row r="23255" spans="1:1" x14ac:dyDescent="0.3">
      <c r="A23255" t="s">
        <v>0</v>
      </c>
    </row>
    <row r="23256" spans="1:1" x14ac:dyDescent="0.3">
      <c r="A23256" t="s">
        <v>0</v>
      </c>
    </row>
    <row r="23257" spans="1:1" x14ac:dyDescent="0.3">
      <c r="A23257" t="s">
        <v>0</v>
      </c>
    </row>
    <row r="23258" spans="1:1" x14ac:dyDescent="0.3">
      <c r="A23258" t="s">
        <v>0</v>
      </c>
    </row>
    <row r="23259" spans="1:1" x14ac:dyDescent="0.3">
      <c r="A23259" t="s">
        <v>0</v>
      </c>
    </row>
    <row r="23260" spans="1:1" x14ac:dyDescent="0.3">
      <c r="A23260" t="s">
        <v>0</v>
      </c>
    </row>
    <row r="23261" spans="1:1" x14ac:dyDescent="0.3">
      <c r="A23261" t="s">
        <v>0</v>
      </c>
    </row>
    <row r="23262" spans="1:1" x14ac:dyDescent="0.3">
      <c r="A23262" t="s">
        <v>0</v>
      </c>
    </row>
    <row r="23263" spans="1:1" x14ac:dyDescent="0.3">
      <c r="A23263" t="s">
        <v>0</v>
      </c>
    </row>
    <row r="23264" spans="1:1" x14ac:dyDescent="0.3">
      <c r="A23264" t="s">
        <v>0</v>
      </c>
    </row>
    <row r="23265" spans="1:1" x14ac:dyDescent="0.3">
      <c r="A23265" t="s">
        <v>0</v>
      </c>
    </row>
    <row r="23266" spans="1:1" x14ac:dyDescent="0.3">
      <c r="A23266" t="s">
        <v>0</v>
      </c>
    </row>
    <row r="23267" spans="1:1" x14ac:dyDescent="0.3">
      <c r="A23267" t="s">
        <v>0</v>
      </c>
    </row>
    <row r="23268" spans="1:1" x14ac:dyDescent="0.3">
      <c r="A23268" t="s">
        <v>0</v>
      </c>
    </row>
    <row r="23269" spans="1:1" x14ac:dyDescent="0.3">
      <c r="A23269" t="s">
        <v>0</v>
      </c>
    </row>
    <row r="23270" spans="1:1" x14ac:dyDescent="0.3">
      <c r="A23270" t="s">
        <v>0</v>
      </c>
    </row>
    <row r="23271" spans="1:1" x14ac:dyDescent="0.3">
      <c r="A23271" t="s">
        <v>0</v>
      </c>
    </row>
    <row r="23272" spans="1:1" x14ac:dyDescent="0.3">
      <c r="A23272" t="s">
        <v>0</v>
      </c>
    </row>
    <row r="23273" spans="1:1" x14ac:dyDescent="0.3">
      <c r="A23273" t="s">
        <v>0</v>
      </c>
    </row>
    <row r="23274" spans="1:1" x14ac:dyDescent="0.3">
      <c r="A23274" t="s">
        <v>0</v>
      </c>
    </row>
    <row r="23275" spans="1:1" x14ac:dyDescent="0.3">
      <c r="A23275" t="s">
        <v>0</v>
      </c>
    </row>
    <row r="23276" spans="1:1" x14ac:dyDescent="0.3">
      <c r="A23276" t="s">
        <v>0</v>
      </c>
    </row>
    <row r="23277" spans="1:1" x14ac:dyDescent="0.3">
      <c r="A23277" t="s">
        <v>0</v>
      </c>
    </row>
    <row r="23278" spans="1:1" x14ac:dyDescent="0.3">
      <c r="A23278" t="s">
        <v>0</v>
      </c>
    </row>
    <row r="23279" spans="1:1" x14ac:dyDescent="0.3">
      <c r="A23279" t="s">
        <v>0</v>
      </c>
    </row>
    <row r="23280" spans="1:1" x14ac:dyDescent="0.3">
      <c r="A23280" t="s">
        <v>0</v>
      </c>
    </row>
    <row r="23281" spans="1:1" x14ac:dyDescent="0.3">
      <c r="A23281" t="s">
        <v>0</v>
      </c>
    </row>
    <row r="23282" spans="1:1" x14ac:dyDescent="0.3">
      <c r="A23282" t="s">
        <v>0</v>
      </c>
    </row>
    <row r="23283" spans="1:1" x14ac:dyDescent="0.3">
      <c r="A23283" t="s">
        <v>0</v>
      </c>
    </row>
    <row r="23284" spans="1:1" x14ac:dyDescent="0.3">
      <c r="A23284" t="s">
        <v>0</v>
      </c>
    </row>
    <row r="23285" spans="1:1" x14ac:dyDescent="0.3">
      <c r="A23285" t="s">
        <v>0</v>
      </c>
    </row>
    <row r="23286" spans="1:1" x14ac:dyDescent="0.3">
      <c r="A23286" t="s">
        <v>0</v>
      </c>
    </row>
    <row r="23287" spans="1:1" x14ac:dyDescent="0.3">
      <c r="A23287" t="s">
        <v>0</v>
      </c>
    </row>
    <row r="23288" spans="1:1" x14ac:dyDescent="0.3">
      <c r="A23288" t="s">
        <v>0</v>
      </c>
    </row>
    <row r="23289" spans="1:1" x14ac:dyDescent="0.3">
      <c r="A23289" t="s">
        <v>0</v>
      </c>
    </row>
    <row r="23290" spans="1:1" x14ac:dyDescent="0.3">
      <c r="A23290" t="s">
        <v>0</v>
      </c>
    </row>
    <row r="23291" spans="1:1" x14ac:dyDescent="0.3">
      <c r="A23291" t="s">
        <v>0</v>
      </c>
    </row>
    <row r="23292" spans="1:1" x14ac:dyDescent="0.3">
      <c r="A23292" t="s">
        <v>0</v>
      </c>
    </row>
    <row r="23293" spans="1:1" x14ac:dyDescent="0.3">
      <c r="A23293" t="s">
        <v>0</v>
      </c>
    </row>
    <row r="23294" spans="1:1" x14ac:dyDescent="0.3">
      <c r="A23294" t="s">
        <v>0</v>
      </c>
    </row>
    <row r="23295" spans="1:1" x14ac:dyDescent="0.3">
      <c r="A23295" t="s">
        <v>0</v>
      </c>
    </row>
    <row r="23296" spans="1:1" x14ac:dyDescent="0.3">
      <c r="A23296" t="s">
        <v>0</v>
      </c>
    </row>
    <row r="23297" spans="1:1" x14ac:dyDescent="0.3">
      <c r="A23297" t="s">
        <v>0</v>
      </c>
    </row>
    <row r="23298" spans="1:1" x14ac:dyDescent="0.3">
      <c r="A23298" t="s">
        <v>0</v>
      </c>
    </row>
    <row r="23299" spans="1:1" x14ac:dyDescent="0.3">
      <c r="A23299" t="s">
        <v>0</v>
      </c>
    </row>
    <row r="23300" spans="1:1" x14ac:dyDescent="0.3">
      <c r="A23300" t="s">
        <v>0</v>
      </c>
    </row>
    <row r="23301" spans="1:1" x14ac:dyDescent="0.3">
      <c r="A23301" t="s">
        <v>0</v>
      </c>
    </row>
    <row r="23302" spans="1:1" x14ac:dyDescent="0.3">
      <c r="A23302" t="s">
        <v>0</v>
      </c>
    </row>
    <row r="23303" spans="1:1" x14ac:dyDescent="0.3">
      <c r="A23303" t="s">
        <v>0</v>
      </c>
    </row>
    <row r="23304" spans="1:1" x14ac:dyDescent="0.3">
      <c r="A23304" t="s">
        <v>0</v>
      </c>
    </row>
    <row r="23305" spans="1:1" x14ac:dyDescent="0.3">
      <c r="A23305" t="s">
        <v>0</v>
      </c>
    </row>
    <row r="23306" spans="1:1" x14ac:dyDescent="0.3">
      <c r="A23306" t="s">
        <v>0</v>
      </c>
    </row>
    <row r="23307" spans="1:1" x14ac:dyDescent="0.3">
      <c r="A23307" t="s">
        <v>0</v>
      </c>
    </row>
    <row r="23308" spans="1:1" x14ac:dyDescent="0.3">
      <c r="A23308" t="s">
        <v>0</v>
      </c>
    </row>
    <row r="23309" spans="1:1" x14ac:dyDescent="0.3">
      <c r="A23309" t="s">
        <v>0</v>
      </c>
    </row>
    <row r="23310" spans="1:1" x14ac:dyDescent="0.3">
      <c r="A23310" t="s">
        <v>0</v>
      </c>
    </row>
    <row r="23311" spans="1:1" x14ac:dyDescent="0.3">
      <c r="A23311" t="s">
        <v>0</v>
      </c>
    </row>
    <row r="23312" spans="1:1" x14ac:dyDescent="0.3">
      <c r="A23312" t="s">
        <v>0</v>
      </c>
    </row>
    <row r="23313" spans="1:1" x14ac:dyDescent="0.3">
      <c r="A23313" t="s">
        <v>0</v>
      </c>
    </row>
    <row r="23314" spans="1:1" x14ac:dyDescent="0.3">
      <c r="A23314" t="s">
        <v>0</v>
      </c>
    </row>
    <row r="23315" spans="1:1" x14ac:dyDescent="0.3">
      <c r="A23315" t="s">
        <v>0</v>
      </c>
    </row>
    <row r="23316" spans="1:1" x14ac:dyDescent="0.3">
      <c r="A23316" t="s">
        <v>0</v>
      </c>
    </row>
    <row r="23317" spans="1:1" x14ac:dyDescent="0.3">
      <c r="A23317" t="s">
        <v>0</v>
      </c>
    </row>
    <row r="23318" spans="1:1" x14ac:dyDescent="0.3">
      <c r="A23318" t="s">
        <v>0</v>
      </c>
    </row>
    <row r="23319" spans="1:1" x14ac:dyDescent="0.3">
      <c r="A23319" t="s">
        <v>0</v>
      </c>
    </row>
    <row r="23320" spans="1:1" x14ac:dyDescent="0.3">
      <c r="A23320" t="s">
        <v>0</v>
      </c>
    </row>
    <row r="23321" spans="1:1" x14ac:dyDescent="0.3">
      <c r="A23321" t="s">
        <v>0</v>
      </c>
    </row>
    <row r="23322" spans="1:1" x14ac:dyDescent="0.3">
      <c r="A23322" t="s">
        <v>0</v>
      </c>
    </row>
    <row r="23323" spans="1:1" x14ac:dyDescent="0.3">
      <c r="A23323" t="s">
        <v>0</v>
      </c>
    </row>
    <row r="23324" spans="1:1" x14ac:dyDescent="0.3">
      <c r="A23324" t="s">
        <v>0</v>
      </c>
    </row>
    <row r="23325" spans="1:1" x14ac:dyDescent="0.3">
      <c r="A23325" t="s">
        <v>0</v>
      </c>
    </row>
    <row r="23326" spans="1:1" x14ac:dyDescent="0.3">
      <c r="A23326" t="s">
        <v>0</v>
      </c>
    </row>
    <row r="23327" spans="1:1" x14ac:dyDescent="0.3">
      <c r="A23327" t="s">
        <v>0</v>
      </c>
    </row>
    <row r="23328" spans="1:1" x14ac:dyDescent="0.3">
      <c r="A23328" t="s">
        <v>0</v>
      </c>
    </row>
    <row r="23329" spans="1:1" x14ac:dyDescent="0.3">
      <c r="A23329" t="s">
        <v>0</v>
      </c>
    </row>
    <row r="23330" spans="1:1" x14ac:dyDescent="0.3">
      <c r="A23330" t="s">
        <v>0</v>
      </c>
    </row>
    <row r="23331" spans="1:1" x14ac:dyDescent="0.3">
      <c r="A23331" t="s">
        <v>0</v>
      </c>
    </row>
    <row r="23332" spans="1:1" x14ac:dyDescent="0.3">
      <c r="A23332" t="s">
        <v>0</v>
      </c>
    </row>
    <row r="23333" spans="1:1" x14ac:dyDescent="0.3">
      <c r="A23333" t="s">
        <v>0</v>
      </c>
    </row>
    <row r="23334" spans="1:1" x14ac:dyDescent="0.3">
      <c r="A23334" t="s">
        <v>0</v>
      </c>
    </row>
    <row r="23335" spans="1:1" x14ac:dyDescent="0.3">
      <c r="A23335" t="s">
        <v>0</v>
      </c>
    </row>
    <row r="23336" spans="1:1" x14ac:dyDescent="0.3">
      <c r="A23336" t="s">
        <v>0</v>
      </c>
    </row>
    <row r="23337" spans="1:1" x14ac:dyDescent="0.3">
      <c r="A23337" t="s">
        <v>0</v>
      </c>
    </row>
    <row r="23338" spans="1:1" x14ac:dyDescent="0.3">
      <c r="A23338" t="s">
        <v>0</v>
      </c>
    </row>
    <row r="23339" spans="1:1" x14ac:dyDescent="0.3">
      <c r="A23339" t="s">
        <v>0</v>
      </c>
    </row>
    <row r="23340" spans="1:1" x14ac:dyDescent="0.3">
      <c r="A23340" t="s">
        <v>0</v>
      </c>
    </row>
    <row r="23341" spans="1:1" x14ac:dyDescent="0.3">
      <c r="A23341" t="s">
        <v>0</v>
      </c>
    </row>
    <row r="23342" spans="1:1" x14ac:dyDescent="0.3">
      <c r="A23342" t="s">
        <v>0</v>
      </c>
    </row>
    <row r="23343" spans="1:1" x14ac:dyDescent="0.3">
      <c r="A23343" t="s">
        <v>0</v>
      </c>
    </row>
    <row r="23344" spans="1:1" x14ac:dyDescent="0.3">
      <c r="A23344" t="s">
        <v>0</v>
      </c>
    </row>
    <row r="23345" spans="1:1" x14ac:dyDescent="0.3">
      <c r="A23345" t="s">
        <v>0</v>
      </c>
    </row>
    <row r="23346" spans="1:1" x14ac:dyDescent="0.3">
      <c r="A23346" t="s">
        <v>0</v>
      </c>
    </row>
    <row r="23347" spans="1:1" x14ac:dyDescent="0.3">
      <c r="A23347" t="s">
        <v>0</v>
      </c>
    </row>
    <row r="23348" spans="1:1" x14ac:dyDescent="0.3">
      <c r="A23348" t="s">
        <v>0</v>
      </c>
    </row>
    <row r="23349" spans="1:1" x14ac:dyDescent="0.3">
      <c r="A23349" t="s">
        <v>0</v>
      </c>
    </row>
    <row r="23350" spans="1:1" x14ac:dyDescent="0.3">
      <c r="A23350" t="s">
        <v>0</v>
      </c>
    </row>
    <row r="23351" spans="1:1" x14ac:dyDescent="0.3">
      <c r="A23351" t="s">
        <v>0</v>
      </c>
    </row>
    <row r="23352" spans="1:1" x14ac:dyDescent="0.3">
      <c r="A23352" t="s">
        <v>0</v>
      </c>
    </row>
    <row r="23353" spans="1:1" x14ac:dyDescent="0.3">
      <c r="A23353" t="s">
        <v>0</v>
      </c>
    </row>
    <row r="23354" spans="1:1" x14ac:dyDescent="0.3">
      <c r="A23354" t="s">
        <v>0</v>
      </c>
    </row>
    <row r="23355" spans="1:1" x14ac:dyDescent="0.3">
      <c r="A23355" t="s">
        <v>0</v>
      </c>
    </row>
    <row r="23356" spans="1:1" x14ac:dyDescent="0.3">
      <c r="A23356" t="s">
        <v>0</v>
      </c>
    </row>
    <row r="23357" spans="1:1" x14ac:dyDescent="0.3">
      <c r="A23357" t="s">
        <v>0</v>
      </c>
    </row>
    <row r="23358" spans="1:1" x14ac:dyDescent="0.3">
      <c r="A23358" t="s">
        <v>0</v>
      </c>
    </row>
    <row r="23359" spans="1:1" x14ac:dyDescent="0.3">
      <c r="A23359" t="s">
        <v>0</v>
      </c>
    </row>
    <row r="23360" spans="1:1" x14ac:dyDescent="0.3">
      <c r="A23360" t="s">
        <v>0</v>
      </c>
    </row>
    <row r="23361" spans="1:1" x14ac:dyDescent="0.3">
      <c r="A23361" t="s">
        <v>0</v>
      </c>
    </row>
    <row r="23362" spans="1:1" x14ac:dyDescent="0.3">
      <c r="A23362" t="s">
        <v>0</v>
      </c>
    </row>
    <row r="23363" spans="1:1" x14ac:dyDescent="0.3">
      <c r="A23363" t="s">
        <v>0</v>
      </c>
    </row>
    <row r="23364" spans="1:1" x14ac:dyDescent="0.3">
      <c r="A23364" t="s">
        <v>0</v>
      </c>
    </row>
    <row r="23365" spans="1:1" x14ac:dyDescent="0.3">
      <c r="A23365" t="s">
        <v>0</v>
      </c>
    </row>
    <row r="23366" spans="1:1" x14ac:dyDescent="0.3">
      <c r="A23366" t="s">
        <v>0</v>
      </c>
    </row>
    <row r="23367" spans="1:1" x14ac:dyDescent="0.3">
      <c r="A23367" t="s">
        <v>0</v>
      </c>
    </row>
    <row r="23368" spans="1:1" x14ac:dyDescent="0.3">
      <c r="A23368" t="s">
        <v>0</v>
      </c>
    </row>
    <row r="23369" spans="1:1" x14ac:dyDescent="0.3">
      <c r="A23369" t="s">
        <v>0</v>
      </c>
    </row>
    <row r="23370" spans="1:1" x14ac:dyDescent="0.3">
      <c r="A23370" t="s">
        <v>0</v>
      </c>
    </row>
    <row r="23371" spans="1:1" x14ac:dyDescent="0.3">
      <c r="A23371" t="s">
        <v>0</v>
      </c>
    </row>
    <row r="23372" spans="1:1" x14ac:dyDescent="0.3">
      <c r="A23372" t="s">
        <v>0</v>
      </c>
    </row>
    <row r="23373" spans="1:1" x14ac:dyDescent="0.3">
      <c r="A23373" t="s">
        <v>0</v>
      </c>
    </row>
    <row r="23374" spans="1:1" x14ac:dyDescent="0.3">
      <c r="A23374" t="s">
        <v>0</v>
      </c>
    </row>
    <row r="23375" spans="1:1" x14ac:dyDescent="0.3">
      <c r="A23375" t="s">
        <v>0</v>
      </c>
    </row>
    <row r="23376" spans="1:1" x14ac:dyDescent="0.3">
      <c r="A23376" t="s">
        <v>0</v>
      </c>
    </row>
    <row r="23377" spans="1:1" x14ac:dyDescent="0.3">
      <c r="A23377" t="s">
        <v>0</v>
      </c>
    </row>
    <row r="23378" spans="1:1" x14ac:dyDescent="0.3">
      <c r="A23378" t="s">
        <v>0</v>
      </c>
    </row>
    <row r="23379" spans="1:1" x14ac:dyDescent="0.3">
      <c r="A23379" t="s">
        <v>0</v>
      </c>
    </row>
    <row r="23380" spans="1:1" x14ac:dyDescent="0.3">
      <c r="A23380" t="s">
        <v>0</v>
      </c>
    </row>
    <row r="23381" spans="1:1" x14ac:dyDescent="0.3">
      <c r="A23381" t="s">
        <v>0</v>
      </c>
    </row>
    <row r="23382" spans="1:1" x14ac:dyDescent="0.3">
      <c r="A23382" t="s">
        <v>0</v>
      </c>
    </row>
    <row r="23383" spans="1:1" x14ac:dyDescent="0.3">
      <c r="A23383" t="s">
        <v>0</v>
      </c>
    </row>
    <row r="23384" spans="1:1" x14ac:dyDescent="0.3">
      <c r="A23384" t="s">
        <v>0</v>
      </c>
    </row>
    <row r="23385" spans="1:1" x14ac:dyDescent="0.3">
      <c r="A23385" t="s">
        <v>0</v>
      </c>
    </row>
    <row r="23386" spans="1:1" x14ac:dyDescent="0.3">
      <c r="A23386" t="s">
        <v>0</v>
      </c>
    </row>
    <row r="23387" spans="1:1" x14ac:dyDescent="0.3">
      <c r="A23387" t="s">
        <v>0</v>
      </c>
    </row>
    <row r="23388" spans="1:1" x14ac:dyDescent="0.3">
      <c r="A23388" t="s">
        <v>0</v>
      </c>
    </row>
    <row r="23389" spans="1:1" x14ac:dyDescent="0.3">
      <c r="A23389" t="s">
        <v>0</v>
      </c>
    </row>
    <row r="23390" spans="1:1" x14ac:dyDescent="0.3">
      <c r="A23390" t="s">
        <v>0</v>
      </c>
    </row>
    <row r="23391" spans="1:1" x14ac:dyDescent="0.3">
      <c r="A23391" t="s">
        <v>0</v>
      </c>
    </row>
    <row r="23392" spans="1:1" x14ac:dyDescent="0.3">
      <c r="A23392" t="s">
        <v>0</v>
      </c>
    </row>
    <row r="23393" spans="1:1" x14ac:dyDescent="0.3">
      <c r="A23393" t="s">
        <v>0</v>
      </c>
    </row>
    <row r="23394" spans="1:1" x14ac:dyDescent="0.3">
      <c r="A23394" t="s">
        <v>0</v>
      </c>
    </row>
    <row r="23395" spans="1:1" x14ac:dyDescent="0.3">
      <c r="A23395" t="s">
        <v>0</v>
      </c>
    </row>
    <row r="23396" spans="1:1" x14ac:dyDescent="0.3">
      <c r="A23396" t="s">
        <v>0</v>
      </c>
    </row>
    <row r="23397" spans="1:1" x14ac:dyDescent="0.3">
      <c r="A23397" t="s">
        <v>0</v>
      </c>
    </row>
    <row r="23398" spans="1:1" x14ac:dyDescent="0.3">
      <c r="A23398" t="s">
        <v>0</v>
      </c>
    </row>
    <row r="23399" spans="1:1" x14ac:dyDescent="0.3">
      <c r="A23399" t="s">
        <v>0</v>
      </c>
    </row>
    <row r="23400" spans="1:1" x14ac:dyDescent="0.3">
      <c r="A23400" t="s">
        <v>0</v>
      </c>
    </row>
    <row r="23401" spans="1:1" x14ac:dyDescent="0.3">
      <c r="A23401" t="s">
        <v>0</v>
      </c>
    </row>
    <row r="23402" spans="1:1" x14ac:dyDescent="0.3">
      <c r="A23402" t="s">
        <v>0</v>
      </c>
    </row>
    <row r="23403" spans="1:1" x14ac:dyDescent="0.3">
      <c r="A23403" t="s">
        <v>0</v>
      </c>
    </row>
    <row r="23404" spans="1:1" x14ac:dyDescent="0.3">
      <c r="A23404" t="s">
        <v>0</v>
      </c>
    </row>
    <row r="23405" spans="1:1" x14ac:dyDescent="0.3">
      <c r="A23405" t="s">
        <v>0</v>
      </c>
    </row>
    <row r="23406" spans="1:1" x14ac:dyDescent="0.3">
      <c r="A23406" t="s">
        <v>0</v>
      </c>
    </row>
    <row r="23407" spans="1:1" x14ac:dyDescent="0.3">
      <c r="A23407" t="s">
        <v>0</v>
      </c>
    </row>
    <row r="23408" spans="1:1" x14ac:dyDescent="0.3">
      <c r="A23408" t="s">
        <v>0</v>
      </c>
    </row>
    <row r="23409" spans="1:1" x14ac:dyDescent="0.3">
      <c r="A23409" t="s">
        <v>0</v>
      </c>
    </row>
    <row r="23410" spans="1:1" x14ac:dyDescent="0.3">
      <c r="A23410" t="s">
        <v>0</v>
      </c>
    </row>
    <row r="23411" spans="1:1" x14ac:dyDescent="0.3">
      <c r="A23411" t="s">
        <v>0</v>
      </c>
    </row>
    <row r="23412" spans="1:1" x14ac:dyDescent="0.3">
      <c r="A23412" t="s">
        <v>0</v>
      </c>
    </row>
    <row r="23413" spans="1:1" x14ac:dyDescent="0.3">
      <c r="A23413" t="s">
        <v>0</v>
      </c>
    </row>
    <row r="23414" spans="1:1" x14ac:dyDescent="0.3">
      <c r="A23414" t="s">
        <v>0</v>
      </c>
    </row>
    <row r="23415" spans="1:1" x14ac:dyDescent="0.3">
      <c r="A23415" t="s">
        <v>0</v>
      </c>
    </row>
    <row r="23416" spans="1:1" x14ac:dyDescent="0.3">
      <c r="A23416" t="s">
        <v>0</v>
      </c>
    </row>
    <row r="23417" spans="1:1" x14ac:dyDescent="0.3">
      <c r="A23417" t="s">
        <v>0</v>
      </c>
    </row>
    <row r="23418" spans="1:1" x14ac:dyDescent="0.3">
      <c r="A23418" t="s">
        <v>0</v>
      </c>
    </row>
    <row r="23419" spans="1:1" x14ac:dyDescent="0.3">
      <c r="A23419" t="s">
        <v>0</v>
      </c>
    </row>
    <row r="23420" spans="1:1" x14ac:dyDescent="0.3">
      <c r="A23420" t="s">
        <v>0</v>
      </c>
    </row>
    <row r="23421" spans="1:1" x14ac:dyDescent="0.3">
      <c r="A23421" t="s">
        <v>0</v>
      </c>
    </row>
    <row r="23422" spans="1:1" x14ac:dyDescent="0.3">
      <c r="A23422" t="s">
        <v>0</v>
      </c>
    </row>
    <row r="23423" spans="1:1" x14ac:dyDescent="0.3">
      <c r="A23423" t="s">
        <v>0</v>
      </c>
    </row>
    <row r="23424" spans="1:1" x14ac:dyDescent="0.3">
      <c r="A23424" t="s">
        <v>0</v>
      </c>
    </row>
    <row r="23425" spans="1:1" x14ac:dyDescent="0.3">
      <c r="A23425" t="s">
        <v>0</v>
      </c>
    </row>
    <row r="23426" spans="1:1" x14ac:dyDescent="0.3">
      <c r="A23426" t="s">
        <v>0</v>
      </c>
    </row>
    <row r="23427" spans="1:1" x14ac:dyDescent="0.3">
      <c r="A23427" t="s">
        <v>0</v>
      </c>
    </row>
    <row r="23428" spans="1:1" x14ac:dyDescent="0.3">
      <c r="A23428" t="s">
        <v>0</v>
      </c>
    </row>
    <row r="23429" spans="1:1" x14ac:dyDescent="0.3">
      <c r="A23429" t="s">
        <v>0</v>
      </c>
    </row>
    <row r="23430" spans="1:1" x14ac:dyDescent="0.3">
      <c r="A23430" t="s">
        <v>0</v>
      </c>
    </row>
    <row r="23431" spans="1:1" x14ac:dyDescent="0.3">
      <c r="A23431" t="s">
        <v>0</v>
      </c>
    </row>
    <row r="23432" spans="1:1" x14ac:dyDescent="0.3">
      <c r="A23432" t="s">
        <v>0</v>
      </c>
    </row>
    <row r="23433" spans="1:1" x14ac:dyDescent="0.3">
      <c r="A23433" t="s">
        <v>0</v>
      </c>
    </row>
    <row r="23434" spans="1:1" x14ac:dyDescent="0.3">
      <c r="A23434" t="s">
        <v>0</v>
      </c>
    </row>
    <row r="23435" spans="1:1" x14ac:dyDescent="0.3">
      <c r="A23435" t="s">
        <v>0</v>
      </c>
    </row>
    <row r="23436" spans="1:1" x14ac:dyDescent="0.3">
      <c r="A23436" t="s">
        <v>0</v>
      </c>
    </row>
    <row r="23437" spans="1:1" x14ac:dyDescent="0.3">
      <c r="A23437" t="s">
        <v>0</v>
      </c>
    </row>
    <row r="23438" spans="1:1" x14ac:dyDescent="0.3">
      <c r="A23438" t="s">
        <v>0</v>
      </c>
    </row>
    <row r="23439" spans="1:1" x14ac:dyDescent="0.3">
      <c r="A23439" t="s">
        <v>0</v>
      </c>
    </row>
    <row r="23440" spans="1:1" x14ac:dyDescent="0.3">
      <c r="A23440" t="s">
        <v>0</v>
      </c>
    </row>
    <row r="23441" spans="1:1" x14ac:dyDescent="0.3">
      <c r="A23441" t="s">
        <v>0</v>
      </c>
    </row>
    <row r="23442" spans="1:1" x14ac:dyDescent="0.3">
      <c r="A23442" t="s">
        <v>0</v>
      </c>
    </row>
    <row r="23443" spans="1:1" x14ac:dyDescent="0.3">
      <c r="A23443" t="s">
        <v>0</v>
      </c>
    </row>
    <row r="23444" spans="1:1" x14ac:dyDescent="0.3">
      <c r="A23444" t="s">
        <v>0</v>
      </c>
    </row>
    <row r="23445" spans="1:1" x14ac:dyDescent="0.3">
      <c r="A23445" t="s">
        <v>0</v>
      </c>
    </row>
    <row r="23446" spans="1:1" x14ac:dyDescent="0.3">
      <c r="A23446" t="s">
        <v>0</v>
      </c>
    </row>
    <row r="23447" spans="1:1" x14ac:dyDescent="0.3">
      <c r="A23447" t="s">
        <v>0</v>
      </c>
    </row>
    <row r="23448" spans="1:1" x14ac:dyDescent="0.3">
      <c r="A23448" t="s">
        <v>0</v>
      </c>
    </row>
    <row r="23449" spans="1:1" x14ac:dyDescent="0.3">
      <c r="A23449" t="s">
        <v>0</v>
      </c>
    </row>
    <row r="23450" spans="1:1" x14ac:dyDescent="0.3">
      <c r="A23450" t="s">
        <v>0</v>
      </c>
    </row>
    <row r="23451" spans="1:1" x14ac:dyDescent="0.3">
      <c r="A23451" t="s">
        <v>0</v>
      </c>
    </row>
    <row r="23452" spans="1:1" x14ac:dyDescent="0.3">
      <c r="A23452" t="s">
        <v>0</v>
      </c>
    </row>
    <row r="23453" spans="1:1" x14ac:dyDescent="0.3">
      <c r="A23453" t="s">
        <v>0</v>
      </c>
    </row>
    <row r="23454" spans="1:1" x14ac:dyDescent="0.3">
      <c r="A23454" t="s">
        <v>0</v>
      </c>
    </row>
    <row r="23455" spans="1:1" x14ac:dyDescent="0.3">
      <c r="A23455" t="s">
        <v>0</v>
      </c>
    </row>
    <row r="23456" spans="1:1" x14ac:dyDescent="0.3">
      <c r="A23456" t="s">
        <v>0</v>
      </c>
    </row>
    <row r="23457" spans="1:1" x14ac:dyDescent="0.3">
      <c r="A23457" t="s">
        <v>0</v>
      </c>
    </row>
    <row r="23458" spans="1:1" x14ac:dyDescent="0.3">
      <c r="A23458" t="s">
        <v>0</v>
      </c>
    </row>
    <row r="23459" spans="1:1" x14ac:dyDescent="0.3">
      <c r="A23459" t="s">
        <v>0</v>
      </c>
    </row>
    <row r="23460" spans="1:1" x14ac:dyDescent="0.3">
      <c r="A23460" t="s">
        <v>0</v>
      </c>
    </row>
    <row r="23461" spans="1:1" x14ac:dyDescent="0.3">
      <c r="A23461" t="s">
        <v>0</v>
      </c>
    </row>
    <row r="23462" spans="1:1" x14ac:dyDescent="0.3">
      <c r="A23462" t="s">
        <v>0</v>
      </c>
    </row>
    <row r="23463" spans="1:1" x14ac:dyDescent="0.3">
      <c r="A23463" t="s">
        <v>0</v>
      </c>
    </row>
    <row r="23464" spans="1:1" x14ac:dyDescent="0.3">
      <c r="A23464" t="s">
        <v>0</v>
      </c>
    </row>
    <row r="23465" spans="1:1" x14ac:dyDescent="0.3">
      <c r="A23465" t="s">
        <v>0</v>
      </c>
    </row>
    <row r="23466" spans="1:1" x14ac:dyDescent="0.3">
      <c r="A23466" t="s">
        <v>0</v>
      </c>
    </row>
    <row r="23467" spans="1:1" x14ac:dyDescent="0.3">
      <c r="A23467" t="s">
        <v>0</v>
      </c>
    </row>
    <row r="23468" spans="1:1" x14ac:dyDescent="0.3">
      <c r="A23468" t="s">
        <v>0</v>
      </c>
    </row>
    <row r="23469" spans="1:1" x14ac:dyDescent="0.3">
      <c r="A23469" t="s">
        <v>0</v>
      </c>
    </row>
    <row r="23470" spans="1:1" x14ac:dyDescent="0.3">
      <c r="A23470" t="s">
        <v>0</v>
      </c>
    </row>
    <row r="23471" spans="1:1" x14ac:dyDescent="0.3">
      <c r="A23471" t="s">
        <v>0</v>
      </c>
    </row>
    <row r="23472" spans="1:1" x14ac:dyDescent="0.3">
      <c r="A23472" t="s">
        <v>0</v>
      </c>
    </row>
    <row r="23473" spans="1:1" x14ac:dyDescent="0.3">
      <c r="A23473" t="s">
        <v>0</v>
      </c>
    </row>
    <row r="23474" spans="1:1" x14ac:dyDescent="0.3">
      <c r="A23474" t="s">
        <v>0</v>
      </c>
    </row>
    <row r="23475" spans="1:1" x14ac:dyDescent="0.3">
      <c r="A23475" t="s">
        <v>0</v>
      </c>
    </row>
    <row r="23476" spans="1:1" x14ac:dyDescent="0.3">
      <c r="A23476" t="s">
        <v>0</v>
      </c>
    </row>
    <row r="23477" spans="1:1" x14ac:dyDescent="0.3">
      <c r="A23477" t="s">
        <v>0</v>
      </c>
    </row>
    <row r="23478" spans="1:1" x14ac:dyDescent="0.3">
      <c r="A23478" t="s">
        <v>0</v>
      </c>
    </row>
    <row r="23479" spans="1:1" x14ac:dyDescent="0.3">
      <c r="A23479" t="s">
        <v>0</v>
      </c>
    </row>
    <row r="23480" spans="1:1" x14ac:dyDescent="0.3">
      <c r="A23480" t="s">
        <v>0</v>
      </c>
    </row>
    <row r="23481" spans="1:1" x14ac:dyDescent="0.3">
      <c r="A23481" t="s">
        <v>0</v>
      </c>
    </row>
    <row r="23482" spans="1:1" x14ac:dyDescent="0.3">
      <c r="A23482" t="s">
        <v>0</v>
      </c>
    </row>
    <row r="23483" spans="1:1" x14ac:dyDescent="0.3">
      <c r="A23483" t="s">
        <v>0</v>
      </c>
    </row>
    <row r="23484" spans="1:1" x14ac:dyDescent="0.3">
      <c r="A23484" t="s">
        <v>0</v>
      </c>
    </row>
    <row r="23485" spans="1:1" x14ac:dyDescent="0.3">
      <c r="A23485" t="s">
        <v>0</v>
      </c>
    </row>
    <row r="23486" spans="1:1" x14ac:dyDescent="0.3">
      <c r="A23486" t="s">
        <v>0</v>
      </c>
    </row>
    <row r="23487" spans="1:1" x14ac:dyDescent="0.3">
      <c r="A23487" t="s">
        <v>0</v>
      </c>
    </row>
    <row r="23488" spans="1:1" x14ac:dyDescent="0.3">
      <c r="A23488" t="s">
        <v>0</v>
      </c>
    </row>
    <row r="23489" spans="1:1" x14ac:dyDescent="0.3">
      <c r="A23489" t="s">
        <v>0</v>
      </c>
    </row>
    <row r="23490" spans="1:1" x14ac:dyDescent="0.3">
      <c r="A23490" t="s">
        <v>0</v>
      </c>
    </row>
    <row r="23491" spans="1:1" x14ac:dyDescent="0.3">
      <c r="A23491" t="s">
        <v>0</v>
      </c>
    </row>
    <row r="23492" spans="1:1" x14ac:dyDescent="0.3">
      <c r="A23492" t="s">
        <v>0</v>
      </c>
    </row>
    <row r="23493" spans="1:1" x14ac:dyDescent="0.3">
      <c r="A23493" t="s">
        <v>0</v>
      </c>
    </row>
    <row r="23494" spans="1:1" x14ac:dyDescent="0.3">
      <c r="A23494" t="s">
        <v>0</v>
      </c>
    </row>
    <row r="23495" spans="1:1" x14ac:dyDescent="0.3">
      <c r="A23495" t="s">
        <v>0</v>
      </c>
    </row>
    <row r="23496" spans="1:1" x14ac:dyDescent="0.3">
      <c r="A23496" t="s">
        <v>0</v>
      </c>
    </row>
    <row r="23497" spans="1:1" x14ac:dyDescent="0.3">
      <c r="A23497" t="s">
        <v>0</v>
      </c>
    </row>
    <row r="23498" spans="1:1" x14ac:dyDescent="0.3">
      <c r="A23498" t="s">
        <v>0</v>
      </c>
    </row>
    <row r="23499" spans="1:1" x14ac:dyDescent="0.3">
      <c r="A23499" t="s">
        <v>0</v>
      </c>
    </row>
    <row r="23500" spans="1:1" x14ac:dyDescent="0.3">
      <c r="A23500" t="s">
        <v>0</v>
      </c>
    </row>
    <row r="23501" spans="1:1" x14ac:dyDescent="0.3">
      <c r="A23501" t="s">
        <v>0</v>
      </c>
    </row>
    <row r="23502" spans="1:1" x14ac:dyDescent="0.3">
      <c r="A23502" t="s">
        <v>0</v>
      </c>
    </row>
    <row r="23503" spans="1:1" x14ac:dyDescent="0.3">
      <c r="A23503" t="s">
        <v>0</v>
      </c>
    </row>
    <row r="23504" spans="1:1" x14ac:dyDescent="0.3">
      <c r="A23504" t="s">
        <v>0</v>
      </c>
    </row>
    <row r="23505" spans="1:1" x14ac:dyDescent="0.3">
      <c r="A23505" t="s">
        <v>0</v>
      </c>
    </row>
    <row r="23506" spans="1:1" x14ac:dyDescent="0.3">
      <c r="A23506" t="s">
        <v>0</v>
      </c>
    </row>
    <row r="23507" spans="1:1" x14ac:dyDescent="0.3">
      <c r="A23507" t="s">
        <v>0</v>
      </c>
    </row>
    <row r="23508" spans="1:1" x14ac:dyDescent="0.3">
      <c r="A23508" t="s">
        <v>0</v>
      </c>
    </row>
    <row r="23509" spans="1:1" x14ac:dyDescent="0.3">
      <c r="A23509" t="s">
        <v>0</v>
      </c>
    </row>
    <row r="23510" spans="1:1" x14ac:dyDescent="0.3">
      <c r="A23510" t="s">
        <v>0</v>
      </c>
    </row>
    <row r="23511" spans="1:1" x14ac:dyDescent="0.3">
      <c r="A23511" t="s">
        <v>0</v>
      </c>
    </row>
    <row r="23512" spans="1:1" x14ac:dyDescent="0.3">
      <c r="A23512" t="s">
        <v>0</v>
      </c>
    </row>
    <row r="23513" spans="1:1" x14ac:dyDescent="0.3">
      <c r="A23513" t="s">
        <v>0</v>
      </c>
    </row>
    <row r="23514" spans="1:1" x14ac:dyDescent="0.3">
      <c r="A23514" t="s">
        <v>0</v>
      </c>
    </row>
    <row r="23515" spans="1:1" x14ac:dyDescent="0.3">
      <c r="A23515" t="s">
        <v>0</v>
      </c>
    </row>
    <row r="23516" spans="1:1" x14ac:dyDescent="0.3">
      <c r="A23516" t="s">
        <v>0</v>
      </c>
    </row>
    <row r="23517" spans="1:1" x14ac:dyDescent="0.3">
      <c r="A23517" t="s">
        <v>0</v>
      </c>
    </row>
    <row r="23518" spans="1:1" x14ac:dyDescent="0.3">
      <c r="A23518" t="s">
        <v>0</v>
      </c>
    </row>
    <row r="23519" spans="1:1" x14ac:dyDescent="0.3">
      <c r="A23519" t="s">
        <v>0</v>
      </c>
    </row>
    <row r="23520" spans="1:1" x14ac:dyDescent="0.3">
      <c r="A23520" t="s">
        <v>0</v>
      </c>
    </row>
    <row r="23521" spans="1:1" x14ac:dyDescent="0.3">
      <c r="A23521" t="s">
        <v>0</v>
      </c>
    </row>
    <row r="23522" spans="1:1" x14ac:dyDescent="0.3">
      <c r="A23522" t="s">
        <v>0</v>
      </c>
    </row>
    <row r="23523" spans="1:1" x14ac:dyDescent="0.3">
      <c r="A23523" t="s">
        <v>0</v>
      </c>
    </row>
    <row r="23524" spans="1:1" x14ac:dyDescent="0.3">
      <c r="A23524" t="s">
        <v>0</v>
      </c>
    </row>
    <row r="23525" spans="1:1" x14ac:dyDescent="0.3">
      <c r="A23525" t="s">
        <v>0</v>
      </c>
    </row>
    <row r="23526" spans="1:1" x14ac:dyDescent="0.3">
      <c r="A23526" t="s">
        <v>0</v>
      </c>
    </row>
    <row r="23527" spans="1:1" x14ac:dyDescent="0.3">
      <c r="A23527" t="s">
        <v>0</v>
      </c>
    </row>
    <row r="23528" spans="1:1" x14ac:dyDescent="0.3">
      <c r="A23528" t="s">
        <v>0</v>
      </c>
    </row>
    <row r="23529" spans="1:1" x14ac:dyDescent="0.3">
      <c r="A23529" t="s">
        <v>0</v>
      </c>
    </row>
    <row r="23530" spans="1:1" x14ac:dyDescent="0.3">
      <c r="A23530" t="s">
        <v>0</v>
      </c>
    </row>
    <row r="23531" spans="1:1" x14ac:dyDescent="0.3">
      <c r="A23531" t="s">
        <v>0</v>
      </c>
    </row>
    <row r="23532" spans="1:1" x14ac:dyDescent="0.3">
      <c r="A23532" t="s">
        <v>0</v>
      </c>
    </row>
    <row r="23533" spans="1:1" x14ac:dyDescent="0.3">
      <c r="A23533" t="s">
        <v>0</v>
      </c>
    </row>
    <row r="23534" spans="1:1" x14ac:dyDescent="0.3">
      <c r="A23534" t="s">
        <v>0</v>
      </c>
    </row>
    <row r="23535" spans="1:1" x14ac:dyDescent="0.3">
      <c r="A23535" t="s">
        <v>0</v>
      </c>
    </row>
    <row r="23536" spans="1:1" x14ac:dyDescent="0.3">
      <c r="A23536" t="s">
        <v>0</v>
      </c>
    </row>
    <row r="23537" spans="1:1" x14ac:dyDescent="0.3">
      <c r="A23537" t="s">
        <v>0</v>
      </c>
    </row>
    <row r="23538" spans="1:1" x14ac:dyDescent="0.3">
      <c r="A23538" t="s">
        <v>0</v>
      </c>
    </row>
    <row r="23539" spans="1:1" x14ac:dyDescent="0.3">
      <c r="A23539" t="s">
        <v>0</v>
      </c>
    </row>
    <row r="23540" spans="1:1" x14ac:dyDescent="0.3">
      <c r="A23540" t="s">
        <v>0</v>
      </c>
    </row>
    <row r="23541" spans="1:1" x14ac:dyDescent="0.3">
      <c r="A23541" t="s">
        <v>0</v>
      </c>
    </row>
    <row r="23542" spans="1:1" x14ac:dyDescent="0.3">
      <c r="A23542" t="s">
        <v>0</v>
      </c>
    </row>
    <row r="23543" spans="1:1" x14ac:dyDescent="0.3">
      <c r="A23543" t="s">
        <v>0</v>
      </c>
    </row>
    <row r="23544" spans="1:1" x14ac:dyDescent="0.3">
      <c r="A23544" t="s">
        <v>0</v>
      </c>
    </row>
    <row r="23545" spans="1:1" x14ac:dyDescent="0.3">
      <c r="A23545" t="s">
        <v>0</v>
      </c>
    </row>
    <row r="23546" spans="1:1" x14ac:dyDescent="0.3">
      <c r="A23546" t="s">
        <v>0</v>
      </c>
    </row>
    <row r="23547" spans="1:1" x14ac:dyDescent="0.3">
      <c r="A23547" t="s">
        <v>0</v>
      </c>
    </row>
    <row r="23548" spans="1:1" x14ac:dyDescent="0.3">
      <c r="A23548" t="s">
        <v>0</v>
      </c>
    </row>
    <row r="23549" spans="1:1" x14ac:dyDescent="0.3">
      <c r="A23549" t="s">
        <v>0</v>
      </c>
    </row>
    <row r="23550" spans="1:1" x14ac:dyDescent="0.3">
      <c r="A23550" t="s">
        <v>0</v>
      </c>
    </row>
    <row r="23551" spans="1:1" x14ac:dyDescent="0.3">
      <c r="A23551" t="s">
        <v>0</v>
      </c>
    </row>
    <row r="23552" spans="1:1" x14ac:dyDescent="0.3">
      <c r="A23552" t="s">
        <v>0</v>
      </c>
    </row>
    <row r="23553" spans="1:1" x14ac:dyDescent="0.3">
      <c r="A23553" t="s">
        <v>0</v>
      </c>
    </row>
    <row r="23554" spans="1:1" x14ac:dyDescent="0.3">
      <c r="A23554" t="s">
        <v>0</v>
      </c>
    </row>
    <row r="23555" spans="1:1" x14ac:dyDescent="0.3">
      <c r="A23555" t="s">
        <v>0</v>
      </c>
    </row>
    <row r="23556" spans="1:1" x14ac:dyDescent="0.3">
      <c r="A23556" t="s">
        <v>0</v>
      </c>
    </row>
    <row r="23557" spans="1:1" x14ac:dyDescent="0.3">
      <c r="A23557" t="s">
        <v>0</v>
      </c>
    </row>
    <row r="23558" spans="1:1" x14ac:dyDescent="0.3">
      <c r="A23558" t="s">
        <v>0</v>
      </c>
    </row>
    <row r="23559" spans="1:1" x14ac:dyDescent="0.3">
      <c r="A23559" t="s">
        <v>0</v>
      </c>
    </row>
    <row r="23560" spans="1:1" x14ac:dyDescent="0.3">
      <c r="A23560" t="s">
        <v>0</v>
      </c>
    </row>
    <row r="23561" spans="1:1" x14ac:dyDescent="0.3">
      <c r="A23561" t="s">
        <v>0</v>
      </c>
    </row>
    <row r="23562" spans="1:1" x14ac:dyDescent="0.3">
      <c r="A23562" t="s">
        <v>0</v>
      </c>
    </row>
    <row r="23563" spans="1:1" x14ac:dyDescent="0.3">
      <c r="A23563" t="s">
        <v>0</v>
      </c>
    </row>
    <row r="23564" spans="1:1" x14ac:dyDescent="0.3">
      <c r="A23564" t="s">
        <v>0</v>
      </c>
    </row>
    <row r="23565" spans="1:1" x14ac:dyDescent="0.3">
      <c r="A23565" t="s">
        <v>0</v>
      </c>
    </row>
    <row r="23566" spans="1:1" x14ac:dyDescent="0.3">
      <c r="A23566" t="s">
        <v>0</v>
      </c>
    </row>
    <row r="23567" spans="1:1" x14ac:dyDescent="0.3">
      <c r="A23567" t="s">
        <v>0</v>
      </c>
    </row>
    <row r="23568" spans="1:1" x14ac:dyDescent="0.3">
      <c r="A23568" t="s">
        <v>0</v>
      </c>
    </row>
    <row r="23569" spans="1:1" x14ac:dyDescent="0.3">
      <c r="A23569" t="s">
        <v>0</v>
      </c>
    </row>
    <row r="23570" spans="1:1" x14ac:dyDescent="0.3">
      <c r="A23570" t="s">
        <v>0</v>
      </c>
    </row>
    <row r="23571" spans="1:1" x14ac:dyDescent="0.3">
      <c r="A23571" t="s">
        <v>0</v>
      </c>
    </row>
    <row r="23572" spans="1:1" x14ac:dyDescent="0.3">
      <c r="A23572" t="s">
        <v>0</v>
      </c>
    </row>
    <row r="23573" spans="1:1" x14ac:dyDescent="0.3">
      <c r="A23573" t="s">
        <v>0</v>
      </c>
    </row>
    <row r="23574" spans="1:1" x14ac:dyDescent="0.3">
      <c r="A23574" t="s">
        <v>0</v>
      </c>
    </row>
    <row r="23575" spans="1:1" x14ac:dyDescent="0.3">
      <c r="A23575" t="s">
        <v>0</v>
      </c>
    </row>
    <row r="23576" spans="1:1" x14ac:dyDescent="0.3">
      <c r="A23576" t="s">
        <v>0</v>
      </c>
    </row>
    <row r="23577" spans="1:1" x14ac:dyDescent="0.3">
      <c r="A23577" t="s">
        <v>0</v>
      </c>
    </row>
    <row r="23578" spans="1:1" x14ac:dyDescent="0.3">
      <c r="A23578" t="s">
        <v>0</v>
      </c>
    </row>
    <row r="23579" spans="1:1" x14ac:dyDescent="0.3">
      <c r="A23579" t="s">
        <v>0</v>
      </c>
    </row>
    <row r="23580" spans="1:1" x14ac:dyDescent="0.3">
      <c r="A23580" t="s">
        <v>0</v>
      </c>
    </row>
    <row r="23581" spans="1:1" x14ac:dyDescent="0.3">
      <c r="A23581" t="s">
        <v>0</v>
      </c>
    </row>
    <row r="23582" spans="1:1" x14ac:dyDescent="0.3">
      <c r="A23582" t="s">
        <v>0</v>
      </c>
    </row>
    <row r="23583" spans="1:1" x14ac:dyDescent="0.3">
      <c r="A23583" t="s">
        <v>0</v>
      </c>
    </row>
    <row r="23584" spans="1:1" x14ac:dyDescent="0.3">
      <c r="A23584" t="s">
        <v>0</v>
      </c>
    </row>
    <row r="23585" spans="1:1" x14ac:dyDescent="0.3">
      <c r="A23585" t="s">
        <v>0</v>
      </c>
    </row>
    <row r="23586" spans="1:1" x14ac:dyDescent="0.3">
      <c r="A23586" t="s">
        <v>0</v>
      </c>
    </row>
    <row r="23587" spans="1:1" x14ac:dyDescent="0.3">
      <c r="A23587" t="s">
        <v>0</v>
      </c>
    </row>
    <row r="23588" spans="1:1" x14ac:dyDescent="0.3">
      <c r="A23588" t="s">
        <v>0</v>
      </c>
    </row>
    <row r="23589" spans="1:1" x14ac:dyDescent="0.3">
      <c r="A23589" t="s">
        <v>0</v>
      </c>
    </row>
    <row r="23590" spans="1:1" x14ac:dyDescent="0.3">
      <c r="A23590" t="s">
        <v>0</v>
      </c>
    </row>
    <row r="23591" spans="1:1" x14ac:dyDescent="0.3">
      <c r="A23591" t="s">
        <v>0</v>
      </c>
    </row>
    <row r="23592" spans="1:1" x14ac:dyDescent="0.3">
      <c r="A23592" t="s">
        <v>0</v>
      </c>
    </row>
    <row r="23593" spans="1:1" x14ac:dyDescent="0.3">
      <c r="A23593" t="s">
        <v>0</v>
      </c>
    </row>
    <row r="23594" spans="1:1" x14ac:dyDescent="0.3">
      <c r="A23594" t="s">
        <v>0</v>
      </c>
    </row>
    <row r="23595" spans="1:1" x14ac:dyDescent="0.3">
      <c r="A23595" t="s">
        <v>0</v>
      </c>
    </row>
    <row r="23596" spans="1:1" x14ac:dyDescent="0.3">
      <c r="A23596" t="s">
        <v>0</v>
      </c>
    </row>
    <row r="23597" spans="1:1" x14ac:dyDescent="0.3">
      <c r="A23597" t="s">
        <v>0</v>
      </c>
    </row>
    <row r="23598" spans="1:1" x14ac:dyDescent="0.3">
      <c r="A23598" t="s">
        <v>0</v>
      </c>
    </row>
    <row r="23599" spans="1:1" x14ac:dyDescent="0.3">
      <c r="A23599" t="s">
        <v>0</v>
      </c>
    </row>
    <row r="23600" spans="1:1" x14ac:dyDescent="0.3">
      <c r="A23600" t="s">
        <v>0</v>
      </c>
    </row>
    <row r="23601" spans="1:1" x14ac:dyDescent="0.3">
      <c r="A23601" t="s">
        <v>0</v>
      </c>
    </row>
    <row r="23602" spans="1:1" x14ac:dyDescent="0.3">
      <c r="A23602" t="s">
        <v>0</v>
      </c>
    </row>
    <row r="23603" spans="1:1" x14ac:dyDescent="0.3">
      <c r="A23603" t="s">
        <v>0</v>
      </c>
    </row>
    <row r="23604" spans="1:1" x14ac:dyDescent="0.3">
      <c r="A23604" t="s">
        <v>0</v>
      </c>
    </row>
    <row r="23605" spans="1:1" x14ac:dyDescent="0.3">
      <c r="A23605" t="s">
        <v>0</v>
      </c>
    </row>
    <row r="23606" spans="1:1" x14ac:dyDescent="0.3">
      <c r="A23606" t="s">
        <v>0</v>
      </c>
    </row>
    <row r="23607" spans="1:1" x14ac:dyDescent="0.3">
      <c r="A23607" t="s">
        <v>0</v>
      </c>
    </row>
    <row r="23608" spans="1:1" x14ac:dyDescent="0.3">
      <c r="A23608" t="s">
        <v>0</v>
      </c>
    </row>
    <row r="23609" spans="1:1" x14ac:dyDescent="0.3">
      <c r="A23609" t="s">
        <v>0</v>
      </c>
    </row>
    <row r="23610" spans="1:1" x14ac:dyDescent="0.3">
      <c r="A23610" t="s">
        <v>0</v>
      </c>
    </row>
    <row r="23611" spans="1:1" x14ac:dyDescent="0.3">
      <c r="A23611" t="s">
        <v>0</v>
      </c>
    </row>
    <row r="23612" spans="1:1" x14ac:dyDescent="0.3">
      <c r="A23612" t="s">
        <v>0</v>
      </c>
    </row>
    <row r="23613" spans="1:1" x14ac:dyDescent="0.3">
      <c r="A23613" t="s">
        <v>0</v>
      </c>
    </row>
    <row r="23614" spans="1:1" x14ac:dyDescent="0.3">
      <c r="A23614" t="s">
        <v>0</v>
      </c>
    </row>
    <row r="23615" spans="1:1" x14ac:dyDescent="0.3">
      <c r="A23615" t="s">
        <v>0</v>
      </c>
    </row>
    <row r="23616" spans="1:1" x14ac:dyDescent="0.3">
      <c r="A23616" t="s">
        <v>0</v>
      </c>
    </row>
    <row r="23617" spans="1:1" x14ac:dyDescent="0.3">
      <c r="A23617" t="s">
        <v>0</v>
      </c>
    </row>
    <row r="23618" spans="1:1" x14ac:dyDescent="0.3">
      <c r="A23618" t="s">
        <v>0</v>
      </c>
    </row>
    <row r="23619" spans="1:1" x14ac:dyDescent="0.3">
      <c r="A23619" t="s">
        <v>0</v>
      </c>
    </row>
    <row r="23620" spans="1:1" x14ac:dyDescent="0.3">
      <c r="A23620" t="s">
        <v>0</v>
      </c>
    </row>
    <row r="23621" spans="1:1" x14ac:dyDescent="0.3">
      <c r="A23621" t="s">
        <v>0</v>
      </c>
    </row>
    <row r="23622" spans="1:1" x14ac:dyDescent="0.3">
      <c r="A23622" t="s">
        <v>0</v>
      </c>
    </row>
    <row r="23623" spans="1:1" x14ac:dyDescent="0.3">
      <c r="A23623" t="s">
        <v>0</v>
      </c>
    </row>
    <row r="23624" spans="1:1" x14ac:dyDescent="0.3">
      <c r="A23624" t="s">
        <v>0</v>
      </c>
    </row>
    <row r="23625" spans="1:1" x14ac:dyDescent="0.3">
      <c r="A23625" t="s">
        <v>0</v>
      </c>
    </row>
    <row r="23626" spans="1:1" x14ac:dyDescent="0.3">
      <c r="A23626" t="s">
        <v>0</v>
      </c>
    </row>
    <row r="23627" spans="1:1" x14ac:dyDescent="0.3">
      <c r="A23627" t="s">
        <v>0</v>
      </c>
    </row>
    <row r="23628" spans="1:1" x14ac:dyDescent="0.3">
      <c r="A23628" t="s">
        <v>0</v>
      </c>
    </row>
    <row r="23629" spans="1:1" x14ac:dyDescent="0.3">
      <c r="A23629" t="s">
        <v>0</v>
      </c>
    </row>
    <row r="23630" spans="1:1" x14ac:dyDescent="0.3">
      <c r="A23630" t="s">
        <v>0</v>
      </c>
    </row>
    <row r="23631" spans="1:1" x14ac:dyDescent="0.3">
      <c r="A23631" t="s">
        <v>0</v>
      </c>
    </row>
    <row r="23632" spans="1:1" x14ac:dyDescent="0.3">
      <c r="A23632" t="s">
        <v>0</v>
      </c>
    </row>
    <row r="23633" spans="1:1" x14ac:dyDescent="0.3">
      <c r="A23633" t="s">
        <v>0</v>
      </c>
    </row>
    <row r="23634" spans="1:1" x14ac:dyDescent="0.3">
      <c r="A23634" t="s">
        <v>0</v>
      </c>
    </row>
    <row r="23635" spans="1:1" x14ac:dyDescent="0.3">
      <c r="A23635" t="s">
        <v>0</v>
      </c>
    </row>
    <row r="23636" spans="1:1" x14ac:dyDescent="0.3">
      <c r="A23636" t="s">
        <v>0</v>
      </c>
    </row>
    <row r="23637" spans="1:1" x14ac:dyDescent="0.3">
      <c r="A23637" t="s">
        <v>0</v>
      </c>
    </row>
    <row r="23638" spans="1:1" x14ac:dyDescent="0.3">
      <c r="A23638" t="s">
        <v>0</v>
      </c>
    </row>
    <row r="23639" spans="1:1" x14ac:dyDescent="0.3">
      <c r="A23639" t="s">
        <v>0</v>
      </c>
    </row>
    <row r="23640" spans="1:1" x14ac:dyDescent="0.3">
      <c r="A23640" t="s">
        <v>0</v>
      </c>
    </row>
    <row r="23641" spans="1:1" x14ac:dyDescent="0.3">
      <c r="A23641" t="s">
        <v>0</v>
      </c>
    </row>
    <row r="23642" spans="1:1" x14ac:dyDescent="0.3">
      <c r="A23642" t="s">
        <v>0</v>
      </c>
    </row>
    <row r="23643" spans="1:1" x14ac:dyDescent="0.3">
      <c r="A23643" t="s">
        <v>0</v>
      </c>
    </row>
    <row r="23644" spans="1:1" x14ac:dyDescent="0.3">
      <c r="A23644" t="s">
        <v>0</v>
      </c>
    </row>
    <row r="23645" spans="1:1" x14ac:dyDescent="0.3">
      <c r="A23645" t="s">
        <v>0</v>
      </c>
    </row>
    <row r="23646" spans="1:1" x14ac:dyDescent="0.3">
      <c r="A23646" t="s">
        <v>0</v>
      </c>
    </row>
    <row r="23647" spans="1:1" x14ac:dyDescent="0.3">
      <c r="A23647" t="s">
        <v>0</v>
      </c>
    </row>
    <row r="23648" spans="1:1" x14ac:dyDescent="0.3">
      <c r="A23648" t="s">
        <v>0</v>
      </c>
    </row>
    <row r="23649" spans="1:1" x14ac:dyDescent="0.3">
      <c r="A23649" t="s">
        <v>0</v>
      </c>
    </row>
    <row r="23650" spans="1:1" x14ac:dyDescent="0.3">
      <c r="A23650" t="s">
        <v>0</v>
      </c>
    </row>
    <row r="23651" spans="1:1" x14ac:dyDescent="0.3">
      <c r="A23651" t="s">
        <v>0</v>
      </c>
    </row>
    <row r="23652" spans="1:1" x14ac:dyDescent="0.3">
      <c r="A23652" t="s">
        <v>0</v>
      </c>
    </row>
    <row r="23653" spans="1:1" x14ac:dyDescent="0.3">
      <c r="A23653" t="s">
        <v>0</v>
      </c>
    </row>
    <row r="23654" spans="1:1" x14ac:dyDescent="0.3">
      <c r="A23654" t="s">
        <v>0</v>
      </c>
    </row>
    <row r="23655" spans="1:1" x14ac:dyDescent="0.3">
      <c r="A23655" t="s">
        <v>0</v>
      </c>
    </row>
    <row r="23656" spans="1:1" x14ac:dyDescent="0.3">
      <c r="A23656" t="s">
        <v>0</v>
      </c>
    </row>
    <row r="23657" spans="1:1" x14ac:dyDescent="0.3">
      <c r="A23657" t="s">
        <v>0</v>
      </c>
    </row>
    <row r="23658" spans="1:1" x14ac:dyDescent="0.3">
      <c r="A23658" t="s">
        <v>0</v>
      </c>
    </row>
    <row r="23659" spans="1:1" x14ac:dyDescent="0.3">
      <c r="A23659" t="s">
        <v>0</v>
      </c>
    </row>
    <row r="23660" spans="1:1" x14ac:dyDescent="0.3">
      <c r="A23660" t="s">
        <v>0</v>
      </c>
    </row>
    <row r="23661" spans="1:1" x14ac:dyDescent="0.3">
      <c r="A23661" t="s">
        <v>0</v>
      </c>
    </row>
    <row r="23662" spans="1:1" x14ac:dyDescent="0.3">
      <c r="A23662" t="s">
        <v>0</v>
      </c>
    </row>
    <row r="23663" spans="1:1" x14ac:dyDescent="0.3">
      <c r="A23663" t="s">
        <v>0</v>
      </c>
    </row>
    <row r="23664" spans="1:1" x14ac:dyDescent="0.3">
      <c r="A23664" t="s">
        <v>0</v>
      </c>
    </row>
    <row r="23665" spans="1:1" x14ac:dyDescent="0.3">
      <c r="A23665" t="s">
        <v>0</v>
      </c>
    </row>
    <row r="23666" spans="1:1" x14ac:dyDescent="0.3">
      <c r="A23666" t="s">
        <v>0</v>
      </c>
    </row>
    <row r="23667" spans="1:1" x14ac:dyDescent="0.3">
      <c r="A23667" t="s">
        <v>0</v>
      </c>
    </row>
    <row r="23668" spans="1:1" x14ac:dyDescent="0.3">
      <c r="A23668" t="s">
        <v>0</v>
      </c>
    </row>
    <row r="23669" spans="1:1" x14ac:dyDescent="0.3">
      <c r="A23669" t="s">
        <v>0</v>
      </c>
    </row>
    <row r="23670" spans="1:1" x14ac:dyDescent="0.3">
      <c r="A23670" t="s">
        <v>0</v>
      </c>
    </row>
    <row r="23671" spans="1:1" x14ac:dyDescent="0.3">
      <c r="A23671" t="s">
        <v>0</v>
      </c>
    </row>
    <row r="23672" spans="1:1" x14ac:dyDescent="0.3">
      <c r="A23672" t="s">
        <v>0</v>
      </c>
    </row>
    <row r="23673" spans="1:1" x14ac:dyDescent="0.3">
      <c r="A23673" t="s">
        <v>0</v>
      </c>
    </row>
    <row r="23674" spans="1:1" x14ac:dyDescent="0.3">
      <c r="A23674" t="s">
        <v>0</v>
      </c>
    </row>
    <row r="23675" spans="1:1" x14ac:dyDescent="0.3">
      <c r="A23675" t="s">
        <v>0</v>
      </c>
    </row>
    <row r="23676" spans="1:1" x14ac:dyDescent="0.3">
      <c r="A23676" t="s">
        <v>0</v>
      </c>
    </row>
    <row r="23677" spans="1:1" x14ac:dyDescent="0.3">
      <c r="A23677" t="s">
        <v>0</v>
      </c>
    </row>
    <row r="23678" spans="1:1" x14ac:dyDescent="0.3">
      <c r="A23678" t="s">
        <v>0</v>
      </c>
    </row>
    <row r="23679" spans="1:1" x14ac:dyDescent="0.3">
      <c r="A23679" t="s">
        <v>0</v>
      </c>
    </row>
    <row r="23680" spans="1:1" x14ac:dyDescent="0.3">
      <c r="A23680" t="s">
        <v>0</v>
      </c>
    </row>
    <row r="23681" spans="1:1" x14ac:dyDescent="0.3">
      <c r="A23681" t="s">
        <v>0</v>
      </c>
    </row>
    <row r="23682" spans="1:1" x14ac:dyDescent="0.3">
      <c r="A23682" t="s">
        <v>0</v>
      </c>
    </row>
    <row r="23683" spans="1:1" x14ac:dyDescent="0.3">
      <c r="A23683" t="s">
        <v>0</v>
      </c>
    </row>
    <row r="23684" spans="1:1" x14ac:dyDescent="0.3">
      <c r="A23684" t="s">
        <v>0</v>
      </c>
    </row>
    <row r="23685" spans="1:1" x14ac:dyDescent="0.3">
      <c r="A23685" t="s">
        <v>0</v>
      </c>
    </row>
    <row r="23686" spans="1:1" x14ac:dyDescent="0.3">
      <c r="A23686" t="s">
        <v>0</v>
      </c>
    </row>
    <row r="23687" spans="1:1" x14ac:dyDescent="0.3">
      <c r="A23687" t="s">
        <v>0</v>
      </c>
    </row>
    <row r="23688" spans="1:1" x14ac:dyDescent="0.3">
      <c r="A23688" t="s">
        <v>0</v>
      </c>
    </row>
    <row r="23689" spans="1:1" x14ac:dyDescent="0.3">
      <c r="A23689" t="s">
        <v>0</v>
      </c>
    </row>
    <row r="23690" spans="1:1" x14ac:dyDescent="0.3">
      <c r="A23690" t="s">
        <v>0</v>
      </c>
    </row>
    <row r="23691" spans="1:1" x14ac:dyDescent="0.3">
      <c r="A23691" t="s">
        <v>0</v>
      </c>
    </row>
    <row r="23692" spans="1:1" x14ac:dyDescent="0.3">
      <c r="A23692" t="s">
        <v>0</v>
      </c>
    </row>
    <row r="23693" spans="1:1" x14ac:dyDescent="0.3">
      <c r="A23693" t="s">
        <v>0</v>
      </c>
    </row>
    <row r="23694" spans="1:1" x14ac:dyDescent="0.3">
      <c r="A23694" t="s">
        <v>0</v>
      </c>
    </row>
    <row r="23695" spans="1:1" x14ac:dyDescent="0.3">
      <c r="A23695" t="s">
        <v>0</v>
      </c>
    </row>
    <row r="23696" spans="1:1" x14ac:dyDescent="0.3">
      <c r="A23696" t="s">
        <v>0</v>
      </c>
    </row>
    <row r="23697" spans="1:1" x14ac:dyDescent="0.3">
      <c r="A23697" t="s">
        <v>0</v>
      </c>
    </row>
    <row r="23698" spans="1:1" x14ac:dyDescent="0.3">
      <c r="A23698" t="s">
        <v>0</v>
      </c>
    </row>
    <row r="23699" spans="1:1" x14ac:dyDescent="0.3">
      <c r="A23699" t="s">
        <v>0</v>
      </c>
    </row>
    <row r="23700" spans="1:1" x14ac:dyDescent="0.3">
      <c r="A23700" t="s">
        <v>0</v>
      </c>
    </row>
    <row r="23701" spans="1:1" x14ac:dyDescent="0.3">
      <c r="A23701" t="s">
        <v>0</v>
      </c>
    </row>
    <row r="23702" spans="1:1" x14ac:dyDescent="0.3">
      <c r="A23702" t="s">
        <v>0</v>
      </c>
    </row>
    <row r="23703" spans="1:1" x14ac:dyDescent="0.3">
      <c r="A23703" t="s">
        <v>0</v>
      </c>
    </row>
    <row r="23704" spans="1:1" x14ac:dyDescent="0.3">
      <c r="A23704" t="s">
        <v>0</v>
      </c>
    </row>
    <row r="23705" spans="1:1" x14ac:dyDescent="0.3">
      <c r="A23705" t="s">
        <v>0</v>
      </c>
    </row>
    <row r="23706" spans="1:1" x14ac:dyDescent="0.3">
      <c r="A23706" t="s">
        <v>0</v>
      </c>
    </row>
    <row r="23707" spans="1:1" x14ac:dyDescent="0.3">
      <c r="A23707" t="s">
        <v>0</v>
      </c>
    </row>
    <row r="23708" spans="1:1" x14ac:dyDescent="0.3">
      <c r="A23708" t="s">
        <v>0</v>
      </c>
    </row>
    <row r="23709" spans="1:1" x14ac:dyDescent="0.3">
      <c r="A23709" t="s">
        <v>0</v>
      </c>
    </row>
    <row r="23710" spans="1:1" x14ac:dyDescent="0.3">
      <c r="A23710" t="s">
        <v>0</v>
      </c>
    </row>
    <row r="23711" spans="1:1" x14ac:dyDescent="0.3">
      <c r="A23711" t="s">
        <v>0</v>
      </c>
    </row>
    <row r="23712" spans="1:1" x14ac:dyDescent="0.3">
      <c r="A23712" t="s">
        <v>0</v>
      </c>
    </row>
    <row r="23713" spans="1:1" x14ac:dyDescent="0.3">
      <c r="A23713" t="s">
        <v>0</v>
      </c>
    </row>
    <row r="23714" spans="1:1" x14ac:dyDescent="0.3">
      <c r="A23714" t="s">
        <v>0</v>
      </c>
    </row>
    <row r="23715" spans="1:1" x14ac:dyDescent="0.3">
      <c r="A23715" t="s">
        <v>0</v>
      </c>
    </row>
    <row r="23716" spans="1:1" x14ac:dyDescent="0.3">
      <c r="A23716" t="s">
        <v>0</v>
      </c>
    </row>
    <row r="23717" spans="1:1" x14ac:dyDescent="0.3">
      <c r="A23717" t="s">
        <v>0</v>
      </c>
    </row>
    <row r="23718" spans="1:1" x14ac:dyDescent="0.3">
      <c r="A23718" t="s">
        <v>0</v>
      </c>
    </row>
    <row r="23719" spans="1:1" x14ac:dyDescent="0.3">
      <c r="A23719" t="s">
        <v>0</v>
      </c>
    </row>
    <row r="23720" spans="1:1" x14ac:dyDescent="0.3">
      <c r="A23720" t="s">
        <v>0</v>
      </c>
    </row>
    <row r="23721" spans="1:1" x14ac:dyDescent="0.3">
      <c r="A23721" t="s">
        <v>0</v>
      </c>
    </row>
    <row r="23722" spans="1:1" x14ac:dyDescent="0.3">
      <c r="A23722" t="s">
        <v>0</v>
      </c>
    </row>
    <row r="23723" spans="1:1" x14ac:dyDescent="0.3">
      <c r="A23723" t="s">
        <v>0</v>
      </c>
    </row>
    <row r="23724" spans="1:1" x14ac:dyDescent="0.3">
      <c r="A23724" t="s">
        <v>0</v>
      </c>
    </row>
    <row r="23725" spans="1:1" x14ac:dyDescent="0.3">
      <c r="A23725" t="s">
        <v>0</v>
      </c>
    </row>
    <row r="23726" spans="1:1" x14ac:dyDescent="0.3">
      <c r="A23726" t="s">
        <v>0</v>
      </c>
    </row>
    <row r="23727" spans="1:1" x14ac:dyDescent="0.3">
      <c r="A23727" t="s">
        <v>0</v>
      </c>
    </row>
    <row r="23728" spans="1:1" x14ac:dyDescent="0.3">
      <c r="A23728" t="s">
        <v>0</v>
      </c>
    </row>
    <row r="23729" spans="1:1" x14ac:dyDescent="0.3">
      <c r="A23729" t="s">
        <v>0</v>
      </c>
    </row>
    <row r="23730" spans="1:1" x14ac:dyDescent="0.3">
      <c r="A23730" t="s">
        <v>0</v>
      </c>
    </row>
    <row r="23731" spans="1:1" x14ac:dyDescent="0.3">
      <c r="A23731" t="s">
        <v>0</v>
      </c>
    </row>
    <row r="23732" spans="1:1" x14ac:dyDescent="0.3">
      <c r="A23732" t="s">
        <v>0</v>
      </c>
    </row>
    <row r="23733" spans="1:1" x14ac:dyDescent="0.3">
      <c r="A23733" t="s">
        <v>0</v>
      </c>
    </row>
    <row r="23734" spans="1:1" x14ac:dyDescent="0.3">
      <c r="A23734" t="s">
        <v>0</v>
      </c>
    </row>
    <row r="23735" spans="1:1" x14ac:dyDescent="0.3">
      <c r="A23735" t="s">
        <v>0</v>
      </c>
    </row>
    <row r="23736" spans="1:1" x14ac:dyDescent="0.3">
      <c r="A23736" t="s">
        <v>0</v>
      </c>
    </row>
    <row r="23737" spans="1:1" x14ac:dyDescent="0.3">
      <c r="A23737" t="s">
        <v>0</v>
      </c>
    </row>
    <row r="23738" spans="1:1" x14ac:dyDescent="0.3">
      <c r="A23738" t="s">
        <v>0</v>
      </c>
    </row>
    <row r="23739" spans="1:1" x14ac:dyDescent="0.3">
      <c r="A23739" t="s">
        <v>0</v>
      </c>
    </row>
    <row r="23740" spans="1:1" x14ac:dyDescent="0.3">
      <c r="A23740" t="s">
        <v>0</v>
      </c>
    </row>
    <row r="23741" spans="1:1" x14ac:dyDescent="0.3">
      <c r="A23741" t="s">
        <v>0</v>
      </c>
    </row>
    <row r="23742" spans="1:1" x14ac:dyDescent="0.3">
      <c r="A23742" t="s">
        <v>0</v>
      </c>
    </row>
    <row r="23743" spans="1:1" x14ac:dyDescent="0.3">
      <c r="A23743" t="s">
        <v>0</v>
      </c>
    </row>
    <row r="23744" spans="1:1" x14ac:dyDescent="0.3">
      <c r="A23744" t="s">
        <v>0</v>
      </c>
    </row>
    <row r="23745" spans="1:1" x14ac:dyDescent="0.3">
      <c r="A23745" t="s">
        <v>0</v>
      </c>
    </row>
    <row r="23746" spans="1:1" x14ac:dyDescent="0.3">
      <c r="A23746" t="s">
        <v>0</v>
      </c>
    </row>
    <row r="23747" spans="1:1" x14ac:dyDescent="0.3">
      <c r="A23747" t="s">
        <v>0</v>
      </c>
    </row>
    <row r="23748" spans="1:1" x14ac:dyDescent="0.3">
      <c r="A23748" t="s">
        <v>0</v>
      </c>
    </row>
    <row r="23749" spans="1:1" x14ac:dyDescent="0.3">
      <c r="A23749" t="s">
        <v>0</v>
      </c>
    </row>
    <row r="23750" spans="1:1" x14ac:dyDescent="0.3">
      <c r="A23750" t="s">
        <v>0</v>
      </c>
    </row>
    <row r="23751" spans="1:1" x14ac:dyDescent="0.3">
      <c r="A23751" t="s">
        <v>0</v>
      </c>
    </row>
    <row r="23752" spans="1:1" x14ac:dyDescent="0.3">
      <c r="A23752" t="s">
        <v>0</v>
      </c>
    </row>
    <row r="23753" spans="1:1" x14ac:dyDescent="0.3">
      <c r="A23753" t="s">
        <v>0</v>
      </c>
    </row>
    <row r="23754" spans="1:1" x14ac:dyDescent="0.3">
      <c r="A23754" t="s">
        <v>0</v>
      </c>
    </row>
    <row r="23755" spans="1:1" x14ac:dyDescent="0.3">
      <c r="A23755" t="s">
        <v>0</v>
      </c>
    </row>
    <row r="23756" spans="1:1" x14ac:dyDescent="0.3">
      <c r="A23756" t="s">
        <v>0</v>
      </c>
    </row>
    <row r="23757" spans="1:1" x14ac:dyDescent="0.3">
      <c r="A23757" t="s">
        <v>0</v>
      </c>
    </row>
    <row r="23758" spans="1:1" x14ac:dyDescent="0.3">
      <c r="A23758" t="s">
        <v>0</v>
      </c>
    </row>
    <row r="23759" spans="1:1" x14ac:dyDescent="0.3">
      <c r="A23759" t="s">
        <v>0</v>
      </c>
    </row>
    <row r="23760" spans="1:1" x14ac:dyDescent="0.3">
      <c r="A23760" t="s">
        <v>0</v>
      </c>
    </row>
    <row r="23761" spans="1:1" x14ac:dyDescent="0.3">
      <c r="A23761" t="s">
        <v>0</v>
      </c>
    </row>
    <row r="23762" spans="1:1" x14ac:dyDescent="0.3">
      <c r="A23762" t="s">
        <v>0</v>
      </c>
    </row>
    <row r="23763" spans="1:1" x14ac:dyDescent="0.3">
      <c r="A23763" t="s">
        <v>0</v>
      </c>
    </row>
    <row r="23764" spans="1:1" x14ac:dyDescent="0.3">
      <c r="A23764" t="s">
        <v>0</v>
      </c>
    </row>
    <row r="23765" spans="1:1" x14ac:dyDescent="0.3">
      <c r="A23765" t="s">
        <v>0</v>
      </c>
    </row>
    <row r="23766" spans="1:1" x14ac:dyDescent="0.3">
      <c r="A23766" t="s">
        <v>0</v>
      </c>
    </row>
    <row r="23767" spans="1:1" x14ac:dyDescent="0.3">
      <c r="A23767" t="s">
        <v>0</v>
      </c>
    </row>
    <row r="23768" spans="1:1" x14ac:dyDescent="0.3">
      <c r="A23768" t="s">
        <v>0</v>
      </c>
    </row>
    <row r="23769" spans="1:1" x14ac:dyDescent="0.3">
      <c r="A23769" t="s">
        <v>0</v>
      </c>
    </row>
    <row r="23770" spans="1:1" x14ac:dyDescent="0.3">
      <c r="A23770" t="s">
        <v>0</v>
      </c>
    </row>
    <row r="23771" spans="1:1" x14ac:dyDescent="0.3">
      <c r="A23771" t="s">
        <v>0</v>
      </c>
    </row>
    <row r="23772" spans="1:1" x14ac:dyDescent="0.3">
      <c r="A23772" t="s">
        <v>0</v>
      </c>
    </row>
    <row r="23773" spans="1:1" x14ac:dyDescent="0.3">
      <c r="A23773" t="s">
        <v>0</v>
      </c>
    </row>
    <row r="23774" spans="1:1" x14ac:dyDescent="0.3">
      <c r="A23774" t="s">
        <v>0</v>
      </c>
    </row>
    <row r="23775" spans="1:1" x14ac:dyDescent="0.3">
      <c r="A23775" t="s">
        <v>0</v>
      </c>
    </row>
    <row r="23776" spans="1:1" x14ac:dyDescent="0.3">
      <c r="A23776" t="s">
        <v>0</v>
      </c>
    </row>
    <row r="23777" spans="1:1" x14ac:dyDescent="0.3">
      <c r="A23777" t="s">
        <v>0</v>
      </c>
    </row>
    <row r="23778" spans="1:1" x14ac:dyDescent="0.3">
      <c r="A23778" t="s">
        <v>0</v>
      </c>
    </row>
    <row r="23779" spans="1:1" x14ac:dyDescent="0.3">
      <c r="A23779" t="s">
        <v>0</v>
      </c>
    </row>
    <row r="23780" spans="1:1" x14ac:dyDescent="0.3">
      <c r="A23780" t="s">
        <v>0</v>
      </c>
    </row>
    <row r="23781" spans="1:1" x14ac:dyDescent="0.3">
      <c r="A23781" t="s">
        <v>0</v>
      </c>
    </row>
    <row r="23782" spans="1:1" x14ac:dyDescent="0.3">
      <c r="A23782" t="s">
        <v>0</v>
      </c>
    </row>
    <row r="23783" spans="1:1" x14ac:dyDescent="0.3">
      <c r="A23783" t="s">
        <v>0</v>
      </c>
    </row>
    <row r="23784" spans="1:1" x14ac:dyDescent="0.3">
      <c r="A23784" t="s">
        <v>0</v>
      </c>
    </row>
    <row r="23785" spans="1:1" x14ac:dyDescent="0.3">
      <c r="A23785" t="s">
        <v>0</v>
      </c>
    </row>
    <row r="23786" spans="1:1" x14ac:dyDescent="0.3">
      <c r="A23786" t="s">
        <v>0</v>
      </c>
    </row>
    <row r="23787" spans="1:1" x14ac:dyDescent="0.3">
      <c r="A23787" t="s">
        <v>0</v>
      </c>
    </row>
    <row r="23788" spans="1:1" x14ac:dyDescent="0.3">
      <c r="A23788" t="s">
        <v>0</v>
      </c>
    </row>
    <row r="23789" spans="1:1" x14ac:dyDescent="0.3">
      <c r="A23789" t="s">
        <v>0</v>
      </c>
    </row>
    <row r="23790" spans="1:1" x14ac:dyDescent="0.3">
      <c r="A23790" t="s">
        <v>0</v>
      </c>
    </row>
    <row r="23791" spans="1:1" x14ac:dyDescent="0.3">
      <c r="A23791" t="s">
        <v>0</v>
      </c>
    </row>
    <row r="23792" spans="1:1" x14ac:dyDescent="0.3">
      <c r="A23792" t="s">
        <v>0</v>
      </c>
    </row>
    <row r="23793" spans="1:1" x14ac:dyDescent="0.3">
      <c r="A23793" t="s">
        <v>0</v>
      </c>
    </row>
    <row r="23794" spans="1:1" x14ac:dyDescent="0.3">
      <c r="A23794" t="s">
        <v>0</v>
      </c>
    </row>
    <row r="23795" spans="1:1" x14ac:dyDescent="0.3">
      <c r="A23795" t="s">
        <v>0</v>
      </c>
    </row>
    <row r="23796" spans="1:1" x14ac:dyDescent="0.3">
      <c r="A23796" t="s">
        <v>0</v>
      </c>
    </row>
    <row r="23797" spans="1:1" x14ac:dyDescent="0.3">
      <c r="A23797" t="s">
        <v>0</v>
      </c>
    </row>
    <row r="23798" spans="1:1" x14ac:dyDescent="0.3">
      <c r="A23798" t="s">
        <v>0</v>
      </c>
    </row>
    <row r="23799" spans="1:1" x14ac:dyDescent="0.3">
      <c r="A23799" t="s">
        <v>0</v>
      </c>
    </row>
    <row r="23800" spans="1:1" x14ac:dyDescent="0.3">
      <c r="A23800" t="s">
        <v>0</v>
      </c>
    </row>
    <row r="23801" spans="1:1" x14ac:dyDescent="0.3">
      <c r="A23801" t="s">
        <v>0</v>
      </c>
    </row>
    <row r="23802" spans="1:1" x14ac:dyDescent="0.3">
      <c r="A23802" t="s">
        <v>0</v>
      </c>
    </row>
    <row r="23803" spans="1:1" x14ac:dyDescent="0.3">
      <c r="A23803" t="s">
        <v>0</v>
      </c>
    </row>
    <row r="23804" spans="1:1" x14ac:dyDescent="0.3">
      <c r="A23804" t="s">
        <v>0</v>
      </c>
    </row>
    <row r="23805" spans="1:1" x14ac:dyDescent="0.3">
      <c r="A23805" t="s">
        <v>0</v>
      </c>
    </row>
    <row r="23806" spans="1:1" x14ac:dyDescent="0.3">
      <c r="A23806" t="s">
        <v>0</v>
      </c>
    </row>
    <row r="23807" spans="1:1" x14ac:dyDescent="0.3">
      <c r="A23807" t="s">
        <v>0</v>
      </c>
    </row>
    <row r="23808" spans="1:1" x14ac:dyDescent="0.3">
      <c r="A23808" t="s">
        <v>0</v>
      </c>
    </row>
    <row r="23809" spans="1:1" x14ac:dyDescent="0.3">
      <c r="A23809" t="s">
        <v>0</v>
      </c>
    </row>
    <row r="23810" spans="1:1" x14ac:dyDescent="0.3">
      <c r="A23810" t="s">
        <v>0</v>
      </c>
    </row>
    <row r="23811" spans="1:1" x14ac:dyDescent="0.3">
      <c r="A23811" t="s">
        <v>0</v>
      </c>
    </row>
    <row r="23812" spans="1:1" x14ac:dyDescent="0.3">
      <c r="A23812" t="s">
        <v>0</v>
      </c>
    </row>
    <row r="23813" spans="1:1" x14ac:dyDescent="0.3">
      <c r="A23813" t="s">
        <v>0</v>
      </c>
    </row>
    <row r="23814" spans="1:1" x14ac:dyDescent="0.3">
      <c r="A23814" t="s">
        <v>0</v>
      </c>
    </row>
    <row r="23815" spans="1:1" x14ac:dyDescent="0.3">
      <c r="A23815" t="s">
        <v>0</v>
      </c>
    </row>
    <row r="23816" spans="1:1" x14ac:dyDescent="0.3">
      <c r="A23816" t="s">
        <v>0</v>
      </c>
    </row>
    <row r="23817" spans="1:1" x14ac:dyDescent="0.3">
      <c r="A23817" t="s">
        <v>0</v>
      </c>
    </row>
    <row r="23818" spans="1:1" x14ac:dyDescent="0.3">
      <c r="A23818" t="s">
        <v>0</v>
      </c>
    </row>
    <row r="23819" spans="1:1" x14ac:dyDescent="0.3">
      <c r="A23819" t="s">
        <v>0</v>
      </c>
    </row>
    <row r="23820" spans="1:1" x14ac:dyDescent="0.3">
      <c r="A23820" t="s">
        <v>0</v>
      </c>
    </row>
    <row r="23821" spans="1:1" x14ac:dyDescent="0.3">
      <c r="A23821" t="s">
        <v>0</v>
      </c>
    </row>
    <row r="23822" spans="1:1" x14ac:dyDescent="0.3">
      <c r="A23822" t="s">
        <v>0</v>
      </c>
    </row>
    <row r="23823" spans="1:1" x14ac:dyDescent="0.3">
      <c r="A23823" t="s">
        <v>0</v>
      </c>
    </row>
    <row r="23824" spans="1:1" x14ac:dyDescent="0.3">
      <c r="A23824" t="s">
        <v>0</v>
      </c>
    </row>
    <row r="23825" spans="1:1" x14ac:dyDescent="0.3">
      <c r="A23825" t="s">
        <v>0</v>
      </c>
    </row>
    <row r="23826" spans="1:1" x14ac:dyDescent="0.3">
      <c r="A23826" t="s">
        <v>0</v>
      </c>
    </row>
    <row r="23827" spans="1:1" x14ac:dyDescent="0.3">
      <c r="A23827" t="s">
        <v>0</v>
      </c>
    </row>
    <row r="23828" spans="1:1" x14ac:dyDescent="0.3">
      <c r="A23828" t="s">
        <v>0</v>
      </c>
    </row>
    <row r="23829" spans="1:1" x14ac:dyDescent="0.3">
      <c r="A23829" t="s">
        <v>0</v>
      </c>
    </row>
    <row r="23830" spans="1:1" x14ac:dyDescent="0.3">
      <c r="A23830" t="s">
        <v>0</v>
      </c>
    </row>
    <row r="23831" spans="1:1" x14ac:dyDescent="0.3">
      <c r="A23831" t="s">
        <v>0</v>
      </c>
    </row>
    <row r="23832" spans="1:1" x14ac:dyDescent="0.3">
      <c r="A23832" t="s">
        <v>0</v>
      </c>
    </row>
    <row r="23833" spans="1:1" x14ac:dyDescent="0.3">
      <c r="A23833" t="s">
        <v>0</v>
      </c>
    </row>
    <row r="23834" spans="1:1" x14ac:dyDescent="0.3">
      <c r="A23834" t="s">
        <v>0</v>
      </c>
    </row>
    <row r="23835" spans="1:1" x14ac:dyDescent="0.3">
      <c r="A23835" t="s">
        <v>0</v>
      </c>
    </row>
    <row r="23836" spans="1:1" x14ac:dyDescent="0.3">
      <c r="A23836" t="s">
        <v>0</v>
      </c>
    </row>
    <row r="23837" spans="1:1" x14ac:dyDescent="0.3">
      <c r="A23837" t="s">
        <v>0</v>
      </c>
    </row>
    <row r="23838" spans="1:1" x14ac:dyDescent="0.3">
      <c r="A23838" t="s">
        <v>0</v>
      </c>
    </row>
    <row r="23839" spans="1:1" x14ac:dyDescent="0.3">
      <c r="A23839" t="s">
        <v>0</v>
      </c>
    </row>
    <row r="23840" spans="1:1" x14ac:dyDescent="0.3">
      <c r="A23840" t="s">
        <v>0</v>
      </c>
    </row>
    <row r="23841" spans="1:1" x14ac:dyDescent="0.3">
      <c r="A23841" t="s">
        <v>0</v>
      </c>
    </row>
    <row r="23842" spans="1:1" x14ac:dyDescent="0.3">
      <c r="A23842" t="s">
        <v>0</v>
      </c>
    </row>
    <row r="23843" spans="1:1" x14ac:dyDescent="0.3">
      <c r="A23843" t="s">
        <v>0</v>
      </c>
    </row>
    <row r="23844" spans="1:1" x14ac:dyDescent="0.3">
      <c r="A23844" t="s">
        <v>0</v>
      </c>
    </row>
    <row r="23845" spans="1:1" x14ac:dyDescent="0.3">
      <c r="A23845" t="s">
        <v>0</v>
      </c>
    </row>
    <row r="23846" spans="1:1" x14ac:dyDescent="0.3">
      <c r="A23846" t="s">
        <v>0</v>
      </c>
    </row>
    <row r="23847" spans="1:1" x14ac:dyDescent="0.3">
      <c r="A23847" t="s">
        <v>0</v>
      </c>
    </row>
    <row r="23848" spans="1:1" x14ac:dyDescent="0.3">
      <c r="A23848" t="s">
        <v>0</v>
      </c>
    </row>
    <row r="23849" spans="1:1" x14ac:dyDescent="0.3">
      <c r="A23849" t="s">
        <v>0</v>
      </c>
    </row>
    <row r="23850" spans="1:1" x14ac:dyDescent="0.3">
      <c r="A23850" t="s">
        <v>0</v>
      </c>
    </row>
    <row r="23851" spans="1:1" x14ac:dyDescent="0.3">
      <c r="A23851" t="s">
        <v>0</v>
      </c>
    </row>
    <row r="23852" spans="1:1" x14ac:dyDescent="0.3">
      <c r="A23852" t="s">
        <v>0</v>
      </c>
    </row>
    <row r="23853" spans="1:1" x14ac:dyDescent="0.3">
      <c r="A23853" t="s">
        <v>0</v>
      </c>
    </row>
    <row r="23854" spans="1:1" x14ac:dyDescent="0.3">
      <c r="A23854" t="s">
        <v>0</v>
      </c>
    </row>
    <row r="23855" spans="1:1" x14ac:dyDescent="0.3">
      <c r="A23855" t="s">
        <v>0</v>
      </c>
    </row>
    <row r="23856" spans="1:1" x14ac:dyDescent="0.3">
      <c r="A23856" t="s">
        <v>0</v>
      </c>
    </row>
    <row r="23857" spans="1:1" x14ac:dyDescent="0.3">
      <c r="A23857" t="s">
        <v>0</v>
      </c>
    </row>
    <row r="23858" spans="1:1" x14ac:dyDescent="0.3">
      <c r="A23858" t="s">
        <v>0</v>
      </c>
    </row>
    <row r="23859" spans="1:1" x14ac:dyDescent="0.3">
      <c r="A23859" t="s">
        <v>0</v>
      </c>
    </row>
    <row r="23860" spans="1:1" x14ac:dyDescent="0.3">
      <c r="A23860" t="s">
        <v>0</v>
      </c>
    </row>
    <row r="23861" spans="1:1" x14ac:dyDescent="0.3">
      <c r="A23861" t="s">
        <v>0</v>
      </c>
    </row>
    <row r="23862" spans="1:1" x14ac:dyDescent="0.3">
      <c r="A23862" t="s">
        <v>0</v>
      </c>
    </row>
    <row r="23863" spans="1:1" x14ac:dyDescent="0.3">
      <c r="A23863" t="s">
        <v>0</v>
      </c>
    </row>
    <row r="23864" spans="1:1" x14ac:dyDescent="0.3">
      <c r="A23864" t="s">
        <v>0</v>
      </c>
    </row>
    <row r="23865" spans="1:1" x14ac:dyDescent="0.3">
      <c r="A23865" t="s">
        <v>0</v>
      </c>
    </row>
    <row r="23866" spans="1:1" x14ac:dyDescent="0.3">
      <c r="A23866" t="s">
        <v>0</v>
      </c>
    </row>
    <row r="23867" spans="1:1" x14ac:dyDescent="0.3">
      <c r="A23867" t="s">
        <v>0</v>
      </c>
    </row>
    <row r="23868" spans="1:1" x14ac:dyDescent="0.3">
      <c r="A23868" t="s">
        <v>0</v>
      </c>
    </row>
    <row r="23869" spans="1:1" x14ac:dyDescent="0.3">
      <c r="A23869" t="s">
        <v>0</v>
      </c>
    </row>
    <row r="23870" spans="1:1" x14ac:dyDescent="0.3">
      <c r="A23870" t="s">
        <v>0</v>
      </c>
    </row>
    <row r="23871" spans="1:1" x14ac:dyDescent="0.3">
      <c r="A23871" t="s">
        <v>0</v>
      </c>
    </row>
    <row r="23872" spans="1:1" x14ac:dyDescent="0.3">
      <c r="A23872" t="s">
        <v>0</v>
      </c>
    </row>
    <row r="23873" spans="1:1" x14ac:dyDescent="0.3">
      <c r="A23873" t="s">
        <v>0</v>
      </c>
    </row>
    <row r="23874" spans="1:1" x14ac:dyDescent="0.3">
      <c r="A23874" t="s">
        <v>0</v>
      </c>
    </row>
    <row r="23875" spans="1:1" x14ac:dyDescent="0.3">
      <c r="A23875" t="s">
        <v>0</v>
      </c>
    </row>
    <row r="23876" spans="1:1" x14ac:dyDescent="0.3">
      <c r="A23876" t="s">
        <v>0</v>
      </c>
    </row>
    <row r="23877" spans="1:1" x14ac:dyDescent="0.3">
      <c r="A23877" t="s">
        <v>0</v>
      </c>
    </row>
    <row r="23878" spans="1:1" x14ac:dyDescent="0.3">
      <c r="A23878" t="s">
        <v>0</v>
      </c>
    </row>
    <row r="23879" spans="1:1" x14ac:dyDescent="0.3">
      <c r="A23879" t="s">
        <v>0</v>
      </c>
    </row>
    <row r="23880" spans="1:1" x14ac:dyDescent="0.3">
      <c r="A23880" t="s">
        <v>0</v>
      </c>
    </row>
    <row r="23881" spans="1:1" x14ac:dyDescent="0.3">
      <c r="A23881" t="s">
        <v>0</v>
      </c>
    </row>
    <row r="23882" spans="1:1" x14ac:dyDescent="0.3">
      <c r="A23882" t="s">
        <v>0</v>
      </c>
    </row>
    <row r="23883" spans="1:1" x14ac:dyDescent="0.3">
      <c r="A23883" t="s">
        <v>0</v>
      </c>
    </row>
    <row r="23884" spans="1:1" x14ac:dyDescent="0.3">
      <c r="A23884" t="s">
        <v>0</v>
      </c>
    </row>
    <row r="23885" spans="1:1" x14ac:dyDescent="0.3">
      <c r="A23885" t="s">
        <v>0</v>
      </c>
    </row>
    <row r="23886" spans="1:1" x14ac:dyDescent="0.3">
      <c r="A23886" t="s">
        <v>0</v>
      </c>
    </row>
    <row r="23887" spans="1:1" x14ac:dyDescent="0.3">
      <c r="A23887" t="s">
        <v>0</v>
      </c>
    </row>
    <row r="23888" spans="1:1" x14ac:dyDescent="0.3">
      <c r="A23888" t="s">
        <v>0</v>
      </c>
    </row>
    <row r="23889" spans="1:1" x14ac:dyDescent="0.3">
      <c r="A23889" t="s">
        <v>0</v>
      </c>
    </row>
    <row r="23890" spans="1:1" x14ac:dyDescent="0.3">
      <c r="A23890" t="s">
        <v>0</v>
      </c>
    </row>
    <row r="23891" spans="1:1" x14ac:dyDescent="0.3">
      <c r="A23891" t="s">
        <v>0</v>
      </c>
    </row>
    <row r="23892" spans="1:1" x14ac:dyDescent="0.3">
      <c r="A23892" t="s">
        <v>0</v>
      </c>
    </row>
    <row r="23893" spans="1:1" x14ac:dyDescent="0.3">
      <c r="A23893" t="s">
        <v>0</v>
      </c>
    </row>
    <row r="23894" spans="1:1" x14ac:dyDescent="0.3">
      <c r="A23894" t="s">
        <v>0</v>
      </c>
    </row>
    <row r="23895" spans="1:1" x14ac:dyDescent="0.3">
      <c r="A23895" t="s">
        <v>0</v>
      </c>
    </row>
    <row r="23896" spans="1:1" x14ac:dyDescent="0.3">
      <c r="A23896" t="s">
        <v>0</v>
      </c>
    </row>
    <row r="23897" spans="1:1" x14ac:dyDescent="0.3">
      <c r="A23897" t="s">
        <v>0</v>
      </c>
    </row>
    <row r="23898" spans="1:1" x14ac:dyDescent="0.3">
      <c r="A23898" t="s">
        <v>0</v>
      </c>
    </row>
    <row r="23899" spans="1:1" x14ac:dyDescent="0.3">
      <c r="A23899" t="s">
        <v>0</v>
      </c>
    </row>
    <row r="23900" spans="1:1" x14ac:dyDescent="0.3">
      <c r="A23900" t="s">
        <v>0</v>
      </c>
    </row>
    <row r="23901" spans="1:1" x14ac:dyDescent="0.3">
      <c r="A23901" t="s">
        <v>0</v>
      </c>
    </row>
    <row r="23902" spans="1:1" x14ac:dyDescent="0.3">
      <c r="A23902" t="s">
        <v>0</v>
      </c>
    </row>
    <row r="23903" spans="1:1" x14ac:dyDescent="0.3">
      <c r="A23903" t="s">
        <v>0</v>
      </c>
    </row>
    <row r="23904" spans="1:1" x14ac:dyDescent="0.3">
      <c r="A23904" t="s">
        <v>0</v>
      </c>
    </row>
    <row r="23905" spans="1:1" x14ac:dyDescent="0.3">
      <c r="A23905" t="s">
        <v>0</v>
      </c>
    </row>
    <row r="23906" spans="1:1" x14ac:dyDescent="0.3">
      <c r="A23906" t="s">
        <v>0</v>
      </c>
    </row>
    <row r="23907" spans="1:1" x14ac:dyDescent="0.3">
      <c r="A23907" t="s">
        <v>0</v>
      </c>
    </row>
    <row r="23908" spans="1:1" x14ac:dyDescent="0.3">
      <c r="A23908" t="s">
        <v>0</v>
      </c>
    </row>
    <row r="23909" spans="1:1" x14ac:dyDescent="0.3">
      <c r="A23909" t="s">
        <v>0</v>
      </c>
    </row>
    <row r="23910" spans="1:1" x14ac:dyDescent="0.3">
      <c r="A23910" t="s">
        <v>0</v>
      </c>
    </row>
    <row r="23911" spans="1:1" x14ac:dyDescent="0.3">
      <c r="A23911" t="s">
        <v>0</v>
      </c>
    </row>
    <row r="23912" spans="1:1" x14ac:dyDescent="0.3">
      <c r="A23912" t="s">
        <v>0</v>
      </c>
    </row>
    <row r="23913" spans="1:1" x14ac:dyDescent="0.3">
      <c r="A23913" t="s">
        <v>0</v>
      </c>
    </row>
    <row r="23914" spans="1:1" x14ac:dyDescent="0.3">
      <c r="A23914" t="s">
        <v>0</v>
      </c>
    </row>
    <row r="23915" spans="1:1" x14ac:dyDescent="0.3">
      <c r="A23915" t="s">
        <v>0</v>
      </c>
    </row>
    <row r="23916" spans="1:1" x14ac:dyDescent="0.3">
      <c r="A23916" t="s">
        <v>0</v>
      </c>
    </row>
    <row r="23917" spans="1:1" x14ac:dyDescent="0.3">
      <c r="A23917" t="s">
        <v>0</v>
      </c>
    </row>
    <row r="23918" spans="1:1" x14ac:dyDescent="0.3">
      <c r="A23918" t="s">
        <v>0</v>
      </c>
    </row>
    <row r="23919" spans="1:1" x14ac:dyDescent="0.3">
      <c r="A23919" t="s">
        <v>0</v>
      </c>
    </row>
    <row r="23920" spans="1:1" x14ac:dyDescent="0.3">
      <c r="A23920" t="s">
        <v>0</v>
      </c>
    </row>
    <row r="23921" spans="1:1" x14ac:dyDescent="0.3">
      <c r="A23921" t="s">
        <v>0</v>
      </c>
    </row>
    <row r="23922" spans="1:1" x14ac:dyDescent="0.3">
      <c r="A23922" t="s">
        <v>0</v>
      </c>
    </row>
    <row r="23923" spans="1:1" x14ac:dyDescent="0.3">
      <c r="A23923" t="s">
        <v>0</v>
      </c>
    </row>
    <row r="23924" spans="1:1" x14ac:dyDescent="0.3">
      <c r="A23924" t="s">
        <v>0</v>
      </c>
    </row>
    <row r="23925" spans="1:1" x14ac:dyDescent="0.3">
      <c r="A23925" t="s">
        <v>0</v>
      </c>
    </row>
    <row r="23926" spans="1:1" x14ac:dyDescent="0.3">
      <c r="A23926" t="s">
        <v>0</v>
      </c>
    </row>
    <row r="23927" spans="1:1" x14ac:dyDescent="0.3">
      <c r="A23927" t="s">
        <v>0</v>
      </c>
    </row>
    <row r="23928" spans="1:1" x14ac:dyDescent="0.3">
      <c r="A23928" t="s">
        <v>0</v>
      </c>
    </row>
    <row r="23929" spans="1:1" x14ac:dyDescent="0.3">
      <c r="A23929" t="s">
        <v>0</v>
      </c>
    </row>
    <row r="23930" spans="1:1" x14ac:dyDescent="0.3">
      <c r="A23930" t="s">
        <v>0</v>
      </c>
    </row>
    <row r="23931" spans="1:1" x14ac:dyDescent="0.3">
      <c r="A23931" t="s">
        <v>0</v>
      </c>
    </row>
    <row r="23932" spans="1:1" x14ac:dyDescent="0.3">
      <c r="A23932" t="s">
        <v>0</v>
      </c>
    </row>
    <row r="23933" spans="1:1" x14ac:dyDescent="0.3">
      <c r="A23933" t="s">
        <v>0</v>
      </c>
    </row>
    <row r="23934" spans="1:1" x14ac:dyDescent="0.3">
      <c r="A23934" t="s">
        <v>0</v>
      </c>
    </row>
    <row r="23935" spans="1:1" x14ac:dyDescent="0.3">
      <c r="A23935" t="s">
        <v>0</v>
      </c>
    </row>
    <row r="23936" spans="1:1" x14ac:dyDescent="0.3">
      <c r="A23936" t="s">
        <v>0</v>
      </c>
    </row>
    <row r="23937" spans="1:1" x14ac:dyDescent="0.3">
      <c r="A23937" t="s">
        <v>0</v>
      </c>
    </row>
    <row r="23938" spans="1:1" x14ac:dyDescent="0.3">
      <c r="A23938" t="s">
        <v>0</v>
      </c>
    </row>
    <row r="23939" spans="1:1" x14ac:dyDescent="0.3">
      <c r="A23939" t="s">
        <v>0</v>
      </c>
    </row>
    <row r="23940" spans="1:1" x14ac:dyDescent="0.3">
      <c r="A23940" t="s">
        <v>0</v>
      </c>
    </row>
    <row r="23941" spans="1:1" x14ac:dyDescent="0.3">
      <c r="A23941" t="s">
        <v>0</v>
      </c>
    </row>
    <row r="23942" spans="1:1" x14ac:dyDescent="0.3">
      <c r="A23942" t="s">
        <v>0</v>
      </c>
    </row>
    <row r="23943" spans="1:1" x14ac:dyDescent="0.3">
      <c r="A23943" t="s">
        <v>0</v>
      </c>
    </row>
    <row r="23944" spans="1:1" x14ac:dyDescent="0.3">
      <c r="A23944" t="s">
        <v>0</v>
      </c>
    </row>
    <row r="23945" spans="1:1" x14ac:dyDescent="0.3">
      <c r="A23945" t="s">
        <v>0</v>
      </c>
    </row>
    <row r="23946" spans="1:1" x14ac:dyDescent="0.3">
      <c r="A23946" t="s">
        <v>0</v>
      </c>
    </row>
    <row r="23947" spans="1:1" x14ac:dyDescent="0.3">
      <c r="A23947" t="s">
        <v>0</v>
      </c>
    </row>
    <row r="23948" spans="1:1" x14ac:dyDescent="0.3">
      <c r="A23948" t="s">
        <v>0</v>
      </c>
    </row>
    <row r="23949" spans="1:1" x14ac:dyDescent="0.3">
      <c r="A23949" t="s">
        <v>0</v>
      </c>
    </row>
    <row r="23950" spans="1:1" x14ac:dyDescent="0.3">
      <c r="A23950" t="s">
        <v>0</v>
      </c>
    </row>
    <row r="23951" spans="1:1" x14ac:dyDescent="0.3">
      <c r="A23951" t="s">
        <v>0</v>
      </c>
    </row>
    <row r="23952" spans="1:1" x14ac:dyDescent="0.3">
      <c r="A23952" t="s">
        <v>0</v>
      </c>
    </row>
    <row r="23953" spans="1:1" x14ac:dyDescent="0.3">
      <c r="A23953" t="s">
        <v>0</v>
      </c>
    </row>
    <row r="23954" spans="1:1" x14ac:dyDescent="0.3">
      <c r="A23954" t="s">
        <v>0</v>
      </c>
    </row>
    <row r="23955" spans="1:1" x14ac:dyDescent="0.3">
      <c r="A23955" t="s">
        <v>0</v>
      </c>
    </row>
    <row r="23956" spans="1:1" x14ac:dyDescent="0.3">
      <c r="A23956" t="s">
        <v>0</v>
      </c>
    </row>
    <row r="23957" spans="1:1" x14ac:dyDescent="0.3">
      <c r="A23957" t="s">
        <v>0</v>
      </c>
    </row>
    <row r="23958" spans="1:1" x14ac:dyDescent="0.3">
      <c r="A23958" t="s">
        <v>0</v>
      </c>
    </row>
    <row r="23959" spans="1:1" x14ac:dyDescent="0.3">
      <c r="A23959" t="s">
        <v>0</v>
      </c>
    </row>
    <row r="23960" spans="1:1" x14ac:dyDescent="0.3">
      <c r="A23960" t="s">
        <v>0</v>
      </c>
    </row>
    <row r="23961" spans="1:1" x14ac:dyDescent="0.3">
      <c r="A23961" t="s">
        <v>0</v>
      </c>
    </row>
    <row r="23962" spans="1:1" x14ac:dyDescent="0.3">
      <c r="A23962" t="s">
        <v>0</v>
      </c>
    </row>
    <row r="23963" spans="1:1" x14ac:dyDescent="0.3">
      <c r="A23963" t="s">
        <v>0</v>
      </c>
    </row>
    <row r="23964" spans="1:1" x14ac:dyDescent="0.3">
      <c r="A23964" t="s">
        <v>0</v>
      </c>
    </row>
    <row r="23965" spans="1:1" x14ac:dyDescent="0.3">
      <c r="A23965" t="s">
        <v>0</v>
      </c>
    </row>
    <row r="23966" spans="1:1" x14ac:dyDescent="0.3">
      <c r="A23966" t="s">
        <v>0</v>
      </c>
    </row>
    <row r="23967" spans="1:1" x14ac:dyDescent="0.3">
      <c r="A23967" t="s">
        <v>0</v>
      </c>
    </row>
    <row r="23968" spans="1:1" x14ac:dyDescent="0.3">
      <c r="A23968" t="s">
        <v>0</v>
      </c>
    </row>
    <row r="23969" spans="1:1" x14ac:dyDescent="0.3">
      <c r="A23969" t="s">
        <v>0</v>
      </c>
    </row>
    <row r="23970" spans="1:1" x14ac:dyDescent="0.3">
      <c r="A23970" t="s">
        <v>0</v>
      </c>
    </row>
    <row r="23971" spans="1:1" x14ac:dyDescent="0.3">
      <c r="A23971" t="s">
        <v>0</v>
      </c>
    </row>
    <row r="23972" spans="1:1" x14ac:dyDescent="0.3">
      <c r="A23972" t="s">
        <v>0</v>
      </c>
    </row>
    <row r="23973" spans="1:1" x14ac:dyDescent="0.3">
      <c r="A23973" t="s">
        <v>0</v>
      </c>
    </row>
    <row r="23974" spans="1:1" x14ac:dyDescent="0.3">
      <c r="A23974" t="s">
        <v>0</v>
      </c>
    </row>
    <row r="23975" spans="1:1" x14ac:dyDescent="0.3">
      <c r="A23975" t="s">
        <v>0</v>
      </c>
    </row>
    <row r="23976" spans="1:1" x14ac:dyDescent="0.3">
      <c r="A23976" t="s">
        <v>0</v>
      </c>
    </row>
    <row r="23977" spans="1:1" x14ac:dyDescent="0.3">
      <c r="A23977" t="s">
        <v>0</v>
      </c>
    </row>
    <row r="23978" spans="1:1" x14ac:dyDescent="0.3">
      <c r="A23978" t="s">
        <v>0</v>
      </c>
    </row>
    <row r="23979" spans="1:1" x14ac:dyDescent="0.3">
      <c r="A23979" t="s">
        <v>0</v>
      </c>
    </row>
    <row r="23980" spans="1:1" x14ac:dyDescent="0.3">
      <c r="A23980" t="s">
        <v>0</v>
      </c>
    </row>
    <row r="23981" spans="1:1" x14ac:dyDescent="0.3">
      <c r="A23981" t="s">
        <v>0</v>
      </c>
    </row>
    <row r="23982" spans="1:1" x14ac:dyDescent="0.3">
      <c r="A23982" t="s">
        <v>0</v>
      </c>
    </row>
    <row r="23983" spans="1:1" x14ac:dyDescent="0.3">
      <c r="A23983" t="s">
        <v>0</v>
      </c>
    </row>
    <row r="23984" spans="1:1" x14ac:dyDescent="0.3">
      <c r="A23984" t="s">
        <v>0</v>
      </c>
    </row>
    <row r="23985" spans="1:1" x14ac:dyDescent="0.3">
      <c r="A23985" t="s">
        <v>0</v>
      </c>
    </row>
    <row r="23986" spans="1:1" x14ac:dyDescent="0.3">
      <c r="A23986" t="s">
        <v>0</v>
      </c>
    </row>
    <row r="23987" spans="1:1" x14ac:dyDescent="0.3">
      <c r="A23987" t="s">
        <v>0</v>
      </c>
    </row>
    <row r="23988" spans="1:1" x14ac:dyDescent="0.3">
      <c r="A23988" t="s">
        <v>0</v>
      </c>
    </row>
    <row r="23989" spans="1:1" x14ac:dyDescent="0.3">
      <c r="A23989" t="s">
        <v>0</v>
      </c>
    </row>
    <row r="23990" spans="1:1" x14ac:dyDescent="0.3">
      <c r="A23990" t="s">
        <v>0</v>
      </c>
    </row>
    <row r="23991" spans="1:1" x14ac:dyDescent="0.3">
      <c r="A23991" t="s">
        <v>0</v>
      </c>
    </row>
    <row r="23992" spans="1:1" x14ac:dyDescent="0.3">
      <c r="A23992" t="s">
        <v>0</v>
      </c>
    </row>
    <row r="23993" spans="1:1" x14ac:dyDescent="0.3">
      <c r="A23993" t="s">
        <v>0</v>
      </c>
    </row>
    <row r="23994" spans="1:1" x14ac:dyDescent="0.3">
      <c r="A23994" t="s">
        <v>0</v>
      </c>
    </row>
    <row r="23995" spans="1:1" x14ac:dyDescent="0.3">
      <c r="A23995" t="s">
        <v>0</v>
      </c>
    </row>
    <row r="23996" spans="1:1" x14ac:dyDescent="0.3">
      <c r="A23996" t="s">
        <v>0</v>
      </c>
    </row>
    <row r="23997" spans="1:1" x14ac:dyDescent="0.3">
      <c r="A23997" t="s">
        <v>0</v>
      </c>
    </row>
    <row r="23998" spans="1:1" x14ac:dyDescent="0.3">
      <c r="A23998" t="s">
        <v>0</v>
      </c>
    </row>
    <row r="23999" spans="1:1" x14ac:dyDescent="0.3">
      <c r="A23999" t="s">
        <v>0</v>
      </c>
    </row>
    <row r="24000" spans="1:1" x14ac:dyDescent="0.3">
      <c r="A24000" t="s">
        <v>0</v>
      </c>
    </row>
    <row r="24001" spans="1:1" x14ac:dyDescent="0.3">
      <c r="A24001" t="s">
        <v>0</v>
      </c>
    </row>
    <row r="24002" spans="1:1" x14ac:dyDescent="0.3">
      <c r="A24002" t="s">
        <v>0</v>
      </c>
    </row>
    <row r="24003" spans="1:1" x14ac:dyDescent="0.3">
      <c r="A24003" t="s">
        <v>0</v>
      </c>
    </row>
    <row r="24004" spans="1:1" x14ac:dyDescent="0.3">
      <c r="A24004" t="s">
        <v>0</v>
      </c>
    </row>
    <row r="24005" spans="1:1" x14ac:dyDescent="0.3">
      <c r="A24005" t="s">
        <v>0</v>
      </c>
    </row>
    <row r="24006" spans="1:1" x14ac:dyDescent="0.3">
      <c r="A24006" t="s">
        <v>0</v>
      </c>
    </row>
    <row r="24007" spans="1:1" x14ac:dyDescent="0.3">
      <c r="A24007" t="s">
        <v>0</v>
      </c>
    </row>
    <row r="24008" spans="1:1" x14ac:dyDescent="0.3">
      <c r="A24008" t="s">
        <v>0</v>
      </c>
    </row>
    <row r="24009" spans="1:1" x14ac:dyDescent="0.3">
      <c r="A24009" t="s">
        <v>0</v>
      </c>
    </row>
    <row r="24010" spans="1:1" x14ac:dyDescent="0.3">
      <c r="A24010" t="s">
        <v>0</v>
      </c>
    </row>
    <row r="24011" spans="1:1" x14ac:dyDescent="0.3">
      <c r="A24011" t="s">
        <v>0</v>
      </c>
    </row>
    <row r="24012" spans="1:1" x14ac:dyDescent="0.3">
      <c r="A24012" t="s">
        <v>0</v>
      </c>
    </row>
    <row r="24013" spans="1:1" x14ac:dyDescent="0.3">
      <c r="A24013" t="s">
        <v>0</v>
      </c>
    </row>
    <row r="24014" spans="1:1" x14ac:dyDescent="0.3">
      <c r="A24014" t="s">
        <v>0</v>
      </c>
    </row>
    <row r="24015" spans="1:1" x14ac:dyDescent="0.3">
      <c r="A24015" t="s">
        <v>0</v>
      </c>
    </row>
    <row r="24016" spans="1:1" x14ac:dyDescent="0.3">
      <c r="A24016" t="s">
        <v>0</v>
      </c>
    </row>
    <row r="24017" spans="1:1" x14ac:dyDescent="0.3">
      <c r="A24017" t="s">
        <v>0</v>
      </c>
    </row>
    <row r="24018" spans="1:1" x14ac:dyDescent="0.3">
      <c r="A24018" t="s">
        <v>0</v>
      </c>
    </row>
    <row r="24019" spans="1:1" x14ac:dyDescent="0.3">
      <c r="A24019" t="s">
        <v>0</v>
      </c>
    </row>
    <row r="24020" spans="1:1" x14ac:dyDescent="0.3">
      <c r="A24020" t="s">
        <v>0</v>
      </c>
    </row>
    <row r="24021" spans="1:1" x14ac:dyDescent="0.3">
      <c r="A24021" t="s">
        <v>0</v>
      </c>
    </row>
    <row r="24022" spans="1:1" x14ac:dyDescent="0.3">
      <c r="A24022" t="s">
        <v>0</v>
      </c>
    </row>
    <row r="24023" spans="1:1" x14ac:dyDescent="0.3">
      <c r="A24023" t="s">
        <v>0</v>
      </c>
    </row>
    <row r="24024" spans="1:1" x14ac:dyDescent="0.3">
      <c r="A24024" t="s">
        <v>0</v>
      </c>
    </row>
    <row r="24025" spans="1:1" x14ac:dyDescent="0.3">
      <c r="A24025" t="s">
        <v>0</v>
      </c>
    </row>
    <row r="24026" spans="1:1" x14ac:dyDescent="0.3">
      <c r="A24026" t="s">
        <v>0</v>
      </c>
    </row>
    <row r="24027" spans="1:1" x14ac:dyDescent="0.3">
      <c r="A24027" t="s">
        <v>0</v>
      </c>
    </row>
    <row r="24028" spans="1:1" x14ac:dyDescent="0.3">
      <c r="A24028" t="s">
        <v>0</v>
      </c>
    </row>
    <row r="24029" spans="1:1" x14ac:dyDescent="0.3">
      <c r="A24029" t="s">
        <v>0</v>
      </c>
    </row>
    <row r="24030" spans="1:1" x14ac:dyDescent="0.3">
      <c r="A24030" t="s">
        <v>0</v>
      </c>
    </row>
    <row r="24031" spans="1:1" x14ac:dyDescent="0.3">
      <c r="A24031" t="s">
        <v>0</v>
      </c>
    </row>
    <row r="24032" spans="1:1" x14ac:dyDescent="0.3">
      <c r="A24032" t="s">
        <v>0</v>
      </c>
    </row>
    <row r="24033" spans="1:1" x14ac:dyDescent="0.3">
      <c r="A24033" t="s">
        <v>0</v>
      </c>
    </row>
    <row r="24034" spans="1:1" x14ac:dyDescent="0.3">
      <c r="A24034" t="s">
        <v>0</v>
      </c>
    </row>
    <row r="24035" spans="1:1" x14ac:dyDescent="0.3">
      <c r="A24035" t="s">
        <v>0</v>
      </c>
    </row>
    <row r="24036" spans="1:1" x14ac:dyDescent="0.3">
      <c r="A24036" t="s">
        <v>0</v>
      </c>
    </row>
    <row r="24037" spans="1:1" x14ac:dyDescent="0.3">
      <c r="A24037" t="s">
        <v>0</v>
      </c>
    </row>
    <row r="24038" spans="1:1" x14ac:dyDescent="0.3">
      <c r="A24038" t="s">
        <v>0</v>
      </c>
    </row>
    <row r="24039" spans="1:1" x14ac:dyDescent="0.3">
      <c r="A24039" t="s">
        <v>0</v>
      </c>
    </row>
    <row r="24040" spans="1:1" x14ac:dyDescent="0.3">
      <c r="A24040" t="s">
        <v>0</v>
      </c>
    </row>
    <row r="24041" spans="1:1" x14ac:dyDescent="0.3">
      <c r="A24041" t="s">
        <v>0</v>
      </c>
    </row>
    <row r="24042" spans="1:1" x14ac:dyDescent="0.3">
      <c r="A24042" t="s">
        <v>0</v>
      </c>
    </row>
    <row r="24043" spans="1:1" x14ac:dyDescent="0.3">
      <c r="A24043" t="s">
        <v>0</v>
      </c>
    </row>
    <row r="24044" spans="1:1" x14ac:dyDescent="0.3">
      <c r="A24044" t="s">
        <v>0</v>
      </c>
    </row>
    <row r="24045" spans="1:1" x14ac:dyDescent="0.3">
      <c r="A24045" t="s">
        <v>0</v>
      </c>
    </row>
    <row r="24046" spans="1:1" x14ac:dyDescent="0.3">
      <c r="A24046" t="s">
        <v>0</v>
      </c>
    </row>
    <row r="24047" spans="1:1" x14ac:dyDescent="0.3">
      <c r="A24047" t="s">
        <v>0</v>
      </c>
    </row>
    <row r="24048" spans="1:1" x14ac:dyDescent="0.3">
      <c r="A24048" t="s">
        <v>0</v>
      </c>
    </row>
    <row r="24049" spans="1:1" x14ac:dyDescent="0.3">
      <c r="A24049" t="s">
        <v>0</v>
      </c>
    </row>
    <row r="24050" spans="1:1" x14ac:dyDescent="0.3">
      <c r="A24050" t="s">
        <v>0</v>
      </c>
    </row>
    <row r="24051" spans="1:1" x14ac:dyDescent="0.3">
      <c r="A24051" t="s">
        <v>0</v>
      </c>
    </row>
    <row r="24052" spans="1:1" x14ac:dyDescent="0.3">
      <c r="A24052" t="s">
        <v>0</v>
      </c>
    </row>
    <row r="24053" spans="1:1" x14ac:dyDescent="0.3">
      <c r="A24053" t="s">
        <v>0</v>
      </c>
    </row>
    <row r="24054" spans="1:1" x14ac:dyDescent="0.3">
      <c r="A24054" t="s">
        <v>0</v>
      </c>
    </row>
    <row r="24055" spans="1:1" x14ac:dyDescent="0.3">
      <c r="A24055" t="s">
        <v>0</v>
      </c>
    </row>
    <row r="24056" spans="1:1" x14ac:dyDescent="0.3">
      <c r="A24056" t="s">
        <v>0</v>
      </c>
    </row>
    <row r="24057" spans="1:1" x14ac:dyDescent="0.3">
      <c r="A24057" t="s">
        <v>0</v>
      </c>
    </row>
    <row r="24058" spans="1:1" x14ac:dyDescent="0.3">
      <c r="A24058" t="s">
        <v>0</v>
      </c>
    </row>
    <row r="24059" spans="1:1" x14ac:dyDescent="0.3">
      <c r="A24059" t="s">
        <v>0</v>
      </c>
    </row>
    <row r="24060" spans="1:1" x14ac:dyDescent="0.3">
      <c r="A24060" t="s">
        <v>0</v>
      </c>
    </row>
    <row r="24061" spans="1:1" x14ac:dyDescent="0.3">
      <c r="A24061" t="s">
        <v>0</v>
      </c>
    </row>
    <row r="24062" spans="1:1" x14ac:dyDescent="0.3">
      <c r="A24062" t="s">
        <v>0</v>
      </c>
    </row>
    <row r="24063" spans="1:1" x14ac:dyDescent="0.3">
      <c r="A24063" t="s">
        <v>0</v>
      </c>
    </row>
    <row r="24064" spans="1:1" x14ac:dyDescent="0.3">
      <c r="A24064" t="s">
        <v>0</v>
      </c>
    </row>
    <row r="24065" spans="1:1" x14ac:dyDescent="0.3">
      <c r="A24065" t="s">
        <v>0</v>
      </c>
    </row>
    <row r="24066" spans="1:1" x14ac:dyDescent="0.3">
      <c r="A24066" t="s">
        <v>0</v>
      </c>
    </row>
    <row r="24067" spans="1:1" x14ac:dyDescent="0.3">
      <c r="A24067" t="s">
        <v>0</v>
      </c>
    </row>
    <row r="24068" spans="1:1" x14ac:dyDescent="0.3">
      <c r="A24068" t="s">
        <v>0</v>
      </c>
    </row>
    <row r="24069" spans="1:1" x14ac:dyDescent="0.3">
      <c r="A24069" t="s">
        <v>0</v>
      </c>
    </row>
    <row r="24070" spans="1:1" x14ac:dyDescent="0.3">
      <c r="A24070" t="s">
        <v>0</v>
      </c>
    </row>
    <row r="24071" spans="1:1" x14ac:dyDescent="0.3">
      <c r="A24071" t="s">
        <v>0</v>
      </c>
    </row>
    <row r="24072" spans="1:1" x14ac:dyDescent="0.3">
      <c r="A24072" t="s">
        <v>0</v>
      </c>
    </row>
    <row r="24073" spans="1:1" x14ac:dyDescent="0.3">
      <c r="A24073" t="s">
        <v>0</v>
      </c>
    </row>
    <row r="24074" spans="1:1" x14ac:dyDescent="0.3">
      <c r="A24074" t="s">
        <v>0</v>
      </c>
    </row>
    <row r="24075" spans="1:1" x14ac:dyDescent="0.3">
      <c r="A24075" t="s">
        <v>0</v>
      </c>
    </row>
    <row r="24076" spans="1:1" x14ac:dyDescent="0.3">
      <c r="A24076" t="s">
        <v>0</v>
      </c>
    </row>
    <row r="24077" spans="1:1" x14ac:dyDescent="0.3">
      <c r="A24077" t="s">
        <v>0</v>
      </c>
    </row>
    <row r="24078" spans="1:1" x14ac:dyDescent="0.3">
      <c r="A24078" t="s">
        <v>0</v>
      </c>
    </row>
    <row r="24079" spans="1:1" x14ac:dyDescent="0.3">
      <c r="A24079" t="s">
        <v>0</v>
      </c>
    </row>
    <row r="24080" spans="1:1" x14ac:dyDescent="0.3">
      <c r="A24080" t="s">
        <v>0</v>
      </c>
    </row>
    <row r="24081" spans="1:1" x14ac:dyDescent="0.3">
      <c r="A24081" t="s">
        <v>0</v>
      </c>
    </row>
    <row r="24082" spans="1:1" x14ac:dyDescent="0.3">
      <c r="A24082" t="s">
        <v>0</v>
      </c>
    </row>
    <row r="24083" spans="1:1" x14ac:dyDescent="0.3">
      <c r="A24083" t="s">
        <v>0</v>
      </c>
    </row>
    <row r="24084" spans="1:1" x14ac:dyDescent="0.3">
      <c r="A24084" t="s">
        <v>0</v>
      </c>
    </row>
    <row r="24085" spans="1:1" x14ac:dyDescent="0.3">
      <c r="A24085" t="s">
        <v>0</v>
      </c>
    </row>
    <row r="24086" spans="1:1" x14ac:dyDescent="0.3">
      <c r="A24086" t="s">
        <v>0</v>
      </c>
    </row>
    <row r="24087" spans="1:1" x14ac:dyDescent="0.3">
      <c r="A24087" t="s">
        <v>0</v>
      </c>
    </row>
    <row r="24088" spans="1:1" x14ac:dyDescent="0.3">
      <c r="A24088" t="s">
        <v>0</v>
      </c>
    </row>
    <row r="24089" spans="1:1" x14ac:dyDescent="0.3">
      <c r="A24089" t="s">
        <v>0</v>
      </c>
    </row>
    <row r="24090" spans="1:1" x14ac:dyDescent="0.3">
      <c r="A24090" t="s">
        <v>0</v>
      </c>
    </row>
    <row r="24091" spans="1:1" x14ac:dyDescent="0.3">
      <c r="A24091" t="s">
        <v>0</v>
      </c>
    </row>
    <row r="24092" spans="1:1" x14ac:dyDescent="0.3">
      <c r="A24092" t="s">
        <v>0</v>
      </c>
    </row>
    <row r="24093" spans="1:1" x14ac:dyDescent="0.3">
      <c r="A24093" t="s">
        <v>0</v>
      </c>
    </row>
    <row r="24094" spans="1:1" x14ac:dyDescent="0.3">
      <c r="A24094" t="s">
        <v>0</v>
      </c>
    </row>
    <row r="24095" spans="1:1" x14ac:dyDescent="0.3">
      <c r="A24095" t="s">
        <v>0</v>
      </c>
    </row>
    <row r="24096" spans="1:1" x14ac:dyDescent="0.3">
      <c r="A24096" t="s">
        <v>0</v>
      </c>
    </row>
    <row r="24097" spans="1:1" x14ac:dyDescent="0.3">
      <c r="A24097" t="s">
        <v>0</v>
      </c>
    </row>
    <row r="24098" spans="1:1" x14ac:dyDescent="0.3">
      <c r="A24098" t="s">
        <v>0</v>
      </c>
    </row>
    <row r="24099" spans="1:1" x14ac:dyDescent="0.3">
      <c r="A24099" t="s">
        <v>0</v>
      </c>
    </row>
    <row r="24100" spans="1:1" x14ac:dyDescent="0.3">
      <c r="A24100" t="s">
        <v>0</v>
      </c>
    </row>
    <row r="24101" spans="1:1" x14ac:dyDescent="0.3">
      <c r="A24101" t="s">
        <v>0</v>
      </c>
    </row>
    <row r="24102" spans="1:1" x14ac:dyDescent="0.3">
      <c r="A24102" t="s">
        <v>0</v>
      </c>
    </row>
    <row r="24103" spans="1:1" x14ac:dyDescent="0.3">
      <c r="A24103" t="s">
        <v>0</v>
      </c>
    </row>
    <row r="24104" spans="1:1" x14ac:dyDescent="0.3">
      <c r="A24104" t="s">
        <v>0</v>
      </c>
    </row>
    <row r="24105" spans="1:1" x14ac:dyDescent="0.3">
      <c r="A24105" t="s">
        <v>0</v>
      </c>
    </row>
    <row r="24106" spans="1:1" x14ac:dyDescent="0.3">
      <c r="A24106" t="s">
        <v>0</v>
      </c>
    </row>
    <row r="24107" spans="1:1" x14ac:dyDescent="0.3">
      <c r="A24107" t="s">
        <v>0</v>
      </c>
    </row>
    <row r="24108" spans="1:1" x14ac:dyDescent="0.3">
      <c r="A24108" t="s">
        <v>0</v>
      </c>
    </row>
    <row r="24109" spans="1:1" x14ac:dyDescent="0.3">
      <c r="A24109" t="s">
        <v>0</v>
      </c>
    </row>
    <row r="24110" spans="1:1" x14ac:dyDescent="0.3">
      <c r="A24110" t="s">
        <v>0</v>
      </c>
    </row>
    <row r="24111" spans="1:1" x14ac:dyDescent="0.3">
      <c r="A24111" t="s">
        <v>0</v>
      </c>
    </row>
    <row r="24112" spans="1:1" x14ac:dyDescent="0.3">
      <c r="A24112" t="s">
        <v>0</v>
      </c>
    </row>
    <row r="24113" spans="1:1" x14ac:dyDescent="0.3">
      <c r="A24113" t="s">
        <v>0</v>
      </c>
    </row>
    <row r="24114" spans="1:1" x14ac:dyDescent="0.3">
      <c r="A24114" t="s">
        <v>0</v>
      </c>
    </row>
    <row r="24115" spans="1:1" x14ac:dyDescent="0.3">
      <c r="A24115" t="s">
        <v>0</v>
      </c>
    </row>
    <row r="24116" spans="1:1" x14ac:dyDescent="0.3">
      <c r="A24116" t="s">
        <v>0</v>
      </c>
    </row>
    <row r="24117" spans="1:1" x14ac:dyDescent="0.3">
      <c r="A24117" t="s">
        <v>0</v>
      </c>
    </row>
    <row r="24118" spans="1:1" x14ac:dyDescent="0.3">
      <c r="A24118" t="s">
        <v>0</v>
      </c>
    </row>
    <row r="24119" spans="1:1" x14ac:dyDescent="0.3">
      <c r="A24119" t="s">
        <v>0</v>
      </c>
    </row>
    <row r="24120" spans="1:1" x14ac:dyDescent="0.3">
      <c r="A24120" t="s">
        <v>0</v>
      </c>
    </row>
    <row r="24121" spans="1:1" x14ac:dyDescent="0.3">
      <c r="A24121" t="s">
        <v>0</v>
      </c>
    </row>
    <row r="24122" spans="1:1" x14ac:dyDescent="0.3">
      <c r="A24122" t="s">
        <v>0</v>
      </c>
    </row>
    <row r="24123" spans="1:1" x14ac:dyDescent="0.3">
      <c r="A24123" t="s">
        <v>0</v>
      </c>
    </row>
    <row r="24124" spans="1:1" x14ac:dyDescent="0.3">
      <c r="A24124" t="s">
        <v>0</v>
      </c>
    </row>
    <row r="24125" spans="1:1" x14ac:dyDescent="0.3">
      <c r="A24125" t="s">
        <v>0</v>
      </c>
    </row>
    <row r="24126" spans="1:1" x14ac:dyDescent="0.3">
      <c r="A24126" t="s">
        <v>0</v>
      </c>
    </row>
    <row r="24127" spans="1:1" x14ac:dyDescent="0.3">
      <c r="A24127" t="s">
        <v>0</v>
      </c>
    </row>
    <row r="24128" spans="1:1" x14ac:dyDescent="0.3">
      <c r="A24128" t="s">
        <v>0</v>
      </c>
    </row>
    <row r="24129" spans="1:1" x14ac:dyDescent="0.3">
      <c r="A24129" t="s">
        <v>0</v>
      </c>
    </row>
    <row r="24130" spans="1:1" x14ac:dyDescent="0.3">
      <c r="A24130" t="s">
        <v>0</v>
      </c>
    </row>
    <row r="24131" spans="1:1" x14ac:dyDescent="0.3">
      <c r="A24131" t="s">
        <v>0</v>
      </c>
    </row>
    <row r="24132" spans="1:1" x14ac:dyDescent="0.3">
      <c r="A24132" t="s">
        <v>0</v>
      </c>
    </row>
    <row r="24133" spans="1:1" x14ac:dyDescent="0.3">
      <c r="A24133" t="s">
        <v>0</v>
      </c>
    </row>
    <row r="24134" spans="1:1" x14ac:dyDescent="0.3">
      <c r="A24134" t="s">
        <v>0</v>
      </c>
    </row>
    <row r="24135" spans="1:1" x14ac:dyDescent="0.3">
      <c r="A24135" t="s">
        <v>0</v>
      </c>
    </row>
    <row r="24136" spans="1:1" x14ac:dyDescent="0.3">
      <c r="A24136" t="s">
        <v>0</v>
      </c>
    </row>
    <row r="24137" spans="1:1" x14ac:dyDescent="0.3">
      <c r="A24137" t="s">
        <v>0</v>
      </c>
    </row>
    <row r="24138" spans="1:1" x14ac:dyDescent="0.3">
      <c r="A24138" t="s">
        <v>0</v>
      </c>
    </row>
    <row r="24139" spans="1:1" x14ac:dyDescent="0.3">
      <c r="A24139" t="s">
        <v>0</v>
      </c>
    </row>
    <row r="24140" spans="1:1" x14ac:dyDescent="0.3">
      <c r="A24140" t="s">
        <v>0</v>
      </c>
    </row>
    <row r="24141" spans="1:1" x14ac:dyDescent="0.3">
      <c r="A24141" t="s">
        <v>0</v>
      </c>
    </row>
    <row r="24142" spans="1:1" x14ac:dyDescent="0.3">
      <c r="A24142" t="s">
        <v>0</v>
      </c>
    </row>
    <row r="24143" spans="1:1" x14ac:dyDescent="0.3">
      <c r="A24143" t="s">
        <v>0</v>
      </c>
    </row>
    <row r="24144" spans="1:1" x14ac:dyDescent="0.3">
      <c r="A24144" t="s">
        <v>0</v>
      </c>
    </row>
    <row r="24145" spans="1:1" x14ac:dyDescent="0.3">
      <c r="A24145" t="s">
        <v>0</v>
      </c>
    </row>
    <row r="24146" spans="1:1" x14ac:dyDescent="0.3">
      <c r="A24146" t="s">
        <v>0</v>
      </c>
    </row>
    <row r="24147" spans="1:1" x14ac:dyDescent="0.3">
      <c r="A24147" t="s">
        <v>0</v>
      </c>
    </row>
    <row r="24148" spans="1:1" x14ac:dyDescent="0.3">
      <c r="A24148" t="s">
        <v>0</v>
      </c>
    </row>
    <row r="24149" spans="1:1" x14ac:dyDescent="0.3">
      <c r="A24149" t="s">
        <v>0</v>
      </c>
    </row>
    <row r="24150" spans="1:1" x14ac:dyDescent="0.3">
      <c r="A24150" t="s">
        <v>0</v>
      </c>
    </row>
    <row r="24151" spans="1:1" x14ac:dyDescent="0.3">
      <c r="A24151" t="s">
        <v>0</v>
      </c>
    </row>
    <row r="24152" spans="1:1" x14ac:dyDescent="0.3">
      <c r="A24152" t="s">
        <v>0</v>
      </c>
    </row>
    <row r="24153" spans="1:1" x14ac:dyDescent="0.3">
      <c r="A24153" t="s">
        <v>0</v>
      </c>
    </row>
    <row r="24154" spans="1:1" x14ac:dyDescent="0.3">
      <c r="A24154" t="s">
        <v>0</v>
      </c>
    </row>
    <row r="24155" spans="1:1" x14ac:dyDescent="0.3">
      <c r="A24155" t="s">
        <v>0</v>
      </c>
    </row>
    <row r="24156" spans="1:1" x14ac:dyDescent="0.3">
      <c r="A24156" t="s">
        <v>0</v>
      </c>
    </row>
    <row r="24157" spans="1:1" x14ac:dyDescent="0.3">
      <c r="A24157" t="s">
        <v>0</v>
      </c>
    </row>
    <row r="24158" spans="1:1" x14ac:dyDescent="0.3">
      <c r="A24158" t="s">
        <v>0</v>
      </c>
    </row>
    <row r="24159" spans="1:1" x14ac:dyDescent="0.3">
      <c r="A24159" t="s">
        <v>0</v>
      </c>
    </row>
    <row r="24160" spans="1:1" x14ac:dyDescent="0.3">
      <c r="A24160" t="s">
        <v>0</v>
      </c>
    </row>
    <row r="24161" spans="1:1" x14ac:dyDescent="0.3">
      <c r="A24161" t="s">
        <v>0</v>
      </c>
    </row>
    <row r="24162" spans="1:1" x14ac:dyDescent="0.3">
      <c r="A24162" t="s">
        <v>0</v>
      </c>
    </row>
    <row r="24163" spans="1:1" x14ac:dyDescent="0.3">
      <c r="A24163" t="s">
        <v>0</v>
      </c>
    </row>
    <row r="24164" spans="1:1" x14ac:dyDescent="0.3">
      <c r="A24164" t="s">
        <v>0</v>
      </c>
    </row>
    <row r="24165" spans="1:1" x14ac:dyDescent="0.3">
      <c r="A24165" t="s">
        <v>0</v>
      </c>
    </row>
    <row r="24166" spans="1:1" x14ac:dyDescent="0.3">
      <c r="A24166" t="s">
        <v>0</v>
      </c>
    </row>
    <row r="24167" spans="1:1" x14ac:dyDescent="0.3">
      <c r="A24167" t="s">
        <v>0</v>
      </c>
    </row>
    <row r="24168" spans="1:1" x14ac:dyDescent="0.3">
      <c r="A24168" t="s">
        <v>0</v>
      </c>
    </row>
    <row r="24169" spans="1:1" x14ac:dyDescent="0.3">
      <c r="A24169" t="s">
        <v>0</v>
      </c>
    </row>
    <row r="24170" spans="1:1" x14ac:dyDescent="0.3">
      <c r="A24170" t="s">
        <v>0</v>
      </c>
    </row>
    <row r="24171" spans="1:1" x14ac:dyDescent="0.3">
      <c r="A24171" t="s">
        <v>0</v>
      </c>
    </row>
    <row r="24172" spans="1:1" x14ac:dyDescent="0.3">
      <c r="A24172" t="s">
        <v>0</v>
      </c>
    </row>
    <row r="24173" spans="1:1" x14ac:dyDescent="0.3">
      <c r="A24173" t="s">
        <v>0</v>
      </c>
    </row>
    <row r="24174" spans="1:1" x14ac:dyDescent="0.3">
      <c r="A24174" t="s">
        <v>0</v>
      </c>
    </row>
    <row r="24175" spans="1:1" x14ac:dyDescent="0.3">
      <c r="A24175" t="s">
        <v>0</v>
      </c>
    </row>
    <row r="24176" spans="1:1" x14ac:dyDescent="0.3">
      <c r="A24176" t="s">
        <v>0</v>
      </c>
    </row>
    <row r="24177" spans="1:1" x14ac:dyDescent="0.3">
      <c r="A24177" t="s">
        <v>0</v>
      </c>
    </row>
    <row r="24178" spans="1:1" x14ac:dyDescent="0.3">
      <c r="A24178" t="s">
        <v>0</v>
      </c>
    </row>
    <row r="24179" spans="1:1" x14ac:dyDescent="0.3">
      <c r="A24179" t="s">
        <v>0</v>
      </c>
    </row>
    <row r="24180" spans="1:1" x14ac:dyDescent="0.3">
      <c r="A24180" t="s">
        <v>0</v>
      </c>
    </row>
    <row r="24181" spans="1:1" x14ac:dyDescent="0.3">
      <c r="A24181" t="s">
        <v>0</v>
      </c>
    </row>
    <row r="24182" spans="1:1" x14ac:dyDescent="0.3">
      <c r="A24182" t="s">
        <v>0</v>
      </c>
    </row>
    <row r="24183" spans="1:1" x14ac:dyDescent="0.3">
      <c r="A24183" t="s">
        <v>0</v>
      </c>
    </row>
    <row r="24184" spans="1:1" x14ac:dyDescent="0.3">
      <c r="A24184" t="s">
        <v>0</v>
      </c>
    </row>
    <row r="24185" spans="1:1" x14ac:dyDescent="0.3">
      <c r="A24185" t="s">
        <v>0</v>
      </c>
    </row>
    <row r="24186" spans="1:1" x14ac:dyDescent="0.3">
      <c r="A24186" t="s">
        <v>0</v>
      </c>
    </row>
    <row r="24187" spans="1:1" x14ac:dyDescent="0.3">
      <c r="A24187" t="s">
        <v>0</v>
      </c>
    </row>
    <row r="24188" spans="1:1" x14ac:dyDescent="0.3">
      <c r="A24188" t="s">
        <v>0</v>
      </c>
    </row>
    <row r="24189" spans="1:1" x14ac:dyDescent="0.3">
      <c r="A24189" t="s">
        <v>0</v>
      </c>
    </row>
    <row r="24190" spans="1:1" x14ac:dyDescent="0.3">
      <c r="A24190" t="s">
        <v>0</v>
      </c>
    </row>
    <row r="24191" spans="1:1" x14ac:dyDescent="0.3">
      <c r="A24191" t="s">
        <v>0</v>
      </c>
    </row>
    <row r="24192" spans="1:1" x14ac:dyDescent="0.3">
      <c r="A24192" t="s">
        <v>0</v>
      </c>
    </row>
    <row r="24193" spans="1:1" x14ac:dyDescent="0.3">
      <c r="A24193" t="s">
        <v>0</v>
      </c>
    </row>
    <row r="24194" spans="1:1" x14ac:dyDescent="0.3">
      <c r="A24194" t="s">
        <v>0</v>
      </c>
    </row>
    <row r="24195" spans="1:1" x14ac:dyDescent="0.3">
      <c r="A24195" t="s">
        <v>0</v>
      </c>
    </row>
    <row r="24196" spans="1:1" x14ac:dyDescent="0.3">
      <c r="A24196" t="s">
        <v>0</v>
      </c>
    </row>
    <row r="24197" spans="1:1" x14ac:dyDescent="0.3">
      <c r="A24197" t="s">
        <v>0</v>
      </c>
    </row>
    <row r="24198" spans="1:1" x14ac:dyDescent="0.3">
      <c r="A24198" t="s">
        <v>0</v>
      </c>
    </row>
    <row r="24199" spans="1:1" x14ac:dyDescent="0.3">
      <c r="A24199" t="s">
        <v>0</v>
      </c>
    </row>
    <row r="24200" spans="1:1" x14ac:dyDescent="0.3">
      <c r="A24200" t="s">
        <v>0</v>
      </c>
    </row>
    <row r="24201" spans="1:1" x14ac:dyDescent="0.3">
      <c r="A24201" t="s">
        <v>0</v>
      </c>
    </row>
    <row r="24202" spans="1:1" x14ac:dyDescent="0.3">
      <c r="A24202" t="s">
        <v>0</v>
      </c>
    </row>
    <row r="24203" spans="1:1" x14ac:dyDescent="0.3">
      <c r="A24203" t="s">
        <v>0</v>
      </c>
    </row>
    <row r="24204" spans="1:1" x14ac:dyDescent="0.3">
      <c r="A24204" t="s">
        <v>0</v>
      </c>
    </row>
    <row r="24205" spans="1:1" x14ac:dyDescent="0.3">
      <c r="A24205" t="s">
        <v>0</v>
      </c>
    </row>
    <row r="24206" spans="1:1" x14ac:dyDescent="0.3">
      <c r="A24206" t="s">
        <v>0</v>
      </c>
    </row>
    <row r="24207" spans="1:1" x14ac:dyDescent="0.3">
      <c r="A24207" t="s">
        <v>0</v>
      </c>
    </row>
    <row r="24208" spans="1:1" x14ac:dyDescent="0.3">
      <c r="A24208" t="s">
        <v>0</v>
      </c>
    </row>
    <row r="24209" spans="1:1" x14ac:dyDescent="0.3">
      <c r="A24209" t="s">
        <v>0</v>
      </c>
    </row>
    <row r="24210" spans="1:1" x14ac:dyDescent="0.3">
      <c r="A24210" t="s">
        <v>0</v>
      </c>
    </row>
    <row r="24211" spans="1:1" x14ac:dyDescent="0.3">
      <c r="A24211" t="s">
        <v>0</v>
      </c>
    </row>
    <row r="24212" spans="1:1" x14ac:dyDescent="0.3">
      <c r="A24212" t="s">
        <v>0</v>
      </c>
    </row>
    <row r="24213" spans="1:1" x14ac:dyDescent="0.3">
      <c r="A24213" t="s">
        <v>0</v>
      </c>
    </row>
    <row r="24214" spans="1:1" x14ac:dyDescent="0.3">
      <c r="A24214" t="s">
        <v>0</v>
      </c>
    </row>
    <row r="24215" spans="1:1" x14ac:dyDescent="0.3">
      <c r="A24215" t="s">
        <v>0</v>
      </c>
    </row>
    <row r="24216" spans="1:1" x14ac:dyDescent="0.3">
      <c r="A24216" t="s">
        <v>0</v>
      </c>
    </row>
    <row r="24217" spans="1:1" x14ac:dyDescent="0.3">
      <c r="A24217" t="s">
        <v>0</v>
      </c>
    </row>
    <row r="24218" spans="1:1" x14ac:dyDescent="0.3">
      <c r="A24218" t="s">
        <v>0</v>
      </c>
    </row>
    <row r="24219" spans="1:1" x14ac:dyDescent="0.3">
      <c r="A24219" t="s">
        <v>0</v>
      </c>
    </row>
    <row r="24220" spans="1:1" x14ac:dyDescent="0.3">
      <c r="A24220" t="s">
        <v>0</v>
      </c>
    </row>
    <row r="24221" spans="1:1" x14ac:dyDescent="0.3">
      <c r="A24221" t="s">
        <v>0</v>
      </c>
    </row>
    <row r="24222" spans="1:1" x14ac:dyDescent="0.3">
      <c r="A24222" t="s">
        <v>0</v>
      </c>
    </row>
    <row r="24223" spans="1:1" x14ac:dyDescent="0.3">
      <c r="A24223" t="s">
        <v>0</v>
      </c>
    </row>
    <row r="24224" spans="1:1" x14ac:dyDescent="0.3">
      <c r="A24224" t="s">
        <v>0</v>
      </c>
    </row>
    <row r="24225" spans="1:1" x14ac:dyDescent="0.3">
      <c r="A24225" t="s">
        <v>0</v>
      </c>
    </row>
    <row r="24226" spans="1:1" x14ac:dyDescent="0.3">
      <c r="A24226" t="s">
        <v>0</v>
      </c>
    </row>
    <row r="24227" spans="1:1" x14ac:dyDescent="0.3">
      <c r="A24227" t="s">
        <v>0</v>
      </c>
    </row>
    <row r="24228" spans="1:1" x14ac:dyDescent="0.3">
      <c r="A24228" t="s">
        <v>0</v>
      </c>
    </row>
    <row r="24229" spans="1:1" x14ac:dyDescent="0.3">
      <c r="A24229" t="s">
        <v>0</v>
      </c>
    </row>
    <row r="24230" spans="1:1" x14ac:dyDescent="0.3">
      <c r="A24230" t="s">
        <v>0</v>
      </c>
    </row>
    <row r="24231" spans="1:1" x14ac:dyDescent="0.3">
      <c r="A24231" t="s">
        <v>0</v>
      </c>
    </row>
    <row r="24232" spans="1:1" x14ac:dyDescent="0.3">
      <c r="A24232" t="s">
        <v>0</v>
      </c>
    </row>
    <row r="24233" spans="1:1" x14ac:dyDescent="0.3">
      <c r="A24233" t="s">
        <v>0</v>
      </c>
    </row>
    <row r="24234" spans="1:1" x14ac:dyDescent="0.3">
      <c r="A24234" t="s">
        <v>0</v>
      </c>
    </row>
    <row r="24235" spans="1:1" x14ac:dyDescent="0.3">
      <c r="A24235" t="s">
        <v>0</v>
      </c>
    </row>
    <row r="24236" spans="1:1" x14ac:dyDescent="0.3">
      <c r="A24236" t="s">
        <v>0</v>
      </c>
    </row>
    <row r="24237" spans="1:1" x14ac:dyDescent="0.3">
      <c r="A24237" t="s">
        <v>0</v>
      </c>
    </row>
    <row r="24238" spans="1:1" x14ac:dyDescent="0.3">
      <c r="A24238" t="s">
        <v>0</v>
      </c>
    </row>
    <row r="24239" spans="1:1" x14ac:dyDescent="0.3">
      <c r="A24239" t="s">
        <v>0</v>
      </c>
    </row>
    <row r="24240" spans="1:1" x14ac:dyDescent="0.3">
      <c r="A24240" t="s">
        <v>0</v>
      </c>
    </row>
    <row r="24241" spans="1:1" x14ac:dyDescent="0.3">
      <c r="A24241" t="s">
        <v>0</v>
      </c>
    </row>
    <row r="24242" spans="1:1" x14ac:dyDescent="0.3">
      <c r="A24242" t="s">
        <v>0</v>
      </c>
    </row>
    <row r="24243" spans="1:1" x14ac:dyDescent="0.3">
      <c r="A24243" t="s">
        <v>0</v>
      </c>
    </row>
    <row r="24244" spans="1:1" x14ac:dyDescent="0.3">
      <c r="A24244" t="s">
        <v>0</v>
      </c>
    </row>
    <row r="24245" spans="1:1" x14ac:dyDescent="0.3">
      <c r="A24245" t="s">
        <v>0</v>
      </c>
    </row>
    <row r="24246" spans="1:1" x14ac:dyDescent="0.3">
      <c r="A24246" t="s">
        <v>0</v>
      </c>
    </row>
    <row r="24247" spans="1:1" x14ac:dyDescent="0.3">
      <c r="A24247" t="s">
        <v>0</v>
      </c>
    </row>
    <row r="24248" spans="1:1" x14ac:dyDescent="0.3">
      <c r="A24248" t="s">
        <v>0</v>
      </c>
    </row>
    <row r="24249" spans="1:1" x14ac:dyDescent="0.3">
      <c r="A24249" t="s">
        <v>0</v>
      </c>
    </row>
    <row r="24250" spans="1:1" x14ac:dyDescent="0.3">
      <c r="A24250" t="s">
        <v>0</v>
      </c>
    </row>
    <row r="24251" spans="1:1" x14ac:dyDescent="0.3">
      <c r="A24251" t="s">
        <v>0</v>
      </c>
    </row>
    <row r="24252" spans="1:1" x14ac:dyDescent="0.3">
      <c r="A24252" t="s">
        <v>0</v>
      </c>
    </row>
    <row r="24253" spans="1:1" x14ac:dyDescent="0.3">
      <c r="A24253" t="s">
        <v>0</v>
      </c>
    </row>
    <row r="24254" spans="1:1" x14ac:dyDescent="0.3">
      <c r="A24254" t="s">
        <v>0</v>
      </c>
    </row>
    <row r="24255" spans="1:1" x14ac:dyDescent="0.3">
      <c r="A24255" t="s">
        <v>0</v>
      </c>
    </row>
    <row r="24256" spans="1:1" x14ac:dyDescent="0.3">
      <c r="A24256" t="s">
        <v>0</v>
      </c>
    </row>
    <row r="24257" spans="1:1" x14ac:dyDescent="0.3">
      <c r="A24257" t="s">
        <v>0</v>
      </c>
    </row>
    <row r="24258" spans="1:1" x14ac:dyDescent="0.3">
      <c r="A24258" t="s">
        <v>0</v>
      </c>
    </row>
    <row r="24259" spans="1:1" x14ac:dyDescent="0.3">
      <c r="A24259" t="s">
        <v>0</v>
      </c>
    </row>
    <row r="24260" spans="1:1" x14ac:dyDescent="0.3">
      <c r="A24260" t="s">
        <v>0</v>
      </c>
    </row>
    <row r="24261" spans="1:1" x14ac:dyDescent="0.3">
      <c r="A24261" t="s">
        <v>0</v>
      </c>
    </row>
    <row r="24262" spans="1:1" x14ac:dyDescent="0.3">
      <c r="A24262" t="s">
        <v>0</v>
      </c>
    </row>
    <row r="24263" spans="1:1" x14ac:dyDescent="0.3">
      <c r="A24263" t="s">
        <v>0</v>
      </c>
    </row>
    <row r="24264" spans="1:1" x14ac:dyDescent="0.3">
      <c r="A24264" t="s">
        <v>0</v>
      </c>
    </row>
    <row r="24265" spans="1:1" x14ac:dyDescent="0.3">
      <c r="A24265" t="s">
        <v>0</v>
      </c>
    </row>
    <row r="24266" spans="1:1" x14ac:dyDescent="0.3">
      <c r="A24266" t="s">
        <v>0</v>
      </c>
    </row>
    <row r="24267" spans="1:1" x14ac:dyDescent="0.3">
      <c r="A24267" t="s">
        <v>0</v>
      </c>
    </row>
    <row r="24268" spans="1:1" x14ac:dyDescent="0.3">
      <c r="A24268" t="s">
        <v>0</v>
      </c>
    </row>
    <row r="24269" spans="1:1" x14ac:dyDescent="0.3">
      <c r="A24269" t="s">
        <v>0</v>
      </c>
    </row>
    <row r="24270" spans="1:1" x14ac:dyDescent="0.3">
      <c r="A24270" t="s">
        <v>0</v>
      </c>
    </row>
    <row r="24271" spans="1:1" x14ac:dyDescent="0.3">
      <c r="A24271" t="s">
        <v>0</v>
      </c>
    </row>
    <row r="24272" spans="1:1" x14ac:dyDescent="0.3">
      <c r="A24272" t="s">
        <v>0</v>
      </c>
    </row>
    <row r="24273" spans="1:1" x14ac:dyDescent="0.3">
      <c r="A24273" t="s">
        <v>0</v>
      </c>
    </row>
    <row r="24274" spans="1:1" x14ac:dyDescent="0.3">
      <c r="A24274" t="s">
        <v>0</v>
      </c>
    </row>
    <row r="24275" spans="1:1" x14ac:dyDescent="0.3">
      <c r="A24275" t="s">
        <v>0</v>
      </c>
    </row>
    <row r="24276" spans="1:1" x14ac:dyDescent="0.3">
      <c r="A24276" t="s">
        <v>0</v>
      </c>
    </row>
    <row r="24277" spans="1:1" x14ac:dyDescent="0.3">
      <c r="A24277" t="s">
        <v>0</v>
      </c>
    </row>
    <row r="24278" spans="1:1" x14ac:dyDescent="0.3">
      <c r="A24278" t="s">
        <v>0</v>
      </c>
    </row>
    <row r="24279" spans="1:1" x14ac:dyDescent="0.3">
      <c r="A24279" t="s">
        <v>0</v>
      </c>
    </row>
    <row r="24280" spans="1:1" x14ac:dyDescent="0.3">
      <c r="A24280" t="s">
        <v>0</v>
      </c>
    </row>
    <row r="24281" spans="1:1" x14ac:dyDescent="0.3">
      <c r="A24281" t="s">
        <v>0</v>
      </c>
    </row>
    <row r="24282" spans="1:1" x14ac:dyDescent="0.3">
      <c r="A24282" t="s">
        <v>0</v>
      </c>
    </row>
    <row r="24283" spans="1:1" x14ac:dyDescent="0.3">
      <c r="A24283" t="s">
        <v>0</v>
      </c>
    </row>
    <row r="24284" spans="1:1" x14ac:dyDescent="0.3">
      <c r="A24284" t="s">
        <v>0</v>
      </c>
    </row>
    <row r="24285" spans="1:1" x14ac:dyDescent="0.3">
      <c r="A24285" t="s">
        <v>0</v>
      </c>
    </row>
    <row r="24286" spans="1:1" x14ac:dyDescent="0.3">
      <c r="A24286" t="s">
        <v>0</v>
      </c>
    </row>
    <row r="24287" spans="1:1" x14ac:dyDescent="0.3">
      <c r="A24287" t="s">
        <v>0</v>
      </c>
    </row>
    <row r="24288" spans="1:1" x14ac:dyDescent="0.3">
      <c r="A24288" t="s">
        <v>0</v>
      </c>
    </row>
    <row r="24289" spans="1:1" x14ac:dyDescent="0.3">
      <c r="A24289" t="s">
        <v>0</v>
      </c>
    </row>
    <row r="24290" spans="1:1" x14ac:dyDescent="0.3">
      <c r="A24290" t="s">
        <v>0</v>
      </c>
    </row>
    <row r="24291" spans="1:1" x14ac:dyDescent="0.3">
      <c r="A24291" t="s">
        <v>0</v>
      </c>
    </row>
    <row r="24292" spans="1:1" x14ac:dyDescent="0.3">
      <c r="A24292" t="s">
        <v>0</v>
      </c>
    </row>
    <row r="24293" spans="1:1" x14ac:dyDescent="0.3">
      <c r="A24293" t="s">
        <v>0</v>
      </c>
    </row>
    <row r="24294" spans="1:1" x14ac:dyDescent="0.3">
      <c r="A24294" t="s">
        <v>0</v>
      </c>
    </row>
    <row r="24295" spans="1:1" x14ac:dyDescent="0.3">
      <c r="A24295" t="s">
        <v>0</v>
      </c>
    </row>
    <row r="24296" spans="1:1" x14ac:dyDescent="0.3">
      <c r="A24296" t="s">
        <v>0</v>
      </c>
    </row>
    <row r="24297" spans="1:1" x14ac:dyDescent="0.3">
      <c r="A24297" t="s">
        <v>0</v>
      </c>
    </row>
    <row r="24298" spans="1:1" x14ac:dyDescent="0.3">
      <c r="A24298" t="s">
        <v>0</v>
      </c>
    </row>
    <row r="24299" spans="1:1" x14ac:dyDescent="0.3">
      <c r="A24299" t="s">
        <v>0</v>
      </c>
    </row>
    <row r="24300" spans="1:1" x14ac:dyDescent="0.3">
      <c r="A24300" t="s">
        <v>0</v>
      </c>
    </row>
    <row r="24301" spans="1:1" x14ac:dyDescent="0.3">
      <c r="A24301" t="s">
        <v>0</v>
      </c>
    </row>
    <row r="24302" spans="1:1" x14ac:dyDescent="0.3">
      <c r="A24302" t="s">
        <v>0</v>
      </c>
    </row>
    <row r="24303" spans="1:1" x14ac:dyDescent="0.3">
      <c r="A24303" t="s">
        <v>0</v>
      </c>
    </row>
    <row r="24304" spans="1:1" x14ac:dyDescent="0.3">
      <c r="A24304" t="s">
        <v>0</v>
      </c>
    </row>
    <row r="24305" spans="1:1" x14ac:dyDescent="0.3">
      <c r="A24305" t="s">
        <v>0</v>
      </c>
    </row>
    <row r="24306" spans="1:1" x14ac:dyDescent="0.3">
      <c r="A24306" t="s">
        <v>0</v>
      </c>
    </row>
    <row r="24307" spans="1:1" x14ac:dyDescent="0.3">
      <c r="A24307" t="s">
        <v>0</v>
      </c>
    </row>
    <row r="24308" spans="1:1" x14ac:dyDescent="0.3">
      <c r="A24308" t="s">
        <v>0</v>
      </c>
    </row>
    <row r="24309" spans="1:1" x14ac:dyDescent="0.3">
      <c r="A24309" t="s">
        <v>0</v>
      </c>
    </row>
    <row r="24310" spans="1:1" x14ac:dyDescent="0.3">
      <c r="A24310" t="s">
        <v>0</v>
      </c>
    </row>
    <row r="24311" spans="1:1" x14ac:dyDescent="0.3">
      <c r="A24311" t="s">
        <v>0</v>
      </c>
    </row>
    <row r="24312" spans="1:1" x14ac:dyDescent="0.3">
      <c r="A24312" t="s">
        <v>0</v>
      </c>
    </row>
    <row r="24313" spans="1:1" x14ac:dyDescent="0.3">
      <c r="A24313" t="s">
        <v>0</v>
      </c>
    </row>
    <row r="24314" spans="1:1" x14ac:dyDescent="0.3">
      <c r="A24314" t="s">
        <v>0</v>
      </c>
    </row>
    <row r="24315" spans="1:1" x14ac:dyDescent="0.3">
      <c r="A24315" t="s">
        <v>0</v>
      </c>
    </row>
    <row r="24316" spans="1:1" x14ac:dyDescent="0.3">
      <c r="A24316" t="s">
        <v>0</v>
      </c>
    </row>
    <row r="24317" spans="1:1" x14ac:dyDescent="0.3">
      <c r="A24317" t="s">
        <v>0</v>
      </c>
    </row>
    <row r="24318" spans="1:1" x14ac:dyDescent="0.3">
      <c r="A24318" t="s">
        <v>0</v>
      </c>
    </row>
    <row r="24319" spans="1:1" x14ac:dyDescent="0.3">
      <c r="A24319" t="s">
        <v>0</v>
      </c>
    </row>
    <row r="24320" spans="1:1" x14ac:dyDescent="0.3">
      <c r="A24320" t="s">
        <v>0</v>
      </c>
    </row>
    <row r="24321" spans="1:1" x14ac:dyDescent="0.3">
      <c r="A24321" t="s">
        <v>0</v>
      </c>
    </row>
    <row r="24322" spans="1:1" x14ac:dyDescent="0.3">
      <c r="A24322" t="s">
        <v>0</v>
      </c>
    </row>
    <row r="24323" spans="1:1" x14ac:dyDescent="0.3">
      <c r="A24323" t="s">
        <v>0</v>
      </c>
    </row>
    <row r="24324" spans="1:1" x14ac:dyDescent="0.3">
      <c r="A24324" t="s">
        <v>0</v>
      </c>
    </row>
    <row r="24325" spans="1:1" x14ac:dyDescent="0.3">
      <c r="A24325" t="s">
        <v>0</v>
      </c>
    </row>
    <row r="24326" spans="1:1" x14ac:dyDescent="0.3">
      <c r="A24326" t="s">
        <v>0</v>
      </c>
    </row>
    <row r="24327" spans="1:1" x14ac:dyDescent="0.3">
      <c r="A24327" t="s">
        <v>0</v>
      </c>
    </row>
    <row r="24328" spans="1:1" x14ac:dyDescent="0.3">
      <c r="A24328" t="s">
        <v>0</v>
      </c>
    </row>
    <row r="24329" spans="1:1" x14ac:dyDescent="0.3">
      <c r="A24329" t="s">
        <v>0</v>
      </c>
    </row>
    <row r="24330" spans="1:1" x14ac:dyDescent="0.3">
      <c r="A24330" t="s">
        <v>0</v>
      </c>
    </row>
    <row r="24331" spans="1:1" x14ac:dyDescent="0.3">
      <c r="A24331" t="s">
        <v>0</v>
      </c>
    </row>
    <row r="24332" spans="1:1" x14ac:dyDescent="0.3">
      <c r="A24332" t="s">
        <v>0</v>
      </c>
    </row>
    <row r="24333" spans="1:1" x14ac:dyDescent="0.3">
      <c r="A24333" t="s">
        <v>0</v>
      </c>
    </row>
    <row r="24334" spans="1:1" x14ac:dyDescent="0.3">
      <c r="A24334" t="s">
        <v>0</v>
      </c>
    </row>
    <row r="24335" spans="1:1" x14ac:dyDescent="0.3">
      <c r="A24335" t="s">
        <v>0</v>
      </c>
    </row>
    <row r="24336" spans="1:1" x14ac:dyDescent="0.3">
      <c r="A24336" t="s">
        <v>0</v>
      </c>
    </row>
    <row r="24337" spans="1:1" x14ac:dyDescent="0.3">
      <c r="A24337" t="s">
        <v>0</v>
      </c>
    </row>
    <row r="24338" spans="1:1" x14ac:dyDescent="0.3">
      <c r="A24338" t="s">
        <v>0</v>
      </c>
    </row>
    <row r="24339" spans="1:1" x14ac:dyDescent="0.3">
      <c r="A24339" t="s">
        <v>0</v>
      </c>
    </row>
    <row r="24340" spans="1:1" x14ac:dyDescent="0.3">
      <c r="A24340" t="s">
        <v>0</v>
      </c>
    </row>
    <row r="24341" spans="1:1" x14ac:dyDescent="0.3">
      <c r="A24341" t="s">
        <v>0</v>
      </c>
    </row>
    <row r="24342" spans="1:1" x14ac:dyDescent="0.3">
      <c r="A24342" t="s">
        <v>0</v>
      </c>
    </row>
    <row r="24343" spans="1:1" x14ac:dyDescent="0.3">
      <c r="A24343" t="s">
        <v>0</v>
      </c>
    </row>
    <row r="24344" spans="1:1" x14ac:dyDescent="0.3">
      <c r="A24344" t="s">
        <v>0</v>
      </c>
    </row>
    <row r="24345" spans="1:1" x14ac:dyDescent="0.3">
      <c r="A24345" t="s">
        <v>0</v>
      </c>
    </row>
    <row r="24346" spans="1:1" x14ac:dyDescent="0.3">
      <c r="A24346" t="s">
        <v>0</v>
      </c>
    </row>
    <row r="24347" spans="1:1" x14ac:dyDescent="0.3">
      <c r="A24347" t="s">
        <v>0</v>
      </c>
    </row>
    <row r="24348" spans="1:1" x14ac:dyDescent="0.3">
      <c r="A24348" t="s">
        <v>0</v>
      </c>
    </row>
    <row r="24349" spans="1:1" x14ac:dyDescent="0.3">
      <c r="A24349" t="s">
        <v>0</v>
      </c>
    </row>
    <row r="24350" spans="1:1" x14ac:dyDescent="0.3">
      <c r="A24350" t="s">
        <v>0</v>
      </c>
    </row>
    <row r="24351" spans="1:1" x14ac:dyDescent="0.3">
      <c r="A24351" t="s">
        <v>0</v>
      </c>
    </row>
    <row r="24352" spans="1:1" x14ac:dyDescent="0.3">
      <c r="A24352" t="s">
        <v>0</v>
      </c>
    </row>
    <row r="24353" spans="1:1" x14ac:dyDescent="0.3">
      <c r="A24353" t="s">
        <v>0</v>
      </c>
    </row>
    <row r="24354" spans="1:1" x14ac:dyDescent="0.3">
      <c r="A24354" t="s">
        <v>0</v>
      </c>
    </row>
    <row r="24355" spans="1:1" x14ac:dyDescent="0.3">
      <c r="A24355" t="s">
        <v>0</v>
      </c>
    </row>
    <row r="24356" spans="1:1" x14ac:dyDescent="0.3">
      <c r="A24356" t="s">
        <v>0</v>
      </c>
    </row>
    <row r="24357" spans="1:1" x14ac:dyDescent="0.3">
      <c r="A24357" t="s">
        <v>0</v>
      </c>
    </row>
    <row r="24358" spans="1:1" x14ac:dyDescent="0.3">
      <c r="A24358" t="s">
        <v>0</v>
      </c>
    </row>
    <row r="24359" spans="1:1" x14ac:dyDescent="0.3">
      <c r="A24359" t="s">
        <v>0</v>
      </c>
    </row>
    <row r="24360" spans="1:1" x14ac:dyDescent="0.3">
      <c r="A24360" t="s">
        <v>0</v>
      </c>
    </row>
    <row r="24361" spans="1:1" x14ac:dyDescent="0.3">
      <c r="A24361" t="s">
        <v>0</v>
      </c>
    </row>
    <row r="24362" spans="1:1" x14ac:dyDescent="0.3">
      <c r="A24362" t="s">
        <v>0</v>
      </c>
    </row>
    <row r="24363" spans="1:1" x14ac:dyDescent="0.3">
      <c r="A24363" t="s">
        <v>0</v>
      </c>
    </row>
    <row r="24364" spans="1:1" x14ac:dyDescent="0.3">
      <c r="A24364" t="s">
        <v>0</v>
      </c>
    </row>
    <row r="24365" spans="1:1" x14ac:dyDescent="0.3">
      <c r="A24365" t="s">
        <v>0</v>
      </c>
    </row>
    <row r="24366" spans="1:1" x14ac:dyDescent="0.3">
      <c r="A24366" t="s">
        <v>0</v>
      </c>
    </row>
    <row r="24367" spans="1:1" x14ac:dyDescent="0.3">
      <c r="A24367" t="s">
        <v>0</v>
      </c>
    </row>
    <row r="24368" spans="1:1" x14ac:dyDescent="0.3">
      <c r="A24368" t="s">
        <v>0</v>
      </c>
    </row>
    <row r="24369" spans="1:1" x14ac:dyDescent="0.3">
      <c r="A24369" t="s">
        <v>0</v>
      </c>
    </row>
    <row r="24370" spans="1:1" x14ac:dyDescent="0.3">
      <c r="A24370" t="s">
        <v>0</v>
      </c>
    </row>
    <row r="24371" spans="1:1" x14ac:dyDescent="0.3">
      <c r="A24371" t="s">
        <v>0</v>
      </c>
    </row>
    <row r="24372" spans="1:1" x14ac:dyDescent="0.3">
      <c r="A24372" t="s">
        <v>0</v>
      </c>
    </row>
    <row r="24373" spans="1:1" x14ac:dyDescent="0.3">
      <c r="A24373" t="s">
        <v>0</v>
      </c>
    </row>
    <row r="24374" spans="1:1" x14ac:dyDescent="0.3">
      <c r="A24374" t="s">
        <v>0</v>
      </c>
    </row>
    <row r="24375" spans="1:1" x14ac:dyDescent="0.3">
      <c r="A24375" t="s">
        <v>0</v>
      </c>
    </row>
    <row r="24376" spans="1:1" x14ac:dyDescent="0.3">
      <c r="A24376" t="s">
        <v>0</v>
      </c>
    </row>
    <row r="24377" spans="1:1" x14ac:dyDescent="0.3">
      <c r="A24377" t="s">
        <v>0</v>
      </c>
    </row>
    <row r="24378" spans="1:1" x14ac:dyDescent="0.3">
      <c r="A24378" t="s">
        <v>0</v>
      </c>
    </row>
    <row r="24379" spans="1:1" x14ac:dyDescent="0.3">
      <c r="A24379" t="s">
        <v>0</v>
      </c>
    </row>
    <row r="24380" spans="1:1" x14ac:dyDescent="0.3">
      <c r="A24380" t="s">
        <v>0</v>
      </c>
    </row>
    <row r="24381" spans="1:1" x14ac:dyDescent="0.3">
      <c r="A24381" t="s">
        <v>0</v>
      </c>
    </row>
    <row r="24382" spans="1:1" x14ac:dyDescent="0.3">
      <c r="A24382" t="s">
        <v>0</v>
      </c>
    </row>
    <row r="24383" spans="1:1" x14ac:dyDescent="0.3">
      <c r="A24383" t="s">
        <v>0</v>
      </c>
    </row>
    <row r="24384" spans="1:1" x14ac:dyDescent="0.3">
      <c r="A24384" t="s">
        <v>0</v>
      </c>
    </row>
    <row r="24385" spans="1:1" x14ac:dyDescent="0.3">
      <c r="A24385" t="s">
        <v>0</v>
      </c>
    </row>
    <row r="24386" spans="1:1" x14ac:dyDescent="0.3">
      <c r="A24386" t="s">
        <v>0</v>
      </c>
    </row>
    <row r="24387" spans="1:1" x14ac:dyDescent="0.3">
      <c r="A24387" t="s">
        <v>0</v>
      </c>
    </row>
    <row r="24388" spans="1:1" x14ac:dyDescent="0.3">
      <c r="A24388" t="s">
        <v>0</v>
      </c>
    </row>
    <row r="24389" spans="1:1" x14ac:dyDescent="0.3">
      <c r="A24389" t="s">
        <v>0</v>
      </c>
    </row>
    <row r="24390" spans="1:1" x14ac:dyDescent="0.3">
      <c r="A24390" t="s">
        <v>0</v>
      </c>
    </row>
    <row r="24391" spans="1:1" x14ac:dyDescent="0.3">
      <c r="A24391" t="s">
        <v>0</v>
      </c>
    </row>
    <row r="24392" spans="1:1" x14ac:dyDescent="0.3">
      <c r="A24392" t="s">
        <v>0</v>
      </c>
    </row>
    <row r="24393" spans="1:1" x14ac:dyDescent="0.3">
      <c r="A24393" t="s">
        <v>0</v>
      </c>
    </row>
    <row r="24394" spans="1:1" x14ac:dyDescent="0.3">
      <c r="A24394" t="s">
        <v>0</v>
      </c>
    </row>
    <row r="24395" spans="1:1" x14ac:dyDescent="0.3">
      <c r="A24395" t="s">
        <v>0</v>
      </c>
    </row>
    <row r="24396" spans="1:1" x14ac:dyDescent="0.3">
      <c r="A24396" t="s">
        <v>0</v>
      </c>
    </row>
    <row r="24397" spans="1:1" x14ac:dyDescent="0.3">
      <c r="A24397" t="s">
        <v>0</v>
      </c>
    </row>
    <row r="24398" spans="1:1" x14ac:dyDescent="0.3">
      <c r="A24398" t="s">
        <v>0</v>
      </c>
    </row>
    <row r="24399" spans="1:1" x14ac:dyDescent="0.3">
      <c r="A24399" t="s">
        <v>0</v>
      </c>
    </row>
    <row r="24400" spans="1:1" x14ac:dyDescent="0.3">
      <c r="A24400" t="s">
        <v>0</v>
      </c>
    </row>
    <row r="24401" spans="1:1" x14ac:dyDescent="0.3">
      <c r="A24401" t="s">
        <v>0</v>
      </c>
    </row>
    <row r="24402" spans="1:1" x14ac:dyDescent="0.3">
      <c r="A24402" t="s">
        <v>0</v>
      </c>
    </row>
    <row r="24403" spans="1:1" x14ac:dyDescent="0.3">
      <c r="A24403" t="s">
        <v>0</v>
      </c>
    </row>
    <row r="24404" spans="1:1" x14ac:dyDescent="0.3">
      <c r="A24404" t="s">
        <v>0</v>
      </c>
    </row>
    <row r="24405" spans="1:1" x14ac:dyDescent="0.3">
      <c r="A24405" t="s">
        <v>0</v>
      </c>
    </row>
    <row r="24406" spans="1:1" x14ac:dyDescent="0.3">
      <c r="A24406" t="s">
        <v>0</v>
      </c>
    </row>
    <row r="24407" spans="1:1" x14ac:dyDescent="0.3">
      <c r="A24407" t="s">
        <v>0</v>
      </c>
    </row>
    <row r="24408" spans="1:1" x14ac:dyDescent="0.3">
      <c r="A24408" t="s">
        <v>0</v>
      </c>
    </row>
    <row r="24409" spans="1:1" x14ac:dyDescent="0.3">
      <c r="A24409" t="s">
        <v>0</v>
      </c>
    </row>
    <row r="24410" spans="1:1" x14ac:dyDescent="0.3">
      <c r="A24410" t="s">
        <v>0</v>
      </c>
    </row>
    <row r="24411" spans="1:1" x14ac:dyDescent="0.3">
      <c r="A24411" t="s">
        <v>0</v>
      </c>
    </row>
    <row r="24412" spans="1:1" x14ac:dyDescent="0.3">
      <c r="A24412" t="s">
        <v>0</v>
      </c>
    </row>
    <row r="24413" spans="1:1" x14ac:dyDescent="0.3">
      <c r="A24413" t="s">
        <v>0</v>
      </c>
    </row>
    <row r="24414" spans="1:1" x14ac:dyDescent="0.3">
      <c r="A24414" t="s">
        <v>0</v>
      </c>
    </row>
    <row r="24415" spans="1:1" x14ac:dyDescent="0.3">
      <c r="A24415" t="s">
        <v>0</v>
      </c>
    </row>
    <row r="24416" spans="1:1" x14ac:dyDescent="0.3">
      <c r="A24416" t="s">
        <v>0</v>
      </c>
    </row>
    <row r="24417" spans="1:1" x14ac:dyDescent="0.3">
      <c r="A24417" t="s">
        <v>0</v>
      </c>
    </row>
    <row r="24418" spans="1:1" x14ac:dyDescent="0.3">
      <c r="A24418" t="s">
        <v>0</v>
      </c>
    </row>
    <row r="24419" spans="1:1" x14ac:dyDescent="0.3">
      <c r="A24419" t="s">
        <v>0</v>
      </c>
    </row>
    <row r="24420" spans="1:1" x14ac:dyDescent="0.3">
      <c r="A24420" t="s">
        <v>0</v>
      </c>
    </row>
    <row r="24421" spans="1:1" x14ac:dyDescent="0.3">
      <c r="A24421" t="s">
        <v>0</v>
      </c>
    </row>
    <row r="24422" spans="1:1" x14ac:dyDescent="0.3">
      <c r="A24422" t="s">
        <v>0</v>
      </c>
    </row>
    <row r="24423" spans="1:1" x14ac:dyDescent="0.3">
      <c r="A24423" t="s">
        <v>0</v>
      </c>
    </row>
    <row r="24424" spans="1:1" x14ac:dyDescent="0.3">
      <c r="A24424" t="s">
        <v>0</v>
      </c>
    </row>
    <row r="24425" spans="1:1" x14ac:dyDescent="0.3">
      <c r="A24425" t="s">
        <v>0</v>
      </c>
    </row>
    <row r="24426" spans="1:1" x14ac:dyDescent="0.3">
      <c r="A24426" t="s">
        <v>0</v>
      </c>
    </row>
    <row r="24427" spans="1:1" x14ac:dyDescent="0.3">
      <c r="A24427" t="s">
        <v>0</v>
      </c>
    </row>
    <row r="24428" spans="1:1" x14ac:dyDescent="0.3">
      <c r="A24428" t="s">
        <v>0</v>
      </c>
    </row>
    <row r="24429" spans="1:1" x14ac:dyDescent="0.3">
      <c r="A24429" t="s">
        <v>0</v>
      </c>
    </row>
    <row r="24430" spans="1:1" x14ac:dyDescent="0.3">
      <c r="A24430" t="s">
        <v>0</v>
      </c>
    </row>
    <row r="24431" spans="1:1" x14ac:dyDescent="0.3">
      <c r="A24431" t="s">
        <v>0</v>
      </c>
    </row>
    <row r="24432" spans="1:1" x14ac:dyDescent="0.3">
      <c r="A24432" t="s">
        <v>0</v>
      </c>
    </row>
    <row r="24433" spans="1:1" x14ac:dyDescent="0.3">
      <c r="A24433" t="s">
        <v>0</v>
      </c>
    </row>
    <row r="24434" spans="1:1" x14ac:dyDescent="0.3">
      <c r="A24434" t="s">
        <v>0</v>
      </c>
    </row>
    <row r="24435" spans="1:1" x14ac:dyDescent="0.3">
      <c r="A24435" t="s">
        <v>0</v>
      </c>
    </row>
    <row r="24436" spans="1:1" x14ac:dyDescent="0.3">
      <c r="A24436" t="s">
        <v>0</v>
      </c>
    </row>
    <row r="24437" spans="1:1" x14ac:dyDescent="0.3">
      <c r="A24437" t="s">
        <v>0</v>
      </c>
    </row>
    <row r="24438" spans="1:1" x14ac:dyDescent="0.3">
      <c r="A24438" t="s">
        <v>0</v>
      </c>
    </row>
    <row r="24439" spans="1:1" x14ac:dyDescent="0.3">
      <c r="A24439" t="s">
        <v>0</v>
      </c>
    </row>
    <row r="24440" spans="1:1" x14ac:dyDescent="0.3">
      <c r="A24440" t="s">
        <v>0</v>
      </c>
    </row>
    <row r="24441" spans="1:1" x14ac:dyDescent="0.3">
      <c r="A24441" t="s">
        <v>0</v>
      </c>
    </row>
    <row r="24442" spans="1:1" x14ac:dyDescent="0.3">
      <c r="A24442" t="s">
        <v>0</v>
      </c>
    </row>
    <row r="24443" spans="1:1" x14ac:dyDescent="0.3">
      <c r="A24443" t="s">
        <v>0</v>
      </c>
    </row>
    <row r="24444" spans="1:1" x14ac:dyDescent="0.3">
      <c r="A24444" t="s">
        <v>0</v>
      </c>
    </row>
    <row r="24445" spans="1:1" x14ac:dyDescent="0.3">
      <c r="A24445" t="s">
        <v>0</v>
      </c>
    </row>
    <row r="24446" spans="1:1" x14ac:dyDescent="0.3">
      <c r="A24446" t="s">
        <v>0</v>
      </c>
    </row>
    <row r="24447" spans="1:1" x14ac:dyDescent="0.3">
      <c r="A24447" t="s">
        <v>0</v>
      </c>
    </row>
    <row r="24448" spans="1:1" x14ac:dyDescent="0.3">
      <c r="A24448" t="s">
        <v>0</v>
      </c>
    </row>
    <row r="24449" spans="1:1" x14ac:dyDescent="0.3">
      <c r="A24449" t="s">
        <v>0</v>
      </c>
    </row>
    <row r="24450" spans="1:1" x14ac:dyDescent="0.3">
      <c r="A24450" t="s">
        <v>0</v>
      </c>
    </row>
    <row r="24451" spans="1:1" x14ac:dyDescent="0.3">
      <c r="A24451" t="s">
        <v>0</v>
      </c>
    </row>
    <row r="24452" spans="1:1" x14ac:dyDescent="0.3">
      <c r="A24452" t="s">
        <v>0</v>
      </c>
    </row>
    <row r="24453" spans="1:1" x14ac:dyDescent="0.3">
      <c r="A24453" t="s">
        <v>0</v>
      </c>
    </row>
    <row r="24454" spans="1:1" x14ac:dyDescent="0.3">
      <c r="A24454" t="s">
        <v>0</v>
      </c>
    </row>
    <row r="24455" spans="1:1" x14ac:dyDescent="0.3">
      <c r="A24455" t="s">
        <v>0</v>
      </c>
    </row>
    <row r="24456" spans="1:1" x14ac:dyDescent="0.3">
      <c r="A24456" t="s">
        <v>0</v>
      </c>
    </row>
    <row r="24457" spans="1:1" x14ac:dyDescent="0.3">
      <c r="A24457" t="s">
        <v>0</v>
      </c>
    </row>
    <row r="24458" spans="1:1" x14ac:dyDescent="0.3">
      <c r="A24458" t="s">
        <v>0</v>
      </c>
    </row>
    <row r="24459" spans="1:1" x14ac:dyDescent="0.3">
      <c r="A24459" t="s">
        <v>0</v>
      </c>
    </row>
    <row r="24460" spans="1:1" x14ac:dyDescent="0.3">
      <c r="A24460" t="s">
        <v>0</v>
      </c>
    </row>
    <row r="24461" spans="1:1" x14ac:dyDescent="0.3">
      <c r="A24461" t="s">
        <v>0</v>
      </c>
    </row>
    <row r="24462" spans="1:1" x14ac:dyDescent="0.3">
      <c r="A24462" t="s">
        <v>0</v>
      </c>
    </row>
    <row r="24463" spans="1:1" x14ac:dyDescent="0.3">
      <c r="A24463" t="s">
        <v>0</v>
      </c>
    </row>
    <row r="24464" spans="1:1" x14ac:dyDescent="0.3">
      <c r="A24464" t="s">
        <v>0</v>
      </c>
    </row>
    <row r="24465" spans="1:1" x14ac:dyDescent="0.3">
      <c r="A24465" t="s">
        <v>0</v>
      </c>
    </row>
    <row r="24466" spans="1:1" x14ac:dyDescent="0.3">
      <c r="A24466" t="s">
        <v>0</v>
      </c>
    </row>
    <row r="24467" spans="1:1" x14ac:dyDescent="0.3">
      <c r="A24467" t="s">
        <v>0</v>
      </c>
    </row>
    <row r="24468" spans="1:1" x14ac:dyDescent="0.3">
      <c r="A24468" t="s">
        <v>0</v>
      </c>
    </row>
    <row r="24469" spans="1:1" x14ac:dyDescent="0.3">
      <c r="A24469" t="s">
        <v>0</v>
      </c>
    </row>
    <row r="24470" spans="1:1" x14ac:dyDescent="0.3">
      <c r="A24470" t="s">
        <v>0</v>
      </c>
    </row>
    <row r="24471" spans="1:1" x14ac:dyDescent="0.3">
      <c r="A24471" t="s">
        <v>0</v>
      </c>
    </row>
    <row r="24472" spans="1:1" x14ac:dyDescent="0.3">
      <c r="A24472" t="s">
        <v>0</v>
      </c>
    </row>
    <row r="24473" spans="1:1" x14ac:dyDescent="0.3">
      <c r="A24473" t="s">
        <v>0</v>
      </c>
    </row>
    <row r="24474" spans="1:1" x14ac:dyDescent="0.3">
      <c r="A24474" t="s">
        <v>0</v>
      </c>
    </row>
    <row r="24475" spans="1:1" x14ac:dyDescent="0.3">
      <c r="A24475" t="s">
        <v>0</v>
      </c>
    </row>
    <row r="24476" spans="1:1" x14ac:dyDescent="0.3">
      <c r="A24476" t="s">
        <v>0</v>
      </c>
    </row>
    <row r="24477" spans="1:1" x14ac:dyDescent="0.3">
      <c r="A24477" t="s">
        <v>0</v>
      </c>
    </row>
    <row r="24478" spans="1:1" x14ac:dyDescent="0.3">
      <c r="A24478" t="s">
        <v>0</v>
      </c>
    </row>
    <row r="24479" spans="1:1" x14ac:dyDescent="0.3">
      <c r="A24479" t="s">
        <v>0</v>
      </c>
    </row>
    <row r="24480" spans="1:1" x14ac:dyDescent="0.3">
      <c r="A24480" t="s">
        <v>0</v>
      </c>
    </row>
    <row r="24481" spans="1:1" x14ac:dyDescent="0.3">
      <c r="A24481" t="s">
        <v>0</v>
      </c>
    </row>
    <row r="24482" spans="1:1" x14ac:dyDescent="0.3">
      <c r="A24482" t="s">
        <v>0</v>
      </c>
    </row>
    <row r="24483" spans="1:1" x14ac:dyDescent="0.3">
      <c r="A24483" t="s">
        <v>0</v>
      </c>
    </row>
    <row r="24484" spans="1:1" x14ac:dyDescent="0.3">
      <c r="A24484" t="s">
        <v>0</v>
      </c>
    </row>
    <row r="24485" spans="1:1" x14ac:dyDescent="0.3">
      <c r="A24485" t="s">
        <v>0</v>
      </c>
    </row>
    <row r="24486" spans="1:1" x14ac:dyDescent="0.3">
      <c r="A24486" t="s">
        <v>0</v>
      </c>
    </row>
    <row r="24487" spans="1:1" x14ac:dyDescent="0.3">
      <c r="A24487" t="s">
        <v>0</v>
      </c>
    </row>
    <row r="24488" spans="1:1" x14ac:dyDescent="0.3">
      <c r="A24488" t="s">
        <v>0</v>
      </c>
    </row>
    <row r="24489" spans="1:1" x14ac:dyDescent="0.3">
      <c r="A24489" t="s">
        <v>0</v>
      </c>
    </row>
    <row r="24490" spans="1:1" x14ac:dyDescent="0.3">
      <c r="A24490" t="s">
        <v>0</v>
      </c>
    </row>
    <row r="24491" spans="1:1" x14ac:dyDescent="0.3">
      <c r="A24491" t="s">
        <v>0</v>
      </c>
    </row>
    <row r="24492" spans="1:1" x14ac:dyDescent="0.3">
      <c r="A24492" t="s">
        <v>0</v>
      </c>
    </row>
    <row r="24493" spans="1:1" x14ac:dyDescent="0.3">
      <c r="A24493" t="s">
        <v>0</v>
      </c>
    </row>
    <row r="24494" spans="1:1" x14ac:dyDescent="0.3">
      <c r="A24494" t="s">
        <v>0</v>
      </c>
    </row>
    <row r="24495" spans="1:1" x14ac:dyDescent="0.3">
      <c r="A24495" t="s">
        <v>0</v>
      </c>
    </row>
    <row r="24496" spans="1:1" x14ac:dyDescent="0.3">
      <c r="A24496" t="s">
        <v>0</v>
      </c>
    </row>
    <row r="24497" spans="1:1" x14ac:dyDescent="0.3">
      <c r="A24497" t="s">
        <v>0</v>
      </c>
    </row>
    <row r="24498" spans="1:1" x14ac:dyDescent="0.3">
      <c r="A24498" t="s">
        <v>0</v>
      </c>
    </row>
    <row r="24499" spans="1:1" x14ac:dyDescent="0.3">
      <c r="A24499" t="s">
        <v>0</v>
      </c>
    </row>
    <row r="24500" spans="1:1" x14ac:dyDescent="0.3">
      <c r="A24500" t="s">
        <v>0</v>
      </c>
    </row>
    <row r="24501" spans="1:1" x14ac:dyDescent="0.3">
      <c r="A24501" t="s">
        <v>0</v>
      </c>
    </row>
    <row r="24502" spans="1:1" x14ac:dyDescent="0.3">
      <c r="A24502" t="s">
        <v>0</v>
      </c>
    </row>
    <row r="24503" spans="1:1" x14ac:dyDescent="0.3">
      <c r="A24503" t="s">
        <v>0</v>
      </c>
    </row>
    <row r="24504" spans="1:1" x14ac:dyDescent="0.3">
      <c r="A24504" t="s">
        <v>0</v>
      </c>
    </row>
    <row r="24505" spans="1:1" x14ac:dyDescent="0.3">
      <c r="A24505" t="s">
        <v>0</v>
      </c>
    </row>
    <row r="24506" spans="1:1" x14ac:dyDescent="0.3">
      <c r="A24506" t="s">
        <v>0</v>
      </c>
    </row>
    <row r="24507" spans="1:1" x14ac:dyDescent="0.3">
      <c r="A24507" t="s">
        <v>0</v>
      </c>
    </row>
    <row r="24508" spans="1:1" x14ac:dyDescent="0.3">
      <c r="A24508" t="s">
        <v>0</v>
      </c>
    </row>
    <row r="24509" spans="1:1" x14ac:dyDescent="0.3">
      <c r="A24509" t="s">
        <v>0</v>
      </c>
    </row>
    <row r="24510" spans="1:1" x14ac:dyDescent="0.3">
      <c r="A24510" t="s">
        <v>0</v>
      </c>
    </row>
    <row r="24511" spans="1:1" x14ac:dyDescent="0.3">
      <c r="A24511" t="s">
        <v>0</v>
      </c>
    </row>
    <row r="24512" spans="1:1" x14ac:dyDescent="0.3">
      <c r="A24512" t="s">
        <v>0</v>
      </c>
    </row>
    <row r="24513" spans="1:1" x14ac:dyDescent="0.3">
      <c r="A24513" t="s">
        <v>0</v>
      </c>
    </row>
    <row r="24514" spans="1:1" x14ac:dyDescent="0.3">
      <c r="A24514" t="s">
        <v>0</v>
      </c>
    </row>
    <row r="24515" spans="1:1" x14ac:dyDescent="0.3">
      <c r="A24515" t="s">
        <v>0</v>
      </c>
    </row>
    <row r="24516" spans="1:1" x14ac:dyDescent="0.3">
      <c r="A24516" t="s">
        <v>0</v>
      </c>
    </row>
    <row r="24517" spans="1:1" x14ac:dyDescent="0.3">
      <c r="A24517" t="s">
        <v>0</v>
      </c>
    </row>
    <row r="24518" spans="1:1" x14ac:dyDescent="0.3">
      <c r="A24518" t="s">
        <v>0</v>
      </c>
    </row>
    <row r="24519" spans="1:1" x14ac:dyDescent="0.3">
      <c r="A24519" t="s">
        <v>0</v>
      </c>
    </row>
    <row r="24520" spans="1:1" x14ac:dyDescent="0.3">
      <c r="A24520" t="s">
        <v>0</v>
      </c>
    </row>
    <row r="24521" spans="1:1" x14ac:dyDescent="0.3">
      <c r="A24521" t="s">
        <v>0</v>
      </c>
    </row>
    <row r="24522" spans="1:1" x14ac:dyDescent="0.3">
      <c r="A24522" t="s">
        <v>0</v>
      </c>
    </row>
    <row r="24523" spans="1:1" x14ac:dyDescent="0.3">
      <c r="A24523" t="s">
        <v>0</v>
      </c>
    </row>
    <row r="24524" spans="1:1" x14ac:dyDescent="0.3">
      <c r="A24524" t="s">
        <v>0</v>
      </c>
    </row>
    <row r="24525" spans="1:1" x14ac:dyDescent="0.3">
      <c r="A24525" t="s">
        <v>0</v>
      </c>
    </row>
    <row r="24526" spans="1:1" x14ac:dyDescent="0.3">
      <c r="A24526" t="s">
        <v>0</v>
      </c>
    </row>
    <row r="24527" spans="1:1" x14ac:dyDescent="0.3">
      <c r="A24527" t="s">
        <v>0</v>
      </c>
    </row>
    <row r="24528" spans="1:1" x14ac:dyDescent="0.3">
      <c r="A24528" t="s">
        <v>0</v>
      </c>
    </row>
    <row r="24529" spans="1:1" x14ac:dyDescent="0.3">
      <c r="A24529" t="s">
        <v>0</v>
      </c>
    </row>
    <row r="24530" spans="1:1" x14ac:dyDescent="0.3">
      <c r="A24530" t="s">
        <v>0</v>
      </c>
    </row>
    <row r="24531" spans="1:1" x14ac:dyDescent="0.3">
      <c r="A24531" t="s">
        <v>0</v>
      </c>
    </row>
    <row r="24532" spans="1:1" x14ac:dyDescent="0.3">
      <c r="A24532" t="s">
        <v>0</v>
      </c>
    </row>
    <row r="24533" spans="1:1" x14ac:dyDescent="0.3">
      <c r="A24533" t="s">
        <v>0</v>
      </c>
    </row>
    <row r="24534" spans="1:1" x14ac:dyDescent="0.3">
      <c r="A24534" t="s">
        <v>0</v>
      </c>
    </row>
    <row r="24535" spans="1:1" x14ac:dyDescent="0.3">
      <c r="A24535" t="s">
        <v>0</v>
      </c>
    </row>
    <row r="24536" spans="1:1" x14ac:dyDescent="0.3">
      <c r="A24536" t="s">
        <v>0</v>
      </c>
    </row>
    <row r="24537" spans="1:1" x14ac:dyDescent="0.3">
      <c r="A24537" t="s">
        <v>0</v>
      </c>
    </row>
    <row r="24538" spans="1:1" x14ac:dyDescent="0.3">
      <c r="A24538" t="s">
        <v>0</v>
      </c>
    </row>
    <row r="24539" spans="1:1" x14ac:dyDescent="0.3">
      <c r="A24539" t="s">
        <v>0</v>
      </c>
    </row>
    <row r="24540" spans="1:1" x14ac:dyDescent="0.3">
      <c r="A24540" t="s">
        <v>0</v>
      </c>
    </row>
    <row r="24541" spans="1:1" x14ac:dyDescent="0.3">
      <c r="A24541" t="s">
        <v>0</v>
      </c>
    </row>
    <row r="24542" spans="1:1" x14ac:dyDescent="0.3">
      <c r="A24542" t="s">
        <v>0</v>
      </c>
    </row>
    <row r="24543" spans="1:1" x14ac:dyDescent="0.3">
      <c r="A24543" t="s">
        <v>0</v>
      </c>
    </row>
    <row r="24544" spans="1:1" x14ac:dyDescent="0.3">
      <c r="A24544" t="s">
        <v>0</v>
      </c>
    </row>
    <row r="24545" spans="1:1" x14ac:dyDescent="0.3">
      <c r="A24545" t="s">
        <v>0</v>
      </c>
    </row>
    <row r="24546" spans="1:1" x14ac:dyDescent="0.3">
      <c r="A24546" t="s">
        <v>0</v>
      </c>
    </row>
    <row r="24547" spans="1:1" x14ac:dyDescent="0.3">
      <c r="A24547" t="s">
        <v>0</v>
      </c>
    </row>
    <row r="24548" spans="1:1" x14ac:dyDescent="0.3">
      <c r="A24548" t="s">
        <v>0</v>
      </c>
    </row>
    <row r="24549" spans="1:1" x14ac:dyDescent="0.3">
      <c r="A24549" t="s">
        <v>0</v>
      </c>
    </row>
    <row r="24550" spans="1:1" x14ac:dyDescent="0.3">
      <c r="A24550" t="s">
        <v>0</v>
      </c>
    </row>
    <row r="24551" spans="1:1" x14ac:dyDescent="0.3">
      <c r="A24551" t="s">
        <v>0</v>
      </c>
    </row>
    <row r="24552" spans="1:1" x14ac:dyDescent="0.3">
      <c r="A24552" t="s">
        <v>0</v>
      </c>
    </row>
    <row r="24553" spans="1:1" x14ac:dyDescent="0.3">
      <c r="A24553" t="s">
        <v>0</v>
      </c>
    </row>
    <row r="24554" spans="1:1" x14ac:dyDescent="0.3">
      <c r="A24554" t="s">
        <v>0</v>
      </c>
    </row>
    <row r="24555" spans="1:1" x14ac:dyDescent="0.3">
      <c r="A24555" t="s">
        <v>0</v>
      </c>
    </row>
    <row r="24556" spans="1:1" x14ac:dyDescent="0.3">
      <c r="A24556" t="s">
        <v>0</v>
      </c>
    </row>
    <row r="24557" spans="1:1" x14ac:dyDescent="0.3">
      <c r="A24557" t="s">
        <v>0</v>
      </c>
    </row>
    <row r="24558" spans="1:1" x14ac:dyDescent="0.3">
      <c r="A24558" t="s">
        <v>0</v>
      </c>
    </row>
    <row r="24559" spans="1:1" x14ac:dyDescent="0.3">
      <c r="A24559" t="s">
        <v>0</v>
      </c>
    </row>
    <row r="24560" spans="1:1" x14ac:dyDescent="0.3">
      <c r="A24560" t="s">
        <v>0</v>
      </c>
    </row>
    <row r="24561" spans="1:1" x14ac:dyDescent="0.3">
      <c r="A24561" t="s">
        <v>0</v>
      </c>
    </row>
    <row r="24562" spans="1:1" x14ac:dyDescent="0.3">
      <c r="A24562" t="s">
        <v>0</v>
      </c>
    </row>
    <row r="24563" spans="1:1" x14ac:dyDescent="0.3">
      <c r="A24563" t="s">
        <v>0</v>
      </c>
    </row>
    <row r="24564" spans="1:1" x14ac:dyDescent="0.3">
      <c r="A24564" t="s">
        <v>0</v>
      </c>
    </row>
    <row r="24565" spans="1:1" x14ac:dyDescent="0.3">
      <c r="A24565" t="s">
        <v>0</v>
      </c>
    </row>
    <row r="24566" spans="1:1" x14ac:dyDescent="0.3">
      <c r="A24566" t="s">
        <v>0</v>
      </c>
    </row>
    <row r="24567" spans="1:1" x14ac:dyDescent="0.3">
      <c r="A24567" t="s">
        <v>0</v>
      </c>
    </row>
    <row r="24568" spans="1:1" x14ac:dyDescent="0.3">
      <c r="A24568" t="s">
        <v>0</v>
      </c>
    </row>
    <row r="24569" spans="1:1" x14ac:dyDescent="0.3">
      <c r="A24569" t="s">
        <v>0</v>
      </c>
    </row>
    <row r="24570" spans="1:1" x14ac:dyDescent="0.3">
      <c r="A24570" t="s">
        <v>0</v>
      </c>
    </row>
    <row r="24571" spans="1:1" x14ac:dyDescent="0.3">
      <c r="A24571" t="s">
        <v>0</v>
      </c>
    </row>
    <row r="24572" spans="1:1" x14ac:dyDescent="0.3">
      <c r="A24572" t="s">
        <v>0</v>
      </c>
    </row>
    <row r="24573" spans="1:1" x14ac:dyDescent="0.3">
      <c r="A24573" t="s">
        <v>0</v>
      </c>
    </row>
    <row r="24574" spans="1:1" x14ac:dyDescent="0.3">
      <c r="A24574" t="s">
        <v>0</v>
      </c>
    </row>
    <row r="24575" spans="1:1" x14ac:dyDescent="0.3">
      <c r="A24575" t="s">
        <v>0</v>
      </c>
    </row>
    <row r="24576" spans="1:1" x14ac:dyDescent="0.3">
      <c r="A24576" t="s">
        <v>0</v>
      </c>
    </row>
    <row r="24577" spans="1:1" x14ac:dyDescent="0.3">
      <c r="A24577" t="s">
        <v>0</v>
      </c>
    </row>
    <row r="24578" spans="1:1" x14ac:dyDescent="0.3">
      <c r="A24578" t="s">
        <v>0</v>
      </c>
    </row>
    <row r="24579" spans="1:1" x14ac:dyDescent="0.3">
      <c r="A24579" t="s">
        <v>0</v>
      </c>
    </row>
    <row r="24580" spans="1:1" x14ac:dyDescent="0.3">
      <c r="A24580" t="s">
        <v>0</v>
      </c>
    </row>
    <row r="24581" spans="1:1" x14ac:dyDescent="0.3">
      <c r="A24581" t="s">
        <v>0</v>
      </c>
    </row>
    <row r="24582" spans="1:1" x14ac:dyDescent="0.3">
      <c r="A24582" t="s">
        <v>0</v>
      </c>
    </row>
    <row r="24583" spans="1:1" x14ac:dyDescent="0.3">
      <c r="A24583" t="s">
        <v>0</v>
      </c>
    </row>
    <row r="24584" spans="1:1" x14ac:dyDescent="0.3">
      <c r="A24584" t="s">
        <v>0</v>
      </c>
    </row>
    <row r="24585" spans="1:1" x14ac:dyDescent="0.3">
      <c r="A24585" t="s">
        <v>0</v>
      </c>
    </row>
    <row r="24586" spans="1:1" x14ac:dyDescent="0.3">
      <c r="A24586" t="s">
        <v>0</v>
      </c>
    </row>
    <row r="24587" spans="1:1" x14ac:dyDescent="0.3">
      <c r="A24587" t="s">
        <v>0</v>
      </c>
    </row>
    <row r="24588" spans="1:1" x14ac:dyDescent="0.3">
      <c r="A24588" t="s">
        <v>0</v>
      </c>
    </row>
    <row r="24589" spans="1:1" x14ac:dyDescent="0.3">
      <c r="A24589" t="s">
        <v>0</v>
      </c>
    </row>
    <row r="24590" spans="1:1" x14ac:dyDescent="0.3">
      <c r="A24590" t="s">
        <v>0</v>
      </c>
    </row>
    <row r="24591" spans="1:1" x14ac:dyDescent="0.3">
      <c r="A24591" t="s">
        <v>0</v>
      </c>
    </row>
    <row r="24592" spans="1:1" x14ac:dyDescent="0.3">
      <c r="A24592" t="s">
        <v>0</v>
      </c>
    </row>
    <row r="24593" spans="1:1" x14ac:dyDescent="0.3">
      <c r="A24593" t="s">
        <v>0</v>
      </c>
    </row>
    <row r="24594" spans="1:1" x14ac:dyDescent="0.3">
      <c r="A24594" t="s">
        <v>0</v>
      </c>
    </row>
    <row r="24595" spans="1:1" x14ac:dyDescent="0.3">
      <c r="A24595" t="s">
        <v>0</v>
      </c>
    </row>
    <row r="24596" spans="1:1" x14ac:dyDescent="0.3">
      <c r="A24596" t="s">
        <v>0</v>
      </c>
    </row>
    <row r="24597" spans="1:1" x14ac:dyDescent="0.3">
      <c r="A24597" t="s">
        <v>0</v>
      </c>
    </row>
    <row r="24598" spans="1:1" x14ac:dyDescent="0.3">
      <c r="A24598" t="s">
        <v>0</v>
      </c>
    </row>
    <row r="24599" spans="1:1" x14ac:dyDescent="0.3">
      <c r="A24599" t="s">
        <v>0</v>
      </c>
    </row>
    <row r="24600" spans="1:1" x14ac:dyDescent="0.3">
      <c r="A24600" t="s">
        <v>0</v>
      </c>
    </row>
    <row r="24601" spans="1:1" x14ac:dyDescent="0.3">
      <c r="A24601" t="s">
        <v>0</v>
      </c>
    </row>
    <row r="24602" spans="1:1" x14ac:dyDescent="0.3">
      <c r="A24602" t="s">
        <v>0</v>
      </c>
    </row>
    <row r="24603" spans="1:1" x14ac:dyDescent="0.3">
      <c r="A24603" t="s">
        <v>0</v>
      </c>
    </row>
    <row r="24604" spans="1:1" x14ac:dyDescent="0.3">
      <c r="A24604" t="s">
        <v>0</v>
      </c>
    </row>
    <row r="24605" spans="1:1" x14ac:dyDescent="0.3">
      <c r="A24605" t="s">
        <v>0</v>
      </c>
    </row>
    <row r="24606" spans="1:1" x14ac:dyDescent="0.3">
      <c r="A24606" t="s">
        <v>0</v>
      </c>
    </row>
    <row r="24607" spans="1:1" x14ac:dyDescent="0.3">
      <c r="A24607" t="s">
        <v>0</v>
      </c>
    </row>
    <row r="24608" spans="1:1" x14ac:dyDescent="0.3">
      <c r="A24608" t="s">
        <v>0</v>
      </c>
    </row>
    <row r="24609" spans="1:1" x14ac:dyDescent="0.3">
      <c r="A24609" t="s">
        <v>0</v>
      </c>
    </row>
    <row r="24610" spans="1:1" x14ac:dyDescent="0.3">
      <c r="A24610" t="s">
        <v>0</v>
      </c>
    </row>
    <row r="24611" spans="1:1" x14ac:dyDescent="0.3">
      <c r="A24611" t="s">
        <v>0</v>
      </c>
    </row>
    <row r="24612" spans="1:1" x14ac:dyDescent="0.3">
      <c r="A24612" t="s">
        <v>0</v>
      </c>
    </row>
    <row r="24613" spans="1:1" x14ac:dyDescent="0.3">
      <c r="A24613" t="s">
        <v>0</v>
      </c>
    </row>
    <row r="24614" spans="1:1" x14ac:dyDescent="0.3">
      <c r="A24614" t="s">
        <v>0</v>
      </c>
    </row>
    <row r="24615" spans="1:1" x14ac:dyDescent="0.3">
      <c r="A24615" t="s">
        <v>0</v>
      </c>
    </row>
    <row r="24616" spans="1:1" x14ac:dyDescent="0.3">
      <c r="A24616" t="s">
        <v>0</v>
      </c>
    </row>
    <row r="24617" spans="1:1" x14ac:dyDescent="0.3">
      <c r="A24617" t="s">
        <v>0</v>
      </c>
    </row>
    <row r="24618" spans="1:1" x14ac:dyDescent="0.3">
      <c r="A24618" t="s">
        <v>0</v>
      </c>
    </row>
    <row r="24619" spans="1:1" x14ac:dyDescent="0.3">
      <c r="A24619" t="s">
        <v>0</v>
      </c>
    </row>
    <row r="24620" spans="1:1" x14ac:dyDescent="0.3">
      <c r="A24620" t="s">
        <v>0</v>
      </c>
    </row>
    <row r="24621" spans="1:1" x14ac:dyDescent="0.3">
      <c r="A24621" t="s">
        <v>0</v>
      </c>
    </row>
    <row r="24622" spans="1:1" x14ac:dyDescent="0.3">
      <c r="A24622" t="s">
        <v>0</v>
      </c>
    </row>
    <row r="24623" spans="1:1" x14ac:dyDescent="0.3">
      <c r="A24623" t="s">
        <v>0</v>
      </c>
    </row>
    <row r="24624" spans="1:1" x14ac:dyDescent="0.3">
      <c r="A24624" t="s">
        <v>0</v>
      </c>
    </row>
    <row r="24625" spans="1:1" x14ac:dyDescent="0.3">
      <c r="A24625" t="s">
        <v>0</v>
      </c>
    </row>
    <row r="24626" spans="1:1" x14ac:dyDescent="0.3">
      <c r="A24626" t="s">
        <v>0</v>
      </c>
    </row>
    <row r="24627" spans="1:1" x14ac:dyDescent="0.3">
      <c r="A24627" t="s">
        <v>0</v>
      </c>
    </row>
    <row r="24628" spans="1:1" x14ac:dyDescent="0.3">
      <c r="A24628" t="s">
        <v>0</v>
      </c>
    </row>
    <row r="24629" spans="1:1" x14ac:dyDescent="0.3">
      <c r="A24629" t="s">
        <v>0</v>
      </c>
    </row>
    <row r="24630" spans="1:1" x14ac:dyDescent="0.3">
      <c r="A24630" t="s">
        <v>0</v>
      </c>
    </row>
    <row r="24631" spans="1:1" x14ac:dyDescent="0.3">
      <c r="A24631" t="s">
        <v>0</v>
      </c>
    </row>
    <row r="24632" spans="1:1" x14ac:dyDescent="0.3">
      <c r="A24632" t="s">
        <v>0</v>
      </c>
    </row>
    <row r="24633" spans="1:1" x14ac:dyDescent="0.3">
      <c r="A24633" t="s">
        <v>0</v>
      </c>
    </row>
    <row r="24634" spans="1:1" x14ac:dyDescent="0.3">
      <c r="A24634" t="s">
        <v>0</v>
      </c>
    </row>
    <row r="24635" spans="1:1" x14ac:dyDescent="0.3">
      <c r="A24635" t="s">
        <v>0</v>
      </c>
    </row>
    <row r="24636" spans="1:1" x14ac:dyDescent="0.3">
      <c r="A24636" t="s">
        <v>0</v>
      </c>
    </row>
    <row r="24637" spans="1:1" x14ac:dyDescent="0.3">
      <c r="A24637" t="s">
        <v>0</v>
      </c>
    </row>
    <row r="24638" spans="1:1" x14ac:dyDescent="0.3">
      <c r="A24638" t="s">
        <v>0</v>
      </c>
    </row>
    <row r="24639" spans="1:1" x14ac:dyDescent="0.3">
      <c r="A24639" t="s">
        <v>0</v>
      </c>
    </row>
    <row r="24640" spans="1:1" x14ac:dyDescent="0.3">
      <c r="A24640" t="s">
        <v>0</v>
      </c>
    </row>
    <row r="24641" spans="1:1" x14ac:dyDescent="0.3">
      <c r="A24641" t="s">
        <v>0</v>
      </c>
    </row>
    <row r="24642" spans="1:1" x14ac:dyDescent="0.3">
      <c r="A24642" t="s">
        <v>0</v>
      </c>
    </row>
    <row r="24643" spans="1:1" x14ac:dyDescent="0.3">
      <c r="A24643" t="s">
        <v>0</v>
      </c>
    </row>
    <row r="24644" spans="1:1" x14ac:dyDescent="0.3">
      <c r="A24644" t="s">
        <v>0</v>
      </c>
    </row>
    <row r="24645" spans="1:1" x14ac:dyDescent="0.3">
      <c r="A24645" t="s">
        <v>0</v>
      </c>
    </row>
    <row r="24646" spans="1:1" x14ac:dyDescent="0.3">
      <c r="A24646" t="s">
        <v>0</v>
      </c>
    </row>
    <row r="24647" spans="1:1" x14ac:dyDescent="0.3">
      <c r="A24647" t="s">
        <v>0</v>
      </c>
    </row>
    <row r="24648" spans="1:1" x14ac:dyDescent="0.3">
      <c r="A24648" t="s">
        <v>0</v>
      </c>
    </row>
    <row r="24649" spans="1:1" x14ac:dyDescent="0.3">
      <c r="A24649" t="s">
        <v>0</v>
      </c>
    </row>
    <row r="24650" spans="1:1" x14ac:dyDescent="0.3">
      <c r="A24650" t="s">
        <v>0</v>
      </c>
    </row>
    <row r="24651" spans="1:1" x14ac:dyDescent="0.3">
      <c r="A24651" t="s">
        <v>0</v>
      </c>
    </row>
    <row r="24652" spans="1:1" x14ac:dyDescent="0.3">
      <c r="A24652" t="s">
        <v>0</v>
      </c>
    </row>
    <row r="24653" spans="1:1" x14ac:dyDescent="0.3">
      <c r="A24653" t="s">
        <v>0</v>
      </c>
    </row>
    <row r="24654" spans="1:1" x14ac:dyDescent="0.3">
      <c r="A24654" t="s">
        <v>0</v>
      </c>
    </row>
    <row r="24655" spans="1:1" x14ac:dyDescent="0.3">
      <c r="A24655" t="s">
        <v>0</v>
      </c>
    </row>
    <row r="24656" spans="1:1" x14ac:dyDescent="0.3">
      <c r="A24656" t="s">
        <v>0</v>
      </c>
    </row>
    <row r="24657" spans="1:1" x14ac:dyDescent="0.3">
      <c r="A24657" t="s">
        <v>0</v>
      </c>
    </row>
    <row r="24658" spans="1:1" x14ac:dyDescent="0.3">
      <c r="A24658" t="s">
        <v>0</v>
      </c>
    </row>
    <row r="24659" spans="1:1" x14ac:dyDescent="0.3">
      <c r="A24659" t="s">
        <v>0</v>
      </c>
    </row>
    <row r="24660" spans="1:1" x14ac:dyDescent="0.3">
      <c r="A24660" t="s">
        <v>0</v>
      </c>
    </row>
    <row r="24661" spans="1:1" x14ac:dyDescent="0.3">
      <c r="A24661" t="s">
        <v>0</v>
      </c>
    </row>
    <row r="24662" spans="1:1" x14ac:dyDescent="0.3">
      <c r="A24662" t="s">
        <v>0</v>
      </c>
    </row>
    <row r="24663" spans="1:1" x14ac:dyDescent="0.3">
      <c r="A24663" t="s">
        <v>0</v>
      </c>
    </row>
    <row r="24664" spans="1:1" x14ac:dyDescent="0.3">
      <c r="A24664" t="s">
        <v>0</v>
      </c>
    </row>
    <row r="24665" spans="1:1" x14ac:dyDescent="0.3">
      <c r="A24665" t="s">
        <v>0</v>
      </c>
    </row>
    <row r="24666" spans="1:1" x14ac:dyDescent="0.3">
      <c r="A24666" t="s">
        <v>0</v>
      </c>
    </row>
    <row r="24667" spans="1:1" x14ac:dyDescent="0.3">
      <c r="A24667" t="s">
        <v>0</v>
      </c>
    </row>
    <row r="24668" spans="1:1" x14ac:dyDescent="0.3">
      <c r="A24668" t="s">
        <v>0</v>
      </c>
    </row>
    <row r="24669" spans="1:1" x14ac:dyDescent="0.3">
      <c r="A24669" t="s">
        <v>0</v>
      </c>
    </row>
    <row r="24670" spans="1:1" x14ac:dyDescent="0.3">
      <c r="A24670" t="s">
        <v>0</v>
      </c>
    </row>
    <row r="24671" spans="1:1" x14ac:dyDescent="0.3">
      <c r="A24671" t="s">
        <v>0</v>
      </c>
    </row>
    <row r="24672" spans="1:1" x14ac:dyDescent="0.3">
      <c r="A24672" t="s">
        <v>0</v>
      </c>
    </row>
    <row r="24673" spans="1:1" x14ac:dyDescent="0.3">
      <c r="A24673" t="s">
        <v>0</v>
      </c>
    </row>
    <row r="24674" spans="1:1" x14ac:dyDescent="0.3">
      <c r="A24674" t="s">
        <v>0</v>
      </c>
    </row>
    <row r="24675" spans="1:1" x14ac:dyDescent="0.3">
      <c r="A24675" t="s">
        <v>0</v>
      </c>
    </row>
    <row r="24676" spans="1:1" x14ac:dyDescent="0.3">
      <c r="A24676" t="s">
        <v>0</v>
      </c>
    </row>
    <row r="24677" spans="1:1" x14ac:dyDescent="0.3">
      <c r="A24677" t="s">
        <v>0</v>
      </c>
    </row>
    <row r="24678" spans="1:1" x14ac:dyDescent="0.3">
      <c r="A24678" t="s">
        <v>0</v>
      </c>
    </row>
    <row r="24679" spans="1:1" x14ac:dyDescent="0.3">
      <c r="A24679" t="s">
        <v>0</v>
      </c>
    </row>
    <row r="24680" spans="1:1" x14ac:dyDescent="0.3">
      <c r="A24680" t="s">
        <v>0</v>
      </c>
    </row>
    <row r="24681" spans="1:1" x14ac:dyDescent="0.3">
      <c r="A24681" t="s">
        <v>0</v>
      </c>
    </row>
    <row r="24682" spans="1:1" x14ac:dyDescent="0.3">
      <c r="A24682" t="s">
        <v>0</v>
      </c>
    </row>
    <row r="24683" spans="1:1" x14ac:dyDescent="0.3">
      <c r="A24683" t="s">
        <v>0</v>
      </c>
    </row>
    <row r="24684" spans="1:1" x14ac:dyDescent="0.3">
      <c r="A24684" t="s">
        <v>0</v>
      </c>
    </row>
    <row r="24685" spans="1:1" x14ac:dyDescent="0.3">
      <c r="A24685" t="s">
        <v>0</v>
      </c>
    </row>
    <row r="24686" spans="1:1" x14ac:dyDescent="0.3">
      <c r="A24686" t="s">
        <v>0</v>
      </c>
    </row>
    <row r="24687" spans="1:1" x14ac:dyDescent="0.3">
      <c r="A24687" t="s">
        <v>0</v>
      </c>
    </row>
    <row r="24688" spans="1:1" x14ac:dyDescent="0.3">
      <c r="A24688" t="s">
        <v>0</v>
      </c>
    </row>
    <row r="24689" spans="1:1" x14ac:dyDescent="0.3">
      <c r="A24689" t="s">
        <v>0</v>
      </c>
    </row>
    <row r="24690" spans="1:1" x14ac:dyDescent="0.3">
      <c r="A24690" t="s">
        <v>0</v>
      </c>
    </row>
    <row r="24691" spans="1:1" x14ac:dyDescent="0.3">
      <c r="A24691" t="s">
        <v>0</v>
      </c>
    </row>
    <row r="24692" spans="1:1" x14ac:dyDescent="0.3">
      <c r="A24692" t="s">
        <v>0</v>
      </c>
    </row>
    <row r="24693" spans="1:1" x14ac:dyDescent="0.3">
      <c r="A24693" t="s">
        <v>0</v>
      </c>
    </row>
    <row r="24694" spans="1:1" x14ac:dyDescent="0.3">
      <c r="A24694" t="s">
        <v>0</v>
      </c>
    </row>
    <row r="24695" spans="1:1" x14ac:dyDescent="0.3">
      <c r="A24695" t="s">
        <v>0</v>
      </c>
    </row>
    <row r="24696" spans="1:1" x14ac:dyDescent="0.3">
      <c r="A24696" t="s">
        <v>0</v>
      </c>
    </row>
    <row r="24697" spans="1:1" x14ac:dyDescent="0.3">
      <c r="A24697" t="s">
        <v>0</v>
      </c>
    </row>
    <row r="24698" spans="1:1" x14ac:dyDescent="0.3">
      <c r="A24698" t="s">
        <v>0</v>
      </c>
    </row>
    <row r="24699" spans="1:1" x14ac:dyDescent="0.3">
      <c r="A24699" t="s">
        <v>0</v>
      </c>
    </row>
    <row r="24700" spans="1:1" x14ac:dyDescent="0.3">
      <c r="A24700" t="s">
        <v>0</v>
      </c>
    </row>
    <row r="24701" spans="1:1" x14ac:dyDescent="0.3">
      <c r="A24701" t="s">
        <v>0</v>
      </c>
    </row>
    <row r="24702" spans="1:1" x14ac:dyDescent="0.3">
      <c r="A24702" t="s">
        <v>0</v>
      </c>
    </row>
    <row r="24703" spans="1:1" x14ac:dyDescent="0.3">
      <c r="A24703" t="s">
        <v>0</v>
      </c>
    </row>
    <row r="24704" spans="1:1" x14ac:dyDescent="0.3">
      <c r="A24704" t="s">
        <v>0</v>
      </c>
    </row>
    <row r="24705" spans="1:1" x14ac:dyDescent="0.3">
      <c r="A24705" t="s">
        <v>0</v>
      </c>
    </row>
    <row r="24706" spans="1:1" x14ac:dyDescent="0.3">
      <c r="A24706" t="s">
        <v>0</v>
      </c>
    </row>
    <row r="24707" spans="1:1" x14ac:dyDescent="0.3">
      <c r="A24707" t="s">
        <v>0</v>
      </c>
    </row>
    <row r="24708" spans="1:1" x14ac:dyDescent="0.3">
      <c r="A24708" t="s">
        <v>0</v>
      </c>
    </row>
    <row r="24709" spans="1:1" x14ac:dyDescent="0.3">
      <c r="A24709" t="s">
        <v>0</v>
      </c>
    </row>
    <row r="24710" spans="1:1" x14ac:dyDescent="0.3">
      <c r="A24710" t="s">
        <v>0</v>
      </c>
    </row>
    <row r="24711" spans="1:1" x14ac:dyDescent="0.3">
      <c r="A24711" t="s">
        <v>0</v>
      </c>
    </row>
    <row r="24712" spans="1:1" x14ac:dyDescent="0.3">
      <c r="A24712" t="s">
        <v>0</v>
      </c>
    </row>
    <row r="24713" spans="1:1" x14ac:dyDescent="0.3">
      <c r="A24713" t="s">
        <v>0</v>
      </c>
    </row>
    <row r="24714" spans="1:1" x14ac:dyDescent="0.3">
      <c r="A24714" t="s">
        <v>0</v>
      </c>
    </row>
    <row r="24715" spans="1:1" x14ac:dyDescent="0.3">
      <c r="A24715" t="s">
        <v>0</v>
      </c>
    </row>
    <row r="24716" spans="1:1" x14ac:dyDescent="0.3">
      <c r="A24716" t="s">
        <v>0</v>
      </c>
    </row>
    <row r="24717" spans="1:1" x14ac:dyDescent="0.3">
      <c r="A24717" t="s">
        <v>0</v>
      </c>
    </row>
    <row r="24718" spans="1:1" x14ac:dyDescent="0.3">
      <c r="A24718" t="s">
        <v>0</v>
      </c>
    </row>
    <row r="24719" spans="1:1" x14ac:dyDescent="0.3">
      <c r="A24719" t="s">
        <v>0</v>
      </c>
    </row>
    <row r="24720" spans="1:1" x14ac:dyDescent="0.3">
      <c r="A24720" t="s">
        <v>0</v>
      </c>
    </row>
    <row r="24721" spans="1:1" x14ac:dyDescent="0.3">
      <c r="A24721" t="s">
        <v>0</v>
      </c>
    </row>
    <row r="24722" spans="1:1" x14ac:dyDescent="0.3">
      <c r="A24722" t="s">
        <v>0</v>
      </c>
    </row>
    <row r="24723" spans="1:1" x14ac:dyDescent="0.3">
      <c r="A24723" t="s">
        <v>0</v>
      </c>
    </row>
    <row r="24724" spans="1:1" x14ac:dyDescent="0.3">
      <c r="A24724" t="s">
        <v>0</v>
      </c>
    </row>
    <row r="24725" spans="1:1" x14ac:dyDescent="0.3">
      <c r="A24725" t="s">
        <v>0</v>
      </c>
    </row>
    <row r="24726" spans="1:1" x14ac:dyDescent="0.3">
      <c r="A24726" t="s">
        <v>0</v>
      </c>
    </row>
    <row r="24727" spans="1:1" x14ac:dyDescent="0.3">
      <c r="A24727" t="s">
        <v>0</v>
      </c>
    </row>
    <row r="24728" spans="1:1" x14ac:dyDescent="0.3">
      <c r="A24728" t="s">
        <v>0</v>
      </c>
    </row>
    <row r="24729" spans="1:1" x14ac:dyDescent="0.3">
      <c r="A24729" t="s">
        <v>0</v>
      </c>
    </row>
    <row r="24730" spans="1:1" x14ac:dyDescent="0.3">
      <c r="A24730" t="s">
        <v>0</v>
      </c>
    </row>
    <row r="24731" spans="1:1" x14ac:dyDescent="0.3">
      <c r="A24731" t="s">
        <v>0</v>
      </c>
    </row>
    <row r="24732" spans="1:1" x14ac:dyDescent="0.3">
      <c r="A24732" t="s">
        <v>0</v>
      </c>
    </row>
    <row r="24733" spans="1:1" x14ac:dyDescent="0.3">
      <c r="A24733" t="s">
        <v>0</v>
      </c>
    </row>
    <row r="24734" spans="1:1" x14ac:dyDescent="0.3">
      <c r="A24734" t="s">
        <v>0</v>
      </c>
    </row>
    <row r="24735" spans="1:1" x14ac:dyDescent="0.3">
      <c r="A24735" t="s">
        <v>0</v>
      </c>
    </row>
    <row r="24736" spans="1:1" x14ac:dyDescent="0.3">
      <c r="A24736" t="s">
        <v>0</v>
      </c>
    </row>
    <row r="24737" spans="1:1" x14ac:dyDescent="0.3">
      <c r="A24737" t="s">
        <v>0</v>
      </c>
    </row>
    <row r="24738" spans="1:1" x14ac:dyDescent="0.3">
      <c r="A24738" t="s">
        <v>0</v>
      </c>
    </row>
    <row r="24739" spans="1:1" x14ac:dyDescent="0.3">
      <c r="A24739" t="s">
        <v>0</v>
      </c>
    </row>
    <row r="24740" spans="1:1" x14ac:dyDescent="0.3">
      <c r="A24740" t="s">
        <v>0</v>
      </c>
    </row>
    <row r="24741" spans="1:1" x14ac:dyDescent="0.3">
      <c r="A24741" t="s">
        <v>0</v>
      </c>
    </row>
    <row r="24742" spans="1:1" x14ac:dyDescent="0.3">
      <c r="A24742" t="s">
        <v>0</v>
      </c>
    </row>
    <row r="24743" spans="1:1" x14ac:dyDescent="0.3">
      <c r="A24743" t="s">
        <v>0</v>
      </c>
    </row>
    <row r="24744" spans="1:1" x14ac:dyDescent="0.3">
      <c r="A24744" t="s">
        <v>0</v>
      </c>
    </row>
    <row r="24745" spans="1:1" x14ac:dyDescent="0.3">
      <c r="A24745" t="s">
        <v>0</v>
      </c>
    </row>
    <row r="24746" spans="1:1" x14ac:dyDescent="0.3">
      <c r="A24746" t="s">
        <v>0</v>
      </c>
    </row>
    <row r="24747" spans="1:1" x14ac:dyDescent="0.3">
      <c r="A24747" t="s">
        <v>0</v>
      </c>
    </row>
    <row r="24748" spans="1:1" x14ac:dyDescent="0.3">
      <c r="A24748" t="s">
        <v>0</v>
      </c>
    </row>
    <row r="24749" spans="1:1" x14ac:dyDescent="0.3">
      <c r="A24749" t="s">
        <v>0</v>
      </c>
    </row>
    <row r="24750" spans="1:1" x14ac:dyDescent="0.3">
      <c r="A24750" t="s">
        <v>0</v>
      </c>
    </row>
    <row r="24751" spans="1:1" x14ac:dyDescent="0.3">
      <c r="A24751" t="s">
        <v>0</v>
      </c>
    </row>
    <row r="24752" spans="1:1" x14ac:dyDescent="0.3">
      <c r="A24752" t="s">
        <v>0</v>
      </c>
    </row>
    <row r="24753" spans="1:1" x14ac:dyDescent="0.3">
      <c r="A24753" t="s">
        <v>0</v>
      </c>
    </row>
    <row r="24754" spans="1:1" x14ac:dyDescent="0.3">
      <c r="A24754" t="s">
        <v>0</v>
      </c>
    </row>
    <row r="24755" spans="1:1" x14ac:dyDescent="0.3">
      <c r="A24755" t="s">
        <v>0</v>
      </c>
    </row>
    <row r="24756" spans="1:1" x14ac:dyDescent="0.3">
      <c r="A24756" t="s">
        <v>0</v>
      </c>
    </row>
    <row r="24757" spans="1:1" x14ac:dyDescent="0.3">
      <c r="A24757" t="s">
        <v>0</v>
      </c>
    </row>
    <row r="24758" spans="1:1" x14ac:dyDescent="0.3">
      <c r="A24758" t="s">
        <v>0</v>
      </c>
    </row>
    <row r="24759" spans="1:1" x14ac:dyDescent="0.3">
      <c r="A24759" t="s">
        <v>0</v>
      </c>
    </row>
    <row r="24760" spans="1:1" x14ac:dyDescent="0.3">
      <c r="A24760" t="s">
        <v>0</v>
      </c>
    </row>
    <row r="24761" spans="1:1" x14ac:dyDescent="0.3">
      <c r="A24761" t="s">
        <v>0</v>
      </c>
    </row>
    <row r="24762" spans="1:1" x14ac:dyDescent="0.3">
      <c r="A24762" t="s">
        <v>0</v>
      </c>
    </row>
    <row r="24763" spans="1:1" x14ac:dyDescent="0.3">
      <c r="A24763" t="s">
        <v>0</v>
      </c>
    </row>
    <row r="24764" spans="1:1" x14ac:dyDescent="0.3">
      <c r="A24764" t="s">
        <v>0</v>
      </c>
    </row>
    <row r="24765" spans="1:1" x14ac:dyDescent="0.3">
      <c r="A24765" t="s">
        <v>0</v>
      </c>
    </row>
    <row r="24766" spans="1:1" x14ac:dyDescent="0.3">
      <c r="A24766" t="s">
        <v>0</v>
      </c>
    </row>
    <row r="24767" spans="1:1" x14ac:dyDescent="0.3">
      <c r="A24767" t="s">
        <v>0</v>
      </c>
    </row>
    <row r="24768" spans="1:1" x14ac:dyDescent="0.3">
      <c r="A24768" t="s">
        <v>0</v>
      </c>
    </row>
    <row r="24769" spans="1:1" x14ac:dyDescent="0.3">
      <c r="A24769" t="s">
        <v>0</v>
      </c>
    </row>
    <row r="24770" spans="1:1" x14ac:dyDescent="0.3">
      <c r="A24770" t="s">
        <v>0</v>
      </c>
    </row>
    <row r="24771" spans="1:1" x14ac:dyDescent="0.3">
      <c r="A24771" t="s">
        <v>0</v>
      </c>
    </row>
    <row r="24772" spans="1:1" x14ac:dyDescent="0.3">
      <c r="A24772" t="s">
        <v>0</v>
      </c>
    </row>
    <row r="24773" spans="1:1" x14ac:dyDescent="0.3">
      <c r="A24773" t="s">
        <v>0</v>
      </c>
    </row>
    <row r="24774" spans="1:1" x14ac:dyDescent="0.3">
      <c r="A24774" t="s">
        <v>0</v>
      </c>
    </row>
    <row r="24775" spans="1:1" x14ac:dyDescent="0.3">
      <c r="A24775" t="s">
        <v>0</v>
      </c>
    </row>
    <row r="24776" spans="1:1" x14ac:dyDescent="0.3">
      <c r="A24776" t="s">
        <v>0</v>
      </c>
    </row>
    <row r="24777" spans="1:1" x14ac:dyDescent="0.3">
      <c r="A24777" t="s">
        <v>0</v>
      </c>
    </row>
    <row r="24778" spans="1:1" x14ac:dyDescent="0.3">
      <c r="A24778" t="s">
        <v>0</v>
      </c>
    </row>
    <row r="24779" spans="1:1" x14ac:dyDescent="0.3">
      <c r="A24779" t="s">
        <v>0</v>
      </c>
    </row>
    <row r="24780" spans="1:1" x14ac:dyDescent="0.3">
      <c r="A24780" t="s">
        <v>0</v>
      </c>
    </row>
    <row r="24781" spans="1:1" x14ac:dyDescent="0.3">
      <c r="A24781" t="s">
        <v>0</v>
      </c>
    </row>
    <row r="24782" spans="1:1" x14ac:dyDescent="0.3">
      <c r="A24782" t="s">
        <v>0</v>
      </c>
    </row>
    <row r="24783" spans="1:1" x14ac:dyDescent="0.3">
      <c r="A24783" t="s">
        <v>0</v>
      </c>
    </row>
    <row r="24784" spans="1:1" x14ac:dyDescent="0.3">
      <c r="A24784" t="s">
        <v>0</v>
      </c>
    </row>
    <row r="24785" spans="1:1" x14ac:dyDescent="0.3">
      <c r="A24785" t="s">
        <v>0</v>
      </c>
    </row>
    <row r="24786" spans="1:1" x14ac:dyDescent="0.3">
      <c r="A24786" t="s">
        <v>0</v>
      </c>
    </row>
    <row r="24787" spans="1:1" x14ac:dyDescent="0.3">
      <c r="A24787" t="s">
        <v>0</v>
      </c>
    </row>
    <row r="24788" spans="1:1" x14ac:dyDescent="0.3">
      <c r="A24788" t="s">
        <v>0</v>
      </c>
    </row>
    <row r="24789" spans="1:1" x14ac:dyDescent="0.3">
      <c r="A24789" t="s">
        <v>0</v>
      </c>
    </row>
    <row r="24790" spans="1:1" x14ac:dyDescent="0.3">
      <c r="A24790" t="s">
        <v>0</v>
      </c>
    </row>
    <row r="24791" spans="1:1" x14ac:dyDescent="0.3">
      <c r="A24791" t="s">
        <v>0</v>
      </c>
    </row>
    <row r="24792" spans="1:1" x14ac:dyDescent="0.3">
      <c r="A24792" t="s">
        <v>0</v>
      </c>
    </row>
    <row r="24793" spans="1:1" x14ac:dyDescent="0.3">
      <c r="A24793" t="s">
        <v>0</v>
      </c>
    </row>
    <row r="24794" spans="1:1" x14ac:dyDescent="0.3">
      <c r="A24794" t="s">
        <v>0</v>
      </c>
    </row>
    <row r="24795" spans="1:1" x14ac:dyDescent="0.3">
      <c r="A24795" t="s">
        <v>0</v>
      </c>
    </row>
    <row r="24796" spans="1:1" x14ac:dyDescent="0.3">
      <c r="A24796" t="s">
        <v>0</v>
      </c>
    </row>
    <row r="24797" spans="1:1" x14ac:dyDescent="0.3">
      <c r="A24797" t="s">
        <v>0</v>
      </c>
    </row>
    <row r="24798" spans="1:1" x14ac:dyDescent="0.3">
      <c r="A24798" t="s">
        <v>0</v>
      </c>
    </row>
    <row r="24799" spans="1:1" x14ac:dyDescent="0.3">
      <c r="A24799" t="s">
        <v>0</v>
      </c>
    </row>
    <row r="24800" spans="1:1" x14ac:dyDescent="0.3">
      <c r="A24800" t="s">
        <v>0</v>
      </c>
    </row>
    <row r="24801" spans="1:1" x14ac:dyDescent="0.3">
      <c r="A24801" t="s">
        <v>0</v>
      </c>
    </row>
    <row r="24802" spans="1:1" x14ac:dyDescent="0.3">
      <c r="A24802" t="s">
        <v>0</v>
      </c>
    </row>
    <row r="24803" spans="1:1" x14ac:dyDescent="0.3">
      <c r="A24803" t="s">
        <v>0</v>
      </c>
    </row>
    <row r="24804" spans="1:1" x14ac:dyDescent="0.3">
      <c r="A24804" t="s">
        <v>0</v>
      </c>
    </row>
    <row r="24805" spans="1:1" x14ac:dyDescent="0.3">
      <c r="A24805" t="s">
        <v>0</v>
      </c>
    </row>
    <row r="24806" spans="1:1" x14ac:dyDescent="0.3">
      <c r="A24806" t="s">
        <v>0</v>
      </c>
    </row>
    <row r="24807" spans="1:1" x14ac:dyDescent="0.3">
      <c r="A24807" t="s">
        <v>0</v>
      </c>
    </row>
    <row r="24808" spans="1:1" x14ac:dyDescent="0.3">
      <c r="A24808" t="s">
        <v>0</v>
      </c>
    </row>
    <row r="24809" spans="1:1" x14ac:dyDescent="0.3">
      <c r="A24809" t="s">
        <v>0</v>
      </c>
    </row>
    <row r="24810" spans="1:1" x14ac:dyDescent="0.3">
      <c r="A24810" t="s">
        <v>0</v>
      </c>
    </row>
    <row r="24811" spans="1:1" x14ac:dyDescent="0.3">
      <c r="A24811" t="s">
        <v>0</v>
      </c>
    </row>
    <row r="24812" spans="1:1" x14ac:dyDescent="0.3">
      <c r="A24812" t="s">
        <v>0</v>
      </c>
    </row>
    <row r="24813" spans="1:1" x14ac:dyDescent="0.3">
      <c r="A24813" t="s">
        <v>0</v>
      </c>
    </row>
    <row r="24814" spans="1:1" x14ac:dyDescent="0.3">
      <c r="A24814" t="s">
        <v>0</v>
      </c>
    </row>
    <row r="24815" spans="1:1" x14ac:dyDescent="0.3">
      <c r="A24815" t="s">
        <v>0</v>
      </c>
    </row>
    <row r="24816" spans="1:1" x14ac:dyDescent="0.3">
      <c r="A24816" t="s">
        <v>0</v>
      </c>
    </row>
    <row r="24817" spans="1:1" x14ac:dyDescent="0.3">
      <c r="A24817" t="s">
        <v>0</v>
      </c>
    </row>
    <row r="24818" spans="1:1" x14ac:dyDescent="0.3">
      <c r="A24818" t="s">
        <v>0</v>
      </c>
    </row>
    <row r="24819" spans="1:1" x14ac:dyDescent="0.3">
      <c r="A24819" t="s">
        <v>0</v>
      </c>
    </row>
    <row r="24820" spans="1:1" x14ac:dyDescent="0.3">
      <c r="A24820" t="s">
        <v>0</v>
      </c>
    </row>
    <row r="24821" spans="1:1" x14ac:dyDescent="0.3">
      <c r="A24821" t="s">
        <v>0</v>
      </c>
    </row>
    <row r="24822" spans="1:1" x14ac:dyDescent="0.3">
      <c r="A24822" t="s">
        <v>0</v>
      </c>
    </row>
    <row r="24823" spans="1:1" x14ac:dyDescent="0.3">
      <c r="A24823" t="s">
        <v>0</v>
      </c>
    </row>
    <row r="24824" spans="1:1" x14ac:dyDescent="0.3">
      <c r="A24824" t="s">
        <v>0</v>
      </c>
    </row>
    <row r="24825" spans="1:1" x14ac:dyDescent="0.3">
      <c r="A24825" t="s">
        <v>0</v>
      </c>
    </row>
    <row r="24826" spans="1:1" x14ac:dyDescent="0.3">
      <c r="A24826" t="s">
        <v>0</v>
      </c>
    </row>
    <row r="24827" spans="1:1" x14ac:dyDescent="0.3">
      <c r="A24827" t="s">
        <v>0</v>
      </c>
    </row>
    <row r="24828" spans="1:1" x14ac:dyDescent="0.3">
      <c r="A24828" t="s">
        <v>0</v>
      </c>
    </row>
    <row r="24829" spans="1:1" x14ac:dyDescent="0.3">
      <c r="A24829" t="s">
        <v>0</v>
      </c>
    </row>
    <row r="24830" spans="1:1" x14ac:dyDescent="0.3">
      <c r="A24830" t="s">
        <v>0</v>
      </c>
    </row>
    <row r="24831" spans="1:1" x14ac:dyDescent="0.3">
      <c r="A24831" t="s">
        <v>0</v>
      </c>
    </row>
    <row r="24832" spans="1:1" x14ac:dyDescent="0.3">
      <c r="A24832" t="s">
        <v>0</v>
      </c>
    </row>
    <row r="24833" spans="1:1" x14ac:dyDescent="0.3">
      <c r="A24833" t="s">
        <v>0</v>
      </c>
    </row>
    <row r="24834" spans="1:1" x14ac:dyDescent="0.3">
      <c r="A24834" t="s">
        <v>0</v>
      </c>
    </row>
    <row r="24835" spans="1:1" x14ac:dyDescent="0.3">
      <c r="A24835" t="s">
        <v>0</v>
      </c>
    </row>
    <row r="24836" spans="1:1" x14ac:dyDescent="0.3">
      <c r="A24836" t="s">
        <v>0</v>
      </c>
    </row>
    <row r="24837" spans="1:1" x14ac:dyDescent="0.3">
      <c r="A24837" t="s">
        <v>0</v>
      </c>
    </row>
    <row r="24838" spans="1:1" x14ac:dyDescent="0.3">
      <c r="A24838" t="s">
        <v>0</v>
      </c>
    </row>
    <row r="24839" spans="1:1" x14ac:dyDescent="0.3">
      <c r="A24839" t="s">
        <v>0</v>
      </c>
    </row>
    <row r="24840" spans="1:1" x14ac:dyDescent="0.3">
      <c r="A24840" t="s">
        <v>0</v>
      </c>
    </row>
    <row r="24841" spans="1:1" x14ac:dyDescent="0.3">
      <c r="A24841" t="s">
        <v>0</v>
      </c>
    </row>
    <row r="24842" spans="1:1" x14ac:dyDescent="0.3">
      <c r="A24842" t="s">
        <v>0</v>
      </c>
    </row>
    <row r="24843" spans="1:1" x14ac:dyDescent="0.3">
      <c r="A24843" t="s">
        <v>0</v>
      </c>
    </row>
    <row r="24844" spans="1:1" x14ac:dyDescent="0.3">
      <c r="A24844" t="s">
        <v>0</v>
      </c>
    </row>
    <row r="24845" spans="1:1" x14ac:dyDescent="0.3">
      <c r="A24845" t="s">
        <v>0</v>
      </c>
    </row>
    <row r="24846" spans="1:1" x14ac:dyDescent="0.3">
      <c r="A24846" t="s">
        <v>0</v>
      </c>
    </row>
    <row r="24847" spans="1:1" x14ac:dyDescent="0.3">
      <c r="A24847" t="s">
        <v>0</v>
      </c>
    </row>
    <row r="24848" spans="1:1" x14ac:dyDescent="0.3">
      <c r="A24848" t="s">
        <v>0</v>
      </c>
    </row>
    <row r="24849" spans="1:1" x14ac:dyDescent="0.3">
      <c r="A24849" t="s">
        <v>0</v>
      </c>
    </row>
    <row r="24850" spans="1:1" x14ac:dyDescent="0.3">
      <c r="A24850" t="s">
        <v>0</v>
      </c>
    </row>
    <row r="24851" spans="1:1" x14ac:dyDescent="0.3">
      <c r="A24851" t="s">
        <v>0</v>
      </c>
    </row>
    <row r="24852" spans="1:1" x14ac:dyDescent="0.3">
      <c r="A24852" t="s">
        <v>0</v>
      </c>
    </row>
    <row r="24853" spans="1:1" x14ac:dyDescent="0.3">
      <c r="A24853" t="s">
        <v>0</v>
      </c>
    </row>
    <row r="24854" spans="1:1" x14ac:dyDescent="0.3">
      <c r="A24854" t="s">
        <v>0</v>
      </c>
    </row>
    <row r="24855" spans="1:1" x14ac:dyDescent="0.3">
      <c r="A24855" t="s">
        <v>0</v>
      </c>
    </row>
    <row r="24856" spans="1:1" x14ac:dyDescent="0.3">
      <c r="A24856" t="s">
        <v>0</v>
      </c>
    </row>
    <row r="24857" spans="1:1" x14ac:dyDescent="0.3">
      <c r="A24857" t="s">
        <v>0</v>
      </c>
    </row>
    <row r="24858" spans="1:1" x14ac:dyDescent="0.3">
      <c r="A24858" t="s">
        <v>0</v>
      </c>
    </row>
    <row r="24859" spans="1:1" x14ac:dyDescent="0.3">
      <c r="A24859" t="s">
        <v>0</v>
      </c>
    </row>
    <row r="24860" spans="1:1" x14ac:dyDescent="0.3">
      <c r="A24860" t="s">
        <v>0</v>
      </c>
    </row>
    <row r="24861" spans="1:1" x14ac:dyDescent="0.3">
      <c r="A24861" t="s">
        <v>0</v>
      </c>
    </row>
    <row r="24862" spans="1:1" x14ac:dyDescent="0.3">
      <c r="A24862" t="s">
        <v>0</v>
      </c>
    </row>
    <row r="24863" spans="1:1" x14ac:dyDescent="0.3">
      <c r="A24863" t="s">
        <v>0</v>
      </c>
    </row>
    <row r="24864" spans="1:1" x14ac:dyDescent="0.3">
      <c r="A24864" t="s">
        <v>0</v>
      </c>
    </row>
    <row r="24865" spans="1:1" x14ac:dyDescent="0.3">
      <c r="A24865" t="s">
        <v>0</v>
      </c>
    </row>
    <row r="24866" spans="1:1" x14ac:dyDescent="0.3">
      <c r="A24866" t="s">
        <v>0</v>
      </c>
    </row>
    <row r="24867" spans="1:1" x14ac:dyDescent="0.3">
      <c r="A24867" t="s">
        <v>0</v>
      </c>
    </row>
    <row r="24868" spans="1:1" x14ac:dyDescent="0.3">
      <c r="A24868" t="s">
        <v>0</v>
      </c>
    </row>
    <row r="24869" spans="1:1" x14ac:dyDescent="0.3">
      <c r="A24869" t="s">
        <v>0</v>
      </c>
    </row>
    <row r="24870" spans="1:1" x14ac:dyDescent="0.3">
      <c r="A24870" t="s">
        <v>0</v>
      </c>
    </row>
    <row r="24871" spans="1:1" x14ac:dyDescent="0.3">
      <c r="A24871" t="s">
        <v>0</v>
      </c>
    </row>
    <row r="24872" spans="1:1" x14ac:dyDescent="0.3">
      <c r="A24872" t="s">
        <v>0</v>
      </c>
    </row>
    <row r="24873" spans="1:1" x14ac:dyDescent="0.3">
      <c r="A24873" t="s">
        <v>0</v>
      </c>
    </row>
    <row r="24874" spans="1:1" x14ac:dyDescent="0.3">
      <c r="A24874" t="s">
        <v>0</v>
      </c>
    </row>
    <row r="24875" spans="1:1" x14ac:dyDescent="0.3">
      <c r="A24875" t="s">
        <v>0</v>
      </c>
    </row>
    <row r="24876" spans="1:1" x14ac:dyDescent="0.3">
      <c r="A24876" t="s">
        <v>0</v>
      </c>
    </row>
    <row r="24877" spans="1:1" x14ac:dyDescent="0.3">
      <c r="A24877" t="s">
        <v>0</v>
      </c>
    </row>
    <row r="24878" spans="1:1" x14ac:dyDescent="0.3">
      <c r="A24878" t="s">
        <v>0</v>
      </c>
    </row>
    <row r="24879" spans="1:1" x14ac:dyDescent="0.3">
      <c r="A24879" t="s">
        <v>0</v>
      </c>
    </row>
    <row r="24880" spans="1:1" x14ac:dyDescent="0.3">
      <c r="A24880" t="s">
        <v>0</v>
      </c>
    </row>
    <row r="24881" spans="1:1" x14ac:dyDescent="0.3">
      <c r="A24881" t="s">
        <v>0</v>
      </c>
    </row>
    <row r="24882" spans="1:1" x14ac:dyDescent="0.3">
      <c r="A24882" t="s">
        <v>0</v>
      </c>
    </row>
    <row r="24883" spans="1:1" x14ac:dyDescent="0.3">
      <c r="A24883" t="s">
        <v>0</v>
      </c>
    </row>
    <row r="24884" spans="1:1" x14ac:dyDescent="0.3">
      <c r="A24884" t="s">
        <v>0</v>
      </c>
    </row>
    <row r="24885" spans="1:1" x14ac:dyDescent="0.3">
      <c r="A24885" t="s">
        <v>0</v>
      </c>
    </row>
    <row r="24886" spans="1:1" x14ac:dyDescent="0.3">
      <c r="A24886" t="s">
        <v>0</v>
      </c>
    </row>
    <row r="24887" spans="1:1" x14ac:dyDescent="0.3">
      <c r="A24887" t="s">
        <v>0</v>
      </c>
    </row>
    <row r="24888" spans="1:1" x14ac:dyDescent="0.3">
      <c r="A24888" t="s">
        <v>0</v>
      </c>
    </row>
    <row r="24889" spans="1:1" x14ac:dyDescent="0.3">
      <c r="A24889" t="s">
        <v>0</v>
      </c>
    </row>
    <row r="24890" spans="1:1" x14ac:dyDescent="0.3">
      <c r="A24890" t="s">
        <v>0</v>
      </c>
    </row>
    <row r="24891" spans="1:1" x14ac:dyDescent="0.3">
      <c r="A24891" t="s">
        <v>0</v>
      </c>
    </row>
    <row r="24892" spans="1:1" x14ac:dyDescent="0.3">
      <c r="A24892" t="s">
        <v>0</v>
      </c>
    </row>
    <row r="24893" spans="1:1" x14ac:dyDescent="0.3">
      <c r="A24893" t="s">
        <v>0</v>
      </c>
    </row>
    <row r="24894" spans="1:1" x14ac:dyDescent="0.3">
      <c r="A24894" t="s">
        <v>0</v>
      </c>
    </row>
    <row r="24895" spans="1:1" x14ac:dyDescent="0.3">
      <c r="A24895" t="s">
        <v>0</v>
      </c>
    </row>
    <row r="24896" spans="1:1" x14ac:dyDescent="0.3">
      <c r="A24896" t="s">
        <v>0</v>
      </c>
    </row>
    <row r="24897" spans="1:1" x14ac:dyDescent="0.3">
      <c r="A24897" t="s">
        <v>0</v>
      </c>
    </row>
    <row r="24898" spans="1:1" x14ac:dyDescent="0.3">
      <c r="A24898" t="s">
        <v>0</v>
      </c>
    </row>
    <row r="24899" spans="1:1" x14ac:dyDescent="0.3">
      <c r="A24899" t="s">
        <v>0</v>
      </c>
    </row>
    <row r="24900" spans="1:1" x14ac:dyDescent="0.3">
      <c r="A24900" t="s">
        <v>0</v>
      </c>
    </row>
    <row r="24901" spans="1:1" x14ac:dyDescent="0.3">
      <c r="A24901" t="s">
        <v>0</v>
      </c>
    </row>
    <row r="24902" spans="1:1" x14ac:dyDescent="0.3">
      <c r="A24902" t="s">
        <v>0</v>
      </c>
    </row>
    <row r="24903" spans="1:1" x14ac:dyDescent="0.3">
      <c r="A24903" t="s">
        <v>0</v>
      </c>
    </row>
    <row r="24904" spans="1:1" x14ac:dyDescent="0.3">
      <c r="A24904" t="s">
        <v>0</v>
      </c>
    </row>
    <row r="24905" spans="1:1" x14ac:dyDescent="0.3">
      <c r="A24905" t="s">
        <v>0</v>
      </c>
    </row>
    <row r="24906" spans="1:1" x14ac:dyDescent="0.3">
      <c r="A24906" t="s">
        <v>0</v>
      </c>
    </row>
    <row r="24907" spans="1:1" x14ac:dyDescent="0.3">
      <c r="A24907" t="s">
        <v>0</v>
      </c>
    </row>
    <row r="24908" spans="1:1" x14ac:dyDescent="0.3">
      <c r="A24908" t="s">
        <v>0</v>
      </c>
    </row>
    <row r="24909" spans="1:1" x14ac:dyDescent="0.3">
      <c r="A24909" t="s">
        <v>0</v>
      </c>
    </row>
    <row r="24910" spans="1:1" x14ac:dyDescent="0.3">
      <c r="A24910" t="s">
        <v>0</v>
      </c>
    </row>
    <row r="24911" spans="1:1" x14ac:dyDescent="0.3">
      <c r="A24911" t="s">
        <v>0</v>
      </c>
    </row>
    <row r="24912" spans="1:1" x14ac:dyDescent="0.3">
      <c r="A24912" t="s">
        <v>0</v>
      </c>
    </row>
    <row r="24913" spans="1:1" x14ac:dyDescent="0.3">
      <c r="A24913" t="s">
        <v>0</v>
      </c>
    </row>
    <row r="24914" spans="1:1" x14ac:dyDescent="0.3">
      <c r="A24914" t="s">
        <v>0</v>
      </c>
    </row>
    <row r="24915" spans="1:1" x14ac:dyDescent="0.3">
      <c r="A24915" t="s">
        <v>0</v>
      </c>
    </row>
    <row r="24916" spans="1:1" x14ac:dyDescent="0.3">
      <c r="A24916" t="s">
        <v>0</v>
      </c>
    </row>
    <row r="24917" spans="1:1" x14ac:dyDescent="0.3">
      <c r="A24917" t="s">
        <v>0</v>
      </c>
    </row>
    <row r="24918" spans="1:1" x14ac:dyDescent="0.3">
      <c r="A24918" t="s">
        <v>0</v>
      </c>
    </row>
    <row r="24919" spans="1:1" x14ac:dyDescent="0.3">
      <c r="A24919" t="s">
        <v>0</v>
      </c>
    </row>
    <row r="24920" spans="1:1" x14ac:dyDescent="0.3">
      <c r="A24920" t="s">
        <v>0</v>
      </c>
    </row>
    <row r="24921" spans="1:1" x14ac:dyDescent="0.3">
      <c r="A24921" t="s">
        <v>0</v>
      </c>
    </row>
    <row r="24922" spans="1:1" x14ac:dyDescent="0.3">
      <c r="A24922" t="s">
        <v>0</v>
      </c>
    </row>
    <row r="24923" spans="1:1" x14ac:dyDescent="0.3">
      <c r="A24923" t="s">
        <v>0</v>
      </c>
    </row>
    <row r="24924" spans="1:1" x14ac:dyDescent="0.3">
      <c r="A24924" t="s">
        <v>0</v>
      </c>
    </row>
    <row r="24925" spans="1:1" x14ac:dyDescent="0.3">
      <c r="A24925" t="s">
        <v>0</v>
      </c>
    </row>
    <row r="24926" spans="1:1" x14ac:dyDescent="0.3">
      <c r="A24926" t="s">
        <v>0</v>
      </c>
    </row>
    <row r="24927" spans="1:1" x14ac:dyDescent="0.3">
      <c r="A24927" t="s">
        <v>0</v>
      </c>
    </row>
    <row r="24928" spans="1:1" x14ac:dyDescent="0.3">
      <c r="A24928" t="s">
        <v>0</v>
      </c>
    </row>
    <row r="24929" spans="1:1" x14ac:dyDescent="0.3">
      <c r="A24929" t="s">
        <v>0</v>
      </c>
    </row>
    <row r="24930" spans="1:1" x14ac:dyDescent="0.3">
      <c r="A24930" t="s">
        <v>0</v>
      </c>
    </row>
    <row r="24931" spans="1:1" x14ac:dyDescent="0.3">
      <c r="A24931" t="s">
        <v>0</v>
      </c>
    </row>
    <row r="24932" spans="1:1" x14ac:dyDescent="0.3">
      <c r="A24932" t="s">
        <v>0</v>
      </c>
    </row>
    <row r="24933" spans="1:1" x14ac:dyDescent="0.3">
      <c r="A24933" t="s">
        <v>0</v>
      </c>
    </row>
    <row r="24934" spans="1:1" x14ac:dyDescent="0.3">
      <c r="A24934" t="s">
        <v>0</v>
      </c>
    </row>
    <row r="24935" spans="1:1" x14ac:dyDescent="0.3">
      <c r="A24935" t="s">
        <v>0</v>
      </c>
    </row>
    <row r="24936" spans="1:1" x14ac:dyDescent="0.3">
      <c r="A24936" t="s">
        <v>0</v>
      </c>
    </row>
    <row r="24937" spans="1:1" x14ac:dyDescent="0.3">
      <c r="A24937" t="s">
        <v>0</v>
      </c>
    </row>
    <row r="24938" spans="1:1" x14ac:dyDescent="0.3">
      <c r="A24938" t="s">
        <v>0</v>
      </c>
    </row>
    <row r="24939" spans="1:1" x14ac:dyDescent="0.3">
      <c r="A24939" t="s">
        <v>0</v>
      </c>
    </row>
    <row r="24940" spans="1:1" x14ac:dyDescent="0.3">
      <c r="A24940" t="s">
        <v>0</v>
      </c>
    </row>
    <row r="24941" spans="1:1" x14ac:dyDescent="0.3">
      <c r="A24941" t="s">
        <v>0</v>
      </c>
    </row>
    <row r="24942" spans="1:1" x14ac:dyDescent="0.3">
      <c r="A24942" t="s">
        <v>0</v>
      </c>
    </row>
    <row r="24943" spans="1:1" x14ac:dyDescent="0.3">
      <c r="A24943" t="s">
        <v>0</v>
      </c>
    </row>
    <row r="24944" spans="1:1" x14ac:dyDescent="0.3">
      <c r="A24944" t="s">
        <v>0</v>
      </c>
    </row>
    <row r="24945" spans="1:1" x14ac:dyDescent="0.3">
      <c r="A24945" t="s">
        <v>0</v>
      </c>
    </row>
    <row r="24946" spans="1:1" x14ac:dyDescent="0.3">
      <c r="A24946" t="s">
        <v>0</v>
      </c>
    </row>
    <row r="24947" spans="1:1" x14ac:dyDescent="0.3">
      <c r="A24947" t="s">
        <v>0</v>
      </c>
    </row>
    <row r="24948" spans="1:1" x14ac:dyDescent="0.3">
      <c r="A24948" t="s">
        <v>0</v>
      </c>
    </row>
    <row r="24949" spans="1:1" x14ac:dyDescent="0.3">
      <c r="A24949" t="s">
        <v>0</v>
      </c>
    </row>
    <row r="24950" spans="1:1" x14ac:dyDescent="0.3">
      <c r="A24950" t="s">
        <v>0</v>
      </c>
    </row>
    <row r="24951" spans="1:1" x14ac:dyDescent="0.3">
      <c r="A24951" t="s">
        <v>0</v>
      </c>
    </row>
    <row r="24952" spans="1:1" x14ac:dyDescent="0.3">
      <c r="A24952" t="s">
        <v>0</v>
      </c>
    </row>
    <row r="24953" spans="1:1" x14ac:dyDescent="0.3">
      <c r="A24953" t="s">
        <v>0</v>
      </c>
    </row>
    <row r="24954" spans="1:1" x14ac:dyDescent="0.3">
      <c r="A24954" t="s">
        <v>0</v>
      </c>
    </row>
    <row r="24955" spans="1:1" x14ac:dyDescent="0.3">
      <c r="A24955" t="s">
        <v>0</v>
      </c>
    </row>
    <row r="24956" spans="1:1" x14ac:dyDescent="0.3">
      <c r="A24956" t="s">
        <v>0</v>
      </c>
    </row>
    <row r="24957" spans="1:1" x14ac:dyDescent="0.3">
      <c r="A24957" t="s">
        <v>0</v>
      </c>
    </row>
    <row r="24958" spans="1:1" x14ac:dyDescent="0.3">
      <c r="A24958" t="s">
        <v>0</v>
      </c>
    </row>
    <row r="24959" spans="1:1" x14ac:dyDescent="0.3">
      <c r="A24959" t="s">
        <v>0</v>
      </c>
    </row>
    <row r="24960" spans="1:1" x14ac:dyDescent="0.3">
      <c r="A24960" t="s">
        <v>0</v>
      </c>
    </row>
    <row r="24961" spans="1:1" x14ac:dyDescent="0.3">
      <c r="A24961" t="s">
        <v>0</v>
      </c>
    </row>
    <row r="24962" spans="1:1" x14ac:dyDescent="0.3">
      <c r="A24962" t="s">
        <v>0</v>
      </c>
    </row>
    <row r="24963" spans="1:1" x14ac:dyDescent="0.3">
      <c r="A24963" t="s">
        <v>0</v>
      </c>
    </row>
    <row r="24964" spans="1:1" x14ac:dyDescent="0.3">
      <c r="A24964" t="s">
        <v>0</v>
      </c>
    </row>
    <row r="24965" spans="1:1" x14ac:dyDescent="0.3">
      <c r="A24965" t="s">
        <v>0</v>
      </c>
    </row>
    <row r="24966" spans="1:1" x14ac:dyDescent="0.3">
      <c r="A24966" t="s">
        <v>0</v>
      </c>
    </row>
    <row r="24967" spans="1:1" x14ac:dyDescent="0.3">
      <c r="A24967" t="s">
        <v>0</v>
      </c>
    </row>
    <row r="24968" spans="1:1" x14ac:dyDescent="0.3">
      <c r="A24968" t="s">
        <v>0</v>
      </c>
    </row>
    <row r="24969" spans="1:1" x14ac:dyDescent="0.3">
      <c r="A24969" t="s">
        <v>0</v>
      </c>
    </row>
    <row r="24970" spans="1:1" x14ac:dyDescent="0.3">
      <c r="A24970" t="s">
        <v>0</v>
      </c>
    </row>
    <row r="24971" spans="1:1" x14ac:dyDescent="0.3">
      <c r="A24971" t="s">
        <v>0</v>
      </c>
    </row>
    <row r="24972" spans="1:1" x14ac:dyDescent="0.3">
      <c r="A24972" t="s">
        <v>0</v>
      </c>
    </row>
    <row r="24973" spans="1:1" x14ac:dyDescent="0.3">
      <c r="A24973" t="s">
        <v>0</v>
      </c>
    </row>
    <row r="24974" spans="1:1" x14ac:dyDescent="0.3">
      <c r="A24974" t="s">
        <v>0</v>
      </c>
    </row>
    <row r="24975" spans="1:1" x14ac:dyDescent="0.3">
      <c r="A24975" t="s">
        <v>0</v>
      </c>
    </row>
    <row r="24976" spans="1:1" x14ac:dyDescent="0.3">
      <c r="A24976" t="s">
        <v>0</v>
      </c>
    </row>
    <row r="24977" spans="1:1" x14ac:dyDescent="0.3">
      <c r="A24977" t="s">
        <v>0</v>
      </c>
    </row>
    <row r="24978" spans="1:1" x14ac:dyDescent="0.3">
      <c r="A24978" t="s">
        <v>0</v>
      </c>
    </row>
    <row r="24979" spans="1:1" x14ac:dyDescent="0.3">
      <c r="A24979" t="s">
        <v>0</v>
      </c>
    </row>
    <row r="24980" spans="1:1" x14ac:dyDescent="0.3">
      <c r="A24980" t="s">
        <v>0</v>
      </c>
    </row>
    <row r="24981" spans="1:1" x14ac:dyDescent="0.3">
      <c r="A24981" t="s">
        <v>0</v>
      </c>
    </row>
    <row r="24982" spans="1:1" x14ac:dyDescent="0.3">
      <c r="A24982" t="s">
        <v>0</v>
      </c>
    </row>
    <row r="24983" spans="1:1" x14ac:dyDescent="0.3">
      <c r="A24983" t="s">
        <v>0</v>
      </c>
    </row>
    <row r="24984" spans="1:1" x14ac:dyDescent="0.3">
      <c r="A24984" t="s">
        <v>0</v>
      </c>
    </row>
    <row r="24985" spans="1:1" x14ac:dyDescent="0.3">
      <c r="A24985" t="s">
        <v>0</v>
      </c>
    </row>
    <row r="24986" spans="1:1" x14ac:dyDescent="0.3">
      <c r="A24986" t="s">
        <v>0</v>
      </c>
    </row>
    <row r="24987" spans="1:1" x14ac:dyDescent="0.3">
      <c r="A24987" t="s">
        <v>0</v>
      </c>
    </row>
    <row r="24988" spans="1:1" x14ac:dyDescent="0.3">
      <c r="A24988" t="s">
        <v>0</v>
      </c>
    </row>
    <row r="24989" spans="1:1" x14ac:dyDescent="0.3">
      <c r="A24989" t="s">
        <v>0</v>
      </c>
    </row>
    <row r="24990" spans="1:1" x14ac:dyDescent="0.3">
      <c r="A24990" t="s">
        <v>0</v>
      </c>
    </row>
    <row r="24991" spans="1:1" x14ac:dyDescent="0.3">
      <c r="A24991" t="s">
        <v>0</v>
      </c>
    </row>
    <row r="24992" spans="1:1" x14ac:dyDescent="0.3">
      <c r="A24992" t="s">
        <v>0</v>
      </c>
    </row>
    <row r="24993" spans="1:1" x14ac:dyDescent="0.3">
      <c r="A24993" t="s">
        <v>0</v>
      </c>
    </row>
    <row r="24994" spans="1:1" x14ac:dyDescent="0.3">
      <c r="A24994" t="s">
        <v>0</v>
      </c>
    </row>
    <row r="24995" spans="1:1" x14ac:dyDescent="0.3">
      <c r="A24995" t="s">
        <v>0</v>
      </c>
    </row>
    <row r="24996" spans="1:1" x14ac:dyDescent="0.3">
      <c r="A24996" t="s">
        <v>0</v>
      </c>
    </row>
    <row r="24997" spans="1:1" x14ac:dyDescent="0.3">
      <c r="A24997" t="s">
        <v>0</v>
      </c>
    </row>
    <row r="24998" spans="1:1" x14ac:dyDescent="0.3">
      <c r="A24998" t="s">
        <v>0</v>
      </c>
    </row>
    <row r="24999" spans="1:1" x14ac:dyDescent="0.3">
      <c r="A24999" t="s">
        <v>0</v>
      </c>
    </row>
    <row r="25000" spans="1:1" x14ac:dyDescent="0.3">
      <c r="A25000" t="s">
        <v>0</v>
      </c>
    </row>
    <row r="25001" spans="1:1" x14ac:dyDescent="0.3">
      <c r="A25001" t="s">
        <v>0</v>
      </c>
    </row>
    <row r="25002" spans="1:1" x14ac:dyDescent="0.3">
      <c r="A25002" t="s">
        <v>0</v>
      </c>
    </row>
    <row r="25003" spans="1:1" x14ac:dyDescent="0.3">
      <c r="A25003" t="s">
        <v>0</v>
      </c>
    </row>
    <row r="25004" spans="1:1" x14ac:dyDescent="0.3">
      <c r="A25004" t="s">
        <v>0</v>
      </c>
    </row>
    <row r="25005" spans="1:1" x14ac:dyDescent="0.3">
      <c r="A25005" t="s">
        <v>0</v>
      </c>
    </row>
    <row r="25006" spans="1:1" x14ac:dyDescent="0.3">
      <c r="A25006" t="s">
        <v>0</v>
      </c>
    </row>
    <row r="25007" spans="1:1" x14ac:dyDescent="0.3">
      <c r="A25007" t="s">
        <v>0</v>
      </c>
    </row>
    <row r="25008" spans="1:1" x14ac:dyDescent="0.3">
      <c r="A25008" t="s">
        <v>0</v>
      </c>
    </row>
    <row r="25009" spans="1:1" x14ac:dyDescent="0.3">
      <c r="A25009" t="s">
        <v>0</v>
      </c>
    </row>
    <row r="25010" spans="1:1" x14ac:dyDescent="0.3">
      <c r="A25010" t="s">
        <v>0</v>
      </c>
    </row>
    <row r="25011" spans="1:1" x14ac:dyDescent="0.3">
      <c r="A25011" t="s">
        <v>0</v>
      </c>
    </row>
    <row r="25012" spans="1:1" x14ac:dyDescent="0.3">
      <c r="A25012" t="s">
        <v>0</v>
      </c>
    </row>
    <row r="25013" spans="1:1" x14ac:dyDescent="0.3">
      <c r="A25013" t="s">
        <v>0</v>
      </c>
    </row>
    <row r="25014" spans="1:1" x14ac:dyDescent="0.3">
      <c r="A25014" t="s">
        <v>0</v>
      </c>
    </row>
    <row r="25015" spans="1:1" x14ac:dyDescent="0.3">
      <c r="A25015" t="s">
        <v>0</v>
      </c>
    </row>
    <row r="25016" spans="1:1" x14ac:dyDescent="0.3">
      <c r="A25016" t="s">
        <v>0</v>
      </c>
    </row>
    <row r="25017" spans="1:1" x14ac:dyDescent="0.3">
      <c r="A25017" t="s">
        <v>0</v>
      </c>
    </row>
    <row r="25018" spans="1:1" x14ac:dyDescent="0.3">
      <c r="A25018" t="s">
        <v>0</v>
      </c>
    </row>
    <row r="25019" spans="1:1" x14ac:dyDescent="0.3">
      <c r="A25019" t="s">
        <v>0</v>
      </c>
    </row>
    <row r="25020" spans="1:1" x14ac:dyDescent="0.3">
      <c r="A25020" t="s">
        <v>0</v>
      </c>
    </row>
    <row r="25021" spans="1:1" x14ac:dyDescent="0.3">
      <c r="A25021" t="s">
        <v>0</v>
      </c>
    </row>
    <row r="25022" spans="1:1" x14ac:dyDescent="0.3">
      <c r="A25022" t="s">
        <v>0</v>
      </c>
    </row>
    <row r="25023" spans="1:1" x14ac:dyDescent="0.3">
      <c r="A25023" t="s">
        <v>0</v>
      </c>
    </row>
    <row r="25024" spans="1:1" x14ac:dyDescent="0.3">
      <c r="A25024" t="s">
        <v>0</v>
      </c>
    </row>
    <row r="25025" spans="1:1" x14ac:dyDescent="0.3">
      <c r="A25025" t="s">
        <v>0</v>
      </c>
    </row>
    <row r="25026" spans="1:1" x14ac:dyDescent="0.3">
      <c r="A25026" t="s">
        <v>0</v>
      </c>
    </row>
    <row r="25027" spans="1:1" x14ac:dyDescent="0.3">
      <c r="A25027" t="s">
        <v>0</v>
      </c>
    </row>
    <row r="25028" spans="1:1" x14ac:dyDescent="0.3">
      <c r="A25028" t="s">
        <v>0</v>
      </c>
    </row>
    <row r="25029" spans="1:1" x14ac:dyDescent="0.3">
      <c r="A25029" t="s">
        <v>0</v>
      </c>
    </row>
    <row r="25030" spans="1:1" x14ac:dyDescent="0.3">
      <c r="A25030" t="s">
        <v>0</v>
      </c>
    </row>
    <row r="25031" spans="1:1" x14ac:dyDescent="0.3">
      <c r="A25031" t="s">
        <v>0</v>
      </c>
    </row>
    <row r="25032" spans="1:1" x14ac:dyDescent="0.3">
      <c r="A25032" t="s">
        <v>0</v>
      </c>
    </row>
    <row r="25033" spans="1:1" x14ac:dyDescent="0.3">
      <c r="A25033" t="s">
        <v>0</v>
      </c>
    </row>
    <row r="25034" spans="1:1" x14ac:dyDescent="0.3">
      <c r="A25034" t="s">
        <v>0</v>
      </c>
    </row>
    <row r="25035" spans="1:1" x14ac:dyDescent="0.3">
      <c r="A25035" t="s">
        <v>0</v>
      </c>
    </row>
    <row r="25036" spans="1:1" x14ac:dyDescent="0.3">
      <c r="A25036" t="s">
        <v>0</v>
      </c>
    </row>
    <row r="25037" spans="1:1" x14ac:dyDescent="0.3">
      <c r="A25037" t="s">
        <v>0</v>
      </c>
    </row>
    <row r="25038" spans="1:1" x14ac:dyDescent="0.3">
      <c r="A25038" t="s">
        <v>0</v>
      </c>
    </row>
    <row r="25039" spans="1:1" x14ac:dyDescent="0.3">
      <c r="A25039" t="s">
        <v>0</v>
      </c>
    </row>
    <row r="25040" spans="1:1" x14ac:dyDescent="0.3">
      <c r="A25040" t="s">
        <v>0</v>
      </c>
    </row>
    <row r="25041" spans="1:1" x14ac:dyDescent="0.3">
      <c r="A25041" t="s">
        <v>0</v>
      </c>
    </row>
    <row r="25042" spans="1:1" x14ac:dyDescent="0.3">
      <c r="A25042" t="s">
        <v>0</v>
      </c>
    </row>
    <row r="25043" spans="1:1" x14ac:dyDescent="0.3">
      <c r="A25043" t="s">
        <v>0</v>
      </c>
    </row>
    <row r="25044" spans="1:1" x14ac:dyDescent="0.3">
      <c r="A25044" t="s">
        <v>0</v>
      </c>
    </row>
    <row r="25045" spans="1:1" x14ac:dyDescent="0.3">
      <c r="A25045" t="s">
        <v>0</v>
      </c>
    </row>
    <row r="25046" spans="1:1" x14ac:dyDescent="0.3">
      <c r="A25046" t="s">
        <v>0</v>
      </c>
    </row>
    <row r="25047" spans="1:1" x14ac:dyDescent="0.3">
      <c r="A25047" t="s">
        <v>0</v>
      </c>
    </row>
    <row r="25048" spans="1:1" x14ac:dyDescent="0.3">
      <c r="A25048" t="s">
        <v>0</v>
      </c>
    </row>
    <row r="25049" spans="1:1" x14ac:dyDescent="0.3">
      <c r="A25049" t="s">
        <v>0</v>
      </c>
    </row>
    <row r="25050" spans="1:1" x14ac:dyDescent="0.3">
      <c r="A25050" t="s">
        <v>0</v>
      </c>
    </row>
    <row r="25051" spans="1:1" x14ac:dyDescent="0.3">
      <c r="A25051" t="s">
        <v>0</v>
      </c>
    </row>
    <row r="25052" spans="1:1" x14ac:dyDescent="0.3">
      <c r="A25052" t="s">
        <v>0</v>
      </c>
    </row>
    <row r="25053" spans="1:1" x14ac:dyDescent="0.3">
      <c r="A25053" t="s">
        <v>0</v>
      </c>
    </row>
    <row r="25054" spans="1:1" x14ac:dyDescent="0.3">
      <c r="A25054" t="s">
        <v>0</v>
      </c>
    </row>
    <row r="25055" spans="1:1" x14ac:dyDescent="0.3">
      <c r="A25055" t="s">
        <v>0</v>
      </c>
    </row>
    <row r="25056" spans="1:1" x14ac:dyDescent="0.3">
      <c r="A25056" t="s">
        <v>0</v>
      </c>
    </row>
    <row r="25057" spans="1:1" x14ac:dyDescent="0.3">
      <c r="A25057" t="s">
        <v>0</v>
      </c>
    </row>
    <row r="25058" spans="1:1" x14ac:dyDescent="0.3">
      <c r="A25058" t="s">
        <v>0</v>
      </c>
    </row>
    <row r="25059" spans="1:1" x14ac:dyDescent="0.3">
      <c r="A25059" t="s">
        <v>0</v>
      </c>
    </row>
    <row r="25060" spans="1:1" x14ac:dyDescent="0.3">
      <c r="A25060" t="s">
        <v>0</v>
      </c>
    </row>
    <row r="25061" spans="1:1" x14ac:dyDescent="0.3">
      <c r="A25061" t="s">
        <v>0</v>
      </c>
    </row>
    <row r="25062" spans="1:1" x14ac:dyDescent="0.3">
      <c r="A25062" t="s">
        <v>0</v>
      </c>
    </row>
    <row r="25063" spans="1:1" x14ac:dyDescent="0.3">
      <c r="A25063" t="s">
        <v>0</v>
      </c>
    </row>
    <row r="25064" spans="1:1" x14ac:dyDescent="0.3">
      <c r="A25064" t="s">
        <v>0</v>
      </c>
    </row>
    <row r="25065" spans="1:1" x14ac:dyDescent="0.3">
      <c r="A25065" t="s">
        <v>0</v>
      </c>
    </row>
    <row r="25066" spans="1:1" x14ac:dyDescent="0.3">
      <c r="A25066" t="s">
        <v>0</v>
      </c>
    </row>
    <row r="25067" spans="1:1" x14ac:dyDescent="0.3">
      <c r="A25067" t="s">
        <v>0</v>
      </c>
    </row>
    <row r="25068" spans="1:1" x14ac:dyDescent="0.3">
      <c r="A25068" t="s">
        <v>0</v>
      </c>
    </row>
    <row r="25069" spans="1:1" x14ac:dyDescent="0.3">
      <c r="A25069" t="s">
        <v>0</v>
      </c>
    </row>
    <row r="25070" spans="1:1" x14ac:dyDescent="0.3">
      <c r="A25070" t="s">
        <v>0</v>
      </c>
    </row>
    <row r="25071" spans="1:1" x14ac:dyDescent="0.3">
      <c r="A25071" t="s">
        <v>0</v>
      </c>
    </row>
    <row r="25072" spans="1:1" x14ac:dyDescent="0.3">
      <c r="A25072" t="s">
        <v>0</v>
      </c>
    </row>
    <row r="25073" spans="1:1" x14ac:dyDescent="0.3">
      <c r="A25073" t="s">
        <v>0</v>
      </c>
    </row>
    <row r="25074" spans="1:1" x14ac:dyDescent="0.3">
      <c r="A25074" t="s">
        <v>0</v>
      </c>
    </row>
    <row r="25075" spans="1:1" x14ac:dyDescent="0.3">
      <c r="A25075" t="s">
        <v>0</v>
      </c>
    </row>
    <row r="25076" spans="1:1" x14ac:dyDescent="0.3">
      <c r="A25076" t="s">
        <v>0</v>
      </c>
    </row>
    <row r="25077" spans="1:1" x14ac:dyDescent="0.3">
      <c r="A25077" t="s">
        <v>0</v>
      </c>
    </row>
    <row r="25078" spans="1:1" x14ac:dyDescent="0.3">
      <c r="A25078" t="s">
        <v>0</v>
      </c>
    </row>
    <row r="25079" spans="1:1" x14ac:dyDescent="0.3">
      <c r="A25079" t="s">
        <v>0</v>
      </c>
    </row>
    <row r="25080" spans="1:1" x14ac:dyDescent="0.3">
      <c r="A25080" t="s">
        <v>0</v>
      </c>
    </row>
    <row r="25081" spans="1:1" x14ac:dyDescent="0.3">
      <c r="A25081" t="s">
        <v>0</v>
      </c>
    </row>
    <row r="25082" spans="1:1" x14ac:dyDescent="0.3">
      <c r="A25082" t="s">
        <v>0</v>
      </c>
    </row>
    <row r="25083" spans="1:1" x14ac:dyDescent="0.3">
      <c r="A25083" t="s">
        <v>0</v>
      </c>
    </row>
    <row r="25084" spans="1:1" x14ac:dyDescent="0.3">
      <c r="A25084" t="s">
        <v>0</v>
      </c>
    </row>
    <row r="25085" spans="1:1" x14ac:dyDescent="0.3">
      <c r="A25085" t="s">
        <v>0</v>
      </c>
    </row>
    <row r="25086" spans="1:1" x14ac:dyDescent="0.3">
      <c r="A25086" t="s">
        <v>0</v>
      </c>
    </row>
    <row r="25087" spans="1:1" x14ac:dyDescent="0.3">
      <c r="A25087" t="s">
        <v>0</v>
      </c>
    </row>
    <row r="25088" spans="1:1" x14ac:dyDescent="0.3">
      <c r="A25088" t="s">
        <v>0</v>
      </c>
    </row>
    <row r="25089" spans="1:1" x14ac:dyDescent="0.3">
      <c r="A25089" t="s">
        <v>0</v>
      </c>
    </row>
    <row r="25090" spans="1:1" x14ac:dyDescent="0.3">
      <c r="A25090" t="s">
        <v>0</v>
      </c>
    </row>
    <row r="25091" spans="1:1" x14ac:dyDescent="0.3">
      <c r="A25091" t="s">
        <v>0</v>
      </c>
    </row>
    <row r="25092" spans="1:1" x14ac:dyDescent="0.3">
      <c r="A25092" t="s">
        <v>0</v>
      </c>
    </row>
    <row r="25093" spans="1:1" x14ac:dyDescent="0.3">
      <c r="A25093" t="s">
        <v>0</v>
      </c>
    </row>
    <row r="25094" spans="1:1" x14ac:dyDescent="0.3">
      <c r="A25094" t="s">
        <v>0</v>
      </c>
    </row>
    <row r="25095" spans="1:1" x14ac:dyDescent="0.3">
      <c r="A25095" t="s">
        <v>0</v>
      </c>
    </row>
    <row r="25096" spans="1:1" x14ac:dyDescent="0.3">
      <c r="A25096" t="s">
        <v>0</v>
      </c>
    </row>
    <row r="25097" spans="1:1" x14ac:dyDescent="0.3">
      <c r="A25097" t="s">
        <v>0</v>
      </c>
    </row>
    <row r="25098" spans="1:1" x14ac:dyDescent="0.3">
      <c r="A25098" t="s">
        <v>0</v>
      </c>
    </row>
    <row r="25099" spans="1:1" x14ac:dyDescent="0.3">
      <c r="A25099" t="s">
        <v>0</v>
      </c>
    </row>
    <row r="25100" spans="1:1" x14ac:dyDescent="0.3">
      <c r="A25100" t="s">
        <v>0</v>
      </c>
    </row>
    <row r="25101" spans="1:1" x14ac:dyDescent="0.3">
      <c r="A25101" t="s">
        <v>0</v>
      </c>
    </row>
    <row r="25102" spans="1:1" x14ac:dyDescent="0.3">
      <c r="A25102" t="s">
        <v>0</v>
      </c>
    </row>
    <row r="25103" spans="1:1" x14ac:dyDescent="0.3">
      <c r="A25103" t="s">
        <v>0</v>
      </c>
    </row>
    <row r="25104" spans="1:1" x14ac:dyDescent="0.3">
      <c r="A25104" t="s">
        <v>0</v>
      </c>
    </row>
    <row r="25105" spans="1:1" x14ac:dyDescent="0.3">
      <c r="A25105" t="s">
        <v>0</v>
      </c>
    </row>
    <row r="25106" spans="1:1" x14ac:dyDescent="0.3">
      <c r="A25106" t="s">
        <v>0</v>
      </c>
    </row>
    <row r="25107" spans="1:1" x14ac:dyDescent="0.3">
      <c r="A25107" t="s">
        <v>0</v>
      </c>
    </row>
    <row r="25108" spans="1:1" x14ac:dyDescent="0.3">
      <c r="A25108" t="s">
        <v>0</v>
      </c>
    </row>
    <row r="25109" spans="1:1" x14ac:dyDescent="0.3">
      <c r="A25109" t="s">
        <v>0</v>
      </c>
    </row>
    <row r="25110" spans="1:1" x14ac:dyDescent="0.3">
      <c r="A25110" t="s">
        <v>0</v>
      </c>
    </row>
    <row r="25111" spans="1:1" x14ac:dyDescent="0.3">
      <c r="A25111" t="s">
        <v>0</v>
      </c>
    </row>
    <row r="25112" spans="1:1" x14ac:dyDescent="0.3">
      <c r="A25112" t="s">
        <v>0</v>
      </c>
    </row>
    <row r="25113" spans="1:1" x14ac:dyDescent="0.3">
      <c r="A25113" t="s">
        <v>0</v>
      </c>
    </row>
    <row r="25114" spans="1:1" x14ac:dyDescent="0.3">
      <c r="A25114" t="s">
        <v>0</v>
      </c>
    </row>
    <row r="25115" spans="1:1" x14ac:dyDescent="0.3">
      <c r="A25115" t="s">
        <v>0</v>
      </c>
    </row>
    <row r="25116" spans="1:1" x14ac:dyDescent="0.3">
      <c r="A25116" t="s">
        <v>0</v>
      </c>
    </row>
    <row r="25117" spans="1:1" x14ac:dyDescent="0.3">
      <c r="A25117" t="s">
        <v>0</v>
      </c>
    </row>
    <row r="25118" spans="1:1" x14ac:dyDescent="0.3">
      <c r="A25118" t="s">
        <v>0</v>
      </c>
    </row>
    <row r="25119" spans="1:1" x14ac:dyDescent="0.3">
      <c r="A25119" t="s">
        <v>0</v>
      </c>
    </row>
    <row r="25120" spans="1:1" x14ac:dyDescent="0.3">
      <c r="A25120" t="s">
        <v>0</v>
      </c>
    </row>
    <row r="25121" spans="1:1" x14ac:dyDescent="0.3">
      <c r="A25121" t="s">
        <v>0</v>
      </c>
    </row>
    <row r="25122" spans="1:1" x14ac:dyDescent="0.3">
      <c r="A25122" t="s">
        <v>0</v>
      </c>
    </row>
    <row r="25123" spans="1:1" x14ac:dyDescent="0.3">
      <c r="A25123" t="s">
        <v>0</v>
      </c>
    </row>
    <row r="25124" spans="1:1" x14ac:dyDescent="0.3">
      <c r="A25124" t="s">
        <v>0</v>
      </c>
    </row>
    <row r="25125" spans="1:1" x14ac:dyDescent="0.3">
      <c r="A25125" t="s">
        <v>0</v>
      </c>
    </row>
    <row r="25126" spans="1:1" x14ac:dyDescent="0.3">
      <c r="A25126" t="s">
        <v>0</v>
      </c>
    </row>
    <row r="25127" spans="1:1" x14ac:dyDescent="0.3">
      <c r="A25127" t="s">
        <v>0</v>
      </c>
    </row>
    <row r="25128" spans="1:1" x14ac:dyDescent="0.3">
      <c r="A25128" t="s">
        <v>0</v>
      </c>
    </row>
    <row r="25129" spans="1:1" x14ac:dyDescent="0.3">
      <c r="A25129" t="s">
        <v>0</v>
      </c>
    </row>
    <row r="25130" spans="1:1" x14ac:dyDescent="0.3">
      <c r="A25130" t="s">
        <v>0</v>
      </c>
    </row>
    <row r="25131" spans="1:1" x14ac:dyDescent="0.3">
      <c r="A25131" t="s">
        <v>0</v>
      </c>
    </row>
    <row r="25132" spans="1:1" x14ac:dyDescent="0.3">
      <c r="A25132" t="s">
        <v>0</v>
      </c>
    </row>
    <row r="25133" spans="1:1" x14ac:dyDescent="0.3">
      <c r="A25133" t="s">
        <v>0</v>
      </c>
    </row>
    <row r="25134" spans="1:1" x14ac:dyDescent="0.3">
      <c r="A25134" t="s">
        <v>0</v>
      </c>
    </row>
    <row r="25135" spans="1:1" x14ac:dyDescent="0.3">
      <c r="A25135" t="s">
        <v>0</v>
      </c>
    </row>
    <row r="25136" spans="1:1" x14ac:dyDescent="0.3">
      <c r="A25136" t="s">
        <v>0</v>
      </c>
    </row>
    <row r="25137" spans="1:1" x14ac:dyDescent="0.3">
      <c r="A25137" t="s">
        <v>0</v>
      </c>
    </row>
    <row r="25138" spans="1:1" x14ac:dyDescent="0.3">
      <c r="A25138" t="s">
        <v>0</v>
      </c>
    </row>
    <row r="25139" spans="1:1" x14ac:dyDescent="0.3">
      <c r="A25139" t="s">
        <v>0</v>
      </c>
    </row>
    <row r="25140" spans="1:1" x14ac:dyDescent="0.3">
      <c r="A25140" t="s">
        <v>0</v>
      </c>
    </row>
    <row r="25141" spans="1:1" x14ac:dyDescent="0.3">
      <c r="A25141" t="s">
        <v>0</v>
      </c>
    </row>
    <row r="25142" spans="1:1" x14ac:dyDescent="0.3">
      <c r="A25142" t="s">
        <v>0</v>
      </c>
    </row>
    <row r="25143" spans="1:1" x14ac:dyDescent="0.3">
      <c r="A25143" t="s">
        <v>0</v>
      </c>
    </row>
    <row r="25144" spans="1:1" x14ac:dyDescent="0.3">
      <c r="A25144" t="s">
        <v>0</v>
      </c>
    </row>
    <row r="25145" spans="1:1" x14ac:dyDescent="0.3">
      <c r="A25145" t="s">
        <v>0</v>
      </c>
    </row>
    <row r="25146" spans="1:1" x14ac:dyDescent="0.3">
      <c r="A25146" t="s">
        <v>0</v>
      </c>
    </row>
    <row r="25147" spans="1:1" x14ac:dyDescent="0.3">
      <c r="A25147" t="s">
        <v>0</v>
      </c>
    </row>
    <row r="25148" spans="1:1" x14ac:dyDescent="0.3">
      <c r="A25148" t="s">
        <v>0</v>
      </c>
    </row>
    <row r="25149" spans="1:1" x14ac:dyDescent="0.3">
      <c r="A25149" t="s">
        <v>0</v>
      </c>
    </row>
    <row r="25150" spans="1:1" x14ac:dyDescent="0.3">
      <c r="A25150" t="s">
        <v>0</v>
      </c>
    </row>
    <row r="25151" spans="1:1" x14ac:dyDescent="0.3">
      <c r="A25151" t="s">
        <v>0</v>
      </c>
    </row>
    <row r="25152" spans="1:1" x14ac:dyDescent="0.3">
      <c r="A25152" t="s">
        <v>0</v>
      </c>
    </row>
    <row r="25153" spans="1:1" x14ac:dyDescent="0.3">
      <c r="A25153" t="s">
        <v>0</v>
      </c>
    </row>
    <row r="25154" spans="1:1" x14ac:dyDescent="0.3">
      <c r="A25154" t="s">
        <v>0</v>
      </c>
    </row>
    <row r="25155" spans="1:1" x14ac:dyDescent="0.3">
      <c r="A25155" t="s">
        <v>0</v>
      </c>
    </row>
    <row r="25156" spans="1:1" x14ac:dyDescent="0.3">
      <c r="A25156" t="s">
        <v>0</v>
      </c>
    </row>
    <row r="25157" spans="1:1" x14ac:dyDescent="0.3">
      <c r="A25157" t="s">
        <v>0</v>
      </c>
    </row>
    <row r="25158" spans="1:1" x14ac:dyDescent="0.3">
      <c r="A25158" t="s">
        <v>0</v>
      </c>
    </row>
    <row r="25159" spans="1:1" x14ac:dyDescent="0.3">
      <c r="A25159" t="s">
        <v>0</v>
      </c>
    </row>
    <row r="25160" spans="1:1" x14ac:dyDescent="0.3">
      <c r="A25160" t="s">
        <v>0</v>
      </c>
    </row>
    <row r="25161" spans="1:1" x14ac:dyDescent="0.3">
      <c r="A25161" t="s">
        <v>0</v>
      </c>
    </row>
    <row r="25162" spans="1:1" x14ac:dyDescent="0.3">
      <c r="A25162" t="s">
        <v>0</v>
      </c>
    </row>
    <row r="25163" spans="1:1" x14ac:dyDescent="0.3">
      <c r="A25163" t="s">
        <v>0</v>
      </c>
    </row>
    <row r="25164" spans="1:1" x14ac:dyDescent="0.3">
      <c r="A25164" t="s">
        <v>0</v>
      </c>
    </row>
    <row r="25165" spans="1:1" x14ac:dyDescent="0.3">
      <c r="A25165" t="s">
        <v>0</v>
      </c>
    </row>
    <row r="25166" spans="1:1" x14ac:dyDescent="0.3">
      <c r="A25166" t="s">
        <v>0</v>
      </c>
    </row>
    <row r="25167" spans="1:1" x14ac:dyDescent="0.3">
      <c r="A25167" t="s">
        <v>0</v>
      </c>
    </row>
    <row r="25168" spans="1:1" x14ac:dyDescent="0.3">
      <c r="A25168" t="s">
        <v>0</v>
      </c>
    </row>
    <row r="25169" spans="1:1" x14ac:dyDescent="0.3">
      <c r="A25169" t="s">
        <v>0</v>
      </c>
    </row>
    <row r="25170" spans="1:1" x14ac:dyDescent="0.3">
      <c r="A25170" t="s">
        <v>0</v>
      </c>
    </row>
    <row r="25171" spans="1:1" x14ac:dyDescent="0.3">
      <c r="A25171" t="s">
        <v>0</v>
      </c>
    </row>
    <row r="25172" spans="1:1" x14ac:dyDescent="0.3">
      <c r="A25172" t="s">
        <v>0</v>
      </c>
    </row>
    <row r="25173" spans="1:1" x14ac:dyDescent="0.3">
      <c r="A25173" t="s">
        <v>0</v>
      </c>
    </row>
    <row r="25174" spans="1:1" x14ac:dyDescent="0.3">
      <c r="A25174" t="s">
        <v>0</v>
      </c>
    </row>
    <row r="25175" spans="1:1" x14ac:dyDescent="0.3">
      <c r="A25175" t="s">
        <v>0</v>
      </c>
    </row>
    <row r="25176" spans="1:1" x14ac:dyDescent="0.3">
      <c r="A25176" t="s">
        <v>0</v>
      </c>
    </row>
    <row r="25177" spans="1:1" x14ac:dyDescent="0.3">
      <c r="A25177" t="s">
        <v>0</v>
      </c>
    </row>
    <row r="25178" spans="1:1" x14ac:dyDescent="0.3">
      <c r="A25178" t="s">
        <v>0</v>
      </c>
    </row>
    <row r="25179" spans="1:1" x14ac:dyDescent="0.3">
      <c r="A25179" t="s">
        <v>0</v>
      </c>
    </row>
    <row r="25180" spans="1:1" x14ac:dyDescent="0.3">
      <c r="A25180" t="s">
        <v>0</v>
      </c>
    </row>
    <row r="25181" spans="1:1" x14ac:dyDescent="0.3">
      <c r="A25181" t="s">
        <v>0</v>
      </c>
    </row>
    <row r="25182" spans="1:1" x14ac:dyDescent="0.3">
      <c r="A25182" t="s">
        <v>0</v>
      </c>
    </row>
    <row r="25183" spans="1:1" x14ac:dyDescent="0.3">
      <c r="A25183" t="s">
        <v>0</v>
      </c>
    </row>
    <row r="25184" spans="1:1" x14ac:dyDescent="0.3">
      <c r="A25184" t="s">
        <v>0</v>
      </c>
    </row>
    <row r="25185" spans="1:1" x14ac:dyDescent="0.3">
      <c r="A25185" t="s">
        <v>0</v>
      </c>
    </row>
    <row r="25186" spans="1:1" x14ac:dyDescent="0.3">
      <c r="A25186" t="s">
        <v>0</v>
      </c>
    </row>
    <row r="25187" spans="1:1" x14ac:dyDescent="0.3">
      <c r="A25187" t="s">
        <v>0</v>
      </c>
    </row>
    <row r="25188" spans="1:1" x14ac:dyDescent="0.3">
      <c r="A25188" t="s">
        <v>0</v>
      </c>
    </row>
    <row r="25189" spans="1:1" x14ac:dyDescent="0.3">
      <c r="A25189" t="s">
        <v>0</v>
      </c>
    </row>
    <row r="25190" spans="1:1" x14ac:dyDescent="0.3">
      <c r="A25190" t="s">
        <v>0</v>
      </c>
    </row>
    <row r="25191" spans="1:1" x14ac:dyDescent="0.3">
      <c r="A25191" t="s">
        <v>0</v>
      </c>
    </row>
    <row r="25192" spans="1:1" x14ac:dyDescent="0.3">
      <c r="A25192" t="s">
        <v>0</v>
      </c>
    </row>
    <row r="25193" spans="1:1" x14ac:dyDescent="0.3">
      <c r="A25193" t="s">
        <v>0</v>
      </c>
    </row>
    <row r="25194" spans="1:1" x14ac:dyDescent="0.3">
      <c r="A25194" t="s">
        <v>0</v>
      </c>
    </row>
    <row r="25195" spans="1:1" x14ac:dyDescent="0.3">
      <c r="A25195" t="s">
        <v>0</v>
      </c>
    </row>
    <row r="25196" spans="1:1" x14ac:dyDescent="0.3">
      <c r="A25196" t="s">
        <v>0</v>
      </c>
    </row>
    <row r="25197" spans="1:1" x14ac:dyDescent="0.3">
      <c r="A25197" t="s">
        <v>0</v>
      </c>
    </row>
    <row r="25198" spans="1:1" x14ac:dyDescent="0.3">
      <c r="A25198" t="s">
        <v>0</v>
      </c>
    </row>
    <row r="25199" spans="1:1" x14ac:dyDescent="0.3">
      <c r="A25199" t="s">
        <v>0</v>
      </c>
    </row>
    <row r="25200" spans="1:1" x14ac:dyDescent="0.3">
      <c r="A25200" t="s">
        <v>0</v>
      </c>
    </row>
    <row r="25201" spans="1:1" x14ac:dyDescent="0.3">
      <c r="A25201" t="s">
        <v>0</v>
      </c>
    </row>
    <row r="25202" spans="1:1" x14ac:dyDescent="0.3">
      <c r="A25202" t="s">
        <v>0</v>
      </c>
    </row>
    <row r="25203" spans="1:1" x14ac:dyDescent="0.3">
      <c r="A25203" t="s">
        <v>0</v>
      </c>
    </row>
    <row r="25204" spans="1:1" x14ac:dyDescent="0.3">
      <c r="A25204" t="s">
        <v>0</v>
      </c>
    </row>
    <row r="25205" spans="1:1" x14ac:dyDescent="0.3">
      <c r="A25205" t="s">
        <v>0</v>
      </c>
    </row>
    <row r="25206" spans="1:1" x14ac:dyDescent="0.3">
      <c r="A25206" t="s">
        <v>0</v>
      </c>
    </row>
    <row r="25207" spans="1:1" x14ac:dyDescent="0.3">
      <c r="A25207" t="s">
        <v>0</v>
      </c>
    </row>
    <row r="25208" spans="1:1" x14ac:dyDescent="0.3">
      <c r="A25208" t="s">
        <v>0</v>
      </c>
    </row>
    <row r="25209" spans="1:1" x14ac:dyDescent="0.3">
      <c r="A25209" t="s">
        <v>0</v>
      </c>
    </row>
    <row r="25210" spans="1:1" x14ac:dyDescent="0.3">
      <c r="A25210" t="s">
        <v>0</v>
      </c>
    </row>
    <row r="25211" spans="1:1" x14ac:dyDescent="0.3">
      <c r="A25211" t="s">
        <v>0</v>
      </c>
    </row>
    <row r="25212" spans="1:1" x14ac:dyDescent="0.3">
      <c r="A25212" t="s">
        <v>0</v>
      </c>
    </row>
    <row r="25213" spans="1:1" x14ac:dyDescent="0.3">
      <c r="A25213" t="s">
        <v>0</v>
      </c>
    </row>
    <row r="25214" spans="1:1" x14ac:dyDescent="0.3">
      <c r="A25214" t="s">
        <v>0</v>
      </c>
    </row>
    <row r="25215" spans="1:1" x14ac:dyDescent="0.3">
      <c r="A25215" t="s">
        <v>0</v>
      </c>
    </row>
    <row r="25216" spans="1:1" x14ac:dyDescent="0.3">
      <c r="A25216" t="s">
        <v>0</v>
      </c>
    </row>
    <row r="25217" spans="1:1" x14ac:dyDescent="0.3">
      <c r="A25217" t="s">
        <v>0</v>
      </c>
    </row>
    <row r="25218" spans="1:1" x14ac:dyDescent="0.3">
      <c r="A25218" t="s">
        <v>0</v>
      </c>
    </row>
    <row r="25219" spans="1:1" x14ac:dyDescent="0.3">
      <c r="A25219" t="s">
        <v>0</v>
      </c>
    </row>
    <row r="25220" spans="1:1" x14ac:dyDescent="0.3">
      <c r="A25220" t="s">
        <v>0</v>
      </c>
    </row>
    <row r="25221" spans="1:1" x14ac:dyDescent="0.3">
      <c r="A25221" t="s">
        <v>0</v>
      </c>
    </row>
    <row r="25222" spans="1:1" x14ac:dyDescent="0.3">
      <c r="A25222" t="s">
        <v>0</v>
      </c>
    </row>
    <row r="25223" spans="1:1" x14ac:dyDescent="0.3">
      <c r="A25223" t="s">
        <v>0</v>
      </c>
    </row>
    <row r="25224" spans="1:1" x14ac:dyDescent="0.3">
      <c r="A25224" t="s">
        <v>0</v>
      </c>
    </row>
    <row r="25225" spans="1:1" x14ac:dyDescent="0.3">
      <c r="A25225" t="s">
        <v>0</v>
      </c>
    </row>
    <row r="25226" spans="1:1" x14ac:dyDescent="0.3">
      <c r="A25226" t="s">
        <v>0</v>
      </c>
    </row>
    <row r="25227" spans="1:1" x14ac:dyDescent="0.3">
      <c r="A25227" t="s">
        <v>0</v>
      </c>
    </row>
    <row r="25228" spans="1:1" x14ac:dyDescent="0.3">
      <c r="A25228" t="s">
        <v>0</v>
      </c>
    </row>
    <row r="25229" spans="1:1" x14ac:dyDescent="0.3">
      <c r="A25229" t="s">
        <v>0</v>
      </c>
    </row>
    <row r="25230" spans="1:1" x14ac:dyDescent="0.3">
      <c r="A25230" t="s">
        <v>0</v>
      </c>
    </row>
    <row r="25231" spans="1:1" x14ac:dyDescent="0.3">
      <c r="A25231" t="s">
        <v>0</v>
      </c>
    </row>
    <row r="25232" spans="1:1" x14ac:dyDescent="0.3">
      <c r="A25232" t="s">
        <v>0</v>
      </c>
    </row>
    <row r="25233" spans="1:1" x14ac:dyDescent="0.3">
      <c r="A25233" t="s">
        <v>0</v>
      </c>
    </row>
    <row r="25234" spans="1:1" x14ac:dyDescent="0.3">
      <c r="A25234" t="s">
        <v>0</v>
      </c>
    </row>
    <row r="25235" spans="1:1" x14ac:dyDescent="0.3">
      <c r="A25235" t="s">
        <v>0</v>
      </c>
    </row>
    <row r="25236" spans="1:1" x14ac:dyDescent="0.3">
      <c r="A25236" t="s">
        <v>0</v>
      </c>
    </row>
    <row r="25237" spans="1:1" x14ac:dyDescent="0.3">
      <c r="A25237" t="s">
        <v>0</v>
      </c>
    </row>
    <row r="25238" spans="1:1" x14ac:dyDescent="0.3">
      <c r="A25238" t="s">
        <v>0</v>
      </c>
    </row>
    <row r="25239" spans="1:1" x14ac:dyDescent="0.3">
      <c r="A25239" t="s">
        <v>0</v>
      </c>
    </row>
    <row r="25240" spans="1:1" x14ac:dyDescent="0.3">
      <c r="A25240" t="s">
        <v>0</v>
      </c>
    </row>
    <row r="25241" spans="1:1" x14ac:dyDescent="0.3">
      <c r="A25241" t="s">
        <v>0</v>
      </c>
    </row>
    <row r="25242" spans="1:1" x14ac:dyDescent="0.3">
      <c r="A25242" t="s">
        <v>0</v>
      </c>
    </row>
    <row r="25243" spans="1:1" x14ac:dyDescent="0.3">
      <c r="A25243" t="s">
        <v>0</v>
      </c>
    </row>
    <row r="25244" spans="1:1" x14ac:dyDescent="0.3">
      <c r="A25244" t="s">
        <v>0</v>
      </c>
    </row>
    <row r="25245" spans="1:1" x14ac:dyDescent="0.3">
      <c r="A25245" t="s">
        <v>0</v>
      </c>
    </row>
    <row r="25246" spans="1:1" x14ac:dyDescent="0.3">
      <c r="A25246" t="s">
        <v>0</v>
      </c>
    </row>
    <row r="25247" spans="1:1" x14ac:dyDescent="0.3">
      <c r="A25247" t="s">
        <v>0</v>
      </c>
    </row>
    <row r="25248" spans="1:1" x14ac:dyDescent="0.3">
      <c r="A25248" t="s">
        <v>0</v>
      </c>
    </row>
    <row r="25249" spans="1:1" x14ac:dyDescent="0.3">
      <c r="A25249" t="s">
        <v>0</v>
      </c>
    </row>
    <row r="25250" spans="1:1" x14ac:dyDescent="0.3">
      <c r="A25250" t="s">
        <v>0</v>
      </c>
    </row>
    <row r="25251" spans="1:1" x14ac:dyDescent="0.3">
      <c r="A25251" t="s">
        <v>0</v>
      </c>
    </row>
    <row r="25252" spans="1:1" x14ac:dyDescent="0.3">
      <c r="A25252" t="s">
        <v>0</v>
      </c>
    </row>
    <row r="25253" spans="1:1" x14ac:dyDescent="0.3">
      <c r="A25253" t="s">
        <v>0</v>
      </c>
    </row>
    <row r="25254" spans="1:1" x14ac:dyDescent="0.3">
      <c r="A25254" t="s">
        <v>0</v>
      </c>
    </row>
    <row r="25255" spans="1:1" x14ac:dyDescent="0.3">
      <c r="A25255" t="s">
        <v>0</v>
      </c>
    </row>
    <row r="25256" spans="1:1" x14ac:dyDescent="0.3">
      <c r="A25256" t="s">
        <v>0</v>
      </c>
    </row>
    <row r="25257" spans="1:1" x14ac:dyDescent="0.3">
      <c r="A25257" t="s">
        <v>0</v>
      </c>
    </row>
    <row r="25258" spans="1:1" x14ac:dyDescent="0.3">
      <c r="A25258" t="s">
        <v>0</v>
      </c>
    </row>
    <row r="25259" spans="1:1" x14ac:dyDescent="0.3">
      <c r="A25259" t="s">
        <v>0</v>
      </c>
    </row>
    <row r="25260" spans="1:1" x14ac:dyDescent="0.3">
      <c r="A25260" t="s">
        <v>0</v>
      </c>
    </row>
    <row r="25261" spans="1:1" x14ac:dyDescent="0.3">
      <c r="A25261" t="s">
        <v>0</v>
      </c>
    </row>
    <row r="25262" spans="1:1" x14ac:dyDescent="0.3">
      <c r="A25262" t="s">
        <v>0</v>
      </c>
    </row>
    <row r="25263" spans="1:1" x14ac:dyDescent="0.3">
      <c r="A25263" t="s">
        <v>0</v>
      </c>
    </row>
    <row r="25264" spans="1:1" x14ac:dyDescent="0.3">
      <c r="A25264" t="s">
        <v>0</v>
      </c>
    </row>
    <row r="25265" spans="1:1" x14ac:dyDescent="0.3">
      <c r="A25265" t="s">
        <v>0</v>
      </c>
    </row>
    <row r="25266" spans="1:1" x14ac:dyDescent="0.3">
      <c r="A25266" t="s">
        <v>0</v>
      </c>
    </row>
    <row r="25267" spans="1:1" x14ac:dyDescent="0.3">
      <c r="A25267" t="s">
        <v>0</v>
      </c>
    </row>
    <row r="25268" spans="1:1" x14ac:dyDescent="0.3">
      <c r="A25268" t="s">
        <v>0</v>
      </c>
    </row>
    <row r="25269" spans="1:1" x14ac:dyDescent="0.3">
      <c r="A25269" t="s">
        <v>0</v>
      </c>
    </row>
    <row r="25270" spans="1:1" x14ac:dyDescent="0.3">
      <c r="A25270" t="s">
        <v>0</v>
      </c>
    </row>
    <row r="25271" spans="1:1" x14ac:dyDescent="0.3">
      <c r="A25271" t="s">
        <v>0</v>
      </c>
    </row>
    <row r="25272" spans="1:1" x14ac:dyDescent="0.3">
      <c r="A25272" t="s">
        <v>0</v>
      </c>
    </row>
    <row r="25273" spans="1:1" x14ac:dyDescent="0.3">
      <c r="A25273" t="s">
        <v>0</v>
      </c>
    </row>
    <row r="25274" spans="1:1" x14ac:dyDescent="0.3">
      <c r="A25274" t="s">
        <v>0</v>
      </c>
    </row>
    <row r="25275" spans="1:1" x14ac:dyDescent="0.3">
      <c r="A25275" t="s">
        <v>0</v>
      </c>
    </row>
    <row r="25276" spans="1:1" x14ac:dyDescent="0.3">
      <c r="A25276" t="s">
        <v>0</v>
      </c>
    </row>
    <row r="25277" spans="1:1" x14ac:dyDescent="0.3">
      <c r="A25277" t="s">
        <v>0</v>
      </c>
    </row>
    <row r="25278" spans="1:1" x14ac:dyDescent="0.3">
      <c r="A25278" t="s">
        <v>0</v>
      </c>
    </row>
    <row r="25279" spans="1:1" x14ac:dyDescent="0.3">
      <c r="A25279" t="s">
        <v>0</v>
      </c>
    </row>
    <row r="25280" spans="1:1" x14ac:dyDescent="0.3">
      <c r="A25280" t="s">
        <v>0</v>
      </c>
    </row>
    <row r="25281" spans="1:1" x14ac:dyDescent="0.3">
      <c r="A25281" t="s">
        <v>0</v>
      </c>
    </row>
    <row r="25282" spans="1:1" x14ac:dyDescent="0.3">
      <c r="A25282" t="s">
        <v>0</v>
      </c>
    </row>
    <row r="25283" spans="1:1" x14ac:dyDescent="0.3">
      <c r="A25283" t="s">
        <v>0</v>
      </c>
    </row>
    <row r="25284" spans="1:1" x14ac:dyDescent="0.3">
      <c r="A25284" t="s">
        <v>0</v>
      </c>
    </row>
    <row r="25285" spans="1:1" x14ac:dyDescent="0.3">
      <c r="A25285" t="s">
        <v>0</v>
      </c>
    </row>
    <row r="25286" spans="1:1" x14ac:dyDescent="0.3">
      <c r="A25286" t="s">
        <v>0</v>
      </c>
    </row>
    <row r="25287" spans="1:1" x14ac:dyDescent="0.3">
      <c r="A25287" t="s">
        <v>0</v>
      </c>
    </row>
    <row r="25288" spans="1:1" x14ac:dyDescent="0.3">
      <c r="A25288" t="s">
        <v>0</v>
      </c>
    </row>
    <row r="25289" spans="1:1" x14ac:dyDescent="0.3">
      <c r="A25289" t="s">
        <v>0</v>
      </c>
    </row>
    <row r="25290" spans="1:1" x14ac:dyDescent="0.3">
      <c r="A25290" t="s">
        <v>0</v>
      </c>
    </row>
    <row r="25291" spans="1:1" x14ac:dyDescent="0.3">
      <c r="A25291" t="s">
        <v>0</v>
      </c>
    </row>
    <row r="25292" spans="1:1" x14ac:dyDescent="0.3">
      <c r="A25292" t="s">
        <v>0</v>
      </c>
    </row>
    <row r="25293" spans="1:1" x14ac:dyDescent="0.3">
      <c r="A25293" t="s">
        <v>0</v>
      </c>
    </row>
    <row r="25294" spans="1:1" x14ac:dyDescent="0.3">
      <c r="A25294" t="s">
        <v>0</v>
      </c>
    </row>
    <row r="25295" spans="1:1" x14ac:dyDescent="0.3">
      <c r="A25295" t="s">
        <v>0</v>
      </c>
    </row>
    <row r="25296" spans="1:1" x14ac:dyDescent="0.3">
      <c r="A25296" t="s">
        <v>0</v>
      </c>
    </row>
    <row r="25297" spans="1:1" x14ac:dyDescent="0.3">
      <c r="A25297" t="s">
        <v>0</v>
      </c>
    </row>
    <row r="25298" spans="1:1" x14ac:dyDescent="0.3">
      <c r="A25298" t="s">
        <v>0</v>
      </c>
    </row>
    <row r="25299" spans="1:1" x14ac:dyDescent="0.3">
      <c r="A25299" t="s">
        <v>0</v>
      </c>
    </row>
    <row r="25300" spans="1:1" x14ac:dyDescent="0.3">
      <c r="A25300" t="s">
        <v>0</v>
      </c>
    </row>
    <row r="25301" spans="1:1" x14ac:dyDescent="0.3">
      <c r="A25301" t="s">
        <v>0</v>
      </c>
    </row>
    <row r="25302" spans="1:1" x14ac:dyDescent="0.3">
      <c r="A25302" t="s">
        <v>0</v>
      </c>
    </row>
    <row r="25303" spans="1:1" x14ac:dyDescent="0.3">
      <c r="A25303" t="s">
        <v>0</v>
      </c>
    </row>
    <row r="25304" spans="1:1" x14ac:dyDescent="0.3">
      <c r="A25304" t="s">
        <v>0</v>
      </c>
    </row>
    <row r="25305" spans="1:1" x14ac:dyDescent="0.3">
      <c r="A25305" t="s">
        <v>0</v>
      </c>
    </row>
    <row r="25306" spans="1:1" x14ac:dyDescent="0.3">
      <c r="A25306" t="s">
        <v>0</v>
      </c>
    </row>
    <row r="25307" spans="1:1" x14ac:dyDescent="0.3">
      <c r="A25307" t="s">
        <v>0</v>
      </c>
    </row>
    <row r="25308" spans="1:1" x14ac:dyDescent="0.3">
      <c r="A25308" t="s">
        <v>0</v>
      </c>
    </row>
    <row r="25309" spans="1:1" x14ac:dyDescent="0.3">
      <c r="A25309" t="s">
        <v>0</v>
      </c>
    </row>
    <row r="25310" spans="1:1" x14ac:dyDescent="0.3">
      <c r="A25310" t="s">
        <v>0</v>
      </c>
    </row>
    <row r="25311" spans="1:1" x14ac:dyDescent="0.3">
      <c r="A25311" t="s">
        <v>0</v>
      </c>
    </row>
    <row r="25312" spans="1:1" x14ac:dyDescent="0.3">
      <c r="A25312" t="s">
        <v>0</v>
      </c>
    </row>
    <row r="25313" spans="1:1" x14ac:dyDescent="0.3">
      <c r="A25313" t="s">
        <v>0</v>
      </c>
    </row>
    <row r="25314" spans="1:1" x14ac:dyDescent="0.3">
      <c r="A25314" t="s">
        <v>0</v>
      </c>
    </row>
    <row r="25315" spans="1:1" x14ac:dyDescent="0.3">
      <c r="A25315" t="s">
        <v>0</v>
      </c>
    </row>
    <row r="25316" spans="1:1" x14ac:dyDescent="0.3">
      <c r="A25316" t="s">
        <v>0</v>
      </c>
    </row>
    <row r="25317" spans="1:1" x14ac:dyDescent="0.3">
      <c r="A25317" t="s">
        <v>0</v>
      </c>
    </row>
    <row r="25318" spans="1:1" x14ac:dyDescent="0.3">
      <c r="A25318" t="s">
        <v>0</v>
      </c>
    </row>
    <row r="25319" spans="1:1" x14ac:dyDescent="0.3">
      <c r="A25319" t="s">
        <v>0</v>
      </c>
    </row>
    <row r="25320" spans="1:1" x14ac:dyDescent="0.3">
      <c r="A25320" t="s">
        <v>0</v>
      </c>
    </row>
    <row r="25321" spans="1:1" x14ac:dyDescent="0.3">
      <c r="A25321" t="s">
        <v>0</v>
      </c>
    </row>
    <row r="25322" spans="1:1" x14ac:dyDescent="0.3">
      <c r="A25322" t="s">
        <v>0</v>
      </c>
    </row>
    <row r="25323" spans="1:1" x14ac:dyDescent="0.3">
      <c r="A25323" t="s">
        <v>0</v>
      </c>
    </row>
    <row r="25324" spans="1:1" x14ac:dyDescent="0.3">
      <c r="A25324" t="s">
        <v>0</v>
      </c>
    </row>
    <row r="25325" spans="1:1" x14ac:dyDescent="0.3">
      <c r="A25325" t="s">
        <v>0</v>
      </c>
    </row>
    <row r="25326" spans="1:1" x14ac:dyDescent="0.3">
      <c r="A25326" t="s">
        <v>0</v>
      </c>
    </row>
    <row r="25327" spans="1:1" x14ac:dyDescent="0.3">
      <c r="A25327" t="s">
        <v>0</v>
      </c>
    </row>
    <row r="25328" spans="1:1" x14ac:dyDescent="0.3">
      <c r="A25328" t="s">
        <v>0</v>
      </c>
    </row>
    <row r="25329" spans="1:1" x14ac:dyDescent="0.3">
      <c r="A25329" t="s">
        <v>0</v>
      </c>
    </row>
    <row r="25330" spans="1:1" x14ac:dyDescent="0.3">
      <c r="A25330" t="s">
        <v>0</v>
      </c>
    </row>
    <row r="25331" spans="1:1" x14ac:dyDescent="0.3">
      <c r="A25331" t="s">
        <v>0</v>
      </c>
    </row>
    <row r="25332" spans="1:1" x14ac:dyDescent="0.3">
      <c r="A25332" t="s">
        <v>0</v>
      </c>
    </row>
    <row r="25333" spans="1:1" x14ac:dyDescent="0.3">
      <c r="A25333" t="s">
        <v>0</v>
      </c>
    </row>
    <row r="25334" spans="1:1" x14ac:dyDescent="0.3">
      <c r="A25334" t="s">
        <v>0</v>
      </c>
    </row>
    <row r="25335" spans="1:1" x14ac:dyDescent="0.3">
      <c r="A25335" t="s">
        <v>0</v>
      </c>
    </row>
    <row r="25336" spans="1:1" x14ac:dyDescent="0.3">
      <c r="A25336" t="s">
        <v>0</v>
      </c>
    </row>
    <row r="25337" spans="1:1" x14ac:dyDescent="0.3">
      <c r="A25337" t="s">
        <v>0</v>
      </c>
    </row>
    <row r="25338" spans="1:1" x14ac:dyDescent="0.3">
      <c r="A25338" t="s">
        <v>0</v>
      </c>
    </row>
    <row r="25339" spans="1:1" x14ac:dyDescent="0.3">
      <c r="A25339" t="s">
        <v>0</v>
      </c>
    </row>
    <row r="25340" spans="1:1" x14ac:dyDescent="0.3">
      <c r="A25340" t="s">
        <v>0</v>
      </c>
    </row>
    <row r="25341" spans="1:1" x14ac:dyDescent="0.3">
      <c r="A25341" t="s">
        <v>0</v>
      </c>
    </row>
    <row r="25342" spans="1:1" x14ac:dyDescent="0.3">
      <c r="A25342" t="s">
        <v>0</v>
      </c>
    </row>
    <row r="25343" spans="1:1" x14ac:dyDescent="0.3">
      <c r="A25343" t="s">
        <v>0</v>
      </c>
    </row>
    <row r="25344" spans="1:1" x14ac:dyDescent="0.3">
      <c r="A25344" t="s">
        <v>0</v>
      </c>
    </row>
    <row r="25345" spans="1:1" x14ac:dyDescent="0.3">
      <c r="A25345" t="s">
        <v>0</v>
      </c>
    </row>
    <row r="25346" spans="1:1" x14ac:dyDescent="0.3">
      <c r="A25346" t="s">
        <v>0</v>
      </c>
    </row>
    <row r="25347" spans="1:1" x14ac:dyDescent="0.3">
      <c r="A25347" t="s">
        <v>0</v>
      </c>
    </row>
    <row r="25348" spans="1:1" x14ac:dyDescent="0.3">
      <c r="A25348" t="s">
        <v>0</v>
      </c>
    </row>
    <row r="25349" spans="1:1" x14ac:dyDescent="0.3">
      <c r="A25349" t="s">
        <v>0</v>
      </c>
    </row>
    <row r="25350" spans="1:1" x14ac:dyDescent="0.3">
      <c r="A25350" t="s">
        <v>0</v>
      </c>
    </row>
    <row r="25351" spans="1:1" x14ac:dyDescent="0.3">
      <c r="A25351" t="s">
        <v>0</v>
      </c>
    </row>
    <row r="25352" spans="1:1" x14ac:dyDescent="0.3">
      <c r="A25352" t="s">
        <v>0</v>
      </c>
    </row>
    <row r="25353" spans="1:1" x14ac:dyDescent="0.3">
      <c r="A25353" t="s">
        <v>0</v>
      </c>
    </row>
    <row r="25354" spans="1:1" x14ac:dyDescent="0.3">
      <c r="A25354" t="s">
        <v>0</v>
      </c>
    </row>
    <row r="25355" spans="1:1" x14ac:dyDescent="0.3">
      <c r="A25355" t="s">
        <v>0</v>
      </c>
    </row>
    <row r="25356" spans="1:1" x14ac:dyDescent="0.3">
      <c r="A25356" t="s">
        <v>0</v>
      </c>
    </row>
    <row r="25357" spans="1:1" x14ac:dyDescent="0.3">
      <c r="A25357" t="s">
        <v>0</v>
      </c>
    </row>
    <row r="25358" spans="1:1" x14ac:dyDescent="0.3">
      <c r="A25358" t="s">
        <v>0</v>
      </c>
    </row>
    <row r="25359" spans="1:1" x14ac:dyDescent="0.3">
      <c r="A25359" t="s">
        <v>0</v>
      </c>
    </row>
    <row r="25360" spans="1:1" x14ac:dyDescent="0.3">
      <c r="A25360" t="s">
        <v>0</v>
      </c>
    </row>
    <row r="25361" spans="1:1" x14ac:dyDescent="0.3">
      <c r="A25361" t="s">
        <v>0</v>
      </c>
    </row>
    <row r="25362" spans="1:1" x14ac:dyDescent="0.3">
      <c r="A25362" t="s">
        <v>0</v>
      </c>
    </row>
    <row r="25363" spans="1:1" x14ac:dyDescent="0.3">
      <c r="A25363" t="s">
        <v>0</v>
      </c>
    </row>
    <row r="25364" spans="1:1" x14ac:dyDescent="0.3">
      <c r="A25364" t="s">
        <v>0</v>
      </c>
    </row>
    <row r="25365" spans="1:1" x14ac:dyDescent="0.3">
      <c r="A25365" t="s">
        <v>0</v>
      </c>
    </row>
    <row r="25366" spans="1:1" x14ac:dyDescent="0.3">
      <c r="A25366" t="s">
        <v>0</v>
      </c>
    </row>
    <row r="25367" spans="1:1" x14ac:dyDescent="0.3">
      <c r="A25367" t="s">
        <v>0</v>
      </c>
    </row>
    <row r="25368" spans="1:1" x14ac:dyDescent="0.3">
      <c r="A25368" t="s">
        <v>0</v>
      </c>
    </row>
    <row r="25369" spans="1:1" x14ac:dyDescent="0.3">
      <c r="A25369" t="s">
        <v>0</v>
      </c>
    </row>
    <row r="25370" spans="1:1" x14ac:dyDescent="0.3">
      <c r="A25370" t="s">
        <v>0</v>
      </c>
    </row>
    <row r="25371" spans="1:1" x14ac:dyDescent="0.3">
      <c r="A25371" t="s">
        <v>0</v>
      </c>
    </row>
    <row r="25372" spans="1:1" x14ac:dyDescent="0.3">
      <c r="A25372" t="s">
        <v>0</v>
      </c>
    </row>
    <row r="25373" spans="1:1" x14ac:dyDescent="0.3">
      <c r="A25373" t="s">
        <v>0</v>
      </c>
    </row>
    <row r="25374" spans="1:1" x14ac:dyDescent="0.3">
      <c r="A25374" t="s">
        <v>0</v>
      </c>
    </row>
    <row r="25375" spans="1:1" x14ac:dyDescent="0.3">
      <c r="A25375" t="s">
        <v>0</v>
      </c>
    </row>
    <row r="25376" spans="1:1" x14ac:dyDescent="0.3">
      <c r="A25376" t="s">
        <v>0</v>
      </c>
    </row>
    <row r="25377" spans="1:1" x14ac:dyDescent="0.3">
      <c r="A25377" t="s">
        <v>0</v>
      </c>
    </row>
    <row r="25378" spans="1:1" x14ac:dyDescent="0.3">
      <c r="A25378" t="s">
        <v>0</v>
      </c>
    </row>
    <row r="25379" spans="1:1" x14ac:dyDescent="0.3">
      <c r="A25379" t="s">
        <v>0</v>
      </c>
    </row>
    <row r="25380" spans="1:1" x14ac:dyDescent="0.3">
      <c r="A25380" t="s">
        <v>0</v>
      </c>
    </row>
    <row r="25381" spans="1:1" x14ac:dyDescent="0.3">
      <c r="A25381" t="s">
        <v>0</v>
      </c>
    </row>
    <row r="25382" spans="1:1" x14ac:dyDescent="0.3">
      <c r="A25382" t="s">
        <v>0</v>
      </c>
    </row>
    <row r="25383" spans="1:1" x14ac:dyDescent="0.3">
      <c r="A25383" t="s">
        <v>0</v>
      </c>
    </row>
    <row r="25384" spans="1:1" x14ac:dyDescent="0.3">
      <c r="A25384" t="s">
        <v>0</v>
      </c>
    </row>
    <row r="25385" spans="1:1" x14ac:dyDescent="0.3">
      <c r="A25385" t="s">
        <v>0</v>
      </c>
    </row>
    <row r="25386" spans="1:1" x14ac:dyDescent="0.3">
      <c r="A25386" t="s">
        <v>0</v>
      </c>
    </row>
    <row r="25387" spans="1:1" x14ac:dyDescent="0.3">
      <c r="A25387" t="s">
        <v>0</v>
      </c>
    </row>
    <row r="25388" spans="1:1" x14ac:dyDescent="0.3">
      <c r="A25388" t="s">
        <v>0</v>
      </c>
    </row>
    <row r="25389" spans="1:1" x14ac:dyDescent="0.3">
      <c r="A25389" t="s">
        <v>0</v>
      </c>
    </row>
    <row r="25390" spans="1:1" x14ac:dyDescent="0.3">
      <c r="A25390" t="s">
        <v>0</v>
      </c>
    </row>
    <row r="25391" spans="1:1" x14ac:dyDescent="0.3">
      <c r="A25391" t="s">
        <v>0</v>
      </c>
    </row>
    <row r="25392" spans="1:1" x14ac:dyDescent="0.3">
      <c r="A25392" t="s">
        <v>0</v>
      </c>
    </row>
    <row r="25393" spans="1:1" x14ac:dyDescent="0.3">
      <c r="A25393" t="s">
        <v>0</v>
      </c>
    </row>
    <row r="25394" spans="1:1" x14ac:dyDescent="0.3">
      <c r="A25394" t="s">
        <v>0</v>
      </c>
    </row>
    <row r="25395" spans="1:1" x14ac:dyDescent="0.3">
      <c r="A25395" t="s">
        <v>0</v>
      </c>
    </row>
    <row r="25396" spans="1:1" x14ac:dyDescent="0.3">
      <c r="A25396" t="s">
        <v>0</v>
      </c>
    </row>
    <row r="25397" spans="1:1" x14ac:dyDescent="0.3">
      <c r="A25397" t="s">
        <v>0</v>
      </c>
    </row>
    <row r="25398" spans="1:1" x14ac:dyDescent="0.3">
      <c r="A25398" t="s">
        <v>0</v>
      </c>
    </row>
    <row r="25399" spans="1:1" x14ac:dyDescent="0.3">
      <c r="A25399" t="s">
        <v>0</v>
      </c>
    </row>
    <row r="25400" spans="1:1" x14ac:dyDescent="0.3">
      <c r="A25400" t="s">
        <v>0</v>
      </c>
    </row>
    <row r="25401" spans="1:1" x14ac:dyDescent="0.3">
      <c r="A25401" t="s">
        <v>0</v>
      </c>
    </row>
    <row r="25402" spans="1:1" x14ac:dyDescent="0.3">
      <c r="A25402" t="s">
        <v>0</v>
      </c>
    </row>
    <row r="25403" spans="1:1" x14ac:dyDescent="0.3">
      <c r="A25403" t="s">
        <v>0</v>
      </c>
    </row>
    <row r="25404" spans="1:1" x14ac:dyDescent="0.3">
      <c r="A25404" t="s">
        <v>0</v>
      </c>
    </row>
    <row r="25405" spans="1:1" x14ac:dyDescent="0.3">
      <c r="A25405" t="s">
        <v>0</v>
      </c>
    </row>
    <row r="25406" spans="1:1" x14ac:dyDescent="0.3">
      <c r="A25406" t="s">
        <v>0</v>
      </c>
    </row>
    <row r="25407" spans="1:1" x14ac:dyDescent="0.3">
      <c r="A25407" t="s">
        <v>0</v>
      </c>
    </row>
    <row r="25408" spans="1:1" x14ac:dyDescent="0.3">
      <c r="A25408" t="s">
        <v>0</v>
      </c>
    </row>
    <row r="25409" spans="1:1" x14ac:dyDescent="0.3">
      <c r="A25409" t="s">
        <v>0</v>
      </c>
    </row>
    <row r="25410" spans="1:1" x14ac:dyDescent="0.3">
      <c r="A25410" t="s">
        <v>0</v>
      </c>
    </row>
    <row r="25411" spans="1:1" x14ac:dyDescent="0.3">
      <c r="A25411" t="s">
        <v>0</v>
      </c>
    </row>
    <row r="25412" spans="1:1" x14ac:dyDescent="0.3">
      <c r="A25412" t="s">
        <v>0</v>
      </c>
    </row>
    <row r="25413" spans="1:1" x14ac:dyDescent="0.3">
      <c r="A25413" t="s">
        <v>0</v>
      </c>
    </row>
    <row r="25414" spans="1:1" x14ac:dyDescent="0.3">
      <c r="A25414" t="s">
        <v>0</v>
      </c>
    </row>
    <row r="25415" spans="1:1" x14ac:dyDescent="0.3">
      <c r="A25415" t="s">
        <v>0</v>
      </c>
    </row>
    <row r="25416" spans="1:1" x14ac:dyDescent="0.3">
      <c r="A25416" t="s">
        <v>0</v>
      </c>
    </row>
    <row r="25417" spans="1:1" x14ac:dyDescent="0.3">
      <c r="A25417" t="s">
        <v>0</v>
      </c>
    </row>
    <row r="25418" spans="1:1" x14ac:dyDescent="0.3">
      <c r="A25418" t="s">
        <v>0</v>
      </c>
    </row>
    <row r="25419" spans="1:1" x14ac:dyDescent="0.3">
      <c r="A25419" t="s">
        <v>0</v>
      </c>
    </row>
    <row r="25420" spans="1:1" x14ac:dyDescent="0.3">
      <c r="A25420" t="s">
        <v>0</v>
      </c>
    </row>
    <row r="25421" spans="1:1" x14ac:dyDescent="0.3">
      <c r="A25421" t="s">
        <v>0</v>
      </c>
    </row>
    <row r="25422" spans="1:1" x14ac:dyDescent="0.3">
      <c r="A25422" t="s">
        <v>0</v>
      </c>
    </row>
    <row r="25423" spans="1:1" x14ac:dyDescent="0.3">
      <c r="A25423" t="s">
        <v>0</v>
      </c>
    </row>
    <row r="25424" spans="1:1" x14ac:dyDescent="0.3">
      <c r="A25424" t="s">
        <v>0</v>
      </c>
    </row>
    <row r="25425" spans="1:1" x14ac:dyDescent="0.3">
      <c r="A25425" t="s">
        <v>0</v>
      </c>
    </row>
    <row r="25426" spans="1:1" x14ac:dyDescent="0.3">
      <c r="A25426" t="s">
        <v>0</v>
      </c>
    </row>
    <row r="25427" spans="1:1" x14ac:dyDescent="0.3">
      <c r="A25427" t="s">
        <v>0</v>
      </c>
    </row>
    <row r="25428" spans="1:1" x14ac:dyDescent="0.3">
      <c r="A25428" t="s">
        <v>0</v>
      </c>
    </row>
    <row r="25429" spans="1:1" x14ac:dyDescent="0.3">
      <c r="A25429" t="s">
        <v>0</v>
      </c>
    </row>
    <row r="25430" spans="1:1" x14ac:dyDescent="0.3">
      <c r="A25430" t="s">
        <v>0</v>
      </c>
    </row>
    <row r="25431" spans="1:1" x14ac:dyDescent="0.3">
      <c r="A25431" t="s">
        <v>0</v>
      </c>
    </row>
    <row r="25432" spans="1:1" x14ac:dyDescent="0.3">
      <c r="A25432" t="s">
        <v>0</v>
      </c>
    </row>
    <row r="25433" spans="1:1" x14ac:dyDescent="0.3">
      <c r="A25433" t="s">
        <v>0</v>
      </c>
    </row>
    <row r="25434" spans="1:1" x14ac:dyDescent="0.3">
      <c r="A25434" t="s">
        <v>0</v>
      </c>
    </row>
    <row r="25435" spans="1:1" x14ac:dyDescent="0.3">
      <c r="A25435" t="s">
        <v>0</v>
      </c>
    </row>
    <row r="25436" spans="1:1" x14ac:dyDescent="0.3">
      <c r="A25436" t="s">
        <v>0</v>
      </c>
    </row>
    <row r="25437" spans="1:1" x14ac:dyDescent="0.3">
      <c r="A25437" t="s">
        <v>0</v>
      </c>
    </row>
    <row r="25438" spans="1:1" x14ac:dyDescent="0.3">
      <c r="A25438" t="s">
        <v>0</v>
      </c>
    </row>
    <row r="25439" spans="1:1" x14ac:dyDescent="0.3">
      <c r="A25439" t="s">
        <v>0</v>
      </c>
    </row>
    <row r="25440" spans="1:1" x14ac:dyDescent="0.3">
      <c r="A25440" t="s">
        <v>0</v>
      </c>
    </row>
    <row r="25441" spans="1:1" x14ac:dyDescent="0.3">
      <c r="A25441" t="s">
        <v>0</v>
      </c>
    </row>
    <row r="25442" spans="1:1" x14ac:dyDescent="0.3">
      <c r="A25442" t="s">
        <v>0</v>
      </c>
    </row>
    <row r="25443" spans="1:1" x14ac:dyDescent="0.3">
      <c r="A25443" t="s">
        <v>0</v>
      </c>
    </row>
    <row r="25444" spans="1:1" x14ac:dyDescent="0.3">
      <c r="A25444" t="s">
        <v>0</v>
      </c>
    </row>
    <row r="25445" spans="1:1" x14ac:dyDescent="0.3">
      <c r="A25445" t="s">
        <v>0</v>
      </c>
    </row>
    <row r="25446" spans="1:1" x14ac:dyDescent="0.3">
      <c r="A25446" t="s">
        <v>0</v>
      </c>
    </row>
    <row r="25447" spans="1:1" x14ac:dyDescent="0.3">
      <c r="A25447" t="s">
        <v>0</v>
      </c>
    </row>
    <row r="25448" spans="1:1" x14ac:dyDescent="0.3">
      <c r="A25448" t="s">
        <v>0</v>
      </c>
    </row>
    <row r="25449" spans="1:1" x14ac:dyDescent="0.3">
      <c r="A25449" t="s">
        <v>0</v>
      </c>
    </row>
    <row r="25450" spans="1:1" x14ac:dyDescent="0.3">
      <c r="A25450" t="s">
        <v>0</v>
      </c>
    </row>
    <row r="25451" spans="1:1" x14ac:dyDescent="0.3">
      <c r="A25451" t="s">
        <v>0</v>
      </c>
    </row>
    <row r="25452" spans="1:1" x14ac:dyDescent="0.3">
      <c r="A25452" t="s">
        <v>0</v>
      </c>
    </row>
    <row r="25453" spans="1:1" x14ac:dyDescent="0.3">
      <c r="A25453" t="s">
        <v>0</v>
      </c>
    </row>
    <row r="25454" spans="1:1" x14ac:dyDescent="0.3">
      <c r="A25454" t="s">
        <v>0</v>
      </c>
    </row>
    <row r="25455" spans="1:1" x14ac:dyDescent="0.3">
      <c r="A25455" t="s">
        <v>0</v>
      </c>
    </row>
    <row r="25456" spans="1:1" x14ac:dyDescent="0.3">
      <c r="A25456" t="s">
        <v>0</v>
      </c>
    </row>
    <row r="25457" spans="1:1" x14ac:dyDescent="0.3">
      <c r="A25457" t="s">
        <v>0</v>
      </c>
    </row>
    <row r="25458" spans="1:1" x14ac:dyDescent="0.3">
      <c r="A25458" t="s">
        <v>0</v>
      </c>
    </row>
    <row r="25459" spans="1:1" x14ac:dyDescent="0.3">
      <c r="A25459" t="s">
        <v>0</v>
      </c>
    </row>
    <row r="25460" spans="1:1" x14ac:dyDescent="0.3">
      <c r="A25460" t="s">
        <v>0</v>
      </c>
    </row>
    <row r="25461" spans="1:1" x14ac:dyDescent="0.3">
      <c r="A25461" t="s">
        <v>0</v>
      </c>
    </row>
    <row r="25462" spans="1:1" x14ac:dyDescent="0.3">
      <c r="A25462" t="s">
        <v>0</v>
      </c>
    </row>
    <row r="25463" spans="1:1" x14ac:dyDescent="0.3">
      <c r="A25463" t="s">
        <v>0</v>
      </c>
    </row>
    <row r="25464" spans="1:1" x14ac:dyDescent="0.3">
      <c r="A25464" t="s">
        <v>0</v>
      </c>
    </row>
    <row r="25465" spans="1:1" x14ac:dyDescent="0.3">
      <c r="A25465" t="s">
        <v>0</v>
      </c>
    </row>
    <row r="25466" spans="1:1" x14ac:dyDescent="0.3">
      <c r="A25466" t="s">
        <v>0</v>
      </c>
    </row>
    <row r="25467" spans="1:1" x14ac:dyDescent="0.3">
      <c r="A25467" t="s">
        <v>0</v>
      </c>
    </row>
    <row r="25468" spans="1:1" x14ac:dyDescent="0.3">
      <c r="A25468" t="s">
        <v>0</v>
      </c>
    </row>
    <row r="25469" spans="1:1" x14ac:dyDescent="0.3">
      <c r="A25469" t="s">
        <v>0</v>
      </c>
    </row>
    <row r="25470" spans="1:1" x14ac:dyDescent="0.3">
      <c r="A25470" t="s">
        <v>0</v>
      </c>
    </row>
    <row r="25471" spans="1:1" x14ac:dyDescent="0.3">
      <c r="A25471" t="s">
        <v>0</v>
      </c>
    </row>
    <row r="25472" spans="1:1" x14ac:dyDescent="0.3">
      <c r="A25472" t="s">
        <v>0</v>
      </c>
    </row>
    <row r="25473" spans="1:1" x14ac:dyDescent="0.3">
      <c r="A25473" t="s">
        <v>0</v>
      </c>
    </row>
    <row r="25474" spans="1:1" x14ac:dyDescent="0.3">
      <c r="A25474" t="s">
        <v>0</v>
      </c>
    </row>
    <row r="25475" spans="1:1" x14ac:dyDescent="0.3">
      <c r="A25475" t="s">
        <v>0</v>
      </c>
    </row>
    <row r="25476" spans="1:1" x14ac:dyDescent="0.3">
      <c r="A25476" t="s">
        <v>0</v>
      </c>
    </row>
    <row r="25477" spans="1:1" x14ac:dyDescent="0.3">
      <c r="A25477" t="s">
        <v>0</v>
      </c>
    </row>
    <row r="25478" spans="1:1" x14ac:dyDescent="0.3">
      <c r="A25478" t="s">
        <v>0</v>
      </c>
    </row>
    <row r="25479" spans="1:1" x14ac:dyDescent="0.3">
      <c r="A25479" t="s">
        <v>0</v>
      </c>
    </row>
    <row r="25480" spans="1:1" x14ac:dyDescent="0.3">
      <c r="A25480" t="s">
        <v>0</v>
      </c>
    </row>
    <row r="25481" spans="1:1" x14ac:dyDescent="0.3">
      <c r="A25481" t="s">
        <v>0</v>
      </c>
    </row>
    <row r="25482" spans="1:1" x14ac:dyDescent="0.3">
      <c r="A25482" t="s">
        <v>0</v>
      </c>
    </row>
    <row r="25483" spans="1:1" x14ac:dyDescent="0.3">
      <c r="A25483" t="s">
        <v>0</v>
      </c>
    </row>
    <row r="25484" spans="1:1" x14ac:dyDescent="0.3">
      <c r="A25484" t="s">
        <v>0</v>
      </c>
    </row>
    <row r="25485" spans="1:1" x14ac:dyDescent="0.3">
      <c r="A25485" t="s">
        <v>0</v>
      </c>
    </row>
    <row r="25486" spans="1:1" x14ac:dyDescent="0.3">
      <c r="A25486" t="s">
        <v>0</v>
      </c>
    </row>
    <row r="25487" spans="1:1" x14ac:dyDescent="0.3">
      <c r="A25487" t="s">
        <v>0</v>
      </c>
    </row>
    <row r="25488" spans="1:1" x14ac:dyDescent="0.3">
      <c r="A25488" t="s">
        <v>0</v>
      </c>
    </row>
    <row r="25489" spans="1:1" x14ac:dyDescent="0.3">
      <c r="A25489" t="s">
        <v>0</v>
      </c>
    </row>
    <row r="25490" spans="1:1" x14ac:dyDescent="0.3">
      <c r="A25490" t="s">
        <v>0</v>
      </c>
    </row>
    <row r="25491" spans="1:1" x14ac:dyDescent="0.3">
      <c r="A25491" t="s">
        <v>0</v>
      </c>
    </row>
    <row r="25492" spans="1:1" x14ac:dyDescent="0.3">
      <c r="A25492" t="s">
        <v>0</v>
      </c>
    </row>
    <row r="25493" spans="1:1" x14ac:dyDescent="0.3">
      <c r="A25493" t="s">
        <v>0</v>
      </c>
    </row>
    <row r="25494" spans="1:1" x14ac:dyDescent="0.3">
      <c r="A25494" t="s">
        <v>0</v>
      </c>
    </row>
    <row r="25495" spans="1:1" x14ac:dyDescent="0.3">
      <c r="A25495" t="s">
        <v>0</v>
      </c>
    </row>
    <row r="25496" spans="1:1" x14ac:dyDescent="0.3">
      <c r="A25496" t="s">
        <v>0</v>
      </c>
    </row>
    <row r="25497" spans="1:1" x14ac:dyDescent="0.3">
      <c r="A25497" t="s">
        <v>0</v>
      </c>
    </row>
    <row r="25498" spans="1:1" x14ac:dyDescent="0.3">
      <c r="A25498" t="s">
        <v>0</v>
      </c>
    </row>
    <row r="25499" spans="1:1" x14ac:dyDescent="0.3">
      <c r="A25499" t="s">
        <v>0</v>
      </c>
    </row>
    <row r="25500" spans="1:1" x14ac:dyDescent="0.3">
      <c r="A25500" t="s">
        <v>0</v>
      </c>
    </row>
    <row r="25501" spans="1:1" x14ac:dyDescent="0.3">
      <c r="A25501" t="s">
        <v>0</v>
      </c>
    </row>
    <row r="25502" spans="1:1" x14ac:dyDescent="0.3">
      <c r="A25502" t="s">
        <v>0</v>
      </c>
    </row>
    <row r="25503" spans="1:1" x14ac:dyDescent="0.3">
      <c r="A25503" t="s">
        <v>0</v>
      </c>
    </row>
    <row r="25504" spans="1:1" x14ac:dyDescent="0.3">
      <c r="A25504" t="s">
        <v>0</v>
      </c>
    </row>
    <row r="25505" spans="1:1" x14ac:dyDescent="0.3">
      <c r="A25505" t="s">
        <v>0</v>
      </c>
    </row>
    <row r="25506" spans="1:1" x14ac:dyDescent="0.3">
      <c r="A25506" t="s">
        <v>0</v>
      </c>
    </row>
    <row r="25507" spans="1:1" x14ac:dyDescent="0.3">
      <c r="A25507" t="s">
        <v>0</v>
      </c>
    </row>
    <row r="25508" spans="1:1" x14ac:dyDescent="0.3">
      <c r="A25508" t="s">
        <v>0</v>
      </c>
    </row>
    <row r="25509" spans="1:1" x14ac:dyDescent="0.3">
      <c r="A25509" t="s">
        <v>0</v>
      </c>
    </row>
    <row r="25510" spans="1:1" x14ac:dyDescent="0.3">
      <c r="A25510" t="s">
        <v>0</v>
      </c>
    </row>
    <row r="25511" spans="1:1" x14ac:dyDescent="0.3">
      <c r="A25511" t="s">
        <v>0</v>
      </c>
    </row>
    <row r="25512" spans="1:1" x14ac:dyDescent="0.3">
      <c r="A25512" t="s">
        <v>0</v>
      </c>
    </row>
    <row r="25513" spans="1:1" x14ac:dyDescent="0.3">
      <c r="A25513" t="s">
        <v>0</v>
      </c>
    </row>
    <row r="25514" spans="1:1" x14ac:dyDescent="0.3">
      <c r="A25514" t="s">
        <v>0</v>
      </c>
    </row>
    <row r="25515" spans="1:1" x14ac:dyDescent="0.3">
      <c r="A25515" t="s">
        <v>0</v>
      </c>
    </row>
    <row r="25516" spans="1:1" x14ac:dyDescent="0.3">
      <c r="A25516" t="s">
        <v>0</v>
      </c>
    </row>
    <row r="25517" spans="1:1" x14ac:dyDescent="0.3">
      <c r="A25517" t="s">
        <v>0</v>
      </c>
    </row>
    <row r="25518" spans="1:1" x14ac:dyDescent="0.3">
      <c r="A25518" t="s">
        <v>0</v>
      </c>
    </row>
    <row r="25519" spans="1:1" x14ac:dyDescent="0.3">
      <c r="A25519" t="s">
        <v>0</v>
      </c>
    </row>
    <row r="25520" spans="1:1" x14ac:dyDescent="0.3">
      <c r="A25520" t="s">
        <v>0</v>
      </c>
    </row>
    <row r="25521" spans="1:1" x14ac:dyDescent="0.3">
      <c r="A25521" t="s">
        <v>0</v>
      </c>
    </row>
    <row r="25522" spans="1:1" x14ac:dyDescent="0.3">
      <c r="A25522" t="s">
        <v>0</v>
      </c>
    </row>
    <row r="25523" spans="1:1" x14ac:dyDescent="0.3">
      <c r="A25523" t="s">
        <v>0</v>
      </c>
    </row>
    <row r="25524" spans="1:1" x14ac:dyDescent="0.3">
      <c r="A25524" t="s">
        <v>0</v>
      </c>
    </row>
    <row r="25525" spans="1:1" x14ac:dyDescent="0.3">
      <c r="A25525" t="s">
        <v>0</v>
      </c>
    </row>
    <row r="25526" spans="1:1" x14ac:dyDescent="0.3">
      <c r="A25526" t="s">
        <v>0</v>
      </c>
    </row>
    <row r="25527" spans="1:1" x14ac:dyDescent="0.3">
      <c r="A25527" t="s">
        <v>0</v>
      </c>
    </row>
    <row r="25528" spans="1:1" x14ac:dyDescent="0.3">
      <c r="A25528" t="s">
        <v>0</v>
      </c>
    </row>
    <row r="25529" spans="1:1" x14ac:dyDescent="0.3">
      <c r="A25529" t="s">
        <v>0</v>
      </c>
    </row>
    <row r="25530" spans="1:1" x14ac:dyDescent="0.3">
      <c r="A25530" t="s">
        <v>0</v>
      </c>
    </row>
    <row r="25531" spans="1:1" x14ac:dyDescent="0.3">
      <c r="A25531" t="s">
        <v>0</v>
      </c>
    </row>
    <row r="25532" spans="1:1" x14ac:dyDescent="0.3">
      <c r="A25532" t="s">
        <v>0</v>
      </c>
    </row>
    <row r="25533" spans="1:1" x14ac:dyDescent="0.3">
      <c r="A25533" t="s">
        <v>0</v>
      </c>
    </row>
    <row r="25534" spans="1:1" x14ac:dyDescent="0.3">
      <c r="A25534" t="s">
        <v>0</v>
      </c>
    </row>
    <row r="25535" spans="1:1" x14ac:dyDescent="0.3">
      <c r="A25535" t="s">
        <v>0</v>
      </c>
    </row>
    <row r="25536" spans="1:1" x14ac:dyDescent="0.3">
      <c r="A25536" t="s">
        <v>0</v>
      </c>
    </row>
    <row r="25537" spans="1:1" x14ac:dyDescent="0.3">
      <c r="A25537" t="s">
        <v>0</v>
      </c>
    </row>
    <row r="25538" spans="1:1" x14ac:dyDescent="0.3">
      <c r="A25538" t="s">
        <v>0</v>
      </c>
    </row>
    <row r="25539" spans="1:1" x14ac:dyDescent="0.3">
      <c r="A25539" t="s">
        <v>0</v>
      </c>
    </row>
    <row r="25540" spans="1:1" x14ac:dyDescent="0.3">
      <c r="A25540" t="s">
        <v>0</v>
      </c>
    </row>
    <row r="25541" spans="1:1" x14ac:dyDescent="0.3">
      <c r="A25541" t="s">
        <v>0</v>
      </c>
    </row>
    <row r="25542" spans="1:1" x14ac:dyDescent="0.3">
      <c r="A25542" t="s">
        <v>0</v>
      </c>
    </row>
    <row r="25543" spans="1:1" x14ac:dyDescent="0.3">
      <c r="A25543" t="s">
        <v>0</v>
      </c>
    </row>
    <row r="25544" spans="1:1" x14ac:dyDescent="0.3">
      <c r="A25544" t="s">
        <v>0</v>
      </c>
    </row>
    <row r="25545" spans="1:1" x14ac:dyDescent="0.3">
      <c r="A25545" t="s">
        <v>0</v>
      </c>
    </row>
    <row r="25546" spans="1:1" x14ac:dyDescent="0.3">
      <c r="A25546" t="s">
        <v>0</v>
      </c>
    </row>
    <row r="25547" spans="1:1" x14ac:dyDescent="0.3">
      <c r="A25547" t="s">
        <v>0</v>
      </c>
    </row>
    <row r="25548" spans="1:1" x14ac:dyDescent="0.3">
      <c r="A25548" t="s">
        <v>0</v>
      </c>
    </row>
    <row r="25549" spans="1:1" x14ac:dyDescent="0.3">
      <c r="A25549" t="s">
        <v>0</v>
      </c>
    </row>
    <row r="25550" spans="1:1" x14ac:dyDescent="0.3">
      <c r="A25550" t="s">
        <v>0</v>
      </c>
    </row>
    <row r="25551" spans="1:1" x14ac:dyDescent="0.3">
      <c r="A25551" t="s">
        <v>0</v>
      </c>
    </row>
    <row r="25552" spans="1:1" x14ac:dyDescent="0.3">
      <c r="A25552" t="s">
        <v>0</v>
      </c>
    </row>
    <row r="25553" spans="1:1" x14ac:dyDescent="0.3">
      <c r="A25553" t="s">
        <v>0</v>
      </c>
    </row>
    <row r="25554" spans="1:1" x14ac:dyDescent="0.3">
      <c r="A25554" t="s">
        <v>0</v>
      </c>
    </row>
    <row r="25555" spans="1:1" x14ac:dyDescent="0.3">
      <c r="A25555" t="s">
        <v>0</v>
      </c>
    </row>
    <row r="25556" spans="1:1" x14ac:dyDescent="0.3">
      <c r="A25556" t="s">
        <v>0</v>
      </c>
    </row>
    <row r="25557" spans="1:1" x14ac:dyDescent="0.3">
      <c r="A25557" t="s">
        <v>0</v>
      </c>
    </row>
    <row r="25558" spans="1:1" x14ac:dyDescent="0.3">
      <c r="A25558" t="s">
        <v>0</v>
      </c>
    </row>
    <row r="25559" spans="1:1" x14ac:dyDescent="0.3">
      <c r="A25559" t="s">
        <v>0</v>
      </c>
    </row>
    <row r="25560" spans="1:1" x14ac:dyDescent="0.3">
      <c r="A25560" t="s">
        <v>0</v>
      </c>
    </row>
    <row r="25561" spans="1:1" x14ac:dyDescent="0.3">
      <c r="A25561" t="s">
        <v>0</v>
      </c>
    </row>
    <row r="25562" spans="1:1" x14ac:dyDescent="0.3">
      <c r="A25562" t="s">
        <v>0</v>
      </c>
    </row>
    <row r="25563" spans="1:1" x14ac:dyDescent="0.3">
      <c r="A25563" t="s">
        <v>0</v>
      </c>
    </row>
    <row r="25564" spans="1:1" x14ac:dyDescent="0.3">
      <c r="A25564" t="s">
        <v>0</v>
      </c>
    </row>
    <row r="25565" spans="1:1" x14ac:dyDescent="0.3">
      <c r="A25565" t="s">
        <v>0</v>
      </c>
    </row>
    <row r="25566" spans="1:1" x14ac:dyDescent="0.3">
      <c r="A25566" t="s">
        <v>0</v>
      </c>
    </row>
    <row r="25567" spans="1:1" x14ac:dyDescent="0.3">
      <c r="A25567" t="s">
        <v>0</v>
      </c>
    </row>
    <row r="25568" spans="1:1" x14ac:dyDescent="0.3">
      <c r="A25568" t="s">
        <v>0</v>
      </c>
    </row>
    <row r="25569" spans="1:1" x14ac:dyDescent="0.3">
      <c r="A25569" t="s">
        <v>0</v>
      </c>
    </row>
    <row r="25570" spans="1:1" x14ac:dyDescent="0.3">
      <c r="A25570" t="s">
        <v>0</v>
      </c>
    </row>
    <row r="25571" spans="1:1" x14ac:dyDescent="0.3">
      <c r="A25571" t="s">
        <v>0</v>
      </c>
    </row>
    <row r="25572" spans="1:1" x14ac:dyDescent="0.3">
      <c r="A25572" t="s">
        <v>0</v>
      </c>
    </row>
    <row r="25573" spans="1:1" x14ac:dyDescent="0.3">
      <c r="A25573" t="s">
        <v>0</v>
      </c>
    </row>
    <row r="25574" spans="1:1" x14ac:dyDescent="0.3">
      <c r="A25574" t="s">
        <v>0</v>
      </c>
    </row>
    <row r="25575" spans="1:1" x14ac:dyDescent="0.3">
      <c r="A25575" t="s">
        <v>0</v>
      </c>
    </row>
    <row r="25576" spans="1:1" x14ac:dyDescent="0.3">
      <c r="A25576" t="s">
        <v>0</v>
      </c>
    </row>
    <row r="25577" spans="1:1" x14ac:dyDescent="0.3">
      <c r="A25577" t="s">
        <v>0</v>
      </c>
    </row>
    <row r="25578" spans="1:1" x14ac:dyDescent="0.3">
      <c r="A25578" t="s">
        <v>0</v>
      </c>
    </row>
    <row r="25579" spans="1:1" x14ac:dyDescent="0.3">
      <c r="A25579" t="s">
        <v>0</v>
      </c>
    </row>
    <row r="25580" spans="1:1" x14ac:dyDescent="0.3">
      <c r="A25580" t="s">
        <v>0</v>
      </c>
    </row>
    <row r="25581" spans="1:1" x14ac:dyDescent="0.3">
      <c r="A25581" t="s">
        <v>0</v>
      </c>
    </row>
    <row r="25582" spans="1:1" x14ac:dyDescent="0.3">
      <c r="A25582" t="s">
        <v>0</v>
      </c>
    </row>
    <row r="25583" spans="1:1" x14ac:dyDescent="0.3">
      <c r="A25583" t="s">
        <v>0</v>
      </c>
    </row>
    <row r="25584" spans="1:1" x14ac:dyDescent="0.3">
      <c r="A25584" t="s">
        <v>0</v>
      </c>
    </row>
    <row r="25585" spans="1:1" x14ac:dyDescent="0.3">
      <c r="A25585" t="s">
        <v>0</v>
      </c>
    </row>
    <row r="25586" spans="1:1" x14ac:dyDescent="0.3">
      <c r="A25586" t="s">
        <v>0</v>
      </c>
    </row>
    <row r="25587" spans="1:1" x14ac:dyDescent="0.3">
      <c r="A25587" t="s">
        <v>0</v>
      </c>
    </row>
    <row r="25588" spans="1:1" x14ac:dyDescent="0.3">
      <c r="A25588" t="s">
        <v>0</v>
      </c>
    </row>
    <row r="25589" spans="1:1" x14ac:dyDescent="0.3">
      <c r="A25589" t="s">
        <v>0</v>
      </c>
    </row>
    <row r="25590" spans="1:1" x14ac:dyDescent="0.3">
      <c r="A25590" t="s">
        <v>0</v>
      </c>
    </row>
    <row r="25591" spans="1:1" x14ac:dyDescent="0.3">
      <c r="A25591" t="s">
        <v>0</v>
      </c>
    </row>
    <row r="25592" spans="1:1" x14ac:dyDescent="0.3">
      <c r="A25592" t="s">
        <v>0</v>
      </c>
    </row>
    <row r="25593" spans="1:1" x14ac:dyDescent="0.3">
      <c r="A25593" t="s">
        <v>0</v>
      </c>
    </row>
    <row r="25594" spans="1:1" x14ac:dyDescent="0.3">
      <c r="A25594" t="s">
        <v>0</v>
      </c>
    </row>
    <row r="25595" spans="1:1" x14ac:dyDescent="0.3">
      <c r="A25595" t="s">
        <v>0</v>
      </c>
    </row>
    <row r="25596" spans="1:1" x14ac:dyDescent="0.3">
      <c r="A25596" t="s">
        <v>0</v>
      </c>
    </row>
    <row r="25597" spans="1:1" x14ac:dyDescent="0.3">
      <c r="A25597" t="s">
        <v>0</v>
      </c>
    </row>
    <row r="25598" spans="1:1" x14ac:dyDescent="0.3">
      <c r="A25598" t="s">
        <v>0</v>
      </c>
    </row>
    <row r="25599" spans="1:1" x14ac:dyDescent="0.3">
      <c r="A25599" t="s">
        <v>0</v>
      </c>
    </row>
    <row r="25600" spans="1:1" x14ac:dyDescent="0.3">
      <c r="A25600" t="s">
        <v>0</v>
      </c>
    </row>
    <row r="25601" spans="1:1" x14ac:dyDescent="0.3">
      <c r="A25601" t="s">
        <v>0</v>
      </c>
    </row>
    <row r="25602" spans="1:1" x14ac:dyDescent="0.3">
      <c r="A25602" t="s">
        <v>0</v>
      </c>
    </row>
    <row r="25603" spans="1:1" x14ac:dyDescent="0.3">
      <c r="A25603" t="s">
        <v>0</v>
      </c>
    </row>
    <row r="25604" spans="1:1" x14ac:dyDescent="0.3">
      <c r="A25604" t="s">
        <v>0</v>
      </c>
    </row>
    <row r="25605" spans="1:1" x14ac:dyDescent="0.3">
      <c r="A25605" t="s">
        <v>0</v>
      </c>
    </row>
    <row r="25606" spans="1:1" x14ac:dyDescent="0.3">
      <c r="A25606" t="s">
        <v>0</v>
      </c>
    </row>
    <row r="25607" spans="1:1" x14ac:dyDescent="0.3">
      <c r="A25607" t="s">
        <v>0</v>
      </c>
    </row>
    <row r="25608" spans="1:1" x14ac:dyDescent="0.3">
      <c r="A25608" t="s">
        <v>0</v>
      </c>
    </row>
    <row r="25609" spans="1:1" x14ac:dyDescent="0.3">
      <c r="A25609" t="s">
        <v>0</v>
      </c>
    </row>
    <row r="25610" spans="1:1" x14ac:dyDescent="0.3">
      <c r="A25610" t="s">
        <v>0</v>
      </c>
    </row>
    <row r="25611" spans="1:1" x14ac:dyDescent="0.3">
      <c r="A25611" t="s">
        <v>0</v>
      </c>
    </row>
    <row r="25612" spans="1:1" x14ac:dyDescent="0.3">
      <c r="A25612" t="s">
        <v>0</v>
      </c>
    </row>
    <row r="25613" spans="1:1" x14ac:dyDescent="0.3">
      <c r="A25613" t="s">
        <v>0</v>
      </c>
    </row>
    <row r="25614" spans="1:1" x14ac:dyDescent="0.3">
      <c r="A25614" t="s">
        <v>0</v>
      </c>
    </row>
    <row r="25615" spans="1:1" x14ac:dyDescent="0.3">
      <c r="A25615" t="s">
        <v>0</v>
      </c>
    </row>
    <row r="25616" spans="1:1" x14ac:dyDescent="0.3">
      <c r="A25616" t="s">
        <v>0</v>
      </c>
    </row>
    <row r="25617" spans="1:1" x14ac:dyDescent="0.3">
      <c r="A25617" t="s">
        <v>0</v>
      </c>
    </row>
    <row r="25618" spans="1:1" x14ac:dyDescent="0.3">
      <c r="A25618" t="s">
        <v>0</v>
      </c>
    </row>
    <row r="25619" spans="1:1" x14ac:dyDescent="0.3">
      <c r="A25619" t="s">
        <v>0</v>
      </c>
    </row>
    <row r="25620" spans="1:1" x14ac:dyDescent="0.3">
      <c r="A25620" t="s">
        <v>0</v>
      </c>
    </row>
    <row r="25621" spans="1:1" x14ac:dyDescent="0.3">
      <c r="A25621" t="s">
        <v>0</v>
      </c>
    </row>
    <row r="25622" spans="1:1" x14ac:dyDescent="0.3">
      <c r="A25622" t="s">
        <v>0</v>
      </c>
    </row>
    <row r="25623" spans="1:1" x14ac:dyDescent="0.3">
      <c r="A25623" t="s">
        <v>0</v>
      </c>
    </row>
    <row r="25624" spans="1:1" x14ac:dyDescent="0.3">
      <c r="A25624" t="s">
        <v>0</v>
      </c>
    </row>
    <row r="25625" spans="1:1" x14ac:dyDescent="0.3">
      <c r="A25625" t="s">
        <v>0</v>
      </c>
    </row>
    <row r="25626" spans="1:1" x14ac:dyDescent="0.3">
      <c r="A25626" t="s">
        <v>0</v>
      </c>
    </row>
    <row r="25627" spans="1:1" x14ac:dyDescent="0.3">
      <c r="A25627" t="s">
        <v>0</v>
      </c>
    </row>
    <row r="25628" spans="1:1" x14ac:dyDescent="0.3">
      <c r="A25628" t="s">
        <v>0</v>
      </c>
    </row>
    <row r="25629" spans="1:1" x14ac:dyDescent="0.3">
      <c r="A25629" t="s">
        <v>0</v>
      </c>
    </row>
    <row r="25630" spans="1:1" x14ac:dyDescent="0.3">
      <c r="A25630" t="s">
        <v>0</v>
      </c>
    </row>
    <row r="25631" spans="1:1" x14ac:dyDescent="0.3">
      <c r="A25631" t="s">
        <v>0</v>
      </c>
    </row>
    <row r="25632" spans="1:1" x14ac:dyDescent="0.3">
      <c r="A25632" t="s">
        <v>0</v>
      </c>
    </row>
    <row r="25633" spans="1:1" x14ac:dyDescent="0.3">
      <c r="A25633" t="s">
        <v>0</v>
      </c>
    </row>
    <row r="25634" spans="1:1" x14ac:dyDescent="0.3">
      <c r="A25634" t="s">
        <v>0</v>
      </c>
    </row>
    <row r="25635" spans="1:1" x14ac:dyDescent="0.3">
      <c r="A25635" t="s">
        <v>0</v>
      </c>
    </row>
    <row r="25636" spans="1:1" x14ac:dyDescent="0.3">
      <c r="A25636" t="s">
        <v>0</v>
      </c>
    </row>
    <row r="25637" spans="1:1" x14ac:dyDescent="0.3">
      <c r="A25637" t="s">
        <v>0</v>
      </c>
    </row>
    <row r="25638" spans="1:1" x14ac:dyDescent="0.3">
      <c r="A25638" t="s">
        <v>0</v>
      </c>
    </row>
    <row r="25639" spans="1:1" x14ac:dyDescent="0.3">
      <c r="A25639" t="s">
        <v>0</v>
      </c>
    </row>
    <row r="25640" spans="1:1" x14ac:dyDescent="0.3">
      <c r="A25640" t="s">
        <v>0</v>
      </c>
    </row>
    <row r="25641" spans="1:1" x14ac:dyDescent="0.3">
      <c r="A25641" t="s">
        <v>0</v>
      </c>
    </row>
    <row r="25642" spans="1:1" x14ac:dyDescent="0.3">
      <c r="A25642" t="s">
        <v>0</v>
      </c>
    </row>
    <row r="25643" spans="1:1" x14ac:dyDescent="0.3">
      <c r="A25643" t="s">
        <v>0</v>
      </c>
    </row>
    <row r="25644" spans="1:1" x14ac:dyDescent="0.3">
      <c r="A25644" t="s">
        <v>0</v>
      </c>
    </row>
    <row r="25645" spans="1:1" x14ac:dyDescent="0.3">
      <c r="A25645" t="s">
        <v>0</v>
      </c>
    </row>
    <row r="25646" spans="1:1" x14ac:dyDescent="0.3">
      <c r="A25646" t="s">
        <v>0</v>
      </c>
    </row>
    <row r="25647" spans="1:1" x14ac:dyDescent="0.3">
      <c r="A25647" t="s">
        <v>0</v>
      </c>
    </row>
    <row r="25648" spans="1:1" x14ac:dyDescent="0.3">
      <c r="A25648" t="s">
        <v>0</v>
      </c>
    </row>
    <row r="25649" spans="1:1" x14ac:dyDescent="0.3">
      <c r="A25649" t="s">
        <v>0</v>
      </c>
    </row>
    <row r="25650" spans="1:1" x14ac:dyDescent="0.3">
      <c r="A25650" t="s">
        <v>0</v>
      </c>
    </row>
    <row r="25651" spans="1:1" x14ac:dyDescent="0.3">
      <c r="A25651" t="s">
        <v>0</v>
      </c>
    </row>
    <row r="25652" spans="1:1" x14ac:dyDescent="0.3">
      <c r="A25652" t="s">
        <v>0</v>
      </c>
    </row>
    <row r="25653" spans="1:1" x14ac:dyDescent="0.3">
      <c r="A25653" t="s">
        <v>0</v>
      </c>
    </row>
    <row r="25654" spans="1:1" x14ac:dyDescent="0.3">
      <c r="A25654" t="s">
        <v>0</v>
      </c>
    </row>
    <row r="25655" spans="1:1" x14ac:dyDescent="0.3">
      <c r="A25655" t="s">
        <v>0</v>
      </c>
    </row>
    <row r="25656" spans="1:1" x14ac:dyDescent="0.3">
      <c r="A25656" t="s">
        <v>0</v>
      </c>
    </row>
    <row r="25657" spans="1:1" x14ac:dyDescent="0.3">
      <c r="A25657" t="s">
        <v>0</v>
      </c>
    </row>
    <row r="25658" spans="1:1" x14ac:dyDescent="0.3">
      <c r="A25658" t="s">
        <v>0</v>
      </c>
    </row>
    <row r="25659" spans="1:1" x14ac:dyDescent="0.3">
      <c r="A25659" t="s">
        <v>0</v>
      </c>
    </row>
    <row r="25660" spans="1:1" x14ac:dyDescent="0.3">
      <c r="A25660" t="s">
        <v>0</v>
      </c>
    </row>
    <row r="25661" spans="1:1" x14ac:dyDescent="0.3">
      <c r="A25661" t="s">
        <v>0</v>
      </c>
    </row>
    <row r="25662" spans="1:1" x14ac:dyDescent="0.3">
      <c r="A25662" t="s">
        <v>0</v>
      </c>
    </row>
    <row r="25663" spans="1:1" x14ac:dyDescent="0.3">
      <c r="A25663" t="s">
        <v>0</v>
      </c>
    </row>
    <row r="25664" spans="1:1" x14ac:dyDescent="0.3">
      <c r="A25664" t="s">
        <v>0</v>
      </c>
    </row>
    <row r="25665" spans="1:1" x14ac:dyDescent="0.3">
      <c r="A25665" t="s">
        <v>0</v>
      </c>
    </row>
    <row r="25666" spans="1:1" x14ac:dyDescent="0.3">
      <c r="A25666" t="s">
        <v>0</v>
      </c>
    </row>
    <row r="25667" spans="1:1" x14ac:dyDescent="0.3">
      <c r="A25667" t="s">
        <v>0</v>
      </c>
    </row>
    <row r="25668" spans="1:1" x14ac:dyDescent="0.3">
      <c r="A25668" t="s">
        <v>0</v>
      </c>
    </row>
    <row r="25669" spans="1:1" x14ac:dyDescent="0.3">
      <c r="A25669" t="s">
        <v>0</v>
      </c>
    </row>
    <row r="25670" spans="1:1" x14ac:dyDescent="0.3">
      <c r="A25670" t="s">
        <v>0</v>
      </c>
    </row>
    <row r="25671" spans="1:1" x14ac:dyDescent="0.3">
      <c r="A25671" t="s">
        <v>0</v>
      </c>
    </row>
    <row r="25672" spans="1:1" x14ac:dyDescent="0.3">
      <c r="A25672" t="s">
        <v>0</v>
      </c>
    </row>
    <row r="25673" spans="1:1" x14ac:dyDescent="0.3">
      <c r="A25673" t="s">
        <v>0</v>
      </c>
    </row>
    <row r="25674" spans="1:1" x14ac:dyDescent="0.3">
      <c r="A25674" t="s">
        <v>0</v>
      </c>
    </row>
    <row r="25675" spans="1:1" x14ac:dyDescent="0.3">
      <c r="A25675" t="s">
        <v>0</v>
      </c>
    </row>
    <row r="25676" spans="1:1" x14ac:dyDescent="0.3">
      <c r="A25676" t="s">
        <v>0</v>
      </c>
    </row>
    <row r="25677" spans="1:1" x14ac:dyDescent="0.3">
      <c r="A25677" t="s">
        <v>0</v>
      </c>
    </row>
    <row r="25678" spans="1:1" x14ac:dyDescent="0.3">
      <c r="A25678" t="s">
        <v>0</v>
      </c>
    </row>
    <row r="25679" spans="1:1" x14ac:dyDescent="0.3">
      <c r="A25679" t="s">
        <v>0</v>
      </c>
    </row>
    <row r="25680" spans="1:1" x14ac:dyDescent="0.3">
      <c r="A25680" t="s">
        <v>0</v>
      </c>
    </row>
    <row r="25681" spans="1:1" x14ac:dyDescent="0.3">
      <c r="A25681" t="s">
        <v>0</v>
      </c>
    </row>
    <row r="25682" spans="1:1" x14ac:dyDescent="0.3">
      <c r="A25682" t="s">
        <v>0</v>
      </c>
    </row>
    <row r="25683" spans="1:1" x14ac:dyDescent="0.3">
      <c r="A25683" t="s">
        <v>0</v>
      </c>
    </row>
    <row r="25684" spans="1:1" x14ac:dyDescent="0.3">
      <c r="A25684" t="s">
        <v>0</v>
      </c>
    </row>
    <row r="25685" spans="1:1" x14ac:dyDescent="0.3">
      <c r="A25685" t="s">
        <v>0</v>
      </c>
    </row>
    <row r="25686" spans="1:1" x14ac:dyDescent="0.3">
      <c r="A25686" t="s">
        <v>0</v>
      </c>
    </row>
    <row r="25687" spans="1:1" x14ac:dyDescent="0.3">
      <c r="A25687" t="s">
        <v>0</v>
      </c>
    </row>
    <row r="25688" spans="1:1" x14ac:dyDescent="0.3">
      <c r="A25688" t="s">
        <v>0</v>
      </c>
    </row>
    <row r="25689" spans="1:1" x14ac:dyDescent="0.3">
      <c r="A25689" t="s">
        <v>0</v>
      </c>
    </row>
    <row r="25690" spans="1:1" x14ac:dyDescent="0.3">
      <c r="A25690" t="s">
        <v>0</v>
      </c>
    </row>
    <row r="25691" spans="1:1" x14ac:dyDescent="0.3">
      <c r="A25691" t="s">
        <v>0</v>
      </c>
    </row>
    <row r="25692" spans="1:1" x14ac:dyDescent="0.3">
      <c r="A25692" t="s">
        <v>0</v>
      </c>
    </row>
    <row r="25693" spans="1:1" x14ac:dyDescent="0.3">
      <c r="A25693" t="s">
        <v>0</v>
      </c>
    </row>
    <row r="25694" spans="1:1" x14ac:dyDescent="0.3">
      <c r="A25694" t="s">
        <v>0</v>
      </c>
    </row>
    <row r="25695" spans="1:1" x14ac:dyDescent="0.3">
      <c r="A25695" t="s">
        <v>0</v>
      </c>
    </row>
    <row r="25696" spans="1:1" x14ac:dyDescent="0.3">
      <c r="A25696" t="s">
        <v>0</v>
      </c>
    </row>
    <row r="25697" spans="1:1" x14ac:dyDescent="0.3">
      <c r="A25697" t="s">
        <v>0</v>
      </c>
    </row>
    <row r="25698" spans="1:1" x14ac:dyDescent="0.3">
      <c r="A25698" t="s">
        <v>0</v>
      </c>
    </row>
    <row r="25699" spans="1:1" x14ac:dyDescent="0.3">
      <c r="A25699" t="s">
        <v>0</v>
      </c>
    </row>
    <row r="25700" spans="1:1" x14ac:dyDescent="0.3">
      <c r="A25700" t="s">
        <v>0</v>
      </c>
    </row>
    <row r="25701" spans="1:1" x14ac:dyDescent="0.3">
      <c r="A25701" t="s">
        <v>0</v>
      </c>
    </row>
    <row r="25702" spans="1:1" x14ac:dyDescent="0.3">
      <c r="A25702" t="s">
        <v>0</v>
      </c>
    </row>
    <row r="25703" spans="1:1" x14ac:dyDescent="0.3">
      <c r="A25703" t="s">
        <v>0</v>
      </c>
    </row>
    <row r="25704" spans="1:1" x14ac:dyDescent="0.3">
      <c r="A25704" t="s">
        <v>0</v>
      </c>
    </row>
    <row r="25705" spans="1:1" x14ac:dyDescent="0.3">
      <c r="A25705" t="s">
        <v>0</v>
      </c>
    </row>
    <row r="25706" spans="1:1" x14ac:dyDescent="0.3">
      <c r="A25706" t="s">
        <v>0</v>
      </c>
    </row>
    <row r="25707" spans="1:1" x14ac:dyDescent="0.3">
      <c r="A25707" t="s">
        <v>0</v>
      </c>
    </row>
    <row r="25708" spans="1:1" x14ac:dyDescent="0.3">
      <c r="A25708" t="s">
        <v>0</v>
      </c>
    </row>
    <row r="25709" spans="1:1" x14ac:dyDescent="0.3">
      <c r="A25709" t="s">
        <v>0</v>
      </c>
    </row>
    <row r="25710" spans="1:1" x14ac:dyDescent="0.3">
      <c r="A25710" t="s">
        <v>0</v>
      </c>
    </row>
    <row r="25711" spans="1:1" x14ac:dyDescent="0.3">
      <c r="A25711" t="s">
        <v>0</v>
      </c>
    </row>
    <row r="25712" spans="1:1" x14ac:dyDescent="0.3">
      <c r="A25712" t="s">
        <v>0</v>
      </c>
    </row>
    <row r="25713" spans="1:1" x14ac:dyDescent="0.3">
      <c r="A25713" t="s">
        <v>0</v>
      </c>
    </row>
    <row r="25714" spans="1:1" x14ac:dyDescent="0.3">
      <c r="A25714" t="s">
        <v>0</v>
      </c>
    </row>
    <row r="25715" spans="1:1" x14ac:dyDescent="0.3">
      <c r="A25715" t="s">
        <v>0</v>
      </c>
    </row>
    <row r="25716" spans="1:1" x14ac:dyDescent="0.3">
      <c r="A25716" t="s">
        <v>0</v>
      </c>
    </row>
    <row r="25717" spans="1:1" x14ac:dyDescent="0.3">
      <c r="A25717" t="s">
        <v>0</v>
      </c>
    </row>
    <row r="25718" spans="1:1" x14ac:dyDescent="0.3">
      <c r="A25718" t="s">
        <v>0</v>
      </c>
    </row>
    <row r="25719" spans="1:1" x14ac:dyDescent="0.3">
      <c r="A25719" t="s">
        <v>0</v>
      </c>
    </row>
    <row r="25720" spans="1:1" x14ac:dyDescent="0.3">
      <c r="A25720" t="s">
        <v>0</v>
      </c>
    </row>
    <row r="25721" spans="1:1" x14ac:dyDescent="0.3">
      <c r="A25721" t="s">
        <v>0</v>
      </c>
    </row>
    <row r="25722" spans="1:1" x14ac:dyDescent="0.3">
      <c r="A25722" t="s">
        <v>0</v>
      </c>
    </row>
    <row r="25723" spans="1:1" x14ac:dyDescent="0.3">
      <c r="A25723" t="s">
        <v>0</v>
      </c>
    </row>
    <row r="25724" spans="1:1" x14ac:dyDescent="0.3">
      <c r="A25724" t="s">
        <v>0</v>
      </c>
    </row>
    <row r="25725" spans="1:1" x14ac:dyDescent="0.3">
      <c r="A25725" t="s">
        <v>0</v>
      </c>
    </row>
    <row r="25726" spans="1:1" x14ac:dyDescent="0.3">
      <c r="A25726" t="s">
        <v>0</v>
      </c>
    </row>
    <row r="25727" spans="1:1" x14ac:dyDescent="0.3">
      <c r="A25727" t="s">
        <v>0</v>
      </c>
    </row>
    <row r="25728" spans="1:1" x14ac:dyDescent="0.3">
      <c r="A25728" t="s">
        <v>0</v>
      </c>
    </row>
    <row r="25729" spans="1:1" x14ac:dyDescent="0.3">
      <c r="A25729" t="s">
        <v>0</v>
      </c>
    </row>
    <row r="25730" spans="1:1" x14ac:dyDescent="0.3">
      <c r="A25730" t="s">
        <v>0</v>
      </c>
    </row>
    <row r="25731" spans="1:1" x14ac:dyDescent="0.3">
      <c r="A25731" t="s">
        <v>0</v>
      </c>
    </row>
    <row r="25732" spans="1:1" x14ac:dyDescent="0.3">
      <c r="A25732" t="s">
        <v>0</v>
      </c>
    </row>
    <row r="25733" spans="1:1" x14ac:dyDescent="0.3">
      <c r="A25733" t="s">
        <v>0</v>
      </c>
    </row>
    <row r="25734" spans="1:1" x14ac:dyDescent="0.3">
      <c r="A25734" t="s">
        <v>0</v>
      </c>
    </row>
    <row r="25735" spans="1:1" x14ac:dyDescent="0.3">
      <c r="A25735" t="s">
        <v>0</v>
      </c>
    </row>
    <row r="25736" spans="1:1" x14ac:dyDescent="0.3">
      <c r="A25736" t="s">
        <v>0</v>
      </c>
    </row>
    <row r="25737" spans="1:1" x14ac:dyDescent="0.3">
      <c r="A25737" t="s">
        <v>0</v>
      </c>
    </row>
    <row r="25738" spans="1:1" x14ac:dyDescent="0.3">
      <c r="A25738" t="s">
        <v>0</v>
      </c>
    </row>
    <row r="25739" spans="1:1" x14ac:dyDescent="0.3">
      <c r="A25739" t="s">
        <v>0</v>
      </c>
    </row>
    <row r="25740" spans="1:1" x14ac:dyDescent="0.3">
      <c r="A25740" t="s">
        <v>0</v>
      </c>
    </row>
    <row r="25741" spans="1:1" x14ac:dyDescent="0.3">
      <c r="A25741" t="s">
        <v>0</v>
      </c>
    </row>
    <row r="25742" spans="1:1" x14ac:dyDescent="0.3">
      <c r="A25742" t="s">
        <v>0</v>
      </c>
    </row>
    <row r="25743" spans="1:1" x14ac:dyDescent="0.3">
      <c r="A25743" t="s">
        <v>0</v>
      </c>
    </row>
    <row r="25744" spans="1:1" x14ac:dyDescent="0.3">
      <c r="A25744" t="s">
        <v>0</v>
      </c>
    </row>
    <row r="25745" spans="1:1" x14ac:dyDescent="0.3">
      <c r="A25745" t="s">
        <v>0</v>
      </c>
    </row>
    <row r="25746" spans="1:1" x14ac:dyDescent="0.3">
      <c r="A25746" t="s">
        <v>0</v>
      </c>
    </row>
    <row r="25747" spans="1:1" x14ac:dyDescent="0.3">
      <c r="A25747" t="s">
        <v>0</v>
      </c>
    </row>
    <row r="25748" spans="1:1" x14ac:dyDescent="0.3">
      <c r="A25748" t="s">
        <v>0</v>
      </c>
    </row>
    <row r="25749" spans="1:1" x14ac:dyDescent="0.3">
      <c r="A25749" t="s">
        <v>0</v>
      </c>
    </row>
    <row r="25750" spans="1:1" x14ac:dyDescent="0.3">
      <c r="A25750" t="s">
        <v>0</v>
      </c>
    </row>
    <row r="25751" spans="1:1" x14ac:dyDescent="0.3">
      <c r="A25751" t="s">
        <v>0</v>
      </c>
    </row>
    <row r="25752" spans="1:1" x14ac:dyDescent="0.3">
      <c r="A25752" t="s">
        <v>0</v>
      </c>
    </row>
    <row r="25753" spans="1:1" x14ac:dyDescent="0.3">
      <c r="A25753" t="s">
        <v>0</v>
      </c>
    </row>
    <row r="25754" spans="1:1" x14ac:dyDescent="0.3">
      <c r="A25754" t="s">
        <v>0</v>
      </c>
    </row>
    <row r="25755" spans="1:1" x14ac:dyDescent="0.3">
      <c r="A25755" t="s">
        <v>0</v>
      </c>
    </row>
    <row r="25756" spans="1:1" x14ac:dyDescent="0.3">
      <c r="A25756" t="s">
        <v>0</v>
      </c>
    </row>
    <row r="25757" spans="1:1" x14ac:dyDescent="0.3">
      <c r="A25757" t="s">
        <v>0</v>
      </c>
    </row>
    <row r="25758" spans="1:1" x14ac:dyDescent="0.3">
      <c r="A25758" t="s">
        <v>0</v>
      </c>
    </row>
    <row r="25759" spans="1:1" x14ac:dyDescent="0.3">
      <c r="A25759" t="s">
        <v>0</v>
      </c>
    </row>
    <row r="25760" spans="1:1" x14ac:dyDescent="0.3">
      <c r="A25760" t="s">
        <v>0</v>
      </c>
    </row>
    <row r="25761" spans="1:1" x14ac:dyDescent="0.3">
      <c r="A25761" t="s">
        <v>0</v>
      </c>
    </row>
    <row r="25762" spans="1:1" x14ac:dyDescent="0.3">
      <c r="A25762" t="s">
        <v>0</v>
      </c>
    </row>
    <row r="25763" spans="1:1" x14ac:dyDescent="0.3">
      <c r="A25763" t="s">
        <v>0</v>
      </c>
    </row>
    <row r="25764" spans="1:1" x14ac:dyDescent="0.3">
      <c r="A25764" t="s">
        <v>0</v>
      </c>
    </row>
    <row r="25765" spans="1:1" x14ac:dyDescent="0.3">
      <c r="A25765" t="s">
        <v>0</v>
      </c>
    </row>
    <row r="25766" spans="1:1" x14ac:dyDescent="0.3">
      <c r="A25766" t="s">
        <v>0</v>
      </c>
    </row>
    <row r="25767" spans="1:1" x14ac:dyDescent="0.3">
      <c r="A25767" t="s">
        <v>0</v>
      </c>
    </row>
    <row r="25768" spans="1:1" x14ac:dyDescent="0.3">
      <c r="A25768" t="s">
        <v>0</v>
      </c>
    </row>
    <row r="25769" spans="1:1" x14ac:dyDescent="0.3">
      <c r="A25769" t="s">
        <v>0</v>
      </c>
    </row>
    <row r="25770" spans="1:1" x14ac:dyDescent="0.3">
      <c r="A25770" t="s">
        <v>0</v>
      </c>
    </row>
    <row r="25771" spans="1:1" x14ac:dyDescent="0.3">
      <c r="A25771" t="s">
        <v>0</v>
      </c>
    </row>
    <row r="25772" spans="1:1" x14ac:dyDescent="0.3">
      <c r="A25772" t="s">
        <v>0</v>
      </c>
    </row>
    <row r="25773" spans="1:1" x14ac:dyDescent="0.3">
      <c r="A25773" t="s">
        <v>0</v>
      </c>
    </row>
    <row r="25774" spans="1:1" x14ac:dyDescent="0.3">
      <c r="A25774" t="s">
        <v>0</v>
      </c>
    </row>
    <row r="25775" spans="1:1" x14ac:dyDescent="0.3">
      <c r="A25775" t="s">
        <v>0</v>
      </c>
    </row>
    <row r="25776" spans="1:1" x14ac:dyDescent="0.3">
      <c r="A25776" t="s">
        <v>0</v>
      </c>
    </row>
    <row r="25777" spans="1:1" x14ac:dyDescent="0.3">
      <c r="A25777" t="s">
        <v>0</v>
      </c>
    </row>
    <row r="25778" spans="1:1" x14ac:dyDescent="0.3">
      <c r="A25778" t="s">
        <v>0</v>
      </c>
    </row>
    <row r="25779" spans="1:1" x14ac:dyDescent="0.3">
      <c r="A25779" t="s">
        <v>0</v>
      </c>
    </row>
    <row r="25780" spans="1:1" x14ac:dyDescent="0.3">
      <c r="A25780" t="s">
        <v>0</v>
      </c>
    </row>
    <row r="25781" spans="1:1" x14ac:dyDescent="0.3">
      <c r="A25781" t="s">
        <v>0</v>
      </c>
    </row>
    <row r="25782" spans="1:1" x14ac:dyDescent="0.3">
      <c r="A25782" t="s">
        <v>0</v>
      </c>
    </row>
    <row r="25783" spans="1:1" x14ac:dyDescent="0.3">
      <c r="A25783" t="s">
        <v>0</v>
      </c>
    </row>
    <row r="25784" spans="1:1" x14ac:dyDescent="0.3">
      <c r="A25784" t="s">
        <v>0</v>
      </c>
    </row>
    <row r="25785" spans="1:1" x14ac:dyDescent="0.3">
      <c r="A25785" t="s">
        <v>0</v>
      </c>
    </row>
    <row r="25786" spans="1:1" x14ac:dyDescent="0.3">
      <c r="A25786" t="s">
        <v>0</v>
      </c>
    </row>
    <row r="25787" spans="1:1" x14ac:dyDescent="0.3">
      <c r="A25787" t="s">
        <v>0</v>
      </c>
    </row>
    <row r="25788" spans="1:1" x14ac:dyDescent="0.3">
      <c r="A25788" t="s">
        <v>0</v>
      </c>
    </row>
    <row r="25789" spans="1:1" x14ac:dyDescent="0.3">
      <c r="A25789" t="s">
        <v>0</v>
      </c>
    </row>
    <row r="25790" spans="1:1" x14ac:dyDescent="0.3">
      <c r="A25790" t="s">
        <v>0</v>
      </c>
    </row>
    <row r="25791" spans="1:1" x14ac:dyDescent="0.3">
      <c r="A25791" t="s">
        <v>0</v>
      </c>
    </row>
    <row r="25792" spans="1:1" x14ac:dyDescent="0.3">
      <c r="A25792" t="s">
        <v>0</v>
      </c>
    </row>
    <row r="25793" spans="1:1" x14ac:dyDescent="0.3">
      <c r="A25793" t="s">
        <v>0</v>
      </c>
    </row>
    <row r="25794" spans="1:1" x14ac:dyDescent="0.3">
      <c r="A25794" t="s">
        <v>0</v>
      </c>
    </row>
    <row r="25795" spans="1:1" x14ac:dyDescent="0.3">
      <c r="A25795" t="s">
        <v>0</v>
      </c>
    </row>
    <row r="25796" spans="1:1" x14ac:dyDescent="0.3">
      <c r="A25796" t="s">
        <v>0</v>
      </c>
    </row>
    <row r="25797" spans="1:1" x14ac:dyDescent="0.3">
      <c r="A25797" t="s">
        <v>0</v>
      </c>
    </row>
    <row r="25798" spans="1:1" x14ac:dyDescent="0.3">
      <c r="A25798" t="s">
        <v>0</v>
      </c>
    </row>
    <row r="25799" spans="1:1" x14ac:dyDescent="0.3">
      <c r="A25799" t="s">
        <v>0</v>
      </c>
    </row>
    <row r="25800" spans="1:1" x14ac:dyDescent="0.3">
      <c r="A25800" t="s">
        <v>0</v>
      </c>
    </row>
    <row r="25801" spans="1:1" x14ac:dyDescent="0.3">
      <c r="A25801" t="s">
        <v>0</v>
      </c>
    </row>
    <row r="25802" spans="1:1" x14ac:dyDescent="0.3">
      <c r="A25802" t="s">
        <v>0</v>
      </c>
    </row>
    <row r="25803" spans="1:1" x14ac:dyDescent="0.3">
      <c r="A25803" t="s">
        <v>0</v>
      </c>
    </row>
    <row r="25804" spans="1:1" x14ac:dyDescent="0.3">
      <c r="A25804" t="s">
        <v>0</v>
      </c>
    </row>
    <row r="25805" spans="1:1" x14ac:dyDescent="0.3">
      <c r="A25805" t="s">
        <v>0</v>
      </c>
    </row>
    <row r="25806" spans="1:1" x14ac:dyDescent="0.3">
      <c r="A25806" t="s">
        <v>0</v>
      </c>
    </row>
    <row r="25807" spans="1:1" x14ac:dyDescent="0.3">
      <c r="A25807" t="s">
        <v>0</v>
      </c>
    </row>
    <row r="25808" spans="1:1" x14ac:dyDescent="0.3">
      <c r="A25808" t="s">
        <v>0</v>
      </c>
    </row>
    <row r="25809" spans="1:1" x14ac:dyDescent="0.3">
      <c r="A25809" t="s">
        <v>0</v>
      </c>
    </row>
    <row r="25810" spans="1:1" x14ac:dyDescent="0.3">
      <c r="A25810" t="s">
        <v>0</v>
      </c>
    </row>
    <row r="25811" spans="1:1" x14ac:dyDescent="0.3">
      <c r="A25811" t="s">
        <v>0</v>
      </c>
    </row>
    <row r="25812" spans="1:1" x14ac:dyDescent="0.3">
      <c r="A25812" t="s">
        <v>0</v>
      </c>
    </row>
    <row r="25813" spans="1:1" x14ac:dyDescent="0.3">
      <c r="A25813" t="s">
        <v>0</v>
      </c>
    </row>
    <row r="25814" spans="1:1" x14ac:dyDescent="0.3">
      <c r="A25814" t="s">
        <v>0</v>
      </c>
    </row>
    <row r="25815" spans="1:1" x14ac:dyDescent="0.3">
      <c r="A25815" t="s">
        <v>0</v>
      </c>
    </row>
    <row r="25816" spans="1:1" x14ac:dyDescent="0.3">
      <c r="A25816" t="s">
        <v>0</v>
      </c>
    </row>
    <row r="25817" spans="1:1" x14ac:dyDescent="0.3">
      <c r="A25817" t="s">
        <v>0</v>
      </c>
    </row>
    <row r="25818" spans="1:1" x14ac:dyDescent="0.3">
      <c r="A25818" t="s">
        <v>0</v>
      </c>
    </row>
    <row r="25819" spans="1:1" x14ac:dyDescent="0.3">
      <c r="A25819" t="s">
        <v>0</v>
      </c>
    </row>
    <row r="25820" spans="1:1" x14ac:dyDescent="0.3">
      <c r="A25820" t="s">
        <v>0</v>
      </c>
    </row>
    <row r="25821" spans="1:1" x14ac:dyDescent="0.3">
      <c r="A25821" t="s">
        <v>0</v>
      </c>
    </row>
    <row r="25822" spans="1:1" x14ac:dyDescent="0.3">
      <c r="A25822" t="s">
        <v>0</v>
      </c>
    </row>
    <row r="25823" spans="1:1" x14ac:dyDescent="0.3">
      <c r="A25823" t="s">
        <v>0</v>
      </c>
    </row>
    <row r="25824" spans="1:1" x14ac:dyDescent="0.3">
      <c r="A25824" t="s">
        <v>0</v>
      </c>
    </row>
    <row r="25825" spans="1:1" x14ac:dyDescent="0.3">
      <c r="A25825" t="s">
        <v>0</v>
      </c>
    </row>
    <row r="25826" spans="1:1" x14ac:dyDescent="0.3">
      <c r="A25826" t="s">
        <v>0</v>
      </c>
    </row>
    <row r="25827" spans="1:1" x14ac:dyDescent="0.3">
      <c r="A25827" t="s">
        <v>0</v>
      </c>
    </row>
    <row r="25828" spans="1:1" x14ac:dyDescent="0.3">
      <c r="A25828" t="s">
        <v>0</v>
      </c>
    </row>
    <row r="25829" spans="1:1" x14ac:dyDescent="0.3">
      <c r="A25829" t="s">
        <v>0</v>
      </c>
    </row>
    <row r="25830" spans="1:1" x14ac:dyDescent="0.3">
      <c r="A25830" t="s">
        <v>0</v>
      </c>
    </row>
    <row r="25831" spans="1:1" x14ac:dyDescent="0.3">
      <c r="A25831" t="s">
        <v>0</v>
      </c>
    </row>
    <row r="25832" spans="1:1" x14ac:dyDescent="0.3">
      <c r="A25832" t="s">
        <v>0</v>
      </c>
    </row>
    <row r="25833" spans="1:1" x14ac:dyDescent="0.3">
      <c r="A25833" t="s">
        <v>0</v>
      </c>
    </row>
    <row r="25834" spans="1:1" x14ac:dyDescent="0.3">
      <c r="A25834" t="s">
        <v>0</v>
      </c>
    </row>
    <row r="25835" spans="1:1" x14ac:dyDescent="0.3">
      <c r="A25835" t="s">
        <v>0</v>
      </c>
    </row>
    <row r="25836" spans="1:1" x14ac:dyDescent="0.3">
      <c r="A25836" t="s">
        <v>0</v>
      </c>
    </row>
    <row r="25837" spans="1:1" x14ac:dyDescent="0.3">
      <c r="A25837" t="s">
        <v>0</v>
      </c>
    </row>
    <row r="25838" spans="1:1" x14ac:dyDescent="0.3">
      <c r="A25838" t="s">
        <v>0</v>
      </c>
    </row>
    <row r="25839" spans="1:1" x14ac:dyDescent="0.3">
      <c r="A25839" t="s">
        <v>0</v>
      </c>
    </row>
    <row r="25840" spans="1:1" x14ac:dyDescent="0.3">
      <c r="A25840" t="s">
        <v>0</v>
      </c>
    </row>
    <row r="25841" spans="1:1" x14ac:dyDescent="0.3">
      <c r="A25841" t="s">
        <v>0</v>
      </c>
    </row>
    <row r="25842" spans="1:1" x14ac:dyDescent="0.3">
      <c r="A25842" t="s">
        <v>0</v>
      </c>
    </row>
    <row r="25843" spans="1:1" x14ac:dyDescent="0.3">
      <c r="A25843" t="s">
        <v>0</v>
      </c>
    </row>
    <row r="25844" spans="1:1" x14ac:dyDescent="0.3">
      <c r="A25844" t="s">
        <v>0</v>
      </c>
    </row>
    <row r="25845" spans="1:1" x14ac:dyDescent="0.3">
      <c r="A25845" t="s">
        <v>0</v>
      </c>
    </row>
    <row r="25846" spans="1:1" x14ac:dyDescent="0.3">
      <c r="A25846" t="s">
        <v>0</v>
      </c>
    </row>
    <row r="25847" spans="1:1" x14ac:dyDescent="0.3">
      <c r="A25847" t="s">
        <v>0</v>
      </c>
    </row>
    <row r="25848" spans="1:1" x14ac:dyDescent="0.3">
      <c r="A25848" t="s">
        <v>0</v>
      </c>
    </row>
    <row r="25849" spans="1:1" x14ac:dyDescent="0.3">
      <c r="A25849" t="s">
        <v>0</v>
      </c>
    </row>
    <row r="25850" spans="1:1" x14ac:dyDescent="0.3">
      <c r="A25850" t="s">
        <v>0</v>
      </c>
    </row>
    <row r="25851" spans="1:1" x14ac:dyDescent="0.3">
      <c r="A25851" t="s">
        <v>0</v>
      </c>
    </row>
    <row r="25852" spans="1:1" x14ac:dyDescent="0.3">
      <c r="A25852" t="s">
        <v>0</v>
      </c>
    </row>
    <row r="25853" spans="1:1" x14ac:dyDescent="0.3">
      <c r="A25853" t="s">
        <v>0</v>
      </c>
    </row>
    <row r="25854" spans="1:1" x14ac:dyDescent="0.3">
      <c r="A25854" t="s">
        <v>0</v>
      </c>
    </row>
    <row r="25855" spans="1:1" x14ac:dyDescent="0.3">
      <c r="A25855" t="s">
        <v>0</v>
      </c>
    </row>
    <row r="25856" spans="1:1" x14ac:dyDescent="0.3">
      <c r="A25856" t="s">
        <v>0</v>
      </c>
    </row>
    <row r="25857" spans="1:1" x14ac:dyDescent="0.3">
      <c r="A25857" t="s">
        <v>0</v>
      </c>
    </row>
    <row r="25858" spans="1:1" x14ac:dyDescent="0.3">
      <c r="A25858" t="s">
        <v>0</v>
      </c>
    </row>
    <row r="25859" spans="1:1" x14ac:dyDescent="0.3">
      <c r="A25859" t="s">
        <v>0</v>
      </c>
    </row>
    <row r="25860" spans="1:1" x14ac:dyDescent="0.3">
      <c r="A25860" t="s">
        <v>0</v>
      </c>
    </row>
    <row r="25861" spans="1:1" x14ac:dyDescent="0.3">
      <c r="A25861" t="s">
        <v>0</v>
      </c>
    </row>
    <row r="25862" spans="1:1" x14ac:dyDescent="0.3">
      <c r="A25862" t="s">
        <v>0</v>
      </c>
    </row>
    <row r="25863" spans="1:1" x14ac:dyDescent="0.3">
      <c r="A25863" t="s">
        <v>0</v>
      </c>
    </row>
    <row r="25864" spans="1:1" x14ac:dyDescent="0.3">
      <c r="A25864" t="s">
        <v>0</v>
      </c>
    </row>
    <row r="25865" spans="1:1" x14ac:dyDescent="0.3">
      <c r="A25865" t="s">
        <v>0</v>
      </c>
    </row>
    <row r="25866" spans="1:1" x14ac:dyDescent="0.3">
      <c r="A25866" t="s">
        <v>0</v>
      </c>
    </row>
    <row r="25867" spans="1:1" x14ac:dyDescent="0.3">
      <c r="A25867" t="s">
        <v>0</v>
      </c>
    </row>
    <row r="25868" spans="1:1" x14ac:dyDescent="0.3">
      <c r="A25868" t="s">
        <v>0</v>
      </c>
    </row>
    <row r="25869" spans="1:1" x14ac:dyDescent="0.3">
      <c r="A25869" t="s">
        <v>0</v>
      </c>
    </row>
    <row r="25870" spans="1:1" x14ac:dyDescent="0.3">
      <c r="A25870" t="s">
        <v>0</v>
      </c>
    </row>
    <row r="25871" spans="1:1" x14ac:dyDescent="0.3">
      <c r="A25871" t="s">
        <v>0</v>
      </c>
    </row>
    <row r="25872" spans="1:1" x14ac:dyDescent="0.3">
      <c r="A25872" t="s">
        <v>0</v>
      </c>
    </row>
    <row r="25873" spans="1:1" x14ac:dyDescent="0.3">
      <c r="A25873" t="s">
        <v>0</v>
      </c>
    </row>
    <row r="25874" spans="1:1" x14ac:dyDescent="0.3">
      <c r="A25874" t="s">
        <v>0</v>
      </c>
    </row>
    <row r="25875" spans="1:1" x14ac:dyDescent="0.3">
      <c r="A25875" t="s">
        <v>0</v>
      </c>
    </row>
    <row r="25876" spans="1:1" x14ac:dyDescent="0.3">
      <c r="A25876" t="s">
        <v>0</v>
      </c>
    </row>
    <row r="25877" spans="1:1" x14ac:dyDescent="0.3">
      <c r="A25877" t="s">
        <v>0</v>
      </c>
    </row>
    <row r="25878" spans="1:1" x14ac:dyDescent="0.3">
      <c r="A25878" t="s">
        <v>0</v>
      </c>
    </row>
    <row r="25879" spans="1:1" x14ac:dyDescent="0.3">
      <c r="A25879" t="s">
        <v>0</v>
      </c>
    </row>
    <row r="25880" spans="1:1" x14ac:dyDescent="0.3">
      <c r="A25880" t="s">
        <v>0</v>
      </c>
    </row>
    <row r="25881" spans="1:1" x14ac:dyDescent="0.3">
      <c r="A25881" t="s">
        <v>0</v>
      </c>
    </row>
    <row r="25882" spans="1:1" x14ac:dyDescent="0.3">
      <c r="A25882" t="s">
        <v>0</v>
      </c>
    </row>
    <row r="25883" spans="1:1" x14ac:dyDescent="0.3">
      <c r="A25883" t="s">
        <v>0</v>
      </c>
    </row>
    <row r="25884" spans="1:1" x14ac:dyDescent="0.3">
      <c r="A25884" t="s">
        <v>0</v>
      </c>
    </row>
    <row r="25885" spans="1:1" x14ac:dyDescent="0.3">
      <c r="A25885" t="s">
        <v>0</v>
      </c>
    </row>
    <row r="25886" spans="1:1" x14ac:dyDescent="0.3">
      <c r="A25886" t="s">
        <v>0</v>
      </c>
    </row>
    <row r="25887" spans="1:1" x14ac:dyDescent="0.3">
      <c r="A25887" t="s">
        <v>0</v>
      </c>
    </row>
    <row r="25888" spans="1:1" x14ac:dyDescent="0.3">
      <c r="A25888" t="s">
        <v>0</v>
      </c>
    </row>
    <row r="25889" spans="1:1" x14ac:dyDescent="0.3">
      <c r="A25889" t="s">
        <v>0</v>
      </c>
    </row>
    <row r="25890" spans="1:1" x14ac:dyDescent="0.3">
      <c r="A25890" t="s">
        <v>0</v>
      </c>
    </row>
    <row r="25891" spans="1:1" x14ac:dyDescent="0.3">
      <c r="A25891" t="s">
        <v>0</v>
      </c>
    </row>
    <row r="25892" spans="1:1" x14ac:dyDescent="0.3">
      <c r="A25892" t="s">
        <v>0</v>
      </c>
    </row>
    <row r="25893" spans="1:1" x14ac:dyDescent="0.3">
      <c r="A25893" t="s">
        <v>0</v>
      </c>
    </row>
    <row r="25894" spans="1:1" x14ac:dyDescent="0.3">
      <c r="A25894" t="s">
        <v>0</v>
      </c>
    </row>
    <row r="25895" spans="1:1" x14ac:dyDescent="0.3">
      <c r="A25895" t="s">
        <v>0</v>
      </c>
    </row>
    <row r="25896" spans="1:1" x14ac:dyDescent="0.3">
      <c r="A25896" t="s">
        <v>0</v>
      </c>
    </row>
    <row r="25897" spans="1:1" x14ac:dyDescent="0.3">
      <c r="A25897" t="s">
        <v>0</v>
      </c>
    </row>
    <row r="25898" spans="1:1" x14ac:dyDescent="0.3">
      <c r="A25898" t="s">
        <v>0</v>
      </c>
    </row>
    <row r="25899" spans="1:1" x14ac:dyDescent="0.3">
      <c r="A25899" t="s">
        <v>0</v>
      </c>
    </row>
    <row r="25900" spans="1:1" x14ac:dyDescent="0.3">
      <c r="A25900" t="s">
        <v>0</v>
      </c>
    </row>
    <row r="25901" spans="1:1" x14ac:dyDescent="0.3">
      <c r="A25901" t="s">
        <v>0</v>
      </c>
    </row>
    <row r="25902" spans="1:1" x14ac:dyDescent="0.3">
      <c r="A25902" t="s">
        <v>0</v>
      </c>
    </row>
    <row r="25903" spans="1:1" x14ac:dyDescent="0.3">
      <c r="A25903" t="s">
        <v>0</v>
      </c>
    </row>
    <row r="25904" spans="1:1" x14ac:dyDescent="0.3">
      <c r="A25904" t="s">
        <v>0</v>
      </c>
    </row>
    <row r="25905" spans="1:1" x14ac:dyDescent="0.3">
      <c r="A25905" t="s">
        <v>0</v>
      </c>
    </row>
    <row r="25906" spans="1:1" x14ac:dyDescent="0.3">
      <c r="A25906" t="s">
        <v>0</v>
      </c>
    </row>
    <row r="25907" spans="1:1" x14ac:dyDescent="0.3">
      <c r="A25907" t="s">
        <v>0</v>
      </c>
    </row>
    <row r="25908" spans="1:1" x14ac:dyDescent="0.3">
      <c r="A25908" t="s">
        <v>0</v>
      </c>
    </row>
    <row r="25909" spans="1:1" x14ac:dyDescent="0.3">
      <c r="A25909" t="s">
        <v>0</v>
      </c>
    </row>
    <row r="25910" spans="1:1" x14ac:dyDescent="0.3">
      <c r="A25910" t="s">
        <v>0</v>
      </c>
    </row>
    <row r="25911" spans="1:1" x14ac:dyDescent="0.3">
      <c r="A25911" t="s">
        <v>0</v>
      </c>
    </row>
    <row r="25912" spans="1:1" x14ac:dyDescent="0.3">
      <c r="A25912" t="s">
        <v>0</v>
      </c>
    </row>
    <row r="25913" spans="1:1" x14ac:dyDescent="0.3">
      <c r="A25913" t="s">
        <v>0</v>
      </c>
    </row>
    <row r="25914" spans="1:1" x14ac:dyDescent="0.3">
      <c r="A25914" t="s">
        <v>0</v>
      </c>
    </row>
    <row r="25915" spans="1:1" x14ac:dyDescent="0.3">
      <c r="A25915" t="s">
        <v>0</v>
      </c>
    </row>
    <row r="25916" spans="1:1" x14ac:dyDescent="0.3">
      <c r="A25916" t="s">
        <v>0</v>
      </c>
    </row>
    <row r="25917" spans="1:1" x14ac:dyDescent="0.3">
      <c r="A25917" t="s">
        <v>0</v>
      </c>
    </row>
    <row r="25918" spans="1:1" x14ac:dyDescent="0.3">
      <c r="A25918" t="s">
        <v>0</v>
      </c>
    </row>
    <row r="25919" spans="1:1" x14ac:dyDescent="0.3">
      <c r="A25919" t="s">
        <v>0</v>
      </c>
    </row>
    <row r="25920" spans="1:1" x14ac:dyDescent="0.3">
      <c r="A25920" t="s">
        <v>0</v>
      </c>
    </row>
    <row r="25921" spans="1:1" x14ac:dyDescent="0.3">
      <c r="A25921" t="s">
        <v>0</v>
      </c>
    </row>
    <row r="25922" spans="1:1" x14ac:dyDescent="0.3">
      <c r="A25922" t="s">
        <v>0</v>
      </c>
    </row>
    <row r="25923" spans="1:1" x14ac:dyDescent="0.3">
      <c r="A25923" t="s">
        <v>0</v>
      </c>
    </row>
    <row r="25924" spans="1:1" x14ac:dyDescent="0.3">
      <c r="A25924" t="s">
        <v>0</v>
      </c>
    </row>
    <row r="25925" spans="1:1" x14ac:dyDescent="0.3">
      <c r="A25925" t="s">
        <v>0</v>
      </c>
    </row>
    <row r="25926" spans="1:1" x14ac:dyDescent="0.3">
      <c r="A25926" t="s">
        <v>0</v>
      </c>
    </row>
    <row r="25927" spans="1:1" x14ac:dyDescent="0.3">
      <c r="A25927" t="s">
        <v>0</v>
      </c>
    </row>
    <row r="25928" spans="1:1" x14ac:dyDescent="0.3">
      <c r="A25928" t="s">
        <v>0</v>
      </c>
    </row>
    <row r="25929" spans="1:1" x14ac:dyDescent="0.3">
      <c r="A25929" t="s">
        <v>0</v>
      </c>
    </row>
    <row r="25930" spans="1:1" x14ac:dyDescent="0.3">
      <c r="A25930" t="s">
        <v>0</v>
      </c>
    </row>
    <row r="25931" spans="1:1" x14ac:dyDescent="0.3">
      <c r="A25931" t="s">
        <v>0</v>
      </c>
    </row>
    <row r="25932" spans="1:1" x14ac:dyDescent="0.3">
      <c r="A25932" t="s">
        <v>0</v>
      </c>
    </row>
    <row r="25933" spans="1:1" x14ac:dyDescent="0.3">
      <c r="A25933" t="s">
        <v>0</v>
      </c>
    </row>
    <row r="25934" spans="1:1" x14ac:dyDescent="0.3">
      <c r="A25934" t="s">
        <v>0</v>
      </c>
    </row>
    <row r="25935" spans="1:1" x14ac:dyDescent="0.3">
      <c r="A25935" t="s">
        <v>0</v>
      </c>
    </row>
    <row r="25936" spans="1:1" x14ac:dyDescent="0.3">
      <c r="A25936" t="s">
        <v>0</v>
      </c>
    </row>
    <row r="25937" spans="1:1" x14ac:dyDescent="0.3">
      <c r="A25937" t="s">
        <v>0</v>
      </c>
    </row>
    <row r="25938" spans="1:1" x14ac:dyDescent="0.3">
      <c r="A25938" t="s">
        <v>0</v>
      </c>
    </row>
    <row r="25939" spans="1:1" x14ac:dyDescent="0.3">
      <c r="A25939" t="s">
        <v>0</v>
      </c>
    </row>
    <row r="25940" spans="1:1" x14ac:dyDescent="0.3">
      <c r="A25940" t="s">
        <v>0</v>
      </c>
    </row>
    <row r="25941" spans="1:1" x14ac:dyDescent="0.3">
      <c r="A25941" t="s">
        <v>0</v>
      </c>
    </row>
    <row r="25942" spans="1:1" x14ac:dyDescent="0.3">
      <c r="A25942" t="s">
        <v>0</v>
      </c>
    </row>
    <row r="25943" spans="1:1" x14ac:dyDescent="0.3">
      <c r="A25943" t="s">
        <v>0</v>
      </c>
    </row>
    <row r="25944" spans="1:1" x14ac:dyDescent="0.3">
      <c r="A25944" t="s">
        <v>0</v>
      </c>
    </row>
    <row r="25945" spans="1:1" x14ac:dyDescent="0.3">
      <c r="A25945" t="s">
        <v>0</v>
      </c>
    </row>
    <row r="25946" spans="1:1" x14ac:dyDescent="0.3">
      <c r="A25946" t="s">
        <v>0</v>
      </c>
    </row>
    <row r="25947" spans="1:1" x14ac:dyDescent="0.3">
      <c r="A25947" t="s">
        <v>0</v>
      </c>
    </row>
    <row r="25948" spans="1:1" x14ac:dyDescent="0.3">
      <c r="A25948" t="s">
        <v>0</v>
      </c>
    </row>
    <row r="25949" spans="1:1" x14ac:dyDescent="0.3">
      <c r="A25949" t="s">
        <v>0</v>
      </c>
    </row>
    <row r="25950" spans="1:1" x14ac:dyDescent="0.3">
      <c r="A25950" t="s">
        <v>0</v>
      </c>
    </row>
    <row r="25951" spans="1:1" x14ac:dyDescent="0.3">
      <c r="A25951" t="s">
        <v>0</v>
      </c>
    </row>
    <row r="25952" spans="1:1" x14ac:dyDescent="0.3">
      <c r="A25952" t="s">
        <v>0</v>
      </c>
    </row>
    <row r="25953" spans="1:1" x14ac:dyDescent="0.3">
      <c r="A25953" t="s">
        <v>0</v>
      </c>
    </row>
    <row r="25954" spans="1:1" x14ac:dyDescent="0.3">
      <c r="A25954" t="s">
        <v>0</v>
      </c>
    </row>
    <row r="25955" spans="1:1" x14ac:dyDescent="0.3">
      <c r="A25955" t="s">
        <v>0</v>
      </c>
    </row>
    <row r="25956" spans="1:1" x14ac:dyDescent="0.3">
      <c r="A25956" t="s">
        <v>0</v>
      </c>
    </row>
    <row r="25957" spans="1:1" x14ac:dyDescent="0.3">
      <c r="A25957" t="s">
        <v>0</v>
      </c>
    </row>
    <row r="25958" spans="1:1" x14ac:dyDescent="0.3">
      <c r="A25958" t="s">
        <v>0</v>
      </c>
    </row>
    <row r="25959" spans="1:1" x14ac:dyDescent="0.3">
      <c r="A25959" t="s">
        <v>0</v>
      </c>
    </row>
    <row r="25960" spans="1:1" x14ac:dyDescent="0.3">
      <c r="A25960" t="s">
        <v>0</v>
      </c>
    </row>
    <row r="25961" spans="1:1" x14ac:dyDescent="0.3">
      <c r="A25961" t="s">
        <v>0</v>
      </c>
    </row>
    <row r="25962" spans="1:1" x14ac:dyDescent="0.3">
      <c r="A25962" t="s">
        <v>0</v>
      </c>
    </row>
    <row r="25963" spans="1:1" x14ac:dyDescent="0.3">
      <c r="A25963" t="s">
        <v>0</v>
      </c>
    </row>
    <row r="25964" spans="1:1" x14ac:dyDescent="0.3">
      <c r="A25964" t="s">
        <v>0</v>
      </c>
    </row>
    <row r="25965" spans="1:1" x14ac:dyDescent="0.3">
      <c r="A25965" t="s">
        <v>0</v>
      </c>
    </row>
    <row r="25966" spans="1:1" x14ac:dyDescent="0.3">
      <c r="A25966" t="s">
        <v>0</v>
      </c>
    </row>
    <row r="25967" spans="1:1" x14ac:dyDescent="0.3">
      <c r="A25967" t="s">
        <v>0</v>
      </c>
    </row>
    <row r="25968" spans="1:1" x14ac:dyDescent="0.3">
      <c r="A25968" t="s">
        <v>0</v>
      </c>
    </row>
    <row r="25969" spans="1:1" x14ac:dyDescent="0.3">
      <c r="A25969" t="s">
        <v>0</v>
      </c>
    </row>
    <row r="25970" spans="1:1" x14ac:dyDescent="0.3">
      <c r="A25970" t="s">
        <v>0</v>
      </c>
    </row>
    <row r="25971" spans="1:1" x14ac:dyDescent="0.3">
      <c r="A25971" t="s">
        <v>0</v>
      </c>
    </row>
    <row r="25972" spans="1:1" x14ac:dyDescent="0.3">
      <c r="A25972" t="s">
        <v>0</v>
      </c>
    </row>
    <row r="25973" spans="1:1" x14ac:dyDescent="0.3">
      <c r="A25973" t="s">
        <v>0</v>
      </c>
    </row>
    <row r="25974" spans="1:1" x14ac:dyDescent="0.3">
      <c r="A25974" t="s">
        <v>0</v>
      </c>
    </row>
    <row r="25975" spans="1:1" x14ac:dyDescent="0.3">
      <c r="A25975" t="s">
        <v>0</v>
      </c>
    </row>
    <row r="25976" spans="1:1" x14ac:dyDescent="0.3">
      <c r="A25976" t="s">
        <v>0</v>
      </c>
    </row>
    <row r="25977" spans="1:1" x14ac:dyDescent="0.3">
      <c r="A25977" t="s">
        <v>0</v>
      </c>
    </row>
    <row r="25978" spans="1:1" x14ac:dyDescent="0.3">
      <c r="A25978" t="s">
        <v>0</v>
      </c>
    </row>
    <row r="25979" spans="1:1" x14ac:dyDescent="0.3">
      <c r="A25979" t="s">
        <v>0</v>
      </c>
    </row>
    <row r="25980" spans="1:1" x14ac:dyDescent="0.3">
      <c r="A25980" t="s">
        <v>0</v>
      </c>
    </row>
    <row r="25981" spans="1:1" x14ac:dyDescent="0.3">
      <c r="A25981" t="s">
        <v>0</v>
      </c>
    </row>
    <row r="25982" spans="1:1" x14ac:dyDescent="0.3">
      <c r="A25982" t="s">
        <v>0</v>
      </c>
    </row>
    <row r="25983" spans="1:1" x14ac:dyDescent="0.3">
      <c r="A25983" t="s">
        <v>0</v>
      </c>
    </row>
    <row r="25984" spans="1:1" x14ac:dyDescent="0.3">
      <c r="A25984" t="s">
        <v>0</v>
      </c>
    </row>
    <row r="25985" spans="1:1" x14ac:dyDescent="0.3">
      <c r="A25985" t="s">
        <v>0</v>
      </c>
    </row>
    <row r="25986" spans="1:1" x14ac:dyDescent="0.3">
      <c r="A25986" t="s">
        <v>0</v>
      </c>
    </row>
    <row r="25987" spans="1:1" x14ac:dyDescent="0.3">
      <c r="A25987" t="s">
        <v>0</v>
      </c>
    </row>
    <row r="25988" spans="1:1" x14ac:dyDescent="0.3">
      <c r="A25988" t="s">
        <v>0</v>
      </c>
    </row>
    <row r="25989" spans="1:1" x14ac:dyDescent="0.3">
      <c r="A25989" t="s">
        <v>0</v>
      </c>
    </row>
    <row r="25990" spans="1:1" x14ac:dyDescent="0.3">
      <c r="A25990" t="s">
        <v>0</v>
      </c>
    </row>
    <row r="25991" spans="1:1" x14ac:dyDescent="0.3">
      <c r="A25991" t="s">
        <v>0</v>
      </c>
    </row>
    <row r="25992" spans="1:1" x14ac:dyDescent="0.3">
      <c r="A25992" t="s">
        <v>0</v>
      </c>
    </row>
    <row r="25993" spans="1:1" x14ac:dyDescent="0.3">
      <c r="A25993" t="s">
        <v>0</v>
      </c>
    </row>
    <row r="25994" spans="1:1" x14ac:dyDescent="0.3">
      <c r="A25994" t="s">
        <v>0</v>
      </c>
    </row>
    <row r="25995" spans="1:1" x14ac:dyDescent="0.3">
      <c r="A25995" t="s">
        <v>0</v>
      </c>
    </row>
    <row r="25996" spans="1:1" x14ac:dyDescent="0.3">
      <c r="A25996" t="s">
        <v>0</v>
      </c>
    </row>
    <row r="25997" spans="1:1" x14ac:dyDescent="0.3">
      <c r="A25997" t="s">
        <v>0</v>
      </c>
    </row>
    <row r="25998" spans="1:1" x14ac:dyDescent="0.3">
      <c r="A25998" t="s">
        <v>0</v>
      </c>
    </row>
    <row r="25999" spans="1:1" x14ac:dyDescent="0.3">
      <c r="A25999" t="s">
        <v>0</v>
      </c>
    </row>
    <row r="26000" spans="1:1" x14ac:dyDescent="0.3">
      <c r="A26000" t="s">
        <v>0</v>
      </c>
    </row>
    <row r="26001" spans="1:1" x14ac:dyDescent="0.3">
      <c r="A26001" t="s">
        <v>0</v>
      </c>
    </row>
    <row r="26002" spans="1:1" x14ac:dyDescent="0.3">
      <c r="A26002" t="s">
        <v>0</v>
      </c>
    </row>
    <row r="26003" spans="1:1" x14ac:dyDescent="0.3">
      <c r="A26003" t="s">
        <v>0</v>
      </c>
    </row>
    <row r="26004" spans="1:1" x14ac:dyDescent="0.3">
      <c r="A26004" t="s">
        <v>0</v>
      </c>
    </row>
    <row r="26005" spans="1:1" x14ac:dyDescent="0.3">
      <c r="A26005" t="s">
        <v>0</v>
      </c>
    </row>
    <row r="26006" spans="1:1" x14ac:dyDescent="0.3">
      <c r="A26006" t="s">
        <v>0</v>
      </c>
    </row>
    <row r="26007" spans="1:1" x14ac:dyDescent="0.3">
      <c r="A26007" t="s">
        <v>0</v>
      </c>
    </row>
    <row r="26008" spans="1:1" x14ac:dyDescent="0.3">
      <c r="A26008" t="s">
        <v>0</v>
      </c>
    </row>
    <row r="26009" spans="1:1" x14ac:dyDescent="0.3">
      <c r="A26009" t="s">
        <v>0</v>
      </c>
    </row>
    <row r="26010" spans="1:1" x14ac:dyDescent="0.3">
      <c r="A26010" t="s">
        <v>0</v>
      </c>
    </row>
    <row r="26011" spans="1:1" x14ac:dyDescent="0.3">
      <c r="A26011" t="s">
        <v>0</v>
      </c>
    </row>
    <row r="26012" spans="1:1" x14ac:dyDescent="0.3">
      <c r="A26012" t="s">
        <v>0</v>
      </c>
    </row>
    <row r="26013" spans="1:1" x14ac:dyDescent="0.3">
      <c r="A26013" t="s">
        <v>0</v>
      </c>
    </row>
    <row r="26014" spans="1:1" x14ac:dyDescent="0.3">
      <c r="A26014" t="s">
        <v>0</v>
      </c>
    </row>
    <row r="26015" spans="1:1" x14ac:dyDescent="0.3">
      <c r="A26015" t="s">
        <v>0</v>
      </c>
    </row>
    <row r="26016" spans="1:1" x14ac:dyDescent="0.3">
      <c r="A26016" t="s">
        <v>0</v>
      </c>
    </row>
    <row r="26017" spans="1:1" x14ac:dyDescent="0.3">
      <c r="A26017" t="s">
        <v>0</v>
      </c>
    </row>
    <row r="26018" spans="1:1" x14ac:dyDescent="0.3">
      <c r="A26018" t="s">
        <v>0</v>
      </c>
    </row>
    <row r="26019" spans="1:1" x14ac:dyDescent="0.3">
      <c r="A26019" t="s">
        <v>0</v>
      </c>
    </row>
    <row r="26020" spans="1:1" x14ac:dyDescent="0.3">
      <c r="A26020" t="s">
        <v>0</v>
      </c>
    </row>
    <row r="26021" spans="1:1" x14ac:dyDescent="0.3">
      <c r="A26021" t="s">
        <v>0</v>
      </c>
    </row>
    <row r="26022" spans="1:1" x14ac:dyDescent="0.3">
      <c r="A26022" t="s">
        <v>0</v>
      </c>
    </row>
    <row r="26023" spans="1:1" x14ac:dyDescent="0.3">
      <c r="A26023" t="s">
        <v>0</v>
      </c>
    </row>
    <row r="26024" spans="1:1" x14ac:dyDescent="0.3">
      <c r="A26024" t="s">
        <v>0</v>
      </c>
    </row>
    <row r="26025" spans="1:1" x14ac:dyDescent="0.3">
      <c r="A26025" t="s">
        <v>0</v>
      </c>
    </row>
    <row r="26026" spans="1:1" x14ac:dyDescent="0.3">
      <c r="A26026" t="s">
        <v>0</v>
      </c>
    </row>
    <row r="26027" spans="1:1" x14ac:dyDescent="0.3">
      <c r="A26027" t="s">
        <v>0</v>
      </c>
    </row>
    <row r="26028" spans="1:1" x14ac:dyDescent="0.3">
      <c r="A26028" t="s">
        <v>0</v>
      </c>
    </row>
    <row r="26029" spans="1:1" x14ac:dyDescent="0.3">
      <c r="A26029" t="s">
        <v>0</v>
      </c>
    </row>
    <row r="26030" spans="1:1" x14ac:dyDescent="0.3">
      <c r="A26030" t="s">
        <v>0</v>
      </c>
    </row>
    <row r="26031" spans="1:1" x14ac:dyDescent="0.3">
      <c r="A26031" t="s">
        <v>0</v>
      </c>
    </row>
    <row r="26032" spans="1:1" x14ac:dyDescent="0.3">
      <c r="A26032" t="s">
        <v>0</v>
      </c>
    </row>
    <row r="26033" spans="1:1" x14ac:dyDescent="0.3">
      <c r="A26033" t="s">
        <v>0</v>
      </c>
    </row>
    <row r="26034" spans="1:1" x14ac:dyDescent="0.3">
      <c r="A26034" t="s">
        <v>0</v>
      </c>
    </row>
    <row r="26035" spans="1:1" x14ac:dyDescent="0.3">
      <c r="A26035" t="s">
        <v>0</v>
      </c>
    </row>
    <row r="26036" spans="1:1" x14ac:dyDescent="0.3">
      <c r="A26036" t="s">
        <v>0</v>
      </c>
    </row>
    <row r="26037" spans="1:1" x14ac:dyDescent="0.3">
      <c r="A26037" t="s">
        <v>0</v>
      </c>
    </row>
    <row r="26038" spans="1:1" x14ac:dyDescent="0.3">
      <c r="A26038" t="s">
        <v>0</v>
      </c>
    </row>
    <row r="26039" spans="1:1" x14ac:dyDescent="0.3">
      <c r="A26039" t="s">
        <v>0</v>
      </c>
    </row>
    <row r="26040" spans="1:1" x14ac:dyDescent="0.3">
      <c r="A26040" t="s">
        <v>0</v>
      </c>
    </row>
    <row r="26041" spans="1:1" x14ac:dyDescent="0.3">
      <c r="A26041" t="s">
        <v>0</v>
      </c>
    </row>
    <row r="26042" spans="1:1" x14ac:dyDescent="0.3">
      <c r="A26042" t="s">
        <v>0</v>
      </c>
    </row>
    <row r="26043" spans="1:1" x14ac:dyDescent="0.3">
      <c r="A26043" t="s">
        <v>0</v>
      </c>
    </row>
    <row r="26044" spans="1:1" x14ac:dyDescent="0.3">
      <c r="A26044" t="s">
        <v>0</v>
      </c>
    </row>
    <row r="26045" spans="1:1" x14ac:dyDescent="0.3">
      <c r="A26045" t="s">
        <v>0</v>
      </c>
    </row>
    <row r="26046" spans="1:1" x14ac:dyDescent="0.3">
      <c r="A26046" t="s">
        <v>0</v>
      </c>
    </row>
    <row r="26047" spans="1:1" x14ac:dyDescent="0.3">
      <c r="A26047" t="s">
        <v>0</v>
      </c>
    </row>
    <row r="26048" spans="1:1" x14ac:dyDescent="0.3">
      <c r="A26048" t="s">
        <v>0</v>
      </c>
    </row>
    <row r="26049" spans="1:1" x14ac:dyDescent="0.3">
      <c r="A26049" t="s">
        <v>0</v>
      </c>
    </row>
    <row r="26050" spans="1:1" x14ac:dyDescent="0.3">
      <c r="A26050" t="s">
        <v>0</v>
      </c>
    </row>
    <row r="26051" spans="1:1" x14ac:dyDescent="0.3">
      <c r="A26051" t="s">
        <v>0</v>
      </c>
    </row>
    <row r="26052" spans="1:1" x14ac:dyDescent="0.3">
      <c r="A26052" t="s">
        <v>0</v>
      </c>
    </row>
    <row r="26053" spans="1:1" x14ac:dyDescent="0.3">
      <c r="A26053" t="s">
        <v>0</v>
      </c>
    </row>
    <row r="26054" spans="1:1" x14ac:dyDescent="0.3">
      <c r="A26054" t="s">
        <v>0</v>
      </c>
    </row>
    <row r="26055" spans="1:1" x14ac:dyDescent="0.3">
      <c r="A26055" t="s">
        <v>0</v>
      </c>
    </row>
    <row r="26056" spans="1:1" x14ac:dyDescent="0.3">
      <c r="A26056" t="s">
        <v>0</v>
      </c>
    </row>
    <row r="26057" spans="1:1" x14ac:dyDescent="0.3">
      <c r="A26057" t="s">
        <v>0</v>
      </c>
    </row>
    <row r="26058" spans="1:1" x14ac:dyDescent="0.3">
      <c r="A26058" t="s">
        <v>0</v>
      </c>
    </row>
    <row r="26059" spans="1:1" x14ac:dyDescent="0.3">
      <c r="A26059" t="s">
        <v>0</v>
      </c>
    </row>
    <row r="26060" spans="1:1" x14ac:dyDescent="0.3">
      <c r="A26060" t="s">
        <v>0</v>
      </c>
    </row>
    <row r="26061" spans="1:1" x14ac:dyDescent="0.3">
      <c r="A26061" t="s">
        <v>0</v>
      </c>
    </row>
    <row r="26062" spans="1:1" x14ac:dyDescent="0.3">
      <c r="A26062" t="s">
        <v>0</v>
      </c>
    </row>
    <row r="26063" spans="1:1" x14ac:dyDescent="0.3">
      <c r="A26063" t="s">
        <v>0</v>
      </c>
    </row>
    <row r="26064" spans="1:1" x14ac:dyDescent="0.3">
      <c r="A26064" t="s">
        <v>0</v>
      </c>
    </row>
    <row r="26065" spans="1:1" x14ac:dyDescent="0.3">
      <c r="A26065" t="s">
        <v>0</v>
      </c>
    </row>
    <row r="26066" spans="1:1" x14ac:dyDescent="0.3">
      <c r="A26066" t="s">
        <v>0</v>
      </c>
    </row>
    <row r="26067" spans="1:1" x14ac:dyDescent="0.3">
      <c r="A26067" t="s">
        <v>0</v>
      </c>
    </row>
    <row r="26068" spans="1:1" x14ac:dyDescent="0.3">
      <c r="A26068" t="s">
        <v>0</v>
      </c>
    </row>
    <row r="26069" spans="1:1" x14ac:dyDescent="0.3">
      <c r="A26069" t="s">
        <v>0</v>
      </c>
    </row>
    <row r="26070" spans="1:1" x14ac:dyDescent="0.3">
      <c r="A26070" t="s">
        <v>0</v>
      </c>
    </row>
    <row r="26071" spans="1:1" x14ac:dyDescent="0.3">
      <c r="A26071" t="s">
        <v>0</v>
      </c>
    </row>
    <row r="26072" spans="1:1" x14ac:dyDescent="0.3">
      <c r="A26072" t="s">
        <v>0</v>
      </c>
    </row>
    <row r="26073" spans="1:1" x14ac:dyDescent="0.3">
      <c r="A26073" t="s">
        <v>0</v>
      </c>
    </row>
    <row r="26074" spans="1:1" x14ac:dyDescent="0.3">
      <c r="A26074" t="s">
        <v>0</v>
      </c>
    </row>
    <row r="26075" spans="1:1" x14ac:dyDescent="0.3">
      <c r="A26075" t="s">
        <v>0</v>
      </c>
    </row>
    <row r="26076" spans="1:1" x14ac:dyDescent="0.3">
      <c r="A26076" t="s">
        <v>0</v>
      </c>
    </row>
    <row r="26077" spans="1:1" x14ac:dyDescent="0.3">
      <c r="A26077" t="s">
        <v>0</v>
      </c>
    </row>
    <row r="26078" spans="1:1" x14ac:dyDescent="0.3">
      <c r="A26078" t="s">
        <v>0</v>
      </c>
    </row>
    <row r="26079" spans="1:1" x14ac:dyDescent="0.3">
      <c r="A26079" t="s">
        <v>0</v>
      </c>
    </row>
    <row r="26080" spans="1:1" x14ac:dyDescent="0.3">
      <c r="A26080" t="s">
        <v>0</v>
      </c>
    </row>
    <row r="26081" spans="1:1" x14ac:dyDescent="0.3">
      <c r="A26081" t="s">
        <v>0</v>
      </c>
    </row>
    <row r="26082" spans="1:1" x14ac:dyDescent="0.3">
      <c r="A26082" t="s">
        <v>0</v>
      </c>
    </row>
    <row r="26083" spans="1:1" x14ac:dyDescent="0.3">
      <c r="A26083" t="s">
        <v>0</v>
      </c>
    </row>
    <row r="26084" spans="1:1" x14ac:dyDescent="0.3">
      <c r="A26084" t="s">
        <v>0</v>
      </c>
    </row>
    <row r="26085" spans="1:1" x14ac:dyDescent="0.3">
      <c r="A26085" t="s">
        <v>0</v>
      </c>
    </row>
    <row r="26086" spans="1:1" x14ac:dyDescent="0.3">
      <c r="A26086" t="s">
        <v>0</v>
      </c>
    </row>
    <row r="26087" spans="1:1" x14ac:dyDescent="0.3">
      <c r="A26087" t="s">
        <v>0</v>
      </c>
    </row>
    <row r="26088" spans="1:1" x14ac:dyDescent="0.3">
      <c r="A26088" t="s">
        <v>0</v>
      </c>
    </row>
    <row r="26089" spans="1:1" x14ac:dyDescent="0.3">
      <c r="A26089" t="s">
        <v>0</v>
      </c>
    </row>
    <row r="26090" spans="1:1" x14ac:dyDescent="0.3">
      <c r="A26090" t="s">
        <v>0</v>
      </c>
    </row>
    <row r="26091" spans="1:1" x14ac:dyDescent="0.3">
      <c r="A26091" t="s">
        <v>0</v>
      </c>
    </row>
    <row r="26092" spans="1:1" x14ac:dyDescent="0.3">
      <c r="A26092" t="s">
        <v>0</v>
      </c>
    </row>
    <row r="26093" spans="1:1" x14ac:dyDescent="0.3">
      <c r="A26093" t="s">
        <v>0</v>
      </c>
    </row>
    <row r="26094" spans="1:1" x14ac:dyDescent="0.3">
      <c r="A26094" t="s">
        <v>0</v>
      </c>
    </row>
    <row r="26095" spans="1:1" x14ac:dyDescent="0.3">
      <c r="A26095" t="s">
        <v>0</v>
      </c>
    </row>
    <row r="26096" spans="1:1" x14ac:dyDescent="0.3">
      <c r="A26096" t="s">
        <v>0</v>
      </c>
    </row>
    <row r="26097" spans="1:1" x14ac:dyDescent="0.3">
      <c r="A26097" t="s">
        <v>0</v>
      </c>
    </row>
    <row r="26098" spans="1:1" x14ac:dyDescent="0.3">
      <c r="A26098" t="s">
        <v>0</v>
      </c>
    </row>
    <row r="26099" spans="1:1" x14ac:dyDescent="0.3">
      <c r="A26099" t="s">
        <v>0</v>
      </c>
    </row>
    <row r="26100" spans="1:1" x14ac:dyDescent="0.3">
      <c r="A26100" t="s">
        <v>0</v>
      </c>
    </row>
    <row r="26101" spans="1:1" x14ac:dyDescent="0.3">
      <c r="A26101" t="s">
        <v>0</v>
      </c>
    </row>
    <row r="26102" spans="1:1" x14ac:dyDescent="0.3">
      <c r="A26102" t="s">
        <v>0</v>
      </c>
    </row>
    <row r="26103" spans="1:1" x14ac:dyDescent="0.3">
      <c r="A26103" t="s">
        <v>0</v>
      </c>
    </row>
    <row r="26104" spans="1:1" x14ac:dyDescent="0.3">
      <c r="A26104" t="s">
        <v>0</v>
      </c>
    </row>
    <row r="26105" spans="1:1" x14ac:dyDescent="0.3">
      <c r="A26105" t="s">
        <v>0</v>
      </c>
    </row>
    <row r="26106" spans="1:1" x14ac:dyDescent="0.3">
      <c r="A26106" t="s">
        <v>0</v>
      </c>
    </row>
    <row r="26107" spans="1:1" x14ac:dyDescent="0.3">
      <c r="A26107" t="s">
        <v>0</v>
      </c>
    </row>
    <row r="26108" spans="1:1" x14ac:dyDescent="0.3">
      <c r="A26108" t="s">
        <v>0</v>
      </c>
    </row>
    <row r="26109" spans="1:1" x14ac:dyDescent="0.3">
      <c r="A26109" t="s">
        <v>0</v>
      </c>
    </row>
    <row r="26110" spans="1:1" x14ac:dyDescent="0.3">
      <c r="A26110" t="s">
        <v>0</v>
      </c>
    </row>
    <row r="26111" spans="1:1" x14ac:dyDescent="0.3">
      <c r="A26111" t="s">
        <v>0</v>
      </c>
    </row>
    <row r="26112" spans="1:1" x14ac:dyDescent="0.3">
      <c r="A26112" t="s">
        <v>0</v>
      </c>
    </row>
    <row r="26113" spans="1:1" x14ac:dyDescent="0.3">
      <c r="A26113" t="s">
        <v>0</v>
      </c>
    </row>
    <row r="26114" spans="1:1" x14ac:dyDescent="0.3">
      <c r="A26114" t="s">
        <v>0</v>
      </c>
    </row>
    <row r="26115" spans="1:1" x14ac:dyDescent="0.3">
      <c r="A26115" t="s">
        <v>0</v>
      </c>
    </row>
    <row r="26116" spans="1:1" x14ac:dyDescent="0.3">
      <c r="A26116" t="s">
        <v>0</v>
      </c>
    </row>
    <row r="26117" spans="1:1" x14ac:dyDescent="0.3">
      <c r="A26117" t="s">
        <v>0</v>
      </c>
    </row>
    <row r="26118" spans="1:1" x14ac:dyDescent="0.3">
      <c r="A26118" t="s">
        <v>0</v>
      </c>
    </row>
    <row r="26119" spans="1:1" x14ac:dyDescent="0.3">
      <c r="A26119" t="s">
        <v>0</v>
      </c>
    </row>
    <row r="26120" spans="1:1" x14ac:dyDescent="0.3">
      <c r="A26120" t="s">
        <v>0</v>
      </c>
    </row>
    <row r="26121" spans="1:1" x14ac:dyDescent="0.3">
      <c r="A26121" t="s">
        <v>0</v>
      </c>
    </row>
    <row r="26122" spans="1:1" x14ac:dyDescent="0.3">
      <c r="A26122" t="s">
        <v>0</v>
      </c>
    </row>
    <row r="26123" spans="1:1" x14ac:dyDescent="0.3">
      <c r="A26123" t="s">
        <v>0</v>
      </c>
    </row>
    <row r="26124" spans="1:1" x14ac:dyDescent="0.3">
      <c r="A26124" t="s">
        <v>0</v>
      </c>
    </row>
    <row r="26125" spans="1:1" x14ac:dyDescent="0.3">
      <c r="A26125" t="s">
        <v>0</v>
      </c>
    </row>
    <row r="26126" spans="1:1" x14ac:dyDescent="0.3">
      <c r="A26126" t="s">
        <v>0</v>
      </c>
    </row>
    <row r="26127" spans="1:1" x14ac:dyDescent="0.3">
      <c r="A26127" t="s">
        <v>0</v>
      </c>
    </row>
    <row r="26128" spans="1:1" x14ac:dyDescent="0.3">
      <c r="A26128" t="s">
        <v>0</v>
      </c>
    </row>
    <row r="26129" spans="1:1" x14ac:dyDescent="0.3">
      <c r="A26129" t="s">
        <v>0</v>
      </c>
    </row>
    <row r="26130" spans="1:1" x14ac:dyDescent="0.3">
      <c r="A26130" t="s">
        <v>0</v>
      </c>
    </row>
    <row r="26131" spans="1:1" x14ac:dyDescent="0.3">
      <c r="A26131" t="s">
        <v>0</v>
      </c>
    </row>
    <row r="26132" spans="1:1" x14ac:dyDescent="0.3">
      <c r="A26132" t="s">
        <v>0</v>
      </c>
    </row>
    <row r="26133" spans="1:1" x14ac:dyDescent="0.3">
      <c r="A26133" t="s">
        <v>0</v>
      </c>
    </row>
    <row r="26134" spans="1:1" x14ac:dyDescent="0.3">
      <c r="A26134" t="s">
        <v>0</v>
      </c>
    </row>
    <row r="26135" spans="1:1" x14ac:dyDescent="0.3">
      <c r="A26135" t="s">
        <v>0</v>
      </c>
    </row>
    <row r="26136" spans="1:1" x14ac:dyDescent="0.3">
      <c r="A26136" t="s">
        <v>0</v>
      </c>
    </row>
    <row r="26137" spans="1:1" x14ac:dyDescent="0.3">
      <c r="A26137" t="s">
        <v>0</v>
      </c>
    </row>
    <row r="26138" spans="1:1" x14ac:dyDescent="0.3">
      <c r="A26138" t="s">
        <v>0</v>
      </c>
    </row>
    <row r="26139" spans="1:1" x14ac:dyDescent="0.3">
      <c r="A26139" t="s">
        <v>0</v>
      </c>
    </row>
    <row r="26140" spans="1:1" x14ac:dyDescent="0.3">
      <c r="A26140" t="s">
        <v>0</v>
      </c>
    </row>
    <row r="26141" spans="1:1" x14ac:dyDescent="0.3">
      <c r="A26141" t="s">
        <v>0</v>
      </c>
    </row>
    <row r="26142" spans="1:1" x14ac:dyDescent="0.3">
      <c r="A26142" t="s">
        <v>0</v>
      </c>
    </row>
    <row r="26143" spans="1:1" x14ac:dyDescent="0.3">
      <c r="A26143" t="s">
        <v>0</v>
      </c>
    </row>
    <row r="26144" spans="1:1" x14ac:dyDescent="0.3">
      <c r="A26144" t="s">
        <v>0</v>
      </c>
    </row>
    <row r="26145" spans="1:1" x14ac:dyDescent="0.3">
      <c r="A26145" t="s">
        <v>0</v>
      </c>
    </row>
    <row r="26146" spans="1:1" x14ac:dyDescent="0.3">
      <c r="A26146" t="s">
        <v>0</v>
      </c>
    </row>
    <row r="26147" spans="1:1" x14ac:dyDescent="0.3">
      <c r="A26147" t="s">
        <v>0</v>
      </c>
    </row>
    <row r="26148" spans="1:1" x14ac:dyDescent="0.3">
      <c r="A26148" t="s">
        <v>0</v>
      </c>
    </row>
    <row r="26149" spans="1:1" x14ac:dyDescent="0.3">
      <c r="A26149" t="s">
        <v>0</v>
      </c>
    </row>
    <row r="26150" spans="1:1" x14ac:dyDescent="0.3">
      <c r="A26150" t="s">
        <v>0</v>
      </c>
    </row>
    <row r="26151" spans="1:1" x14ac:dyDescent="0.3">
      <c r="A26151" t="s">
        <v>0</v>
      </c>
    </row>
    <row r="26152" spans="1:1" x14ac:dyDescent="0.3">
      <c r="A26152" t="s">
        <v>0</v>
      </c>
    </row>
    <row r="26153" spans="1:1" x14ac:dyDescent="0.3">
      <c r="A26153" t="s">
        <v>0</v>
      </c>
    </row>
    <row r="26154" spans="1:1" x14ac:dyDescent="0.3">
      <c r="A26154" t="s">
        <v>0</v>
      </c>
    </row>
    <row r="26155" spans="1:1" x14ac:dyDescent="0.3">
      <c r="A26155" t="s">
        <v>0</v>
      </c>
    </row>
    <row r="26156" spans="1:1" x14ac:dyDescent="0.3">
      <c r="A26156" t="s">
        <v>0</v>
      </c>
    </row>
    <row r="26157" spans="1:1" x14ac:dyDescent="0.3">
      <c r="A26157" t="s">
        <v>0</v>
      </c>
    </row>
    <row r="26158" spans="1:1" x14ac:dyDescent="0.3">
      <c r="A26158" t="s">
        <v>0</v>
      </c>
    </row>
    <row r="26159" spans="1:1" x14ac:dyDescent="0.3">
      <c r="A26159" t="s">
        <v>0</v>
      </c>
    </row>
    <row r="26160" spans="1:1" x14ac:dyDescent="0.3">
      <c r="A26160" t="s">
        <v>0</v>
      </c>
    </row>
    <row r="26161" spans="1:1" x14ac:dyDescent="0.3">
      <c r="A26161" t="s">
        <v>0</v>
      </c>
    </row>
    <row r="26162" spans="1:1" x14ac:dyDescent="0.3">
      <c r="A26162" t="s">
        <v>0</v>
      </c>
    </row>
    <row r="26163" spans="1:1" x14ac:dyDescent="0.3">
      <c r="A26163" t="s">
        <v>0</v>
      </c>
    </row>
    <row r="26164" spans="1:1" x14ac:dyDescent="0.3">
      <c r="A26164" t="s">
        <v>0</v>
      </c>
    </row>
    <row r="26165" spans="1:1" x14ac:dyDescent="0.3">
      <c r="A26165" t="s">
        <v>0</v>
      </c>
    </row>
    <row r="26166" spans="1:1" x14ac:dyDescent="0.3">
      <c r="A26166" t="s">
        <v>0</v>
      </c>
    </row>
    <row r="26167" spans="1:1" x14ac:dyDescent="0.3">
      <c r="A26167" t="s">
        <v>0</v>
      </c>
    </row>
    <row r="26168" spans="1:1" x14ac:dyDescent="0.3">
      <c r="A26168" t="s">
        <v>0</v>
      </c>
    </row>
    <row r="26169" spans="1:1" x14ac:dyDescent="0.3">
      <c r="A26169" t="s">
        <v>0</v>
      </c>
    </row>
    <row r="26170" spans="1:1" x14ac:dyDescent="0.3">
      <c r="A26170" t="s">
        <v>0</v>
      </c>
    </row>
    <row r="26171" spans="1:1" x14ac:dyDescent="0.3">
      <c r="A26171" t="s">
        <v>0</v>
      </c>
    </row>
    <row r="26172" spans="1:1" x14ac:dyDescent="0.3">
      <c r="A26172" t="s">
        <v>0</v>
      </c>
    </row>
    <row r="26173" spans="1:1" x14ac:dyDescent="0.3">
      <c r="A26173" t="s">
        <v>0</v>
      </c>
    </row>
    <row r="26174" spans="1:1" x14ac:dyDescent="0.3">
      <c r="A26174" t="s">
        <v>0</v>
      </c>
    </row>
    <row r="26175" spans="1:1" x14ac:dyDescent="0.3">
      <c r="A26175" t="s">
        <v>0</v>
      </c>
    </row>
    <row r="26176" spans="1:1" x14ac:dyDescent="0.3">
      <c r="A26176" t="s">
        <v>0</v>
      </c>
    </row>
    <row r="26177" spans="1:1" x14ac:dyDescent="0.3">
      <c r="A26177" t="s">
        <v>0</v>
      </c>
    </row>
    <row r="26178" spans="1:1" x14ac:dyDescent="0.3">
      <c r="A26178" t="s">
        <v>0</v>
      </c>
    </row>
    <row r="26179" spans="1:1" x14ac:dyDescent="0.3">
      <c r="A26179" t="s">
        <v>0</v>
      </c>
    </row>
    <row r="26180" spans="1:1" x14ac:dyDescent="0.3">
      <c r="A26180" t="s">
        <v>0</v>
      </c>
    </row>
    <row r="26181" spans="1:1" x14ac:dyDescent="0.3">
      <c r="A26181" t="s">
        <v>0</v>
      </c>
    </row>
    <row r="26182" spans="1:1" x14ac:dyDescent="0.3">
      <c r="A26182" t="s">
        <v>0</v>
      </c>
    </row>
    <row r="26183" spans="1:1" x14ac:dyDescent="0.3">
      <c r="A26183" t="s">
        <v>0</v>
      </c>
    </row>
    <row r="26184" spans="1:1" x14ac:dyDescent="0.3">
      <c r="A26184" t="s">
        <v>0</v>
      </c>
    </row>
    <row r="26185" spans="1:1" x14ac:dyDescent="0.3">
      <c r="A26185" t="s">
        <v>0</v>
      </c>
    </row>
    <row r="26186" spans="1:1" x14ac:dyDescent="0.3">
      <c r="A26186" t="s">
        <v>0</v>
      </c>
    </row>
    <row r="26187" spans="1:1" x14ac:dyDescent="0.3">
      <c r="A26187" t="s">
        <v>0</v>
      </c>
    </row>
    <row r="26188" spans="1:1" x14ac:dyDescent="0.3">
      <c r="A26188" t="s">
        <v>0</v>
      </c>
    </row>
    <row r="26189" spans="1:1" x14ac:dyDescent="0.3">
      <c r="A26189" t="s">
        <v>0</v>
      </c>
    </row>
    <row r="26190" spans="1:1" x14ac:dyDescent="0.3">
      <c r="A26190" t="s">
        <v>0</v>
      </c>
    </row>
    <row r="26191" spans="1:1" x14ac:dyDescent="0.3">
      <c r="A26191" t="s">
        <v>0</v>
      </c>
    </row>
    <row r="26192" spans="1:1" x14ac:dyDescent="0.3">
      <c r="A26192" t="s">
        <v>0</v>
      </c>
    </row>
    <row r="26193" spans="1:1" x14ac:dyDescent="0.3">
      <c r="A26193" t="s">
        <v>0</v>
      </c>
    </row>
    <row r="26194" spans="1:1" x14ac:dyDescent="0.3">
      <c r="A26194" t="s">
        <v>0</v>
      </c>
    </row>
    <row r="26195" spans="1:1" x14ac:dyDescent="0.3">
      <c r="A26195" t="s">
        <v>0</v>
      </c>
    </row>
    <row r="26196" spans="1:1" x14ac:dyDescent="0.3">
      <c r="A26196" t="s">
        <v>0</v>
      </c>
    </row>
    <row r="26197" spans="1:1" x14ac:dyDescent="0.3">
      <c r="A26197" t="s">
        <v>0</v>
      </c>
    </row>
    <row r="26198" spans="1:1" x14ac:dyDescent="0.3">
      <c r="A26198" t="s">
        <v>0</v>
      </c>
    </row>
    <row r="26199" spans="1:1" x14ac:dyDescent="0.3">
      <c r="A26199" t="s">
        <v>0</v>
      </c>
    </row>
    <row r="26200" spans="1:1" x14ac:dyDescent="0.3">
      <c r="A26200" t="s">
        <v>0</v>
      </c>
    </row>
    <row r="26201" spans="1:1" x14ac:dyDescent="0.3">
      <c r="A26201" t="s">
        <v>0</v>
      </c>
    </row>
    <row r="26202" spans="1:1" x14ac:dyDescent="0.3">
      <c r="A26202" t="s">
        <v>0</v>
      </c>
    </row>
    <row r="26203" spans="1:1" x14ac:dyDescent="0.3">
      <c r="A26203" t="s">
        <v>0</v>
      </c>
    </row>
    <row r="26204" spans="1:1" x14ac:dyDescent="0.3">
      <c r="A26204" t="s">
        <v>0</v>
      </c>
    </row>
    <row r="26205" spans="1:1" x14ac:dyDescent="0.3">
      <c r="A26205" t="s">
        <v>0</v>
      </c>
    </row>
    <row r="26206" spans="1:1" x14ac:dyDescent="0.3">
      <c r="A26206" t="s">
        <v>0</v>
      </c>
    </row>
    <row r="26207" spans="1:1" x14ac:dyDescent="0.3">
      <c r="A26207" t="s">
        <v>0</v>
      </c>
    </row>
    <row r="26208" spans="1:1" x14ac:dyDescent="0.3">
      <c r="A26208" t="s">
        <v>0</v>
      </c>
    </row>
    <row r="26209" spans="1:1" x14ac:dyDescent="0.3">
      <c r="A26209" t="s">
        <v>0</v>
      </c>
    </row>
    <row r="26210" spans="1:1" x14ac:dyDescent="0.3">
      <c r="A26210" t="s">
        <v>0</v>
      </c>
    </row>
    <row r="26211" spans="1:1" x14ac:dyDescent="0.3">
      <c r="A26211" t="s">
        <v>0</v>
      </c>
    </row>
    <row r="26212" spans="1:1" x14ac:dyDescent="0.3">
      <c r="A26212" t="s">
        <v>0</v>
      </c>
    </row>
    <row r="26213" spans="1:1" x14ac:dyDescent="0.3">
      <c r="A26213" t="s">
        <v>0</v>
      </c>
    </row>
    <row r="26214" spans="1:1" x14ac:dyDescent="0.3">
      <c r="A26214" t="s">
        <v>0</v>
      </c>
    </row>
    <row r="26215" spans="1:1" x14ac:dyDescent="0.3">
      <c r="A26215" t="s">
        <v>0</v>
      </c>
    </row>
    <row r="26216" spans="1:1" x14ac:dyDescent="0.3">
      <c r="A26216" t="s">
        <v>0</v>
      </c>
    </row>
    <row r="26217" spans="1:1" x14ac:dyDescent="0.3">
      <c r="A26217" t="s">
        <v>0</v>
      </c>
    </row>
    <row r="26218" spans="1:1" x14ac:dyDescent="0.3">
      <c r="A26218" t="s">
        <v>0</v>
      </c>
    </row>
    <row r="26219" spans="1:1" x14ac:dyDescent="0.3">
      <c r="A26219" t="s">
        <v>0</v>
      </c>
    </row>
    <row r="26220" spans="1:1" x14ac:dyDescent="0.3">
      <c r="A26220" t="s">
        <v>0</v>
      </c>
    </row>
    <row r="26221" spans="1:1" x14ac:dyDescent="0.3">
      <c r="A26221" t="s">
        <v>0</v>
      </c>
    </row>
    <row r="26222" spans="1:1" x14ac:dyDescent="0.3">
      <c r="A26222" t="s">
        <v>0</v>
      </c>
    </row>
    <row r="26223" spans="1:1" x14ac:dyDescent="0.3">
      <c r="A26223" t="s">
        <v>0</v>
      </c>
    </row>
    <row r="26224" spans="1:1" x14ac:dyDescent="0.3">
      <c r="A26224" t="s">
        <v>0</v>
      </c>
    </row>
    <row r="26225" spans="1:1" x14ac:dyDescent="0.3">
      <c r="A26225" t="s">
        <v>0</v>
      </c>
    </row>
    <row r="26226" spans="1:1" x14ac:dyDescent="0.3">
      <c r="A26226" t="s">
        <v>0</v>
      </c>
    </row>
    <row r="26227" spans="1:1" x14ac:dyDescent="0.3">
      <c r="A26227" t="s">
        <v>0</v>
      </c>
    </row>
    <row r="26228" spans="1:1" x14ac:dyDescent="0.3">
      <c r="A26228" t="s">
        <v>0</v>
      </c>
    </row>
    <row r="26229" spans="1:1" x14ac:dyDescent="0.3">
      <c r="A26229" t="s">
        <v>0</v>
      </c>
    </row>
    <row r="26230" spans="1:1" x14ac:dyDescent="0.3">
      <c r="A26230" t="s">
        <v>0</v>
      </c>
    </row>
    <row r="26231" spans="1:1" x14ac:dyDescent="0.3">
      <c r="A26231" t="s">
        <v>0</v>
      </c>
    </row>
    <row r="26232" spans="1:1" x14ac:dyDescent="0.3">
      <c r="A26232" t="s">
        <v>0</v>
      </c>
    </row>
    <row r="26233" spans="1:1" x14ac:dyDescent="0.3">
      <c r="A26233" t="s">
        <v>0</v>
      </c>
    </row>
    <row r="26234" spans="1:1" x14ac:dyDescent="0.3">
      <c r="A26234" t="s">
        <v>0</v>
      </c>
    </row>
    <row r="26235" spans="1:1" x14ac:dyDescent="0.3">
      <c r="A26235" t="s">
        <v>0</v>
      </c>
    </row>
    <row r="26236" spans="1:1" x14ac:dyDescent="0.3">
      <c r="A26236" t="s">
        <v>0</v>
      </c>
    </row>
    <row r="26237" spans="1:1" x14ac:dyDescent="0.3">
      <c r="A26237" t="s">
        <v>0</v>
      </c>
    </row>
    <row r="26238" spans="1:1" x14ac:dyDescent="0.3">
      <c r="A26238" t="s">
        <v>0</v>
      </c>
    </row>
    <row r="26239" spans="1:1" x14ac:dyDescent="0.3">
      <c r="A26239" t="s">
        <v>0</v>
      </c>
    </row>
    <row r="26240" spans="1:1" x14ac:dyDescent="0.3">
      <c r="A26240" t="s">
        <v>0</v>
      </c>
    </row>
    <row r="26241" spans="1:1" x14ac:dyDescent="0.3">
      <c r="A26241" t="s">
        <v>0</v>
      </c>
    </row>
    <row r="26242" spans="1:1" x14ac:dyDescent="0.3">
      <c r="A26242" t="s">
        <v>0</v>
      </c>
    </row>
    <row r="26243" spans="1:1" x14ac:dyDescent="0.3">
      <c r="A26243" t="s">
        <v>0</v>
      </c>
    </row>
    <row r="26244" spans="1:1" x14ac:dyDescent="0.3">
      <c r="A26244" t="s">
        <v>0</v>
      </c>
    </row>
    <row r="26245" spans="1:1" x14ac:dyDescent="0.3">
      <c r="A26245" t="s">
        <v>0</v>
      </c>
    </row>
    <row r="26246" spans="1:1" x14ac:dyDescent="0.3">
      <c r="A26246" t="s">
        <v>0</v>
      </c>
    </row>
    <row r="26247" spans="1:1" x14ac:dyDescent="0.3">
      <c r="A26247" t="s">
        <v>0</v>
      </c>
    </row>
    <row r="26248" spans="1:1" x14ac:dyDescent="0.3">
      <c r="A26248" t="s">
        <v>0</v>
      </c>
    </row>
    <row r="26249" spans="1:1" x14ac:dyDescent="0.3">
      <c r="A26249" t="s">
        <v>0</v>
      </c>
    </row>
    <row r="26250" spans="1:1" x14ac:dyDescent="0.3">
      <c r="A26250" t="s">
        <v>0</v>
      </c>
    </row>
    <row r="26251" spans="1:1" x14ac:dyDescent="0.3">
      <c r="A26251" t="s">
        <v>0</v>
      </c>
    </row>
    <row r="26252" spans="1:1" x14ac:dyDescent="0.3">
      <c r="A26252" t="s">
        <v>0</v>
      </c>
    </row>
    <row r="26253" spans="1:1" x14ac:dyDescent="0.3">
      <c r="A26253" t="s">
        <v>0</v>
      </c>
    </row>
    <row r="26254" spans="1:1" x14ac:dyDescent="0.3">
      <c r="A26254" t="s">
        <v>0</v>
      </c>
    </row>
    <row r="26255" spans="1:1" x14ac:dyDescent="0.3">
      <c r="A26255" t="s">
        <v>0</v>
      </c>
    </row>
    <row r="26256" spans="1:1" x14ac:dyDescent="0.3">
      <c r="A26256" t="s">
        <v>0</v>
      </c>
    </row>
    <row r="26257" spans="1:1" x14ac:dyDescent="0.3">
      <c r="A26257" t="s">
        <v>0</v>
      </c>
    </row>
    <row r="26258" spans="1:1" x14ac:dyDescent="0.3">
      <c r="A26258" t="s">
        <v>0</v>
      </c>
    </row>
    <row r="26259" spans="1:1" x14ac:dyDescent="0.3">
      <c r="A26259" t="s">
        <v>0</v>
      </c>
    </row>
    <row r="26260" spans="1:1" x14ac:dyDescent="0.3">
      <c r="A26260" t="s">
        <v>0</v>
      </c>
    </row>
    <row r="26261" spans="1:1" x14ac:dyDescent="0.3">
      <c r="A26261" t="s">
        <v>0</v>
      </c>
    </row>
    <row r="26262" spans="1:1" x14ac:dyDescent="0.3">
      <c r="A26262" t="s">
        <v>0</v>
      </c>
    </row>
    <row r="26263" spans="1:1" x14ac:dyDescent="0.3">
      <c r="A26263" t="s">
        <v>0</v>
      </c>
    </row>
    <row r="26264" spans="1:1" x14ac:dyDescent="0.3">
      <c r="A26264" t="s">
        <v>0</v>
      </c>
    </row>
    <row r="26265" spans="1:1" x14ac:dyDescent="0.3">
      <c r="A26265" t="s">
        <v>0</v>
      </c>
    </row>
    <row r="26266" spans="1:1" x14ac:dyDescent="0.3">
      <c r="A26266" t="s">
        <v>0</v>
      </c>
    </row>
    <row r="26267" spans="1:1" x14ac:dyDescent="0.3">
      <c r="A26267" t="s">
        <v>0</v>
      </c>
    </row>
    <row r="26268" spans="1:1" x14ac:dyDescent="0.3">
      <c r="A26268" t="s">
        <v>0</v>
      </c>
    </row>
    <row r="26269" spans="1:1" x14ac:dyDescent="0.3">
      <c r="A26269" t="s">
        <v>0</v>
      </c>
    </row>
    <row r="26270" spans="1:1" x14ac:dyDescent="0.3">
      <c r="A26270" t="s">
        <v>0</v>
      </c>
    </row>
    <row r="26271" spans="1:1" x14ac:dyDescent="0.3">
      <c r="A26271" t="s">
        <v>0</v>
      </c>
    </row>
    <row r="26272" spans="1:1" x14ac:dyDescent="0.3">
      <c r="A26272" t="s">
        <v>0</v>
      </c>
    </row>
    <row r="26273" spans="1:1" x14ac:dyDescent="0.3">
      <c r="A26273" t="s">
        <v>0</v>
      </c>
    </row>
    <row r="26274" spans="1:1" x14ac:dyDescent="0.3">
      <c r="A26274" t="s">
        <v>0</v>
      </c>
    </row>
    <row r="26275" spans="1:1" x14ac:dyDescent="0.3">
      <c r="A26275" t="s">
        <v>0</v>
      </c>
    </row>
    <row r="26276" spans="1:1" x14ac:dyDescent="0.3">
      <c r="A26276" t="s">
        <v>0</v>
      </c>
    </row>
    <row r="26277" spans="1:1" x14ac:dyDescent="0.3">
      <c r="A26277" t="s">
        <v>0</v>
      </c>
    </row>
    <row r="26278" spans="1:1" x14ac:dyDescent="0.3">
      <c r="A26278" t="s">
        <v>0</v>
      </c>
    </row>
    <row r="26279" spans="1:1" x14ac:dyDescent="0.3">
      <c r="A26279" t="s">
        <v>0</v>
      </c>
    </row>
    <row r="26280" spans="1:1" x14ac:dyDescent="0.3">
      <c r="A26280" t="s">
        <v>0</v>
      </c>
    </row>
    <row r="26281" spans="1:1" x14ac:dyDescent="0.3">
      <c r="A26281" t="s">
        <v>0</v>
      </c>
    </row>
    <row r="26282" spans="1:1" x14ac:dyDescent="0.3">
      <c r="A26282" t="s">
        <v>0</v>
      </c>
    </row>
    <row r="26283" spans="1:1" x14ac:dyDescent="0.3">
      <c r="A26283" t="s">
        <v>0</v>
      </c>
    </row>
    <row r="26284" spans="1:1" x14ac:dyDescent="0.3">
      <c r="A26284" t="s">
        <v>0</v>
      </c>
    </row>
    <row r="26285" spans="1:1" x14ac:dyDescent="0.3">
      <c r="A26285" t="s">
        <v>0</v>
      </c>
    </row>
    <row r="26286" spans="1:1" x14ac:dyDescent="0.3">
      <c r="A26286" t="s">
        <v>0</v>
      </c>
    </row>
    <row r="26287" spans="1:1" x14ac:dyDescent="0.3">
      <c r="A26287" t="s">
        <v>0</v>
      </c>
    </row>
    <row r="26288" spans="1:1" x14ac:dyDescent="0.3">
      <c r="A26288" t="s">
        <v>0</v>
      </c>
    </row>
    <row r="26289" spans="1:1" x14ac:dyDescent="0.3">
      <c r="A26289" t="s">
        <v>0</v>
      </c>
    </row>
    <row r="26290" spans="1:1" x14ac:dyDescent="0.3">
      <c r="A26290" t="s">
        <v>0</v>
      </c>
    </row>
    <row r="26291" spans="1:1" x14ac:dyDescent="0.3">
      <c r="A26291" t="s">
        <v>0</v>
      </c>
    </row>
    <row r="26292" spans="1:1" x14ac:dyDescent="0.3">
      <c r="A26292" t="s">
        <v>0</v>
      </c>
    </row>
    <row r="26293" spans="1:1" x14ac:dyDescent="0.3">
      <c r="A26293" t="s">
        <v>0</v>
      </c>
    </row>
    <row r="26294" spans="1:1" x14ac:dyDescent="0.3">
      <c r="A26294" t="s">
        <v>0</v>
      </c>
    </row>
    <row r="26295" spans="1:1" x14ac:dyDescent="0.3">
      <c r="A26295" t="s">
        <v>0</v>
      </c>
    </row>
    <row r="26296" spans="1:1" x14ac:dyDescent="0.3">
      <c r="A26296" t="s">
        <v>0</v>
      </c>
    </row>
    <row r="26297" spans="1:1" x14ac:dyDescent="0.3">
      <c r="A26297" t="s">
        <v>0</v>
      </c>
    </row>
    <row r="26298" spans="1:1" x14ac:dyDescent="0.3">
      <c r="A26298" t="s">
        <v>0</v>
      </c>
    </row>
    <row r="26299" spans="1:1" x14ac:dyDescent="0.3">
      <c r="A26299" t="s">
        <v>0</v>
      </c>
    </row>
    <row r="26300" spans="1:1" x14ac:dyDescent="0.3">
      <c r="A26300" t="s">
        <v>0</v>
      </c>
    </row>
    <row r="26301" spans="1:1" x14ac:dyDescent="0.3">
      <c r="A26301" t="s">
        <v>0</v>
      </c>
    </row>
    <row r="26302" spans="1:1" x14ac:dyDescent="0.3">
      <c r="A26302" t="s">
        <v>0</v>
      </c>
    </row>
    <row r="26303" spans="1:1" x14ac:dyDescent="0.3">
      <c r="A26303" t="s">
        <v>0</v>
      </c>
    </row>
    <row r="26304" spans="1:1" x14ac:dyDescent="0.3">
      <c r="A26304" t="s">
        <v>0</v>
      </c>
    </row>
    <row r="26305" spans="1:1" x14ac:dyDescent="0.3">
      <c r="A26305" t="s">
        <v>0</v>
      </c>
    </row>
    <row r="26306" spans="1:1" x14ac:dyDescent="0.3">
      <c r="A26306" t="s">
        <v>0</v>
      </c>
    </row>
    <row r="26307" spans="1:1" x14ac:dyDescent="0.3">
      <c r="A26307" t="s">
        <v>0</v>
      </c>
    </row>
    <row r="26308" spans="1:1" x14ac:dyDescent="0.3">
      <c r="A26308" t="s">
        <v>0</v>
      </c>
    </row>
    <row r="26309" spans="1:1" x14ac:dyDescent="0.3">
      <c r="A26309" t="s">
        <v>0</v>
      </c>
    </row>
    <row r="26310" spans="1:1" x14ac:dyDescent="0.3">
      <c r="A26310" t="s">
        <v>0</v>
      </c>
    </row>
    <row r="26311" spans="1:1" x14ac:dyDescent="0.3">
      <c r="A26311" t="s">
        <v>0</v>
      </c>
    </row>
    <row r="26312" spans="1:1" x14ac:dyDescent="0.3">
      <c r="A26312" t="s">
        <v>0</v>
      </c>
    </row>
    <row r="26313" spans="1:1" x14ac:dyDescent="0.3">
      <c r="A26313" t="s">
        <v>0</v>
      </c>
    </row>
    <row r="26314" spans="1:1" x14ac:dyDescent="0.3">
      <c r="A26314" t="s">
        <v>0</v>
      </c>
    </row>
    <row r="26315" spans="1:1" x14ac:dyDescent="0.3">
      <c r="A26315" t="s">
        <v>0</v>
      </c>
    </row>
    <row r="26316" spans="1:1" x14ac:dyDescent="0.3">
      <c r="A26316" t="s">
        <v>0</v>
      </c>
    </row>
    <row r="26317" spans="1:1" x14ac:dyDescent="0.3">
      <c r="A26317" t="s">
        <v>0</v>
      </c>
    </row>
    <row r="26318" spans="1:1" x14ac:dyDescent="0.3">
      <c r="A26318" t="s">
        <v>0</v>
      </c>
    </row>
    <row r="26319" spans="1:1" x14ac:dyDescent="0.3">
      <c r="A26319" t="s">
        <v>0</v>
      </c>
    </row>
    <row r="26320" spans="1:1" x14ac:dyDescent="0.3">
      <c r="A26320" t="s">
        <v>0</v>
      </c>
    </row>
    <row r="26321" spans="1:1" x14ac:dyDescent="0.3">
      <c r="A26321" t="s">
        <v>0</v>
      </c>
    </row>
    <row r="26322" spans="1:1" x14ac:dyDescent="0.3">
      <c r="A26322" t="s">
        <v>0</v>
      </c>
    </row>
    <row r="26323" spans="1:1" x14ac:dyDescent="0.3">
      <c r="A26323" t="s">
        <v>0</v>
      </c>
    </row>
    <row r="26324" spans="1:1" x14ac:dyDescent="0.3">
      <c r="A26324" t="s">
        <v>0</v>
      </c>
    </row>
    <row r="26325" spans="1:1" x14ac:dyDescent="0.3">
      <c r="A26325" t="s">
        <v>0</v>
      </c>
    </row>
    <row r="26326" spans="1:1" x14ac:dyDescent="0.3">
      <c r="A26326" t="s">
        <v>0</v>
      </c>
    </row>
    <row r="26327" spans="1:1" x14ac:dyDescent="0.3">
      <c r="A26327" t="s">
        <v>0</v>
      </c>
    </row>
    <row r="26328" spans="1:1" x14ac:dyDescent="0.3">
      <c r="A26328" t="s">
        <v>0</v>
      </c>
    </row>
    <row r="26329" spans="1:1" x14ac:dyDescent="0.3">
      <c r="A26329" t="s">
        <v>0</v>
      </c>
    </row>
    <row r="26330" spans="1:1" x14ac:dyDescent="0.3">
      <c r="A26330" t="s">
        <v>0</v>
      </c>
    </row>
    <row r="26331" spans="1:1" x14ac:dyDescent="0.3">
      <c r="A26331" t="s">
        <v>0</v>
      </c>
    </row>
    <row r="26332" spans="1:1" x14ac:dyDescent="0.3">
      <c r="A26332" t="s">
        <v>0</v>
      </c>
    </row>
    <row r="26333" spans="1:1" x14ac:dyDescent="0.3">
      <c r="A26333" t="s">
        <v>0</v>
      </c>
    </row>
    <row r="26334" spans="1:1" x14ac:dyDescent="0.3">
      <c r="A26334" t="s">
        <v>0</v>
      </c>
    </row>
    <row r="26335" spans="1:1" x14ac:dyDescent="0.3">
      <c r="A26335" t="s">
        <v>0</v>
      </c>
    </row>
    <row r="26336" spans="1:1" x14ac:dyDescent="0.3">
      <c r="A26336" t="s">
        <v>0</v>
      </c>
    </row>
    <row r="26337" spans="1:1" x14ac:dyDescent="0.3">
      <c r="A26337" t="s">
        <v>0</v>
      </c>
    </row>
    <row r="26338" spans="1:1" x14ac:dyDescent="0.3">
      <c r="A26338" t="s">
        <v>0</v>
      </c>
    </row>
    <row r="26339" spans="1:1" x14ac:dyDescent="0.3">
      <c r="A26339" t="s">
        <v>0</v>
      </c>
    </row>
    <row r="26340" spans="1:1" x14ac:dyDescent="0.3">
      <c r="A26340" t="s">
        <v>0</v>
      </c>
    </row>
    <row r="26341" spans="1:1" x14ac:dyDescent="0.3">
      <c r="A26341" t="s">
        <v>0</v>
      </c>
    </row>
    <row r="26342" spans="1:1" x14ac:dyDescent="0.3">
      <c r="A26342" t="s">
        <v>0</v>
      </c>
    </row>
    <row r="26343" spans="1:1" x14ac:dyDescent="0.3">
      <c r="A26343" t="s">
        <v>0</v>
      </c>
    </row>
    <row r="26344" spans="1:1" x14ac:dyDescent="0.3">
      <c r="A26344" t="s">
        <v>0</v>
      </c>
    </row>
    <row r="26345" spans="1:1" x14ac:dyDescent="0.3">
      <c r="A26345" t="s">
        <v>0</v>
      </c>
    </row>
    <row r="26346" spans="1:1" x14ac:dyDescent="0.3">
      <c r="A26346" t="s">
        <v>0</v>
      </c>
    </row>
    <row r="26347" spans="1:1" x14ac:dyDescent="0.3">
      <c r="A26347" t="s">
        <v>0</v>
      </c>
    </row>
    <row r="26348" spans="1:1" x14ac:dyDescent="0.3">
      <c r="A26348" t="s">
        <v>0</v>
      </c>
    </row>
    <row r="26349" spans="1:1" x14ac:dyDescent="0.3">
      <c r="A26349" t="s">
        <v>0</v>
      </c>
    </row>
    <row r="26350" spans="1:1" x14ac:dyDescent="0.3">
      <c r="A26350" t="s">
        <v>0</v>
      </c>
    </row>
    <row r="26351" spans="1:1" x14ac:dyDescent="0.3">
      <c r="A26351" t="s">
        <v>0</v>
      </c>
    </row>
    <row r="26352" spans="1:1" x14ac:dyDescent="0.3">
      <c r="A26352" t="s">
        <v>0</v>
      </c>
    </row>
    <row r="26353" spans="1:1" x14ac:dyDescent="0.3">
      <c r="A26353" t="s">
        <v>0</v>
      </c>
    </row>
    <row r="26354" spans="1:1" x14ac:dyDescent="0.3">
      <c r="A26354" t="s">
        <v>0</v>
      </c>
    </row>
    <row r="26355" spans="1:1" x14ac:dyDescent="0.3">
      <c r="A26355" t="s">
        <v>0</v>
      </c>
    </row>
    <row r="26356" spans="1:1" x14ac:dyDescent="0.3">
      <c r="A26356" t="s">
        <v>0</v>
      </c>
    </row>
    <row r="26357" spans="1:1" x14ac:dyDescent="0.3">
      <c r="A26357" t="s">
        <v>0</v>
      </c>
    </row>
    <row r="26358" spans="1:1" x14ac:dyDescent="0.3">
      <c r="A26358" t="s">
        <v>0</v>
      </c>
    </row>
    <row r="26359" spans="1:1" x14ac:dyDescent="0.3">
      <c r="A26359" t="s">
        <v>0</v>
      </c>
    </row>
    <row r="26360" spans="1:1" x14ac:dyDescent="0.3">
      <c r="A26360" t="s">
        <v>0</v>
      </c>
    </row>
    <row r="26361" spans="1:1" x14ac:dyDescent="0.3">
      <c r="A26361" t="s">
        <v>0</v>
      </c>
    </row>
    <row r="26362" spans="1:1" x14ac:dyDescent="0.3">
      <c r="A26362" t="s">
        <v>0</v>
      </c>
    </row>
    <row r="26363" spans="1:1" x14ac:dyDescent="0.3">
      <c r="A26363" t="s">
        <v>0</v>
      </c>
    </row>
    <row r="26364" spans="1:1" x14ac:dyDescent="0.3">
      <c r="A26364" t="s">
        <v>0</v>
      </c>
    </row>
    <row r="26365" spans="1:1" x14ac:dyDescent="0.3">
      <c r="A26365" t="s">
        <v>0</v>
      </c>
    </row>
    <row r="26366" spans="1:1" x14ac:dyDescent="0.3">
      <c r="A26366" t="s">
        <v>0</v>
      </c>
    </row>
    <row r="26367" spans="1:1" x14ac:dyDescent="0.3">
      <c r="A26367" t="s">
        <v>0</v>
      </c>
    </row>
    <row r="26368" spans="1:1" x14ac:dyDescent="0.3">
      <c r="A26368" t="s">
        <v>0</v>
      </c>
    </row>
    <row r="26369" spans="1:1" x14ac:dyDescent="0.3">
      <c r="A26369" t="s">
        <v>0</v>
      </c>
    </row>
    <row r="26370" spans="1:1" x14ac:dyDescent="0.3">
      <c r="A26370" t="s">
        <v>0</v>
      </c>
    </row>
    <row r="26371" spans="1:1" x14ac:dyDescent="0.3">
      <c r="A26371" t="s">
        <v>0</v>
      </c>
    </row>
    <row r="26372" spans="1:1" x14ac:dyDescent="0.3">
      <c r="A26372" t="s">
        <v>0</v>
      </c>
    </row>
    <row r="26373" spans="1:1" x14ac:dyDescent="0.3">
      <c r="A26373" t="s">
        <v>0</v>
      </c>
    </row>
    <row r="26374" spans="1:1" x14ac:dyDescent="0.3">
      <c r="A26374" t="s">
        <v>0</v>
      </c>
    </row>
    <row r="26375" spans="1:1" x14ac:dyDescent="0.3">
      <c r="A26375" t="s">
        <v>0</v>
      </c>
    </row>
    <row r="26376" spans="1:1" x14ac:dyDescent="0.3">
      <c r="A26376" t="s">
        <v>0</v>
      </c>
    </row>
    <row r="26377" spans="1:1" x14ac:dyDescent="0.3">
      <c r="A26377" t="s">
        <v>0</v>
      </c>
    </row>
    <row r="26378" spans="1:1" x14ac:dyDescent="0.3">
      <c r="A26378" t="s">
        <v>0</v>
      </c>
    </row>
    <row r="26379" spans="1:1" x14ac:dyDescent="0.3">
      <c r="A26379" t="s">
        <v>0</v>
      </c>
    </row>
    <row r="26380" spans="1:1" x14ac:dyDescent="0.3">
      <c r="A26380" t="s">
        <v>0</v>
      </c>
    </row>
    <row r="26381" spans="1:1" x14ac:dyDescent="0.3">
      <c r="A26381" t="s">
        <v>0</v>
      </c>
    </row>
    <row r="26382" spans="1:1" x14ac:dyDescent="0.3">
      <c r="A26382" t="s">
        <v>0</v>
      </c>
    </row>
    <row r="26383" spans="1:1" x14ac:dyDescent="0.3">
      <c r="A26383" t="s">
        <v>0</v>
      </c>
    </row>
    <row r="26384" spans="1:1" x14ac:dyDescent="0.3">
      <c r="A26384" t="s">
        <v>0</v>
      </c>
    </row>
    <row r="26385" spans="1:1" x14ac:dyDescent="0.3">
      <c r="A26385" t="s">
        <v>0</v>
      </c>
    </row>
    <row r="26386" spans="1:1" x14ac:dyDescent="0.3">
      <c r="A26386" t="s">
        <v>0</v>
      </c>
    </row>
    <row r="26387" spans="1:1" x14ac:dyDescent="0.3">
      <c r="A26387" t="s">
        <v>0</v>
      </c>
    </row>
    <row r="26388" spans="1:1" x14ac:dyDescent="0.3">
      <c r="A26388" t="s">
        <v>0</v>
      </c>
    </row>
    <row r="26389" spans="1:1" x14ac:dyDescent="0.3">
      <c r="A26389" t="s">
        <v>0</v>
      </c>
    </row>
    <row r="26390" spans="1:1" x14ac:dyDescent="0.3">
      <c r="A26390" t="s">
        <v>0</v>
      </c>
    </row>
    <row r="26391" spans="1:1" x14ac:dyDescent="0.3">
      <c r="A26391" t="s">
        <v>0</v>
      </c>
    </row>
    <row r="26392" spans="1:1" x14ac:dyDescent="0.3">
      <c r="A26392" t="s">
        <v>0</v>
      </c>
    </row>
    <row r="26393" spans="1:1" x14ac:dyDescent="0.3">
      <c r="A26393" t="s">
        <v>0</v>
      </c>
    </row>
    <row r="26394" spans="1:1" x14ac:dyDescent="0.3">
      <c r="A26394" t="s">
        <v>0</v>
      </c>
    </row>
    <row r="26395" spans="1:1" x14ac:dyDescent="0.3">
      <c r="A26395" t="s">
        <v>0</v>
      </c>
    </row>
    <row r="26396" spans="1:1" x14ac:dyDescent="0.3">
      <c r="A26396" t="s">
        <v>0</v>
      </c>
    </row>
    <row r="26397" spans="1:1" x14ac:dyDescent="0.3">
      <c r="A26397" t="s">
        <v>0</v>
      </c>
    </row>
    <row r="26398" spans="1:1" x14ac:dyDescent="0.3">
      <c r="A26398" t="s">
        <v>0</v>
      </c>
    </row>
    <row r="26399" spans="1:1" x14ac:dyDescent="0.3">
      <c r="A26399" t="s">
        <v>0</v>
      </c>
    </row>
    <row r="26400" spans="1:1" x14ac:dyDescent="0.3">
      <c r="A26400" t="s">
        <v>0</v>
      </c>
    </row>
    <row r="26401" spans="1:1" x14ac:dyDescent="0.3">
      <c r="A26401" t="s">
        <v>0</v>
      </c>
    </row>
    <row r="26402" spans="1:1" x14ac:dyDescent="0.3">
      <c r="A26402" t="s">
        <v>0</v>
      </c>
    </row>
    <row r="26403" spans="1:1" x14ac:dyDescent="0.3">
      <c r="A26403" t="s">
        <v>0</v>
      </c>
    </row>
    <row r="26404" spans="1:1" x14ac:dyDescent="0.3">
      <c r="A26404" t="s">
        <v>0</v>
      </c>
    </row>
    <row r="26405" spans="1:1" x14ac:dyDescent="0.3">
      <c r="A26405" t="s">
        <v>0</v>
      </c>
    </row>
    <row r="26406" spans="1:1" x14ac:dyDescent="0.3">
      <c r="A26406" t="s">
        <v>0</v>
      </c>
    </row>
    <row r="26407" spans="1:1" x14ac:dyDescent="0.3">
      <c r="A26407" t="s">
        <v>0</v>
      </c>
    </row>
    <row r="26408" spans="1:1" x14ac:dyDescent="0.3">
      <c r="A26408" t="s">
        <v>0</v>
      </c>
    </row>
    <row r="26409" spans="1:1" x14ac:dyDescent="0.3">
      <c r="A26409" t="s">
        <v>0</v>
      </c>
    </row>
    <row r="26410" spans="1:1" x14ac:dyDescent="0.3">
      <c r="A26410" t="s">
        <v>0</v>
      </c>
    </row>
    <row r="26411" spans="1:1" x14ac:dyDescent="0.3">
      <c r="A26411" t="s">
        <v>0</v>
      </c>
    </row>
    <row r="26412" spans="1:1" x14ac:dyDescent="0.3">
      <c r="A26412" t="s">
        <v>0</v>
      </c>
    </row>
    <row r="26413" spans="1:1" x14ac:dyDescent="0.3">
      <c r="A26413" t="s">
        <v>0</v>
      </c>
    </row>
    <row r="26414" spans="1:1" x14ac:dyDescent="0.3">
      <c r="A26414" t="s">
        <v>0</v>
      </c>
    </row>
    <row r="26415" spans="1:1" x14ac:dyDescent="0.3">
      <c r="A26415" t="s">
        <v>0</v>
      </c>
    </row>
    <row r="26416" spans="1:1" x14ac:dyDescent="0.3">
      <c r="A26416" t="s">
        <v>0</v>
      </c>
    </row>
    <row r="26417" spans="1:1" x14ac:dyDescent="0.3">
      <c r="A26417" t="s">
        <v>0</v>
      </c>
    </row>
    <row r="26418" spans="1:1" x14ac:dyDescent="0.3">
      <c r="A26418" t="s">
        <v>0</v>
      </c>
    </row>
    <row r="26419" spans="1:1" x14ac:dyDescent="0.3">
      <c r="A26419" t="s">
        <v>0</v>
      </c>
    </row>
    <row r="26420" spans="1:1" x14ac:dyDescent="0.3">
      <c r="A26420" t="s">
        <v>0</v>
      </c>
    </row>
    <row r="26421" spans="1:1" x14ac:dyDescent="0.3">
      <c r="A26421" t="s">
        <v>0</v>
      </c>
    </row>
    <row r="26422" spans="1:1" x14ac:dyDescent="0.3">
      <c r="A26422" t="s">
        <v>0</v>
      </c>
    </row>
    <row r="26423" spans="1:1" x14ac:dyDescent="0.3">
      <c r="A26423" t="s">
        <v>0</v>
      </c>
    </row>
    <row r="26424" spans="1:1" x14ac:dyDescent="0.3">
      <c r="A26424" t="s">
        <v>0</v>
      </c>
    </row>
    <row r="26425" spans="1:1" x14ac:dyDescent="0.3">
      <c r="A26425" t="s">
        <v>0</v>
      </c>
    </row>
    <row r="26426" spans="1:1" x14ac:dyDescent="0.3">
      <c r="A26426" t="s">
        <v>0</v>
      </c>
    </row>
    <row r="26427" spans="1:1" x14ac:dyDescent="0.3">
      <c r="A26427" t="s">
        <v>0</v>
      </c>
    </row>
    <row r="26428" spans="1:1" x14ac:dyDescent="0.3">
      <c r="A26428" t="s">
        <v>0</v>
      </c>
    </row>
    <row r="26429" spans="1:1" x14ac:dyDescent="0.3">
      <c r="A26429" t="s">
        <v>0</v>
      </c>
    </row>
    <row r="26430" spans="1:1" x14ac:dyDescent="0.3">
      <c r="A26430" t="s">
        <v>0</v>
      </c>
    </row>
    <row r="26431" spans="1:1" x14ac:dyDescent="0.3">
      <c r="A26431" t="s">
        <v>0</v>
      </c>
    </row>
    <row r="26432" spans="1:1" x14ac:dyDescent="0.3">
      <c r="A26432" t="s">
        <v>0</v>
      </c>
    </row>
    <row r="26433" spans="1:1" x14ac:dyDescent="0.3">
      <c r="A26433" t="s">
        <v>0</v>
      </c>
    </row>
    <row r="26434" spans="1:1" x14ac:dyDescent="0.3">
      <c r="A26434" t="s">
        <v>0</v>
      </c>
    </row>
    <row r="26435" spans="1:1" x14ac:dyDescent="0.3">
      <c r="A26435" t="s">
        <v>0</v>
      </c>
    </row>
    <row r="26436" spans="1:1" x14ac:dyDescent="0.3">
      <c r="A26436" t="s">
        <v>0</v>
      </c>
    </row>
    <row r="26437" spans="1:1" x14ac:dyDescent="0.3">
      <c r="A26437" t="s">
        <v>0</v>
      </c>
    </row>
    <row r="26438" spans="1:1" x14ac:dyDescent="0.3">
      <c r="A26438" t="s">
        <v>0</v>
      </c>
    </row>
    <row r="26439" spans="1:1" x14ac:dyDescent="0.3">
      <c r="A26439" t="s">
        <v>0</v>
      </c>
    </row>
    <row r="26440" spans="1:1" x14ac:dyDescent="0.3">
      <c r="A26440" t="s">
        <v>0</v>
      </c>
    </row>
    <row r="26441" spans="1:1" x14ac:dyDescent="0.3">
      <c r="A26441" t="s">
        <v>0</v>
      </c>
    </row>
    <row r="26442" spans="1:1" x14ac:dyDescent="0.3">
      <c r="A26442" t="s">
        <v>0</v>
      </c>
    </row>
    <row r="26443" spans="1:1" x14ac:dyDescent="0.3">
      <c r="A26443" t="s">
        <v>0</v>
      </c>
    </row>
    <row r="26444" spans="1:1" x14ac:dyDescent="0.3">
      <c r="A26444" t="s">
        <v>0</v>
      </c>
    </row>
    <row r="26445" spans="1:1" x14ac:dyDescent="0.3">
      <c r="A26445" t="s">
        <v>0</v>
      </c>
    </row>
    <row r="26446" spans="1:1" x14ac:dyDescent="0.3">
      <c r="A26446" t="s">
        <v>0</v>
      </c>
    </row>
    <row r="26447" spans="1:1" x14ac:dyDescent="0.3">
      <c r="A26447" t="s">
        <v>0</v>
      </c>
    </row>
    <row r="26448" spans="1:1" x14ac:dyDescent="0.3">
      <c r="A26448" t="s">
        <v>0</v>
      </c>
    </row>
    <row r="26449" spans="1:1" x14ac:dyDescent="0.3">
      <c r="A26449" t="s">
        <v>0</v>
      </c>
    </row>
    <row r="26450" spans="1:1" x14ac:dyDescent="0.3">
      <c r="A26450" t="s">
        <v>0</v>
      </c>
    </row>
    <row r="26451" spans="1:1" x14ac:dyDescent="0.3">
      <c r="A26451" t="s">
        <v>0</v>
      </c>
    </row>
    <row r="26452" spans="1:1" x14ac:dyDescent="0.3">
      <c r="A26452" t="s">
        <v>0</v>
      </c>
    </row>
    <row r="26453" spans="1:1" x14ac:dyDescent="0.3">
      <c r="A26453" t="s">
        <v>0</v>
      </c>
    </row>
    <row r="26454" spans="1:1" x14ac:dyDescent="0.3">
      <c r="A26454" t="s">
        <v>0</v>
      </c>
    </row>
    <row r="26455" spans="1:1" x14ac:dyDescent="0.3">
      <c r="A26455" t="s">
        <v>0</v>
      </c>
    </row>
    <row r="26456" spans="1:1" x14ac:dyDescent="0.3">
      <c r="A26456" t="s">
        <v>0</v>
      </c>
    </row>
    <row r="26457" spans="1:1" x14ac:dyDescent="0.3">
      <c r="A26457" t="s">
        <v>0</v>
      </c>
    </row>
    <row r="26458" spans="1:1" x14ac:dyDescent="0.3">
      <c r="A26458" t="s">
        <v>0</v>
      </c>
    </row>
    <row r="26459" spans="1:1" x14ac:dyDescent="0.3">
      <c r="A26459" t="s">
        <v>0</v>
      </c>
    </row>
    <row r="26460" spans="1:1" x14ac:dyDescent="0.3">
      <c r="A26460" t="s">
        <v>0</v>
      </c>
    </row>
    <row r="26461" spans="1:1" x14ac:dyDescent="0.3">
      <c r="A26461" t="s">
        <v>0</v>
      </c>
    </row>
    <row r="26462" spans="1:1" x14ac:dyDescent="0.3">
      <c r="A26462" t="s">
        <v>0</v>
      </c>
    </row>
    <row r="26463" spans="1:1" x14ac:dyDescent="0.3">
      <c r="A26463" t="s">
        <v>0</v>
      </c>
    </row>
    <row r="26464" spans="1:1" x14ac:dyDescent="0.3">
      <c r="A26464" t="s">
        <v>0</v>
      </c>
    </row>
    <row r="26465" spans="1:1" x14ac:dyDescent="0.3">
      <c r="A26465" t="s">
        <v>0</v>
      </c>
    </row>
    <row r="26466" spans="1:1" x14ac:dyDescent="0.3">
      <c r="A26466" t="s">
        <v>0</v>
      </c>
    </row>
    <row r="26467" spans="1:1" x14ac:dyDescent="0.3">
      <c r="A26467" t="s">
        <v>0</v>
      </c>
    </row>
    <row r="26468" spans="1:1" x14ac:dyDescent="0.3">
      <c r="A26468" t="s">
        <v>0</v>
      </c>
    </row>
    <row r="26469" spans="1:1" x14ac:dyDescent="0.3">
      <c r="A26469" t="s">
        <v>0</v>
      </c>
    </row>
    <row r="26470" spans="1:1" x14ac:dyDescent="0.3">
      <c r="A26470" t="s">
        <v>0</v>
      </c>
    </row>
    <row r="26471" spans="1:1" x14ac:dyDescent="0.3">
      <c r="A26471" t="s">
        <v>0</v>
      </c>
    </row>
    <row r="26472" spans="1:1" x14ac:dyDescent="0.3">
      <c r="A26472" t="s">
        <v>0</v>
      </c>
    </row>
    <row r="26473" spans="1:1" x14ac:dyDescent="0.3">
      <c r="A26473" t="s">
        <v>0</v>
      </c>
    </row>
    <row r="26474" spans="1:1" x14ac:dyDescent="0.3">
      <c r="A26474" t="s">
        <v>0</v>
      </c>
    </row>
    <row r="26475" spans="1:1" x14ac:dyDescent="0.3">
      <c r="A26475" t="s">
        <v>0</v>
      </c>
    </row>
    <row r="26476" spans="1:1" x14ac:dyDescent="0.3">
      <c r="A26476" t="s">
        <v>0</v>
      </c>
    </row>
    <row r="26477" spans="1:1" x14ac:dyDescent="0.3">
      <c r="A26477" t="s">
        <v>0</v>
      </c>
    </row>
    <row r="26478" spans="1:1" x14ac:dyDescent="0.3">
      <c r="A26478" t="s">
        <v>0</v>
      </c>
    </row>
    <row r="26479" spans="1:1" x14ac:dyDescent="0.3">
      <c r="A26479" t="s">
        <v>0</v>
      </c>
    </row>
    <row r="26480" spans="1:1" x14ac:dyDescent="0.3">
      <c r="A26480" t="s">
        <v>0</v>
      </c>
    </row>
    <row r="26481" spans="1:1" x14ac:dyDescent="0.3">
      <c r="A26481" t="s">
        <v>0</v>
      </c>
    </row>
    <row r="26482" spans="1:1" x14ac:dyDescent="0.3">
      <c r="A26482" t="s">
        <v>0</v>
      </c>
    </row>
    <row r="26483" spans="1:1" x14ac:dyDescent="0.3">
      <c r="A26483" t="s">
        <v>0</v>
      </c>
    </row>
    <row r="26484" spans="1:1" x14ac:dyDescent="0.3">
      <c r="A26484" t="s">
        <v>0</v>
      </c>
    </row>
    <row r="26485" spans="1:1" x14ac:dyDescent="0.3">
      <c r="A26485" t="s">
        <v>0</v>
      </c>
    </row>
    <row r="26486" spans="1:1" x14ac:dyDescent="0.3">
      <c r="A26486" t="s">
        <v>0</v>
      </c>
    </row>
    <row r="26487" spans="1:1" x14ac:dyDescent="0.3">
      <c r="A26487" t="s">
        <v>0</v>
      </c>
    </row>
    <row r="26488" spans="1:1" x14ac:dyDescent="0.3">
      <c r="A26488" t="s">
        <v>0</v>
      </c>
    </row>
    <row r="26489" spans="1:1" x14ac:dyDescent="0.3">
      <c r="A26489" t="s">
        <v>0</v>
      </c>
    </row>
    <row r="26490" spans="1:1" x14ac:dyDescent="0.3">
      <c r="A26490" t="s">
        <v>0</v>
      </c>
    </row>
    <row r="26491" spans="1:1" x14ac:dyDescent="0.3">
      <c r="A26491" t="s">
        <v>0</v>
      </c>
    </row>
    <row r="26492" spans="1:1" x14ac:dyDescent="0.3">
      <c r="A26492" t="s">
        <v>0</v>
      </c>
    </row>
    <row r="26493" spans="1:1" x14ac:dyDescent="0.3">
      <c r="A26493" t="s">
        <v>0</v>
      </c>
    </row>
    <row r="26494" spans="1:1" x14ac:dyDescent="0.3">
      <c r="A26494" t="s">
        <v>0</v>
      </c>
    </row>
    <row r="26495" spans="1:1" x14ac:dyDescent="0.3">
      <c r="A26495" t="s">
        <v>0</v>
      </c>
    </row>
    <row r="26496" spans="1:1" x14ac:dyDescent="0.3">
      <c r="A26496" t="s">
        <v>0</v>
      </c>
    </row>
    <row r="26497" spans="1:1" x14ac:dyDescent="0.3">
      <c r="A26497" t="s">
        <v>0</v>
      </c>
    </row>
    <row r="26498" spans="1:1" x14ac:dyDescent="0.3">
      <c r="A26498" t="s">
        <v>0</v>
      </c>
    </row>
    <row r="26499" spans="1:1" x14ac:dyDescent="0.3">
      <c r="A26499" t="s">
        <v>0</v>
      </c>
    </row>
    <row r="26500" spans="1:1" x14ac:dyDescent="0.3">
      <c r="A26500" t="s">
        <v>0</v>
      </c>
    </row>
    <row r="26501" spans="1:1" x14ac:dyDescent="0.3">
      <c r="A26501" t="s">
        <v>0</v>
      </c>
    </row>
    <row r="26502" spans="1:1" x14ac:dyDescent="0.3">
      <c r="A26502" t="s">
        <v>0</v>
      </c>
    </row>
    <row r="26503" spans="1:1" x14ac:dyDescent="0.3">
      <c r="A26503" t="s">
        <v>0</v>
      </c>
    </row>
    <row r="26504" spans="1:1" x14ac:dyDescent="0.3">
      <c r="A26504" t="s">
        <v>0</v>
      </c>
    </row>
    <row r="26505" spans="1:1" x14ac:dyDescent="0.3">
      <c r="A26505" t="s">
        <v>0</v>
      </c>
    </row>
    <row r="26506" spans="1:1" x14ac:dyDescent="0.3">
      <c r="A26506" t="s">
        <v>0</v>
      </c>
    </row>
    <row r="26507" spans="1:1" x14ac:dyDescent="0.3">
      <c r="A26507" t="s">
        <v>0</v>
      </c>
    </row>
    <row r="26508" spans="1:1" x14ac:dyDescent="0.3">
      <c r="A26508" t="s">
        <v>0</v>
      </c>
    </row>
    <row r="26509" spans="1:1" x14ac:dyDescent="0.3">
      <c r="A26509" t="s">
        <v>0</v>
      </c>
    </row>
    <row r="26510" spans="1:1" x14ac:dyDescent="0.3">
      <c r="A26510" t="s">
        <v>0</v>
      </c>
    </row>
    <row r="26511" spans="1:1" x14ac:dyDescent="0.3">
      <c r="A26511" t="s">
        <v>0</v>
      </c>
    </row>
    <row r="26512" spans="1:1" x14ac:dyDescent="0.3">
      <c r="A26512" t="s">
        <v>0</v>
      </c>
    </row>
    <row r="26513" spans="1:1" x14ac:dyDescent="0.3">
      <c r="A26513" t="s">
        <v>0</v>
      </c>
    </row>
    <row r="26514" spans="1:1" x14ac:dyDescent="0.3">
      <c r="A26514" t="s">
        <v>0</v>
      </c>
    </row>
    <row r="26515" spans="1:1" x14ac:dyDescent="0.3">
      <c r="A26515" t="s">
        <v>0</v>
      </c>
    </row>
    <row r="26516" spans="1:1" x14ac:dyDescent="0.3">
      <c r="A26516" t="s">
        <v>0</v>
      </c>
    </row>
    <row r="26517" spans="1:1" x14ac:dyDescent="0.3">
      <c r="A26517" t="s">
        <v>0</v>
      </c>
    </row>
    <row r="26518" spans="1:1" x14ac:dyDescent="0.3">
      <c r="A26518" t="s">
        <v>0</v>
      </c>
    </row>
    <row r="26519" spans="1:1" x14ac:dyDescent="0.3">
      <c r="A26519" t="s">
        <v>0</v>
      </c>
    </row>
    <row r="26520" spans="1:1" x14ac:dyDescent="0.3">
      <c r="A26520" t="s">
        <v>0</v>
      </c>
    </row>
    <row r="26521" spans="1:1" x14ac:dyDescent="0.3">
      <c r="A26521" t="s">
        <v>0</v>
      </c>
    </row>
    <row r="26522" spans="1:1" x14ac:dyDescent="0.3">
      <c r="A26522" t="s">
        <v>0</v>
      </c>
    </row>
    <row r="26523" spans="1:1" x14ac:dyDescent="0.3">
      <c r="A26523" t="s">
        <v>0</v>
      </c>
    </row>
    <row r="26524" spans="1:1" x14ac:dyDescent="0.3">
      <c r="A26524" t="s">
        <v>0</v>
      </c>
    </row>
    <row r="26525" spans="1:1" x14ac:dyDescent="0.3">
      <c r="A26525" t="s">
        <v>0</v>
      </c>
    </row>
    <row r="26526" spans="1:1" x14ac:dyDescent="0.3">
      <c r="A26526" t="s">
        <v>0</v>
      </c>
    </row>
    <row r="26527" spans="1:1" x14ac:dyDescent="0.3">
      <c r="A26527" t="s">
        <v>0</v>
      </c>
    </row>
    <row r="26528" spans="1:1" x14ac:dyDescent="0.3">
      <c r="A26528" t="s">
        <v>0</v>
      </c>
    </row>
    <row r="26529" spans="1:1" x14ac:dyDescent="0.3">
      <c r="A26529" t="s">
        <v>0</v>
      </c>
    </row>
    <row r="26530" spans="1:1" x14ac:dyDescent="0.3">
      <c r="A26530" t="s">
        <v>0</v>
      </c>
    </row>
    <row r="26531" spans="1:1" x14ac:dyDescent="0.3">
      <c r="A26531" t="s">
        <v>0</v>
      </c>
    </row>
    <row r="26532" spans="1:1" x14ac:dyDescent="0.3">
      <c r="A26532" t="s">
        <v>0</v>
      </c>
    </row>
    <row r="26533" spans="1:1" x14ac:dyDescent="0.3">
      <c r="A26533" t="s">
        <v>0</v>
      </c>
    </row>
    <row r="26534" spans="1:1" x14ac:dyDescent="0.3">
      <c r="A26534" t="s">
        <v>0</v>
      </c>
    </row>
    <row r="26535" spans="1:1" x14ac:dyDescent="0.3">
      <c r="A26535" t="s">
        <v>0</v>
      </c>
    </row>
    <row r="26536" spans="1:1" x14ac:dyDescent="0.3">
      <c r="A26536" t="s">
        <v>0</v>
      </c>
    </row>
    <row r="26537" spans="1:1" x14ac:dyDescent="0.3">
      <c r="A26537" t="s">
        <v>0</v>
      </c>
    </row>
    <row r="26538" spans="1:1" x14ac:dyDescent="0.3">
      <c r="A26538" t="s">
        <v>0</v>
      </c>
    </row>
    <row r="26539" spans="1:1" x14ac:dyDescent="0.3">
      <c r="A26539" t="s">
        <v>0</v>
      </c>
    </row>
    <row r="26540" spans="1:1" x14ac:dyDescent="0.3">
      <c r="A26540" t="s">
        <v>0</v>
      </c>
    </row>
    <row r="26541" spans="1:1" x14ac:dyDescent="0.3">
      <c r="A26541" t="s">
        <v>0</v>
      </c>
    </row>
    <row r="26542" spans="1:1" x14ac:dyDescent="0.3">
      <c r="A26542" t="s">
        <v>0</v>
      </c>
    </row>
    <row r="26543" spans="1:1" x14ac:dyDescent="0.3">
      <c r="A26543" t="s">
        <v>0</v>
      </c>
    </row>
    <row r="26544" spans="1:1" x14ac:dyDescent="0.3">
      <c r="A26544" t="s">
        <v>0</v>
      </c>
    </row>
    <row r="26545" spans="1:1" x14ac:dyDescent="0.3">
      <c r="A26545" t="s">
        <v>0</v>
      </c>
    </row>
    <row r="26546" spans="1:1" x14ac:dyDescent="0.3">
      <c r="A26546" t="s">
        <v>0</v>
      </c>
    </row>
    <row r="26547" spans="1:1" x14ac:dyDescent="0.3">
      <c r="A26547" t="s">
        <v>0</v>
      </c>
    </row>
    <row r="26548" spans="1:1" x14ac:dyDescent="0.3">
      <c r="A26548" t="s">
        <v>0</v>
      </c>
    </row>
    <row r="26549" spans="1:1" x14ac:dyDescent="0.3">
      <c r="A26549" t="s">
        <v>0</v>
      </c>
    </row>
    <row r="26550" spans="1:1" x14ac:dyDescent="0.3">
      <c r="A26550" t="s">
        <v>0</v>
      </c>
    </row>
    <row r="26551" spans="1:1" x14ac:dyDescent="0.3">
      <c r="A26551" t="s">
        <v>0</v>
      </c>
    </row>
    <row r="26552" spans="1:1" x14ac:dyDescent="0.3">
      <c r="A26552" t="s">
        <v>0</v>
      </c>
    </row>
    <row r="26553" spans="1:1" x14ac:dyDescent="0.3">
      <c r="A26553" t="s">
        <v>0</v>
      </c>
    </row>
    <row r="26554" spans="1:1" x14ac:dyDescent="0.3">
      <c r="A26554" t="s">
        <v>0</v>
      </c>
    </row>
    <row r="26555" spans="1:1" x14ac:dyDescent="0.3">
      <c r="A26555" t="s">
        <v>0</v>
      </c>
    </row>
    <row r="26556" spans="1:1" x14ac:dyDescent="0.3">
      <c r="A26556" t="s">
        <v>0</v>
      </c>
    </row>
    <row r="26557" spans="1:1" x14ac:dyDescent="0.3">
      <c r="A26557" t="s">
        <v>0</v>
      </c>
    </row>
    <row r="26558" spans="1:1" x14ac:dyDescent="0.3">
      <c r="A26558" t="s">
        <v>0</v>
      </c>
    </row>
    <row r="26559" spans="1:1" x14ac:dyDescent="0.3">
      <c r="A26559" t="s">
        <v>0</v>
      </c>
    </row>
    <row r="26560" spans="1:1" x14ac:dyDescent="0.3">
      <c r="A26560" t="s">
        <v>0</v>
      </c>
    </row>
    <row r="26561" spans="1:1" x14ac:dyDescent="0.3">
      <c r="A26561" t="s">
        <v>0</v>
      </c>
    </row>
    <row r="26562" spans="1:1" x14ac:dyDescent="0.3">
      <c r="A26562" t="s">
        <v>0</v>
      </c>
    </row>
    <row r="26563" spans="1:1" x14ac:dyDescent="0.3">
      <c r="A26563" t="s">
        <v>0</v>
      </c>
    </row>
    <row r="26564" spans="1:1" x14ac:dyDescent="0.3">
      <c r="A26564" t="s">
        <v>0</v>
      </c>
    </row>
    <row r="26565" spans="1:1" x14ac:dyDescent="0.3">
      <c r="A26565" t="s">
        <v>0</v>
      </c>
    </row>
    <row r="26566" spans="1:1" x14ac:dyDescent="0.3">
      <c r="A26566" t="s">
        <v>0</v>
      </c>
    </row>
    <row r="26567" spans="1:1" x14ac:dyDescent="0.3">
      <c r="A26567" t="s">
        <v>0</v>
      </c>
    </row>
    <row r="26568" spans="1:1" x14ac:dyDescent="0.3">
      <c r="A26568" t="s">
        <v>0</v>
      </c>
    </row>
    <row r="26569" spans="1:1" x14ac:dyDescent="0.3">
      <c r="A26569" t="s">
        <v>0</v>
      </c>
    </row>
    <row r="26570" spans="1:1" x14ac:dyDescent="0.3">
      <c r="A26570" t="s">
        <v>0</v>
      </c>
    </row>
    <row r="26571" spans="1:1" x14ac:dyDescent="0.3">
      <c r="A26571" t="s">
        <v>0</v>
      </c>
    </row>
    <row r="26572" spans="1:1" x14ac:dyDescent="0.3">
      <c r="A26572" t="s">
        <v>0</v>
      </c>
    </row>
    <row r="26573" spans="1:1" x14ac:dyDescent="0.3">
      <c r="A26573" t="s">
        <v>0</v>
      </c>
    </row>
    <row r="26574" spans="1:1" x14ac:dyDescent="0.3">
      <c r="A26574" t="s">
        <v>0</v>
      </c>
    </row>
    <row r="26575" spans="1:1" x14ac:dyDescent="0.3">
      <c r="A26575" t="s">
        <v>0</v>
      </c>
    </row>
    <row r="26576" spans="1:1" x14ac:dyDescent="0.3">
      <c r="A26576" t="s">
        <v>0</v>
      </c>
    </row>
    <row r="26577" spans="1:1" x14ac:dyDescent="0.3">
      <c r="A26577" t="s">
        <v>0</v>
      </c>
    </row>
    <row r="26578" spans="1:1" x14ac:dyDescent="0.3">
      <c r="A26578" t="s">
        <v>0</v>
      </c>
    </row>
    <row r="26579" spans="1:1" x14ac:dyDescent="0.3">
      <c r="A26579" t="s">
        <v>0</v>
      </c>
    </row>
    <row r="26580" spans="1:1" x14ac:dyDescent="0.3">
      <c r="A26580" t="s">
        <v>0</v>
      </c>
    </row>
    <row r="26581" spans="1:1" x14ac:dyDescent="0.3">
      <c r="A26581" t="s">
        <v>0</v>
      </c>
    </row>
    <row r="26582" spans="1:1" x14ac:dyDescent="0.3">
      <c r="A26582" t="s">
        <v>0</v>
      </c>
    </row>
    <row r="26583" spans="1:1" x14ac:dyDescent="0.3">
      <c r="A26583" t="s">
        <v>0</v>
      </c>
    </row>
    <row r="26584" spans="1:1" x14ac:dyDescent="0.3">
      <c r="A26584" t="s">
        <v>0</v>
      </c>
    </row>
    <row r="26585" spans="1:1" x14ac:dyDescent="0.3">
      <c r="A26585" t="s">
        <v>0</v>
      </c>
    </row>
    <row r="26586" spans="1:1" x14ac:dyDescent="0.3">
      <c r="A26586" t="s">
        <v>0</v>
      </c>
    </row>
    <row r="26587" spans="1:1" x14ac:dyDescent="0.3">
      <c r="A26587" t="s">
        <v>0</v>
      </c>
    </row>
    <row r="26588" spans="1:1" x14ac:dyDescent="0.3">
      <c r="A26588" t="s">
        <v>0</v>
      </c>
    </row>
    <row r="26589" spans="1:1" x14ac:dyDescent="0.3">
      <c r="A26589" t="s">
        <v>0</v>
      </c>
    </row>
    <row r="26590" spans="1:1" x14ac:dyDescent="0.3">
      <c r="A26590" t="s">
        <v>0</v>
      </c>
    </row>
    <row r="26591" spans="1:1" x14ac:dyDescent="0.3">
      <c r="A26591" t="s">
        <v>0</v>
      </c>
    </row>
    <row r="26592" spans="1:1" x14ac:dyDescent="0.3">
      <c r="A26592" t="s">
        <v>0</v>
      </c>
    </row>
    <row r="26593" spans="1:1" x14ac:dyDescent="0.3">
      <c r="A26593" t="s">
        <v>0</v>
      </c>
    </row>
    <row r="26594" spans="1:1" x14ac:dyDescent="0.3">
      <c r="A26594" t="s">
        <v>0</v>
      </c>
    </row>
    <row r="26595" spans="1:1" x14ac:dyDescent="0.3">
      <c r="A26595" t="s">
        <v>0</v>
      </c>
    </row>
    <row r="26596" spans="1:1" x14ac:dyDescent="0.3">
      <c r="A26596" t="s">
        <v>0</v>
      </c>
    </row>
    <row r="26597" spans="1:1" x14ac:dyDescent="0.3">
      <c r="A26597" t="s">
        <v>0</v>
      </c>
    </row>
    <row r="26598" spans="1:1" x14ac:dyDescent="0.3">
      <c r="A26598" t="s">
        <v>0</v>
      </c>
    </row>
    <row r="26599" spans="1:1" x14ac:dyDescent="0.3">
      <c r="A26599" t="s">
        <v>0</v>
      </c>
    </row>
    <row r="26600" spans="1:1" x14ac:dyDescent="0.3">
      <c r="A26600" t="s">
        <v>0</v>
      </c>
    </row>
    <row r="26601" spans="1:1" x14ac:dyDescent="0.3">
      <c r="A26601" t="s">
        <v>0</v>
      </c>
    </row>
    <row r="26602" spans="1:1" x14ac:dyDescent="0.3">
      <c r="A26602" t="s">
        <v>0</v>
      </c>
    </row>
    <row r="26603" spans="1:1" x14ac:dyDescent="0.3">
      <c r="A26603" t="s">
        <v>0</v>
      </c>
    </row>
    <row r="26604" spans="1:1" x14ac:dyDescent="0.3">
      <c r="A26604" t="s">
        <v>0</v>
      </c>
    </row>
    <row r="26605" spans="1:1" x14ac:dyDescent="0.3">
      <c r="A26605" t="s">
        <v>0</v>
      </c>
    </row>
    <row r="26606" spans="1:1" x14ac:dyDescent="0.3">
      <c r="A26606" t="s">
        <v>0</v>
      </c>
    </row>
    <row r="26607" spans="1:1" x14ac:dyDescent="0.3">
      <c r="A26607" t="s">
        <v>0</v>
      </c>
    </row>
    <row r="26608" spans="1:1" x14ac:dyDescent="0.3">
      <c r="A26608" t="s">
        <v>0</v>
      </c>
    </row>
    <row r="26609" spans="1:1" x14ac:dyDescent="0.3">
      <c r="A26609" t="s">
        <v>0</v>
      </c>
    </row>
    <row r="26610" spans="1:1" x14ac:dyDescent="0.3">
      <c r="A26610" t="s">
        <v>0</v>
      </c>
    </row>
    <row r="26611" spans="1:1" x14ac:dyDescent="0.3">
      <c r="A26611" t="s">
        <v>0</v>
      </c>
    </row>
    <row r="26612" spans="1:1" x14ac:dyDescent="0.3">
      <c r="A26612" t="s">
        <v>0</v>
      </c>
    </row>
    <row r="26613" spans="1:1" x14ac:dyDescent="0.3">
      <c r="A26613" t="s">
        <v>0</v>
      </c>
    </row>
    <row r="26614" spans="1:1" x14ac:dyDescent="0.3">
      <c r="A26614" t="s">
        <v>0</v>
      </c>
    </row>
    <row r="26615" spans="1:1" x14ac:dyDescent="0.3">
      <c r="A26615" t="s">
        <v>0</v>
      </c>
    </row>
    <row r="26616" spans="1:1" x14ac:dyDescent="0.3">
      <c r="A26616" t="s">
        <v>0</v>
      </c>
    </row>
    <row r="26617" spans="1:1" x14ac:dyDescent="0.3">
      <c r="A26617" t="s">
        <v>0</v>
      </c>
    </row>
    <row r="26618" spans="1:1" x14ac:dyDescent="0.3">
      <c r="A26618" t="s">
        <v>0</v>
      </c>
    </row>
    <row r="26619" spans="1:1" x14ac:dyDescent="0.3">
      <c r="A26619" t="s">
        <v>0</v>
      </c>
    </row>
    <row r="26620" spans="1:1" x14ac:dyDescent="0.3">
      <c r="A26620" t="s">
        <v>0</v>
      </c>
    </row>
    <row r="26621" spans="1:1" x14ac:dyDescent="0.3">
      <c r="A26621" t="s">
        <v>0</v>
      </c>
    </row>
    <row r="26622" spans="1:1" x14ac:dyDescent="0.3">
      <c r="A26622" t="s">
        <v>0</v>
      </c>
    </row>
    <row r="26623" spans="1:1" x14ac:dyDescent="0.3">
      <c r="A26623" t="s">
        <v>0</v>
      </c>
    </row>
    <row r="26624" spans="1:1" x14ac:dyDescent="0.3">
      <c r="A26624" t="s">
        <v>0</v>
      </c>
    </row>
    <row r="26625" spans="1:1" x14ac:dyDescent="0.3">
      <c r="A26625" t="s">
        <v>0</v>
      </c>
    </row>
    <row r="26626" spans="1:1" x14ac:dyDescent="0.3">
      <c r="A26626" t="s">
        <v>0</v>
      </c>
    </row>
    <row r="26627" spans="1:1" x14ac:dyDescent="0.3">
      <c r="A26627" t="s">
        <v>0</v>
      </c>
    </row>
    <row r="26628" spans="1:1" x14ac:dyDescent="0.3">
      <c r="A26628" t="s">
        <v>0</v>
      </c>
    </row>
    <row r="26629" spans="1:1" x14ac:dyDescent="0.3">
      <c r="A26629" t="s">
        <v>0</v>
      </c>
    </row>
    <row r="26630" spans="1:1" x14ac:dyDescent="0.3">
      <c r="A26630" t="s">
        <v>0</v>
      </c>
    </row>
    <row r="26631" spans="1:1" x14ac:dyDescent="0.3">
      <c r="A26631" t="s">
        <v>0</v>
      </c>
    </row>
    <row r="26632" spans="1:1" x14ac:dyDescent="0.3">
      <c r="A26632" t="s">
        <v>0</v>
      </c>
    </row>
    <row r="26633" spans="1:1" x14ac:dyDescent="0.3">
      <c r="A26633" t="s">
        <v>0</v>
      </c>
    </row>
    <row r="26634" spans="1:1" x14ac:dyDescent="0.3">
      <c r="A26634" t="s">
        <v>0</v>
      </c>
    </row>
    <row r="26635" spans="1:1" x14ac:dyDescent="0.3">
      <c r="A26635" t="s">
        <v>0</v>
      </c>
    </row>
    <row r="26636" spans="1:1" x14ac:dyDescent="0.3">
      <c r="A26636" t="s">
        <v>0</v>
      </c>
    </row>
    <row r="26637" spans="1:1" x14ac:dyDescent="0.3">
      <c r="A26637" t="s">
        <v>0</v>
      </c>
    </row>
    <row r="26638" spans="1:1" x14ac:dyDescent="0.3">
      <c r="A26638" t="s">
        <v>0</v>
      </c>
    </row>
    <row r="26639" spans="1:1" x14ac:dyDescent="0.3">
      <c r="A26639" t="s">
        <v>0</v>
      </c>
    </row>
    <row r="26640" spans="1:1" x14ac:dyDescent="0.3">
      <c r="A26640" t="s">
        <v>0</v>
      </c>
    </row>
    <row r="26641" spans="1:1" x14ac:dyDescent="0.3">
      <c r="A26641" t="s">
        <v>0</v>
      </c>
    </row>
    <row r="26642" spans="1:1" x14ac:dyDescent="0.3">
      <c r="A26642" t="s">
        <v>0</v>
      </c>
    </row>
    <row r="26643" spans="1:1" x14ac:dyDescent="0.3">
      <c r="A26643" t="s">
        <v>0</v>
      </c>
    </row>
    <row r="26644" spans="1:1" x14ac:dyDescent="0.3">
      <c r="A26644" t="s">
        <v>0</v>
      </c>
    </row>
    <row r="26645" spans="1:1" x14ac:dyDescent="0.3">
      <c r="A26645" t="s">
        <v>0</v>
      </c>
    </row>
    <row r="26646" spans="1:1" x14ac:dyDescent="0.3">
      <c r="A26646" t="s">
        <v>0</v>
      </c>
    </row>
    <row r="26647" spans="1:1" x14ac:dyDescent="0.3">
      <c r="A26647" t="s">
        <v>0</v>
      </c>
    </row>
    <row r="26648" spans="1:1" x14ac:dyDescent="0.3">
      <c r="A26648" t="s">
        <v>0</v>
      </c>
    </row>
    <row r="26649" spans="1:1" x14ac:dyDescent="0.3">
      <c r="A26649" t="s">
        <v>0</v>
      </c>
    </row>
    <row r="26650" spans="1:1" x14ac:dyDescent="0.3">
      <c r="A26650" t="s">
        <v>0</v>
      </c>
    </row>
    <row r="26651" spans="1:1" x14ac:dyDescent="0.3">
      <c r="A26651" t="s">
        <v>0</v>
      </c>
    </row>
    <row r="26652" spans="1:1" x14ac:dyDescent="0.3">
      <c r="A26652" t="s">
        <v>0</v>
      </c>
    </row>
    <row r="26653" spans="1:1" x14ac:dyDescent="0.3">
      <c r="A26653" t="s">
        <v>0</v>
      </c>
    </row>
    <row r="26654" spans="1:1" x14ac:dyDescent="0.3">
      <c r="A26654" t="s">
        <v>0</v>
      </c>
    </row>
    <row r="26655" spans="1:1" x14ac:dyDescent="0.3">
      <c r="A26655" t="s">
        <v>0</v>
      </c>
    </row>
    <row r="26656" spans="1:1" x14ac:dyDescent="0.3">
      <c r="A26656" t="s">
        <v>0</v>
      </c>
    </row>
    <row r="26657" spans="1:1" x14ac:dyDescent="0.3">
      <c r="A26657" t="s">
        <v>0</v>
      </c>
    </row>
    <row r="26658" spans="1:1" x14ac:dyDescent="0.3">
      <c r="A26658" t="s">
        <v>0</v>
      </c>
    </row>
    <row r="26659" spans="1:1" x14ac:dyDescent="0.3">
      <c r="A26659" t="s">
        <v>0</v>
      </c>
    </row>
    <row r="26660" spans="1:1" x14ac:dyDescent="0.3">
      <c r="A26660" t="s">
        <v>0</v>
      </c>
    </row>
    <row r="26661" spans="1:1" x14ac:dyDescent="0.3">
      <c r="A26661" t="s">
        <v>0</v>
      </c>
    </row>
    <row r="26662" spans="1:1" x14ac:dyDescent="0.3">
      <c r="A26662" t="s">
        <v>0</v>
      </c>
    </row>
    <row r="26663" spans="1:1" x14ac:dyDescent="0.3">
      <c r="A26663" t="s">
        <v>0</v>
      </c>
    </row>
    <row r="26664" spans="1:1" x14ac:dyDescent="0.3">
      <c r="A26664" t="s">
        <v>0</v>
      </c>
    </row>
    <row r="26665" spans="1:1" x14ac:dyDescent="0.3">
      <c r="A26665" t="s">
        <v>0</v>
      </c>
    </row>
    <row r="26666" spans="1:1" x14ac:dyDescent="0.3">
      <c r="A26666" t="s">
        <v>0</v>
      </c>
    </row>
    <row r="26667" spans="1:1" x14ac:dyDescent="0.3">
      <c r="A26667" t="s">
        <v>0</v>
      </c>
    </row>
    <row r="26668" spans="1:1" x14ac:dyDescent="0.3">
      <c r="A26668" t="s">
        <v>0</v>
      </c>
    </row>
    <row r="26669" spans="1:1" x14ac:dyDescent="0.3">
      <c r="A26669" t="s">
        <v>0</v>
      </c>
    </row>
    <row r="26670" spans="1:1" x14ac:dyDescent="0.3">
      <c r="A26670" t="s">
        <v>0</v>
      </c>
    </row>
    <row r="26671" spans="1:1" x14ac:dyDescent="0.3">
      <c r="A26671" t="s">
        <v>0</v>
      </c>
    </row>
    <row r="26672" spans="1:1" x14ac:dyDescent="0.3">
      <c r="A26672" t="s">
        <v>0</v>
      </c>
    </row>
    <row r="26673" spans="1:1" x14ac:dyDescent="0.3">
      <c r="A26673" t="s">
        <v>0</v>
      </c>
    </row>
    <row r="26674" spans="1:1" x14ac:dyDescent="0.3">
      <c r="A26674" t="s">
        <v>0</v>
      </c>
    </row>
    <row r="26675" spans="1:1" x14ac:dyDescent="0.3">
      <c r="A26675" t="s">
        <v>0</v>
      </c>
    </row>
    <row r="26676" spans="1:1" x14ac:dyDescent="0.3">
      <c r="A26676" t="s">
        <v>0</v>
      </c>
    </row>
    <row r="26677" spans="1:1" x14ac:dyDescent="0.3">
      <c r="A26677" t="s">
        <v>0</v>
      </c>
    </row>
    <row r="26678" spans="1:1" x14ac:dyDescent="0.3">
      <c r="A26678" t="s">
        <v>0</v>
      </c>
    </row>
    <row r="26679" spans="1:1" x14ac:dyDescent="0.3">
      <c r="A26679" t="s">
        <v>0</v>
      </c>
    </row>
    <row r="26680" spans="1:1" x14ac:dyDescent="0.3">
      <c r="A26680" t="s">
        <v>0</v>
      </c>
    </row>
    <row r="26681" spans="1:1" x14ac:dyDescent="0.3">
      <c r="A26681" t="s">
        <v>0</v>
      </c>
    </row>
    <row r="26682" spans="1:1" x14ac:dyDescent="0.3">
      <c r="A26682" t="s">
        <v>0</v>
      </c>
    </row>
    <row r="26683" spans="1:1" x14ac:dyDescent="0.3">
      <c r="A26683" t="s">
        <v>0</v>
      </c>
    </row>
    <row r="26684" spans="1:1" x14ac:dyDescent="0.3">
      <c r="A26684" t="s">
        <v>0</v>
      </c>
    </row>
    <row r="26685" spans="1:1" x14ac:dyDescent="0.3">
      <c r="A26685" t="s">
        <v>0</v>
      </c>
    </row>
    <row r="26686" spans="1:1" x14ac:dyDescent="0.3">
      <c r="A26686" t="s">
        <v>0</v>
      </c>
    </row>
    <row r="26687" spans="1:1" x14ac:dyDescent="0.3">
      <c r="A26687" t="s">
        <v>0</v>
      </c>
    </row>
    <row r="26688" spans="1:1" x14ac:dyDescent="0.3">
      <c r="A26688" t="s">
        <v>0</v>
      </c>
    </row>
    <row r="26689" spans="1:1" x14ac:dyDescent="0.3">
      <c r="A26689" t="s">
        <v>0</v>
      </c>
    </row>
    <row r="26690" spans="1:1" x14ac:dyDescent="0.3">
      <c r="A26690" t="s">
        <v>0</v>
      </c>
    </row>
    <row r="26691" spans="1:1" x14ac:dyDescent="0.3">
      <c r="A26691" t="s">
        <v>0</v>
      </c>
    </row>
    <row r="26692" spans="1:1" x14ac:dyDescent="0.3">
      <c r="A26692" t="s">
        <v>0</v>
      </c>
    </row>
    <row r="26693" spans="1:1" x14ac:dyDescent="0.3">
      <c r="A26693" t="s">
        <v>0</v>
      </c>
    </row>
    <row r="26694" spans="1:1" x14ac:dyDescent="0.3">
      <c r="A26694" t="s">
        <v>0</v>
      </c>
    </row>
    <row r="26695" spans="1:1" x14ac:dyDescent="0.3">
      <c r="A26695" t="s">
        <v>0</v>
      </c>
    </row>
    <row r="26696" spans="1:1" x14ac:dyDescent="0.3">
      <c r="A26696" t="s">
        <v>0</v>
      </c>
    </row>
    <row r="26697" spans="1:1" x14ac:dyDescent="0.3">
      <c r="A26697" t="s">
        <v>0</v>
      </c>
    </row>
    <row r="26698" spans="1:1" x14ac:dyDescent="0.3">
      <c r="A26698" t="s">
        <v>0</v>
      </c>
    </row>
    <row r="26699" spans="1:1" x14ac:dyDescent="0.3">
      <c r="A26699" t="s">
        <v>0</v>
      </c>
    </row>
    <row r="26700" spans="1:1" x14ac:dyDescent="0.3">
      <c r="A26700" t="s">
        <v>0</v>
      </c>
    </row>
    <row r="26701" spans="1:1" x14ac:dyDescent="0.3">
      <c r="A26701" t="s">
        <v>0</v>
      </c>
    </row>
    <row r="26702" spans="1:1" x14ac:dyDescent="0.3">
      <c r="A26702" t="s">
        <v>0</v>
      </c>
    </row>
    <row r="26703" spans="1:1" x14ac:dyDescent="0.3">
      <c r="A26703" t="s">
        <v>0</v>
      </c>
    </row>
    <row r="26704" spans="1:1" x14ac:dyDescent="0.3">
      <c r="A26704" t="s">
        <v>0</v>
      </c>
    </row>
    <row r="26705" spans="1:1" x14ac:dyDescent="0.3">
      <c r="A26705" t="s">
        <v>0</v>
      </c>
    </row>
    <row r="26706" spans="1:1" x14ac:dyDescent="0.3">
      <c r="A26706" t="s">
        <v>0</v>
      </c>
    </row>
    <row r="26707" spans="1:1" x14ac:dyDescent="0.3">
      <c r="A26707" t="s">
        <v>0</v>
      </c>
    </row>
    <row r="26708" spans="1:1" x14ac:dyDescent="0.3">
      <c r="A26708" t="s">
        <v>0</v>
      </c>
    </row>
    <row r="26709" spans="1:1" x14ac:dyDescent="0.3">
      <c r="A26709" t="s">
        <v>0</v>
      </c>
    </row>
    <row r="26710" spans="1:1" x14ac:dyDescent="0.3">
      <c r="A26710" t="s">
        <v>0</v>
      </c>
    </row>
    <row r="26711" spans="1:1" x14ac:dyDescent="0.3">
      <c r="A26711" t="s">
        <v>0</v>
      </c>
    </row>
    <row r="26712" spans="1:1" x14ac:dyDescent="0.3">
      <c r="A26712" t="s">
        <v>0</v>
      </c>
    </row>
    <row r="26713" spans="1:1" x14ac:dyDescent="0.3">
      <c r="A26713" t="s">
        <v>0</v>
      </c>
    </row>
    <row r="26714" spans="1:1" x14ac:dyDescent="0.3">
      <c r="A26714" t="s">
        <v>0</v>
      </c>
    </row>
    <row r="26715" spans="1:1" x14ac:dyDescent="0.3">
      <c r="A26715" t="s">
        <v>0</v>
      </c>
    </row>
    <row r="26716" spans="1:1" x14ac:dyDescent="0.3">
      <c r="A26716" t="s">
        <v>0</v>
      </c>
    </row>
    <row r="26717" spans="1:1" x14ac:dyDescent="0.3">
      <c r="A26717" t="s">
        <v>0</v>
      </c>
    </row>
    <row r="26718" spans="1:1" x14ac:dyDescent="0.3">
      <c r="A26718" t="s">
        <v>0</v>
      </c>
    </row>
    <row r="26719" spans="1:1" x14ac:dyDescent="0.3">
      <c r="A26719" t="s">
        <v>0</v>
      </c>
    </row>
    <row r="26720" spans="1:1" x14ac:dyDescent="0.3">
      <c r="A26720" t="s">
        <v>0</v>
      </c>
    </row>
    <row r="26721" spans="1:1" x14ac:dyDescent="0.3">
      <c r="A26721" t="s">
        <v>0</v>
      </c>
    </row>
    <row r="26722" spans="1:1" x14ac:dyDescent="0.3">
      <c r="A26722" t="s">
        <v>0</v>
      </c>
    </row>
    <row r="26723" spans="1:1" x14ac:dyDescent="0.3">
      <c r="A26723" t="s">
        <v>0</v>
      </c>
    </row>
    <row r="26724" spans="1:1" x14ac:dyDescent="0.3">
      <c r="A26724" t="s">
        <v>0</v>
      </c>
    </row>
    <row r="26725" spans="1:1" x14ac:dyDescent="0.3">
      <c r="A26725" t="s">
        <v>0</v>
      </c>
    </row>
    <row r="26726" spans="1:1" x14ac:dyDescent="0.3">
      <c r="A26726" t="s">
        <v>0</v>
      </c>
    </row>
    <row r="26727" spans="1:1" x14ac:dyDescent="0.3">
      <c r="A26727" t="s">
        <v>0</v>
      </c>
    </row>
    <row r="26728" spans="1:1" x14ac:dyDescent="0.3">
      <c r="A26728" t="s">
        <v>0</v>
      </c>
    </row>
    <row r="26729" spans="1:1" x14ac:dyDescent="0.3">
      <c r="A26729" t="s">
        <v>0</v>
      </c>
    </row>
    <row r="26730" spans="1:1" x14ac:dyDescent="0.3">
      <c r="A26730" t="s">
        <v>0</v>
      </c>
    </row>
    <row r="26731" spans="1:1" x14ac:dyDescent="0.3">
      <c r="A26731" t="s">
        <v>0</v>
      </c>
    </row>
    <row r="26732" spans="1:1" x14ac:dyDescent="0.3">
      <c r="A26732" t="s">
        <v>0</v>
      </c>
    </row>
    <row r="26733" spans="1:1" x14ac:dyDescent="0.3">
      <c r="A26733" t="s">
        <v>0</v>
      </c>
    </row>
    <row r="26734" spans="1:1" x14ac:dyDescent="0.3">
      <c r="A26734" t="s">
        <v>0</v>
      </c>
    </row>
    <row r="26735" spans="1:1" x14ac:dyDescent="0.3">
      <c r="A26735" t="s">
        <v>0</v>
      </c>
    </row>
    <row r="26736" spans="1:1" x14ac:dyDescent="0.3">
      <c r="A26736" t="s">
        <v>0</v>
      </c>
    </row>
    <row r="26737" spans="1:1" x14ac:dyDescent="0.3">
      <c r="A26737" t="s">
        <v>0</v>
      </c>
    </row>
    <row r="26738" spans="1:1" x14ac:dyDescent="0.3">
      <c r="A26738" t="s">
        <v>0</v>
      </c>
    </row>
    <row r="26739" spans="1:1" x14ac:dyDescent="0.3">
      <c r="A26739" t="s">
        <v>0</v>
      </c>
    </row>
    <row r="26740" spans="1:1" x14ac:dyDescent="0.3">
      <c r="A26740" t="s">
        <v>0</v>
      </c>
    </row>
    <row r="26741" spans="1:1" x14ac:dyDescent="0.3">
      <c r="A26741" t="s">
        <v>0</v>
      </c>
    </row>
    <row r="26742" spans="1:1" x14ac:dyDescent="0.3">
      <c r="A26742" t="s">
        <v>0</v>
      </c>
    </row>
    <row r="26743" spans="1:1" x14ac:dyDescent="0.3">
      <c r="A26743" t="s">
        <v>0</v>
      </c>
    </row>
    <row r="26744" spans="1:1" x14ac:dyDescent="0.3">
      <c r="A26744" t="s">
        <v>0</v>
      </c>
    </row>
    <row r="26745" spans="1:1" x14ac:dyDescent="0.3">
      <c r="A26745" t="s">
        <v>0</v>
      </c>
    </row>
    <row r="26746" spans="1:1" x14ac:dyDescent="0.3">
      <c r="A26746" t="s">
        <v>0</v>
      </c>
    </row>
    <row r="26747" spans="1:1" x14ac:dyDescent="0.3">
      <c r="A26747" t="s">
        <v>0</v>
      </c>
    </row>
    <row r="26748" spans="1:1" x14ac:dyDescent="0.3">
      <c r="A26748" t="s">
        <v>0</v>
      </c>
    </row>
    <row r="26749" spans="1:1" x14ac:dyDescent="0.3">
      <c r="A26749" t="s">
        <v>0</v>
      </c>
    </row>
    <row r="26750" spans="1:1" x14ac:dyDescent="0.3">
      <c r="A26750" t="s">
        <v>0</v>
      </c>
    </row>
    <row r="26751" spans="1:1" x14ac:dyDescent="0.3">
      <c r="A26751" t="s">
        <v>0</v>
      </c>
    </row>
    <row r="26752" spans="1:1" x14ac:dyDescent="0.3">
      <c r="A26752" t="s">
        <v>0</v>
      </c>
    </row>
    <row r="26753" spans="1:1" x14ac:dyDescent="0.3">
      <c r="A26753" t="s">
        <v>0</v>
      </c>
    </row>
    <row r="26754" spans="1:1" x14ac:dyDescent="0.3">
      <c r="A26754" t="s">
        <v>0</v>
      </c>
    </row>
    <row r="26755" spans="1:1" x14ac:dyDescent="0.3">
      <c r="A26755" t="s">
        <v>0</v>
      </c>
    </row>
    <row r="26756" spans="1:1" x14ac:dyDescent="0.3">
      <c r="A26756" t="s">
        <v>0</v>
      </c>
    </row>
    <row r="26757" spans="1:1" x14ac:dyDescent="0.3">
      <c r="A26757" t="s">
        <v>0</v>
      </c>
    </row>
    <row r="26758" spans="1:1" x14ac:dyDescent="0.3">
      <c r="A26758" t="s">
        <v>0</v>
      </c>
    </row>
    <row r="26759" spans="1:1" x14ac:dyDescent="0.3">
      <c r="A26759" t="s">
        <v>0</v>
      </c>
    </row>
    <row r="26760" spans="1:1" x14ac:dyDescent="0.3">
      <c r="A26760" t="s">
        <v>0</v>
      </c>
    </row>
    <row r="26761" spans="1:1" x14ac:dyDescent="0.3">
      <c r="A26761" t="s">
        <v>0</v>
      </c>
    </row>
    <row r="26762" spans="1:1" x14ac:dyDescent="0.3">
      <c r="A26762" t="s">
        <v>0</v>
      </c>
    </row>
    <row r="26763" spans="1:1" x14ac:dyDescent="0.3">
      <c r="A26763" t="s">
        <v>0</v>
      </c>
    </row>
    <row r="26764" spans="1:1" x14ac:dyDescent="0.3">
      <c r="A26764" t="s">
        <v>0</v>
      </c>
    </row>
    <row r="26765" spans="1:1" x14ac:dyDescent="0.3">
      <c r="A26765" t="s">
        <v>0</v>
      </c>
    </row>
    <row r="26766" spans="1:1" x14ac:dyDescent="0.3">
      <c r="A26766" t="s">
        <v>0</v>
      </c>
    </row>
    <row r="26767" spans="1:1" x14ac:dyDescent="0.3">
      <c r="A26767" t="s">
        <v>0</v>
      </c>
    </row>
    <row r="26768" spans="1:1" x14ac:dyDescent="0.3">
      <c r="A26768" t="s">
        <v>0</v>
      </c>
    </row>
    <row r="26769" spans="1:1" x14ac:dyDescent="0.3">
      <c r="A26769" t="s">
        <v>0</v>
      </c>
    </row>
    <row r="26770" spans="1:1" x14ac:dyDescent="0.3">
      <c r="A26770" t="s">
        <v>0</v>
      </c>
    </row>
    <row r="26771" spans="1:1" x14ac:dyDescent="0.3">
      <c r="A26771" t="s">
        <v>0</v>
      </c>
    </row>
    <row r="26772" spans="1:1" x14ac:dyDescent="0.3">
      <c r="A26772" t="s">
        <v>0</v>
      </c>
    </row>
    <row r="26773" spans="1:1" x14ac:dyDescent="0.3">
      <c r="A26773" t="s">
        <v>0</v>
      </c>
    </row>
    <row r="26774" spans="1:1" x14ac:dyDescent="0.3">
      <c r="A26774" t="s">
        <v>0</v>
      </c>
    </row>
    <row r="26775" spans="1:1" x14ac:dyDescent="0.3">
      <c r="A26775" t="s">
        <v>0</v>
      </c>
    </row>
    <row r="26776" spans="1:1" x14ac:dyDescent="0.3">
      <c r="A26776" t="s">
        <v>0</v>
      </c>
    </row>
    <row r="26777" spans="1:1" x14ac:dyDescent="0.3">
      <c r="A26777" t="s">
        <v>0</v>
      </c>
    </row>
    <row r="26778" spans="1:1" x14ac:dyDescent="0.3">
      <c r="A26778" t="s">
        <v>0</v>
      </c>
    </row>
    <row r="26779" spans="1:1" x14ac:dyDescent="0.3">
      <c r="A26779" t="s">
        <v>0</v>
      </c>
    </row>
    <row r="26780" spans="1:1" x14ac:dyDescent="0.3">
      <c r="A26780" t="s">
        <v>0</v>
      </c>
    </row>
    <row r="26781" spans="1:1" x14ac:dyDescent="0.3">
      <c r="A26781" t="s">
        <v>0</v>
      </c>
    </row>
    <row r="26782" spans="1:1" x14ac:dyDescent="0.3">
      <c r="A26782" t="s">
        <v>0</v>
      </c>
    </row>
    <row r="26783" spans="1:1" x14ac:dyDescent="0.3">
      <c r="A26783" t="s">
        <v>0</v>
      </c>
    </row>
    <row r="26784" spans="1:1" x14ac:dyDescent="0.3">
      <c r="A26784" t="s">
        <v>0</v>
      </c>
    </row>
    <row r="26785" spans="1:1" x14ac:dyDescent="0.3">
      <c r="A26785" t="s">
        <v>0</v>
      </c>
    </row>
    <row r="26786" spans="1:1" x14ac:dyDescent="0.3">
      <c r="A26786" t="s">
        <v>0</v>
      </c>
    </row>
    <row r="26787" spans="1:1" x14ac:dyDescent="0.3">
      <c r="A26787" t="s">
        <v>0</v>
      </c>
    </row>
    <row r="26788" spans="1:1" x14ac:dyDescent="0.3">
      <c r="A26788" t="s">
        <v>0</v>
      </c>
    </row>
    <row r="26789" spans="1:1" x14ac:dyDescent="0.3">
      <c r="A26789" t="s">
        <v>0</v>
      </c>
    </row>
    <row r="26790" spans="1:1" x14ac:dyDescent="0.3">
      <c r="A26790" t="s">
        <v>0</v>
      </c>
    </row>
    <row r="26791" spans="1:1" x14ac:dyDescent="0.3">
      <c r="A26791" t="s">
        <v>0</v>
      </c>
    </row>
    <row r="26792" spans="1:1" x14ac:dyDescent="0.3">
      <c r="A26792" t="s">
        <v>0</v>
      </c>
    </row>
    <row r="26793" spans="1:1" x14ac:dyDescent="0.3">
      <c r="A26793" t="s">
        <v>0</v>
      </c>
    </row>
    <row r="26794" spans="1:1" x14ac:dyDescent="0.3">
      <c r="A26794" t="s">
        <v>0</v>
      </c>
    </row>
    <row r="26795" spans="1:1" x14ac:dyDescent="0.3">
      <c r="A26795" t="s">
        <v>0</v>
      </c>
    </row>
    <row r="26796" spans="1:1" x14ac:dyDescent="0.3">
      <c r="A26796" t="s">
        <v>0</v>
      </c>
    </row>
    <row r="26797" spans="1:1" x14ac:dyDescent="0.3">
      <c r="A26797" t="s">
        <v>0</v>
      </c>
    </row>
    <row r="26798" spans="1:1" x14ac:dyDescent="0.3">
      <c r="A26798" t="s">
        <v>0</v>
      </c>
    </row>
    <row r="26799" spans="1:1" x14ac:dyDescent="0.3">
      <c r="A26799" t="s">
        <v>0</v>
      </c>
    </row>
    <row r="26800" spans="1:1" x14ac:dyDescent="0.3">
      <c r="A26800" t="s">
        <v>0</v>
      </c>
    </row>
    <row r="26801" spans="1:1" x14ac:dyDescent="0.3">
      <c r="A26801" t="s">
        <v>0</v>
      </c>
    </row>
    <row r="26802" spans="1:1" x14ac:dyDescent="0.3">
      <c r="A26802" t="s">
        <v>0</v>
      </c>
    </row>
    <row r="26803" spans="1:1" x14ac:dyDescent="0.3">
      <c r="A26803" t="s">
        <v>0</v>
      </c>
    </row>
    <row r="26804" spans="1:1" x14ac:dyDescent="0.3">
      <c r="A26804" t="s">
        <v>0</v>
      </c>
    </row>
    <row r="26805" spans="1:1" x14ac:dyDescent="0.3">
      <c r="A26805" t="s">
        <v>0</v>
      </c>
    </row>
    <row r="26806" spans="1:1" x14ac:dyDescent="0.3">
      <c r="A26806" t="s">
        <v>0</v>
      </c>
    </row>
    <row r="26807" spans="1:1" x14ac:dyDescent="0.3">
      <c r="A26807" t="s">
        <v>0</v>
      </c>
    </row>
    <row r="26808" spans="1:1" x14ac:dyDescent="0.3">
      <c r="A26808" t="s">
        <v>0</v>
      </c>
    </row>
    <row r="26809" spans="1:1" x14ac:dyDescent="0.3">
      <c r="A26809" t="s">
        <v>0</v>
      </c>
    </row>
    <row r="26810" spans="1:1" x14ac:dyDescent="0.3">
      <c r="A26810" t="s">
        <v>0</v>
      </c>
    </row>
    <row r="26811" spans="1:1" x14ac:dyDescent="0.3">
      <c r="A26811" t="s">
        <v>0</v>
      </c>
    </row>
    <row r="26812" spans="1:1" x14ac:dyDescent="0.3">
      <c r="A26812" t="s">
        <v>0</v>
      </c>
    </row>
    <row r="26813" spans="1:1" x14ac:dyDescent="0.3">
      <c r="A26813" t="s">
        <v>0</v>
      </c>
    </row>
    <row r="26814" spans="1:1" x14ac:dyDescent="0.3">
      <c r="A26814" t="s">
        <v>0</v>
      </c>
    </row>
    <row r="26815" spans="1:1" x14ac:dyDescent="0.3">
      <c r="A26815" t="s">
        <v>0</v>
      </c>
    </row>
    <row r="26816" spans="1:1" x14ac:dyDescent="0.3">
      <c r="A26816" t="s">
        <v>0</v>
      </c>
    </row>
    <row r="26817" spans="1:1" x14ac:dyDescent="0.3">
      <c r="A26817" t="s">
        <v>0</v>
      </c>
    </row>
    <row r="26818" spans="1:1" x14ac:dyDescent="0.3">
      <c r="A26818" t="s">
        <v>0</v>
      </c>
    </row>
    <row r="26819" spans="1:1" x14ac:dyDescent="0.3">
      <c r="A26819" t="s">
        <v>0</v>
      </c>
    </row>
    <row r="26820" spans="1:1" x14ac:dyDescent="0.3">
      <c r="A26820" t="s">
        <v>0</v>
      </c>
    </row>
    <row r="26821" spans="1:1" x14ac:dyDescent="0.3">
      <c r="A26821" t="s">
        <v>0</v>
      </c>
    </row>
    <row r="26822" spans="1:1" x14ac:dyDescent="0.3">
      <c r="A26822" t="s">
        <v>0</v>
      </c>
    </row>
    <row r="26823" spans="1:1" x14ac:dyDescent="0.3">
      <c r="A26823" t="s">
        <v>0</v>
      </c>
    </row>
    <row r="26824" spans="1:1" x14ac:dyDescent="0.3">
      <c r="A26824" t="s">
        <v>0</v>
      </c>
    </row>
    <row r="26825" spans="1:1" x14ac:dyDescent="0.3">
      <c r="A26825" t="s">
        <v>0</v>
      </c>
    </row>
    <row r="26826" spans="1:1" x14ac:dyDescent="0.3">
      <c r="A26826" t="s">
        <v>0</v>
      </c>
    </row>
    <row r="26827" spans="1:1" x14ac:dyDescent="0.3">
      <c r="A26827" t="s">
        <v>0</v>
      </c>
    </row>
    <row r="26828" spans="1:1" x14ac:dyDescent="0.3">
      <c r="A26828" t="s">
        <v>0</v>
      </c>
    </row>
    <row r="26829" spans="1:1" x14ac:dyDescent="0.3">
      <c r="A26829" t="s">
        <v>0</v>
      </c>
    </row>
    <row r="26830" spans="1:1" x14ac:dyDescent="0.3">
      <c r="A26830" t="s">
        <v>0</v>
      </c>
    </row>
    <row r="26831" spans="1:1" x14ac:dyDescent="0.3">
      <c r="A26831" t="s">
        <v>0</v>
      </c>
    </row>
    <row r="26832" spans="1:1" x14ac:dyDescent="0.3">
      <c r="A26832" t="s">
        <v>0</v>
      </c>
    </row>
    <row r="26833" spans="1:1" x14ac:dyDescent="0.3">
      <c r="A26833" t="s">
        <v>0</v>
      </c>
    </row>
    <row r="26834" spans="1:1" x14ac:dyDescent="0.3">
      <c r="A26834" t="s">
        <v>0</v>
      </c>
    </row>
    <row r="26835" spans="1:1" x14ac:dyDescent="0.3">
      <c r="A26835" t="s">
        <v>0</v>
      </c>
    </row>
    <row r="26836" spans="1:1" x14ac:dyDescent="0.3">
      <c r="A26836" t="s">
        <v>0</v>
      </c>
    </row>
    <row r="26837" spans="1:1" x14ac:dyDescent="0.3">
      <c r="A26837" t="s">
        <v>0</v>
      </c>
    </row>
    <row r="26838" spans="1:1" x14ac:dyDescent="0.3">
      <c r="A26838" t="s">
        <v>0</v>
      </c>
    </row>
    <row r="26839" spans="1:1" x14ac:dyDescent="0.3">
      <c r="A26839" t="s">
        <v>0</v>
      </c>
    </row>
    <row r="26840" spans="1:1" x14ac:dyDescent="0.3">
      <c r="A26840" t="s">
        <v>0</v>
      </c>
    </row>
    <row r="26841" spans="1:1" x14ac:dyDescent="0.3">
      <c r="A26841" t="s">
        <v>0</v>
      </c>
    </row>
    <row r="26842" spans="1:1" x14ac:dyDescent="0.3">
      <c r="A26842" t="s">
        <v>0</v>
      </c>
    </row>
    <row r="26843" spans="1:1" x14ac:dyDescent="0.3">
      <c r="A26843" t="s">
        <v>0</v>
      </c>
    </row>
    <row r="26844" spans="1:1" x14ac:dyDescent="0.3">
      <c r="A26844" t="s">
        <v>0</v>
      </c>
    </row>
    <row r="26845" spans="1:1" x14ac:dyDescent="0.3">
      <c r="A26845" t="s">
        <v>0</v>
      </c>
    </row>
    <row r="26846" spans="1:1" x14ac:dyDescent="0.3">
      <c r="A26846" t="s">
        <v>0</v>
      </c>
    </row>
    <row r="26847" spans="1:1" x14ac:dyDescent="0.3">
      <c r="A26847" t="s">
        <v>0</v>
      </c>
    </row>
    <row r="26848" spans="1:1" x14ac:dyDescent="0.3">
      <c r="A26848" t="s">
        <v>0</v>
      </c>
    </row>
    <row r="26849" spans="1:1" x14ac:dyDescent="0.3">
      <c r="A26849" t="s">
        <v>0</v>
      </c>
    </row>
    <row r="26850" spans="1:1" x14ac:dyDescent="0.3">
      <c r="A26850" t="s">
        <v>0</v>
      </c>
    </row>
    <row r="26851" spans="1:1" x14ac:dyDescent="0.3">
      <c r="A26851" t="s">
        <v>0</v>
      </c>
    </row>
    <row r="26852" spans="1:1" x14ac:dyDescent="0.3">
      <c r="A26852" t="s">
        <v>0</v>
      </c>
    </row>
    <row r="26853" spans="1:1" x14ac:dyDescent="0.3">
      <c r="A26853" t="s">
        <v>0</v>
      </c>
    </row>
    <row r="26854" spans="1:1" x14ac:dyDescent="0.3">
      <c r="A26854" t="s">
        <v>0</v>
      </c>
    </row>
    <row r="26855" spans="1:1" x14ac:dyDescent="0.3">
      <c r="A26855" t="s">
        <v>0</v>
      </c>
    </row>
    <row r="26856" spans="1:1" x14ac:dyDescent="0.3">
      <c r="A26856" t="s">
        <v>0</v>
      </c>
    </row>
    <row r="26857" spans="1:1" x14ac:dyDescent="0.3">
      <c r="A26857" t="s">
        <v>0</v>
      </c>
    </row>
    <row r="26858" spans="1:1" x14ac:dyDescent="0.3">
      <c r="A26858" t="s">
        <v>0</v>
      </c>
    </row>
    <row r="26859" spans="1:1" x14ac:dyDescent="0.3">
      <c r="A26859" t="s">
        <v>0</v>
      </c>
    </row>
    <row r="26860" spans="1:1" x14ac:dyDescent="0.3">
      <c r="A26860" t="s">
        <v>0</v>
      </c>
    </row>
    <row r="26861" spans="1:1" x14ac:dyDescent="0.3">
      <c r="A26861" t="s">
        <v>0</v>
      </c>
    </row>
    <row r="26862" spans="1:1" x14ac:dyDescent="0.3">
      <c r="A26862" t="s">
        <v>0</v>
      </c>
    </row>
    <row r="26863" spans="1:1" x14ac:dyDescent="0.3">
      <c r="A26863" t="s">
        <v>0</v>
      </c>
    </row>
    <row r="26864" spans="1:1" x14ac:dyDescent="0.3">
      <c r="A26864" t="s">
        <v>0</v>
      </c>
    </row>
    <row r="26865" spans="1:1" x14ac:dyDescent="0.3">
      <c r="A26865" t="s">
        <v>0</v>
      </c>
    </row>
    <row r="26866" spans="1:1" x14ac:dyDescent="0.3">
      <c r="A26866" t="s">
        <v>0</v>
      </c>
    </row>
    <row r="26867" spans="1:1" x14ac:dyDescent="0.3">
      <c r="A26867" t="s">
        <v>0</v>
      </c>
    </row>
    <row r="26868" spans="1:1" x14ac:dyDescent="0.3">
      <c r="A26868" t="s">
        <v>0</v>
      </c>
    </row>
    <row r="26869" spans="1:1" x14ac:dyDescent="0.3">
      <c r="A26869" t="s">
        <v>0</v>
      </c>
    </row>
    <row r="26870" spans="1:1" x14ac:dyDescent="0.3">
      <c r="A26870" t="s">
        <v>0</v>
      </c>
    </row>
    <row r="26871" spans="1:1" x14ac:dyDescent="0.3">
      <c r="A26871" t="s">
        <v>0</v>
      </c>
    </row>
    <row r="26872" spans="1:1" x14ac:dyDescent="0.3">
      <c r="A26872" t="s">
        <v>0</v>
      </c>
    </row>
    <row r="26873" spans="1:1" x14ac:dyDescent="0.3">
      <c r="A26873" t="s">
        <v>0</v>
      </c>
    </row>
    <row r="26874" spans="1:1" x14ac:dyDescent="0.3">
      <c r="A26874" t="s">
        <v>0</v>
      </c>
    </row>
    <row r="26875" spans="1:1" x14ac:dyDescent="0.3">
      <c r="A26875" t="s">
        <v>0</v>
      </c>
    </row>
    <row r="26876" spans="1:1" x14ac:dyDescent="0.3">
      <c r="A26876" t="s">
        <v>0</v>
      </c>
    </row>
    <row r="26877" spans="1:1" x14ac:dyDescent="0.3">
      <c r="A26877" t="s">
        <v>0</v>
      </c>
    </row>
    <row r="26878" spans="1:1" x14ac:dyDescent="0.3">
      <c r="A26878" t="s">
        <v>0</v>
      </c>
    </row>
    <row r="26879" spans="1:1" x14ac:dyDescent="0.3">
      <c r="A26879" t="s">
        <v>0</v>
      </c>
    </row>
    <row r="26880" spans="1:1" x14ac:dyDescent="0.3">
      <c r="A26880" t="s">
        <v>0</v>
      </c>
    </row>
    <row r="26881" spans="1:1" x14ac:dyDescent="0.3">
      <c r="A26881" t="s">
        <v>0</v>
      </c>
    </row>
    <row r="26882" spans="1:1" x14ac:dyDescent="0.3">
      <c r="A26882" t="s">
        <v>0</v>
      </c>
    </row>
    <row r="26883" spans="1:1" x14ac:dyDescent="0.3">
      <c r="A26883" t="s">
        <v>0</v>
      </c>
    </row>
    <row r="26884" spans="1:1" x14ac:dyDescent="0.3">
      <c r="A26884" t="s">
        <v>0</v>
      </c>
    </row>
    <row r="26885" spans="1:1" x14ac:dyDescent="0.3">
      <c r="A26885" t="s">
        <v>0</v>
      </c>
    </row>
    <row r="26886" spans="1:1" x14ac:dyDescent="0.3">
      <c r="A26886" t="s">
        <v>0</v>
      </c>
    </row>
    <row r="26887" spans="1:1" x14ac:dyDescent="0.3">
      <c r="A26887" t="s">
        <v>0</v>
      </c>
    </row>
    <row r="26888" spans="1:1" x14ac:dyDescent="0.3">
      <c r="A26888" t="s">
        <v>0</v>
      </c>
    </row>
    <row r="26889" spans="1:1" x14ac:dyDescent="0.3">
      <c r="A26889" t="s">
        <v>0</v>
      </c>
    </row>
    <row r="26890" spans="1:1" x14ac:dyDescent="0.3">
      <c r="A26890" t="s">
        <v>0</v>
      </c>
    </row>
    <row r="26891" spans="1:1" x14ac:dyDescent="0.3">
      <c r="A26891" t="s">
        <v>0</v>
      </c>
    </row>
    <row r="26892" spans="1:1" x14ac:dyDescent="0.3">
      <c r="A26892" t="s">
        <v>0</v>
      </c>
    </row>
    <row r="26893" spans="1:1" x14ac:dyDescent="0.3">
      <c r="A26893" t="s">
        <v>0</v>
      </c>
    </row>
    <row r="26894" spans="1:1" x14ac:dyDescent="0.3">
      <c r="A26894" t="s">
        <v>0</v>
      </c>
    </row>
    <row r="26895" spans="1:1" x14ac:dyDescent="0.3">
      <c r="A26895" t="s">
        <v>0</v>
      </c>
    </row>
    <row r="26896" spans="1:1" x14ac:dyDescent="0.3">
      <c r="A26896" t="s">
        <v>0</v>
      </c>
    </row>
    <row r="26897" spans="1:1" x14ac:dyDescent="0.3">
      <c r="A26897" t="s">
        <v>0</v>
      </c>
    </row>
    <row r="26898" spans="1:1" x14ac:dyDescent="0.3">
      <c r="A26898" t="s">
        <v>0</v>
      </c>
    </row>
    <row r="26899" spans="1:1" x14ac:dyDescent="0.3">
      <c r="A26899" t="s">
        <v>0</v>
      </c>
    </row>
    <row r="26900" spans="1:1" x14ac:dyDescent="0.3">
      <c r="A26900" t="s">
        <v>0</v>
      </c>
    </row>
    <row r="26901" spans="1:1" x14ac:dyDescent="0.3">
      <c r="A26901" t="s">
        <v>0</v>
      </c>
    </row>
    <row r="26902" spans="1:1" x14ac:dyDescent="0.3">
      <c r="A26902" t="s">
        <v>0</v>
      </c>
    </row>
    <row r="26903" spans="1:1" x14ac:dyDescent="0.3">
      <c r="A26903" t="s">
        <v>0</v>
      </c>
    </row>
    <row r="26904" spans="1:1" x14ac:dyDescent="0.3">
      <c r="A26904" t="s">
        <v>0</v>
      </c>
    </row>
    <row r="26905" spans="1:1" x14ac:dyDescent="0.3">
      <c r="A26905" t="s">
        <v>0</v>
      </c>
    </row>
    <row r="26906" spans="1:1" x14ac:dyDescent="0.3">
      <c r="A26906" t="s">
        <v>0</v>
      </c>
    </row>
    <row r="26907" spans="1:1" x14ac:dyDescent="0.3">
      <c r="A26907" t="s">
        <v>0</v>
      </c>
    </row>
    <row r="26908" spans="1:1" x14ac:dyDescent="0.3">
      <c r="A26908" t="s">
        <v>0</v>
      </c>
    </row>
    <row r="26909" spans="1:1" x14ac:dyDescent="0.3">
      <c r="A26909" t="s">
        <v>0</v>
      </c>
    </row>
    <row r="26910" spans="1:1" x14ac:dyDescent="0.3">
      <c r="A26910" t="s">
        <v>0</v>
      </c>
    </row>
    <row r="26911" spans="1:1" x14ac:dyDescent="0.3">
      <c r="A26911" t="s">
        <v>0</v>
      </c>
    </row>
    <row r="26912" spans="1:1" x14ac:dyDescent="0.3">
      <c r="A26912" t="s">
        <v>0</v>
      </c>
    </row>
    <row r="26913" spans="1:1" x14ac:dyDescent="0.3">
      <c r="A26913" t="s">
        <v>0</v>
      </c>
    </row>
    <row r="26914" spans="1:1" x14ac:dyDescent="0.3">
      <c r="A26914" t="s">
        <v>0</v>
      </c>
    </row>
    <row r="26915" spans="1:1" x14ac:dyDescent="0.3">
      <c r="A26915" t="s">
        <v>0</v>
      </c>
    </row>
    <row r="26916" spans="1:1" x14ac:dyDescent="0.3">
      <c r="A26916" t="s">
        <v>0</v>
      </c>
    </row>
    <row r="26917" spans="1:1" x14ac:dyDescent="0.3">
      <c r="A26917" t="s">
        <v>0</v>
      </c>
    </row>
    <row r="26918" spans="1:1" x14ac:dyDescent="0.3">
      <c r="A26918" t="s">
        <v>0</v>
      </c>
    </row>
    <row r="26919" spans="1:1" x14ac:dyDescent="0.3">
      <c r="A26919" t="s">
        <v>0</v>
      </c>
    </row>
    <row r="26920" spans="1:1" x14ac:dyDescent="0.3">
      <c r="A26920" t="s">
        <v>0</v>
      </c>
    </row>
    <row r="26921" spans="1:1" x14ac:dyDescent="0.3">
      <c r="A26921" t="s">
        <v>0</v>
      </c>
    </row>
    <row r="26922" spans="1:1" x14ac:dyDescent="0.3">
      <c r="A26922" t="s">
        <v>0</v>
      </c>
    </row>
    <row r="26923" spans="1:1" x14ac:dyDescent="0.3">
      <c r="A26923" t="s">
        <v>0</v>
      </c>
    </row>
    <row r="26924" spans="1:1" x14ac:dyDescent="0.3">
      <c r="A26924" t="s">
        <v>0</v>
      </c>
    </row>
    <row r="26925" spans="1:1" x14ac:dyDescent="0.3">
      <c r="A26925" t="s">
        <v>0</v>
      </c>
    </row>
    <row r="26926" spans="1:1" x14ac:dyDescent="0.3">
      <c r="A26926" t="s">
        <v>0</v>
      </c>
    </row>
    <row r="26927" spans="1:1" x14ac:dyDescent="0.3">
      <c r="A26927" t="s">
        <v>0</v>
      </c>
    </row>
    <row r="26928" spans="1:1" x14ac:dyDescent="0.3">
      <c r="A26928" t="s">
        <v>0</v>
      </c>
    </row>
    <row r="26929" spans="1:1" x14ac:dyDescent="0.3">
      <c r="A26929" t="s">
        <v>0</v>
      </c>
    </row>
    <row r="26930" spans="1:1" x14ac:dyDescent="0.3">
      <c r="A26930" t="s">
        <v>0</v>
      </c>
    </row>
    <row r="26931" spans="1:1" x14ac:dyDescent="0.3">
      <c r="A26931" t="s">
        <v>0</v>
      </c>
    </row>
    <row r="26932" spans="1:1" x14ac:dyDescent="0.3">
      <c r="A26932" t="s">
        <v>0</v>
      </c>
    </row>
    <row r="26933" spans="1:1" x14ac:dyDescent="0.3">
      <c r="A26933" t="s">
        <v>0</v>
      </c>
    </row>
    <row r="26934" spans="1:1" x14ac:dyDescent="0.3">
      <c r="A26934" t="s">
        <v>0</v>
      </c>
    </row>
    <row r="26935" spans="1:1" x14ac:dyDescent="0.3">
      <c r="A26935" t="s">
        <v>0</v>
      </c>
    </row>
    <row r="26936" spans="1:1" x14ac:dyDescent="0.3">
      <c r="A26936" t="s">
        <v>0</v>
      </c>
    </row>
    <row r="26937" spans="1:1" x14ac:dyDescent="0.3">
      <c r="A26937" t="s">
        <v>0</v>
      </c>
    </row>
    <row r="26938" spans="1:1" x14ac:dyDescent="0.3">
      <c r="A26938" t="s">
        <v>0</v>
      </c>
    </row>
    <row r="26939" spans="1:1" x14ac:dyDescent="0.3">
      <c r="A26939" t="s">
        <v>0</v>
      </c>
    </row>
    <row r="26940" spans="1:1" x14ac:dyDescent="0.3">
      <c r="A26940" t="s">
        <v>0</v>
      </c>
    </row>
    <row r="26941" spans="1:1" x14ac:dyDescent="0.3">
      <c r="A26941" t="s">
        <v>0</v>
      </c>
    </row>
    <row r="26942" spans="1:1" x14ac:dyDescent="0.3">
      <c r="A26942" t="s">
        <v>0</v>
      </c>
    </row>
    <row r="26943" spans="1:1" x14ac:dyDescent="0.3">
      <c r="A26943" t="s">
        <v>0</v>
      </c>
    </row>
    <row r="26944" spans="1:1" x14ac:dyDescent="0.3">
      <c r="A26944" t="s">
        <v>0</v>
      </c>
    </row>
    <row r="26945" spans="1:1" x14ac:dyDescent="0.3">
      <c r="A26945" t="s">
        <v>0</v>
      </c>
    </row>
    <row r="26946" spans="1:1" x14ac:dyDescent="0.3">
      <c r="A26946" t="s">
        <v>0</v>
      </c>
    </row>
    <row r="26947" spans="1:1" x14ac:dyDescent="0.3">
      <c r="A26947" t="s">
        <v>0</v>
      </c>
    </row>
    <row r="26948" spans="1:1" x14ac:dyDescent="0.3">
      <c r="A26948" t="s">
        <v>0</v>
      </c>
    </row>
    <row r="26949" spans="1:1" x14ac:dyDescent="0.3">
      <c r="A26949" t="s">
        <v>0</v>
      </c>
    </row>
    <row r="26950" spans="1:1" x14ac:dyDescent="0.3">
      <c r="A26950" t="s">
        <v>0</v>
      </c>
    </row>
    <row r="26951" spans="1:1" x14ac:dyDescent="0.3">
      <c r="A26951" t="s">
        <v>0</v>
      </c>
    </row>
    <row r="26952" spans="1:1" x14ac:dyDescent="0.3">
      <c r="A26952" t="s">
        <v>0</v>
      </c>
    </row>
    <row r="26953" spans="1:1" x14ac:dyDescent="0.3">
      <c r="A26953" t="s">
        <v>0</v>
      </c>
    </row>
    <row r="26954" spans="1:1" x14ac:dyDescent="0.3">
      <c r="A26954" t="s">
        <v>0</v>
      </c>
    </row>
    <row r="26955" spans="1:1" x14ac:dyDescent="0.3">
      <c r="A26955" t="s">
        <v>0</v>
      </c>
    </row>
    <row r="26956" spans="1:1" x14ac:dyDescent="0.3">
      <c r="A26956" t="s">
        <v>0</v>
      </c>
    </row>
    <row r="26957" spans="1:1" x14ac:dyDescent="0.3">
      <c r="A26957" t="s">
        <v>0</v>
      </c>
    </row>
    <row r="26958" spans="1:1" x14ac:dyDescent="0.3">
      <c r="A26958" t="s">
        <v>0</v>
      </c>
    </row>
    <row r="26959" spans="1:1" x14ac:dyDescent="0.3">
      <c r="A26959" t="s">
        <v>0</v>
      </c>
    </row>
    <row r="26960" spans="1:1" x14ac:dyDescent="0.3">
      <c r="A26960" t="s">
        <v>0</v>
      </c>
    </row>
    <row r="26961" spans="1:1" x14ac:dyDescent="0.3">
      <c r="A26961" t="s">
        <v>0</v>
      </c>
    </row>
    <row r="26962" spans="1:1" x14ac:dyDescent="0.3">
      <c r="A26962" t="s">
        <v>0</v>
      </c>
    </row>
    <row r="26963" spans="1:1" x14ac:dyDescent="0.3">
      <c r="A26963" t="s">
        <v>0</v>
      </c>
    </row>
    <row r="26964" spans="1:1" x14ac:dyDescent="0.3">
      <c r="A26964" t="s">
        <v>0</v>
      </c>
    </row>
    <row r="26965" spans="1:1" x14ac:dyDescent="0.3">
      <c r="A26965" t="s">
        <v>0</v>
      </c>
    </row>
    <row r="26966" spans="1:1" x14ac:dyDescent="0.3">
      <c r="A26966" t="s">
        <v>0</v>
      </c>
    </row>
    <row r="26967" spans="1:1" x14ac:dyDescent="0.3">
      <c r="A26967" t="s">
        <v>0</v>
      </c>
    </row>
    <row r="26968" spans="1:1" x14ac:dyDescent="0.3">
      <c r="A26968" t="s">
        <v>0</v>
      </c>
    </row>
    <row r="26969" spans="1:1" x14ac:dyDescent="0.3">
      <c r="A26969" t="s">
        <v>0</v>
      </c>
    </row>
    <row r="26970" spans="1:1" x14ac:dyDescent="0.3">
      <c r="A26970" t="s">
        <v>0</v>
      </c>
    </row>
    <row r="26971" spans="1:1" x14ac:dyDescent="0.3">
      <c r="A26971" t="s">
        <v>0</v>
      </c>
    </row>
    <row r="26972" spans="1:1" x14ac:dyDescent="0.3">
      <c r="A26972" t="s">
        <v>0</v>
      </c>
    </row>
    <row r="26973" spans="1:1" x14ac:dyDescent="0.3">
      <c r="A26973" t="s">
        <v>0</v>
      </c>
    </row>
    <row r="26974" spans="1:1" x14ac:dyDescent="0.3">
      <c r="A26974" t="s">
        <v>0</v>
      </c>
    </row>
    <row r="26975" spans="1:1" x14ac:dyDescent="0.3">
      <c r="A26975" t="s">
        <v>0</v>
      </c>
    </row>
    <row r="26976" spans="1:1" x14ac:dyDescent="0.3">
      <c r="A26976" t="s">
        <v>0</v>
      </c>
    </row>
    <row r="26977" spans="1:1" x14ac:dyDescent="0.3">
      <c r="A26977" t="s">
        <v>0</v>
      </c>
    </row>
    <row r="26978" spans="1:1" x14ac:dyDescent="0.3">
      <c r="A26978" t="s">
        <v>0</v>
      </c>
    </row>
    <row r="26979" spans="1:1" x14ac:dyDescent="0.3">
      <c r="A26979" t="s">
        <v>0</v>
      </c>
    </row>
    <row r="26980" spans="1:1" x14ac:dyDescent="0.3">
      <c r="A26980" t="s">
        <v>0</v>
      </c>
    </row>
    <row r="26981" spans="1:1" x14ac:dyDescent="0.3">
      <c r="A26981" t="s">
        <v>0</v>
      </c>
    </row>
    <row r="26982" spans="1:1" x14ac:dyDescent="0.3">
      <c r="A26982" t="s">
        <v>0</v>
      </c>
    </row>
    <row r="26983" spans="1:1" x14ac:dyDescent="0.3">
      <c r="A26983" t="s">
        <v>0</v>
      </c>
    </row>
    <row r="26984" spans="1:1" x14ac:dyDescent="0.3">
      <c r="A26984" t="s">
        <v>0</v>
      </c>
    </row>
    <row r="26985" spans="1:1" x14ac:dyDescent="0.3">
      <c r="A26985" t="s">
        <v>0</v>
      </c>
    </row>
    <row r="26986" spans="1:1" x14ac:dyDescent="0.3">
      <c r="A26986" t="s">
        <v>0</v>
      </c>
    </row>
    <row r="26987" spans="1:1" x14ac:dyDescent="0.3">
      <c r="A26987" t="s">
        <v>0</v>
      </c>
    </row>
    <row r="26988" spans="1:1" x14ac:dyDescent="0.3">
      <c r="A26988" t="s">
        <v>0</v>
      </c>
    </row>
    <row r="26989" spans="1:1" x14ac:dyDescent="0.3">
      <c r="A26989" t="s">
        <v>0</v>
      </c>
    </row>
    <row r="26990" spans="1:1" x14ac:dyDescent="0.3">
      <c r="A26990" t="s">
        <v>0</v>
      </c>
    </row>
    <row r="26991" spans="1:1" x14ac:dyDescent="0.3">
      <c r="A26991" t="s">
        <v>0</v>
      </c>
    </row>
    <row r="26992" spans="1:1" x14ac:dyDescent="0.3">
      <c r="A26992" t="s">
        <v>0</v>
      </c>
    </row>
    <row r="26993" spans="1:1" x14ac:dyDescent="0.3">
      <c r="A26993" t="s">
        <v>0</v>
      </c>
    </row>
    <row r="26994" spans="1:1" x14ac:dyDescent="0.3">
      <c r="A26994" t="s">
        <v>0</v>
      </c>
    </row>
    <row r="26995" spans="1:1" x14ac:dyDescent="0.3">
      <c r="A26995" t="s">
        <v>0</v>
      </c>
    </row>
    <row r="26996" spans="1:1" x14ac:dyDescent="0.3">
      <c r="A26996" t="s">
        <v>0</v>
      </c>
    </row>
    <row r="26997" spans="1:1" x14ac:dyDescent="0.3">
      <c r="A26997" t="s">
        <v>0</v>
      </c>
    </row>
    <row r="26998" spans="1:1" x14ac:dyDescent="0.3">
      <c r="A26998" t="s">
        <v>0</v>
      </c>
    </row>
    <row r="26999" spans="1:1" x14ac:dyDescent="0.3">
      <c r="A26999" t="s">
        <v>0</v>
      </c>
    </row>
    <row r="27000" spans="1:1" x14ac:dyDescent="0.3">
      <c r="A27000" t="s">
        <v>0</v>
      </c>
    </row>
    <row r="27001" spans="1:1" x14ac:dyDescent="0.3">
      <c r="A27001" t="s">
        <v>0</v>
      </c>
    </row>
    <row r="27002" spans="1:1" x14ac:dyDescent="0.3">
      <c r="A27002" t="s">
        <v>0</v>
      </c>
    </row>
    <row r="27003" spans="1:1" x14ac:dyDescent="0.3">
      <c r="A27003" t="s">
        <v>0</v>
      </c>
    </row>
    <row r="27004" spans="1:1" x14ac:dyDescent="0.3">
      <c r="A27004" t="s">
        <v>0</v>
      </c>
    </row>
    <row r="27005" spans="1:1" x14ac:dyDescent="0.3">
      <c r="A27005" t="s">
        <v>0</v>
      </c>
    </row>
    <row r="27006" spans="1:1" x14ac:dyDescent="0.3">
      <c r="A27006" t="s">
        <v>0</v>
      </c>
    </row>
    <row r="27007" spans="1:1" x14ac:dyDescent="0.3">
      <c r="A27007" t="s">
        <v>0</v>
      </c>
    </row>
    <row r="27008" spans="1:1" x14ac:dyDescent="0.3">
      <c r="A27008" t="s">
        <v>0</v>
      </c>
    </row>
    <row r="27009" spans="1:1" x14ac:dyDescent="0.3">
      <c r="A27009" t="s">
        <v>0</v>
      </c>
    </row>
    <row r="27010" spans="1:1" x14ac:dyDescent="0.3">
      <c r="A27010" t="s">
        <v>0</v>
      </c>
    </row>
    <row r="27011" spans="1:1" x14ac:dyDescent="0.3">
      <c r="A27011" t="s">
        <v>0</v>
      </c>
    </row>
    <row r="27012" spans="1:1" x14ac:dyDescent="0.3">
      <c r="A27012" t="s">
        <v>0</v>
      </c>
    </row>
    <row r="27013" spans="1:1" x14ac:dyDescent="0.3">
      <c r="A27013" t="s">
        <v>0</v>
      </c>
    </row>
    <row r="27014" spans="1:1" x14ac:dyDescent="0.3">
      <c r="A27014" t="s">
        <v>0</v>
      </c>
    </row>
    <row r="27015" spans="1:1" x14ac:dyDescent="0.3">
      <c r="A27015" t="s">
        <v>0</v>
      </c>
    </row>
    <row r="27016" spans="1:1" x14ac:dyDescent="0.3">
      <c r="A27016" t="s">
        <v>0</v>
      </c>
    </row>
    <row r="27017" spans="1:1" x14ac:dyDescent="0.3">
      <c r="A27017" t="s">
        <v>0</v>
      </c>
    </row>
    <row r="27018" spans="1:1" x14ac:dyDescent="0.3">
      <c r="A27018" t="s">
        <v>0</v>
      </c>
    </row>
    <row r="27019" spans="1:1" x14ac:dyDescent="0.3">
      <c r="A27019" t="s">
        <v>0</v>
      </c>
    </row>
    <row r="27020" spans="1:1" x14ac:dyDescent="0.3">
      <c r="A27020" t="s">
        <v>0</v>
      </c>
    </row>
    <row r="27021" spans="1:1" x14ac:dyDescent="0.3">
      <c r="A27021" t="s">
        <v>0</v>
      </c>
    </row>
    <row r="27022" spans="1:1" x14ac:dyDescent="0.3">
      <c r="A27022" t="s">
        <v>0</v>
      </c>
    </row>
    <row r="27023" spans="1:1" x14ac:dyDescent="0.3">
      <c r="A27023" t="s">
        <v>0</v>
      </c>
    </row>
    <row r="27024" spans="1:1" x14ac:dyDescent="0.3">
      <c r="A27024" t="s">
        <v>0</v>
      </c>
    </row>
    <row r="27025" spans="1:1" x14ac:dyDescent="0.3">
      <c r="A27025" t="s">
        <v>0</v>
      </c>
    </row>
    <row r="27026" spans="1:1" x14ac:dyDescent="0.3">
      <c r="A27026" t="s">
        <v>0</v>
      </c>
    </row>
    <row r="27027" spans="1:1" x14ac:dyDescent="0.3">
      <c r="A27027" t="s">
        <v>0</v>
      </c>
    </row>
    <row r="27028" spans="1:1" x14ac:dyDescent="0.3">
      <c r="A27028" t="s">
        <v>0</v>
      </c>
    </row>
    <row r="27029" spans="1:1" x14ac:dyDescent="0.3">
      <c r="A27029" t="s">
        <v>0</v>
      </c>
    </row>
    <row r="27030" spans="1:1" x14ac:dyDescent="0.3">
      <c r="A27030" t="s">
        <v>0</v>
      </c>
    </row>
    <row r="27031" spans="1:1" x14ac:dyDescent="0.3">
      <c r="A27031" t="s">
        <v>0</v>
      </c>
    </row>
    <row r="27032" spans="1:1" x14ac:dyDescent="0.3">
      <c r="A27032" t="s">
        <v>0</v>
      </c>
    </row>
    <row r="27033" spans="1:1" x14ac:dyDescent="0.3">
      <c r="A27033" t="s">
        <v>0</v>
      </c>
    </row>
    <row r="27034" spans="1:1" x14ac:dyDescent="0.3">
      <c r="A27034" t="s">
        <v>0</v>
      </c>
    </row>
    <row r="27035" spans="1:1" x14ac:dyDescent="0.3">
      <c r="A27035" t="s">
        <v>0</v>
      </c>
    </row>
    <row r="27036" spans="1:1" x14ac:dyDescent="0.3">
      <c r="A27036" t="s">
        <v>0</v>
      </c>
    </row>
    <row r="27037" spans="1:1" x14ac:dyDescent="0.3">
      <c r="A27037" t="s">
        <v>0</v>
      </c>
    </row>
    <row r="27038" spans="1:1" x14ac:dyDescent="0.3">
      <c r="A27038" t="s">
        <v>0</v>
      </c>
    </row>
    <row r="27039" spans="1:1" x14ac:dyDescent="0.3">
      <c r="A27039" t="s">
        <v>0</v>
      </c>
    </row>
    <row r="27040" spans="1:1" x14ac:dyDescent="0.3">
      <c r="A27040" t="s">
        <v>0</v>
      </c>
    </row>
    <row r="27041" spans="1:1" x14ac:dyDescent="0.3">
      <c r="A27041" t="s">
        <v>0</v>
      </c>
    </row>
    <row r="27042" spans="1:1" x14ac:dyDescent="0.3">
      <c r="A27042" t="s">
        <v>0</v>
      </c>
    </row>
    <row r="27043" spans="1:1" x14ac:dyDescent="0.3">
      <c r="A27043" t="s">
        <v>0</v>
      </c>
    </row>
    <row r="27044" spans="1:1" x14ac:dyDescent="0.3">
      <c r="A27044" t="s">
        <v>0</v>
      </c>
    </row>
    <row r="27045" spans="1:1" x14ac:dyDescent="0.3">
      <c r="A27045" t="s">
        <v>0</v>
      </c>
    </row>
    <row r="27046" spans="1:1" x14ac:dyDescent="0.3">
      <c r="A27046" t="s">
        <v>0</v>
      </c>
    </row>
    <row r="27047" spans="1:1" x14ac:dyDescent="0.3">
      <c r="A27047" t="s">
        <v>0</v>
      </c>
    </row>
    <row r="27048" spans="1:1" x14ac:dyDescent="0.3">
      <c r="A27048" t="s">
        <v>0</v>
      </c>
    </row>
    <row r="27049" spans="1:1" x14ac:dyDescent="0.3">
      <c r="A27049" t="s">
        <v>0</v>
      </c>
    </row>
    <row r="27050" spans="1:1" x14ac:dyDescent="0.3">
      <c r="A27050" t="s">
        <v>0</v>
      </c>
    </row>
    <row r="27051" spans="1:1" x14ac:dyDescent="0.3">
      <c r="A27051" t="s">
        <v>0</v>
      </c>
    </row>
    <row r="27052" spans="1:1" x14ac:dyDescent="0.3">
      <c r="A27052" t="s">
        <v>0</v>
      </c>
    </row>
    <row r="27053" spans="1:1" x14ac:dyDescent="0.3">
      <c r="A27053" t="s">
        <v>0</v>
      </c>
    </row>
    <row r="27054" spans="1:1" x14ac:dyDescent="0.3">
      <c r="A27054" t="s">
        <v>0</v>
      </c>
    </row>
    <row r="27055" spans="1:1" x14ac:dyDescent="0.3">
      <c r="A27055" t="s">
        <v>0</v>
      </c>
    </row>
    <row r="27056" spans="1:1" x14ac:dyDescent="0.3">
      <c r="A27056" t="s">
        <v>0</v>
      </c>
    </row>
    <row r="27057" spans="1:1" x14ac:dyDescent="0.3">
      <c r="A27057" t="s">
        <v>0</v>
      </c>
    </row>
    <row r="27058" spans="1:1" x14ac:dyDescent="0.3">
      <c r="A27058" t="s">
        <v>0</v>
      </c>
    </row>
    <row r="27059" spans="1:1" x14ac:dyDescent="0.3">
      <c r="A27059" t="s">
        <v>0</v>
      </c>
    </row>
    <row r="27060" spans="1:1" x14ac:dyDescent="0.3">
      <c r="A27060" t="s">
        <v>0</v>
      </c>
    </row>
    <row r="27061" spans="1:1" x14ac:dyDescent="0.3">
      <c r="A27061" t="s">
        <v>0</v>
      </c>
    </row>
    <row r="27062" spans="1:1" x14ac:dyDescent="0.3">
      <c r="A27062" t="s">
        <v>0</v>
      </c>
    </row>
    <row r="27063" spans="1:1" x14ac:dyDescent="0.3">
      <c r="A27063" t="s">
        <v>0</v>
      </c>
    </row>
    <row r="27064" spans="1:1" x14ac:dyDescent="0.3">
      <c r="A27064" t="s">
        <v>0</v>
      </c>
    </row>
    <row r="27065" spans="1:1" x14ac:dyDescent="0.3">
      <c r="A27065" t="s">
        <v>0</v>
      </c>
    </row>
    <row r="27066" spans="1:1" x14ac:dyDescent="0.3">
      <c r="A27066" t="s">
        <v>0</v>
      </c>
    </row>
    <row r="27067" spans="1:1" x14ac:dyDescent="0.3">
      <c r="A27067" t="s">
        <v>0</v>
      </c>
    </row>
    <row r="27068" spans="1:1" x14ac:dyDescent="0.3">
      <c r="A27068" t="s">
        <v>0</v>
      </c>
    </row>
    <row r="27069" spans="1:1" x14ac:dyDescent="0.3">
      <c r="A27069" t="s">
        <v>0</v>
      </c>
    </row>
    <row r="27070" spans="1:1" x14ac:dyDescent="0.3">
      <c r="A27070" t="s">
        <v>0</v>
      </c>
    </row>
    <row r="27071" spans="1:1" x14ac:dyDescent="0.3">
      <c r="A27071" t="s">
        <v>0</v>
      </c>
    </row>
    <row r="27072" spans="1:1" x14ac:dyDescent="0.3">
      <c r="A27072" t="s">
        <v>0</v>
      </c>
    </row>
    <row r="27073" spans="1:1" x14ac:dyDescent="0.3">
      <c r="A27073" t="s">
        <v>0</v>
      </c>
    </row>
    <row r="27074" spans="1:1" x14ac:dyDescent="0.3">
      <c r="A27074" t="s">
        <v>0</v>
      </c>
    </row>
    <row r="27075" spans="1:1" x14ac:dyDescent="0.3">
      <c r="A27075" t="s">
        <v>0</v>
      </c>
    </row>
    <row r="27076" spans="1:1" x14ac:dyDescent="0.3">
      <c r="A27076" t="s">
        <v>0</v>
      </c>
    </row>
    <row r="27077" spans="1:1" x14ac:dyDescent="0.3">
      <c r="A27077" t="s">
        <v>0</v>
      </c>
    </row>
    <row r="27078" spans="1:1" x14ac:dyDescent="0.3">
      <c r="A27078" t="s">
        <v>0</v>
      </c>
    </row>
    <row r="27079" spans="1:1" x14ac:dyDescent="0.3">
      <c r="A27079" t="s">
        <v>0</v>
      </c>
    </row>
    <row r="27080" spans="1:1" x14ac:dyDescent="0.3">
      <c r="A27080" t="s">
        <v>0</v>
      </c>
    </row>
    <row r="27081" spans="1:1" x14ac:dyDescent="0.3">
      <c r="A27081" t="s">
        <v>0</v>
      </c>
    </row>
    <row r="27082" spans="1:1" x14ac:dyDescent="0.3">
      <c r="A27082" t="s">
        <v>0</v>
      </c>
    </row>
    <row r="27083" spans="1:1" x14ac:dyDescent="0.3">
      <c r="A27083" t="s">
        <v>0</v>
      </c>
    </row>
    <row r="27084" spans="1:1" x14ac:dyDescent="0.3">
      <c r="A27084" t="s">
        <v>0</v>
      </c>
    </row>
    <row r="27085" spans="1:1" x14ac:dyDescent="0.3">
      <c r="A27085" t="s">
        <v>0</v>
      </c>
    </row>
    <row r="27086" spans="1:1" x14ac:dyDescent="0.3">
      <c r="A27086" t="s">
        <v>0</v>
      </c>
    </row>
    <row r="27087" spans="1:1" x14ac:dyDescent="0.3">
      <c r="A27087" t="s">
        <v>0</v>
      </c>
    </row>
    <row r="27088" spans="1:1" x14ac:dyDescent="0.3">
      <c r="A27088" t="s">
        <v>0</v>
      </c>
    </row>
    <row r="27089" spans="1:1" x14ac:dyDescent="0.3">
      <c r="A27089" t="s">
        <v>0</v>
      </c>
    </row>
    <row r="27090" spans="1:1" x14ac:dyDescent="0.3">
      <c r="A27090" t="s">
        <v>0</v>
      </c>
    </row>
    <row r="27091" spans="1:1" x14ac:dyDescent="0.3">
      <c r="A27091" t="s">
        <v>0</v>
      </c>
    </row>
    <row r="27092" spans="1:1" x14ac:dyDescent="0.3">
      <c r="A27092" t="s">
        <v>0</v>
      </c>
    </row>
    <row r="27093" spans="1:1" x14ac:dyDescent="0.3">
      <c r="A27093" t="s">
        <v>0</v>
      </c>
    </row>
    <row r="27094" spans="1:1" x14ac:dyDescent="0.3">
      <c r="A27094" t="s">
        <v>0</v>
      </c>
    </row>
    <row r="27095" spans="1:1" x14ac:dyDescent="0.3">
      <c r="A27095" t="s">
        <v>0</v>
      </c>
    </row>
    <row r="27096" spans="1:1" x14ac:dyDescent="0.3">
      <c r="A27096" t="s">
        <v>0</v>
      </c>
    </row>
    <row r="27097" spans="1:1" x14ac:dyDescent="0.3">
      <c r="A27097" t="s">
        <v>0</v>
      </c>
    </row>
    <row r="27098" spans="1:1" x14ac:dyDescent="0.3">
      <c r="A27098" t="s">
        <v>0</v>
      </c>
    </row>
    <row r="27099" spans="1:1" x14ac:dyDescent="0.3">
      <c r="A27099" t="s">
        <v>0</v>
      </c>
    </row>
    <row r="27100" spans="1:1" x14ac:dyDescent="0.3">
      <c r="A27100" t="s">
        <v>0</v>
      </c>
    </row>
    <row r="27101" spans="1:1" x14ac:dyDescent="0.3">
      <c r="A27101" t="s">
        <v>0</v>
      </c>
    </row>
    <row r="27102" spans="1:1" x14ac:dyDescent="0.3">
      <c r="A27102" t="s">
        <v>0</v>
      </c>
    </row>
    <row r="27103" spans="1:1" x14ac:dyDescent="0.3">
      <c r="A27103" t="s">
        <v>0</v>
      </c>
    </row>
    <row r="27104" spans="1:1" x14ac:dyDescent="0.3">
      <c r="A27104" t="s">
        <v>0</v>
      </c>
    </row>
    <row r="27105" spans="1:1" x14ac:dyDescent="0.3">
      <c r="A27105" t="s">
        <v>0</v>
      </c>
    </row>
    <row r="27106" spans="1:1" x14ac:dyDescent="0.3">
      <c r="A27106" t="s">
        <v>0</v>
      </c>
    </row>
    <row r="27107" spans="1:1" x14ac:dyDescent="0.3">
      <c r="A27107" t="s">
        <v>0</v>
      </c>
    </row>
    <row r="27108" spans="1:1" x14ac:dyDescent="0.3">
      <c r="A27108" t="s">
        <v>0</v>
      </c>
    </row>
    <row r="27109" spans="1:1" x14ac:dyDescent="0.3">
      <c r="A27109" t="s">
        <v>0</v>
      </c>
    </row>
    <row r="27110" spans="1:1" x14ac:dyDescent="0.3">
      <c r="A27110" t="s">
        <v>0</v>
      </c>
    </row>
    <row r="27111" spans="1:1" x14ac:dyDescent="0.3">
      <c r="A27111" t="s">
        <v>0</v>
      </c>
    </row>
    <row r="27112" spans="1:1" x14ac:dyDescent="0.3">
      <c r="A27112" t="s">
        <v>0</v>
      </c>
    </row>
    <row r="27113" spans="1:1" x14ac:dyDescent="0.3">
      <c r="A27113" t="s">
        <v>0</v>
      </c>
    </row>
    <row r="27114" spans="1:1" x14ac:dyDescent="0.3">
      <c r="A27114" t="s">
        <v>0</v>
      </c>
    </row>
    <row r="27115" spans="1:1" x14ac:dyDescent="0.3">
      <c r="A27115" t="s">
        <v>0</v>
      </c>
    </row>
    <row r="27116" spans="1:1" x14ac:dyDescent="0.3">
      <c r="A27116" t="s">
        <v>0</v>
      </c>
    </row>
    <row r="27117" spans="1:1" x14ac:dyDescent="0.3">
      <c r="A27117" t="s">
        <v>0</v>
      </c>
    </row>
    <row r="27118" spans="1:1" x14ac:dyDescent="0.3">
      <c r="A27118" t="s">
        <v>0</v>
      </c>
    </row>
    <row r="27119" spans="1:1" x14ac:dyDescent="0.3">
      <c r="A27119" t="s">
        <v>0</v>
      </c>
    </row>
    <row r="27120" spans="1:1" x14ac:dyDescent="0.3">
      <c r="A27120" t="s">
        <v>0</v>
      </c>
    </row>
    <row r="27121" spans="1:1" x14ac:dyDescent="0.3">
      <c r="A27121" t="s">
        <v>0</v>
      </c>
    </row>
    <row r="27122" spans="1:1" x14ac:dyDescent="0.3">
      <c r="A27122" t="s">
        <v>0</v>
      </c>
    </row>
    <row r="27123" spans="1:1" x14ac:dyDescent="0.3">
      <c r="A27123" t="s">
        <v>0</v>
      </c>
    </row>
    <row r="27124" spans="1:1" x14ac:dyDescent="0.3">
      <c r="A27124" t="s">
        <v>0</v>
      </c>
    </row>
    <row r="27125" spans="1:1" x14ac:dyDescent="0.3">
      <c r="A27125" t="s">
        <v>0</v>
      </c>
    </row>
    <row r="27126" spans="1:1" x14ac:dyDescent="0.3">
      <c r="A27126" t="s">
        <v>0</v>
      </c>
    </row>
    <row r="27127" spans="1:1" x14ac:dyDescent="0.3">
      <c r="A27127" t="s">
        <v>0</v>
      </c>
    </row>
    <row r="27128" spans="1:1" x14ac:dyDescent="0.3">
      <c r="A27128" t="s">
        <v>0</v>
      </c>
    </row>
    <row r="27129" spans="1:1" x14ac:dyDescent="0.3">
      <c r="A27129" t="s">
        <v>0</v>
      </c>
    </row>
    <row r="27130" spans="1:1" x14ac:dyDescent="0.3">
      <c r="A27130" t="s">
        <v>0</v>
      </c>
    </row>
    <row r="27131" spans="1:1" x14ac:dyDescent="0.3">
      <c r="A27131" t="s">
        <v>0</v>
      </c>
    </row>
    <row r="27132" spans="1:1" x14ac:dyDescent="0.3">
      <c r="A27132" t="s">
        <v>0</v>
      </c>
    </row>
    <row r="27133" spans="1:1" x14ac:dyDescent="0.3">
      <c r="A27133" t="s">
        <v>0</v>
      </c>
    </row>
    <row r="27134" spans="1:1" x14ac:dyDescent="0.3">
      <c r="A27134" t="s">
        <v>0</v>
      </c>
    </row>
    <row r="27135" spans="1:1" x14ac:dyDescent="0.3">
      <c r="A27135" t="s">
        <v>0</v>
      </c>
    </row>
    <row r="27136" spans="1:1" x14ac:dyDescent="0.3">
      <c r="A27136" t="s">
        <v>0</v>
      </c>
    </row>
    <row r="27137" spans="1:1" x14ac:dyDescent="0.3">
      <c r="A27137" t="s">
        <v>0</v>
      </c>
    </row>
    <row r="27138" spans="1:1" x14ac:dyDescent="0.3">
      <c r="A27138" t="s">
        <v>0</v>
      </c>
    </row>
    <row r="27139" spans="1:1" x14ac:dyDescent="0.3">
      <c r="A27139" t="s">
        <v>0</v>
      </c>
    </row>
    <row r="27140" spans="1:1" x14ac:dyDescent="0.3">
      <c r="A27140" t="s">
        <v>0</v>
      </c>
    </row>
    <row r="27141" spans="1:1" x14ac:dyDescent="0.3">
      <c r="A27141" t="s">
        <v>0</v>
      </c>
    </row>
    <row r="27142" spans="1:1" x14ac:dyDescent="0.3">
      <c r="A27142" t="s">
        <v>0</v>
      </c>
    </row>
    <row r="27143" spans="1:1" x14ac:dyDescent="0.3">
      <c r="A27143" t="s">
        <v>0</v>
      </c>
    </row>
    <row r="27144" spans="1:1" x14ac:dyDescent="0.3">
      <c r="A27144" t="s">
        <v>0</v>
      </c>
    </row>
    <row r="27145" spans="1:1" x14ac:dyDescent="0.3">
      <c r="A27145" t="s">
        <v>0</v>
      </c>
    </row>
    <row r="27146" spans="1:1" x14ac:dyDescent="0.3">
      <c r="A27146" t="s">
        <v>0</v>
      </c>
    </row>
    <row r="27147" spans="1:1" x14ac:dyDescent="0.3">
      <c r="A27147" t="s">
        <v>0</v>
      </c>
    </row>
    <row r="27148" spans="1:1" x14ac:dyDescent="0.3">
      <c r="A27148" t="s">
        <v>0</v>
      </c>
    </row>
    <row r="27149" spans="1:1" x14ac:dyDescent="0.3">
      <c r="A27149" t="s">
        <v>0</v>
      </c>
    </row>
    <row r="27150" spans="1:1" x14ac:dyDescent="0.3">
      <c r="A27150" t="s">
        <v>0</v>
      </c>
    </row>
    <row r="27151" spans="1:1" x14ac:dyDescent="0.3">
      <c r="A27151" t="s">
        <v>0</v>
      </c>
    </row>
    <row r="27152" spans="1:1" x14ac:dyDescent="0.3">
      <c r="A27152" t="s">
        <v>0</v>
      </c>
    </row>
    <row r="27153" spans="1:1" x14ac:dyDescent="0.3">
      <c r="A27153" t="s">
        <v>0</v>
      </c>
    </row>
    <row r="27154" spans="1:1" x14ac:dyDescent="0.3">
      <c r="A27154" t="s">
        <v>0</v>
      </c>
    </row>
    <row r="27155" spans="1:1" x14ac:dyDescent="0.3">
      <c r="A27155" t="s">
        <v>0</v>
      </c>
    </row>
    <row r="27156" spans="1:1" x14ac:dyDescent="0.3">
      <c r="A27156" t="s">
        <v>0</v>
      </c>
    </row>
    <row r="27157" spans="1:1" x14ac:dyDescent="0.3">
      <c r="A27157" t="s">
        <v>0</v>
      </c>
    </row>
    <row r="27158" spans="1:1" x14ac:dyDescent="0.3">
      <c r="A27158" t="s">
        <v>0</v>
      </c>
    </row>
    <row r="27159" spans="1:1" x14ac:dyDescent="0.3">
      <c r="A27159" t="s">
        <v>0</v>
      </c>
    </row>
    <row r="27160" spans="1:1" x14ac:dyDescent="0.3">
      <c r="A27160" t="s">
        <v>0</v>
      </c>
    </row>
    <row r="27161" spans="1:1" x14ac:dyDescent="0.3">
      <c r="A27161" t="s">
        <v>0</v>
      </c>
    </row>
    <row r="27162" spans="1:1" x14ac:dyDescent="0.3">
      <c r="A27162" t="s">
        <v>0</v>
      </c>
    </row>
    <row r="27163" spans="1:1" x14ac:dyDescent="0.3">
      <c r="A27163" t="s">
        <v>0</v>
      </c>
    </row>
    <row r="27164" spans="1:1" x14ac:dyDescent="0.3">
      <c r="A27164" t="s">
        <v>0</v>
      </c>
    </row>
    <row r="27165" spans="1:1" x14ac:dyDescent="0.3">
      <c r="A27165" t="s">
        <v>0</v>
      </c>
    </row>
    <row r="27166" spans="1:1" x14ac:dyDescent="0.3">
      <c r="A27166" t="s">
        <v>0</v>
      </c>
    </row>
    <row r="27167" spans="1:1" x14ac:dyDescent="0.3">
      <c r="A27167" t="s">
        <v>0</v>
      </c>
    </row>
    <row r="27168" spans="1:1" x14ac:dyDescent="0.3">
      <c r="A27168" t="s">
        <v>0</v>
      </c>
    </row>
    <row r="27169" spans="1:1" x14ac:dyDescent="0.3">
      <c r="A27169" t="s">
        <v>0</v>
      </c>
    </row>
    <row r="27170" spans="1:1" x14ac:dyDescent="0.3">
      <c r="A27170" t="s">
        <v>0</v>
      </c>
    </row>
    <row r="27171" spans="1:1" x14ac:dyDescent="0.3">
      <c r="A27171" t="s">
        <v>0</v>
      </c>
    </row>
    <row r="27172" spans="1:1" x14ac:dyDescent="0.3">
      <c r="A27172" t="s">
        <v>0</v>
      </c>
    </row>
    <row r="27173" spans="1:1" x14ac:dyDescent="0.3">
      <c r="A27173" t="s">
        <v>0</v>
      </c>
    </row>
    <row r="27174" spans="1:1" x14ac:dyDescent="0.3">
      <c r="A27174" t="s">
        <v>0</v>
      </c>
    </row>
    <row r="27175" spans="1:1" x14ac:dyDescent="0.3">
      <c r="A27175" t="s">
        <v>0</v>
      </c>
    </row>
    <row r="27176" spans="1:1" x14ac:dyDescent="0.3">
      <c r="A27176" t="s">
        <v>0</v>
      </c>
    </row>
    <row r="27177" spans="1:1" x14ac:dyDescent="0.3">
      <c r="A27177" t="s">
        <v>0</v>
      </c>
    </row>
    <row r="27178" spans="1:1" x14ac:dyDescent="0.3">
      <c r="A27178" t="s">
        <v>0</v>
      </c>
    </row>
    <row r="27179" spans="1:1" x14ac:dyDescent="0.3">
      <c r="A27179" t="s">
        <v>0</v>
      </c>
    </row>
    <row r="27180" spans="1:1" x14ac:dyDescent="0.3">
      <c r="A27180" t="s">
        <v>0</v>
      </c>
    </row>
    <row r="27181" spans="1:1" x14ac:dyDescent="0.3">
      <c r="A27181" t="s">
        <v>0</v>
      </c>
    </row>
    <row r="27182" spans="1:1" x14ac:dyDescent="0.3">
      <c r="A27182" t="s">
        <v>0</v>
      </c>
    </row>
    <row r="27183" spans="1:1" x14ac:dyDescent="0.3">
      <c r="A27183" t="s">
        <v>0</v>
      </c>
    </row>
    <row r="27184" spans="1:1" x14ac:dyDescent="0.3">
      <c r="A27184" t="s">
        <v>0</v>
      </c>
    </row>
    <row r="27185" spans="1:1" x14ac:dyDescent="0.3">
      <c r="A27185" t="s">
        <v>0</v>
      </c>
    </row>
    <row r="27186" spans="1:1" x14ac:dyDescent="0.3">
      <c r="A27186" t="s">
        <v>0</v>
      </c>
    </row>
    <row r="27187" spans="1:1" x14ac:dyDescent="0.3">
      <c r="A27187" t="s">
        <v>0</v>
      </c>
    </row>
    <row r="27188" spans="1:1" x14ac:dyDescent="0.3">
      <c r="A27188" t="s">
        <v>0</v>
      </c>
    </row>
    <row r="27189" spans="1:1" x14ac:dyDescent="0.3">
      <c r="A27189" t="s">
        <v>0</v>
      </c>
    </row>
    <row r="27190" spans="1:1" x14ac:dyDescent="0.3">
      <c r="A27190" t="s">
        <v>0</v>
      </c>
    </row>
    <row r="27191" spans="1:1" x14ac:dyDescent="0.3">
      <c r="A27191" t="s">
        <v>0</v>
      </c>
    </row>
    <row r="27192" spans="1:1" x14ac:dyDescent="0.3">
      <c r="A27192" t="s">
        <v>0</v>
      </c>
    </row>
    <row r="27193" spans="1:1" x14ac:dyDescent="0.3">
      <c r="A27193" t="s">
        <v>0</v>
      </c>
    </row>
    <row r="27194" spans="1:1" x14ac:dyDescent="0.3">
      <c r="A27194" t="s">
        <v>0</v>
      </c>
    </row>
    <row r="27195" spans="1:1" x14ac:dyDescent="0.3">
      <c r="A27195" t="s">
        <v>0</v>
      </c>
    </row>
    <row r="27196" spans="1:1" x14ac:dyDescent="0.3">
      <c r="A27196" t="s">
        <v>0</v>
      </c>
    </row>
    <row r="27197" spans="1:1" x14ac:dyDescent="0.3">
      <c r="A27197" t="s">
        <v>0</v>
      </c>
    </row>
    <row r="27198" spans="1:1" x14ac:dyDescent="0.3">
      <c r="A27198" t="s">
        <v>0</v>
      </c>
    </row>
    <row r="27199" spans="1:1" x14ac:dyDescent="0.3">
      <c r="A27199" t="s">
        <v>0</v>
      </c>
    </row>
    <row r="27200" spans="1:1" x14ac:dyDescent="0.3">
      <c r="A27200" t="s">
        <v>0</v>
      </c>
    </row>
    <row r="27201" spans="1:1" x14ac:dyDescent="0.3">
      <c r="A27201" t="s">
        <v>0</v>
      </c>
    </row>
    <row r="27202" spans="1:1" x14ac:dyDescent="0.3">
      <c r="A27202" t="s">
        <v>0</v>
      </c>
    </row>
    <row r="27203" spans="1:1" x14ac:dyDescent="0.3">
      <c r="A27203" t="s">
        <v>0</v>
      </c>
    </row>
    <row r="27204" spans="1:1" x14ac:dyDescent="0.3">
      <c r="A27204" t="s">
        <v>0</v>
      </c>
    </row>
    <row r="27205" spans="1:1" x14ac:dyDescent="0.3">
      <c r="A27205" t="s">
        <v>0</v>
      </c>
    </row>
    <row r="27206" spans="1:1" x14ac:dyDescent="0.3">
      <c r="A27206" t="s">
        <v>0</v>
      </c>
    </row>
    <row r="27207" spans="1:1" x14ac:dyDescent="0.3">
      <c r="A27207" t="s">
        <v>0</v>
      </c>
    </row>
    <row r="27208" spans="1:1" x14ac:dyDescent="0.3">
      <c r="A27208" t="s">
        <v>0</v>
      </c>
    </row>
    <row r="27209" spans="1:1" x14ac:dyDescent="0.3">
      <c r="A27209" t="s">
        <v>0</v>
      </c>
    </row>
    <row r="27210" spans="1:1" x14ac:dyDescent="0.3">
      <c r="A27210" t="s">
        <v>0</v>
      </c>
    </row>
    <row r="27211" spans="1:1" x14ac:dyDescent="0.3">
      <c r="A27211" t="s">
        <v>0</v>
      </c>
    </row>
    <row r="27212" spans="1:1" x14ac:dyDescent="0.3">
      <c r="A27212" t="s">
        <v>0</v>
      </c>
    </row>
    <row r="27213" spans="1:1" x14ac:dyDescent="0.3">
      <c r="A27213" t="s">
        <v>0</v>
      </c>
    </row>
    <row r="27214" spans="1:1" x14ac:dyDescent="0.3">
      <c r="A27214" t="s">
        <v>0</v>
      </c>
    </row>
    <row r="27215" spans="1:1" x14ac:dyDescent="0.3">
      <c r="A27215" t="s">
        <v>0</v>
      </c>
    </row>
    <row r="27216" spans="1:1" x14ac:dyDescent="0.3">
      <c r="A27216" t="s">
        <v>0</v>
      </c>
    </row>
    <row r="27217" spans="1:1" x14ac:dyDescent="0.3">
      <c r="A27217" t="s">
        <v>0</v>
      </c>
    </row>
    <row r="27218" spans="1:1" x14ac:dyDescent="0.3">
      <c r="A27218" t="s">
        <v>0</v>
      </c>
    </row>
    <row r="27219" spans="1:1" x14ac:dyDescent="0.3">
      <c r="A27219" t="s">
        <v>0</v>
      </c>
    </row>
    <row r="27220" spans="1:1" x14ac:dyDescent="0.3">
      <c r="A27220" t="s">
        <v>0</v>
      </c>
    </row>
    <row r="27221" spans="1:1" x14ac:dyDescent="0.3">
      <c r="A27221" t="s">
        <v>0</v>
      </c>
    </row>
    <row r="27222" spans="1:1" x14ac:dyDescent="0.3">
      <c r="A27222" t="s">
        <v>0</v>
      </c>
    </row>
    <row r="27223" spans="1:1" x14ac:dyDescent="0.3">
      <c r="A27223" t="s">
        <v>0</v>
      </c>
    </row>
    <row r="27224" spans="1:1" x14ac:dyDescent="0.3">
      <c r="A27224" t="s">
        <v>0</v>
      </c>
    </row>
    <row r="27225" spans="1:1" x14ac:dyDescent="0.3">
      <c r="A27225" t="s">
        <v>0</v>
      </c>
    </row>
    <row r="27226" spans="1:1" x14ac:dyDescent="0.3">
      <c r="A27226" t="s">
        <v>0</v>
      </c>
    </row>
    <row r="27227" spans="1:1" x14ac:dyDescent="0.3">
      <c r="A27227" t="s">
        <v>0</v>
      </c>
    </row>
    <row r="27228" spans="1:1" x14ac:dyDescent="0.3">
      <c r="A27228" t="s">
        <v>0</v>
      </c>
    </row>
    <row r="27229" spans="1:1" x14ac:dyDescent="0.3">
      <c r="A27229" t="s">
        <v>0</v>
      </c>
    </row>
    <row r="27230" spans="1:1" x14ac:dyDescent="0.3">
      <c r="A27230" t="s">
        <v>0</v>
      </c>
    </row>
    <row r="27231" spans="1:1" x14ac:dyDescent="0.3">
      <c r="A27231" t="s">
        <v>0</v>
      </c>
    </row>
    <row r="27232" spans="1:1" x14ac:dyDescent="0.3">
      <c r="A27232" t="s">
        <v>0</v>
      </c>
    </row>
    <row r="27233" spans="1:1" x14ac:dyDescent="0.3">
      <c r="A27233" t="s">
        <v>0</v>
      </c>
    </row>
    <row r="27234" spans="1:1" x14ac:dyDescent="0.3">
      <c r="A27234" t="s">
        <v>0</v>
      </c>
    </row>
    <row r="27235" spans="1:1" x14ac:dyDescent="0.3">
      <c r="A27235" t="s">
        <v>0</v>
      </c>
    </row>
    <row r="27236" spans="1:1" x14ac:dyDescent="0.3">
      <c r="A27236" t="s">
        <v>0</v>
      </c>
    </row>
    <row r="27237" spans="1:1" x14ac:dyDescent="0.3">
      <c r="A27237" t="s">
        <v>0</v>
      </c>
    </row>
    <row r="27238" spans="1:1" x14ac:dyDescent="0.3">
      <c r="A27238" t="s">
        <v>0</v>
      </c>
    </row>
    <row r="27239" spans="1:1" x14ac:dyDescent="0.3">
      <c r="A27239" t="s">
        <v>0</v>
      </c>
    </row>
    <row r="27240" spans="1:1" x14ac:dyDescent="0.3">
      <c r="A27240" t="s">
        <v>0</v>
      </c>
    </row>
    <row r="27241" spans="1:1" x14ac:dyDescent="0.3">
      <c r="A27241" t="s">
        <v>0</v>
      </c>
    </row>
    <row r="27242" spans="1:1" x14ac:dyDescent="0.3">
      <c r="A27242" t="s">
        <v>0</v>
      </c>
    </row>
    <row r="27243" spans="1:1" x14ac:dyDescent="0.3">
      <c r="A27243" t="s">
        <v>0</v>
      </c>
    </row>
    <row r="27244" spans="1:1" x14ac:dyDescent="0.3">
      <c r="A27244" t="s">
        <v>0</v>
      </c>
    </row>
    <row r="27245" spans="1:1" x14ac:dyDescent="0.3">
      <c r="A27245" t="s">
        <v>0</v>
      </c>
    </row>
    <row r="27246" spans="1:1" x14ac:dyDescent="0.3">
      <c r="A27246" t="s">
        <v>0</v>
      </c>
    </row>
    <row r="27247" spans="1:1" x14ac:dyDescent="0.3">
      <c r="A27247" t="s">
        <v>0</v>
      </c>
    </row>
    <row r="27248" spans="1:1" x14ac:dyDescent="0.3">
      <c r="A27248" t="s">
        <v>0</v>
      </c>
    </row>
    <row r="27249" spans="1:1" x14ac:dyDescent="0.3">
      <c r="A27249" t="s">
        <v>0</v>
      </c>
    </row>
    <row r="27250" spans="1:1" x14ac:dyDescent="0.3">
      <c r="A27250" t="s">
        <v>0</v>
      </c>
    </row>
    <row r="27251" spans="1:1" x14ac:dyDescent="0.3">
      <c r="A27251" t="s">
        <v>0</v>
      </c>
    </row>
    <row r="27252" spans="1:1" x14ac:dyDescent="0.3">
      <c r="A27252" t="s">
        <v>0</v>
      </c>
    </row>
    <row r="27253" spans="1:1" x14ac:dyDescent="0.3">
      <c r="A27253" t="s">
        <v>0</v>
      </c>
    </row>
    <row r="27254" spans="1:1" x14ac:dyDescent="0.3">
      <c r="A27254" t="s">
        <v>0</v>
      </c>
    </row>
    <row r="27255" spans="1:1" x14ac:dyDescent="0.3">
      <c r="A27255" t="s">
        <v>0</v>
      </c>
    </row>
    <row r="27256" spans="1:1" x14ac:dyDescent="0.3">
      <c r="A27256" t="s">
        <v>0</v>
      </c>
    </row>
    <row r="27257" spans="1:1" x14ac:dyDescent="0.3">
      <c r="A27257" t="s">
        <v>0</v>
      </c>
    </row>
    <row r="27258" spans="1:1" x14ac:dyDescent="0.3">
      <c r="A27258" t="s">
        <v>0</v>
      </c>
    </row>
    <row r="27259" spans="1:1" x14ac:dyDescent="0.3">
      <c r="A27259" t="s">
        <v>0</v>
      </c>
    </row>
    <row r="27260" spans="1:1" x14ac:dyDescent="0.3">
      <c r="A27260" t="s">
        <v>0</v>
      </c>
    </row>
    <row r="27261" spans="1:1" x14ac:dyDescent="0.3">
      <c r="A27261" t="s">
        <v>0</v>
      </c>
    </row>
    <row r="27262" spans="1:1" x14ac:dyDescent="0.3">
      <c r="A27262" t="s">
        <v>0</v>
      </c>
    </row>
    <row r="27263" spans="1:1" x14ac:dyDescent="0.3">
      <c r="A27263" t="s">
        <v>0</v>
      </c>
    </row>
    <row r="27264" spans="1:1" x14ac:dyDescent="0.3">
      <c r="A27264" t="s">
        <v>0</v>
      </c>
    </row>
    <row r="27265" spans="1:1" x14ac:dyDescent="0.3">
      <c r="A27265" t="s">
        <v>0</v>
      </c>
    </row>
    <row r="27266" spans="1:1" x14ac:dyDescent="0.3">
      <c r="A27266" t="s">
        <v>0</v>
      </c>
    </row>
    <row r="27267" spans="1:1" x14ac:dyDescent="0.3">
      <c r="A27267" t="s">
        <v>0</v>
      </c>
    </row>
    <row r="27268" spans="1:1" x14ac:dyDescent="0.3">
      <c r="A27268" t="s">
        <v>0</v>
      </c>
    </row>
    <row r="27269" spans="1:1" x14ac:dyDescent="0.3">
      <c r="A27269" t="s">
        <v>0</v>
      </c>
    </row>
    <row r="27270" spans="1:1" x14ac:dyDescent="0.3">
      <c r="A27270" t="s">
        <v>0</v>
      </c>
    </row>
    <row r="27271" spans="1:1" x14ac:dyDescent="0.3">
      <c r="A27271" t="s">
        <v>0</v>
      </c>
    </row>
    <row r="27272" spans="1:1" x14ac:dyDescent="0.3">
      <c r="A27272" t="s">
        <v>0</v>
      </c>
    </row>
    <row r="27273" spans="1:1" x14ac:dyDescent="0.3">
      <c r="A27273" t="s">
        <v>0</v>
      </c>
    </row>
    <row r="27274" spans="1:1" x14ac:dyDescent="0.3">
      <c r="A27274" t="s">
        <v>0</v>
      </c>
    </row>
    <row r="27275" spans="1:1" x14ac:dyDescent="0.3">
      <c r="A27275" t="s">
        <v>0</v>
      </c>
    </row>
    <row r="27276" spans="1:1" x14ac:dyDescent="0.3">
      <c r="A27276" t="s">
        <v>0</v>
      </c>
    </row>
    <row r="27277" spans="1:1" x14ac:dyDescent="0.3">
      <c r="A27277" t="s">
        <v>0</v>
      </c>
    </row>
    <row r="27278" spans="1:1" x14ac:dyDescent="0.3">
      <c r="A27278" t="s">
        <v>0</v>
      </c>
    </row>
    <row r="27279" spans="1:1" x14ac:dyDescent="0.3">
      <c r="A27279" t="s">
        <v>0</v>
      </c>
    </row>
    <row r="27280" spans="1:1" x14ac:dyDescent="0.3">
      <c r="A27280" t="s">
        <v>0</v>
      </c>
    </row>
    <row r="27281" spans="1:1" x14ac:dyDescent="0.3">
      <c r="A27281" t="s">
        <v>0</v>
      </c>
    </row>
    <row r="27282" spans="1:1" x14ac:dyDescent="0.3">
      <c r="A27282" t="s">
        <v>0</v>
      </c>
    </row>
    <row r="27283" spans="1:1" x14ac:dyDescent="0.3">
      <c r="A27283" t="s">
        <v>0</v>
      </c>
    </row>
    <row r="27284" spans="1:1" x14ac:dyDescent="0.3">
      <c r="A27284" t="s">
        <v>0</v>
      </c>
    </row>
    <row r="27285" spans="1:1" x14ac:dyDescent="0.3">
      <c r="A27285" t="s">
        <v>0</v>
      </c>
    </row>
    <row r="27286" spans="1:1" x14ac:dyDescent="0.3">
      <c r="A27286" t="s">
        <v>0</v>
      </c>
    </row>
    <row r="27287" spans="1:1" x14ac:dyDescent="0.3">
      <c r="A27287" t="s">
        <v>0</v>
      </c>
    </row>
    <row r="27288" spans="1:1" x14ac:dyDescent="0.3">
      <c r="A27288" t="s">
        <v>0</v>
      </c>
    </row>
    <row r="27289" spans="1:1" x14ac:dyDescent="0.3">
      <c r="A27289" t="s">
        <v>0</v>
      </c>
    </row>
    <row r="27290" spans="1:1" x14ac:dyDescent="0.3">
      <c r="A27290" t="s">
        <v>0</v>
      </c>
    </row>
    <row r="27291" spans="1:1" x14ac:dyDescent="0.3">
      <c r="A27291" t="s">
        <v>0</v>
      </c>
    </row>
    <row r="27292" spans="1:1" x14ac:dyDescent="0.3">
      <c r="A27292" t="s">
        <v>0</v>
      </c>
    </row>
    <row r="27293" spans="1:1" x14ac:dyDescent="0.3">
      <c r="A27293" t="s">
        <v>0</v>
      </c>
    </row>
    <row r="27294" spans="1:1" x14ac:dyDescent="0.3">
      <c r="A27294" t="s">
        <v>0</v>
      </c>
    </row>
    <row r="27295" spans="1:1" x14ac:dyDescent="0.3">
      <c r="A27295" t="s">
        <v>0</v>
      </c>
    </row>
    <row r="27296" spans="1:1" x14ac:dyDescent="0.3">
      <c r="A27296" t="s">
        <v>0</v>
      </c>
    </row>
    <row r="27297" spans="1:1" x14ac:dyDescent="0.3">
      <c r="A27297" t="s">
        <v>0</v>
      </c>
    </row>
    <row r="27298" spans="1:1" x14ac:dyDescent="0.3">
      <c r="A27298" t="s">
        <v>0</v>
      </c>
    </row>
    <row r="27299" spans="1:1" x14ac:dyDescent="0.3">
      <c r="A27299" t="s">
        <v>0</v>
      </c>
    </row>
    <row r="27300" spans="1:1" x14ac:dyDescent="0.3">
      <c r="A27300" t="s">
        <v>0</v>
      </c>
    </row>
    <row r="27301" spans="1:1" x14ac:dyDescent="0.3">
      <c r="A27301" t="s">
        <v>0</v>
      </c>
    </row>
    <row r="27302" spans="1:1" x14ac:dyDescent="0.3">
      <c r="A27302" t="s">
        <v>0</v>
      </c>
    </row>
    <row r="27303" spans="1:1" x14ac:dyDescent="0.3">
      <c r="A27303" t="s">
        <v>0</v>
      </c>
    </row>
    <row r="27304" spans="1:1" x14ac:dyDescent="0.3">
      <c r="A27304" t="s">
        <v>0</v>
      </c>
    </row>
    <row r="27305" spans="1:1" x14ac:dyDescent="0.3">
      <c r="A27305" t="s">
        <v>0</v>
      </c>
    </row>
    <row r="27306" spans="1:1" x14ac:dyDescent="0.3">
      <c r="A27306" t="s">
        <v>0</v>
      </c>
    </row>
    <row r="27307" spans="1:1" x14ac:dyDescent="0.3">
      <c r="A27307" t="s">
        <v>0</v>
      </c>
    </row>
    <row r="27308" spans="1:1" x14ac:dyDescent="0.3">
      <c r="A27308" t="s">
        <v>0</v>
      </c>
    </row>
    <row r="27309" spans="1:1" x14ac:dyDescent="0.3">
      <c r="A27309" t="s">
        <v>0</v>
      </c>
    </row>
    <row r="27310" spans="1:1" x14ac:dyDescent="0.3">
      <c r="A27310" t="s">
        <v>0</v>
      </c>
    </row>
    <row r="27311" spans="1:1" x14ac:dyDescent="0.3">
      <c r="A27311" t="s">
        <v>0</v>
      </c>
    </row>
    <row r="27312" spans="1:1" x14ac:dyDescent="0.3">
      <c r="A27312" t="s">
        <v>0</v>
      </c>
    </row>
    <row r="27313" spans="1:1" x14ac:dyDescent="0.3">
      <c r="A27313" t="s">
        <v>0</v>
      </c>
    </row>
    <row r="27314" spans="1:1" x14ac:dyDescent="0.3">
      <c r="A27314" t="s">
        <v>0</v>
      </c>
    </row>
    <row r="27315" spans="1:1" x14ac:dyDescent="0.3">
      <c r="A27315" t="s">
        <v>0</v>
      </c>
    </row>
    <row r="27316" spans="1:1" x14ac:dyDescent="0.3">
      <c r="A27316" t="s">
        <v>0</v>
      </c>
    </row>
    <row r="27317" spans="1:1" x14ac:dyDescent="0.3">
      <c r="A27317" t="s">
        <v>0</v>
      </c>
    </row>
    <row r="27318" spans="1:1" x14ac:dyDescent="0.3">
      <c r="A27318" t="s">
        <v>0</v>
      </c>
    </row>
    <row r="27319" spans="1:1" x14ac:dyDescent="0.3">
      <c r="A27319" t="s">
        <v>0</v>
      </c>
    </row>
    <row r="27320" spans="1:1" x14ac:dyDescent="0.3">
      <c r="A27320" t="s">
        <v>0</v>
      </c>
    </row>
    <row r="27321" spans="1:1" x14ac:dyDescent="0.3">
      <c r="A27321" t="s">
        <v>0</v>
      </c>
    </row>
    <row r="27322" spans="1:1" x14ac:dyDescent="0.3">
      <c r="A27322" t="s">
        <v>0</v>
      </c>
    </row>
    <row r="27323" spans="1:1" x14ac:dyDescent="0.3">
      <c r="A27323" t="s">
        <v>0</v>
      </c>
    </row>
    <row r="27324" spans="1:1" x14ac:dyDescent="0.3">
      <c r="A27324" t="s">
        <v>0</v>
      </c>
    </row>
    <row r="27325" spans="1:1" x14ac:dyDescent="0.3">
      <c r="A27325" t="s">
        <v>0</v>
      </c>
    </row>
    <row r="27326" spans="1:1" x14ac:dyDescent="0.3">
      <c r="A27326" t="s">
        <v>0</v>
      </c>
    </row>
    <row r="27327" spans="1:1" x14ac:dyDescent="0.3">
      <c r="A27327" t="s">
        <v>0</v>
      </c>
    </row>
    <row r="27328" spans="1:1" x14ac:dyDescent="0.3">
      <c r="A27328" t="s">
        <v>0</v>
      </c>
    </row>
    <row r="27329" spans="1:1" x14ac:dyDescent="0.3">
      <c r="A27329" t="s">
        <v>0</v>
      </c>
    </row>
    <row r="27330" spans="1:1" x14ac:dyDescent="0.3">
      <c r="A27330" t="s">
        <v>0</v>
      </c>
    </row>
    <row r="27331" spans="1:1" x14ac:dyDescent="0.3">
      <c r="A27331" t="s">
        <v>0</v>
      </c>
    </row>
    <row r="27332" spans="1:1" x14ac:dyDescent="0.3">
      <c r="A27332" t="s">
        <v>0</v>
      </c>
    </row>
    <row r="27333" spans="1:1" x14ac:dyDescent="0.3">
      <c r="A27333" t="s">
        <v>0</v>
      </c>
    </row>
    <row r="27334" spans="1:1" x14ac:dyDescent="0.3">
      <c r="A27334" t="s">
        <v>0</v>
      </c>
    </row>
    <row r="27335" spans="1:1" x14ac:dyDescent="0.3">
      <c r="A27335" t="s">
        <v>0</v>
      </c>
    </row>
    <row r="27336" spans="1:1" x14ac:dyDescent="0.3">
      <c r="A27336" t="s">
        <v>0</v>
      </c>
    </row>
    <row r="27337" spans="1:1" x14ac:dyDescent="0.3">
      <c r="A27337" t="s">
        <v>0</v>
      </c>
    </row>
    <row r="27338" spans="1:1" x14ac:dyDescent="0.3">
      <c r="A27338" t="s">
        <v>0</v>
      </c>
    </row>
    <row r="27339" spans="1:1" x14ac:dyDescent="0.3">
      <c r="A27339" t="s">
        <v>0</v>
      </c>
    </row>
    <row r="27340" spans="1:1" x14ac:dyDescent="0.3">
      <c r="A27340" t="s">
        <v>0</v>
      </c>
    </row>
    <row r="27341" spans="1:1" x14ac:dyDescent="0.3">
      <c r="A27341" t="s">
        <v>0</v>
      </c>
    </row>
    <row r="27342" spans="1:1" x14ac:dyDescent="0.3">
      <c r="A27342" t="s">
        <v>0</v>
      </c>
    </row>
    <row r="27343" spans="1:1" x14ac:dyDescent="0.3">
      <c r="A27343" t="s">
        <v>0</v>
      </c>
    </row>
    <row r="27344" spans="1:1" x14ac:dyDescent="0.3">
      <c r="A27344" t="s">
        <v>0</v>
      </c>
    </row>
    <row r="27345" spans="1:1" x14ac:dyDescent="0.3">
      <c r="A27345" t="s">
        <v>0</v>
      </c>
    </row>
    <row r="27346" spans="1:1" x14ac:dyDescent="0.3">
      <c r="A27346" t="s">
        <v>0</v>
      </c>
    </row>
    <row r="27347" spans="1:1" x14ac:dyDescent="0.3">
      <c r="A27347" t="s">
        <v>0</v>
      </c>
    </row>
    <row r="27348" spans="1:1" x14ac:dyDescent="0.3">
      <c r="A27348" t="s">
        <v>0</v>
      </c>
    </row>
    <row r="27349" spans="1:1" x14ac:dyDescent="0.3">
      <c r="A27349" t="s">
        <v>0</v>
      </c>
    </row>
    <row r="27350" spans="1:1" x14ac:dyDescent="0.3">
      <c r="A27350" t="s">
        <v>0</v>
      </c>
    </row>
    <row r="27351" spans="1:1" x14ac:dyDescent="0.3">
      <c r="A27351" t="s">
        <v>0</v>
      </c>
    </row>
    <row r="27352" spans="1:1" x14ac:dyDescent="0.3">
      <c r="A27352" t="s">
        <v>0</v>
      </c>
    </row>
    <row r="27353" spans="1:1" x14ac:dyDescent="0.3">
      <c r="A27353" t="s">
        <v>0</v>
      </c>
    </row>
    <row r="27354" spans="1:1" x14ac:dyDescent="0.3">
      <c r="A27354" t="s">
        <v>0</v>
      </c>
    </row>
    <row r="27355" spans="1:1" x14ac:dyDescent="0.3">
      <c r="A27355" t="s">
        <v>0</v>
      </c>
    </row>
    <row r="27356" spans="1:1" x14ac:dyDescent="0.3">
      <c r="A27356" t="s">
        <v>0</v>
      </c>
    </row>
    <row r="27357" spans="1:1" x14ac:dyDescent="0.3">
      <c r="A27357" t="s">
        <v>0</v>
      </c>
    </row>
    <row r="27358" spans="1:1" x14ac:dyDescent="0.3">
      <c r="A27358" t="s">
        <v>0</v>
      </c>
    </row>
    <row r="27359" spans="1:1" x14ac:dyDescent="0.3">
      <c r="A27359" t="s">
        <v>0</v>
      </c>
    </row>
    <row r="27360" spans="1:1" x14ac:dyDescent="0.3">
      <c r="A27360" t="s">
        <v>0</v>
      </c>
    </row>
    <row r="27361" spans="1:1" x14ac:dyDescent="0.3">
      <c r="A27361" t="s">
        <v>0</v>
      </c>
    </row>
    <row r="27362" spans="1:1" x14ac:dyDescent="0.3">
      <c r="A27362" t="s">
        <v>0</v>
      </c>
    </row>
    <row r="27363" spans="1:1" x14ac:dyDescent="0.3">
      <c r="A27363" t="s">
        <v>0</v>
      </c>
    </row>
    <row r="27364" spans="1:1" x14ac:dyDescent="0.3">
      <c r="A27364" t="s">
        <v>0</v>
      </c>
    </row>
    <row r="27365" spans="1:1" x14ac:dyDescent="0.3">
      <c r="A27365" t="s">
        <v>0</v>
      </c>
    </row>
    <row r="27366" spans="1:1" x14ac:dyDescent="0.3">
      <c r="A27366" t="s">
        <v>0</v>
      </c>
    </row>
    <row r="27367" spans="1:1" x14ac:dyDescent="0.3">
      <c r="A27367" t="s">
        <v>0</v>
      </c>
    </row>
    <row r="27368" spans="1:1" x14ac:dyDescent="0.3">
      <c r="A27368" t="s">
        <v>0</v>
      </c>
    </row>
    <row r="27369" spans="1:1" x14ac:dyDescent="0.3">
      <c r="A27369" t="s">
        <v>0</v>
      </c>
    </row>
    <row r="27370" spans="1:1" x14ac:dyDescent="0.3">
      <c r="A27370" t="s">
        <v>0</v>
      </c>
    </row>
    <row r="27371" spans="1:1" x14ac:dyDescent="0.3">
      <c r="A27371" t="s">
        <v>0</v>
      </c>
    </row>
    <row r="27372" spans="1:1" x14ac:dyDescent="0.3">
      <c r="A27372" t="s">
        <v>0</v>
      </c>
    </row>
    <row r="27373" spans="1:1" x14ac:dyDescent="0.3">
      <c r="A27373" t="s">
        <v>0</v>
      </c>
    </row>
    <row r="27374" spans="1:1" x14ac:dyDescent="0.3">
      <c r="A27374" t="s">
        <v>0</v>
      </c>
    </row>
    <row r="27375" spans="1:1" x14ac:dyDescent="0.3">
      <c r="A27375" t="s">
        <v>0</v>
      </c>
    </row>
    <row r="27376" spans="1:1" x14ac:dyDescent="0.3">
      <c r="A27376" t="s">
        <v>0</v>
      </c>
    </row>
    <row r="27377" spans="1:1" x14ac:dyDescent="0.3">
      <c r="A27377" t="s">
        <v>0</v>
      </c>
    </row>
    <row r="27378" spans="1:1" x14ac:dyDescent="0.3">
      <c r="A27378" t="s">
        <v>0</v>
      </c>
    </row>
    <row r="27379" spans="1:1" x14ac:dyDescent="0.3">
      <c r="A27379" t="s">
        <v>0</v>
      </c>
    </row>
    <row r="27380" spans="1:1" x14ac:dyDescent="0.3">
      <c r="A27380" t="s">
        <v>0</v>
      </c>
    </row>
    <row r="27381" spans="1:1" x14ac:dyDescent="0.3">
      <c r="A27381" t="s">
        <v>0</v>
      </c>
    </row>
    <row r="27382" spans="1:1" x14ac:dyDescent="0.3">
      <c r="A27382" t="s">
        <v>0</v>
      </c>
    </row>
    <row r="27383" spans="1:1" x14ac:dyDescent="0.3">
      <c r="A27383" t="s">
        <v>0</v>
      </c>
    </row>
    <row r="27384" spans="1:1" x14ac:dyDescent="0.3">
      <c r="A27384" t="s">
        <v>0</v>
      </c>
    </row>
    <row r="27385" spans="1:1" x14ac:dyDescent="0.3">
      <c r="A27385" t="s">
        <v>0</v>
      </c>
    </row>
    <row r="27386" spans="1:1" x14ac:dyDescent="0.3">
      <c r="A27386" t="s">
        <v>0</v>
      </c>
    </row>
    <row r="27387" spans="1:1" x14ac:dyDescent="0.3">
      <c r="A27387" t="s">
        <v>0</v>
      </c>
    </row>
    <row r="27388" spans="1:1" x14ac:dyDescent="0.3">
      <c r="A27388" t="s">
        <v>0</v>
      </c>
    </row>
    <row r="27389" spans="1:1" x14ac:dyDescent="0.3">
      <c r="A27389" t="s">
        <v>0</v>
      </c>
    </row>
    <row r="27390" spans="1:1" x14ac:dyDescent="0.3">
      <c r="A27390" t="s">
        <v>0</v>
      </c>
    </row>
    <row r="27391" spans="1:1" x14ac:dyDescent="0.3">
      <c r="A27391" t="s">
        <v>0</v>
      </c>
    </row>
    <row r="27392" spans="1:1" x14ac:dyDescent="0.3">
      <c r="A27392" t="s">
        <v>0</v>
      </c>
    </row>
    <row r="27393" spans="1:1" x14ac:dyDescent="0.3">
      <c r="A27393" t="s">
        <v>0</v>
      </c>
    </row>
    <row r="27394" spans="1:1" x14ac:dyDescent="0.3">
      <c r="A27394" t="s">
        <v>0</v>
      </c>
    </row>
    <row r="27395" spans="1:1" x14ac:dyDescent="0.3">
      <c r="A27395" t="s">
        <v>0</v>
      </c>
    </row>
    <row r="27396" spans="1:1" x14ac:dyDescent="0.3">
      <c r="A27396" t="s">
        <v>0</v>
      </c>
    </row>
    <row r="27397" spans="1:1" x14ac:dyDescent="0.3">
      <c r="A27397" t="s">
        <v>0</v>
      </c>
    </row>
    <row r="27398" spans="1:1" x14ac:dyDescent="0.3">
      <c r="A27398" t="s">
        <v>0</v>
      </c>
    </row>
    <row r="27399" spans="1:1" x14ac:dyDescent="0.3">
      <c r="A27399" t="s">
        <v>0</v>
      </c>
    </row>
    <row r="27400" spans="1:1" x14ac:dyDescent="0.3">
      <c r="A27400" t="s">
        <v>0</v>
      </c>
    </row>
    <row r="27401" spans="1:1" x14ac:dyDescent="0.3">
      <c r="A27401" t="s">
        <v>0</v>
      </c>
    </row>
    <row r="27402" spans="1:1" x14ac:dyDescent="0.3">
      <c r="A27402" t="s">
        <v>0</v>
      </c>
    </row>
    <row r="27403" spans="1:1" x14ac:dyDescent="0.3">
      <c r="A27403" t="s">
        <v>0</v>
      </c>
    </row>
    <row r="27404" spans="1:1" x14ac:dyDescent="0.3">
      <c r="A27404" t="s">
        <v>0</v>
      </c>
    </row>
    <row r="27405" spans="1:1" x14ac:dyDescent="0.3">
      <c r="A27405" t="s">
        <v>0</v>
      </c>
    </row>
    <row r="27406" spans="1:1" x14ac:dyDescent="0.3">
      <c r="A27406" t="s">
        <v>0</v>
      </c>
    </row>
    <row r="27407" spans="1:1" x14ac:dyDescent="0.3">
      <c r="A27407" t="s">
        <v>0</v>
      </c>
    </row>
    <row r="27408" spans="1:1" x14ac:dyDescent="0.3">
      <c r="A27408" t="s">
        <v>0</v>
      </c>
    </row>
    <row r="27409" spans="1:1" x14ac:dyDescent="0.3">
      <c r="A27409" t="s">
        <v>0</v>
      </c>
    </row>
    <row r="27410" spans="1:1" x14ac:dyDescent="0.3">
      <c r="A27410" t="s">
        <v>0</v>
      </c>
    </row>
    <row r="27411" spans="1:1" x14ac:dyDescent="0.3">
      <c r="A27411" t="s">
        <v>0</v>
      </c>
    </row>
    <row r="27412" spans="1:1" x14ac:dyDescent="0.3">
      <c r="A27412" t="s">
        <v>0</v>
      </c>
    </row>
    <row r="27413" spans="1:1" x14ac:dyDescent="0.3">
      <c r="A27413" t="s">
        <v>0</v>
      </c>
    </row>
    <row r="27414" spans="1:1" x14ac:dyDescent="0.3">
      <c r="A27414" t="s">
        <v>0</v>
      </c>
    </row>
    <row r="27415" spans="1:1" x14ac:dyDescent="0.3">
      <c r="A27415" t="s">
        <v>0</v>
      </c>
    </row>
    <row r="27416" spans="1:1" x14ac:dyDescent="0.3">
      <c r="A27416" t="s">
        <v>0</v>
      </c>
    </row>
    <row r="27417" spans="1:1" x14ac:dyDescent="0.3">
      <c r="A27417" t="s">
        <v>0</v>
      </c>
    </row>
    <row r="27418" spans="1:1" x14ac:dyDescent="0.3">
      <c r="A27418" t="s">
        <v>0</v>
      </c>
    </row>
    <row r="27419" spans="1:1" x14ac:dyDescent="0.3">
      <c r="A27419" t="s">
        <v>0</v>
      </c>
    </row>
    <row r="27420" spans="1:1" x14ac:dyDescent="0.3">
      <c r="A27420" t="s">
        <v>0</v>
      </c>
    </row>
    <row r="27421" spans="1:1" x14ac:dyDescent="0.3">
      <c r="A27421" t="s">
        <v>0</v>
      </c>
    </row>
    <row r="27422" spans="1:1" x14ac:dyDescent="0.3">
      <c r="A27422" t="s">
        <v>0</v>
      </c>
    </row>
    <row r="27423" spans="1:1" x14ac:dyDescent="0.3">
      <c r="A27423" t="s">
        <v>0</v>
      </c>
    </row>
    <row r="27424" spans="1:1" x14ac:dyDescent="0.3">
      <c r="A27424" t="s">
        <v>0</v>
      </c>
    </row>
    <row r="27425" spans="1:1" x14ac:dyDescent="0.3">
      <c r="A27425" t="s">
        <v>0</v>
      </c>
    </row>
    <row r="27426" spans="1:1" x14ac:dyDescent="0.3">
      <c r="A27426" t="s">
        <v>0</v>
      </c>
    </row>
    <row r="27427" spans="1:1" x14ac:dyDescent="0.3">
      <c r="A27427" t="s">
        <v>0</v>
      </c>
    </row>
    <row r="27428" spans="1:1" x14ac:dyDescent="0.3">
      <c r="A27428" t="s">
        <v>0</v>
      </c>
    </row>
    <row r="27429" spans="1:1" x14ac:dyDescent="0.3">
      <c r="A27429" t="s">
        <v>0</v>
      </c>
    </row>
    <row r="27430" spans="1:1" x14ac:dyDescent="0.3">
      <c r="A27430" t="s">
        <v>0</v>
      </c>
    </row>
    <row r="27431" spans="1:1" x14ac:dyDescent="0.3">
      <c r="A27431" t="s">
        <v>0</v>
      </c>
    </row>
    <row r="27432" spans="1:1" x14ac:dyDescent="0.3">
      <c r="A27432" t="s">
        <v>0</v>
      </c>
    </row>
    <row r="27433" spans="1:1" x14ac:dyDescent="0.3">
      <c r="A27433" t="s">
        <v>0</v>
      </c>
    </row>
    <row r="27434" spans="1:1" x14ac:dyDescent="0.3">
      <c r="A27434" t="s">
        <v>0</v>
      </c>
    </row>
    <row r="27435" spans="1:1" x14ac:dyDescent="0.3">
      <c r="A27435" t="s">
        <v>0</v>
      </c>
    </row>
    <row r="27436" spans="1:1" x14ac:dyDescent="0.3">
      <c r="A27436" t="s">
        <v>0</v>
      </c>
    </row>
    <row r="27437" spans="1:1" x14ac:dyDescent="0.3">
      <c r="A27437" t="s">
        <v>0</v>
      </c>
    </row>
    <row r="27438" spans="1:1" x14ac:dyDescent="0.3">
      <c r="A27438" t="s">
        <v>0</v>
      </c>
    </row>
    <row r="27439" spans="1:1" x14ac:dyDescent="0.3">
      <c r="A27439" t="s">
        <v>0</v>
      </c>
    </row>
    <row r="27440" spans="1:1" x14ac:dyDescent="0.3">
      <c r="A27440" t="s">
        <v>0</v>
      </c>
    </row>
    <row r="27441" spans="1:1" x14ac:dyDescent="0.3">
      <c r="A27441" t="s">
        <v>0</v>
      </c>
    </row>
    <row r="27442" spans="1:1" x14ac:dyDescent="0.3">
      <c r="A27442" t="s">
        <v>0</v>
      </c>
    </row>
    <row r="27443" spans="1:1" x14ac:dyDescent="0.3">
      <c r="A27443" t="s">
        <v>0</v>
      </c>
    </row>
    <row r="27444" spans="1:1" x14ac:dyDescent="0.3">
      <c r="A27444" t="s">
        <v>0</v>
      </c>
    </row>
    <row r="27445" spans="1:1" x14ac:dyDescent="0.3">
      <c r="A27445" t="s">
        <v>0</v>
      </c>
    </row>
    <row r="27446" spans="1:1" x14ac:dyDescent="0.3">
      <c r="A27446" t="s">
        <v>0</v>
      </c>
    </row>
    <row r="27447" spans="1:1" x14ac:dyDescent="0.3">
      <c r="A27447" t="s">
        <v>0</v>
      </c>
    </row>
    <row r="27448" spans="1:1" x14ac:dyDescent="0.3">
      <c r="A27448" t="s">
        <v>0</v>
      </c>
    </row>
    <row r="27449" spans="1:1" x14ac:dyDescent="0.3">
      <c r="A27449" t="s">
        <v>0</v>
      </c>
    </row>
    <row r="27450" spans="1:1" x14ac:dyDescent="0.3">
      <c r="A27450" t="s">
        <v>0</v>
      </c>
    </row>
    <row r="27451" spans="1:1" x14ac:dyDescent="0.3">
      <c r="A27451" t="s">
        <v>0</v>
      </c>
    </row>
    <row r="27452" spans="1:1" x14ac:dyDescent="0.3">
      <c r="A27452" t="s">
        <v>0</v>
      </c>
    </row>
    <row r="27453" spans="1:1" x14ac:dyDescent="0.3">
      <c r="A27453" t="s">
        <v>0</v>
      </c>
    </row>
    <row r="27454" spans="1:1" x14ac:dyDescent="0.3">
      <c r="A27454" t="s">
        <v>0</v>
      </c>
    </row>
    <row r="27455" spans="1:1" x14ac:dyDescent="0.3">
      <c r="A27455" t="s">
        <v>0</v>
      </c>
    </row>
    <row r="27456" spans="1:1" x14ac:dyDescent="0.3">
      <c r="A27456" t="s">
        <v>0</v>
      </c>
    </row>
    <row r="27457" spans="1:1" x14ac:dyDescent="0.3">
      <c r="A27457" t="s">
        <v>0</v>
      </c>
    </row>
    <row r="27458" spans="1:1" x14ac:dyDescent="0.3">
      <c r="A27458" t="s">
        <v>0</v>
      </c>
    </row>
    <row r="27459" spans="1:1" x14ac:dyDescent="0.3">
      <c r="A27459" t="s">
        <v>0</v>
      </c>
    </row>
    <row r="27460" spans="1:1" x14ac:dyDescent="0.3">
      <c r="A27460" t="s">
        <v>0</v>
      </c>
    </row>
    <row r="27461" spans="1:1" x14ac:dyDescent="0.3">
      <c r="A27461" t="s">
        <v>0</v>
      </c>
    </row>
    <row r="27462" spans="1:1" x14ac:dyDescent="0.3">
      <c r="A27462" t="s">
        <v>0</v>
      </c>
    </row>
    <row r="27463" spans="1:1" x14ac:dyDescent="0.3">
      <c r="A27463" t="s">
        <v>0</v>
      </c>
    </row>
    <row r="27464" spans="1:1" x14ac:dyDescent="0.3">
      <c r="A27464" t="s">
        <v>0</v>
      </c>
    </row>
    <row r="27465" spans="1:1" x14ac:dyDescent="0.3">
      <c r="A27465" t="s">
        <v>0</v>
      </c>
    </row>
    <row r="27466" spans="1:1" x14ac:dyDescent="0.3">
      <c r="A27466" t="s">
        <v>0</v>
      </c>
    </row>
    <row r="27467" spans="1:1" x14ac:dyDescent="0.3">
      <c r="A27467" t="s">
        <v>0</v>
      </c>
    </row>
    <row r="27468" spans="1:1" x14ac:dyDescent="0.3">
      <c r="A27468" t="s">
        <v>0</v>
      </c>
    </row>
    <row r="27469" spans="1:1" x14ac:dyDescent="0.3">
      <c r="A27469" t="s">
        <v>0</v>
      </c>
    </row>
    <row r="27470" spans="1:1" x14ac:dyDescent="0.3">
      <c r="A27470" t="s">
        <v>0</v>
      </c>
    </row>
    <row r="27471" spans="1:1" x14ac:dyDescent="0.3">
      <c r="A27471" t="s">
        <v>0</v>
      </c>
    </row>
    <row r="27472" spans="1:1" x14ac:dyDescent="0.3">
      <c r="A27472" t="s">
        <v>0</v>
      </c>
    </row>
    <row r="27473" spans="1:1" x14ac:dyDescent="0.3">
      <c r="A27473" t="s">
        <v>0</v>
      </c>
    </row>
    <row r="27474" spans="1:1" x14ac:dyDescent="0.3">
      <c r="A27474" t="s">
        <v>0</v>
      </c>
    </row>
    <row r="27475" spans="1:1" x14ac:dyDescent="0.3">
      <c r="A27475" t="s">
        <v>0</v>
      </c>
    </row>
    <row r="27476" spans="1:1" x14ac:dyDescent="0.3">
      <c r="A27476" t="s">
        <v>0</v>
      </c>
    </row>
    <row r="27477" spans="1:1" x14ac:dyDescent="0.3">
      <c r="A27477" t="s">
        <v>0</v>
      </c>
    </row>
    <row r="27478" spans="1:1" x14ac:dyDescent="0.3">
      <c r="A27478" t="s">
        <v>0</v>
      </c>
    </row>
    <row r="27479" spans="1:1" x14ac:dyDescent="0.3">
      <c r="A27479" t="s">
        <v>0</v>
      </c>
    </row>
    <row r="27480" spans="1:1" x14ac:dyDescent="0.3">
      <c r="A27480" t="s">
        <v>0</v>
      </c>
    </row>
    <row r="27481" spans="1:1" x14ac:dyDescent="0.3">
      <c r="A27481" t="s">
        <v>0</v>
      </c>
    </row>
    <row r="27482" spans="1:1" x14ac:dyDescent="0.3">
      <c r="A27482" t="s">
        <v>0</v>
      </c>
    </row>
    <row r="27483" spans="1:1" x14ac:dyDescent="0.3">
      <c r="A27483" t="s">
        <v>0</v>
      </c>
    </row>
    <row r="27484" spans="1:1" x14ac:dyDescent="0.3">
      <c r="A27484" t="s">
        <v>0</v>
      </c>
    </row>
    <row r="27485" spans="1:1" x14ac:dyDescent="0.3">
      <c r="A27485" t="s">
        <v>0</v>
      </c>
    </row>
    <row r="27486" spans="1:1" x14ac:dyDescent="0.3">
      <c r="A27486" t="s">
        <v>0</v>
      </c>
    </row>
    <row r="27487" spans="1:1" x14ac:dyDescent="0.3">
      <c r="A27487" t="s">
        <v>0</v>
      </c>
    </row>
    <row r="27488" spans="1:1" x14ac:dyDescent="0.3">
      <c r="A27488" t="s">
        <v>0</v>
      </c>
    </row>
    <row r="27489" spans="1:1" x14ac:dyDescent="0.3">
      <c r="A27489" t="s">
        <v>0</v>
      </c>
    </row>
    <row r="27490" spans="1:1" x14ac:dyDescent="0.3">
      <c r="A27490" t="s">
        <v>0</v>
      </c>
    </row>
    <row r="27491" spans="1:1" x14ac:dyDescent="0.3">
      <c r="A27491" t="s">
        <v>0</v>
      </c>
    </row>
    <row r="27492" spans="1:1" x14ac:dyDescent="0.3">
      <c r="A27492" t="s">
        <v>0</v>
      </c>
    </row>
    <row r="27493" spans="1:1" x14ac:dyDescent="0.3">
      <c r="A27493" t="s">
        <v>0</v>
      </c>
    </row>
    <row r="27494" spans="1:1" x14ac:dyDescent="0.3">
      <c r="A27494" t="s">
        <v>0</v>
      </c>
    </row>
    <row r="27495" spans="1:1" x14ac:dyDescent="0.3">
      <c r="A27495" t="s">
        <v>0</v>
      </c>
    </row>
    <row r="27496" spans="1:1" x14ac:dyDescent="0.3">
      <c r="A27496" t="s">
        <v>0</v>
      </c>
    </row>
    <row r="27497" spans="1:1" x14ac:dyDescent="0.3">
      <c r="A27497" t="s">
        <v>0</v>
      </c>
    </row>
    <row r="27498" spans="1:1" x14ac:dyDescent="0.3">
      <c r="A27498" t="s">
        <v>0</v>
      </c>
    </row>
    <row r="27499" spans="1:1" x14ac:dyDescent="0.3">
      <c r="A27499" t="s">
        <v>0</v>
      </c>
    </row>
    <row r="27500" spans="1:1" x14ac:dyDescent="0.3">
      <c r="A27500" t="s">
        <v>0</v>
      </c>
    </row>
    <row r="27501" spans="1:1" x14ac:dyDescent="0.3">
      <c r="A27501" t="s">
        <v>0</v>
      </c>
    </row>
    <row r="27502" spans="1:1" x14ac:dyDescent="0.3">
      <c r="A27502" t="s">
        <v>0</v>
      </c>
    </row>
    <row r="27503" spans="1:1" x14ac:dyDescent="0.3">
      <c r="A27503" t="s">
        <v>0</v>
      </c>
    </row>
    <row r="27504" spans="1:1" x14ac:dyDescent="0.3">
      <c r="A27504" t="s">
        <v>0</v>
      </c>
    </row>
    <row r="27505" spans="1:1" x14ac:dyDescent="0.3">
      <c r="A27505" t="s">
        <v>0</v>
      </c>
    </row>
    <row r="27506" spans="1:1" x14ac:dyDescent="0.3">
      <c r="A27506" t="s">
        <v>0</v>
      </c>
    </row>
    <row r="27507" spans="1:1" x14ac:dyDescent="0.3">
      <c r="A27507" t="s">
        <v>0</v>
      </c>
    </row>
    <row r="27508" spans="1:1" x14ac:dyDescent="0.3">
      <c r="A27508" t="s">
        <v>0</v>
      </c>
    </row>
    <row r="27509" spans="1:1" x14ac:dyDescent="0.3">
      <c r="A27509" t="s">
        <v>0</v>
      </c>
    </row>
    <row r="27510" spans="1:1" x14ac:dyDescent="0.3">
      <c r="A27510" t="s">
        <v>0</v>
      </c>
    </row>
    <row r="27511" spans="1:1" x14ac:dyDescent="0.3">
      <c r="A27511" t="s">
        <v>0</v>
      </c>
    </row>
    <row r="27512" spans="1:1" x14ac:dyDescent="0.3">
      <c r="A27512" t="s">
        <v>0</v>
      </c>
    </row>
    <row r="27513" spans="1:1" x14ac:dyDescent="0.3">
      <c r="A27513" t="s">
        <v>0</v>
      </c>
    </row>
    <row r="27514" spans="1:1" x14ac:dyDescent="0.3">
      <c r="A27514" t="s">
        <v>0</v>
      </c>
    </row>
    <row r="27515" spans="1:1" x14ac:dyDescent="0.3">
      <c r="A27515" t="s">
        <v>0</v>
      </c>
    </row>
    <row r="27516" spans="1:1" x14ac:dyDescent="0.3">
      <c r="A27516" t="s">
        <v>0</v>
      </c>
    </row>
    <row r="27517" spans="1:1" x14ac:dyDescent="0.3">
      <c r="A27517" t="s">
        <v>0</v>
      </c>
    </row>
    <row r="27518" spans="1:1" x14ac:dyDescent="0.3">
      <c r="A27518" t="s">
        <v>0</v>
      </c>
    </row>
    <row r="27519" spans="1:1" x14ac:dyDescent="0.3">
      <c r="A27519" t="s">
        <v>0</v>
      </c>
    </row>
    <row r="27520" spans="1:1" x14ac:dyDescent="0.3">
      <c r="A27520" t="s">
        <v>0</v>
      </c>
    </row>
    <row r="27521" spans="1:1" x14ac:dyDescent="0.3">
      <c r="A27521" t="s">
        <v>0</v>
      </c>
    </row>
    <row r="27522" spans="1:1" x14ac:dyDescent="0.3">
      <c r="A27522" t="s">
        <v>0</v>
      </c>
    </row>
    <row r="27523" spans="1:1" x14ac:dyDescent="0.3">
      <c r="A27523" t="s">
        <v>0</v>
      </c>
    </row>
    <row r="27524" spans="1:1" x14ac:dyDescent="0.3">
      <c r="A27524" t="s">
        <v>0</v>
      </c>
    </row>
    <row r="27525" spans="1:1" x14ac:dyDescent="0.3">
      <c r="A27525" t="s">
        <v>0</v>
      </c>
    </row>
    <row r="27526" spans="1:1" x14ac:dyDescent="0.3">
      <c r="A27526" t="s">
        <v>0</v>
      </c>
    </row>
    <row r="27527" spans="1:1" x14ac:dyDescent="0.3">
      <c r="A27527" t="s">
        <v>0</v>
      </c>
    </row>
    <row r="27528" spans="1:1" x14ac:dyDescent="0.3">
      <c r="A27528" t="s">
        <v>0</v>
      </c>
    </row>
    <row r="27529" spans="1:1" x14ac:dyDescent="0.3">
      <c r="A27529" t="s">
        <v>0</v>
      </c>
    </row>
    <row r="27530" spans="1:1" x14ac:dyDescent="0.3">
      <c r="A27530" t="s">
        <v>0</v>
      </c>
    </row>
    <row r="27531" spans="1:1" x14ac:dyDescent="0.3">
      <c r="A27531" t="s">
        <v>0</v>
      </c>
    </row>
    <row r="27532" spans="1:1" x14ac:dyDescent="0.3">
      <c r="A27532" t="s">
        <v>0</v>
      </c>
    </row>
    <row r="27533" spans="1:1" x14ac:dyDescent="0.3">
      <c r="A27533" t="s">
        <v>0</v>
      </c>
    </row>
    <row r="27534" spans="1:1" x14ac:dyDescent="0.3">
      <c r="A27534" t="s">
        <v>0</v>
      </c>
    </row>
    <row r="27535" spans="1:1" x14ac:dyDescent="0.3">
      <c r="A27535" t="s">
        <v>0</v>
      </c>
    </row>
    <row r="27536" spans="1:1" x14ac:dyDescent="0.3">
      <c r="A27536" t="s">
        <v>0</v>
      </c>
    </row>
    <row r="27537" spans="1:1" x14ac:dyDescent="0.3">
      <c r="A27537" t="s">
        <v>0</v>
      </c>
    </row>
    <row r="27538" spans="1:1" x14ac:dyDescent="0.3">
      <c r="A27538" t="s">
        <v>0</v>
      </c>
    </row>
    <row r="27539" spans="1:1" x14ac:dyDescent="0.3">
      <c r="A27539" t="s">
        <v>0</v>
      </c>
    </row>
    <row r="27540" spans="1:1" x14ac:dyDescent="0.3">
      <c r="A27540" t="s">
        <v>0</v>
      </c>
    </row>
    <row r="27541" spans="1:1" x14ac:dyDescent="0.3">
      <c r="A27541" t="s">
        <v>0</v>
      </c>
    </row>
    <row r="27542" spans="1:1" x14ac:dyDescent="0.3">
      <c r="A27542" t="s">
        <v>0</v>
      </c>
    </row>
    <row r="27543" spans="1:1" x14ac:dyDescent="0.3">
      <c r="A27543" t="s">
        <v>0</v>
      </c>
    </row>
    <row r="27544" spans="1:1" x14ac:dyDescent="0.3">
      <c r="A27544" t="s">
        <v>0</v>
      </c>
    </row>
    <row r="27545" spans="1:1" x14ac:dyDescent="0.3">
      <c r="A27545" t="s">
        <v>0</v>
      </c>
    </row>
    <row r="27546" spans="1:1" x14ac:dyDescent="0.3">
      <c r="A27546" t="s">
        <v>0</v>
      </c>
    </row>
    <row r="27547" spans="1:1" x14ac:dyDescent="0.3">
      <c r="A27547" t="s">
        <v>0</v>
      </c>
    </row>
    <row r="27548" spans="1:1" x14ac:dyDescent="0.3">
      <c r="A27548" t="s">
        <v>0</v>
      </c>
    </row>
    <row r="27549" spans="1:1" x14ac:dyDescent="0.3">
      <c r="A27549" t="s">
        <v>0</v>
      </c>
    </row>
    <row r="27550" spans="1:1" x14ac:dyDescent="0.3">
      <c r="A27550" t="s">
        <v>0</v>
      </c>
    </row>
    <row r="27551" spans="1:1" x14ac:dyDescent="0.3">
      <c r="A27551" t="s">
        <v>0</v>
      </c>
    </row>
    <row r="27552" spans="1:1" x14ac:dyDescent="0.3">
      <c r="A27552" t="s">
        <v>0</v>
      </c>
    </row>
    <row r="27553" spans="1:1" x14ac:dyDescent="0.3">
      <c r="A27553" t="s">
        <v>0</v>
      </c>
    </row>
    <row r="27554" spans="1:1" x14ac:dyDescent="0.3">
      <c r="A27554" t="s">
        <v>0</v>
      </c>
    </row>
    <row r="27555" spans="1:1" x14ac:dyDescent="0.3">
      <c r="A27555" t="s">
        <v>0</v>
      </c>
    </row>
    <row r="27556" spans="1:1" x14ac:dyDescent="0.3">
      <c r="A27556" t="s">
        <v>0</v>
      </c>
    </row>
    <row r="27557" spans="1:1" x14ac:dyDescent="0.3">
      <c r="A27557" t="s">
        <v>0</v>
      </c>
    </row>
    <row r="27558" spans="1:1" x14ac:dyDescent="0.3">
      <c r="A27558" t="s">
        <v>0</v>
      </c>
    </row>
    <row r="27559" spans="1:1" x14ac:dyDescent="0.3">
      <c r="A27559" t="s">
        <v>0</v>
      </c>
    </row>
    <row r="27560" spans="1:1" x14ac:dyDescent="0.3">
      <c r="A27560" t="s">
        <v>0</v>
      </c>
    </row>
    <row r="27561" spans="1:1" x14ac:dyDescent="0.3">
      <c r="A27561" t="s">
        <v>0</v>
      </c>
    </row>
    <row r="27562" spans="1:1" x14ac:dyDescent="0.3">
      <c r="A27562" t="s">
        <v>0</v>
      </c>
    </row>
    <row r="27563" spans="1:1" x14ac:dyDescent="0.3">
      <c r="A27563" t="s">
        <v>0</v>
      </c>
    </row>
    <row r="27564" spans="1:1" x14ac:dyDescent="0.3">
      <c r="A27564" t="s">
        <v>0</v>
      </c>
    </row>
    <row r="27565" spans="1:1" x14ac:dyDescent="0.3">
      <c r="A27565" t="s">
        <v>0</v>
      </c>
    </row>
    <row r="27566" spans="1:1" x14ac:dyDescent="0.3">
      <c r="A27566" t="s">
        <v>0</v>
      </c>
    </row>
    <row r="27567" spans="1:1" x14ac:dyDescent="0.3">
      <c r="A27567" t="s">
        <v>0</v>
      </c>
    </row>
    <row r="27568" spans="1:1" x14ac:dyDescent="0.3">
      <c r="A27568" t="s">
        <v>0</v>
      </c>
    </row>
    <row r="27569" spans="1:1" x14ac:dyDescent="0.3">
      <c r="A27569" t="s">
        <v>0</v>
      </c>
    </row>
    <row r="27570" spans="1:1" x14ac:dyDescent="0.3">
      <c r="A27570" t="s">
        <v>0</v>
      </c>
    </row>
    <row r="27571" spans="1:1" x14ac:dyDescent="0.3">
      <c r="A27571" t="s">
        <v>0</v>
      </c>
    </row>
    <row r="27572" spans="1:1" x14ac:dyDescent="0.3">
      <c r="A27572" t="s">
        <v>0</v>
      </c>
    </row>
    <row r="27573" spans="1:1" x14ac:dyDescent="0.3">
      <c r="A27573" t="s">
        <v>0</v>
      </c>
    </row>
    <row r="27574" spans="1:1" x14ac:dyDescent="0.3">
      <c r="A27574" t="s">
        <v>0</v>
      </c>
    </row>
    <row r="27575" spans="1:1" x14ac:dyDescent="0.3">
      <c r="A27575" t="s">
        <v>0</v>
      </c>
    </row>
    <row r="27576" spans="1:1" x14ac:dyDescent="0.3">
      <c r="A27576" t="s">
        <v>0</v>
      </c>
    </row>
    <row r="27577" spans="1:1" x14ac:dyDescent="0.3">
      <c r="A27577" t="s">
        <v>0</v>
      </c>
    </row>
    <row r="27578" spans="1:1" x14ac:dyDescent="0.3">
      <c r="A27578" t="s">
        <v>0</v>
      </c>
    </row>
    <row r="27579" spans="1:1" x14ac:dyDescent="0.3">
      <c r="A27579" t="s">
        <v>0</v>
      </c>
    </row>
    <row r="27580" spans="1:1" x14ac:dyDescent="0.3">
      <c r="A27580" t="s">
        <v>0</v>
      </c>
    </row>
    <row r="27581" spans="1:1" x14ac:dyDescent="0.3">
      <c r="A27581" t="s">
        <v>0</v>
      </c>
    </row>
    <row r="27582" spans="1:1" x14ac:dyDescent="0.3">
      <c r="A27582" t="s">
        <v>0</v>
      </c>
    </row>
    <row r="27583" spans="1:1" x14ac:dyDescent="0.3">
      <c r="A27583" t="s">
        <v>0</v>
      </c>
    </row>
    <row r="27584" spans="1:1" x14ac:dyDescent="0.3">
      <c r="A27584" t="s">
        <v>0</v>
      </c>
    </row>
    <row r="27585" spans="1:1" x14ac:dyDescent="0.3">
      <c r="A27585" t="s">
        <v>0</v>
      </c>
    </row>
    <row r="27586" spans="1:1" x14ac:dyDescent="0.3">
      <c r="A27586" t="s">
        <v>0</v>
      </c>
    </row>
    <row r="27587" spans="1:1" x14ac:dyDescent="0.3">
      <c r="A27587" t="s">
        <v>0</v>
      </c>
    </row>
    <row r="27588" spans="1:1" x14ac:dyDescent="0.3">
      <c r="A27588" t="s">
        <v>0</v>
      </c>
    </row>
    <row r="27589" spans="1:1" x14ac:dyDescent="0.3">
      <c r="A27589" t="s">
        <v>0</v>
      </c>
    </row>
    <row r="27590" spans="1:1" x14ac:dyDescent="0.3">
      <c r="A27590" t="s">
        <v>0</v>
      </c>
    </row>
    <row r="27591" spans="1:1" x14ac:dyDescent="0.3">
      <c r="A27591" t="s">
        <v>0</v>
      </c>
    </row>
    <row r="27592" spans="1:1" x14ac:dyDescent="0.3">
      <c r="A27592" t="s">
        <v>0</v>
      </c>
    </row>
    <row r="27593" spans="1:1" x14ac:dyDescent="0.3">
      <c r="A27593" t="s">
        <v>0</v>
      </c>
    </row>
    <row r="27594" spans="1:1" x14ac:dyDescent="0.3">
      <c r="A27594" t="s">
        <v>0</v>
      </c>
    </row>
    <row r="27595" spans="1:1" x14ac:dyDescent="0.3">
      <c r="A27595" t="s">
        <v>0</v>
      </c>
    </row>
    <row r="27596" spans="1:1" x14ac:dyDescent="0.3">
      <c r="A27596" t="s">
        <v>0</v>
      </c>
    </row>
    <row r="27597" spans="1:1" x14ac:dyDescent="0.3">
      <c r="A27597" t="s">
        <v>0</v>
      </c>
    </row>
    <row r="27598" spans="1:1" x14ac:dyDescent="0.3">
      <c r="A27598" t="s">
        <v>0</v>
      </c>
    </row>
    <row r="27599" spans="1:1" x14ac:dyDescent="0.3">
      <c r="A27599" t="s">
        <v>0</v>
      </c>
    </row>
    <row r="27600" spans="1:1" x14ac:dyDescent="0.3">
      <c r="A27600" t="s">
        <v>0</v>
      </c>
    </row>
    <row r="27601" spans="1:1" x14ac:dyDescent="0.3">
      <c r="A27601" t="s">
        <v>0</v>
      </c>
    </row>
    <row r="27602" spans="1:1" x14ac:dyDescent="0.3">
      <c r="A27602" t="s">
        <v>0</v>
      </c>
    </row>
    <row r="27603" spans="1:1" x14ac:dyDescent="0.3">
      <c r="A27603" t="s">
        <v>0</v>
      </c>
    </row>
    <row r="27604" spans="1:1" x14ac:dyDescent="0.3">
      <c r="A27604" t="s">
        <v>0</v>
      </c>
    </row>
    <row r="27605" spans="1:1" x14ac:dyDescent="0.3">
      <c r="A27605" t="s">
        <v>0</v>
      </c>
    </row>
    <row r="27606" spans="1:1" x14ac:dyDescent="0.3">
      <c r="A27606" t="s">
        <v>0</v>
      </c>
    </row>
    <row r="27607" spans="1:1" x14ac:dyDescent="0.3">
      <c r="A27607" t="s">
        <v>0</v>
      </c>
    </row>
    <row r="27608" spans="1:1" x14ac:dyDescent="0.3">
      <c r="A27608" t="s">
        <v>0</v>
      </c>
    </row>
    <row r="27609" spans="1:1" x14ac:dyDescent="0.3">
      <c r="A27609" t="s">
        <v>0</v>
      </c>
    </row>
    <row r="27610" spans="1:1" x14ac:dyDescent="0.3">
      <c r="A27610" t="s">
        <v>0</v>
      </c>
    </row>
    <row r="27611" spans="1:1" x14ac:dyDescent="0.3">
      <c r="A27611" t="s">
        <v>0</v>
      </c>
    </row>
    <row r="27612" spans="1:1" x14ac:dyDescent="0.3">
      <c r="A27612" t="s">
        <v>0</v>
      </c>
    </row>
    <row r="27613" spans="1:1" x14ac:dyDescent="0.3">
      <c r="A27613" t="s">
        <v>0</v>
      </c>
    </row>
    <row r="27614" spans="1:1" x14ac:dyDescent="0.3">
      <c r="A27614" t="s">
        <v>0</v>
      </c>
    </row>
    <row r="27615" spans="1:1" x14ac:dyDescent="0.3">
      <c r="A27615" t="s">
        <v>0</v>
      </c>
    </row>
    <row r="27616" spans="1:1" x14ac:dyDescent="0.3">
      <c r="A27616" t="s">
        <v>0</v>
      </c>
    </row>
    <row r="27617" spans="1:1" x14ac:dyDescent="0.3">
      <c r="A27617" t="s">
        <v>0</v>
      </c>
    </row>
    <row r="27618" spans="1:1" x14ac:dyDescent="0.3">
      <c r="A27618" t="s">
        <v>0</v>
      </c>
    </row>
    <row r="27619" spans="1:1" x14ac:dyDescent="0.3">
      <c r="A27619" t="s">
        <v>0</v>
      </c>
    </row>
    <row r="27620" spans="1:1" x14ac:dyDescent="0.3">
      <c r="A27620" t="s">
        <v>0</v>
      </c>
    </row>
    <row r="27621" spans="1:1" x14ac:dyDescent="0.3">
      <c r="A27621" t="s">
        <v>0</v>
      </c>
    </row>
    <row r="27622" spans="1:1" x14ac:dyDescent="0.3">
      <c r="A27622" t="s">
        <v>0</v>
      </c>
    </row>
    <row r="27623" spans="1:1" x14ac:dyDescent="0.3">
      <c r="A27623" t="s">
        <v>0</v>
      </c>
    </row>
    <row r="27624" spans="1:1" x14ac:dyDescent="0.3">
      <c r="A27624" t="s">
        <v>0</v>
      </c>
    </row>
    <row r="27625" spans="1:1" x14ac:dyDescent="0.3">
      <c r="A27625" t="s">
        <v>0</v>
      </c>
    </row>
    <row r="27626" spans="1:1" x14ac:dyDescent="0.3">
      <c r="A27626" t="s">
        <v>0</v>
      </c>
    </row>
    <row r="27627" spans="1:1" x14ac:dyDescent="0.3">
      <c r="A27627" t="s">
        <v>0</v>
      </c>
    </row>
    <row r="27628" spans="1:1" x14ac:dyDescent="0.3">
      <c r="A27628" t="s">
        <v>0</v>
      </c>
    </row>
    <row r="27629" spans="1:1" x14ac:dyDescent="0.3">
      <c r="A27629" t="s">
        <v>0</v>
      </c>
    </row>
    <row r="27630" spans="1:1" x14ac:dyDescent="0.3">
      <c r="A27630" t="s">
        <v>0</v>
      </c>
    </row>
    <row r="27631" spans="1:1" x14ac:dyDescent="0.3">
      <c r="A27631" t="s">
        <v>0</v>
      </c>
    </row>
    <row r="27632" spans="1:1" x14ac:dyDescent="0.3">
      <c r="A27632" t="s">
        <v>0</v>
      </c>
    </row>
    <row r="27633" spans="1:1" x14ac:dyDescent="0.3">
      <c r="A27633" t="s">
        <v>0</v>
      </c>
    </row>
    <row r="27634" spans="1:1" x14ac:dyDescent="0.3">
      <c r="A27634" t="s">
        <v>0</v>
      </c>
    </row>
    <row r="27635" spans="1:1" x14ac:dyDescent="0.3">
      <c r="A27635" t="s">
        <v>0</v>
      </c>
    </row>
    <row r="27636" spans="1:1" x14ac:dyDescent="0.3">
      <c r="A27636" t="s">
        <v>0</v>
      </c>
    </row>
    <row r="27637" spans="1:1" x14ac:dyDescent="0.3">
      <c r="A27637" t="s">
        <v>0</v>
      </c>
    </row>
    <row r="27638" spans="1:1" x14ac:dyDescent="0.3">
      <c r="A27638" t="s">
        <v>0</v>
      </c>
    </row>
    <row r="27639" spans="1:1" x14ac:dyDescent="0.3">
      <c r="A27639" t="s">
        <v>0</v>
      </c>
    </row>
    <row r="27640" spans="1:1" x14ac:dyDescent="0.3">
      <c r="A27640" t="s">
        <v>0</v>
      </c>
    </row>
    <row r="27641" spans="1:1" x14ac:dyDescent="0.3">
      <c r="A27641" t="s">
        <v>0</v>
      </c>
    </row>
    <row r="27642" spans="1:1" x14ac:dyDescent="0.3">
      <c r="A27642" t="s">
        <v>0</v>
      </c>
    </row>
    <row r="27643" spans="1:1" x14ac:dyDescent="0.3">
      <c r="A27643" t="s">
        <v>0</v>
      </c>
    </row>
    <row r="27644" spans="1:1" x14ac:dyDescent="0.3">
      <c r="A27644" t="s">
        <v>0</v>
      </c>
    </row>
    <row r="27645" spans="1:1" x14ac:dyDescent="0.3">
      <c r="A27645" t="s">
        <v>0</v>
      </c>
    </row>
    <row r="27646" spans="1:1" x14ac:dyDescent="0.3">
      <c r="A27646" t="s">
        <v>0</v>
      </c>
    </row>
    <row r="27647" spans="1:1" x14ac:dyDescent="0.3">
      <c r="A27647" t="s">
        <v>0</v>
      </c>
    </row>
    <row r="27648" spans="1:1" x14ac:dyDescent="0.3">
      <c r="A27648" t="s">
        <v>0</v>
      </c>
    </row>
    <row r="27649" spans="1:1" x14ac:dyDescent="0.3">
      <c r="A27649" t="s">
        <v>0</v>
      </c>
    </row>
    <row r="27650" spans="1:1" x14ac:dyDescent="0.3">
      <c r="A27650" t="s">
        <v>0</v>
      </c>
    </row>
    <row r="27651" spans="1:1" x14ac:dyDescent="0.3">
      <c r="A27651" t="s">
        <v>0</v>
      </c>
    </row>
    <row r="27652" spans="1:1" x14ac:dyDescent="0.3">
      <c r="A27652" t="s">
        <v>0</v>
      </c>
    </row>
    <row r="27653" spans="1:1" x14ac:dyDescent="0.3">
      <c r="A27653" t="s">
        <v>0</v>
      </c>
    </row>
    <row r="27654" spans="1:1" x14ac:dyDescent="0.3">
      <c r="A27654" t="s">
        <v>0</v>
      </c>
    </row>
    <row r="27655" spans="1:1" x14ac:dyDescent="0.3">
      <c r="A27655" t="s">
        <v>0</v>
      </c>
    </row>
    <row r="27656" spans="1:1" x14ac:dyDescent="0.3">
      <c r="A27656" t="s">
        <v>0</v>
      </c>
    </row>
    <row r="27657" spans="1:1" x14ac:dyDescent="0.3">
      <c r="A27657" t="s">
        <v>0</v>
      </c>
    </row>
    <row r="27658" spans="1:1" x14ac:dyDescent="0.3">
      <c r="A27658" t="s">
        <v>0</v>
      </c>
    </row>
    <row r="27659" spans="1:1" x14ac:dyDescent="0.3">
      <c r="A27659" t="s">
        <v>0</v>
      </c>
    </row>
    <row r="27660" spans="1:1" x14ac:dyDescent="0.3">
      <c r="A27660" t="s">
        <v>0</v>
      </c>
    </row>
    <row r="27661" spans="1:1" x14ac:dyDescent="0.3">
      <c r="A27661" t="s">
        <v>0</v>
      </c>
    </row>
    <row r="27662" spans="1:1" x14ac:dyDescent="0.3">
      <c r="A27662" t="s">
        <v>0</v>
      </c>
    </row>
    <row r="27663" spans="1:1" x14ac:dyDescent="0.3">
      <c r="A27663" t="s">
        <v>0</v>
      </c>
    </row>
    <row r="27664" spans="1:1" x14ac:dyDescent="0.3">
      <c r="A27664" t="s">
        <v>0</v>
      </c>
    </row>
    <row r="27665" spans="1:1" x14ac:dyDescent="0.3">
      <c r="A27665" t="s">
        <v>0</v>
      </c>
    </row>
    <row r="27666" spans="1:1" x14ac:dyDescent="0.3">
      <c r="A27666" t="s">
        <v>0</v>
      </c>
    </row>
    <row r="27667" spans="1:1" x14ac:dyDescent="0.3">
      <c r="A27667" t="s">
        <v>0</v>
      </c>
    </row>
    <row r="27668" spans="1:1" x14ac:dyDescent="0.3">
      <c r="A27668" t="s">
        <v>0</v>
      </c>
    </row>
    <row r="27669" spans="1:1" x14ac:dyDescent="0.3">
      <c r="A27669" t="s">
        <v>0</v>
      </c>
    </row>
    <row r="27670" spans="1:1" x14ac:dyDescent="0.3">
      <c r="A27670" t="s">
        <v>0</v>
      </c>
    </row>
    <row r="27671" spans="1:1" x14ac:dyDescent="0.3">
      <c r="A27671" t="s">
        <v>0</v>
      </c>
    </row>
    <row r="27672" spans="1:1" x14ac:dyDescent="0.3">
      <c r="A27672" t="s">
        <v>0</v>
      </c>
    </row>
    <row r="27673" spans="1:1" x14ac:dyDescent="0.3">
      <c r="A27673" t="s">
        <v>0</v>
      </c>
    </row>
    <row r="27674" spans="1:1" x14ac:dyDescent="0.3">
      <c r="A27674" t="s">
        <v>0</v>
      </c>
    </row>
    <row r="27675" spans="1:1" x14ac:dyDescent="0.3">
      <c r="A27675" t="s">
        <v>0</v>
      </c>
    </row>
    <row r="27676" spans="1:1" x14ac:dyDescent="0.3">
      <c r="A27676" t="s">
        <v>0</v>
      </c>
    </row>
    <row r="27677" spans="1:1" x14ac:dyDescent="0.3">
      <c r="A27677" t="s">
        <v>0</v>
      </c>
    </row>
    <row r="27678" spans="1:1" x14ac:dyDescent="0.3">
      <c r="A27678" t="s">
        <v>0</v>
      </c>
    </row>
    <row r="27679" spans="1:1" x14ac:dyDescent="0.3">
      <c r="A27679" t="s">
        <v>0</v>
      </c>
    </row>
    <row r="27680" spans="1:1" x14ac:dyDescent="0.3">
      <c r="A27680" t="s">
        <v>0</v>
      </c>
    </row>
    <row r="27681" spans="1:1" x14ac:dyDescent="0.3">
      <c r="A27681" t="s">
        <v>0</v>
      </c>
    </row>
    <row r="27682" spans="1:1" x14ac:dyDescent="0.3">
      <c r="A27682" t="s">
        <v>0</v>
      </c>
    </row>
    <row r="27683" spans="1:1" x14ac:dyDescent="0.3">
      <c r="A27683" t="s">
        <v>0</v>
      </c>
    </row>
    <row r="27684" spans="1:1" x14ac:dyDescent="0.3">
      <c r="A27684" t="s">
        <v>0</v>
      </c>
    </row>
    <row r="27685" spans="1:1" x14ac:dyDescent="0.3">
      <c r="A27685" t="s">
        <v>0</v>
      </c>
    </row>
    <row r="27686" spans="1:1" x14ac:dyDescent="0.3">
      <c r="A27686" t="s">
        <v>0</v>
      </c>
    </row>
    <row r="27687" spans="1:1" x14ac:dyDescent="0.3">
      <c r="A27687" t="s">
        <v>0</v>
      </c>
    </row>
    <row r="27688" spans="1:1" x14ac:dyDescent="0.3">
      <c r="A27688" t="s">
        <v>0</v>
      </c>
    </row>
    <row r="27689" spans="1:1" x14ac:dyDescent="0.3">
      <c r="A27689" t="s">
        <v>0</v>
      </c>
    </row>
    <row r="27690" spans="1:1" x14ac:dyDescent="0.3">
      <c r="A27690" t="s">
        <v>0</v>
      </c>
    </row>
    <row r="27691" spans="1:1" x14ac:dyDescent="0.3">
      <c r="A27691" t="s">
        <v>0</v>
      </c>
    </row>
    <row r="27692" spans="1:1" x14ac:dyDescent="0.3">
      <c r="A27692" t="s">
        <v>0</v>
      </c>
    </row>
    <row r="27693" spans="1:1" x14ac:dyDescent="0.3">
      <c r="A27693" t="s">
        <v>0</v>
      </c>
    </row>
    <row r="27694" spans="1:1" x14ac:dyDescent="0.3">
      <c r="A27694" t="s">
        <v>0</v>
      </c>
    </row>
    <row r="27695" spans="1:1" x14ac:dyDescent="0.3">
      <c r="A27695" t="s">
        <v>0</v>
      </c>
    </row>
    <row r="27696" spans="1:1" x14ac:dyDescent="0.3">
      <c r="A27696" t="s">
        <v>0</v>
      </c>
    </row>
    <row r="27697" spans="1:1" x14ac:dyDescent="0.3">
      <c r="A27697" t="s">
        <v>0</v>
      </c>
    </row>
    <row r="27698" spans="1:1" x14ac:dyDescent="0.3">
      <c r="A27698" t="s">
        <v>0</v>
      </c>
    </row>
    <row r="27699" spans="1:1" x14ac:dyDescent="0.3">
      <c r="A27699" t="s">
        <v>0</v>
      </c>
    </row>
    <row r="27700" spans="1:1" x14ac:dyDescent="0.3">
      <c r="A27700" t="s">
        <v>0</v>
      </c>
    </row>
    <row r="27701" spans="1:1" x14ac:dyDescent="0.3">
      <c r="A27701" t="s">
        <v>0</v>
      </c>
    </row>
    <row r="27702" spans="1:1" x14ac:dyDescent="0.3">
      <c r="A27702" t="s">
        <v>0</v>
      </c>
    </row>
    <row r="27703" spans="1:1" x14ac:dyDescent="0.3">
      <c r="A27703" t="s">
        <v>0</v>
      </c>
    </row>
    <row r="27704" spans="1:1" x14ac:dyDescent="0.3">
      <c r="A27704" t="s">
        <v>0</v>
      </c>
    </row>
    <row r="27705" spans="1:1" x14ac:dyDescent="0.3">
      <c r="A27705" t="s">
        <v>0</v>
      </c>
    </row>
    <row r="27706" spans="1:1" x14ac:dyDescent="0.3">
      <c r="A27706" t="s">
        <v>0</v>
      </c>
    </row>
    <row r="27707" spans="1:1" x14ac:dyDescent="0.3">
      <c r="A27707" t="s">
        <v>0</v>
      </c>
    </row>
    <row r="27708" spans="1:1" x14ac:dyDescent="0.3">
      <c r="A27708" t="s">
        <v>0</v>
      </c>
    </row>
    <row r="27709" spans="1:1" x14ac:dyDescent="0.3">
      <c r="A27709" t="s">
        <v>0</v>
      </c>
    </row>
    <row r="27710" spans="1:1" x14ac:dyDescent="0.3">
      <c r="A27710" t="s">
        <v>0</v>
      </c>
    </row>
    <row r="27711" spans="1:1" x14ac:dyDescent="0.3">
      <c r="A27711" t="s">
        <v>0</v>
      </c>
    </row>
    <row r="27712" spans="1:1" x14ac:dyDescent="0.3">
      <c r="A27712" t="s">
        <v>0</v>
      </c>
    </row>
    <row r="27713" spans="1:1" x14ac:dyDescent="0.3">
      <c r="A27713" t="s">
        <v>0</v>
      </c>
    </row>
    <row r="27714" spans="1:1" x14ac:dyDescent="0.3">
      <c r="A27714" t="s">
        <v>0</v>
      </c>
    </row>
    <row r="27715" spans="1:1" x14ac:dyDescent="0.3">
      <c r="A27715" t="s">
        <v>0</v>
      </c>
    </row>
    <row r="27716" spans="1:1" x14ac:dyDescent="0.3">
      <c r="A27716" t="s">
        <v>0</v>
      </c>
    </row>
    <row r="27717" spans="1:1" x14ac:dyDescent="0.3">
      <c r="A27717" t="s">
        <v>0</v>
      </c>
    </row>
    <row r="27718" spans="1:1" x14ac:dyDescent="0.3">
      <c r="A27718" t="s">
        <v>0</v>
      </c>
    </row>
    <row r="27719" spans="1:1" x14ac:dyDescent="0.3">
      <c r="A27719" t="s">
        <v>0</v>
      </c>
    </row>
    <row r="27720" spans="1:1" x14ac:dyDescent="0.3">
      <c r="A27720" t="s">
        <v>0</v>
      </c>
    </row>
    <row r="27721" spans="1:1" x14ac:dyDescent="0.3">
      <c r="A27721" t="s">
        <v>0</v>
      </c>
    </row>
    <row r="27722" spans="1:1" x14ac:dyDescent="0.3">
      <c r="A27722" t="s">
        <v>0</v>
      </c>
    </row>
    <row r="27723" spans="1:1" x14ac:dyDescent="0.3">
      <c r="A27723" t="s">
        <v>0</v>
      </c>
    </row>
    <row r="27724" spans="1:1" x14ac:dyDescent="0.3">
      <c r="A27724" t="s">
        <v>0</v>
      </c>
    </row>
    <row r="27725" spans="1:1" x14ac:dyDescent="0.3">
      <c r="A27725" t="s">
        <v>0</v>
      </c>
    </row>
    <row r="27726" spans="1:1" x14ac:dyDescent="0.3">
      <c r="A27726" t="s">
        <v>0</v>
      </c>
    </row>
    <row r="27727" spans="1:1" x14ac:dyDescent="0.3">
      <c r="A27727" t="s">
        <v>0</v>
      </c>
    </row>
    <row r="27728" spans="1:1" x14ac:dyDescent="0.3">
      <c r="A27728" t="s">
        <v>0</v>
      </c>
    </row>
    <row r="27729" spans="1:1" x14ac:dyDescent="0.3">
      <c r="A27729" t="s">
        <v>0</v>
      </c>
    </row>
    <row r="27730" spans="1:1" x14ac:dyDescent="0.3">
      <c r="A27730" t="s">
        <v>0</v>
      </c>
    </row>
    <row r="27731" spans="1:1" x14ac:dyDescent="0.3">
      <c r="A27731" t="s">
        <v>0</v>
      </c>
    </row>
    <row r="27732" spans="1:1" x14ac:dyDescent="0.3">
      <c r="A27732" t="s">
        <v>0</v>
      </c>
    </row>
    <row r="27733" spans="1:1" x14ac:dyDescent="0.3">
      <c r="A27733" t="s">
        <v>0</v>
      </c>
    </row>
    <row r="27734" spans="1:1" x14ac:dyDescent="0.3">
      <c r="A27734" t="s">
        <v>0</v>
      </c>
    </row>
    <row r="27735" spans="1:1" x14ac:dyDescent="0.3">
      <c r="A27735" t="s">
        <v>0</v>
      </c>
    </row>
    <row r="27736" spans="1:1" x14ac:dyDescent="0.3">
      <c r="A27736" t="s">
        <v>0</v>
      </c>
    </row>
    <row r="27737" spans="1:1" x14ac:dyDescent="0.3">
      <c r="A27737" t="s">
        <v>0</v>
      </c>
    </row>
    <row r="27738" spans="1:1" x14ac:dyDescent="0.3">
      <c r="A27738" t="s">
        <v>0</v>
      </c>
    </row>
    <row r="27739" spans="1:1" x14ac:dyDescent="0.3">
      <c r="A27739" t="s">
        <v>0</v>
      </c>
    </row>
    <row r="27740" spans="1:1" x14ac:dyDescent="0.3">
      <c r="A27740" t="s">
        <v>0</v>
      </c>
    </row>
    <row r="27741" spans="1:1" x14ac:dyDescent="0.3">
      <c r="A27741" t="s">
        <v>0</v>
      </c>
    </row>
    <row r="27742" spans="1:1" x14ac:dyDescent="0.3">
      <c r="A27742" t="s">
        <v>0</v>
      </c>
    </row>
    <row r="27743" spans="1:1" x14ac:dyDescent="0.3">
      <c r="A27743" t="s">
        <v>0</v>
      </c>
    </row>
    <row r="27744" spans="1:1" x14ac:dyDescent="0.3">
      <c r="A27744" t="s">
        <v>0</v>
      </c>
    </row>
    <row r="27745" spans="1:1" x14ac:dyDescent="0.3">
      <c r="A27745" t="s">
        <v>0</v>
      </c>
    </row>
    <row r="27746" spans="1:1" x14ac:dyDescent="0.3">
      <c r="A27746" t="s">
        <v>0</v>
      </c>
    </row>
    <row r="27747" spans="1:1" x14ac:dyDescent="0.3">
      <c r="A27747" t="s">
        <v>0</v>
      </c>
    </row>
    <row r="27748" spans="1:1" x14ac:dyDescent="0.3">
      <c r="A27748" t="s">
        <v>0</v>
      </c>
    </row>
    <row r="27749" spans="1:1" x14ac:dyDescent="0.3">
      <c r="A27749" t="s">
        <v>0</v>
      </c>
    </row>
    <row r="27750" spans="1:1" x14ac:dyDescent="0.3">
      <c r="A27750" t="s">
        <v>0</v>
      </c>
    </row>
    <row r="27751" spans="1:1" x14ac:dyDescent="0.3">
      <c r="A27751" t="s">
        <v>0</v>
      </c>
    </row>
    <row r="27752" spans="1:1" x14ac:dyDescent="0.3">
      <c r="A27752" t="s">
        <v>0</v>
      </c>
    </row>
    <row r="27753" spans="1:1" x14ac:dyDescent="0.3">
      <c r="A27753" t="s">
        <v>0</v>
      </c>
    </row>
    <row r="27754" spans="1:1" x14ac:dyDescent="0.3">
      <c r="A27754" t="s">
        <v>0</v>
      </c>
    </row>
    <row r="27755" spans="1:1" x14ac:dyDescent="0.3">
      <c r="A27755" t="s">
        <v>0</v>
      </c>
    </row>
    <row r="27756" spans="1:1" x14ac:dyDescent="0.3">
      <c r="A27756" t="s">
        <v>0</v>
      </c>
    </row>
    <row r="27757" spans="1:1" x14ac:dyDescent="0.3">
      <c r="A27757" t="s">
        <v>0</v>
      </c>
    </row>
    <row r="27758" spans="1:1" x14ac:dyDescent="0.3">
      <c r="A27758" t="s">
        <v>0</v>
      </c>
    </row>
    <row r="27759" spans="1:1" x14ac:dyDescent="0.3">
      <c r="A27759" t="s">
        <v>0</v>
      </c>
    </row>
    <row r="27760" spans="1:1" x14ac:dyDescent="0.3">
      <c r="A27760" t="s">
        <v>0</v>
      </c>
    </row>
    <row r="27761" spans="1:1" x14ac:dyDescent="0.3">
      <c r="A27761" t="s">
        <v>0</v>
      </c>
    </row>
    <row r="27762" spans="1:1" x14ac:dyDescent="0.3">
      <c r="A27762" t="s">
        <v>0</v>
      </c>
    </row>
    <row r="27763" spans="1:1" x14ac:dyDescent="0.3">
      <c r="A27763" t="s">
        <v>0</v>
      </c>
    </row>
    <row r="27764" spans="1:1" x14ac:dyDescent="0.3">
      <c r="A27764" t="s">
        <v>0</v>
      </c>
    </row>
    <row r="27765" spans="1:1" x14ac:dyDescent="0.3">
      <c r="A27765" t="s">
        <v>0</v>
      </c>
    </row>
    <row r="27766" spans="1:1" x14ac:dyDescent="0.3">
      <c r="A27766" t="s">
        <v>0</v>
      </c>
    </row>
    <row r="27767" spans="1:1" x14ac:dyDescent="0.3">
      <c r="A27767" t="s">
        <v>0</v>
      </c>
    </row>
    <row r="27768" spans="1:1" x14ac:dyDescent="0.3">
      <c r="A27768" t="s">
        <v>0</v>
      </c>
    </row>
    <row r="27769" spans="1:1" x14ac:dyDescent="0.3">
      <c r="A27769" t="s">
        <v>0</v>
      </c>
    </row>
    <row r="27770" spans="1:1" x14ac:dyDescent="0.3">
      <c r="A27770" t="s">
        <v>0</v>
      </c>
    </row>
    <row r="27771" spans="1:1" x14ac:dyDescent="0.3">
      <c r="A27771" t="s">
        <v>0</v>
      </c>
    </row>
    <row r="27772" spans="1:1" x14ac:dyDescent="0.3">
      <c r="A27772" t="s">
        <v>0</v>
      </c>
    </row>
    <row r="27773" spans="1:1" x14ac:dyDescent="0.3">
      <c r="A27773" t="s">
        <v>0</v>
      </c>
    </row>
    <row r="27774" spans="1:1" x14ac:dyDescent="0.3">
      <c r="A27774" t="s">
        <v>0</v>
      </c>
    </row>
    <row r="27775" spans="1:1" x14ac:dyDescent="0.3">
      <c r="A27775" t="s">
        <v>0</v>
      </c>
    </row>
    <row r="27776" spans="1:1" x14ac:dyDescent="0.3">
      <c r="A27776" t="s">
        <v>0</v>
      </c>
    </row>
    <row r="27777" spans="1:1" x14ac:dyDescent="0.3">
      <c r="A27777" t="s">
        <v>0</v>
      </c>
    </row>
    <row r="27778" spans="1:1" x14ac:dyDescent="0.3">
      <c r="A27778" t="s">
        <v>0</v>
      </c>
    </row>
    <row r="27779" spans="1:1" x14ac:dyDescent="0.3">
      <c r="A27779" t="s">
        <v>0</v>
      </c>
    </row>
    <row r="27780" spans="1:1" x14ac:dyDescent="0.3">
      <c r="A27780" t="s">
        <v>0</v>
      </c>
    </row>
    <row r="27781" spans="1:1" x14ac:dyDescent="0.3">
      <c r="A27781" t="s">
        <v>0</v>
      </c>
    </row>
    <row r="27782" spans="1:1" x14ac:dyDescent="0.3">
      <c r="A27782" t="s">
        <v>0</v>
      </c>
    </row>
    <row r="27783" spans="1:1" x14ac:dyDescent="0.3">
      <c r="A27783" t="s">
        <v>0</v>
      </c>
    </row>
    <row r="27784" spans="1:1" x14ac:dyDescent="0.3">
      <c r="A27784" t="s">
        <v>0</v>
      </c>
    </row>
    <row r="27785" spans="1:1" x14ac:dyDescent="0.3">
      <c r="A27785" t="s">
        <v>0</v>
      </c>
    </row>
    <row r="27786" spans="1:1" x14ac:dyDescent="0.3">
      <c r="A27786" t="s">
        <v>0</v>
      </c>
    </row>
    <row r="27787" spans="1:1" x14ac:dyDescent="0.3">
      <c r="A27787" t="s">
        <v>0</v>
      </c>
    </row>
    <row r="27788" spans="1:1" x14ac:dyDescent="0.3">
      <c r="A27788" t="s">
        <v>0</v>
      </c>
    </row>
    <row r="27789" spans="1:1" x14ac:dyDescent="0.3">
      <c r="A27789" t="s">
        <v>0</v>
      </c>
    </row>
    <row r="27790" spans="1:1" x14ac:dyDescent="0.3">
      <c r="A27790" t="s">
        <v>0</v>
      </c>
    </row>
    <row r="27791" spans="1:1" x14ac:dyDescent="0.3">
      <c r="A27791" t="s">
        <v>0</v>
      </c>
    </row>
    <row r="27792" spans="1:1" x14ac:dyDescent="0.3">
      <c r="A27792" t="s">
        <v>0</v>
      </c>
    </row>
    <row r="27793" spans="1:1" x14ac:dyDescent="0.3">
      <c r="A27793" t="s">
        <v>0</v>
      </c>
    </row>
    <row r="27794" spans="1:1" x14ac:dyDescent="0.3">
      <c r="A27794" t="s">
        <v>0</v>
      </c>
    </row>
    <row r="27795" spans="1:1" x14ac:dyDescent="0.3">
      <c r="A27795" t="s">
        <v>0</v>
      </c>
    </row>
    <row r="27796" spans="1:1" x14ac:dyDescent="0.3">
      <c r="A27796" t="s">
        <v>0</v>
      </c>
    </row>
    <row r="27797" spans="1:1" x14ac:dyDescent="0.3">
      <c r="A27797" t="s">
        <v>0</v>
      </c>
    </row>
    <row r="27798" spans="1:1" x14ac:dyDescent="0.3">
      <c r="A27798" t="s">
        <v>0</v>
      </c>
    </row>
    <row r="27799" spans="1:1" x14ac:dyDescent="0.3">
      <c r="A27799" t="s">
        <v>0</v>
      </c>
    </row>
    <row r="27800" spans="1:1" x14ac:dyDescent="0.3">
      <c r="A27800" t="s">
        <v>0</v>
      </c>
    </row>
    <row r="27801" spans="1:1" x14ac:dyDescent="0.3">
      <c r="A27801" t="s">
        <v>0</v>
      </c>
    </row>
    <row r="27802" spans="1:1" x14ac:dyDescent="0.3">
      <c r="A27802" t="s">
        <v>0</v>
      </c>
    </row>
    <row r="27803" spans="1:1" x14ac:dyDescent="0.3">
      <c r="A27803" t="s">
        <v>0</v>
      </c>
    </row>
    <row r="27804" spans="1:1" x14ac:dyDescent="0.3">
      <c r="A27804" t="s">
        <v>0</v>
      </c>
    </row>
    <row r="27805" spans="1:1" x14ac:dyDescent="0.3">
      <c r="A27805" t="s">
        <v>0</v>
      </c>
    </row>
    <row r="27806" spans="1:1" x14ac:dyDescent="0.3">
      <c r="A27806" t="s">
        <v>0</v>
      </c>
    </row>
    <row r="27807" spans="1:1" x14ac:dyDescent="0.3">
      <c r="A27807" t="s">
        <v>0</v>
      </c>
    </row>
    <row r="27808" spans="1:1" x14ac:dyDescent="0.3">
      <c r="A27808" t="s">
        <v>0</v>
      </c>
    </row>
    <row r="27809" spans="1:1" x14ac:dyDescent="0.3">
      <c r="A27809" t="s">
        <v>0</v>
      </c>
    </row>
    <row r="27810" spans="1:1" x14ac:dyDescent="0.3">
      <c r="A27810" t="s">
        <v>0</v>
      </c>
    </row>
    <row r="27811" spans="1:1" x14ac:dyDescent="0.3">
      <c r="A27811" t="s">
        <v>0</v>
      </c>
    </row>
    <row r="27812" spans="1:1" x14ac:dyDescent="0.3">
      <c r="A27812" t="s">
        <v>0</v>
      </c>
    </row>
    <row r="27813" spans="1:1" x14ac:dyDescent="0.3">
      <c r="A27813" t="s">
        <v>0</v>
      </c>
    </row>
    <row r="27814" spans="1:1" x14ac:dyDescent="0.3">
      <c r="A27814" t="s">
        <v>0</v>
      </c>
    </row>
    <row r="27815" spans="1:1" x14ac:dyDescent="0.3">
      <c r="A27815" t="s">
        <v>0</v>
      </c>
    </row>
    <row r="27816" spans="1:1" x14ac:dyDescent="0.3">
      <c r="A27816" t="s">
        <v>0</v>
      </c>
    </row>
    <row r="27817" spans="1:1" x14ac:dyDescent="0.3">
      <c r="A27817" t="s">
        <v>0</v>
      </c>
    </row>
    <row r="27818" spans="1:1" x14ac:dyDescent="0.3">
      <c r="A27818" t="s">
        <v>0</v>
      </c>
    </row>
    <row r="27819" spans="1:1" x14ac:dyDescent="0.3">
      <c r="A27819" t="s">
        <v>0</v>
      </c>
    </row>
    <row r="27820" spans="1:1" x14ac:dyDescent="0.3">
      <c r="A27820" t="s">
        <v>0</v>
      </c>
    </row>
    <row r="27821" spans="1:1" x14ac:dyDescent="0.3">
      <c r="A27821" t="s">
        <v>0</v>
      </c>
    </row>
    <row r="27822" spans="1:1" x14ac:dyDescent="0.3">
      <c r="A27822" t="s">
        <v>0</v>
      </c>
    </row>
    <row r="27823" spans="1:1" x14ac:dyDescent="0.3">
      <c r="A27823" t="s">
        <v>0</v>
      </c>
    </row>
    <row r="27824" spans="1:1" x14ac:dyDescent="0.3">
      <c r="A27824" t="s">
        <v>0</v>
      </c>
    </row>
    <row r="27825" spans="1:1" x14ac:dyDescent="0.3">
      <c r="A27825" t="s">
        <v>0</v>
      </c>
    </row>
    <row r="27826" spans="1:1" x14ac:dyDescent="0.3">
      <c r="A27826" t="s">
        <v>0</v>
      </c>
    </row>
    <row r="27827" spans="1:1" x14ac:dyDescent="0.3">
      <c r="A27827" t="s">
        <v>0</v>
      </c>
    </row>
    <row r="27828" spans="1:1" x14ac:dyDescent="0.3">
      <c r="A27828" t="s">
        <v>0</v>
      </c>
    </row>
    <row r="27829" spans="1:1" x14ac:dyDescent="0.3">
      <c r="A27829" t="s">
        <v>0</v>
      </c>
    </row>
    <row r="27830" spans="1:1" x14ac:dyDescent="0.3">
      <c r="A27830" t="s">
        <v>0</v>
      </c>
    </row>
    <row r="27831" spans="1:1" x14ac:dyDescent="0.3">
      <c r="A27831" t="s">
        <v>0</v>
      </c>
    </row>
    <row r="27832" spans="1:1" x14ac:dyDescent="0.3">
      <c r="A27832" t="s">
        <v>0</v>
      </c>
    </row>
    <row r="27833" spans="1:1" x14ac:dyDescent="0.3">
      <c r="A27833" t="s">
        <v>0</v>
      </c>
    </row>
    <row r="27834" spans="1:1" x14ac:dyDescent="0.3">
      <c r="A27834" t="s">
        <v>0</v>
      </c>
    </row>
    <row r="27835" spans="1:1" x14ac:dyDescent="0.3">
      <c r="A27835" t="s">
        <v>0</v>
      </c>
    </row>
    <row r="27836" spans="1:1" x14ac:dyDescent="0.3">
      <c r="A27836" t="s">
        <v>0</v>
      </c>
    </row>
    <row r="27837" spans="1:1" x14ac:dyDescent="0.3">
      <c r="A27837" t="s">
        <v>0</v>
      </c>
    </row>
    <row r="27838" spans="1:1" x14ac:dyDescent="0.3">
      <c r="A27838" t="s">
        <v>0</v>
      </c>
    </row>
    <row r="27839" spans="1:1" x14ac:dyDescent="0.3">
      <c r="A27839" t="s">
        <v>0</v>
      </c>
    </row>
    <row r="27840" spans="1:1" x14ac:dyDescent="0.3">
      <c r="A27840" t="s">
        <v>0</v>
      </c>
    </row>
    <row r="27841" spans="1:1" x14ac:dyDescent="0.3">
      <c r="A27841" t="s">
        <v>0</v>
      </c>
    </row>
    <row r="27842" spans="1:1" x14ac:dyDescent="0.3">
      <c r="A27842" t="s">
        <v>0</v>
      </c>
    </row>
    <row r="27843" spans="1:1" x14ac:dyDescent="0.3">
      <c r="A27843" t="s">
        <v>0</v>
      </c>
    </row>
    <row r="27844" spans="1:1" x14ac:dyDescent="0.3">
      <c r="A27844" t="s">
        <v>0</v>
      </c>
    </row>
    <row r="27845" spans="1:1" x14ac:dyDescent="0.3">
      <c r="A27845" t="s">
        <v>0</v>
      </c>
    </row>
    <row r="27846" spans="1:1" x14ac:dyDescent="0.3">
      <c r="A27846" t="s">
        <v>0</v>
      </c>
    </row>
    <row r="27847" spans="1:1" x14ac:dyDescent="0.3">
      <c r="A27847" t="s">
        <v>0</v>
      </c>
    </row>
    <row r="27848" spans="1:1" x14ac:dyDescent="0.3">
      <c r="A27848" t="s">
        <v>0</v>
      </c>
    </row>
    <row r="27849" spans="1:1" x14ac:dyDescent="0.3">
      <c r="A27849" t="s">
        <v>0</v>
      </c>
    </row>
    <row r="27850" spans="1:1" x14ac:dyDescent="0.3">
      <c r="A27850" t="s">
        <v>0</v>
      </c>
    </row>
    <row r="27851" spans="1:1" x14ac:dyDescent="0.3">
      <c r="A27851" t="s">
        <v>0</v>
      </c>
    </row>
    <row r="27852" spans="1:1" x14ac:dyDescent="0.3">
      <c r="A27852" t="s">
        <v>0</v>
      </c>
    </row>
    <row r="27853" spans="1:1" x14ac:dyDescent="0.3">
      <c r="A27853" t="s">
        <v>0</v>
      </c>
    </row>
    <row r="27854" spans="1:1" x14ac:dyDescent="0.3">
      <c r="A27854" t="s">
        <v>0</v>
      </c>
    </row>
    <row r="27855" spans="1:1" x14ac:dyDescent="0.3">
      <c r="A27855" t="s">
        <v>0</v>
      </c>
    </row>
    <row r="27856" spans="1:1" x14ac:dyDescent="0.3">
      <c r="A27856" t="s">
        <v>0</v>
      </c>
    </row>
    <row r="27857" spans="1:1" x14ac:dyDescent="0.3">
      <c r="A27857" t="s">
        <v>0</v>
      </c>
    </row>
    <row r="27858" spans="1:1" x14ac:dyDescent="0.3">
      <c r="A27858" t="s">
        <v>0</v>
      </c>
    </row>
    <row r="27859" spans="1:1" x14ac:dyDescent="0.3">
      <c r="A27859" t="s">
        <v>0</v>
      </c>
    </row>
    <row r="27860" spans="1:1" x14ac:dyDescent="0.3">
      <c r="A27860" t="s">
        <v>0</v>
      </c>
    </row>
    <row r="27861" spans="1:1" x14ac:dyDescent="0.3">
      <c r="A27861" t="s">
        <v>0</v>
      </c>
    </row>
    <row r="27862" spans="1:1" x14ac:dyDescent="0.3">
      <c r="A27862" t="s">
        <v>0</v>
      </c>
    </row>
    <row r="27863" spans="1:1" x14ac:dyDescent="0.3">
      <c r="A27863" t="s">
        <v>0</v>
      </c>
    </row>
    <row r="27864" spans="1:1" x14ac:dyDescent="0.3">
      <c r="A27864" t="s">
        <v>0</v>
      </c>
    </row>
    <row r="27865" spans="1:1" x14ac:dyDescent="0.3">
      <c r="A27865" t="s">
        <v>0</v>
      </c>
    </row>
    <row r="27866" spans="1:1" x14ac:dyDescent="0.3">
      <c r="A27866" t="s">
        <v>0</v>
      </c>
    </row>
    <row r="27867" spans="1:1" x14ac:dyDescent="0.3">
      <c r="A27867" t="s">
        <v>0</v>
      </c>
    </row>
    <row r="27868" spans="1:1" x14ac:dyDescent="0.3">
      <c r="A27868" t="s">
        <v>0</v>
      </c>
    </row>
    <row r="27869" spans="1:1" x14ac:dyDescent="0.3">
      <c r="A27869" t="s">
        <v>0</v>
      </c>
    </row>
    <row r="27870" spans="1:1" x14ac:dyDescent="0.3">
      <c r="A27870" t="s">
        <v>0</v>
      </c>
    </row>
    <row r="27871" spans="1:1" x14ac:dyDescent="0.3">
      <c r="A27871" t="s">
        <v>0</v>
      </c>
    </row>
    <row r="27872" spans="1:1" x14ac:dyDescent="0.3">
      <c r="A27872" t="s">
        <v>0</v>
      </c>
    </row>
    <row r="27873" spans="1:1" x14ac:dyDescent="0.3">
      <c r="A27873" t="s">
        <v>0</v>
      </c>
    </row>
    <row r="27874" spans="1:1" x14ac:dyDescent="0.3">
      <c r="A27874" t="s">
        <v>0</v>
      </c>
    </row>
    <row r="27875" spans="1:1" x14ac:dyDescent="0.3">
      <c r="A27875" t="s">
        <v>0</v>
      </c>
    </row>
    <row r="27876" spans="1:1" x14ac:dyDescent="0.3">
      <c r="A27876" t="s">
        <v>0</v>
      </c>
    </row>
    <row r="27877" spans="1:1" x14ac:dyDescent="0.3">
      <c r="A27877" t="s">
        <v>0</v>
      </c>
    </row>
    <row r="27878" spans="1:1" x14ac:dyDescent="0.3">
      <c r="A27878" t="s">
        <v>0</v>
      </c>
    </row>
    <row r="27879" spans="1:1" x14ac:dyDescent="0.3">
      <c r="A27879" t="s">
        <v>0</v>
      </c>
    </row>
    <row r="27880" spans="1:1" x14ac:dyDescent="0.3">
      <c r="A27880" t="s">
        <v>0</v>
      </c>
    </row>
    <row r="27881" spans="1:1" x14ac:dyDescent="0.3">
      <c r="A27881" t="s">
        <v>0</v>
      </c>
    </row>
    <row r="27882" spans="1:1" x14ac:dyDescent="0.3">
      <c r="A27882" t="s">
        <v>0</v>
      </c>
    </row>
    <row r="27883" spans="1:1" x14ac:dyDescent="0.3">
      <c r="A27883" t="s">
        <v>0</v>
      </c>
    </row>
    <row r="27884" spans="1:1" x14ac:dyDescent="0.3">
      <c r="A27884" t="s">
        <v>0</v>
      </c>
    </row>
    <row r="27885" spans="1:1" x14ac:dyDescent="0.3">
      <c r="A27885" t="s">
        <v>0</v>
      </c>
    </row>
    <row r="27886" spans="1:1" x14ac:dyDescent="0.3">
      <c r="A27886" t="s">
        <v>0</v>
      </c>
    </row>
    <row r="27887" spans="1:1" x14ac:dyDescent="0.3">
      <c r="A27887" t="s">
        <v>0</v>
      </c>
    </row>
    <row r="27888" spans="1:1" x14ac:dyDescent="0.3">
      <c r="A27888" t="s">
        <v>0</v>
      </c>
    </row>
    <row r="27889" spans="1:1" x14ac:dyDescent="0.3">
      <c r="A27889" t="s">
        <v>0</v>
      </c>
    </row>
    <row r="27890" spans="1:1" x14ac:dyDescent="0.3">
      <c r="A27890" t="s">
        <v>0</v>
      </c>
    </row>
    <row r="27891" spans="1:1" x14ac:dyDescent="0.3">
      <c r="A27891" t="s">
        <v>0</v>
      </c>
    </row>
    <row r="27892" spans="1:1" x14ac:dyDescent="0.3">
      <c r="A27892" t="s">
        <v>0</v>
      </c>
    </row>
    <row r="27893" spans="1:1" x14ac:dyDescent="0.3">
      <c r="A27893" t="s">
        <v>0</v>
      </c>
    </row>
    <row r="27894" spans="1:1" x14ac:dyDescent="0.3">
      <c r="A27894" t="s">
        <v>0</v>
      </c>
    </row>
    <row r="27895" spans="1:1" x14ac:dyDescent="0.3">
      <c r="A27895" t="s">
        <v>0</v>
      </c>
    </row>
    <row r="27896" spans="1:1" x14ac:dyDescent="0.3">
      <c r="A27896" t="s">
        <v>0</v>
      </c>
    </row>
    <row r="27897" spans="1:1" x14ac:dyDescent="0.3">
      <c r="A27897" t="s">
        <v>0</v>
      </c>
    </row>
    <row r="27898" spans="1:1" x14ac:dyDescent="0.3">
      <c r="A27898" t="s">
        <v>0</v>
      </c>
    </row>
    <row r="27899" spans="1:1" x14ac:dyDescent="0.3">
      <c r="A27899" t="s">
        <v>0</v>
      </c>
    </row>
    <row r="27900" spans="1:1" x14ac:dyDescent="0.3">
      <c r="A27900" t="s">
        <v>0</v>
      </c>
    </row>
    <row r="27901" spans="1:1" x14ac:dyDescent="0.3">
      <c r="A27901" t="s">
        <v>0</v>
      </c>
    </row>
    <row r="27902" spans="1:1" x14ac:dyDescent="0.3">
      <c r="A27902" t="s">
        <v>0</v>
      </c>
    </row>
    <row r="27903" spans="1:1" x14ac:dyDescent="0.3">
      <c r="A27903" t="s">
        <v>0</v>
      </c>
    </row>
    <row r="27904" spans="1:1" x14ac:dyDescent="0.3">
      <c r="A27904" t="s">
        <v>0</v>
      </c>
    </row>
    <row r="27905" spans="1:1" x14ac:dyDescent="0.3">
      <c r="A27905" t="s">
        <v>0</v>
      </c>
    </row>
    <row r="27906" spans="1:1" x14ac:dyDescent="0.3">
      <c r="A27906" t="s">
        <v>0</v>
      </c>
    </row>
    <row r="27907" spans="1:1" x14ac:dyDescent="0.3">
      <c r="A27907" t="s">
        <v>0</v>
      </c>
    </row>
    <row r="27908" spans="1:1" x14ac:dyDescent="0.3">
      <c r="A27908" t="s">
        <v>0</v>
      </c>
    </row>
    <row r="27909" spans="1:1" x14ac:dyDescent="0.3">
      <c r="A27909" t="s">
        <v>0</v>
      </c>
    </row>
    <row r="27910" spans="1:1" x14ac:dyDescent="0.3">
      <c r="A27910" t="s">
        <v>0</v>
      </c>
    </row>
    <row r="27911" spans="1:1" x14ac:dyDescent="0.3">
      <c r="A27911" t="s">
        <v>0</v>
      </c>
    </row>
    <row r="27912" spans="1:1" x14ac:dyDescent="0.3">
      <c r="A27912" t="s">
        <v>0</v>
      </c>
    </row>
    <row r="27913" spans="1:1" x14ac:dyDescent="0.3">
      <c r="A27913" t="s">
        <v>0</v>
      </c>
    </row>
    <row r="27914" spans="1:1" x14ac:dyDescent="0.3">
      <c r="A27914" t="s">
        <v>0</v>
      </c>
    </row>
    <row r="27915" spans="1:1" x14ac:dyDescent="0.3">
      <c r="A27915" t="s">
        <v>0</v>
      </c>
    </row>
    <row r="27916" spans="1:1" x14ac:dyDescent="0.3">
      <c r="A27916" t="s">
        <v>0</v>
      </c>
    </row>
    <row r="27917" spans="1:1" x14ac:dyDescent="0.3">
      <c r="A27917" t="s">
        <v>0</v>
      </c>
    </row>
    <row r="27918" spans="1:1" x14ac:dyDescent="0.3">
      <c r="A27918" t="s">
        <v>0</v>
      </c>
    </row>
    <row r="27919" spans="1:1" x14ac:dyDescent="0.3">
      <c r="A27919" t="s">
        <v>0</v>
      </c>
    </row>
    <row r="27920" spans="1:1" x14ac:dyDescent="0.3">
      <c r="A27920" t="s">
        <v>0</v>
      </c>
    </row>
    <row r="27921" spans="1:1" x14ac:dyDescent="0.3">
      <c r="A27921" t="s">
        <v>0</v>
      </c>
    </row>
    <row r="27922" spans="1:1" x14ac:dyDescent="0.3">
      <c r="A27922" t="s">
        <v>0</v>
      </c>
    </row>
    <row r="27923" spans="1:1" x14ac:dyDescent="0.3">
      <c r="A27923" t="s">
        <v>0</v>
      </c>
    </row>
    <row r="27924" spans="1:1" x14ac:dyDescent="0.3">
      <c r="A27924" t="s">
        <v>0</v>
      </c>
    </row>
    <row r="27925" spans="1:1" x14ac:dyDescent="0.3">
      <c r="A27925" t="s">
        <v>0</v>
      </c>
    </row>
    <row r="27926" spans="1:1" x14ac:dyDescent="0.3">
      <c r="A27926" t="s">
        <v>0</v>
      </c>
    </row>
    <row r="27927" spans="1:1" x14ac:dyDescent="0.3">
      <c r="A27927" t="s">
        <v>0</v>
      </c>
    </row>
    <row r="27928" spans="1:1" x14ac:dyDescent="0.3">
      <c r="A27928" t="s">
        <v>0</v>
      </c>
    </row>
    <row r="27929" spans="1:1" x14ac:dyDescent="0.3">
      <c r="A27929" t="s">
        <v>0</v>
      </c>
    </row>
    <row r="27930" spans="1:1" x14ac:dyDescent="0.3">
      <c r="A27930" t="s">
        <v>0</v>
      </c>
    </row>
    <row r="27931" spans="1:1" x14ac:dyDescent="0.3">
      <c r="A27931" t="s">
        <v>0</v>
      </c>
    </row>
    <row r="27932" spans="1:1" x14ac:dyDescent="0.3">
      <c r="A27932" t="s">
        <v>0</v>
      </c>
    </row>
    <row r="27933" spans="1:1" x14ac:dyDescent="0.3">
      <c r="A27933" t="s">
        <v>0</v>
      </c>
    </row>
    <row r="27934" spans="1:1" x14ac:dyDescent="0.3">
      <c r="A27934" t="s">
        <v>0</v>
      </c>
    </row>
    <row r="27935" spans="1:1" x14ac:dyDescent="0.3">
      <c r="A27935" t="s">
        <v>0</v>
      </c>
    </row>
    <row r="27936" spans="1:1" x14ac:dyDescent="0.3">
      <c r="A27936" t="s">
        <v>0</v>
      </c>
    </row>
    <row r="27937" spans="1:1" x14ac:dyDescent="0.3">
      <c r="A27937" t="s">
        <v>0</v>
      </c>
    </row>
    <row r="27938" spans="1:1" x14ac:dyDescent="0.3">
      <c r="A27938" t="s">
        <v>0</v>
      </c>
    </row>
    <row r="27939" spans="1:1" x14ac:dyDescent="0.3">
      <c r="A27939" t="s">
        <v>0</v>
      </c>
    </row>
    <row r="27940" spans="1:1" x14ac:dyDescent="0.3">
      <c r="A27940" t="s">
        <v>0</v>
      </c>
    </row>
    <row r="27941" spans="1:1" x14ac:dyDescent="0.3">
      <c r="A27941" t="s">
        <v>0</v>
      </c>
    </row>
    <row r="27942" spans="1:1" x14ac:dyDescent="0.3">
      <c r="A27942" t="s">
        <v>0</v>
      </c>
    </row>
    <row r="27943" spans="1:1" x14ac:dyDescent="0.3">
      <c r="A27943" t="s">
        <v>0</v>
      </c>
    </row>
    <row r="27944" spans="1:1" x14ac:dyDescent="0.3">
      <c r="A27944" t="s">
        <v>0</v>
      </c>
    </row>
    <row r="27945" spans="1:1" x14ac:dyDescent="0.3">
      <c r="A27945" t="s">
        <v>0</v>
      </c>
    </row>
    <row r="27946" spans="1:1" x14ac:dyDescent="0.3">
      <c r="A27946" t="s">
        <v>0</v>
      </c>
    </row>
    <row r="27947" spans="1:1" x14ac:dyDescent="0.3">
      <c r="A27947" t="s">
        <v>0</v>
      </c>
    </row>
    <row r="27948" spans="1:1" x14ac:dyDescent="0.3">
      <c r="A27948" t="s">
        <v>0</v>
      </c>
    </row>
    <row r="27949" spans="1:1" x14ac:dyDescent="0.3">
      <c r="A27949" t="s">
        <v>0</v>
      </c>
    </row>
    <row r="27950" spans="1:1" x14ac:dyDescent="0.3">
      <c r="A27950" t="s">
        <v>0</v>
      </c>
    </row>
    <row r="27951" spans="1:1" x14ac:dyDescent="0.3">
      <c r="A27951" t="s">
        <v>0</v>
      </c>
    </row>
    <row r="27952" spans="1:1" x14ac:dyDescent="0.3">
      <c r="A27952" t="s">
        <v>0</v>
      </c>
    </row>
    <row r="27953" spans="1:1" x14ac:dyDescent="0.3">
      <c r="A27953" t="s">
        <v>0</v>
      </c>
    </row>
    <row r="27954" spans="1:1" x14ac:dyDescent="0.3">
      <c r="A27954" t="s">
        <v>0</v>
      </c>
    </row>
    <row r="27955" spans="1:1" x14ac:dyDescent="0.3">
      <c r="A27955" t="s">
        <v>0</v>
      </c>
    </row>
    <row r="27956" spans="1:1" x14ac:dyDescent="0.3">
      <c r="A27956" t="s">
        <v>0</v>
      </c>
    </row>
    <row r="27957" spans="1:1" x14ac:dyDescent="0.3">
      <c r="A27957" t="s">
        <v>0</v>
      </c>
    </row>
    <row r="27958" spans="1:1" x14ac:dyDescent="0.3">
      <c r="A27958" t="s">
        <v>0</v>
      </c>
    </row>
    <row r="27959" spans="1:1" x14ac:dyDescent="0.3">
      <c r="A27959" t="s">
        <v>0</v>
      </c>
    </row>
    <row r="27960" spans="1:1" x14ac:dyDescent="0.3">
      <c r="A27960" t="s">
        <v>0</v>
      </c>
    </row>
    <row r="27961" spans="1:1" x14ac:dyDescent="0.3">
      <c r="A27961" t="s">
        <v>0</v>
      </c>
    </row>
    <row r="27962" spans="1:1" x14ac:dyDescent="0.3">
      <c r="A27962" t="s">
        <v>0</v>
      </c>
    </row>
    <row r="27963" spans="1:1" x14ac:dyDescent="0.3">
      <c r="A27963" t="s">
        <v>0</v>
      </c>
    </row>
    <row r="27964" spans="1:1" x14ac:dyDescent="0.3">
      <c r="A27964" t="s">
        <v>0</v>
      </c>
    </row>
    <row r="27965" spans="1:1" x14ac:dyDescent="0.3">
      <c r="A27965" t="s">
        <v>0</v>
      </c>
    </row>
    <row r="27966" spans="1:1" x14ac:dyDescent="0.3">
      <c r="A27966" t="s">
        <v>0</v>
      </c>
    </row>
    <row r="27967" spans="1:1" x14ac:dyDescent="0.3">
      <c r="A27967" t="s">
        <v>0</v>
      </c>
    </row>
    <row r="27968" spans="1:1" x14ac:dyDescent="0.3">
      <c r="A27968" t="s">
        <v>0</v>
      </c>
    </row>
    <row r="27969" spans="1:1" x14ac:dyDescent="0.3">
      <c r="A27969" t="s">
        <v>0</v>
      </c>
    </row>
    <row r="27970" spans="1:1" x14ac:dyDescent="0.3">
      <c r="A27970" t="s">
        <v>0</v>
      </c>
    </row>
    <row r="27971" spans="1:1" x14ac:dyDescent="0.3">
      <c r="A27971" t="s">
        <v>0</v>
      </c>
    </row>
    <row r="27972" spans="1:1" x14ac:dyDescent="0.3">
      <c r="A27972" t="s">
        <v>0</v>
      </c>
    </row>
    <row r="27973" spans="1:1" x14ac:dyDescent="0.3">
      <c r="A27973" t="s">
        <v>0</v>
      </c>
    </row>
    <row r="27974" spans="1:1" x14ac:dyDescent="0.3">
      <c r="A27974" t="s">
        <v>0</v>
      </c>
    </row>
    <row r="27975" spans="1:1" x14ac:dyDescent="0.3">
      <c r="A27975" t="s">
        <v>0</v>
      </c>
    </row>
    <row r="27976" spans="1:1" x14ac:dyDescent="0.3">
      <c r="A27976" t="s">
        <v>0</v>
      </c>
    </row>
    <row r="27977" spans="1:1" x14ac:dyDescent="0.3">
      <c r="A27977" t="s">
        <v>0</v>
      </c>
    </row>
    <row r="27978" spans="1:1" x14ac:dyDescent="0.3">
      <c r="A27978" t="s">
        <v>0</v>
      </c>
    </row>
    <row r="27979" spans="1:1" x14ac:dyDescent="0.3">
      <c r="A27979" t="s">
        <v>0</v>
      </c>
    </row>
    <row r="27980" spans="1:1" x14ac:dyDescent="0.3">
      <c r="A27980" t="s">
        <v>0</v>
      </c>
    </row>
    <row r="27981" spans="1:1" x14ac:dyDescent="0.3">
      <c r="A27981" t="s">
        <v>0</v>
      </c>
    </row>
    <row r="27982" spans="1:1" x14ac:dyDescent="0.3">
      <c r="A27982" t="s">
        <v>0</v>
      </c>
    </row>
    <row r="27983" spans="1:1" x14ac:dyDescent="0.3">
      <c r="A27983" t="s">
        <v>0</v>
      </c>
    </row>
    <row r="27984" spans="1:1" x14ac:dyDescent="0.3">
      <c r="A27984" t="s">
        <v>0</v>
      </c>
    </row>
    <row r="27985" spans="1:1" x14ac:dyDescent="0.3">
      <c r="A27985" t="s">
        <v>0</v>
      </c>
    </row>
    <row r="27986" spans="1:1" x14ac:dyDescent="0.3">
      <c r="A27986" t="s">
        <v>0</v>
      </c>
    </row>
    <row r="27987" spans="1:1" x14ac:dyDescent="0.3">
      <c r="A27987" t="s">
        <v>0</v>
      </c>
    </row>
    <row r="27988" spans="1:1" x14ac:dyDescent="0.3">
      <c r="A27988" t="s">
        <v>0</v>
      </c>
    </row>
    <row r="27989" spans="1:1" x14ac:dyDescent="0.3">
      <c r="A27989" t="s">
        <v>0</v>
      </c>
    </row>
    <row r="27990" spans="1:1" x14ac:dyDescent="0.3">
      <c r="A27990" t="s">
        <v>0</v>
      </c>
    </row>
    <row r="27991" spans="1:1" x14ac:dyDescent="0.3">
      <c r="A27991" t="s">
        <v>0</v>
      </c>
    </row>
    <row r="27992" spans="1:1" x14ac:dyDescent="0.3">
      <c r="A27992" t="s">
        <v>0</v>
      </c>
    </row>
    <row r="27993" spans="1:1" x14ac:dyDescent="0.3">
      <c r="A27993" t="s">
        <v>0</v>
      </c>
    </row>
    <row r="27994" spans="1:1" x14ac:dyDescent="0.3">
      <c r="A27994" t="s">
        <v>0</v>
      </c>
    </row>
    <row r="27995" spans="1:1" x14ac:dyDescent="0.3">
      <c r="A27995" t="s">
        <v>0</v>
      </c>
    </row>
    <row r="27996" spans="1:1" x14ac:dyDescent="0.3">
      <c r="A27996" t="s">
        <v>0</v>
      </c>
    </row>
    <row r="27997" spans="1:1" x14ac:dyDescent="0.3">
      <c r="A27997" t="s">
        <v>0</v>
      </c>
    </row>
    <row r="27998" spans="1:1" x14ac:dyDescent="0.3">
      <c r="A27998" t="s">
        <v>0</v>
      </c>
    </row>
    <row r="27999" spans="1:1" x14ac:dyDescent="0.3">
      <c r="A27999" t="s">
        <v>0</v>
      </c>
    </row>
    <row r="28000" spans="1:1" x14ac:dyDescent="0.3">
      <c r="A28000" t="s">
        <v>0</v>
      </c>
    </row>
    <row r="28001" spans="1:1" x14ac:dyDescent="0.3">
      <c r="A28001" t="s">
        <v>0</v>
      </c>
    </row>
    <row r="28002" spans="1:1" x14ac:dyDescent="0.3">
      <c r="A28002" t="s">
        <v>0</v>
      </c>
    </row>
    <row r="28003" spans="1:1" x14ac:dyDescent="0.3">
      <c r="A28003" t="s">
        <v>0</v>
      </c>
    </row>
    <row r="28004" spans="1:1" x14ac:dyDescent="0.3">
      <c r="A28004" t="s">
        <v>0</v>
      </c>
    </row>
    <row r="28005" spans="1:1" x14ac:dyDescent="0.3">
      <c r="A28005" t="s">
        <v>0</v>
      </c>
    </row>
    <row r="28006" spans="1:1" x14ac:dyDescent="0.3">
      <c r="A28006" t="s">
        <v>0</v>
      </c>
    </row>
    <row r="28007" spans="1:1" x14ac:dyDescent="0.3">
      <c r="A28007" t="s">
        <v>0</v>
      </c>
    </row>
    <row r="28008" spans="1:1" x14ac:dyDescent="0.3">
      <c r="A28008" t="s">
        <v>0</v>
      </c>
    </row>
    <row r="28009" spans="1:1" x14ac:dyDescent="0.3">
      <c r="A28009" t="s">
        <v>0</v>
      </c>
    </row>
    <row r="28010" spans="1:1" x14ac:dyDescent="0.3">
      <c r="A28010" t="s">
        <v>0</v>
      </c>
    </row>
    <row r="28011" spans="1:1" x14ac:dyDescent="0.3">
      <c r="A28011" t="s">
        <v>0</v>
      </c>
    </row>
    <row r="28012" spans="1:1" x14ac:dyDescent="0.3">
      <c r="A28012" t="s">
        <v>0</v>
      </c>
    </row>
    <row r="28013" spans="1:1" x14ac:dyDescent="0.3">
      <c r="A28013" t="s">
        <v>0</v>
      </c>
    </row>
    <row r="28014" spans="1:1" x14ac:dyDescent="0.3">
      <c r="A28014" t="s">
        <v>0</v>
      </c>
    </row>
    <row r="28015" spans="1:1" x14ac:dyDescent="0.3">
      <c r="A28015" t="s">
        <v>0</v>
      </c>
    </row>
    <row r="28016" spans="1:1" x14ac:dyDescent="0.3">
      <c r="A28016" t="s">
        <v>0</v>
      </c>
    </row>
    <row r="28017" spans="1:1" x14ac:dyDescent="0.3">
      <c r="A28017" t="s">
        <v>0</v>
      </c>
    </row>
    <row r="28018" spans="1:1" x14ac:dyDescent="0.3">
      <c r="A28018" t="s">
        <v>0</v>
      </c>
    </row>
    <row r="28019" spans="1:1" x14ac:dyDescent="0.3">
      <c r="A28019" t="s">
        <v>0</v>
      </c>
    </row>
    <row r="28020" spans="1:1" x14ac:dyDescent="0.3">
      <c r="A28020" t="s">
        <v>0</v>
      </c>
    </row>
    <row r="28021" spans="1:1" x14ac:dyDescent="0.3">
      <c r="A28021" t="s">
        <v>0</v>
      </c>
    </row>
    <row r="28022" spans="1:1" x14ac:dyDescent="0.3">
      <c r="A28022" t="s">
        <v>0</v>
      </c>
    </row>
    <row r="28023" spans="1:1" x14ac:dyDescent="0.3">
      <c r="A28023" t="s">
        <v>0</v>
      </c>
    </row>
    <row r="28024" spans="1:1" x14ac:dyDescent="0.3">
      <c r="A28024" t="s">
        <v>0</v>
      </c>
    </row>
    <row r="28025" spans="1:1" x14ac:dyDescent="0.3">
      <c r="A28025" t="s">
        <v>0</v>
      </c>
    </row>
    <row r="28026" spans="1:1" x14ac:dyDescent="0.3">
      <c r="A28026" t="s">
        <v>0</v>
      </c>
    </row>
    <row r="28027" spans="1:1" x14ac:dyDescent="0.3">
      <c r="A28027" t="s">
        <v>0</v>
      </c>
    </row>
    <row r="28028" spans="1:1" x14ac:dyDescent="0.3">
      <c r="A28028" t="s">
        <v>0</v>
      </c>
    </row>
    <row r="28029" spans="1:1" x14ac:dyDescent="0.3">
      <c r="A28029" t="s">
        <v>0</v>
      </c>
    </row>
    <row r="28030" spans="1:1" x14ac:dyDescent="0.3">
      <c r="A28030" t="s">
        <v>0</v>
      </c>
    </row>
    <row r="28031" spans="1:1" x14ac:dyDescent="0.3">
      <c r="A28031" t="s">
        <v>0</v>
      </c>
    </row>
    <row r="28032" spans="1:1" x14ac:dyDescent="0.3">
      <c r="A28032" t="s">
        <v>0</v>
      </c>
    </row>
    <row r="28033" spans="1:1" x14ac:dyDescent="0.3">
      <c r="A28033" t="s">
        <v>0</v>
      </c>
    </row>
    <row r="28034" spans="1:1" x14ac:dyDescent="0.3">
      <c r="A28034" t="s">
        <v>0</v>
      </c>
    </row>
    <row r="28035" spans="1:1" x14ac:dyDescent="0.3">
      <c r="A28035" t="s">
        <v>0</v>
      </c>
    </row>
    <row r="28036" spans="1:1" x14ac:dyDescent="0.3">
      <c r="A28036" t="s">
        <v>0</v>
      </c>
    </row>
    <row r="28037" spans="1:1" x14ac:dyDescent="0.3">
      <c r="A28037" t="s">
        <v>0</v>
      </c>
    </row>
    <row r="28038" spans="1:1" x14ac:dyDescent="0.3">
      <c r="A28038" t="s">
        <v>0</v>
      </c>
    </row>
    <row r="28039" spans="1:1" x14ac:dyDescent="0.3">
      <c r="A28039" t="s">
        <v>0</v>
      </c>
    </row>
    <row r="28040" spans="1:1" x14ac:dyDescent="0.3">
      <c r="A28040" t="s">
        <v>0</v>
      </c>
    </row>
    <row r="28041" spans="1:1" x14ac:dyDescent="0.3">
      <c r="A28041" t="s">
        <v>0</v>
      </c>
    </row>
    <row r="28042" spans="1:1" x14ac:dyDescent="0.3">
      <c r="A28042" t="s">
        <v>0</v>
      </c>
    </row>
    <row r="28043" spans="1:1" x14ac:dyDescent="0.3">
      <c r="A28043" t="s">
        <v>0</v>
      </c>
    </row>
    <row r="28044" spans="1:1" x14ac:dyDescent="0.3">
      <c r="A28044" t="s">
        <v>0</v>
      </c>
    </row>
    <row r="28045" spans="1:1" x14ac:dyDescent="0.3">
      <c r="A28045" t="s">
        <v>0</v>
      </c>
    </row>
    <row r="28046" spans="1:1" x14ac:dyDescent="0.3">
      <c r="A28046" t="s">
        <v>0</v>
      </c>
    </row>
    <row r="28047" spans="1:1" x14ac:dyDescent="0.3">
      <c r="A28047" t="s">
        <v>0</v>
      </c>
    </row>
    <row r="28048" spans="1:1" x14ac:dyDescent="0.3">
      <c r="A28048" t="s">
        <v>0</v>
      </c>
    </row>
    <row r="28049" spans="1:1" x14ac:dyDescent="0.3">
      <c r="A28049" t="s">
        <v>0</v>
      </c>
    </row>
    <row r="28050" spans="1:1" x14ac:dyDescent="0.3">
      <c r="A28050" t="s">
        <v>0</v>
      </c>
    </row>
    <row r="28051" spans="1:1" x14ac:dyDescent="0.3">
      <c r="A28051" t="s">
        <v>0</v>
      </c>
    </row>
    <row r="28052" spans="1:1" x14ac:dyDescent="0.3">
      <c r="A28052" t="s">
        <v>0</v>
      </c>
    </row>
    <row r="28053" spans="1:1" x14ac:dyDescent="0.3">
      <c r="A28053" t="s">
        <v>0</v>
      </c>
    </row>
    <row r="28054" spans="1:1" x14ac:dyDescent="0.3">
      <c r="A28054" t="s">
        <v>0</v>
      </c>
    </row>
    <row r="28055" spans="1:1" x14ac:dyDescent="0.3">
      <c r="A28055" t="s">
        <v>0</v>
      </c>
    </row>
    <row r="28056" spans="1:1" x14ac:dyDescent="0.3">
      <c r="A28056" t="s">
        <v>0</v>
      </c>
    </row>
    <row r="28057" spans="1:1" x14ac:dyDescent="0.3">
      <c r="A28057" t="s">
        <v>0</v>
      </c>
    </row>
    <row r="28058" spans="1:1" x14ac:dyDescent="0.3">
      <c r="A28058" t="s">
        <v>0</v>
      </c>
    </row>
    <row r="28059" spans="1:1" x14ac:dyDescent="0.3">
      <c r="A28059" t="s">
        <v>0</v>
      </c>
    </row>
    <row r="28060" spans="1:1" x14ac:dyDescent="0.3">
      <c r="A28060" t="s">
        <v>0</v>
      </c>
    </row>
    <row r="28061" spans="1:1" x14ac:dyDescent="0.3">
      <c r="A28061" t="s">
        <v>0</v>
      </c>
    </row>
    <row r="28062" spans="1:1" x14ac:dyDescent="0.3">
      <c r="A28062" t="s">
        <v>0</v>
      </c>
    </row>
    <row r="28063" spans="1:1" x14ac:dyDescent="0.3">
      <c r="A28063" t="s">
        <v>0</v>
      </c>
    </row>
    <row r="28064" spans="1:1" x14ac:dyDescent="0.3">
      <c r="A28064" t="s">
        <v>0</v>
      </c>
    </row>
    <row r="28065" spans="1:1" x14ac:dyDescent="0.3">
      <c r="A28065" t="s">
        <v>0</v>
      </c>
    </row>
    <row r="28066" spans="1:1" x14ac:dyDescent="0.3">
      <c r="A28066" t="s">
        <v>0</v>
      </c>
    </row>
    <row r="28067" spans="1:1" x14ac:dyDescent="0.3">
      <c r="A28067" t="s">
        <v>0</v>
      </c>
    </row>
    <row r="28068" spans="1:1" x14ac:dyDescent="0.3">
      <c r="A28068" t="s">
        <v>0</v>
      </c>
    </row>
    <row r="28069" spans="1:1" x14ac:dyDescent="0.3">
      <c r="A28069" t="s">
        <v>0</v>
      </c>
    </row>
    <row r="28070" spans="1:1" x14ac:dyDescent="0.3">
      <c r="A28070" t="s">
        <v>0</v>
      </c>
    </row>
    <row r="28071" spans="1:1" x14ac:dyDescent="0.3">
      <c r="A28071" t="s">
        <v>0</v>
      </c>
    </row>
    <row r="28072" spans="1:1" x14ac:dyDescent="0.3">
      <c r="A28072" t="s">
        <v>0</v>
      </c>
    </row>
    <row r="28073" spans="1:1" x14ac:dyDescent="0.3">
      <c r="A28073" t="s">
        <v>0</v>
      </c>
    </row>
    <row r="28074" spans="1:1" x14ac:dyDescent="0.3">
      <c r="A28074" t="s">
        <v>0</v>
      </c>
    </row>
    <row r="28075" spans="1:1" x14ac:dyDescent="0.3">
      <c r="A28075" t="s">
        <v>0</v>
      </c>
    </row>
    <row r="28076" spans="1:1" x14ac:dyDescent="0.3">
      <c r="A28076" t="s">
        <v>0</v>
      </c>
    </row>
    <row r="28077" spans="1:1" x14ac:dyDescent="0.3">
      <c r="A28077" t="s">
        <v>0</v>
      </c>
    </row>
    <row r="28078" spans="1:1" x14ac:dyDescent="0.3">
      <c r="A28078" t="s">
        <v>0</v>
      </c>
    </row>
    <row r="28079" spans="1:1" x14ac:dyDescent="0.3">
      <c r="A28079" t="s">
        <v>0</v>
      </c>
    </row>
    <row r="28080" spans="1:1" x14ac:dyDescent="0.3">
      <c r="A28080" t="s">
        <v>0</v>
      </c>
    </row>
    <row r="28081" spans="1:1" x14ac:dyDescent="0.3">
      <c r="A28081" t="s">
        <v>0</v>
      </c>
    </row>
    <row r="28082" spans="1:1" x14ac:dyDescent="0.3">
      <c r="A28082" t="s">
        <v>0</v>
      </c>
    </row>
    <row r="28083" spans="1:1" x14ac:dyDescent="0.3">
      <c r="A28083" t="s">
        <v>0</v>
      </c>
    </row>
    <row r="28084" spans="1:1" x14ac:dyDescent="0.3">
      <c r="A28084" t="s">
        <v>0</v>
      </c>
    </row>
    <row r="28085" spans="1:1" x14ac:dyDescent="0.3">
      <c r="A28085" t="s">
        <v>0</v>
      </c>
    </row>
    <row r="28086" spans="1:1" x14ac:dyDescent="0.3">
      <c r="A28086" t="s">
        <v>0</v>
      </c>
    </row>
    <row r="28087" spans="1:1" x14ac:dyDescent="0.3">
      <c r="A28087" t="s">
        <v>0</v>
      </c>
    </row>
    <row r="28088" spans="1:1" x14ac:dyDescent="0.3">
      <c r="A28088" t="s">
        <v>0</v>
      </c>
    </row>
    <row r="28089" spans="1:1" x14ac:dyDescent="0.3">
      <c r="A28089" t="s">
        <v>0</v>
      </c>
    </row>
    <row r="28090" spans="1:1" x14ac:dyDescent="0.3">
      <c r="A28090" t="s">
        <v>0</v>
      </c>
    </row>
    <row r="28091" spans="1:1" x14ac:dyDescent="0.3">
      <c r="A28091" t="s">
        <v>0</v>
      </c>
    </row>
    <row r="28092" spans="1:1" x14ac:dyDescent="0.3">
      <c r="A28092" t="s">
        <v>0</v>
      </c>
    </row>
    <row r="28093" spans="1:1" x14ac:dyDescent="0.3">
      <c r="A28093" t="s">
        <v>0</v>
      </c>
    </row>
    <row r="28094" spans="1:1" x14ac:dyDescent="0.3">
      <c r="A28094" t="s">
        <v>0</v>
      </c>
    </row>
    <row r="28095" spans="1:1" x14ac:dyDescent="0.3">
      <c r="A28095" t="s">
        <v>0</v>
      </c>
    </row>
    <row r="28096" spans="1:1" x14ac:dyDescent="0.3">
      <c r="A28096" t="s">
        <v>0</v>
      </c>
    </row>
    <row r="28097" spans="1:1" x14ac:dyDescent="0.3">
      <c r="A28097" t="s">
        <v>0</v>
      </c>
    </row>
    <row r="28098" spans="1:1" x14ac:dyDescent="0.3">
      <c r="A28098" t="s">
        <v>0</v>
      </c>
    </row>
    <row r="28099" spans="1:1" x14ac:dyDescent="0.3">
      <c r="A28099" t="s">
        <v>0</v>
      </c>
    </row>
    <row r="28100" spans="1:1" x14ac:dyDescent="0.3">
      <c r="A28100" t="s">
        <v>0</v>
      </c>
    </row>
    <row r="28101" spans="1:1" x14ac:dyDescent="0.3">
      <c r="A28101" t="s">
        <v>0</v>
      </c>
    </row>
    <row r="28102" spans="1:1" x14ac:dyDescent="0.3">
      <c r="A28102" t="s">
        <v>0</v>
      </c>
    </row>
    <row r="28103" spans="1:1" x14ac:dyDescent="0.3">
      <c r="A28103" t="s">
        <v>0</v>
      </c>
    </row>
    <row r="28104" spans="1:1" x14ac:dyDescent="0.3">
      <c r="A28104" t="s">
        <v>0</v>
      </c>
    </row>
    <row r="28105" spans="1:1" x14ac:dyDescent="0.3">
      <c r="A28105" t="s">
        <v>0</v>
      </c>
    </row>
    <row r="28106" spans="1:1" x14ac:dyDescent="0.3">
      <c r="A28106" t="s">
        <v>0</v>
      </c>
    </row>
    <row r="28107" spans="1:1" x14ac:dyDescent="0.3">
      <c r="A28107" t="s">
        <v>0</v>
      </c>
    </row>
    <row r="28108" spans="1:1" x14ac:dyDescent="0.3">
      <c r="A28108" t="s">
        <v>0</v>
      </c>
    </row>
    <row r="28109" spans="1:1" x14ac:dyDescent="0.3">
      <c r="A28109" t="s">
        <v>0</v>
      </c>
    </row>
    <row r="28110" spans="1:1" x14ac:dyDescent="0.3">
      <c r="A28110" t="s">
        <v>0</v>
      </c>
    </row>
    <row r="28111" spans="1:1" x14ac:dyDescent="0.3">
      <c r="A28111" t="s">
        <v>0</v>
      </c>
    </row>
    <row r="28112" spans="1:1" x14ac:dyDescent="0.3">
      <c r="A28112" t="s">
        <v>0</v>
      </c>
    </row>
    <row r="28113" spans="1:1" x14ac:dyDescent="0.3">
      <c r="A28113" t="s">
        <v>0</v>
      </c>
    </row>
    <row r="28114" spans="1:1" x14ac:dyDescent="0.3">
      <c r="A28114" t="s">
        <v>0</v>
      </c>
    </row>
    <row r="28115" spans="1:1" x14ac:dyDescent="0.3">
      <c r="A28115" t="s">
        <v>0</v>
      </c>
    </row>
    <row r="28116" spans="1:1" x14ac:dyDescent="0.3">
      <c r="A28116" t="s">
        <v>0</v>
      </c>
    </row>
    <row r="28117" spans="1:1" x14ac:dyDescent="0.3">
      <c r="A28117" t="s">
        <v>0</v>
      </c>
    </row>
    <row r="28118" spans="1:1" x14ac:dyDescent="0.3">
      <c r="A28118" t="s">
        <v>0</v>
      </c>
    </row>
    <row r="28119" spans="1:1" x14ac:dyDescent="0.3">
      <c r="A28119" t="s">
        <v>0</v>
      </c>
    </row>
    <row r="28120" spans="1:1" x14ac:dyDescent="0.3">
      <c r="A28120" t="s">
        <v>0</v>
      </c>
    </row>
    <row r="28121" spans="1:1" x14ac:dyDescent="0.3">
      <c r="A28121" t="s">
        <v>0</v>
      </c>
    </row>
    <row r="28122" spans="1:1" x14ac:dyDescent="0.3">
      <c r="A28122" t="s">
        <v>0</v>
      </c>
    </row>
    <row r="28123" spans="1:1" x14ac:dyDescent="0.3">
      <c r="A28123" t="s">
        <v>0</v>
      </c>
    </row>
    <row r="28124" spans="1:1" x14ac:dyDescent="0.3">
      <c r="A28124" t="s">
        <v>0</v>
      </c>
    </row>
    <row r="28125" spans="1:1" x14ac:dyDescent="0.3">
      <c r="A28125" t="s">
        <v>0</v>
      </c>
    </row>
    <row r="28126" spans="1:1" x14ac:dyDescent="0.3">
      <c r="A28126" t="s">
        <v>0</v>
      </c>
    </row>
    <row r="28127" spans="1:1" x14ac:dyDescent="0.3">
      <c r="A28127" t="s">
        <v>0</v>
      </c>
    </row>
    <row r="28128" spans="1:1" x14ac:dyDescent="0.3">
      <c r="A28128" t="s">
        <v>0</v>
      </c>
    </row>
    <row r="28129" spans="1:1" x14ac:dyDescent="0.3">
      <c r="A28129" t="s">
        <v>0</v>
      </c>
    </row>
    <row r="28130" spans="1:1" x14ac:dyDescent="0.3">
      <c r="A28130" t="s">
        <v>0</v>
      </c>
    </row>
    <row r="28131" spans="1:1" x14ac:dyDescent="0.3">
      <c r="A28131" t="s">
        <v>0</v>
      </c>
    </row>
    <row r="28132" spans="1:1" x14ac:dyDescent="0.3">
      <c r="A28132" t="s">
        <v>0</v>
      </c>
    </row>
    <row r="28133" spans="1:1" x14ac:dyDescent="0.3">
      <c r="A28133" t="s">
        <v>0</v>
      </c>
    </row>
    <row r="28134" spans="1:1" x14ac:dyDescent="0.3">
      <c r="A28134" t="s">
        <v>0</v>
      </c>
    </row>
    <row r="28135" spans="1:1" x14ac:dyDescent="0.3">
      <c r="A28135" t="s">
        <v>0</v>
      </c>
    </row>
    <row r="28136" spans="1:1" x14ac:dyDescent="0.3">
      <c r="A28136" t="s">
        <v>0</v>
      </c>
    </row>
    <row r="28137" spans="1:1" x14ac:dyDescent="0.3">
      <c r="A28137" t="s">
        <v>0</v>
      </c>
    </row>
    <row r="28138" spans="1:1" x14ac:dyDescent="0.3">
      <c r="A28138" t="s">
        <v>0</v>
      </c>
    </row>
    <row r="28139" spans="1:1" x14ac:dyDescent="0.3">
      <c r="A28139" t="s">
        <v>0</v>
      </c>
    </row>
    <row r="28140" spans="1:1" x14ac:dyDescent="0.3">
      <c r="A28140" t="s">
        <v>0</v>
      </c>
    </row>
    <row r="28141" spans="1:1" x14ac:dyDescent="0.3">
      <c r="A28141" t="s">
        <v>0</v>
      </c>
    </row>
    <row r="28142" spans="1:1" x14ac:dyDescent="0.3">
      <c r="A28142" t="s">
        <v>0</v>
      </c>
    </row>
    <row r="28143" spans="1:1" x14ac:dyDescent="0.3">
      <c r="A28143" t="s">
        <v>0</v>
      </c>
    </row>
    <row r="28144" spans="1:1" x14ac:dyDescent="0.3">
      <c r="A28144" t="s">
        <v>0</v>
      </c>
    </row>
    <row r="28145" spans="1:1" x14ac:dyDescent="0.3">
      <c r="A28145" t="s">
        <v>0</v>
      </c>
    </row>
    <row r="28146" spans="1:1" x14ac:dyDescent="0.3">
      <c r="A28146" t="s">
        <v>0</v>
      </c>
    </row>
    <row r="28147" spans="1:1" x14ac:dyDescent="0.3">
      <c r="A28147" t="s">
        <v>0</v>
      </c>
    </row>
    <row r="28148" spans="1:1" x14ac:dyDescent="0.3">
      <c r="A28148" t="s">
        <v>0</v>
      </c>
    </row>
    <row r="28149" spans="1:1" x14ac:dyDescent="0.3">
      <c r="A28149" t="s">
        <v>0</v>
      </c>
    </row>
    <row r="28150" spans="1:1" x14ac:dyDescent="0.3">
      <c r="A28150" t="s">
        <v>0</v>
      </c>
    </row>
    <row r="28151" spans="1:1" x14ac:dyDescent="0.3">
      <c r="A28151" t="s">
        <v>0</v>
      </c>
    </row>
    <row r="28152" spans="1:1" x14ac:dyDescent="0.3">
      <c r="A28152" t="s">
        <v>0</v>
      </c>
    </row>
    <row r="28153" spans="1:1" x14ac:dyDescent="0.3">
      <c r="A28153" t="s">
        <v>0</v>
      </c>
    </row>
    <row r="28154" spans="1:1" x14ac:dyDescent="0.3">
      <c r="A28154" t="s">
        <v>0</v>
      </c>
    </row>
    <row r="28155" spans="1:1" x14ac:dyDescent="0.3">
      <c r="A28155" t="s">
        <v>0</v>
      </c>
    </row>
    <row r="28156" spans="1:1" x14ac:dyDescent="0.3">
      <c r="A28156" t="s">
        <v>0</v>
      </c>
    </row>
    <row r="28157" spans="1:1" x14ac:dyDescent="0.3">
      <c r="A28157" t="s">
        <v>0</v>
      </c>
    </row>
    <row r="28158" spans="1:1" x14ac:dyDescent="0.3">
      <c r="A28158" t="s">
        <v>0</v>
      </c>
    </row>
    <row r="28159" spans="1:1" x14ac:dyDescent="0.3">
      <c r="A28159" t="s">
        <v>0</v>
      </c>
    </row>
    <row r="28160" spans="1:1" x14ac:dyDescent="0.3">
      <c r="A28160" t="s">
        <v>0</v>
      </c>
    </row>
    <row r="28161" spans="1:1" x14ac:dyDescent="0.3">
      <c r="A28161" t="s">
        <v>0</v>
      </c>
    </row>
    <row r="28162" spans="1:1" x14ac:dyDescent="0.3">
      <c r="A28162" t="s">
        <v>0</v>
      </c>
    </row>
    <row r="28163" spans="1:1" x14ac:dyDescent="0.3">
      <c r="A28163" t="s">
        <v>0</v>
      </c>
    </row>
    <row r="28164" spans="1:1" x14ac:dyDescent="0.3">
      <c r="A28164" t="s">
        <v>0</v>
      </c>
    </row>
    <row r="28165" spans="1:1" x14ac:dyDescent="0.3">
      <c r="A28165" t="s">
        <v>0</v>
      </c>
    </row>
    <row r="28166" spans="1:1" x14ac:dyDescent="0.3">
      <c r="A28166" t="s">
        <v>0</v>
      </c>
    </row>
    <row r="28167" spans="1:1" x14ac:dyDescent="0.3">
      <c r="A28167" t="s">
        <v>0</v>
      </c>
    </row>
    <row r="28168" spans="1:1" x14ac:dyDescent="0.3">
      <c r="A28168" t="s">
        <v>0</v>
      </c>
    </row>
    <row r="28169" spans="1:1" x14ac:dyDescent="0.3">
      <c r="A28169" t="s">
        <v>0</v>
      </c>
    </row>
    <row r="28170" spans="1:1" x14ac:dyDescent="0.3">
      <c r="A28170" t="s">
        <v>0</v>
      </c>
    </row>
    <row r="28171" spans="1:1" x14ac:dyDescent="0.3">
      <c r="A28171" t="s">
        <v>0</v>
      </c>
    </row>
    <row r="28172" spans="1:1" x14ac:dyDescent="0.3">
      <c r="A28172" t="s">
        <v>0</v>
      </c>
    </row>
    <row r="28173" spans="1:1" x14ac:dyDescent="0.3">
      <c r="A28173" t="s">
        <v>0</v>
      </c>
    </row>
    <row r="28174" spans="1:1" x14ac:dyDescent="0.3">
      <c r="A28174" t="s">
        <v>0</v>
      </c>
    </row>
    <row r="28175" spans="1:1" x14ac:dyDescent="0.3">
      <c r="A28175" t="s">
        <v>0</v>
      </c>
    </row>
    <row r="28176" spans="1:1" x14ac:dyDescent="0.3">
      <c r="A28176" t="s">
        <v>0</v>
      </c>
    </row>
    <row r="28177" spans="1:1" x14ac:dyDescent="0.3">
      <c r="A28177" t="s">
        <v>0</v>
      </c>
    </row>
    <row r="28178" spans="1:1" x14ac:dyDescent="0.3">
      <c r="A28178" t="s">
        <v>0</v>
      </c>
    </row>
    <row r="28179" spans="1:1" x14ac:dyDescent="0.3">
      <c r="A28179" t="s">
        <v>0</v>
      </c>
    </row>
    <row r="28180" spans="1:1" x14ac:dyDescent="0.3">
      <c r="A28180" t="s">
        <v>0</v>
      </c>
    </row>
    <row r="28181" spans="1:1" x14ac:dyDescent="0.3">
      <c r="A28181" t="s">
        <v>0</v>
      </c>
    </row>
    <row r="28182" spans="1:1" x14ac:dyDescent="0.3">
      <c r="A28182" t="s">
        <v>0</v>
      </c>
    </row>
    <row r="28183" spans="1:1" x14ac:dyDescent="0.3">
      <c r="A28183" t="s">
        <v>0</v>
      </c>
    </row>
    <row r="28184" spans="1:1" x14ac:dyDescent="0.3">
      <c r="A28184" t="s">
        <v>0</v>
      </c>
    </row>
    <row r="28185" spans="1:1" x14ac:dyDescent="0.3">
      <c r="A28185" t="s">
        <v>0</v>
      </c>
    </row>
    <row r="28186" spans="1:1" x14ac:dyDescent="0.3">
      <c r="A28186" t="s">
        <v>0</v>
      </c>
    </row>
    <row r="28187" spans="1:1" x14ac:dyDescent="0.3">
      <c r="A28187" t="s">
        <v>0</v>
      </c>
    </row>
    <row r="28188" spans="1:1" x14ac:dyDescent="0.3">
      <c r="A28188" t="s">
        <v>0</v>
      </c>
    </row>
    <row r="28189" spans="1:1" x14ac:dyDescent="0.3">
      <c r="A28189" t="s">
        <v>0</v>
      </c>
    </row>
    <row r="28190" spans="1:1" x14ac:dyDescent="0.3">
      <c r="A28190" t="s">
        <v>0</v>
      </c>
    </row>
    <row r="28191" spans="1:1" x14ac:dyDescent="0.3">
      <c r="A28191" t="s">
        <v>0</v>
      </c>
    </row>
    <row r="28192" spans="1:1" x14ac:dyDescent="0.3">
      <c r="A28192" t="s">
        <v>0</v>
      </c>
    </row>
    <row r="28193" spans="1:1" x14ac:dyDescent="0.3">
      <c r="A28193" t="s">
        <v>0</v>
      </c>
    </row>
    <row r="28194" spans="1:1" x14ac:dyDescent="0.3">
      <c r="A28194" t="s">
        <v>0</v>
      </c>
    </row>
    <row r="28195" spans="1:1" x14ac:dyDescent="0.3">
      <c r="A28195" t="s">
        <v>0</v>
      </c>
    </row>
    <row r="28196" spans="1:1" x14ac:dyDescent="0.3">
      <c r="A28196" t="s">
        <v>0</v>
      </c>
    </row>
    <row r="28197" spans="1:1" x14ac:dyDescent="0.3">
      <c r="A28197" t="s">
        <v>0</v>
      </c>
    </row>
    <row r="28198" spans="1:1" x14ac:dyDescent="0.3">
      <c r="A28198" t="s">
        <v>0</v>
      </c>
    </row>
    <row r="28199" spans="1:1" x14ac:dyDescent="0.3">
      <c r="A28199" t="s">
        <v>0</v>
      </c>
    </row>
    <row r="28200" spans="1:1" x14ac:dyDescent="0.3">
      <c r="A28200" t="s">
        <v>0</v>
      </c>
    </row>
    <row r="28201" spans="1:1" x14ac:dyDescent="0.3">
      <c r="A28201" t="s">
        <v>0</v>
      </c>
    </row>
    <row r="28202" spans="1:1" x14ac:dyDescent="0.3">
      <c r="A28202" t="s">
        <v>0</v>
      </c>
    </row>
    <row r="28203" spans="1:1" x14ac:dyDescent="0.3">
      <c r="A28203" t="s">
        <v>0</v>
      </c>
    </row>
    <row r="28204" spans="1:1" x14ac:dyDescent="0.3">
      <c r="A28204" t="s">
        <v>0</v>
      </c>
    </row>
    <row r="28205" spans="1:1" x14ac:dyDescent="0.3">
      <c r="A28205" t="s">
        <v>0</v>
      </c>
    </row>
    <row r="28206" spans="1:1" x14ac:dyDescent="0.3">
      <c r="A28206" t="s">
        <v>0</v>
      </c>
    </row>
    <row r="28207" spans="1:1" x14ac:dyDescent="0.3">
      <c r="A28207" t="s">
        <v>0</v>
      </c>
    </row>
    <row r="28208" spans="1:1" x14ac:dyDescent="0.3">
      <c r="A28208" t="s">
        <v>0</v>
      </c>
    </row>
    <row r="28209" spans="1:1" x14ac:dyDescent="0.3">
      <c r="A28209" t="s">
        <v>0</v>
      </c>
    </row>
    <row r="28210" spans="1:1" x14ac:dyDescent="0.3">
      <c r="A28210" t="s">
        <v>0</v>
      </c>
    </row>
    <row r="28211" spans="1:1" x14ac:dyDescent="0.3">
      <c r="A28211" t="s">
        <v>0</v>
      </c>
    </row>
    <row r="28212" spans="1:1" x14ac:dyDescent="0.3">
      <c r="A28212" t="s">
        <v>0</v>
      </c>
    </row>
    <row r="28213" spans="1:1" x14ac:dyDescent="0.3">
      <c r="A28213" t="s">
        <v>0</v>
      </c>
    </row>
    <row r="28214" spans="1:1" x14ac:dyDescent="0.3">
      <c r="A28214" t="s">
        <v>0</v>
      </c>
    </row>
    <row r="28215" spans="1:1" x14ac:dyDescent="0.3">
      <c r="A28215" t="s">
        <v>0</v>
      </c>
    </row>
    <row r="28216" spans="1:1" x14ac:dyDescent="0.3">
      <c r="A28216" t="s">
        <v>0</v>
      </c>
    </row>
    <row r="28217" spans="1:1" x14ac:dyDescent="0.3">
      <c r="A28217" t="s">
        <v>0</v>
      </c>
    </row>
    <row r="28218" spans="1:1" x14ac:dyDescent="0.3">
      <c r="A28218" t="s">
        <v>0</v>
      </c>
    </row>
    <row r="28219" spans="1:1" x14ac:dyDescent="0.3">
      <c r="A28219" t="s">
        <v>0</v>
      </c>
    </row>
    <row r="28220" spans="1:1" x14ac:dyDescent="0.3">
      <c r="A28220" t="s">
        <v>0</v>
      </c>
    </row>
    <row r="28221" spans="1:1" x14ac:dyDescent="0.3">
      <c r="A28221" t="s">
        <v>0</v>
      </c>
    </row>
    <row r="28222" spans="1:1" x14ac:dyDescent="0.3">
      <c r="A28222" t="s">
        <v>0</v>
      </c>
    </row>
    <row r="28223" spans="1:1" x14ac:dyDescent="0.3">
      <c r="A28223" t="s">
        <v>0</v>
      </c>
    </row>
    <row r="28224" spans="1:1" x14ac:dyDescent="0.3">
      <c r="A28224" t="s">
        <v>0</v>
      </c>
    </row>
    <row r="28225" spans="1:1" x14ac:dyDescent="0.3">
      <c r="A28225" t="s">
        <v>0</v>
      </c>
    </row>
    <row r="28226" spans="1:1" x14ac:dyDescent="0.3">
      <c r="A28226" t="s">
        <v>0</v>
      </c>
    </row>
    <row r="28227" spans="1:1" x14ac:dyDescent="0.3">
      <c r="A28227" t="s">
        <v>0</v>
      </c>
    </row>
    <row r="28228" spans="1:1" x14ac:dyDescent="0.3">
      <c r="A28228" t="s">
        <v>0</v>
      </c>
    </row>
    <row r="28229" spans="1:1" x14ac:dyDescent="0.3">
      <c r="A28229" t="s">
        <v>0</v>
      </c>
    </row>
    <row r="28230" spans="1:1" x14ac:dyDescent="0.3">
      <c r="A28230" t="s">
        <v>0</v>
      </c>
    </row>
    <row r="28231" spans="1:1" x14ac:dyDescent="0.3">
      <c r="A28231" t="s">
        <v>0</v>
      </c>
    </row>
    <row r="28232" spans="1:1" x14ac:dyDescent="0.3">
      <c r="A28232" t="s">
        <v>0</v>
      </c>
    </row>
    <row r="28233" spans="1:1" x14ac:dyDescent="0.3">
      <c r="A28233" t="s">
        <v>0</v>
      </c>
    </row>
    <row r="28234" spans="1:1" x14ac:dyDescent="0.3">
      <c r="A28234" t="s">
        <v>0</v>
      </c>
    </row>
    <row r="28235" spans="1:1" x14ac:dyDescent="0.3">
      <c r="A28235" t="s">
        <v>0</v>
      </c>
    </row>
    <row r="28236" spans="1:1" x14ac:dyDescent="0.3">
      <c r="A28236" t="s">
        <v>0</v>
      </c>
    </row>
    <row r="28237" spans="1:1" x14ac:dyDescent="0.3">
      <c r="A28237" t="s">
        <v>0</v>
      </c>
    </row>
    <row r="28238" spans="1:1" x14ac:dyDescent="0.3">
      <c r="A28238" t="s">
        <v>0</v>
      </c>
    </row>
    <row r="28239" spans="1:1" x14ac:dyDescent="0.3">
      <c r="A28239" t="s">
        <v>0</v>
      </c>
    </row>
    <row r="28240" spans="1:1" x14ac:dyDescent="0.3">
      <c r="A28240" t="s">
        <v>0</v>
      </c>
    </row>
    <row r="28241" spans="1:1" x14ac:dyDescent="0.3">
      <c r="A28241" t="s">
        <v>0</v>
      </c>
    </row>
    <row r="28242" spans="1:1" x14ac:dyDescent="0.3">
      <c r="A28242" t="s">
        <v>0</v>
      </c>
    </row>
    <row r="28243" spans="1:1" x14ac:dyDescent="0.3">
      <c r="A28243" t="s">
        <v>0</v>
      </c>
    </row>
    <row r="28244" spans="1:1" x14ac:dyDescent="0.3">
      <c r="A28244" t="s">
        <v>0</v>
      </c>
    </row>
    <row r="28245" spans="1:1" x14ac:dyDescent="0.3">
      <c r="A28245" t="s">
        <v>0</v>
      </c>
    </row>
    <row r="28246" spans="1:1" x14ac:dyDescent="0.3">
      <c r="A28246" t="s">
        <v>0</v>
      </c>
    </row>
    <row r="28247" spans="1:1" x14ac:dyDescent="0.3">
      <c r="A28247" t="s">
        <v>0</v>
      </c>
    </row>
    <row r="28248" spans="1:1" x14ac:dyDescent="0.3">
      <c r="A28248" t="s">
        <v>0</v>
      </c>
    </row>
    <row r="28249" spans="1:1" x14ac:dyDescent="0.3">
      <c r="A28249" t="s">
        <v>0</v>
      </c>
    </row>
    <row r="28250" spans="1:1" x14ac:dyDescent="0.3">
      <c r="A28250" t="s">
        <v>0</v>
      </c>
    </row>
    <row r="28251" spans="1:1" x14ac:dyDescent="0.3">
      <c r="A28251" t="s">
        <v>0</v>
      </c>
    </row>
    <row r="28252" spans="1:1" x14ac:dyDescent="0.3">
      <c r="A28252" t="s">
        <v>0</v>
      </c>
    </row>
    <row r="28253" spans="1:1" x14ac:dyDescent="0.3">
      <c r="A28253" t="s">
        <v>0</v>
      </c>
    </row>
    <row r="28254" spans="1:1" x14ac:dyDescent="0.3">
      <c r="A28254" t="s">
        <v>0</v>
      </c>
    </row>
    <row r="28255" spans="1:1" x14ac:dyDescent="0.3">
      <c r="A28255" t="s">
        <v>0</v>
      </c>
    </row>
    <row r="28256" spans="1:1" x14ac:dyDescent="0.3">
      <c r="A28256" t="s">
        <v>0</v>
      </c>
    </row>
    <row r="28257" spans="1:1" x14ac:dyDescent="0.3">
      <c r="A28257" t="s">
        <v>0</v>
      </c>
    </row>
    <row r="28258" spans="1:1" x14ac:dyDescent="0.3">
      <c r="A28258" t="s">
        <v>0</v>
      </c>
    </row>
    <row r="28259" spans="1:1" x14ac:dyDescent="0.3">
      <c r="A28259" t="s">
        <v>0</v>
      </c>
    </row>
    <row r="28260" spans="1:1" x14ac:dyDescent="0.3">
      <c r="A28260" t="s">
        <v>0</v>
      </c>
    </row>
    <row r="28261" spans="1:1" x14ac:dyDescent="0.3">
      <c r="A28261" t="s">
        <v>0</v>
      </c>
    </row>
    <row r="28262" spans="1:1" x14ac:dyDescent="0.3">
      <c r="A28262" t="s">
        <v>0</v>
      </c>
    </row>
    <row r="28263" spans="1:1" x14ac:dyDescent="0.3">
      <c r="A28263" t="s">
        <v>0</v>
      </c>
    </row>
    <row r="28264" spans="1:1" x14ac:dyDescent="0.3">
      <c r="A28264" t="s">
        <v>0</v>
      </c>
    </row>
    <row r="28265" spans="1:1" x14ac:dyDescent="0.3">
      <c r="A28265" t="s">
        <v>0</v>
      </c>
    </row>
    <row r="28266" spans="1:1" x14ac:dyDescent="0.3">
      <c r="A28266" t="s">
        <v>0</v>
      </c>
    </row>
    <row r="28267" spans="1:1" x14ac:dyDescent="0.3">
      <c r="A28267" t="s">
        <v>0</v>
      </c>
    </row>
    <row r="28268" spans="1:1" x14ac:dyDescent="0.3">
      <c r="A28268" t="s">
        <v>0</v>
      </c>
    </row>
    <row r="28269" spans="1:1" x14ac:dyDescent="0.3">
      <c r="A28269" t="s">
        <v>0</v>
      </c>
    </row>
    <row r="28270" spans="1:1" x14ac:dyDescent="0.3">
      <c r="A28270" t="s">
        <v>0</v>
      </c>
    </row>
    <row r="28271" spans="1:1" x14ac:dyDescent="0.3">
      <c r="A28271" t="s">
        <v>0</v>
      </c>
    </row>
    <row r="28272" spans="1:1" x14ac:dyDescent="0.3">
      <c r="A28272" t="s">
        <v>0</v>
      </c>
    </row>
    <row r="28273" spans="1:1" x14ac:dyDescent="0.3">
      <c r="A28273" t="s">
        <v>0</v>
      </c>
    </row>
    <row r="28274" spans="1:1" x14ac:dyDescent="0.3">
      <c r="A28274" t="s">
        <v>0</v>
      </c>
    </row>
    <row r="28275" spans="1:1" x14ac:dyDescent="0.3">
      <c r="A28275" t="s">
        <v>0</v>
      </c>
    </row>
    <row r="28276" spans="1:1" x14ac:dyDescent="0.3">
      <c r="A28276" t="s">
        <v>0</v>
      </c>
    </row>
    <row r="28277" spans="1:1" x14ac:dyDescent="0.3">
      <c r="A28277" t="s">
        <v>0</v>
      </c>
    </row>
    <row r="28278" spans="1:1" x14ac:dyDescent="0.3">
      <c r="A28278" t="s">
        <v>0</v>
      </c>
    </row>
    <row r="28279" spans="1:1" x14ac:dyDescent="0.3">
      <c r="A28279" t="s">
        <v>0</v>
      </c>
    </row>
    <row r="28280" spans="1:1" x14ac:dyDescent="0.3">
      <c r="A28280" t="s">
        <v>0</v>
      </c>
    </row>
    <row r="28281" spans="1:1" x14ac:dyDescent="0.3">
      <c r="A28281" t="s">
        <v>0</v>
      </c>
    </row>
    <row r="28282" spans="1:1" x14ac:dyDescent="0.3">
      <c r="A28282" t="s">
        <v>0</v>
      </c>
    </row>
    <row r="28283" spans="1:1" x14ac:dyDescent="0.3">
      <c r="A28283" t="s">
        <v>0</v>
      </c>
    </row>
    <row r="28284" spans="1:1" x14ac:dyDescent="0.3">
      <c r="A28284" t="s">
        <v>0</v>
      </c>
    </row>
    <row r="28285" spans="1:1" x14ac:dyDescent="0.3">
      <c r="A28285" t="s">
        <v>0</v>
      </c>
    </row>
    <row r="28286" spans="1:1" x14ac:dyDescent="0.3">
      <c r="A28286" t="s">
        <v>0</v>
      </c>
    </row>
    <row r="28287" spans="1:1" x14ac:dyDescent="0.3">
      <c r="A28287" t="s">
        <v>0</v>
      </c>
    </row>
    <row r="28288" spans="1:1" x14ac:dyDescent="0.3">
      <c r="A28288" t="s">
        <v>0</v>
      </c>
    </row>
    <row r="28289" spans="1:1" x14ac:dyDescent="0.3">
      <c r="A28289" t="s">
        <v>0</v>
      </c>
    </row>
    <row r="28290" spans="1:1" x14ac:dyDescent="0.3">
      <c r="A28290" t="s">
        <v>0</v>
      </c>
    </row>
    <row r="28291" spans="1:1" x14ac:dyDescent="0.3">
      <c r="A28291" t="s">
        <v>0</v>
      </c>
    </row>
    <row r="28292" spans="1:1" x14ac:dyDescent="0.3">
      <c r="A28292" t="s">
        <v>0</v>
      </c>
    </row>
    <row r="28293" spans="1:1" x14ac:dyDescent="0.3">
      <c r="A28293" t="s">
        <v>0</v>
      </c>
    </row>
    <row r="28294" spans="1:1" x14ac:dyDescent="0.3">
      <c r="A28294" t="s">
        <v>0</v>
      </c>
    </row>
    <row r="28295" spans="1:1" x14ac:dyDescent="0.3">
      <c r="A28295" t="s">
        <v>0</v>
      </c>
    </row>
    <row r="28296" spans="1:1" x14ac:dyDescent="0.3">
      <c r="A28296" t="s">
        <v>0</v>
      </c>
    </row>
    <row r="28297" spans="1:1" x14ac:dyDescent="0.3">
      <c r="A28297" t="s">
        <v>0</v>
      </c>
    </row>
    <row r="28298" spans="1:1" x14ac:dyDescent="0.3">
      <c r="A28298" t="s">
        <v>0</v>
      </c>
    </row>
    <row r="28299" spans="1:1" x14ac:dyDescent="0.3">
      <c r="A28299" t="s">
        <v>0</v>
      </c>
    </row>
    <row r="28300" spans="1:1" x14ac:dyDescent="0.3">
      <c r="A28300" t="s">
        <v>0</v>
      </c>
    </row>
    <row r="28301" spans="1:1" x14ac:dyDescent="0.3">
      <c r="A28301" t="s">
        <v>0</v>
      </c>
    </row>
    <row r="28302" spans="1:1" x14ac:dyDescent="0.3">
      <c r="A28302" t="s">
        <v>0</v>
      </c>
    </row>
    <row r="28303" spans="1:1" x14ac:dyDescent="0.3">
      <c r="A28303" t="s">
        <v>0</v>
      </c>
    </row>
    <row r="28304" spans="1:1" x14ac:dyDescent="0.3">
      <c r="A28304" t="s">
        <v>0</v>
      </c>
    </row>
    <row r="28305" spans="1:1" x14ac:dyDescent="0.3">
      <c r="A28305" t="s">
        <v>0</v>
      </c>
    </row>
    <row r="28306" spans="1:1" x14ac:dyDescent="0.3">
      <c r="A28306" t="s">
        <v>0</v>
      </c>
    </row>
    <row r="28307" spans="1:1" x14ac:dyDescent="0.3">
      <c r="A28307" t="s">
        <v>0</v>
      </c>
    </row>
    <row r="28308" spans="1:1" x14ac:dyDescent="0.3">
      <c r="A28308" t="s">
        <v>0</v>
      </c>
    </row>
    <row r="28309" spans="1:1" x14ac:dyDescent="0.3">
      <c r="A28309" t="s">
        <v>0</v>
      </c>
    </row>
    <row r="28310" spans="1:1" x14ac:dyDescent="0.3">
      <c r="A28310" t="s">
        <v>0</v>
      </c>
    </row>
    <row r="28311" spans="1:1" x14ac:dyDescent="0.3">
      <c r="A28311" t="s">
        <v>0</v>
      </c>
    </row>
    <row r="28312" spans="1:1" x14ac:dyDescent="0.3">
      <c r="A28312" t="s">
        <v>0</v>
      </c>
    </row>
    <row r="28313" spans="1:1" x14ac:dyDescent="0.3">
      <c r="A28313" t="s">
        <v>0</v>
      </c>
    </row>
    <row r="28314" spans="1:1" x14ac:dyDescent="0.3">
      <c r="A28314" t="s">
        <v>0</v>
      </c>
    </row>
    <row r="28315" spans="1:1" x14ac:dyDescent="0.3">
      <c r="A28315" t="s">
        <v>0</v>
      </c>
    </row>
    <row r="28316" spans="1:1" x14ac:dyDescent="0.3">
      <c r="A28316" t="s">
        <v>0</v>
      </c>
    </row>
    <row r="28317" spans="1:1" x14ac:dyDescent="0.3">
      <c r="A28317" t="s">
        <v>0</v>
      </c>
    </row>
    <row r="28318" spans="1:1" x14ac:dyDescent="0.3">
      <c r="A28318" t="s">
        <v>0</v>
      </c>
    </row>
    <row r="28319" spans="1:1" x14ac:dyDescent="0.3">
      <c r="A28319" t="s">
        <v>0</v>
      </c>
    </row>
    <row r="28320" spans="1:1" x14ac:dyDescent="0.3">
      <c r="A28320" t="s">
        <v>0</v>
      </c>
    </row>
    <row r="28321" spans="1:1" x14ac:dyDescent="0.3">
      <c r="A28321" t="s">
        <v>0</v>
      </c>
    </row>
    <row r="28322" spans="1:1" x14ac:dyDescent="0.3">
      <c r="A28322" t="s">
        <v>0</v>
      </c>
    </row>
    <row r="28323" spans="1:1" x14ac:dyDescent="0.3">
      <c r="A28323" t="s">
        <v>0</v>
      </c>
    </row>
    <row r="28324" spans="1:1" x14ac:dyDescent="0.3">
      <c r="A28324" t="s">
        <v>0</v>
      </c>
    </row>
    <row r="28325" spans="1:1" x14ac:dyDescent="0.3">
      <c r="A28325" t="s">
        <v>0</v>
      </c>
    </row>
    <row r="28326" spans="1:1" x14ac:dyDescent="0.3">
      <c r="A28326" t="s">
        <v>0</v>
      </c>
    </row>
    <row r="28327" spans="1:1" x14ac:dyDescent="0.3">
      <c r="A28327" t="s">
        <v>0</v>
      </c>
    </row>
    <row r="28328" spans="1:1" x14ac:dyDescent="0.3">
      <c r="A28328" t="s">
        <v>0</v>
      </c>
    </row>
    <row r="28329" spans="1:1" x14ac:dyDescent="0.3">
      <c r="A28329" t="s">
        <v>0</v>
      </c>
    </row>
    <row r="28330" spans="1:1" x14ac:dyDescent="0.3">
      <c r="A28330" t="s">
        <v>0</v>
      </c>
    </row>
    <row r="28331" spans="1:1" x14ac:dyDescent="0.3">
      <c r="A28331" t="s">
        <v>0</v>
      </c>
    </row>
    <row r="28332" spans="1:1" x14ac:dyDescent="0.3">
      <c r="A28332" t="s">
        <v>0</v>
      </c>
    </row>
    <row r="28333" spans="1:1" x14ac:dyDescent="0.3">
      <c r="A28333" t="s">
        <v>0</v>
      </c>
    </row>
    <row r="28334" spans="1:1" x14ac:dyDescent="0.3">
      <c r="A28334" t="s">
        <v>0</v>
      </c>
    </row>
    <row r="28335" spans="1:1" x14ac:dyDescent="0.3">
      <c r="A28335" t="s">
        <v>0</v>
      </c>
    </row>
    <row r="28336" spans="1:1" x14ac:dyDescent="0.3">
      <c r="A28336" t="s">
        <v>0</v>
      </c>
    </row>
    <row r="28337" spans="1:1" x14ac:dyDescent="0.3">
      <c r="A28337" t="s">
        <v>0</v>
      </c>
    </row>
    <row r="28338" spans="1:1" x14ac:dyDescent="0.3">
      <c r="A28338" t="s">
        <v>0</v>
      </c>
    </row>
    <row r="28339" spans="1:1" x14ac:dyDescent="0.3">
      <c r="A28339" t="s">
        <v>0</v>
      </c>
    </row>
    <row r="28340" spans="1:1" x14ac:dyDescent="0.3">
      <c r="A28340" t="s">
        <v>0</v>
      </c>
    </row>
    <row r="28341" spans="1:1" x14ac:dyDescent="0.3">
      <c r="A28341" t="s">
        <v>0</v>
      </c>
    </row>
    <row r="28342" spans="1:1" x14ac:dyDescent="0.3">
      <c r="A28342" t="s">
        <v>0</v>
      </c>
    </row>
    <row r="28343" spans="1:1" x14ac:dyDescent="0.3">
      <c r="A28343" t="s">
        <v>0</v>
      </c>
    </row>
    <row r="28344" spans="1:1" x14ac:dyDescent="0.3">
      <c r="A28344" t="s">
        <v>0</v>
      </c>
    </row>
    <row r="28345" spans="1:1" x14ac:dyDescent="0.3">
      <c r="A28345" t="s">
        <v>0</v>
      </c>
    </row>
    <row r="28346" spans="1:1" x14ac:dyDescent="0.3">
      <c r="A28346" t="s">
        <v>0</v>
      </c>
    </row>
    <row r="28347" spans="1:1" x14ac:dyDescent="0.3">
      <c r="A28347" t="s">
        <v>0</v>
      </c>
    </row>
    <row r="28348" spans="1:1" x14ac:dyDescent="0.3">
      <c r="A28348" t="s">
        <v>0</v>
      </c>
    </row>
    <row r="28349" spans="1:1" x14ac:dyDescent="0.3">
      <c r="A28349" t="s">
        <v>0</v>
      </c>
    </row>
    <row r="28350" spans="1:1" x14ac:dyDescent="0.3">
      <c r="A28350" t="s">
        <v>0</v>
      </c>
    </row>
    <row r="28351" spans="1:1" x14ac:dyDescent="0.3">
      <c r="A28351" t="s">
        <v>0</v>
      </c>
    </row>
    <row r="28352" spans="1:1" x14ac:dyDescent="0.3">
      <c r="A28352" t="s">
        <v>0</v>
      </c>
    </row>
    <row r="28353" spans="1:1" x14ac:dyDescent="0.3">
      <c r="A28353" t="s">
        <v>0</v>
      </c>
    </row>
    <row r="28354" spans="1:1" x14ac:dyDescent="0.3">
      <c r="A28354" t="s">
        <v>0</v>
      </c>
    </row>
    <row r="28355" spans="1:1" x14ac:dyDescent="0.3">
      <c r="A28355" t="s">
        <v>0</v>
      </c>
    </row>
    <row r="28356" spans="1:1" x14ac:dyDescent="0.3">
      <c r="A28356" t="s">
        <v>0</v>
      </c>
    </row>
    <row r="28357" spans="1:1" x14ac:dyDescent="0.3">
      <c r="A28357" t="s">
        <v>0</v>
      </c>
    </row>
    <row r="28358" spans="1:1" x14ac:dyDescent="0.3">
      <c r="A28358" t="s">
        <v>0</v>
      </c>
    </row>
    <row r="28359" spans="1:1" x14ac:dyDescent="0.3">
      <c r="A28359" t="s">
        <v>0</v>
      </c>
    </row>
    <row r="28360" spans="1:1" x14ac:dyDescent="0.3">
      <c r="A28360" t="s">
        <v>0</v>
      </c>
    </row>
    <row r="28361" spans="1:1" x14ac:dyDescent="0.3">
      <c r="A28361" t="s">
        <v>0</v>
      </c>
    </row>
    <row r="28362" spans="1:1" x14ac:dyDescent="0.3">
      <c r="A28362" t="s">
        <v>0</v>
      </c>
    </row>
    <row r="28363" spans="1:1" x14ac:dyDescent="0.3">
      <c r="A28363" t="s">
        <v>0</v>
      </c>
    </row>
    <row r="28364" spans="1:1" x14ac:dyDescent="0.3">
      <c r="A28364" t="s">
        <v>0</v>
      </c>
    </row>
    <row r="28365" spans="1:1" x14ac:dyDescent="0.3">
      <c r="A28365" t="s">
        <v>0</v>
      </c>
    </row>
    <row r="28366" spans="1:1" x14ac:dyDescent="0.3">
      <c r="A28366" t="s">
        <v>0</v>
      </c>
    </row>
    <row r="28367" spans="1:1" x14ac:dyDescent="0.3">
      <c r="A28367" t="s">
        <v>0</v>
      </c>
    </row>
    <row r="28368" spans="1:1" x14ac:dyDescent="0.3">
      <c r="A28368" t="s">
        <v>0</v>
      </c>
    </row>
    <row r="28369" spans="1:1" x14ac:dyDescent="0.3">
      <c r="A28369" t="s">
        <v>0</v>
      </c>
    </row>
    <row r="28370" spans="1:1" x14ac:dyDescent="0.3">
      <c r="A28370" t="s">
        <v>0</v>
      </c>
    </row>
    <row r="28371" spans="1:1" x14ac:dyDescent="0.3">
      <c r="A28371" t="s">
        <v>0</v>
      </c>
    </row>
    <row r="28372" spans="1:1" x14ac:dyDescent="0.3">
      <c r="A28372" t="s">
        <v>0</v>
      </c>
    </row>
    <row r="28373" spans="1:1" x14ac:dyDescent="0.3">
      <c r="A28373" t="s">
        <v>0</v>
      </c>
    </row>
    <row r="28374" spans="1:1" x14ac:dyDescent="0.3">
      <c r="A28374" t="s">
        <v>0</v>
      </c>
    </row>
    <row r="28375" spans="1:1" x14ac:dyDescent="0.3">
      <c r="A28375" t="s">
        <v>0</v>
      </c>
    </row>
    <row r="28376" spans="1:1" x14ac:dyDescent="0.3">
      <c r="A28376" t="s">
        <v>0</v>
      </c>
    </row>
    <row r="28377" spans="1:1" x14ac:dyDescent="0.3">
      <c r="A28377" t="s">
        <v>0</v>
      </c>
    </row>
    <row r="28378" spans="1:1" x14ac:dyDescent="0.3">
      <c r="A28378" t="s">
        <v>0</v>
      </c>
    </row>
    <row r="28379" spans="1:1" x14ac:dyDescent="0.3">
      <c r="A28379" t="s">
        <v>0</v>
      </c>
    </row>
    <row r="28380" spans="1:1" x14ac:dyDescent="0.3">
      <c r="A28380" t="s">
        <v>0</v>
      </c>
    </row>
    <row r="28381" spans="1:1" x14ac:dyDescent="0.3">
      <c r="A28381" t="s">
        <v>0</v>
      </c>
    </row>
    <row r="28382" spans="1:1" x14ac:dyDescent="0.3">
      <c r="A28382" t="s">
        <v>0</v>
      </c>
    </row>
    <row r="28383" spans="1:1" x14ac:dyDescent="0.3">
      <c r="A28383" t="s">
        <v>0</v>
      </c>
    </row>
    <row r="28384" spans="1:1" x14ac:dyDescent="0.3">
      <c r="A28384" t="s">
        <v>0</v>
      </c>
    </row>
    <row r="28385" spans="1:1" x14ac:dyDescent="0.3">
      <c r="A28385" t="s">
        <v>0</v>
      </c>
    </row>
    <row r="28386" spans="1:1" x14ac:dyDescent="0.3">
      <c r="A28386" t="s">
        <v>0</v>
      </c>
    </row>
    <row r="28387" spans="1:1" x14ac:dyDescent="0.3">
      <c r="A28387" t="s">
        <v>0</v>
      </c>
    </row>
    <row r="28388" spans="1:1" x14ac:dyDescent="0.3">
      <c r="A28388" t="s">
        <v>0</v>
      </c>
    </row>
    <row r="28389" spans="1:1" x14ac:dyDescent="0.3">
      <c r="A28389" t="s">
        <v>0</v>
      </c>
    </row>
    <row r="28390" spans="1:1" x14ac:dyDescent="0.3">
      <c r="A28390" t="s">
        <v>0</v>
      </c>
    </row>
    <row r="28391" spans="1:1" x14ac:dyDescent="0.3">
      <c r="A28391" t="s">
        <v>0</v>
      </c>
    </row>
    <row r="28392" spans="1:1" x14ac:dyDescent="0.3">
      <c r="A28392" t="s">
        <v>0</v>
      </c>
    </row>
    <row r="28393" spans="1:1" x14ac:dyDescent="0.3">
      <c r="A28393" t="s">
        <v>0</v>
      </c>
    </row>
    <row r="28394" spans="1:1" x14ac:dyDescent="0.3">
      <c r="A28394" t="s">
        <v>0</v>
      </c>
    </row>
    <row r="28395" spans="1:1" x14ac:dyDescent="0.3">
      <c r="A28395" t="s">
        <v>0</v>
      </c>
    </row>
    <row r="28396" spans="1:1" x14ac:dyDescent="0.3">
      <c r="A28396" t="s">
        <v>0</v>
      </c>
    </row>
    <row r="28397" spans="1:1" x14ac:dyDescent="0.3">
      <c r="A28397" t="s">
        <v>0</v>
      </c>
    </row>
    <row r="28398" spans="1:1" x14ac:dyDescent="0.3">
      <c r="A28398" t="s">
        <v>0</v>
      </c>
    </row>
    <row r="28399" spans="1:1" x14ac:dyDescent="0.3">
      <c r="A28399" t="s">
        <v>0</v>
      </c>
    </row>
    <row r="28400" spans="1:1" x14ac:dyDescent="0.3">
      <c r="A28400" t="s">
        <v>0</v>
      </c>
    </row>
    <row r="28401" spans="1:1" x14ac:dyDescent="0.3">
      <c r="A28401" t="s">
        <v>0</v>
      </c>
    </row>
    <row r="28402" spans="1:1" x14ac:dyDescent="0.3">
      <c r="A28402" t="s">
        <v>0</v>
      </c>
    </row>
    <row r="28403" spans="1:1" x14ac:dyDescent="0.3">
      <c r="A28403" t="s">
        <v>0</v>
      </c>
    </row>
    <row r="28404" spans="1:1" x14ac:dyDescent="0.3">
      <c r="A28404" t="s">
        <v>0</v>
      </c>
    </row>
    <row r="28405" spans="1:1" x14ac:dyDescent="0.3">
      <c r="A28405" t="s">
        <v>0</v>
      </c>
    </row>
    <row r="28406" spans="1:1" x14ac:dyDescent="0.3">
      <c r="A28406" t="s">
        <v>0</v>
      </c>
    </row>
    <row r="28407" spans="1:1" x14ac:dyDescent="0.3">
      <c r="A28407" t="s">
        <v>0</v>
      </c>
    </row>
    <row r="28408" spans="1:1" x14ac:dyDescent="0.3">
      <c r="A28408" t="s">
        <v>0</v>
      </c>
    </row>
    <row r="28409" spans="1:1" x14ac:dyDescent="0.3">
      <c r="A28409" t="s">
        <v>0</v>
      </c>
    </row>
    <row r="28410" spans="1:1" x14ac:dyDescent="0.3">
      <c r="A28410" t="s">
        <v>0</v>
      </c>
    </row>
    <row r="28411" spans="1:1" x14ac:dyDescent="0.3">
      <c r="A28411" t="s">
        <v>0</v>
      </c>
    </row>
    <row r="28412" spans="1:1" x14ac:dyDescent="0.3">
      <c r="A28412" t="s">
        <v>0</v>
      </c>
    </row>
    <row r="28413" spans="1:1" x14ac:dyDescent="0.3">
      <c r="A28413" t="s">
        <v>0</v>
      </c>
    </row>
    <row r="28414" spans="1:1" x14ac:dyDescent="0.3">
      <c r="A28414" t="s">
        <v>0</v>
      </c>
    </row>
    <row r="28415" spans="1:1" x14ac:dyDescent="0.3">
      <c r="A28415" t="s">
        <v>0</v>
      </c>
    </row>
    <row r="28416" spans="1:1" x14ac:dyDescent="0.3">
      <c r="A28416" t="s">
        <v>0</v>
      </c>
    </row>
    <row r="28417" spans="1:1" x14ac:dyDescent="0.3">
      <c r="A28417" t="s">
        <v>0</v>
      </c>
    </row>
    <row r="28418" spans="1:1" x14ac:dyDescent="0.3">
      <c r="A28418" t="s">
        <v>0</v>
      </c>
    </row>
    <row r="28419" spans="1:1" x14ac:dyDescent="0.3">
      <c r="A28419" t="s">
        <v>0</v>
      </c>
    </row>
    <row r="28420" spans="1:1" x14ac:dyDescent="0.3">
      <c r="A28420" t="s">
        <v>0</v>
      </c>
    </row>
    <row r="28421" spans="1:1" x14ac:dyDescent="0.3">
      <c r="A28421" t="s">
        <v>0</v>
      </c>
    </row>
    <row r="28422" spans="1:1" x14ac:dyDescent="0.3">
      <c r="A28422" t="s">
        <v>0</v>
      </c>
    </row>
    <row r="28423" spans="1:1" x14ac:dyDescent="0.3">
      <c r="A28423" t="s">
        <v>0</v>
      </c>
    </row>
    <row r="28424" spans="1:1" x14ac:dyDescent="0.3">
      <c r="A28424" t="s">
        <v>0</v>
      </c>
    </row>
    <row r="28425" spans="1:1" x14ac:dyDescent="0.3">
      <c r="A28425" t="s">
        <v>0</v>
      </c>
    </row>
    <row r="28426" spans="1:1" x14ac:dyDescent="0.3">
      <c r="A28426" t="s">
        <v>0</v>
      </c>
    </row>
    <row r="28427" spans="1:1" x14ac:dyDescent="0.3">
      <c r="A28427" t="s">
        <v>0</v>
      </c>
    </row>
    <row r="28428" spans="1:1" x14ac:dyDescent="0.3">
      <c r="A28428" t="s">
        <v>0</v>
      </c>
    </row>
    <row r="28429" spans="1:1" x14ac:dyDescent="0.3">
      <c r="A28429" t="s">
        <v>0</v>
      </c>
    </row>
    <row r="28430" spans="1:1" x14ac:dyDescent="0.3">
      <c r="A28430" t="s">
        <v>0</v>
      </c>
    </row>
    <row r="28431" spans="1:1" x14ac:dyDescent="0.3">
      <c r="A28431" t="s">
        <v>0</v>
      </c>
    </row>
    <row r="28432" spans="1:1" x14ac:dyDescent="0.3">
      <c r="A28432" t="s">
        <v>0</v>
      </c>
    </row>
    <row r="28433" spans="1:1" x14ac:dyDescent="0.3">
      <c r="A28433" t="s">
        <v>0</v>
      </c>
    </row>
    <row r="28434" spans="1:1" x14ac:dyDescent="0.3">
      <c r="A28434" t="s">
        <v>0</v>
      </c>
    </row>
    <row r="28435" spans="1:1" x14ac:dyDescent="0.3">
      <c r="A28435" t="s">
        <v>0</v>
      </c>
    </row>
    <row r="28436" spans="1:1" x14ac:dyDescent="0.3">
      <c r="A28436" t="s">
        <v>0</v>
      </c>
    </row>
    <row r="28437" spans="1:1" x14ac:dyDescent="0.3">
      <c r="A28437" t="s">
        <v>0</v>
      </c>
    </row>
    <row r="28438" spans="1:1" x14ac:dyDescent="0.3">
      <c r="A28438" t="s">
        <v>0</v>
      </c>
    </row>
    <row r="28439" spans="1:1" x14ac:dyDescent="0.3">
      <c r="A28439" t="s">
        <v>0</v>
      </c>
    </row>
    <row r="28440" spans="1:1" x14ac:dyDescent="0.3">
      <c r="A28440" t="s">
        <v>0</v>
      </c>
    </row>
    <row r="28441" spans="1:1" x14ac:dyDescent="0.3">
      <c r="A28441" t="s">
        <v>0</v>
      </c>
    </row>
    <row r="28442" spans="1:1" x14ac:dyDescent="0.3">
      <c r="A28442" t="s">
        <v>0</v>
      </c>
    </row>
    <row r="28443" spans="1:1" x14ac:dyDescent="0.3">
      <c r="A28443" t="s">
        <v>0</v>
      </c>
    </row>
    <row r="28444" spans="1:1" x14ac:dyDescent="0.3">
      <c r="A28444" t="s">
        <v>0</v>
      </c>
    </row>
    <row r="28445" spans="1:1" x14ac:dyDescent="0.3">
      <c r="A28445" t="s">
        <v>0</v>
      </c>
    </row>
    <row r="28446" spans="1:1" x14ac:dyDescent="0.3">
      <c r="A28446" t="s">
        <v>0</v>
      </c>
    </row>
    <row r="28447" spans="1:1" x14ac:dyDescent="0.3">
      <c r="A28447" t="s">
        <v>0</v>
      </c>
    </row>
    <row r="28448" spans="1:1" x14ac:dyDescent="0.3">
      <c r="A28448" t="s">
        <v>0</v>
      </c>
    </row>
    <row r="28449" spans="1:1" x14ac:dyDescent="0.3">
      <c r="A28449" t="s">
        <v>0</v>
      </c>
    </row>
    <row r="28450" spans="1:1" x14ac:dyDescent="0.3">
      <c r="A28450" t="s">
        <v>0</v>
      </c>
    </row>
    <row r="28451" spans="1:1" x14ac:dyDescent="0.3">
      <c r="A28451" t="s">
        <v>0</v>
      </c>
    </row>
    <row r="28452" spans="1:1" x14ac:dyDescent="0.3">
      <c r="A28452" t="s">
        <v>0</v>
      </c>
    </row>
    <row r="28453" spans="1:1" x14ac:dyDescent="0.3">
      <c r="A28453" t="s">
        <v>0</v>
      </c>
    </row>
    <row r="28454" spans="1:1" x14ac:dyDescent="0.3">
      <c r="A28454" t="s">
        <v>0</v>
      </c>
    </row>
    <row r="28455" spans="1:1" x14ac:dyDescent="0.3">
      <c r="A28455" t="s">
        <v>0</v>
      </c>
    </row>
    <row r="28456" spans="1:1" x14ac:dyDescent="0.3">
      <c r="A28456" t="s">
        <v>0</v>
      </c>
    </row>
    <row r="28457" spans="1:1" x14ac:dyDescent="0.3">
      <c r="A28457" t="s">
        <v>0</v>
      </c>
    </row>
    <row r="28458" spans="1:1" x14ac:dyDescent="0.3">
      <c r="A28458" t="s">
        <v>0</v>
      </c>
    </row>
    <row r="28459" spans="1:1" x14ac:dyDescent="0.3">
      <c r="A28459" t="s">
        <v>0</v>
      </c>
    </row>
    <row r="28460" spans="1:1" x14ac:dyDescent="0.3">
      <c r="A28460" t="s">
        <v>0</v>
      </c>
    </row>
    <row r="28461" spans="1:1" x14ac:dyDescent="0.3">
      <c r="A28461" t="s">
        <v>0</v>
      </c>
    </row>
    <row r="28462" spans="1:1" x14ac:dyDescent="0.3">
      <c r="A28462" t="s">
        <v>0</v>
      </c>
    </row>
    <row r="28463" spans="1:1" x14ac:dyDescent="0.3">
      <c r="A28463" t="s">
        <v>0</v>
      </c>
    </row>
    <row r="28464" spans="1:1" x14ac:dyDescent="0.3">
      <c r="A28464" t="s">
        <v>0</v>
      </c>
    </row>
    <row r="28465" spans="1:1" x14ac:dyDescent="0.3">
      <c r="A28465" t="s">
        <v>0</v>
      </c>
    </row>
    <row r="28466" spans="1:1" x14ac:dyDescent="0.3">
      <c r="A28466" t="s">
        <v>0</v>
      </c>
    </row>
    <row r="28467" spans="1:1" x14ac:dyDescent="0.3">
      <c r="A28467" t="s">
        <v>0</v>
      </c>
    </row>
    <row r="28468" spans="1:1" x14ac:dyDescent="0.3">
      <c r="A28468" t="s">
        <v>0</v>
      </c>
    </row>
    <row r="28469" spans="1:1" x14ac:dyDescent="0.3">
      <c r="A28469" t="s">
        <v>0</v>
      </c>
    </row>
    <row r="28470" spans="1:1" x14ac:dyDescent="0.3">
      <c r="A28470" t="s">
        <v>0</v>
      </c>
    </row>
    <row r="28471" spans="1:1" x14ac:dyDescent="0.3">
      <c r="A28471" t="s">
        <v>0</v>
      </c>
    </row>
    <row r="28472" spans="1:1" x14ac:dyDescent="0.3">
      <c r="A28472" t="s">
        <v>0</v>
      </c>
    </row>
    <row r="28473" spans="1:1" x14ac:dyDescent="0.3">
      <c r="A28473" t="s">
        <v>0</v>
      </c>
    </row>
    <row r="28474" spans="1:1" x14ac:dyDescent="0.3">
      <c r="A28474" t="s">
        <v>0</v>
      </c>
    </row>
    <row r="28475" spans="1:1" x14ac:dyDescent="0.3">
      <c r="A28475" t="s">
        <v>0</v>
      </c>
    </row>
    <row r="28476" spans="1:1" x14ac:dyDescent="0.3">
      <c r="A28476" t="s">
        <v>0</v>
      </c>
    </row>
    <row r="28477" spans="1:1" x14ac:dyDescent="0.3">
      <c r="A28477" t="s">
        <v>0</v>
      </c>
    </row>
    <row r="28478" spans="1:1" x14ac:dyDescent="0.3">
      <c r="A28478" t="s">
        <v>0</v>
      </c>
    </row>
    <row r="28479" spans="1:1" x14ac:dyDescent="0.3">
      <c r="A28479" t="s">
        <v>0</v>
      </c>
    </row>
    <row r="28480" spans="1:1" x14ac:dyDescent="0.3">
      <c r="A28480" t="s">
        <v>0</v>
      </c>
    </row>
    <row r="28481" spans="1:1" x14ac:dyDescent="0.3">
      <c r="A28481" t="s">
        <v>0</v>
      </c>
    </row>
    <row r="28482" spans="1:1" x14ac:dyDescent="0.3">
      <c r="A28482" t="s">
        <v>0</v>
      </c>
    </row>
    <row r="28483" spans="1:1" x14ac:dyDescent="0.3">
      <c r="A28483" t="s">
        <v>0</v>
      </c>
    </row>
    <row r="28484" spans="1:1" x14ac:dyDescent="0.3">
      <c r="A28484" t="s">
        <v>0</v>
      </c>
    </row>
    <row r="28485" spans="1:1" x14ac:dyDescent="0.3">
      <c r="A28485" t="s">
        <v>0</v>
      </c>
    </row>
    <row r="28486" spans="1:1" x14ac:dyDescent="0.3">
      <c r="A28486" t="s">
        <v>0</v>
      </c>
    </row>
    <row r="28487" spans="1:1" x14ac:dyDescent="0.3">
      <c r="A28487" t="s">
        <v>0</v>
      </c>
    </row>
    <row r="28488" spans="1:1" x14ac:dyDescent="0.3">
      <c r="A28488" t="s">
        <v>0</v>
      </c>
    </row>
    <row r="28489" spans="1:1" x14ac:dyDescent="0.3">
      <c r="A28489" t="s">
        <v>0</v>
      </c>
    </row>
    <row r="28490" spans="1:1" x14ac:dyDescent="0.3">
      <c r="A28490" t="s">
        <v>0</v>
      </c>
    </row>
    <row r="28491" spans="1:1" x14ac:dyDescent="0.3">
      <c r="A28491" t="s">
        <v>0</v>
      </c>
    </row>
    <row r="28492" spans="1:1" x14ac:dyDescent="0.3">
      <c r="A28492" t="s">
        <v>0</v>
      </c>
    </row>
    <row r="28493" spans="1:1" x14ac:dyDescent="0.3">
      <c r="A28493" t="s">
        <v>0</v>
      </c>
    </row>
    <row r="28494" spans="1:1" x14ac:dyDescent="0.3">
      <c r="A28494" t="s">
        <v>0</v>
      </c>
    </row>
    <row r="28495" spans="1:1" x14ac:dyDescent="0.3">
      <c r="A28495" t="s">
        <v>0</v>
      </c>
    </row>
    <row r="28496" spans="1:1" x14ac:dyDescent="0.3">
      <c r="A28496" t="s">
        <v>0</v>
      </c>
    </row>
    <row r="28497" spans="1:1" x14ac:dyDescent="0.3">
      <c r="A28497" t="s">
        <v>0</v>
      </c>
    </row>
    <row r="28498" spans="1:1" x14ac:dyDescent="0.3">
      <c r="A28498" t="s">
        <v>0</v>
      </c>
    </row>
    <row r="28499" spans="1:1" x14ac:dyDescent="0.3">
      <c r="A28499" t="s">
        <v>0</v>
      </c>
    </row>
    <row r="28500" spans="1:1" x14ac:dyDescent="0.3">
      <c r="A28500" t="s">
        <v>0</v>
      </c>
    </row>
    <row r="28501" spans="1:1" x14ac:dyDescent="0.3">
      <c r="A28501" t="s">
        <v>0</v>
      </c>
    </row>
    <row r="28502" spans="1:1" x14ac:dyDescent="0.3">
      <c r="A28502" t="s">
        <v>0</v>
      </c>
    </row>
    <row r="28503" spans="1:1" x14ac:dyDescent="0.3">
      <c r="A28503" t="s">
        <v>0</v>
      </c>
    </row>
    <row r="28504" spans="1:1" x14ac:dyDescent="0.3">
      <c r="A28504" t="s">
        <v>0</v>
      </c>
    </row>
    <row r="28505" spans="1:1" x14ac:dyDescent="0.3">
      <c r="A28505" t="s">
        <v>0</v>
      </c>
    </row>
    <row r="28506" spans="1:1" x14ac:dyDescent="0.3">
      <c r="A28506" t="s">
        <v>0</v>
      </c>
    </row>
    <row r="28507" spans="1:1" x14ac:dyDescent="0.3">
      <c r="A28507" t="s">
        <v>0</v>
      </c>
    </row>
    <row r="28508" spans="1:1" x14ac:dyDescent="0.3">
      <c r="A28508" t="s">
        <v>0</v>
      </c>
    </row>
    <row r="28509" spans="1:1" x14ac:dyDescent="0.3">
      <c r="A28509" t="s">
        <v>0</v>
      </c>
    </row>
    <row r="28510" spans="1:1" x14ac:dyDescent="0.3">
      <c r="A28510" t="s">
        <v>0</v>
      </c>
    </row>
    <row r="28511" spans="1:1" x14ac:dyDescent="0.3">
      <c r="A28511" t="s">
        <v>0</v>
      </c>
    </row>
    <row r="28512" spans="1:1" x14ac:dyDescent="0.3">
      <c r="A28512" t="s">
        <v>0</v>
      </c>
    </row>
    <row r="28513" spans="1:1" x14ac:dyDescent="0.3">
      <c r="A28513" t="s">
        <v>0</v>
      </c>
    </row>
    <row r="28514" spans="1:1" x14ac:dyDescent="0.3">
      <c r="A28514" t="s">
        <v>0</v>
      </c>
    </row>
    <row r="28515" spans="1:1" x14ac:dyDescent="0.3">
      <c r="A28515" t="s">
        <v>0</v>
      </c>
    </row>
    <row r="28516" spans="1:1" x14ac:dyDescent="0.3">
      <c r="A28516" t="s">
        <v>0</v>
      </c>
    </row>
    <row r="28517" spans="1:1" x14ac:dyDescent="0.3">
      <c r="A28517" t="s">
        <v>0</v>
      </c>
    </row>
    <row r="28518" spans="1:1" x14ac:dyDescent="0.3">
      <c r="A28518" t="s">
        <v>0</v>
      </c>
    </row>
    <row r="28519" spans="1:1" x14ac:dyDescent="0.3">
      <c r="A28519" t="s">
        <v>0</v>
      </c>
    </row>
    <row r="28520" spans="1:1" x14ac:dyDescent="0.3">
      <c r="A28520" t="s">
        <v>0</v>
      </c>
    </row>
    <row r="28521" spans="1:1" x14ac:dyDescent="0.3">
      <c r="A28521" t="s">
        <v>0</v>
      </c>
    </row>
    <row r="28522" spans="1:1" x14ac:dyDescent="0.3">
      <c r="A28522" t="s">
        <v>0</v>
      </c>
    </row>
    <row r="28523" spans="1:1" x14ac:dyDescent="0.3">
      <c r="A28523" t="s">
        <v>0</v>
      </c>
    </row>
    <row r="28524" spans="1:1" x14ac:dyDescent="0.3">
      <c r="A28524" t="s">
        <v>0</v>
      </c>
    </row>
    <row r="28525" spans="1:1" x14ac:dyDescent="0.3">
      <c r="A28525" t="s">
        <v>0</v>
      </c>
    </row>
    <row r="28526" spans="1:1" x14ac:dyDescent="0.3">
      <c r="A28526" t="s">
        <v>0</v>
      </c>
    </row>
    <row r="28527" spans="1:1" x14ac:dyDescent="0.3">
      <c r="A28527" t="s">
        <v>0</v>
      </c>
    </row>
    <row r="28528" spans="1:1" x14ac:dyDescent="0.3">
      <c r="A28528" t="s">
        <v>0</v>
      </c>
    </row>
    <row r="28529" spans="1:1" x14ac:dyDescent="0.3">
      <c r="A28529" t="s">
        <v>0</v>
      </c>
    </row>
    <row r="28530" spans="1:1" x14ac:dyDescent="0.3">
      <c r="A28530" t="s">
        <v>0</v>
      </c>
    </row>
    <row r="28531" spans="1:1" x14ac:dyDescent="0.3">
      <c r="A28531" t="s">
        <v>0</v>
      </c>
    </row>
    <row r="28532" spans="1:1" x14ac:dyDescent="0.3">
      <c r="A28532" t="s">
        <v>0</v>
      </c>
    </row>
    <row r="28533" spans="1:1" x14ac:dyDescent="0.3">
      <c r="A28533" t="s">
        <v>0</v>
      </c>
    </row>
    <row r="28534" spans="1:1" x14ac:dyDescent="0.3">
      <c r="A28534" t="s">
        <v>0</v>
      </c>
    </row>
    <row r="28535" spans="1:1" x14ac:dyDescent="0.3">
      <c r="A28535" t="s">
        <v>0</v>
      </c>
    </row>
    <row r="28536" spans="1:1" x14ac:dyDescent="0.3">
      <c r="A28536" t="s">
        <v>0</v>
      </c>
    </row>
    <row r="28537" spans="1:1" x14ac:dyDescent="0.3">
      <c r="A28537" t="s">
        <v>0</v>
      </c>
    </row>
    <row r="28538" spans="1:1" x14ac:dyDescent="0.3">
      <c r="A28538" t="s">
        <v>0</v>
      </c>
    </row>
    <row r="28539" spans="1:1" x14ac:dyDescent="0.3">
      <c r="A28539" t="s">
        <v>0</v>
      </c>
    </row>
    <row r="28540" spans="1:1" x14ac:dyDescent="0.3">
      <c r="A28540" t="s">
        <v>0</v>
      </c>
    </row>
    <row r="28541" spans="1:1" x14ac:dyDescent="0.3">
      <c r="A28541" t="s">
        <v>0</v>
      </c>
    </row>
    <row r="28542" spans="1:1" x14ac:dyDescent="0.3">
      <c r="A28542" t="s">
        <v>0</v>
      </c>
    </row>
    <row r="28543" spans="1:1" x14ac:dyDescent="0.3">
      <c r="A28543" t="s">
        <v>0</v>
      </c>
    </row>
    <row r="28544" spans="1:1" x14ac:dyDescent="0.3">
      <c r="A28544" t="s">
        <v>0</v>
      </c>
    </row>
    <row r="28545" spans="1:1" x14ac:dyDescent="0.3">
      <c r="A28545" t="s">
        <v>0</v>
      </c>
    </row>
    <row r="28546" spans="1:1" x14ac:dyDescent="0.3">
      <c r="A28546" t="s">
        <v>0</v>
      </c>
    </row>
    <row r="28547" spans="1:1" x14ac:dyDescent="0.3">
      <c r="A28547" t="s">
        <v>0</v>
      </c>
    </row>
    <row r="28548" spans="1:1" x14ac:dyDescent="0.3">
      <c r="A28548" t="s">
        <v>0</v>
      </c>
    </row>
    <row r="28549" spans="1:1" x14ac:dyDescent="0.3">
      <c r="A28549" t="s">
        <v>0</v>
      </c>
    </row>
    <row r="28550" spans="1:1" x14ac:dyDescent="0.3">
      <c r="A28550" t="s">
        <v>0</v>
      </c>
    </row>
    <row r="28551" spans="1:1" x14ac:dyDescent="0.3">
      <c r="A28551" t="s">
        <v>0</v>
      </c>
    </row>
    <row r="28552" spans="1:1" x14ac:dyDescent="0.3">
      <c r="A28552" t="s">
        <v>0</v>
      </c>
    </row>
    <row r="28553" spans="1:1" x14ac:dyDescent="0.3">
      <c r="A28553" t="s">
        <v>0</v>
      </c>
    </row>
    <row r="28554" spans="1:1" x14ac:dyDescent="0.3">
      <c r="A28554" t="s">
        <v>0</v>
      </c>
    </row>
    <row r="28555" spans="1:1" x14ac:dyDescent="0.3">
      <c r="A28555" t="s">
        <v>0</v>
      </c>
    </row>
    <row r="28556" spans="1:1" x14ac:dyDescent="0.3">
      <c r="A28556" t="s">
        <v>0</v>
      </c>
    </row>
    <row r="28557" spans="1:1" x14ac:dyDescent="0.3">
      <c r="A28557" t="s">
        <v>0</v>
      </c>
    </row>
    <row r="28558" spans="1:1" x14ac:dyDescent="0.3">
      <c r="A28558" t="s">
        <v>0</v>
      </c>
    </row>
    <row r="28559" spans="1:1" x14ac:dyDescent="0.3">
      <c r="A28559" t="s">
        <v>0</v>
      </c>
    </row>
    <row r="28560" spans="1:1" x14ac:dyDescent="0.3">
      <c r="A28560" t="s">
        <v>0</v>
      </c>
    </row>
    <row r="28561" spans="1:1" x14ac:dyDescent="0.3">
      <c r="A28561" t="s">
        <v>0</v>
      </c>
    </row>
    <row r="28562" spans="1:1" x14ac:dyDescent="0.3">
      <c r="A28562" t="s">
        <v>0</v>
      </c>
    </row>
    <row r="28563" spans="1:1" x14ac:dyDescent="0.3">
      <c r="A28563" t="s">
        <v>0</v>
      </c>
    </row>
    <row r="28564" spans="1:1" x14ac:dyDescent="0.3">
      <c r="A28564" t="s">
        <v>0</v>
      </c>
    </row>
    <row r="28565" spans="1:1" x14ac:dyDescent="0.3">
      <c r="A28565" t="s">
        <v>0</v>
      </c>
    </row>
    <row r="28566" spans="1:1" x14ac:dyDescent="0.3">
      <c r="A28566" t="s">
        <v>0</v>
      </c>
    </row>
    <row r="28567" spans="1:1" x14ac:dyDescent="0.3">
      <c r="A28567" t="s">
        <v>0</v>
      </c>
    </row>
    <row r="28568" spans="1:1" x14ac:dyDescent="0.3">
      <c r="A28568" t="s">
        <v>0</v>
      </c>
    </row>
    <row r="28569" spans="1:1" x14ac:dyDescent="0.3">
      <c r="A28569" t="s">
        <v>0</v>
      </c>
    </row>
    <row r="28570" spans="1:1" x14ac:dyDescent="0.3">
      <c r="A28570" t="s">
        <v>0</v>
      </c>
    </row>
    <row r="28571" spans="1:1" x14ac:dyDescent="0.3">
      <c r="A28571" t="s">
        <v>0</v>
      </c>
    </row>
    <row r="28572" spans="1:1" x14ac:dyDescent="0.3">
      <c r="A28572" t="s">
        <v>0</v>
      </c>
    </row>
    <row r="28573" spans="1:1" x14ac:dyDescent="0.3">
      <c r="A28573" t="s">
        <v>0</v>
      </c>
    </row>
    <row r="28574" spans="1:1" x14ac:dyDescent="0.3">
      <c r="A28574" t="s">
        <v>0</v>
      </c>
    </row>
    <row r="28575" spans="1:1" x14ac:dyDescent="0.3">
      <c r="A28575" t="s">
        <v>0</v>
      </c>
    </row>
    <row r="28576" spans="1:1" x14ac:dyDescent="0.3">
      <c r="A28576" t="s">
        <v>0</v>
      </c>
    </row>
    <row r="28577" spans="1:1" x14ac:dyDescent="0.3">
      <c r="A28577" t="s">
        <v>0</v>
      </c>
    </row>
    <row r="28578" spans="1:1" x14ac:dyDescent="0.3">
      <c r="A28578" t="s">
        <v>0</v>
      </c>
    </row>
    <row r="28579" spans="1:1" x14ac:dyDescent="0.3">
      <c r="A28579" t="s">
        <v>0</v>
      </c>
    </row>
    <row r="28580" spans="1:1" x14ac:dyDescent="0.3">
      <c r="A28580" t="s">
        <v>0</v>
      </c>
    </row>
    <row r="28581" spans="1:1" x14ac:dyDescent="0.3">
      <c r="A28581" t="s">
        <v>0</v>
      </c>
    </row>
    <row r="28582" spans="1:1" x14ac:dyDescent="0.3">
      <c r="A28582" t="s">
        <v>0</v>
      </c>
    </row>
    <row r="28583" spans="1:1" x14ac:dyDescent="0.3">
      <c r="A28583" t="s">
        <v>0</v>
      </c>
    </row>
    <row r="28584" spans="1:1" x14ac:dyDescent="0.3">
      <c r="A28584" t="s">
        <v>0</v>
      </c>
    </row>
    <row r="28585" spans="1:1" x14ac:dyDescent="0.3">
      <c r="A28585" t="s">
        <v>0</v>
      </c>
    </row>
    <row r="28586" spans="1:1" x14ac:dyDescent="0.3">
      <c r="A28586" t="s">
        <v>0</v>
      </c>
    </row>
    <row r="28587" spans="1:1" x14ac:dyDescent="0.3">
      <c r="A28587" t="s">
        <v>0</v>
      </c>
    </row>
    <row r="28588" spans="1:1" x14ac:dyDescent="0.3">
      <c r="A28588" t="s">
        <v>0</v>
      </c>
    </row>
    <row r="28589" spans="1:1" x14ac:dyDescent="0.3">
      <c r="A28589" t="s">
        <v>0</v>
      </c>
    </row>
    <row r="28590" spans="1:1" x14ac:dyDescent="0.3">
      <c r="A28590" t="s">
        <v>0</v>
      </c>
    </row>
    <row r="28591" spans="1:1" x14ac:dyDescent="0.3">
      <c r="A28591" t="s">
        <v>0</v>
      </c>
    </row>
    <row r="28592" spans="1:1" x14ac:dyDescent="0.3">
      <c r="A28592" t="s">
        <v>0</v>
      </c>
    </row>
    <row r="28593" spans="1:1" x14ac:dyDescent="0.3">
      <c r="A28593" t="s">
        <v>0</v>
      </c>
    </row>
    <row r="28594" spans="1:1" x14ac:dyDescent="0.3">
      <c r="A28594" t="s">
        <v>0</v>
      </c>
    </row>
    <row r="28595" spans="1:1" x14ac:dyDescent="0.3">
      <c r="A28595" t="s">
        <v>0</v>
      </c>
    </row>
    <row r="28596" spans="1:1" x14ac:dyDescent="0.3">
      <c r="A28596" t="s">
        <v>0</v>
      </c>
    </row>
    <row r="28597" spans="1:1" x14ac:dyDescent="0.3">
      <c r="A28597" t="s">
        <v>0</v>
      </c>
    </row>
    <row r="28598" spans="1:1" x14ac:dyDescent="0.3">
      <c r="A28598" t="s">
        <v>0</v>
      </c>
    </row>
    <row r="28599" spans="1:1" x14ac:dyDescent="0.3">
      <c r="A28599" t="s">
        <v>0</v>
      </c>
    </row>
    <row r="28600" spans="1:1" x14ac:dyDescent="0.3">
      <c r="A28600" t="s">
        <v>0</v>
      </c>
    </row>
    <row r="28601" spans="1:1" x14ac:dyDescent="0.3">
      <c r="A28601" t="s">
        <v>0</v>
      </c>
    </row>
    <row r="28602" spans="1:1" x14ac:dyDescent="0.3">
      <c r="A28602" t="s">
        <v>0</v>
      </c>
    </row>
    <row r="28603" spans="1:1" x14ac:dyDescent="0.3">
      <c r="A28603" t="s">
        <v>0</v>
      </c>
    </row>
    <row r="28604" spans="1:1" x14ac:dyDescent="0.3">
      <c r="A28604" t="s">
        <v>0</v>
      </c>
    </row>
    <row r="28605" spans="1:1" x14ac:dyDescent="0.3">
      <c r="A28605" t="s">
        <v>0</v>
      </c>
    </row>
    <row r="28606" spans="1:1" x14ac:dyDescent="0.3">
      <c r="A28606" t="s">
        <v>0</v>
      </c>
    </row>
    <row r="28607" spans="1:1" x14ac:dyDescent="0.3">
      <c r="A28607" t="s">
        <v>0</v>
      </c>
    </row>
    <row r="28608" spans="1:1" x14ac:dyDescent="0.3">
      <c r="A28608" t="s">
        <v>0</v>
      </c>
    </row>
    <row r="28609" spans="1:1" x14ac:dyDescent="0.3">
      <c r="A28609" t="s">
        <v>0</v>
      </c>
    </row>
    <row r="28610" spans="1:1" x14ac:dyDescent="0.3">
      <c r="A28610" t="s">
        <v>0</v>
      </c>
    </row>
    <row r="28611" spans="1:1" x14ac:dyDescent="0.3">
      <c r="A28611" t="s">
        <v>0</v>
      </c>
    </row>
    <row r="28612" spans="1:1" x14ac:dyDescent="0.3">
      <c r="A28612" t="s">
        <v>0</v>
      </c>
    </row>
    <row r="28613" spans="1:1" x14ac:dyDescent="0.3">
      <c r="A28613" t="s">
        <v>0</v>
      </c>
    </row>
    <row r="28614" spans="1:1" x14ac:dyDescent="0.3">
      <c r="A28614" t="s">
        <v>0</v>
      </c>
    </row>
    <row r="28615" spans="1:1" x14ac:dyDescent="0.3">
      <c r="A28615" t="s">
        <v>0</v>
      </c>
    </row>
    <row r="28616" spans="1:1" x14ac:dyDescent="0.3">
      <c r="A28616" t="s">
        <v>0</v>
      </c>
    </row>
    <row r="28617" spans="1:1" x14ac:dyDescent="0.3">
      <c r="A28617" t="s">
        <v>0</v>
      </c>
    </row>
    <row r="28618" spans="1:1" x14ac:dyDescent="0.3">
      <c r="A28618" t="s">
        <v>0</v>
      </c>
    </row>
    <row r="28619" spans="1:1" x14ac:dyDescent="0.3">
      <c r="A28619" t="s">
        <v>0</v>
      </c>
    </row>
    <row r="28620" spans="1:1" x14ac:dyDescent="0.3">
      <c r="A28620" t="s">
        <v>0</v>
      </c>
    </row>
    <row r="28621" spans="1:1" x14ac:dyDescent="0.3">
      <c r="A28621" t="s">
        <v>0</v>
      </c>
    </row>
    <row r="28622" spans="1:1" x14ac:dyDescent="0.3">
      <c r="A28622" t="s">
        <v>0</v>
      </c>
    </row>
    <row r="28623" spans="1:1" x14ac:dyDescent="0.3">
      <c r="A28623" t="s">
        <v>0</v>
      </c>
    </row>
    <row r="28624" spans="1:1" x14ac:dyDescent="0.3">
      <c r="A28624" t="s">
        <v>0</v>
      </c>
    </row>
    <row r="28625" spans="1:1" x14ac:dyDescent="0.3">
      <c r="A28625" t="s">
        <v>0</v>
      </c>
    </row>
    <row r="28626" spans="1:1" x14ac:dyDescent="0.3">
      <c r="A28626" t="s">
        <v>0</v>
      </c>
    </row>
    <row r="28627" spans="1:1" x14ac:dyDescent="0.3">
      <c r="A28627" t="s">
        <v>0</v>
      </c>
    </row>
    <row r="28628" spans="1:1" x14ac:dyDescent="0.3">
      <c r="A28628" t="s">
        <v>0</v>
      </c>
    </row>
    <row r="28629" spans="1:1" x14ac:dyDescent="0.3">
      <c r="A28629" t="s">
        <v>0</v>
      </c>
    </row>
    <row r="28630" spans="1:1" x14ac:dyDescent="0.3">
      <c r="A28630" t="s">
        <v>0</v>
      </c>
    </row>
    <row r="28631" spans="1:1" x14ac:dyDescent="0.3">
      <c r="A28631" t="s">
        <v>0</v>
      </c>
    </row>
    <row r="28632" spans="1:1" x14ac:dyDescent="0.3">
      <c r="A28632" t="s">
        <v>0</v>
      </c>
    </row>
    <row r="28633" spans="1:1" x14ac:dyDescent="0.3">
      <c r="A28633" t="s">
        <v>0</v>
      </c>
    </row>
    <row r="28634" spans="1:1" x14ac:dyDescent="0.3">
      <c r="A28634" t="s">
        <v>0</v>
      </c>
    </row>
    <row r="28635" spans="1:1" x14ac:dyDescent="0.3">
      <c r="A28635" t="s">
        <v>0</v>
      </c>
    </row>
    <row r="28636" spans="1:1" x14ac:dyDescent="0.3">
      <c r="A28636" t="s">
        <v>0</v>
      </c>
    </row>
    <row r="28637" spans="1:1" x14ac:dyDescent="0.3">
      <c r="A28637" t="s">
        <v>0</v>
      </c>
    </row>
    <row r="28638" spans="1:1" x14ac:dyDescent="0.3">
      <c r="A28638" t="s">
        <v>0</v>
      </c>
    </row>
    <row r="28639" spans="1:1" x14ac:dyDescent="0.3">
      <c r="A28639" t="s">
        <v>0</v>
      </c>
    </row>
    <row r="28640" spans="1:1" x14ac:dyDescent="0.3">
      <c r="A28640" t="s">
        <v>0</v>
      </c>
    </row>
    <row r="28641" spans="1:1" x14ac:dyDescent="0.3">
      <c r="A28641" t="s">
        <v>0</v>
      </c>
    </row>
    <row r="28642" spans="1:1" x14ac:dyDescent="0.3">
      <c r="A28642" t="s">
        <v>0</v>
      </c>
    </row>
    <row r="28643" spans="1:1" x14ac:dyDescent="0.3">
      <c r="A28643" t="s">
        <v>0</v>
      </c>
    </row>
    <row r="28644" spans="1:1" x14ac:dyDescent="0.3">
      <c r="A28644" t="s">
        <v>0</v>
      </c>
    </row>
    <row r="28645" spans="1:1" x14ac:dyDescent="0.3">
      <c r="A28645" t="s">
        <v>0</v>
      </c>
    </row>
    <row r="28646" spans="1:1" x14ac:dyDescent="0.3">
      <c r="A28646" t="s">
        <v>0</v>
      </c>
    </row>
    <row r="28647" spans="1:1" x14ac:dyDescent="0.3">
      <c r="A28647" t="s">
        <v>0</v>
      </c>
    </row>
    <row r="28648" spans="1:1" x14ac:dyDescent="0.3">
      <c r="A28648" t="s">
        <v>0</v>
      </c>
    </row>
    <row r="28649" spans="1:1" x14ac:dyDescent="0.3">
      <c r="A28649" t="s">
        <v>0</v>
      </c>
    </row>
    <row r="28650" spans="1:1" x14ac:dyDescent="0.3">
      <c r="A28650" t="s">
        <v>0</v>
      </c>
    </row>
    <row r="28651" spans="1:1" x14ac:dyDescent="0.3">
      <c r="A28651" t="s">
        <v>0</v>
      </c>
    </row>
    <row r="28652" spans="1:1" x14ac:dyDescent="0.3">
      <c r="A28652" t="s">
        <v>0</v>
      </c>
    </row>
    <row r="28653" spans="1:1" x14ac:dyDescent="0.3">
      <c r="A28653" t="s">
        <v>0</v>
      </c>
    </row>
    <row r="28654" spans="1:1" x14ac:dyDescent="0.3">
      <c r="A28654" t="s">
        <v>0</v>
      </c>
    </row>
    <row r="28655" spans="1:1" x14ac:dyDescent="0.3">
      <c r="A28655" t="s">
        <v>0</v>
      </c>
    </row>
    <row r="28656" spans="1:1" x14ac:dyDescent="0.3">
      <c r="A28656" t="s">
        <v>0</v>
      </c>
    </row>
    <row r="28657" spans="1:1" x14ac:dyDescent="0.3">
      <c r="A28657" t="s">
        <v>0</v>
      </c>
    </row>
    <row r="28658" spans="1:1" x14ac:dyDescent="0.3">
      <c r="A28658" t="s">
        <v>0</v>
      </c>
    </row>
    <row r="28659" spans="1:1" x14ac:dyDescent="0.3">
      <c r="A28659" t="s">
        <v>0</v>
      </c>
    </row>
    <row r="28660" spans="1:1" x14ac:dyDescent="0.3">
      <c r="A28660" t="s">
        <v>0</v>
      </c>
    </row>
    <row r="28661" spans="1:1" x14ac:dyDescent="0.3">
      <c r="A28661" t="s">
        <v>0</v>
      </c>
    </row>
    <row r="28662" spans="1:1" x14ac:dyDescent="0.3">
      <c r="A28662" t="s">
        <v>0</v>
      </c>
    </row>
    <row r="28663" spans="1:1" x14ac:dyDescent="0.3">
      <c r="A28663" t="s">
        <v>0</v>
      </c>
    </row>
    <row r="28664" spans="1:1" x14ac:dyDescent="0.3">
      <c r="A28664" t="s">
        <v>0</v>
      </c>
    </row>
    <row r="28665" spans="1:1" x14ac:dyDescent="0.3">
      <c r="A28665" t="s">
        <v>0</v>
      </c>
    </row>
    <row r="28666" spans="1:1" x14ac:dyDescent="0.3">
      <c r="A28666" t="s">
        <v>0</v>
      </c>
    </row>
    <row r="28667" spans="1:1" x14ac:dyDescent="0.3">
      <c r="A28667" t="s">
        <v>0</v>
      </c>
    </row>
    <row r="28668" spans="1:1" x14ac:dyDescent="0.3">
      <c r="A28668" t="s">
        <v>0</v>
      </c>
    </row>
    <row r="28669" spans="1:1" x14ac:dyDescent="0.3">
      <c r="A28669" t="s">
        <v>0</v>
      </c>
    </row>
    <row r="28670" spans="1:1" x14ac:dyDescent="0.3">
      <c r="A28670" t="s">
        <v>0</v>
      </c>
    </row>
    <row r="28671" spans="1:1" x14ac:dyDescent="0.3">
      <c r="A28671" t="s">
        <v>0</v>
      </c>
    </row>
    <row r="28672" spans="1:1" x14ac:dyDescent="0.3">
      <c r="A28672" t="s">
        <v>0</v>
      </c>
    </row>
    <row r="28673" spans="1:1" x14ac:dyDescent="0.3">
      <c r="A28673" t="s">
        <v>0</v>
      </c>
    </row>
    <row r="28674" spans="1:1" x14ac:dyDescent="0.3">
      <c r="A28674" t="s">
        <v>0</v>
      </c>
    </row>
    <row r="28675" spans="1:1" x14ac:dyDescent="0.3">
      <c r="A28675" t="s">
        <v>0</v>
      </c>
    </row>
    <row r="28676" spans="1:1" x14ac:dyDescent="0.3">
      <c r="A28676" t="s">
        <v>0</v>
      </c>
    </row>
    <row r="28677" spans="1:1" x14ac:dyDescent="0.3">
      <c r="A28677" t="s">
        <v>0</v>
      </c>
    </row>
    <row r="28678" spans="1:1" x14ac:dyDescent="0.3">
      <c r="A28678" t="s">
        <v>0</v>
      </c>
    </row>
    <row r="28679" spans="1:1" x14ac:dyDescent="0.3">
      <c r="A28679" t="s">
        <v>0</v>
      </c>
    </row>
    <row r="28680" spans="1:1" x14ac:dyDescent="0.3">
      <c r="A28680" t="s">
        <v>0</v>
      </c>
    </row>
    <row r="28681" spans="1:1" x14ac:dyDescent="0.3">
      <c r="A28681" t="s">
        <v>0</v>
      </c>
    </row>
    <row r="28682" spans="1:1" x14ac:dyDescent="0.3">
      <c r="A28682" t="s">
        <v>0</v>
      </c>
    </row>
    <row r="28683" spans="1:1" x14ac:dyDescent="0.3">
      <c r="A28683" t="s">
        <v>0</v>
      </c>
    </row>
    <row r="28684" spans="1:1" x14ac:dyDescent="0.3">
      <c r="A28684" t="s">
        <v>0</v>
      </c>
    </row>
    <row r="28685" spans="1:1" x14ac:dyDescent="0.3">
      <c r="A28685" t="s">
        <v>0</v>
      </c>
    </row>
    <row r="28686" spans="1:1" x14ac:dyDescent="0.3">
      <c r="A28686" t="s">
        <v>0</v>
      </c>
    </row>
    <row r="28687" spans="1:1" x14ac:dyDescent="0.3">
      <c r="A28687" t="s">
        <v>0</v>
      </c>
    </row>
    <row r="28688" spans="1:1" x14ac:dyDescent="0.3">
      <c r="A28688" t="s">
        <v>0</v>
      </c>
    </row>
    <row r="28689" spans="1:1" x14ac:dyDescent="0.3">
      <c r="A28689" t="s">
        <v>0</v>
      </c>
    </row>
    <row r="28690" spans="1:1" x14ac:dyDescent="0.3">
      <c r="A28690" t="s">
        <v>0</v>
      </c>
    </row>
    <row r="28691" spans="1:1" x14ac:dyDescent="0.3">
      <c r="A28691" t="s">
        <v>0</v>
      </c>
    </row>
    <row r="28692" spans="1:1" x14ac:dyDescent="0.3">
      <c r="A28692" t="s">
        <v>0</v>
      </c>
    </row>
    <row r="28693" spans="1:1" x14ac:dyDescent="0.3">
      <c r="A28693" t="s">
        <v>0</v>
      </c>
    </row>
    <row r="28694" spans="1:1" x14ac:dyDescent="0.3">
      <c r="A28694" t="s">
        <v>0</v>
      </c>
    </row>
    <row r="28695" spans="1:1" x14ac:dyDescent="0.3">
      <c r="A28695" t="s">
        <v>0</v>
      </c>
    </row>
    <row r="28696" spans="1:1" x14ac:dyDescent="0.3">
      <c r="A28696" t="s">
        <v>0</v>
      </c>
    </row>
    <row r="28697" spans="1:1" x14ac:dyDescent="0.3">
      <c r="A28697" t="s">
        <v>0</v>
      </c>
    </row>
    <row r="28698" spans="1:1" x14ac:dyDescent="0.3">
      <c r="A28698" t="s">
        <v>0</v>
      </c>
    </row>
    <row r="28699" spans="1:1" x14ac:dyDescent="0.3">
      <c r="A28699" t="s">
        <v>0</v>
      </c>
    </row>
    <row r="28700" spans="1:1" x14ac:dyDescent="0.3">
      <c r="A28700" t="s">
        <v>0</v>
      </c>
    </row>
    <row r="28701" spans="1:1" x14ac:dyDescent="0.3">
      <c r="A28701" t="s">
        <v>0</v>
      </c>
    </row>
    <row r="28702" spans="1:1" x14ac:dyDescent="0.3">
      <c r="A28702" t="s">
        <v>0</v>
      </c>
    </row>
    <row r="28703" spans="1:1" x14ac:dyDescent="0.3">
      <c r="A28703" t="s">
        <v>0</v>
      </c>
    </row>
    <row r="28704" spans="1:1" x14ac:dyDescent="0.3">
      <c r="A28704" t="s">
        <v>0</v>
      </c>
    </row>
    <row r="28705" spans="1:1" x14ac:dyDescent="0.3">
      <c r="A28705" t="s">
        <v>0</v>
      </c>
    </row>
    <row r="28706" spans="1:1" x14ac:dyDescent="0.3">
      <c r="A28706" t="s">
        <v>0</v>
      </c>
    </row>
    <row r="28707" spans="1:1" x14ac:dyDescent="0.3">
      <c r="A28707" t="s">
        <v>0</v>
      </c>
    </row>
    <row r="28708" spans="1:1" x14ac:dyDescent="0.3">
      <c r="A28708" t="s">
        <v>0</v>
      </c>
    </row>
    <row r="28709" spans="1:1" x14ac:dyDescent="0.3">
      <c r="A28709" t="s">
        <v>0</v>
      </c>
    </row>
    <row r="28710" spans="1:1" x14ac:dyDescent="0.3">
      <c r="A28710" t="s">
        <v>0</v>
      </c>
    </row>
    <row r="28711" spans="1:1" x14ac:dyDescent="0.3">
      <c r="A28711" t="s">
        <v>0</v>
      </c>
    </row>
    <row r="28712" spans="1:1" x14ac:dyDescent="0.3">
      <c r="A28712" t="s">
        <v>0</v>
      </c>
    </row>
    <row r="28713" spans="1:1" x14ac:dyDescent="0.3">
      <c r="A28713" t="s">
        <v>0</v>
      </c>
    </row>
    <row r="28714" spans="1:1" x14ac:dyDescent="0.3">
      <c r="A28714" t="s">
        <v>0</v>
      </c>
    </row>
    <row r="28715" spans="1:1" x14ac:dyDescent="0.3">
      <c r="A28715" t="s">
        <v>0</v>
      </c>
    </row>
    <row r="28716" spans="1:1" x14ac:dyDescent="0.3">
      <c r="A28716" t="s">
        <v>0</v>
      </c>
    </row>
    <row r="28717" spans="1:1" x14ac:dyDescent="0.3">
      <c r="A28717" t="s">
        <v>0</v>
      </c>
    </row>
    <row r="28718" spans="1:1" x14ac:dyDescent="0.3">
      <c r="A28718" t="s">
        <v>0</v>
      </c>
    </row>
    <row r="28719" spans="1:1" x14ac:dyDescent="0.3">
      <c r="A28719" t="s">
        <v>0</v>
      </c>
    </row>
    <row r="28720" spans="1:1" x14ac:dyDescent="0.3">
      <c r="A28720" t="s">
        <v>0</v>
      </c>
    </row>
    <row r="28721" spans="1:1" x14ac:dyDescent="0.3">
      <c r="A28721" t="s">
        <v>0</v>
      </c>
    </row>
    <row r="28722" spans="1:1" x14ac:dyDescent="0.3">
      <c r="A28722" t="s">
        <v>0</v>
      </c>
    </row>
    <row r="28723" spans="1:1" x14ac:dyDescent="0.3">
      <c r="A28723" t="s">
        <v>0</v>
      </c>
    </row>
    <row r="28724" spans="1:1" x14ac:dyDescent="0.3">
      <c r="A28724" t="s">
        <v>0</v>
      </c>
    </row>
    <row r="28725" spans="1:1" x14ac:dyDescent="0.3">
      <c r="A28725" t="s">
        <v>0</v>
      </c>
    </row>
    <row r="28726" spans="1:1" x14ac:dyDescent="0.3">
      <c r="A28726" t="s">
        <v>0</v>
      </c>
    </row>
    <row r="28727" spans="1:1" x14ac:dyDescent="0.3">
      <c r="A28727" t="s">
        <v>0</v>
      </c>
    </row>
    <row r="28728" spans="1:1" x14ac:dyDescent="0.3">
      <c r="A28728" t="s">
        <v>0</v>
      </c>
    </row>
    <row r="28729" spans="1:1" x14ac:dyDescent="0.3">
      <c r="A28729" t="s">
        <v>0</v>
      </c>
    </row>
    <row r="28730" spans="1:1" x14ac:dyDescent="0.3">
      <c r="A28730" t="s">
        <v>0</v>
      </c>
    </row>
    <row r="28731" spans="1:1" x14ac:dyDescent="0.3">
      <c r="A28731" t="s">
        <v>0</v>
      </c>
    </row>
    <row r="28732" spans="1:1" x14ac:dyDescent="0.3">
      <c r="A28732" t="s">
        <v>0</v>
      </c>
    </row>
    <row r="28733" spans="1:1" x14ac:dyDescent="0.3">
      <c r="A28733" t="s">
        <v>0</v>
      </c>
    </row>
    <row r="28734" spans="1:1" x14ac:dyDescent="0.3">
      <c r="A28734" t="s">
        <v>0</v>
      </c>
    </row>
    <row r="28735" spans="1:1" x14ac:dyDescent="0.3">
      <c r="A28735" t="s">
        <v>0</v>
      </c>
    </row>
    <row r="28736" spans="1:1" x14ac:dyDescent="0.3">
      <c r="A28736" t="s">
        <v>0</v>
      </c>
    </row>
    <row r="28737" spans="1:1" x14ac:dyDescent="0.3">
      <c r="A28737" t="s">
        <v>0</v>
      </c>
    </row>
    <row r="28738" spans="1:1" x14ac:dyDescent="0.3">
      <c r="A28738" t="s">
        <v>0</v>
      </c>
    </row>
    <row r="28739" spans="1:1" x14ac:dyDescent="0.3">
      <c r="A28739" t="s">
        <v>0</v>
      </c>
    </row>
    <row r="28740" spans="1:1" x14ac:dyDescent="0.3">
      <c r="A28740" t="s">
        <v>0</v>
      </c>
    </row>
    <row r="28741" spans="1:1" x14ac:dyDescent="0.3">
      <c r="A28741" t="s">
        <v>0</v>
      </c>
    </row>
    <row r="28742" spans="1:1" x14ac:dyDescent="0.3">
      <c r="A28742" t="s">
        <v>0</v>
      </c>
    </row>
    <row r="28743" spans="1:1" x14ac:dyDescent="0.3">
      <c r="A28743" t="s">
        <v>0</v>
      </c>
    </row>
    <row r="28744" spans="1:1" x14ac:dyDescent="0.3">
      <c r="A28744" t="s">
        <v>0</v>
      </c>
    </row>
    <row r="28745" spans="1:1" x14ac:dyDescent="0.3">
      <c r="A28745" t="s">
        <v>0</v>
      </c>
    </row>
    <row r="28746" spans="1:1" x14ac:dyDescent="0.3">
      <c r="A28746" t="s">
        <v>0</v>
      </c>
    </row>
    <row r="28747" spans="1:1" x14ac:dyDescent="0.3">
      <c r="A28747" t="s">
        <v>0</v>
      </c>
    </row>
    <row r="28748" spans="1:1" x14ac:dyDescent="0.3">
      <c r="A28748" t="s">
        <v>0</v>
      </c>
    </row>
    <row r="28749" spans="1:1" x14ac:dyDescent="0.3">
      <c r="A28749" t="s">
        <v>0</v>
      </c>
    </row>
    <row r="28750" spans="1:1" x14ac:dyDescent="0.3">
      <c r="A28750" t="s">
        <v>0</v>
      </c>
    </row>
    <row r="28751" spans="1:1" x14ac:dyDescent="0.3">
      <c r="A28751" t="s">
        <v>0</v>
      </c>
    </row>
    <row r="28752" spans="1:1" x14ac:dyDescent="0.3">
      <c r="A28752" t="s">
        <v>0</v>
      </c>
    </row>
    <row r="28753" spans="1:1" x14ac:dyDescent="0.3">
      <c r="A28753" t="s">
        <v>0</v>
      </c>
    </row>
    <row r="28754" spans="1:1" x14ac:dyDescent="0.3">
      <c r="A28754" t="s">
        <v>0</v>
      </c>
    </row>
    <row r="28755" spans="1:1" x14ac:dyDescent="0.3">
      <c r="A28755" t="s">
        <v>0</v>
      </c>
    </row>
    <row r="28756" spans="1:1" x14ac:dyDescent="0.3">
      <c r="A28756" t="s">
        <v>0</v>
      </c>
    </row>
    <row r="28757" spans="1:1" x14ac:dyDescent="0.3">
      <c r="A28757" t="s">
        <v>0</v>
      </c>
    </row>
    <row r="28758" spans="1:1" x14ac:dyDescent="0.3">
      <c r="A28758" t="s">
        <v>0</v>
      </c>
    </row>
    <row r="28759" spans="1:1" x14ac:dyDescent="0.3">
      <c r="A28759" t="s">
        <v>0</v>
      </c>
    </row>
    <row r="28760" spans="1:1" x14ac:dyDescent="0.3">
      <c r="A28760" t="s">
        <v>0</v>
      </c>
    </row>
    <row r="28761" spans="1:1" x14ac:dyDescent="0.3">
      <c r="A28761" t="s">
        <v>0</v>
      </c>
    </row>
    <row r="28762" spans="1:1" x14ac:dyDescent="0.3">
      <c r="A28762" t="s">
        <v>0</v>
      </c>
    </row>
    <row r="28763" spans="1:1" x14ac:dyDescent="0.3">
      <c r="A28763" t="s">
        <v>0</v>
      </c>
    </row>
    <row r="28764" spans="1:1" x14ac:dyDescent="0.3">
      <c r="A28764" t="s">
        <v>0</v>
      </c>
    </row>
    <row r="28765" spans="1:1" x14ac:dyDescent="0.3">
      <c r="A28765" t="s">
        <v>0</v>
      </c>
    </row>
    <row r="28766" spans="1:1" x14ac:dyDescent="0.3">
      <c r="A28766" t="s">
        <v>0</v>
      </c>
    </row>
    <row r="28767" spans="1:1" x14ac:dyDescent="0.3">
      <c r="A28767" t="s">
        <v>0</v>
      </c>
    </row>
    <row r="28768" spans="1:1" x14ac:dyDescent="0.3">
      <c r="A28768" t="s">
        <v>0</v>
      </c>
    </row>
    <row r="28769" spans="1:1" x14ac:dyDescent="0.3">
      <c r="A28769" t="s">
        <v>0</v>
      </c>
    </row>
    <row r="28770" spans="1:1" x14ac:dyDescent="0.3">
      <c r="A28770" t="s">
        <v>0</v>
      </c>
    </row>
    <row r="28771" spans="1:1" x14ac:dyDescent="0.3">
      <c r="A28771" t="s">
        <v>0</v>
      </c>
    </row>
    <row r="28772" spans="1:1" x14ac:dyDescent="0.3">
      <c r="A28772" t="s">
        <v>0</v>
      </c>
    </row>
    <row r="28773" spans="1:1" x14ac:dyDescent="0.3">
      <c r="A28773" t="s">
        <v>0</v>
      </c>
    </row>
    <row r="28774" spans="1:1" x14ac:dyDescent="0.3">
      <c r="A28774" t="s">
        <v>0</v>
      </c>
    </row>
    <row r="28775" spans="1:1" x14ac:dyDescent="0.3">
      <c r="A28775" t="s">
        <v>0</v>
      </c>
    </row>
    <row r="28776" spans="1:1" x14ac:dyDescent="0.3">
      <c r="A28776" t="s">
        <v>0</v>
      </c>
    </row>
    <row r="28777" spans="1:1" x14ac:dyDescent="0.3">
      <c r="A28777" t="s">
        <v>0</v>
      </c>
    </row>
    <row r="28778" spans="1:1" x14ac:dyDescent="0.3">
      <c r="A28778" t="s">
        <v>0</v>
      </c>
    </row>
    <row r="28779" spans="1:1" x14ac:dyDescent="0.3">
      <c r="A28779" t="s">
        <v>0</v>
      </c>
    </row>
    <row r="28780" spans="1:1" x14ac:dyDescent="0.3">
      <c r="A28780" t="s">
        <v>0</v>
      </c>
    </row>
    <row r="28781" spans="1:1" x14ac:dyDescent="0.3">
      <c r="A28781" t="s">
        <v>0</v>
      </c>
    </row>
    <row r="28782" spans="1:1" x14ac:dyDescent="0.3">
      <c r="A28782" t="s">
        <v>0</v>
      </c>
    </row>
    <row r="28783" spans="1:1" x14ac:dyDescent="0.3">
      <c r="A28783" t="s">
        <v>0</v>
      </c>
    </row>
    <row r="28784" spans="1:1" x14ac:dyDescent="0.3">
      <c r="A28784" t="s">
        <v>0</v>
      </c>
    </row>
    <row r="28785" spans="1:1" x14ac:dyDescent="0.3">
      <c r="A28785" t="s">
        <v>0</v>
      </c>
    </row>
    <row r="28786" spans="1:1" x14ac:dyDescent="0.3">
      <c r="A28786" t="s">
        <v>0</v>
      </c>
    </row>
    <row r="28787" spans="1:1" x14ac:dyDescent="0.3">
      <c r="A28787" t="s">
        <v>0</v>
      </c>
    </row>
    <row r="28788" spans="1:1" x14ac:dyDescent="0.3">
      <c r="A28788" t="s">
        <v>0</v>
      </c>
    </row>
    <row r="28789" spans="1:1" x14ac:dyDescent="0.3">
      <c r="A28789" t="s">
        <v>0</v>
      </c>
    </row>
    <row r="28790" spans="1:1" x14ac:dyDescent="0.3">
      <c r="A28790" t="s">
        <v>0</v>
      </c>
    </row>
    <row r="28791" spans="1:1" x14ac:dyDescent="0.3">
      <c r="A28791" t="s">
        <v>0</v>
      </c>
    </row>
    <row r="28792" spans="1:1" x14ac:dyDescent="0.3">
      <c r="A28792" t="s">
        <v>0</v>
      </c>
    </row>
    <row r="28793" spans="1:1" x14ac:dyDescent="0.3">
      <c r="A28793" t="s">
        <v>0</v>
      </c>
    </row>
    <row r="28794" spans="1:1" x14ac:dyDescent="0.3">
      <c r="A28794" t="s">
        <v>0</v>
      </c>
    </row>
    <row r="28795" spans="1:1" x14ac:dyDescent="0.3">
      <c r="A28795" t="s">
        <v>0</v>
      </c>
    </row>
    <row r="28796" spans="1:1" x14ac:dyDescent="0.3">
      <c r="A28796" t="s">
        <v>0</v>
      </c>
    </row>
    <row r="28797" spans="1:1" x14ac:dyDescent="0.3">
      <c r="A28797" t="s">
        <v>0</v>
      </c>
    </row>
    <row r="28798" spans="1:1" x14ac:dyDescent="0.3">
      <c r="A28798" t="s">
        <v>0</v>
      </c>
    </row>
    <row r="28799" spans="1:1" x14ac:dyDescent="0.3">
      <c r="A28799" t="s">
        <v>0</v>
      </c>
    </row>
    <row r="28800" spans="1:1" x14ac:dyDescent="0.3">
      <c r="A28800" t="s">
        <v>0</v>
      </c>
    </row>
    <row r="28801" spans="1:1" x14ac:dyDescent="0.3">
      <c r="A28801" t="s">
        <v>0</v>
      </c>
    </row>
    <row r="28802" spans="1:1" x14ac:dyDescent="0.3">
      <c r="A28802" t="s">
        <v>0</v>
      </c>
    </row>
    <row r="28803" spans="1:1" x14ac:dyDescent="0.3">
      <c r="A28803" t="s">
        <v>0</v>
      </c>
    </row>
    <row r="28804" spans="1:1" x14ac:dyDescent="0.3">
      <c r="A28804" t="s">
        <v>0</v>
      </c>
    </row>
    <row r="28805" spans="1:1" x14ac:dyDescent="0.3">
      <c r="A28805" t="s">
        <v>0</v>
      </c>
    </row>
    <row r="28806" spans="1:1" x14ac:dyDescent="0.3">
      <c r="A28806" t="s">
        <v>0</v>
      </c>
    </row>
    <row r="28807" spans="1:1" x14ac:dyDescent="0.3">
      <c r="A28807" t="s">
        <v>0</v>
      </c>
    </row>
    <row r="28808" spans="1:1" x14ac:dyDescent="0.3">
      <c r="A28808" t="s">
        <v>0</v>
      </c>
    </row>
    <row r="28809" spans="1:1" x14ac:dyDescent="0.3">
      <c r="A28809" t="s">
        <v>0</v>
      </c>
    </row>
    <row r="28810" spans="1:1" x14ac:dyDescent="0.3">
      <c r="A28810" t="s">
        <v>0</v>
      </c>
    </row>
    <row r="28811" spans="1:1" x14ac:dyDescent="0.3">
      <c r="A28811" t="s">
        <v>0</v>
      </c>
    </row>
    <row r="28812" spans="1:1" x14ac:dyDescent="0.3">
      <c r="A28812" t="s">
        <v>0</v>
      </c>
    </row>
    <row r="28813" spans="1:1" x14ac:dyDescent="0.3">
      <c r="A28813" t="s">
        <v>0</v>
      </c>
    </row>
    <row r="28814" spans="1:1" x14ac:dyDescent="0.3">
      <c r="A28814" t="s">
        <v>0</v>
      </c>
    </row>
    <row r="28815" spans="1:1" x14ac:dyDescent="0.3">
      <c r="A28815" t="s">
        <v>0</v>
      </c>
    </row>
    <row r="28816" spans="1:1" x14ac:dyDescent="0.3">
      <c r="A28816" t="s">
        <v>0</v>
      </c>
    </row>
    <row r="28817" spans="1:1" x14ac:dyDescent="0.3">
      <c r="A28817" t="s">
        <v>0</v>
      </c>
    </row>
    <row r="28818" spans="1:1" x14ac:dyDescent="0.3">
      <c r="A28818" t="s">
        <v>0</v>
      </c>
    </row>
    <row r="28819" spans="1:1" x14ac:dyDescent="0.3">
      <c r="A28819" t="s">
        <v>0</v>
      </c>
    </row>
    <row r="28820" spans="1:1" x14ac:dyDescent="0.3">
      <c r="A28820" t="s">
        <v>0</v>
      </c>
    </row>
    <row r="28821" spans="1:1" x14ac:dyDescent="0.3">
      <c r="A28821" t="s">
        <v>0</v>
      </c>
    </row>
    <row r="28822" spans="1:1" x14ac:dyDescent="0.3">
      <c r="A28822" t="s">
        <v>0</v>
      </c>
    </row>
    <row r="28823" spans="1:1" x14ac:dyDescent="0.3">
      <c r="A28823" t="s">
        <v>0</v>
      </c>
    </row>
    <row r="28824" spans="1:1" x14ac:dyDescent="0.3">
      <c r="A28824" t="s">
        <v>0</v>
      </c>
    </row>
    <row r="28825" spans="1:1" x14ac:dyDescent="0.3">
      <c r="A28825" t="s">
        <v>0</v>
      </c>
    </row>
    <row r="28826" spans="1:1" x14ac:dyDescent="0.3">
      <c r="A28826" t="s">
        <v>0</v>
      </c>
    </row>
    <row r="28827" spans="1:1" x14ac:dyDescent="0.3">
      <c r="A28827" t="s">
        <v>0</v>
      </c>
    </row>
    <row r="28828" spans="1:1" x14ac:dyDescent="0.3">
      <c r="A28828" t="s">
        <v>0</v>
      </c>
    </row>
    <row r="28829" spans="1:1" x14ac:dyDescent="0.3">
      <c r="A28829" t="s">
        <v>0</v>
      </c>
    </row>
    <row r="28830" spans="1:1" x14ac:dyDescent="0.3">
      <c r="A28830" t="s">
        <v>0</v>
      </c>
    </row>
    <row r="28831" spans="1:1" x14ac:dyDescent="0.3">
      <c r="A28831" t="s">
        <v>0</v>
      </c>
    </row>
    <row r="28832" spans="1:1" x14ac:dyDescent="0.3">
      <c r="A28832" t="s">
        <v>0</v>
      </c>
    </row>
    <row r="28833" spans="1:1" x14ac:dyDescent="0.3">
      <c r="A28833" t="s">
        <v>0</v>
      </c>
    </row>
    <row r="28834" spans="1:1" x14ac:dyDescent="0.3">
      <c r="A28834" t="s">
        <v>0</v>
      </c>
    </row>
    <row r="28835" spans="1:1" x14ac:dyDescent="0.3">
      <c r="A28835" t="s">
        <v>0</v>
      </c>
    </row>
    <row r="28836" spans="1:1" x14ac:dyDescent="0.3">
      <c r="A28836" t="s">
        <v>0</v>
      </c>
    </row>
    <row r="28837" spans="1:1" x14ac:dyDescent="0.3">
      <c r="A28837" t="s">
        <v>0</v>
      </c>
    </row>
    <row r="28838" spans="1:1" x14ac:dyDescent="0.3">
      <c r="A28838" t="s">
        <v>0</v>
      </c>
    </row>
    <row r="28839" spans="1:1" x14ac:dyDescent="0.3">
      <c r="A28839" t="s">
        <v>0</v>
      </c>
    </row>
    <row r="28840" spans="1:1" x14ac:dyDescent="0.3">
      <c r="A28840" t="s">
        <v>0</v>
      </c>
    </row>
    <row r="28841" spans="1:1" x14ac:dyDescent="0.3">
      <c r="A28841" t="s">
        <v>0</v>
      </c>
    </row>
    <row r="28842" spans="1:1" x14ac:dyDescent="0.3">
      <c r="A28842" t="s">
        <v>0</v>
      </c>
    </row>
    <row r="28843" spans="1:1" x14ac:dyDescent="0.3">
      <c r="A28843" t="s">
        <v>0</v>
      </c>
    </row>
    <row r="28844" spans="1:1" x14ac:dyDescent="0.3">
      <c r="A28844" t="s">
        <v>0</v>
      </c>
    </row>
    <row r="28845" spans="1:1" x14ac:dyDescent="0.3">
      <c r="A28845" t="s">
        <v>0</v>
      </c>
    </row>
    <row r="28846" spans="1:1" x14ac:dyDescent="0.3">
      <c r="A28846" t="s">
        <v>0</v>
      </c>
    </row>
    <row r="28847" spans="1:1" x14ac:dyDescent="0.3">
      <c r="A28847" t="s">
        <v>0</v>
      </c>
    </row>
    <row r="28848" spans="1:1" x14ac:dyDescent="0.3">
      <c r="A28848" t="s">
        <v>0</v>
      </c>
    </row>
    <row r="28849" spans="1:1" x14ac:dyDescent="0.3">
      <c r="A28849" t="s">
        <v>0</v>
      </c>
    </row>
    <row r="28850" spans="1:1" x14ac:dyDescent="0.3">
      <c r="A28850" t="s">
        <v>0</v>
      </c>
    </row>
    <row r="28851" spans="1:1" x14ac:dyDescent="0.3">
      <c r="A28851" t="s">
        <v>0</v>
      </c>
    </row>
    <row r="28852" spans="1:1" x14ac:dyDescent="0.3">
      <c r="A28852" t="s">
        <v>0</v>
      </c>
    </row>
    <row r="28853" spans="1:1" x14ac:dyDescent="0.3">
      <c r="A28853" t="s">
        <v>0</v>
      </c>
    </row>
    <row r="28854" spans="1:1" x14ac:dyDescent="0.3">
      <c r="A28854" t="s">
        <v>0</v>
      </c>
    </row>
    <row r="28855" spans="1:1" x14ac:dyDescent="0.3">
      <c r="A28855" t="s">
        <v>0</v>
      </c>
    </row>
    <row r="28856" spans="1:1" x14ac:dyDescent="0.3">
      <c r="A28856" t="s">
        <v>0</v>
      </c>
    </row>
    <row r="28857" spans="1:1" x14ac:dyDescent="0.3">
      <c r="A28857" t="s">
        <v>0</v>
      </c>
    </row>
    <row r="28858" spans="1:1" x14ac:dyDescent="0.3">
      <c r="A28858" t="s">
        <v>0</v>
      </c>
    </row>
    <row r="28859" spans="1:1" x14ac:dyDescent="0.3">
      <c r="A28859" t="s">
        <v>0</v>
      </c>
    </row>
    <row r="28860" spans="1:1" x14ac:dyDescent="0.3">
      <c r="A28860" t="s">
        <v>0</v>
      </c>
    </row>
    <row r="28861" spans="1:1" x14ac:dyDescent="0.3">
      <c r="A28861" t="s">
        <v>0</v>
      </c>
    </row>
    <row r="28862" spans="1:1" x14ac:dyDescent="0.3">
      <c r="A28862" t="s">
        <v>0</v>
      </c>
    </row>
    <row r="28863" spans="1:1" x14ac:dyDescent="0.3">
      <c r="A28863" t="s">
        <v>0</v>
      </c>
    </row>
    <row r="28864" spans="1:1" x14ac:dyDescent="0.3">
      <c r="A28864" t="s">
        <v>0</v>
      </c>
    </row>
    <row r="28865" spans="1:1" x14ac:dyDescent="0.3">
      <c r="A28865" t="s">
        <v>0</v>
      </c>
    </row>
    <row r="28866" spans="1:1" x14ac:dyDescent="0.3">
      <c r="A28866" t="s">
        <v>0</v>
      </c>
    </row>
    <row r="28867" spans="1:1" x14ac:dyDescent="0.3">
      <c r="A28867" t="s">
        <v>0</v>
      </c>
    </row>
    <row r="28868" spans="1:1" x14ac:dyDescent="0.3">
      <c r="A28868" t="s">
        <v>0</v>
      </c>
    </row>
    <row r="28869" spans="1:1" x14ac:dyDescent="0.3">
      <c r="A28869" t="s">
        <v>0</v>
      </c>
    </row>
    <row r="28870" spans="1:1" x14ac:dyDescent="0.3">
      <c r="A28870" t="s">
        <v>0</v>
      </c>
    </row>
    <row r="28871" spans="1:1" x14ac:dyDescent="0.3">
      <c r="A28871" t="s">
        <v>0</v>
      </c>
    </row>
    <row r="28872" spans="1:1" x14ac:dyDescent="0.3">
      <c r="A28872" t="s">
        <v>0</v>
      </c>
    </row>
    <row r="28873" spans="1:1" x14ac:dyDescent="0.3">
      <c r="A28873" t="s">
        <v>0</v>
      </c>
    </row>
    <row r="28874" spans="1:1" x14ac:dyDescent="0.3">
      <c r="A28874" t="s">
        <v>0</v>
      </c>
    </row>
    <row r="28875" spans="1:1" x14ac:dyDescent="0.3">
      <c r="A28875" t="s">
        <v>0</v>
      </c>
    </row>
    <row r="28876" spans="1:1" x14ac:dyDescent="0.3">
      <c r="A28876" t="s">
        <v>0</v>
      </c>
    </row>
    <row r="28877" spans="1:1" x14ac:dyDescent="0.3">
      <c r="A28877" t="s">
        <v>0</v>
      </c>
    </row>
    <row r="28878" spans="1:1" x14ac:dyDescent="0.3">
      <c r="A28878" t="s">
        <v>0</v>
      </c>
    </row>
    <row r="28879" spans="1:1" x14ac:dyDescent="0.3">
      <c r="A28879" t="s">
        <v>0</v>
      </c>
    </row>
    <row r="28880" spans="1:1" x14ac:dyDescent="0.3">
      <c r="A28880" t="s">
        <v>0</v>
      </c>
    </row>
    <row r="28881" spans="1:1" x14ac:dyDescent="0.3">
      <c r="A28881" t="s">
        <v>0</v>
      </c>
    </row>
    <row r="28882" spans="1:1" x14ac:dyDescent="0.3">
      <c r="A28882" t="s">
        <v>0</v>
      </c>
    </row>
    <row r="28883" spans="1:1" x14ac:dyDescent="0.3">
      <c r="A28883" t="s">
        <v>0</v>
      </c>
    </row>
    <row r="28884" spans="1:1" x14ac:dyDescent="0.3">
      <c r="A28884" t="s">
        <v>0</v>
      </c>
    </row>
    <row r="28885" spans="1:1" x14ac:dyDescent="0.3">
      <c r="A28885" t="s">
        <v>0</v>
      </c>
    </row>
    <row r="28886" spans="1:1" x14ac:dyDescent="0.3">
      <c r="A28886" t="s">
        <v>0</v>
      </c>
    </row>
    <row r="28887" spans="1:1" x14ac:dyDescent="0.3">
      <c r="A28887" t="s">
        <v>0</v>
      </c>
    </row>
    <row r="28888" spans="1:1" x14ac:dyDescent="0.3">
      <c r="A28888" t="s">
        <v>0</v>
      </c>
    </row>
    <row r="28889" spans="1:1" x14ac:dyDescent="0.3">
      <c r="A28889" t="s">
        <v>0</v>
      </c>
    </row>
    <row r="28890" spans="1:1" x14ac:dyDescent="0.3">
      <c r="A28890" t="s">
        <v>0</v>
      </c>
    </row>
    <row r="28891" spans="1:1" x14ac:dyDescent="0.3">
      <c r="A28891" t="s">
        <v>0</v>
      </c>
    </row>
    <row r="28892" spans="1:1" x14ac:dyDescent="0.3">
      <c r="A28892" t="s">
        <v>0</v>
      </c>
    </row>
    <row r="28893" spans="1:1" x14ac:dyDescent="0.3">
      <c r="A28893" t="s">
        <v>0</v>
      </c>
    </row>
    <row r="28894" spans="1:1" x14ac:dyDescent="0.3">
      <c r="A28894" t="s">
        <v>0</v>
      </c>
    </row>
    <row r="28895" spans="1:1" x14ac:dyDescent="0.3">
      <c r="A28895" t="s">
        <v>0</v>
      </c>
    </row>
    <row r="28896" spans="1:1" x14ac:dyDescent="0.3">
      <c r="A28896" t="s">
        <v>0</v>
      </c>
    </row>
    <row r="28897" spans="1:1" x14ac:dyDescent="0.3">
      <c r="A28897" t="s">
        <v>0</v>
      </c>
    </row>
    <row r="28898" spans="1:1" x14ac:dyDescent="0.3">
      <c r="A28898" t="s">
        <v>0</v>
      </c>
    </row>
    <row r="28899" spans="1:1" x14ac:dyDescent="0.3">
      <c r="A28899" t="s">
        <v>0</v>
      </c>
    </row>
    <row r="28900" spans="1:1" x14ac:dyDescent="0.3">
      <c r="A28900" t="s">
        <v>0</v>
      </c>
    </row>
    <row r="28901" spans="1:1" x14ac:dyDescent="0.3">
      <c r="A28901" t="s">
        <v>0</v>
      </c>
    </row>
    <row r="28902" spans="1:1" x14ac:dyDescent="0.3">
      <c r="A28902" t="s">
        <v>0</v>
      </c>
    </row>
    <row r="28903" spans="1:1" x14ac:dyDescent="0.3">
      <c r="A28903" t="s">
        <v>0</v>
      </c>
    </row>
    <row r="28904" spans="1:1" x14ac:dyDescent="0.3">
      <c r="A28904" t="s">
        <v>0</v>
      </c>
    </row>
    <row r="28905" spans="1:1" x14ac:dyDescent="0.3">
      <c r="A28905" t="s">
        <v>0</v>
      </c>
    </row>
    <row r="28906" spans="1:1" x14ac:dyDescent="0.3">
      <c r="A28906" t="s">
        <v>0</v>
      </c>
    </row>
    <row r="28907" spans="1:1" x14ac:dyDescent="0.3">
      <c r="A28907" t="s">
        <v>0</v>
      </c>
    </row>
    <row r="28908" spans="1:1" x14ac:dyDescent="0.3">
      <c r="A28908" t="s">
        <v>0</v>
      </c>
    </row>
    <row r="28909" spans="1:1" x14ac:dyDescent="0.3">
      <c r="A28909" t="s">
        <v>0</v>
      </c>
    </row>
    <row r="28910" spans="1:1" x14ac:dyDescent="0.3">
      <c r="A28910" t="s">
        <v>0</v>
      </c>
    </row>
    <row r="28911" spans="1:1" x14ac:dyDescent="0.3">
      <c r="A28911" t="s">
        <v>0</v>
      </c>
    </row>
    <row r="28912" spans="1:1" x14ac:dyDescent="0.3">
      <c r="A28912" t="s">
        <v>0</v>
      </c>
    </row>
    <row r="28913" spans="1:1" x14ac:dyDescent="0.3">
      <c r="A28913" t="s">
        <v>0</v>
      </c>
    </row>
    <row r="28914" spans="1:1" x14ac:dyDescent="0.3">
      <c r="A28914" t="s">
        <v>0</v>
      </c>
    </row>
    <row r="28915" spans="1:1" x14ac:dyDescent="0.3">
      <c r="A28915" t="s">
        <v>0</v>
      </c>
    </row>
    <row r="28916" spans="1:1" x14ac:dyDescent="0.3">
      <c r="A28916" t="s">
        <v>0</v>
      </c>
    </row>
    <row r="28917" spans="1:1" x14ac:dyDescent="0.3">
      <c r="A28917" t="s">
        <v>0</v>
      </c>
    </row>
    <row r="28918" spans="1:1" x14ac:dyDescent="0.3">
      <c r="A28918" t="s">
        <v>0</v>
      </c>
    </row>
    <row r="28919" spans="1:1" x14ac:dyDescent="0.3">
      <c r="A28919" t="s">
        <v>0</v>
      </c>
    </row>
    <row r="28920" spans="1:1" x14ac:dyDescent="0.3">
      <c r="A28920" t="s">
        <v>0</v>
      </c>
    </row>
    <row r="28921" spans="1:1" x14ac:dyDescent="0.3">
      <c r="A28921" t="s">
        <v>0</v>
      </c>
    </row>
    <row r="28922" spans="1:1" x14ac:dyDescent="0.3">
      <c r="A28922" t="s">
        <v>0</v>
      </c>
    </row>
    <row r="28923" spans="1:1" x14ac:dyDescent="0.3">
      <c r="A28923" t="s">
        <v>0</v>
      </c>
    </row>
    <row r="28924" spans="1:1" x14ac:dyDescent="0.3">
      <c r="A28924" t="s">
        <v>0</v>
      </c>
    </row>
    <row r="28925" spans="1:1" x14ac:dyDescent="0.3">
      <c r="A28925" t="s">
        <v>0</v>
      </c>
    </row>
    <row r="28926" spans="1:1" x14ac:dyDescent="0.3">
      <c r="A28926" t="s">
        <v>0</v>
      </c>
    </row>
    <row r="28927" spans="1:1" x14ac:dyDescent="0.3">
      <c r="A28927" t="s">
        <v>0</v>
      </c>
    </row>
    <row r="28928" spans="1:1" x14ac:dyDescent="0.3">
      <c r="A28928" t="s">
        <v>0</v>
      </c>
    </row>
    <row r="28929" spans="1:1" x14ac:dyDescent="0.3">
      <c r="A28929" t="s">
        <v>0</v>
      </c>
    </row>
    <row r="28930" spans="1:1" x14ac:dyDescent="0.3">
      <c r="A28930" t="s">
        <v>0</v>
      </c>
    </row>
    <row r="28931" spans="1:1" x14ac:dyDescent="0.3">
      <c r="A28931" t="s">
        <v>0</v>
      </c>
    </row>
    <row r="28932" spans="1:1" x14ac:dyDescent="0.3">
      <c r="A28932" t="s">
        <v>0</v>
      </c>
    </row>
    <row r="28933" spans="1:1" x14ac:dyDescent="0.3">
      <c r="A28933" t="s">
        <v>0</v>
      </c>
    </row>
    <row r="28934" spans="1:1" x14ac:dyDescent="0.3">
      <c r="A28934" t="s">
        <v>0</v>
      </c>
    </row>
    <row r="28935" spans="1:1" x14ac:dyDescent="0.3">
      <c r="A28935" t="s">
        <v>0</v>
      </c>
    </row>
    <row r="28936" spans="1:1" x14ac:dyDescent="0.3">
      <c r="A28936" t="s">
        <v>0</v>
      </c>
    </row>
    <row r="28937" spans="1:1" x14ac:dyDescent="0.3">
      <c r="A28937" t="s">
        <v>0</v>
      </c>
    </row>
    <row r="28938" spans="1:1" x14ac:dyDescent="0.3">
      <c r="A28938" t="s">
        <v>0</v>
      </c>
    </row>
    <row r="28939" spans="1:1" x14ac:dyDescent="0.3">
      <c r="A28939" t="s">
        <v>0</v>
      </c>
    </row>
    <row r="28940" spans="1:1" x14ac:dyDescent="0.3">
      <c r="A28940" t="s">
        <v>0</v>
      </c>
    </row>
    <row r="28941" spans="1:1" x14ac:dyDescent="0.3">
      <c r="A28941" t="s">
        <v>0</v>
      </c>
    </row>
    <row r="28942" spans="1:1" x14ac:dyDescent="0.3">
      <c r="A28942" t="s">
        <v>0</v>
      </c>
    </row>
    <row r="28943" spans="1:1" x14ac:dyDescent="0.3">
      <c r="A28943" t="s">
        <v>0</v>
      </c>
    </row>
    <row r="28944" spans="1:1" x14ac:dyDescent="0.3">
      <c r="A28944" t="s">
        <v>0</v>
      </c>
    </row>
    <row r="28945" spans="1:1" x14ac:dyDescent="0.3">
      <c r="A28945" t="s">
        <v>0</v>
      </c>
    </row>
    <row r="28946" spans="1:1" x14ac:dyDescent="0.3">
      <c r="A28946" t="s">
        <v>0</v>
      </c>
    </row>
    <row r="28947" spans="1:1" x14ac:dyDescent="0.3">
      <c r="A28947" t="s">
        <v>0</v>
      </c>
    </row>
    <row r="28948" spans="1:1" x14ac:dyDescent="0.3">
      <c r="A28948" t="s">
        <v>0</v>
      </c>
    </row>
    <row r="28949" spans="1:1" x14ac:dyDescent="0.3">
      <c r="A28949" t="s">
        <v>0</v>
      </c>
    </row>
    <row r="28950" spans="1:1" x14ac:dyDescent="0.3">
      <c r="A28950" t="s">
        <v>0</v>
      </c>
    </row>
    <row r="28951" spans="1:1" x14ac:dyDescent="0.3">
      <c r="A28951" t="s">
        <v>0</v>
      </c>
    </row>
    <row r="28952" spans="1:1" x14ac:dyDescent="0.3">
      <c r="A28952" t="s">
        <v>0</v>
      </c>
    </row>
    <row r="28953" spans="1:1" x14ac:dyDescent="0.3">
      <c r="A28953" t="s">
        <v>0</v>
      </c>
    </row>
    <row r="28954" spans="1:1" x14ac:dyDescent="0.3">
      <c r="A28954" t="s">
        <v>0</v>
      </c>
    </row>
    <row r="28955" spans="1:1" x14ac:dyDescent="0.3">
      <c r="A28955" t="s">
        <v>0</v>
      </c>
    </row>
    <row r="28956" spans="1:1" x14ac:dyDescent="0.3">
      <c r="A28956" t="s">
        <v>0</v>
      </c>
    </row>
    <row r="28957" spans="1:1" x14ac:dyDescent="0.3">
      <c r="A28957" t="s">
        <v>0</v>
      </c>
    </row>
    <row r="28958" spans="1:1" x14ac:dyDescent="0.3">
      <c r="A28958" t="s">
        <v>0</v>
      </c>
    </row>
    <row r="28959" spans="1:1" x14ac:dyDescent="0.3">
      <c r="A28959" t="s">
        <v>0</v>
      </c>
    </row>
    <row r="28960" spans="1:1" x14ac:dyDescent="0.3">
      <c r="A28960" t="s">
        <v>0</v>
      </c>
    </row>
    <row r="28961" spans="1:1" x14ac:dyDescent="0.3">
      <c r="A28961" t="s">
        <v>0</v>
      </c>
    </row>
    <row r="28962" spans="1:1" x14ac:dyDescent="0.3">
      <c r="A28962" t="s">
        <v>0</v>
      </c>
    </row>
    <row r="28963" spans="1:1" x14ac:dyDescent="0.3">
      <c r="A28963" t="s">
        <v>0</v>
      </c>
    </row>
    <row r="28964" spans="1:1" x14ac:dyDescent="0.3">
      <c r="A28964" t="s">
        <v>0</v>
      </c>
    </row>
    <row r="28965" spans="1:1" x14ac:dyDescent="0.3">
      <c r="A28965" t="s">
        <v>0</v>
      </c>
    </row>
    <row r="28966" spans="1:1" x14ac:dyDescent="0.3">
      <c r="A28966" t="s">
        <v>0</v>
      </c>
    </row>
    <row r="28967" spans="1:1" x14ac:dyDescent="0.3">
      <c r="A28967" t="s">
        <v>0</v>
      </c>
    </row>
    <row r="28968" spans="1:1" x14ac:dyDescent="0.3">
      <c r="A28968" t="s">
        <v>0</v>
      </c>
    </row>
    <row r="28969" spans="1:1" x14ac:dyDescent="0.3">
      <c r="A28969" t="s">
        <v>0</v>
      </c>
    </row>
    <row r="28970" spans="1:1" x14ac:dyDescent="0.3">
      <c r="A28970" t="s">
        <v>0</v>
      </c>
    </row>
    <row r="28971" spans="1:1" x14ac:dyDescent="0.3">
      <c r="A28971" t="s">
        <v>0</v>
      </c>
    </row>
    <row r="28972" spans="1:1" x14ac:dyDescent="0.3">
      <c r="A28972" t="s">
        <v>0</v>
      </c>
    </row>
    <row r="28973" spans="1:1" x14ac:dyDescent="0.3">
      <c r="A28973" t="s">
        <v>0</v>
      </c>
    </row>
    <row r="28974" spans="1:1" x14ac:dyDescent="0.3">
      <c r="A28974" t="s">
        <v>0</v>
      </c>
    </row>
    <row r="28975" spans="1:1" x14ac:dyDescent="0.3">
      <c r="A28975" t="s">
        <v>0</v>
      </c>
    </row>
    <row r="28976" spans="1:1" x14ac:dyDescent="0.3">
      <c r="A28976" t="s">
        <v>0</v>
      </c>
    </row>
    <row r="28977" spans="1:1" x14ac:dyDescent="0.3">
      <c r="A28977" t="s">
        <v>0</v>
      </c>
    </row>
    <row r="28978" spans="1:1" x14ac:dyDescent="0.3">
      <c r="A28978" t="s">
        <v>0</v>
      </c>
    </row>
    <row r="28979" spans="1:1" x14ac:dyDescent="0.3">
      <c r="A28979" t="s">
        <v>0</v>
      </c>
    </row>
    <row r="28980" spans="1:1" x14ac:dyDescent="0.3">
      <c r="A28980" t="s">
        <v>0</v>
      </c>
    </row>
    <row r="28981" spans="1:1" x14ac:dyDescent="0.3">
      <c r="A28981" t="s">
        <v>0</v>
      </c>
    </row>
    <row r="28982" spans="1:1" x14ac:dyDescent="0.3">
      <c r="A28982" t="s">
        <v>0</v>
      </c>
    </row>
    <row r="28983" spans="1:1" x14ac:dyDescent="0.3">
      <c r="A28983" t="s">
        <v>0</v>
      </c>
    </row>
    <row r="28984" spans="1:1" x14ac:dyDescent="0.3">
      <c r="A28984" t="s">
        <v>0</v>
      </c>
    </row>
    <row r="28985" spans="1:1" x14ac:dyDescent="0.3">
      <c r="A28985" t="s">
        <v>0</v>
      </c>
    </row>
    <row r="28986" spans="1:1" x14ac:dyDescent="0.3">
      <c r="A28986" t="s">
        <v>0</v>
      </c>
    </row>
    <row r="28987" spans="1:1" x14ac:dyDescent="0.3">
      <c r="A28987" t="s">
        <v>0</v>
      </c>
    </row>
    <row r="28988" spans="1:1" x14ac:dyDescent="0.3">
      <c r="A28988" t="s">
        <v>0</v>
      </c>
    </row>
    <row r="28989" spans="1:1" x14ac:dyDescent="0.3">
      <c r="A28989" t="s">
        <v>0</v>
      </c>
    </row>
    <row r="28990" spans="1:1" x14ac:dyDescent="0.3">
      <c r="A28990" t="s">
        <v>0</v>
      </c>
    </row>
    <row r="28991" spans="1:1" x14ac:dyDescent="0.3">
      <c r="A28991" t="s">
        <v>0</v>
      </c>
    </row>
    <row r="28992" spans="1:1" x14ac:dyDescent="0.3">
      <c r="A28992" t="s">
        <v>0</v>
      </c>
    </row>
    <row r="28993" spans="1:1" x14ac:dyDescent="0.3">
      <c r="A28993" t="s">
        <v>0</v>
      </c>
    </row>
    <row r="28994" spans="1:1" x14ac:dyDescent="0.3">
      <c r="A28994" t="s">
        <v>0</v>
      </c>
    </row>
    <row r="28995" spans="1:1" x14ac:dyDescent="0.3">
      <c r="A28995" t="s">
        <v>0</v>
      </c>
    </row>
    <row r="28996" spans="1:1" x14ac:dyDescent="0.3">
      <c r="A28996" t="s">
        <v>0</v>
      </c>
    </row>
    <row r="28997" spans="1:1" x14ac:dyDescent="0.3">
      <c r="A28997" t="s">
        <v>0</v>
      </c>
    </row>
    <row r="28998" spans="1:1" x14ac:dyDescent="0.3">
      <c r="A28998" t="s">
        <v>0</v>
      </c>
    </row>
    <row r="28999" spans="1:1" x14ac:dyDescent="0.3">
      <c r="A28999" t="s">
        <v>0</v>
      </c>
    </row>
    <row r="29000" spans="1:1" x14ac:dyDescent="0.3">
      <c r="A29000" t="s">
        <v>0</v>
      </c>
    </row>
    <row r="29001" spans="1:1" x14ac:dyDescent="0.3">
      <c r="A29001" t="s">
        <v>0</v>
      </c>
    </row>
    <row r="29002" spans="1:1" x14ac:dyDescent="0.3">
      <c r="A29002" t="s">
        <v>0</v>
      </c>
    </row>
    <row r="29003" spans="1:1" x14ac:dyDescent="0.3">
      <c r="A29003" t="s">
        <v>0</v>
      </c>
    </row>
    <row r="29004" spans="1:1" x14ac:dyDescent="0.3">
      <c r="A29004" t="s">
        <v>0</v>
      </c>
    </row>
    <row r="29005" spans="1:1" x14ac:dyDescent="0.3">
      <c r="A29005" t="s">
        <v>0</v>
      </c>
    </row>
    <row r="29006" spans="1:1" x14ac:dyDescent="0.3">
      <c r="A29006" t="s">
        <v>0</v>
      </c>
    </row>
    <row r="29007" spans="1:1" x14ac:dyDescent="0.3">
      <c r="A29007" t="s">
        <v>0</v>
      </c>
    </row>
    <row r="29008" spans="1:1" x14ac:dyDescent="0.3">
      <c r="A29008" t="s">
        <v>0</v>
      </c>
    </row>
    <row r="29009" spans="1:1" x14ac:dyDescent="0.3">
      <c r="A29009" t="s">
        <v>0</v>
      </c>
    </row>
    <row r="29010" spans="1:1" x14ac:dyDescent="0.3">
      <c r="A29010" t="s">
        <v>0</v>
      </c>
    </row>
    <row r="29011" spans="1:1" x14ac:dyDescent="0.3">
      <c r="A29011" t="s">
        <v>0</v>
      </c>
    </row>
    <row r="29012" spans="1:1" x14ac:dyDescent="0.3">
      <c r="A29012" t="s">
        <v>0</v>
      </c>
    </row>
    <row r="29013" spans="1:1" x14ac:dyDescent="0.3">
      <c r="A29013" t="s">
        <v>0</v>
      </c>
    </row>
    <row r="29014" spans="1:1" x14ac:dyDescent="0.3">
      <c r="A29014" t="s">
        <v>0</v>
      </c>
    </row>
    <row r="29015" spans="1:1" x14ac:dyDescent="0.3">
      <c r="A29015" t="s">
        <v>0</v>
      </c>
    </row>
    <row r="29016" spans="1:1" x14ac:dyDescent="0.3">
      <c r="A29016" t="s">
        <v>0</v>
      </c>
    </row>
    <row r="29017" spans="1:1" x14ac:dyDescent="0.3">
      <c r="A29017" t="s">
        <v>0</v>
      </c>
    </row>
    <row r="29018" spans="1:1" x14ac:dyDescent="0.3">
      <c r="A29018" t="s">
        <v>0</v>
      </c>
    </row>
    <row r="29019" spans="1:1" x14ac:dyDescent="0.3">
      <c r="A29019" t="s">
        <v>0</v>
      </c>
    </row>
    <row r="29020" spans="1:1" x14ac:dyDescent="0.3">
      <c r="A29020" t="s">
        <v>0</v>
      </c>
    </row>
    <row r="29021" spans="1:1" x14ac:dyDescent="0.3">
      <c r="A29021" t="s">
        <v>0</v>
      </c>
    </row>
    <row r="29022" spans="1:1" x14ac:dyDescent="0.3">
      <c r="A29022" t="s">
        <v>0</v>
      </c>
    </row>
    <row r="29023" spans="1:1" x14ac:dyDescent="0.3">
      <c r="A29023" t="s">
        <v>0</v>
      </c>
    </row>
    <row r="29024" spans="1:1" x14ac:dyDescent="0.3">
      <c r="A29024" t="s">
        <v>0</v>
      </c>
    </row>
    <row r="29025" spans="1:1" x14ac:dyDescent="0.3">
      <c r="A29025" t="s">
        <v>0</v>
      </c>
    </row>
    <row r="29026" spans="1:1" x14ac:dyDescent="0.3">
      <c r="A29026" t="s">
        <v>0</v>
      </c>
    </row>
    <row r="29027" spans="1:1" x14ac:dyDescent="0.3">
      <c r="A29027" t="s">
        <v>0</v>
      </c>
    </row>
    <row r="29028" spans="1:1" x14ac:dyDescent="0.3">
      <c r="A29028" t="s">
        <v>0</v>
      </c>
    </row>
    <row r="29029" spans="1:1" x14ac:dyDescent="0.3">
      <c r="A29029" t="s">
        <v>0</v>
      </c>
    </row>
    <row r="29030" spans="1:1" x14ac:dyDescent="0.3">
      <c r="A29030" t="s">
        <v>0</v>
      </c>
    </row>
    <row r="29031" spans="1:1" x14ac:dyDescent="0.3">
      <c r="A29031" t="s">
        <v>0</v>
      </c>
    </row>
    <row r="29032" spans="1:1" x14ac:dyDescent="0.3">
      <c r="A29032" t="s">
        <v>0</v>
      </c>
    </row>
    <row r="29033" spans="1:1" x14ac:dyDescent="0.3">
      <c r="A29033" t="s">
        <v>0</v>
      </c>
    </row>
    <row r="29034" spans="1:1" x14ac:dyDescent="0.3">
      <c r="A29034" t="s">
        <v>0</v>
      </c>
    </row>
    <row r="29035" spans="1:1" x14ac:dyDescent="0.3">
      <c r="A29035" t="s">
        <v>0</v>
      </c>
    </row>
    <row r="29036" spans="1:1" x14ac:dyDescent="0.3">
      <c r="A29036" t="s">
        <v>0</v>
      </c>
    </row>
    <row r="29037" spans="1:1" x14ac:dyDescent="0.3">
      <c r="A29037" t="s">
        <v>0</v>
      </c>
    </row>
    <row r="29038" spans="1:1" x14ac:dyDescent="0.3">
      <c r="A29038" t="s">
        <v>0</v>
      </c>
    </row>
    <row r="29039" spans="1:1" x14ac:dyDescent="0.3">
      <c r="A29039" t="s">
        <v>0</v>
      </c>
    </row>
    <row r="29040" spans="1:1" x14ac:dyDescent="0.3">
      <c r="A29040" t="s">
        <v>0</v>
      </c>
    </row>
    <row r="29041" spans="1:1" x14ac:dyDescent="0.3">
      <c r="A29041" t="s">
        <v>0</v>
      </c>
    </row>
    <row r="29042" spans="1:1" x14ac:dyDescent="0.3">
      <c r="A29042" t="s">
        <v>0</v>
      </c>
    </row>
    <row r="29043" spans="1:1" x14ac:dyDescent="0.3">
      <c r="A29043" t="s">
        <v>0</v>
      </c>
    </row>
    <row r="29044" spans="1:1" x14ac:dyDescent="0.3">
      <c r="A29044" t="s">
        <v>0</v>
      </c>
    </row>
    <row r="29045" spans="1:1" x14ac:dyDescent="0.3">
      <c r="A29045" t="s">
        <v>0</v>
      </c>
    </row>
    <row r="29046" spans="1:1" x14ac:dyDescent="0.3">
      <c r="A29046" t="s">
        <v>0</v>
      </c>
    </row>
    <row r="29047" spans="1:1" x14ac:dyDescent="0.3">
      <c r="A29047" t="s">
        <v>0</v>
      </c>
    </row>
    <row r="29048" spans="1:1" x14ac:dyDescent="0.3">
      <c r="A29048" t="s">
        <v>0</v>
      </c>
    </row>
    <row r="29049" spans="1:1" x14ac:dyDescent="0.3">
      <c r="A29049" t="s">
        <v>0</v>
      </c>
    </row>
    <row r="29050" spans="1:1" x14ac:dyDescent="0.3">
      <c r="A29050" t="s">
        <v>0</v>
      </c>
    </row>
    <row r="29051" spans="1:1" x14ac:dyDescent="0.3">
      <c r="A29051" t="s">
        <v>0</v>
      </c>
    </row>
    <row r="29052" spans="1:1" x14ac:dyDescent="0.3">
      <c r="A29052" t="s">
        <v>0</v>
      </c>
    </row>
    <row r="29053" spans="1:1" x14ac:dyDescent="0.3">
      <c r="A29053" t="s">
        <v>0</v>
      </c>
    </row>
    <row r="29054" spans="1:1" x14ac:dyDescent="0.3">
      <c r="A29054" t="s">
        <v>0</v>
      </c>
    </row>
    <row r="29055" spans="1:1" x14ac:dyDescent="0.3">
      <c r="A29055" t="s">
        <v>0</v>
      </c>
    </row>
    <row r="29056" spans="1:1" x14ac:dyDescent="0.3">
      <c r="A29056" t="s">
        <v>0</v>
      </c>
    </row>
    <row r="29057" spans="1:1" x14ac:dyDescent="0.3">
      <c r="A29057" t="s">
        <v>0</v>
      </c>
    </row>
    <row r="29058" spans="1:1" x14ac:dyDescent="0.3">
      <c r="A29058" t="s">
        <v>0</v>
      </c>
    </row>
    <row r="29059" spans="1:1" x14ac:dyDescent="0.3">
      <c r="A29059" t="s">
        <v>0</v>
      </c>
    </row>
    <row r="29060" spans="1:1" x14ac:dyDescent="0.3">
      <c r="A29060" t="s">
        <v>0</v>
      </c>
    </row>
    <row r="29061" spans="1:1" x14ac:dyDescent="0.3">
      <c r="A29061" t="s">
        <v>0</v>
      </c>
    </row>
    <row r="29062" spans="1:1" x14ac:dyDescent="0.3">
      <c r="A29062" t="s">
        <v>0</v>
      </c>
    </row>
    <row r="29063" spans="1:1" x14ac:dyDescent="0.3">
      <c r="A29063" t="s">
        <v>0</v>
      </c>
    </row>
    <row r="29064" spans="1:1" x14ac:dyDescent="0.3">
      <c r="A29064" t="s">
        <v>0</v>
      </c>
    </row>
    <row r="29065" spans="1:1" x14ac:dyDescent="0.3">
      <c r="A29065" t="s">
        <v>0</v>
      </c>
    </row>
    <row r="29066" spans="1:1" x14ac:dyDescent="0.3">
      <c r="A29066" t="s">
        <v>0</v>
      </c>
    </row>
    <row r="29067" spans="1:1" x14ac:dyDescent="0.3">
      <c r="A29067" t="s">
        <v>0</v>
      </c>
    </row>
    <row r="29068" spans="1:1" x14ac:dyDescent="0.3">
      <c r="A29068" t="s">
        <v>0</v>
      </c>
    </row>
    <row r="29069" spans="1:1" x14ac:dyDescent="0.3">
      <c r="A29069" t="s">
        <v>0</v>
      </c>
    </row>
    <row r="29070" spans="1:1" x14ac:dyDescent="0.3">
      <c r="A29070" t="s">
        <v>0</v>
      </c>
    </row>
    <row r="29071" spans="1:1" x14ac:dyDescent="0.3">
      <c r="A29071" t="s">
        <v>0</v>
      </c>
    </row>
    <row r="29072" spans="1:1" x14ac:dyDescent="0.3">
      <c r="A29072" t="s">
        <v>0</v>
      </c>
    </row>
    <row r="29073" spans="1:1" x14ac:dyDescent="0.3">
      <c r="A29073" t="s">
        <v>0</v>
      </c>
    </row>
    <row r="29074" spans="1:1" x14ac:dyDescent="0.3">
      <c r="A29074" t="s">
        <v>0</v>
      </c>
    </row>
    <row r="29075" spans="1:1" x14ac:dyDescent="0.3">
      <c r="A29075" t="s">
        <v>0</v>
      </c>
    </row>
    <row r="29076" spans="1:1" x14ac:dyDescent="0.3">
      <c r="A29076" t="s">
        <v>0</v>
      </c>
    </row>
    <row r="29077" spans="1:1" x14ac:dyDescent="0.3">
      <c r="A29077" t="s">
        <v>0</v>
      </c>
    </row>
    <row r="29078" spans="1:1" x14ac:dyDescent="0.3">
      <c r="A29078" t="s">
        <v>0</v>
      </c>
    </row>
    <row r="29079" spans="1:1" x14ac:dyDescent="0.3">
      <c r="A29079" t="s">
        <v>0</v>
      </c>
    </row>
    <row r="29080" spans="1:1" x14ac:dyDescent="0.3">
      <c r="A29080" t="s">
        <v>0</v>
      </c>
    </row>
    <row r="29081" spans="1:1" x14ac:dyDescent="0.3">
      <c r="A29081" t="s">
        <v>0</v>
      </c>
    </row>
    <row r="29082" spans="1:1" x14ac:dyDescent="0.3">
      <c r="A29082" t="s">
        <v>0</v>
      </c>
    </row>
    <row r="29083" spans="1:1" x14ac:dyDescent="0.3">
      <c r="A29083" t="s">
        <v>0</v>
      </c>
    </row>
    <row r="29084" spans="1:1" x14ac:dyDescent="0.3">
      <c r="A29084" t="s">
        <v>0</v>
      </c>
    </row>
    <row r="29085" spans="1:1" x14ac:dyDescent="0.3">
      <c r="A29085" t="s">
        <v>0</v>
      </c>
    </row>
    <row r="29086" spans="1:1" x14ac:dyDescent="0.3">
      <c r="A29086" t="s">
        <v>0</v>
      </c>
    </row>
    <row r="29087" spans="1:1" x14ac:dyDescent="0.3">
      <c r="A29087" t="s">
        <v>0</v>
      </c>
    </row>
    <row r="29088" spans="1:1" x14ac:dyDescent="0.3">
      <c r="A29088" t="s">
        <v>0</v>
      </c>
    </row>
    <row r="29089" spans="1:1" x14ac:dyDescent="0.3">
      <c r="A29089" t="s">
        <v>0</v>
      </c>
    </row>
    <row r="29090" spans="1:1" x14ac:dyDescent="0.3">
      <c r="A29090" t="s">
        <v>0</v>
      </c>
    </row>
    <row r="29091" spans="1:1" x14ac:dyDescent="0.3">
      <c r="A29091" t="s">
        <v>0</v>
      </c>
    </row>
    <row r="29092" spans="1:1" x14ac:dyDescent="0.3">
      <c r="A29092" t="s">
        <v>0</v>
      </c>
    </row>
    <row r="29093" spans="1:1" x14ac:dyDescent="0.3">
      <c r="A29093" t="s">
        <v>0</v>
      </c>
    </row>
    <row r="29094" spans="1:1" x14ac:dyDescent="0.3">
      <c r="A29094" t="s">
        <v>0</v>
      </c>
    </row>
    <row r="29095" spans="1:1" x14ac:dyDescent="0.3">
      <c r="A29095" t="s">
        <v>0</v>
      </c>
    </row>
    <row r="29096" spans="1:1" x14ac:dyDescent="0.3">
      <c r="A29096" t="s">
        <v>0</v>
      </c>
    </row>
    <row r="29097" spans="1:1" x14ac:dyDescent="0.3">
      <c r="A29097" t="s">
        <v>0</v>
      </c>
    </row>
    <row r="29098" spans="1:1" x14ac:dyDescent="0.3">
      <c r="A29098" t="s">
        <v>0</v>
      </c>
    </row>
    <row r="29099" spans="1:1" x14ac:dyDescent="0.3">
      <c r="A29099" t="s">
        <v>0</v>
      </c>
    </row>
    <row r="29100" spans="1:1" x14ac:dyDescent="0.3">
      <c r="A29100" t="s">
        <v>0</v>
      </c>
    </row>
    <row r="29101" spans="1:1" x14ac:dyDescent="0.3">
      <c r="A29101" t="s">
        <v>0</v>
      </c>
    </row>
    <row r="29102" spans="1:1" x14ac:dyDescent="0.3">
      <c r="A29102" t="s">
        <v>0</v>
      </c>
    </row>
    <row r="29103" spans="1:1" x14ac:dyDescent="0.3">
      <c r="A29103" t="s">
        <v>0</v>
      </c>
    </row>
    <row r="29104" spans="1:1" x14ac:dyDescent="0.3">
      <c r="A29104" t="s">
        <v>0</v>
      </c>
    </row>
    <row r="29105" spans="1:1" x14ac:dyDescent="0.3">
      <c r="A29105" t="s">
        <v>0</v>
      </c>
    </row>
    <row r="29106" spans="1:1" x14ac:dyDescent="0.3">
      <c r="A29106" t="s">
        <v>0</v>
      </c>
    </row>
    <row r="29107" spans="1:1" x14ac:dyDescent="0.3">
      <c r="A29107" t="s">
        <v>0</v>
      </c>
    </row>
    <row r="29108" spans="1:1" x14ac:dyDescent="0.3">
      <c r="A29108" t="s">
        <v>0</v>
      </c>
    </row>
    <row r="29109" spans="1:1" x14ac:dyDescent="0.3">
      <c r="A29109" t="s">
        <v>0</v>
      </c>
    </row>
    <row r="29110" spans="1:1" x14ac:dyDescent="0.3">
      <c r="A29110" t="s">
        <v>0</v>
      </c>
    </row>
    <row r="29111" spans="1:1" x14ac:dyDescent="0.3">
      <c r="A29111" t="s">
        <v>0</v>
      </c>
    </row>
    <row r="29112" spans="1:1" x14ac:dyDescent="0.3">
      <c r="A29112" t="s">
        <v>0</v>
      </c>
    </row>
    <row r="29113" spans="1:1" x14ac:dyDescent="0.3">
      <c r="A29113" t="s">
        <v>0</v>
      </c>
    </row>
    <row r="29114" spans="1:1" x14ac:dyDescent="0.3">
      <c r="A29114" t="s">
        <v>0</v>
      </c>
    </row>
    <row r="29115" spans="1:1" x14ac:dyDescent="0.3">
      <c r="A29115" t="s">
        <v>0</v>
      </c>
    </row>
    <row r="29116" spans="1:1" x14ac:dyDescent="0.3">
      <c r="A29116" t="s">
        <v>0</v>
      </c>
    </row>
    <row r="29117" spans="1:1" x14ac:dyDescent="0.3">
      <c r="A29117" t="s">
        <v>0</v>
      </c>
    </row>
    <row r="29118" spans="1:1" x14ac:dyDescent="0.3">
      <c r="A29118" t="s">
        <v>0</v>
      </c>
    </row>
    <row r="29119" spans="1:1" x14ac:dyDescent="0.3">
      <c r="A29119" t="s">
        <v>0</v>
      </c>
    </row>
    <row r="29120" spans="1:1" x14ac:dyDescent="0.3">
      <c r="A29120" t="s">
        <v>0</v>
      </c>
    </row>
    <row r="29121" spans="1:1" x14ac:dyDescent="0.3">
      <c r="A29121" t="s">
        <v>0</v>
      </c>
    </row>
    <row r="29122" spans="1:1" x14ac:dyDescent="0.3">
      <c r="A29122" t="s">
        <v>0</v>
      </c>
    </row>
    <row r="29123" spans="1:1" x14ac:dyDescent="0.3">
      <c r="A29123" t="s">
        <v>0</v>
      </c>
    </row>
    <row r="29124" spans="1:1" x14ac:dyDescent="0.3">
      <c r="A29124" t="s">
        <v>0</v>
      </c>
    </row>
    <row r="29125" spans="1:1" x14ac:dyDescent="0.3">
      <c r="A29125" t="s">
        <v>0</v>
      </c>
    </row>
    <row r="29126" spans="1:1" x14ac:dyDescent="0.3">
      <c r="A29126" t="s">
        <v>0</v>
      </c>
    </row>
    <row r="29127" spans="1:1" x14ac:dyDescent="0.3">
      <c r="A29127" t="s">
        <v>0</v>
      </c>
    </row>
    <row r="29128" spans="1:1" x14ac:dyDescent="0.3">
      <c r="A29128" t="s">
        <v>0</v>
      </c>
    </row>
    <row r="29129" spans="1:1" x14ac:dyDescent="0.3">
      <c r="A29129" t="s">
        <v>0</v>
      </c>
    </row>
    <row r="29130" spans="1:1" x14ac:dyDescent="0.3">
      <c r="A29130" t="s">
        <v>0</v>
      </c>
    </row>
    <row r="29131" spans="1:1" x14ac:dyDescent="0.3">
      <c r="A29131" t="s">
        <v>0</v>
      </c>
    </row>
    <row r="29132" spans="1:1" x14ac:dyDescent="0.3">
      <c r="A29132" t="s">
        <v>0</v>
      </c>
    </row>
    <row r="29133" spans="1:1" x14ac:dyDescent="0.3">
      <c r="A29133" t="s">
        <v>0</v>
      </c>
    </row>
    <row r="29134" spans="1:1" x14ac:dyDescent="0.3">
      <c r="A29134" t="s">
        <v>0</v>
      </c>
    </row>
    <row r="29135" spans="1:1" x14ac:dyDescent="0.3">
      <c r="A29135" t="s">
        <v>0</v>
      </c>
    </row>
    <row r="29136" spans="1:1" x14ac:dyDescent="0.3">
      <c r="A29136" t="s">
        <v>0</v>
      </c>
    </row>
    <row r="29137" spans="1:1" x14ac:dyDescent="0.3">
      <c r="A29137" t="s">
        <v>0</v>
      </c>
    </row>
    <row r="29138" spans="1:1" x14ac:dyDescent="0.3">
      <c r="A29138" t="s">
        <v>0</v>
      </c>
    </row>
    <row r="29139" spans="1:1" x14ac:dyDescent="0.3">
      <c r="A29139" t="s">
        <v>0</v>
      </c>
    </row>
    <row r="29140" spans="1:1" x14ac:dyDescent="0.3">
      <c r="A29140" t="s">
        <v>0</v>
      </c>
    </row>
    <row r="29141" spans="1:1" x14ac:dyDescent="0.3">
      <c r="A29141" t="s">
        <v>0</v>
      </c>
    </row>
    <row r="29142" spans="1:1" x14ac:dyDescent="0.3">
      <c r="A29142" t="s">
        <v>0</v>
      </c>
    </row>
    <row r="29143" spans="1:1" x14ac:dyDescent="0.3">
      <c r="A29143" t="s">
        <v>0</v>
      </c>
    </row>
    <row r="29144" spans="1:1" x14ac:dyDescent="0.3">
      <c r="A29144" t="s">
        <v>0</v>
      </c>
    </row>
    <row r="29145" spans="1:1" x14ac:dyDescent="0.3">
      <c r="A29145" t="s">
        <v>0</v>
      </c>
    </row>
    <row r="29146" spans="1:1" x14ac:dyDescent="0.3">
      <c r="A29146" t="s">
        <v>0</v>
      </c>
    </row>
    <row r="29147" spans="1:1" x14ac:dyDescent="0.3">
      <c r="A29147" t="s">
        <v>0</v>
      </c>
    </row>
    <row r="29148" spans="1:1" x14ac:dyDescent="0.3">
      <c r="A29148" t="s">
        <v>0</v>
      </c>
    </row>
    <row r="29149" spans="1:1" x14ac:dyDescent="0.3">
      <c r="A29149" t="s">
        <v>0</v>
      </c>
    </row>
    <row r="29150" spans="1:1" x14ac:dyDescent="0.3">
      <c r="A29150" t="s">
        <v>0</v>
      </c>
    </row>
    <row r="29151" spans="1:1" x14ac:dyDescent="0.3">
      <c r="A29151" t="s">
        <v>0</v>
      </c>
    </row>
    <row r="29152" spans="1:1" x14ac:dyDescent="0.3">
      <c r="A29152" t="s">
        <v>0</v>
      </c>
    </row>
    <row r="29153" spans="1:1" x14ac:dyDescent="0.3">
      <c r="A29153" t="s">
        <v>0</v>
      </c>
    </row>
    <row r="29154" spans="1:1" x14ac:dyDescent="0.3">
      <c r="A29154" t="s">
        <v>0</v>
      </c>
    </row>
    <row r="29155" spans="1:1" x14ac:dyDescent="0.3">
      <c r="A29155" t="s">
        <v>0</v>
      </c>
    </row>
    <row r="29156" spans="1:1" x14ac:dyDescent="0.3">
      <c r="A29156" t="s">
        <v>0</v>
      </c>
    </row>
    <row r="29157" spans="1:1" x14ac:dyDescent="0.3">
      <c r="A29157" t="s">
        <v>0</v>
      </c>
    </row>
    <row r="29158" spans="1:1" x14ac:dyDescent="0.3">
      <c r="A29158" t="s">
        <v>0</v>
      </c>
    </row>
    <row r="29159" spans="1:1" x14ac:dyDescent="0.3">
      <c r="A29159" t="s">
        <v>0</v>
      </c>
    </row>
    <row r="29160" spans="1:1" x14ac:dyDescent="0.3">
      <c r="A29160" t="s">
        <v>0</v>
      </c>
    </row>
    <row r="29161" spans="1:1" x14ac:dyDescent="0.3">
      <c r="A29161" t="s">
        <v>0</v>
      </c>
    </row>
    <row r="29162" spans="1:1" x14ac:dyDescent="0.3">
      <c r="A29162" t="s">
        <v>0</v>
      </c>
    </row>
    <row r="29163" spans="1:1" x14ac:dyDescent="0.3">
      <c r="A29163" t="s">
        <v>0</v>
      </c>
    </row>
    <row r="29164" spans="1:1" x14ac:dyDescent="0.3">
      <c r="A29164" t="s">
        <v>0</v>
      </c>
    </row>
    <row r="29165" spans="1:1" x14ac:dyDescent="0.3">
      <c r="A29165" t="s">
        <v>0</v>
      </c>
    </row>
    <row r="29166" spans="1:1" x14ac:dyDescent="0.3">
      <c r="A29166" t="s">
        <v>0</v>
      </c>
    </row>
    <row r="29167" spans="1:1" x14ac:dyDescent="0.3">
      <c r="A29167" t="s">
        <v>0</v>
      </c>
    </row>
    <row r="29168" spans="1:1" x14ac:dyDescent="0.3">
      <c r="A29168" t="s">
        <v>0</v>
      </c>
    </row>
    <row r="29169" spans="1:1" x14ac:dyDescent="0.3">
      <c r="A29169" t="s">
        <v>0</v>
      </c>
    </row>
    <row r="29170" spans="1:1" x14ac:dyDescent="0.3">
      <c r="A29170" t="s">
        <v>0</v>
      </c>
    </row>
    <row r="29171" spans="1:1" x14ac:dyDescent="0.3">
      <c r="A29171" t="s">
        <v>0</v>
      </c>
    </row>
    <row r="29172" spans="1:1" x14ac:dyDescent="0.3">
      <c r="A29172" t="s">
        <v>0</v>
      </c>
    </row>
    <row r="29173" spans="1:1" x14ac:dyDescent="0.3">
      <c r="A29173" t="s">
        <v>0</v>
      </c>
    </row>
    <row r="29174" spans="1:1" x14ac:dyDescent="0.3">
      <c r="A29174" t="s">
        <v>0</v>
      </c>
    </row>
    <row r="29175" spans="1:1" x14ac:dyDescent="0.3">
      <c r="A29175" t="s">
        <v>0</v>
      </c>
    </row>
    <row r="29176" spans="1:1" x14ac:dyDescent="0.3">
      <c r="A29176" t="s">
        <v>0</v>
      </c>
    </row>
    <row r="29177" spans="1:1" x14ac:dyDescent="0.3">
      <c r="A29177" t="s">
        <v>0</v>
      </c>
    </row>
    <row r="29178" spans="1:1" x14ac:dyDescent="0.3">
      <c r="A29178" t="s">
        <v>0</v>
      </c>
    </row>
    <row r="29179" spans="1:1" x14ac:dyDescent="0.3">
      <c r="A29179" t="s">
        <v>0</v>
      </c>
    </row>
    <row r="29180" spans="1:1" x14ac:dyDescent="0.3">
      <c r="A29180" t="s">
        <v>0</v>
      </c>
    </row>
    <row r="29181" spans="1:1" x14ac:dyDescent="0.3">
      <c r="A29181" t="s">
        <v>0</v>
      </c>
    </row>
    <row r="29182" spans="1:1" x14ac:dyDescent="0.3">
      <c r="A29182" t="s">
        <v>0</v>
      </c>
    </row>
    <row r="29183" spans="1:1" x14ac:dyDescent="0.3">
      <c r="A29183" t="s">
        <v>0</v>
      </c>
    </row>
    <row r="29184" spans="1:1" x14ac:dyDescent="0.3">
      <c r="A29184" t="s">
        <v>0</v>
      </c>
    </row>
    <row r="29185" spans="1:1" x14ac:dyDescent="0.3">
      <c r="A29185" t="s">
        <v>0</v>
      </c>
    </row>
    <row r="29186" spans="1:1" x14ac:dyDescent="0.3">
      <c r="A29186" t="s">
        <v>0</v>
      </c>
    </row>
    <row r="29187" spans="1:1" x14ac:dyDescent="0.3">
      <c r="A29187" t="s">
        <v>0</v>
      </c>
    </row>
    <row r="29188" spans="1:1" x14ac:dyDescent="0.3">
      <c r="A29188" t="s">
        <v>0</v>
      </c>
    </row>
    <row r="29189" spans="1:1" x14ac:dyDescent="0.3">
      <c r="A29189" t="s">
        <v>0</v>
      </c>
    </row>
    <row r="29190" spans="1:1" x14ac:dyDescent="0.3">
      <c r="A29190" t="s">
        <v>0</v>
      </c>
    </row>
    <row r="29191" spans="1:1" x14ac:dyDescent="0.3">
      <c r="A29191" t="s">
        <v>0</v>
      </c>
    </row>
    <row r="29192" spans="1:1" x14ac:dyDescent="0.3">
      <c r="A29192" t="s">
        <v>0</v>
      </c>
    </row>
    <row r="29193" spans="1:1" x14ac:dyDescent="0.3">
      <c r="A29193" t="s">
        <v>0</v>
      </c>
    </row>
    <row r="29194" spans="1:1" x14ac:dyDescent="0.3">
      <c r="A29194" t="s">
        <v>0</v>
      </c>
    </row>
    <row r="29195" spans="1:1" x14ac:dyDescent="0.3">
      <c r="A29195" t="s">
        <v>0</v>
      </c>
    </row>
    <row r="29196" spans="1:1" x14ac:dyDescent="0.3">
      <c r="A29196" t="s">
        <v>0</v>
      </c>
    </row>
    <row r="29197" spans="1:1" x14ac:dyDescent="0.3">
      <c r="A29197" t="s">
        <v>0</v>
      </c>
    </row>
    <row r="29198" spans="1:1" x14ac:dyDescent="0.3">
      <c r="A29198" t="s">
        <v>0</v>
      </c>
    </row>
    <row r="29199" spans="1:1" x14ac:dyDescent="0.3">
      <c r="A29199" t="s">
        <v>0</v>
      </c>
    </row>
    <row r="29200" spans="1:1" x14ac:dyDescent="0.3">
      <c r="A29200" t="s">
        <v>0</v>
      </c>
    </row>
    <row r="29201" spans="1:1" x14ac:dyDescent="0.3">
      <c r="A29201" t="s">
        <v>0</v>
      </c>
    </row>
    <row r="29202" spans="1:1" x14ac:dyDescent="0.3">
      <c r="A29202" t="s">
        <v>0</v>
      </c>
    </row>
    <row r="29203" spans="1:1" x14ac:dyDescent="0.3">
      <c r="A29203" t="s">
        <v>0</v>
      </c>
    </row>
    <row r="29204" spans="1:1" x14ac:dyDescent="0.3">
      <c r="A29204" t="s">
        <v>0</v>
      </c>
    </row>
    <row r="29205" spans="1:1" x14ac:dyDescent="0.3">
      <c r="A29205" t="s">
        <v>0</v>
      </c>
    </row>
    <row r="29206" spans="1:1" x14ac:dyDescent="0.3">
      <c r="A29206" t="s">
        <v>0</v>
      </c>
    </row>
    <row r="29207" spans="1:1" x14ac:dyDescent="0.3">
      <c r="A29207" t="s">
        <v>0</v>
      </c>
    </row>
    <row r="29208" spans="1:1" x14ac:dyDescent="0.3">
      <c r="A29208" t="s">
        <v>0</v>
      </c>
    </row>
    <row r="29209" spans="1:1" x14ac:dyDescent="0.3">
      <c r="A29209" t="s">
        <v>0</v>
      </c>
    </row>
    <row r="29210" spans="1:1" x14ac:dyDescent="0.3">
      <c r="A29210" t="s">
        <v>0</v>
      </c>
    </row>
    <row r="29211" spans="1:1" x14ac:dyDescent="0.3">
      <c r="A29211" t="s">
        <v>0</v>
      </c>
    </row>
    <row r="29212" spans="1:1" x14ac:dyDescent="0.3">
      <c r="A29212" t="s">
        <v>0</v>
      </c>
    </row>
    <row r="29213" spans="1:1" x14ac:dyDescent="0.3">
      <c r="A29213" t="s">
        <v>0</v>
      </c>
    </row>
    <row r="29214" spans="1:1" x14ac:dyDescent="0.3">
      <c r="A29214" t="s">
        <v>0</v>
      </c>
    </row>
    <row r="29215" spans="1:1" x14ac:dyDescent="0.3">
      <c r="A29215" t="s">
        <v>0</v>
      </c>
    </row>
    <row r="29216" spans="1:1" x14ac:dyDescent="0.3">
      <c r="A29216" t="s">
        <v>0</v>
      </c>
    </row>
    <row r="29217" spans="1:1" x14ac:dyDescent="0.3">
      <c r="A29217" t="s">
        <v>0</v>
      </c>
    </row>
    <row r="29218" spans="1:1" x14ac:dyDescent="0.3">
      <c r="A29218" t="s">
        <v>0</v>
      </c>
    </row>
    <row r="29219" spans="1:1" x14ac:dyDescent="0.3">
      <c r="A29219" t="s">
        <v>0</v>
      </c>
    </row>
    <row r="29220" spans="1:1" x14ac:dyDescent="0.3">
      <c r="A29220" t="s">
        <v>0</v>
      </c>
    </row>
    <row r="29221" spans="1:1" x14ac:dyDescent="0.3">
      <c r="A29221" t="s">
        <v>0</v>
      </c>
    </row>
    <row r="29222" spans="1:1" x14ac:dyDescent="0.3">
      <c r="A29222" t="s">
        <v>0</v>
      </c>
    </row>
    <row r="29223" spans="1:1" x14ac:dyDescent="0.3">
      <c r="A29223" t="s">
        <v>0</v>
      </c>
    </row>
    <row r="29224" spans="1:1" x14ac:dyDescent="0.3">
      <c r="A29224" t="s">
        <v>0</v>
      </c>
    </row>
    <row r="29225" spans="1:1" x14ac:dyDescent="0.3">
      <c r="A29225" t="s">
        <v>0</v>
      </c>
    </row>
    <row r="29226" spans="1:1" x14ac:dyDescent="0.3">
      <c r="A29226" t="s">
        <v>0</v>
      </c>
    </row>
    <row r="29227" spans="1:1" x14ac:dyDescent="0.3">
      <c r="A29227" t="s">
        <v>0</v>
      </c>
    </row>
    <row r="29228" spans="1:1" x14ac:dyDescent="0.3">
      <c r="A29228" t="s">
        <v>0</v>
      </c>
    </row>
    <row r="29229" spans="1:1" x14ac:dyDescent="0.3">
      <c r="A29229" t="s">
        <v>0</v>
      </c>
    </row>
    <row r="29230" spans="1:1" x14ac:dyDescent="0.3">
      <c r="A29230" t="s">
        <v>0</v>
      </c>
    </row>
    <row r="29231" spans="1:1" x14ac:dyDescent="0.3">
      <c r="A29231" t="s">
        <v>0</v>
      </c>
    </row>
    <row r="29232" spans="1:1" x14ac:dyDescent="0.3">
      <c r="A29232" t="s">
        <v>0</v>
      </c>
    </row>
    <row r="29233" spans="1:1" x14ac:dyDescent="0.3">
      <c r="A29233" t="s">
        <v>0</v>
      </c>
    </row>
    <row r="29234" spans="1:1" x14ac:dyDescent="0.3">
      <c r="A29234" t="s">
        <v>0</v>
      </c>
    </row>
    <row r="29235" spans="1:1" x14ac:dyDescent="0.3">
      <c r="A29235" t="s">
        <v>0</v>
      </c>
    </row>
    <row r="29236" spans="1:1" x14ac:dyDescent="0.3">
      <c r="A29236" t="s">
        <v>0</v>
      </c>
    </row>
    <row r="29237" spans="1:1" x14ac:dyDescent="0.3">
      <c r="A29237" t="s">
        <v>0</v>
      </c>
    </row>
    <row r="29238" spans="1:1" x14ac:dyDescent="0.3">
      <c r="A29238" t="s">
        <v>0</v>
      </c>
    </row>
    <row r="29239" spans="1:1" x14ac:dyDescent="0.3">
      <c r="A29239" t="s">
        <v>0</v>
      </c>
    </row>
    <row r="29240" spans="1:1" x14ac:dyDescent="0.3">
      <c r="A29240" t="s">
        <v>0</v>
      </c>
    </row>
    <row r="29241" spans="1:1" x14ac:dyDescent="0.3">
      <c r="A29241" t="s">
        <v>0</v>
      </c>
    </row>
    <row r="29242" spans="1:1" x14ac:dyDescent="0.3">
      <c r="A29242" t="s">
        <v>0</v>
      </c>
    </row>
    <row r="29243" spans="1:1" x14ac:dyDescent="0.3">
      <c r="A29243" t="s">
        <v>0</v>
      </c>
    </row>
    <row r="29244" spans="1:1" x14ac:dyDescent="0.3">
      <c r="A29244" t="s">
        <v>0</v>
      </c>
    </row>
    <row r="29245" spans="1:1" x14ac:dyDescent="0.3">
      <c r="A29245" t="s">
        <v>0</v>
      </c>
    </row>
    <row r="29246" spans="1:1" x14ac:dyDescent="0.3">
      <c r="A29246" t="s">
        <v>0</v>
      </c>
    </row>
    <row r="29247" spans="1:1" x14ac:dyDescent="0.3">
      <c r="A29247" t="s">
        <v>0</v>
      </c>
    </row>
    <row r="29248" spans="1:1" x14ac:dyDescent="0.3">
      <c r="A29248" t="s">
        <v>0</v>
      </c>
    </row>
    <row r="29249" spans="1:1" x14ac:dyDescent="0.3">
      <c r="A29249" t="s">
        <v>0</v>
      </c>
    </row>
    <row r="29250" spans="1:1" x14ac:dyDescent="0.3">
      <c r="A29250" t="s">
        <v>0</v>
      </c>
    </row>
    <row r="29251" spans="1:1" x14ac:dyDescent="0.3">
      <c r="A29251" t="s">
        <v>0</v>
      </c>
    </row>
    <row r="29252" spans="1:1" x14ac:dyDescent="0.3">
      <c r="A29252" t="s">
        <v>0</v>
      </c>
    </row>
    <row r="29253" spans="1:1" x14ac:dyDescent="0.3">
      <c r="A29253" t="s">
        <v>0</v>
      </c>
    </row>
    <row r="29254" spans="1:1" x14ac:dyDescent="0.3">
      <c r="A29254" t="s">
        <v>0</v>
      </c>
    </row>
    <row r="29255" spans="1:1" x14ac:dyDescent="0.3">
      <c r="A29255" t="s">
        <v>0</v>
      </c>
    </row>
    <row r="29256" spans="1:1" x14ac:dyDescent="0.3">
      <c r="A29256" t="s">
        <v>0</v>
      </c>
    </row>
    <row r="29257" spans="1:1" x14ac:dyDescent="0.3">
      <c r="A29257" t="s">
        <v>0</v>
      </c>
    </row>
    <row r="29258" spans="1:1" x14ac:dyDescent="0.3">
      <c r="A29258" t="s">
        <v>0</v>
      </c>
    </row>
    <row r="29259" spans="1:1" x14ac:dyDescent="0.3">
      <c r="A29259" t="s">
        <v>0</v>
      </c>
    </row>
    <row r="29260" spans="1:1" x14ac:dyDescent="0.3">
      <c r="A29260" t="s">
        <v>0</v>
      </c>
    </row>
    <row r="29261" spans="1:1" x14ac:dyDescent="0.3">
      <c r="A29261" t="s">
        <v>0</v>
      </c>
    </row>
    <row r="29262" spans="1:1" x14ac:dyDescent="0.3">
      <c r="A29262" t="s">
        <v>0</v>
      </c>
    </row>
    <row r="29263" spans="1:1" x14ac:dyDescent="0.3">
      <c r="A29263" t="s">
        <v>0</v>
      </c>
    </row>
    <row r="29264" spans="1:1" x14ac:dyDescent="0.3">
      <c r="A29264" t="s">
        <v>0</v>
      </c>
    </row>
    <row r="29265" spans="1:1" x14ac:dyDescent="0.3">
      <c r="A29265" t="s">
        <v>0</v>
      </c>
    </row>
    <row r="29266" spans="1:1" x14ac:dyDescent="0.3">
      <c r="A29266" t="s">
        <v>0</v>
      </c>
    </row>
    <row r="29267" spans="1:1" x14ac:dyDescent="0.3">
      <c r="A29267" t="s">
        <v>0</v>
      </c>
    </row>
    <row r="29268" spans="1:1" x14ac:dyDescent="0.3">
      <c r="A29268" t="s">
        <v>0</v>
      </c>
    </row>
    <row r="29269" spans="1:1" x14ac:dyDescent="0.3">
      <c r="A29269" t="s">
        <v>0</v>
      </c>
    </row>
    <row r="29270" spans="1:1" x14ac:dyDescent="0.3">
      <c r="A29270" t="s">
        <v>0</v>
      </c>
    </row>
    <row r="29271" spans="1:1" x14ac:dyDescent="0.3">
      <c r="A29271" t="s">
        <v>0</v>
      </c>
    </row>
    <row r="29272" spans="1:1" x14ac:dyDescent="0.3">
      <c r="A29272" t="s">
        <v>0</v>
      </c>
    </row>
    <row r="29273" spans="1:1" x14ac:dyDescent="0.3">
      <c r="A29273" t="s">
        <v>0</v>
      </c>
    </row>
    <row r="29274" spans="1:1" x14ac:dyDescent="0.3">
      <c r="A29274" t="s">
        <v>0</v>
      </c>
    </row>
    <row r="29275" spans="1:1" x14ac:dyDescent="0.3">
      <c r="A29275" t="s">
        <v>0</v>
      </c>
    </row>
    <row r="29276" spans="1:1" x14ac:dyDescent="0.3">
      <c r="A29276" t="s">
        <v>0</v>
      </c>
    </row>
    <row r="29277" spans="1:1" x14ac:dyDescent="0.3">
      <c r="A29277" t="s">
        <v>0</v>
      </c>
    </row>
    <row r="29278" spans="1:1" x14ac:dyDescent="0.3">
      <c r="A29278" t="s">
        <v>0</v>
      </c>
    </row>
    <row r="29279" spans="1:1" x14ac:dyDescent="0.3">
      <c r="A29279" t="s">
        <v>0</v>
      </c>
    </row>
    <row r="29280" spans="1:1" x14ac:dyDescent="0.3">
      <c r="A29280" t="s">
        <v>0</v>
      </c>
    </row>
    <row r="29281" spans="1:1" x14ac:dyDescent="0.3">
      <c r="A29281" t="s">
        <v>0</v>
      </c>
    </row>
    <row r="29282" spans="1:1" x14ac:dyDescent="0.3">
      <c r="A29282" t="s">
        <v>0</v>
      </c>
    </row>
    <row r="29283" spans="1:1" x14ac:dyDescent="0.3">
      <c r="A29283" t="s">
        <v>0</v>
      </c>
    </row>
    <row r="29284" spans="1:1" x14ac:dyDescent="0.3">
      <c r="A29284" t="s">
        <v>0</v>
      </c>
    </row>
    <row r="29285" spans="1:1" x14ac:dyDescent="0.3">
      <c r="A29285" t="s">
        <v>0</v>
      </c>
    </row>
    <row r="29286" spans="1:1" x14ac:dyDescent="0.3">
      <c r="A29286" t="s">
        <v>0</v>
      </c>
    </row>
    <row r="29287" spans="1:1" x14ac:dyDescent="0.3">
      <c r="A29287" t="s">
        <v>0</v>
      </c>
    </row>
    <row r="29288" spans="1:1" x14ac:dyDescent="0.3">
      <c r="A29288" t="s">
        <v>0</v>
      </c>
    </row>
    <row r="29289" spans="1:1" x14ac:dyDescent="0.3">
      <c r="A29289" t="s">
        <v>0</v>
      </c>
    </row>
    <row r="29290" spans="1:1" x14ac:dyDescent="0.3">
      <c r="A29290" t="s">
        <v>0</v>
      </c>
    </row>
    <row r="29291" spans="1:1" x14ac:dyDescent="0.3">
      <c r="A29291" t="s">
        <v>0</v>
      </c>
    </row>
    <row r="29292" spans="1:1" x14ac:dyDescent="0.3">
      <c r="A29292" t="s">
        <v>0</v>
      </c>
    </row>
    <row r="29293" spans="1:1" x14ac:dyDescent="0.3">
      <c r="A29293" t="s">
        <v>0</v>
      </c>
    </row>
    <row r="29294" spans="1:1" x14ac:dyDescent="0.3">
      <c r="A29294" t="s">
        <v>0</v>
      </c>
    </row>
    <row r="29295" spans="1:1" x14ac:dyDescent="0.3">
      <c r="A29295" t="s">
        <v>0</v>
      </c>
    </row>
    <row r="29296" spans="1:1" x14ac:dyDescent="0.3">
      <c r="A29296" t="s">
        <v>0</v>
      </c>
    </row>
    <row r="29297" spans="1:1" x14ac:dyDescent="0.3">
      <c r="A29297" t="s">
        <v>0</v>
      </c>
    </row>
    <row r="29298" spans="1:1" x14ac:dyDescent="0.3">
      <c r="A29298" t="s">
        <v>0</v>
      </c>
    </row>
    <row r="29299" spans="1:1" x14ac:dyDescent="0.3">
      <c r="A29299" t="s">
        <v>0</v>
      </c>
    </row>
    <row r="29300" spans="1:1" x14ac:dyDescent="0.3">
      <c r="A29300" t="s">
        <v>0</v>
      </c>
    </row>
    <row r="29301" spans="1:1" x14ac:dyDescent="0.3">
      <c r="A29301" t="s">
        <v>0</v>
      </c>
    </row>
    <row r="29302" spans="1:1" x14ac:dyDescent="0.3">
      <c r="A29302" t="s">
        <v>0</v>
      </c>
    </row>
    <row r="29303" spans="1:1" x14ac:dyDescent="0.3">
      <c r="A29303" t="s">
        <v>0</v>
      </c>
    </row>
    <row r="29304" spans="1:1" x14ac:dyDescent="0.3">
      <c r="A29304" t="s">
        <v>0</v>
      </c>
    </row>
    <row r="29305" spans="1:1" x14ac:dyDescent="0.3">
      <c r="A29305" t="s">
        <v>0</v>
      </c>
    </row>
    <row r="29306" spans="1:1" x14ac:dyDescent="0.3">
      <c r="A29306" t="s">
        <v>0</v>
      </c>
    </row>
    <row r="29307" spans="1:1" x14ac:dyDescent="0.3">
      <c r="A29307" t="s">
        <v>0</v>
      </c>
    </row>
    <row r="29308" spans="1:1" x14ac:dyDescent="0.3">
      <c r="A29308" t="s">
        <v>0</v>
      </c>
    </row>
    <row r="29309" spans="1:1" x14ac:dyDescent="0.3">
      <c r="A29309" t="s">
        <v>0</v>
      </c>
    </row>
    <row r="29310" spans="1:1" x14ac:dyDescent="0.3">
      <c r="A29310" t="s">
        <v>0</v>
      </c>
    </row>
    <row r="29311" spans="1:1" x14ac:dyDescent="0.3">
      <c r="A29311" t="s">
        <v>0</v>
      </c>
    </row>
    <row r="29312" spans="1:1" x14ac:dyDescent="0.3">
      <c r="A29312" t="s">
        <v>0</v>
      </c>
    </row>
    <row r="29313" spans="1:1" x14ac:dyDescent="0.3">
      <c r="A29313" t="s">
        <v>0</v>
      </c>
    </row>
    <row r="29314" spans="1:1" x14ac:dyDescent="0.3">
      <c r="A29314" t="s">
        <v>0</v>
      </c>
    </row>
    <row r="29315" spans="1:1" x14ac:dyDescent="0.3">
      <c r="A29315" t="s">
        <v>0</v>
      </c>
    </row>
    <row r="29316" spans="1:1" x14ac:dyDescent="0.3">
      <c r="A29316" t="s">
        <v>0</v>
      </c>
    </row>
    <row r="29317" spans="1:1" x14ac:dyDescent="0.3">
      <c r="A29317" t="s">
        <v>0</v>
      </c>
    </row>
    <row r="29318" spans="1:1" x14ac:dyDescent="0.3">
      <c r="A29318" t="s">
        <v>0</v>
      </c>
    </row>
    <row r="29319" spans="1:1" x14ac:dyDescent="0.3">
      <c r="A29319" t="s">
        <v>0</v>
      </c>
    </row>
    <row r="29320" spans="1:1" x14ac:dyDescent="0.3">
      <c r="A29320" t="s">
        <v>0</v>
      </c>
    </row>
    <row r="29321" spans="1:1" x14ac:dyDescent="0.3">
      <c r="A29321" t="s">
        <v>0</v>
      </c>
    </row>
    <row r="29322" spans="1:1" x14ac:dyDescent="0.3">
      <c r="A29322" t="s">
        <v>0</v>
      </c>
    </row>
    <row r="29323" spans="1:1" x14ac:dyDescent="0.3">
      <c r="A29323" t="s">
        <v>0</v>
      </c>
    </row>
    <row r="29324" spans="1:1" x14ac:dyDescent="0.3">
      <c r="A29324" t="s">
        <v>0</v>
      </c>
    </row>
    <row r="29325" spans="1:1" x14ac:dyDescent="0.3">
      <c r="A29325" t="s">
        <v>0</v>
      </c>
    </row>
    <row r="29326" spans="1:1" x14ac:dyDescent="0.3">
      <c r="A29326" t="s">
        <v>0</v>
      </c>
    </row>
    <row r="29327" spans="1:1" x14ac:dyDescent="0.3">
      <c r="A29327" t="s">
        <v>0</v>
      </c>
    </row>
    <row r="29328" spans="1:1" x14ac:dyDescent="0.3">
      <c r="A29328" t="s">
        <v>0</v>
      </c>
    </row>
    <row r="29329" spans="1:1" x14ac:dyDescent="0.3">
      <c r="A29329" t="s">
        <v>0</v>
      </c>
    </row>
    <row r="29330" spans="1:1" x14ac:dyDescent="0.3">
      <c r="A29330" t="s">
        <v>0</v>
      </c>
    </row>
    <row r="29331" spans="1:1" x14ac:dyDescent="0.3">
      <c r="A29331" t="s">
        <v>0</v>
      </c>
    </row>
    <row r="29332" spans="1:1" x14ac:dyDescent="0.3">
      <c r="A29332" t="s">
        <v>0</v>
      </c>
    </row>
    <row r="29333" spans="1:1" x14ac:dyDescent="0.3">
      <c r="A29333" t="s">
        <v>0</v>
      </c>
    </row>
    <row r="29334" spans="1:1" x14ac:dyDescent="0.3">
      <c r="A29334" t="s">
        <v>0</v>
      </c>
    </row>
    <row r="29335" spans="1:1" x14ac:dyDescent="0.3">
      <c r="A29335" t="s">
        <v>0</v>
      </c>
    </row>
    <row r="29336" spans="1:1" x14ac:dyDescent="0.3">
      <c r="A29336" t="s">
        <v>0</v>
      </c>
    </row>
    <row r="29337" spans="1:1" x14ac:dyDescent="0.3">
      <c r="A29337" t="s">
        <v>0</v>
      </c>
    </row>
    <row r="29338" spans="1:1" x14ac:dyDescent="0.3">
      <c r="A29338" t="s">
        <v>0</v>
      </c>
    </row>
    <row r="29339" spans="1:1" x14ac:dyDescent="0.3">
      <c r="A29339" t="s">
        <v>0</v>
      </c>
    </row>
    <row r="29340" spans="1:1" x14ac:dyDescent="0.3">
      <c r="A29340" t="s">
        <v>0</v>
      </c>
    </row>
    <row r="29341" spans="1:1" x14ac:dyDescent="0.3">
      <c r="A29341" t="s">
        <v>0</v>
      </c>
    </row>
    <row r="29342" spans="1:1" x14ac:dyDescent="0.3">
      <c r="A29342" t="s">
        <v>0</v>
      </c>
    </row>
    <row r="29343" spans="1:1" x14ac:dyDescent="0.3">
      <c r="A29343" t="s">
        <v>0</v>
      </c>
    </row>
    <row r="29344" spans="1:1" x14ac:dyDescent="0.3">
      <c r="A29344" t="s">
        <v>0</v>
      </c>
    </row>
    <row r="29345" spans="1:1" x14ac:dyDescent="0.3">
      <c r="A29345" t="s">
        <v>0</v>
      </c>
    </row>
    <row r="29346" spans="1:1" x14ac:dyDescent="0.3">
      <c r="A29346" t="s">
        <v>0</v>
      </c>
    </row>
    <row r="29347" spans="1:1" x14ac:dyDescent="0.3">
      <c r="A29347" t="s">
        <v>0</v>
      </c>
    </row>
    <row r="29348" spans="1:1" x14ac:dyDescent="0.3">
      <c r="A29348" t="s">
        <v>0</v>
      </c>
    </row>
    <row r="29349" spans="1:1" x14ac:dyDescent="0.3">
      <c r="A29349" t="s">
        <v>0</v>
      </c>
    </row>
    <row r="29350" spans="1:1" x14ac:dyDescent="0.3">
      <c r="A29350" t="s">
        <v>0</v>
      </c>
    </row>
    <row r="29351" spans="1:1" x14ac:dyDescent="0.3">
      <c r="A29351" t="s">
        <v>0</v>
      </c>
    </row>
    <row r="29352" spans="1:1" x14ac:dyDescent="0.3">
      <c r="A29352" t="s">
        <v>0</v>
      </c>
    </row>
    <row r="29353" spans="1:1" x14ac:dyDescent="0.3">
      <c r="A29353" t="s">
        <v>0</v>
      </c>
    </row>
    <row r="29354" spans="1:1" x14ac:dyDescent="0.3">
      <c r="A29354" t="s">
        <v>0</v>
      </c>
    </row>
    <row r="29355" spans="1:1" x14ac:dyDescent="0.3">
      <c r="A29355" t="s">
        <v>0</v>
      </c>
    </row>
    <row r="29356" spans="1:1" x14ac:dyDescent="0.3">
      <c r="A29356" t="s">
        <v>0</v>
      </c>
    </row>
    <row r="29357" spans="1:1" x14ac:dyDescent="0.3">
      <c r="A29357" t="s">
        <v>0</v>
      </c>
    </row>
    <row r="29358" spans="1:1" x14ac:dyDescent="0.3">
      <c r="A29358" t="s">
        <v>0</v>
      </c>
    </row>
    <row r="29359" spans="1:1" x14ac:dyDescent="0.3">
      <c r="A29359" t="s">
        <v>0</v>
      </c>
    </row>
    <row r="29360" spans="1:1" x14ac:dyDescent="0.3">
      <c r="A29360" t="s">
        <v>0</v>
      </c>
    </row>
    <row r="29361" spans="1:1" x14ac:dyDescent="0.3">
      <c r="A29361" t="s">
        <v>0</v>
      </c>
    </row>
    <row r="29362" spans="1:1" x14ac:dyDescent="0.3">
      <c r="A29362" t="s">
        <v>0</v>
      </c>
    </row>
    <row r="29363" spans="1:1" x14ac:dyDescent="0.3">
      <c r="A29363" t="s">
        <v>0</v>
      </c>
    </row>
    <row r="29364" spans="1:1" x14ac:dyDescent="0.3">
      <c r="A29364" t="s">
        <v>0</v>
      </c>
    </row>
    <row r="29365" spans="1:1" x14ac:dyDescent="0.3">
      <c r="A29365" t="s">
        <v>0</v>
      </c>
    </row>
    <row r="29366" spans="1:1" x14ac:dyDescent="0.3">
      <c r="A29366" t="s">
        <v>0</v>
      </c>
    </row>
    <row r="29367" spans="1:1" x14ac:dyDescent="0.3">
      <c r="A29367" t="s">
        <v>0</v>
      </c>
    </row>
    <row r="29368" spans="1:1" x14ac:dyDescent="0.3">
      <c r="A29368" t="s">
        <v>0</v>
      </c>
    </row>
    <row r="29369" spans="1:1" x14ac:dyDescent="0.3">
      <c r="A29369" t="s">
        <v>0</v>
      </c>
    </row>
    <row r="29370" spans="1:1" x14ac:dyDescent="0.3">
      <c r="A29370" t="s">
        <v>0</v>
      </c>
    </row>
    <row r="29371" spans="1:1" x14ac:dyDescent="0.3">
      <c r="A29371" t="s">
        <v>0</v>
      </c>
    </row>
    <row r="29372" spans="1:1" x14ac:dyDescent="0.3">
      <c r="A29372" t="s">
        <v>0</v>
      </c>
    </row>
    <row r="29373" spans="1:1" x14ac:dyDescent="0.3">
      <c r="A29373" t="s">
        <v>0</v>
      </c>
    </row>
    <row r="29374" spans="1:1" x14ac:dyDescent="0.3">
      <c r="A29374" t="s">
        <v>0</v>
      </c>
    </row>
    <row r="29375" spans="1:1" x14ac:dyDescent="0.3">
      <c r="A29375" t="s">
        <v>0</v>
      </c>
    </row>
    <row r="29376" spans="1:1" x14ac:dyDescent="0.3">
      <c r="A29376" t="s">
        <v>0</v>
      </c>
    </row>
    <row r="29377" spans="1:1" x14ac:dyDescent="0.3">
      <c r="A29377" t="s">
        <v>0</v>
      </c>
    </row>
    <row r="29378" spans="1:1" x14ac:dyDescent="0.3">
      <c r="A29378" t="s">
        <v>0</v>
      </c>
    </row>
    <row r="29379" spans="1:1" x14ac:dyDescent="0.3">
      <c r="A29379" t="s">
        <v>0</v>
      </c>
    </row>
    <row r="29380" spans="1:1" x14ac:dyDescent="0.3">
      <c r="A29380" t="s">
        <v>0</v>
      </c>
    </row>
    <row r="29381" spans="1:1" x14ac:dyDescent="0.3">
      <c r="A29381" t="s">
        <v>0</v>
      </c>
    </row>
    <row r="29382" spans="1:1" x14ac:dyDescent="0.3">
      <c r="A29382" t="s">
        <v>0</v>
      </c>
    </row>
    <row r="29383" spans="1:1" x14ac:dyDescent="0.3">
      <c r="A29383" t="s">
        <v>0</v>
      </c>
    </row>
    <row r="29384" spans="1:1" x14ac:dyDescent="0.3">
      <c r="A29384" t="s">
        <v>0</v>
      </c>
    </row>
    <row r="29385" spans="1:1" x14ac:dyDescent="0.3">
      <c r="A29385" t="s">
        <v>0</v>
      </c>
    </row>
    <row r="29386" spans="1:1" x14ac:dyDescent="0.3">
      <c r="A29386" t="s">
        <v>0</v>
      </c>
    </row>
    <row r="29387" spans="1:1" x14ac:dyDescent="0.3">
      <c r="A29387" t="s">
        <v>0</v>
      </c>
    </row>
    <row r="29388" spans="1:1" x14ac:dyDescent="0.3">
      <c r="A29388" t="s">
        <v>0</v>
      </c>
    </row>
    <row r="29389" spans="1:1" x14ac:dyDescent="0.3">
      <c r="A29389" t="s">
        <v>0</v>
      </c>
    </row>
    <row r="29390" spans="1:1" x14ac:dyDescent="0.3">
      <c r="A29390" t="s">
        <v>0</v>
      </c>
    </row>
    <row r="29391" spans="1:1" x14ac:dyDescent="0.3">
      <c r="A29391" t="s">
        <v>0</v>
      </c>
    </row>
    <row r="29392" spans="1:1" x14ac:dyDescent="0.3">
      <c r="A29392" t="s">
        <v>0</v>
      </c>
    </row>
    <row r="29393" spans="1:1" x14ac:dyDescent="0.3">
      <c r="A29393" t="s">
        <v>0</v>
      </c>
    </row>
    <row r="29394" spans="1:1" x14ac:dyDescent="0.3">
      <c r="A29394" t="s">
        <v>0</v>
      </c>
    </row>
    <row r="29395" spans="1:1" x14ac:dyDescent="0.3">
      <c r="A29395" t="s">
        <v>0</v>
      </c>
    </row>
    <row r="29396" spans="1:1" x14ac:dyDescent="0.3">
      <c r="A29396" t="s">
        <v>0</v>
      </c>
    </row>
    <row r="29397" spans="1:1" x14ac:dyDescent="0.3">
      <c r="A29397" t="s">
        <v>0</v>
      </c>
    </row>
    <row r="29398" spans="1:1" x14ac:dyDescent="0.3">
      <c r="A29398" t="s">
        <v>0</v>
      </c>
    </row>
    <row r="29399" spans="1:1" x14ac:dyDescent="0.3">
      <c r="A29399" t="s">
        <v>0</v>
      </c>
    </row>
    <row r="29400" spans="1:1" x14ac:dyDescent="0.3">
      <c r="A29400" t="s">
        <v>0</v>
      </c>
    </row>
    <row r="29401" spans="1:1" x14ac:dyDescent="0.3">
      <c r="A29401" t="s">
        <v>0</v>
      </c>
    </row>
    <row r="29402" spans="1:1" x14ac:dyDescent="0.3">
      <c r="A29402" t="s">
        <v>0</v>
      </c>
    </row>
    <row r="29403" spans="1:1" x14ac:dyDescent="0.3">
      <c r="A29403" t="s">
        <v>0</v>
      </c>
    </row>
    <row r="29404" spans="1:1" x14ac:dyDescent="0.3">
      <c r="A29404" t="s">
        <v>0</v>
      </c>
    </row>
    <row r="29405" spans="1:1" x14ac:dyDescent="0.3">
      <c r="A29405" t="s">
        <v>0</v>
      </c>
    </row>
    <row r="29406" spans="1:1" x14ac:dyDescent="0.3">
      <c r="A29406" t="s">
        <v>0</v>
      </c>
    </row>
    <row r="29407" spans="1:1" x14ac:dyDescent="0.3">
      <c r="A29407" t="s">
        <v>0</v>
      </c>
    </row>
    <row r="29408" spans="1:1" x14ac:dyDescent="0.3">
      <c r="A29408" t="s">
        <v>0</v>
      </c>
    </row>
    <row r="29409" spans="1:1" x14ac:dyDescent="0.3">
      <c r="A29409" t="s">
        <v>0</v>
      </c>
    </row>
    <row r="29410" spans="1:1" x14ac:dyDescent="0.3">
      <c r="A29410" t="s">
        <v>0</v>
      </c>
    </row>
    <row r="29411" spans="1:1" x14ac:dyDescent="0.3">
      <c r="A29411" t="s">
        <v>0</v>
      </c>
    </row>
    <row r="29412" spans="1:1" x14ac:dyDescent="0.3">
      <c r="A29412" t="s">
        <v>0</v>
      </c>
    </row>
    <row r="29413" spans="1:1" x14ac:dyDescent="0.3">
      <c r="A29413" t="s">
        <v>0</v>
      </c>
    </row>
    <row r="29414" spans="1:1" x14ac:dyDescent="0.3">
      <c r="A29414" t="s">
        <v>0</v>
      </c>
    </row>
    <row r="29415" spans="1:1" x14ac:dyDescent="0.3">
      <c r="A29415" t="s">
        <v>0</v>
      </c>
    </row>
    <row r="29416" spans="1:1" x14ac:dyDescent="0.3">
      <c r="A29416" t="s">
        <v>0</v>
      </c>
    </row>
    <row r="29417" spans="1:1" x14ac:dyDescent="0.3">
      <c r="A29417" t="s">
        <v>0</v>
      </c>
    </row>
    <row r="29418" spans="1:1" x14ac:dyDescent="0.3">
      <c r="A29418" t="s">
        <v>0</v>
      </c>
    </row>
    <row r="29419" spans="1:1" x14ac:dyDescent="0.3">
      <c r="A29419" t="s">
        <v>0</v>
      </c>
    </row>
    <row r="29420" spans="1:1" x14ac:dyDescent="0.3">
      <c r="A29420" t="s">
        <v>0</v>
      </c>
    </row>
    <row r="29421" spans="1:1" x14ac:dyDescent="0.3">
      <c r="A29421" t="s">
        <v>0</v>
      </c>
    </row>
    <row r="29422" spans="1:1" x14ac:dyDescent="0.3">
      <c r="A29422" t="s">
        <v>0</v>
      </c>
    </row>
    <row r="29423" spans="1:1" x14ac:dyDescent="0.3">
      <c r="A29423" t="s">
        <v>0</v>
      </c>
    </row>
    <row r="29424" spans="1:1" x14ac:dyDescent="0.3">
      <c r="A29424" t="s">
        <v>0</v>
      </c>
    </row>
    <row r="29425" spans="1:1" x14ac:dyDescent="0.3">
      <c r="A29425" t="s">
        <v>0</v>
      </c>
    </row>
    <row r="29426" spans="1:1" x14ac:dyDescent="0.3">
      <c r="A29426" t="s">
        <v>0</v>
      </c>
    </row>
    <row r="29427" spans="1:1" x14ac:dyDescent="0.3">
      <c r="A29427" t="s">
        <v>0</v>
      </c>
    </row>
    <row r="29428" spans="1:1" x14ac:dyDescent="0.3">
      <c r="A29428" t="s">
        <v>0</v>
      </c>
    </row>
    <row r="29429" spans="1:1" x14ac:dyDescent="0.3">
      <c r="A29429" t="s">
        <v>0</v>
      </c>
    </row>
    <row r="29430" spans="1:1" x14ac:dyDescent="0.3">
      <c r="A29430" t="s">
        <v>0</v>
      </c>
    </row>
    <row r="29431" spans="1:1" x14ac:dyDescent="0.3">
      <c r="A29431" t="s">
        <v>0</v>
      </c>
    </row>
    <row r="29432" spans="1:1" x14ac:dyDescent="0.3">
      <c r="A29432" t="s">
        <v>0</v>
      </c>
    </row>
    <row r="29433" spans="1:1" x14ac:dyDescent="0.3">
      <c r="A29433" t="s">
        <v>0</v>
      </c>
    </row>
    <row r="29434" spans="1:1" x14ac:dyDescent="0.3">
      <c r="A29434" t="s">
        <v>0</v>
      </c>
    </row>
    <row r="29435" spans="1:1" x14ac:dyDescent="0.3">
      <c r="A29435" t="s">
        <v>0</v>
      </c>
    </row>
    <row r="29436" spans="1:1" x14ac:dyDescent="0.3">
      <c r="A29436" t="s">
        <v>0</v>
      </c>
    </row>
    <row r="29437" spans="1:1" x14ac:dyDescent="0.3">
      <c r="A29437" t="s">
        <v>0</v>
      </c>
    </row>
    <row r="29438" spans="1:1" x14ac:dyDescent="0.3">
      <c r="A29438" t="s">
        <v>0</v>
      </c>
    </row>
    <row r="29439" spans="1:1" x14ac:dyDescent="0.3">
      <c r="A29439" t="s">
        <v>0</v>
      </c>
    </row>
    <row r="29440" spans="1:1" x14ac:dyDescent="0.3">
      <c r="A29440" t="s">
        <v>0</v>
      </c>
    </row>
    <row r="29441" spans="1:1" x14ac:dyDescent="0.3">
      <c r="A29441" t="s">
        <v>0</v>
      </c>
    </row>
    <row r="29442" spans="1:1" x14ac:dyDescent="0.3">
      <c r="A29442" t="s">
        <v>0</v>
      </c>
    </row>
    <row r="29443" spans="1:1" x14ac:dyDescent="0.3">
      <c r="A29443" t="s">
        <v>0</v>
      </c>
    </row>
    <row r="29444" spans="1:1" x14ac:dyDescent="0.3">
      <c r="A29444" t="s">
        <v>0</v>
      </c>
    </row>
    <row r="29445" spans="1:1" x14ac:dyDescent="0.3">
      <c r="A29445" t="s">
        <v>0</v>
      </c>
    </row>
    <row r="29446" spans="1:1" x14ac:dyDescent="0.3">
      <c r="A29446" t="s">
        <v>0</v>
      </c>
    </row>
    <row r="29447" spans="1:1" x14ac:dyDescent="0.3">
      <c r="A29447" t="s">
        <v>0</v>
      </c>
    </row>
    <row r="29448" spans="1:1" x14ac:dyDescent="0.3">
      <c r="A29448" t="s">
        <v>0</v>
      </c>
    </row>
    <row r="29449" spans="1:1" x14ac:dyDescent="0.3">
      <c r="A29449" t="s">
        <v>0</v>
      </c>
    </row>
    <row r="29450" spans="1:1" x14ac:dyDescent="0.3">
      <c r="A29450" t="s">
        <v>0</v>
      </c>
    </row>
    <row r="29451" spans="1:1" x14ac:dyDescent="0.3">
      <c r="A29451" t="s">
        <v>0</v>
      </c>
    </row>
    <row r="29452" spans="1:1" x14ac:dyDescent="0.3">
      <c r="A29452" t="s">
        <v>0</v>
      </c>
    </row>
    <row r="29453" spans="1:1" x14ac:dyDescent="0.3">
      <c r="A29453" t="s">
        <v>0</v>
      </c>
    </row>
    <row r="29454" spans="1:1" x14ac:dyDescent="0.3">
      <c r="A29454" t="s">
        <v>0</v>
      </c>
    </row>
    <row r="29455" spans="1:1" x14ac:dyDescent="0.3">
      <c r="A29455" t="s">
        <v>0</v>
      </c>
    </row>
    <row r="29456" spans="1:1" x14ac:dyDescent="0.3">
      <c r="A29456" t="s">
        <v>0</v>
      </c>
    </row>
    <row r="29457" spans="1:1" x14ac:dyDescent="0.3">
      <c r="A29457" t="s">
        <v>0</v>
      </c>
    </row>
    <row r="29458" spans="1:1" x14ac:dyDescent="0.3">
      <c r="A29458" t="s">
        <v>0</v>
      </c>
    </row>
    <row r="29459" spans="1:1" x14ac:dyDescent="0.3">
      <c r="A29459" t="s">
        <v>0</v>
      </c>
    </row>
    <row r="29460" spans="1:1" x14ac:dyDescent="0.3">
      <c r="A29460" t="s">
        <v>0</v>
      </c>
    </row>
    <row r="29461" spans="1:1" x14ac:dyDescent="0.3">
      <c r="A29461" t="s">
        <v>0</v>
      </c>
    </row>
    <row r="29462" spans="1:1" x14ac:dyDescent="0.3">
      <c r="A29462" t="s">
        <v>0</v>
      </c>
    </row>
    <row r="29463" spans="1:1" x14ac:dyDescent="0.3">
      <c r="A29463" t="s">
        <v>0</v>
      </c>
    </row>
    <row r="29464" spans="1:1" x14ac:dyDescent="0.3">
      <c r="A29464" t="s">
        <v>0</v>
      </c>
    </row>
    <row r="29465" spans="1:1" x14ac:dyDescent="0.3">
      <c r="A29465" t="s">
        <v>0</v>
      </c>
    </row>
    <row r="29466" spans="1:1" x14ac:dyDescent="0.3">
      <c r="A29466" t="s">
        <v>0</v>
      </c>
    </row>
    <row r="29467" spans="1:1" x14ac:dyDescent="0.3">
      <c r="A29467" t="s">
        <v>0</v>
      </c>
    </row>
    <row r="29468" spans="1:1" x14ac:dyDescent="0.3">
      <c r="A29468" t="s">
        <v>0</v>
      </c>
    </row>
    <row r="29469" spans="1:1" x14ac:dyDescent="0.3">
      <c r="A29469" t="s">
        <v>0</v>
      </c>
    </row>
    <row r="29470" spans="1:1" x14ac:dyDescent="0.3">
      <c r="A29470" t="s">
        <v>0</v>
      </c>
    </row>
    <row r="29471" spans="1:1" x14ac:dyDescent="0.3">
      <c r="A29471" t="s">
        <v>0</v>
      </c>
    </row>
    <row r="29472" spans="1:1" x14ac:dyDescent="0.3">
      <c r="A29472" t="s">
        <v>0</v>
      </c>
    </row>
    <row r="29473" spans="1:1" x14ac:dyDescent="0.3">
      <c r="A29473" t="s">
        <v>0</v>
      </c>
    </row>
    <row r="29474" spans="1:1" x14ac:dyDescent="0.3">
      <c r="A29474" t="s">
        <v>0</v>
      </c>
    </row>
    <row r="29475" spans="1:1" x14ac:dyDescent="0.3">
      <c r="A29475" t="s">
        <v>0</v>
      </c>
    </row>
    <row r="29476" spans="1:1" x14ac:dyDescent="0.3">
      <c r="A29476" t="s">
        <v>0</v>
      </c>
    </row>
    <row r="29477" spans="1:1" x14ac:dyDescent="0.3">
      <c r="A29477" t="s">
        <v>0</v>
      </c>
    </row>
    <row r="29478" spans="1:1" x14ac:dyDescent="0.3">
      <c r="A29478" t="s">
        <v>0</v>
      </c>
    </row>
    <row r="29479" spans="1:1" x14ac:dyDescent="0.3">
      <c r="A29479" t="s">
        <v>0</v>
      </c>
    </row>
    <row r="29480" spans="1:1" x14ac:dyDescent="0.3">
      <c r="A29480" t="s">
        <v>0</v>
      </c>
    </row>
    <row r="29481" spans="1:1" x14ac:dyDescent="0.3">
      <c r="A29481" t="s">
        <v>0</v>
      </c>
    </row>
    <row r="29482" spans="1:1" x14ac:dyDescent="0.3">
      <c r="A29482" t="s">
        <v>0</v>
      </c>
    </row>
    <row r="29483" spans="1:1" x14ac:dyDescent="0.3">
      <c r="A29483" t="s">
        <v>0</v>
      </c>
    </row>
    <row r="29484" spans="1:1" x14ac:dyDescent="0.3">
      <c r="A29484" t="s">
        <v>0</v>
      </c>
    </row>
    <row r="29485" spans="1:1" x14ac:dyDescent="0.3">
      <c r="A29485" t="s">
        <v>0</v>
      </c>
    </row>
    <row r="29486" spans="1:1" x14ac:dyDescent="0.3">
      <c r="A29486" t="s">
        <v>0</v>
      </c>
    </row>
    <row r="29487" spans="1:1" x14ac:dyDescent="0.3">
      <c r="A29487" t="s">
        <v>0</v>
      </c>
    </row>
    <row r="29488" spans="1:1" x14ac:dyDescent="0.3">
      <c r="A29488" t="s">
        <v>0</v>
      </c>
    </row>
    <row r="29489" spans="1:1" x14ac:dyDescent="0.3">
      <c r="A29489" t="s">
        <v>0</v>
      </c>
    </row>
    <row r="29490" spans="1:1" x14ac:dyDescent="0.3">
      <c r="A29490" t="s">
        <v>0</v>
      </c>
    </row>
    <row r="29491" spans="1:1" x14ac:dyDescent="0.3">
      <c r="A29491" t="s">
        <v>0</v>
      </c>
    </row>
    <row r="29492" spans="1:1" x14ac:dyDescent="0.3">
      <c r="A29492" t="s">
        <v>0</v>
      </c>
    </row>
    <row r="29493" spans="1:1" x14ac:dyDescent="0.3">
      <c r="A29493" t="s">
        <v>0</v>
      </c>
    </row>
    <row r="29494" spans="1:1" x14ac:dyDescent="0.3">
      <c r="A29494" t="s">
        <v>0</v>
      </c>
    </row>
    <row r="29495" spans="1:1" x14ac:dyDescent="0.3">
      <c r="A29495" t="s">
        <v>0</v>
      </c>
    </row>
    <row r="29496" spans="1:1" x14ac:dyDescent="0.3">
      <c r="A29496" t="s">
        <v>0</v>
      </c>
    </row>
    <row r="29497" spans="1:1" x14ac:dyDescent="0.3">
      <c r="A29497" t="s">
        <v>0</v>
      </c>
    </row>
    <row r="29498" spans="1:1" x14ac:dyDescent="0.3">
      <c r="A29498" t="s">
        <v>0</v>
      </c>
    </row>
    <row r="29499" spans="1:1" x14ac:dyDescent="0.3">
      <c r="A29499" t="s">
        <v>0</v>
      </c>
    </row>
    <row r="29500" spans="1:1" x14ac:dyDescent="0.3">
      <c r="A29500" t="s">
        <v>0</v>
      </c>
    </row>
    <row r="29501" spans="1:1" x14ac:dyDescent="0.3">
      <c r="A29501" t="s">
        <v>0</v>
      </c>
    </row>
    <row r="29502" spans="1:1" x14ac:dyDescent="0.3">
      <c r="A29502" t="s">
        <v>0</v>
      </c>
    </row>
    <row r="29503" spans="1:1" x14ac:dyDescent="0.3">
      <c r="A29503" t="s">
        <v>0</v>
      </c>
    </row>
    <row r="29504" spans="1:1" x14ac:dyDescent="0.3">
      <c r="A29504" t="s">
        <v>0</v>
      </c>
    </row>
    <row r="29505" spans="1:1" x14ac:dyDescent="0.3">
      <c r="A29505" t="s">
        <v>0</v>
      </c>
    </row>
    <row r="29506" spans="1:1" x14ac:dyDescent="0.3">
      <c r="A29506" t="s">
        <v>0</v>
      </c>
    </row>
    <row r="29507" spans="1:1" x14ac:dyDescent="0.3">
      <c r="A29507" t="s">
        <v>0</v>
      </c>
    </row>
    <row r="29508" spans="1:1" x14ac:dyDescent="0.3">
      <c r="A29508" t="s">
        <v>0</v>
      </c>
    </row>
    <row r="29509" spans="1:1" x14ac:dyDescent="0.3">
      <c r="A29509" t="s">
        <v>0</v>
      </c>
    </row>
    <row r="29510" spans="1:1" x14ac:dyDescent="0.3">
      <c r="A29510" t="s">
        <v>0</v>
      </c>
    </row>
    <row r="29511" spans="1:1" x14ac:dyDescent="0.3">
      <c r="A29511" t="s">
        <v>0</v>
      </c>
    </row>
    <row r="29512" spans="1:1" x14ac:dyDescent="0.3">
      <c r="A29512" t="s">
        <v>0</v>
      </c>
    </row>
    <row r="29513" spans="1:1" x14ac:dyDescent="0.3">
      <c r="A29513" t="s">
        <v>0</v>
      </c>
    </row>
    <row r="29514" spans="1:1" x14ac:dyDescent="0.3">
      <c r="A29514" t="s">
        <v>0</v>
      </c>
    </row>
    <row r="29515" spans="1:1" x14ac:dyDescent="0.3">
      <c r="A29515" t="s">
        <v>0</v>
      </c>
    </row>
    <row r="29516" spans="1:1" x14ac:dyDescent="0.3">
      <c r="A29516" t="s">
        <v>0</v>
      </c>
    </row>
    <row r="29517" spans="1:1" x14ac:dyDescent="0.3">
      <c r="A29517" t="s">
        <v>0</v>
      </c>
    </row>
    <row r="29518" spans="1:1" x14ac:dyDescent="0.3">
      <c r="A29518" t="s">
        <v>0</v>
      </c>
    </row>
    <row r="29519" spans="1:1" x14ac:dyDescent="0.3">
      <c r="A29519" t="s">
        <v>0</v>
      </c>
    </row>
    <row r="29520" spans="1:1" x14ac:dyDescent="0.3">
      <c r="A29520" t="s">
        <v>0</v>
      </c>
    </row>
    <row r="29521" spans="1:1" x14ac:dyDescent="0.3">
      <c r="A29521" t="s">
        <v>0</v>
      </c>
    </row>
    <row r="29522" spans="1:1" x14ac:dyDescent="0.3">
      <c r="A29522" t="s">
        <v>0</v>
      </c>
    </row>
    <row r="29523" spans="1:1" x14ac:dyDescent="0.3">
      <c r="A29523" t="s">
        <v>0</v>
      </c>
    </row>
    <row r="29524" spans="1:1" x14ac:dyDescent="0.3">
      <c r="A29524" t="s">
        <v>0</v>
      </c>
    </row>
    <row r="29525" spans="1:1" x14ac:dyDescent="0.3">
      <c r="A29525" t="s">
        <v>0</v>
      </c>
    </row>
    <row r="29526" spans="1:1" x14ac:dyDescent="0.3">
      <c r="A29526" t="s">
        <v>0</v>
      </c>
    </row>
    <row r="29527" spans="1:1" x14ac:dyDescent="0.3">
      <c r="A29527" t="s">
        <v>0</v>
      </c>
    </row>
    <row r="29528" spans="1:1" x14ac:dyDescent="0.3">
      <c r="A29528" t="s">
        <v>0</v>
      </c>
    </row>
    <row r="29529" spans="1:1" x14ac:dyDescent="0.3">
      <c r="A29529" t="s">
        <v>0</v>
      </c>
    </row>
    <row r="29530" spans="1:1" x14ac:dyDescent="0.3">
      <c r="A29530" t="s">
        <v>0</v>
      </c>
    </row>
    <row r="29531" spans="1:1" x14ac:dyDescent="0.3">
      <c r="A29531" t="s">
        <v>0</v>
      </c>
    </row>
    <row r="29532" spans="1:1" x14ac:dyDescent="0.3">
      <c r="A29532" t="s">
        <v>0</v>
      </c>
    </row>
    <row r="29533" spans="1:1" x14ac:dyDescent="0.3">
      <c r="A29533" t="s">
        <v>0</v>
      </c>
    </row>
    <row r="29534" spans="1:1" x14ac:dyDescent="0.3">
      <c r="A29534" t="s">
        <v>0</v>
      </c>
    </row>
    <row r="29535" spans="1:1" x14ac:dyDescent="0.3">
      <c r="A29535" t="s">
        <v>0</v>
      </c>
    </row>
    <row r="29536" spans="1:1" x14ac:dyDescent="0.3">
      <c r="A29536" t="s">
        <v>0</v>
      </c>
    </row>
    <row r="29537" spans="1:1" x14ac:dyDescent="0.3">
      <c r="A29537" t="s">
        <v>0</v>
      </c>
    </row>
    <row r="29538" spans="1:1" x14ac:dyDescent="0.3">
      <c r="A29538" t="s">
        <v>0</v>
      </c>
    </row>
    <row r="29539" spans="1:1" x14ac:dyDescent="0.3">
      <c r="A29539" t="s">
        <v>0</v>
      </c>
    </row>
    <row r="29540" spans="1:1" x14ac:dyDescent="0.3">
      <c r="A29540" t="s">
        <v>0</v>
      </c>
    </row>
    <row r="29541" spans="1:1" x14ac:dyDescent="0.3">
      <c r="A29541" t="s">
        <v>0</v>
      </c>
    </row>
    <row r="29542" spans="1:1" x14ac:dyDescent="0.3">
      <c r="A29542" t="s">
        <v>0</v>
      </c>
    </row>
    <row r="29543" spans="1:1" x14ac:dyDescent="0.3">
      <c r="A29543" t="s">
        <v>0</v>
      </c>
    </row>
    <row r="29544" spans="1:1" x14ac:dyDescent="0.3">
      <c r="A29544" t="s">
        <v>0</v>
      </c>
    </row>
    <row r="29545" spans="1:1" x14ac:dyDescent="0.3">
      <c r="A29545" t="s">
        <v>0</v>
      </c>
    </row>
    <row r="29546" spans="1:1" x14ac:dyDescent="0.3">
      <c r="A29546" t="s">
        <v>0</v>
      </c>
    </row>
    <row r="29547" spans="1:1" x14ac:dyDescent="0.3">
      <c r="A29547" t="s">
        <v>0</v>
      </c>
    </row>
    <row r="29548" spans="1:1" x14ac:dyDescent="0.3">
      <c r="A29548" t="s">
        <v>0</v>
      </c>
    </row>
    <row r="29549" spans="1:1" x14ac:dyDescent="0.3">
      <c r="A29549" t="s">
        <v>0</v>
      </c>
    </row>
    <row r="29550" spans="1:1" x14ac:dyDescent="0.3">
      <c r="A29550" t="s">
        <v>0</v>
      </c>
    </row>
    <row r="29551" spans="1:1" x14ac:dyDescent="0.3">
      <c r="A29551" t="s">
        <v>0</v>
      </c>
    </row>
    <row r="29552" spans="1:1" x14ac:dyDescent="0.3">
      <c r="A29552" t="s">
        <v>0</v>
      </c>
    </row>
    <row r="29553" spans="1:1" x14ac:dyDescent="0.3">
      <c r="A29553" t="s">
        <v>0</v>
      </c>
    </row>
    <row r="29554" spans="1:1" x14ac:dyDescent="0.3">
      <c r="A29554" t="s">
        <v>0</v>
      </c>
    </row>
    <row r="29555" spans="1:1" x14ac:dyDescent="0.3">
      <c r="A29555" t="s">
        <v>0</v>
      </c>
    </row>
    <row r="29556" spans="1:1" x14ac:dyDescent="0.3">
      <c r="A29556" t="s">
        <v>0</v>
      </c>
    </row>
    <row r="29557" spans="1:1" x14ac:dyDescent="0.3">
      <c r="A29557" t="s">
        <v>0</v>
      </c>
    </row>
    <row r="29558" spans="1:1" x14ac:dyDescent="0.3">
      <c r="A29558" t="s">
        <v>0</v>
      </c>
    </row>
    <row r="29559" spans="1:1" x14ac:dyDescent="0.3">
      <c r="A29559" t="s">
        <v>0</v>
      </c>
    </row>
    <row r="29560" spans="1:1" x14ac:dyDescent="0.3">
      <c r="A29560" t="s">
        <v>0</v>
      </c>
    </row>
    <row r="29561" spans="1:1" x14ac:dyDescent="0.3">
      <c r="A29561" t="s">
        <v>0</v>
      </c>
    </row>
    <row r="29562" spans="1:1" x14ac:dyDescent="0.3">
      <c r="A29562" t="s">
        <v>0</v>
      </c>
    </row>
    <row r="29563" spans="1:1" x14ac:dyDescent="0.3">
      <c r="A29563" t="s">
        <v>0</v>
      </c>
    </row>
    <row r="29564" spans="1:1" x14ac:dyDescent="0.3">
      <c r="A29564" t="s">
        <v>0</v>
      </c>
    </row>
    <row r="29565" spans="1:1" x14ac:dyDescent="0.3">
      <c r="A29565" t="s">
        <v>0</v>
      </c>
    </row>
    <row r="29566" spans="1:1" x14ac:dyDescent="0.3">
      <c r="A29566" t="s">
        <v>0</v>
      </c>
    </row>
    <row r="29567" spans="1:1" x14ac:dyDescent="0.3">
      <c r="A29567" t="s">
        <v>0</v>
      </c>
    </row>
    <row r="29568" spans="1:1" x14ac:dyDescent="0.3">
      <c r="A29568" t="s">
        <v>0</v>
      </c>
    </row>
    <row r="29569" spans="1:1" x14ac:dyDescent="0.3">
      <c r="A29569" t="s">
        <v>0</v>
      </c>
    </row>
    <row r="29570" spans="1:1" x14ac:dyDescent="0.3">
      <c r="A29570" t="s">
        <v>0</v>
      </c>
    </row>
    <row r="29571" spans="1:1" x14ac:dyDescent="0.3">
      <c r="A29571" t="s">
        <v>0</v>
      </c>
    </row>
    <row r="29572" spans="1:1" x14ac:dyDescent="0.3">
      <c r="A29572" t="s">
        <v>0</v>
      </c>
    </row>
    <row r="29573" spans="1:1" x14ac:dyDescent="0.3">
      <c r="A29573" t="s">
        <v>0</v>
      </c>
    </row>
    <row r="29574" spans="1:1" x14ac:dyDescent="0.3">
      <c r="A29574" t="s">
        <v>0</v>
      </c>
    </row>
    <row r="29575" spans="1:1" x14ac:dyDescent="0.3">
      <c r="A29575" t="s">
        <v>0</v>
      </c>
    </row>
    <row r="29576" spans="1:1" x14ac:dyDescent="0.3">
      <c r="A29576" t="s">
        <v>0</v>
      </c>
    </row>
    <row r="29577" spans="1:1" x14ac:dyDescent="0.3">
      <c r="A29577" t="s">
        <v>0</v>
      </c>
    </row>
    <row r="29578" spans="1:1" x14ac:dyDescent="0.3">
      <c r="A29578" t="s">
        <v>0</v>
      </c>
    </row>
    <row r="29579" spans="1:1" x14ac:dyDescent="0.3">
      <c r="A29579" t="s">
        <v>0</v>
      </c>
    </row>
    <row r="29580" spans="1:1" x14ac:dyDescent="0.3">
      <c r="A29580" t="s">
        <v>0</v>
      </c>
    </row>
    <row r="29581" spans="1:1" x14ac:dyDescent="0.3">
      <c r="A29581" t="s">
        <v>0</v>
      </c>
    </row>
    <row r="29582" spans="1:1" x14ac:dyDescent="0.3">
      <c r="A29582" t="s">
        <v>0</v>
      </c>
    </row>
    <row r="29583" spans="1:1" x14ac:dyDescent="0.3">
      <c r="A29583" t="s">
        <v>0</v>
      </c>
    </row>
    <row r="29584" spans="1:1" x14ac:dyDescent="0.3">
      <c r="A29584" t="s">
        <v>0</v>
      </c>
    </row>
    <row r="29585" spans="1:1" x14ac:dyDescent="0.3">
      <c r="A29585" t="s">
        <v>0</v>
      </c>
    </row>
    <row r="29586" spans="1:1" x14ac:dyDescent="0.3">
      <c r="A29586" t="s">
        <v>0</v>
      </c>
    </row>
    <row r="29587" spans="1:1" x14ac:dyDescent="0.3">
      <c r="A29587" t="s">
        <v>0</v>
      </c>
    </row>
    <row r="29588" spans="1:1" x14ac:dyDescent="0.3">
      <c r="A29588" t="s">
        <v>0</v>
      </c>
    </row>
    <row r="29589" spans="1:1" x14ac:dyDescent="0.3">
      <c r="A29589" t="s">
        <v>0</v>
      </c>
    </row>
    <row r="29590" spans="1:1" x14ac:dyDescent="0.3">
      <c r="A29590" t="s">
        <v>0</v>
      </c>
    </row>
    <row r="29591" spans="1:1" x14ac:dyDescent="0.3">
      <c r="A29591" t="s">
        <v>0</v>
      </c>
    </row>
    <row r="29592" spans="1:1" x14ac:dyDescent="0.3">
      <c r="A29592" t="s">
        <v>0</v>
      </c>
    </row>
    <row r="29593" spans="1:1" x14ac:dyDescent="0.3">
      <c r="A29593" t="s">
        <v>0</v>
      </c>
    </row>
    <row r="29594" spans="1:1" x14ac:dyDescent="0.3">
      <c r="A29594" t="s">
        <v>0</v>
      </c>
    </row>
    <row r="29595" spans="1:1" x14ac:dyDescent="0.3">
      <c r="A29595" t="s">
        <v>0</v>
      </c>
    </row>
    <row r="29596" spans="1:1" x14ac:dyDescent="0.3">
      <c r="A29596" t="s">
        <v>0</v>
      </c>
    </row>
    <row r="29597" spans="1:1" x14ac:dyDescent="0.3">
      <c r="A29597" t="s">
        <v>0</v>
      </c>
    </row>
    <row r="29598" spans="1:1" x14ac:dyDescent="0.3">
      <c r="A29598" t="s">
        <v>0</v>
      </c>
    </row>
    <row r="29599" spans="1:1" x14ac:dyDescent="0.3">
      <c r="A29599" t="s">
        <v>0</v>
      </c>
    </row>
    <row r="29600" spans="1:1" x14ac:dyDescent="0.3">
      <c r="A29600" t="s">
        <v>0</v>
      </c>
    </row>
    <row r="29601" spans="1:1" x14ac:dyDescent="0.3">
      <c r="A29601" t="s">
        <v>0</v>
      </c>
    </row>
    <row r="29602" spans="1:1" x14ac:dyDescent="0.3">
      <c r="A29602" t="s">
        <v>0</v>
      </c>
    </row>
    <row r="29603" spans="1:1" x14ac:dyDescent="0.3">
      <c r="A29603" t="s">
        <v>0</v>
      </c>
    </row>
    <row r="29604" spans="1:1" x14ac:dyDescent="0.3">
      <c r="A29604" t="s">
        <v>0</v>
      </c>
    </row>
    <row r="29605" spans="1:1" x14ac:dyDescent="0.3">
      <c r="A29605" t="s">
        <v>0</v>
      </c>
    </row>
    <row r="29606" spans="1:1" x14ac:dyDescent="0.3">
      <c r="A29606" t="s">
        <v>0</v>
      </c>
    </row>
    <row r="29607" spans="1:1" x14ac:dyDescent="0.3">
      <c r="A29607" t="s">
        <v>0</v>
      </c>
    </row>
    <row r="29608" spans="1:1" x14ac:dyDescent="0.3">
      <c r="A29608" t="s">
        <v>0</v>
      </c>
    </row>
    <row r="29609" spans="1:1" x14ac:dyDescent="0.3">
      <c r="A29609" t="s">
        <v>0</v>
      </c>
    </row>
    <row r="29610" spans="1:1" x14ac:dyDescent="0.3">
      <c r="A29610" t="s">
        <v>0</v>
      </c>
    </row>
    <row r="29611" spans="1:1" x14ac:dyDescent="0.3">
      <c r="A29611" t="s">
        <v>0</v>
      </c>
    </row>
    <row r="29612" spans="1:1" x14ac:dyDescent="0.3">
      <c r="A29612" t="s">
        <v>0</v>
      </c>
    </row>
    <row r="29613" spans="1:1" x14ac:dyDescent="0.3">
      <c r="A29613" t="s">
        <v>0</v>
      </c>
    </row>
    <row r="29614" spans="1:1" x14ac:dyDescent="0.3">
      <c r="A29614" t="s">
        <v>0</v>
      </c>
    </row>
    <row r="29615" spans="1:1" x14ac:dyDescent="0.3">
      <c r="A29615" t="s">
        <v>0</v>
      </c>
    </row>
    <row r="29616" spans="1:1" x14ac:dyDescent="0.3">
      <c r="A29616" t="s">
        <v>0</v>
      </c>
    </row>
    <row r="29617" spans="1:1" x14ac:dyDescent="0.3">
      <c r="A29617" t="s">
        <v>0</v>
      </c>
    </row>
    <row r="29618" spans="1:1" x14ac:dyDescent="0.3">
      <c r="A29618" t="s">
        <v>0</v>
      </c>
    </row>
    <row r="29619" spans="1:1" x14ac:dyDescent="0.3">
      <c r="A29619" t="s">
        <v>0</v>
      </c>
    </row>
    <row r="29620" spans="1:1" x14ac:dyDescent="0.3">
      <c r="A29620" t="s">
        <v>0</v>
      </c>
    </row>
    <row r="29621" spans="1:1" x14ac:dyDescent="0.3">
      <c r="A29621" t="s">
        <v>0</v>
      </c>
    </row>
    <row r="29622" spans="1:1" x14ac:dyDescent="0.3">
      <c r="A29622" t="s">
        <v>0</v>
      </c>
    </row>
    <row r="29623" spans="1:1" x14ac:dyDescent="0.3">
      <c r="A29623" t="s">
        <v>0</v>
      </c>
    </row>
    <row r="29624" spans="1:1" x14ac:dyDescent="0.3">
      <c r="A29624" t="s">
        <v>0</v>
      </c>
    </row>
    <row r="29625" spans="1:1" x14ac:dyDescent="0.3">
      <c r="A29625" t="s">
        <v>0</v>
      </c>
    </row>
    <row r="29626" spans="1:1" x14ac:dyDescent="0.3">
      <c r="A29626" t="s">
        <v>0</v>
      </c>
    </row>
    <row r="29627" spans="1:1" x14ac:dyDescent="0.3">
      <c r="A29627" t="s">
        <v>0</v>
      </c>
    </row>
    <row r="29628" spans="1:1" x14ac:dyDescent="0.3">
      <c r="A29628" t="s">
        <v>0</v>
      </c>
    </row>
    <row r="29629" spans="1:1" x14ac:dyDescent="0.3">
      <c r="A29629" t="s">
        <v>0</v>
      </c>
    </row>
    <row r="29630" spans="1:1" x14ac:dyDescent="0.3">
      <c r="A29630" t="s">
        <v>0</v>
      </c>
    </row>
    <row r="29631" spans="1:1" x14ac:dyDescent="0.3">
      <c r="A29631" t="s">
        <v>0</v>
      </c>
    </row>
    <row r="29632" spans="1:1" x14ac:dyDescent="0.3">
      <c r="A29632" t="s">
        <v>0</v>
      </c>
    </row>
    <row r="29633" spans="1:1" x14ac:dyDescent="0.3">
      <c r="A29633" t="s">
        <v>0</v>
      </c>
    </row>
    <row r="29634" spans="1:1" x14ac:dyDescent="0.3">
      <c r="A29634" t="s">
        <v>0</v>
      </c>
    </row>
    <row r="29635" spans="1:1" x14ac:dyDescent="0.3">
      <c r="A29635" t="s">
        <v>0</v>
      </c>
    </row>
    <row r="29636" spans="1:1" x14ac:dyDescent="0.3">
      <c r="A29636" t="s">
        <v>0</v>
      </c>
    </row>
    <row r="29637" spans="1:1" x14ac:dyDescent="0.3">
      <c r="A29637" t="s">
        <v>0</v>
      </c>
    </row>
    <row r="29638" spans="1:1" x14ac:dyDescent="0.3">
      <c r="A29638" t="s">
        <v>0</v>
      </c>
    </row>
    <row r="29639" spans="1:1" x14ac:dyDescent="0.3">
      <c r="A29639" t="s">
        <v>0</v>
      </c>
    </row>
    <row r="29640" spans="1:1" x14ac:dyDescent="0.3">
      <c r="A29640" t="s">
        <v>0</v>
      </c>
    </row>
    <row r="29641" spans="1:1" x14ac:dyDescent="0.3">
      <c r="A29641" t="s">
        <v>0</v>
      </c>
    </row>
    <row r="29642" spans="1:1" x14ac:dyDescent="0.3">
      <c r="A29642" t="s">
        <v>0</v>
      </c>
    </row>
    <row r="29643" spans="1:1" x14ac:dyDescent="0.3">
      <c r="A29643" t="s">
        <v>0</v>
      </c>
    </row>
    <row r="29644" spans="1:1" x14ac:dyDescent="0.3">
      <c r="A29644" t="s">
        <v>0</v>
      </c>
    </row>
    <row r="29645" spans="1:1" x14ac:dyDescent="0.3">
      <c r="A29645" t="s">
        <v>0</v>
      </c>
    </row>
    <row r="29646" spans="1:1" x14ac:dyDescent="0.3">
      <c r="A29646" t="s">
        <v>0</v>
      </c>
    </row>
    <row r="29647" spans="1:1" x14ac:dyDescent="0.3">
      <c r="A29647" t="s">
        <v>0</v>
      </c>
    </row>
    <row r="29648" spans="1:1" x14ac:dyDescent="0.3">
      <c r="A29648" t="s">
        <v>0</v>
      </c>
    </row>
    <row r="29649" spans="1:1" x14ac:dyDescent="0.3">
      <c r="A29649" t="s">
        <v>0</v>
      </c>
    </row>
    <row r="29650" spans="1:1" x14ac:dyDescent="0.3">
      <c r="A29650" t="s">
        <v>0</v>
      </c>
    </row>
    <row r="29651" spans="1:1" x14ac:dyDescent="0.3">
      <c r="A29651" t="s">
        <v>0</v>
      </c>
    </row>
    <row r="29652" spans="1:1" x14ac:dyDescent="0.3">
      <c r="A29652" t="s">
        <v>0</v>
      </c>
    </row>
    <row r="29653" spans="1:1" x14ac:dyDescent="0.3">
      <c r="A29653" t="s">
        <v>0</v>
      </c>
    </row>
    <row r="29654" spans="1:1" x14ac:dyDescent="0.3">
      <c r="A29654" t="s">
        <v>0</v>
      </c>
    </row>
    <row r="29655" spans="1:1" x14ac:dyDescent="0.3">
      <c r="A29655" t="s">
        <v>0</v>
      </c>
    </row>
    <row r="29656" spans="1:1" x14ac:dyDescent="0.3">
      <c r="A29656" t="s">
        <v>0</v>
      </c>
    </row>
    <row r="29657" spans="1:1" x14ac:dyDescent="0.3">
      <c r="A29657" t="s">
        <v>0</v>
      </c>
    </row>
    <row r="29658" spans="1:1" x14ac:dyDescent="0.3">
      <c r="A29658" t="s">
        <v>0</v>
      </c>
    </row>
    <row r="29659" spans="1:1" x14ac:dyDescent="0.3">
      <c r="A29659" t="s">
        <v>0</v>
      </c>
    </row>
    <row r="29660" spans="1:1" x14ac:dyDescent="0.3">
      <c r="A29660" t="s">
        <v>0</v>
      </c>
    </row>
    <row r="29661" spans="1:1" x14ac:dyDescent="0.3">
      <c r="A29661" t="s">
        <v>0</v>
      </c>
    </row>
    <row r="29662" spans="1:1" x14ac:dyDescent="0.3">
      <c r="A29662" t="s">
        <v>0</v>
      </c>
    </row>
    <row r="29663" spans="1:1" x14ac:dyDescent="0.3">
      <c r="A29663" t="s">
        <v>0</v>
      </c>
    </row>
    <row r="29664" spans="1:1" x14ac:dyDescent="0.3">
      <c r="A29664" t="s">
        <v>0</v>
      </c>
    </row>
    <row r="29665" spans="1:1" x14ac:dyDescent="0.3">
      <c r="A29665" t="s">
        <v>0</v>
      </c>
    </row>
    <row r="29666" spans="1:1" x14ac:dyDescent="0.3">
      <c r="A29666" t="s">
        <v>0</v>
      </c>
    </row>
    <row r="29667" spans="1:1" x14ac:dyDescent="0.3">
      <c r="A29667" t="s">
        <v>0</v>
      </c>
    </row>
    <row r="29668" spans="1:1" x14ac:dyDescent="0.3">
      <c r="A29668" t="s">
        <v>0</v>
      </c>
    </row>
    <row r="29669" spans="1:1" x14ac:dyDescent="0.3">
      <c r="A29669" t="s">
        <v>0</v>
      </c>
    </row>
    <row r="29670" spans="1:1" x14ac:dyDescent="0.3">
      <c r="A29670" t="s">
        <v>0</v>
      </c>
    </row>
    <row r="29671" spans="1:1" x14ac:dyDescent="0.3">
      <c r="A29671" t="s">
        <v>0</v>
      </c>
    </row>
    <row r="29672" spans="1:1" x14ac:dyDescent="0.3">
      <c r="A29672" t="s">
        <v>0</v>
      </c>
    </row>
    <row r="29673" spans="1:1" x14ac:dyDescent="0.3">
      <c r="A29673" t="s">
        <v>0</v>
      </c>
    </row>
    <row r="29674" spans="1:1" x14ac:dyDescent="0.3">
      <c r="A29674" t="s">
        <v>0</v>
      </c>
    </row>
    <row r="29675" spans="1:1" x14ac:dyDescent="0.3">
      <c r="A29675" t="s">
        <v>0</v>
      </c>
    </row>
    <row r="29676" spans="1:1" x14ac:dyDescent="0.3">
      <c r="A29676" t="s">
        <v>0</v>
      </c>
    </row>
    <row r="29677" spans="1:1" x14ac:dyDescent="0.3">
      <c r="A29677" t="s">
        <v>0</v>
      </c>
    </row>
    <row r="29678" spans="1:1" x14ac:dyDescent="0.3">
      <c r="A29678" t="s">
        <v>0</v>
      </c>
    </row>
    <row r="29679" spans="1:1" x14ac:dyDescent="0.3">
      <c r="A29679" t="s">
        <v>0</v>
      </c>
    </row>
    <row r="29680" spans="1:1" x14ac:dyDescent="0.3">
      <c r="A29680" t="s">
        <v>0</v>
      </c>
    </row>
    <row r="29681" spans="1:1" x14ac:dyDescent="0.3">
      <c r="A29681" t="s">
        <v>0</v>
      </c>
    </row>
    <row r="29682" spans="1:1" x14ac:dyDescent="0.3">
      <c r="A29682" t="s">
        <v>0</v>
      </c>
    </row>
    <row r="29683" spans="1:1" x14ac:dyDescent="0.3">
      <c r="A29683" t="s">
        <v>0</v>
      </c>
    </row>
    <row r="29684" spans="1:1" x14ac:dyDescent="0.3">
      <c r="A29684" t="s">
        <v>0</v>
      </c>
    </row>
    <row r="29685" spans="1:1" x14ac:dyDescent="0.3">
      <c r="A29685" t="s">
        <v>0</v>
      </c>
    </row>
    <row r="29686" spans="1:1" x14ac:dyDescent="0.3">
      <c r="A29686" t="s">
        <v>0</v>
      </c>
    </row>
    <row r="29687" spans="1:1" x14ac:dyDescent="0.3">
      <c r="A29687" t="s">
        <v>0</v>
      </c>
    </row>
    <row r="29688" spans="1:1" x14ac:dyDescent="0.3">
      <c r="A29688" t="s">
        <v>0</v>
      </c>
    </row>
    <row r="29689" spans="1:1" x14ac:dyDescent="0.3">
      <c r="A29689" t="s">
        <v>0</v>
      </c>
    </row>
    <row r="29690" spans="1:1" x14ac:dyDescent="0.3">
      <c r="A29690" t="s">
        <v>0</v>
      </c>
    </row>
    <row r="29691" spans="1:1" x14ac:dyDescent="0.3">
      <c r="A29691" t="s">
        <v>0</v>
      </c>
    </row>
    <row r="29692" spans="1:1" x14ac:dyDescent="0.3">
      <c r="A29692" t="s">
        <v>0</v>
      </c>
    </row>
    <row r="29693" spans="1:1" x14ac:dyDescent="0.3">
      <c r="A29693" t="s">
        <v>0</v>
      </c>
    </row>
    <row r="29694" spans="1:1" x14ac:dyDescent="0.3">
      <c r="A29694" t="s">
        <v>0</v>
      </c>
    </row>
    <row r="29695" spans="1:1" x14ac:dyDescent="0.3">
      <c r="A29695" t="s">
        <v>0</v>
      </c>
    </row>
    <row r="29696" spans="1:1" x14ac:dyDescent="0.3">
      <c r="A29696" t="s">
        <v>0</v>
      </c>
    </row>
    <row r="29697" spans="1:1" x14ac:dyDescent="0.3">
      <c r="A29697" t="s">
        <v>0</v>
      </c>
    </row>
    <row r="29698" spans="1:1" x14ac:dyDescent="0.3">
      <c r="A29698" t="s">
        <v>0</v>
      </c>
    </row>
    <row r="29699" spans="1:1" x14ac:dyDescent="0.3">
      <c r="A29699" t="s">
        <v>0</v>
      </c>
    </row>
    <row r="29700" spans="1:1" x14ac:dyDescent="0.3">
      <c r="A29700" t="s">
        <v>0</v>
      </c>
    </row>
    <row r="29701" spans="1:1" x14ac:dyDescent="0.3">
      <c r="A29701" t="s">
        <v>0</v>
      </c>
    </row>
    <row r="29702" spans="1:1" x14ac:dyDescent="0.3">
      <c r="A29702" t="s">
        <v>0</v>
      </c>
    </row>
    <row r="29703" spans="1:1" x14ac:dyDescent="0.3">
      <c r="A29703" t="s">
        <v>0</v>
      </c>
    </row>
    <row r="29704" spans="1:1" x14ac:dyDescent="0.3">
      <c r="A29704" t="s">
        <v>0</v>
      </c>
    </row>
    <row r="29705" spans="1:1" x14ac:dyDescent="0.3">
      <c r="A29705" t="s">
        <v>0</v>
      </c>
    </row>
    <row r="29706" spans="1:1" x14ac:dyDescent="0.3">
      <c r="A29706" t="s">
        <v>0</v>
      </c>
    </row>
    <row r="29707" spans="1:1" x14ac:dyDescent="0.3">
      <c r="A29707" t="s">
        <v>0</v>
      </c>
    </row>
    <row r="29708" spans="1:1" x14ac:dyDescent="0.3">
      <c r="A29708" t="s">
        <v>0</v>
      </c>
    </row>
    <row r="29709" spans="1:1" x14ac:dyDescent="0.3">
      <c r="A29709" t="s">
        <v>0</v>
      </c>
    </row>
    <row r="29710" spans="1:1" x14ac:dyDescent="0.3">
      <c r="A29710" t="s">
        <v>0</v>
      </c>
    </row>
    <row r="29711" spans="1:1" x14ac:dyDescent="0.3">
      <c r="A29711" t="s">
        <v>0</v>
      </c>
    </row>
    <row r="29712" spans="1:1" x14ac:dyDescent="0.3">
      <c r="A29712" t="s">
        <v>0</v>
      </c>
    </row>
    <row r="29713" spans="1:1" x14ac:dyDescent="0.3">
      <c r="A29713" t="s">
        <v>0</v>
      </c>
    </row>
    <row r="29714" spans="1:1" x14ac:dyDescent="0.3">
      <c r="A29714" t="s">
        <v>0</v>
      </c>
    </row>
    <row r="29715" spans="1:1" x14ac:dyDescent="0.3">
      <c r="A29715" t="s">
        <v>0</v>
      </c>
    </row>
    <row r="29716" spans="1:1" x14ac:dyDescent="0.3">
      <c r="A29716" t="s">
        <v>0</v>
      </c>
    </row>
    <row r="29717" spans="1:1" x14ac:dyDescent="0.3">
      <c r="A29717" t="s">
        <v>0</v>
      </c>
    </row>
    <row r="29718" spans="1:1" x14ac:dyDescent="0.3">
      <c r="A29718" t="s">
        <v>0</v>
      </c>
    </row>
    <row r="29719" spans="1:1" x14ac:dyDescent="0.3">
      <c r="A29719" t="s">
        <v>0</v>
      </c>
    </row>
    <row r="29720" spans="1:1" x14ac:dyDescent="0.3">
      <c r="A29720" t="s">
        <v>0</v>
      </c>
    </row>
    <row r="29721" spans="1:1" x14ac:dyDescent="0.3">
      <c r="A29721" t="s">
        <v>0</v>
      </c>
    </row>
    <row r="29722" spans="1:1" x14ac:dyDescent="0.3">
      <c r="A29722" t="s">
        <v>0</v>
      </c>
    </row>
    <row r="29723" spans="1:1" x14ac:dyDescent="0.3">
      <c r="A29723" t="s">
        <v>0</v>
      </c>
    </row>
    <row r="29724" spans="1:1" x14ac:dyDescent="0.3">
      <c r="A29724" t="s">
        <v>0</v>
      </c>
    </row>
    <row r="29725" spans="1:1" x14ac:dyDescent="0.3">
      <c r="A29725" t="s">
        <v>0</v>
      </c>
    </row>
    <row r="29726" spans="1:1" x14ac:dyDescent="0.3">
      <c r="A29726" t="s">
        <v>0</v>
      </c>
    </row>
    <row r="29727" spans="1:1" x14ac:dyDescent="0.3">
      <c r="A29727" t="s">
        <v>0</v>
      </c>
    </row>
    <row r="29728" spans="1:1" x14ac:dyDescent="0.3">
      <c r="A29728" t="s">
        <v>0</v>
      </c>
    </row>
    <row r="29729" spans="1:1" x14ac:dyDescent="0.3">
      <c r="A29729" t="s">
        <v>0</v>
      </c>
    </row>
    <row r="29730" spans="1:1" x14ac:dyDescent="0.3">
      <c r="A29730" t="s">
        <v>0</v>
      </c>
    </row>
    <row r="29731" spans="1:1" x14ac:dyDescent="0.3">
      <c r="A29731" t="s">
        <v>0</v>
      </c>
    </row>
    <row r="29732" spans="1:1" x14ac:dyDescent="0.3">
      <c r="A29732" t="s">
        <v>0</v>
      </c>
    </row>
    <row r="29733" spans="1:1" x14ac:dyDescent="0.3">
      <c r="A29733" t="s">
        <v>0</v>
      </c>
    </row>
    <row r="29734" spans="1:1" x14ac:dyDescent="0.3">
      <c r="A29734" t="s">
        <v>0</v>
      </c>
    </row>
    <row r="29735" spans="1:1" x14ac:dyDescent="0.3">
      <c r="A29735" t="s">
        <v>0</v>
      </c>
    </row>
    <row r="29736" spans="1:1" x14ac:dyDescent="0.3">
      <c r="A29736" t="s">
        <v>0</v>
      </c>
    </row>
    <row r="29737" spans="1:1" x14ac:dyDescent="0.3">
      <c r="A29737" t="s">
        <v>0</v>
      </c>
    </row>
    <row r="29738" spans="1:1" x14ac:dyDescent="0.3">
      <c r="A29738" t="s">
        <v>0</v>
      </c>
    </row>
    <row r="29739" spans="1:1" x14ac:dyDescent="0.3">
      <c r="A29739" t="s">
        <v>0</v>
      </c>
    </row>
    <row r="29740" spans="1:1" x14ac:dyDescent="0.3">
      <c r="A29740" t="s">
        <v>0</v>
      </c>
    </row>
    <row r="29741" spans="1:1" x14ac:dyDescent="0.3">
      <c r="A29741" t="s">
        <v>0</v>
      </c>
    </row>
    <row r="29742" spans="1:1" x14ac:dyDescent="0.3">
      <c r="A29742" t="s">
        <v>0</v>
      </c>
    </row>
    <row r="29743" spans="1:1" x14ac:dyDescent="0.3">
      <c r="A29743" t="s">
        <v>0</v>
      </c>
    </row>
    <row r="29744" spans="1:1" x14ac:dyDescent="0.3">
      <c r="A29744" t="s">
        <v>0</v>
      </c>
    </row>
    <row r="29745" spans="1:1" x14ac:dyDescent="0.3">
      <c r="A29745" t="s">
        <v>0</v>
      </c>
    </row>
    <row r="29746" spans="1:1" x14ac:dyDescent="0.3">
      <c r="A29746" t="s">
        <v>0</v>
      </c>
    </row>
    <row r="29747" spans="1:1" x14ac:dyDescent="0.3">
      <c r="A29747" t="s">
        <v>0</v>
      </c>
    </row>
    <row r="29748" spans="1:1" x14ac:dyDescent="0.3">
      <c r="A29748" t="s">
        <v>0</v>
      </c>
    </row>
    <row r="29749" spans="1:1" x14ac:dyDescent="0.3">
      <c r="A29749" t="s">
        <v>0</v>
      </c>
    </row>
    <row r="29750" spans="1:1" x14ac:dyDescent="0.3">
      <c r="A29750" t="s">
        <v>0</v>
      </c>
    </row>
    <row r="29751" spans="1:1" x14ac:dyDescent="0.3">
      <c r="A29751" t="s">
        <v>0</v>
      </c>
    </row>
    <row r="29752" spans="1:1" x14ac:dyDescent="0.3">
      <c r="A29752" t="s">
        <v>0</v>
      </c>
    </row>
    <row r="29753" spans="1:1" x14ac:dyDescent="0.3">
      <c r="A29753" t="s">
        <v>0</v>
      </c>
    </row>
    <row r="29754" spans="1:1" x14ac:dyDescent="0.3">
      <c r="A29754" t="s">
        <v>0</v>
      </c>
    </row>
    <row r="29755" spans="1:1" x14ac:dyDescent="0.3">
      <c r="A29755" t="s">
        <v>0</v>
      </c>
    </row>
    <row r="29756" spans="1:1" x14ac:dyDescent="0.3">
      <c r="A29756" t="s">
        <v>0</v>
      </c>
    </row>
    <row r="29757" spans="1:1" x14ac:dyDescent="0.3">
      <c r="A29757" t="s">
        <v>0</v>
      </c>
    </row>
    <row r="29758" spans="1:1" x14ac:dyDescent="0.3">
      <c r="A29758" t="s">
        <v>0</v>
      </c>
    </row>
    <row r="29759" spans="1:1" x14ac:dyDescent="0.3">
      <c r="A29759" t="s">
        <v>0</v>
      </c>
    </row>
    <row r="29760" spans="1:1" x14ac:dyDescent="0.3">
      <c r="A29760" t="s">
        <v>0</v>
      </c>
    </row>
    <row r="29761" spans="1:1" x14ac:dyDescent="0.3">
      <c r="A29761" t="s">
        <v>0</v>
      </c>
    </row>
    <row r="29762" spans="1:1" x14ac:dyDescent="0.3">
      <c r="A29762" t="s">
        <v>0</v>
      </c>
    </row>
    <row r="29763" spans="1:1" x14ac:dyDescent="0.3">
      <c r="A29763" t="s">
        <v>0</v>
      </c>
    </row>
    <row r="29764" spans="1:1" x14ac:dyDescent="0.3">
      <c r="A29764" t="s">
        <v>0</v>
      </c>
    </row>
    <row r="29765" spans="1:1" x14ac:dyDescent="0.3">
      <c r="A29765" t="s">
        <v>0</v>
      </c>
    </row>
    <row r="29766" spans="1:1" x14ac:dyDescent="0.3">
      <c r="A29766" t="s">
        <v>0</v>
      </c>
    </row>
    <row r="29767" spans="1:1" x14ac:dyDescent="0.3">
      <c r="A29767" t="s">
        <v>0</v>
      </c>
    </row>
    <row r="29768" spans="1:1" x14ac:dyDescent="0.3">
      <c r="A29768" t="s">
        <v>0</v>
      </c>
    </row>
    <row r="29769" spans="1:1" x14ac:dyDescent="0.3">
      <c r="A29769" t="s">
        <v>0</v>
      </c>
    </row>
    <row r="29770" spans="1:1" x14ac:dyDescent="0.3">
      <c r="A29770" t="s">
        <v>0</v>
      </c>
    </row>
    <row r="29771" spans="1:1" x14ac:dyDescent="0.3">
      <c r="A29771" t="s">
        <v>0</v>
      </c>
    </row>
    <row r="29772" spans="1:1" x14ac:dyDescent="0.3">
      <c r="A29772" t="s">
        <v>0</v>
      </c>
    </row>
    <row r="29773" spans="1:1" x14ac:dyDescent="0.3">
      <c r="A29773" t="s">
        <v>0</v>
      </c>
    </row>
    <row r="29774" spans="1:1" x14ac:dyDescent="0.3">
      <c r="A29774" t="s">
        <v>0</v>
      </c>
    </row>
    <row r="29775" spans="1:1" x14ac:dyDescent="0.3">
      <c r="A29775" t="s">
        <v>0</v>
      </c>
    </row>
    <row r="29776" spans="1:1" x14ac:dyDescent="0.3">
      <c r="A29776" t="s">
        <v>0</v>
      </c>
    </row>
    <row r="29777" spans="1:1" x14ac:dyDescent="0.3">
      <c r="A29777" t="s">
        <v>0</v>
      </c>
    </row>
    <row r="29778" spans="1:1" x14ac:dyDescent="0.3">
      <c r="A29778" t="s">
        <v>0</v>
      </c>
    </row>
    <row r="29779" spans="1:1" x14ac:dyDescent="0.3">
      <c r="A29779" t="s">
        <v>0</v>
      </c>
    </row>
    <row r="29780" spans="1:1" x14ac:dyDescent="0.3">
      <c r="A29780" t="s">
        <v>0</v>
      </c>
    </row>
    <row r="29781" spans="1:1" x14ac:dyDescent="0.3">
      <c r="A29781" t="s">
        <v>0</v>
      </c>
    </row>
    <row r="29782" spans="1:1" x14ac:dyDescent="0.3">
      <c r="A29782" t="s">
        <v>0</v>
      </c>
    </row>
    <row r="29783" spans="1:1" x14ac:dyDescent="0.3">
      <c r="A29783" t="s">
        <v>0</v>
      </c>
    </row>
    <row r="29784" spans="1:1" x14ac:dyDescent="0.3">
      <c r="A29784" t="s">
        <v>0</v>
      </c>
    </row>
    <row r="29785" spans="1:1" x14ac:dyDescent="0.3">
      <c r="A29785" t="s">
        <v>0</v>
      </c>
    </row>
    <row r="29786" spans="1:1" x14ac:dyDescent="0.3">
      <c r="A29786" t="s">
        <v>0</v>
      </c>
    </row>
    <row r="29787" spans="1:1" x14ac:dyDescent="0.3">
      <c r="A29787" t="s">
        <v>0</v>
      </c>
    </row>
    <row r="29788" spans="1:1" x14ac:dyDescent="0.3">
      <c r="A29788" t="s">
        <v>0</v>
      </c>
    </row>
    <row r="29789" spans="1:1" x14ac:dyDescent="0.3">
      <c r="A29789" t="s">
        <v>0</v>
      </c>
    </row>
    <row r="29790" spans="1:1" x14ac:dyDescent="0.3">
      <c r="A29790" t="s">
        <v>0</v>
      </c>
    </row>
    <row r="29791" spans="1:1" x14ac:dyDescent="0.3">
      <c r="A29791" t="s">
        <v>0</v>
      </c>
    </row>
    <row r="29792" spans="1:1" x14ac:dyDescent="0.3">
      <c r="A29792" t="s">
        <v>0</v>
      </c>
    </row>
    <row r="29793" spans="1:1" x14ac:dyDescent="0.3">
      <c r="A29793" t="s">
        <v>0</v>
      </c>
    </row>
    <row r="29794" spans="1:1" x14ac:dyDescent="0.3">
      <c r="A29794" t="s">
        <v>0</v>
      </c>
    </row>
    <row r="29795" spans="1:1" x14ac:dyDescent="0.3">
      <c r="A29795" t="s">
        <v>0</v>
      </c>
    </row>
    <row r="29796" spans="1:1" x14ac:dyDescent="0.3">
      <c r="A29796" t="s">
        <v>0</v>
      </c>
    </row>
    <row r="29797" spans="1:1" x14ac:dyDescent="0.3">
      <c r="A29797" t="s">
        <v>0</v>
      </c>
    </row>
    <row r="29798" spans="1:1" x14ac:dyDescent="0.3">
      <c r="A29798" t="s">
        <v>0</v>
      </c>
    </row>
    <row r="29799" spans="1:1" x14ac:dyDescent="0.3">
      <c r="A29799" t="s">
        <v>0</v>
      </c>
    </row>
    <row r="29800" spans="1:1" x14ac:dyDescent="0.3">
      <c r="A29800" t="s">
        <v>0</v>
      </c>
    </row>
    <row r="29801" spans="1:1" x14ac:dyDescent="0.3">
      <c r="A29801" t="s">
        <v>0</v>
      </c>
    </row>
    <row r="29802" spans="1:1" x14ac:dyDescent="0.3">
      <c r="A29802" t="s">
        <v>0</v>
      </c>
    </row>
    <row r="29803" spans="1:1" x14ac:dyDescent="0.3">
      <c r="A29803" t="s">
        <v>0</v>
      </c>
    </row>
    <row r="29804" spans="1:1" x14ac:dyDescent="0.3">
      <c r="A29804" t="s">
        <v>0</v>
      </c>
    </row>
    <row r="29805" spans="1:1" x14ac:dyDescent="0.3">
      <c r="A29805" t="s">
        <v>0</v>
      </c>
    </row>
    <row r="29806" spans="1:1" x14ac:dyDescent="0.3">
      <c r="A29806" t="s">
        <v>0</v>
      </c>
    </row>
    <row r="29807" spans="1:1" x14ac:dyDescent="0.3">
      <c r="A29807" t="s">
        <v>0</v>
      </c>
    </row>
    <row r="29808" spans="1:1" x14ac:dyDescent="0.3">
      <c r="A29808" t="s">
        <v>0</v>
      </c>
    </row>
    <row r="29809" spans="1:1" x14ac:dyDescent="0.3">
      <c r="A29809" t="s">
        <v>0</v>
      </c>
    </row>
    <row r="29810" spans="1:1" x14ac:dyDescent="0.3">
      <c r="A29810" t="s">
        <v>0</v>
      </c>
    </row>
    <row r="29811" spans="1:1" x14ac:dyDescent="0.3">
      <c r="A29811" t="s">
        <v>0</v>
      </c>
    </row>
    <row r="29812" spans="1:1" x14ac:dyDescent="0.3">
      <c r="A29812" t="s">
        <v>0</v>
      </c>
    </row>
    <row r="29813" spans="1:1" x14ac:dyDescent="0.3">
      <c r="A29813" t="s">
        <v>0</v>
      </c>
    </row>
    <row r="29814" spans="1:1" x14ac:dyDescent="0.3">
      <c r="A29814" t="s">
        <v>0</v>
      </c>
    </row>
    <row r="29815" spans="1:1" x14ac:dyDescent="0.3">
      <c r="A29815" t="s">
        <v>0</v>
      </c>
    </row>
    <row r="29816" spans="1:1" x14ac:dyDescent="0.3">
      <c r="A29816" t="s">
        <v>0</v>
      </c>
    </row>
    <row r="29817" spans="1:1" x14ac:dyDescent="0.3">
      <c r="A29817" t="s">
        <v>0</v>
      </c>
    </row>
    <row r="29818" spans="1:1" x14ac:dyDescent="0.3">
      <c r="A29818" t="s">
        <v>0</v>
      </c>
    </row>
    <row r="29819" spans="1:1" x14ac:dyDescent="0.3">
      <c r="A29819" t="s">
        <v>0</v>
      </c>
    </row>
    <row r="29820" spans="1:1" x14ac:dyDescent="0.3">
      <c r="A29820" t="s">
        <v>0</v>
      </c>
    </row>
    <row r="29821" spans="1:1" x14ac:dyDescent="0.3">
      <c r="A29821" t="s">
        <v>0</v>
      </c>
    </row>
    <row r="29822" spans="1:1" x14ac:dyDescent="0.3">
      <c r="A29822" t="s">
        <v>0</v>
      </c>
    </row>
    <row r="29823" spans="1:1" x14ac:dyDescent="0.3">
      <c r="A29823" t="s">
        <v>0</v>
      </c>
    </row>
    <row r="29824" spans="1:1" x14ac:dyDescent="0.3">
      <c r="A29824" t="s">
        <v>0</v>
      </c>
    </row>
    <row r="29825" spans="1:1" x14ac:dyDescent="0.3">
      <c r="A29825" t="s">
        <v>0</v>
      </c>
    </row>
    <row r="29826" spans="1:1" x14ac:dyDescent="0.3">
      <c r="A29826" t="s">
        <v>0</v>
      </c>
    </row>
    <row r="29827" spans="1:1" x14ac:dyDescent="0.3">
      <c r="A29827" t="s">
        <v>0</v>
      </c>
    </row>
    <row r="29828" spans="1:1" x14ac:dyDescent="0.3">
      <c r="A29828" t="s">
        <v>0</v>
      </c>
    </row>
    <row r="29829" spans="1:1" x14ac:dyDescent="0.3">
      <c r="A29829" t="s">
        <v>0</v>
      </c>
    </row>
    <row r="29830" spans="1:1" x14ac:dyDescent="0.3">
      <c r="A29830" t="s">
        <v>0</v>
      </c>
    </row>
    <row r="29831" spans="1:1" x14ac:dyDescent="0.3">
      <c r="A29831" t="s">
        <v>0</v>
      </c>
    </row>
    <row r="29832" spans="1:1" x14ac:dyDescent="0.3">
      <c r="A29832" t="s">
        <v>0</v>
      </c>
    </row>
    <row r="29833" spans="1:1" x14ac:dyDescent="0.3">
      <c r="A29833" t="s">
        <v>0</v>
      </c>
    </row>
    <row r="29834" spans="1:1" x14ac:dyDescent="0.3">
      <c r="A29834" t="s">
        <v>0</v>
      </c>
    </row>
    <row r="29835" spans="1:1" x14ac:dyDescent="0.3">
      <c r="A29835" t="s">
        <v>0</v>
      </c>
    </row>
    <row r="29836" spans="1:1" x14ac:dyDescent="0.3">
      <c r="A29836" t="s">
        <v>0</v>
      </c>
    </row>
    <row r="29837" spans="1:1" x14ac:dyDescent="0.3">
      <c r="A29837" t="s">
        <v>0</v>
      </c>
    </row>
    <row r="29838" spans="1:1" x14ac:dyDescent="0.3">
      <c r="A29838" t="s">
        <v>0</v>
      </c>
    </row>
    <row r="29839" spans="1:1" x14ac:dyDescent="0.3">
      <c r="A29839" t="s">
        <v>0</v>
      </c>
    </row>
    <row r="29840" spans="1:1" x14ac:dyDescent="0.3">
      <c r="A29840" t="s">
        <v>0</v>
      </c>
    </row>
    <row r="29841" spans="1:1" x14ac:dyDescent="0.3">
      <c r="A29841" t="s">
        <v>0</v>
      </c>
    </row>
    <row r="29842" spans="1:1" x14ac:dyDescent="0.3">
      <c r="A29842" t="s">
        <v>0</v>
      </c>
    </row>
    <row r="29843" spans="1:1" x14ac:dyDescent="0.3">
      <c r="A29843" t="s">
        <v>0</v>
      </c>
    </row>
    <row r="29844" spans="1:1" x14ac:dyDescent="0.3">
      <c r="A29844" t="s">
        <v>0</v>
      </c>
    </row>
    <row r="29845" spans="1:1" x14ac:dyDescent="0.3">
      <c r="A29845" t="s">
        <v>0</v>
      </c>
    </row>
    <row r="29846" spans="1:1" x14ac:dyDescent="0.3">
      <c r="A29846" t="s">
        <v>0</v>
      </c>
    </row>
    <row r="29847" spans="1:1" x14ac:dyDescent="0.3">
      <c r="A29847" t="s">
        <v>0</v>
      </c>
    </row>
    <row r="29848" spans="1:1" x14ac:dyDescent="0.3">
      <c r="A29848" t="s">
        <v>0</v>
      </c>
    </row>
    <row r="29849" spans="1:1" x14ac:dyDescent="0.3">
      <c r="A29849" t="s">
        <v>0</v>
      </c>
    </row>
    <row r="29850" spans="1:1" x14ac:dyDescent="0.3">
      <c r="A29850" t="s">
        <v>0</v>
      </c>
    </row>
    <row r="29851" spans="1:1" x14ac:dyDescent="0.3">
      <c r="A29851" t="s">
        <v>0</v>
      </c>
    </row>
    <row r="29852" spans="1:1" x14ac:dyDescent="0.3">
      <c r="A29852" t="s">
        <v>0</v>
      </c>
    </row>
    <row r="29853" spans="1:1" x14ac:dyDescent="0.3">
      <c r="A29853" t="s">
        <v>0</v>
      </c>
    </row>
    <row r="29854" spans="1:1" x14ac:dyDescent="0.3">
      <c r="A29854" t="s">
        <v>0</v>
      </c>
    </row>
    <row r="29855" spans="1:1" x14ac:dyDescent="0.3">
      <c r="A29855" t="s">
        <v>0</v>
      </c>
    </row>
    <row r="29856" spans="1:1" x14ac:dyDescent="0.3">
      <c r="A29856" t="s">
        <v>0</v>
      </c>
    </row>
    <row r="29857" spans="1:1" x14ac:dyDescent="0.3">
      <c r="A29857" t="s">
        <v>0</v>
      </c>
    </row>
    <row r="29858" spans="1:1" x14ac:dyDescent="0.3">
      <c r="A29858" t="s">
        <v>0</v>
      </c>
    </row>
    <row r="29859" spans="1:1" x14ac:dyDescent="0.3">
      <c r="A29859" t="s">
        <v>0</v>
      </c>
    </row>
    <row r="29860" spans="1:1" x14ac:dyDescent="0.3">
      <c r="A29860" t="s">
        <v>0</v>
      </c>
    </row>
    <row r="29861" spans="1:1" x14ac:dyDescent="0.3">
      <c r="A29861" t="s">
        <v>0</v>
      </c>
    </row>
    <row r="29862" spans="1:1" x14ac:dyDescent="0.3">
      <c r="A29862" t="s">
        <v>0</v>
      </c>
    </row>
    <row r="29863" spans="1:1" x14ac:dyDescent="0.3">
      <c r="A29863" t="s">
        <v>0</v>
      </c>
    </row>
    <row r="29864" spans="1:1" x14ac:dyDescent="0.3">
      <c r="A29864" t="s">
        <v>0</v>
      </c>
    </row>
    <row r="29865" spans="1:1" x14ac:dyDescent="0.3">
      <c r="A29865" t="s">
        <v>0</v>
      </c>
    </row>
    <row r="29866" spans="1:1" x14ac:dyDescent="0.3">
      <c r="A29866" t="s">
        <v>0</v>
      </c>
    </row>
    <row r="29867" spans="1:1" x14ac:dyDescent="0.3">
      <c r="A29867" t="s">
        <v>0</v>
      </c>
    </row>
    <row r="29868" spans="1:1" x14ac:dyDescent="0.3">
      <c r="A29868" t="s">
        <v>0</v>
      </c>
    </row>
    <row r="29869" spans="1:1" x14ac:dyDescent="0.3">
      <c r="A29869" t="s">
        <v>0</v>
      </c>
    </row>
    <row r="29870" spans="1:1" x14ac:dyDescent="0.3">
      <c r="A29870" t="s">
        <v>0</v>
      </c>
    </row>
    <row r="29871" spans="1:1" x14ac:dyDescent="0.3">
      <c r="A29871" t="s">
        <v>0</v>
      </c>
    </row>
    <row r="29872" spans="1:1" x14ac:dyDescent="0.3">
      <c r="A29872" t="s">
        <v>0</v>
      </c>
    </row>
    <row r="29873" spans="1:1" x14ac:dyDescent="0.3">
      <c r="A29873" t="s">
        <v>0</v>
      </c>
    </row>
    <row r="29874" spans="1:1" x14ac:dyDescent="0.3">
      <c r="A29874" t="s">
        <v>0</v>
      </c>
    </row>
    <row r="29875" spans="1:1" x14ac:dyDescent="0.3">
      <c r="A29875" t="s">
        <v>0</v>
      </c>
    </row>
    <row r="29876" spans="1:1" x14ac:dyDescent="0.3">
      <c r="A29876" t="s">
        <v>0</v>
      </c>
    </row>
    <row r="29877" spans="1:1" x14ac:dyDescent="0.3">
      <c r="A29877" t="s">
        <v>0</v>
      </c>
    </row>
    <row r="29878" spans="1:1" x14ac:dyDescent="0.3">
      <c r="A29878" t="s">
        <v>0</v>
      </c>
    </row>
    <row r="29879" spans="1:1" x14ac:dyDescent="0.3">
      <c r="A29879" t="s">
        <v>0</v>
      </c>
    </row>
    <row r="29880" spans="1:1" x14ac:dyDescent="0.3">
      <c r="A29880" t="s">
        <v>0</v>
      </c>
    </row>
    <row r="29881" spans="1:1" x14ac:dyDescent="0.3">
      <c r="A29881" t="s">
        <v>0</v>
      </c>
    </row>
    <row r="29882" spans="1:1" x14ac:dyDescent="0.3">
      <c r="A29882" t="s">
        <v>0</v>
      </c>
    </row>
    <row r="29883" spans="1:1" x14ac:dyDescent="0.3">
      <c r="A29883" t="s">
        <v>0</v>
      </c>
    </row>
    <row r="29884" spans="1:1" x14ac:dyDescent="0.3">
      <c r="A29884" t="s">
        <v>0</v>
      </c>
    </row>
    <row r="29885" spans="1:1" x14ac:dyDescent="0.3">
      <c r="A29885" t="s">
        <v>0</v>
      </c>
    </row>
    <row r="29886" spans="1:1" x14ac:dyDescent="0.3">
      <c r="A29886" t="s">
        <v>0</v>
      </c>
    </row>
    <row r="29887" spans="1:1" x14ac:dyDescent="0.3">
      <c r="A29887" t="s">
        <v>0</v>
      </c>
    </row>
    <row r="29888" spans="1:1" x14ac:dyDescent="0.3">
      <c r="A29888" t="s">
        <v>0</v>
      </c>
    </row>
    <row r="29889" spans="1:1" x14ac:dyDescent="0.3">
      <c r="A29889" t="s">
        <v>0</v>
      </c>
    </row>
    <row r="29890" spans="1:1" x14ac:dyDescent="0.3">
      <c r="A29890" t="s">
        <v>0</v>
      </c>
    </row>
    <row r="29891" spans="1:1" x14ac:dyDescent="0.3">
      <c r="A29891" t="s">
        <v>0</v>
      </c>
    </row>
    <row r="29892" spans="1:1" x14ac:dyDescent="0.3">
      <c r="A29892" t="s">
        <v>0</v>
      </c>
    </row>
    <row r="29893" spans="1:1" x14ac:dyDescent="0.3">
      <c r="A29893" t="s">
        <v>0</v>
      </c>
    </row>
    <row r="29894" spans="1:1" x14ac:dyDescent="0.3">
      <c r="A29894" t="s">
        <v>0</v>
      </c>
    </row>
    <row r="29895" spans="1:1" x14ac:dyDescent="0.3">
      <c r="A29895" t="s">
        <v>0</v>
      </c>
    </row>
    <row r="29896" spans="1:1" x14ac:dyDescent="0.3">
      <c r="A29896" t="s">
        <v>0</v>
      </c>
    </row>
    <row r="29897" spans="1:1" x14ac:dyDescent="0.3">
      <c r="A29897" t="s">
        <v>0</v>
      </c>
    </row>
    <row r="29898" spans="1:1" x14ac:dyDescent="0.3">
      <c r="A29898" t="s">
        <v>0</v>
      </c>
    </row>
    <row r="29899" spans="1:1" x14ac:dyDescent="0.3">
      <c r="A29899" t="s">
        <v>0</v>
      </c>
    </row>
    <row r="29900" spans="1:1" x14ac:dyDescent="0.3">
      <c r="A29900" t="s">
        <v>0</v>
      </c>
    </row>
    <row r="29901" spans="1:1" x14ac:dyDescent="0.3">
      <c r="A29901" t="s">
        <v>0</v>
      </c>
    </row>
    <row r="29902" spans="1:1" x14ac:dyDescent="0.3">
      <c r="A29902" t="s">
        <v>0</v>
      </c>
    </row>
    <row r="29903" spans="1:1" x14ac:dyDescent="0.3">
      <c r="A29903" t="s">
        <v>0</v>
      </c>
    </row>
    <row r="29904" spans="1:1" x14ac:dyDescent="0.3">
      <c r="A29904" t="s">
        <v>0</v>
      </c>
    </row>
    <row r="29905" spans="1:1" x14ac:dyDescent="0.3">
      <c r="A29905" t="s">
        <v>0</v>
      </c>
    </row>
    <row r="29906" spans="1:1" x14ac:dyDescent="0.3">
      <c r="A29906" t="s">
        <v>0</v>
      </c>
    </row>
    <row r="29907" spans="1:1" x14ac:dyDescent="0.3">
      <c r="A29907" t="s">
        <v>0</v>
      </c>
    </row>
    <row r="29908" spans="1:1" x14ac:dyDescent="0.3">
      <c r="A29908" t="s">
        <v>0</v>
      </c>
    </row>
    <row r="29909" spans="1:1" x14ac:dyDescent="0.3">
      <c r="A29909" t="s">
        <v>0</v>
      </c>
    </row>
    <row r="29910" spans="1:1" x14ac:dyDescent="0.3">
      <c r="A29910" t="s">
        <v>0</v>
      </c>
    </row>
    <row r="29911" spans="1:1" x14ac:dyDescent="0.3">
      <c r="A29911" t="s">
        <v>0</v>
      </c>
    </row>
    <row r="29912" spans="1:1" x14ac:dyDescent="0.3">
      <c r="A29912" t="s">
        <v>0</v>
      </c>
    </row>
    <row r="29913" spans="1:1" x14ac:dyDescent="0.3">
      <c r="A29913" t="s">
        <v>0</v>
      </c>
    </row>
    <row r="29914" spans="1:1" x14ac:dyDescent="0.3">
      <c r="A29914" t="s">
        <v>0</v>
      </c>
    </row>
    <row r="29915" spans="1:1" x14ac:dyDescent="0.3">
      <c r="A29915" t="s">
        <v>0</v>
      </c>
    </row>
    <row r="29916" spans="1:1" x14ac:dyDescent="0.3">
      <c r="A29916" t="s">
        <v>0</v>
      </c>
    </row>
    <row r="29917" spans="1:1" x14ac:dyDescent="0.3">
      <c r="A29917" t="s">
        <v>0</v>
      </c>
    </row>
    <row r="29918" spans="1:1" x14ac:dyDescent="0.3">
      <c r="A29918" t="s">
        <v>0</v>
      </c>
    </row>
    <row r="29919" spans="1:1" x14ac:dyDescent="0.3">
      <c r="A29919" t="s">
        <v>0</v>
      </c>
    </row>
    <row r="29920" spans="1:1" x14ac:dyDescent="0.3">
      <c r="A29920" t="s">
        <v>0</v>
      </c>
    </row>
    <row r="29921" spans="1:1" x14ac:dyDescent="0.3">
      <c r="A29921" t="s">
        <v>0</v>
      </c>
    </row>
    <row r="29922" spans="1:1" x14ac:dyDescent="0.3">
      <c r="A29922" t="s">
        <v>0</v>
      </c>
    </row>
    <row r="29923" spans="1:1" x14ac:dyDescent="0.3">
      <c r="A29923" t="s">
        <v>0</v>
      </c>
    </row>
    <row r="29924" spans="1:1" x14ac:dyDescent="0.3">
      <c r="A29924" t="s">
        <v>0</v>
      </c>
    </row>
    <row r="29925" spans="1:1" x14ac:dyDescent="0.3">
      <c r="A29925" t="s">
        <v>0</v>
      </c>
    </row>
    <row r="29926" spans="1:1" x14ac:dyDescent="0.3">
      <c r="A29926" t="s">
        <v>0</v>
      </c>
    </row>
    <row r="29927" spans="1:1" x14ac:dyDescent="0.3">
      <c r="A29927" t="s">
        <v>0</v>
      </c>
    </row>
    <row r="29928" spans="1:1" x14ac:dyDescent="0.3">
      <c r="A29928" t="s">
        <v>0</v>
      </c>
    </row>
    <row r="29929" spans="1:1" x14ac:dyDescent="0.3">
      <c r="A29929" t="s">
        <v>0</v>
      </c>
    </row>
    <row r="29930" spans="1:1" x14ac:dyDescent="0.3">
      <c r="A29930" t="s">
        <v>0</v>
      </c>
    </row>
    <row r="29931" spans="1:1" x14ac:dyDescent="0.3">
      <c r="A29931" t="s">
        <v>0</v>
      </c>
    </row>
    <row r="29932" spans="1:1" x14ac:dyDescent="0.3">
      <c r="A29932" t="s">
        <v>0</v>
      </c>
    </row>
    <row r="29933" spans="1:1" x14ac:dyDescent="0.3">
      <c r="A29933" t="s">
        <v>0</v>
      </c>
    </row>
    <row r="29934" spans="1:1" x14ac:dyDescent="0.3">
      <c r="A29934" t="s">
        <v>0</v>
      </c>
    </row>
    <row r="29935" spans="1:1" x14ac:dyDescent="0.3">
      <c r="A29935" t="s">
        <v>0</v>
      </c>
    </row>
    <row r="29936" spans="1:1" x14ac:dyDescent="0.3">
      <c r="A29936" t="s">
        <v>0</v>
      </c>
    </row>
    <row r="29937" spans="1:1" x14ac:dyDescent="0.3">
      <c r="A29937" t="s">
        <v>0</v>
      </c>
    </row>
    <row r="29938" spans="1:1" x14ac:dyDescent="0.3">
      <c r="A29938" t="s">
        <v>0</v>
      </c>
    </row>
    <row r="29939" spans="1:1" x14ac:dyDescent="0.3">
      <c r="A29939" t="s">
        <v>0</v>
      </c>
    </row>
    <row r="29940" spans="1:1" x14ac:dyDescent="0.3">
      <c r="A29940" t="s">
        <v>0</v>
      </c>
    </row>
    <row r="29941" spans="1:1" x14ac:dyDescent="0.3">
      <c r="A29941" t="s">
        <v>0</v>
      </c>
    </row>
    <row r="29942" spans="1:1" x14ac:dyDescent="0.3">
      <c r="A29942" t="s">
        <v>0</v>
      </c>
    </row>
    <row r="29943" spans="1:1" x14ac:dyDescent="0.3">
      <c r="A29943" t="s">
        <v>0</v>
      </c>
    </row>
    <row r="29944" spans="1:1" x14ac:dyDescent="0.3">
      <c r="A29944" t="s">
        <v>0</v>
      </c>
    </row>
    <row r="29945" spans="1:1" x14ac:dyDescent="0.3">
      <c r="A29945" t="s">
        <v>0</v>
      </c>
    </row>
    <row r="29946" spans="1:1" x14ac:dyDescent="0.3">
      <c r="A29946" t="s">
        <v>0</v>
      </c>
    </row>
    <row r="29947" spans="1:1" x14ac:dyDescent="0.3">
      <c r="A29947" t="s">
        <v>0</v>
      </c>
    </row>
    <row r="29948" spans="1:1" x14ac:dyDescent="0.3">
      <c r="A29948" t="s">
        <v>0</v>
      </c>
    </row>
    <row r="29949" spans="1:1" x14ac:dyDescent="0.3">
      <c r="A29949" t="s">
        <v>0</v>
      </c>
    </row>
    <row r="29950" spans="1:1" x14ac:dyDescent="0.3">
      <c r="A29950" t="s">
        <v>0</v>
      </c>
    </row>
    <row r="29951" spans="1:1" x14ac:dyDescent="0.3">
      <c r="A29951" t="s">
        <v>0</v>
      </c>
    </row>
    <row r="29952" spans="1:1" x14ac:dyDescent="0.3">
      <c r="A29952" t="s">
        <v>0</v>
      </c>
    </row>
    <row r="29953" spans="1:1" x14ac:dyDescent="0.3">
      <c r="A29953" t="s">
        <v>0</v>
      </c>
    </row>
    <row r="29954" spans="1:1" x14ac:dyDescent="0.3">
      <c r="A29954" t="s">
        <v>0</v>
      </c>
    </row>
    <row r="29955" spans="1:1" x14ac:dyDescent="0.3">
      <c r="A29955" t="s">
        <v>0</v>
      </c>
    </row>
    <row r="29956" spans="1:1" x14ac:dyDescent="0.3">
      <c r="A29956" t="s">
        <v>0</v>
      </c>
    </row>
    <row r="29957" spans="1:1" x14ac:dyDescent="0.3">
      <c r="A29957" t="s">
        <v>0</v>
      </c>
    </row>
    <row r="29958" spans="1:1" x14ac:dyDescent="0.3">
      <c r="A29958" t="s">
        <v>0</v>
      </c>
    </row>
    <row r="29959" spans="1:1" x14ac:dyDescent="0.3">
      <c r="A29959" t="s">
        <v>0</v>
      </c>
    </row>
    <row r="29960" spans="1:1" x14ac:dyDescent="0.3">
      <c r="A29960" t="s">
        <v>0</v>
      </c>
    </row>
    <row r="29961" spans="1:1" x14ac:dyDescent="0.3">
      <c r="A29961" t="s">
        <v>0</v>
      </c>
    </row>
    <row r="29962" spans="1:1" x14ac:dyDescent="0.3">
      <c r="A29962" t="s">
        <v>0</v>
      </c>
    </row>
    <row r="29963" spans="1:1" x14ac:dyDescent="0.3">
      <c r="A29963" t="s">
        <v>0</v>
      </c>
    </row>
    <row r="29964" spans="1:1" x14ac:dyDescent="0.3">
      <c r="A29964" t="s">
        <v>0</v>
      </c>
    </row>
    <row r="29965" spans="1:1" x14ac:dyDescent="0.3">
      <c r="A29965" t="s">
        <v>0</v>
      </c>
    </row>
    <row r="29966" spans="1:1" x14ac:dyDescent="0.3">
      <c r="A29966" t="s">
        <v>0</v>
      </c>
    </row>
    <row r="29967" spans="1:1" x14ac:dyDescent="0.3">
      <c r="A29967" t="s">
        <v>0</v>
      </c>
    </row>
    <row r="29968" spans="1:1" x14ac:dyDescent="0.3">
      <c r="A29968" t="s">
        <v>0</v>
      </c>
    </row>
    <row r="29969" spans="1:1" x14ac:dyDescent="0.3">
      <c r="A29969" t="s">
        <v>0</v>
      </c>
    </row>
    <row r="29970" spans="1:1" x14ac:dyDescent="0.3">
      <c r="A29970" t="s">
        <v>0</v>
      </c>
    </row>
    <row r="29971" spans="1:1" x14ac:dyDescent="0.3">
      <c r="A29971" t="s">
        <v>0</v>
      </c>
    </row>
    <row r="29972" spans="1:1" x14ac:dyDescent="0.3">
      <c r="A29972" t="s">
        <v>0</v>
      </c>
    </row>
    <row r="29973" spans="1:1" x14ac:dyDescent="0.3">
      <c r="A29973" t="s">
        <v>0</v>
      </c>
    </row>
    <row r="29974" spans="1:1" x14ac:dyDescent="0.3">
      <c r="A29974" t="s">
        <v>0</v>
      </c>
    </row>
    <row r="29975" spans="1:1" x14ac:dyDescent="0.3">
      <c r="A29975" t="s">
        <v>0</v>
      </c>
    </row>
    <row r="29976" spans="1:1" x14ac:dyDescent="0.3">
      <c r="A29976" t="s">
        <v>0</v>
      </c>
    </row>
    <row r="29977" spans="1:1" x14ac:dyDescent="0.3">
      <c r="A29977" t="s">
        <v>0</v>
      </c>
    </row>
    <row r="29978" spans="1:1" x14ac:dyDescent="0.3">
      <c r="A29978" t="s">
        <v>0</v>
      </c>
    </row>
    <row r="29979" spans="1:1" x14ac:dyDescent="0.3">
      <c r="A29979" t="s">
        <v>0</v>
      </c>
    </row>
    <row r="29980" spans="1:1" x14ac:dyDescent="0.3">
      <c r="A29980" t="s">
        <v>0</v>
      </c>
    </row>
    <row r="29981" spans="1:1" x14ac:dyDescent="0.3">
      <c r="A29981" t="s">
        <v>0</v>
      </c>
    </row>
    <row r="29982" spans="1:1" x14ac:dyDescent="0.3">
      <c r="A29982" t="s">
        <v>0</v>
      </c>
    </row>
    <row r="29983" spans="1:1" x14ac:dyDescent="0.3">
      <c r="A29983" t="s">
        <v>0</v>
      </c>
    </row>
    <row r="29984" spans="1:1" x14ac:dyDescent="0.3">
      <c r="A29984" t="s">
        <v>0</v>
      </c>
    </row>
    <row r="29985" spans="1:1" x14ac:dyDescent="0.3">
      <c r="A29985" t="s">
        <v>0</v>
      </c>
    </row>
    <row r="29986" spans="1:1" x14ac:dyDescent="0.3">
      <c r="A29986" t="s">
        <v>0</v>
      </c>
    </row>
    <row r="29987" spans="1:1" x14ac:dyDescent="0.3">
      <c r="A29987" t="s">
        <v>0</v>
      </c>
    </row>
    <row r="29988" spans="1:1" x14ac:dyDescent="0.3">
      <c r="A29988" t="s">
        <v>0</v>
      </c>
    </row>
    <row r="29989" spans="1:1" x14ac:dyDescent="0.3">
      <c r="A29989" t="s">
        <v>0</v>
      </c>
    </row>
    <row r="29990" spans="1:1" x14ac:dyDescent="0.3">
      <c r="A29990" t="s">
        <v>0</v>
      </c>
    </row>
    <row r="29991" spans="1:1" x14ac:dyDescent="0.3">
      <c r="A29991" t="s">
        <v>0</v>
      </c>
    </row>
    <row r="29992" spans="1:1" x14ac:dyDescent="0.3">
      <c r="A29992" t="s">
        <v>0</v>
      </c>
    </row>
    <row r="29993" spans="1:1" x14ac:dyDescent="0.3">
      <c r="A29993" t="s">
        <v>0</v>
      </c>
    </row>
    <row r="29994" spans="1:1" x14ac:dyDescent="0.3">
      <c r="A29994" t="s">
        <v>0</v>
      </c>
    </row>
    <row r="29995" spans="1:1" x14ac:dyDescent="0.3">
      <c r="A29995" t="s">
        <v>0</v>
      </c>
    </row>
    <row r="29996" spans="1:1" x14ac:dyDescent="0.3">
      <c r="A29996" t="s">
        <v>0</v>
      </c>
    </row>
    <row r="29997" spans="1:1" x14ac:dyDescent="0.3">
      <c r="A29997" t="s">
        <v>0</v>
      </c>
    </row>
    <row r="29998" spans="1:1" x14ac:dyDescent="0.3">
      <c r="A29998" t="s">
        <v>0</v>
      </c>
    </row>
    <row r="29999" spans="1:1" x14ac:dyDescent="0.3">
      <c r="A29999" t="s">
        <v>0</v>
      </c>
    </row>
    <row r="30000" spans="1:1" x14ac:dyDescent="0.3">
      <c r="A30000" t="s">
        <v>0</v>
      </c>
    </row>
    <row r="30001" spans="1:1" x14ac:dyDescent="0.3">
      <c r="A30001" t="s">
        <v>0</v>
      </c>
    </row>
    <row r="30002" spans="1:1" x14ac:dyDescent="0.3">
      <c r="A30002" t="s">
        <v>0</v>
      </c>
    </row>
    <row r="30003" spans="1:1" x14ac:dyDescent="0.3">
      <c r="A30003" t="s">
        <v>0</v>
      </c>
    </row>
    <row r="30004" spans="1:1" x14ac:dyDescent="0.3">
      <c r="A30004" t="s">
        <v>0</v>
      </c>
    </row>
    <row r="30005" spans="1:1" x14ac:dyDescent="0.3">
      <c r="A30005" t="s">
        <v>0</v>
      </c>
    </row>
    <row r="30006" spans="1:1" x14ac:dyDescent="0.3">
      <c r="A30006" t="s">
        <v>0</v>
      </c>
    </row>
    <row r="30007" spans="1:1" x14ac:dyDescent="0.3">
      <c r="A30007" t="s">
        <v>0</v>
      </c>
    </row>
    <row r="30008" spans="1:1" x14ac:dyDescent="0.3">
      <c r="A30008" t="s">
        <v>0</v>
      </c>
    </row>
    <row r="30009" spans="1:1" x14ac:dyDescent="0.3">
      <c r="A30009" t="s">
        <v>0</v>
      </c>
    </row>
    <row r="30010" spans="1:1" x14ac:dyDescent="0.3">
      <c r="A30010" t="s">
        <v>0</v>
      </c>
    </row>
    <row r="30011" spans="1:1" x14ac:dyDescent="0.3">
      <c r="A30011" t="s">
        <v>0</v>
      </c>
    </row>
    <row r="30012" spans="1:1" x14ac:dyDescent="0.3">
      <c r="A30012" t="s">
        <v>0</v>
      </c>
    </row>
    <row r="30013" spans="1:1" x14ac:dyDescent="0.3">
      <c r="A30013" t="s">
        <v>0</v>
      </c>
    </row>
    <row r="30014" spans="1:1" x14ac:dyDescent="0.3">
      <c r="A30014" t="s">
        <v>0</v>
      </c>
    </row>
    <row r="30015" spans="1:1" x14ac:dyDescent="0.3">
      <c r="A30015" t="s">
        <v>0</v>
      </c>
    </row>
    <row r="30016" spans="1:1" x14ac:dyDescent="0.3">
      <c r="A30016" t="s">
        <v>0</v>
      </c>
    </row>
    <row r="30017" spans="1:1" x14ac:dyDescent="0.3">
      <c r="A30017" t="s">
        <v>0</v>
      </c>
    </row>
    <row r="30018" spans="1:1" x14ac:dyDescent="0.3">
      <c r="A30018" t="s">
        <v>0</v>
      </c>
    </row>
    <row r="30019" spans="1:1" x14ac:dyDescent="0.3">
      <c r="A30019" t="s">
        <v>0</v>
      </c>
    </row>
    <row r="30020" spans="1:1" x14ac:dyDescent="0.3">
      <c r="A30020" t="s">
        <v>0</v>
      </c>
    </row>
    <row r="30021" spans="1:1" x14ac:dyDescent="0.3">
      <c r="A30021" t="s">
        <v>0</v>
      </c>
    </row>
    <row r="30022" spans="1:1" x14ac:dyDescent="0.3">
      <c r="A30022" t="s">
        <v>0</v>
      </c>
    </row>
    <row r="30023" spans="1:1" x14ac:dyDescent="0.3">
      <c r="A30023" t="s">
        <v>0</v>
      </c>
    </row>
    <row r="30024" spans="1:1" x14ac:dyDescent="0.3">
      <c r="A30024" t="s">
        <v>0</v>
      </c>
    </row>
    <row r="30025" spans="1:1" x14ac:dyDescent="0.3">
      <c r="A30025" t="s">
        <v>0</v>
      </c>
    </row>
    <row r="30026" spans="1:1" x14ac:dyDescent="0.3">
      <c r="A30026" t="s">
        <v>0</v>
      </c>
    </row>
    <row r="30027" spans="1:1" x14ac:dyDescent="0.3">
      <c r="A30027" t="s">
        <v>0</v>
      </c>
    </row>
    <row r="30028" spans="1:1" x14ac:dyDescent="0.3">
      <c r="A30028" t="s">
        <v>0</v>
      </c>
    </row>
    <row r="30029" spans="1:1" x14ac:dyDescent="0.3">
      <c r="A30029" t="s">
        <v>0</v>
      </c>
    </row>
    <row r="30030" spans="1:1" x14ac:dyDescent="0.3">
      <c r="A30030" t="s">
        <v>0</v>
      </c>
    </row>
    <row r="30031" spans="1:1" x14ac:dyDescent="0.3">
      <c r="A30031" t="s">
        <v>0</v>
      </c>
    </row>
    <row r="30032" spans="1:1" x14ac:dyDescent="0.3">
      <c r="A30032" t="s">
        <v>0</v>
      </c>
    </row>
    <row r="30033" spans="1:1" x14ac:dyDescent="0.3">
      <c r="A30033" t="s">
        <v>0</v>
      </c>
    </row>
    <row r="30034" spans="1:1" x14ac:dyDescent="0.3">
      <c r="A30034" t="s">
        <v>0</v>
      </c>
    </row>
    <row r="30035" spans="1:1" x14ac:dyDescent="0.3">
      <c r="A30035" t="s">
        <v>0</v>
      </c>
    </row>
    <row r="30036" spans="1:1" x14ac:dyDescent="0.3">
      <c r="A30036" t="s">
        <v>0</v>
      </c>
    </row>
    <row r="30037" spans="1:1" x14ac:dyDescent="0.3">
      <c r="A30037" t="s">
        <v>0</v>
      </c>
    </row>
    <row r="30038" spans="1:1" x14ac:dyDescent="0.3">
      <c r="A30038" t="s">
        <v>0</v>
      </c>
    </row>
    <row r="30039" spans="1:1" x14ac:dyDescent="0.3">
      <c r="A30039" t="s">
        <v>0</v>
      </c>
    </row>
    <row r="30040" spans="1:1" x14ac:dyDescent="0.3">
      <c r="A30040" t="s">
        <v>0</v>
      </c>
    </row>
    <row r="30041" spans="1:1" x14ac:dyDescent="0.3">
      <c r="A30041" t="s">
        <v>0</v>
      </c>
    </row>
    <row r="30042" spans="1:1" x14ac:dyDescent="0.3">
      <c r="A30042" t="s">
        <v>0</v>
      </c>
    </row>
    <row r="30043" spans="1:1" x14ac:dyDescent="0.3">
      <c r="A30043" t="s">
        <v>0</v>
      </c>
    </row>
    <row r="30044" spans="1:1" x14ac:dyDescent="0.3">
      <c r="A30044" t="s">
        <v>0</v>
      </c>
    </row>
    <row r="30045" spans="1:1" x14ac:dyDescent="0.3">
      <c r="A30045" t="s">
        <v>0</v>
      </c>
    </row>
    <row r="30046" spans="1:1" x14ac:dyDescent="0.3">
      <c r="A30046" t="s">
        <v>0</v>
      </c>
    </row>
    <row r="30047" spans="1:1" x14ac:dyDescent="0.3">
      <c r="A30047" t="s">
        <v>0</v>
      </c>
    </row>
    <row r="30048" spans="1:1" x14ac:dyDescent="0.3">
      <c r="A30048" t="s">
        <v>0</v>
      </c>
    </row>
    <row r="30049" spans="1:1" x14ac:dyDescent="0.3">
      <c r="A30049" t="s">
        <v>0</v>
      </c>
    </row>
    <row r="30050" spans="1:1" x14ac:dyDescent="0.3">
      <c r="A30050" t="s">
        <v>0</v>
      </c>
    </row>
    <row r="30051" spans="1:1" x14ac:dyDescent="0.3">
      <c r="A30051" t="s">
        <v>0</v>
      </c>
    </row>
    <row r="30052" spans="1:1" x14ac:dyDescent="0.3">
      <c r="A30052" t="s">
        <v>0</v>
      </c>
    </row>
    <row r="30053" spans="1:1" x14ac:dyDescent="0.3">
      <c r="A30053" t="s">
        <v>0</v>
      </c>
    </row>
    <row r="30054" spans="1:1" x14ac:dyDescent="0.3">
      <c r="A30054" t="s">
        <v>0</v>
      </c>
    </row>
    <row r="30055" spans="1:1" x14ac:dyDescent="0.3">
      <c r="A30055" t="s">
        <v>0</v>
      </c>
    </row>
    <row r="30056" spans="1:1" x14ac:dyDescent="0.3">
      <c r="A30056" t="s">
        <v>0</v>
      </c>
    </row>
    <row r="30057" spans="1:1" x14ac:dyDescent="0.3">
      <c r="A30057" t="s">
        <v>0</v>
      </c>
    </row>
    <row r="30058" spans="1:1" x14ac:dyDescent="0.3">
      <c r="A30058" t="s">
        <v>0</v>
      </c>
    </row>
    <row r="30059" spans="1:1" x14ac:dyDescent="0.3">
      <c r="A30059" t="s">
        <v>0</v>
      </c>
    </row>
    <row r="30060" spans="1:1" x14ac:dyDescent="0.3">
      <c r="A30060" t="s">
        <v>0</v>
      </c>
    </row>
    <row r="30061" spans="1:1" x14ac:dyDescent="0.3">
      <c r="A30061" t="s">
        <v>0</v>
      </c>
    </row>
    <row r="30062" spans="1:1" x14ac:dyDescent="0.3">
      <c r="A30062" t="s">
        <v>0</v>
      </c>
    </row>
    <row r="30063" spans="1:1" x14ac:dyDescent="0.3">
      <c r="A30063" t="s">
        <v>0</v>
      </c>
    </row>
    <row r="30064" spans="1:1" x14ac:dyDescent="0.3">
      <c r="A30064" t="s">
        <v>0</v>
      </c>
    </row>
    <row r="30065" spans="1:1" x14ac:dyDescent="0.3">
      <c r="A30065" t="s">
        <v>0</v>
      </c>
    </row>
    <row r="30066" spans="1:1" x14ac:dyDescent="0.3">
      <c r="A30066" t="s">
        <v>0</v>
      </c>
    </row>
    <row r="30067" spans="1:1" x14ac:dyDescent="0.3">
      <c r="A30067" t="s">
        <v>0</v>
      </c>
    </row>
    <row r="30068" spans="1:1" x14ac:dyDescent="0.3">
      <c r="A30068" t="s">
        <v>0</v>
      </c>
    </row>
    <row r="30069" spans="1:1" x14ac:dyDescent="0.3">
      <c r="A30069" t="s">
        <v>0</v>
      </c>
    </row>
    <row r="30070" spans="1:1" x14ac:dyDescent="0.3">
      <c r="A30070" t="s">
        <v>0</v>
      </c>
    </row>
    <row r="30071" spans="1:1" x14ac:dyDescent="0.3">
      <c r="A30071" t="s">
        <v>0</v>
      </c>
    </row>
    <row r="30072" spans="1:1" x14ac:dyDescent="0.3">
      <c r="A30072" t="s">
        <v>0</v>
      </c>
    </row>
    <row r="30073" spans="1:1" x14ac:dyDescent="0.3">
      <c r="A30073" t="s">
        <v>0</v>
      </c>
    </row>
    <row r="30074" spans="1:1" x14ac:dyDescent="0.3">
      <c r="A30074" t="s">
        <v>0</v>
      </c>
    </row>
    <row r="30075" spans="1:1" x14ac:dyDescent="0.3">
      <c r="A30075" t="s">
        <v>0</v>
      </c>
    </row>
    <row r="30076" spans="1:1" x14ac:dyDescent="0.3">
      <c r="A30076" t="s">
        <v>0</v>
      </c>
    </row>
    <row r="30077" spans="1:1" x14ac:dyDescent="0.3">
      <c r="A30077" t="s">
        <v>0</v>
      </c>
    </row>
    <row r="30078" spans="1:1" x14ac:dyDescent="0.3">
      <c r="A30078" t="s">
        <v>0</v>
      </c>
    </row>
    <row r="30079" spans="1:1" x14ac:dyDescent="0.3">
      <c r="A30079" t="s">
        <v>0</v>
      </c>
    </row>
    <row r="30080" spans="1:1" x14ac:dyDescent="0.3">
      <c r="A30080" t="s">
        <v>0</v>
      </c>
    </row>
    <row r="30081" spans="1:1" x14ac:dyDescent="0.3">
      <c r="A30081" t="s">
        <v>0</v>
      </c>
    </row>
    <row r="30082" spans="1:1" x14ac:dyDescent="0.3">
      <c r="A30082" t="s">
        <v>0</v>
      </c>
    </row>
    <row r="30083" spans="1:1" x14ac:dyDescent="0.3">
      <c r="A30083" t="s">
        <v>0</v>
      </c>
    </row>
    <row r="30084" spans="1:1" x14ac:dyDescent="0.3">
      <c r="A30084" t="s">
        <v>0</v>
      </c>
    </row>
    <row r="30085" spans="1:1" x14ac:dyDescent="0.3">
      <c r="A30085" t="s">
        <v>0</v>
      </c>
    </row>
    <row r="30086" spans="1:1" x14ac:dyDescent="0.3">
      <c r="A30086" t="s">
        <v>0</v>
      </c>
    </row>
    <row r="30087" spans="1:1" x14ac:dyDescent="0.3">
      <c r="A30087" t="s">
        <v>0</v>
      </c>
    </row>
    <row r="30088" spans="1:1" x14ac:dyDescent="0.3">
      <c r="A30088" t="s">
        <v>0</v>
      </c>
    </row>
    <row r="30089" spans="1:1" x14ac:dyDescent="0.3">
      <c r="A30089" t="s">
        <v>0</v>
      </c>
    </row>
    <row r="30090" spans="1:1" x14ac:dyDescent="0.3">
      <c r="A30090" t="s">
        <v>0</v>
      </c>
    </row>
    <row r="30091" spans="1:1" x14ac:dyDescent="0.3">
      <c r="A30091" t="s">
        <v>0</v>
      </c>
    </row>
    <row r="30092" spans="1:1" x14ac:dyDescent="0.3">
      <c r="A30092" t="s">
        <v>0</v>
      </c>
    </row>
    <row r="30093" spans="1:1" x14ac:dyDescent="0.3">
      <c r="A30093" t="s">
        <v>0</v>
      </c>
    </row>
    <row r="30094" spans="1:1" x14ac:dyDescent="0.3">
      <c r="A30094" t="s">
        <v>0</v>
      </c>
    </row>
    <row r="30095" spans="1:1" x14ac:dyDescent="0.3">
      <c r="A30095" t="s">
        <v>0</v>
      </c>
    </row>
    <row r="30096" spans="1:1" x14ac:dyDescent="0.3">
      <c r="A30096" t="s">
        <v>0</v>
      </c>
    </row>
    <row r="30097" spans="1:1" x14ac:dyDescent="0.3">
      <c r="A30097" t="s">
        <v>0</v>
      </c>
    </row>
    <row r="30098" spans="1:1" x14ac:dyDescent="0.3">
      <c r="A30098" t="s">
        <v>0</v>
      </c>
    </row>
    <row r="30099" spans="1:1" x14ac:dyDescent="0.3">
      <c r="A30099" t="s">
        <v>0</v>
      </c>
    </row>
    <row r="30100" spans="1:1" x14ac:dyDescent="0.3">
      <c r="A30100" t="s">
        <v>0</v>
      </c>
    </row>
    <row r="30101" spans="1:1" x14ac:dyDescent="0.3">
      <c r="A30101" t="s">
        <v>0</v>
      </c>
    </row>
    <row r="30102" spans="1:1" x14ac:dyDescent="0.3">
      <c r="A30102" t="s">
        <v>0</v>
      </c>
    </row>
    <row r="30103" spans="1:1" x14ac:dyDescent="0.3">
      <c r="A30103" t="s">
        <v>0</v>
      </c>
    </row>
    <row r="30104" spans="1:1" x14ac:dyDescent="0.3">
      <c r="A30104" t="s">
        <v>0</v>
      </c>
    </row>
    <row r="30105" spans="1:1" x14ac:dyDescent="0.3">
      <c r="A30105" t="s">
        <v>0</v>
      </c>
    </row>
    <row r="30106" spans="1:1" x14ac:dyDescent="0.3">
      <c r="A30106" t="s">
        <v>0</v>
      </c>
    </row>
    <row r="30107" spans="1:1" x14ac:dyDescent="0.3">
      <c r="A30107" t="s">
        <v>0</v>
      </c>
    </row>
    <row r="30108" spans="1:1" x14ac:dyDescent="0.3">
      <c r="A30108" t="s">
        <v>0</v>
      </c>
    </row>
    <row r="30109" spans="1:1" x14ac:dyDescent="0.3">
      <c r="A30109" t="s">
        <v>0</v>
      </c>
    </row>
    <row r="30110" spans="1:1" x14ac:dyDescent="0.3">
      <c r="A30110" t="s">
        <v>0</v>
      </c>
    </row>
    <row r="30111" spans="1:1" x14ac:dyDescent="0.3">
      <c r="A30111" t="s">
        <v>0</v>
      </c>
    </row>
    <row r="30112" spans="1:1" x14ac:dyDescent="0.3">
      <c r="A30112" t="s">
        <v>0</v>
      </c>
    </row>
    <row r="30113" spans="1:1" x14ac:dyDescent="0.3">
      <c r="A30113" t="s">
        <v>0</v>
      </c>
    </row>
    <row r="30114" spans="1:1" x14ac:dyDescent="0.3">
      <c r="A30114" t="s">
        <v>0</v>
      </c>
    </row>
    <row r="30115" spans="1:1" x14ac:dyDescent="0.3">
      <c r="A30115" t="s">
        <v>0</v>
      </c>
    </row>
    <row r="30116" spans="1:1" x14ac:dyDescent="0.3">
      <c r="A30116" t="s">
        <v>0</v>
      </c>
    </row>
    <row r="30117" spans="1:1" x14ac:dyDescent="0.3">
      <c r="A30117" t="s">
        <v>0</v>
      </c>
    </row>
    <row r="30118" spans="1:1" x14ac:dyDescent="0.3">
      <c r="A30118" t="s">
        <v>0</v>
      </c>
    </row>
    <row r="30119" spans="1:1" x14ac:dyDescent="0.3">
      <c r="A30119" t="s">
        <v>0</v>
      </c>
    </row>
    <row r="30120" spans="1:1" x14ac:dyDescent="0.3">
      <c r="A30120" t="s">
        <v>0</v>
      </c>
    </row>
    <row r="30121" spans="1:1" x14ac:dyDescent="0.3">
      <c r="A30121" t="s">
        <v>0</v>
      </c>
    </row>
    <row r="30122" spans="1:1" x14ac:dyDescent="0.3">
      <c r="A30122" t="s">
        <v>0</v>
      </c>
    </row>
    <row r="30123" spans="1:1" x14ac:dyDescent="0.3">
      <c r="A30123" t="s">
        <v>0</v>
      </c>
    </row>
    <row r="30124" spans="1:1" x14ac:dyDescent="0.3">
      <c r="A30124" t="s">
        <v>0</v>
      </c>
    </row>
    <row r="30125" spans="1:1" x14ac:dyDescent="0.3">
      <c r="A30125" t="s">
        <v>0</v>
      </c>
    </row>
    <row r="30126" spans="1:1" x14ac:dyDescent="0.3">
      <c r="A30126" t="s">
        <v>0</v>
      </c>
    </row>
    <row r="30127" spans="1:1" x14ac:dyDescent="0.3">
      <c r="A30127" t="s">
        <v>0</v>
      </c>
    </row>
    <row r="30128" spans="1:1" x14ac:dyDescent="0.3">
      <c r="A30128" t="s">
        <v>0</v>
      </c>
    </row>
    <row r="30129" spans="1:1" x14ac:dyDescent="0.3">
      <c r="A30129" t="s">
        <v>0</v>
      </c>
    </row>
    <row r="30130" spans="1:1" x14ac:dyDescent="0.3">
      <c r="A30130" t="s">
        <v>0</v>
      </c>
    </row>
    <row r="30131" spans="1:1" x14ac:dyDescent="0.3">
      <c r="A30131" t="s">
        <v>0</v>
      </c>
    </row>
    <row r="30132" spans="1:1" x14ac:dyDescent="0.3">
      <c r="A30132" t="s">
        <v>0</v>
      </c>
    </row>
    <row r="30133" spans="1:1" x14ac:dyDescent="0.3">
      <c r="A30133" t="s">
        <v>0</v>
      </c>
    </row>
    <row r="30134" spans="1:1" x14ac:dyDescent="0.3">
      <c r="A30134" t="s">
        <v>0</v>
      </c>
    </row>
    <row r="30135" spans="1:1" x14ac:dyDescent="0.3">
      <c r="A30135" t="s">
        <v>0</v>
      </c>
    </row>
    <row r="30136" spans="1:1" x14ac:dyDescent="0.3">
      <c r="A30136" t="s">
        <v>0</v>
      </c>
    </row>
    <row r="30137" spans="1:1" x14ac:dyDescent="0.3">
      <c r="A30137" t="s">
        <v>0</v>
      </c>
    </row>
    <row r="30138" spans="1:1" x14ac:dyDescent="0.3">
      <c r="A30138" t="s">
        <v>0</v>
      </c>
    </row>
    <row r="30139" spans="1:1" x14ac:dyDescent="0.3">
      <c r="A30139" t="s">
        <v>0</v>
      </c>
    </row>
    <row r="30140" spans="1:1" x14ac:dyDescent="0.3">
      <c r="A30140" t="s">
        <v>0</v>
      </c>
    </row>
    <row r="30141" spans="1:1" x14ac:dyDescent="0.3">
      <c r="A30141" t="s">
        <v>0</v>
      </c>
    </row>
    <row r="30142" spans="1:1" x14ac:dyDescent="0.3">
      <c r="A30142" t="s">
        <v>0</v>
      </c>
    </row>
    <row r="30143" spans="1:1" x14ac:dyDescent="0.3">
      <c r="A30143" t="s">
        <v>0</v>
      </c>
    </row>
    <row r="30144" spans="1:1" x14ac:dyDescent="0.3">
      <c r="A30144" t="s">
        <v>0</v>
      </c>
    </row>
    <row r="30145" spans="1:1" x14ac:dyDescent="0.3">
      <c r="A30145" t="s">
        <v>0</v>
      </c>
    </row>
    <row r="30146" spans="1:1" x14ac:dyDescent="0.3">
      <c r="A30146" t="s">
        <v>0</v>
      </c>
    </row>
    <row r="30147" spans="1:1" x14ac:dyDescent="0.3">
      <c r="A30147" t="s">
        <v>0</v>
      </c>
    </row>
    <row r="30148" spans="1:1" x14ac:dyDescent="0.3">
      <c r="A30148" t="s">
        <v>0</v>
      </c>
    </row>
    <row r="30149" spans="1:1" x14ac:dyDescent="0.3">
      <c r="A30149" t="s">
        <v>0</v>
      </c>
    </row>
    <row r="30150" spans="1:1" x14ac:dyDescent="0.3">
      <c r="A30150" t="s">
        <v>0</v>
      </c>
    </row>
    <row r="30151" spans="1:1" x14ac:dyDescent="0.3">
      <c r="A30151" t="s">
        <v>0</v>
      </c>
    </row>
    <row r="30152" spans="1:1" x14ac:dyDescent="0.3">
      <c r="A30152" t="s">
        <v>0</v>
      </c>
    </row>
    <row r="30153" spans="1:1" x14ac:dyDescent="0.3">
      <c r="A30153" t="s">
        <v>0</v>
      </c>
    </row>
    <row r="30154" spans="1:1" x14ac:dyDescent="0.3">
      <c r="A30154" t="s">
        <v>0</v>
      </c>
    </row>
    <row r="30155" spans="1:1" x14ac:dyDescent="0.3">
      <c r="A30155" t="s">
        <v>0</v>
      </c>
    </row>
    <row r="30156" spans="1:1" x14ac:dyDescent="0.3">
      <c r="A30156" t="s">
        <v>0</v>
      </c>
    </row>
    <row r="30157" spans="1:1" x14ac:dyDescent="0.3">
      <c r="A30157" t="s">
        <v>0</v>
      </c>
    </row>
    <row r="30158" spans="1:1" x14ac:dyDescent="0.3">
      <c r="A30158" t="s">
        <v>0</v>
      </c>
    </row>
    <row r="30159" spans="1:1" x14ac:dyDescent="0.3">
      <c r="A30159" t="s">
        <v>0</v>
      </c>
    </row>
    <row r="30160" spans="1:1" x14ac:dyDescent="0.3">
      <c r="A30160" t="s">
        <v>0</v>
      </c>
    </row>
    <row r="30161" spans="1:1" x14ac:dyDescent="0.3">
      <c r="A30161" t="s">
        <v>0</v>
      </c>
    </row>
    <row r="30162" spans="1:1" x14ac:dyDescent="0.3">
      <c r="A30162" t="s">
        <v>0</v>
      </c>
    </row>
    <row r="30163" spans="1:1" x14ac:dyDescent="0.3">
      <c r="A30163" t="s">
        <v>0</v>
      </c>
    </row>
    <row r="30164" spans="1:1" x14ac:dyDescent="0.3">
      <c r="A30164" t="s">
        <v>0</v>
      </c>
    </row>
    <row r="30165" spans="1:1" x14ac:dyDescent="0.3">
      <c r="A30165" t="s">
        <v>0</v>
      </c>
    </row>
    <row r="30166" spans="1:1" x14ac:dyDescent="0.3">
      <c r="A30166" t="s">
        <v>0</v>
      </c>
    </row>
    <row r="30167" spans="1:1" x14ac:dyDescent="0.3">
      <c r="A30167" t="s">
        <v>0</v>
      </c>
    </row>
    <row r="30168" spans="1:1" x14ac:dyDescent="0.3">
      <c r="A30168" t="s">
        <v>0</v>
      </c>
    </row>
    <row r="30169" spans="1:1" x14ac:dyDescent="0.3">
      <c r="A30169" t="s">
        <v>0</v>
      </c>
    </row>
    <row r="30170" spans="1:1" x14ac:dyDescent="0.3">
      <c r="A30170" t="s">
        <v>0</v>
      </c>
    </row>
    <row r="30171" spans="1:1" x14ac:dyDescent="0.3">
      <c r="A30171" t="s">
        <v>0</v>
      </c>
    </row>
    <row r="30172" spans="1:1" x14ac:dyDescent="0.3">
      <c r="A30172" t="s">
        <v>0</v>
      </c>
    </row>
    <row r="30173" spans="1:1" x14ac:dyDescent="0.3">
      <c r="A30173" t="s">
        <v>0</v>
      </c>
    </row>
    <row r="30174" spans="1:1" x14ac:dyDescent="0.3">
      <c r="A30174" t="s">
        <v>0</v>
      </c>
    </row>
    <row r="30175" spans="1:1" x14ac:dyDescent="0.3">
      <c r="A30175" t="s">
        <v>0</v>
      </c>
    </row>
    <row r="30176" spans="1:1" x14ac:dyDescent="0.3">
      <c r="A30176" t="s">
        <v>0</v>
      </c>
    </row>
    <row r="30177" spans="1:1" x14ac:dyDescent="0.3">
      <c r="A30177" t="s">
        <v>0</v>
      </c>
    </row>
    <row r="30178" spans="1:1" x14ac:dyDescent="0.3">
      <c r="A30178" t="s">
        <v>0</v>
      </c>
    </row>
    <row r="30179" spans="1:1" x14ac:dyDescent="0.3">
      <c r="A30179" t="s">
        <v>0</v>
      </c>
    </row>
    <row r="30180" spans="1:1" x14ac:dyDescent="0.3">
      <c r="A30180" t="s">
        <v>0</v>
      </c>
    </row>
    <row r="30181" spans="1:1" x14ac:dyDescent="0.3">
      <c r="A30181" t="s">
        <v>0</v>
      </c>
    </row>
    <row r="30182" spans="1:1" x14ac:dyDescent="0.3">
      <c r="A30182" t="s">
        <v>0</v>
      </c>
    </row>
    <row r="30183" spans="1:1" x14ac:dyDescent="0.3">
      <c r="A30183" t="s">
        <v>0</v>
      </c>
    </row>
    <row r="30184" spans="1:1" x14ac:dyDescent="0.3">
      <c r="A30184" t="s">
        <v>0</v>
      </c>
    </row>
    <row r="30185" spans="1:1" x14ac:dyDescent="0.3">
      <c r="A30185" t="s">
        <v>0</v>
      </c>
    </row>
    <row r="30186" spans="1:1" x14ac:dyDescent="0.3">
      <c r="A30186" t="s">
        <v>0</v>
      </c>
    </row>
    <row r="30187" spans="1:1" x14ac:dyDescent="0.3">
      <c r="A30187" t="s">
        <v>0</v>
      </c>
    </row>
    <row r="30188" spans="1:1" x14ac:dyDescent="0.3">
      <c r="A30188" t="s">
        <v>0</v>
      </c>
    </row>
    <row r="30189" spans="1:1" x14ac:dyDescent="0.3">
      <c r="A30189" t="s">
        <v>0</v>
      </c>
    </row>
    <row r="30190" spans="1:1" x14ac:dyDescent="0.3">
      <c r="A30190" t="s">
        <v>0</v>
      </c>
    </row>
    <row r="30191" spans="1:1" x14ac:dyDescent="0.3">
      <c r="A30191" t="s">
        <v>0</v>
      </c>
    </row>
    <row r="30192" spans="1:1" x14ac:dyDescent="0.3">
      <c r="A30192" t="s">
        <v>0</v>
      </c>
    </row>
    <row r="30193" spans="1:1" x14ac:dyDescent="0.3">
      <c r="A30193" t="s">
        <v>0</v>
      </c>
    </row>
    <row r="30194" spans="1:1" x14ac:dyDescent="0.3">
      <c r="A30194" t="s">
        <v>0</v>
      </c>
    </row>
    <row r="30195" spans="1:1" x14ac:dyDescent="0.3">
      <c r="A30195" t="s">
        <v>0</v>
      </c>
    </row>
    <row r="30196" spans="1:1" x14ac:dyDescent="0.3">
      <c r="A30196" t="s">
        <v>0</v>
      </c>
    </row>
    <row r="30197" spans="1:1" x14ac:dyDescent="0.3">
      <c r="A30197" t="s">
        <v>0</v>
      </c>
    </row>
    <row r="30198" spans="1:1" x14ac:dyDescent="0.3">
      <c r="A30198" t="s">
        <v>0</v>
      </c>
    </row>
    <row r="30199" spans="1:1" x14ac:dyDescent="0.3">
      <c r="A30199" t="s">
        <v>0</v>
      </c>
    </row>
    <row r="30200" spans="1:1" x14ac:dyDescent="0.3">
      <c r="A30200" t="s">
        <v>0</v>
      </c>
    </row>
    <row r="30201" spans="1:1" x14ac:dyDescent="0.3">
      <c r="A30201" t="s">
        <v>0</v>
      </c>
    </row>
    <row r="30202" spans="1:1" x14ac:dyDescent="0.3">
      <c r="A30202" t="s">
        <v>0</v>
      </c>
    </row>
    <row r="30203" spans="1:1" x14ac:dyDescent="0.3">
      <c r="A30203" t="s">
        <v>0</v>
      </c>
    </row>
    <row r="30204" spans="1:1" x14ac:dyDescent="0.3">
      <c r="A30204" t="s">
        <v>0</v>
      </c>
    </row>
    <row r="30205" spans="1:1" x14ac:dyDescent="0.3">
      <c r="A30205" t="s">
        <v>0</v>
      </c>
    </row>
    <row r="30206" spans="1:1" x14ac:dyDescent="0.3">
      <c r="A30206" t="s">
        <v>0</v>
      </c>
    </row>
    <row r="30207" spans="1:1" x14ac:dyDescent="0.3">
      <c r="A30207" t="s">
        <v>0</v>
      </c>
    </row>
    <row r="30208" spans="1:1" x14ac:dyDescent="0.3">
      <c r="A30208" t="s">
        <v>0</v>
      </c>
    </row>
    <row r="30209" spans="1:1" x14ac:dyDescent="0.3">
      <c r="A30209" t="s">
        <v>0</v>
      </c>
    </row>
    <row r="30210" spans="1:1" x14ac:dyDescent="0.3">
      <c r="A30210" t="s">
        <v>0</v>
      </c>
    </row>
    <row r="30211" spans="1:1" x14ac:dyDescent="0.3">
      <c r="A30211" t="s">
        <v>0</v>
      </c>
    </row>
    <row r="30212" spans="1:1" x14ac:dyDescent="0.3">
      <c r="A30212" t="s">
        <v>0</v>
      </c>
    </row>
    <row r="30213" spans="1:1" x14ac:dyDescent="0.3">
      <c r="A30213" t="s">
        <v>0</v>
      </c>
    </row>
    <row r="30214" spans="1:1" x14ac:dyDescent="0.3">
      <c r="A30214" t="s">
        <v>0</v>
      </c>
    </row>
    <row r="30215" spans="1:1" x14ac:dyDescent="0.3">
      <c r="A30215" t="s">
        <v>0</v>
      </c>
    </row>
    <row r="30216" spans="1:1" x14ac:dyDescent="0.3">
      <c r="A30216" t="s">
        <v>0</v>
      </c>
    </row>
    <row r="30217" spans="1:1" x14ac:dyDescent="0.3">
      <c r="A30217" t="s">
        <v>0</v>
      </c>
    </row>
    <row r="30218" spans="1:1" x14ac:dyDescent="0.3">
      <c r="A30218" t="s">
        <v>0</v>
      </c>
    </row>
    <row r="30219" spans="1:1" x14ac:dyDescent="0.3">
      <c r="A30219" t="s">
        <v>0</v>
      </c>
    </row>
    <row r="30220" spans="1:1" x14ac:dyDescent="0.3">
      <c r="A30220" t="s">
        <v>0</v>
      </c>
    </row>
    <row r="30221" spans="1:1" x14ac:dyDescent="0.3">
      <c r="A30221" t="s">
        <v>0</v>
      </c>
    </row>
    <row r="30222" spans="1:1" x14ac:dyDescent="0.3">
      <c r="A30222" t="s">
        <v>0</v>
      </c>
    </row>
    <row r="30223" spans="1:1" x14ac:dyDescent="0.3">
      <c r="A30223" t="s">
        <v>0</v>
      </c>
    </row>
    <row r="30224" spans="1:1" x14ac:dyDescent="0.3">
      <c r="A30224" t="s">
        <v>0</v>
      </c>
    </row>
    <row r="30225" spans="1:1" x14ac:dyDescent="0.3">
      <c r="A30225" t="s">
        <v>0</v>
      </c>
    </row>
    <row r="30226" spans="1:1" x14ac:dyDescent="0.3">
      <c r="A30226" t="s">
        <v>0</v>
      </c>
    </row>
    <row r="30227" spans="1:1" x14ac:dyDescent="0.3">
      <c r="A30227" t="s">
        <v>0</v>
      </c>
    </row>
    <row r="30228" spans="1:1" x14ac:dyDescent="0.3">
      <c r="A30228" t="s">
        <v>0</v>
      </c>
    </row>
    <row r="30229" spans="1:1" x14ac:dyDescent="0.3">
      <c r="A30229" t="s">
        <v>0</v>
      </c>
    </row>
    <row r="30230" spans="1:1" x14ac:dyDescent="0.3">
      <c r="A30230" t="s">
        <v>0</v>
      </c>
    </row>
    <row r="30231" spans="1:1" x14ac:dyDescent="0.3">
      <c r="A30231" t="s">
        <v>0</v>
      </c>
    </row>
    <row r="30232" spans="1:1" x14ac:dyDescent="0.3">
      <c r="A30232" t="s">
        <v>0</v>
      </c>
    </row>
    <row r="30233" spans="1:1" x14ac:dyDescent="0.3">
      <c r="A30233" t="s">
        <v>0</v>
      </c>
    </row>
    <row r="30234" spans="1:1" x14ac:dyDescent="0.3">
      <c r="A30234" t="s">
        <v>0</v>
      </c>
    </row>
    <row r="30235" spans="1:1" x14ac:dyDescent="0.3">
      <c r="A30235" t="s">
        <v>0</v>
      </c>
    </row>
    <row r="30236" spans="1:1" x14ac:dyDescent="0.3">
      <c r="A30236" t="s">
        <v>0</v>
      </c>
    </row>
    <row r="30237" spans="1:1" x14ac:dyDescent="0.3">
      <c r="A30237" t="s">
        <v>0</v>
      </c>
    </row>
    <row r="30238" spans="1:1" x14ac:dyDescent="0.3">
      <c r="A30238" t="s">
        <v>0</v>
      </c>
    </row>
    <row r="30239" spans="1:1" x14ac:dyDescent="0.3">
      <c r="A30239" t="s">
        <v>0</v>
      </c>
    </row>
    <row r="30240" spans="1:1" x14ac:dyDescent="0.3">
      <c r="A30240" t="s">
        <v>0</v>
      </c>
    </row>
    <row r="30241" spans="1:1" x14ac:dyDescent="0.3">
      <c r="A30241" t="s">
        <v>0</v>
      </c>
    </row>
    <row r="30242" spans="1:1" x14ac:dyDescent="0.3">
      <c r="A30242" t="s">
        <v>0</v>
      </c>
    </row>
    <row r="30243" spans="1:1" x14ac:dyDescent="0.3">
      <c r="A30243" t="s">
        <v>0</v>
      </c>
    </row>
    <row r="30244" spans="1:1" x14ac:dyDescent="0.3">
      <c r="A30244" t="s">
        <v>0</v>
      </c>
    </row>
    <row r="30245" spans="1:1" x14ac:dyDescent="0.3">
      <c r="A30245" t="s">
        <v>0</v>
      </c>
    </row>
    <row r="30246" spans="1:1" x14ac:dyDescent="0.3">
      <c r="A30246" t="s">
        <v>0</v>
      </c>
    </row>
    <row r="30247" spans="1:1" x14ac:dyDescent="0.3">
      <c r="A30247" t="s">
        <v>0</v>
      </c>
    </row>
    <row r="30248" spans="1:1" x14ac:dyDescent="0.3">
      <c r="A30248" t="s">
        <v>0</v>
      </c>
    </row>
    <row r="30249" spans="1:1" x14ac:dyDescent="0.3">
      <c r="A30249" t="s">
        <v>0</v>
      </c>
    </row>
    <row r="30250" spans="1:1" x14ac:dyDescent="0.3">
      <c r="A30250" t="s">
        <v>0</v>
      </c>
    </row>
    <row r="30251" spans="1:1" x14ac:dyDescent="0.3">
      <c r="A30251" t="s">
        <v>0</v>
      </c>
    </row>
    <row r="30252" spans="1:1" x14ac:dyDescent="0.3">
      <c r="A30252" t="s">
        <v>0</v>
      </c>
    </row>
    <row r="30253" spans="1:1" x14ac:dyDescent="0.3">
      <c r="A30253" t="s">
        <v>0</v>
      </c>
    </row>
    <row r="30254" spans="1:1" x14ac:dyDescent="0.3">
      <c r="A30254" t="s">
        <v>0</v>
      </c>
    </row>
    <row r="30255" spans="1:1" x14ac:dyDescent="0.3">
      <c r="A30255" t="s">
        <v>0</v>
      </c>
    </row>
    <row r="30256" spans="1:1" x14ac:dyDescent="0.3">
      <c r="A30256" t="s">
        <v>0</v>
      </c>
    </row>
    <row r="30257" spans="1:1" x14ac:dyDescent="0.3">
      <c r="A30257" t="s">
        <v>0</v>
      </c>
    </row>
    <row r="30258" spans="1:1" x14ac:dyDescent="0.3">
      <c r="A30258" t="s">
        <v>0</v>
      </c>
    </row>
    <row r="30259" spans="1:1" x14ac:dyDescent="0.3">
      <c r="A30259" t="s">
        <v>0</v>
      </c>
    </row>
    <row r="30260" spans="1:1" x14ac:dyDescent="0.3">
      <c r="A30260" t="s">
        <v>0</v>
      </c>
    </row>
    <row r="30261" spans="1:1" x14ac:dyDescent="0.3">
      <c r="A30261" t="s">
        <v>0</v>
      </c>
    </row>
    <row r="30262" spans="1:1" x14ac:dyDescent="0.3">
      <c r="A30262" t="s">
        <v>0</v>
      </c>
    </row>
    <row r="30263" spans="1:1" x14ac:dyDescent="0.3">
      <c r="A30263" t="s">
        <v>0</v>
      </c>
    </row>
    <row r="30264" spans="1:1" x14ac:dyDescent="0.3">
      <c r="A30264" t="s">
        <v>0</v>
      </c>
    </row>
    <row r="30265" spans="1:1" x14ac:dyDescent="0.3">
      <c r="A30265" t="s">
        <v>0</v>
      </c>
    </row>
    <row r="30266" spans="1:1" x14ac:dyDescent="0.3">
      <c r="A30266" t="s">
        <v>0</v>
      </c>
    </row>
    <row r="30267" spans="1:1" x14ac:dyDescent="0.3">
      <c r="A30267" t="s">
        <v>0</v>
      </c>
    </row>
    <row r="30268" spans="1:1" x14ac:dyDescent="0.3">
      <c r="A30268" t="s">
        <v>0</v>
      </c>
    </row>
    <row r="30269" spans="1:1" x14ac:dyDescent="0.3">
      <c r="A30269" t="s">
        <v>0</v>
      </c>
    </row>
    <row r="30270" spans="1:1" x14ac:dyDescent="0.3">
      <c r="A30270" t="s">
        <v>0</v>
      </c>
    </row>
    <row r="30271" spans="1:1" x14ac:dyDescent="0.3">
      <c r="A30271" t="s">
        <v>0</v>
      </c>
    </row>
    <row r="30272" spans="1:1" x14ac:dyDescent="0.3">
      <c r="A30272" t="s">
        <v>0</v>
      </c>
    </row>
    <row r="30273" spans="1:1" x14ac:dyDescent="0.3">
      <c r="A30273" t="s">
        <v>0</v>
      </c>
    </row>
    <row r="30274" spans="1:1" x14ac:dyDescent="0.3">
      <c r="A30274" t="s">
        <v>0</v>
      </c>
    </row>
    <row r="30275" spans="1:1" x14ac:dyDescent="0.3">
      <c r="A30275" t="s">
        <v>0</v>
      </c>
    </row>
    <row r="30276" spans="1:1" x14ac:dyDescent="0.3">
      <c r="A30276" t="s">
        <v>0</v>
      </c>
    </row>
    <row r="30277" spans="1:1" x14ac:dyDescent="0.3">
      <c r="A30277" t="s">
        <v>0</v>
      </c>
    </row>
    <row r="30278" spans="1:1" x14ac:dyDescent="0.3">
      <c r="A30278" t="s">
        <v>0</v>
      </c>
    </row>
    <row r="30279" spans="1:1" x14ac:dyDescent="0.3">
      <c r="A30279" t="s">
        <v>0</v>
      </c>
    </row>
    <row r="30280" spans="1:1" x14ac:dyDescent="0.3">
      <c r="A30280" t="s">
        <v>0</v>
      </c>
    </row>
    <row r="30281" spans="1:1" x14ac:dyDescent="0.3">
      <c r="A30281" t="s">
        <v>0</v>
      </c>
    </row>
    <row r="30282" spans="1:1" x14ac:dyDescent="0.3">
      <c r="A30282" t="s">
        <v>0</v>
      </c>
    </row>
    <row r="30283" spans="1:1" x14ac:dyDescent="0.3">
      <c r="A30283" t="s">
        <v>0</v>
      </c>
    </row>
    <row r="30284" spans="1:1" x14ac:dyDescent="0.3">
      <c r="A30284" t="s">
        <v>0</v>
      </c>
    </row>
    <row r="30285" spans="1:1" x14ac:dyDescent="0.3">
      <c r="A30285" t="s">
        <v>0</v>
      </c>
    </row>
    <row r="30286" spans="1:1" x14ac:dyDescent="0.3">
      <c r="A30286" t="s">
        <v>0</v>
      </c>
    </row>
    <row r="30287" spans="1:1" x14ac:dyDescent="0.3">
      <c r="A30287" t="s">
        <v>0</v>
      </c>
    </row>
    <row r="30288" spans="1:1" x14ac:dyDescent="0.3">
      <c r="A30288" t="s">
        <v>0</v>
      </c>
    </row>
    <row r="30289" spans="1:1" x14ac:dyDescent="0.3">
      <c r="A30289" t="s">
        <v>0</v>
      </c>
    </row>
    <row r="30290" spans="1:1" x14ac:dyDescent="0.3">
      <c r="A30290" t="s">
        <v>0</v>
      </c>
    </row>
    <row r="30291" spans="1:1" x14ac:dyDescent="0.3">
      <c r="A30291" t="s">
        <v>0</v>
      </c>
    </row>
    <row r="30292" spans="1:1" x14ac:dyDescent="0.3">
      <c r="A30292" t="s">
        <v>0</v>
      </c>
    </row>
    <row r="30293" spans="1:1" x14ac:dyDescent="0.3">
      <c r="A30293" t="s">
        <v>0</v>
      </c>
    </row>
    <row r="30294" spans="1:1" x14ac:dyDescent="0.3">
      <c r="A30294" t="s">
        <v>0</v>
      </c>
    </row>
    <row r="30295" spans="1:1" x14ac:dyDescent="0.3">
      <c r="A30295" t="s">
        <v>0</v>
      </c>
    </row>
    <row r="30296" spans="1:1" x14ac:dyDescent="0.3">
      <c r="A30296" t="s">
        <v>0</v>
      </c>
    </row>
    <row r="30297" spans="1:1" x14ac:dyDescent="0.3">
      <c r="A30297" t="s">
        <v>0</v>
      </c>
    </row>
    <row r="30298" spans="1:1" x14ac:dyDescent="0.3">
      <c r="A30298" t="s">
        <v>0</v>
      </c>
    </row>
    <row r="30299" spans="1:1" x14ac:dyDescent="0.3">
      <c r="A30299" t="s">
        <v>0</v>
      </c>
    </row>
    <row r="30300" spans="1:1" x14ac:dyDescent="0.3">
      <c r="A30300" t="s">
        <v>0</v>
      </c>
    </row>
    <row r="30301" spans="1:1" x14ac:dyDescent="0.3">
      <c r="A30301" t="s">
        <v>0</v>
      </c>
    </row>
    <row r="30302" spans="1:1" x14ac:dyDescent="0.3">
      <c r="A30302" t="s">
        <v>0</v>
      </c>
    </row>
    <row r="30303" spans="1:1" x14ac:dyDescent="0.3">
      <c r="A30303" t="s">
        <v>0</v>
      </c>
    </row>
    <row r="30304" spans="1:1" x14ac:dyDescent="0.3">
      <c r="A30304" t="s">
        <v>0</v>
      </c>
    </row>
    <row r="30305" spans="1:1" x14ac:dyDescent="0.3">
      <c r="A30305" t="s">
        <v>0</v>
      </c>
    </row>
    <row r="30306" spans="1:1" x14ac:dyDescent="0.3">
      <c r="A30306" t="s">
        <v>0</v>
      </c>
    </row>
    <row r="30307" spans="1:1" x14ac:dyDescent="0.3">
      <c r="A30307" t="s">
        <v>0</v>
      </c>
    </row>
    <row r="30308" spans="1:1" x14ac:dyDescent="0.3">
      <c r="A30308" t="s">
        <v>0</v>
      </c>
    </row>
    <row r="30309" spans="1:1" x14ac:dyDescent="0.3">
      <c r="A30309" t="s">
        <v>0</v>
      </c>
    </row>
    <row r="30310" spans="1:1" x14ac:dyDescent="0.3">
      <c r="A30310" t="s">
        <v>0</v>
      </c>
    </row>
    <row r="30311" spans="1:1" x14ac:dyDescent="0.3">
      <c r="A30311" t="s">
        <v>0</v>
      </c>
    </row>
    <row r="30312" spans="1:1" x14ac:dyDescent="0.3">
      <c r="A30312" t="s">
        <v>0</v>
      </c>
    </row>
    <row r="30313" spans="1:1" x14ac:dyDescent="0.3">
      <c r="A30313" t="s">
        <v>0</v>
      </c>
    </row>
    <row r="30314" spans="1:1" x14ac:dyDescent="0.3">
      <c r="A30314" t="s">
        <v>0</v>
      </c>
    </row>
    <row r="30315" spans="1:1" x14ac:dyDescent="0.3">
      <c r="A30315" t="s">
        <v>0</v>
      </c>
    </row>
    <row r="30316" spans="1:1" x14ac:dyDescent="0.3">
      <c r="A30316" t="s">
        <v>0</v>
      </c>
    </row>
    <row r="30317" spans="1:1" x14ac:dyDescent="0.3">
      <c r="A30317" t="s">
        <v>0</v>
      </c>
    </row>
    <row r="30318" spans="1:1" x14ac:dyDescent="0.3">
      <c r="A30318" t="s">
        <v>0</v>
      </c>
    </row>
    <row r="30319" spans="1:1" x14ac:dyDescent="0.3">
      <c r="A30319" t="s">
        <v>0</v>
      </c>
    </row>
    <row r="30320" spans="1:1" x14ac:dyDescent="0.3">
      <c r="A30320" t="s">
        <v>0</v>
      </c>
    </row>
    <row r="30321" spans="1:1" x14ac:dyDescent="0.3">
      <c r="A30321" t="s">
        <v>0</v>
      </c>
    </row>
    <row r="30322" spans="1:1" x14ac:dyDescent="0.3">
      <c r="A30322" t="s">
        <v>0</v>
      </c>
    </row>
    <row r="30323" spans="1:1" x14ac:dyDescent="0.3">
      <c r="A30323" t="s">
        <v>0</v>
      </c>
    </row>
    <row r="30324" spans="1:1" x14ac:dyDescent="0.3">
      <c r="A30324" t="s">
        <v>0</v>
      </c>
    </row>
    <row r="30325" spans="1:1" x14ac:dyDescent="0.3">
      <c r="A30325" t="s">
        <v>0</v>
      </c>
    </row>
    <row r="30326" spans="1:1" x14ac:dyDescent="0.3">
      <c r="A30326" t="s">
        <v>0</v>
      </c>
    </row>
    <row r="30327" spans="1:1" x14ac:dyDescent="0.3">
      <c r="A30327" t="s">
        <v>0</v>
      </c>
    </row>
    <row r="30328" spans="1:1" x14ac:dyDescent="0.3">
      <c r="A30328" t="s">
        <v>0</v>
      </c>
    </row>
    <row r="30329" spans="1:1" x14ac:dyDescent="0.3">
      <c r="A30329" t="s">
        <v>0</v>
      </c>
    </row>
    <row r="30330" spans="1:1" x14ac:dyDescent="0.3">
      <c r="A30330" t="s">
        <v>0</v>
      </c>
    </row>
    <row r="30331" spans="1:1" x14ac:dyDescent="0.3">
      <c r="A30331" t="s">
        <v>0</v>
      </c>
    </row>
    <row r="30332" spans="1:1" x14ac:dyDescent="0.3">
      <c r="A30332" t="s">
        <v>0</v>
      </c>
    </row>
    <row r="30333" spans="1:1" x14ac:dyDescent="0.3">
      <c r="A30333" t="s">
        <v>0</v>
      </c>
    </row>
    <row r="30334" spans="1:1" x14ac:dyDescent="0.3">
      <c r="A30334" t="s">
        <v>0</v>
      </c>
    </row>
    <row r="30335" spans="1:1" x14ac:dyDescent="0.3">
      <c r="A30335" t="s">
        <v>0</v>
      </c>
    </row>
    <row r="30336" spans="1:1" x14ac:dyDescent="0.3">
      <c r="A30336" t="s">
        <v>0</v>
      </c>
    </row>
    <row r="30337" spans="1:1" x14ac:dyDescent="0.3">
      <c r="A30337" t="s">
        <v>0</v>
      </c>
    </row>
    <row r="30338" spans="1:1" x14ac:dyDescent="0.3">
      <c r="A30338" t="s">
        <v>0</v>
      </c>
    </row>
    <row r="30339" spans="1:1" x14ac:dyDescent="0.3">
      <c r="A30339" t="s">
        <v>0</v>
      </c>
    </row>
    <row r="30340" spans="1:1" x14ac:dyDescent="0.3">
      <c r="A30340" t="s">
        <v>0</v>
      </c>
    </row>
    <row r="30341" spans="1:1" x14ac:dyDescent="0.3">
      <c r="A30341" t="s">
        <v>0</v>
      </c>
    </row>
    <row r="30342" spans="1:1" x14ac:dyDescent="0.3">
      <c r="A30342" t="s">
        <v>0</v>
      </c>
    </row>
    <row r="30343" spans="1:1" x14ac:dyDescent="0.3">
      <c r="A30343" t="s">
        <v>0</v>
      </c>
    </row>
    <row r="30344" spans="1:1" x14ac:dyDescent="0.3">
      <c r="A30344" t="s">
        <v>0</v>
      </c>
    </row>
    <row r="30345" spans="1:1" x14ac:dyDescent="0.3">
      <c r="A30345" t="s">
        <v>0</v>
      </c>
    </row>
    <row r="30346" spans="1:1" x14ac:dyDescent="0.3">
      <c r="A30346" t="s">
        <v>0</v>
      </c>
    </row>
    <row r="30347" spans="1:1" x14ac:dyDescent="0.3">
      <c r="A30347" t="s">
        <v>0</v>
      </c>
    </row>
    <row r="30348" spans="1:1" x14ac:dyDescent="0.3">
      <c r="A30348" t="s">
        <v>0</v>
      </c>
    </row>
    <row r="30349" spans="1:1" x14ac:dyDescent="0.3">
      <c r="A30349" t="s">
        <v>0</v>
      </c>
    </row>
    <row r="30350" spans="1:1" x14ac:dyDescent="0.3">
      <c r="A30350" t="s">
        <v>0</v>
      </c>
    </row>
    <row r="30351" spans="1:1" x14ac:dyDescent="0.3">
      <c r="A30351" t="s">
        <v>0</v>
      </c>
    </row>
    <row r="30352" spans="1:1" x14ac:dyDescent="0.3">
      <c r="A30352" t="s">
        <v>0</v>
      </c>
    </row>
    <row r="30353" spans="1:1" x14ac:dyDescent="0.3">
      <c r="A30353" t="s">
        <v>0</v>
      </c>
    </row>
    <row r="30354" spans="1:1" x14ac:dyDescent="0.3">
      <c r="A30354" t="s">
        <v>0</v>
      </c>
    </row>
    <row r="30355" spans="1:1" x14ac:dyDescent="0.3">
      <c r="A30355" t="s">
        <v>0</v>
      </c>
    </row>
    <row r="30356" spans="1:1" x14ac:dyDescent="0.3">
      <c r="A30356" t="s">
        <v>0</v>
      </c>
    </row>
    <row r="30357" spans="1:1" x14ac:dyDescent="0.3">
      <c r="A30357" t="s">
        <v>0</v>
      </c>
    </row>
    <row r="30358" spans="1:1" x14ac:dyDescent="0.3">
      <c r="A30358" t="s">
        <v>0</v>
      </c>
    </row>
    <row r="30359" spans="1:1" x14ac:dyDescent="0.3">
      <c r="A30359" t="s">
        <v>0</v>
      </c>
    </row>
    <row r="30360" spans="1:1" x14ac:dyDescent="0.3">
      <c r="A30360" t="s">
        <v>0</v>
      </c>
    </row>
    <row r="30361" spans="1:1" x14ac:dyDescent="0.3">
      <c r="A30361" t="s">
        <v>0</v>
      </c>
    </row>
    <row r="30362" spans="1:1" x14ac:dyDescent="0.3">
      <c r="A30362" t="s">
        <v>0</v>
      </c>
    </row>
    <row r="30363" spans="1:1" x14ac:dyDescent="0.3">
      <c r="A30363" t="s">
        <v>0</v>
      </c>
    </row>
    <row r="30364" spans="1:1" x14ac:dyDescent="0.3">
      <c r="A30364" t="s">
        <v>0</v>
      </c>
    </row>
    <row r="30365" spans="1:1" x14ac:dyDescent="0.3">
      <c r="A30365" t="s">
        <v>0</v>
      </c>
    </row>
    <row r="30366" spans="1:1" x14ac:dyDescent="0.3">
      <c r="A30366" t="s">
        <v>0</v>
      </c>
    </row>
    <row r="30367" spans="1:1" x14ac:dyDescent="0.3">
      <c r="A30367" t="s">
        <v>0</v>
      </c>
    </row>
    <row r="30368" spans="1:1" x14ac:dyDescent="0.3">
      <c r="A30368" t="s">
        <v>0</v>
      </c>
    </row>
    <row r="30369" spans="1:1" x14ac:dyDescent="0.3">
      <c r="A30369" t="s">
        <v>0</v>
      </c>
    </row>
    <row r="30370" spans="1:1" x14ac:dyDescent="0.3">
      <c r="A30370" t="s">
        <v>0</v>
      </c>
    </row>
    <row r="30371" spans="1:1" x14ac:dyDescent="0.3">
      <c r="A30371" t="s">
        <v>0</v>
      </c>
    </row>
    <row r="30372" spans="1:1" x14ac:dyDescent="0.3">
      <c r="A30372" t="s">
        <v>0</v>
      </c>
    </row>
    <row r="30373" spans="1:1" x14ac:dyDescent="0.3">
      <c r="A30373" t="s">
        <v>0</v>
      </c>
    </row>
    <row r="30374" spans="1:1" x14ac:dyDescent="0.3">
      <c r="A30374" t="s">
        <v>0</v>
      </c>
    </row>
    <row r="30375" spans="1:1" x14ac:dyDescent="0.3">
      <c r="A30375" t="s">
        <v>0</v>
      </c>
    </row>
    <row r="30376" spans="1:1" x14ac:dyDescent="0.3">
      <c r="A30376" t="s">
        <v>0</v>
      </c>
    </row>
    <row r="30377" spans="1:1" x14ac:dyDescent="0.3">
      <c r="A30377" t="s">
        <v>0</v>
      </c>
    </row>
    <row r="30378" spans="1:1" x14ac:dyDescent="0.3">
      <c r="A30378" t="s">
        <v>0</v>
      </c>
    </row>
    <row r="30379" spans="1:1" x14ac:dyDescent="0.3">
      <c r="A30379" t="s">
        <v>0</v>
      </c>
    </row>
    <row r="30380" spans="1:1" x14ac:dyDescent="0.3">
      <c r="A30380" t="s">
        <v>0</v>
      </c>
    </row>
    <row r="30381" spans="1:1" x14ac:dyDescent="0.3">
      <c r="A30381" t="s">
        <v>0</v>
      </c>
    </row>
    <row r="30382" spans="1:1" x14ac:dyDescent="0.3">
      <c r="A30382" t="s">
        <v>0</v>
      </c>
    </row>
    <row r="30383" spans="1:1" x14ac:dyDescent="0.3">
      <c r="A30383" t="s">
        <v>0</v>
      </c>
    </row>
    <row r="30384" spans="1:1" x14ac:dyDescent="0.3">
      <c r="A30384" t="s">
        <v>0</v>
      </c>
    </row>
    <row r="30385" spans="1:1" x14ac:dyDescent="0.3">
      <c r="A30385" t="s">
        <v>0</v>
      </c>
    </row>
    <row r="30386" spans="1:1" x14ac:dyDescent="0.3">
      <c r="A30386" t="s">
        <v>0</v>
      </c>
    </row>
    <row r="30387" spans="1:1" x14ac:dyDescent="0.3">
      <c r="A30387" t="s">
        <v>0</v>
      </c>
    </row>
    <row r="30388" spans="1:1" x14ac:dyDescent="0.3">
      <c r="A30388" t="s">
        <v>0</v>
      </c>
    </row>
    <row r="30389" spans="1:1" x14ac:dyDescent="0.3">
      <c r="A30389" t="s">
        <v>0</v>
      </c>
    </row>
    <row r="30390" spans="1:1" x14ac:dyDescent="0.3">
      <c r="A30390" t="s">
        <v>0</v>
      </c>
    </row>
    <row r="30391" spans="1:1" x14ac:dyDescent="0.3">
      <c r="A30391" t="s">
        <v>0</v>
      </c>
    </row>
    <row r="30392" spans="1:1" x14ac:dyDescent="0.3">
      <c r="A30392" t="s">
        <v>0</v>
      </c>
    </row>
    <row r="30393" spans="1:1" x14ac:dyDescent="0.3">
      <c r="A30393" t="s">
        <v>0</v>
      </c>
    </row>
    <row r="30394" spans="1:1" x14ac:dyDescent="0.3">
      <c r="A30394" t="s">
        <v>0</v>
      </c>
    </row>
    <row r="30395" spans="1:1" x14ac:dyDescent="0.3">
      <c r="A30395" t="s">
        <v>0</v>
      </c>
    </row>
    <row r="30396" spans="1:1" x14ac:dyDescent="0.3">
      <c r="A30396" t="s">
        <v>0</v>
      </c>
    </row>
    <row r="30397" spans="1:1" x14ac:dyDescent="0.3">
      <c r="A30397" t="s">
        <v>0</v>
      </c>
    </row>
    <row r="30398" spans="1:1" x14ac:dyDescent="0.3">
      <c r="A30398" t="s">
        <v>0</v>
      </c>
    </row>
    <row r="30399" spans="1:1" x14ac:dyDescent="0.3">
      <c r="A30399" t="s">
        <v>0</v>
      </c>
    </row>
    <row r="30400" spans="1:1" x14ac:dyDescent="0.3">
      <c r="A30400" t="s">
        <v>0</v>
      </c>
    </row>
    <row r="30401" spans="1:1" x14ac:dyDescent="0.3">
      <c r="A30401" t="s">
        <v>0</v>
      </c>
    </row>
    <row r="30402" spans="1:1" x14ac:dyDescent="0.3">
      <c r="A30402" t="s">
        <v>0</v>
      </c>
    </row>
    <row r="30403" spans="1:1" x14ac:dyDescent="0.3">
      <c r="A30403" t="s">
        <v>0</v>
      </c>
    </row>
    <row r="30404" spans="1:1" x14ac:dyDescent="0.3">
      <c r="A30404" t="s">
        <v>0</v>
      </c>
    </row>
    <row r="30405" spans="1:1" x14ac:dyDescent="0.3">
      <c r="A30405" t="s">
        <v>0</v>
      </c>
    </row>
    <row r="30406" spans="1:1" x14ac:dyDescent="0.3">
      <c r="A30406" t="s">
        <v>0</v>
      </c>
    </row>
    <row r="30407" spans="1:1" x14ac:dyDescent="0.3">
      <c r="A30407" t="s">
        <v>0</v>
      </c>
    </row>
    <row r="30408" spans="1:1" x14ac:dyDescent="0.3">
      <c r="A30408" t="s">
        <v>0</v>
      </c>
    </row>
    <row r="30409" spans="1:1" x14ac:dyDescent="0.3">
      <c r="A30409" t="s">
        <v>0</v>
      </c>
    </row>
    <row r="30410" spans="1:1" x14ac:dyDescent="0.3">
      <c r="A30410" t="s">
        <v>0</v>
      </c>
    </row>
    <row r="30411" spans="1:1" x14ac:dyDescent="0.3">
      <c r="A30411" t="s">
        <v>0</v>
      </c>
    </row>
    <row r="30412" spans="1:1" x14ac:dyDescent="0.3">
      <c r="A30412" t="s">
        <v>0</v>
      </c>
    </row>
    <row r="30413" spans="1:1" x14ac:dyDescent="0.3">
      <c r="A30413" t="s">
        <v>0</v>
      </c>
    </row>
    <row r="30414" spans="1:1" x14ac:dyDescent="0.3">
      <c r="A30414" t="s">
        <v>0</v>
      </c>
    </row>
    <row r="30415" spans="1:1" x14ac:dyDescent="0.3">
      <c r="A30415" t="s">
        <v>0</v>
      </c>
    </row>
    <row r="30416" spans="1:1" x14ac:dyDescent="0.3">
      <c r="A30416" t="s">
        <v>0</v>
      </c>
    </row>
    <row r="30417" spans="1:1" x14ac:dyDescent="0.3">
      <c r="A30417" t="s">
        <v>0</v>
      </c>
    </row>
    <row r="30418" spans="1:1" x14ac:dyDescent="0.3">
      <c r="A30418" t="s">
        <v>0</v>
      </c>
    </row>
    <row r="30419" spans="1:1" x14ac:dyDescent="0.3">
      <c r="A30419" t="s">
        <v>0</v>
      </c>
    </row>
    <row r="30420" spans="1:1" x14ac:dyDescent="0.3">
      <c r="A30420" t="s">
        <v>0</v>
      </c>
    </row>
    <row r="30421" spans="1:1" x14ac:dyDescent="0.3">
      <c r="A30421" t="s">
        <v>0</v>
      </c>
    </row>
    <row r="30422" spans="1:1" x14ac:dyDescent="0.3">
      <c r="A30422" t="s">
        <v>0</v>
      </c>
    </row>
    <row r="30423" spans="1:1" x14ac:dyDescent="0.3">
      <c r="A30423" t="s">
        <v>0</v>
      </c>
    </row>
    <row r="30424" spans="1:1" x14ac:dyDescent="0.3">
      <c r="A30424" t="s">
        <v>0</v>
      </c>
    </row>
    <row r="30425" spans="1:1" x14ac:dyDescent="0.3">
      <c r="A30425" t="s">
        <v>0</v>
      </c>
    </row>
    <row r="30426" spans="1:1" x14ac:dyDescent="0.3">
      <c r="A30426" t="s">
        <v>0</v>
      </c>
    </row>
    <row r="30427" spans="1:1" x14ac:dyDescent="0.3">
      <c r="A30427" t="s">
        <v>0</v>
      </c>
    </row>
    <row r="30428" spans="1:1" x14ac:dyDescent="0.3">
      <c r="A30428" t="s">
        <v>0</v>
      </c>
    </row>
    <row r="30429" spans="1:1" x14ac:dyDescent="0.3">
      <c r="A30429" t="s">
        <v>0</v>
      </c>
    </row>
    <row r="30430" spans="1:1" x14ac:dyDescent="0.3">
      <c r="A30430" t="s">
        <v>0</v>
      </c>
    </row>
    <row r="30431" spans="1:1" x14ac:dyDescent="0.3">
      <c r="A30431" t="s">
        <v>0</v>
      </c>
    </row>
    <row r="30432" spans="1:1" x14ac:dyDescent="0.3">
      <c r="A30432" t="s">
        <v>0</v>
      </c>
    </row>
    <row r="30433" spans="1:1" x14ac:dyDescent="0.3">
      <c r="A30433" t="s">
        <v>0</v>
      </c>
    </row>
    <row r="30434" spans="1:1" x14ac:dyDescent="0.3">
      <c r="A30434" t="s">
        <v>0</v>
      </c>
    </row>
    <row r="30435" spans="1:1" x14ac:dyDescent="0.3">
      <c r="A30435" t="s">
        <v>0</v>
      </c>
    </row>
    <row r="30436" spans="1:1" x14ac:dyDescent="0.3">
      <c r="A30436" t="s">
        <v>0</v>
      </c>
    </row>
    <row r="30437" spans="1:1" x14ac:dyDescent="0.3">
      <c r="A30437" t="s">
        <v>0</v>
      </c>
    </row>
    <row r="30438" spans="1:1" x14ac:dyDescent="0.3">
      <c r="A30438" t="s">
        <v>0</v>
      </c>
    </row>
    <row r="30439" spans="1:1" x14ac:dyDescent="0.3">
      <c r="A30439" t="s">
        <v>0</v>
      </c>
    </row>
    <row r="30440" spans="1:1" x14ac:dyDescent="0.3">
      <c r="A30440" t="s">
        <v>0</v>
      </c>
    </row>
    <row r="30441" spans="1:1" x14ac:dyDescent="0.3">
      <c r="A30441" t="s">
        <v>0</v>
      </c>
    </row>
    <row r="30442" spans="1:1" x14ac:dyDescent="0.3">
      <c r="A30442" t="s">
        <v>0</v>
      </c>
    </row>
    <row r="30443" spans="1:1" x14ac:dyDescent="0.3">
      <c r="A30443" t="s">
        <v>0</v>
      </c>
    </row>
    <row r="30444" spans="1:1" x14ac:dyDescent="0.3">
      <c r="A30444" t="s">
        <v>0</v>
      </c>
    </row>
    <row r="30445" spans="1:1" x14ac:dyDescent="0.3">
      <c r="A30445" t="s">
        <v>0</v>
      </c>
    </row>
    <row r="30446" spans="1:1" x14ac:dyDescent="0.3">
      <c r="A30446" t="s">
        <v>0</v>
      </c>
    </row>
    <row r="30447" spans="1:1" x14ac:dyDescent="0.3">
      <c r="A30447" t="s">
        <v>0</v>
      </c>
    </row>
    <row r="30448" spans="1:1" x14ac:dyDescent="0.3">
      <c r="A30448" t="s">
        <v>0</v>
      </c>
    </row>
    <row r="30449" spans="1:1" x14ac:dyDescent="0.3">
      <c r="A30449" t="s">
        <v>0</v>
      </c>
    </row>
    <row r="30450" spans="1:1" x14ac:dyDescent="0.3">
      <c r="A30450" t="s">
        <v>0</v>
      </c>
    </row>
    <row r="30451" spans="1:1" x14ac:dyDescent="0.3">
      <c r="A30451" t="s">
        <v>0</v>
      </c>
    </row>
    <row r="30452" spans="1:1" x14ac:dyDescent="0.3">
      <c r="A30452" t="s">
        <v>0</v>
      </c>
    </row>
    <row r="30453" spans="1:1" x14ac:dyDescent="0.3">
      <c r="A30453" t="s">
        <v>0</v>
      </c>
    </row>
    <row r="30454" spans="1:1" x14ac:dyDescent="0.3">
      <c r="A30454" t="s">
        <v>0</v>
      </c>
    </row>
    <row r="30455" spans="1:1" x14ac:dyDescent="0.3">
      <c r="A30455" t="s">
        <v>0</v>
      </c>
    </row>
    <row r="30456" spans="1:1" x14ac:dyDescent="0.3">
      <c r="A30456" t="s">
        <v>0</v>
      </c>
    </row>
    <row r="30457" spans="1:1" x14ac:dyDescent="0.3">
      <c r="A30457" t="s">
        <v>0</v>
      </c>
    </row>
    <row r="30458" spans="1:1" x14ac:dyDescent="0.3">
      <c r="A30458" t="s">
        <v>0</v>
      </c>
    </row>
    <row r="30459" spans="1:1" x14ac:dyDescent="0.3">
      <c r="A30459" t="s">
        <v>0</v>
      </c>
    </row>
    <row r="30460" spans="1:1" x14ac:dyDescent="0.3">
      <c r="A30460" t="s">
        <v>0</v>
      </c>
    </row>
    <row r="30461" spans="1:1" x14ac:dyDescent="0.3">
      <c r="A30461" t="s">
        <v>0</v>
      </c>
    </row>
    <row r="30462" spans="1:1" x14ac:dyDescent="0.3">
      <c r="A30462" t="s">
        <v>0</v>
      </c>
    </row>
    <row r="30463" spans="1:1" x14ac:dyDescent="0.3">
      <c r="A30463" t="s">
        <v>0</v>
      </c>
    </row>
    <row r="30464" spans="1:1" x14ac:dyDescent="0.3">
      <c r="A30464" t="s">
        <v>0</v>
      </c>
    </row>
    <row r="30465" spans="1:1" x14ac:dyDescent="0.3">
      <c r="A30465" t="s">
        <v>0</v>
      </c>
    </row>
    <row r="30466" spans="1:1" x14ac:dyDescent="0.3">
      <c r="A30466" t="s">
        <v>0</v>
      </c>
    </row>
    <row r="30467" spans="1:1" x14ac:dyDescent="0.3">
      <c r="A30467" t="s">
        <v>0</v>
      </c>
    </row>
    <row r="30468" spans="1:1" x14ac:dyDescent="0.3">
      <c r="A30468" t="s">
        <v>0</v>
      </c>
    </row>
    <row r="30469" spans="1:1" x14ac:dyDescent="0.3">
      <c r="A30469" t="s">
        <v>0</v>
      </c>
    </row>
    <row r="30470" spans="1:1" x14ac:dyDescent="0.3">
      <c r="A30470" t="s">
        <v>0</v>
      </c>
    </row>
    <row r="30471" spans="1:1" x14ac:dyDescent="0.3">
      <c r="A30471" t="s">
        <v>0</v>
      </c>
    </row>
    <row r="30472" spans="1:1" x14ac:dyDescent="0.3">
      <c r="A30472" t="s">
        <v>0</v>
      </c>
    </row>
    <row r="30473" spans="1:1" x14ac:dyDescent="0.3">
      <c r="A30473" t="s">
        <v>0</v>
      </c>
    </row>
    <row r="30474" spans="1:1" x14ac:dyDescent="0.3">
      <c r="A30474" t="s">
        <v>0</v>
      </c>
    </row>
    <row r="30475" spans="1:1" x14ac:dyDescent="0.3">
      <c r="A30475" t="s">
        <v>0</v>
      </c>
    </row>
    <row r="30476" spans="1:1" x14ac:dyDescent="0.3">
      <c r="A30476" t="s">
        <v>0</v>
      </c>
    </row>
    <row r="30477" spans="1:1" x14ac:dyDescent="0.3">
      <c r="A30477" t="s">
        <v>0</v>
      </c>
    </row>
    <row r="30478" spans="1:1" x14ac:dyDescent="0.3">
      <c r="A30478" t="s">
        <v>0</v>
      </c>
    </row>
    <row r="30479" spans="1:1" x14ac:dyDescent="0.3">
      <c r="A30479" t="s">
        <v>0</v>
      </c>
    </row>
    <row r="30480" spans="1:1" x14ac:dyDescent="0.3">
      <c r="A30480" t="s">
        <v>0</v>
      </c>
    </row>
    <row r="30481" spans="1:1" x14ac:dyDescent="0.3">
      <c r="A30481" t="s">
        <v>0</v>
      </c>
    </row>
    <row r="30482" spans="1:1" x14ac:dyDescent="0.3">
      <c r="A30482" t="s">
        <v>0</v>
      </c>
    </row>
    <row r="30483" spans="1:1" x14ac:dyDescent="0.3">
      <c r="A30483" t="s">
        <v>0</v>
      </c>
    </row>
    <row r="30484" spans="1:1" x14ac:dyDescent="0.3">
      <c r="A30484" t="s">
        <v>0</v>
      </c>
    </row>
    <row r="30485" spans="1:1" x14ac:dyDescent="0.3">
      <c r="A30485" t="s">
        <v>0</v>
      </c>
    </row>
    <row r="30486" spans="1:1" x14ac:dyDescent="0.3">
      <c r="A30486" t="s">
        <v>0</v>
      </c>
    </row>
    <row r="30487" spans="1:1" x14ac:dyDescent="0.3">
      <c r="A30487" t="s">
        <v>0</v>
      </c>
    </row>
    <row r="30488" spans="1:1" x14ac:dyDescent="0.3">
      <c r="A30488" t="s">
        <v>0</v>
      </c>
    </row>
    <row r="30489" spans="1:1" x14ac:dyDescent="0.3">
      <c r="A30489" t="s">
        <v>0</v>
      </c>
    </row>
    <row r="30490" spans="1:1" x14ac:dyDescent="0.3">
      <c r="A30490" t="s">
        <v>0</v>
      </c>
    </row>
    <row r="30491" spans="1:1" x14ac:dyDescent="0.3">
      <c r="A30491" t="s">
        <v>0</v>
      </c>
    </row>
    <row r="30492" spans="1:1" x14ac:dyDescent="0.3">
      <c r="A30492" t="s">
        <v>0</v>
      </c>
    </row>
    <row r="30493" spans="1:1" x14ac:dyDescent="0.3">
      <c r="A30493" t="s">
        <v>0</v>
      </c>
    </row>
    <row r="30494" spans="1:1" x14ac:dyDescent="0.3">
      <c r="A30494" t="s">
        <v>0</v>
      </c>
    </row>
    <row r="30495" spans="1:1" x14ac:dyDescent="0.3">
      <c r="A30495" t="s">
        <v>0</v>
      </c>
    </row>
    <row r="30496" spans="1:1" x14ac:dyDescent="0.3">
      <c r="A30496" t="s">
        <v>0</v>
      </c>
    </row>
    <row r="30497" spans="1:1" x14ac:dyDescent="0.3">
      <c r="A30497" t="s">
        <v>0</v>
      </c>
    </row>
    <row r="30498" spans="1:1" x14ac:dyDescent="0.3">
      <c r="A30498" t="s">
        <v>0</v>
      </c>
    </row>
    <row r="30499" spans="1:1" x14ac:dyDescent="0.3">
      <c r="A30499" t="s">
        <v>0</v>
      </c>
    </row>
    <row r="30500" spans="1:1" x14ac:dyDescent="0.3">
      <c r="A30500" t="s">
        <v>0</v>
      </c>
    </row>
    <row r="30501" spans="1:1" x14ac:dyDescent="0.3">
      <c r="A30501" t="s">
        <v>0</v>
      </c>
    </row>
    <row r="30502" spans="1:1" x14ac:dyDescent="0.3">
      <c r="A30502" t="s">
        <v>0</v>
      </c>
    </row>
    <row r="30503" spans="1:1" x14ac:dyDescent="0.3">
      <c r="A30503" t="s">
        <v>0</v>
      </c>
    </row>
    <row r="30504" spans="1:1" x14ac:dyDescent="0.3">
      <c r="A30504" t="s">
        <v>0</v>
      </c>
    </row>
    <row r="30505" spans="1:1" x14ac:dyDescent="0.3">
      <c r="A30505" t="s">
        <v>0</v>
      </c>
    </row>
    <row r="30506" spans="1:1" x14ac:dyDescent="0.3">
      <c r="A30506" t="s">
        <v>0</v>
      </c>
    </row>
    <row r="30507" spans="1:1" x14ac:dyDescent="0.3">
      <c r="A30507" t="s">
        <v>0</v>
      </c>
    </row>
    <row r="30508" spans="1:1" x14ac:dyDescent="0.3">
      <c r="A30508" t="s">
        <v>0</v>
      </c>
    </row>
    <row r="30509" spans="1:1" x14ac:dyDescent="0.3">
      <c r="A30509" t="s">
        <v>0</v>
      </c>
    </row>
    <row r="30510" spans="1:1" x14ac:dyDescent="0.3">
      <c r="A30510" t="s">
        <v>0</v>
      </c>
    </row>
    <row r="30511" spans="1:1" x14ac:dyDescent="0.3">
      <c r="A30511" t="s">
        <v>0</v>
      </c>
    </row>
    <row r="30512" spans="1:1" x14ac:dyDescent="0.3">
      <c r="A30512" t="s">
        <v>0</v>
      </c>
    </row>
    <row r="30513" spans="1:1" x14ac:dyDescent="0.3">
      <c r="A30513" t="s">
        <v>0</v>
      </c>
    </row>
    <row r="30514" spans="1:1" x14ac:dyDescent="0.3">
      <c r="A30514" t="s">
        <v>0</v>
      </c>
    </row>
    <row r="30515" spans="1:1" x14ac:dyDescent="0.3">
      <c r="A30515" t="s">
        <v>0</v>
      </c>
    </row>
    <row r="30516" spans="1:1" x14ac:dyDescent="0.3">
      <c r="A30516" t="s">
        <v>0</v>
      </c>
    </row>
    <row r="30517" spans="1:1" x14ac:dyDescent="0.3">
      <c r="A30517" t="s">
        <v>0</v>
      </c>
    </row>
    <row r="30518" spans="1:1" x14ac:dyDescent="0.3">
      <c r="A30518" t="s">
        <v>0</v>
      </c>
    </row>
    <row r="30519" spans="1:1" x14ac:dyDescent="0.3">
      <c r="A30519" t="s">
        <v>0</v>
      </c>
    </row>
    <row r="30520" spans="1:1" x14ac:dyDescent="0.3">
      <c r="A30520" t="s">
        <v>0</v>
      </c>
    </row>
    <row r="30521" spans="1:1" x14ac:dyDescent="0.3">
      <c r="A30521" t="s">
        <v>0</v>
      </c>
    </row>
    <row r="30522" spans="1:1" x14ac:dyDescent="0.3">
      <c r="A30522" t="s">
        <v>0</v>
      </c>
    </row>
    <row r="30523" spans="1:1" x14ac:dyDescent="0.3">
      <c r="A30523" t="s">
        <v>0</v>
      </c>
    </row>
    <row r="30524" spans="1:1" x14ac:dyDescent="0.3">
      <c r="A30524" t="s">
        <v>0</v>
      </c>
    </row>
    <row r="30525" spans="1:1" x14ac:dyDescent="0.3">
      <c r="A30525" t="s">
        <v>0</v>
      </c>
    </row>
    <row r="30526" spans="1:1" x14ac:dyDescent="0.3">
      <c r="A30526" t="s">
        <v>0</v>
      </c>
    </row>
    <row r="30527" spans="1:1" x14ac:dyDescent="0.3">
      <c r="A30527" t="s">
        <v>0</v>
      </c>
    </row>
    <row r="30528" spans="1:1" x14ac:dyDescent="0.3">
      <c r="A30528" t="s">
        <v>0</v>
      </c>
    </row>
    <row r="30529" spans="1:1" x14ac:dyDescent="0.3">
      <c r="A30529" t="s">
        <v>0</v>
      </c>
    </row>
    <row r="30530" spans="1:1" x14ac:dyDescent="0.3">
      <c r="A30530" t="s">
        <v>0</v>
      </c>
    </row>
    <row r="30531" spans="1:1" x14ac:dyDescent="0.3">
      <c r="A30531" t="s">
        <v>0</v>
      </c>
    </row>
    <row r="30532" spans="1:1" x14ac:dyDescent="0.3">
      <c r="A30532" t="s">
        <v>0</v>
      </c>
    </row>
    <row r="30533" spans="1:1" x14ac:dyDescent="0.3">
      <c r="A30533" t="s">
        <v>0</v>
      </c>
    </row>
    <row r="30534" spans="1:1" x14ac:dyDescent="0.3">
      <c r="A30534" t="s">
        <v>0</v>
      </c>
    </row>
    <row r="30535" spans="1:1" x14ac:dyDescent="0.3">
      <c r="A30535" t="s">
        <v>0</v>
      </c>
    </row>
    <row r="30536" spans="1:1" x14ac:dyDescent="0.3">
      <c r="A30536" t="s">
        <v>0</v>
      </c>
    </row>
    <row r="30537" spans="1:1" x14ac:dyDescent="0.3">
      <c r="A30537" t="s">
        <v>0</v>
      </c>
    </row>
    <row r="30538" spans="1:1" x14ac:dyDescent="0.3">
      <c r="A30538" t="s">
        <v>0</v>
      </c>
    </row>
    <row r="30539" spans="1:1" x14ac:dyDescent="0.3">
      <c r="A30539" t="s">
        <v>0</v>
      </c>
    </row>
    <row r="30540" spans="1:1" x14ac:dyDescent="0.3">
      <c r="A30540" t="s">
        <v>0</v>
      </c>
    </row>
    <row r="30541" spans="1:1" x14ac:dyDescent="0.3">
      <c r="A30541" t="s">
        <v>0</v>
      </c>
    </row>
    <row r="30542" spans="1:1" x14ac:dyDescent="0.3">
      <c r="A30542" t="s">
        <v>0</v>
      </c>
    </row>
    <row r="30543" spans="1:1" x14ac:dyDescent="0.3">
      <c r="A30543" t="s">
        <v>0</v>
      </c>
    </row>
    <row r="30544" spans="1:1" x14ac:dyDescent="0.3">
      <c r="A30544" t="s">
        <v>0</v>
      </c>
    </row>
    <row r="30545" spans="1:1" x14ac:dyDescent="0.3">
      <c r="A30545" t="s">
        <v>0</v>
      </c>
    </row>
    <row r="30546" spans="1:1" x14ac:dyDescent="0.3">
      <c r="A30546" t="s">
        <v>0</v>
      </c>
    </row>
    <row r="30547" spans="1:1" x14ac:dyDescent="0.3">
      <c r="A30547" t="s">
        <v>0</v>
      </c>
    </row>
    <row r="30548" spans="1:1" x14ac:dyDescent="0.3">
      <c r="A30548" t="s">
        <v>0</v>
      </c>
    </row>
    <row r="30549" spans="1:1" x14ac:dyDescent="0.3">
      <c r="A30549" t="s">
        <v>0</v>
      </c>
    </row>
    <row r="30550" spans="1:1" x14ac:dyDescent="0.3">
      <c r="A30550" t="s">
        <v>0</v>
      </c>
    </row>
    <row r="30551" spans="1:1" x14ac:dyDescent="0.3">
      <c r="A30551" t="s">
        <v>0</v>
      </c>
    </row>
    <row r="30552" spans="1:1" x14ac:dyDescent="0.3">
      <c r="A30552" t="s">
        <v>0</v>
      </c>
    </row>
    <row r="30553" spans="1:1" x14ac:dyDescent="0.3">
      <c r="A30553" t="s">
        <v>0</v>
      </c>
    </row>
    <row r="30554" spans="1:1" x14ac:dyDescent="0.3">
      <c r="A30554" t="s">
        <v>0</v>
      </c>
    </row>
    <row r="30555" spans="1:1" x14ac:dyDescent="0.3">
      <c r="A30555" t="s">
        <v>0</v>
      </c>
    </row>
    <row r="30556" spans="1:1" x14ac:dyDescent="0.3">
      <c r="A30556" t="s">
        <v>0</v>
      </c>
    </row>
    <row r="30557" spans="1:1" x14ac:dyDescent="0.3">
      <c r="A30557" t="s">
        <v>0</v>
      </c>
    </row>
    <row r="30558" spans="1:1" x14ac:dyDescent="0.3">
      <c r="A30558" t="s">
        <v>0</v>
      </c>
    </row>
    <row r="30559" spans="1:1" x14ac:dyDescent="0.3">
      <c r="A30559" t="s">
        <v>0</v>
      </c>
    </row>
    <row r="30560" spans="1:1" x14ac:dyDescent="0.3">
      <c r="A30560" t="s">
        <v>0</v>
      </c>
    </row>
    <row r="30561" spans="1:1" x14ac:dyDescent="0.3">
      <c r="A30561" t="s">
        <v>0</v>
      </c>
    </row>
    <row r="30562" spans="1:1" x14ac:dyDescent="0.3">
      <c r="A30562" t="s">
        <v>0</v>
      </c>
    </row>
    <row r="30563" spans="1:1" x14ac:dyDescent="0.3">
      <c r="A30563" t="s">
        <v>0</v>
      </c>
    </row>
    <row r="30564" spans="1:1" x14ac:dyDescent="0.3">
      <c r="A30564" t="s">
        <v>0</v>
      </c>
    </row>
    <row r="30565" spans="1:1" x14ac:dyDescent="0.3">
      <c r="A30565" t="s">
        <v>0</v>
      </c>
    </row>
    <row r="30566" spans="1:1" x14ac:dyDescent="0.3">
      <c r="A30566" t="s">
        <v>0</v>
      </c>
    </row>
    <row r="30567" spans="1:1" x14ac:dyDescent="0.3">
      <c r="A30567" t="s">
        <v>0</v>
      </c>
    </row>
    <row r="30568" spans="1:1" x14ac:dyDescent="0.3">
      <c r="A30568" t="s">
        <v>0</v>
      </c>
    </row>
    <row r="30569" spans="1:1" x14ac:dyDescent="0.3">
      <c r="A30569" t="s">
        <v>0</v>
      </c>
    </row>
    <row r="30570" spans="1:1" x14ac:dyDescent="0.3">
      <c r="A30570" t="s">
        <v>0</v>
      </c>
    </row>
    <row r="30571" spans="1:1" x14ac:dyDescent="0.3">
      <c r="A30571" t="s">
        <v>0</v>
      </c>
    </row>
    <row r="30572" spans="1:1" x14ac:dyDescent="0.3">
      <c r="A30572" t="s">
        <v>0</v>
      </c>
    </row>
    <row r="30573" spans="1:1" x14ac:dyDescent="0.3">
      <c r="A30573" t="s">
        <v>0</v>
      </c>
    </row>
    <row r="30574" spans="1:1" x14ac:dyDescent="0.3">
      <c r="A30574" t="s">
        <v>0</v>
      </c>
    </row>
    <row r="30575" spans="1:1" x14ac:dyDescent="0.3">
      <c r="A30575" t="s">
        <v>0</v>
      </c>
    </row>
    <row r="30576" spans="1:1" x14ac:dyDescent="0.3">
      <c r="A30576" t="s">
        <v>0</v>
      </c>
    </row>
    <row r="30577" spans="1:1" x14ac:dyDescent="0.3">
      <c r="A30577" t="s">
        <v>0</v>
      </c>
    </row>
    <row r="30578" spans="1:1" x14ac:dyDescent="0.3">
      <c r="A30578" t="s">
        <v>0</v>
      </c>
    </row>
    <row r="30579" spans="1:1" x14ac:dyDescent="0.3">
      <c r="A30579" t="s">
        <v>0</v>
      </c>
    </row>
    <row r="30580" spans="1:1" x14ac:dyDescent="0.3">
      <c r="A30580" t="s">
        <v>0</v>
      </c>
    </row>
    <row r="30581" spans="1:1" x14ac:dyDescent="0.3">
      <c r="A30581" t="s">
        <v>0</v>
      </c>
    </row>
    <row r="30582" spans="1:1" x14ac:dyDescent="0.3">
      <c r="A30582" t="s">
        <v>0</v>
      </c>
    </row>
    <row r="30583" spans="1:1" x14ac:dyDescent="0.3">
      <c r="A30583" t="s">
        <v>0</v>
      </c>
    </row>
    <row r="30584" spans="1:1" x14ac:dyDescent="0.3">
      <c r="A30584" t="s">
        <v>0</v>
      </c>
    </row>
    <row r="30585" spans="1:1" x14ac:dyDescent="0.3">
      <c r="A30585" t="s">
        <v>0</v>
      </c>
    </row>
    <row r="30586" spans="1:1" x14ac:dyDescent="0.3">
      <c r="A30586" t="s">
        <v>0</v>
      </c>
    </row>
    <row r="30587" spans="1:1" x14ac:dyDescent="0.3">
      <c r="A30587" t="s">
        <v>0</v>
      </c>
    </row>
    <row r="30588" spans="1:1" x14ac:dyDescent="0.3">
      <c r="A30588" t="s">
        <v>0</v>
      </c>
    </row>
    <row r="30589" spans="1:1" x14ac:dyDescent="0.3">
      <c r="A30589" t="s">
        <v>0</v>
      </c>
    </row>
    <row r="30590" spans="1:1" x14ac:dyDescent="0.3">
      <c r="A30590" t="s">
        <v>0</v>
      </c>
    </row>
    <row r="30591" spans="1:1" x14ac:dyDescent="0.3">
      <c r="A30591" t="s">
        <v>0</v>
      </c>
    </row>
    <row r="30592" spans="1:1" x14ac:dyDescent="0.3">
      <c r="A30592" t="s">
        <v>0</v>
      </c>
    </row>
    <row r="30593" spans="1:1" x14ac:dyDescent="0.3">
      <c r="A30593" t="s">
        <v>0</v>
      </c>
    </row>
    <row r="30594" spans="1:1" x14ac:dyDescent="0.3">
      <c r="A30594" t="s">
        <v>0</v>
      </c>
    </row>
    <row r="30595" spans="1:1" x14ac:dyDescent="0.3">
      <c r="A30595" t="s">
        <v>0</v>
      </c>
    </row>
    <row r="30596" spans="1:1" x14ac:dyDescent="0.3">
      <c r="A30596" t="s">
        <v>0</v>
      </c>
    </row>
    <row r="30597" spans="1:1" x14ac:dyDescent="0.3">
      <c r="A30597" t="s">
        <v>0</v>
      </c>
    </row>
    <row r="30598" spans="1:1" x14ac:dyDescent="0.3">
      <c r="A30598" t="s">
        <v>0</v>
      </c>
    </row>
    <row r="30599" spans="1:1" x14ac:dyDescent="0.3">
      <c r="A30599" t="s">
        <v>0</v>
      </c>
    </row>
    <row r="30600" spans="1:1" x14ac:dyDescent="0.3">
      <c r="A30600" t="s">
        <v>0</v>
      </c>
    </row>
    <row r="30601" spans="1:1" x14ac:dyDescent="0.3">
      <c r="A30601" t="s">
        <v>0</v>
      </c>
    </row>
    <row r="30602" spans="1:1" x14ac:dyDescent="0.3">
      <c r="A30602" t="s">
        <v>0</v>
      </c>
    </row>
    <row r="30603" spans="1:1" x14ac:dyDescent="0.3">
      <c r="A30603" t="s">
        <v>0</v>
      </c>
    </row>
    <row r="30604" spans="1:1" x14ac:dyDescent="0.3">
      <c r="A30604" t="s">
        <v>0</v>
      </c>
    </row>
    <row r="30605" spans="1:1" x14ac:dyDescent="0.3">
      <c r="A30605" t="s">
        <v>0</v>
      </c>
    </row>
    <row r="30606" spans="1:1" x14ac:dyDescent="0.3">
      <c r="A30606" t="s">
        <v>0</v>
      </c>
    </row>
    <row r="30607" spans="1:1" x14ac:dyDescent="0.3">
      <c r="A30607" t="s">
        <v>0</v>
      </c>
    </row>
    <row r="30608" spans="1:1" x14ac:dyDescent="0.3">
      <c r="A30608" t="s">
        <v>0</v>
      </c>
    </row>
    <row r="30609" spans="1:1" x14ac:dyDescent="0.3">
      <c r="A30609" t="s">
        <v>0</v>
      </c>
    </row>
    <row r="30610" spans="1:1" x14ac:dyDescent="0.3">
      <c r="A30610" t="s">
        <v>0</v>
      </c>
    </row>
    <row r="30611" spans="1:1" x14ac:dyDescent="0.3">
      <c r="A30611" t="s">
        <v>0</v>
      </c>
    </row>
    <row r="30612" spans="1:1" x14ac:dyDescent="0.3">
      <c r="A30612" t="s">
        <v>0</v>
      </c>
    </row>
    <row r="30613" spans="1:1" x14ac:dyDescent="0.3">
      <c r="A30613" t="s">
        <v>0</v>
      </c>
    </row>
    <row r="30614" spans="1:1" x14ac:dyDescent="0.3">
      <c r="A30614" t="s">
        <v>0</v>
      </c>
    </row>
    <row r="30615" spans="1:1" x14ac:dyDescent="0.3">
      <c r="A30615" t="s">
        <v>0</v>
      </c>
    </row>
    <row r="30616" spans="1:1" x14ac:dyDescent="0.3">
      <c r="A30616" t="s">
        <v>0</v>
      </c>
    </row>
    <row r="30617" spans="1:1" x14ac:dyDescent="0.3">
      <c r="A30617" t="s">
        <v>0</v>
      </c>
    </row>
    <row r="30618" spans="1:1" x14ac:dyDescent="0.3">
      <c r="A30618" t="s">
        <v>0</v>
      </c>
    </row>
    <row r="30619" spans="1:1" x14ac:dyDescent="0.3">
      <c r="A30619" t="s">
        <v>0</v>
      </c>
    </row>
    <row r="30620" spans="1:1" x14ac:dyDescent="0.3">
      <c r="A30620" t="s">
        <v>0</v>
      </c>
    </row>
    <row r="30621" spans="1:1" x14ac:dyDescent="0.3">
      <c r="A30621" t="s">
        <v>0</v>
      </c>
    </row>
    <row r="30622" spans="1:1" x14ac:dyDescent="0.3">
      <c r="A30622" t="s">
        <v>0</v>
      </c>
    </row>
    <row r="30623" spans="1:1" x14ac:dyDescent="0.3">
      <c r="A30623" t="s">
        <v>0</v>
      </c>
    </row>
    <row r="30624" spans="1:1" x14ac:dyDescent="0.3">
      <c r="A30624" t="s">
        <v>0</v>
      </c>
    </row>
    <row r="30625" spans="1:1" x14ac:dyDescent="0.3">
      <c r="A30625" t="s">
        <v>0</v>
      </c>
    </row>
    <row r="30626" spans="1:1" x14ac:dyDescent="0.3">
      <c r="A30626" t="s">
        <v>0</v>
      </c>
    </row>
    <row r="30627" spans="1:1" x14ac:dyDescent="0.3">
      <c r="A30627" t="s">
        <v>0</v>
      </c>
    </row>
    <row r="30628" spans="1:1" x14ac:dyDescent="0.3">
      <c r="A30628" t="s">
        <v>0</v>
      </c>
    </row>
    <row r="30629" spans="1:1" x14ac:dyDescent="0.3">
      <c r="A30629" t="s">
        <v>0</v>
      </c>
    </row>
    <row r="30630" spans="1:1" x14ac:dyDescent="0.3">
      <c r="A30630" t="s">
        <v>0</v>
      </c>
    </row>
    <row r="30631" spans="1:1" x14ac:dyDescent="0.3">
      <c r="A30631" t="s">
        <v>0</v>
      </c>
    </row>
    <row r="30632" spans="1:1" x14ac:dyDescent="0.3">
      <c r="A30632" t="s">
        <v>0</v>
      </c>
    </row>
    <row r="30633" spans="1:1" x14ac:dyDescent="0.3">
      <c r="A30633" t="s">
        <v>0</v>
      </c>
    </row>
    <row r="30634" spans="1:1" x14ac:dyDescent="0.3">
      <c r="A30634" t="s">
        <v>0</v>
      </c>
    </row>
    <row r="30635" spans="1:1" x14ac:dyDescent="0.3">
      <c r="A30635" t="s">
        <v>0</v>
      </c>
    </row>
    <row r="30636" spans="1:1" x14ac:dyDescent="0.3">
      <c r="A30636" t="s">
        <v>0</v>
      </c>
    </row>
    <row r="30637" spans="1:1" x14ac:dyDescent="0.3">
      <c r="A30637" t="s">
        <v>0</v>
      </c>
    </row>
    <row r="30638" spans="1:1" x14ac:dyDescent="0.3">
      <c r="A30638" t="s">
        <v>0</v>
      </c>
    </row>
    <row r="30639" spans="1:1" x14ac:dyDescent="0.3">
      <c r="A30639" t="s">
        <v>0</v>
      </c>
    </row>
    <row r="30640" spans="1:1" x14ac:dyDescent="0.3">
      <c r="A30640" t="s">
        <v>0</v>
      </c>
    </row>
    <row r="30641" spans="1:1" x14ac:dyDescent="0.3">
      <c r="A30641" t="s">
        <v>0</v>
      </c>
    </row>
    <row r="30642" spans="1:1" x14ac:dyDescent="0.3">
      <c r="A30642" t="s">
        <v>0</v>
      </c>
    </row>
    <row r="30643" spans="1:1" x14ac:dyDescent="0.3">
      <c r="A30643" t="s">
        <v>0</v>
      </c>
    </row>
    <row r="30644" spans="1:1" x14ac:dyDescent="0.3">
      <c r="A30644" t="s">
        <v>0</v>
      </c>
    </row>
    <row r="30645" spans="1:1" x14ac:dyDescent="0.3">
      <c r="A30645" t="s">
        <v>0</v>
      </c>
    </row>
    <row r="30646" spans="1:1" x14ac:dyDescent="0.3">
      <c r="A30646" t="s">
        <v>0</v>
      </c>
    </row>
    <row r="30647" spans="1:1" x14ac:dyDescent="0.3">
      <c r="A30647" t="s">
        <v>0</v>
      </c>
    </row>
    <row r="30648" spans="1:1" x14ac:dyDescent="0.3">
      <c r="A30648" t="s">
        <v>0</v>
      </c>
    </row>
    <row r="30649" spans="1:1" x14ac:dyDescent="0.3">
      <c r="A30649" t="s">
        <v>0</v>
      </c>
    </row>
    <row r="30650" spans="1:1" x14ac:dyDescent="0.3">
      <c r="A30650" t="s">
        <v>0</v>
      </c>
    </row>
    <row r="30651" spans="1:1" x14ac:dyDescent="0.3">
      <c r="A30651" t="s">
        <v>0</v>
      </c>
    </row>
    <row r="30652" spans="1:1" x14ac:dyDescent="0.3">
      <c r="A30652" t="s">
        <v>0</v>
      </c>
    </row>
    <row r="30653" spans="1:1" x14ac:dyDescent="0.3">
      <c r="A30653" t="s">
        <v>0</v>
      </c>
    </row>
    <row r="30654" spans="1:1" x14ac:dyDescent="0.3">
      <c r="A30654" t="s">
        <v>0</v>
      </c>
    </row>
    <row r="30655" spans="1:1" x14ac:dyDescent="0.3">
      <c r="A30655" t="s">
        <v>0</v>
      </c>
    </row>
    <row r="30656" spans="1:1" x14ac:dyDescent="0.3">
      <c r="A30656" t="s">
        <v>0</v>
      </c>
    </row>
    <row r="30657" spans="1:1" x14ac:dyDescent="0.3">
      <c r="A30657" t="s">
        <v>0</v>
      </c>
    </row>
    <row r="30658" spans="1:1" x14ac:dyDescent="0.3">
      <c r="A30658" t="s">
        <v>0</v>
      </c>
    </row>
    <row r="30659" spans="1:1" x14ac:dyDescent="0.3">
      <c r="A30659" t="s">
        <v>0</v>
      </c>
    </row>
    <row r="30660" spans="1:1" x14ac:dyDescent="0.3">
      <c r="A30660" t="s">
        <v>0</v>
      </c>
    </row>
    <row r="30661" spans="1:1" x14ac:dyDescent="0.3">
      <c r="A30661" t="s">
        <v>0</v>
      </c>
    </row>
    <row r="30662" spans="1:1" x14ac:dyDescent="0.3">
      <c r="A30662" t="s">
        <v>0</v>
      </c>
    </row>
    <row r="30663" spans="1:1" x14ac:dyDescent="0.3">
      <c r="A30663" t="s">
        <v>0</v>
      </c>
    </row>
    <row r="30664" spans="1:1" x14ac:dyDescent="0.3">
      <c r="A30664" t="s">
        <v>0</v>
      </c>
    </row>
    <row r="30665" spans="1:1" x14ac:dyDescent="0.3">
      <c r="A30665" t="s">
        <v>0</v>
      </c>
    </row>
    <row r="30666" spans="1:1" x14ac:dyDescent="0.3">
      <c r="A30666" t="s">
        <v>0</v>
      </c>
    </row>
    <row r="30667" spans="1:1" x14ac:dyDescent="0.3">
      <c r="A30667" t="s">
        <v>0</v>
      </c>
    </row>
    <row r="30668" spans="1:1" x14ac:dyDescent="0.3">
      <c r="A30668" t="s">
        <v>0</v>
      </c>
    </row>
    <row r="30669" spans="1:1" x14ac:dyDescent="0.3">
      <c r="A30669" t="s">
        <v>0</v>
      </c>
    </row>
    <row r="30670" spans="1:1" x14ac:dyDescent="0.3">
      <c r="A30670" t="s">
        <v>0</v>
      </c>
    </row>
    <row r="30671" spans="1:1" x14ac:dyDescent="0.3">
      <c r="A30671" t="s">
        <v>0</v>
      </c>
    </row>
    <row r="30672" spans="1:1" x14ac:dyDescent="0.3">
      <c r="A30672" t="s">
        <v>0</v>
      </c>
    </row>
    <row r="30673" spans="1:1" x14ac:dyDescent="0.3">
      <c r="A30673" t="s">
        <v>0</v>
      </c>
    </row>
    <row r="30674" spans="1:1" x14ac:dyDescent="0.3">
      <c r="A30674" t="s">
        <v>0</v>
      </c>
    </row>
    <row r="30675" spans="1:1" x14ac:dyDescent="0.3">
      <c r="A30675" t="s">
        <v>0</v>
      </c>
    </row>
    <row r="30676" spans="1:1" x14ac:dyDescent="0.3">
      <c r="A30676" t="s">
        <v>0</v>
      </c>
    </row>
    <row r="30677" spans="1:1" x14ac:dyDescent="0.3">
      <c r="A30677" t="s">
        <v>0</v>
      </c>
    </row>
    <row r="30678" spans="1:1" x14ac:dyDescent="0.3">
      <c r="A30678" t="s">
        <v>0</v>
      </c>
    </row>
    <row r="30679" spans="1:1" x14ac:dyDescent="0.3">
      <c r="A30679" t="s">
        <v>0</v>
      </c>
    </row>
    <row r="30680" spans="1:1" x14ac:dyDescent="0.3">
      <c r="A30680" t="s">
        <v>0</v>
      </c>
    </row>
    <row r="30681" spans="1:1" x14ac:dyDescent="0.3">
      <c r="A30681" t="s">
        <v>0</v>
      </c>
    </row>
    <row r="30682" spans="1:1" x14ac:dyDescent="0.3">
      <c r="A30682" t="s">
        <v>0</v>
      </c>
    </row>
    <row r="30683" spans="1:1" x14ac:dyDescent="0.3">
      <c r="A30683" t="s">
        <v>0</v>
      </c>
    </row>
    <row r="30684" spans="1:1" x14ac:dyDescent="0.3">
      <c r="A30684" t="s">
        <v>0</v>
      </c>
    </row>
    <row r="30685" spans="1:1" x14ac:dyDescent="0.3">
      <c r="A30685" t="s">
        <v>0</v>
      </c>
    </row>
    <row r="30686" spans="1:1" x14ac:dyDescent="0.3">
      <c r="A30686" t="s">
        <v>0</v>
      </c>
    </row>
    <row r="30687" spans="1:1" x14ac:dyDescent="0.3">
      <c r="A30687" t="s">
        <v>0</v>
      </c>
    </row>
    <row r="30688" spans="1:1" x14ac:dyDescent="0.3">
      <c r="A30688" t="s">
        <v>0</v>
      </c>
    </row>
    <row r="30689" spans="1:1" x14ac:dyDescent="0.3">
      <c r="A30689" t="s">
        <v>0</v>
      </c>
    </row>
    <row r="30690" spans="1:1" x14ac:dyDescent="0.3">
      <c r="A30690" t="s">
        <v>0</v>
      </c>
    </row>
    <row r="30691" spans="1:1" x14ac:dyDescent="0.3">
      <c r="A30691" t="s">
        <v>0</v>
      </c>
    </row>
    <row r="30692" spans="1:1" x14ac:dyDescent="0.3">
      <c r="A30692" t="s">
        <v>0</v>
      </c>
    </row>
    <row r="30693" spans="1:1" x14ac:dyDescent="0.3">
      <c r="A30693" t="s">
        <v>0</v>
      </c>
    </row>
    <row r="30694" spans="1:1" x14ac:dyDescent="0.3">
      <c r="A30694" t="s">
        <v>0</v>
      </c>
    </row>
    <row r="30695" spans="1:1" x14ac:dyDescent="0.3">
      <c r="A30695" t="s">
        <v>0</v>
      </c>
    </row>
    <row r="30696" spans="1:1" x14ac:dyDescent="0.3">
      <c r="A30696" t="s">
        <v>0</v>
      </c>
    </row>
    <row r="30697" spans="1:1" x14ac:dyDescent="0.3">
      <c r="A30697" t="s">
        <v>0</v>
      </c>
    </row>
    <row r="30698" spans="1:1" x14ac:dyDescent="0.3">
      <c r="A30698" t="s">
        <v>0</v>
      </c>
    </row>
    <row r="30699" spans="1:1" x14ac:dyDescent="0.3">
      <c r="A30699" t="s">
        <v>0</v>
      </c>
    </row>
    <row r="30700" spans="1:1" x14ac:dyDescent="0.3">
      <c r="A30700" t="s">
        <v>0</v>
      </c>
    </row>
    <row r="30701" spans="1:1" x14ac:dyDescent="0.3">
      <c r="A30701" t="s">
        <v>0</v>
      </c>
    </row>
    <row r="30702" spans="1:1" x14ac:dyDescent="0.3">
      <c r="A30702" t="s">
        <v>0</v>
      </c>
    </row>
    <row r="30703" spans="1:1" x14ac:dyDescent="0.3">
      <c r="A30703" t="s">
        <v>0</v>
      </c>
    </row>
    <row r="30704" spans="1:1" x14ac:dyDescent="0.3">
      <c r="A30704" t="s">
        <v>0</v>
      </c>
    </row>
    <row r="30705" spans="1:1" x14ac:dyDescent="0.3">
      <c r="A30705" t="s">
        <v>0</v>
      </c>
    </row>
    <row r="30706" spans="1:1" x14ac:dyDescent="0.3">
      <c r="A30706" t="s">
        <v>0</v>
      </c>
    </row>
    <row r="30707" spans="1:1" x14ac:dyDescent="0.3">
      <c r="A30707" t="s">
        <v>0</v>
      </c>
    </row>
    <row r="30708" spans="1:1" x14ac:dyDescent="0.3">
      <c r="A30708" t="s">
        <v>0</v>
      </c>
    </row>
    <row r="30709" spans="1:1" x14ac:dyDescent="0.3">
      <c r="A30709" t="s">
        <v>0</v>
      </c>
    </row>
    <row r="30710" spans="1:1" x14ac:dyDescent="0.3">
      <c r="A30710" t="s">
        <v>0</v>
      </c>
    </row>
    <row r="30711" spans="1:1" x14ac:dyDescent="0.3">
      <c r="A30711" t="s">
        <v>0</v>
      </c>
    </row>
    <row r="30712" spans="1:1" x14ac:dyDescent="0.3">
      <c r="A30712" t="s">
        <v>0</v>
      </c>
    </row>
    <row r="30713" spans="1:1" x14ac:dyDescent="0.3">
      <c r="A30713" t="s">
        <v>0</v>
      </c>
    </row>
    <row r="30714" spans="1:1" x14ac:dyDescent="0.3">
      <c r="A30714" t="s">
        <v>0</v>
      </c>
    </row>
    <row r="30715" spans="1:1" x14ac:dyDescent="0.3">
      <c r="A30715" t="s">
        <v>0</v>
      </c>
    </row>
    <row r="30716" spans="1:1" x14ac:dyDescent="0.3">
      <c r="A30716" t="s">
        <v>0</v>
      </c>
    </row>
    <row r="30717" spans="1:1" x14ac:dyDescent="0.3">
      <c r="A30717" t="s">
        <v>0</v>
      </c>
    </row>
    <row r="30718" spans="1:1" x14ac:dyDescent="0.3">
      <c r="A30718" t="s">
        <v>0</v>
      </c>
    </row>
    <row r="30719" spans="1:1" x14ac:dyDescent="0.3">
      <c r="A30719" t="s">
        <v>0</v>
      </c>
    </row>
    <row r="30720" spans="1:1" x14ac:dyDescent="0.3">
      <c r="A30720" t="s">
        <v>0</v>
      </c>
    </row>
    <row r="30721" spans="1:1" x14ac:dyDescent="0.3">
      <c r="A30721" t="s">
        <v>0</v>
      </c>
    </row>
    <row r="30722" spans="1:1" x14ac:dyDescent="0.3">
      <c r="A30722" t="s">
        <v>0</v>
      </c>
    </row>
    <row r="30723" spans="1:1" x14ac:dyDescent="0.3">
      <c r="A30723" t="s">
        <v>0</v>
      </c>
    </row>
    <row r="30724" spans="1:1" x14ac:dyDescent="0.3">
      <c r="A30724" t="s">
        <v>0</v>
      </c>
    </row>
    <row r="30725" spans="1:1" x14ac:dyDescent="0.3">
      <c r="A30725" t="s">
        <v>0</v>
      </c>
    </row>
    <row r="30726" spans="1:1" x14ac:dyDescent="0.3">
      <c r="A30726" t="s">
        <v>0</v>
      </c>
    </row>
    <row r="30727" spans="1:1" x14ac:dyDescent="0.3">
      <c r="A30727" t="s">
        <v>0</v>
      </c>
    </row>
    <row r="30728" spans="1:1" x14ac:dyDescent="0.3">
      <c r="A30728" t="s">
        <v>0</v>
      </c>
    </row>
    <row r="30729" spans="1:1" x14ac:dyDescent="0.3">
      <c r="A30729" t="s">
        <v>0</v>
      </c>
    </row>
    <row r="30730" spans="1:1" x14ac:dyDescent="0.3">
      <c r="A30730" t="s">
        <v>0</v>
      </c>
    </row>
    <row r="30731" spans="1:1" x14ac:dyDescent="0.3">
      <c r="A30731" t="s">
        <v>0</v>
      </c>
    </row>
    <row r="30732" spans="1:1" x14ac:dyDescent="0.3">
      <c r="A30732" t="s">
        <v>0</v>
      </c>
    </row>
    <row r="30733" spans="1:1" x14ac:dyDescent="0.3">
      <c r="A30733" t="s">
        <v>0</v>
      </c>
    </row>
    <row r="30734" spans="1:1" x14ac:dyDescent="0.3">
      <c r="A30734" t="s">
        <v>0</v>
      </c>
    </row>
    <row r="30735" spans="1:1" x14ac:dyDescent="0.3">
      <c r="A30735" t="s">
        <v>0</v>
      </c>
    </row>
    <row r="30736" spans="1:1" x14ac:dyDescent="0.3">
      <c r="A30736" t="s">
        <v>0</v>
      </c>
    </row>
    <row r="30737" spans="1:1" x14ac:dyDescent="0.3">
      <c r="A30737" t="s">
        <v>0</v>
      </c>
    </row>
    <row r="30738" spans="1:1" x14ac:dyDescent="0.3">
      <c r="A30738" t="s">
        <v>0</v>
      </c>
    </row>
    <row r="30739" spans="1:1" x14ac:dyDescent="0.3">
      <c r="A30739" t="s">
        <v>0</v>
      </c>
    </row>
    <row r="30740" spans="1:1" x14ac:dyDescent="0.3">
      <c r="A30740" t="s">
        <v>0</v>
      </c>
    </row>
    <row r="30741" spans="1:1" x14ac:dyDescent="0.3">
      <c r="A30741" t="s">
        <v>0</v>
      </c>
    </row>
    <row r="30742" spans="1:1" x14ac:dyDescent="0.3">
      <c r="A30742" t="s">
        <v>0</v>
      </c>
    </row>
    <row r="30743" spans="1:1" x14ac:dyDescent="0.3">
      <c r="A30743" t="s">
        <v>0</v>
      </c>
    </row>
    <row r="30744" spans="1:1" x14ac:dyDescent="0.3">
      <c r="A30744" t="s">
        <v>0</v>
      </c>
    </row>
    <row r="30745" spans="1:1" x14ac:dyDescent="0.3">
      <c r="A30745" t="s">
        <v>0</v>
      </c>
    </row>
    <row r="30746" spans="1:1" x14ac:dyDescent="0.3">
      <c r="A30746" t="s">
        <v>0</v>
      </c>
    </row>
    <row r="30747" spans="1:1" x14ac:dyDescent="0.3">
      <c r="A30747" t="s">
        <v>0</v>
      </c>
    </row>
    <row r="30748" spans="1:1" x14ac:dyDescent="0.3">
      <c r="A30748" t="s">
        <v>0</v>
      </c>
    </row>
    <row r="30749" spans="1:1" x14ac:dyDescent="0.3">
      <c r="A30749" t="s">
        <v>0</v>
      </c>
    </row>
    <row r="30750" spans="1:1" x14ac:dyDescent="0.3">
      <c r="A30750" t="s">
        <v>0</v>
      </c>
    </row>
    <row r="30751" spans="1:1" x14ac:dyDescent="0.3">
      <c r="A30751" t="s">
        <v>0</v>
      </c>
    </row>
    <row r="30752" spans="1:1" x14ac:dyDescent="0.3">
      <c r="A30752" t="s">
        <v>0</v>
      </c>
    </row>
    <row r="30753" spans="1:1" x14ac:dyDescent="0.3">
      <c r="A30753" t="s">
        <v>0</v>
      </c>
    </row>
    <row r="30754" spans="1:1" x14ac:dyDescent="0.3">
      <c r="A30754" t="s">
        <v>0</v>
      </c>
    </row>
    <row r="30755" spans="1:1" x14ac:dyDescent="0.3">
      <c r="A30755" t="s">
        <v>0</v>
      </c>
    </row>
    <row r="30756" spans="1:1" x14ac:dyDescent="0.3">
      <c r="A30756" t="s">
        <v>0</v>
      </c>
    </row>
    <row r="30757" spans="1:1" x14ac:dyDescent="0.3">
      <c r="A30757" t="s">
        <v>0</v>
      </c>
    </row>
    <row r="30758" spans="1:1" x14ac:dyDescent="0.3">
      <c r="A30758" t="s">
        <v>0</v>
      </c>
    </row>
    <row r="30759" spans="1:1" x14ac:dyDescent="0.3">
      <c r="A30759" t="s">
        <v>0</v>
      </c>
    </row>
    <row r="30760" spans="1:1" x14ac:dyDescent="0.3">
      <c r="A30760" t="s">
        <v>0</v>
      </c>
    </row>
    <row r="30761" spans="1:1" x14ac:dyDescent="0.3">
      <c r="A30761" t="s">
        <v>0</v>
      </c>
    </row>
    <row r="30762" spans="1:1" x14ac:dyDescent="0.3">
      <c r="A30762" t="s">
        <v>0</v>
      </c>
    </row>
    <row r="30763" spans="1:1" x14ac:dyDescent="0.3">
      <c r="A30763" t="s">
        <v>0</v>
      </c>
    </row>
    <row r="30764" spans="1:1" x14ac:dyDescent="0.3">
      <c r="A30764" t="s">
        <v>0</v>
      </c>
    </row>
    <row r="30765" spans="1:1" x14ac:dyDescent="0.3">
      <c r="A30765" t="s">
        <v>0</v>
      </c>
    </row>
    <row r="30766" spans="1:1" x14ac:dyDescent="0.3">
      <c r="A30766" t="s">
        <v>0</v>
      </c>
    </row>
    <row r="30767" spans="1:1" x14ac:dyDescent="0.3">
      <c r="A30767" t="s">
        <v>0</v>
      </c>
    </row>
    <row r="30768" spans="1:1" x14ac:dyDescent="0.3">
      <c r="A30768" t="s">
        <v>0</v>
      </c>
    </row>
    <row r="30769" spans="1:1" x14ac:dyDescent="0.3">
      <c r="A30769" t="s">
        <v>0</v>
      </c>
    </row>
    <row r="30770" spans="1:1" x14ac:dyDescent="0.3">
      <c r="A30770" t="s">
        <v>0</v>
      </c>
    </row>
    <row r="30771" spans="1:1" x14ac:dyDescent="0.3">
      <c r="A30771" t="s">
        <v>0</v>
      </c>
    </row>
    <row r="30772" spans="1:1" x14ac:dyDescent="0.3">
      <c r="A30772" t="s">
        <v>0</v>
      </c>
    </row>
    <row r="30773" spans="1:1" x14ac:dyDescent="0.3">
      <c r="A30773" t="s">
        <v>0</v>
      </c>
    </row>
    <row r="30774" spans="1:1" x14ac:dyDescent="0.3">
      <c r="A30774" t="s">
        <v>0</v>
      </c>
    </row>
    <row r="30775" spans="1:1" x14ac:dyDescent="0.3">
      <c r="A30775" t="s">
        <v>0</v>
      </c>
    </row>
    <row r="30776" spans="1:1" x14ac:dyDescent="0.3">
      <c r="A30776" t="s">
        <v>0</v>
      </c>
    </row>
    <row r="30777" spans="1:1" x14ac:dyDescent="0.3">
      <c r="A30777" t="s">
        <v>0</v>
      </c>
    </row>
    <row r="30778" spans="1:1" x14ac:dyDescent="0.3">
      <c r="A30778" t="s">
        <v>0</v>
      </c>
    </row>
    <row r="30779" spans="1:1" x14ac:dyDescent="0.3">
      <c r="A30779" t="s">
        <v>0</v>
      </c>
    </row>
    <row r="30780" spans="1:1" x14ac:dyDescent="0.3">
      <c r="A30780" t="s">
        <v>0</v>
      </c>
    </row>
    <row r="30781" spans="1:1" x14ac:dyDescent="0.3">
      <c r="A30781" t="s">
        <v>0</v>
      </c>
    </row>
    <row r="30782" spans="1:1" x14ac:dyDescent="0.3">
      <c r="A30782" t="s">
        <v>0</v>
      </c>
    </row>
    <row r="30783" spans="1:1" x14ac:dyDescent="0.3">
      <c r="A30783" t="s">
        <v>0</v>
      </c>
    </row>
    <row r="30784" spans="1:1" x14ac:dyDescent="0.3">
      <c r="A30784" t="s">
        <v>0</v>
      </c>
    </row>
    <row r="30785" spans="1:1" x14ac:dyDescent="0.3">
      <c r="A30785" t="s">
        <v>0</v>
      </c>
    </row>
    <row r="30786" spans="1:1" x14ac:dyDescent="0.3">
      <c r="A30786" t="s">
        <v>0</v>
      </c>
    </row>
    <row r="30787" spans="1:1" x14ac:dyDescent="0.3">
      <c r="A30787" t="s">
        <v>0</v>
      </c>
    </row>
    <row r="30788" spans="1:1" x14ac:dyDescent="0.3">
      <c r="A30788" t="s">
        <v>0</v>
      </c>
    </row>
    <row r="30789" spans="1:1" x14ac:dyDescent="0.3">
      <c r="A30789" t="s">
        <v>0</v>
      </c>
    </row>
    <row r="30790" spans="1:1" x14ac:dyDescent="0.3">
      <c r="A30790" t="s">
        <v>0</v>
      </c>
    </row>
    <row r="30791" spans="1:1" x14ac:dyDescent="0.3">
      <c r="A30791" t="s">
        <v>0</v>
      </c>
    </row>
    <row r="30792" spans="1:1" x14ac:dyDescent="0.3">
      <c r="A30792" t="s">
        <v>0</v>
      </c>
    </row>
    <row r="30793" spans="1:1" x14ac:dyDescent="0.3">
      <c r="A30793" t="s">
        <v>0</v>
      </c>
    </row>
    <row r="30794" spans="1:1" x14ac:dyDescent="0.3">
      <c r="A30794" t="s">
        <v>0</v>
      </c>
    </row>
    <row r="30795" spans="1:1" x14ac:dyDescent="0.3">
      <c r="A30795" t="s">
        <v>0</v>
      </c>
    </row>
    <row r="30796" spans="1:1" x14ac:dyDescent="0.3">
      <c r="A30796" t="s">
        <v>0</v>
      </c>
    </row>
    <row r="30797" spans="1:1" x14ac:dyDescent="0.3">
      <c r="A30797" t="s">
        <v>0</v>
      </c>
    </row>
    <row r="30798" spans="1:1" x14ac:dyDescent="0.3">
      <c r="A30798" t="s">
        <v>0</v>
      </c>
    </row>
    <row r="30799" spans="1:1" x14ac:dyDescent="0.3">
      <c r="A30799" t="s">
        <v>0</v>
      </c>
    </row>
    <row r="30800" spans="1:1" x14ac:dyDescent="0.3">
      <c r="A30800" t="s">
        <v>0</v>
      </c>
    </row>
    <row r="30801" spans="1:1" x14ac:dyDescent="0.3">
      <c r="A30801" t="s">
        <v>0</v>
      </c>
    </row>
    <row r="30802" spans="1:1" x14ac:dyDescent="0.3">
      <c r="A30802" t="s">
        <v>0</v>
      </c>
    </row>
    <row r="30803" spans="1:1" x14ac:dyDescent="0.3">
      <c r="A30803" t="s">
        <v>0</v>
      </c>
    </row>
    <row r="30804" spans="1:1" x14ac:dyDescent="0.3">
      <c r="A30804" t="s">
        <v>0</v>
      </c>
    </row>
    <row r="30805" spans="1:1" x14ac:dyDescent="0.3">
      <c r="A30805" t="s">
        <v>0</v>
      </c>
    </row>
    <row r="30806" spans="1:1" x14ac:dyDescent="0.3">
      <c r="A30806" t="s">
        <v>0</v>
      </c>
    </row>
    <row r="30807" spans="1:1" x14ac:dyDescent="0.3">
      <c r="A30807" t="s">
        <v>0</v>
      </c>
    </row>
    <row r="30808" spans="1:1" x14ac:dyDescent="0.3">
      <c r="A30808" t="s">
        <v>0</v>
      </c>
    </row>
    <row r="30809" spans="1:1" x14ac:dyDescent="0.3">
      <c r="A30809" t="s">
        <v>0</v>
      </c>
    </row>
    <row r="30810" spans="1:1" x14ac:dyDescent="0.3">
      <c r="A30810" t="s">
        <v>0</v>
      </c>
    </row>
    <row r="30811" spans="1:1" x14ac:dyDescent="0.3">
      <c r="A30811" t="s">
        <v>0</v>
      </c>
    </row>
    <row r="30812" spans="1:1" x14ac:dyDescent="0.3">
      <c r="A30812" t="s">
        <v>0</v>
      </c>
    </row>
    <row r="30813" spans="1:1" x14ac:dyDescent="0.3">
      <c r="A30813" t="s">
        <v>0</v>
      </c>
    </row>
    <row r="30814" spans="1:1" x14ac:dyDescent="0.3">
      <c r="A30814" t="s">
        <v>0</v>
      </c>
    </row>
    <row r="30815" spans="1:1" x14ac:dyDescent="0.3">
      <c r="A30815" t="s">
        <v>0</v>
      </c>
    </row>
    <row r="30816" spans="1:1" x14ac:dyDescent="0.3">
      <c r="A30816" t="s">
        <v>0</v>
      </c>
    </row>
    <row r="30817" spans="1:1" x14ac:dyDescent="0.3">
      <c r="A30817" t="s">
        <v>0</v>
      </c>
    </row>
    <row r="30818" spans="1:1" x14ac:dyDescent="0.3">
      <c r="A30818" t="s">
        <v>0</v>
      </c>
    </row>
    <row r="30819" spans="1:1" x14ac:dyDescent="0.3">
      <c r="A30819" t="s">
        <v>0</v>
      </c>
    </row>
    <row r="30820" spans="1:1" x14ac:dyDescent="0.3">
      <c r="A30820" t="s">
        <v>0</v>
      </c>
    </row>
    <row r="30821" spans="1:1" x14ac:dyDescent="0.3">
      <c r="A30821" t="s">
        <v>0</v>
      </c>
    </row>
    <row r="30822" spans="1:1" x14ac:dyDescent="0.3">
      <c r="A30822" t="s">
        <v>0</v>
      </c>
    </row>
    <row r="30823" spans="1:1" x14ac:dyDescent="0.3">
      <c r="A30823" t="s">
        <v>0</v>
      </c>
    </row>
    <row r="30824" spans="1:1" x14ac:dyDescent="0.3">
      <c r="A30824" t="s">
        <v>0</v>
      </c>
    </row>
    <row r="30825" spans="1:1" x14ac:dyDescent="0.3">
      <c r="A30825" t="s">
        <v>0</v>
      </c>
    </row>
    <row r="30826" spans="1:1" x14ac:dyDescent="0.3">
      <c r="A30826" t="s">
        <v>0</v>
      </c>
    </row>
    <row r="30827" spans="1:1" x14ac:dyDescent="0.3">
      <c r="A30827" t="s">
        <v>0</v>
      </c>
    </row>
    <row r="30828" spans="1:1" x14ac:dyDescent="0.3">
      <c r="A30828" t="s">
        <v>0</v>
      </c>
    </row>
    <row r="30829" spans="1:1" x14ac:dyDescent="0.3">
      <c r="A30829" t="s">
        <v>0</v>
      </c>
    </row>
    <row r="30830" spans="1:1" x14ac:dyDescent="0.3">
      <c r="A30830" t="s">
        <v>0</v>
      </c>
    </row>
    <row r="30831" spans="1:1" x14ac:dyDescent="0.3">
      <c r="A30831" t="s">
        <v>0</v>
      </c>
    </row>
    <row r="30832" spans="1:1" x14ac:dyDescent="0.3">
      <c r="A30832" t="s">
        <v>0</v>
      </c>
    </row>
    <row r="30833" spans="1:1" x14ac:dyDescent="0.3">
      <c r="A30833" t="s">
        <v>0</v>
      </c>
    </row>
    <row r="30834" spans="1:1" x14ac:dyDescent="0.3">
      <c r="A30834" t="s">
        <v>0</v>
      </c>
    </row>
    <row r="30835" spans="1:1" x14ac:dyDescent="0.3">
      <c r="A30835" t="s">
        <v>0</v>
      </c>
    </row>
    <row r="30836" spans="1:1" x14ac:dyDescent="0.3">
      <c r="A30836" t="s">
        <v>0</v>
      </c>
    </row>
    <row r="30837" spans="1:1" x14ac:dyDescent="0.3">
      <c r="A30837" t="s">
        <v>0</v>
      </c>
    </row>
    <row r="30838" spans="1:1" x14ac:dyDescent="0.3">
      <c r="A30838" t="s">
        <v>0</v>
      </c>
    </row>
    <row r="30839" spans="1:1" x14ac:dyDescent="0.3">
      <c r="A30839" t="s">
        <v>0</v>
      </c>
    </row>
    <row r="30840" spans="1:1" x14ac:dyDescent="0.3">
      <c r="A30840" t="s">
        <v>0</v>
      </c>
    </row>
    <row r="30841" spans="1:1" x14ac:dyDescent="0.3">
      <c r="A30841" t="s">
        <v>0</v>
      </c>
    </row>
    <row r="30842" spans="1:1" x14ac:dyDescent="0.3">
      <c r="A30842" t="s">
        <v>0</v>
      </c>
    </row>
    <row r="30843" spans="1:1" x14ac:dyDescent="0.3">
      <c r="A30843" t="s">
        <v>0</v>
      </c>
    </row>
    <row r="30844" spans="1:1" x14ac:dyDescent="0.3">
      <c r="A30844" t="s">
        <v>0</v>
      </c>
    </row>
    <row r="30845" spans="1:1" x14ac:dyDescent="0.3">
      <c r="A30845" t="s">
        <v>0</v>
      </c>
    </row>
    <row r="30846" spans="1:1" x14ac:dyDescent="0.3">
      <c r="A30846" t="s">
        <v>0</v>
      </c>
    </row>
    <row r="30847" spans="1:1" x14ac:dyDescent="0.3">
      <c r="A30847" t="s">
        <v>0</v>
      </c>
    </row>
    <row r="30848" spans="1:1" x14ac:dyDescent="0.3">
      <c r="A30848" t="s">
        <v>0</v>
      </c>
    </row>
    <row r="30849" spans="1:1" x14ac:dyDescent="0.3">
      <c r="A30849" t="s">
        <v>0</v>
      </c>
    </row>
    <row r="30850" spans="1:1" x14ac:dyDescent="0.3">
      <c r="A30850" t="s">
        <v>0</v>
      </c>
    </row>
    <row r="30851" spans="1:1" x14ac:dyDescent="0.3">
      <c r="A30851" t="s">
        <v>0</v>
      </c>
    </row>
    <row r="30852" spans="1:1" x14ac:dyDescent="0.3">
      <c r="A30852" t="s">
        <v>0</v>
      </c>
    </row>
    <row r="30853" spans="1:1" x14ac:dyDescent="0.3">
      <c r="A30853" t="s">
        <v>0</v>
      </c>
    </row>
    <row r="30854" spans="1:1" x14ac:dyDescent="0.3">
      <c r="A30854" t="s">
        <v>0</v>
      </c>
    </row>
    <row r="30855" spans="1:1" x14ac:dyDescent="0.3">
      <c r="A30855" t="s">
        <v>0</v>
      </c>
    </row>
    <row r="30856" spans="1:1" x14ac:dyDescent="0.3">
      <c r="A30856" t="s">
        <v>0</v>
      </c>
    </row>
    <row r="30857" spans="1:1" x14ac:dyDescent="0.3">
      <c r="A30857" t="s">
        <v>0</v>
      </c>
    </row>
    <row r="30858" spans="1:1" x14ac:dyDescent="0.3">
      <c r="A30858" t="s">
        <v>0</v>
      </c>
    </row>
    <row r="30859" spans="1:1" x14ac:dyDescent="0.3">
      <c r="A30859" t="s">
        <v>0</v>
      </c>
    </row>
    <row r="30860" spans="1:1" x14ac:dyDescent="0.3">
      <c r="A30860" t="s">
        <v>0</v>
      </c>
    </row>
    <row r="30861" spans="1:1" x14ac:dyDescent="0.3">
      <c r="A30861" t="s">
        <v>0</v>
      </c>
    </row>
    <row r="30862" spans="1:1" x14ac:dyDescent="0.3">
      <c r="A30862" t="s">
        <v>0</v>
      </c>
    </row>
    <row r="30863" spans="1:1" x14ac:dyDescent="0.3">
      <c r="A30863" t="s">
        <v>0</v>
      </c>
    </row>
    <row r="30864" spans="1:1" x14ac:dyDescent="0.3">
      <c r="A30864" t="s">
        <v>0</v>
      </c>
    </row>
    <row r="30865" spans="1:1" x14ac:dyDescent="0.3">
      <c r="A30865" t="s">
        <v>0</v>
      </c>
    </row>
    <row r="30866" spans="1:1" x14ac:dyDescent="0.3">
      <c r="A30866" t="s">
        <v>0</v>
      </c>
    </row>
    <row r="30867" spans="1:1" x14ac:dyDescent="0.3">
      <c r="A30867" t="s">
        <v>0</v>
      </c>
    </row>
    <row r="30868" spans="1:1" x14ac:dyDescent="0.3">
      <c r="A30868" t="s">
        <v>0</v>
      </c>
    </row>
    <row r="30869" spans="1:1" x14ac:dyDescent="0.3">
      <c r="A30869" t="s">
        <v>0</v>
      </c>
    </row>
    <row r="30870" spans="1:1" x14ac:dyDescent="0.3">
      <c r="A30870" t="s">
        <v>0</v>
      </c>
    </row>
    <row r="30871" spans="1:1" x14ac:dyDescent="0.3">
      <c r="A30871" t="s">
        <v>0</v>
      </c>
    </row>
    <row r="30872" spans="1:1" x14ac:dyDescent="0.3">
      <c r="A30872" t="s">
        <v>0</v>
      </c>
    </row>
    <row r="30873" spans="1:1" x14ac:dyDescent="0.3">
      <c r="A30873" t="s">
        <v>0</v>
      </c>
    </row>
    <row r="30874" spans="1:1" x14ac:dyDescent="0.3">
      <c r="A30874" t="s">
        <v>0</v>
      </c>
    </row>
    <row r="30875" spans="1:1" x14ac:dyDescent="0.3">
      <c r="A30875" t="s">
        <v>0</v>
      </c>
    </row>
    <row r="30876" spans="1:1" x14ac:dyDescent="0.3">
      <c r="A30876" t="s">
        <v>0</v>
      </c>
    </row>
    <row r="30877" spans="1:1" x14ac:dyDescent="0.3">
      <c r="A30877" t="s">
        <v>0</v>
      </c>
    </row>
    <row r="30878" spans="1:1" x14ac:dyDescent="0.3">
      <c r="A30878" t="s">
        <v>0</v>
      </c>
    </row>
    <row r="30879" spans="1:1" x14ac:dyDescent="0.3">
      <c r="A30879" t="s">
        <v>0</v>
      </c>
    </row>
    <row r="30880" spans="1:1" x14ac:dyDescent="0.3">
      <c r="A30880" t="s">
        <v>0</v>
      </c>
    </row>
    <row r="30881" spans="1:1" x14ac:dyDescent="0.3">
      <c r="A30881" t="s">
        <v>0</v>
      </c>
    </row>
    <row r="30882" spans="1:1" x14ac:dyDescent="0.3">
      <c r="A30882" t="s">
        <v>0</v>
      </c>
    </row>
    <row r="30883" spans="1:1" x14ac:dyDescent="0.3">
      <c r="A30883" t="s">
        <v>0</v>
      </c>
    </row>
    <row r="30884" spans="1:1" x14ac:dyDescent="0.3">
      <c r="A30884" t="s">
        <v>0</v>
      </c>
    </row>
    <row r="30885" spans="1:1" x14ac:dyDescent="0.3">
      <c r="A30885" t="s">
        <v>0</v>
      </c>
    </row>
    <row r="30886" spans="1:1" x14ac:dyDescent="0.3">
      <c r="A30886" t="s">
        <v>0</v>
      </c>
    </row>
    <row r="30887" spans="1:1" x14ac:dyDescent="0.3">
      <c r="A30887" t="s">
        <v>0</v>
      </c>
    </row>
    <row r="30888" spans="1:1" x14ac:dyDescent="0.3">
      <c r="A30888" t="s">
        <v>0</v>
      </c>
    </row>
    <row r="30889" spans="1:1" x14ac:dyDescent="0.3">
      <c r="A30889" t="s">
        <v>0</v>
      </c>
    </row>
    <row r="30890" spans="1:1" x14ac:dyDescent="0.3">
      <c r="A30890" t="s">
        <v>0</v>
      </c>
    </row>
    <row r="30891" spans="1:1" x14ac:dyDescent="0.3">
      <c r="A30891" t="s">
        <v>0</v>
      </c>
    </row>
    <row r="30892" spans="1:1" x14ac:dyDescent="0.3">
      <c r="A30892" t="s">
        <v>0</v>
      </c>
    </row>
    <row r="30893" spans="1:1" x14ac:dyDescent="0.3">
      <c r="A30893" t="s">
        <v>0</v>
      </c>
    </row>
    <row r="30894" spans="1:1" x14ac:dyDescent="0.3">
      <c r="A30894" t="s">
        <v>0</v>
      </c>
    </row>
    <row r="30895" spans="1:1" x14ac:dyDescent="0.3">
      <c r="A30895" t="s">
        <v>0</v>
      </c>
    </row>
    <row r="30896" spans="1:1" x14ac:dyDescent="0.3">
      <c r="A30896" t="s">
        <v>0</v>
      </c>
    </row>
    <row r="30897" spans="1:1" x14ac:dyDescent="0.3">
      <c r="A30897" t="s">
        <v>0</v>
      </c>
    </row>
    <row r="30898" spans="1:1" x14ac:dyDescent="0.3">
      <c r="A30898" t="s">
        <v>0</v>
      </c>
    </row>
    <row r="30899" spans="1:1" x14ac:dyDescent="0.3">
      <c r="A30899" t="s">
        <v>0</v>
      </c>
    </row>
    <row r="30900" spans="1:1" x14ac:dyDescent="0.3">
      <c r="A30900" t="s">
        <v>0</v>
      </c>
    </row>
    <row r="30901" spans="1:1" x14ac:dyDescent="0.3">
      <c r="A30901" t="s">
        <v>0</v>
      </c>
    </row>
    <row r="30902" spans="1:1" x14ac:dyDescent="0.3">
      <c r="A30902" t="s">
        <v>0</v>
      </c>
    </row>
    <row r="30903" spans="1:1" x14ac:dyDescent="0.3">
      <c r="A30903" t="s">
        <v>0</v>
      </c>
    </row>
    <row r="30904" spans="1:1" x14ac:dyDescent="0.3">
      <c r="A30904" t="s">
        <v>0</v>
      </c>
    </row>
    <row r="30905" spans="1:1" x14ac:dyDescent="0.3">
      <c r="A30905" t="s">
        <v>0</v>
      </c>
    </row>
    <row r="30906" spans="1:1" x14ac:dyDescent="0.3">
      <c r="A30906" t="s">
        <v>0</v>
      </c>
    </row>
    <row r="30907" spans="1:1" x14ac:dyDescent="0.3">
      <c r="A30907" t="s">
        <v>0</v>
      </c>
    </row>
    <row r="30908" spans="1:1" x14ac:dyDescent="0.3">
      <c r="A30908" t="s">
        <v>0</v>
      </c>
    </row>
    <row r="30909" spans="1:1" x14ac:dyDescent="0.3">
      <c r="A30909" t="s">
        <v>0</v>
      </c>
    </row>
    <row r="30910" spans="1:1" x14ac:dyDescent="0.3">
      <c r="A30910" t="s">
        <v>0</v>
      </c>
    </row>
    <row r="30911" spans="1:1" x14ac:dyDescent="0.3">
      <c r="A30911" t="s">
        <v>0</v>
      </c>
    </row>
    <row r="30912" spans="1:1" x14ac:dyDescent="0.3">
      <c r="A30912" t="s">
        <v>0</v>
      </c>
    </row>
    <row r="30913" spans="1:1" x14ac:dyDescent="0.3">
      <c r="A30913" t="s">
        <v>0</v>
      </c>
    </row>
    <row r="30914" spans="1:1" x14ac:dyDescent="0.3">
      <c r="A30914" t="s">
        <v>0</v>
      </c>
    </row>
    <row r="30915" spans="1:1" x14ac:dyDescent="0.3">
      <c r="A30915" t="s">
        <v>0</v>
      </c>
    </row>
    <row r="30916" spans="1:1" x14ac:dyDescent="0.3">
      <c r="A30916" t="s">
        <v>0</v>
      </c>
    </row>
    <row r="30917" spans="1:1" x14ac:dyDescent="0.3">
      <c r="A30917" t="s">
        <v>0</v>
      </c>
    </row>
    <row r="30918" spans="1:1" x14ac:dyDescent="0.3">
      <c r="A30918" t="s">
        <v>0</v>
      </c>
    </row>
    <row r="30919" spans="1:1" x14ac:dyDescent="0.3">
      <c r="A30919" t="s">
        <v>0</v>
      </c>
    </row>
    <row r="30920" spans="1:1" x14ac:dyDescent="0.3">
      <c r="A30920" t="s">
        <v>0</v>
      </c>
    </row>
    <row r="30921" spans="1:1" x14ac:dyDescent="0.3">
      <c r="A30921" t="s">
        <v>0</v>
      </c>
    </row>
    <row r="30922" spans="1:1" x14ac:dyDescent="0.3">
      <c r="A30922" t="s">
        <v>0</v>
      </c>
    </row>
    <row r="30923" spans="1:1" x14ac:dyDescent="0.3">
      <c r="A30923" t="s">
        <v>0</v>
      </c>
    </row>
    <row r="30924" spans="1:1" x14ac:dyDescent="0.3">
      <c r="A30924" t="s">
        <v>0</v>
      </c>
    </row>
    <row r="30925" spans="1:1" x14ac:dyDescent="0.3">
      <c r="A30925" t="s">
        <v>0</v>
      </c>
    </row>
    <row r="30926" spans="1:1" x14ac:dyDescent="0.3">
      <c r="A30926" t="s">
        <v>0</v>
      </c>
    </row>
    <row r="30927" spans="1:1" x14ac:dyDescent="0.3">
      <c r="A30927" t="s">
        <v>0</v>
      </c>
    </row>
    <row r="30928" spans="1:1" x14ac:dyDescent="0.3">
      <c r="A30928" t="s">
        <v>0</v>
      </c>
    </row>
    <row r="30929" spans="1:1" x14ac:dyDescent="0.3">
      <c r="A30929" t="s">
        <v>0</v>
      </c>
    </row>
    <row r="30930" spans="1:1" x14ac:dyDescent="0.3">
      <c r="A30930" t="s">
        <v>0</v>
      </c>
    </row>
    <row r="30931" spans="1:1" x14ac:dyDescent="0.3">
      <c r="A30931" t="s">
        <v>0</v>
      </c>
    </row>
    <row r="30932" spans="1:1" x14ac:dyDescent="0.3">
      <c r="A30932" t="s">
        <v>0</v>
      </c>
    </row>
    <row r="30933" spans="1:1" x14ac:dyDescent="0.3">
      <c r="A30933" t="s">
        <v>0</v>
      </c>
    </row>
    <row r="30934" spans="1:1" x14ac:dyDescent="0.3">
      <c r="A30934" t="s">
        <v>0</v>
      </c>
    </row>
    <row r="30935" spans="1:1" x14ac:dyDescent="0.3">
      <c r="A30935" t="s">
        <v>0</v>
      </c>
    </row>
    <row r="30936" spans="1:1" x14ac:dyDescent="0.3">
      <c r="A30936" t="s">
        <v>0</v>
      </c>
    </row>
    <row r="30937" spans="1:1" x14ac:dyDescent="0.3">
      <c r="A30937" t="s">
        <v>0</v>
      </c>
    </row>
    <row r="30938" spans="1:1" x14ac:dyDescent="0.3">
      <c r="A30938" t="s">
        <v>0</v>
      </c>
    </row>
    <row r="30939" spans="1:1" x14ac:dyDescent="0.3">
      <c r="A30939" t="s">
        <v>0</v>
      </c>
    </row>
    <row r="30940" spans="1:1" x14ac:dyDescent="0.3">
      <c r="A30940" t="s">
        <v>0</v>
      </c>
    </row>
    <row r="30941" spans="1:1" x14ac:dyDescent="0.3">
      <c r="A30941" t="s">
        <v>0</v>
      </c>
    </row>
    <row r="30942" spans="1:1" x14ac:dyDescent="0.3">
      <c r="A30942" t="s">
        <v>0</v>
      </c>
    </row>
    <row r="30943" spans="1:1" x14ac:dyDescent="0.3">
      <c r="A30943" t="s">
        <v>0</v>
      </c>
    </row>
    <row r="30944" spans="1:1" x14ac:dyDescent="0.3">
      <c r="A30944" t="s">
        <v>0</v>
      </c>
    </row>
    <row r="30945" spans="1:1" x14ac:dyDescent="0.3">
      <c r="A30945" t="s">
        <v>0</v>
      </c>
    </row>
    <row r="30946" spans="1:1" x14ac:dyDescent="0.3">
      <c r="A30946" t="s">
        <v>0</v>
      </c>
    </row>
    <row r="30947" spans="1:1" x14ac:dyDescent="0.3">
      <c r="A30947" t="s">
        <v>0</v>
      </c>
    </row>
    <row r="30948" spans="1:1" x14ac:dyDescent="0.3">
      <c r="A30948" t="s">
        <v>0</v>
      </c>
    </row>
    <row r="30949" spans="1:1" x14ac:dyDescent="0.3">
      <c r="A30949" t="s">
        <v>0</v>
      </c>
    </row>
    <row r="30950" spans="1:1" x14ac:dyDescent="0.3">
      <c r="A30950" t="s">
        <v>0</v>
      </c>
    </row>
    <row r="30951" spans="1:1" x14ac:dyDescent="0.3">
      <c r="A30951" t="s">
        <v>0</v>
      </c>
    </row>
    <row r="30952" spans="1:1" x14ac:dyDescent="0.3">
      <c r="A30952" t="s">
        <v>0</v>
      </c>
    </row>
    <row r="30953" spans="1:1" x14ac:dyDescent="0.3">
      <c r="A30953" t="s">
        <v>0</v>
      </c>
    </row>
    <row r="30954" spans="1:1" x14ac:dyDescent="0.3">
      <c r="A30954" t="s">
        <v>0</v>
      </c>
    </row>
    <row r="30955" spans="1:1" x14ac:dyDescent="0.3">
      <c r="A30955" t="s">
        <v>0</v>
      </c>
    </row>
    <row r="30956" spans="1:1" x14ac:dyDescent="0.3">
      <c r="A30956" t="s">
        <v>0</v>
      </c>
    </row>
    <row r="30957" spans="1:1" x14ac:dyDescent="0.3">
      <c r="A30957" t="s">
        <v>0</v>
      </c>
    </row>
    <row r="30958" spans="1:1" x14ac:dyDescent="0.3">
      <c r="A30958" t="s">
        <v>0</v>
      </c>
    </row>
    <row r="30959" spans="1:1" x14ac:dyDescent="0.3">
      <c r="A30959" t="s">
        <v>0</v>
      </c>
    </row>
    <row r="30960" spans="1:1" x14ac:dyDescent="0.3">
      <c r="A30960" t="s">
        <v>0</v>
      </c>
    </row>
    <row r="30961" spans="1:1" x14ac:dyDescent="0.3">
      <c r="A30961" t="s">
        <v>0</v>
      </c>
    </row>
    <row r="30962" spans="1:1" x14ac:dyDescent="0.3">
      <c r="A30962" t="s">
        <v>0</v>
      </c>
    </row>
    <row r="30963" spans="1:1" x14ac:dyDescent="0.3">
      <c r="A30963" t="s">
        <v>0</v>
      </c>
    </row>
    <row r="30964" spans="1:1" x14ac:dyDescent="0.3">
      <c r="A30964" t="s">
        <v>0</v>
      </c>
    </row>
    <row r="30965" spans="1:1" x14ac:dyDescent="0.3">
      <c r="A30965" t="s">
        <v>0</v>
      </c>
    </row>
    <row r="30966" spans="1:1" x14ac:dyDescent="0.3">
      <c r="A30966" t="s">
        <v>0</v>
      </c>
    </row>
    <row r="30967" spans="1:1" x14ac:dyDescent="0.3">
      <c r="A30967" t="s">
        <v>0</v>
      </c>
    </row>
    <row r="30968" spans="1:1" x14ac:dyDescent="0.3">
      <c r="A30968" t="s">
        <v>0</v>
      </c>
    </row>
    <row r="30969" spans="1:1" x14ac:dyDescent="0.3">
      <c r="A30969" t="s">
        <v>0</v>
      </c>
    </row>
    <row r="30970" spans="1:1" x14ac:dyDescent="0.3">
      <c r="A30970" t="s">
        <v>0</v>
      </c>
    </row>
    <row r="30971" spans="1:1" x14ac:dyDescent="0.3">
      <c r="A30971" t="s">
        <v>0</v>
      </c>
    </row>
    <row r="30972" spans="1:1" x14ac:dyDescent="0.3">
      <c r="A30972" t="s">
        <v>0</v>
      </c>
    </row>
    <row r="30973" spans="1:1" x14ac:dyDescent="0.3">
      <c r="A30973" t="s">
        <v>0</v>
      </c>
    </row>
    <row r="30974" spans="1:1" x14ac:dyDescent="0.3">
      <c r="A30974" t="s">
        <v>0</v>
      </c>
    </row>
    <row r="30975" spans="1:1" x14ac:dyDescent="0.3">
      <c r="A30975" t="s">
        <v>0</v>
      </c>
    </row>
    <row r="30976" spans="1:1" x14ac:dyDescent="0.3">
      <c r="A30976" t="s">
        <v>0</v>
      </c>
    </row>
    <row r="30977" spans="1:1" x14ac:dyDescent="0.3">
      <c r="A30977" t="s">
        <v>0</v>
      </c>
    </row>
    <row r="30978" spans="1:1" x14ac:dyDescent="0.3">
      <c r="A30978" t="s">
        <v>0</v>
      </c>
    </row>
    <row r="30979" spans="1:1" x14ac:dyDescent="0.3">
      <c r="A30979" t="s">
        <v>0</v>
      </c>
    </row>
    <row r="30980" spans="1:1" x14ac:dyDescent="0.3">
      <c r="A30980" t="s">
        <v>0</v>
      </c>
    </row>
    <row r="30981" spans="1:1" x14ac:dyDescent="0.3">
      <c r="A30981" t="s">
        <v>0</v>
      </c>
    </row>
    <row r="30982" spans="1:1" x14ac:dyDescent="0.3">
      <c r="A30982" t="s">
        <v>0</v>
      </c>
    </row>
    <row r="30983" spans="1:1" x14ac:dyDescent="0.3">
      <c r="A30983" t="s">
        <v>0</v>
      </c>
    </row>
    <row r="30984" spans="1:1" x14ac:dyDescent="0.3">
      <c r="A30984" t="s">
        <v>0</v>
      </c>
    </row>
    <row r="30985" spans="1:1" x14ac:dyDescent="0.3">
      <c r="A30985" t="s">
        <v>0</v>
      </c>
    </row>
    <row r="30986" spans="1:1" x14ac:dyDescent="0.3">
      <c r="A30986" t="s">
        <v>0</v>
      </c>
    </row>
    <row r="30987" spans="1:1" x14ac:dyDescent="0.3">
      <c r="A30987" t="s">
        <v>0</v>
      </c>
    </row>
    <row r="30988" spans="1:1" x14ac:dyDescent="0.3">
      <c r="A30988" t="s">
        <v>0</v>
      </c>
    </row>
    <row r="30989" spans="1:1" x14ac:dyDescent="0.3">
      <c r="A30989" t="s">
        <v>0</v>
      </c>
    </row>
    <row r="30990" spans="1:1" x14ac:dyDescent="0.3">
      <c r="A30990" t="s">
        <v>0</v>
      </c>
    </row>
    <row r="30991" spans="1:1" x14ac:dyDescent="0.3">
      <c r="A30991" t="s">
        <v>0</v>
      </c>
    </row>
    <row r="30992" spans="1:1" x14ac:dyDescent="0.3">
      <c r="A30992" t="s">
        <v>0</v>
      </c>
    </row>
    <row r="30993" spans="1:1" x14ac:dyDescent="0.3">
      <c r="A30993" t="s">
        <v>0</v>
      </c>
    </row>
    <row r="30994" spans="1:1" x14ac:dyDescent="0.3">
      <c r="A30994" t="s">
        <v>0</v>
      </c>
    </row>
    <row r="30995" spans="1:1" x14ac:dyDescent="0.3">
      <c r="A30995" t="s">
        <v>0</v>
      </c>
    </row>
    <row r="30996" spans="1:1" x14ac:dyDescent="0.3">
      <c r="A30996" t="s">
        <v>0</v>
      </c>
    </row>
    <row r="30997" spans="1:1" x14ac:dyDescent="0.3">
      <c r="A30997" t="s">
        <v>0</v>
      </c>
    </row>
    <row r="30998" spans="1:1" x14ac:dyDescent="0.3">
      <c r="A30998" t="s">
        <v>0</v>
      </c>
    </row>
    <row r="30999" spans="1:1" x14ac:dyDescent="0.3">
      <c r="A30999" t="s">
        <v>0</v>
      </c>
    </row>
    <row r="31000" spans="1:1" x14ac:dyDescent="0.3">
      <c r="A31000" t="s">
        <v>0</v>
      </c>
    </row>
    <row r="31001" spans="1:1" x14ac:dyDescent="0.3">
      <c r="A31001" t="s">
        <v>0</v>
      </c>
    </row>
    <row r="31002" spans="1:1" x14ac:dyDescent="0.3">
      <c r="A31002" t="s">
        <v>0</v>
      </c>
    </row>
    <row r="31003" spans="1:1" x14ac:dyDescent="0.3">
      <c r="A31003" t="s">
        <v>0</v>
      </c>
    </row>
    <row r="31004" spans="1:1" x14ac:dyDescent="0.3">
      <c r="A31004" t="s">
        <v>0</v>
      </c>
    </row>
    <row r="31005" spans="1:1" x14ac:dyDescent="0.3">
      <c r="A31005" t="s">
        <v>0</v>
      </c>
    </row>
    <row r="31006" spans="1:1" x14ac:dyDescent="0.3">
      <c r="A31006" t="s">
        <v>0</v>
      </c>
    </row>
    <row r="31007" spans="1:1" x14ac:dyDescent="0.3">
      <c r="A31007" t="s">
        <v>0</v>
      </c>
    </row>
    <row r="31008" spans="1:1" x14ac:dyDescent="0.3">
      <c r="A31008" t="s">
        <v>0</v>
      </c>
    </row>
    <row r="31009" spans="1:1" x14ac:dyDescent="0.3">
      <c r="A31009" t="s">
        <v>0</v>
      </c>
    </row>
    <row r="31010" spans="1:1" x14ac:dyDescent="0.3">
      <c r="A31010" t="s">
        <v>0</v>
      </c>
    </row>
    <row r="31011" spans="1:1" x14ac:dyDescent="0.3">
      <c r="A31011" t="s">
        <v>0</v>
      </c>
    </row>
    <row r="31012" spans="1:1" x14ac:dyDescent="0.3">
      <c r="A31012" t="s">
        <v>0</v>
      </c>
    </row>
    <row r="31013" spans="1:1" x14ac:dyDescent="0.3">
      <c r="A31013" t="s">
        <v>0</v>
      </c>
    </row>
    <row r="31014" spans="1:1" x14ac:dyDescent="0.3">
      <c r="A31014" t="s">
        <v>0</v>
      </c>
    </row>
    <row r="31015" spans="1:1" x14ac:dyDescent="0.3">
      <c r="A31015" t="s">
        <v>0</v>
      </c>
    </row>
    <row r="31016" spans="1:1" x14ac:dyDescent="0.3">
      <c r="A31016" t="s">
        <v>0</v>
      </c>
    </row>
    <row r="31017" spans="1:1" x14ac:dyDescent="0.3">
      <c r="A31017" t="s">
        <v>0</v>
      </c>
    </row>
    <row r="31018" spans="1:1" x14ac:dyDescent="0.3">
      <c r="A31018" t="s">
        <v>0</v>
      </c>
    </row>
    <row r="31019" spans="1:1" x14ac:dyDescent="0.3">
      <c r="A31019" t="s">
        <v>0</v>
      </c>
    </row>
    <row r="31020" spans="1:1" x14ac:dyDescent="0.3">
      <c r="A31020" t="s">
        <v>0</v>
      </c>
    </row>
    <row r="31021" spans="1:1" x14ac:dyDescent="0.3">
      <c r="A31021" t="s">
        <v>0</v>
      </c>
    </row>
    <row r="31022" spans="1:1" x14ac:dyDescent="0.3">
      <c r="A31022" t="s">
        <v>0</v>
      </c>
    </row>
    <row r="31023" spans="1:1" x14ac:dyDescent="0.3">
      <c r="A31023" t="s">
        <v>0</v>
      </c>
    </row>
    <row r="31024" spans="1:1" x14ac:dyDescent="0.3">
      <c r="A31024" t="s">
        <v>0</v>
      </c>
    </row>
    <row r="31025" spans="1:1" x14ac:dyDescent="0.3">
      <c r="A31025" t="s">
        <v>0</v>
      </c>
    </row>
    <row r="31026" spans="1:1" x14ac:dyDescent="0.3">
      <c r="A31026" t="s">
        <v>0</v>
      </c>
    </row>
    <row r="31027" spans="1:1" x14ac:dyDescent="0.3">
      <c r="A31027" t="s">
        <v>0</v>
      </c>
    </row>
    <row r="31028" spans="1:1" x14ac:dyDescent="0.3">
      <c r="A31028" t="s">
        <v>0</v>
      </c>
    </row>
    <row r="31029" spans="1:1" x14ac:dyDescent="0.3">
      <c r="A31029" t="s">
        <v>0</v>
      </c>
    </row>
    <row r="31030" spans="1:1" x14ac:dyDescent="0.3">
      <c r="A31030" t="s">
        <v>0</v>
      </c>
    </row>
    <row r="31031" spans="1:1" x14ac:dyDescent="0.3">
      <c r="A31031" t="s">
        <v>0</v>
      </c>
    </row>
    <row r="31032" spans="1:1" x14ac:dyDescent="0.3">
      <c r="A31032" t="s">
        <v>0</v>
      </c>
    </row>
    <row r="31033" spans="1:1" x14ac:dyDescent="0.3">
      <c r="A31033" t="s">
        <v>0</v>
      </c>
    </row>
    <row r="31034" spans="1:1" x14ac:dyDescent="0.3">
      <c r="A31034" t="s">
        <v>0</v>
      </c>
    </row>
    <row r="31035" spans="1:1" x14ac:dyDescent="0.3">
      <c r="A31035" t="s">
        <v>0</v>
      </c>
    </row>
    <row r="31036" spans="1:1" x14ac:dyDescent="0.3">
      <c r="A31036" t="s">
        <v>0</v>
      </c>
    </row>
    <row r="31037" spans="1:1" x14ac:dyDescent="0.3">
      <c r="A31037" t="s">
        <v>0</v>
      </c>
    </row>
    <row r="31038" spans="1:1" x14ac:dyDescent="0.3">
      <c r="A31038" t="s">
        <v>0</v>
      </c>
    </row>
    <row r="31039" spans="1:1" x14ac:dyDescent="0.3">
      <c r="A31039" t="s">
        <v>0</v>
      </c>
    </row>
    <row r="31040" spans="1:1" x14ac:dyDescent="0.3">
      <c r="A31040" t="s">
        <v>0</v>
      </c>
    </row>
    <row r="31041" spans="1:1" x14ac:dyDescent="0.3">
      <c r="A31041" t="s">
        <v>0</v>
      </c>
    </row>
    <row r="31042" spans="1:1" x14ac:dyDescent="0.3">
      <c r="A31042" t="s">
        <v>0</v>
      </c>
    </row>
    <row r="31043" spans="1:1" x14ac:dyDescent="0.3">
      <c r="A31043" t="s">
        <v>0</v>
      </c>
    </row>
    <row r="31044" spans="1:1" x14ac:dyDescent="0.3">
      <c r="A31044" t="s">
        <v>0</v>
      </c>
    </row>
    <row r="31045" spans="1:1" x14ac:dyDescent="0.3">
      <c r="A31045" t="s">
        <v>0</v>
      </c>
    </row>
    <row r="31046" spans="1:1" x14ac:dyDescent="0.3">
      <c r="A31046" t="s">
        <v>0</v>
      </c>
    </row>
    <row r="31047" spans="1:1" x14ac:dyDescent="0.3">
      <c r="A31047" t="s">
        <v>0</v>
      </c>
    </row>
    <row r="31048" spans="1:1" x14ac:dyDescent="0.3">
      <c r="A31048" t="s">
        <v>0</v>
      </c>
    </row>
    <row r="31049" spans="1:1" x14ac:dyDescent="0.3">
      <c r="A31049" t="s">
        <v>0</v>
      </c>
    </row>
    <row r="31050" spans="1:1" x14ac:dyDescent="0.3">
      <c r="A31050" t="s">
        <v>0</v>
      </c>
    </row>
    <row r="31051" spans="1:1" x14ac:dyDescent="0.3">
      <c r="A31051" t="s">
        <v>0</v>
      </c>
    </row>
    <row r="31052" spans="1:1" x14ac:dyDescent="0.3">
      <c r="A31052" t="s">
        <v>0</v>
      </c>
    </row>
    <row r="31053" spans="1:1" x14ac:dyDescent="0.3">
      <c r="A31053" t="s">
        <v>0</v>
      </c>
    </row>
    <row r="31054" spans="1:1" x14ac:dyDescent="0.3">
      <c r="A31054" t="s">
        <v>0</v>
      </c>
    </row>
    <row r="31055" spans="1:1" x14ac:dyDescent="0.3">
      <c r="A31055" t="s">
        <v>0</v>
      </c>
    </row>
    <row r="31056" spans="1:1" x14ac:dyDescent="0.3">
      <c r="A31056" t="s">
        <v>0</v>
      </c>
    </row>
    <row r="31057" spans="1:1" x14ac:dyDescent="0.3">
      <c r="A31057" t="s">
        <v>0</v>
      </c>
    </row>
    <row r="31058" spans="1:1" x14ac:dyDescent="0.3">
      <c r="A31058" t="s">
        <v>0</v>
      </c>
    </row>
    <row r="31059" spans="1:1" x14ac:dyDescent="0.3">
      <c r="A31059" t="s">
        <v>0</v>
      </c>
    </row>
    <row r="31060" spans="1:1" x14ac:dyDescent="0.3">
      <c r="A31060" t="s">
        <v>0</v>
      </c>
    </row>
    <row r="31061" spans="1:1" x14ac:dyDescent="0.3">
      <c r="A31061" t="s">
        <v>0</v>
      </c>
    </row>
    <row r="31062" spans="1:1" x14ac:dyDescent="0.3">
      <c r="A31062" t="s">
        <v>0</v>
      </c>
    </row>
    <row r="31063" spans="1:1" x14ac:dyDescent="0.3">
      <c r="A31063" t="s">
        <v>0</v>
      </c>
    </row>
    <row r="31064" spans="1:1" x14ac:dyDescent="0.3">
      <c r="A31064" t="s">
        <v>0</v>
      </c>
    </row>
    <row r="31065" spans="1:1" x14ac:dyDescent="0.3">
      <c r="A31065" t="s">
        <v>0</v>
      </c>
    </row>
    <row r="31066" spans="1:1" x14ac:dyDescent="0.3">
      <c r="A31066" t="s">
        <v>0</v>
      </c>
    </row>
    <row r="31067" spans="1:1" x14ac:dyDescent="0.3">
      <c r="A31067" t="s">
        <v>0</v>
      </c>
    </row>
    <row r="31068" spans="1:1" x14ac:dyDescent="0.3">
      <c r="A31068" t="s">
        <v>0</v>
      </c>
    </row>
    <row r="31069" spans="1:1" x14ac:dyDescent="0.3">
      <c r="A31069" t="s">
        <v>0</v>
      </c>
    </row>
    <row r="31070" spans="1:1" x14ac:dyDescent="0.3">
      <c r="A31070" t="s">
        <v>0</v>
      </c>
    </row>
    <row r="31071" spans="1:1" x14ac:dyDescent="0.3">
      <c r="A31071" t="s">
        <v>0</v>
      </c>
    </row>
    <row r="31072" spans="1:1" x14ac:dyDescent="0.3">
      <c r="A31072" t="s">
        <v>0</v>
      </c>
    </row>
    <row r="31073" spans="1:1" x14ac:dyDescent="0.3">
      <c r="A31073" t="s">
        <v>0</v>
      </c>
    </row>
    <row r="31074" spans="1:1" x14ac:dyDescent="0.3">
      <c r="A31074" t="s">
        <v>0</v>
      </c>
    </row>
    <row r="31075" spans="1:1" x14ac:dyDescent="0.3">
      <c r="A31075" t="s">
        <v>0</v>
      </c>
    </row>
    <row r="31076" spans="1:1" x14ac:dyDescent="0.3">
      <c r="A31076" t="s">
        <v>0</v>
      </c>
    </row>
    <row r="31077" spans="1:1" x14ac:dyDescent="0.3">
      <c r="A31077" t="s">
        <v>0</v>
      </c>
    </row>
    <row r="31078" spans="1:1" x14ac:dyDescent="0.3">
      <c r="A31078" t="s">
        <v>0</v>
      </c>
    </row>
    <row r="31079" spans="1:1" x14ac:dyDescent="0.3">
      <c r="A31079" t="s">
        <v>0</v>
      </c>
    </row>
    <row r="31080" spans="1:1" x14ac:dyDescent="0.3">
      <c r="A31080" t="s">
        <v>0</v>
      </c>
    </row>
    <row r="31081" spans="1:1" x14ac:dyDescent="0.3">
      <c r="A31081" t="s">
        <v>0</v>
      </c>
    </row>
    <row r="31082" spans="1:1" x14ac:dyDescent="0.3">
      <c r="A31082" t="s">
        <v>0</v>
      </c>
    </row>
    <row r="31083" spans="1:1" x14ac:dyDescent="0.3">
      <c r="A31083" t="s">
        <v>0</v>
      </c>
    </row>
    <row r="31084" spans="1:1" x14ac:dyDescent="0.3">
      <c r="A31084" t="s">
        <v>0</v>
      </c>
    </row>
    <row r="31085" spans="1:1" x14ac:dyDescent="0.3">
      <c r="A31085" t="s">
        <v>0</v>
      </c>
    </row>
    <row r="31086" spans="1:1" x14ac:dyDescent="0.3">
      <c r="A31086" t="s">
        <v>0</v>
      </c>
    </row>
    <row r="31087" spans="1:1" x14ac:dyDescent="0.3">
      <c r="A31087" t="s">
        <v>0</v>
      </c>
    </row>
    <row r="31088" spans="1:1" x14ac:dyDescent="0.3">
      <c r="A31088" t="s">
        <v>0</v>
      </c>
    </row>
    <row r="31089" spans="1:1" x14ac:dyDescent="0.3">
      <c r="A31089" t="s">
        <v>0</v>
      </c>
    </row>
    <row r="31090" spans="1:1" x14ac:dyDescent="0.3">
      <c r="A31090" t="s">
        <v>0</v>
      </c>
    </row>
    <row r="31091" spans="1:1" x14ac:dyDescent="0.3">
      <c r="A31091" t="s">
        <v>0</v>
      </c>
    </row>
    <row r="31092" spans="1:1" x14ac:dyDescent="0.3">
      <c r="A31092" t="s">
        <v>0</v>
      </c>
    </row>
    <row r="31093" spans="1:1" x14ac:dyDescent="0.3">
      <c r="A31093" t="s">
        <v>0</v>
      </c>
    </row>
    <row r="31094" spans="1:1" x14ac:dyDescent="0.3">
      <c r="A31094" t="s">
        <v>0</v>
      </c>
    </row>
    <row r="31095" spans="1:1" x14ac:dyDescent="0.3">
      <c r="A31095" t="s">
        <v>0</v>
      </c>
    </row>
    <row r="31096" spans="1:1" x14ac:dyDescent="0.3">
      <c r="A31096" t="s">
        <v>0</v>
      </c>
    </row>
    <row r="31097" spans="1:1" x14ac:dyDescent="0.3">
      <c r="A31097" t="s">
        <v>0</v>
      </c>
    </row>
    <row r="31098" spans="1:1" x14ac:dyDescent="0.3">
      <c r="A31098" t="s">
        <v>0</v>
      </c>
    </row>
    <row r="31099" spans="1:1" x14ac:dyDescent="0.3">
      <c r="A31099" t="s">
        <v>0</v>
      </c>
    </row>
    <row r="31100" spans="1:1" x14ac:dyDescent="0.3">
      <c r="A31100" t="s">
        <v>0</v>
      </c>
    </row>
    <row r="31101" spans="1:1" x14ac:dyDescent="0.3">
      <c r="A31101" t="s">
        <v>0</v>
      </c>
    </row>
    <row r="31102" spans="1:1" x14ac:dyDescent="0.3">
      <c r="A31102" t="s">
        <v>0</v>
      </c>
    </row>
    <row r="31103" spans="1:1" x14ac:dyDescent="0.3">
      <c r="A31103" t="s">
        <v>0</v>
      </c>
    </row>
    <row r="31104" spans="1:1" x14ac:dyDescent="0.3">
      <c r="A31104" t="s">
        <v>0</v>
      </c>
    </row>
    <row r="31105" spans="1:1" x14ac:dyDescent="0.3">
      <c r="A31105" t="s">
        <v>0</v>
      </c>
    </row>
    <row r="31106" spans="1:1" x14ac:dyDescent="0.3">
      <c r="A31106" t="s">
        <v>0</v>
      </c>
    </row>
    <row r="31107" spans="1:1" x14ac:dyDescent="0.3">
      <c r="A31107" t="s">
        <v>0</v>
      </c>
    </row>
    <row r="31108" spans="1:1" x14ac:dyDescent="0.3">
      <c r="A31108" t="s">
        <v>0</v>
      </c>
    </row>
    <row r="31109" spans="1:1" x14ac:dyDescent="0.3">
      <c r="A31109" t="s">
        <v>0</v>
      </c>
    </row>
    <row r="31110" spans="1:1" x14ac:dyDescent="0.3">
      <c r="A31110" t="s">
        <v>0</v>
      </c>
    </row>
    <row r="31111" spans="1:1" x14ac:dyDescent="0.3">
      <c r="A31111" t="s">
        <v>0</v>
      </c>
    </row>
    <row r="31112" spans="1:1" x14ac:dyDescent="0.3">
      <c r="A31112" t="s">
        <v>0</v>
      </c>
    </row>
    <row r="31113" spans="1:1" x14ac:dyDescent="0.3">
      <c r="A31113" t="s">
        <v>0</v>
      </c>
    </row>
    <row r="31114" spans="1:1" x14ac:dyDescent="0.3">
      <c r="A31114" t="s">
        <v>0</v>
      </c>
    </row>
    <row r="31115" spans="1:1" x14ac:dyDescent="0.3">
      <c r="A31115" t="s">
        <v>0</v>
      </c>
    </row>
    <row r="31116" spans="1:1" x14ac:dyDescent="0.3">
      <c r="A31116" t="s">
        <v>0</v>
      </c>
    </row>
    <row r="31117" spans="1:1" x14ac:dyDescent="0.3">
      <c r="A31117" t="s">
        <v>0</v>
      </c>
    </row>
    <row r="31118" spans="1:1" x14ac:dyDescent="0.3">
      <c r="A31118" t="s">
        <v>0</v>
      </c>
    </row>
    <row r="31119" spans="1:1" x14ac:dyDescent="0.3">
      <c r="A31119" t="s">
        <v>0</v>
      </c>
    </row>
    <row r="31120" spans="1:1" x14ac:dyDescent="0.3">
      <c r="A31120" t="s">
        <v>0</v>
      </c>
    </row>
    <row r="31121" spans="1:1" x14ac:dyDescent="0.3">
      <c r="A31121" t="s">
        <v>0</v>
      </c>
    </row>
    <row r="31122" spans="1:1" x14ac:dyDescent="0.3">
      <c r="A31122" t="s">
        <v>0</v>
      </c>
    </row>
    <row r="31123" spans="1:1" x14ac:dyDescent="0.3">
      <c r="A31123" t="s">
        <v>0</v>
      </c>
    </row>
    <row r="31124" spans="1:1" x14ac:dyDescent="0.3">
      <c r="A31124" t="s">
        <v>0</v>
      </c>
    </row>
    <row r="31125" spans="1:1" x14ac:dyDescent="0.3">
      <c r="A31125" t="s">
        <v>0</v>
      </c>
    </row>
    <row r="31126" spans="1:1" x14ac:dyDescent="0.3">
      <c r="A31126" t="s">
        <v>0</v>
      </c>
    </row>
    <row r="31127" spans="1:1" x14ac:dyDescent="0.3">
      <c r="A31127" t="s">
        <v>0</v>
      </c>
    </row>
    <row r="31128" spans="1:1" x14ac:dyDescent="0.3">
      <c r="A31128" t="s">
        <v>0</v>
      </c>
    </row>
    <row r="31129" spans="1:1" x14ac:dyDescent="0.3">
      <c r="A31129" t="s">
        <v>0</v>
      </c>
    </row>
    <row r="31130" spans="1:1" x14ac:dyDescent="0.3">
      <c r="A31130" t="s">
        <v>0</v>
      </c>
    </row>
    <row r="31131" spans="1:1" x14ac:dyDescent="0.3">
      <c r="A31131" t="s">
        <v>0</v>
      </c>
    </row>
    <row r="31132" spans="1:1" x14ac:dyDescent="0.3">
      <c r="A31132" t="s">
        <v>0</v>
      </c>
    </row>
    <row r="31133" spans="1:1" x14ac:dyDescent="0.3">
      <c r="A31133" t="s">
        <v>0</v>
      </c>
    </row>
    <row r="31134" spans="1:1" x14ac:dyDescent="0.3">
      <c r="A31134" t="s">
        <v>0</v>
      </c>
    </row>
    <row r="31135" spans="1:1" x14ac:dyDescent="0.3">
      <c r="A31135" t="s">
        <v>0</v>
      </c>
    </row>
    <row r="31136" spans="1:1" x14ac:dyDescent="0.3">
      <c r="A31136" t="s">
        <v>0</v>
      </c>
    </row>
    <row r="31137" spans="1:1" x14ac:dyDescent="0.3">
      <c r="A31137" t="s">
        <v>0</v>
      </c>
    </row>
    <row r="31138" spans="1:1" x14ac:dyDescent="0.3">
      <c r="A31138" t="s">
        <v>0</v>
      </c>
    </row>
    <row r="31139" spans="1:1" x14ac:dyDescent="0.3">
      <c r="A31139" t="s">
        <v>0</v>
      </c>
    </row>
    <row r="31140" spans="1:1" x14ac:dyDescent="0.3">
      <c r="A31140" t="s">
        <v>0</v>
      </c>
    </row>
    <row r="31141" spans="1:1" x14ac:dyDescent="0.3">
      <c r="A31141" t="s">
        <v>0</v>
      </c>
    </row>
    <row r="31142" spans="1:1" x14ac:dyDescent="0.3">
      <c r="A31142" t="s">
        <v>0</v>
      </c>
    </row>
    <row r="31143" spans="1:1" x14ac:dyDescent="0.3">
      <c r="A31143" t="s">
        <v>0</v>
      </c>
    </row>
    <row r="31144" spans="1:1" x14ac:dyDescent="0.3">
      <c r="A31144" t="s">
        <v>0</v>
      </c>
    </row>
    <row r="31145" spans="1:1" x14ac:dyDescent="0.3">
      <c r="A31145" t="s">
        <v>0</v>
      </c>
    </row>
    <row r="31146" spans="1:1" x14ac:dyDescent="0.3">
      <c r="A31146" t="s">
        <v>0</v>
      </c>
    </row>
    <row r="31147" spans="1:1" x14ac:dyDescent="0.3">
      <c r="A31147" t="s">
        <v>0</v>
      </c>
    </row>
    <row r="31148" spans="1:1" x14ac:dyDescent="0.3">
      <c r="A31148" t="s">
        <v>0</v>
      </c>
    </row>
    <row r="31149" spans="1:1" x14ac:dyDescent="0.3">
      <c r="A31149" t="s">
        <v>0</v>
      </c>
    </row>
    <row r="31150" spans="1:1" x14ac:dyDescent="0.3">
      <c r="A31150" t="s">
        <v>0</v>
      </c>
    </row>
    <row r="31151" spans="1:1" x14ac:dyDescent="0.3">
      <c r="A31151" t="s">
        <v>0</v>
      </c>
    </row>
    <row r="31152" spans="1:1" x14ac:dyDescent="0.3">
      <c r="A31152" t="s">
        <v>0</v>
      </c>
    </row>
    <row r="31153" spans="1:1" x14ac:dyDescent="0.3">
      <c r="A31153" t="s">
        <v>0</v>
      </c>
    </row>
    <row r="31154" spans="1:1" x14ac:dyDescent="0.3">
      <c r="A31154" t="s">
        <v>0</v>
      </c>
    </row>
    <row r="31155" spans="1:1" x14ac:dyDescent="0.3">
      <c r="A31155" t="s">
        <v>0</v>
      </c>
    </row>
    <row r="31156" spans="1:1" x14ac:dyDescent="0.3">
      <c r="A31156" t="s">
        <v>0</v>
      </c>
    </row>
    <row r="31157" spans="1:1" x14ac:dyDescent="0.3">
      <c r="A31157" t="s">
        <v>0</v>
      </c>
    </row>
    <row r="31158" spans="1:1" x14ac:dyDescent="0.3">
      <c r="A31158" t="s">
        <v>0</v>
      </c>
    </row>
    <row r="31159" spans="1:1" x14ac:dyDescent="0.3">
      <c r="A31159" t="s">
        <v>0</v>
      </c>
    </row>
    <row r="31160" spans="1:1" x14ac:dyDescent="0.3">
      <c r="A31160" t="s">
        <v>0</v>
      </c>
    </row>
    <row r="31161" spans="1:1" x14ac:dyDescent="0.3">
      <c r="A31161" t="s">
        <v>0</v>
      </c>
    </row>
    <row r="31162" spans="1:1" x14ac:dyDescent="0.3">
      <c r="A31162" t="s">
        <v>0</v>
      </c>
    </row>
    <row r="31163" spans="1:1" x14ac:dyDescent="0.3">
      <c r="A31163" t="s">
        <v>0</v>
      </c>
    </row>
    <row r="31164" spans="1:1" x14ac:dyDescent="0.3">
      <c r="A31164" t="s">
        <v>0</v>
      </c>
    </row>
    <row r="31165" spans="1:1" x14ac:dyDescent="0.3">
      <c r="A31165" t="s">
        <v>0</v>
      </c>
    </row>
    <row r="31166" spans="1:1" x14ac:dyDescent="0.3">
      <c r="A31166" t="s">
        <v>0</v>
      </c>
    </row>
    <row r="31167" spans="1:1" x14ac:dyDescent="0.3">
      <c r="A31167" t="s">
        <v>0</v>
      </c>
    </row>
    <row r="31168" spans="1:1" x14ac:dyDescent="0.3">
      <c r="A31168" t="s">
        <v>0</v>
      </c>
    </row>
    <row r="31169" spans="1:1" x14ac:dyDescent="0.3">
      <c r="A31169" t="s">
        <v>0</v>
      </c>
    </row>
    <row r="31170" spans="1:1" x14ac:dyDescent="0.3">
      <c r="A31170" t="s">
        <v>0</v>
      </c>
    </row>
    <row r="31171" spans="1:1" x14ac:dyDescent="0.3">
      <c r="A31171" t="s">
        <v>0</v>
      </c>
    </row>
    <row r="31172" spans="1:1" x14ac:dyDescent="0.3">
      <c r="A31172" t="s">
        <v>0</v>
      </c>
    </row>
    <row r="31173" spans="1:1" x14ac:dyDescent="0.3">
      <c r="A31173" t="s">
        <v>0</v>
      </c>
    </row>
    <row r="31174" spans="1:1" x14ac:dyDescent="0.3">
      <c r="A31174" t="s">
        <v>0</v>
      </c>
    </row>
    <row r="31175" spans="1:1" x14ac:dyDescent="0.3">
      <c r="A31175" t="s">
        <v>0</v>
      </c>
    </row>
    <row r="31176" spans="1:1" x14ac:dyDescent="0.3">
      <c r="A31176" t="s">
        <v>0</v>
      </c>
    </row>
    <row r="31177" spans="1:1" x14ac:dyDescent="0.3">
      <c r="A31177" t="s">
        <v>0</v>
      </c>
    </row>
    <row r="31178" spans="1:1" x14ac:dyDescent="0.3">
      <c r="A31178" t="s">
        <v>0</v>
      </c>
    </row>
    <row r="31179" spans="1:1" x14ac:dyDescent="0.3">
      <c r="A31179" t="s">
        <v>0</v>
      </c>
    </row>
    <row r="31180" spans="1:1" x14ac:dyDescent="0.3">
      <c r="A31180" t="s">
        <v>0</v>
      </c>
    </row>
    <row r="31181" spans="1:1" x14ac:dyDescent="0.3">
      <c r="A31181" t="s">
        <v>0</v>
      </c>
    </row>
    <row r="31182" spans="1:1" x14ac:dyDescent="0.3">
      <c r="A31182" t="s">
        <v>0</v>
      </c>
    </row>
    <row r="31183" spans="1:1" x14ac:dyDescent="0.3">
      <c r="A31183" t="s">
        <v>0</v>
      </c>
    </row>
    <row r="31184" spans="1:1" x14ac:dyDescent="0.3">
      <c r="A31184" t="s">
        <v>0</v>
      </c>
    </row>
    <row r="31185" spans="1:1" x14ac:dyDescent="0.3">
      <c r="A31185" t="s">
        <v>0</v>
      </c>
    </row>
    <row r="31186" spans="1:1" x14ac:dyDescent="0.3">
      <c r="A31186" t="s">
        <v>0</v>
      </c>
    </row>
    <row r="31187" spans="1:1" x14ac:dyDescent="0.3">
      <c r="A31187" t="s">
        <v>0</v>
      </c>
    </row>
    <row r="31188" spans="1:1" x14ac:dyDescent="0.3">
      <c r="A31188" t="s">
        <v>0</v>
      </c>
    </row>
    <row r="31189" spans="1:1" x14ac:dyDescent="0.3">
      <c r="A31189" t="s">
        <v>0</v>
      </c>
    </row>
    <row r="31190" spans="1:1" x14ac:dyDescent="0.3">
      <c r="A31190" t="s">
        <v>0</v>
      </c>
    </row>
    <row r="31191" spans="1:1" x14ac:dyDescent="0.3">
      <c r="A31191" t="s">
        <v>0</v>
      </c>
    </row>
    <row r="31192" spans="1:1" x14ac:dyDescent="0.3">
      <c r="A31192" t="s">
        <v>0</v>
      </c>
    </row>
    <row r="31193" spans="1:1" x14ac:dyDescent="0.3">
      <c r="A31193" t="s">
        <v>0</v>
      </c>
    </row>
    <row r="31194" spans="1:1" x14ac:dyDescent="0.3">
      <c r="A31194" t="s">
        <v>0</v>
      </c>
    </row>
    <row r="31195" spans="1:1" x14ac:dyDescent="0.3">
      <c r="A31195" t="s">
        <v>0</v>
      </c>
    </row>
    <row r="31196" spans="1:1" x14ac:dyDescent="0.3">
      <c r="A31196" t="s">
        <v>0</v>
      </c>
    </row>
    <row r="31197" spans="1:1" x14ac:dyDescent="0.3">
      <c r="A31197" t="s">
        <v>0</v>
      </c>
    </row>
    <row r="31198" spans="1:1" x14ac:dyDescent="0.3">
      <c r="A31198" t="s">
        <v>0</v>
      </c>
    </row>
    <row r="31199" spans="1:1" x14ac:dyDescent="0.3">
      <c r="A31199" t="s">
        <v>0</v>
      </c>
    </row>
    <row r="31200" spans="1:1" x14ac:dyDescent="0.3">
      <c r="A31200" t="s">
        <v>0</v>
      </c>
    </row>
    <row r="31201" spans="1:1" x14ac:dyDescent="0.3">
      <c r="A31201" t="s">
        <v>0</v>
      </c>
    </row>
    <row r="31202" spans="1:1" x14ac:dyDescent="0.3">
      <c r="A31202" t="s">
        <v>0</v>
      </c>
    </row>
    <row r="31203" spans="1:1" x14ac:dyDescent="0.3">
      <c r="A31203" t="s">
        <v>0</v>
      </c>
    </row>
    <row r="31204" spans="1:1" x14ac:dyDescent="0.3">
      <c r="A31204" t="s">
        <v>0</v>
      </c>
    </row>
    <row r="31205" spans="1:1" x14ac:dyDescent="0.3">
      <c r="A31205" t="s">
        <v>0</v>
      </c>
    </row>
    <row r="31206" spans="1:1" x14ac:dyDescent="0.3">
      <c r="A31206" t="s">
        <v>0</v>
      </c>
    </row>
    <row r="31207" spans="1:1" x14ac:dyDescent="0.3">
      <c r="A31207" t="s">
        <v>0</v>
      </c>
    </row>
    <row r="31208" spans="1:1" x14ac:dyDescent="0.3">
      <c r="A31208" t="s">
        <v>0</v>
      </c>
    </row>
    <row r="31209" spans="1:1" x14ac:dyDescent="0.3">
      <c r="A31209" t="s">
        <v>0</v>
      </c>
    </row>
    <row r="31210" spans="1:1" x14ac:dyDescent="0.3">
      <c r="A31210" t="s">
        <v>0</v>
      </c>
    </row>
    <row r="31211" spans="1:1" x14ac:dyDescent="0.3">
      <c r="A31211" t="s">
        <v>0</v>
      </c>
    </row>
    <row r="31212" spans="1:1" x14ac:dyDescent="0.3">
      <c r="A31212" t="s">
        <v>0</v>
      </c>
    </row>
    <row r="31213" spans="1:1" x14ac:dyDescent="0.3">
      <c r="A31213" t="s">
        <v>0</v>
      </c>
    </row>
    <row r="31214" spans="1:1" x14ac:dyDescent="0.3">
      <c r="A31214" t="s">
        <v>0</v>
      </c>
    </row>
    <row r="31215" spans="1:1" x14ac:dyDescent="0.3">
      <c r="A31215" t="s">
        <v>0</v>
      </c>
    </row>
    <row r="31216" spans="1:1" x14ac:dyDescent="0.3">
      <c r="A31216" t="s">
        <v>0</v>
      </c>
    </row>
    <row r="31217" spans="1:1" x14ac:dyDescent="0.3">
      <c r="A31217" t="s">
        <v>0</v>
      </c>
    </row>
    <row r="31218" spans="1:1" x14ac:dyDescent="0.3">
      <c r="A31218" t="s">
        <v>0</v>
      </c>
    </row>
    <row r="31219" spans="1:1" x14ac:dyDescent="0.3">
      <c r="A31219" t="s">
        <v>0</v>
      </c>
    </row>
    <row r="31220" spans="1:1" x14ac:dyDescent="0.3">
      <c r="A31220" t="s">
        <v>0</v>
      </c>
    </row>
    <row r="31221" spans="1:1" x14ac:dyDescent="0.3">
      <c r="A31221" t="s">
        <v>0</v>
      </c>
    </row>
    <row r="31222" spans="1:1" x14ac:dyDescent="0.3">
      <c r="A31222" t="s">
        <v>0</v>
      </c>
    </row>
    <row r="31223" spans="1:1" x14ac:dyDescent="0.3">
      <c r="A31223" t="s">
        <v>0</v>
      </c>
    </row>
    <row r="31224" spans="1:1" x14ac:dyDescent="0.3">
      <c r="A31224" t="s">
        <v>0</v>
      </c>
    </row>
    <row r="31225" spans="1:1" x14ac:dyDescent="0.3">
      <c r="A31225" t="s">
        <v>0</v>
      </c>
    </row>
    <row r="31226" spans="1:1" x14ac:dyDescent="0.3">
      <c r="A31226" t="s">
        <v>0</v>
      </c>
    </row>
    <row r="31227" spans="1:1" x14ac:dyDescent="0.3">
      <c r="A31227" t="s">
        <v>0</v>
      </c>
    </row>
    <row r="31228" spans="1:1" x14ac:dyDescent="0.3">
      <c r="A31228" t="s">
        <v>0</v>
      </c>
    </row>
    <row r="31229" spans="1:1" x14ac:dyDescent="0.3">
      <c r="A31229" t="s">
        <v>0</v>
      </c>
    </row>
    <row r="31230" spans="1:1" x14ac:dyDescent="0.3">
      <c r="A31230" t="s">
        <v>0</v>
      </c>
    </row>
    <row r="31231" spans="1:1" x14ac:dyDescent="0.3">
      <c r="A31231" t="s">
        <v>0</v>
      </c>
    </row>
    <row r="31232" spans="1:1" x14ac:dyDescent="0.3">
      <c r="A31232" t="s">
        <v>0</v>
      </c>
    </row>
    <row r="31233" spans="1:1" x14ac:dyDescent="0.3">
      <c r="A31233" t="s">
        <v>0</v>
      </c>
    </row>
    <row r="31234" spans="1:1" x14ac:dyDescent="0.3">
      <c r="A31234" t="s">
        <v>0</v>
      </c>
    </row>
    <row r="31235" spans="1:1" x14ac:dyDescent="0.3">
      <c r="A31235" t="s">
        <v>0</v>
      </c>
    </row>
    <row r="31236" spans="1:1" x14ac:dyDescent="0.3">
      <c r="A31236" t="s">
        <v>0</v>
      </c>
    </row>
    <row r="31237" spans="1:1" x14ac:dyDescent="0.3">
      <c r="A31237" t="s">
        <v>0</v>
      </c>
    </row>
    <row r="31238" spans="1:1" x14ac:dyDescent="0.3">
      <c r="A31238" t="s">
        <v>0</v>
      </c>
    </row>
    <row r="31239" spans="1:1" x14ac:dyDescent="0.3">
      <c r="A31239" t="s">
        <v>0</v>
      </c>
    </row>
    <row r="31240" spans="1:1" x14ac:dyDescent="0.3">
      <c r="A31240" t="s">
        <v>0</v>
      </c>
    </row>
    <row r="31241" spans="1:1" x14ac:dyDescent="0.3">
      <c r="A31241" t="s">
        <v>0</v>
      </c>
    </row>
    <row r="31242" spans="1:1" x14ac:dyDescent="0.3">
      <c r="A31242" t="s">
        <v>0</v>
      </c>
    </row>
    <row r="31243" spans="1:1" x14ac:dyDescent="0.3">
      <c r="A31243" t="s">
        <v>0</v>
      </c>
    </row>
    <row r="31244" spans="1:1" x14ac:dyDescent="0.3">
      <c r="A31244" t="s">
        <v>0</v>
      </c>
    </row>
    <row r="31245" spans="1:1" x14ac:dyDescent="0.3">
      <c r="A31245" t="s">
        <v>0</v>
      </c>
    </row>
    <row r="31246" spans="1:1" x14ac:dyDescent="0.3">
      <c r="A31246" t="s">
        <v>0</v>
      </c>
    </row>
    <row r="31247" spans="1:1" x14ac:dyDescent="0.3">
      <c r="A31247" t="s">
        <v>0</v>
      </c>
    </row>
    <row r="31248" spans="1:1" x14ac:dyDescent="0.3">
      <c r="A31248" t="s">
        <v>0</v>
      </c>
    </row>
    <row r="31249" spans="1:1" x14ac:dyDescent="0.3">
      <c r="A31249" t="s">
        <v>0</v>
      </c>
    </row>
    <row r="31250" spans="1:1" x14ac:dyDescent="0.3">
      <c r="A31250" t="s">
        <v>0</v>
      </c>
    </row>
    <row r="31251" spans="1:1" x14ac:dyDescent="0.3">
      <c r="A31251" t="s">
        <v>0</v>
      </c>
    </row>
    <row r="31252" spans="1:1" x14ac:dyDescent="0.3">
      <c r="A31252" t="s">
        <v>0</v>
      </c>
    </row>
    <row r="31253" spans="1:1" x14ac:dyDescent="0.3">
      <c r="A31253" t="s">
        <v>0</v>
      </c>
    </row>
    <row r="31254" spans="1:1" x14ac:dyDescent="0.3">
      <c r="A31254" t="s">
        <v>0</v>
      </c>
    </row>
    <row r="31255" spans="1:1" x14ac:dyDescent="0.3">
      <c r="A31255" t="s">
        <v>0</v>
      </c>
    </row>
    <row r="31256" spans="1:1" x14ac:dyDescent="0.3">
      <c r="A31256" t="s">
        <v>0</v>
      </c>
    </row>
    <row r="31257" spans="1:1" x14ac:dyDescent="0.3">
      <c r="A31257" t="s">
        <v>0</v>
      </c>
    </row>
    <row r="31258" spans="1:1" x14ac:dyDescent="0.3">
      <c r="A31258" t="s">
        <v>0</v>
      </c>
    </row>
    <row r="31259" spans="1:1" x14ac:dyDescent="0.3">
      <c r="A31259" t="s">
        <v>0</v>
      </c>
    </row>
    <row r="31260" spans="1:1" x14ac:dyDescent="0.3">
      <c r="A31260" t="s">
        <v>0</v>
      </c>
    </row>
    <row r="31261" spans="1:1" x14ac:dyDescent="0.3">
      <c r="A31261" t="s">
        <v>0</v>
      </c>
    </row>
    <row r="31262" spans="1:1" x14ac:dyDescent="0.3">
      <c r="A31262" t="s">
        <v>0</v>
      </c>
    </row>
    <row r="31263" spans="1:1" x14ac:dyDescent="0.3">
      <c r="A31263" t="s">
        <v>0</v>
      </c>
    </row>
    <row r="31264" spans="1:1" x14ac:dyDescent="0.3">
      <c r="A31264" t="s">
        <v>0</v>
      </c>
    </row>
    <row r="31265" spans="1:1" x14ac:dyDescent="0.3">
      <c r="A31265" t="s">
        <v>0</v>
      </c>
    </row>
    <row r="31266" spans="1:1" x14ac:dyDescent="0.3">
      <c r="A31266" t="s">
        <v>0</v>
      </c>
    </row>
    <row r="31267" spans="1:1" x14ac:dyDescent="0.3">
      <c r="A31267" t="s">
        <v>0</v>
      </c>
    </row>
    <row r="31268" spans="1:1" x14ac:dyDescent="0.3">
      <c r="A31268" t="s">
        <v>0</v>
      </c>
    </row>
    <row r="31269" spans="1:1" x14ac:dyDescent="0.3">
      <c r="A31269" t="s">
        <v>0</v>
      </c>
    </row>
    <row r="31270" spans="1:1" x14ac:dyDescent="0.3">
      <c r="A31270" t="s">
        <v>0</v>
      </c>
    </row>
    <row r="31271" spans="1:1" x14ac:dyDescent="0.3">
      <c r="A31271" t="s">
        <v>0</v>
      </c>
    </row>
    <row r="31272" spans="1:1" x14ac:dyDescent="0.3">
      <c r="A31272" t="s">
        <v>0</v>
      </c>
    </row>
    <row r="31273" spans="1:1" x14ac:dyDescent="0.3">
      <c r="A31273" t="s">
        <v>0</v>
      </c>
    </row>
    <row r="31274" spans="1:1" x14ac:dyDescent="0.3">
      <c r="A31274" t="s">
        <v>0</v>
      </c>
    </row>
    <row r="31275" spans="1:1" x14ac:dyDescent="0.3">
      <c r="A31275" t="s">
        <v>0</v>
      </c>
    </row>
    <row r="31276" spans="1:1" x14ac:dyDescent="0.3">
      <c r="A31276" t="s">
        <v>0</v>
      </c>
    </row>
    <row r="31277" spans="1:1" x14ac:dyDescent="0.3">
      <c r="A31277" t="s">
        <v>0</v>
      </c>
    </row>
    <row r="31278" spans="1:1" x14ac:dyDescent="0.3">
      <c r="A31278" t="s">
        <v>0</v>
      </c>
    </row>
    <row r="31279" spans="1:1" x14ac:dyDescent="0.3">
      <c r="A31279" t="s">
        <v>0</v>
      </c>
    </row>
    <row r="31280" spans="1:1" x14ac:dyDescent="0.3">
      <c r="A31280" t="s">
        <v>0</v>
      </c>
    </row>
    <row r="31281" spans="1:1" x14ac:dyDescent="0.3">
      <c r="A31281" t="s">
        <v>0</v>
      </c>
    </row>
    <row r="31282" spans="1:1" x14ac:dyDescent="0.3">
      <c r="A31282" t="s">
        <v>0</v>
      </c>
    </row>
    <row r="31283" spans="1:1" x14ac:dyDescent="0.3">
      <c r="A31283" t="s">
        <v>0</v>
      </c>
    </row>
    <row r="31284" spans="1:1" x14ac:dyDescent="0.3">
      <c r="A31284" t="s">
        <v>0</v>
      </c>
    </row>
    <row r="31285" spans="1:1" x14ac:dyDescent="0.3">
      <c r="A31285" t="s">
        <v>0</v>
      </c>
    </row>
    <row r="31286" spans="1:1" x14ac:dyDescent="0.3">
      <c r="A31286" t="s">
        <v>0</v>
      </c>
    </row>
    <row r="31287" spans="1:1" x14ac:dyDescent="0.3">
      <c r="A31287" t="s">
        <v>0</v>
      </c>
    </row>
    <row r="31288" spans="1:1" x14ac:dyDescent="0.3">
      <c r="A31288" t="s">
        <v>0</v>
      </c>
    </row>
    <row r="31289" spans="1:1" x14ac:dyDescent="0.3">
      <c r="A31289" t="s">
        <v>0</v>
      </c>
    </row>
    <row r="31290" spans="1:1" x14ac:dyDescent="0.3">
      <c r="A31290" t="s">
        <v>0</v>
      </c>
    </row>
    <row r="31291" spans="1:1" x14ac:dyDescent="0.3">
      <c r="A31291" t="s">
        <v>0</v>
      </c>
    </row>
    <row r="31292" spans="1:1" x14ac:dyDescent="0.3">
      <c r="A31292" t="s">
        <v>0</v>
      </c>
    </row>
    <row r="31293" spans="1:1" x14ac:dyDescent="0.3">
      <c r="A31293" t="s">
        <v>0</v>
      </c>
    </row>
    <row r="31294" spans="1:1" x14ac:dyDescent="0.3">
      <c r="A31294" t="s">
        <v>0</v>
      </c>
    </row>
    <row r="31295" spans="1:1" x14ac:dyDescent="0.3">
      <c r="A31295" t="s">
        <v>0</v>
      </c>
    </row>
    <row r="31296" spans="1:1" x14ac:dyDescent="0.3">
      <c r="A31296" t="s">
        <v>0</v>
      </c>
    </row>
    <row r="31297" spans="1:1" x14ac:dyDescent="0.3">
      <c r="A31297" t="s">
        <v>0</v>
      </c>
    </row>
    <row r="31298" spans="1:1" x14ac:dyDescent="0.3">
      <c r="A31298" t="s">
        <v>0</v>
      </c>
    </row>
    <row r="31299" spans="1:1" x14ac:dyDescent="0.3">
      <c r="A31299" t="s">
        <v>0</v>
      </c>
    </row>
    <row r="31300" spans="1:1" x14ac:dyDescent="0.3">
      <c r="A31300" t="s">
        <v>0</v>
      </c>
    </row>
    <row r="31301" spans="1:1" x14ac:dyDescent="0.3">
      <c r="A31301" t="s">
        <v>0</v>
      </c>
    </row>
    <row r="31302" spans="1:1" x14ac:dyDescent="0.3">
      <c r="A31302" t="s">
        <v>0</v>
      </c>
    </row>
    <row r="31303" spans="1:1" x14ac:dyDescent="0.3">
      <c r="A31303" t="s">
        <v>0</v>
      </c>
    </row>
    <row r="31304" spans="1:1" x14ac:dyDescent="0.3">
      <c r="A31304" t="s">
        <v>0</v>
      </c>
    </row>
    <row r="31305" spans="1:1" x14ac:dyDescent="0.3">
      <c r="A31305" t="s">
        <v>0</v>
      </c>
    </row>
    <row r="31306" spans="1:1" x14ac:dyDescent="0.3">
      <c r="A31306" t="s">
        <v>0</v>
      </c>
    </row>
    <row r="31307" spans="1:1" x14ac:dyDescent="0.3">
      <c r="A31307" t="s">
        <v>0</v>
      </c>
    </row>
    <row r="31308" spans="1:1" x14ac:dyDescent="0.3">
      <c r="A31308" t="s">
        <v>0</v>
      </c>
    </row>
    <row r="31309" spans="1:1" x14ac:dyDescent="0.3">
      <c r="A31309" t="s">
        <v>0</v>
      </c>
    </row>
    <row r="31310" spans="1:1" x14ac:dyDescent="0.3">
      <c r="A31310" t="s">
        <v>0</v>
      </c>
    </row>
    <row r="31311" spans="1:1" x14ac:dyDescent="0.3">
      <c r="A31311" t="s">
        <v>0</v>
      </c>
    </row>
    <row r="31312" spans="1:1" x14ac:dyDescent="0.3">
      <c r="A31312" t="s">
        <v>0</v>
      </c>
    </row>
    <row r="31313" spans="1:1" x14ac:dyDescent="0.3">
      <c r="A31313" t="s">
        <v>0</v>
      </c>
    </row>
    <row r="31314" spans="1:1" x14ac:dyDescent="0.3">
      <c r="A31314" t="s">
        <v>0</v>
      </c>
    </row>
    <row r="31315" spans="1:1" x14ac:dyDescent="0.3">
      <c r="A31315" t="s">
        <v>0</v>
      </c>
    </row>
    <row r="31316" spans="1:1" x14ac:dyDescent="0.3">
      <c r="A31316" t="s">
        <v>0</v>
      </c>
    </row>
    <row r="31317" spans="1:1" x14ac:dyDescent="0.3">
      <c r="A31317" t="s">
        <v>0</v>
      </c>
    </row>
    <row r="31318" spans="1:1" x14ac:dyDescent="0.3">
      <c r="A31318" t="s">
        <v>0</v>
      </c>
    </row>
    <row r="31319" spans="1:1" x14ac:dyDescent="0.3">
      <c r="A31319" t="s">
        <v>0</v>
      </c>
    </row>
    <row r="31320" spans="1:1" x14ac:dyDescent="0.3">
      <c r="A31320" t="s">
        <v>0</v>
      </c>
    </row>
    <row r="31321" spans="1:1" x14ac:dyDescent="0.3">
      <c r="A31321" t="s">
        <v>0</v>
      </c>
    </row>
    <row r="31322" spans="1:1" x14ac:dyDescent="0.3">
      <c r="A31322" t="s">
        <v>0</v>
      </c>
    </row>
    <row r="31323" spans="1:1" x14ac:dyDescent="0.3">
      <c r="A31323" t="s">
        <v>0</v>
      </c>
    </row>
    <row r="31324" spans="1:1" x14ac:dyDescent="0.3">
      <c r="A31324" t="s">
        <v>0</v>
      </c>
    </row>
    <row r="31325" spans="1:1" x14ac:dyDescent="0.3">
      <c r="A31325" t="s">
        <v>0</v>
      </c>
    </row>
    <row r="31326" spans="1:1" x14ac:dyDescent="0.3">
      <c r="A31326" t="s">
        <v>0</v>
      </c>
    </row>
    <row r="31327" spans="1:1" x14ac:dyDescent="0.3">
      <c r="A31327" t="s">
        <v>0</v>
      </c>
    </row>
    <row r="31328" spans="1:1" x14ac:dyDescent="0.3">
      <c r="A31328" t="s">
        <v>0</v>
      </c>
    </row>
    <row r="31329" spans="1:1" x14ac:dyDescent="0.3">
      <c r="A31329" t="s">
        <v>0</v>
      </c>
    </row>
    <row r="31330" spans="1:1" x14ac:dyDescent="0.3">
      <c r="A31330" t="s">
        <v>0</v>
      </c>
    </row>
    <row r="31331" spans="1:1" x14ac:dyDescent="0.3">
      <c r="A31331" t="s">
        <v>0</v>
      </c>
    </row>
    <row r="31332" spans="1:1" x14ac:dyDescent="0.3">
      <c r="A31332" t="s">
        <v>0</v>
      </c>
    </row>
    <row r="31333" spans="1:1" x14ac:dyDescent="0.3">
      <c r="A31333" t="s">
        <v>0</v>
      </c>
    </row>
    <row r="31334" spans="1:1" x14ac:dyDescent="0.3">
      <c r="A31334" t="s">
        <v>0</v>
      </c>
    </row>
    <row r="31335" spans="1:1" x14ac:dyDescent="0.3">
      <c r="A31335" t="s">
        <v>0</v>
      </c>
    </row>
    <row r="31336" spans="1:1" x14ac:dyDescent="0.3">
      <c r="A31336" t="s">
        <v>0</v>
      </c>
    </row>
    <row r="31337" spans="1:1" x14ac:dyDescent="0.3">
      <c r="A31337" t="s">
        <v>0</v>
      </c>
    </row>
    <row r="31338" spans="1:1" x14ac:dyDescent="0.3">
      <c r="A31338" t="s">
        <v>0</v>
      </c>
    </row>
    <row r="31339" spans="1:1" x14ac:dyDescent="0.3">
      <c r="A31339" t="s">
        <v>0</v>
      </c>
    </row>
    <row r="31340" spans="1:1" x14ac:dyDescent="0.3">
      <c r="A31340" t="s">
        <v>0</v>
      </c>
    </row>
    <row r="31341" spans="1:1" x14ac:dyDescent="0.3">
      <c r="A31341" t="s">
        <v>0</v>
      </c>
    </row>
    <row r="31342" spans="1:1" x14ac:dyDescent="0.3">
      <c r="A31342" t="s">
        <v>0</v>
      </c>
    </row>
    <row r="31343" spans="1:1" x14ac:dyDescent="0.3">
      <c r="A31343" t="s">
        <v>0</v>
      </c>
    </row>
    <row r="31344" spans="1:1" x14ac:dyDescent="0.3">
      <c r="A31344" t="s">
        <v>0</v>
      </c>
    </row>
    <row r="31345" spans="1:1" x14ac:dyDescent="0.3">
      <c r="A31345" t="s">
        <v>0</v>
      </c>
    </row>
    <row r="31346" spans="1:1" x14ac:dyDescent="0.3">
      <c r="A31346" t="s">
        <v>0</v>
      </c>
    </row>
    <row r="31347" spans="1:1" x14ac:dyDescent="0.3">
      <c r="A31347" t="s">
        <v>0</v>
      </c>
    </row>
    <row r="31348" spans="1:1" x14ac:dyDescent="0.3">
      <c r="A31348" t="s">
        <v>0</v>
      </c>
    </row>
    <row r="31349" spans="1:1" x14ac:dyDescent="0.3">
      <c r="A31349" t="s">
        <v>0</v>
      </c>
    </row>
    <row r="31350" spans="1:1" x14ac:dyDescent="0.3">
      <c r="A31350" t="s">
        <v>0</v>
      </c>
    </row>
    <row r="31351" spans="1:1" x14ac:dyDescent="0.3">
      <c r="A31351" t="s">
        <v>0</v>
      </c>
    </row>
    <row r="31352" spans="1:1" x14ac:dyDescent="0.3">
      <c r="A31352" t="s">
        <v>0</v>
      </c>
    </row>
    <row r="31353" spans="1:1" x14ac:dyDescent="0.3">
      <c r="A31353" t="s">
        <v>0</v>
      </c>
    </row>
    <row r="31354" spans="1:1" x14ac:dyDescent="0.3">
      <c r="A31354" t="s">
        <v>0</v>
      </c>
    </row>
    <row r="31355" spans="1:1" x14ac:dyDescent="0.3">
      <c r="A31355" t="s">
        <v>0</v>
      </c>
    </row>
    <row r="31356" spans="1:1" x14ac:dyDescent="0.3">
      <c r="A31356" t="s">
        <v>0</v>
      </c>
    </row>
    <row r="31357" spans="1:1" x14ac:dyDescent="0.3">
      <c r="A31357" t="s">
        <v>0</v>
      </c>
    </row>
    <row r="31358" spans="1:1" x14ac:dyDescent="0.3">
      <c r="A31358" t="s">
        <v>0</v>
      </c>
    </row>
    <row r="31359" spans="1:1" x14ac:dyDescent="0.3">
      <c r="A31359" t="s">
        <v>0</v>
      </c>
    </row>
    <row r="31360" spans="1:1" x14ac:dyDescent="0.3">
      <c r="A31360" t="s">
        <v>0</v>
      </c>
    </row>
    <row r="31361" spans="1:1" x14ac:dyDescent="0.3">
      <c r="A31361" t="s">
        <v>0</v>
      </c>
    </row>
    <row r="31362" spans="1:1" x14ac:dyDescent="0.3">
      <c r="A31362" t="s">
        <v>0</v>
      </c>
    </row>
    <row r="31363" spans="1:1" x14ac:dyDescent="0.3">
      <c r="A31363" t="s">
        <v>0</v>
      </c>
    </row>
    <row r="31364" spans="1:1" x14ac:dyDescent="0.3">
      <c r="A31364" t="s">
        <v>0</v>
      </c>
    </row>
    <row r="31365" spans="1:1" x14ac:dyDescent="0.3">
      <c r="A31365" t="s">
        <v>0</v>
      </c>
    </row>
    <row r="31366" spans="1:1" x14ac:dyDescent="0.3">
      <c r="A31366" t="s">
        <v>0</v>
      </c>
    </row>
    <row r="31367" spans="1:1" x14ac:dyDescent="0.3">
      <c r="A31367" t="s">
        <v>0</v>
      </c>
    </row>
    <row r="31368" spans="1:1" x14ac:dyDescent="0.3">
      <c r="A31368" t="s">
        <v>0</v>
      </c>
    </row>
    <row r="31369" spans="1:1" x14ac:dyDescent="0.3">
      <c r="A31369" t="s">
        <v>0</v>
      </c>
    </row>
    <row r="31370" spans="1:1" x14ac:dyDescent="0.3">
      <c r="A31370" t="s">
        <v>0</v>
      </c>
    </row>
    <row r="31371" spans="1:1" x14ac:dyDescent="0.3">
      <c r="A31371" t="s">
        <v>0</v>
      </c>
    </row>
    <row r="31372" spans="1:1" x14ac:dyDescent="0.3">
      <c r="A31372" t="s">
        <v>0</v>
      </c>
    </row>
    <row r="31373" spans="1:1" x14ac:dyDescent="0.3">
      <c r="A31373" t="s">
        <v>0</v>
      </c>
    </row>
    <row r="31374" spans="1:1" x14ac:dyDescent="0.3">
      <c r="A31374" t="s">
        <v>0</v>
      </c>
    </row>
    <row r="31375" spans="1:1" x14ac:dyDescent="0.3">
      <c r="A31375" t="s">
        <v>0</v>
      </c>
    </row>
    <row r="31376" spans="1:1" x14ac:dyDescent="0.3">
      <c r="A31376" t="s">
        <v>0</v>
      </c>
    </row>
    <row r="31377" spans="1:1" x14ac:dyDescent="0.3">
      <c r="A31377" t="s">
        <v>0</v>
      </c>
    </row>
    <row r="31378" spans="1:1" x14ac:dyDescent="0.3">
      <c r="A31378" t="s">
        <v>0</v>
      </c>
    </row>
    <row r="31379" spans="1:1" x14ac:dyDescent="0.3">
      <c r="A31379" t="s">
        <v>0</v>
      </c>
    </row>
    <row r="31380" spans="1:1" x14ac:dyDescent="0.3">
      <c r="A31380" t="s">
        <v>0</v>
      </c>
    </row>
    <row r="31381" spans="1:1" x14ac:dyDescent="0.3">
      <c r="A31381" t="s">
        <v>0</v>
      </c>
    </row>
    <row r="31382" spans="1:1" x14ac:dyDescent="0.3">
      <c r="A31382" t="s">
        <v>0</v>
      </c>
    </row>
    <row r="31383" spans="1:1" x14ac:dyDescent="0.3">
      <c r="A31383" t="s">
        <v>0</v>
      </c>
    </row>
    <row r="31384" spans="1:1" x14ac:dyDescent="0.3">
      <c r="A31384" t="s">
        <v>0</v>
      </c>
    </row>
    <row r="31385" spans="1:1" x14ac:dyDescent="0.3">
      <c r="A31385" t="s">
        <v>0</v>
      </c>
    </row>
    <row r="31386" spans="1:1" x14ac:dyDescent="0.3">
      <c r="A31386" t="s">
        <v>0</v>
      </c>
    </row>
    <row r="31387" spans="1:1" x14ac:dyDescent="0.3">
      <c r="A31387" t="s">
        <v>0</v>
      </c>
    </row>
    <row r="31388" spans="1:1" x14ac:dyDescent="0.3">
      <c r="A31388" t="s">
        <v>0</v>
      </c>
    </row>
    <row r="31389" spans="1:1" x14ac:dyDescent="0.3">
      <c r="A31389" t="s">
        <v>0</v>
      </c>
    </row>
    <row r="31390" spans="1:1" x14ac:dyDescent="0.3">
      <c r="A31390" t="s">
        <v>0</v>
      </c>
    </row>
    <row r="31391" spans="1:1" x14ac:dyDescent="0.3">
      <c r="A31391" t="s">
        <v>0</v>
      </c>
    </row>
    <row r="31392" spans="1:1" x14ac:dyDescent="0.3">
      <c r="A31392" t="s">
        <v>0</v>
      </c>
    </row>
    <row r="31393" spans="1:1" x14ac:dyDescent="0.3">
      <c r="A31393" t="s">
        <v>0</v>
      </c>
    </row>
    <row r="31394" spans="1:1" x14ac:dyDescent="0.3">
      <c r="A31394" t="s">
        <v>0</v>
      </c>
    </row>
    <row r="31395" spans="1:1" x14ac:dyDescent="0.3">
      <c r="A31395" t="s">
        <v>0</v>
      </c>
    </row>
    <row r="31396" spans="1:1" x14ac:dyDescent="0.3">
      <c r="A31396" t="s">
        <v>0</v>
      </c>
    </row>
    <row r="31397" spans="1:1" x14ac:dyDescent="0.3">
      <c r="A31397" t="s">
        <v>0</v>
      </c>
    </row>
    <row r="31398" spans="1:1" x14ac:dyDescent="0.3">
      <c r="A31398" t="s">
        <v>0</v>
      </c>
    </row>
    <row r="31399" spans="1:1" x14ac:dyDescent="0.3">
      <c r="A31399" t="s">
        <v>0</v>
      </c>
    </row>
    <row r="31400" spans="1:1" x14ac:dyDescent="0.3">
      <c r="A31400" t="s">
        <v>0</v>
      </c>
    </row>
    <row r="31401" spans="1:1" x14ac:dyDescent="0.3">
      <c r="A31401" t="s">
        <v>0</v>
      </c>
    </row>
    <row r="31402" spans="1:1" x14ac:dyDescent="0.3">
      <c r="A31402" t="s">
        <v>0</v>
      </c>
    </row>
    <row r="31403" spans="1:1" x14ac:dyDescent="0.3">
      <c r="A31403" t="s">
        <v>0</v>
      </c>
    </row>
    <row r="31404" spans="1:1" x14ac:dyDescent="0.3">
      <c r="A31404" t="s">
        <v>0</v>
      </c>
    </row>
    <row r="31405" spans="1:1" x14ac:dyDescent="0.3">
      <c r="A31405" t="s">
        <v>0</v>
      </c>
    </row>
    <row r="31406" spans="1:1" x14ac:dyDescent="0.3">
      <c r="A31406" t="s">
        <v>0</v>
      </c>
    </row>
    <row r="31407" spans="1:1" x14ac:dyDescent="0.3">
      <c r="A31407" t="s">
        <v>0</v>
      </c>
    </row>
    <row r="31408" spans="1:1" x14ac:dyDescent="0.3">
      <c r="A31408" t="s">
        <v>0</v>
      </c>
    </row>
    <row r="31409" spans="1:1" x14ac:dyDescent="0.3">
      <c r="A31409" t="s">
        <v>0</v>
      </c>
    </row>
    <row r="31410" spans="1:1" x14ac:dyDescent="0.3">
      <c r="A31410" t="s">
        <v>0</v>
      </c>
    </row>
    <row r="31411" spans="1:1" x14ac:dyDescent="0.3">
      <c r="A31411" t="s">
        <v>0</v>
      </c>
    </row>
    <row r="31412" spans="1:1" x14ac:dyDescent="0.3">
      <c r="A31412" t="s">
        <v>0</v>
      </c>
    </row>
    <row r="31413" spans="1:1" x14ac:dyDescent="0.3">
      <c r="A31413" t="s">
        <v>0</v>
      </c>
    </row>
    <row r="31414" spans="1:1" x14ac:dyDescent="0.3">
      <c r="A31414" t="s">
        <v>0</v>
      </c>
    </row>
    <row r="31415" spans="1:1" x14ac:dyDescent="0.3">
      <c r="A31415" t="s">
        <v>0</v>
      </c>
    </row>
    <row r="31416" spans="1:1" x14ac:dyDescent="0.3">
      <c r="A31416" t="s">
        <v>0</v>
      </c>
    </row>
    <row r="31417" spans="1:1" x14ac:dyDescent="0.3">
      <c r="A31417" t="s">
        <v>0</v>
      </c>
    </row>
    <row r="31418" spans="1:1" x14ac:dyDescent="0.3">
      <c r="A31418" t="s">
        <v>0</v>
      </c>
    </row>
    <row r="31419" spans="1:1" x14ac:dyDescent="0.3">
      <c r="A31419" t="s">
        <v>0</v>
      </c>
    </row>
    <row r="31420" spans="1:1" x14ac:dyDescent="0.3">
      <c r="A31420" t="s">
        <v>0</v>
      </c>
    </row>
    <row r="31421" spans="1:1" x14ac:dyDescent="0.3">
      <c r="A31421" t="s">
        <v>0</v>
      </c>
    </row>
    <row r="31422" spans="1:1" x14ac:dyDescent="0.3">
      <c r="A31422" t="s">
        <v>0</v>
      </c>
    </row>
    <row r="31423" spans="1:1" x14ac:dyDescent="0.3">
      <c r="A31423" t="s">
        <v>0</v>
      </c>
    </row>
    <row r="31424" spans="1:1" x14ac:dyDescent="0.3">
      <c r="A31424" t="s">
        <v>0</v>
      </c>
    </row>
    <row r="31425" spans="1:1" x14ac:dyDescent="0.3">
      <c r="A31425" t="s">
        <v>0</v>
      </c>
    </row>
    <row r="31426" spans="1:1" x14ac:dyDescent="0.3">
      <c r="A31426" t="s">
        <v>0</v>
      </c>
    </row>
    <row r="31427" spans="1:1" x14ac:dyDescent="0.3">
      <c r="A31427" t="s">
        <v>0</v>
      </c>
    </row>
    <row r="31428" spans="1:1" x14ac:dyDescent="0.3">
      <c r="A31428" t="s">
        <v>0</v>
      </c>
    </row>
    <row r="31429" spans="1:1" x14ac:dyDescent="0.3">
      <c r="A31429" t="s">
        <v>0</v>
      </c>
    </row>
    <row r="31430" spans="1:1" x14ac:dyDescent="0.3">
      <c r="A31430" t="s">
        <v>0</v>
      </c>
    </row>
    <row r="31431" spans="1:1" x14ac:dyDescent="0.3">
      <c r="A31431" t="s">
        <v>0</v>
      </c>
    </row>
    <row r="31432" spans="1:1" x14ac:dyDescent="0.3">
      <c r="A31432" t="s">
        <v>0</v>
      </c>
    </row>
    <row r="31433" spans="1:1" x14ac:dyDescent="0.3">
      <c r="A31433" t="s">
        <v>0</v>
      </c>
    </row>
    <row r="31434" spans="1:1" x14ac:dyDescent="0.3">
      <c r="A31434" t="s">
        <v>0</v>
      </c>
    </row>
    <row r="31435" spans="1:1" x14ac:dyDescent="0.3">
      <c r="A31435" t="s">
        <v>0</v>
      </c>
    </row>
    <row r="31436" spans="1:1" x14ac:dyDescent="0.3">
      <c r="A31436" t="s">
        <v>0</v>
      </c>
    </row>
    <row r="31437" spans="1:1" x14ac:dyDescent="0.3">
      <c r="A31437" t="s">
        <v>0</v>
      </c>
    </row>
    <row r="31438" spans="1:1" x14ac:dyDescent="0.3">
      <c r="A31438" t="s">
        <v>0</v>
      </c>
    </row>
    <row r="31439" spans="1:1" x14ac:dyDescent="0.3">
      <c r="A31439" t="s">
        <v>0</v>
      </c>
    </row>
    <row r="31440" spans="1:1" x14ac:dyDescent="0.3">
      <c r="A31440" t="s">
        <v>0</v>
      </c>
    </row>
    <row r="31441" spans="1:1" x14ac:dyDescent="0.3">
      <c r="A31441" t="s">
        <v>0</v>
      </c>
    </row>
    <row r="31442" spans="1:1" x14ac:dyDescent="0.3">
      <c r="A31442" t="s">
        <v>0</v>
      </c>
    </row>
    <row r="31443" spans="1:1" x14ac:dyDescent="0.3">
      <c r="A31443" t="s">
        <v>0</v>
      </c>
    </row>
    <row r="31444" spans="1:1" x14ac:dyDescent="0.3">
      <c r="A31444" t="s">
        <v>0</v>
      </c>
    </row>
    <row r="31445" spans="1:1" x14ac:dyDescent="0.3">
      <c r="A31445" t="s">
        <v>0</v>
      </c>
    </row>
    <row r="31446" spans="1:1" x14ac:dyDescent="0.3">
      <c r="A31446" t="s">
        <v>0</v>
      </c>
    </row>
    <row r="31447" spans="1:1" x14ac:dyDescent="0.3">
      <c r="A31447" t="s">
        <v>0</v>
      </c>
    </row>
    <row r="31448" spans="1:1" x14ac:dyDescent="0.3">
      <c r="A31448" t="s">
        <v>0</v>
      </c>
    </row>
    <row r="31449" spans="1:1" x14ac:dyDescent="0.3">
      <c r="A31449" t="s">
        <v>0</v>
      </c>
    </row>
    <row r="31450" spans="1:1" x14ac:dyDescent="0.3">
      <c r="A31450" t="s">
        <v>0</v>
      </c>
    </row>
    <row r="31451" spans="1:1" x14ac:dyDescent="0.3">
      <c r="A31451" t="s">
        <v>0</v>
      </c>
    </row>
    <row r="31452" spans="1:1" x14ac:dyDescent="0.3">
      <c r="A31452" t="s">
        <v>0</v>
      </c>
    </row>
    <row r="31453" spans="1:1" x14ac:dyDescent="0.3">
      <c r="A31453" t="s">
        <v>0</v>
      </c>
    </row>
    <row r="31454" spans="1:1" x14ac:dyDescent="0.3">
      <c r="A31454" t="s">
        <v>0</v>
      </c>
    </row>
    <row r="31455" spans="1:1" x14ac:dyDescent="0.3">
      <c r="A31455" t="s">
        <v>0</v>
      </c>
    </row>
    <row r="31456" spans="1:1" x14ac:dyDescent="0.3">
      <c r="A31456" t="s">
        <v>0</v>
      </c>
    </row>
    <row r="31457" spans="1:1" x14ac:dyDescent="0.3">
      <c r="A31457" t="s">
        <v>0</v>
      </c>
    </row>
    <row r="31458" spans="1:1" x14ac:dyDescent="0.3">
      <c r="A31458" t="s">
        <v>0</v>
      </c>
    </row>
    <row r="31459" spans="1:1" x14ac:dyDescent="0.3">
      <c r="A31459" t="s">
        <v>0</v>
      </c>
    </row>
    <row r="31460" spans="1:1" x14ac:dyDescent="0.3">
      <c r="A31460" t="s">
        <v>0</v>
      </c>
    </row>
    <row r="31461" spans="1:1" x14ac:dyDescent="0.3">
      <c r="A31461" t="s">
        <v>0</v>
      </c>
    </row>
    <row r="31462" spans="1:1" x14ac:dyDescent="0.3">
      <c r="A31462" t="s">
        <v>0</v>
      </c>
    </row>
    <row r="31463" spans="1:1" x14ac:dyDescent="0.3">
      <c r="A31463" t="s">
        <v>0</v>
      </c>
    </row>
    <row r="31464" spans="1:1" x14ac:dyDescent="0.3">
      <c r="A31464" t="s">
        <v>0</v>
      </c>
    </row>
    <row r="31465" spans="1:1" x14ac:dyDescent="0.3">
      <c r="A31465" t="s">
        <v>0</v>
      </c>
    </row>
    <row r="31466" spans="1:1" x14ac:dyDescent="0.3">
      <c r="A31466" t="s">
        <v>0</v>
      </c>
    </row>
    <row r="31467" spans="1:1" x14ac:dyDescent="0.3">
      <c r="A31467" t="s">
        <v>0</v>
      </c>
    </row>
    <row r="31468" spans="1:1" x14ac:dyDescent="0.3">
      <c r="A31468" t="s">
        <v>0</v>
      </c>
    </row>
    <row r="31469" spans="1:1" x14ac:dyDescent="0.3">
      <c r="A31469" t="s">
        <v>0</v>
      </c>
    </row>
    <row r="31470" spans="1:1" x14ac:dyDescent="0.3">
      <c r="A31470" t="s">
        <v>0</v>
      </c>
    </row>
    <row r="31471" spans="1:1" x14ac:dyDescent="0.3">
      <c r="A31471" t="s">
        <v>0</v>
      </c>
    </row>
    <row r="31472" spans="1:1" x14ac:dyDescent="0.3">
      <c r="A31472" t="s">
        <v>0</v>
      </c>
    </row>
    <row r="31473" spans="1:1" x14ac:dyDescent="0.3">
      <c r="A31473" t="s">
        <v>0</v>
      </c>
    </row>
    <row r="31474" spans="1:1" x14ac:dyDescent="0.3">
      <c r="A31474" t="s">
        <v>0</v>
      </c>
    </row>
    <row r="31475" spans="1:1" x14ac:dyDescent="0.3">
      <c r="A31475" t="s">
        <v>0</v>
      </c>
    </row>
    <row r="31476" spans="1:1" x14ac:dyDescent="0.3">
      <c r="A31476" t="s">
        <v>0</v>
      </c>
    </row>
    <row r="31477" spans="1:1" x14ac:dyDescent="0.3">
      <c r="A31477" t="s">
        <v>0</v>
      </c>
    </row>
    <row r="31478" spans="1:1" x14ac:dyDescent="0.3">
      <c r="A31478" t="s">
        <v>0</v>
      </c>
    </row>
    <row r="31479" spans="1:1" x14ac:dyDescent="0.3">
      <c r="A31479" t="s">
        <v>0</v>
      </c>
    </row>
    <row r="31480" spans="1:1" x14ac:dyDescent="0.3">
      <c r="A31480" t="s">
        <v>0</v>
      </c>
    </row>
    <row r="31481" spans="1:1" x14ac:dyDescent="0.3">
      <c r="A31481" t="s">
        <v>0</v>
      </c>
    </row>
    <row r="31482" spans="1:1" x14ac:dyDescent="0.3">
      <c r="A31482" t="s">
        <v>0</v>
      </c>
    </row>
    <row r="31483" spans="1:1" x14ac:dyDescent="0.3">
      <c r="A31483" t="s">
        <v>0</v>
      </c>
    </row>
    <row r="31484" spans="1:1" x14ac:dyDescent="0.3">
      <c r="A31484" t="s">
        <v>0</v>
      </c>
    </row>
    <row r="31485" spans="1:1" x14ac:dyDescent="0.3">
      <c r="A31485" t="s">
        <v>0</v>
      </c>
    </row>
    <row r="31486" spans="1:1" x14ac:dyDescent="0.3">
      <c r="A31486" t="s">
        <v>0</v>
      </c>
    </row>
    <row r="31487" spans="1:1" x14ac:dyDescent="0.3">
      <c r="A31487" t="s">
        <v>0</v>
      </c>
    </row>
    <row r="31488" spans="1:1" x14ac:dyDescent="0.3">
      <c r="A31488" t="s">
        <v>0</v>
      </c>
    </row>
    <row r="31489" spans="1:1" x14ac:dyDescent="0.3">
      <c r="A31489" t="s">
        <v>0</v>
      </c>
    </row>
    <row r="31490" spans="1:1" x14ac:dyDescent="0.3">
      <c r="A31490" t="s">
        <v>0</v>
      </c>
    </row>
    <row r="31491" spans="1:1" x14ac:dyDescent="0.3">
      <c r="A31491" t="s">
        <v>0</v>
      </c>
    </row>
    <row r="31492" spans="1:1" x14ac:dyDescent="0.3">
      <c r="A31492" t="s">
        <v>0</v>
      </c>
    </row>
    <row r="31493" spans="1:1" x14ac:dyDescent="0.3">
      <c r="A31493" t="s">
        <v>0</v>
      </c>
    </row>
    <row r="31494" spans="1:1" x14ac:dyDescent="0.3">
      <c r="A31494" t="s">
        <v>0</v>
      </c>
    </row>
    <row r="31495" spans="1:1" x14ac:dyDescent="0.3">
      <c r="A31495" t="s">
        <v>0</v>
      </c>
    </row>
    <row r="31496" spans="1:1" x14ac:dyDescent="0.3">
      <c r="A31496" t="s">
        <v>0</v>
      </c>
    </row>
    <row r="31497" spans="1:1" x14ac:dyDescent="0.3">
      <c r="A31497" t="s">
        <v>0</v>
      </c>
    </row>
    <row r="31498" spans="1:1" x14ac:dyDescent="0.3">
      <c r="A31498" t="s">
        <v>0</v>
      </c>
    </row>
    <row r="31499" spans="1:1" x14ac:dyDescent="0.3">
      <c r="A31499" t="s">
        <v>0</v>
      </c>
    </row>
    <row r="31500" spans="1:1" x14ac:dyDescent="0.3">
      <c r="A31500" t="s">
        <v>0</v>
      </c>
    </row>
    <row r="31501" spans="1:1" x14ac:dyDescent="0.3">
      <c r="A31501" t="s">
        <v>0</v>
      </c>
    </row>
    <row r="31502" spans="1:1" x14ac:dyDescent="0.3">
      <c r="A31502" t="s">
        <v>0</v>
      </c>
    </row>
    <row r="31503" spans="1:1" x14ac:dyDescent="0.3">
      <c r="A31503" t="s">
        <v>0</v>
      </c>
    </row>
    <row r="31504" spans="1:1" x14ac:dyDescent="0.3">
      <c r="A31504" t="s">
        <v>0</v>
      </c>
    </row>
    <row r="31505" spans="1:1" x14ac:dyDescent="0.3">
      <c r="A31505" t="s">
        <v>0</v>
      </c>
    </row>
    <row r="31506" spans="1:1" x14ac:dyDescent="0.3">
      <c r="A31506" t="s">
        <v>0</v>
      </c>
    </row>
    <row r="31507" spans="1:1" x14ac:dyDescent="0.3">
      <c r="A31507" t="s">
        <v>0</v>
      </c>
    </row>
    <row r="31508" spans="1:1" x14ac:dyDescent="0.3">
      <c r="A31508" t="s">
        <v>0</v>
      </c>
    </row>
    <row r="31509" spans="1:1" x14ac:dyDescent="0.3">
      <c r="A31509" t="s">
        <v>0</v>
      </c>
    </row>
    <row r="31510" spans="1:1" x14ac:dyDescent="0.3">
      <c r="A31510" t="s">
        <v>0</v>
      </c>
    </row>
    <row r="31511" spans="1:1" x14ac:dyDescent="0.3">
      <c r="A31511" t="s">
        <v>0</v>
      </c>
    </row>
    <row r="31512" spans="1:1" x14ac:dyDescent="0.3">
      <c r="A31512" t="s">
        <v>0</v>
      </c>
    </row>
    <row r="31513" spans="1:1" x14ac:dyDescent="0.3">
      <c r="A31513" t="s">
        <v>0</v>
      </c>
    </row>
    <row r="31514" spans="1:1" x14ac:dyDescent="0.3">
      <c r="A31514" t="s">
        <v>0</v>
      </c>
    </row>
    <row r="31515" spans="1:1" x14ac:dyDescent="0.3">
      <c r="A31515" t="s">
        <v>0</v>
      </c>
    </row>
    <row r="31516" spans="1:1" x14ac:dyDescent="0.3">
      <c r="A31516" t="s">
        <v>0</v>
      </c>
    </row>
    <row r="31517" spans="1:1" x14ac:dyDescent="0.3">
      <c r="A31517" t="s">
        <v>0</v>
      </c>
    </row>
    <row r="31518" spans="1:1" x14ac:dyDescent="0.3">
      <c r="A31518" t="s">
        <v>0</v>
      </c>
    </row>
    <row r="31519" spans="1:1" x14ac:dyDescent="0.3">
      <c r="A31519" t="s">
        <v>0</v>
      </c>
    </row>
    <row r="31520" spans="1:1" x14ac:dyDescent="0.3">
      <c r="A31520" t="s">
        <v>0</v>
      </c>
    </row>
    <row r="31521" spans="1:1" x14ac:dyDescent="0.3">
      <c r="A31521" t="s">
        <v>0</v>
      </c>
    </row>
    <row r="31522" spans="1:1" x14ac:dyDescent="0.3">
      <c r="A31522" t="s">
        <v>0</v>
      </c>
    </row>
    <row r="31523" spans="1:1" x14ac:dyDescent="0.3">
      <c r="A31523" t="s">
        <v>0</v>
      </c>
    </row>
    <row r="31524" spans="1:1" x14ac:dyDescent="0.3">
      <c r="A31524" t="s">
        <v>0</v>
      </c>
    </row>
    <row r="31525" spans="1:1" x14ac:dyDescent="0.3">
      <c r="A31525" t="s">
        <v>0</v>
      </c>
    </row>
    <row r="31526" spans="1:1" x14ac:dyDescent="0.3">
      <c r="A31526" t="s">
        <v>0</v>
      </c>
    </row>
    <row r="31527" spans="1:1" x14ac:dyDescent="0.3">
      <c r="A31527" t="s">
        <v>0</v>
      </c>
    </row>
    <row r="31528" spans="1:1" x14ac:dyDescent="0.3">
      <c r="A31528" t="s">
        <v>0</v>
      </c>
    </row>
    <row r="31529" spans="1:1" x14ac:dyDescent="0.3">
      <c r="A31529" t="s">
        <v>0</v>
      </c>
    </row>
    <row r="31530" spans="1:1" x14ac:dyDescent="0.3">
      <c r="A31530" t="s">
        <v>0</v>
      </c>
    </row>
    <row r="31531" spans="1:1" x14ac:dyDescent="0.3">
      <c r="A31531" t="s">
        <v>0</v>
      </c>
    </row>
    <row r="31532" spans="1:1" x14ac:dyDescent="0.3">
      <c r="A31532" t="s">
        <v>0</v>
      </c>
    </row>
    <row r="31533" spans="1:1" x14ac:dyDescent="0.3">
      <c r="A31533" t="s">
        <v>0</v>
      </c>
    </row>
    <row r="31534" spans="1:1" x14ac:dyDescent="0.3">
      <c r="A31534" t="s">
        <v>0</v>
      </c>
    </row>
    <row r="31535" spans="1:1" x14ac:dyDescent="0.3">
      <c r="A31535" t="s">
        <v>0</v>
      </c>
    </row>
    <row r="31536" spans="1:1" x14ac:dyDescent="0.3">
      <c r="A31536" t="s">
        <v>0</v>
      </c>
    </row>
    <row r="31537" spans="1:1" x14ac:dyDescent="0.3">
      <c r="A31537" t="s">
        <v>0</v>
      </c>
    </row>
    <row r="31538" spans="1:1" x14ac:dyDescent="0.3">
      <c r="A31538" t="s">
        <v>0</v>
      </c>
    </row>
    <row r="31539" spans="1:1" x14ac:dyDescent="0.3">
      <c r="A31539" t="s">
        <v>0</v>
      </c>
    </row>
    <row r="31540" spans="1:1" x14ac:dyDescent="0.3">
      <c r="A31540" t="s">
        <v>0</v>
      </c>
    </row>
    <row r="31541" spans="1:1" x14ac:dyDescent="0.3">
      <c r="A31541" t="s">
        <v>0</v>
      </c>
    </row>
    <row r="31542" spans="1:1" x14ac:dyDescent="0.3">
      <c r="A31542" t="s">
        <v>0</v>
      </c>
    </row>
    <row r="31543" spans="1:1" x14ac:dyDescent="0.3">
      <c r="A31543" t="s">
        <v>0</v>
      </c>
    </row>
    <row r="31544" spans="1:1" x14ac:dyDescent="0.3">
      <c r="A31544" t="s">
        <v>0</v>
      </c>
    </row>
    <row r="31545" spans="1:1" x14ac:dyDescent="0.3">
      <c r="A31545" t="s">
        <v>0</v>
      </c>
    </row>
    <row r="31546" spans="1:1" x14ac:dyDescent="0.3">
      <c r="A31546" t="s">
        <v>0</v>
      </c>
    </row>
    <row r="31547" spans="1:1" x14ac:dyDescent="0.3">
      <c r="A31547" t="s">
        <v>0</v>
      </c>
    </row>
    <row r="31548" spans="1:1" x14ac:dyDescent="0.3">
      <c r="A31548" t="s">
        <v>0</v>
      </c>
    </row>
    <row r="31549" spans="1:1" x14ac:dyDescent="0.3">
      <c r="A31549" t="s">
        <v>0</v>
      </c>
    </row>
    <row r="31550" spans="1:1" x14ac:dyDescent="0.3">
      <c r="A31550" t="s">
        <v>0</v>
      </c>
    </row>
    <row r="31551" spans="1:1" x14ac:dyDescent="0.3">
      <c r="A31551" t="s">
        <v>0</v>
      </c>
    </row>
    <row r="31552" spans="1:1" x14ac:dyDescent="0.3">
      <c r="A31552" t="s">
        <v>0</v>
      </c>
    </row>
    <row r="31553" spans="1:1" x14ac:dyDescent="0.3">
      <c r="A31553" t="s">
        <v>0</v>
      </c>
    </row>
    <row r="31554" spans="1:1" x14ac:dyDescent="0.3">
      <c r="A31554" t="s">
        <v>0</v>
      </c>
    </row>
    <row r="31555" spans="1:1" x14ac:dyDescent="0.3">
      <c r="A31555" t="s">
        <v>0</v>
      </c>
    </row>
    <row r="31556" spans="1:1" x14ac:dyDescent="0.3">
      <c r="A31556" t="s">
        <v>0</v>
      </c>
    </row>
    <row r="31557" spans="1:1" x14ac:dyDescent="0.3">
      <c r="A31557" t="s">
        <v>0</v>
      </c>
    </row>
    <row r="31558" spans="1:1" x14ac:dyDescent="0.3">
      <c r="A31558" t="s">
        <v>0</v>
      </c>
    </row>
    <row r="31559" spans="1:1" x14ac:dyDescent="0.3">
      <c r="A31559" t="s">
        <v>0</v>
      </c>
    </row>
    <row r="31560" spans="1:1" x14ac:dyDescent="0.3">
      <c r="A31560" t="s">
        <v>0</v>
      </c>
    </row>
    <row r="31561" spans="1:1" x14ac:dyDescent="0.3">
      <c r="A31561" t="s">
        <v>0</v>
      </c>
    </row>
    <row r="31562" spans="1:1" x14ac:dyDescent="0.3">
      <c r="A31562" t="s">
        <v>0</v>
      </c>
    </row>
    <row r="31563" spans="1:1" x14ac:dyDescent="0.3">
      <c r="A31563" t="s">
        <v>0</v>
      </c>
    </row>
    <row r="31564" spans="1:1" x14ac:dyDescent="0.3">
      <c r="A31564" t="s">
        <v>0</v>
      </c>
    </row>
    <row r="31565" spans="1:1" x14ac:dyDescent="0.3">
      <c r="A31565" t="s">
        <v>0</v>
      </c>
    </row>
    <row r="31566" spans="1:1" x14ac:dyDescent="0.3">
      <c r="A31566" t="s">
        <v>0</v>
      </c>
    </row>
    <row r="31567" spans="1:1" x14ac:dyDescent="0.3">
      <c r="A31567" t="s">
        <v>0</v>
      </c>
    </row>
    <row r="31568" spans="1:1" x14ac:dyDescent="0.3">
      <c r="A31568" t="s">
        <v>0</v>
      </c>
    </row>
    <row r="31569" spans="1:1" x14ac:dyDescent="0.3">
      <c r="A31569" t="s">
        <v>0</v>
      </c>
    </row>
    <row r="31570" spans="1:1" x14ac:dyDescent="0.3">
      <c r="A31570" t="s">
        <v>0</v>
      </c>
    </row>
    <row r="31571" spans="1:1" x14ac:dyDescent="0.3">
      <c r="A31571" t="s">
        <v>0</v>
      </c>
    </row>
    <row r="31572" spans="1:1" x14ac:dyDescent="0.3">
      <c r="A31572" t="s">
        <v>0</v>
      </c>
    </row>
    <row r="31573" spans="1:1" x14ac:dyDescent="0.3">
      <c r="A31573" t="s">
        <v>0</v>
      </c>
    </row>
    <row r="31574" spans="1:1" x14ac:dyDescent="0.3">
      <c r="A31574" t="s">
        <v>0</v>
      </c>
    </row>
    <row r="31575" spans="1:1" x14ac:dyDescent="0.3">
      <c r="A31575" t="s">
        <v>0</v>
      </c>
    </row>
    <row r="31576" spans="1:1" x14ac:dyDescent="0.3">
      <c r="A31576" t="s">
        <v>0</v>
      </c>
    </row>
    <row r="31577" spans="1:1" x14ac:dyDescent="0.3">
      <c r="A31577" t="s">
        <v>0</v>
      </c>
    </row>
    <row r="31578" spans="1:1" x14ac:dyDescent="0.3">
      <c r="A31578" t="s">
        <v>0</v>
      </c>
    </row>
    <row r="31579" spans="1:1" x14ac:dyDescent="0.3">
      <c r="A31579" t="s">
        <v>0</v>
      </c>
    </row>
    <row r="31580" spans="1:1" x14ac:dyDescent="0.3">
      <c r="A31580" t="s">
        <v>0</v>
      </c>
    </row>
    <row r="31581" spans="1:1" x14ac:dyDescent="0.3">
      <c r="A31581" t="s">
        <v>0</v>
      </c>
    </row>
    <row r="31582" spans="1:1" x14ac:dyDescent="0.3">
      <c r="A31582" t="s">
        <v>0</v>
      </c>
    </row>
    <row r="31583" spans="1:1" x14ac:dyDescent="0.3">
      <c r="A31583" t="s">
        <v>0</v>
      </c>
    </row>
    <row r="31584" spans="1:1" x14ac:dyDescent="0.3">
      <c r="A31584" t="s">
        <v>0</v>
      </c>
    </row>
    <row r="31585" spans="1:1" x14ac:dyDescent="0.3">
      <c r="A31585" t="s">
        <v>0</v>
      </c>
    </row>
    <row r="31586" spans="1:1" x14ac:dyDescent="0.3">
      <c r="A31586" t="s">
        <v>0</v>
      </c>
    </row>
    <row r="31587" spans="1:1" x14ac:dyDescent="0.3">
      <c r="A31587" t="s">
        <v>0</v>
      </c>
    </row>
    <row r="31588" spans="1:1" x14ac:dyDescent="0.3">
      <c r="A31588" t="s">
        <v>0</v>
      </c>
    </row>
    <row r="31589" spans="1:1" x14ac:dyDescent="0.3">
      <c r="A31589" t="s">
        <v>0</v>
      </c>
    </row>
    <row r="31590" spans="1:1" x14ac:dyDescent="0.3">
      <c r="A31590" t="s">
        <v>0</v>
      </c>
    </row>
    <row r="31591" spans="1:1" x14ac:dyDescent="0.3">
      <c r="A31591" t="s">
        <v>0</v>
      </c>
    </row>
    <row r="31592" spans="1:1" x14ac:dyDescent="0.3">
      <c r="A31592" t="s">
        <v>0</v>
      </c>
    </row>
    <row r="31593" spans="1:1" x14ac:dyDescent="0.3">
      <c r="A31593" t="s">
        <v>0</v>
      </c>
    </row>
    <row r="31594" spans="1:1" x14ac:dyDescent="0.3">
      <c r="A31594" t="s">
        <v>0</v>
      </c>
    </row>
    <row r="31595" spans="1:1" x14ac:dyDescent="0.3">
      <c r="A31595" t="s">
        <v>0</v>
      </c>
    </row>
    <row r="31596" spans="1:1" x14ac:dyDescent="0.3">
      <c r="A31596" t="s">
        <v>0</v>
      </c>
    </row>
    <row r="31597" spans="1:1" x14ac:dyDescent="0.3">
      <c r="A31597" t="s">
        <v>0</v>
      </c>
    </row>
    <row r="31598" spans="1:1" x14ac:dyDescent="0.3">
      <c r="A31598" t="s">
        <v>0</v>
      </c>
    </row>
    <row r="31599" spans="1:1" x14ac:dyDescent="0.3">
      <c r="A31599" t="s">
        <v>0</v>
      </c>
    </row>
    <row r="31600" spans="1:1" x14ac:dyDescent="0.3">
      <c r="A31600" t="s">
        <v>0</v>
      </c>
    </row>
    <row r="31601" spans="1:1" x14ac:dyDescent="0.3">
      <c r="A31601" t="s">
        <v>0</v>
      </c>
    </row>
    <row r="31602" spans="1:1" x14ac:dyDescent="0.3">
      <c r="A31602" t="s">
        <v>0</v>
      </c>
    </row>
    <row r="31603" spans="1:1" x14ac:dyDescent="0.3">
      <c r="A31603" t="s">
        <v>0</v>
      </c>
    </row>
    <row r="31604" spans="1:1" x14ac:dyDescent="0.3">
      <c r="A31604" t="s">
        <v>0</v>
      </c>
    </row>
    <row r="31605" spans="1:1" x14ac:dyDescent="0.3">
      <c r="A31605" t="s">
        <v>0</v>
      </c>
    </row>
    <row r="31606" spans="1:1" x14ac:dyDescent="0.3">
      <c r="A31606" t="s">
        <v>0</v>
      </c>
    </row>
    <row r="31607" spans="1:1" x14ac:dyDescent="0.3">
      <c r="A31607" t="s">
        <v>0</v>
      </c>
    </row>
    <row r="31608" spans="1:1" x14ac:dyDescent="0.3">
      <c r="A31608" t="s">
        <v>0</v>
      </c>
    </row>
    <row r="31609" spans="1:1" x14ac:dyDescent="0.3">
      <c r="A31609" t="s">
        <v>0</v>
      </c>
    </row>
    <row r="31610" spans="1:1" x14ac:dyDescent="0.3">
      <c r="A31610" t="s">
        <v>0</v>
      </c>
    </row>
    <row r="31611" spans="1:1" x14ac:dyDescent="0.3">
      <c r="A31611" t="s">
        <v>0</v>
      </c>
    </row>
    <row r="31612" spans="1:1" x14ac:dyDescent="0.3">
      <c r="A31612" t="s">
        <v>0</v>
      </c>
    </row>
    <row r="31613" spans="1:1" x14ac:dyDescent="0.3">
      <c r="A31613" t="s">
        <v>0</v>
      </c>
    </row>
    <row r="31614" spans="1:1" x14ac:dyDescent="0.3">
      <c r="A31614" t="s">
        <v>0</v>
      </c>
    </row>
    <row r="31615" spans="1:1" x14ac:dyDescent="0.3">
      <c r="A31615" t="s">
        <v>0</v>
      </c>
    </row>
    <row r="31616" spans="1:1" x14ac:dyDescent="0.3">
      <c r="A31616" t="s">
        <v>0</v>
      </c>
    </row>
    <row r="31617" spans="1:1" x14ac:dyDescent="0.3">
      <c r="A31617" t="s">
        <v>0</v>
      </c>
    </row>
    <row r="31618" spans="1:1" x14ac:dyDescent="0.3">
      <c r="A31618" t="s">
        <v>0</v>
      </c>
    </row>
    <row r="31619" spans="1:1" x14ac:dyDescent="0.3">
      <c r="A31619" t="s">
        <v>0</v>
      </c>
    </row>
    <row r="31620" spans="1:1" x14ac:dyDescent="0.3">
      <c r="A31620" t="s">
        <v>0</v>
      </c>
    </row>
    <row r="31621" spans="1:1" x14ac:dyDescent="0.3">
      <c r="A31621" t="s">
        <v>0</v>
      </c>
    </row>
    <row r="31622" spans="1:1" x14ac:dyDescent="0.3">
      <c r="A31622" t="s">
        <v>0</v>
      </c>
    </row>
    <row r="31623" spans="1:1" x14ac:dyDescent="0.3">
      <c r="A31623" t="s">
        <v>0</v>
      </c>
    </row>
    <row r="31624" spans="1:1" x14ac:dyDescent="0.3">
      <c r="A31624" t="s">
        <v>0</v>
      </c>
    </row>
    <row r="31625" spans="1:1" x14ac:dyDescent="0.3">
      <c r="A31625" t="s">
        <v>0</v>
      </c>
    </row>
    <row r="31626" spans="1:1" x14ac:dyDescent="0.3">
      <c r="A31626" t="s">
        <v>0</v>
      </c>
    </row>
    <row r="31627" spans="1:1" x14ac:dyDescent="0.3">
      <c r="A31627" t="s">
        <v>0</v>
      </c>
    </row>
    <row r="31628" spans="1:1" x14ac:dyDescent="0.3">
      <c r="A31628" t="s">
        <v>0</v>
      </c>
    </row>
    <row r="31629" spans="1:1" x14ac:dyDescent="0.3">
      <c r="A31629" t="s">
        <v>0</v>
      </c>
    </row>
    <row r="31630" spans="1:1" x14ac:dyDescent="0.3">
      <c r="A31630" t="s">
        <v>0</v>
      </c>
    </row>
    <row r="31631" spans="1:1" x14ac:dyDescent="0.3">
      <c r="A31631" t="s">
        <v>0</v>
      </c>
    </row>
    <row r="31632" spans="1:1" x14ac:dyDescent="0.3">
      <c r="A31632" t="s">
        <v>0</v>
      </c>
    </row>
    <row r="31633" spans="1:1" x14ac:dyDescent="0.3">
      <c r="A31633" t="s">
        <v>0</v>
      </c>
    </row>
    <row r="31634" spans="1:1" x14ac:dyDescent="0.3">
      <c r="A31634" t="s">
        <v>0</v>
      </c>
    </row>
    <row r="31635" spans="1:1" x14ac:dyDescent="0.3">
      <c r="A31635" t="s">
        <v>0</v>
      </c>
    </row>
    <row r="31636" spans="1:1" x14ac:dyDescent="0.3">
      <c r="A31636" t="s">
        <v>0</v>
      </c>
    </row>
    <row r="31637" spans="1:1" x14ac:dyDescent="0.3">
      <c r="A31637" t="s">
        <v>0</v>
      </c>
    </row>
    <row r="31638" spans="1:1" x14ac:dyDescent="0.3">
      <c r="A31638" t="s">
        <v>0</v>
      </c>
    </row>
    <row r="31639" spans="1:1" x14ac:dyDescent="0.3">
      <c r="A31639" t="s">
        <v>0</v>
      </c>
    </row>
    <row r="31640" spans="1:1" x14ac:dyDescent="0.3">
      <c r="A31640" t="s">
        <v>0</v>
      </c>
    </row>
    <row r="31641" spans="1:1" x14ac:dyDescent="0.3">
      <c r="A31641" t="s">
        <v>0</v>
      </c>
    </row>
    <row r="31642" spans="1:1" x14ac:dyDescent="0.3">
      <c r="A31642" t="s">
        <v>0</v>
      </c>
    </row>
    <row r="31643" spans="1:1" x14ac:dyDescent="0.3">
      <c r="A31643" t="s">
        <v>0</v>
      </c>
    </row>
    <row r="31644" spans="1:1" x14ac:dyDescent="0.3">
      <c r="A31644" t="s">
        <v>0</v>
      </c>
    </row>
    <row r="31645" spans="1:1" x14ac:dyDescent="0.3">
      <c r="A31645" t="s">
        <v>0</v>
      </c>
    </row>
    <row r="31646" spans="1:1" x14ac:dyDescent="0.3">
      <c r="A31646" t="s">
        <v>0</v>
      </c>
    </row>
    <row r="31647" spans="1:1" x14ac:dyDescent="0.3">
      <c r="A31647" t="s">
        <v>0</v>
      </c>
    </row>
    <row r="31648" spans="1:1" x14ac:dyDescent="0.3">
      <c r="A31648" t="s">
        <v>0</v>
      </c>
    </row>
    <row r="31649" spans="1:1" x14ac:dyDescent="0.3">
      <c r="A31649" t="s">
        <v>0</v>
      </c>
    </row>
    <row r="31650" spans="1:1" x14ac:dyDescent="0.3">
      <c r="A31650" t="s">
        <v>0</v>
      </c>
    </row>
    <row r="31651" spans="1:1" x14ac:dyDescent="0.3">
      <c r="A31651" t="s">
        <v>0</v>
      </c>
    </row>
    <row r="31652" spans="1:1" x14ac:dyDescent="0.3">
      <c r="A31652" t="s">
        <v>0</v>
      </c>
    </row>
    <row r="31653" spans="1:1" x14ac:dyDescent="0.3">
      <c r="A31653" t="s">
        <v>0</v>
      </c>
    </row>
    <row r="31654" spans="1:1" x14ac:dyDescent="0.3">
      <c r="A31654" t="s">
        <v>0</v>
      </c>
    </row>
    <row r="31655" spans="1:1" x14ac:dyDescent="0.3">
      <c r="A31655" t="s">
        <v>0</v>
      </c>
    </row>
    <row r="31656" spans="1:1" x14ac:dyDescent="0.3">
      <c r="A31656" t="s">
        <v>0</v>
      </c>
    </row>
    <row r="31657" spans="1:1" x14ac:dyDescent="0.3">
      <c r="A31657" t="s">
        <v>0</v>
      </c>
    </row>
    <row r="31658" spans="1:1" x14ac:dyDescent="0.3">
      <c r="A31658" t="s">
        <v>0</v>
      </c>
    </row>
    <row r="31659" spans="1:1" x14ac:dyDescent="0.3">
      <c r="A31659" t="s">
        <v>0</v>
      </c>
    </row>
    <row r="31660" spans="1:1" x14ac:dyDescent="0.3">
      <c r="A31660" t="s">
        <v>0</v>
      </c>
    </row>
    <row r="31661" spans="1:1" x14ac:dyDescent="0.3">
      <c r="A31661" t="s">
        <v>0</v>
      </c>
    </row>
    <row r="31662" spans="1:1" x14ac:dyDescent="0.3">
      <c r="A31662" t="s">
        <v>0</v>
      </c>
    </row>
    <row r="31663" spans="1:1" x14ac:dyDescent="0.3">
      <c r="A31663" t="s">
        <v>0</v>
      </c>
    </row>
    <row r="31664" spans="1:1" x14ac:dyDescent="0.3">
      <c r="A31664" t="s">
        <v>0</v>
      </c>
    </row>
    <row r="31665" spans="1:1" x14ac:dyDescent="0.3">
      <c r="A31665" t="s">
        <v>0</v>
      </c>
    </row>
    <row r="31666" spans="1:1" x14ac:dyDescent="0.3">
      <c r="A31666" t="s">
        <v>0</v>
      </c>
    </row>
    <row r="31667" spans="1:1" x14ac:dyDescent="0.3">
      <c r="A31667" t="s">
        <v>0</v>
      </c>
    </row>
    <row r="31668" spans="1:1" x14ac:dyDescent="0.3">
      <c r="A31668" t="s">
        <v>0</v>
      </c>
    </row>
    <row r="31669" spans="1:1" x14ac:dyDescent="0.3">
      <c r="A31669" t="s">
        <v>0</v>
      </c>
    </row>
    <row r="31670" spans="1:1" x14ac:dyDescent="0.3">
      <c r="A31670" t="s">
        <v>0</v>
      </c>
    </row>
    <row r="31671" spans="1:1" x14ac:dyDescent="0.3">
      <c r="A31671" t="s">
        <v>0</v>
      </c>
    </row>
    <row r="31672" spans="1:1" x14ac:dyDescent="0.3">
      <c r="A31672" t="s">
        <v>0</v>
      </c>
    </row>
    <row r="31673" spans="1:1" x14ac:dyDescent="0.3">
      <c r="A31673" t="s">
        <v>0</v>
      </c>
    </row>
    <row r="31674" spans="1:1" x14ac:dyDescent="0.3">
      <c r="A31674" t="s">
        <v>0</v>
      </c>
    </row>
    <row r="31675" spans="1:1" x14ac:dyDescent="0.3">
      <c r="A31675" t="s">
        <v>0</v>
      </c>
    </row>
    <row r="31676" spans="1:1" x14ac:dyDescent="0.3">
      <c r="A31676" t="s">
        <v>0</v>
      </c>
    </row>
    <row r="31677" spans="1:1" x14ac:dyDescent="0.3">
      <c r="A31677" t="s">
        <v>0</v>
      </c>
    </row>
    <row r="31678" spans="1:1" x14ac:dyDescent="0.3">
      <c r="A31678" t="s">
        <v>0</v>
      </c>
    </row>
    <row r="31679" spans="1:1" x14ac:dyDescent="0.3">
      <c r="A31679" t="s">
        <v>0</v>
      </c>
    </row>
    <row r="31680" spans="1:1" x14ac:dyDescent="0.3">
      <c r="A31680" t="s">
        <v>0</v>
      </c>
    </row>
    <row r="31681" spans="1:1" x14ac:dyDescent="0.3">
      <c r="A31681" t="s">
        <v>0</v>
      </c>
    </row>
    <row r="31682" spans="1:1" x14ac:dyDescent="0.3">
      <c r="A31682" t="s">
        <v>0</v>
      </c>
    </row>
    <row r="31683" spans="1:1" x14ac:dyDescent="0.3">
      <c r="A31683" t="s">
        <v>0</v>
      </c>
    </row>
    <row r="31684" spans="1:1" x14ac:dyDescent="0.3">
      <c r="A31684" t="s">
        <v>0</v>
      </c>
    </row>
    <row r="31685" spans="1:1" x14ac:dyDescent="0.3">
      <c r="A31685" t="s">
        <v>0</v>
      </c>
    </row>
    <row r="31686" spans="1:1" x14ac:dyDescent="0.3">
      <c r="A31686" t="s">
        <v>0</v>
      </c>
    </row>
    <row r="31687" spans="1:1" x14ac:dyDescent="0.3">
      <c r="A31687" t="s">
        <v>0</v>
      </c>
    </row>
    <row r="31688" spans="1:1" x14ac:dyDescent="0.3">
      <c r="A31688" t="s">
        <v>0</v>
      </c>
    </row>
    <row r="31689" spans="1:1" x14ac:dyDescent="0.3">
      <c r="A31689" t="s">
        <v>0</v>
      </c>
    </row>
    <row r="31690" spans="1:1" x14ac:dyDescent="0.3">
      <c r="A31690" t="s">
        <v>0</v>
      </c>
    </row>
    <row r="31691" spans="1:1" x14ac:dyDescent="0.3">
      <c r="A31691" t="s">
        <v>0</v>
      </c>
    </row>
    <row r="31692" spans="1:1" x14ac:dyDescent="0.3">
      <c r="A31692" t="s">
        <v>0</v>
      </c>
    </row>
    <row r="31693" spans="1:1" x14ac:dyDescent="0.3">
      <c r="A31693" t="s">
        <v>0</v>
      </c>
    </row>
    <row r="31694" spans="1:1" x14ac:dyDescent="0.3">
      <c r="A31694" t="s">
        <v>0</v>
      </c>
    </row>
    <row r="31695" spans="1:1" x14ac:dyDescent="0.3">
      <c r="A31695" t="s">
        <v>0</v>
      </c>
    </row>
    <row r="31696" spans="1:1" x14ac:dyDescent="0.3">
      <c r="A31696" t="s">
        <v>0</v>
      </c>
    </row>
    <row r="31697" spans="1:1" x14ac:dyDescent="0.3">
      <c r="A31697" t="s">
        <v>0</v>
      </c>
    </row>
    <row r="31698" spans="1:1" x14ac:dyDescent="0.3">
      <c r="A31698" t="s">
        <v>0</v>
      </c>
    </row>
    <row r="31699" spans="1:1" x14ac:dyDescent="0.3">
      <c r="A31699" t="s">
        <v>0</v>
      </c>
    </row>
    <row r="31700" spans="1:1" x14ac:dyDescent="0.3">
      <c r="A31700" t="s">
        <v>0</v>
      </c>
    </row>
    <row r="31701" spans="1:1" x14ac:dyDescent="0.3">
      <c r="A31701" t="s">
        <v>0</v>
      </c>
    </row>
    <row r="31702" spans="1:1" x14ac:dyDescent="0.3">
      <c r="A31702" t="s">
        <v>0</v>
      </c>
    </row>
    <row r="31703" spans="1:1" x14ac:dyDescent="0.3">
      <c r="A31703" t="s">
        <v>0</v>
      </c>
    </row>
    <row r="31704" spans="1:1" x14ac:dyDescent="0.3">
      <c r="A31704" t="s">
        <v>0</v>
      </c>
    </row>
    <row r="31705" spans="1:1" x14ac:dyDescent="0.3">
      <c r="A31705" t="s">
        <v>0</v>
      </c>
    </row>
    <row r="31706" spans="1:1" x14ac:dyDescent="0.3">
      <c r="A31706" t="s">
        <v>0</v>
      </c>
    </row>
    <row r="31707" spans="1:1" x14ac:dyDescent="0.3">
      <c r="A31707" t="s">
        <v>0</v>
      </c>
    </row>
    <row r="31708" spans="1:1" x14ac:dyDescent="0.3">
      <c r="A31708" t="s">
        <v>0</v>
      </c>
    </row>
    <row r="31709" spans="1:1" x14ac:dyDescent="0.3">
      <c r="A31709" t="s">
        <v>0</v>
      </c>
    </row>
    <row r="31710" spans="1:1" x14ac:dyDescent="0.3">
      <c r="A31710" t="s">
        <v>0</v>
      </c>
    </row>
    <row r="31711" spans="1:1" x14ac:dyDescent="0.3">
      <c r="A31711" t="s">
        <v>0</v>
      </c>
    </row>
    <row r="31712" spans="1:1" x14ac:dyDescent="0.3">
      <c r="A31712" t="s">
        <v>0</v>
      </c>
    </row>
    <row r="31713" spans="1:1" x14ac:dyDescent="0.3">
      <c r="A31713" t="s">
        <v>0</v>
      </c>
    </row>
    <row r="31714" spans="1:1" x14ac:dyDescent="0.3">
      <c r="A31714" t="s">
        <v>0</v>
      </c>
    </row>
    <row r="31715" spans="1:1" x14ac:dyDescent="0.3">
      <c r="A31715" t="s">
        <v>0</v>
      </c>
    </row>
    <row r="31716" spans="1:1" x14ac:dyDescent="0.3">
      <c r="A31716" t="s">
        <v>0</v>
      </c>
    </row>
    <row r="31717" spans="1:1" x14ac:dyDescent="0.3">
      <c r="A31717" t="s">
        <v>0</v>
      </c>
    </row>
    <row r="31718" spans="1:1" x14ac:dyDescent="0.3">
      <c r="A31718" t="s">
        <v>0</v>
      </c>
    </row>
    <row r="31719" spans="1:1" x14ac:dyDescent="0.3">
      <c r="A31719" t="s">
        <v>0</v>
      </c>
    </row>
    <row r="31720" spans="1:1" x14ac:dyDescent="0.3">
      <c r="A31720" t="s">
        <v>0</v>
      </c>
    </row>
    <row r="31721" spans="1:1" x14ac:dyDescent="0.3">
      <c r="A31721" t="s">
        <v>0</v>
      </c>
    </row>
    <row r="31722" spans="1:1" x14ac:dyDescent="0.3">
      <c r="A31722" t="s">
        <v>0</v>
      </c>
    </row>
    <row r="31723" spans="1:1" x14ac:dyDescent="0.3">
      <c r="A31723" t="s">
        <v>0</v>
      </c>
    </row>
    <row r="31724" spans="1:1" x14ac:dyDescent="0.3">
      <c r="A31724" t="s">
        <v>0</v>
      </c>
    </row>
    <row r="31725" spans="1:1" x14ac:dyDescent="0.3">
      <c r="A31725" t="s">
        <v>0</v>
      </c>
    </row>
    <row r="31726" spans="1:1" x14ac:dyDescent="0.3">
      <c r="A31726" t="s">
        <v>0</v>
      </c>
    </row>
    <row r="31727" spans="1:1" x14ac:dyDescent="0.3">
      <c r="A31727" t="s">
        <v>0</v>
      </c>
    </row>
    <row r="31728" spans="1:1" x14ac:dyDescent="0.3">
      <c r="A31728" t="s">
        <v>0</v>
      </c>
    </row>
    <row r="31729" spans="1:1" x14ac:dyDescent="0.3">
      <c r="A31729" t="s">
        <v>0</v>
      </c>
    </row>
    <row r="31730" spans="1:1" x14ac:dyDescent="0.3">
      <c r="A31730" t="s">
        <v>0</v>
      </c>
    </row>
    <row r="31731" spans="1:1" x14ac:dyDescent="0.3">
      <c r="A31731" t="s">
        <v>0</v>
      </c>
    </row>
    <row r="31732" spans="1:1" x14ac:dyDescent="0.3">
      <c r="A31732" t="s">
        <v>0</v>
      </c>
    </row>
    <row r="31733" spans="1:1" x14ac:dyDescent="0.3">
      <c r="A31733" t="s">
        <v>0</v>
      </c>
    </row>
    <row r="31734" spans="1:1" x14ac:dyDescent="0.3">
      <c r="A31734" t="s">
        <v>0</v>
      </c>
    </row>
    <row r="31735" spans="1:1" x14ac:dyDescent="0.3">
      <c r="A31735" t="s">
        <v>0</v>
      </c>
    </row>
    <row r="31736" spans="1:1" x14ac:dyDescent="0.3">
      <c r="A31736" t="s">
        <v>0</v>
      </c>
    </row>
    <row r="31737" spans="1:1" x14ac:dyDescent="0.3">
      <c r="A31737" t="s">
        <v>0</v>
      </c>
    </row>
    <row r="31738" spans="1:1" x14ac:dyDescent="0.3">
      <c r="A31738" t="s">
        <v>0</v>
      </c>
    </row>
    <row r="31739" spans="1:1" x14ac:dyDescent="0.3">
      <c r="A31739" t="s">
        <v>0</v>
      </c>
    </row>
    <row r="31740" spans="1:1" x14ac:dyDescent="0.3">
      <c r="A31740" t="s">
        <v>0</v>
      </c>
    </row>
    <row r="31741" spans="1:1" x14ac:dyDescent="0.3">
      <c r="A31741" t="s">
        <v>0</v>
      </c>
    </row>
    <row r="31742" spans="1:1" x14ac:dyDescent="0.3">
      <c r="A31742" t="s">
        <v>0</v>
      </c>
    </row>
    <row r="31743" spans="1:1" x14ac:dyDescent="0.3">
      <c r="A31743" t="s">
        <v>0</v>
      </c>
    </row>
    <row r="31744" spans="1:1" x14ac:dyDescent="0.3">
      <c r="A31744" t="s">
        <v>0</v>
      </c>
    </row>
    <row r="31745" spans="1:1" x14ac:dyDescent="0.3">
      <c r="A31745" t="s">
        <v>0</v>
      </c>
    </row>
    <row r="31746" spans="1:1" x14ac:dyDescent="0.3">
      <c r="A31746" t="s">
        <v>0</v>
      </c>
    </row>
    <row r="31747" spans="1:1" x14ac:dyDescent="0.3">
      <c r="A31747" t="s">
        <v>0</v>
      </c>
    </row>
    <row r="31748" spans="1:1" x14ac:dyDescent="0.3">
      <c r="A31748" t="s">
        <v>0</v>
      </c>
    </row>
    <row r="31749" spans="1:1" x14ac:dyDescent="0.3">
      <c r="A31749" t="s">
        <v>0</v>
      </c>
    </row>
    <row r="31750" spans="1:1" x14ac:dyDescent="0.3">
      <c r="A31750" t="s">
        <v>0</v>
      </c>
    </row>
    <row r="31751" spans="1:1" x14ac:dyDescent="0.3">
      <c r="A31751" t="s">
        <v>0</v>
      </c>
    </row>
    <row r="31752" spans="1:1" x14ac:dyDescent="0.3">
      <c r="A31752" t="s">
        <v>0</v>
      </c>
    </row>
    <row r="31753" spans="1:1" x14ac:dyDescent="0.3">
      <c r="A31753" t="s">
        <v>0</v>
      </c>
    </row>
    <row r="31754" spans="1:1" x14ac:dyDescent="0.3">
      <c r="A31754" t="s">
        <v>0</v>
      </c>
    </row>
    <row r="31755" spans="1:1" x14ac:dyDescent="0.3">
      <c r="A31755" t="s">
        <v>0</v>
      </c>
    </row>
    <row r="31756" spans="1:1" x14ac:dyDescent="0.3">
      <c r="A31756" t="s">
        <v>0</v>
      </c>
    </row>
    <row r="31757" spans="1:1" x14ac:dyDescent="0.3">
      <c r="A31757" t="s">
        <v>0</v>
      </c>
    </row>
    <row r="31758" spans="1:1" x14ac:dyDescent="0.3">
      <c r="A31758" t="s">
        <v>0</v>
      </c>
    </row>
    <row r="31759" spans="1:1" x14ac:dyDescent="0.3">
      <c r="A31759" t="s">
        <v>0</v>
      </c>
    </row>
    <row r="31760" spans="1:1" x14ac:dyDescent="0.3">
      <c r="A31760" t="s">
        <v>0</v>
      </c>
    </row>
    <row r="31761" spans="1:1" x14ac:dyDescent="0.3">
      <c r="A31761" t="s">
        <v>0</v>
      </c>
    </row>
    <row r="31762" spans="1:1" x14ac:dyDescent="0.3">
      <c r="A31762" t="s">
        <v>0</v>
      </c>
    </row>
    <row r="31763" spans="1:1" x14ac:dyDescent="0.3">
      <c r="A31763" t="s">
        <v>0</v>
      </c>
    </row>
    <row r="31764" spans="1:1" x14ac:dyDescent="0.3">
      <c r="A31764" t="s">
        <v>0</v>
      </c>
    </row>
    <row r="31765" spans="1:1" x14ac:dyDescent="0.3">
      <c r="A31765" t="s">
        <v>0</v>
      </c>
    </row>
    <row r="31766" spans="1:1" x14ac:dyDescent="0.3">
      <c r="A31766" t="s">
        <v>0</v>
      </c>
    </row>
    <row r="31767" spans="1:1" x14ac:dyDescent="0.3">
      <c r="A31767" t="s">
        <v>0</v>
      </c>
    </row>
    <row r="31768" spans="1:1" x14ac:dyDescent="0.3">
      <c r="A31768" t="s">
        <v>0</v>
      </c>
    </row>
    <row r="31769" spans="1:1" x14ac:dyDescent="0.3">
      <c r="A31769" t="s">
        <v>0</v>
      </c>
    </row>
    <row r="31770" spans="1:1" x14ac:dyDescent="0.3">
      <c r="A31770" t="s">
        <v>0</v>
      </c>
    </row>
    <row r="31771" spans="1:1" x14ac:dyDescent="0.3">
      <c r="A31771" t="s">
        <v>0</v>
      </c>
    </row>
    <row r="31772" spans="1:1" x14ac:dyDescent="0.3">
      <c r="A31772" t="s">
        <v>0</v>
      </c>
    </row>
    <row r="31773" spans="1:1" x14ac:dyDescent="0.3">
      <c r="A31773" t="s">
        <v>0</v>
      </c>
    </row>
    <row r="31774" spans="1:1" x14ac:dyDescent="0.3">
      <c r="A31774" t="s">
        <v>0</v>
      </c>
    </row>
    <row r="31775" spans="1:1" x14ac:dyDescent="0.3">
      <c r="A31775" t="s">
        <v>0</v>
      </c>
    </row>
    <row r="31776" spans="1:1" x14ac:dyDescent="0.3">
      <c r="A31776" t="s">
        <v>0</v>
      </c>
    </row>
    <row r="31777" spans="1:1" x14ac:dyDescent="0.3">
      <c r="A31777" t="s">
        <v>0</v>
      </c>
    </row>
    <row r="31778" spans="1:1" x14ac:dyDescent="0.3">
      <c r="A31778" t="s">
        <v>0</v>
      </c>
    </row>
    <row r="31779" spans="1:1" x14ac:dyDescent="0.3">
      <c r="A31779" t="s">
        <v>0</v>
      </c>
    </row>
    <row r="31780" spans="1:1" x14ac:dyDescent="0.3">
      <c r="A31780" t="s">
        <v>0</v>
      </c>
    </row>
    <row r="31781" spans="1:1" x14ac:dyDescent="0.3">
      <c r="A31781" t="s">
        <v>0</v>
      </c>
    </row>
    <row r="31782" spans="1:1" x14ac:dyDescent="0.3">
      <c r="A31782" t="s">
        <v>0</v>
      </c>
    </row>
    <row r="31783" spans="1:1" x14ac:dyDescent="0.3">
      <c r="A31783" t="s">
        <v>0</v>
      </c>
    </row>
    <row r="31784" spans="1:1" x14ac:dyDescent="0.3">
      <c r="A31784" t="s">
        <v>0</v>
      </c>
    </row>
    <row r="31785" spans="1:1" x14ac:dyDescent="0.3">
      <c r="A31785" t="s">
        <v>0</v>
      </c>
    </row>
    <row r="31786" spans="1:1" x14ac:dyDescent="0.3">
      <c r="A31786" t="s">
        <v>0</v>
      </c>
    </row>
    <row r="31787" spans="1:1" x14ac:dyDescent="0.3">
      <c r="A31787" t="s">
        <v>0</v>
      </c>
    </row>
    <row r="31788" spans="1:1" x14ac:dyDescent="0.3">
      <c r="A31788" t="s">
        <v>0</v>
      </c>
    </row>
    <row r="31789" spans="1:1" x14ac:dyDescent="0.3">
      <c r="A31789" t="s">
        <v>0</v>
      </c>
    </row>
    <row r="31790" spans="1:1" x14ac:dyDescent="0.3">
      <c r="A31790" t="s">
        <v>0</v>
      </c>
    </row>
    <row r="31791" spans="1:1" x14ac:dyDescent="0.3">
      <c r="A31791" t="s">
        <v>0</v>
      </c>
    </row>
    <row r="31792" spans="1:1" x14ac:dyDescent="0.3">
      <c r="A31792" t="s">
        <v>0</v>
      </c>
    </row>
    <row r="31793" spans="1:1" x14ac:dyDescent="0.3">
      <c r="A31793" t="s">
        <v>0</v>
      </c>
    </row>
    <row r="31794" spans="1:1" x14ac:dyDescent="0.3">
      <c r="A31794" t="s">
        <v>0</v>
      </c>
    </row>
    <row r="31795" spans="1:1" x14ac:dyDescent="0.3">
      <c r="A31795" t="s">
        <v>0</v>
      </c>
    </row>
    <row r="31796" spans="1:1" x14ac:dyDescent="0.3">
      <c r="A31796" t="s">
        <v>0</v>
      </c>
    </row>
    <row r="31797" spans="1:1" x14ac:dyDescent="0.3">
      <c r="A31797" t="s">
        <v>0</v>
      </c>
    </row>
    <row r="31798" spans="1:1" x14ac:dyDescent="0.3">
      <c r="A31798" t="s">
        <v>0</v>
      </c>
    </row>
    <row r="31799" spans="1:1" x14ac:dyDescent="0.3">
      <c r="A31799" t="s">
        <v>0</v>
      </c>
    </row>
    <row r="31800" spans="1:1" x14ac:dyDescent="0.3">
      <c r="A31800" t="s">
        <v>0</v>
      </c>
    </row>
    <row r="31801" spans="1:1" x14ac:dyDescent="0.3">
      <c r="A31801" t="s">
        <v>0</v>
      </c>
    </row>
    <row r="31802" spans="1:1" x14ac:dyDescent="0.3">
      <c r="A31802" t="s">
        <v>0</v>
      </c>
    </row>
    <row r="31803" spans="1:1" x14ac:dyDescent="0.3">
      <c r="A31803" t="s">
        <v>0</v>
      </c>
    </row>
    <row r="31804" spans="1:1" x14ac:dyDescent="0.3">
      <c r="A31804" t="s">
        <v>0</v>
      </c>
    </row>
    <row r="31805" spans="1:1" x14ac:dyDescent="0.3">
      <c r="A31805" t="s">
        <v>0</v>
      </c>
    </row>
    <row r="31806" spans="1:1" x14ac:dyDescent="0.3">
      <c r="A31806" t="s">
        <v>0</v>
      </c>
    </row>
    <row r="31807" spans="1:1" x14ac:dyDescent="0.3">
      <c r="A31807" t="s">
        <v>0</v>
      </c>
    </row>
    <row r="31808" spans="1:1" x14ac:dyDescent="0.3">
      <c r="A31808" t="s">
        <v>0</v>
      </c>
    </row>
    <row r="31809" spans="1:1" x14ac:dyDescent="0.3">
      <c r="A31809" t="s">
        <v>0</v>
      </c>
    </row>
    <row r="31810" spans="1:1" x14ac:dyDescent="0.3">
      <c r="A31810" t="s">
        <v>0</v>
      </c>
    </row>
    <row r="31811" spans="1:1" x14ac:dyDescent="0.3">
      <c r="A31811" t="s">
        <v>0</v>
      </c>
    </row>
    <row r="31812" spans="1:1" x14ac:dyDescent="0.3">
      <c r="A31812" t="s">
        <v>0</v>
      </c>
    </row>
    <row r="31813" spans="1:1" x14ac:dyDescent="0.3">
      <c r="A31813" t="s">
        <v>0</v>
      </c>
    </row>
    <row r="31814" spans="1:1" x14ac:dyDescent="0.3">
      <c r="A31814" t="s">
        <v>0</v>
      </c>
    </row>
    <row r="31815" spans="1:1" x14ac:dyDescent="0.3">
      <c r="A31815" t="s">
        <v>0</v>
      </c>
    </row>
    <row r="31816" spans="1:1" x14ac:dyDescent="0.3">
      <c r="A31816" t="s">
        <v>0</v>
      </c>
    </row>
    <row r="31817" spans="1:1" x14ac:dyDescent="0.3">
      <c r="A31817" t="s">
        <v>0</v>
      </c>
    </row>
    <row r="31818" spans="1:1" x14ac:dyDescent="0.3">
      <c r="A31818" t="s">
        <v>0</v>
      </c>
    </row>
    <row r="31819" spans="1:1" x14ac:dyDescent="0.3">
      <c r="A31819" t="s">
        <v>0</v>
      </c>
    </row>
    <row r="31820" spans="1:1" x14ac:dyDescent="0.3">
      <c r="A31820" t="s">
        <v>0</v>
      </c>
    </row>
    <row r="31821" spans="1:1" x14ac:dyDescent="0.3">
      <c r="A31821" t="s">
        <v>0</v>
      </c>
    </row>
    <row r="31822" spans="1:1" x14ac:dyDescent="0.3">
      <c r="A31822" t="s">
        <v>0</v>
      </c>
    </row>
    <row r="31823" spans="1:1" x14ac:dyDescent="0.3">
      <c r="A31823" t="s">
        <v>0</v>
      </c>
    </row>
    <row r="31824" spans="1:1" x14ac:dyDescent="0.3">
      <c r="A31824" t="s">
        <v>0</v>
      </c>
    </row>
    <row r="31825" spans="1:1" x14ac:dyDescent="0.3">
      <c r="A31825" t="s">
        <v>0</v>
      </c>
    </row>
    <row r="31826" spans="1:1" x14ac:dyDescent="0.3">
      <c r="A31826" t="s">
        <v>0</v>
      </c>
    </row>
    <row r="31827" spans="1:1" x14ac:dyDescent="0.3">
      <c r="A31827" t="s">
        <v>0</v>
      </c>
    </row>
    <row r="31828" spans="1:1" x14ac:dyDescent="0.3">
      <c r="A31828" t="s">
        <v>0</v>
      </c>
    </row>
    <row r="31829" spans="1:1" x14ac:dyDescent="0.3">
      <c r="A31829" t="s">
        <v>0</v>
      </c>
    </row>
    <row r="31830" spans="1:1" x14ac:dyDescent="0.3">
      <c r="A31830" t="s">
        <v>0</v>
      </c>
    </row>
    <row r="31831" spans="1:1" x14ac:dyDescent="0.3">
      <c r="A31831" t="s">
        <v>0</v>
      </c>
    </row>
    <row r="31832" spans="1:1" x14ac:dyDescent="0.3">
      <c r="A31832" t="s">
        <v>0</v>
      </c>
    </row>
    <row r="31833" spans="1:1" x14ac:dyDescent="0.3">
      <c r="A31833" t="s">
        <v>0</v>
      </c>
    </row>
    <row r="31834" spans="1:1" x14ac:dyDescent="0.3">
      <c r="A31834" t="s">
        <v>0</v>
      </c>
    </row>
    <row r="31835" spans="1:1" x14ac:dyDescent="0.3">
      <c r="A31835" t="s">
        <v>0</v>
      </c>
    </row>
    <row r="31836" spans="1:1" x14ac:dyDescent="0.3">
      <c r="A31836" t="s">
        <v>0</v>
      </c>
    </row>
    <row r="31837" spans="1:1" x14ac:dyDescent="0.3">
      <c r="A31837" t="s">
        <v>0</v>
      </c>
    </row>
    <row r="31838" spans="1:1" x14ac:dyDescent="0.3">
      <c r="A31838" t="s">
        <v>0</v>
      </c>
    </row>
    <row r="31839" spans="1:1" x14ac:dyDescent="0.3">
      <c r="A31839" t="s">
        <v>0</v>
      </c>
    </row>
    <row r="31840" spans="1:1" x14ac:dyDescent="0.3">
      <c r="A31840" t="s">
        <v>0</v>
      </c>
    </row>
    <row r="31841" spans="1:1" x14ac:dyDescent="0.3">
      <c r="A31841" t="s">
        <v>0</v>
      </c>
    </row>
    <row r="31842" spans="1:1" x14ac:dyDescent="0.3">
      <c r="A31842" t="s">
        <v>0</v>
      </c>
    </row>
    <row r="31843" spans="1:1" x14ac:dyDescent="0.3">
      <c r="A31843" t="s">
        <v>0</v>
      </c>
    </row>
    <row r="31844" spans="1:1" x14ac:dyDescent="0.3">
      <c r="A31844" t="s">
        <v>0</v>
      </c>
    </row>
    <row r="31845" spans="1:1" x14ac:dyDescent="0.3">
      <c r="A31845" t="s">
        <v>0</v>
      </c>
    </row>
    <row r="31846" spans="1:1" x14ac:dyDescent="0.3">
      <c r="A31846" t="s">
        <v>0</v>
      </c>
    </row>
    <row r="31847" spans="1:1" x14ac:dyDescent="0.3">
      <c r="A31847" t="s">
        <v>0</v>
      </c>
    </row>
    <row r="31848" spans="1:1" x14ac:dyDescent="0.3">
      <c r="A31848" t="s">
        <v>0</v>
      </c>
    </row>
    <row r="31849" spans="1:1" x14ac:dyDescent="0.3">
      <c r="A31849" t="s">
        <v>0</v>
      </c>
    </row>
    <row r="31850" spans="1:1" x14ac:dyDescent="0.3">
      <c r="A31850" t="s">
        <v>0</v>
      </c>
    </row>
    <row r="31851" spans="1:1" x14ac:dyDescent="0.3">
      <c r="A31851" t="s">
        <v>0</v>
      </c>
    </row>
    <row r="31852" spans="1:1" x14ac:dyDescent="0.3">
      <c r="A31852" t="s">
        <v>0</v>
      </c>
    </row>
    <row r="31853" spans="1:1" x14ac:dyDescent="0.3">
      <c r="A31853" t="s">
        <v>0</v>
      </c>
    </row>
    <row r="31854" spans="1:1" x14ac:dyDescent="0.3">
      <c r="A31854" t="s">
        <v>0</v>
      </c>
    </row>
    <row r="31855" spans="1:1" x14ac:dyDescent="0.3">
      <c r="A31855" t="s">
        <v>0</v>
      </c>
    </row>
    <row r="31856" spans="1:1" x14ac:dyDescent="0.3">
      <c r="A31856" t="s">
        <v>0</v>
      </c>
    </row>
    <row r="31857" spans="1:1" x14ac:dyDescent="0.3">
      <c r="A31857" t="s">
        <v>0</v>
      </c>
    </row>
    <row r="31858" spans="1:1" x14ac:dyDescent="0.3">
      <c r="A31858" t="s">
        <v>0</v>
      </c>
    </row>
    <row r="31859" spans="1:1" x14ac:dyDescent="0.3">
      <c r="A31859" t="s">
        <v>0</v>
      </c>
    </row>
    <row r="31860" spans="1:1" x14ac:dyDescent="0.3">
      <c r="A31860" t="s">
        <v>0</v>
      </c>
    </row>
    <row r="31861" spans="1:1" x14ac:dyDescent="0.3">
      <c r="A31861" t="s">
        <v>0</v>
      </c>
    </row>
    <row r="31862" spans="1:1" x14ac:dyDescent="0.3">
      <c r="A31862" t="s">
        <v>0</v>
      </c>
    </row>
    <row r="31863" spans="1:1" x14ac:dyDescent="0.3">
      <c r="A31863" t="s">
        <v>0</v>
      </c>
    </row>
    <row r="31864" spans="1:1" x14ac:dyDescent="0.3">
      <c r="A31864" t="s">
        <v>0</v>
      </c>
    </row>
    <row r="31865" spans="1:1" x14ac:dyDescent="0.3">
      <c r="A31865" t="s">
        <v>0</v>
      </c>
    </row>
    <row r="31866" spans="1:1" x14ac:dyDescent="0.3">
      <c r="A31866" t="s">
        <v>0</v>
      </c>
    </row>
    <row r="31867" spans="1:1" x14ac:dyDescent="0.3">
      <c r="A31867" t="s">
        <v>0</v>
      </c>
    </row>
    <row r="31868" spans="1:1" x14ac:dyDescent="0.3">
      <c r="A31868" t="s">
        <v>0</v>
      </c>
    </row>
    <row r="31869" spans="1:1" x14ac:dyDescent="0.3">
      <c r="A31869" t="s">
        <v>0</v>
      </c>
    </row>
    <row r="31870" spans="1:1" x14ac:dyDescent="0.3">
      <c r="A31870" t="s">
        <v>0</v>
      </c>
    </row>
    <row r="31871" spans="1:1" x14ac:dyDescent="0.3">
      <c r="A31871" t="s">
        <v>0</v>
      </c>
    </row>
    <row r="31872" spans="1:1" x14ac:dyDescent="0.3">
      <c r="A31872" t="s">
        <v>0</v>
      </c>
    </row>
    <row r="31873" spans="1:1" x14ac:dyDescent="0.3">
      <c r="A31873" t="s">
        <v>0</v>
      </c>
    </row>
    <row r="31874" spans="1:1" x14ac:dyDescent="0.3">
      <c r="A31874" t="s">
        <v>0</v>
      </c>
    </row>
    <row r="31875" spans="1:1" x14ac:dyDescent="0.3">
      <c r="A31875" t="s">
        <v>0</v>
      </c>
    </row>
    <row r="31876" spans="1:1" x14ac:dyDescent="0.3">
      <c r="A31876" t="s">
        <v>0</v>
      </c>
    </row>
    <row r="31877" spans="1:1" x14ac:dyDescent="0.3">
      <c r="A31877" t="s">
        <v>0</v>
      </c>
    </row>
    <row r="31878" spans="1:1" x14ac:dyDescent="0.3">
      <c r="A31878" t="s">
        <v>0</v>
      </c>
    </row>
    <row r="31879" spans="1:1" x14ac:dyDescent="0.3">
      <c r="A31879" t="s">
        <v>0</v>
      </c>
    </row>
    <row r="31880" spans="1:1" x14ac:dyDescent="0.3">
      <c r="A31880" t="s">
        <v>0</v>
      </c>
    </row>
    <row r="31881" spans="1:1" x14ac:dyDescent="0.3">
      <c r="A31881" t="s">
        <v>0</v>
      </c>
    </row>
    <row r="31882" spans="1:1" x14ac:dyDescent="0.3">
      <c r="A31882" t="s">
        <v>0</v>
      </c>
    </row>
    <row r="31883" spans="1:1" x14ac:dyDescent="0.3">
      <c r="A31883" t="s">
        <v>0</v>
      </c>
    </row>
    <row r="31884" spans="1:1" x14ac:dyDescent="0.3">
      <c r="A31884" t="s">
        <v>0</v>
      </c>
    </row>
    <row r="31885" spans="1:1" x14ac:dyDescent="0.3">
      <c r="A31885" t="s">
        <v>0</v>
      </c>
    </row>
    <row r="31886" spans="1:1" x14ac:dyDescent="0.3">
      <c r="A31886" t="s">
        <v>0</v>
      </c>
    </row>
    <row r="31887" spans="1:1" x14ac:dyDescent="0.3">
      <c r="A31887" t="s">
        <v>0</v>
      </c>
    </row>
    <row r="31888" spans="1:1" x14ac:dyDescent="0.3">
      <c r="A31888" t="s">
        <v>0</v>
      </c>
    </row>
    <row r="31889" spans="1:1" x14ac:dyDescent="0.3">
      <c r="A31889" t="s">
        <v>0</v>
      </c>
    </row>
    <row r="31890" spans="1:1" x14ac:dyDescent="0.3">
      <c r="A31890" t="s">
        <v>0</v>
      </c>
    </row>
    <row r="31891" spans="1:1" x14ac:dyDescent="0.3">
      <c r="A31891" t="s">
        <v>0</v>
      </c>
    </row>
    <row r="31892" spans="1:1" x14ac:dyDescent="0.3">
      <c r="A31892" t="s">
        <v>0</v>
      </c>
    </row>
    <row r="31893" spans="1:1" x14ac:dyDescent="0.3">
      <c r="A31893" t="s">
        <v>0</v>
      </c>
    </row>
    <row r="31894" spans="1:1" x14ac:dyDescent="0.3">
      <c r="A31894" t="s">
        <v>0</v>
      </c>
    </row>
    <row r="31895" spans="1:1" x14ac:dyDescent="0.3">
      <c r="A31895" t="s">
        <v>0</v>
      </c>
    </row>
    <row r="31896" spans="1:1" x14ac:dyDescent="0.3">
      <c r="A31896" t="s">
        <v>0</v>
      </c>
    </row>
    <row r="31897" spans="1:1" x14ac:dyDescent="0.3">
      <c r="A31897" t="s">
        <v>0</v>
      </c>
    </row>
    <row r="31898" spans="1:1" x14ac:dyDescent="0.3">
      <c r="A31898" t="s">
        <v>0</v>
      </c>
    </row>
    <row r="31899" spans="1:1" x14ac:dyDescent="0.3">
      <c r="A31899" t="s">
        <v>0</v>
      </c>
    </row>
    <row r="31900" spans="1:1" x14ac:dyDescent="0.3">
      <c r="A31900" t="s">
        <v>0</v>
      </c>
    </row>
    <row r="31901" spans="1:1" x14ac:dyDescent="0.3">
      <c r="A31901" t="s">
        <v>0</v>
      </c>
    </row>
    <row r="31902" spans="1:1" x14ac:dyDescent="0.3">
      <c r="A31902" t="s">
        <v>0</v>
      </c>
    </row>
    <row r="31903" spans="1:1" x14ac:dyDescent="0.3">
      <c r="A31903" t="s">
        <v>0</v>
      </c>
    </row>
    <row r="31904" spans="1:1" x14ac:dyDescent="0.3">
      <c r="A31904" t="s">
        <v>0</v>
      </c>
    </row>
    <row r="31905" spans="1:1" x14ac:dyDescent="0.3">
      <c r="A31905" t="s">
        <v>0</v>
      </c>
    </row>
    <row r="31906" spans="1:1" x14ac:dyDescent="0.3">
      <c r="A31906" t="s">
        <v>0</v>
      </c>
    </row>
    <row r="31907" spans="1:1" x14ac:dyDescent="0.3">
      <c r="A31907" t="s">
        <v>0</v>
      </c>
    </row>
    <row r="31908" spans="1:1" x14ac:dyDescent="0.3">
      <c r="A31908" t="s">
        <v>0</v>
      </c>
    </row>
    <row r="31909" spans="1:1" x14ac:dyDescent="0.3">
      <c r="A31909" t="s">
        <v>0</v>
      </c>
    </row>
    <row r="31910" spans="1:1" x14ac:dyDescent="0.3">
      <c r="A31910" t="s">
        <v>0</v>
      </c>
    </row>
    <row r="31911" spans="1:1" x14ac:dyDescent="0.3">
      <c r="A31911" t="s">
        <v>0</v>
      </c>
    </row>
    <row r="31912" spans="1:1" x14ac:dyDescent="0.3">
      <c r="A31912" t="s">
        <v>0</v>
      </c>
    </row>
    <row r="31913" spans="1:1" x14ac:dyDescent="0.3">
      <c r="A31913" t="s">
        <v>0</v>
      </c>
    </row>
    <row r="31914" spans="1:1" x14ac:dyDescent="0.3">
      <c r="A31914" t="s">
        <v>0</v>
      </c>
    </row>
    <row r="31915" spans="1:1" x14ac:dyDescent="0.3">
      <c r="A31915" t="s">
        <v>0</v>
      </c>
    </row>
    <row r="31916" spans="1:1" x14ac:dyDescent="0.3">
      <c r="A31916" t="s">
        <v>0</v>
      </c>
    </row>
    <row r="31917" spans="1:1" x14ac:dyDescent="0.3">
      <c r="A31917" t="s">
        <v>0</v>
      </c>
    </row>
    <row r="31918" spans="1:1" x14ac:dyDescent="0.3">
      <c r="A31918" t="s">
        <v>0</v>
      </c>
    </row>
    <row r="31919" spans="1:1" x14ac:dyDescent="0.3">
      <c r="A31919" t="s">
        <v>0</v>
      </c>
    </row>
    <row r="31920" spans="1:1" x14ac:dyDescent="0.3">
      <c r="A31920" t="s">
        <v>0</v>
      </c>
    </row>
    <row r="31921" spans="1:1" x14ac:dyDescent="0.3">
      <c r="A31921" t="s">
        <v>0</v>
      </c>
    </row>
    <row r="31922" spans="1:1" x14ac:dyDescent="0.3">
      <c r="A31922" t="s">
        <v>0</v>
      </c>
    </row>
    <row r="31923" spans="1:1" x14ac:dyDescent="0.3">
      <c r="A31923" t="s">
        <v>0</v>
      </c>
    </row>
    <row r="31924" spans="1:1" x14ac:dyDescent="0.3">
      <c r="A31924" t="s">
        <v>0</v>
      </c>
    </row>
    <row r="31925" spans="1:1" x14ac:dyDescent="0.3">
      <c r="A31925" t="s">
        <v>0</v>
      </c>
    </row>
    <row r="31926" spans="1:1" x14ac:dyDescent="0.3">
      <c r="A31926" t="s">
        <v>0</v>
      </c>
    </row>
    <row r="31927" spans="1:1" x14ac:dyDescent="0.3">
      <c r="A31927" t="s">
        <v>0</v>
      </c>
    </row>
    <row r="31928" spans="1:1" x14ac:dyDescent="0.3">
      <c r="A31928" t="s">
        <v>0</v>
      </c>
    </row>
    <row r="31929" spans="1:1" x14ac:dyDescent="0.3">
      <c r="A31929" t="s">
        <v>0</v>
      </c>
    </row>
    <row r="31930" spans="1:1" x14ac:dyDescent="0.3">
      <c r="A31930" t="s">
        <v>0</v>
      </c>
    </row>
    <row r="31931" spans="1:1" x14ac:dyDescent="0.3">
      <c r="A31931" t="s">
        <v>0</v>
      </c>
    </row>
    <row r="31932" spans="1:1" x14ac:dyDescent="0.3">
      <c r="A31932" t="s">
        <v>0</v>
      </c>
    </row>
    <row r="31933" spans="1:1" x14ac:dyDescent="0.3">
      <c r="A31933" t="s">
        <v>0</v>
      </c>
    </row>
    <row r="31934" spans="1:1" x14ac:dyDescent="0.3">
      <c r="A31934" t="s">
        <v>0</v>
      </c>
    </row>
    <row r="31935" spans="1:1" x14ac:dyDescent="0.3">
      <c r="A31935" t="s">
        <v>0</v>
      </c>
    </row>
    <row r="31936" spans="1:1" x14ac:dyDescent="0.3">
      <c r="A31936" t="s">
        <v>0</v>
      </c>
    </row>
    <row r="31937" spans="1:1" x14ac:dyDescent="0.3">
      <c r="A31937" t="s">
        <v>0</v>
      </c>
    </row>
    <row r="31938" spans="1:1" x14ac:dyDescent="0.3">
      <c r="A31938" t="s">
        <v>0</v>
      </c>
    </row>
    <row r="31939" spans="1:1" x14ac:dyDescent="0.3">
      <c r="A31939" t="s">
        <v>0</v>
      </c>
    </row>
    <row r="31940" spans="1:1" x14ac:dyDescent="0.3">
      <c r="A31940" t="s">
        <v>0</v>
      </c>
    </row>
    <row r="31941" spans="1:1" x14ac:dyDescent="0.3">
      <c r="A31941" t="s">
        <v>0</v>
      </c>
    </row>
    <row r="31942" spans="1:1" x14ac:dyDescent="0.3">
      <c r="A31942" t="s">
        <v>0</v>
      </c>
    </row>
    <row r="31943" spans="1:1" x14ac:dyDescent="0.3">
      <c r="A31943" t="s">
        <v>0</v>
      </c>
    </row>
    <row r="31944" spans="1:1" x14ac:dyDescent="0.3">
      <c r="A31944" t="s">
        <v>0</v>
      </c>
    </row>
    <row r="31945" spans="1:1" x14ac:dyDescent="0.3">
      <c r="A31945" t="s">
        <v>0</v>
      </c>
    </row>
    <row r="31946" spans="1:1" x14ac:dyDescent="0.3">
      <c r="A31946" t="s">
        <v>0</v>
      </c>
    </row>
    <row r="31947" spans="1:1" x14ac:dyDescent="0.3">
      <c r="A31947" t="s">
        <v>0</v>
      </c>
    </row>
    <row r="31948" spans="1:1" x14ac:dyDescent="0.3">
      <c r="A31948" t="s">
        <v>0</v>
      </c>
    </row>
    <row r="31949" spans="1:1" x14ac:dyDescent="0.3">
      <c r="A31949" t="s">
        <v>0</v>
      </c>
    </row>
    <row r="31950" spans="1:1" x14ac:dyDescent="0.3">
      <c r="A31950" t="s">
        <v>0</v>
      </c>
    </row>
    <row r="31951" spans="1:1" x14ac:dyDescent="0.3">
      <c r="A31951" t="s">
        <v>0</v>
      </c>
    </row>
    <row r="31952" spans="1:1" x14ac:dyDescent="0.3">
      <c r="A31952" t="s">
        <v>0</v>
      </c>
    </row>
    <row r="31953" spans="1:1" x14ac:dyDescent="0.3">
      <c r="A31953" t="s">
        <v>0</v>
      </c>
    </row>
    <row r="31954" spans="1:1" x14ac:dyDescent="0.3">
      <c r="A31954" t="s">
        <v>0</v>
      </c>
    </row>
    <row r="31955" spans="1:1" x14ac:dyDescent="0.3">
      <c r="A31955" t="s">
        <v>0</v>
      </c>
    </row>
    <row r="31956" spans="1:1" x14ac:dyDescent="0.3">
      <c r="A31956" t="s">
        <v>0</v>
      </c>
    </row>
    <row r="31957" spans="1:1" x14ac:dyDescent="0.3">
      <c r="A31957" t="s">
        <v>0</v>
      </c>
    </row>
    <row r="31958" spans="1:1" x14ac:dyDescent="0.3">
      <c r="A31958" t="s">
        <v>0</v>
      </c>
    </row>
    <row r="31959" spans="1:1" x14ac:dyDescent="0.3">
      <c r="A31959" t="s">
        <v>0</v>
      </c>
    </row>
    <row r="31960" spans="1:1" x14ac:dyDescent="0.3">
      <c r="A31960" t="s">
        <v>0</v>
      </c>
    </row>
    <row r="31961" spans="1:1" x14ac:dyDescent="0.3">
      <c r="A31961" t="s">
        <v>0</v>
      </c>
    </row>
    <row r="31962" spans="1:1" x14ac:dyDescent="0.3">
      <c r="A31962" t="s">
        <v>0</v>
      </c>
    </row>
    <row r="31963" spans="1:1" x14ac:dyDescent="0.3">
      <c r="A31963" t="s">
        <v>0</v>
      </c>
    </row>
    <row r="31964" spans="1:1" x14ac:dyDescent="0.3">
      <c r="A31964" t="s">
        <v>0</v>
      </c>
    </row>
    <row r="31965" spans="1:1" x14ac:dyDescent="0.3">
      <c r="A31965" t="s">
        <v>0</v>
      </c>
    </row>
    <row r="31966" spans="1:1" x14ac:dyDescent="0.3">
      <c r="A31966" t="s">
        <v>0</v>
      </c>
    </row>
    <row r="31967" spans="1:1" x14ac:dyDescent="0.3">
      <c r="A31967" t="s">
        <v>0</v>
      </c>
    </row>
    <row r="31968" spans="1:1" x14ac:dyDescent="0.3">
      <c r="A31968" t="s">
        <v>0</v>
      </c>
    </row>
    <row r="31969" spans="1:1" x14ac:dyDescent="0.3">
      <c r="A31969" t="s">
        <v>0</v>
      </c>
    </row>
    <row r="31970" spans="1:1" x14ac:dyDescent="0.3">
      <c r="A31970" t="s">
        <v>0</v>
      </c>
    </row>
    <row r="31971" spans="1:1" x14ac:dyDescent="0.3">
      <c r="A31971" t="s">
        <v>0</v>
      </c>
    </row>
    <row r="31972" spans="1:1" x14ac:dyDescent="0.3">
      <c r="A31972" t="s">
        <v>0</v>
      </c>
    </row>
    <row r="31973" spans="1:1" x14ac:dyDescent="0.3">
      <c r="A31973" t="s">
        <v>0</v>
      </c>
    </row>
    <row r="31974" spans="1:1" x14ac:dyDescent="0.3">
      <c r="A31974" t="s">
        <v>0</v>
      </c>
    </row>
    <row r="31975" spans="1:1" x14ac:dyDescent="0.3">
      <c r="A31975" t="s">
        <v>0</v>
      </c>
    </row>
    <row r="31976" spans="1:1" x14ac:dyDescent="0.3">
      <c r="A31976" t="s">
        <v>0</v>
      </c>
    </row>
    <row r="31977" spans="1:1" x14ac:dyDescent="0.3">
      <c r="A31977" t="s">
        <v>0</v>
      </c>
    </row>
    <row r="31978" spans="1:1" x14ac:dyDescent="0.3">
      <c r="A31978" t="s">
        <v>0</v>
      </c>
    </row>
    <row r="31979" spans="1:1" x14ac:dyDescent="0.3">
      <c r="A31979" t="s">
        <v>0</v>
      </c>
    </row>
    <row r="31980" spans="1:1" x14ac:dyDescent="0.3">
      <c r="A31980" t="s">
        <v>0</v>
      </c>
    </row>
    <row r="31981" spans="1:1" x14ac:dyDescent="0.3">
      <c r="A31981" t="s">
        <v>0</v>
      </c>
    </row>
    <row r="31982" spans="1:1" x14ac:dyDescent="0.3">
      <c r="A31982" t="s">
        <v>0</v>
      </c>
    </row>
    <row r="31983" spans="1:1" x14ac:dyDescent="0.3">
      <c r="A31983" t="s">
        <v>0</v>
      </c>
    </row>
    <row r="31984" spans="1:1" x14ac:dyDescent="0.3">
      <c r="A31984" t="s">
        <v>0</v>
      </c>
    </row>
    <row r="31985" spans="1:1" x14ac:dyDescent="0.3">
      <c r="A31985" t="s">
        <v>0</v>
      </c>
    </row>
    <row r="31986" spans="1:1" x14ac:dyDescent="0.3">
      <c r="A31986" t="s">
        <v>0</v>
      </c>
    </row>
    <row r="31987" spans="1:1" x14ac:dyDescent="0.3">
      <c r="A31987" t="s">
        <v>0</v>
      </c>
    </row>
    <row r="31988" spans="1:1" x14ac:dyDescent="0.3">
      <c r="A31988" t="s">
        <v>0</v>
      </c>
    </row>
    <row r="31989" spans="1:1" x14ac:dyDescent="0.3">
      <c r="A31989" t="s">
        <v>0</v>
      </c>
    </row>
    <row r="31990" spans="1:1" x14ac:dyDescent="0.3">
      <c r="A31990" t="s">
        <v>0</v>
      </c>
    </row>
    <row r="31991" spans="1:1" x14ac:dyDescent="0.3">
      <c r="A31991" t="s">
        <v>0</v>
      </c>
    </row>
    <row r="31992" spans="1:1" x14ac:dyDescent="0.3">
      <c r="A31992" t="s">
        <v>0</v>
      </c>
    </row>
    <row r="31993" spans="1:1" x14ac:dyDescent="0.3">
      <c r="A31993" t="s">
        <v>0</v>
      </c>
    </row>
    <row r="31994" spans="1:1" x14ac:dyDescent="0.3">
      <c r="A31994" t="s">
        <v>0</v>
      </c>
    </row>
    <row r="31995" spans="1:1" x14ac:dyDescent="0.3">
      <c r="A31995" t="s">
        <v>0</v>
      </c>
    </row>
    <row r="31996" spans="1:1" x14ac:dyDescent="0.3">
      <c r="A31996" t="s">
        <v>0</v>
      </c>
    </row>
    <row r="31997" spans="1:1" x14ac:dyDescent="0.3">
      <c r="A31997" t="s">
        <v>0</v>
      </c>
    </row>
    <row r="31998" spans="1:1" x14ac:dyDescent="0.3">
      <c r="A31998" t="s">
        <v>0</v>
      </c>
    </row>
    <row r="31999" spans="1:1" x14ac:dyDescent="0.3">
      <c r="A31999" t="s">
        <v>0</v>
      </c>
    </row>
    <row r="32000" spans="1:1" x14ac:dyDescent="0.3">
      <c r="A32000" t="s">
        <v>0</v>
      </c>
    </row>
    <row r="32001" spans="1:1" x14ac:dyDescent="0.3">
      <c r="A32001" t="s">
        <v>0</v>
      </c>
    </row>
    <row r="32002" spans="1:1" x14ac:dyDescent="0.3">
      <c r="A32002" t="s">
        <v>0</v>
      </c>
    </row>
    <row r="32003" spans="1:1" x14ac:dyDescent="0.3">
      <c r="A32003" t="s">
        <v>0</v>
      </c>
    </row>
    <row r="32004" spans="1:1" x14ac:dyDescent="0.3">
      <c r="A32004" t="s">
        <v>0</v>
      </c>
    </row>
    <row r="32005" spans="1:1" x14ac:dyDescent="0.3">
      <c r="A32005" t="s">
        <v>0</v>
      </c>
    </row>
    <row r="32006" spans="1:1" x14ac:dyDescent="0.3">
      <c r="A32006" t="s">
        <v>0</v>
      </c>
    </row>
    <row r="32007" spans="1:1" x14ac:dyDescent="0.3">
      <c r="A32007" t="s">
        <v>0</v>
      </c>
    </row>
    <row r="32008" spans="1:1" x14ac:dyDescent="0.3">
      <c r="A32008" t="s">
        <v>0</v>
      </c>
    </row>
    <row r="32009" spans="1:1" x14ac:dyDescent="0.3">
      <c r="A32009" t="s">
        <v>0</v>
      </c>
    </row>
    <row r="32010" spans="1:1" x14ac:dyDescent="0.3">
      <c r="A32010" t="s">
        <v>0</v>
      </c>
    </row>
    <row r="32011" spans="1:1" x14ac:dyDescent="0.3">
      <c r="A32011" t="s">
        <v>0</v>
      </c>
    </row>
    <row r="32012" spans="1:1" x14ac:dyDescent="0.3">
      <c r="A32012" t="s">
        <v>0</v>
      </c>
    </row>
    <row r="32013" spans="1:1" x14ac:dyDescent="0.3">
      <c r="A32013" t="s">
        <v>0</v>
      </c>
    </row>
    <row r="32014" spans="1:1" x14ac:dyDescent="0.3">
      <c r="A32014" t="s">
        <v>0</v>
      </c>
    </row>
    <row r="32015" spans="1:1" x14ac:dyDescent="0.3">
      <c r="A32015" t="s">
        <v>0</v>
      </c>
    </row>
    <row r="32016" spans="1:1" x14ac:dyDescent="0.3">
      <c r="A32016" t="s">
        <v>0</v>
      </c>
    </row>
    <row r="32017" spans="1:1" x14ac:dyDescent="0.3">
      <c r="A32017" t="s">
        <v>0</v>
      </c>
    </row>
    <row r="32018" spans="1:1" x14ac:dyDescent="0.3">
      <c r="A32018" t="s">
        <v>0</v>
      </c>
    </row>
    <row r="32019" spans="1:1" x14ac:dyDescent="0.3">
      <c r="A32019" t="s">
        <v>0</v>
      </c>
    </row>
    <row r="32020" spans="1:1" x14ac:dyDescent="0.3">
      <c r="A32020" t="s">
        <v>0</v>
      </c>
    </row>
    <row r="32021" spans="1:1" x14ac:dyDescent="0.3">
      <c r="A32021" t="s">
        <v>0</v>
      </c>
    </row>
    <row r="32022" spans="1:1" x14ac:dyDescent="0.3">
      <c r="A32022" t="s">
        <v>0</v>
      </c>
    </row>
    <row r="32023" spans="1:1" x14ac:dyDescent="0.3">
      <c r="A32023" t="s">
        <v>0</v>
      </c>
    </row>
    <row r="32024" spans="1:1" x14ac:dyDescent="0.3">
      <c r="A32024" t="s">
        <v>0</v>
      </c>
    </row>
    <row r="32025" spans="1:1" x14ac:dyDescent="0.3">
      <c r="A32025" t="s">
        <v>0</v>
      </c>
    </row>
    <row r="32026" spans="1:1" x14ac:dyDescent="0.3">
      <c r="A32026" t="s">
        <v>0</v>
      </c>
    </row>
    <row r="32027" spans="1:1" x14ac:dyDescent="0.3">
      <c r="A32027" t="s">
        <v>0</v>
      </c>
    </row>
    <row r="32028" spans="1:1" x14ac:dyDescent="0.3">
      <c r="A32028" t="s">
        <v>0</v>
      </c>
    </row>
    <row r="32029" spans="1:1" x14ac:dyDescent="0.3">
      <c r="A32029" t="s">
        <v>0</v>
      </c>
    </row>
    <row r="32030" spans="1:1" x14ac:dyDescent="0.3">
      <c r="A32030" t="s">
        <v>0</v>
      </c>
    </row>
    <row r="32031" spans="1:1" x14ac:dyDescent="0.3">
      <c r="A32031" t="s">
        <v>0</v>
      </c>
    </row>
    <row r="32032" spans="1:1" x14ac:dyDescent="0.3">
      <c r="A32032" t="s">
        <v>0</v>
      </c>
    </row>
    <row r="32033" spans="1:1" x14ac:dyDescent="0.3">
      <c r="A32033" t="s">
        <v>0</v>
      </c>
    </row>
    <row r="32034" spans="1:1" x14ac:dyDescent="0.3">
      <c r="A32034" t="s">
        <v>0</v>
      </c>
    </row>
    <row r="32035" spans="1:1" x14ac:dyDescent="0.3">
      <c r="A32035" t="s">
        <v>0</v>
      </c>
    </row>
    <row r="32036" spans="1:1" x14ac:dyDescent="0.3">
      <c r="A32036" t="s">
        <v>0</v>
      </c>
    </row>
    <row r="32037" spans="1:1" x14ac:dyDescent="0.3">
      <c r="A32037" t="s">
        <v>0</v>
      </c>
    </row>
    <row r="32038" spans="1:1" x14ac:dyDescent="0.3">
      <c r="A32038" t="s">
        <v>0</v>
      </c>
    </row>
    <row r="32039" spans="1:1" x14ac:dyDescent="0.3">
      <c r="A32039" t="s">
        <v>0</v>
      </c>
    </row>
    <row r="32040" spans="1:1" x14ac:dyDescent="0.3">
      <c r="A32040" t="s">
        <v>0</v>
      </c>
    </row>
    <row r="32041" spans="1:1" x14ac:dyDescent="0.3">
      <c r="A32041" t="s">
        <v>0</v>
      </c>
    </row>
    <row r="32042" spans="1:1" x14ac:dyDescent="0.3">
      <c r="A32042" t="s">
        <v>0</v>
      </c>
    </row>
    <row r="32043" spans="1:1" x14ac:dyDescent="0.3">
      <c r="A32043" t="s">
        <v>0</v>
      </c>
    </row>
    <row r="32044" spans="1:1" x14ac:dyDescent="0.3">
      <c r="A32044" t="s">
        <v>0</v>
      </c>
    </row>
    <row r="32045" spans="1:1" x14ac:dyDescent="0.3">
      <c r="A32045" t="s">
        <v>0</v>
      </c>
    </row>
    <row r="32046" spans="1:1" x14ac:dyDescent="0.3">
      <c r="A32046" t="s">
        <v>0</v>
      </c>
    </row>
    <row r="32047" spans="1:1" x14ac:dyDescent="0.3">
      <c r="A32047" t="s">
        <v>0</v>
      </c>
    </row>
    <row r="32048" spans="1:1" x14ac:dyDescent="0.3">
      <c r="A32048" t="s">
        <v>0</v>
      </c>
    </row>
    <row r="32049" spans="1:1" x14ac:dyDescent="0.3">
      <c r="A32049" t="s">
        <v>0</v>
      </c>
    </row>
    <row r="32050" spans="1:1" x14ac:dyDescent="0.3">
      <c r="A32050" t="s">
        <v>0</v>
      </c>
    </row>
    <row r="32051" spans="1:1" x14ac:dyDescent="0.3">
      <c r="A32051" t="s">
        <v>0</v>
      </c>
    </row>
    <row r="32052" spans="1:1" x14ac:dyDescent="0.3">
      <c r="A32052" t="s">
        <v>0</v>
      </c>
    </row>
    <row r="32053" spans="1:1" x14ac:dyDescent="0.3">
      <c r="A32053" t="s">
        <v>0</v>
      </c>
    </row>
    <row r="32054" spans="1:1" x14ac:dyDescent="0.3">
      <c r="A32054" t="s">
        <v>0</v>
      </c>
    </row>
    <row r="32055" spans="1:1" x14ac:dyDescent="0.3">
      <c r="A32055" t="s">
        <v>0</v>
      </c>
    </row>
    <row r="32056" spans="1:1" x14ac:dyDescent="0.3">
      <c r="A32056" t="s">
        <v>0</v>
      </c>
    </row>
    <row r="32057" spans="1:1" x14ac:dyDescent="0.3">
      <c r="A32057" t="s">
        <v>0</v>
      </c>
    </row>
    <row r="32058" spans="1:1" x14ac:dyDescent="0.3">
      <c r="A32058" t="s">
        <v>0</v>
      </c>
    </row>
    <row r="32059" spans="1:1" x14ac:dyDescent="0.3">
      <c r="A32059" t="s">
        <v>0</v>
      </c>
    </row>
    <row r="32060" spans="1:1" x14ac:dyDescent="0.3">
      <c r="A32060" t="s">
        <v>0</v>
      </c>
    </row>
    <row r="32061" spans="1:1" x14ac:dyDescent="0.3">
      <c r="A32061" t="s">
        <v>0</v>
      </c>
    </row>
    <row r="32062" spans="1:1" x14ac:dyDescent="0.3">
      <c r="A32062" t="s">
        <v>0</v>
      </c>
    </row>
    <row r="32063" spans="1:1" x14ac:dyDescent="0.3">
      <c r="A32063" t="s">
        <v>0</v>
      </c>
    </row>
    <row r="32064" spans="1:1" x14ac:dyDescent="0.3">
      <c r="A32064" t="s">
        <v>0</v>
      </c>
    </row>
    <row r="32065" spans="1:1" x14ac:dyDescent="0.3">
      <c r="A32065" t="s">
        <v>0</v>
      </c>
    </row>
    <row r="32066" spans="1:1" x14ac:dyDescent="0.3">
      <c r="A32066" t="s">
        <v>0</v>
      </c>
    </row>
    <row r="32067" spans="1:1" x14ac:dyDescent="0.3">
      <c r="A32067" t="s">
        <v>0</v>
      </c>
    </row>
    <row r="32068" spans="1:1" x14ac:dyDescent="0.3">
      <c r="A32068" t="s">
        <v>0</v>
      </c>
    </row>
    <row r="32069" spans="1:1" x14ac:dyDescent="0.3">
      <c r="A32069" t="s">
        <v>0</v>
      </c>
    </row>
    <row r="32070" spans="1:1" x14ac:dyDescent="0.3">
      <c r="A32070" t="s">
        <v>0</v>
      </c>
    </row>
    <row r="32071" spans="1:1" x14ac:dyDescent="0.3">
      <c r="A32071" t="s">
        <v>0</v>
      </c>
    </row>
    <row r="32072" spans="1:1" x14ac:dyDescent="0.3">
      <c r="A32072" t="s">
        <v>0</v>
      </c>
    </row>
    <row r="32073" spans="1:1" x14ac:dyDescent="0.3">
      <c r="A32073" t="s">
        <v>0</v>
      </c>
    </row>
    <row r="32074" spans="1:1" x14ac:dyDescent="0.3">
      <c r="A32074" t="s">
        <v>0</v>
      </c>
    </row>
    <row r="32075" spans="1:1" x14ac:dyDescent="0.3">
      <c r="A32075" t="s">
        <v>0</v>
      </c>
    </row>
    <row r="32076" spans="1:1" x14ac:dyDescent="0.3">
      <c r="A32076" t="s">
        <v>0</v>
      </c>
    </row>
    <row r="32077" spans="1:1" x14ac:dyDescent="0.3">
      <c r="A32077" t="s">
        <v>0</v>
      </c>
    </row>
    <row r="32078" spans="1:1" x14ac:dyDescent="0.3">
      <c r="A32078" t="s">
        <v>0</v>
      </c>
    </row>
    <row r="32079" spans="1:1" x14ac:dyDescent="0.3">
      <c r="A32079" t="s">
        <v>0</v>
      </c>
    </row>
    <row r="32080" spans="1:1" x14ac:dyDescent="0.3">
      <c r="A32080" t="s">
        <v>0</v>
      </c>
    </row>
    <row r="32081" spans="1:1" x14ac:dyDescent="0.3">
      <c r="A32081" t="s">
        <v>0</v>
      </c>
    </row>
    <row r="32082" spans="1:1" x14ac:dyDescent="0.3">
      <c r="A32082" t="s">
        <v>0</v>
      </c>
    </row>
    <row r="32083" spans="1:1" x14ac:dyDescent="0.3">
      <c r="A32083" t="s">
        <v>0</v>
      </c>
    </row>
    <row r="32084" spans="1:1" x14ac:dyDescent="0.3">
      <c r="A32084" t="s">
        <v>0</v>
      </c>
    </row>
    <row r="32085" spans="1:1" x14ac:dyDescent="0.3">
      <c r="A32085" t="s">
        <v>0</v>
      </c>
    </row>
    <row r="32086" spans="1:1" x14ac:dyDescent="0.3">
      <c r="A32086" t="s">
        <v>0</v>
      </c>
    </row>
    <row r="32087" spans="1:1" x14ac:dyDescent="0.3">
      <c r="A32087" t="s">
        <v>0</v>
      </c>
    </row>
    <row r="32088" spans="1:1" x14ac:dyDescent="0.3">
      <c r="A32088" t="s">
        <v>0</v>
      </c>
    </row>
    <row r="32089" spans="1:1" x14ac:dyDescent="0.3">
      <c r="A32089" t="s">
        <v>0</v>
      </c>
    </row>
    <row r="32090" spans="1:1" x14ac:dyDescent="0.3">
      <c r="A32090" t="s">
        <v>0</v>
      </c>
    </row>
    <row r="32091" spans="1:1" x14ac:dyDescent="0.3">
      <c r="A32091" t="s">
        <v>0</v>
      </c>
    </row>
    <row r="32092" spans="1:1" x14ac:dyDescent="0.3">
      <c r="A32092" t="s">
        <v>0</v>
      </c>
    </row>
    <row r="32093" spans="1:1" x14ac:dyDescent="0.3">
      <c r="A32093" t="s">
        <v>0</v>
      </c>
    </row>
    <row r="32094" spans="1:1" x14ac:dyDescent="0.3">
      <c r="A32094" t="s">
        <v>0</v>
      </c>
    </row>
    <row r="32095" spans="1:1" x14ac:dyDescent="0.3">
      <c r="A32095" t="s">
        <v>0</v>
      </c>
    </row>
    <row r="32096" spans="1:1" x14ac:dyDescent="0.3">
      <c r="A32096" t="s">
        <v>0</v>
      </c>
    </row>
    <row r="32097" spans="1:1" x14ac:dyDescent="0.3">
      <c r="A32097" t="s">
        <v>0</v>
      </c>
    </row>
    <row r="32098" spans="1:1" x14ac:dyDescent="0.3">
      <c r="A32098" t="s">
        <v>0</v>
      </c>
    </row>
    <row r="32099" spans="1:1" x14ac:dyDescent="0.3">
      <c r="A32099" t="s">
        <v>0</v>
      </c>
    </row>
    <row r="32100" spans="1:1" x14ac:dyDescent="0.3">
      <c r="A32100" t="s">
        <v>0</v>
      </c>
    </row>
    <row r="32101" spans="1:1" x14ac:dyDescent="0.3">
      <c r="A32101" t="s">
        <v>0</v>
      </c>
    </row>
    <row r="32102" spans="1:1" x14ac:dyDescent="0.3">
      <c r="A32102" t="s">
        <v>0</v>
      </c>
    </row>
    <row r="32103" spans="1:1" x14ac:dyDescent="0.3">
      <c r="A32103" t="s">
        <v>0</v>
      </c>
    </row>
    <row r="32104" spans="1:1" x14ac:dyDescent="0.3">
      <c r="A32104" t="s">
        <v>0</v>
      </c>
    </row>
    <row r="32105" spans="1:1" x14ac:dyDescent="0.3">
      <c r="A32105" t="s">
        <v>0</v>
      </c>
    </row>
    <row r="32106" spans="1:1" x14ac:dyDescent="0.3">
      <c r="A32106" t="s">
        <v>0</v>
      </c>
    </row>
    <row r="32107" spans="1:1" x14ac:dyDescent="0.3">
      <c r="A32107" t="s">
        <v>0</v>
      </c>
    </row>
    <row r="32108" spans="1:1" x14ac:dyDescent="0.3">
      <c r="A32108" t="s">
        <v>0</v>
      </c>
    </row>
    <row r="32109" spans="1:1" x14ac:dyDescent="0.3">
      <c r="A32109" t="s">
        <v>0</v>
      </c>
    </row>
    <row r="32110" spans="1:1" x14ac:dyDescent="0.3">
      <c r="A32110" t="s">
        <v>0</v>
      </c>
    </row>
    <row r="32111" spans="1:1" x14ac:dyDescent="0.3">
      <c r="A32111" t="s">
        <v>0</v>
      </c>
    </row>
    <row r="32112" spans="1:1" x14ac:dyDescent="0.3">
      <c r="A32112" t="s">
        <v>0</v>
      </c>
    </row>
    <row r="32113" spans="1:1" x14ac:dyDescent="0.3">
      <c r="A32113" t="s">
        <v>0</v>
      </c>
    </row>
    <row r="32114" spans="1:1" x14ac:dyDescent="0.3">
      <c r="A32114" t="s">
        <v>0</v>
      </c>
    </row>
    <row r="32115" spans="1:1" x14ac:dyDescent="0.3">
      <c r="A32115" t="s">
        <v>0</v>
      </c>
    </row>
    <row r="32116" spans="1:1" x14ac:dyDescent="0.3">
      <c r="A32116" t="s">
        <v>0</v>
      </c>
    </row>
    <row r="32117" spans="1:1" x14ac:dyDescent="0.3">
      <c r="A32117" t="s">
        <v>0</v>
      </c>
    </row>
    <row r="32118" spans="1:1" x14ac:dyDescent="0.3">
      <c r="A32118" t="s">
        <v>0</v>
      </c>
    </row>
    <row r="32119" spans="1:1" x14ac:dyDescent="0.3">
      <c r="A32119" t="s">
        <v>0</v>
      </c>
    </row>
    <row r="32120" spans="1:1" x14ac:dyDescent="0.3">
      <c r="A32120" t="s">
        <v>0</v>
      </c>
    </row>
    <row r="32121" spans="1:1" x14ac:dyDescent="0.3">
      <c r="A32121" t="s">
        <v>0</v>
      </c>
    </row>
    <row r="32122" spans="1:1" x14ac:dyDescent="0.3">
      <c r="A32122" t="s">
        <v>0</v>
      </c>
    </row>
    <row r="32123" spans="1:1" x14ac:dyDescent="0.3">
      <c r="A32123" t="s">
        <v>0</v>
      </c>
    </row>
    <row r="32124" spans="1:1" x14ac:dyDescent="0.3">
      <c r="A32124" t="s">
        <v>0</v>
      </c>
    </row>
    <row r="32125" spans="1:1" x14ac:dyDescent="0.3">
      <c r="A32125" t="s">
        <v>0</v>
      </c>
    </row>
    <row r="32126" spans="1:1" x14ac:dyDescent="0.3">
      <c r="A32126" t="s">
        <v>0</v>
      </c>
    </row>
    <row r="32127" spans="1:1" x14ac:dyDescent="0.3">
      <c r="A32127" t="s">
        <v>0</v>
      </c>
    </row>
    <row r="32128" spans="1:1" x14ac:dyDescent="0.3">
      <c r="A32128" t="s">
        <v>0</v>
      </c>
    </row>
    <row r="32129" spans="1:1" x14ac:dyDescent="0.3">
      <c r="A32129" t="s">
        <v>0</v>
      </c>
    </row>
    <row r="32130" spans="1:1" x14ac:dyDescent="0.3">
      <c r="A32130" t="s">
        <v>0</v>
      </c>
    </row>
    <row r="32131" spans="1:1" x14ac:dyDescent="0.3">
      <c r="A32131" t="s">
        <v>0</v>
      </c>
    </row>
    <row r="32132" spans="1:1" x14ac:dyDescent="0.3">
      <c r="A32132" t="s">
        <v>0</v>
      </c>
    </row>
    <row r="32133" spans="1:1" x14ac:dyDescent="0.3">
      <c r="A32133" t="s">
        <v>0</v>
      </c>
    </row>
    <row r="32134" spans="1:1" x14ac:dyDescent="0.3">
      <c r="A32134" t="s">
        <v>0</v>
      </c>
    </row>
    <row r="32135" spans="1:1" x14ac:dyDescent="0.3">
      <c r="A32135" t="s">
        <v>0</v>
      </c>
    </row>
    <row r="32136" spans="1:1" x14ac:dyDescent="0.3">
      <c r="A32136" t="s">
        <v>0</v>
      </c>
    </row>
    <row r="32137" spans="1:1" x14ac:dyDescent="0.3">
      <c r="A32137" t="s">
        <v>0</v>
      </c>
    </row>
    <row r="32138" spans="1:1" x14ac:dyDescent="0.3">
      <c r="A32138" t="s">
        <v>0</v>
      </c>
    </row>
    <row r="32139" spans="1:1" x14ac:dyDescent="0.3">
      <c r="A32139" t="s">
        <v>0</v>
      </c>
    </row>
    <row r="32140" spans="1:1" x14ac:dyDescent="0.3">
      <c r="A32140" t="s">
        <v>0</v>
      </c>
    </row>
    <row r="32141" spans="1:1" x14ac:dyDescent="0.3">
      <c r="A32141" t="s">
        <v>0</v>
      </c>
    </row>
    <row r="32142" spans="1:1" x14ac:dyDescent="0.3">
      <c r="A32142" t="s">
        <v>0</v>
      </c>
    </row>
    <row r="32143" spans="1:1" x14ac:dyDescent="0.3">
      <c r="A32143" t="s">
        <v>0</v>
      </c>
    </row>
    <row r="32144" spans="1:1" x14ac:dyDescent="0.3">
      <c r="A32144" t="s">
        <v>0</v>
      </c>
    </row>
    <row r="32145" spans="1:1" x14ac:dyDescent="0.3">
      <c r="A32145" t="s">
        <v>0</v>
      </c>
    </row>
    <row r="32146" spans="1:1" x14ac:dyDescent="0.3">
      <c r="A32146" t="s">
        <v>0</v>
      </c>
    </row>
    <row r="32147" spans="1:1" x14ac:dyDescent="0.3">
      <c r="A32147" t="s">
        <v>0</v>
      </c>
    </row>
    <row r="32148" spans="1:1" x14ac:dyDescent="0.3">
      <c r="A32148" t="s">
        <v>0</v>
      </c>
    </row>
    <row r="32149" spans="1:1" x14ac:dyDescent="0.3">
      <c r="A32149" t="s">
        <v>0</v>
      </c>
    </row>
    <row r="32150" spans="1:1" x14ac:dyDescent="0.3">
      <c r="A32150" t="s">
        <v>0</v>
      </c>
    </row>
    <row r="32151" spans="1:1" x14ac:dyDescent="0.3">
      <c r="A32151" t="s">
        <v>0</v>
      </c>
    </row>
    <row r="32152" spans="1:1" x14ac:dyDescent="0.3">
      <c r="A32152" t="s">
        <v>0</v>
      </c>
    </row>
    <row r="32153" spans="1:1" x14ac:dyDescent="0.3">
      <c r="A32153" t="s">
        <v>0</v>
      </c>
    </row>
    <row r="32154" spans="1:1" x14ac:dyDescent="0.3">
      <c r="A32154" t="s">
        <v>0</v>
      </c>
    </row>
    <row r="32155" spans="1:1" x14ac:dyDescent="0.3">
      <c r="A32155" t="s">
        <v>0</v>
      </c>
    </row>
    <row r="32156" spans="1:1" x14ac:dyDescent="0.3">
      <c r="A32156" t="s">
        <v>0</v>
      </c>
    </row>
    <row r="32157" spans="1:1" x14ac:dyDescent="0.3">
      <c r="A32157" t="s">
        <v>0</v>
      </c>
    </row>
    <row r="32158" spans="1:1" x14ac:dyDescent="0.3">
      <c r="A32158" t="s">
        <v>0</v>
      </c>
    </row>
    <row r="32159" spans="1:1" x14ac:dyDescent="0.3">
      <c r="A32159" t="s">
        <v>0</v>
      </c>
    </row>
    <row r="32160" spans="1:1" x14ac:dyDescent="0.3">
      <c r="A32160" t="s">
        <v>0</v>
      </c>
    </row>
    <row r="32161" spans="1:1" x14ac:dyDescent="0.3">
      <c r="A32161" t="s">
        <v>0</v>
      </c>
    </row>
    <row r="32162" spans="1:1" x14ac:dyDescent="0.3">
      <c r="A32162" t="s">
        <v>0</v>
      </c>
    </row>
    <row r="32163" spans="1:1" x14ac:dyDescent="0.3">
      <c r="A32163" t="s">
        <v>0</v>
      </c>
    </row>
    <row r="32164" spans="1:1" x14ac:dyDescent="0.3">
      <c r="A32164" t="s">
        <v>0</v>
      </c>
    </row>
    <row r="32165" spans="1:1" x14ac:dyDescent="0.3">
      <c r="A32165" t="s">
        <v>0</v>
      </c>
    </row>
    <row r="32166" spans="1:1" x14ac:dyDescent="0.3">
      <c r="A32166" t="s">
        <v>0</v>
      </c>
    </row>
    <row r="32167" spans="1:1" x14ac:dyDescent="0.3">
      <c r="A32167" t="s">
        <v>0</v>
      </c>
    </row>
    <row r="32168" spans="1:1" x14ac:dyDescent="0.3">
      <c r="A32168" t="s">
        <v>0</v>
      </c>
    </row>
    <row r="32169" spans="1:1" x14ac:dyDescent="0.3">
      <c r="A32169" t="s">
        <v>0</v>
      </c>
    </row>
    <row r="32170" spans="1:1" x14ac:dyDescent="0.3">
      <c r="A32170" t="s">
        <v>0</v>
      </c>
    </row>
    <row r="32171" spans="1:1" x14ac:dyDescent="0.3">
      <c r="A32171" t="s">
        <v>0</v>
      </c>
    </row>
    <row r="32172" spans="1:1" x14ac:dyDescent="0.3">
      <c r="A32172" t="s">
        <v>0</v>
      </c>
    </row>
    <row r="32173" spans="1:1" x14ac:dyDescent="0.3">
      <c r="A32173" t="s">
        <v>0</v>
      </c>
    </row>
    <row r="32174" spans="1:1" x14ac:dyDescent="0.3">
      <c r="A32174" t="s">
        <v>0</v>
      </c>
    </row>
    <row r="32175" spans="1:1" x14ac:dyDescent="0.3">
      <c r="A32175" t="s">
        <v>0</v>
      </c>
    </row>
    <row r="32176" spans="1:1" x14ac:dyDescent="0.3">
      <c r="A32176" t="s">
        <v>0</v>
      </c>
    </row>
    <row r="32177" spans="1:1" x14ac:dyDescent="0.3">
      <c r="A32177" t="s">
        <v>0</v>
      </c>
    </row>
    <row r="32178" spans="1:1" x14ac:dyDescent="0.3">
      <c r="A32178" t="s">
        <v>0</v>
      </c>
    </row>
    <row r="32179" spans="1:1" x14ac:dyDescent="0.3">
      <c r="A32179" t="s">
        <v>0</v>
      </c>
    </row>
    <row r="32180" spans="1:1" x14ac:dyDescent="0.3">
      <c r="A32180" t="s">
        <v>0</v>
      </c>
    </row>
    <row r="32181" spans="1:1" x14ac:dyDescent="0.3">
      <c r="A32181" t="s">
        <v>0</v>
      </c>
    </row>
    <row r="32182" spans="1:1" x14ac:dyDescent="0.3">
      <c r="A32182" t="s">
        <v>0</v>
      </c>
    </row>
    <row r="32183" spans="1:1" x14ac:dyDescent="0.3">
      <c r="A32183" t="s">
        <v>0</v>
      </c>
    </row>
    <row r="32184" spans="1:1" x14ac:dyDescent="0.3">
      <c r="A32184" t="s">
        <v>0</v>
      </c>
    </row>
    <row r="32185" spans="1:1" x14ac:dyDescent="0.3">
      <c r="A32185" t="s">
        <v>0</v>
      </c>
    </row>
    <row r="32186" spans="1:1" x14ac:dyDescent="0.3">
      <c r="A32186" t="s">
        <v>0</v>
      </c>
    </row>
    <row r="32187" spans="1:1" x14ac:dyDescent="0.3">
      <c r="A32187" t="s">
        <v>0</v>
      </c>
    </row>
    <row r="32188" spans="1:1" x14ac:dyDescent="0.3">
      <c r="A32188" t="s">
        <v>0</v>
      </c>
    </row>
    <row r="32189" spans="1:1" x14ac:dyDescent="0.3">
      <c r="A32189" t="s">
        <v>0</v>
      </c>
    </row>
    <row r="32190" spans="1:1" x14ac:dyDescent="0.3">
      <c r="A32190" t="s">
        <v>0</v>
      </c>
    </row>
    <row r="32191" spans="1:1" x14ac:dyDescent="0.3">
      <c r="A32191" t="s">
        <v>0</v>
      </c>
    </row>
    <row r="32192" spans="1:1" x14ac:dyDescent="0.3">
      <c r="A32192" t="s">
        <v>0</v>
      </c>
    </row>
    <row r="32193" spans="1:1" x14ac:dyDescent="0.3">
      <c r="A32193" t="s">
        <v>0</v>
      </c>
    </row>
    <row r="32194" spans="1:1" x14ac:dyDescent="0.3">
      <c r="A32194" t="s">
        <v>0</v>
      </c>
    </row>
    <row r="32195" spans="1:1" x14ac:dyDescent="0.3">
      <c r="A32195" t="s">
        <v>0</v>
      </c>
    </row>
    <row r="32196" spans="1:1" x14ac:dyDescent="0.3">
      <c r="A32196" t="s">
        <v>0</v>
      </c>
    </row>
    <row r="32197" spans="1:1" x14ac:dyDescent="0.3">
      <c r="A32197" t="s">
        <v>0</v>
      </c>
    </row>
    <row r="32198" spans="1:1" x14ac:dyDescent="0.3">
      <c r="A32198" t="s">
        <v>0</v>
      </c>
    </row>
    <row r="32199" spans="1:1" x14ac:dyDescent="0.3">
      <c r="A32199" t="s">
        <v>0</v>
      </c>
    </row>
    <row r="32200" spans="1:1" x14ac:dyDescent="0.3">
      <c r="A32200" t="s">
        <v>0</v>
      </c>
    </row>
    <row r="32201" spans="1:1" x14ac:dyDescent="0.3">
      <c r="A32201" t="s">
        <v>0</v>
      </c>
    </row>
    <row r="32202" spans="1:1" x14ac:dyDescent="0.3">
      <c r="A32202" t="s">
        <v>0</v>
      </c>
    </row>
    <row r="32203" spans="1:1" x14ac:dyDescent="0.3">
      <c r="A32203" t="s">
        <v>0</v>
      </c>
    </row>
    <row r="32204" spans="1:1" x14ac:dyDescent="0.3">
      <c r="A32204" t="s">
        <v>0</v>
      </c>
    </row>
    <row r="32205" spans="1:1" x14ac:dyDescent="0.3">
      <c r="A32205" t="s">
        <v>0</v>
      </c>
    </row>
    <row r="32206" spans="1:1" x14ac:dyDescent="0.3">
      <c r="A32206" t="s">
        <v>0</v>
      </c>
    </row>
    <row r="32207" spans="1:1" x14ac:dyDescent="0.3">
      <c r="A32207" t="s">
        <v>0</v>
      </c>
    </row>
    <row r="32208" spans="1:1" x14ac:dyDescent="0.3">
      <c r="A32208" t="s">
        <v>0</v>
      </c>
    </row>
    <row r="32209" spans="1:1" x14ac:dyDescent="0.3">
      <c r="A32209" t="s">
        <v>0</v>
      </c>
    </row>
    <row r="32210" spans="1:1" x14ac:dyDescent="0.3">
      <c r="A32210" t="s">
        <v>0</v>
      </c>
    </row>
    <row r="32211" spans="1:1" x14ac:dyDescent="0.3">
      <c r="A32211" t="s">
        <v>0</v>
      </c>
    </row>
    <row r="32212" spans="1:1" x14ac:dyDescent="0.3">
      <c r="A32212" t="s">
        <v>0</v>
      </c>
    </row>
    <row r="32213" spans="1:1" x14ac:dyDescent="0.3">
      <c r="A32213" t="s">
        <v>0</v>
      </c>
    </row>
    <row r="32214" spans="1:1" x14ac:dyDescent="0.3">
      <c r="A32214" t="s">
        <v>0</v>
      </c>
    </row>
    <row r="32215" spans="1:1" x14ac:dyDescent="0.3">
      <c r="A32215" t="s">
        <v>0</v>
      </c>
    </row>
    <row r="32216" spans="1:1" x14ac:dyDescent="0.3">
      <c r="A32216" t="s">
        <v>0</v>
      </c>
    </row>
    <row r="32217" spans="1:1" x14ac:dyDescent="0.3">
      <c r="A32217" t="s">
        <v>0</v>
      </c>
    </row>
    <row r="32218" spans="1:1" x14ac:dyDescent="0.3">
      <c r="A32218" t="s">
        <v>0</v>
      </c>
    </row>
    <row r="32219" spans="1:1" x14ac:dyDescent="0.3">
      <c r="A32219" t="s">
        <v>0</v>
      </c>
    </row>
    <row r="32220" spans="1:1" x14ac:dyDescent="0.3">
      <c r="A32220" t="s">
        <v>0</v>
      </c>
    </row>
    <row r="32221" spans="1:1" x14ac:dyDescent="0.3">
      <c r="A32221" t="s">
        <v>0</v>
      </c>
    </row>
    <row r="32222" spans="1:1" x14ac:dyDescent="0.3">
      <c r="A32222" t="s">
        <v>0</v>
      </c>
    </row>
    <row r="32223" spans="1:1" x14ac:dyDescent="0.3">
      <c r="A32223" t="s">
        <v>0</v>
      </c>
    </row>
    <row r="32224" spans="1:1" x14ac:dyDescent="0.3">
      <c r="A32224" t="s">
        <v>0</v>
      </c>
    </row>
    <row r="32225" spans="1:1" x14ac:dyDescent="0.3">
      <c r="A32225" t="s">
        <v>0</v>
      </c>
    </row>
    <row r="32226" spans="1:1" x14ac:dyDescent="0.3">
      <c r="A32226" t="s">
        <v>0</v>
      </c>
    </row>
    <row r="32227" spans="1:1" x14ac:dyDescent="0.3">
      <c r="A32227" t="s">
        <v>0</v>
      </c>
    </row>
    <row r="32228" spans="1:1" x14ac:dyDescent="0.3">
      <c r="A32228" t="s">
        <v>0</v>
      </c>
    </row>
    <row r="32229" spans="1:1" x14ac:dyDescent="0.3">
      <c r="A32229" t="s">
        <v>0</v>
      </c>
    </row>
    <row r="32230" spans="1:1" x14ac:dyDescent="0.3">
      <c r="A32230" t="s">
        <v>0</v>
      </c>
    </row>
    <row r="32231" spans="1:1" x14ac:dyDescent="0.3">
      <c r="A32231" t="s">
        <v>0</v>
      </c>
    </row>
    <row r="32232" spans="1:1" x14ac:dyDescent="0.3">
      <c r="A32232" t="s">
        <v>0</v>
      </c>
    </row>
    <row r="32233" spans="1:1" x14ac:dyDescent="0.3">
      <c r="A32233" t="s">
        <v>0</v>
      </c>
    </row>
    <row r="32234" spans="1:1" x14ac:dyDescent="0.3">
      <c r="A32234" t="s">
        <v>0</v>
      </c>
    </row>
    <row r="32235" spans="1:1" x14ac:dyDescent="0.3">
      <c r="A32235" t="s">
        <v>0</v>
      </c>
    </row>
    <row r="32236" spans="1:1" x14ac:dyDescent="0.3">
      <c r="A32236" t="s">
        <v>0</v>
      </c>
    </row>
    <row r="32237" spans="1:1" x14ac:dyDescent="0.3">
      <c r="A32237" t="s">
        <v>0</v>
      </c>
    </row>
    <row r="32238" spans="1:1" x14ac:dyDescent="0.3">
      <c r="A32238" t="s">
        <v>0</v>
      </c>
    </row>
    <row r="32239" spans="1:1" x14ac:dyDescent="0.3">
      <c r="A32239" t="s">
        <v>0</v>
      </c>
    </row>
    <row r="32240" spans="1:1" x14ac:dyDescent="0.3">
      <c r="A32240" t="s">
        <v>0</v>
      </c>
    </row>
    <row r="32241" spans="1:1" x14ac:dyDescent="0.3">
      <c r="A32241" t="s">
        <v>0</v>
      </c>
    </row>
    <row r="32242" spans="1:1" x14ac:dyDescent="0.3">
      <c r="A32242" t="s">
        <v>0</v>
      </c>
    </row>
    <row r="32243" spans="1:1" x14ac:dyDescent="0.3">
      <c r="A32243" t="s">
        <v>0</v>
      </c>
    </row>
    <row r="32244" spans="1:1" x14ac:dyDescent="0.3">
      <c r="A32244" t="s">
        <v>0</v>
      </c>
    </row>
    <row r="32245" spans="1:1" x14ac:dyDescent="0.3">
      <c r="A32245" t="s">
        <v>0</v>
      </c>
    </row>
    <row r="32246" spans="1:1" x14ac:dyDescent="0.3">
      <c r="A32246" t="s">
        <v>0</v>
      </c>
    </row>
    <row r="32247" spans="1:1" x14ac:dyDescent="0.3">
      <c r="A32247" t="s">
        <v>0</v>
      </c>
    </row>
    <row r="32248" spans="1:1" x14ac:dyDescent="0.3">
      <c r="A32248" t="s">
        <v>0</v>
      </c>
    </row>
    <row r="32249" spans="1:1" x14ac:dyDescent="0.3">
      <c r="A32249" t="s">
        <v>0</v>
      </c>
    </row>
    <row r="32250" spans="1:1" x14ac:dyDescent="0.3">
      <c r="A32250" t="s">
        <v>0</v>
      </c>
    </row>
    <row r="32251" spans="1:1" x14ac:dyDescent="0.3">
      <c r="A32251" t="s">
        <v>0</v>
      </c>
    </row>
    <row r="32252" spans="1:1" x14ac:dyDescent="0.3">
      <c r="A32252" t="s">
        <v>0</v>
      </c>
    </row>
    <row r="32253" spans="1:1" x14ac:dyDescent="0.3">
      <c r="A32253" t="s">
        <v>0</v>
      </c>
    </row>
    <row r="32254" spans="1:1" x14ac:dyDescent="0.3">
      <c r="A32254" t="s">
        <v>0</v>
      </c>
    </row>
    <row r="32255" spans="1:1" x14ac:dyDescent="0.3">
      <c r="A32255" t="s">
        <v>0</v>
      </c>
    </row>
    <row r="32256" spans="1:1" x14ac:dyDescent="0.3">
      <c r="A32256" t="s">
        <v>0</v>
      </c>
    </row>
    <row r="32257" spans="1:1" x14ac:dyDescent="0.3">
      <c r="A32257" t="s">
        <v>0</v>
      </c>
    </row>
    <row r="32258" spans="1:1" x14ac:dyDescent="0.3">
      <c r="A32258" t="s">
        <v>0</v>
      </c>
    </row>
    <row r="32259" spans="1:1" x14ac:dyDescent="0.3">
      <c r="A32259" t="s">
        <v>0</v>
      </c>
    </row>
    <row r="32260" spans="1:1" x14ac:dyDescent="0.3">
      <c r="A32260" t="s">
        <v>0</v>
      </c>
    </row>
    <row r="32261" spans="1:1" x14ac:dyDescent="0.3">
      <c r="A32261" t="s">
        <v>0</v>
      </c>
    </row>
    <row r="32262" spans="1:1" x14ac:dyDescent="0.3">
      <c r="A32262" t="s">
        <v>0</v>
      </c>
    </row>
    <row r="32263" spans="1:1" x14ac:dyDescent="0.3">
      <c r="A32263" t="s">
        <v>0</v>
      </c>
    </row>
    <row r="32264" spans="1:1" x14ac:dyDescent="0.3">
      <c r="A32264" t="s">
        <v>0</v>
      </c>
    </row>
    <row r="32265" spans="1:1" x14ac:dyDescent="0.3">
      <c r="A32265" t="s">
        <v>0</v>
      </c>
    </row>
    <row r="32266" spans="1:1" x14ac:dyDescent="0.3">
      <c r="A32266" t="s">
        <v>0</v>
      </c>
    </row>
    <row r="32267" spans="1:1" x14ac:dyDescent="0.3">
      <c r="A32267" t="s">
        <v>0</v>
      </c>
    </row>
    <row r="32268" spans="1:1" x14ac:dyDescent="0.3">
      <c r="A32268" t="s">
        <v>0</v>
      </c>
    </row>
    <row r="32269" spans="1:1" x14ac:dyDescent="0.3">
      <c r="A32269" t="s">
        <v>0</v>
      </c>
    </row>
    <row r="32270" spans="1:1" x14ac:dyDescent="0.3">
      <c r="A32270" t="s">
        <v>0</v>
      </c>
    </row>
    <row r="32271" spans="1:1" x14ac:dyDescent="0.3">
      <c r="A32271" t="s">
        <v>0</v>
      </c>
    </row>
    <row r="32272" spans="1:1" x14ac:dyDescent="0.3">
      <c r="A32272" t="s">
        <v>0</v>
      </c>
    </row>
    <row r="32273" spans="1:1" x14ac:dyDescent="0.3">
      <c r="A32273" t="s">
        <v>0</v>
      </c>
    </row>
    <row r="32274" spans="1:1" x14ac:dyDescent="0.3">
      <c r="A32274" t="s">
        <v>0</v>
      </c>
    </row>
    <row r="32275" spans="1:1" x14ac:dyDescent="0.3">
      <c r="A32275" t="s">
        <v>0</v>
      </c>
    </row>
    <row r="32276" spans="1:1" x14ac:dyDescent="0.3">
      <c r="A32276" t="s">
        <v>0</v>
      </c>
    </row>
    <row r="32277" spans="1:1" x14ac:dyDescent="0.3">
      <c r="A32277" t="s">
        <v>0</v>
      </c>
    </row>
    <row r="32278" spans="1:1" x14ac:dyDescent="0.3">
      <c r="A32278" t="s">
        <v>0</v>
      </c>
    </row>
    <row r="32279" spans="1:1" x14ac:dyDescent="0.3">
      <c r="A32279" t="s">
        <v>0</v>
      </c>
    </row>
    <row r="32280" spans="1:1" x14ac:dyDescent="0.3">
      <c r="A32280" t="s">
        <v>0</v>
      </c>
    </row>
    <row r="32281" spans="1:1" x14ac:dyDescent="0.3">
      <c r="A32281" t="s">
        <v>0</v>
      </c>
    </row>
    <row r="32282" spans="1:1" x14ac:dyDescent="0.3">
      <c r="A32282" t="s">
        <v>0</v>
      </c>
    </row>
    <row r="32283" spans="1:1" x14ac:dyDescent="0.3">
      <c r="A32283" t="s">
        <v>0</v>
      </c>
    </row>
    <row r="32284" spans="1:1" x14ac:dyDescent="0.3">
      <c r="A32284" t="s">
        <v>0</v>
      </c>
    </row>
    <row r="32285" spans="1:1" x14ac:dyDescent="0.3">
      <c r="A32285" t="s">
        <v>0</v>
      </c>
    </row>
    <row r="32286" spans="1:1" x14ac:dyDescent="0.3">
      <c r="A32286" t="s">
        <v>0</v>
      </c>
    </row>
    <row r="32287" spans="1:1" x14ac:dyDescent="0.3">
      <c r="A32287" t="s">
        <v>0</v>
      </c>
    </row>
    <row r="32288" spans="1:1" x14ac:dyDescent="0.3">
      <c r="A32288" t="s">
        <v>0</v>
      </c>
    </row>
    <row r="32289" spans="1:1" x14ac:dyDescent="0.3">
      <c r="A32289" t="s">
        <v>0</v>
      </c>
    </row>
    <row r="32290" spans="1:1" x14ac:dyDescent="0.3">
      <c r="A32290" t="s">
        <v>0</v>
      </c>
    </row>
    <row r="32291" spans="1:1" x14ac:dyDescent="0.3">
      <c r="A32291" t="s">
        <v>0</v>
      </c>
    </row>
    <row r="32292" spans="1:1" x14ac:dyDescent="0.3">
      <c r="A32292" t="s">
        <v>0</v>
      </c>
    </row>
    <row r="32293" spans="1:1" x14ac:dyDescent="0.3">
      <c r="A32293" t="s">
        <v>0</v>
      </c>
    </row>
    <row r="32294" spans="1:1" x14ac:dyDescent="0.3">
      <c r="A32294" t="s">
        <v>0</v>
      </c>
    </row>
    <row r="32295" spans="1:1" x14ac:dyDescent="0.3">
      <c r="A32295" t="s">
        <v>0</v>
      </c>
    </row>
    <row r="32296" spans="1:1" x14ac:dyDescent="0.3">
      <c r="A32296" t="s">
        <v>0</v>
      </c>
    </row>
    <row r="32297" spans="1:1" x14ac:dyDescent="0.3">
      <c r="A32297" t="s">
        <v>0</v>
      </c>
    </row>
    <row r="32298" spans="1:1" x14ac:dyDescent="0.3">
      <c r="A32298" t="s">
        <v>0</v>
      </c>
    </row>
    <row r="32299" spans="1:1" x14ac:dyDescent="0.3">
      <c r="A32299" t="s">
        <v>0</v>
      </c>
    </row>
    <row r="32300" spans="1:1" x14ac:dyDescent="0.3">
      <c r="A32300" t="s">
        <v>0</v>
      </c>
    </row>
    <row r="32301" spans="1:1" x14ac:dyDescent="0.3">
      <c r="A32301" t="s">
        <v>0</v>
      </c>
    </row>
    <row r="32302" spans="1:1" x14ac:dyDescent="0.3">
      <c r="A32302" t="s">
        <v>0</v>
      </c>
    </row>
    <row r="32303" spans="1:1" x14ac:dyDescent="0.3">
      <c r="A32303" t="s">
        <v>0</v>
      </c>
    </row>
    <row r="32304" spans="1:1" x14ac:dyDescent="0.3">
      <c r="A32304" t="s">
        <v>0</v>
      </c>
    </row>
    <row r="32305" spans="1:1" x14ac:dyDescent="0.3">
      <c r="A32305" t="s">
        <v>0</v>
      </c>
    </row>
    <row r="32306" spans="1:1" x14ac:dyDescent="0.3">
      <c r="A32306" t="s">
        <v>0</v>
      </c>
    </row>
    <row r="32307" spans="1:1" x14ac:dyDescent="0.3">
      <c r="A32307" t="s">
        <v>0</v>
      </c>
    </row>
    <row r="32308" spans="1:1" x14ac:dyDescent="0.3">
      <c r="A32308" t="s">
        <v>0</v>
      </c>
    </row>
    <row r="32309" spans="1:1" x14ac:dyDescent="0.3">
      <c r="A32309" t="s">
        <v>0</v>
      </c>
    </row>
    <row r="32310" spans="1:1" x14ac:dyDescent="0.3">
      <c r="A32310" t="s">
        <v>0</v>
      </c>
    </row>
    <row r="32311" spans="1:1" x14ac:dyDescent="0.3">
      <c r="A32311" t="s">
        <v>0</v>
      </c>
    </row>
    <row r="32312" spans="1:1" x14ac:dyDescent="0.3">
      <c r="A32312" t="s">
        <v>0</v>
      </c>
    </row>
    <row r="32313" spans="1:1" x14ac:dyDescent="0.3">
      <c r="A32313" t="s">
        <v>0</v>
      </c>
    </row>
    <row r="32314" spans="1:1" x14ac:dyDescent="0.3">
      <c r="A32314" t="s">
        <v>0</v>
      </c>
    </row>
    <row r="32315" spans="1:1" x14ac:dyDescent="0.3">
      <c r="A32315" t="s">
        <v>0</v>
      </c>
    </row>
    <row r="32316" spans="1:1" x14ac:dyDescent="0.3">
      <c r="A32316" t="s">
        <v>0</v>
      </c>
    </row>
    <row r="32317" spans="1:1" x14ac:dyDescent="0.3">
      <c r="A32317" t="s">
        <v>0</v>
      </c>
    </row>
    <row r="32318" spans="1:1" x14ac:dyDescent="0.3">
      <c r="A32318" t="s">
        <v>0</v>
      </c>
    </row>
    <row r="32319" spans="1:1" x14ac:dyDescent="0.3">
      <c r="A32319" t="s">
        <v>0</v>
      </c>
    </row>
    <row r="32320" spans="1:1" x14ac:dyDescent="0.3">
      <c r="A32320" t="s">
        <v>0</v>
      </c>
    </row>
    <row r="32321" spans="1:1" x14ac:dyDescent="0.3">
      <c r="A32321" t="s">
        <v>0</v>
      </c>
    </row>
    <row r="32322" spans="1:1" x14ac:dyDescent="0.3">
      <c r="A32322" t="s">
        <v>0</v>
      </c>
    </row>
    <row r="32323" spans="1:1" x14ac:dyDescent="0.3">
      <c r="A32323" t="s">
        <v>0</v>
      </c>
    </row>
    <row r="32324" spans="1:1" x14ac:dyDescent="0.3">
      <c r="A32324" t="s">
        <v>0</v>
      </c>
    </row>
    <row r="32325" spans="1:1" x14ac:dyDescent="0.3">
      <c r="A32325" t="s">
        <v>0</v>
      </c>
    </row>
    <row r="32326" spans="1:1" x14ac:dyDescent="0.3">
      <c r="A32326" t="s">
        <v>0</v>
      </c>
    </row>
    <row r="32327" spans="1:1" x14ac:dyDescent="0.3">
      <c r="A32327" t="s">
        <v>0</v>
      </c>
    </row>
    <row r="32328" spans="1:1" x14ac:dyDescent="0.3">
      <c r="A32328" t="s">
        <v>0</v>
      </c>
    </row>
    <row r="32329" spans="1:1" x14ac:dyDescent="0.3">
      <c r="A32329" t="s">
        <v>0</v>
      </c>
    </row>
    <row r="32330" spans="1:1" x14ac:dyDescent="0.3">
      <c r="A32330" t="s">
        <v>0</v>
      </c>
    </row>
    <row r="32331" spans="1:1" x14ac:dyDescent="0.3">
      <c r="A32331" t="s">
        <v>0</v>
      </c>
    </row>
    <row r="32332" spans="1:1" x14ac:dyDescent="0.3">
      <c r="A32332" t="s">
        <v>0</v>
      </c>
    </row>
    <row r="32333" spans="1:1" x14ac:dyDescent="0.3">
      <c r="A32333" t="s">
        <v>0</v>
      </c>
    </row>
    <row r="32334" spans="1:1" x14ac:dyDescent="0.3">
      <c r="A32334" t="s">
        <v>0</v>
      </c>
    </row>
    <row r="32335" spans="1:1" x14ac:dyDescent="0.3">
      <c r="A32335" t="s">
        <v>0</v>
      </c>
    </row>
    <row r="32336" spans="1:1" x14ac:dyDescent="0.3">
      <c r="A32336" t="s">
        <v>0</v>
      </c>
    </row>
    <row r="32337" spans="1:1" x14ac:dyDescent="0.3">
      <c r="A32337" t="s">
        <v>0</v>
      </c>
    </row>
    <row r="32338" spans="1:1" x14ac:dyDescent="0.3">
      <c r="A32338" t="s">
        <v>0</v>
      </c>
    </row>
    <row r="32339" spans="1:1" x14ac:dyDescent="0.3">
      <c r="A32339" t="s">
        <v>0</v>
      </c>
    </row>
    <row r="32340" spans="1:1" x14ac:dyDescent="0.3">
      <c r="A32340" t="s">
        <v>0</v>
      </c>
    </row>
    <row r="32341" spans="1:1" x14ac:dyDescent="0.3">
      <c r="A32341" t="s">
        <v>0</v>
      </c>
    </row>
    <row r="32342" spans="1:1" x14ac:dyDescent="0.3">
      <c r="A32342" t="s">
        <v>0</v>
      </c>
    </row>
    <row r="32343" spans="1:1" x14ac:dyDescent="0.3">
      <c r="A32343" t="s">
        <v>0</v>
      </c>
    </row>
    <row r="32344" spans="1:1" x14ac:dyDescent="0.3">
      <c r="A32344" t="s">
        <v>0</v>
      </c>
    </row>
    <row r="32345" spans="1:1" x14ac:dyDescent="0.3">
      <c r="A32345" t="s">
        <v>0</v>
      </c>
    </row>
    <row r="32346" spans="1:1" x14ac:dyDescent="0.3">
      <c r="A32346" t="s">
        <v>0</v>
      </c>
    </row>
    <row r="32347" spans="1:1" x14ac:dyDescent="0.3">
      <c r="A32347" t="s">
        <v>0</v>
      </c>
    </row>
    <row r="32348" spans="1:1" x14ac:dyDescent="0.3">
      <c r="A32348" t="s">
        <v>0</v>
      </c>
    </row>
    <row r="32349" spans="1:1" x14ac:dyDescent="0.3">
      <c r="A32349" t="s">
        <v>0</v>
      </c>
    </row>
    <row r="32350" spans="1:1" x14ac:dyDescent="0.3">
      <c r="A32350" t="s">
        <v>0</v>
      </c>
    </row>
    <row r="32351" spans="1:1" x14ac:dyDescent="0.3">
      <c r="A32351" t="s">
        <v>0</v>
      </c>
    </row>
    <row r="32352" spans="1:1" x14ac:dyDescent="0.3">
      <c r="A32352" t="s">
        <v>0</v>
      </c>
    </row>
    <row r="32353" spans="1:1" x14ac:dyDescent="0.3">
      <c r="A32353" t="s">
        <v>0</v>
      </c>
    </row>
    <row r="32354" spans="1:1" x14ac:dyDescent="0.3">
      <c r="A32354" t="s">
        <v>0</v>
      </c>
    </row>
    <row r="32355" spans="1:1" x14ac:dyDescent="0.3">
      <c r="A32355" t="s">
        <v>0</v>
      </c>
    </row>
    <row r="32356" spans="1:1" x14ac:dyDescent="0.3">
      <c r="A32356" t="s">
        <v>0</v>
      </c>
    </row>
    <row r="32357" spans="1:1" x14ac:dyDescent="0.3">
      <c r="A32357" t="s">
        <v>0</v>
      </c>
    </row>
    <row r="32358" spans="1:1" x14ac:dyDescent="0.3">
      <c r="A32358" t="s">
        <v>0</v>
      </c>
    </row>
    <row r="32359" spans="1:1" x14ac:dyDescent="0.3">
      <c r="A32359" t="s">
        <v>0</v>
      </c>
    </row>
    <row r="32360" spans="1:1" x14ac:dyDescent="0.3">
      <c r="A32360" t="s">
        <v>0</v>
      </c>
    </row>
    <row r="32361" spans="1:1" x14ac:dyDescent="0.3">
      <c r="A32361" t="s">
        <v>0</v>
      </c>
    </row>
    <row r="32362" spans="1:1" x14ac:dyDescent="0.3">
      <c r="A32362" t="s">
        <v>0</v>
      </c>
    </row>
    <row r="32363" spans="1:1" x14ac:dyDescent="0.3">
      <c r="A32363" t="s">
        <v>0</v>
      </c>
    </row>
    <row r="32364" spans="1:1" x14ac:dyDescent="0.3">
      <c r="A32364" t="s">
        <v>0</v>
      </c>
    </row>
    <row r="32365" spans="1:1" x14ac:dyDescent="0.3">
      <c r="A32365" t="s">
        <v>0</v>
      </c>
    </row>
    <row r="32366" spans="1:1" x14ac:dyDescent="0.3">
      <c r="A32366" t="s">
        <v>0</v>
      </c>
    </row>
    <row r="32367" spans="1:1" x14ac:dyDescent="0.3">
      <c r="A32367" t="s">
        <v>0</v>
      </c>
    </row>
    <row r="32368" spans="1:1" x14ac:dyDescent="0.3">
      <c r="A32368" t="s">
        <v>0</v>
      </c>
    </row>
    <row r="32369" spans="1:1" x14ac:dyDescent="0.3">
      <c r="A32369" t="s">
        <v>0</v>
      </c>
    </row>
    <row r="32370" spans="1:1" x14ac:dyDescent="0.3">
      <c r="A32370" t="s">
        <v>0</v>
      </c>
    </row>
    <row r="32371" spans="1:1" x14ac:dyDescent="0.3">
      <c r="A32371" t="s">
        <v>0</v>
      </c>
    </row>
    <row r="32372" spans="1:1" x14ac:dyDescent="0.3">
      <c r="A32372" t="s">
        <v>0</v>
      </c>
    </row>
    <row r="32373" spans="1:1" x14ac:dyDescent="0.3">
      <c r="A32373" t="s">
        <v>0</v>
      </c>
    </row>
    <row r="32374" spans="1:1" x14ac:dyDescent="0.3">
      <c r="A32374" t="s">
        <v>0</v>
      </c>
    </row>
    <row r="32375" spans="1:1" x14ac:dyDescent="0.3">
      <c r="A32375" t="s">
        <v>0</v>
      </c>
    </row>
    <row r="32376" spans="1:1" x14ac:dyDescent="0.3">
      <c r="A32376" t="s">
        <v>0</v>
      </c>
    </row>
    <row r="32377" spans="1:1" x14ac:dyDescent="0.3">
      <c r="A32377" t="s">
        <v>0</v>
      </c>
    </row>
    <row r="32378" spans="1:1" x14ac:dyDescent="0.3">
      <c r="A32378" t="s">
        <v>0</v>
      </c>
    </row>
    <row r="32379" spans="1:1" x14ac:dyDescent="0.3">
      <c r="A32379" t="s">
        <v>0</v>
      </c>
    </row>
    <row r="32380" spans="1:1" x14ac:dyDescent="0.3">
      <c r="A32380" t="s">
        <v>0</v>
      </c>
    </row>
    <row r="32381" spans="1:1" x14ac:dyDescent="0.3">
      <c r="A32381" t="s">
        <v>0</v>
      </c>
    </row>
    <row r="32382" spans="1:1" x14ac:dyDescent="0.3">
      <c r="A32382" t="s">
        <v>0</v>
      </c>
    </row>
    <row r="32383" spans="1:1" x14ac:dyDescent="0.3">
      <c r="A32383" t="s">
        <v>0</v>
      </c>
    </row>
    <row r="32384" spans="1:1" x14ac:dyDescent="0.3">
      <c r="A32384" t="s">
        <v>0</v>
      </c>
    </row>
    <row r="32385" spans="1:1" x14ac:dyDescent="0.3">
      <c r="A32385" t="s">
        <v>0</v>
      </c>
    </row>
    <row r="32386" spans="1:1" x14ac:dyDescent="0.3">
      <c r="A32386" t="s">
        <v>0</v>
      </c>
    </row>
    <row r="32387" spans="1:1" x14ac:dyDescent="0.3">
      <c r="A32387" t="s">
        <v>0</v>
      </c>
    </row>
    <row r="32388" spans="1:1" x14ac:dyDescent="0.3">
      <c r="A32388" t="s">
        <v>0</v>
      </c>
    </row>
    <row r="32389" spans="1:1" x14ac:dyDescent="0.3">
      <c r="A32389" t="s">
        <v>0</v>
      </c>
    </row>
    <row r="32390" spans="1:1" x14ac:dyDescent="0.3">
      <c r="A32390" t="s">
        <v>0</v>
      </c>
    </row>
    <row r="32391" spans="1:1" x14ac:dyDescent="0.3">
      <c r="A32391" t="s">
        <v>0</v>
      </c>
    </row>
    <row r="32392" spans="1:1" x14ac:dyDescent="0.3">
      <c r="A32392" t="s">
        <v>0</v>
      </c>
    </row>
    <row r="32393" spans="1:1" x14ac:dyDescent="0.3">
      <c r="A32393" t="s">
        <v>0</v>
      </c>
    </row>
    <row r="32394" spans="1:1" x14ac:dyDescent="0.3">
      <c r="A32394" t="s">
        <v>0</v>
      </c>
    </row>
    <row r="32395" spans="1:1" x14ac:dyDescent="0.3">
      <c r="A32395" t="s">
        <v>0</v>
      </c>
    </row>
    <row r="32396" spans="1:1" x14ac:dyDescent="0.3">
      <c r="A32396" t="s">
        <v>0</v>
      </c>
    </row>
    <row r="32397" spans="1:1" x14ac:dyDescent="0.3">
      <c r="A32397" t="s">
        <v>0</v>
      </c>
    </row>
    <row r="32398" spans="1:1" x14ac:dyDescent="0.3">
      <c r="A32398" t="s">
        <v>0</v>
      </c>
    </row>
    <row r="32399" spans="1:1" x14ac:dyDescent="0.3">
      <c r="A32399" t="s">
        <v>0</v>
      </c>
    </row>
    <row r="32400" spans="1:1" x14ac:dyDescent="0.3">
      <c r="A32400" t="s">
        <v>0</v>
      </c>
    </row>
    <row r="32401" spans="1:1" x14ac:dyDescent="0.3">
      <c r="A32401" t="s">
        <v>0</v>
      </c>
    </row>
    <row r="32402" spans="1:1" x14ac:dyDescent="0.3">
      <c r="A32402" t="s">
        <v>0</v>
      </c>
    </row>
    <row r="32403" spans="1:1" x14ac:dyDescent="0.3">
      <c r="A32403" t="s">
        <v>0</v>
      </c>
    </row>
    <row r="32404" spans="1:1" x14ac:dyDescent="0.3">
      <c r="A32404" t="s">
        <v>0</v>
      </c>
    </row>
    <row r="32405" spans="1:1" x14ac:dyDescent="0.3">
      <c r="A32405" t="s">
        <v>0</v>
      </c>
    </row>
    <row r="32406" spans="1:1" x14ac:dyDescent="0.3">
      <c r="A32406" t="s">
        <v>0</v>
      </c>
    </row>
    <row r="32407" spans="1:1" x14ac:dyDescent="0.3">
      <c r="A32407" t="s">
        <v>0</v>
      </c>
    </row>
    <row r="32408" spans="1:1" x14ac:dyDescent="0.3">
      <c r="A32408" t="s">
        <v>0</v>
      </c>
    </row>
    <row r="32409" spans="1:1" x14ac:dyDescent="0.3">
      <c r="A32409" t="s">
        <v>0</v>
      </c>
    </row>
    <row r="32410" spans="1:1" x14ac:dyDescent="0.3">
      <c r="A32410" t="s">
        <v>0</v>
      </c>
    </row>
    <row r="32411" spans="1:1" x14ac:dyDescent="0.3">
      <c r="A32411" t="s">
        <v>0</v>
      </c>
    </row>
    <row r="32412" spans="1:1" x14ac:dyDescent="0.3">
      <c r="A32412" t="s">
        <v>0</v>
      </c>
    </row>
    <row r="32413" spans="1:1" x14ac:dyDescent="0.3">
      <c r="A32413" t="s">
        <v>0</v>
      </c>
    </row>
    <row r="32414" spans="1:1" x14ac:dyDescent="0.3">
      <c r="A32414" t="s">
        <v>0</v>
      </c>
    </row>
    <row r="32415" spans="1:1" x14ac:dyDescent="0.3">
      <c r="A32415" t="s">
        <v>0</v>
      </c>
    </row>
    <row r="32416" spans="1:1" x14ac:dyDescent="0.3">
      <c r="A32416" t="s">
        <v>0</v>
      </c>
    </row>
    <row r="32417" spans="1:1" x14ac:dyDescent="0.3">
      <c r="A32417" t="s">
        <v>0</v>
      </c>
    </row>
    <row r="32418" spans="1:1" x14ac:dyDescent="0.3">
      <c r="A32418" t="s">
        <v>0</v>
      </c>
    </row>
    <row r="32419" spans="1:1" x14ac:dyDescent="0.3">
      <c r="A32419" t="s">
        <v>0</v>
      </c>
    </row>
    <row r="32420" spans="1:1" x14ac:dyDescent="0.3">
      <c r="A32420" t="s">
        <v>0</v>
      </c>
    </row>
    <row r="32421" spans="1:1" x14ac:dyDescent="0.3">
      <c r="A32421" t="s">
        <v>0</v>
      </c>
    </row>
    <row r="32422" spans="1:1" x14ac:dyDescent="0.3">
      <c r="A32422" t="s">
        <v>0</v>
      </c>
    </row>
    <row r="32423" spans="1:1" x14ac:dyDescent="0.3">
      <c r="A32423" t="s">
        <v>0</v>
      </c>
    </row>
    <row r="32424" spans="1:1" x14ac:dyDescent="0.3">
      <c r="A32424" t="s">
        <v>0</v>
      </c>
    </row>
    <row r="32425" spans="1:1" x14ac:dyDescent="0.3">
      <c r="A32425" t="s">
        <v>0</v>
      </c>
    </row>
    <row r="32426" spans="1:1" x14ac:dyDescent="0.3">
      <c r="A32426" t="s">
        <v>0</v>
      </c>
    </row>
    <row r="32427" spans="1:1" x14ac:dyDescent="0.3">
      <c r="A32427" t="s">
        <v>0</v>
      </c>
    </row>
    <row r="32428" spans="1:1" x14ac:dyDescent="0.3">
      <c r="A32428" t="s">
        <v>0</v>
      </c>
    </row>
    <row r="32429" spans="1:1" x14ac:dyDescent="0.3">
      <c r="A32429" t="s">
        <v>0</v>
      </c>
    </row>
    <row r="32430" spans="1:1" x14ac:dyDescent="0.3">
      <c r="A32430" t="s">
        <v>0</v>
      </c>
    </row>
    <row r="32431" spans="1:1" x14ac:dyDescent="0.3">
      <c r="A32431" t="s">
        <v>0</v>
      </c>
    </row>
    <row r="32432" spans="1:1" x14ac:dyDescent="0.3">
      <c r="A32432" t="s">
        <v>0</v>
      </c>
    </row>
    <row r="32433" spans="1:1" x14ac:dyDescent="0.3">
      <c r="A32433" t="s">
        <v>0</v>
      </c>
    </row>
    <row r="32434" spans="1:1" x14ac:dyDescent="0.3">
      <c r="A32434" t="s">
        <v>0</v>
      </c>
    </row>
    <row r="32435" spans="1:1" x14ac:dyDescent="0.3">
      <c r="A32435" t="s">
        <v>0</v>
      </c>
    </row>
    <row r="32436" spans="1:1" x14ac:dyDescent="0.3">
      <c r="A32436" t="s">
        <v>0</v>
      </c>
    </row>
    <row r="32437" spans="1:1" x14ac:dyDescent="0.3">
      <c r="A32437" t="s">
        <v>0</v>
      </c>
    </row>
    <row r="32438" spans="1:1" x14ac:dyDescent="0.3">
      <c r="A32438" t="s">
        <v>0</v>
      </c>
    </row>
    <row r="32439" spans="1:1" x14ac:dyDescent="0.3">
      <c r="A32439" t="s">
        <v>0</v>
      </c>
    </row>
    <row r="32440" spans="1:1" x14ac:dyDescent="0.3">
      <c r="A32440" t="s">
        <v>0</v>
      </c>
    </row>
    <row r="32441" spans="1:1" x14ac:dyDescent="0.3">
      <c r="A32441" t="s">
        <v>0</v>
      </c>
    </row>
    <row r="32442" spans="1:1" x14ac:dyDescent="0.3">
      <c r="A32442" t="s">
        <v>0</v>
      </c>
    </row>
    <row r="32443" spans="1:1" x14ac:dyDescent="0.3">
      <c r="A32443" t="s">
        <v>0</v>
      </c>
    </row>
    <row r="32444" spans="1:1" x14ac:dyDescent="0.3">
      <c r="A32444" t="s">
        <v>0</v>
      </c>
    </row>
    <row r="32445" spans="1:1" x14ac:dyDescent="0.3">
      <c r="A32445" t="s">
        <v>0</v>
      </c>
    </row>
    <row r="32446" spans="1:1" x14ac:dyDescent="0.3">
      <c r="A32446" t="s">
        <v>0</v>
      </c>
    </row>
    <row r="32447" spans="1:1" x14ac:dyDescent="0.3">
      <c r="A32447" t="s">
        <v>0</v>
      </c>
    </row>
    <row r="32448" spans="1:1" x14ac:dyDescent="0.3">
      <c r="A32448" t="s">
        <v>0</v>
      </c>
    </row>
    <row r="32449" spans="1:1" x14ac:dyDescent="0.3">
      <c r="A32449" t="s">
        <v>0</v>
      </c>
    </row>
    <row r="32450" spans="1:1" x14ac:dyDescent="0.3">
      <c r="A32450" t="s">
        <v>0</v>
      </c>
    </row>
    <row r="32451" spans="1:1" x14ac:dyDescent="0.3">
      <c r="A32451" t="s">
        <v>0</v>
      </c>
    </row>
    <row r="32452" spans="1:1" x14ac:dyDescent="0.3">
      <c r="A32452" t="s">
        <v>0</v>
      </c>
    </row>
    <row r="32453" spans="1:1" x14ac:dyDescent="0.3">
      <c r="A32453" t="s">
        <v>0</v>
      </c>
    </row>
    <row r="32454" spans="1:1" x14ac:dyDescent="0.3">
      <c r="A32454" t="s">
        <v>0</v>
      </c>
    </row>
    <row r="32455" spans="1:1" x14ac:dyDescent="0.3">
      <c r="A32455" t="s">
        <v>0</v>
      </c>
    </row>
    <row r="32456" spans="1:1" x14ac:dyDescent="0.3">
      <c r="A32456" t="s">
        <v>0</v>
      </c>
    </row>
    <row r="32457" spans="1:1" x14ac:dyDescent="0.3">
      <c r="A32457" t="s">
        <v>0</v>
      </c>
    </row>
    <row r="32458" spans="1:1" x14ac:dyDescent="0.3">
      <c r="A32458" t="s">
        <v>0</v>
      </c>
    </row>
    <row r="32459" spans="1:1" x14ac:dyDescent="0.3">
      <c r="A32459" t="s">
        <v>0</v>
      </c>
    </row>
    <row r="32460" spans="1:1" x14ac:dyDescent="0.3">
      <c r="A32460" t="s">
        <v>0</v>
      </c>
    </row>
    <row r="32461" spans="1:1" x14ac:dyDescent="0.3">
      <c r="A32461" t="s">
        <v>0</v>
      </c>
    </row>
    <row r="32462" spans="1:1" x14ac:dyDescent="0.3">
      <c r="A32462" t="s">
        <v>0</v>
      </c>
    </row>
    <row r="32463" spans="1:1" x14ac:dyDescent="0.3">
      <c r="A32463" t="s">
        <v>0</v>
      </c>
    </row>
    <row r="32464" spans="1:1" x14ac:dyDescent="0.3">
      <c r="A32464" t="s">
        <v>0</v>
      </c>
    </row>
    <row r="32465" spans="1:1" x14ac:dyDescent="0.3">
      <c r="A32465" t="s">
        <v>0</v>
      </c>
    </row>
    <row r="32466" spans="1:1" x14ac:dyDescent="0.3">
      <c r="A32466" t="s">
        <v>0</v>
      </c>
    </row>
    <row r="32467" spans="1:1" x14ac:dyDescent="0.3">
      <c r="A32467" t="s">
        <v>0</v>
      </c>
    </row>
    <row r="32468" spans="1:1" x14ac:dyDescent="0.3">
      <c r="A32468" t="s">
        <v>0</v>
      </c>
    </row>
    <row r="32469" spans="1:1" x14ac:dyDescent="0.3">
      <c r="A32469" t="s">
        <v>0</v>
      </c>
    </row>
    <row r="32470" spans="1:1" x14ac:dyDescent="0.3">
      <c r="A32470" t="s">
        <v>0</v>
      </c>
    </row>
    <row r="32471" spans="1:1" x14ac:dyDescent="0.3">
      <c r="A32471" t="s">
        <v>0</v>
      </c>
    </row>
    <row r="32472" spans="1:1" x14ac:dyDescent="0.3">
      <c r="A32472" t="s">
        <v>0</v>
      </c>
    </row>
    <row r="32473" spans="1:1" x14ac:dyDescent="0.3">
      <c r="A32473" t="s">
        <v>0</v>
      </c>
    </row>
    <row r="32474" spans="1:1" x14ac:dyDescent="0.3">
      <c r="A32474" t="s">
        <v>0</v>
      </c>
    </row>
    <row r="32475" spans="1:1" x14ac:dyDescent="0.3">
      <c r="A32475" t="s">
        <v>0</v>
      </c>
    </row>
    <row r="32476" spans="1:1" x14ac:dyDescent="0.3">
      <c r="A32476" t="s">
        <v>0</v>
      </c>
    </row>
    <row r="32477" spans="1:1" x14ac:dyDescent="0.3">
      <c r="A32477" t="s">
        <v>0</v>
      </c>
    </row>
    <row r="32478" spans="1:1" x14ac:dyDescent="0.3">
      <c r="A32478" t="s">
        <v>0</v>
      </c>
    </row>
    <row r="32479" spans="1:1" x14ac:dyDescent="0.3">
      <c r="A32479" t="s">
        <v>0</v>
      </c>
    </row>
    <row r="32480" spans="1:1" x14ac:dyDescent="0.3">
      <c r="A32480" t="s">
        <v>0</v>
      </c>
    </row>
    <row r="32481" spans="1:1" x14ac:dyDescent="0.3">
      <c r="A32481" t="s">
        <v>0</v>
      </c>
    </row>
    <row r="32482" spans="1:1" x14ac:dyDescent="0.3">
      <c r="A32482" t="s">
        <v>0</v>
      </c>
    </row>
    <row r="32483" spans="1:1" x14ac:dyDescent="0.3">
      <c r="A32483" t="s">
        <v>0</v>
      </c>
    </row>
    <row r="32484" spans="1:1" x14ac:dyDescent="0.3">
      <c r="A32484" t="s">
        <v>0</v>
      </c>
    </row>
    <row r="32485" spans="1:1" x14ac:dyDescent="0.3">
      <c r="A32485" t="s">
        <v>0</v>
      </c>
    </row>
    <row r="32486" spans="1:1" x14ac:dyDescent="0.3">
      <c r="A32486" t="s">
        <v>0</v>
      </c>
    </row>
    <row r="32487" spans="1:1" x14ac:dyDescent="0.3">
      <c r="A32487" t="s">
        <v>0</v>
      </c>
    </row>
    <row r="32488" spans="1:1" x14ac:dyDescent="0.3">
      <c r="A32488" t="s">
        <v>0</v>
      </c>
    </row>
    <row r="32489" spans="1:1" x14ac:dyDescent="0.3">
      <c r="A32489" t="s">
        <v>0</v>
      </c>
    </row>
    <row r="32490" spans="1:1" x14ac:dyDescent="0.3">
      <c r="A32490" t="s">
        <v>0</v>
      </c>
    </row>
    <row r="32491" spans="1:1" x14ac:dyDescent="0.3">
      <c r="A32491" t="s">
        <v>0</v>
      </c>
    </row>
    <row r="32492" spans="1:1" x14ac:dyDescent="0.3">
      <c r="A32492" t="s">
        <v>0</v>
      </c>
    </row>
    <row r="32493" spans="1:1" x14ac:dyDescent="0.3">
      <c r="A32493" t="s">
        <v>0</v>
      </c>
    </row>
    <row r="32494" spans="1:1" x14ac:dyDescent="0.3">
      <c r="A32494" t="s">
        <v>0</v>
      </c>
    </row>
    <row r="32495" spans="1:1" x14ac:dyDescent="0.3">
      <c r="A32495" t="s">
        <v>0</v>
      </c>
    </row>
    <row r="32496" spans="1:1" x14ac:dyDescent="0.3">
      <c r="A32496" t="s">
        <v>0</v>
      </c>
    </row>
    <row r="32497" spans="1:1" x14ac:dyDescent="0.3">
      <c r="A32497" t="s">
        <v>0</v>
      </c>
    </row>
    <row r="32498" spans="1:1" x14ac:dyDescent="0.3">
      <c r="A32498" t="s">
        <v>0</v>
      </c>
    </row>
    <row r="32499" spans="1:1" x14ac:dyDescent="0.3">
      <c r="A32499" t="s">
        <v>0</v>
      </c>
    </row>
    <row r="32500" spans="1:1" x14ac:dyDescent="0.3">
      <c r="A32500" t="s">
        <v>0</v>
      </c>
    </row>
    <row r="32501" spans="1:1" x14ac:dyDescent="0.3">
      <c r="A32501" t="s">
        <v>0</v>
      </c>
    </row>
    <row r="32502" spans="1:1" x14ac:dyDescent="0.3">
      <c r="A32502" t="s">
        <v>0</v>
      </c>
    </row>
    <row r="32503" spans="1:1" x14ac:dyDescent="0.3">
      <c r="A32503" t="s">
        <v>0</v>
      </c>
    </row>
    <row r="32504" spans="1:1" x14ac:dyDescent="0.3">
      <c r="A32504" t="s">
        <v>0</v>
      </c>
    </row>
    <row r="32505" spans="1:1" x14ac:dyDescent="0.3">
      <c r="A32505" t="s">
        <v>0</v>
      </c>
    </row>
    <row r="32506" spans="1:1" x14ac:dyDescent="0.3">
      <c r="A32506" t="s">
        <v>0</v>
      </c>
    </row>
    <row r="32507" spans="1:1" x14ac:dyDescent="0.3">
      <c r="A32507" t="s">
        <v>0</v>
      </c>
    </row>
    <row r="32508" spans="1:1" x14ac:dyDescent="0.3">
      <c r="A32508" t="s">
        <v>0</v>
      </c>
    </row>
    <row r="32509" spans="1:1" x14ac:dyDescent="0.3">
      <c r="A32509" t="s">
        <v>0</v>
      </c>
    </row>
    <row r="32510" spans="1:1" x14ac:dyDescent="0.3">
      <c r="A32510" t="s">
        <v>0</v>
      </c>
    </row>
    <row r="32511" spans="1:1" x14ac:dyDescent="0.3">
      <c r="A32511" t="s">
        <v>0</v>
      </c>
    </row>
    <row r="32512" spans="1:1" x14ac:dyDescent="0.3">
      <c r="A32512" t="s">
        <v>0</v>
      </c>
    </row>
    <row r="32513" spans="1:1" x14ac:dyDescent="0.3">
      <c r="A32513" t="s">
        <v>0</v>
      </c>
    </row>
    <row r="32514" spans="1:1" x14ac:dyDescent="0.3">
      <c r="A32514" t="s">
        <v>0</v>
      </c>
    </row>
    <row r="32515" spans="1:1" x14ac:dyDescent="0.3">
      <c r="A32515" t="s">
        <v>0</v>
      </c>
    </row>
    <row r="32516" spans="1:1" x14ac:dyDescent="0.3">
      <c r="A32516" t="s">
        <v>0</v>
      </c>
    </row>
    <row r="32517" spans="1:1" x14ac:dyDescent="0.3">
      <c r="A32517" t="s">
        <v>0</v>
      </c>
    </row>
    <row r="32518" spans="1:1" x14ac:dyDescent="0.3">
      <c r="A32518" t="s">
        <v>0</v>
      </c>
    </row>
    <row r="32519" spans="1:1" x14ac:dyDescent="0.3">
      <c r="A32519" t="s">
        <v>0</v>
      </c>
    </row>
    <row r="32520" spans="1:1" x14ac:dyDescent="0.3">
      <c r="A32520" t="s">
        <v>0</v>
      </c>
    </row>
    <row r="32521" spans="1:1" x14ac:dyDescent="0.3">
      <c r="A32521" t="s">
        <v>0</v>
      </c>
    </row>
    <row r="32522" spans="1:1" x14ac:dyDescent="0.3">
      <c r="A32522" t="s">
        <v>0</v>
      </c>
    </row>
    <row r="32523" spans="1:1" x14ac:dyDescent="0.3">
      <c r="A32523" t="s">
        <v>0</v>
      </c>
    </row>
    <row r="32524" spans="1:1" x14ac:dyDescent="0.3">
      <c r="A32524" t="s">
        <v>0</v>
      </c>
    </row>
    <row r="32525" spans="1:1" x14ac:dyDescent="0.3">
      <c r="A32525" t="s">
        <v>0</v>
      </c>
    </row>
    <row r="32526" spans="1:1" x14ac:dyDescent="0.3">
      <c r="A32526" t="s">
        <v>0</v>
      </c>
    </row>
    <row r="32527" spans="1:1" x14ac:dyDescent="0.3">
      <c r="A32527" t="s">
        <v>0</v>
      </c>
    </row>
    <row r="32528" spans="1:1" x14ac:dyDescent="0.3">
      <c r="A32528" t="s">
        <v>0</v>
      </c>
    </row>
    <row r="32529" spans="1:1" x14ac:dyDescent="0.3">
      <c r="A32529" t="s">
        <v>0</v>
      </c>
    </row>
    <row r="32530" spans="1:1" x14ac:dyDescent="0.3">
      <c r="A32530" t="s">
        <v>0</v>
      </c>
    </row>
    <row r="32531" spans="1:1" x14ac:dyDescent="0.3">
      <c r="A32531" t="s">
        <v>0</v>
      </c>
    </row>
    <row r="32532" spans="1:1" x14ac:dyDescent="0.3">
      <c r="A32532" t="s">
        <v>0</v>
      </c>
    </row>
    <row r="32533" spans="1:1" x14ac:dyDescent="0.3">
      <c r="A32533" t="s">
        <v>0</v>
      </c>
    </row>
    <row r="32534" spans="1:1" x14ac:dyDescent="0.3">
      <c r="A32534" t="s">
        <v>0</v>
      </c>
    </row>
    <row r="32535" spans="1:1" x14ac:dyDescent="0.3">
      <c r="A32535" t="s">
        <v>0</v>
      </c>
    </row>
    <row r="32536" spans="1:1" x14ac:dyDescent="0.3">
      <c r="A32536" t="s">
        <v>0</v>
      </c>
    </row>
    <row r="32537" spans="1:1" x14ac:dyDescent="0.3">
      <c r="A32537" t="s">
        <v>0</v>
      </c>
    </row>
    <row r="32538" spans="1:1" x14ac:dyDescent="0.3">
      <c r="A32538" t="s">
        <v>0</v>
      </c>
    </row>
    <row r="32539" spans="1:1" x14ac:dyDescent="0.3">
      <c r="A32539" t="s">
        <v>0</v>
      </c>
    </row>
    <row r="32540" spans="1:1" x14ac:dyDescent="0.3">
      <c r="A32540" t="s">
        <v>0</v>
      </c>
    </row>
    <row r="32541" spans="1:1" x14ac:dyDescent="0.3">
      <c r="A32541" t="s">
        <v>0</v>
      </c>
    </row>
    <row r="32542" spans="1:1" x14ac:dyDescent="0.3">
      <c r="A32542" t="s">
        <v>0</v>
      </c>
    </row>
    <row r="32543" spans="1:1" x14ac:dyDescent="0.3">
      <c r="A32543" t="s">
        <v>0</v>
      </c>
    </row>
    <row r="32544" spans="1:1" x14ac:dyDescent="0.3">
      <c r="A32544" t="s">
        <v>0</v>
      </c>
    </row>
    <row r="32545" spans="1:1" x14ac:dyDescent="0.3">
      <c r="A32545" t="s">
        <v>0</v>
      </c>
    </row>
    <row r="32546" spans="1:1" x14ac:dyDescent="0.3">
      <c r="A32546" t="s">
        <v>0</v>
      </c>
    </row>
    <row r="32547" spans="1:1" x14ac:dyDescent="0.3">
      <c r="A32547" t="s">
        <v>0</v>
      </c>
    </row>
    <row r="32548" spans="1:1" x14ac:dyDescent="0.3">
      <c r="A32548" t="s">
        <v>0</v>
      </c>
    </row>
    <row r="32549" spans="1:1" x14ac:dyDescent="0.3">
      <c r="A32549" t="s">
        <v>0</v>
      </c>
    </row>
    <row r="32550" spans="1:1" x14ac:dyDescent="0.3">
      <c r="A32550" t="s">
        <v>0</v>
      </c>
    </row>
    <row r="32551" spans="1:1" x14ac:dyDescent="0.3">
      <c r="A32551" t="s">
        <v>0</v>
      </c>
    </row>
    <row r="32552" spans="1:1" x14ac:dyDescent="0.3">
      <c r="A32552" t="s">
        <v>0</v>
      </c>
    </row>
    <row r="32553" spans="1:1" x14ac:dyDescent="0.3">
      <c r="A32553" t="s">
        <v>0</v>
      </c>
    </row>
    <row r="32554" spans="1:1" x14ac:dyDescent="0.3">
      <c r="A32554" t="s">
        <v>0</v>
      </c>
    </row>
    <row r="32555" spans="1:1" x14ac:dyDescent="0.3">
      <c r="A32555" t="s">
        <v>0</v>
      </c>
    </row>
    <row r="32556" spans="1:1" x14ac:dyDescent="0.3">
      <c r="A32556" t="s">
        <v>0</v>
      </c>
    </row>
    <row r="32557" spans="1:1" x14ac:dyDescent="0.3">
      <c r="A32557" t="s">
        <v>0</v>
      </c>
    </row>
    <row r="32558" spans="1:1" x14ac:dyDescent="0.3">
      <c r="A32558" t="s">
        <v>0</v>
      </c>
    </row>
    <row r="32559" spans="1:1" x14ac:dyDescent="0.3">
      <c r="A32559" t="s">
        <v>0</v>
      </c>
    </row>
    <row r="32560" spans="1:1" x14ac:dyDescent="0.3">
      <c r="A32560" t="s">
        <v>0</v>
      </c>
    </row>
    <row r="32561" spans="1:1" x14ac:dyDescent="0.3">
      <c r="A32561" t="s">
        <v>0</v>
      </c>
    </row>
    <row r="32562" spans="1:1" x14ac:dyDescent="0.3">
      <c r="A32562" t="s">
        <v>0</v>
      </c>
    </row>
    <row r="32563" spans="1:1" x14ac:dyDescent="0.3">
      <c r="A32563" t="s">
        <v>0</v>
      </c>
    </row>
    <row r="32564" spans="1:1" x14ac:dyDescent="0.3">
      <c r="A32564" t="s">
        <v>0</v>
      </c>
    </row>
    <row r="32565" spans="1:1" x14ac:dyDescent="0.3">
      <c r="A32565" t="s">
        <v>0</v>
      </c>
    </row>
    <row r="32566" spans="1:1" x14ac:dyDescent="0.3">
      <c r="A32566" t="s">
        <v>0</v>
      </c>
    </row>
    <row r="32567" spans="1:1" x14ac:dyDescent="0.3">
      <c r="A32567" t="s">
        <v>0</v>
      </c>
    </row>
    <row r="32568" spans="1:1" x14ac:dyDescent="0.3">
      <c r="A32568" t="s">
        <v>0</v>
      </c>
    </row>
    <row r="32569" spans="1:1" x14ac:dyDescent="0.3">
      <c r="A32569" t="s">
        <v>0</v>
      </c>
    </row>
    <row r="32570" spans="1:1" x14ac:dyDescent="0.3">
      <c r="A32570" t="s">
        <v>0</v>
      </c>
    </row>
    <row r="32571" spans="1:1" x14ac:dyDescent="0.3">
      <c r="A32571" t="s">
        <v>0</v>
      </c>
    </row>
    <row r="32572" spans="1:1" x14ac:dyDescent="0.3">
      <c r="A32572" t="s">
        <v>0</v>
      </c>
    </row>
    <row r="32573" spans="1:1" x14ac:dyDescent="0.3">
      <c r="A32573" t="s">
        <v>0</v>
      </c>
    </row>
    <row r="32574" spans="1:1" x14ac:dyDescent="0.3">
      <c r="A32574" t="s">
        <v>0</v>
      </c>
    </row>
    <row r="32575" spans="1:1" x14ac:dyDescent="0.3">
      <c r="A32575" t="s">
        <v>0</v>
      </c>
    </row>
    <row r="32576" spans="1:1" x14ac:dyDescent="0.3">
      <c r="A32576" t="s">
        <v>0</v>
      </c>
    </row>
    <row r="32577" spans="1:1" x14ac:dyDescent="0.3">
      <c r="A32577" t="s">
        <v>0</v>
      </c>
    </row>
    <row r="32578" spans="1:1" x14ac:dyDescent="0.3">
      <c r="A32578" t="s">
        <v>0</v>
      </c>
    </row>
    <row r="32579" spans="1:1" x14ac:dyDescent="0.3">
      <c r="A32579" t="s">
        <v>0</v>
      </c>
    </row>
    <row r="32580" spans="1:1" x14ac:dyDescent="0.3">
      <c r="A32580" t="s">
        <v>0</v>
      </c>
    </row>
    <row r="32581" spans="1:1" x14ac:dyDescent="0.3">
      <c r="A32581" t="s">
        <v>0</v>
      </c>
    </row>
    <row r="32582" spans="1:1" x14ac:dyDescent="0.3">
      <c r="A32582" t="s">
        <v>0</v>
      </c>
    </row>
    <row r="32583" spans="1:1" x14ac:dyDescent="0.3">
      <c r="A32583" t="s">
        <v>0</v>
      </c>
    </row>
    <row r="32584" spans="1:1" x14ac:dyDescent="0.3">
      <c r="A32584" t="s">
        <v>0</v>
      </c>
    </row>
    <row r="32585" spans="1:1" x14ac:dyDescent="0.3">
      <c r="A32585" t="s">
        <v>0</v>
      </c>
    </row>
    <row r="32586" spans="1:1" x14ac:dyDescent="0.3">
      <c r="A32586" t="s">
        <v>0</v>
      </c>
    </row>
    <row r="32587" spans="1:1" x14ac:dyDescent="0.3">
      <c r="A32587" t="s">
        <v>0</v>
      </c>
    </row>
    <row r="32588" spans="1:1" x14ac:dyDescent="0.3">
      <c r="A32588" t="s">
        <v>0</v>
      </c>
    </row>
    <row r="32589" spans="1:1" x14ac:dyDescent="0.3">
      <c r="A32589" t="s">
        <v>0</v>
      </c>
    </row>
    <row r="32590" spans="1:1" x14ac:dyDescent="0.3">
      <c r="A32590" t="s">
        <v>0</v>
      </c>
    </row>
    <row r="32591" spans="1:1" x14ac:dyDescent="0.3">
      <c r="A32591" t="s">
        <v>0</v>
      </c>
    </row>
    <row r="32592" spans="1:1" x14ac:dyDescent="0.3">
      <c r="A32592" t="s">
        <v>0</v>
      </c>
    </row>
    <row r="32593" spans="1:1" x14ac:dyDescent="0.3">
      <c r="A32593" t="s">
        <v>0</v>
      </c>
    </row>
    <row r="32594" spans="1:1" x14ac:dyDescent="0.3">
      <c r="A32594" t="s">
        <v>0</v>
      </c>
    </row>
    <row r="32595" spans="1:1" x14ac:dyDescent="0.3">
      <c r="A32595" t="s">
        <v>0</v>
      </c>
    </row>
    <row r="32596" spans="1:1" x14ac:dyDescent="0.3">
      <c r="A32596" t="s">
        <v>0</v>
      </c>
    </row>
    <row r="32597" spans="1:1" x14ac:dyDescent="0.3">
      <c r="A32597" t="s">
        <v>0</v>
      </c>
    </row>
    <row r="32598" spans="1:1" x14ac:dyDescent="0.3">
      <c r="A32598" t="s">
        <v>0</v>
      </c>
    </row>
    <row r="32599" spans="1:1" x14ac:dyDescent="0.3">
      <c r="A32599" t="s">
        <v>0</v>
      </c>
    </row>
    <row r="32600" spans="1:1" x14ac:dyDescent="0.3">
      <c r="A32600" t="s">
        <v>0</v>
      </c>
    </row>
    <row r="32601" spans="1:1" x14ac:dyDescent="0.3">
      <c r="A32601" t="s">
        <v>0</v>
      </c>
    </row>
    <row r="32602" spans="1:1" x14ac:dyDescent="0.3">
      <c r="A32602" t="s">
        <v>0</v>
      </c>
    </row>
    <row r="32603" spans="1:1" x14ac:dyDescent="0.3">
      <c r="A32603" t="s">
        <v>0</v>
      </c>
    </row>
    <row r="32604" spans="1:1" x14ac:dyDescent="0.3">
      <c r="A32604" t="s">
        <v>0</v>
      </c>
    </row>
    <row r="32605" spans="1:1" x14ac:dyDescent="0.3">
      <c r="A32605" t="s">
        <v>0</v>
      </c>
    </row>
    <row r="32606" spans="1:1" x14ac:dyDescent="0.3">
      <c r="A32606" t="s">
        <v>0</v>
      </c>
    </row>
    <row r="32607" spans="1:1" x14ac:dyDescent="0.3">
      <c r="A32607" t="s">
        <v>0</v>
      </c>
    </row>
    <row r="32608" spans="1:1" x14ac:dyDescent="0.3">
      <c r="A32608" t="s">
        <v>0</v>
      </c>
    </row>
    <row r="32609" spans="1:1" x14ac:dyDescent="0.3">
      <c r="A32609" t="s">
        <v>0</v>
      </c>
    </row>
    <row r="32610" spans="1:1" x14ac:dyDescent="0.3">
      <c r="A32610" t="s">
        <v>0</v>
      </c>
    </row>
    <row r="32611" spans="1:1" x14ac:dyDescent="0.3">
      <c r="A32611" t="s">
        <v>0</v>
      </c>
    </row>
    <row r="32612" spans="1:1" x14ac:dyDescent="0.3">
      <c r="A32612" t="s">
        <v>0</v>
      </c>
    </row>
    <row r="32613" spans="1:1" x14ac:dyDescent="0.3">
      <c r="A32613" t="s">
        <v>0</v>
      </c>
    </row>
    <row r="32614" spans="1:1" x14ac:dyDescent="0.3">
      <c r="A32614" t="s">
        <v>0</v>
      </c>
    </row>
    <row r="32615" spans="1:1" x14ac:dyDescent="0.3">
      <c r="A32615" t="s">
        <v>0</v>
      </c>
    </row>
    <row r="32616" spans="1:1" x14ac:dyDescent="0.3">
      <c r="A32616" t="s">
        <v>0</v>
      </c>
    </row>
    <row r="32617" spans="1:1" x14ac:dyDescent="0.3">
      <c r="A32617" t="s">
        <v>0</v>
      </c>
    </row>
    <row r="32618" spans="1:1" x14ac:dyDescent="0.3">
      <c r="A32618" t="s">
        <v>0</v>
      </c>
    </row>
    <row r="32619" spans="1:1" x14ac:dyDescent="0.3">
      <c r="A32619" t="s">
        <v>0</v>
      </c>
    </row>
    <row r="32620" spans="1:1" x14ac:dyDescent="0.3">
      <c r="A32620" t="s">
        <v>0</v>
      </c>
    </row>
    <row r="32621" spans="1:1" x14ac:dyDescent="0.3">
      <c r="A32621" t="s">
        <v>0</v>
      </c>
    </row>
    <row r="32622" spans="1:1" x14ac:dyDescent="0.3">
      <c r="A32622" t="s">
        <v>0</v>
      </c>
    </row>
    <row r="32623" spans="1:1" x14ac:dyDescent="0.3">
      <c r="A32623" t="s">
        <v>0</v>
      </c>
    </row>
    <row r="32624" spans="1:1" x14ac:dyDescent="0.3">
      <c r="A32624" t="s">
        <v>0</v>
      </c>
    </row>
    <row r="32625" spans="1:1" x14ac:dyDescent="0.3">
      <c r="A32625" t="s">
        <v>0</v>
      </c>
    </row>
    <row r="32626" spans="1:1" x14ac:dyDescent="0.3">
      <c r="A32626" t="s">
        <v>0</v>
      </c>
    </row>
    <row r="32627" spans="1:1" x14ac:dyDescent="0.3">
      <c r="A32627" t="s">
        <v>0</v>
      </c>
    </row>
    <row r="32628" spans="1:1" x14ac:dyDescent="0.3">
      <c r="A32628" t="s">
        <v>0</v>
      </c>
    </row>
    <row r="32629" spans="1:1" x14ac:dyDescent="0.3">
      <c r="A32629" t="s">
        <v>0</v>
      </c>
    </row>
    <row r="32630" spans="1:1" x14ac:dyDescent="0.3">
      <c r="A32630" t="s">
        <v>0</v>
      </c>
    </row>
    <row r="32631" spans="1:1" x14ac:dyDescent="0.3">
      <c r="A32631" t="s">
        <v>0</v>
      </c>
    </row>
    <row r="32632" spans="1:1" x14ac:dyDescent="0.3">
      <c r="A32632" t="s">
        <v>0</v>
      </c>
    </row>
    <row r="32633" spans="1:1" x14ac:dyDescent="0.3">
      <c r="A32633" t="s">
        <v>0</v>
      </c>
    </row>
    <row r="32634" spans="1:1" x14ac:dyDescent="0.3">
      <c r="A32634" t="s">
        <v>0</v>
      </c>
    </row>
    <row r="32635" spans="1:1" x14ac:dyDescent="0.3">
      <c r="A32635" t="s">
        <v>0</v>
      </c>
    </row>
    <row r="32636" spans="1:1" x14ac:dyDescent="0.3">
      <c r="A32636" t="s">
        <v>0</v>
      </c>
    </row>
    <row r="32637" spans="1:1" x14ac:dyDescent="0.3">
      <c r="A32637" t="s">
        <v>0</v>
      </c>
    </row>
    <row r="32638" spans="1:1" x14ac:dyDescent="0.3">
      <c r="A32638" t="s">
        <v>0</v>
      </c>
    </row>
    <row r="32639" spans="1:1" x14ac:dyDescent="0.3">
      <c r="A32639" t="s">
        <v>0</v>
      </c>
    </row>
    <row r="32640" spans="1:1" x14ac:dyDescent="0.3">
      <c r="A32640" t="s">
        <v>0</v>
      </c>
    </row>
    <row r="32641" spans="1:1" x14ac:dyDescent="0.3">
      <c r="A32641" t="s">
        <v>0</v>
      </c>
    </row>
    <row r="32642" spans="1:1" x14ac:dyDescent="0.3">
      <c r="A32642" t="s">
        <v>0</v>
      </c>
    </row>
    <row r="32643" spans="1:1" x14ac:dyDescent="0.3">
      <c r="A32643" t="s">
        <v>0</v>
      </c>
    </row>
    <row r="32644" spans="1:1" x14ac:dyDescent="0.3">
      <c r="A32644" t="s">
        <v>0</v>
      </c>
    </row>
    <row r="32645" spans="1:1" x14ac:dyDescent="0.3">
      <c r="A32645" t="s">
        <v>0</v>
      </c>
    </row>
    <row r="32646" spans="1:1" x14ac:dyDescent="0.3">
      <c r="A32646" t="s">
        <v>0</v>
      </c>
    </row>
    <row r="32647" spans="1:1" x14ac:dyDescent="0.3">
      <c r="A32647" t="s">
        <v>0</v>
      </c>
    </row>
    <row r="32648" spans="1:1" x14ac:dyDescent="0.3">
      <c r="A32648" t="s">
        <v>0</v>
      </c>
    </row>
    <row r="32649" spans="1:1" x14ac:dyDescent="0.3">
      <c r="A32649" t="s">
        <v>0</v>
      </c>
    </row>
    <row r="32650" spans="1:1" x14ac:dyDescent="0.3">
      <c r="A32650" t="s">
        <v>0</v>
      </c>
    </row>
    <row r="32651" spans="1:1" x14ac:dyDescent="0.3">
      <c r="A32651" t="s">
        <v>0</v>
      </c>
    </row>
    <row r="32652" spans="1:1" x14ac:dyDescent="0.3">
      <c r="A32652" t="s">
        <v>0</v>
      </c>
    </row>
    <row r="32653" spans="1:1" x14ac:dyDescent="0.3">
      <c r="A32653" t="s">
        <v>0</v>
      </c>
    </row>
    <row r="32654" spans="1:1" x14ac:dyDescent="0.3">
      <c r="A32654" t="s">
        <v>0</v>
      </c>
    </row>
    <row r="32655" spans="1:1" x14ac:dyDescent="0.3">
      <c r="A32655" t="s">
        <v>0</v>
      </c>
    </row>
    <row r="32656" spans="1:1" x14ac:dyDescent="0.3">
      <c r="A32656" t="s">
        <v>0</v>
      </c>
    </row>
    <row r="32657" spans="1:1" x14ac:dyDescent="0.3">
      <c r="A32657" t="s">
        <v>0</v>
      </c>
    </row>
    <row r="32658" spans="1:1" x14ac:dyDescent="0.3">
      <c r="A32658" t="s">
        <v>0</v>
      </c>
    </row>
    <row r="32659" spans="1:1" x14ac:dyDescent="0.3">
      <c r="A32659" t="s">
        <v>0</v>
      </c>
    </row>
    <row r="32660" spans="1:1" x14ac:dyDescent="0.3">
      <c r="A32660" t="s">
        <v>0</v>
      </c>
    </row>
    <row r="32661" spans="1:1" x14ac:dyDescent="0.3">
      <c r="A32661" t="s">
        <v>0</v>
      </c>
    </row>
    <row r="32662" spans="1:1" x14ac:dyDescent="0.3">
      <c r="A32662" t="s">
        <v>0</v>
      </c>
    </row>
    <row r="32663" spans="1:1" x14ac:dyDescent="0.3">
      <c r="A32663" t="s">
        <v>0</v>
      </c>
    </row>
    <row r="32664" spans="1:1" x14ac:dyDescent="0.3">
      <c r="A32664" t="s">
        <v>0</v>
      </c>
    </row>
    <row r="32665" spans="1:1" x14ac:dyDescent="0.3">
      <c r="A32665" t="s">
        <v>0</v>
      </c>
    </row>
    <row r="32666" spans="1:1" x14ac:dyDescent="0.3">
      <c r="A32666" t="s">
        <v>0</v>
      </c>
    </row>
    <row r="32667" spans="1:1" x14ac:dyDescent="0.3">
      <c r="A32667" t="s">
        <v>0</v>
      </c>
    </row>
    <row r="32668" spans="1:1" x14ac:dyDescent="0.3">
      <c r="A32668" t="s">
        <v>0</v>
      </c>
    </row>
    <row r="32669" spans="1:1" x14ac:dyDescent="0.3">
      <c r="A32669" t="s">
        <v>0</v>
      </c>
    </row>
    <row r="32670" spans="1:1" x14ac:dyDescent="0.3">
      <c r="A32670" t="s">
        <v>0</v>
      </c>
    </row>
    <row r="32671" spans="1:1" x14ac:dyDescent="0.3">
      <c r="A32671" t="s">
        <v>0</v>
      </c>
    </row>
    <row r="32672" spans="1:1" x14ac:dyDescent="0.3">
      <c r="A32672" t="s">
        <v>0</v>
      </c>
    </row>
    <row r="32673" spans="1:1" x14ac:dyDescent="0.3">
      <c r="A32673" t="s">
        <v>0</v>
      </c>
    </row>
    <row r="32674" spans="1:1" x14ac:dyDescent="0.3">
      <c r="A32674" t="s">
        <v>0</v>
      </c>
    </row>
    <row r="32675" spans="1:1" x14ac:dyDescent="0.3">
      <c r="A32675" t="s">
        <v>0</v>
      </c>
    </row>
    <row r="32676" spans="1:1" x14ac:dyDescent="0.3">
      <c r="A32676" t="s">
        <v>0</v>
      </c>
    </row>
    <row r="32677" spans="1:1" x14ac:dyDescent="0.3">
      <c r="A32677" t="s">
        <v>0</v>
      </c>
    </row>
    <row r="32678" spans="1:1" x14ac:dyDescent="0.3">
      <c r="A32678" t="s">
        <v>0</v>
      </c>
    </row>
    <row r="32679" spans="1:1" x14ac:dyDescent="0.3">
      <c r="A32679" t="s">
        <v>0</v>
      </c>
    </row>
    <row r="32680" spans="1:1" x14ac:dyDescent="0.3">
      <c r="A32680" t="s">
        <v>0</v>
      </c>
    </row>
    <row r="32681" spans="1:1" x14ac:dyDescent="0.3">
      <c r="A32681" t="s">
        <v>0</v>
      </c>
    </row>
    <row r="32682" spans="1:1" x14ac:dyDescent="0.3">
      <c r="A32682" t="s">
        <v>0</v>
      </c>
    </row>
    <row r="32683" spans="1:1" x14ac:dyDescent="0.3">
      <c r="A32683" t="s">
        <v>0</v>
      </c>
    </row>
    <row r="32684" spans="1:1" x14ac:dyDescent="0.3">
      <c r="A32684" t="s">
        <v>0</v>
      </c>
    </row>
    <row r="32685" spans="1:1" x14ac:dyDescent="0.3">
      <c r="A32685" t="s">
        <v>0</v>
      </c>
    </row>
    <row r="32686" spans="1:1" x14ac:dyDescent="0.3">
      <c r="A32686" t="s">
        <v>0</v>
      </c>
    </row>
    <row r="32687" spans="1:1" x14ac:dyDescent="0.3">
      <c r="A32687" t="s">
        <v>0</v>
      </c>
    </row>
    <row r="32688" spans="1:1" x14ac:dyDescent="0.3">
      <c r="A32688" t="s">
        <v>0</v>
      </c>
    </row>
    <row r="32689" spans="1:1" x14ac:dyDescent="0.3">
      <c r="A32689" t="s">
        <v>0</v>
      </c>
    </row>
    <row r="32690" spans="1:1" x14ac:dyDescent="0.3">
      <c r="A32690" t="s">
        <v>0</v>
      </c>
    </row>
    <row r="32691" spans="1:1" x14ac:dyDescent="0.3">
      <c r="A32691" t="s">
        <v>0</v>
      </c>
    </row>
    <row r="32692" spans="1:1" x14ac:dyDescent="0.3">
      <c r="A32692" t="s">
        <v>0</v>
      </c>
    </row>
    <row r="32693" spans="1:1" x14ac:dyDescent="0.3">
      <c r="A32693" t="s">
        <v>0</v>
      </c>
    </row>
    <row r="32694" spans="1:1" x14ac:dyDescent="0.3">
      <c r="A32694" t="s">
        <v>0</v>
      </c>
    </row>
    <row r="32695" spans="1:1" x14ac:dyDescent="0.3">
      <c r="A32695" t="s">
        <v>0</v>
      </c>
    </row>
    <row r="32696" spans="1:1" x14ac:dyDescent="0.3">
      <c r="A32696" t="s">
        <v>0</v>
      </c>
    </row>
    <row r="32697" spans="1:1" x14ac:dyDescent="0.3">
      <c r="A32697" t="s">
        <v>0</v>
      </c>
    </row>
    <row r="32698" spans="1:1" x14ac:dyDescent="0.3">
      <c r="A32698" t="s">
        <v>0</v>
      </c>
    </row>
    <row r="32699" spans="1:1" x14ac:dyDescent="0.3">
      <c r="A32699" t="s">
        <v>0</v>
      </c>
    </row>
    <row r="32700" spans="1:1" x14ac:dyDescent="0.3">
      <c r="A32700" t="s">
        <v>0</v>
      </c>
    </row>
    <row r="32701" spans="1:1" x14ac:dyDescent="0.3">
      <c r="A32701" t="s">
        <v>0</v>
      </c>
    </row>
    <row r="32702" spans="1:1" x14ac:dyDescent="0.3">
      <c r="A32702" t="s">
        <v>0</v>
      </c>
    </row>
    <row r="32703" spans="1:1" x14ac:dyDescent="0.3">
      <c r="A32703" t="s">
        <v>0</v>
      </c>
    </row>
    <row r="32704" spans="1:1" x14ac:dyDescent="0.3">
      <c r="A32704" t="s">
        <v>0</v>
      </c>
    </row>
    <row r="32705" spans="1:1" x14ac:dyDescent="0.3">
      <c r="A32705" t="s">
        <v>0</v>
      </c>
    </row>
    <row r="32706" spans="1:1" x14ac:dyDescent="0.3">
      <c r="A32706" t="s">
        <v>0</v>
      </c>
    </row>
    <row r="32707" spans="1:1" x14ac:dyDescent="0.3">
      <c r="A32707" t="s">
        <v>0</v>
      </c>
    </row>
    <row r="32708" spans="1:1" x14ac:dyDescent="0.3">
      <c r="A32708" t="s">
        <v>0</v>
      </c>
    </row>
    <row r="32709" spans="1:1" x14ac:dyDescent="0.3">
      <c r="A32709" t="s">
        <v>0</v>
      </c>
    </row>
    <row r="32710" spans="1:1" x14ac:dyDescent="0.3">
      <c r="A32710" t="s">
        <v>0</v>
      </c>
    </row>
    <row r="32711" spans="1:1" x14ac:dyDescent="0.3">
      <c r="A32711" t="s">
        <v>0</v>
      </c>
    </row>
    <row r="32712" spans="1:1" x14ac:dyDescent="0.3">
      <c r="A32712" t="s">
        <v>0</v>
      </c>
    </row>
    <row r="32713" spans="1:1" x14ac:dyDescent="0.3">
      <c r="A32713" t="s">
        <v>0</v>
      </c>
    </row>
    <row r="32714" spans="1:1" x14ac:dyDescent="0.3">
      <c r="A32714" t="s">
        <v>0</v>
      </c>
    </row>
    <row r="32715" spans="1:1" x14ac:dyDescent="0.3">
      <c r="A32715" t="s">
        <v>0</v>
      </c>
    </row>
    <row r="32716" spans="1:1" x14ac:dyDescent="0.3">
      <c r="A32716" t="s">
        <v>0</v>
      </c>
    </row>
    <row r="32717" spans="1:1" x14ac:dyDescent="0.3">
      <c r="A32717" t="s">
        <v>0</v>
      </c>
    </row>
    <row r="32718" spans="1:1" x14ac:dyDescent="0.3">
      <c r="A32718" t="s">
        <v>0</v>
      </c>
    </row>
    <row r="32719" spans="1:1" x14ac:dyDescent="0.3">
      <c r="A32719" t="s">
        <v>0</v>
      </c>
    </row>
    <row r="32720" spans="1:1" x14ac:dyDescent="0.3">
      <c r="A32720" t="s">
        <v>0</v>
      </c>
    </row>
    <row r="32721" spans="1:1" x14ac:dyDescent="0.3">
      <c r="A32721" t="s">
        <v>0</v>
      </c>
    </row>
    <row r="32722" spans="1:1" x14ac:dyDescent="0.3">
      <c r="A32722" t="s">
        <v>0</v>
      </c>
    </row>
    <row r="32723" spans="1:1" x14ac:dyDescent="0.3">
      <c r="A32723" t="s">
        <v>0</v>
      </c>
    </row>
    <row r="32724" spans="1:1" x14ac:dyDescent="0.3">
      <c r="A32724" t="s">
        <v>0</v>
      </c>
    </row>
    <row r="32725" spans="1:1" x14ac:dyDescent="0.3">
      <c r="A32725" t="s">
        <v>0</v>
      </c>
    </row>
    <row r="32726" spans="1:1" x14ac:dyDescent="0.3">
      <c r="A32726" t="s">
        <v>0</v>
      </c>
    </row>
    <row r="32727" spans="1:1" x14ac:dyDescent="0.3">
      <c r="A32727" t="s">
        <v>0</v>
      </c>
    </row>
    <row r="32728" spans="1:1" x14ac:dyDescent="0.3">
      <c r="A32728" t="s">
        <v>0</v>
      </c>
    </row>
    <row r="32729" spans="1:1" x14ac:dyDescent="0.3">
      <c r="A32729" t="s">
        <v>0</v>
      </c>
    </row>
    <row r="32730" spans="1:1" x14ac:dyDescent="0.3">
      <c r="A32730" t="s">
        <v>0</v>
      </c>
    </row>
    <row r="32731" spans="1:1" x14ac:dyDescent="0.3">
      <c r="A32731" t="s">
        <v>0</v>
      </c>
    </row>
    <row r="32732" spans="1:1" x14ac:dyDescent="0.3">
      <c r="A32732" t="s">
        <v>0</v>
      </c>
    </row>
    <row r="32733" spans="1:1" x14ac:dyDescent="0.3">
      <c r="A32733" t="s">
        <v>0</v>
      </c>
    </row>
    <row r="32734" spans="1:1" x14ac:dyDescent="0.3">
      <c r="A32734" t="s">
        <v>0</v>
      </c>
    </row>
    <row r="32735" spans="1:1" x14ac:dyDescent="0.3">
      <c r="A32735" t="s">
        <v>0</v>
      </c>
    </row>
    <row r="32736" spans="1:1" x14ac:dyDescent="0.3">
      <c r="A32736" t="s">
        <v>0</v>
      </c>
    </row>
    <row r="32737" spans="1:1" x14ac:dyDescent="0.3">
      <c r="A32737" t="s">
        <v>0</v>
      </c>
    </row>
    <row r="32738" spans="1:1" x14ac:dyDescent="0.3">
      <c r="A32738" t="s">
        <v>0</v>
      </c>
    </row>
    <row r="32739" spans="1:1" x14ac:dyDescent="0.3">
      <c r="A32739" t="s">
        <v>0</v>
      </c>
    </row>
    <row r="32740" spans="1:1" x14ac:dyDescent="0.3">
      <c r="A32740" t="s">
        <v>0</v>
      </c>
    </row>
    <row r="32741" spans="1:1" x14ac:dyDescent="0.3">
      <c r="A32741" t="s">
        <v>0</v>
      </c>
    </row>
    <row r="32742" spans="1:1" x14ac:dyDescent="0.3">
      <c r="A32742" t="s">
        <v>0</v>
      </c>
    </row>
    <row r="32743" spans="1:1" x14ac:dyDescent="0.3">
      <c r="A32743" t="s">
        <v>0</v>
      </c>
    </row>
    <row r="32744" spans="1:1" x14ac:dyDescent="0.3">
      <c r="A32744" t="s">
        <v>0</v>
      </c>
    </row>
    <row r="32745" spans="1:1" x14ac:dyDescent="0.3">
      <c r="A32745" t="s">
        <v>0</v>
      </c>
    </row>
    <row r="32746" spans="1:1" x14ac:dyDescent="0.3">
      <c r="A32746" t="s">
        <v>0</v>
      </c>
    </row>
    <row r="32747" spans="1:1" x14ac:dyDescent="0.3">
      <c r="A32747" t="s">
        <v>0</v>
      </c>
    </row>
    <row r="32748" spans="1:1" x14ac:dyDescent="0.3">
      <c r="A32748" t="s">
        <v>0</v>
      </c>
    </row>
    <row r="32749" spans="1:1" x14ac:dyDescent="0.3">
      <c r="A32749" t="s">
        <v>0</v>
      </c>
    </row>
    <row r="32750" spans="1:1" x14ac:dyDescent="0.3">
      <c r="A32750" t="s">
        <v>0</v>
      </c>
    </row>
    <row r="32751" spans="1:1" x14ac:dyDescent="0.3">
      <c r="A32751" t="s">
        <v>0</v>
      </c>
    </row>
    <row r="32752" spans="1:1" x14ac:dyDescent="0.3">
      <c r="A32752" t="s">
        <v>0</v>
      </c>
    </row>
    <row r="32753" spans="1:1" x14ac:dyDescent="0.3">
      <c r="A32753" t="s">
        <v>0</v>
      </c>
    </row>
    <row r="32754" spans="1:1" x14ac:dyDescent="0.3">
      <c r="A32754" t="s">
        <v>0</v>
      </c>
    </row>
    <row r="32755" spans="1:1" x14ac:dyDescent="0.3">
      <c r="A32755" t="s">
        <v>0</v>
      </c>
    </row>
    <row r="32756" spans="1:1" x14ac:dyDescent="0.3">
      <c r="A32756" t="s">
        <v>0</v>
      </c>
    </row>
    <row r="32757" spans="1:1" x14ac:dyDescent="0.3">
      <c r="A32757" t="s">
        <v>0</v>
      </c>
    </row>
    <row r="32758" spans="1:1" x14ac:dyDescent="0.3">
      <c r="A32758" t="s">
        <v>0</v>
      </c>
    </row>
    <row r="32759" spans="1:1" x14ac:dyDescent="0.3">
      <c r="A32759" t="s">
        <v>0</v>
      </c>
    </row>
    <row r="32760" spans="1:1" x14ac:dyDescent="0.3">
      <c r="A32760" t="s">
        <v>0</v>
      </c>
    </row>
    <row r="32761" spans="1:1" x14ac:dyDescent="0.3">
      <c r="A32761" t="s">
        <v>0</v>
      </c>
    </row>
    <row r="32762" spans="1:1" x14ac:dyDescent="0.3">
      <c r="A32762" t="s">
        <v>0</v>
      </c>
    </row>
    <row r="32763" spans="1:1" x14ac:dyDescent="0.3">
      <c r="A32763" t="s">
        <v>0</v>
      </c>
    </row>
    <row r="32764" spans="1:1" x14ac:dyDescent="0.3">
      <c r="A32764" t="s">
        <v>0</v>
      </c>
    </row>
    <row r="32765" spans="1:1" x14ac:dyDescent="0.3">
      <c r="A32765" t="s">
        <v>0</v>
      </c>
    </row>
    <row r="32766" spans="1:1" x14ac:dyDescent="0.3">
      <c r="A32766" t="s">
        <v>0</v>
      </c>
    </row>
    <row r="32767" spans="1:1" x14ac:dyDescent="0.3">
      <c r="A32767" t="s">
        <v>0</v>
      </c>
    </row>
    <row r="32768" spans="1:1" x14ac:dyDescent="0.3">
      <c r="A32768" t="s">
        <v>0</v>
      </c>
    </row>
    <row r="32769" spans="1:1" x14ac:dyDescent="0.3">
      <c r="A32769" t="s">
        <v>0</v>
      </c>
    </row>
    <row r="32770" spans="1:1" x14ac:dyDescent="0.3">
      <c r="A32770" t="s">
        <v>0</v>
      </c>
    </row>
    <row r="32771" spans="1:1" x14ac:dyDescent="0.3">
      <c r="A32771" t="s">
        <v>0</v>
      </c>
    </row>
    <row r="32772" spans="1:1" x14ac:dyDescent="0.3">
      <c r="A32772" t="s">
        <v>0</v>
      </c>
    </row>
    <row r="32773" spans="1:1" x14ac:dyDescent="0.3">
      <c r="A32773" t="s">
        <v>0</v>
      </c>
    </row>
    <row r="32774" spans="1:1" x14ac:dyDescent="0.3">
      <c r="A32774" t="s">
        <v>0</v>
      </c>
    </row>
    <row r="32775" spans="1:1" x14ac:dyDescent="0.3">
      <c r="A32775" t="s">
        <v>0</v>
      </c>
    </row>
    <row r="32776" spans="1:1" x14ac:dyDescent="0.3">
      <c r="A32776" t="s">
        <v>0</v>
      </c>
    </row>
    <row r="32777" spans="1:1" x14ac:dyDescent="0.3">
      <c r="A32777" t="s">
        <v>0</v>
      </c>
    </row>
    <row r="32778" spans="1:1" x14ac:dyDescent="0.3">
      <c r="A32778" t="s">
        <v>0</v>
      </c>
    </row>
    <row r="32779" spans="1:1" x14ac:dyDescent="0.3">
      <c r="A32779" t="s">
        <v>0</v>
      </c>
    </row>
    <row r="32780" spans="1:1" x14ac:dyDescent="0.3">
      <c r="A32780" t="s">
        <v>0</v>
      </c>
    </row>
    <row r="32781" spans="1:1" x14ac:dyDescent="0.3">
      <c r="A32781" t="s">
        <v>0</v>
      </c>
    </row>
    <row r="32782" spans="1:1" x14ac:dyDescent="0.3">
      <c r="A32782" t="s">
        <v>0</v>
      </c>
    </row>
    <row r="32783" spans="1:1" x14ac:dyDescent="0.3">
      <c r="A32783" t="s">
        <v>0</v>
      </c>
    </row>
    <row r="32784" spans="1:1" x14ac:dyDescent="0.3">
      <c r="A32784" t="s">
        <v>0</v>
      </c>
    </row>
    <row r="32785" spans="1:1" x14ac:dyDescent="0.3">
      <c r="A32785" t="s">
        <v>0</v>
      </c>
    </row>
    <row r="32786" spans="1:1" x14ac:dyDescent="0.3">
      <c r="A32786" t="s">
        <v>0</v>
      </c>
    </row>
    <row r="32787" spans="1:1" x14ac:dyDescent="0.3">
      <c r="A32787" t="s">
        <v>0</v>
      </c>
    </row>
    <row r="32788" spans="1:1" x14ac:dyDescent="0.3">
      <c r="A32788" t="s">
        <v>0</v>
      </c>
    </row>
    <row r="32789" spans="1:1" x14ac:dyDescent="0.3">
      <c r="A32789" t="s">
        <v>0</v>
      </c>
    </row>
    <row r="32790" spans="1:1" x14ac:dyDescent="0.3">
      <c r="A32790" t="s">
        <v>0</v>
      </c>
    </row>
    <row r="32791" spans="1:1" x14ac:dyDescent="0.3">
      <c r="A32791" t="s">
        <v>0</v>
      </c>
    </row>
    <row r="32792" spans="1:1" x14ac:dyDescent="0.3">
      <c r="A32792" t="s">
        <v>0</v>
      </c>
    </row>
    <row r="32793" spans="1:1" x14ac:dyDescent="0.3">
      <c r="A32793" t="s">
        <v>0</v>
      </c>
    </row>
    <row r="32794" spans="1:1" x14ac:dyDescent="0.3">
      <c r="A32794" t="s">
        <v>0</v>
      </c>
    </row>
    <row r="32795" spans="1:1" x14ac:dyDescent="0.3">
      <c r="A32795" t="s">
        <v>0</v>
      </c>
    </row>
    <row r="32796" spans="1:1" x14ac:dyDescent="0.3">
      <c r="A32796" t="s">
        <v>0</v>
      </c>
    </row>
    <row r="32797" spans="1:1" x14ac:dyDescent="0.3">
      <c r="A32797" t="s">
        <v>0</v>
      </c>
    </row>
    <row r="32798" spans="1:1" x14ac:dyDescent="0.3">
      <c r="A32798" t="s">
        <v>0</v>
      </c>
    </row>
    <row r="32799" spans="1:1" x14ac:dyDescent="0.3">
      <c r="A32799" t="s">
        <v>0</v>
      </c>
    </row>
    <row r="32800" spans="1:1" x14ac:dyDescent="0.3">
      <c r="A32800" t="s">
        <v>0</v>
      </c>
    </row>
    <row r="32801" spans="1:1" x14ac:dyDescent="0.3">
      <c r="A32801" t="s">
        <v>0</v>
      </c>
    </row>
    <row r="32802" spans="1:1" x14ac:dyDescent="0.3">
      <c r="A32802" t="s">
        <v>0</v>
      </c>
    </row>
    <row r="32803" spans="1:1" x14ac:dyDescent="0.3">
      <c r="A32803" t="s">
        <v>0</v>
      </c>
    </row>
    <row r="32804" spans="1:1" x14ac:dyDescent="0.3">
      <c r="A32804" t="s">
        <v>0</v>
      </c>
    </row>
    <row r="32805" spans="1:1" x14ac:dyDescent="0.3">
      <c r="A32805" t="s">
        <v>0</v>
      </c>
    </row>
    <row r="32806" spans="1:1" x14ac:dyDescent="0.3">
      <c r="A32806" t="s">
        <v>0</v>
      </c>
    </row>
    <row r="32807" spans="1:1" x14ac:dyDescent="0.3">
      <c r="A32807" t="s">
        <v>0</v>
      </c>
    </row>
    <row r="32808" spans="1:1" x14ac:dyDescent="0.3">
      <c r="A32808" t="s">
        <v>0</v>
      </c>
    </row>
    <row r="32809" spans="1:1" x14ac:dyDescent="0.3">
      <c r="A32809" t="s">
        <v>0</v>
      </c>
    </row>
    <row r="32810" spans="1:1" x14ac:dyDescent="0.3">
      <c r="A32810" t="s">
        <v>0</v>
      </c>
    </row>
    <row r="32811" spans="1:1" x14ac:dyDescent="0.3">
      <c r="A32811" t="s">
        <v>0</v>
      </c>
    </row>
    <row r="32812" spans="1:1" x14ac:dyDescent="0.3">
      <c r="A32812" t="s">
        <v>0</v>
      </c>
    </row>
    <row r="32813" spans="1:1" x14ac:dyDescent="0.3">
      <c r="A32813" t="s">
        <v>0</v>
      </c>
    </row>
    <row r="32814" spans="1:1" x14ac:dyDescent="0.3">
      <c r="A32814" t="s">
        <v>0</v>
      </c>
    </row>
    <row r="32815" spans="1:1" x14ac:dyDescent="0.3">
      <c r="A32815" t="s">
        <v>0</v>
      </c>
    </row>
    <row r="32816" spans="1:1" x14ac:dyDescent="0.3">
      <c r="A32816" t="s">
        <v>0</v>
      </c>
    </row>
    <row r="32817" spans="1:1" x14ac:dyDescent="0.3">
      <c r="A32817" t="s">
        <v>0</v>
      </c>
    </row>
    <row r="32818" spans="1:1" x14ac:dyDescent="0.3">
      <c r="A32818" t="s">
        <v>0</v>
      </c>
    </row>
    <row r="32819" spans="1:1" x14ac:dyDescent="0.3">
      <c r="A32819" t="s">
        <v>0</v>
      </c>
    </row>
    <row r="32820" spans="1:1" x14ac:dyDescent="0.3">
      <c r="A32820" t="s">
        <v>0</v>
      </c>
    </row>
    <row r="32821" spans="1:1" x14ac:dyDescent="0.3">
      <c r="A32821" t="s">
        <v>0</v>
      </c>
    </row>
    <row r="32822" spans="1:1" x14ac:dyDescent="0.3">
      <c r="A32822" t="s">
        <v>0</v>
      </c>
    </row>
    <row r="32823" spans="1:1" x14ac:dyDescent="0.3">
      <c r="A32823" t="s">
        <v>0</v>
      </c>
    </row>
    <row r="32824" spans="1:1" x14ac:dyDescent="0.3">
      <c r="A32824" t="s">
        <v>0</v>
      </c>
    </row>
    <row r="32825" spans="1:1" x14ac:dyDescent="0.3">
      <c r="A32825" t="s">
        <v>0</v>
      </c>
    </row>
    <row r="32826" spans="1:1" x14ac:dyDescent="0.3">
      <c r="A32826" t="s">
        <v>0</v>
      </c>
    </row>
    <row r="32827" spans="1:1" x14ac:dyDescent="0.3">
      <c r="A32827" t="s">
        <v>0</v>
      </c>
    </row>
    <row r="32828" spans="1:1" x14ac:dyDescent="0.3">
      <c r="A32828" t="s">
        <v>0</v>
      </c>
    </row>
    <row r="32829" spans="1:1" x14ac:dyDescent="0.3">
      <c r="A32829" t="s">
        <v>0</v>
      </c>
    </row>
    <row r="32830" spans="1:1" x14ac:dyDescent="0.3">
      <c r="A32830" t="s">
        <v>0</v>
      </c>
    </row>
    <row r="32831" spans="1:1" x14ac:dyDescent="0.3">
      <c r="A32831" t="s">
        <v>0</v>
      </c>
    </row>
    <row r="32832" spans="1:1" x14ac:dyDescent="0.3">
      <c r="A32832" t="s">
        <v>0</v>
      </c>
    </row>
    <row r="32833" spans="1:1" x14ac:dyDescent="0.3">
      <c r="A32833" t="s">
        <v>0</v>
      </c>
    </row>
    <row r="32834" spans="1:1" x14ac:dyDescent="0.3">
      <c r="A32834" t="s">
        <v>0</v>
      </c>
    </row>
    <row r="32835" spans="1:1" x14ac:dyDescent="0.3">
      <c r="A32835" t="s">
        <v>0</v>
      </c>
    </row>
    <row r="32836" spans="1:1" x14ac:dyDescent="0.3">
      <c r="A32836" t="s">
        <v>0</v>
      </c>
    </row>
    <row r="32837" spans="1:1" x14ac:dyDescent="0.3">
      <c r="A32837" t="s">
        <v>0</v>
      </c>
    </row>
    <row r="32838" spans="1:1" x14ac:dyDescent="0.3">
      <c r="A32838" t="s">
        <v>0</v>
      </c>
    </row>
    <row r="32839" spans="1:1" x14ac:dyDescent="0.3">
      <c r="A32839" t="s">
        <v>0</v>
      </c>
    </row>
    <row r="32840" spans="1:1" x14ac:dyDescent="0.3">
      <c r="A32840" t="s">
        <v>0</v>
      </c>
    </row>
    <row r="32841" spans="1:1" x14ac:dyDescent="0.3">
      <c r="A32841" t="s">
        <v>0</v>
      </c>
    </row>
    <row r="32842" spans="1:1" x14ac:dyDescent="0.3">
      <c r="A32842" t="s">
        <v>0</v>
      </c>
    </row>
    <row r="32843" spans="1:1" x14ac:dyDescent="0.3">
      <c r="A32843" t="s">
        <v>0</v>
      </c>
    </row>
    <row r="32844" spans="1:1" x14ac:dyDescent="0.3">
      <c r="A32844" t="s">
        <v>0</v>
      </c>
    </row>
    <row r="32845" spans="1:1" x14ac:dyDescent="0.3">
      <c r="A32845" t="s">
        <v>0</v>
      </c>
    </row>
    <row r="32846" spans="1:1" x14ac:dyDescent="0.3">
      <c r="A32846" t="s">
        <v>0</v>
      </c>
    </row>
    <row r="32847" spans="1:1" x14ac:dyDescent="0.3">
      <c r="A32847" t="s">
        <v>0</v>
      </c>
    </row>
    <row r="32848" spans="1:1" x14ac:dyDescent="0.3">
      <c r="A32848" t="s">
        <v>0</v>
      </c>
    </row>
    <row r="32849" spans="1:1" x14ac:dyDescent="0.3">
      <c r="A32849" t="s">
        <v>0</v>
      </c>
    </row>
    <row r="32850" spans="1:1" x14ac:dyDescent="0.3">
      <c r="A32850" t="s">
        <v>0</v>
      </c>
    </row>
    <row r="32851" spans="1:1" x14ac:dyDescent="0.3">
      <c r="A32851" t="s">
        <v>0</v>
      </c>
    </row>
    <row r="32852" spans="1:1" x14ac:dyDescent="0.3">
      <c r="A32852" t="s">
        <v>0</v>
      </c>
    </row>
    <row r="32853" spans="1:1" x14ac:dyDescent="0.3">
      <c r="A32853" t="s">
        <v>0</v>
      </c>
    </row>
    <row r="32854" spans="1:1" x14ac:dyDescent="0.3">
      <c r="A32854" t="s">
        <v>0</v>
      </c>
    </row>
    <row r="32855" spans="1:1" x14ac:dyDescent="0.3">
      <c r="A32855" t="s">
        <v>0</v>
      </c>
    </row>
    <row r="32856" spans="1:1" x14ac:dyDescent="0.3">
      <c r="A32856" t="s">
        <v>0</v>
      </c>
    </row>
    <row r="32857" spans="1:1" x14ac:dyDescent="0.3">
      <c r="A32857" t="s">
        <v>0</v>
      </c>
    </row>
    <row r="32858" spans="1:1" x14ac:dyDescent="0.3">
      <c r="A32858" t="s">
        <v>0</v>
      </c>
    </row>
    <row r="32859" spans="1:1" x14ac:dyDescent="0.3">
      <c r="A32859" t="s">
        <v>0</v>
      </c>
    </row>
    <row r="32860" spans="1:1" x14ac:dyDescent="0.3">
      <c r="A32860" t="s">
        <v>0</v>
      </c>
    </row>
    <row r="32861" spans="1:1" x14ac:dyDescent="0.3">
      <c r="A32861" t="s">
        <v>0</v>
      </c>
    </row>
    <row r="32862" spans="1:1" x14ac:dyDescent="0.3">
      <c r="A32862" t="s">
        <v>0</v>
      </c>
    </row>
    <row r="32863" spans="1:1" x14ac:dyDescent="0.3">
      <c r="A32863" t="s">
        <v>0</v>
      </c>
    </row>
    <row r="32864" spans="1:1" x14ac:dyDescent="0.3">
      <c r="A32864" t="s">
        <v>0</v>
      </c>
    </row>
    <row r="32865" spans="1:1" x14ac:dyDescent="0.3">
      <c r="A32865" t="s">
        <v>0</v>
      </c>
    </row>
    <row r="32866" spans="1:1" x14ac:dyDescent="0.3">
      <c r="A32866" t="s">
        <v>0</v>
      </c>
    </row>
    <row r="32867" spans="1:1" x14ac:dyDescent="0.3">
      <c r="A32867" t="s">
        <v>0</v>
      </c>
    </row>
    <row r="32868" spans="1:1" x14ac:dyDescent="0.3">
      <c r="A32868" t="s">
        <v>0</v>
      </c>
    </row>
    <row r="32869" spans="1:1" x14ac:dyDescent="0.3">
      <c r="A32869" t="s">
        <v>0</v>
      </c>
    </row>
    <row r="32870" spans="1:1" x14ac:dyDescent="0.3">
      <c r="A32870" t="s">
        <v>0</v>
      </c>
    </row>
    <row r="32871" spans="1:1" x14ac:dyDescent="0.3">
      <c r="A32871" t="s">
        <v>0</v>
      </c>
    </row>
    <row r="32872" spans="1:1" x14ac:dyDescent="0.3">
      <c r="A32872" t="s">
        <v>0</v>
      </c>
    </row>
    <row r="32873" spans="1:1" x14ac:dyDescent="0.3">
      <c r="A32873" t="s">
        <v>0</v>
      </c>
    </row>
    <row r="32874" spans="1:1" x14ac:dyDescent="0.3">
      <c r="A32874" t="s">
        <v>0</v>
      </c>
    </row>
    <row r="32875" spans="1:1" x14ac:dyDescent="0.3">
      <c r="A32875" t="s">
        <v>0</v>
      </c>
    </row>
    <row r="32876" spans="1:1" x14ac:dyDescent="0.3">
      <c r="A32876" t="s">
        <v>0</v>
      </c>
    </row>
    <row r="32877" spans="1:1" x14ac:dyDescent="0.3">
      <c r="A32877" t="s">
        <v>0</v>
      </c>
    </row>
    <row r="32878" spans="1:1" x14ac:dyDescent="0.3">
      <c r="A32878" t="s">
        <v>0</v>
      </c>
    </row>
    <row r="32879" spans="1:1" x14ac:dyDescent="0.3">
      <c r="A32879" t="s">
        <v>0</v>
      </c>
    </row>
    <row r="32880" spans="1:1" x14ac:dyDescent="0.3">
      <c r="A32880" t="s">
        <v>0</v>
      </c>
    </row>
    <row r="32881" spans="1:1" x14ac:dyDescent="0.3">
      <c r="A32881" t="s">
        <v>0</v>
      </c>
    </row>
    <row r="32882" spans="1:1" x14ac:dyDescent="0.3">
      <c r="A32882" t="s">
        <v>0</v>
      </c>
    </row>
    <row r="32883" spans="1:1" x14ac:dyDescent="0.3">
      <c r="A32883" t="s">
        <v>0</v>
      </c>
    </row>
    <row r="32884" spans="1:1" x14ac:dyDescent="0.3">
      <c r="A32884" t="s">
        <v>0</v>
      </c>
    </row>
    <row r="32885" spans="1:1" x14ac:dyDescent="0.3">
      <c r="A32885" t="s">
        <v>0</v>
      </c>
    </row>
    <row r="32886" spans="1:1" x14ac:dyDescent="0.3">
      <c r="A32886" t="s">
        <v>0</v>
      </c>
    </row>
    <row r="32887" spans="1:1" x14ac:dyDescent="0.3">
      <c r="A32887" t="s">
        <v>0</v>
      </c>
    </row>
    <row r="32888" spans="1:1" x14ac:dyDescent="0.3">
      <c r="A32888" t="s">
        <v>0</v>
      </c>
    </row>
    <row r="32889" spans="1:1" x14ac:dyDescent="0.3">
      <c r="A32889" t="s">
        <v>0</v>
      </c>
    </row>
    <row r="32890" spans="1:1" x14ac:dyDescent="0.3">
      <c r="A32890" t="s">
        <v>0</v>
      </c>
    </row>
    <row r="32891" spans="1:1" x14ac:dyDescent="0.3">
      <c r="A32891" t="s">
        <v>0</v>
      </c>
    </row>
    <row r="32892" spans="1:1" x14ac:dyDescent="0.3">
      <c r="A32892" t="s">
        <v>0</v>
      </c>
    </row>
    <row r="32893" spans="1:1" x14ac:dyDescent="0.3">
      <c r="A32893" t="s">
        <v>0</v>
      </c>
    </row>
    <row r="32894" spans="1:1" x14ac:dyDescent="0.3">
      <c r="A32894" t="s">
        <v>0</v>
      </c>
    </row>
    <row r="32895" spans="1:1" x14ac:dyDescent="0.3">
      <c r="A32895" t="s">
        <v>0</v>
      </c>
    </row>
    <row r="32896" spans="1:1" x14ac:dyDescent="0.3">
      <c r="A32896" t="s">
        <v>0</v>
      </c>
    </row>
    <row r="32897" spans="1:1" x14ac:dyDescent="0.3">
      <c r="A32897" t="s">
        <v>0</v>
      </c>
    </row>
    <row r="32898" spans="1:1" x14ac:dyDescent="0.3">
      <c r="A32898" t="s">
        <v>0</v>
      </c>
    </row>
    <row r="32899" spans="1:1" x14ac:dyDescent="0.3">
      <c r="A32899" t="s">
        <v>0</v>
      </c>
    </row>
    <row r="32900" spans="1:1" x14ac:dyDescent="0.3">
      <c r="A32900" t="s">
        <v>0</v>
      </c>
    </row>
    <row r="32901" spans="1:1" x14ac:dyDescent="0.3">
      <c r="A32901" t="s">
        <v>0</v>
      </c>
    </row>
    <row r="32902" spans="1:1" x14ac:dyDescent="0.3">
      <c r="A32902" t="s">
        <v>0</v>
      </c>
    </row>
    <row r="32903" spans="1:1" x14ac:dyDescent="0.3">
      <c r="A32903" t="s">
        <v>0</v>
      </c>
    </row>
    <row r="32904" spans="1:1" x14ac:dyDescent="0.3">
      <c r="A32904" t="s">
        <v>0</v>
      </c>
    </row>
    <row r="32905" spans="1:1" x14ac:dyDescent="0.3">
      <c r="A32905" t="s">
        <v>0</v>
      </c>
    </row>
    <row r="32906" spans="1:1" x14ac:dyDescent="0.3">
      <c r="A32906" t="s">
        <v>0</v>
      </c>
    </row>
    <row r="32907" spans="1:1" x14ac:dyDescent="0.3">
      <c r="A32907" t="s">
        <v>0</v>
      </c>
    </row>
    <row r="32908" spans="1:1" x14ac:dyDescent="0.3">
      <c r="A32908" t="s">
        <v>0</v>
      </c>
    </row>
    <row r="32909" spans="1:1" x14ac:dyDescent="0.3">
      <c r="A32909" t="s">
        <v>0</v>
      </c>
    </row>
    <row r="32910" spans="1:1" x14ac:dyDescent="0.3">
      <c r="A32910" t="s">
        <v>0</v>
      </c>
    </row>
    <row r="32911" spans="1:1" x14ac:dyDescent="0.3">
      <c r="A32911" t="s">
        <v>0</v>
      </c>
    </row>
    <row r="32912" spans="1:1" x14ac:dyDescent="0.3">
      <c r="A32912" t="s">
        <v>0</v>
      </c>
    </row>
    <row r="32913" spans="1:1" x14ac:dyDescent="0.3">
      <c r="A32913" t="s">
        <v>0</v>
      </c>
    </row>
    <row r="32914" spans="1:1" x14ac:dyDescent="0.3">
      <c r="A32914" t="s">
        <v>0</v>
      </c>
    </row>
    <row r="32915" spans="1:1" x14ac:dyDescent="0.3">
      <c r="A32915" t="s">
        <v>0</v>
      </c>
    </row>
    <row r="32916" spans="1:1" x14ac:dyDescent="0.3">
      <c r="A32916" t="s">
        <v>0</v>
      </c>
    </row>
    <row r="32917" spans="1:1" x14ac:dyDescent="0.3">
      <c r="A32917" t="s">
        <v>0</v>
      </c>
    </row>
    <row r="32918" spans="1:1" x14ac:dyDescent="0.3">
      <c r="A32918" t="s">
        <v>0</v>
      </c>
    </row>
    <row r="32919" spans="1:1" x14ac:dyDescent="0.3">
      <c r="A32919" t="s">
        <v>0</v>
      </c>
    </row>
    <row r="32920" spans="1:1" x14ac:dyDescent="0.3">
      <c r="A32920" t="s">
        <v>0</v>
      </c>
    </row>
    <row r="32921" spans="1:1" x14ac:dyDescent="0.3">
      <c r="A32921" t="s">
        <v>0</v>
      </c>
    </row>
    <row r="32922" spans="1:1" x14ac:dyDescent="0.3">
      <c r="A32922" t="s">
        <v>0</v>
      </c>
    </row>
    <row r="32923" spans="1:1" x14ac:dyDescent="0.3">
      <c r="A32923" t="s">
        <v>0</v>
      </c>
    </row>
    <row r="32924" spans="1:1" x14ac:dyDescent="0.3">
      <c r="A32924" t="s">
        <v>0</v>
      </c>
    </row>
    <row r="32925" spans="1:1" x14ac:dyDescent="0.3">
      <c r="A32925" t="s">
        <v>0</v>
      </c>
    </row>
    <row r="32926" spans="1:1" x14ac:dyDescent="0.3">
      <c r="A32926" t="s">
        <v>0</v>
      </c>
    </row>
    <row r="32927" spans="1:1" x14ac:dyDescent="0.3">
      <c r="A32927" t="s">
        <v>0</v>
      </c>
    </row>
    <row r="32928" spans="1:1" x14ac:dyDescent="0.3">
      <c r="A32928" t="s">
        <v>0</v>
      </c>
    </row>
    <row r="32929" spans="1:1" x14ac:dyDescent="0.3">
      <c r="A32929" t="s">
        <v>0</v>
      </c>
    </row>
    <row r="32930" spans="1:1" x14ac:dyDescent="0.3">
      <c r="A32930" t="s">
        <v>0</v>
      </c>
    </row>
    <row r="32931" spans="1:1" x14ac:dyDescent="0.3">
      <c r="A32931" t="s">
        <v>0</v>
      </c>
    </row>
    <row r="32932" spans="1:1" x14ac:dyDescent="0.3">
      <c r="A32932" t="s">
        <v>0</v>
      </c>
    </row>
    <row r="32933" spans="1:1" x14ac:dyDescent="0.3">
      <c r="A32933" t="s">
        <v>0</v>
      </c>
    </row>
    <row r="32934" spans="1:1" x14ac:dyDescent="0.3">
      <c r="A32934" t="s">
        <v>0</v>
      </c>
    </row>
    <row r="32935" spans="1:1" x14ac:dyDescent="0.3">
      <c r="A32935" t="s">
        <v>0</v>
      </c>
    </row>
    <row r="32936" spans="1:1" x14ac:dyDescent="0.3">
      <c r="A32936" t="s">
        <v>0</v>
      </c>
    </row>
    <row r="32937" spans="1:1" x14ac:dyDescent="0.3">
      <c r="A32937" t="s">
        <v>0</v>
      </c>
    </row>
    <row r="32938" spans="1:1" x14ac:dyDescent="0.3">
      <c r="A32938" t="s">
        <v>0</v>
      </c>
    </row>
    <row r="32939" spans="1:1" x14ac:dyDescent="0.3">
      <c r="A32939" t="s">
        <v>0</v>
      </c>
    </row>
    <row r="32940" spans="1:1" x14ac:dyDescent="0.3">
      <c r="A32940" t="s">
        <v>0</v>
      </c>
    </row>
    <row r="32941" spans="1:1" x14ac:dyDescent="0.3">
      <c r="A32941" t="s">
        <v>0</v>
      </c>
    </row>
    <row r="32942" spans="1:1" x14ac:dyDescent="0.3">
      <c r="A32942" t="s">
        <v>0</v>
      </c>
    </row>
    <row r="32943" spans="1:1" x14ac:dyDescent="0.3">
      <c r="A32943" t="s">
        <v>0</v>
      </c>
    </row>
    <row r="32944" spans="1:1" x14ac:dyDescent="0.3">
      <c r="A32944" t="s">
        <v>0</v>
      </c>
    </row>
    <row r="32945" spans="1:1" x14ac:dyDescent="0.3">
      <c r="A32945" t="s">
        <v>0</v>
      </c>
    </row>
    <row r="32946" spans="1:1" x14ac:dyDescent="0.3">
      <c r="A32946" t="s">
        <v>0</v>
      </c>
    </row>
    <row r="32947" spans="1:1" x14ac:dyDescent="0.3">
      <c r="A32947" t="s">
        <v>0</v>
      </c>
    </row>
    <row r="32948" spans="1:1" x14ac:dyDescent="0.3">
      <c r="A32948" t="s">
        <v>0</v>
      </c>
    </row>
    <row r="32949" spans="1:1" x14ac:dyDescent="0.3">
      <c r="A32949" t="s">
        <v>0</v>
      </c>
    </row>
    <row r="32950" spans="1:1" x14ac:dyDescent="0.3">
      <c r="A32950" t="s">
        <v>0</v>
      </c>
    </row>
    <row r="32951" spans="1:1" x14ac:dyDescent="0.3">
      <c r="A32951" t="s">
        <v>0</v>
      </c>
    </row>
    <row r="32952" spans="1:1" x14ac:dyDescent="0.3">
      <c r="A32952" t="s">
        <v>0</v>
      </c>
    </row>
    <row r="32953" spans="1:1" x14ac:dyDescent="0.3">
      <c r="A32953" t="s">
        <v>0</v>
      </c>
    </row>
    <row r="32954" spans="1:1" x14ac:dyDescent="0.3">
      <c r="A32954" t="s">
        <v>0</v>
      </c>
    </row>
    <row r="32955" spans="1:1" x14ac:dyDescent="0.3">
      <c r="A32955" t="s">
        <v>0</v>
      </c>
    </row>
    <row r="32956" spans="1:1" x14ac:dyDescent="0.3">
      <c r="A32956" t="s">
        <v>0</v>
      </c>
    </row>
    <row r="32957" spans="1:1" x14ac:dyDescent="0.3">
      <c r="A32957" t="s">
        <v>0</v>
      </c>
    </row>
    <row r="32958" spans="1:1" x14ac:dyDescent="0.3">
      <c r="A32958" t="s">
        <v>0</v>
      </c>
    </row>
    <row r="32959" spans="1:1" x14ac:dyDescent="0.3">
      <c r="A32959" t="s">
        <v>0</v>
      </c>
    </row>
    <row r="32960" spans="1:1" x14ac:dyDescent="0.3">
      <c r="A32960" t="s">
        <v>0</v>
      </c>
    </row>
    <row r="32961" spans="1:1" x14ac:dyDescent="0.3">
      <c r="A32961" t="s">
        <v>0</v>
      </c>
    </row>
    <row r="32962" spans="1:1" x14ac:dyDescent="0.3">
      <c r="A32962" t="s">
        <v>0</v>
      </c>
    </row>
    <row r="32963" spans="1:1" x14ac:dyDescent="0.3">
      <c r="A32963" t="s">
        <v>0</v>
      </c>
    </row>
    <row r="32964" spans="1:1" x14ac:dyDescent="0.3">
      <c r="A32964" t="s">
        <v>0</v>
      </c>
    </row>
    <row r="32965" spans="1:1" x14ac:dyDescent="0.3">
      <c r="A32965" t="s">
        <v>0</v>
      </c>
    </row>
    <row r="32966" spans="1:1" x14ac:dyDescent="0.3">
      <c r="A32966" t="s">
        <v>0</v>
      </c>
    </row>
    <row r="32967" spans="1:1" x14ac:dyDescent="0.3">
      <c r="A32967" t="s">
        <v>0</v>
      </c>
    </row>
    <row r="32968" spans="1:1" x14ac:dyDescent="0.3">
      <c r="A32968" t="s">
        <v>0</v>
      </c>
    </row>
    <row r="32969" spans="1:1" x14ac:dyDescent="0.3">
      <c r="A32969" t="s">
        <v>0</v>
      </c>
    </row>
    <row r="32970" spans="1:1" x14ac:dyDescent="0.3">
      <c r="A32970" t="s">
        <v>0</v>
      </c>
    </row>
    <row r="32971" spans="1:1" x14ac:dyDescent="0.3">
      <c r="A32971" t="s">
        <v>0</v>
      </c>
    </row>
    <row r="32972" spans="1:1" x14ac:dyDescent="0.3">
      <c r="A32972" t="s">
        <v>0</v>
      </c>
    </row>
    <row r="32973" spans="1:1" x14ac:dyDescent="0.3">
      <c r="A32973" t="s">
        <v>0</v>
      </c>
    </row>
    <row r="32974" spans="1:1" x14ac:dyDescent="0.3">
      <c r="A32974" t="s">
        <v>0</v>
      </c>
    </row>
    <row r="32975" spans="1:1" x14ac:dyDescent="0.3">
      <c r="A32975" t="s">
        <v>0</v>
      </c>
    </row>
    <row r="32976" spans="1:1" x14ac:dyDescent="0.3">
      <c r="A32976" t="s">
        <v>0</v>
      </c>
    </row>
    <row r="32977" spans="1:1" x14ac:dyDescent="0.3">
      <c r="A32977" t="s">
        <v>0</v>
      </c>
    </row>
    <row r="32978" spans="1:1" x14ac:dyDescent="0.3">
      <c r="A32978" t="s">
        <v>0</v>
      </c>
    </row>
    <row r="32979" spans="1:1" x14ac:dyDescent="0.3">
      <c r="A32979" t="s">
        <v>0</v>
      </c>
    </row>
    <row r="32980" spans="1:1" x14ac:dyDescent="0.3">
      <c r="A32980" t="s">
        <v>0</v>
      </c>
    </row>
    <row r="32981" spans="1:1" x14ac:dyDescent="0.3">
      <c r="A32981" t="s">
        <v>0</v>
      </c>
    </row>
    <row r="32982" spans="1:1" x14ac:dyDescent="0.3">
      <c r="A32982" t="s">
        <v>0</v>
      </c>
    </row>
    <row r="32983" spans="1:1" x14ac:dyDescent="0.3">
      <c r="A32983" t="s">
        <v>0</v>
      </c>
    </row>
    <row r="32984" spans="1:1" x14ac:dyDescent="0.3">
      <c r="A32984" t="s">
        <v>0</v>
      </c>
    </row>
    <row r="32985" spans="1:1" x14ac:dyDescent="0.3">
      <c r="A32985" t="s">
        <v>0</v>
      </c>
    </row>
    <row r="32986" spans="1:1" x14ac:dyDescent="0.3">
      <c r="A32986" t="s">
        <v>0</v>
      </c>
    </row>
    <row r="32987" spans="1:1" x14ac:dyDescent="0.3">
      <c r="A32987" t="s">
        <v>0</v>
      </c>
    </row>
    <row r="32988" spans="1:1" x14ac:dyDescent="0.3">
      <c r="A32988" t="s">
        <v>0</v>
      </c>
    </row>
    <row r="32989" spans="1:1" x14ac:dyDescent="0.3">
      <c r="A32989" t="s">
        <v>0</v>
      </c>
    </row>
    <row r="32990" spans="1:1" x14ac:dyDescent="0.3">
      <c r="A32990" t="s">
        <v>0</v>
      </c>
    </row>
    <row r="32991" spans="1:1" x14ac:dyDescent="0.3">
      <c r="A32991" t="s">
        <v>0</v>
      </c>
    </row>
    <row r="32992" spans="1:1" x14ac:dyDescent="0.3">
      <c r="A32992" t="s">
        <v>0</v>
      </c>
    </row>
    <row r="32993" spans="1:1" x14ac:dyDescent="0.3">
      <c r="A32993" t="s">
        <v>0</v>
      </c>
    </row>
    <row r="32994" spans="1:1" x14ac:dyDescent="0.3">
      <c r="A32994" t="s">
        <v>0</v>
      </c>
    </row>
    <row r="32995" spans="1:1" x14ac:dyDescent="0.3">
      <c r="A32995" t="s">
        <v>0</v>
      </c>
    </row>
    <row r="32996" spans="1:1" x14ac:dyDescent="0.3">
      <c r="A32996" t="s">
        <v>0</v>
      </c>
    </row>
    <row r="32997" spans="1:1" x14ac:dyDescent="0.3">
      <c r="A32997" t="s">
        <v>0</v>
      </c>
    </row>
    <row r="32998" spans="1:1" x14ac:dyDescent="0.3">
      <c r="A32998" t="s">
        <v>0</v>
      </c>
    </row>
    <row r="32999" spans="1:1" x14ac:dyDescent="0.3">
      <c r="A32999" t="s">
        <v>0</v>
      </c>
    </row>
    <row r="33000" spans="1:1" x14ac:dyDescent="0.3">
      <c r="A33000" t="s">
        <v>0</v>
      </c>
    </row>
    <row r="33001" spans="1:1" x14ac:dyDescent="0.3">
      <c r="A33001" t="s">
        <v>0</v>
      </c>
    </row>
    <row r="33002" spans="1:1" x14ac:dyDescent="0.3">
      <c r="A33002" t="s">
        <v>0</v>
      </c>
    </row>
    <row r="33003" spans="1:1" x14ac:dyDescent="0.3">
      <c r="A33003" t="s">
        <v>0</v>
      </c>
    </row>
    <row r="33004" spans="1:1" x14ac:dyDescent="0.3">
      <c r="A33004" t="s">
        <v>0</v>
      </c>
    </row>
    <row r="33005" spans="1:1" x14ac:dyDescent="0.3">
      <c r="A33005" t="s">
        <v>0</v>
      </c>
    </row>
    <row r="33006" spans="1:1" x14ac:dyDescent="0.3">
      <c r="A33006" t="s">
        <v>0</v>
      </c>
    </row>
    <row r="33007" spans="1:1" x14ac:dyDescent="0.3">
      <c r="A33007" t="s">
        <v>0</v>
      </c>
    </row>
    <row r="33008" spans="1:1" x14ac:dyDescent="0.3">
      <c r="A33008" t="s">
        <v>0</v>
      </c>
    </row>
    <row r="33009" spans="1:1" x14ac:dyDescent="0.3">
      <c r="A33009" t="s">
        <v>0</v>
      </c>
    </row>
    <row r="33010" spans="1:1" x14ac:dyDescent="0.3">
      <c r="A33010" t="s">
        <v>0</v>
      </c>
    </row>
    <row r="33011" spans="1:1" x14ac:dyDescent="0.3">
      <c r="A33011" t="s">
        <v>0</v>
      </c>
    </row>
    <row r="33012" spans="1:1" x14ac:dyDescent="0.3">
      <c r="A33012" t="s">
        <v>0</v>
      </c>
    </row>
    <row r="33013" spans="1:1" x14ac:dyDescent="0.3">
      <c r="A33013" t="s">
        <v>0</v>
      </c>
    </row>
    <row r="33014" spans="1:1" x14ac:dyDescent="0.3">
      <c r="A33014" t="s">
        <v>0</v>
      </c>
    </row>
    <row r="33015" spans="1:1" x14ac:dyDescent="0.3">
      <c r="A33015" t="s">
        <v>0</v>
      </c>
    </row>
    <row r="33016" spans="1:1" x14ac:dyDescent="0.3">
      <c r="A33016" t="s">
        <v>0</v>
      </c>
    </row>
    <row r="33017" spans="1:1" x14ac:dyDescent="0.3">
      <c r="A33017" t="s">
        <v>0</v>
      </c>
    </row>
    <row r="33018" spans="1:1" x14ac:dyDescent="0.3">
      <c r="A33018" t="s">
        <v>0</v>
      </c>
    </row>
    <row r="33019" spans="1:1" x14ac:dyDescent="0.3">
      <c r="A33019" t="s">
        <v>0</v>
      </c>
    </row>
    <row r="33020" spans="1:1" x14ac:dyDescent="0.3">
      <c r="A33020" t="s">
        <v>0</v>
      </c>
    </row>
    <row r="33021" spans="1:1" x14ac:dyDescent="0.3">
      <c r="A33021" t="s">
        <v>0</v>
      </c>
    </row>
    <row r="33022" spans="1:1" x14ac:dyDescent="0.3">
      <c r="A33022" t="s">
        <v>0</v>
      </c>
    </row>
    <row r="33023" spans="1:1" x14ac:dyDescent="0.3">
      <c r="A33023" t="s">
        <v>0</v>
      </c>
    </row>
    <row r="33024" spans="1:1" x14ac:dyDescent="0.3">
      <c r="A33024" t="s">
        <v>0</v>
      </c>
    </row>
    <row r="33025" spans="1:1" x14ac:dyDescent="0.3">
      <c r="A33025" t="s">
        <v>0</v>
      </c>
    </row>
    <row r="33026" spans="1:1" x14ac:dyDescent="0.3">
      <c r="A33026" t="s">
        <v>0</v>
      </c>
    </row>
    <row r="33027" spans="1:1" x14ac:dyDescent="0.3">
      <c r="A33027" t="s">
        <v>0</v>
      </c>
    </row>
    <row r="33028" spans="1:1" x14ac:dyDescent="0.3">
      <c r="A33028" t="s">
        <v>0</v>
      </c>
    </row>
    <row r="33029" spans="1:1" x14ac:dyDescent="0.3">
      <c r="A33029" t="s">
        <v>0</v>
      </c>
    </row>
    <row r="33030" spans="1:1" x14ac:dyDescent="0.3">
      <c r="A33030" t="s">
        <v>0</v>
      </c>
    </row>
    <row r="33031" spans="1:1" x14ac:dyDescent="0.3">
      <c r="A33031" t="s">
        <v>0</v>
      </c>
    </row>
    <row r="33032" spans="1:1" x14ac:dyDescent="0.3">
      <c r="A33032" t="s">
        <v>0</v>
      </c>
    </row>
    <row r="33033" spans="1:1" x14ac:dyDescent="0.3">
      <c r="A33033" t="s">
        <v>0</v>
      </c>
    </row>
    <row r="33034" spans="1:1" x14ac:dyDescent="0.3">
      <c r="A33034" t="s">
        <v>0</v>
      </c>
    </row>
    <row r="33035" spans="1:1" x14ac:dyDescent="0.3">
      <c r="A33035" t="s">
        <v>0</v>
      </c>
    </row>
    <row r="33036" spans="1:1" x14ac:dyDescent="0.3">
      <c r="A33036" t="s">
        <v>0</v>
      </c>
    </row>
    <row r="33037" spans="1:1" x14ac:dyDescent="0.3">
      <c r="A33037" t="s">
        <v>0</v>
      </c>
    </row>
    <row r="33038" spans="1:1" x14ac:dyDescent="0.3">
      <c r="A33038" t="s">
        <v>0</v>
      </c>
    </row>
    <row r="33039" spans="1:1" x14ac:dyDescent="0.3">
      <c r="A33039" t="s">
        <v>0</v>
      </c>
    </row>
    <row r="33040" spans="1:1" x14ac:dyDescent="0.3">
      <c r="A33040" t="s">
        <v>0</v>
      </c>
    </row>
    <row r="33041" spans="1:1" x14ac:dyDescent="0.3">
      <c r="A33041" t="s">
        <v>0</v>
      </c>
    </row>
    <row r="33042" spans="1:1" x14ac:dyDescent="0.3">
      <c r="A33042" t="s">
        <v>0</v>
      </c>
    </row>
    <row r="33043" spans="1:1" x14ac:dyDescent="0.3">
      <c r="A33043" t="s">
        <v>0</v>
      </c>
    </row>
    <row r="33044" spans="1:1" x14ac:dyDescent="0.3">
      <c r="A33044" t="s">
        <v>0</v>
      </c>
    </row>
    <row r="33045" spans="1:1" x14ac:dyDescent="0.3">
      <c r="A33045" t="s">
        <v>0</v>
      </c>
    </row>
    <row r="33046" spans="1:1" x14ac:dyDescent="0.3">
      <c r="A33046" t="s">
        <v>0</v>
      </c>
    </row>
    <row r="33047" spans="1:1" x14ac:dyDescent="0.3">
      <c r="A33047" t="s">
        <v>0</v>
      </c>
    </row>
    <row r="33048" spans="1:1" x14ac:dyDescent="0.3">
      <c r="A33048" t="s">
        <v>0</v>
      </c>
    </row>
    <row r="33049" spans="1:1" x14ac:dyDescent="0.3">
      <c r="A33049" t="s">
        <v>0</v>
      </c>
    </row>
    <row r="33050" spans="1:1" x14ac:dyDescent="0.3">
      <c r="A33050" t="s">
        <v>0</v>
      </c>
    </row>
    <row r="33051" spans="1:1" x14ac:dyDescent="0.3">
      <c r="A33051" t="s">
        <v>0</v>
      </c>
    </row>
    <row r="33052" spans="1:1" x14ac:dyDescent="0.3">
      <c r="A33052" t="s">
        <v>0</v>
      </c>
    </row>
    <row r="33053" spans="1:1" x14ac:dyDescent="0.3">
      <c r="A33053" t="s">
        <v>0</v>
      </c>
    </row>
    <row r="33054" spans="1:1" x14ac:dyDescent="0.3">
      <c r="A33054" t="s">
        <v>0</v>
      </c>
    </row>
    <row r="33055" spans="1:1" x14ac:dyDescent="0.3">
      <c r="A33055" t="s">
        <v>0</v>
      </c>
    </row>
    <row r="33056" spans="1:1" x14ac:dyDescent="0.3">
      <c r="A33056" t="s">
        <v>0</v>
      </c>
    </row>
    <row r="33057" spans="1:1" x14ac:dyDescent="0.3">
      <c r="A33057" t="s">
        <v>0</v>
      </c>
    </row>
    <row r="33058" spans="1:1" x14ac:dyDescent="0.3">
      <c r="A33058" t="s">
        <v>0</v>
      </c>
    </row>
    <row r="33059" spans="1:1" x14ac:dyDescent="0.3">
      <c r="A33059" t="s">
        <v>0</v>
      </c>
    </row>
    <row r="33060" spans="1:1" x14ac:dyDescent="0.3">
      <c r="A33060" t="s">
        <v>0</v>
      </c>
    </row>
    <row r="33061" spans="1:1" x14ac:dyDescent="0.3">
      <c r="A33061" t="s">
        <v>0</v>
      </c>
    </row>
    <row r="33062" spans="1:1" x14ac:dyDescent="0.3">
      <c r="A33062" t="s">
        <v>0</v>
      </c>
    </row>
    <row r="33063" spans="1:1" x14ac:dyDescent="0.3">
      <c r="A33063" t="s">
        <v>0</v>
      </c>
    </row>
    <row r="33064" spans="1:1" x14ac:dyDescent="0.3">
      <c r="A33064" t="s">
        <v>0</v>
      </c>
    </row>
    <row r="33065" spans="1:1" x14ac:dyDescent="0.3">
      <c r="A33065" t="s">
        <v>0</v>
      </c>
    </row>
    <row r="33066" spans="1:1" x14ac:dyDescent="0.3">
      <c r="A33066" t="s">
        <v>0</v>
      </c>
    </row>
    <row r="33067" spans="1:1" x14ac:dyDescent="0.3">
      <c r="A33067" t="s">
        <v>0</v>
      </c>
    </row>
    <row r="33068" spans="1:1" x14ac:dyDescent="0.3">
      <c r="A33068" t="s">
        <v>0</v>
      </c>
    </row>
    <row r="33069" spans="1:1" x14ac:dyDescent="0.3">
      <c r="A33069" t="s">
        <v>0</v>
      </c>
    </row>
    <row r="33070" spans="1:1" x14ac:dyDescent="0.3">
      <c r="A33070" t="s">
        <v>0</v>
      </c>
    </row>
    <row r="33071" spans="1:1" x14ac:dyDescent="0.3">
      <c r="A33071" t="s">
        <v>0</v>
      </c>
    </row>
    <row r="33072" spans="1:1" x14ac:dyDescent="0.3">
      <c r="A33072" t="s">
        <v>0</v>
      </c>
    </row>
    <row r="33073" spans="1:1" x14ac:dyDescent="0.3">
      <c r="A33073" t="s">
        <v>0</v>
      </c>
    </row>
    <row r="33074" spans="1:1" x14ac:dyDescent="0.3">
      <c r="A33074" t="s">
        <v>0</v>
      </c>
    </row>
    <row r="33075" spans="1:1" x14ac:dyDescent="0.3">
      <c r="A33075" t="s">
        <v>0</v>
      </c>
    </row>
    <row r="33076" spans="1:1" x14ac:dyDescent="0.3">
      <c r="A33076" t="s">
        <v>0</v>
      </c>
    </row>
    <row r="33077" spans="1:1" x14ac:dyDescent="0.3">
      <c r="A33077" t="s">
        <v>0</v>
      </c>
    </row>
    <row r="33078" spans="1:1" x14ac:dyDescent="0.3">
      <c r="A33078" t="s">
        <v>0</v>
      </c>
    </row>
    <row r="33079" spans="1:1" x14ac:dyDescent="0.3">
      <c r="A33079" t="s">
        <v>0</v>
      </c>
    </row>
    <row r="33080" spans="1:1" x14ac:dyDescent="0.3">
      <c r="A33080" t="s">
        <v>0</v>
      </c>
    </row>
    <row r="33081" spans="1:1" x14ac:dyDescent="0.3">
      <c r="A33081" t="s">
        <v>0</v>
      </c>
    </row>
    <row r="33082" spans="1:1" x14ac:dyDescent="0.3">
      <c r="A33082" t="s">
        <v>0</v>
      </c>
    </row>
    <row r="33083" spans="1:1" x14ac:dyDescent="0.3">
      <c r="A33083" t="s">
        <v>0</v>
      </c>
    </row>
    <row r="33084" spans="1:1" x14ac:dyDescent="0.3">
      <c r="A33084" t="s">
        <v>0</v>
      </c>
    </row>
    <row r="33085" spans="1:1" x14ac:dyDescent="0.3">
      <c r="A33085" t="s">
        <v>0</v>
      </c>
    </row>
    <row r="33086" spans="1:1" x14ac:dyDescent="0.3">
      <c r="A33086" t="s">
        <v>0</v>
      </c>
    </row>
    <row r="33087" spans="1:1" x14ac:dyDescent="0.3">
      <c r="A33087" t="s">
        <v>0</v>
      </c>
    </row>
    <row r="33088" spans="1:1" x14ac:dyDescent="0.3">
      <c r="A33088" t="s">
        <v>0</v>
      </c>
    </row>
    <row r="33089" spans="1:1" x14ac:dyDescent="0.3">
      <c r="A33089" t="s">
        <v>0</v>
      </c>
    </row>
    <row r="33090" spans="1:1" x14ac:dyDescent="0.3">
      <c r="A33090" t="s">
        <v>0</v>
      </c>
    </row>
    <row r="33091" spans="1:1" x14ac:dyDescent="0.3">
      <c r="A33091" t="s">
        <v>0</v>
      </c>
    </row>
    <row r="33092" spans="1:1" x14ac:dyDescent="0.3">
      <c r="A33092" t="s">
        <v>0</v>
      </c>
    </row>
    <row r="33093" spans="1:1" x14ac:dyDescent="0.3">
      <c r="A33093" t="s">
        <v>0</v>
      </c>
    </row>
    <row r="33094" spans="1:1" x14ac:dyDescent="0.3">
      <c r="A33094" t="s">
        <v>0</v>
      </c>
    </row>
    <row r="33095" spans="1:1" x14ac:dyDescent="0.3">
      <c r="A33095" t="s">
        <v>0</v>
      </c>
    </row>
    <row r="33096" spans="1:1" x14ac:dyDescent="0.3">
      <c r="A33096" t="s">
        <v>0</v>
      </c>
    </row>
    <row r="33097" spans="1:1" x14ac:dyDescent="0.3">
      <c r="A33097" t="s">
        <v>0</v>
      </c>
    </row>
    <row r="33098" spans="1:1" x14ac:dyDescent="0.3">
      <c r="A33098" t="s">
        <v>0</v>
      </c>
    </row>
    <row r="33099" spans="1:1" x14ac:dyDescent="0.3">
      <c r="A33099" t="s">
        <v>0</v>
      </c>
    </row>
    <row r="33100" spans="1:1" x14ac:dyDescent="0.3">
      <c r="A33100" t="s">
        <v>0</v>
      </c>
    </row>
    <row r="33101" spans="1:1" x14ac:dyDescent="0.3">
      <c r="A33101" t="s">
        <v>0</v>
      </c>
    </row>
    <row r="33102" spans="1:1" x14ac:dyDescent="0.3">
      <c r="A33102" t="s">
        <v>0</v>
      </c>
    </row>
    <row r="33103" spans="1:1" x14ac:dyDescent="0.3">
      <c r="A33103" t="s">
        <v>0</v>
      </c>
    </row>
    <row r="33104" spans="1:1" x14ac:dyDescent="0.3">
      <c r="A33104" t="s">
        <v>0</v>
      </c>
    </row>
    <row r="33105" spans="1:1" x14ac:dyDescent="0.3">
      <c r="A33105" t="s">
        <v>0</v>
      </c>
    </row>
    <row r="33106" spans="1:1" x14ac:dyDescent="0.3">
      <c r="A33106" t="s">
        <v>0</v>
      </c>
    </row>
    <row r="33107" spans="1:1" x14ac:dyDescent="0.3">
      <c r="A33107" t="s">
        <v>0</v>
      </c>
    </row>
    <row r="33108" spans="1:1" x14ac:dyDescent="0.3">
      <c r="A33108" t="s">
        <v>0</v>
      </c>
    </row>
    <row r="33109" spans="1:1" x14ac:dyDescent="0.3">
      <c r="A33109" t="s">
        <v>0</v>
      </c>
    </row>
    <row r="33110" spans="1:1" x14ac:dyDescent="0.3">
      <c r="A33110" t="s">
        <v>0</v>
      </c>
    </row>
    <row r="33111" spans="1:1" x14ac:dyDescent="0.3">
      <c r="A33111" t="s">
        <v>0</v>
      </c>
    </row>
    <row r="33112" spans="1:1" x14ac:dyDescent="0.3">
      <c r="A33112" t="s">
        <v>0</v>
      </c>
    </row>
    <row r="33113" spans="1:1" x14ac:dyDescent="0.3">
      <c r="A33113" t="s">
        <v>0</v>
      </c>
    </row>
    <row r="33114" spans="1:1" x14ac:dyDescent="0.3">
      <c r="A33114" t="s">
        <v>0</v>
      </c>
    </row>
    <row r="33115" spans="1:1" x14ac:dyDescent="0.3">
      <c r="A33115" t="s">
        <v>0</v>
      </c>
    </row>
    <row r="33116" spans="1:1" x14ac:dyDescent="0.3">
      <c r="A33116" t="s">
        <v>0</v>
      </c>
    </row>
    <row r="33117" spans="1:1" x14ac:dyDescent="0.3">
      <c r="A33117" t="s">
        <v>0</v>
      </c>
    </row>
    <row r="33118" spans="1:1" x14ac:dyDescent="0.3">
      <c r="A33118" t="s">
        <v>0</v>
      </c>
    </row>
    <row r="33119" spans="1:1" x14ac:dyDescent="0.3">
      <c r="A33119" t="s">
        <v>0</v>
      </c>
    </row>
    <row r="33120" spans="1:1" x14ac:dyDescent="0.3">
      <c r="A33120" t="s">
        <v>0</v>
      </c>
    </row>
    <row r="33121" spans="1:1" x14ac:dyDescent="0.3">
      <c r="A33121" t="s">
        <v>0</v>
      </c>
    </row>
    <row r="33122" spans="1:1" x14ac:dyDescent="0.3">
      <c r="A33122" t="s">
        <v>0</v>
      </c>
    </row>
    <row r="33123" spans="1:1" x14ac:dyDescent="0.3">
      <c r="A33123" t="s">
        <v>0</v>
      </c>
    </row>
    <row r="33124" spans="1:1" x14ac:dyDescent="0.3">
      <c r="A33124" t="s">
        <v>0</v>
      </c>
    </row>
    <row r="33125" spans="1:1" x14ac:dyDescent="0.3">
      <c r="A33125" t="s">
        <v>0</v>
      </c>
    </row>
    <row r="33126" spans="1:1" x14ac:dyDescent="0.3">
      <c r="A33126" t="s">
        <v>0</v>
      </c>
    </row>
    <row r="33127" spans="1:1" x14ac:dyDescent="0.3">
      <c r="A33127" t="s">
        <v>0</v>
      </c>
    </row>
    <row r="33128" spans="1:1" x14ac:dyDescent="0.3">
      <c r="A33128" t="s">
        <v>0</v>
      </c>
    </row>
    <row r="33129" spans="1:1" x14ac:dyDescent="0.3">
      <c r="A33129" t="s">
        <v>0</v>
      </c>
    </row>
    <row r="33130" spans="1:1" x14ac:dyDescent="0.3">
      <c r="A33130" t="s">
        <v>0</v>
      </c>
    </row>
    <row r="33131" spans="1:1" x14ac:dyDescent="0.3">
      <c r="A33131" t="s">
        <v>0</v>
      </c>
    </row>
    <row r="33132" spans="1:1" x14ac:dyDescent="0.3">
      <c r="A33132" t="s">
        <v>0</v>
      </c>
    </row>
    <row r="33133" spans="1:1" x14ac:dyDescent="0.3">
      <c r="A33133" t="s">
        <v>0</v>
      </c>
    </row>
    <row r="33134" spans="1:1" x14ac:dyDescent="0.3">
      <c r="A33134" t="s">
        <v>0</v>
      </c>
    </row>
    <row r="33135" spans="1:1" x14ac:dyDescent="0.3">
      <c r="A33135" t="s">
        <v>0</v>
      </c>
    </row>
    <row r="33136" spans="1:1" x14ac:dyDescent="0.3">
      <c r="A33136" t="s">
        <v>0</v>
      </c>
    </row>
    <row r="33137" spans="1:1" x14ac:dyDescent="0.3">
      <c r="A33137" t="s">
        <v>0</v>
      </c>
    </row>
    <row r="33138" spans="1:1" x14ac:dyDescent="0.3">
      <c r="A33138" t="s">
        <v>0</v>
      </c>
    </row>
    <row r="33139" spans="1:1" x14ac:dyDescent="0.3">
      <c r="A33139" t="s">
        <v>0</v>
      </c>
    </row>
    <row r="33140" spans="1:1" x14ac:dyDescent="0.3">
      <c r="A33140" t="s">
        <v>0</v>
      </c>
    </row>
    <row r="33141" spans="1:1" x14ac:dyDescent="0.3">
      <c r="A33141" t="s">
        <v>0</v>
      </c>
    </row>
    <row r="33142" spans="1:1" x14ac:dyDescent="0.3">
      <c r="A33142" t="s">
        <v>0</v>
      </c>
    </row>
    <row r="33143" spans="1:1" x14ac:dyDescent="0.3">
      <c r="A33143" t="s">
        <v>0</v>
      </c>
    </row>
    <row r="33144" spans="1:1" x14ac:dyDescent="0.3">
      <c r="A33144" t="s">
        <v>0</v>
      </c>
    </row>
    <row r="33145" spans="1:1" x14ac:dyDescent="0.3">
      <c r="A33145" t="s">
        <v>0</v>
      </c>
    </row>
    <row r="33146" spans="1:1" x14ac:dyDescent="0.3">
      <c r="A33146" t="s">
        <v>0</v>
      </c>
    </row>
    <row r="33147" spans="1:1" x14ac:dyDescent="0.3">
      <c r="A33147" t="s">
        <v>0</v>
      </c>
    </row>
    <row r="33148" spans="1:1" x14ac:dyDescent="0.3">
      <c r="A33148" t="s">
        <v>0</v>
      </c>
    </row>
    <row r="33149" spans="1:1" x14ac:dyDescent="0.3">
      <c r="A33149" t="s">
        <v>0</v>
      </c>
    </row>
    <row r="33150" spans="1:1" x14ac:dyDescent="0.3">
      <c r="A33150" t="s">
        <v>0</v>
      </c>
    </row>
    <row r="33151" spans="1:1" x14ac:dyDescent="0.3">
      <c r="A33151" t="s">
        <v>0</v>
      </c>
    </row>
    <row r="33152" spans="1:1" x14ac:dyDescent="0.3">
      <c r="A33152" t="s">
        <v>0</v>
      </c>
    </row>
    <row r="33153" spans="1:1" x14ac:dyDescent="0.3">
      <c r="A33153" t="s">
        <v>0</v>
      </c>
    </row>
    <row r="33154" spans="1:1" x14ac:dyDescent="0.3">
      <c r="A33154" t="s">
        <v>0</v>
      </c>
    </row>
    <row r="33155" spans="1:1" x14ac:dyDescent="0.3">
      <c r="A33155" t="s">
        <v>0</v>
      </c>
    </row>
    <row r="33156" spans="1:1" x14ac:dyDescent="0.3">
      <c r="A33156" t="s">
        <v>0</v>
      </c>
    </row>
    <row r="33157" spans="1:1" x14ac:dyDescent="0.3">
      <c r="A33157" t="s">
        <v>0</v>
      </c>
    </row>
    <row r="33158" spans="1:1" x14ac:dyDescent="0.3">
      <c r="A33158" t="s">
        <v>0</v>
      </c>
    </row>
    <row r="33159" spans="1:1" x14ac:dyDescent="0.3">
      <c r="A33159" t="s">
        <v>0</v>
      </c>
    </row>
    <row r="33160" spans="1:1" x14ac:dyDescent="0.3">
      <c r="A33160" t="s">
        <v>0</v>
      </c>
    </row>
    <row r="33161" spans="1:1" x14ac:dyDescent="0.3">
      <c r="A33161" t="s">
        <v>0</v>
      </c>
    </row>
    <row r="33162" spans="1:1" x14ac:dyDescent="0.3">
      <c r="A33162" t="s">
        <v>0</v>
      </c>
    </row>
    <row r="33163" spans="1:1" x14ac:dyDescent="0.3">
      <c r="A33163" t="s">
        <v>0</v>
      </c>
    </row>
    <row r="33164" spans="1:1" x14ac:dyDescent="0.3">
      <c r="A33164" t="s">
        <v>0</v>
      </c>
    </row>
    <row r="33165" spans="1:1" x14ac:dyDescent="0.3">
      <c r="A33165" t="s">
        <v>0</v>
      </c>
    </row>
    <row r="33166" spans="1:1" x14ac:dyDescent="0.3">
      <c r="A33166" t="s">
        <v>0</v>
      </c>
    </row>
    <row r="33167" spans="1:1" x14ac:dyDescent="0.3">
      <c r="A33167" t="s">
        <v>0</v>
      </c>
    </row>
    <row r="33168" spans="1:1" x14ac:dyDescent="0.3">
      <c r="A33168" t="s">
        <v>0</v>
      </c>
    </row>
    <row r="33169" spans="1:1" x14ac:dyDescent="0.3">
      <c r="A33169" t="s">
        <v>0</v>
      </c>
    </row>
    <row r="33170" spans="1:1" x14ac:dyDescent="0.3">
      <c r="A33170" t="s">
        <v>0</v>
      </c>
    </row>
    <row r="33171" spans="1:1" x14ac:dyDescent="0.3">
      <c r="A33171" t="s">
        <v>0</v>
      </c>
    </row>
    <row r="33172" spans="1:1" x14ac:dyDescent="0.3">
      <c r="A33172" t="s">
        <v>0</v>
      </c>
    </row>
    <row r="33173" spans="1:1" x14ac:dyDescent="0.3">
      <c r="A33173" t="s">
        <v>0</v>
      </c>
    </row>
    <row r="33174" spans="1:1" x14ac:dyDescent="0.3">
      <c r="A33174" t="s">
        <v>0</v>
      </c>
    </row>
    <row r="33175" spans="1:1" x14ac:dyDescent="0.3">
      <c r="A33175" t="s">
        <v>0</v>
      </c>
    </row>
    <row r="33176" spans="1:1" x14ac:dyDescent="0.3">
      <c r="A33176" t="s">
        <v>0</v>
      </c>
    </row>
    <row r="33177" spans="1:1" x14ac:dyDescent="0.3">
      <c r="A33177" t="s">
        <v>0</v>
      </c>
    </row>
    <row r="33178" spans="1:1" x14ac:dyDescent="0.3">
      <c r="A33178" t="s">
        <v>0</v>
      </c>
    </row>
    <row r="33179" spans="1:1" x14ac:dyDescent="0.3">
      <c r="A33179" t="s">
        <v>0</v>
      </c>
    </row>
    <row r="33180" spans="1:1" x14ac:dyDescent="0.3">
      <c r="A33180" t="s">
        <v>0</v>
      </c>
    </row>
    <row r="33181" spans="1:1" x14ac:dyDescent="0.3">
      <c r="A33181" t="s">
        <v>0</v>
      </c>
    </row>
    <row r="33182" spans="1:1" x14ac:dyDescent="0.3">
      <c r="A33182" t="s">
        <v>0</v>
      </c>
    </row>
    <row r="33183" spans="1:1" x14ac:dyDescent="0.3">
      <c r="A33183" t="s">
        <v>0</v>
      </c>
    </row>
    <row r="33184" spans="1:1" x14ac:dyDescent="0.3">
      <c r="A33184" t="s">
        <v>0</v>
      </c>
    </row>
    <row r="33185" spans="1:1" x14ac:dyDescent="0.3">
      <c r="A33185" t="s">
        <v>0</v>
      </c>
    </row>
    <row r="33186" spans="1:1" x14ac:dyDescent="0.3">
      <c r="A33186" t="s">
        <v>0</v>
      </c>
    </row>
    <row r="33187" spans="1:1" x14ac:dyDescent="0.3">
      <c r="A33187" t="s">
        <v>0</v>
      </c>
    </row>
    <row r="33188" spans="1:1" x14ac:dyDescent="0.3">
      <c r="A33188" t="s">
        <v>0</v>
      </c>
    </row>
    <row r="33189" spans="1:1" x14ac:dyDescent="0.3">
      <c r="A33189" t="s">
        <v>0</v>
      </c>
    </row>
    <row r="33190" spans="1:1" x14ac:dyDescent="0.3">
      <c r="A33190" t="s">
        <v>0</v>
      </c>
    </row>
    <row r="33191" spans="1:1" x14ac:dyDescent="0.3">
      <c r="A33191" t="s">
        <v>0</v>
      </c>
    </row>
    <row r="33192" spans="1:1" x14ac:dyDescent="0.3">
      <c r="A33192" t="s">
        <v>0</v>
      </c>
    </row>
    <row r="33193" spans="1:1" x14ac:dyDescent="0.3">
      <c r="A33193" t="s">
        <v>0</v>
      </c>
    </row>
    <row r="33194" spans="1:1" x14ac:dyDescent="0.3">
      <c r="A33194" t="s">
        <v>0</v>
      </c>
    </row>
    <row r="33195" spans="1:1" x14ac:dyDescent="0.3">
      <c r="A33195" t="s">
        <v>0</v>
      </c>
    </row>
    <row r="33196" spans="1:1" x14ac:dyDescent="0.3">
      <c r="A33196" t="s">
        <v>0</v>
      </c>
    </row>
    <row r="33197" spans="1:1" x14ac:dyDescent="0.3">
      <c r="A33197" t="s">
        <v>0</v>
      </c>
    </row>
    <row r="33198" spans="1:1" x14ac:dyDescent="0.3">
      <c r="A33198" t="s">
        <v>0</v>
      </c>
    </row>
    <row r="33199" spans="1:1" x14ac:dyDescent="0.3">
      <c r="A33199" t="s">
        <v>0</v>
      </c>
    </row>
    <row r="33200" spans="1:1" x14ac:dyDescent="0.3">
      <c r="A33200" t="s">
        <v>0</v>
      </c>
    </row>
    <row r="33201" spans="1:1" x14ac:dyDescent="0.3">
      <c r="A33201" t="s">
        <v>0</v>
      </c>
    </row>
    <row r="33202" spans="1:1" x14ac:dyDescent="0.3">
      <c r="A33202" t="s">
        <v>0</v>
      </c>
    </row>
    <row r="33203" spans="1:1" x14ac:dyDescent="0.3">
      <c r="A33203" t="s">
        <v>0</v>
      </c>
    </row>
    <row r="33204" spans="1:1" x14ac:dyDescent="0.3">
      <c r="A33204" t="s">
        <v>0</v>
      </c>
    </row>
    <row r="33205" spans="1:1" x14ac:dyDescent="0.3">
      <c r="A33205" t="s">
        <v>0</v>
      </c>
    </row>
    <row r="33206" spans="1:1" x14ac:dyDescent="0.3">
      <c r="A33206" t="s">
        <v>0</v>
      </c>
    </row>
    <row r="33207" spans="1:1" x14ac:dyDescent="0.3">
      <c r="A33207" t="s">
        <v>0</v>
      </c>
    </row>
    <row r="33208" spans="1:1" x14ac:dyDescent="0.3">
      <c r="A33208" t="s">
        <v>0</v>
      </c>
    </row>
    <row r="33209" spans="1:1" x14ac:dyDescent="0.3">
      <c r="A33209" t="s">
        <v>0</v>
      </c>
    </row>
    <row r="33210" spans="1:1" x14ac:dyDescent="0.3">
      <c r="A33210" t="s">
        <v>0</v>
      </c>
    </row>
    <row r="33211" spans="1:1" x14ac:dyDescent="0.3">
      <c r="A33211" t="s">
        <v>0</v>
      </c>
    </row>
    <row r="33212" spans="1:1" x14ac:dyDescent="0.3">
      <c r="A33212" t="s">
        <v>0</v>
      </c>
    </row>
    <row r="33213" spans="1:1" x14ac:dyDescent="0.3">
      <c r="A33213" t="s">
        <v>0</v>
      </c>
    </row>
    <row r="33214" spans="1:1" x14ac:dyDescent="0.3">
      <c r="A33214" t="s">
        <v>0</v>
      </c>
    </row>
    <row r="33215" spans="1:1" x14ac:dyDescent="0.3">
      <c r="A33215" t="s">
        <v>0</v>
      </c>
    </row>
    <row r="33216" spans="1:1" x14ac:dyDescent="0.3">
      <c r="A33216" t="s">
        <v>0</v>
      </c>
    </row>
    <row r="33217" spans="1:1" x14ac:dyDescent="0.3">
      <c r="A33217" t="s">
        <v>0</v>
      </c>
    </row>
    <row r="33218" spans="1:1" x14ac:dyDescent="0.3">
      <c r="A33218" t="s">
        <v>0</v>
      </c>
    </row>
    <row r="33219" spans="1:1" x14ac:dyDescent="0.3">
      <c r="A33219" t="s">
        <v>0</v>
      </c>
    </row>
    <row r="33220" spans="1:1" x14ac:dyDescent="0.3">
      <c r="A33220" t="s">
        <v>0</v>
      </c>
    </row>
    <row r="33221" spans="1:1" x14ac:dyDescent="0.3">
      <c r="A33221" t="s">
        <v>0</v>
      </c>
    </row>
    <row r="33222" spans="1:1" x14ac:dyDescent="0.3">
      <c r="A33222" t="s">
        <v>0</v>
      </c>
    </row>
    <row r="33223" spans="1:1" x14ac:dyDescent="0.3">
      <c r="A33223" t="s">
        <v>0</v>
      </c>
    </row>
    <row r="33224" spans="1:1" x14ac:dyDescent="0.3">
      <c r="A33224" t="s">
        <v>0</v>
      </c>
    </row>
    <row r="33225" spans="1:1" x14ac:dyDescent="0.3">
      <c r="A33225" t="s">
        <v>0</v>
      </c>
    </row>
    <row r="33226" spans="1:1" x14ac:dyDescent="0.3">
      <c r="A33226" t="s">
        <v>0</v>
      </c>
    </row>
    <row r="33227" spans="1:1" x14ac:dyDescent="0.3">
      <c r="A33227" t="s">
        <v>0</v>
      </c>
    </row>
    <row r="33228" spans="1:1" x14ac:dyDescent="0.3">
      <c r="A33228" t="s">
        <v>0</v>
      </c>
    </row>
    <row r="33229" spans="1:1" x14ac:dyDescent="0.3">
      <c r="A33229" t="s">
        <v>0</v>
      </c>
    </row>
    <row r="33230" spans="1:1" x14ac:dyDescent="0.3">
      <c r="A33230" t="s">
        <v>0</v>
      </c>
    </row>
    <row r="33231" spans="1:1" x14ac:dyDescent="0.3">
      <c r="A33231" t="s">
        <v>0</v>
      </c>
    </row>
    <row r="33232" spans="1:1" x14ac:dyDescent="0.3">
      <c r="A33232" t="s">
        <v>0</v>
      </c>
    </row>
    <row r="33233" spans="1:1" x14ac:dyDescent="0.3">
      <c r="A33233" t="s">
        <v>0</v>
      </c>
    </row>
    <row r="33234" spans="1:1" x14ac:dyDescent="0.3">
      <c r="A33234" t="s">
        <v>0</v>
      </c>
    </row>
    <row r="33235" spans="1:1" x14ac:dyDescent="0.3">
      <c r="A33235" t="s">
        <v>0</v>
      </c>
    </row>
    <row r="33236" spans="1:1" x14ac:dyDescent="0.3">
      <c r="A33236" t="s">
        <v>0</v>
      </c>
    </row>
    <row r="33237" spans="1:1" x14ac:dyDescent="0.3">
      <c r="A33237" t="s">
        <v>0</v>
      </c>
    </row>
    <row r="33238" spans="1:1" x14ac:dyDescent="0.3">
      <c r="A33238" t="s">
        <v>0</v>
      </c>
    </row>
    <row r="33239" spans="1:1" x14ac:dyDescent="0.3">
      <c r="A33239" t="s">
        <v>0</v>
      </c>
    </row>
    <row r="33240" spans="1:1" x14ac:dyDescent="0.3">
      <c r="A33240" t="s">
        <v>0</v>
      </c>
    </row>
    <row r="33241" spans="1:1" x14ac:dyDescent="0.3">
      <c r="A33241" t="s">
        <v>0</v>
      </c>
    </row>
    <row r="33242" spans="1:1" x14ac:dyDescent="0.3">
      <c r="A33242" t="s">
        <v>0</v>
      </c>
    </row>
    <row r="33243" spans="1:1" x14ac:dyDescent="0.3">
      <c r="A33243" t="s">
        <v>0</v>
      </c>
    </row>
    <row r="33244" spans="1:1" x14ac:dyDescent="0.3">
      <c r="A33244" t="s">
        <v>0</v>
      </c>
    </row>
    <row r="33245" spans="1:1" x14ac:dyDescent="0.3">
      <c r="A33245" t="s">
        <v>0</v>
      </c>
    </row>
    <row r="33246" spans="1:1" x14ac:dyDescent="0.3">
      <c r="A33246" t="s">
        <v>0</v>
      </c>
    </row>
    <row r="33247" spans="1:1" x14ac:dyDescent="0.3">
      <c r="A33247" t="s">
        <v>0</v>
      </c>
    </row>
    <row r="33248" spans="1:1" x14ac:dyDescent="0.3">
      <c r="A33248" t="s">
        <v>0</v>
      </c>
    </row>
    <row r="33249" spans="1:1" x14ac:dyDescent="0.3">
      <c r="A33249" t="s">
        <v>0</v>
      </c>
    </row>
    <row r="33250" spans="1:1" x14ac:dyDescent="0.3">
      <c r="A33250" t="s">
        <v>0</v>
      </c>
    </row>
    <row r="33251" spans="1:1" x14ac:dyDescent="0.3">
      <c r="A33251" t="s">
        <v>0</v>
      </c>
    </row>
    <row r="33252" spans="1:1" x14ac:dyDescent="0.3">
      <c r="A33252" t="s">
        <v>0</v>
      </c>
    </row>
    <row r="33253" spans="1:1" x14ac:dyDescent="0.3">
      <c r="A33253" t="s">
        <v>0</v>
      </c>
    </row>
    <row r="33254" spans="1:1" x14ac:dyDescent="0.3">
      <c r="A33254" t="s">
        <v>0</v>
      </c>
    </row>
    <row r="33255" spans="1:1" x14ac:dyDescent="0.3">
      <c r="A33255" t="s">
        <v>0</v>
      </c>
    </row>
    <row r="33256" spans="1:1" x14ac:dyDescent="0.3">
      <c r="A33256" t="s">
        <v>0</v>
      </c>
    </row>
    <row r="33257" spans="1:1" x14ac:dyDescent="0.3">
      <c r="A33257" t="s">
        <v>0</v>
      </c>
    </row>
    <row r="33258" spans="1:1" x14ac:dyDescent="0.3">
      <c r="A33258" t="s">
        <v>0</v>
      </c>
    </row>
    <row r="33259" spans="1:1" x14ac:dyDescent="0.3">
      <c r="A33259" t="s">
        <v>0</v>
      </c>
    </row>
    <row r="33260" spans="1:1" x14ac:dyDescent="0.3">
      <c r="A33260" t="s">
        <v>0</v>
      </c>
    </row>
    <row r="33261" spans="1:1" x14ac:dyDescent="0.3">
      <c r="A33261" t="s">
        <v>0</v>
      </c>
    </row>
    <row r="33262" spans="1:1" x14ac:dyDescent="0.3">
      <c r="A33262" t="s">
        <v>0</v>
      </c>
    </row>
    <row r="33263" spans="1:1" x14ac:dyDescent="0.3">
      <c r="A33263" t="s">
        <v>0</v>
      </c>
    </row>
    <row r="33264" spans="1:1" x14ac:dyDescent="0.3">
      <c r="A33264" t="s">
        <v>0</v>
      </c>
    </row>
    <row r="33265" spans="1:1" x14ac:dyDescent="0.3">
      <c r="A33265" t="s">
        <v>0</v>
      </c>
    </row>
    <row r="33266" spans="1:1" x14ac:dyDescent="0.3">
      <c r="A33266" t="s">
        <v>0</v>
      </c>
    </row>
    <row r="33267" spans="1:1" x14ac:dyDescent="0.3">
      <c r="A33267" t="s">
        <v>0</v>
      </c>
    </row>
    <row r="33268" spans="1:1" x14ac:dyDescent="0.3">
      <c r="A33268" t="s">
        <v>0</v>
      </c>
    </row>
    <row r="33269" spans="1:1" x14ac:dyDescent="0.3">
      <c r="A33269" t="s">
        <v>0</v>
      </c>
    </row>
    <row r="33270" spans="1:1" x14ac:dyDescent="0.3">
      <c r="A33270" t="s">
        <v>0</v>
      </c>
    </row>
    <row r="33271" spans="1:1" x14ac:dyDescent="0.3">
      <c r="A33271" t="s">
        <v>0</v>
      </c>
    </row>
    <row r="33272" spans="1:1" x14ac:dyDescent="0.3">
      <c r="A33272" t="s">
        <v>0</v>
      </c>
    </row>
    <row r="33273" spans="1:1" x14ac:dyDescent="0.3">
      <c r="A33273" t="s">
        <v>0</v>
      </c>
    </row>
    <row r="33274" spans="1:1" x14ac:dyDescent="0.3">
      <c r="A33274" t="s">
        <v>0</v>
      </c>
    </row>
    <row r="33275" spans="1:1" x14ac:dyDescent="0.3">
      <c r="A33275" t="s">
        <v>0</v>
      </c>
    </row>
    <row r="33276" spans="1:1" x14ac:dyDescent="0.3">
      <c r="A33276" t="s">
        <v>0</v>
      </c>
    </row>
    <row r="33277" spans="1:1" x14ac:dyDescent="0.3">
      <c r="A33277" t="s">
        <v>0</v>
      </c>
    </row>
    <row r="33278" spans="1:1" x14ac:dyDescent="0.3">
      <c r="A33278" t="s">
        <v>0</v>
      </c>
    </row>
    <row r="33279" spans="1:1" x14ac:dyDescent="0.3">
      <c r="A33279" t="s">
        <v>0</v>
      </c>
    </row>
    <row r="33280" spans="1:1" x14ac:dyDescent="0.3">
      <c r="A33280" t="s">
        <v>0</v>
      </c>
    </row>
    <row r="33281" spans="1:1" x14ac:dyDescent="0.3">
      <c r="A33281" t="s">
        <v>0</v>
      </c>
    </row>
    <row r="33282" spans="1:1" x14ac:dyDescent="0.3">
      <c r="A33282" t="s">
        <v>0</v>
      </c>
    </row>
    <row r="33283" spans="1:1" x14ac:dyDescent="0.3">
      <c r="A33283" t="s">
        <v>0</v>
      </c>
    </row>
    <row r="33284" spans="1:1" x14ac:dyDescent="0.3">
      <c r="A33284" t="s">
        <v>0</v>
      </c>
    </row>
    <row r="33285" spans="1:1" x14ac:dyDescent="0.3">
      <c r="A33285" t="s">
        <v>0</v>
      </c>
    </row>
    <row r="33286" spans="1:1" x14ac:dyDescent="0.3">
      <c r="A33286" t="s">
        <v>0</v>
      </c>
    </row>
    <row r="33287" spans="1:1" x14ac:dyDescent="0.3">
      <c r="A33287" t="s">
        <v>0</v>
      </c>
    </row>
    <row r="33288" spans="1:1" x14ac:dyDescent="0.3">
      <c r="A33288" t="s">
        <v>0</v>
      </c>
    </row>
    <row r="33289" spans="1:1" x14ac:dyDescent="0.3">
      <c r="A33289" t="s">
        <v>0</v>
      </c>
    </row>
    <row r="33290" spans="1:1" x14ac:dyDescent="0.3">
      <c r="A33290" t="s">
        <v>0</v>
      </c>
    </row>
    <row r="33291" spans="1:1" x14ac:dyDescent="0.3">
      <c r="A33291" t="s">
        <v>0</v>
      </c>
    </row>
    <row r="33292" spans="1:1" x14ac:dyDescent="0.3">
      <c r="A33292" t="s">
        <v>0</v>
      </c>
    </row>
    <row r="33293" spans="1:1" x14ac:dyDescent="0.3">
      <c r="A33293" t="s">
        <v>0</v>
      </c>
    </row>
    <row r="33294" spans="1:1" x14ac:dyDescent="0.3">
      <c r="A33294" t="s">
        <v>0</v>
      </c>
    </row>
    <row r="33295" spans="1:1" x14ac:dyDescent="0.3">
      <c r="A33295" t="s">
        <v>0</v>
      </c>
    </row>
    <row r="33296" spans="1:1" x14ac:dyDescent="0.3">
      <c r="A33296" t="s">
        <v>0</v>
      </c>
    </row>
    <row r="33297" spans="1:1" x14ac:dyDescent="0.3">
      <c r="A33297" t="s">
        <v>0</v>
      </c>
    </row>
    <row r="33298" spans="1:1" x14ac:dyDescent="0.3">
      <c r="A33298" t="s">
        <v>0</v>
      </c>
    </row>
    <row r="33299" spans="1:1" x14ac:dyDescent="0.3">
      <c r="A33299" t="s">
        <v>0</v>
      </c>
    </row>
    <row r="33300" spans="1:1" x14ac:dyDescent="0.3">
      <c r="A33300" t="s">
        <v>0</v>
      </c>
    </row>
    <row r="33301" spans="1:1" x14ac:dyDescent="0.3">
      <c r="A33301" t="s">
        <v>0</v>
      </c>
    </row>
    <row r="33302" spans="1:1" x14ac:dyDescent="0.3">
      <c r="A33302" t="s">
        <v>0</v>
      </c>
    </row>
    <row r="33303" spans="1:1" x14ac:dyDescent="0.3">
      <c r="A33303" t="s">
        <v>0</v>
      </c>
    </row>
    <row r="33304" spans="1:1" x14ac:dyDescent="0.3">
      <c r="A33304" t="s">
        <v>0</v>
      </c>
    </row>
    <row r="33305" spans="1:1" x14ac:dyDescent="0.3">
      <c r="A33305" t="s">
        <v>0</v>
      </c>
    </row>
    <row r="33306" spans="1:1" x14ac:dyDescent="0.3">
      <c r="A33306" t="s">
        <v>0</v>
      </c>
    </row>
    <row r="33307" spans="1:1" x14ac:dyDescent="0.3">
      <c r="A33307" t="s">
        <v>0</v>
      </c>
    </row>
    <row r="33308" spans="1:1" x14ac:dyDescent="0.3">
      <c r="A33308" t="s">
        <v>0</v>
      </c>
    </row>
    <row r="33309" spans="1:1" x14ac:dyDescent="0.3">
      <c r="A33309" t="s">
        <v>0</v>
      </c>
    </row>
    <row r="33310" spans="1:1" x14ac:dyDescent="0.3">
      <c r="A33310" t="s">
        <v>0</v>
      </c>
    </row>
    <row r="33311" spans="1:1" x14ac:dyDescent="0.3">
      <c r="A33311" t="s">
        <v>0</v>
      </c>
    </row>
    <row r="33312" spans="1:1" x14ac:dyDescent="0.3">
      <c r="A33312" t="s">
        <v>0</v>
      </c>
    </row>
    <row r="33313" spans="1:1" x14ac:dyDescent="0.3">
      <c r="A33313" t="s">
        <v>0</v>
      </c>
    </row>
    <row r="33314" spans="1:1" x14ac:dyDescent="0.3">
      <c r="A33314" t="s">
        <v>0</v>
      </c>
    </row>
    <row r="33315" spans="1:1" x14ac:dyDescent="0.3">
      <c r="A33315" t="s">
        <v>0</v>
      </c>
    </row>
    <row r="33316" spans="1:1" x14ac:dyDescent="0.3">
      <c r="A33316" t="s">
        <v>0</v>
      </c>
    </row>
    <row r="33317" spans="1:1" x14ac:dyDescent="0.3">
      <c r="A33317" t="s">
        <v>0</v>
      </c>
    </row>
    <row r="33318" spans="1:1" x14ac:dyDescent="0.3">
      <c r="A33318" t="s">
        <v>0</v>
      </c>
    </row>
    <row r="33319" spans="1:1" x14ac:dyDescent="0.3">
      <c r="A33319" t="s">
        <v>0</v>
      </c>
    </row>
    <row r="33320" spans="1:1" x14ac:dyDescent="0.3">
      <c r="A33320" t="s">
        <v>0</v>
      </c>
    </row>
    <row r="33321" spans="1:1" x14ac:dyDescent="0.3">
      <c r="A33321" t="s">
        <v>0</v>
      </c>
    </row>
    <row r="33322" spans="1:1" x14ac:dyDescent="0.3">
      <c r="A33322" t="s">
        <v>0</v>
      </c>
    </row>
    <row r="33323" spans="1:1" x14ac:dyDescent="0.3">
      <c r="A33323" t="s">
        <v>0</v>
      </c>
    </row>
    <row r="33324" spans="1:1" x14ac:dyDescent="0.3">
      <c r="A33324" t="s">
        <v>0</v>
      </c>
    </row>
    <row r="33325" spans="1:1" x14ac:dyDescent="0.3">
      <c r="A33325" t="s">
        <v>0</v>
      </c>
    </row>
    <row r="33326" spans="1:1" x14ac:dyDescent="0.3">
      <c r="A33326" t="s">
        <v>0</v>
      </c>
    </row>
    <row r="33327" spans="1:1" x14ac:dyDescent="0.3">
      <c r="A33327" t="s">
        <v>0</v>
      </c>
    </row>
    <row r="33328" spans="1:1" x14ac:dyDescent="0.3">
      <c r="A33328" t="s">
        <v>0</v>
      </c>
    </row>
    <row r="33329" spans="1:1" x14ac:dyDescent="0.3">
      <c r="A33329" t="s">
        <v>0</v>
      </c>
    </row>
    <row r="33330" spans="1:1" x14ac:dyDescent="0.3">
      <c r="A33330" t="s">
        <v>0</v>
      </c>
    </row>
    <row r="33331" spans="1:1" x14ac:dyDescent="0.3">
      <c r="A33331" t="s">
        <v>0</v>
      </c>
    </row>
    <row r="33332" spans="1:1" x14ac:dyDescent="0.3">
      <c r="A33332" t="s">
        <v>0</v>
      </c>
    </row>
    <row r="33333" spans="1:1" x14ac:dyDescent="0.3">
      <c r="A33333" t="s">
        <v>0</v>
      </c>
    </row>
    <row r="33334" spans="1:1" x14ac:dyDescent="0.3">
      <c r="A33334" t="s">
        <v>0</v>
      </c>
    </row>
    <row r="33335" spans="1:1" x14ac:dyDescent="0.3">
      <c r="A33335" t="s">
        <v>0</v>
      </c>
    </row>
    <row r="33336" spans="1:1" x14ac:dyDescent="0.3">
      <c r="A33336" t="s">
        <v>0</v>
      </c>
    </row>
    <row r="33337" spans="1:1" x14ac:dyDescent="0.3">
      <c r="A33337" t="s">
        <v>0</v>
      </c>
    </row>
    <row r="33338" spans="1:1" x14ac:dyDescent="0.3">
      <c r="A33338" t="s">
        <v>0</v>
      </c>
    </row>
    <row r="33339" spans="1:1" x14ac:dyDescent="0.3">
      <c r="A33339" t="s">
        <v>0</v>
      </c>
    </row>
    <row r="33340" spans="1:1" x14ac:dyDescent="0.3">
      <c r="A33340" t="s">
        <v>0</v>
      </c>
    </row>
    <row r="33341" spans="1:1" x14ac:dyDescent="0.3">
      <c r="A33341" t="s">
        <v>0</v>
      </c>
    </row>
    <row r="33342" spans="1:1" x14ac:dyDescent="0.3">
      <c r="A33342" t="s">
        <v>0</v>
      </c>
    </row>
    <row r="33343" spans="1:1" x14ac:dyDescent="0.3">
      <c r="A33343" t="s">
        <v>0</v>
      </c>
    </row>
    <row r="33344" spans="1:1" x14ac:dyDescent="0.3">
      <c r="A33344" t="s">
        <v>0</v>
      </c>
    </row>
    <row r="33345" spans="1:1" x14ac:dyDescent="0.3">
      <c r="A33345" t="s">
        <v>0</v>
      </c>
    </row>
    <row r="33346" spans="1:1" x14ac:dyDescent="0.3">
      <c r="A33346" t="s">
        <v>0</v>
      </c>
    </row>
    <row r="33347" spans="1:1" x14ac:dyDescent="0.3">
      <c r="A33347" t="s">
        <v>0</v>
      </c>
    </row>
    <row r="33348" spans="1:1" x14ac:dyDescent="0.3">
      <c r="A33348" t="s">
        <v>0</v>
      </c>
    </row>
    <row r="33349" spans="1:1" x14ac:dyDescent="0.3">
      <c r="A33349" t="s">
        <v>0</v>
      </c>
    </row>
    <row r="33350" spans="1:1" x14ac:dyDescent="0.3">
      <c r="A33350" t="s">
        <v>0</v>
      </c>
    </row>
    <row r="33351" spans="1:1" x14ac:dyDescent="0.3">
      <c r="A33351" t="s">
        <v>0</v>
      </c>
    </row>
    <row r="33352" spans="1:1" x14ac:dyDescent="0.3">
      <c r="A33352" t="s">
        <v>0</v>
      </c>
    </row>
    <row r="33353" spans="1:1" x14ac:dyDescent="0.3">
      <c r="A33353" t="s">
        <v>0</v>
      </c>
    </row>
    <row r="33354" spans="1:1" x14ac:dyDescent="0.3">
      <c r="A33354" t="s">
        <v>0</v>
      </c>
    </row>
    <row r="33355" spans="1:1" x14ac:dyDescent="0.3">
      <c r="A33355" t="s">
        <v>0</v>
      </c>
    </row>
    <row r="33356" spans="1:1" x14ac:dyDescent="0.3">
      <c r="A33356" t="s">
        <v>0</v>
      </c>
    </row>
    <row r="33357" spans="1:1" x14ac:dyDescent="0.3">
      <c r="A33357" t="s">
        <v>0</v>
      </c>
    </row>
    <row r="33358" spans="1:1" x14ac:dyDescent="0.3">
      <c r="A33358" t="s">
        <v>0</v>
      </c>
    </row>
    <row r="33359" spans="1:1" x14ac:dyDescent="0.3">
      <c r="A33359" t="s">
        <v>0</v>
      </c>
    </row>
    <row r="33360" spans="1:1" x14ac:dyDescent="0.3">
      <c r="A33360" t="s">
        <v>0</v>
      </c>
    </row>
    <row r="33361" spans="1:1" x14ac:dyDescent="0.3">
      <c r="A33361" t="s">
        <v>0</v>
      </c>
    </row>
    <row r="33362" spans="1:1" x14ac:dyDescent="0.3">
      <c r="A33362" t="s">
        <v>0</v>
      </c>
    </row>
    <row r="33363" spans="1:1" x14ac:dyDescent="0.3">
      <c r="A33363" t="s">
        <v>0</v>
      </c>
    </row>
    <row r="33364" spans="1:1" x14ac:dyDescent="0.3">
      <c r="A33364" t="s">
        <v>0</v>
      </c>
    </row>
    <row r="33365" spans="1:1" x14ac:dyDescent="0.3">
      <c r="A33365" t="s">
        <v>0</v>
      </c>
    </row>
    <row r="33366" spans="1:1" x14ac:dyDescent="0.3">
      <c r="A33366" t="s">
        <v>0</v>
      </c>
    </row>
    <row r="33367" spans="1:1" x14ac:dyDescent="0.3">
      <c r="A33367" t="s">
        <v>0</v>
      </c>
    </row>
    <row r="33368" spans="1:1" x14ac:dyDescent="0.3">
      <c r="A33368" t="s">
        <v>0</v>
      </c>
    </row>
    <row r="33369" spans="1:1" x14ac:dyDescent="0.3">
      <c r="A33369" t="s">
        <v>0</v>
      </c>
    </row>
    <row r="33370" spans="1:1" x14ac:dyDescent="0.3">
      <c r="A33370" t="s">
        <v>0</v>
      </c>
    </row>
    <row r="33371" spans="1:1" x14ac:dyDescent="0.3">
      <c r="A33371" t="s">
        <v>0</v>
      </c>
    </row>
    <row r="33372" spans="1:1" x14ac:dyDescent="0.3">
      <c r="A33372" t="s">
        <v>0</v>
      </c>
    </row>
    <row r="33373" spans="1:1" x14ac:dyDescent="0.3">
      <c r="A33373" t="s">
        <v>0</v>
      </c>
    </row>
    <row r="33374" spans="1:1" x14ac:dyDescent="0.3">
      <c r="A33374" t="s">
        <v>0</v>
      </c>
    </row>
    <row r="33375" spans="1:1" x14ac:dyDescent="0.3">
      <c r="A33375" t="s">
        <v>0</v>
      </c>
    </row>
    <row r="33376" spans="1:1" x14ac:dyDescent="0.3">
      <c r="A33376" t="s">
        <v>0</v>
      </c>
    </row>
    <row r="33377" spans="1:1" x14ac:dyDescent="0.3">
      <c r="A33377" t="s">
        <v>0</v>
      </c>
    </row>
    <row r="33378" spans="1:1" x14ac:dyDescent="0.3">
      <c r="A33378" t="s">
        <v>0</v>
      </c>
    </row>
    <row r="33379" spans="1:1" x14ac:dyDescent="0.3">
      <c r="A33379" t="s">
        <v>0</v>
      </c>
    </row>
    <row r="33380" spans="1:1" x14ac:dyDescent="0.3">
      <c r="A33380" t="s">
        <v>0</v>
      </c>
    </row>
    <row r="33381" spans="1:1" x14ac:dyDescent="0.3">
      <c r="A33381" t="s">
        <v>0</v>
      </c>
    </row>
    <row r="33382" spans="1:1" x14ac:dyDescent="0.3">
      <c r="A33382" t="s">
        <v>0</v>
      </c>
    </row>
    <row r="33383" spans="1:1" x14ac:dyDescent="0.3">
      <c r="A33383" t="s">
        <v>0</v>
      </c>
    </row>
    <row r="33384" spans="1:1" x14ac:dyDescent="0.3">
      <c r="A33384" t="s">
        <v>0</v>
      </c>
    </row>
    <row r="33385" spans="1:1" x14ac:dyDescent="0.3">
      <c r="A33385" t="s">
        <v>0</v>
      </c>
    </row>
    <row r="33386" spans="1:1" x14ac:dyDescent="0.3">
      <c r="A33386" t="s">
        <v>0</v>
      </c>
    </row>
    <row r="33387" spans="1:1" x14ac:dyDescent="0.3">
      <c r="A33387" t="s">
        <v>0</v>
      </c>
    </row>
    <row r="33388" spans="1:1" x14ac:dyDescent="0.3">
      <c r="A33388" t="s">
        <v>0</v>
      </c>
    </row>
    <row r="33389" spans="1:1" x14ac:dyDescent="0.3">
      <c r="A33389" t="s">
        <v>0</v>
      </c>
    </row>
    <row r="33390" spans="1:1" x14ac:dyDescent="0.3">
      <c r="A33390" t="s">
        <v>0</v>
      </c>
    </row>
    <row r="33391" spans="1:1" x14ac:dyDescent="0.3">
      <c r="A33391" t="s">
        <v>0</v>
      </c>
    </row>
    <row r="33392" spans="1:1" x14ac:dyDescent="0.3">
      <c r="A33392" t="s">
        <v>0</v>
      </c>
    </row>
    <row r="33393" spans="1:1" x14ac:dyDescent="0.3">
      <c r="A33393" t="s">
        <v>0</v>
      </c>
    </row>
    <row r="33394" spans="1:1" x14ac:dyDescent="0.3">
      <c r="A33394" t="s">
        <v>0</v>
      </c>
    </row>
    <row r="33395" spans="1:1" x14ac:dyDescent="0.3">
      <c r="A33395" t="s">
        <v>0</v>
      </c>
    </row>
    <row r="33396" spans="1:1" x14ac:dyDescent="0.3">
      <c r="A33396" t="s">
        <v>0</v>
      </c>
    </row>
    <row r="33397" spans="1:1" x14ac:dyDescent="0.3">
      <c r="A33397" t="s">
        <v>0</v>
      </c>
    </row>
    <row r="33398" spans="1:1" x14ac:dyDescent="0.3">
      <c r="A33398" t="s">
        <v>0</v>
      </c>
    </row>
    <row r="33399" spans="1:1" x14ac:dyDescent="0.3">
      <c r="A33399" t="s">
        <v>0</v>
      </c>
    </row>
    <row r="33400" spans="1:1" x14ac:dyDescent="0.3">
      <c r="A33400" t="s">
        <v>0</v>
      </c>
    </row>
    <row r="33401" spans="1:1" x14ac:dyDescent="0.3">
      <c r="A33401" t="s">
        <v>0</v>
      </c>
    </row>
    <row r="33402" spans="1:1" x14ac:dyDescent="0.3">
      <c r="A33402" t="s">
        <v>0</v>
      </c>
    </row>
    <row r="33403" spans="1:1" x14ac:dyDescent="0.3">
      <c r="A33403" t="s">
        <v>0</v>
      </c>
    </row>
    <row r="33404" spans="1:1" x14ac:dyDescent="0.3">
      <c r="A33404" t="s">
        <v>0</v>
      </c>
    </row>
    <row r="33405" spans="1:1" x14ac:dyDescent="0.3">
      <c r="A33405" t="s">
        <v>0</v>
      </c>
    </row>
    <row r="33406" spans="1:1" x14ac:dyDescent="0.3">
      <c r="A33406" t="s">
        <v>0</v>
      </c>
    </row>
    <row r="33407" spans="1:1" x14ac:dyDescent="0.3">
      <c r="A33407" t="s">
        <v>0</v>
      </c>
    </row>
    <row r="33408" spans="1:1" x14ac:dyDescent="0.3">
      <c r="A33408" t="s">
        <v>0</v>
      </c>
    </row>
    <row r="33409" spans="1:1" x14ac:dyDescent="0.3">
      <c r="A33409" t="s">
        <v>0</v>
      </c>
    </row>
    <row r="33410" spans="1:1" x14ac:dyDescent="0.3">
      <c r="A33410" t="s">
        <v>0</v>
      </c>
    </row>
    <row r="33411" spans="1:1" x14ac:dyDescent="0.3">
      <c r="A33411" t="s">
        <v>0</v>
      </c>
    </row>
    <row r="33412" spans="1:1" x14ac:dyDescent="0.3">
      <c r="A33412" t="s">
        <v>0</v>
      </c>
    </row>
    <row r="33413" spans="1:1" x14ac:dyDescent="0.3">
      <c r="A33413" t="s">
        <v>0</v>
      </c>
    </row>
    <row r="33414" spans="1:1" x14ac:dyDescent="0.3">
      <c r="A33414" t="s">
        <v>0</v>
      </c>
    </row>
    <row r="33415" spans="1:1" x14ac:dyDescent="0.3">
      <c r="A33415" t="s">
        <v>0</v>
      </c>
    </row>
    <row r="33416" spans="1:1" x14ac:dyDescent="0.3">
      <c r="A33416" t="s">
        <v>0</v>
      </c>
    </row>
    <row r="33417" spans="1:1" x14ac:dyDescent="0.3">
      <c r="A33417" t="s">
        <v>0</v>
      </c>
    </row>
    <row r="33418" spans="1:1" x14ac:dyDescent="0.3">
      <c r="A33418" t="s">
        <v>0</v>
      </c>
    </row>
    <row r="33419" spans="1:1" x14ac:dyDescent="0.3">
      <c r="A33419" t="s">
        <v>0</v>
      </c>
    </row>
    <row r="33420" spans="1:1" x14ac:dyDescent="0.3">
      <c r="A33420" t="s">
        <v>0</v>
      </c>
    </row>
    <row r="33421" spans="1:1" x14ac:dyDescent="0.3">
      <c r="A33421" t="s">
        <v>0</v>
      </c>
    </row>
    <row r="33422" spans="1:1" x14ac:dyDescent="0.3">
      <c r="A33422" t="s">
        <v>0</v>
      </c>
    </row>
    <row r="33423" spans="1:1" x14ac:dyDescent="0.3">
      <c r="A33423" t="s">
        <v>0</v>
      </c>
    </row>
    <row r="33424" spans="1:1" x14ac:dyDescent="0.3">
      <c r="A33424" t="s">
        <v>0</v>
      </c>
    </row>
    <row r="33425" spans="1:1" x14ac:dyDescent="0.3">
      <c r="A33425" t="s">
        <v>0</v>
      </c>
    </row>
    <row r="33426" spans="1:1" x14ac:dyDescent="0.3">
      <c r="A33426" t="s">
        <v>0</v>
      </c>
    </row>
    <row r="33427" spans="1:1" x14ac:dyDescent="0.3">
      <c r="A33427" t="s">
        <v>0</v>
      </c>
    </row>
    <row r="33428" spans="1:1" x14ac:dyDescent="0.3">
      <c r="A33428" t="s">
        <v>0</v>
      </c>
    </row>
    <row r="33429" spans="1:1" x14ac:dyDescent="0.3">
      <c r="A33429" t="s">
        <v>0</v>
      </c>
    </row>
    <row r="33430" spans="1:1" x14ac:dyDescent="0.3">
      <c r="A33430" t="s">
        <v>0</v>
      </c>
    </row>
    <row r="33431" spans="1:1" x14ac:dyDescent="0.3">
      <c r="A33431" t="s">
        <v>0</v>
      </c>
    </row>
    <row r="33432" spans="1:1" x14ac:dyDescent="0.3">
      <c r="A33432" t="s">
        <v>0</v>
      </c>
    </row>
    <row r="33433" spans="1:1" x14ac:dyDescent="0.3">
      <c r="A33433" t="s">
        <v>0</v>
      </c>
    </row>
    <row r="33434" spans="1:1" x14ac:dyDescent="0.3">
      <c r="A33434" t="s">
        <v>0</v>
      </c>
    </row>
    <row r="33435" spans="1:1" x14ac:dyDescent="0.3">
      <c r="A33435" t="s">
        <v>0</v>
      </c>
    </row>
    <row r="33436" spans="1:1" x14ac:dyDescent="0.3">
      <c r="A33436" t="s">
        <v>0</v>
      </c>
    </row>
    <row r="33437" spans="1:1" x14ac:dyDescent="0.3">
      <c r="A33437" t="s">
        <v>0</v>
      </c>
    </row>
    <row r="33438" spans="1:1" x14ac:dyDescent="0.3">
      <c r="A33438" t="s">
        <v>0</v>
      </c>
    </row>
    <row r="33439" spans="1:1" x14ac:dyDescent="0.3">
      <c r="A33439" t="s">
        <v>0</v>
      </c>
    </row>
    <row r="33440" spans="1:1" x14ac:dyDescent="0.3">
      <c r="A33440" t="s">
        <v>0</v>
      </c>
    </row>
    <row r="33441" spans="1:1" x14ac:dyDescent="0.3">
      <c r="A33441" t="s">
        <v>0</v>
      </c>
    </row>
    <row r="33442" spans="1:1" x14ac:dyDescent="0.3">
      <c r="A33442" t="s">
        <v>0</v>
      </c>
    </row>
    <row r="33443" spans="1:1" x14ac:dyDescent="0.3">
      <c r="A33443" t="s">
        <v>0</v>
      </c>
    </row>
    <row r="33444" spans="1:1" x14ac:dyDescent="0.3">
      <c r="A33444" t="s">
        <v>0</v>
      </c>
    </row>
    <row r="33445" spans="1:1" x14ac:dyDescent="0.3">
      <c r="A33445" t="s">
        <v>0</v>
      </c>
    </row>
    <row r="33446" spans="1:1" x14ac:dyDescent="0.3">
      <c r="A33446" t="s">
        <v>0</v>
      </c>
    </row>
    <row r="33447" spans="1:1" x14ac:dyDescent="0.3">
      <c r="A33447" t="s">
        <v>0</v>
      </c>
    </row>
    <row r="33448" spans="1:1" x14ac:dyDescent="0.3">
      <c r="A33448" t="s">
        <v>0</v>
      </c>
    </row>
    <row r="33449" spans="1:1" x14ac:dyDescent="0.3">
      <c r="A33449" t="s">
        <v>0</v>
      </c>
    </row>
    <row r="33450" spans="1:1" x14ac:dyDescent="0.3">
      <c r="A33450" t="s">
        <v>0</v>
      </c>
    </row>
    <row r="33451" spans="1:1" x14ac:dyDescent="0.3">
      <c r="A33451" t="s">
        <v>0</v>
      </c>
    </row>
    <row r="33452" spans="1:1" x14ac:dyDescent="0.3">
      <c r="A33452" t="s">
        <v>0</v>
      </c>
    </row>
    <row r="33453" spans="1:1" x14ac:dyDescent="0.3">
      <c r="A33453" t="s">
        <v>0</v>
      </c>
    </row>
    <row r="33454" spans="1:1" x14ac:dyDescent="0.3">
      <c r="A33454" t="s">
        <v>0</v>
      </c>
    </row>
    <row r="33455" spans="1:1" x14ac:dyDescent="0.3">
      <c r="A33455" t="s">
        <v>0</v>
      </c>
    </row>
    <row r="33456" spans="1:1" x14ac:dyDescent="0.3">
      <c r="A33456" t="s">
        <v>0</v>
      </c>
    </row>
    <row r="33457" spans="1:1" x14ac:dyDescent="0.3">
      <c r="A33457" t="s">
        <v>0</v>
      </c>
    </row>
    <row r="33458" spans="1:1" x14ac:dyDescent="0.3">
      <c r="A33458" t="s">
        <v>0</v>
      </c>
    </row>
    <row r="33459" spans="1:1" x14ac:dyDescent="0.3">
      <c r="A33459" t="s">
        <v>0</v>
      </c>
    </row>
    <row r="33460" spans="1:1" x14ac:dyDescent="0.3">
      <c r="A33460" t="s">
        <v>0</v>
      </c>
    </row>
    <row r="33461" spans="1:1" x14ac:dyDescent="0.3">
      <c r="A33461" t="s">
        <v>0</v>
      </c>
    </row>
    <row r="33462" spans="1:1" x14ac:dyDescent="0.3">
      <c r="A33462" t="s">
        <v>0</v>
      </c>
    </row>
    <row r="33463" spans="1:1" x14ac:dyDescent="0.3">
      <c r="A33463" t="s">
        <v>0</v>
      </c>
    </row>
    <row r="33464" spans="1:1" x14ac:dyDescent="0.3">
      <c r="A33464" t="s">
        <v>0</v>
      </c>
    </row>
    <row r="33465" spans="1:1" x14ac:dyDescent="0.3">
      <c r="A33465" t="s">
        <v>0</v>
      </c>
    </row>
    <row r="33466" spans="1:1" x14ac:dyDescent="0.3">
      <c r="A33466" t="s">
        <v>0</v>
      </c>
    </row>
    <row r="33467" spans="1:1" x14ac:dyDescent="0.3">
      <c r="A33467" t="s">
        <v>0</v>
      </c>
    </row>
    <row r="33468" spans="1:1" x14ac:dyDescent="0.3">
      <c r="A33468" t="s">
        <v>0</v>
      </c>
    </row>
    <row r="33469" spans="1:1" x14ac:dyDescent="0.3">
      <c r="A33469" t="s">
        <v>0</v>
      </c>
    </row>
    <row r="33470" spans="1:1" x14ac:dyDescent="0.3">
      <c r="A33470" t="s">
        <v>0</v>
      </c>
    </row>
    <row r="33471" spans="1:1" x14ac:dyDescent="0.3">
      <c r="A33471" t="s">
        <v>0</v>
      </c>
    </row>
    <row r="33472" spans="1:1" x14ac:dyDescent="0.3">
      <c r="A33472" t="s">
        <v>0</v>
      </c>
    </row>
    <row r="33473" spans="1:1" x14ac:dyDescent="0.3">
      <c r="A33473" t="s">
        <v>0</v>
      </c>
    </row>
    <row r="33474" spans="1:1" x14ac:dyDescent="0.3">
      <c r="A33474" t="s">
        <v>0</v>
      </c>
    </row>
    <row r="33475" spans="1:1" x14ac:dyDescent="0.3">
      <c r="A33475" t="s">
        <v>0</v>
      </c>
    </row>
    <row r="33476" spans="1:1" x14ac:dyDescent="0.3">
      <c r="A33476" t="s">
        <v>0</v>
      </c>
    </row>
    <row r="33477" spans="1:1" x14ac:dyDescent="0.3">
      <c r="A33477" t="s">
        <v>0</v>
      </c>
    </row>
    <row r="33478" spans="1:1" x14ac:dyDescent="0.3">
      <c r="A33478" t="s">
        <v>0</v>
      </c>
    </row>
    <row r="33479" spans="1:1" x14ac:dyDescent="0.3">
      <c r="A33479" t="s">
        <v>0</v>
      </c>
    </row>
    <row r="33480" spans="1:1" x14ac:dyDescent="0.3">
      <c r="A33480" t="s">
        <v>0</v>
      </c>
    </row>
    <row r="33481" spans="1:1" x14ac:dyDescent="0.3">
      <c r="A33481" t="s">
        <v>0</v>
      </c>
    </row>
    <row r="33482" spans="1:1" x14ac:dyDescent="0.3">
      <c r="A33482" t="s">
        <v>0</v>
      </c>
    </row>
    <row r="33483" spans="1:1" x14ac:dyDescent="0.3">
      <c r="A33483" t="s">
        <v>0</v>
      </c>
    </row>
    <row r="33484" spans="1:1" x14ac:dyDescent="0.3">
      <c r="A33484" t="s">
        <v>0</v>
      </c>
    </row>
    <row r="33485" spans="1:1" x14ac:dyDescent="0.3">
      <c r="A33485" t="s">
        <v>0</v>
      </c>
    </row>
    <row r="33486" spans="1:1" x14ac:dyDescent="0.3">
      <c r="A33486" t="s">
        <v>0</v>
      </c>
    </row>
    <row r="33487" spans="1:1" x14ac:dyDescent="0.3">
      <c r="A33487" t="s">
        <v>0</v>
      </c>
    </row>
    <row r="33488" spans="1:1" x14ac:dyDescent="0.3">
      <c r="A33488" t="s">
        <v>0</v>
      </c>
    </row>
    <row r="33489" spans="1:1" x14ac:dyDescent="0.3">
      <c r="A33489" t="s">
        <v>0</v>
      </c>
    </row>
    <row r="33490" spans="1:1" x14ac:dyDescent="0.3">
      <c r="A33490" t="s">
        <v>0</v>
      </c>
    </row>
    <row r="33491" spans="1:1" x14ac:dyDescent="0.3">
      <c r="A33491" t="s">
        <v>0</v>
      </c>
    </row>
    <row r="33492" spans="1:1" x14ac:dyDescent="0.3">
      <c r="A33492" t="s">
        <v>0</v>
      </c>
    </row>
    <row r="33493" spans="1:1" x14ac:dyDescent="0.3">
      <c r="A33493" t="s">
        <v>0</v>
      </c>
    </row>
    <row r="33494" spans="1:1" x14ac:dyDescent="0.3">
      <c r="A33494" t="s">
        <v>0</v>
      </c>
    </row>
    <row r="33495" spans="1:1" x14ac:dyDescent="0.3">
      <c r="A33495" t="s">
        <v>0</v>
      </c>
    </row>
    <row r="33496" spans="1:1" x14ac:dyDescent="0.3">
      <c r="A33496" t="s">
        <v>0</v>
      </c>
    </row>
    <row r="33497" spans="1:1" x14ac:dyDescent="0.3">
      <c r="A33497" t="s">
        <v>0</v>
      </c>
    </row>
    <row r="33498" spans="1:1" x14ac:dyDescent="0.3">
      <c r="A33498" t="s">
        <v>0</v>
      </c>
    </row>
    <row r="33499" spans="1:1" x14ac:dyDescent="0.3">
      <c r="A33499" t="s">
        <v>0</v>
      </c>
    </row>
    <row r="33500" spans="1:1" x14ac:dyDescent="0.3">
      <c r="A33500" t="s">
        <v>0</v>
      </c>
    </row>
    <row r="33501" spans="1:1" x14ac:dyDescent="0.3">
      <c r="A33501" t="s">
        <v>0</v>
      </c>
    </row>
    <row r="33502" spans="1:1" x14ac:dyDescent="0.3">
      <c r="A33502" t="s">
        <v>0</v>
      </c>
    </row>
    <row r="33503" spans="1:1" x14ac:dyDescent="0.3">
      <c r="A33503" t="s">
        <v>0</v>
      </c>
    </row>
    <row r="33504" spans="1:1" x14ac:dyDescent="0.3">
      <c r="A33504" t="s">
        <v>0</v>
      </c>
    </row>
    <row r="33505" spans="1:1" x14ac:dyDescent="0.3">
      <c r="A33505" t="s">
        <v>0</v>
      </c>
    </row>
    <row r="33506" spans="1:1" x14ac:dyDescent="0.3">
      <c r="A33506" t="s">
        <v>0</v>
      </c>
    </row>
    <row r="33507" spans="1:1" x14ac:dyDescent="0.3">
      <c r="A33507" t="s">
        <v>0</v>
      </c>
    </row>
    <row r="33508" spans="1:1" x14ac:dyDescent="0.3">
      <c r="A33508" t="s">
        <v>0</v>
      </c>
    </row>
    <row r="33509" spans="1:1" x14ac:dyDescent="0.3">
      <c r="A33509" t="s">
        <v>0</v>
      </c>
    </row>
    <row r="33510" spans="1:1" x14ac:dyDescent="0.3">
      <c r="A33510" t="s">
        <v>0</v>
      </c>
    </row>
    <row r="33511" spans="1:1" x14ac:dyDescent="0.3">
      <c r="A33511" t="s">
        <v>0</v>
      </c>
    </row>
    <row r="33512" spans="1:1" x14ac:dyDescent="0.3">
      <c r="A33512" t="s">
        <v>0</v>
      </c>
    </row>
    <row r="33513" spans="1:1" x14ac:dyDescent="0.3">
      <c r="A33513" t="s">
        <v>0</v>
      </c>
    </row>
    <row r="33514" spans="1:1" x14ac:dyDescent="0.3">
      <c r="A33514" t="s">
        <v>0</v>
      </c>
    </row>
    <row r="33515" spans="1:1" x14ac:dyDescent="0.3">
      <c r="A33515" t="s">
        <v>0</v>
      </c>
    </row>
    <row r="33516" spans="1:1" x14ac:dyDescent="0.3">
      <c r="A33516" t="s">
        <v>0</v>
      </c>
    </row>
    <row r="33517" spans="1:1" x14ac:dyDescent="0.3">
      <c r="A33517" t="s">
        <v>0</v>
      </c>
    </row>
    <row r="33518" spans="1:1" x14ac:dyDescent="0.3">
      <c r="A33518" t="s">
        <v>0</v>
      </c>
    </row>
    <row r="33519" spans="1:1" x14ac:dyDescent="0.3">
      <c r="A33519" t="s">
        <v>0</v>
      </c>
    </row>
    <row r="33520" spans="1:1" x14ac:dyDescent="0.3">
      <c r="A33520" t="s">
        <v>0</v>
      </c>
    </row>
    <row r="33521" spans="1:1" x14ac:dyDescent="0.3">
      <c r="A33521" t="s">
        <v>0</v>
      </c>
    </row>
    <row r="33522" spans="1:1" x14ac:dyDescent="0.3">
      <c r="A33522" t="s">
        <v>0</v>
      </c>
    </row>
    <row r="33523" spans="1:1" x14ac:dyDescent="0.3">
      <c r="A33523" t="s">
        <v>0</v>
      </c>
    </row>
    <row r="33524" spans="1:1" x14ac:dyDescent="0.3">
      <c r="A33524" t="s">
        <v>0</v>
      </c>
    </row>
    <row r="33525" spans="1:1" x14ac:dyDescent="0.3">
      <c r="A33525" t="s">
        <v>0</v>
      </c>
    </row>
    <row r="33526" spans="1:1" x14ac:dyDescent="0.3">
      <c r="A33526" t="s">
        <v>0</v>
      </c>
    </row>
    <row r="33527" spans="1:1" x14ac:dyDescent="0.3">
      <c r="A33527" t="s">
        <v>0</v>
      </c>
    </row>
    <row r="33528" spans="1:1" x14ac:dyDescent="0.3">
      <c r="A33528" t="s">
        <v>0</v>
      </c>
    </row>
    <row r="33529" spans="1:1" x14ac:dyDescent="0.3">
      <c r="A33529" t="s">
        <v>0</v>
      </c>
    </row>
    <row r="33530" spans="1:1" x14ac:dyDescent="0.3">
      <c r="A33530" t="s">
        <v>0</v>
      </c>
    </row>
    <row r="33531" spans="1:1" x14ac:dyDescent="0.3">
      <c r="A33531" t="s">
        <v>0</v>
      </c>
    </row>
    <row r="33532" spans="1:1" x14ac:dyDescent="0.3">
      <c r="A33532" t="s">
        <v>0</v>
      </c>
    </row>
    <row r="33533" spans="1:1" x14ac:dyDescent="0.3">
      <c r="A33533" t="s">
        <v>0</v>
      </c>
    </row>
    <row r="33534" spans="1:1" x14ac:dyDescent="0.3">
      <c r="A33534" t="s">
        <v>0</v>
      </c>
    </row>
    <row r="33535" spans="1:1" x14ac:dyDescent="0.3">
      <c r="A33535" t="s">
        <v>0</v>
      </c>
    </row>
    <row r="33536" spans="1:1" x14ac:dyDescent="0.3">
      <c r="A33536" t="s">
        <v>0</v>
      </c>
    </row>
    <row r="33537" spans="1:1" x14ac:dyDescent="0.3">
      <c r="A33537" t="s">
        <v>0</v>
      </c>
    </row>
    <row r="33538" spans="1:1" x14ac:dyDescent="0.3">
      <c r="A33538" t="s">
        <v>0</v>
      </c>
    </row>
    <row r="33539" spans="1:1" x14ac:dyDescent="0.3">
      <c r="A33539" t="s">
        <v>0</v>
      </c>
    </row>
    <row r="33540" spans="1:1" x14ac:dyDescent="0.3">
      <c r="A33540" t="s">
        <v>0</v>
      </c>
    </row>
    <row r="33541" spans="1:1" x14ac:dyDescent="0.3">
      <c r="A33541" t="s">
        <v>0</v>
      </c>
    </row>
    <row r="33542" spans="1:1" x14ac:dyDescent="0.3">
      <c r="A33542" t="s">
        <v>0</v>
      </c>
    </row>
    <row r="33543" spans="1:1" x14ac:dyDescent="0.3">
      <c r="A33543" t="s">
        <v>0</v>
      </c>
    </row>
    <row r="33544" spans="1:1" x14ac:dyDescent="0.3">
      <c r="A33544" t="s">
        <v>0</v>
      </c>
    </row>
    <row r="33545" spans="1:1" x14ac:dyDescent="0.3">
      <c r="A33545" t="s">
        <v>0</v>
      </c>
    </row>
    <row r="33546" spans="1:1" x14ac:dyDescent="0.3">
      <c r="A33546" t="s">
        <v>0</v>
      </c>
    </row>
    <row r="33547" spans="1:1" x14ac:dyDescent="0.3">
      <c r="A33547" t="s">
        <v>0</v>
      </c>
    </row>
    <row r="33548" spans="1:1" x14ac:dyDescent="0.3">
      <c r="A33548" t="s">
        <v>0</v>
      </c>
    </row>
    <row r="33549" spans="1:1" x14ac:dyDescent="0.3">
      <c r="A33549" t="s">
        <v>0</v>
      </c>
    </row>
    <row r="33550" spans="1:1" x14ac:dyDescent="0.3">
      <c r="A33550" t="s">
        <v>0</v>
      </c>
    </row>
    <row r="33551" spans="1:1" x14ac:dyDescent="0.3">
      <c r="A33551" t="s">
        <v>0</v>
      </c>
    </row>
    <row r="33552" spans="1:1" x14ac:dyDescent="0.3">
      <c r="A33552" t="s">
        <v>0</v>
      </c>
    </row>
    <row r="33553" spans="1:1" x14ac:dyDescent="0.3">
      <c r="A33553" t="s">
        <v>0</v>
      </c>
    </row>
    <row r="33554" spans="1:1" x14ac:dyDescent="0.3">
      <c r="A33554" t="s">
        <v>0</v>
      </c>
    </row>
    <row r="33555" spans="1:1" x14ac:dyDescent="0.3">
      <c r="A33555" t="s">
        <v>0</v>
      </c>
    </row>
    <row r="33556" spans="1:1" x14ac:dyDescent="0.3">
      <c r="A33556" t="s">
        <v>0</v>
      </c>
    </row>
    <row r="33557" spans="1:1" x14ac:dyDescent="0.3">
      <c r="A33557" t="s">
        <v>0</v>
      </c>
    </row>
    <row r="33558" spans="1:1" x14ac:dyDescent="0.3">
      <c r="A33558" t="s">
        <v>0</v>
      </c>
    </row>
    <row r="33559" spans="1:1" x14ac:dyDescent="0.3">
      <c r="A33559" t="s">
        <v>0</v>
      </c>
    </row>
    <row r="33560" spans="1:1" x14ac:dyDescent="0.3">
      <c r="A33560" t="s">
        <v>0</v>
      </c>
    </row>
    <row r="33561" spans="1:1" x14ac:dyDescent="0.3">
      <c r="A33561" t="s">
        <v>0</v>
      </c>
    </row>
    <row r="33562" spans="1:1" x14ac:dyDescent="0.3">
      <c r="A33562" t="s">
        <v>0</v>
      </c>
    </row>
    <row r="33563" spans="1:1" x14ac:dyDescent="0.3">
      <c r="A33563" t="s">
        <v>0</v>
      </c>
    </row>
    <row r="33564" spans="1:1" x14ac:dyDescent="0.3">
      <c r="A33564" t="s">
        <v>0</v>
      </c>
    </row>
    <row r="33565" spans="1:1" x14ac:dyDescent="0.3">
      <c r="A33565" t="s">
        <v>0</v>
      </c>
    </row>
    <row r="33566" spans="1:1" x14ac:dyDescent="0.3">
      <c r="A33566" t="s">
        <v>0</v>
      </c>
    </row>
    <row r="33567" spans="1:1" x14ac:dyDescent="0.3">
      <c r="A33567" t="s">
        <v>0</v>
      </c>
    </row>
    <row r="33568" spans="1:1" x14ac:dyDescent="0.3">
      <c r="A33568" t="s">
        <v>0</v>
      </c>
    </row>
    <row r="33569" spans="1:1" x14ac:dyDescent="0.3">
      <c r="A33569" t="s">
        <v>0</v>
      </c>
    </row>
    <row r="33570" spans="1:1" x14ac:dyDescent="0.3">
      <c r="A33570" t="s">
        <v>0</v>
      </c>
    </row>
    <row r="33571" spans="1:1" x14ac:dyDescent="0.3">
      <c r="A33571" t="s">
        <v>0</v>
      </c>
    </row>
    <row r="33572" spans="1:1" x14ac:dyDescent="0.3">
      <c r="A33572" t="s">
        <v>0</v>
      </c>
    </row>
    <row r="33573" spans="1:1" x14ac:dyDescent="0.3">
      <c r="A33573" t="s">
        <v>0</v>
      </c>
    </row>
    <row r="33574" spans="1:1" x14ac:dyDescent="0.3">
      <c r="A33574" t="s">
        <v>0</v>
      </c>
    </row>
    <row r="33575" spans="1:1" x14ac:dyDescent="0.3">
      <c r="A33575" t="s">
        <v>0</v>
      </c>
    </row>
    <row r="33576" spans="1:1" x14ac:dyDescent="0.3">
      <c r="A33576" t="s">
        <v>0</v>
      </c>
    </row>
    <row r="33577" spans="1:1" x14ac:dyDescent="0.3">
      <c r="A33577" t="s">
        <v>0</v>
      </c>
    </row>
    <row r="33578" spans="1:1" x14ac:dyDescent="0.3">
      <c r="A33578" t="s">
        <v>0</v>
      </c>
    </row>
    <row r="33579" spans="1:1" x14ac:dyDescent="0.3">
      <c r="A33579" t="s">
        <v>0</v>
      </c>
    </row>
    <row r="33580" spans="1:1" x14ac:dyDescent="0.3">
      <c r="A33580" t="s">
        <v>0</v>
      </c>
    </row>
    <row r="33581" spans="1:1" x14ac:dyDescent="0.3">
      <c r="A33581" t="s">
        <v>0</v>
      </c>
    </row>
    <row r="33582" spans="1:1" x14ac:dyDescent="0.3">
      <c r="A33582" t="s">
        <v>0</v>
      </c>
    </row>
    <row r="33583" spans="1:1" x14ac:dyDescent="0.3">
      <c r="A33583" t="s">
        <v>0</v>
      </c>
    </row>
    <row r="33584" spans="1:1" x14ac:dyDescent="0.3">
      <c r="A33584" t="s">
        <v>0</v>
      </c>
    </row>
    <row r="33585" spans="1:1" x14ac:dyDescent="0.3">
      <c r="A33585" t="s">
        <v>0</v>
      </c>
    </row>
    <row r="33586" spans="1:1" x14ac:dyDescent="0.3">
      <c r="A33586" t="s">
        <v>0</v>
      </c>
    </row>
    <row r="33587" spans="1:1" x14ac:dyDescent="0.3">
      <c r="A33587" t="s">
        <v>0</v>
      </c>
    </row>
    <row r="33588" spans="1:1" x14ac:dyDescent="0.3">
      <c r="A33588" t="s">
        <v>0</v>
      </c>
    </row>
    <row r="33589" spans="1:1" x14ac:dyDescent="0.3">
      <c r="A33589" t="s">
        <v>0</v>
      </c>
    </row>
    <row r="33590" spans="1:1" x14ac:dyDescent="0.3">
      <c r="A33590" t="s">
        <v>0</v>
      </c>
    </row>
    <row r="33591" spans="1:1" x14ac:dyDescent="0.3">
      <c r="A33591" t="s">
        <v>0</v>
      </c>
    </row>
    <row r="33592" spans="1:1" x14ac:dyDescent="0.3">
      <c r="A33592" t="s">
        <v>0</v>
      </c>
    </row>
    <row r="33593" spans="1:1" x14ac:dyDescent="0.3">
      <c r="A33593" t="s">
        <v>0</v>
      </c>
    </row>
    <row r="33594" spans="1:1" x14ac:dyDescent="0.3">
      <c r="A33594" t="s">
        <v>0</v>
      </c>
    </row>
    <row r="33595" spans="1:1" x14ac:dyDescent="0.3">
      <c r="A33595" t="s">
        <v>0</v>
      </c>
    </row>
    <row r="33596" spans="1:1" x14ac:dyDescent="0.3">
      <c r="A33596" t="s">
        <v>0</v>
      </c>
    </row>
    <row r="33597" spans="1:1" x14ac:dyDescent="0.3">
      <c r="A33597" t="s">
        <v>0</v>
      </c>
    </row>
    <row r="33598" spans="1:1" x14ac:dyDescent="0.3">
      <c r="A33598" t="s">
        <v>0</v>
      </c>
    </row>
    <row r="33599" spans="1:1" x14ac:dyDescent="0.3">
      <c r="A33599" t="s">
        <v>0</v>
      </c>
    </row>
    <row r="33600" spans="1:1" x14ac:dyDescent="0.3">
      <c r="A33600" t="s">
        <v>0</v>
      </c>
    </row>
    <row r="33601" spans="1:1" x14ac:dyDescent="0.3">
      <c r="A33601" t="s">
        <v>0</v>
      </c>
    </row>
    <row r="33602" spans="1:1" x14ac:dyDescent="0.3">
      <c r="A33602" t="s">
        <v>0</v>
      </c>
    </row>
    <row r="33603" spans="1:1" x14ac:dyDescent="0.3">
      <c r="A33603" t="s">
        <v>0</v>
      </c>
    </row>
    <row r="33604" spans="1:1" x14ac:dyDescent="0.3">
      <c r="A33604" t="s">
        <v>0</v>
      </c>
    </row>
    <row r="33605" spans="1:1" x14ac:dyDescent="0.3">
      <c r="A33605" t="s">
        <v>0</v>
      </c>
    </row>
    <row r="33606" spans="1:1" x14ac:dyDescent="0.3">
      <c r="A33606" t="s">
        <v>0</v>
      </c>
    </row>
    <row r="33607" spans="1:1" x14ac:dyDescent="0.3">
      <c r="A33607" t="s">
        <v>0</v>
      </c>
    </row>
    <row r="33608" spans="1:1" x14ac:dyDescent="0.3">
      <c r="A33608" t="s">
        <v>0</v>
      </c>
    </row>
    <row r="33609" spans="1:1" x14ac:dyDescent="0.3">
      <c r="A33609" t="s">
        <v>0</v>
      </c>
    </row>
    <row r="33610" spans="1:1" x14ac:dyDescent="0.3">
      <c r="A33610" t="s">
        <v>0</v>
      </c>
    </row>
    <row r="33611" spans="1:1" x14ac:dyDescent="0.3">
      <c r="A33611" t="s">
        <v>0</v>
      </c>
    </row>
    <row r="33612" spans="1:1" x14ac:dyDescent="0.3">
      <c r="A33612" t="s">
        <v>0</v>
      </c>
    </row>
    <row r="33613" spans="1:1" x14ac:dyDescent="0.3">
      <c r="A33613" t="s">
        <v>0</v>
      </c>
    </row>
    <row r="33614" spans="1:1" x14ac:dyDescent="0.3">
      <c r="A33614" t="s">
        <v>0</v>
      </c>
    </row>
    <row r="33615" spans="1:1" x14ac:dyDescent="0.3">
      <c r="A33615" t="s">
        <v>0</v>
      </c>
    </row>
    <row r="33616" spans="1:1" x14ac:dyDescent="0.3">
      <c r="A33616" t="s">
        <v>0</v>
      </c>
    </row>
    <row r="33617" spans="1:1" x14ac:dyDescent="0.3">
      <c r="A33617" t="s">
        <v>0</v>
      </c>
    </row>
    <row r="33618" spans="1:1" x14ac:dyDescent="0.3">
      <c r="A33618" t="s">
        <v>0</v>
      </c>
    </row>
    <row r="33619" spans="1:1" x14ac:dyDescent="0.3">
      <c r="A33619" t="s">
        <v>0</v>
      </c>
    </row>
    <row r="33620" spans="1:1" x14ac:dyDescent="0.3">
      <c r="A33620" t="s">
        <v>0</v>
      </c>
    </row>
    <row r="33621" spans="1:1" x14ac:dyDescent="0.3">
      <c r="A33621" t="s">
        <v>0</v>
      </c>
    </row>
    <row r="33622" spans="1:1" x14ac:dyDescent="0.3">
      <c r="A33622" t="s">
        <v>0</v>
      </c>
    </row>
    <row r="33623" spans="1:1" x14ac:dyDescent="0.3">
      <c r="A33623" t="s">
        <v>0</v>
      </c>
    </row>
    <row r="33624" spans="1:1" x14ac:dyDescent="0.3">
      <c r="A33624" t="s">
        <v>0</v>
      </c>
    </row>
    <row r="33625" spans="1:1" x14ac:dyDescent="0.3">
      <c r="A33625" t="s">
        <v>0</v>
      </c>
    </row>
    <row r="33626" spans="1:1" x14ac:dyDescent="0.3">
      <c r="A33626" t="s">
        <v>0</v>
      </c>
    </row>
    <row r="33627" spans="1:1" x14ac:dyDescent="0.3">
      <c r="A33627" t="s">
        <v>0</v>
      </c>
    </row>
    <row r="33628" spans="1:1" x14ac:dyDescent="0.3">
      <c r="A33628" t="s">
        <v>0</v>
      </c>
    </row>
    <row r="33629" spans="1:1" x14ac:dyDescent="0.3">
      <c r="A33629" t="s">
        <v>0</v>
      </c>
    </row>
    <row r="33630" spans="1:1" x14ac:dyDescent="0.3">
      <c r="A33630" t="s">
        <v>0</v>
      </c>
    </row>
    <row r="33631" spans="1:1" x14ac:dyDescent="0.3">
      <c r="A33631" t="s">
        <v>0</v>
      </c>
    </row>
    <row r="33632" spans="1:1" x14ac:dyDescent="0.3">
      <c r="A33632" t="s">
        <v>0</v>
      </c>
    </row>
    <row r="33633" spans="1:1" x14ac:dyDescent="0.3">
      <c r="A33633" t="s">
        <v>0</v>
      </c>
    </row>
    <row r="33634" spans="1:1" x14ac:dyDescent="0.3">
      <c r="A33634" t="s">
        <v>0</v>
      </c>
    </row>
    <row r="33635" spans="1:1" x14ac:dyDescent="0.3">
      <c r="A33635" t="s">
        <v>0</v>
      </c>
    </row>
    <row r="33636" spans="1:1" x14ac:dyDescent="0.3">
      <c r="A33636" t="s">
        <v>0</v>
      </c>
    </row>
    <row r="33637" spans="1:1" x14ac:dyDescent="0.3">
      <c r="A33637" t="s">
        <v>0</v>
      </c>
    </row>
    <row r="33638" spans="1:1" x14ac:dyDescent="0.3">
      <c r="A33638" t="s">
        <v>0</v>
      </c>
    </row>
    <row r="33639" spans="1:1" x14ac:dyDescent="0.3">
      <c r="A33639" t="s">
        <v>0</v>
      </c>
    </row>
    <row r="33640" spans="1:1" x14ac:dyDescent="0.3">
      <c r="A33640" t="s">
        <v>0</v>
      </c>
    </row>
    <row r="33641" spans="1:1" x14ac:dyDescent="0.3">
      <c r="A33641" t="s">
        <v>0</v>
      </c>
    </row>
    <row r="33642" spans="1:1" x14ac:dyDescent="0.3">
      <c r="A33642" t="s">
        <v>0</v>
      </c>
    </row>
    <row r="33643" spans="1:1" x14ac:dyDescent="0.3">
      <c r="A33643" t="s">
        <v>0</v>
      </c>
    </row>
    <row r="33644" spans="1:1" x14ac:dyDescent="0.3">
      <c r="A33644" t="s">
        <v>0</v>
      </c>
    </row>
    <row r="33645" spans="1:1" x14ac:dyDescent="0.3">
      <c r="A33645" t="s">
        <v>0</v>
      </c>
    </row>
    <row r="33646" spans="1:1" x14ac:dyDescent="0.3">
      <c r="A33646" t="s">
        <v>0</v>
      </c>
    </row>
    <row r="33647" spans="1:1" x14ac:dyDescent="0.3">
      <c r="A33647" t="s">
        <v>0</v>
      </c>
    </row>
    <row r="33648" spans="1:1" x14ac:dyDescent="0.3">
      <c r="A33648" t="s">
        <v>0</v>
      </c>
    </row>
    <row r="33649" spans="1:1" x14ac:dyDescent="0.3">
      <c r="A33649" t="s">
        <v>0</v>
      </c>
    </row>
    <row r="33650" spans="1:1" x14ac:dyDescent="0.3">
      <c r="A33650" t="s">
        <v>0</v>
      </c>
    </row>
    <row r="33651" spans="1:1" x14ac:dyDescent="0.3">
      <c r="A33651" t="s">
        <v>0</v>
      </c>
    </row>
    <row r="33652" spans="1:1" x14ac:dyDescent="0.3">
      <c r="A33652" t="s">
        <v>0</v>
      </c>
    </row>
    <row r="33653" spans="1:1" x14ac:dyDescent="0.3">
      <c r="A33653" t="s">
        <v>0</v>
      </c>
    </row>
    <row r="33654" spans="1:1" x14ac:dyDescent="0.3">
      <c r="A33654" t="s">
        <v>0</v>
      </c>
    </row>
    <row r="33655" spans="1:1" x14ac:dyDescent="0.3">
      <c r="A33655" t="s">
        <v>0</v>
      </c>
    </row>
    <row r="33656" spans="1:1" x14ac:dyDescent="0.3">
      <c r="A33656" t="s">
        <v>0</v>
      </c>
    </row>
    <row r="33657" spans="1:1" x14ac:dyDescent="0.3">
      <c r="A33657" t="s">
        <v>0</v>
      </c>
    </row>
    <row r="33658" spans="1:1" x14ac:dyDescent="0.3">
      <c r="A33658" t="s">
        <v>0</v>
      </c>
    </row>
    <row r="33659" spans="1:1" x14ac:dyDescent="0.3">
      <c r="A33659" t="s">
        <v>0</v>
      </c>
    </row>
    <row r="33660" spans="1:1" x14ac:dyDescent="0.3">
      <c r="A33660" t="s">
        <v>0</v>
      </c>
    </row>
    <row r="33661" spans="1:1" x14ac:dyDescent="0.3">
      <c r="A33661" t="s">
        <v>0</v>
      </c>
    </row>
    <row r="33662" spans="1:1" x14ac:dyDescent="0.3">
      <c r="A33662" t="s">
        <v>0</v>
      </c>
    </row>
    <row r="33663" spans="1:1" x14ac:dyDescent="0.3">
      <c r="A33663" t="s">
        <v>0</v>
      </c>
    </row>
    <row r="33664" spans="1:1" x14ac:dyDescent="0.3">
      <c r="A33664" t="s">
        <v>0</v>
      </c>
    </row>
    <row r="33665" spans="1:1" x14ac:dyDescent="0.3">
      <c r="A33665" t="s">
        <v>0</v>
      </c>
    </row>
    <row r="33666" spans="1:1" x14ac:dyDescent="0.3">
      <c r="A33666" t="s">
        <v>0</v>
      </c>
    </row>
    <row r="33667" spans="1:1" x14ac:dyDescent="0.3">
      <c r="A33667" t="s">
        <v>0</v>
      </c>
    </row>
    <row r="33668" spans="1:1" x14ac:dyDescent="0.3">
      <c r="A33668" t="s">
        <v>0</v>
      </c>
    </row>
    <row r="33669" spans="1:1" x14ac:dyDescent="0.3">
      <c r="A33669" t="s">
        <v>0</v>
      </c>
    </row>
    <row r="33670" spans="1:1" x14ac:dyDescent="0.3">
      <c r="A33670" t="s">
        <v>0</v>
      </c>
    </row>
    <row r="33671" spans="1:1" x14ac:dyDescent="0.3">
      <c r="A33671" t="s">
        <v>0</v>
      </c>
    </row>
    <row r="33672" spans="1:1" x14ac:dyDescent="0.3">
      <c r="A33672" t="s">
        <v>0</v>
      </c>
    </row>
    <row r="33673" spans="1:1" x14ac:dyDescent="0.3">
      <c r="A33673" t="s">
        <v>0</v>
      </c>
    </row>
    <row r="33674" spans="1:1" x14ac:dyDescent="0.3">
      <c r="A33674" t="s">
        <v>0</v>
      </c>
    </row>
    <row r="33675" spans="1:1" x14ac:dyDescent="0.3">
      <c r="A33675" t="s">
        <v>0</v>
      </c>
    </row>
    <row r="33676" spans="1:1" x14ac:dyDescent="0.3">
      <c r="A33676" t="s">
        <v>0</v>
      </c>
    </row>
    <row r="33677" spans="1:1" x14ac:dyDescent="0.3">
      <c r="A33677" t="s">
        <v>0</v>
      </c>
    </row>
    <row r="33678" spans="1:1" x14ac:dyDescent="0.3">
      <c r="A33678" t="s">
        <v>0</v>
      </c>
    </row>
    <row r="33679" spans="1:1" x14ac:dyDescent="0.3">
      <c r="A33679" t="s">
        <v>0</v>
      </c>
    </row>
    <row r="33680" spans="1:1" x14ac:dyDescent="0.3">
      <c r="A33680" t="s">
        <v>0</v>
      </c>
    </row>
    <row r="33681" spans="1:1" x14ac:dyDescent="0.3">
      <c r="A33681" t="s">
        <v>0</v>
      </c>
    </row>
    <row r="33682" spans="1:1" x14ac:dyDescent="0.3">
      <c r="A33682" t="s">
        <v>0</v>
      </c>
    </row>
    <row r="33683" spans="1:1" x14ac:dyDescent="0.3">
      <c r="A33683" t="s">
        <v>0</v>
      </c>
    </row>
    <row r="33684" spans="1:1" x14ac:dyDescent="0.3">
      <c r="A33684" t="s">
        <v>0</v>
      </c>
    </row>
    <row r="33685" spans="1:1" x14ac:dyDescent="0.3">
      <c r="A33685" t="s">
        <v>0</v>
      </c>
    </row>
    <row r="33686" spans="1:1" x14ac:dyDescent="0.3">
      <c r="A33686" t="s">
        <v>0</v>
      </c>
    </row>
    <row r="33687" spans="1:1" x14ac:dyDescent="0.3">
      <c r="A33687" t="s">
        <v>0</v>
      </c>
    </row>
    <row r="33688" spans="1:1" x14ac:dyDescent="0.3">
      <c r="A33688" t="s">
        <v>0</v>
      </c>
    </row>
    <row r="33689" spans="1:1" x14ac:dyDescent="0.3">
      <c r="A33689" t="s">
        <v>0</v>
      </c>
    </row>
    <row r="33690" spans="1:1" x14ac:dyDescent="0.3">
      <c r="A33690" t="s">
        <v>0</v>
      </c>
    </row>
    <row r="33691" spans="1:1" x14ac:dyDescent="0.3">
      <c r="A33691" t="s">
        <v>0</v>
      </c>
    </row>
    <row r="33692" spans="1:1" x14ac:dyDescent="0.3">
      <c r="A33692" t="s">
        <v>0</v>
      </c>
    </row>
    <row r="33693" spans="1:1" x14ac:dyDescent="0.3">
      <c r="A33693" t="s">
        <v>0</v>
      </c>
    </row>
    <row r="33694" spans="1:1" x14ac:dyDescent="0.3">
      <c r="A33694" t="s">
        <v>0</v>
      </c>
    </row>
    <row r="33695" spans="1:1" x14ac:dyDescent="0.3">
      <c r="A33695" t="s">
        <v>0</v>
      </c>
    </row>
    <row r="33696" spans="1:1" x14ac:dyDescent="0.3">
      <c r="A33696" t="s">
        <v>0</v>
      </c>
    </row>
    <row r="33697" spans="1:1" x14ac:dyDescent="0.3">
      <c r="A33697" t="s">
        <v>0</v>
      </c>
    </row>
    <row r="33698" spans="1:1" x14ac:dyDescent="0.3">
      <c r="A33698" t="s">
        <v>0</v>
      </c>
    </row>
    <row r="33699" spans="1:1" x14ac:dyDescent="0.3">
      <c r="A33699" t="s">
        <v>0</v>
      </c>
    </row>
    <row r="33700" spans="1:1" x14ac:dyDescent="0.3">
      <c r="A33700" t="s">
        <v>0</v>
      </c>
    </row>
    <row r="33701" spans="1:1" x14ac:dyDescent="0.3">
      <c r="A33701" t="s">
        <v>0</v>
      </c>
    </row>
    <row r="33702" spans="1:1" x14ac:dyDescent="0.3">
      <c r="A33702" t="s">
        <v>0</v>
      </c>
    </row>
    <row r="33703" spans="1:1" x14ac:dyDescent="0.3">
      <c r="A33703" t="s">
        <v>0</v>
      </c>
    </row>
    <row r="33704" spans="1:1" x14ac:dyDescent="0.3">
      <c r="A33704" t="s">
        <v>0</v>
      </c>
    </row>
    <row r="33705" spans="1:1" x14ac:dyDescent="0.3">
      <c r="A33705" t="s">
        <v>0</v>
      </c>
    </row>
    <row r="33706" spans="1:1" x14ac:dyDescent="0.3">
      <c r="A33706" t="s">
        <v>0</v>
      </c>
    </row>
    <row r="33707" spans="1:1" x14ac:dyDescent="0.3">
      <c r="A33707" t="s">
        <v>0</v>
      </c>
    </row>
    <row r="33708" spans="1:1" x14ac:dyDescent="0.3">
      <c r="A33708" t="s">
        <v>0</v>
      </c>
    </row>
    <row r="33709" spans="1:1" x14ac:dyDescent="0.3">
      <c r="A33709" t="s">
        <v>0</v>
      </c>
    </row>
    <row r="33710" spans="1:1" x14ac:dyDescent="0.3">
      <c r="A33710" t="s">
        <v>0</v>
      </c>
    </row>
    <row r="33711" spans="1:1" x14ac:dyDescent="0.3">
      <c r="A33711" t="s">
        <v>0</v>
      </c>
    </row>
    <row r="33712" spans="1:1" x14ac:dyDescent="0.3">
      <c r="A33712" t="s">
        <v>0</v>
      </c>
    </row>
    <row r="33713" spans="1:1" x14ac:dyDescent="0.3">
      <c r="A33713" t="s">
        <v>0</v>
      </c>
    </row>
    <row r="33714" spans="1:1" x14ac:dyDescent="0.3">
      <c r="A33714" t="s">
        <v>0</v>
      </c>
    </row>
    <row r="33715" spans="1:1" x14ac:dyDescent="0.3">
      <c r="A33715" t="s">
        <v>0</v>
      </c>
    </row>
    <row r="33716" spans="1:1" x14ac:dyDescent="0.3">
      <c r="A33716" t="s">
        <v>0</v>
      </c>
    </row>
    <row r="33717" spans="1:1" x14ac:dyDescent="0.3">
      <c r="A33717" t="s">
        <v>0</v>
      </c>
    </row>
    <row r="33718" spans="1:1" x14ac:dyDescent="0.3">
      <c r="A33718" t="s">
        <v>0</v>
      </c>
    </row>
    <row r="33719" spans="1:1" x14ac:dyDescent="0.3">
      <c r="A33719" t="s">
        <v>0</v>
      </c>
    </row>
    <row r="33720" spans="1:1" x14ac:dyDescent="0.3">
      <c r="A33720" t="s">
        <v>0</v>
      </c>
    </row>
    <row r="33721" spans="1:1" x14ac:dyDescent="0.3">
      <c r="A33721" t="s">
        <v>0</v>
      </c>
    </row>
    <row r="33722" spans="1:1" x14ac:dyDescent="0.3">
      <c r="A33722" t="s">
        <v>0</v>
      </c>
    </row>
    <row r="33723" spans="1:1" x14ac:dyDescent="0.3">
      <c r="A33723" t="s">
        <v>0</v>
      </c>
    </row>
    <row r="33724" spans="1:1" x14ac:dyDescent="0.3">
      <c r="A33724" t="s">
        <v>0</v>
      </c>
    </row>
    <row r="33725" spans="1:1" x14ac:dyDescent="0.3">
      <c r="A33725" t="s">
        <v>0</v>
      </c>
    </row>
    <row r="33726" spans="1:1" x14ac:dyDescent="0.3">
      <c r="A33726" t="s">
        <v>0</v>
      </c>
    </row>
    <row r="33727" spans="1:1" x14ac:dyDescent="0.3">
      <c r="A33727" t="s">
        <v>0</v>
      </c>
    </row>
    <row r="33728" spans="1:1" x14ac:dyDescent="0.3">
      <c r="A33728" t="s">
        <v>0</v>
      </c>
    </row>
    <row r="33729" spans="1:1" x14ac:dyDescent="0.3">
      <c r="A33729" t="s">
        <v>0</v>
      </c>
    </row>
    <row r="33730" spans="1:1" x14ac:dyDescent="0.3">
      <c r="A33730" t="s">
        <v>0</v>
      </c>
    </row>
    <row r="33731" spans="1:1" x14ac:dyDescent="0.3">
      <c r="A33731" t="s">
        <v>0</v>
      </c>
    </row>
    <row r="33732" spans="1:1" x14ac:dyDescent="0.3">
      <c r="A33732" t="s">
        <v>0</v>
      </c>
    </row>
    <row r="33733" spans="1:1" x14ac:dyDescent="0.3">
      <c r="A33733" t="s">
        <v>0</v>
      </c>
    </row>
    <row r="33734" spans="1:1" x14ac:dyDescent="0.3">
      <c r="A33734" t="s">
        <v>0</v>
      </c>
    </row>
    <row r="33735" spans="1:1" x14ac:dyDescent="0.3">
      <c r="A33735" t="s">
        <v>0</v>
      </c>
    </row>
    <row r="33736" spans="1:1" x14ac:dyDescent="0.3">
      <c r="A33736" t="s">
        <v>0</v>
      </c>
    </row>
    <row r="33737" spans="1:1" x14ac:dyDescent="0.3">
      <c r="A33737" t="s">
        <v>0</v>
      </c>
    </row>
    <row r="33738" spans="1:1" x14ac:dyDescent="0.3">
      <c r="A33738" t="s">
        <v>0</v>
      </c>
    </row>
    <row r="33739" spans="1:1" x14ac:dyDescent="0.3">
      <c r="A33739" t="s">
        <v>0</v>
      </c>
    </row>
    <row r="33740" spans="1:1" x14ac:dyDescent="0.3">
      <c r="A33740" t="s">
        <v>0</v>
      </c>
    </row>
    <row r="33741" spans="1:1" x14ac:dyDescent="0.3">
      <c r="A33741" t="s">
        <v>0</v>
      </c>
    </row>
    <row r="33742" spans="1:1" x14ac:dyDescent="0.3">
      <c r="A33742" t="s">
        <v>0</v>
      </c>
    </row>
    <row r="33743" spans="1:1" x14ac:dyDescent="0.3">
      <c r="A33743" t="s">
        <v>0</v>
      </c>
    </row>
    <row r="33744" spans="1:1" x14ac:dyDescent="0.3">
      <c r="A33744" t="s">
        <v>0</v>
      </c>
    </row>
    <row r="33745" spans="1:1" x14ac:dyDescent="0.3">
      <c r="A33745" t="s">
        <v>0</v>
      </c>
    </row>
    <row r="33746" spans="1:1" x14ac:dyDescent="0.3">
      <c r="A33746" t="s">
        <v>0</v>
      </c>
    </row>
    <row r="33747" spans="1:1" x14ac:dyDescent="0.3">
      <c r="A33747" t="s">
        <v>0</v>
      </c>
    </row>
    <row r="33748" spans="1:1" x14ac:dyDescent="0.3">
      <c r="A33748" t="s">
        <v>0</v>
      </c>
    </row>
    <row r="33749" spans="1:1" x14ac:dyDescent="0.3">
      <c r="A33749" t="s">
        <v>0</v>
      </c>
    </row>
    <row r="33750" spans="1:1" x14ac:dyDescent="0.3">
      <c r="A33750" t="s">
        <v>0</v>
      </c>
    </row>
    <row r="33751" spans="1:1" x14ac:dyDescent="0.3">
      <c r="A33751" t="s">
        <v>0</v>
      </c>
    </row>
    <row r="33752" spans="1:1" x14ac:dyDescent="0.3">
      <c r="A33752" t="s">
        <v>0</v>
      </c>
    </row>
    <row r="33753" spans="1:1" x14ac:dyDescent="0.3">
      <c r="A33753" t="s">
        <v>0</v>
      </c>
    </row>
    <row r="33754" spans="1:1" x14ac:dyDescent="0.3">
      <c r="A33754" t="s">
        <v>0</v>
      </c>
    </row>
    <row r="33755" spans="1:1" x14ac:dyDescent="0.3">
      <c r="A33755" t="s">
        <v>0</v>
      </c>
    </row>
    <row r="33756" spans="1:1" x14ac:dyDescent="0.3">
      <c r="A33756" t="s">
        <v>0</v>
      </c>
    </row>
    <row r="33757" spans="1:1" x14ac:dyDescent="0.3">
      <c r="A33757" t="s">
        <v>0</v>
      </c>
    </row>
    <row r="33758" spans="1:1" x14ac:dyDescent="0.3">
      <c r="A33758" t="s">
        <v>0</v>
      </c>
    </row>
    <row r="33759" spans="1:1" x14ac:dyDescent="0.3">
      <c r="A33759" t="s">
        <v>0</v>
      </c>
    </row>
    <row r="33760" spans="1:1" x14ac:dyDescent="0.3">
      <c r="A33760" t="s">
        <v>0</v>
      </c>
    </row>
    <row r="33761" spans="1:1" x14ac:dyDescent="0.3">
      <c r="A33761" t="s">
        <v>0</v>
      </c>
    </row>
    <row r="33762" spans="1:1" x14ac:dyDescent="0.3">
      <c r="A33762" t="s">
        <v>0</v>
      </c>
    </row>
    <row r="33763" spans="1:1" x14ac:dyDescent="0.3">
      <c r="A33763" t="s">
        <v>0</v>
      </c>
    </row>
    <row r="33764" spans="1:1" x14ac:dyDescent="0.3">
      <c r="A33764" t="s">
        <v>0</v>
      </c>
    </row>
    <row r="33765" spans="1:1" x14ac:dyDescent="0.3">
      <c r="A33765" t="s">
        <v>0</v>
      </c>
    </row>
    <row r="33766" spans="1:1" x14ac:dyDescent="0.3">
      <c r="A33766" t="s">
        <v>0</v>
      </c>
    </row>
    <row r="33767" spans="1:1" x14ac:dyDescent="0.3">
      <c r="A33767" t="s">
        <v>0</v>
      </c>
    </row>
    <row r="33768" spans="1:1" x14ac:dyDescent="0.3">
      <c r="A33768" t="s">
        <v>0</v>
      </c>
    </row>
    <row r="33769" spans="1:1" x14ac:dyDescent="0.3">
      <c r="A33769" t="s">
        <v>0</v>
      </c>
    </row>
    <row r="33770" spans="1:1" x14ac:dyDescent="0.3">
      <c r="A33770" t="s">
        <v>0</v>
      </c>
    </row>
    <row r="33771" spans="1:1" x14ac:dyDescent="0.3">
      <c r="A33771" t="s">
        <v>0</v>
      </c>
    </row>
    <row r="33772" spans="1:1" x14ac:dyDescent="0.3">
      <c r="A33772" t="s">
        <v>0</v>
      </c>
    </row>
    <row r="33773" spans="1:1" x14ac:dyDescent="0.3">
      <c r="A33773" t="s">
        <v>0</v>
      </c>
    </row>
    <row r="33774" spans="1:1" x14ac:dyDescent="0.3">
      <c r="A33774" t="s">
        <v>0</v>
      </c>
    </row>
    <row r="33775" spans="1:1" x14ac:dyDescent="0.3">
      <c r="A33775" t="s">
        <v>0</v>
      </c>
    </row>
    <row r="33776" spans="1:1" x14ac:dyDescent="0.3">
      <c r="A33776" t="s">
        <v>0</v>
      </c>
    </row>
    <row r="33777" spans="1:1" x14ac:dyDescent="0.3">
      <c r="A33777" t="s">
        <v>0</v>
      </c>
    </row>
    <row r="33778" spans="1:1" x14ac:dyDescent="0.3">
      <c r="A33778" t="s">
        <v>0</v>
      </c>
    </row>
    <row r="33779" spans="1:1" x14ac:dyDescent="0.3">
      <c r="A33779" t="s">
        <v>0</v>
      </c>
    </row>
    <row r="33780" spans="1:1" x14ac:dyDescent="0.3">
      <c r="A33780" t="s">
        <v>0</v>
      </c>
    </row>
    <row r="33781" spans="1:1" x14ac:dyDescent="0.3">
      <c r="A33781" t="s">
        <v>0</v>
      </c>
    </row>
    <row r="33782" spans="1:1" x14ac:dyDescent="0.3">
      <c r="A33782" t="s">
        <v>0</v>
      </c>
    </row>
    <row r="33783" spans="1:1" x14ac:dyDescent="0.3">
      <c r="A33783" t="s">
        <v>0</v>
      </c>
    </row>
    <row r="33784" spans="1:1" x14ac:dyDescent="0.3">
      <c r="A33784" t="s">
        <v>0</v>
      </c>
    </row>
    <row r="33785" spans="1:1" x14ac:dyDescent="0.3">
      <c r="A33785" t="s">
        <v>0</v>
      </c>
    </row>
    <row r="33786" spans="1:1" x14ac:dyDescent="0.3">
      <c r="A33786" t="s">
        <v>0</v>
      </c>
    </row>
    <row r="33787" spans="1:1" x14ac:dyDescent="0.3">
      <c r="A33787" t="s">
        <v>0</v>
      </c>
    </row>
    <row r="33788" spans="1:1" x14ac:dyDescent="0.3">
      <c r="A33788" t="s">
        <v>0</v>
      </c>
    </row>
    <row r="33789" spans="1:1" x14ac:dyDescent="0.3">
      <c r="A33789" t="s">
        <v>0</v>
      </c>
    </row>
    <row r="33790" spans="1:1" x14ac:dyDescent="0.3">
      <c r="A33790" t="s">
        <v>0</v>
      </c>
    </row>
    <row r="33791" spans="1:1" x14ac:dyDescent="0.3">
      <c r="A33791" t="s">
        <v>0</v>
      </c>
    </row>
    <row r="33792" spans="1:1" x14ac:dyDescent="0.3">
      <c r="A33792" t="s">
        <v>0</v>
      </c>
    </row>
    <row r="33793" spans="1:1" x14ac:dyDescent="0.3">
      <c r="A33793" t="s">
        <v>0</v>
      </c>
    </row>
    <row r="33794" spans="1:1" x14ac:dyDescent="0.3">
      <c r="A33794" t="s">
        <v>0</v>
      </c>
    </row>
    <row r="33795" spans="1:1" x14ac:dyDescent="0.3">
      <c r="A33795" t="s">
        <v>0</v>
      </c>
    </row>
    <row r="33796" spans="1:1" x14ac:dyDescent="0.3">
      <c r="A33796" t="s">
        <v>0</v>
      </c>
    </row>
    <row r="33797" spans="1:1" x14ac:dyDescent="0.3">
      <c r="A33797" t="s">
        <v>0</v>
      </c>
    </row>
    <row r="33798" spans="1:1" x14ac:dyDescent="0.3">
      <c r="A33798" t="s">
        <v>0</v>
      </c>
    </row>
    <row r="33799" spans="1:1" x14ac:dyDescent="0.3">
      <c r="A33799" t="s">
        <v>0</v>
      </c>
    </row>
    <row r="33800" spans="1:1" x14ac:dyDescent="0.3">
      <c r="A33800" t="s">
        <v>0</v>
      </c>
    </row>
    <row r="33801" spans="1:1" x14ac:dyDescent="0.3">
      <c r="A33801" t="s">
        <v>0</v>
      </c>
    </row>
    <row r="33802" spans="1:1" x14ac:dyDescent="0.3">
      <c r="A33802" t="s">
        <v>0</v>
      </c>
    </row>
    <row r="33803" spans="1:1" x14ac:dyDescent="0.3">
      <c r="A33803" t="s">
        <v>0</v>
      </c>
    </row>
    <row r="33804" spans="1:1" x14ac:dyDescent="0.3">
      <c r="A33804" t="s">
        <v>0</v>
      </c>
    </row>
    <row r="33805" spans="1:1" x14ac:dyDescent="0.3">
      <c r="A33805" t="s">
        <v>0</v>
      </c>
    </row>
    <row r="33806" spans="1:1" x14ac:dyDescent="0.3">
      <c r="A33806" t="s">
        <v>0</v>
      </c>
    </row>
    <row r="33807" spans="1:1" x14ac:dyDescent="0.3">
      <c r="A33807" t="s">
        <v>0</v>
      </c>
    </row>
    <row r="33808" spans="1:1" x14ac:dyDescent="0.3">
      <c r="A33808" t="s">
        <v>0</v>
      </c>
    </row>
    <row r="33809" spans="1:1" x14ac:dyDescent="0.3">
      <c r="A33809" t="s">
        <v>0</v>
      </c>
    </row>
    <row r="33810" spans="1:1" x14ac:dyDescent="0.3">
      <c r="A33810" t="s">
        <v>0</v>
      </c>
    </row>
    <row r="33811" spans="1:1" x14ac:dyDescent="0.3">
      <c r="A33811" t="s">
        <v>0</v>
      </c>
    </row>
    <row r="33812" spans="1:1" x14ac:dyDescent="0.3">
      <c r="A33812" t="s">
        <v>0</v>
      </c>
    </row>
    <row r="33813" spans="1:1" x14ac:dyDescent="0.3">
      <c r="A33813" t="s">
        <v>0</v>
      </c>
    </row>
    <row r="33814" spans="1:1" x14ac:dyDescent="0.3">
      <c r="A33814" t="s">
        <v>0</v>
      </c>
    </row>
    <row r="33815" spans="1:1" x14ac:dyDescent="0.3">
      <c r="A33815" t="s">
        <v>0</v>
      </c>
    </row>
    <row r="33816" spans="1:1" x14ac:dyDescent="0.3">
      <c r="A33816" t="s">
        <v>0</v>
      </c>
    </row>
    <row r="33817" spans="1:1" x14ac:dyDescent="0.3">
      <c r="A33817" t="s">
        <v>0</v>
      </c>
    </row>
    <row r="33818" spans="1:1" x14ac:dyDescent="0.3">
      <c r="A33818" t="s">
        <v>0</v>
      </c>
    </row>
    <row r="33819" spans="1:1" x14ac:dyDescent="0.3">
      <c r="A33819" t="s">
        <v>0</v>
      </c>
    </row>
    <row r="33820" spans="1:1" x14ac:dyDescent="0.3">
      <c r="A33820" t="s">
        <v>0</v>
      </c>
    </row>
    <row r="33821" spans="1:1" x14ac:dyDescent="0.3">
      <c r="A33821" t="s">
        <v>0</v>
      </c>
    </row>
    <row r="33822" spans="1:1" x14ac:dyDescent="0.3">
      <c r="A33822" t="s">
        <v>0</v>
      </c>
    </row>
    <row r="33823" spans="1:1" x14ac:dyDescent="0.3">
      <c r="A33823" t="s">
        <v>0</v>
      </c>
    </row>
    <row r="33824" spans="1:1" x14ac:dyDescent="0.3">
      <c r="A33824" t="s">
        <v>0</v>
      </c>
    </row>
    <row r="33825" spans="1:1" x14ac:dyDescent="0.3">
      <c r="A33825" t="s">
        <v>0</v>
      </c>
    </row>
    <row r="33826" spans="1:1" x14ac:dyDescent="0.3">
      <c r="A33826" t="s">
        <v>0</v>
      </c>
    </row>
    <row r="33827" spans="1:1" x14ac:dyDescent="0.3">
      <c r="A33827" t="s">
        <v>0</v>
      </c>
    </row>
    <row r="33828" spans="1:1" x14ac:dyDescent="0.3">
      <c r="A33828" t="s">
        <v>0</v>
      </c>
    </row>
    <row r="33829" spans="1:1" x14ac:dyDescent="0.3">
      <c r="A33829" t="s">
        <v>0</v>
      </c>
    </row>
    <row r="33830" spans="1:1" x14ac:dyDescent="0.3">
      <c r="A33830" t="s">
        <v>0</v>
      </c>
    </row>
    <row r="33831" spans="1:1" x14ac:dyDescent="0.3">
      <c r="A33831" t="s">
        <v>0</v>
      </c>
    </row>
    <row r="33832" spans="1:1" x14ac:dyDescent="0.3">
      <c r="A33832" t="s">
        <v>0</v>
      </c>
    </row>
    <row r="33833" spans="1:1" x14ac:dyDescent="0.3">
      <c r="A33833" t="s">
        <v>0</v>
      </c>
    </row>
    <row r="33834" spans="1:1" x14ac:dyDescent="0.3">
      <c r="A33834" t="s">
        <v>0</v>
      </c>
    </row>
    <row r="33835" spans="1:1" x14ac:dyDescent="0.3">
      <c r="A33835" t="s">
        <v>0</v>
      </c>
    </row>
    <row r="33836" spans="1:1" x14ac:dyDescent="0.3">
      <c r="A33836" t="s">
        <v>0</v>
      </c>
    </row>
    <row r="33837" spans="1:1" x14ac:dyDescent="0.3">
      <c r="A33837" t="s">
        <v>0</v>
      </c>
    </row>
    <row r="33838" spans="1:1" x14ac:dyDescent="0.3">
      <c r="A33838" t="s">
        <v>0</v>
      </c>
    </row>
    <row r="33839" spans="1:1" x14ac:dyDescent="0.3">
      <c r="A33839" t="s">
        <v>0</v>
      </c>
    </row>
    <row r="33840" spans="1:1" x14ac:dyDescent="0.3">
      <c r="A33840" t="s">
        <v>0</v>
      </c>
    </row>
    <row r="33841" spans="1:1" x14ac:dyDescent="0.3">
      <c r="A33841" t="s">
        <v>0</v>
      </c>
    </row>
    <row r="33842" spans="1:1" x14ac:dyDescent="0.3">
      <c r="A33842" t="s">
        <v>0</v>
      </c>
    </row>
    <row r="33843" spans="1:1" x14ac:dyDescent="0.3">
      <c r="A33843" t="s">
        <v>0</v>
      </c>
    </row>
    <row r="33844" spans="1:1" x14ac:dyDescent="0.3">
      <c r="A33844" t="s">
        <v>0</v>
      </c>
    </row>
    <row r="33845" spans="1:1" x14ac:dyDescent="0.3">
      <c r="A33845" t="s">
        <v>0</v>
      </c>
    </row>
    <row r="33846" spans="1:1" x14ac:dyDescent="0.3">
      <c r="A33846" t="s">
        <v>0</v>
      </c>
    </row>
    <row r="33847" spans="1:1" x14ac:dyDescent="0.3">
      <c r="A33847" t="s">
        <v>0</v>
      </c>
    </row>
    <row r="33848" spans="1:1" x14ac:dyDescent="0.3">
      <c r="A33848" t="s">
        <v>0</v>
      </c>
    </row>
    <row r="33849" spans="1:1" x14ac:dyDescent="0.3">
      <c r="A33849" t="s">
        <v>0</v>
      </c>
    </row>
    <row r="33850" spans="1:1" x14ac:dyDescent="0.3">
      <c r="A33850" t="s">
        <v>0</v>
      </c>
    </row>
    <row r="33851" spans="1:1" x14ac:dyDescent="0.3">
      <c r="A33851" t="s">
        <v>0</v>
      </c>
    </row>
    <row r="33852" spans="1:1" x14ac:dyDescent="0.3">
      <c r="A33852" t="s">
        <v>0</v>
      </c>
    </row>
    <row r="33853" spans="1:1" x14ac:dyDescent="0.3">
      <c r="A33853" t="s">
        <v>0</v>
      </c>
    </row>
    <row r="33854" spans="1:1" x14ac:dyDescent="0.3">
      <c r="A33854" t="s">
        <v>0</v>
      </c>
    </row>
    <row r="33855" spans="1:1" x14ac:dyDescent="0.3">
      <c r="A33855" t="s">
        <v>0</v>
      </c>
    </row>
    <row r="33856" spans="1:1" x14ac:dyDescent="0.3">
      <c r="A33856" t="s">
        <v>0</v>
      </c>
    </row>
    <row r="33857" spans="1:1" x14ac:dyDescent="0.3">
      <c r="A33857" t="s">
        <v>0</v>
      </c>
    </row>
    <row r="33858" spans="1:1" x14ac:dyDescent="0.3">
      <c r="A33858" t="s">
        <v>0</v>
      </c>
    </row>
    <row r="33859" spans="1:1" x14ac:dyDescent="0.3">
      <c r="A33859" t="s">
        <v>0</v>
      </c>
    </row>
    <row r="33860" spans="1:1" x14ac:dyDescent="0.3">
      <c r="A33860" t="s">
        <v>0</v>
      </c>
    </row>
    <row r="33861" spans="1:1" x14ac:dyDescent="0.3">
      <c r="A33861" t="s">
        <v>0</v>
      </c>
    </row>
    <row r="33862" spans="1:1" x14ac:dyDescent="0.3">
      <c r="A33862" t="s">
        <v>0</v>
      </c>
    </row>
    <row r="33863" spans="1:1" x14ac:dyDescent="0.3">
      <c r="A33863" t="s">
        <v>0</v>
      </c>
    </row>
    <row r="33864" spans="1:1" x14ac:dyDescent="0.3">
      <c r="A33864" t="s">
        <v>0</v>
      </c>
    </row>
    <row r="33865" spans="1:1" x14ac:dyDescent="0.3">
      <c r="A33865" t="s">
        <v>0</v>
      </c>
    </row>
    <row r="33866" spans="1:1" x14ac:dyDescent="0.3">
      <c r="A33866" t="s">
        <v>0</v>
      </c>
    </row>
    <row r="33867" spans="1:1" x14ac:dyDescent="0.3">
      <c r="A33867" t="s">
        <v>0</v>
      </c>
    </row>
    <row r="33868" spans="1:1" x14ac:dyDescent="0.3">
      <c r="A33868" t="s">
        <v>0</v>
      </c>
    </row>
    <row r="33869" spans="1:1" x14ac:dyDescent="0.3">
      <c r="A33869" t="s">
        <v>0</v>
      </c>
    </row>
    <row r="33870" spans="1:1" x14ac:dyDescent="0.3">
      <c r="A33870" t="s">
        <v>0</v>
      </c>
    </row>
    <row r="33871" spans="1:1" x14ac:dyDescent="0.3">
      <c r="A33871" t="s">
        <v>0</v>
      </c>
    </row>
    <row r="33872" spans="1:1" x14ac:dyDescent="0.3">
      <c r="A33872" t="s">
        <v>0</v>
      </c>
    </row>
    <row r="33873" spans="1:1" x14ac:dyDescent="0.3">
      <c r="A33873" t="s">
        <v>0</v>
      </c>
    </row>
    <row r="33874" spans="1:1" x14ac:dyDescent="0.3">
      <c r="A33874" t="s">
        <v>0</v>
      </c>
    </row>
    <row r="33875" spans="1:1" x14ac:dyDescent="0.3">
      <c r="A33875" t="s">
        <v>0</v>
      </c>
    </row>
    <row r="33876" spans="1:1" x14ac:dyDescent="0.3">
      <c r="A33876" t="s">
        <v>0</v>
      </c>
    </row>
    <row r="33877" spans="1:1" x14ac:dyDescent="0.3">
      <c r="A33877" t="s">
        <v>0</v>
      </c>
    </row>
    <row r="33878" spans="1:1" x14ac:dyDescent="0.3">
      <c r="A33878" t="s">
        <v>0</v>
      </c>
    </row>
    <row r="33879" spans="1:1" x14ac:dyDescent="0.3">
      <c r="A33879" t="s">
        <v>0</v>
      </c>
    </row>
    <row r="33880" spans="1:1" x14ac:dyDescent="0.3">
      <c r="A33880" t="s">
        <v>0</v>
      </c>
    </row>
    <row r="33881" spans="1:1" x14ac:dyDescent="0.3">
      <c r="A33881" t="s">
        <v>0</v>
      </c>
    </row>
    <row r="33882" spans="1:1" x14ac:dyDescent="0.3">
      <c r="A33882" t="s">
        <v>0</v>
      </c>
    </row>
    <row r="33883" spans="1:1" x14ac:dyDescent="0.3">
      <c r="A33883" t="s">
        <v>0</v>
      </c>
    </row>
    <row r="33884" spans="1:1" x14ac:dyDescent="0.3">
      <c r="A33884" t="s">
        <v>0</v>
      </c>
    </row>
    <row r="33885" spans="1:1" x14ac:dyDescent="0.3">
      <c r="A33885" t="s">
        <v>0</v>
      </c>
    </row>
    <row r="33886" spans="1:1" x14ac:dyDescent="0.3">
      <c r="A33886" t="s">
        <v>0</v>
      </c>
    </row>
    <row r="33887" spans="1:1" x14ac:dyDescent="0.3">
      <c r="A33887" t="s">
        <v>0</v>
      </c>
    </row>
    <row r="33888" spans="1:1" x14ac:dyDescent="0.3">
      <c r="A33888" t="s">
        <v>0</v>
      </c>
    </row>
    <row r="33889" spans="1:1" x14ac:dyDescent="0.3">
      <c r="A33889" t="s">
        <v>0</v>
      </c>
    </row>
    <row r="33890" spans="1:1" x14ac:dyDescent="0.3">
      <c r="A33890" t="s">
        <v>0</v>
      </c>
    </row>
    <row r="33891" spans="1:1" x14ac:dyDescent="0.3">
      <c r="A33891" t="s">
        <v>0</v>
      </c>
    </row>
    <row r="33892" spans="1:1" x14ac:dyDescent="0.3">
      <c r="A33892" t="s">
        <v>0</v>
      </c>
    </row>
    <row r="33893" spans="1:1" x14ac:dyDescent="0.3">
      <c r="A33893" t="s">
        <v>0</v>
      </c>
    </row>
    <row r="33894" spans="1:1" x14ac:dyDescent="0.3">
      <c r="A33894" t="s">
        <v>0</v>
      </c>
    </row>
    <row r="33895" spans="1:1" x14ac:dyDescent="0.3">
      <c r="A33895" t="s">
        <v>0</v>
      </c>
    </row>
    <row r="33896" spans="1:1" x14ac:dyDescent="0.3">
      <c r="A33896" t="s">
        <v>0</v>
      </c>
    </row>
    <row r="33897" spans="1:1" x14ac:dyDescent="0.3">
      <c r="A33897" t="s">
        <v>0</v>
      </c>
    </row>
    <row r="33898" spans="1:1" x14ac:dyDescent="0.3">
      <c r="A33898" t="s">
        <v>0</v>
      </c>
    </row>
    <row r="33899" spans="1:1" x14ac:dyDescent="0.3">
      <c r="A33899" t="s">
        <v>0</v>
      </c>
    </row>
    <row r="33900" spans="1:1" x14ac:dyDescent="0.3">
      <c r="A33900" t="s">
        <v>0</v>
      </c>
    </row>
    <row r="33901" spans="1:1" x14ac:dyDescent="0.3">
      <c r="A33901" t="s">
        <v>0</v>
      </c>
    </row>
    <row r="33902" spans="1:1" x14ac:dyDescent="0.3">
      <c r="A33902" t="s">
        <v>0</v>
      </c>
    </row>
    <row r="33903" spans="1:1" x14ac:dyDescent="0.3">
      <c r="A33903" t="s">
        <v>0</v>
      </c>
    </row>
    <row r="33904" spans="1:1" x14ac:dyDescent="0.3">
      <c r="A33904" t="s">
        <v>0</v>
      </c>
    </row>
    <row r="33905" spans="1:1" x14ac:dyDescent="0.3">
      <c r="A33905" t="s">
        <v>0</v>
      </c>
    </row>
    <row r="33906" spans="1:1" x14ac:dyDescent="0.3">
      <c r="A33906" t="s">
        <v>0</v>
      </c>
    </row>
    <row r="33907" spans="1:1" x14ac:dyDescent="0.3">
      <c r="A33907" t="s">
        <v>0</v>
      </c>
    </row>
    <row r="33908" spans="1:1" x14ac:dyDescent="0.3">
      <c r="A33908" t="s">
        <v>0</v>
      </c>
    </row>
    <row r="33909" spans="1:1" x14ac:dyDescent="0.3">
      <c r="A33909" t="s">
        <v>0</v>
      </c>
    </row>
    <row r="33910" spans="1:1" x14ac:dyDescent="0.3">
      <c r="A33910" t="s">
        <v>0</v>
      </c>
    </row>
    <row r="33911" spans="1:1" x14ac:dyDescent="0.3">
      <c r="A33911" t="s">
        <v>0</v>
      </c>
    </row>
    <row r="33912" spans="1:1" x14ac:dyDescent="0.3">
      <c r="A33912" t="s">
        <v>0</v>
      </c>
    </row>
    <row r="33913" spans="1:1" x14ac:dyDescent="0.3">
      <c r="A33913" t="s">
        <v>0</v>
      </c>
    </row>
    <row r="33914" spans="1:1" x14ac:dyDescent="0.3">
      <c r="A33914" t="s">
        <v>0</v>
      </c>
    </row>
    <row r="33915" spans="1:1" x14ac:dyDescent="0.3">
      <c r="A33915" t="s">
        <v>0</v>
      </c>
    </row>
    <row r="33916" spans="1:1" x14ac:dyDescent="0.3">
      <c r="A33916" t="s">
        <v>0</v>
      </c>
    </row>
    <row r="33917" spans="1:1" x14ac:dyDescent="0.3">
      <c r="A33917" t="s">
        <v>0</v>
      </c>
    </row>
    <row r="33918" spans="1:1" x14ac:dyDescent="0.3">
      <c r="A33918" t="s">
        <v>0</v>
      </c>
    </row>
    <row r="33919" spans="1:1" x14ac:dyDescent="0.3">
      <c r="A33919" t="s">
        <v>0</v>
      </c>
    </row>
    <row r="33920" spans="1:1" x14ac:dyDescent="0.3">
      <c r="A33920" t="s">
        <v>0</v>
      </c>
    </row>
    <row r="33921" spans="1:1" x14ac:dyDescent="0.3">
      <c r="A33921" t="s">
        <v>0</v>
      </c>
    </row>
    <row r="33922" spans="1:1" x14ac:dyDescent="0.3">
      <c r="A33922" t="s">
        <v>0</v>
      </c>
    </row>
    <row r="33923" spans="1:1" x14ac:dyDescent="0.3">
      <c r="A33923" t="s">
        <v>0</v>
      </c>
    </row>
    <row r="33924" spans="1:1" x14ac:dyDescent="0.3">
      <c r="A33924" t="s">
        <v>0</v>
      </c>
    </row>
    <row r="33925" spans="1:1" x14ac:dyDescent="0.3">
      <c r="A33925" t="s">
        <v>0</v>
      </c>
    </row>
    <row r="33926" spans="1:1" x14ac:dyDescent="0.3">
      <c r="A33926" t="s">
        <v>0</v>
      </c>
    </row>
    <row r="33927" spans="1:1" x14ac:dyDescent="0.3">
      <c r="A33927" t="s">
        <v>0</v>
      </c>
    </row>
    <row r="33928" spans="1:1" x14ac:dyDescent="0.3">
      <c r="A33928" t="s">
        <v>0</v>
      </c>
    </row>
    <row r="33929" spans="1:1" x14ac:dyDescent="0.3">
      <c r="A33929" t="s">
        <v>0</v>
      </c>
    </row>
    <row r="33930" spans="1:1" x14ac:dyDescent="0.3">
      <c r="A33930" t="s">
        <v>0</v>
      </c>
    </row>
    <row r="33931" spans="1:1" x14ac:dyDescent="0.3">
      <c r="A33931" t="s">
        <v>0</v>
      </c>
    </row>
    <row r="33932" spans="1:1" x14ac:dyDescent="0.3">
      <c r="A33932" t="s">
        <v>0</v>
      </c>
    </row>
    <row r="33933" spans="1:1" x14ac:dyDescent="0.3">
      <c r="A33933" t="s">
        <v>0</v>
      </c>
    </row>
    <row r="33934" spans="1:1" x14ac:dyDescent="0.3">
      <c r="A33934" t="s">
        <v>0</v>
      </c>
    </row>
    <row r="33935" spans="1:1" x14ac:dyDescent="0.3">
      <c r="A33935" t="s">
        <v>0</v>
      </c>
    </row>
    <row r="33936" spans="1:1" x14ac:dyDescent="0.3">
      <c r="A33936" t="s">
        <v>0</v>
      </c>
    </row>
    <row r="33937" spans="1:1" x14ac:dyDescent="0.3">
      <c r="A33937" t="s">
        <v>0</v>
      </c>
    </row>
    <row r="33938" spans="1:1" x14ac:dyDescent="0.3">
      <c r="A33938" t="s">
        <v>0</v>
      </c>
    </row>
    <row r="33939" spans="1:1" x14ac:dyDescent="0.3">
      <c r="A33939" t="s">
        <v>0</v>
      </c>
    </row>
    <row r="33940" spans="1:1" x14ac:dyDescent="0.3">
      <c r="A33940" t="s">
        <v>0</v>
      </c>
    </row>
    <row r="33941" spans="1:1" x14ac:dyDescent="0.3">
      <c r="A33941" t="s">
        <v>0</v>
      </c>
    </row>
    <row r="33942" spans="1:1" x14ac:dyDescent="0.3">
      <c r="A33942" t="s">
        <v>0</v>
      </c>
    </row>
    <row r="33943" spans="1:1" x14ac:dyDescent="0.3">
      <c r="A33943" t="s">
        <v>0</v>
      </c>
    </row>
    <row r="33944" spans="1:1" x14ac:dyDescent="0.3">
      <c r="A33944" t="s">
        <v>0</v>
      </c>
    </row>
    <row r="33945" spans="1:1" x14ac:dyDescent="0.3">
      <c r="A33945" t="s">
        <v>0</v>
      </c>
    </row>
    <row r="33946" spans="1:1" x14ac:dyDescent="0.3">
      <c r="A33946" t="s">
        <v>0</v>
      </c>
    </row>
    <row r="33947" spans="1:1" x14ac:dyDescent="0.3">
      <c r="A33947" t="s">
        <v>0</v>
      </c>
    </row>
    <row r="33948" spans="1:1" x14ac:dyDescent="0.3">
      <c r="A33948" t="s">
        <v>0</v>
      </c>
    </row>
    <row r="33949" spans="1:1" x14ac:dyDescent="0.3">
      <c r="A33949" t="s">
        <v>0</v>
      </c>
    </row>
    <row r="33950" spans="1:1" x14ac:dyDescent="0.3">
      <c r="A33950" t="s">
        <v>0</v>
      </c>
    </row>
    <row r="33951" spans="1:1" x14ac:dyDescent="0.3">
      <c r="A33951" t="s">
        <v>0</v>
      </c>
    </row>
    <row r="33952" spans="1:1" x14ac:dyDescent="0.3">
      <c r="A33952" t="s">
        <v>0</v>
      </c>
    </row>
    <row r="33953" spans="1:1" x14ac:dyDescent="0.3">
      <c r="A33953" t="s">
        <v>0</v>
      </c>
    </row>
    <row r="33954" spans="1:1" x14ac:dyDescent="0.3">
      <c r="A33954" t="s">
        <v>0</v>
      </c>
    </row>
    <row r="33955" spans="1:1" x14ac:dyDescent="0.3">
      <c r="A33955" t="s">
        <v>0</v>
      </c>
    </row>
    <row r="33956" spans="1:1" x14ac:dyDescent="0.3">
      <c r="A33956" t="s">
        <v>0</v>
      </c>
    </row>
    <row r="33957" spans="1:1" x14ac:dyDescent="0.3">
      <c r="A33957" t="s">
        <v>0</v>
      </c>
    </row>
    <row r="33958" spans="1:1" x14ac:dyDescent="0.3">
      <c r="A33958" t="s">
        <v>0</v>
      </c>
    </row>
    <row r="33959" spans="1:1" x14ac:dyDescent="0.3">
      <c r="A33959" t="s">
        <v>0</v>
      </c>
    </row>
    <row r="33960" spans="1:1" x14ac:dyDescent="0.3">
      <c r="A33960" t="s">
        <v>0</v>
      </c>
    </row>
    <row r="33961" spans="1:1" x14ac:dyDescent="0.3">
      <c r="A33961" t="s">
        <v>0</v>
      </c>
    </row>
    <row r="33962" spans="1:1" x14ac:dyDescent="0.3">
      <c r="A33962" t="s">
        <v>0</v>
      </c>
    </row>
    <row r="33963" spans="1:1" x14ac:dyDescent="0.3">
      <c r="A33963" t="s">
        <v>0</v>
      </c>
    </row>
    <row r="33964" spans="1:1" x14ac:dyDescent="0.3">
      <c r="A33964" t="s">
        <v>0</v>
      </c>
    </row>
    <row r="33965" spans="1:1" x14ac:dyDescent="0.3">
      <c r="A33965" t="s">
        <v>0</v>
      </c>
    </row>
    <row r="33966" spans="1:1" x14ac:dyDescent="0.3">
      <c r="A33966" t="s">
        <v>0</v>
      </c>
    </row>
    <row r="33967" spans="1:1" x14ac:dyDescent="0.3">
      <c r="A33967" t="s">
        <v>0</v>
      </c>
    </row>
    <row r="33968" spans="1:1" x14ac:dyDescent="0.3">
      <c r="A33968" t="s">
        <v>0</v>
      </c>
    </row>
    <row r="33969" spans="1:1" x14ac:dyDescent="0.3">
      <c r="A33969" t="s">
        <v>0</v>
      </c>
    </row>
    <row r="33970" spans="1:1" x14ac:dyDescent="0.3">
      <c r="A33970" t="s">
        <v>0</v>
      </c>
    </row>
    <row r="33971" spans="1:1" x14ac:dyDescent="0.3">
      <c r="A33971" t="s">
        <v>0</v>
      </c>
    </row>
    <row r="33972" spans="1:1" x14ac:dyDescent="0.3">
      <c r="A33972" t="s">
        <v>0</v>
      </c>
    </row>
    <row r="33973" spans="1:1" x14ac:dyDescent="0.3">
      <c r="A33973" t="s">
        <v>0</v>
      </c>
    </row>
    <row r="33974" spans="1:1" x14ac:dyDescent="0.3">
      <c r="A33974" t="s">
        <v>0</v>
      </c>
    </row>
    <row r="33975" spans="1:1" x14ac:dyDescent="0.3">
      <c r="A33975" t="s">
        <v>0</v>
      </c>
    </row>
    <row r="33976" spans="1:1" x14ac:dyDescent="0.3">
      <c r="A33976" t="s">
        <v>0</v>
      </c>
    </row>
    <row r="33977" spans="1:1" x14ac:dyDescent="0.3">
      <c r="A33977" t="s">
        <v>0</v>
      </c>
    </row>
    <row r="33978" spans="1:1" x14ac:dyDescent="0.3">
      <c r="A33978" t="s">
        <v>0</v>
      </c>
    </row>
    <row r="33979" spans="1:1" x14ac:dyDescent="0.3">
      <c r="A33979" t="s">
        <v>0</v>
      </c>
    </row>
    <row r="33980" spans="1:1" x14ac:dyDescent="0.3">
      <c r="A33980" t="s">
        <v>0</v>
      </c>
    </row>
    <row r="33981" spans="1:1" x14ac:dyDescent="0.3">
      <c r="A33981" t="s">
        <v>0</v>
      </c>
    </row>
    <row r="33982" spans="1:1" x14ac:dyDescent="0.3">
      <c r="A33982" t="s">
        <v>0</v>
      </c>
    </row>
    <row r="33983" spans="1:1" x14ac:dyDescent="0.3">
      <c r="A33983" t="s">
        <v>0</v>
      </c>
    </row>
    <row r="33984" spans="1:1" x14ac:dyDescent="0.3">
      <c r="A33984" t="s">
        <v>0</v>
      </c>
    </row>
    <row r="33985" spans="1:1" x14ac:dyDescent="0.3">
      <c r="A33985" t="s">
        <v>0</v>
      </c>
    </row>
    <row r="33986" spans="1:1" x14ac:dyDescent="0.3">
      <c r="A33986" t="s">
        <v>0</v>
      </c>
    </row>
    <row r="33987" spans="1:1" x14ac:dyDescent="0.3">
      <c r="A33987" t="s">
        <v>0</v>
      </c>
    </row>
    <row r="33988" spans="1:1" x14ac:dyDescent="0.3">
      <c r="A33988" t="s">
        <v>0</v>
      </c>
    </row>
    <row r="33989" spans="1:1" x14ac:dyDescent="0.3">
      <c r="A33989" t="s">
        <v>0</v>
      </c>
    </row>
    <row r="33990" spans="1:1" x14ac:dyDescent="0.3">
      <c r="A33990" t="s">
        <v>0</v>
      </c>
    </row>
    <row r="33991" spans="1:1" x14ac:dyDescent="0.3">
      <c r="A33991" t="s">
        <v>0</v>
      </c>
    </row>
    <row r="33992" spans="1:1" x14ac:dyDescent="0.3">
      <c r="A33992" t="s">
        <v>0</v>
      </c>
    </row>
    <row r="33993" spans="1:1" x14ac:dyDescent="0.3">
      <c r="A33993" t="s">
        <v>0</v>
      </c>
    </row>
    <row r="33994" spans="1:1" x14ac:dyDescent="0.3">
      <c r="A33994" t="s">
        <v>0</v>
      </c>
    </row>
    <row r="33995" spans="1:1" x14ac:dyDescent="0.3">
      <c r="A33995" t="s">
        <v>0</v>
      </c>
    </row>
    <row r="33996" spans="1:1" x14ac:dyDescent="0.3">
      <c r="A33996" t="s">
        <v>0</v>
      </c>
    </row>
    <row r="33997" spans="1:1" x14ac:dyDescent="0.3">
      <c r="A33997" t="s">
        <v>0</v>
      </c>
    </row>
    <row r="33998" spans="1:1" x14ac:dyDescent="0.3">
      <c r="A33998" t="s">
        <v>0</v>
      </c>
    </row>
    <row r="33999" spans="1:1" x14ac:dyDescent="0.3">
      <c r="A33999" t="s">
        <v>0</v>
      </c>
    </row>
    <row r="34000" spans="1:1" x14ac:dyDescent="0.3">
      <c r="A34000" t="s">
        <v>0</v>
      </c>
    </row>
    <row r="34001" spans="1:1" x14ac:dyDescent="0.3">
      <c r="A34001" t="s">
        <v>0</v>
      </c>
    </row>
    <row r="34002" spans="1:1" x14ac:dyDescent="0.3">
      <c r="A34002" t="s">
        <v>0</v>
      </c>
    </row>
    <row r="34003" spans="1:1" x14ac:dyDescent="0.3">
      <c r="A34003" t="s">
        <v>0</v>
      </c>
    </row>
    <row r="34004" spans="1:1" x14ac:dyDescent="0.3">
      <c r="A34004" t="s">
        <v>0</v>
      </c>
    </row>
    <row r="34005" spans="1:1" x14ac:dyDescent="0.3">
      <c r="A34005" t="s">
        <v>0</v>
      </c>
    </row>
    <row r="34006" spans="1:1" x14ac:dyDescent="0.3">
      <c r="A34006" t="s">
        <v>0</v>
      </c>
    </row>
    <row r="34007" spans="1:1" x14ac:dyDescent="0.3">
      <c r="A34007" t="s">
        <v>0</v>
      </c>
    </row>
    <row r="34008" spans="1:1" x14ac:dyDescent="0.3">
      <c r="A34008" t="s">
        <v>0</v>
      </c>
    </row>
    <row r="34009" spans="1:1" x14ac:dyDescent="0.3">
      <c r="A34009" t="s">
        <v>0</v>
      </c>
    </row>
    <row r="34010" spans="1:1" x14ac:dyDescent="0.3">
      <c r="A34010" t="s">
        <v>0</v>
      </c>
    </row>
    <row r="34011" spans="1:1" x14ac:dyDescent="0.3">
      <c r="A34011" t="s">
        <v>0</v>
      </c>
    </row>
    <row r="34012" spans="1:1" x14ac:dyDescent="0.3">
      <c r="A34012" t="s">
        <v>0</v>
      </c>
    </row>
    <row r="34013" spans="1:1" x14ac:dyDescent="0.3">
      <c r="A34013" t="s">
        <v>0</v>
      </c>
    </row>
    <row r="34014" spans="1:1" x14ac:dyDescent="0.3">
      <c r="A34014" t="s">
        <v>0</v>
      </c>
    </row>
    <row r="34015" spans="1:1" x14ac:dyDescent="0.3">
      <c r="A34015" t="s">
        <v>0</v>
      </c>
    </row>
    <row r="34016" spans="1:1" x14ac:dyDescent="0.3">
      <c r="A34016" t="s">
        <v>0</v>
      </c>
    </row>
    <row r="34017" spans="1:1" x14ac:dyDescent="0.3">
      <c r="A34017" t="s">
        <v>0</v>
      </c>
    </row>
    <row r="34018" spans="1:1" x14ac:dyDescent="0.3">
      <c r="A34018" t="s">
        <v>0</v>
      </c>
    </row>
    <row r="34019" spans="1:1" x14ac:dyDescent="0.3">
      <c r="A34019" t="s">
        <v>0</v>
      </c>
    </row>
    <row r="34020" spans="1:1" x14ac:dyDescent="0.3">
      <c r="A34020" t="s">
        <v>0</v>
      </c>
    </row>
    <row r="34021" spans="1:1" x14ac:dyDescent="0.3">
      <c r="A34021" t="s">
        <v>0</v>
      </c>
    </row>
    <row r="34022" spans="1:1" x14ac:dyDescent="0.3">
      <c r="A34022" t="s">
        <v>0</v>
      </c>
    </row>
    <row r="34023" spans="1:1" x14ac:dyDescent="0.3">
      <c r="A34023" t="s">
        <v>0</v>
      </c>
    </row>
    <row r="34024" spans="1:1" x14ac:dyDescent="0.3">
      <c r="A34024" t="s">
        <v>0</v>
      </c>
    </row>
    <row r="34025" spans="1:1" x14ac:dyDescent="0.3">
      <c r="A34025" t="s">
        <v>0</v>
      </c>
    </row>
    <row r="34026" spans="1:1" x14ac:dyDescent="0.3">
      <c r="A34026" t="s">
        <v>0</v>
      </c>
    </row>
    <row r="34027" spans="1:1" x14ac:dyDescent="0.3">
      <c r="A34027" t="s">
        <v>0</v>
      </c>
    </row>
    <row r="34028" spans="1:1" x14ac:dyDescent="0.3">
      <c r="A34028" t="s">
        <v>0</v>
      </c>
    </row>
    <row r="34029" spans="1:1" x14ac:dyDescent="0.3">
      <c r="A34029" t="s">
        <v>0</v>
      </c>
    </row>
    <row r="34030" spans="1:1" x14ac:dyDescent="0.3">
      <c r="A34030" t="s">
        <v>0</v>
      </c>
    </row>
    <row r="34031" spans="1:1" x14ac:dyDescent="0.3">
      <c r="A34031" t="s">
        <v>0</v>
      </c>
    </row>
    <row r="34032" spans="1:1" x14ac:dyDescent="0.3">
      <c r="A34032" t="s">
        <v>0</v>
      </c>
    </row>
    <row r="34033" spans="1:1" x14ac:dyDescent="0.3">
      <c r="A34033" t="s">
        <v>0</v>
      </c>
    </row>
    <row r="34034" spans="1:1" x14ac:dyDescent="0.3">
      <c r="A34034" t="s">
        <v>0</v>
      </c>
    </row>
    <row r="34035" spans="1:1" x14ac:dyDescent="0.3">
      <c r="A34035" t="s">
        <v>0</v>
      </c>
    </row>
    <row r="34036" spans="1:1" x14ac:dyDescent="0.3">
      <c r="A34036" t="s">
        <v>0</v>
      </c>
    </row>
    <row r="34037" spans="1:1" x14ac:dyDescent="0.3">
      <c r="A34037" t="s">
        <v>0</v>
      </c>
    </row>
    <row r="34038" spans="1:1" x14ac:dyDescent="0.3">
      <c r="A34038" t="s">
        <v>0</v>
      </c>
    </row>
    <row r="34039" spans="1:1" x14ac:dyDescent="0.3">
      <c r="A34039" t="s">
        <v>0</v>
      </c>
    </row>
    <row r="34040" spans="1:1" x14ac:dyDescent="0.3">
      <c r="A34040" t="s">
        <v>0</v>
      </c>
    </row>
    <row r="34041" spans="1:1" x14ac:dyDescent="0.3">
      <c r="A34041" t="s">
        <v>0</v>
      </c>
    </row>
    <row r="34042" spans="1:1" x14ac:dyDescent="0.3">
      <c r="A34042" t="s">
        <v>0</v>
      </c>
    </row>
    <row r="34043" spans="1:1" x14ac:dyDescent="0.3">
      <c r="A34043" t="s">
        <v>0</v>
      </c>
    </row>
    <row r="34044" spans="1:1" x14ac:dyDescent="0.3">
      <c r="A34044" t="s">
        <v>0</v>
      </c>
    </row>
    <row r="34045" spans="1:1" x14ac:dyDescent="0.3">
      <c r="A34045" t="s">
        <v>0</v>
      </c>
    </row>
    <row r="34046" spans="1:1" x14ac:dyDescent="0.3">
      <c r="A34046" t="s">
        <v>0</v>
      </c>
    </row>
    <row r="34047" spans="1:1" x14ac:dyDescent="0.3">
      <c r="A34047" t="s">
        <v>0</v>
      </c>
    </row>
    <row r="34048" spans="1:1" x14ac:dyDescent="0.3">
      <c r="A34048" t="s">
        <v>0</v>
      </c>
    </row>
    <row r="34049" spans="1:1" x14ac:dyDescent="0.3">
      <c r="A34049" t="s">
        <v>0</v>
      </c>
    </row>
    <row r="34050" spans="1:1" x14ac:dyDescent="0.3">
      <c r="A34050" t="s">
        <v>0</v>
      </c>
    </row>
    <row r="34051" spans="1:1" x14ac:dyDescent="0.3">
      <c r="A34051" t="s">
        <v>0</v>
      </c>
    </row>
    <row r="34052" spans="1:1" x14ac:dyDescent="0.3">
      <c r="A34052" t="s">
        <v>0</v>
      </c>
    </row>
    <row r="34053" spans="1:1" x14ac:dyDescent="0.3">
      <c r="A34053" t="s">
        <v>0</v>
      </c>
    </row>
    <row r="34054" spans="1:1" x14ac:dyDescent="0.3">
      <c r="A34054" t="s">
        <v>0</v>
      </c>
    </row>
    <row r="34055" spans="1:1" x14ac:dyDescent="0.3">
      <c r="A34055" t="s">
        <v>0</v>
      </c>
    </row>
    <row r="34056" spans="1:1" x14ac:dyDescent="0.3">
      <c r="A34056" t="s">
        <v>0</v>
      </c>
    </row>
    <row r="34057" spans="1:1" x14ac:dyDescent="0.3">
      <c r="A34057" t="s">
        <v>0</v>
      </c>
    </row>
    <row r="34058" spans="1:1" x14ac:dyDescent="0.3">
      <c r="A34058" t="s">
        <v>0</v>
      </c>
    </row>
    <row r="34059" spans="1:1" x14ac:dyDescent="0.3">
      <c r="A34059" t="s">
        <v>0</v>
      </c>
    </row>
    <row r="34060" spans="1:1" x14ac:dyDescent="0.3">
      <c r="A34060" t="s">
        <v>0</v>
      </c>
    </row>
    <row r="34061" spans="1:1" x14ac:dyDescent="0.3">
      <c r="A34061" t="s">
        <v>0</v>
      </c>
    </row>
    <row r="34062" spans="1:1" x14ac:dyDescent="0.3">
      <c r="A34062" t="s">
        <v>0</v>
      </c>
    </row>
    <row r="34063" spans="1:1" x14ac:dyDescent="0.3">
      <c r="A34063" t="s">
        <v>0</v>
      </c>
    </row>
    <row r="34064" spans="1:1" x14ac:dyDescent="0.3">
      <c r="A34064" t="s">
        <v>0</v>
      </c>
    </row>
    <row r="34065" spans="1:1" x14ac:dyDescent="0.3">
      <c r="A34065" t="s">
        <v>0</v>
      </c>
    </row>
    <row r="34066" spans="1:1" x14ac:dyDescent="0.3">
      <c r="A34066" t="s">
        <v>0</v>
      </c>
    </row>
    <row r="34067" spans="1:1" x14ac:dyDescent="0.3">
      <c r="A34067" t="s">
        <v>0</v>
      </c>
    </row>
    <row r="34068" spans="1:1" x14ac:dyDescent="0.3">
      <c r="A34068" t="s">
        <v>0</v>
      </c>
    </row>
    <row r="34069" spans="1:1" x14ac:dyDescent="0.3">
      <c r="A34069" t="s">
        <v>0</v>
      </c>
    </row>
    <row r="34070" spans="1:1" x14ac:dyDescent="0.3">
      <c r="A34070" t="s">
        <v>0</v>
      </c>
    </row>
    <row r="34071" spans="1:1" x14ac:dyDescent="0.3">
      <c r="A34071" t="s">
        <v>0</v>
      </c>
    </row>
    <row r="34072" spans="1:1" x14ac:dyDescent="0.3">
      <c r="A34072" t="s">
        <v>0</v>
      </c>
    </row>
    <row r="34073" spans="1:1" x14ac:dyDescent="0.3">
      <c r="A34073" t="s">
        <v>0</v>
      </c>
    </row>
    <row r="34074" spans="1:1" x14ac:dyDescent="0.3">
      <c r="A34074" t="s">
        <v>0</v>
      </c>
    </row>
    <row r="34075" spans="1:1" x14ac:dyDescent="0.3">
      <c r="A34075" t="s">
        <v>0</v>
      </c>
    </row>
    <row r="34076" spans="1:1" x14ac:dyDescent="0.3">
      <c r="A34076" t="s">
        <v>0</v>
      </c>
    </row>
    <row r="34077" spans="1:1" x14ac:dyDescent="0.3">
      <c r="A34077" t="s">
        <v>0</v>
      </c>
    </row>
    <row r="34078" spans="1:1" x14ac:dyDescent="0.3">
      <c r="A34078" t="s">
        <v>0</v>
      </c>
    </row>
    <row r="34079" spans="1:1" x14ac:dyDescent="0.3">
      <c r="A34079" t="s">
        <v>0</v>
      </c>
    </row>
    <row r="34080" spans="1:1" x14ac:dyDescent="0.3">
      <c r="A34080" t="s">
        <v>0</v>
      </c>
    </row>
    <row r="34081" spans="1:1" x14ac:dyDescent="0.3">
      <c r="A34081" t="s">
        <v>0</v>
      </c>
    </row>
    <row r="34082" spans="1:1" x14ac:dyDescent="0.3">
      <c r="A34082" t="s">
        <v>0</v>
      </c>
    </row>
    <row r="34083" spans="1:1" x14ac:dyDescent="0.3">
      <c r="A34083" t="s">
        <v>0</v>
      </c>
    </row>
    <row r="34084" spans="1:1" x14ac:dyDescent="0.3">
      <c r="A34084" t="s">
        <v>0</v>
      </c>
    </row>
    <row r="34085" spans="1:1" x14ac:dyDescent="0.3">
      <c r="A34085" t="s">
        <v>0</v>
      </c>
    </row>
    <row r="34086" spans="1:1" x14ac:dyDescent="0.3">
      <c r="A34086" t="s">
        <v>0</v>
      </c>
    </row>
    <row r="34087" spans="1:1" x14ac:dyDescent="0.3">
      <c r="A34087" t="s">
        <v>0</v>
      </c>
    </row>
    <row r="34088" spans="1:1" x14ac:dyDescent="0.3">
      <c r="A34088" t="s">
        <v>0</v>
      </c>
    </row>
    <row r="34089" spans="1:1" x14ac:dyDescent="0.3">
      <c r="A34089" t="s">
        <v>0</v>
      </c>
    </row>
    <row r="34090" spans="1:1" x14ac:dyDescent="0.3">
      <c r="A34090" t="s">
        <v>0</v>
      </c>
    </row>
    <row r="34091" spans="1:1" x14ac:dyDescent="0.3">
      <c r="A34091" t="s">
        <v>0</v>
      </c>
    </row>
    <row r="34092" spans="1:1" x14ac:dyDescent="0.3">
      <c r="A34092" t="s">
        <v>0</v>
      </c>
    </row>
    <row r="34093" spans="1:1" x14ac:dyDescent="0.3">
      <c r="A34093" t="s">
        <v>0</v>
      </c>
    </row>
    <row r="34094" spans="1:1" x14ac:dyDescent="0.3">
      <c r="A34094" t="s">
        <v>0</v>
      </c>
    </row>
    <row r="34095" spans="1:1" x14ac:dyDescent="0.3">
      <c r="A34095" t="s">
        <v>0</v>
      </c>
    </row>
    <row r="34096" spans="1:1" x14ac:dyDescent="0.3">
      <c r="A34096" t="s">
        <v>0</v>
      </c>
    </row>
    <row r="34097" spans="1:1" x14ac:dyDescent="0.3">
      <c r="A34097" t="s">
        <v>0</v>
      </c>
    </row>
    <row r="34098" spans="1:1" x14ac:dyDescent="0.3">
      <c r="A34098" t="s">
        <v>0</v>
      </c>
    </row>
    <row r="34099" spans="1:1" x14ac:dyDescent="0.3">
      <c r="A34099" t="s">
        <v>0</v>
      </c>
    </row>
    <row r="34100" spans="1:1" x14ac:dyDescent="0.3">
      <c r="A34100" t="s">
        <v>0</v>
      </c>
    </row>
    <row r="34101" spans="1:1" x14ac:dyDescent="0.3">
      <c r="A34101" t="s">
        <v>0</v>
      </c>
    </row>
    <row r="34102" spans="1:1" x14ac:dyDescent="0.3">
      <c r="A34102" t="s">
        <v>0</v>
      </c>
    </row>
    <row r="34103" spans="1:1" x14ac:dyDescent="0.3">
      <c r="A34103" t="s">
        <v>0</v>
      </c>
    </row>
    <row r="34104" spans="1:1" x14ac:dyDescent="0.3">
      <c r="A34104" t="s">
        <v>0</v>
      </c>
    </row>
    <row r="34105" spans="1:1" x14ac:dyDescent="0.3">
      <c r="A34105" t="s">
        <v>0</v>
      </c>
    </row>
    <row r="34106" spans="1:1" x14ac:dyDescent="0.3">
      <c r="A34106" t="s">
        <v>0</v>
      </c>
    </row>
    <row r="34107" spans="1:1" x14ac:dyDescent="0.3">
      <c r="A34107" t="s">
        <v>0</v>
      </c>
    </row>
    <row r="34108" spans="1:1" x14ac:dyDescent="0.3">
      <c r="A34108" t="s">
        <v>0</v>
      </c>
    </row>
    <row r="34109" spans="1:1" x14ac:dyDescent="0.3">
      <c r="A34109" t="s">
        <v>0</v>
      </c>
    </row>
    <row r="34110" spans="1:1" x14ac:dyDescent="0.3">
      <c r="A34110" t="s">
        <v>0</v>
      </c>
    </row>
    <row r="34111" spans="1:1" x14ac:dyDescent="0.3">
      <c r="A34111" t="s">
        <v>0</v>
      </c>
    </row>
    <row r="34112" spans="1:1" x14ac:dyDescent="0.3">
      <c r="A34112" t="s">
        <v>0</v>
      </c>
    </row>
    <row r="34113" spans="1:1" x14ac:dyDescent="0.3">
      <c r="A34113" t="s">
        <v>0</v>
      </c>
    </row>
    <row r="34114" spans="1:1" x14ac:dyDescent="0.3">
      <c r="A34114" t="s">
        <v>0</v>
      </c>
    </row>
    <row r="34115" spans="1:1" x14ac:dyDescent="0.3">
      <c r="A34115" t="s">
        <v>0</v>
      </c>
    </row>
    <row r="34116" spans="1:1" x14ac:dyDescent="0.3">
      <c r="A34116" t="s">
        <v>0</v>
      </c>
    </row>
    <row r="34117" spans="1:1" x14ac:dyDescent="0.3">
      <c r="A34117" t="s">
        <v>0</v>
      </c>
    </row>
    <row r="34118" spans="1:1" x14ac:dyDescent="0.3">
      <c r="A34118" t="s">
        <v>0</v>
      </c>
    </row>
    <row r="34119" spans="1:1" x14ac:dyDescent="0.3">
      <c r="A34119" t="s">
        <v>0</v>
      </c>
    </row>
    <row r="34120" spans="1:1" x14ac:dyDescent="0.3">
      <c r="A34120" t="s">
        <v>0</v>
      </c>
    </row>
    <row r="34121" spans="1:1" x14ac:dyDescent="0.3">
      <c r="A34121" t="s">
        <v>0</v>
      </c>
    </row>
    <row r="34122" spans="1:1" x14ac:dyDescent="0.3">
      <c r="A34122" t="s">
        <v>0</v>
      </c>
    </row>
    <row r="34123" spans="1:1" x14ac:dyDescent="0.3">
      <c r="A34123" t="s">
        <v>0</v>
      </c>
    </row>
    <row r="34124" spans="1:1" x14ac:dyDescent="0.3">
      <c r="A34124" t="s">
        <v>0</v>
      </c>
    </row>
    <row r="34125" spans="1:1" x14ac:dyDescent="0.3">
      <c r="A34125" t="s">
        <v>0</v>
      </c>
    </row>
    <row r="34126" spans="1:1" x14ac:dyDescent="0.3">
      <c r="A34126" t="s">
        <v>0</v>
      </c>
    </row>
    <row r="34127" spans="1:1" x14ac:dyDescent="0.3">
      <c r="A34127" t="s">
        <v>0</v>
      </c>
    </row>
    <row r="34128" spans="1:1" x14ac:dyDescent="0.3">
      <c r="A34128" t="s">
        <v>0</v>
      </c>
    </row>
    <row r="34129" spans="1:1" x14ac:dyDescent="0.3">
      <c r="A34129" t="s">
        <v>0</v>
      </c>
    </row>
    <row r="34130" spans="1:1" x14ac:dyDescent="0.3">
      <c r="A34130" t="s">
        <v>0</v>
      </c>
    </row>
    <row r="34131" spans="1:1" x14ac:dyDescent="0.3">
      <c r="A34131" t="s">
        <v>0</v>
      </c>
    </row>
    <row r="34132" spans="1:1" x14ac:dyDescent="0.3">
      <c r="A34132" t="s">
        <v>0</v>
      </c>
    </row>
    <row r="34133" spans="1:1" x14ac:dyDescent="0.3">
      <c r="A34133" t="s">
        <v>0</v>
      </c>
    </row>
    <row r="34134" spans="1:1" x14ac:dyDescent="0.3">
      <c r="A34134" t="s">
        <v>0</v>
      </c>
    </row>
    <row r="34135" spans="1:1" x14ac:dyDescent="0.3">
      <c r="A34135" t="s">
        <v>0</v>
      </c>
    </row>
    <row r="34136" spans="1:1" x14ac:dyDescent="0.3">
      <c r="A34136" t="s">
        <v>0</v>
      </c>
    </row>
    <row r="34137" spans="1:1" x14ac:dyDescent="0.3">
      <c r="A34137" t="s">
        <v>0</v>
      </c>
    </row>
    <row r="34138" spans="1:1" x14ac:dyDescent="0.3">
      <c r="A34138" t="s">
        <v>0</v>
      </c>
    </row>
    <row r="34139" spans="1:1" x14ac:dyDescent="0.3">
      <c r="A34139" t="s">
        <v>0</v>
      </c>
    </row>
    <row r="34140" spans="1:1" x14ac:dyDescent="0.3">
      <c r="A34140" t="s">
        <v>0</v>
      </c>
    </row>
    <row r="34141" spans="1:1" x14ac:dyDescent="0.3">
      <c r="A34141" t="s">
        <v>0</v>
      </c>
    </row>
    <row r="34142" spans="1:1" x14ac:dyDescent="0.3">
      <c r="A34142" t="s">
        <v>0</v>
      </c>
    </row>
    <row r="34143" spans="1:1" x14ac:dyDescent="0.3">
      <c r="A34143" t="s">
        <v>0</v>
      </c>
    </row>
    <row r="34144" spans="1:1" x14ac:dyDescent="0.3">
      <c r="A34144" t="s">
        <v>0</v>
      </c>
    </row>
    <row r="34145" spans="1:1" x14ac:dyDescent="0.3">
      <c r="A34145" t="s">
        <v>0</v>
      </c>
    </row>
    <row r="34146" spans="1:1" x14ac:dyDescent="0.3">
      <c r="A34146" t="s">
        <v>0</v>
      </c>
    </row>
    <row r="34147" spans="1:1" x14ac:dyDescent="0.3">
      <c r="A34147" t="s">
        <v>0</v>
      </c>
    </row>
    <row r="34148" spans="1:1" x14ac:dyDescent="0.3">
      <c r="A34148" t="s">
        <v>0</v>
      </c>
    </row>
    <row r="34149" spans="1:1" x14ac:dyDescent="0.3">
      <c r="A34149" t="s">
        <v>0</v>
      </c>
    </row>
    <row r="34150" spans="1:1" x14ac:dyDescent="0.3">
      <c r="A34150" t="s">
        <v>0</v>
      </c>
    </row>
    <row r="34151" spans="1:1" x14ac:dyDescent="0.3">
      <c r="A34151" t="s">
        <v>0</v>
      </c>
    </row>
    <row r="34152" spans="1:1" x14ac:dyDescent="0.3">
      <c r="A34152" t="s">
        <v>0</v>
      </c>
    </row>
    <row r="34153" spans="1:1" x14ac:dyDescent="0.3">
      <c r="A34153" t="s">
        <v>0</v>
      </c>
    </row>
    <row r="34154" spans="1:1" x14ac:dyDescent="0.3">
      <c r="A34154" t="s">
        <v>0</v>
      </c>
    </row>
    <row r="34155" spans="1:1" x14ac:dyDescent="0.3">
      <c r="A34155" t="s">
        <v>0</v>
      </c>
    </row>
    <row r="34156" spans="1:1" x14ac:dyDescent="0.3">
      <c r="A34156" t="s">
        <v>0</v>
      </c>
    </row>
    <row r="34157" spans="1:1" x14ac:dyDescent="0.3">
      <c r="A34157" t="s">
        <v>0</v>
      </c>
    </row>
    <row r="34158" spans="1:1" x14ac:dyDescent="0.3">
      <c r="A34158" t="s">
        <v>0</v>
      </c>
    </row>
    <row r="34159" spans="1:1" x14ac:dyDescent="0.3">
      <c r="A34159" t="s">
        <v>0</v>
      </c>
    </row>
    <row r="34160" spans="1:1" x14ac:dyDescent="0.3">
      <c r="A34160" t="s">
        <v>0</v>
      </c>
    </row>
    <row r="34161" spans="1:1" x14ac:dyDescent="0.3">
      <c r="A34161" t="s">
        <v>0</v>
      </c>
    </row>
    <row r="34162" spans="1:1" x14ac:dyDescent="0.3">
      <c r="A34162" t="s">
        <v>0</v>
      </c>
    </row>
    <row r="34163" spans="1:1" x14ac:dyDescent="0.3">
      <c r="A34163" t="s">
        <v>0</v>
      </c>
    </row>
    <row r="34164" spans="1:1" x14ac:dyDescent="0.3">
      <c r="A34164" t="s">
        <v>0</v>
      </c>
    </row>
    <row r="34165" spans="1:1" x14ac:dyDescent="0.3">
      <c r="A34165" t="s">
        <v>0</v>
      </c>
    </row>
    <row r="34166" spans="1:1" x14ac:dyDescent="0.3">
      <c r="A34166" t="s">
        <v>0</v>
      </c>
    </row>
    <row r="34167" spans="1:1" x14ac:dyDescent="0.3">
      <c r="A34167" t="s">
        <v>0</v>
      </c>
    </row>
    <row r="34168" spans="1:1" x14ac:dyDescent="0.3">
      <c r="A34168" t="s">
        <v>0</v>
      </c>
    </row>
    <row r="34169" spans="1:1" x14ac:dyDescent="0.3">
      <c r="A34169" t="s">
        <v>0</v>
      </c>
    </row>
    <row r="34170" spans="1:1" x14ac:dyDescent="0.3">
      <c r="A34170" t="s">
        <v>0</v>
      </c>
    </row>
    <row r="34171" spans="1:1" x14ac:dyDescent="0.3">
      <c r="A34171" t="s">
        <v>0</v>
      </c>
    </row>
    <row r="34172" spans="1:1" x14ac:dyDescent="0.3">
      <c r="A34172" t="s">
        <v>0</v>
      </c>
    </row>
    <row r="34173" spans="1:1" x14ac:dyDescent="0.3">
      <c r="A34173" t="s">
        <v>0</v>
      </c>
    </row>
    <row r="34174" spans="1:1" x14ac:dyDescent="0.3">
      <c r="A34174" t="s">
        <v>0</v>
      </c>
    </row>
    <row r="34175" spans="1:1" x14ac:dyDescent="0.3">
      <c r="A34175" t="s">
        <v>0</v>
      </c>
    </row>
    <row r="34176" spans="1:1" x14ac:dyDescent="0.3">
      <c r="A34176" t="s">
        <v>0</v>
      </c>
    </row>
    <row r="34177" spans="1:1" x14ac:dyDescent="0.3">
      <c r="A34177" t="s">
        <v>0</v>
      </c>
    </row>
    <row r="34178" spans="1:1" x14ac:dyDescent="0.3">
      <c r="A34178" t="s">
        <v>0</v>
      </c>
    </row>
    <row r="34179" spans="1:1" x14ac:dyDescent="0.3">
      <c r="A34179" t="s">
        <v>0</v>
      </c>
    </row>
    <row r="34180" spans="1:1" x14ac:dyDescent="0.3">
      <c r="A34180" t="s">
        <v>0</v>
      </c>
    </row>
    <row r="34181" spans="1:1" x14ac:dyDescent="0.3">
      <c r="A34181" t="s">
        <v>0</v>
      </c>
    </row>
    <row r="34182" spans="1:1" x14ac:dyDescent="0.3">
      <c r="A34182" t="s">
        <v>0</v>
      </c>
    </row>
    <row r="34183" spans="1:1" x14ac:dyDescent="0.3">
      <c r="A34183" t="s">
        <v>0</v>
      </c>
    </row>
    <row r="34184" spans="1:1" x14ac:dyDescent="0.3">
      <c r="A34184" t="s">
        <v>0</v>
      </c>
    </row>
    <row r="34185" spans="1:1" x14ac:dyDescent="0.3">
      <c r="A34185" t="s">
        <v>0</v>
      </c>
    </row>
    <row r="34186" spans="1:1" x14ac:dyDescent="0.3">
      <c r="A34186" t="s">
        <v>0</v>
      </c>
    </row>
    <row r="34187" spans="1:1" x14ac:dyDescent="0.3">
      <c r="A34187" t="s">
        <v>0</v>
      </c>
    </row>
    <row r="34188" spans="1:1" x14ac:dyDescent="0.3">
      <c r="A34188" t="s">
        <v>0</v>
      </c>
    </row>
    <row r="34189" spans="1:1" x14ac:dyDescent="0.3">
      <c r="A34189" t="s">
        <v>0</v>
      </c>
    </row>
    <row r="34190" spans="1:1" x14ac:dyDescent="0.3">
      <c r="A34190" t="s">
        <v>0</v>
      </c>
    </row>
    <row r="34191" spans="1:1" x14ac:dyDescent="0.3">
      <c r="A34191" t="s">
        <v>0</v>
      </c>
    </row>
    <row r="34192" spans="1:1" x14ac:dyDescent="0.3">
      <c r="A34192" t="s">
        <v>0</v>
      </c>
    </row>
    <row r="34193" spans="1:1" x14ac:dyDescent="0.3">
      <c r="A34193" t="s">
        <v>0</v>
      </c>
    </row>
    <row r="34194" spans="1:1" x14ac:dyDescent="0.3">
      <c r="A34194" t="s">
        <v>0</v>
      </c>
    </row>
    <row r="34195" spans="1:1" x14ac:dyDescent="0.3">
      <c r="A34195" t="s">
        <v>0</v>
      </c>
    </row>
    <row r="34196" spans="1:1" x14ac:dyDescent="0.3">
      <c r="A34196" t="s">
        <v>0</v>
      </c>
    </row>
    <row r="34197" spans="1:1" x14ac:dyDescent="0.3">
      <c r="A34197" t="s">
        <v>0</v>
      </c>
    </row>
    <row r="34198" spans="1:1" x14ac:dyDescent="0.3">
      <c r="A34198" t="s">
        <v>0</v>
      </c>
    </row>
    <row r="34199" spans="1:1" x14ac:dyDescent="0.3">
      <c r="A34199" t="s">
        <v>0</v>
      </c>
    </row>
    <row r="34200" spans="1:1" x14ac:dyDescent="0.3">
      <c r="A34200" t="s">
        <v>0</v>
      </c>
    </row>
    <row r="34201" spans="1:1" x14ac:dyDescent="0.3">
      <c r="A34201" t="s">
        <v>0</v>
      </c>
    </row>
    <row r="34202" spans="1:1" x14ac:dyDescent="0.3">
      <c r="A34202" t="s">
        <v>0</v>
      </c>
    </row>
    <row r="34203" spans="1:1" x14ac:dyDescent="0.3">
      <c r="A34203" t="s">
        <v>0</v>
      </c>
    </row>
    <row r="34204" spans="1:1" x14ac:dyDescent="0.3">
      <c r="A34204" t="s">
        <v>0</v>
      </c>
    </row>
    <row r="34205" spans="1:1" x14ac:dyDescent="0.3">
      <c r="A34205" t="s">
        <v>0</v>
      </c>
    </row>
    <row r="34206" spans="1:1" x14ac:dyDescent="0.3">
      <c r="A34206" t="s">
        <v>0</v>
      </c>
    </row>
    <row r="34207" spans="1:1" x14ac:dyDescent="0.3">
      <c r="A34207" t="s">
        <v>0</v>
      </c>
    </row>
    <row r="34208" spans="1:1" x14ac:dyDescent="0.3">
      <c r="A34208" t="s">
        <v>0</v>
      </c>
    </row>
    <row r="34209" spans="1:1" x14ac:dyDescent="0.3">
      <c r="A34209" t="s">
        <v>0</v>
      </c>
    </row>
    <row r="34210" spans="1:1" x14ac:dyDescent="0.3">
      <c r="A34210" t="s">
        <v>0</v>
      </c>
    </row>
    <row r="34211" spans="1:1" x14ac:dyDescent="0.3">
      <c r="A34211" t="s">
        <v>0</v>
      </c>
    </row>
    <row r="34212" spans="1:1" x14ac:dyDescent="0.3">
      <c r="A34212" t="s">
        <v>0</v>
      </c>
    </row>
    <row r="34213" spans="1:1" x14ac:dyDescent="0.3">
      <c r="A34213" t="s">
        <v>0</v>
      </c>
    </row>
    <row r="34214" spans="1:1" x14ac:dyDescent="0.3">
      <c r="A34214" t="s">
        <v>0</v>
      </c>
    </row>
    <row r="34215" spans="1:1" x14ac:dyDescent="0.3">
      <c r="A34215" t="s">
        <v>0</v>
      </c>
    </row>
    <row r="34216" spans="1:1" x14ac:dyDescent="0.3">
      <c r="A34216" t="s">
        <v>0</v>
      </c>
    </row>
    <row r="34217" spans="1:1" x14ac:dyDescent="0.3">
      <c r="A34217" t="s">
        <v>0</v>
      </c>
    </row>
    <row r="34218" spans="1:1" x14ac:dyDescent="0.3">
      <c r="A34218" t="s">
        <v>0</v>
      </c>
    </row>
    <row r="34219" spans="1:1" x14ac:dyDescent="0.3">
      <c r="A34219" t="s">
        <v>0</v>
      </c>
    </row>
    <row r="34220" spans="1:1" x14ac:dyDescent="0.3">
      <c r="A34220" t="s">
        <v>0</v>
      </c>
    </row>
    <row r="34221" spans="1:1" x14ac:dyDescent="0.3">
      <c r="A34221" t="s">
        <v>0</v>
      </c>
    </row>
    <row r="34222" spans="1:1" x14ac:dyDescent="0.3">
      <c r="A34222" t="s">
        <v>0</v>
      </c>
    </row>
    <row r="34223" spans="1:1" x14ac:dyDescent="0.3">
      <c r="A34223" t="s">
        <v>0</v>
      </c>
    </row>
    <row r="34224" spans="1:1" x14ac:dyDescent="0.3">
      <c r="A34224" t="s">
        <v>0</v>
      </c>
    </row>
    <row r="34225" spans="1:1" x14ac:dyDescent="0.3">
      <c r="A34225" t="s">
        <v>0</v>
      </c>
    </row>
    <row r="34226" spans="1:1" x14ac:dyDescent="0.3">
      <c r="A34226" t="s">
        <v>0</v>
      </c>
    </row>
    <row r="34227" spans="1:1" x14ac:dyDescent="0.3">
      <c r="A34227" t="s">
        <v>0</v>
      </c>
    </row>
    <row r="34228" spans="1:1" x14ac:dyDescent="0.3">
      <c r="A34228" t="s">
        <v>0</v>
      </c>
    </row>
    <row r="34229" spans="1:1" x14ac:dyDescent="0.3">
      <c r="A34229" t="s">
        <v>0</v>
      </c>
    </row>
    <row r="34230" spans="1:1" x14ac:dyDescent="0.3">
      <c r="A34230" t="s">
        <v>0</v>
      </c>
    </row>
    <row r="34231" spans="1:1" x14ac:dyDescent="0.3">
      <c r="A34231" t="s">
        <v>0</v>
      </c>
    </row>
    <row r="34232" spans="1:1" x14ac:dyDescent="0.3">
      <c r="A34232" t="s">
        <v>0</v>
      </c>
    </row>
    <row r="34233" spans="1:1" x14ac:dyDescent="0.3">
      <c r="A34233" t="s">
        <v>0</v>
      </c>
    </row>
    <row r="34234" spans="1:1" x14ac:dyDescent="0.3">
      <c r="A34234" t="s">
        <v>0</v>
      </c>
    </row>
    <row r="34235" spans="1:1" x14ac:dyDescent="0.3">
      <c r="A34235" t="s">
        <v>0</v>
      </c>
    </row>
    <row r="34236" spans="1:1" x14ac:dyDescent="0.3">
      <c r="A34236" t="s">
        <v>0</v>
      </c>
    </row>
    <row r="34237" spans="1:1" x14ac:dyDescent="0.3">
      <c r="A34237" t="s">
        <v>0</v>
      </c>
    </row>
    <row r="34238" spans="1:1" x14ac:dyDescent="0.3">
      <c r="A34238" t="s">
        <v>0</v>
      </c>
    </row>
    <row r="34239" spans="1:1" x14ac:dyDescent="0.3">
      <c r="A34239" t="s">
        <v>0</v>
      </c>
    </row>
    <row r="34240" spans="1:1" x14ac:dyDescent="0.3">
      <c r="A34240" t="s">
        <v>0</v>
      </c>
    </row>
    <row r="34241" spans="1:1" x14ac:dyDescent="0.3">
      <c r="A34241" t="s">
        <v>0</v>
      </c>
    </row>
    <row r="34242" spans="1:1" x14ac:dyDescent="0.3">
      <c r="A34242" t="s">
        <v>0</v>
      </c>
    </row>
    <row r="34243" spans="1:1" x14ac:dyDescent="0.3">
      <c r="A34243" t="s">
        <v>0</v>
      </c>
    </row>
    <row r="34244" spans="1:1" x14ac:dyDescent="0.3">
      <c r="A34244" t="s">
        <v>0</v>
      </c>
    </row>
    <row r="34245" spans="1:1" x14ac:dyDescent="0.3">
      <c r="A34245" t="s">
        <v>0</v>
      </c>
    </row>
    <row r="34246" spans="1:1" x14ac:dyDescent="0.3">
      <c r="A34246" t="s">
        <v>0</v>
      </c>
    </row>
    <row r="34247" spans="1:1" x14ac:dyDescent="0.3">
      <c r="A34247" t="s">
        <v>0</v>
      </c>
    </row>
    <row r="34248" spans="1:1" x14ac:dyDescent="0.3">
      <c r="A34248" t="s">
        <v>0</v>
      </c>
    </row>
    <row r="34249" spans="1:1" x14ac:dyDescent="0.3">
      <c r="A34249" t="s">
        <v>0</v>
      </c>
    </row>
    <row r="34250" spans="1:1" x14ac:dyDescent="0.3">
      <c r="A34250" t="s">
        <v>0</v>
      </c>
    </row>
    <row r="34251" spans="1:1" x14ac:dyDescent="0.3">
      <c r="A34251" t="s">
        <v>0</v>
      </c>
    </row>
    <row r="34252" spans="1:1" x14ac:dyDescent="0.3">
      <c r="A34252" t="s">
        <v>0</v>
      </c>
    </row>
    <row r="34253" spans="1:1" x14ac:dyDescent="0.3">
      <c r="A34253" t="s">
        <v>0</v>
      </c>
    </row>
    <row r="34254" spans="1:1" x14ac:dyDescent="0.3">
      <c r="A34254" t="s">
        <v>0</v>
      </c>
    </row>
    <row r="34255" spans="1:1" x14ac:dyDescent="0.3">
      <c r="A34255" t="s">
        <v>0</v>
      </c>
    </row>
    <row r="34256" spans="1:1" x14ac:dyDescent="0.3">
      <c r="A34256" t="s">
        <v>0</v>
      </c>
    </row>
    <row r="34257" spans="1:1" x14ac:dyDescent="0.3">
      <c r="A34257" t="s">
        <v>0</v>
      </c>
    </row>
    <row r="34258" spans="1:1" x14ac:dyDescent="0.3">
      <c r="A34258" t="s">
        <v>0</v>
      </c>
    </row>
    <row r="34259" spans="1:1" x14ac:dyDescent="0.3">
      <c r="A34259" t="s">
        <v>0</v>
      </c>
    </row>
    <row r="34260" spans="1:1" x14ac:dyDescent="0.3">
      <c r="A34260" t="s">
        <v>0</v>
      </c>
    </row>
    <row r="34261" spans="1:1" x14ac:dyDescent="0.3">
      <c r="A34261" t="s">
        <v>0</v>
      </c>
    </row>
    <row r="34262" spans="1:1" x14ac:dyDescent="0.3">
      <c r="A34262" t="s">
        <v>0</v>
      </c>
    </row>
    <row r="34263" spans="1:1" x14ac:dyDescent="0.3">
      <c r="A34263" t="s">
        <v>0</v>
      </c>
    </row>
    <row r="34264" spans="1:1" x14ac:dyDescent="0.3">
      <c r="A34264" t="s">
        <v>0</v>
      </c>
    </row>
    <row r="34265" spans="1:1" x14ac:dyDescent="0.3">
      <c r="A34265" t="s">
        <v>0</v>
      </c>
    </row>
    <row r="34266" spans="1:1" x14ac:dyDescent="0.3">
      <c r="A34266" t="s">
        <v>0</v>
      </c>
    </row>
    <row r="34267" spans="1:1" x14ac:dyDescent="0.3">
      <c r="A34267" t="s">
        <v>0</v>
      </c>
    </row>
    <row r="34268" spans="1:1" x14ac:dyDescent="0.3">
      <c r="A34268" t="s">
        <v>0</v>
      </c>
    </row>
    <row r="34269" spans="1:1" x14ac:dyDescent="0.3">
      <c r="A34269" t="s">
        <v>0</v>
      </c>
    </row>
    <row r="34270" spans="1:1" x14ac:dyDescent="0.3">
      <c r="A34270" t="s">
        <v>0</v>
      </c>
    </row>
    <row r="34271" spans="1:1" x14ac:dyDescent="0.3">
      <c r="A34271" t="s">
        <v>0</v>
      </c>
    </row>
    <row r="34272" spans="1:1" x14ac:dyDescent="0.3">
      <c r="A34272" t="s">
        <v>0</v>
      </c>
    </row>
    <row r="34273" spans="1:1" x14ac:dyDescent="0.3">
      <c r="A34273" t="s">
        <v>0</v>
      </c>
    </row>
    <row r="34274" spans="1:1" x14ac:dyDescent="0.3">
      <c r="A34274" t="s">
        <v>0</v>
      </c>
    </row>
    <row r="34275" spans="1:1" x14ac:dyDescent="0.3">
      <c r="A34275" t="s">
        <v>0</v>
      </c>
    </row>
    <row r="34276" spans="1:1" x14ac:dyDescent="0.3">
      <c r="A34276" t="s">
        <v>0</v>
      </c>
    </row>
    <row r="34277" spans="1:1" x14ac:dyDescent="0.3">
      <c r="A34277" t="s">
        <v>0</v>
      </c>
    </row>
    <row r="34278" spans="1:1" x14ac:dyDescent="0.3">
      <c r="A34278" t="s">
        <v>0</v>
      </c>
    </row>
    <row r="34279" spans="1:1" x14ac:dyDescent="0.3">
      <c r="A34279" t="s">
        <v>0</v>
      </c>
    </row>
    <row r="34280" spans="1:1" x14ac:dyDescent="0.3">
      <c r="A34280" t="s">
        <v>0</v>
      </c>
    </row>
    <row r="34281" spans="1:1" x14ac:dyDescent="0.3">
      <c r="A34281" t="s">
        <v>0</v>
      </c>
    </row>
    <row r="34282" spans="1:1" x14ac:dyDescent="0.3">
      <c r="A34282" t="s">
        <v>0</v>
      </c>
    </row>
    <row r="34283" spans="1:1" x14ac:dyDescent="0.3">
      <c r="A34283" t="s">
        <v>0</v>
      </c>
    </row>
    <row r="34284" spans="1:1" x14ac:dyDescent="0.3">
      <c r="A34284" t="s">
        <v>0</v>
      </c>
    </row>
    <row r="34285" spans="1:1" x14ac:dyDescent="0.3">
      <c r="A34285" t="s">
        <v>0</v>
      </c>
    </row>
    <row r="34286" spans="1:1" x14ac:dyDescent="0.3">
      <c r="A34286" t="s">
        <v>0</v>
      </c>
    </row>
    <row r="34287" spans="1:1" x14ac:dyDescent="0.3">
      <c r="A34287" t="s">
        <v>0</v>
      </c>
    </row>
    <row r="34288" spans="1:1" x14ac:dyDescent="0.3">
      <c r="A34288" t="s">
        <v>0</v>
      </c>
    </row>
    <row r="34289" spans="1:1" x14ac:dyDescent="0.3">
      <c r="A34289" t="s">
        <v>0</v>
      </c>
    </row>
    <row r="34290" spans="1:1" x14ac:dyDescent="0.3">
      <c r="A34290" t="s">
        <v>0</v>
      </c>
    </row>
    <row r="34291" spans="1:1" x14ac:dyDescent="0.3">
      <c r="A34291" t="s">
        <v>0</v>
      </c>
    </row>
    <row r="34292" spans="1:1" x14ac:dyDescent="0.3">
      <c r="A34292" t="s">
        <v>0</v>
      </c>
    </row>
    <row r="34293" spans="1:1" x14ac:dyDescent="0.3">
      <c r="A34293" t="s">
        <v>0</v>
      </c>
    </row>
    <row r="34294" spans="1:1" x14ac:dyDescent="0.3">
      <c r="A34294" t="s">
        <v>0</v>
      </c>
    </row>
    <row r="34295" spans="1:1" x14ac:dyDescent="0.3">
      <c r="A34295" t="s">
        <v>0</v>
      </c>
    </row>
    <row r="34296" spans="1:1" x14ac:dyDescent="0.3">
      <c r="A34296" t="s">
        <v>0</v>
      </c>
    </row>
    <row r="34297" spans="1:1" x14ac:dyDescent="0.3">
      <c r="A34297" t="s">
        <v>0</v>
      </c>
    </row>
    <row r="34298" spans="1:1" x14ac:dyDescent="0.3">
      <c r="A34298" t="s">
        <v>0</v>
      </c>
    </row>
    <row r="34299" spans="1:1" x14ac:dyDescent="0.3">
      <c r="A34299" t="s">
        <v>0</v>
      </c>
    </row>
    <row r="34300" spans="1:1" x14ac:dyDescent="0.3">
      <c r="A34300" t="s">
        <v>0</v>
      </c>
    </row>
    <row r="34301" spans="1:1" x14ac:dyDescent="0.3">
      <c r="A34301" t="s">
        <v>0</v>
      </c>
    </row>
    <row r="34302" spans="1:1" x14ac:dyDescent="0.3">
      <c r="A34302" t="s">
        <v>0</v>
      </c>
    </row>
    <row r="34303" spans="1:1" x14ac:dyDescent="0.3">
      <c r="A34303" t="s">
        <v>0</v>
      </c>
    </row>
    <row r="34304" spans="1:1" x14ac:dyDescent="0.3">
      <c r="A34304" t="s">
        <v>0</v>
      </c>
    </row>
    <row r="34305" spans="1:1" x14ac:dyDescent="0.3">
      <c r="A34305" t="s">
        <v>0</v>
      </c>
    </row>
    <row r="34306" spans="1:1" x14ac:dyDescent="0.3">
      <c r="A34306" t="s">
        <v>0</v>
      </c>
    </row>
    <row r="34307" spans="1:1" x14ac:dyDescent="0.3">
      <c r="A34307" t="s">
        <v>0</v>
      </c>
    </row>
    <row r="34308" spans="1:1" x14ac:dyDescent="0.3">
      <c r="A34308" t="s">
        <v>0</v>
      </c>
    </row>
    <row r="34309" spans="1:1" x14ac:dyDescent="0.3">
      <c r="A34309" t="s">
        <v>0</v>
      </c>
    </row>
    <row r="34310" spans="1:1" x14ac:dyDescent="0.3">
      <c r="A34310" t="s">
        <v>0</v>
      </c>
    </row>
    <row r="34311" spans="1:1" x14ac:dyDescent="0.3">
      <c r="A34311" t="s">
        <v>0</v>
      </c>
    </row>
    <row r="34312" spans="1:1" x14ac:dyDescent="0.3">
      <c r="A34312" t="s">
        <v>0</v>
      </c>
    </row>
    <row r="34313" spans="1:1" x14ac:dyDescent="0.3">
      <c r="A34313" t="s">
        <v>0</v>
      </c>
    </row>
    <row r="34314" spans="1:1" x14ac:dyDescent="0.3">
      <c r="A34314" t="s">
        <v>0</v>
      </c>
    </row>
    <row r="34315" spans="1:1" x14ac:dyDescent="0.3">
      <c r="A34315" t="s">
        <v>0</v>
      </c>
    </row>
    <row r="34316" spans="1:1" x14ac:dyDescent="0.3">
      <c r="A34316" t="s">
        <v>0</v>
      </c>
    </row>
    <row r="34317" spans="1:1" x14ac:dyDescent="0.3">
      <c r="A34317" t="s">
        <v>0</v>
      </c>
    </row>
    <row r="34318" spans="1:1" x14ac:dyDescent="0.3">
      <c r="A34318" t="s">
        <v>0</v>
      </c>
    </row>
    <row r="34319" spans="1:1" x14ac:dyDescent="0.3">
      <c r="A34319" t="s">
        <v>0</v>
      </c>
    </row>
    <row r="34320" spans="1:1" x14ac:dyDescent="0.3">
      <c r="A34320" t="s">
        <v>0</v>
      </c>
    </row>
    <row r="34321" spans="1:1" x14ac:dyDescent="0.3">
      <c r="A34321" t="s">
        <v>0</v>
      </c>
    </row>
    <row r="34322" spans="1:1" x14ac:dyDescent="0.3">
      <c r="A34322" t="s">
        <v>0</v>
      </c>
    </row>
    <row r="34323" spans="1:1" x14ac:dyDescent="0.3">
      <c r="A34323" t="s">
        <v>0</v>
      </c>
    </row>
    <row r="34324" spans="1:1" x14ac:dyDescent="0.3">
      <c r="A34324" t="s">
        <v>0</v>
      </c>
    </row>
    <row r="34325" spans="1:1" x14ac:dyDescent="0.3">
      <c r="A34325" t="s">
        <v>0</v>
      </c>
    </row>
    <row r="34326" spans="1:1" x14ac:dyDescent="0.3">
      <c r="A34326" t="s">
        <v>0</v>
      </c>
    </row>
    <row r="34327" spans="1:1" x14ac:dyDescent="0.3">
      <c r="A34327" t="s">
        <v>0</v>
      </c>
    </row>
    <row r="34328" spans="1:1" x14ac:dyDescent="0.3">
      <c r="A34328" t="s">
        <v>0</v>
      </c>
    </row>
    <row r="34329" spans="1:1" x14ac:dyDescent="0.3">
      <c r="A34329" t="s">
        <v>0</v>
      </c>
    </row>
    <row r="34330" spans="1:1" x14ac:dyDescent="0.3">
      <c r="A34330" t="s">
        <v>0</v>
      </c>
    </row>
    <row r="34331" spans="1:1" x14ac:dyDescent="0.3">
      <c r="A34331" t="s">
        <v>0</v>
      </c>
    </row>
    <row r="34332" spans="1:1" x14ac:dyDescent="0.3">
      <c r="A34332" t="s">
        <v>0</v>
      </c>
    </row>
    <row r="34333" spans="1:1" x14ac:dyDescent="0.3">
      <c r="A34333" t="s">
        <v>0</v>
      </c>
    </row>
    <row r="34334" spans="1:1" x14ac:dyDescent="0.3">
      <c r="A34334" t="s">
        <v>0</v>
      </c>
    </row>
    <row r="34335" spans="1:1" x14ac:dyDescent="0.3">
      <c r="A34335" t="s">
        <v>0</v>
      </c>
    </row>
    <row r="34336" spans="1:1" x14ac:dyDescent="0.3">
      <c r="A34336" t="s">
        <v>0</v>
      </c>
    </row>
    <row r="34337" spans="1:1" x14ac:dyDescent="0.3">
      <c r="A34337" t="s">
        <v>0</v>
      </c>
    </row>
    <row r="34338" spans="1:1" x14ac:dyDescent="0.3">
      <c r="A34338" t="s">
        <v>0</v>
      </c>
    </row>
    <row r="34339" spans="1:1" x14ac:dyDescent="0.3">
      <c r="A34339" t="s">
        <v>0</v>
      </c>
    </row>
    <row r="34340" spans="1:1" x14ac:dyDescent="0.3">
      <c r="A34340" t="s">
        <v>0</v>
      </c>
    </row>
    <row r="34341" spans="1:1" x14ac:dyDescent="0.3">
      <c r="A34341" t="s">
        <v>0</v>
      </c>
    </row>
    <row r="34342" spans="1:1" x14ac:dyDescent="0.3">
      <c r="A34342" t="s">
        <v>0</v>
      </c>
    </row>
    <row r="34343" spans="1:1" x14ac:dyDescent="0.3">
      <c r="A34343" t="s">
        <v>0</v>
      </c>
    </row>
    <row r="34344" spans="1:1" x14ac:dyDescent="0.3">
      <c r="A34344" t="s">
        <v>0</v>
      </c>
    </row>
    <row r="34345" spans="1:1" x14ac:dyDescent="0.3">
      <c r="A34345" t="s">
        <v>0</v>
      </c>
    </row>
    <row r="34346" spans="1:1" x14ac:dyDescent="0.3">
      <c r="A34346" t="s">
        <v>0</v>
      </c>
    </row>
    <row r="34347" spans="1:1" x14ac:dyDescent="0.3">
      <c r="A34347" t="s">
        <v>0</v>
      </c>
    </row>
    <row r="34348" spans="1:1" x14ac:dyDescent="0.3">
      <c r="A34348" t="s">
        <v>0</v>
      </c>
    </row>
    <row r="34349" spans="1:1" x14ac:dyDescent="0.3">
      <c r="A34349" t="s">
        <v>0</v>
      </c>
    </row>
    <row r="34350" spans="1:1" x14ac:dyDescent="0.3">
      <c r="A34350" t="s">
        <v>0</v>
      </c>
    </row>
    <row r="34351" spans="1:1" x14ac:dyDescent="0.3">
      <c r="A34351" t="s">
        <v>0</v>
      </c>
    </row>
    <row r="34352" spans="1:1" x14ac:dyDescent="0.3">
      <c r="A34352" t="s">
        <v>0</v>
      </c>
    </row>
    <row r="34353" spans="1:1" x14ac:dyDescent="0.3">
      <c r="A34353" t="s">
        <v>0</v>
      </c>
    </row>
    <row r="34354" spans="1:1" x14ac:dyDescent="0.3">
      <c r="A34354" t="s">
        <v>0</v>
      </c>
    </row>
    <row r="34355" spans="1:1" x14ac:dyDescent="0.3">
      <c r="A34355" t="s">
        <v>0</v>
      </c>
    </row>
    <row r="34356" spans="1:1" x14ac:dyDescent="0.3">
      <c r="A34356" t="s">
        <v>0</v>
      </c>
    </row>
    <row r="34357" spans="1:1" x14ac:dyDescent="0.3">
      <c r="A34357" t="s">
        <v>0</v>
      </c>
    </row>
    <row r="34358" spans="1:1" x14ac:dyDescent="0.3">
      <c r="A34358" t="s">
        <v>0</v>
      </c>
    </row>
    <row r="34359" spans="1:1" x14ac:dyDescent="0.3">
      <c r="A34359" t="s">
        <v>0</v>
      </c>
    </row>
    <row r="34360" spans="1:1" x14ac:dyDescent="0.3">
      <c r="A34360" t="s">
        <v>0</v>
      </c>
    </row>
    <row r="34361" spans="1:1" x14ac:dyDescent="0.3">
      <c r="A34361" t="s">
        <v>0</v>
      </c>
    </row>
    <row r="34362" spans="1:1" x14ac:dyDescent="0.3">
      <c r="A34362" t="s">
        <v>0</v>
      </c>
    </row>
    <row r="34363" spans="1:1" x14ac:dyDescent="0.3">
      <c r="A34363" t="s">
        <v>0</v>
      </c>
    </row>
    <row r="34364" spans="1:1" x14ac:dyDescent="0.3">
      <c r="A34364" t="s">
        <v>0</v>
      </c>
    </row>
    <row r="34365" spans="1:1" x14ac:dyDescent="0.3">
      <c r="A34365" t="s">
        <v>0</v>
      </c>
    </row>
    <row r="34366" spans="1:1" x14ac:dyDescent="0.3">
      <c r="A34366" t="s">
        <v>0</v>
      </c>
    </row>
    <row r="34367" spans="1:1" x14ac:dyDescent="0.3">
      <c r="A34367" t="s">
        <v>0</v>
      </c>
    </row>
    <row r="34368" spans="1:1" x14ac:dyDescent="0.3">
      <c r="A34368" t="s">
        <v>0</v>
      </c>
    </row>
    <row r="34369" spans="1:1" x14ac:dyDescent="0.3">
      <c r="A34369" t="s">
        <v>0</v>
      </c>
    </row>
    <row r="34370" spans="1:1" x14ac:dyDescent="0.3">
      <c r="A34370" t="s">
        <v>0</v>
      </c>
    </row>
    <row r="34371" spans="1:1" x14ac:dyDescent="0.3">
      <c r="A34371" t="s">
        <v>0</v>
      </c>
    </row>
    <row r="34372" spans="1:1" x14ac:dyDescent="0.3">
      <c r="A34372" t="s">
        <v>0</v>
      </c>
    </row>
    <row r="34373" spans="1:1" x14ac:dyDescent="0.3">
      <c r="A34373" t="s">
        <v>0</v>
      </c>
    </row>
    <row r="34374" spans="1:1" x14ac:dyDescent="0.3">
      <c r="A34374" t="s">
        <v>0</v>
      </c>
    </row>
    <row r="34375" spans="1:1" x14ac:dyDescent="0.3">
      <c r="A34375" t="s">
        <v>0</v>
      </c>
    </row>
    <row r="34376" spans="1:1" x14ac:dyDescent="0.3">
      <c r="A34376" t="s">
        <v>0</v>
      </c>
    </row>
    <row r="34377" spans="1:1" x14ac:dyDescent="0.3">
      <c r="A34377" t="s">
        <v>0</v>
      </c>
    </row>
    <row r="34378" spans="1:1" x14ac:dyDescent="0.3">
      <c r="A34378" t="s">
        <v>0</v>
      </c>
    </row>
    <row r="34379" spans="1:1" x14ac:dyDescent="0.3">
      <c r="A34379" t="s">
        <v>0</v>
      </c>
    </row>
    <row r="34380" spans="1:1" x14ac:dyDescent="0.3">
      <c r="A34380" t="s">
        <v>0</v>
      </c>
    </row>
    <row r="34381" spans="1:1" x14ac:dyDescent="0.3">
      <c r="A34381" t="s">
        <v>0</v>
      </c>
    </row>
    <row r="34382" spans="1:1" x14ac:dyDescent="0.3">
      <c r="A34382" t="s">
        <v>0</v>
      </c>
    </row>
    <row r="34383" spans="1:1" x14ac:dyDescent="0.3">
      <c r="A34383" t="s">
        <v>0</v>
      </c>
    </row>
    <row r="34384" spans="1:1" x14ac:dyDescent="0.3">
      <c r="A34384" t="s">
        <v>0</v>
      </c>
    </row>
    <row r="34385" spans="1:1" x14ac:dyDescent="0.3">
      <c r="A34385" t="s">
        <v>0</v>
      </c>
    </row>
    <row r="34386" spans="1:1" x14ac:dyDescent="0.3">
      <c r="A34386" t="s">
        <v>0</v>
      </c>
    </row>
    <row r="34387" spans="1:1" x14ac:dyDescent="0.3">
      <c r="A34387" t="s">
        <v>0</v>
      </c>
    </row>
    <row r="34388" spans="1:1" x14ac:dyDescent="0.3">
      <c r="A34388" t="s">
        <v>0</v>
      </c>
    </row>
    <row r="34389" spans="1:1" x14ac:dyDescent="0.3">
      <c r="A34389" t="s">
        <v>0</v>
      </c>
    </row>
    <row r="34390" spans="1:1" x14ac:dyDescent="0.3">
      <c r="A34390" t="s">
        <v>0</v>
      </c>
    </row>
    <row r="34391" spans="1:1" x14ac:dyDescent="0.3">
      <c r="A34391" t="s">
        <v>0</v>
      </c>
    </row>
    <row r="34392" spans="1:1" x14ac:dyDescent="0.3">
      <c r="A34392" t="s">
        <v>0</v>
      </c>
    </row>
    <row r="34393" spans="1:1" x14ac:dyDescent="0.3">
      <c r="A34393" t="s">
        <v>0</v>
      </c>
    </row>
    <row r="34394" spans="1:1" x14ac:dyDescent="0.3">
      <c r="A34394" t="s">
        <v>0</v>
      </c>
    </row>
    <row r="34395" spans="1:1" x14ac:dyDescent="0.3">
      <c r="A34395" t="s">
        <v>0</v>
      </c>
    </row>
    <row r="34396" spans="1:1" x14ac:dyDescent="0.3">
      <c r="A34396" t="s">
        <v>0</v>
      </c>
    </row>
    <row r="34397" spans="1:1" x14ac:dyDescent="0.3">
      <c r="A34397" t="s">
        <v>0</v>
      </c>
    </row>
    <row r="34398" spans="1:1" x14ac:dyDescent="0.3">
      <c r="A34398" t="s">
        <v>0</v>
      </c>
    </row>
    <row r="34399" spans="1:1" x14ac:dyDescent="0.3">
      <c r="A34399" t="s">
        <v>0</v>
      </c>
    </row>
    <row r="34400" spans="1:1" x14ac:dyDescent="0.3">
      <c r="A34400" t="s">
        <v>0</v>
      </c>
    </row>
    <row r="34401" spans="1:1" x14ac:dyDescent="0.3">
      <c r="A34401" t="s">
        <v>0</v>
      </c>
    </row>
    <row r="34402" spans="1:1" x14ac:dyDescent="0.3">
      <c r="A34402" t="s">
        <v>0</v>
      </c>
    </row>
    <row r="34403" spans="1:1" x14ac:dyDescent="0.3">
      <c r="A34403" t="s">
        <v>0</v>
      </c>
    </row>
    <row r="34404" spans="1:1" x14ac:dyDescent="0.3">
      <c r="A34404" t="s">
        <v>0</v>
      </c>
    </row>
    <row r="34405" spans="1:1" x14ac:dyDescent="0.3">
      <c r="A34405" t="s">
        <v>0</v>
      </c>
    </row>
    <row r="34406" spans="1:1" x14ac:dyDescent="0.3">
      <c r="A34406" t="s">
        <v>0</v>
      </c>
    </row>
    <row r="34407" spans="1:1" x14ac:dyDescent="0.3">
      <c r="A34407" t="s">
        <v>0</v>
      </c>
    </row>
    <row r="34408" spans="1:1" x14ac:dyDescent="0.3">
      <c r="A34408" t="s">
        <v>0</v>
      </c>
    </row>
    <row r="34409" spans="1:1" x14ac:dyDescent="0.3">
      <c r="A34409" t="s">
        <v>0</v>
      </c>
    </row>
    <row r="34410" spans="1:1" x14ac:dyDescent="0.3">
      <c r="A34410" t="s">
        <v>0</v>
      </c>
    </row>
    <row r="34411" spans="1:1" x14ac:dyDescent="0.3">
      <c r="A34411" t="s">
        <v>0</v>
      </c>
    </row>
    <row r="34412" spans="1:1" x14ac:dyDescent="0.3">
      <c r="A34412" t="s">
        <v>0</v>
      </c>
    </row>
    <row r="34413" spans="1:1" x14ac:dyDescent="0.3">
      <c r="A34413" t="s">
        <v>0</v>
      </c>
    </row>
    <row r="34414" spans="1:1" x14ac:dyDescent="0.3">
      <c r="A34414" t="s">
        <v>0</v>
      </c>
    </row>
    <row r="34415" spans="1:1" x14ac:dyDescent="0.3">
      <c r="A34415" t="s">
        <v>0</v>
      </c>
    </row>
    <row r="34416" spans="1:1" x14ac:dyDescent="0.3">
      <c r="A34416" t="s">
        <v>0</v>
      </c>
    </row>
    <row r="34417" spans="1:1" x14ac:dyDescent="0.3">
      <c r="A34417" t="s">
        <v>0</v>
      </c>
    </row>
    <row r="34418" spans="1:1" x14ac:dyDescent="0.3">
      <c r="A34418" t="s">
        <v>0</v>
      </c>
    </row>
    <row r="34419" spans="1:1" x14ac:dyDescent="0.3">
      <c r="A34419" t="s">
        <v>0</v>
      </c>
    </row>
    <row r="34420" spans="1:1" x14ac:dyDescent="0.3">
      <c r="A34420" t="s">
        <v>0</v>
      </c>
    </row>
    <row r="34421" spans="1:1" x14ac:dyDescent="0.3">
      <c r="A34421" t="s">
        <v>0</v>
      </c>
    </row>
    <row r="34422" spans="1:1" x14ac:dyDescent="0.3">
      <c r="A34422" t="s">
        <v>0</v>
      </c>
    </row>
    <row r="34423" spans="1:1" x14ac:dyDescent="0.3">
      <c r="A34423" t="s">
        <v>0</v>
      </c>
    </row>
    <row r="34424" spans="1:1" x14ac:dyDescent="0.3">
      <c r="A34424" t="s">
        <v>0</v>
      </c>
    </row>
    <row r="34425" spans="1:1" x14ac:dyDescent="0.3">
      <c r="A34425" t="s">
        <v>0</v>
      </c>
    </row>
    <row r="34426" spans="1:1" x14ac:dyDescent="0.3">
      <c r="A34426" t="s">
        <v>0</v>
      </c>
    </row>
    <row r="34427" spans="1:1" x14ac:dyDescent="0.3">
      <c r="A34427" t="s">
        <v>0</v>
      </c>
    </row>
    <row r="34428" spans="1:1" x14ac:dyDescent="0.3">
      <c r="A34428" t="s">
        <v>0</v>
      </c>
    </row>
    <row r="34429" spans="1:1" x14ac:dyDescent="0.3">
      <c r="A34429" t="s">
        <v>0</v>
      </c>
    </row>
    <row r="34430" spans="1:1" x14ac:dyDescent="0.3">
      <c r="A34430" t="s">
        <v>0</v>
      </c>
    </row>
    <row r="34431" spans="1:1" x14ac:dyDescent="0.3">
      <c r="A34431" t="s">
        <v>0</v>
      </c>
    </row>
    <row r="34432" spans="1:1" x14ac:dyDescent="0.3">
      <c r="A34432" t="s">
        <v>0</v>
      </c>
    </row>
    <row r="34433" spans="1:1" x14ac:dyDescent="0.3">
      <c r="A34433" t="s">
        <v>0</v>
      </c>
    </row>
    <row r="34434" spans="1:1" x14ac:dyDescent="0.3">
      <c r="A34434" t="s">
        <v>0</v>
      </c>
    </row>
    <row r="34435" spans="1:1" x14ac:dyDescent="0.3">
      <c r="A34435" t="s">
        <v>0</v>
      </c>
    </row>
    <row r="34436" spans="1:1" x14ac:dyDescent="0.3">
      <c r="A34436" t="s">
        <v>0</v>
      </c>
    </row>
    <row r="34437" spans="1:1" x14ac:dyDescent="0.3">
      <c r="A34437" t="s">
        <v>0</v>
      </c>
    </row>
    <row r="34438" spans="1:1" x14ac:dyDescent="0.3">
      <c r="A34438" t="s">
        <v>0</v>
      </c>
    </row>
    <row r="34439" spans="1:1" x14ac:dyDescent="0.3">
      <c r="A34439" t="s">
        <v>0</v>
      </c>
    </row>
    <row r="34440" spans="1:1" x14ac:dyDescent="0.3">
      <c r="A34440" t="s">
        <v>0</v>
      </c>
    </row>
    <row r="34441" spans="1:1" x14ac:dyDescent="0.3">
      <c r="A34441" t="s">
        <v>0</v>
      </c>
    </row>
    <row r="34442" spans="1:1" x14ac:dyDescent="0.3">
      <c r="A34442" t="s">
        <v>0</v>
      </c>
    </row>
    <row r="34443" spans="1:1" x14ac:dyDescent="0.3">
      <c r="A34443" t="s">
        <v>0</v>
      </c>
    </row>
    <row r="34444" spans="1:1" x14ac:dyDescent="0.3">
      <c r="A34444" t="s">
        <v>0</v>
      </c>
    </row>
    <row r="34445" spans="1:1" x14ac:dyDescent="0.3">
      <c r="A34445" t="s">
        <v>0</v>
      </c>
    </row>
    <row r="34446" spans="1:1" x14ac:dyDescent="0.3">
      <c r="A34446" t="s">
        <v>0</v>
      </c>
    </row>
    <row r="34447" spans="1:1" x14ac:dyDescent="0.3">
      <c r="A34447" t="s">
        <v>0</v>
      </c>
    </row>
    <row r="34448" spans="1:1" x14ac:dyDescent="0.3">
      <c r="A34448" t="s">
        <v>0</v>
      </c>
    </row>
    <row r="34449" spans="1:1" x14ac:dyDescent="0.3">
      <c r="A34449" t="s">
        <v>0</v>
      </c>
    </row>
    <row r="34450" spans="1:1" x14ac:dyDescent="0.3">
      <c r="A34450" t="s">
        <v>0</v>
      </c>
    </row>
    <row r="34451" spans="1:1" x14ac:dyDescent="0.3">
      <c r="A34451" t="s">
        <v>0</v>
      </c>
    </row>
    <row r="34452" spans="1:1" x14ac:dyDescent="0.3">
      <c r="A34452" t="s">
        <v>0</v>
      </c>
    </row>
    <row r="34453" spans="1:1" x14ac:dyDescent="0.3">
      <c r="A34453" t="s">
        <v>0</v>
      </c>
    </row>
    <row r="34454" spans="1:1" x14ac:dyDescent="0.3">
      <c r="A34454" t="s">
        <v>0</v>
      </c>
    </row>
    <row r="34455" spans="1:1" x14ac:dyDescent="0.3">
      <c r="A34455" t="s">
        <v>0</v>
      </c>
    </row>
    <row r="34456" spans="1:1" x14ac:dyDescent="0.3">
      <c r="A34456" t="s">
        <v>0</v>
      </c>
    </row>
    <row r="34457" spans="1:1" x14ac:dyDescent="0.3">
      <c r="A34457" t="s">
        <v>0</v>
      </c>
    </row>
    <row r="34458" spans="1:1" x14ac:dyDescent="0.3">
      <c r="A34458" t="s">
        <v>0</v>
      </c>
    </row>
    <row r="34459" spans="1:1" x14ac:dyDescent="0.3">
      <c r="A34459" t="s">
        <v>0</v>
      </c>
    </row>
    <row r="34460" spans="1:1" x14ac:dyDescent="0.3">
      <c r="A34460" t="s">
        <v>0</v>
      </c>
    </row>
    <row r="34461" spans="1:1" x14ac:dyDescent="0.3">
      <c r="A34461" t="s">
        <v>0</v>
      </c>
    </row>
    <row r="34462" spans="1:1" x14ac:dyDescent="0.3">
      <c r="A34462" t="s">
        <v>0</v>
      </c>
    </row>
    <row r="34463" spans="1:1" x14ac:dyDescent="0.3">
      <c r="A34463" t="s">
        <v>0</v>
      </c>
    </row>
    <row r="34464" spans="1:1" x14ac:dyDescent="0.3">
      <c r="A34464" t="s">
        <v>0</v>
      </c>
    </row>
    <row r="34465" spans="1:1" x14ac:dyDescent="0.3">
      <c r="A34465" t="s">
        <v>0</v>
      </c>
    </row>
    <row r="34466" spans="1:1" x14ac:dyDescent="0.3">
      <c r="A34466" t="s">
        <v>0</v>
      </c>
    </row>
    <row r="34467" spans="1:1" x14ac:dyDescent="0.3">
      <c r="A34467" t="s">
        <v>0</v>
      </c>
    </row>
    <row r="34468" spans="1:1" x14ac:dyDescent="0.3">
      <c r="A34468" t="s">
        <v>0</v>
      </c>
    </row>
    <row r="34469" spans="1:1" x14ac:dyDescent="0.3">
      <c r="A34469" t="s">
        <v>0</v>
      </c>
    </row>
    <row r="34470" spans="1:1" x14ac:dyDescent="0.3">
      <c r="A34470" t="s">
        <v>0</v>
      </c>
    </row>
    <row r="34471" spans="1:1" x14ac:dyDescent="0.3">
      <c r="A34471" t="s">
        <v>0</v>
      </c>
    </row>
    <row r="34472" spans="1:1" x14ac:dyDescent="0.3">
      <c r="A34472" t="s">
        <v>0</v>
      </c>
    </row>
    <row r="34473" spans="1:1" x14ac:dyDescent="0.3">
      <c r="A34473" t="s">
        <v>0</v>
      </c>
    </row>
    <row r="34474" spans="1:1" x14ac:dyDescent="0.3">
      <c r="A34474" t="s">
        <v>0</v>
      </c>
    </row>
    <row r="34475" spans="1:1" x14ac:dyDescent="0.3">
      <c r="A34475" t="s">
        <v>0</v>
      </c>
    </row>
    <row r="34476" spans="1:1" x14ac:dyDescent="0.3">
      <c r="A34476" t="s">
        <v>0</v>
      </c>
    </row>
    <row r="34477" spans="1:1" x14ac:dyDescent="0.3">
      <c r="A34477" t="s">
        <v>0</v>
      </c>
    </row>
    <row r="34478" spans="1:1" x14ac:dyDescent="0.3">
      <c r="A34478" t="s">
        <v>0</v>
      </c>
    </row>
    <row r="34479" spans="1:1" x14ac:dyDescent="0.3">
      <c r="A34479" t="s">
        <v>0</v>
      </c>
    </row>
    <row r="34480" spans="1:1" x14ac:dyDescent="0.3">
      <c r="A34480" t="s">
        <v>0</v>
      </c>
    </row>
    <row r="34481" spans="1:1" x14ac:dyDescent="0.3">
      <c r="A34481" t="s">
        <v>0</v>
      </c>
    </row>
    <row r="34482" spans="1:1" x14ac:dyDescent="0.3">
      <c r="A34482" t="s">
        <v>0</v>
      </c>
    </row>
    <row r="34483" spans="1:1" x14ac:dyDescent="0.3">
      <c r="A34483" t="s">
        <v>0</v>
      </c>
    </row>
    <row r="34484" spans="1:1" x14ac:dyDescent="0.3">
      <c r="A34484" t="s">
        <v>0</v>
      </c>
    </row>
    <row r="34485" spans="1:1" x14ac:dyDescent="0.3">
      <c r="A34485" t="s">
        <v>0</v>
      </c>
    </row>
    <row r="34486" spans="1:1" x14ac:dyDescent="0.3">
      <c r="A34486" t="s">
        <v>0</v>
      </c>
    </row>
    <row r="34487" spans="1:1" x14ac:dyDescent="0.3">
      <c r="A34487" t="s">
        <v>0</v>
      </c>
    </row>
    <row r="34488" spans="1:1" x14ac:dyDescent="0.3">
      <c r="A34488" t="s">
        <v>0</v>
      </c>
    </row>
    <row r="34489" spans="1:1" x14ac:dyDescent="0.3">
      <c r="A34489" t="s">
        <v>0</v>
      </c>
    </row>
    <row r="34490" spans="1:1" x14ac:dyDescent="0.3">
      <c r="A34490" t="s">
        <v>0</v>
      </c>
    </row>
    <row r="34491" spans="1:1" x14ac:dyDescent="0.3">
      <c r="A34491" t="s">
        <v>0</v>
      </c>
    </row>
    <row r="34492" spans="1:1" x14ac:dyDescent="0.3">
      <c r="A34492" t="s">
        <v>0</v>
      </c>
    </row>
    <row r="34493" spans="1:1" x14ac:dyDescent="0.3">
      <c r="A34493" t="s">
        <v>0</v>
      </c>
    </row>
    <row r="34494" spans="1:1" x14ac:dyDescent="0.3">
      <c r="A34494" t="s">
        <v>0</v>
      </c>
    </row>
    <row r="34495" spans="1:1" x14ac:dyDescent="0.3">
      <c r="A34495" t="s">
        <v>0</v>
      </c>
    </row>
    <row r="34496" spans="1:1" x14ac:dyDescent="0.3">
      <c r="A34496" t="s">
        <v>0</v>
      </c>
    </row>
    <row r="34497" spans="1:1" x14ac:dyDescent="0.3">
      <c r="A34497" t="s">
        <v>0</v>
      </c>
    </row>
    <row r="34498" spans="1:1" x14ac:dyDescent="0.3">
      <c r="A34498" t="s">
        <v>0</v>
      </c>
    </row>
    <row r="34499" spans="1:1" x14ac:dyDescent="0.3">
      <c r="A34499" t="s">
        <v>0</v>
      </c>
    </row>
    <row r="34500" spans="1:1" x14ac:dyDescent="0.3">
      <c r="A34500" t="s">
        <v>0</v>
      </c>
    </row>
    <row r="34501" spans="1:1" x14ac:dyDescent="0.3">
      <c r="A34501" t="s">
        <v>0</v>
      </c>
    </row>
    <row r="34502" spans="1:1" x14ac:dyDescent="0.3">
      <c r="A34502" t="s">
        <v>0</v>
      </c>
    </row>
    <row r="34503" spans="1:1" x14ac:dyDescent="0.3">
      <c r="A34503" t="s">
        <v>0</v>
      </c>
    </row>
    <row r="34504" spans="1:1" x14ac:dyDescent="0.3">
      <c r="A34504" t="s">
        <v>0</v>
      </c>
    </row>
    <row r="34505" spans="1:1" x14ac:dyDescent="0.3">
      <c r="A34505" t="s">
        <v>0</v>
      </c>
    </row>
    <row r="34506" spans="1:1" x14ac:dyDescent="0.3">
      <c r="A34506" t="s">
        <v>0</v>
      </c>
    </row>
    <row r="34507" spans="1:1" x14ac:dyDescent="0.3">
      <c r="A34507" t="s">
        <v>0</v>
      </c>
    </row>
    <row r="34508" spans="1:1" x14ac:dyDescent="0.3">
      <c r="A34508" t="s">
        <v>0</v>
      </c>
    </row>
    <row r="34509" spans="1:1" x14ac:dyDescent="0.3">
      <c r="A34509" t="s">
        <v>0</v>
      </c>
    </row>
    <row r="34510" spans="1:1" x14ac:dyDescent="0.3">
      <c r="A34510" t="s">
        <v>0</v>
      </c>
    </row>
    <row r="34511" spans="1:1" x14ac:dyDescent="0.3">
      <c r="A34511" t="s">
        <v>0</v>
      </c>
    </row>
    <row r="34512" spans="1:1" x14ac:dyDescent="0.3">
      <c r="A34512" t="s">
        <v>0</v>
      </c>
    </row>
    <row r="34513" spans="1:1" x14ac:dyDescent="0.3">
      <c r="A34513" t="s">
        <v>0</v>
      </c>
    </row>
    <row r="34514" spans="1:1" x14ac:dyDescent="0.3">
      <c r="A34514" t="s">
        <v>0</v>
      </c>
    </row>
    <row r="34515" spans="1:1" x14ac:dyDescent="0.3">
      <c r="A34515" t="s">
        <v>0</v>
      </c>
    </row>
    <row r="34516" spans="1:1" x14ac:dyDescent="0.3">
      <c r="A34516" t="s">
        <v>0</v>
      </c>
    </row>
    <row r="34517" spans="1:1" x14ac:dyDescent="0.3">
      <c r="A34517" t="s">
        <v>0</v>
      </c>
    </row>
    <row r="34518" spans="1:1" x14ac:dyDescent="0.3">
      <c r="A34518" t="s">
        <v>0</v>
      </c>
    </row>
    <row r="34519" spans="1:1" x14ac:dyDescent="0.3">
      <c r="A34519" t="s">
        <v>0</v>
      </c>
    </row>
    <row r="34520" spans="1:1" x14ac:dyDescent="0.3">
      <c r="A34520" t="s">
        <v>0</v>
      </c>
    </row>
    <row r="34521" spans="1:1" x14ac:dyDescent="0.3">
      <c r="A34521" t="s">
        <v>0</v>
      </c>
    </row>
    <row r="34522" spans="1:1" x14ac:dyDescent="0.3">
      <c r="A34522" t="s">
        <v>0</v>
      </c>
    </row>
    <row r="34523" spans="1:1" x14ac:dyDescent="0.3">
      <c r="A34523" t="s">
        <v>0</v>
      </c>
    </row>
    <row r="34524" spans="1:1" x14ac:dyDescent="0.3">
      <c r="A34524" t="s">
        <v>0</v>
      </c>
    </row>
    <row r="34525" spans="1:1" x14ac:dyDescent="0.3">
      <c r="A34525" t="s">
        <v>0</v>
      </c>
    </row>
    <row r="34526" spans="1:1" x14ac:dyDescent="0.3">
      <c r="A34526" t="s">
        <v>0</v>
      </c>
    </row>
    <row r="34527" spans="1:1" x14ac:dyDescent="0.3">
      <c r="A34527" t="s">
        <v>0</v>
      </c>
    </row>
    <row r="34528" spans="1:1" x14ac:dyDescent="0.3">
      <c r="A34528" t="s">
        <v>0</v>
      </c>
    </row>
    <row r="34529" spans="1:1" x14ac:dyDescent="0.3">
      <c r="A34529" t="s">
        <v>0</v>
      </c>
    </row>
    <row r="34530" spans="1:1" x14ac:dyDescent="0.3">
      <c r="A34530" t="s">
        <v>0</v>
      </c>
    </row>
    <row r="34531" spans="1:1" x14ac:dyDescent="0.3">
      <c r="A34531" t="s">
        <v>0</v>
      </c>
    </row>
    <row r="34532" spans="1:1" x14ac:dyDescent="0.3">
      <c r="A34532" t="s">
        <v>0</v>
      </c>
    </row>
    <row r="34533" spans="1:1" x14ac:dyDescent="0.3">
      <c r="A34533" t="s">
        <v>0</v>
      </c>
    </row>
    <row r="34534" spans="1:1" x14ac:dyDescent="0.3">
      <c r="A34534" t="s">
        <v>0</v>
      </c>
    </row>
    <row r="34535" spans="1:1" x14ac:dyDescent="0.3">
      <c r="A34535" t="s">
        <v>0</v>
      </c>
    </row>
    <row r="34536" spans="1:1" x14ac:dyDescent="0.3">
      <c r="A34536" t="s">
        <v>0</v>
      </c>
    </row>
    <row r="34537" spans="1:1" x14ac:dyDescent="0.3">
      <c r="A34537" t="s">
        <v>0</v>
      </c>
    </row>
    <row r="34538" spans="1:1" x14ac:dyDescent="0.3">
      <c r="A34538" t="s">
        <v>0</v>
      </c>
    </row>
    <row r="34539" spans="1:1" x14ac:dyDescent="0.3">
      <c r="A34539" t="s">
        <v>0</v>
      </c>
    </row>
    <row r="34540" spans="1:1" x14ac:dyDescent="0.3">
      <c r="A34540" t="s">
        <v>0</v>
      </c>
    </row>
    <row r="34541" spans="1:1" x14ac:dyDescent="0.3">
      <c r="A34541" t="s">
        <v>0</v>
      </c>
    </row>
    <row r="34542" spans="1:1" x14ac:dyDescent="0.3">
      <c r="A34542" t="s">
        <v>0</v>
      </c>
    </row>
    <row r="34543" spans="1:1" x14ac:dyDescent="0.3">
      <c r="A34543" t="s">
        <v>0</v>
      </c>
    </row>
    <row r="34544" spans="1:1" x14ac:dyDescent="0.3">
      <c r="A34544" t="s">
        <v>0</v>
      </c>
    </row>
    <row r="34545" spans="1:1" x14ac:dyDescent="0.3">
      <c r="A34545" t="s">
        <v>0</v>
      </c>
    </row>
    <row r="34546" spans="1:1" x14ac:dyDescent="0.3">
      <c r="A34546" t="s">
        <v>0</v>
      </c>
    </row>
    <row r="34547" spans="1:1" x14ac:dyDescent="0.3">
      <c r="A34547" t="s">
        <v>0</v>
      </c>
    </row>
    <row r="34548" spans="1:1" x14ac:dyDescent="0.3">
      <c r="A34548" t="s">
        <v>0</v>
      </c>
    </row>
    <row r="34549" spans="1:1" x14ac:dyDescent="0.3">
      <c r="A34549" t="s">
        <v>0</v>
      </c>
    </row>
    <row r="34550" spans="1:1" x14ac:dyDescent="0.3">
      <c r="A34550" t="s">
        <v>0</v>
      </c>
    </row>
    <row r="34551" spans="1:1" x14ac:dyDescent="0.3">
      <c r="A34551" t="s">
        <v>0</v>
      </c>
    </row>
    <row r="34552" spans="1:1" x14ac:dyDescent="0.3">
      <c r="A34552" t="s">
        <v>0</v>
      </c>
    </row>
    <row r="34553" spans="1:1" x14ac:dyDescent="0.3">
      <c r="A34553" t="s">
        <v>0</v>
      </c>
    </row>
    <row r="34554" spans="1:1" x14ac:dyDescent="0.3">
      <c r="A34554" t="s">
        <v>0</v>
      </c>
    </row>
    <row r="34555" spans="1:1" x14ac:dyDescent="0.3">
      <c r="A34555" t="s">
        <v>0</v>
      </c>
    </row>
    <row r="34556" spans="1:1" x14ac:dyDescent="0.3">
      <c r="A34556" t="s">
        <v>0</v>
      </c>
    </row>
    <row r="34557" spans="1:1" x14ac:dyDescent="0.3">
      <c r="A34557" t="s">
        <v>0</v>
      </c>
    </row>
    <row r="34558" spans="1:1" x14ac:dyDescent="0.3">
      <c r="A34558" t="s">
        <v>0</v>
      </c>
    </row>
    <row r="34559" spans="1:1" x14ac:dyDescent="0.3">
      <c r="A34559" t="s">
        <v>0</v>
      </c>
    </row>
    <row r="34560" spans="1:1" x14ac:dyDescent="0.3">
      <c r="A34560" t="s">
        <v>0</v>
      </c>
    </row>
    <row r="34561" spans="1:1" x14ac:dyDescent="0.3">
      <c r="A34561" t="s">
        <v>0</v>
      </c>
    </row>
    <row r="34562" spans="1:1" x14ac:dyDescent="0.3">
      <c r="A34562" t="s">
        <v>0</v>
      </c>
    </row>
    <row r="34563" spans="1:1" x14ac:dyDescent="0.3">
      <c r="A34563" t="s">
        <v>0</v>
      </c>
    </row>
    <row r="34564" spans="1:1" x14ac:dyDescent="0.3">
      <c r="A34564" t="s">
        <v>0</v>
      </c>
    </row>
    <row r="34565" spans="1:1" x14ac:dyDescent="0.3">
      <c r="A34565" t="s">
        <v>0</v>
      </c>
    </row>
    <row r="34566" spans="1:1" x14ac:dyDescent="0.3">
      <c r="A34566" t="s">
        <v>0</v>
      </c>
    </row>
    <row r="34567" spans="1:1" x14ac:dyDescent="0.3">
      <c r="A34567" t="s">
        <v>0</v>
      </c>
    </row>
    <row r="34568" spans="1:1" x14ac:dyDescent="0.3">
      <c r="A34568" t="s">
        <v>0</v>
      </c>
    </row>
    <row r="34569" spans="1:1" x14ac:dyDescent="0.3">
      <c r="A34569" t="s">
        <v>0</v>
      </c>
    </row>
    <row r="34570" spans="1:1" x14ac:dyDescent="0.3">
      <c r="A34570" t="s">
        <v>0</v>
      </c>
    </row>
    <row r="34571" spans="1:1" x14ac:dyDescent="0.3">
      <c r="A34571" t="s">
        <v>0</v>
      </c>
    </row>
    <row r="34572" spans="1:1" x14ac:dyDescent="0.3">
      <c r="A34572" t="s">
        <v>0</v>
      </c>
    </row>
    <row r="34573" spans="1:1" x14ac:dyDescent="0.3">
      <c r="A34573" t="s">
        <v>0</v>
      </c>
    </row>
    <row r="34574" spans="1:1" x14ac:dyDescent="0.3">
      <c r="A34574" t="s">
        <v>0</v>
      </c>
    </row>
    <row r="34575" spans="1:1" x14ac:dyDescent="0.3">
      <c r="A34575" t="s">
        <v>0</v>
      </c>
    </row>
    <row r="34576" spans="1:1" x14ac:dyDescent="0.3">
      <c r="A34576" t="s">
        <v>0</v>
      </c>
    </row>
    <row r="34577" spans="1:1" x14ac:dyDescent="0.3">
      <c r="A34577" t="s">
        <v>0</v>
      </c>
    </row>
    <row r="34578" spans="1:1" x14ac:dyDescent="0.3">
      <c r="A34578" t="s">
        <v>0</v>
      </c>
    </row>
    <row r="34579" spans="1:1" x14ac:dyDescent="0.3">
      <c r="A34579" t="s">
        <v>0</v>
      </c>
    </row>
    <row r="34580" spans="1:1" x14ac:dyDescent="0.3">
      <c r="A34580" t="s">
        <v>0</v>
      </c>
    </row>
    <row r="34581" spans="1:1" x14ac:dyDescent="0.3">
      <c r="A34581" t="s">
        <v>0</v>
      </c>
    </row>
    <row r="34582" spans="1:1" x14ac:dyDescent="0.3">
      <c r="A34582" t="s">
        <v>0</v>
      </c>
    </row>
    <row r="34583" spans="1:1" x14ac:dyDescent="0.3">
      <c r="A34583" t="s">
        <v>0</v>
      </c>
    </row>
    <row r="34584" spans="1:1" x14ac:dyDescent="0.3">
      <c r="A34584" t="s">
        <v>0</v>
      </c>
    </row>
    <row r="34585" spans="1:1" x14ac:dyDescent="0.3">
      <c r="A34585" t="s">
        <v>0</v>
      </c>
    </row>
    <row r="34586" spans="1:1" x14ac:dyDescent="0.3">
      <c r="A34586" t="s">
        <v>0</v>
      </c>
    </row>
    <row r="34587" spans="1:1" x14ac:dyDescent="0.3">
      <c r="A34587" t="s">
        <v>0</v>
      </c>
    </row>
    <row r="34588" spans="1:1" x14ac:dyDescent="0.3">
      <c r="A34588" t="s">
        <v>0</v>
      </c>
    </row>
    <row r="34589" spans="1:1" x14ac:dyDescent="0.3">
      <c r="A34589" t="s">
        <v>0</v>
      </c>
    </row>
    <row r="34590" spans="1:1" x14ac:dyDescent="0.3">
      <c r="A34590" t="s">
        <v>0</v>
      </c>
    </row>
    <row r="34591" spans="1:1" x14ac:dyDescent="0.3">
      <c r="A34591" t="s">
        <v>0</v>
      </c>
    </row>
    <row r="34592" spans="1:1" x14ac:dyDescent="0.3">
      <c r="A34592" t="s">
        <v>0</v>
      </c>
    </row>
    <row r="34593" spans="1:1" x14ac:dyDescent="0.3">
      <c r="A34593" t="s">
        <v>0</v>
      </c>
    </row>
    <row r="34594" spans="1:1" x14ac:dyDescent="0.3">
      <c r="A34594" t="s">
        <v>0</v>
      </c>
    </row>
    <row r="34595" spans="1:1" x14ac:dyDescent="0.3">
      <c r="A34595" t="s">
        <v>0</v>
      </c>
    </row>
    <row r="34596" spans="1:1" x14ac:dyDescent="0.3">
      <c r="A34596" t="s">
        <v>0</v>
      </c>
    </row>
    <row r="34597" spans="1:1" x14ac:dyDescent="0.3">
      <c r="A34597" t="s">
        <v>0</v>
      </c>
    </row>
    <row r="34598" spans="1:1" x14ac:dyDescent="0.3">
      <c r="A34598" t="s">
        <v>0</v>
      </c>
    </row>
    <row r="34599" spans="1:1" x14ac:dyDescent="0.3">
      <c r="A34599" t="s">
        <v>0</v>
      </c>
    </row>
    <row r="34600" spans="1:1" x14ac:dyDescent="0.3">
      <c r="A34600" t="s">
        <v>0</v>
      </c>
    </row>
    <row r="34601" spans="1:1" x14ac:dyDescent="0.3">
      <c r="A34601" t="s">
        <v>0</v>
      </c>
    </row>
    <row r="34602" spans="1:1" x14ac:dyDescent="0.3">
      <c r="A34602" t="s">
        <v>0</v>
      </c>
    </row>
    <row r="34603" spans="1:1" x14ac:dyDescent="0.3">
      <c r="A34603" t="s">
        <v>0</v>
      </c>
    </row>
    <row r="34604" spans="1:1" x14ac:dyDescent="0.3">
      <c r="A34604" t="s">
        <v>0</v>
      </c>
    </row>
    <row r="34605" spans="1:1" x14ac:dyDescent="0.3">
      <c r="A34605" t="s">
        <v>0</v>
      </c>
    </row>
    <row r="34606" spans="1:1" x14ac:dyDescent="0.3">
      <c r="A34606" t="s">
        <v>0</v>
      </c>
    </row>
    <row r="34607" spans="1:1" x14ac:dyDescent="0.3">
      <c r="A34607" t="s">
        <v>0</v>
      </c>
    </row>
    <row r="34608" spans="1:1" x14ac:dyDescent="0.3">
      <c r="A34608" t="s">
        <v>0</v>
      </c>
    </row>
    <row r="34609" spans="1:1" x14ac:dyDescent="0.3">
      <c r="A34609" t="s">
        <v>0</v>
      </c>
    </row>
    <row r="34610" spans="1:1" x14ac:dyDescent="0.3">
      <c r="A34610" t="s">
        <v>0</v>
      </c>
    </row>
    <row r="34611" spans="1:1" x14ac:dyDescent="0.3">
      <c r="A34611" t="s">
        <v>0</v>
      </c>
    </row>
    <row r="34612" spans="1:1" x14ac:dyDescent="0.3">
      <c r="A34612" t="s">
        <v>0</v>
      </c>
    </row>
    <row r="34613" spans="1:1" x14ac:dyDescent="0.3">
      <c r="A34613" t="s">
        <v>0</v>
      </c>
    </row>
    <row r="34614" spans="1:1" x14ac:dyDescent="0.3">
      <c r="A34614" t="s">
        <v>0</v>
      </c>
    </row>
    <row r="34615" spans="1:1" x14ac:dyDescent="0.3">
      <c r="A34615" t="s">
        <v>0</v>
      </c>
    </row>
    <row r="34616" spans="1:1" x14ac:dyDescent="0.3">
      <c r="A34616" t="s">
        <v>0</v>
      </c>
    </row>
    <row r="34617" spans="1:1" x14ac:dyDescent="0.3">
      <c r="A34617" t="s">
        <v>0</v>
      </c>
    </row>
    <row r="34618" spans="1:1" x14ac:dyDescent="0.3">
      <c r="A34618" t="s">
        <v>0</v>
      </c>
    </row>
    <row r="34619" spans="1:1" x14ac:dyDescent="0.3">
      <c r="A34619" t="s">
        <v>0</v>
      </c>
    </row>
    <row r="34620" spans="1:1" x14ac:dyDescent="0.3">
      <c r="A34620" t="s">
        <v>0</v>
      </c>
    </row>
    <row r="34621" spans="1:1" x14ac:dyDescent="0.3">
      <c r="A34621" t="s">
        <v>0</v>
      </c>
    </row>
    <row r="34622" spans="1:1" x14ac:dyDescent="0.3">
      <c r="A34622" t="s">
        <v>0</v>
      </c>
    </row>
    <row r="34623" spans="1:1" x14ac:dyDescent="0.3">
      <c r="A34623" t="s">
        <v>0</v>
      </c>
    </row>
    <row r="34624" spans="1:1" x14ac:dyDescent="0.3">
      <c r="A34624" t="s">
        <v>0</v>
      </c>
    </row>
    <row r="34625" spans="1:1" x14ac:dyDescent="0.3">
      <c r="A34625" t="s">
        <v>0</v>
      </c>
    </row>
    <row r="34626" spans="1:1" x14ac:dyDescent="0.3">
      <c r="A34626" t="s">
        <v>0</v>
      </c>
    </row>
    <row r="34627" spans="1:1" x14ac:dyDescent="0.3">
      <c r="A34627" t="s">
        <v>0</v>
      </c>
    </row>
    <row r="34628" spans="1:1" x14ac:dyDescent="0.3">
      <c r="A34628" t="s">
        <v>0</v>
      </c>
    </row>
    <row r="34629" spans="1:1" x14ac:dyDescent="0.3">
      <c r="A34629" t="s">
        <v>0</v>
      </c>
    </row>
    <row r="34630" spans="1:1" x14ac:dyDescent="0.3">
      <c r="A34630" t="s">
        <v>0</v>
      </c>
    </row>
    <row r="34631" spans="1:1" x14ac:dyDescent="0.3">
      <c r="A34631" t="s">
        <v>0</v>
      </c>
    </row>
    <row r="34632" spans="1:1" x14ac:dyDescent="0.3">
      <c r="A34632" t="s">
        <v>0</v>
      </c>
    </row>
    <row r="34633" spans="1:1" x14ac:dyDescent="0.3">
      <c r="A34633" t="s">
        <v>0</v>
      </c>
    </row>
    <row r="34634" spans="1:1" x14ac:dyDescent="0.3">
      <c r="A34634" t="s">
        <v>0</v>
      </c>
    </row>
    <row r="34635" spans="1:1" x14ac:dyDescent="0.3">
      <c r="A34635" t="s">
        <v>0</v>
      </c>
    </row>
    <row r="34636" spans="1:1" x14ac:dyDescent="0.3">
      <c r="A34636" t="s">
        <v>0</v>
      </c>
    </row>
    <row r="34637" spans="1:1" x14ac:dyDescent="0.3">
      <c r="A34637" t="s">
        <v>0</v>
      </c>
    </row>
    <row r="34638" spans="1:1" x14ac:dyDescent="0.3">
      <c r="A34638" t="s">
        <v>0</v>
      </c>
    </row>
    <row r="34639" spans="1:1" x14ac:dyDescent="0.3">
      <c r="A34639" t="s">
        <v>0</v>
      </c>
    </row>
    <row r="34640" spans="1:1" x14ac:dyDescent="0.3">
      <c r="A34640" t="s">
        <v>0</v>
      </c>
    </row>
    <row r="34641" spans="1:1" x14ac:dyDescent="0.3">
      <c r="A34641" t="s">
        <v>0</v>
      </c>
    </row>
    <row r="34642" spans="1:1" x14ac:dyDescent="0.3">
      <c r="A34642" t="s">
        <v>0</v>
      </c>
    </row>
    <row r="34643" spans="1:1" x14ac:dyDescent="0.3">
      <c r="A34643" t="s">
        <v>0</v>
      </c>
    </row>
    <row r="34644" spans="1:1" x14ac:dyDescent="0.3">
      <c r="A34644" t="s">
        <v>0</v>
      </c>
    </row>
    <row r="34645" spans="1:1" x14ac:dyDescent="0.3">
      <c r="A34645" t="s">
        <v>0</v>
      </c>
    </row>
    <row r="34646" spans="1:1" x14ac:dyDescent="0.3">
      <c r="A34646" t="s">
        <v>0</v>
      </c>
    </row>
    <row r="34647" spans="1:1" x14ac:dyDescent="0.3">
      <c r="A34647" t="s">
        <v>0</v>
      </c>
    </row>
    <row r="34648" spans="1:1" x14ac:dyDescent="0.3">
      <c r="A34648" t="s">
        <v>0</v>
      </c>
    </row>
    <row r="34649" spans="1:1" x14ac:dyDescent="0.3">
      <c r="A34649" t="s">
        <v>0</v>
      </c>
    </row>
    <row r="34650" spans="1:1" x14ac:dyDescent="0.3">
      <c r="A34650" t="s">
        <v>0</v>
      </c>
    </row>
    <row r="34651" spans="1:1" x14ac:dyDescent="0.3">
      <c r="A34651" t="s">
        <v>0</v>
      </c>
    </row>
    <row r="34652" spans="1:1" x14ac:dyDescent="0.3">
      <c r="A34652" t="s">
        <v>0</v>
      </c>
    </row>
    <row r="34653" spans="1:1" x14ac:dyDescent="0.3">
      <c r="A34653" t="s">
        <v>0</v>
      </c>
    </row>
    <row r="34654" spans="1:1" x14ac:dyDescent="0.3">
      <c r="A34654" t="s">
        <v>0</v>
      </c>
    </row>
    <row r="34655" spans="1:1" x14ac:dyDescent="0.3">
      <c r="A34655" t="s">
        <v>0</v>
      </c>
    </row>
    <row r="34656" spans="1:1" x14ac:dyDescent="0.3">
      <c r="A34656" t="s">
        <v>0</v>
      </c>
    </row>
    <row r="34657" spans="1:1" x14ac:dyDescent="0.3">
      <c r="A34657" t="s">
        <v>0</v>
      </c>
    </row>
    <row r="34658" spans="1:1" x14ac:dyDescent="0.3">
      <c r="A34658" t="s">
        <v>0</v>
      </c>
    </row>
    <row r="34659" spans="1:1" x14ac:dyDescent="0.3">
      <c r="A34659" t="s">
        <v>0</v>
      </c>
    </row>
    <row r="34660" spans="1:1" x14ac:dyDescent="0.3">
      <c r="A34660" t="s">
        <v>0</v>
      </c>
    </row>
    <row r="34661" spans="1:1" x14ac:dyDescent="0.3">
      <c r="A34661" t="s">
        <v>0</v>
      </c>
    </row>
    <row r="34662" spans="1:1" x14ac:dyDescent="0.3">
      <c r="A34662" t="s">
        <v>0</v>
      </c>
    </row>
    <row r="34663" spans="1:1" x14ac:dyDescent="0.3">
      <c r="A34663" t="s">
        <v>0</v>
      </c>
    </row>
    <row r="34664" spans="1:1" x14ac:dyDescent="0.3">
      <c r="A34664" t="s">
        <v>0</v>
      </c>
    </row>
    <row r="34665" spans="1:1" x14ac:dyDescent="0.3">
      <c r="A34665" t="s">
        <v>0</v>
      </c>
    </row>
    <row r="34666" spans="1:1" x14ac:dyDescent="0.3">
      <c r="A34666" t="s">
        <v>0</v>
      </c>
    </row>
    <row r="34667" spans="1:1" x14ac:dyDescent="0.3">
      <c r="A34667" t="s">
        <v>0</v>
      </c>
    </row>
    <row r="34668" spans="1:1" x14ac:dyDescent="0.3">
      <c r="A34668" t="s">
        <v>0</v>
      </c>
    </row>
    <row r="34669" spans="1:1" x14ac:dyDescent="0.3">
      <c r="A34669" t="s">
        <v>0</v>
      </c>
    </row>
    <row r="34670" spans="1:1" x14ac:dyDescent="0.3">
      <c r="A34670" t="s">
        <v>0</v>
      </c>
    </row>
    <row r="34671" spans="1:1" x14ac:dyDescent="0.3">
      <c r="A34671" t="s">
        <v>0</v>
      </c>
    </row>
    <row r="34672" spans="1:1" x14ac:dyDescent="0.3">
      <c r="A34672" t="s">
        <v>0</v>
      </c>
    </row>
    <row r="34673" spans="1:1" x14ac:dyDescent="0.3">
      <c r="A34673" t="s">
        <v>0</v>
      </c>
    </row>
    <row r="34674" spans="1:1" x14ac:dyDescent="0.3">
      <c r="A34674" t="s">
        <v>0</v>
      </c>
    </row>
    <row r="34675" spans="1:1" x14ac:dyDescent="0.3">
      <c r="A34675" t="s">
        <v>0</v>
      </c>
    </row>
    <row r="34676" spans="1:1" x14ac:dyDescent="0.3">
      <c r="A34676" t="s">
        <v>0</v>
      </c>
    </row>
    <row r="34677" spans="1:1" x14ac:dyDescent="0.3">
      <c r="A34677" t="s">
        <v>0</v>
      </c>
    </row>
    <row r="34678" spans="1:1" x14ac:dyDescent="0.3">
      <c r="A34678" t="s">
        <v>0</v>
      </c>
    </row>
    <row r="34679" spans="1:1" x14ac:dyDescent="0.3">
      <c r="A34679" t="s">
        <v>0</v>
      </c>
    </row>
    <row r="34680" spans="1:1" x14ac:dyDescent="0.3">
      <c r="A34680" t="s">
        <v>0</v>
      </c>
    </row>
    <row r="34681" spans="1:1" x14ac:dyDescent="0.3">
      <c r="A34681" t="s">
        <v>0</v>
      </c>
    </row>
    <row r="34682" spans="1:1" x14ac:dyDescent="0.3">
      <c r="A34682" t="s">
        <v>0</v>
      </c>
    </row>
    <row r="34683" spans="1:1" x14ac:dyDescent="0.3">
      <c r="A34683" t="s">
        <v>0</v>
      </c>
    </row>
    <row r="34684" spans="1:1" x14ac:dyDescent="0.3">
      <c r="A34684" t="s">
        <v>0</v>
      </c>
    </row>
    <row r="34685" spans="1:1" x14ac:dyDescent="0.3">
      <c r="A34685" t="s">
        <v>0</v>
      </c>
    </row>
    <row r="34686" spans="1:1" x14ac:dyDescent="0.3">
      <c r="A34686" t="s">
        <v>0</v>
      </c>
    </row>
    <row r="34687" spans="1:1" x14ac:dyDescent="0.3">
      <c r="A34687" t="s">
        <v>0</v>
      </c>
    </row>
    <row r="34688" spans="1:1" x14ac:dyDescent="0.3">
      <c r="A34688" t="s">
        <v>0</v>
      </c>
    </row>
    <row r="34689" spans="1:1" x14ac:dyDescent="0.3">
      <c r="A34689" t="s">
        <v>0</v>
      </c>
    </row>
    <row r="34690" spans="1:1" x14ac:dyDescent="0.3">
      <c r="A34690" t="s">
        <v>0</v>
      </c>
    </row>
    <row r="34691" spans="1:1" x14ac:dyDescent="0.3">
      <c r="A34691" t="s">
        <v>0</v>
      </c>
    </row>
    <row r="34692" spans="1:1" x14ac:dyDescent="0.3">
      <c r="A34692" t="s">
        <v>0</v>
      </c>
    </row>
    <row r="34693" spans="1:1" x14ac:dyDescent="0.3">
      <c r="A34693" t="s">
        <v>0</v>
      </c>
    </row>
    <row r="34694" spans="1:1" x14ac:dyDescent="0.3">
      <c r="A34694" t="s">
        <v>0</v>
      </c>
    </row>
    <row r="34695" spans="1:1" x14ac:dyDescent="0.3">
      <c r="A34695" t="s">
        <v>0</v>
      </c>
    </row>
    <row r="34696" spans="1:1" x14ac:dyDescent="0.3">
      <c r="A34696" t="s">
        <v>0</v>
      </c>
    </row>
    <row r="34697" spans="1:1" x14ac:dyDescent="0.3">
      <c r="A34697" t="s">
        <v>0</v>
      </c>
    </row>
    <row r="34698" spans="1:1" x14ac:dyDescent="0.3">
      <c r="A34698" t="s">
        <v>0</v>
      </c>
    </row>
    <row r="34699" spans="1:1" x14ac:dyDescent="0.3">
      <c r="A34699" t="s">
        <v>0</v>
      </c>
    </row>
    <row r="34700" spans="1:1" x14ac:dyDescent="0.3">
      <c r="A34700" t="s">
        <v>0</v>
      </c>
    </row>
    <row r="34701" spans="1:1" x14ac:dyDescent="0.3">
      <c r="A34701" t="s">
        <v>0</v>
      </c>
    </row>
    <row r="34702" spans="1:1" x14ac:dyDescent="0.3">
      <c r="A34702" t="s">
        <v>0</v>
      </c>
    </row>
    <row r="34703" spans="1:1" x14ac:dyDescent="0.3">
      <c r="A34703" t="s">
        <v>0</v>
      </c>
    </row>
    <row r="34704" spans="1:1" x14ac:dyDescent="0.3">
      <c r="A34704" t="s">
        <v>0</v>
      </c>
    </row>
    <row r="34705" spans="1:1" x14ac:dyDescent="0.3">
      <c r="A34705" t="s">
        <v>0</v>
      </c>
    </row>
    <row r="34706" spans="1:1" x14ac:dyDescent="0.3">
      <c r="A34706" t="s">
        <v>0</v>
      </c>
    </row>
    <row r="34707" spans="1:1" x14ac:dyDescent="0.3">
      <c r="A34707" t="s">
        <v>0</v>
      </c>
    </row>
    <row r="34708" spans="1:1" x14ac:dyDescent="0.3">
      <c r="A34708" t="s">
        <v>0</v>
      </c>
    </row>
    <row r="34709" spans="1:1" x14ac:dyDescent="0.3">
      <c r="A34709" t="s">
        <v>0</v>
      </c>
    </row>
    <row r="34710" spans="1:1" x14ac:dyDescent="0.3">
      <c r="A34710" t="s">
        <v>0</v>
      </c>
    </row>
    <row r="34711" spans="1:1" x14ac:dyDescent="0.3">
      <c r="A34711" t="s">
        <v>0</v>
      </c>
    </row>
    <row r="34712" spans="1:1" x14ac:dyDescent="0.3">
      <c r="A34712" t="s">
        <v>0</v>
      </c>
    </row>
    <row r="34713" spans="1:1" x14ac:dyDescent="0.3">
      <c r="A34713" t="s">
        <v>0</v>
      </c>
    </row>
    <row r="34714" spans="1:1" x14ac:dyDescent="0.3">
      <c r="A34714" t="s">
        <v>0</v>
      </c>
    </row>
    <row r="34715" spans="1:1" x14ac:dyDescent="0.3">
      <c r="A34715" t="s">
        <v>0</v>
      </c>
    </row>
    <row r="34716" spans="1:1" x14ac:dyDescent="0.3">
      <c r="A34716" t="s">
        <v>0</v>
      </c>
    </row>
    <row r="34717" spans="1:1" x14ac:dyDescent="0.3">
      <c r="A34717" t="s">
        <v>0</v>
      </c>
    </row>
    <row r="34718" spans="1:1" x14ac:dyDescent="0.3">
      <c r="A34718" t="s">
        <v>0</v>
      </c>
    </row>
    <row r="34719" spans="1:1" x14ac:dyDescent="0.3">
      <c r="A34719" t="s">
        <v>0</v>
      </c>
    </row>
    <row r="34720" spans="1:1" x14ac:dyDescent="0.3">
      <c r="A34720" t="s">
        <v>0</v>
      </c>
    </row>
    <row r="34721" spans="1:1" x14ac:dyDescent="0.3">
      <c r="A34721" t="s">
        <v>0</v>
      </c>
    </row>
    <row r="34722" spans="1:1" x14ac:dyDescent="0.3">
      <c r="A34722" t="s">
        <v>0</v>
      </c>
    </row>
    <row r="34723" spans="1:1" x14ac:dyDescent="0.3">
      <c r="A34723" t="s">
        <v>0</v>
      </c>
    </row>
    <row r="34724" spans="1:1" x14ac:dyDescent="0.3">
      <c r="A34724" t="s">
        <v>0</v>
      </c>
    </row>
    <row r="34725" spans="1:1" x14ac:dyDescent="0.3">
      <c r="A34725" t="s">
        <v>0</v>
      </c>
    </row>
    <row r="34726" spans="1:1" x14ac:dyDescent="0.3">
      <c r="A34726" t="s">
        <v>0</v>
      </c>
    </row>
    <row r="34727" spans="1:1" x14ac:dyDescent="0.3">
      <c r="A34727" t="s">
        <v>0</v>
      </c>
    </row>
    <row r="34728" spans="1:1" x14ac:dyDescent="0.3">
      <c r="A34728" t="s">
        <v>0</v>
      </c>
    </row>
    <row r="34729" spans="1:1" x14ac:dyDescent="0.3">
      <c r="A34729" t="s">
        <v>0</v>
      </c>
    </row>
    <row r="34730" spans="1:1" x14ac:dyDescent="0.3">
      <c r="A34730" t="s">
        <v>0</v>
      </c>
    </row>
    <row r="34731" spans="1:1" x14ac:dyDescent="0.3">
      <c r="A34731" t="s">
        <v>0</v>
      </c>
    </row>
    <row r="34732" spans="1:1" x14ac:dyDescent="0.3">
      <c r="A34732" t="s">
        <v>0</v>
      </c>
    </row>
    <row r="34733" spans="1:1" x14ac:dyDescent="0.3">
      <c r="A34733" t="s">
        <v>0</v>
      </c>
    </row>
    <row r="34734" spans="1:1" x14ac:dyDescent="0.3">
      <c r="A34734" t="s">
        <v>0</v>
      </c>
    </row>
    <row r="34735" spans="1:1" x14ac:dyDescent="0.3">
      <c r="A34735" t="s">
        <v>0</v>
      </c>
    </row>
    <row r="34736" spans="1:1" x14ac:dyDescent="0.3">
      <c r="A34736" t="s">
        <v>0</v>
      </c>
    </row>
    <row r="34737" spans="1:1" x14ac:dyDescent="0.3">
      <c r="A34737" t="s">
        <v>0</v>
      </c>
    </row>
    <row r="34738" spans="1:1" x14ac:dyDescent="0.3">
      <c r="A34738" t="s">
        <v>0</v>
      </c>
    </row>
    <row r="34739" spans="1:1" x14ac:dyDescent="0.3">
      <c r="A34739" t="s">
        <v>0</v>
      </c>
    </row>
    <row r="34740" spans="1:1" x14ac:dyDescent="0.3">
      <c r="A34740" t="s">
        <v>0</v>
      </c>
    </row>
    <row r="34741" spans="1:1" x14ac:dyDescent="0.3">
      <c r="A34741" t="s">
        <v>0</v>
      </c>
    </row>
    <row r="34742" spans="1:1" x14ac:dyDescent="0.3">
      <c r="A34742" t="s">
        <v>0</v>
      </c>
    </row>
    <row r="34743" spans="1:1" x14ac:dyDescent="0.3">
      <c r="A34743" t="s">
        <v>0</v>
      </c>
    </row>
    <row r="34744" spans="1:1" x14ac:dyDescent="0.3">
      <c r="A34744" t="s">
        <v>0</v>
      </c>
    </row>
    <row r="34745" spans="1:1" x14ac:dyDescent="0.3">
      <c r="A34745" t="s">
        <v>0</v>
      </c>
    </row>
    <row r="34746" spans="1:1" x14ac:dyDescent="0.3">
      <c r="A34746" t="s">
        <v>0</v>
      </c>
    </row>
    <row r="34747" spans="1:1" x14ac:dyDescent="0.3">
      <c r="A34747" t="s">
        <v>0</v>
      </c>
    </row>
    <row r="34748" spans="1:1" x14ac:dyDescent="0.3">
      <c r="A34748" t="s">
        <v>0</v>
      </c>
    </row>
    <row r="34749" spans="1:1" x14ac:dyDescent="0.3">
      <c r="A34749" t="s">
        <v>0</v>
      </c>
    </row>
    <row r="34750" spans="1:1" x14ac:dyDescent="0.3">
      <c r="A34750" t="s">
        <v>0</v>
      </c>
    </row>
    <row r="34751" spans="1:1" x14ac:dyDescent="0.3">
      <c r="A34751" t="s">
        <v>0</v>
      </c>
    </row>
    <row r="34752" spans="1:1" x14ac:dyDescent="0.3">
      <c r="A34752" t="s">
        <v>0</v>
      </c>
    </row>
    <row r="34753" spans="1:1" x14ac:dyDescent="0.3">
      <c r="A34753" t="s">
        <v>0</v>
      </c>
    </row>
    <row r="34754" spans="1:1" x14ac:dyDescent="0.3">
      <c r="A34754" t="s">
        <v>0</v>
      </c>
    </row>
    <row r="34755" spans="1:1" x14ac:dyDescent="0.3">
      <c r="A34755" t="s">
        <v>0</v>
      </c>
    </row>
    <row r="34756" spans="1:1" x14ac:dyDescent="0.3">
      <c r="A34756" t="s">
        <v>0</v>
      </c>
    </row>
    <row r="34757" spans="1:1" x14ac:dyDescent="0.3">
      <c r="A34757" t="s">
        <v>0</v>
      </c>
    </row>
    <row r="34758" spans="1:1" x14ac:dyDescent="0.3">
      <c r="A34758" t="s">
        <v>0</v>
      </c>
    </row>
    <row r="34759" spans="1:1" x14ac:dyDescent="0.3">
      <c r="A34759" t="s">
        <v>0</v>
      </c>
    </row>
    <row r="34760" spans="1:1" x14ac:dyDescent="0.3">
      <c r="A34760" t="s">
        <v>0</v>
      </c>
    </row>
    <row r="34761" spans="1:1" x14ac:dyDescent="0.3">
      <c r="A34761" t="s">
        <v>0</v>
      </c>
    </row>
    <row r="34762" spans="1:1" x14ac:dyDescent="0.3">
      <c r="A34762" t="s">
        <v>0</v>
      </c>
    </row>
    <row r="34763" spans="1:1" x14ac:dyDescent="0.3">
      <c r="A34763" t="s">
        <v>0</v>
      </c>
    </row>
    <row r="34764" spans="1:1" x14ac:dyDescent="0.3">
      <c r="A34764" t="s">
        <v>0</v>
      </c>
    </row>
    <row r="34765" spans="1:1" x14ac:dyDescent="0.3">
      <c r="A34765" t="s">
        <v>0</v>
      </c>
    </row>
    <row r="34766" spans="1:1" x14ac:dyDescent="0.3">
      <c r="A34766" t="s">
        <v>0</v>
      </c>
    </row>
    <row r="34767" spans="1:1" x14ac:dyDescent="0.3">
      <c r="A34767" t="s">
        <v>0</v>
      </c>
    </row>
    <row r="34768" spans="1:1" x14ac:dyDescent="0.3">
      <c r="A34768" t="s">
        <v>0</v>
      </c>
    </row>
    <row r="34769" spans="1:1" x14ac:dyDescent="0.3">
      <c r="A34769" t="s">
        <v>0</v>
      </c>
    </row>
    <row r="34770" spans="1:1" x14ac:dyDescent="0.3">
      <c r="A34770" t="s">
        <v>0</v>
      </c>
    </row>
    <row r="34771" spans="1:1" x14ac:dyDescent="0.3">
      <c r="A34771" t="s">
        <v>0</v>
      </c>
    </row>
    <row r="34772" spans="1:1" x14ac:dyDescent="0.3">
      <c r="A34772" t="s">
        <v>0</v>
      </c>
    </row>
    <row r="34773" spans="1:1" x14ac:dyDescent="0.3">
      <c r="A34773" t="s">
        <v>0</v>
      </c>
    </row>
    <row r="34774" spans="1:1" x14ac:dyDescent="0.3">
      <c r="A34774" t="s">
        <v>0</v>
      </c>
    </row>
    <row r="34775" spans="1:1" x14ac:dyDescent="0.3">
      <c r="A34775" t="s">
        <v>0</v>
      </c>
    </row>
    <row r="34776" spans="1:1" x14ac:dyDescent="0.3">
      <c r="A34776" t="s">
        <v>0</v>
      </c>
    </row>
    <row r="34777" spans="1:1" x14ac:dyDescent="0.3">
      <c r="A34777" t="s">
        <v>0</v>
      </c>
    </row>
    <row r="34778" spans="1:1" x14ac:dyDescent="0.3">
      <c r="A34778" t="s">
        <v>0</v>
      </c>
    </row>
    <row r="34779" spans="1:1" x14ac:dyDescent="0.3">
      <c r="A34779" t="s">
        <v>0</v>
      </c>
    </row>
    <row r="34780" spans="1:1" x14ac:dyDescent="0.3">
      <c r="A34780" t="s">
        <v>0</v>
      </c>
    </row>
    <row r="34781" spans="1:1" x14ac:dyDescent="0.3">
      <c r="A34781" t="s">
        <v>0</v>
      </c>
    </row>
    <row r="34782" spans="1:1" x14ac:dyDescent="0.3">
      <c r="A34782" t="s">
        <v>0</v>
      </c>
    </row>
    <row r="34783" spans="1:1" x14ac:dyDescent="0.3">
      <c r="A34783" t="s">
        <v>0</v>
      </c>
    </row>
    <row r="34784" spans="1:1" x14ac:dyDescent="0.3">
      <c r="A34784" t="s">
        <v>0</v>
      </c>
    </row>
    <row r="34785" spans="1:1" x14ac:dyDescent="0.3">
      <c r="A34785" t="s">
        <v>0</v>
      </c>
    </row>
    <row r="34786" spans="1:1" x14ac:dyDescent="0.3">
      <c r="A34786" t="s">
        <v>0</v>
      </c>
    </row>
    <row r="34787" spans="1:1" x14ac:dyDescent="0.3">
      <c r="A34787" t="s">
        <v>0</v>
      </c>
    </row>
    <row r="34788" spans="1:1" x14ac:dyDescent="0.3">
      <c r="A34788" t="s">
        <v>0</v>
      </c>
    </row>
    <row r="34789" spans="1:1" x14ac:dyDescent="0.3">
      <c r="A34789" t="s">
        <v>0</v>
      </c>
    </row>
    <row r="34790" spans="1:1" x14ac:dyDescent="0.3">
      <c r="A34790" t="s">
        <v>0</v>
      </c>
    </row>
    <row r="34791" spans="1:1" x14ac:dyDescent="0.3">
      <c r="A34791" t="s">
        <v>0</v>
      </c>
    </row>
    <row r="34792" spans="1:1" x14ac:dyDescent="0.3">
      <c r="A34792" t="s">
        <v>0</v>
      </c>
    </row>
    <row r="34793" spans="1:1" x14ac:dyDescent="0.3">
      <c r="A34793" t="s">
        <v>0</v>
      </c>
    </row>
    <row r="34794" spans="1:1" x14ac:dyDescent="0.3">
      <c r="A34794" t="s">
        <v>0</v>
      </c>
    </row>
    <row r="34795" spans="1:1" x14ac:dyDescent="0.3">
      <c r="A34795" t="s">
        <v>0</v>
      </c>
    </row>
    <row r="34796" spans="1:1" x14ac:dyDescent="0.3">
      <c r="A34796" t="s">
        <v>0</v>
      </c>
    </row>
    <row r="34797" spans="1:1" x14ac:dyDescent="0.3">
      <c r="A34797" t="s">
        <v>0</v>
      </c>
    </row>
    <row r="34798" spans="1:1" x14ac:dyDescent="0.3">
      <c r="A34798" t="s">
        <v>0</v>
      </c>
    </row>
    <row r="34799" spans="1:1" x14ac:dyDescent="0.3">
      <c r="A34799" t="s">
        <v>0</v>
      </c>
    </row>
    <row r="34800" spans="1:1" x14ac:dyDescent="0.3">
      <c r="A34800" t="s">
        <v>0</v>
      </c>
    </row>
    <row r="34801" spans="1:1" x14ac:dyDescent="0.3">
      <c r="A34801" t="s">
        <v>0</v>
      </c>
    </row>
    <row r="34802" spans="1:1" x14ac:dyDescent="0.3">
      <c r="A34802" t="s">
        <v>0</v>
      </c>
    </row>
    <row r="34803" spans="1:1" x14ac:dyDescent="0.3">
      <c r="A34803" t="s">
        <v>0</v>
      </c>
    </row>
    <row r="34804" spans="1:1" x14ac:dyDescent="0.3">
      <c r="A34804" t="s">
        <v>0</v>
      </c>
    </row>
    <row r="34805" spans="1:1" x14ac:dyDescent="0.3">
      <c r="A34805" t="s">
        <v>0</v>
      </c>
    </row>
    <row r="34806" spans="1:1" x14ac:dyDescent="0.3">
      <c r="A34806" t="s">
        <v>0</v>
      </c>
    </row>
    <row r="34807" spans="1:1" x14ac:dyDescent="0.3">
      <c r="A34807" t="s">
        <v>0</v>
      </c>
    </row>
    <row r="34808" spans="1:1" x14ac:dyDescent="0.3">
      <c r="A34808" t="s">
        <v>0</v>
      </c>
    </row>
    <row r="34809" spans="1:1" x14ac:dyDescent="0.3">
      <c r="A34809" t="s">
        <v>0</v>
      </c>
    </row>
    <row r="34810" spans="1:1" x14ac:dyDescent="0.3">
      <c r="A34810" t="s">
        <v>0</v>
      </c>
    </row>
    <row r="34811" spans="1:1" x14ac:dyDescent="0.3">
      <c r="A34811" t="s">
        <v>0</v>
      </c>
    </row>
    <row r="34812" spans="1:1" x14ac:dyDescent="0.3">
      <c r="A34812" t="s">
        <v>0</v>
      </c>
    </row>
    <row r="34813" spans="1:1" x14ac:dyDescent="0.3">
      <c r="A34813" t="s">
        <v>0</v>
      </c>
    </row>
    <row r="34814" spans="1:1" x14ac:dyDescent="0.3">
      <c r="A34814" t="s">
        <v>0</v>
      </c>
    </row>
    <row r="34815" spans="1:1" x14ac:dyDescent="0.3">
      <c r="A34815" t="s">
        <v>0</v>
      </c>
    </row>
    <row r="34816" spans="1:1" x14ac:dyDescent="0.3">
      <c r="A34816" t="s">
        <v>0</v>
      </c>
    </row>
    <row r="34817" spans="1:1" x14ac:dyDescent="0.3">
      <c r="A34817" t="s">
        <v>0</v>
      </c>
    </row>
    <row r="34818" spans="1:1" x14ac:dyDescent="0.3">
      <c r="A34818" t="s">
        <v>0</v>
      </c>
    </row>
    <row r="34819" spans="1:1" x14ac:dyDescent="0.3">
      <c r="A34819" t="s">
        <v>0</v>
      </c>
    </row>
    <row r="34820" spans="1:1" x14ac:dyDescent="0.3">
      <c r="A34820" t="s">
        <v>0</v>
      </c>
    </row>
    <row r="34821" spans="1:1" x14ac:dyDescent="0.3">
      <c r="A34821" t="s">
        <v>0</v>
      </c>
    </row>
    <row r="34822" spans="1:1" x14ac:dyDescent="0.3">
      <c r="A34822" t="s">
        <v>0</v>
      </c>
    </row>
    <row r="34823" spans="1:1" x14ac:dyDescent="0.3">
      <c r="A34823" t="s">
        <v>0</v>
      </c>
    </row>
    <row r="34824" spans="1:1" x14ac:dyDescent="0.3">
      <c r="A34824" t="s">
        <v>0</v>
      </c>
    </row>
    <row r="34825" spans="1:1" x14ac:dyDescent="0.3">
      <c r="A34825" t="s">
        <v>0</v>
      </c>
    </row>
    <row r="34826" spans="1:1" x14ac:dyDescent="0.3">
      <c r="A34826" t="s">
        <v>0</v>
      </c>
    </row>
    <row r="34827" spans="1:1" x14ac:dyDescent="0.3">
      <c r="A34827" t="s">
        <v>0</v>
      </c>
    </row>
    <row r="34828" spans="1:1" x14ac:dyDescent="0.3">
      <c r="A34828" t="s">
        <v>0</v>
      </c>
    </row>
    <row r="34829" spans="1:1" x14ac:dyDescent="0.3">
      <c r="A34829" t="s">
        <v>0</v>
      </c>
    </row>
    <row r="34830" spans="1:1" x14ac:dyDescent="0.3">
      <c r="A34830" t="s">
        <v>0</v>
      </c>
    </row>
    <row r="34831" spans="1:1" x14ac:dyDescent="0.3">
      <c r="A34831" t="s">
        <v>0</v>
      </c>
    </row>
    <row r="34832" spans="1:1" x14ac:dyDescent="0.3">
      <c r="A34832" t="s">
        <v>0</v>
      </c>
    </row>
    <row r="34833" spans="1:1" x14ac:dyDescent="0.3">
      <c r="A34833" t="s">
        <v>0</v>
      </c>
    </row>
    <row r="34834" spans="1:1" x14ac:dyDescent="0.3">
      <c r="A34834" t="s">
        <v>0</v>
      </c>
    </row>
    <row r="34835" spans="1:1" x14ac:dyDescent="0.3">
      <c r="A34835" t="s">
        <v>0</v>
      </c>
    </row>
    <row r="34836" spans="1:1" x14ac:dyDescent="0.3">
      <c r="A34836" t="s">
        <v>0</v>
      </c>
    </row>
    <row r="34837" spans="1:1" x14ac:dyDescent="0.3">
      <c r="A34837" t="s">
        <v>0</v>
      </c>
    </row>
    <row r="34838" spans="1:1" x14ac:dyDescent="0.3">
      <c r="A34838" t="s">
        <v>0</v>
      </c>
    </row>
    <row r="34839" spans="1:1" x14ac:dyDescent="0.3">
      <c r="A34839" t="s">
        <v>0</v>
      </c>
    </row>
    <row r="34840" spans="1:1" x14ac:dyDescent="0.3">
      <c r="A34840" t="s">
        <v>0</v>
      </c>
    </row>
    <row r="34841" spans="1:1" x14ac:dyDescent="0.3">
      <c r="A34841" t="s">
        <v>0</v>
      </c>
    </row>
    <row r="34842" spans="1:1" x14ac:dyDescent="0.3">
      <c r="A34842" t="s">
        <v>0</v>
      </c>
    </row>
    <row r="34843" spans="1:1" x14ac:dyDescent="0.3">
      <c r="A34843" t="s">
        <v>0</v>
      </c>
    </row>
    <row r="34844" spans="1:1" x14ac:dyDescent="0.3">
      <c r="A34844" t="s">
        <v>0</v>
      </c>
    </row>
    <row r="34845" spans="1:1" x14ac:dyDescent="0.3">
      <c r="A34845" t="s">
        <v>0</v>
      </c>
    </row>
    <row r="34846" spans="1:1" x14ac:dyDescent="0.3">
      <c r="A34846" t="s">
        <v>0</v>
      </c>
    </row>
    <row r="34847" spans="1:1" x14ac:dyDescent="0.3">
      <c r="A34847" t="s">
        <v>0</v>
      </c>
    </row>
    <row r="34848" spans="1:1" x14ac:dyDescent="0.3">
      <c r="A34848" t="s">
        <v>0</v>
      </c>
    </row>
    <row r="34849" spans="1:1" x14ac:dyDescent="0.3">
      <c r="A34849" t="s">
        <v>0</v>
      </c>
    </row>
    <row r="34850" spans="1:1" x14ac:dyDescent="0.3">
      <c r="A34850" t="s">
        <v>0</v>
      </c>
    </row>
    <row r="34851" spans="1:1" x14ac:dyDescent="0.3">
      <c r="A34851" t="s">
        <v>0</v>
      </c>
    </row>
    <row r="34852" spans="1:1" x14ac:dyDescent="0.3">
      <c r="A34852" t="s">
        <v>0</v>
      </c>
    </row>
    <row r="34853" spans="1:1" x14ac:dyDescent="0.3">
      <c r="A34853" t="s">
        <v>0</v>
      </c>
    </row>
    <row r="34854" spans="1:1" x14ac:dyDescent="0.3">
      <c r="A34854" t="s">
        <v>0</v>
      </c>
    </row>
    <row r="34855" spans="1:1" x14ac:dyDescent="0.3">
      <c r="A34855" t="s">
        <v>0</v>
      </c>
    </row>
    <row r="34856" spans="1:1" x14ac:dyDescent="0.3">
      <c r="A34856" t="s">
        <v>0</v>
      </c>
    </row>
    <row r="34857" spans="1:1" x14ac:dyDescent="0.3">
      <c r="A34857" t="s">
        <v>0</v>
      </c>
    </row>
    <row r="34858" spans="1:1" x14ac:dyDescent="0.3">
      <c r="A34858" t="s">
        <v>0</v>
      </c>
    </row>
    <row r="34859" spans="1:1" x14ac:dyDescent="0.3">
      <c r="A34859" t="s">
        <v>0</v>
      </c>
    </row>
    <row r="34860" spans="1:1" x14ac:dyDescent="0.3">
      <c r="A34860" t="s">
        <v>0</v>
      </c>
    </row>
    <row r="34861" spans="1:1" x14ac:dyDescent="0.3">
      <c r="A34861" t="s">
        <v>0</v>
      </c>
    </row>
    <row r="34862" spans="1:1" x14ac:dyDescent="0.3">
      <c r="A34862" t="s">
        <v>0</v>
      </c>
    </row>
    <row r="34863" spans="1:1" x14ac:dyDescent="0.3">
      <c r="A34863" t="s">
        <v>0</v>
      </c>
    </row>
    <row r="34864" spans="1:1" x14ac:dyDescent="0.3">
      <c r="A34864" t="s">
        <v>0</v>
      </c>
    </row>
    <row r="34865" spans="1:1" x14ac:dyDescent="0.3">
      <c r="A34865" t="s">
        <v>0</v>
      </c>
    </row>
    <row r="34866" spans="1:1" x14ac:dyDescent="0.3">
      <c r="A34866" t="s">
        <v>0</v>
      </c>
    </row>
    <row r="34867" spans="1:1" x14ac:dyDescent="0.3">
      <c r="A34867" t="s">
        <v>0</v>
      </c>
    </row>
    <row r="34868" spans="1:1" x14ac:dyDescent="0.3">
      <c r="A34868" t="s">
        <v>0</v>
      </c>
    </row>
    <row r="34869" spans="1:1" x14ac:dyDescent="0.3">
      <c r="A34869" t="s">
        <v>0</v>
      </c>
    </row>
    <row r="34870" spans="1:1" x14ac:dyDescent="0.3">
      <c r="A34870" t="s">
        <v>0</v>
      </c>
    </row>
    <row r="34871" spans="1:1" x14ac:dyDescent="0.3">
      <c r="A34871" t="s">
        <v>0</v>
      </c>
    </row>
    <row r="34872" spans="1:1" x14ac:dyDescent="0.3">
      <c r="A34872" t="s">
        <v>0</v>
      </c>
    </row>
    <row r="34873" spans="1:1" x14ac:dyDescent="0.3">
      <c r="A34873" t="s">
        <v>0</v>
      </c>
    </row>
    <row r="34874" spans="1:1" x14ac:dyDescent="0.3">
      <c r="A34874" t="s">
        <v>0</v>
      </c>
    </row>
    <row r="34875" spans="1:1" x14ac:dyDescent="0.3">
      <c r="A34875" t="s">
        <v>0</v>
      </c>
    </row>
    <row r="34876" spans="1:1" x14ac:dyDescent="0.3">
      <c r="A34876" t="s">
        <v>0</v>
      </c>
    </row>
    <row r="34877" spans="1:1" x14ac:dyDescent="0.3">
      <c r="A34877" t="s">
        <v>0</v>
      </c>
    </row>
    <row r="34878" spans="1:1" x14ac:dyDescent="0.3">
      <c r="A34878" t="s">
        <v>0</v>
      </c>
    </row>
    <row r="34879" spans="1:1" x14ac:dyDescent="0.3">
      <c r="A34879" t="s">
        <v>0</v>
      </c>
    </row>
    <row r="34880" spans="1:1" x14ac:dyDescent="0.3">
      <c r="A34880" t="s">
        <v>0</v>
      </c>
    </row>
    <row r="34881" spans="1:1" x14ac:dyDescent="0.3">
      <c r="A34881" t="s">
        <v>0</v>
      </c>
    </row>
    <row r="34882" spans="1:1" x14ac:dyDescent="0.3">
      <c r="A34882" t="s">
        <v>0</v>
      </c>
    </row>
    <row r="34883" spans="1:1" x14ac:dyDescent="0.3">
      <c r="A34883" t="s">
        <v>0</v>
      </c>
    </row>
    <row r="34884" spans="1:1" x14ac:dyDescent="0.3">
      <c r="A34884" t="s">
        <v>0</v>
      </c>
    </row>
    <row r="34885" spans="1:1" x14ac:dyDescent="0.3">
      <c r="A34885" t="s">
        <v>0</v>
      </c>
    </row>
    <row r="34886" spans="1:1" x14ac:dyDescent="0.3">
      <c r="A34886" t="s">
        <v>0</v>
      </c>
    </row>
    <row r="34887" spans="1:1" x14ac:dyDescent="0.3">
      <c r="A34887" t="s">
        <v>0</v>
      </c>
    </row>
    <row r="34888" spans="1:1" x14ac:dyDescent="0.3">
      <c r="A34888" t="s">
        <v>0</v>
      </c>
    </row>
    <row r="34889" spans="1:1" x14ac:dyDescent="0.3">
      <c r="A34889" t="s">
        <v>0</v>
      </c>
    </row>
    <row r="34890" spans="1:1" x14ac:dyDescent="0.3">
      <c r="A34890" t="s">
        <v>0</v>
      </c>
    </row>
    <row r="34891" spans="1:1" x14ac:dyDescent="0.3">
      <c r="A34891" t="s">
        <v>0</v>
      </c>
    </row>
    <row r="34892" spans="1:1" x14ac:dyDescent="0.3">
      <c r="A34892" t="s">
        <v>0</v>
      </c>
    </row>
    <row r="34893" spans="1:1" x14ac:dyDescent="0.3">
      <c r="A34893" t="s">
        <v>0</v>
      </c>
    </row>
    <row r="34894" spans="1:1" x14ac:dyDescent="0.3">
      <c r="A34894" t="s">
        <v>0</v>
      </c>
    </row>
    <row r="34895" spans="1:1" x14ac:dyDescent="0.3">
      <c r="A34895" t="s">
        <v>0</v>
      </c>
    </row>
    <row r="34896" spans="1:1" x14ac:dyDescent="0.3">
      <c r="A34896" t="s">
        <v>0</v>
      </c>
    </row>
    <row r="34897" spans="1:1" x14ac:dyDescent="0.3">
      <c r="A34897" t="s">
        <v>0</v>
      </c>
    </row>
    <row r="34898" spans="1:1" x14ac:dyDescent="0.3">
      <c r="A34898" t="s">
        <v>0</v>
      </c>
    </row>
    <row r="34899" spans="1:1" x14ac:dyDescent="0.3">
      <c r="A34899" t="s">
        <v>0</v>
      </c>
    </row>
    <row r="34900" spans="1:1" x14ac:dyDescent="0.3">
      <c r="A34900" t="s">
        <v>0</v>
      </c>
    </row>
    <row r="34901" spans="1:1" x14ac:dyDescent="0.3">
      <c r="A34901" t="s">
        <v>0</v>
      </c>
    </row>
    <row r="34902" spans="1:1" x14ac:dyDescent="0.3">
      <c r="A34902" t="s">
        <v>0</v>
      </c>
    </row>
    <row r="34903" spans="1:1" x14ac:dyDescent="0.3">
      <c r="A34903" t="s">
        <v>0</v>
      </c>
    </row>
    <row r="34904" spans="1:1" x14ac:dyDescent="0.3">
      <c r="A34904" t="s">
        <v>0</v>
      </c>
    </row>
    <row r="34905" spans="1:1" x14ac:dyDescent="0.3">
      <c r="A34905" t="s">
        <v>0</v>
      </c>
    </row>
    <row r="34906" spans="1:1" x14ac:dyDescent="0.3">
      <c r="A34906" t="s">
        <v>0</v>
      </c>
    </row>
    <row r="34907" spans="1:1" x14ac:dyDescent="0.3">
      <c r="A34907" t="s">
        <v>0</v>
      </c>
    </row>
    <row r="34908" spans="1:1" x14ac:dyDescent="0.3">
      <c r="A34908" t="s">
        <v>0</v>
      </c>
    </row>
    <row r="34909" spans="1:1" x14ac:dyDescent="0.3">
      <c r="A34909" t="s">
        <v>0</v>
      </c>
    </row>
    <row r="34910" spans="1:1" x14ac:dyDescent="0.3">
      <c r="A34910" t="s">
        <v>0</v>
      </c>
    </row>
    <row r="34911" spans="1:1" x14ac:dyDescent="0.3">
      <c r="A34911" t="s">
        <v>0</v>
      </c>
    </row>
    <row r="34912" spans="1:1" x14ac:dyDescent="0.3">
      <c r="A34912" t="s">
        <v>0</v>
      </c>
    </row>
    <row r="34913" spans="1:1" x14ac:dyDescent="0.3">
      <c r="A34913" t="s">
        <v>0</v>
      </c>
    </row>
    <row r="34914" spans="1:1" x14ac:dyDescent="0.3">
      <c r="A34914" t="s">
        <v>0</v>
      </c>
    </row>
    <row r="34915" spans="1:1" x14ac:dyDescent="0.3">
      <c r="A34915" t="s">
        <v>0</v>
      </c>
    </row>
    <row r="34916" spans="1:1" x14ac:dyDescent="0.3">
      <c r="A34916" t="s">
        <v>0</v>
      </c>
    </row>
    <row r="34917" spans="1:1" x14ac:dyDescent="0.3">
      <c r="A34917" t="s">
        <v>0</v>
      </c>
    </row>
    <row r="34918" spans="1:1" x14ac:dyDescent="0.3">
      <c r="A34918" t="s">
        <v>0</v>
      </c>
    </row>
    <row r="34919" spans="1:1" x14ac:dyDescent="0.3">
      <c r="A34919" t="s">
        <v>0</v>
      </c>
    </row>
    <row r="34920" spans="1:1" x14ac:dyDescent="0.3">
      <c r="A34920" t="s">
        <v>0</v>
      </c>
    </row>
    <row r="34921" spans="1:1" x14ac:dyDescent="0.3">
      <c r="A34921" t="s">
        <v>0</v>
      </c>
    </row>
    <row r="34922" spans="1:1" x14ac:dyDescent="0.3">
      <c r="A34922" t="s">
        <v>0</v>
      </c>
    </row>
    <row r="34923" spans="1:1" x14ac:dyDescent="0.3">
      <c r="A34923" t="s">
        <v>0</v>
      </c>
    </row>
    <row r="34924" spans="1:1" x14ac:dyDescent="0.3">
      <c r="A34924" t="s">
        <v>0</v>
      </c>
    </row>
    <row r="34925" spans="1:1" x14ac:dyDescent="0.3">
      <c r="A34925" t="s">
        <v>0</v>
      </c>
    </row>
    <row r="34926" spans="1:1" x14ac:dyDescent="0.3">
      <c r="A34926" t="s">
        <v>0</v>
      </c>
    </row>
    <row r="34927" spans="1:1" x14ac:dyDescent="0.3">
      <c r="A34927" t="s">
        <v>0</v>
      </c>
    </row>
    <row r="34928" spans="1:1" x14ac:dyDescent="0.3">
      <c r="A34928" t="s">
        <v>0</v>
      </c>
    </row>
    <row r="34929" spans="1:1" x14ac:dyDescent="0.3">
      <c r="A34929" t="s">
        <v>0</v>
      </c>
    </row>
    <row r="34930" spans="1:1" x14ac:dyDescent="0.3">
      <c r="A34930" t="s">
        <v>0</v>
      </c>
    </row>
    <row r="34931" spans="1:1" x14ac:dyDescent="0.3">
      <c r="A34931" t="s">
        <v>0</v>
      </c>
    </row>
    <row r="34932" spans="1:1" x14ac:dyDescent="0.3">
      <c r="A34932" t="s">
        <v>0</v>
      </c>
    </row>
    <row r="34933" spans="1:1" x14ac:dyDescent="0.3">
      <c r="A34933" t="s">
        <v>0</v>
      </c>
    </row>
    <row r="34934" spans="1:1" x14ac:dyDescent="0.3">
      <c r="A34934" t="s">
        <v>0</v>
      </c>
    </row>
    <row r="34935" spans="1:1" x14ac:dyDescent="0.3">
      <c r="A34935" t="s">
        <v>0</v>
      </c>
    </row>
    <row r="34936" spans="1:1" x14ac:dyDescent="0.3">
      <c r="A34936" t="s">
        <v>0</v>
      </c>
    </row>
    <row r="34937" spans="1:1" x14ac:dyDescent="0.3">
      <c r="A34937" t="s">
        <v>0</v>
      </c>
    </row>
    <row r="34938" spans="1:1" x14ac:dyDescent="0.3">
      <c r="A34938" t="s">
        <v>0</v>
      </c>
    </row>
    <row r="34939" spans="1:1" x14ac:dyDescent="0.3">
      <c r="A34939" t="s">
        <v>0</v>
      </c>
    </row>
    <row r="34940" spans="1:1" x14ac:dyDescent="0.3">
      <c r="A34940" t="s">
        <v>0</v>
      </c>
    </row>
    <row r="34941" spans="1:1" x14ac:dyDescent="0.3">
      <c r="A34941" t="s">
        <v>0</v>
      </c>
    </row>
    <row r="34942" spans="1:1" x14ac:dyDescent="0.3">
      <c r="A34942" t="s">
        <v>0</v>
      </c>
    </row>
    <row r="34943" spans="1:1" x14ac:dyDescent="0.3">
      <c r="A34943" t="s">
        <v>0</v>
      </c>
    </row>
    <row r="34944" spans="1:1" x14ac:dyDescent="0.3">
      <c r="A34944" t="s">
        <v>0</v>
      </c>
    </row>
    <row r="34945" spans="1:1" x14ac:dyDescent="0.3">
      <c r="A34945" t="s">
        <v>0</v>
      </c>
    </row>
    <row r="34946" spans="1:1" x14ac:dyDescent="0.3">
      <c r="A34946" t="s">
        <v>0</v>
      </c>
    </row>
    <row r="34947" spans="1:1" x14ac:dyDescent="0.3">
      <c r="A34947" t="s">
        <v>0</v>
      </c>
    </row>
    <row r="34948" spans="1:1" x14ac:dyDescent="0.3">
      <c r="A34948" t="s">
        <v>0</v>
      </c>
    </row>
    <row r="34949" spans="1:1" x14ac:dyDescent="0.3">
      <c r="A34949" t="s">
        <v>0</v>
      </c>
    </row>
    <row r="34950" spans="1:1" x14ac:dyDescent="0.3">
      <c r="A34950" t="s">
        <v>0</v>
      </c>
    </row>
    <row r="34951" spans="1:1" x14ac:dyDescent="0.3">
      <c r="A34951" t="s">
        <v>0</v>
      </c>
    </row>
    <row r="34952" spans="1:1" x14ac:dyDescent="0.3">
      <c r="A34952" t="s">
        <v>0</v>
      </c>
    </row>
    <row r="34953" spans="1:1" x14ac:dyDescent="0.3">
      <c r="A34953" t="s">
        <v>0</v>
      </c>
    </row>
    <row r="34954" spans="1:1" x14ac:dyDescent="0.3">
      <c r="A34954" t="s">
        <v>0</v>
      </c>
    </row>
    <row r="34955" spans="1:1" x14ac:dyDescent="0.3">
      <c r="A34955" t="s">
        <v>0</v>
      </c>
    </row>
    <row r="34956" spans="1:1" x14ac:dyDescent="0.3">
      <c r="A34956" t="s">
        <v>0</v>
      </c>
    </row>
    <row r="34957" spans="1:1" x14ac:dyDescent="0.3">
      <c r="A34957" t="s">
        <v>0</v>
      </c>
    </row>
    <row r="34958" spans="1:1" x14ac:dyDescent="0.3">
      <c r="A34958" t="s">
        <v>0</v>
      </c>
    </row>
    <row r="34959" spans="1:1" x14ac:dyDescent="0.3">
      <c r="A34959" t="s">
        <v>0</v>
      </c>
    </row>
    <row r="34960" spans="1:1" x14ac:dyDescent="0.3">
      <c r="A34960" t="s">
        <v>0</v>
      </c>
    </row>
    <row r="34961" spans="1:1" x14ac:dyDescent="0.3">
      <c r="A34961" t="s">
        <v>0</v>
      </c>
    </row>
    <row r="34962" spans="1:1" x14ac:dyDescent="0.3">
      <c r="A34962" t="s">
        <v>0</v>
      </c>
    </row>
    <row r="34963" spans="1:1" x14ac:dyDescent="0.3">
      <c r="A34963" t="s">
        <v>0</v>
      </c>
    </row>
    <row r="34964" spans="1:1" x14ac:dyDescent="0.3">
      <c r="A34964" t="s">
        <v>0</v>
      </c>
    </row>
    <row r="34965" spans="1:1" x14ac:dyDescent="0.3">
      <c r="A34965" t="s">
        <v>0</v>
      </c>
    </row>
    <row r="34966" spans="1:1" x14ac:dyDescent="0.3">
      <c r="A34966" t="s">
        <v>0</v>
      </c>
    </row>
    <row r="34967" spans="1:1" x14ac:dyDescent="0.3">
      <c r="A34967" t="s">
        <v>0</v>
      </c>
    </row>
    <row r="34968" spans="1:1" x14ac:dyDescent="0.3">
      <c r="A34968" t="s">
        <v>0</v>
      </c>
    </row>
    <row r="34969" spans="1:1" x14ac:dyDescent="0.3">
      <c r="A34969" t="s">
        <v>0</v>
      </c>
    </row>
    <row r="34970" spans="1:1" x14ac:dyDescent="0.3">
      <c r="A34970" t="s">
        <v>0</v>
      </c>
    </row>
    <row r="34971" spans="1:1" x14ac:dyDescent="0.3">
      <c r="A34971" t="s">
        <v>0</v>
      </c>
    </row>
    <row r="34972" spans="1:1" x14ac:dyDescent="0.3">
      <c r="A34972" t="s">
        <v>0</v>
      </c>
    </row>
    <row r="34973" spans="1:1" x14ac:dyDescent="0.3">
      <c r="A34973" t="s">
        <v>0</v>
      </c>
    </row>
    <row r="34974" spans="1:1" x14ac:dyDescent="0.3">
      <c r="A34974" t="s">
        <v>0</v>
      </c>
    </row>
    <row r="34975" spans="1:1" x14ac:dyDescent="0.3">
      <c r="A34975" t="s">
        <v>0</v>
      </c>
    </row>
    <row r="34976" spans="1:1" x14ac:dyDescent="0.3">
      <c r="A34976" t="s">
        <v>0</v>
      </c>
    </row>
    <row r="34977" spans="1:1" x14ac:dyDescent="0.3">
      <c r="A34977" t="s">
        <v>0</v>
      </c>
    </row>
    <row r="34978" spans="1:1" x14ac:dyDescent="0.3">
      <c r="A34978" t="s">
        <v>0</v>
      </c>
    </row>
    <row r="34979" spans="1:1" x14ac:dyDescent="0.3">
      <c r="A34979" t="s">
        <v>0</v>
      </c>
    </row>
    <row r="34980" spans="1:1" x14ac:dyDescent="0.3">
      <c r="A34980" t="s">
        <v>0</v>
      </c>
    </row>
    <row r="34981" spans="1:1" x14ac:dyDescent="0.3">
      <c r="A34981" t="s">
        <v>0</v>
      </c>
    </row>
    <row r="34982" spans="1:1" x14ac:dyDescent="0.3">
      <c r="A34982" t="s">
        <v>0</v>
      </c>
    </row>
    <row r="34983" spans="1:1" x14ac:dyDescent="0.3">
      <c r="A34983" t="s">
        <v>0</v>
      </c>
    </row>
    <row r="34984" spans="1:1" x14ac:dyDescent="0.3">
      <c r="A34984" t="s">
        <v>0</v>
      </c>
    </row>
    <row r="34985" spans="1:1" x14ac:dyDescent="0.3">
      <c r="A34985" t="s">
        <v>0</v>
      </c>
    </row>
    <row r="34986" spans="1:1" x14ac:dyDescent="0.3">
      <c r="A34986" t="s">
        <v>0</v>
      </c>
    </row>
    <row r="34987" spans="1:1" x14ac:dyDescent="0.3">
      <c r="A34987" t="s">
        <v>0</v>
      </c>
    </row>
    <row r="34988" spans="1:1" x14ac:dyDescent="0.3">
      <c r="A34988" t="s">
        <v>0</v>
      </c>
    </row>
    <row r="34989" spans="1:1" x14ac:dyDescent="0.3">
      <c r="A34989" t="s">
        <v>0</v>
      </c>
    </row>
    <row r="34990" spans="1:1" x14ac:dyDescent="0.3">
      <c r="A34990" t="s">
        <v>0</v>
      </c>
    </row>
    <row r="34991" spans="1:1" x14ac:dyDescent="0.3">
      <c r="A34991" t="s">
        <v>0</v>
      </c>
    </row>
    <row r="34992" spans="1:1" x14ac:dyDescent="0.3">
      <c r="A34992" t="s">
        <v>0</v>
      </c>
    </row>
    <row r="34993" spans="1:1" x14ac:dyDescent="0.3">
      <c r="A34993" t="s">
        <v>0</v>
      </c>
    </row>
    <row r="34994" spans="1:1" x14ac:dyDescent="0.3">
      <c r="A34994" t="s">
        <v>0</v>
      </c>
    </row>
    <row r="34995" spans="1:1" x14ac:dyDescent="0.3">
      <c r="A34995" t="s">
        <v>0</v>
      </c>
    </row>
    <row r="34996" spans="1:1" x14ac:dyDescent="0.3">
      <c r="A34996" t="s">
        <v>0</v>
      </c>
    </row>
    <row r="34997" spans="1:1" x14ac:dyDescent="0.3">
      <c r="A34997" t="s">
        <v>0</v>
      </c>
    </row>
    <row r="34998" spans="1:1" x14ac:dyDescent="0.3">
      <c r="A34998" t="s">
        <v>0</v>
      </c>
    </row>
    <row r="34999" spans="1:1" x14ac:dyDescent="0.3">
      <c r="A34999" t="s">
        <v>0</v>
      </c>
    </row>
    <row r="35000" spans="1:1" x14ac:dyDescent="0.3">
      <c r="A35000" t="s">
        <v>0</v>
      </c>
    </row>
    <row r="35001" spans="1:1" x14ac:dyDescent="0.3">
      <c r="A35001" t="s">
        <v>0</v>
      </c>
    </row>
    <row r="35002" spans="1:1" x14ac:dyDescent="0.3">
      <c r="A35002" t="s">
        <v>0</v>
      </c>
    </row>
    <row r="35003" spans="1:1" x14ac:dyDescent="0.3">
      <c r="A35003" t="s">
        <v>0</v>
      </c>
    </row>
    <row r="35004" spans="1:1" x14ac:dyDescent="0.3">
      <c r="A35004" t="s">
        <v>0</v>
      </c>
    </row>
    <row r="35005" spans="1:1" x14ac:dyDescent="0.3">
      <c r="A35005" t="s">
        <v>0</v>
      </c>
    </row>
    <row r="35006" spans="1:1" x14ac:dyDescent="0.3">
      <c r="A35006" t="s">
        <v>0</v>
      </c>
    </row>
    <row r="35007" spans="1:1" x14ac:dyDescent="0.3">
      <c r="A35007" t="s">
        <v>0</v>
      </c>
    </row>
    <row r="35008" spans="1:1" x14ac:dyDescent="0.3">
      <c r="A35008" t="s">
        <v>0</v>
      </c>
    </row>
    <row r="35009" spans="1:1" x14ac:dyDescent="0.3">
      <c r="A35009" t="s">
        <v>0</v>
      </c>
    </row>
    <row r="35010" spans="1:1" x14ac:dyDescent="0.3">
      <c r="A35010" t="s">
        <v>0</v>
      </c>
    </row>
    <row r="35011" spans="1:1" x14ac:dyDescent="0.3">
      <c r="A35011" t="s">
        <v>0</v>
      </c>
    </row>
    <row r="35012" spans="1:1" x14ac:dyDescent="0.3">
      <c r="A35012" t="s">
        <v>0</v>
      </c>
    </row>
    <row r="35013" spans="1:1" x14ac:dyDescent="0.3">
      <c r="A35013" t="s">
        <v>0</v>
      </c>
    </row>
    <row r="35014" spans="1:1" x14ac:dyDescent="0.3">
      <c r="A35014" t="s">
        <v>0</v>
      </c>
    </row>
    <row r="35015" spans="1:1" x14ac:dyDescent="0.3">
      <c r="A35015" t="s">
        <v>0</v>
      </c>
    </row>
    <row r="35016" spans="1:1" x14ac:dyDescent="0.3">
      <c r="A35016" t="s">
        <v>0</v>
      </c>
    </row>
    <row r="35017" spans="1:1" x14ac:dyDescent="0.3">
      <c r="A35017" t="s">
        <v>0</v>
      </c>
    </row>
    <row r="35018" spans="1:1" x14ac:dyDescent="0.3">
      <c r="A35018" t="s">
        <v>0</v>
      </c>
    </row>
    <row r="35019" spans="1:1" x14ac:dyDescent="0.3">
      <c r="A35019" t="s">
        <v>0</v>
      </c>
    </row>
    <row r="35020" spans="1:1" x14ac:dyDescent="0.3">
      <c r="A35020" t="s">
        <v>0</v>
      </c>
    </row>
    <row r="35021" spans="1:1" x14ac:dyDescent="0.3">
      <c r="A35021" t="s">
        <v>0</v>
      </c>
    </row>
    <row r="35022" spans="1:1" x14ac:dyDescent="0.3">
      <c r="A35022" t="s">
        <v>0</v>
      </c>
    </row>
    <row r="35023" spans="1:1" x14ac:dyDescent="0.3">
      <c r="A35023" t="s">
        <v>0</v>
      </c>
    </row>
    <row r="35024" spans="1:1" x14ac:dyDescent="0.3">
      <c r="A35024" t="s">
        <v>0</v>
      </c>
    </row>
    <row r="35025" spans="1:1" x14ac:dyDescent="0.3">
      <c r="A35025" t="s">
        <v>0</v>
      </c>
    </row>
    <row r="35026" spans="1:1" x14ac:dyDescent="0.3">
      <c r="A35026" t="s">
        <v>0</v>
      </c>
    </row>
    <row r="35027" spans="1:1" x14ac:dyDescent="0.3">
      <c r="A35027" t="s">
        <v>0</v>
      </c>
    </row>
    <row r="35028" spans="1:1" x14ac:dyDescent="0.3">
      <c r="A35028" t="s">
        <v>0</v>
      </c>
    </row>
    <row r="35029" spans="1:1" x14ac:dyDescent="0.3">
      <c r="A35029" t="s">
        <v>0</v>
      </c>
    </row>
    <row r="35030" spans="1:1" x14ac:dyDescent="0.3">
      <c r="A35030" t="s">
        <v>0</v>
      </c>
    </row>
    <row r="35031" spans="1:1" x14ac:dyDescent="0.3">
      <c r="A35031" t="s">
        <v>0</v>
      </c>
    </row>
    <row r="35032" spans="1:1" x14ac:dyDescent="0.3">
      <c r="A35032" t="s">
        <v>0</v>
      </c>
    </row>
    <row r="35033" spans="1:1" x14ac:dyDescent="0.3">
      <c r="A35033" t="s">
        <v>0</v>
      </c>
    </row>
    <row r="35034" spans="1:1" x14ac:dyDescent="0.3">
      <c r="A35034" t="s">
        <v>0</v>
      </c>
    </row>
    <row r="35035" spans="1:1" x14ac:dyDescent="0.3">
      <c r="A35035" t="s">
        <v>0</v>
      </c>
    </row>
    <row r="35036" spans="1:1" x14ac:dyDescent="0.3">
      <c r="A35036" t="s">
        <v>0</v>
      </c>
    </row>
    <row r="35037" spans="1:1" x14ac:dyDescent="0.3">
      <c r="A35037" t="s">
        <v>0</v>
      </c>
    </row>
    <row r="35038" spans="1:1" x14ac:dyDescent="0.3">
      <c r="A35038" t="s">
        <v>0</v>
      </c>
    </row>
    <row r="35039" spans="1:1" x14ac:dyDescent="0.3">
      <c r="A35039" t="s">
        <v>0</v>
      </c>
    </row>
    <row r="35040" spans="1:1" x14ac:dyDescent="0.3">
      <c r="A35040" t="s">
        <v>0</v>
      </c>
    </row>
    <row r="35041" spans="1:1" x14ac:dyDescent="0.3">
      <c r="A35041" t="s">
        <v>0</v>
      </c>
    </row>
    <row r="35042" spans="1:1" x14ac:dyDescent="0.3">
      <c r="A35042" t="s">
        <v>0</v>
      </c>
    </row>
    <row r="35043" spans="1:1" x14ac:dyDescent="0.3">
      <c r="A35043" t="s">
        <v>0</v>
      </c>
    </row>
    <row r="35044" spans="1:1" x14ac:dyDescent="0.3">
      <c r="A35044" t="s">
        <v>0</v>
      </c>
    </row>
    <row r="35045" spans="1:1" x14ac:dyDescent="0.3">
      <c r="A35045" t="s">
        <v>0</v>
      </c>
    </row>
    <row r="35046" spans="1:1" x14ac:dyDescent="0.3">
      <c r="A35046" t="s">
        <v>0</v>
      </c>
    </row>
    <row r="35047" spans="1:1" x14ac:dyDescent="0.3">
      <c r="A35047" t="s">
        <v>0</v>
      </c>
    </row>
    <row r="35048" spans="1:1" x14ac:dyDescent="0.3">
      <c r="A35048" t="s">
        <v>0</v>
      </c>
    </row>
    <row r="35049" spans="1:1" x14ac:dyDescent="0.3">
      <c r="A35049" t="s">
        <v>0</v>
      </c>
    </row>
    <row r="35050" spans="1:1" x14ac:dyDescent="0.3">
      <c r="A35050" t="s">
        <v>0</v>
      </c>
    </row>
    <row r="35051" spans="1:1" x14ac:dyDescent="0.3">
      <c r="A35051" t="s">
        <v>0</v>
      </c>
    </row>
    <row r="35052" spans="1:1" x14ac:dyDescent="0.3">
      <c r="A35052" t="s">
        <v>0</v>
      </c>
    </row>
    <row r="35053" spans="1:1" x14ac:dyDescent="0.3">
      <c r="A35053" t="s">
        <v>0</v>
      </c>
    </row>
    <row r="35054" spans="1:1" x14ac:dyDescent="0.3">
      <c r="A35054" t="s">
        <v>0</v>
      </c>
    </row>
    <row r="35055" spans="1:1" x14ac:dyDescent="0.3">
      <c r="A35055" t="s">
        <v>0</v>
      </c>
    </row>
    <row r="35056" spans="1:1" x14ac:dyDescent="0.3">
      <c r="A35056" t="s">
        <v>0</v>
      </c>
    </row>
    <row r="35057" spans="1:1" x14ac:dyDescent="0.3">
      <c r="A35057" t="s">
        <v>0</v>
      </c>
    </row>
    <row r="35058" spans="1:1" x14ac:dyDescent="0.3">
      <c r="A35058" t="s">
        <v>0</v>
      </c>
    </row>
    <row r="35059" spans="1:1" x14ac:dyDescent="0.3">
      <c r="A35059" t="s">
        <v>0</v>
      </c>
    </row>
    <row r="35060" spans="1:1" x14ac:dyDescent="0.3">
      <c r="A35060" t="s">
        <v>0</v>
      </c>
    </row>
    <row r="35061" spans="1:1" x14ac:dyDescent="0.3">
      <c r="A35061" t="s">
        <v>0</v>
      </c>
    </row>
    <row r="35062" spans="1:1" x14ac:dyDescent="0.3">
      <c r="A35062" t="s">
        <v>0</v>
      </c>
    </row>
    <row r="35063" spans="1:1" x14ac:dyDescent="0.3">
      <c r="A35063" t="s">
        <v>0</v>
      </c>
    </row>
    <row r="35064" spans="1:1" x14ac:dyDescent="0.3">
      <c r="A35064" t="s">
        <v>0</v>
      </c>
    </row>
    <row r="35065" spans="1:1" x14ac:dyDescent="0.3">
      <c r="A35065" t="s">
        <v>0</v>
      </c>
    </row>
    <row r="35066" spans="1:1" x14ac:dyDescent="0.3">
      <c r="A35066" t="s">
        <v>0</v>
      </c>
    </row>
    <row r="35067" spans="1:1" x14ac:dyDescent="0.3">
      <c r="A35067" t="s">
        <v>0</v>
      </c>
    </row>
    <row r="35068" spans="1:1" x14ac:dyDescent="0.3">
      <c r="A35068" t="s">
        <v>0</v>
      </c>
    </row>
    <row r="35069" spans="1:1" x14ac:dyDescent="0.3">
      <c r="A35069" t="s">
        <v>0</v>
      </c>
    </row>
    <row r="35070" spans="1:1" x14ac:dyDescent="0.3">
      <c r="A35070" t="s">
        <v>0</v>
      </c>
    </row>
    <row r="35071" spans="1:1" x14ac:dyDescent="0.3">
      <c r="A35071" t="s">
        <v>0</v>
      </c>
    </row>
    <row r="35072" spans="1:1" x14ac:dyDescent="0.3">
      <c r="A35072" t="s">
        <v>0</v>
      </c>
    </row>
    <row r="35073" spans="1:1" x14ac:dyDescent="0.3">
      <c r="A35073" t="s">
        <v>0</v>
      </c>
    </row>
    <row r="35074" spans="1:1" x14ac:dyDescent="0.3">
      <c r="A35074" t="s">
        <v>0</v>
      </c>
    </row>
    <row r="35075" spans="1:1" x14ac:dyDescent="0.3">
      <c r="A35075" t="s">
        <v>0</v>
      </c>
    </row>
    <row r="35076" spans="1:1" x14ac:dyDescent="0.3">
      <c r="A35076" t="s">
        <v>0</v>
      </c>
    </row>
    <row r="35077" spans="1:1" x14ac:dyDescent="0.3">
      <c r="A35077" t="s">
        <v>0</v>
      </c>
    </row>
    <row r="35078" spans="1:1" x14ac:dyDescent="0.3">
      <c r="A35078" t="s">
        <v>0</v>
      </c>
    </row>
    <row r="35079" spans="1:1" x14ac:dyDescent="0.3">
      <c r="A35079" t="s">
        <v>0</v>
      </c>
    </row>
    <row r="35080" spans="1:1" x14ac:dyDescent="0.3">
      <c r="A35080" t="s">
        <v>0</v>
      </c>
    </row>
    <row r="35081" spans="1:1" x14ac:dyDescent="0.3">
      <c r="A35081" t="s">
        <v>0</v>
      </c>
    </row>
    <row r="35082" spans="1:1" x14ac:dyDescent="0.3">
      <c r="A35082" t="s">
        <v>0</v>
      </c>
    </row>
    <row r="35083" spans="1:1" x14ac:dyDescent="0.3">
      <c r="A35083" t="s">
        <v>0</v>
      </c>
    </row>
    <row r="35084" spans="1:1" x14ac:dyDescent="0.3">
      <c r="A35084" t="s">
        <v>0</v>
      </c>
    </row>
    <row r="35085" spans="1:1" x14ac:dyDescent="0.3">
      <c r="A35085" t="s">
        <v>0</v>
      </c>
    </row>
    <row r="35086" spans="1:1" x14ac:dyDescent="0.3">
      <c r="A35086" t="s">
        <v>0</v>
      </c>
    </row>
    <row r="35087" spans="1:1" x14ac:dyDescent="0.3">
      <c r="A35087" t="s">
        <v>0</v>
      </c>
    </row>
    <row r="35088" spans="1:1" x14ac:dyDescent="0.3">
      <c r="A35088" t="s">
        <v>0</v>
      </c>
    </row>
    <row r="35089" spans="1:1" x14ac:dyDescent="0.3">
      <c r="A35089" t="s">
        <v>0</v>
      </c>
    </row>
    <row r="35090" spans="1:1" x14ac:dyDescent="0.3">
      <c r="A35090" t="s">
        <v>0</v>
      </c>
    </row>
    <row r="35091" spans="1:1" x14ac:dyDescent="0.3">
      <c r="A35091" t="s">
        <v>0</v>
      </c>
    </row>
    <row r="35092" spans="1:1" x14ac:dyDescent="0.3">
      <c r="A35092" t="s">
        <v>0</v>
      </c>
    </row>
    <row r="35093" spans="1:1" x14ac:dyDescent="0.3">
      <c r="A35093" t="s">
        <v>0</v>
      </c>
    </row>
    <row r="35094" spans="1:1" x14ac:dyDescent="0.3">
      <c r="A35094" t="s">
        <v>0</v>
      </c>
    </row>
    <row r="35095" spans="1:1" x14ac:dyDescent="0.3">
      <c r="A35095" t="s">
        <v>0</v>
      </c>
    </row>
    <row r="35096" spans="1:1" x14ac:dyDescent="0.3">
      <c r="A35096" t="s">
        <v>0</v>
      </c>
    </row>
    <row r="35097" spans="1:1" x14ac:dyDescent="0.3">
      <c r="A35097" t="s">
        <v>0</v>
      </c>
    </row>
    <row r="35098" spans="1:1" x14ac:dyDescent="0.3">
      <c r="A35098" t="s">
        <v>0</v>
      </c>
    </row>
    <row r="35099" spans="1:1" x14ac:dyDescent="0.3">
      <c r="A35099" t="s">
        <v>0</v>
      </c>
    </row>
    <row r="35100" spans="1:1" x14ac:dyDescent="0.3">
      <c r="A35100" t="s">
        <v>0</v>
      </c>
    </row>
    <row r="35101" spans="1:1" x14ac:dyDescent="0.3">
      <c r="A35101" t="s">
        <v>0</v>
      </c>
    </row>
    <row r="35102" spans="1:1" x14ac:dyDescent="0.3">
      <c r="A35102" t="s">
        <v>0</v>
      </c>
    </row>
    <row r="35103" spans="1:1" x14ac:dyDescent="0.3">
      <c r="A35103" t="s">
        <v>0</v>
      </c>
    </row>
    <row r="35104" spans="1:1" x14ac:dyDescent="0.3">
      <c r="A35104" t="s">
        <v>0</v>
      </c>
    </row>
    <row r="35105" spans="1:1" x14ac:dyDescent="0.3">
      <c r="A35105" t="s">
        <v>0</v>
      </c>
    </row>
    <row r="35106" spans="1:1" x14ac:dyDescent="0.3">
      <c r="A35106" t="s">
        <v>0</v>
      </c>
    </row>
    <row r="35107" spans="1:1" x14ac:dyDescent="0.3">
      <c r="A35107" t="s">
        <v>0</v>
      </c>
    </row>
    <row r="35108" spans="1:1" x14ac:dyDescent="0.3">
      <c r="A35108" t="s">
        <v>0</v>
      </c>
    </row>
    <row r="35109" spans="1:1" x14ac:dyDescent="0.3">
      <c r="A35109" t="s">
        <v>0</v>
      </c>
    </row>
    <row r="35110" spans="1:1" x14ac:dyDescent="0.3">
      <c r="A35110" t="s">
        <v>0</v>
      </c>
    </row>
    <row r="35111" spans="1:1" x14ac:dyDescent="0.3">
      <c r="A35111" t="s">
        <v>0</v>
      </c>
    </row>
    <row r="35112" spans="1:1" x14ac:dyDescent="0.3">
      <c r="A35112" t="s">
        <v>0</v>
      </c>
    </row>
    <row r="35113" spans="1:1" x14ac:dyDescent="0.3">
      <c r="A35113" t="s">
        <v>0</v>
      </c>
    </row>
    <row r="35114" spans="1:1" x14ac:dyDescent="0.3">
      <c r="A35114" t="s">
        <v>0</v>
      </c>
    </row>
    <row r="35115" spans="1:1" x14ac:dyDescent="0.3">
      <c r="A35115" t="s">
        <v>0</v>
      </c>
    </row>
    <row r="35116" spans="1:1" x14ac:dyDescent="0.3">
      <c r="A35116" t="s">
        <v>0</v>
      </c>
    </row>
    <row r="35117" spans="1:1" x14ac:dyDescent="0.3">
      <c r="A35117" t="s">
        <v>0</v>
      </c>
    </row>
    <row r="35118" spans="1:1" x14ac:dyDescent="0.3">
      <c r="A35118" t="s">
        <v>0</v>
      </c>
    </row>
    <row r="35119" spans="1:1" x14ac:dyDescent="0.3">
      <c r="A35119" t="s">
        <v>0</v>
      </c>
    </row>
    <row r="35120" spans="1:1" x14ac:dyDescent="0.3">
      <c r="A35120" t="s">
        <v>0</v>
      </c>
    </row>
    <row r="35121" spans="1:1" x14ac:dyDescent="0.3">
      <c r="A35121" t="s">
        <v>0</v>
      </c>
    </row>
    <row r="35122" spans="1:1" x14ac:dyDescent="0.3">
      <c r="A35122" t="s">
        <v>0</v>
      </c>
    </row>
    <row r="35123" spans="1:1" x14ac:dyDescent="0.3">
      <c r="A35123" t="s">
        <v>0</v>
      </c>
    </row>
    <row r="35124" spans="1:1" x14ac:dyDescent="0.3">
      <c r="A35124" t="s">
        <v>0</v>
      </c>
    </row>
    <row r="35125" spans="1:1" x14ac:dyDescent="0.3">
      <c r="A35125" t="s">
        <v>0</v>
      </c>
    </row>
    <row r="35126" spans="1:1" x14ac:dyDescent="0.3">
      <c r="A35126" t="s">
        <v>0</v>
      </c>
    </row>
    <row r="35127" spans="1:1" x14ac:dyDescent="0.3">
      <c r="A35127" t="s">
        <v>0</v>
      </c>
    </row>
    <row r="35128" spans="1:1" x14ac:dyDescent="0.3">
      <c r="A35128" t="s">
        <v>0</v>
      </c>
    </row>
    <row r="35129" spans="1:1" x14ac:dyDescent="0.3">
      <c r="A35129" t="s">
        <v>0</v>
      </c>
    </row>
    <row r="35130" spans="1:1" x14ac:dyDescent="0.3">
      <c r="A35130" t="s">
        <v>0</v>
      </c>
    </row>
    <row r="35131" spans="1:1" x14ac:dyDescent="0.3">
      <c r="A35131" t="s">
        <v>0</v>
      </c>
    </row>
    <row r="35132" spans="1:1" x14ac:dyDescent="0.3">
      <c r="A35132" t="s">
        <v>0</v>
      </c>
    </row>
    <row r="35133" spans="1:1" x14ac:dyDescent="0.3">
      <c r="A35133" t="s">
        <v>0</v>
      </c>
    </row>
    <row r="35134" spans="1:1" x14ac:dyDescent="0.3">
      <c r="A35134" t="s">
        <v>0</v>
      </c>
    </row>
    <row r="35135" spans="1:1" x14ac:dyDescent="0.3">
      <c r="A35135" t="s">
        <v>0</v>
      </c>
    </row>
    <row r="35136" spans="1:1" x14ac:dyDescent="0.3">
      <c r="A35136" t="s">
        <v>0</v>
      </c>
    </row>
    <row r="35137" spans="1:1" x14ac:dyDescent="0.3">
      <c r="A35137" t="s">
        <v>0</v>
      </c>
    </row>
    <row r="35138" spans="1:1" x14ac:dyDescent="0.3">
      <c r="A35138" t="s">
        <v>0</v>
      </c>
    </row>
    <row r="35139" spans="1:1" x14ac:dyDescent="0.3">
      <c r="A35139" t="s">
        <v>0</v>
      </c>
    </row>
    <row r="35140" spans="1:1" x14ac:dyDescent="0.3">
      <c r="A35140" t="s">
        <v>0</v>
      </c>
    </row>
    <row r="35141" spans="1:1" x14ac:dyDescent="0.3">
      <c r="A35141" t="s">
        <v>0</v>
      </c>
    </row>
    <row r="35142" spans="1:1" x14ac:dyDescent="0.3">
      <c r="A35142" t="s">
        <v>0</v>
      </c>
    </row>
    <row r="35143" spans="1:1" x14ac:dyDescent="0.3">
      <c r="A35143" t="s">
        <v>0</v>
      </c>
    </row>
    <row r="35144" spans="1:1" x14ac:dyDescent="0.3">
      <c r="A35144" t="s">
        <v>0</v>
      </c>
    </row>
    <row r="35145" spans="1:1" x14ac:dyDescent="0.3">
      <c r="A35145" t="s">
        <v>0</v>
      </c>
    </row>
    <row r="35146" spans="1:1" x14ac:dyDescent="0.3">
      <c r="A35146" t="s">
        <v>0</v>
      </c>
    </row>
    <row r="35147" spans="1:1" x14ac:dyDescent="0.3">
      <c r="A35147" t="s">
        <v>0</v>
      </c>
    </row>
    <row r="35148" spans="1:1" x14ac:dyDescent="0.3">
      <c r="A35148" t="s">
        <v>0</v>
      </c>
    </row>
    <row r="35149" spans="1:1" x14ac:dyDescent="0.3">
      <c r="A35149" t="s">
        <v>0</v>
      </c>
    </row>
    <row r="35150" spans="1:1" x14ac:dyDescent="0.3">
      <c r="A35150" t="s">
        <v>0</v>
      </c>
    </row>
    <row r="35151" spans="1:1" x14ac:dyDescent="0.3">
      <c r="A35151" t="s">
        <v>0</v>
      </c>
    </row>
    <row r="35152" spans="1:1" x14ac:dyDescent="0.3">
      <c r="A35152" t="s">
        <v>0</v>
      </c>
    </row>
    <row r="35153" spans="1:1" x14ac:dyDescent="0.3">
      <c r="A35153" t="s">
        <v>0</v>
      </c>
    </row>
    <row r="35154" spans="1:1" x14ac:dyDescent="0.3">
      <c r="A35154" t="s">
        <v>0</v>
      </c>
    </row>
    <row r="35155" spans="1:1" x14ac:dyDescent="0.3">
      <c r="A35155" t="s">
        <v>0</v>
      </c>
    </row>
    <row r="35156" spans="1:1" x14ac:dyDescent="0.3">
      <c r="A35156" t="s">
        <v>0</v>
      </c>
    </row>
    <row r="35157" spans="1:1" x14ac:dyDescent="0.3">
      <c r="A35157" t="s">
        <v>0</v>
      </c>
    </row>
    <row r="35158" spans="1:1" x14ac:dyDescent="0.3">
      <c r="A35158" t="s">
        <v>0</v>
      </c>
    </row>
    <row r="35159" spans="1:1" x14ac:dyDescent="0.3">
      <c r="A35159" t="s">
        <v>0</v>
      </c>
    </row>
    <row r="35160" spans="1:1" x14ac:dyDescent="0.3">
      <c r="A35160" t="s">
        <v>0</v>
      </c>
    </row>
    <row r="35161" spans="1:1" x14ac:dyDescent="0.3">
      <c r="A35161" t="s">
        <v>0</v>
      </c>
    </row>
    <row r="35162" spans="1:1" x14ac:dyDescent="0.3">
      <c r="A35162" t="s">
        <v>0</v>
      </c>
    </row>
    <row r="35163" spans="1:1" x14ac:dyDescent="0.3">
      <c r="A35163" t="s">
        <v>0</v>
      </c>
    </row>
    <row r="35164" spans="1:1" x14ac:dyDescent="0.3">
      <c r="A35164" t="s">
        <v>0</v>
      </c>
    </row>
    <row r="35165" spans="1:1" x14ac:dyDescent="0.3">
      <c r="A35165" t="s">
        <v>0</v>
      </c>
    </row>
    <row r="35166" spans="1:1" x14ac:dyDescent="0.3">
      <c r="A35166" t="s">
        <v>0</v>
      </c>
    </row>
    <row r="35167" spans="1:1" x14ac:dyDescent="0.3">
      <c r="A35167" t="s">
        <v>0</v>
      </c>
    </row>
    <row r="35168" spans="1:1" x14ac:dyDescent="0.3">
      <c r="A35168" t="s">
        <v>0</v>
      </c>
    </row>
    <row r="35169" spans="1:1" x14ac:dyDescent="0.3">
      <c r="A35169" t="s">
        <v>0</v>
      </c>
    </row>
    <row r="35170" spans="1:1" x14ac:dyDescent="0.3">
      <c r="A35170" t="s">
        <v>0</v>
      </c>
    </row>
    <row r="35171" spans="1:1" x14ac:dyDescent="0.3">
      <c r="A35171" t="s">
        <v>0</v>
      </c>
    </row>
    <row r="35172" spans="1:1" x14ac:dyDescent="0.3">
      <c r="A35172" t="s">
        <v>0</v>
      </c>
    </row>
    <row r="35173" spans="1:1" x14ac:dyDescent="0.3">
      <c r="A35173" t="s">
        <v>0</v>
      </c>
    </row>
    <row r="35174" spans="1:1" x14ac:dyDescent="0.3">
      <c r="A35174" t="s">
        <v>0</v>
      </c>
    </row>
    <row r="35175" spans="1:1" x14ac:dyDescent="0.3">
      <c r="A35175" t="s">
        <v>0</v>
      </c>
    </row>
    <row r="35176" spans="1:1" x14ac:dyDescent="0.3">
      <c r="A35176" t="s">
        <v>0</v>
      </c>
    </row>
    <row r="35177" spans="1:1" x14ac:dyDescent="0.3">
      <c r="A35177" t="s">
        <v>0</v>
      </c>
    </row>
    <row r="35178" spans="1:1" x14ac:dyDescent="0.3">
      <c r="A35178" t="s">
        <v>0</v>
      </c>
    </row>
    <row r="35179" spans="1:1" x14ac:dyDescent="0.3">
      <c r="A35179" t="s">
        <v>0</v>
      </c>
    </row>
    <row r="35180" spans="1:1" x14ac:dyDescent="0.3">
      <c r="A35180" t="s">
        <v>0</v>
      </c>
    </row>
    <row r="35181" spans="1:1" x14ac:dyDescent="0.3">
      <c r="A35181" t="s">
        <v>0</v>
      </c>
    </row>
    <row r="35182" spans="1:1" x14ac:dyDescent="0.3">
      <c r="A35182" t="s">
        <v>0</v>
      </c>
    </row>
    <row r="35183" spans="1:1" x14ac:dyDescent="0.3">
      <c r="A35183" t="s">
        <v>0</v>
      </c>
    </row>
    <row r="35184" spans="1:1" x14ac:dyDescent="0.3">
      <c r="A35184" t="s">
        <v>0</v>
      </c>
    </row>
    <row r="35185" spans="1:1" x14ac:dyDescent="0.3">
      <c r="A35185" t="s">
        <v>0</v>
      </c>
    </row>
    <row r="35186" spans="1:1" x14ac:dyDescent="0.3">
      <c r="A35186" t="s">
        <v>0</v>
      </c>
    </row>
    <row r="35187" spans="1:1" x14ac:dyDescent="0.3">
      <c r="A35187" t="s">
        <v>0</v>
      </c>
    </row>
    <row r="35188" spans="1:1" x14ac:dyDescent="0.3">
      <c r="A35188" t="s">
        <v>0</v>
      </c>
    </row>
    <row r="35189" spans="1:1" x14ac:dyDescent="0.3">
      <c r="A35189" t="s">
        <v>0</v>
      </c>
    </row>
    <row r="35190" spans="1:1" x14ac:dyDescent="0.3">
      <c r="A35190" t="s">
        <v>0</v>
      </c>
    </row>
    <row r="35191" spans="1:1" x14ac:dyDescent="0.3">
      <c r="A35191" t="s">
        <v>0</v>
      </c>
    </row>
    <row r="35192" spans="1:1" x14ac:dyDescent="0.3">
      <c r="A35192" t="s">
        <v>0</v>
      </c>
    </row>
    <row r="35193" spans="1:1" x14ac:dyDescent="0.3">
      <c r="A35193" t="s">
        <v>0</v>
      </c>
    </row>
    <row r="35194" spans="1:1" x14ac:dyDescent="0.3">
      <c r="A35194" t="s">
        <v>0</v>
      </c>
    </row>
    <row r="35195" spans="1:1" x14ac:dyDescent="0.3">
      <c r="A35195" t="s">
        <v>0</v>
      </c>
    </row>
    <row r="35196" spans="1:1" x14ac:dyDescent="0.3">
      <c r="A35196" t="s">
        <v>0</v>
      </c>
    </row>
    <row r="35197" spans="1:1" x14ac:dyDescent="0.3">
      <c r="A35197" t="s">
        <v>0</v>
      </c>
    </row>
    <row r="35198" spans="1:1" x14ac:dyDescent="0.3">
      <c r="A35198" t="s">
        <v>0</v>
      </c>
    </row>
    <row r="35199" spans="1:1" x14ac:dyDescent="0.3">
      <c r="A35199" t="s">
        <v>0</v>
      </c>
    </row>
    <row r="35200" spans="1:1" x14ac:dyDescent="0.3">
      <c r="A35200" t="s">
        <v>0</v>
      </c>
    </row>
    <row r="35201" spans="1:1" x14ac:dyDescent="0.3">
      <c r="A35201" t="s">
        <v>0</v>
      </c>
    </row>
    <row r="35202" spans="1:1" x14ac:dyDescent="0.3">
      <c r="A35202" t="s">
        <v>0</v>
      </c>
    </row>
    <row r="35203" spans="1:1" x14ac:dyDescent="0.3">
      <c r="A35203" t="s">
        <v>0</v>
      </c>
    </row>
    <row r="35204" spans="1:1" x14ac:dyDescent="0.3">
      <c r="A35204" t="s">
        <v>0</v>
      </c>
    </row>
    <row r="35205" spans="1:1" x14ac:dyDescent="0.3">
      <c r="A35205" t="s">
        <v>0</v>
      </c>
    </row>
    <row r="35206" spans="1:1" x14ac:dyDescent="0.3">
      <c r="A35206" t="s">
        <v>0</v>
      </c>
    </row>
    <row r="35207" spans="1:1" x14ac:dyDescent="0.3">
      <c r="A35207" t="s">
        <v>0</v>
      </c>
    </row>
    <row r="35208" spans="1:1" x14ac:dyDescent="0.3">
      <c r="A35208" t="s">
        <v>0</v>
      </c>
    </row>
    <row r="35209" spans="1:1" x14ac:dyDescent="0.3">
      <c r="A35209" t="s">
        <v>0</v>
      </c>
    </row>
    <row r="35210" spans="1:1" x14ac:dyDescent="0.3">
      <c r="A35210" t="s">
        <v>0</v>
      </c>
    </row>
    <row r="35211" spans="1:1" x14ac:dyDescent="0.3">
      <c r="A35211" t="s">
        <v>0</v>
      </c>
    </row>
    <row r="35212" spans="1:1" x14ac:dyDescent="0.3">
      <c r="A35212" t="s">
        <v>0</v>
      </c>
    </row>
    <row r="35213" spans="1:1" x14ac:dyDescent="0.3">
      <c r="A35213" t="s">
        <v>0</v>
      </c>
    </row>
    <row r="35214" spans="1:1" x14ac:dyDescent="0.3">
      <c r="A35214" t="s">
        <v>0</v>
      </c>
    </row>
    <row r="35215" spans="1:1" x14ac:dyDescent="0.3">
      <c r="A35215" t="s">
        <v>0</v>
      </c>
    </row>
    <row r="35216" spans="1:1" x14ac:dyDescent="0.3">
      <c r="A35216" t="s">
        <v>0</v>
      </c>
    </row>
    <row r="35217" spans="1:1" x14ac:dyDescent="0.3">
      <c r="A35217" t="s">
        <v>0</v>
      </c>
    </row>
    <row r="35218" spans="1:1" x14ac:dyDescent="0.3">
      <c r="A35218" t="s">
        <v>0</v>
      </c>
    </row>
    <row r="35219" spans="1:1" x14ac:dyDescent="0.3">
      <c r="A35219" t="s">
        <v>0</v>
      </c>
    </row>
    <row r="35220" spans="1:1" x14ac:dyDescent="0.3">
      <c r="A35220" t="s">
        <v>0</v>
      </c>
    </row>
    <row r="35221" spans="1:1" x14ac:dyDescent="0.3">
      <c r="A35221" t="s">
        <v>0</v>
      </c>
    </row>
    <row r="35222" spans="1:1" x14ac:dyDescent="0.3">
      <c r="A35222" t="s">
        <v>0</v>
      </c>
    </row>
    <row r="35223" spans="1:1" x14ac:dyDescent="0.3">
      <c r="A35223" t="s">
        <v>0</v>
      </c>
    </row>
    <row r="35224" spans="1:1" x14ac:dyDescent="0.3">
      <c r="A35224" t="s">
        <v>0</v>
      </c>
    </row>
    <row r="35225" spans="1:1" x14ac:dyDescent="0.3">
      <c r="A35225" t="s">
        <v>0</v>
      </c>
    </row>
    <row r="35226" spans="1:1" x14ac:dyDescent="0.3">
      <c r="A35226" t="s">
        <v>0</v>
      </c>
    </row>
    <row r="35227" spans="1:1" x14ac:dyDescent="0.3">
      <c r="A35227" t="s">
        <v>0</v>
      </c>
    </row>
    <row r="35228" spans="1:1" x14ac:dyDescent="0.3">
      <c r="A35228" t="s">
        <v>0</v>
      </c>
    </row>
    <row r="35229" spans="1:1" x14ac:dyDescent="0.3">
      <c r="A35229" t="s">
        <v>0</v>
      </c>
    </row>
    <row r="35230" spans="1:1" x14ac:dyDescent="0.3">
      <c r="A35230" t="s">
        <v>0</v>
      </c>
    </row>
    <row r="35231" spans="1:1" x14ac:dyDescent="0.3">
      <c r="A35231" t="s">
        <v>0</v>
      </c>
    </row>
    <row r="35232" spans="1:1" x14ac:dyDescent="0.3">
      <c r="A35232" t="s">
        <v>0</v>
      </c>
    </row>
    <row r="35233" spans="1:1" x14ac:dyDescent="0.3">
      <c r="A35233" t="s">
        <v>0</v>
      </c>
    </row>
    <row r="35234" spans="1:1" x14ac:dyDescent="0.3">
      <c r="A35234" t="s">
        <v>0</v>
      </c>
    </row>
    <row r="35235" spans="1:1" x14ac:dyDescent="0.3">
      <c r="A35235" t="s">
        <v>0</v>
      </c>
    </row>
    <row r="35236" spans="1:1" x14ac:dyDescent="0.3">
      <c r="A35236" t="s">
        <v>0</v>
      </c>
    </row>
    <row r="35237" spans="1:1" x14ac:dyDescent="0.3">
      <c r="A35237" t="s">
        <v>0</v>
      </c>
    </row>
    <row r="35238" spans="1:1" x14ac:dyDescent="0.3">
      <c r="A35238" t="s">
        <v>0</v>
      </c>
    </row>
    <row r="35239" spans="1:1" x14ac:dyDescent="0.3">
      <c r="A35239" t="s">
        <v>0</v>
      </c>
    </row>
    <row r="35240" spans="1:1" x14ac:dyDescent="0.3">
      <c r="A35240" t="s">
        <v>0</v>
      </c>
    </row>
    <row r="35241" spans="1:1" x14ac:dyDescent="0.3">
      <c r="A35241" t="s">
        <v>0</v>
      </c>
    </row>
    <row r="35242" spans="1:1" x14ac:dyDescent="0.3">
      <c r="A35242" t="s">
        <v>0</v>
      </c>
    </row>
    <row r="35243" spans="1:1" x14ac:dyDescent="0.3">
      <c r="A35243" t="s">
        <v>0</v>
      </c>
    </row>
    <row r="35244" spans="1:1" x14ac:dyDescent="0.3">
      <c r="A35244" t="s">
        <v>0</v>
      </c>
    </row>
    <row r="35245" spans="1:1" x14ac:dyDescent="0.3">
      <c r="A35245" t="s">
        <v>0</v>
      </c>
    </row>
    <row r="35246" spans="1:1" x14ac:dyDescent="0.3">
      <c r="A35246" t="s">
        <v>0</v>
      </c>
    </row>
    <row r="35247" spans="1:1" x14ac:dyDescent="0.3">
      <c r="A35247" t="s">
        <v>0</v>
      </c>
    </row>
    <row r="35248" spans="1:1" x14ac:dyDescent="0.3">
      <c r="A35248" t="s">
        <v>0</v>
      </c>
    </row>
    <row r="35249" spans="1:1" x14ac:dyDescent="0.3">
      <c r="A35249" t="s">
        <v>0</v>
      </c>
    </row>
    <row r="35250" spans="1:1" x14ac:dyDescent="0.3">
      <c r="A35250" t="s">
        <v>0</v>
      </c>
    </row>
    <row r="35251" spans="1:1" x14ac:dyDescent="0.3">
      <c r="A35251" t="s">
        <v>0</v>
      </c>
    </row>
    <row r="35252" spans="1:1" x14ac:dyDescent="0.3">
      <c r="A35252" t="s">
        <v>0</v>
      </c>
    </row>
    <row r="35253" spans="1:1" x14ac:dyDescent="0.3">
      <c r="A35253" t="s">
        <v>0</v>
      </c>
    </row>
    <row r="35254" spans="1:1" x14ac:dyDescent="0.3">
      <c r="A35254" t="s">
        <v>0</v>
      </c>
    </row>
    <row r="35255" spans="1:1" x14ac:dyDescent="0.3">
      <c r="A35255" t="s">
        <v>0</v>
      </c>
    </row>
    <row r="35256" spans="1:1" x14ac:dyDescent="0.3">
      <c r="A35256" t="s">
        <v>0</v>
      </c>
    </row>
    <row r="35257" spans="1:1" x14ac:dyDescent="0.3">
      <c r="A35257" t="s">
        <v>0</v>
      </c>
    </row>
    <row r="35258" spans="1:1" x14ac:dyDescent="0.3">
      <c r="A35258" t="s">
        <v>0</v>
      </c>
    </row>
    <row r="35259" spans="1:1" x14ac:dyDescent="0.3">
      <c r="A35259" t="s">
        <v>0</v>
      </c>
    </row>
    <row r="35260" spans="1:1" x14ac:dyDescent="0.3">
      <c r="A35260" t="s">
        <v>0</v>
      </c>
    </row>
    <row r="35261" spans="1:1" x14ac:dyDescent="0.3">
      <c r="A35261" t="s">
        <v>0</v>
      </c>
    </row>
    <row r="35262" spans="1:1" x14ac:dyDescent="0.3">
      <c r="A35262" t="s">
        <v>0</v>
      </c>
    </row>
    <row r="35263" spans="1:1" x14ac:dyDescent="0.3">
      <c r="A35263" t="s">
        <v>0</v>
      </c>
    </row>
    <row r="35264" spans="1:1" x14ac:dyDescent="0.3">
      <c r="A35264" t="s">
        <v>0</v>
      </c>
    </row>
    <row r="35265" spans="1:1" x14ac:dyDescent="0.3">
      <c r="A35265" t="s">
        <v>0</v>
      </c>
    </row>
    <row r="35266" spans="1:1" x14ac:dyDescent="0.3">
      <c r="A35266" t="s">
        <v>0</v>
      </c>
    </row>
    <row r="35267" spans="1:1" x14ac:dyDescent="0.3">
      <c r="A35267" t="s">
        <v>0</v>
      </c>
    </row>
    <row r="35268" spans="1:1" x14ac:dyDescent="0.3">
      <c r="A35268" t="s">
        <v>0</v>
      </c>
    </row>
    <row r="35269" spans="1:1" x14ac:dyDescent="0.3">
      <c r="A35269" t="s">
        <v>0</v>
      </c>
    </row>
    <row r="35270" spans="1:1" x14ac:dyDescent="0.3">
      <c r="A35270" t="s">
        <v>0</v>
      </c>
    </row>
    <row r="35271" spans="1:1" x14ac:dyDescent="0.3">
      <c r="A35271" t="s">
        <v>0</v>
      </c>
    </row>
    <row r="35272" spans="1:1" x14ac:dyDescent="0.3">
      <c r="A35272" t="s">
        <v>0</v>
      </c>
    </row>
    <row r="35273" spans="1:1" x14ac:dyDescent="0.3">
      <c r="A35273" t="s">
        <v>0</v>
      </c>
    </row>
    <row r="35274" spans="1:1" x14ac:dyDescent="0.3">
      <c r="A35274" t="s">
        <v>0</v>
      </c>
    </row>
    <row r="35275" spans="1:1" x14ac:dyDescent="0.3">
      <c r="A35275" t="s">
        <v>0</v>
      </c>
    </row>
    <row r="35276" spans="1:1" x14ac:dyDescent="0.3">
      <c r="A35276" t="s">
        <v>0</v>
      </c>
    </row>
    <row r="35277" spans="1:1" x14ac:dyDescent="0.3">
      <c r="A35277" t="s">
        <v>0</v>
      </c>
    </row>
    <row r="35278" spans="1:1" x14ac:dyDescent="0.3">
      <c r="A35278" t="s">
        <v>0</v>
      </c>
    </row>
    <row r="35279" spans="1:1" x14ac:dyDescent="0.3">
      <c r="A35279" t="s">
        <v>0</v>
      </c>
    </row>
    <row r="35280" spans="1:1" x14ac:dyDescent="0.3">
      <c r="A35280" t="s">
        <v>0</v>
      </c>
    </row>
    <row r="35281" spans="1:1" x14ac:dyDescent="0.3">
      <c r="A35281" t="s">
        <v>0</v>
      </c>
    </row>
    <row r="35282" spans="1:1" x14ac:dyDescent="0.3">
      <c r="A35282" t="s">
        <v>0</v>
      </c>
    </row>
    <row r="35283" spans="1:1" x14ac:dyDescent="0.3">
      <c r="A35283" t="s">
        <v>0</v>
      </c>
    </row>
    <row r="35284" spans="1:1" x14ac:dyDescent="0.3">
      <c r="A35284" t="s">
        <v>0</v>
      </c>
    </row>
    <row r="35285" spans="1:1" x14ac:dyDescent="0.3">
      <c r="A35285" t="s">
        <v>0</v>
      </c>
    </row>
    <row r="35286" spans="1:1" x14ac:dyDescent="0.3">
      <c r="A35286" t="s">
        <v>0</v>
      </c>
    </row>
    <row r="35287" spans="1:1" x14ac:dyDescent="0.3">
      <c r="A35287" t="s">
        <v>0</v>
      </c>
    </row>
    <row r="35288" spans="1:1" x14ac:dyDescent="0.3">
      <c r="A35288" t="s">
        <v>0</v>
      </c>
    </row>
    <row r="35289" spans="1:1" x14ac:dyDescent="0.3">
      <c r="A35289" t="s">
        <v>0</v>
      </c>
    </row>
    <row r="35290" spans="1:1" x14ac:dyDescent="0.3">
      <c r="A35290" t="s">
        <v>0</v>
      </c>
    </row>
    <row r="35291" spans="1:1" x14ac:dyDescent="0.3">
      <c r="A35291" t="s">
        <v>0</v>
      </c>
    </row>
    <row r="35292" spans="1:1" x14ac:dyDescent="0.3">
      <c r="A35292" t="s">
        <v>0</v>
      </c>
    </row>
    <row r="35293" spans="1:1" x14ac:dyDescent="0.3">
      <c r="A35293" t="s">
        <v>0</v>
      </c>
    </row>
    <row r="35294" spans="1:1" x14ac:dyDescent="0.3">
      <c r="A35294" t="s">
        <v>0</v>
      </c>
    </row>
    <row r="35295" spans="1:1" x14ac:dyDescent="0.3">
      <c r="A35295" t="s">
        <v>0</v>
      </c>
    </row>
    <row r="35296" spans="1:1" x14ac:dyDescent="0.3">
      <c r="A35296" t="s">
        <v>0</v>
      </c>
    </row>
    <row r="35297" spans="1:1" x14ac:dyDescent="0.3">
      <c r="A35297" t="s">
        <v>0</v>
      </c>
    </row>
    <row r="35298" spans="1:1" x14ac:dyDescent="0.3">
      <c r="A35298" t="s">
        <v>0</v>
      </c>
    </row>
    <row r="35299" spans="1:1" x14ac:dyDescent="0.3">
      <c r="A35299" t="s">
        <v>0</v>
      </c>
    </row>
    <row r="35300" spans="1:1" x14ac:dyDescent="0.3">
      <c r="A35300" t="s">
        <v>0</v>
      </c>
    </row>
    <row r="35301" spans="1:1" x14ac:dyDescent="0.3">
      <c r="A35301" t="s">
        <v>0</v>
      </c>
    </row>
    <row r="35302" spans="1:1" x14ac:dyDescent="0.3">
      <c r="A35302" t="s">
        <v>0</v>
      </c>
    </row>
    <row r="35303" spans="1:1" x14ac:dyDescent="0.3">
      <c r="A35303" t="s">
        <v>0</v>
      </c>
    </row>
    <row r="35304" spans="1:1" x14ac:dyDescent="0.3">
      <c r="A35304" t="s">
        <v>0</v>
      </c>
    </row>
    <row r="35305" spans="1:1" x14ac:dyDescent="0.3">
      <c r="A35305" t="s">
        <v>0</v>
      </c>
    </row>
    <row r="35306" spans="1:1" x14ac:dyDescent="0.3">
      <c r="A35306" t="s">
        <v>0</v>
      </c>
    </row>
    <row r="35307" spans="1:1" x14ac:dyDescent="0.3">
      <c r="A35307" t="s">
        <v>0</v>
      </c>
    </row>
    <row r="35308" spans="1:1" x14ac:dyDescent="0.3">
      <c r="A35308" t="s">
        <v>0</v>
      </c>
    </row>
    <row r="35309" spans="1:1" x14ac:dyDescent="0.3">
      <c r="A35309" t="s">
        <v>0</v>
      </c>
    </row>
    <row r="35310" spans="1:1" x14ac:dyDescent="0.3">
      <c r="A35310" t="s">
        <v>0</v>
      </c>
    </row>
    <row r="35311" spans="1:1" x14ac:dyDescent="0.3">
      <c r="A35311" t="s">
        <v>0</v>
      </c>
    </row>
    <row r="35312" spans="1:1" x14ac:dyDescent="0.3">
      <c r="A35312" t="s">
        <v>0</v>
      </c>
    </row>
    <row r="35313" spans="1:1" x14ac:dyDescent="0.3">
      <c r="A35313" t="s">
        <v>0</v>
      </c>
    </row>
    <row r="35314" spans="1:1" x14ac:dyDescent="0.3">
      <c r="A35314" t="s">
        <v>0</v>
      </c>
    </row>
    <row r="35315" spans="1:1" x14ac:dyDescent="0.3">
      <c r="A35315" t="s">
        <v>0</v>
      </c>
    </row>
    <row r="35316" spans="1:1" x14ac:dyDescent="0.3">
      <c r="A35316" t="s">
        <v>0</v>
      </c>
    </row>
    <row r="35317" spans="1:1" x14ac:dyDescent="0.3">
      <c r="A35317" t="s">
        <v>0</v>
      </c>
    </row>
    <row r="35318" spans="1:1" x14ac:dyDescent="0.3">
      <c r="A35318" t="s">
        <v>0</v>
      </c>
    </row>
    <row r="35319" spans="1:1" x14ac:dyDescent="0.3">
      <c r="A35319" t="s">
        <v>0</v>
      </c>
    </row>
    <row r="35320" spans="1:1" x14ac:dyDescent="0.3">
      <c r="A35320" t="s">
        <v>0</v>
      </c>
    </row>
    <row r="35321" spans="1:1" x14ac:dyDescent="0.3">
      <c r="A35321" t="s">
        <v>0</v>
      </c>
    </row>
    <row r="35322" spans="1:1" x14ac:dyDescent="0.3">
      <c r="A35322" t="s">
        <v>0</v>
      </c>
    </row>
    <row r="35323" spans="1:1" x14ac:dyDescent="0.3">
      <c r="A35323" t="s">
        <v>0</v>
      </c>
    </row>
    <row r="35324" spans="1:1" x14ac:dyDescent="0.3">
      <c r="A35324" t="s">
        <v>0</v>
      </c>
    </row>
    <row r="35325" spans="1:1" x14ac:dyDescent="0.3">
      <c r="A35325" t="s">
        <v>0</v>
      </c>
    </row>
    <row r="35326" spans="1:1" x14ac:dyDescent="0.3">
      <c r="A35326" t="s">
        <v>0</v>
      </c>
    </row>
    <row r="35327" spans="1:1" x14ac:dyDescent="0.3">
      <c r="A35327" t="s">
        <v>0</v>
      </c>
    </row>
    <row r="35328" spans="1:1" x14ac:dyDescent="0.3">
      <c r="A35328" t="s">
        <v>0</v>
      </c>
    </row>
    <row r="35329" spans="1:1" x14ac:dyDescent="0.3">
      <c r="A35329" t="s">
        <v>0</v>
      </c>
    </row>
    <row r="35330" spans="1:1" x14ac:dyDescent="0.3">
      <c r="A35330" t="s">
        <v>0</v>
      </c>
    </row>
    <row r="35331" spans="1:1" x14ac:dyDescent="0.3">
      <c r="A35331" t="s">
        <v>0</v>
      </c>
    </row>
    <row r="35332" spans="1:1" x14ac:dyDescent="0.3">
      <c r="A35332" t="s">
        <v>0</v>
      </c>
    </row>
    <row r="35333" spans="1:1" x14ac:dyDescent="0.3">
      <c r="A35333" t="s">
        <v>0</v>
      </c>
    </row>
    <row r="35334" spans="1:1" x14ac:dyDescent="0.3">
      <c r="A35334" t="s">
        <v>0</v>
      </c>
    </row>
    <row r="35335" spans="1:1" x14ac:dyDescent="0.3">
      <c r="A35335" t="s">
        <v>0</v>
      </c>
    </row>
    <row r="35336" spans="1:1" x14ac:dyDescent="0.3">
      <c r="A35336" t="s">
        <v>0</v>
      </c>
    </row>
    <row r="35337" spans="1:1" x14ac:dyDescent="0.3">
      <c r="A35337" t="s">
        <v>0</v>
      </c>
    </row>
    <row r="35338" spans="1:1" x14ac:dyDescent="0.3">
      <c r="A35338" t="s">
        <v>0</v>
      </c>
    </row>
    <row r="35339" spans="1:1" x14ac:dyDescent="0.3">
      <c r="A35339" t="s">
        <v>0</v>
      </c>
    </row>
    <row r="35340" spans="1:1" x14ac:dyDescent="0.3">
      <c r="A35340" t="s">
        <v>0</v>
      </c>
    </row>
    <row r="35341" spans="1:1" x14ac:dyDescent="0.3">
      <c r="A35341" t="s">
        <v>0</v>
      </c>
    </row>
    <row r="35342" spans="1:1" x14ac:dyDescent="0.3">
      <c r="A35342" t="s">
        <v>0</v>
      </c>
    </row>
    <row r="35343" spans="1:1" x14ac:dyDescent="0.3">
      <c r="A35343" t="s">
        <v>0</v>
      </c>
    </row>
    <row r="35344" spans="1:1" x14ac:dyDescent="0.3">
      <c r="A35344" t="s">
        <v>0</v>
      </c>
    </row>
    <row r="35345" spans="1:1" x14ac:dyDescent="0.3">
      <c r="A35345" t="s">
        <v>0</v>
      </c>
    </row>
    <row r="35346" spans="1:1" x14ac:dyDescent="0.3">
      <c r="A35346" t="s">
        <v>0</v>
      </c>
    </row>
    <row r="35347" spans="1:1" x14ac:dyDescent="0.3">
      <c r="A35347" t="s">
        <v>0</v>
      </c>
    </row>
    <row r="35348" spans="1:1" x14ac:dyDescent="0.3">
      <c r="A35348" t="s">
        <v>0</v>
      </c>
    </row>
    <row r="35349" spans="1:1" x14ac:dyDescent="0.3">
      <c r="A35349" t="s">
        <v>0</v>
      </c>
    </row>
    <row r="35350" spans="1:1" x14ac:dyDescent="0.3">
      <c r="A35350" t="s">
        <v>0</v>
      </c>
    </row>
    <row r="35351" spans="1:1" x14ac:dyDescent="0.3">
      <c r="A35351" t="s">
        <v>0</v>
      </c>
    </row>
    <row r="35352" spans="1:1" x14ac:dyDescent="0.3">
      <c r="A35352" t="s">
        <v>0</v>
      </c>
    </row>
    <row r="35353" spans="1:1" x14ac:dyDescent="0.3">
      <c r="A35353" t="s">
        <v>0</v>
      </c>
    </row>
    <row r="35354" spans="1:1" x14ac:dyDescent="0.3">
      <c r="A35354" t="s">
        <v>0</v>
      </c>
    </row>
    <row r="35355" spans="1:1" x14ac:dyDescent="0.3">
      <c r="A35355" t="s">
        <v>0</v>
      </c>
    </row>
    <row r="35356" spans="1:1" x14ac:dyDescent="0.3">
      <c r="A35356" t="s">
        <v>0</v>
      </c>
    </row>
    <row r="35357" spans="1:1" x14ac:dyDescent="0.3">
      <c r="A35357" t="s">
        <v>0</v>
      </c>
    </row>
    <row r="35358" spans="1:1" x14ac:dyDescent="0.3">
      <c r="A35358" t="s">
        <v>0</v>
      </c>
    </row>
    <row r="35359" spans="1:1" x14ac:dyDescent="0.3">
      <c r="A35359" t="s">
        <v>0</v>
      </c>
    </row>
    <row r="35360" spans="1:1" x14ac:dyDescent="0.3">
      <c r="A35360" t="s">
        <v>0</v>
      </c>
    </row>
    <row r="35361" spans="1:1" x14ac:dyDescent="0.3">
      <c r="A35361" t="s">
        <v>0</v>
      </c>
    </row>
    <row r="35362" spans="1:1" x14ac:dyDescent="0.3">
      <c r="A35362" t="s">
        <v>0</v>
      </c>
    </row>
    <row r="35363" spans="1:1" x14ac:dyDescent="0.3">
      <c r="A35363" t="s">
        <v>0</v>
      </c>
    </row>
    <row r="35364" spans="1:1" x14ac:dyDescent="0.3">
      <c r="A35364" t="s">
        <v>0</v>
      </c>
    </row>
    <row r="35365" spans="1:1" x14ac:dyDescent="0.3">
      <c r="A35365" t="s">
        <v>0</v>
      </c>
    </row>
    <row r="35366" spans="1:1" x14ac:dyDescent="0.3">
      <c r="A35366" t="s">
        <v>0</v>
      </c>
    </row>
    <row r="35367" spans="1:1" x14ac:dyDescent="0.3">
      <c r="A35367" t="s">
        <v>0</v>
      </c>
    </row>
    <row r="35368" spans="1:1" x14ac:dyDescent="0.3">
      <c r="A35368" t="s">
        <v>0</v>
      </c>
    </row>
    <row r="35369" spans="1:1" x14ac:dyDescent="0.3">
      <c r="A35369" t="s">
        <v>0</v>
      </c>
    </row>
    <row r="35370" spans="1:1" x14ac:dyDescent="0.3">
      <c r="A35370" t="s">
        <v>0</v>
      </c>
    </row>
    <row r="35371" spans="1:1" x14ac:dyDescent="0.3">
      <c r="A35371" t="s">
        <v>0</v>
      </c>
    </row>
    <row r="35372" spans="1:1" x14ac:dyDescent="0.3">
      <c r="A35372" t="s">
        <v>0</v>
      </c>
    </row>
    <row r="35373" spans="1:1" x14ac:dyDescent="0.3">
      <c r="A35373" t="s">
        <v>0</v>
      </c>
    </row>
    <row r="35374" spans="1:1" x14ac:dyDescent="0.3">
      <c r="A35374" t="s">
        <v>0</v>
      </c>
    </row>
    <row r="35375" spans="1:1" x14ac:dyDescent="0.3">
      <c r="A35375" t="s">
        <v>0</v>
      </c>
    </row>
    <row r="35376" spans="1:1" x14ac:dyDescent="0.3">
      <c r="A35376" t="s">
        <v>0</v>
      </c>
    </row>
    <row r="35377" spans="1:1" x14ac:dyDescent="0.3">
      <c r="A35377" t="s">
        <v>0</v>
      </c>
    </row>
    <row r="35378" spans="1:1" x14ac:dyDescent="0.3">
      <c r="A35378" t="s">
        <v>0</v>
      </c>
    </row>
    <row r="35379" spans="1:1" x14ac:dyDescent="0.3">
      <c r="A35379" t="s">
        <v>0</v>
      </c>
    </row>
    <row r="35380" spans="1:1" x14ac:dyDescent="0.3">
      <c r="A35380" t="s">
        <v>0</v>
      </c>
    </row>
    <row r="35381" spans="1:1" x14ac:dyDescent="0.3">
      <c r="A35381" t="s">
        <v>0</v>
      </c>
    </row>
    <row r="35382" spans="1:1" x14ac:dyDescent="0.3">
      <c r="A35382" t="s">
        <v>0</v>
      </c>
    </row>
    <row r="35383" spans="1:1" x14ac:dyDescent="0.3">
      <c r="A35383" t="s">
        <v>0</v>
      </c>
    </row>
    <row r="35384" spans="1:1" x14ac:dyDescent="0.3">
      <c r="A35384" t="s">
        <v>0</v>
      </c>
    </row>
    <row r="35385" spans="1:1" x14ac:dyDescent="0.3">
      <c r="A35385" t="s">
        <v>0</v>
      </c>
    </row>
    <row r="35386" spans="1:1" x14ac:dyDescent="0.3">
      <c r="A35386" t="s">
        <v>0</v>
      </c>
    </row>
    <row r="35387" spans="1:1" x14ac:dyDescent="0.3">
      <c r="A35387" t="s">
        <v>0</v>
      </c>
    </row>
    <row r="35388" spans="1:1" x14ac:dyDescent="0.3">
      <c r="A35388" t="s">
        <v>0</v>
      </c>
    </row>
    <row r="35389" spans="1:1" x14ac:dyDescent="0.3">
      <c r="A35389" t="s">
        <v>0</v>
      </c>
    </row>
    <row r="35390" spans="1:1" x14ac:dyDescent="0.3">
      <c r="A35390" t="s">
        <v>0</v>
      </c>
    </row>
    <row r="35391" spans="1:1" x14ac:dyDescent="0.3">
      <c r="A35391" t="s">
        <v>0</v>
      </c>
    </row>
    <row r="35392" spans="1:1" x14ac:dyDescent="0.3">
      <c r="A35392" t="s">
        <v>0</v>
      </c>
    </row>
    <row r="35393" spans="1:1" x14ac:dyDescent="0.3">
      <c r="A35393" t="s">
        <v>0</v>
      </c>
    </row>
    <row r="35394" spans="1:1" x14ac:dyDescent="0.3">
      <c r="A35394" t="s">
        <v>0</v>
      </c>
    </row>
    <row r="35395" spans="1:1" x14ac:dyDescent="0.3">
      <c r="A35395" t="s">
        <v>0</v>
      </c>
    </row>
    <row r="35396" spans="1:1" x14ac:dyDescent="0.3">
      <c r="A35396" t="s">
        <v>0</v>
      </c>
    </row>
    <row r="35397" spans="1:1" x14ac:dyDescent="0.3">
      <c r="A35397" t="s">
        <v>0</v>
      </c>
    </row>
    <row r="35398" spans="1:1" x14ac:dyDescent="0.3">
      <c r="A35398" t="s">
        <v>0</v>
      </c>
    </row>
    <row r="35399" spans="1:1" x14ac:dyDescent="0.3">
      <c r="A35399" t="s">
        <v>0</v>
      </c>
    </row>
    <row r="35400" spans="1:1" x14ac:dyDescent="0.3">
      <c r="A35400" t="s">
        <v>0</v>
      </c>
    </row>
    <row r="35401" spans="1:1" x14ac:dyDescent="0.3">
      <c r="A35401" t="s">
        <v>0</v>
      </c>
    </row>
    <row r="35402" spans="1:1" x14ac:dyDescent="0.3">
      <c r="A35402" t="s">
        <v>0</v>
      </c>
    </row>
    <row r="35403" spans="1:1" x14ac:dyDescent="0.3">
      <c r="A35403" t="s">
        <v>0</v>
      </c>
    </row>
    <row r="35404" spans="1:1" x14ac:dyDescent="0.3">
      <c r="A35404" t="s">
        <v>0</v>
      </c>
    </row>
    <row r="35405" spans="1:1" x14ac:dyDescent="0.3">
      <c r="A35405" t="s">
        <v>0</v>
      </c>
    </row>
    <row r="35406" spans="1:1" x14ac:dyDescent="0.3">
      <c r="A35406" t="s">
        <v>0</v>
      </c>
    </row>
    <row r="35407" spans="1:1" x14ac:dyDescent="0.3">
      <c r="A35407" t="s">
        <v>0</v>
      </c>
    </row>
    <row r="35408" spans="1:1" x14ac:dyDescent="0.3">
      <c r="A35408" t="s">
        <v>0</v>
      </c>
    </row>
    <row r="35409" spans="1:1" x14ac:dyDescent="0.3">
      <c r="A35409" t="s">
        <v>0</v>
      </c>
    </row>
    <row r="35410" spans="1:1" x14ac:dyDescent="0.3">
      <c r="A35410" t="s">
        <v>0</v>
      </c>
    </row>
    <row r="35411" spans="1:1" x14ac:dyDescent="0.3">
      <c r="A35411" t="s">
        <v>0</v>
      </c>
    </row>
    <row r="35412" spans="1:1" x14ac:dyDescent="0.3">
      <c r="A35412" t="s">
        <v>0</v>
      </c>
    </row>
    <row r="35413" spans="1:1" x14ac:dyDescent="0.3">
      <c r="A35413" t="s">
        <v>0</v>
      </c>
    </row>
    <row r="35414" spans="1:1" x14ac:dyDescent="0.3">
      <c r="A35414" t="s">
        <v>0</v>
      </c>
    </row>
    <row r="35415" spans="1:1" x14ac:dyDescent="0.3">
      <c r="A35415" t="s">
        <v>0</v>
      </c>
    </row>
    <row r="35416" spans="1:1" x14ac:dyDescent="0.3">
      <c r="A35416" t="s">
        <v>0</v>
      </c>
    </row>
    <row r="35417" spans="1:1" x14ac:dyDescent="0.3">
      <c r="A35417" t="s">
        <v>0</v>
      </c>
    </row>
    <row r="35418" spans="1:1" x14ac:dyDescent="0.3">
      <c r="A35418" t="s">
        <v>0</v>
      </c>
    </row>
    <row r="35419" spans="1:1" x14ac:dyDescent="0.3">
      <c r="A35419" t="s">
        <v>0</v>
      </c>
    </row>
    <row r="35420" spans="1:1" x14ac:dyDescent="0.3">
      <c r="A35420" t="s">
        <v>0</v>
      </c>
    </row>
    <row r="35421" spans="1:1" x14ac:dyDescent="0.3">
      <c r="A35421" t="s">
        <v>0</v>
      </c>
    </row>
    <row r="35422" spans="1:1" x14ac:dyDescent="0.3">
      <c r="A35422" t="s">
        <v>0</v>
      </c>
    </row>
    <row r="35423" spans="1:1" x14ac:dyDescent="0.3">
      <c r="A35423" t="s">
        <v>0</v>
      </c>
    </row>
    <row r="35424" spans="1:1" x14ac:dyDescent="0.3">
      <c r="A35424" t="s">
        <v>0</v>
      </c>
    </row>
    <row r="35425" spans="1:1" x14ac:dyDescent="0.3">
      <c r="A35425" t="s">
        <v>0</v>
      </c>
    </row>
    <row r="35426" spans="1:1" x14ac:dyDescent="0.3">
      <c r="A35426" t="s">
        <v>0</v>
      </c>
    </row>
    <row r="35427" spans="1:1" x14ac:dyDescent="0.3">
      <c r="A35427" t="s">
        <v>0</v>
      </c>
    </row>
    <row r="35428" spans="1:1" x14ac:dyDescent="0.3">
      <c r="A35428" t="s">
        <v>0</v>
      </c>
    </row>
    <row r="35429" spans="1:1" x14ac:dyDescent="0.3">
      <c r="A35429" t="s">
        <v>0</v>
      </c>
    </row>
    <row r="35430" spans="1:1" x14ac:dyDescent="0.3">
      <c r="A35430" t="s">
        <v>0</v>
      </c>
    </row>
    <row r="35431" spans="1:1" x14ac:dyDescent="0.3">
      <c r="A35431" t="s">
        <v>0</v>
      </c>
    </row>
    <row r="35432" spans="1:1" x14ac:dyDescent="0.3">
      <c r="A35432" t="s">
        <v>0</v>
      </c>
    </row>
    <row r="35433" spans="1:1" x14ac:dyDescent="0.3">
      <c r="A35433" t="s">
        <v>0</v>
      </c>
    </row>
    <row r="35434" spans="1:1" x14ac:dyDescent="0.3">
      <c r="A35434" t="s">
        <v>0</v>
      </c>
    </row>
    <row r="35435" spans="1:1" x14ac:dyDescent="0.3">
      <c r="A35435" t="s">
        <v>0</v>
      </c>
    </row>
    <row r="35436" spans="1:1" x14ac:dyDescent="0.3">
      <c r="A35436" t="s">
        <v>0</v>
      </c>
    </row>
    <row r="35437" spans="1:1" x14ac:dyDescent="0.3">
      <c r="A35437" t="s">
        <v>0</v>
      </c>
    </row>
    <row r="35438" spans="1:1" x14ac:dyDescent="0.3">
      <c r="A35438" t="s">
        <v>0</v>
      </c>
    </row>
    <row r="35439" spans="1:1" x14ac:dyDescent="0.3">
      <c r="A35439" t="s">
        <v>0</v>
      </c>
    </row>
    <row r="35440" spans="1:1" x14ac:dyDescent="0.3">
      <c r="A35440" t="s">
        <v>0</v>
      </c>
    </row>
    <row r="35441" spans="1:1" x14ac:dyDescent="0.3">
      <c r="A35441" t="s">
        <v>0</v>
      </c>
    </row>
    <row r="35442" spans="1:1" x14ac:dyDescent="0.3">
      <c r="A35442" t="s">
        <v>0</v>
      </c>
    </row>
    <row r="35443" spans="1:1" x14ac:dyDescent="0.3">
      <c r="A35443" t="s">
        <v>0</v>
      </c>
    </row>
    <row r="35444" spans="1:1" x14ac:dyDescent="0.3">
      <c r="A35444" t="s">
        <v>0</v>
      </c>
    </row>
    <row r="35445" spans="1:1" x14ac:dyDescent="0.3">
      <c r="A35445" t="s">
        <v>0</v>
      </c>
    </row>
    <row r="35446" spans="1:1" x14ac:dyDescent="0.3">
      <c r="A35446" t="s">
        <v>0</v>
      </c>
    </row>
    <row r="35447" spans="1:1" x14ac:dyDescent="0.3">
      <c r="A35447" t="s">
        <v>0</v>
      </c>
    </row>
    <row r="35448" spans="1:1" x14ac:dyDescent="0.3">
      <c r="A35448" t="s">
        <v>0</v>
      </c>
    </row>
    <row r="35449" spans="1:1" x14ac:dyDescent="0.3">
      <c r="A35449" t="s">
        <v>0</v>
      </c>
    </row>
    <row r="35450" spans="1:1" x14ac:dyDescent="0.3">
      <c r="A35450" t="s">
        <v>0</v>
      </c>
    </row>
    <row r="35451" spans="1:1" x14ac:dyDescent="0.3">
      <c r="A35451" t="s">
        <v>0</v>
      </c>
    </row>
    <row r="35452" spans="1:1" x14ac:dyDescent="0.3">
      <c r="A35452" t="s">
        <v>0</v>
      </c>
    </row>
    <row r="35453" spans="1:1" x14ac:dyDescent="0.3">
      <c r="A35453" t="s">
        <v>0</v>
      </c>
    </row>
    <row r="35454" spans="1:1" x14ac:dyDescent="0.3">
      <c r="A35454" t="s">
        <v>0</v>
      </c>
    </row>
    <row r="35455" spans="1:1" x14ac:dyDescent="0.3">
      <c r="A35455" t="s">
        <v>0</v>
      </c>
    </row>
    <row r="35456" spans="1:1" x14ac:dyDescent="0.3">
      <c r="A35456" t="s">
        <v>0</v>
      </c>
    </row>
    <row r="35457" spans="1:1" x14ac:dyDescent="0.3">
      <c r="A35457" t="s">
        <v>0</v>
      </c>
    </row>
    <row r="35458" spans="1:1" x14ac:dyDescent="0.3">
      <c r="A35458" t="s">
        <v>0</v>
      </c>
    </row>
    <row r="35459" spans="1:1" x14ac:dyDescent="0.3">
      <c r="A35459" t="s">
        <v>0</v>
      </c>
    </row>
    <row r="35460" spans="1:1" x14ac:dyDescent="0.3">
      <c r="A35460" t="s">
        <v>0</v>
      </c>
    </row>
    <row r="35461" spans="1:1" x14ac:dyDescent="0.3">
      <c r="A35461" t="s">
        <v>0</v>
      </c>
    </row>
    <row r="35462" spans="1:1" x14ac:dyDescent="0.3">
      <c r="A35462" t="s">
        <v>0</v>
      </c>
    </row>
    <row r="35463" spans="1:1" x14ac:dyDescent="0.3">
      <c r="A35463" t="s">
        <v>0</v>
      </c>
    </row>
    <row r="35464" spans="1:1" x14ac:dyDescent="0.3">
      <c r="A35464" t="s">
        <v>0</v>
      </c>
    </row>
    <row r="35465" spans="1:1" x14ac:dyDescent="0.3">
      <c r="A35465" t="s">
        <v>0</v>
      </c>
    </row>
    <row r="35466" spans="1:1" x14ac:dyDescent="0.3">
      <c r="A35466" t="s">
        <v>0</v>
      </c>
    </row>
    <row r="35467" spans="1:1" x14ac:dyDescent="0.3">
      <c r="A35467" t="s">
        <v>0</v>
      </c>
    </row>
    <row r="35468" spans="1:1" x14ac:dyDescent="0.3">
      <c r="A35468" t="s">
        <v>0</v>
      </c>
    </row>
    <row r="35469" spans="1:1" x14ac:dyDescent="0.3">
      <c r="A35469" t="s">
        <v>0</v>
      </c>
    </row>
    <row r="35470" spans="1:1" x14ac:dyDescent="0.3">
      <c r="A35470" t="s">
        <v>0</v>
      </c>
    </row>
    <row r="35471" spans="1:1" x14ac:dyDescent="0.3">
      <c r="A35471" t="s">
        <v>0</v>
      </c>
    </row>
    <row r="35472" spans="1:1" x14ac:dyDescent="0.3">
      <c r="A35472" t="s">
        <v>0</v>
      </c>
    </row>
    <row r="35473" spans="1:1" x14ac:dyDescent="0.3">
      <c r="A35473" t="s">
        <v>0</v>
      </c>
    </row>
    <row r="35474" spans="1:1" x14ac:dyDescent="0.3">
      <c r="A35474" t="s">
        <v>0</v>
      </c>
    </row>
    <row r="35475" spans="1:1" x14ac:dyDescent="0.3">
      <c r="A35475" t="s">
        <v>0</v>
      </c>
    </row>
    <row r="35476" spans="1:1" x14ac:dyDescent="0.3">
      <c r="A35476" t="s">
        <v>0</v>
      </c>
    </row>
    <row r="35477" spans="1:1" x14ac:dyDescent="0.3">
      <c r="A35477" t="s">
        <v>0</v>
      </c>
    </row>
    <row r="35478" spans="1:1" x14ac:dyDescent="0.3">
      <c r="A35478" t="s">
        <v>0</v>
      </c>
    </row>
    <row r="35479" spans="1:1" x14ac:dyDescent="0.3">
      <c r="A35479" t="s">
        <v>0</v>
      </c>
    </row>
    <row r="35480" spans="1:1" x14ac:dyDescent="0.3">
      <c r="A35480" t="s">
        <v>0</v>
      </c>
    </row>
    <row r="35481" spans="1:1" x14ac:dyDescent="0.3">
      <c r="A35481" t="s">
        <v>0</v>
      </c>
    </row>
    <row r="35482" spans="1:1" x14ac:dyDescent="0.3">
      <c r="A35482" t="s">
        <v>0</v>
      </c>
    </row>
    <row r="35483" spans="1:1" x14ac:dyDescent="0.3">
      <c r="A35483" t="s">
        <v>0</v>
      </c>
    </row>
    <row r="35484" spans="1:1" x14ac:dyDescent="0.3">
      <c r="A35484" t="s">
        <v>0</v>
      </c>
    </row>
    <row r="35485" spans="1:1" x14ac:dyDescent="0.3">
      <c r="A35485" t="s">
        <v>0</v>
      </c>
    </row>
    <row r="35486" spans="1:1" x14ac:dyDescent="0.3">
      <c r="A35486" t="s">
        <v>0</v>
      </c>
    </row>
    <row r="35487" spans="1:1" x14ac:dyDescent="0.3">
      <c r="A35487" t="s">
        <v>0</v>
      </c>
    </row>
    <row r="35488" spans="1:1" x14ac:dyDescent="0.3">
      <c r="A35488" t="s">
        <v>0</v>
      </c>
    </row>
    <row r="35489" spans="1:1" x14ac:dyDescent="0.3">
      <c r="A35489" t="s">
        <v>0</v>
      </c>
    </row>
    <row r="35490" spans="1:1" x14ac:dyDescent="0.3">
      <c r="A35490" t="s">
        <v>0</v>
      </c>
    </row>
    <row r="35491" spans="1:1" x14ac:dyDescent="0.3">
      <c r="A35491" t="s">
        <v>0</v>
      </c>
    </row>
    <row r="35492" spans="1:1" x14ac:dyDescent="0.3">
      <c r="A35492" t="s">
        <v>0</v>
      </c>
    </row>
    <row r="35493" spans="1:1" x14ac:dyDescent="0.3">
      <c r="A35493" t="s">
        <v>0</v>
      </c>
    </row>
    <row r="35494" spans="1:1" x14ac:dyDescent="0.3">
      <c r="A35494" t="s">
        <v>0</v>
      </c>
    </row>
    <row r="35495" spans="1:1" x14ac:dyDescent="0.3">
      <c r="A35495" t="s">
        <v>0</v>
      </c>
    </row>
    <row r="35496" spans="1:1" x14ac:dyDescent="0.3">
      <c r="A35496" t="s">
        <v>0</v>
      </c>
    </row>
    <row r="35497" spans="1:1" x14ac:dyDescent="0.3">
      <c r="A35497" t="s">
        <v>0</v>
      </c>
    </row>
    <row r="35498" spans="1:1" x14ac:dyDescent="0.3">
      <c r="A35498" t="s">
        <v>0</v>
      </c>
    </row>
    <row r="35499" spans="1:1" x14ac:dyDescent="0.3">
      <c r="A35499" t="s">
        <v>0</v>
      </c>
    </row>
    <row r="35500" spans="1:1" x14ac:dyDescent="0.3">
      <c r="A35500" t="s">
        <v>0</v>
      </c>
    </row>
    <row r="35501" spans="1:1" x14ac:dyDescent="0.3">
      <c r="A35501" t="s">
        <v>0</v>
      </c>
    </row>
    <row r="35502" spans="1:1" x14ac:dyDescent="0.3">
      <c r="A35502" t="s">
        <v>0</v>
      </c>
    </row>
    <row r="35503" spans="1:1" x14ac:dyDescent="0.3">
      <c r="A35503" t="s">
        <v>0</v>
      </c>
    </row>
    <row r="35504" spans="1:1" x14ac:dyDescent="0.3">
      <c r="A35504" t="s">
        <v>0</v>
      </c>
    </row>
    <row r="35505" spans="1:1" x14ac:dyDescent="0.3">
      <c r="A35505" t="s">
        <v>0</v>
      </c>
    </row>
    <row r="35506" spans="1:1" x14ac:dyDescent="0.3">
      <c r="A35506" t="s">
        <v>0</v>
      </c>
    </row>
    <row r="35507" spans="1:1" x14ac:dyDescent="0.3">
      <c r="A35507" t="s">
        <v>0</v>
      </c>
    </row>
    <row r="35508" spans="1:1" x14ac:dyDescent="0.3">
      <c r="A35508" t="s">
        <v>0</v>
      </c>
    </row>
    <row r="35509" spans="1:1" x14ac:dyDescent="0.3">
      <c r="A35509" t="s">
        <v>0</v>
      </c>
    </row>
    <row r="35510" spans="1:1" x14ac:dyDescent="0.3">
      <c r="A35510" t="s">
        <v>0</v>
      </c>
    </row>
    <row r="35511" spans="1:1" x14ac:dyDescent="0.3">
      <c r="A35511" t="s">
        <v>0</v>
      </c>
    </row>
    <row r="35512" spans="1:1" x14ac:dyDescent="0.3">
      <c r="A35512" t="s">
        <v>0</v>
      </c>
    </row>
    <row r="35513" spans="1:1" x14ac:dyDescent="0.3">
      <c r="A35513" t="s">
        <v>0</v>
      </c>
    </row>
    <row r="35514" spans="1:1" x14ac:dyDescent="0.3">
      <c r="A35514" t="s">
        <v>0</v>
      </c>
    </row>
    <row r="35515" spans="1:1" x14ac:dyDescent="0.3">
      <c r="A35515" t="s">
        <v>0</v>
      </c>
    </row>
    <row r="35516" spans="1:1" x14ac:dyDescent="0.3">
      <c r="A35516" t="s">
        <v>0</v>
      </c>
    </row>
    <row r="35517" spans="1:1" x14ac:dyDescent="0.3">
      <c r="A35517" t="s">
        <v>0</v>
      </c>
    </row>
    <row r="35518" spans="1:1" x14ac:dyDescent="0.3">
      <c r="A35518" t="s">
        <v>0</v>
      </c>
    </row>
    <row r="35519" spans="1:1" x14ac:dyDescent="0.3">
      <c r="A35519" t="s">
        <v>0</v>
      </c>
    </row>
    <row r="35520" spans="1:1" x14ac:dyDescent="0.3">
      <c r="A35520" t="s">
        <v>0</v>
      </c>
    </row>
    <row r="35521" spans="1:1" x14ac:dyDescent="0.3">
      <c r="A35521" t="s">
        <v>0</v>
      </c>
    </row>
    <row r="35522" spans="1:1" x14ac:dyDescent="0.3">
      <c r="A35522" t="s">
        <v>0</v>
      </c>
    </row>
    <row r="35523" spans="1:1" x14ac:dyDescent="0.3">
      <c r="A35523" t="s">
        <v>0</v>
      </c>
    </row>
    <row r="35524" spans="1:1" x14ac:dyDescent="0.3">
      <c r="A35524" t="s">
        <v>0</v>
      </c>
    </row>
    <row r="35525" spans="1:1" x14ac:dyDescent="0.3">
      <c r="A35525" t="s">
        <v>0</v>
      </c>
    </row>
    <row r="35526" spans="1:1" x14ac:dyDescent="0.3">
      <c r="A35526" t="s">
        <v>0</v>
      </c>
    </row>
    <row r="35527" spans="1:1" x14ac:dyDescent="0.3">
      <c r="A35527" t="s">
        <v>0</v>
      </c>
    </row>
    <row r="35528" spans="1:1" x14ac:dyDescent="0.3">
      <c r="A35528" t="s">
        <v>0</v>
      </c>
    </row>
    <row r="35529" spans="1:1" x14ac:dyDescent="0.3">
      <c r="A35529" t="s">
        <v>0</v>
      </c>
    </row>
    <row r="35530" spans="1:1" x14ac:dyDescent="0.3">
      <c r="A35530" t="s">
        <v>0</v>
      </c>
    </row>
    <row r="35531" spans="1:1" x14ac:dyDescent="0.3">
      <c r="A35531" t="s">
        <v>0</v>
      </c>
    </row>
    <row r="35532" spans="1:1" x14ac:dyDescent="0.3">
      <c r="A35532" t="s">
        <v>0</v>
      </c>
    </row>
    <row r="35533" spans="1:1" x14ac:dyDescent="0.3">
      <c r="A35533" t="s">
        <v>0</v>
      </c>
    </row>
    <row r="35534" spans="1:1" x14ac:dyDescent="0.3">
      <c r="A35534" t="s">
        <v>0</v>
      </c>
    </row>
    <row r="35535" spans="1:1" x14ac:dyDescent="0.3">
      <c r="A35535" t="s">
        <v>0</v>
      </c>
    </row>
    <row r="35536" spans="1:1" x14ac:dyDescent="0.3">
      <c r="A35536" t="s">
        <v>0</v>
      </c>
    </row>
    <row r="35537" spans="1:1" x14ac:dyDescent="0.3">
      <c r="A35537" t="s">
        <v>0</v>
      </c>
    </row>
    <row r="35538" spans="1:1" x14ac:dyDescent="0.3">
      <c r="A35538" t="s">
        <v>0</v>
      </c>
    </row>
    <row r="35539" spans="1:1" x14ac:dyDescent="0.3">
      <c r="A35539" t="s">
        <v>0</v>
      </c>
    </row>
    <row r="35540" spans="1:1" x14ac:dyDescent="0.3">
      <c r="A35540" t="s">
        <v>0</v>
      </c>
    </row>
    <row r="35541" spans="1:1" x14ac:dyDescent="0.3">
      <c r="A35541" t="s">
        <v>0</v>
      </c>
    </row>
    <row r="35542" spans="1:1" x14ac:dyDescent="0.3">
      <c r="A35542" t="s">
        <v>0</v>
      </c>
    </row>
    <row r="35543" spans="1:1" x14ac:dyDescent="0.3">
      <c r="A35543" t="s">
        <v>0</v>
      </c>
    </row>
    <row r="35544" spans="1:1" x14ac:dyDescent="0.3">
      <c r="A35544" t="s">
        <v>0</v>
      </c>
    </row>
    <row r="35545" spans="1:1" x14ac:dyDescent="0.3">
      <c r="A35545" t="s">
        <v>0</v>
      </c>
    </row>
    <row r="35546" spans="1:1" x14ac:dyDescent="0.3">
      <c r="A35546" t="s">
        <v>0</v>
      </c>
    </row>
    <row r="35547" spans="1:1" x14ac:dyDescent="0.3">
      <c r="A35547" t="s">
        <v>0</v>
      </c>
    </row>
    <row r="35548" spans="1:1" x14ac:dyDescent="0.3">
      <c r="A35548" t="s">
        <v>0</v>
      </c>
    </row>
    <row r="35549" spans="1:1" x14ac:dyDescent="0.3">
      <c r="A35549" t="s">
        <v>0</v>
      </c>
    </row>
    <row r="35550" spans="1:1" x14ac:dyDescent="0.3">
      <c r="A35550" t="s">
        <v>0</v>
      </c>
    </row>
    <row r="35551" spans="1:1" x14ac:dyDescent="0.3">
      <c r="A35551" t="s">
        <v>0</v>
      </c>
    </row>
    <row r="35552" spans="1:1" x14ac:dyDescent="0.3">
      <c r="A35552" t="s">
        <v>0</v>
      </c>
    </row>
    <row r="35553" spans="1:1" x14ac:dyDescent="0.3">
      <c r="A35553" t="s">
        <v>0</v>
      </c>
    </row>
    <row r="35554" spans="1:1" x14ac:dyDescent="0.3">
      <c r="A35554" t="s">
        <v>0</v>
      </c>
    </row>
    <row r="35555" spans="1:1" x14ac:dyDescent="0.3">
      <c r="A35555" t="s">
        <v>0</v>
      </c>
    </row>
    <row r="35556" spans="1:1" x14ac:dyDescent="0.3">
      <c r="A35556" t="s">
        <v>0</v>
      </c>
    </row>
    <row r="35557" spans="1:1" x14ac:dyDescent="0.3">
      <c r="A35557" t="s">
        <v>0</v>
      </c>
    </row>
    <row r="35558" spans="1:1" x14ac:dyDescent="0.3">
      <c r="A35558" t="s">
        <v>0</v>
      </c>
    </row>
    <row r="35559" spans="1:1" x14ac:dyDescent="0.3">
      <c r="A35559" t="s">
        <v>0</v>
      </c>
    </row>
    <row r="35560" spans="1:1" x14ac:dyDescent="0.3">
      <c r="A35560" t="s">
        <v>0</v>
      </c>
    </row>
    <row r="35561" spans="1:1" x14ac:dyDescent="0.3">
      <c r="A35561" t="s">
        <v>0</v>
      </c>
    </row>
    <row r="35562" spans="1:1" x14ac:dyDescent="0.3">
      <c r="A35562" t="s">
        <v>0</v>
      </c>
    </row>
    <row r="35563" spans="1:1" x14ac:dyDescent="0.3">
      <c r="A35563" t="s">
        <v>0</v>
      </c>
    </row>
    <row r="35564" spans="1:1" x14ac:dyDescent="0.3">
      <c r="A35564" t="s">
        <v>0</v>
      </c>
    </row>
    <row r="35565" spans="1:1" x14ac:dyDescent="0.3">
      <c r="A35565" t="s">
        <v>0</v>
      </c>
    </row>
    <row r="35566" spans="1:1" x14ac:dyDescent="0.3">
      <c r="A35566" t="s">
        <v>0</v>
      </c>
    </row>
    <row r="35567" spans="1:1" x14ac:dyDescent="0.3">
      <c r="A35567" t="s">
        <v>0</v>
      </c>
    </row>
    <row r="35568" spans="1:1" x14ac:dyDescent="0.3">
      <c r="A35568" t="s">
        <v>0</v>
      </c>
    </row>
    <row r="35569" spans="1:1" x14ac:dyDescent="0.3">
      <c r="A35569" t="s">
        <v>0</v>
      </c>
    </row>
    <row r="35570" spans="1:1" x14ac:dyDescent="0.3">
      <c r="A35570" t="s">
        <v>0</v>
      </c>
    </row>
    <row r="35571" spans="1:1" x14ac:dyDescent="0.3">
      <c r="A35571" t="s">
        <v>0</v>
      </c>
    </row>
    <row r="35572" spans="1:1" x14ac:dyDescent="0.3">
      <c r="A35572" t="s">
        <v>0</v>
      </c>
    </row>
    <row r="35573" spans="1:1" x14ac:dyDescent="0.3">
      <c r="A35573" t="s">
        <v>0</v>
      </c>
    </row>
    <row r="35574" spans="1:1" x14ac:dyDescent="0.3">
      <c r="A35574" t="s">
        <v>0</v>
      </c>
    </row>
    <row r="35575" spans="1:1" x14ac:dyDescent="0.3">
      <c r="A35575" t="s">
        <v>0</v>
      </c>
    </row>
    <row r="35576" spans="1:1" x14ac:dyDescent="0.3">
      <c r="A35576" t="s">
        <v>0</v>
      </c>
    </row>
    <row r="35577" spans="1:1" x14ac:dyDescent="0.3">
      <c r="A35577" t="s">
        <v>0</v>
      </c>
    </row>
    <row r="35578" spans="1:1" x14ac:dyDescent="0.3">
      <c r="A35578" t="s">
        <v>0</v>
      </c>
    </row>
    <row r="35579" spans="1:1" x14ac:dyDescent="0.3">
      <c r="A35579" t="s">
        <v>0</v>
      </c>
    </row>
    <row r="35580" spans="1:1" x14ac:dyDescent="0.3">
      <c r="A35580" t="s">
        <v>0</v>
      </c>
    </row>
    <row r="35581" spans="1:1" x14ac:dyDescent="0.3">
      <c r="A35581" t="s">
        <v>0</v>
      </c>
    </row>
    <row r="35582" spans="1:1" x14ac:dyDescent="0.3">
      <c r="A35582" t="s">
        <v>0</v>
      </c>
    </row>
    <row r="35583" spans="1:1" x14ac:dyDescent="0.3">
      <c r="A35583" t="s">
        <v>0</v>
      </c>
    </row>
    <row r="35584" spans="1:1" x14ac:dyDescent="0.3">
      <c r="A35584" t="s">
        <v>0</v>
      </c>
    </row>
    <row r="35585" spans="1:1" x14ac:dyDescent="0.3">
      <c r="A35585" t="s">
        <v>0</v>
      </c>
    </row>
    <row r="35586" spans="1:1" x14ac:dyDescent="0.3">
      <c r="A35586" t="s">
        <v>0</v>
      </c>
    </row>
    <row r="35587" spans="1:1" x14ac:dyDescent="0.3">
      <c r="A35587" t="s">
        <v>0</v>
      </c>
    </row>
    <row r="35588" spans="1:1" x14ac:dyDescent="0.3">
      <c r="A35588" t="s">
        <v>0</v>
      </c>
    </row>
    <row r="35589" spans="1:1" x14ac:dyDescent="0.3">
      <c r="A35589" t="s">
        <v>0</v>
      </c>
    </row>
    <row r="35590" spans="1:1" x14ac:dyDescent="0.3">
      <c r="A35590" t="s">
        <v>0</v>
      </c>
    </row>
    <row r="35591" spans="1:1" x14ac:dyDescent="0.3">
      <c r="A35591" t="s">
        <v>0</v>
      </c>
    </row>
    <row r="35592" spans="1:1" x14ac:dyDescent="0.3">
      <c r="A35592" t="s">
        <v>0</v>
      </c>
    </row>
    <row r="35593" spans="1:1" x14ac:dyDescent="0.3">
      <c r="A35593" t="s">
        <v>0</v>
      </c>
    </row>
    <row r="35594" spans="1:1" x14ac:dyDescent="0.3">
      <c r="A35594" t="s">
        <v>0</v>
      </c>
    </row>
    <row r="35595" spans="1:1" x14ac:dyDescent="0.3">
      <c r="A35595" t="s">
        <v>0</v>
      </c>
    </row>
    <row r="35596" spans="1:1" x14ac:dyDescent="0.3">
      <c r="A35596" t="s">
        <v>0</v>
      </c>
    </row>
    <row r="35597" spans="1:1" x14ac:dyDescent="0.3">
      <c r="A35597" t="s">
        <v>0</v>
      </c>
    </row>
    <row r="35598" spans="1:1" x14ac:dyDescent="0.3">
      <c r="A35598" t="s">
        <v>0</v>
      </c>
    </row>
    <row r="35599" spans="1:1" x14ac:dyDescent="0.3">
      <c r="A35599" t="s">
        <v>0</v>
      </c>
    </row>
    <row r="35600" spans="1:1" x14ac:dyDescent="0.3">
      <c r="A35600" t="s">
        <v>0</v>
      </c>
    </row>
    <row r="35601" spans="1:1" x14ac:dyDescent="0.3">
      <c r="A35601" t="s">
        <v>0</v>
      </c>
    </row>
    <row r="35602" spans="1:1" x14ac:dyDescent="0.3">
      <c r="A35602" t="s">
        <v>0</v>
      </c>
    </row>
    <row r="35603" spans="1:1" x14ac:dyDescent="0.3">
      <c r="A35603" t="s">
        <v>0</v>
      </c>
    </row>
    <row r="35604" spans="1:1" x14ac:dyDescent="0.3">
      <c r="A35604" t="s">
        <v>0</v>
      </c>
    </row>
    <row r="35605" spans="1:1" x14ac:dyDescent="0.3">
      <c r="A35605" t="s">
        <v>0</v>
      </c>
    </row>
    <row r="35606" spans="1:1" x14ac:dyDescent="0.3">
      <c r="A35606" t="s">
        <v>0</v>
      </c>
    </row>
    <row r="35607" spans="1:1" x14ac:dyDescent="0.3">
      <c r="A35607" t="s">
        <v>0</v>
      </c>
    </row>
    <row r="35608" spans="1:1" x14ac:dyDescent="0.3">
      <c r="A35608" t="s">
        <v>0</v>
      </c>
    </row>
    <row r="35609" spans="1:1" x14ac:dyDescent="0.3">
      <c r="A35609" t="s">
        <v>0</v>
      </c>
    </row>
    <row r="35610" spans="1:1" x14ac:dyDescent="0.3">
      <c r="A35610" t="s">
        <v>0</v>
      </c>
    </row>
    <row r="35611" spans="1:1" x14ac:dyDescent="0.3">
      <c r="A35611" t="s">
        <v>0</v>
      </c>
    </row>
    <row r="35612" spans="1:1" x14ac:dyDescent="0.3">
      <c r="A35612" t="s">
        <v>0</v>
      </c>
    </row>
    <row r="35613" spans="1:1" x14ac:dyDescent="0.3">
      <c r="A35613" t="s">
        <v>0</v>
      </c>
    </row>
    <row r="35614" spans="1:1" x14ac:dyDescent="0.3">
      <c r="A35614" t="s">
        <v>0</v>
      </c>
    </row>
    <row r="35615" spans="1:1" x14ac:dyDescent="0.3">
      <c r="A35615" t="s">
        <v>0</v>
      </c>
    </row>
    <row r="35616" spans="1:1" x14ac:dyDescent="0.3">
      <c r="A35616" t="s">
        <v>0</v>
      </c>
    </row>
    <row r="35617" spans="1:1" x14ac:dyDescent="0.3">
      <c r="A35617" t="s">
        <v>0</v>
      </c>
    </row>
    <row r="35618" spans="1:1" x14ac:dyDescent="0.3">
      <c r="A35618" t="s">
        <v>0</v>
      </c>
    </row>
    <row r="35619" spans="1:1" x14ac:dyDescent="0.3">
      <c r="A35619" t="s">
        <v>0</v>
      </c>
    </row>
    <row r="35620" spans="1:1" x14ac:dyDescent="0.3">
      <c r="A35620" t="s">
        <v>0</v>
      </c>
    </row>
    <row r="35621" spans="1:1" x14ac:dyDescent="0.3">
      <c r="A35621" t="s">
        <v>0</v>
      </c>
    </row>
    <row r="35622" spans="1:1" x14ac:dyDescent="0.3">
      <c r="A35622" t="s">
        <v>0</v>
      </c>
    </row>
    <row r="35623" spans="1:1" x14ac:dyDescent="0.3">
      <c r="A35623" t="s">
        <v>0</v>
      </c>
    </row>
    <row r="35624" spans="1:1" x14ac:dyDescent="0.3">
      <c r="A35624" t="s">
        <v>0</v>
      </c>
    </row>
    <row r="35625" spans="1:1" x14ac:dyDescent="0.3">
      <c r="A35625" t="s">
        <v>0</v>
      </c>
    </row>
    <row r="35626" spans="1:1" x14ac:dyDescent="0.3">
      <c r="A35626" t="s">
        <v>0</v>
      </c>
    </row>
    <row r="35627" spans="1:1" x14ac:dyDescent="0.3">
      <c r="A35627" t="s">
        <v>0</v>
      </c>
    </row>
    <row r="35628" spans="1:1" x14ac:dyDescent="0.3">
      <c r="A35628" t="s">
        <v>0</v>
      </c>
    </row>
    <row r="35629" spans="1:1" x14ac:dyDescent="0.3">
      <c r="A35629" t="s">
        <v>0</v>
      </c>
    </row>
    <row r="35630" spans="1:1" x14ac:dyDescent="0.3">
      <c r="A35630" t="s">
        <v>0</v>
      </c>
    </row>
    <row r="35631" spans="1:1" x14ac:dyDescent="0.3">
      <c r="A35631" t="s">
        <v>0</v>
      </c>
    </row>
    <row r="35632" spans="1:1" x14ac:dyDescent="0.3">
      <c r="A35632" t="s">
        <v>0</v>
      </c>
    </row>
    <row r="35633" spans="1:1" x14ac:dyDescent="0.3">
      <c r="A35633" t="s">
        <v>0</v>
      </c>
    </row>
    <row r="35634" spans="1:1" x14ac:dyDescent="0.3">
      <c r="A35634" t="s">
        <v>0</v>
      </c>
    </row>
    <row r="35635" spans="1:1" x14ac:dyDescent="0.3">
      <c r="A35635" t="s">
        <v>0</v>
      </c>
    </row>
    <row r="35636" spans="1:1" x14ac:dyDescent="0.3">
      <c r="A35636" t="s">
        <v>0</v>
      </c>
    </row>
    <row r="35637" spans="1:1" x14ac:dyDescent="0.3">
      <c r="A35637" t="s">
        <v>0</v>
      </c>
    </row>
    <row r="35638" spans="1:1" x14ac:dyDescent="0.3">
      <c r="A35638" t="s">
        <v>0</v>
      </c>
    </row>
    <row r="35639" spans="1:1" x14ac:dyDescent="0.3">
      <c r="A35639" t="s">
        <v>0</v>
      </c>
    </row>
    <row r="35640" spans="1:1" x14ac:dyDescent="0.3">
      <c r="A35640" t="s">
        <v>0</v>
      </c>
    </row>
    <row r="35641" spans="1:1" x14ac:dyDescent="0.3">
      <c r="A35641" t="s">
        <v>0</v>
      </c>
    </row>
    <row r="35642" spans="1:1" x14ac:dyDescent="0.3">
      <c r="A35642" t="s">
        <v>0</v>
      </c>
    </row>
    <row r="35643" spans="1:1" x14ac:dyDescent="0.3">
      <c r="A35643" t="s">
        <v>0</v>
      </c>
    </row>
    <row r="35644" spans="1:1" x14ac:dyDescent="0.3">
      <c r="A35644" t="s">
        <v>0</v>
      </c>
    </row>
    <row r="35645" spans="1:1" x14ac:dyDescent="0.3">
      <c r="A35645" t="s">
        <v>0</v>
      </c>
    </row>
    <row r="35646" spans="1:1" x14ac:dyDescent="0.3">
      <c r="A35646" t="s">
        <v>0</v>
      </c>
    </row>
    <row r="35647" spans="1:1" x14ac:dyDescent="0.3">
      <c r="A35647" t="s">
        <v>0</v>
      </c>
    </row>
    <row r="35648" spans="1:1" x14ac:dyDescent="0.3">
      <c r="A35648" t="s">
        <v>0</v>
      </c>
    </row>
    <row r="35649" spans="1:1" x14ac:dyDescent="0.3">
      <c r="A35649" t="s">
        <v>0</v>
      </c>
    </row>
    <row r="35650" spans="1:1" x14ac:dyDescent="0.3">
      <c r="A35650" t="s">
        <v>0</v>
      </c>
    </row>
    <row r="35651" spans="1:1" x14ac:dyDescent="0.3">
      <c r="A35651" t="s">
        <v>0</v>
      </c>
    </row>
    <row r="35652" spans="1:1" x14ac:dyDescent="0.3">
      <c r="A35652" t="s">
        <v>0</v>
      </c>
    </row>
    <row r="35653" spans="1:1" x14ac:dyDescent="0.3">
      <c r="A35653" t="s">
        <v>0</v>
      </c>
    </row>
    <row r="35654" spans="1:1" x14ac:dyDescent="0.3">
      <c r="A35654" t="s">
        <v>0</v>
      </c>
    </row>
    <row r="35655" spans="1:1" x14ac:dyDescent="0.3">
      <c r="A35655" t="s">
        <v>0</v>
      </c>
    </row>
    <row r="35656" spans="1:1" x14ac:dyDescent="0.3">
      <c r="A35656" t="s">
        <v>0</v>
      </c>
    </row>
    <row r="35657" spans="1:1" x14ac:dyDescent="0.3">
      <c r="A35657" t="s">
        <v>0</v>
      </c>
    </row>
    <row r="35658" spans="1:1" x14ac:dyDescent="0.3">
      <c r="A35658" t="s">
        <v>0</v>
      </c>
    </row>
    <row r="35659" spans="1:1" x14ac:dyDescent="0.3">
      <c r="A35659" t="s">
        <v>0</v>
      </c>
    </row>
    <row r="35660" spans="1:1" x14ac:dyDescent="0.3">
      <c r="A35660" t="s">
        <v>0</v>
      </c>
    </row>
    <row r="35661" spans="1:1" x14ac:dyDescent="0.3">
      <c r="A35661" t="s">
        <v>0</v>
      </c>
    </row>
    <row r="35662" spans="1:1" x14ac:dyDescent="0.3">
      <c r="A35662" t="s">
        <v>0</v>
      </c>
    </row>
    <row r="35663" spans="1:1" x14ac:dyDescent="0.3">
      <c r="A35663" t="s">
        <v>0</v>
      </c>
    </row>
    <row r="35664" spans="1:1" x14ac:dyDescent="0.3">
      <c r="A35664" t="s">
        <v>0</v>
      </c>
    </row>
    <row r="35665" spans="1:1" x14ac:dyDescent="0.3">
      <c r="A35665" t="s">
        <v>0</v>
      </c>
    </row>
    <row r="35666" spans="1:1" x14ac:dyDescent="0.3">
      <c r="A35666" t="s">
        <v>0</v>
      </c>
    </row>
    <row r="35667" spans="1:1" x14ac:dyDescent="0.3">
      <c r="A35667" t="s">
        <v>0</v>
      </c>
    </row>
    <row r="35668" spans="1:1" x14ac:dyDescent="0.3">
      <c r="A35668" t="s">
        <v>0</v>
      </c>
    </row>
    <row r="35669" spans="1:1" x14ac:dyDescent="0.3">
      <c r="A35669" t="s">
        <v>0</v>
      </c>
    </row>
    <row r="35670" spans="1:1" x14ac:dyDescent="0.3">
      <c r="A35670" t="s">
        <v>0</v>
      </c>
    </row>
    <row r="35671" spans="1:1" x14ac:dyDescent="0.3">
      <c r="A35671" t="s">
        <v>0</v>
      </c>
    </row>
    <row r="35672" spans="1:1" x14ac:dyDescent="0.3">
      <c r="A35672" t="s">
        <v>0</v>
      </c>
    </row>
    <row r="35673" spans="1:1" x14ac:dyDescent="0.3">
      <c r="A35673" t="s">
        <v>0</v>
      </c>
    </row>
    <row r="35674" spans="1:1" x14ac:dyDescent="0.3">
      <c r="A35674" t="s">
        <v>0</v>
      </c>
    </row>
    <row r="35675" spans="1:1" x14ac:dyDescent="0.3">
      <c r="A35675" t="s">
        <v>0</v>
      </c>
    </row>
    <row r="35676" spans="1:1" x14ac:dyDescent="0.3">
      <c r="A35676" t="s">
        <v>0</v>
      </c>
    </row>
    <row r="35677" spans="1:1" x14ac:dyDescent="0.3">
      <c r="A35677" t="s">
        <v>0</v>
      </c>
    </row>
    <row r="35678" spans="1:1" x14ac:dyDescent="0.3">
      <c r="A35678" t="s">
        <v>0</v>
      </c>
    </row>
    <row r="35679" spans="1:1" x14ac:dyDescent="0.3">
      <c r="A35679" t="s">
        <v>0</v>
      </c>
    </row>
    <row r="35680" spans="1:1" x14ac:dyDescent="0.3">
      <c r="A35680" t="s">
        <v>0</v>
      </c>
    </row>
    <row r="35681" spans="1:1" x14ac:dyDescent="0.3">
      <c r="A35681" t="s">
        <v>0</v>
      </c>
    </row>
    <row r="35682" spans="1:1" x14ac:dyDescent="0.3">
      <c r="A35682" t="s">
        <v>0</v>
      </c>
    </row>
    <row r="35683" spans="1:1" x14ac:dyDescent="0.3">
      <c r="A35683" t="s">
        <v>0</v>
      </c>
    </row>
    <row r="35684" spans="1:1" x14ac:dyDescent="0.3">
      <c r="A35684" t="s">
        <v>0</v>
      </c>
    </row>
    <row r="35685" spans="1:1" x14ac:dyDescent="0.3">
      <c r="A35685" t="s">
        <v>0</v>
      </c>
    </row>
    <row r="35686" spans="1:1" x14ac:dyDescent="0.3">
      <c r="A35686" t="s">
        <v>0</v>
      </c>
    </row>
    <row r="35687" spans="1:1" x14ac:dyDescent="0.3">
      <c r="A35687" t="s">
        <v>0</v>
      </c>
    </row>
    <row r="35688" spans="1:1" x14ac:dyDescent="0.3">
      <c r="A35688" t="s">
        <v>0</v>
      </c>
    </row>
    <row r="35689" spans="1:1" x14ac:dyDescent="0.3">
      <c r="A35689" t="s">
        <v>0</v>
      </c>
    </row>
    <row r="35690" spans="1:1" x14ac:dyDescent="0.3">
      <c r="A35690" t="s">
        <v>0</v>
      </c>
    </row>
    <row r="35691" spans="1:1" x14ac:dyDescent="0.3">
      <c r="A35691" t="s">
        <v>0</v>
      </c>
    </row>
    <row r="35692" spans="1:1" x14ac:dyDescent="0.3">
      <c r="A35692" t="s">
        <v>0</v>
      </c>
    </row>
    <row r="35693" spans="1:1" x14ac:dyDescent="0.3">
      <c r="A35693" t="s">
        <v>0</v>
      </c>
    </row>
    <row r="35694" spans="1:1" x14ac:dyDescent="0.3">
      <c r="A35694" t="s">
        <v>0</v>
      </c>
    </row>
    <row r="35695" spans="1:1" x14ac:dyDescent="0.3">
      <c r="A35695" t="s">
        <v>0</v>
      </c>
    </row>
    <row r="35696" spans="1:1" x14ac:dyDescent="0.3">
      <c r="A35696" t="s">
        <v>0</v>
      </c>
    </row>
    <row r="35697" spans="1:1" x14ac:dyDescent="0.3">
      <c r="A35697" t="s">
        <v>0</v>
      </c>
    </row>
    <row r="35698" spans="1:1" x14ac:dyDescent="0.3">
      <c r="A35698" t="s">
        <v>0</v>
      </c>
    </row>
    <row r="35699" spans="1:1" x14ac:dyDescent="0.3">
      <c r="A35699" t="s">
        <v>0</v>
      </c>
    </row>
    <row r="35700" spans="1:1" x14ac:dyDescent="0.3">
      <c r="A35700" t="s">
        <v>0</v>
      </c>
    </row>
    <row r="35701" spans="1:1" x14ac:dyDescent="0.3">
      <c r="A35701" t="s">
        <v>0</v>
      </c>
    </row>
    <row r="35702" spans="1:1" x14ac:dyDescent="0.3">
      <c r="A35702" t="s">
        <v>0</v>
      </c>
    </row>
    <row r="35703" spans="1:1" x14ac:dyDescent="0.3">
      <c r="A35703" t="s">
        <v>0</v>
      </c>
    </row>
    <row r="35704" spans="1:1" x14ac:dyDescent="0.3">
      <c r="A35704" t="s">
        <v>0</v>
      </c>
    </row>
    <row r="35705" spans="1:1" x14ac:dyDescent="0.3">
      <c r="A35705" t="s">
        <v>0</v>
      </c>
    </row>
    <row r="35706" spans="1:1" x14ac:dyDescent="0.3">
      <c r="A35706" t="s">
        <v>0</v>
      </c>
    </row>
    <row r="35707" spans="1:1" x14ac:dyDescent="0.3">
      <c r="A35707" t="s">
        <v>0</v>
      </c>
    </row>
    <row r="35708" spans="1:1" x14ac:dyDescent="0.3">
      <c r="A35708" t="s">
        <v>0</v>
      </c>
    </row>
    <row r="35709" spans="1:1" x14ac:dyDescent="0.3">
      <c r="A35709" t="s">
        <v>0</v>
      </c>
    </row>
    <row r="35710" spans="1:1" x14ac:dyDescent="0.3">
      <c r="A35710" t="s">
        <v>0</v>
      </c>
    </row>
    <row r="35711" spans="1:1" x14ac:dyDescent="0.3">
      <c r="A35711" t="s">
        <v>0</v>
      </c>
    </row>
    <row r="35712" spans="1:1" x14ac:dyDescent="0.3">
      <c r="A35712" t="s">
        <v>0</v>
      </c>
    </row>
    <row r="35713" spans="1:1" x14ac:dyDescent="0.3">
      <c r="A35713" t="s">
        <v>0</v>
      </c>
    </row>
    <row r="35714" spans="1:1" x14ac:dyDescent="0.3">
      <c r="A35714" t="s">
        <v>0</v>
      </c>
    </row>
    <row r="35715" spans="1:1" x14ac:dyDescent="0.3">
      <c r="A35715" t="s">
        <v>0</v>
      </c>
    </row>
    <row r="35716" spans="1:1" x14ac:dyDescent="0.3">
      <c r="A35716" t="s">
        <v>0</v>
      </c>
    </row>
    <row r="35717" spans="1:1" x14ac:dyDescent="0.3">
      <c r="A35717" t="s">
        <v>0</v>
      </c>
    </row>
    <row r="35718" spans="1:1" x14ac:dyDescent="0.3">
      <c r="A35718" t="s">
        <v>0</v>
      </c>
    </row>
    <row r="35719" spans="1:1" x14ac:dyDescent="0.3">
      <c r="A35719" t="s">
        <v>0</v>
      </c>
    </row>
    <row r="35720" spans="1:1" x14ac:dyDescent="0.3">
      <c r="A35720" t="s">
        <v>0</v>
      </c>
    </row>
    <row r="35721" spans="1:1" x14ac:dyDescent="0.3">
      <c r="A35721" t="s">
        <v>0</v>
      </c>
    </row>
    <row r="35722" spans="1:1" x14ac:dyDescent="0.3">
      <c r="A35722" t="s">
        <v>0</v>
      </c>
    </row>
    <row r="35723" spans="1:1" x14ac:dyDescent="0.3">
      <c r="A35723" t="s">
        <v>0</v>
      </c>
    </row>
    <row r="35724" spans="1:1" x14ac:dyDescent="0.3">
      <c r="A35724" t="s">
        <v>0</v>
      </c>
    </row>
    <row r="35725" spans="1:1" x14ac:dyDescent="0.3">
      <c r="A35725" t="s">
        <v>0</v>
      </c>
    </row>
    <row r="35726" spans="1:1" x14ac:dyDescent="0.3">
      <c r="A35726" t="s">
        <v>0</v>
      </c>
    </row>
    <row r="35727" spans="1:1" x14ac:dyDescent="0.3">
      <c r="A35727" t="s">
        <v>0</v>
      </c>
    </row>
    <row r="35728" spans="1:1" x14ac:dyDescent="0.3">
      <c r="A35728" t="s">
        <v>0</v>
      </c>
    </row>
    <row r="35729" spans="1:1" x14ac:dyDescent="0.3">
      <c r="A35729" t="s">
        <v>0</v>
      </c>
    </row>
    <row r="35730" spans="1:1" x14ac:dyDescent="0.3">
      <c r="A35730" t="s">
        <v>0</v>
      </c>
    </row>
    <row r="35731" spans="1:1" x14ac:dyDescent="0.3">
      <c r="A35731" t="s">
        <v>0</v>
      </c>
    </row>
    <row r="35732" spans="1:1" x14ac:dyDescent="0.3">
      <c r="A35732" t="s">
        <v>0</v>
      </c>
    </row>
    <row r="35733" spans="1:1" x14ac:dyDescent="0.3">
      <c r="A35733" t="s">
        <v>0</v>
      </c>
    </row>
    <row r="35734" spans="1:1" x14ac:dyDescent="0.3">
      <c r="A35734" t="s">
        <v>0</v>
      </c>
    </row>
    <row r="35735" spans="1:1" x14ac:dyDescent="0.3">
      <c r="A35735" t="s">
        <v>0</v>
      </c>
    </row>
    <row r="35736" spans="1:1" x14ac:dyDescent="0.3">
      <c r="A35736" t="s">
        <v>0</v>
      </c>
    </row>
    <row r="35737" spans="1:1" x14ac:dyDescent="0.3">
      <c r="A35737" t="s">
        <v>0</v>
      </c>
    </row>
    <row r="35738" spans="1:1" x14ac:dyDescent="0.3">
      <c r="A35738" t="s">
        <v>0</v>
      </c>
    </row>
    <row r="35739" spans="1:1" x14ac:dyDescent="0.3">
      <c r="A35739" t="s">
        <v>0</v>
      </c>
    </row>
    <row r="35740" spans="1:1" x14ac:dyDescent="0.3">
      <c r="A35740" t="s">
        <v>0</v>
      </c>
    </row>
    <row r="35741" spans="1:1" x14ac:dyDescent="0.3">
      <c r="A35741" t="s">
        <v>0</v>
      </c>
    </row>
    <row r="35742" spans="1:1" x14ac:dyDescent="0.3">
      <c r="A35742" t="s">
        <v>0</v>
      </c>
    </row>
    <row r="35743" spans="1:1" x14ac:dyDescent="0.3">
      <c r="A35743" t="s">
        <v>0</v>
      </c>
    </row>
    <row r="35744" spans="1:1" x14ac:dyDescent="0.3">
      <c r="A35744" t="s">
        <v>0</v>
      </c>
    </row>
    <row r="35745" spans="1:1" x14ac:dyDescent="0.3">
      <c r="A35745" t="s">
        <v>0</v>
      </c>
    </row>
    <row r="35746" spans="1:1" x14ac:dyDescent="0.3">
      <c r="A35746" t="s">
        <v>0</v>
      </c>
    </row>
    <row r="35747" spans="1:1" x14ac:dyDescent="0.3">
      <c r="A35747" t="s">
        <v>0</v>
      </c>
    </row>
    <row r="35748" spans="1:1" x14ac:dyDescent="0.3">
      <c r="A35748" t="s">
        <v>0</v>
      </c>
    </row>
    <row r="35749" spans="1:1" x14ac:dyDescent="0.3">
      <c r="A35749" t="s">
        <v>0</v>
      </c>
    </row>
    <row r="35750" spans="1:1" x14ac:dyDescent="0.3">
      <c r="A35750" t="s">
        <v>0</v>
      </c>
    </row>
    <row r="35751" spans="1:1" x14ac:dyDescent="0.3">
      <c r="A35751" t="s">
        <v>0</v>
      </c>
    </row>
    <row r="35752" spans="1:1" x14ac:dyDescent="0.3">
      <c r="A35752" t="s">
        <v>0</v>
      </c>
    </row>
    <row r="35753" spans="1:1" x14ac:dyDescent="0.3">
      <c r="A35753" t="s">
        <v>0</v>
      </c>
    </row>
    <row r="35754" spans="1:1" x14ac:dyDescent="0.3">
      <c r="A35754" t="s">
        <v>0</v>
      </c>
    </row>
    <row r="35755" spans="1:1" x14ac:dyDescent="0.3">
      <c r="A35755" t="s">
        <v>0</v>
      </c>
    </row>
    <row r="35756" spans="1:1" x14ac:dyDescent="0.3">
      <c r="A35756" t="s">
        <v>0</v>
      </c>
    </row>
    <row r="35757" spans="1:1" x14ac:dyDescent="0.3">
      <c r="A35757" t="s">
        <v>0</v>
      </c>
    </row>
    <row r="35758" spans="1:1" x14ac:dyDescent="0.3">
      <c r="A35758" t="s">
        <v>0</v>
      </c>
    </row>
    <row r="35759" spans="1:1" x14ac:dyDescent="0.3">
      <c r="A35759" t="s">
        <v>0</v>
      </c>
    </row>
    <row r="35760" spans="1:1" x14ac:dyDescent="0.3">
      <c r="A35760" t="s">
        <v>0</v>
      </c>
    </row>
    <row r="35761" spans="1:1" x14ac:dyDescent="0.3">
      <c r="A35761" t="s">
        <v>0</v>
      </c>
    </row>
    <row r="35762" spans="1:1" x14ac:dyDescent="0.3">
      <c r="A35762" t="s">
        <v>0</v>
      </c>
    </row>
    <row r="35763" spans="1:1" x14ac:dyDescent="0.3">
      <c r="A35763" t="s">
        <v>0</v>
      </c>
    </row>
    <row r="35764" spans="1:1" x14ac:dyDescent="0.3">
      <c r="A35764" t="s">
        <v>0</v>
      </c>
    </row>
    <row r="35765" spans="1:1" x14ac:dyDescent="0.3">
      <c r="A35765" t="s">
        <v>0</v>
      </c>
    </row>
    <row r="35766" spans="1:1" x14ac:dyDescent="0.3">
      <c r="A35766" t="s">
        <v>0</v>
      </c>
    </row>
    <row r="35767" spans="1:1" x14ac:dyDescent="0.3">
      <c r="A35767" t="s">
        <v>0</v>
      </c>
    </row>
    <row r="35768" spans="1:1" x14ac:dyDescent="0.3">
      <c r="A35768" t="s">
        <v>0</v>
      </c>
    </row>
    <row r="35769" spans="1:1" x14ac:dyDescent="0.3">
      <c r="A35769" t="s">
        <v>0</v>
      </c>
    </row>
    <row r="35770" spans="1:1" x14ac:dyDescent="0.3">
      <c r="A35770" t="s">
        <v>0</v>
      </c>
    </row>
    <row r="35771" spans="1:1" x14ac:dyDescent="0.3">
      <c r="A35771" t="s">
        <v>0</v>
      </c>
    </row>
    <row r="35772" spans="1:1" x14ac:dyDescent="0.3">
      <c r="A35772" t="s">
        <v>0</v>
      </c>
    </row>
    <row r="35773" spans="1:1" x14ac:dyDescent="0.3">
      <c r="A35773" t="s">
        <v>0</v>
      </c>
    </row>
    <row r="35774" spans="1:1" x14ac:dyDescent="0.3">
      <c r="A35774" t="s">
        <v>0</v>
      </c>
    </row>
    <row r="35775" spans="1:1" x14ac:dyDescent="0.3">
      <c r="A35775" t="s">
        <v>0</v>
      </c>
    </row>
    <row r="35776" spans="1:1" x14ac:dyDescent="0.3">
      <c r="A35776" t="s">
        <v>0</v>
      </c>
    </row>
    <row r="35777" spans="1:1" x14ac:dyDescent="0.3">
      <c r="A35777" t="s">
        <v>0</v>
      </c>
    </row>
    <row r="35778" spans="1:1" x14ac:dyDescent="0.3">
      <c r="A35778" t="s">
        <v>0</v>
      </c>
    </row>
    <row r="35779" spans="1:1" x14ac:dyDescent="0.3">
      <c r="A35779" t="s">
        <v>0</v>
      </c>
    </row>
    <row r="35780" spans="1:1" x14ac:dyDescent="0.3">
      <c r="A35780" t="s">
        <v>0</v>
      </c>
    </row>
    <row r="35781" spans="1:1" x14ac:dyDescent="0.3">
      <c r="A35781" t="s">
        <v>0</v>
      </c>
    </row>
    <row r="35782" spans="1:1" x14ac:dyDescent="0.3">
      <c r="A35782" t="s">
        <v>0</v>
      </c>
    </row>
    <row r="35783" spans="1:1" x14ac:dyDescent="0.3">
      <c r="A35783" t="s">
        <v>0</v>
      </c>
    </row>
    <row r="35784" spans="1:1" x14ac:dyDescent="0.3">
      <c r="A35784" t="s">
        <v>0</v>
      </c>
    </row>
    <row r="35785" spans="1:1" x14ac:dyDescent="0.3">
      <c r="A35785" t="s">
        <v>0</v>
      </c>
    </row>
    <row r="35786" spans="1:1" x14ac:dyDescent="0.3">
      <c r="A35786" t="s">
        <v>0</v>
      </c>
    </row>
    <row r="35787" spans="1:1" x14ac:dyDescent="0.3">
      <c r="A35787" t="s">
        <v>0</v>
      </c>
    </row>
    <row r="35788" spans="1:1" x14ac:dyDescent="0.3">
      <c r="A35788" t="s">
        <v>0</v>
      </c>
    </row>
    <row r="35789" spans="1:1" x14ac:dyDescent="0.3">
      <c r="A35789" t="s">
        <v>0</v>
      </c>
    </row>
    <row r="35790" spans="1:1" x14ac:dyDescent="0.3">
      <c r="A35790" t="s">
        <v>0</v>
      </c>
    </row>
    <row r="35791" spans="1:1" x14ac:dyDescent="0.3">
      <c r="A35791" t="s">
        <v>0</v>
      </c>
    </row>
    <row r="35792" spans="1:1" x14ac:dyDescent="0.3">
      <c r="A35792" t="s">
        <v>0</v>
      </c>
    </row>
    <row r="35793" spans="1:1" x14ac:dyDescent="0.3">
      <c r="A35793" t="s">
        <v>0</v>
      </c>
    </row>
    <row r="35794" spans="1:1" x14ac:dyDescent="0.3">
      <c r="A35794" t="s">
        <v>0</v>
      </c>
    </row>
    <row r="35795" spans="1:1" x14ac:dyDescent="0.3">
      <c r="A35795" t="s">
        <v>0</v>
      </c>
    </row>
    <row r="35796" spans="1:1" x14ac:dyDescent="0.3">
      <c r="A35796" t="s">
        <v>0</v>
      </c>
    </row>
    <row r="35797" spans="1:1" x14ac:dyDescent="0.3">
      <c r="A35797" t="s">
        <v>0</v>
      </c>
    </row>
    <row r="35798" spans="1:1" x14ac:dyDescent="0.3">
      <c r="A35798" t="s">
        <v>0</v>
      </c>
    </row>
    <row r="35799" spans="1:1" x14ac:dyDescent="0.3">
      <c r="A35799" t="s">
        <v>0</v>
      </c>
    </row>
    <row r="35800" spans="1:1" x14ac:dyDescent="0.3">
      <c r="A35800" t="s">
        <v>0</v>
      </c>
    </row>
    <row r="35801" spans="1:1" x14ac:dyDescent="0.3">
      <c r="A35801" t="s">
        <v>0</v>
      </c>
    </row>
    <row r="35802" spans="1:1" x14ac:dyDescent="0.3">
      <c r="A35802" t="s">
        <v>0</v>
      </c>
    </row>
    <row r="35803" spans="1:1" x14ac:dyDescent="0.3">
      <c r="A35803" t="s">
        <v>0</v>
      </c>
    </row>
    <row r="35804" spans="1:1" x14ac:dyDescent="0.3">
      <c r="A35804" t="s">
        <v>0</v>
      </c>
    </row>
    <row r="35805" spans="1:1" x14ac:dyDescent="0.3">
      <c r="A35805" t="s">
        <v>0</v>
      </c>
    </row>
    <row r="35806" spans="1:1" x14ac:dyDescent="0.3">
      <c r="A35806" t="s">
        <v>0</v>
      </c>
    </row>
    <row r="35807" spans="1:1" x14ac:dyDescent="0.3">
      <c r="A35807" t="s">
        <v>0</v>
      </c>
    </row>
    <row r="35808" spans="1:1" x14ac:dyDescent="0.3">
      <c r="A35808" t="s">
        <v>0</v>
      </c>
    </row>
    <row r="35809" spans="1:1" x14ac:dyDescent="0.3">
      <c r="A35809" t="s">
        <v>0</v>
      </c>
    </row>
    <row r="35810" spans="1:1" x14ac:dyDescent="0.3">
      <c r="A35810" t="s">
        <v>0</v>
      </c>
    </row>
    <row r="35811" spans="1:1" x14ac:dyDescent="0.3">
      <c r="A35811" t="s">
        <v>0</v>
      </c>
    </row>
    <row r="35812" spans="1:1" x14ac:dyDescent="0.3">
      <c r="A35812" t="s">
        <v>0</v>
      </c>
    </row>
    <row r="35813" spans="1:1" x14ac:dyDescent="0.3">
      <c r="A35813" t="s">
        <v>0</v>
      </c>
    </row>
    <row r="35814" spans="1:1" x14ac:dyDescent="0.3">
      <c r="A35814" t="s">
        <v>0</v>
      </c>
    </row>
    <row r="35815" spans="1:1" x14ac:dyDescent="0.3">
      <c r="A35815" t="s">
        <v>0</v>
      </c>
    </row>
    <row r="35816" spans="1:1" x14ac:dyDescent="0.3">
      <c r="A35816" t="s">
        <v>0</v>
      </c>
    </row>
    <row r="35817" spans="1:1" x14ac:dyDescent="0.3">
      <c r="A35817" t="s">
        <v>0</v>
      </c>
    </row>
    <row r="35818" spans="1:1" x14ac:dyDescent="0.3">
      <c r="A35818" t="s">
        <v>0</v>
      </c>
    </row>
    <row r="35819" spans="1:1" x14ac:dyDescent="0.3">
      <c r="A35819" t="s">
        <v>0</v>
      </c>
    </row>
    <row r="35820" spans="1:1" x14ac:dyDescent="0.3">
      <c r="A35820" t="s">
        <v>0</v>
      </c>
    </row>
    <row r="35821" spans="1:1" x14ac:dyDescent="0.3">
      <c r="A35821" t="s">
        <v>0</v>
      </c>
    </row>
    <row r="35822" spans="1:1" x14ac:dyDescent="0.3">
      <c r="A35822" t="s">
        <v>0</v>
      </c>
    </row>
    <row r="35823" spans="1:1" x14ac:dyDescent="0.3">
      <c r="A35823" t="s">
        <v>0</v>
      </c>
    </row>
    <row r="35824" spans="1:1" x14ac:dyDescent="0.3">
      <c r="A35824" t="s">
        <v>0</v>
      </c>
    </row>
    <row r="35825" spans="1:1" x14ac:dyDescent="0.3">
      <c r="A35825" t="s">
        <v>0</v>
      </c>
    </row>
    <row r="35826" spans="1:1" x14ac:dyDescent="0.3">
      <c r="A35826" t="s">
        <v>0</v>
      </c>
    </row>
    <row r="35827" spans="1:1" x14ac:dyDescent="0.3">
      <c r="A35827" t="s">
        <v>0</v>
      </c>
    </row>
    <row r="35828" spans="1:1" x14ac:dyDescent="0.3">
      <c r="A35828" t="s">
        <v>0</v>
      </c>
    </row>
    <row r="35829" spans="1:1" x14ac:dyDescent="0.3">
      <c r="A35829" t="s">
        <v>0</v>
      </c>
    </row>
    <row r="35830" spans="1:1" x14ac:dyDescent="0.3">
      <c r="A35830" t="s">
        <v>0</v>
      </c>
    </row>
    <row r="35831" spans="1:1" x14ac:dyDescent="0.3">
      <c r="A35831" t="s">
        <v>0</v>
      </c>
    </row>
    <row r="35832" spans="1:1" x14ac:dyDescent="0.3">
      <c r="A35832" t="s">
        <v>0</v>
      </c>
    </row>
    <row r="35833" spans="1:1" x14ac:dyDescent="0.3">
      <c r="A35833" t="s">
        <v>0</v>
      </c>
    </row>
    <row r="35834" spans="1:1" x14ac:dyDescent="0.3">
      <c r="A35834" t="s">
        <v>0</v>
      </c>
    </row>
    <row r="35835" spans="1:1" x14ac:dyDescent="0.3">
      <c r="A35835" t="s">
        <v>0</v>
      </c>
    </row>
    <row r="35836" spans="1:1" x14ac:dyDescent="0.3">
      <c r="A35836" t="s">
        <v>0</v>
      </c>
    </row>
    <row r="35837" spans="1:1" x14ac:dyDescent="0.3">
      <c r="A35837" t="s">
        <v>0</v>
      </c>
    </row>
    <row r="35838" spans="1:1" x14ac:dyDescent="0.3">
      <c r="A35838" t="s">
        <v>0</v>
      </c>
    </row>
    <row r="35839" spans="1:1" x14ac:dyDescent="0.3">
      <c r="A35839" t="s">
        <v>0</v>
      </c>
    </row>
    <row r="35840" spans="1:1" x14ac:dyDescent="0.3">
      <c r="A35840" t="s">
        <v>0</v>
      </c>
    </row>
    <row r="35841" spans="1:1" x14ac:dyDescent="0.3">
      <c r="A35841" t="s">
        <v>0</v>
      </c>
    </row>
    <row r="35842" spans="1:1" x14ac:dyDescent="0.3">
      <c r="A35842" t="s">
        <v>0</v>
      </c>
    </row>
    <row r="35843" spans="1:1" x14ac:dyDescent="0.3">
      <c r="A35843" t="s">
        <v>0</v>
      </c>
    </row>
    <row r="35844" spans="1:1" x14ac:dyDescent="0.3">
      <c r="A35844" t="s">
        <v>0</v>
      </c>
    </row>
    <row r="35845" spans="1:1" x14ac:dyDescent="0.3">
      <c r="A35845" t="s">
        <v>0</v>
      </c>
    </row>
    <row r="35846" spans="1:1" x14ac:dyDescent="0.3">
      <c r="A35846" t="s">
        <v>0</v>
      </c>
    </row>
    <row r="35847" spans="1:1" x14ac:dyDescent="0.3">
      <c r="A35847" t="s">
        <v>0</v>
      </c>
    </row>
    <row r="35848" spans="1:1" x14ac:dyDescent="0.3">
      <c r="A35848" t="s">
        <v>0</v>
      </c>
    </row>
    <row r="35849" spans="1:1" x14ac:dyDescent="0.3">
      <c r="A35849" t="s">
        <v>0</v>
      </c>
    </row>
    <row r="35850" spans="1:1" x14ac:dyDescent="0.3">
      <c r="A35850" t="s">
        <v>0</v>
      </c>
    </row>
    <row r="35851" spans="1:1" x14ac:dyDescent="0.3">
      <c r="A35851" t="s">
        <v>0</v>
      </c>
    </row>
    <row r="35852" spans="1:1" x14ac:dyDescent="0.3">
      <c r="A35852" t="s">
        <v>0</v>
      </c>
    </row>
    <row r="35853" spans="1:1" x14ac:dyDescent="0.3">
      <c r="A35853" t="s">
        <v>0</v>
      </c>
    </row>
    <row r="35854" spans="1:1" x14ac:dyDescent="0.3">
      <c r="A35854" t="s">
        <v>0</v>
      </c>
    </row>
    <row r="35855" spans="1:1" x14ac:dyDescent="0.3">
      <c r="A35855" t="s">
        <v>0</v>
      </c>
    </row>
    <row r="35856" spans="1:1" x14ac:dyDescent="0.3">
      <c r="A35856" t="s">
        <v>0</v>
      </c>
    </row>
    <row r="35857" spans="1:1" x14ac:dyDescent="0.3">
      <c r="A35857" t="s">
        <v>0</v>
      </c>
    </row>
    <row r="35858" spans="1:1" x14ac:dyDescent="0.3">
      <c r="A35858" t="s">
        <v>0</v>
      </c>
    </row>
    <row r="35859" spans="1:1" x14ac:dyDescent="0.3">
      <c r="A35859" t="s">
        <v>0</v>
      </c>
    </row>
    <row r="35860" spans="1:1" x14ac:dyDescent="0.3">
      <c r="A35860" t="s">
        <v>0</v>
      </c>
    </row>
    <row r="35861" spans="1:1" x14ac:dyDescent="0.3">
      <c r="A35861" t="s">
        <v>0</v>
      </c>
    </row>
    <row r="35862" spans="1:1" x14ac:dyDescent="0.3">
      <c r="A35862" t="s">
        <v>0</v>
      </c>
    </row>
    <row r="35863" spans="1:1" x14ac:dyDescent="0.3">
      <c r="A35863" t="s">
        <v>0</v>
      </c>
    </row>
    <row r="35864" spans="1:1" x14ac:dyDescent="0.3">
      <c r="A35864" t="s">
        <v>0</v>
      </c>
    </row>
    <row r="35865" spans="1:1" x14ac:dyDescent="0.3">
      <c r="A35865" t="s">
        <v>0</v>
      </c>
    </row>
    <row r="35866" spans="1:1" x14ac:dyDescent="0.3">
      <c r="A35866" t="s">
        <v>0</v>
      </c>
    </row>
    <row r="35867" spans="1:1" x14ac:dyDescent="0.3">
      <c r="A35867" t="s">
        <v>0</v>
      </c>
    </row>
    <row r="35868" spans="1:1" x14ac:dyDescent="0.3">
      <c r="A35868" t="s">
        <v>0</v>
      </c>
    </row>
    <row r="35869" spans="1:1" x14ac:dyDescent="0.3">
      <c r="A35869" t="s">
        <v>0</v>
      </c>
    </row>
    <row r="35870" spans="1:1" x14ac:dyDescent="0.3">
      <c r="A35870" t="s">
        <v>0</v>
      </c>
    </row>
    <row r="35871" spans="1:1" x14ac:dyDescent="0.3">
      <c r="A35871" t="s">
        <v>0</v>
      </c>
    </row>
    <row r="35872" spans="1:1" x14ac:dyDescent="0.3">
      <c r="A35872" t="s">
        <v>0</v>
      </c>
    </row>
    <row r="35873" spans="1:1" x14ac:dyDescent="0.3">
      <c r="A35873" t="s">
        <v>0</v>
      </c>
    </row>
    <row r="35874" spans="1:1" x14ac:dyDescent="0.3">
      <c r="A35874" t="s">
        <v>0</v>
      </c>
    </row>
    <row r="35875" spans="1:1" x14ac:dyDescent="0.3">
      <c r="A35875" t="s">
        <v>0</v>
      </c>
    </row>
    <row r="35876" spans="1:1" x14ac:dyDescent="0.3">
      <c r="A35876" t="s">
        <v>0</v>
      </c>
    </row>
    <row r="35877" spans="1:1" x14ac:dyDescent="0.3">
      <c r="A35877" t="s">
        <v>0</v>
      </c>
    </row>
    <row r="35878" spans="1:1" x14ac:dyDescent="0.3">
      <c r="A35878" t="s">
        <v>0</v>
      </c>
    </row>
    <row r="35879" spans="1:1" x14ac:dyDescent="0.3">
      <c r="A35879" t="s">
        <v>0</v>
      </c>
    </row>
    <row r="35880" spans="1:1" x14ac:dyDescent="0.3">
      <c r="A35880" t="s">
        <v>0</v>
      </c>
    </row>
    <row r="35881" spans="1:1" x14ac:dyDescent="0.3">
      <c r="A35881" t="s">
        <v>0</v>
      </c>
    </row>
    <row r="35882" spans="1:1" x14ac:dyDescent="0.3">
      <c r="A35882" t="s">
        <v>0</v>
      </c>
    </row>
    <row r="35883" spans="1:1" x14ac:dyDescent="0.3">
      <c r="A35883" t="s">
        <v>0</v>
      </c>
    </row>
    <row r="35884" spans="1:1" x14ac:dyDescent="0.3">
      <c r="A35884" t="s">
        <v>0</v>
      </c>
    </row>
    <row r="35885" spans="1:1" x14ac:dyDescent="0.3">
      <c r="A35885" t="s">
        <v>0</v>
      </c>
    </row>
    <row r="35886" spans="1:1" x14ac:dyDescent="0.3">
      <c r="A35886" t="s">
        <v>0</v>
      </c>
    </row>
    <row r="35887" spans="1:1" x14ac:dyDescent="0.3">
      <c r="A35887" t="s">
        <v>0</v>
      </c>
    </row>
    <row r="35888" spans="1:1" x14ac:dyDescent="0.3">
      <c r="A35888" t="s">
        <v>0</v>
      </c>
    </row>
    <row r="35889" spans="1:1" x14ac:dyDescent="0.3">
      <c r="A35889" t="s">
        <v>0</v>
      </c>
    </row>
    <row r="35890" spans="1:1" x14ac:dyDescent="0.3">
      <c r="A35890" t="s">
        <v>0</v>
      </c>
    </row>
    <row r="35891" spans="1:1" x14ac:dyDescent="0.3">
      <c r="A35891" t="s">
        <v>0</v>
      </c>
    </row>
    <row r="35892" spans="1:1" x14ac:dyDescent="0.3">
      <c r="A35892" t="s">
        <v>0</v>
      </c>
    </row>
    <row r="35893" spans="1:1" x14ac:dyDescent="0.3">
      <c r="A35893" t="s">
        <v>0</v>
      </c>
    </row>
    <row r="35894" spans="1:1" x14ac:dyDescent="0.3">
      <c r="A35894" t="s">
        <v>0</v>
      </c>
    </row>
    <row r="35895" spans="1:1" x14ac:dyDescent="0.3">
      <c r="A35895" t="s">
        <v>0</v>
      </c>
    </row>
    <row r="35896" spans="1:1" x14ac:dyDescent="0.3">
      <c r="A35896" t="s">
        <v>0</v>
      </c>
    </row>
    <row r="35897" spans="1:1" x14ac:dyDescent="0.3">
      <c r="A35897" t="s">
        <v>0</v>
      </c>
    </row>
    <row r="35898" spans="1:1" x14ac:dyDescent="0.3">
      <c r="A35898" t="s">
        <v>0</v>
      </c>
    </row>
    <row r="35899" spans="1:1" x14ac:dyDescent="0.3">
      <c r="A35899" t="s">
        <v>0</v>
      </c>
    </row>
    <row r="35900" spans="1:1" x14ac:dyDescent="0.3">
      <c r="A35900" t="s">
        <v>0</v>
      </c>
    </row>
    <row r="35901" spans="1:1" x14ac:dyDescent="0.3">
      <c r="A35901" t="s">
        <v>0</v>
      </c>
    </row>
    <row r="35902" spans="1:1" x14ac:dyDescent="0.3">
      <c r="A35902" t="s">
        <v>0</v>
      </c>
    </row>
    <row r="35903" spans="1:1" x14ac:dyDescent="0.3">
      <c r="A35903" t="s">
        <v>0</v>
      </c>
    </row>
    <row r="35904" spans="1:1" x14ac:dyDescent="0.3">
      <c r="A35904" t="s">
        <v>0</v>
      </c>
    </row>
    <row r="35905" spans="1:1" x14ac:dyDescent="0.3">
      <c r="A35905" t="s">
        <v>0</v>
      </c>
    </row>
    <row r="35906" spans="1:1" x14ac:dyDescent="0.3">
      <c r="A35906" t="s">
        <v>0</v>
      </c>
    </row>
    <row r="35907" spans="1:1" x14ac:dyDescent="0.3">
      <c r="A35907" t="s">
        <v>0</v>
      </c>
    </row>
    <row r="35908" spans="1:1" x14ac:dyDescent="0.3">
      <c r="A35908" t="s">
        <v>0</v>
      </c>
    </row>
    <row r="35909" spans="1:1" x14ac:dyDescent="0.3">
      <c r="A35909" t="s">
        <v>0</v>
      </c>
    </row>
    <row r="35910" spans="1:1" x14ac:dyDescent="0.3">
      <c r="A35910" t="s">
        <v>0</v>
      </c>
    </row>
    <row r="35911" spans="1:1" x14ac:dyDescent="0.3">
      <c r="A35911" t="s">
        <v>0</v>
      </c>
    </row>
    <row r="35912" spans="1:1" x14ac:dyDescent="0.3">
      <c r="A35912" t="s">
        <v>0</v>
      </c>
    </row>
    <row r="35913" spans="1:1" x14ac:dyDescent="0.3">
      <c r="A35913" t="s">
        <v>0</v>
      </c>
    </row>
    <row r="35914" spans="1:1" x14ac:dyDescent="0.3">
      <c r="A35914" t="s">
        <v>0</v>
      </c>
    </row>
    <row r="35915" spans="1:1" x14ac:dyDescent="0.3">
      <c r="A35915" t="s">
        <v>0</v>
      </c>
    </row>
    <row r="35916" spans="1:1" x14ac:dyDescent="0.3">
      <c r="A35916" t="s">
        <v>0</v>
      </c>
    </row>
    <row r="35917" spans="1:1" x14ac:dyDescent="0.3">
      <c r="A35917" t="s">
        <v>0</v>
      </c>
    </row>
    <row r="35918" spans="1:1" x14ac:dyDescent="0.3">
      <c r="A35918" t="s">
        <v>0</v>
      </c>
    </row>
    <row r="35919" spans="1:1" x14ac:dyDescent="0.3">
      <c r="A35919" t="s">
        <v>0</v>
      </c>
    </row>
    <row r="35920" spans="1:1" x14ac:dyDescent="0.3">
      <c r="A35920" t="s">
        <v>0</v>
      </c>
    </row>
    <row r="35921" spans="1:1" x14ac:dyDescent="0.3">
      <c r="A35921" t="s">
        <v>0</v>
      </c>
    </row>
    <row r="35922" spans="1:1" x14ac:dyDescent="0.3">
      <c r="A35922" t="s">
        <v>0</v>
      </c>
    </row>
    <row r="35923" spans="1:1" x14ac:dyDescent="0.3">
      <c r="A35923" t="s">
        <v>0</v>
      </c>
    </row>
    <row r="35924" spans="1:1" x14ac:dyDescent="0.3">
      <c r="A35924" t="s">
        <v>0</v>
      </c>
    </row>
    <row r="35925" spans="1:1" x14ac:dyDescent="0.3">
      <c r="A35925" t="s">
        <v>0</v>
      </c>
    </row>
    <row r="35926" spans="1:1" x14ac:dyDescent="0.3">
      <c r="A35926" t="s">
        <v>0</v>
      </c>
    </row>
    <row r="35927" spans="1:1" x14ac:dyDescent="0.3">
      <c r="A35927" t="s">
        <v>0</v>
      </c>
    </row>
    <row r="35928" spans="1:1" x14ac:dyDescent="0.3">
      <c r="A35928" t="s">
        <v>0</v>
      </c>
    </row>
    <row r="35929" spans="1:1" x14ac:dyDescent="0.3">
      <c r="A35929" t="s">
        <v>0</v>
      </c>
    </row>
    <row r="35930" spans="1:1" x14ac:dyDescent="0.3">
      <c r="A35930" t="s">
        <v>0</v>
      </c>
    </row>
    <row r="35931" spans="1:1" x14ac:dyDescent="0.3">
      <c r="A35931" t="s">
        <v>0</v>
      </c>
    </row>
    <row r="35932" spans="1:1" x14ac:dyDescent="0.3">
      <c r="A35932" t="s">
        <v>0</v>
      </c>
    </row>
    <row r="35933" spans="1:1" x14ac:dyDescent="0.3">
      <c r="A35933" t="s">
        <v>0</v>
      </c>
    </row>
    <row r="35934" spans="1:1" x14ac:dyDescent="0.3">
      <c r="A35934" t="s">
        <v>0</v>
      </c>
    </row>
    <row r="35935" spans="1:1" x14ac:dyDescent="0.3">
      <c r="A35935" t="s">
        <v>0</v>
      </c>
    </row>
    <row r="35936" spans="1:1" x14ac:dyDescent="0.3">
      <c r="A35936" t="s">
        <v>0</v>
      </c>
    </row>
    <row r="35937" spans="1:1" x14ac:dyDescent="0.3">
      <c r="A35937" t="s">
        <v>0</v>
      </c>
    </row>
    <row r="35938" spans="1:1" x14ac:dyDescent="0.3">
      <c r="A35938" t="s">
        <v>0</v>
      </c>
    </row>
    <row r="35939" spans="1:1" x14ac:dyDescent="0.3">
      <c r="A35939" t="s">
        <v>0</v>
      </c>
    </row>
    <row r="35940" spans="1:1" x14ac:dyDescent="0.3">
      <c r="A35940" t="s">
        <v>0</v>
      </c>
    </row>
    <row r="35941" spans="1:1" x14ac:dyDescent="0.3">
      <c r="A35941" t="s">
        <v>0</v>
      </c>
    </row>
    <row r="35942" spans="1:1" x14ac:dyDescent="0.3">
      <c r="A35942" t="s">
        <v>0</v>
      </c>
    </row>
    <row r="35943" spans="1:1" x14ac:dyDescent="0.3">
      <c r="A35943" t="s">
        <v>0</v>
      </c>
    </row>
    <row r="35944" spans="1:1" x14ac:dyDescent="0.3">
      <c r="A35944" t="s">
        <v>0</v>
      </c>
    </row>
    <row r="35945" spans="1:1" x14ac:dyDescent="0.3">
      <c r="A35945" t="s">
        <v>0</v>
      </c>
    </row>
    <row r="35946" spans="1:1" x14ac:dyDescent="0.3">
      <c r="A35946" t="s">
        <v>0</v>
      </c>
    </row>
    <row r="35947" spans="1:1" x14ac:dyDescent="0.3">
      <c r="A35947" t="s">
        <v>0</v>
      </c>
    </row>
    <row r="35948" spans="1:1" x14ac:dyDescent="0.3">
      <c r="A35948" t="s">
        <v>0</v>
      </c>
    </row>
    <row r="35949" spans="1:1" x14ac:dyDescent="0.3">
      <c r="A35949" t="s">
        <v>0</v>
      </c>
    </row>
    <row r="35950" spans="1:1" x14ac:dyDescent="0.3">
      <c r="A35950" t="s">
        <v>0</v>
      </c>
    </row>
    <row r="35951" spans="1:1" x14ac:dyDescent="0.3">
      <c r="A35951" t="s">
        <v>0</v>
      </c>
    </row>
    <row r="35952" spans="1:1" x14ac:dyDescent="0.3">
      <c r="A35952" t="s">
        <v>0</v>
      </c>
    </row>
    <row r="35953" spans="1:1" x14ac:dyDescent="0.3">
      <c r="A35953" t="s">
        <v>0</v>
      </c>
    </row>
    <row r="35954" spans="1:1" x14ac:dyDescent="0.3">
      <c r="A35954" t="s">
        <v>0</v>
      </c>
    </row>
    <row r="35955" spans="1:1" x14ac:dyDescent="0.3">
      <c r="A35955" t="s">
        <v>0</v>
      </c>
    </row>
    <row r="35956" spans="1:1" x14ac:dyDescent="0.3">
      <c r="A35956" t="s">
        <v>0</v>
      </c>
    </row>
    <row r="35957" spans="1:1" x14ac:dyDescent="0.3">
      <c r="A35957" t="s">
        <v>0</v>
      </c>
    </row>
    <row r="35958" spans="1:1" x14ac:dyDescent="0.3">
      <c r="A35958" t="s">
        <v>0</v>
      </c>
    </row>
    <row r="35959" spans="1:1" x14ac:dyDescent="0.3">
      <c r="A35959" t="s">
        <v>0</v>
      </c>
    </row>
    <row r="35960" spans="1:1" x14ac:dyDescent="0.3">
      <c r="A35960" t="s">
        <v>0</v>
      </c>
    </row>
    <row r="35961" spans="1:1" x14ac:dyDescent="0.3">
      <c r="A35961" t="s">
        <v>0</v>
      </c>
    </row>
    <row r="35962" spans="1:1" x14ac:dyDescent="0.3">
      <c r="A35962" t="s">
        <v>0</v>
      </c>
    </row>
    <row r="35963" spans="1:1" x14ac:dyDescent="0.3">
      <c r="A35963" t="s">
        <v>0</v>
      </c>
    </row>
    <row r="35964" spans="1:1" x14ac:dyDescent="0.3">
      <c r="A35964" t="s">
        <v>0</v>
      </c>
    </row>
    <row r="35965" spans="1:1" x14ac:dyDescent="0.3">
      <c r="A35965" t="s">
        <v>0</v>
      </c>
    </row>
    <row r="35966" spans="1:1" x14ac:dyDescent="0.3">
      <c r="A35966" t="s">
        <v>0</v>
      </c>
    </row>
    <row r="35967" spans="1:1" x14ac:dyDescent="0.3">
      <c r="A35967" t="s">
        <v>0</v>
      </c>
    </row>
    <row r="35968" spans="1:1" x14ac:dyDescent="0.3">
      <c r="A35968" t="s">
        <v>0</v>
      </c>
    </row>
    <row r="35969" spans="1:1" x14ac:dyDescent="0.3">
      <c r="A35969" t="s">
        <v>0</v>
      </c>
    </row>
    <row r="35970" spans="1:1" x14ac:dyDescent="0.3">
      <c r="A35970" t="s">
        <v>0</v>
      </c>
    </row>
    <row r="35971" spans="1:1" x14ac:dyDescent="0.3">
      <c r="A35971" t="s">
        <v>0</v>
      </c>
    </row>
    <row r="35972" spans="1:1" x14ac:dyDescent="0.3">
      <c r="A35972" t="s">
        <v>0</v>
      </c>
    </row>
    <row r="35973" spans="1:1" x14ac:dyDescent="0.3">
      <c r="A35973" t="s">
        <v>0</v>
      </c>
    </row>
    <row r="35974" spans="1:1" x14ac:dyDescent="0.3">
      <c r="A35974" t="s">
        <v>0</v>
      </c>
    </row>
    <row r="35975" spans="1:1" x14ac:dyDescent="0.3">
      <c r="A35975" t="s">
        <v>0</v>
      </c>
    </row>
    <row r="35976" spans="1:1" x14ac:dyDescent="0.3">
      <c r="A35976" t="s">
        <v>0</v>
      </c>
    </row>
    <row r="35977" spans="1:1" x14ac:dyDescent="0.3">
      <c r="A35977" t="s">
        <v>0</v>
      </c>
    </row>
    <row r="35978" spans="1:1" x14ac:dyDescent="0.3">
      <c r="A35978" t="s">
        <v>0</v>
      </c>
    </row>
    <row r="35979" spans="1:1" x14ac:dyDescent="0.3">
      <c r="A35979" t="s">
        <v>0</v>
      </c>
    </row>
    <row r="35980" spans="1:1" x14ac:dyDescent="0.3">
      <c r="A35980" t="s">
        <v>0</v>
      </c>
    </row>
    <row r="35981" spans="1:1" x14ac:dyDescent="0.3">
      <c r="A35981" t="s">
        <v>0</v>
      </c>
    </row>
    <row r="35982" spans="1:1" x14ac:dyDescent="0.3">
      <c r="A35982" t="s">
        <v>0</v>
      </c>
    </row>
    <row r="35983" spans="1:1" x14ac:dyDescent="0.3">
      <c r="A35983" t="s">
        <v>0</v>
      </c>
    </row>
    <row r="35984" spans="1:1" x14ac:dyDescent="0.3">
      <c r="A35984" t="s">
        <v>0</v>
      </c>
    </row>
    <row r="35985" spans="1:1" x14ac:dyDescent="0.3">
      <c r="A35985" t="s">
        <v>0</v>
      </c>
    </row>
    <row r="35986" spans="1:1" x14ac:dyDescent="0.3">
      <c r="A35986" t="s">
        <v>0</v>
      </c>
    </row>
    <row r="35987" spans="1:1" x14ac:dyDescent="0.3">
      <c r="A35987" t="s">
        <v>0</v>
      </c>
    </row>
    <row r="35988" spans="1:1" x14ac:dyDescent="0.3">
      <c r="A35988" t="s">
        <v>0</v>
      </c>
    </row>
    <row r="35989" spans="1:1" x14ac:dyDescent="0.3">
      <c r="A35989" t="s">
        <v>0</v>
      </c>
    </row>
    <row r="35990" spans="1:1" x14ac:dyDescent="0.3">
      <c r="A35990" t="s">
        <v>0</v>
      </c>
    </row>
    <row r="35991" spans="1:1" x14ac:dyDescent="0.3">
      <c r="A35991" t="s">
        <v>0</v>
      </c>
    </row>
    <row r="35992" spans="1:1" x14ac:dyDescent="0.3">
      <c r="A35992" t="s">
        <v>0</v>
      </c>
    </row>
    <row r="35993" spans="1:1" x14ac:dyDescent="0.3">
      <c r="A35993" t="s">
        <v>0</v>
      </c>
    </row>
    <row r="35994" spans="1:1" x14ac:dyDescent="0.3">
      <c r="A35994" t="s">
        <v>0</v>
      </c>
    </row>
    <row r="35995" spans="1:1" x14ac:dyDescent="0.3">
      <c r="A35995" t="s">
        <v>0</v>
      </c>
    </row>
    <row r="35996" spans="1:1" x14ac:dyDescent="0.3">
      <c r="A35996" t="s">
        <v>0</v>
      </c>
    </row>
    <row r="35997" spans="1:1" x14ac:dyDescent="0.3">
      <c r="A35997" t="s">
        <v>0</v>
      </c>
    </row>
    <row r="35998" spans="1:1" x14ac:dyDescent="0.3">
      <c r="A35998" t="s">
        <v>0</v>
      </c>
    </row>
    <row r="35999" spans="1:1" x14ac:dyDescent="0.3">
      <c r="A35999" t="s">
        <v>0</v>
      </c>
    </row>
    <row r="36000" spans="1:1" x14ac:dyDescent="0.3">
      <c r="A36000" t="s">
        <v>0</v>
      </c>
    </row>
    <row r="36001" spans="1:1" x14ac:dyDescent="0.3">
      <c r="A36001" t="s">
        <v>0</v>
      </c>
    </row>
    <row r="36002" spans="1:1" x14ac:dyDescent="0.3">
      <c r="A36002" t="s">
        <v>0</v>
      </c>
    </row>
    <row r="36003" spans="1:1" x14ac:dyDescent="0.3">
      <c r="A36003" t="s">
        <v>0</v>
      </c>
    </row>
    <row r="36004" spans="1:1" x14ac:dyDescent="0.3">
      <c r="A36004" t="s">
        <v>0</v>
      </c>
    </row>
    <row r="36005" spans="1:1" x14ac:dyDescent="0.3">
      <c r="A36005" t="s">
        <v>0</v>
      </c>
    </row>
    <row r="36006" spans="1:1" x14ac:dyDescent="0.3">
      <c r="A36006" t="s">
        <v>0</v>
      </c>
    </row>
    <row r="36007" spans="1:1" x14ac:dyDescent="0.3">
      <c r="A36007" t="s">
        <v>0</v>
      </c>
    </row>
    <row r="36008" spans="1:1" x14ac:dyDescent="0.3">
      <c r="A36008" t="s">
        <v>0</v>
      </c>
    </row>
    <row r="36009" spans="1:1" x14ac:dyDescent="0.3">
      <c r="A36009" t="s">
        <v>0</v>
      </c>
    </row>
    <row r="36010" spans="1:1" x14ac:dyDescent="0.3">
      <c r="A36010" t="s">
        <v>0</v>
      </c>
    </row>
    <row r="36011" spans="1:1" x14ac:dyDescent="0.3">
      <c r="A36011" t="s">
        <v>0</v>
      </c>
    </row>
    <row r="36012" spans="1:1" x14ac:dyDescent="0.3">
      <c r="A36012" t="s">
        <v>0</v>
      </c>
    </row>
    <row r="36013" spans="1:1" x14ac:dyDescent="0.3">
      <c r="A36013" t="s">
        <v>0</v>
      </c>
    </row>
    <row r="36014" spans="1:1" x14ac:dyDescent="0.3">
      <c r="A36014" t="s">
        <v>0</v>
      </c>
    </row>
    <row r="36015" spans="1:1" x14ac:dyDescent="0.3">
      <c r="A36015" t="s">
        <v>0</v>
      </c>
    </row>
    <row r="36016" spans="1:1" x14ac:dyDescent="0.3">
      <c r="A36016" t="s">
        <v>0</v>
      </c>
    </row>
    <row r="36017" spans="1:1" x14ac:dyDescent="0.3">
      <c r="A36017" t="s">
        <v>0</v>
      </c>
    </row>
    <row r="36018" spans="1:1" x14ac:dyDescent="0.3">
      <c r="A36018" t="s">
        <v>0</v>
      </c>
    </row>
    <row r="36019" spans="1:1" x14ac:dyDescent="0.3">
      <c r="A36019" t="s">
        <v>0</v>
      </c>
    </row>
    <row r="36020" spans="1:1" x14ac:dyDescent="0.3">
      <c r="A36020" t="s">
        <v>0</v>
      </c>
    </row>
    <row r="36021" spans="1:1" x14ac:dyDescent="0.3">
      <c r="A36021" t="s">
        <v>0</v>
      </c>
    </row>
    <row r="36022" spans="1:1" x14ac:dyDescent="0.3">
      <c r="A36022" t="s">
        <v>0</v>
      </c>
    </row>
    <row r="36023" spans="1:1" x14ac:dyDescent="0.3">
      <c r="A36023" t="s">
        <v>0</v>
      </c>
    </row>
    <row r="36024" spans="1:1" x14ac:dyDescent="0.3">
      <c r="A36024" t="s">
        <v>0</v>
      </c>
    </row>
    <row r="36025" spans="1:1" x14ac:dyDescent="0.3">
      <c r="A36025" t="s">
        <v>0</v>
      </c>
    </row>
    <row r="36026" spans="1:1" x14ac:dyDescent="0.3">
      <c r="A36026" t="s">
        <v>0</v>
      </c>
    </row>
    <row r="36027" spans="1:1" x14ac:dyDescent="0.3">
      <c r="A36027" t="s">
        <v>0</v>
      </c>
    </row>
    <row r="36028" spans="1:1" x14ac:dyDescent="0.3">
      <c r="A36028" t="s">
        <v>0</v>
      </c>
    </row>
    <row r="36029" spans="1:1" x14ac:dyDescent="0.3">
      <c r="A36029" t="s">
        <v>0</v>
      </c>
    </row>
    <row r="36030" spans="1:1" x14ac:dyDescent="0.3">
      <c r="A36030" t="s">
        <v>0</v>
      </c>
    </row>
    <row r="36031" spans="1:1" x14ac:dyDescent="0.3">
      <c r="A36031" t="s">
        <v>0</v>
      </c>
    </row>
    <row r="36032" spans="1:1" x14ac:dyDescent="0.3">
      <c r="A36032" t="s">
        <v>0</v>
      </c>
    </row>
    <row r="36033" spans="1:1" x14ac:dyDescent="0.3">
      <c r="A36033" t="s">
        <v>0</v>
      </c>
    </row>
    <row r="36034" spans="1:1" x14ac:dyDescent="0.3">
      <c r="A36034" t="s">
        <v>0</v>
      </c>
    </row>
    <row r="36035" spans="1:1" x14ac:dyDescent="0.3">
      <c r="A36035" t="s">
        <v>0</v>
      </c>
    </row>
    <row r="36036" spans="1:1" x14ac:dyDescent="0.3">
      <c r="A36036" t="s">
        <v>0</v>
      </c>
    </row>
    <row r="36037" spans="1:1" x14ac:dyDescent="0.3">
      <c r="A36037" t="s">
        <v>0</v>
      </c>
    </row>
    <row r="36038" spans="1:1" x14ac:dyDescent="0.3">
      <c r="A36038" t="s">
        <v>0</v>
      </c>
    </row>
    <row r="36039" spans="1:1" x14ac:dyDescent="0.3">
      <c r="A36039" t="s">
        <v>0</v>
      </c>
    </row>
    <row r="36040" spans="1:1" x14ac:dyDescent="0.3">
      <c r="A36040" t="s">
        <v>0</v>
      </c>
    </row>
    <row r="36041" spans="1:1" x14ac:dyDescent="0.3">
      <c r="A36041" t="s">
        <v>0</v>
      </c>
    </row>
    <row r="36042" spans="1:1" x14ac:dyDescent="0.3">
      <c r="A36042" t="s">
        <v>0</v>
      </c>
    </row>
    <row r="36043" spans="1:1" x14ac:dyDescent="0.3">
      <c r="A36043" t="s">
        <v>0</v>
      </c>
    </row>
    <row r="36044" spans="1:1" x14ac:dyDescent="0.3">
      <c r="A36044" t="s">
        <v>0</v>
      </c>
    </row>
    <row r="36045" spans="1:1" x14ac:dyDescent="0.3">
      <c r="A36045" t="s">
        <v>0</v>
      </c>
    </row>
    <row r="36046" spans="1:1" x14ac:dyDescent="0.3">
      <c r="A36046" t="s">
        <v>0</v>
      </c>
    </row>
    <row r="36047" spans="1:1" x14ac:dyDescent="0.3">
      <c r="A36047" t="s">
        <v>0</v>
      </c>
    </row>
    <row r="36048" spans="1:1" x14ac:dyDescent="0.3">
      <c r="A36048" t="s">
        <v>0</v>
      </c>
    </row>
    <row r="36049" spans="1:1" x14ac:dyDescent="0.3">
      <c r="A36049" t="s">
        <v>0</v>
      </c>
    </row>
    <row r="36050" spans="1:1" x14ac:dyDescent="0.3">
      <c r="A36050" t="s">
        <v>0</v>
      </c>
    </row>
    <row r="36051" spans="1:1" x14ac:dyDescent="0.3">
      <c r="A36051" t="s">
        <v>0</v>
      </c>
    </row>
    <row r="36052" spans="1:1" x14ac:dyDescent="0.3">
      <c r="A36052" t="s">
        <v>0</v>
      </c>
    </row>
    <row r="36053" spans="1:1" x14ac:dyDescent="0.3">
      <c r="A36053" t="s">
        <v>0</v>
      </c>
    </row>
    <row r="36054" spans="1:1" x14ac:dyDescent="0.3">
      <c r="A36054" t="s">
        <v>0</v>
      </c>
    </row>
    <row r="36055" spans="1:1" x14ac:dyDescent="0.3">
      <c r="A36055" t="s">
        <v>0</v>
      </c>
    </row>
    <row r="36056" spans="1:1" x14ac:dyDescent="0.3">
      <c r="A36056" t="s">
        <v>0</v>
      </c>
    </row>
    <row r="36057" spans="1:1" x14ac:dyDescent="0.3">
      <c r="A36057" t="s">
        <v>0</v>
      </c>
    </row>
    <row r="36058" spans="1:1" x14ac:dyDescent="0.3">
      <c r="A36058" t="s">
        <v>0</v>
      </c>
    </row>
    <row r="36059" spans="1:1" x14ac:dyDescent="0.3">
      <c r="A36059" t="s">
        <v>0</v>
      </c>
    </row>
    <row r="36060" spans="1:1" x14ac:dyDescent="0.3">
      <c r="A36060" t="s">
        <v>0</v>
      </c>
    </row>
    <row r="36061" spans="1:1" x14ac:dyDescent="0.3">
      <c r="A36061" t="s">
        <v>0</v>
      </c>
    </row>
    <row r="36062" spans="1:1" x14ac:dyDescent="0.3">
      <c r="A36062" t="s">
        <v>0</v>
      </c>
    </row>
    <row r="36063" spans="1:1" x14ac:dyDescent="0.3">
      <c r="A36063" t="s">
        <v>0</v>
      </c>
    </row>
    <row r="36064" spans="1:1" x14ac:dyDescent="0.3">
      <c r="A36064" t="s">
        <v>0</v>
      </c>
    </row>
    <row r="36065" spans="1:1" x14ac:dyDescent="0.3">
      <c r="A36065" t="s">
        <v>0</v>
      </c>
    </row>
    <row r="36066" spans="1:1" x14ac:dyDescent="0.3">
      <c r="A36066" t="s">
        <v>0</v>
      </c>
    </row>
    <row r="36067" spans="1:1" x14ac:dyDescent="0.3">
      <c r="A36067" t="s">
        <v>0</v>
      </c>
    </row>
    <row r="36068" spans="1:1" x14ac:dyDescent="0.3">
      <c r="A36068" t="s">
        <v>0</v>
      </c>
    </row>
    <row r="36069" spans="1:1" x14ac:dyDescent="0.3">
      <c r="A36069" t="s">
        <v>0</v>
      </c>
    </row>
    <row r="36070" spans="1:1" x14ac:dyDescent="0.3">
      <c r="A36070" t="s">
        <v>0</v>
      </c>
    </row>
    <row r="36071" spans="1:1" x14ac:dyDescent="0.3">
      <c r="A36071" t="s">
        <v>0</v>
      </c>
    </row>
    <row r="36072" spans="1:1" x14ac:dyDescent="0.3">
      <c r="A36072" t="s">
        <v>0</v>
      </c>
    </row>
    <row r="36073" spans="1:1" x14ac:dyDescent="0.3">
      <c r="A36073" t="s">
        <v>0</v>
      </c>
    </row>
    <row r="36074" spans="1:1" x14ac:dyDescent="0.3">
      <c r="A36074" t="s">
        <v>0</v>
      </c>
    </row>
    <row r="36075" spans="1:1" x14ac:dyDescent="0.3">
      <c r="A36075" t="s">
        <v>0</v>
      </c>
    </row>
    <row r="36076" spans="1:1" x14ac:dyDescent="0.3">
      <c r="A36076" t="s">
        <v>0</v>
      </c>
    </row>
    <row r="36077" spans="1:1" x14ac:dyDescent="0.3">
      <c r="A36077" t="s">
        <v>0</v>
      </c>
    </row>
    <row r="36078" spans="1:1" x14ac:dyDescent="0.3">
      <c r="A36078" t="s">
        <v>0</v>
      </c>
    </row>
    <row r="36079" spans="1:1" x14ac:dyDescent="0.3">
      <c r="A36079" t="s">
        <v>0</v>
      </c>
    </row>
    <row r="36080" spans="1:1" x14ac:dyDescent="0.3">
      <c r="A36080" t="s">
        <v>0</v>
      </c>
    </row>
    <row r="36081" spans="1:1" x14ac:dyDescent="0.3">
      <c r="A36081" t="s">
        <v>0</v>
      </c>
    </row>
    <row r="36082" spans="1:1" x14ac:dyDescent="0.3">
      <c r="A36082" t="s">
        <v>0</v>
      </c>
    </row>
    <row r="36083" spans="1:1" x14ac:dyDescent="0.3">
      <c r="A36083" t="s">
        <v>0</v>
      </c>
    </row>
    <row r="36084" spans="1:1" x14ac:dyDescent="0.3">
      <c r="A36084" t="s">
        <v>0</v>
      </c>
    </row>
    <row r="36085" spans="1:1" x14ac:dyDescent="0.3">
      <c r="A36085" t="s">
        <v>0</v>
      </c>
    </row>
    <row r="36086" spans="1:1" x14ac:dyDescent="0.3">
      <c r="A36086" t="s">
        <v>0</v>
      </c>
    </row>
    <row r="36087" spans="1:1" x14ac:dyDescent="0.3">
      <c r="A36087" t="s">
        <v>0</v>
      </c>
    </row>
    <row r="36088" spans="1:1" x14ac:dyDescent="0.3">
      <c r="A36088" t="s">
        <v>0</v>
      </c>
    </row>
    <row r="36089" spans="1:1" x14ac:dyDescent="0.3">
      <c r="A36089" t="s">
        <v>0</v>
      </c>
    </row>
    <row r="36090" spans="1:1" x14ac:dyDescent="0.3">
      <c r="A36090" t="s">
        <v>0</v>
      </c>
    </row>
    <row r="36091" spans="1:1" x14ac:dyDescent="0.3">
      <c r="A36091" t="s">
        <v>0</v>
      </c>
    </row>
    <row r="36092" spans="1:1" x14ac:dyDescent="0.3">
      <c r="A36092" t="s">
        <v>0</v>
      </c>
    </row>
    <row r="36093" spans="1:1" x14ac:dyDescent="0.3">
      <c r="A36093" t="s">
        <v>0</v>
      </c>
    </row>
    <row r="36094" spans="1:1" x14ac:dyDescent="0.3">
      <c r="A36094" t="s">
        <v>0</v>
      </c>
    </row>
    <row r="36095" spans="1:1" x14ac:dyDescent="0.3">
      <c r="A36095" t="s">
        <v>0</v>
      </c>
    </row>
    <row r="36096" spans="1:1" x14ac:dyDescent="0.3">
      <c r="A36096" t="s">
        <v>0</v>
      </c>
    </row>
    <row r="36097" spans="1:1" x14ac:dyDescent="0.3">
      <c r="A36097" t="s">
        <v>0</v>
      </c>
    </row>
    <row r="36098" spans="1:1" x14ac:dyDescent="0.3">
      <c r="A36098" t="s">
        <v>0</v>
      </c>
    </row>
    <row r="36099" spans="1:1" x14ac:dyDescent="0.3">
      <c r="A36099" t="s">
        <v>0</v>
      </c>
    </row>
    <row r="36100" spans="1:1" x14ac:dyDescent="0.3">
      <c r="A36100" t="s">
        <v>0</v>
      </c>
    </row>
    <row r="36101" spans="1:1" x14ac:dyDescent="0.3">
      <c r="A36101" t="s">
        <v>0</v>
      </c>
    </row>
    <row r="36102" spans="1:1" x14ac:dyDescent="0.3">
      <c r="A36102" t="s">
        <v>0</v>
      </c>
    </row>
    <row r="36103" spans="1:1" x14ac:dyDescent="0.3">
      <c r="A36103" t="s">
        <v>0</v>
      </c>
    </row>
    <row r="36104" spans="1:1" x14ac:dyDescent="0.3">
      <c r="A36104" t="s">
        <v>0</v>
      </c>
    </row>
    <row r="36105" spans="1:1" x14ac:dyDescent="0.3">
      <c r="A36105" t="s">
        <v>0</v>
      </c>
    </row>
    <row r="36106" spans="1:1" x14ac:dyDescent="0.3">
      <c r="A36106" t="s">
        <v>0</v>
      </c>
    </row>
    <row r="36107" spans="1:1" x14ac:dyDescent="0.3">
      <c r="A36107" t="s">
        <v>0</v>
      </c>
    </row>
    <row r="36108" spans="1:1" x14ac:dyDescent="0.3">
      <c r="A36108" t="s">
        <v>0</v>
      </c>
    </row>
    <row r="36109" spans="1:1" x14ac:dyDescent="0.3">
      <c r="A36109" t="s">
        <v>0</v>
      </c>
    </row>
    <row r="36110" spans="1:1" x14ac:dyDescent="0.3">
      <c r="A36110" t="s">
        <v>0</v>
      </c>
    </row>
    <row r="36111" spans="1:1" x14ac:dyDescent="0.3">
      <c r="A36111" t="s">
        <v>0</v>
      </c>
    </row>
    <row r="36112" spans="1:1" x14ac:dyDescent="0.3">
      <c r="A36112" t="s">
        <v>0</v>
      </c>
    </row>
    <row r="36113" spans="1:1" x14ac:dyDescent="0.3">
      <c r="A36113" t="s">
        <v>0</v>
      </c>
    </row>
    <row r="36114" spans="1:1" x14ac:dyDescent="0.3">
      <c r="A36114" t="s">
        <v>0</v>
      </c>
    </row>
    <row r="36115" spans="1:1" x14ac:dyDescent="0.3">
      <c r="A36115" t="s">
        <v>0</v>
      </c>
    </row>
    <row r="36116" spans="1:1" x14ac:dyDescent="0.3">
      <c r="A36116" t="s">
        <v>0</v>
      </c>
    </row>
    <row r="36117" spans="1:1" x14ac:dyDescent="0.3">
      <c r="A36117" t="s">
        <v>0</v>
      </c>
    </row>
    <row r="36118" spans="1:1" x14ac:dyDescent="0.3">
      <c r="A36118" t="s">
        <v>0</v>
      </c>
    </row>
    <row r="36119" spans="1:1" x14ac:dyDescent="0.3">
      <c r="A36119" t="s">
        <v>0</v>
      </c>
    </row>
    <row r="36120" spans="1:1" x14ac:dyDescent="0.3">
      <c r="A36120" t="s">
        <v>0</v>
      </c>
    </row>
    <row r="36121" spans="1:1" x14ac:dyDescent="0.3">
      <c r="A36121" t="s">
        <v>0</v>
      </c>
    </row>
    <row r="36122" spans="1:1" x14ac:dyDescent="0.3">
      <c r="A36122" t="s">
        <v>0</v>
      </c>
    </row>
    <row r="36123" spans="1:1" x14ac:dyDescent="0.3">
      <c r="A36123" t="s">
        <v>0</v>
      </c>
    </row>
    <row r="36124" spans="1:1" x14ac:dyDescent="0.3">
      <c r="A36124" t="s">
        <v>0</v>
      </c>
    </row>
    <row r="36125" spans="1:1" x14ac:dyDescent="0.3">
      <c r="A36125" t="s">
        <v>0</v>
      </c>
    </row>
    <row r="36126" spans="1:1" x14ac:dyDescent="0.3">
      <c r="A36126" t="s">
        <v>0</v>
      </c>
    </row>
    <row r="36127" spans="1:1" x14ac:dyDescent="0.3">
      <c r="A36127" t="s">
        <v>0</v>
      </c>
    </row>
    <row r="36128" spans="1:1" x14ac:dyDescent="0.3">
      <c r="A36128" t="s">
        <v>0</v>
      </c>
    </row>
    <row r="36129" spans="1:1" x14ac:dyDescent="0.3">
      <c r="A36129" t="s">
        <v>0</v>
      </c>
    </row>
    <row r="36130" spans="1:1" x14ac:dyDescent="0.3">
      <c r="A36130" t="s">
        <v>0</v>
      </c>
    </row>
    <row r="36131" spans="1:1" x14ac:dyDescent="0.3">
      <c r="A36131" t="s">
        <v>0</v>
      </c>
    </row>
    <row r="36132" spans="1:1" x14ac:dyDescent="0.3">
      <c r="A36132" t="s">
        <v>0</v>
      </c>
    </row>
    <row r="36133" spans="1:1" x14ac:dyDescent="0.3">
      <c r="A36133" t="s">
        <v>0</v>
      </c>
    </row>
    <row r="36134" spans="1:1" x14ac:dyDescent="0.3">
      <c r="A36134" t="s">
        <v>0</v>
      </c>
    </row>
    <row r="36135" spans="1:1" x14ac:dyDescent="0.3">
      <c r="A36135" t="s">
        <v>0</v>
      </c>
    </row>
    <row r="36136" spans="1:1" x14ac:dyDescent="0.3">
      <c r="A36136" t="s">
        <v>0</v>
      </c>
    </row>
    <row r="36137" spans="1:1" x14ac:dyDescent="0.3">
      <c r="A36137" t="s">
        <v>0</v>
      </c>
    </row>
    <row r="36138" spans="1:1" x14ac:dyDescent="0.3">
      <c r="A36138" t="s">
        <v>0</v>
      </c>
    </row>
    <row r="36139" spans="1:1" x14ac:dyDescent="0.3">
      <c r="A36139" t="s">
        <v>0</v>
      </c>
    </row>
    <row r="36140" spans="1:1" x14ac:dyDescent="0.3">
      <c r="A36140" t="s">
        <v>0</v>
      </c>
    </row>
    <row r="36141" spans="1:1" x14ac:dyDescent="0.3">
      <c r="A36141" t="s">
        <v>0</v>
      </c>
    </row>
    <row r="36142" spans="1:1" x14ac:dyDescent="0.3">
      <c r="A36142" t="s">
        <v>0</v>
      </c>
    </row>
    <row r="36143" spans="1:1" x14ac:dyDescent="0.3">
      <c r="A36143" t="s">
        <v>0</v>
      </c>
    </row>
    <row r="36144" spans="1:1" x14ac:dyDescent="0.3">
      <c r="A36144" t="s">
        <v>0</v>
      </c>
    </row>
    <row r="36145" spans="1:1" x14ac:dyDescent="0.3">
      <c r="A36145" t="s">
        <v>0</v>
      </c>
    </row>
    <row r="36146" spans="1:1" x14ac:dyDescent="0.3">
      <c r="A36146" t="s">
        <v>0</v>
      </c>
    </row>
    <row r="36147" spans="1:1" x14ac:dyDescent="0.3">
      <c r="A36147" t="s">
        <v>0</v>
      </c>
    </row>
    <row r="36148" spans="1:1" x14ac:dyDescent="0.3">
      <c r="A36148" t="s">
        <v>0</v>
      </c>
    </row>
    <row r="36149" spans="1:1" x14ac:dyDescent="0.3">
      <c r="A36149" t="s">
        <v>0</v>
      </c>
    </row>
    <row r="36150" spans="1:1" x14ac:dyDescent="0.3">
      <c r="A36150" t="s">
        <v>0</v>
      </c>
    </row>
    <row r="36151" spans="1:1" x14ac:dyDescent="0.3">
      <c r="A36151" t="s">
        <v>0</v>
      </c>
    </row>
    <row r="36152" spans="1:1" x14ac:dyDescent="0.3">
      <c r="A36152" t="s">
        <v>0</v>
      </c>
    </row>
    <row r="36153" spans="1:1" x14ac:dyDescent="0.3">
      <c r="A36153" t="s">
        <v>0</v>
      </c>
    </row>
    <row r="36154" spans="1:1" x14ac:dyDescent="0.3">
      <c r="A36154" t="s">
        <v>0</v>
      </c>
    </row>
    <row r="36155" spans="1:1" x14ac:dyDescent="0.3">
      <c r="A36155" t="s">
        <v>0</v>
      </c>
    </row>
    <row r="36156" spans="1:1" x14ac:dyDescent="0.3">
      <c r="A36156" t="s">
        <v>0</v>
      </c>
    </row>
    <row r="36157" spans="1:1" x14ac:dyDescent="0.3">
      <c r="A36157" t="s">
        <v>0</v>
      </c>
    </row>
    <row r="36158" spans="1:1" x14ac:dyDescent="0.3">
      <c r="A36158" t="s">
        <v>0</v>
      </c>
    </row>
    <row r="36159" spans="1:1" x14ac:dyDescent="0.3">
      <c r="A36159" t="s">
        <v>0</v>
      </c>
    </row>
    <row r="36160" spans="1:1" x14ac:dyDescent="0.3">
      <c r="A36160" t="s">
        <v>0</v>
      </c>
    </row>
    <row r="36161" spans="1:1" x14ac:dyDescent="0.3">
      <c r="A36161" t="s">
        <v>0</v>
      </c>
    </row>
    <row r="36162" spans="1:1" x14ac:dyDescent="0.3">
      <c r="A36162" t="s">
        <v>0</v>
      </c>
    </row>
    <row r="36163" spans="1:1" x14ac:dyDescent="0.3">
      <c r="A36163" t="s">
        <v>0</v>
      </c>
    </row>
    <row r="36164" spans="1:1" x14ac:dyDescent="0.3">
      <c r="A36164" t="s">
        <v>0</v>
      </c>
    </row>
    <row r="36165" spans="1:1" x14ac:dyDescent="0.3">
      <c r="A36165" t="s">
        <v>0</v>
      </c>
    </row>
    <row r="36166" spans="1:1" x14ac:dyDescent="0.3">
      <c r="A36166" t="s">
        <v>0</v>
      </c>
    </row>
    <row r="36167" spans="1:1" x14ac:dyDescent="0.3">
      <c r="A36167" t="s">
        <v>0</v>
      </c>
    </row>
    <row r="36168" spans="1:1" x14ac:dyDescent="0.3">
      <c r="A36168" t="s">
        <v>0</v>
      </c>
    </row>
    <row r="36169" spans="1:1" x14ac:dyDescent="0.3">
      <c r="A36169" t="s">
        <v>0</v>
      </c>
    </row>
    <row r="36170" spans="1:1" x14ac:dyDescent="0.3">
      <c r="A36170" t="s">
        <v>0</v>
      </c>
    </row>
    <row r="36171" spans="1:1" x14ac:dyDescent="0.3">
      <c r="A36171" t="s">
        <v>0</v>
      </c>
    </row>
    <row r="36172" spans="1:1" x14ac:dyDescent="0.3">
      <c r="A36172" t="s">
        <v>0</v>
      </c>
    </row>
    <row r="36173" spans="1:1" x14ac:dyDescent="0.3">
      <c r="A36173" t="s">
        <v>0</v>
      </c>
    </row>
    <row r="36174" spans="1:1" x14ac:dyDescent="0.3">
      <c r="A36174" t="s">
        <v>0</v>
      </c>
    </row>
    <row r="36175" spans="1:1" x14ac:dyDescent="0.3">
      <c r="A36175" t="s">
        <v>0</v>
      </c>
    </row>
    <row r="36176" spans="1:1" x14ac:dyDescent="0.3">
      <c r="A36176" t="s">
        <v>0</v>
      </c>
    </row>
    <row r="36177" spans="1:1" x14ac:dyDescent="0.3">
      <c r="A36177" t="s">
        <v>0</v>
      </c>
    </row>
    <row r="36178" spans="1:1" x14ac:dyDescent="0.3">
      <c r="A36178" t="s">
        <v>0</v>
      </c>
    </row>
    <row r="36179" spans="1:1" x14ac:dyDescent="0.3">
      <c r="A36179" t="s">
        <v>0</v>
      </c>
    </row>
    <row r="36180" spans="1:1" x14ac:dyDescent="0.3">
      <c r="A36180" t="s">
        <v>0</v>
      </c>
    </row>
    <row r="36181" spans="1:1" x14ac:dyDescent="0.3">
      <c r="A36181" t="s">
        <v>0</v>
      </c>
    </row>
    <row r="36182" spans="1:1" x14ac:dyDescent="0.3">
      <c r="A36182" t="s">
        <v>0</v>
      </c>
    </row>
    <row r="36183" spans="1:1" x14ac:dyDescent="0.3">
      <c r="A36183" t="s">
        <v>0</v>
      </c>
    </row>
    <row r="36184" spans="1:1" x14ac:dyDescent="0.3">
      <c r="A36184" t="s">
        <v>0</v>
      </c>
    </row>
    <row r="36185" spans="1:1" x14ac:dyDescent="0.3">
      <c r="A36185" t="s">
        <v>0</v>
      </c>
    </row>
    <row r="36186" spans="1:1" x14ac:dyDescent="0.3">
      <c r="A36186" t="s">
        <v>0</v>
      </c>
    </row>
    <row r="36187" spans="1:1" x14ac:dyDescent="0.3">
      <c r="A36187" t="s">
        <v>0</v>
      </c>
    </row>
    <row r="36188" spans="1:1" x14ac:dyDescent="0.3">
      <c r="A36188" t="s">
        <v>0</v>
      </c>
    </row>
    <row r="36189" spans="1:1" x14ac:dyDescent="0.3">
      <c r="A36189" t="s">
        <v>0</v>
      </c>
    </row>
    <row r="36190" spans="1:1" x14ac:dyDescent="0.3">
      <c r="A36190" t="s">
        <v>0</v>
      </c>
    </row>
    <row r="36191" spans="1:1" x14ac:dyDescent="0.3">
      <c r="A36191" t="s">
        <v>0</v>
      </c>
    </row>
    <row r="36192" spans="1:1" x14ac:dyDescent="0.3">
      <c r="A36192" t="s">
        <v>0</v>
      </c>
    </row>
    <row r="36193" spans="1:1" x14ac:dyDescent="0.3">
      <c r="A36193" t="s">
        <v>0</v>
      </c>
    </row>
    <row r="36194" spans="1:1" x14ac:dyDescent="0.3">
      <c r="A36194" t="s">
        <v>0</v>
      </c>
    </row>
    <row r="36195" spans="1:1" x14ac:dyDescent="0.3">
      <c r="A36195" t="s">
        <v>0</v>
      </c>
    </row>
    <row r="36196" spans="1:1" x14ac:dyDescent="0.3">
      <c r="A36196" t="s">
        <v>0</v>
      </c>
    </row>
    <row r="36197" spans="1:1" x14ac:dyDescent="0.3">
      <c r="A36197" t="s">
        <v>0</v>
      </c>
    </row>
    <row r="36198" spans="1:1" x14ac:dyDescent="0.3">
      <c r="A36198" t="s">
        <v>0</v>
      </c>
    </row>
    <row r="36199" spans="1:1" x14ac:dyDescent="0.3">
      <c r="A36199" t="s">
        <v>0</v>
      </c>
    </row>
    <row r="36200" spans="1:1" x14ac:dyDescent="0.3">
      <c r="A36200" t="s">
        <v>0</v>
      </c>
    </row>
    <row r="36201" spans="1:1" x14ac:dyDescent="0.3">
      <c r="A36201" t="s">
        <v>0</v>
      </c>
    </row>
    <row r="36202" spans="1:1" x14ac:dyDescent="0.3">
      <c r="A36202" t="s">
        <v>0</v>
      </c>
    </row>
    <row r="36203" spans="1:1" x14ac:dyDescent="0.3">
      <c r="A36203" t="s">
        <v>0</v>
      </c>
    </row>
    <row r="36204" spans="1:1" x14ac:dyDescent="0.3">
      <c r="A36204" t="s">
        <v>0</v>
      </c>
    </row>
    <row r="36205" spans="1:1" x14ac:dyDescent="0.3">
      <c r="A36205" t="s">
        <v>0</v>
      </c>
    </row>
    <row r="36206" spans="1:1" x14ac:dyDescent="0.3">
      <c r="A36206" t="s">
        <v>0</v>
      </c>
    </row>
    <row r="36207" spans="1:1" x14ac:dyDescent="0.3">
      <c r="A36207" t="s">
        <v>0</v>
      </c>
    </row>
    <row r="36208" spans="1:1" x14ac:dyDescent="0.3">
      <c r="A36208" t="s">
        <v>0</v>
      </c>
    </row>
    <row r="36209" spans="1:1" x14ac:dyDescent="0.3">
      <c r="A36209" t="s">
        <v>0</v>
      </c>
    </row>
    <row r="36210" spans="1:1" x14ac:dyDescent="0.3">
      <c r="A36210" t="s">
        <v>0</v>
      </c>
    </row>
    <row r="36211" spans="1:1" x14ac:dyDescent="0.3">
      <c r="A36211" t="s">
        <v>0</v>
      </c>
    </row>
    <row r="36212" spans="1:1" x14ac:dyDescent="0.3">
      <c r="A36212" t="s">
        <v>0</v>
      </c>
    </row>
    <row r="36213" spans="1:1" x14ac:dyDescent="0.3">
      <c r="A36213" t="s">
        <v>0</v>
      </c>
    </row>
    <row r="36214" spans="1:1" x14ac:dyDescent="0.3">
      <c r="A36214" t="s">
        <v>0</v>
      </c>
    </row>
    <row r="36215" spans="1:1" x14ac:dyDescent="0.3">
      <c r="A36215" t="s">
        <v>0</v>
      </c>
    </row>
    <row r="36216" spans="1:1" x14ac:dyDescent="0.3">
      <c r="A36216" t="s">
        <v>0</v>
      </c>
    </row>
    <row r="36217" spans="1:1" x14ac:dyDescent="0.3">
      <c r="A36217" t="s">
        <v>0</v>
      </c>
    </row>
    <row r="36218" spans="1:1" x14ac:dyDescent="0.3">
      <c r="A36218" t="s">
        <v>0</v>
      </c>
    </row>
    <row r="36219" spans="1:1" x14ac:dyDescent="0.3">
      <c r="A36219" t="s">
        <v>0</v>
      </c>
    </row>
    <row r="36220" spans="1:1" x14ac:dyDescent="0.3">
      <c r="A36220" t="s">
        <v>0</v>
      </c>
    </row>
    <row r="36221" spans="1:1" x14ac:dyDescent="0.3">
      <c r="A36221" t="s">
        <v>0</v>
      </c>
    </row>
    <row r="36222" spans="1:1" x14ac:dyDescent="0.3">
      <c r="A36222" t="s">
        <v>0</v>
      </c>
    </row>
    <row r="36223" spans="1:1" x14ac:dyDescent="0.3">
      <c r="A36223" t="s">
        <v>0</v>
      </c>
    </row>
    <row r="36224" spans="1:1" x14ac:dyDescent="0.3">
      <c r="A36224" t="s">
        <v>0</v>
      </c>
    </row>
    <row r="36225" spans="1:1" x14ac:dyDescent="0.3">
      <c r="A36225" t="s">
        <v>0</v>
      </c>
    </row>
    <row r="36226" spans="1:1" x14ac:dyDescent="0.3">
      <c r="A36226" t="s">
        <v>0</v>
      </c>
    </row>
    <row r="36227" spans="1:1" x14ac:dyDescent="0.3">
      <c r="A36227" t="s">
        <v>0</v>
      </c>
    </row>
    <row r="36228" spans="1:1" x14ac:dyDescent="0.3">
      <c r="A36228" t="s">
        <v>0</v>
      </c>
    </row>
    <row r="36229" spans="1:1" x14ac:dyDescent="0.3">
      <c r="A36229" t="s">
        <v>0</v>
      </c>
    </row>
    <row r="36230" spans="1:1" x14ac:dyDescent="0.3">
      <c r="A36230" t="s">
        <v>0</v>
      </c>
    </row>
    <row r="36231" spans="1:1" x14ac:dyDescent="0.3">
      <c r="A36231" t="s">
        <v>0</v>
      </c>
    </row>
    <row r="36232" spans="1:1" x14ac:dyDescent="0.3">
      <c r="A36232" t="s">
        <v>0</v>
      </c>
    </row>
    <row r="36233" spans="1:1" x14ac:dyDescent="0.3">
      <c r="A36233" t="s">
        <v>0</v>
      </c>
    </row>
    <row r="36234" spans="1:1" x14ac:dyDescent="0.3">
      <c r="A36234" t="s">
        <v>0</v>
      </c>
    </row>
    <row r="36235" spans="1:1" x14ac:dyDescent="0.3">
      <c r="A36235" t="s">
        <v>0</v>
      </c>
    </row>
    <row r="36236" spans="1:1" x14ac:dyDescent="0.3">
      <c r="A36236" t="s">
        <v>0</v>
      </c>
    </row>
    <row r="36237" spans="1:1" x14ac:dyDescent="0.3">
      <c r="A36237" t="s">
        <v>0</v>
      </c>
    </row>
    <row r="36238" spans="1:1" x14ac:dyDescent="0.3">
      <c r="A36238" t="s">
        <v>0</v>
      </c>
    </row>
    <row r="36239" spans="1:1" x14ac:dyDescent="0.3">
      <c r="A36239" t="s">
        <v>0</v>
      </c>
    </row>
    <row r="36240" spans="1:1" x14ac:dyDescent="0.3">
      <c r="A36240" t="s">
        <v>0</v>
      </c>
    </row>
    <row r="36241" spans="1:1" x14ac:dyDescent="0.3">
      <c r="A36241" t="s">
        <v>0</v>
      </c>
    </row>
    <row r="36242" spans="1:1" x14ac:dyDescent="0.3">
      <c r="A36242" t="s">
        <v>0</v>
      </c>
    </row>
    <row r="36243" spans="1:1" x14ac:dyDescent="0.3">
      <c r="A36243" t="s">
        <v>0</v>
      </c>
    </row>
    <row r="36244" spans="1:1" x14ac:dyDescent="0.3">
      <c r="A36244" t="s">
        <v>0</v>
      </c>
    </row>
    <row r="36245" spans="1:1" x14ac:dyDescent="0.3">
      <c r="A36245" t="s">
        <v>0</v>
      </c>
    </row>
    <row r="36246" spans="1:1" x14ac:dyDescent="0.3">
      <c r="A36246" t="s">
        <v>0</v>
      </c>
    </row>
    <row r="36247" spans="1:1" x14ac:dyDescent="0.3">
      <c r="A36247" t="s">
        <v>0</v>
      </c>
    </row>
    <row r="36248" spans="1:1" x14ac:dyDescent="0.3">
      <c r="A36248" t="s">
        <v>0</v>
      </c>
    </row>
    <row r="36249" spans="1:1" x14ac:dyDescent="0.3">
      <c r="A36249" t="s">
        <v>0</v>
      </c>
    </row>
    <row r="36250" spans="1:1" x14ac:dyDescent="0.3">
      <c r="A36250" t="s">
        <v>0</v>
      </c>
    </row>
    <row r="36251" spans="1:1" x14ac:dyDescent="0.3">
      <c r="A36251" t="s">
        <v>0</v>
      </c>
    </row>
    <row r="36252" spans="1:1" x14ac:dyDescent="0.3">
      <c r="A36252" t="s">
        <v>0</v>
      </c>
    </row>
    <row r="36253" spans="1:1" x14ac:dyDescent="0.3">
      <c r="A36253" t="s">
        <v>0</v>
      </c>
    </row>
    <row r="36254" spans="1:1" x14ac:dyDescent="0.3">
      <c r="A36254" t="s">
        <v>0</v>
      </c>
    </row>
    <row r="36255" spans="1:1" x14ac:dyDescent="0.3">
      <c r="A36255" t="s">
        <v>0</v>
      </c>
    </row>
    <row r="36256" spans="1:1" x14ac:dyDescent="0.3">
      <c r="A36256" t="s">
        <v>0</v>
      </c>
    </row>
    <row r="36257" spans="1:1" x14ac:dyDescent="0.3">
      <c r="A36257" t="s">
        <v>0</v>
      </c>
    </row>
    <row r="36258" spans="1:1" x14ac:dyDescent="0.3">
      <c r="A36258" t="s">
        <v>0</v>
      </c>
    </row>
    <row r="36259" spans="1:1" x14ac:dyDescent="0.3">
      <c r="A36259" t="s">
        <v>0</v>
      </c>
    </row>
    <row r="36260" spans="1:1" x14ac:dyDescent="0.3">
      <c r="A36260" t="s">
        <v>0</v>
      </c>
    </row>
    <row r="36261" spans="1:1" x14ac:dyDescent="0.3">
      <c r="A36261" t="s">
        <v>0</v>
      </c>
    </row>
    <row r="36262" spans="1:1" x14ac:dyDescent="0.3">
      <c r="A36262" t="s">
        <v>0</v>
      </c>
    </row>
    <row r="36263" spans="1:1" x14ac:dyDescent="0.3">
      <c r="A36263" t="s">
        <v>0</v>
      </c>
    </row>
    <row r="36264" spans="1:1" x14ac:dyDescent="0.3">
      <c r="A36264" t="s">
        <v>0</v>
      </c>
    </row>
    <row r="36265" spans="1:1" x14ac:dyDescent="0.3">
      <c r="A36265" t="s">
        <v>0</v>
      </c>
    </row>
    <row r="36266" spans="1:1" x14ac:dyDescent="0.3">
      <c r="A36266" t="s">
        <v>0</v>
      </c>
    </row>
    <row r="36267" spans="1:1" x14ac:dyDescent="0.3">
      <c r="A36267" t="s">
        <v>0</v>
      </c>
    </row>
    <row r="36268" spans="1:1" x14ac:dyDescent="0.3">
      <c r="A36268" t="s">
        <v>0</v>
      </c>
    </row>
    <row r="36269" spans="1:1" x14ac:dyDescent="0.3">
      <c r="A36269" t="s">
        <v>0</v>
      </c>
    </row>
    <row r="36270" spans="1:1" x14ac:dyDescent="0.3">
      <c r="A36270" t="s">
        <v>0</v>
      </c>
    </row>
    <row r="36271" spans="1:1" x14ac:dyDescent="0.3">
      <c r="A36271" t="s">
        <v>0</v>
      </c>
    </row>
    <row r="36272" spans="1:1" x14ac:dyDescent="0.3">
      <c r="A36272" t="s">
        <v>0</v>
      </c>
    </row>
    <row r="36273" spans="1:1" x14ac:dyDescent="0.3">
      <c r="A36273" t="s">
        <v>0</v>
      </c>
    </row>
    <row r="36274" spans="1:1" x14ac:dyDescent="0.3">
      <c r="A36274" t="s">
        <v>0</v>
      </c>
    </row>
    <row r="36275" spans="1:1" x14ac:dyDescent="0.3">
      <c r="A36275" t="s">
        <v>0</v>
      </c>
    </row>
    <row r="36276" spans="1:1" x14ac:dyDescent="0.3">
      <c r="A36276" t="s">
        <v>0</v>
      </c>
    </row>
    <row r="36277" spans="1:1" x14ac:dyDescent="0.3">
      <c r="A36277" t="s">
        <v>0</v>
      </c>
    </row>
    <row r="36278" spans="1:1" x14ac:dyDescent="0.3">
      <c r="A36278" t="s">
        <v>0</v>
      </c>
    </row>
    <row r="36279" spans="1:1" x14ac:dyDescent="0.3">
      <c r="A36279" t="s">
        <v>0</v>
      </c>
    </row>
    <row r="36280" spans="1:1" x14ac:dyDescent="0.3">
      <c r="A36280" t="s">
        <v>0</v>
      </c>
    </row>
    <row r="36281" spans="1:1" x14ac:dyDescent="0.3">
      <c r="A36281" t="s">
        <v>0</v>
      </c>
    </row>
    <row r="36282" spans="1:1" x14ac:dyDescent="0.3">
      <c r="A36282" t="s">
        <v>0</v>
      </c>
    </row>
    <row r="36283" spans="1:1" x14ac:dyDescent="0.3">
      <c r="A36283" t="s">
        <v>0</v>
      </c>
    </row>
    <row r="36284" spans="1:1" x14ac:dyDescent="0.3">
      <c r="A36284" t="s">
        <v>0</v>
      </c>
    </row>
    <row r="36285" spans="1:1" x14ac:dyDescent="0.3">
      <c r="A36285" t="s">
        <v>0</v>
      </c>
    </row>
    <row r="36286" spans="1:1" x14ac:dyDescent="0.3">
      <c r="A36286" t="s">
        <v>0</v>
      </c>
    </row>
    <row r="36287" spans="1:1" x14ac:dyDescent="0.3">
      <c r="A36287" t="s">
        <v>0</v>
      </c>
    </row>
    <row r="36288" spans="1:1" x14ac:dyDescent="0.3">
      <c r="A36288" t="s">
        <v>0</v>
      </c>
    </row>
    <row r="36289" spans="1:1" x14ac:dyDescent="0.3">
      <c r="A36289" t="s">
        <v>0</v>
      </c>
    </row>
    <row r="36290" spans="1:1" x14ac:dyDescent="0.3">
      <c r="A36290" t="s">
        <v>0</v>
      </c>
    </row>
    <row r="36291" spans="1:1" x14ac:dyDescent="0.3">
      <c r="A36291" t="s">
        <v>0</v>
      </c>
    </row>
    <row r="36292" spans="1:1" x14ac:dyDescent="0.3">
      <c r="A36292" t="s">
        <v>0</v>
      </c>
    </row>
    <row r="36293" spans="1:1" x14ac:dyDescent="0.3">
      <c r="A36293" t="s">
        <v>0</v>
      </c>
    </row>
    <row r="36294" spans="1:1" x14ac:dyDescent="0.3">
      <c r="A36294" t="s">
        <v>0</v>
      </c>
    </row>
    <row r="36295" spans="1:1" x14ac:dyDescent="0.3">
      <c r="A36295" t="s">
        <v>0</v>
      </c>
    </row>
    <row r="36296" spans="1:1" x14ac:dyDescent="0.3">
      <c r="A36296" t="s">
        <v>0</v>
      </c>
    </row>
    <row r="36297" spans="1:1" x14ac:dyDescent="0.3">
      <c r="A36297" t="s">
        <v>0</v>
      </c>
    </row>
    <row r="36298" spans="1:1" x14ac:dyDescent="0.3">
      <c r="A36298" t="s">
        <v>0</v>
      </c>
    </row>
    <row r="36299" spans="1:1" x14ac:dyDescent="0.3">
      <c r="A36299" t="s">
        <v>0</v>
      </c>
    </row>
    <row r="36300" spans="1:1" x14ac:dyDescent="0.3">
      <c r="A36300" t="s">
        <v>0</v>
      </c>
    </row>
    <row r="36301" spans="1:1" x14ac:dyDescent="0.3">
      <c r="A36301" t="s">
        <v>0</v>
      </c>
    </row>
    <row r="36302" spans="1:1" x14ac:dyDescent="0.3">
      <c r="A36302" t="s">
        <v>0</v>
      </c>
    </row>
    <row r="36303" spans="1:1" x14ac:dyDescent="0.3">
      <c r="A36303" t="s">
        <v>0</v>
      </c>
    </row>
    <row r="36304" spans="1:1" x14ac:dyDescent="0.3">
      <c r="A36304" t="s">
        <v>0</v>
      </c>
    </row>
    <row r="36305" spans="1:1" x14ac:dyDescent="0.3">
      <c r="A36305" t="s">
        <v>0</v>
      </c>
    </row>
    <row r="36306" spans="1:1" x14ac:dyDescent="0.3">
      <c r="A36306" t="s">
        <v>0</v>
      </c>
    </row>
    <row r="36307" spans="1:1" x14ac:dyDescent="0.3">
      <c r="A36307" t="s">
        <v>0</v>
      </c>
    </row>
    <row r="36308" spans="1:1" x14ac:dyDescent="0.3">
      <c r="A36308" t="s">
        <v>0</v>
      </c>
    </row>
    <row r="36309" spans="1:1" x14ac:dyDescent="0.3">
      <c r="A36309" t="s">
        <v>0</v>
      </c>
    </row>
    <row r="36310" spans="1:1" x14ac:dyDescent="0.3">
      <c r="A36310" t="s">
        <v>0</v>
      </c>
    </row>
    <row r="36311" spans="1:1" x14ac:dyDescent="0.3">
      <c r="A36311" t="s">
        <v>0</v>
      </c>
    </row>
    <row r="36312" spans="1:1" x14ac:dyDescent="0.3">
      <c r="A36312" t="s">
        <v>0</v>
      </c>
    </row>
    <row r="36313" spans="1:1" x14ac:dyDescent="0.3">
      <c r="A36313" t="s">
        <v>0</v>
      </c>
    </row>
    <row r="36314" spans="1:1" x14ac:dyDescent="0.3">
      <c r="A36314" t="s">
        <v>0</v>
      </c>
    </row>
    <row r="36315" spans="1:1" x14ac:dyDescent="0.3">
      <c r="A36315" t="s">
        <v>0</v>
      </c>
    </row>
    <row r="36316" spans="1:1" x14ac:dyDescent="0.3">
      <c r="A36316" t="s">
        <v>0</v>
      </c>
    </row>
    <row r="36317" spans="1:1" x14ac:dyDescent="0.3">
      <c r="A36317" t="s">
        <v>0</v>
      </c>
    </row>
    <row r="36318" spans="1:1" x14ac:dyDescent="0.3">
      <c r="A36318" t="s">
        <v>0</v>
      </c>
    </row>
    <row r="36319" spans="1:1" x14ac:dyDescent="0.3">
      <c r="A36319" t="s">
        <v>0</v>
      </c>
    </row>
    <row r="36320" spans="1:1" x14ac:dyDescent="0.3">
      <c r="A36320" t="s">
        <v>0</v>
      </c>
    </row>
    <row r="36321" spans="1:1" x14ac:dyDescent="0.3">
      <c r="A36321" t="s">
        <v>0</v>
      </c>
    </row>
    <row r="36322" spans="1:1" x14ac:dyDescent="0.3">
      <c r="A36322" t="s">
        <v>0</v>
      </c>
    </row>
    <row r="36323" spans="1:1" x14ac:dyDescent="0.3">
      <c r="A36323" t="s">
        <v>0</v>
      </c>
    </row>
    <row r="36324" spans="1:1" x14ac:dyDescent="0.3">
      <c r="A36324" t="s">
        <v>0</v>
      </c>
    </row>
    <row r="36325" spans="1:1" x14ac:dyDescent="0.3">
      <c r="A36325" t="s">
        <v>0</v>
      </c>
    </row>
    <row r="36326" spans="1:1" x14ac:dyDescent="0.3">
      <c r="A36326" t="s">
        <v>0</v>
      </c>
    </row>
    <row r="36327" spans="1:1" x14ac:dyDescent="0.3">
      <c r="A36327" t="s">
        <v>0</v>
      </c>
    </row>
    <row r="36328" spans="1:1" x14ac:dyDescent="0.3">
      <c r="A36328" t="s">
        <v>0</v>
      </c>
    </row>
    <row r="36329" spans="1:1" x14ac:dyDescent="0.3">
      <c r="A36329" t="s">
        <v>0</v>
      </c>
    </row>
    <row r="36330" spans="1:1" x14ac:dyDescent="0.3">
      <c r="A36330" t="s">
        <v>0</v>
      </c>
    </row>
    <row r="36331" spans="1:1" x14ac:dyDescent="0.3">
      <c r="A36331" t="s">
        <v>0</v>
      </c>
    </row>
    <row r="36332" spans="1:1" x14ac:dyDescent="0.3">
      <c r="A36332" t="s">
        <v>0</v>
      </c>
    </row>
    <row r="36333" spans="1:1" x14ac:dyDescent="0.3">
      <c r="A36333" t="s">
        <v>0</v>
      </c>
    </row>
    <row r="36334" spans="1:1" x14ac:dyDescent="0.3">
      <c r="A36334" t="s">
        <v>0</v>
      </c>
    </row>
    <row r="36335" spans="1:1" x14ac:dyDescent="0.3">
      <c r="A36335" t="s">
        <v>0</v>
      </c>
    </row>
    <row r="36336" spans="1:1" x14ac:dyDescent="0.3">
      <c r="A36336" t="s">
        <v>0</v>
      </c>
    </row>
    <row r="36337" spans="1:1" x14ac:dyDescent="0.3">
      <c r="A36337" t="s">
        <v>0</v>
      </c>
    </row>
    <row r="36338" spans="1:1" x14ac:dyDescent="0.3">
      <c r="A36338" t="s">
        <v>0</v>
      </c>
    </row>
    <row r="36339" spans="1:1" x14ac:dyDescent="0.3">
      <c r="A36339" t="s">
        <v>0</v>
      </c>
    </row>
    <row r="36340" spans="1:1" x14ac:dyDescent="0.3">
      <c r="A36340" t="s">
        <v>0</v>
      </c>
    </row>
    <row r="36341" spans="1:1" x14ac:dyDescent="0.3">
      <c r="A36341" t="s">
        <v>0</v>
      </c>
    </row>
    <row r="36342" spans="1:1" x14ac:dyDescent="0.3">
      <c r="A36342" t="s">
        <v>0</v>
      </c>
    </row>
    <row r="36343" spans="1:1" x14ac:dyDescent="0.3">
      <c r="A36343" t="s">
        <v>0</v>
      </c>
    </row>
    <row r="36344" spans="1:1" x14ac:dyDescent="0.3">
      <c r="A36344" t="s">
        <v>0</v>
      </c>
    </row>
    <row r="36345" spans="1:1" x14ac:dyDescent="0.3">
      <c r="A36345" t="s">
        <v>0</v>
      </c>
    </row>
    <row r="36346" spans="1:1" x14ac:dyDescent="0.3">
      <c r="A36346" t="s">
        <v>0</v>
      </c>
    </row>
    <row r="36347" spans="1:1" x14ac:dyDescent="0.3">
      <c r="A36347" t="s">
        <v>0</v>
      </c>
    </row>
    <row r="36348" spans="1:1" x14ac:dyDescent="0.3">
      <c r="A36348" t="s">
        <v>0</v>
      </c>
    </row>
    <row r="36349" spans="1:1" x14ac:dyDescent="0.3">
      <c r="A36349" t="s">
        <v>0</v>
      </c>
    </row>
    <row r="36350" spans="1:1" x14ac:dyDescent="0.3">
      <c r="A36350" t="s">
        <v>0</v>
      </c>
    </row>
    <row r="36351" spans="1:1" x14ac:dyDescent="0.3">
      <c r="A36351" t="s">
        <v>0</v>
      </c>
    </row>
    <row r="36352" spans="1:1" x14ac:dyDescent="0.3">
      <c r="A36352" t="s">
        <v>0</v>
      </c>
    </row>
    <row r="36353" spans="1:1" x14ac:dyDescent="0.3">
      <c r="A36353" t="s">
        <v>0</v>
      </c>
    </row>
    <row r="36354" spans="1:1" x14ac:dyDescent="0.3">
      <c r="A36354" t="s">
        <v>0</v>
      </c>
    </row>
    <row r="36355" spans="1:1" x14ac:dyDescent="0.3">
      <c r="A36355" t="s">
        <v>0</v>
      </c>
    </row>
    <row r="36356" spans="1:1" x14ac:dyDescent="0.3">
      <c r="A36356" t="s">
        <v>0</v>
      </c>
    </row>
    <row r="36357" spans="1:1" x14ac:dyDescent="0.3">
      <c r="A36357" t="s">
        <v>0</v>
      </c>
    </row>
    <row r="36358" spans="1:1" x14ac:dyDescent="0.3">
      <c r="A36358" t="s">
        <v>0</v>
      </c>
    </row>
    <row r="36359" spans="1:1" x14ac:dyDescent="0.3">
      <c r="A36359" t="s">
        <v>0</v>
      </c>
    </row>
    <row r="36360" spans="1:1" x14ac:dyDescent="0.3">
      <c r="A36360" t="s">
        <v>0</v>
      </c>
    </row>
    <row r="36361" spans="1:1" x14ac:dyDescent="0.3">
      <c r="A36361" t="s">
        <v>0</v>
      </c>
    </row>
    <row r="36362" spans="1:1" x14ac:dyDescent="0.3">
      <c r="A36362" t="s">
        <v>0</v>
      </c>
    </row>
    <row r="36363" spans="1:1" x14ac:dyDescent="0.3">
      <c r="A36363" t="s">
        <v>0</v>
      </c>
    </row>
    <row r="36364" spans="1:1" x14ac:dyDescent="0.3">
      <c r="A36364" t="s">
        <v>0</v>
      </c>
    </row>
    <row r="36365" spans="1:1" x14ac:dyDescent="0.3">
      <c r="A36365" t="s">
        <v>0</v>
      </c>
    </row>
    <row r="36366" spans="1:1" x14ac:dyDescent="0.3">
      <c r="A36366" t="s">
        <v>0</v>
      </c>
    </row>
    <row r="36367" spans="1:1" x14ac:dyDescent="0.3">
      <c r="A36367" t="s">
        <v>0</v>
      </c>
    </row>
    <row r="36368" spans="1:1" x14ac:dyDescent="0.3">
      <c r="A36368" t="s">
        <v>0</v>
      </c>
    </row>
    <row r="36369" spans="1:1" x14ac:dyDescent="0.3">
      <c r="A36369" t="s">
        <v>0</v>
      </c>
    </row>
    <row r="36370" spans="1:1" x14ac:dyDescent="0.3">
      <c r="A36370" t="s">
        <v>0</v>
      </c>
    </row>
    <row r="36371" spans="1:1" x14ac:dyDescent="0.3">
      <c r="A36371" t="s">
        <v>0</v>
      </c>
    </row>
    <row r="36372" spans="1:1" x14ac:dyDescent="0.3">
      <c r="A36372" t="s">
        <v>0</v>
      </c>
    </row>
    <row r="36373" spans="1:1" x14ac:dyDescent="0.3">
      <c r="A36373" t="s">
        <v>0</v>
      </c>
    </row>
    <row r="36374" spans="1:1" x14ac:dyDescent="0.3">
      <c r="A36374" t="s">
        <v>0</v>
      </c>
    </row>
    <row r="36375" spans="1:1" x14ac:dyDescent="0.3">
      <c r="A36375" t="s">
        <v>0</v>
      </c>
    </row>
    <row r="36376" spans="1:1" x14ac:dyDescent="0.3">
      <c r="A36376" t="s">
        <v>0</v>
      </c>
    </row>
    <row r="36377" spans="1:1" x14ac:dyDescent="0.3">
      <c r="A36377" t="s">
        <v>0</v>
      </c>
    </row>
    <row r="36378" spans="1:1" x14ac:dyDescent="0.3">
      <c r="A36378" t="s">
        <v>0</v>
      </c>
    </row>
    <row r="36379" spans="1:1" x14ac:dyDescent="0.3">
      <c r="A36379" t="s">
        <v>0</v>
      </c>
    </row>
    <row r="36380" spans="1:1" x14ac:dyDescent="0.3">
      <c r="A36380" t="s">
        <v>0</v>
      </c>
    </row>
    <row r="36381" spans="1:1" x14ac:dyDescent="0.3">
      <c r="A36381" t="s">
        <v>0</v>
      </c>
    </row>
    <row r="36382" spans="1:1" x14ac:dyDescent="0.3">
      <c r="A36382" t="s">
        <v>0</v>
      </c>
    </row>
    <row r="36383" spans="1:1" x14ac:dyDescent="0.3">
      <c r="A36383" t="s">
        <v>0</v>
      </c>
    </row>
    <row r="36384" spans="1:1" x14ac:dyDescent="0.3">
      <c r="A36384" t="s">
        <v>0</v>
      </c>
    </row>
    <row r="36385" spans="1:1" x14ac:dyDescent="0.3">
      <c r="A36385" t="s">
        <v>0</v>
      </c>
    </row>
    <row r="36386" spans="1:1" x14ac:dyDescent="0.3">
      <c r="A36386" t="s">
        <v>0</v>
      </c>
    </row>
    <row r="36387" spans="1:1" x14ac:dyDescent="0.3">
      <c r="A36387" t="s">
        <v>0</v>
      </c>
    </row>
    <row r="36388" spans="1:1" x14ac:dyDescent="0.3">
      <c r="A36388" t="s">
        <v>0</v>
      </c>
    </row>
    <row r="36389" spans="1:1" x14ac:dyDescent="0.3">
      <c r="A36389" t="s">
        <v>0</v>
      </c>
    </row>
    <row r="36390" spans="1:1" x14ac:dyDescent="0.3">
      <c r="A36390" t="s">
        <v>0</v>
      </c>
    </row>
    <row r="36391" spans="1:1" x14ac:dyDescent="0.3">
      <c r="A36391" t="s">
        <v>0</v>
      </c>
    </row>
    <row r="36392" spans="1:1" x14ac:dyDescent="0.3">
      <c r="A36392" t="s">
        <v>0</v>
      </c>
    </row>
    <row r="36393" spans="1:1" x14ac:dyDescent="0.3">
      <c r="A36393" t="s">
        <v>0</v>
      </c>
    </row>
    <row r="36394" spans="1:1" x14ac:dyDescent="0.3">
      <c r="A36394" t="s">
        <v>0</v>
      </c>
    </row>
    <row r="36395" spans="1:1" x14ac:dyDescent="0.3">
      <c r="A36395" t="s">
        <v>0</v>
      </c>
    </row>
    <row r="36396" spans="1:1" x14ac:dyDescent="0.3">
      <c r="A36396" t="s">
        <v>0</v>
      </c>
    </row>
    <row r="36397" spans="1:1" x14ac:dyDescent="0.3">
      <c r="A36397" t="s">
        <v>0</v>
      </c>
    </row>
    <row r="36398" spans="1:1" x14ac:dyDescent="0.3">
      <c r="A36398" t="s">
        <v>0</v>
      </c>
    </row>
    <row r="36399" spans="1:1" x14ac:dyDescent="0.3">
      <c r="A36399" t="s">
        <v>0</v>
      </c>
    </row>
    <row r="36400" spans="1:1" x14ac:dyDescent="0.3">
      <c r="A36400" t="s">
        <v>0</v>
      </c>
    </row>
    <row r="36401" spans="1:1" x14ac:dyDescent="0.3">
      <c r="A36401" t="s">
        <v>0</v>
      </c>
    </row>
    <row r="36402" spans="1:1" x14ac:dyDescent="0.3">
      <c r="A36402" t="s">
        <v>0</v>
      </c>
    </row>
    <row r="36403" spans="1:1" x14ac:dyDescent="0.3">
      <c r="A36403" t="s">
        <v>0</v>
      </c>
    </row>
    <row r="36404" spans="1:1" x14ac:dyDescent="0.3">
      <c r="A36404" t="s">
        <v>0</v>
      </c>
    </row>
    <row r="36405" spans="1:1" x14ac:dyDescent="0.3">
      <c r="A36405" t="s">
        <v>0</v>
      </c>
    </row>
    <row r="36406" spans="1:1" x14ac:dyDescent="0.3">
      <c r="A36406" t="s">
        <v>0</v>
      </c>
    </row>
    <row r="36407" spans="1:1" x14ac:dyDescent="0.3">
      <c r="A36407" t="s">
        <v>0</v>
      </c>
    </row>
    <row r="36408" spans="1:1" x14ac:dyDescent="0.3">
      <c r="A36408" t="s">
        <v>0</v>
      </c>
    </row>
    <row r="36409" spans="1:1" x14ac:dyDescent="0.3">
      <c r="A36409" t="s">
        <v>0</v>
      </c>
    </row>
    <row r="36410" spans="1:1" x14ac:dyDescent="0.3">
      <c r="A36410" t="s">
        <v>0</v>
      </c>
    </row>
    <row r="36411" spans="1:1" x14ac:dyDescent="0.3">
      <c r="A36411" t="s">
        <v>0</v>
      </c>
    </row>
    <row r="36412" spans="1:1" x14ac:dyDescent="0.3">
      <c r="A36412" t="s">
        <v>0</v>
      </c>
    </row>
    <row r="36413" spans="1:1" x14ac:dyDescent="0.3">
      <c r="A36413" t="s">
        <v>0</v>
      </c>
    </row>
    <row r="36414" spans="1:1" x14ac:dyDescent="0.3">
      <c r="A36414" t="s">
        <v>0</v>
      </c>
    </row>
    <row r="36415" spans="1:1" x14ac:dyDescent="0.3">
      <c r="A36415" t="s">
        <v>0</v>
      </c>
    </row>
    <row r="36416" spans="1:1" x14ac:dyDescent="0.3">
      <c r="A36416" t="s">
        <v>0</v>
      </c>
    </row>
    <row r="36417" spans="1:1" x14ac:dyDescent="0.3">
      <c r="A36417" t="s">
        <v>0</v>
      </c>
    </row>
    <row r="36418" spans="1:1" x14ac:dyDescent="0.3">
      <c r="A36418" t="s">
        <v>0</v>
      </c>
    </row>
    <row r="36419" spans="1:1" x14ac:dyDescent="0.3">
      <c r="A36419" t="s">
        <v>0</v>
      </c>
    </row>
    <row r="36420" spans="1:1" x14ac:dyDescent="0.3">
      <c r="A36420" t="s">
        <v>0</v>
      </c>
    </row>
    <row r="36421" spans="1:1" x14ac:dyDescent="0.3">
      <c r="A36421" t="s">
        <v>0</v>
      </c>
    </row>
    <row r="36422" spans="1:1" x14ac:dyDescent="0.3">
      <c r="A36422" t="s">
        <v>0</v>
      </c>
    </row>
    <row r="36423" spans="1:1" x14ac:dyDescent="0.3">
      <c r="A36423" t="s">
        <v>0</v>
      </c>
    </row>
    <row r="36424" spans="1:1" x14ac:dyDescent="0.3">
      <c r="A36424" t="s">
        <v>0</v>
      </c>
    </row>
    <row r="36425" spans="1:1" x14ac:dyDescent="0.3">
      <c r="A36425" t="s">
        <v>0</v>
      </c>
    </row>
    <row r="36426" spans="1:1" x14ac:dyDescent="0.3">
      <c r="A36426" t="s">
        <v>0</v>
      </c>
    </row>
    <row r="36427" spans="1:1" x14ac:dyDescent="0.3">
      <c r="A36427" t="s">
        <v>0</v>
      </c>
    </row>
    <row r="36428" spans="1:1" x14ac:dyDescent="0.3">
      <c r="A36428" t="s">
        <v>0</v>
      </c>
    </row>
    <row r="36429" spans="1:1" x14ac:dyDescent="0.3">
      <c r="A36429" t="s">
        <v>0</v>
      </c>
    </row>
    <row r="36430" spans="1:1" x14ac:dyDescent="0.3">
      <c r="A36430" t="s">
        <v>0</v>
      </c>
    </row>
    <row r="36431" spans="1:1" x14ac:dyDescent="0.3">
      <c r="A36431" t="s">
        <v>0</v>
      </c>
    </row>
    <row r="36432" spans="1:1" x14ac:dyDescent="0.3">
      <c r="A36432" t="s">
        <v>0</v>
      </c>
    </row>
    <row r="36433" spans="1:1" x14ac:dyDescent="0.3">
      <c r="A36433" t="s">
        <v>0</v>
      </c>
    </row>
    <row r="36434" spans="1:1" x14ac:dyDescent="0.3">
      <c r="A36434" t="s">
        <v>0</v>
      </c>
    </row>
    <row r="36435" spans="1:1" x14ac:dyDescent="0.3">
      <c r="A36435" t="s">
        <v>0</v>
      </c>
    </row>
    <row r="36436" spans="1:1" x14ac:dyDescent="0.3">
      <c r="A36436" t="s">
        <v>0</v>
      </c>
    </row>
    <row r="36437" spans="1:1" x14ac:dyDescent="0.3">
      <c r="A36437" t="s">
        <v>0</v>
      </c>
    </row>
    <row r="36438" spans="1:1" x14ac:dyDescent="0.3">
      <c r="A36438" t="s">
        <v>0</v>
      </c>
    </row>
    <row r="36439" spans="1:1" x14ac:dyDescent="0.3">
      <c r="A36439" t="s">
        <v>0</v>
      </c>
    </row>
    <row r="36440" spans="1:1" x14ac:dyDescent="0.3">
      <c r="A36440" t="s">
        <v>0</v>
      </c>
    </row>
    <row r="36441" spans="1:1" x14ac:dyDescent="0.3">
      <c r="A36441" t="s">
        <v>0</v>
      </c>
    </row>
    <row r="36442" spans="1:1" x14ac:dyDescent="0.3">
      <c r="A36442" t="s">
        <v>0</v>
      </c>
    </row>
    <row r="36443" spans="1:1" x14ac:dyDescent="0.3">
      <c r="A36443" t="s">
        <v>0</v>
      </c>
    </row>
    <row r="36444" spans="1:1" x14ac:dyDescent="0.3">
      <c r="A36444" t="s">
        <v>0</v>
      </c>
    </row>
    <row r="36445" spans="1:1" x14ac:dyDescent="0.3">
      <c r="A36445" t="s">
        <v>0</v>
      </c>
    </row>
    <row r="36446" spans="1:1" x14ac:dyDescent="0.3">
      <c r="A36446" t="s">
        <v>0</v>
      </c>
    </row>
    <row r="36447" spans="1:1" x14ac:dyDescent="0.3">
      <c r="A36447" t="s">
        <v>0</v>
      </c>
    </row>
    <row r="36448" spans="1:1" x14ac:dyDescent="0.3">
      <c r="A36448" t="s">
        <v>0</v>
      </c>
    </row>
    <row r="36449" spans="1:1" x14ac:dyDescent="0.3">
      <c r="A36449" t="s">
        <v>0</v>
      </c>
    </row>
    <row r="36450" spans="1:1" x14ac:dyDescent="0.3">
      <c r="A36450" t="s">
        <v>0</v>
      </c>
    </row>
    <row r="36451" spans="1:1" x14ac:dyDescent="0.3">
      <c r="A36451" t="s">
        <v>0</v>
      </c>
    </row>
    <row r="36452" spans="1:1" x14ac:dyDescent="0.3">
      <c r="A36452" t="s">
        <v>0</v>
      </c>
    </row>
    <row r="36453" spans="1:1" x14ac:dyDescent="0.3">
      <c r="A36453" t="s">
        <v>0</v>
      </c>
    </row>
    <row r="36454" spans="1:1" x14ac:dyDescent="0.3">
      <c r="A36454" t="s">
        <v>0</v>
      </c>
    </row>
    <row r="36455" spans="1:1" x14ac:dyDescent="0.3">
      <c r="A36455" t="s">
        <v>0</v>
      </c>
    </row>
    <row r="36456" spans="1:1" x14ac:dyDescent="0.3">
      <c r="A36456" t="s">
        <v>0</v>
      </c>
    </row>
    <row r="36457" spans="1:1" x14ac:dyDescent="0.3">
      <c r="A36457" t="s">
        <v>0</v>
      </c>
    </row>
    <row r="36458" spans="1:1" x14ac:dyDescent="0.3">
      <c r="A36458" t="s">
        <v>0</v>
      </c>
    </row>
    <row r="36459" spans="1:1" x14ac:dyDescent="0.3">
      <c r="A36459" t="s">
        <v>0</v>
      </c>
    </row>
    <row r="36460" spans="1:1" x14ac:dyDescent="0.3">
      <c r="A36460" t="s">
        <v>0</v>
      </c>
    </row>
    <row r="36461" spans="1:1" x14ac:dyDescent="0.3">
      <c r="A36461" t="s">
        <v>0</v>
      </c>
    </row>
    <row r="36462" spans="1:1" x14ac:dyDescent="0.3">
      <c r="A36462" t="s">
        <v>0</v>
      </c>
    </row>
    <row r="36463" spans="1:1" x14ac:dyDescent="0.3">
      <c r="A36463" t="s">
        <v>0</v>
      </c>
    </row>
    <row r="36464" spans="1:1" x14ac:dyDescent="0.3">
      <c r="A36464" t="s">
        <v>0</v>
      </c>
    </row>
    <row r="36465" spans="1:1" x14ac:dyDescent="0.3">
      <c r="A36465" t="s">
        <v>0</v>
      </c>
    </row>
    <row r="36466" spans="1:1" x14ac:dyDescent="0.3">
      <c r="A36466" t="s">
        <v>0</v>
      </c>
    </row>
    <row r="36467" spans="1:1" x14ac:dyDescent="0.3">
      <c r="A36467" t="s">
        <v>0</v>
      </c>
    </row>
    <row r="36468" spans="1:1" x14ac:dyDescent="0.3">
      <c r="A36468" t="s">
        <v>0</v>
      </c>
    </row>
    <row r="36469" spans="1:1" x14ac:dyDescent="0.3">
      <c r="A36469" t="s">
        <v>0</v>
      </c>
    </row>
    <row r="36470" spans="1:1" x14ac:dyDescent="0.3">
      <c r="A36470" t="s">
        <v>0</v>
      </c>
    </row>
    <row r="36471" spans="1:1" x14ac:dyDescent="0.3">
      <c r="A36471" t="s">
        <v>0</v>
      </c>
    </row>
    <row r="36472" spans="1:1" x14ac:dyDescent="0.3">
      <c r="A36472" t="s">
        <v>0</v>
      </c>
    </row>
    <row r="36473" spans="1:1" x14ac:dyDescent="0.3">
      <c r="A36473" t="s">
        <v>0</v>
      </c>
    </row>
    <row r="36474" spans="1:1" x14ac:dyDescent="0.3">
      <c r="A36474" t="s">
        <v>0</v>
      </c>
    </row>
    <row r="36475" spans="1:1" x14ac:dyDescent="0.3">
      <c r="A36475" t="s">
        <v>0</v>
      </c>
    </row>
    <row r="36476" spans="1:1" x14ac:dyDescent="0.3">
      <c r="A36476" t="s">
        <v>0</v>
      </c>
    </row>
    <row r="36477" spans="1:1" x14ac:dyDescent="0.3">
      <c r="A36477" t="s">
        <v>0</v>
      </c>
    </row>
    <row r="36478" spans="1:1" x14ac:dyDescent="0.3">
      <c r="A36478" t="s">
        <v>0</v>
      </c>
    </row>
    <row r="36479" spans="1:1" x14ac:dyDescent="0.3">
      <c r="A36479" t="s">
        <v>0</v>
      </c>
    </row>
    <row r="36480" spans="1:1" x14ac:dyDescent="0.3">
      <c r="A36480" t="s">
        <v>0</v>
      </c>
    </row>
    <row r="36481" spans="1:1" x14ac:dyDescent="0.3">
      <c r="A36481" t="s">
        <v>0</v>
      </c>
    </row>
    <row r="36482" spans="1:1" x14ac:dyDescent="0.3">
      <c r="A36482" t="s">
        <v>0</v>
      </c>
    </row>
    <row r="36483" spans="1:1" x14ac:dyDescent="0.3">
      <c r="A36483" t="s">
        <v>0</v>
      </c>
    </row>
    <row r="36484" spans="1:1" x14ac:dyDescent="0.3">
      <c r="A36484" t="s">
        <v>0</v>
      </c>
    </row>
    <row r="36485" spans="1:1" x14ac:dyDescent="0.3">
      <c r="A36485" t="s">
        <v>0</v>
      </c>
    </row>
    <row r="36486" spans="1:1" x14ac:dyDescent="0.3">
      <c r="A36486" t="s">
        <v>0</v>
      </c>
    </row>
    <row r="36487" spans="1:1" x14ac:dyDescent="0.3">
      <c r="A36487" t="s">
        <v>0</v>
      </c>
    </row>
    <row r="36488" spans="1:1" x14ac:dyDescent="0.3">
      <c r="A36488" t="s">
        <v>0</v>
      </c>
    </row>
    <row r="36489" spans="1:1" x14ac:dyDescent="0.3">
      <c r="A36489" t="s">
        <v>0</v>
      </c>
    </row>
    <row r="36490" spans="1:1" x14ac:dyDescent="0.3">
      <c r="A36490" t="s">
        <v>0</v>
      </c>
    </row>
    <row r="36491" spans="1:1" x14ac:dyDescent="0.3">
      <c r="A36491" t="s">
        <v>0</v>
      </c>
    </row>
    <row r="36492" spans="1:1" x14ac:dyDescent="0.3">
      <c r="A36492" t="s">
        <v>0</v>
      </c>
    </row>
    <row r="36493" spans="1:1" x14ac:dyDescent="0.3">
      <c r="A36493" t="s">
        <v>0</v>
      </c>
    </row>
    <row r="36494" spans="1:1" x14ac:dyDescent="0.3">
      <c r="A36494" t="s">
        <v>0</v>
      </c>
    </row>
    <row r="36495" spans="1:1" x14ac:dyDescent="0.3">
      <c r="A36495" t="s">
        <v>0</v>
      </c>
    </row>
    <row r="36496" spans="1:1" x14ac:dyDescent="0.3">
      <c r="A36496" t="s">
        <v>0</v>
      </c>
    </row>
    <row r="36497" spans="1:1" x14ac:dyDescent="0.3">
      <c r="A36497" t="s">
        <v>0</v>
      </c>
    </row>
    <row r="36498" spans="1:1" x14ac:dyDescent="0.3">
      <c r="A36498" t="s">
        <v>0</v>
      </c>
    </row>
    <row r="36499" spans="1:1" x14ac:dyDescent="0.3">
      <c r="A36499" t="s">
        <v>0</v>
      </c>
    </row>
    <row r="36500" spans="1:1" x14ac:dyDescent="0.3">
      <c r="A36500" t="s">
        <v>0</v>
      </c>
    </row>
    <row r="36501" spans="1:1" x14ac:dyDescent="0.3">
      <c r="A36501" t="s">
        <v>0</v>
      </c>
    </row>
    <row r="36502" spans="1:1" x14ac:dyDescent="0.3">
      <c r="A36502" t="s">
        <v>0</v>
      </c>
    </row>
    <row r="36503" spans="1:1" x14ac:dyDescent="0.3">
      <c r="A36503" t="s">
        <v>0</v>
      </c>
    </row>
    <row r="36504" spans="1:1" x14ac:dyDescent="0.3">
      <c r="A36504" t="s">
        <v>0</v>
      </c>
    </row>
    <row r="36505" spans="1:1" x14ac:dyDescent="0.3">
      <c r="A36505" t="s">
        <v>0</v>
      </c>
    </row>
    <row r="36506" spans="1:1" x14ac:dyDescent="0.3">
      <c r="A36506" t="s">
        <v>0</v>
      </c>
    </row>
    <row r="36507" spans="1:1" x14ac:dyDescent="0.3">
      <c r="A36507" t="s">
        <v>0</v>
      </c>
    </row>
    <row r="36508" spans="1:1" x14ac:dyDescent="0.3">
      <c r="A36508" t="s">
        <v>0</v>
      </c>
    </row>
    <row r="36509" spans="1:1" x14ac:dyDescent="0.3">
      <c r="A36509" t="s">
        <v>0</v>
      </c>
    </row>
    <row r="36510" spans="1:1" x14ac:dyDescent="0.3">
      <c r="A36510" t="s">
        <v>0</v>
      </c>
    </row>
    <row r="36511" spans="1:1" x14ac:dyDescent="0.3">
      <c r="A36511" t="s">
        <v>0</v>
      </c>
    </row>
    <row r="36512" spans="1:1" x14ac:dyDescent="0.3">
      <c r="A36512" t="s">
        <v>0</v>
      </c>
    </row>
    <row r="36513" spans="1:1" x14ac:dyDescent="0.3">
      <c r="A36513" t="s">
        <v>0</v>
      </c>
    </row>
    <row r="36514" spans="1:1" x14ac:dyDescent="0.3">
      <c r="A36514" t="s">
        <v>0</v>
      </c>
    </row>
    <row r="36515" spans="1:1" x14ac:dyDescent="0.3">
      <c r="A36515" t="s">
        <v>0</v>
      </c>
    </row>
    <row r="36516" spans="1:1" x14ac:dyDescent="0.3">
      <c r="A36516" t="s">
        <v>0</v>
      </c>
    </row>
    <row r="36517" spans="1:1" x14ac:dyDescent="0.3">
      <c r="A36517" t="s">
        <v>0</v>
      </c>
    </row>
    <row r="36518" spans="1:1" x14ac:dyDescent="0.3">
      <c r="A36518" t="s">
        <v>0</v>
      </c>
    </row>
    <row r="36519" spans="1:1" x14ac:dyDescent="0.3">
      <c r="A36519" t="s">
        <v>0</v>
      </c>
    </row>
    <row r="36520" spans="1:1" x14ac:dyDescent="0.3">
      <c r="A36520" t="s">
        <v>0</v>
      </c>
    </row>
    <row r="36521" spans="1:1" x14ac:dyDescent="0.3">
      <c r="A36521" t="s">
        <v>0</v>
      </c>
    </row>
    <row r="36522" spans="1:1" x14ac:dyDescent="0.3">
      <c r="A36522" t="s">
        <v>0</v>
      </c>
    </row>
    <row r="36523" spans="1:1" x14ac:dyDescent="0.3">
      <c r="A36523" t="s">
        <v>0</v>
      </c>
    </row>
    <row r="36524" spans="1:1" x14ac:dyDescent="0.3">
      <c r="A36524" t="s">
        <v>0</v>
      </c>
    </row>
    <row r="36525" spans="1:1" x14ac:dyDescent="0.3">
      <c r="A36525" t="s">
        <v>0</v>
      </c>
    </row>
    <row r="36526" spans="1:1" x14ac:dyDescent="0.3">
      <c r="A36526" t="s">
        <v>0</v>
      </c>
    </row>
    <row r="36527" spans="1:1" x14ac:dyDescent="0.3">
      <c r="A36527" t="s">
        <v>0</v>
      </c>
    </row>
    <row r="36528" spans="1:1" x14ac:dyDescent="0.3">
      <c r="A36528" t="s">
        <v>0</v>
      </c>
    </row>
    <row r="36529" spans="1:1" x14ac:dyDescent="0.3">
      <c r="A36529" t="s">
        <v>0</v>
      </c>
    </row>
    <row r="36530" spans="1:1" x14ac:dyDescent="0.3">
      <c r="A36530" t="s">
        <v>0</v>
      </c>
    </row>
    <row r="36531" spans="1:1" x14ac:dyDescent="0.3">
      <c r="A36531" t="s">
        <v>0</v>
      </c>
    </row>
    <row r="36532" spans="1:1" x14ac:dyDescent="0.3">
      <c r="A36532" t="s">
        <v>0</v>
      </c>
    </row>
    <row r="36533" spans="1:1" x14ac:dyDescent="0.3">
      <c r="A36533" t="s">
        <v>0</v>
      </c>
    </row>
    <row r="36534" spans="1:1" x14ac:dyDescent="0.3">
      <c r="A36534" t="s">
        <v>0</v>
      </c>
    </row>
    <row r="36535" spans="1:1" x14ac:dyDescent="0.3">
      <c r="A36535" t="s">
        <v>0</v>
      </c>
    </row>
    <row r="36536" spans="1:1" x14ac:dyDescent="0.3">
      <c r="A36536" t="s">
        <v>0</v>
      </c>
    </row>
    <row r="36537" spans="1:1" x14ac:dyDescent="0.3">
      <c r="A36537" t="s">
        <v>0</v>
      </c>
    </row>
    <row r="36538" spans="1:1" x14ac:dyDescent="0.3">
      <c r="A36538" t="s">
        <v>0</v>
      </c>
    </row>
    <row r="36539" spans="1:1" x14ac:dyDescent="0.3">
      <c r="A36539" t="s">
        <v>0</v>
      </c>
    </row>
    <row r="36540" spans="1:1" x14ac:dyDescent="0.3">
      <c r="A36540" t="s">
        <v>0</v>
      </c>
    </row>
    <row r="36541" spans="1:1" x14ac:dyDescent="0.3">
      <c r="A36541" t="s">
        <v>0</v>
      </c>
    </row>
    <row r="36542" spans="1:1" x14ac:dyDescent="0.3">
      <c r="A36542" t="s">
        <v>0</v>
      </c>
    </row>
    <row r="36543" spans="1:1" x14ac:dyDescent="0.3">
      <c r="A36543" t="s">
        <v>0</v>
      </c>
    </row>
    <row r="36544" spans="1:1" x14ac:dyDescent="0.3">
      <c r="A36544" t="s">
        <v>0</v>
      </c>
    </row>
    <row r="36545" spans="1:1" x14ac:dyDescent="0.3">
      <c r="A36545" t="s">
        <v>0</v>
      </c>
    </row>
    <row r="36546" spans="1:1" x14ac:dyDescent="0.3">
      <c r="A36546" t="s">
        <v>0</v>
      </c>
    </row>
    <row r="36547" spans="1:1" x14ac:dyDescent="0.3">
      <c r="A36547" t="s">
        <v>0</v>
      </c>
    </row>
    <row r="36548" spans="1:1" x14ac:dyDescent="0.3">
      <c r="A36548" t="s">
        <v>0</v>
      </c>
    </row>
    <row r="36549" spans="1:1" x14ac:dyDescent="0.3">
      <c r="A36549" t="s">
        <v>0</v>
      </c>
    </row>
    <row r="36550" spans="1:1" x14ac:dyDescent="0.3">
      <c r="A36550" t="s">
        <v>0</v>
      </c>
    </row>
    <row r="36551" spans="1:1" x14ac:dyDescent="0.3">
      <c r="A36551" t="s">
        <v>0</v>
      </c>
    </row>
    <row r="36552" spans="1:1" x14ac:dyDescent="0.3">
      <c r="A36552" t="s">
        <v>0</v>
      </c>
    </row>
    <row r="36553" spans="1:1" x14ac:dyDescent="0.3">
      <c r="A36553" t="s">
        <v>0</v>
      </c>
    </row>
    <row r="36554" spans="1:1" x14ac:dyDescent="0.3">
      <c r="A36554" t="s">
        <v>0</v>
      </c>
    </row>
    <row r="36555" spans="1:1" x14ac:dyDescent="0.3">
      <c r="A36555" t="s">
        <v>0</v>
      </c>
    </row>
    <row r="36556" spans="1:1" x14ac:dyDescent="0.3">
      <c r="A36556" t="s">
        <v>0</v>
      </c>
    </row>
    <row r="36557" spans="1:1" x14ac:dyDescent="0.3">
      <c r="A36557" t="s">
        <v>0</v>
      </c>
    </row>
    <row r="36558" spans="1:1" x14ac:dyDescent="0.3">
      <c r="A36558" t="s">
        <v>0</v>
      </c>
    </row>
    <row r="36559" spans="1:1" x14ac:dyDescent="0.3">
      <c r="A36559" t="s">
        <v>0</v>
      </c>
    </row>
    <row r="36560" spans="1:1" x14ac:dyDescent="0.3">
      <c r="A36560" t="s">
        <v>0</v>
      </c>
    </row>
    <row r="36561" spans="1:1" x14ac:dyDescent="0.3">
      <c r="A36561" t="s">
        <v>0</v>
      </c>
    </row>
    <row r="36562" spans="1:1" x14ac:dyDescent="0.3">
      <c r="A36562" t="s">
        <v>0</v>
      </c>
    </row>
    <row r="36563" spans="1:1" x14ac:dyDescent="0.3">
      <c r="A36563" t="s">
        <v>0</v>
      </c>
    </row>
    <row r="36564" spans="1:1" x14ac:dyDescent="0.3">
      <c r="A36564" t="s">
        <v>0</v>
      </c>
    </row>
    <row r="36565" spans="1:1" x14ac:dyDescent="0.3">
      <c r="A36565" t="s">
        <v>0</v>
      </c>
    </row>
    <row r="36566" spans="1:1" x14ac:dyDescent="0.3">
      <c r="A36566" t="s">
        <v>0</v>
      </c>
    </row>
    <row r="36567" spans="1:1" x14ac:dyDescent="0.3">
      <c r="A36567" t="s">
        <v>0</v>
      </c>
    </row>
    <row r="36568" spans="1:1" x14ac:dyDescent="0.3">
      <c r="A36568" t="s">
        <v>0</v>
      </c>
    </row>
    <row r="36569" spans="1:1" x14ac:dyDescent="0.3">
      <c r="A36569" t="s">
        <v>0</v>
      </c>
    </row>
    <row r="36570" spans="1:1" x14ac:dyDescent="0.3">
      <c r="A36570" t="s">
        <v>0</v>
      </c>
    </row>
    <row r="36571" spans="1:1" x14ac:dyDescent="0.3">
      <c r="A36571" t="s">
        <v>0</v>
      </c>
    </row>
    <row r="36572" spans="1:1" x14ac:dyDescent="0.3">
      <c r="A36572" t="s">
        <v>0</v>
      </c>
    </row>
    <row r="36573" spans="1:1" x14ac:dyDescent="0.3">
      <c r="A36573" t="s">
        <v>0</v>
      </c>
    </row>
    <row r="36574" spans="1:1" x14ac:dyDescent="0.3">
      <c r="A36574" t="s">
        <v>0</v>
      </c>
    </row>
    <row r="36575" spans="1:1" x14ac:dyDescent="0.3">
      <c r="A36575" t="s">
        <v>0</v>
      </c>
    </row>
    <row r="36576" spans="1:1" x14ac:dyDescent="0.3">
      <c r="A36576" t="s">
        <v>0</v>
      </c>
    </row>
    <row r="36577" spans="1:1" x14ac:dyDescent="0.3">
      <c r="A36577" t="s">
        <v>0</v>
      </c>
    </row>
    <row r="36578" spans="1:1" x14ac:dyDescent="0.3">
      <c r="A36578" t="s">
        <v>0</v>
      </c>
    </row>
    <row r="36579" spans="1:1" x14ac:dyDescent="0.3">
      <c r="A36579" t="s">
        <v>0</v>
      </c>
    </row>
    <row r="36580" spans="1:1" x14ac:dyDescent="0.3">
      <c r="A36580" t="s">
        <v>0</v>
      </c>
    </row>
    <row r="36581" spans="1:1" x14ac:dyDescent="0.3">
      <c r="A36581" t="s">
        <v>0</v>
      </c>
    </row>
    <row r="36582" spans="1:1" x14ac:dyDescent="0.3">
      <c r="A36582" t="s">
        <v>0</v>
      </c>
    </row>
    <row r="36583" spans="1:1" x14ac:dyDescent="0.3">
      <c r="A36583" t="s">
        <v>0</v>
      </c>
    </row>
    <row r="36584" spans="1:1" x14ac:dyDescent="0.3">
      <c r="A36584" t="s">
        <v>0</v>
      </c>
    </row>
    <row r="36585" spans="1:1" x14ac:dyDescent="0.3">
      <c r="A36585" t="s">
        <v>0</v>
      </c>
    </row>
    <row r="36586" spans="1:1" x14ac:dyDescent="0.3">
      <c r="A36586" t="s">
        <v>0</v>
      </c>
    </row>
    <row r="36587" spans="1:1" x14ac:dyDescent="0.3">
      <c r="A36587" t="s">
        <v>0</v>
      </c>
    </row>
    <row r="36588" spans="1:1" x14ac:dyDescent="0.3">
      <c r="A36588" t="s">
        <v>0</v>
      </c>
    </row>
    <row r="36589" spans="1:1" x14ac:dyDescent="0.3">
      <c r="A36589" t="s">
        <v>0</v>
      </c>
    </row>
    <row r="36590" spans="1:1" x14ac:dyDescent="0.3">
      <c r="A36590" t="s">
        <v>0</v>
      </c>
    </row>
    <row r="36591" spans="1:1" x14ac:dyDescent="0.3">
      <c r="A36591" t="s">
        <v>0</v>
      </c>
    </row>
    <row r="36592" spans="1:1" x14ac:dyDescent="0.3">
      <c r="A36592" t="s">
        <v>0</v>
      </c>
    </row>
    <row r="36593" spans="1:1" x14ac:dyDescent="0.3">
      <c r="A36593" t="s">
        <v>0</v>
      </c>
    </row>
    <row r="36594" spans="1:1" x14ac:dyDescent="0.3">
      <c r="A36594" t="s">
        <v>0</v>
      </c>
    </row>
    <row r="36595" spans="1:1" x14ac:dyDescent="0.3">
      <c r="A36595" t="s">
        <v>0</v>
      </c>
    </row>
    <row r="36596" spans="1:1" x14ac:dyDescent="0.3">
      <c r="A36596" t="s">
        <v>0</v>
      </c>
    </row>
    <row r="36597" spans="1:1" x14ac:dyDescent="0.3">
      <c r="A36597" t="s">
        <v>0</v>
      </c>
    </row>
    <row r="36598" spans="1:1" x14ac:dyDescent="0.3">
      <c r="A36598" t="s">
        <v>0</v>
      </c>
    </row>
    <row r="36599" spans="1:1" x14ac:dyDescent="0.3">
      <c r="A36599" t="s">
        <v>0</v>
      </c>
    </row>
    <row r="36600" spans="1:1" x14ac:dyDescent="0.3">
      <c r="A36600" t="s">
        <v>0</v>
      </c>
    </row>
    <row r="36601" spans="1:1" x14ac:dyDescent="0.3">
      <c r="A36601" t="s">
        <v>0</v>
      </c>
    </row>
    <row r="36602" spans="1:1" x14ac:dyDescent="0.3">
      <c r="A36602" t="s">
        <v>0</v>
      </c>
    </row>
    <row r="36603" spans="1:1" x14ac:dyDescent="0.3">
      <c r="A36603" t="s">
        <v>0</v>
      </c>
    </row>
    <row r="36604" spans="1:1" x14ac:dyDescent="0.3">
      <c r="A36604" t="s">
        <v>0</v>
      </c>
    </row>
    <row r="36605" spans="1:1" x14ac:dyDescent="0.3">
      <c r="A36605" t="s">
        <v>0</v>
      </c>
    </row>
    <row r="36606" spans="1:1" x14ac:dyDescent="0.3">
      <c r="A36606" t="s">
        <v>0</v>
      </c>
    </row>
    <row r="36607" spans="1:1" x14ac:dyDescent="0.3">
      <c r="A36607" t="s">
        <v>0</v>
      </c>
    </row>
    <row r="36608" spans="1:1" x14ac:dyDescent="0.3">
      <c r="A36608" t="s">
        <v>0</v>
      </c>
    </row>
    <row r="36609" spans="1:1" x14ac:dyDescent="0.3">
      <c r="A36609" t="s">
        <v>0</v>
      </c>
    </row>
    <row r="36610" spans="1:1" x14ac:dyDescent="0.3">
      <c r="A36610" t="s">
        <v>0</v>
      </c>
    </row>
    <row r="36611" spans="1:1" x14ac:dyDescent="0.3">
      <c r="A36611" t="s">
        <v>0</v>
      </c>
    </row>
    <row r="36612" spans="1:1" x14ac:dyDescent="0.3">
      <c r="A36612" t="s">
        <v>0</v>
      </c>
    </row>
    <row r="36613" spans="1:1" x14ac:dyDescent="0.3">
      <c r="A36613" t="s">
        <v>0</v>
      </c>
    </row>
    <row r="36614" spans="1:1" x14ac:dyDescent="0.3">
      <c r="A36614" t="s">
        <v>0</v>
      </c>
    </row>
    <row r="36615" spans="1:1" x14ac:dyDescent="0.3">
      <c r="A36615" t="s">
        <v>0</v>
      </c>
    </row>
    <row r="36616" spans="1:1" x14ac:dyDescent="0.3">
      <c r="A36616" t="s">
        <v>0</v>
      </c>
    </row>
    <row r="36617" spans="1:1" x14ac:dyDescent="0.3">
      <c r="A36617" t="s">
        <v>0</v>
      </c>
    </row>
    <row r="36618" spans="1:1" x14ac:dyDescent="0.3">
      <c r="A36618" t="s">
        <v>0</v>
      </c>
    </row>
    <row r="36619" spans="1:1" x14ac:dyDescent="0.3">
      <c r="A36619" t="s">
        <v>0</v>
      </c>
    </row>
    <row r="36620" spans="1:1" x14ac:dyDescent="0.3">
      <c r="A36620" t="s">
        <v>0</v>
      </c>
    </row>
    <row r="36621" spans="1:1" x14ac:dyDescent="0.3">
      <c r="A36621" t="s">
        <v>0</v>
      </c>
    </row>
    <row r="36622" spans="1:1" x14ac:dyDescent="0.3">
      <c r="A36622" t="s">
        <v>0</v>
      </c>
    </row>
    <row r="36623" spans="1:1" x14ac:dyDescent="0.3">
      <c r="A36623" t="s">
        <v>0</v>
      </c>
    </row>
    <row r="36624" spans="1:1" x14ac:dyDescent="0.3">
      <c r="A36624" t="s">
        <v>0</v>
      </c>
    </row>
    <row r="36625" spans="1:1" x14ac:dyDescent="0.3">
      <c r="A36625" t="s">
        <v>0</v>
      </c>
    </row>
    <row r="36626" spans="1:1" x14ac:dyDescent="0.3">
      <c r="A36626" t="s">
        <v>0</v>
      </c>
    </row>
    <row r="36627" spans="1:1" x14ac:dyDescent="0.3">
      <c r="A36627" t="s">
        <v>0</v>
      </c>
    </row>
    <row r="36628" spans="1:1" x14ac:dyDescent="0.3">
      <c r="A36628" t="s">
        <v>0</v>
      </c>
    </row>
    <row r="36629" spans="1:1" x14ac:dyDescent="0.3">
      <c r="A36629" t="s">
        <v>0</v>
      </c>
    </row>
    <row r="36630" spans="1:1" x14ac:dyDescent="0.3">
      <c r="A36630" t="s">
        <v>0</v>
      </c>
    </row>
    <row r="36631" spans="1:1" x14ac:dyDescent="0.3">
      <c r="A36631" t="s">
        <v>0</v>
      </c>
    </row>
    <row r="36632" spans="1:1" x14ac:dyDescent="0.3">
      <c r="A36632" t="s">
        <v>0</v>
      </c>
    </row>
    <row r="36633" spans="1:1" x14ac:dyDescent="0.3">
      <c r="A36633" t="s">
        <v>0</v>
      </c>
    </row>
    <row r="36634" spans="1:1" x14ac:dyDescent="0.3">
      <c r="A36634" t="s">
        <v>0</v>
      </c>
    </row>
    <row r="36635" spans="1:1" x14ac:dyDescent="0.3">
      <c r="A36635" t="s">
        <v>0</v>
      </c>
    </row>
    <row r="36636" spans="1:1" x14ac:dyDescent="0.3">
      <c r="A36636" t="s">
        <v>0</v>
      </c>
    </row>
    <row r="36637" spans="1:1" x14ac:dyDescent="0.3">
      <c r="A36637" t="s">
        <v>0</v>
      </c>
    </row>
    <row r="36638" spans="1:1" x14ac:dyDescent="0.3">
      <c r="A36638" t="s">
        <v>0</v>
      </c>
    </row>
    <row r="36639" spans="1:1" x14ac:dyDescent="0.3">
      <c r="A36639" t="s">
        <v>0</v>
      </c>
    </row>
    <row r="36640" spans="1:1" x14ac:dyDescent="0.3">
      <c r="A36640" t="s">
        <v>0</v>
      </c>
    </row>
    <row r="36641" spans="1:1" x14ac:dyDescent="0.3">
      <c r="A36641" t="s">
        <v>0</v>
      </c>
    </row>
    <row r="36642" spans="1:1" x14ac:dyDescent="0.3">
      <c r="A36642" t="s">
        <v>0</v>
      </c>
    </row>
    <row r="36643" spans="1:1" x14ac:dyDescent="0.3">
      <c r="A36643" t="s">
        <v>0</v>
      </c>
    </row>
    <row r="36644" spans="1:1" x14ac:dyDescent="0.3">
      <c r="A36644" t="s">
        <v>0</v>
      </c>
    </row>
    <row r="36645" spans="1:1" x14ac:dyDescent="0.3">
      <c r="A36645" t="s">
        <v>0</v>
      </c>
    </row>
    <row r="36646" spans="1:1" x14ac:dyDescent="0.3">
      <c r="A36646" t="s">
        <v>0</v>
      </c>
    </row>
    <row r="36647" spans="1:1" x14ac:dyDescent="0.3">
      <c r="A36647" t="s">
        <v>0</v>
      </c>
    </row>
    <row r="36648" spans="1:1" x14ac:dyDescent="0.3">
      <c r="A36648" t="s">
        <v>0</v>
      </c>
    </row>
    <row r="36649" spans="1:1" x14ac:dyDescent="0.3">
      <c r="A36649" t="s">
        <v>0</v>
      </c>
    </row>
    <row r="36650" spans="1:1" x14ac:dyDescent="0.3">
      <c r="A36650" t="s">
        <v>0</v>
      </c>
    </row>
    <row r="36651" spans="1:1" x14ac:dyDescent="0.3">
      <c r="A36651" t="s">
        <v>0</v>
      </c>
    </row>
    <row r="36652" spans="1:1" x14ac:dyDescent="0.3">
      <c r="A36652" t="s">
        <v>0</v>
      </c>
    </row>
    <row r="36653" spans="1:1" x14ac:dyDescent="0.3">
      <c r="A36653" t="s">
        <v>0</v>
      </c>
    </row>
    <row r="36654" spans="1:1" x14ac:dyDescent="0.3">
      <c r="A36654" t="s">
        <v>0</v>
      </c>
    </row>
    <row r="36655" spans="1:1" x14ac:dyDescent="0.3">
      <c r="A36655" t="s">
        <v>0</v>
      </c>
    </row>
    <row r="36656" spans="1:1" x14ac:dyDescent="0.3">
      <c r="A36656" t="s">
        <v>0</v>
      </c>
    </row>
    <row r="36657" spans="1:1" x14ac:dyDescent="0.3">
      <c r="A36657" t="s">
        <v>0</v>
      </c>
    </row>
    <row r="36658" spans="1:1" x14ac:dyDescent="0.3">
      <c r="A36658" t="s">
        <v>0</v>
      </c>
    </row>
    <row r="36659" spans="1:1" x14ac:dyDescent="0.3">
      <c r="A36659" t="s">
        <v>0</v>
      </c>
    </row>
    <row r="36660" spans="1:1" x14ac:dyDescent="0.3">
      <c r="A36660" t="s">
        <v>0</v>
      </c>
    </row>
    <row r="36661" spans="1:1" x14ac:dyDescent="0.3">
      <c r="A36661" t="s">
        <v>0</v>
      </c>
    </row>
    <row r="36662" spans="1:1" x14ac:dyDescent="0.3">
      <c r="A36662" t="s">
        <v>0</v>
      </c>
    </row>
    <row r="36663" spans="1:1" x14ac:dyDescent="0.3">
      <c r="A36663" t="s">
        <v>0</v>
      </c>
    </row>
    <row r="36664" spans="1:1" x14ac:dyDescent="0.3">
      <c r="A36664" t="s">
        <v>0</v>
      </c>
    </row>
    <row r="36665" spans="1:1" x14ac:dyDescent="0.3">
      <c r="A36665" t="s">
        <v>0</v>
      </c>
    </row>
    <row r="36666" spans="1:1" x14ac:dyDescent="0.3">
      <c r="A36666" t="s">
        <v>0</v>
      </c>
    </row>
    <row r="36667" spans="1:1" x14ac:dyDescent="0.3">
      <c r="A36667" t="s">
        <v>0</v>
      </c>
    </row>
    <row r="36668" spans="1:1" x14ac:dyDescent="0.3">
      <c r="A36668" t="s">
        <v>0</v>
      </c>
    </row>
    <row r="36669" spans="1:1" x14ac:dyDescent="0.3">
      <c r="A36669" t="s">
        <v>0</v>
      </c>
    </row>
    <row r="36670" spans="1:1" x14ac:dyDescent="0.3">
      <c r="A36670" t="s">
        <v>0</v>
      </c>
    </row>
    <row r="36671" spans="1:1" x14ac:dyDescent="0.3">
      <c r="A36671" t="s">
        <v>0</v>
      </c>
    </row>
    <row r="36672" spans="1:1" x14ac:dyDescent="0.3">
      <c r="A36672" t="s">
        <v>0</v>
      </c>
    </row>
    <row r="36673" spans="1:1" x14ac:dyDescent="0.3">
      <c r="A36673" t="s">
        <v>0</v>
      </c>
    </row>
    <row r="36674" spans="1:1" x14ac:dyDescent="0.3">
      <c r="A36674" t="s">
        <v>0</v>
      </c>
    </row>
    <row r="36675" spans="1:1" x14ac:dyDescent="0.3">
      <c r="A36675" t="s">
        <v>0</v>
      </c>
    </row>
    <row r="36676" spans="1:1" x14ac:dyDescent="0.3">
      <c r="A36676" t="s">
        <v>0</v>
      </c>
    </row>
    <row r="36677" spans="1:1" x14ac:dyDescent="0.3">
      <c r="A36677" t="s">
        <v>0</v>
      </c>
    </row>
    <row r="36678" spans="1:1" x14ac:dyDescent="0.3">
      <c r="A36678" t="s">
        <v>0</v>
      </c>
    </row>
    <row r="36679" spans="1:1" x14ac:dyDescent="0.3">
      <c r="A36679" t="s">
        <v>0</v>
      </c>
    </row>
    <row r="36680" spans="1:1" x14ac:dyDescent="0.3">
      <c r="A36680" t="s">
        <v>0</v>
      </c>
    </row>
    <row r="36681" spans="1:1" x14ac:dyDescent="0.3">
      <c r="A36681" t="s">
        <v>0</v>
      </c>
    </row>
    <row r="36682" spans="1:1" x14ac:dyDescent="0.3">
      <c r="A36682" t="s">
        <v>0</v>
      </c>
    </row>
    <row r="36683" spans="1:1" x14ac:dyDescent="0.3">
      <c r="A36683" t="s">
        <v>0</v>
      </c>
    </row>
    <row r="36684" spans="1:1" x14ac:dyDescent="0.3">
      <c r="A36684" t="s">
        <v>0</v>
      </c>
    </row>
    <row r="36685" spans="1:1" x14ac:dyDescent="0.3">
      <c r="A36685" t="s">
        <v>0</v>
      </c>
    </row>
    <row r="36686" spans="1:1" x14ac:dyDescent="0.3">
      <c r="A36686" t="s">
        <v>0</v>
      </c>
    </row>
    <row r="36687" spans="1:1" x14ac:dyDescent="0.3">
      <c r="A36687" t="s">
        <v>0</v>
      </c>
    </row>
    <row r="36688" spans="1:1" x14ac:dyDescent="0.3">
      <c r="A36688" t="s">
        <v>0</v>
      </c>
    </row>
    <row r="36689" spans="1:1" x14ac:dyDescent="0.3">
      <c r="A36689" t="s">
        <v>0</v>
      </c>
    </row>
    <row r="36690" spans="1:1" x14ac:dyDescent="0.3">
      <c r="A36690" t="s">
        <v>0</v>
      </c>
    </row>
    <row r="36691" spans="1:1" x14ac:dyDescent="0.3">
      <c r="A36691" t="s">
        <v>0</v>
      </c>
    </row>
    <row r="36692" spans="1:1" x14ac:dyDescent="0.3">
      <c r="A36692" t="s">
        <v>0</v>
      </c>
    </row>
    <row r="36693" spans="1:1" x14ac:dyDescent="0.3">
      <c r="A36693" t="s">
        <v>0</v>
      </c>
    </row>
    <row r="36694" spans="1:1" x14ac:dyDescent="0.3">
      <c r="A36694" t="s">
        <v>0</v>
      </c>
    </row>
    <row r="36695" spans="1:1" x14ac:dyDescent="0.3">
      <c r="A36695" t="s">
        <v>0</v>
      </c>
    </row>
    <row r="36696" spans="1:1" x14ac:dyDescent="0.3">
      <c r="A36696" t="s">
        <v>0</v>
      </c>
    </row>
    <row r="36697" spans="1:1" x14ac:dyDescent="0.3">
      <c r="A36697" t="s">
        <v>0</v>
      </c>
    </row>
    <row r="36698" spans="1:1" x14ac:dyDescent="0.3">
      <c r="A36698" t="s">
        <v>0</v>
      </c>
    </row>
    <row r="36699" spans="1:1" x14ac:dyDescent="0.3">
      <c r="A36699" t="s">
        <v>0</v>
      </c>
    </row>
    <row r="36700" spans="1:1" x14ac:dyDescent="0.3">
      <c r="A36700" t="s">
        <v>0</v>
      </c>
    </row>
    <row r="36701" spans="1:1" x14ac:dyDescent="0.3">
      <c r="A36701" t="s">
        <v>0</v>
      </c>
    </row>
    <row r="36702" spans="1:1" x14ac:dyDescent="0.3">
      <c r="A36702" t="s">
        <v>0</v>
      </c>
    </row>
    <row r="36703" spans="1:1" x14ac:dyDescent="0.3">
      <c r="A36703" t="s">
        <v>0</v>
      </c>
    </row>
    <row r="36704" spans="1:1" x14ac:dyDescent="0.3">
      <c r="A36704" t="s">
        <v>0</v>
      </c>
    </row>
    <row r="36705" spans="1:1" x14ac:dyDescent="0.3">
      <c r="A36705" t="s">
        <v>0</v>
      </c>
    </row>
    <row r="36706" spans="1:1" x14ac:dyDescent="0.3">
      <c r="A36706" t="s">
        <v>0</v>
      </c>
    </row>
    <row r="36707" spans="1:1" x14ac:dyDescent="0.3">
      <c r="A36707" t="s">
        <v>0</v>
      </c>
    </row>
    <row r="36708" spans="1:1" x14ac:dyDescent="0.3">
      <c r="A36708" t="s">
        <v>0</v>
      </c>
    </row>
    <row r="36709" spans="1:1" x14ac:dyDescent="0.3">
      <c r="A36709" t="s">
        <v>0</v>
      </c>
    </row>
    <row r="36710" spans="1:1" x14ac:dyDescent="0.3">
      <c r="A36710" t="s">
        <v>0</v>
      </c>
    </row>
    <row r="36711" spans="1:1" x14ac:dyDescent="0.3">
      <c r="A36711" t="s">
        <v>0</v>
      </c>
    </row>
    <row r="36712" spans="1:1" x14ac:dyDescent="0.3">
      <c r="A36712" t="s">
        <v>0</v>
      </c>
    </row>
    <row r="36713" spans="1:1" x14ac:dyDescent="0.3">
      <c r="A36713" t="s">
        <v>0</v>
      </c>
    </row>
    <row r="36714" spans="1:1" x14ac:dyDescent="0.3">
      <c r="A36714" t="s">
        <v>0</v>
      </c>
    </row>
    <row r="36715" spans="1:1" x14ac:dyDescent="0.3">
      <c r="A36715" t="s">
        <v>0</v>
      </c>
    </row>
    <row r="36716" spans="1:1" x14ac:dyDescent="0.3">
      <c r="A36716" t="s">
        <v>0</v>
      </c>
    </row>
    <row r="36717" spans="1:1" x14ac:dyDescent="0.3">
      <c r="A36717" t="s">
        <v>0</v>
      </c>
    </row>
    <row r="36718" spans="1:1" x14ac:dyDescent="0.3">
      <c r="A36718" t="s">
        <v>0</v>
      </c>
    </row>
    <row r="36719" spans="1:1" x14ac:dyDescent="0.3">
      <c r="A36719" t="s">
        <v>0</v>
      </c>
    </row>
    <row r="36720" spans="1:1" x14ac:dyDescent="0.3">
      <c r="A36720" t="s">
        <v>0</v>
      </c>
    </row>
    <row r="36721" spans="1:1" x14ac:dyDescent="0.3">
      <c r="A36721" t="s">
        <v>0</v>
      </c>
    </row>
    <row r="36722" spans="1:1" x14ac:dyDescent="0.3">
      <c r="A36722" t="s">
        <v>0</v>
      </c>
    </row>
    <row r="36723" spans="1:1" x14ac:dyDescent="0.3">
      <c r="A36723" t="s">
        <v>0</v>
      </c>
    </row>
    <row r="36724" spans="1:1" x14ac:dyDescent="0.3">
      <c r="A36724" t="s">
        <v>0</v>
      </c>
    </row>
    <row r="36725" spans="1:1" x14ac:dyDescent="0.3">
      <c r="A36725" t="s">
        <v>0</v>
      </c>
    </row>
    <row r="36726" spans="1:1" x14ac:dyDescent="0.3">
      <c r="A36726" t="s">
        <v>0</v>
      </c>
    </row>
    <row r="36727" spans="1:1" x14ac:dyDescent="0.3">
      <c r="A36727" t="s">
        <v>0</v>
      </c>
    </row>
    <row r="36728" spans="1:1" x14ac:dyDescent="0.3">
      <c r="A36728" t="s">
        <v>0</v>
      </c>
    </row>
    <row r="36729" spans="1:1" x14ac:dyDescent="0.3">
      <c r="A36729" t="s">
        <v>0</v>
      </c>
    </row>
    <row r="36730" spans="1:1" x14ac:dyDescent="0.3">
      <c r="A36730" t="s">
        <v>0</v>
      </c>
    </row>
    <row r="36731" spans="1:1" x14ac:dyDescent="0.3">
      <c r="A36731" t="s">
        <v>0</v>
      </c>
    </row>
    <row r="36732" spans="1:1" x14ac:dyDescent="0.3">
      <c r="A36732" t="s">
        <v>0</v>
      </c>
    </row>
    <row r="36733" spans="1:1" x14ac:dyDescent="0.3">
      <c r="A36733" t="s">
        <v>0</v>
      </c>
    </row>
    <row r="36734" spans="1:1" x14ac:dyDescent="0.3">
      <c r="A36734" t="s">
        <v>0</v>
      </c>
    </row>
    <row r="36735" spans="1:1" x14ac:dyDescent="0.3">
      <c r="A36735" t="s">
        <v>0</v>
      </c>
    </row>
    <row r="36736" spans="1:1" x14ac:dyDescent="0.3">
      <c r="A36736" t="s">
        <v>0</v>
      </c>
    </row>
    <row r="36737" spans="1:1" x14ac:dyDescent="0.3">
      <c r="A36737" t="s">
        <v>0</v>
      </c>
    </row>
    <row r="36738" spans="1:1" x14ac:dyDescent="0.3">
      <c r="A36738" t="s">
        <v>0</v>
      </c>
    </row>
    <row r="36739" spans="1:1" x14ac:dyDescent="0.3">
      <c r="A36739" t="s">
        <v>0</v>
      </c>
    </row>
    <row r="36740" spans="1:1" x14ac:dyDescent="0.3">
      <c r="A36740" t="s">
        <v>0</v>
      </c>
    </row>
    <row r="36741" spans="1:1" x14ac:dyDescent="0.3">
      <c r="A36741" t="s">
        <v>0</v>
      </c>
    </row>
    <row r="36742" spans="1:1" x14ac:dyDescent="0.3">
      <c r="A36742" t="s">
        <v>0</v>
      </c>
    </row>
    <row r="36743" spans="1:1" x14ac:dyDescent="0.3">
      <c r="A36743" t="s">
        <v>0</v>
      </c>
    </row>
    <row r="36744" spans="1:1" x14ac:dyDescent="0.3">
      <c r="A36744" t="s">
        <v>0</v>
      </c>
    </row>
    <row r="36745" spans="1:1" x14ac:dyDescent="0.3">
      <c r="A36745" t="s">
        <v>0</v>
      </c>
    </row>
    <row r="36746" spans="1:1" x14ac:dyDescent="0.3">
      <c r="A36746" t="s">
        <v>0</v>
      </c>
    </row>
    <row r="36747" spans="1:1" x14ac:dyDescent="0.3">
      <c r="A36747" t="s">
        <v>0</v>
      </c>
    </row>
    <row r="36748" spans="1:1" x14ac:dyDescent="0.3">
      <c r="A36748" t="s">
        <v>0</v>
      </c>
    </row>
    <row r="36749" spans="1:1" x14ac:dyDescent="0.3">
      <c r="A36749" t="s">
        <v>0</v>
      </c>
    </row>
    <row r="36750" spans="1:1" x14ac:dyDescent="0.3">
      <c r="A36750" t="s">
        <v>0</v>
      </c>
    </row>
    <row r="36751" spans="1:1" x14ac:dyDescent="0.3">
      <c r="A36751" t="s">
        <v>0</v>
      </c>
    </row>
    <row r="36752" spans="1:1" x14ac:dyDescent="0.3">
      <c r="A36752" t="s">
        <v>0</v>
      </c>
    </row>
    <row r="36753" spans="1:1" x14ac:dyDescent="0.3">
      <c r="A36753" t="s">
        <v>0</v>
      </c>
    </row>
    <row r="36754" spans="1:1" x14ac:dyDescent="0.3">
      <c r="A36754" t="s">
        <v>0</v>
      </c>
    </row>
    <row r="36755" spans="1:1" x14ac:dyDescent="0.3">
      <c r="A36755" t="s">
        <v>0</v>
      </c>
    </row>
    <row r="36756" spans="1:1" x14ac:dyDescent="0.3">
      <c r="A36756" t="s">
        <v>0</v>
      </c>
    </row>
    <row r="36757" spans="1:1" x14ac:dyDescent="0.3">
      <c r="A36757" t="s">
        <v>0</v>
      </c>
    </row>
    <row r="36758" spans="1:1" x14ac:dyDescent="0.3">
      <c r="A36758" t="s">
        <v>0</v>
      </c>
    </row>
    <row r="36759" spans="1:1" x14ac:dyDescent="0.3">
      <c r="A36759" t="s">
        <v>0</v>
      </c>
    </row>
    <row r="36760" spans="1:1" x14ac:dyDescent="0.3">
      <c r="A36760" t="s">
        <v>0</v>
      </c>
    </row>
    <row r="36761" spans="1:1" x14ac:dyDescent="0.3">
      <c r="A36761" t="s">
        <v>0</v>
      </c>
    </row>
    <row r="36762" spans="1:1" x14ac:dyDescent="0.3">
      <c r="A36762" t="s">
        <v>0</v>
      </c>
    </row>
    <row r="36763" spans="1:1" x14ac:dyDescent="0.3">
      <c r="A36763" t="s">
        <v>0</v>
      </c>
    </row>
    <row r="36764" spans="1:1" x14ac:dyDescent="0.3">
      <c r="A36764" t="s">
        <v>0</v>
      </c>
    </row>
    <row r="36765" spans="1:1" x14ac:dyDescent="0.3">
      <c r="A36765" t="s">
        <v>0</v>
      </c>
    </row>
    <row r="36766" spans="1:1" x14ac:dyDescent="0.3">
      <c r="A36766" t="s">
        <v>0</v>
      </c>
    </row>
    <row r="36767" spans="1:1" x14ac:dyDescent="0.3">
      <c r="A36767" t="s">
        <v>0</v>
      </c>
    </row>
    <row r="36768" spans="1:1" x14ac:dyDescent="0.3">
      <c r="A36768" t="s">
        <v>0</v>
      </c>
    </row>
    <row r="36769" spans="1:1" x14ac:dyDescent="0.3">
      <c r="A36769" t="s">
        <v>0</v>
      </c>
    </row>
    <row r="36770" spans="1:1" x14ac:dyDescent="0.3">
      <c r="A36770" t="s">
        <v>0</v>
      </c>
    </row>
    <row r="36771" spans="1:1" x14ac:dyDescent="0.3">
      <c r="A36771" t="s">
        <v>0</v>
      </c>
    </row>
    <row r="36772" spans="1:1" x14ac:dyDescent="0.3">
      <c r="A36772" t="s">
        <v>0</v>
      </c>
    </row>
    <row r="36773" spans="1:1" x14ac:dyDescent="0.3">
      <c r="A36773" t="s">
        <v>0</v>
      </c>
    </row>
    <row r="36774" spans="1:1" x14ac:dyDescent="0.3">
      <c r="A36774" t="s">
        <v>0</v>
      </c>
    </row>
    <row r="36775" spans="1:1" x14ac:dyDescent="0.3">
      <c r="A36775" t="s">
        <v>0</v>
      </c>
    </row>
    <row r="36776" spans="1:1" x14ac:dyDescent="0.3">
      <c r="A36776" t="s">
        <v>0</v>
      </c>
    </row>
    <row r="36777" spans="1:1" x14ac:dyDescent="0.3">
      <c r="A36777" t="s">
        <v>0</v>
      </c>
    </row>
    <row r="36778" spans="1:1" x14ac:dyDescent="0.3">
      <c r="A36778" t="s">
        <v>0</v>
      </c>
    </row>
    <row r="36779" spans="1:1" x14ac:dyDescent="0.3">
      <c r="A36779" t="s">
        <v>0</v>
      </c>
    </row>
    <row r="36780" spans="1:1" x14ac:dyDescent="0.3">
      <c r="A36780" t="s">
        <v>0</v>
      </c>
    </row>
    <row r="36781" spans="1:1" x14ac:dyDescent="0.3">
      <c r="A36781" t="s">
        <v>0</v>
      </c>
    </row>
    <row r="36782" spans="1:1" x14ac:dyDescent="0.3">
      <c r="A36782" t="s">
        <v>0</v>
      </c>
    </row>
    <row r="36783" spans="1:1" x14ac:dyDescent="0.3">
      <c r="A36783" t="s">
        <v>0</v>
      </c>
    </row>
    <row r="36784" spans="1:1" x14ac:dyDescent="0.3">
      <c r="A36784" t="s">
        <v>0</v>
      </c>
    </row>
    <row r="36785" spans="1:1" x14ac:dyDescent="0.3">
      <c r="A36785" t="s">
        <v>0</v>
      </c>
    </row>
    <row r="36786" spans="1:1" x14ac:dyDescent="0.3">
      <c r="A36786" t="s">
        <v>0</v>
      </c>
    </row>
    <row r="36787" spans="1:1" x14ac:dyDescent="0.3">
      <c r="A36787" t="s">
        <v>0</v>
      </c>
    </row>
    <row r="36788" spans="1:1" x14ac:dyDescent="0.3">
      <c r="A36788" t="s">
        <v>0</v>
      </c>
    </row>
    <row r="36789" spans="1:1" x14ac:dyDescent="0.3">
      <c r="A36789" t="s">
        <v>0</v>
      </c>
    </row>
    <row r="36790" spans="1:1" x14ac:dyDescent="0.3">
      <c r="A36790" t="s">
        <v>0</v>
      </c>
    </row>
    <row r="36791" spans="1:1" x14ac:dyDescent="0.3">
      <c r="A36791" t="s">
        <v>0</v>
      </c>
    </row>
    <row r="36792" spans="1:1" x14ac:dyDescent="0.3">
      <c r="A36792" t="s">
        <v>0</v>
      </c>
    </row>
    <row r="36793" spans="1:1" x14ac:dyDescent="0.3">
      <c r="A36793" t="s">
        <v>0</v>
      </c>
    </row>
    <row r="36794" spans="1:1" x14ac:dyDescent="0.3">
      <c r="A36794" t="s">
        <v>0</v>
      </c>
    </row>
    <row r="36795" spans="1:1" x14ac:dyDescent="0.3">
      <c r="A36795" t="s">
        <v>0</v>
      </c>
    </row>
    <row r="36796" spans="1:1" x14ac:dyDescent="0.3">
      <c r="A36796" t="s">
        <v>0</v>
      </c>
    </row>
    <row r="36797" spans="1:1" x14ac:dyDescent="0.3">
      <c r="A36797" t="s">
        <v>0</v>
      </c>
    </row>
    <row r="36798" spans="1:1" x14ac:dyDescent="0.3">
      <c r="A36798" t="s">
        <v>0</v>
      </c>
    </row>
    <row r="36799" spans="1:1" x14ac:dyDescent="0.3">
      <c r="A36799" t="s">
        <v>0</v>
      </c>
    </row>
    <row r="36800" spans="1:1" x14ac:dyDescent="0.3">
      <c r="A36800" t="s">
        <v>0</v>
      </c>
    </row>
    <row r="36801" spans="1:1" x14ac:dyDescent="0.3">
      <c r="A36801" t="s">
        <v>0</v>
      </c>
    </row>
    <row r="36802" spans="1:1" x14ac:dyDescent="0.3">
      <c r="A36802" t="s">
        <v>0</v>
      </c>
    </row>
    <row r="36803" spans="1:1" x14ac:dyDescent="0.3">
      <c r="A36803" t="s">
        <v>0</v>
      </c>
    </row>
    <row r="36804" spans="1:1" x14ac:dyDescent="0.3">
      <c r="A36804" t="s">
        <v>0</v>
      </c>
    </row>
    <row r="36805" spans="1:1" x14ac:dyDescent="0.3">
      <c r="A36805" t="s">
        <v>0</v>
      </c>
    </row>
    <row r="36806" spans="1:1" x14ac:dyDescent="0.3">
      <c r="A36806" t="s">
        <v>0</v>
      </c>
    </row>
    <row r="36807" spans="1:1" x14ac:dyDescent="0.3">
      <c r="A36807" t="s">
        <v>0</v>
      </c>
    </row>
    <row r="36808" spans="1:1" x14ac:dyDescent="0.3">
      <c r="A36808" t="s">
        <v>0</v>
      </c>
    </row>
    <row r="36809" spans="1:1" x14ac:dyDescent="0.3">
      <c r="A36809" t="s">
        <v>0</v>
      </c>
    </row>
    <row r="36810" spans="1:1" x14ac:dyDescent="0.3">
      <c r="A36810" t="s">
        <v>0</v>
      </c>
    </row>
    <row r="36811" spans="1:1" x14ac:dyDescent="0.3">
      <c r="A36811" t="s">
        <v>0</v>
      </c>
    </row>
    <row r="36812" spans="1:1" x14ac:dyDescent="0.3">
      <c r="A36812" t="s">
        <v>0</v>
      </c>
    </row>
    <row r="36813" spans="1:1" x14ac:dyDescent="0.3">
      <c r="A36813" t="s">
        <v>0</v>
      </c>
    </row>
    <row r="36814" spans="1:1" x14ac:dyDescent="0.3">
      <c r="A36814" t="s">
        <v>0</v>
      </c>
    </row>
    <row r="36815" spans="1:1" x14ac:dyDescent="0.3">
      <c r="A36815" t="s">
        <v>0</v>
      </c>
    </row>
    <row r="36816" spans="1:1" x14ac:dyDescent="0.3">
      <c r="A36816" t="s">
        <v>0</v>
      </c>
    </row>
    <row r="36817" spans="1:1" x14ac:dyDescent="0.3">
      <c r="A36817" t="s">
        <v>0</v>
      </c>
    </row>
    <row r="36818" spans="1:1" x14ac:dyDescent="0.3">
      <c r="A36818" t="s">
        <v>0</v>
      </c>
    </row>
    <row r="36819" spans="1:1" x14ac:dyDescent="0.3">
      <c r="A36819" t="s">
        <v>0</v>
      </c>
    </row>
    <row r="36820" spans="1:1" x14ac:dyDescent="0.3">
      <c r="A36820" t="s">
        <v>0</v>
      </c>
    </row>
    <row r="36821" spans="1:1" x14ac:dyDescent="0.3">
      <c r="A36821" t="s">
        <v>0</v>
      </c>
    </row>
    <row r="36822" spans="1:1" x14ac:dyDescent="0.3">
      <c r="A36822" t="s">
        <v>0</v>
      </c>
    </row>
    <row r="36823" spans="1:1" x14ac:dyDescent="0.3">
      <c r="A36823" t="s">
        <v>0</v>
      </c>
    </row>
    <row r="36824" spans="1:1" x14ac:dyDescent="0.3">
      <c r="A36824" t="s">
        <v>0</v>
      </c>
    </row>
    <row r="36825" spans="1:1" x14ac:dyDescent="0.3">
      <c r="A36825" t="s">
        <v>0</v>
      </c>
    </row>
    <row r="36826" spans="1:1" x14ac:dyDescent="0.3">
      <c r="A36826" t="s">
        <v>0</v>
      </c>
    </row>
    <row r="36827" spans="1:1" x14ac:dyDescent="0.3">
      <c r="A36827" t="s">
        <v>0</v>
      </c>
    </row>
    <row r="36828" spans="1:1" x14ac:dyDescent="0.3">
      <c r="A36828" t="s">
        <v>0</v>
      </c>
    </row>
    <row r="36829" spans="1:1" x14ac:dyDescent="0.3">
      <c r="A36829" t="s">
        <v>0</v>
      </c>
    </row>
    <row r="36830" spans="1:1" x14ac:dyDescent="0.3">
      <c r="A36830" t="s">
        <v>0</v>
      </c>
    </row>
    <row r="36831" spans="1:1" x14ac:dyDescent="0.3">
      <c r="A36831" t="s">
        <v>0</v>
      </c>
    </row>
    <row r="36832" spans="1:1" x14ac:dyDescent="0.3">
      <c r="A36832" t="s">
        <v>0</v>
      </c>
    </row>
    <row r="36833" spans="1:1" x14ac:dyDescent="0.3">
      <c r="A36833" t="s">
        <v>0</v>
      </c>
    </row>
    <row r="36834" spans="1:1" x14ac:dyDescent="0.3">
      <c r="A36834" t="s">
        <v>0</v>
      </c>
    </row>
    <row r="36835" spans="1:1" x14ac:dyDescent="0.3">
      <c r="A36835" t="s">
        <v>0</v>
      </c>
    </row>
    <row r="36836" spans="1:1" x14ac:dyDescent="0.3">
      <c r="A36836" t="s">
        <v>0</v>
      </c>
    </row>
    <row r="36837" spans="1:1" x14ac:dyDescent="0.3">
      <c r="A36837" t="s">
        <v>0</v>
      </c>
    </row>
    <row r="36838" spans="1:1" x14ac:dyDescent="0.3">
      <c r="A36838" t="s">
        <v>0</v>
      </c>
    </row>
    <row r="36839" spans="1:1" x14ac:dyDescent="0.3">
      <c r="A36839" t="s">
        <v>0</v>
      </c>
    </row>
    <row r="36840" spans="1:1" x14ac:dyDescent="0.3">
      <c r="A36840" t="s">
        <v>0</v>
      </c>
    </row>
    <row r="36841" spans="1:1" x14ac:dyDescent="0.3">
      <c r="A36841" t="s">
        <v>0</v>
      </c>
    </row>
    <row r="36842" spans="1:1" x14ac:dyDescent="0.3">
      <c r="A36842" t="s">
        <v>0</v>
      </c>
    </row>
    <row r="36843" spans="1:1" x14ac:dyDescent="0.3">
      <c r="A36843" t="s">
        <v>0</v>
      </c>
    </row>
    <row r="36844" spans="1:1" x14ac:dyDescent="0.3">
      <c r="A36844" t="s">
        <v>0</v>
      </c>
    </row>
    <row r="36845" spans="1:1" x14ac:dyDescent="0.3">
      <c r="A36845" t="s">
        <v>0</v>
      </c>
    </row>
    <row r="36846" spans="1:1" x14ac:dyDescent="0.3">
      <c r="A36846" t="s">
        <v>0</v>
      </c>
    </row>
    <row r="36847" spans="1:1" x14ac:dyDescent="0.3">
      <c r="A36847" t="s">
        <v>0</v>
      </c>
    </row>
    <row r="36848" spans="1:1" x14ac:dyDescent="0.3">
      <c r="A36848" t="s">
        <v>0</v>
      </c>
    </row>
    <row r="36849" spans="1:1" x14ac:dyDescent="0.3">
      <c r="A36849" t="s">
        <v>0</v>
      </c>
    </row>
    <row r="36850" spans="1:1" x14ac:dyDescent="0.3">
      <c r="A36850" t="s">
        <v>0</v>
      </c>
    </row>
    <row r="36851" spans="1:1" x14ac:dyDescent="0.3">
      <c r="A36851" t="s">
        <v>0</v>
      </c>
    </row>
    <row r="36852" spans="1:1" x14ac:dyDescent="0.3">
      <c r="A36852" t="s">
        <v>0</v>
      </c>
    </row>
    <row r="36853" spans="1:1" x14ac:dyDescent="0.3">
      <c r="A36853" t="s">
        <v>0</v>
      </c>
    </row>
    <row r="36854" spans="1:1" x14ac:dyDescent="0.3">
      <c r="A36854" t="s">
        <v>0</v>
      </c>
    </row>
    <row r="36855" spans="1:1" x14ac:dyDescent="0.3">
      <c r="A36855" t="s">
        <v>0</v>
      </c>
    </row>
    <row r="36856" spans="1:1" x14ac:dyDescent="0.3">
      <c r="A36856" t="s">
        <v>0</v>
      </c>
    </row>
    <row r="36857" spans="1:1" x14ac:dyDescent="0.3">
      <c r="A36857" t="s">
        <v>0</v>
      </c>
    </row>
    <row r="36858" spans="1:1" x14ac:dyDescent="0.3">
      <c r="A36858" t="s">
        <v>0</v>
      </c>
    </row>
    <row r="36859" spans="1:1" x14ac:dyDescent="0.3">
      <c r="A36859" t="s">
        <v>0</v>
      </c>
    </row>
    <row r="36860" spans="1:1" x14ac:dyDescent="0.3">
      <c r="A36860" t="s">
        <v>0</v>
      </c>
    </row>
    <row r="36861" spans="1:1" x14ac:dyDescent="0.3">
      <c r="A36861" t="s">
        <v>0</v>
      </c>
    </row>
    <row r="36862" spans="1:1" x14ac:dyDescent="0.3">
      <c r="A36862" t="s">
        <v>0</v>
      </c>
    </row>
    <row r="36863" spans="1:1" x14ac:dyDescent="0.3">
      <c r="A36863" t="s">
        <v>0</v>
      </c>
    </row>
    <row r="36864" spans="1:1" x14ac:dyDescent="0.3">
      <c r="A36864" t="s">
        <v>0</v>
      </c>
    </row>
    <row r="36865" spans="1:1" x14ac:dyDescent="0.3">
      <c r="A36865" t="s">
        <v>0</v>
      </c>
    </row>
    <row r="36866" spans="1:1" x14ac:dyDescent="0.3">
      <c r="A36866" t="s">
        <v>0</v>
      </c>
    </row>
    <row r="36867" spans="1:1" x14ac:dyDescent="0.3">
      <c r="A36867" t="s">
        <v>0</v>
      </c>
    </row>
    <row r="36868" spans="1:1" x14ac:dyDescent="0.3">
      <c r="A36868" t="s">
        <v>0</v>
      </c>
    </row>
    <row r="36869" spans="1:1" x14ac:dyDescent="0.3">
      <c r="A36869" t="s">
        <v>0</v>
      </c>
    </row>
    <row r="36870" spans="1:1" x14ac:dyDescent="0.3">
      <c r="A36870" t="s">
        <v>0</v>
      </c>
    </row>
    <row r="36871" spans="1:1" x14ac:dyDescent="0.3">
      <c r="A36871" t="s">
        <v>0</v>
      </c>
    </row>
    <row r="36872" spans="1:1" x14ac:dyDescent="0.3">
      <c r="A36872" t="s">
        <v>0</v>
      </c>
    </row>
    <row r="36873" spans="1:1" x14ac:dyDescent="0.3">
      <c r="A36873" t="s">
        <v>0</v>
      </c>
    </row>
    <row r="36874" spans="1:1" x14ac:dyDescent="0.3">
      <c r="A36874" t="s">
        <v>0</v>
      </c>
    </row>
    <row r="36875" spans="1:1" x14ac:dyDescent="0.3">
      <c r="A36875" t="s">
        <v>0</v>
      </c>
    </row>
    <row r="36876" spans="1:1" x14ac:dyDescent="0.3">
      <c r="A36876" t="s">
        <v>0</v>
      </c>
    </row>
    <row r="36877" spans="1:1" x14ac:dyDescent="0.3">
      <c r="A36877" t="s">
        <v>0</v>
      </c>
    </row>
    <row r="36878" spans="1:1" x14ac:dyDescent="0.3">
      <c r="A36878" t="s">
        <v>0</v>
      </c>
    </row>
    <row r="36879" spans="1:1" x14ac:dyDescent="0.3">
      <c r="A36879" t="s">
        <v>0</v>
      </c>
    </row>
    <row r="36880" spans="1:1" x14ac:dyDescent="0.3">
      <c r="A36880" t="s">
        <v>0</v>
      </c>
    </row>
    <row r="36881" spans="1:1" x14ac:dyDescent="0.3">
      <c r="A36881" t="s">
        <v>0</v>
      </c>
    </row>
    <row r="36882" spans="1:1" x14ac:dyDescent="0.3">
      <c r="A36882" t="s">
        <v>0</v>
      </c>
    </row>
    <row r="36883" spans="1:1" x14ac:dyDescent="0.3">
      <c r="A36883" t="s">
        <v>0</v>
      </c>
    </row>
    <row r="36884" spans="1:1" x14ac:dyDescent="0.3">
      <c r="A36884" t="s">
        <v>0</v>
      </c>
    </row>
    <row r="36885" spans="1:1" x14ac:dyDescent="0.3">
      <c r="A36885" t="s">
        <v>0</v>
      </c>
    </row>
    <row r="36886" spans="1:1" x14ac:dyDescent="0.3">
      <c r="A36886" t="s">
        <v>0</v>
      </c>
    </row>
    <row r="36887" spans="1:1" x14ac:dyDescent="0.3">
      <c r="A36887" t="s">
        <v>0</v>
      </c>
    </row>
    <row r="36888" spans="1:1" x14ac:dyDescent="0.3">
      <c r="A36888" t="s">
        <v>0</v>
      </c>
    </row>
    <row r="36889" spans="1:1" x14ac:dyDescent="0.3">
      <c r="A36889" t="s">
        <v>0</v>
      </c>
    </row>
    <row r="36890" spans="1:1" x14ac:dyDescent="0.3">
      <c r="A36890" t="s">
        <v>0</v>
      </c>
    </row>
    <row r="36891" spans="1:1" x14ac:dyDescent="0.3">
      <c r="A36891" t="s">
        <v>0</v>
      </c>
    </row>
    <row r="36892" spans="1:1" x14ac:dyDescent="0.3">
      <c r="A36892" t="s">
        <v>0</v>
      </c>
    </row>
    <row r="36893" spans="1:1" x14ac:dyDescent="0.3">
      <c r="A36893" t="s">
        <v>0</v>
      </c>
    </row>
    <row r="36894" spans="1:1" x14ac:dyDescent="0.3">
      <c r="A36894" t="s">
        <v>0</v>
      </c>
    </row>
    <row r="36895" spans="1:1" x14ac:dyDescent="0.3">
      <c r="A36895" t="s">
        <v>0</v>
      </c>
    </row>
    <row r="36896" spans="1:1" x14ac:dyDescent="0.3">
      <c r="A36896" t="s">
        <v>0</v>
      </c>
    </row>
    <row r="36897" spans="1:1" x14ac:dyDescent="0.3">
      <c r="A36897" t="s">
        <v>0</v>
      </c>
    </row>
    <row r="36898" spans="1:1" x14ac:dyDescent="0.3">
      <c r="A36898" t="s">
        <v>0</v>
      </c>
    </row>
    <row r="36899" spans="1:1" x14ac:dyDescent="0.3">
      <c r="A36899" t="s">
        <v>0</v>
      </c>
    </row>
    <row r="36900" spans="1:1" x14ac:dyDescent="0.3">
      <c r="A36900" t="s">
        <v>0</v>
      </c>
    </row>
    <row r="36901" spans="1:1" x14ac:dyDescent="0.3">
      <c r="A36901" t="s">
        <v>0</v>
      </c>
    </row>
    <row r="36902" spans="1:1" x14ac:dyDescent="0.3">
      <c r="A36902" t="s">
        <v>0</v>
      </c>
    </row>
    <row r="36903" spans="1:1" x14ac:dyDescent="0.3">
      <c r="A36903" t="s">
        <v>0</v>
      </c>
    </row>
    <row r="36904" spans="1:1" x14ac:dyDescent="0.3">
      <c r="A36904" t="s">
        <v>0</v>
      </c>
    </row>
    <row r="36905" spans="1:1" x14ac:dyDescent="0.3">
      <c r="A36905" t="s">
        <v>0</v>
      </c>
    </row>
    <row r="36906" spans="1:1" x14ac:dyDescent="0.3">
      <c r="A36906" t="s">
        <v>0</v>
      </c>
    </row>
    <row r="36907" spans="1:1" x14ac:dyDescent="0.3">
      <c r="A36907" t="s">
        <v>0</v>
      </c>
    </row>
    <row r="36908" spans="1:1" x14ac:dyDescent="0.3">
      <c r="A36908" t="s">
        <v>0</v>
      </c>
    </row>
    <row r="36909" spans="1:1" x14ac:dyDescent="0.3">
      <c r="A36909" t="s">
        <v>0</v>
      </c>
    </row>
    <row r="36910" spans="1:1" x14ac:dyDescent="0.3">
      <c r="A36910" t="s">
        <v>0</v>
      </c>
    </row>
    <row r="36911" spans="1:1" x14ac:dyDescent="0.3">
      <c r="A36911" t="s">
        <v>0</v>
      </c>
    </row>
    <row r="36912" spans="1:1" x14ac:dyDescent="0.3">
      <c r="A36912" t="s">
        <v>0</v>
      </c>
    </row>
    <row r="36913" spans="1:1" x14ac:dyDescent="0.3">
      <c r="A36913" t="s">
        <v>0</v>
      </c>
    </row>
    <row r="36914" spans="1:1" x14ac:dyDescent="0.3">
      <c r="A36914" t="s">
        <v>0</v>
      </c>
    </row>
    <row r="36915" spans="1:1" x14ac:dyDescent="0.3">
      <c r="A36915" t="s">
        <v>0</v>
      </c>
    </row>
    <row r="36916" spans="1:1" x14ac:dyDescent="0.3">
      <c r="A36916" t="s">
        <v>0</v>
      </c>
    </row>
    <row r="36917" spans="1:1" x14ac:dyDescent="0.3">
      <c r="A36917" t="s">
        <v>0</v>
      </c>
    </row>
    <row r="36918" spans="1:1" x14ac:dyDescent="0.3">
      <c r="A36918" t="s">
        <v>0</v>
      </c>
    </row>
    <row r="36919" spans="1:1" x14ac:dyDescent="0.3">
      <c r="A36919" t="s">
        <v>0</v>
      </c>
    </row>
    <row r="36920" spans="1:1" x14ac:dyDescent="0.3">
      <c r="A36920" t="s">
        <v>0</v>
      </c>
    </row>
    <row r="36921" spans="1:1" x14ac:dyDescent="0.3">
      <c r="A36921" t="s">
        <v>0</v>
      </c>
    </row>
    <row r="36922" spans="1:1" x14ac:dyDescent="0.3">
      <c r="A36922" t="s">
        <v>0</v>
      </c>
    </row>
    <row r="36923" spans="1:1" x14ac:dyDescent="0.3">
      <c r="A36923" t="s">
        <v>0</v>
      </c>
    </row>
    <row r="36924" spans="1:1" x14ac:dyDescent="0.3">
      <c r="A36924" t="s">
        <v>0</v>
      </c>
    </row>
    <row r="36925" spans="1:1" x14ac:dyDescent="0.3">
      <c r="A36925" t="s">
        <v>0</v>
      </c>
    </row>
    <row r="36926" spans="1:1" x14ac:dyDescent="0.3">
      <c r="A36926" t="s">
        <v>0</v>
      </c>
    </row>
    <row r="36927" spans="1:1" x14ac:dyDescent="0.3">
      <c r="A36927" t="s">
        <v>0</v>
      </c>
    </row>
    <row r="36928" spans="1:1" x14ac:dyDescent="0.3">
      <c r="A36928" t="s">
        <v>0</v>
      </c>
    </row>
    <row r="36929" spans="1:1" x14ac:dyDescent="0.3">
      <c r="A36929" t="s">
        <v>0</v>
      </c>
    </row>
    <row r="36930" spans="1:1" x14ac:dyDescent="0.3">
      <c r="A36930" t="s">
        <v>0</v>
      </c>
    </row>
    <row r="36931" spans="1:1" x14ac:dyDescent="0.3">
      <c r="A36931" t="s">
        <v>0</v>
      </c>
    </row>
    <row r="36932" spans="1:1" x14ac:dyDescent="0.3">
      <c r="A36932" t="s">
        <v>0</v>
      </c>
    </row>
    <row r="36933" spans="1:1" x14ac:dyDescent="0.3">
      <c r="A36933" t="s">
        <v>0</v>
      </c>
    </row>
    <row r="36934" spans="1:1" x14ac:dyDescent="0.3">
      <c r="A36934" t="s">
        <v>0</v>
      </c>
    </row>
    <row r="36935" spans="1:1" x14ac:dyDescent="0.3">
      <c r="A36935" t="s">
        <v>0</v>
      </c>
    </row>
    <row r="36936" spans="1:1" x14ac:dyDescent="0.3">
      <c r="A36936" t="s">
        <v>0</v>
      </c>
    </row>
    <row r="36937" spans="1:1" x14ac:dyDescent="0.3">
      <c r="A36937" t="s">
        <v>0</v>
      </c>
    </row>
    <row r="36938" spans="1:1" x14ac:dyDescent="0.3">
      <c r="A36938" t="s">
        <v>0</v>
      </c>
    </row>
    <row r="36939" spans="1:1" x14ac:dyDescent="0.3">
      <c r="A36939" t="s">
        <v>0</v>
      </c>
    </row>
    <row r="36940" spans="1:1" x14ac:dyDescent="0.3">
      <c r="A36940" t="s">
        <v>0</v>
      </c>
    </row>
    <row r="36941" spans="1:1" x14ac:dyDescent="0.3">
      <c r="A36941" t="s">
        <v>0</v>
      </c>
    </row>
    <row r="36942" spans="1:1" x14ac:dyDescent="0.3">
      <c r="A36942" t="s">
        <v>0</v>
      </c>
    </row>
    <row r="36943" spans="1:1" x14ac:dyDescent="0.3">
      <c r="A36943" t="s">
        <v>0</v>
      </c>
    </row>
    <row r="36944" spans="1:1" x14ac:dyDescent="0.3">
      <c r="A36944" t="s">
        <v>0</v>
      </c>
    </row>
    <row r="36945" spans="1:1" x14ac:dyDescent="0.3">
      <c r="A36945" t="s">
        <v>0</v>
      </c>
    </row>
    <row r="36946" spans="1:1" x14ac:dyDescent="0.3">
      <c r="A36946" t="s">
        <v>0</v>
      </c>
    </row>
    <row r="36947" spans="1:1" x14ac:dyDescent="0.3">
      <c r="A36947" t="s">
        <v>0</v>
      </c>
    </row>
    <row r="36948" spans="1:1" x14ac:dyDescent="0.3">
      <c r="A36948" t="s">
        <v>0</v>
      </c>
    </row>
    <row r="36949" spans="1:1" x14ac:dyDescent="0.3">
      <c r="A36949" t="s">
        <v>0</v>
      </c>
    </row>
    <row r="36950" spans="1:1" x14ac:dyDescent="0.3">
      <c r="A36950" t="s">
        <v>0</v>
      </c>
    </row>
    <row r="36951" spans="1:1" x14ac:dyDescent="0.3">
      <c r="A36951" t="s">
        <v>0</v>
      </c>
    </row>
    <row r="36952" spans="1:1" x14ac:dyDescent="0.3">
      <c r="A36952" t="s">
        <v>0</v>
      </c>
    </row>
    <row r="36953" spans="1:1" x14ac:dyDescent="0.3">
      <c r="A36953" t="s">
        <v>0</v>
      </c>
    </row>
    <row r="36954" spans="1:1" x14ac:dyDescent="0.3">
      <c r="A36954" t="s">
        <v>0</v>
      </c>
    </row>
    <row r="36955" spans="1:1" x14ac:dyDescent="0.3">
      <c r="A36955" t="s">
        <v>0</v>
      </c>
    </row>
    <row r="36956" spans="1:1" x14ac:dyDescent="0.3">
      <c r="A36956" t="s">
        <v>0</v>
      </c>
    </row>
    <row r="36957" spans="1:1" x14ac:dyDescent="0.3">
      <c r="A36957" t="s">
        <v>0</v>
      </c>
    </row>
    <row r="36958" spans="1:1" x14ac:dyDescent="0.3">
      <c r="A36958" t="s">
        <v>0</v>
      </c>
    </row>
    <row r="36959" spans="1:1" x14ac:dyDescent="0.3">
      <c r="A36959" t="s">
        <v>0</v>
      </c>
    </row>
    <row r="36960" spans="1:1" x14ac:dyDescent="0.3">
      <c r="A36960" t="s">
        <v>0</v>
      </c>
    </row>
    <row r="36961" spans="1:1" x14ac:dyDescent="0.3">
      <c r="A36961" t="s">
        <v>0</v>
      </c>
    </row>
    <row r="36962" spans="1:1" x14ac:dyDescent="0.3">
      <c r="A36962" t="s">
        <v>0</v>
      </c>
    </row>
    <row r="36963" spans="1:1" x14ac:dyDescent="0.3">
      <c r="A36963" t="s">
        <v>0</v>
      </c>
    </row>
    <row r="36964" spans="1:1" x14ac:dyDescent="0.3">
      <c r="A36964" t="s">
        <v>0</v>
      </c>
    </row>
    <row r="36965" spans="1:1" x14ac:dyDescent="0.3">
      <c r="A36965" t="s">
        <v>0</v>
      </c>
    </row>
    <row r="36966" spans="1:1" x14ac:dyDescent="0.3">
      <c r="A36966" t="s">
        <v>0</v>
      </c>
    </row>
    <row r="36967" spans="1:1" x14ac:dyDescent="0.3">
      <c r="A36967" t="s">
        <v>0</v>
      </c>
    </row>
    <row r="36968" spans="1:1" x14ac:dyDescent="0.3">
      <c r="A36968" t="s">
        <v>0</v>
      </c>
    </row>
    <row r="36969" spans="1:1" x14ac:dyDescent="0.3">
      <c r="A36969" t="s">
        <v>0</v>
      </c>
    </row>
    <row r="36970" spans="1:1" x14ac:dyDescent="0.3">
      <c r="A36970" t="s">
        <v>0</v>
      </c>
    </row>
    <row r="36971" spans="1:1" x14ac:dyDescent="0.3">
      <c r="A36971" t="s">
        <v>0</v>
      </c>
    </row>
    <row r="36972" spans="1:1" x14ac:dyDescent="0.3">
      <c r="A36972" t="s">
        <v>0</v>
      </c>
    </row>
    <row r="36973" spans="1:1" x14ac:dyDescent="0.3">
      <c r="A36973" t="s">
        <v>0</v>
      </c>
    </row>
    <row r="36974" spans="1:1" x14ac:dyDescent="0.3">
      <c r="A36974" t="s">
        <v>0</v>
      </c>
    </row>
    <row r="36975" spans="1:1" x14ac:dyDescent="0.3">
      <c r="A36975" t="s">
        <v>0</v>
      </c>
    </row>
    <row r="36976" spans="1:1" x14ac:dyDescent="0.3">
      <c r="A36976" t="s">
        <v>0</v>
      </c>
    </row>
    <row r="36977" spans="1:1" x14ac:dyDescent="0.3">
      <c r="A36977" t="s">
        <v>0</v>
      </c>
    </row>
    <row r="36978" spans="1:1" x14ac:dyDescent="0.3">
      <c r="A36978" t="s">
        <v>0</v>
      </c>
    </row>
    <row r="36979" spans="1:1" x14ac:dyDescent="0.3">
      <c r="A36979" t="s">
        <v>0</v>
      </c>
    </row>
    <row r="36980" spans="1:1" x14ac:dyDescent="0.3">
      <c r="A36980" t="s">
        <v>0</v>
      </c>
    </row>
    <row r="36981" spans="1:1" x14ac:dyDescent="0.3">
      <c r="A36981" t="s">
        <v>0</v>
      </c>
    </row>
    <row r="36982" spans="1:1" x14ac:dyDescent="0.3">
      <c r="A36982" t="s">
        <v>0</v>
      </c>
    </row>
    <row r="36983" spans="1:1" x14ac:dyDescent="0.3">
      <c r="A36983" t="s">
        <v>0</v>
      </c>
    </row>
    <row r="36984" spans="1:1" x14ac:dyDescent="0.3">
      <c r="A36984" t="s">
        <v>0</v>
      </c>
    </row>
    <row r="36985" spans="1:1" x14ac:dyDescent="0.3">
      <c r="A36985" t="s">
        <v>0</v>
      </c>
    </row>
    <row r="36986" spans="1:1" x14ac:dyDescent="0.3">
      <c r="A36986" t="s">
        <v>0</v>
      </c>
    </row>
    <row r="36987" spans="1:1" x14ac:dyDescent="0.3">
      <c r="A36987" t="s">
        <v>0</v>
      </c>
    </row>
    <row r="36988" spans="1:1" x14ac:dyDescent="0.3">
      <c r="A36988" t="s">
        <v>0</v>
      </c>
    </row>
    <row r="36989" spans="1:1" x14ac:dyDescent="0.3">
      <c r="A36989" t="s">
        <v>0</v>
      </c>
    </row>
    <row r="36990" spans="1:1" x14ac:dyDescent="0.3">
      <c r="A36990" t="s">
        <v>0</v>
      </c>
    </row>
    <row r="36991" spans="1:1" x14ac:dyDescent="0.3">
      <c r="A36991" t="s">
        <v>0</v>
      </c>
    </row>
    <row r="36992" spans="1:1" x14ac:dyDescent="0.3">
      <c r="A36992" t="s">
        <v>0</v>
      </c>
    </row>
    <row r="36993" spans="1:1" x14ac:dyDescent="0.3">
      <c r="A36993" t="s">
        <v>0</v>
      </c>
    </row>
    <row r="36994" spans="1:1" x14ac:dyDescent="0.3">
      <c r="A36994" t="s">
        <v>0</v>
      </c>
    </row>
    <row r="36995" spans="1:1" x14ac:dyDescent="0.3">
      <c r="A36995" t="s">
        <v>0</v>
      </c>
    </row>
    <row r="36996" spans="1:1" x14ac:dyDescent="0.3">
      <c r="A36996" t="s">
        <v>0</v>
      </c>
    </row>
    <row r="36997" spans="1:1" x14ac:dyDescent="0.3">
      <c r="A36997" t="s">
        <v>0</v>
      </c>
    </row>
    <row r="36998" spans="1:1" x14ac:dyDescent="0.3">
      <c r="A36998" t="s">
        <v>0</v>
      </c>
    </row>
    <row r="36999" spans="1:1" x14ac:dyDescent="0.3">
      <c r="A36999" t="s">
        <v>0</v>
      </c>
    </row>
    <row r="37000" spans="1:1" x14ac:dyDescent="0.3">
      <c r="A37000" t="s">
        <v>0</v>
      </c>
    </row>
    <row r="37001" spans="1:1" x14ac:dyDescent="0.3">
      <c r="A37001" t="s">
        <v>0</v>
      </c>
    </row>
    <row r="37002" spans="1:1" x14ac:dyDescent="0.3">
      <c r="A37002" t="s">
        <v>0</v>
      </c>
    </row>
    <row r="37003" spans="1:1" x14ac:dyDescent="0.3">
      <c r="A37003" t="s">
        <v>0</v>
      </c>
    </row>
    <row r="37004" spans="1:1" x14ac:dyDescent="0.3">
      <c r="A37004" t="s">
        <v>0</v>
      </c>
    </row>
    <row r="37005" spans="1:1" x14ac:dyDescent="0.3">
      <c r="A37005" t="s">
        <v>0</v>
      </c>
    </row>
    <row r="37006" spans="1:1" x14ac:dyDescent="0.3">
      <c r="A37006" t="s">
        <v>0</v>
      </c>
    </row>
    <row r="37007" spans="1:1" x14ac:dyDescent="0.3">
      <c r="A37007" t="s">
        <v>0</v>
      </c>
    </row>
    <row r="37008" spans="1:1" x14ac:dyDescent="0.3">
      <c r="A37008" t="s">
        <v>0</v>
      </c>
    </row>
    <row r="37009" spans="1:1" x14ac:dyDescent="0.3">
      <c r="A37009" t="s">
        <v>0</v>
      </c>
    </row>
    <row r="37010" spans="1:1" x14ac:dyDescent="0.3">
      <c r="A37010" t="s">
        <v>0</v>
      </c>
    </row>
    <row r="37011" spans="1:1" x14ac:dyDescent="0.3">
      <c r="A37011" t="s">
        <v>0</v>
      </c>
    </row>
    <row r="37012" spans="1:1" x14ac:dyDescent="0.3">
      <c r="A37012" t="s">
        <v>0</v>
      </c>
    </row>
    <row r="37013" spans="1:1" x14ac:dyDescent="0.3">
      <c r="A37013" t="s">
        <v>0</v>
      </c>
    </row>
    <row r="37014" spans="1:1" x14ac:dyDescent="0.3">
      <c r="A37014" t="s">
        <v>0</v>
      </c>
    </row>
    <row r="37015" spans="1:1" x14ac:dyDescent="0.3">
      <c r="A37015" t="s">
        <v>0</v>
      </c>
    </row>
    <row r="37016" spans="1:1" x14ac:dyDescent="0.3">
      <c r="A37016" t="s">
        <v>0</v>
      </c>
    </row>
    <row r="37017" spans="1:1" x14ac:dyDescent="0.3">
      <c r="A37017" t="s">
        <v>0</v>
      </c>
    </row>
    <row r="37018" spans="1:1" x14ac:dyDescent="0.3">
      <c r="A37018" t="s">
        <v>0</v>
      </c>
    </row>
    <row r="37019" spans="1:1" x14ac:dyDescent="0.3">
      <c r="A37019" t="s">
        <v>0</v>
      </c>
    </row>
    <row r="37020" spans="1:1" x14ac:dyDescent="0.3">
      <c r="A37020" t="s">
        <v>0</v>
      </c>
    </row>
    <row r="37021" spans="1:1" x14ac:dyDescent="0.3">
      <c r="A37021" t="s">
        <v>0</v>
      </c>
    </row>
    <row r="37022" spans="1:1" x14ac:dyDescent="0.3">
      <c r="A37022" t="s">
        <v>0</v>
      </c>
    </row>
    <row r="37023" spans="1:1" x14ac:dyDescent="0.3">
      <c r="A37023" t="s">
        <v>0</v>
      </c>
    </row>
    <row r="37024" spans="1:1" x14ac:dyDescent="0.3">
      <c r="A37024" t="s">
        <v>0</v>
      </c>
    </row>
    <row r="37025" spans="1:1" x14ac:dyDescent="0.3">
      <c r="A37025" t="s">
        <v>0</v>
      </c>
    </row>
    <row r="37026" spans="1:1" x14ac:dyDescent="0.3">
      <c r="A37026" t="s">
        <v>0</v>
      </c>
    </row>
    <row r="37027" spans="1:1" x14ac:dyDescent="0.3">
      <c r="A37027" t="s">
        <v>0</v>
      </c>
    </row>
    <row r="37028" spans="1:1" x14ac:dyDescent="0.3">
      <c r="A37028" t="s">
        <v>0</v>
      </c>
    </row>
    <row r="37029" spans="1:1" x14ac:dyDescent="0.3">
      <c r="A37029" t="s">
        <v>0</v>
      </c>
    </row>
    <row r="37030" spans="1:1" x14ac:dyDescent="0.3">
      <c r="A37030" t="s">
        <v>0</v>
      </c>
    </row>
    <row r="37031" spans="1:1" x14ac:dyDescent="0.3">
      <c r="A37031" t="s">
        <v>0</v>
      </c>
    </row>
    <row r="37032" spans="1:1" x14ac:dyDescent="0.3">
      <c r="A37032" t="s">
        <v>0</v>
      </c>
    </row>
    <row r="37033" spans="1:1" x14ac:dyDescent="0.3">
      <c r="A37033" t="s">
        <v>0</v>
      </c>
    </row>
    <row r="37034" spans="1:1" x14ac:dyDescent="0.3">
      <c r="A37034" t="s">
        <v>0</v>
      </c>
    </row>
    <row r="37035" spans="1:1" x14ac:dyDescent="0.3">
      <c r="A37035" t="s">
        <v>0</v>
      </c>
    </row>
    <row r="37036" spans="1:1" x14ac:dyDescent="0.3">
      <c r="A37036" t="s">
        <v>0</v>
      </c>
    </row>
    <row r="37037" spans="1:1" x14ac:dyDescent="0.3">
      <c r="A37037" t="s">
        <v>0</v>
      </c>
    </row>
    <row r="37038" spans="1:1" x14ac:dyDescent="0.3">
      <c r="A37038" t="s">
        <v>0</v>
      </c>
    </row>
    <row r="37039" spans="1:1" x14ac:dyDescent="0.3">
      <c r="A37039" t="s">
        <v>0</v>
      </c>
    </row>
    <row r="37040" spans="1:1" x14ac:dyDescent="0.3">
      <c r="A37040" t="s">
        <v>0</v>
      </c>
    </row>
    <row r="37041" spans="1:1" x14ac:dyDescent="0.3">
      <c r="A37041" t="s">
        <v>0</v>
      </c>
    </row>
    <row r="37042" spans="1:1" x14ac:dyDescent="0.3">
      <c r="A37042" t="s">
        <v>0</v>
      </c>
    </row>
    <row r="37043" spans="1:1" x14ac:dyDescent="0.3">
      <c r="A37043" t="s">
        <v>0</v>
      </c>
    </row>
    <row r="37044" spans="1:1" x14ac:dyDescent="0.3">
      <c r="A37044" t="s">
        <v>0</v>
      </c>
    </row>
    <row r="37045" spans="1:1" x14ac:dyDescent="0.3">
      <c r="A37045" t="s">
        <v>0</v>
      </c>
    </row>
    <row r="37046" spans="1:1" x14ac:dyDescent="0.3">
      <c r="A37046" t="s">
        <v>0</v>
      </c>
    </row>
    <row r="37047" spans="1:1" x14ac:dyDescent="0.3">
      <c r="A37047" t="s">
        <v>0</v>
      </c>
    </row>
    <row r="37048" spans="1:1" x14ac:dyDescent="0.3">
      <c r="A37048" t="s">
        <v>0</v>
      </c>
    </row>
    <row r="37049" spans="1:1" x14ac:dyDescent="0.3">
      <c r="A37049" t="s">
        <v>0</v>
      </c>
    </row>
    <row r="37050" spans="1:1" x14ac:dyDescent="0.3">
      <c r="A37050" t="s">
        <v>0</v>
      </c>
    </row>
    <row r="37051" spans="1:1" x14ac:dyDescent="0.3">
      <c r="A37051" t="s">
        <v>0</v>
      </c>
    </row>
    <row r="37052" spans="1:1" x14ac:dyDescent="0.3">
      <c r="A37052" t="s">
        <v>0</v>
      </c>
    </row>
    <row r="37053" spans="1:1" x14ac:dyDescent="0.3">
      <c r="A37053" t="s">
        <v>0</v>
      </c>
    </row>
    <row r="37054" spans="1:1" x14ac:dyDescent="0.3">
      <c r="A37054" t="s">
        <v>0</v>
      </c>
    </row>
    <row r="37055" spans="1:1" x14ac:dyDescent="0.3">
      <c r="A37055" t="s">
        <v>0</v>
      </c>
    </row>
    <row r="37056" spans="1:1" x14ac:dyDescent="0.3">
      <c r="A37056" t="s">
        <v>0</v>
      </c>
    </row>
    <row r="37057" spans="1:1" x14ac:dyDescent="0.3">
      <c r="A37057" t="s">
        <v>0</v>
      </c>
    </row>
    <row r="37058" spans="1:1" x14ac:dyDescent="0.3">
      <c r="A37058" t="s">
        <v>0</v>
      </c>
    </row>
    <row r="37059" spans="1:1" x14ac:dyDescent="0.3">
      <c r="A37059" t="s">
        <v>0</v>
      </c>
    </row>
    <row r="37060" spans="1:1" x14ac:dyDescent="0.3">
      <c r="A37060" t="s">
        <v>0</v>
      </c>
    </row>
    <row r="37061" spans="1:1" x14ac:dyDescent="0.3">
      <c r="A37061" t="s">
        <v>0</v>
      </c>
    </row>
    <row r="37062" spans="1:1" x14ac:dyDescent="0.3">
      <c r="A37062" t="s">
        <v>0</v>
      </c>
    </row>
    <row r="37063" spans="1:1" x14ac:dyDescent="0.3">
      <c r="A37063" t="s">
        <v>0</v>
      </c>
    </row>
    <row r="37064" spans="1:1" x14ac:dyDescent="0.3">
      <c r="A37064" t="s">
        <v>0</v>
      </c>
    </row>
    <row r="37065" spans="1:1" x14ac:dyDescent="0.3">
      <c r="A37065" t="s">
        <v>0</v>
      </c>
    </row>
    <row r="37066" spans="1:1" x14ac:dyDescent="0.3">
      <c r="A37066" t="s">
        <v>0</v>
      </c>
    </row>
    <row r="37067" spans="1:1" x14ac:dyDescent="0.3">
      <c r="A37067" t="s">
        <v>0</v>
      </c>
    </row>
    <row r="37068" spans="1:1" x14ac:dyDescent="0.3">
      <c r="A37068" t="s">
        <v>0</v>
      </c>
    </row>
    <row r="37069" spans="1:1" x14ac:dyDescent="0.3">
      <c r="A37069" t="s">
        <v>0</v>
      </c>
    </row>
    <row r="37070" spans="1:1" x14ac:dyDescent="0.3">
      <c r="A37070" t="s">
        <v>0</v>
      </c>
    </row>
    <row r="37071" spans="1:1" x14ac:dyDescent="0.3">
      <c r="A37071" t="s">
        <v>0</v>
      </c>
    </row>
    <row r="37072" spans="1:1" x14ac:dyDescent="0.3">
      <c r="A37072" t="s">
        <v>0</v>
      </c>
    </row>
    <row r="37073" spans="1:1" x14ac:dyDescent="0.3">
      <c r="A37073" t="s">
        <v>0</v>
      </c>
    </row>
    <row r="37074" spans="1:1" x14ac:dyDescent="0.3">
      <c r="A37074" t="s">
        <v>0</v>
      </c>
    </row>
    <row r="37075" spans="1:1" x14ac:dyDescent="0.3">
      <c r="A37075" t="s">
        <v>0</v>
      </c>
    </row>
    <row r="37076" spans="1:1" x14ac:dyDescent="0.3">
      <c r="A37076" t="s">
        <v>0</v>
      </c>
    </row>
    <row r="37077" spans="1:1" x14ac:dyDescent="0.3">
      <c r="A37077" t="s">
        <v>0</v>
      </c>
    </row>
    <row r="37078" spans="1:1" x14ac:dyDescent="0.3">
      <c r="A37078" t="s">
        <v>0</v>
      </c>
    </row>
    <row r="37079" spans="1:1" x14ac:dyDescent="0.3">
      <c r="A37079" t="s">
        <v>0</v>
      </c>
    </row>
    <row r="37080" spans="1:1" x14ac:dyDescent="0.3">
      <c r="A37080" t="s">
        <v>0</v>
      </c>
    </row>
    <row r="37081" spans="1:1" x14ac:dyDescent="0.3">
      <c r="A37081" t="s">
        <v>0</v>
      </c>
    </row>
    <row r="37082" spans="1:1" x14ac:dyDescent="0.3">
      <c r="A37082" t="s">
        <v>0</v>
      </c>
    </row>
    <row r="37083" spans="1:1" x14ac:dyDescent="0.3">
      <c r="A37083" t="s">
        <v>0</v>
      </c>
    </row>
    <row r="37084" spans="1:1" x14ac:dyDescent="0.3">
      <c r="A37084" t="s">
        <v>0</v>
      </c>
    </row>
    <row r="37085" spans="1:1" x14ac:dyDescent="0.3">
      <c r="A37085" t="s">
        <v>0</v>
      </c>
    </row>
    <row r="37086" spans="1:1" x14ac:dyDescent="0.3">
      <c r="A37086" t="s">
        <v>0</v>
      </c>
    </row>
    <row r="37087" spans="1:1" x14ac:dyDescent="0.3">
      <c r="A37087" t="s">
        <v>0</v>
      </c>
    </row>
    <row r="37088" spans="1:1" x14ac:dyDescent="0.3">
      <c r="A37088" t="s">
        <v>0</v>
      </c>
    </row>
    <row r="37089" spans="1:1" x14ac:dyDescent="0.3">
      <c r="A37089" t="s">
        <v>0</v>
      </c>
    </row>
    <row r="37090" spans="1:1" x14ac:dyDescent="0.3">
      <c r="A37090" t="s">
        <v>0</v>
      </c>
    </row>
    <row r="37091" spans="1:1" x14ac:dyDescent="0.3">
      <c r="A37091" t="s">
        <v>0</v>
      </c>
    </row>
    <row r="37092" spans="1:1" x14ac:dyDescent="0.3">
      <c r="A37092" t="s">
        <v>0</v>
      </c>
    </row>
    <row r="37093" spans="1:1" x14ac:dyDescent="0.3">
      <c r="A37093" t="s">
        <v>0</v>
      </c>
    </row>
    <row r="37094" spans="1:1" x14ac:dyDescent="0.3">
      <c r="A37094" t="s">
        <v>0</v>
      </c>
    </row>
    <row r="37095" spans="1:1" x14ac:dyDescent="0.3">
      <c r="A37095" t="s">
        <v>0</v>
      </c>
    </row>
    <row r="37096" spans="1:1" x14ac:dyDescent="0.3">
      <c r="A37096" t="s">
        <v>0</v>
      </c>
    </row>
    <row r="37097" spans="1:1" x14ac:dyDescent="0.3">
      <c r="A37097" t="s">
        <v>0</v>
      </c>
    </row>
    <row r="37098" spans="1:1" x14ac:dyDescent="0.3">
      <c r="A37098" t="s">
        <v>0</v>
      </c>
    </row>
    <row r="37099" spans="1:1" x14ac:dyDescent="0.3">
      <c r="A37099" t="s">
        <v>0</v>
      </c>
    </row>
    <row r="37100" spans="1:1" x14ac:dyDescent="0.3">
      <c r="A37100" t="s">
        <v>0</v>
      </c>
    </row>
    <row r="37101" spans="1:1" x14ac:dyDescent="0.3">
      <c r="A37101" t="s">
        <v>0</v>
      </c>
    </row>
    <row r="37102" spans="1:1" x14ac:dyDescent="0.3">
      <c r="A37102" t="s">
        <v>0</v>
      </c>
    </row>
    <row r="37103" spans="1:1" x14ac:dyDescent="0.3">
      <c r="A37103" t="s">
        <v>0</v>
      </c>
    </row>
    <row r="37104" spans="1:1" x14ac:dyDescent="0.3">
      <c r="A37104" t="s">
        <v>0</v>
      </c>
    </row>
    <row r="37105" spans="1:1" x14ac:dyDescent="0.3">
      <c r="A37105" t="s">
        <v>0</v>
      </c>
    </row>
    <row r="37106" spans="1:1" x14ac:dyDescent="0.3">
      <c r="A37106" t="s">
        <v>0</v>
      </c>
    </row>
    <row r="37107" spans="1:1" x14ac:dyDescent="0.3">
      <c r="A37107" t="s">
        <v>0</v>
      </c>
    </row>
    <row r="37108" spans="1:1" x14ac:dyDescent="0.3">
      <c r="A37108" t="s">
        <v>0</v>
      </c>
    </row>
    <row r="37109" spans="1:1" x14ac:dyDescent="0.3">
      <c r="A37109" t="s">
        <v>0</v>
      </c>
    </row>
    <row r="37110" spans="1:1" x14ac:dyDescent="0.3">
      <c r="A37110" t="s">
        <v>0</v>
      </c>
    </row>
    <row r="37111" spans="1:1" x14ac:dyDescent="0.3">
      <c r="A37111" t="s">
        <v>0</v>
      </c>
    </row>
    <row r="37112" spans="1:1" x14ac:dyDescent="0.3">
      <c r="A37112" t="s">
        <v>0</v>
      </c>
    </row>
    <row r="37113" spans="1:1" x14ac:dyDescent="0.3">
      <c r="A37113" t="s">
        <v>0</v>
      </c>
    </row>
    <row r="37114" spans="1:1" x14ac:dyDescent="0.3">
      <c r="A37114" t="s">
        <v>0</v>
      </c>
    </row>
    <row r="37115" spans="1:1" x14ac:dyDescent="0.3">
      <c r="A37115" t="s">
        <v>0</v>
      </c>
    </row>
    <row r="37116" spans="1:1" x14ac:dyDescent="0.3">
      <c r="A37116" t="s">
        <v>0</v>
      </c>
    </row>
    <row r="37117" spans="1:1" x14ac:dyDescent="0.3">
      <c r="A37117" t="s">
        <v>0</v>
      </c>
    </row>
    <row r="37118" spans="1:1" x14ac:dyDescent="0.3">
      <c r="A37118" t="s">
        <v>0</v>
      </c>
    </row>
    <row r="37119" spans="1:1" x14ac:dyDescent="0.3">
      <c r="A37119" t="s">
        <v>0</v>
      </c>
    </row>
    <row r="37120" spans="1:1" x14ac:dyDescent="0.3">
      <c r="A37120" t="s">
        <v>0</v>
      </c>
    </row>
    <row r="37121" spans="1:1" x14ac:dyDescent="0.3">
      <c r="A37121" t="s">
        <v>0</v>
      </c>
    </row>
    <row r="37122" spans="1:1" x14ac:dyDescent="0.3">
      <c r="A37122" t="s">
        <v>0</v>
      </c>
    </row>
    <row r="37123" spans="1:1" x14ac:dyDescent="0.3">
      <c r="A37123" t="s">
        <v>0</v>
      </c>
    </row>
    <row r="37124" spans="1:1" x14ac:dyDescent="0.3">
      <c r="A37124" t="s">
        <v>0</v>
      </c>
    </row>
    <row r="37125" spans="1:1" x14ac:dyDescent="0.3">
      <c r="A37125" t="s">
        <v>0</v>
      </c>
    </row>
    <row r="37126" spans="1:1" x14ac:dyDescent="0.3">
      <c r="A37126" t="s">
        <v>0</v>
      </c>
    </row>
    <row r="37127" spans="1:1" x14ac:dyDescent="0.3">
      <c r="A37127" t="s">
        <v>0</v>
      </c>
    </row>
    <row r="37128" spans="1:1" x14ac:dyDescent="0.3">
      <c r="A37128" t="s">
        <v>0</v>
      </c>
    </row>
    <row r="37129" spans="1:1" x14ac:dyDescent="0.3">
      <c r="A37129" t="s">
        <v>0</v>
      </c>
    </row>
    <row r="37130" spans="1:1" x14ac:dyDescent="0.3">
      <c r="A37130" t="s">
        <v>0</v>
      </c>
    </row>
    <row r="37131" spans="1:1" x14ac:dyDescent="0.3">
      <c r="A37131" t="s">
        <v>0</v>
      </c>
    </row>
    <row r="37132" spans="1:1" x14ac:dyDescent="0.3">
      <c r="A37132" t="s">
        <v>0</v>
      </c>
    </row>
    <row r="37133" spans="1:1" x14ac:dyDescent="0.3">
      <c r="A37133" t="s">
        <v>0</v>
      </c>
    </row>
    <row r="37134" spans="1:1" x14ac:dyDescent="0.3">
      <c r="A37134" t="s">
        <v>0</v>
      </c>
    </row>
    <row r="37135" spans="1:1" x14ac:dyDescent="0.3">
      <c r="A37135" t="s">
        <v>0</v>
      </c>
    </row>
    <row r="37136" spans="1:1" x14ac:dyDescent="0.3">
      <c r="A37136" t="s">
        <v>0</v>
      </c>
    </row>
    <row r="37137" spans="1:1" x14ac:dyDescent="0.3">
      <c r="A37137" t="s">
        <v>0</v>
      </c>
    </row>
    <row r="37138" spans="1:1" x14ac:dyDescent="0.3">
      <c r="A37138" t="s">
        <v>0</v>
      </c>
    </row>
    <row r="37139" spans="1:1" x14ac:dyDescent="0.3">
      <c r="A37139" t="s">
        <v>0</v>
      </c>
    </row>
    <row r="37140" spans="1:1" x14ac:dyDescent="0.3">
      <c r="A37140" t="s">
        <v>0</v>
      </c>
    </row>
    <row r="37141" spans="1:1" x14ac:dyDescent="0.3">
      <c r="A37141" t="s">
        <v>0</v>
      </c>
    </row>
    <row r="37142" spans="1:1" x14ac:dyDescent="0.3">
      <c r="A37142" t="s">
        <v>0</v>
      </c>
    </row>
    <row r="37143" spans="1:1" x14ac:dyDescent="0.3">
      <c r="A37143" t="s">
        <v>0</v>
      </c>
    </row>
    <row r="37144" spans="1:1" x14ac:dyDescent="0.3">
      <c r="A37144" t="s">
        <v>0</v>
      </c>
    </row>
    <row r="37145" spans="1:1" x14ac:dyDescent="0.3">
      <c r="A37145" t="s">
        <v>0</v>
      </c>
    </row>
    <row r="37146" spans="1:1" x14ac:dyDescent="0.3">
      <c r="A37146" t="s">
        <v>0</v>
      </c>
    </row>
    <row r="37147" spans="1:1" x14ac:dyDescent="0.3">
      <c r="A37147" t="s">
        <v>0</v>
      </c>
    </row>
    <row r="37148" spans="1:1" x14ac:dyDescent="0.3">
      <c r="A37148" t="s">
        <v>0</v>
      </c>
    </row>
    <row r="37149" spans="1:1" x14ac:dyDescent="0.3">
      <c r="A37149" t="s">
        <v>0</v>
      </c>
    </row>
    <row r="37150" spans="1:1" x14ac:dyDescent="0.3">
      <c r="A37150" t="s">
        <v>0</v>
      </c>
    </row>
    <row r="37151" spans="1:1" x14ac:dyDescent="0.3">
      <c r="A37151" t="s">
        <v>0</v>
      </c>
    </row>
    <row r="37152" spans="1:1" x14ac:dyDescent="0.3">
      <c r="A37152" t="s">
        <v>0</v>
      </c>
    </row>
    <row r="37153" spans="1:1" x14ac:dyDescent="0.3">
      <c r="A37153" t="s">
        <v>0</v>
      </c>
    </row>
    <row r="37154" spans="1:1" x14ac:dyDescent="0.3">
      <c r="A37154" t="s">
        <v>0</v>
      </c>
    </row>
    <row r="37155" spans="1:1" x14ac:dyDescent="0.3">
      <c r="A37155" t="s">
        <v>0</v>
      </c>
    </row>
    <row r="37156" spans="1:1" x14ac:dyDescent="0.3">
      <c r="A37156" t="s">
        <v>0</v>
      </c>
    </row>
    <row r="37157" spans="1:1" x14ac:dyDescent="0.3">
      <c r="A37157" t="s">
        <v>0</v>
      </c>
    </row>
    <row r="37158" spans="1:1" x14ac:dyDescent="0.3">
      <c r="A37158" t="s">
        <v>0</v>
      </c>
    </row>
    <row r="37159" spans="1:1" x14ac:dyDescent="0.3">
      <c r="A37159" t="s">
        <v>0</v>
      </c>
    </row>
    <row r="37160" spans="1:1" x14ac:dyDescent="0.3">
      <c r="A37160" t="s">
        <v>0</v>
      </c>
    </row>
    <row r="37161" spans="1:1" x14ac:dyDescent="0.3">
      <c r="A37161" t="s">
        <v>0</v>
      </c>
    </row>
    <row r="37162" spans="1:1" x14ac:dyDescent="0.3">
      <c r="A37162" t="s">
        <v>0</v>
      </c>
    </row>
    <row r="37163" spans="1:1" x14ac:dyDescent="0.3">
      <c r="A37163" t="s">
        <v>0</v>
      </c>
    </row>
    <row r="37164" spans="1:1" x14ac:dyDescent="0.3">
      <c r="A37164" t="s">
        <v>0</v>
      </c>
    </row>
    <row r="37165" spans="1:1" x14ac:dyDescent="0.3">
      <c r="A37165" t="s">
        <v>0</v>
      </c>
    </row>
    <row r="37166" spans="1:1" x14ac:dyDescent="0.3">
      <c r="A37166" t="s">
        <v>0</v>
      </c>
    </row>
    <row r="37167" spans="1:1" x14ac:dyDescent="0.3">
      <c r="A37167" t="s">
        <v>0</v>
      </c>
    </row>
    <row r="37168" spans="1:1" x14ac:dyDescent="0.3">
      <c r="A37168" t="s">
        <v>0</v>
      </c>
    </row>
    <row r="37169" spans="1:1" x14ac:dyDescent="0.3">
      <c r="A37169" t="s">
        <v>0</v>
      </c>
    </row>
    <row r="37170" spans="1:1" x14ac:dyDescent="0.3">
      <c r="A37170" t="s">
        <v>0</v>
      </c>
    </row>
    <row r="37171" spans="1:1" x14ac:dyDescent="0.3">
      <c r="A37171" t="s">
        <v>0</v>
      </c>
    </row>
    <row r="37172" spans="1:1" x14ac:dyDescent="0.3">
      <c r="A37172" t="s">
        <v>0</v>
      </c>
    </row>
    <row r="37173" spans="1:1" x14ac:dyDescent="0.3">
      <c r="A37173" t="s">
        <v>0</v>
      </c>
    </row>
    <row r="37174" spans="1:1" x14ac:dyDescent="0.3">
      <c r="A37174" t="s">
        <v>0</v>
      </c>
    </row>
    <row r="37175" spans="1:1" x14ac:dyDescent="0.3">
      <c r="A37175" t="s">
        <v>0</v>
      </c>
    </row>
    <row r="37176" spans="1:1" x14ac:dyDescent="0.3">
      <c r="A37176" t="s">
        <v>0</v>
      </c>
    </row>
    <row r="37177" spans="1:1" x14ac:dyDescent="0.3">
      <c r="A37177" t="s">
        <v>0</v>
      </c>
    </row>
    <row r="37178" spans="1:1" x14ac:dyDescent="0.3">
      <c r="A37178" t="s">
        <v>0</v>
      </c>
    </row>
    <row r="37179" spans="1:1" x14ac:dyDescent="0.3">
      <c r="A37179" t="s">
        <v>0</v>
      </c>
    </row>
    <row r="37180" spans="1:1" x14ac:dyDescent="0.3">
      <c r="A37180" t="s">
        <v>0</v>
      </c>
    </row>
    <row r="37181" spans="1:1" x14ac:dyDescent="0.3">
      <c r="A37181" t="s">
        <v>0</v>
      </c>
    </row>
    <row r="37182" spans="1:1" x14ac:dyDescent="0.3">
      <c r="A37182" t="s">
        <v>0</v>
      </c>
    </row>
    <row r="37183" spans="1:1" x14ac:dyDescent="0.3">
      <c r="A37183" t="s">
        <v>0</v>
      </c>
    </row>
    <row r="37184" spans="1:1" x14ac:dyDescent="0.3">
      <c r="A37184" t="s">
        <v>0</v>
      </c>
    </row>
    <row r="37185" spans="1:1" x14ac:dyDescent="0.3">
      <c r="A37185" t="s">
        <v>0</v>
      </c>
    </row>
    <row r="37186" spans="1:1" x14ac:dyDescent="0.3">
      <c r="A37186" t="s">
        <v>0</v>
      </c>
    </row>
    <row r="37187" spans="1:1" x14ac:dyDescent="0.3">
      <c r="A37187" t="s">
        <v>0</v>
      </c>
    </row>
    <row r="37188" spans="1:1" x14ac:dyDescent="0.3">
      <c r="A37188" t="s">
        <v>0</v>
      </c>
    </row>
    <row r="37189" spans="1:1" x14ac:dyDescent="0.3">
      <c r="A37189" t="s">
        <v>0</v>
      </c>
    </row>
    <row r="37190" spans="1:1" x14ac:dyDescent="0.3">
      <c r="A37190" t="s">
        <v>0</v>
      </c>
    </row>
    <row r="37191" spans="1:1" x14ac:dyDescent="0.3">
      <c r="A37191" t="s">
        <v>0</v>
      </c>
    </row>
    <row r="37192" spans="1:1" x14ac:dyDescent="0.3">
      <c r="A37192" t="s">
        <v>0</v>
      </c>
    </row>
    <row r="37193" spans="1:1" x14ac:dyDescent="0.3">
      <c r="A37193" t="s">
        <v>0</v>
      </c>
    </row>
    <row r="37194" spans="1:1" x14ac:dyDescent="0.3">
      <c r="A37194" t="s">
        <v>0</v>
      </c>
    </row>
    <row r="37195" spans="1:1" x14ac:dyDescent="0.3">
      <c r="A37195" t="s">
        <v>0</v>
      </c>
    </row>
    <row r="37196" spans="1:1" x14ac:dyDescent="0.3">
      <c r="A37196" t="s">
        <v>0</v>
      </c>
    </row>
    <row r="37197" spans="1:1" x14ac:dyDescent="0.3">
      <c r="A37197" t="s">
        <v>0</v>
      </c>
    </row>
    <row r="37198" spans="1:1" x14ac:dyDescent="0.3">
      <c r="A37198" t="s">
        <v>0</v>
      </c>
    </row>
    <row r="37199" spans="1:1" x14ac:dyDescent="0.3">
      <c r="A37199" t="s">
        <v>0</v>
      </c>
    </row>
    <row r="37200" spans="1:1" x14ac:dyDescent="0.3">
      <c r="A37200" t="s">
        <v>0</v>
      </c>
    </row>
    <row r="37201" spans="1:1" x14ac:dyDescent="0.3">
      <c r="A37201" t="s">
        <v>0</v>
      </c>
    </row>
    <row r="37202" spans="1:1" x14ac:dyDescent="0.3">
      <c r="A37202" t="s">
        <v>0</v>
      </c>
    </row>
    <row r="37203" spans="1:1" x14ac:dyDescent="0.3">
      <c r="A37203" t="s">
        <v>0</v>
      </c>
    </row>
    <row r="37204" spans="1:1" x14ac:dyDescent="0.3">
      <c r="A37204" t="s">
        <v>0</v>
      </c>
    </row>
    <row r="37205" spans="1:1" x14ac:dyDescent="0.3">
      <c r="A37205" t="s">
        <v>0</v>
      </c>
    </row>
    <row r="37206" spans="1:1" x14ac:dyDescent="0.3">
      <c r="A37206" t="s">
        <v>0</v>
      </c>
    </row>
    <row r="37207" spans="1:1" x14ac:dyDescent="0.3">
      <c r="A37207" t="s">
        <v>0</v>
      </c>
    </row>
    <row r="37208" spans="1:1" x14ac:dyDescent="0.3">
      <c r="A37208" t="s">
        <v>0</v>
      </c>
    </row>
    <row r="37209" spans="1:1" x14ac:dyDescent="0.3">
      <c r="A37209" t="s">
        <v>0</v>
      </c>
    </row>
    <row r="37210" spans="1:1" x14ac:dyDescent="0.3">
      <c r="A37210" t="s">
        <v>0</v>
      </c>
    </row>
    <row r="37211" spans="1:1" x14ac:dyDescent="0.3">
      <c r="A37211" t="s">
        <v>0</v>
      </c>
    </row>
    <row r="37212" spans="1:1" x14ac:dyDescent="0.3">
      <c r="A37212" t="s">
        <v>0</v>
      </c>
    </row>
    <row r="37213" spans="1:1" x14ac:dyDescent="0.3">
      <c r="A37213" t="s">
        <v>0</v>
      </c>
    </row>
    <row r="37214" spans="1:1" x14ac:dyDescent="0.3">
      <c r="A37214" t="s">
        <v>0</v>
      </c>
    </row>
    <row r="37215" spans="1:1" x14ac:dyDescent="0.3">
      <c r="A37215" t="s">
        <v>0</v>
      </c>
    </row>
    <row r="37216" spans="1:1" x14ac:dyDescent="0.3">
      <c r="A37216" t="s">
        <v>0</v>
      </c>
    </row>
    <row r="37217" spans="1:1" x14ac:dyDescent="0.3">
      <c r="A37217" t="s">
        <v>0</v>
      </c>
    </row>
    <row r="37218" spans="1:1" x14ac:dyDescent="0.3">
      <c r="A37218" t="s">
        <v>0</v>
      </c>
    </row>
    <row r="37219" spans="1:1" x14ac:dyDescent="0.3">
      <c r="A37219" t="s">
        <v>0</v>
      </c>
    </row>
    <row r="37220" spans="1:1" x14ac:dyDescent="0.3">
      <c r="A37220" t="s">
        <v>0</v>
      </c>
    </row>
    <row r="37221" spans="1:1" x14ac:dyDescent="0.3">
      <c r="A37221" t="s">
        <v>0</v>
      </c>
    </row>
    <row r="37222" spans="1:1" x14ac:dyDescent="0.3">
      <c r="A37222" t="s">
        <v>0</v>
      </c>
    </row>
    <row r="37223" spans="1:1" x14ac:dyDescent="0.3">
      <c r="A37223" t="s">
        <v>0</v>
      </c>
    </row>
    <row r="37224" spans="1:1" x14ac:dyDescent="0.3">
      <c r="A37224" t="s">
        <v>0</v>
      </c>
    </row>
    <row r="37225" spans="1:1" x14ac:dyDescent="0.3">
      <c r="A37225" t="s">
        <v>0</v>
      </c>
    </row>
    <row r="37226" spans="1:1" x14ac:dyDescent="0.3">
      <c r="A37226" t="s">
        <v>0</v>
      </c>
    </row>
    <row r="37227" spans="1:1" x14ac:dyDescent="0.3">
      <c r="A37227" t="s">
        <v>0</v>
      </c>
    </row>
    <row r="37228" spans="1:1" x14ac:dyDescent="0.3">
      <c r="A37228" t="s">
        <v>0</v>
      </c>
    </row>
    <row r="37229" spans="1:1" x14ac:dyDescent="0.3">
      <c r="A37229" t="s">
        <v>0</v>
      </c>
    </row>
    <row r="37230" spans="1:1" x14ac:dyDescent="0.3">
      <c r="A37230" t="s">
        <v>0</v>
      </c>
    </row>
    <row r="37231" spans="1:1" x14ac:dyDescent="0.3">
      <c r="A37231" t="s">
        <v>0</v>
      </c>
    </row>
    <row r="37232" spans="1:1" x14ac:dyDescent="0.3">
      <c r="A37232" t="s">
        <v>0</v>
      </c>
    </row>
    <row r="37233" spans="1:1" x14ac:dyDescent="0.3">
      <c r="A37233" t="s">
        <v>0</v>
      </c>
    </row>
    <row r="37234" spans="1:1" x14ac:dyDescent="0.3">
      <c r="A37234" t="s">
        <v>0</v>
      </c>
    </row>
    <row r="37235" spans="1:1" x14ac:dyDescent="0.3">
      <c r="A37235" t="s">
        <v>0</v>
      </c>
    </row>
    <row r="37236" spans="1:1" x14ac:dyDescent="0.3">
      <c r="A37236" t="s">
        <v>0</v>
      </c>
    </row>
    <row r="37237" spans="1:1" x14ac:dyDescent="0.3">
      <c r="A37237" t="s">
        <v>0</v>
      </c>
    </row>
    <row r="37238" spans="1:1" x14ac:dyDescent="0.3">
      <c r="A37238" t="s">
        <v>0</v>
      </c>
    </row>
    <row r="37239" spans="1:1" x14ac:dyDescent="0.3">
      <c r="A37239" t="s">
        <v>0</v>
      </c>
    </row>
    <row r="37240" spans="1:1" x14ac:dyDescent="0.3">
      <c r="A37240" t="s">
        <v>0</v>
      </c>
    </row>
    <row r="37241" spans="1:1" x14ac:dyDescent="0.3">
      <c r="A37241" t="s">
        <v>0</v>
      </c>
    </row>
    <row r="37242" spans="1:1" x14ac:dyDescent="0.3">
      <c r="A37242" t="s">
        <v>0</v>
      </c>
    </row>
    <row r="37243" spans="1:1" x14ac:dyDescent="0.3">
      <c r="A37243" t="s">
        <v>0</v>
      </c>
    </row>
    <row r="37244" spans="1:1" x14ac:dyDescent="0.3">
      <c r="A37244" t="s">
        <v>0</v>
      </c>
    </row>
    <row r="37245" spans="1:1" x14ac:dyDescent="0.3">
      <c r="A37245" t="s">
        <v>0</v>
      </c>
    </row>
    <row r="37246" spans="1:1" x14ac:dyDescent="0.3">
      <c r="A37246" t="s">
        <v>0</v>
      </c>
    </row>
    <row r="37247" spans="1:1" x14ac:dyDescent="0.3">
      <c r="A37247" t="s">
        <v>0</v>
      </c>
    </row>
    <row r="37248" spans="1:1" x14ac:dyDescent="0.3">
      <c r="A37248" t="s">
        <v>0</v>
      </c>
    </row>
    <row r="37249" spans="1:1" x14ac:dyDescent="0.3">
      <c r="A37249" t="s">
        <v>0</v>
      </c>
    </row>
    <row r="37250" spans="1:1" x14ac:dyDescent="0.3">
      <c r="A37250" t="s">
        <v>0</v>
      </c>
    </row>
    <row r="37251" spans="1:1" x14ac:dyDescent="0.3">
      <c r="A37251" t="s">
        <v>0</v>
      </c>
    </row>
    <row r="37252" spans="1:1" x14ac:dyDescent="0.3">
      <c r="A37252" t="s">
        <v>0</v>
      </c>
    </row>
    <row r="37253" spans="1:1" x14ac:dyDescent="0.3">
      <c r="A37253" t="s">
        <v>0</v>
      </c>
    </row>
    <row r="37254" spans="1:1" x14ac:dyDescent="0.3">
      <c r="A37254" t="s">
        <v>0</v>
      </c>
    </row>
    <row r="37255" spans="1:1" x14ac:dyDescent="0.3">
      <c r="A37255" t="s">
        <v>0</v>
      </c>
    </row>
    <row r="37256" spans="1:1" x14ac:dyDescent="0.3">
      <c r="A37256" t="s">
        <v>0</v>
      </c>
    </row>
    <row r="37257" spans="1:1" x14ac:dyDescent="0.3">
      <c r="A37257" t="s">
        <v>0</v>
      </c>
    </row>
    <row r="37258" spans="1:1" x14ac:dyDescent="0.3">
      <c r="A37258" t="s">
        <v>0</v>
      </c>
    </row>
    <row r="37259" spans="1:1" x14ac:dyDescent="0.3">
      <c r="A37259" t="s">
        <v>0</v>
      </c>
    </row>
    <row r="37260" spans="1:1" x14ac:dyDescent="0.3">
      <c r="A37260" t="s">
        <v>0</v>
      </c>
    </row>
    <row r="37261" spans="1:1" x14ac:dyDescent="0.3">
      <c r="A37261" t="s">
        <v>0</v>
      </c>
    </row>
    <row r="37262" spans="1:1" x14ac:dyDescent="0.3">
      <c r="A37262" t="s">
        <v>0</v>
      </c>
    </row>
    <row r="37263" spans="1:1" x14ac:dyDescent="0.3">
      <c r="A37263" t="s">
        <v>0</v>
      </c>
    </row>
    <row r="37264" spans="1:1" x14ac:dyDescent="0.3">
      <c r="A37264" t="s">
        <v>0</v>
      </c>
    </row>
    <row r="37265" spans="1:1" x14ac:dyDescent="0.3">
      <c r="A37265" t="s">
        <v>0</v>
      </c>
    </row>
    <row r="37266" spans="1:1" x14ac:dyDescent="0.3">
      <c r="A37266" t="s">
        <v>0</v>
      </c>
    </row>
    <row r="37267" spans="1:1" x14ac:dyDescent="0.3">
      <c r="A37267" t="s">
        <v>0</v>
      </c>
    </row>
    <row r="37268" spans="1:1" x14ac:dyDescent="0.3">
      <c r="A37268" t="s">
        <v>0</v>
      </c>
    </row>
    <row r="37269" spans="1:1" x14ac:dyDescent="0.3">
      <c r="A37269" t="s">
        <v>0</v>
      </c>
    </row>
    <row r="37270" spans="1:1" x14ac:dyDescent="0.3">
      <c r="A37270" t="s">
        <v>0</v>
      </c>
    </row>
    <row r="37271" spans="1:1" x14ac:dyDescent="0.3">
      <c r="A37271" t="s">
        <v>0</v>
      </c>
    </row>
    <row r="37272" spans="1:1" x14ac:dyDescent="0.3">
      <c r="A37272" t="s">
        <v>0</v>
      </c>
    </row>
    <row r="37273" spans="1:1" x14ac:dyDescent="0.3">
      <c r="A37273" t="s">
        <v>0</v>
      </c>
    </row>
    <row r="37274" spans="1:1" x14ac:dyDescent="0.3">
      <c r="A37274" t="s">
        <v>0</v>
      </c>
    </row>
    <row r="37275" spans="1:1" x14ac:dyDescent="0.3">
      <c r="A37275" t="s">
        <v>0</v>
      </c>
    </row>
    <row r="37276" spans="1:1" x14ac:dyDescent="0.3">
      <c r="A37276" t="s">
        <v>0</v>
      </c>
    </row>
    <row r="37277" spans="1:1" x14ac:dyDescent="0.3">
      <c r="A37277" t="s">
        <v>0</v>
      </c>
    </row>
    <row r="37278" spans="1:1" x14ac:dyDescent="0.3">
      <c r="A37278" t="s">
        <v>0</v>
      </c>
    </row>
    <row r="37279" spans="1:1" x14ac:dyDescent="0.3">
      <c r="A37279" t="s">
        <v>0</v>
      </c>
    </row>
    <row r="37280" spans="1:1" x14ac:dyDescent="0.3">
      <c r="A37280" t="s">
        <v>0</v>
      </c>
    </row>
    <row r="37281" spans="1:1" x14ac:dyDescent="0.3">
      <c r="A37281" t="s">
        <v>0</v>
      </c>
    </row>
    <row r="37282" spans="1:1" x14ac:dyDescent="0.3">
      <c r="A37282" t="s">
        <v>0</v>
      </c>
    </row>
    <row r="37283" spans="1:1" x14ac:dyDescent="0.3">
      <c r="A37283" t="s">
        <v>0</v>
      </c>
    </row>
    <row r="37284" spans="1:1" x14ac:dyDescent="0.3">
      <c r="A37284" t="s">
        <v>0</v>
      </c>
    </row>
    <row r="37285" spans="1:1" x14ac:dyDescent="0.3">
      <c r="A37285" t="s">
        <v>0</v>
      </c>
    </row>
    <row r="37286" spans="1:1" x14ac:dyDescent="0.3">
      <c r="A37286" t="s">
        <v>0</v>
      </c>
    </row>
    <row r="37287" spans="1:1" x14ac:dyDescent="0.3">
      <c r="A37287" t="s">
        <v>0</v>
      </c>
    </row>
    <row r="37288" spans="1:1" x14ac:dyDescent="0.3">
      <c r="A37288" t="s">
        <v>0</v>
      </c>
    </row>
    <row r="37289" spans="1:1" x14ac:dyDescent="0.3">
      <c r="A37289" t="s">
        <v>0</v>
      </c>
    </row>
    <row r="37290" spans="1:1" x14ac:dyDescent="0.3">
      <c r="A37290" t="s">
        <v>0</v>
      </c>
    </row>
    <row r="37291" spans="1:1" x14ac:dyDescent="0.3">
      <c r="A37291" t="s">
        <v>0</v>
      </c>
    </row>
    <row r="37292" spans="1:1" x14ac:dyDescent="0.3">
      <c r="A37292" t="s">
        <v>0</v>
      </c>
    </row>
    <row r="37293" spans="1:1" x14ac:dyDescent="0.3">
      <c r="A37293" t="s">
        <v>0</v>
      </c>
    </row>
    <row r="37294" spans="1:1" x14ac:dyDescent="0.3">
      <c r="A37294" t="s">
        <v>0</v>
      </c>
    </row>
    <row r="37295" spans="1:1" x14ac:dyDescent="0.3">
      <c r="A37295" t="s">
        <v>0</v>
      </c>
    </row>
    <row r="37296" spans="1:1" x14ac:dyDescent="0.3">
      <c r="A37296" t="s">
        <v>0</v>
      </c>
    </row>
    <row r="37297" spans="1:1" x14ac:dyDescent="0.3">
      <c r="A37297" t="s">
        <v>0</v>
      </c>
    </row>
    <row r="37298" spans="1:1" x14ac:dyDescent="0.3">
      <c r="A37298" t="s">
        <v>0</v>
      </c>
    </row>
    <row r="37299" spans="1:1" x14ac:dyDescent="0.3">
      <c r="A37299" t="s">
        <v>0</v>
      </c>
    </row>
    <row r="37300" spans="1:1" x14ac:dyDescent="0.3">
      <c r="A37300" t="s">
        <v>0</v>
      </c>
    </row>
    <row r="37301" spans="1:1" x14ac:dyDescent="0.3">
      <c r="A37301" t="s">
        <v>0</v>
      </c>
    </row>
    <row r="37302" spans="1:1" x14ac:dyDescent="0.3">
      <c r="A37302" t="s">
        <v>0</v>
      </c>
    </row>
    <row r="37303" spans="1:1" x14ac:dyDescent="0.3">
      <c r="A37303" t="s">
        <v>0</v>
      </c>
    </row>
    <row r="37304" spans="1:1" x14ac:dyDescent="0.3">
      <c r="A37304" t="s">
        <v>0</v>
      </c>
    </row>
    <row r="37305" spans="1:1" x14ac:dyDescent="0.3">
      <c r="A37305" t="s">
        <v>0</v>
      </c>
    </row>
    <row r="37306" spans="1:1" x14ac:dyDescent="0.3">
      <c r="A37306" t="s">
        <v>0</v>
      </c>
    </row>
    <row r="37307" spans="1:1" x14ac:dyDescent="0.3">
      <c r="A37307" t="s">
        <v>0</v>
      </c>
    </row>
    <row r="37308" spans="1:1" x14ac:dyDescent="0.3">
      <c r="A37308" t="s">
        <v>0</v>
      </c>
    </row>
    <row r="37309" spans="1:1" x14ac:dyDescent="0.3">
      <c r="A37309" t="s">
        <v>0</v>
      </c>
    </row>
    <row r="37310" spans="1:1" x14ac:dyDescent="0.3">
      <c r="A37310" t="s">
        <v>0</v>
      </c>
    </row>
    <row r="37311" spans="1:1" x14ac:dyDescent="0.3">
      <c r="A37311" t="s">
        <v>0</v>
      </c>
    </row>
    <row r="37312" spans="1:1" x14ac:dyDescent="0.3">
      <c r="A37312" t="s">
        <v>0</v>
      </c>
    </row>
    <row r="37313" spans="1:1" x14ac:dyDescent="0.3">
      <c r="A37313" t="s">
        <v>0</v>
      </c>
    </row>
    <row r="37314" spans="1:1" x14ac:dyDescent="0.3">
      <c r="A37314" t="s">
        <v>0</v>
      </c>
    </row>
    <row r="37315" spans="1:1" x14ac:dyDescent="0.3">
      <c r="A37315" t="s">
        <v>0</v>
      </c>
    </row>
    <row r="37316" spans="1:1" x14ac:dyDescent="0.3">
      <c r="A37316" t="s">
        <v>0</v>
      </c>
    </row>
    <row r="37317" spans="1:1" x14ac:dyDescent="0.3">
      <c r="A37317" t="s">
        <v>0</v>
      </c>
    </row>
    <row r="37318" spans="1:1" x14ac:dyDescent="0.3">
      <c r="A37318" t="s">
        <v>0</v>
      </c>
    </row>
    <row r="37319" spans="1:1" x14ac:dyDescent="0.3">
      <c r="A37319" t="s">
        <v>0</v>
      </c>
    </row>
    <row r="37320" spans="1:1" x14ac:dyDescent="0.3">
      <c r="A37320" t="s">
        <v>0</v>
      </c>
    </row>
    <row r="37321" spans="1:1" x14ac:dyDescent="0.3">
      <c r="A37321" t="s">
        <v>0</v>
      </c>
    </row>
    <row r="37322" spans="1:1" x14ac:dyDescent="0.3">
      <c r="A37322" t="s">
        <v>0</v>
      </c>
    </row>
    <row r="37323" spans="1:1" x14ac:dyDescent="0.3">
      <c r="A37323" t="s">
        <v>0</v>
      </c>
    </row>
    <row r="37324" spans="1:1" x14ac:dyDescent="0.3">
      <c r="A37324" t="s">
        <v>0</v>
      </c>
    </row>
    <row r="37325" spans="1:1" x14ac:dyDescent="0.3">
      <c r="A37325" t="s">
        <v>0</v>
      </c>
    </row>
    <row r="37326" spans="1:1" x14ac:dyDescent="0.3">
      <c r="A37326" t="s">
        <v>0</v>
      </c>
    </row>
    <row r="37327" spans="1:1" x14ac:dyDescent="0.3">
      <c r="A37327" t="s">
        <v>0</v>
      </c>
    </row>
    <row r="37328" spans="1:1" x14ac:dyDescent="0.3">
      <c r="A37328" t="s">
        <v>0</v>
      </c>
    </row>
    <row r="37329" spans="1:1" x14ac:dyDescent="0.3">
      <c r="A37329" t="s">
        <v>0</v>
      </c>
    </row>
    <row r="37330" spans="1:1" x14ac:dyDescent="0.3">
      <c r="A37330" t="s">
        <v>0</v>
      </c>
    </row>
    <row r="37331" spans="1:1" x14ac:dyDescent="0.3">
      <c r="A37331" t="s">
        <v>0</v>
      </c>
    </row>
    <row r="37332" spans="1:1" x14ac:dyDescent="0.3">
      <c r="A37332" t="s">
        <v>0</v>
      </c>
    </row>
    <row r="37333" spans="1:1" x14ac:dyDescent="0.3">
      <c r="A37333" t="s">
        <v>0</v>
      </c>
    </row>
    <row r="37334" spans="1:1" x14ac:dyDescent="0.3">
      <c r="A37334" t="s">
        <v>0</v>
      </c>
    </row>
    <row r="37335" spans="1:1" x14ac:dyDescent="0.3">
      <c r="A37335" t="s">
        <v>0</v>
      </c>
    </row>
    <row r="37336" spans="1:1" x14ac:dyDescent="0.3">
      <c r="A37336" t="s">
        <v>0</v>
      </c>
    </row>
    <row r="37337" spans="1:1" x14ac:dyDescent="0.3">
      <c r="A37337" t="s">
        <v>0</v>
      </c>
    </row>
    <row r="37338" spans="1:1" x14ac:dyDescent="0.3">
      <c r="A37338" t="s">
        <v>0</v>
      </c>
    </row>
    <row r="37339" spans="1:1" x14ac:dyDescent="0.3">
      <c r="A37339" t="s">
        <v>0</v>
      </c>
    </row>
    <row r="37340" spans="1:1" x14ac:dyDescent="0.3">
      <c r="A37340" t="s">
        <v>0</v>
      </c>
    </row>
    <row r="37341" spans="1:1" x14ac:dyDescent="0.3">
      <c r="A37341" t="s">
        <v>0</v>
      </c>
    </row>
    <row r="37342" spans="1:1" x14ac:dyDescent="0.3">
      <c r="A37342" t="s">
        <v>0</v>
      </c>
    </row>
    <row r="37343" spans="1:1" x14ac:dyDescent="0.3">
      <c r="A37343" t="s">
        <v>0</v>
      </c>
    </row>
    <row r="37344" spans="1:1" x14ac:dyDescent="0.3">
      <c r="A37344" t="s">
        <v>0</v>
      </c>
    </row>
    <row r="37345" spans="1:1" x14ac:dyDescent="0.3">
      <c r="A37345" t="s">
        <v>0</v>
      </c>
    </row>
    <row r="37346" spans="1:1" x14ac:dyDescent="0.3">
      <c r="A37346" t="s">
        <v>0</v>
      </c>
    </row>
    <row r="37347" spans="1:1" x14ac:dyDescent="0.3">
      <c r="A37347" t="s">
        <v>0</v>
      </c>
    </row>
    <row r="37348" spans="1:1" x14ac:dyDescent="0.3">
      <c r="A37348" t="s">
        <v>0</v>
      </c>
    </row>
    <row r="37349" spans="1:1" x14ac:dyDescent="0.3">
      <c r="A37349" t="s">
        <v>0</v>
      </c>
    </row>
    <row r="37350" spans="1:1" x14ac:dyDescent="0.3">
      <c r="A37350" t="s">
        <v>0</v>
      </c>
    </row>
    <row r="37351" spans="1:1" x14ac:dyDescent="0.3">
      <c r="A37351" t="s">
        <v>0</v>
      </c>
    </row>
    <row r="37352" spans="1:1" x14ac:dyDescent="0.3">
      <c r="A37352" t="s">
        <v>0</v>
      </c>
    </row>
    <row r="37353" spans="1:1" x14ac:dyDescent="0.3">
      <c r="A37353" t="s">
        <v>0</v>
      </c>
    </row>
    <row r="37354" spans="1:1" x14ac:dyDescent="0.3">
      <c r="A37354" t="s">
        <v>0</v>
      </c>
    </row>
    <row r="37355" spans="1:1" x14ac:dyDescent="0.3">
      <c r="A37355" t="s">
        <v>0</v>
      </c>
    </row>
    <row r="37356" spans="1:1" x14ac:dyDescent="0.3">
      <c r="A37356" t="s">
        <v>0</v>
      </c>
    </row>
    <row r="37357" spans="1:1" x14ac:dyDescent="0.3">
      <c r="A37357" t="s">
        <v>0</v>
      </c>
    </row>
    <row r="37358" spans="1:1" x14ac:dyDescent="0.3">
      <c r="A37358" t="s">
        <v>0</v>
      </c>
    </row>
    <row r="37359" spans="1:1" x14ac:dyDescent="0.3">
      <c r="A37359" t="s">
        <v>0</v>
      </c>
    </row>
    <row r="37360" spans="1:1" x14ac:dyDescent="0.3">
      <c r="A37360" t="s">
        <v>0</v>
      </c>
    </row>
    <row r="37361" spans="1:1" x14ac:dyDescent="0.3">
      <c r="A37361" t="s">
        <v>0</v>
      </c>
    </row>
    <row r="37362" spans="1:1" x14ac:dyDescent="0.3">
      <c r="A37362" t="s">
        <v>0</v>
      </c>
    </row>
    <row r="37363" spans="1:1" x14ac:dyDescent="0.3">
      <c r="A37363" t="s">
        <v>0</v>
      </c>
    </row>
    <row r="37364" spans="1:1" x14ac:dyDescent="0.3">
      <c r="A37364" t="s">
        <v>0</v>
      </c>
    </row>
    <row r="37365" spans="1:1" x14ac:dyDescent="0.3">
      <c r="A37365" t="s">
        <v>0</v>
      </c>
    </row>
    <row r="37366" spans="1:1" x14ac:dyDescent="0.3">
      <c r="A37366" t="s">
        <v>0</v>
      </c>
    </row>
    <row r="37367" spans="1:1" x14ac:dyDescent="0.3">
      <c r="A37367" t="s">
        <v>0</v>
      </c>
    </row>
    <row r="37368" spans="1:1" x14ac:dyDescent="0.3">
      <c r="A37368" t="s">
        <v>0</v>
      </c>
    </row>
    <row r="37369" spans="1:1" x14ac:dyDescent="0.3">
      <c r="A37369" t="s">
        <v>0</v>
      </c>
    </row>
    <row r="37370" spans="1:1" x14ac:dyDescent="0.3">
      <c r="A37370" t="s">
        <v>0</v>
      </c>
    </row>
    <row r="37371" spans="1:1" x14ac:dyDescent="0.3">
      <c r="A37371" t="s">
        <v>0</v>
      </c>
    </row>
    <row r="37372" spans="1:1" x14ac:dyDescent="0.3">
      <c r="A37372" t="s">
        <v>0</v>
      </c>
    </row>
    <row r="37373" spans="1:1" x14ac:dyDescent="0.3">
      <c r="A37373" t="s">
        <v>0</v>
      </c>
    </row>
    <row r="37374" spans="1:1" x14ac:dyDescent="0.3">
      <c r="A37374" t="s">
        <v>0</v>
      </c>
    </row>
    <row r="37375" spans="1:1" x14ac:dyDescent="0.3">
      <c r="A37375" t="s">
        <v>0</v>
      </c>
    </row>
    <row r="37376" spans="1:1" x14ac:dyDescent="0.3">
      <c r="A37376" t="s">
        <v>0</v>
      </c>
    </row>
    <row r="37377" spans="1:1" x14ac:dyDescent="0.3">
      <c r="A37377" t="s">
        <v>0</v>
      </c>
    </row>
    <row r="37378" spans="1:1" x14ac:dyDescent="0.3">
      <c r="A37378" t="s">
        <v>0</v>
      </c>
    </row>
    <row r="37379" spans="1:1" x14ac:dyDescent="0.3">
      <c r="A37379" t="s">
        <v>0</v>
      </c>
    </row>
    <row r="37380" spans="1:1" x14ac:dyDescent="0.3">
      <c r="A37380" t="s">
        <v>0</v>
      </c>
    </row>
    <row r="37381" spans="1:1" x14ac:dyDescent="0.3">
      <c r="A37381" t="s">
        <v>0</v>
      </c>
    </row>
    <row r="37382" spans="1:1" x14ac:dyDescent="0.3">
      <c r="A37382" t="s">
        <v>0</v>
      </c>
    </row>
    <row r="37383" spans="1:1" x14ac:dyDescent="0.3">
      <c r="A37383" t="s">
        <v>0</v>
      </c>
    </row>
    <row r="37384" spans="1:1" x14ac:dyDescent="0.3">
      <c r="A37384" t="s">
        <v>0</v>
      </c>
    </row>
    <row r="37385" spans="1:1" x14ac:dyDescent="0.3">
      <c r="A37385" t="s">
        <v>0</v>
      </c>
    </row>
    <row r="37386" spans="1:1" x14ac:dyDescent="0.3">
      <c r="A37386" t="s">
        <v>0</v>
      </c>
    </row>
    <row r="37387" spans="1:1" x14ac:dyDescent="0.3">
      <c r="A37387" t="s">
        <v>0</v>
      </c>
    </row>
    <row r="37388" spans="1:1" x14ac:dyDescent="0.3">
      <c r="A37388" t="s">
        <v>0</v>
      </c>
    </row>
    <row r="37389" spans="1:1" x14ac:dyDescent="0.3">
      <c r="A37389" t="s">
        <v>0</v>
      </c>
    </row>
    <row r="37390" spans="1:1" x14ac:dyDescent="0.3">
      <c r="A37390" t="s">
        <v>0</v>
      </c>
    </row>
    <row r="37391" spans="1:1" x14ac:dyDescent="0.3">
      <c r="A37391" t="s">
        <v>0</v>
      </c>
    </row>
    <row r="37392" spans="1:1" x14ac:dyDescent="0.3">
      <c r="A37392" t="s">
        <v>0</v>
      </c>
    </row>
    <row r="37393" spans="1:1" x14ac:dyDescent="0.3">
      <c r="A37393" t="s">
        <v>0</v>
      </c>
    </row>
    <row r="37394" spans="1:1" x14ac:dyDescent="0.3">
      <c r="A37394" t="s">
        <v>0</v>
      </c>
    </row>
    <row r="37395" spans="1:1" x14ac:dyDescent="0.3">
      <c r="A37395" t="s">
        <v>0</v>
      </c>
    </row>
    <row r="37396" spans="1:1" x14ac:dyDescent="0.3">
      <c r="A37396" t="s">
        <v>0</v>
      </c>
    </row>
    <row r="37397" spans="1:1" x14ac:dyDescent="0.3">
      <c r="A37397" t="s">
        <v>0</v>
      </c>
    </row>
    <row r="37398" spans="1:1" x14ac:dyDescent="0.3">
      <c r="A37398" t="s">
        <v>0</v>
      </c>
    </row>
    <row r="37399" spans="1:1" x14ac:dyDescent="0.3">
      <c r="A37399" t="s">
        <v>0</v>
      </c>
    </row>
    <row r="37400" spans="1:1" x14ac:dyDescent="0.3">
      <c r="A37400" t="s">
        <v>0</v>
      </c>
    </row>
    <row r="37401" spans="1:1" x14ac:dyDescent="0.3">
      <c r="A37401" t="s">
        <v>0</v>
      </c>
    </row>
    <row r="37402" spans="1:1" x14ac:dyDescent="0.3">
      <c r="A37402" t="s">
        <v>0</v>
      </c>
    </row>
    <row r="37403" spans="1:1" x14ac:dyDescent="0.3">
      <c r="A37403" t="s">
        <v>0</v>
      </c>
    </row>
    <row r="37404" spans="1:1" x14ac:dyDescent="0.3">
      <c r="A37404" t="s">
        <v>0</v>
      </c>
    </row>
    <row r="37405" spans="1:1" x14ac:dyDescent="0.3">
      <c r="A37405" t="s">
        <v>0</v>
      </c>
    </row>
    <row r="37406" spans="1:1" x14ac:dyDescent="0.3">
      <c r="A37406" t="s">
        <v>0</v>
      </c>
    </row>
    <row r="37407" spans="1:1" x14ac:dyDescent="0.3">
      <c r="A37407" t="s">
        <v>0</v>
      </c>
    </row>
    <row r="37408" spans="1:1" x14ac:dyDescent="0.3">
      <c r="A37408" t="s">
        <v>0</v>
      </c>
    </row>
    <row r="37409" spans="1:1" x14ac:dyDescent="0.3">
      <c r="A37409" t="s">
        <v>0</v>
      </c>
    </row>
    <row r="37410" spans="1:1" x14ac:dyDescent="0.3">
      <c r="A37410" t="s">
        <v>0</v>
      </c>
    </row>
    <row r="37411" spans="1:1" x14ac:dyDescent="0.3">
      <c r="A37411" t="s">
        <v>0</v>
      </c>
    </row>
    <row r="37412" spans="1:1" x14ac:dyDescent="0.3">
      <c r="A37412" t="s">
        <v>0</v>
      </c>
    </row>
    <row r="37413" spans="1:1" x14ac:dyDescent="0.3">
      <c r="A37413" t="s">
        <v>0</v>
      </c>
    </row>
    <row r="37414" spans="1:1" x14ac:dyDescent="0.3">
      <c r="A37414" t="s">
        <v>0</v>
      </c>
    </row>
    <row r="37415" spans="1:1" x14ac:dyDescent="0.3">
      <c r="A37415" t="s">
        <v>0</v>
      </c>
    </row>
    <row r="37416" spans="1:1" x14ac:dyDescent="0.3">
      <c r="A37416" t="s">
        <v>0</v>
      </c>
    </row>
    <row r="37417" spans="1:1" x14ac:dyDescent="0.3">
      <c r="A37417" t="s">
        <v>0</v>
      </c>
    </row>
    <row r="37418" spans="1:1" x14ac:dyDescent="0.3">
      <c r="A37418" t="s">
        <v>0</v>
      </c>
    </row>
    <row r="37419" spans="1:1" x14ac:dyDescent="0.3">
      <c r="A37419" t="s">
        <v>0</v>
      </c>
    </row>
    <row r="37420" spans="1:1" x14ac:dyDescent="0.3">
      <c r="A37420" t="s">
        <v>0</v>
      </c>
    </row>
    <row r="37421" spans="1:1" x14ac:dyDescent="0.3">
      <c r="A37421" t="s">
        <v>0</v>
      </c>
    </row>
    <row r="37422" spans="1:1" x14ac:dyDescent="0.3">
      <c r="A37422" t="s">
        <v>0</v>
      </c>
    </row>
    <row r="37423" spans="1:1" x14ac:dyDescent="0.3">
      <c r="A37423" t="s">
        <v>0</v>
      </c>
    </row>
    <row r="37424" spans="1:1" x14ac:dyDescent="0.3">
      <c r="A37424" t="s">
        <v>0</v>
      </c>
    </row>
    <row r="37425" spans="1:1" x14ac:dyDescent="0.3">
      <c r="A37425" t="s">
        <v>0</v>
      </c>
    </row>
    <row r="37426" spans="1:1" x14ac:dyDescent="0.3">
      <c r="A37426" t="s">
        <v>0</v>
      </c>
    </row>
    <row r="37427" spans="1:1" x14ac:dyDescent="0.3">
      <c r="A37427" t="s">
        <v>0</v>
      </c>
    </row>
    <row r="37428" spans="1:1" x14ac:dyDescent="0.3">
      <c r="A37428" t="s">
        <v>0</v>
      </c>
    </row>
    <row r="37429" spans="1:1" x14ac:dyDescent="0.3">
      <c r="A37429" t="s">
        <v>0</v>
      </c>
    </row>
    <row r="37430" spans="1:1" x14ac:dyDescent="0.3">
      <c r="A37430" t="s">
        <v>0</v>
      </c>
    </row>
    <row r="37431" spans="1:1" x14ac:dyDescent="0.3">
      <c r="A37431" t="s">
        <v>0</v>
      </c>
    </row>
    <row r="37432" spans="1:1" x14ac:dyDescent="0.3">
      <c r="A37432" t="s">
        <v>0</v>
      </c>
    </row>
    <row r="37433" spans="1:1" x14ac:dyDescent="0.3">
      <c r="A37433" t="s">
        <v>0</v>
      </c>
    </row>
    <row r="37434" spans="1:1" x14ac:dyDescent="0.3">
      <c r="A37434" t="s">
        <v>0</v>
      </c>
    </row>
    <row r="37435" spans="1:1" x14ac:dyDescent="0.3">
      <c r="A37435" t="s">
        <v>0</v>
      </c>
    </row>
    <row r="37436" spans="1:1" x14ac:dyDescent="0.3">
      <c r="A37436" t="s">
        <v>0</v>
      </c>
    </row>
    <row r="37437" spans="1:1" x14ac:dyDescent="0.3">
      <c r="A37437" t="s">
        <v>0</v>
      </c>
    </row>
    <row r="37438" spans="1:1" x14ac:dyDescent="0.3">
      <c r="A37438" t="s">
        <v>0</v>
      </c>
    </row>
    <row r="37439" spans="1:1" x14ac:dyDescent="0.3">
      <c r="A37439" t="s">
        <v>0</v>
      </c>
    </row>
    <row r="37440" spans="1:1" x14ac:dyDescent="0.3">
      <c r="A37440" t="s">
        <v>0</v>
      </c>
    </row>
    <row r="37441" spans="1:1" x14ac:dyDescent="0.3">
      <c r="A37441" t="s">
        <v>0</v>
      </c>
    </row>
    <row r="37442" spans="1:1" x14ac:dyDescent="0.3">
      <c r="A37442" t="s">
        <v>0</v>
      </c>
    </row>
    <row r="37443" spans="1:1" x14ac:dyDescent="0.3">
      <c r="A37443" t="s">
        <v>0</v>
      </c>
    </row>
    <row r="37444" spans="1:1" x14ac:dyDescent="0.3">
      <c r="A37444" t="s">
        <v>0</v>
      </c>
    </row>
    <row r="37445" spans="1:1" x14ac:dyDescent="0.3">
      <c r="A37445" t="s">
        <v>0</v>
      </c>
    </row>
    <row r="37446" spans="1:1" x14ac:dyDescent="0.3">
      <c r="A37446" t="s">
        <v>0</v>
      </c>
    </row>
    <row r="37447" spans="1:1" x14ac:dyDescent="0.3">
      <c r="A37447" t="s">
        <v>0</v>
      </c>
    </row>
    <row r="37448" spans="1:1" x14ac:dyDescent="0.3">
      <c r="A37448" t="s">
        <v>0</v>
      </c>
    </row>
    <row r="37449" spans="1:1" x14ac:dyDescent="0.3">
      <c r="A37449" t="s">
        <v>0</v>
      </c>
    </row>
    <row r="37450" spans="1:1" x14ac:dyDescent="0.3">
      <c r="A37450" t="s">
        <v>0</v>
      </c>
    </row>
    <row r="37451" spans="1:1" x14ac:dyDescent="0.3">
      <c r="A37451" t="s">
        <v>0</v>
      </c>
    </row>
    <row r="37452" spans="1:1" x14ac:dyDescent="0.3">
      <c r="A37452" t="s">
        <v>0</v>
      </c>
    </row>
    <row r="37453" spans="1:1" x14ac:dyDescent="0.3">
      <c r="A37453" t="s">
        <v>0</v>
      </c>
    </row>
    <row r="37454" spans="1:1" x14ac:dyDescent="0.3">
      <c r="A37454" t="s">
        <v>0</v>
      </c>
    </row>
    <row r="37455" spans="1:1" x14ac:dyDescent="0.3">
      <c r="A37455" t="s">
        <v>0</v>
      </c>
    </row>
    <row r="37456" spans="1:1" x14ac:dyDescent="0.3">
      <c r="A37456" t="s">
        <v>0</v>
      </c>
    </row>
    <row r="37457" spans="1:1" x14ac:dyDescent="0.3">
      <c r="A37457" t="s">
        <v>0</v>
      </c>
    </row>
    <row r="37458" spans="1:1" x14ac:dyDescent="0.3">
      <c r="A37458" t="s">
        <v>0</v>
      </c>
    </row>
    <row r="37459" spans="1:1" x14ac:dyDescent="0.3">
      <c r="A37459" t="s">
        <v>0</v>
      </c>
    </row>
    <row r="37460" spans="1:1" x14ac:dyDescent="0.3">
      <c r="A37460" t="s">
        <v>0</v>
      </c>
    </row>
    <row r="37461" spans="1:1" x14ac:dyDescent="0.3">
      <c r="A37461" t="s">
        <v>0</v>
      </c>
    </row>
    <row r="37462" spans="1:1" x14ac:dyDescent="0.3">
      <c r="A37462" t="s">
        <v>0</v>
      </c>
    </row>
    <row r="37463" spans="1:1" x14ac:dyDescent="0.3">
      <c r="A37463" t="s">
        <v>0</v>
      </c>
    </row>
    <row r="37464" spans="1:1" x14ac:dyDescent="0.3">
      <c r="A37464" t="s">
        <v>0</v>
      </c>
    </row>
    <row r="37465" spans="1:1" x14ac:dyDescent="0.3">
      <c r="A37465" t="s">
        <v>0</v>
      </c>
    </row>
    <row r="37466" spans="1:1" x14ac:dyDescent="0.3">
      <c r="A37466" t="s">
        <v>0</v>
      </c>
    </row>
    <row r="37467" spans="1:1" x14ac:dyDescent="0.3">
      <c r="A37467" t="s">
        <v>0</v>
      </c>
    </row>
    <row r="37468" spans="1:1" x14ac:dyDescent="0.3">
      <c r="A37468" t="s">
        <v>0</v>
      </c>
    </row>
    <row r="37469" spans="1:1" x14ac:dyDescent="0.3">
      <c r="A37469" t="s">
        <v>0</v>
      </c>
    </row>
    <row r="37470" spans="1:1" x14ac:dyDescent="0.3">
      <c r="A37470" t="s">
        <v>0</v>
      </c>
    </row>
    <row r="37471" spans="1:1" x14ac:dyDescent="0.3">
      <c r="A37471" t="s">
        <v>0</v>
      </c>
    </row>
    <row r="37472" spans="1:1" x14ac:dyDescent="0.3">
      <c r="A37472" t="s">
        <v>0</v>
      </c>
    </row>
    <row r="37473" spans="1:1" x14ac:dyDescent="0.3">
      <c r="A37473" t="s">
        <v>0</v>
      </c>
    </row>
    <row r="37474" spans="1:1" x14ac:dyDescent="0.3">
      <c r="A37474" t="s">
        <v>0</v>
      </c>
    </row>
    <row r="37475" spans="1:1" x14ac:dyDescent="0.3">
      <c r="A37475" t="s">
        <v>0</v>
      </c>
    </row>
    <row r="37476" spans="1:1" x14ac:dyDescent="0.3">
      <c r="A37476" t="s">
        <v>0</v>
      </c>
    </row>
    <row r="37477" spans="1:1" x14ac:dyDescent="0.3">
      <c r="A37477" t="s">
        <v>0</v>
      </c>
    </row>
    <row r="37478" spans="1:1" x14ac:dyDescent="0.3">
      <c r="A37478" t="s">
        <v>0</v>
      </c>
    </row>
    <row r="37479" spans="1:1" x14ac:dyDescent="0.3">
      <c r="A37479" t="s">
        <v>0</v>
      </c>
    </row>
    <row r="37480" spans="1:1" x14ac:dyDescent="0.3">
      <c r="A37480" t="s">
        <v>0</v>
      </c>
    </row>
    <row r="37481" spans="1:1" x14ac:dyDescent="0.3">
      <c r="A37481" t="s">
        <v>0</v>
      </c>
    </row>
    <row r="37482" spans="1:1" x14ac:dyDescent="0.3">
      <c r="A37482" t="s">
        <v>0</v>
      </c>
    </row>
    <row r="37483" spans="1:1" x14ac:dyDescent="0.3">
      <c r="A37483" t="s">
        <v>0</v>
      </c>
    </row>
    <row r="37484" spans="1:1" x14ac:dyDescent="0.3">
      <c r="A37484" t="s">
        <v>0</v>
      </c>
    </row>
    <row r="37485" spans="1:1" x14ac:dyDescent="0.3">
      <c r="A37485" t="s">
        <v>0</v>
      </c>
    </row>
    <row r="37486" spans="1:1" x14ac:dyDescent="0.3">
      <c r="A37486" t="s">
        <v>0</v>
      </c>
    </row>
    <row r="37487" spans="1:1" x14ac:dyDescent="0.3">
      <c r="A37487" t="s">
        <v>0</v>
      </c>
    </row>
    <row r="37488" spans="1:1" x14ac:dyDescent="0.3">
      <c r="A37488" t="s">
        <v>0</v>
      </c>
    </row>
    <row r="37489" spans="1:1" x14ac:dyDescent="0.3">
      <c r="A37489" t="s">
        <v>0</v>
      </c>
    </row>
    <row r="37490" spans="1:1" x14ac:dyDescent="0.3">
      <c r="A37490" t="s">
        <v>0</v>
      </c>
    </row>
    <row r="37491" spans="1:1" x14ac:dyDescent="0.3">
      <c r="A37491" t="s">
        <v>0</v>
      </c>
    </row>
    <row r="37492" spans="1:1" x14ac:dyDescent="0.3">
      <c r="A37492" t="s">
        <v>0</v>
      </c>
    </row>
    <row r="37493" spans="1:1" x14ac:dyDescent="0.3">
      <c r="A37493" t="s">
        <v>0</v>
      </c>
    </row>
    <row r="37494" spans="1:1" x14ac:dyDescent="0.3">
      <c r="A37494" t="s">
        <v>0</v>
      </c>
    </row>
    <row r="37495" spans="1:1" x14ac:dyDescent="0.3">
      <c r="A37495" t="s">
        <v>0</v>
      </c>
    </row>
    <row r="37496" spans="1:1" x14ac:dyDescent="0.3">
      <c r="A37496" t="s">
        <v>0</v>
      </c>
    </row>
    <row r="37497" spans="1:1" x14ac:dyDescent="0.3">
      <c r="A37497" t="s">
        <v>0</v>
      </c>
    </row>
    <row r="37498" spans="1:1" x14ac:dyDescent="0.3">
      <c r="A37498" t="s">
        <v>0</v>
      </c>
    </row>
    <row r="37499" spans="1:1" x14ac:dyDescent="0.3">
      <c r="A37499" t="s">
        <v>0</v>
      </c>
    </row>
    <row r="37500" spans="1:1" x14ac:dyDescent="0.3">
      <c r="A37500" t="s">
        <v>0</v>
      </c>
    </row>
    <row r="37501" spans="1:1" x14ac:dyDescent="0.3">
      <c r="A37501" t="s">
        <v>0</v>
      </c>
    </row>
    <row r="37502" spans="1:1" x14ac:dyDescent="0.3">
      <c r="A37502" t="s">
        <v>0</v>
      </c>
    </row>
    <row r="37503" spans="1:1" x14ac:dyDescent="0.3">
      <c r="A37503" t="s">
        <v>0</v>
      </c>
    </row>
    <row r="37504" spans="1:1" x14ac:dyDescent="0.3">
      <c r="A37504" t="s">
        <v>0</v>
      </c>
    </row>
    <row r="37505" spans="1:1" x14ac:dyDescent="0.3">
      <c r="A37505" t="s">
        <v>0</v>
      </c>
    </row>
    <row r="37506" spans="1:1" x14ac:dyDescent="0.3">
      <c r="A37506" t="s">
        <v>0</v>
      </c>
    </row>
    <row r="37507" spans="1:1" x14ac:dyDescent="0.3">
      <c r="A37507" t="s">
        <v>0</v>
      </c>
    </row>
    <row r="37508" spans="1:1" x14ac:dyDescent="0.3">
      <c r="A37508" t="s">
        <v>0</v>
      </c>
    </row>
    <row r="37509" spans="1:1" x14ac:dyDescent="0.3">
      <c r="A37509" t="s">
        <v>0</v>
      </c>
    </row>
    <row r="37510" spans="1:1" x14ac:dyDescent="0.3">
      <c r="A37510" t="s">
        <v>0</v>
      </c>
    </row>
    <row r="37511" spans="1:1" x14ac:dyDescent="0.3">
      <c r="A37511" t="s">
        <v>0</v>
      </c>
    </row>
    <row r="37512" spans="1:1" x14ac:dyDescent="0.3">
      <c r="A37512" t="s">
        <v>0</v>
      </c>
    </row>
    <row r="37513" spans="1:1" x14ac:dyDescent="0.3">
      <c r="A37513" t="s">
        <v>0</v>
      </c>
    </row>
    <row r="37514" spans="1:1" x14ac:dyDescent="0.3">
      <c r="A37514" t="s">
        <v>0</v>
      </c>
    </row>
    <row r="37515" spans="1:1" x14ac:dyDescent="0.3">
      <c r="A37515" t="s">
        <v>0</v>
      </c>
    </row>
    <row r="37516" spans="1:1" x14ac:dyDescent="0.3">
      <c r="A37516" t="s">
        <v>0</v>
      </c>
    </row>
    <row r="37517" spans="1:1" x14ac:dyDescent="0.3">
      <c r="A37517" t="s">
        <v>0</v>
      </c>
    </row>
    <row r="37518" spans="1:1" x14ac:dyDescent="0.3">
      <c r="A37518" t="s">
        <v>0</v>
      </c>
    </row>
    <row r="37519" spans="1:1" x14ac:dyDescent="0.3">
      <c r="A37519" t="s">
        <v>0</v>
      </c>
    </row>
    <row r="37520" spans="1:1" x14ac:dyDescent="0.3">
      <c r="A37520" t="s">
        <v>0</v>
      </c>
    </row>
    <row r="37521" spans="1:1" x14ac:dyDescent="0.3">
      <c r="A37521" t="s">
        <v>0</v>
      </c>
    </row>
    <row r="37522" spans="1:1" x14ac:dyDescent="0.3">
      <c r="A37522" t="s">
        <v>0</v>
      </c>
    </row>
    <row r="37523" spans="1:1" x14ac:dyDescent="0.3">
      <c r="A37523" t="s">
        <v>0</v>
      </c>
    </row>
    <row r="37524" spans="1:1" x14ac:dyDescent="0.3">
      <c r="A37524" t="s">
        <v>0</v>
      </c>
    </row>
    <row r="37525" spans="1:1" x14ac:dyDescent="0.3">
      <c r="A37525" t="s">
        <v>0</v>
      </c>
    </row>
    <row r="37526" spans="1:1" x14ac:dyDescent="0.3">
      <c r="A37526" t="s">
        <v>0</v>
      </c>
    </row>
    <row r="37527" spans="1:1" x14ac:dyDescent="0.3">
      <c r="A37527" t="s">
        <v>0</v>
      </c>
    </row>
    <row r="37528" spans="1:1" x14ac:dyDescent="0.3">
      <c r="A37528" t="s">
        <v>0</v>
      </c>
    </row>
    <row r="37529" spans="1:1" x14ac:dyDescent="0.3">
      <c r="A37529" t="s">
        <v>0</v>
      </c>
    </row>
    <row r="37530" spans="1:1" x14ac:dyDescent="0.3">
      <c r="A37530" t="s">
        <v>0</v>
      </c>
    </row>
    <row r="37531" spans="1:1" x14ac:dyDescent="0.3">
      <c r="A37531" t="s">
        <v>0</v>
      </c>
    </row>
    <row r="37532" spans="1:1" x14ac:dyDescent="0.3">
      <c r="A37532" t="s">
        <v>0</v>
      </c>
    </row>
    <row r="37533" spans="1:1" x14ac:dyDescent="0.3">
      <c r="A37533" t="s">
        <v>0</v>
      </c>
    </row>
    <row r="37534" spans="1:1" x14ac:dyDescent="0.3">
      <c r="A37534" t="s">
        <v>0</v>
      </c>
    </row>
    <row r="37535" spans="1:1" x14ac:dyDescent="0.3">
      <c r="A37535" t="s">
        <v>0</v>
      </c>
    </row>
    <row r="37536" spans="1:1" x14ac:dyDescent="0.3">
      <c r="A37536" t="s">
        <v>0</v>
      </c>
    </row>
    <row r="37537" spans="1:1" x14ac:dyDescent="0.3">
      <c r="A37537" t="s">
        <v>0</v>
      </c>
    </row>
    <row r="37538" spans="1:1" x14ac:dyDescent="0.3">
      <c r="A37538" t="s">
        <v>0</v>
      </c>
    </row>
    <row r="37539" spans="1:1" x14ac:dyDescent="0.3">
      <c r="A37539" t="s">
        <v>0</v>
      </c>
    </row>
    <row r="37540" spans="1:1" x14ac:dyDescent="0.3">
      <c r="A37540" t="s">
        <v>0</v>
      </c>
    </row>
    <row r="37541" spans="1:1" x14ac:dyDescent="0.3">
      <c r="A37541" t="s">
        <v>0</v>
      </c>
    </row>
    <row r="37542" spans="1:1" x14ac:dyDescent="0.3">
      <c r="A37542" t="s">
        <v>0</v>
      </c>
    </row>
    <row r="37543" spans="1:1" x14ac:dyDescent="0.3">
      <c r="A37543" t="s">
        <v>0</v>
      </c>
    </row>
    <row r="37544" spans="1:1" x14ac:dyDescent="0.3">
      <c r="A37544" t="s">
        <v>0</v>
      </c>
    </row>
    <row r="37545" spans="1:1" x14ac:dyDescent="0.3">
      <c r="A37545" t="s">
        <v>0</v>
      </c>
    </row>
    <row r="37546" spans="1:1" x14ac:dyDescent="0.3">
      <c r="A37546" t="s">
        <v>0</v>
      </c>
    </row>
    <row r="37547" spans="1:1" x14ac:dyDescent="0.3">
      <c r="A37547" t="s">
        <v>0</v>
      </c>
    </row>
    <row r="37548" spans="1:1" x14ac:dyDescent="0.3">
      <c r="A37548" t="s">
        <v>0</v>
      </c>
    </row>
    <row r="37549" spans="1:1" x14ac:dyDescent="0.3">
      <c r="A37549" t="s">
        <v>0</v>
      </c>
    </row>
    <row r="37550" spans="1:1" x14ac:dyDescent="0.3">
      <c r="A37550" t="s">
        <v>0</v>
      </c>
    </row>
    <row r="37551" spans="1:1" x14ac:dyDescent="0.3">
      <c r="A37551" t="s">
        <v>0</v>
      </c>
    </row>
    <row r="37552" spans="1:1" x14ac:dyDescent="0.3">
      <c r="A37552" t="s">
        <v>0</v>
      </c>
    </row>
    <row r="37553" spans="1:1" x14ac:dyDescent="0.3">
      <c r="A37553" t="s">
        <v>0</v>
      </c>
    </row>
    <row r="37554" spans="1:1" x14ac:dyDescent="0.3">
      <c r="A37554" t="s">
        <v>0</v>
      </c>
    </row>
    <row r="37555" spans="1:1" x14ac:dyDescent="0.3">
      <c r="A37555" t="s">
        <v>0</v>
      </c>
    </row>
    <row r="37556" spans="1:1" x14ac:dyDescent="0.3">
      <c r="A37556" t="s">
        <v>0</v>
      </c>
    </row>
    <row r="37557" spans="1:1" x14ac:dyDescent="0.3">
      <c r="A37557" t="s">
        <v>0</v>
      </c>
    </row>
    <row r="37558" spans="1:1" x14ac:dyDescent="0.3">
      <c r="A37558" t="s">
        <v>0</v>
      </c>
    </row>
    <row r="37559" spans="1:1" x14ac:dyDescent="0.3">
      <c r="A37559" t="s">
        <v>0</v>
      </c>
    </row>
    <row r="37560" spans="1:1" x14ac:dyDescent="0.3">
      <c r="A37560" t="s">
        <v>0</v>
      </c>
    </row>
    <row r="37561" spans="1:1" x14ac:dyDescent="0.3">
      <c r="A37561" t="s">
        <v>0</v>
      </c>
    </row>
    <row r="37562" spans="1:1" x14ac:dyDescent="0.3">
      <c r="A37562" t="s">
        <v>0</v>
      </c>
    </row>
    <row r="37563" spans="1:1" x14ac:dyDescent="0.3">
      <c r="A37563" t="s">
        <v>0</v>
      </c>
    </row>
    <row r="37564" spans="1:1" x14ac:dyDescent="0.3">
      <c r="A37564" t="s">
        <v>0</v>
      </c>
    </row>
    <row r="37565" spans="1:1" x14ac:dyDescent="0.3">
      <c r="A37565" t="s">
        <v>0</v>
      </c>
    </row>
    <row r="37566" spans="1:1" x14ac:dyDescent="0.3">
      <c r="A37566" t="s">
        <v>0</v>
      </c>
    </row>
    <row r="37567" spans="1:1" x14ac:dyDescent="0.3">
      <c r="A37567" t="s">
        <v>0</v>
      </c>
    </row>
    <row r="37568" spans="1:1" x14ac:dyDescent="0.3">
      <c r="A37568" t="s">
        <v>0</v>
      </c>
    </row>
    <row r="37569" spans="1:1" x14ac:dyDescent="0.3">
      <c r="A37569" t="s">
        <v>0</v>
      </c>
    </row>
    <row r="37570" spans="1:1" x14ac:dyDescent="0.3">
      <c r="A37570" t="s">
        <v>0</v>
      </c>
    </row>
    <row r="37571" spans="1:1" x14ac:dyDescent="0.3">
      <c r="A37571" t="s">
        <v>0</v>
      </c>
    </row>
    <row r="37572" spans="1:1" x14ac:dyDescent="0.3">
      <c r="A37572" t="s">
        <v>0</v>
      </c>
    </row>
    <row r="37573" spans="1:1" x14ac:dyDescent="0.3">
      <c r="A37573" t="s">
        <v>0</v>
      </c>
    </row>
    <row r="37574" spans="1:1" x14ac:dyDescent="0.3">
      <c r="A37574" t="s">
        <v>0</v>
      </c>
    </row>
    <row r="37575" spans="1:1" x14ac:dyDescent="0.3">
      <c r="A37575" t="s">
        <v>0</v>
      </c>
    </row>
    <row r="37576" spans="1:1" x14ac:dyDescent="0.3">
      <c r="A37576" t="s">
        <v>0</v>
      </c>
    </row>
    <row r="37577" spans="1:1" x14ac:dyDescent="0.3">
      <c r="A37577" t="s">
        <v>0</v>
      </c>
    </row>
    <row r="37578" spans="1:1" x14ac:dyDescent="0.3">
      <c r="A37578" t="s">
        <v>0</v>
      </c>
    </row>
    <row r="37579" spans="1:1" x14ac:dyDescent="0.3">
      <c r="A37579" t="s">
        <v>0</v>
      </c>
    </row>
    <row r="37580" spans="1:1" x14ac:dyDescent="0.3">
      <c r="A37580" t="s">
        <v>0</v>
      </c>
    </row>
    <row r="37581" spans="1:1" x14ac:dyDescent="0.3">
      <c r="A37581" t="s">
        <v>0</v>
      </c>
    </row>
    <row r="37582" spans="1:1" x14ac:dyDescent="0.3">
      <c r="A37582" t="s">
        <v>0</v>
      </c>
    </row>
    <row r="37583" spans="1:1" x14ac:dyDescent="0.3">
      <c r="A37583" t="s">
        <v>0</v>
      </c>
    </row>
    <row r="37584" spans="1:1" x14ac:dyDescent="0.3">
      <c r="A37584" t="s">
        <v>0</v>
      </c>
    </row>
    <row r="37585" spans="1:1" x14ac:dyDescent="0.3">
      <c r="A37585" t="s">
        <v>0</v>
      </c>
    </row>
    <row r="37586" spans="1:1" x14ac:dyDescent="0.3">
      <c r="A37586" t="s">
        <v>0</v>
      </c>
    </row>
    <row r="37587" spans="1:1" x14ac:dyDescent="0.3">
      <c r="A37587" t="s">
        <v>0</v>
      </c>
    </row>
    <row r="37588" spans="1:1" x14ac:dyDescent="0.3">
      <c r="A37588" t="s">
        <v>0</v>
      </c>
    </row>
    <row r="37589" spans="1:1" x14ac:dyDescent="0.3">
      <c r="A37589" t="s">
        <v>0</v>
      </c>
    </row>
    <row r="37590" spans="1:1" x14ac:dyDescent="0.3">
      <c r="A37590" t="s">
        <v>0</v>
      </c>
    </row>
    <row r="37591" spans="1:1" x14ac:dyDescent="0.3">
      <c r="A37591" t="s">
        <v>0</v>
      </c>
    </row>
    <row r="37592" spans="1:1" x14ac:dyDescent="0.3">
      <c r="A37592" t="s">
        <v>0</v>
      </c>
    </row>
    <row r="37593" spans="1:1" x14ac:dyDescent="0.3">
      <c r="A37593" t="s">
        <v>0</v>
      </c>
    </row>
    <row r="37594" spans="1:1" x14ac:dyDescent="0.3">
      <c r="A37594" t="s">
        <v>0</v>
      </c>
    </row>
    <row r="37595" spans="1:1" x14ac:dyDescent="0.3">
      <c r="A37595" t="s">
        <v>0</v>
      </c>
    </row>
    <row r="37596" spans="1:1" x14ac:dyDescent="0.3">
      <c r="A37596" t="s">
        <v>0</v>
      </c>
    </row>
    <row r="37597" spans="1:1" x14ac:dyDescent="0.3">
      <c r="A37597" t="s">
        <v>0</v>
      </c>
    </row>
    <row r="37598" spans="1:1" x14ac:dyDescent="0.3">
      <c r="A37598" t="s">
        <v>0</v>
      </c>
    </row>
    <row r="37599" spans="1:1" x14ac:dyDescent="0.3">
      <c r="A37599" t="s">
        <v>0</v>
      </c>
    </row>
    <row r="37600" spans="1:1" x14ac:dyDescent="0.3">
      <c r="A37600" t="s">
        <v>0</v>
      </c>
    </row>
    <row r="37601" spans="1:1" x14ac:dyDescent="0.3">
      <c r="A37601" t="s">
        <v>0</v>
      </c>
    </row>
    <row r="37602" spans="1:1" x14ac:dyDescent="0.3">
      <c r="A37602" t="s">
        <v>0</v>
      </c>
    </row>
    <row r="37603" spans="1:1" x14ac:dyDescent="0.3">
      <c r="A37603" t="s">
        <v>0</v>
      </c>
    </row>
    <row r="37604" spans="1:1" x14ac:dyDescent="0.3">
      <c r="A37604" t="s">
        <v>0</v>
      </c>
    </row>
    <row r="37605" spans="1:1" x14ac:dyDescent="0.3">
      <c r="A37605" t="s">
        <v>0</v>
      </c>
    </row>
    <row r="37606" spans="1:1" x14ac:dyDescent="0.3">
      <c r="A37606" t="s">
        <v>0</v>
      </c>
    </row>
    <row r="37607" spans="1:1" x14ac:dyDescent="0.3">
      <c r="A37607" t="s">
        <v>0</v>
      </c>
    </row>
    <row r="37608" spans="1:1" x14ac:dyDescent="0.3">
      <c r="A37608" t="s">
        <v>0</v>
      </c>
    </row>
    <row r="37609" spans="1:1" x14ac:dyDescent="0.3">
      <c r="A37609" t="s">
        <v>0</v>
      </c>
    </row>
    <row r="37610" spans="1:1" x14ac:dyDescent="0.3">
      <c r="A37610" t="s">
        <v>0</v>
      </c>
    </row>
    <row r="37611" spans="1:1" x14ac:dyDescent="0.3">
      <c r="A37611" t="s">
        <v>0</v>
      </c>
    </row>
    <row r="37612" spans="1:1" x14ac:dyDescent="0.3">
      <c r="A37612" t="s">
        <v>0</v>
      </c>
    </row>
    <row r="37613" spans="1:1" x14ac:dyDescent="0.3">
      <c r="A37613" t="s">
        <v>0</v>
      </c>
    </row>
    <row r="37614" spans="1:1" x14ac:dyDescent="0.3">
      <c r="A37614" t="s">
        <v>0</v>
      </c>
    </row>
    <row r="37615" spans="1:1" x14ac:dyDescent="0.3">
      <c r="A37615" t="s">
        <v>0</v>
      </c>
    </row>
    <row r="37616" spans="1:1" x14ac:dyDescent="0.3">
      <c r="A37616" t="s">
        <v>0</v>
      </c>
    </row>
    <row r="37617" spans="1:1" x14ac:dyDescent="0.3">
      <c r="A37617" t="s">
        <v>0</v>
      </c>
    </row>
    <row r="37618" spans="1:1" x14ac:dyDescent="0.3">
      <c r="A37618" t="s">
        <v>0</v>
      </c>
    </row>
    <row r="37619" spans="1:1" x14ac:dyDescent="0.3">
      <c r="A37619" t="s">
        <v>0</v>
      </c>
    </row>
    <row r="37620" spans="1:1" x14ac:dyDescent="0.3">
      <c r="A37620" t="s">
        <v>0</v>
      </c>
    </row>
    <row r="37621" spans="1:1" x14ac:dyDescent="0.3">
      <c r="A37621" t="s">
        <v>0</v>
      </c>
    </row>
    <row r="37622" spans="1:1" x14ac:dyDescent="0.3">
      <c r="A37622" t="s">
        <v>0</v>
      </c>
    </row>
    <row r="37623" spans="1:1" x14ac:dyDescent="0.3">
      <c r="A37623" t="s">
        <v>0</v>
      </c>
    </row>
    <row r="37624" spans="1:1" x14ac:dyDescent="0.3">
      <c r="A37624" t="s">
        <v>0</v>
      </c>
    </row>
    <row r="37625" spans="1:1" x14ac:dyDescent="0.3">
      <c r="A37625" t="s">
        <v>0</v>
      </c>
    </row>
    <row r="37626" spans="1:1" x14ac:dyDescent="0.3">
      <c r="A37626" t="s">
        <v>0</v>
      </c>
    </row>
    <row r="37627" spans="1:1" x14ac:dyDescent="0.3">
      <c r="A37627" t="s">
        <v>0</v>
      </c>
    </row>
    <row r="37628" spans="1:1" x14ac:dyDescent="0.3">
      <c r="A37628" t="s">
        <v>0</v>
      </c>
    </row>
    <row r="37629" spans="1:1" x14ac:dyDescent="0.3">
      <c r="A37629" t="s">
        <v>0</v>
      </c>
    </row>
    <row r="37630" spans="1:1" x14ac:dyDescent="0.3">
      <c r="A37630" t="s">
        <v>0</v>
      </c>
    </row>
    <row r="37631" spans="1:1" x14ac:dyDescent="0.3">
      <c r="A37631" t="s">
        <v>0</v>
      </c>
    </row>
    <row r="37632" spans="1:1" x14ac:dyDescent="0.3">
      <c r="A37632" t="s">
        <v>0</v>
      </c>
    </row>
    <row r="37633" spans="1:1" x14ac:dyDescent="0.3">
      <c r="A37633" t="s">
        <v>0</v>
      </c>
    </row>
    <row r="37634" spans="1:1" x14ac:dyDescent="0.3">
      <c r="A37634" t="s">
        <v>0</v>
      </c>
    </row>
    <row r="37635" spans="1:1" x14ac:dyDescent="0.3">
      <c r="A37635" t="s">
        <v>0</v>
      </c>
    </row>
    <row r="37636" spans="1:1" x14ac:dyDescent="0.3">
      <c r="A37636" t="s">
        <v>0</v>
      </c>
    </row>
    <row r="37637" spans="1:1" x14ac:dyDescent="0.3">
      <c r="A37637" t="s">
        <v>0</v>
      </c>
    </row>
    <row r="37638" spans="1:1" x14ac:dyDescent="0.3">
      <c r="A37638" t="s">
        <v>0</v>
      </c>
    </row>
    <row r="37639" spans="1:1" x14ac:dyDescent="0.3">
      <c r="A37639" t="s">
        <v>0</v>
      </c>
    </row>
    <row r="37640" spans="1:1" x14ac:dyDescent="0.3">
      <c r="A37640" t="s">
        <v>0</v>
      </c>
    </row>
    <row r="37641" spans="1:1" x14ac:dyDescent="0.3">
      <c r="A37641" t="s">
        <v>0</v>
      </c>
    </row>
    <row r="37642" spans="1:1" x14ac:dyDescent="0.3">
      <c r="A37642" t="s">
        <v>0</v>
      </c>
    </row>
    <row r="37643" spans="1:1" x14ac:dyDescent="0.3">
      <c r="A37643" t="s">
        <v>0</v>
      </c>
    </row>
    <row r="37644" spans="1:1" x14ac:dyDescent="0.3">
      <c r="A37644" t="s">
        <v>0</v>
      </c>
    </row>
    <row r="37645" spans="1:1" x14ac:dyDescent="0.3">
      <c r="A37645" t="s">
        <v>0</v>
      </c>
    </row>
    <row r="37646" spans="1:1" x14ac:dyDescent="0.3">
      <c r="A37646" t="s">
        <v>0</v>
      </c>
    </row>
    <row r="37647" spans="1:1" x14ac:dyDescent="0.3">
      <c r="A37647" t="s">
        <v>0</v>
      </c>
    </row>
    <row r="37648" spans="1:1" x14ac:dyDescent="0.3">
      <c r="A37648" t="s">
        <v>0</v>
      </c>
    </row>
    <row r="37649" spans="1:1" x14ac:dyDescent="0.3">
      <c r="A37649" t="s">
        <v>0</v>
      </c>
    </row>
    <row r="37650" spans="1:1" x14ac:dyDescent="0.3">
      <c r="A37650" t="s">
        <v>0</v>
      </c>
    </row>
    <row r="37651" spans="1:1" x14ac:dyDescent="0.3">
      <c r="A37651" t="s">
        <v>0</v>
      </c>
    </row>
    <row r="37652" spans="1:1" x14ac:dyDescent="0.3">
      <c r="A37652" t="s">
        <v>0</v>
      </c>
    </row>
    <row r="37653" spans="1:1" x14ac:dyDescent="0.3">
      <c r="A37653" t="s">
        <v>0</v>
      </c>
    </row>
    <row r="37654" spans="1:1" x14ac:dyDescent="0.3">
      <c r="A37654" t="s">
        <v>0</v>
      </c>
    </row>
    <row r="37655" spans="1:1" x14ac:dyDescent="0.3">
      <c r="A37655" t="s">
        <v>0</v>
      </c>
    </row>
    <row r="37656" spans="1:1" x14ac:dyDescent="0.3">
      <c r="A37656" t="s">
        <v>0</v>
      </c>
    </row>
    <row r="37657" spans="1:1" x14ac:dyDescent="0.3">
      <c r="A37657" t="s">
        <v>0</v>
      </c>
    </row>
    <row r="37658" spans="1:1" x14ac:dyDescent="0.3">
      <c r="A37658" t="s">
        <v>0</v>
      </c>
    </row>
    <row r="37659" spans="1:1" x14ac:dyDescent="0.3">
      <c r="A37659" t="s">
        <v>0</v>
      </c>
    </row>
    <row r="37660" spans="1:1" x14ac:dyDescent="0.3">
      <c r="A37660" t="s">
        <v>0</v>
      </c>
    </row>
    <row r="37661" spans="1:1" x14ac:dyDescent="0.3">
      <c r="A37661" t="s">
        <v>0</v>
      </c>
    </row>
    <row r="37662" spans="1:1" x14ac:dyDescent="0.3">
      <c r="A37662" t="s">
        <v>0</v>
      </c>
    </row>
    <row r="37663" spans="1:1" x14ac:dyDescent="0.3">
      <c r="A37663" t="s">
        <v>0</v>
      </c>
    </row>
    <row r="37664" spans="1:1" x14ac:dyDescent="0.3">
      <c r="A37664" t="s">
        <v>0</v>
      </c>
    </row>
    <row r="37665" spans="1:1" x14ac:dyDescent="0.3">
      <c r="A37665" t="s">
        <v>0</v>
      </c>
    </row>
    <row r="37666" spans="1:1" x14ac:dyDescent="0.3">
      <c r="A37666" t="s">
        <v>0</v>
      </c>
    </row>
    <row r="37667" spans="1:1" x14ac:dyDescent="0.3">
      <c r="A37667" t="s">
        <v>0</v>
      </c>
    </row>
    <row r="37668" spans="1:1" x14ac:dyDescent="0.3">
      <c r="A37668" t="s">
        <v>0</v>
      </c>
    </row>
    <row r="37669" spans="1:1" x14ac:dyDescent="0.3">
      <c r="A37669" t="s">
        <v>0</v>
      </c>
    </row>
    <row r="37670" spans="1:1" x14ac:dyDescent="0.3">
      <c r="A37670" t="s">
        <v>0</v>
      </c>
    </row>
    <row r="37671" spans="1:1" x14ac:dyDescent="0.3">
      <c r="A37671" t="s">
        <v>0</v>
      </c>
    </row>
    <row r="37672" spans="1:1" x14ac:dyDescent="0.3">
      <c r="A37672" t="s">
        <v>0</v>
      </c>
    </row>
    <row r="37673" spans="1:1" x14ac:dyDescent="0.3">
      <c r="A37673" t="s">
        <v>0</v>
      </c>
    </row>
    <row r="37674" spans="1:1" x14ac:dyDescent="0.3">
      <c r="A37674" t="s">
        <v>0</v>
      </c>
    </row>
    <row r="37675" spans="1:1" x14ac:dyDescent="0.3">
      <c r="A37675" t="s">
        <v>0</v>
      </c>
    </row>
    <row r="37676" spans="1:1" x14ac:dyDescent="0.3">
      <c r="A37676" t="s">
        <v>0</v>
      </c>
    </row>
    <row r="37677" spans="1:1" x14ac:dyDescent="0.3">
      <c r="A37677" t="s">
        <v>0</v>
      </c>
    </row>
    <row r="37678" spans="1:1" x14ac:dyDescent="0.3">
      <c r="A37678" t="s">
        <v>0</v>
      </c>
    </row>
    <row r="37679" spans="1:1" x14ac:dyDescent="0.3">
      <c r="A37679" t="s">
        <v>0</v>
      </c>
    </row>
    <row r="37680" spans="1:1" x14ac:dyDescent="0.3">
      <c r="A37680" t="s">
        <v>0</v>
      </c>
    </row>
    <row r="37681" spans="1:1" x14ac:dyDescent="0.3">
      <c r="A37681" t="s">
        <v>0</v>
      </c>
    </row>
    <row r="37682" spans="1:1" x14ac:dyDescent="0.3">
      <c r="A37682" t="s">
        <v>0</v>
      </c>
    </row>
    <row r="37683" spans="1:1" x14ac:dyDescent="0.3">
      <c r="A37683" t="s">
        <v>0</v>
      </c>
    </row>
    <row r="37684" spans="1:1" x14ac:dyDescent="0.3">
      <c r="A37684" t="s">
        <v>0</v>
      </c>
    </row>
    <row r="37685" spans="1:1" x14ac:dyDescent="0.3">
      <c r="A37685" t="s">
        <v>0</v>
      </c>
    </row>
    <row r="37686" spans="1:1" x14ac:dyDescent="0.3">
      <c r="A37686" t="s">
        <v>0</v>
      </c>
    </row>
    <row r="37687" spans="1:1" x14ac:dyDescent="0.3">
      <c r="A37687" t="s">
        <v>0</v>
      </c>
    </row>
    <row r="37688" spans="1:1" x14ac:dyDescent="0.3">
      <c r="A37688" t="s">
        <v>0</v>
      </c>
    </row>
    <row r="37689" spans="1:1" x14ac:dyDescent="0.3">
      <c r="A37689" t="s">
        <v>0</v>
      </c>
    </row>
    <row r="37690" spans="1:1" x14ac:dyDescent="0.3">
      <c r="A37690" t="s">
        <v>0</v>
      </c>
    </row>
    <row r="37691" spans="1:1" x14ac:dyDescent="0.3">
      <c r="A37691" t="s">
        <v>0</v>
      </c>
    </row>
    <row r="37692" spans="1:1" x14ac:dyDescent="0.3">
      <c r="A37692" t="s">
        <v>0</v>
      </c>
    </row>
    <row r="37693" spans="1:1" x14ac:dyDescent="0.3">
      <c r="A37693" t="s">
        <v>0</v>
      </c>
    </row>
    <row r="37694" spans="1:1" x14ac:dyDescent="0.3">
      <c r="A37694" t="s">
        <v>0</v>
      </c>
    </row>
    <row r="37695" spans="1:1" x14ac:dyDescent="0.3">
      <c r="A37695" t="s">
        <v>0</v>
      </c>
    </row>
    <row r="37696" spans="1:1" x14ac:dyDescent="0.3">
      <c r="A37696" t="s">
        <v>0</v>
      </c>
    </row>
    <row r="37697" spans="1:1" x14ac:dyDescent="0.3">
      <c r="A37697" t="s">
        <v>0</v>
      </c>
    </row>
    <row r="37698" spans="1:1" x14ac:dyDescent="0.3">
      <c r="A37698" t="s">
        <v>0</v>
      </c>
    </row>
    <row r="37699" spans="1:1" x14ac:dyDescent="0.3">
      <c r="A37699" t="s">
        <v>0</v>
      </c>
    </row>
    <row r="37700" spans="1:1" x14ac:dyDescent="0.3">
      <c r="A37700" t="s">
        <v>0</v>
      </c>
    </row>
    <row r="37701" spans="1:1" x14ac:dyDescent="0.3">
      <c r="A37701" t="s">
        <v>0</v>
      </c>
    </row>
    <row r="37702" spans="1:1" x14ac:dyDescent="0.3">
      <c r="A37702" t="s">
        <v>0</v>
      </c>
    </row>
    <row r="37703" spans="1:1" x14ac:dyDescent="0.3">
      <c r="A37703" t="s">
        <v>0</v>
      </c>
    </row>
    <row r="37704" spans="1:1" x14ac:dyDescent="0.3">
      <c r="A37704" t="s">
        <v>0</v>
      </c>
    </row>
    <row r="37705" spans="1:1" x14ac:dyDescent="0.3">
      <c r="A37705" t="s">
        <v>0</v>
      </c>
    </row>
    <row r="37706" spans="1:1" x14ac:dyDescent="0.3">
      <c r="A37706" t="s">
        <v>0</v>
      </c>
    </row>
    <row r="37707" spans="1:1" x14ac:dyDescent="0.3">
      <c r="A37707" t="s">
        <v>0</v>
      </c>
    </row>
    <row r="37708" spans="1:1" x14ac:dyDescent="0.3">
      <c r="A37708" t="s">
        <v>0</v>
      </c>
    </row>
    <row r="37709" spans="1:1" x14ac:dyDescent="0.3">
      <c r="A37709" t="s">
        <v>0</v>
      </c>
    </row>
    <row r="37710" spans="1:1" x14ac:dyDescent="0.3">
      <c r="A37710" t="s">
        <v>0</v>
      </c>
    </row>
    <row r="37711" spans="1:1" x14ac:dyDescent="0.3">
      <c r="A37711" t="s">
        <v>0</v>
      </c>
    </row>
    <row r="37712" spans="1:1" x14ac:dyDescent="0.3">
      <c r="A37712" t="s">
        <v>0</v>
      </c>
    </row>
    <row r="37713" spans="1:1" x14ac:dyDescent="0.3">
      <c r="A37713" t="s">
        <v>0</v>
      </c>
    </row>
    <row r="37714" spans="1:1" x14ac:dyDescent="0.3">
      <c r="A37714" t="s">
        <v>0</v>
      </c>
    </row>
    <row r="37715" spans="1:1" x14ac:dyDescent="0.3">
      <c r="A37715" t="s">
        <v>0</v>
      </c>
    </row>
    <row r="37716" spans="1:1" x14ac:dyDescent="0.3">
      <c r="A37716" t="s">
        <v>0</v>
      </c>
    </row>
    <row r="37717" spans="1:1" x14ac:dyDescent="0.3">
      <c r="A37717" t="s">
        <v>0</v>
      </c>
    </row>
    <row r="37718" spans="1:1" x14ac:dyDescent="0.3">
      <c r="A37718" t="s">
        <v>0</v>
      </c>
    </row>
    <row r="37719" spans="1:1" x14ac:dyDescent="0.3">
      <c r="A37719" t="s">
        <v>0</v>
      </c>
    </row>
    <row r="37720" spans="1:1" x14ac:dyDescent="0.3">
      <c r="A37720" t="s">
        <v>0</v>
      </c>
    </row>
    <row r="37721" spans="1:1" x14ac:dyDescent="0.3">
      <c r="A37721" t="s">
        <v>0</v>
      </c>
    </row>
    <row r="37722" spans="1:1" x14ac:dyDescent="0.3">
      <c r="A37722" t="s">
        <v>0</v>
      </c>
    </row>
    <row r="37723" spans="1:1" x14ac:dyDescent="0.3">
      <c r="A37723" t="s">
        <v>0</v>
      </c>
    </row>
    <row r="37724" spans="1:1" x14ac:dyDescent="0.3">
      <c r="A37724" t="s">
        <v>0</v>
      </c>
    </row>
    <row r="37725" spans="1:1" x14ac:dyDescent="0.3">
      <c r="A37725" t="s">
        <v>0</v>
      </c>
    </row>
    <row r="37726" spans="1:1" x14ac:dyDescent="0.3">
      <c r="A37726" t="s">
        <v>0</v>
      </c>
    </row>
    <row r="37727" spans="1:1" x14ac:dyDescent="0.3">
      <c r="A37727" t="s">
        <v>0</v>
      </c>
    </row>
    <row r="37728" spans="1:1" x14ac:dyDescent="0.3">
      <c r="A37728" t="s">
        <v>0</v>
      </c>
    </row>
    <row r="37729" spans="1:1" x14ac:dyDescent="0.3">
      <c r="A37729" t="s">
        <v>0</v>
      </c>
    </row>
    <row r="37730" spans="1:1" x14ac:dyDescent="0.3">
      <c r="A37730" t="s">
        <v>0</v>
      </c>
    </row>
    <row r="37731" spans="1:1" x14ac:dyDescent="0.3">
      <c r="A37731" t="s">
        <v>0</v>
      </c>
    </row>
    <row r="37732" spans="1:1" x14ac:dyDescent="0.3">
      <c r="A37732" t="s">
        <v>0</v>
      </c>
    </row>
    <row r="37733" spans="1:1" x14ac:dyDescent="0.3">
      <c r="A37733" t="s">
        <v>0</v>
      </c>
    </row>
    <row r="37734" spans="1:1" x14ac:dyDescent="0.3">
      <c r="A37734" t="s">
        <v>0</v>
      </c>
    </row>
    <row r="37735" spans="1:1" x14ac:dyDescent="0.3">
      <c r="A37735" t="s">
        <v>0</v>
      </c>
    </row>
    <row r="37736" spans="1:1" x14ac:dyDescent="0.3">
      <c r="A37736" t="s">
        <v>0</v>
      </c>
    </row>
    <row r="37737" spans="1:1" x14ac:dyDescent="0.3">
      <c r="A37737" t="s">
        <v>0</v>
      </c>
    </row>
    <row r="37738" spans="1:1" x14ac:dyDescent="0.3">
      <c r="A37738" t="s">
        <v>0</v>
      </c>
    </row>
    <row r="37739" spans="1:1" x14ac:dyDescent="0.3">
      <c r="A37739" t="s">
        <v>0</v>
      </c>
    </row>
    <row r="37740" spans="1:1" x14ac:dyDescent="0.3">
      <c r="A37740" t="s">
        <v>0</v>
      </c>
    </row>
    <row r="37741" spans="1:1" x14ac:dyDescent="0.3">
      <c r="A37741" t="s">
        <v>0</v>
      </c>
    </row>
    <row r="37742" spans="1:1" x14ac:dyDescent="0.3">
      <c r="A37742" t="s">
        <v>0</v>
      </c>
    </row>
    <row r="37743" spans="1:1" x14ac:dyDescent="0.3">
      <c r="A37743" t="s">
        <v>0</v>
      </c>
    </row>
    <row r="37744" spans="1:1" x14ac:dyDescent="0.3">
      <c r="A37744" t="s">
        <v>0</v>
      </c>
    </row>
    <row r="37745" spans="1:1" x14ac:dyDescent="0.3">
      <c r="A37745" t="s">
        <v>0</v>
      </c>
    </row>
    <row r="37746" spans="1:1" x14ac:dyDescent="0.3">
      <c r="A37746" t="s">
        <v>0</v>
      </c>
    </row>
    <row r="37747" spans="1:1" x14ac:dyDescent="0.3">
      <c r="A37747" t="s">
        <v>0</v>
      </c>
    </row>
    <row r="37748" spans="1:1" x14ac:dyDescent="0.3">
      <c r="A37748" t="s">
        <v>0</v>
      </c>
    </row>
    <row r="37749" spans="1:1" x14ac:dyDescent="0.3">
      <c r="A37749" t="s">
        <v>0</v>
      </c>
    </row>
    <row r="37750" spans="1:1" x14ac:dyDescent="0.3">
      <c r="A37750" t="s">
        <v>0</v>
      </c>
    </row>
    <row r="37751" spans="1:1" x14ac:dyDescent="0.3">
      <c r="A37751" t="s">
        <v>0</v>
      </c>
    </row>
    <row r="37752" spans="1:1" x14ac:dyDescent="0.3">
      <c r="A37752" t="s">
        <v>0</v>
      </c>
    </row>
    <row r="37753" spans="1:1" x14ac:dyDescent="0.3">
      <c r="A37753" t="s">
        <v>0</v>
      </c>
    </row>
    <row r="37754" spans="1:1" x14ac:dyDescent="0.3">
      <c r="A37754" t="s">
        <v>0</v>
      </c>
    </row>
    <row r="37755" spans="1:1" x14ac:dyDescent="0.3">
      <c r="A37755" t="s">
        <v>0</v>
      </c>
    </row>
    <row r="37756" spans="1:1" x14ac:dyDescent="0.3">
      <c r="A37756" t="s">
        <v>0</v>
      </c>
    </row>
    <row r="37757" spans="1:1" x14ac:dyDescent="0.3">
      <c r="A37757" t="s">
        <v>0</v>
      </c>
    </row>
    <row r="37758" spans="1:1" x14ac:dyDescent="0.3">
      <c r="A37758" t="s">
        <v>0</v>
      </c>
    </row>
    <row r="37759" spans="1:1" x14ac:dyDescent="0.3">
      <c r="A37759" t="s">
        <v>0</v>
      </c>
    </row>
    <row r="37760" spans="1:1" x14ac:dyDescent="0.3">
      <c r="A37760" t="s">
        <v>0</v>
      </c>
    </row>
    <row r="37761" spans="1:1" x14ac:dyDescent="0.3">
      <c r="A37761" t="s">
        <v>0</v>
      </c>
    </row>
    <row r="37762" spans="1:1" x14ac:dyDescent="0.3">
      <c r="A37762" t="s">
        <v>0</v>
      </c>
    </row>
    <row r="37763" spans="1:1" x14ac:dyDescent="0.3">
      <c r="A37763" t="s">
        <v>0</v>
      </c>
    </row>
    <row r="37764" spans="1:1" x14ac:dyDescent="0.3">
      <c r="A37764" t="s">
        <v>0</v>
      </c>
    </row>
    <row r="37765" spans="1:1" x14ac:dyDescent="0.3">
      <c r="A37765" t="s">
        <v>0</v>
      </c>
    </row>
    <row r="37766" spans="1:1" x14ac:dyDescent="0.3">
      <c r="A37766" t="s">
        <v>0</v>
      </c>
    </row>
    <row r="37767" spans="1:1" x14ac:dyDescent="0.3">
      <c r="A37767" t="s">
        <v>0</v>
      </c>
    </row>
    <row r="37768" spans="1:1" x14ac:dyDescent="0.3">
      <c r="A37768" t="s">
        <v>0</v>
      </c>
    </row>
    <row r="37769" spans="1:1" x14ac:dyDescent="0.3">
      <c r="A37769" t="s">
        <v>0</v>
      </c>
    </row>
    <row r="37770" spans="1:1" x14ac:dyDescent="0.3">
      <c r="A37770" t="s">
        <v>0</v>
      </c>
    </row>
    <row r="37771" spans="1:1" x14ac:dyDescent="0.3">
      <c r="A37771" t="s">
        <v>0</v>
      </c>
    </row>
    <row r="37772" spans="1:1" x14ac:dyDescent="0.3">
      <c r="A37772" t="s">
        <v>0</v>
      </c>
    </row>
    <row r="37773" spans="1:1" x14ac:dyDescent="0.3">
      <c r="A37773" t="s">
        <v>0</v>
      </c>
    </row>
    <row r="37774" spans="1:1" x14ac:dyDescent="0.3">
      <c r="A37774" t="s">
        <v>0</v>
      </c>
    </row>
    <row r="37775" spans="1:1" x14ac:dyDescent="0.3">
      <c r="A37775" t="s">
        <v>0</v>
      </c>
    </row>
    <row r="37776" spans="1:1" x14ac:dyDescent="0.3">
      <c r="A37776" t="s">
        <v>0</v>
      </c>
    </row>
    <row r="37777" spans="1:1" x14ac:dyDescent="0.3">
      <c r="A37777" t="s">
        <v>0</v>
      </c>
    </row>
    <row r="37778" spans="1:1" x14ac:dyDescent="0.3">
      <c r="A37778" t="s">
        <v>0</v>
      </c>
    </row>
    <row r="37779" spans="1:1" x14ac:dyDescent="0.3">
      <c r="A37779" t="s">
        <v>0</v>
      </c>
    </row>
    <row r="37780" spans="1:1" x14ac:dyDescent="0.3">
      <c r="A37780" t="s">
        <v>0</v>
      </c>
    </row>
    <row r="37781" spans="1:1" x14ac:dyDescent="0.3">
      <c r="A37781" t="s">
        <v>0</v>
      </c>
    </row>
    <row r="37782" spans="1:1" x14ac:dyDescent="0.3">
      <c r="A37782" t="s">
        <v>0</v>
      </c>
    </row>
    <row r="37783" spans="1:1" x14ac:dyDescent="0.3">
      <c r="A37783" t="s">
        <v>0</v>
      </c>
    </row>
    <row r="37784" spans="1:1" x14ac:dyDescent="0.3">
      <c r="A37784" t="s">
        <v>0</v>
      </c>
    </row>
    <row r="37785" spans="1:1" x14ac:dyDescent="0.3">
      <c r="A37785" t="s">
        <v>0</v>
      </c>
    </row>
    <row r="37786" spans="1:1" x14ac:dyDescent="0.3">
      <c r="A37786" t="s">
        <v>0</v>
      </c>
    </row>
    <row r="37787" spans="1:1" x14ac:dyDescent="0.3">
      <c r="A37787" t="s">
        <v>0</v>
      </c>
    </row>
    <row r="37788" spans="1:1" x14ac:dyDescent="0.3">
      <c r="A37788" t="s">
        <v>0</v>
      </c>
    </row>
    <row r="37789" spans="1:1" x14ac:dyDescent="0.3">
      <c r="A37789" t="s">
        <v>0</v>
      </c>
    </row>
    <row r="37790" spans="1:1" x14ac:dyDescent="0.3">
      <c r="A37790" t="s">
        <v>0</v>
      </c>
    </row>
    <row r="37791" spans="1:1" x14ac:dyDescent="0.3">
      <c r="A37791" t="s">
        <v>0</v>
      </c>
    </row>
    <row r="37792" spans="1:1" x14ac:dyDescent="0.3">
      <c r="A37792" t="s">
        <v>0</v>
      </c>
    </row>
    <row r="37793" spans="1:1" x14ac:dyDescent="0.3">
      <c r="A37793" t="s">
        <v>0</v>
      </c>
    </row>
    <row r="37794" spans="1:1" x14ac:dyDescent="0.3">
      <c r="A37794" t="s">
        <v>0</v>
      </c>
    </row>
    <row r="37795" spans="1:1" x14ac:dyDescent="0.3">
      <c r="A37795" t="s">
        <v>0</v>
      </c>
    </row>
    <row r="37796" spans="1:1" x14ac:dyDescent="0.3">
      <c r="A37796" t="s">
        <v>0</v>
      </c>
    </row>
    <row r="37797" spans="1:1" x14ac:dyDescent="0.3">
      <c r="A37797" t="s">
        <v>0</v>
      </c>
    </row>
    <row r="37798" spans="1:1" x14ac:dyDescent="0.3">
      <c r="A37798" t="s">
        <v>0</v>
      </c>
    </row>
    <row r="37799" spans="1:1" x14ac:dyDescent="0.3">
      <c r="A37799" t="s">
        <v>0</v>
      </c>
    </row>
    <row r="37800" spans="1:1" x14ac:dyDescent="0.3">
      <c r="A37800" t="s">
        <v>0</v>
      </c>
    </row>
    <row r="37801" spans="1:1" x14ac:dyDescent="0.3">
      <c r="A37801" t="s">
        <v>0</v>
      </c>
    </row>
    <row r="37802" spans="1:1" x14ac:dyDescent="0.3">
      <c r="A37802" t="s">
        <v>0</v>
      </c>
    </row>
    <row r="37803" spans="1:1" x14ac:dyDescent="0.3">
      <c r="A37803" t="s">
        <v>0</v>
      </c>
    </row>
    <row r="37804" spans="1:1" x14ac:dyDescent="0.3">
      <c r="A37804" t="s">
        <v>0</v>
      </c>
    </row>
    <row r="37805" spans="1:1" x14ac:dyDescent="0.3">
      <c r="A37805" t="s">
        <v>0</v>
      </c>
    </row>
    <row r="37806" spans="1:1" x14ac:dyDescent="0.3">
      <c r="A37806" t="s">
        <v>0</v>
      </c>
    </row>
    <row r="37807" spans="1:1" x14ac:dyDescent="0.3">
      <c r="A37807" t="s">
        <v>0</v>
      </c>
    </row>
    <row r="37808" spans="1:1" x14ac:dyDescent="0.3">
      <c r="A37808" t="s">
        <v>0</v>
      </c>
    </row>
    <row r="37809" spans="1:1" x14ac:dyDescent="0.3">
      <c r="A37809" t="s">
        <v>0</v>
      </c>
    </row>
    <row r="37810" spans="1:1" x14ac:dyDescent="0.3">
      <c r="A37810" t="s">
        <v>0</v>
      </c>
    </row>
    <row r="37811" spans="1:1" x14ac:dyDescent="0.3">
      <c r="A37811" t="s">
        <v>0</v>
      </c>
    </row>
    <row r="37812" spans="1:1" x14ac:dyDescent="0.3">
      <c r="A37812" t="s">
        <v>0</v>
      </c>
    </row>
    <row r="37813" spans="1:1" x14ac:dyDescent="0.3">
      <c r="A37813" t="s">
        <v>0</v>
      </c>
    </row>
    <row r="37814" spans="1:1" x14ac:dyDescent="0.3">
      <c r="A37814" t="s">
        <v>0</v>
      </c>
    </row>
    <row r="37815" spans="1:1" x14ac:dyDescent="0.3">
      <c r="A37815" t="s">
        <v>0</v>
      </c>
    </row>
    <row r="37816" spans="1:1" x14ac:dyDescent="0.3">
      <c r="A37816" t="s">
        <v>0</v>
      </c>
    </row>
    <row r="37817" spans="1:1" x14ac:dyDescent="0.3">
      <c r="A37817" t="s">
        <v>0</v>
      </c>
    </row>
    <row r="37818" spans="1:1" x14ac:dyDescent="0.3">
      <c r="A37818" t="s">
        <v>0</v>
      </c>
    </row>
    <row r="37819" spans="1:1" x14ac:dyDescent="0.3">
      <c r="A37819" t="s">
        <v>0</v>
      </c>
    </row>
    <row r="37820" spans="1:1" x14ac:dyDescent="0.3">
      <c r="A37820" t="s">
        <v>0</v>
      </c>
    </row>
    <row r="37821" spans="1:1" x14ac:dyDescent="0.3">
      <c r="A37821" t="s">
        <v>0</v>
      </c>
    </row>
    <row r="37822" spans="1:1" x14ac:dyDescent="0.3">
      <c r="A37822" t="s">
        <v>0</v>
      </c>
    </row>
    <row r="37823" spans="1:1" x14ac:dyDescent="0.3">
      <c r="A37823" t="s">
        <v>0</v>
      </c>
    </row>
    <row r="37824" spans="1:1" x14ac:dyDescent="0.3">
      <c r="A37824" t="s">
        <v>0</v>
      </c>
    </row>
    <row r="37825" spans="1:1" x14ac:dyDescent="0.3">
      <c r="A37825" t="s">
        <v>0</v>
      </c>
    </row>
    <row r="37826" spans="1:1" x14ac:dyDescent="0.3">
      <c r="A37826" t="s">
        <v>0</v>
      </c>
    </row>
    <row r="37827" spans="1:1" x14ac:dyDescent="0.3">
      <c r="A37827" t="s">
        <v>0</v>
      </c>
    </row>
    <row r="37828" spans="1:1" x14ac:dyDescent="0.3">
      <c r="A37828" t="s">
        <v>0</v>
      </c>
    </row>
    <row r="37829" spans="1:1" x14ac:dyDescent="0.3">
      <c r="A37829" t="s">
        <v>0</v>
      </c>
    </row>
    <row r="37830" spans="1:1" x14ac:dyDescent="0.3">
      <c r="A37830" t="s">
        <v>0</v>
      </c>
    </row>
    <row r="37831" spans="1:1" x14ac:dyDescent="0.3">
      <c r="A37831" t="s">
        <v>0</v>
      </c>
    </row>
    <row r="37832" spans="1:1" x14ac:dyDescent="0.3">
      <c r="A37832" t="s">
        <v>0</v>
      </c>
    </row>
    <row r="37833" spans="1:1" x14ac:dyDescent="0.3">
      <c r="A37833" t="s">
        <v>0</v>
      </c>
    </row>
    <row r="37834" spans="1:1" x14ac:dyDescent="0.3">
      <c r="A37834" t="s">
        <v>0</v>
      </c>
    </row>
    <row r="37835" spans="1:1" x14ac:dyDescent="0.3">
      <c r="A37835" t="s">
        <v>0</v>
      </c>
    </row>
    <row r="37836" spans="1:1" x14ac:dyDescent="0.3">
      <c r="A37836" t="s">
        <v>0</v>
      </c>
    </row>
    <row r="37837" spans="1:1" x14ac:dyDescent="0.3">
      <c r="A37837" t="s">
        <v>0</v>
      </c>
    </row>
    <row r="37838" spans="1:1" x14ac:dyDescent="0.3">
      <c r="A37838" t="s">
        <v>0</v>
      </c>
    </row>
    <row r="37839" spans="1:1" x14ac:dyDescent="0.3">
      <c r="A37839" t="s">
        <v>0</v>
      </c>
    </row>
    <row r="37840" spans="1:1" x14ac:dyDescent="0.3">
      <c r="A37840" t="s">
        <v>0</v>
      </c>
    </row>
    <row r="37841" spans="1:1" x14ac:dyDescent="0.3">
      <c r="A37841" t="s">
        <v>0</v>
      </c>
    </row>
    <row r="37842" spans="1:1" x14ac:dyDescent="0.3">
      <c r="A37842" t="s">
        <v>0</v>
      </c>
    </row>
    <row r="37843" spans="1:1" x14ac:dyDescent="0.3">
      <c r="A37843" t="s">
        <v>0</v>
      </c>
    </row>
    <row r="37844" spans="1:1" x14ac:dyDescent="0.3">
      <c r="A37844" t="s">
        <v>0</v>
      </c>
    </row>
    <row r="37845" spans="1:1" x14ac:dyDescent="0.3">
      <c r="A37845" t="s">
        <v>0</v>
      </c>
    </row>
    <row r="37846" spans="1:1" x14ac:dyDescent="0.3">
      <c r="A37846" t="s">
        <v>0</v>
      </c>
    </row>
    <row r="37847" spans="1:1" x14ac:dyDescent="0.3">
      <c r="A37847" t="s">
        <v>0</v>
      </c>
    </row>
    <row r="37848" spans="1:1" x14ac:dyDescent="0.3">
      <c r="A37848" t="s">
        <v>0</v>
      </c>
    </row>
    <row r="37849" spans="1:1" x14ac:dyDescent="0.3">
      <c r="A37849" t="s">
        <v>0</v>
      </c>
    </row>
    <row r="37850" spans="1:1" x14ac:dyDescent="0.3">
      <c r="A37850" t="s">
        <v>0</v>
      </c>
    </row>
    <row r="37851" spans="1:1" x14ac:dyDescent="0.3">
      <c r="A37851" t="s">
        <v>0</v>
      </c>
    </row>
    <row r="37852" spans="1:1" x14ac:dyDescent="0.3">
      <c r="A37852" t="s">
        <v>0</v>
      </c>
    </row>
    <row r="37853" spans="1:1" x14ac:dyDescent="0.3">
      <c r="A37853" t="s">
        <v>0</v>
      </c>
    </row>
    <row r="37854" spans="1:1" x14ac:dyDescent="0.3">
      <c r="A37854" t="s">
        <v>0</v>
      </c>
    </row>
    <row r="37855" spans="1:1" x14ac:dyDescent="0.3">
      <c r="A37855" t="s">
        <v>0</v>
      </c>
    </row>
    <row r="37856" spans="1:1" x14ac:dyDescent="0.3">
      <c r="A37856" t="s">
        <v>0</v>
      </c>
    </row>
    <row r="37857" spans="1:1" x14ac:dyDescent="0.3">
      <c r="A37857" t="s">
        <v>0</v>
      </c>
    </row>
    <row r="37858" spans="1:1" x14ac:dyDescent="0.3">
      <c r="A37858" t="s">
        <v>0</v>
      </c>
    </row>
    <row r="37859" spans="1:1" x14ac:dyDescent="0.3">
      <c r="A37859" t="s">
        <v>0</v>
      </c>
    </row>
    <row r="37860" spans="1:1" x14ac:dyDescent="0.3">
      <c r="A37860" t="s">
        <v>0</v>
      </c>
    </row>
    <row r="37861" spans="1:1" x14ac:dyDescent="0.3">
      <c r="A37861" t="s">
        <v>0</v>
      </c>
    </row>
    <row r="37862" spans="1:1" x14ac:dyDescent="0.3">
      <c r="A37862" t="s">
        <v>0</v>
      </c>
    </row>
    <row r="37863" spans="1:1" x14ac:dyDescent="0.3">
      <c r="A37863" t="s">
        <v>0</v>
      </c>
    </row>
    <row r="37864" spans="1:1" x14ac:dyDescent="0.3">
      <c r="A37864" t="s">
        <v>0</v>
      </c>
    </row>
    <row r="37865" spans="1:1" x14ac:dyDescent="0.3">
      <c r="A37865" t="s">
        <v>0</v>
      </c>
    </row>
    <row r="37866" spans="1:1" x14ac:dyDescent="0.3">
      <c r="A37866" t="s">
        <v>0</v>
      </c>
    </row>
    <row r="37867" spans="1:1" x14ac:dyDescent="0.3">
      <c r="A37867" t="s">
        <v>0</v>
      </c>
    </row>
    <row r="37868" spans="1:1" x14ac:dyDescent="0.3">
      <c r="A37868" t="s">
        <v>0</v>
      </c>
    </row>
    <row r="37869" spans="1:1" x14ac:dyDescent="0.3">
      <c r="A37869" t="s">
        <v>0</v>
      </c>
    </row>
    <row r="37870" spans="1:1" x14ac:dyDescent="0.3">
      <c r="A37870" t="s">
        <v>0</v>
      </c>
    </row>
    <row r="37871" spans="1:1" x14ac:dyDescent="0.3">
      <c r="A37871" t="s">
        <v>0</v>
      </c>
    </row>
    <row r="37872" spans="1:1" x14ac:dyDescent="0.3">
      <c r="A37872" t="s">
        <v>0</v>
      </c>
    </row>
    <row r="37873" spans="1:1" x14ac:dyDescent="0.3">
      <c r="A37873" t="s">
        <v>0</v>
      </c>
    </row>
    <row r="37874" spans="1:1" x14ac:dyDescent="0.3">
      <c r="A37874" t="s">
        <v>0</v>
      </c>
    </row>
    <row r="37875" spans="1:1" x14ac:dyDescent="0.3">
      <c r="A37875" t="s">
        <v>0</v>
      </c>
    </row>
    <row r="37876" spans="1:1" x14ac:dyDescent="0.3">
      <c r="A37876" t="s">
        <v>0</v>
      </c>
    </row>
    <row r="37877" spans="1:1" x14ac:dyDescent="0.3">
      <c r="A37877" t="s">
        <v>0</v>
      </c>
    </row>
    <row r="37878" spans="1:1" x14ac:dyDescent="0.3">
      <c r="A37878" t="s">
        <v>0</v>
      </c>
    </row>
    <row r="37879" spans="1:1" x14ac:dyDescent="0.3">
      <c r="A37879" t="s">
        <v>0</v>
      </c>
    </row>
    <row r="37880" spans="1:1" x14ac:dyDescent="0.3">
      <c r="A37880" t="s">
        <v>0</v>
      </c>
    </row>
    <row r="37881" spans="1:1" x14ac:dyDescent="0.3">
      <c r="A37881" t="s">
        <v>0</v>
      </c>
    </row>
    <row r="37882" spans="1:1" x14ac:dyDescent="0.3">
      <c r="A37882" t="s">
        <v>0</v>
      </c>
    </row>
    <row r="37883" spans="1:1" x14ac:dyDescent="0.3">
      <c r="A37883" t="s">
        <v>0</v>
      </c>
    </row>
    <row r="37884" spans="1:1" x14ac:dyDescent="0.3">
      <c r="A37884" t="s">
        <v>0</v>
      </c>
    </row>
    <row r="37885" spans="1:1" x14ac:dyDescent="0.3">
      <c r="A37885" t="s">
        <v>0</v>
      </c>
    </row>
    <row r="37886" spans="1:1" x14ac:dyDescent="0.3">
      <c r="A37886" t="s">
        <v>0</v>
      </c>
    </row>
    <row r="37887" spans="1:1" x14ac:dyDescent="0.3">
      <c r="A37887" t="s">
        <v>0</v>
      </c>
    </row>
    <row r="37888" spans="1:1" x14ac:dyDescent="0.3">
      <c r="A37888" t="s">
        <v>0</v>
      </c>
    </row>
    <row r="37889" spans="1:1" x14ac:dyDescent="0.3">
      <c r="A37889" t="s">
        <v>0</v>
      </c>
    </row>
    <row r="37890" spans="1:1" x14ac:dyDescent="0.3">
      <c r="A37890" t="s">
        <v>0</v>
      </c>
    </row>
    <row r="37891" spans="1:1" x14ac:dyDescent="0.3">
      <c r="A37891" t="s">
        <v>0</v>
      </c>
    </row>
    <row r="37892" spans="1:1" x14ac:dyDescent="0.3">
      <c r="A37892" t="s">
        <v>0</v>
      </c>
    </row>
    <row r="37893" spans="1:1" x14ac:dyDescent="0.3">
      <c r="A37893" t="s">
        <v>0</v>
      </c>
    </row>
    <row r="37894" spans="1:1" x14ac:dyDescent="0.3">
      <c r="A37894" t="s">
        <v>0</v>
      </c>
    </row>
    <row r="37895" spans="1:1" x14ac:dyDescent="0.3">
      <c r="A37895" t="s">
        <v>0</v>
      </c>
    </row>
    <row r="37896" spans="1:1" x14ac:dyDescent="0.3">
      <c r="A37896" t="s">
        <v>0</v>
      </c>
    </row>
    <row r="37897" spans="1:1" x14ac:dyDescent="0.3">
      <c r="A37897" t="s">
        <v>0</v>
      </c>
    </row>
    <row r="37898" spans="1:1" x14ac:dyDescent="0.3">
      <c r="A37898" t="s">
        <v>0</v>
      </c>
    </row>
    <row r="37899" spans="1:1" x14ac:dyDescent="0.3">
      <c r="A37899" t="s">
        <v>0</v>
      </c>
    </row>
    <row r="37900" spans="1:1" x14ac:dyDescent="0.3">
      <c r="A37900" t="s">
        <v>0</v>
      </c>
    </row>
    <row r="37901" spans="1:1" x14ac:dyDescent="0.3">
      <c r="A37901" t="s">
        <v>0</v>
      </c>
    </row>
    <row r="37902" spans="1:1" x14ac:dyDescent="0.3">
      <c r="A37902" t="s">
        <v>0</v>
      </c>
    </row>
    <row r="37903" spans="1:1" x14ac:dyDescent="0.3">
      <c r="A37903" t="s">
        <v>0</v>
      </c>
    </row>
    <row r="37904" spans="1:1" x14ac:dyDescent="0.3">
      <c r="A37904" t="s">
        <v>0</v>
      </c>
    </row>
    <row r="37905" spans="1:1" x14ac:dyDescent="0.3">
      <c r="A37905" t="s">
        <v>0</v>
      </c>
    </row>
    <row r="37906" spans="1:1" x14ac:dyDescent="0.3">
      <c r="A37906" t="s">
        <v>0</v>
      </c>
    </row>
    <row r="37907" spans="1:1" x14ac:dyDescent="0.3">
      <c r="A37907" t="s">
        <v>0</v>
      </c>
    </row>
    <row r="37908" spans="1:1" x14ac:dyDescent="0.3">
      <c r="A37908" t="s">
        <v>0</v>
      </c>
    </row>
    <row r="37909" spans="1:1" x14ac:dyDescent="0.3">
      <c r="A37909" t="s">
        <v>0</v>
      </c>
    </row>
    <row r="37910" spans="1:1" x14ac:dyDescent="0.3">
      <c r="A37910" t="s">
        <v>0</v>
      </c>
    </row>
    <row r="37911" spans="1:1" x14ac:dyDescent="0.3">
      <c r="A37911" t="s">
        <v>0</v>
      </c>
    </row>
    <row r="37912" spans="1:1" x14ac:dyDescent="0.3">
      <c r="A37912" t="s">
        <v>0</v>
      </c>
    </row>
    <row r="37913" spans="1:1" x14ac:dyDescent="0.3">
      <c r="A37913" t="s">
        <v>0</v>
      </c>
    </row>
    <row r="37914" spans="1:1" x14ac:dyDescent="0.3">
      <c r="A37914" t="s">
        <v>0</v>
      </c>
    </row>
    <row r="37915" spans="1:1" x14ac:dyDescent="0.3">
      <c r="A37915" t="s">
        <v>0</v>
      </c>
    </row>
    <row r="37916" spans="1:1" x14ac:dyDescent="0.3">
      <c r="A37916" t="s">
        <v>0</v>
      </c>
    </row>
    <row r="37917" spans="1:1" x14ac:dyDescent="0.3">
      <c r="A37917" t="s">
        <v>0</v>
      </c>
    </row>
    <row r="37918" spans="1:1" x14ac:dyDescent="0.3">
      <c r="A37918" t="s">
        <v>0</v>
      </c>
    </row>
    <row r="37919" spans="1:1" x14ac:dyDescent="0.3">
      <c r="A37919" t="s">
        <v>0</v>
      </c>
    </row>
    <row r="37920" spans="1:1" x14ac:dyDescent="0.3">
      <c r="A37920" t="s">
        <v>0</v>
      </c>
    </row>
    <row r="37921" spans="1:1" x14ac:dyDescent="0.3">
      <c r="A37921" t="s">
        <v>0</v>
      </c>
    </row>
    <row r="37922" spans="1:1" x14ac:dyDescent="0.3">
      <c r="A37922" t="s">
        <v>0</v>
      </c>
    </row>
    <row r="37923" spans="1:1" x14ac:dyDescent="0.3">
      <c r="A37923" t="s">
        <v>0</v>
      </c>
    </row>
    <row r="37924" spans="1:1" x14ac:dyDescent="0.3">
      <c r="A37924" t="s">
        <v>0</v>
      </c>
    </row>
    <row r="37925" spans="1:1" x14ac:dyDescent="0.3">
      <c r="A37925" t="s">
        <v>0</v>
      </c>
    </row>
    <row r="37926" spans="1:1" x14ac:dyDescent="0.3">
      <c r="A37926" t="s">
        <v>0</v>
      </c>
    </row>
    <row r="37927" spans="1:1" x14ac:dyDescent="0.3">
      <c r="A37927" t="s">
        <v>0</v>
      </c>
    </row>
    <row r="37928" spans="1:1" x14ac:dyDescent="0.3">
      <c r="A37928" t="s">
        <v>0</v>
      </c>
    </row>
    <row r="37929" spans="1:1" x14ac:dyDescent="0.3">
      <c r="A37929" t="s">
        <v>0</v>
      </c>
    </row>
    <row r="37930" spans="1:1" x14ac:dyDescent="0.3">
      <c r="A37930" t="s">
        <v>0</v>
      </c>
    </row>
    <row r="37931" spans="1:1" x14ac:dyDescent="0.3">
      <c r="A37931" t="s">
        <v>0</v>
      </c>
    </row>
    <row r="37932" spans="1:1" x14ac:dyDescent="0.3">
      <c r="A37932" t="s">
        <v>0</v>
      </c>
    </row>
    <row r="37933" spans="1:1" x14ac:dyDescent="0.3">
      <c r="A37933" t="s">
        <v>0</v>
      </c>
    </row>
    <row r="37934" spans="1:1" x14ac:dyDescent="0.3">
      <c r="A37934" t="s">
        <v>0</v>
      </c>
    </row>
    <row r="37935" spans="1:1" x14ac:dyDescent="0.3">
      <c r="A37935" t="s">
        <v>0</v>
      </c>
    </row>
    <row r="37936" spans="1:1" x14ac:dyDescent="0.3">
      <c r="A37936" t="s">
        <v>0</v>
      </c>
    </row>
    <row r="37937" spans="1:1" x14ac:dyDescent="0.3">
      <c r="A37937" t="s">
        <v>0</v>
      </c>
    </row>
    <row r="37938" spans="1:1" x14ac:dyDescent="0.3">
      <c r="A37938" t="s">
        <v>0</v>
      </c>
    </row>
    <row r="37939" spans="1:1" x14ac:dyDescent="0.3">
      <c r="A37939" t="s">
        <v>0</v>
      </c>
    </row>
    <row r="37940" spans="1:1" x14ac:dyDescent="0.3">
      <c r="A37940" t="s">
        <v>0</v>
      </c>
    </row>
    <row r="37941" spans="1:1" x14ac:dyDescent="0.3">
      <c r="A37941" t="s">
        <v>0</v>
      </c>
    </row>
    <row r="37942" spans="1:1" x14ac:dyDescent="0.3">
      <c r="A37942" t="s">
        <v>0</v>
      </c>
    </row>
    <row r="37943" spans="1:1" x14ac:dyDescent="0.3">
      <c r="A37943" t="s">
        <v>0</v>
      </c>
    </row>
    <row r="37944" spans="1:1" x14ac:dyDescent="0.3">
      <c r="A37944" t="s">
        <v>0</v>
      </c>
    </row>
    <row r="37945" spans="1:1" x14ac:dyDescent="0.3">
      <c r="A37945" t="s">
        <v>0</v>
      </c>
    </row>
    <row r="37946" spans="1:1" x14ac:dyDescent="0.3">
      <c r="A37946" t="s">
        <v>0</v>
      </c>
    </row>
    <row r="37947" spans="1:1" x14ac:dyDescent="0.3">
      <c r="A37947" t="s">
        <v>0</v>
      </c>
    </row>
    <row r="37948" spans="1:1" x14ac:dyDescent="0.3">
      <c r="A37948" t="s">
        <v>0</v>
      </c>
    </row>
    <row r="37949" spans="1:1" x14ac:dyDescent="0.3">
      <c r="A37949" t="s">
        <v>0</v>
      </c>
    </row>
    <row r="37950" spans="1:1" x14ac:dyDescent="0.3">
      <c r="A37950" t="s">
        <v>0</v>
      </c>
    </row>
    <row r="37951" spans="1:1" x14ac:dyDescent="0.3">
      <c r="A37951" t="s">
        <v>0</v>
      </c>
    </row>
    <row r="37952" spans="1:1" x14ac:dyDescent="0.3">
      <c r="A37952" t="s">
        <v>0</v>
      </c>
    </row>
    <row r="37953" spans="1:1" x14ac:dyDescent="0.3">
      <c r="A37953" t="s">
        <v>0</v>
      </c>
    </row>
    <row r="37954" spans="1:1" x14ac:dyDescent="0.3">
      <c r="A37954" t="s">
        <v>0</v>
      </c>
    </row>
    <row r="37955" spans="1:1" x14ac:dyDescent="0.3">
      <c r="A37955" t="s">
        <v>0</v>
      </c>
    </row>
    <row r="37956" spans="1:1" x14ac:dyDescent="0.3">
      <c r="A37956" t="s">
        <v>0</v>
      </c>
    </row>
    <row r="37957" spans="1:1" x14ac:dyDescent="0.3">
      <c r="A37957" t="s">
        <v>0</v>
      </c>
    </row>
    <row r="37958" spans="1:1" x14ac:dyDescent="0.3">
      <c r="A37958" t="s">
        <v>0</v>
      </c>
    </row>
    <row r="37959" spans="1:1" x14ac:dyDescent="0.3">
      <c r="A37959" t="s">
        <v>0</v>
      </c>
    </row>
    <row r="37960" spans="1:1" x14ac:dyDescent="0.3">
      <c r="A37960" t="s">
        <v>0</v>
      </c>
    </row>
    <row r="37961" spans="1:1" x14ac:dyDescent="0.3">
      <c r="A37961" t="s">
        <v>0</v>
      </c>
    </row>
    <row r="37962" spans="1:1" x14ac:dyDescent="0.3">
      <c r="A37962" t="s">
        <v>0</v>
      </c>
    </row>
    <row r="37963" spans="1:1" x14ac:dyDescent="0.3">
      <c r="A37963" t="s">
        <v>0</v>
      </c>
    </row>
    <row r="37964" spans="1:1" x14ac:dyDescent="0.3">
      <c r="A37964" t="s">
        <v>0</v>
      </c>
    </row>
    <row r="37965" spans="1:1" x14ac:dyDescent="0.3">
      <c r="A37965" t="s">
        <v>0</v>
      </c>
    </row>
    <row r="37966" spans="1:1" x14ac:dyDescent="0.3">
      <c r="A37966" t="s">
        <v>0</v>
      </c>
    </row>
    <row r="37967" spans="1:1" x14ac:dyDescent="0.3">
      <c r="A37967" t="s">
        <v>0</v>
      </c>
    </row>
    <row r="37968" spans="1:1" x14ac:dyDescent="0.3">
      <c r="A37968" t="s">
        <v>0</v>
      </c>
    </row>
    <row r="37969" spans="1:1" x14ac:dyDescent="0.3">
      <c r="A37969" t="s">
        <v>0</v>
      </c>
    </row>
    <row r="37970" spans="1:1" x14ac:dyDescent="0.3">
      <c r="A37970" t="s">
        <v>0</v>
      </c>
    </row>
    <row r="37971" spans="1:1" x14ac:dyDescent="0.3">
      <c r="A37971" t="s">
        <v>0</v>
      </c>
    </row>
    <row r="37972" spans="1:1" x14ac:dyDescent="0.3">
      <c r="A37972" t="s">
        <v>0</v>
      </c>
    </row>
    <row r="37973" spans="1:1" x14ac:dyDescent="0.3">
      <c r="A37973" t="s">
        <v>0</v>
      </c>
    </row>
    <row r="37974" spans="1:1" x14ac:dyDescent="0.3">
      <c r="A37974" t="s">
        <v>0</v>
      </c>
    </row>
    <row r="37975" spans="1:1" x14ac:dyDescent="0.3">
      <c r="A37975" t="s">
        <v>0</v>
      </c>
    </row>
    <row r="37976" spans="1:1" x14ac:dyDescent="0.3">
      <c r="A37976" t="s">
        <v>0</v>
      </c>
    </row>
    <row r="37977" spans="1:1" x14ac:dyDescent="0.3">
      <c r="A37977" t="s">
        <v>0</v>
      </c>
    </row>
    <row r="37978" spans="1:1" x14ac:dyDescent="0.3">
      <c r="A37978" t="s">
        <v>0</v>
      </c>
    </row>
    <row r="37979" spans="1:1" x14ac:dyDescent="0.3">
      <c r="A37979" t="s">
        <v>0</v>
      </c>
    </row>
    <row r="37980" spans="1:1" x14ac:dyDescent="0.3">
      <c r="A37980" t="s">
        <v>0</v>
      </c>
    </row>
    <row r="37981" spans="1:1" x14ac:dyDescent="0.3">
      <c r="A37981" t="s">
        <v>0</v>
      </c>
    </row>
    <row r="37982" spans="1:1" x14ac:dyDescent="0.3">
      <c r="A37982" t="s">
        <v>0</v>
      </c>
    </row>
    <row r="37983" spans="1:1" x14ac:dyDescent="0.3">
      <c r="A37983" t="s">
        <v>0</v>
      </c>
    </row>
    <row r="37984" spans="1:1" x14ac:dyDescent="0.3">
      <c r="A37984" t="s">
        <v>0</v>
      </c>
    </row>
    <row r="37985" spans="1:1" x14ac:dyDescent="0.3">
      <c r="A37985" t="s">
        <v>0</v>
      </c>
    </row>
    <row r="37986" spans="1:1" x14ac:dyDescent="0.3">
      <c r="A37986" t="s">
        <v>0</v>
      </c>
    </row>
    <row r="37987" spans="1:1" x14ac:dyDescent="0.3">
      <c r="A37987" t="s">
        <v>0</v>
      </c>
    </row>
    <row r="37988" spans="1:1" x14ac:dyDescent="0.3">
      <c r="A37988" t="s">
        <v>0</v>
      </c>
    </row>
    <row r="37989" spans="1:1" x14ac:dyDescent="0.3">
      <c r="A37989" t="s">
        <v>0</v>
      </c>
    </row>
    <row r="37990" spans="1:1" x14ac:dyDescent="0.3">
      <c r="A37990" t="s">
        <v>0</v>
      </c>
    </row>
    <row r="37991" spans="1:1" x14ac:dyDescent="0.3">
      <c r="A37991" t="s">
        <v>0</v>
      </c>
    </row>
    <row r="37992" spans="1:1" x14ac:dyDescent="0.3">
      <c r="A37992" t="s">
        <v>0</v>
      </c>
    </row>
    <row r="37993" spans="1:1" x14ac:dyDescent="0.3">
      <c r="A37993" t="s">
        <v>0</v>
      </c>
    </row>
    <row r="37994" spans="1:1" x14ac:dyDescent="0.3">
      <c r="A37994" t="s">
        <v>0</v>
      </c>
    </row>
    <row r="37995" spans="1:1" x14ac:dyDescent="0.3">
      <c r="A37995" t="s">
        <v>0</v>
      </c>
    </row>
    <row r="37996" spans="1:1" x14ac:dyDescent="0.3">
      <c r="A37996" t="s">
        <v>0</v>
      </c>
    </row>
    <row r="37997" spans="1:1" x14ac:dyDescent="0.3">
      <c r="A37997" t="s">
        <v>0</v>
      </c>
    </row>
    <row r="37998" spans="1:1" x14ac:dyDescent="0.3">
      <c r="A37998" t="s">
        <v>0</v>
      </c>
    </row>
    <row r="37999" spans="1:1" x14ac:dyDescent="0.3">
      <c r="A37999" t="s">
        <v>0</v>
      </c>
    </row>
    <row r="38000" spans="1:1" x14ac:dyDescent="0.3">
      <c r="A38000" t="s">
        <v>0</v>
      </c>
    </row>
    <row r="38001" spans="1:1" x14ac:dyDescent="0.3">
      <c r="A38001" t="s">
        <v>0</v>
      </c>
    </row>
    <row r="38002" spans="1:1" x14ac:dyDescent="0.3">
      <c r="A38002" t="s">
        <v>0</v>
      </c>
    </row>
    <row r="38003" spans="1:1" x14ac:dyDescent="0.3">
      <c r="A38003" t="s">
        <v>0</v>
      </c>
    </row>
    <row r="38004" spans="1:1" x14ac:dyDescent="0.3">
      <c r="A38004" t="s">
        <v>0</v>
      </c>
    </row>
    <row r="38005" spans="1:1" x14ac:dyDescent="0.3">
      <c r="A38005" t="s">
        <v>0</v>
      </c>
    </row>
    <row r="38006" spans="1:1" x14ac:dyDescent="0.3">
      <c r="A38006" t="s">
        <v>0</v>
      </c>
    </row>
    <row r="38007" spans="1:1" x14ac:dyDescent="0.3">
      <c r="A38007" t="s">
        <v>0</v>
      </c>
    </row>
    <row r="38008" spans="1:1" x14ac:dyDescent="0.3">
      <c r="A38008" t="s">
        <v>0</v>
      </c>
    </row>
    <row r="38009" spans="1:1" x14ac:dyDescent="0.3">
      <c r="A38009" t="s">
        <v>0</v>
      </c>
    </row>
    <row r="38010" spans="1:1" x14ac:dyDescent="0.3">
      <c r="A38010" t="s">
        <v>0</v>
      </c>
    </row>
    <row r="38011" spans="1:1" x14ac:dyDescent="0.3">
      <c r="A38011" t="s">
        <v>0</v>
      </c>
    </row>
    <row r="38012" spans="1:1" x14ac:dyDescent="0.3">
      <c r="A38012" t="s">
        <v>0</v>
      </c>
    </row>
    <row r="38013" spans="1:1" x14ac:dyDescent="0.3">
      <c r="A38013" t="s">
        <v>0</v>
      </c>
    </row>
    <row r="38014" spans="1:1" x14ac:dyDescent="0.3">
      <c r="A38014" t="s">
        <v>0</v>
      </c>
    </row>
    <row r="38015" spans="1:1" x14ac:dyDescent="0.3">
      <c r="A38015" t="s">
        <v>0</v>
      </c>
    </row>
    <row r="38016" spans="1:1" x14ac:dyDescent="0.3">
      <c r="A38016" t="s">
        <v>0</v>
      </c>
    </row>
    <row r="38017" spans="1:1" x14ac:dyDescent="0.3">
      <c r="A38017" t="s">
        <v>0</v>
      </c>
    </row>
    <row r="38018" spans="1:1" x14ac:dyDescent="0.3">
      <c r="A38018" t="s">
        <v>0</v>
      </c>
    </row>
    <row r="38019" spans="1:1" x14ac:dyDescent="0.3">
      <c r="A38019" t="s">
        <v>0</v>
      </c>
    </row>
    <row r="38020" spans="1:1" x14ac:dyDescent="0.3">
      <c r="A38020" t="s">
        <v>0</v>
      </c>
    </row>
    <row r="38021" spans="1:1" x14ac:dyDescent="0.3">
      <c r="A38021" t="s">
        <v>0</v>
      </c>
    </row>
    <row r="38022" spans="1:1" x14ac:dyDescent="0.3">
      <c r="A38022" t="s">
        <v>0</v>
      </c>
    </row>
    <row r="38023" spans="1:1" x14ac:dyDescent="0.3">
      <c r="A38023" t="s">
        <v>0</v>
      </c>
    </row>
    <row r="38024" spans="1:1" x14ac:dyDescent="0.3">
      <c r="A38024" t="s">
        <v>0</v>
      </c>
    </row>
    <row r="38025" spans="1:1" x14ac:dyDescent="0.3">
      <c r="A38025" t="s">
        <v>0</v>
      </c>
    </row>
    <row r="38026" spans="1:1" x14ac:dyDescent="0.3">
      <c r="A38026" t="s">
        <v>0</v>
      </c>
    </row>
    <row r="38027" spans="1:1" x14ac:dyDescent="0.3">
      <c r="A38027" t="s">
        <v>0</v>
      </c>
    </row>
    <row r="38028" spans="1:1" x14ac:dyDescent="0.3">
      <c r="A38028" t="s">
        <v>0</v>
      </c>
    </row>
    <row r="38029" spans="1:1" x14ac:dyDescent="0.3">
      <c r="A38029" t="s">
        <v>0</v>
      </c>
    </row>
    <row r="38030" spans="1:1" x14ac:dyDescent="0.3">
      <c r="A38030" t="s">
        <v>0</v>
      </c>
    </row>
    <row r="38031" spans="1:1" x14ac:dyDescent="0.3">
      <c r="A38031" t="s">
        <v>0</v>
      </c>
    </row>
    <row r="38032" spans="1:1" x14ac:dyDescent="0.3">
      <c r="A38032" t="s">
        <v>0</v>
      </c>
    </row>
    <row r="38033" spans="1:1" x14ac:dyDescent="0.3">
      <c r="A38033" t="s">
        <v>0</v>
      </c>
    </row>
    <row r="38034" spans="1:1" x14ac:dyDescent="0.3">
      <c r="A38034" t="s">
        <v>0</v>
      </c>
    </row>
    <row r="38035" spans="1:1" x14ac:dyDescent="0.3">
      <c r="A38035" t="s">
        <v>0</v>
      </c>
    </row>
    <row r="38036" spans="1:1" x14ac:dyDescent="0.3">
      <c r="A38036" t="s">
        <v>0</v>
      </c>
    </row>
    <row r="38037" spans="1:1" x14ac:dyDescent="0.3">
      <c r="A38037" t="s">
        <v>0</v>
      </c>
    </row>
    <row r="38038" spans="1:1" x14ac:dyDescent="0.3">
      <c r="A38038" t="s">
        <v>0</v>
      </c>
    </row>
    <row r="38039" spans="1:1" x14ac:dyDescent="0.3">
      <c r="A38039" t="s">
        <v>0</v>
      </c>
    </row>
    <row r="38040" spans="1:1" x14ac:dyDescent="0.3">
      <c r="A38040" t="s">
        <v>0</v>
      </c>
    </row>
    <row r="38041" spans="1:1" x14ac:dyDescent="0.3">
      <c r="A38041" t="s">
        <v>0</v>
      </c>
    </row>
    <row r="38042" spans="1:1" x14ac:dyDescent="0.3">
      <c r="A38042" t="s">
        <v>0</v>
      </c>
    </row>
    <row r="38043" spans="1:1" x14ac:dyDescent="0.3">
      <c r="A38043" t="s">
        <v>0</v>
      </c>
    </row>
    <row r="38044" spans="1:1" x14ac:dyDescent="0.3">
      <c r="A38044" t="s">
        <v>0</v>
      </c>
    </row>
    <row r="38045" spans="1:1" x14ac:dyDescent="0.3">
      <c r="A38045" t="s">
        <v>0</v>
      </c>
    </row>
    <row r="38046" spans="1:1" x14ac:dyDescent="0.3">
      <c r="A38046" t="s">
        <v>0</v>
      </c>
    </row>
    <row r="38047" spans="1:1" x14ac:dyDescent="0.3">
      <c r="A38047" t="s">
        <v>0</v>
      </c>
    </row>
    <row r="38048" spans="1:1" x14ac:dyDescent="0.3">
      <c r="A38048" t="s">
        <v>0</v>
      </c>
    </row>
    <row r="38049" spans="1:1" x14ac:dyDescent="0.3">
      <c r="A38049" t="s">
        <v>0</v>
      </c>
    </row>
    <row r="38050" spans="1:1" x14ac:dyDescent="0.3">
      <c r="A38050" t="s">
        <v>0</v>
      </c>
    </row>
    <row r="38051" spans="1:1" x14ac:dyDescent="0.3">
      <c r="A38051" t="s">
        <v>0</v>
      </c>
    </row>
    <row r="38052" spans="1:1" x14ac:dyDescent="0.3">
      <c r="A38052" t="s">
        <v>0</v>
      </c>
    </row>
    <row r="38053" spans="1:1" x14ac:dyDescent="0.3">
      <c r="A38053" t="s">
        <v>0</v>
      </c>
    </row>
    <row r="38054" spans="1:1" x14ac:dyDescent="0.3">
      <c r="A38054" t="s">
        <v>0</v>
      </c>
    </row>
    <row r="38055" spans="1:1" x14ac:dyDescent="0.3">
      <c r="A38055" t="s">
        <v>0</v>
      </c>
    </row>
    <row r="38056" spans="1:1" x14ac:dyDescent="0.3">
      <c r="A38056" t="s">
        <v>0</v>
      </c>
    </row>
    <row r="38057" spans="1:1" x14ac:dyDescent="0.3">
      <c r="A38057" t="s">
        <v>0</v>
      </c>
    </row>
    <row r="38058" spans="1:1" x14ac:dyDescent="0.3">
      <c r="A38058" t="s">
        <v>0</v>
      </c>
    </row>
    <row r="38059" spans="1:1" x14ac:dyDescent="0.3">
      <c r="A38059" t="s">
        <v>0</v>
      </c>
    </row>
    <row r="38060" spans="1:1" x14ac:dyDescent="0.3">
      <c r="A38060" t="s">
        <v>0</v>
      </c>
    </row>
    <row r="38061" spans="1:1" x14ac:dyDescent="0.3">
      <c r="A38061" t="s">
        <v>0</v>
      </c>
    </row>
    <row r="38062" spans="1:1" x14ac:dyDescent="0.3">
      <c r="A38062" t="s">
        <v>0</v>
      </c>
    </row>
    <row r="38063" spans="1:1" x14ac:dyDescent="0.3">
      <c r="A38063" t="s">
        <v>0</v>
      </c>
    </row>
    <row r="38064" spans="1:1" x14ac:dyDescent="0.3">
      <c r="A38064" t="s">
        <v>0</v>
      </c>
    </row>
    <row r="38065" spans="1:1" x14ac:dyDescent="0.3">
      <c r="A38065" t="s">
        <v>0</v>
      </c>
    </row>
    <row r="38066" spans="1:1" x14ac:dyDescent="0.3">
      <c r="A38066" t="s">
        <v>0</v>
      </c>
    </row>
    <row r="38067" spans="1:1" x14ac:dyDescent="0.3">
      <c r="A38067" t="s">
        <v>0</v>
      </c>
    </row>
    <row r="38068" spans="1:1" x14ac:dyDescent="0.3">
      <c r="A38068" t="s">
        <v>0</v>
      </c>
    </row>
    <row r="38069" spans="1:1" x14ac:dyDescent="0.3">
      <c r="A38069" t="s">
        <v>0</v>
      </c>
    </row>
    <row r="38070" spans="1:1" x14ac:dyDescent="0.3">
      <c r="A38070" t="s">
        <v>0</v>
      </c>
    </row>
    <row r="38071" spans="1:1" x14ac:dyDescent="0.3">
      <c r="A38071" t="s">
        <v>0</v>
      </c>
    </row>
    <row r="38072" spans="1:1" x14ac:dyDescent="0.3">
      <c r="A38072" t="s">
        <v>0</v>
      </c>
    </row>
    <row r="38073" spans="1:1" x14ac:dyDescent="0.3">
      <c r="A38073" t="s">
        <v>0</v>
      </c>
    </row>
    <row r="38074" spans="1:1" x14ac:dyDescent="0.3">
      <c r="A38074" t="s">
        <v>0</v>
      </c>
    </row>
    <row r="38075" spans="1:1" x14ac:dyDescent="0.3">
      <c r="A38075" t="s">
        <v>0</v>
      </c>
    </row>
    <row r="38076" spans="1:1" x14ac:dyDescent="0.3">
      <c r="A38076" t="s">
        <v>0</v>
      </c>
    </row>
    <row r="38077" spans="1:1" x14ac:dyDescent="0.3">
      <c r="A38077" t="s">
        <v>0</v>
      </c>
    </row>
    <row r="38078" spans="1:1" x14ac:dyDescent="0.3">
      <c r="A38078" t="s">
        <v>0</v>
      </c>
    </row>
    <row r="38079" spans="1:1" x14ac:dyDescent="0.3">
      <c r="A38079" t="s">
        <v>0</v>
      </c>
    </row>
    <row r="38080" spans="1:1" x14ac:dyDescent="0.3">
      <c r="A38080" t="s">
        <v>0</v>
      </c>
    </row>
    <row r="38081" spans="1:1" x14ac:dyDescent="0.3">
      <c r="A38081" t="s">
        <v>0</v>
      </c>
    </row>
    <row r="38082" spans="1:1" x14ac:dyDescent="0.3">
      <c r="A38082" t="s">
        <v>0</v>
      </c>
    </row>
    <row r="38083" spans="1:1" x14ac:dyDescent="0.3">
      <c r="A38083" t="s">
        <v>0</v>
      </c>
    </row>
    <row r="38084" spans="1:1" x14ac:dyDescent="0.3">
      <c r="A38084" t="s">
        <v>0</v>
      </c>
    </row>
    <row r="38085" spans="1:1" x14ac:dyDescent="0.3">
      <c r="A38085" t="s">
        <v>0</v>
      </c>
    </row>
    <row r="38086" spans="1:1" x14ac:dyDescent="0.3">
      <c r="A38086" t="s">
        <v>0</v>
      </c>
    </row>
    <row r="38087" spans="1:1" x14ac:dyDescent="0.3">
      <c r="A38087" t="s">
        <v>0</v>
      </c>
    </row>
    <row r="38088" spans="1:1" x14ac:dyDescent="0.3">
      <c r="A38088" t="s">
        <v>0</v>
      </c>
    </row>
    <row r="38089" spans="1:1" x14ac:dyDescent="0.3">
      <c r="A38089" t="s">
        <v>0</v>
      </c>
    </row>
    <row r="38090" spans="1:1" x14ac:dyDescent="0.3">
      <c r="A38090" t="s">
        <v>0</v>
      </c>
    </row>
    <row r="38091" spans="1:1" x14ac:dyDescent="0.3">
      <c r="A38091" t="s">
        <v>0</v>
      </c>
    </row>
    <row r="38092" spans="1:1" x14ac:dyDescent="0.3">
      <c r="A38092" t="s">
        <v>0</v>
      </c>
    </row>
    <row r="38093" spans="1:1" x14ac:dyDescent="0.3">
      <c r="A38093" t="s">
        <v>0</v>
      </c>
    </row>
    <row r="38094" spans="1:1" x14ac:dyDescent="0.3">
      <c r="A38094" t="s">
        <v>0</v>
      </c>
    </row>
    <row r="38095" spans="1:1" x14ac:dyDescent="0.3">
      <c r="A38095" t="s">
        <v>0</v>
      </c>
    </row>
    <row r="38096" spans="1:1" x14ac:dyDescent="0.3">
      <c r="A38096" t="s">
        <v>0</v>
      </c>
    </row>
    <row r="38097" spans="1:1" x14ac:dyDescent="0.3">
      <c r="A38097" t="s">
        <v>0</v>
      </c>
    </row>
    <row r="38098" spans="1:1" x14ac:dyDescent="0.3">
      <c r="A38098" t="s">
        <v>0</v>
      </c>
    </row>
    <row r="38099" spans="1:1" x14ac:dyDescent="0.3">
      <c r="A38099" t="s">
        <v>0</v>
      </c>
    </row>
    <row r="38100" spans="1:1" x14ac:dyDescent="0.3">
      <c r="A38100" t="s">
        <v>0</v>
      </c>
    </row>
    <row r="38101" spans="1:1" x14ac:dyDescent="0.3">
      <c r="A38101" t="s">
        <v>0</v>
      </c>
    </row>
    <row r="38102" spans="1:1" x14ac:dyDescent="0.3">
      <c r="A38102" t="s">
        <v>0</v>
      </c>
    </row>
    <row r="38103" spans="1:1" x14ac:dyDescent="0.3">
      <c r="A38103" t="s">
        <v>0</v>
      </c>
    </row>
    <row r="38104" spans="1:1" x14ac:dyDescent="0.3">
      <c r="A38104" t="s">
        <v>0</v>
      </c>
    </row>
    <row r="38105" spans="1:1" x14ac:dyDescent="0.3">
      <c r="A38105" t="s">
        <v>0</v>
      </c>
    </row>
    <row r="38106" spans="1:1" x14ac:dyDescent="0.3">
      <c r="A38106" t="s">
        <v>0</v>
      </c>
    </row>
    <row r="38107" spans="1:1" x14ac:dyDescent="0.3">
      <c r="A38107" t="s">
        <v>0</v>
      </c>
    </row>
    <row r="38108" spans="1:1" x14ac:dyDescent="0.3">
      <c r="A38108" t="s">
        <v>0</v>
      </c>
    </row>
    <row r="38109" spans="1:1" x14ac:dyDescent="0.3">
      <c r="A38109" t="s">
        <v>0</v>
      </c>
    </row>
    <row r="38110" spans="1:1" x14ac:dyDescent="0.3">
      <c r="A38110" t="s">
        <v>0</v>
      </c>
    </row>
    <row r="38111" spans="1:1" x14ac:dyDescent="0.3">
      <c r="A38111" t="s">
        <v>0</v>
      </c>
    </row>
    <row r="38112" spans="1:1" x14ac:dyDescent="0.3">
      <c r="A38112" t="s">
        <v>0</v>
      </c>
    </row>
    <row r="38113" spans="1:1" x14ac:dyDescent="0.3">
      <c r="A38113" t="s">
        <v>0</v>
      </c>
    </row>
    <row r="38114" spans="1:1" x14ac:dyDescent="0.3">
      <c r="A38114" t="s">
        <v>0</v>
      </c>
    </row>
    <row r="38115" spans="1:1" x14ac:dyDescent="0.3">
      <c r="A38115" t="s">
        <v>0</v>
      </c>
    </row>
    <row r="38116" spans="1:1" x14ac:dyDescent="0.3">
      <c r="A38116" t="s">
        <v>0</v>
      </c>
    </row>
    <row r="38117" spans="1:1" x14ac:dyDescent="0.3">
      <c r="A38117" t="s">
        <v>0</v>
      </c>
    </row>
    <row r="38118" spans="1:1" x14ac:dyDescent="0.3">
      <c r="A38118" t="s">
        <v>0</v>
      </c>
    </row>
    <row r="38119" spans="1:1" x14ac:dyDescent="0.3">
      <c r="A38119" t="s">
        <v>0</v>
      </c>
    </row>
    <row r="38120" spans="1:1" x14ac:dyDescent="0.3">
      <c r="A38120" t="s">
        <v>0</v>
      </c>
    </row>
    <row r="38121" spans="1:1" x14ac:dyDescent="0.3">
      <c r="A38121" t="s">
        <v>0</v>
      </c>
    </row>
    <row r="38122" spans="1:1" x14ac:dyDescent="0.3">
      <c r="A38122" t="s">
        <v>0</v>
      </c>
    </row>
    <row r="38123" spans="1:1" x14ac:dyDescent="0.3">
      <c r="A38123" t="s">
        <v>0</v>
      </c>
    </row>
    <row r="38124" spans="1:1" x14ac:dyDescent="0.3">
      <c r="A38124" t="s">
        <v>0</v>
      </c>
    </row>
    <row r="38125" spans="1:1" x14ac:dyDescent="0.3">
      <c r="A38125" t="s">
        <v>0</v>
      </c>
    </row>
    <row r="38126" spans="1:1" x14ac:dyDescent="0.3">
      <c r="A38126" t="s">
        <v>0</v>
      </c>
    </row>
    <row r="38127" spans="1:1" x14ac:dyDescent="0.3">
      <c r="A38127" t="s">
        <v>0</v>
      </c>
    </row>
    <row r="38128" spans="1:1" x14ac:dyDescent="0.3">
      <c r="A38128" t="s">
        <v>0</v>
      </c>
    </row>
    <row r="38129" spans="1:1" x14ac:dyDescent="0.3">
      <c r="A38129" t="s">
        <v>0</v>
      </c>
    </row>
    <row r="38130" spans="1:1" x14ac:dyDescent="0.3">
      <c r="A38130" t="s">
        <v>0</v>
      </c>
    </row>
    <row r="38131" spans="1:1" x14ac:dyDescent="0.3">
      <c r="A38131" t="s">
        <v>0</v>
      </c>
    </row>
    <row r="38132" spans="1:1" x14ac:dyDescent="0.3">
      <c r="A38132" t="s">
        <v>0</v>
      </c>
    </row>
    <row r="38133" spans="1:1" x14ac:dyDescent="0.3">
      <c r="A38133" t="s">
        <v>0</v>
      </c>
    </row>
    <row r="38134" spans="1:1" x14ac:dyDescent="0.3">
      <c r="A38134" t="s">
        <v>0</v>
      </c>
    </row>
    <row r="38135" spans="1:1" x14ac:dyDescent="0.3">
      <c r="A38135" t="s">
        <v>0</v>
      </c>
    </row>
    <row r="38136" spans="1:1" x14ac:dyDescent="0.3">
      <c r="A38136" t="s">
        <v>0</v>
      </c>
    </row>
    <row r="38137" spans="1:1" x14ac:dyDescent="0.3">
      <c r="A38137" t="s">
        <v>0</v>
      </c>
    </row>
    <row r="38138" spans="1:1" x14ac:dyDescent="0.3">
      <c r="A38138" t="s">
        <v>0</v>
      </c>
    </row>
    <row r="38139" spans="1:1" x14ac:dyDescent="0.3">
      <c r="A38139" t="s">
        <v>0</v>
      </c>
    </row>
    <row r="38140" spans="1:1" x14ac:dyDescent="0.3">
      <c r="A38140" t="s">
        <v>0</v>
      </c>
    </row>
    <row r="38141" spans="1:1" x14ac:dyDescent="0.3">
      <c r="A38141" t="s">
        <v>0</v>
      </c>
    </row>
    <row r="38142" spans="1:1" x14ac:dyDescent="0.3">
      <c r="A38142" t="s">
        <v>0</v>
      </c>
    </row>
    <row r="38143" spans="1:1" x14ac:dyDescent="0.3">
      <c r="A38143" t="s">
        <v>0</v>
      </c>
    </row>
    <row r="38144" spans="1:1" x14ac:dyDescent="0.3">
      <c r="A38144" t="s">
        <v>0</v>
      </c>
    </row>
    <row r="38145" spans="1:1" x14ac:dyDescent="0.3">
      <c r="A38145" t="s">
        <v>0</v>
      </c>
    </row>
    <row r="38146" spans="1:1" x14ac:dyDescent="0.3">
      <c r="A38146" t="s">
        <v>0</v>
      </c>
    </row>
    <row r="38147" spans="1:1" x14ac:dyDescent="0.3">
      <c r="A38147" t="s">
        <v>0</v>
      </c>
    </row>
    <row r="38148" spans="1:1" x14ac:dyDescent="0.3">
      <c r="A38148" t="s">
        <v>0</v>
      </c>
    </row>
    <row r="38149" spans="1:1" x14ac:dyDescent="0.3">
      <c r="A38149" t="s">
        <v>0</v>
      </c>
    </row>
    <row r="38150" spans="1:1" x14ac:dyDescent="0.3">
      <c r="A38150" t="s">
        <v>0</v>
      </c>
    </row>
    <row r="38151" spans="1:1" x14ac:dyDescent="0.3">
      <c r="A38151" t="s">
        <v>0</v>
      </c>
    </row>
    <row r="38152" spans="1:1" x14ac:dyDescent="0.3">
      <c r="A38152" t="s">
        <v>0</v>
      </c>
    </row>
    <row r="38153" spans="1:1" x14ac:dyDescent="0.3">
      <c r="A38153" t="s">
        <v>0</v>
      </c>
    </row>
    <row r="38154" spans="1:1" x14ac:dyDescent="0.3">
      <c r="A38154" t="s">
        <v>0</v>
      </c>
    </row>
    <row r="38155" spans="1:1" x14ac:dyDescent="0.3">
      <c r="A38155" t="s">
        <v>0</v>
      </c>
    </row>
    <row r="38156" spans="1:1" x14ac:dyDescent="0.3">
      <c r="A38156" t="s">
        <v>0</v>
      </c>
    </row>
    <row r="38157" spans="1:1" x14ac:dyDescent="0.3">
      <c r="A38157" t="s">
        <v>0</v>
      </c>
    </row>
    <row r="38158" spans="1:1" x14ac:dyDescent="0.3">
      <c r="A38158" t="s">
        <v>0</v>
      </c>
    </row>
    <row r="38159" spans="1:1" x14ac:dyDescent="0.3">
      <c r="A38159" t="s">
        <v>0</v>
      </c>
    </row>
    <row r="38160" spans="1:1" x14ac:dyDescent="0.3">
      <c r="A38160" t="s">
        <v>0</v>
      </c>
    </row>
    <row r="38161" spans="1:1" x14ac:dyDescent="0.3">
      <c r="A38161" t="s">
        <v>0</v>
      </c>
    </row>
    <row r="38162" spans="1:1" x14ac:dyDescent="0.3">
      <c r="A38162" t="s">
        <v>0</v>
      </c>
    </row>
    <row r="38163" spans="1:1" x14ac:dyDescent="0.3">
      <c r="A38163" t="s">
        <v>0</v>
      </c>
    </row>
    <row r="38164" spans="1:1" x14ac:dyDescent="0.3">
      <c r="A38164" t="s">
        <v>0</v>
      </c>
    </row>
    <row r="38165" spans="1:1" x14ac:dyDescent="0.3">
      <c r="A38165" t="s">
        <v>0</v>
      </c>
    </row>
    <row r="38166" spans="1:1" x14ac:dyDescent="0.3">
      <c r="A38166" t="s">
        <v>0</v>
      </c>
    </row>
    <row r="38167" spans="1:1" x14ac:dyDescent="0.3">
      <c r="A38167" t="s">
        <v>0</v>
      </c>
    </row>
    <row r="38168" spans="1:1" x14ac:dyDescent="0.3">
      <c r="A38168" t="s">
        <v>0</v>
      </c>
    </row>
    <row r="38169" spans="1:1" x14ac:dyDescent="0.3">
      <c r="A38169" t="s">
        <v>0</v>
      </c>
    </row>
    <row r="38170" spans="1:1" x14ac:dyDescent="0.3">
      <c r="A38170" t="s">
        <v>0</v>
      </c>
    </row>
    <row r="38171" spans="1:1" x14ac:dyDescent="0.3">
      <c r="A38171" t="s">
        <v>0</v>
      </c>
    </row>
    <row r="38172" spans="1:1" x14ac:dyDescent="0.3">
      <c r="A38172" t="s">
        <v>0</v>
      </c>
    </row>
    <row r="38173" spans="1:1" x14ac:dyDescent="0.3">
      <c r="A38173" t="s">
        <v>0</v>
      </c>
    </row>
    <row r="38174" spans="1:1" x14ac:dyDescent="0.3">
      <c r="A38174" t="s">
        <v>0</v>
      </c>
    </row>
    <row r="38175" spans="1:1" x14ac:dyDescent="0.3">
      <c r="A38175" t="s">
        <v>0</v>
      </c>
    </row>
    <row r="38176" spans="1:1" x14ac:dyDescent="0.3">
      <c r="A38176" t="s">
        <v>0</v>
      </c>
    </row>
    <row r="38177" spans="1:1" x14ac:dyDescent="0.3">
      <c r="A38177" t="s">
        <v>0</v>
      </c>
    </row>
    <row r="38178" spans="1:1" x14ac:dyDescent="0.3">
      <c r="A38178" t="s">
        <v>0</v>
      </c>
    </row>
    <row r="38179" spans="1:1" x14ac:dyDescent="0.3">
      <c r="A38179" t="s">
        <v>0</v>
      </c>
    </row>
    <row r="38180" spans="1:1" x14ac:dyDescent="0.3">
      <c r="A38180" t="s">
        <v>0</v>
      </c>
    </row>
    <row r="38181" spans="1:1" x14ac:dyDescent="0.3">
      <c r="A38181" t="s">
        <v>0</v>
      </c>
    </row>
    <row r="38182" spans="1:1" x14ac:dyDescent="0.3">
      <c r="A38182" t="s">
        <v>0</v>
      </c>
    </row>
    <row r="38183" spans="1:1" x14ac:dyDescent="0.3">
      <c r="A38183" t="s">
        <v>0</v>
      </c>
    </row>
    <row r="38184" spans="1:1" x14ac:dyDescent="0.3">
      <c r="A38184" t="s">
        <v>0</v>
      </c>
    </row>
    <row r="38185" spans="1:1" x14ac:dyDescent="0.3">
      <c r="A38185" t="s">
        <v>0</v>
      </c>
    </row>
    <row r="38186" spans="1:1" x14ac:dyDescent="0.3">
      <c r="A38186" t="s">
        <v>0</v>
      </c>
    </row>
    <row r="38187" spans="1:1" x14ac:dyDescent="0.3">
      <c r="A38187" t="s">
        <v>0</v>
      </c>
    </row>
    <row r="38188" spans="1:1" x14ac:dyDescent="0.3">
      <c r="A38188" t="s">
        <v>0</v>
      </c>
    </row>
    <row r="38189" spans="1:1" x14ac:dyDescent="0.3">
      <c r="A38189" t="s">
        <v>0</v>
      </c>
    </row>
    <row r="38190" spans="1:1" x14ac:dyDescent="0.3">
      <c r="A38190" t="s">
        <v>0</v>
      </c>
    </row>
    <row r="38191" spans="1:1" x14ac:dyDescent="0.3">
      <c r="A38191" t="s">
        <v>0</v>
      </c>
    </row>
    <row r="38192" spans="1:1" x14ac:dyDescent="0.3">
      <c r="A38192" t="s">
        <v>0</v>
      </c>
    </row>
    <row r="38193" spans="1:1" x14ac:dyDescent="0.3">
      <c r="A38193" t="s">
        <v>0</v>
      </c>
    </row>
    <row r="38194" spans="1:1" x14ac:dyDescent="0.3">
      <c r="A38194" t="s">
        <v>0</v>
      </c>
    </row>
    <row r="38195" spans="1:1" x14ac:dyDescent="0.3">
      <c r="A38195" t="s">
        <v>0</v>
      </c>
    </row>
    <row r="38196" spans="1:1" x14ac:dyDescent="0.3">
      <c r="A38196" t="s">
        <v>0</v>
      </c>
    </row>
    <row r="38197" spans="1:1" x14ac:dyDescent="0.3">
      <c r="A38197" t="s">
        <v>0</v>
      </c>
    </row>
    <row r="38198" spans="1:1" x14ac:dyDescent="0.3">
      <c r="A38198" t="s">
        <v>0</v>
      </c>
    </row>
    <row r="38199" spans="1:1" x14ac:dyDescent="0.3">
      <c r="A38199" t="s">
        <v>0</v>
      </c>
    </row>
    <row r="38200" spans="1:1" x14ac:dyDescent="0.3">
      <c r="A38200" t="s">
        <v>0</v>
      </c>
    </row>
    <row r="38201" spans="1:1" x14ac:dyDescent="0.3">
      <c r="A38201" t="s">
        <v>0</v>
      </c>
    </row>
    <row r="38202" spans="1:1" x14ac:dyDescent="0.3">
      <c r="A38202" t="s">
        <v>0</v>
      </c>
    </row>
    <row r="38203" spans="1:1" x14ac:dyDescent="0.3">
      <c r="A38203" t="s">
        <v>0</v>
      </c>
    </row>
    <row r="38204" spans="1:1" x14ac:dyDescent="0.3">
      <c r="A38204" t="s">
        <v>0</v>
      </c>
    </row>
    <row r="38205" spans="1:1" x14ac:dyDescent="0.3">
      <c r="A38205" t="s">
        <v>0</v>
      </c>
    </row>
    <row r="38206" spans="1:1" x14ac:dyDescent="0.3">
      <c r="A38206" t="s">
        <v>0</v>
      </c>
    </row>
    <row r="38207" spans="1:1" x14ac:dyDescent="0.3">
      <c r="A38207" t="s">
        <v>0</v>
      </c>
    </row>
    <row r="38208" spans="1:1" x14ac:dyDescent="0.3">
      <c r="A38208" t="s">
        <v>0</v>
      </c>
    </row>
    <row r="38209" spans="1:1" x14ac:dyDescent="0.3">
      <c r="A38209" t="s">
        <v>0</v>
      </c>
    </row>
    <row r="38210" spans="1:1" x14ac:dyDescent="0.3">
      <c r="A38210" t="s">
        <v>0</v>
      </c>
    </row>
    <row r="38211" spans="1:1" x14ac:dyDescent="0.3">
      <c r="A38211" t="s">
        <v>0</v>
      </c>
    </row>
    <row r="38212" spans="1:1" x14ac:dyDescent="0.3">
      <c r="A38212" t="s">
        <v>0</v>
      </c>
    </row>
    <row r="38213" spans="1:1" x14ac:dyDescent="0.3">
      <c r="A38213" t="s">
        <v>0</v>
      </c>
    </row>
    <row r="38214" spans="1:1" x14ac:dyDescent="0.3">
      <c r="A38214" t="s">
        <v>0</v>
      </c>
    </row>
    <row r="38215" spans="1:1" x14ac:dyDescent="0.3">
      <c r="A38215" t="s">
        <v>0</v>
      </c>
    </row>
    <row r="38216" spans="1:1" x14ac:dyDescent="0.3">
      <c r="A38216" t="s">
        <v>0</v>
      </c>
    </row>
    <row r="38217" spans="1:1" x14ac:dyDescent="0.3">
      <c r="A38217" t="s">
        <v>0</v>
      </c>
    </row>
    <row r="38218" spans="1:1" x14ac:dyDescent="0.3">
      <c r="A38218" t="s">
        <v>0</v>
      </c>
    </row>
    <row r="38219" spans="1:1" x14ac:dyDescent="0.3">
      <c r="A38219" t="s">
        <v>0</v>
      </c>
    </row>
    <row r="38220" spans="1:1" x14ac:dyDescent="0.3">
      <c r="A38220" t="s">
        <v>0</v>
      </c>
    </row>
    <row r="38221" spans="1:1" x14ac:dyDescent="0.3">
      <c r="A38221" t="s">
        <v>0</v>
      </c>
    </row>
    <row r="38222" spans="1:1" x14ac:dyDescent="0.3">
      <c r="A38222" t="s">
        <v>0</v>
      </c>
    </row>
    <row r="38223" spans="1:1" x14ac:dyDescent="0.3">
      <c r="A38223" t="s">
        <v>0</v>
      </c>
    </row>
    <row r="38224" spans="1:1" x14ac:dyDescent="0.3">
      <c r="A38224" t="s">
        <v>0</v>
      </c>
    </row>
    <row r="38225" spans="1:1" x14ac:dyDescent="0.3">
      <c r="A38225" t="s">
        <v>0</v>
      </c>
    </row>
    <row r="38226" spans="1:1" x14ac:dyDescent="0.3">
      <c r="A38226" t="s">
        <v>0</v>
      </c>
    </row>
    <row r="38227" spans="1:1" x14ac:dyDescent="0.3">
      <c r="A38227" t="s">
        <v>0</v>
      </c>
    </row>
    <row r="38228" spans="1:1" x14ac:dyDescent="0.3">
      <c r="A38228" t="s">
        <v>0</v>
      </c>
    </row>
    <row r="38229" spans="1:1" x14ac:dyDescent="0.3">
      <c r="A38229" t="s">
        <v>0</v>
      </c>
    </row>
    <row r="38230" spans="1:1" x14ac:dyDescent="0.3">
      <c r="A38230" t="s">
        <v>0</v>
      </c>
    </row>
    <row r="38231" spans="1:1" x14ac:dyDescent="0.3">
      <c r="A38231" t="s">
        <v>0</v>
      </c>
    </row>
    <row r="38232" spans="1:1" x14ac:dyDescent="0.3">
      <c r="A38232" t="s">
        <v>0</v>
      </c>
    </row>
    <row r="38233" spans="1:1" x14ac:dyDescent="0.3">
      <c r="A38233" t="s">
        <v>0</v>
      </c>
    </row>
    <row r="38234" spans="1:1" x14ac:dyDescent="0.3">
      <c r="A38234" t="s">
        <v>0</v>
      </c>
    </row>
    <row r="38235" spans="1:1" x14ac:dyDescent="0.3">
      <c r="A38235" t="s">
        <v>0</v>
      </c>
    </row>
    <row r="38236" spans="1:1" x14ac:dyDescent="0.3">
      <c r="A38236" t="s">
        <v>0</v>
      </c>
    </row>
    <row r="38237" spans="1:1" x14ac:dyDescent="0.3">
      <c r="A38237" t="s">
        <v>0</v>
      </c>
    </row>
    <row r="38238" spans="1:1" x14ac:dyDescent="0.3">
      <c r="A38238" t="s">
        <v>0</v>
      </c>
    </row>
    <row r="38239" spans="1:1" x14ac:dyDescent="0.3">
      <c r="A38239" t="s">
        <v>0</v>
      </c>
    </row>
    <row r="38240" spans="1:1" x14ac:dyDescent="0.3">
      <c r="A38240" t="s">
        <v>0</v>
      </c>
    </row>
    <row r="38241" spans="1:1" x14ac:dyDescent="0.3">
      <c r="A38241" t="s">
        <v>0</v>
      </c>
    </row>
    <row r="38242" spans="1:1" x14ac:dyDescent="0.3">
      <c r="A38242" t="s">
        <v>0</v>
      </c>
    </row>
    <row r="38243" spans="1:1" x14ac:dyDescent="0.3">
      <c r="A38243" t="s">
        <v>0</v>
      </c>
    </row>
    <row r="38244" spans="1:1" x14ac:dyDescent="0.3">
      <c r="A38244" t="s">
        <v>0</v>
      </c>
    </row>
    <row r="38245" spans="1:1" x14ac:dyDescent="0.3">
      <c r="A38245" t="s">
        <v>0</v>
      </c>
    </row>
    <row r="38246" spans="1:1" x14ac:dyDescent="0.3">
      <c r="A38246" t="s">
        <v>0</v>
      </c>
    </row>
    <row r="38247" spans="1:1" x14ac:dyDescent="0.3">
      <c r="A38247" t="s">
        <v>0</v>
      </c>
    </row>
    <row r="38248" spans="1:1" x14ac:dyDescent="0.3">
      <c r="A38248" t="s">
        <v>0</v>
      </c>
    </row>
    <row r="38249" spans="1:1" x14ac:dyDescent="0.3">
      <c r="A38249" t="s">
        <v>0</v>
      </c>
    </row>
    <row r="38250" spans="1:1" x14ac:dyDescent="0.3">
      <c r="A38250" t="s">
        <v>0</v>
      </c>
    </row>
    <row r="38251" spans="1:1" x14ac:dyDescent="0.3">
      <c r="A38251" t="s">
        <v>0</v>
      </c>
    </row>
    <row r="38252" spans="1:1" x14ac:dyDescent="0.3">
      <c r="A38252" t="s">
        <v>0</v>
      </c>
    </row>
    <row r="38253" spans="1:1" x14ac:dyDescent="0.3">
      <c r="A38253" t="s">
        <v>0</v>
      </c>
    </row>
    <row r="38254" spans="1:1" x14ac:dyDescent="0.3">
      <c r="A38254" t="s">
        <v>0</v>
      </c>
    </row>
    <row r="38255" spans="1:1" x14ac:dyDescent="0.3">
      <c r="A38255" t="s">
        <v>0</v>
      </c>
    </row>
    <row r="38256" spans="1:1" x14ac:dyDescent="0.3">
      <c r="A38256" t="s">
        <v>0</v>
      </c>
    </row>
    <row r="38257" spans="1:1" x14ac:dyDescent="0.3">
      <c r="A38257" t="s">
        <v>0</v>
      </c>
    </row>
    <row r="38258" spans="1:1" x14ac:dyDescent="0.3">
      <c r="A38258" t="s">
        <v>0</v>
      </c>
    </row>
    <row r="38259" spans="1:1" x14ac:dyDescent="0.3">
      <c r="A38259" t="s">
        <v>0</v>
      </c>
    </row>
    <row r="38260" spans="1:1" x14ac:dyDescent="0.3">
      <c r="A38260" t="s">
        <v>0</v>
      </c>
    </row>
    <row r="38261" spans="1:1" x14ac:dyDescent="0.3">
      <c r="A38261" t="s">
        <v>0</v>
      </c>
    </row>
    <row r="38262" spans="1:1" x14ac:dyDescent="0.3">
      <c r="A38262" t="s">
        <v>0</v>
      </c>
    </row>
    <row r="38263" spans="1:1" x14ac:dyDescent="0.3">
      <c r="A38263" t="s">
        <v>0</v>
      </c>
    </row>
    <row r="38264" spans="1:1" x14ac:dyDescent="0.3">
      <c r="A38264" t="s">
        <v>0</v>
      </c>
    </row>
    <row r="38265" spans="1:1" x14ac:dyDescent="0.3">
      <c r="A38265" t="s">
        <v>0</v>
      </c>
    </row>
    <row r="38266" spans="1:1" x14ac:dyDescent="0.3">
      <c r="A38266" t="s">
        <v>0</v>
      </c>
    </row>
    <row r="38267" spans="1:1" x14ac:dyDescent="0.3">
      <c r="A38267" t="s">
        <v>0</v>
      </c>
    </row>
    <row r="38268" spans="1:1" x14ac:dyDescent="0.3">
      <c r="A38268" t="s">
        <v>0</v>
      </c>
    </row>
    <row r="38269" spans="1:1" x14ac:dyDescent="0.3">
      <c r="A38269" t="s">
        <v>0</v>
      </c>
    </row>
    <row r="38270" spans="1:1" x14ac:dyDescent="0.3">
      <c r="A38270" t="s">
        <v>0</v>
      </c>
    </row>
    <row r="38271" spans="1:1" x14ac:dyDescent="0.3">
      <c r="A38271" t="s">
        <v>0</v>
      </c>
    </row>
    <row r="38272" spans="1:1" x14ac:dyDescent="0.3">
      <c r="A38272" t="s">
        <v>0</v>
      </c>
    </row>
    <row r="38273" spans="1:1" x14ac:dyDescent="0.3">
      <c r="A38273" t="s">
        <v>0</v>
      </c>
    </row>
    <row r="38274" spans="1:1" x14ac:dyDescent="0.3">
      <c r="A38274" t="s">
        <v>0</v>
      </c>
    </row>
    <row r="38275" spans="1:1" x14ac:dyDescent="0.3">
      <c r="A38275" t="s">
        <v>0</v>
      </c>
    </row>
    <row r="38276" spans="1:1" x14ac:dyDescent="0.3">
      <c r="A38276" t="s">
        <v>0</v>
      </c>
    </row>
    <row r="38277" spans="1:1" x14ac:dyDescent="0.3">
      <c r="A38277" t="s">
        <v>0</v>
      </c>
    </row>
    <row r="38278" spans="1:1" x14ac:dyDescent="0.3">
      <c r="A38278" t="s">
        <v>0</v>
      </c>
    </row>
    <row r="38279" spans="1:1" x14ac:dyDescent="0.3">
      <c r="A38279" t="s">
        <v>0</v>
      </c>
    </row>
    <row r="38280" spans="1:1" x14ac:dyDescent="0.3">
      <c r="A38280" t="s">
        <v>0</v>
      </c>
    </row>
    <row r="38281" spans="1:1" x14ac:dyDescent="0.3">
      <c r="A38281" t="s">
        <v>0</v>
      </c>
    </row>
    <row r="38282" spans="1:1" x14ac:dyDescent="0.3">
      <c r="A38282" t="s">
        <v>0</v>
      </c>
    </row>
    <row r="38283" spans="1:1" x14ac:dyDescent="0.3">
      <c r="A38283" t="s">
        <v>0</v>
      </c>
    </row>
    <row r="38284" spans="1:1" x14ac:dyDescent="0.3">
      <c r="A38284" t="s">
        <v>0</v>
      </c>
    </row>
    <row r="38285" spans="1:1" x14ac:dyDescent="0.3">
      <c r="A38285" t="s">
        <v>0</v>
      </c>
    </row>
    <row r="38286" spans="1:1" x14ac:dyDescent="0.3">
      <c r="A38286" t="s">
        <v>0</v>
      </c>
    </row>
    <row r="38287" spans="1:1" x14ac:dyDescent="0.3">
      <c r="A38287" t="s">
        <v>0</v>
      </c>
    </row>
    <row r="38288" spans="1:1" x14ac:dyDescent="0.3">
      <c r="A38288" t="s">
        <v>0</v>
      </c>
    </row>
    <row r="38289" spans="1:1" x14ac:dyDescent="0.3">
      <c r="A38289" t="s">
        <v>0</v>
      </c>
    </row>
    <row r="38290" spans="1:1" x14ac:dyDescent="0.3">
      <c r="A38290" t="s">
        <v>0</v>
      </c>
    </row>
    <row r="38291" spans="1:1" x14ac:dyDescent="0.3">
      <c r="A38291" t="s">
        <v>0</v>
      </c>
    </row>
    <row r="38292" spans="1:1" x14ac:dyDescent="0.3">
      <c r="A38292" t="s">
        <v>0</v>
      </c>
    </row>
    <row r="38293" spans="1:1" x14ac:dyDescent="0.3">
      <c r="A38293" t="s">
        <v>0</v>
      </c>
    </row>
    <row r="38294" spans="1:1" x14ac:dyDescent="0.3">
      <c r="A38294" t="s">
        <v>0</v>
      </c>
    </row>
    <row r="38295" spans="1:1" x14ac:dyDescent="0.3">
      <c r="A38295" t="s">
        <v>0</v>
      </c>
    </row>
    <row r="38296" spans="1:1" x14ac:dyDescent="0.3">
      <c r="A38296" t="s">
        <v>0</v>
      </c>
    </row>
    <row r="38297" spans="1:1" x14ac:dyDescent="0.3">
      <c r="A38297" t="s">
        <v>0</v>
      </c>
    </row>
    <row r="38298" spans="1:1" x14ac:dyDescent="0.3">
      <c r="A38298" t="s">
        <v>0</v>
      </c>
    </row>
    <row r="38299" spans="1:1" x14ac:dyDescent="0.3">
      <c r="A38299" t="s">
        <v>0</v>
      </c>
    </row>
    <row r="38300" spans="1:1" x14ac:dyDescent="0.3">
      <c r="A38300" t="s">
        <v>0</v>
      </c>
    </row>
    <row r="38301" spans="1:1" x14ac:dyDescent="0.3">
      <c r="A38301" t="s">
        <v>0</v>
      </c>
    </row>
    <row r="38302" spans="1:1" x14ac:dyDescent="0.3">
      <c r="A38302" t="s">
        <v>0</v>
      </c>
    </row>
    <row r="38303" spans="1:1" x14ac:dyDescent="0.3">
      <c r="A38303" t="s">
        <v>0</v>
      </c>
    </row>
    <row r="38304" spans="1:1" x14ac:dyDescent="0.3">
      <c r="A38304" t="s">
        <v>0</v>
      </c>
    </row>
    <row r="38305" spans="1:1" x14ac:dyDescent="0.3">
      <c r="A38305" t="s">
        <v>0</v>
      </c>
    </row>
    <row r="38306" spans="1:1" x14ac:dyDescent="0.3">
      <c r="A38306" t="s">
        <v>0</v>
      </c>
    </row>
    <row r="38307" spans="1:1" x14ac:dyDescent="0.3">
      <c r="A38307" t="s">
        <v>0</v>
      </c>
    </row>
    <row r="38308" spans="1:1" x14ac:dyDescent="0.3">
      <c r="A38308" t="s">
        <v>0</v>
      </c>
    </row>
    <row r="38309" spans="1:1" x14ac:dyDescent="0.3">
      <c r="A38309" t="s">
        <v>0</v>
      </c>
    </row>
    <row r="38310" spans="1:1" x14ac:dyDescent="0.3">
      <c r="A38310" t="s">
        <v>0</v>
      </c>
    </row>
    <row r="38311" spans="1:1" x14ac:dyDescent="0.3">
      <c r="A38311" t="s">
        <v>0</v>
      </c>
    </row>
    <row r="38312" spans="1:1" x14ac:dyDescent="0.3">
      <c r="A38312" t="s">
        <v>0</v>
      </c>
    </row>
    <row r="38313" spans="1:1" x14ac:dyDescent="0.3">
      <c r="A38313" t="s">
        <v>0</v>
      </c>
    </row>
    <row r="38314" spans="1:1" x14ac:dyDescent="0.3">
      <c r="A38314" t="s">
        <v>0</v>
      </c>
    </row>
    <row r="38315" spans="1:1" x14ac:dyDescent="0.3">
      <c r="A38315" t="s">
        <v>0</v>
      </c>
    </row>
    <row r="38316" spans="1:1" x14ac:dyDescent="0.3">
      <c r="A38316" t="s">
        <v>0</v>
      </c>
    </row>
    <row r="38317" spans="1:1" x14ac:dyDescent="0.3">
      <c r="A38317" t="s">
        <v>0</v>
      </c>
    </row>
    <row r="38318" spans="1:1" x14ac:dyDescent="0.3">
      <c r="A38318" t="s">
        <v>0</v>
      </c>
    </row>
    <row r="38319" spans="1:1" x14ac:dyDescent="0.3">
      <c r="A38319" t="s">
        <v>0</v>
      </c>
    </row>
    <row r="38320" spans="1:1" x14ac:dyDescent="0.3">
      <c r="A38320" t="s">
        <v>0</v>
      </c>
    </row>
    <row r="38321" spans="1:1" x14ac:dyDescent="0.3">
      <c r="A38321" t="s">
        <v>0</v>
      </c>
    </row>
    <row r="38322" spans="1:1" x14ac:dyDescent="0.3">
      <c r="A38322" t="s">
        <v>0</v>
      </c>
    </row>
    <row r="38323" spans="1:1" x14ac:dyDescent="0.3">
      <c r="A38323" t="s">
        <v>0</v>
      </c>
    </row>
    <row r="38324" spans="1:1" x14ac:dyDescent="0.3">
      <c r="A38324" t="s">
        <v>0</v>
      </c>
    </row>
    <row r="38325" spans="1:1" x14ac:dyDescent="0.3">
      <c r="A38325" t="s">
        <v>0</v>
      </c>
    </row>
    <row r="38326" spans="1:1" x14ac:dyDescent="0.3">
      <c r="A38326" t="s">
        <v>0</v>
      </c>
    </row>
    <row r="38327" spans="1:1" x14ac:dyDescent="0.3">
      <c r="A38327" t="s">
        <v>0</v>
      </c>
    </row>
    <row r="38328" spans="1:1" x14ac:dyDescent="0.3">
      <c r="A38328" t="s">
        <v>0</v>
      </c>
    </row>
    <row r="38329" spans="1:1" x14ac:dyDescent="0.3">
      <c r="A38329" t="s">
        <v>0</v>
      </c>
    </row>
    <row r="38330" spans="1:1" x14ac:dyDescent="0.3">
      <c r="A38330" t="s">
        <v>0</v>
      </c>
    </row>
    <row r="38331" spans="1:1" x14ac:dyDescent="0.3">
      <c r="A38331" t="s">
        <v>0</v>
      </c>
    </row>
    <row r="38332" spans="1:1" x14ac:dyDescent="0.3">
      <c r="A38332" t="s">
        <v>0</v>
      </c>
    </row>
    <row r="38333" spans="1:1" x14ac:dyDescent="0.3">
      <c r="A38333" t="s">
        <v>0</v>
      </c>
    </row>
    <row r="38334" spans="1:1" x14ac:dyDescent="0.3">
      <c r="A38334" t="s">
        <v>0</v>
      </c>
    </row>
    <row r="38335" spans="1:1" x14ac:dyDescent="0.3">
      <c r="A38335" t="s">
        <v>0</v>
      </c>
    </row>
    <row r="38336" spans="1:1" x14ac:dyDescent="0.3">
      <c r="A38336" t="s">
        <v>0</v>
      </c>
    </row>
    <row r="38337" spans="1:1" x14ac:dyDescent="0.3">
      <c r="A38337" t="s">
        <v>0</v>
      </c>
    </row>
    <row r="38338" spans="1:1" x14ac:dyDescent="0.3">
      <c r="A38338" t="s">
        <v>0</v>
      </c>
    </row>
    <row r="38339" spans="1:1" x14ac:dyDescent="0.3">
      <c r="A38339" t="s">
        <v>0</v>
      </c>
    </row>
    <row r="38340" spans="1:1" x14ac:dyDescent="0.3">
      <c r="A38340" t="s">
        <v>0</v>
      </c>
    </row>
    <row r="38341" spans="1:1" x14ac:dyDescent="0.3">
      <c r="A38341" t="s">
        <v>0</v>
      </c>
    </row>
    <row r="38342" spans="1:1" x14ac:dyDescent="0.3">
      <c r="A38342" t="s">
        <v>0</v>
      </c>
    </row>
    <row r="38343" spans="1:1" x14ac:dyDescent="0.3">
      <c r="A38343" t="s">
        <v>0</v>
      </c>
    </row>
    <row r="38344" spans="1:1" x14ac:dyDescent="0.3">
      <c r="A38344" t="s">
        <v>0</v>
      </c>
    </row>
    <row r="38345" spans="1:1" x14ac:dyDescent="0.3">
      <c r="A38345" t="s">
        <v>0</v>
      </c>
    </row>
    <row r="38346" spans="1:1" x14ac:dyDescent="0.3">
      <c r="A38346" t="s">
        <v>0</v>
      </c>
    </row>
    <row r="38347" spans="1:1" x14ac:dyDescent="0.3">
      <c r="A38347" t="s">
        <v>0</v>
      </c>
    </row>
    <row r="38348" spans="1:1" x14ac:dyDescent="0.3">
      <c r="A38348" t="s">
        <v>0</v>
      </c>
    </row>
    <row r="38349" spans="1:1" x14ac:dyDescent="0.3">
      <c r="A38349" t="s">
        <v>0</v>
      </c>
    </row>
    <row r="38350" spans="1:1" x14ac:dyDescent="0.3">
      <c r="A38350" t="s">
        <v>0</v>
      </c>
    </row>
    <row r="38351" spans="1:1" x14ac:dyDescent="0.3">
      <c r="A38351" t="s">
        <v>0</v>
      </c>
    </row>
    <row r="38352" spans="1:1" x14ac:dyDescent="0.3">
      <c r="A38352" t="s">
        <v>0</v>
      </c>
    </row>
    <row r="38353" spans="1:1" x14ac:dyDescent="0.3">
      <c r="A38353" t="s">
        <v>0</v>
      </c>
    </row>
    <row r="38354" spans="1:1" x14ac:dyDescent="0.3">
      <c r="A38354" t="s">
        <v>0</v>
      </c>
    </row>
    <row r="38355" spans="1:1" x14ac:dyDescent="0.3">
      <c r="A38355" t="s">
        <v>0</v>
      </c>
    </row>
    <row r="38356" spans="1:1" x14ac:dyDescent="0.3">
      <c r="A38356" t="s">
        <v>0</v>
      </c>
    </row>
    <row r="38357" spans="1:1" x14ac:dyDescent="0.3">
      <c r="A38357" t="s">
        <v>0</v>
      </c>
    </row>
    <row r="38358" spans="1:1" x14ac:dyDescent="0.3">
      <c r="A38358" t="s">
        <v>0</v>
      </c>
    </row>
    <row r="38359" spans="1:1" x14ac:dyDescent="0.3">
      <c r="A38359" t="s">
        <v>0</v>
      </c>
    </row>
    <row r="38360" spans="1:1" x14ac:dyDescent="0.3">
      <c r="A38360" t="s">
        <v>0</v>
      </c>
    </row>
    <row r="38361" spans="1:1" x14ac:dyDescent="0.3">
      <c r="A38361" t="s">
        <v>0</v>
      </c>
    </row>
    <row r="38362" spans="1:1" x14ac:dyDescent="0.3">
      <c r="A38362" t="s">
        <v>0</v>
      </c>
    </row>
    <row r="38363" spans="1:1" x14ac:dyDescent="0.3">
      <c r="A38363" t="s">
        <v>0</v>
      </c>
    </row>
    <row r="38364" spans="1:1" x14ac:dyDescent="0.3">
      <c r="A38364" t="s">
        <v>0</v>
      </c>
    </row>
    <row r="38365" spans="1:1" x14ac:dyDescent="0.3">
      <c r="A38365" t="s">
        <v>0</v>
      </c>
    </row>
    <row r="38366" spans="1:1" x14ac:dyDescent="0.3">
      <c r="A38366" t="s">
        <v>0</v>
      </c>
    </row>
    <row r="38367" spans="1:1" x14ac:dyDescent="0.3">
      <c r="A38367" t="s">
        <v>0</v>
      </c>
    </row>
    <row r="38368" spans="1:1" x14ac:dyDescent="0.3">
      <c r="A38368" t="s">
        <v>0</v>
      </c>
    </row>
    <row r="38369" spans="1:1" x14ac:dyDescent="0.3">
      <c r="A38369" t="s">
        <v>0</v>
      </c>
    </row>
    <row r="38370" spans="1:1" x14ac:dyDescent="0.3">
      <c r="A38370" t="s">
        <v>0</v>
      </c>
    </row>
    <row r="38371" spans="1:1" x14ac:dyDescent="0.3">
      <c r="A38371" t="s">
        <v>0</v>
      </c>
    </row>
    <row r="38372" spans="1:1" x14ac:dyDescent="0.3">
      <c r="A38372" t="s">
        <v>0</v>
      </c>
    </row>
    <row r="38373" spans="1:1" x14ac:dyDescent="0.3">
      <c r="A38373" t="s">
        <v>0</v>
      </c>
    </row>
    <row r="38374" spans="1:1" x14ac:dyDescent="0.3">
      <c r="A38374" t="s">
        <v>0</v>
      </c>
    </row>
    <row r="38375" spans="1:1" x14ac:dyDescent="0.3">
      <c r="A38375" t="s">
        <v>0</v>
      </c>
    </row>
    <row r="38376" spans="1:1" x14ac:dyDescent="0.3">
      <c r="A38376" t="s">
        <v>0</v>
      </c>
    </row>
    <row r="38377" spans="1:1" x14ac:dyDescent="0.3">
      <c r="A38377" t="s">
        <v>0</v>
      </c>
    </row>
    <row r="38378" spans="1:1" x14ac:dyDescent="0.3">
      <c r="A38378" t="s">
        <v>0</v>
      </c>
    </row>
    <row r="38379" spans="1:1" x14ac:dyDescent="0.3">
      <c r="A38379" t="s">
        <v>0</v>
      </c>
    </row>
    <row r="38380" spans="1:1" x14ac:dyDescent="0.3">
      <c r="A38380" t="s">
        <v>0</v>
      </c>
    </row>
    <row r="38381" spans="1:1" x14ac:dyDescent="0.3">
      <c r="A38381" t="s">
        <v>0</v>
      </c>
    </row>
    <row r="38382" spans="1:1" x14ac:dyDescent="0.3">
      <c r="A38382" t="s">
        <v>0</v>
      </c>
    </row>
    <row r="38383" spans="1:1" x14ac:dyDescent="0.3">
      <c r="A38383" t="s">
        <v>0</v>
      </c>
    </row>
    <row r="38384" spans="1:1" x14ac:dyDescent="0.3">
      <c r="A38384" t="s">
        <v>0</v>
      </c>
    </row>
    <row r="38385" spans="1:1" x14ac:dyDescent="0.3">
      <c r="A38385" t="s">
        <v>0</v>
      </c>
    </row>
    <row r="38386" spans="1:1" x14ac:dyDescent="0.3">
      <c r="A38386" t="s">
        <v>0</v>
      </c>
    </row>
    <row r="38387" spans="1:1" x14ac:dyDescent="0.3">
      <c r="A38387" t="s">
        <v>0</v>
      </c>
    </row>
    <row r="38388" spans="1:1" x14ac:dyDescent="0.3">
      <c r="A38388" t="s">
        <v>0</v>
      </c>
    </row>
    <row r="38389" spans="1:1" x14ac:dyDescent="0.3">
      <c r="A38389" t="s">
        <v>0</v>
      </c>
    </row>
    <row r="38390" spans="1:1" x14ac:dyDescent="0.3">
      <c r="A38390" t="s">
        <v>0</v>
      </c>
    </row>
    <row r="38391" spans="1:1" x14ac:dyDescent="0.3">
      <c r="A38391" t="s">
        <v>0</v>
      </c>
    </row>
    <row r="38392" spans="1:1" x14ac:dyDescent="0.3">
      <c r="A38392" t="s">
        <v>0</v>
      </c>
    </row>
    <row r="38393" spans="1:1" x14ac:dyDescent="0.3">
      <c r="A38393" t="s">
        <v>0</v>
      </c>
    </row>
    <row r="38394" spans="1:1" x14ac:dyDescent="0.3">
      <c r="A38394" t="s">
        <v>0</v>
      </c>
    </row>
    <row r="38395" spans="1:1" x14ac:dyDescent="0.3">
      <c r="A38395" t="s">
        <v>0</v>
      </c>
    </row>
    <row r="38396" spans="1:1" x14ac:dyDescent="0.3">
      <c r="A38396" t="s">
        <v>0</v>
      </c>
    </row>
    <row r="38397" spans="1:1" x14ac:dyDescent="0.3">
      <c r="A38397" t="s">
        <v>0</v>
      </c>
    </row>
    <row r="38398" spans="1:1" x14ac:dyDescent="0.3">
      <c r="A38398" t="s">
        <v>0</v>
      </c>
    </row>
    <row r="38399" spans="1:1" x14ac:dyDescent="0.3">
      <c r="A38399" t="s">
        <v>0</v>
      </c>
    </row>
    <row r="38400" spans="1:1" x14ac:dyDescent="0.3">
      <c r="A38400" t="s">
        <v>0</v>
      </c>
    </row>
    <row r="38401" spans="1:1" x14ac:dyDescent="0.3">
      <c r="A38401" t="s">
        <v>0</v>
      </c>
    </row>
    <row r="38402" spans="1:1" x14ac:dyDescent="0.3">
      <c r="A38402" t="s">
        <v>0</v>
      </c>
    </row>
    <row r="38403" spans="1:1" x14ac:dyDescent="0.3">
      <c r="A38403" t="s">
        <v>0</v>
      </c>
    </row>
    <row r="38404" spans="1:1" x14ac:dyDescent="0.3">
      <c r="A38404" t="s">
        <v>0</v>
      </c>
    </row>
    <row r="38405" spans="1:1" x14ac:dyDescent="0.3">
      <c r="A38405" t="s">
        <v>0</v>
      </c>
    </row>
    <row r="38406" spans="1:1" x14ac:dyDescent="0.3">
      <c r="A38406" t="s">
        <v>0</v>
      </c>
    </row>
    <row r="38407" spans="1:1" x14ac:dyDescent="0.3">
      <c r="A38407" t="s">
        <v>0</v>
      </c>
    </row>
    <row r="38408" spans="1:1" x14ac:dyDescent="0.3">
      <c r="A38408" t="s">
        <v>0</v>
      </c>
    </row>
    <row r="38409" spans="1:1" x14ac:dyDescent="0.3">
      <c r="A38409" t="s">
        <v>0</v>
      </c>
    </row>
    <row r="38410" spans="1:1" x14ac:dyDescent="0.3">
      <c r="A38410" t="s">
        <v>0</v>
      </c>
    </row>
    <row r="38411" spans="1:1" x14ac:dyDescent="0.3">
      <c r="A38411" t="s">
        <v>0</v>
      </c>
    </row>
    <row r="38412" spans="1:1" x14ac:dyDescent="0.3">
      <c r="A38412" t="s">
        <v>0</v>
      </c>
    </row>
    <row r="38413" spans="1:1" x14ac:dyDescent="0.3">
      <c r="A38413" t="s">
        <v>0</v>
      </c>
    </row>
    <row r="38414" spans="1:1" x14ac:dyDescent="0.3">
      <c r="A38414" t="s">
        <v>0</v>
      </c>
    </row>
    <row r="38415" spans="1:1" x14ac:dyDescent="0.3">
      <c r="A38415" t="s">
        <v>0</v>
      </c>
    </row>
    <row r="38416" spans="1:1" x14ac:dyDescent="0.3">
      <c r="A38416" t="s">
        <v>0</v>
      </c>
    </row>
    <row r="38417" spans="1:1" x14ac:dyDescent="0.3">
      <c r="A38417" t="s">
        <v>0</v>
      </c>
    </row>
    <row r="38418" spans="1:1" x14ac:dyDescent="0.3">
      <c r="A38418" t="s">
        <v>0</v>
      </c>
    </row>
    <row r="38419" spans="1:1" x14ac:dyDescent="0.3">
      <c r="A38419" t="s">
        <v>0</v>
      </c>
    </row>
    <row r="38420" spans="1:1" x14ac:dyDescent="0.3">
      <c r="A38420" t="s">
        <v>0</v>
      </c>
    </row>
    <row r="38421" spans="1:1" x14ac:dyDescent="0.3">
      <c r="A38421" t="s">
        <v>0</v>
      </c>
    </row>
    <row r="38422" spans="1:1" x14ac:dyDescent="0.3">
      <c r="A38422" t="s">
        <v>0</v>
      </c>
    </row>
    <row r="38423" spans="1:1" x14ac:dyDescent="0.3">
      <c r="A38423" t="s">
        <v>0</v>
      </c>
    </row>
    <row r="38424" spans="1:1" x14ac:dyDescent="0.3">
      <c r="A38424" t="s">
        <v>0</v>
      </c>
    </row>
    <row r="38425" spans="1:1" x14ac:dyDescent="0.3">
      <c r="A38425" t="s">
        <v>0</v>
      </c>
    </row>
    <row r="38426" spans="1:1" x14ac:dyDescent="0.3">
      <c r="A38426" t="s">
        <v>0</v>
      </c>
    </row>
    <row r="38427" spans="1:1" x14ac:dyDescent="0.3">
      <c r="A38427" t="s">
        <v>0</v>
      </c>
    </row>
    <row r="38428" spans="1:1" x14ac:dyDescent="0.3">
      <c r="A38428" t="s">
        <v>0</v>
      </c>
    </row>
    <row r="38429" spans="1:1" x14ac:dyDescent="0.3">
      <c r="A38429" t="s">
        <v>0</v>
      </c>
    </row>
    <row r="38430" spans="1:1" x14ac:dyDescent="0.3">
      <c r="A38430" t="s">
        <v>0</v>
      </c>
    </row>
    <row r="38431" spans="1:1" x14ac:dyDescent="0.3">
      <c r="A38431" t="s">
        <v>0</v>
      </c>
    </row>
    <row r="38432" spans="1:1" x14ac:dyDescent="0.3">
      <c r="A38432" t="s">
        <v>0</v>
      </c>
    </row>
    <row r="38433" spans="1:1" x14ac:dyDescent="0.3">
      <c r="A38433" t="s">
        <v>0</v>
      </c>
    </row>
    <row r="38434" spans="1:1" x14ac:dyDescent="0.3">
      <c r="A38434" t="s">
        <v>0</v>
      </c>
    </row>
    <row r="38435" spans="1:1" x14ac:dyDescent="0.3">
      <c r="A38435" t="s">
        <v>0</v>
      </c>
    </row>
    <row r="38436" spans="1:1" x14ac:dyDescent="0.3">
      <c r="A38436" t="s">
        <v>0</v>
      </c>
    </row>
    <row r="38437" spans="1:1" x14ac:dyDescent="0.3">
      <c r="A38437" t="s">
        <v>0</v>
      </c>
    </row>
    <row r="38438" spans="1:1" x14ac:dyDescent="0.3">
      <c r="A38438" t="s">
        <v>0</v>
      </c>
    </row>
    <row r="38439" spans="1:1" x14ac:dyDescent="0.3">
      <c r="A38439" t="s">
        <v>0</v>
      </c>
    </row>
    <row r="38440" spans="1:1" x14ac:dyDescent="0.3">
      <c r="A38440" t="s">
        <v>0</v>
      </c>
    </row>
    <row r="38441" spans="1:1" x14ac:dyDescent="0.3">
      <c r="A38441" t="s">
        <v>0</v>
      </c>
    </row>
    <row r="38442" spans="1:1" x14ac:dyDescent="0.3">
      <c r="A38442" t="s">
        <v>0</v>
      </c>
    </row>
    <row r="38443" spans="1:1" x14ac:dyDescent="0.3">
      <c r="A38443" t="s">
        <v>0</v>
      </c>
    </row>
    <row r="38444" spans="1:1" x14ac:dyDescent="0.3">
      <c r="A38444" t="s">
        <v>0</v>
      </c>
    </row>
    <row r="38445" spans="1:1" x14ac:dyDescent="0.3">
      <c r="A38445" t="s">
        <v>0</v>
      </c>
    </row>
    <row r="38446" spans="1:1" x14ac:dyDescent="0.3">
      <c r="A38446" t="s">
        <v>0</v>
      </c>
    </row>
    <row r="38447" spans="1:1" x14ac:dyDescent="0.3">
      <c r="A38447" t="s">
        <v>0</v>
      </c>
    </row>
    <row r="38448" spans="1:1" x14ac:dyDescent="0.3">
      <c r="A38448" t="s">
        <v>0</v>
      </c>
    </row>
    <row r="38449" spans="1:1" x14ac:dyDescent="0.3">
      <c r="A38449" t="s">
        <v>0</v>
      </c>
    </row>
    <row r="38450" spans="1:1" x14ac:dyDescent="0.3">
      <c r="A38450" t="s">
        <v>0</v>
      </c>
    </row>
    <row r="38451" spans="1:1" x14ac:dyDescent="0.3">
      <c r="A38451" t="s">
        <v>0</v>
      </c>
    </row>
    <row r="38452" spans="1:1" x14ac:dyDescent="0.3">
      <c r="A38452" t="s">
        <v>0</v>
      </c>
    </row>
    <row r="38453" spans="1:1" x14ac:dyDescent="0.3">
      <c r="A38453" t="s">
        <v>0</v>
      </c>
    </row>
    <row r="38454" spans="1:1" x14ac:dyDescent="0.3">
      <c r="A38454" t="s">
        <v>0</v>
      </c>
    </row>
    <row r="38455" spans="1:1" x14ac:dyDescent="0.3">
      <c r="A38455" t="s">
        <v>0</v>
      </c>
    </row>
    <row r="38456" spans="1:1" x14ac:dyDescent="0.3">
      <c r="A38456" t="s">
        <v>0</v>
      </c>
    </row>
    <row r="38457" spans="1:1" x14ac:dyDescent="0.3">
      <c r="A38457" t="s">
        <v>0</v>
      </c>
    </row>
    <row r="38458" spans="1:1" x14ac:dyDescent="0.3">
      <c r="A38458" t="s">
        <v>0</v>
      </c>
    </row>
    <row r="38459" spans="1:1" x14ac:dyDescent="0.3">
      <c r="A38459" t="s">
        <v>0</v>
      </c>
    </row>
    <row r="38460" spans="1:1" x14ac:dyDescent="0.3">
      <c r="A38460" t="s">
        <v>0</v>
      </c>
    </row>
    <row r="38461" spans="1:1" x14ac:dyDescent="0.3">
      <c r="A38461" t="s">
        <v>0</v>
      </c>
    </row>
    <row r="38462" spans="1:1" x14ac:dyDescent="0.3">
      <c r="A38462" t="s">
        <v>0</v>
      </c>
    </row>
    <row r="38463" spans="1:1" x14ac:dyDescent="0.3">
      <c r="A38463" t="s">
        <v>0</v>
      </c>
    </row>
    <row r="38464" spans="1:1" x14ac:dyDescent="0.3">
      <c r="A38464" t="s">
        <v>0</v>
      </c>
    </row>
    <row r="38465" spans="1:1" x14ac:dyDescent="0.3">
      <c r="A38465" t="s">
        <v>0</v>
      </c>
    </row>
    <row r="38466" spans="1:1" x14ac:dyDescent="0.3">
      <c r="A38466" t="s">
        <v>0</v>
      </c>
    </row>
    <row r="38467" spans="1:1" x14ac:dyDescent="0.3">
      <c r="A38467" t="s">
        <v>0</v>
      </c>
    </row>
    <row r="38468" spans="1:1" x14ac:dyDescent="0.3">
      <c r="A38468" t="s">
        <v>0</v>
      </c>
    </row>
    <row r="38469" spans="1:1" x14ac:dyDescent="0.3">
      <c r="A38469" t="s">
        <v>0</v>
      </c>
    </row>
    <row r="38470" spans="1:1" x14ac:dyDescent="0.3">
      <c r="A38470" t="s">
        <v>0</v>
      </c>
    </row>
    <row r="38471" spans="1:1" x14ac:dyDescent="0.3">
      <c r="A38471" t="s">
        <v>0</v>
      </c>
    </row>
    <row r="38472" spans="1:1" x14ac:dyDescent="0.3">
      <c r="A38472" t="s">
        <v>0</v>
      </c>
    </row>
    <row r="38473" spans="1:1" x14ac:dyDescent="0.3">
      <c r="A38473" t="s">
        <v>0</v>
      </c>
    </row>
    <row r="38474" spans="1:1" x14ac:dyDescent="0.3">
      <c r="A38474" t="s">
        <v>0</v>
      </c>
    </row>
    <row r="38475" spans="1:1" x14ac:dyDescent="0.3">
      <c r="A38475" t="s">
        <v>0</v>
      </c>
    </row>
    <row r="38476" spans="1:1" x14ac:dyDescent="0.3">
      <c r="A38476" t="s">
        <v>0</v>
      </c>
    </row>
    <row r="38477" spans="1:1" x14ac:dyDescent="0.3">
      <c r="A38477" t="s">
        <v>0</v>
      </c>
    </row>
    <row r="38478" spans="1:1" x14ac:dyDescent="0.3">
      <c r="A38478" t="s">
        <v>0</v>
      </c>
    </row>
    <row r="38479" spans="1:1" x14ac:dyDescent="0.3">
      <c r="A38479" t="s">
        <v>0</v>
      </c>
    </row>
    <row r="38480" spans="1:1" x14ac:dyDescent="0.3">
      <c r="A38480" t="s">
        <v>0</v>
      </c>
    </row>
    <row r="38481" spans="1:1" x14ac:dyDescent="0.3">
      <c r="A38481" t="s">
        <v>0</v>
      </c>
    </row>
    <row r="38482" spans="1:1" x14ac:dyDescent="0.3">
      <c r="A38482" t="s">
        <v>0</v>
      </c>
    </row>
    <row r="38483" spans="1:1" x14ac:dyDescent="0.3">
      <c r="A38483" t="s">
        <v>0</v>
      </c>
    </row>
    <row r="38484" spans="1:1" x14ac:dyDescent="0.3">
      <c r="A38484" t="s">
        <v>0</v>
      </c>
    </row>
    <row r="38485" spans="1:1" x14ac:dyDescent="0.3">
      <c r="A38485" t="s">
        <v>0</v>
      </c>
    </row>
    <row r="38486" spans="1:1" x14ac:dyDescent="0.3">
      <c r="A38486" t="s">
        <v>0</v>
      </c>
    </row>
    <row r="38487" spans="1:1" x14ac:dyDescent="0.3">
      <c r="A38487" t="s">
        <v>0</v>
      </c>
    </row>
    <row r="38488" spans="1:1" x14ac:dyDescent="0.3">
      <c r="A38488" t="s">
        <v>0</v>
      </c>
    </row>
    <row r="38489" spans="1:1" x14ac:dyDescent="0.3">
      <c r="A38489" t="s">
        <v>0</v>
      </c>
    </row>
    <row r="38490" spans="1:1" x14ac:dyDescent="0.3">
      <c r="A38490" t="s">
        <v>0</v>
      </c>
    </row>
    <row r="38491" spans="1:1" x14ac:dyDescent="0.3">
      <c r="A38491" t="s">
        <v>0</v>
      </c>
    </row>
    <row r="38492" spans="1:1" x14ac:dyDescent="0.3">
      <c r="A38492" t="s">
        <v>0</v>
      </c>
    </row>
    <row r="38493" spans="1:1" x14ac:dyDescent="0.3">
      <c r="A38493" t="s">
        <v>0</v>
      </c>
    </row>
    <row r="38494" spans="1:1" x14ac:dyDescent="0.3">
      <c r="A38494" t="s">
        <v>0</v>
      </c>
    </row>
    <row r="38495" spans="1:1" x14ac:dyDescent="0.3">
      <c r="A38495" t="s">
        <v>0</v>
      </c>
    </row>
    <row r="38496" spans="1:1" x14ac:dyDescent="0.3">
      <c r="A38496" t="s">
        <v>0</v>
      </c>
    </row>
    <row r="38497" spans="1:1" x14ac:dyDescent="0.3">
      <c r="A38497" t="s">
        <v>0</v>
      </c>
    </row>
    <row r="38498" spans="1:1" x14ac:dyDescent="0.3">
      <c r="A38498" t="s">
        <v>0</v>
      </c>
    </row>
    <row r="38499" spans="1:1" x14ac:dyDescent="0.3">
      <c r="A38499" t="s">
        <v>0</v>
      </c>
    </row>
    <row r="38500" spans="1:1" x14ac:dyDescent="0.3">
      <c r="A38500" t="s">
        <v>0</v>
      </c>
    </row>
    <row r="38501" spans="1:1" x14ac:dyDescent="0.3">
      <c r="A38501" t="s">
        <v>0</v>
      </c>
    </row>
    <row r="38502" spans="1:1" x14ac:dyDescent="0.3">
      <c r="A38502" t="s">
        <v>0</v>
      </c>
    </row>
    <row r="38503" spans="1:1" x14ac:dyDescent="0.3">
      <c r="A38503" t="s">
        <v>0</v>
      </c>
    </row>
    <row r="38504" spans="1:1" x14ac:dyDescent="0.3">
      <c r="A38504" t="s">
        <v>0</v>
      </c>
    </row>
    <row r="38505" spans="1:1" x14ac:dyDescent="0.3">
      <c r="A38505" t="s">
        <v>0</v>
      </c>
    </row>
    <row r="38506" spans="1:1" x14ac:dyDescent="0.3">
      <c r="A38506" t="s">
        <v>0</v>
      </c>
    </row>
    <row r="38507" spans="1:1" x14ac:dyDescent="0.3">
      <c r="A38507" t="s">
        <v>0</v>
      </c>
    </row>
    <row r="38508" spans="1:1" x14ac:dyDescent="0.3">
      <c r="A38508" t="s">
        <v>0</v>
      </c>
    </row>
    <row r="38509" spans="1:1" x14ac:dyDescent="0.3">
      <c r="A38509" t="s">
        <v>0</v>
      </c>
    </row>
    <row r="38510" spans="1:1" x14ac:dyDescent="0.3">
      <c r="A38510" t="s">
        <v>0</v>
      </c>
    </row>
    <row r="38511" spans="1:1" x14ac:dyDescent="0.3">
      <c r="A38511" t="s">
        <v>0</v>
      </c>
    </row>
    <row r="38512" spans="1:1" x14ac:dyDescent="0.3">
      <c r="A38512" t="s">
        <v>0</v>
      </c>
    </row>
    <row r="38513" spans="1:1" x14ac:dyDescent="0.3">
      <c r="A38513" t="s">
        <v>0</v>
      </c>
    </row>
    <row r="38514" spans="1:1" x14ac:dyDescent="0.3">
      <c r="A38514" t="s">
        <v>0</v>
      </c>
    </row>
    <row r="38515" spans="1:1" x14ac:dyDescent="0.3">
      <c r="A38515" t="s">
        <v>0</v>
      </c>
    </row>
    <row r="38516" spans="1:1" x14ac:dyDescent="0.3">
      <c r="A38516" t="s">
        <v>0</v>
      </c>
    </row>
    <row r="38517" spans="1:1" x14ac:dyDescent="0.3">
      <c r="A38517" t="s">
        <v>0</v>
      </c>
    </row>
    <row r="38518" spans="1:1" x14ac:dyDescent="0.3">
      <c r="A38518" t="s">
        <v>0</v>
      </c>
    </row>
    <row r="38519" spans="1:1" x14ac:dyDescent="0.3">
      <c r="A38519" t="s">
        <v>0</v>
      </c>
    </row>
    <row r="38520" spans="1:1" x14ac:dyDescent="0.3">
      <c r="A38520" t="s">
        <v>0</v>
      </c>
    </row>
    <row r="38521" spans="1:1" x14ac:dyDescent="0.3">
      <c r="A38521" t="s">
        <v>0</v>
      </c>
    </row>
    <row r="38522" spans="1:1" x14ac:dyDescent="0.3">
      <c r="A38522" t="s">
        <v>0</v>
      </c>
    </row>
    <row r="38523" spans="1:1" x14ac:dyDescent="0.3">
      <c r="A38523" t="s">
        <v>0</v>
      </c>
    </row>
    <row r="38524" spans="1:1" x14ac:dyDescent="0.3">
      <c r="A38524" t="s">
        <v>0</v>
      </c>
    </row>
    <row r="38525" spans="1:1" x14ac:dyDescent="0.3">
      <c r="A38525" t="s">
        <v>0</v>
      </c>
    </row>
    <row r="38526" spans="1:1" x14ac:dyDescent="0.3">
      <c r="A38526" t="s">
        <v>0</v>
      </c>
    </row>
    <row r="38527" spans="1:1" x14ac:dyDescent="0.3">
      <c r="A38527" t="s">
        <v>0</v>
      </c>
    </row>
    <row r="38528" spans="1:1" x14ac:dyDescent="0.3">
      <c r="A38528" t="s">
        <v>0</v>
      </c>
    </row>
    <row r="38529" spans="1:1" x14ac:dyDescent="0.3">
      <c r="A38529" t="s">
        <v>0</v>
      </c>
    </row>
    <row r="38530" spans="1:1" x14ac:dyDescent="0.3">
      <c r="A38530" t="s">
        <v>0</v>
      </c>
    </row>
    <row r="38531" spans="1:1" x14ac:dyDescent="0.3">
      <c r="A38531" t="s">
        <v>0</v>
      </c>
    </row>
    <row r="38532" spans="1:1" x14ac:dyDescent="0.3">
      <c r="A38532" t="s">
        <v>0</v>
      </c>
    </row>
    <row r="38533" spans="1:1" x14ac:dyDescent="0.3">
      <c r="A38533" t="s">
        <v>0</v>
      </c>
    </row>
    <row r="38534" spans="1:1" x14ac:dyDescent="0.3">
      <c r="A38534" t="s">
        <v>0</v>
      </c>
    </row>
    <row r="38535" spans="1:1" x14ac:dyDescent="0.3">
      <c r="A38535" t="s">
        <v>0</v>
      </c>
    </row>
    <row r="38536" spans="1:1" x14ac:dyDescent="0.3">
      <c r="A38536" t="s">
        <v>0</v>
      </c>
    </row>
    <row r="38537" spans="1:1" x14ac:dyDescent="0.3">
      <c r="A38537" t="s">
        <v>0</v>
      </c>
    </row>
    <row r="38538" spans="1:1" x14ac:dyDescent="0.3">
      <c r="A38538" t="s">
        <v>0</v>
      </c>
    </row>
    <row r="38539" spans="1:1" x14ac:dyDescent="0.3">
      <c r="A38539" t="s">
        <v>0</v>
      </c>
    </row>
    <row r="38540" spans="1:1" x14ac:dyDescent="0.3">
      <c r="A38540" t="s">
        <v>0</v>
      </c>
    </row>
    <row r="38541" spans="1:1" x14ac:dyDescent="0.3">
      <c r="A38541" t="s">
        <v>0</v>
      </c>
    </row>
    <row r="38542" spans="1:1" x14ac:dyDescent="0.3">
      <c r="A38542" t="s">
        <v>0</v>
      </c>
    </row>
    <row r="38543" spans="1:1" x14ac:dyDescent="0.3">
      <c r="A38543" t="s">
        <v>0</v>
      </c>
    </row>
    <row r="38544" spans="1:1" x14ac:dyDescent="0.3">
      <c r="A38544" t="s">
        <v>0</v>
      </c>
    </row>
    <row r="38545" spans="1:1" x14ac:dyDescent="0.3">
      <c r="A38545" t="s">
        <v>0</v>
      </c>
    </row>
    <row r="38546" spans="1:1" x14ac:dyDescent="0.3">
      <c r="A38546" t="s">
        <v>0</v>
      </c>
    </row>
    <row r="38547" spans="1:1" x14ac:dyDescent="0.3">
      <c r="A38547" t="s">
        <v>0</v>
      </c>
    </row>
    <row r="38548" spans="1:1" x14ac:dyDescent="0.3">
      <c r="A38548" t="s">
        <v>0</v>
      </c>
    </row>
    <row r="38549" spans="1:1" x14ac:dyDescent="0.3">
      <c r="A38549" t="s">
        <v>0</v>
      </c>
    </row>
    <row r="38550" spans="1:1" x14ac:dyDescent="0.3">
      <c r="A38550" t="s">
        <v>0</v>
      </c>
    </row>
    <row r="38551" spans="1:1" x14ac:dyDescent="0.3">
      <c r="A38551" t="s">
        <v>0</v>
      </c>
    </row>
    <row r="38552" spans="1:1" x14ac:dyDescent="0.3">
      <c r="A38552" t="s">
        <v>0</v>
      </c>
    </row>
    <row r="38553" spans="1:1" x14ac:dyDescent="0.3">
      <c r="A38553" t="s">
        <v>0</v>
      </c>
    </row>
    <row r="38554" spans="1:1" x14ac:dyDescent="0.3">
      <c r="A38554" t="s">
        <v>0</v>
      </c>
    </row>
    <row r="38555" spans="1:1" x14ac:dyDescent="0.3">
      <c r="A38555" t="s">
        <v>0</v>
      </c>
    </row>
    <row r="38556" spans="1:1" x14ac:dyDescent="0.3">
      <c r="A38556" t="s">
        <v>0</v>
      </c>
    </row>
    <row r="38557" spans="1:1" x14ac:dyDescent="0.3">
      <c r="A38557" t="s">
        <v>0</v>
      </c>
    </row>
    <row r="38558" spans="1:1" x14ac:dyDescent="0.3">
      <c r="A38558" t="s">
        <v>0</v>
      </c>
    </row>
    <row r="38559" spans="1:1" x14ac:dyDescent="0.3">
      <c r="A38559" t="s">
        <v>0</v>
      </c>
    </row>
    <row r="38560" spans="1:1" x14ac:dyDescent="0.3">
      <c r="A38560" t="s">
        <v>0</v>
      </c>
    </row>
    <row r="38561" spans="1:1" x14ac:dyDescent="0.3">
      <c r="A38561" t="s">
        <v>0</v>
      </c>
    </row>
    <row r="38562" spans="1:1" x14ac:dyDescent="0.3">
      <c r="A38562" t="s">
        <v>0</v>
      </c>
    </row>
    <row r="38563" spans="1:1" x14ac:dyDescent="0.3">
      <c r="A38563" t="s">
        <v>0</v>
      </c>
    </row>
    <row r="38564" spans="1:1" x14ac:dyDescent="0.3">
      <c r="A38564" t="s">
        <v>0</v>
      </c>
    </row>
    <row r="38565" spans="1:1" x14ac:dyDescent="0.3">
      <c r="A38565" t="s">
        <v>0</v>
      </c>
    </row>
    <row r="38566" spans="1:1" x14ac:dyDescent="0.3">
      <c r="A38566" t="s">
        <v>0</v>
      </c>
    </row>
    <row r="38567" spans="1:1" x14ac:dyDescent="0.3">
      <c r="A38567" t="s">
        <v>0</v>
      </c>
    </row>
    <row r="38568" spans="1:1" x14ac:dyDescent="0.3">
      <c r="A38568" t="s">
        <v>0</v>
      </c>
    </row>
    <row r="38569" spans="1:1" x14ac:dyDescent="0.3">
      <c r="A38569" t="s">
        <v>0</v>
      </c>
    </row>
    <row r="38570" spans="1:1" x14ac:dyDescent="0.3">
      <c r="A38570" t="s">
        <v>0</v>
      </c>
    </row>
    <row r="38571" spans="1:1" x14ac:dyDescent="0.3">
      <c r="A38571" t="s">
        <v>0</v>
      </c>
    </row>
    <row r="38572" spans="1:1" x14ac:dyDescent="0.3">
      <c r="A38572" t="s">
        <v>0</v>
      </c>
    </row>
    <row r="38573" spans="1:1" x14ac:dyDescent="0.3">
      <c r="A38573" t="s">
        <v>0</v>
      </c>
    </row>
    <row r="38574" spans="1:1" x14ac:dyDescent="0.3">
      <c r="A38574" t="s">
        <v>0</v>
      </c>
    </row>
    <row r="38575" spans="1:1" x14ac:dyDescent="0.3">
      <c r="A38575" t="s">
        <v>0</v>
      </c>
    </row>
    <row r="38576" spans="1:1" x14ac:dyDescent="0.3">
      <c r="A38576" t="s">
        <v>0</v>
      </c>
    </row>
    <row r="38577" spans="1:1" x14ac:dyDescent="0.3">
      <c r="A38577" t="s">
        <v>0</v>
      </c>
    </row>
    <row r="38578" spans="1:1" x14ac:dyDescent="0.3">
      <c r="A38578" t="s">
        <v>0</v>
      </c>
    </row>
    <row r="38579" spans="1:1" x14ac:dyDescent="0.3">
      <c r="A38579" t="s">
        <v>0</v>
      </c>
    </row>
    <row r="38580" spans="1:1" x14ac:dyDescent="0.3">
      <c r="A38580" t="s">
        <v>0</v>
      </c>
    </row>
    <row r="38581" spans="1:1" x14ac:dyDescent="0.3">
      <c r="A38581" t="s">
        <v>0</v>
      </c>
    </row>
    <row r="38582" spans="1:1" x14ac:dyDescent="0.3">
      <c r="A38582" t="s">
        <v>0</v>
      </c>
    </row>
    <row r="38583" spans="1:1" x14ac:dyDescent="0.3">
      <c r="A38583" t="s">
        <v>0</v>
      </c>
    </row>
    <row r="38584" spans="1:1" x14ac:dyDescent="0.3">
      <c r="A38584" t="s">
        <v>0</v>
      </c>
    </row>
    <row r="38585" spans="1:1" x14ac:dyDescent="0.3">
      <c r="A38585" t="s">
        <v>0</v>
      </c>
    </row>
    <row r="38586" spans="1:1" x14ac:dyDescent="0.3">
      <c r="A38586" t="s">
        <v>0</v>
      </c>
    </row>
    <row r="38587" spans="1:1" x14ac:dyDescent="0.3">
      <c r="A38587" t="s">
        <v>0</v>
      </c>
    </row>
    <row r="38588" spans="1:1" x14ac:dyDescent="0.3">
      <c r="A38588" t="s">
        <v>0</v>
      </c>
    </row>
    <row r="38589" spans="1:1" x14ac:dyDescent="0.3">
      <c r="A38589" t="s">
        <v>0</v>
      </c>
    </row>
    <row r="38590" spans="1:1" x14ac:dyDescent="0.3">
      <c r="A38590" t="s">
        <v>0</v>
      </c>
    </row>
    <row r="38591" spans="1:1" x14ac:dyDescent="0.3">
      <c r="A38591" t="s">
        <v>0</v>
      </c>
    </row>
    <row r="38592" spans="1:1" x14ac:dyDescent="0.3">
      <c r="A38592" t="s">
        <v>0</v>
      </c>
    </row>
    <row r="38593" spans="1:1" x14ac:dyDescent="0.3">
      <c r="A38593" t="s">
        <v>0</v>
      </c>
    </row>
    <row r="38594" spans="1:1" x14ac:dyDescent="0.3">
      <c r="A38594" t="s">
        <v>0</v>
      </c>
    </row>
    <row r="38595" spans="1:1" x14ac:dyDescent="0.3">
      <c r="A38595" t="s">
        <v>0</v>
      </c>
    </row>
    <row r="38596" spans="1:1" x14ac:dyDescent="0.3">
      <c r="A38596" t="s">
        <v>0</v>
      </c>
    </row>
    <row r="38597" spans="1:1" x14ac:dyDescent="0.3">
      <c r="A38597" t="s">
        <v>0</v>
      </c>
    </row>
    <row r="38598" spans="1:1" x14ac:dyDescent="0.3">
      <c r="A38598" t="s">
        <v>0</v>
      </c>
    </row>
    <row r="38599" spans="1:1" x14ac:dyDescent="0.3">
      <c r="A38599" t="s">
        <v>0</v>
      </c>
    </row>
    <row r="38600" spans="1:1" x14ac:dyDescent="0.3">
      <c r="A38600" t="s">
        <v>0</v>
      </c>
    </row>
    <row r="38601" spans="1:1" x14ac:dyDescent="0.3">
      <c r="A38601" t="s">
        <v>0</v>
      </c>
    </row>
    <row r="38602" spans="1:1" x14ac:dyDescent="0.3">
      <c r="A38602" t="s">
        <v>0</v>
      </c>
    </row>
    <row r="38603" spans="1:1" x14ac:dyDescent="0.3">
      <c r="A38603" t="s">
        <v>0</v>
      </c>
    </row>
    <row r="38604" spans="1:1" x14ac:dyDescent="0.3">
      <c r="A38604" t="s">
        <v>0</v>
      </c>
    </row>
    <row r="38605" spans="1:1" x14ac:dyDescent="0.3">
      <c r="A38605" t="s">
        <v>0</v>
      </c>
    </row>
    <row r="38606" spans="1:1" x14ac:dyDescent="0.3">
      <c r="A38606" t="s">
        <v>0</v>
      </c>
    </row>
    <row r="38607" spans="1:1" x14ac:dyDescent="0.3">
      <c r="A38607" t="s">
        <v>0</v>
      </c>
    </row>
    <row r="38608" spans="1:1" x14ac:dyDescent="0.3">
      <c r="A38608" t="s">
        <v>0</v>
      </c>
    </row>
    <row r="38609" spans="1:1" x14ac:dyDescent="0.3">
      <c r="A38609" t="s">
        <v>0</v>
      </c>
    </row>
    <row r="38610" spans="1:1" x14ac:dyDescent="0.3">
      <c r="A38610" t="s">
        <v>0</v>
      </c>
    </row>
    <row r="38611" spans="1:1" x14ac:dyDescent="0.3">
      <c r="A38611" t="s">
        <v>0</v>
      </c>
    </row>
    <row r="38612" spans="1:1" x14ac:dyDescent="0.3">
      <c r="A38612" t="s">
        <v>0</v>
      </c>
    </row>
    <row r="38613" spans="1:1" x14ac:dyDescent="0.3">
      <c r="A38613" t="s">
        <v>0</v>
      </c>
    </row>
    <row r="38614" spans="1:1" x14ac:dyDescent="0.3">
      <c r="A38614" t="s">
        <v>0</v>
      </c>
    </row>
    <row r="38615" spans="1:1" x14ac:dyDescent="0.3">
      <c r="A38615" t="s">
        <v>0</v>
      </c>
    </row>
    <row r="38616" spans="1:1" x14ac:dyDescent="0.3">
      <c r="A38616" t="s">
        <v>0</v>
      </c>
    </row>
    <row r="38617" spans="1:1" x14ac:dyDescent="0.3">
      <c r="A38617" t="s">
        <v>0</v>
      </c>
    </row>
    <row r="38618" spans="1:1" x14ac:dyDescent="0.3">
      <c r="A38618" t="s">
        <v>0</v>
      </c>
    </row>
    <row r="38619" spans="1:1" x14ac:dyDescent="0.3">
      <c r="A38619" t="s">
        <v>0</v>
      </c>
    </row>
    <row r="38620" spans="1:1" x14ac:dyDescent="0.3">
      <c r="A38620" t="s">
        <v>0</v>
      </c>
    </row>
    <row r="38621" spans="1:1" x14ac:dyDescent="0.3">
      <c r="A38621" t="s">
        <v>0</v>
      </c>
    </row>
    <row r="38622" spans="1:1" x14ac:dyDescent="0.3">
      <c r="A38622" t="s">
        <v>0</v>
      </c>
    </row>
    <row r="38623" spans="1:1" x14ac:dyDescent="0.3">
      <c r="A38623" t="s">
        <v>0</v>
      </c>
    </row>
    <row r="38624" spans="1:1" x14ac:dyDescent="0.3">
      <c r="A38624" t="s">
        <v>0</v>
      </c>
    </row>
    <row r="38625" spans="1:1" x14ac:dyDescent="0.3">
      <c r="A38625" t="s">
        <v>0</v>
      </c>
    </row>
    <row r="38626" spans="1:1" x14ac:dyDescent="0.3">
      <c r="A38626" t="s">
        <v>0</v>
      </c>
    </row>
    <row r="38627" spans="1:1" x14ac:dyDescent="0.3">
      <c r="A38627" t="s">
        <v>0</v>
      </c>
    </row>
    <row r="38628" spans="1:1" x14ac:dyDescent="0.3">
      <c r="A38628" t="s">
        <v>0</v>
      </c>
    </row>
    <row r="38629" spans="1:1" x14ac:dyDescent="0.3">
      <c r="A38629" t="s">
        <v>0</v>
      </c>
    </row>
    <row r="38630" spans="1:1" x14ac:dyDescent="0.3">
      <c r="A38630" t="s">
        <v>0</v>
      </c>
    </row>
    <row r="38631" spans="1:1" x14ac:dyDescent="0.3">
      <c r="A38631" t="s">
        <v>0</v>
      </c>
    </row>
    <row r="38632" spans="1:1" x14ac:dyDescent="0.3">
      <c r="A38632" t="s">
        <v>0</v>
      </c>
    </row>
    <row r="38633" spans="1:1" x14ac:dyDescent="0.3">
      <c r="A38633" t="s">
        <v>0</v>
      </c>
    </row>
    <row r="38634" spans="1:1" x14ac:dyDescent="0.3">
      <c r="A38634" t="s">
        <v>0</v>
      </c>
    </row>
    <row r="38635" spans="1:1" x14ac:dyDescent="0.3">
      <c r="A38635" t="s">
        <v>0</v>
      </c>
    </row>
    <row r="38636" spans="1:1" x14ac:dyDescent="0.3">
      <c r="A38636" t="s">
        <v>0</v>
      </c>
    </row>
    <row r="38637" spans="1:1" x14ac:dyDescent="0.3">
      <c r="A38637" t="s">
        <v>0</v>
      </c>
    </row>
    <row r="38638" spans="1:1" x14ac:dyDescent="0.3">
      <c r="A38638" t="s">
        <v>0</v>
      </c>
    </row>
    <row r="38639" spans="1:1" x14ac:dyDescent="0.3">
      <c r="A38639" t="s">
        <v>0</v>
      </c>
    </row>
    <row r="38640" spans="1:1" x14ac:dyDescent="0.3">
      <c r="A38640" t="s">
        <v>0</v>
      </c>
    </row>
    <row r="38641" spans="1:1" x14ac:dyDescent="0.3">
      <c r="A38641" t="s">
        <v>0</v>
      </c>
    </row>
    <row r="38642" spans="1:1" x14ac:dyDescent="0.3">
      <c r="A38642" t="s">
        <v>0</v>
      </c>
    </row>
    <row r="38643" spans="1:1" x14ac:dyDescent="0.3">
      <c r="A38643" t="s">
        <v>0</v>
      </c>
    </row>
    <row r="38644" spans="1:1" x14ac:dyDescent="0.3">
      <c r="A38644" t="s">
        <v>0</v>
      </c>
    </row>
    <row r="38645" spans="1:1" x14ac:dyDescent="0.3">
      <c r="A38645" t="s">
        <v>0</v>
      </c>
    </row>
    <row r="38646" spans="1:1" x14ac:dyDescent="0.3">
      <c r="A38646" t="s">
        <v>0</v>
      </c>
    </row>
    <row r="38647" spans="1:1" x14ac:dyDescent="0.3">
      <c r="A38647" t="s">
        <v>0</v>
      </c>
    </row>
    <row r="38648" spans="1:1" x14ac:dyDescent="0.3">
      <c r="A38648" t="s">
        <v>0</v>
      </c>
    </row>
    <row r="38649" spans="1:1" x14ac:dyDescent="0.3">
      <c r="A38649" t="s">
        <v>0</v>
      </c>
    </row>
    <row r="38650" spans="1:1" x14ac:dyDescent="0.3">
      <c r="A38650" t="s">
        <v>0</v>
      </c>
    </row>
    <row r="38651" spans="1:1" x14ac:dyDescent="0.3">
      <c r="A38651" t="s">
        <v>0</v>
      </c>
    </row>
    <row r="38652" spans="1:1" x14ac:dyDescent="0.3">
      <c r="A38652" t="s">
        <v>0</v>
      </c>
    </row>
    <row r="38653" spans="1:1" x14ac:dyDescent="0.3">
      <c r="A38653" t="s">
        <v>0</v>
      </c>
    </row>
    <row r="38654" spans="1:1" x14ac:dyDescent="0.3">
      <c r="A38654" t="s">
        <v>0</v>
      </c>
    </row>
    <row r="38655" spans="1:1" x14ac:dyDescent="0.3">
      <c r="A38655" t="s">
        <v>0</v>
      </c>
    </row>
    <row r="38656" spans="1:1" x14ac:dyDescent="0.3">
      <c r="A38656" t="s">
        <v>0</v>
      </c>
    </row>
    <row r="38657" spans="1:1" x14ac:dyDescent="0.3">
      <c r="A38657" t="s">
        <v>0</v>
      </c>
    </row>
    <row r="38658" spans="1:1" x14ac:dyDescent="0.3">
      <c r="A38658" t="s">
        <v>0</v>
      </c>
    </row>
    <row r="38659" spans="1:1" x14ac:dyDescent="0.3">
      <c r="A38659" t="s">
        <v>0</v>
      </c>
    </row>
    <row r="38660" spans="1:1" x14ac:dyDescent="0.3">
      <c r="A38660" t="s">
        <v>0</v>
      </c>
    </row>
    <row r="38661" spans="1:1" x14ac:dyDescent="0.3">
      <c r="A38661" t="s">
        <v>0</v>
      </c>
    </row>
    <row r="38662" spans="1:1" x14ac:dyDescent="0.3">
      <c r="A38662" t="s">
        <v>0</v>
      </c>
    </row>
    <row r="38663" spans="1:1" x14ac:dyDescent="0.3">
      <c r="A38663" t="s">
        <v>0</v>
      </c>
    </row>
    <row r="38664" spans="1:1" x14ac:dyDescent="0.3">
      <c r="A38664" t="s">
        <v>0</v>
      </c>
    </row>
    <row r="38665" spans="1:1" x14ac:dyDescent="0.3">
      <c r="A38665" t="s">
        <v>0</v>
      </c>
    </row>
    <row r="38666" spans="1:1" x14ac:dyDescent="0.3">
      <c r="A38666" t="s">
        <v>0</v>
      </c>
    </row>
    <row r="38667" spans="1:1" x14ac:dyDescent="0.3">
      <c r="A38667" t="s">
        <v>0</v>
      </c>
    </row>
    <row r="38668" spans="1:1" x14ac:dyDescent="0.3">
      <c r="A38668" t="s">
        <v>0</v>
      </c>
    </row>
    <row r="38669" spans="1:1" x14ac:dyDescent="0.3">
      <c r="A38669" t="s">
        <v>0</v>
      </c>
    </row>
    <row r="38670" spans="1:1" x14ac:dyDescent="0.3">
      <c r="A38670" t="s">
        <v>0</v>
      </c>
    </row>
    <row r="38671" spans="1:1" x14ac:dyDescent="0.3">
      <c r="A38671" t="s">
        <v>0</v>
      </c>
    </row>
    <row r="38672" spans="1:1" x14ac:dyDescent="0.3">
      <c r="A38672" t="s">
        <v>0</v>
      </c>
    </row>
    <row r="38673" spans="1:1" x14ac:dyDescent="0.3">
      <c r="A38673" t="s">
        <v>0</v>
      </c>
    </row>
    <row r="38674" spans="1:1" x14ac:dyDescent="0.3">
      <c r="A38674" t="s">
        <v>0</v>
      </c>
    </row>
    <row r="38675" spans="1:1" x14ac:dyDescent="0.3">
      <c r="A38675" t="s">
        <v>0</v>
      </c>
    </row>
    <row r="38676" spans="1:1" x14ac:dyDescent="0.3">
      <c r="A38676" t="s">
        <v>0</v>
      </c>
    </row>
    <row r="38677" spans="1:1" x14ac:dyDescent="0.3">
      <c r="A38677" t="s">
        <v>0</v>
      </c>
    </row>
    <row r="38678" spans="1:1" x14ac:dyDescent="0.3">
      <c r="A38678" t="s">
        <v>0</v>
      </c>
    </row>
    <row r="38679" spans="1:1" x14ac:dyDescent="0.3">
      <c r="A38679" t="s">
        <v>0</v>
      </c>
    </row>
    <row r="38680" spans="1:1" x14ac:dyDescent="0.3">
      <c r="A38680" t="s">
        <v>0</v>
      </c>
    </row>
    <row r="38681" spans="1:1" x14ac:dyDescent="0.3">
      <c r="A38681" t="s">
        <v>0</v>
      </c>
    </row>
    <row r="38682" spans="1:1" x14ac:dyDescent="0.3">
      <c r="A38682" t="s">
        <v>0</v>
      </c>
    </row>
    <row r="38683" spans="1:1" x14ac:dyDescent="0.3">
      <c r="A38683" t="s">
        <v>0</v>
      </c>
    </row>
    <row r="38684" spans="1:1" x14ac:dyDescent="0.3">
      <c r="A38684" t="s">
        <v>0</v>
      </c>
    </row>
    <row r="38685" spans="1:1" x14ac:dyDescent="0.3">
      <c r="A38685" t="s">
        <v>0</v>
      </c>
    </row>
    <row r="38686" spans="1:1" x14ac:dyDescent="0.3">
      <c r="A38686" t="s">
        <v>0</v>
      </c>
    </row>
    <row r="38687" spans="1:1" x14ac:dyDescent="0.3">
      <c r="A38687" t="s">
        <v>0</v>
      </c>
    </row>
    <row r="38688" spans="1:1" x14ac:dyDescent="0.3">
      <c r="A38688" t="s">
        <v>0</v>
      </c>
    </row>
    <row r="38689" spans="1:1" x14ac:dyDescent="0.3">
      <c r="A38689" t="s">
        <v>0</v>
      </c>
    </row>
    <row r="38690" spans="1:1" x14ac:dyDescent="0.3">
      <c r="A38690" t="s">
        <v>0</v>
      </c>
    </row>
    <row r="38691" spans="1:1" x14ac:dyDescent="0.3">
      <c r="A38691" t="s">
        <v>0</v>
      </c>
    </row>
    <row r="38692" spans="1:1" x14ac:dyDescent="0.3">
      <c r="A38692" t="s">
        <v>0</v>
      </c>
    </row>
    <row r="38693" spans="1:1" x14ac:dyDescent="0.3">
      <c r="A38693" t="s">
        <v>0</v>
      </c>
    </row>
    <row r="38694" spans="1:1" x14ac:dyDescent="0.3">
      <c r="A38694" t="s">
        <v>0</v>
      </c>
    </row>
    <row r="38695" spans="1:1" x14ac:dyDescent="0.3">
      <c r="A38695" t="s">
        <v>0</v>
      </c>
    </row>
    <row r="38696" spans="1:1" x14ac:dyDescent="0.3">
      <c r="A38696" t="s">
        <v>0</v>
      </c>
    </row>
    <row r="38697" spans="1:1" x14ac:dyDescent="0.3">
      <c r="A38697" t="s">
        <v>0</v>
      </c>
    </row>
    <row r="38698" spans="1:1" x14ac:dyDescent="0.3">
      <c r="A38698" t="s">
        <v>0</v>
      </c>
    </row>
    <row r="38699" spans="1:1" x14ac:dyDescent="0.3">
      <c r="A38699" t="s">
        <v>0</v>
      </c>
    </row>
    <row r="38700" spans="1:1" x14ac:dyDescent="0.3">
      <c r="A38700" t="s">
        <v>0</v>
      </c>
    </row>
    <row r="38701" spans="1:1" x14ac:dyDescent="0.3">
      <c r="A38701" t="s">
        <v>0</v>
      </c>
    </row>
    <row r="38702" spans="1:1" x14ac:dyDescent="0.3">
      <c r="A38702" t="s">
        <v>0</v>
      </c>
    </row>
    <row r="38703" spans="1:1" x14ac:dyDescent="0.3">
      <c r="A38703" t="s">
        <v>0</v>
      </c>
    </row>
    <row r="38704" spans="1:1" x14ac:dyDescent="0.3">
      <c r="A38704" t="s">
        <v>0</v>
      </c>
    </row>
    <row r="38705" spans="1:1" x14ac:dyDescent="0.3">
      <c r="A38705" t="s">
        <v>0</v>
      </c>
    </row>
    <row r="38706" spans="1:1" x14ac:dyDescent="0.3">
      <c r="A38706" t="s">
        <v>0</v>
      </c>
    </row>
    <row r="38707" spans="1:1" x14ac:dyDescent="0.3">
      <c r="A38707" t="s">
        <v>0</v>
      </c>
    </row>
    <row r="38708" spans="1:1" x14ac:dyDescent="0.3">
      <c r="A38708" t="s">
        <v>0</v>
      </c>
    </row>
    <row r="38709" spans="1:1" x14ac:dyDescent="0.3">
      <c r="A38709" t="s">
        <v>0</v>
      </c>
    </row>
    <row r="38710" spans="1:1" x14ac:dyDescent="0.3">
      <c r="A38710" t="s">
        <v>0</v>
      </c>
    </row>
    <row r="38711" spans="1:1" x14ac:dyDescent="0.3">
      <c r="A38711" t="s">
        <v>0</v>
      </c>
    </row>
    <row r="38712" spans="1:1" x14ac:dyDescent="0.3">
      <c r="A38712" t="s">
        <v>0</v>
      </c>
    </row>
    <row r="38713" spans="1:1" x14ac:dyDescent="0.3">
      <c r="A38713" t="s">
        <v>0</v>
      </c>
    </row>
    <row r="38714" spans="1:1" x14ac:dyDescent="0.3">
      <c r="A38714" t="s">
        <v>0</v>
      </c>
    </row>
    <row r="38715" spans="1:1" x14ac:dyDescent="0.3">
      <c r="A38715" t="s">
        <v>0</v>
      </c>
    </row>
    <row r="38716" spans="1:1" x14ac:dyDescent="0.3">
      <c r="A38716" t="s">
        <v>0</v>
      </c>
    </row>
    <row r="38717" spans="1:1" x14ac:dyDescent="0.3">
      <c r="A38717" t="s">
        <v>0</v>
      </c>
    </row>
    <row r="38718" spans="1:1" x14ac:dyDescent="0.3">
      <c r="A38718" t="s">
        <v>0</v>
      </c>
    </row>
    <row r="38719" spans="1:1" x14ac:dyDescent="0.3">
      <c r="A38719" t="s">
        <v>0</v>
      </c>
    </row>
    <row r="38720" spans="1:1" x14ac:dyDescent="0.3">
      <c r="A38720" t="s">
        <v>0</v>
      </c>
    </row>
    <row r="38721" spans="1:1" x14ac:dyDescent="0.3">
      <c r="A38721" t="s">
        <v>0</v>
      </c>
    </row>
    <row r="38722" spans="1:1" x14ac:dyDescent="0.3">
      <c r="A38722" t="s">
        <v>0</v>
      </c>
    </row>
    <row r="38723" spans="1:1" x14ac:dyDescent="0.3">
      <c r="A38723" t="s">
        <v>0</v>
      </c>
    </row>
    <row r="38724" spans="1:1" x14ac:dyDescent="0.3">
      <c r="A38724" t="s">
        <v>0</v>
      </c>
    </row>
    <row r="38725" spans="1:1" x14ac:dyDescent="0.3">
      <c r="A38725" t="s">
        <v>0</v>
      </c>
    </row>
    <row r="38726" spans="1:1" x14ac:dyDescent="0.3">
      <c r="A38726" t="s">
        <v>0</v>
      </c>
    </row>
    <row r="38727" spans="1:1" x14ac:dyDescent="0.3">
      <c r="A38727" t="s">
        <v>0</v>
      </c>
    </row>
    <row r="38728" spans="1:1" x14ac:dyDescent="0.3">
      <c r="A38728" t="s">
        <v>0</v>
      </c>
    </row>
    <row r="38729" spans="1:1" x14ac:dyDescent="0.3">
      <c r="A38729" t="s">
        <v>0</v>
      </c>
    </row>
    <row r="38730" spans="1:1" x14ac:dyDescent="0.3">
      <c r="A38730" t="s">
        <v>0</v>
      </c>
    </row>
    <row r="38731" spans="1:1" x14ac:dyDescent="0.3">
      <c r="A38731" t="s">
        <v>0</v>
      </c>
    </row>
    <row r="38732" spans="1:1" x14ac:dyDescent="0.3">
      <c r="A38732" t="s">
        <v>0</v>
      </c>
    </row>
    <row r="38733" spans="1:1" x14ac:dyDescent="0.3">
      <c r="A38733" t="s">
        <v>0</v>
      </c>
    </row>
    <row r="38734" spans="1:1" x14ac:dyDescent="0.3">
      <c r="A38734" t="s">
        <v>0</v>
      </c>
    </row>
    <row r="38735" spans="1:1" x14ac:dyDescent="0.3">
      <c r="A38735" t="s">
        <v>0</v>
      </c>
    </row>
    <row r="38736" spans="1:1" x14ac:dyDescent="0.3">
      <c r="A38736" t="s">
        <v>0</v>
      </c>
    </row>
    <row r="38737" spans="1:1" x14ac:dyDescent="0.3">
      <c r="A38737" t="s">
        <v>0</v>
      </c>
    </row>
    <row r="38738" spans="1:1" x14ac:dyDescent="0.3">
      <c r="A38738" t="s">
        <v>0</v>
      </c>
    </row>
    <row r="38739" spans="1:1" x14ac:dyDescent="0.3">
      <c r="A38739" t="s">
        <v>0</v>
      </c>
    </row>
    <row r="38740" spans="1:1" x14ac:dyDescent="0.3">
      <c r="A38740" t="s">
        <v>0</v>
      </c>
    </row>
    <row r="38741" spans="1:1" x14ac:dyDescent="0.3">
      <c r="A38741" t="s">
        <v>0</v>
      </c>
    </row>
    <row r="38742" spans="1:1" x14ac:dyDescent="0.3">
      <c r="A38742" t="s">
        <v>0</v>
      </c>
    </row>
    <row r="38743" spans="1:1" x14ac:dyDescent="0.3">
      <c r="A38743" t="s">
        <v>0</v>
      </c>
    </row>
    <row r="38744" spans="1:1" x14ac:dyDescent="0.3">
      <c r="A38744" t="s">
        <v>0</v>
      </c>
    </row>
    <row r="38745" spans="1:1" x14ac:dyDescent="0.3">
      <c r="A38745" t="s">
        <v>0</v>
      </c>
    </row>
    <row r="38746" spans="1:1" x14ac:dyDescent="0.3">
      <c r="A38746" t="s">
        <v>0</v>
      </c>
    </row>
    <row r="38747" spans="1:1" x14ac:dyDescent="0.3">
      <c r="A38747" t="s">
        <v>0</v>
      </c>
    </row>
    <row r="38748" spans="1:1" x14ac:dyDescent="0.3">
      <c r="A38748" t="s">
        <v>0</v>
      </c>
    </row>
    <row r="38749" spans="1:1" x14ac:dyDescent="0.3">
      <c r="A38749" t="s">
        <v>0</v>
      </c>
    </row>
    <row r="38750" spans="1:1" x14ac:dyDescent="0.3">
      <c r="A38750" t="s">
        <v>0</v>
      </c>
    </row>
    <row r="38751" spans="1:1" x14ac:dyDescent="0.3">
      <c r="A38751" t="s">
        <v>0</v>
      </c>
    </row>
    <row r="38752" spans="1:1" x14ac:dyDescent="0.3">
      <c r="A38752" t="s">
        <v>0</v>
      </c>
    </row>
    <row r="38753" spans="1:1" x14ac:dyDescent="0.3">
      <c r="A38753" t="s">
        <v>0</v>
      </c>
    </row>
    <row r="38754" spans="1:1" x14ac:dyDescent="0.3">
      <c r="A38754" t="s">
        <v>0</v>
      </c>
    </row>
    <row r="38755" spans="1:1" x14ac:dyDescent="0.3">
      <c r="A38755" t="s">
        <v>0</v>
      </c>
    </row>
    <row r="38756" spans="1:1" x14ac:dyDescent="0.3">
      <c r="A38756" t="s">
        <v>0</v>
      </c>
    </row>
    <row r="38757" spans="1:1" x14ac:dyDescent="0.3">
      <c r="A38757" t="s">
        <v>0</v>
      </c>
    </row>
    <row r="38758" spans="1:1" x14ac:dyDescent="0.3">
      <c r="A38758" t="s">
        <v>0</v>
      </c>
    </row>
    <row r="38759" spans="1:1" x14ac:dyDescent="0.3">
      <c r="A38759" t="s">
        <v>0</v>
      </c>
    </row>
    <row r="38760" spans="1:1" x14ac:dyDescent="0.3">
      <c r="A38760" t="s">
        <v>0</v>
      </c>
    </row>
    <row r="38761" spans="1:1" x14ac:dyDescent="0.3">
      <c r="A38761" t="s">
        <v>0</v>
      </c>
    </row>
    <row r="38762" spans="1:1" x14ac:dyDescent="0.3">
      <c r="A38762" t="s">
        <v>0</v>
      </c>
    </row>
    <row r="38763" spans="1:1" x14ac:dyDescent="0.3">
      <c r="A38763" t="s">
        <v>0</v>
      </c>
    </row>
    <row r="38764" spans="1:1" x14ac:dyDescent="0.3">
      <c r="A38764" t="s">
        <v>0</v>
      </c>
    </row>
    <row r="38765" spans="1:1" x14ac:dyDescent="0.3">
      <c r="A38765" t="s">
        <v>0</v>
      </c>
    </row>
    <row r="38766" spans="1:1" x14ac:dyDescent="0.3">
      <c r="A38766" t="s">
        <v>0</v>
      </c>
    </row>
    <row r="38767" spans="1:1" x14ac:dyDescent="0.3">
      <c r="A38767" t="s">
        <v>0</v>
      </c>
    </row>
    <row r="38768" spans="1:1" x14ac:dyDescent="0.3">
      <c r="A38768" t="s">
        <v>0</v>
      </c>
    </row>
    <row r="38769" spans="1:1" x14ac:dyDescent="0.3">
      <c r="A38769" t="s">
        <v>0</v>
      </c>
    </row>
    <row r="38770" spans="1:1" x14ac:dyDescent="0.3">
      <c r="A38770" t="s">
        <v>0</v>
      </c>
    </row>
    <row r="38771" spans="1:1" x14ac:dyDescent="0.3">
      <c r="A38771" t="s">
        <v>0</v>
      </c>
    </row>
    <row r="38772" spans="1:1" x14ac:dyDescent="0.3">
      <c r="A38772" t="s">
        <v>0</v>
      </c>
    </row>
    <row r="38773" spans="1:1" x14ac:dyDescent="0.3">
      <c r="A38773" t="s">
        <v>0</v>
      </c>
    </row>
    <row r="38774" spans="1:1" x14ac:dyDescent="0.3">
      <c r="A38774" t="s">
        <v>0</v>
      </c>
    </row>
    <row r="38775" spans="1:1" x14ac:dyDescent="0.3">
      <c r="A38775" t="s">
        <v>0</v>
      </c>
    </row>
    <row r="38776" spans="1:1" x14ac:dyDescent="0.3">
      <c r="A38776" t="s">
        <v>0</v>
      </c>
    </row>
    <row r="38777" spans="1:1" x14ac:dyDescent="0.3">
      <c r="A38777" t="s">
        <v>0</v>
      </c>
    </row>
    <row r="38778" spans="1:1" x14ac:dyDescent="0.3">
      <c r="A38778" t="s">
        <v>0</v>
      </c>
    </row>
    <row r="38779" spans="1:1" x14ac:dyDescent="0.3">
      <c r="A38779" t="s">
        <v>0</v>
      </c>
    </row>
    <row r="38780" spans="1:1" x14ac:dyDescent="0.3">
      <c r="A38780" t="s">
        <v>0</v>
      </c>
    </row>
    <row r="38781" spans="1:1" x14ac:dyDescent="0.3">
      <c r="A38781" t="s">
        <v>0</v>
      </c>
    </row>
    <row r="38782" spans="1:1" x14ac:dyDescent="0.3">
      <c r="A38782" t="s">
        <v>0</v>
      </c>
    </row>
    <row r="38783" spans="1:1" x14ac:dyDescent="0.3">
      <c r="A38783" t="s">
        <v>0</v>
      </c>
    </row>
    <row r="38784" spans="1:1" x14ac:dyDescent="0.3">
      <c r="A38784" t="s">
        <v>0</v>
      </c>
    </row>
    <row r="38785" spans="1:1" x14ac:dyDescent="0.3">
      <c r="A38785" t="s">
        <v>0</v>
      </c>
    </row>
    <row r="38786" spans="1:1" x14ac:dyDescent="0.3">
      <c r="A38786" t="s">
        <v>0</v>
      </c>
    </row>
    <row r="38787" spans="1:1" x14ac:dyDescent="0.3">
      <c r="A38787" t="s">
        <v>0</v>
      </c>
    </row>
    <row r="38788" spans="1:1" x14ac:dyDescent="0.3">
      <c r="A38788" t="s">
        <v>0</v>
      </c>
    </row>
    <row r="38789" spans="1:1" x14ac:dyDescent="0.3">
      <c r="A38789" t="s">
        <v>0</v>
      </c>
    </row>
    <row r="38790" spans="1:1" x14ac:dyDescent="0.3">
      <c r="A38790" t="s">
        <v>0</v>
      </c>
    </row>
    <row r="38791" spans="1:1" x14ac:dyDescent="0.3">
      <c r="A38791" t="s">
        <v>0</v>
      </c>
    </row>
    <row r="38792" spans="1:1" x14ac:dyDescent="0.3">
      <c r="A38792" t="s">
        <v>0</v>
      </c>
    </row>
    <row r="38793" spans="1:1" x14ac:dyDescent="0.3">
      <c r="A38793" t="s">
        <v>0</v>
      </c>
    </row>
    <row r="38794" spans="1:1" x14ac:dyDescent="0.3">
      <c r="A38794" t="s">
        <v>0</v>
      </c>
    </row>
    <row r="38795" spans="1:1" x14ac:dyDescent="0.3">
      <c r="A38795" t="s">
        <v>0</v>
      </c>
    </row>
    <row r="38796" spans="1:1" x14ac:dyDescent="0.3">
      <c r="A38796" t="s">
        <v>0</v>
      </c>
    </row>
    <row r="38797" spans="1:1" x14ac:dyDescent="0.3">
      <c r="A38797" t="s">
        <v>0</v>
      </c>
    </row>
    <row r="38798" spans="1:1" x14ac:dyDescent="0.3">
      <c r="A38798" t="s">
        <v>0</v>
      </c>
    </row>
    <row r="38799" spans="1:1" x14ac:dyDescent="0.3">
      <c r="A38799" t="s">
        <v>0</v>
      </c>
    </row>
    <row r="38800" spans="1:1" x14ac:dyDescent="0.3">
      <c r="A38800" t="s">
        <v>0</v>
      </c>
    </row>
    <row r="38801" spans="1:1" x14ac:dyDescent="0.3">
      <c r="A38801" t="s">
        <v>0</v>
      </c>
    </row>
    <row r="38802" spans="1:1" x14ac:dyDescent="0.3">
      <c r="A38802" t="s">
        <v>0</v>
      </c>
    </row>
    <row r="38803" spans="1:1" x14ac:dyDescent="0.3">
      <c r="A38803" t="s">
        <v>0</v>
      </c>
    </row>
    <row r="38804" spans="1:1" x14ac:dyDescent="0.3">
      <c r="A38804" t="s">
        <v>0</v>
      </c>
    </row>
    <row r="38805" spans="1:1" x14ac:dyDescent="0.3">
      <c r="A38805" t="s">
        <v>0</v>
      </c>
    </row>
    <row r="38806" spans="1:1" x14ac:dyDescent="0.3">
      <c r="A38806" t="s">
        <v>0</v>
      </c>
    </row>
    <row r="38807" spans="1:1" x14ac:dyDescent="0.3">
      <c r="A38807" t="s">
        <v>0</v>
      </c>
    </row>
    <row r="38808" spans="1:1" x14ac:dyDescent="0.3">
      <c r="A38808" t="s">
        <v>0</v>
      </c>
    </row>
    <row r="38809" spans="1:1" x14ac:dyDescent="0.3">
      <c r="A38809" t="s">
        <v>0</v>
      </c>
    </row>
    <row r="38810" spans="1:1" x14ac:dyDescent="0.3">
      <c r="A38810" t="s">
        <v>0</v>
      </c>
    </row>
    <row r="38811" spans="1:1" x14ac:dyDescent="0.3">
      <c r="A38811" t="s">
        <v>0</v>
      </c>
    </row>
    <row r="38812" spans="1:1" x14ac:dyDescent="0.3">
      <c r="A38812" t="s">
        <v>0</v>
      </c>
    </row>
    <row r="38813" spans="1:1" x14ac:dyDescent="0.3">
      <c r="A38813" t="s">
        <v>0</v>
      </c>
    </row>
    <row r="38814" spans="1:1" x14ac:dyDescent="0.3">
      <c r="A38814" t="s">
        <v>0</v>
      </c>
    </row>
    <row r="38815" spans="1:1" x14ac:dyDescent="0.3">
      <c r="A38815" t="s">
        <v>0</v>
      </c>
    </row>
    <row r="38816" spans="1:1" x14ac:dyDescent="0.3">
      <c r="A38816" t="s">
        <v>0</v>
      </c>
    </row>
    <row r="38817" spans="1:1" x14ac:dyDescent="0.3">
      <c r="A38817" t="s">
        <v>0</v>
      </c>
    </row>
    <row r="38818" spans="1:1" x14ac:dyDescent="0.3">
      <c r="A38818" t="s">
        <v>0</v>
      </c>
    </row>
    <row r="38819" spans="1:1" x14ac:dyDescent="0.3">
      <c r="A38819" t="s">
        <v>0</v>
      </c>
    </row>
    <row r="38820" spans="1:1" x14ac:dyDescent="0.3">
      <c r="A38820" t="s">
        <v>0</v>
      </c>
    </row>
    <row r="38821" spans="1:1" x14ac:dyDescent="0.3">
      <c r="A38821" t="s">
        <v>0</v>
      </c>
    </row>
    <row r="38822" spans="1:1" x14ac:dyDescent="0.3">
      <c r="A38822" t="s">
        <v>0</v>
      </c>
    </row>
    <row r="38823" spans="1:1" x14ac:dyDescent="0.3">
      <c r="A38823" t="s">
        <v>0</v>
      </c>
    </row>
    <row r="38824" spans="1:1" x14ac:dyDescent="0.3">
      <c r="A38824" t="s">
        <v>0</v>
      </c>
    </row>
    <row r="38825" spans="1:1" x14ac:dyDescent="0.3">
      <c r="A38825" t="s">
        <v>0</v>
      </c>
    </row>
    <row r="38826" spans="1:1" x14ac:dyDescent="0.3">
      <c r="A38826" t="s">
        <v>0</v>
      </c>
    </row>
    <row r="38827" spans="1:1" x14ac:dyDescent="0.3">
      <c r="A38827" t="s">
        <v>0</v>
      </c>
    </row>
    <row r="38828" spans="1:1" x14ac:dyDescent="0.3">
      <c r="A38828" t="s">
        <v>0</v>
      </c>
    </row>
    <row r="38829" spans="1:1" x14ac:dyDescent="0.3">
      <c r="A38829" t="s">
        <v>0</v>
      </c>
    </row>
    <row r="38830" spans="1:1" x14ac:dyDescent="0.3">
      <c r="A38830" t="s">
        <v>0</v>
      </c>
    </row>
    <row r="38831" spans="1:1" x14ac:dyDescent="0.3">
      <c r="A38831" t="s">
        <v>0</v>
      </c>
    </row>
    <row r="38832" spans="1:1" x14ac:dyDescent="0.3">
      <c r="A38832" t="s">
        <v>0</v>
      </c>
    </row>
    <row r="38833" spans="1:1" x14ac:dyDescent="0.3">
      <c r="A38833" t="s">
        <v>0</v>
      </c>
    </row>
    <row r="38834" spans="1:1" x14ac:dyDescent="0.3">
      <c r="A38834" t="s">
        <v>0</v>
      </c>
    </row>
    <row r="38835" spans="1:1" x14ac:dyDescent="0.3">
      <c r="A38835" t="s">
        <v>0</v>
      </c>
    </row>
    <row r="38836" spans="1:1" x14ac:dyDescent="0.3">
      <c r="A38836" t="s">
        <v>0</v>
      </c>
    </row>
    <row r="38837" spans="1:1" x14ac:dyDescent="0.3">
      <c r="A38837" t="s">
        <v>0</v>
      </c>
    </row>
    <row r="38838" spans="1:1" x14ac:dyDescent="0.3">
      <c r="A38838" t="s">
        <v>0</v>
      </c>
    </row>
    <row r="38839" spans="1:1" x14ac:dyDescent="0.3">
      <c r="A38839" t="s">
        <v>0</v>
      </c>
    </row>
    <row r="38840" spans="1:1" x14ac:dyDescent="0.3">
      <c r="A38840" t="s">
        <v>0</v>
      </c>
    </row>
    <row r="38841" spans="1:1" x14ac:dyDescent="0.3">
      <c r="A38841" t="s">
        <v>0</v>
      </c>
    </row>
    <row r="38842" spans="1:1" x14ac:dyDescent="0.3">
      <c r="A38842" t="s">
        <v>0</v>
      </c>
    </row>
    <row r="38843" spans="1:1" x14ac:dyDescent="0.3">
      <c r="A38843" t="s">
        <v>0</v>
      </c>
    </row>
    <row r="38844" spans="1:1" x14ac:dyDescent="0.3">
      <c r="A38844" t="s">
        <v>0</v>
      </c>
    </row>
    <row r="38845" spans="1:1" x14ac:dyDescent="0.3">
      <c r="A38845" t="s">
        <v>0</v>
      </c>
    </row>
    <row r="38846" spans="1:1" x14ac:dyDescent="0.3">
      <c r="A38846" t="s">
        <v>0</v>
      </c>
    </row>
    <row r="38847" spans="1:1" x14ac:dyDescent="0.3">
      <c r="A38847" t="s">
        <v>0</v>
      </c>
    </row>
    <row r="38848" spans="1:1" x14ac:dyDescent="0.3">
      <c r="A38848" t="s">
        <v>0</v>
      </c>
    </row>
    <row r="38849" spans="1:1" x14ac:dyDescent="0.3">
      <c r="A38849" t="s">
        <v>0</v>
      </c>
    </row>
    <row r="38850" spans="1:1" x14ac:dyDescent="0.3">
      <c r="A38850" t="s">
        <v>0</v>
      </c>
    </row>
    <row r="38851" spans="1:1" x14ac:dyDescent="0.3">
      <c r="A38851" t="s">
        <v>0</v>
      </c>
    </row>
    <row r="38852" spans="1:1" x14ac:dyDescent="0.3">
      <c r="A38852" t="s">
        <v>0</v>
      </c>
    </row>
    <row r="38853" spans="1:1" x14ac:dyDescent="0.3">
      <c r="A38853" t="s">
        <v>0</v>
      </c>
    </row>
    <row r="38854" spans="1:1" x14ac:dyDescent="0.3">
      <c r="A38854" t="s">
        <v>0</v>
      </c>
    </row>
    <row r="38855" spans="1:1" x14ac:dyDescent="0.3">
      <c r="A38855" t="s">
        <v>0</v>
      </c>
    </row>
    <row r="38856" spans="1:1" x14ac:dyDescent="0.3">
      <c r="A38856" t="s">
        <v>0</v>
      </c>
    </row>
    <row r="38857" spans="1:1" x14ac:dyDescent="0.3">
      <c r="A38857" t="s">
        <v>0</v>
      </c>
    </row>
    <row r="38858" spans="1:1" x14ac:dyDescent="0.3">
      <c r="A38858" t="s">
        <v>0</v>
      </c>
    </row>
    <row r="38859" spans="1:1" x14ac:dyDescent="0.3">
      <c r="A38859" t="s">
        <v>0</v>
      </c>
    </row>
    <row r="38860" spans="1:1" x14ac:dyDescent="0.3">
      <c r="A38860" t="s">
        <v>0</v>
      </c>
    </row>
    <row r="38861" spans="1:1" x14ac:dyDescent="0.3">
      <c r="A38861" t="s">
        <v>0</v>
      </c>
    </row>
    <row r="38862" spans="1:1" x14ac:dyDescent="0.3">
      <c r="A38862" t="s">
        <v>0</v>
      </c>
    </row>
    <row r="38863" spans="1:1" x14ac:dyDescent="0.3">
      <c r="A38863" t="s">
        <v>0</v>
      </c>
    </row>
    <row r="38864" spans="1:1" x14ac:dyDescent="0.3">
      <c r="A38864" t="s">
        <v>0</v>
      </c>
    </row>
    <row r="38865" spans="1:1" x14ac:dyDescent="0.3">
      <c r="A38865" t="s">
        <v>0</v>
      </c>
    </row>
    <row r="38866" spans="1:1" x14ac:dyDescent="0.3">
      <c r="A38866" t="s">
        <v>0</v>
      </c>
    </row>
    <row r="38867" spans="1:1" x14ac:dyDescent="0.3">
      <c r="A38867" t="s">
        <v>0</v>
      </c>
    </row>
    <row r="38868" spans="1:1" x14ac:dyDescent="0.3">
      <c r="A38868" t="s">
        <v>0</v>
      </c>
    </row>
    <row r="38869" spans="1:1" x14ac:dyDescent="0.3">
      <c r="A38869" t="s">
        <v>0</v>
      </c>
    </row>
    <row r="38870" spans="1:1" x14ac:dyDescent="0.3">
      <c r="A38870" t="s">
        <v>0</v>
      </c>
    </row>
    <row r="38871" spans="1:1" x14ac:dyDescent="0.3">
      <c r="A38871" t="s">
        <v>0</v>
      </c>
    </row>
    <row r="38872" spans="1:1" x14ac:dyDescent="0.3">
      <c r="A38872" t="s">
        <v>0</v>
      </c>
    </row>
    <row r="38873" spans="1:1" x14ac:dyDescent="0.3">
      <c r="A38873" t="s">
        <v>0</v>
      </c>
    </row>
    <row r="38874" spans="1:1" x14ac:dyDescent="0.3">
      <c r="A38874" t="s">
        <v>0</v>
      </c>
    </row>
    <row r="38875" spans="1:1" x14ac:dyDescent="0.3">
      <c r="A38875" t="s">
        <v>0</v>
      </c>
    </row>
    <row r="38876" spans="1:1" x14ac:dyDescent="0.3">
      <c r="A38876" t="s">
        <v>0</v>
      </c>
    </row>
    <row r="38877" spans="1:1" x14ac:dyDescent="0.3">
      <c r="A38877" t="s">
        <v>0</v>
      </c>
    </row>
    <row r="38878" spans="1:1" x14ac:dyDescent="0.3">
      <c r="A38878" t="s">
        <v>0</v>
      </c>
    </row>
    <row r="38879" spans="1:1" x14ac:dyDescent="0.3">
      <c r="A38879" t="s">
        <v>0</v>
      </c>
    </row>
    <row r="38880" spans="1:1" x14ac:dyDescent="0.3">
      <c r="A38880" t="s">
        <v>0</v>
      </c>
    </row>
    <row r="38881" spans="1:1" x14ac:dyDescent="0.3">
      <c r="A38881" t="s">
        <v>0</v>
      </c>
    </row>
    <row r="38882" spans="1:1" x14ac:dyDescent="0.3">
      <c r="A38882" t="s">
        <v>0</v>
      </c>
    </row>
    <row r="38883" spans="1:1" x14ac:dyDescent="0.3">
      <c r="A38883" t="s">
        <v>0</v>
      </c>
    </row>
    <row r="38884" spans="1:1" x14ac:dyDescent="0.3">
      <c r="A38884" t="s">
        <v>0</v>
      </c>
    </row>
    <row r="38885" spans="1:1" x14ac:dyDescent="0.3">
      <c r="A38885" t="s">
        <v>0</v>
      </c>
    </row>
    <row r="38886" spans="1:1" x14ac:dyDescent="0.3">
      <c r="A38886" t="s">
        <v>0</v>
      </c>
    </row>
    <row r="38887" spans="1:1" x14ac:dyDescent="0.3">
      <c r="A38887" t="s">
        <v>0</v>
      </c>
    </row>
    <row r="38888" spans="1:1" x14ac:dyDescent="0.3">
      <c r="A38888" t="s">
        <v>0</v>
      </c>
    </row>
    <row r="38889" spans="1:1" x14ac:dyDescent="0.3">
      <c r="A38889" t="s">
        <v>0</v>
      </c>
    </row>
    <row r="38890" spans="1:1" x14ac:dyDescent="0.3">
      <c r="A38890" t="s">
        <v>0</v>
      </c>
    </row>
    <row r="38891" spans="1:1" x14ac:dyDescent="0.3">
      <c r="A38891" t="s">
        <v>0</v>
      </c>
    </row>
    <row r="38892" spans="1:1" x14ac:dyDescent="0.3">
      <c r="A38892" t="s">
        <v>0</v>
      </c>
    </row>
    <row r="38893" spans="1:1" x14ac:dyDescent="0.3">
      <c r="A38893" t="s">
        <v>0</v>
      </c>
    </row>
    <row r="38894" spans="1:1" x14ac:dyDescent="0.3">
      <c r="A38894" t="s">
        <v>0</v>
      </c>
    </row>
    <row r="38895" spans="1:1" x14ac:dyDescent="0.3">
      <c r="A38895" t="s">
        <v>0</v>
      </c>
    </row>
    <row r="38896" spans="1:1" x14ac:dyDescent="0.3">
      <c r="A38896" t="s">
        <v>0</v>
      </c>
    </row>
    <row r="38897" spans="1:1" x14ac:dyDescent="0.3">
      <c r="A38897" t="s">
        <v>0</v>
      </c>
    </row>
    <row r="38898" spans="1:1" x14ac:dyDescent="0.3">
      <c r="A38898" t="s">
        <v>0</v>
      </c>
    </row>
    <row r="38899" spans="1:1" x14ac:dyDescent="0.3">
      <c r="A38899" t="s">
        <v>0</v>
      </c>
    </row>
    <row r="38900" spans="1:1" x14ac:dyDescent="0.3">
      <c r="A38900" t="s">
        <v>0</v>
      </c>
    </row>
    <row r="38901" spans="1:1" x14ac:dyDescent="0.3">
      <c r="A38901" t="s">
        <v>0</v>
      </c>
    </row>
    <row r="38902" spans="1:1" x14ac:dyDescent="0.3">
      <c r="A38902" t="s">
        <v>0</v>
      </c>
    </row>
    <row r="38903" spans="1:1" x14ac:dyDescent="0.3">
      <c r="A38903" t="s">
        <v>0</v>
      </c>
    </row>
    <row r="38904" spans="1:1" x14ac:dyDescent="0.3">
      <c r="A38904" t="s">
        <v>0</v>
      </c>
    </row>
    <row r="38905" spans="1:1" x14ac:dyDescent="0.3">
      <c r="A38905" t="s">
        <v>0</v>
      </c>
    </row>
    <row r="38906" spans="1:1" x14ac:dyDescent="0.3">
      <c r="A38906" t="s">
        <v>0</v>
      </c>
    </row>
    <row r="38907" spans="1:1" x14ac:dyDescent="0.3">
      <c r="A38907" t="s">
        <v>0</v>
      </c>
    </row>
    <row r="38908" spans="1:1" x14ac:dyDescent="0.3">
      <c r="A38908" t="s">
        <v>0</v>
      </c>
    </row>
    <row r="38909" spans="1:1" x14ac:dyDescent="0.3">
      <c r="A38909" t="s">
        <v>0</v>
      </c>
    </row>
    <row r="38910" spans="1:1" x14ac:dyDescent="0.3">
      <c r="A38910" t="s">
        <v>0</v>
      </c>
    </row>
    <row r="38911" spans="1:1" x14ac:dyDescent="0.3">
      <c r="A38911" t="s">
        <v>0</v>
      </c>
    </row>
    <row r="38912" spans="1:1" x14ac:dyDescent="0.3">
      <c r="A38912" t="s">
        <v>0</v>
      </c>
    </row>
    <row r="38913" spans="1:1" x14ac:dyDescent="0.3">
      <c r="A38913" t="s">
        <v>0</v>
      </c>
    </row>
    <row r="38914" spans="1:1" x14ac:dyDescent="0.3">
      <c r="A38914" t="s">
        <v>0</v>
      </c>
    </row>
    <row r="38915" spans="1:1" x14ac:dyDescent="0.3">
      <c r="A38915" t="s">
        <v>0</v>
      </c>
    </row>
    <row r="38916" spans="1:1" x14ac:dyDescent="0.3">
      <c r="A38916" t="s">
        <v>0</v>
      </c>
    </row>
    <row r="38917" spans="1:1" x14ac:dyDescent="0.3">
      <c r="A38917" t="s">
        <v>0</v>
      </c>
    </row>
    <row r="38918" spans="1:1" x14ac:dyDescent="0.3">
      <c r="A38918" t="s">
        <v>0</v>
      </c>
    </row>
    <row r="38919" spans="1:1" x14ac:dyDescent="0.3">
      <c r="A38919" t="s">
        <v>0</v>
      </c>
    </row>
    <row r="38920" spans="1:1" x14ac:dyDescent="0.3">
      <c r="A38920" t="s">
        <v>0</v>
      </c>
    </row>
    <row r="38921" spans="1:1" x14ac:dyDescent="0.3">
      <c r="A38921" t="s">
        <v>0</v>
      </c>
    </row>
    <row r="38922" spans="1:1" x14ac:dyDescent="0.3">
      <c r="A38922" t="s">
        <v>0</v>
      </c>
    </row>
    <row r="38923" spans="1:1" x14ac:dyDescent="0.3">
      <c r="A38923" t="s">
        <v>0</v>
      </c>
    </row>
    <row r="38924" spans="1:1" x14ac:dyDescent="0.3">
      <c r="A38924" t="s">
        <v>0</v>
      </c>
    </row>
    <row r="38925" spans="1:1" x14ac:dyDescent="0.3">
      <c r="A38925" t="s">
        <v>0</v>
      </c>
    </row>
    <row r="38926" spans="1:1" x14ac:dyDescent="0.3">
      <c r="A38926" t="s">
        <v>0</v>
      </c>
    </row>
    <row r="38927" spans="1:1" x14ac:dyDescent="0.3">
      <c r="A38927" t="s">
        <v>0</v>
      </c>
    </row>
    <row r="38928" spans="1:1" x14ac:dyDescent="0.3">
      <c r="A38928" t="s">
        <v>0</v>
      </c>
    </row>
    <row r="38929" spans="1:1" x14ac:dyDescent="0.3">
      <c r="A38929" t="s">
        <v>0</v>
      </c>
    </row>
    <row r="38930" spans="1:1" x14ac:dyDescent="0.3">
      <c r="A38930" t="s">
        <v>0</v>
      </c>
    </row>
    <row r="38931" spans="1:1" x14ac:dyDescent="0.3">
      <c r="A38931" t="s">
        <v>0</v>
      </c>
    </row>
    <row r="38932" spans="1:1" x14ac:dyDescent="0.3">
      <c r="A38932" t="s">
        <v>0</v>
      </c>
    </row>
    <row r="38933" spans="1:1" x14ac:dyDescent="0.3">
      <c r="A38933" t="s">
        <v>0</v>
      </c>
    </row>
    <row r="38934" spans="1:1" x14ac:dyDescent="0.3">
      <c r="A38934" t="s">
        <v>0</v>
      </c>
    </row>
    <row r="38935" spans="1:1" x14ac:dyDescent="0.3">
      <c r="A38935" t="s">
        <v>0</v>
      </c>
    </row>
    <row r="38936" spans="1:1" x14ac:dyDescent="0.3">
      <c r="A38936" t="s">
        <v>0</v>
      </c>
    </row>
    <row r="38937" spans="1:1" x14ac:dyDescent="0.3">
      <c r="A38937" t="s">
        <v>0</v>
      </c>
    </row>
    <row r="38938" spans="1:1" x14ac:dyDescent="0.3">
      <c r="A38938" t="s">
        <v>0</v>
      </c>
    </row>
    <row r="38939" spans="1:1" x14ac:dyDescent="0.3">
      <c r="A38939" t="s">
        <v>0</v>
      </c>
    </row>
    <row r="38940" spans="1:1" x14ac:dyDescent="0.3">
      <c r="A38940" t="s">
        <v>0</v>
      </c>
    </row>
    <row r="38941" spans="1:1" x14ac:dyDescent="0.3">
      <c r="A38941" t="s">
        <v>0</v>
      </c>
    </row>
    <row r="38942" spans="1:1" x14ac:dyDescent="0.3">
      <c r="A38942" t="s">
        <v>0</v>
      </c>
    </row>
    <row r="38943" spans="1:1" x14ac:dyDescent="0.3">
      <c r="A38943" t="s">
        <v>0</v>
      </c>
    </row>
    <row r="38944" spans="1:1" x14ac:dyDescent="0.3">
      <c r="A38944" t="s">
        <v>0</v>
      </c>
    </row>
    <row r="38945" spans="1:1" x14ac:dyDescent="0.3">
      <c r="A38945" t="s">
        <v>0</v>
      </c>
    </row>
    <row r="38946" spans="1:1" x14ac:dyDescent="0.3">
      <c r="A38946" t="s">
        <v>0</v>
      </c>
    </row>
    <row r="38947" spans="1:1" x14ac:dyDescent="0.3">
      <c r="A38947" t="s">
        <v>0</v>
      </c>
    </row>
    <row r="38948" spans="1:1" x14ac:dyDescent="0.3">
      <c r="A38948" t="s">
        <v>0</v>
      </c>
    </row>
    <row r="38949" spans="1:1" x14ac:dyDescent="0.3">
      <c r="A38949" t="s">
        <v>0</v>
      </c>
    </row>
    <row r="38950" spans="1:1" x14ac:dyDescent="0.3">
      <c r="A38950" t="s">
        <v>0</v>
      </c>
    </row>
    <row r="38951" spans="1:1" x14ac:dyDescent="0.3">
      <c r="A38951" t="s">
        <v>0</v>
      </c>
    </row>
    <row r="38952" spans="1:1" x14ac:dyDescent="0.3">
      <c r="A38952" t="s">
        <v>0</v>
      </c>
    </row>
    <row r="38953" spans="1:1" x14ac:dyDescent="0.3">
      <c r="A38953" t="s">
        <v>0</v>
      </c>
    </row>
    <row r="38954" spans="1:1" x14ac:dyDescent="0.3">
      <c r="A38954" t="s">
        <v>0</v>
      </c>
    </row>
    <row r="38955" spans="1:1" x14ac:dyDescent="0.3">
      <c r="A38955" t="s">
        <v>0</v>
      </c>
    </row>
    <row r="38956" spans="1:1" x14ac:dyDescent="0.3">
      <c r="A38956" t="s">
        <v>0</v>
      </c>
    </row>
    <row r="38957" spans="1:1" x14ac:dyDescent="0.3">
      <c r="A38957" t="s">
        <v>0</v>
      </c>
    </row>
    <row r="38958" spans="1:1" x14ac:dyDescent="0.3">
      <c r="A38958" t="s">
        <v>0</v>
      </c>
    </row>
    <row r="38959" spans="1:1" x14ac:dyDescent="0.3">
      <c r="A38959" t="s">
        <v>0</v>
      </c>
    </row>
    <row r="38960" spans="1:1" x14ac:dyDescent="0.3">
      <c r="A38960" t="s">
        <v>0</v>
      </c>
    </row>
    <row r="38961" spans="1:1" x14ac:dyDescent="0.3">
      <c r="A38961" t="s">
        <v>0</v>
      </c>
    </row>
    <row r="38962" spans="1:1" x14ac:dyDescent="0.3">
      <c r="A38962" t="s">
        <v>0</v>
      </c>
    </row>
    <row r="38963" spans="1:1" x14ac:dyDescent="0.3">
      <c r="A38963" t="s">
        <v>0</v>
      </c>
    </row>
    <row r="38964" spans="1:1" x14ac:dyDescent="0.3">
      <c r="A38964" t="s">
        <v>0</v>
      </c>
    </row>
    <row r="38965" spans="1:1" x14ac:dyDescent="0.3">
      <c r="A38965" t="s">
        <v>0</v>
      </c>
    </row>
    <row r="38966" spans="1:1" x14ac:dyDescent="0.3">
      <c r="A38966" t="s">
        <v>0</v>
      </c>
    </row>
    <row r="38967" spans="1:1" x14ac:dyDescent="0.3">
      <c r="A38967" t="s">
        <v>0</v>
      </c>
    </row>
    <row r="38968" spans="1:1" x14ac:dyDescent="0.3">
      <c r="A38968" t="s">
        <v>0</v>
      </c>
    </row>
    <row r="38969" spans="1:1" x14ac:dyDescent="0.3">
      <c r="A38969" t="s">
        <v>0</v>
      </c>
    </row>
    <row r="38970" spans="1:1" x14ac:dyDescent="0.3">
      <c r="A38970" t="s">
        <v>0</v>
      </c>
    </row>
    <row r="38971" spans="1:1" x14ac:dyDescent="0.3">
      <c r="A38971" t="s">
        <v>0</v>
      </c>
    </row>
    <row r="38972" spans="1:1" x14ac:dyDescent="0.3">
      <c r="A38972" t="s">
        <v>0</v>
      </c>
    </row>
    <row r="38973" spans="1:1" x14ac:dyDescent="0.3">
      <c r="A38973" t="s">
        <v>0</v>
      </c>
    </row>
    <row r="38974" spans="1:1" x14ac:dyDescent="0.3">
      <c r="A38974" t="s">
        <v>0</v>
      </c>
    </row>
    <row r="38975" spans="1:1" x14ac:dyDescent="0.3">
      <c r="A38975" t="s">
        <v>0</v>
      </c>
    </row>
    <row r="38976" spans="1:1" x14ac:dyDescent="0.3">
      <c r="A38976" t="s">
        <v>0</v>
      </c>
    </row>
    <row r="38977" spans="1:1" x14ac:dyDescent="0.3">
      <c r="A38977" t="s">
        <v>0</v>
      </c>
    </row>
    <row r="38978" spans="1:1" x14ac:dyDescent="0.3">
      <c r="A38978" t="s">
        <v>0</v>
      </c>
    </row>
    <row r="38979" spans="1:1" x14ac:dyDescent="0.3">
      <c r="A38979" t="s">
        <v>0</v>
      </c>
    </row>
    <row r="38980" spans="1:1" x14ac:dyDescent="0.3">
      <c r="A38980" t="s">
        <v>0</v>
      </c>
    </row>
    <row r="38981" spans="1:1" x14ac:dyDescent="0.3">
      <c r="A38981" t="s">
        <v>0</v>
      </c>
    </row>
    <row r="38982" spans="1:1" x14ac:dyDescent="0.3">
      <c r="A38982" t="s">
        <v>0</v>
      </c>
    </row>
    <row r="38983" spans="1:1" x14ac:dyDescent="0.3">
      <c r="A38983" t="s">
        <v>0</v>
      </c>
    </row>
    <row r="38984" spans="1:1" x14ac:dyDescent="0.3">
      <c r="A38984" t="s">
        <v>0</v>
      </c>
    </row>
    <row r="38985" spans="1:1" x14ac:dyDescent="0.3">
      <c r="A38985" t="s">
        <v>0</v>
      </c>
    </row>
    <row r="38986" spans="1:1" x14ac:dyDescent="0.3">
      <c r="A38986" t="s">
        <v>0</v>
      </c>
    </row>
    <row r="38987" spans="1:1" x14ac:dyDescent="0.3">
      <c r="A38987" t="s">
        <v>0</v>
      </c>
    </row>
    <row r="38988" spans="1:1" x14ac:dyDescent="0.3">
      <c r="A38988" t="s">
        <v>0</v>
      </c>
    </row>
    <row r="38989" spans="1:1" x14ac:dyDescent="0.3">
      <c r="A38989" t="s">
        <v>0</v>
      </c>
    </row>
    <row r="38990" spans="1:1" x14ac:dyDescent="0.3">
      <c r="A38990" t="s">
        <v>0</v>
      </c>
    </row>
    <row r="38991" spans="1:1" x14ac:dyDescent="0.3">
      <c r="A38991" t="s">
        <v>0</v>
      </c>
    </row>
    <row r="38992" spans="1:1" x14ac:dyDescent="0.3">
      <c r="A38992" t="s">
        <v>0</v>
      </c>
    </row>
    <row r="38993" spans="1:1" x14ac:dyDescent="0.3">
      <c r="A38993" t="s">
        <v>0</v>
      </c>
    </row>
    <row r="38994" spans="1:1" x14ac:dyDescent="0.3">
      <c r="A38994" t="s">
        <v>0</v>
      </c>
    </row>
    <row r="38995" spans="1:1" x14ac:dyDescent="0.3">
      <c r="A38995" t="s">
        <v>0</v>
      </c>
    </row>
    <row r="38996" spans="1:1" x14ac:dyDescent="0.3">
      <c r="A38996" t="s">
        <v>0</v>
      </c>
    </row>
    <row r="38997" spans="1:1" x14ac:dyDescent="0.3">
      <c r="A38997" t="s">
        <v>0</v>
      </c>
    </row>
    <row r="38998" spans="1:1" x14ac:dyDescent="0.3">
      <c r="A38998" t="s">
        <v>0</v>
      </c>
    </row>
    <row r="38999" spans="1:1" x14ac:dyDescent="0.3">
      <c r="A38999" t="s">
        <v>0</v>
      </c>
    </row>
    <row r="39000" spans="1:1" x14ac:dyDescent="0.3">
      <c r="A39000" t="s">
        <v>0</v>
      </c>
    </row>
    <row r="39001" spans="1:1" x14ac:dyDescent="0.3">
      <c r="A39001" t="s">
        <v>0</v>
      </c>
    </row>
    <row r="39002" spans="1:1" x14ac:dyDescent="0.3">
      <c r="A39002" t="s">
        <v>0</v>
      </c>
    </row>
    <row r="39003" spans="1:1" x14ac:dyDescent="0.3">
      <c r="A39003" t="s">
        <v>0</v>
      </c>
    </row>
    <row r="39004" spans="1:1" x14ac:dyDescent="0.3">
      <c r="A39004" t="s">
        <v>0</v>
      </c>
    </row>
    <row r="39005" spans="1:1" x14ac:dyDescent="0.3">
      <c r="A39005" t="s">
        <v>0</v>
      </c>
    </row>
    <row r="39006" spans="1:1" x14ac:dyDescent="0.3">
      <c r="A39006" t="s">
        <v>0</v>
      </c>
    </row>
    <row r="39007" spans="1:1" x14ac:dyDescent="0.3">
      <c r="A39007" t="s">
        <v>0</v>
      </c>
    </row>
    <row r="39008" spans="1:1" x14ac:dyDescent="0.3">
      <c r="A39008" t="s">
        <v>0</v>
      </c>
    </row>
    <row r="39009" spans="1:1" x14ac:dyDescent="0.3">
      <c r="A39009" t="s">
        <v>0</v>
      </c>
    </row>
    <row r="39010" spans="1:1" x14ac:dyDescent="0.3">
      <c r="A39010" t="s">
        <v>0</v>
      </c>
    </row>
    <row r="39011" spans="1:1" x14ac:dyDescent="0.3">
      <c r="A39011" t="s">
        <v>0</v>
      </c>
    </row>
    <row r="39012" spans="1:1" x14ac:dyDescent="0.3">
      <c r="A39012" t="s">
        <v>0</v>
      </c>
    </row>
    <row r="39013" spans="1:1" x14ac:dyDescent="0.3">
      <c r="A39013" t="s">
        <v>0</v>
      </c>
    </row>
    <row r="39014" spans="1:1" x14ac:dyDescent="0.3">
      <c r="A39014" t="s">
        <v>0</v>
      </c>
    </row>
    <row r="39015" spans="1:1" x14ac:dyDescent="0.3">
      <c r="A39015" t="s">
        <v>0</v>
      </c>
    </row>
    <row r="39016" spans="1:1" x14ac:dyDescent="0.3">
      <c r="A39016" t="s">
        <v>0</v>
      </c>
    </row>
    <row r="39017" spans="1:1" x14ac:dyDescent="0.3">
      <c r="A39017" t="s">
        <v>0</v>
      </c>
    </row>
    <row r="39018" spans="1:1" x14ac:dyDescent="0.3">
      <c r="A39018" t="s">
        <v>0</v>
      </c>
    </row>
    <row r="39019" spans="1:1" x14ac:dyDescent="0.3">
      <c r="A39019" t="s">
        <v>0</v>
      </c>
    </row>
    <row r="39020" spans="1:1" x14ac:dyDescent="0.3">
      <c r="A39020" t="s">
        <v>0</v>
      </c>
    </row>
    <row r="39021" spans="1:1" x14ac:dyDescent="0.3">
      <c r="A39021" t="s">
        <v>0</v>
      </c>
    </row>
    <row r="39022" spans="1:1" x14ac:dyDescent="0.3">
      <c r="A39022" t="s">
        <v>0</v>
      </c>
    </row>
    <row r="39023" spans="1:1" x14ac:dyDescent="0.3">
      <c r="A39023" t="s">
        <v>0</v>
      </c>
    </row>
    <row r="39024" spans="1:1" x14ac:dyDescent="0.3">
      <c r="A39024" t="s">
        <v>0</v>
      </c>
    </row>
    <row r="39025" spans="1:1" x14ac:dyDescent="0.3">
      <c r="A39025" t="s">
        <v>0</v>
      </c>
    </row>
    <row r="39026" spans="1:1" x14ac:dyDescent="0.3">
      <c r="A39026" t="s">
        <v>0</v>
      </c>
    </row>
    <row r="39027" spans="1:1" x14ac:dyDescent="0.3">
      <c r="A39027" t="s">
        <v>0</v>
      </c>
    </row>
    <row r="39028" spans="1:1" x14ac:dyDescent="0.3">
      <c r="A39028" t="s">
        <v>0</v>
      </c>
    </row>
    <row r="39029" spans="1:1" x14ac:dyDescent="0.3">
      <c r="A39029" t="s">
        <v>0</v>
      </c>
    </row>
    <row r="39030" spans="1:1" x14ac:dyDescent="0.3">
      <c r="A39030" t="s">
        <v>0</v>
      </c>
    </row>
    <row r="39031" spans="1:1" x14ac:dyDescent="0.3">
      <c r="A39031" t="s">
        <v>0</v>
      </c>
    </row>
    <row r="39032" spans="1:1" x14ac:dyDescent="0.3">
      <c r="A39032" t="s">
        <v>0</v>
      </c>
    </row>
    <row r="39033" spans="1:1" x14ac:dyDescent="0.3">
      <c r="A39033" t="s">
        <v>0</v>
      </c>
    </row>
    <row r="39034" spans="1:1" x14ac:dyDescent="0.3">
      <c r="A39034" t="s">
        <v>0</v>
      </c>
    </row>
    <row r="39035" spans="1:1" x14ac:dyDescent="0.3">
      <c r="A39035" t="s">
        <v>0</v>
      </c>
    </row>
    <row r="39036" spans="1:1" x14ac:dyDescent="0.3">
      <c r="A39036" t="s">
        <v>0</v>
      </c>
    </row>
    <row r="39037" spans="1:1" x14ac:dyDescent="0.3">
      <c r="A39037" t="s">
        <v>0</v>
      </c>
    </row>
    <row r="39038" spans="1:1" x14ac:dyDescent="0.3">
      <c r="A39038" t="s">
        <v>0</v>
      </c>
    </row>
    <row r="39039" spans="1:1" x14ac:dyDescent="0.3">
      <c r="A39039" t="s">
        <v>0</v>
      </c>
    </row>
    <row r="39040" spans="1:1" x14ac:dyDescent="0.3">
      <c r="A39040" t="s">
        <v>0</v>
      </c>
    </row>
    <row r="39041" spans="1:1" x14ac:dyDescent="0.3">
      <c r="A39041" t="s">
        <v>0</v>
      </c>
    </row>
    <row r="39042" spans="1:1" x14ac:dyDescent="0.3">
      <c r="A39042" t="s">
        <v>0</v>
      </c>
    </row>
    <row r="39043" spans="1:1" x14ac:dyDescent="0.3">
      <c r="A39043" t="s">
        <v>0</v>
      </c>
    </row>
    <row r="39044" spans="1:1" x14ac:dyDescent="0.3">
      <c r="A39044" t="s">
        <v>0</v>
      </c>
    </row>
    <row r="39045" spans="1:1" x14ac:dyDescent="0.3">
      <c r="A39045" t="s">
        <v>0</v>
      </c>
    </row>
    <row r="39046" spans="1:1" x14ac:dyDescent="0.3">
      <c r="A39046" t="s">
        <v>0</v>
      </c>
    </row>
    <row r="39047" spans="1:1" x14ac:dyDescent="0.3">
      <c r="A39047" t="s">
        <v>0</v>
      </c>
    </row>
    <row r="39048" spans="1:1" x14ac:dyDescent="0.3">
      <c r="A39048" t="s">
        <v>0</v>
      </c>
    </row>
    <row r="39049" spans="1:1" x14ac:dyDescent="0.3">
      <c r="A39049" t="s">
        <v>0</v>
      </c>
    </row>
    <row r="39050" spans="1:1" x14ac:dyDescent="0.3">
      <c r="A39050" t="s">
        <v>0</v>
      </c>
    </row>
    <row r="39051" spans="1:1" x14ac:dyDescent="0.3">
      <c r="A39051" t="s">
        <v>0</v>
      </c>
    </row>
    <row r="39052" spans="1:1" x14ac:dyDescent="0.3">
      <c r="A39052" t="s">
        <v>0</v>
      </c>
    </row>
    <row r="39053" spans="1:1" x14ac:dyDescent="0.3">
      <c r="A39053" t="s">
        <v>0</v>
      </c>
    </row>
    <row r="39054" spans="1:1" x14ac:dyDescent="0.3">
      <c r="A39054" t="s">
        <v>0</v>
      </c>
    </row>
    <row r="39055" spans="1:1" x14ac:dyDescent="0.3">
      <c r="A39055" t="s">
        <v>0</v>
      </c>
    </row>
    <row r="39056" spans="1:1" x14ac:dyDescent="0.3">
      <c r="A39056" t="s">
        <v>0</v>
      </c>
    </row>
    <row r="39057" spans="1:1" x14ac:dyDescent="0.3">
      <c r="A39057" t="s">
        <v>0</v>
      </c>
    </row>
    <row r="39058" spans="1:1" x14ac:dyDescent="0.3">
      <c r="A39058" t="s">
        <v>0</v>
      </c>
    </row>
    <row r="39059" spans="1:1" x14ac:dyDescent="0.3">
      <c r="A39059" t="s">
        <v>0</v>
      </c>
    </row>
    <row r="39060" spans="1:1" x14ac:dyDescent="0.3">
      <c r="A39060" t="s">
        <v>0</v>
      </c>
    </row>
    <row r="39061" spans="1:1" x14ac:dyDescent="0.3">
      <c r="A39061" t="s">
        <v>0</v>
      </c>
    </row>
    <row r="39062" spans="1:1" x14ac:dyDescent="0.3">
      <c r="A39062" t="s">
        <v>0</v>
      </c>
    </row>
    <row r="39063" spans="1:1" x14ac:dyDescent="0.3">
      <c r="A39063" t="s">
        <v>0</v>
      </c>
    </row>
    <row r="39064" spans="1:1" x14ac:dyDescent="0.3">
      <c r="A39064" t="s">
        <v>0</v>
      </c>
    </row>
    <row r="39065" spans="1:1" x14ac:dyDescent="0.3">
      <c r="A39065" t="s">
        <v>0</v>
      </c>
    </row>
    <row r="39066" spans="1:1" x14ac:dyDescent="0.3">
      <c r="A39066" t="s">
        <v>0</v>
      </c>
    </row>
    <row r="39067" spans="1:1" x14ac:dyDescent="0.3">
      <c r="A39067" t="s">
        <v>0</v>
      </c>
    </row>
    <row r="39068" spans="1:1" x14ac:dyDescent="0.3">
      <c r="A39068" t="s">
        <v>0</v>
      </c>
    </row>
    <row r="39069" spans="1:1" x14ac:dyDescent="0.3">
      <c r="A39069" t="s">
        <v>0</v>
      </c>
    </row>
    <row r="39070" spans="1:1" x14ac:dyDescent="0.3">
      <c r="A39070" t="s">
        <v>0</v>
      </c>
    </row>
    <row r="39071" spans="1:1" x14ac:dyDescent="0.3">
      <c r="A39071" t="s">
        <v>0</v>
      </c>
    </row>
    <row r="39072" spans="1:1" x14ac:dyDescent="0.3">
      <c r="A39072" t="s">
        <v>0</v>
      </c>
    </row>
    <row r="39073" spans="1:1" x14ac:dyDescent="0.3">
      <c r="A39073" t="s">
        <v>0</v>
      </c>
    </row>
    <row r="39074" spans="1:1" x14ac:dyDescent="0.3">
      <c r="A39074" t="s">
        <v>0</v>
      </c>
    </row>
    <row r="39075" spans="1:1" x14ac:dyDescent="0.3">
      <c r="A39075" t="s">
        <v>0</v>
      </c>
    </row>
    <row r="39076" spans="1:1" x14ac:dyDescent="0.3">
      <c r="A39076" t="s">
        <v>0</v>
      </c>
    </row>
    <row r="39077" spans="1:1" x14ac:dyDescent="0.3">
      <c r="A39077" t="s">
        <v>0</v>
      </c>
    </row>
    <row r="39078" spans="1:1" x14ac:dyDescent="0.3">
      <c r="A39078" t="s">
        <v>0</v>
      </c>
    </row>
    <row r="39079" spans="1:1" x14ac:dyDescent="0.3">
      <c r="A39079" t="s">
        <v>0</v>
      </c>
    </row>
    <row r="39080" spans="1:1" x14ac:dyDescent="0.3">
      <c r="A39080" t="s">
        <v>0</v>
      </c>
    </row>
    <row r="39081" spans="1:1" x14ac:dyDescent="0.3">
      <c r="A39081" t="s">
        <v>0</v>
      </c>
    </row>
    <row r="39082" spans="1:1" x14ac:dyDescent="0.3">
      <c r="A39082" t="s">
        <v>0</v>
      </c>
    </row>
    <row r="39083" spans="1:1" x14ac:dyDescent="0.3">
      <c r="A39083" t="s">
        <v>0</v>
      </c>
    </row>
    <row r="39084" spans="1:1" x14ac:dyDescent="0.3">
      <c r="A39084" t="s">
        <v>0</v>
      </c>
    </row>
    <row r="39085" spans="1:1" x14ac:dyDescent="0.3">
      <c r="A39085" t="s">
        <v>0</v>
      </c>
    </row>
    <row r="39086" spans="1:1" x14ac:dyDescent="0.3">
      <c r="A39086" t="s">
        <v>0</v>
      </c>
    </row>
    <row r="39087" spans="1:1" x14ac:dyDescent="0.3">
      <c r="A39087" t="s">
        <v>0</v>
      </c>
    </row>
    <row r="39088" spans="1:1" x14ac:dyDescent="0.3">
      <c r="A39088" t="s">
        <v>0</v>
      </c>
    </row>
    <row r="39089" spans="1:1" x14ac:dyDescent="0.3">
      <c r="A39089" t="s">
        <v>0</v>
      </c>
    </row>
    <row r="39090" spans="1:1" x14ac:dyDescent="0.3">
      <c r="A39090" t="s">
        <v>0</v>
      </c>
    </row>
    <row r="39091" spans="1:1" x14ac:dyDescent="0.3">
      <c r="A39091" t="s">
        <v>0</v>
      </c>
    </row>
    <row r="39092" spans="1:1" x14ac:dyDescent="0.3">
      <c r="A39092" t="s">
        <v>0</v>
      </c>
    </row>
    <row r="39093" spans="1:1" x14ac:dyDescent="0.3">
      <c r="A39093" t="s">
        <v>0</v>
      </c>
    </row>
    <row r="39094" spans="1:1" x14ac:dyDescent="0.3">
      <c r="A39094" t="s">
        <v>0</v>
      </c>
    </row>
    <row r="39095" spans="1:1" x14ac:dyDescent="0.3">
      <c r="A39095" t="s">
        <v>0</v>
      </c>
    </row>
    <row r="39096" spans="1:1" x14ac:dyDescent="0.3">
      <c r="A39096" t="s">
        <v>0</v>
      </c>
    </row>
    <row r="39097" spans="1:1" x14ac:dyDescent="0.3">
      <c r="A39097" t="s">
        <v>0</v>
      </c>
    </row>
    <row r="39098" spans="1:1" x14ac:dyDescent="0.3">
      <c r="A39098" t="s">
        <v>0</v>
      </c>
    </row>
    <row r="39099" spans="1:1" x14ac:dyDescent="0.3">
      <c r="A39099" t="s">
        <v>0</v>
      </c>
    </row>
    <row r="39100" spans="1:1" x14ac:dyDescent="0.3">
      <c r="A39100" t="s">
        <v>0</v>
      </c>
    </row>
    <row r="39101" spans="1:1" x14ac:dyDescent="0.3">
      <c r="A39101" t="s">
        <v>0</v>
      </c>
    </row>
    <row r="39102" spans="1:1" x14ac:dyDescent="0.3">
      <c r="A39102" t="s">
        <v>0</v>
      </c>
    </row>
    <row r="39103" spans="1:1" x14ac:dyDescent="0.3">
      <c r="A39103" t="s">
        <v>0</v>
      </c>
    </row>
    <row r="39104" spans="1:1" x14ac:dyDescent="0.3">
      <c r="A39104" t="s">
        <v>0</v>
      </c>
    </row>
    <row r="39105" spans="1:1" x14ac:dyDescent="0.3">
      <c r="A39105" t="s">
        <v>0</v>
      </c>
    </row>
    <row r="39106" spans="1:1" x14ac:dyDescent="0.3">
      <c r="A39106" t="s">
        <v>0</v>
      </c>
    </row>
    <row r="39107" spans="1:1" x14ac:dyDescent="0.3">
      <c r="A39107" t="s">
        <v>0</v>
      </c>
    </row>
    <row r="39108" spans="1:1" x14ac:dyDescent="0.3">
      <c r="A39108" t="s">
        <v>0</v>
      </c>
    </row>
    <row r="39109" spans="1:1" x14ac:dyDescent="0.3">
      <c r="A39109" t="s">
        <v>0</v>
      </c>
    </row>
    <row r="39110" spans="1:1" x14ac:dyDescent="0.3">
      <c r="A39110" t="s">
        <v>0</v>
      </c>
    </row>
    <row r="39111" spans="1:1" x14ac:dyDescent="0.3">
      <c r="A39111" t="s">
        <v>0</v>
      </c>
    </row>
    <row r="39112" spans="1:1" x14ac:dyDescent="0.3">
      <c r="A39112" t="s">
        <v>0</v>
      </c>
    </row>
    <row r="39113" spans="1:1" x14ac:dyDescent="0.3">
      <c r="A39113" t="s">
        <v>0</v>
      </c>
    </row>
    <row r="39114" spans="1:1" x14ac:dyDescent="0.3">
      <c r="A39114" t="s">
        <v>0</v>
      </c>
    </row>
    <row r="39115" spans="1:1" x14ac:dyDescent="0.3">
      <c r="A39115" t="s">
        <v>0</v>
      </c>
    </row>
    <row r="39116" spans="1:1" x14ac:dyDescent="0.3">
      <c r="A39116" t="s">
        <v>0</v>
      </c>
    </row>
    <row r="39117" spans="1:1" x14ac:dyDescent="0.3">
      <c r="A39117" t="s">
        <v>0</v>
      </c>
    </row>
    <row r="39118" spans="1:1" x14ac:dyDescent="0.3">
      <c r="A39118" t="s">
        <v>0</v>
      </c>
    </row>
    <row r="39119" spans="1:1" x14ac:dyDescent="0.3">
      <c r="A39119" t="s">
        <v>0</v>
      </c>
    </row>
    <row r="39120" spans="1:1" x14ac:dyDescent="0.3">
      <c r="A39120" t="s">
        <v>0</v>
      </c>
    </row>
    <row r="39121" spans="1:1" x14ac:dyDescent="0.3">
      <c r="A39121" t="s">
        <v>0</v>
      </c>
    </row>
    <row r="39122" spans="1:1" x14ac:dyDescent="0.3">
      <c r="A39122" t="s">
        <v>0</v>
      </c>
    </row>
    <row r="39123" spans="1:1" x14ac:dyDescent="0.3">
      <c r="A39123" t="s">
        <v>0</v>
      </c>
    </row>
    <row r="39124" spans="1:1" x14ac:dyDescent="0.3">
      <c r="A39124" t="s">
        <v>0</v>
      </c>
    </row>
    <row r="39125" spans="1:1" x14ac:dyDescent="0.3">
      <c r="A39125" t="s">
        <v>0</v>
      </c>
    </row>
    <row r="39126" spans="1:1" x14ac:dyDescent="0.3">
      <c r="A39126" t="s">
        <v>0</v>
      </c>
    </row>
    <row r="39127" spans="1:1" x14ac:dyDescent="0.3">
      <c r="A39127" t="s">
        <v>0</v>
      </c>
    </row>
    <row r="39128" spans="1:1" x14ac:dyDescent="0.3">
      <c r="A39128" t="s">
        <v>0</v>
      </c>
    </row>
    <row r="39129" spans="1:1" x14ac:dyDescent="0.3">
      <c r="A39129" t="s">
        <v>0</v>
      </c>
    </row>
    <row r="39130" spans="1:1" x14ac:dyDescent="0.3">
      <c r="A39130" t="s">
        <v>0</v>
      </c>
    </row>
    <row r="39131" spans="1:1" x14ac:dyDescent="0.3">
      <c r="A39131" t="s">
        <v>0</v>
      </c>
    </row>
    <row r="39132" spans="1:1" x14ac:dyDescent="0.3">
      <c r="A39132" t="s">
        <v>0</v>
      </c>
    </row>
    <row r="39133" spans="1:1" x14ac:dyDescent="0.3">
      <c r="A39133" t="s">
        <v>0</v>
      </c>
    </row>
    <row r="39134" spans="1:1" x14ac:dyDescent="0.3">
      <c r="A39134" t="s">
        <v>0</v>
      </c>
    </row>
    <row r="39135" spans="1:1" x14ac:dyDescent="0.3">
      <c r="A39135" t="s">
        <v>0</v>
      </c>
    </row>
    <row r="39136" spans="1:1" x14ac:dyDescent="0.3">
      <c r="A39136" t="s">
        <v>0</v>
      </c>
    </row>
    <row r="39137" spans="1:1" x14ac:dyDescent="0.3">
      <c r="A39137" t="s">
        <v>0</v>
      </c>
    </row>
    <row r="39138" spans="1:1" x14ac:dyDescent="0.3">
      <c r="A39138" t="s">
        <v>0</v>
      </c>
    </row>
    <row r="39139" spans="1:1" x14ac:dyDescent="0.3">
      <c r="A39139" t="s">
        <v>0</v>
      </c>
    </row>
    <row r="39140" spans="1:1" x14ac:dyDescent="0.3">
      <c r="A39140" t="s">
        <v>0</v>
      </c>
    </row>
    <row r="39141" spans="1:1" x14ac:dyDescent="0.3">
      <c r="A39141" t="s">
        <v>0</v>
      </c>
    </row>
    <row r="39142" spans="1:1" x14ac:dyDescent="0.3">
      <c r="A39142" t="s">
        <v>0</v>
      </c>
    </row>
    <row r="39143" spans="1:1" x14ac:dyDescent="0.3">
      <c r="A39143" t="s">
        <v>0</v>
      </c>
    </row>
    <row r="39144" spans="1:1" x14ac:dyDescent="0.3">
      <c r="A39144" t="s">
        <v>0</v>
      </c>
    </row>
    <row r="39145" spans="1:1" x14ac:dyDescent="0.3">
      <c r="A39145" t="s">
        <v>0</v>
      </c>
    </row>
    <row r="39146" spans="1:1" x14ac:dyDescent="0.3">
      <c r="A39146" t="s">
        <v>0</v>
      </c>
    </row>
    <row r="39147" spans="1:1" x14ac:dyDescent="0.3">
      <c r="A39147" t="s">
        <v>0</v>
      </c>
    </row>
    <row r="39148" spans="1:1" x14ac:dyDescent="0.3">
      <c r="A39148" t="s">
        <v>0</v>
      </c>
    </row>
    <row r="39149" spans="1:1" x14ac:dyDescent="0.3">
      <c r="A39149" t="s">
        <v>0</v>
      </c>
    </row>
    <row r="39150" spans="1:1" x14ac:dyDescent="0.3">
      <c r="A39150" t="s">
        <v>0</v>
      </c>
    </row>
    <row r="39151" spans="1:1" x14ac:dyDescent="0.3">
      <c r="A39151" t="s">
        <v>0</v>
      </c>
    </row>
    <row r="39152" spans="1:1" x14ac:dyDescent="0.3">
      <c r="A39152" t="s">
        <v>0</v>
      </c>
    </row>
    <row r="39153" spans="1:1" x14ac:dyDescent="0.3">
      <c r="A39153" t="s">
        <v>0</v>
      </c>
    </row>
    <row r="39154" spans="1:1" x14ac:dyDescent="0.3">
      <c r="A39154" t="s">
        <v>0</v>
      </c>
    </row>
    <row r="39155" spans="1:1" x14ac:dyDescent="0.3">
      <c r="A39155" t="s">
        <v>0</v>
      </c>
    </row>
    <row r="39156" spans="1:1" x14ac:dyDescent="0.3">
      <c r="A39156" t="s">
        <v>0</v>
      </c>
    </row>
    <row r="39157" spans="1:1" x14ac:dyDescent="0.3">
      <c r="A39157" t="s">
        <v>0</v>
      </c>
    </row>
    <row r="39158" spans="1:1" x14ac:dyDescent="0.3">
      <c r="A39158" t="s">
        <v>0</v>
      </c>
    </row>
    <row r="39159" spans="1:1" x14ac:dyDescent="0.3">
      <c r="A39159" t="s">
        <v>0</v>
      </c>
    </row>
    <row r="39160" spans="1:1" x14ac:dyDescent="0.3">
      <c r="A39160" t="s">
        <v>0</v>
      </c>
    </row>
    <row r="39161" spans="1:1" x14ac:dyDescent="0.3">
      <c r="A39161" t="s">
        <v>0</v>
      </c>
    </row>
    <row r="39162" spans="1:1" x14ac:dyDescent="0.3">
      <c r="A39162" t="s">
        <v>0</v>
      </c>
    </row>
    <row r="39163" spans="1:1" x14ac:dyDescent="0.3">
      <c r="A39163" t="s">
        <v>0</v>
      </c>
    </row>
    <row r="39164" spans="1:1" x14ac:dyDescent="0.3">
      <c r="A39164" t="s">
        <v>0</v>
      </c>
    </row>
    <row r="39165" spans="1:1" x14ac:dyDescent="0.3">
      <c r="A39165" t="s">
        <v>0</v>
      </c>
    </row>
    <row r="39166" spans="1:1" x14ac:dyDescent="0.3">
      <c r="A39166" t="s">
        <v>0</v>
      </c>
    </row>
    <row r="39167" spans="1:1" x14ac:dyDescent="0.3">
      <c r="A39167" t="s">
        <v>0</v>
      </c>
    </row>
    <row r="39168" spans="1:1" x14ac:dyDescent="0.3">
      <c r="A39168" t="s">
        <v>0</v>
      </c>
    </row>
    <row r="39169" spans="1:1" x14ac:dyDescent="0.3">
      <c r="A39169" t="s">
        <v>0</v>
      </c>
    </row>
    <row r="39170" spans="1:1" x14ac:dyDescent="0.3">
      <c r="A39170" t="s">
        <v>0</v>
      </c>
    </row>
    <row r="39171" spans="1:1" x14ac:dyDescent="0.3">
      <c r="A39171" t="s">
        <v>0</v>
      </c>
    </row>
    <row r="39172" spans="1:1" x14ac:dyDescent="0.3">
      <c r="A39172" t="s">
        <v>0</v>
      </c>
    </row>
    <row r="39173" spans="1:1" x14ac:dyDescent="0.3">
      <c r="A39173" t="s">
        <v>0</v>
      </c>
    </row>
    <row r="39174" spans="1:1" x14ac:dyDescent="0.3">
      <c r="A39174" t="s">
        <v>0</v>
      </c>
    </row>
    <row r="39175" spans="1:1" x14ac:dyDescent="0.3">
      <c r="A39175" t="s">
        <v>0</v>
      </c>
    </row>
    <row r="39176" spans="1:1" x14ac:dyDescent="0.3">
      <c r="A39176" t="s">
        <v>0</v>
      </c>
    </row>
    <row r="39177" spans="1:1" x14ac:dyDescent="0.3">
      <c r="A39177" t="s">
        <v>0</v>
      </c>
    </row>
    <row r="39178" spans="1:1" x14ac:dyDescent="0.3">
      <c r="A39178" t="s">
        <v>0</v>
      </c>
    </row>
    <row r="39179" spans="1:1" x14ac:dyDescent="0.3">
      <c r="A39179" t="s">
        <v>0</v>
      </c>
    </row>
    <row r="39180" spans="1:1" x14ac:dyDescent="0.3">
      <c r="A39180" t="s">
        <v>0</v>
      </c>
    </row>
    <row r="39181" spans="1:1" x14ac:dyDescent="0.3">
      <c r="A39181" t="s">
        <v>0</v>
      </c>
    </row>
    <row r="39182" spans="1:1" x14ac:dyDescent="0.3">
      <c r="A39182" t="s">
        <v>0</v>
      </c>
    </row>
    <row r="39183" spans="1:1" x14ac:dyDescent="0.3">
      <c r="A39183" t="s">
        <v>0</v>
      </c>
    </row>
    <row r="39184" spans="1:1" x14ac:dyDescent="0.3">
      <c r="A39184" t="s">
        <v>0</v>
      </c>
    </row>
    <row r="39185" spans="1:1" x14ac:dyDescent="0.3">
      <c r="A39185" t="s">
        <v>0</v>
      </c>
    </row>
    <row r="39186" spans="1:1" x14ac:dyDescent="0.3">
      <c r="A39186" t="s">
        <v>0</v>
      </c>
    </row>
    <row r="39187" spans="1:1" x14ac:dyDescent="0.3">
      <c r="A39187" t="s">
        <v>0</v>
      </c>
    </row>
    <row r="39188" spans="1:1" x14ac:dyDescent="0.3">
      <c r="A39188" t="s">
        <v>0</v>
      </c>
    </row>
    <row r="39189" spans="1:1" x14ac:dyDescent="0.3">
      <c r="A39189" t="s">
        <v>0</v>
      </c>
    </row>
    <row r="39190" spans="1:1" x14ac:dyDescent="0.3">
      <c r="A39190" t="s">
        <v>0</v>
      </c>
    </row>
    <row r="39191" spans="1:1" x14ac:dyDescent="0.3">
      <c r="A39191" t="s">
        <v>0</v>
      </c>
    </row>
    <row r="39192" spans="1:1" x14ac:dyDescent="0.3">
      <c r="A39192" t="s">
        <v>0</v>
      </c>
    </row>
    <row r="39193" spans="1:1" x14ac:dyDescent="0.3">
      <c r="A39193" t="s">
        <v>0</v>
      </c>
    </row>
    <row r="39194" spans="1:1" x14ac:dyDescent="0.3">
      <c r="A39194" t="s">
        <v>0</v>
      </c>
    </row>
    <row r="39195" spans="1:1" x14ac:dyDescent="0.3">
      <c r="A39195" t="s">
        <v>0</v>
      </c>
    </row>
    <row r="39196" spans="1:1" x14ac:dyDescent="0.3">
      <c r="A39196" t="s">
        <v>0</v>
      </c>
    </row>
    <row r="39197" spans="1:1" x14ac:dyDescent="0.3">
      <c r="A39197" t="s">
        <v>0</v>
      </c>
    </row>
    <row r="39198" spans="1:1" x14ac:dyDescent="0.3">
      <c r="A39198" t="s">
        <v>0</v>
      </c>
    </row>
    <row r="39199" spans="1:1" x14ac:dyDescent="0.3">
      <c r="A39199" t="s">
        <v>0</v>
      </c>
    </row>
    <row r="39200" spans="1:1" x14ac:dyDescent="0.3">
      <c r="A39200" t="s">
        <v>0</v>
      </c>
    </row>
    <row r="39201" spans="1:1" x14ac:dyDescent="0.3">
      <c r="A39201" t="s">
        <v>0</v>
      </c>
    </row>
    <row r="39202" spans="1:1" x14ac:dyDescent="0.3">
      <c r="A39202" t="s">
        <v>0</v>
      </c>
    </row>
    <row r="39203" spans="1:1" x14ac:dyDescent="0.3">
      <c r="A39203" t="s">
        <v>0</v>
      </c>
    </row>
    <row r="39204" spans="1:1" x14ac:dyDescent="0.3">
      <c r="A39204" t="s">
        <v>0</v>
      </c>
    </row>
    <row r="39205" spans="1:1" x14ac:dyDescent="0.3">
      <c r="A39205" t="s">
        <v>0</v>
      </c>
    </row>
    <row r="39206" spans="1:1" x14ac:dyDescent="0.3">
      <c r="A39206" t="s">
        <v>0</v>
      </c>
    </row>
    <row r="39207" spans="1:1" x14ac:dyDescent="0.3">
      <c r="A39207" t="s">
        <v>0</v>
      </c>
    </row>
    <row r="39208" spans="1:1" x14ac:dyDescent="0.3">
      <c r="A39208" t="s">
        <v>0</v>
      </c>
    </row>
    <row r="39209" spans="1:1" x14ac:dyDescent="0.3">
      <c r="A39209" t="s">
        <v>0</v>
      </c>
    </row>
    <row r="39210" spans="1:1" x14ac:dyDescent="0.3">
      <c r="A39210" t="s">
        <v>0</v>
      </c>
    </row>
    <row r="39211" spans="1:1" x14ac:dyDescent="0.3">
      <c r="A39211" t="s">
        <v>0</v>
      </c>
    </row>
    <row r="39212" spans="1:1" x14ac:dyDescent="0.3">
      <c r="A39212" t="s">
        <v>0</v>
      </c>
    </row>
    <row r="39213" spans="1:1" x14ac:dyDescent="0.3">
      <c r="A39213" t="s">
        <v>0</v>
      </c>
    </row>
    <row r="39214" spans="1:1" x14ac:dyDescent="0.3">
      <c r="A39214" t="s">
        <v>0</v>
      </c>
    </row>
    <row r="39215" spans="1:1" x14ac:dyDescent="0.3">
      <c r="A39215" t="s">
        <v>0</v>
      </c>
    </row>
    <row r="39216" spans="1:1" x14ac:dyDescent="0.3">
      <c r="A39216" t="s">
        <v>0</v>
      </c>
    </row>
    <row r="39217" spans="1:1" x14ac:dyDescent="0.3">
      <c r="A39217" t="s">
        <v>0</v>
      </c>
    </row>
    <row r="39218" spans="1:1" x14ac:dyDescent="0.3">
      <c r="A39218" t="s">
        <v>0</v>
      </c>
    </row>
    <row r="39219" spans="1:1" x14ac:dyDescent="0.3">
      <c r="A39219" t="s">
        <v>0</v>
      </c>
    </row>
    <row r="39220" spans="1:1" x14ac:dyDescent="0.3">
      <c r="A39220" t="s">
        <v>0</v>
      </c>
    </row>
    <row r="39221" spans="1:1" x14ac:dyDescent="0.3">
      <c r="A39221" t="s">
        <v>0</v>
      </c>
    </row>
    <row r="39222" spans="1:1" x14ac:dyDescent="0.3">
      <c r="A39222" t="s">
        <v>0</v>
      </c>
    </row>
    <row r="39223" spans="1:1" x14ac:dyDescent="0.3">
      <c r="A39223" t="s">
        <v>0</v>
      </c>
    </row>
    <row r="39224" spans="1:1" x14ac:dyDescent="0.3">
      <c r="A39224" t="s">
        <v>0</v>
      </c>
    </row>
    <row r="39225" spans="1:1" x14ac:dyDescent="0.3">
      <c r="A39225" t="s">
        <v>0</v>
      </c>
    </row>
    <row r="39226" spans="1:1" x14ac:dyDescent="0.3">
      <c r="A39226" t="s">
        <v>0</v>
      </c>
    </row>
    <row r="39227" spans="1:1" x14ac:dyDescent="0.3">
      <c r="A39227" t="s">
        <v>0</v>
      </c>
    </row>
    <row r="39228" spans="1:1" x14ac:dyDescent="0.3">
      <c r="A39228" t="s">
        <v>0</v>
      </c>
    </row>
    <row r="39229" spans="1:1" x14ac:dyDescent="0.3">
      <c r="A39229" t="s">
        <v>0</v>
      </c>
    </row>
    <row r="39230" spans="1:1" x14ac:dyDescent="0.3">
      <c r="A39230" t="s">
        <v>0</v>
      </c>
    </row>
    <row r="39231" spans="1:1" x14ac:dyDescent="0.3">
      <c r="A39231" t="s">
        <v>0</v>
      </c>
    </row>
    <row r="39232" spans="1:1" x14ac:dyDescent="0.3">
      <c r="A39232" t="s">
        <v>0</v>
      </c>
    </row>
    <row r="39233" spans="1:1" x14ac:dyDescent="0.3">
      <c r="A39233" t="s">
        <v>0</v>
      </c>
    </row>
    <row r="39234" spans="1:1" x14ac:dyDescent="0.3">
      <c r="A39234" t="s">
        <v>0</v>
      </c>
    </row>
    <row r="39235" spans="1:1" x14ac:dyDescent="0.3">
      <c r="A39235" t="s">
        <v>0</v>
      </c>
    </row>
    <row r="39236" spans="1:1" x14ac:dyDescent="0.3">
      <c r="A39236" t="s">
        <v>0</v>
      </c>
    </row>
    <row r="39237" spans="1:1" x14ac:dyDescent="0.3">
      <c r="A39237" t="s">
        <v>0</v>
      </c>
    </row>
    <row r="39238" spans="1:1" x14ac:dyDescent="0.3">
      <c r="A39238" t="s">
        <v>0</v>
      </c>
    </row>
    <row r="39239" spans="1:1" x14ac:dyDescent="0.3">
      <c r="A39239" t="s">
        <v>0</v>
      </c>
    </row>
    <row r="39240" spans="1:1" x14ac:dyDescent="0.3">
      <c r="A39240" t="s">
        <v>0</v>
      </c>
    </row>
    <row r="39241" spans="1:1" x14ac:dyDescent="0.3">
      <c r="A39241" t="s">
        <v>0</v>
      </c>
    </row>
    <row r="39242" spans="1:1" x14ac:dyDescent="0.3">
      <c r="A39242" t="s">
        <v>0</v>
      </c>
    </row>
    <row r="39243" spans="1:1" x14ac:dyDescent="0.3">
      <c r="A39243" t="s">
        <v>0</v>
      </c>
    </row>
    <row r="39244" spans="1:1" x14ac:dyDescent="0.3">
      <c r="A39244" t="s">
        <v>0</v>
      </c>
    </row>
    <row r="39245" spans="1:1" x14ac:dyDescent="0.3">
      <c r="A39245" t="s">
        <v>0</v>
      </c>
    </row>
    <row r="39246" spans="1:1" x14ac:dyDescent="0.3">
      <c r="A39246" t="s">
        <v>0</v>
      </c>
    </row>
    <row r="39247" spans="1:1" x14ac:dyDescent="0.3">
      <c r="A39247" t="s">
        <v>0</v>
      </c>
    </row>
    <row r="39248" spans="1:1" x14ac:dyDescent="0.3">
      <c r="A39248" t="s">
        <v>0</v>
      </c>
    </row>
    <row r="39249" spans="1:1" x14ac:dyDescent="0.3">
      <c r="A39249" t="s">
        <v>0</v>
      </c>
    </row>
    <row r="39250" spans="1:1" x14ac:dyDescent="0.3">
      <c r="A39250" t="s">
        <v>0</v>
      </c>
    </row>
    <row r="39251" spans="1:1" x14ac:dyDescent="0.3">
      <c r="A39251" t="s">
        <v>0</v>
      </c>
    </row>
    <row r="39252" spans="1:1" x14ac:dyDescent="0.3">
      <c r="A39252" t="s">
        <v>0</v>
      </c>
    </row>
    <row r="39253" spans="1:1" x14ac:dyDescent="0.3">
      <c r="A39253" t="s">
        <v>0</v>
      </c>
    </row>
    <row r="39254" spans="1:1" x14ac:dyDescent="0.3">
      <c r="A39254" t="s">
        <v>0</v>
      </c>
    </row>
    <row r="39255" spans="1:1" x14ac:dyDescent="0.3">
      <c r="A39255" t="s">
        <v>0</v>
      </c>
    </row>
    <row r="39256" spans="1:1" x14ac:dyDescent="0.3">
      <c r="A39256" t="s">
        <v>0</v>
      </c>
    </row>
    <row r="39257" spans="1:1" x14ac:dyDescent="0.3">
      <c r="A39257" t="s">
        <v>0</v>
      </c>
    </row>
    <row r="39258" spans="1:1" x14ac:dyDescent="0.3">
      <c r="A39258" t="s">
        <v>0</v>
      </c>
    </row>
    <row r="39259" spans="1:1" x14ac:dyDescent="0.3">
      <c r="A39259" t="s">
        <v>0</v>
      </c>
    </row>
    <row r="39260" spans="1:1" x14ac:dyDescent="0.3">
      <c r="A39260" t="s">
        <v>0</v>
      </c>
    </row>
    <row r="39261" spans="1:1" x14ac:dyDescent="0.3">
      <c r="A39261" t="s">
        <v>0</v>
      </c>
    </row>
    <row r="39262" spans="1:1" x14ac:dyDescent="0.3">
      <c r="A39262" t="s">
        <v>0</v>
      </c>
    </row>
    <row r="39263" spans="1:1" x14ac:dyDescent="0.3">
      <c r="A39263" t="s">
        <v>0</v>
      </c>
    </row>
    <row r="39264" spans="1:1" x14ac:dyDescent="0.3">
      <c r="A39264" t="s">
        <v>0</v>
      </c>
    </row>
    <row r="39265" spans="1:1" x14ac:dyDescent="0.3">
      <c r="A39265" t="s">
        <v>0</v>
      </c>
    </row>
    <row r="39266" spans="1:1" x14ac:dyDescent="0.3">
      <c r="A39266" t="s">
        <v>0</v>
      </c>
    </row>
    <row r="39267" spans="1:1" x14ac:dyDescent="0.3">
      <c r="A39267" t="s">
        <v>0</v>
      </c>
    </row>
    <row r="39268" spans="1:1" x14ac:dyDescent="0.3">
      <c r="A39268" t="s">
        <v>0</v>
      </c>
    </row>
    <row r="39269" spans="1:1" x14ac:dyDescent="0.3">
      <c r="A39269" t="s">
        <v>0</v>
      </c>
    </row>
    <row r="39270" spans="1:1" x14ac:dyDescent="0.3">
      <c r="A39270" t="s">
        <v>0</v>
      </c>
    </row>
    <row r="39271" spans="1:1" x14ac:dyDescent="0.3">
      <c r="A39271" t="s">
        <v>0</v>
      </c>
    </row>
    <row r="39272" spans="1:1" x14ac:dyDescent="0.3">
      <c r="A39272" t="s">
        <v>0</v>
      </c>
    </row>
    <row r="39273" spans="1:1" x14ac:dyDescent="0.3">
      <c r="A39273" t="s">
        <v>0</v>
      </c>
    </row>
    <row r="39274" spans="1:1" x14ac:dyDescent="0.3">
      <c r="A39274" t="s">
        <v>0</v>
      </c>
    </row>
    <row r="39275" spans="1:1" x14ac:dyDescent="0.3">
      <c r="A39275" t="s">
        <v>0</v>
      </c>
    </row>
    <row r="39276" spans="1:1" x14ac:dyDescent="0.3">
      <c r="A39276" t="s">
        <v>0</v>
      </c>
    </row>
    <row r="39277" spans="1:1" x14ac:dyDescent="0.3">
      <c r="A39277" t="s">
        <v>0</v>
      </c>
    </row>
    <row r="39278" spans="1:1" x14ac:dyDescent="0.3">
      <c r="A39278" t="s">
        <v>0</v>
      </c>
    </row>
    <row r="39279" spans="1:1" x14ac:dyDescent="0.3">
      <c r="A39279" t="s">
        <v>0</v>
      </c>
    </row>
    <row r="39280" spans="1:1" x14ac:dyDescent="0.3">
      <c r="A39280" t="s">
        <v>0</v>
      </c>
    </row>
    <row r="39281" spans="1:1" x14ac:dyDescent="0.3">
      <c r="A39281" t="s">
        <v>0</v>
      </c>
    </row>
    <row r="39282" spans="1:1" x14ac:dyDescent="0.3">
      <c r="A39282" t="s">
        <v>0</v>
      </c>
    </row>
    <row r="39283" spans="1:1" x14ac:dyDescent="0.3">
      <c r="A39283" t="s">
        <v>0</v>
      </c>
    </row>
    <row r="39284" spans="1:1" x14ac:dyDescent="0.3">
      <c r="A39284" t="s">
        <v>0</v>
      </c>
    </row>
    <row r="39285" spans="1:1" x14ac:dyDescent="0.3">
      <c r="A39285" t="s">
        <v>0</v>
      </c>
    </row>
    <row r="39286" spans="1:1" x14ac:dyDescent="0.3">
      <c r="A39286" t="s">
        <v>0</v>
      </c>
    </row>
    <row r="39287" spans="1:1" x14ac:dyDescent="0.3">
      <c r="A39287" t="s">
        <v>0</v>
      </c>
    </row>
    <row r="39288" spans="1:1" x14ac:dyDescent="0.3">
      <c r="A39288" t="s">
        <v>0</v>
      </c>
    </row>
    <row r="39289" spans="1:1" x14ac:dyDescent="0.3">
      <c r="A39289" t="s">
        <v>0</v>
      </c>
    </row>
    <row r="39290" spans="1:1" x14ac:dyDescent="0.3">
      <c r="A39290" t="s">
        <v>0</v>
      </c>
    </row>
    <row r="39291" spans="1:1" x14ac:dyDescent="0.3">
      <c r="A39291" t="s">
        <v>0</v>
      </c>
    </row>
    <row r="39292" spans="1:1" x14ac:dyDescent="0.3">
      <c r="A39292" t="s">
        <v>0</v>
      </c>
    </row>
    <row r="39293" spans="1:1" x14ac:dyDescent="0.3">
      <c r="A39293" t="s">
        <v>0</v>
      </c>
    </row>
    <row r="39294" spans="1:1" x14ac:dyDescent="0.3">
      <c r="A39294" t="s">
        <v>0</v>
      </c>
    </row>
    <row r="39295" spans="1:1" x14ac:dyDescent="0.3">
      <c r="A39295" t="s">
        <v>0</v>
      </c>
    </row>
    <row r="39296" spans="1:1" x14ac:dyDescent="0.3">
      <c r="A39296" t="s">
        <v>0</v>
      </c>
    </row>
    <row r="39297" spans="1:1" x14ac:dyDescent="0.3">
      <c r="A39297" t="s">
        <v>0</v>
      </c>
    </row>
    <row r="39298" spans="1:1" x14ac:dyDescent="0.3">
      <c r="A39298" t="s">
        <v>0</v>
      </c>
    </row>
    <row r="39299" spans="1:1" x14ac:dyDescent="0.3">
      <c r="A39299" t="s">
        <v>0</v>
      </c>
    </row>
    <row r="39300" spans="1:1" x14ac:dyDescent="0.3">
      <c r="A39300" t="s">
        <v>0</v>
      </c>
    </row>
    <row r="39301" spans="1:1" x14ac:dyDescent="0.3">
      <c r="A39301" t="s">
        <v>0</v>
      </c>
    </row>
    <row r="39302" spans="1:1" x14ac:dyDescent="0.3">
      <c r="A39302" t="s">
        <v>0</v>
      </c>
    </row>
    <row r="39303" spans="1:1" x14ac:dyDescent="0.3">
      <c r="A39303" t="s">
        <v>0</v>
      </c>
    </row>
    <row r="39304" spans="1:1" x14ac:dyDescent="0.3">
      <c r="A39304" t="s">
        <v>0</v>
      </c>
    </row>
    <row r="39305" spans="1:1" x14ac:dyDescent="0.3">
      <c r="A39305" t="s">
        <v>0</v>
      </c>
    </row>
    <row r="39306" spans="1:1" x14ac:dyDescent="0.3">
      <c r="A39306" t="s">
        <v>0</v>
      </c>
    </row>
    <row r="39307" spans="1:1" x14ac:dyDescent="0.3">
      <c r="A39307" t="s">
        <v>0</v>
      </c>
    </row>
    <row r="39308" spans="1:1" x14ac:dyDescent="0.3">
      <c r="A39308" t="s">
        <v>0</v>
      </c>
    </row>
    <row r="39309" spans="1:1" x14ac:dyDescent="0.3">
      <c r="A39309" t="s">
        <v>0</v>
      </c>
    </row>
    <row r="39310" spans="1:1" x14ac:dyDescent="0.3">
      <c r="A39310" t="s">
        <v>0</v>
      </c>
    </row>
    <row r="39311" spans="1:1" x14ac:dyDescent="0.3">
      <c r="A39311" t="s">
        <v>0</v>
      </c>
    </row>
    <row r="39312" spans="1:1" x14ac:dyDescent="0.3">
      <c r="A39312" t="s">
        <v>0</v>
      </c>
    </row>
    <row r="39313" spans="1:1" x14ac:dyDescent="0.3">
      <c r="A39313" t="s">
        <v>0</v>
      </c>
    </row>
    <row r="39314" spans="1:1" x14ac:dyDescent="0.3">
      <c r="A39314" t="s">
        <v>0</v>
      </c>
    </row>
    <row r="39315" spans="1:1" x14ac:dyDescent="0.3">
      <c r="A39315" t="s">
        <v>0</v>
      </c>
    </row>
    <row r="39316" spans="1:1" x14ac:dyDescent="0.3">
      <c r="A39316" t="s">
        <v>0</v>
      </c>
    </row>
    <row r="39317" spans="1:1" x14ac:dyDescent="0.3">
      <c r="A39317" t="s">
        <v>0</v>
      </c>
    </row>
    <row r="39318" spans="1:1" x14ac:dyDescent="0.3">
      <c r="A39318" t="s">
        <v>0</v>
      </c>
    </row>
    <row r="39319" spans="1:1" x14ac:dyDescent="0.3">
      <c r="A39319" t="s">
        <v>0</v>
      </c>
    </row>
    <row r="39320" spans="1:1" x14ac:dyDescent="0.3">
      <c r="A39320" t="s">
        <v>0</v>
      </c>
    </row>
    <row r="39321" spans="1:1" x14ac:dyDescent="0.3">
      <c r="A39321" t="s">
        <v>0</v>
      </c>
    </row>
    <row r="39322" spans="1:1" x14ac:dyDescent="0.3">
      <c r="A39322" t="s">
        <v>0</v>
      </c>
    </row>
    <row r="39323" spans="1:1" x14ac:dyDescent="0.3">
      <c r="A39323" t="s">
        <v>0</v>
      </c>
    </row>
    <row r="39324" spans="1:1" x14ac:dyDescent="0.3">
      <c r="A39324" t="s">
        <v>0</v>
      </c>
    </row>
    <row r="39325" spans="1:1" x14ac:dyDescent="0.3">
      <c r="A39325" t="s">
        <v>0</v>
      </c>
    </row>
    <row r="39326" spans="1:1" x14ac:dyDescent="0.3">
      <c r="A39326" t="s">
        <v>0</v>
      </c>
    </row>
    <row r="39327" spans="1:1" x14ac:dyDescent="0.3">
      <c r="A39327" t="s">
        <v>0</v>
      </c>
    </row>
    <row r="39328" spans="1:1" x14ac:dyDescent="0.3">
      <c r="A39328" t="s">
        <v>0</v>
      </c>
    </row>
    <row r="39329" spans="1:1" x14ac:dyDescent="0.3">
      <c r="A39329" t="s">
        <v>0</v>
      </c>
    </row>
    <row r="39330" spans="1:1" x14ac:dyDescent="0.3">
      <c r="A39330" t="s">
        <v>0</v>
      </c>
    </row>
    <row r="39331" spans="1:1" x14ac:dyDescent="0.3">
      <c r="A39331" t="s">
        <v>0</v>
      </c>
    </row>
    <row r="39332" spans="1:1" x14ac:dyDescent="0.3">
      <c r="A39332" t="s">
        <v>0</v>
      </c>
    </row>
    <row r="39333" spans="1:1" x14ac:dyDescent="0.3">
      <c r="A39333" t="s">
        <v>0</v>
      </c>
    </row>
    <row r="39334" spans="1:1" x14ac:dyDescent="0.3">
      <c r="A39334" t="s">
        <v>0</v>
      </c>
    </row>
    <row r="39335" spans="1:1" x14ac:dyDescent="0.3">
      <c r="A39335" t="s">
        <v>0</v>
      </c>
    </row>
    <row r="39336" spans="1:1" x14ac:dyDescent="0.3">
      <c r="A39336" t="s">
        <v>0</v>
      </c>
    </row>
    <row r="39337" spans="1:1" x14ac:dyDescent="0.3">
      <c r="A39337" t="s">
        <v>0</v>
      </c>
    </row>
    <row r="39338" spans="1:1" x14ac:dyDescent="0.3">
      <c r="A39338" t="s">
        <v>0</v>
      </c>
    </row>
    <row r="39339" spans="1:1" x14ac:dyDescent="0.3">
      <c r="A39339" t="s">
        <v>0</v>
      </c>
    </row>
    <row r="39340" spans="1:1" x14ac:dyDescent="0.3">
      <c r="A39340" t="s">
        <v>0</v>
      </c>
    </row>
    <row r="39341" spans="1:1" x14ac:dyDescent="0.3">
      <c r="A39341" t="s">
        <v>0</v>
      </c>
    </row>
    <row r="39342" spans="1:1" x14ac:dyDescent="0.3">
      <c r="A39342" t="s">
        <v>0</v>
      </c>
    </row>
    <row r="39343" spans="1:1" x14ac:dyDescent="0.3">
      <c r="A39343" t="s">
        <v>0</v>
      </c>
    </row>
    <row r="39344" spans="1:1" x14ac:dyDescent="0.3">
      <c r="A39344" t="s">
        <v>0</v>
      </c>
    </row>
    <row r="39345" spans="1:1" x14ac:dyDescent="0.3">
      <c r="A39345" t="s">
        <v>0</v>
      </c>
    </row>
    <row r="39346" spans="1:1" x14ac:dyDescent="0.3">
      <c r="A39346" t="s">
        <v>0</v>
      </c>
    </row>
    <row r="39347" spans="1:1" x14ac:dyDescent="0.3">
      <c r="A39347" t="s">
        <v>0</v>
      </c>
    </row>
    <row r="39348" spans="1:1" x14ac:dyDescent="0.3">
      <c r="A39348" t="s">
        <v>0</v>
      </c>
    </row>
    <row r="39349" spans="1:1" x14ac:dyDescent="0.3">
      <c r="A39349" t="s">
        <v>0</v>
      </c>
    </row>
    <row r="39350" spans="1:1" x14ac:dyDescent="0.3">
      <c r="A39350" t="s">
        <v>0</v>
      </c>
    </row>
    <row r="39351" spans="1:1" x14ac:dyDescent="0.3">
      <c r="A39351" t="s">
        <v>0</v>
      </c>
    </row>
    <row r="39352" spans="1:1" x14ac:dyDescent="0.3">
      <c r="A39352" t="s">
        <v>0</v>
      </c>
    </row>
    <row r="39353" spans="1:1" x14ac:dyDescent="0.3">
      <c r="A39353" t="s">
        <v>0</v>
      </c>
    </row>
    <row r="39354" spans="1:1" x14ac:dyDescent="0.3">
      <c r="A39354" t="s">
        <v>0</v>
      </c>
    </row>
    <row r="39355" spans="1:1" x14ac:dyDescent="0.3">
      <c r="A39355" t="s">
        <v>0</v>
      </c>
    </row>
    <row r="39356" spans="1:1" x14ac:dyDescent="0.3">
      <c r="A39356" t="s">
        <v>0</v>
      </c>
    </row>
    <row r="39357" spans="1:1" x14ac:dyDescent="0.3">
      <c r="A39357" t="s">
        <v>0</v>
      </c>
    </row>
    <row r="39358" spans="1:1" x14ac:dyDescent="0.3">
      <c r="A39358" t="s">
        <v>0</v>
      </c>
    </row>
    <row r="39359" spans="1:1" x14ac:dyDescent="0.3">
      <c r="A39359" t="s">
        <v>0</v>
      </c>
    </row>
    <row r="39360" spans="1:1" x14ac:dyDescent="0.3">
      <c r="A39360" t="s">
        <v>0</v>
      </c>
    </row>
    <row r="39361" spans="1:1" x14ac:dyDescent="0.3">
      <c r="A39361" t="s">
        <v>0</v>
      </c>
    </row>
    <row r="39362" spans="1:1" x14ac:dyDescent="0.3">
      <c r="A39362" t="s">
        <v>0</v>
      </c>
    </row>
    <row r="39363" spans="1:1" x14ac:dyDescent="0.3">
      <c r="A39363" t="s">
        <v>0</v>
      </c>
    </row>
    <row r="39364" spans="1:1" x14ac:dyDescent="0.3">
      <c r="A39364" t="s">
        <v>0</v>
      </c>
    </row>
    <row r="39365" spans="1:1" x14ac:dyDescent="0.3">
      <c r="A39365" t="s">
        <v>0</v>
      </c>
    </row>
    <row r="39366" spans="1:1" x14ac:dyDescent="0.3">
      <c r="A39366" t="s">
        <v>0</v>
      </c>
    </row>
    <row r="39367" spans="1:1" x14ac:dyDescent="0.3">
      <c r="A39367" t="s">
        <v>0</v>
      </c>
    </row>
    <row r="39368" spans="1:1" x14ac:dyDescent="0.3">
      <c r="A39368" t="s">
        <v>0</v>
      </c>
    </row>
    <row r="39369" spans="1:1" x14ac:dyDescent="0.3">
      <c r="A39369" t="s">
        <v>0</v>
      </c>
    </row>
    <row r="39370" spans="1:1" x14ac:dyDescent="0.3">
      <c r="A39370" t="s">
        <v>0</v>
      </c>
    </row>
    <row r="39371" spans="1:1" x14ac:dyDescent="0.3">
      <c r="A39371" t="s">
        <v>0</v>
      </c>
    </row>
    <row r="39372" spans="1:1" x14ac:dyDescent="0.3">
      <c r="A39372" t="s">
        <v>0</v>
      </c>
    </row>
    <row r="39373" spans="1:1" x14ac:dyDescent="0.3">
      <c r="A39373" t="s">
        <v>0</v>
      </c>
    </row>
    <row r="39374" spans="1:1" x14ac:dyDescent="0.3">
      <c r="A39374" t="s">
        <v>0</v>
      </c>
    </row>
    <row r="39375" spans="1:1" x14ac:dyDescent="0.3">
      <c r="A39375" t="s">
        <v>0</v>
      </c>
    </row>
    <row r="39376" spans="1:1" x14ac:dyDescent="0.3">
      <c r="A39376" t="s">
        <v>0</v>
      </c>
    </row>
    <row r="39377" spans="1:1" x14ac:dyDescent="0.3">
      <c r="A39377" t="s">
        <v>0</v>
      </c>
    </row>
    <row r="39378" spans="1:1" x14ac:dyDescent="0.3">
      <c r="A39378" t="s">
        <v>0</v>
      </c>
    </row>
    <row r="39379" spans="1:1" x14ac:dyDescent="0.3">
      <c r="A39379" t="s">
        <v>0</v>
      </c>
    </row>
    <row r="39380" spans="1:1" x14ac:dyDescent="0.3">
      <c r="A39380" t="s">
        <v>0</v>
      </c>
    </row>
    <row r="39381" spans="1:1" x14ac:dyDescent="0.3">
      <c r="A39381" t="s">
        <v>0</v>
      </c>
    </row>
    <row r="39382" spans="1:1" x14ac:dyDescent="0.3">
      <c r="A39382" t="s">
        <v>0</v>
      </c>
    </row>
    <row r="39383" spans="1:1" x14ac:dyDescent="0.3">
      <c r="A39383" t="s">
        <v>0</v>
      </c>
    </row>
    <row r="39384" spans="1:1" x14ac:dyDescent="0.3">
      <c r="A39384" t="s">
        <v>0</v>
      </c>
    </row>
    <row r="39385" spans="1:1" x14ac:dyDescent="0.3">
      <c r="A39385" t="s">
        <v>0</v>
      </c>
    </row>
    <row r="39386" spans="1:1" x14ac:dyDescent="0.3">
      <c r="A39386" t="s">
        <v>0</v>
      </c>
    </row>
    <row r="39387" spans="1:1" x14ac:dyDescent="0.3">
      <c r="A39387" t="s">
        <v>0</v>
      </c>
    </row>
    <row r="39388" spans="1:1" x14ac:dyDescent="0.3">
      <c r="A39388" t="s">
        <v>0</v>
      </c>
    </row>
    <row r="39389" spans="1:1" x14ac:dyDescent="0.3">
      <c r="A39389" t="s">
        <v>0</v>
      </c>
    </row>
    <row r="39390" spans="1:1" x14ac:dyDescent="0.3">
      <c r="A39390" t="s">
        <v>0</v>
      </c>
    </row>
    <row r="39391" spans="1:1" x14ac:dyDescent="0.3">
      <c r="A39391" t="s">
        <v>0</v>
      </c>
    </row>
    <row r="39392" spans="1:1" x14ac:dyDescent="0.3">
      <c r="A39392" t="s">
        <v>0</v>
      </c>
    </row>
    <row r="39393" spans="1:1" x14ac:dyDescent="0.3">
      <c r="A39393" t="s">
        <v>0</v>
      </c>
    </row>
    <row r="39394" spans="1:1" x14ac:dyDescent="0.3">
      <c r="A39394" t="s">
        <v>0</v>
      </c>
    </row>
    <row r="39395" spans="1:1" x14ac:dyDescent="0.3">
      <c r="A39395" t="s">
        <v>0</v>
      </c>
    </row>
    <row r="39396" spans="1:1" x14ac:dyDescent="0.3">
      <c r="A39396" t="s">
        <v>0</v>
      </c>
    </row>
    <row r="39397" spans="1:1" x14ac:dyDescent="0.3">
      <c r="A39397" t="s">
        <v>0</v>
      </c>
    </row>
    <row r="39398" spans="1:1" x14ac:dyDescent="0.3">
      <c r="A39398" t="s">
        <v>0</v>
      </c>
    </row>
    <row r="39399" spans="1:1" x14ac:dyDescent="0.3">
      <c r="A39399" t="s">
        <v>0</v>
      </c>
    </row>
    <row r="39400" spans="1:1" x14ac:dyDescent="0.3">
      <c r="A39400" t="s">
        <v>0</v>
      </c>
    </row>
    <row r="39401" spans="1:1" x14ac:dyDescent="0.3">
      <c r="A39401" t="s">
        <v>0</v>
      </c>
    </row>
    <row r="39402" spans="1:1" x14ac:dyDescent="0.3">
      <c r="A39402" t="s">
        <v>0</v>
      </c>
    </row>
    <row r="39403" spans="1:1" x14ac:dyDescent="0.3">
      <c r="A39403" t="s">
        <v>0</v>
      </c>
    </row>
    <row r="39404" spans="1:1" x14ac:dyDescent="0.3">
      <c r="A39404" t="s">
        <v>0</v>
      </c>
    </row>
    <row r="39405" spans="1:1" x14ac:dyDescent="0.3">
      <c r="A39405" t="s">
        <v>0</v>
      </c>
    </row>
    <row r="39406" spans="1:1" x14ac:dyDescent="0.3">
      <c r="A39406" t="s">
        <v>0</v>
      </c>
    </row>
    <row r="39407" spans="1:1" x14ac:dyDescent="0.3">
      <c r="A39407" t="s">
        <v>0</v>
      </c>
    </row>
    <row r="39408" spans="1:1" x14ac:dyDescent="0.3">
      <c r="A39408" t="s">
        <v>0</v>
      </c>
    </row>
    <row r="39409" spans="1:1" x14ac:dyDescent="0.3">
      <c r="A39409" t="s">
        <v>0</v>
      </c>
    </row>
    <row r="39410" spans="1:1" x14ac:dyDescent="0.3">
      <c r="A39410" t="s">
        <v>0</v>
      </c>
    </row>
    <row r="39411" spans="1:1" x14ac:dyDescent="0.3">
      <c r="A39411" t="s">
        <v>0</v>
      </c>
    </row>
    <row r="39412" spans="1:1" x14ac:dyDescent="0.3">
      <c r="A39412" t="s">
        <v>0</v>
      </c>
    </row>
    <row r="39413" spans="1:1" x14ac:dyDescent="0.3">
      <c r="A39413" t="s">
        <v>0</v>
      </c>
    </row>
    <row r="39414" spans="1:1" x14ac:dyDescent="0.3">
      <c r="A39414" t="s">
        <v>0</v>
      </c>
    </row>
    <row r="39415" spans="1:1" x14ac:dyDescent="0.3">
      <c r="A39415" t="s">
        <v>0</v>
      </c>
    </row>
    <row r="39416" spans="1:1" x14ac:dyDescent="0.3">
      <c r="A39416" t="s">
        <v>0</v>
      </c>
    </row>
    <row r="39417" spans="1:1" x14ac:dyDescent="0.3">
      <c r="A39417" t="s">
        <v>0</v>
      </c>
    </row>
    <row r="39418" spans="1:1" x14ac:dyDescent="0.3">
      <c r="A39418" t="s">
        <v>0</v>
      </c>
    </row>
    <row r="39419" spans="1:1" x14ac:dyDescent="0.3">
      <c r="A39419" t="s">
        <v>0</v>
      </c>
    </row>
    <row r="39420" spans="1:1" x14ac:dyDescent="0.3">
      <c r="A39420" t="s">
        <v>0</v>
      </c>
    </row>
    <row r="39421" spans="1:1" x14ac:dyDescent="0.3">
      <c r="A39421" t="s">
        <v>0</v>
      </c>
    </row>
    <row r="39422" spans="1:1" x14ac:dyDescent="0.3">
      <c r="A39422" t="s">
        <v>0</v>
      </c>
    </row>
    <row r="39423" spans="1:1" x14ac:dyDescent="0.3">
      <c r="A39423" t="s">
        <v>0</v>
      </c>
    </row>
    <row r="39424" spans="1:1" x14ac:dyDescent="0.3">
      <c r="A39424" t="s">
        <v>0</v>
      </c>
    </row>
    <row r="39425" spans="1:1" x14ac:dyDescent="0.3">
      <c r="A39425" t="s">
        <v>0</v>
      </c>
    </row>
    <row r="39426" spans="1:1" x14ac:dyDescent="0.3">
      <c r="A39426" t="s">
        <v>0</v>
      </c>
    </row>
    <row r="39427" spans="1:1" x14ac:dyDescent="0.3">
      <c r="A39427" t="s">
        <v>0</v>
      </c>
    </row>
    <row r="39428" spans="1:1" x14ac:dyDescent="0.3">
      <c r="A39428" t="s">
        <v>0</v>
      </c>
    </row>
    <row r="39429" spans="1:1" x14ac:dyDescent="0.3">
      <c r="A39429" t="s">
        <v>0</v>
      </c>
    </row>
    <row r="39430" spans="1:1" x14ac:dyDescent="0.3">
      <c r="A39430" t="s">
        <v>0</v>
      </c>
    </row>
    <row r="39431" spans="1:1" x14ac:dyDescent="0.3">
      <c r="A39431" t="s">
        <v>0</v>
      </c>
    </row>
    <row r="39432" spans="1:1" x14ac:dyDescent="0.3">
      <c r="A39432" t="s">
        <v>0</v>
      </c>
    </row>
    <row r="39433" spans="1:1" x14ac:dyDescent="0.3">
      <c r="A39433" t="s">
        <v>0</v>
      </c>
    </row>
    <row r="39434" spans="1:1" x14ac:dyDescent="0.3">
      <c r="A39434" t="s">
        <v>0</v>
      </c>
    </row>
    <row r="39435" spans="1:1" x14ac:dyDescent="0.3">
      <c r="A39435" t="s">
        <v>0</v>
      </c>
    </row>
    <row r="39436" spans="1:1" x14ac:dyDescent="0.3">
      <c r="A39436" t="s">
        <v>0</v>
      </c>
    </row>
    <row r="39437" spans="1:1" x14ac:dyDescent="0.3">
      <c r="A39437" t="s">
        <v>0</v>
      </c>
    </row>
    <row r="39438" spans="1:1" x14ac:dyDescent="0.3">
      <c r="A39438" t="s">
        <v>0</v>
      </c>
    </row>
    <row r="39439" spans="1:1" x14ac:dyDescent="0.3">
      <c r="A39439" t="s">
        <v>0</v>
      </c>
    </row>
    <row r="39440" spans="1:1" x14ac:dyDescent="0.3">
      <c r="A39440" t="s">
        <v>0</v>
      </c>
    </row>
    <row r="39441" spans="1:1" x14ac:dyDescent="0.3">
      <c r="A39441" t="s">
        <v>0</v>
      </c>
    </row>
    <row r="39442" spans="1:1" x14ac:dyDescent="0.3">
      <c r="A39442" t="s">
        <v>0</v>
      </c>
    </row>
    <row r="39443" spans="1:1" x14ac:dyDescent="0.3">
      <c r="A39443" t="s">
        <v>0</v>
      </c>
    </row>
    <row r="39444" spans="1:1" x14ac:dyDescent="0.3">
      <c r="A39444" t="s">
        <v>0</v>
      </c>
    </row>
    <row r="39445" spans="1:1" x14ac:dyDescent="0.3">
      <c r="A39445" t="s">
        <v>0</v>
      </c>
    </row>
    <row r="39446" spans="1:1" x14ac:dyDescent="0.3">
      <c r="A39446" t="s">
        <v>0</v>
      </c>
    </row>
    <row r="39447" spans="1:1" x14ac:dyDescent="0.3">
      <c r="A39447" t="s">
        <v>0</v>
      </c>
    </row>
    <row r="39448" spans="1:1" x14ac:dyDescent="0.3">
      <c r="A39448" t="s">
        <v>0</v>
      </c>
    </row>
    <row r="39449" spans="1:1" x14ac:dyDescent="0.3">
      <c r="A39449" t="s">
        <v>0</v>
      </c>
    </row>
    <row r="39450" spans="1:1" x14ac:dyDescent="0.3">
      <c r="A39450" t="s">
        <v>0</v>
      </c>
    </row>
    <row r="39451" spans="1:1" x14ac:dyDescent="0.3">
      <c r="A39451" t="s">
        <v>0</v>
      </c>
    </row>
    <row r="39452" spans="1:1" x14ac:dyDescent="0.3">
      <c r="A39452" t="s">
        <v>0</v>
      </c>
    </row>
    <row r="39453" spans="1:1" x14ac:dyDescent="0.3">
      <c r="A39453" t="s">
        <v>0</v>
      </c>
    </row>
    <row r="39454" spans="1:1" x14ac:dyDescent="0.3">
      <c r="A39454" t="s">
        <v>0</v>
      </c>
    </row>
    <row r="39455" spans="1:1" x14ac:dyDescent="0.3">
      <c r="A39455" t="s">
        <v>0</v>
      </c>
    </row>
    <row r="39456" spans="1:1" x14ac:dyDescent="0.3">
      <c r="A39456" t="s">
        <v>0</v>
      </c>
    </row>
    <row r="39457" spans="1:1" x14ac:dyDescent="0.3">
      <c r="A39457" t="s">
        <v>0</v>
      </c>
    </row>
    <row r="39458" spans="1:1" x14ac:dyDescent="0.3">
      <c r="A39458" t="s">
        <v>0</v>
      </c>
    </row>
    <row r="39459" spans="1:1" x14ac:dyDescent="0.3">
      <c r="A39459" t="s">
        <v>0</v>
      </c>
    </row>
    <row r="39460" spans="1:1" x14ac:dyDescent="0.3">
      <c r="A39460" t="s">
        <v>0</v>
      </c>
    </row>
    <row r="39461" spans="1:1" x14ac:dyDescent="0.3">
      <c r="A39461" t="s">
        <v>0</v>
      </c>
    </row>
    <row r="39462" spans="1:1" x14ac:dyDescent="0.3">
      <c r="A39462" t="s">
        <v>0</v>
      </c>
    </row>
    <row r="39463" spans="1:1" x14ac:dyDescent="0.3">
      <c r="A39463" t="s">
        <v>0</v>
      </c>
    </row>
    <row r="39464" spans="1:1" x14ac:dyDescent="0.3">
      <c r="A39464" t="s">
        <v>0</v>
      </c>
    </row>
    <row r="39465" spans="1:1" x14ac:dyDescent="0.3">
      <c r="A39465" t="s">
        <v>0</v>
      </c>
    </row>
    <row r="39466" spans="1:1" x14ac:dyDescent="0.3">
      <c r="A39466" t="s">
        <v>0</v>
      </c>
    </row>
    <row r="39467" spans="1:1" x14ac:dyDescent="0.3">
      <c r="A39467" t="s">
        <v>0</v>
      </c>
    </row>
    <row r="39468" spans="1:1" x14ac:dyDescent="0.3">
      <c r="A39468" t="s">
        <v>0</v>
      </c>
    </row>
    <row r="39469" spans="1:1" x14ac:dyDescent="0.3">
      <c r="A39469" t="s">
        <v>0</v>
      </c>
    </row>
    <row r="39470" spans="1:1" x14ac:dyDescent="0.3">
      <c r="A39470" t="s">
        <v>0</v>
      </c>
    </row>
    <row r="39471" spans="1:1" x14ac:dyDescent="0.3">
      <c r="A39471" t="s">
        <v>0</v>
      </c>
    </row>
    <row r="39472" spans="1:1" x14ac:dyDescent="0.3">
      <c r="A39472" t="s">
        <v>0</v>
      </c>
    </row>
    <row r="39473" spans="1:1" x14ac:dyDescent="0.3">
      <c r="A39473" t="s">
        <v>0</v>
      </c>
    </row>
    <row r="39474" spans="1:1" x14ac:dyDescent="0.3">
      <c r="A39474" t="s">
        <v>0</v>
      </c>
    </row>
    <row r="39475" spans="1:1" x14ac:dyDescent="0.3">
      <c r="A39475" t="s">
        <v>0</v>
      </c>
    </row>
    <row r="39476" spans="1:1" x14ac:dyDescent="0.3">
      <c r="A39476" t="s">
        <v>0</v>
      </c>
    </row>
    <row r="39477" spans="1:1" x14ac:dyDescent="0.3">
      <c r="A39477" t="s">
        <v>0</v>
      </c>
    </row>
    <row r="39478" spans="1:1" x14ac:dyDescent="0.3">
      <c r="A39478" t="s">
        <v>0</v>
      </c>
    </row>
    <row r="39479" spans="1:1" x14ac:dyDescent="0.3">
      <c r="A39479" t="s">
        <v>0</v>
      </c>
    </row>
    <row r="39480" spans="1:1" x14ac:dyDescent="0.3">
      <c r="A39480" t="s">
        <v>0</v>
      </c>
    </row>
    <row r="39481" spans="1:1" x14ac:dyDescent="0.3">
      <c r="A39481" t="s">
        <v>0</v>
      </c>
    </row>
    <row r="39482" spans="1:1" x14ac:dyDescent="0.3">
      <c r="A39482" t="s">
        <v>0</v>
      </c>
    </row>
    <row r="39483" spans="1:1" x14ac:dyDescent="0.3">
      <c r="A39483" t="s">
        <v>0</v>
      </c>
    </row>
    <row r="39484" spans="1:1" x14ac:dyDescent="0.3">
      <c r="A39484" t="s">
        <v>0</v>
      </c>
    </row>
    <row r="39485" spans="1:1" x14ac:dyDescent="0.3">
      <c r="A39485" t="s">
        <v>0</v>
      </c>
    </row>
    <row r="39486" spans="1:1" x14ac:dyDescent="0.3">
      <c r="A39486" t="s">
        <v>0</v>
      </c>
    </row>
    <row r="39487" spans="1:1" x14ac:dyDescent="0.3">
      <c r="A39487" t="s">
        <v>0</v>
      </c>
    </row>
    <row r="39488" spans="1:1" x14ac:dyDescent="0.3">
      <c r="A39488" t="s">
        <v>0</v>
      </c>
    </row>
    <row r="39489" spans="1:1" x14ac:dyDescent="0.3">
      <c r="A39489" t="s">
        <v>0</v>
      </c>
    </row>
    <row r="39490" spans="1:1" x14ac:dyDescent="0.3">
      <c r="A39490" t="s">
        <v>0</v>
      </c>
    </row>
    <row r="39491" spans="1:1" x14ac:dyDescent="0.3">
      <c r="A39491" t="s">
        <v>0</v>
      </c>
    </row>
    <row r="39492" spans="1:1" x14ac:dyDescent="0.3">
      <c r="A39492" t="s">
        <v>0</v>
      </c>
    </row>
    <row r="39493" spans="1:1" x14ac:dyDescent="0.3">
      <c r="A39493" t="s">
        <v>0</v>
      </c>
    </row>
    <row r="39494" spans="1:1" x14ac:dyDescent="0.3">
      <c r="A39494" t="s">
        <v>0</v>
      </c>
    </row>
    <row r="39495" spans="1:1" x14ac:dyDescent="0.3">
      <c r="A39495" t="s">
        <v>0</v>
      </c>
    </row>
    <row r="39496" spans="1:1" x14ac:dyDescent="0.3">
      <c r="A39496" t="s">
        <v>0</v>
      </c>
    </row>
    <row r="39497" spans="1:1" x14ac:dyDescent="0.3">
      <c r="A39497" t="s">
        <v>0</v>
      </c>
    </row>
    <row r="39498" spans="1:1" x14ac:dyDescent="0.3">
      <c r="A39498" t="s">
        <v>0</v>
      </c>
    </row>
    <row r="39499" spans="1:1" x14ac:dyDescent="0.3">
      <c r="A39499" t="s">
        <v>0</v>
      </c>
    </row>
    <row r="39500" spans="1:1" x14ac:dyDescent="0.3">
      <c r="A39500" t="s">
        <v>0</v>
      </c>
    </row>
    <row r="39501" spans="1:1" x14ac:dyDescent="0.3">
      <c r="A39501" t="s">
        <v>0</v>
      </c>
    </row>
    <row r="39502" spans="1:1" x14ac:dyDescent="0.3">
      <c r="A39502" t="s">
        <v>0</v>
      </c>
    </row>
    <row r="39503" spans="1:1" x14ac:dyDescent="0.3">
      <c r="A39503" t="s">
        <v>0</v>
      </c>
    </row>
    <row r="39504" spans="1:1" x14ac:dyDescent="0.3">
      <c r="A39504" t="s">
        <v>0</v>
      </c>
    </row>
    <row r="39505" spans="1:1" x14ac:dyDescent="0.3">
      <c r="A39505" t="s">
        <v>0</v>
      </c>
    </row>
    <row r="39506" spans="1:1" x14ac:dyDescent="0.3">
      <c r="A39506" t="s">
        <v>0</v>
      </c>
    </row>
    <row r="39507" spans="1:1" x14ac:dyDescent="0.3">
      <c r="A39507" t="s">
        <v>0</v>
      </c>
    </row>
    <row r="39508" spans="1:1" x14ac:dyDescent="0.3">
      <c r="A39508" t="s">
        <v>0</v>
      </c>
    </row>
    <row r="39509" spans="1:1" x14ac:dyDescent="0.3">
      <c r="A39509" t="s">
        <v>0</v>
      </c>
    </row>
    <row r="39510" spans="1:1" x14ac:dyDescent="0.3">
      <c r="A39510" t="s">
        <v>0</v>
      </c>
    </row>
    <row r="39511" spans="1:1" x14ac:dyDescent="0.3">
      <c r="A39511" t="s">
        <v>0</v>
      </c>
    </row>
    <row r="39512" spans="1:1" x14ac:dyDescent="0.3">
      <c r="A39512" t="s">
        <v>0</v>
      </c>
    </row>
    <row r="39513" spans="1:1" x14ac:dyDescent="0.3">
      <c r="A39513" t="s">
        <v>0</v>
      </c>
    </row>
    <row r="39514" spans="1:1" x14ac:dyDescent="0.3">
      <c r="A39514" t="s">
        <v>0</v>
      </c>
    </row>
    <row r="39515" spans="1:1" x14ac:dyDescent="0.3">
      <c r="A39515" t="s">
        <v>0</v>
      </c>
    </row>
    <row r="39516" spans="1:1" x14ac:dyDescent="0.3">
      <c r="A39516" t="s">
        <v>0</v>
      </c>
    </row>
    <row r="39517" spans="1:1" x14ac:dyDescent="0.3">
      <c r="A39517" t="s">
        <v>0</v>
      </c>
    </row>
    <row r="39518" spans="1:1" x14ac:dyDescent="0.3">
      <c r="A39518" t="s">
        <v>0</v>
      </c>
    </row>
    <row r="39519" spans="1:1" x14ac:dyDescent="0.3">
      <c r="A39519" t="s">
        <v>0</v>
      </c>
    </row>
    <row r="39520" spans="1:1" x14ac:dyDescent="0.3">
      <c r="A39520" t="s">
        <v>0</v>
      </c>
    </row>
    <row r="39521" spans="1:1" x14ac:dyDescent="0.3">
      <c r="A39521" t="s">
        <v>0</v>
      </c>
    </row>
    <row r="39522" spans="1:1" x14ac:dyDescent="0.3">
      <c r="A39522" t="s">
        <v>0</v>
      </c>
    </row>
    <row r="39523" spans="1:1" x14ac:dyDescent="0.3">
      <c r="A39523" t="s">
        <v>0</v>
      </c>
    </row>
    <row r="39524" spans="1:1" x14ac:dyDescent="0.3">
      <c r="A39524" t="s">
        <v>0</v>
      </c>
    </row>
    <row r="39525" spans="1:1" x14ac:dyDescent="0.3">
      <c r="A39525" t="s">
        <v>0</v>
      </c>
    </row>
    <row r="39526" spans="1:1" x14ac:dyDescent="0.3">
      <c r="A39526" t="s">
        <v>0</v>
      </c>
    </row>
    <row r="39527" spans="1:1" x14ac:dyDescent="0.3">
      <c r="A39527" t="s">
        <v>0</v>
      </c>
    </row>
    <row r="39528" spans="1:1" x14ac:dyDescent="0.3">
      <c r="A39528" t="s">
        <v>0</v>
      </c>
    </row>
    <row r="39529" spans="1:1" x14ac:dyDescent="0.3">
      <c r="A39529" t="s">
        <v>0</v>
      </c>
    </row>
    <row r="39530" spans="1:1" x14ac:dyDescent="0.3">
      <c r="A39530" t="s">
        <v>0</v>
      </c>
    </row>
    <row r="39531" spans="1:1" x14ac:dyDescent="0.3">
      <c r="A39531" t="s">
        <v>0</v>
      </c>
    </row>
    <row r="39532" spans="1:1" x14ac:dyDescent="0.3">
      <c r="A39532" t="s">
        <v>0</v>
      </c>
    </row>
    <row r="39533" spans="1:1" x14ac:dyDescent="0.3">
      <c r="A39533" t="s">
        <v>0</v>
      </c>
    </row>
    <row r="39534" spans="1:1" x14ac:dyDescent="0.3">
      <c r="A39534" t="s">
        <v>0</v>
      </c>
    </row>
    <row r="39535" spans="1:1" x14ac:dyDescent="0.3">
      <c r="A39535" t="s">
        <v>0</v>
      </c>
    </row>
    <row r="39536" spans="1:1" x14ac:dyDescent="0.3">
      <c r="A39536" t="s">
        <v>0</v>
      </c>
    </row>
    <row r="39537" spans="1:1" x14ac:dyDescent="0.3">
      <c r="A39537" t="s">
        <v>0</v>
      </c>
    </row>
    <row r="39538" spans="1:1" x14ac:dyDescent="0.3">
      <c r="A39538" t="s">
        <v>0</v>
      </c>
    </row>
    <row r="39539" spans="1:1" x14ac:dyDescent="0.3">
      <c r="A39539" t="s">
        <v>0</v>
      </c>
    </row>
    <row r="39540" spans="1:1" x14ac:dyDescent="0.3">
      <c r="A39540" t="s">
        <v>0</v>
      </c>
    </row>
    <row r="39541" spans="1:1" x14ac:dyDescent="0.3">
      <c r="A39541" t="s">
        <v>0</v>
      </c>
    </row>
    <row r="39542" spans="1:1" x14ac:dyDescent="0.3">
      <c r="A39542" t="s">
        <v>0</v>
      </c>
    </row>
    <row r="39543" spans="1:1" x14ac:dyDescent="0.3">
      <c r="A39543" t="s">
        <v>0</v>
      </c>
    </row>
    <row r="39544" spans="1:1" x14ac:dyDescent="0.3">
      <c r="A39544" t="s">
        <v>0</v>
      </c>
    </row>
    <row r="39545" spans="1:1" x14ac:dyDescent="0.3">
      <c r="A39545" t="s">
        <v>0</v>
      </c>
    </row>
    <row r="39546" spans="1:1" x14ac:dyDescent="0.3">
      <c r="A39546" t="s">
        <v>0</v>
      </c>
    </row>
    <row r="39547" spans="1:1" x14ac:dyDescent="0.3">
      <c r="A39547" t="s">
        <v>0</v>
      </c>
    </row>
    <row r="39548" spans="1:1" x14ac:dyDescent="0.3">
      <c r="A39548" t="s">
        <v>0</v>
      </c>
    </row>
    <row r="39549" spans="1:1" x14ac:dyDescent="0.3">
      <c r="A39549" t="s">
        <v>0</v>
      </c>
    </row>
    <row r="39550" spans="1:1" x14ac:dyDescent="0.3">
      <c r="A39550" t="s">
        <v>0</v>
      </c>
    </row>
    <row r="39551" spans="1:1" x14ac:dyDescent="0.3">
      <c r="A39551" t="s">
        <v>0</v>
      </c>
    </row>
    <row r="39552" spans="1:1" x14ac:dyDescent="0.3">
      <c r="A39552" t="s">
        <v>0</v>
      </c>
    </row>
    <row r="39553" spans="1:1" x14ac:dyDescent="0.3">
      <c r="A39553" t="s">
        <v>0</v>
      </c>
    </row>
    <row r="39554" spans="1:1" x14ac:dyDescent="0.3">
      <c r="A39554" t="s">
        <v>0</v>
      </c>
    </row>
    <row r="39555" spans="1:1" x14ac:dyDescent="0.3">
      <c r="A39555" t="s">
        <v>0</v>
      </c>
    </row>
    <row r="39556" spans="1:1" x14ac:dyDescent="0.3">
      <c r="A39556" t="s">
        <v>0</v>
      </c>
    </row>
    <row r="39557" spans="1:1" x14ac:dyDescent="0.3">
      <c r="A39557" t="s">
        <v>0</v>
      </c>
    </row>
    <row r="39558" spans="1:1" x14ac:dyDescent="0.3">
      <c r="A39558" t="s">
        <v>0</v>
      </c>
    </row>
    <row r="39559" spans="1:1" x14ac:dyDescent="0.3">
      <c r="A39559" t="s">
        <v>0</v>
      </c>
    </row>
    <row r="39560" spans="1:1" x14ac:dyDescent="0.3">
      <c r="A39560" t="s">
        <v>0</v>
      </c>
    </row>
    <row r="39561" spans="1:1" x14ac:dyDescent="0.3">
      <c r="A39561" t="s">
        <v>0</v>
      </c>
    </row>
    <row r="39562" spans="1:1" x14ac:dyDescent="0.3">
      <c r="A39562" t="s">
        <v>0</v>
      </c>
    </row>
    <row r="39563" spans="1:1" x14ac:dyDescent="0.3">
      <c r="A39563" t="s">
        <v>0</v>
      </c>
    </row>
    <row r="39564" spans="1:1" x14ac:dyDescent="0.3">
      <c r="A39564" t="s">
        <v>0</v>
      </c>
    </row>
    <row r="39565" spans="1:1" x14ac:dyDescent="0.3">
      <c r="A39565" t="s">
        <v>0</v>
      </c>
    </row>
    <row r="39566" spans="1:1" x14ac:dyDescent="0.3">
      <c r="A39566" t="s">
        <v>0</v>
      </c>
    </row>
    <row r="39567" spans="1:1" x14ac:dyDescent="0.3">
      <c r="A39567" t="s">
        <v>0</v>
      </c>
    </row>
    <row r="39568" spans="1:1" x14ac:dyDescent="0.3">
      <c r="A39568" t="s">
        <v>0</v>
      </c>
    </row>
    <row r="39569" spans="1:1" x14ac:dyDescent="0.3">
      <c r="A39569" t="s">
        <v>0</v>
      </c>
    </row>
    <row r="39570" spans="1:1" x14ac:dyDescent="0.3">
      <c r="A39570" t="s">
        <v>0</v>
      </c>
    </row>
    <row r="39571" spans="1:1" x14ac:dyDescent="0.3">
      <c r="A39571" t="s">
        <v>0</v>
      </c>
    </row>
    <row r="39572" spans="1:1" x14ac:dyDescent="0.3">
      <c r="A39572" t="s">
        <v>0</v>
      </c>
    </row>
    <row r="39573" spans="1:1" x14ac:dyDescent="0.3">
      <c r="A39573" t="s">
        <v>0</v>
      </c>
    </row>
    <row r="39574" spans="1:1" x14ac:dyDescent="0.3">
      <c r="A39574" t="s">
        <v>0</v>
      </c>
    </row>
    <row r="39575" spans="1:1" x14ac:dyDescent="0.3">
      <c r="A39575" t="s">
        <v>0</v>
      </c>
    </row>
    <row r="39576" spans="1:1" x14ac:dyDescent="0.3">
      <c r="A39576" t="s">
        <v>0</v>
      </c>
    </row>
    <row r="39577" spans="1:1" x14ac:dyDescent="0.3">
      <c r="A39577" t="s">
        <v>0</v>
      </c>
    </row>
    <row r="39578" spans="1:1" x14ac:dyDescent="0.3">
      <c r="A39578" t="s">
        <v>0</v>
      </c>
    </row>
    <row r="39579" spans="1:1" x14ac:dyDescent="0.3">
      <c r="A39579" t="s">
        <v>0</v>
      </c>
    </row>
    <row r="39580" spans="1:1" x14ac:dyDescent="0.3">
      <c r="A39580" t="s">
        <v>0</v>
      </c>
    </row>
    <row r="39581" spans="1:1" x14ac:dyDescent="0.3">
      <c r="A39581" t="s">
        <v>0</v>
      </c>
    </row>
    <row r="39582" spans="1:1" x14ac:dyDescent="0.3">
      <c r="A39582" t="s">
        <v>0</v>
      </c>
    </row>
    <row r="39583" spans="1:1" x14ac:dyDescent="0.3">
      <c r="A39583" t="s">
        <v>0</v>
      </c>
    </row>
    <row r="39584" spans="1:1" x14ac:dyDescent="0.3">
      <c r="A39584" t="s">
        <v>0</v>
      </c>
    </row>
    <row r="39585" spans="1:1" x14ac:dyDescent="0.3">
      <c r="A39585" t="s">
        <v>0</v>
      </c>
    </row>
    <row r="39586" spans="1:1" x14ac:dyDescent="0.3">
      <c r="A39586" t="s">
        <v>0</v>
      </c>
    </row>
    <row r="39587" spans="1:1" x14ac:dyDescent="0.3">
      <c r="A39587" t="s">
        <v>0</v>
      </c>
    </row>
    <row r="39588" spans="1:1" x14ac:dyDescent="0.3">
      <c r="A39588" t="s">
        <v>0</v>
      </c>
    </row>
    <row r="39589" spans="1:1" x14ac:dyDescent="0.3">
      <c r="A39589" t="s">
        <v>0</v>
      </c>
    </row>
    <row r="39590" spans="1:1" x14ac:dyDescent="0.3">
      <c r="A39590" t="s">
        <v>0</v>
      </c>
    </row>
    <row r="39591" spans="1:1" x14ac:dyDescent="0.3">
      <c r="A39591" t="s">
        <v>0</v>
      </c>
    </row>
    <row r="39592" spans="1:1" x14ac:dyDescent="0.3">
      <c r="A39592" t="s">
        <v>0</v>
      </c>
    </row>
    <row r="39593" spans="1:1" x14ac:dyDescent="0.3">
      <c r="A39593" t="s">
        <v>0</v>
      </c>
    </row>
    <row r="39594" spans="1:1" x14ac:dyDescent="0.3">
      <c r="A39594" t="s">
        <v>0</v>
      </c>
    </row>
    <row r="39595" spans="1:1" x14ac:dyDescent="0.3">
      <c r="A39595" t="s">
        <v>0</v>
      </c>
    </row>
    <row r="39596" spans="1:1" x14ac:dyDescent="0.3">
      <c r="A39596" t="s">
        <v>0</v>
      </c>
    </row>
    <row r="39597" spans="1:1" x14ac:dyDescent="0.3">
      <c r="A39597" t="s">
        <v>0</v>
      </c>
    </row>
    <row r="39598" spans="1:1" x14ac:dyDescent="0.3">
      <c r="A39598" t="s">
        <v>0</v>
      </c>
    </row>
    <row r="39599" spans="1:1" x14ac:dyDescent="0.3">
      <c r="A39599" t="s">
        <v>0</v>
      </c>
    </row>
    <row r="39600" spans="1:1" x14ac:dyDescent="0.3">
      <c r="A39600" t="s">
        <v>0</v>
      </c>
    </row>
    <row r="39601" spans="1:1" x14ac:dyDescent="0.3">
      <c r="A39601" t="s">
        <v>0</v>
      </c>
    </row>
    <row r="39602" spans="1:1" x14ac:dyDescent="0.3">
      <c r="A39602" t="s">
        <v>0</v>
      </c>
    </row>
    <row r="39603" spans="1:1" x14ac:dyDescent="0.3">
      <c r="A39603" t="s">
        <v>0</v>
      </c>
    </row>
    <row r="39604" spans="1:1" x14ac:dyDescent="0.3">
      <c r="A39604" t="s">
        <v>0</v>
      </c>
    </row>
    <row r="39605" spans="1:1" x14ac:dyDescent="0.3">
      <c r="A39605" t="s">
        <v>0</v>
      </c>
    </row>
    <row r="39606" spans="1:1" x14ac:dyDescent="0.3">
      <c r="A39606" t="s">
        <v>0</v>
      </c>
    </row>
    <row r="39607" spans="1:1" x14ac:dyDescent="0.3">
      <c r="A39607" t="s">
        <v>0</v>
      </c>
    </row>
    <row r="39608" spans="1:1" x14ac:dyDescent="0.3">
      <c r="A39608" t="s">
        <v>0</v>
      </c>
    </row>
    <row r="39609" spans="1:1" x14ac:dyDescent="0.3">
      <c r="A39609" t="s">
        <v>0</v>
      </c>
    </row>
    <row r="39610" spans="1:1" x14ac:dyDescent="0.3">
      <c r="A39610" t="s">
        <v>0</v>
      </c>
    </row>
    <row r="39611" spans="1:1" x14ac:dyDescent="0.3">
      <c r="A39611" t="s">
        <v>0</v>
      </c>
    </row>
    <row r="39612" spans="1:1" x14ac:dyDescent="0.3">
      <c r="A39612" t="s">
        <v>0</v>
      </c>
    </row>
    <row r="39613" spans="1:1" x14ac:dyDescent="0.3">
      <c r="A39613" t="s">
        <v>0</v>
      </c>
    </row>
    <row r="39614" spans="1:1" x14ac:dyDescent="0.3">
      <c r="A39614" t="s">
        <v>0</v>
      </c>
    </row>
    <row r="39615" spans="1:1" x14ac:dyDescent="0.3">
      <c r="A39615" t="s">
        <v>0</v>
      </c>
    </row>
    <row r="39616" spans="1:1" x14ac:dyDescent="0.3">
      <c r="A39616" t="s">
        <v>0</v>
      </c>
    </row>
    <row r="39617" spans="1:1" x14ac:dyDescent="0.3">
      <c r="A39617" t="s">
        <v>0</v>
      </c>
    </row>
    <row r="39618" spans="1:1" x14ac:dyDescent="0.3">
      <c r="A39618" t="s">
        <v>0</v>
      </c>
    </row>
    <row r="39619" spans="1:1" x14ac:dyDescent="0.3">
      <c r="A39619" t="s">
        <v>0</v>
      </c>
    </row>
    <row r="39620" spans="1:1" x14ac:dyDescent="0.3">
      <c r="A39620" t="s">
        <v>0</v>
      </c>
    </row>
    <row r="39621" spans="1:1" x14ac:dyDescent="0.3">
      <c r="A39621" t="s">
        <v>0</v>
      </c>
    </row>
    <row r="39622" spans="1:1" x14ac:dyDescent="0.3">
      <c r="A39622" t="s">
        <v>0</v>
      </c>
    </row>
    <row r="39623" spans="1:1" x14ac:dyDescent="0.3">
      <c r="A39623" t="s">
        <v>0</v>
      </c>
    </row>
    <row r="39624" spans="1:1" x14ac:dyDescent="0.3">
      <c r="A39624" t="s">
        <v>0</v>
      </c>
    </row>
    <row r="39625" spans="1:1" x14ac:dyDescent="0.3">
      <c r="A39625" t="s">
        <v>0</v>
      </c>
    </row>
    <row r="39626" spans="1:1" x14ac:dyDescent="0.3">
      <c r="A39626" t="s">
        <v>0</v>
      </c>
    </row>
    <row r="39627" spans="1:1" x14ac:dyDescent="0.3">
      <c r="A39627" t="s">
        <v>0</v>
      </c>
    </row>
    <row r="39628" spans="1:1" x14ac:dyDescent="0.3">
      <c r="A39628" t="s">
        <v>0</v>
      </c>
    </row>
    <row r="39629" spans="1:1" x14ac:dyDescent="0.3">
      <c r="A39629" t="s">
        <v>0</v>
      </c>
    </row>
    <row r="39630" spans="1:1" x14ac:dyDescent="0.3">
      <c r="A39630" t="s">
        <v>0</v>
      </c>
    </row>
    <row r="39631" spans="1:1" x14ac:dyDescent="0.3">
      <c r="A39631" t="s">
        <v>0</v>
      </c>
    </row>
    <row r="39632" spans="1:1" x14ac:dyDescent="0.3">
      <c r="A39632" t="s">
        <v>0</v>
      </c>
    </row>
    <row r="39633" spans="1:1" x14ac:dyDescent="0.3">
      <c r="A39633" t="s">
        <v>0</v>
      </c>
    </row>
    <row r="39634" spans="1:1" x14ac:dyDescent="0.3">
      <c r="A39634" t="s">
        <v>0</v>
      </c>
    </row>
    <row r="39635" spans="1:1" x14ac:dyDescent="0.3">
      <c r="A39635" t="s">
        <v>0</v>
      </c>
    </row>
    <row r="39636" spans="1:1" x14ac:dyDescent="0.3">
      <c r="A39636" t="s">
        <v>0</v>
      </c>
    </row>
    <row r="39637" spans="1:1" x14ac:dyDescent="0.3">
      <c r="A39637" t="s">
        <v>0</v>
      </c>
    </row>
    <row r="39638" spans="1:1" x14ac:dyDescent="0.3">
      <c r="A39638" t="s">
        <v>0</v>
      </c>
    </row>
    <row r="39639" spans="1:1" x14ac:dyDescent="0.3">
      <c r="A39639" t="s">
        <v>0</v>
      </c>
    </row>
    <row r="39640" spans="1:1" x14ac:dyDescent="0.3">
      <c r="A39640" t="s">
        <v>0</v>
      </c>
    </row>
    <row r="39641" spans="1:1" x14ac:dyDescent="0.3">
      <c r="A39641" t="s">
        <v>0</v>
      </c>
    </row>
    <row r="39642" spans="1:1" x14ac:dyDescent="0.3">
      <c r="A39642" t="s">
        <v>0</v>
      </c>
    </row>
    <row r="39643" spans="1:1" x14ac:dyDescent="0.3">
      <c r="A39643" t="s">
        <v>0</v>
      </c>
    </row>
    <row r="39644" spans="1:1" x14ac:dyDescent="0.3">
      <c r="A39644" t="s">
        <v>0</v>
      </c>
    </row>
    <row r="39645" spans="1:1" x14ac:dyDescent="0.3">
      <c r="A39645" t="s">
        <v>0</v>
      </c>
    </row>
    <row r="39646" spans="1:1" x14ac:dyDescent="0.3">
      <c r="A39646" t="s">
        <v>0</v>
      </c>
    </row>
    <row r="39647" spans="1:1" x14ac:dyDescent="0.3">
      <c r="A39647" t="s">
        <v>0</v>
      </c>
    </row>
    <row r="39648" spans="1:1" x14ac:dyDescent="0.3">
      <c r="A39648" t="s">
        <v>0</v>
      </c>
    </row>
    <row r="39649" spans="1:1" x14ac:dyDescent="0.3">
      <c r="A39649" t="s">
        <v>0</v>
      </c>
    </row>
    <row r="39650" spans="1:1" x14ac:dyDescent="0.3">
      <c r="A39650" t="s">
        <v>0</v>
      </c>
    </row>
    <row r="39651" spans="1:1" x14ac:dyDescent="0.3">
      <c r="A39651" t="s">
        <v>0</v>
      </c>
    </row>
    <row r="39652" spans="1:1" x14ac:dyDescent="0.3">
      <c r="A39652" t="s">
        <v>0</v>
      </c>
    </row>
    <row r="39653" spans="1:1" x14ac:dyDescent="0.3">
      <c r="A39653" t="s">
        <v>0</v>
      </c>
    </row>
    <row r="39654" spans="1:1" x14ac:dyDescent="0.3">
      <c r="A39654" t="s">
        <v>0</v>
      </c>
    </row>
    <row r="39655" spans="1:1" x14ac:dyDescent="0.3">
      <c r="A39655" t="s">
        <v>0</v>
      </c>
    </row>
    <row r="39656" spans="1:1" x14ac:dyDescent="0.3">
      <c r="A39656" t="s">
        <v>0</v>
      </c>
    </row>
    <row r="39657" spans="1:1" x14ac:dyDescent="0.3">
      <c r="A39657" t="s">
        <v>0</v>
      </c>
    </row>
    <row r="39658" spans="1:1" x14ac:dyDescent="0.3">
      <c r="A39658" t="s">
        <v>0</v>
      </c>
    </row>
    <row r="39659" spans="1:1" x14ac:dyDescent="0.3">
      <c r="A39659" t="s">
        <v>0</v>
      </c>
    </row>
    <row r="39660" spans="1:1" x14ac:dyDescent="0.3">
      <c r="A39660" t="s">
        <v>0</v>
      </c>
    </row>
    <row r="39661" spans="1:1" x14ac:dyDescent="0.3">
      <c r="A39661" t="s">
        <v>0</v>
      </c>
    </row>
    <row r="39662" spans="1:1" x14ac:dyDescent="0.3">
      <c r="A39662" t="s">
        <v>0</v>
      </c>
    </row>
    <row r="39663" spans="1:1" x14ac:dyDescent="0.3">
      <c r="A39663" t="s">
        <v>0</v>
      </c>
    </row>
    <row r="39664" spans="1:1" x14ac:dyDescent="0.3">
      <c r="A39664" t="s">
        <v>0</v>
      </c>
    </row>
    <row r="39665" spans="1:1" x14ac:dyDescent="0.3">
      <c r="A39665" t="s">
        <v>0</v>
      </c>
    </row>
    <row r="39666" spans="1:1" x14ac:dyDescent="0.3">
      <c r="A39666" t="s">
        <v>0</v>
      </c>
    </row>
    <row r="39667" spans="1:1" x14ac:dyDescent="0.3">
      <c r="A39667" t="s">
        <v>0</v>
      </c>
    </row>
    <row r="39668" spans="1:1" x14ac:dyDescent="0.3">
      <c r="A39668" t="s">
        <v>0</v>
      </c>
    </row>
    <row r="39669" spans="1:1" x14ac:dyDescent="0.3">
      <c r="A39669" t="s">
        <v>0</v>
      </c>
    </row>
    <row r="39670" spans="1:1" x14ac:dyDescent="0.3">
      <c r="A39670" t="s">
        <v>0</v>
      </c>
    </row>
    <row r="39671" spans="1:1" x14ac:dyDescent="0.3">
      <c r="A39671" t="s">
        <v>0</v>
      </c>
    </row>
    <row r="39672" spans="1:1" x14ac:dyDescent="0.3">
      <c r="A39672" t="s">
        <v>0</v>
      </c>
    </row>
    <row r="39673" spans="1:1" x14ac:dyDescent="0.3">
      <c r="A39673" t="s">
        <v>0</v>
      </c>
    </row>
    <row r="39674" spans="1:1" x14ac:dyDescent="0.3">
      <c r="A39674" t="s">
        <v>0</v>
      </c>
    </row>
    <row r="39675" spans="1:1" x14ac:dyDescent="0.3">
      <c r="A39675" t="s">
        <v>0</v>
      </c>
    </row>
    <row r="39676" spans="1:1" x14ac:dyDescent="0.3">
      <c r="A39676" t="s">
        <v>0</v>
      </c>
    </row>
    <row r="39677" spans="1:1" x14ac:dyDescent="0.3">
      <c r="A39677" t="s">
        <v>0</v>
      </c>
    </row>
    <row r="39678" spans="1:1" x14ac:dyDescent="0.3">
      <c r="A39678" t="s">
        <v>0</v>
      </c>
    </row>
    <row r="39679" spans="1:1" x14ac:dyDescent="0.3">
      <c r="A39679" t="s">
        <v>0</v>
      </c>
    </row>
    <row r="39680" spans="1:1" x14ac:dyDescent="0.3">
      <c r="A39680" t="s">
        <v>0</v>
      </c>
    </row>
    <row r="39681" spans="1:1" x14ac:dyDescent="0.3">
      <c r="A39681" t="s">
        <v>0</v>
      </c>
    </row>
    <row r="39682" spans="1:1" x14ac:dyDescent="0.3">
      <c r="A39682" t="s">
        <v>0</v>
      </c>
    </row>
    <row r="39683" spans="1:1" x14ac:dyDescent="0.3">
      <c r="A39683" t="s">
        <v>0</v>
      </c>
    </row>
    <row r="39684" spans="1:1" x14ac:dyDescent="0.3">
      <c r="A39684" t="s">
        <v>0</v>
      </c>
    </row>
    <row r="39685" spans="1:1" x14ac:dyDescent="0.3">
      <c r="A39685" t="s">
        <v>0</v>
      </c>
    </row>
    <row r="39686" spans="1:1" x14ac:dyDescent="0.3">
      <c r="A39686" t="s">
        <v>0</v>
      </c>
    </row>
    <row r="39687" spans="1:1" x14ac:dyDescent="0.3">
      <c r="A39687" t="s">
        <v>0</v>
      </c>
    </row>
    <row r="39688" spans="1:1" x14ac:dyDescent="0.3">
      <c r="A39688" t="s">
        <v>0</v>
      </c>
    </row>
    <row r="39689" spans="1:1" x14ac:dyDescent="0.3">
      <c r="A39689" t="s">
        <v>0</v>
      </c>
    </row>
    <row r="39690" spans="1:1" x14ac:dyDescent="0.3">
      <c r="A39690" t="s">
        <v>0</v>
      </c>
    </row>
    <row r="39691" spans="1:1" x14ac:dyDescent="0.3">
      <c r="A39691" t="s">
        <v>0</v>
      </c>
    </row>
    <row r="39692" spans="1:1" x14ac:dyDescent="0.3">
      <c r="A39692" t="s">
        <v>0</v>
      </c>
    </row>
    <row r="39693" spans="1:1" x14ac:dyDescent="0.3">
      <c r="A39693" t="s">
        <v>0</v>
      </c>
    </row>
    <row r="39694" spans="1:1" x14ac:dyDescent="0.3">
      <c r="A39694" t="s">
        <v>0</v>
      </c>
    </row>
    <row r="39695" spans="1:1" x14ac:dyDescent="0.3">
      <c r="A39695" t="s">
        <v>0</v>
      </c>
    </row>
    <row r="39696" spans="1:1" x14ac:dyDescent="0.3">
      <c r="A39696" t="s">
        <v>0</v>
      </c>
    </row>
    <row r="39697" spans="1:1" x14ac:dyDescent="0.3">
      <c r="A39697" t="s">
        <v>0</v>
      </c>
    </row>
    <row r="39698" spans="1:1" x14ac:dyDescent="0.3">
      <c r="A39698" t="s">
        <v>0</v>
      </c>
    </row>
    <row r="39699" spans="1:1" x14ac:dyDescent="0.3">
      <c r="A39699" t="s">
        <v>0</v>
      </c>
    </row>
    <row r="39700" spans="1:1" x14ac:dyDescent="0.3">
      <c r="A39700" t="s">
        <v>0</v>
      </c>
    </row>
    <row r="39701" spans="1:1" x14ac:dyDescent="0.3">
      <c r="A39701" t="s">
        <v>0</v>
      </c>
    </row>
    <row r="39702" spans="1:1" x14ac:dyDescent="0.3">
      <c r="A39702" t="s">
        <v>0</v>
      </c>
    </row>
    <row r="39703" spans="1:1" x14ac:dyDescent="0.3">
      <c r="A39703" t="s">
        <v>0</v>
      </c>
    </row>
    <row r="39704" spans="1:1" x14ac:dyDescent="0.3">
      <c r="A39704" t="s">
        <v>0</v>
      </c>
    </row>
    <row r="39705" spans="1:1" x14ac:dyDescent="0.3">
      <c r="A39705" t="s">
        <v>0</v>
      </c>
    </row>
    <row r="39706" spans="1:1" x14ac:dyDescent="0.3">
      <c r="A39706" t="s">
        <v>0</v>
      </c>
    </row>
    <row r="39707" spans="1:1" x14ac:dyDescent="0.3">
      <c r="A39707" t="s">
        <v>0</v>
      </c>
    </row>
    <row r="39708" spans="1:1" x14ac:dyDescent="0.3">
      <c r="A39708" t="s">
        <v>0</v>
      </c>
    </row>
    <row r="39709" spans="1:1" x14ac:dyDescent="0.3">
      <c r="A39709" t="s">
        <v>0</v>
      </c>
    </row>
    <row r="39710" spans="1:1" x14ac:dyDescent="0.3">
      <c r="A39710" t="s">
        <v>0</v>
      </c>
    </row>
    <row r="39711" spans="1:1" x14ac:dyDescent="0.3">
      <c r="A39711" t="s">
        <v>0</v>
      </c>
    </row>
    <row r="39712" spans="1:1" x14ac:dyDescent="0.3">
      <c r="A39712" t="s">
        <v>0</v>
      </c>
    </row>
    <row r="39713" spans="1:1" x14ac:dyDescent="0.3">
      <c r="A39713" t="s">
        <v>0</v>
      </c>
    </row>
    <row r="39714" spans="1:1" x14ac:dyDescent="0.3">
      <c r="A39714" t="s">
        <v>0</v>
      </c>
    </row>
    <row r="39715" spans="1:1" x14ac:dyDescent="0.3">
      <c r="A39715" t="s">
        <v>0</v>
      </c>
    </row>
    <row r="39716" spans="1:1" x14ac:dyDescent="0.3">
      <c r="A39716" t="s">
        <v>0</v>
      </c>
    </row>
    <row r="39717" spans="1:1" x14ac:dyDescent="0.3">
      <c r="A39717" t="s">
        <v>0</v>
      </c>
    </row>
    <row r="39718" spans="1:1" x14ac:dyDescent="0.3">
      <c r="A39718" t="s">
        <v>0</v>
      </c>
    </row>
    <row r="39719" spans="1:1" x14ac:dyDescent="0.3">
      <c r="A39719" t="s">
        <v>0</v>
      </c>
    </row>
    <row r="39720" spans="1:1" x14ac:dyDescent="0.3">
      <c r="A39720" t="s">
        <v>0</v>
      </c>
    </row>
    <row r="39721" spans="1:1" x14ac:dyDescent="0.3">
      <c r="A39721" t="s">
        <v>0</v>
      </c>
    </row>
    <row r="39722" spans="1:1" x14ac:dyDescent="0.3">
      <c r="A39722" t="s">
        <v>0</v>
      </c>
    </row>
    <row r="39723" spans="1:1" x14ac:dyDescent="0.3">
      <c r="A39723" t="s">
        <v>0</v>
      </c>
    </row>
    <row r="39724" spans="1:1" x14ac:dyDescent="0.3">
      <c r="A39724" t="s">
        <v>0</v>
      </c>
    </row>
    <row r="39725" spans="1:1" x14ac:dyDescent="0.3">
      <c r="A39725" t="s">
        <v>0</v>
      </c>
    </row>
    <row r="39726" spans="1:1" x14ac:dyDescent="0.3">
      <c r="A39726" t="s">
        <v>0</v>
      </c>
    </row>
    <row r="39727" spans="1:1" x14ac:dyDescent="0.3">
      <c r="A39727" t="s">
        <v>0</v>
      </c>
    </row>
    <row r="39728" spans="1:1" x14ac:dyDescent="0.3">
      <c r="A39728" t="s">
        <v>0</v>
      </c>
    </row>
    <row r="39729" spans="1:1" x14ac:dyDescent="0.3">
      <c r="A39729" t="s">
        <v>0</v>
      </c>
    </row>
    <row r="39730" spans="1:1" x14ac:dyDescent="0.3">
      <c r="A39730" t="s">
        <v>0</v>
      </c>
    </row>
    <row r="39731" spans="1:1" x14ac:dyDescent="0.3">
      <c r="A39731" t="s">
        <v>0</v>
      </c>
    </row>
    <row r="39732" spans="1:1" x14ac:dyDescent="0.3">
      <c r="A39732" t="s">
        <v>0</v>
      </c>
    </row>
    <row r="39733" spans="1:1" x14ac:dyDescent="0.3">
      <c r="A39733" t="s">
        <v>0</v>
      </c>
    </row>
    <row r="39734" spans="1:1" x14ac:dyDescent="0.3">
      <c r="A39734" t="s">
        <v>0</v>
      </c>
    </row>
    <row r="39735" spans="1:1" x14ac:dyDescent="0.3">
      <c r="A39735" t="s">
        <v>0</v>
      </c>
    </row>
    <row r="39736" spans="1:1" x14ac:dyDescent="0.3">
      <c r="A39736" t="s">
        <v>0</v>
      </c>
    </row>
    <row r="39737" spans="1:1" x14ac:dyDescent="0.3">
      <c r="A39737" t="s">
        <v>0</v>
      </c>
    </row>
    <row r="39738" spans="1:1" x14ac:dyDescent="0.3">
      <c r="A39738" t="s">
        <v>0</v>
      </c>
    </row>
    <row r="39739" spans="1:1" x14ac:dyDescent="0.3">
      <c r="A39739" t="s">
        <v>0</v>
      </c>
    </row>
    <row r="39740" spans="1:1" x14ac:dyDescent="0.3">
      <c r="A39740" t="s">
        <v>0</v>
      </c>
    </row>
    <row r="39741" spans="1:1" x14ac:dyDescent="0.3">
      <c r="A39741" t="s">
        <v>0</v>
      </c>
    </row>
    <row r="39742" spans="1:1" x14ac:dyDescent="0.3">
      <c r="A39742" t="s">
        <v>0</v>
      </c>
    </row>
    <row r="39743" spans="1:1" x14ac:dyDescent="0.3">
      <c r="A39743" t="s">
        <v>0</v>
      </c>
    </row>
    <row r="39744" spans="1:1" x14ac:dyDescent="0.3">
      <c r="A39744" t="s">
        <v>0</v>
      </c>
    </row>
    <row r="39745" spans="1:1" x14ac:dyDescent="0.3">
      <c r="A39745" t="s">
        <v>0</v>
      </c>
    </row>
    <row r="39746" spans="1:1" x14ac:dyDescent="0.3">
      <c r="A39746" t="s">
        <v>0</v>
      </c>
    </row>
    <row r="39747" spans="1:1" x14ac:dyDescent="0.3">
      <c r="A39747" t="s">
        <v>0</v>
      </c>
    </row>
    <row r="39748" spans="1:1" x14ac:dyDescent="0.3">
      <c r="A39748" t="s">
        <v>0</v>
      </c>
    </row>
    <row r="39749" spans="1:1" x14ac:dyDescent="0.3">
      <c r="A39749" t="s">
        <v>0</v>
      </c>
    </row>
    <row r="39750" spans="1:1" x14ac:dyDescent="0.3">
      <c r="A39750" t="s">
        <v>0</v>
      </c>
    </row>
    <row r="39751" spans="1:1" x14ac:dyDescent="0.3">
      <c r="A39751" t="s">
        <v>0</v>
      </c>
    </row>
    <row r="39752" spans="1:1" x14ac:dyDescent="0.3">
      <c r="A39752" t="s">
        <v>0</v>
      </c>
    </row>
    <row r="39753" spans="1:1" x14ac:dyDescent="0.3">
      <c r="A39753" t="s">
        <v>0</v>
      </c>
    </row>
    <row r="39754" spans="1:1" x14ac:dyDescent="0.3">
      <c r="A39754" t="s">
        <v>0</v>
      </c>
    </row>
    <row r="39755" spans="1:1" x14ac:dyDescent="0.3">
      <c r="A39755" t="s">
        <v>0</v>
      </c>
    </row>
    <row r="39756" spans="1:1" x14ac:dyDescent="0.3">
      <c r="A39756" t="s">
        <v>0</v>
      </c>
    </row>
    <row r="39757" spans="1:1" x14ac:dyDescent="0.3">
      <c r="A39757" t="s">
        <v>0</v>
      </c>
    </row>
    <row r="39758" spans="1:1" x14ac:dyDescent="0.3">
      <c r="A39758" t="s">
        <v>0</v>
      </c>
    </row>
    <row r="39759" spans="1:1" x14ac:dyDescent="0.3">
      <c r="A39759" t="s">
        <v>0</v>
      </c>
    </row>
    <row r="39760" spans="1:1" x14ac:dyDescent="0.3">
      <c r="A39760" t="s">
        <v>0</v>
      </c>
    </row>
    <row r="39761" spans="1:1" x14ac:dyDescent="0.3">
      <c r="A39761" t="s">
        <v>0</v>
      </c>
    </row>
    <row r="39762" spans="1:1" x14ac:dyDescent="0.3">
      <c r="A39762" t="s">
        <v>0</v>
      </c>
    </row>
    <row r="39763" spans="1:1" x14ac:dyDescent="0.3">
      <c r="A39763" t="s">
        <v>0</v>
      </c>
    </row>
    <row r="39764" spans="1:1" x14ac:dyDescent="0.3">
      <c r="A39764" t="s">
        <v>0</v>
      </c>
    </row>
    <row r="39765" spans="1:1" x14ac:dyDescent="0.3">
      <c r="A39765" t="s">
        <v>0</v>
      </c>
    </row>
    <row r="39766" spans="1:1" x14ac:dyDescent="0.3">
      <c r="A39766" t="s">
        <v>0</v>
      </c>
    </row>
    <row r="39767" spans="1:1" x14ac:dyDescent="0.3">
      <c r="A39767" t="s">
        <v>0</v>
      </c>
    </row>
    <row r="39768" spans="1:1" x14ac:dyDescent="0.3">
      <c r="A39768" t="s">
        <v>0</v>
      </c>
    </row>
    <row r="39769" spans="1:1" x14ac:dyDescent="0.3">
      <c r="A39769" t="s">
        <v>0</v>
      </c>
    </row>
    <row r="39770" spans="1:1" x14ac:dyDescent="0.3">
      <c r="A39770" t="s">
        <v>0</v>
      </c>
    </row>
    <row r="39771" spans="1:1" x14ac:dyDescent="0.3">
      <c r="A39771" t="s">
        <v>0</v>
      </c>
    </row>
    <row r="39772" spans="1:1" x14ac:dyDescent="0.3">
      <c r="A39772" t="s">
        <v>0</v>
      </c>
    </row>
    <row r="39773" spans="1:1" x14ac:dyDescent="0.3">
      <c r="A39773" t="s">
        <v>0</v>
      </c>
    </row>
    <row r="39774" spans="1:1" x14ac:dyDescent="0.3">
      <c r="A39774" t="s">
        <v>0</v>
      </c>
    </row>
    <row r="39775" spans="1:1" x14ac:dyDescent="0.3">
      <c r="A39775" t="s">
        <v>0</v>
      </c>
    </row>
    <row r="39776" spans="1:1" x14ac:dyDescent="0.3">
      <c r="A39776" t="s">
        <v>0</v>
      </c>
    </row>
    <row r="39777" spans="1:1" x14ac:dyDescent="0.3">
      <c r="A39777" t="s">
        <v>0</v>
      </c>
    </row>
    <row r="39778" spans="1:1" x14ac:dyDescent="0.3">
      <c r="A39778" t="s">
        <v>0</v>
      </c>
    </row>
    <row r="39779" spans="1:1" x14ac:dyDescent="0.3">
      <c r="A39779" t="s">
        <v>0</v>
      </c>
    </row>
    <row r="39780" spans="1:1" x14ac:dyDescent="0.3">
      <c r="A39780" t="s">
        <v>0</v>
      </c>
    </row>
    <row r="39781" spans="1:1" x14ac:dyDescent="0.3">
      <c r="A39781" t="s">
        <v>0</v>
      </c>
    </row>
    <row r="39782" spans="1:1" x14ac:dyDescent="0.3">
      <c r="A39782" t="s">
        <v>0</v>
      </c>
    </row>
    <row r="39783" spans="1:1" x14ac:dyDescent="0.3">
      <c r="A39783" t="s">
        <v>0</v>
      </c>
    </row>
    <row r="39784" spans="1:1" x14ac:dyDescent="0.3">
      <c r="A39784" t="s">
        <v>0</v>
      </c>
    </row>
    <row r="39785" spans="1:1" x14ac:dyDescent="0.3">
      <c r="A39785" t="s">
        <v>0</v>
      </c>
    </row>
    <row r="39786" spans="1:1" x14ac:dyDescent="0.3">
      <c r="A39786" t="s">
        <v>0</v>
      </c>
    </row>
    <row r="39787" spans="1:1" x14ac:dyDescent="0.3">
      <c r="A39787" t="s">
        <v>0</v>
      </c>
    </row>
    <row r="39788" spans="1:1" x14ac:dyDescent="0.3">
      <c r="A39788" t="s">
        <v>0</v>
      </c>
    </row>
    <row r="39789" spans="1:1" x14ac:dyDescent="0.3">
      <c r="A39789" t="s">
        <v>0</v>
      </c>
    </row>
    <row r="39790" spans="1:1" x14ac:dyDescent="0.3">
      <c r="A39790" t="s">
        <v>0</v>
      </c>
    </row>
    <row r="39791" spans="1:1" x14ac:dyDescent="0.3">
      <c r="A39791" t="s">
        <v>0</v>
      </c>
    </row>
    <row r="39792" spans="1:1" x14ac:dyDescent="0.3">
      <c r="A39792" t="s">
        <v>0</v>
      </c>
    </row>
    <row r="39793" spans="1:1" x14ac:dyDescent="0.3">
      <c r="A39793" t="s">
        <v>0</v>
      </c>
    </row>
    <row r="39794" spans="1:1" x14ac:dyDescent="0.3">
      <c r="A39794" t="s">
        <v>0</v>
      </c>
    </row>
    <row r="39795" spans="1:1" x14ac:dyDescent="0.3">
      <c r="A39795" t="s">
        <v>0</v>
      </c>
    </row>
    <row r="39796" spans="1:1" x14ac:dyDescent="0.3">
      <c r="A39796" t="s">
        <v>0</v>
      </c>
    </row>
    <row r="39797" spans="1:1" x14ac:dyDescent="0.3">
      <c r="A39797" t="s">
        <v>0</v>
      </c>
    </row>
    <row r="39798" spans="1:1" x14ac:dyDescent="0.3">
      <c r="A39798" t="s">
        <v>0</v>
      </c>
    </row>
    <row r="39799" spans="1:1" x14ac:dyDescent="0.3">
      <c r="A39799" t="s">
        <v>0</v>
      </c>
    </row>
    <row r="39800" spans="1:1" x14ac:dyDescent="0.3">
      <c r="A39800" t="s">
        <v>0</v>
      </c>
    </row>
    <row r="39801" spans="1:1" x14ac:dyDescent="0.3">
      <c r="A39801" t="s">
        <v>0</v>
      </c>
    </row>
    <row r="39802" spans="1:1" x14ac:dyDescent="0.3">
      <c r="A39802" t="s">
        <v>0</v>
      </c>
    </row>
    <row r="39803" spans="1:1" x14ac:dyDescent="0.3">
      <c r="A39803" t="s">
        <v>0</v>
      </c>
    </row>
    <row r="39804" spans="1:1" x14ac:dyDescent="0.3">
      <c r="A39804" t="s">
        <v>0</v>
      </c>
    </row>
    <row r="39805" spans="1:1" x14ac:dyDescent="0.3">
      <c r="A39805" t="s">
        <v>0</v>
      </c>
    </row>
    <row r="39806" spans="1:1" x14ac:dyDescent="0.3">
      <c r="A39806" t="s">
        <v>0</v>
      </c>
    </row>
    <row r="39807" spans="1:1" x14ac:dyDescent="0.3">
      <c r="A39807" t="s">
        <v>0</v>
      </c>
    </row>
    <row r="39808" spans="1:1" x14ac:dyDescent="0.3">
      <c r="A39808" t="s">
        <v>0</v>
      </c>
    </row>
    <row r="39809" spans="1:1" x14ac:dyDescent="0.3">
      <c r="A39809" t="s">
        <v>0</v>
      </c>
    </row>
    <row r="39810" spans="1:1" x14ac:dyDescent="0.3">
      <c r="A39810" t="s">
        <v>0</v>
      </c>
    </row>
    <row r="39811" spans="1:1" x14ac:dyDescent="0.3">
      <c r="A39811" t="s">
        <v>0</v>
      </c>
    </row>
    <row r="39812" spans="1:1" x14ac:dyDescent="0.3">
      <c r="A39812" t="s">
        <v>0</v>
      </c>
    </row>
    <row r="39813" spans="1:1" x14ac:dyDescent="0.3">
      <c r="A39813" t="s">
        <v>0</v>
      </c>
    </row>
    <row r="39814" spans="1:1" x14ac:dyDescent="0.3">
      <c r="A39814" t="s">
        <v>0</v>
      </c>
    </row>
    <row r="39815" spans="1:1" x14ac:dyDescent="0.3">
      <c r="A39815" t="s">
        <v>0</v>
      </c>
    </row>
    <row r="39816" spans="1:1" x14ac:dyDescent="0.3">
      <c r="A39816" t="s">
        <v>0</v>
      </c>
    </row>
    <row r="39817" spans="1:1" x14ac:dyDescent="0.3">
      <c r="A39817" t="s">
        <v>0</v>
      </c>
    </row>
    <row r="39818" spans="1:1" x14ac:dyDescent="0.3">
      <c r="A39818" t="s">
        <v>0</v>
      </c>
    </row>
    <row r="39819" spans="1:1" x14ac:dyDescent="0.3">
      <c r="A39819" t="s">
        <v>0</v>
      </c>
    </row>
    <row r="39820" spans="1:1" x14ac:dyDescent="0.3">
      <c r="A39820" t="s">
        <v>0</v>
      </c>
    </row>
    <row r="39821" spans="1:1" x14ac:dyDescent="0.3">
      <c r="A39821" t="s">
        <v>0</v>
      </c>
    </row>
    <row r="39822" spans="1:1" x14ac:dyDescent="0.3">
      <c r="A39822" t="s">
        <v>0</v>
      </c>
    </row>
    <row r="39823" spans="1:1" x14ac:dyDescent="0.3">
      <c r="A39823" t="s">
        <v>0</v>
      </c>
    </row>
    <row r="39824" spans="1:1" x14ac:dyDescent="0.3">
      <c r="A39824" t="s">
        <v>0</v>
      </c>
    </row>
    <row r="39825" spans="1:1" x14ac:dyDescent="0.3">
      <c r="A39825" t="s">
        <v>0</v>
      </c>
    </row>
    <row r="39826" spans="1:1" x14ac:dyDescent="0.3">
      <c r="A39826" t="s">
        <v>0</v>
      </c>
    </row>
    <row r="39827" spans="1:1" x14ac:dyDescent="0.3">
      <c r="A39827" t="s">
        <v>0</v>
      </c>
    </row>
    <row r="39828" spans="1:1" x14ac:dyDescent="0.3">
      <c r="A39828" t="s">
        <v>0</v>
      </c>
    </row>
    <row r="39829" spans="1:1" x14ac:dyDescent="0.3">
      <c r="A39829" t="s">
        <v>0</v>
      </c>
    </row>
    <row r="39830" spans="1:1" x14ac:dyDescent="0.3">
      <c r="A39830" t="s">
        <v>0</v>
      </c>
    </row>
    <row r="39831" spans="1:1" x14ac:dyDescent="0.3">
      <c r="A39831" t="s">
        <v>0</v>
      </c>
    </row>
    <row r="39832" spans="1:1" x14ac:dyDescent="0.3">
      <c r="A39832" t="s">
        <v>0</v>
      </c>
    </row>
    <row r="39833" spans="1:1" x14ac:dyDescent="0.3">
      <c r="A39833" t="s">
        <v>0</v>
      </c>
    </row>
    <row r="39834" spans="1:1" x14ac:dyDescent="0.3">
      <c r="A39834" t="s">
        <v>0</v>
      </c>
    </row>
    <row r="39835" spans="1:1" x14ac:dyDescent="0.3">
      <c r="A39835" t="s">
        <v>0</v>
      </c>
    </row>
    <row r="39836" spans="1:1" x14ac:dyDescent="0.3">
      <c r="A39836" t="s">
        <v>0</v>
      </c>
    </row>
    <row r="39837" spans="1:1" x14ac:dyDescent="0.3">
      <c r="A39837" t="s">
        <v>0</v>
      </c>
    </row>
    <row r="39838" spans="1:1" x14ac:dyDescent="0.3">
      <c r="A39838" t="s">
        <v>0</v>
      </c>
    </row>
    <row r="39839" spans="1:1" x14ac:dyDescent="0.3">
      <c r="A39839" t="s">
        <v>0</v>
      </c>
    </row>
    <row r="39840" spans="1:1" x14ac:dyDescent="0.3">
      <c r="A39840" t="s">
        <v>0</v>
      </c>
    </row>
    <row r="39841" spans="1:1" x14ac:dyDescent="0.3">
      <c r="A39841" t="s">
        <v>0</v>
      </c>
    </row>
    <row r="39842" spans="1:1" x14ac:dyDescent="0.3">
      <c r="A39842" t="s">
        <v>0</v>
      </c>
    </row>
    <row r="39843" spans="1:1" x14ac:dyDescent="0.3">
      <c r="A39843" t="s">
        <v>0</v>
      </c>
    </row>
    <row r="39844" spans="1:1" x14ac:dyDescent="0.3">
      <c r="A39844" t="s">
        <v>0</v>
      </c>
    </row>
    <row r="39845" spans="1:1" x14ac:dyDescent="0.3">
      <c r="A39845" t="s">
        <v>0</v>
      </c>
    </row>
    <row r="39846" spans="1:1" x14ac:dyDescent="0.3">
      <c r="A39846" t="s">
        <v>0</v>
      </c>
    </row>
    <row r="39847" spans="1:1" x14ac:dyDescent="0.3">
      <c r="A39847" t="s">
        <v>0</v>
      </c>
    </row>
    <row r="39848" spans="1:1" x14ac:dyDescent="0.3">
      <c r="A39848" t="s">
        <v>0</v>
      </c>
    </row>
    <row r="39849" spans="1:1" x14ac:dyDescent="0.3">
      <c r="A39849" t="s">
        <v>0</v>
      </c>
    </row>
    <row r="39850" spans="1:1" x14ac:dyDescent="0.3">
      <c r="A39850" t="s">
        <v>0</v>
      </c>
    </row>
    <row r="39851" spans="1:1" x14ac:dyDescent="0.3">
      <c r="A39851" t="s">
        <v>0</v>
      </c>
    </row>
    <row r="39852" spans="1:1" x14ac:dyDescent="0.3">
      <c r="A39852" t="s">
        <v>0</v>
      </c>
    </row>
    <row r="39853" spans="1:1" x14ac:dyDescent="0.3">
      <c r="A39853" t="s">
        <v>0</v>
      </c>
    </row>
    <row r="39854" spans="1:1" x14ac:dyDescent="0.3">
      <c r="A39854" t="s">
        <v>0</v>
      </c>
    </row>
    <row r="39855" spans="1:1" x14ac:dyDescent="0.3">
      <c r="A39855" t="s">
        <v>0</v>
      </c>
    </row>
    <row r="39856" spans="1:1" x14ac:dyDescent="0.3">
      <c r="A39856" t="s">
        <v>0</v>
      </c>
    </row>
    <row r="39857" spans="1:1" x14ac:dyDescent="0.3">
      <c r="A39857" t="s">
        <v>0</v>
      </c>
    </row>
    <row r="39858" spans="1:1" x14ac:dyDescent="0.3">
      <c r="A39858" t="s">
        <v>0</v>
      </c>
    </row>
    <row r="39859" spans="1:1" x14ac:dyDescent="0.3">
      <c r="A39859" t="s">
        <v>0</v>
      </c>
    </row>
    <row r="39860" spans="1:1" x14ac:dyDescent="0.3">
      <c r="A39860" t="s">
        <v>0</v>
      </c>
    </row>
    <row r="39861" spans="1:1" x14ac:dyDescent="0.3">
      <c r="A39861" t="s">
        <v>0</v>
      </c>
    </row>
    <row r="39862" spans="1:1" x14ac:dyDescent="0.3">
      <c r="A39862" t="s">
        <v>0</v>
      </c>
    </row>
    <row r="39863" spans="1:1" x14ac:dyDescent="0.3">
      <c r="A39863" t="s">
        <v>0</v>
      </c>
    </row>
    <row r="39864" spans="1:1" x14ac:dyDescent="0.3">
      <c r="A39864" t="s">
        <v>0</v>
      </c>
    </row>
    <row r="39865" spans="1:1" x14ac:dyDescent="0.3">
      <c r="A39865" t="s">
        <v>0</v>
      </c>
    </row>
    <row r="39866" spans="1:1" x14ac:dyDescent="0.3">
      <c r="A39866" t="s">
        <v>0</v>
      </c>
    </row>
    <row r="39867" spans="1:1" x14ac:dyDescent="0.3">
      <c r="A39867" t="s">
        <v>0</v>
      </c>
    </row>
    <row r="39868" spans="1:1" x14ac:dyDescent="0.3">
      <c r="A39868" t="s">
        <v>0</v>
      </c>
    </row>
    <row r="39869" spans="1:1" x14ac:dyDescent="0.3">
      <c r="A39869" t="s">
        <v>0</v>
      </c>
    </row>
    <row r="39870" spans="1:1" x14ac:dyDescent="0.3">
      <c r="A39870" t="s">
        <v>0</v>
      </c>
    </row>
    <row r="39871" spans="1:1" x14ac:dyDescent="0.3">
      <c r="A39871" t="s">
        <v>0</v>
      </c>
    </row>
    <row r="39872" spans="1:1" x14ac:dyDescent="0.3">
      <c r="A39872" t="s">
        <v>0</v>
      </c>
    </row>
    <row r="39873" spans="1:1" x14ac:dyDescent="0.3">
      <c r="A39873" t="s">
        <v>0</v>
      </c>
    </row>
    <row r="39874" spans="1:1" x14ac:dyDescent="0.3">
      <c r="A39874" t="s">
        <v>0</v>
      </c>
    </row>
    <row r="39875" spans="1:1" x14ac:dyDescent="0.3">
      <c r="A39875" t="s">
        <v>0</v>
      </c>
    </row>
    <row r="39876" spans="1:1" x14ac:dyDescent="0.3">
      <c r="A39876" t="s">
        <v>0</v>
      </c>
    </row>
    <row r="39877" spans="1:1" x14ac:dyDescent="0.3">
      <c r="A39877" t="s">
        <v>0</v>
      </c>
    </row>
    <row r="39878" spans="1:1" x14ac:dyDescent="0.3">
      <c r="A39878" t="s">
        <v>0</v>
      </c>
    </row>
    <row r="39879" spans="1:1" x14ac:dyDescent="0.3">
      <c r="A39879" t="s">
        <v>0</v>
      </c>
    </row>
    <row r="39880" spans="1:1" x14ac:dyDescent="0.3">
      <c r="A39880" t="s">
        <v>0</v>
      </c>
    </row>
    <row r="39881" spans="1:1" x14ac:dyDescent="0.3">
      <c r="A39881" t="s">
        <v>0</v>
      </c>
    </row>
    <row r="39882" spans="1:1" x14ac:dyDescent="0.3">
      <c r="A39882" t="s">
        <v>0</v>
      </c>
    </row>
    <row r="39883" spans="1:1" x14ac:dyDescent="0.3">
      <c r="A39883" t="s">
        <v>0</v>
      </c>
    </row>
    <row r="39884" spans="1:1" x14ac:dyDescent="0.3">
      <c r="A39884" t="s">
        <v>0</v>
      </c>
    </row>
    <row r="39885" spans="1:1" x14ac:dyDescent="0.3">
      <c r="A39885" t="s">
        <v>0</v>
      </c>
    </row>
    <row r="39886" spans="1:1" x14ac:dyDescent="0.3">
      <c r="A39886" t="s">
        <v>0</v>
      </c>
    </row>
    <row r="39887" spans="1:1" x14ac:dyDescent="0.3">
      <c r="A39887" t="s">
        <v>0</v>
      </c>
    </row>
    <row r="39888" spans="1:1" x14ac:dyDescent="0.3">
      <c r="A39888" t="s">
        <v>0</v>
      </c>
    </row>
    <row r="39889" spans="1:1" x14ac:dyDescent="0.3">
      <c r="A39889" t="s">
        <v>0</v>
      </c>
    </row>
    <row r="39890" spans="1:1" x14ac:dyDescent="0.3">
      <c r="A39890" t="s">
        <v>0</v>
      </c>
    </row>
    <row r="39891" spans="1:1" x14ac:dyDescent="0.3">
      <c r="A39891" t="s">
        <v>0</v>
      </c>
    </row>
    <row r="39892" spans="1:1" x14ac:dyDescent="0.3">
      <c r="A39892" t="s">
        <v>0</v>
      </c>
    </row>
    <row r="39893" spans="1:1" x14ac:dyDescent="0.3">
      <c r="A39893" t="s">
        <v>0</v>
      </c>
    </row>
    <row r="39894" spans="1:1" x14ac:dyDescent="0.3">
      <c r="A39894" t="s">
        <v>0</v>
      </c>
    </row>
    <row r="39895" spans="1:1" x14ac:dyDescent="0.3">
      <c r="A39895" t="s">
        <v>0</v>
      </c>
    </row>
    <row r="39896" spans="1:1" x14ac:dyDescent="0.3">
      <c r="A39896" t="s">
        <v>0</v>
      </c>
    </row>
    <row r="39897" spans="1:1" x14ac:dyDescent="0.3">
      <c r="A39897" t="s">
        <v>0</v>
      </c>
    </row>
    <row r="39898" spans="1:1" x14ac:dyDescent="0.3">
      <c r="A39898" t="s">
        <v>0</v>
      </c>
    </row>
    <row r="39899" spans="1:1" x14ac:dyDescent="0.3">
      <c r="A39899" t="s">
        <v>0</v>
      </c>
    </row>
    <row r="39900" spans="1:1" x14ac:dyDescent="0.3">
      <c r="A39900" t="s">
        <v>0</v>
      </c>
    </row>
    <row r="39901" spans="1:1" x14ac:dyDescent="0.3">
      <c r="A39901" t="s">
        <v>0</v>
      </c>
    </row>
    <row r="39902" spans="1:1" x14ac:dyDescent="0.3">
      <c r="A39902" t="s">
        <v>0</v>
      </c>
    </row>
    <row r="39903" spans="1:1" x14ac:dyDescent="0.3">
      <c r="A39903" t="s">
        <v>0</v>
      </c>
    </row>
    <row r="39904" spans="1:1" x14ac:dyDescent="0.3">
      <c r="A39904" t="s">
        <v>0</v>
      </c>
    </row>
    <row r="39905" spans="1:1" x14ac:dyDescent="0.3">
      <c r="A39905" t="s">
        <v>0</v>
      </c>
    </row>
    <row r="39906" spans="1:1" x14ac:dyDescent="0.3">
      <c r="A39906" t="s">
        <v>0</v>
      </c>
    </row>
    <row r="39907" spans="1:1" x14ac:dyDescent="0.3">
      <c r="A39907" t="s">
        <v>0</v>
      </c>
    </row>
    <row r="39908" spans="1:1" x14ac:dyDescent="0.3">
      <c r="A39908" t="s">
        <v>0</v>
      </c>
    </row>
    <row r="39909" spans="1:1" x14ac:dyDescent="0.3">
      <c r="A39909" t="s">
        <v>0</v>
      </c>
    </row>
    <row r="39910" spans="1:1" x14ac:dyDescent="0.3">
      <c r="A39910" t="s">
        <v>0</v>
      </c>
    </row>
    <row r="39911" spans="1:1" x14ac:dyDescent="0.3">
      <c r="A39911" t="s">
        <v>0</v>
      </c>
    </row>
    <row r="39912" spans="1:1" x14ac:dyDescent="0.3">
      <c r="A39912" t="s">
        <v>0</v>
      </c>
    </row>
    <row r="39913" spans="1:1" x14ac:dyDescent="0.3">
      <c r="A39913" t="s">
        <v>0</v>
      </c>
    </row>
    <row r="39914" spans="1:1" x14ac:dyDescent="0.3">
      <c r="A39914" t="s">
        <v>0</v>
      </c>
    </row>
    <row r="39915" spans="1:1" x14ac:dyDescent="0.3">
      <c r="A39915" t="s">
        <v>0</v>
      </c>
    </row>
    <row r="39916" spans="1:1" x14ac:dyDescent="0.3">
      <c r="A39916" t="s">
        <v>0</v>
      </c>
    </row>
    <row r="39917" spans="1:1" x14ac:dyDescent="0.3">
      <c r="A39917" t="s">
        <v>0</v>
      </c>
    </row>
    <row r="39918" spans="1:1" x14ac:dyDescent="0.3">
      <c r="A39918" t="s">
        <v>0</v>
      </c>
    </row>
    <row r="39919" spans="1:1" x14ac:dyDescent="0.3">
      <c r="A39919" t="s">
        <v>0</v>
      </c>
    </row>
    <row r="39920" spans="1:1" x14ac:dyDescent="0.3">
      <c r="A39920" t="s">
        <v>0</v>
      </c>
    </row>
    <row r="39921" spans="1:1" x14ac:dyDescent="0.3">
      <c r="A39921" t="s">
        <v>0</v>
      </c>
    </row>
    <row r="39922" spans="1:1" x14ac:dyDescent="0.3">
      <c r="A39922" t="s">
        <v>0</v>
      </c>
    </row>
    <row r="39923" spans="1:1" x14ac:dyDescent="0.3">
      <c r="A39923" t="s">
        <v>0</v>
      </c>
    </row>
    <row r="39924" spans="1:1" x14ac:dyDescent="0.3">
      <c r="A39924" t="s">
        <v>0</v>
      </c>
    </row>
    <row r="39925" spans="1:1" x14ac:dyDescent="0.3">
      <c r="A39925" t="s">
        <v>0</v>
      </c>
    </row>
    <row r="39926" spans="1:1" x14ac:dyDescent="0.3">
      <c r="A39926" t="s">
        <v>0</v>
      </c>
    </row>
    <row r="39927" spans="1:1" x14ac:dyDescent="0.3">
      <c r="A39927" t="s">
        <v>0</v>
      </c>
    </row>
    <row r="39928" spans="1:1" x14ac:dyDescent="0.3">
      <c r="A39928" t="s">
        <v>0</v>
      </c>
    </row>
    <row r="39929" spans="1:1" x14ac:dyDescent="0.3">
      <c r="A39929" t="s">
        <v>0</v>
      </c>
    </row>
    <row r="39930" spans="1:1" x14ac:dyDescent="0.3">
      <c r="A39930" t="s">
        <v>0</v>
      </c>
    </row>
    <row r="39931" spans="1:1" x14ac:dyDescent="0.3">
      <c r="A39931" t="s">
        <v>0</v>
      </c>
    </row>
    <row r="39932" spans="1:1" x14ac:dyDescent="0.3">
      <c r="A39932" t="s">
        <v>0</v>
      </c>
    </row>
    <row r="39933" spans="1:1" x14ac:dyDescent="0.3">
      <c r="A39933" t="s">
        <v>0</v>
      </c>
    </row>
    <row r="39934" spans="1:1" x14ac:dyDescent="0.3">
      <c r="A39934" t="s">
        <v>0</v>
      </c>
    </row>
    <row r="39935" spans="1:1" x14ac:dyDescent="0.3">
      <c r="A39935" t="s">
        <v>0</v>
      </c>
    </row>
    <row r="39936" spans="1:1" x14ac:dyDescent="0.3">
      <c r="A39936" t="s">
        <v>0</v>
      </c>
    </row>
    <row r="39937" spans="1:1" x14ac:dyDescent="0.3">
      <c r="A39937" t="s">
        <v>0</v>
      </c>
    </row>
    <row r="39938" spans="1:1" x14ac:dyDescent="0.3">
      <c r="A39938" t="s">
        <v>0</v>
      </c>
    </row>
    <row r="39939" spans="1:1" x14ac:dyDescent="0.3">
      <c r="A39939" t="s">
        <v>0</v>
      </c>
    </row>
    <row r="39940" spans="1:1" x14ac:dyDescent="0.3">
      <c r="A39940" t="s">
        <v>0</v>
      </c>
    </row>
    <row r="39941" spans="1:1" x14ac:dyDescent="0.3">
      <c r="A39941" t="s">
        <v>0</v>
      </c>
    </row>
    <row r="39942" spans="1:1" x14ac:dyDescent="0.3">
      <c r="A39942" t="s">
        <v>0</v>
      </c>
    </row>
    <row r="39943" spans="1:1" x14ac:dyDescent="0.3">
      <c r="A39943" t="s">
        <v>0</v>
      </c>
    </row>
    <row r="39944" spans="1:1" x14ac:dyDescent="0.3">
      <c r="A39944" t="s">
        <v>0</v>
      </c>
    </row>
    <row r="39945" spans="1:1" x14ac:dyDescent="0.3">
      <c r="A39945" t="s">
        <v>0</v>
      </c>
    </row>
    <row r="39946" spans="1:1" x14ac:dyDescent="0.3">
      <c r="A39946" t="s">
        <v>0</v>
      </c>
    </row>
    <row r="39947" spans="1:1" x14ac:dyDescent="0.3">
      <c r="A39947" t="s">
        <v>0</v>
      </c>
    </row>
    <row r="39948" spans="1:1" x14ac:dyDescent="0.3">
      <c r="A39948" t="s">
        <v>0</v>
      </c>
    </row>
    <row r="39949" spans="1:1" x14ac:dyDescent="0.3">
      <c r="A39949" t="s">
        <v>0</v>
      </c>
    </row>
    <row r="39950" spans="1:1" x14ac:dyDescent="0.3">
      <c r="A39950" t="s">
        <v>0</v>
      </c>
    </row>
    <row r="39951" spans="1:1" x14ac:dyDescent="0.3">
      <c r="A39951" t="s">
        <v>0</v>
      </c>
    </row>
    <row r="39952" spans="1:1" x14ac:dyDescent="0.3">
      <c r="A39952" t="s">
        <v>0</v>
      </c>
    </row>
    <row r="39953" spans="1:1" x14ac:dyDescent="0.3">
      <c r="A39953" t="s">
        <v>0</v>
      </c>
    </row>
    <row r="39954" spans="1:1" x14ac:dyDescent="0.3">
      <c r="A39954" t="s">
        <v>0</v>
      </c>
    </row>
    <row r="39955" spans="1:1" x14ac:dyDescent="0.3">
      <c r="A39955" t="s">
        <v>0</v>
      </c>
    </row>
    <row r="39956" spans="1:1" x14ac:dyDescent="0.3">
      <c r="A39956" t="s">
        <v>0</v>
      </c>
    </row>
    <row r="39957" spans="1:1" x14ac:dyDescent="0.3">
      <c r="A39957" t="s">
        <v>0</v>
      </c>
    </row>
    <row r="39958" spans="1:1" x14ac:dyDescent="0.3">
      <c r="A39958" t="s">
        <v>0</v>
      </c>
    </row>
    <row r="39959" spans="1:1" x14ac:dyDescent="0.3">
      <c r="A39959" t="s">
        <v>0</v>
      </c>
    </row>
    <row r="39960" spans="1:1" x14ac:dyDescent="0.3">
      <c r="A39960" t="s">
        <v>0</v>
      </c>
    </row>
    <row r="39961" spans="1:1" x14ac:dyDescent="0.3">
      <c r="A39961" t="s">
        <v>0</v>
      </c>
    </row>
    <row r="39962" spans="1:1" x14ac:dyDescent="0.3">
      <c r="A39962" t="s">
        <v>0</v>
      </c>
    </row>
    <row r="39963" spans="1:1" x14ac:dyDescent="0.3">
      <c r="A39963" t="s">
        <v>0</v>
      </c>
    </row>
    <row r="39964" spans="1:1" x14ac:dyDescent="0.3">
      <c r="A39964" t="s">
        <v>0</v>
      </c>
    </row>
    <row r="39965" spans="1:1" x14ac:dyDescent="0.3">
      <c r="A39965" t="s">
        <v>0</v>
      </c>
    </row>
    <row r="39966" spans="1:1" x14ac:dyDescent="0.3">
      <c r="A39966" t="s">
        <v>0</v>
      </c>
    </row>
    <row r="39967" spans="1:1" x14ac:dyDescent="0.3">
      <c r="A39967" t="s">
        <v>0</v>
      </c>
    </row>
    <row r="39968" spans="1:1" x14ac:dyDescent="0.3">
      <c r="A39968" t="s">
        <v>0</v>
      </c>
    </row>
    <row r="39969" spans="1:1" x14ac:dyDescent="0.3">
      <c r="A39969" t="s">
        <v>0</v>
      </c>
    </row>
    <row r="39970" spans="1:1" x14ac:dyDescent="0.3">
      <c r="A39970" t="s">
        <v>0</v>
      </c>
    </row>
    <row r="39971" spans="1:1" x14ac:dyDescent="0.3">
      <c r="A39971" t="s">
        <v>0</v>
      </c>
    </row>
    <row r="39972" spans="1:1" x14ac:dyDescent="0.3">
      <c r="A39972" t="s">
        <v>0</v>
      </c>
    </row>
    <row r="39973" spans="1:1" x14ac:dyDescent="0.3">
      <c r="A39973" t="s">
        <v>0</v>
      </c>
    </row>
    <row r="39974" spans="1:1" x14ac:dyDescent="0.3">
      <c r="A39974" t="s">
        <v>0</v>
      </c>
    </row>
    <row r="39975" spans="1:1" x14ac:dyDescent="0.3">
      <c r="A39975" t="s">
        <v>0</v>
      </c>
    </row>
    <row r="39976" spans="1:1" x14ac:dyDescent="0.3">
      <c r="A39976" t="s">
        <v>0</v>
      </c>
    </row>
    <row r="39977" spans="1:1" x14ac:dyDescent="0.3">
      <c r="A39977" t="s">
        <v>0</v>
      </c>
    </row>
    <row r="39978" spans="1:1" x14ac:dyDescent="0.3">
      <c r="A39978" t="s">
        <v>0</v>
      </c>
    </row>
    <row r="39979" spans="1:1" x14ac:dyDescent="0.3">
      <c r="A39979" t="s">
        <v>0</v>
      </c>
    </row>
    <row r="39980" spans="1:1" x14ac:dyDescent="0.3">
      <c r="A39980" t="s">
        <v>0</v>
      </c>
    </row>
    <row r="39981" spans="1:1" x14ac:dyDescent="0.3">
      <c r="A39981" t="s">
        <v>0</v>
      </c>
    </row>
    <row r="39982" spans="1:1" x14ac:dyDescent="0.3">
      <c r="A39982" t="s">
        <v>0</v>
      </c>
    </row>
    <row r="39983" spans="1:1" x14ac:dyDescent="0.3">
      <c r="A39983" t="s">
        <v>0</v>
      </c>
    </row>
    <row r="39984" spans="1:1" x14ac:dyDescent="0.3">
      <c r="A39984" t="s">
        <v>0</v>
      </c>
    </row>
    <row r="39985" spans="1:1" x14ac:dyDescent="0.3">
      <c r="A39985" t="s">
        <v>0</v>
      </c>
    </row>
    <row r="39986" spans="1:1" x14ac:dyDescent="0.3">
      <c r="A39986" t="s">
        <v>0</v>
      </c>
    </row>
    <row r="39987" spans="1:1" x14ac:dyDescent="0.3">
      <c r="A39987" t="s">
        <v>0</v>
      </c>
    </row>
    <row r="39988" spans="1:1" x14ac:dyDescent="0.3">
      <c r="A39988" t="s">
        <v>0</v>
      </c>
    </row>
    <row r="39989" spans="1:1" x14ac:dyDescent="0.3">
      <c r="A39989" t="s">
        <v>0</v>
      </c>
    </row>
    <row r="39990" spans="1:1" x14ac:dyDescent="0.3">
      <c r="A39990" t="s">
        <v>0</v>
      </c>
    </row>
    <row r="39991" spans="1:1" x14ac:dyDescent="0.3">
      <c r="A39991" t="s">
        <v>0</v>
      </c>
    </row>
    <row r="39992" spans="1:1" x14ac:dyDescent="0.3">
      <c r="A39992" t="s">
        <v>0</v>
      </c>
    </row>
    <row r="39993" spans="1:1" x14ac:dyDescent="0.3">
      <c r="A39993" t="s">
        <v>0</v>
      </c>
    </row>
    <row r="39994" spans="1:1" x14ac:dyDescent="0.3">
      <c r="A39994" t="s">
        <v>0</v>
      </c>
    </row>
    <row r="39995" spans="1:1" x14ac:dyDescent="0.3">
      <c r="A39995" t="s">
        <v>0</v>
      </c>
    </row>
    <row r="39996" spans="1:1" x14ac:dyDescent="0.3">
      <c r="A39996" t="s">
        <v>0</v>
      </c>
    </row>
    <row r="39997" spans="1:1" x14ac:dyDescent="0.3">
      <c r="A39997" t="s">
        <v>0</v>
      </c>
    </row>
    <row r="39998" spans="1:1" x14ac:dyDescent="0.3">
      <c r="A39998" t="s">
        <v>0</v>
      </c>
    </row>
    <row r="39999" spans="1:1" x14ac:dyDescent="0.3">
      <c r="A39999" t="s">
        <v>0</v>
      </c>
    </row>
    <row r="40000" spans="1:1" x14ac:dyDescent="0.3">
      <c r="A40000" t="s">
        <v>0</v>
      </c>
    </row>
    <row r="40001" spans="1:1" x14ac:dyDescent="0.3">
      <c r="A40001" t="s">
        <v>0</v>
      </c>
    </row>
    <row r="40002" spans="1:1" x14ac:dyDescent="0.3">
      <c r="A40002" t="s">
        <v>0</v>
      </c>
    </row>
    <row r="40003" spans="1:1" x14ac:dyDescent="0.3">
      <c r="A40003" t="s">
        <v>0</v>
      </c>
    </row>
    <row r="40004" spans="1:1" x14ac:dyDescent="0.3">
      <c r="A40004" t="s">
        <v>0</v>
      </c>
    </row>
    <row r="40005" spans="1:1" x14ac:dyDescent="0.3">
      <c r="A40005" t="s">
        <v>0</v>
      </c>
    </row>
    <row r="40006" spans="1:1" x14ac:dyDescent="0.3">
      <c r="A40006" t="s">
        <v>0</v>
      </c>
    </row>
    <row r="40007" spans="1:1" x14ac:dyDescent="0.3">
      <c r="A40007" t="s">
        <v>0</v>
      </c>
    </row>
    <row r="40008" spans="1:1" x14ac:dyDescent="0.3">
      <c r="A40008" t="s">
        <v>0</v>
      </c>
    </row>
    <row r="40009" spans="1:1" x14ac:dyDescent="0.3">
      <c r="A40009" t="s">
        <v>0</v>
      </c>
    </row>
    <row r="40010" spans="1:1" x14ac:dyDescent="0.3">
      <c r="A40010" t="s">
        <v>0</v>
      </c>
    </row>
    <row r="40011" spans="1:1" x14ac:dyDescent="0.3">
      <c r="A40011" t="s">
        <v>0</v>
      </c>
    </row>
    <row r="40012" spans="1:1" x14ac:dyDescent="0.3">
      <c r="A40012" t="s">
        <v>0</v>
      </c>
    </row>
    <row r="40013" spans="1:1" x14ac:dyDescent="0.3">
      <c r="A40013" t="s">
        <v>0</v>
      </c>
    </row>
    <row r="40014" spans="1:1" x14ac:dyDescent="0.3">
      <c r="A40014" t="s">
        <v>0</v>
      </c>
    </row>
    <row r="40015" spans="1:1" x14ac:dyDescent="0.3">
      <c r="A40015" t="s">
        <v>0</v>
      </c>
    </row>
    <row r="40016" spans="1:1" x14ac:dyDescent="0.3">
      <c r="A40016" t="s">
        <v>0</v>
      </c>
    </row>
    <row r="40017" spans="1:1" x14ac:dyDescent="0.3">
      <c r="A40017" t="s">
        <v>0</v>
      </c>
    </row>
    <row r="40018" spans="1:1" x14ac:dyDescent="0.3">
      <c r="A40018" t="s">
        <v>0</v>
      </c>
    </row>
    <row r="40019" spans="1:1" x14ac:dyDescent="0.3">
      <c r="A40019" t="s">
        <v>0</v>
      </c>
    </row>
    <row r="40020" spans="1:1" x14ac:dyDescent="0.3">
      <c r="A40020" t="s">
        <v>0</v>
      </c>
    </row>
    <row r="40021" spans="1:1" x14ac:dyDescent="0.3">
      <c r="A40021" t="s">
        <v>0</v>
      </c>
    </row>
    <row r="40022" spans="1:1" x14ac:dyDescent="0.3">
      <c r="A40022" t="s">
        <v>0</v>
      </c>
    </row>
    <row r="40023" spans="1:1" x14ac:dyDescent="0.3">
      <c r="A40023" t="s">
        <v>0</v>
      </c>
    </row>
    <row r="40024" spans="1:1" x14ac:dyDescent="0.3">
      <c r="A40024" t="s">
        <v>0</v>
      </c>
    </row>
    <row r="40025" spans="1:1" x14ac:dyDescent="0.3">
      <c r="A40025" t="s">
        <v>0</v>
      </c>
    </row>
    <row r="40026" spans="1:1" x14ac:dyDescent="0.3">
      <c r="A40026" t="s">
        <v>0</v>
      </c>
    </row>
    <row r="40027" spans="1:1" x14ac:dyDescent="0.3">
      <c r="A40027" t="s">
        <v>0</v>
      </c>
    </row>
    <row r="40028" spans="1:1" x14ac:dyDescent="0.3">
      <c r="A40028" t="s">
        <v>0</v>
      </c>
    </row>
    <row r="40029" spans="1:1" x14ac:dyDescent="0.3">
      <c r="A40029" t="s">
        <v>0</v>
      </c>
    </row>
    <row r="40030" spans="1:1" x14ac:dyDescent="0.3">
      <c r="A40030" t="s">
        <v>0</v>
      </c>
    </row>
    <row r="40031" spans="1:1" x14ac:dyDescent="0.3">
      <c r="A40031" t="s">
        <v>0</v>
      </c>
    </row>
    <row r="40032" spans="1:1" x14ac:dyDescent="0.3">
      <c r="A40032" t="s">
        <v>0</v>
      </c>
    </row>
    <row r="40033" spans="1:1" x14ac:dyDescent="0.3">
      <c r="A40033" t="s">
        <v>0</v>
      </c>
    </row>
    <row r="40034" spans="1:1" x14ac:dyDescent="0.3">
      <c r="A40034" t="s">
        <v>0</v>
      </c>
    </row>
    <row r="40035" spans="1:1" x14ac:dyDescent="0.3">
      <c r="A40035" t="s">
        <v>0</v>
      </c>
    </row>
    <row r="40036" spans="1:1" x14ac:dyDescent="0.3">
      <c r="A40036" t="s">
        <v>0</v>
      </c>
    </row>
    <row r="40037" spans="1:1" x14ac:dyDescent="0.3">
      <c r="A40037" t="s">
        <v>0</v>
      </c>
    </row>
    <row r="40038" spans="1:1" x14ac:dyDescent="0.3">
      <c r="A40038" t="s">
        <v>0</v>
      </c>
    </row>
    <row r="40039" spans="1:1" x14ac:dyDescent="0.3">
      <c r="A40039" t="s">
        <v>0</v>
      </c>
    </row>
    <row r="40040" spans="1:1" x14ac:dyDescent="0.3">
      <c r="A40040" t="s">
        <v>0</v>
      </c>
    </row>
    <row r="40041" spans="1:1" x14ac:dyDescent="0.3">
      <c r="A40041" t="s">
        <v>0</v>
      </c>
    </row>
    <row r="40042" spans="1:1" x14ac:dyDescent="0.3">
      <c r="A40042" t="s">
        <v>0</v>
      </c>
    </row>
    <row r="40043" spans="1:1" x14ac:dyDescent="0.3">
      <c r="A40043" t="s">
        <v>0</v>
      </c>
    </row>
    <row r="40044" spans="1:1" x14ac:dyDescent="0.3">
      <c r="A40044" t="s">
        <v>0</v>
      </c>
    </row>
    <row r="40045" spans="1:1" x14ac:dyDescent="0.3">
      <c r="A40045" t="s">
        <v>0</v>
      </c>
    </row>
    <row r="40046" spans="1:1" x14ac:dyDescent="0.3">
      <c r="A40046" t="s">
        <v>0</v>
      </c>
    </row>
    <row r="40047" spans="1:1" x14ac:dyDescent="0.3">
      <c r="A40047" t="s">
        <v>0</v>
      </c>
    </row>
    <row r="40048" spans="1:1" x14ac:dyDescent="0.3">
      <c r="A40048" t="s">
        <v>0</v>
      </c>
    </row>
    <row r="40049" spans="1:1" x14ac:dyDescent="0.3">
      <c r="A40049" t="s">
        <v>0</v>
      </c>
    </row>
    <row r="40050" spans="1:1" x14ac:dyDescent="0.3">
      <c r="A40050" t="s">
        <v>0</v>
      </c>
    </row>
    <row r="40051" spans="1:1" x14ac:dyDescent="0.3">
      <c r="A40051" t="s">
        <v>0</v>
      </c>
    </row>
    <row r="40052" spans="1:1" x14ac:dyDescent="0.3">
      <c r="A40052" t="s">
        <v>0</v>
      </c>
    </row>
    <row r="40053" spans="1:1" x14ac:dyDescent="0.3">
      <c r="A40053" t="s">
        <v>0</v>
      </c>
    </row>
    <row r="40054" spans="1:1" x14ac:dyDescent="0.3">
      <c r="A40054" t="s">
        <v>0</v>
      </c>
    </row>
    <row r="40055" spans="1:1" x14ac:dyDescent="0.3">
      <c r="A40055" t="s">
        <v>0</v>
      </c>
    </row>
    <row r="40056" spans="1:1" x14ac:dyDescent="0.3">
      <c r="A40056" t="s">
        <v>0</v>
      </c>
    </row>
    <row r="40057" spans="1:1" x14ac:dyDescent="0.3">
      <c r="A40057" t="s">
        <v>0</v>
      </c>
    </row>
    <row r="40058" spans="1:1" x14ac:dyDescent="0.3">
      <c r="A40058" t="s">
        <v>0</v>
      </c>
    </row>
    <row r="40059" spans="1:1" x14ac:dyDescent="0.3">
      <c r="A40059" t="s">
        <v>0</v>
      </c>
    </row>
    <row r="40060" spans="1:1" x14ac:dyDescent="0.3">
      <c r="A40060" t="s">
        <v>0</v>
      </c>
    </row>
    <row r="40061" spans="1:1" x14ac:dyDescent="0.3">
      <c r="A40061" t="s">
        <v>0</v>
      </c>
    </row>
    <row r="40062" spans="1:1" x14ac:dyDescent="0.3">
      <c r="A40062" t="s">
        <v>0</v>
      </c>
    </row>
    <row r="40063" spans="1:1" x14ac:dyDescent="0.3">
      <c r="A40063" t="s">
        <v>0</v>
      </c>
    </row>
    <row r="40064" spans="1:1" x14ac:dyDescent="0.3">
      <c r="A40064" t="s">
        <v>0</v>
      </c>
    </row>
    <row r="40065" spans="1:1" x14ac:dyDescent="0.3">
      <c r="A40065" t="s">
        <v>0</v>
      </c>
    </row>
    <row r="40066" spans="1:1" x14ac:dyDescent="0.3">
      <c r="A40066" t="s">
        <v>0</v>
      </c>
    </row>
    <row r="40067" spans="1:1" x14ac:dyDescent="0.3">
      <c r="A40067" t="s">
        <v>0</v>
      </c>
    </row>
    <row r="40068" spans="1:1" x14ac:dyDescent="0.3">
      <c r="A40068" t="s">
        <v>0</v>
      </c>
    </row>
    <row r="40069" spans="1:1" x14ac:dyDescent="0.3">
      <c r="A40069" t="s">
        <v>0</v>
      </c>
    </row>
    <row r="40070" spans="1:1" x14ac:dyDescent="0.3">
      <c r="A40070" t="s">
        <v>0</v>
      </c>
    </row>
    <row r="40071" spans="1:1" x14ac:dyDescent="0.3">
      <c r="A40071" t="s">
        <v>0</v>
      </c>
    </row>
    <row r="40072" spans="1:1" x14ac:dyDescent="0.3">
      <c r="A40072" t="s">
        <v>0</v>
      </c>
    </row>
    <row r="40073" spans="1:1" x14ac:dyDescent="0.3">
      <c r="A40073" t="s">
        <v>0</v>
      </c>
    </row>
    <row r="40074" spans="1:1" x14ac:dyDescent="0.3">
      <c r="A40074" t="s">
        <v>0</v>
      </c>
    </row>
    <row r="40075" spans="1:1" x14ac:dyDescent="0.3">
      <c r="A40075" t="s">
        <v>0</v>
      </c>
    </row>
    <row r="40076" spans="1:1" x14ac:dyDescent="0.3">
      <c r="A40076" t="s">
        <v>0</v>
      </c>
    </row>
    <row r="40077" spans="1:1" x14ac:dyDescent="0.3">
      <c r="A40077" t="s">
        <v>0</v>
      </c>
    </row>
    <row r="40078" spans="1:1" x14ac:dyDescent="0.3">
      <c r="A40078" t="s">
        <v>0</v>
      </c>
    </row>
    <row r="40079" spans="1:1" x14ac:dyDescent="0.3">
      <c r="A40079" t="s">
        <v>0</v>
      </c>
    </row>
    <row r="40080" spans="1:1" x14ac:dyDescent="0.3">
      <c r="A40080" t="s">
        <v>0</v>
      </c>
    </row>
    <row r="40081" spans="1:1" x14ac:dyDescent="0.3">
      <c r="A40081" t="s">
        <v>0</v>
      </c>
    </row>
    <row r="40082" spans="1:1" x14ac:dyDescent="0.3">
      <c r="A40082" t="s">
        <v>0</v>
      </c>
    </row>
    <row r="40083" spans="1:1" x14ac:dyDescent="0.3">
      <c r="A40083" t="s">
        <v>0</v>
      </c>
    </row>
    <row r="40084" spans="1:1" x14ac:dyDescent="0.3">
      <c r="A40084" t="s">
        <v>0</v>
      </c>
    </row>
    <row r="40085" spans="1:1" x14ac:dyDescent="0.3">
      <c r="A40085" t="s">
        <v>0</v>
      </c>
    </row>
    <row r="40086" spans="1:1" x14ac:dyDescent="0.3">
      <c r="A40086" t="s">
        <v>0</v>
      </c>
    </row>
    <row r="40087" spans="1:1" x14ac:dyDescent="0.3">
      <c r="A40087" t="s">
        <v>0</v>
      </c>
    </row>
    <row r="40088" spans="1:1" x14ac:dyDescent="0.3">
      <c r="A40088" t="s">
        <v>0</v>
      </c>
    </row>
    <row r="40089" spans="1:1" x14ac:dyDescent="0.3">
      <c r="A40089" t="s">
        <v>0</v>
      </c>
    </row>
    <row r="40090" spans="1:1" x14ac:dyDescent="0.3">
      <c r="A40090" t="s">
        <v>0</v>
      </c>
    </row>
    <row r="40091" spans="1:1" x14ac:dyDescent="0.3">
      <c r="A40091" t="s">
        <v>0</v>
      </c>
    </row>
    <row r="40092" spans="1:1" x14ac:dyDescent="0.3">
      <c r="A40092" t="s">
        <v>0</v>
      </c>
    </row>
    <row r="40093" spans="1:1" x14ac:dyDescent="0.3">
      <c r="A40093" t="s">
        <v>0</v>
      </c>
    </row>
    <row r="40094" spans="1:1" x14ac:dyDescent="0.3">
      <c r="A40094" t="s">
        <v>0</v>
      </c>
    </row>
    <row r="40095" spans="1:1" x14ac:dyDescent="0.3">
      <c r="A40095" t="s">
        <v>0</v>
      </c>
    </row>
    <row r="40096" spans="1:1" x14ac:dyDescent="0.3">
      <c r="A40096" t="s">
        <v>0</v>
      </c>
    </row>
    <row r="40097" spans="1:1" x14ac:dyDescent="0.3">
      <c r="A40097" t="s">
        <v>0</v>
      </c>
    </row>
    <row r="40098" spans="1:1" x14ac:dyDescent="0.3">
      <c r="A40098" t="s">
        <v>0</v>
      </c>
    </row>
    <row r="40099" spans="1:1" x14ac:dyDescent="0.3">
      <c r="A40099" t="s">
        <v>0</v>
      </c>
    </row>
    <row r="40100" spans="1:1" x14ac:dyDescent="0.3">
      <c r="A40100" t="s">
        <v>0</v>
      </c>
    </row>
    <row r="40101" spans="1:1" x14ac:dyDescent="0.3">
      <c r="A40101" t="s">
        <v>0</v>
      </c>
    </row>
    <row r="40102" spans="1:1" x14ac:dyDescent="0.3">
      <c r="A40102" t="s">
        <v>0</v>
      </c>
    </row>
    <row r="40103" spans="1:1" x14ac:dyDescent="0.3">
      <c r="A40103" t="s">
        <v>0</v>
      </c>
    </row>
    <row r="40104" spans="1:1" x14ac:dyDescent="0.3">
      <c r="A40104" t="s">
        <v>0</v>
      </c>
    </row>
    <row r="40105" spans="1:1" x14ac:dyDescent="0.3">
      <c r="A40105" t="s">
        <v>0</v>
      </c>
    </row>
    <row r="40106" spans="1:1" x14ac:dyDescent="0.3">
      <c r="A40106" t="s">
        <v>0</v>
      </c>
    </row>
    <row r="40107" spans="1:1" x14ac:dyDescent="0.3">
      <c r="A40107" t="s">
        <v>0</v>
      </c>
    </row>
    <row r="40108" spans="1:1" x14ac:dyDescent="0.3">
      <c r="A40108" t="s">
        <v>0</v>
      </c>
    </row>
    <row r="40109" spans="1:1" x14ac:dyDescent="0.3">
      <c r="A40109" t="s">
        <v>0</v>
      </c>
    </row>
    <row r="40110" spans="1:1" x14ac:dyDescent="0.3">
      <c r="A40110" t="s">
        <v>0</v>
      </c>
    </row>
    <row r="40111" spans="1:1" x14ac:dyDescent="0.3">
      <c r="A40111" t="s">
        <v>0</v>
      </c>
    </row>
    <row r="40112" spans="1:1" x14ac:dyDescent="0.3">
      <c r="A40112" t="s">
        <v>0</v>
      </c>
    </row>
    <row r="40113" spans="1:1" x14ac:dyDescent="0.3">
      <c r="A40113" t="s">
        <v>0</v>
      </c>
    </row>
    <row r="40114" spans="1:1" x14ac:dyDescent="0.3">
      <c r="A40114" t="s">
        <v>0</v>
      </c>
    </row>
    <row r="40115" spans="1:1" x14ac:dyDescent="0.3">
      <c r="A40115" t="s">
        <v>0</v>
      </c>
    </row>
    <row r="40116" spans="1:1" x14ac:dyDescent="0.3">
      <c r="A40116" t="s">
        <v>0</v>
      </c>
    </row>
    <row r="40117" spans="1:1" x14ac:dyDescent="0.3">
      <c r="A40117" t="s">
        <v>0</v>
      </c>
    </row>
    <row r="40118" spans="1:1" x14ac:dyDescent="0.3">
      <c r="A40118" t="s">
        <v>0</v>
      </c>
    </row>
    <row r="40119" spans="1:1" x14ac:dyDescent="0.3">
      <c r="A40119" t="s">
        <v>0</v>
      </c>
    </row>
    <row r="40120" spans="1:1" x14ac:dyDescent="0.3">
      <c r="A40120" t="s">
        <v>0</v>
      </c>
    </row>
    <row r="40121" spans="1:1" x14ac:dyDescent="0.3">
      <c r="A40121" t="s">
        <v>0</v>
      </c>
    </row>
    <row r="40122" spans="1:1" x14ac:dyDescent="0.3">
      <c r="A40122" t="s">
        <v>0</v>
      </c>
    </row>
    <row r="40123" spans="1:1" x14ac:dyDescent="0.3">
      <c r="A40123" t="s">
        <v>0</v>
      </c>
    </row>
    <row r="40124" spans="1:1" x14ac:dyDescent="0.3">
      <c r="A40124" t="s">
        <v>0</v>
      </c>
    </row>
    <row r="40125" spans="1:1" x14ac:dyDescent="0.3">
      <c r="A40125" t="s">
        <v>0</v>
      </c>
    </row>
    <row r="40126" spans="1:1" x14ac:dyDescent="0.3">
      <c r="A40126" t="s">
        <v>0</v>
      </c>
    </row>
    <row r="40127" spans="1:1" x14ac:dyDescent="0.3">
      <c r="A40127" t="s">
        <v>0</v>
      </c>
    </row>
    <row r="40128" spans="1:1" x14ac:dyDescent="0.3">
      <c r="A40128" t="s">
        <v>0</v>
      </c>
    </row>
    <row r="40129" spans="1:1" x14ac:dyDescent="0.3">
      <c r="A40129" t="s">
        <v>0</v>
      </c>
    </row>
    <row r="40130" spans="1:1" x14ac:dyDescent="0.3">
      <c r="A40130" t="s">
        <v>0</v>
      </c>
    </row>
    <row r="40131" spans="1:1" x14ac:dyDescent="0.3">
      <c r="A40131" t="s">
        <v>0</v>
      </c>
    </row>
    <row r="40132" spans="1:1" x14ac:dyDescent="0.3">
      <c r="A40132" t="s">
        <v>0</v>
      </c>
    </row>
    <row r="40133" spans="1:1" x14ac:dyDescent="0.3">
      <c r="A40133" t="s">
        <v>0</v>
      </c>
    </row>
    <row r="40134" spans="1:1" x14ac:dyDescent="0.3">
      <c r="A40134" t="s">
        <v>0</v>
      </c>
    </row>
    <row r="40135" spans="1:1" x14ac:dyDescent="0.3">
      <c r="A40135" t="s">
        <v>0</v>
      </c>
    </row>
    <row r="40136" spans="1:1" x14ac:dyDescent="0.3">
      <c r="A40136" t="s">
        <v>0</v>
      </c>
    </row>
    <row r="40137" spans="1:1" x14ac:dyDescent="0.3">
      <c r="A40137" t="s">
        <v>0</v>
      </c>
    </row>
    <row r="40138" spans="1:1" x14ac:dyDescent="0.3">
      <c r="A40138" t="s">
        <v>0</v>
      </c>
    </row>
    <row r="40139" spans="1:1" x14ac:dyDescent="0.3">
      <c r="A40139" t="s">
        <v>0</v>
      </c>
    </row>
    <row r="40140" spans="1:1" x14ac:dyDescent="0.3">
      <c r="A40140" t="s">
        <v>0</v>
      </c>
    </row>
    <row r="40141" spans="1:1" x14ac:dyDescent="0.3">
      <c r="A40141" t="s">
        <v>0</v>
      </c>
    </row>
    <row r="40142" spans="1:1" x14ac:dyDescent="0.3">
      <c r="A40142" t="s">
        <v>0</v>
      </c>
    </row>
    <row r="40143" spans="1:1" x14ac:dyDescent="0.3">
      <c r="A40143" t="s">
        <v>0</v>
      </c>
    </row>
    <row r="40144" spans="1:1" x14ac:dyDescent="0.3">
      <c r="A40144" t="s">
        <v>0</v>
      </c>
    </row>
    <row r="40145" spans="1:1" x14ac:dyDescent="0.3">
      <c r="A40145" t="s">
        <v>0</v>
      </c>
    </row>
    <row r="40146" spans="1:1" x14ac:dyDescent="0.3">
      <c r="A40146" t="s">
        <v>0</v>
      </c>
    </row>
    <row r="40147" spans="1:1" x14ac:dyDescent="0.3">
      <c r="A40147" t="s">
        <v>0</v>
      </c>
    </row>
    <row r="40148" spans="1:1" x14ac:dyDescent="0.3">
      <c r="A40148" t="s">
        <v>0</v>
      </c>
    </row>
    <row r="40149" spans="1:1" x14ac:dyDescent="0.3">
      <c r="A40149" t="s">
        <v>0</v>
      </c>
    </row>
    <row r="40150" spans="1:1" x14ac:dyDescent="0.3">
      <c r="A40150" t="s">
        <v>0</v>
      </c>
    </row>
    <row r="40151" spans="1:1" x14ac:dyDescent="0.3">
      <c r="A40151" t="s">
        <v>0</v>
      </c>
    </row>
    <row r="40152" spans="1:1" x14ac:dyDescent="0.3">
      <c r="A40152" t="s">
        <v>0</v>
      </c>
    </row>
    <row r="40153" spans="1:1" x14ac:dyDescent="0.3">
      <c r="A40153" t="s">
        <v>0</v>
      </c>
    </row>
    <row r="40154" spans="1:1" x14ac:dyDescent="0.3">
      <c r="A40154" t="s">
        <v>0</v>
      </c>
    </row>
    <row r="40155" spans="1:1" x14ac:dyDescent="0.3">
      <c r="A40155" t="s">
        <v>0</v>
      </c>
    </row>
    <row r="40156" spans="1:1" x14ac:dyDescent="0.3">
      <c r="A40156" t="s">
        <v>0</v>
      </c>
    </row>
    <row r="40157" spans="1:1" x14ac:dyDescent="0.3">
      <c r="A40157" t="s">
        <v>0</v>
      </c>
    </row>
    <row r="40158" spans="1:1" x14ac:dyDescent="0.3">
      <c r="A40158" t="s">
        <v>0</v>
      </c>
    </row>
    <row r="40159" spans="1:1" x14ac:dyDescent="0.3">
      <c r="A40159" t="s">
        <v>0</v>
      </c>
    </row>
    <row r="40160" spans="1:1" x14ac:dyDescent="0.3">
      <c r="A40160" t="s">
        <v>0</v>
      </c>
    </row>
    <row r="40161" spans="1:1" x14ac:dyDescent="0.3">
      <c r="A40161" t="s">
        <v>0</v>
      </c>
    </row>
    <row r="40162" spans="1:1" x14ac:dyDescent="0.3">
      <c r="A40162" t="s">
        <v>0</v>
      </c>
    </row>
    <row r="40163" spans="1:1" x14ac:dyDescent="0.3">
      <c r="A40163" t="s">
        <v>0</v>
      </c>
    </row>
    <row r="40164" spans="1:1" x14ac:dyDescent="0.3">
      <c r="A40164" t="s">
        <v>0</v>
      </c>
    </row>
    <row r="40165" spans="1:1" x14ac:dyDescent="0.3">
      <c r="A40165" t="s">
        <v>0</v>
      </c>
    </row>
    <row r="40166" spans="1:1" x14ac:dyDescent="0.3">
      <c r="A40166" t="s">
        <v>0</v>
      </c>
    </row>
    <row r="40167" spans="1:1" x14ac:dyDescent="0.3">
      <c r="A40167" t="s">
        <v>0</v>
      </c>
    </row>
    <row r="40168" spans="1:1" x14ac:dyDescent="0.3">
      <c r="A40168" t="s">
        <v>0</v>
      </c>
    </row>
    <row r="40169" spans="1:1" x14ac:dyDescent="0.3">
      <c r="A40169" t="s">
        <v>0</v>
      </c>
    </row>
    <row r="40170" spans="1:1" x14ac:dyDescent="0.3">
      <c r="A40170" t="s">
        <v>0</v>
      </c>
    </row>
    <row r="40171" spans="1:1" x14ac:dyDescent="0.3">
      <c r="A40171" t="s">
        <v>0</v>
      </c>
    </row>
    <row r="40172" spans="1:1" x14ac:dyDescent="0.3">
      <c r="A40172" t="s">
        <v>0</v>
      </c>
    </row>
    <row r="40173" spans="1:1" x14ac:dyDescent="0.3">
      <c r="A40173" t="s">
        <v>0</v>
      </c>
    </row>
    <row r="40174" spans="1:1" x14ac:dyDescent="0.3">
      <c r="A40174" t="s">
        <v>0</v>
      </c>
    </row>
    <row r="40175" spans="1:1" x14ac:dyDescent="0.3">
      <c r="A40175" t="s">
        <v>0</v>
      </c>
    </row>
    <row r="40176" spans="1:1" x14ac:dyDescent="0.3">
      <c r="A40176" t="s">
        <v>0</v>
      </c>
    </row>
    <row r="40177" spans="1:1" x14ac:dyDescent="0.3">
      <c r="A40177" t="s">
        <v>0</v>
      </c>
    </row>
    <row r="40178" spans="1:1" x14ac:dyDescent="0.3">
      <c r="A40178" t="s">
        <v>0</v>
      </c>
    </row>
    <row r="40179" spans="1:1" x14ac:dyDescent="0.3">
      <c r="A40179" t="s">
        <v>0</v>
      </c>
    </row>
    <row r="40180" spans="1:1" x14ac:dyDescent="0.3">
      <c r="A40180" t="s">
        <v>0</v>
      </c>
    </row>
    <row r="40181" spans="1:1" x14ac:dyDescent="0.3">
      <c r="A40181" t="s">
        <v>0</v>
      </c>
    </row>
    <row r="40182" spans="1:1" x14ac:dyDescent="0.3">
      <c r="A40182" t="s">
        <v>0</v>
      </c>
    </row>
    <row r="40183" spans="1:1" x14ac:dyDescent="0.3">
      <c r="A40183" t="s">
        <v>0</v>
      </c>
    </row>
    <row r="40184" spans="1:1" x14ac:dyDescent="0.3">
      <c r="A40184" t="s">
        <v>0</v>
      </c>
    </row>
    <row r="40185" spans="1:1" x14ac:dyDescent="0.3">
      <c r="A40185" t="s">
        <v>0</v>
      </c>
    </row>
    <row r="40186" spans="1:1" x14ac:dyDescent="0.3">
      <c r="A40186" t="s">
        <v>0</v>
      </c>
    </row>
    <row r="40187" spans="1:1" x14ac:dyDescent="0.3">
      <c r="A40187" t="s">
        <v>0</v>
      </c>
    </row>
    <row r="40188" spans="1:1" x14ac:dyDescent="0.3">
      <c r="A40188" t="s">
        <v>0</v>
      </c>
    </row>
    <row r="40189" spans="1:1" x14ac:dyDescent="0.3">
      <c r="A40189" t="s">
        <v>0</v>
      </c>
    </row>
    <row r="40190" spans="1:1" x14ac:dyDescent="0.3">
      <c r="A40190" t="s">
        <v>0</v>
      </c>
    </row>
    <row r="40191" spans="1:1" x14ac:dyDescent="0.3">
      <c r="A40191" t="s">
        <v>0</v>
      </c>
    </row>
    <row r="40192" spans="1:1" x14ac:dyDescent="0.3">
      <c r="A40192" t="s">
        <v>0</v>
      </c>
    </row>
    <row r="40193" spans="1:1" x14ac:dyDescent="0.3">
      <c r="A40193" t="s">
        <v>0</v>
      </c>
    </row>
    <row r="40194" spans="1:1" x14ac:dyDescent="0.3">
      <c r="A40194" t="s">
        <v>0</v>
      </c>
    </row>
    <row r="40195" spans="1:1" x14ac:dyDescent="0.3">
      <c r="A40195" t="s">
        <v>0</v>
      </c>
    </row>
    <row r="40196" spans="1:1" x14ac:dyDescent="0.3">
      <c r="A40196" t="s">
        <v>0</v>
      </c>
    </row>
    <row r="40197" spans="1:1" x14ac:dyDescent="0.3">
      <c r="A40197" t="s">
        <v>0</v>
      </c>
    </row>
    <row r="40198" spans="1:1" x14ac:dyDescent="0.3">
      <c r="A40198" t="s">
        <v>0</v>
      </c>
    </row>
    <row r="40199" spans="1:1" x14ac:dyDescent="0.3">
      <c r="A40199" t="s">
        <v>0</v>
      </c>
    </row>
    <row r="40200" spans="1:1" x14ac:dyDescent="0.3">
      <c r="A40200" t="s">
        <v>0</v>
      </c>
    </row>
    <row r="40201" spans="1:1" x14ac:dyDescent="0.3">
      <c r="A40201" t="s">
        <v>0</v>
      </c>
    </row>
    <row r="40202" spans="1:1" x14ac:dyDescent="0.3">
      <c r="A40202" t="s">
        <v>0</v>
      </c>
    </row>
    <row r="40203" spans="1:1" x14ac:dyDescent="0.3">
      <c r="A40203" t="s">
        <v>0</v>
      </c>
    </row>
    <row r="40204" spans="1:1" x14ac:dyDescent="0.3">
      <c r="A40204" t="s">
        <v>0</v>
      </c>
    </row>
    <row r="40205" spans="1:1" x14ac:dyDescent="0.3">
      <c r="A40205" t="s">
        <v>0</v>
      </c>
    </row>
    <row r="40206" spans="1:1" x14ac:dyDescent="0.3">
      <c r="A40206" t="s">
        <v>0</v>
      </c>
    </row>
    <row r="40207" spans="1:1" x14ac:dyDescent="0.3">
      <c r="A40207" t="s">
        <v>0</v>
      </c>
    </row>
    <row r="40208" spans="1:1" x14ac:dyDescent="0.3">
      <c r="A40208" t="s">
        <v>0</v>
      </c>
    </row>
    <row r="40209" spans="1:1" x14ac:dyDescent="0.3">
      <c r="A40209" t="s">
        <v>0</v>
      </c>
    </row>
    <row r="40210" spans="1:1" x14ac:dyDescent="0.3">
      <c r="A40210" t="s">
        <v>0</v>
      </c>
    </row>
    <row r="40211" spans="1:1" x14ac:dyDescent="0.3">
      <c r="A40211" t="s">
        <v>0</v>
      </c>
    </row>
    <row r="40212" spans="1:1" x14ac:dyDescent="0.3">
      <c r="A40212" t="s">
        <v>0</v>
      </c>
    </row>
    <row r="40213" spans="1:1" x14ac:dyDescent="0.3">
      <c r="A40213" t="s">
        <v>0</v>
      </c>
    </row>
    <row r="40214" spans="1:1" x14ac:dyDescent="0.3">
      <c r="A40214" t="s">
        <v>0</v>
      </c>
    </row>
    <row r="40215" spans="1:1" x14ac:dyDescent="0.3">
      <c r="A40215" t="s">
        <v>0</v>
      </c>
    </row>
    <row r="40216" spans="1:1" x14ac:dyDescent="0.3">
      <c r="A40216" t="s">
        <v>0</v>
      </c>
    </row>
    <row r="40217" spans="1:1" x14ac:dyDescent="0.3">
      <c r="A40217" t="s">
        <v>0</v>
      </c>
    </row>
    <row r="40218" spans="1:1" x14ac:dyDescent="0.3">
      <c r="A40218" t="s">
        <v>0</v>
      </c>
    </row>
    <row r="40219" spans="1:1" x14ac:dyDescent="0.3">
      <c r="A40219" t="s">
        <v>0</v>
      </c>
    </row>
    <row r="40220" spans="1:1" x14ac:dyDescent="0.3">
      <c r="A40220" t="s">
        <v>0</v>
      </c>
    </row>
    <row r="40221" spans="1:1" x14ac:dyDescent="0.3">
      <c r="A40221" t="s">
        <v>0</v>
      </c>
    </row>
    <row r="40222" spans="1:1" x14ac:dyDescent="0.3">
      <c r="A40222" t="s">
        <v>0</v>
      </c>
    </row>
    <row r="40223" spans="1:1" x14ac:dyDescent="0.3">
      <c r="A40223" t="s">
        <v>0</v>
      </c>
    </row>
    <row r="40224" spans="1:1" x14ac:dyDescent="0.3">
      <c r="A40224" t="s">
        <v>0</v>
      </c>
    </row>
    <row r="40225" spans="1:1" x14ac:dyDescent="0.3">
      <c r="A40225" t="s">
        <v>0</v>
      </c>
    </row>
    <row r="40226" spans="1:1" x14ac:dyDescent="0.3">
      <c r="A40226" t="s">
        <v>0</v>
      </c>
    </row>
    <row r="40227" spans="1:1" x14ac:dyDescent="0.3">
      <c r="A40227" t="s">
        <v>0</v>
      </c>
    </row>
    <row r="40228" spans="1:1" x14ac:dyDescent="0.3">
      <c r="A40228" t="s">
        <v>0</v>
      </c>
    </row>
    <row r="40229" spans="1:1" x14ac:dyDescent="0.3">
      <c r="A40229" t="s">
        <v>0</v>
      </c>
    </row>
    <row r="40230" spans="1:1" x14ac:dyDescent="0.3">
      <c r="A40230" t="s">
        <v>0</v>
      </c>
    </row>
    <row r="40231" spans="1:1" x14ac:dyDescent="0.3">
      <c r="A40231" t="s">
        <v>0</v>
      </c>
    </row>
    <row r="40232" spans="1:1" x14ac:dyDescent="0.3">
      <c r="A40232" t="s">
        <v>0</v>
      </c>
    </row>
    <row r="40233" spans="1:1" x14ac:dyDescent="0.3">
      <c r="A40233" t="s">
        <v>0</v>
      </c>
    </row>
    <row r="40234" spans="1:1" x14ac:dyDescent="0.3">
      <c r="A40234" t="s">
        <v>0</v>
      </c>
    </row>
    <row r="40235" spans="1:1" x14ac:dyDescent="0.3">
      <c r="A40235" t="s">
        <v>0</v>
      </c>
    </row>
    <row r="40236" spans="1:1" x14ac:dyDescent="0.3">
      <c r="A40236" t="s">
        <v>0</v>
      </c>
    </row>
    <row r="40237" spans="1:1" x14ac:dyDescent="0.3">
      <c r="A40237" t="s">
        <v>0</v>
      </c>
    </row>
    <row r="40238" spans="1:1" x14ac:dyDescent="0.3">
      <c r="A40238" t="s">
        <v>0</v>
      </c>
    </row>
    <row r="40239" spans="1:1" x14ac:dyDescent="0.3">
      <c r="A40239" t="s">
        <v>0</v>
      </c>
    </row>
    <row r="40240" spans="1:1" x14ac:dyDescent="0.3">
      <c r="A40240" t="s">
        <v>0</v>
      </c>
    </row>
    <row r="40241" spans="1:1" x14ac:dyDescent="0.3">
      <c r="A40241" t="s">
        <v>0</v>
      </c>
    </row>
    <row r="40242" spans="1:1" x14ac:dyDescent="0.3">
      <c r="A40242" t="s">
        <v>0</v>
      </c>
    </row>
    <row r="40243" spans="1:1" x14ac:dyDescent="0.3">
      <c r="A40243" t="s">
        <v>0</v>
      </c>
    </row>
    <row r="40244" spans="1:1" x14ac:dyDescent="0.3">
      <c r="A40244" t="s">
        <v>0</v>
      </c>
    </row>
    <row r="40245" spans="1:1" x14ac:dyDescent="0.3">
      <c r="A40245" t="s">
        <v>0</v>
      </c>
    </row>
    <row r="40246" spans="1:1" x14ac:dyDescent="0.3">
      <c r="A40246" t="s">
        <v>0</v>
      </c>
    </row>
    <row r="40247" spans="1:1" x14ac:dyDescent="0.3">
      <c r="A40247" t="s">
        <v>0</v>
      </c>
    </row>
    <row r="40248" spans="1:1" x14ac:dyDescent="0.3">
      <c r="A40248" t="s">
        <v>0</v>
      </c>
    </row>
    <row r="40249" spans="1:1" x14ac:dyDescent="0.3">
      <c r="A40249" t="s">
        <v>0</v>
      </c>
    </row>
    <row r="40250" spans="1:1" x14ac:dyDescent="0.3">
      <c r="A40250" t="s">
        <v>0</v>
      </c>
    </row>
    <row r="40251" spans="1:1" x14ac:dyDescent="0.3">
      <c r="A40251" t="s">
        <v>0</v>
      </c>
    </row>
    <row r="40252" spans="1:1" x14ac:dyDescent="0.3">
      <c r="A40252" t="s">
        <v>0</v>
      </c>
    </row>
    <row r="40253" spans="1:1" x14ac:dyDescent="0.3">
      <c r="A40253" t="s">
        <v>0</v>
      </c>
    </row>
    <row r="40254" spans="1:1" x14ac:dyDescent="0.3">
      <c r="A40254" t="s">
        <v>0</v>
      </c>
    </row>
    <row r="40255" spans="1:1" x14ac:dyDescent="0.3">
      <c r="A40255" t="s">
        <v>0</v>
      </c>
    </row>
    <row r="40256" spans="1:1" x14ac:dyDescent="0.3">
      <c r="A40256" t="s">
        <v>0</v>
      </c>
    </row>
    <row r="40257" spans="1:1" x14ac:dyDescent="0.3">
      <c r="A40257" t="s">
        <v>0</v>
      </c>
    </row>
    <row r="40258" spans="1:1" x14ac:dyDescent="0.3">
      <c r="A40258" t="s">
        <v>0</v>
      </c>
    </row>
    <row r="40259" spans="1:1" x14ac:dyDescent="0.3">
      <c r="A40259" t="s">
        <v>0</v>
      </c>
    </row>
    <row r="40260" spans="1:1" x14ac:dyDescent="0.3">
      <c r="A40260" t="s">
        <v>0</v>
      </c>
    </row>
    <row r="40261" spans="1:1" x14ac:dyDescent="0.3">
      <c r="A40261" t="s">
        <v>0</v>
      </c>
    </row>
    <row r="40262" spans="1:1" x14ac:dyDescent="0.3">
      <c r="A40262" t="s">
        <v>0</v>
      </c>
    </row>
    <row r="40263" spans="1:1" x14ac:dyDescent="0.3">
      <c r="A40263" t="s">
        <v>0</v>
      </c>
    </row>
    <row r="40264" spans="1:1" x14ac:dyDescent="0.3">
      <c r="A40264" t="s">
        <v>0</v>
      </c>
    </row>
    <row r="40265" spans="1:1" x14ac:dyDescent="0.3">
      <c r="A40265" t="s">
        <v>0</v>
      </c>
    </row>
    <row r="40266" spans="1:1" x14ac:dyDescent="0.3">
      <c r="A40266" t="s">
        <v>0</v>
      </c>
    </row>
    <row r="40267" spans="1:1" x14ac:dyDescent="0.3">
      <c r="A40267" t="s">
        <v>0</v>
      </c>
    </row>
    <row r="40268" spans="1:1" x14ac:dyDescent="0.3">
      <c r="A40268" t="s">
        <v>0</v>
      </c>
    </row>
    <row r="40269" spans="1:1" x14ac:dyDescent="0.3">
      <c r="A40269" t="s">
        <v>0</v>
      </c>
    </row>
    <row r="40270" spans="1:1" x14ac:dyDescent="0.3">
      <c r="A40270" t="s">
        <v>0</v>
      </c>
    </row>
    <row r="40271" spans="1:1" x14ac:dyDescent="0.3">
      <c r="A40271" t="s">
        <v>0</v>
      </c>
    </row>
    <row r="40272" spans="1:1" x14ac:dyDescent="0.3">
      <c r="A40272" t="s">
        <v>0</v>
      </c>
    </row>
    <row r="40273" spans="1:1" x14ac:dyDescent="0.3">
      <c r="A40273" t="s">
        <v>0</v>
      </c>
    </row>
    <row r="40274" spans="1:1" x14ac:dyDescent="0.3">
      <c r="A40274" t="s">
        <v>0</v>
      </c>
    </row>
    <row r="40275" spans="1:1" x14ac:dyDescent="0.3">
      <c r="A40275" t="s">
        <v>0</v>
      </c>
    </row>
    <row r="40276" spans="1:1" x14ac:dyDescent="0.3">
      <c r="A40276" t="s">
        <v>0</v>
      </c>
    </row>
    <row r="40277" spans="1:1" x14ac:dyDescent="0.3">
      <c r="A40277" t="s">
        <v>0</v>
      </c>
    </row>
    <row r="40278" spans="1:1" x14ac:dyDescent="0.3">
      <c r="A40278" t="s">
        <v>0</v>
      </c>
    </row>
    <row r="40279" spans="1:1" x14ac:dyDescent="0.3">
      <c r="A40279" t="s">
        <v>0</v>
      </c>
    </row>
    <row r="40280" spans="1:1" x14ac:dyDescent="0.3">
      <c r="A40280" t="s">
        <v>0</v>
      </c>
    </row>
    <row r="40281" spans="1:1" x14ac:dyDescent="0.3">
      <c r="A40281" t="s">
        <v>0</v>
      </c>
    </row>
    <row r="40282" spans="1:1" x14ac:dyDescent="0.3">
      <c r="A40282" t="s">
        <v>0</v>
      </c>
    </row>
    <row r="40283" spans="1:1" x14ac:dyDescent="0.3">
      <c r="A40283" t="s">
        <v>0</v>
      </c>
    </row>
    <row r="40284" spans="1:1" x14ac:dyDescent="0.3">
      <c r="A40284" t="s">
        <v>0</v>
      </c>
    </row>
    <row r="40285" spans="1:1" x14ac:dyDescent="0.3">
      <c r="A40285" t="s">
        <v>0</v>
      </c>
    </row>
    <row r="40286" spans="1:1" x14ac:dyDescent="0.3">
      <c r="A40286" t="s">
        <v>0</v>
      </c>
    </row>
    <row r="40287" spans="1:1" x14ac:dyDescent="0.3">
      <c r="A40287" t="s">
        <v>0</v>
      </c>
    </row>
    <row r="40288" spans="1:1" x14ac:dyDescent="0.3">
      <c r="A40288" t="s">
        <v>0</v>
      </c>
    </row>
    <row r="40289" spans="1:1" x14ac:dyDescent="0.3">
      <c r="A40289" t="s">
        <v>0</v>
      </c>
    </row>
    <row r="40290" spans="1:1" x14ac:dyDescent="0.3">
      <c r="A40290" t="s">
        <v>0</v>
      </c>
    </row>
    <row r="40291" spans="1:1" x14ac:dyDescent="0.3">
      <c r="A40291" t="s">
        <v>0</v>
      </c>
    </row>
    <row r="40292" spans="1:1" x14ac:dyDescent="0.3">
      <c r="A40292" t="s">
        <v>0</v>
      </c>
    </row>
    <row r="40293" spans="1:1" x14ac:dyDescent="0.3">
      <c r="A40293" t="s">
        <v>0</v>
      </c>
    </row>
    <row r="40294" spans="1:1" x14ac:dyDescent="0.3">
      <c r="A40294" t="s">
        <v>0</v>
      </c>
    </row>
    <row r="40295" spans="1:1" x14ac:dyDescent="0.3">
      <c r="A40295" t="s">
        <v>0</v>
      </c>
    </row>
    <row r="40296" spans="1:1" x14ac:dyDescent="0.3">
      <c r="A40296" t="s">
        <v>0</v>
      </c>
    </row>
    <row r="40297" spans="1:1" x14ac:dyDescent="0.3">
      <c r="A40297" t="s">
        <v>0</v>
      </c>
    </row>
    <row r="40298" spans="1:1" x14ac:dyDescent="0.3">
      <c r="A40298" t="s">
        <v>0</v>
      </c>
    </row>
    <row r="40299" spans="1:1" x14ac:dyDescent="0.3">
      <c r="A40299" t="s">
        <v>0</v>
      </c>
    </row>
    <row r="40300" spans="1:1" x14ac:dyDescent="0.3">
      <c r="A40300" t="s">
        <v>0</v>
      </c>
    </row>
    <row r="40301" spans="1:1" x14ac:dyDescent="0.3">
      <c r="A40301" t="s">
        <v>0</v>
      </c>
    </row>
    <row r="40302" spans="1:1" x14ac:dyDescent="0.3">
      <c r="A40302" t="s">
        <v>0</v>
      </c>
    </row>
    <row r="40303" spans="1:1" x14ac:dyDescent="0.3">
      <c r="A40303" t="s">
        <v>0</v>
      </c>
    </row>
    <row r="40304" spans="1:1" x14ac:dyDescent="0.3">
      <c r="A40304" t="s">
        <v>0</v>
      </c>
    </row>
    <row r="40305" spans="1:1" x14ac:dyDescent="0.3">
      <c r="A40305" t="s">
        <v>0</v>
      </c>
    </row>
    <row r="40306" spans="1:1" x14ac:dyDescent="0.3">
      <c r="A40306" t="s">
        <v>0</v>
      </c>
    </row>
    <row r="40307" spans="1:1" x14ac:dyDescent="0.3">
      <c r="A40307" t="s">
        <v>0</v>
      </c>
    </row>
    <row r="40308" spans="1:1" x14ac:dyDescent="0.3">
      <c r="A40308" t="s">
        <v>0</v>
      </c>
    </row>
    <row r="40309" spans="1:1" x14ac:dyDescent="0.3">
      <c r="A40309" t="s">
        <v>0</v>
      </c>
    </row>
    <row r="40310" spans="1:1" x14ac:dyDescent="0.3">
      <c r="A40310" t="s">
        <v>0</v>
      </c>
    </row>
    <row r="40311" spans="1:1" x14ac:dyDescent="0.3">
      <c r="A40311" t="s">
        <v>0</v>
      </c>
    </row>
    <row r="40312" spans="1:1" x14ac:dyDescent="0.3">
      <c r="A40312" t="s">
        <v>0</v>
      </c>
    </row>
    <row r="40313" spans="1:1" x14ac:dyDescent="0.3">
      <c r="A40313" t="s">
        <v>0</v>
      </c>
    </row>
    <row r="40314" spans="1:1" x14ac:dyDescent="0.3">
      <c r="A40314" t="s">
        <v>0</v>
      </c>
    </row>
    <row r="40315" spans="1:1" x14ac:dyDescent="0.3">
      <c r="A40315" t="s">
        <v>0</v>
      </c>
    </row>
    <row r="40316" spans="1:1" x14ac:dyDescent="0.3">
      <c r="A40316" t="s">
        <v>0</v>
      </c>
    </row>
    <row r="40317" spans="1:1" x14ac:dyDescent="0.3">
      <c r="A40317" t="s">
        <v>0</v>
      </c>
    </row>
    <row r="40318" spans="1:1" x14ac:dyDescent="0.3">
      <c r="A40318" t="s">
        <v>0</v>
      </c>
    </row>
    <row r="40319" spans="1:1" x14ac:dyDescent="0.3">
      <c r="A40319" t="s">
        <v>0</v>
      </c>
    </row>
    <row r="40320" spans="1:1" x14ac:dyDescent="0.3">
      <c r="A40320" t="s">
        <v>0</v>
      </c>
    </row>
    <row r="40321" spans="1:1" x14ac:dyDescent="0.3">
      <c r="A40321" t="s">
        <v>0</v>
      </c>
    </row>
    <row r="40322" spans="1:1" x14ac:dyDescent="0.3">
      <c r="A40322" t="s">
        <v>0</v>
      </c>
    </row>
    <row r="40323" spans="1:1" x14ac:dyDescent="0.3">
      <c r="A40323" t="s">
        <v>0</v>
      </c>
    </row>
    <row r="40324" spans="1:1" x14ac:dyDescent="0.3">
      <c r="A40324" t="s">
        <v>0</v>
      </c>
    </row>
    <row r="40325" spans="1:1" x14ac:dyDescent="0.3">
      <c r="A40325" t="s">
        <v>0</v>
      </c>
    </row>
    <row r="40326" spans="1:1" x14ac:dyDescent="0.3">
      <c r="A40326" t="s">
        <v>0</v>
      </c>
    </row>
    <row r="40327" spans="1:1" x14ac:dyDescent="0.3">
      <c r="A40327" t="s">
        <v>0</v>
      </c>
    </row>
    <row r="40328" spans="1:1" x14ac:dyDescent="0.3">
      <c r="A40328" t="s">
        <v>0</v>
      </c>
    </row>
    <row r="40329" spans="1:1" x14ac:dyDescent="0.3">
      <c r="A40329" t="s">
        <v>0</v>
      </c>
    </row>
    <row r="40330" spans="1:1" x14ac:dyDescent="0.3">
      <c r="A40330" t="s">
        <v>0</v>
      </c>
    </row>
    <row r="40331" spans="1:1" x14ac:dyDescent="0.3">
      <c r="A40331" t="s">
        <v>0</v>
      </c>
    </row>
    <row r="40332" spans="1:1" x14ac:dyDescent="0.3">
      <c r="A40332" t="s">
        <v>0</v>
      </c>
    </row>
    <row r="40333" spans="1:1" x14ac:dyDescent="0.3">
      <c r="A40333" t="s">
        <v>0</v>
      </c>
    </row>
    <row r="40334" spans="1:1" x14ac:dyDescent="0.3">
      <c r="A40334" t="s">
        <v>0</v>
      </c>
    </row>
    <row r="40335" spans="1:1" x14ac:dyDescent="0.3">
      <c r="A40335" t="s">
        <v>0</v>
      </c>
    </row>
    <row r="40336" spans="1:1" x14ac:dyDescent="0.3">
      <c r="A40336" t="s">
        <v>0</v>
      </c>
    </row>
    <row r="40337" spans="1:1" x14ac:dyDescent="0.3">
      <c r="A40337" t="s">
        <v>0</v>
      </c>
    </row>
    <row r="40338" spans="1:1" x14ac:dyDescent="0.3">
      <c r="A40338" t="s">
        <v>0</v>
      </c>
    </row>
    <row r="40339" spans="1:1" x14ac:dyDescent="0.3">
      <c r="A40339" t="s">
        <v>0</v>
      </c>
    </row>
    <row r="40340" spans="1:1" x14ac:dyDescent="0.3">
      <c r="A40340" t="s">
        <v>0</v>
      </c>
    </row>
    <row r="40341" spans="1:1" x14ac:dyDescent="0.3">
      <c r="A40341" t="s">
        <v>0</v>
      </c>
    </row>
    <row r="40342" spans="1:1" x14ac:dyDescent="0.3">
      <c r="A40342" t="s">
        <v>0</v>
      </c>
    </row>
    <row r="40343" spans="1:1" x14ac:dyDescent="0.3">
      <c r="A40343" t="s">
        <v>0</v>
      </c>
    </row>
    <row r="40344" spans="1:1" x14ac:dyDescent="0.3">
      <c r="A40344" t="s">
        <v>0</v>
      </c>
    </row>
    <row r="40345" spans="1:1" x14ac:dyDescent="0.3">
      <c r="A40345" t="s">
        <v>0</v>
      </c>
    </row>
    <row r="40346" spans="1:1" x14ac:dyDescent="0.3">
      <c r="A40346" t="s">
        <v>0</v>
      </c>
    </row>
    <row r="40347" spans="1:1" x14ac:dyDescent="0.3">
      <c r="A40347" t="s">
        <v>0</v>
      </c>
    </row>
    <row r="40348" spans="1:1" x14ac:dyDescent="0.3">
      <c r="A40348" t="s">
        <v>0</v>
      </c>
    </row>
    <row r="40349" spans="1:1" x14ac:dyDescent="0.3">
      <c r="A40349" t="s">
        <v>0</v>
      </c>
    </row>
    <row r="40350" spans="1:1" x14ac:dyDescent="0.3">
      <c r="A40350" t="s">
        <v>0</v>
      </c>
    </row>
    <row r="40351" spans="1:1" x14ac:dyDescent="0.3">
      <c r="A40351" t="s">
        <v>0</v>
      </c>
    </row>
    <row r="40352" spans="1:1" x14ac:dyDescent="0.3">
      <c r="A40352" t="s">
        <v>0</v>
      </c>
    </row>
    <row r="40353" spans="1:1" x14ac:dyDescent="0.3">
      <c r="A40353" t="s">
        <v>0</v>
      </c>
    </row>
    <row r="40354" spans="1:1" x14ac:dyDescent="0.3">
      <c r="A40354" t="s">
        <v>0</v>
      </c>
    </row>
    <row r="40355" spans="1:1" x14ac:dyDescent="0.3">
      <c r="A40355" t="s">
        <v>0</v>
      </c>
    </row>
    <row r="40356" spans="1:1" x14ac:dyDescent="0.3">
      <c r="A40356" t="s">
        <v>0</v>
      </c>
    </row>
    <row r="40357" spans="1:1" x14ac:dyDescent="0.3">
      <c r="A40357" t="s">
        <v>0</v>
      </c>
    </row>
    <row r="40358" spans="1:1" x14ac:dyDescent="0.3">
      <c r="A40358" t="s">
        <v>0</v>
      </c>
    </row>
    <row r="40359" spans="1:1" x14ac:dyDescent="0.3">
      <c r="A40359" t="s">
        <v>0</v>
      </c>
    </row>
    <row r="40360" spans="1:1" x14ac:dyDescent="0.3">
      <c r="A40360" t="s">
        <v>0</v>
      </c>
    </row>
    <row r="40361" spans="1:1" x14ac:dyDescent="0.3">
      <c r="A40361" t="s">
        <v>0</v>
      </c>
    </row>
    <row r="40362" spans="1:1" x14ac:dyDescent="0.3">
      <c r="A40362" t="s">
        <v>0</v>
      </c>
    </row>
    <row r="40363" spans="1:1" x14ac:dyDescent="0.3">
      <c r="A40363" t="s">
        <v>0</v>
      </c>
    </row>
    <row r="40364" spans="1:1" x14ac:dyDescent="0.3">
      <c r="A40364" t="s">
        <v>0</v>
      </c>
    </row>
    <row r="40365" spans="1:1" x14ac:dyDescent="0.3">
      <c r="A40365" t="s">
        <v>0</v>
      </c>
    </row>
    <row r="40366" spans="1:1" x14ac:dyDescent="0.3">
      <c r="A40366" t="s">
        <v>0</v>
      </c>
    </row>
    <row r="40367" spans="1:1" x14ac:dyDescent="0.3">
      <c r="A40367" t="s">
        <v>0</v>
      </c>
    </row>
    <row r="40368" spans="1:1" x14ac:dyDescent="0.3">
      <c r="A40368" t="s">
        <v>0</v>
      </c>
    </row>
    <row r="40369" spans="1:1" x14ac:dyDescent="0.3">
      <c r="A40369" t="s">
        <v>0</v>
      </c>
    </row>
    <row r="40370" spans="1:1" x14ac:dyDescent="0.3">
      <c r="A40370" t="s">
        <v>0</v>
      </c>
    </row>
    <row r="40371" spans="1:1" x14ac:dyDescent="0.3">
      <c r="A40371" t="s">
        <v>0</v>
      </c>
    </row>
    <row r="40372" spans="1:1" x14ac:dyDescent="0.3">
      <c r="A40372" t="s">
        <v>0</v>
      </c>
    </row>
    <row r="40373" spans="1:1" x14ac:dyDescent="0.3">
      <c r="A40373" t="s">
        <v>0</v>
      </c>
    </row>
    <row r="40374" spans="1:1" x14ac:dyDescent="0.3">
      <c r="A40374" t="s">
        <v>0</v>
      </c>
    </row>
    <row r="40375" spans="1:1" x14ac:dyDescent="0.3">
      <c r="A40375" t="s">
        <v>0</v>
      </c>
    </row>
    <row r="40376" spans="1:1" x14ac:dyDescent="0.3">
      <c r="A40376" t="s">
        <v>0</v>
      </c>
    </row>
    <row r="40377" spans="1:1" x14ac:dyDescent="0.3">
      <c r="A40377" t="s">
        <v>0</v>
      </c>
    </row>
    <row r="40378" spans="1:1" x14ac:dyDescent="0.3">
      <c r="A40378" t="s">
        <v>0</v>
      </c>
    </row>
    <row r="40379" spans="1:1" x14ac:dyDescent="0.3">
      <c r="A40379" t="s">
        <v>0</v>
      </c>
    </row>
    <row r="40380" spans="1:1" x14ac:dyDescent="0.3">
      <c r="A40380" t="s">
        <v>0</v>
      </c>
    </row>
    <row r="40381" spans="1:1" x14ac:dyDescent="0.3">
      <c r="A40381" t="s">
        <v>0</v>
      </c>
    </row>
    <row r="40382" spans="1:1" x14ac:dyDescent="0.3">
      <c r="A40382" t="s">
        <v>0</v>
      </c>
    </row>
    <row r="40383" spans="1:1" x14ac:dyDescent="0.3">
      <c r="A40383" t="s">
        <v>0</v>
      </c>
    </row>
    <row r="40384" spans="1:1" x14ac:dyDescent="0.3">
      <c r="A40384" t="s">
        <v>0</v>
      </c>
    </row>
    <row r="40385" spans="1:1" x14ac:dyDescent="0.3">
      <c r="A40385" t="s">
        <v>0</v>
      </c>
    </row>
    <row r="40386" spans="1:1" x14ac:dyDescent="0.3">
      <c r="A40386" t="s">
        <v>0</v>
      </c>
    </row>
    <row r="40387" spans="1:1" x14ac:dyDescent="0.3">
      <c r="A40387" t="s">
        <v>0</v>
      </c>
    </row>
    <row r="40388" spans="1:1" x14ac:dyDescent="0.3">
      <c r="A40388" t="s">
        <v>0</v>
      </c>
    </row>
    <row r="40389" spans="1:1" x14ac:dyDescent="0.3">
      <c r="A40389" t="s">
        <v>0</v>
      </c>
    </row>
    <row r="40390" spans="1:1" x14ac:dyDescent="0.3">
      <c r="A40390" t="s">
        <v>0</v>
      </c>
    </row>
    <row r="40391" spans="1:1" x14ac:dyDescent="0.3">
      <c r="A40391" t="s">
        <v>0</v>
      </c>
    </row>
    <row r="40392" spans="1:1" x14ac:dyDescent="0.3">
      <c r="A40392" t="s">
        <v>0</v>
      </c>
    </row>
    <row r="40393" spans="1:1" x14ac:dyDescent="0.3">
      <c r="A40393" t="s">
        <v>0</v>
      </c>
    </row>
    <row r="40394" spans="1:1" x14ac:dyDescent="0.3">
      <c r="A40394" t="s">
        <v>0</v>
      </c>
    </row>
    <row r="40395" spans="1:1" x14ac:dyDescent="0.3">
      <c r="A40395" t="s">
        <v>0</v>
      </c>
    </row>
    <row r="40396" spans="1:1" x14ac:dyDescent="0.3">
      <c r="A40396" t="s">
        <v>0</v>
      </c>
    </row>
    <row r="40397" spans="1:1" x14ac:dyDescent="0.3">
      <c r="A40397" t="s">
        <v>0</v>
      </c>
    </row>
    <row r="40398" spans="1:1" x14ac:dyDescent="0.3">
      <c r="A40398" t="s">
        <v>0</v>
      </c>
    </row>
    <row r="40399" spans="1:1" x14ac:dyDescent="0.3">
      <c r="A40399" t="s">
        <v>0</v>
      </c>
    </row>
    <row r="40400" spans="1:1" x14ac:dyDescent="0.3">
      <c r="A40400" t="s">
        <v>0</v>
      </c>
    </row>
    <row r="40401" spans="1:1" x14ac:dyDescent="0.3">
      <c r="A40401" t="s">
        <v>0</v>
      </c>
    </row>
    <row r="40402" spans="1:1" x14ac:dyDescent="0.3">
      <c r="A40402" t="s">
        <v>0</v>
      </c>
    </row>
    <row r="40403" spans="1:1" x14ac:dyDescent="0.3">
      <c r="A40403" t="s">
        <v>0</v>
      </c>
    </row>
    <row r="40404" spans="1:1" x14ac:dyDescent="0.3">
      <c r="A40404" t="s">
        <v>0</v>
      </c>
    </row>
    <row r="40405" spans="1:1" x14ac:dyDescent="0.3">
      <c r="A40405" t="s">
        <v>0</v>
      </c>
    </row>
    <row r="40406" spans="1:1" x14ac:dyDescent="0.3">
      <c r="A40406" t="s">
        <v>0</v>
      </c>
    </row>
    <row r="40407" spans="1:1" x14ac:dyDescent="0.3">
      <c r="A40407" t="s">
        <v>0</v>
      </c>
    </row>
    <row r="40408" spans="1:1" x14ac:dyDescent="0.3">
      <c r="A40408" t="s">
        <v>0</v>
      </c>
    </row>
    <row r="40409" spans="1:1" x14ac:dyDescent="0.3">
      <c r="A40409" t="s">
        <v>0</v>
      </c>
    </row>
    <row r="40410" spans="1:1" x14ac:dyDescent="0.3">
      <c r="A40410" t="s">
        <v>0</v>
      </c>
    </row>
    <row r="40411" spans="1:1" x14ac:dyDescent="0.3">
      <c r="A40411" t="s">
        <v>0</v>
      </c>
    </row>
    <row r="40412" spans="1:1" x14ac:dyDescent="0.3">
      <c r="A40412" t="s">
        <v>0</v>
      </c>
    </row>
    <row r="40413" spans="1:1" x14ac:dyDescent="0.3">
      <c r="A40413" t="s">
        <v>0</v>
      </c>
    </row>
    <row r="40414" spans="1:1" x14ac:dyDescent="0.3">
      <c r="A40414" t="s">
        <v>0</v>
      </c>
    </row>
    <row r="40415" spans="1:1" x14ac:dyDescent="0.3">
      <c r="A40415" t="s">
        <v>0</v>
      </c>
    </row>
    <row r="40416" spans="1:1" x14ac:dyDescent="0.3">
      <c r="A40416" t="s">
        <v>0</v>
      </c>
    </row>
    <row r="40417" spans="1:1" x14ac:dyDescent="0.3">
      <c r="A40417" t="s">
        <v>0</v>
      </c>
    </row>
    <row r="40418" spans="1:1" x14ac:dyDescent="0.3">
      <c r="A40418" t="s">
        <v>0</v>
      </c>
    </row>
    <row r="40419" spans="1:1" x14ac:dyDescent="0.3">
      <c r="A40419" t="s">
        <v>0</v>
      </c>
    </row>
    <row r="40420" spans="1:1" x14ac:dyDescent="0.3">
      <c r="A40420" t="s">
        <v>0</v>
      </c>
    </row>
    <row r="40421" spans="1:1" x14ac:dyDescent="0.3">
      <c r="A40421" t="s">
        <v>0</v>
      </c>
    </row>
    <row r="40422" spans="1:1" x14ac:dyDescent="0.3">
      <c r="A40422" t="s">
        <v>0</v>
      </c>
    </row>
    <row r="40423" spans="1:1" x14ac:dyDescent="0.3">
      <c r="A40423" t="s">
        <v>0</v>
      </c>
    </row>
    <row r="40424" spans="1:1" x14ac:dyDescent="0.3">
      <c r="A40424" t="s">
        <v>0</v>
      </c>
    </row>
    <row r="40425" spans="1:1" x14ac:dyDescent="0.3">
      <c r="A40425" t="s">
        <v>0</v>
      </c>
    </row>
    <row r="40426" spans="1:1" x14ac:dyDescent="0.3">
      <c r="A40426" t="s">
        <v>0</v>
      </c>
    </row>
    <row r="40427" spans="1:1" x14ac:dyDescent="0.3">
      <c r="A40427" t="s">
        <v>0</v>
      </c>
    </row>
    <row r="40428" spans="1:1" x14ac:dyDescent="0.3">
      <c r="A40428" t="s">
        <v>0</v>
      </c>
    </row>
    <row r="40429" spans="1:1" x14ac:dyDescent="0.3">
      <c r="A40429" t="s">
        <v>0</v>
      </c>
    </row>
    <row r="40430" spans="1:1" x14ac:dyDescent="0.3">
      <c r="A40430" t="s">
        <v>0</v>
      </c>
    </row>
    <row r="40431" spans="1:1" x14ac:dyDescent="0.3">
      <c r="A40431" t="s">
        <v>0</v>
      </c>
    </row>
    <row r="40432" spans="1:1" x14ac:dyDescent="0.3">
      <c r="A40432" t="s">
        <v>0</v>
      </c>
    </row>
    <row r="40433" spans="1:1" x14ac:dyDescent="0.3">
      <c r="A40433" t="s">
        <v>0</v>
      </c>
    </row>
    <row r="40434" spans="1:1" x14ac:dyDescent="0.3">
      <c r="A40434" t="s">
        <v>0</v>
      </c>
    </row>
    <row r="40435" spans="1:1" x14ac:dyDescent="0.3">
      <c r="A40435" t="s">
        <v>0</v>
      </c>
    </row>
    <row r="40436" spans="1:1" x14ac:dyDescent="0.3">
      <c r="A40436" t="s">
        <v>0</v>
      </c>
    </row>
    <row r="40437" spans="1:1" x14ac:dyDescent="0.3">
      <c r="A40437" t="s">
        <v>0</v>
      </c>
    </row>
    <row r="40438" spans="1:1" x14ac:dyDescent="0.3">
      <c r="A40438" t="s">
        <v>0</v>
      </c>
    </row>
    <row r="40439" spans="1:1" x14ac:dyDescent="0.3">
      <c r="A40439" t="s">
        <v>0</v>
      </c>
    </row>
    <row r="40440" spans="1:1" x14ac:dyDescent="0.3">
      <c r="A40440" t="s">
        <v>0</v>
      </c>
    </row>
    <row r="40441" spans="1:1" x14ac:dyDescent="0.3">
      <c r="A40441" t="s">
        <v>0</v>
      </c>
    </row>
    <row r="40442" spans="1:1" x14ac:dyDescent="0.3">
      <c r="A40442" t="s">
        <v>0</v>
      </c>
    </row>
    <row r="40443" spans="1:1" x14ac:dyDescent="0.3">
      <c r="A40443" t="s">
        <v>0</v>
      </c>
    </row>
    <row r="40444" spans="1:1" x14ac:dyDescent="0.3">
      <c r="A40444" t="s">
        <v>0</v>
      </c>
    </row>
    <row r="40445" spans="1:1" x14ac:dyDescent="0.3">
      <c r="A40445" t="s">
        <v>0</v>
      </c>
    </row>
    <row r="40446" spans="1:1" x14ac:dyDescent="0.3">
      <c r="A40446" t="s">
        <v>0</v>
      </c>
    </row>
    <row r="40447" spans="1:1" x14ac:dyDescent="0.3">
      <c r="A40447" t="s">
        <v>0</v>
      </c>
    </row>
    <row r="40448" spans="1:1" x14ac:dyDescent="0.3">
      <c r="A40448" t="s">
        <v>0</v>
      </c>
    </row>
    <row r="40449" spans="1:1" x14ac:dyDescent="0.3">
      <c r="A40449" t="s">
        <v>0</v>
      </c>
    </row>
    <row r="40450" spans="1:1" x14ac:dyDescent="0.3">
      <c r="A40450" t="s">
        <v>0</v>
      </c>
    </row>
    <row r="40451" spans="1:1" x14ac:dyDescent="0.3">
      <c r="A40451" t="s">
        <v>0</v>
      </c>
    </row>
    <row r="40452" spans="1:1" x14ac:dyDescent="0.3">
      <c r="A40452" t="s">
        <v>0</v>
      </c>
    </row>
    <row r="40453" spans="1:1" x14ac:dyDescent="0.3">
      <c r="A40453" t="s">
        <v>0</v>
      </c>
    </row>
    <row r="40454" spans="1:1" x14ac:dyDescent="0.3">
      <c r="A40454" t="s">
        <v>0</v>
      </c>
    </row>
    <row r="40455" spans="1:1" x14ac:dyDescent="0.3">
      <c r="A40455" t="s">
        <v>0</v>
      </c>
    </row>
    <row r="40456" spans="1:1" x14ac:dyDescent="0.3">
      <c r="A40456" t="s">
        <v>0</v>
      </c>
    </row>
    <row r="40457" spans="1:1" x14ac:dyDescent="0.3">
      <c r="A40457" t="s">
        <v>0</v>
      </c>
    </row>
    <row r="40458" spans="1:1" x14ac:dyDescent="0.3">
      <c r="A40458" t="s">
        <v>0</v>
      </c>
    </row>
    <row r="40459" spans="1:1" x14ac:dyDescent="0.3">
      <c r="A40459" t="s">
        <v>0</v>
      </c>
    </row>
    <row r="40460" spans="1:1" x14ac:dyDescent="0.3">
      <c r="A40460" t="s">
        <v>0</v>
      </c>
    </row>
    <row r="40461" spans="1:1" x14ac:dyDescent="0.3">
      <c r="A40461" t="s">
        <v>0</v>
      </c>
    </row>
    <row r="40462" spans="1:1" x14ac:dyDescent="0.3">
      <c r="A40462" t="s">
        <v>0</v>
      </c>
    </row>
    <row r="40463" spans="1:1" x14ac:dyDescent="0.3">
      <c r="A40463" t="s">
        <v>0</v>
      </c>
    </row>
    <row r="40464" spans="1:1" x14ac:dyDescent="0.3">
      <c r="A40464" t="s">
        <v>0</v>
      </c>
    </row>
    <row r="40465" spans="1:1" x14ac:dyDescent="0.3">
      <c r="A40465" t="s">
        <v>0</v>
      </c>
    </row>
    <row r="40466" spans="1:1" x14ac:dyDescent="0.3">
      <c r="A40466" t="s">
        <v>0</v>
      </c>
    </row>
    <row r="40467" spans="1:1" x14ac:dyDescent="0.3">
      <c r="A40467" t="s">
        <v>0</v>
      </c>
    </row>
    <row r="40468" spans="1:1" x14ac:dyDescent="0.3">
      <c r="A40468" t="s">
        <v>0</v>
      </c>
    </row>
    <row r="40469" spans="1:1" x14ac:dyDescent="0.3">
      <c r="A40469" t="s">
        <v>0</v>
      </c>
    </row>
    <row r="40470" spans="1:1" x14ac:dyDescent="0.3">
      <c r="A40470" t="s">
        <v>0</v>
      </c>
    </row>
    <row r="40471" spans="1:1" x14ac:dyDescent="0.3">
      <c r="A40471" t="s">
        <v>0</v>
      </c>
    </row>
    <row r="40472" spans="1:1" x14ac:dyDescent="0.3">
      <c r="A40472" t="s">
        <v>0</v>
      </c>
    </row>
    <row r="40473" spans="1:1" x14ac:dyDescent="0.3">
      <c r="A40473" t="s">
        <v>0</v>
      </c>
    </row>
    <row r="40474" spans="1:1" x14ac:dyDescent="0.3">
      <c r="A40474" t="s">
        <v>0</v>
      </c>
    </row>
    <row r="40475" spans="1:1" x14ac:dyDescent="0.3">
      <c r="A40475" t="s">
        <v>0</v>
      </c>
    </row>
    <row r="40476" spans="1:1" x14ac:dyDescent="0.3">
      <c r="A40476" t="s">
        <v>0</v>
      </c>
    </row>
    <row r="40477" spans="1:1" x14ac:dyDescent="0.3">
      <c r="A40477" t="s">
        <v>0</v>
      </c>
    </row>
    <row r="40478" spans="1:1" x14ac:dyDescent="0.3">
      <c r="A40478" t="s">
        <v>0</v>
      </c>
    </row>
    <row r="40479" spans="1:1" x14ac:dyDescent="0.3">
      <c r="A40479" t="s">
        <v>0</v>
      </c>
    </row>
    <row r="40480" spans="1:1" x14ac:dyDescent="0.3">
      <c r="A40480" t="s">
        <v>0</v>
      </c>
    </row>
    <row r="40481" spans="1:1" x14ac:dyDescent="0.3">
      <c r="A40481" t="s">
        <v>0</v>
      </c>
    </row>
    <row r="40482" spans="1:1" x14ac:dyDescent="0.3">
      <c r="A40482" t="s">
        <v>0</v>
      </c>
    </row>
    <row r="40483" spans="1:1" x14ac:dyDescent="0.3">
      <c r="A40483" t="s">
        <v>0</v>
      </c>
    </row>
    <row r="40484" spans="1:1" x14ac:dyDescent="0.3">
      <c r="A40484" t="s">
        <v>0</v>
      </c>
    </row>
    <row r="40485" spans="1:1" x14ac:dyDescent="0.3">
      <c r="A40485" t="s">
        <v>0</v>
      </c>
    </row>
    <row r="40486" spans="1:1" x14ac:dyDescent="0.3">
      <c r="A40486" t="s">
        <v>0</v>
      </c>
    </row>
    <row r="40487" spans="1:1" x14ac:dyDescent="0.3">
      <c r="A40487" t="s">
        <v>0</v>
      </c>
    </row>
    <row r="40488" spans="1:1" x14ac:dyDescent="0.3">
      <c r="A40488" t="s">
        <v>0</v>
      </c>
    </row>
    <row r="40489" spans="1:1" x14ac:dyDescent="0.3">
      <c r="A40489" t="s">
        <v>0</v>
      </c>
    </row>
    <row r="40490" spans="1:1" x14ac:dyDescent="0.3">
      <c r="A40490" t="s">
        <v>0</v>
      </c>
    </row>
    <row r="40491" spans="1:1" x14ac:dyDescent="0.3">
      <c r="A40491" t="s">
        <v>0</v>
      </c>
    </row>
    <row r="40492" spans="1:1" x14ac:dyDescent="0.3">
      <c r="A40492" t="s">
        <v>0</v>
      </c>
    </row>
    <row r="40493" spans="1:1" x14ac:dyDescent="0.3">
      <c r="A40493" t="s">
        <v>0</v>
      </c>
    </row>
    <row r="40494" spans="1:1" x14ac:dyDescent="0.3">
      <c r="A40494" t="s">
        <v>0</v>
      </c>
    </row>
    <row r="40495" spans="1:1" x14ac:dyDescent="0.3">
      <c r="A40495" t="s">
        <v>0</v>
      </c>
    </row>
    <row r="40496" spans="1:1" x14ac:dyDescent="0.3">
      <c r="A40496" t="s">
        <v>0</v>
      </c>
    </row>
    <row r="40497" spans="1:1" x14ac:dyDescent="0.3">
      <c r="A40497" t="s">
        <v>0</v>
      </c>
    </row>
    <row r="40498" spans="1:1" x14ac:dyDescent="0.3">
      <c r="A40498" t="s">
        <v>0</v>
      </c>
    </row>
    <row r="40499" spans="1:1" x14ac:dyDescent="0.3">
      <c r="A40499" t="s">
        <v>0</v>
      </c>
    </row>
    <row r="40500" spans="1:1" x14ac:dyDescent="0.3">
      <c r="A40500" t="s">
        <v>0</v>
      </c>
    </row>
    <row r="40501" spans="1:1" x14ac:dyDescent="0.3">
      <c r="A40501" t="s">
        <v>0</v>
      </c>
    </row>
    <row r="40502" spans="1:1" x14ac:dyDescent="0.3">
      <c r="A40502" t="s">
        <v>0</v>
      </c>
    </row>
    <row r="40503" spans="1:1" x14ac:dyDescent="0.3">
      <c r="A40503" t="s">
        <v>0</v>
      </c>
    </row>
    <row r="40504" spans="1:1" x14ac:dyDescent="0.3">
      <c r="A40504" t="s">
        <v>0</v>
      </c>
    </row>
    <row r="40505" spans="1:1" x14ac:dyDescent="0.3">
      <c r="A40505" t="s">
        <v>0</v>
      </c>
    </row>
    <row r="40506" spans="1:1" x14ac:dyDescent="0.3">
      <c r="A40506" t="s">
        <v>0</v>
      </c>
    </row>
    <row r="40507" spans="1:1" x14ac:dyDescent="0.3">
      <c r="A40507" t="s">
        <v>0</v>
      </c>
    </row>
    <row r="40508" spans="1:1" x14ac:dyDescent="0.3">
      <c r="A40508" t="s">
        <v>0</v>
      </c>
    </row>
    <row r="40509" spans="1:1" x14ac:dyDescent="0.3">
      <c r="A40509" t="s">
        <v>0</v>
      </c>
    </row>
    <row r="40510" spans="1:1" x14ac:dyDescent="0.3">
      <c r="A40510" t="s">
        <v>0</v>
      </c>
    </row>
    <row r="40511" spans="1:1" x14ac:dyDescent="0.3">
      <c r="A40511" t="s">
        <v>0</v>
      </c>
    </row>
    <row r="40512" spans="1:1" x14ac:dyDescent="0.3">
      <c r="A40512" t="s">
        <v>0</v>
      </c>
    </row>
    <row r="40513" spans="1:1" x14ac:dyDescent="0.3">
      <c r="A40513" t="s">
        <v>0</v>
      </c>
    </row>
    <row r="40514" spans="1:1" x14ac:dyDescent="0.3">
      <c r="A40514" t="s">
        <v>0</v>
      </c>
    </row>
    <row r="40515" spans="1:1" x14ac:dyDescent="0.3">
      <c r="A40515" t="s">
        <v>0</v>
      </c>
    </row>
    <row r="40516" spans="1:1" x14ac:dyDescent="0.3">
      <c r="A40516" t="s">
        <v>0</v>
      </c>
    </row>
    <row r="40517" spans="1:1" x14ac:dyDescent="0.3">
      <c r="A40517" t="s">
        <v>0</v>
      </c>
    </row>
    <row r="40518" spans="1:1" x14ac:dyDescent="0.3">
      <c r="A40518" t="s">
        <v>0</v>
      </c>
    </row>
    <row r="40519" spans="1:1" x14ac:dyDescent="0.3">
      <c r="A40519" t="s">
        <v>0</v>
      </c>
    </row>
    <row r="40520" spans="1:1" x14ac:dyDescent="0.3">
      <c r="A40520" t="s">
        <v>0</v>
      </c>
    </row>
    <row r="40521" spans="1:1" x14ac:dyDescent="0.3">
      <c r="A40521" t="s">
        <v>0</v>
      </c>
    </row>
    <row r="40522" spans="1:1" x14ac:dyDescent="0.3">
      <c r="A40522" t="s">
        <v>0</v>
      </c>
    </row>
    <row r="40523" spans="1:1" x14ac:dyDescent="0.3">
      <c r="A40523" t="s">
        <v>0</v>
      </c>
    </row>
    <row r="40524" spans="1:1" x14ac:dyDescent="0.3">
      <c r="A40524" t="s">
        <v>0</v>
      </c>
    </row>
    <row r="40525" spans="1:1" x14ac:dyDescent="0.3">
      <c r="A40525" t="s">
        <v>0</v>
      </c>
    </row>
    <row r="40526" spans="1:1" x14ac:dyDescent="0.3">
      <c r="A40526" t="s">
        <v>0</v>
      </c>
    </row>
    <row r="40527" spans="1:1" x14ac:dyDescent="0.3">
      <c r="A40527" t="s">
        <v>0</v>
      </c>
    </row>
    <row r="40528" spans="1:1" x14ac:dyDescent="0.3">
      <c r="A40528" t="s">
        <v>0</v>
      </c>
    </row>
    <row r="40529" spans="1:1" x14ac:dyDescent="0.3">
      <c r="A40529" t="s">
        <v>0</v>
      </c>
    </row>
    <row r="40530" spans="1:1" x14ac:dyDescent="0.3">
      <c r="A40530" t="s">
        <v>0</v>
      </c>
    </row>
    <row r="40531" spans="1:1" x14ac:dyDescent="0.3">
      <c r="A40531" t="s">
        <v>0</v>
      </c>
    </row>
    <row r="40532" spans="1:1" x14ac:dyDescent="0.3">
      <c r="A40532" t="s">
        <v>0</v>
      </c>
    </row>
    <row r="40533" spans="1:1" x14ac:dyDescent="0.3">
      <c r="A40533" t="s">
        <v>0</v>
      </c>
    </row>
    <row r="40534" spans="1:1" x14ac:dyDescent="0.3">
      <c r="A40534" t="s">
        <v>0</v>
      </c>
    </row>
    <row r="40535" spans="1:1" x14ac:dyDescent="0.3">
      <c r="A40535" t="s">
        <v>0</v>
      </c>
    </row>
    <row r="40536" spans="1:1" x14ac:dyDescent="0.3">
      <c r="A40536" t="s">
        <v>0</v>
      </c>
    </row>
    <row r="40537" spans="1:1" x14ac:dyDescent="0.3">
      <c r="A40537" t="s">
        <v>0</v>
      </c>
    </row>
    <row r="40538" spans="1:1" x14ac:dyDescent="0.3">
      <c r="A40538" t="s">
        <v>0</v>
      </c>
    </row>
    <row r="40539" spans="1:1" x14ac:dyDescent="0.3">
      <c r="A40539" t="s">
        <v>0</v>
      </c>
    </row>
    <row r="40540" spans="1:1" x14ac:dyDescent="0.3">
      <c r="A40540" t="s">
        <v>0</v>
      </c>
    </row>
    <row r="40541" spans="1:1" x14ac:dyDescent="0.3">
      <c r="A40541" t="s">
        <v>0</v>
      </c>
    </row>
    <row r="40542" spans="1:1" x14ac:dyDescent="0.3">
      <c r="A40542" t="s">
        <v>0</v>
      </c>
    </row>
    <row r="40543" spans="1:1" x14ac:dyDescent="0.3">
      <c r="A40543" t="s">
        <v>0</v>
      </c>
    </row>
    <row r="40544" spans="1:1" x14ac:dyDescent="0.3">
      <c r="A40544" t="s">
        <v>0</v>
      </c>
    </row>
    <row r="40545" spans="1:1" x14ac:dyDescent="0.3">
      <c r="A40545" t="s">
        <v>0</v>
      </c>
    </row>
    <row r="40546" spans="1:1" x14ac:dyDescent="0.3">
      <c r="A40546" t="s">
        <v>0</v>
      </c>
    </row>
    <row r="40547" spans="1:1" x14ac:dyDescent="0.3">
      <c r="A40547" t="s">
        <v>0</v>
      </c>
    </row>
    <row r="40548" spans="1:1" x14ac:dyDescent="0.3">
      <c r="A40548" t="s">
        <v>0</v>
      </c>
    </row>
    <row r="40549" spans="1:1" x14ac:dyDescent="0.3">
      <c r="A40549" t="s">
        <v>0</v>
      </c>
    </row>
    <row r="40550" spans="1:1" x14ac:dyDescent="0.3">
      <c r="A40550" t="s">
        <v>0</v>
      </c>
    </row>
    <row r="40551" spans="1:1" x14ac:dyDescent="0.3">
      <c r="A40551" t="s">
        <v>0</v>
      </c>
    </row>
    <row r="40552" spans="1:1" x14ac:dyDescent="0.3">
      <c r="A40552" t="s">
        <v>0</v>
      </c>
    </row>
    <row r="40553" spans="1:1" x14ac:dyDescent="0.3">
      <c r="A40553" t="s">
        <v>0</v>
      </c>
    </row>
    <row r="40554" spans="1:1" x14ac:dyDescent="0.3">
      <c r="A40554" t="s">
        <v>0</v>
      </c>
    </row>
    <row r="40555" spans="1:1" x14ac:dyDescent="0.3">
      <c r="A40555" t="s">
        <v>0</v>
      </c>
    </row>
    <row r="40556" spans="1:1" x14ac:dyDescent="0.3">
      <c r="A40556" t="s">
        <v>0</v>
      </c>
    </row>
    <row r="40557" spans="1:1" x14ac:dyDescent="0.3">
      <c r="A40557" t="s">
        <v>0</v>
      </c>
    </row>
    <row r="40558" spans="1:1" x14ac:dyDescent="0.3">
      <c r="A40558" t="s">
        <v>0</v>
      </c>
    </row>
    <row r="40559" spans="1:1" x14ac:dyDescent="0.3">
      <c r="A40559" t="s">
        <v>0</v>
      </c>
    </row>
    <row r="40560" spans="1:1" x14ac:dyDescent="0.3">
      <c r="A40560" t="s">
        <v>0</v>
      </c>
    </row>
    <row r="40561" spans="1:1" x14ac:dyDescent="0.3">
      <c r="A40561" t="s">
        <v>0</v>
      </c>
    </row>
    <row r="40562" spans="1:1" x14ac:dyDescent="0.3">
      <c r="A40562" t="s">
        <v>0</v>
      </c>
    </row>
    <row r="40563" spans="1:1" x14ac:dyDescent="0.3">
      <c r="A40563" t="s">
        <v>0</v>
      </c>
    </row>
    <row r="40564" spans="1:1" x14ac:dyDescent="0.3">
      <c r="A40564" t="s">
        <v>0</v>
      </c>
    </row>
    <row r="40565" spans="1:1" x14ac:dyDescent="0.3">
      <c r="A40565" t="s">
        <v>0</v>
      </c>
    </row>
    <row r="40566" spans="1:1" x14ac:dyDescent="0.3">
      <c r="A40566" t="s">
        <v>0</v>
      </c>
    </row>
    <row r="40567" spans="1:1" x14ac:dyDescent="0.3">
      <c r="A40567" t="s">
        <v>0</v>
      </c>
    </row>
    <row r="40568" spans="1:1" x14ac:dyDescent="0.3">
      <c r="A40568" t="s">
        <v>0</v>
      </c>
    </row>
    <row r="40569" spans="1:1" x14ac:dyDescent="0.3">
      <c r="A40569" t="s">
        <v>0</v>
      </c>
    </row>
    <row r="40570" spans="1:1" x14ac:dyDescent="0.3">
      <c r="A40570" t="s">
        <v>0</v>
      </c>
    </row>
    <row r="40571" spans="1:1" x14ac:dyDescent="0.3">
      <c r="A40571" t="s">
        <v>0</v>
      </c>
    </row>
    <row r="40572" spans="1:1" x14ac:dyDescent="0.3">
      <c r="A40572" t="s">
        <v>0</v>
      </c>
    </row>
    <row r="40573" spans="1:1" x14ac:dyDescent="0.3">
      <c r="A40573" t="s">
        <v>0</v>
      </c>
    </row>
    <row r="40574" spans="1:1" x14ac:dyDescent="0.3">
      <c r="A40574" t="s">
        <v>0</v>
      </c>
    </row>
    <row r="40575" spans="1:1" x14ac:dyDescent="0.3">
      <c r="A40575" t="s">
        <v>0</v>
      </c>
    </row>
    <row r="40576" spans="1:1" x14ac:dyDescent="0.3">
      <c r="A40576" t="s">
        <v>0</v>
      </c>
    </row>
    <row r="40577" spans="1:1" x14ac:dyDescent="0.3">
      <c r="A40577" t="s">
        <v>0</v>
      </c>
    </row>
    <row r="40578" spans="1:1" x14ac:dyDescent="0.3">
      <c r="A40578" t="s">
        <v>0</v>
      </c>
    </row>
    <row r="40579" spans="1:1" x14ac:dyDescent="0.3">
      <c r="A40579" t="s">
        <v>0</v>
      </c>
    </row>
    <row r="40580" spans="1:1" x14ac:dyDescent="0.3">
      <c r="A40580" t="s">
        <v>0</v>
      </c>
    </row>
    <row r="40581" spans="1:1" x14ac:dyDescent="0.3">
      <c r="A40581" t="s">
        <v>0</v>
      </c>
    </row>
    <row r="40582" spans="1:1" x14ac:dyDescent="0.3">
      <c r="A40582" t="s">
        <v>0</v>
      </c>
    </row>
    <row r="40583" spans="1:1" x14ac:dyDescent="0.3">
      <c r="A40583" t="s">
        <v>0</v>
      </c>
    </row>
    <row r="40584" spans="1:1" x14ac:dyDescent="0.3">
      <c r="A40584" t="s">
        <v>0</v>
      </c>
    </row>
    <row r="40585" spans="1:1" x14ac:dyDescent="0.3">
      <c r="A40585" t="s">
        <v>0</v>
      </c>
    </row>
    <row r="40586" spans="1:1" x14ac:dyDescent="0.3">
      <c r="A40586" t="s">
        <v>0</v>
      </c>
    </row>
    <row r="40587" spans="1:1" x14ac:dyDescent="0.3">
      <c r="A40587" t="s">
        <v>0</v>
      </c>
    </row>
    <row r="40588" spans="1:1" x14ac:dyDescent="0.3">
      <c r="A40588" t="s">
        <v>0</v>
      </c>
    </row>
    <row r="40589" spans="1:1" x14ac:dyDescent="0.3">
      <c r="A40589" t="s">
        <v>0</v>
      </c>
    </row>
    <row r="40590" spans="1:1" x14ac:dyDescent="0.3">
      <c r="A40590" t="s">
        <v>0</v>
      </c>
    </row>
    <row r="40591" spans="1:1" x14ac:dyDescent="0.3">
      <c r="A40591" t="s">
        <v>0</v>
      </c>
    </row>
    <row r="40592" spans="1:1" x14ac:dyDescent="0.3">
      <c r="A40592" t="s">
        <v>0</v>
      </c>
    </row>
    <row r="40593" spans="1:1" x14ac:dyDescent="0.3">
      <c r="A40593" t="s">
        <v>0</v>
      </c>
    </row>
    <row r="40594" spans="1:1" x14ac:dyDescent="0.3">
      <c r="A40594" t="s">
        <v>0</v>
      </c>
    </row>
    <row r="40595" spans="1:1" x14ac:dyDescent="0.3">
      <c r="A40595" t="s">
        <v>0</v>
      </c>
    </row>
    <row r="40596" spans="1:1" x14ac:dyDescent="0.3">
      <c r="A40596" t="s">
        <v>0</v>
      </c>
    </row>
    <row r="40597" spans="1:1" x14ac:dyDescent="0.3">
      <c r="A40597" t="s">
        <v>0</v>
      </c>
    </row>
    <row r="40598" spans="1:1" x14ac:dyDescent="0.3">
      <c r="A40598" t="s">
        <v>0</v>
      </c>
    </row>
    <row r="40599" spans="1:1" x14ac:dyDescent="0.3">
      <c r="A40599" t="s">
        <v>0</v>
      </c>
    </row>
    <row r="40600" spans="1:1" x14ac:dyDescent="0.3">
      <c r="A40600" t="s">
        <v>0</v>
      </c>
    </row>
    <row r="40601" spans="1:1" x14ac:dyDescent="0.3">
      <c r="A40601" t="s">
        <v>0</v>
      </c>
    </row>
    <row r="40602" spans="1:1" x14ac:dyDescent="0.3">
      <c r="A40602" t="s">
        <v>0</v>
      </c>
    </row>
    <row r="40603" spans="1:1" x14ac:dyDescent="0.3">
      <c r="A40603" t="s">
        <v>0</v>
      </c>
    </row>
    <row r="40604" spans="1:1" x14ac:dyDescent="0.3">
      <c r="A40604" t="s">
        <v>0</v>
      </c>
    </row>
    <row r="40605" spans="1:1" x14ac:dyDescent="0.3">
      <c r="A40605" t="s">
        <v>0</v>
      </c>
    </row>
    <row r="40606" spans="1:1" x14ac:dyDescent="0.3">
      <c r="A40606" t="s">
        <v>0</v>
      </c>
    </row>
    <row r="40607" spans="1:1" x14ac:dyDescent="0.3">
      <c r="A40607" t="s">
        <v>0</v>
      </c>
    </row>
    <row r="40608" spans="1:1" x14ac:dyDescent="0.3">
      <c r="A40608" t="s">
        <v>0</v>
      </c>
    </row>
    <row r="40609" spans="1:1" x14ac:dyDescent="0.3">
      <c r="A40609" t="s">
        <v>0</v>
      </c>
    </row>
    <row r="40610" spans="1:1" x14ac:dyDescent="0.3">
      <c r="A40610" t="s">
        <v>0</v>
      </c>
    </row>
    <row r="40611" spans="1:1" x14ac:dyDescent="0.3">
      <c r="A40611" t="s">
        <v>0</v>
      </c>
    </row>
    <row r="40612" spans="1:1" x14ac:dyDescent="0.3">
      <c r="A40612" t="s">
        <v>0</v>
      </c>
    </row>
    <row r="40613" spans="1:1" x14ac:dyDescent="0.3">
      <c r="A40613" t="s">
        <v>0</v>
      </c>
    </row>
    <row r="40614" spans="1:1" x14ac:dyDescent="0.3">
      <c r="A40614" t="s">
        <v>0</v>
      </c>
    </row>
    <row r="40615" spans="1:1" x14ac:dyDescent="0.3">
      <c r="A40615" t="s">
        <v>0</v>
      </c>
    </row>
    <row r="40616" spans="1:1" x14ac:dyDescent="0.3">
      <c r="A40616" t="s">
        <v>0</v>
      </c>
    </row>
    <row r="40617" spans="1:1" x14ac:dyDescent="0.3">
      <c r="A40617" t="s">
        <v>0</v>
      </c>
    </row>
    <row r="40618" spans="1:1" x14ac:dyDescent="0.3">
      <c r="A40618" t="s">
        <v>0</v>
      </c>
    </row>
    <row r="40619" spans="1:1" x14ac:dyDescent="0.3">
      <c r="A40619" t="s">
        <v>0</v>
      </c>
    </row>
    <row r="40620" spans="1:1" x14ac:dyDescent="0.3">
      <c r="A40620" t="s">
        <v>0</v>
      </c>
    </row>
    <row r="40621" spans="1:1" x14ac:dyDescent="0.3">
      <c r="A40621" t="s">
        <v>0</v>
      </c>
    </row>
    <row r="40622" spans="1:1" x14ac:dyDescent="0.3">
      <c r="A40622" t="s">
        <v>0</v>
      </c>
    </row>
    <row r="40623" spans="1:1" x14ac:dyDescent="0.3">
      <c r="A40623" t="s">
        <v>0</v>
      </c>
    </row>
    <row r="40624" spans="1:1" x14ac:dyDescent="0.3">
      <c r="A40624" t="s">
        <v>0</v>
      </c>
    </row>
    <row r="40625" spans="1:1" x14ac:dyDescent="0.3">
      <c r="A40625" t="s">
        <v>0</v>
      </c>
    </row>
    <row r="40626" spans="1:1" x14ac:dyDescent="0.3">
      <c r="A40626" t="s">
        <v>0</v>
      </c>
    </row>
    <row r="40627" spans="1:1" x14ac:dyDescent="0.3">
      <c r="A40627" t="s">
        <v>0</v>
      </c>
    </row>
    <row r="40628" spans="1:1" x14ac:dyDescent="0.3">
      <c r="A40628" t="s">
        <v>0</v>
      </c>
    </row>
    <row r="40629" spans="1:1" x14ac:dyDescent="0.3">
      <c r="A40629" t="s">
        <v>0</v>
      </c>
    </row>
    <row r="40630" spans="1:1" x14ac:dyDescent="0.3">
      <c r="A40630" t="s">
        <v>0</v>
      </c>
    </row>
    <row r="40631" spans="1:1" x14ac:dyDescent="0.3">
      <c r="A40631" t="s">
        <v>0</v>
      </c>
    </row>
    <row r="40632" spans="1:1" x14ac:dyDescent="0.3">
      <c r="A40632" t="s">
        <v>0</v>
      </c>
    </row>
    <row r="40633" spans="1:1" x14ac:dyDescent="0.3">
      <c r="A40633" t="s">
        <v>0</v>
      </c>
    </row>
    <row r="40634" spans="1:1" x14ac:dyDescent="0.3">
      <c r="A40634" t="s">
        <v>0</v>
      </c>
    </row>
    <row r="40635" spans="1:1" x14ac:dyDescent="0.3">
      <c r="A40635" t="s">
        <v>0</v>
      </c>
    </row>
    <row r="40636" spans="1:1" x14ac:dyDescent="0.3">
      <c r="A40636" t="s">
        <v>0</v>
      </c>
    </row>
    <row r="40637" spans="1:1" x14ac:dyDescent="0.3">
      <c r="A40637" t="s">
        <v>0</v>
      </c>
    </row>
    <row r="40638" spans="1:1" x14ac:dyDescent="0.3">
      <c r="A40638" t="s">
        <v>0</v>
      </c>
    </row>
    <row r="40639" spans="1:1" x14ac:dyDescent="0.3">
      <c r="A40639" t="s">
        <v>0</v>
      </c>
    </row>
    <row r="40640" spans="1:1" x14ac:dyDescent="0.3">
      <c r="A40640" t="s">
        <v>0</v>
      </c>
    </row>
    <row r="40641" spans="1:1" x14ac:dyDescent="0.3">
      <c r="A40641" t="s">
        <v>0</v>
      </c>
    </row>
    <row r="40642" spans="1:1" x14ac:dyDescent="0.3">
      <c r="A40642" t="s">
        <v>0</v>
      </c>
    </row>
    <row r="40643" spans="1:1" x14ac:dyDescent="0.3">
      <c r="A40643" t="s">
        <v>0</v>
      </c>
    </row>
    <row r="40644" spans="1:1" x14ac:dyDescent="0.3">
      <c r="A40644" t="s">
        <v>0</v>
      </c>
    </row>
    <row r="40645" spans="1:1" x14ac:dyDescent="0.3">
      <c r="A40645" t="s">
        <v>0</v>
      </c>
    </row>
    <row r="40646" spans="1:1" x14ac:dyDescent="0.3">
      <c r="A40646" t="s">
        <v>0</v>
      </c>
    </row>
    <row r="40647" spans="1:1" x14ac:dyDescent="0.3">
      <c r="A40647" t="s">
        <v>0</v>
      </c>
    </row>
    <row r="40648" spans="1:1" x14ac:dyDescent="0.3">
      <c r="A40648" t="s">
        <v>0</v>
      </c>
    </row>
    <row r="40649" spans="1:1" x14ac:dyDescent="0.3">
      <c r="A40649" t="s">
        <v>0</v>
      </c>
    </row>
    <row r="40650" spans="1:1" x14ac:dyDescent="0.3">
      <c r="A40650" t="s">
        <v>0</v>
      </c>
    </row>
    <row r="40651" spans="1:1" x14ac:dyDescent="0.3">
      <c r="A40651" t="s">
        <v>0</v>
      </c>
    </row>
    <row r="40652" spans="1:1" x14ac:dyDescent="0.3">
      <c r="A40652" t="s">
        <v>0</v>
      </c>
    </row>
    <row r="40653" spans="1:1" x14ac:dyDescent="0.3">
      <c r="A40653" t="s">
        <v>0</v>
      </c>
    </row>
    <row r="40654" spans="1:1" x14ac:dyDescent="0.3">
      <c r="A40654" t="s">
        <v>0</v>
      </c>
    </row>
    <row r="40655" spans="1:1" x14ac:dyDescent="0.3">
      <c r="A40655" t="s">
        <v>0</v>
      </c>
    </row>
    <row r="40656" spans="1:1" x14ac:dyDescent="0.3">
      <c r="A40656" t="s">
        <v>0</v>
      </c>
    </row>
    <row r="40657" spans="1:1" x14ac:dyDescent="0.3">
      <c r="A40657" t="s">
        <v>0</v>
      </c>
    </row>
    <row r="40658" spans="1:1" x14ac:dyDescent="0.3">
      <c r="A40658" t="s">
        <v>0</v>
      </c>
    </row>
    <row r="40659" spans="1:1" x14ac:dyDescent="0.3">
      <c r="A40659" t="s">
        <v>0</v>
      </c>
    </row>
    <row r="40660" spans="1:1" x14ac:dyDescent="0.3">
      <c r="A40660" t="s">
        <v>0</v>
      </c>
    </row>
    <row r="40661" spans="1:1" x14ac:dyDescent="0.3">
      <c r="A40661" t="s">
        <v>0</v>
      </c>
    </row>
    <row r="40662" spans="1:1" x14ac:dyDescent="0.3">
      <c r="A40662" t="s">
        <v>0</v>
      </c>
    </row>
    <row r="40663" spans="1:1" x14ac:dyDescent="0.3">
      <c r="A40663" t="s">
        <v>0</v>
      </c>
    </row>
    <row r="40664" spans="1:1" x14ac:dyDescent="0.3">
      <c r="A40664" t="s">
        <v>0</v>
      </c>
    </row>
    <row r="40665" spans="1:1" x14ac:dyDescent="0.3">
      <c r="A40665" t="s">
        <v>0</v>
      </c>
    </row>
    <row r="40666" spans="1:1" x14ac:dyDescent="0.3">
      <c r="A40666" t="s">
        <v>0</v>
      </c>
    </row>
    <row r="40667" spans="1:1" x14ac:dyDescent="0.3">
      <c r="A40667" t="s">
        <v>0</v>
      </c>
    </row>
    <row r="40668" spans="1:1" x14ac:dyDescent="0.3">
      <c r="A40668" t="s">
        <v>0</v>
      </c>
    </row>
    <row r="40669" spans="1:1" x14ac:dyDescent="0.3">
      <c r="A40669" t="s">
        <v>0</v>
      </c>
    </row>
    <row r="40670" spans="1:1" x14ac:dyDescent="0.3">
      <c r="A40670" t="s">
        <v>0</v>
      </c>
    </row>
    <row r="40671" spans="1:1" x14ac:dyDescent="0.3">
      <c r="A40671" t="s">
        <v>0</v>
      </c>
    </row>
    <row r="40672" spans="1:1" x14ac:dyDescent="0.3">
      <c r="A40672" t="s">
        <v>0</v>
      </c>
    </row>
    <row r="40673" spans="1:1" x14ac:dyDescent="0.3">
      <c r="A40673" t="s">
        <v>0</v>
      </c>
    </row>
    <row r="40674" spans="1:1" x14ac:dyDescent="0.3">
      <c r="A40674" t="s">
        <v>0</v>
      </c>
    </row>
    <row r="40675" spans="1:1" x14ac:dyDescent="0.3">
      <c r="A40675" t="s">
        <v>0</v>
      </c>
    </row>
    <row r="40676" spans="1:1" x14ac:dyDescent="0.3">
      <c r="A40676" t="s">
        <v>0</v>
      </c>
    </row>
    <row r="40677" spans="1:1" x14ac:dyDescent="0.3">
      <c r="A40677" t="s">
        <v>0</v>
      </c>
    </row>
    <row r="40678" spans="1:1" x14ac:dyDescent="0.3">
      <c r="A40678" t="s">
        <v>0</v>
      </c>
    </row>
    <row r="40679" spans="1:1" x14ac:dyDescent="0.3">
      <c r="A40679" t="s">
        <v>0</v>
      </c>
    </row>
    <row r="40680" spans="1:1" x14ac:dyDescent="0.3">
      <c r="A40680" t="s">
        <v>0</v>
      </c>
    </row>
    <row r="40681" spans="1:1" x14ac:dyDescent="0.3">
      <c r="A40681" t="s">
        <v>0</v>
      </c>
    </row>
    <row r="40682" spans="1:1" x14ac:dyDescent="0.3">
      <c r="A40682" t="s">
        <v>0</v>
      </c>
    </row>
    <row r="40683" spans="1:1" x14ac:dyDescent="0.3">
      <c r="A40683" t="s">
        <v>0</v>
      </c>
    </row>
    <row r="40684" spans="1:1" x14ac:dyDescent="0.3">
      <c r="A40684" t="s">
        <v>0</v>
      </c>
    </row>
    <row r="40685" spans="1:1" x14ac:dyDescent="0.3">
      <c r="A40685" t="s">
        <v>0</v>
      </c>
    </row>
    <row r="40686" spans="1:1" x14ac:dyDescent="0.3">
      <c r="A40686" t="s">
        <v>0</v>
      </c>
    </row>
    <row r="40687" spans="1:1" x14ac:dyDescent="0.3">
      <c r="A40687" t="s">
        <v>0</v>
      </c>
    </row>
    <row r="40688" spans="1:1" x14ac:dyDescent="0.3">
      <c r="A40688" t="s">
        <v>0</v>
      </c>
    </row>
    <row r="40689" spans="1:1" x14ac:dyDescent="0.3">
      <c r="A40689" t="s">
        <v>0</v>
      </c>
    </row>
    <row r="40690" spans="1:1" x14ac:dyDescent="0.3">
      <c r="A40690" t="s">
        <v>0</v>
      </c>
    </row>
    <row r="40691" spans="1:1" x14ac:dyDescent="0.3">
      <c r="A40691" t="s">
        <v>0</v>
      </c>
    </row>
    <row r="40692" spans="1:1" x14ac:dyDescent="0.3">
      <c r="A40692" t="s">
        <v>0</v>
      </c>
    </row>
    <row r="40693" spans="1:1" x14ac:dyDescent="0.3">
      <c r="A40693" t="s">
        <v>0</v>
      </c>
    </row>
    <row r="40694" spans="1:1" x14ac:dyDescent="0.3">
      <c r="A40694" t="s">
        <v>0</v>
      </c>
    </row>
    <row r="40695" spans="1:1" x14ac:dyDescent="0.3">
      <c r="A40695" t="s">
        <v>0</v>
      </c>
    </row>
    <row r="40696" spans="1:1" x14ac:dyDescent="0.3">
      <c r="A40696" t="s">
        <v>0</v>
      </c>
    </row>
    <row r="40697" spans="1:1" x14ac:dyDescent="0.3">
      <c r="A40697" t="s">
        <v>0</v>
      </c>
    </row>
    <row r="40698" spans="1:1" x14ac:dyDescent="0.3">
      <c r="A40698" t="s">
        <v>0</v>
      </c>
    </row>
    <row r="40699" spans="1:1" x14ac:dyDescent="0.3">
      <c r="A40699" t="s">
        <v>0</v>
      </c>
    </row>
    <row r="40700" spans="1:1" x14ac:dyDescent="0.3">
      <c r="A40700" t="s">
        <v>0</v>
      </c>
    </row>
    <row r="40701" spans="1:1" x14ac:dyDescent="0.3">
      <c r="A40701" t="s">
        <v>0</v>
      </c>
    </row>
    <row r="40702" spans="1:1" x14ac:dyDescent="0.3">
      <c r="A40702" t="s">
        <v>0</v>
      </c>
    </row>
    <row r="40703" spans="1:1" x14ac:dyDescent="0.3">
      <c r="A40703" t="s">
        <v>0</v>
      </c>
    </row>
    <row r="40704" spans="1:1" x14ac:dyDescent="0.3">
      <c r="A40704" t="s">
        <v>0</v>
      </c>
    </row>
    <row r="40705" spans="1:1" x14ac:dyDescent="0.3">
      <c r="A40705" t="s">
        <v>0</v>
      </c>
    </row>
    <row r="40706" spans="1:1" x14ac:dyDescent="0.3">
      <c r="A40706" t="s">
        <v>0</v>
      </c>
    </row>
    <row r="40707" spans="1:1" x14ac:dyDescent="0.3">
      <c r="A40707" t="s">
        <v>0</v>
      </c>
    </row>
    <row r="40708" spans="1:1" x14ac:dyDescent="0.3">
      <c r="A40708" t="s">
        <v>0</v>
      </c>
    </row>
    <row r="40709" spans="1:1" x14ac:dyDescent="0.3">
      <c r="A40709" t="s">
        <v>0</v>
      </c>
    </row>
    <row r="40710" spans="1:1" x14ac:dyDescent="0.3">
      <c r="A40710" t="s">
        <v>0</v>
      </c>
    </row>
    <row r="40711" spans="1:1" x14ac:dyDescent="0.3">
      <c r="A40711" t="s">
        <v>0</v>
      </c>
    </row>
    <row r="40712" spans="1:1" x14ac:dyDescent="0.3">
      <c r="A40712" t="s">
        <v>0</v>
      </c>
    </row>
    <row r="40713" spans="1:1" x14ac:dyDescent="0.3">
      <c r="A40713" t="s">
        <v>0</v>
      </c>
    </row>
    <row r="40714" spans="1:1" x14ac:dyDescent="0.3">
      <c r="A40714" t="s">
        <v>0</v>
      </c>
    </row>
    <row r="40715" spans="1:1" x14ac:dyDescent="0.3">
      <c r="A40715" t="s">
        <v>0</v>
      </c>
    </row>
    <row r="40716" spans="1:1" x14ac:dyDescent="0.3">
      <c r="A40716" t="s">
        <v>0</v>
      </c>
    </row>
    <row r="40717" spans="1:1" x14ac:dyDescent="0.3">
      <c r="A40717" t="s">
        <v>0</v>
      </c>
    </row>
    <row r="40718" spans="1:1" x14ac:dyDescent="0.3">
      <c r="A40718" t="s">
        <v>0</v>
      </c>
    </row>
    <row r="40719" spans="1:1" x14ac:dyDescent="0.3">
      <c r="A40719" t="s">
        <v>0</v>
      </c>
    </row>
    <row r="40720" spans="1:1" x14ac:dyDescent="0.3">
      <c r="A40720" t="s">
        <v>0</v>
      </c>
    </row>
    <row r="40721" spans="1:1" x14ac:dyDescent="0.3">
      <c r="A40721" t="s">
        <v>0</v>
      </c>
    </row>
    <row r="40722" spans="1:1" x14ac:dyDescent="0.3">
      <c r="A40722" t="s">
        <v>0</v>
      </c>
    </row>
    <row r="40723" spans="1:1" x14ac:dyDescent="0.3">
      <c r="A40723" t="s">
        <v>0</v>
      </c>
    </row>
    <row r="40724" spans="1:1" x14ac:dyDescent="0.3">
      <c r="A40724" t="s">
        <v>0</v>
      </c>
    </row>
    <row r="40725" spans="1:1" x14ac:dyDescent="0.3">
      <c r="A40725" t="s">
        <v>0</v>
      </c>
    </row>
    <row r="40726" spans="1:1" x14ac:dyDescent="0.3">
      <c r="A40726" t="s">
        <v>0</v>
      </c>
    </row>
    <row r="40727" spans="1:1" x14ac:dyDescent="0.3">
      <c r="A40727" t="s">
        <v>0</v>
      </c>
    </row>
    <row r="40728" spans="1:1" x14ac:dyDescent="0.3">
      <c r="A40728" t="s">
        <v>0</v>
      </c>
    </row>
    <row r="40729" spans="1:1" x14ac:dyDescent="0.3">
      <c r="A40729" t="s">
        <v>0</v>
      </c>
    </row>
    <row r="40730" spans="1:1" x14ac:dyDescent="0.3">
      <c r="A40730" t="s">
        <v>0</v>
      </c>
    </row>
    <row r="40731" spans="1:1" x14ac:dyDescent="0.3">
      <c r="A40731" t="s">
        <v>0</v>
      </c>
    </row>
    <row r="40732" spans="1:1" x14ac:dyDescent="0.3">
      <c r="A40732" t="s">
        <v>0</v>
      </c>
    </row>
    <row r="40733" spans="1:1" x14ac:dyDescent="0.3">
      <c r="A40733" t="s">
        <v>0</v>
      </c>
    </row>
    <row r="40734" spans="1:1" x14ac:dyDescent="0.3">
      <c r="A40734" t="s">
        <v>0</v>
      </c>
    </row>
    <row r="40735" spans="1:1" x14ac:dyDescent="0.3">
      <c r="A40735" t="s">
        <v>0</v>
      </c>
    </row>
    <row r="40736" spans="1:1" x14ac:dyDescent="0.3">
      <c r="A40736" t="s">
        <v>0</v>
      </c>
    </row>
    <row r="40737" spans="1:1" x14ac:dyDescent="0.3">
      <c r="A40737" t="s">
        <v>0</v>
      </c>
    </row>
    <row r="40738" spans="1:1" x14ac:dyDescent="0.3">
      <c r="A40738" t="s">
        <v>0</v>
      </c>
    </row>
    <row r="40739" spans="1:1" x14ac:dyDescent="0.3">
      <c r="A40739" t="s">
        <v>0</v>
      </c>
    </row>
    <row r="40740" spans="1:1" x14ac:dyDescent="0.3">
      <c r="A40740" t="s">
        <v>0</v>
      </c>
    </row>
    <row r="40741" spans="1:1" x14ac:dyDescent="0.3">
      <c r="A40741" t="s">
        <v>0</v>
      </c>
    </row>
    <row r="40742" spans="1:1" x14ac:dyDescent="0.3">
      <c r="A40742" t="s">
        <v>0</v>
      </c>
    </row>
    <row r="40743" spans="1:1" x14ac:dyDescent="0.3">
      <c r="A40743" t="s">
        <v>0</v>
      </c>
    </row>
    <row r="40744" spans="1:1" x14ac:dyDescent="0.3">
      <c r="A40744" t="s">
        <v>0</v>
      </c>
    </row>
    <row r="40745" spans="1:1" x14ac:dyDescent="0.3">
      <c r="A40745" t="s">
        <v>0</v>
      </c>
    </row>
    <row r="40746" spans="1:1" x14ac:dyDescent="0.3">
      <c r="A40746" t="s">
        <v>0</v>
      </c>
    </row>
    <row r="40747" spans="1:1" x14ac:dyDescent="0.3">
      <c r="A40747" t="s">
        <v>0</v>
      </c>
    </row>
    <row r="40748" spans="1:1" x14ac:dyDescent="0.3">
      <c r="A40748" t="s">
        <v>0</v>
      </c>
    </row>
    <row r="40749" spans="1:1" x14ac:dyDescent="0.3">
      <c r="A40749" t="s">
        <v>0</v>
      </c>
    </row>
    <row r="40750" spans="1:1" x14ac:dyDescent="0.3">
      <c r="A40750" t="s">
        <v>0</v>
      </c>
    </row>
    <row r="40751" spans="1:1" x14ac:dyDescent="0.3">
      <c r="A40751" t="s">
        <v>0</v>
      </c>
    </row>
    <row r="40752" spans="1:1" x14ac:dyDescent="0.3">
      <c r="A40752" t="s">
        <v>0</v>
      </c>
    </row>
    <row r="40753" spans="1:1" x14ac:dyDescent="0.3">
      <c r="A40753" t="s">
        <v>0</v>
      </c>
    </row>
    <row r="40754" spans="1:1" x14ac:dyDescent="0.3">
      <c r="A40754" t="s">
        <v>0</v>
      </c>
    </row>
    <row r="40755" spans="1:1" x14ac:dyDescent="0.3">
      <c r="A40755" t="s">
        <v>0</v>
      </c>
    </row>
    <row r="40756" spans="1:1" x14ac:dyDescent="0.3">
      <c r="A40756" t="s">
        <v>0</v>
      </c>
    </row>
    <row r="40757" spans="1:1" x14ac:dyDescent="0.3">
      <c r="A40757" t="s">
        <v>0</v>
      </c>
    </row>
    <row r="40758" spans="1:1" x14ac:dyDescent="0.3">
      <c r="A40758" t="s">
        <v>0</v>
      </c>
    </row>
    <row r="40759" spans="1:1" x14ac:dyDescent="0.3">
      <c r="A40759" t="s">
        <v>0</v>
      </c>
    </row>
    <row r="40760" spans="1:1" x14ac:dyDescent="0.3">
      <c r="A40760" t="s">
        <v>0</v>
      </c>
    </row>
    <row r="40761" spans="1:1" x14ac:dyDescent="0.3">
      <c r="A40761" t="s">
        <v>0</v>
      </c>
    </row>
    <row r="40762" spans="1:1" x14ac:dyDescent="0.3">
      <c r="A40762" t="s">
        <v>0</v>
      </c>
    </row>
    <row r="40763" spans="1:1" x14ac:dyDescent="0.3">
      <c r="A40763" t="s">
        <v>0</v>
      </c>
    </row>
    <row r="40764" spans="1:1" x14ac:dyDescent="0.3">
      <c r="A40764" t="s">
        <v>0</v>
      </c>
    </row>
    <row r="40765" spans="1:1" x14ac:dyDescent="0.3">
      <c r="A40765" t="s">
        <v>0</v>
      </c>
    </row>
    <row r="40766" spans="1:1" x14ac:dyDescent="0.3">
      <c r="A40766" t="s">
        <v>0</v>
      </c>
    </row>
    <row r="40767" spans="1:1" x14ac:dyDescent="0.3">
      <c r="A40767" t="s">
        <v>0</v>
      </c>
    </row>
    <row r="40768" spans="1:1" x14ac:dyDescent="0.3">
      <c r="A40768" t="s">
        <v>0</v>
      </c>
    </row>
    <row r="40769" spans="1:1" x14ac:dyDescent="0.3">
      <c r="A40769" t="s">
        <v>0</v>
      </c>
    </row>
    <row r="40770" spans="1:1" x14ac:dyDescent="0.3">
      <c r="A40770" t="s">
        <v>0</v>
      </c>
    </row>
    <row r="40771" spans="1:1" x14ac:dyDescent="0.3">
      <c r="A40771" t="s">
        <v>0</v>
      </c>
    </row>
    <row r="40772" spans="1:1" x14ac:dyDescent="0.3">
      <c r="A40772" t="s">
        <v>0</v>
      </c>
    </row>
    <row r="40773" spans="1:1" x14ac:dyDescent="0.3">
      <c r="A40773" t="s">
        <v>0</v>
      </c>
    </row>
    <row r="40774" spans="1:1" x14ac:dyDescent="0.3">
      <c r="A40774" t="s">
        <v>0</v>
      </c>
    </row>
    <row r="40775" spans="1:1" x14ac:dyDescent="0.3">
      <c r="A40775" t="s">
        <v>0</v>
      </c>
    </row>
    <row r="40776" spans="1:1" x14ac:dyDescent="0.3">
      <c r="A40776" t="s">
        <v>0</v>
      </c>
    </row>
    <row r="40777" spans="1:1" x14ac:dyDescent="0.3">
      <c r="A40777" t="s">
        <v>0</v>
      </c>
    </row>
    <row r="40778" spans="1:1" x14ac:dyDescent="0.3">
      <c r="A40778" t="s">
        <v>0</v>
      </c>
    </row>
    <row r="40779" spans="1:1" x14ac:dyDescent="0.3">
      <c r="A40779" t="s">
        <v>0</v>
      </c>
    </row>
    <row r="40780" spans="1:1" x14ac:dyDescent="0.3">
      <c r="A40780" t="s">
        <v>0</v>
      </c>
    </row>
    <row r="40781" spans="1:1" x14ac:dyDescent="0.3">
      <c r="A40781" t="s">
        <v>0</v>
      </c>
    </row>
    <row r="40782" spans="1:1" x14ac:dyDescent="0.3">
      <c r="A40782" t="s">
        <v>0</v>
      </c>
    </row>
    <row r="40783" spans="1:1" x14ac:dyDescent="0.3">
      <c r="A40783" t="s">
        <v>0</v>
      </c>
    </row>
    <row r="40784" spans="1:1" x14ac:dyDescent="0.3">
      <c r="A40784" t="s">
        <v>0</v>
      </c>
    </row>
    <row r="40785" spans="1:1" x14ac:dyDescent="0.3">
      <c r="A40785" t="s">
        <v>0</v>
      </c>
    </row>
    <row r="40786" spans="1:1" x14ac:dyDescent="0.3">
      <c r="A40786" t="s">
        <v>0</v>
      </c>
    </row>
    <row r="40787" spans="1:1" x14ac:dyDescent="0.3">
      <c r="A40787" t="s">
        <v>0</v>
      </c>
    </row>
    <row r="40788" spans="1:1" x14ac:dyDescent="0.3">
      <c r="A40788" t="s">
        <v>0</v>
      </c>
    </row>
    <row r="40789" spans="1:1" x14ac:dyDescent="0.3">
      <c r="A40789" t="s">
        <v>0</v>
      </c>
    </row>
    <row r="40790" spans="1:1" x14ac:dyDescent="0.3">
      <c r="A40790" t="s">
        <v>0</v>
      </c>
    </row>
    <row r="40791" spans="1:1" x14ac:dyDescent="0.3">
      <c r="A40791" t="s">
        <v>0</v>
      </c>
    </row>
    <row r="40792" spans="1:1" x14ac:dyDescent="0.3">
      <c r="A40792" t="s">
        <v>0</v>
      </c>
    </row>
    <row r="40793" spans="1:1" x14ac:dyDescent="0.3">
      <c r="A40793" t="s">
        <v>0</v>
      </c>
    </row>
    <row r="40794" spans="1:1" x14ac:dyDescent="0.3">
      <c r="A40794" t="s">
        <v>0</v>
      </c>
    </row>
    <row r="40795" spans="1:1" x14ac:dyDescent="0.3">
      <c r="A40795" t="s">
        <v>0</v>
      </c>
    </row>
    <row r="40796" spans="1:1" x14ac:dyDescent="0.3">
      <c r="A40796" t="s">
        <v>0</v>
      </c>
    </row>
    <row r="40797" spans="1:1" x14ac:dyDescent="0.3">
      <c r="A40797" t="s">
        <v>0</v>
      </c>
    </row>
    <row r="40798" spans="1:1" x14ac:dyDescent="0.3">
      <c r="A40798" t="s">
        <v>0</v>
      </c>
    </row>
    <row r="40799" spans="1:1" x14ac:dyDescent="0.3">
      <c r="A40799" t="s">
        <v>0</v>
      </c>
    </row>
    <row r="40800" spans="1:1" x14ac:dyDescent="0.3">
      <c r="A40800" t="s">
        <v>0</v>
      </c>
    </row>
    <row r="40801" spans="1:1" x14ac:dyDescent="0.3">
      <c r="A40801" t="s">
        <v>0</v>
      </c>
    </row>
    <row r="40802" spans="1:1" x14ac:dyDescent="0.3">
      <c r="A40802" t="s">
        <v>0</v>
      </c>
    </row>
    <row r="40803" spans="1:1" x14ac:dyDescent="0.3">
      <c r="A40803" t="s">
        <v>0</v>
      </c>
    </row>
    <row r="40804" spans="1:1" x14ac:dyDescent="0.3">
      <c r="A40804" t="s">
        <v>0</v>
      </c>
    </row>
    <row r="40805" spans="1:1" x14ac:dyDescent="0.3">
      <c r="A40805" t="s">
        <v>0</v>
      </c>
    </row>
    <row r="40806" spans="1:1" x14ac:dyDescent="0.3">
      <c r="A40806" t="s">
        <v>0</v>
      </c>
    </row>
    <row r="40807" spans="1:1" x14ac:dyDescent="0.3">
      <c r="A40807" t="s">
        <v>0</v>
      </c>
    </row>
    <row r="40808" spans="1:1" x14ac:dyDescent="0.3">
      <c r="A40808" t="s">
        <v>0</v>
      </c>
    </row>
    <row r="40809" spans="1:1" x14ac:dyDescent="0.3">
      <c r="A40809" t="s">
        <v>0</v>
      </c>
    </row>
    <row r="40810" spans="1:1" x14ac:dyDescent="0.3">
      <c r="A40810" t="s">
        <v>0</v>
      </c>
    </row>
    <row r="40811" spans="1:1" x14ac:dyDescent="0.3">
      <c r="A40811" t="s">
        <v>0</v>
      </c>
    </row>
    <row r="40812" spans="1:1" x14ac:dyDescent="0.3">
      <c r="A40812" t="s">
        <v>0</v>
      </c>
    </row>
    <row r="40813" spans="1:1" x14ac:dyDescent="0.3">
      <c r="A40813" t="s">
        <v>0</v>
      </c>
    </row>
    <row r="40814" spans="1:1" x14ac:dyDescent="0.3">
      <c r="A40814" t="s">
        <v>0</v>
      </c>
    </row>
    <row r="40815" spans="1:1" x14ac:dyDescent="0.3">
      <c r="A40815" t="s">
        <v>0</v>
      </c>
    </row>
    <row r="40816" spans="1:1" x14ac:dyDescent="0.3">
      <c r="A40816" t="s">
        <v>0</v>
      </c>
    </row>
    <row r="40817" spans="1:1" x14ac:dyDescent="0.3">
      <c r="A40817" t="s">
        <v>0</v>
      </c>
    </row>
    <row r="40818" spans="1:1" x14ac:dyDescent="0.3">
      <c r="A40818" t="s">
        <v>0</v>
      </c>
    </row>
    <row r="40819" spans="1:1" x14ac:dyDescent="0.3">
      <c r="A40819" t="s">
        <v>0</v>
      </c>
    </row>
    <row r="40820" spans="1:1" x14ac:dyDescent="0.3">
      <c r="A40820" t="s">
        <v>0</v>
      </c>
    </row>
    <row r="40821" spans="1:1" x14ac:dyDescent="0.3">
      <c r="A40821" t="s">
        <v>0</v>
      </c>
    </row>
    <row r="40822" spans="1:1" x14ac:dyDescent="0.3">
      <c r="A40822" t="s">
        <v>0</v>
      </c>
    </row>
    <row r="40823" spans="1:1" x14ac:dyDescent="0.3">
      <c r="A40823" t="s">
        <v>0</v>
      </c>
    </row>
    <row r="40824" spans="1:1" x14ac:dyDescent="0.3">
      <c r="A40824" t="s">
        <v>0</v>
      </c>
    </row>
    <row r="40825" spans="1:1" x14ac:dyDescent="0.3">
      <c r="A40825" t="s">
        <v>0</v>
      </c>
    </row>
    <row r="40826" spans="1:1" x14ac:dyDescent="0.3">
      <c r="A40826" t="s">
        <v>0</v>
      </c>
    </row>
    <row r="40827" spans="1:1" x14ac:dyDescent="0.3">
      <c r="A40827" t="s">
        <v>0</v>
      </c>
    </row>
    <row r="40828" spans="1:1" x14ac:dyDescent="0.3">
      <c r="A40828" t="s">
        <v>0</v>
      </c>
    </row>
    <row r="40829" spans="1:1" x14ac:dyDescent="0.3">
      <c r="A40829" t="s">
        <v>0</v>
      </c>
    </row>
    <row r="40830" spans="1:1" x14ac:dyDescent="0.3">
      <c r="A40830" t="s">
        <v>0</v>
      </c>
    </row>
    <row r="40831" spans="1:1" x14ac:dyDescent="0.3">
      <c r="A40831" t="s">
        <v>0</v>
      </c>
    </row>
    <row r="40832" spans="1:1" x14ac:dyDescent="0.3">
      <c r="A40832" t="s">
        <v>0</v>
      </c>
    </row>
    <row r="40833" spans="1:1" x14ac:dyDescent="0.3">
      <c r="A40833" t="s">
        <v>0</v>
      </c>
    </row>
    <row r="40834" spans="1:1" x14ac:dyDescent="0.3">
      <c r="A40834" t="s">
        <v>0</v>
      </c>
    </row>
    <row r="40835" spans="1:1" x14ac:dyDescent="0.3">
      <c r="A40835" t="s">
        <v>0</v>
      </c>
    </row>
    <row r="40836" spans="1:1" x14ac:dyDescent="0.3">
      <c r="A40836" t="s">
        <v>0</v>
      </c>
    </row>
    <row r="40837" spans="1:1" x14ac:dyDescent="0.3">
      <c r="A40837" t="s">
        <v>0</v>
      </c>
    </row>
    <row r="40838" spans="1:1" x14ac:dyDescent="0.3">
      <c r="A40838" t="s">
        <v>0</v>
      </c>
    </row>
    <row r="40839" spans="1:1" x14ac:dyDescent="0.3">
      <c r="A40839" t="s">
        <v>0</v>
      </c>
    </row>
    <row r="40840" spans="1:1" x14ac:dyDescent="0.3">
      <c r="A40840" t="s">
        <v>0</v>
      </c>
    </row>
    <row r="40841" spans="1:1" x14ac:dyDescent="0.3">
      <c r="A40841" t="s">
        <v>0</v>
      </c>
    </row>
    <row r="40842" spans="1:1" x14ac:dyDescent="0.3">
      <c r="A40842" t="s">
        <v>0</v>
      </c>
    </row>
    <row r="40843" spans="1:1" x14ac:dyDescent="0.3">
      <c r="A40843" t="s">
        <v>0</v>
      </c>
    </row>
    <row r="40844" spans="1:1" x14ac:dyDescent="0.3">
      <c r="A40844" t="s">
        <v>0</v>
      </c>
    </row>
    <row r="40845" spans="1:1" x14ac:dyDescent="0.3">
      <c r="A40845" t="s">
        <v>0</v>
      </c>
    </row>
    <row r="40846" spans="1:1" x14ac:dyDescent="0.3">
      <c r="A40846" t="s">
        <v>0</v>
      </c>
    </row>
    <row r="40847" spans="1:1" x14ac:dyDescent="0.3">
      <c r="A40847" t="s">
        <v>0</v>
      </c>
    </row>
    <row r="40848" spans="1:1" x14ac:dyDescent="0.3">
      <c r="A40848" t="s">
        <v>0</v>
      </c>
    </row>
    <row r="40849" spans="1:1" x14ac:dyDescent="0.3">
      <c r="A40849" t="s">
        <v>0</v>
      </c>
    </row>
    <row r="40850" spans="1:1" x14ac:dyDescent="0.3">
      <c r="A40850" t="s">
        <v>0</v>
      </c>
    </row>
    <row r="40851" spans="1:1" x14ac:dyDescent="0.3">
      <c r="A40851" t="s">
        <v>0</v>
      </c>
    </row>
    <row r="40852" spans="1:1" x14ac:dyDescent="0.3">
      <c r="A40852" t="s">
        <v>0</v>
      </c>
    </row>
    <row r="40853" spans="1:1" x14ac:dyDescent="0.3">
      <c r="A40853" t="s">
        <v>0</v>
      </c>
    </row>
    <row r="40854" spans="1:1" x14ac:dyDescent="0.3">
      <c r="A40854" t="s">
        <v>0</v>
      </c>
    </row>
    <row r="40855" spans="1:1" x14ac:dyDescent="0.3">
      <c r="A40855" t="s">
        <v>0</v>
      </c>
    </row>
    <row r="40856" spans="1:1" x14ac:dyDescent="0.3">
      <c r="A40856" t="s">
        <v>0</v>
      </c>
    </row>
    <row r="40857" spans="1:1" x14ac:dyDescent="0.3">
      <c r="A40857" t="s">
        <v>0</v>
      </c>
    </row>
    <row r="40858" spans="1:1" x14ac:dyDescent="0.3">
      <c r="A40858" t="s">
        <v>0</v>
      </c>
    </row>
    <row r="40859" spans="1:1" x14ac:dyDescent="0.3">
      <c r="A40859" t="s">
        <v>0</v>
      </c>
    </row>
    <row r="40860" spans="1:1" x14ac:dyDescent="0.3">
      <c r="A40860" t="s">
        <v>0</v>
      </c>
    </row>
    <row r="40861" spans="1:1" x14ac:dyDescent="0.3">
      <c r="A40861" t="s">
        <v>0</v>
      </c>
    </row>
    <row r="40862" spans="1:1" x14ac:dyDescent="0.3">
      <c r="A40862" t="s">
        <v>0</v>
      </c>
    </row>
    <row r="40863" spans="1:1" x14ac:dyDescent="0.3">
      <c r="A40863" t="s">
        <v>0</v>
      </c>
    </row>
    <row r="40864" spans="1:1" x14ac:dyDescent="0.3">
      <c r="A40864" t="s">
        <v>0</v>
      </c>
    </row>
    <row r="40865" spans="1:1" x14ac:dyDescent="0.3">
      <c r="A40865" t="s">
        <v>0</v>
      </c>
    </row>
    <row r="40866" spans="1:1" x14ac:dyDescent="0.3">
      <c r="A40866" t="s">
        <v>0</v>
      </c>
    </row>
    <row r="40867" spans="1:1" x14ac:dyDescent="0.3">
      <c r="A40867" t="s">
        <v>0</v>
      </c>
    </row>
    <row r="40868" spans="1:1" x14ac:dyDescent="0.3">
      <c r="A40868" t="s">
        <v>0</v>
      </c>
    </row>
    <row r="40869" spans="1:1" x14ac:dyDescent="0.3">
      <c r="A40869" t="s">
        <v>0</v>
      </c>
    </row>
    <row r="40870" spans="1:1" x14ac:dyDescent="0.3">
      <c r="A40870" t="s">
        <v>0</v>
      </c>
    </row>
    <row r="40871" spans="1:1" x14ac:dyDescent="0.3">
      <c r="A40871" t="s">
        <v>0</v>
      </c>
    </row>
    <row r="40872" spans="1:1" x14ac:dyDescent="0.3">
      <c r="A40872" t="s">
        <v>0</v>
      </c>
    </row>
    <row r="40873" spans="1:1" x14ac:dyDescent="0.3">
      <c r="A40873" t="s">
        <v>0</v>
      </c>
    </row>
    <row r="40874" spans="1:1" x14ac:dyDescent="0.3">
      <c r="A40874" t="s">
        <v>0</v>
      </c>
    </row>
    <row r="40875" spans="1:1" x14ac:dyDescent="0.3">
      <c r="A40875" t="s">
        <v>0</v>
      </c>
    </row>
    <row r="40876" spans="1:1" x14ac:dyDescent="0.3">
      <c r="A40876" t="s">
        <v>0</v>
      </c>
    </row>
    <row r="40877" spans="1:1" x14ac:dyDescent="0.3">
      <c r="A40877" t="s">
        <v>0</v>
      </c>
    </row>
    <row r="40878" spans="1:1" x14ac:dyDescent="0.3">
      <c r="A40878" t="s">
        <v>0</v>
      </c>
    </row>
    <row r="40879" spans="1:1" x14ac:dyDescent="0.3">
      <c r="A40879" t="s">
        <v>0</v>
      </c>
    </row>
    <row r="40880" spans="1:1" x14ac:dyDescent="0.3">
      <c r="A40880" t="s">
        <v>0</v>
      </c>
    </row>
    <row r="40881" spans="1:1" x14ac:dyDescent="0.3">
      <c r="A40881" t="s">
        <v>0</v>
      </c>
    </row>
    <row r="40882" spans="1:1" x14ac:dyDescent="0.3">
      <c r="A40882" t="s">
        <v>0</v>
      </c>
    </row>
    <row r="40883" spans="1:1" x14ac:dyDescent="0.3">
      <c r="A40883" t="s">
        <v>0</v>
      </c>
    </row>
    <row r="40884" spans="1:1" x14ac:dyDescent="0.3">
      <c r="A40884" t="s">
        <v>0</v>
      </c>
    </row>
    <row r="40885" spans="1:1" x14ac:dyDescent="0.3">
      <c r="A40885" t="s">
        <v>0</v>
      </c>
    </row>
    <row r="40886" spans="1:1" x14ac:dyDescent="0.3">
      <c r="A40886" t="s">
        <v>0</v>
      </c>
    </row>
    <row r="40887" spans="1:1" x14ac:dyDescent="0.3">
      <c r="A40887" t="s">
        <v>0</v>
      </c>
    </row>
    <row r="40888" spans="1:1" x14ac:dyDescent="0.3">
      <c r="A40888" t="s">
        <v>0</v>
      </c>
    </row>
    <row r="40889" spans="1:1" x14ac:dyDescent="0.3">
      <c r="A40889" t="s">
        <v>0</v>
      </c>
    </row>
    <row r="40890" spans="1:1" x14ac:dyDescent="0.3">
      <c r="A40890" t="s">
        <v>0</v>
      </c>
    </row>
    <row r="40891" spans="1:1" x14ac:dyDescent="0.3">
      <c r="A40891" t="s">
        <v>0</v>
      </c>
    </row>
    <row r="40892" spans="1:1" x14ac:dyDescent="0.3">
      <c r="A40892" t="s">
        <v>0</v>
      </c>
    </row>
    <row r="40893" spans="1:1" x14ac:dyDescent="0.3">
      <c r="A40893" t="s">
        <v>0</v>
      </c>
    </row>
    <row r="40894" spans="1:1" x14ac:dyDescent="0.3">
      <c r="A40894" t="s">
        <v>0</v>
      </c>
    </row>
    <row r="40895" spans="1:1" x14ac:dyDescent="0.3">
      <c r="A40895" t="s">
        <v>0</v>
      </c>
    </row>
    <row r="40896" spans="1:1" x14ac:dyDescent="0.3">
      <c r="A40896" t="s">
        <v>0</v>
      </c>
    </row>
    <row r="40897" spans="1:1" x14ac:dyDescent="0.3">
      <c r="A40897" t="s">
        <v>0</v>
      </c>
    </row>
    <row r="40898" spans="1:1" x14ac:dyDescent="0.3">
      <c r="A40898" t="s">
        <v>0</v>
      </c>
    </row>
    <row r="40899" spans="1:1" x14ac:dyDescent="0.3">
      <c r="A40899" t="s">
        <v>0</v>
      </c>
    </row>
    <row r="40900" spans="1:1" x14ac:dyDescent="0.3">
      <c r="A40900" t="s">
        <v>0</v>
      </c>
    </row>
    <row r="40901" spans="1:1" x14ac:dyDescent="0.3">
      <c r="A40901" t="s">
        <v>0</v>
      </c>
    </row>
    <row r="40902" spans="1:1" x14ac:dyDescent="0.3">
      <c r="A40902" t="s">
        <v>0</v>
      </c>
    </row>
    <row r="40903" spans="1:1" x14ac:dyDescent="0.3">
      <c r="A40903" t="s">
        <v>0</v>
      </c>
    </row>
    <row r="40904" spans="1:1" x14ac:dyDescent="0.3">
      <c r="A40904" t="s">
        <v>0</v>
      </c>
    </row>
    <row r="40905" spans="1:1" x14ac:dyDescent="0.3">
      <c r="A40905" t="s">
        <v>0</v>
      </c>
    </row>
    <row r="40906" spans="1:1" x14ac:dyDescent="0.3">
      <c r="A40906" t="s">
        <v>0</v>
      </c>
    </row>
    <row r="40907" spans="1:1" x14ac:dyDescent="0.3">
      <c r="A40907" t="s">
        <v>0</v>
      </c>
    </row>
    <row r="40908" spans="1:1" x14ac:dyDescent="0.3">
      <c r="A40908" t="s">
        <v>0</v>
      </c>
    </row>
    <row r="40909" spans="1:1" x14ac:dyDescent="0.3">
      <c r="A40909" t="s">
        <v>0</v>
      </c>
    </row>
    <row r="40910" spans="1:1" x14ac:dyDescent="0.3">
      <c r="A40910" t="s">
        <v>0</v>
      </c>
    </row>
    <row r="40911" spans="1:1" x14ac:dyDescent="0.3">
      <c r="A40911" t="s">
        <v>0</v>
      </c>
    </row>
    <row r="40912" spans="1:1" x14ac:dyDescent="0.3">
      <c r="A40912" t="s">
        <v>0</v>
      </c>
    </row>
    <row r="40913" spans="1:1" x14ac:dyDescent="0.3">
      <c r="A40913" t="s">
        <v>0</v>
      </c>
    </row>
    <row r="40914" spans="1:1" x14ac:dyDescent="0.3">
      <c r="A40914" t="s">
        <v>0</v>
      </c>
    </row>
    <row r="40915" spans="1:1" x14ac:dyDescent="0.3">
      <c r="A40915" t="s">
        <v>0</v>
      </c>
    </row>
    <row r="40916" spans="1:1" x14ac:dyDescent="0.3">
      <c r="A40916" t="s">
        <v>0</v>
      </c>
    </row>
    <row r="40917" spans="1:1" x14ac:dyDescent="0.3">
      <c r="A40917" t="s">
        <v>0</v>
      </c>
    </row>
    <row r="40918" spans="1:1" x14ac:dyDescent="0.3">
      <c r="A40918" t="s">
        <v>0</v>
      </c>
    </row>
    <row r="40919" spans="1:1" x14ac:dyDescent="0.3">
      <c r="A40919" t="s">
        <v>0</v>
      </c>
    </row>
    <row r="40920" spans="1:1" x14ac:dyDescent="0.3">
      <c r="A40920" t="s">
        <v>0</v>
      </c>
    </row>
    <row r="40921" spans="1:1" x14ac:dyDescent="0.3">
      <c r="A40921" t="s">
        <v>0</v>
      </c>
    </row>
    <row r="40922" spans="1:1" x14ac:dyDescent="0.3">
      <c r="A40922" t="s">
        <v>0</v>
      </c>
    </row>
    <row r="40923" spans="1:1" x14ac:dyDescent="0.3">
      <c r="A40923" t="s">
        <v>0</v>
      </c>
    </row>
    <row r="40924" spans="1:1" x14ac:dyDescent="0.3">
      <c r="A40924" t="s">
        <v>0</v>
      </c>
    </row>
    <row r="40925" spans="1:1" x14ac:dyDescent="0.3">
      <c r="A40925" t="s">
        <v>0</v>
      </c>
    </row>
    <row r="40926" spans="1:1" x14ac:dyDescent="0.3">
      <c r="A40926" t="s">
        <v>0</v>
      </c>
    </row>
    <row r="40927" spans="1:1" x14ac:dyDescent="0.3">
      <c r="A40927" t="s">
        <v>0</v>
      </c>
    </row>
    <row r="40928" spans="1:1" x14ac:dyDescent="0.3">
      <c r="A40928" t="s">
        <v>0</v>
      </c>
    </row>
    <row r="40929" spans="1:1" x14ac:dyDescent="0.3">
      <c r="A40929" t="s">
        <v>0</v>
      </c>
    </row>
    <row r="40930" spans="1:1" x14ac:dyDescent="0.3">
      <c r="A40930" t="s">
        <v>0</v>
      </c>
    </row>
    <row r="40931" spans="1:1" x14ac:dyDescent="0.3">
      <c r="A40931" t="s">
        <v>0</v>
      </c>
    </row>
    <row r="40932" spans="1:1" x14ac:dyDescent="0.3">
      <c r="A40932" t="s">
        <v>0</v>
      </c>
    </row>
    <row r="40933" spans="1:1" x14ac:dyDescent="0.3">
      <c r="A40933" t="s">
        <v>0</v>
      </c>
    </row>
    <row r="40934" spans="1:1" x14ac:dyDescent="0.3">
      <c r="A40934" t="s">
        <v>0</v>
      </c>
    </row>
    <row r="40935" spans="1:1" x14ac:dyDescent="0.3">
      <c r="A40935" t="s">
        <v>0</v>
      </c>
    </row>
    <row r="40936" spans="1:1" x14ac:dyDescent="0.3">
      <c r="A40936" t="s">
        <v>0</v>
      </c>
    </row>
    <row r="40937" spans="1:1" x14ac:dyDescent="0.3">
      <c r="A40937" t="s">
        <v>0</v>
      </c>
    </row>
    <row r="40938" spans="1:1" x14ac:dyDescent="0.3">
      <c r="A40938" t="s">
        <v>0</v>
      </c>
    </row>
    <row r="40939" spans="1:1" x14ac:dyDescent="0.3">
      <c r="A40939" t="s">
        <v>0</v>
      </c>
    </row>
    <row r="40940" spans="1:1" x14ac:dyDescent="0.3">
      <c r="A40940" t="s">
        <v>0</v>
      </c>
    </row>
    <row r="40941" spans="1:1" x14ac:dyDescent="0.3">
      <c r="A40941" t="s">
        <v>0</v>
      </c>
    </row>
    <row r="40942" spans="1:1" x14ac:dyDescent="0.3">
      <c r="A40942" t="s">
        <v>0</v>
      </c>
    </row>
    <row r="40943" spans="1:1" x14ac:dyDescent="0.3">
      <c r="A40943" t="s">
        <v>0</v>
      </c>
    </row>
    <row r="40944" spans="1:1" x14ac:dyDescent="0.3">
      <c r="A40944" t="s">
        <v>0</v>
      </c>
    </row>
    <row r="40945" spans="1:1" x14ac:dyDescent="0.3">
      <c r="A40945" t="s">
        <v>0</v>
      </c>
    </row>
    <row r="40946" spans="1:1" x14ac:dyDescent="0.3">
      <c r="A40946" t="s">
        <v>0</v>
      </c>
    </row>
    <row r="40947" spans="1:1" x14ac:dyDescent="0.3">
      <c r="A40947" t="s">
        <v>0</v>
      </c>
    </row>
    <row r="40948" spans="1:1" x14ac:dyDescent="0.3">
      <c r="A40948" t="s">
        <v>0</v>
      </c>
    </row>
    <row r="40949" spans="1:1" x14ac:dyDescent="0.3">
      <c r="A40949" t="s">
        <v>0</v>
      </c>
    </row>
    <row r="40950" spans="1:1" x14ac:dyDescent="0.3">
      <c r="A40950" t="s">
        <v>0</v>
      </c>
    </row>
    <row r="40951" spans="1:1" x14ac:dyDescent="0.3">
      <c r="A40951" t="s">
        <v>0</v>
      </c>
    </row>
    <row r="40952" spans="1:1" x14ac:dyDescent="0.3">
      <c r="A40952" t="s">
        <v>0</v>
      </c>
    </row>
    <row r="40953" spans="1:1" x14ac:dyDescent="0.3">
      <c r="A40953" t="s">
        <v>0</v>
      </c>
    </row>
    <row r="40954" spans="1:1" x14ac:dyDescent="0.3">
      <c r="A40954" t="s">
        <v>0</v>
      </c>
    </row>
    <row r="40955" spans="1:1" x14ac:dyDescent="0.3">
      <c r="A40955" t="s">
        <v>0</v>
      </c>
    </row>
    <row r="40956" spans="1:1" x14ac:dyDescent="0.3">
      <c r="A40956" t="s">
        <v>0</v>
      </c>
    </row>
    <row r="40957" spans="1:1" x14ac:dyDescent="0.3">
      <c r="A40957" t="s">
        <v>0</v>
      </c>
    </row>
    <row r="40958" spans="1:1" x14ac:dyDescent="0.3">
      <c r="A40958" t="s">
        <v>0</v>
      </c>
    </row>
    <row r="40959" spans="1:1" x14ac:dyDescent="0.3">
      <c r="A40959" t="s">
        <v>0</v>
      </c>
    </row>
    <row r="40960" spans="1:1" x14ac:dyDescent="0.3">
      <c r="A40960" t="s">
        <v>0</v>
      </c>
    </row>
    <row r="40961" spans="1:1" x14ac:dyDescent="0.3">
      <c r="A40961" t="s">
        <v>0</v>
      </c>
    </row>
    <row r="40962" spans="1:1" x14ac:dyDescent="0.3">
      <c r="A40962" t="s">
        <v>0</v>
      </c>
    </row>
    <row r="40963" spans="1:1" x14ac:dyDescent="0.3">
      <c r="A40963" t="s">
        <v>0</v>
      </c>
    </row>
    <row r="40964" spans="1:1" x14ac:dyDescent="0.3">
      <c r="A40964" t="s">
        <v>0</v>
      </c>
    </row>
    <row r="40965" spans="1:1" x14ac:dyDescent="0.3">
      <c r="A40965" t="s">
        <v>0</v>
      </c>
    </row>
    <row r="40966" spans="1:1" x14ac:dyDescent="0.3">
      <c r="A40966" t="s">
        <v>0</v>
      </c>
    </row>
    <row r="40967" spans="1:1" x14ac:dyDescent="0.3">
      <c r="A40967" t="s">
        <v>0</v>
      </c>
    </row>
    <row r="40968" spans="1:1" x14ac:dyDescent="0.3">
      <c r="A40968" t="s">
        <v>0</v>
      </c>
    </row>
    <row r="40969" spans="1:1" x14ac:dyDescent="0.3">
      <c r="A40969" t="s">
        <v>0</v>
      </c>
    </row>
    <row r="40970" spans="1:1" x14ac:dyDescent="0.3">
      <c r="A40970" t="s">
        <v>0</v>
      </c>
    </row>
    <row r="40971" spans="1:1" x14ac:dyDescent="0.3">
      <c r="A40971" t="s">
        <v>0</v>
      </c>
    </row>
    <row r="40972" spans="1:1" x14ac:dyDescent="0.3">
      <c r="A40972" t="s">
        <v>0</v>
      </c>
    </row>
    <row r="40973" spans="1:1" x14ac:dyDescent="0.3">
      <c r="A40973" t="s">
        <v>0</v>
      </c>
    </row>
    <row r="40974" spans="1:1" x14ac:dyDescent="0.3">
      <c r="A40974" t="s">
        <v>0</v>
      </c>
    </row>
    <row r="40975" spans="1:1" x14ac:dyDescent="0.3">
      <c r="A40975" t="s">
        <v>0</v>
      </c>
    </row>
    <row r="40976" spans="1:1" x14ac:dyDescent="0.3">
      <c r="A40976" t="s">
        <v>0</v>
      </c>
    </row>
    <row r="40977" spans="1:1" x14ac:dyDescent="0.3">
      <c r="A40977" t="s">
        <v>0</v>
      </c>
    </row>
    <row r="40978" spans="1:1" x14ac:dyDescent="0.3">
      <c r="A40978" t="s">
        <v>0</v>
      </c>
    </row>
    <row r="40979" spans="1:1" x14ac:dyDescent="0.3">
      <c r="A40979" t="s">
        <v>0</v>
      </c>
    </row>
    <row r="40980" spans="1:1" x14ac:dyDescent="0.3">
      <c r="A40980" t="s">
        <v>0</v>
      </c>
    </row>
    <row r="40981" spans="1:1" x14ac:dyDescent="0.3">
      <c r="A40981" t="s">
        <v>0</v>
      </c>
    </row>
    <row r="40982" spans="1:1" x14ac:dyDescent="0.3">
      <c r="A40982" t="s">
        <v>0</v>
      </c>
    </row>
    <row r="40983" spans="1:1" x14ac:dyDescent="0.3">
      <c r="A40983" t="s">
        <v>0</v>
      </c>
    </row>
    <row r="40984" spans="1:1" x14ac:dyDescent="0.3">
      <c r="A40984" t="s">
        <v>0</v>
      </c>
    </row>
    <row r="40985" spans="1:1" x14ac:dyDescent="0.3">
      <c r="A40985" t="s">
        <v>0</v>
      </c>
    </row>
    <row r="40986" spans="1:1" x14ac:dyDescent="0.3">
      <c r="A40986" t="s">
        <v>0</v>
      </c>
    </row>
    <row r="40987" spans="1:1" x14ac:dyDescent="0.3">
      <c r="A40987" t="s">
        <v>0</v>
      </c>
    </row>
    <row r="40988" spans="1:1" x14ac:dyDescent="0.3">
      <c r="A40988" t="s">
        <v>0</v>
      </c>
    </row>
    <row r="40989" spans="1:1" x14ac:dyDescent="0.3">
      <c r="A40989" t="s">
        <v>0</v>
      </c>
    </row>
    <row r="40990" spans="1:1" x14ac:dyDescent="0.3">
      <c r="A40990" t="s">
        <v>0</v>
      </c>
    </row>
    <row r="40991" spans="1:1" x14ac:dyDescent="0.3">
      <c r="A40991" t="s">
        <v>0</v>
      </c>
    </row>
    <row r="40992" spans="1:1" x14ac:dyDescent="0.3">
      <c r="A40992" t="s">
        <v>0</v>
      </c>
    </row>
    <row r="40993" spans="1:1" x14ac:dyDescent="0.3">
      <c r="A40993" t="s">
        <v>0</v>
      </c>
    </row>
    <row r="40994" spans="1:1" x14ac:dyDescent="0.3">
      <c r="A40994" t="s">
        <v>0</v>
      </c>
    </row>
    <row r="40995" spans="1:1" x14ac:dyDescent="0.3">
      <c r="A40995" t="s">
        <v>0</v>
      </c>
    </row>
    <row r="40996" spans="1:1" x14ac:dyDescent="0.3">
      <c r="A40996" t="s">
        <v>0</v>
      </c>
    </row>
    <row r="40997" spans="1:1" x14ac:dyDescent="0.3">
      <c r="A40997" t="s">
        <v>0</v>
      </c>
    </row>
    <row r="40998" spans="1:1" x14ac:dyDescent="0.3">
      <c r="A40998" t="s">
        <v>0</v>
      </c>
    </row>
    <row r="40999" spans="1:1" x14ac:dyDescent="0.3">
      <c r="A40999" t="s">
        <v>0</v>
      </c>
    </row>
    <row r="41000" spans="1:1" x14ac:dyDescent="0.3">
      <c r="A41000" t="s">
        <v>0</v>
      </c>
    </row>
    <row r="41001" spans="1:1" x14ac:dyDescent="0.3">
      <c r="A41001" t="s">
        <v>0</v>
      </c>
    </row>
    <row r="41002" spans="1:1" x14ac:dyDescent="0.3">
      <c r="A41002" t="s">
        <v>0</v>
      </c>
    </row>
    <row r="41003" spans="1:1" x14ac:dyDescent="0.3">
      <c r="A41003" t="s">
        <v>0</v>
      </c>
    </row>
    <row r="41004" spans="1:1" x14ac:dyDescent="0.3">
      <c r="A41004" t="s">
        <v>0</v>
      </c>
    </row>
    <row r="41005" spans="1:1" x14ac:dyDescent="0.3">
      <c r="A41005" t="s">
        <v>0</v>
      </c>
    </row>
    <row r="41006" spans="1:1" x14ac:dyDescent="0.3">
      <c r="A41006" t="s">
        <v>0</v>
      </c>
    </row>
    <row r="41007" spans="1:1" x14ac:dyDescent="0.3">
      <c r="A41007" t="s">
        <v>0</v>
      </c>
    </row>
    <row r="41008" spans="1:1" x14ac:dyDescent="0.3">
      <c r="A41008" t="s">
        <v>0</v>
      </c>
    </row>
    <row r="41009" spans="1:1" x14ac:dyDescent="0.3">
      <c r="A41009" t="s">
        <v>0</v>
      </c>
    </row>
    <row r="41010" spans="1:1" x14ac:dyDescent="0.3">
      <c r="A41010" t="s">
        <v>0</v>
      </c>
    </row>
    <row r="41011" spans="1:1" x14ac:dyDescent="0.3">
      <c r="A41011" t="s">
        <v>0</v>
      </c>
    </row>
    <row r="41012" spans="1:1" x14ac:dyDescent="0.3">
      <c r="A41012" t="s">
        <v>0</v>
      </c>
    </row>
    <row r="41013" spans="1:1" x14ac:dyDescent="0.3">
      <c r="A41013" t="s">
        <v>0</v>
      </c>
    </row>
    <row r="41014" spans="1:1" x14ac:dyDescent="0.3">
      <c r="A41014" t="s">
        <v>0</v>
      </c>
    </row>
    <row r="41015" spans="1:1" x14ac:dyDescent="0.3">
      <c r="A41015" t="s">
        <v>0</v>
      </c>
    </row>
    <row r="41016" spans="1:1" x14ac:dyDescent="0.3">
      <c r="A41016" t="s">
        <v>0</v>
      </c>
    </row>
    <row r="41017" spans="1:1" x14ac:dyDescent="0.3">
      <c r="A41017" t="s">
        <v>0</v>
      </c>
    </row>
    <row r="41018" spans="1:1" x14ac:dyDescent="0.3">
      <c r="A41018" t="s">
        <v>0</v>
      </c>
    </row>
    <row r="41019" spans="1:1" x14ac:dyDescent="0.3">
      <c r="A41019" t="s">
        <v>0</v>
      </c>
    </row>
    <row r="41020" spans="1:1" x14ac:dyDescent="0.3">
      <c r="A41020" t="s">
        <v>0</v>
      </c>
    </row>
    <row r="41021" spans="1:1" x14ac:dyDescent="0.3">
      <c r="A41021" t="s">
        <v>0</v>
      </c>
    </row>
    <row r="41022" spans="1:1" x14ac:dyDescent="0.3">
      <c r="A41022" t="s">
        <v>0</v>
      </c>
    </row>
    <row r="41023" spans="1:1" x14ac:dyDescent="0.3">
      <c r="A41023" t="s">
        <v>0</v>
      </c>
    </row>
    <row r="41024" spans="1:1" x14ac:dyDescent="0.3">
      <c r="A41024" t="s">
        <v>0</v>
      </c>
    </row>
    <row r="41025" spans="1:1" x14ac:dyDescent="0.3">
      <c r="A41025" t="s">
        <v>0</v>
      </c>
    </row>
    <row r="41026" spans="1:1" x14ac:dyDescent="0.3">
      <c r="A41026" t="s">
        <v>0</v>
      </c>
    </row>
    <row r="41027" spans="1:1" x14ac:dyDescent="0.3">
      <c r="A41027" t="s">
        <v>0</v>
      </c>
    </row>
    <row r="41028" spans="1:1" x14ac:dyDescent="0.3">
      <c r="A41028" t="s">
        <v>0</v>
      </c>
    </row>
    <row r="41029" spans="1:1" x14ac:dyDescent="0.3">
      <c r="A41029" t="s">
        <v>0</v>
      </c>
    </row>
    <row r="41030" spans="1:1" x14ac:dyDescent="0.3">
      <c r="A41030" t="s">
        <v>0</v>
      </c>
    </row>
    <row r="41031" spans="1:1" x14ac:dyDescent="0.3">
      <c r="A41031" t="s">
        <v>0</v>
      </c>
    </row>
    <row r="41032" spans="1:1" x14ac:dyDescent="0.3">
      <c r="A41032" t="s">
        <v>0</v>
      </c>
    </row>
    <row r="41033" spans="1:1" x14ac:dyDescent="0.3">
      <c r="A41033" t="s">
        <v>0</v>
      </c>
    </row>
    <row r="41034" spans="1:1" x14ac:dyDescent="0.3">
      <c r="A41034" t="s">
        <v>0</v>
      </c>
    </row>
    <row r="41035" spans="1:1" x14ac:dyDescent="0.3">
      <c r="A41035" t="s">
        <v>0</v>
      </c>
    </row>
    <row r="41036" spans="1:1" x14ac:dyDescent="0.3">
      <c r="A41036" t="s">
        <v>0</v>
      </c>
    </row>
    <row r="41037" spans="1:1" x14ac:dyDescent="0.3">
      <c r="A41037" t="s">
        <v>0</v>
      </c>
    </row>
    <row r="41038" spans="1:1" x14ac:dyDescent="0.3">
      <c r="A41038" t="s">
        <v>0</v>
      </c>
    </row>
    <row r="41039" spans="1:1" x14ac:dyDescent="0.3">
      <c r="A41039" t="s">
        <v>0</v>
      </c>
    </row>
    <row r="41040" spans="1:1" x14ac:dyDescent="0.3">
      <c r="A41040" t="s">
        <v>0</v>
      </c>
    </row>
    <row r="41041" spans="1:1" x14ac:dyDescent="0.3">
      <c r="A41041" t="s">
        <v>0</v>
      </c>
    </row>
    <row r="41042" spans="1:1" x14ac:dyDescent="0.3">
      <c r="A41042" t="s">
        <v>0</v>
      </c>
    </row>
    <row r="41043" spans="1:1" x14ac:dyDescent="0.3">
      <c r="A41043" t="s">
        <v>0</v>
      </c>
    </row>
    <row r="41044" spans="1:1" x14ac:dyDescent="0.3">
      <c r="A41044" t="s">
        <v>0</v>
      </c>
    </row>
    <row r="41045" spans="1:1" x14ac:dyDescent="0.3">
      <c r="A41045" t="s">
        <v>0</v>
      </c>
    </row>
    <row r="41046" spans="1:1" x14ac:dyDescent="0.3">
      <c r="A41046" t="s">
        <v>0</v>
      </c>
    </row>
    <row r="41047" spans="1:1" x14ac:dyDescent="0.3">
      <c r="A41047" t="s">
        <v>0</v>
      </c>
    </row>
    <row r="41048" spans="1:1" x14ac:dyDescent="0.3">
      <c r="A41048" t="s">
        <v>0</v>
      </c>
    </row>
    <row r="41049" spans="1:1" x14ac:dyDescent="0.3">
      <c r="A41049" t="s">
        <v>0</v>
      </c>
    </row>
    <row r="41050" spans="1:1" x14ac:dyDescent="0.3">
      <c r="A41050" t="s">
        <v>0</v>
      </c>
    </row>
    <row r="41051" spans="1:1" x14ac:dyDescent="0.3">
      <c r="A41051" t="s">
        <v>0</v>
      </c>
    </row>
    <row r="41052" spans="1:1" x14ac:dyDescent="0.3">
      <c r="A41052" t="s">
        <v>0</v>
      </c>
    </row>
    <row r="41053" spans="1:1" x14ac:dyDescent="0.3">
      <c r="A41053" t="s">
        <v>0</v>
      </c>
    </row>
    <row r="41054" spans="1:1" x14ac:dyDescent="0.3">
      <c r="A41054" t="s">
        <v>0</v>
      </c>
    </row>
    <row r="41055" spans="1:1" x14ac:dyDescent="0.3">
      <c r="A41055" t="s">
        <v>0</v>
      </c>
    </row>
    <row r="41056" spans="1:1" x14ac:dyDescent="0.3">
      <c r="A41056" t="s">
        <v>0</v>
      </c>
    </row>
    <row r="41057" spans="1:1" x14ac:dyDescent="0.3">
      <c r="A41057" t="s">
        <v>0</v>
      </c>
    </row>
    <row r="41058" spans="1:1" x14ac:dyDescent="0.3">
      <c r="A41058" t="s">
        <v>0</v>
      </c>
    </row>
    <row r="41059" spans="1:1" x14ac:dyDescent="0.3">
      <c r="A41059" t="s">
        <v>0</v>
      </c>
    </row>
    <row r="41060" spans="1:1" x14ac:dyDescent="0.3">
      <c r="A41060" t="s">
        <v>0</v>
      </c>
    </row>
    <row r="41061" spans="1:1" x14ac:dyDescent="0.3">
      <c r="A41061" t="s">
        <v>0</v>
      </c>
    </row>
    <row r="41062" spans="1:1" x14ac:dyDescent="0.3">
      <c r="A41062" t="s">
        <v>0</v>
      </c>
    </row>
    <row r="41063" spans="1:1" x14ac:dyDescent="0.3">
      <c r="A41063" t="s">
        <v>0</v>
      </c>
    </row>
    <row r="41064" spans="1:1" x14ac:dyDescent="0.3">
      <c r="A41064" t="s">
        <v>0</v>
      </c>
    </row>
    <row r="41065" spans="1:1" x14ac:dyDescent="0.3">
      <c r="A41065" t="s">
        <v>0</v>
      </c>
    </row>
    <row r="41066" spans="1:1" x14ac:dyDescent="0.3">
      <c r="A41066" t="s">
        <v>0</v>
      </c>
    </row>
    <row r="41067" spans="1:1" x14ac:dyDescent="0.3">
      <c r="A41067" t="s">
        <v>0</v>
      </c>
    </row>
    <row r="41068" spans="1:1" x14ac:dyDescent="0.3">
      <c r="A41068" t="s">
        <v>0</v>
      </c>
    </row>
    <row r="41069" spans="1:1" x14ac:dyDescent="0.3">
      <c r="A41069" t="s">
        <v>0</v>
      </c>
    </row>
    <row r="41070" spans="1:1" x14ac:dyDescent="0.3">
      <c r="A41070" t="s">
        <v>0</v>
      </c>
    </row>
    <row r="41071" spans="1:1" x14ac:dyDescent="0.3">
      <c r="A41071" t="s">
        <v>0</v>
      </c>
    </row>
    <row r="41072" spans="1:1" x14ac:dyDescent="0.3">
      <c r="A41072" t="s">
        <v>0</v>
      </c>
    </row>
    <row r="41073" spans="1:1" x14ac:dyDescent="0.3">
      <c r="A41073" t="s">
        <v>0</v>
      </c>
    </row>
    <row r="41074" spans="1:1" x14ac:dyDescent="0.3">
      <c r="A41074" t="s">
        <v>0</v>
      </c>
    </row>
    <row r="41075" spans="1:1" x14ac:dyDescent="0.3">
      <c r="A41075" t="s">
        <v>0</v>
      </c>
    </row>
    <row r="41076" spans="1:1" x14ac:dyDescent="0.3">
      <c r="A41076" t="s">
        <v>0</v>
      </c>
    </row>
    <row r="41077" spans="1:1" x14ac:dyDescent="0.3">
      <c r="A41077" t="s">
        <v>0</v>
      </c>
    </row>
    <row r="41078" spans="1:1" x14ac:dyDescent="0.3">
      <c r="A41078" t="s">
        <v>0</v>
      </c>
    </row>
    <row r="41079" spans="1:1" x14ac:dyDescent="0.3">
      <c r="A41079" t="s">
        <v>0</v>
      </c>
    </row>
    <row r="41080" spans="1:1" x14ac:dyDescent="0.3">
      <c r="A41080" t="s">
        <v>0</v>
      </c>
    </row>
    <row r="41081" spans="1:1" x14ac:dyDescent="0.3">
      <c r="A41081" t="s">
        <v>0</v>
      </c>
    </row>
    <row r="41082" spans="1:1" x14ac:dyDescent="0.3">
      <c r="A41082" t="s">
        <v>0</v>
      </c>
    </row>
    <row r="41083" spans="1:1" x14ac:dyDescent="0.3">
      <c r="A41083" t="s">
        <v>0</v>
      </c>
    </row>
    <row r="41084" spans="1:1" x14ac:dyDescent="0.3">
      <c r="A41084" t="s">
        <v>0</v>
      </c>
    </row>
    <row r="41085" spans="1:1" x14ac:dyDescent="0.3">
      <c r="A41085" t="s">
        <v>0</v>
      </c>
    </row>
    <row r="41086" spans="1:1" x14ac:dyDescent="0.3">
      <c r="A41086" t="s">
        <v>0</v>
      </c>
    </row>
    <row r="41087" spans="1:1" x14ac:dyDescent="0.3">
      <c r="A41087" t="s">
        <v>0</v>
      </c>
    </row>
    <row r="41088" spans="1:1" x14ac:dyDescent="0.3">
      <c r="A41088" t="s">
        <v>0</v>
      </c>
    </row>
    <row r="41089" spans="1:1" x14ac:dyDescent="0.3">
      <c r="A41089" t="s">
        <v>0</v>
      </c>
    </row>
    <row r="41090" spans="1:1" x14ac:dyDescent="0.3">
      <c r="A41090" t="s">
        <v>0</v>
      </c>
    </row>
    <row r="41091" spans="1:1" x14ac:dyDescent="0.3">
      <c r="A41091" t="s">
        <v>0</v>
      </c>
    </row>
    <row r="41092" spans="1:1" x14ac:dyDescent="0.3">
      <c r="A41092" t="s">
        <v>0</v>
      </c>
    </row>
    <row r="41093" spans="1:1" x14ac:dyDescent="0.3">
      <c r="A41093" t="s">
        <v>0</v>
      </c>
    </row>
    <row r="41094" spans="1:1" x14ac:dyDescent="0.3">
      <c r="A41094" t="s">
        <v>0</v>
      </c>
    </row>
    <row r="41095" spans="1:1" x14ac:dyDescent="0.3">
      <c r="A41095" t="s">
        <v>0</v>
      </c>
    </row>
    <row r="41096" spans="1:1" x14ac:dyDescent="0.3">
      <c r="A41096" t="s">
        <v>0</v>
      </c>
    </row>
    <row r="41097" spans="1:1" x14ac:dyDescent="0.3">
      <c r="A41097" t="s">
        <v>0</v>
      </c>
    </row>
    <row r="41098" spans="1:1" x14ac:dyDescent="0.3">
      <c r="A41098" t="s">
        <v>0</v>
      </c>
    </row>
    <row r="41099" spans="1:1" x14ac:dyDescent="0.3">
      <c r="A41099" t="s">
        <v>0</v>
      </c>
    </row>
    <row r="41100" spans="1:1" x14ac:dyDescent="0.3">
      <c r="A41100" t="s">
        <v>0</v>
      </c>
    </row>
    <row r="41101" spans="1:1" x14ac:dyDescent="0.3">
      <c r="A41101" t="s">
        <v>0</v>
      </c>
    </row>
    <row r="41102" spans="1:1" x14ac:dyDescent="0.3">
      <c r="A41102" t="s">
        <v>0</v>
      </c>
    </row>
    <row r="41103" spans="1:1" x14ac:dyDescent="0.3">
      <c r="A41103" t="s">
        <v>0</v>
      </c>
    </row>
    <row r="41104" spans="1:1" x14ac:dyDescent="0.3">
      <c r="A41104" t="s">
        <v>0</v>
      </c>
    </row>
    <row r="41105" spans="1:1" x14ac:dyDescent="0.3">
      <c r="A41105" t="s">
        <v>0</v>
      </c>
    </row>
    <row r="41106" spans="1:1" x14ac:dyDescent="0.3">
      <c r="A41106" t="s">
        <v>0</v>
      </c>
    </row>
    <row r="41107" spans="1:1" x14ac:dyDescent="0.3">
      <c r="A41107" t="s">
        <v>0</v>
      </c>
    </row>
    <row r="41108" spans="1:1" x14ac:dyDescent="0.3">
      <c r="A41108" t="s">
        <v>0</v>
      </c>
    </row>
    <row r="41109" spans="1:1" x14ac:dyDescent="0.3">
      <c r="A41109" t="s">
        <v>0</v>
      </c>
    </row>
    <row r="41110" spans="1:1" x14ac:dyDescent="0.3">
      <c r="A41110" t="s">
        <v>0</v>
      </c>
    </row>
    <row r="41111" spans="1:1" x14ac:dyDescent="0.3">
      <c r="A41111" t="s">
        <v>0</v>
      </c>
    </row>
    <row r="41112" spans="1:1" x14ac:dyDescent="0.3">
      <c r="A41112" t="s">
        <v>0</v>
      </c>
    </row>
    <row r="41113" spans="1:1" x14ac:dyDescent="0.3">
      <c r="A41113" t="s">
        <v>0</v>
      </c>
    </row>
    <row r="41114" spans="1:1" x14ac:dyDescent="0.3">
      <c r="A41114" t="s">
        <v>0</v>
      </c>
    </row>
    <row r="41115" spans="1:1" x14ac:dyDescent="0.3">
      <c r="A41115" t="s">
        <v>0</v>
      </c>
    </row>
    <row r="41116" spans="1:1" x14ac:dyDescent="0.3">
      <c r="A41116" t="s">
        <v>0</v>
      </c>
    </row>
    <row r="41117" spans="1:1" x14ac:dyDescent="0.3">
      <c r="A41117" t="s">
        <v>0</v>
      </c>
    </row>
    <row r="41118" spans="1:1" x14ac:dyDescent="0.3">
      <c r="A41118" t="s">
        <v>0</v>
      </c>
    </row>
    <row r="41119" spans="1:1" x14ac:dyDescent="0.3">
      <c r="A41119" t="s">
        <v>0</v>
      </c>
    </row>
    <row r="41120" spans="1:1" x14ac:dyDescent="0.3">
      <c r="A41120" t="s">
        <v>0</v>
      </c>
    </row>
    <row r="41121" spans="1:1" x14ac:dyDescent="0.3">
      <c r="A41121" t="s">
        <v>0</v>
      </c>
    </row>
    <row r="41122" spans="1:1" x14ac:dyDescent="0.3">
      <c r="A41122" t="s">
        <v>0</v>
      </c>
    </row>
    <row r="41123" spans="1:1" x14ac:dyDescent="0.3">
      <c r="A41123" t="s">
        <v>0</v>
      </c>
    </row>
    <row r="41124" spans="1:1" x14ac:dyDescent="0.3">
      <c r="A41124" t="s">
        <v>0</v>
      </c>
    </row>
    <row r="41125" spans="1:1" x14ac:dyDescent="0.3">
      <c r="A41125" t="s">
        <v>0</v>
      </c>
    </row>
    <row r="41126" spans="1:1" x14ac:dyDescent="0.3">
      <c r="A41126" t="s">
        <v>0</v>
      </c>
    </row>
    <row r="41127" spans="1:1" x14ac:dyDescent="0.3">
      <c r="A41127" t="s">
        <v>0</v>
      </c>
    </row>
    <row r="41128" spans="1:1" x14ac:dyDescent="0.3">
      <c r="A41128" t="s">
        <v>0</v>
      </c>
    </row>
    <row r="41129" spans="1:1" x14ac:dyDescent="0.3">
      <c r="A41129" t="s">
        <v>0</v>
      </c>
    </row>
    <row r="41130" spans="1:1" x14ac:dyDescent="0.3">
      <c r="A41130" t="s">
        <v>0</v>
      </c>
    </row>
    <row r="41131" spans="1:1" x14ac:dyDescent="0.3">
      <c r="A41131" t="s">
        <v>0</v>
      </c>
    </row>
    <row r="41132" spans="1:1" x14ac:dyDescent="0.3">
      <c r="A41132" t="s">
        <v>0</v>
      </c>
    </row>
    <row r="41133" spans="1:1" x14ac:dyDescent="0.3">
      <c r="A41133" t="s">
        <v>0</v>
      </c>
    </row>
    <row r="41134" spans="1:1" x14ac:dyDescent="0.3">
      <c r="A41134" t="s">
        <v>0</v>
      </c>
    </row>
    <row r="41135" spans="1:1" x14ac:dyDescent="0.3">
      <c r="A41135" t="s">
        <v>0</v>
      </c>
    </row>
    <row r="41136" spans="1:1" x14ac:dyDescent="0.3">
      <c r="A41136" t="s">
        <v>0</v>
      </c>
    </row>
    <row r="41137" spans="1:1" x14ac:dyDescent="0.3">
      <c r="A41137" t="s">
        <v>0</v>
      </c>
    </row>
    <row r="41138" spans="1:1" x14ac:dyDescent="0.3">
      <c r="A41138" t="s">
        <v>0</v>
      </c>
    </row>
    <row r="41139" spans="1:1" x14ac:dyDescent="0.3">
      <c r="A41139" t="s">
        <v>0</v>
      </c>
    </row>
    <row r="41140" spans="1:1" x14ac:dyDescent="0.3">
      <c r="A41140" t="s">
        <v>0</v>
      </c>
    </row>
    <row r="41141" spans="1:1" x14ac:dyDescent="0.3">
      <c r="A41141" t="s">
        <v>0</v>
      </c>
    </row>
    <row r="41142" spans="1:1" x14ac:dyDescent="0.3">
      <c r="A41142" t="s">
        <v>0</v>
      </c>
    </row>
    <row r="41143" spans="1:1" x14ac:dyDescent="0.3">
      <c r="A41143" t="s">
        <v>0</v>
      </c>
    </row>
    <row r="41144" spans="1:1" x14ac:dyDescent="0.3">
      <c r="A41144" t="s">
        <v>0</v>
      </c>
    </row>
    <row r="41145" spans="1:1" x14ac:dyDescent="0.3">
      <c r="A41145" t="s">
        <v>0</v>
      </c>
    </row>
    <row r="41146" spans="1:1" x14ac:dyDescent="0.3">
      <c r="A41146" t="s">
        <v>0</v>
      </c>
    </row>
    <row r="41147" spans="1:1" x14ac:dyDescent="0.3">
      <c r="A41147" t="s">
        <v>0</v>
      </c>
    </row>
    <row r="41148" spans="1:1" x14ac:dyDescent="0.3">
      <c r="A41148" t="s">
        <v>0</v>
      </c>
    </row>
    <row r="41149" spans="1:1" x14ac:dyDescent="0.3">
      <c r="A41149" t="s">
        <v>0</v>
      </c>
    </row>
    <row r="41150" spans="1:1" x14ac:dyDescent="0.3">
      <c r="A41150" t="s">
        <v>0</v>
      </c>
    </row>
    <row r="41151" spans="1:1" x14ac:dyDescent="0.3">
      <c r="A41151" t="s">
        <v>0</v>
      </c>
    </row>
    <row r="41152" spans="1:1" x14ac:dyDescent="0.3">
      <c r="A41152" t="s">
        <v>0</v>
      </c>
    </row>
    <row r="41153" spans="1:1" x14ac:dyDescent="0.3">
      <c r="A41153" t="s">
        <v>0</v>
      </c>
    </row>
    <row r="41154" spans="1:1" x14ac:dyDescent="0.3">
      <c r="A41154" t="s">
        <v>0</v>
      </c>
    </row>
    <row r="41155" spans="1:1" x14ac:dyDescent="0.3">
      <c r="A41155" t="s">
        <v>0</v>
      </c>
    </row>
    <row r="41156" spans="1:1" x14ac:dyDescent="0.3">
      <c r="A41156" t="s">
        <v>0</v>
      </c>
    </row>
    <row r="41157" spans="1:1" x14ac:dyDescent="0.3">
      <c r="A41157" t="s">
        <v>0</v>
      </c>
    </row>
    <row r="41158" spans="1:1" x14ac:dyDescent="0.3">
      <c r="A41158" t="s">
        <v>0</v>
      </c>
    </row>
    <row r="41159" spans="1:1" x14ac:dyDescent="0.3">
      <c r="A41159" t="s">
        <v>0</v>
      </c>
    </row>
    <row r="41160" spans="1:1" x14ac:dyDescent="0.3">
      <c r="A41160" t="s">
        <v>0</v>
      </c>
    </row>
    <row r="41161" spans="1:1" x14ac:dyDescent="0.3">
      <c r="A41161" t="s">
        <v>0</v>
      </c>
    </row>
    <row r="41162" spans="1:1" x14ac:dyDescent="0.3">
      <c r="A41162" t="s">
        <v>0</v>
      </c>
    </row>
    <row r="41163" spans="1:1" x14ac:dyDescent="0.3">
      <c r="A41163" t="s">
        <v>0</v>
      </c>
    </row>
    <row r="41164" spans="1:1" x14ac:dyDescent="0.3">
      <c r="A41164" t="s">
        <v>0</v>
      </c>
    </row>
    <row r="41165" spans="1:1" x14ac:dyDescent="0.3">
      <c r="A41165" t="s">
        <v>0</v>
      </c>
    </row>
    <row r="41166" spans="1:1" x14ac:dyDescent="0.3">
      <c r="A41166" t="s">
        <v>0</v>
      </c>
    </row>
    <row r="41167" spans="1:1" x14ac:dyDescent="0.3">
      <c r="A41167" t="s">
        <v>0</v>
      </c>
    </row>
    <row r="41168" spans="1:1" x14ac:dyDescent="0.3">
      <c r="A41168" t="s">
        <v>0</v>
      </c>
    </row>
    <row r="41169" spans="1:1" x14ac:dyDescent="0.3">
      <c r="A41169" t="s">
        <v>0</v>
      </c>
    </row>
    <row r="41170" spans="1:1" x14ac:dyDescent="0.3">
      <c r="A41170" t="s">
        <v>0</v>
      </c>
    </row>
    <row r="41171" spans="1:1" x14ac:dyDescent="0.3">
      <c r="A41171" t="s">
        <v>0</v>
      </c>
    </row>
    <row r="41172" spans="1:1" x14ac:dyDescent="0.3">
      <c r="A41172" t="s">
        <v>0</v>
      </c>
    </row>
    <row r="41173" spans="1:1" x14ac:dyDescent="0.3">
      <c r="A41173" t="s">
        <v>0</v>
      </c>
    </row>
    <row r="41174" spans="1:1" x14ac:dyDescent="0.3">
      <c r="A41174" t="s">
        <v>0</v>
      </c>
    </row>
    <row r="41175" spans="1:1" x14ac:dyDescent="0.3">
      <c r="A41175" t="s">
        <v>0</v>
      </c>
    </row>
    <row r="41176" spans="1:1" x14ac:dyDescent="0.3">
      <c r="A41176" t="s">
        <v>0</v>
      </c>
    </row>
    <row r="41177" spans="1:1" x14ac:dyDescent="0.3">
      <c r="A41177" t="s">
        <v>0</v>
      </c>
    </row>
    <row r="41178" spans="1:1" x14ac:dyDescent="0.3">
      <c r="A41178" t="s">
        <v>0</v>
      </c>
    </row>
    <row r="41179" spans="1:1" x14ac:dyDescent="0.3">
      <c r="A41179" t="s">
        <v>0</v>
      </c>
    </row>
    <row r="41180" spans="1:1" x14ac:dyDescent="0.3">
      <c r="A41180" t="s">
        <v>0</v>
      </c>
    </row>
    <row r="41181" spans="1:1" x14ac:dyDescent="0.3">
      <c r="A41181" t="s">
        <v>0</v>
      </c>
    </row>
    <row r="41182" spans="1:1" x14ac:dyDescent="0.3">
      <c r="A41182" t="s">
        <v>0</v>
      </c>
    </row>
    <row r="41183" spans="1:1" x14ac:dyDescent="0.3">
      <c r="A41183" t="s">
        <v>0</v>
      </c>
    </row>
    <row r="41184" spans="1:1" x14ac:dyDescent="0.3">
      <c r="A41184" t="s">
        <v>0</v>
      </c>
    </row>
    <row r="41185" spans="1:1" x14ac:dyDescent="0.3">
      <c r="A41185" t="s">
        <v>0</v>
      </c>
    </row>
    <row r="41186" spans="1:1" x14ac:dyDescent="0.3">
      <c r="A41186" t="s">
        <v>0</v>
      </c>
    </row>
    <row r="41187" spans="1:1" x14ac:dyDescent="0.3">
      <c r="A41187" t="s">
        <v>0</v>
      </c>
    </row>
    <row r="41188" spans="1:1" x14ac:dyDescent="0.3">
      <c r="A41188" t="s">
        <v>0</v>
      </c>
    </row>
    <row r="41189" spans="1:1" x14ac:dyDescent="0.3">
      <c r="A41189" t="s">
        <v>0</v>
      </c>
    </row>
    <row r="41190" spans="1:1" x14ac:dyDescent="0.3">
      <c r="A41190" t="s">
        <v>0</v>
      </c>
    </row>
    <row r="41191" spans="1:1" x14ac:dyDescent="0.3">
      <c r="A41191" t="s">
        <v>0</v>
      </c>
    </row>
    <row r="41192" spans="1:1" x14ac:dyDescent="0.3">
      <c r="A41192" t="s">
        <v>0</v>
      </c>
    </row>
    <row r="41193" spans="1:1" x14ac:dyDescent="0.3">
      <c r="A41193" t="s">
        <v>0</v>
      </c>
    </row>
    <row r="41194" spans="1:1" x14ac:dyDescent="0.3">
      <c r="A41194" t="s">
        <v>0</v>
      </c>
    </row>
    <row r="41195" spans="1:1" x14ac:dyDescent="0.3">
      <c r="A41195" t="s">
        <v>0</v>
      </c>
    </row>
    <row r="41196" spans="1:1" x14ac:dyDescent="0.3">
      <c r="A41196" t="s">
        <v>0</v>
      </c>
    </row>
    <row r="41197" spans="1:1" x14ac:dyDescent="0.3">
      <c r="A41197" t="s">
        <v>0</v>
      </c>
    </row>
    <row r="41198" spans="1:1" x14ac:dyDescent="0.3">
      <c r="A41198" t="s">
        <v>0</v>
      </c>
    </row>
    <row r="41199" spans="1:1" x14ac:dyDescent="0.3">
      <c r="A41199" t="s">
        <v>0</v>
      </c>
    </row>
    <row r="41200" spans="1:1" x14ac:dyDescent="0.3">
      <c r="A41200" t="s">
        <v>0</v>
      </c>
    </row>
    <row r="41201" spans="1:1" x14ac:dyDescent="0.3">
      <c r="A41201" t="s">
        <v>0</v>
      </c>
    </row>
    <row r="41202" spans="1:1" x14ac:dyDescent="0.3">
      <c r="A41202" t="s">
        <v>0</v>
      </c>
    </row>
    <row r="41203" spans="1:1" x14ac:dyDescent="0.3">
      <c r="A41203" t="s">
        <v>0</v>
      </c>
    </row>
    <row r="41204" spans="1:1" x14ac:dyDescent="0.3">
      <c r="A41204" t="s">
        <v>0</v>
      </c>
    </row>
    <row r="41205" spans="1:1" x14ac:dyDescent="0.3">
      <c r="A41205" t="s">
        <v>0</v>
      </c>
    </row>
    <row r="41206" spans="1:1" x14ac:dyDescent="0.3">
      <c r="A41206" t="s">
        <v>0</v>
      </c>
    </row>
    <row r="41207" spans="1:1" x14ac:dyDescent="0.3">
      <c r="A41207" t="s">
        <v>0</v>
      </c>
    </row>
    <row r="41208" spans="1:1" x14ac:dyDescent="0.3">
      <c r="A41208" t="s">
        <v>0</v>
      </c>
    </row>
    <row r="41209" spans="1:1" x14ac:dyDescent="0.3">
      <c r="A41209" t="s">
        <v>0</v>
      </c>
    </row>
    <row r="41210" spans="1:1" x14ac:dyDescent="0.3">
      <c r="A41210" t="s">
        <v>0</v>
      </c>
    </row>
    <row r="41211" spans="1:1" x14ac:dyDescent="0.3">
      <c r="A41211" t="s">
        <v>0</v>
      </c>
    </row>
    <row r="41212" spans="1:1" x14ac:dyDescent="0.3">
      <c r="A41212" t="s">
        <v>0</v>
      </c>
    </row>
    <row r="41213" spans="1:1" x14ac:dyDescent="0.3">
      <c r="A41213" t="s">
        <v>0</v>
      </c>
    </row>
    <row r="41214" spans="1:1" x14ac:dyDescent="0.3">
      <c r="A41214" t="s">
        <v>0</v>
      </c>
    </row>
    <row r="41215" spans="1:1" x14ac:dyDescent="0.3">
      <c r="A41215" t="s">
        <v>0</v>
      </c>
    </row>
    <row r="41216" spans="1:1" x14ac:dyDescent="0.3">
      <c r="A41216" t="s">
        <v>0</v>
      </c>
    </row>
    <row r="41217" spans="1:1" x14ac:dyDescent="0.3">
      <c r="A41217" t="s">
        <v>0</v>
      </c>
    </row>
    <row r="41218" spans="1:1" x14ac:dyDescent="0.3">
      <c r="A41218" t="s">
        <v>0</v>
      </c>
    </row>
    <row r="41219" spans="1:1" x14ac:dyDescent="0.3">
      <c r="A41219" t="s">
        <v>0</v>
      </c>
    </row>
    <row r="41220" spans="1:1" x14ac:dyDescent="0.3">
      <c r="A41220" t="s">
        <v>0</v>
      </c>
    </row>
    <row r="41221" spans="1:1" x14ac:dyDescent="0.3">
      <c r="A41221" t="s">
        <v>0</v>
      </c>
    </row>
    <row r="41222" spans="1:1" x14ac:dyDescent="0.3">
      <c r="A41222" t="s">
        <v>0</v>
      </c>
    </row>
    <row r="41223" spans="1:1" x14ac:dyDescent="0.3">
      <c r="A41223" t="s">
        <v>0</v>
      </c>
    </row>
    <row r="41224" spans="1:1" x14ac:dyDescent="0.3">
      <c r="A41224" t="s">
        <v>0</v>
      </c>
    </row>
    <row r="41225" spans="1:1" x14ac:dyDescent="0.3">
      <c r="A41225" t="s">
        <v>0</v>
      </c>
    </row>
    <row r="41226" spans="1:1" x14ac:dyDescent="0.3">
      <c r="A41226" t="s">
        <v>0</v>
      </c>
    </row>
    <row r="41227" spans="1:1" x14ac:dyDescent="0.3">
      <c r="A41227" t="s">
        <v>0</v>
      </c>
    </row>
    <row r="41228" spans="1:1" x14ac:dyDescent="0.3">
      <c r="A41228" t="s">
        <v>0</v>
      </c>
    </row>
    <row r="41229" spans="1:1" x14ac:dyDescent="0.3">
      <c r="A41229" t="s">
        <v>0</v>
      </c>
    </row>
    <row r="41230" spans="1:1" x14ac:dyDescent="0.3">
      <c r="A41230" t="s">
        <v>0</v>
      </c>
    </row>
    <row r="41231" spans="1:1" x14ac:dyDescent="0.3">
      <c r="A41231" t="s">
        <v>0</v>
      </c>
    </row>
    <row r="41232" spans="1:1" x14ac:dyDescent="0.3">
      <c r="A41232" t="s">
        <v>0</v>
      </c>
    </row>
    <row r="41233" spans="1:1" x14ac:dyDescent="0.3">
      <c r="A41233" t="s">
        <v>0</v>
      </c>
    </row>
    <row r="41234" spans="1:1" x14ac:dyDescent="0.3">
      <c r="A41234" t="s">
        <v>0</v>
      </c>
    </row>
    <row r="41235" spans="1:1" x14ac:dyDescent="0.3">
      <c r="A41235" t="s">
        <v>0</v>
      </c>
    </row>
    <row r="41236" spans="1:1" x14ac:dyDescent="0.3">
      <c r="A41236" t="s">
        <v>0</v>
      </c>
    </row>
    <row r="41237" spans="1:1" x14ac:dyDescent="0.3">
      <c r="A41237" t="s">
        <v>0</v>
      </c>
    </row>
    <row r="41238" spans="1:1" x14ac:dyDescent="0.3">
      <c r="A41238" t="s">
        <v>0</v>
      </c>
    </row>
    <row r="41239" spans="1:1" x14ac:dyDescent="0.3">
      <c r="A41239" t="s">
        <v>0</v>
      </c>
    </row>
    <row r="41240" spans="1:1" x14ac:dyDescent="0.3">
      <c r="A41240" t="s">
        <v>0</v>
      </c>
    </row>
    <row r="41241" spans="1:1" x14ac:dyDescent="0.3">
      <c r="A41241" t="s">
        <v>0</v>
      </c>
    </row>
    <row r="41242" spans="1:1" x14ac:dyDescent="0.3">
      <c r="A41242" t="s">
        <v>0</v>
      </c>
    </row>
    <row r="41243" spans="1:1" x14ac:dyDescent="0.3">
      <c r="A41243" t="s">
        <v>0</v>
      </c>
    </row>
    <row r="41244" spans="1:1" x14ac:dyDescent="0.3">
      <c r="A41244" t="s">
        <v>0</v>
      </c>
    </row>
    <row r="41245" spans="1:1" x14ac:dyDescent="0.3">
      <c r="A41245" t="s">
        <v>0</v>
      </c>
    </row>
    <row r="41246" spans="1:1" x14ac:dyDescent="0.3">
      <c r="A41246" t="s">
        <v>0</v>
      </c>
    </row>
    <row r="41247" spans="1:1" x14ac:dyDescent="0.3">
      <c r="A41247" t="s">
        <v>0</v>
      </c>
    </row>
    <row r="41248" spans="1:1" x14ac:dyDescent="0.3">
      <c r="A41248" t="s">
        <v>0</v>
      </c>
    </row>
    <row r="41249" spans="1:1" x14ac:dyDescent="0.3">
      <c r="A41249" t="s">
        <v>0</v>
      </c>
    </row>
    <row r="41250" spans="1:1" x14ac:dyDescent="0.3">
      <c r="A41250" t="s">
        <v>0</v>
      </c>
    </row>
    <row r="41251" spans="1:1" x14ac:dyDescent="0.3">
      <c r="A41251" t="s">
        <v>0</v>
      </c>
    </row>
    <row r="41252" spans="1:1" x14ac:dyDescent="0.3">
      <c r="A41252" t="s">
        <v>0</v>
      </c>
    </row>
    <row r="41253" spans="1:1" x14ac:dyDescent="0.3">
      <c r="A41253" t="s">
        <v>0</v>
      </c>
    </row>
    <row r="41254" spans="1:1" x14ac:dyDescent="0.3">
      <c r="A41254" t="s">
        <v>0</v>
      </c>
    </row>
    <row r="41255" spans="1:1" x14ac:dyDescent="0.3">
      <c r="A41255" t="s">
        <v>0</v>
      </c>
    </row>
    <row r="41256" spans="1:1" x14ac:dyDescent="0.3">
      <c r="A41256" t="s">
        <v>0</v>
      </c>
    </row>
    <row r="41257" spans="1:1" x14ac:dyDescent="0.3">
      <c r="A41257" t="s">
        <v>0</v>
      </c>
    </row>
    <row r="41258" spans="1:1" x14ac:dyDescent="0.3">
      <c r="A41258" t="s">
        <v>0</v>
      </c>
    </row>
    <row r="41259" spans="1:1" x14ac:dyDescent="0.3">
      <c r="A41259" t="s">
        <v>0</v>
      </c>
    </row>
    <row r="41260" spans="1:1" x14ac:dyDescent="0.3">
      <c r="A41260" t="s">
        <v>0</v>
      </c>
    </row>
    <row r="41261" spans="1:1" x14ac:dyDescent="0.3">
      <c r="A41261" t="s">
        <v>0</v>
      </c>
    </row>
    <row r="41262" spans="1:1" x14ac:dyDescent="0.3">
      <c r="A41262" t="s">
        <v>0</v>
      </c>
    </row>
    <row r="41263" spans="1:1" x14ac:dyDescent="0.3">
      <c r="A41263" t="s">
        <v>0</v>
      </c>
    </row>
    <row r="41264" spans="1:1" x14ac:dyDescent="0.3">
      <c r="A41264" t="s">
        <v>0</v>
      </c>
    </row>
    <row r="41265" spans="1:1" x14ac:dyDescent="0.3">
      <c r="A41265" t="s">
        <v>0</v>
      </c>
    </row>
    <row r="41266" spans="1:1" x14ac:dyDescent="0.3">
      <c r="A41266" t="s">
        <v>0</v>
      </c>
    </row>
    <row r="41267" spans="1:1" x14ac:dyDescent="0.3">
      <c r="A41267" t="s">
        <v>0</v>
      </c>
    </row>
    <row r="41268" spans="1:1" x14ac:dyDescent="0.3">
      <c r="A41268" t="s">
        <v>0</v>
      </c>
    </row>
    <row r="41269" spans="1:1" x14ac:dyDescent="0.3">
      <c r="A41269" t="s">
        <v>0</v>
      </c>
    </row>
    <row r="41270" spans="1:1" x14ac:dyDescent="0.3">
      <c r="A41270" t="s">
        <v>0</v>
      </c>
    </row>
    <row r="41271" spans="1:1" x14ac:dyDescent="0.3">
      <c r="A41271" t="s">
        <v>0</v>
      </c>
    </row>
    <row r="41272" spans="1:1" x14ac:dyDescent="0.3">
      <c r="A41272" t="s">
        <v>0</v>
      </c>
    </row>
    <row r="41273" spans="1:1" x14ac:dyDescent="0.3">
      <c r="A41273" t="s">
        <v>0</v>
      </c>
    </row>
    <row r="41274" spans="1:1" x14ac:dyDescent="0.3">
      <c r="A41274" t="s">
        <v>0</v>
      </c>
    </row>
    <row r="41275" spans="1:1" x14ac:dyDescent="0.3">
      <c r="A41275" t="s">
        <v>0</v>
      </c>
    </row>
    <row r="41276" spans="1:1" x14ac:dyDescent="0.3">
      <c r="A41276" t="s">
        <v>0</v>
      </c>
    </row>
    <row r="41277" spans="1:1" x14ac:dyDescent="0.3">
      <c r="A41277" t="s">
        <v>0</v>
      </c>
    </row>
    <row r="41278" spans="1:1" x14ac:dyDescent="0.3">
      <c r="A41278" t="s">
        <v>0</v>
      </c>
    </row>
    <row r="41279" spans="1:1" x14ac:dyDescent="0.3">
      <c r="A41279" t="s">
        <v>0</v>
      </c>
    </row>
    <row r="41280" spans="1:1" x14ac:dyDescent="0.3">
      <c r="A41280" t="s">
        <v>0</v>
      </c>
    </row>
    <row r="41281" spans="1:1" x14ac:dyDescent="0.3">
      <c r="A41281" t="s">
        <v>0</v>
      </c>
    </row>
    <row r="41282" spans="1:1" x14ac:dyDescent="0.3">
      <c r="A41282" t="s">
        <v>0</v>
      </c>
    </row>
    <row r="41283" spans="1:1" x14ac:dyDescent="0.3">
      <c r="A41283" t="s">
        <v>0</v>
      </c>
    </row>
    <row r="41284" spans="1:1" x14ac:dyDescent="0.3">
      <c r="A41284" t="s">
        <v>0</v>
      </c>
    </row>
    <row r="41285" spans="1:1" x14ac:dyDescent="0.3">
      <c r="A41285" t="s">
        <v>0</v>
      </c>
    </row>
    <row r="41286" spans="1:1" x14ac:dyDescent="0.3">
      <c r="A41286" t="s">
        <v>0</v>
      </c>
    </row>
    <row r="41287" spans="1:1" x14ac:dyDescent="0.3">
      <c r="A41287" t="s">
        <v>0</v>
      </c>
    </row>
    <row r="41288" spans="1:1" x14ac:dyDescent="0.3">
      <c r="A41288" t="s">
        <v>0</v>
      </c>
    </row>
    <row r="41289" spans="1:1" x14ac:dyDescent="0.3">
      <c r="A41289" t="s">
        <v>0</v>
      </c>
    </row>
    <row r="41290" spans="1:1" x14ac:dyDescent="0.3">
      <c r="A41290" t="s">
        <v>0</v>
      </c>
    </row>
    <row r="41291" spans="1:1" x14ac:dyDescent="0.3">
      <c r="A41291" t="s">
        <v>0</v>
      </c>
    </row>
    <row r="41292" spans="1:1" x14ac:dyDescent="0.3">
      <c r="A41292" t="s">
        <v>0</v>
      </c>
    </row>
    <row r="41293" spans="1:1" x14ac:dyDescent="0.3">
      <c r="A41293" t="s">
        <v>0</v>
      </c>
    </row>
    <row r="41294" spans="1:1" x14ac:dyDescent="0.3">
      <c r="A41294" t="s">
        <v>0</v>
      </c>
    </row>
    <row r="41295" spans="1:1" x14ac:dyDescent="0.3">
      <c r="A41295" t="s">
        <v>0</v>
      </c>
    </row>
    <row r="41296" spans="1:1" x14ac:dyDescent="0.3">
      <c r="A41296" t="s">
        <v>0</v>
      </c>
    </row>
    <row r="41297" spans="1:1" x14ac:dyDescent="0.3">
      <c r="A41297" t="s">
        <v>0</v>
      </c>
    </row>
    <row r="41298" spans="1:1" x14ac:dyDescent="0.3">
      <c r="A41298" t="s">
        <v>0</v>
      </c>
    </row>
    <row r="41299" spans="1:1" x14ac:dyDescent="0.3">
      <c r="A41299" t="s">
        <v>0</v>
      </c>
    </row>
    <row r="41300" spans="1:1" x14ac:dyDescent="0.3">
      <c r="A41300" t="s">
        <v>0</v>
      </c>
    </row>
    <row r="41301" spans="1:1" x14ac:dyDescent="0.3">
      <c r="A41301" t="s">
        <v>0</v>
      </c>
    </row>
    <row r="41302" spans="1:1" x14ac:dyDescent="0.3">
      <c r="A41302" t="s">
        <v>0</v>
      </c>
    </row>
    <row r="41303" spans="1:1" x14ac:dyDescent="0.3">
      <c r="A41303" t="s">
        <v>0</v>
      </c>
    </row>
    <row r="41304" spans="1:1" x14ac:dyDescent="0.3">
      <c r="A41304" t="s">
        <v>0</v>
      </c>
    </row>
    <row r="41305" spans="1:1" x14ac:dyDescent="0.3">
      <c r="A41305" t="s">
        <v>0</v>
      </c>
    </row>
    <row r="41306" spans="1:1" x14ac:dyDescent="0.3">
      <c r="A41306" t="s">
        <v>0</v>
      </c>
    </row>
    <row r="41307" spans="1:1" x14ac:dyDescent="0.3">
      <c r="A41307" t="s">
        <v>0</v>
      </c>
    </row>
    <row r="41308" spans="1:1" x14ac:dyDescent="0.3">
      <c r="A41308" t="s">
        <v>0</v>
      </c>
    </row>
    <row r="41309" spans="1:1" x14ac:dyDescent="0.3">
      <c r="A41309" t="s">
        <v>0</v>
      </c>
    </row>
    <row r="41310" spans="1:1" x14ac:dyDescent="0.3">
      <c r="A41310" t="s">
        <v>0</v>
      </c>
    </row>
    <row r="41311" spans="1:1" x14ac:dyDescent="0.3">
      <c r="A41311" t="s">
        <v>0</v>
      </c>
    </row>
    <row r="41312" spans="1:1" x14ac:dyDescent="0.3">
      <c r="A41312" t="s">
        <v>0</v>
      </c>
    </row>
    <row r="41313" spans="1:1" x14ac:dyDescent="0.3">
      <c r="A41313" t="s">
        <v>0</v>
      </c>
    </row>
    <row r="41314" spans="1:1" x14ac:dyDescent="0.3">
      <c r="A41314" t="s">
        <v>0</v>
      </c>
    </row>
    <row r="41315" spans="1:1" x14ac:dyDescent="0.3">
      <c r="A41315" t="s">
        <v>0</v>
      </c>
    </row>
    <row r="41316" spans="1:1" x14ac:dyDescent="0.3">
      <c r="A41316" t="s">
        <v>0</v>
      </c>
    </row>
    <row r="41317" spans="1:1" x14ac:dyDescent="0.3">
      <c r="A41317" t="s">
        <v>0</v>
      </c>
    </row>
    <row r="41318" spans="1:1" x14ac:dyDescent="0.3">
      <c r="A41318" t="s">
        <v>0</v>
      </c>
    </row>
    <row r="41319" spans="1:1" x14ac:dyDescent="0.3">
      <c r="A41319" t="s">
        <v>0</v>
      </c>
    </row>
    <row r="41320" spans="1:1" x14ac:dyDescent="0.3">
      <c r="A41320" t="s">
        <v>0</v>
      </c>
    </row>
    <row r="41321" spans="1:1" x14ac:dyDescent="0.3">
      <c r="A41321" t="s">
        <v>0</v>
      </c>
    </row>
    <row r="41322" spans="1:1" x14ac:dyDescent="0.3">
      <c r="A41322" t="s">
        <v>0</v>
      </c>
    </row>
    <row r="41323" spans="1:1" x14ac:dyDescent="0.3">
      <c r="A41323" t="s">
        <v>0</v>
      </c>
    </row>
    <row r="41324" spans="1:1" x14ac:dyDescent="0.3">
      <c r="A41324" t="s">
        <v>0</v>
      </c>
    </row>
    <row r="41325" spans="1:1" x14ac:dyDescent="0.3">
      <c r="A41325" t="s">
        <v>0</v>
      </c>
    </row>
    <row r="41326" spans="1:1" x14ac:dyDescent="0.3">
      <c r="A41326" t="s">
        <v>0</v>
      </c>
    </row>
    <row r="41327" spans="1:1" x14ac:dyDescent="0.3">
      <c r="A41327" t="s">
        <v>0</v>
      </c>
    </row>
    <row r="41328" spans="1:1" x14ac:dyDescent="0.3">
      <c r="A41328" t="s">
        <v>0</v>
      </c>
    </row>
    <row r="41329" spans="1:1" x14ac:dyDescent="0.3">
      <c r="A41329" t="s">
        <v>0</v>
      </c>
    </row>
    <row r="41330" spans="1:1" x14ac:dyDescent="0.3">
      <c r="A41330" t="s">
        <v>0</v>
      </c>
    </row>
    <row r="41331" spans="1:1" x14ac:dyDescent="0.3">
      <c r="A41331" t="s">
        <v>0</v>
      </c>
    </row>
    <row r="41332" spans="1:1" x14ac:dyDescent="0.3">
      <c r="A41332" t="s">
        <v>0</v>
      </c>
    </row>
    <row r="41333" spans="1:1" x14ac:dyDescent="0.3">
      <c r="A41333" t="s">
        <v>0</v>
      </c>
    </row>
    <row r="41334" spans="1:1" x14ac:dyDescent="0.3">
      <c r="A41334" t="s">
        <v>0</v>
      </c>
    </row>
    <row r="41335" spans="1:1" x14ac:dyDescent="0.3">
      <c r="A41335" t="s">
        <v>0</v>
      </c>
    </row>
    <row r="41336" spans="1:1" x14ac:dyDescent="0.3">
      <c r="A41336" t="s">
        <v>0</v>
      </c>
    </row>
    <row r="41337" spans="1:1" x14ac:dyDescent="0.3">
      <c r="A41337" t="s">
        <v>0</v>
      </c>
    </row>
    <row r="41338" spans="1:1" x14ac:dyDescent="0.3">
      <c r="A41338" t="s">
        <v>0</v>
      </c>
    </row>
    <row r="41339" spans="1:1" x14ac:dyDescent="0.3">
      <c r="A41339" t="s">
        <v>0</v>
      </c>
    </row>
    <row r="41340" spans="1:1" x14ac:dyDescent="0.3">
      <c r="A41340" t="s">
        <v>0</v>
      </c>
    </row>
    <row r="41341" spans="1:1" x14ac:dyDescent="0.3">
      <c r="A41341" t="s">
        <v>0</v>
      </c>
    </row>
    <row r="41342" spans="1:1" x14ac:dyDescent="0.3">
      <c r="A41342" t="s">
        <v>0</v>
      </c>
    </row>
    <row r="41343" spans="1:1" x14ac:dyDescent="0.3">
      <c r="A41343" t="s">
        <v>0</v>
      </c>
    </row>
    <row r="41344" spans="1:1" x14ac:dyDescent="0.3">
      <c r="A41344" t="s">
        <v>0</v>
      </c>
    </row>
    <row r="41345" spans="1:1" x14ac:dyDescent="0.3">
      <c r="A41345" t="s">
        <v>0</v>
      </c>
    </row>
    <row r="41346" spans="1:1" x14ac:dyDescent="0.3">
      <c r="A41346" t="s">
        <v>0</v>
      </c>
    </row>
    <row r="41347" spans="1:1" x14ac:dyDescent="0.3">
      <c r="A41347" t="s">
        <v>0</v>
      </c>
    </row>
    <row r="41348" spans="1:1" x14ac:dyDescent="0.3">
      <c r="A41348" t="s">
        <v>0</v>
      </c>
    </row>
    <row r="41349" spans="1:1" x14ac:dyDescent="0.3">
      <c r="A41349" t="s">
        <v>0</v>
      </c>
    </row>
    <row r="41350" spans="1:1" x14ac:dyDescent="0.3">
      <c r="A41350" t="s">
        <v>0</v>
      </c>
    </row>
    <row r="41351" spans="1:1" x14ac:dyDescent="0.3">
      <c r="A41351" t="s">
        <v>0</v>
      </c>
    </row>
    <row r="41352" spans="1:1" x14ac:dyDescent="0.3">
      <c r="A41352" t="s">
        <v>0</v>
      </c>
    </row>
    <row r="41353" spans="1:1" x14ac:dyDescent="0.3">
      <c r="A41353" t="s">
        <v>0</v>
      </c>
    </row>
    <row r="41354" spans="1:1" x14ac:dyDescent="0.3">
      <c r="A41354" t="s">
        <v>0</v>
      </c>
    </row>
    <row r="41355" spans="1:1" x14ac:dyDescent="0.3">
      <c r="A41355" t="s">
        <v>0</v>
      </c>
    </row>
    <row r="41356" spans="1:1" x14ac:dyDescent="0.3">
      <c r="A41356" t="s">
        <v>0</v>
      </c>
    </row>
    <row r="41357" spans="1:1" x14ac:dyDescent="0.3">
      <c r="A41357" t="s">
        <v>0</v>
      </c>
    </row>
    <row r="41358" spans="1:1" x14ac:dyDescent="0.3">
      <c r="A41358" t="s">
        <v>0</v>
      </c>
    </row>
    <row r="41359" spans="1:1" x14ac:dyDescent="0.3">
      <c r="A41359" t="s">
        <v>0</v>
      </c>
    </row>
    <row r="41360" spans="1:1" x14ac:dyDescent="0.3">
      <c r="A41360" t="s">
        <v>0</v>
      </c>
    </row>
    <row r="41361" spans="1:1" x14ac:dyDescent="0.3">
      <c r="A41361" t="s">
        <v>0</v>
      </c>
    </row>
    <row r="41362" spans="1:1" x14ac:dyDescent="0.3">
      <c r="A41362" t="s">
        <v>0</v>
      </c>
    </row>
    <row r="41363" spans="1:1" x14ac:dyDescent="0.3">
      <c r="A41363" t="s">
        <v>0</v>
      </c>
    </row>
    <row r="41364" spans="1:1" x14ac:dyDescent="0.3">
      <c r="A41364" t="s">
        <v>0</v>
      </c>
    </row>
    <row r="41365" spans="1:1" x14ac:dyDescent="0.3">
      <c r="A41365" t="s">
        <v>0</v>
      </c>
    </row>
    <row r="41366" spans="1:1" x14ac:dyDescent="0.3">
      <c r="A41366" t="s">
        <v>0</v>
      </c>
    </row>
    <row r="41367" spans="1:1" x14ac:dyDescent="0.3">
      <c r="A41367" t="s">
        <v>0</v>
      </c>
    </row>
    <row r="41368" spans="1:1" x14ac:dyDescent="0.3">
      <c r="A41368" t="s">
        <v>0</v>
      </c>
    </row>
    <row r="41369" spans="1:1" x14ac:dyDescent="0.3">
      <c r="A41369" t="s">
        <v>0</v>
      </c>
    </row>
    <row r="41370" spans="1:1" x14ac:dyDescent="0.3">
      <c r="A41370" t="s">
        <v>0</v>
      </c>
    </row>
    <row r="41371" spans="1:1" x14ac:dyDescent="0.3">
      <c r="A41371" t="s">
        <v>0</v>
      </c>
    </row>
    <row r="41372" spans="1:1" x14ac:dyDescent="0.3">
      <c r="A41372" t="s">
        <v>0</v>
      </c>
    </row>
    <row r="41373" spans="1:1" x14ac:dyDescent="0.3">
      <c r="A41373" t="s">
        <v>0</v>
      </c>
    </row>
    <row r="41374" spans="1:1" x14ac:dyDescent="0.3">
      <c r="A41374" t="s">
        <v>0</v>
      </c>
    </row>
    <row r="41375" spans="1:1" x14ac:dyDescent="0.3">
      <c r="A41375" t="s">
        <v>0</v>
      </c>
    </row>
    <row r="41376" spans="1:1" x14ac:dyDescent="0.3">
      <c r="A41376" t="s">
        <v>0</v>
      </c>
    </row>
    <row r="41377" spans="1:1" x14ac:dyDescent="0.3">
      <c r="A41377" t="s">
        <v>0</v>
      </c>
    </row>
    <row r="41378" spans="1:1" x14ac:dyDescent="0.3">
      <c r="A41378" t="s">
        <v>0</v>
      </c>
    </row>
    <row r="41379" spans="1:1" x14ac:dyDescent="0.3">
      <c r="A41379" t="s">
        <v>0</v>
      </c>
    </row>
    <row r="41380" spans="1:1" x14ac:dyDescent="0.3">
      <c r="A41380" t="s">
        <v>0</v>
      </c>
    </row>
    <row r="41381" spans="1:1" x14ac:dyDescent="0.3">
      <c r="A41381" t="s">
        <v>0</v>
      </c>
    </row>
    <row r="41382" spans="1:1" x14ac:dyDescent="0.3">
      <c r="A41382" t="s">
        <v>0</v>
      </c>
    </row>
    <row r="41383" spans="1:1" x14ac:dyDescent="0.3">
      <c r="A41383" t="s">
        <v>0</v>
      </c>
    </row>
    <row r="41384" spans="1:1" x14ac:dyDescent="0.3">
      <c r="A41384" t="s">
        <v>0</v>
      </c>
    </row>
    <row r="41385" spans="1:1" x14ac:dyDescent="0.3">
      <c r="A41385" t="s">
        <v>0</v>
      </c>
    </row>
    <row r="41386" spans="1:1" x14ac:dyDescent="0.3">
      <c r="A41386" t="s">
        <v>0</v>
      </c>
    </row>
    <row r="41387" spans="1:1" x14ac:dyDescent="0.3">
      <c r="A41387" t="s">
        <v>0</v>
      </c>
    </row>
    <row r="41388" spans="1:1" x14ac:dyDescent="0.3">
      <c r="A41388" t="s">
        <v>0</v>
      </c>
    </row>
    <row r="41389" spans="1:1" x14ac:dyDescent="0.3">
      <c r="A41389" t="s">
        <v>0</v>
      </c>
    </row>
    <row r="41390" spans="1:1" x14ac:dyDescent="0.3">
      <c r="A41390" t="s">
        <v>0</v>
      </c>
    </row>
    <row r="41391" spans="1:1" x14ac:dyDescent="0.3">
      <c r="A41391" t="s">
        <v>0</v>
      </c>
    </row>
    <row r="41392" spans="1:1" x14ac:dyDescent="0.3">
      <c r="A41392" t="s">
        <v>0</v>
      </c>
    </row>
    <row r="41393" spans="1:1" x14ac:dyDescent="0.3">
      <c r="A41393" t="s">
        <v>0</v>
      </c>
    </row>
    <row r="41394" spans="1:1" x14ac:dyDescent="0.3">
      <c r="A41394" t="s">
        <v>0</v>
      </c>
    </row>
    <row r="41395" spans="1:1" x14ac:dyDescent="0.3">
      <c r="A41395" t="s">
        <v>0</v>
      </c>
    </row>
    <row r="41396" spans="1:1" x14ac:dyDescent="0.3">
      <c r="A41396" t="s">
        <v>0</v>
      </c>
    </row>
    <row r="41397" spans="1:1" x14ac:dyDescent="0.3">
      <c r="A41397" t="s">
        <v>0</v>
      </c>
    </row>
    <row r="41398" spans="1:1" x14ac:dyDescent="0.3">
      <c r="A41398" t="s">
        <v>0</v>
      </c>
    </row>
    <row r="41399" spans="1:1" x14ac:dyDescent="0.3">
      <c r="A41399" t="s">
        <v>0</v>
      </c>
    </row>
    <row r="41400" spans="1:1" x14ac:dyDescent="0.3">
      <c r="A41400" t="s">
        <v>0</v>
      </c>
    </row>
    <row r="41401" spans="1:1" x14ac:dyDescent="0.3">
      <c r="A41401" t="s">
        <v>0</v>
      </c>
    </row>
    <row r="41402" spans="1:1" x14ac:dyDescent="0.3">
      <c r="A41402" t="s">
        <v>0</v>
      </c>
    </row>
    <row r="41403" spans="1:1" x14ac:dyDescent="0.3">
      <c r="A41403" t="s">
        <v>0</v>
      </c>
    </row>
    <row r="41404" spans="1:1" x14ac:dyDescent="0.3">
      <c r="A41404" t="s">
        <v>0</v>
      </c>
    </row>
    <row r="41405" spans="1:1" x14ac:dyDescent="0.3">
      <c r="A41405" t="s">
        <v>0</v>
      </c>
    </row>
    <row r="41406" spans="1:1" x14ac:dyDescent="0.3">
      <c r="A41406" t="s">
        <v>0</v>
      </c>
    </row>
    <row r="41407" spans="1:1" x14ac:dyDescent="0.3">
      <c r="A41407" t="s">
        <v>0</v>
      </c>
    </row>
    <row r="41408" spans="1:1" x14ac:dyDescent="0.3">
      <c r="A41408" t="s">
        <v>0</v>
      </c>
    </row>
    <row r="41409" spans="1:1" x14ac:dyDescent="0.3">
      <c r="A41409" t="s">
        <v>0</v>
      </c>
    </row>
    <row r="41410" spans="1:1" x14ac:dyDescent="0.3">
      <c r="A41410" t="s">
        <v>0</v>
      </c>
    </row>
    <row r="41411" spans="1:1" x14ac:dyDescent="0.3">
      <c r="A41411" t="s">
        <v>0</v>
      </c>
    </row>
    <row r="41412" spans="1:1" x14ac:dyDescent="0.3">
      <c r="A41412" t="s">
        <v>0</v>
      </c>
    </row>
    <row r="41413" spans="1:1" x14ac:dyDescent="0.3">
      <c r="A41413" t="s">
        <v>0</v>
      </c>
    </row>
    <row r="41414" spans="1:1" x14ac:dyDescent="0.3">
      <c r="A41414" t="s">
        <v>0</v>
      </c>
    </row>
    <row r="41415" spans="1:1" x14ac:dyDescent="0.3">
      <c r="A41415" t="s">
        <v>0</v>
      </c>
    </row>
    <row r="41416" spans="1:1" x14ac:dyDescent="0.3">
      <c r="A41416" t="s">
        <v>0</v>
      </c>
    </row>
    <row r="41417" spans="1:1" x14ac:dyDescent="0.3">
      <c r="A41417" t="s">
        <v>0</v>
      </c>
    </row>
    <row r="41418" spans="1:1" x14ac:dyDescent="0.3">
      <c r="A41418" t="s">
        <v>0</v>
      </c>
    </row>
    <row r="41419" spans="1:1" x14ac:dyDescent="0.3">
      <c r="A41419" t="s">
        <v>0</v>
      </c>
    </row>
    <row r="41420" spans="1:1" x14ac:dyDescent="0.3">
      <c r="A41420" t="s">
        <v>0</v>
      </c>
    </row>
    <row r="41421" spans="1:1" x14ac:dyDescent="0.3">
      <c r="A41421" t="s">
        <v>0</v>
      </c>
    </row>
    <row r="41422" spans="1:1" x14ac:dyDescent="0.3">
      <c r="A41422" t="s">
        <v>0</v>
      </c>
    </row>
    <row r="41423" spans="1:1" x14ac:dyDescent="0.3">
      <c r="A41423" t="s">
        <v>0</v>
      </c>
    </row>
    <row r="41424" spans="1:1" x14ac:dyDescent="0.3">
      <c r="A41424" t="s">
        <v>0</v>
      </c>
    </row>
    <row r="41425" spans="1:1" x14ac:dyDescent="0.3">
      <c r="A41425" t="s">
        <v>0</v>
      </c>
    </row>
    <row r="41426" spans="1:1" x14ac:dyDescent="0.3">
      <c r="A41426" t="s">
        <v>0</v>
      </c>
    </row>
    <row r="41427" spans="1:1" x14ac:dyDescent="0.3">
      <c r="A41427" t="s">
        <v>0</v>
      </c>
    </row>
    <row r="41428" spans="1:1" x14ac:dyDescent="0.3">
      <c r="A41428" t="s">
        <v>0</v>
      </c>
    </row>
    <row r="41429" spans="1:1" x14ac:dyDescent="0.3">
      <c r="A41429" t="s">
        <v>0</v>
      </c>
    </row>
    <row r="41430" spans="1:1" x14ac:dyDescent="0.3">
      <c r="A41430" t="s">
        <v>0</v>
      </c>
    </row>
    <row r="41431" spans="1:1" x14ac:dyDescent="0.3">
      <c r="A41431" t="s">
        <v>0</v>
      </c>
    </row>
    <row r="41432" spans="1:1" x14ac:dyDescent="0.3">
      <c r="A41432" t="s">
        <v>0</v>
      </c>
    </row>
    <row r="41433" spans="1:1" x14ac:dyDescent="0.3">
      <c r="A41433" t="s">
        <v>0</v>
      </c>
    </row>
    <row r="41434" spans="1:1" x14ac:dyDescent="0.3">
      <c r="A41434" t="s">
        <v>0</v>
      </c>
    </row>
    <row r="41435" spans="1:1" x14ac:dyDescent="0.3">
      <c r="A41435" t="s">
        <v>0</v>
      </c>
    </row>
    <row r="41436" spans="1:1" x14ac:dyDescent="0.3">
      <c r="A41436" t="s">
        <v>0</v>
      </c>
    </row>
    <row r="41437" spans="1:1" x14ac:dyDescent="0.3">
      <c r="A41437" t="s">
        <v>0</v>
      </c>
    </row>
    <row r="41438" spans="1:1" x14ac:dyDescent="0.3">
      <c r="A41438" t="s">
        <v>0</v>
      </c>
    </row>
    <row r="41439" spans="1:1" x14ac:dyDescent="0.3">
      <c r="A41439" t="s">
        <v>0</v>
      </c>
    </row>
    <row r="41440" spans="1:1" x14ac:dyDescent="0.3">
      <c r="A41440" t="s">
        <v>0</v>
      </c>
    </row>
    <row r="41441" spans="1:1" x14ac:dyDescent="0.3">
      <c r="A41441" t="s">
        <v>0</v>
      </c>
    </row>
    <row r="41442" spans="1:1" x14ac:dyDescent="0.3">
      <c r="A41442" t="s">
        <v>0</v>
      </c>
    </row>
    <row r="41443" spans="1:1" x14ac:dyDescent="0.3">
      <c r="A41443" t="s">
        <v>0</v>
      </c>
    </row>
    <row r="41444" spans="1:1" x14ac:dyDescent="0.3">
      <c r="A41444" t="s">
        <v>0</v>
      </c>
    </row>
    <row r="41445" spans="1:1" x14ac:dyDescent="0.3">
      <c r="A41445" t="s">
        <v>0</v>
      </c>
    </row>
    <row r="41446" spans="1:1" x14ac:dyDescent="0.3">
      <c r="A41446" t="s">
        <v>0</v>
      </c>
    </row>
    <row r="41447" spans="1:1" x14ac:dyDescent="0.3">
      <c r="A41447" t="s">
        <v>0</v>
      </c>
    </row>
    <row r="41448" spans="1:1" x14ac:dyDescent="0.3">
      <c r="A41448" t="s">
        <v>0</v>
      </c>
    </row>
    <row r="41449" spans="1:1" x14ac:dyDescent="0.3">
      <c r="A41449" t="s">
        <v>0</v>
      </c>
    </row>
    <row r="41450" spans="1:1" x14ac:dyDescent="0.3">
      <c r="A41450" t="s">
        <v>0</v>
      </c>
    </row>
    <row r="41451" spans="1:1" x14ac:dyDescent="0.3">
      <c r="A41451" t="s">
        <v>0</v>
      </c>
    </row>
    <row r="41452" spans="1:1" x14ac:dyDescent="0.3">
      <c r="A41452" t="s">
        <v>0</v>
      </c>
    </row>
    <row r="41453" spans="1:1" x14ac:dyDescent="0.3">
      <c r="A41453" t="s">
        <v>0</v>
      </c>
    </row>
    <row r="41454" spans="1:1" x14ac:dyDescent="0.3">
      <c r="A41454" t="s">
        <v>0</v>
      </c>
    </row>
    <row r="41455" spans="1:1" x14ac:dyDescent="0.3">
      <c r="A41455" t="s">
        <v>0</v>
      </c>
    </row>
    <row r="41456" spans="1:1" x14ac:dyDescent="0.3">
      <c r="A41456" t="s">
        <v>0</v>
      </c>
    </row>
    <row r="41457" spans="1:1" x14ac:dyDescent="0.3">
      <c r="A41457" t="s">
        <v>0</v>
      </c>
    </row>
    <row r="41458" spans="1:1" x14ac:dyDescent="0.3">
      <c r="A41458" t="s">
        <v>0</v>
      </c>
    </row>
    <row r="41459" spans="1:1" x14ac:dyDescent="0.3">
      <c r="A41459" t="s">
        <v>0</v>
      </c>
    </row>
    <row r="41460" spans="1:1" x14ac:dyDescent="0.3">
      <c r="A41460" t="s">
        <v>0</v>
      </c>
    </row>
    <row r="41461" spans="1:1" x14ac:dyDescent="0.3">
      <c r="A41461" t="s">
        <v>0</v>
      </c>
    </row>
    <row r="41462" spans="1:1" x14ac:dyDescent="0.3">
      <c r="A41462" t="s">
        <v>0</v>
      </c>
    </row>
    <row r="41463" spans="1:1" x14ac:dyDescent="0.3">
      <c r="A41463" t="s">
        <v>0</v>
      </c>
    </row>
    <row r="41464" spans="1:1" x14ac:dyDescent="0.3">
      <c r="A41464" t="s">
        <v>0</v>
      </c>
    </row>
    <row r="41465" spans="1:1" x14ac:dyDescent="0.3">
      <c r="A41465" t="s">
        <v>0</v>
      </c>
    </row>
    <row r="41466" spans="1:1" x14ac:dyDescent="0.3">
      <c r="A41466" t="s">
        <v>0</v>
      </c>
    </row>
    <row r="41467" spans="1:1" x14ac:dyDescent="0.3">
      <c r="A41467" t="s">
        <v>0</v>
      </c>
    </row>
    <row r="41468" spans="1:1" x14ac:dyDescent="0.3">
      <c r="A41468" t="s">
        <v>0</v>
      </c>
    </row>
    <row r="41469" spans="1:1" x14ac:dyDescent="0.3">
      <c r="A41469" t="s">
        <v>0</v>
      </c>
    </row>
    <row r="41470" spans="1:1" x14ac:dyDescent="0.3">
      <c r="A41470" t="s">
        <v>0</v>
      </c>
    </row>
    <row r="41471" spans="1:1" x14ac:dyDescent="0.3">
      <c r="A41471" t="s">
        <v>0</v>
      </c>
    </row>
    <row r="41472" spans="1:1" x14ac:dyDescent="0.3">
      <c r="A41472" t="s">
        <v>0</v>
      </c>
    </row>
    <row r="41473" spans="1:1" x14ac:dyDescent="0.3">
      <c r="A41473" t="s">
        <v>0</v>
      </c>
    </row>
    <row r="41474" spans="1:1" x14ac:dyDescent="0.3">
      <c r="A41474" t="s">
        <v>0</v>
      </c>
    </row>
    <row r="41475" spans="1:1" x14ac:dyDescent="0.3">
      <c r="A41475" t="s">
        <v>0</v>
      </c>
    </row>
    <row r="41476" spans="1:1" x14ac:dyDescent="0.3">
      <c r="A41476" t="s">
        <v>0</v>
      </c>
    </row>
    <row r="41477" spans="1:1" x14ac:dyDescent="0.3">
      <c r="A41477" t="s">
        <v>0</v>
      </c>
    </row>
    <row r="41478" spans="1:1" x14ac:dyDescent="0.3">
      <c r="A41478" t="s">
        <v>0</v>
      </c>
    </row>
    <row r="41479" spans="1:1" x14ac:dyDescent="0.3">
      <c r="A41479" t="s">
        <v>0</v>
      </c>
    </row>
    <row r="41480" spans="1:1" x14ac:dyDescent="0.3">
      <c r="A41480" t="s">
        <v>0</v>
      </c>
    </row>
    <row r="41481" spans="1:1" x14ac:dyDescent="0.3">
      <c r="A41481" t="s">
        <v>0</v>
      </c>
    </row>
    <row r="41482" spans="1:1" x14ac:dyDescent="0.3">
      <c r="A41482" t="s">
        <v>0</v>
      </c>
    </row>
    <row r="41483" spans="1:1" x14ac:dyDescent="0.3">
      <c r="A41483" t="s">
        <v>0</v>
      </c>
    </row>
    <row r="41484" spans="1:1" x14ac:dyDescent="0.3">
      <c r="A41484" t="s">
        <v>0</v>
      </c>
    </row>
    <row r="41485" spans="1:1" x14ac:dyDescent="0.3">
      <c r="A41485" t="s">
        <v>0</v>
      </c>
    </row>
    <row r="41486" spans="1:1" x14ac:dyDescent="0.3">
      <c r="A41486" t="s">
        <v>0</v>
      </c>
    </row>
    <row r="41487" spans="1:1" x14ac:dyDescent="0.3">
      <c r="A41487" t="s">
        <v>0</v>
      </c>
    </row>
    <row r="41488" spans="1:1" x14ac:dyDescent="0.3">
      <c r="A41488" t="s">
        <v>0</v>
      </c>
    </row>
    <row r="41489" spans="1:1" x14ac:dyDescent="0.3">
      <c r="A41489" t="s">
        <v>0</v>
      </c>
    </row>
    <row r="41490" spans="1:1" x14ac:dyDescent="0.3">
      <c r="A41490" t="s">
        <v>0</v>
      </c>
    </row>
    <row r="41491" spans="1:1" x14ac:dyDescent="0.3">
      <c r="A41491" t="s">
        <v>0</v>
      </c>
    </row>
    <row r="41492" spans="1:1" x14ac:dyDescent="0.3">
      <c r="A41492" t="s">
        <v>0</v>
      </c>
    </row>
    <row r="41493" spans="1:1" x14ac:dyDescent="0.3">
      <c r="A41493" t="s">
        <v>0</v>
      </c>
    </row>
    <row r="41494" spans="1:1" x14ac:dyDescent="0.3">
      <c r="A41494" t="s">
        <v>0</v>
      </c>
    </row>
    <row r="41495" spans="1:1" x14ac:dyDescent="0.3">
      <c r="A41495" t="s">
        <v>0</v>
      </c>
    </row>
    <row r="41496" spans="1:1" x14ac:dyDescent="0.3">
      <c r="A41496" t="s">
        <v>0</v>
      </c>
    </row>
    <row r="41497" spans="1:1" x14ac:dyDescent="0.3">
      <c r="A41497" t="s">
        <v>0</v>
      </c>
    </row>
    <row r="41498" spans="1:1" x14ac:dyDescent="0.3">
      <c r="A41498" t="s">
        <v>0</v>
      </c>
    </row>
    <row r="41499" spans="1:1" x14ac:dyDescent="0.3">
      <c r="A41499" t="s">
        <v>0</v>
      </c>
    </row>
    <row r="41500" spans="1:1" x14ac:dyDescent="0.3">
      <c r="A41500" t="s">
        <v>0</v>
      </c>
    </row>
    <row r="41501" spans="1:1" x14ac:dyDescent="0.3">
      <c r="A41501" t="s">
        <v>0</v>
      </c>
    </row>
    <row r="41502" spans="1:1" x14ac:dyDescent="0.3">
      <c r="A41502" t="s">
        <v>0</v>
      </c>
    </row>
    <row r="41503" spans="1:1" x14ac:dyDescent="0.3">
      <c r="A41503" t="s">
        <v>0</v>
      </c>
    </row>
    <row r="41504" spans="1:1" x14ac:dyDescent="0.3">
      <c r="A41504" t="s">
        <v>0</v>
      </c>
    </row>
    <row r="41505" spans="1:1" x14ac:dyDescent="0.3">
      <c r="A41505" t="s">
        <v>0</v>
      </c>
    </row>
    <row r="41506" spans="1:1" x14ac:dyDescent="0.3">
      <c r="A41506" t="s">
        <v>0</v>
      </c>
    </row>
    <row r="41507" spans="1:1" x14ac:dyDescent="0.3">
      <c r="A41507" t="s">
        <v>0</v>
      </c>
    </row>
    <row r="41508" spans="1:1" x14ac:dyDescent="0.3">
      <c r="A41508" t="s">
        <v>0</v>
      </c>
    </row>
    <row r="41509" spans="1:1" x14ac:dyDescent="0.3">
      <c r="A41509" t="s">
        <v>0</v>
      </c>
    </row>
    <row r="41510" spans="1:1" x14ac:dyDescent="0.3">
      <c r="A41510" t="s">
        <v>0</v>
      </c>
    </row>
    <row r="41511" spans="1:1" x14ac:dyDescent="0.3">
      <c r="A41511" t="s">
        <v>0</v>
      </c>
    </row>
    <row r="41512" spans="1:1" x14ac:dyDescent="0.3">
      <c r="A41512" t="s">
        <v>0</v>
      </c>
    </row>
    <row r="41513" spans="1:1" x14ac:dyDescent="0.3">
      <c r="A41513" t="s">
        <v>0</v>
      </c>
    </row>
    <row r="41514" spans="1:1" x14ac:dyDescent="0.3">
      <c r="A41514" t="s">
        <v>0</v>
      </c>
    </row>
    <row r="41515" spans="1:1" x14ac:dyDescent="0.3">
      <c r="A41515" t="s">
        <v>0</v>
      </c>
    </row>
    <row r="41516" spans="1:1" x14ac:dyDescent="0.3">
      <c r="A41516" t="s">
        <v>0</v>
      </c>
    </row>
    <row r="41517" spans="1:1" x14ac:dyDescent="0.3">
      <c r="A41517" t="s">
        <v>0</v>
      </c>
    </row>
    <row r="41518" spans="1:1" x14ac:dyDescent="0.3">
      <c r="A41518" t="s">
        <v>0</v>
      </c>
    </row>
    <row r="41519" spans="1:1" x14ac:dyDescent="0.3">
      <c r="A41519" t="s">
        <v>0</v>
      </c>
    </row>
    <row r="41520" spans="1:1" x14ac:dyDescent="0.3">
      <c r="A41520" t="s">
        <v>0</v>
      </c>
    </row>
    <row r="41521" spans="1:1" x14ac:dyDescent="0.3">
      <c r="A41521" t="s">
        <v>0</v>
      </c>
    </row>
    <row r="41522" spans="1:1" x14ac:dyDescent="0.3">
      <c r="A41522" t="s">
        <v>0</v>
      </c>
    </row>
    <row r="41523" spans="1:1" x14ac:dyDescent="0.3">
      <c r="A41523" t="s">
        <v>0</v>
      </c>
    </row>
    <row r="41524" spans="1:1" x14ac:dyDescent="0.3">
      <c r="A41524" t="s">
        <v>0</v>
      </c>
    </row>
    <row r="41525" spans="1:1" x14ac:dyDescent="0.3">
      <c r="A41525" t="s">
        <v>0</v>
      </c>
    </row>
    <row r="41526" spans="1:1" x14ac:dyDescent="0.3">
      <c r="A41526" t="s">
        <v>0</v>
      </c>
    </row>
    <row r="41527" spans="1:1" x14ac:dyDescent="0.3">
      <c r="A41527" t="s">
        <v>0</v>
      </c>
    </row>
    <row r="41528" spans="1:1" x14ac:dyDescent="0.3">
      <c r="A41528" t="s">
        <v>0</v>
      </c>
    </row>
    <row r="41529" spans="1:1" x14ac:dyDescent="0.3">
      <c r="A41529" t="s">
        <v>0</v>
      </c>
    </row>
    <row r="41530" spans="1:1" x14ac:dyDescent="0.3">
      <c r="A41530" t="s">
        <v>0</v>
      </c>
    </row>
    <row r="41531" spans="1:1" x14ac:dyDescent="0.3">
      <c r="A41531" t="s">
        <v>0</v>
      </c>
    </row>
    <row r="41532" spans="1:1" x14ac:dyDescent="0.3">
      <c r="A41532" t="s">
        <v>0</v>
      </c>
    </row>
    <row r="41533" spans="1:1" x14ac:dyDescent="0.3">
      <c r="A41533" t="s">
        <v>0</v>
      </c>
    </row>
    <row r="41534" spans="1:1" x14ac:dyDescent="0.3">
      <c r="A41534" t="s">
        <v>0</v>
      </c>
    </row>
    <row r="41535" spans="1:1" x14ac:dyDescent="0.3">
      <c r="A41535" t="s">
        <v>0</v>
      </c>
    </row>
    <row r="41536" spans="1:1" x14ac:dyDescent="0.3">
      <c r="A41536" t="s">
        <v>0</v>
      </c>
    </row>
    <row r="41537" spans="1:1" x14ac:dyDescent="0.3">
      <c r="A41537" t="s">
        <v>0</v>
      </c>
    </row>
    <row r="41538" spans="1:1" x14ac:dyDescent="0.3">
      <c r="A41538" t="s">
        <v>0</v>
      </c>
    </row>
    <row r="41539" spans="1:1" x14ac:dyDescent="0.3">
      <c r="A41539" t="s">
        <v>0</v>
      </c>
    </row>
    <row r="41540" spans="1:1" x14ac:dyDescent="0.3">
      <c r="A41540" t="s">
        <v>0</v>
      </c>
    </row>
    <row r="41541" spans="1:1" x14ac:dyDescent="0.3">
      <c r="A41541" t="s">
        <v>0</v>
      </c>
    </row>
    <row r="41542" spans="1:1" x14ac:dyDescent="0.3">
      <c r="A41542" t="s">
        <v>0</v>
      </c>
    </row>
    <row r="41543" spans="1:1" x14ac:dyDescent="0.3">
      <c r="A41543" t="s">
        <v>0</v>
      </c>
    </row>
    <row r="41544" spans="1:1" x14ac:dyDescent="0.3">
      <c r="A41544" t="s">
        <v>0</v>
      </c>
    </row>
    <row r="41545" spans="1:1" x14ac:dyDescent="0.3">
      <c r="A41545" t="s">
        <v>0</v>
      </c>
    </row>
    <row r="41546" spans="1:1" x14ac:dyDescent="0.3">
      <c r="A41546" t="s">
        <v>0</v>
      </c>
    </row>
    <row r="41547" spans="1:1" x14ac:dyDescent="0.3">
      <c r="A41547" t="s">
        <v>0</v>
      </c>
    </row>
    <row r="41548" spans="1:1" x14ac:dyDescent="0.3">
      <c r="A41548" t="s">
        <v>0</v>
      </c>
    </row>
    <row r="41549" spans="1:1" x14ac:dyDescent="0.3">
      <c r="A41549" t="s">
        <v>0</v>
      </c>
    </row>
    <row r="41550" spans="1:1" x14ac:dyDescent="0.3">
      <c r="A41550" t="s">
        <v>0</v>
      </c>
    </row>
    <row r="41551" spans="1:1" x14ac:dyDescent="0.3">
      <c r="A41551" t="s">
        <v>0</v>
      </c>
    </row>
    <row r="41552" spans="1:1" x14ac:dyDescent="0.3">
      <c r="A41552" t="s">
        <v>0</v>
      </c>
    </row>
    <row r="41553" spans="1:1" x14ac:dyDescent="0.3">
      <c r="A41553" t="s">
        <v>0</v>
      </c>
    </row>
    <row r="41554" spans="1:1" x14ac:dyDescent="0.3">
      <c r="A41554" t="s">
        <v>0</v>
      </c>
    </row>
    <row r="41555" spans="1:1" x14ac:dyDescent="0.3">
      <c r="A41555" t="s">
        <v>0</v>
      </c>
    </row>
    <row r="41556" spans="1:1" x14ac:dyDescent="0.3">
      <c r="A41556" t="s">
        <v>0</v>
      </c>
    </row>
    <row r="41557" spans="1:1" x14ac:dyDescent="0.3">
      <c r="A41557" t="s">
        <v>0</v>
      </c>
    </row>
    <row r="41558" spans="1:1" x14ac:dyDescent="0.3">
      <c r="A41558" t="s">
        <v>0</v>
      </c>
    </row>
    <row r="41559" spans="1:1" x14ac:dyDescent="0.3">
      <c r="A41559" t="s">
        <v>0</v>
      </c>
    </row>
    <row r="41560" spans="1:1" x14ac:dyDescent="0.3">
      <c r="A41560" t="s">
        <v>0</v>
      </c>
    </row>
    <row r="41561" spans="1:1" x14ac:dyDescent="0.3">
      <c r="A41561" t="s">
        <v>0</v>
      </c>
    </row>
    <row r="41562" spans="1:1" x14ac:dyDescent="0.3">
      <c r="A41562" t="s">
        <v>0</v>
      </c>
    </row>
    <row r="41563" spans="1:1" x14ac:dyDescent="0.3">
      <c r="A41563" t="s">
        <v>0</v>
      </c>
    </row>
    <row r="41564" spans="1:1" x14ac:dyDescent="0.3">
      <c r="A41564" t="s">
        <v>0</v>
      </c>
    </row>
    <row r="41565" spans="1:1" x14ac:dyDescent="0.3">
      <c r="A41565" t="s">
        <v>0</v>
      </c>
    </row>
    <row r="41566" spans="1:1" x14ac:dyDescent="0.3">
      <c r="A41566" t="s">
        <v>0</v>
      </c>
    </row>
    <row r="41567" spans="1:1" x14ac:dyDescent="0.3">
      <c r="A41567" t="s">
        <v>0</v>
      </c>
    </row>
    <row r="41568" spans="1:1" x14ac:dyDescent="0.3">
      <c r="A41568" t="s">
        <v>0</v>
      </c>
    </row>
    <row r="41569" spans="1:1" x14ac:dyDescent="0.3">
      <c r="A41569" t="s">
        <v>0</v>
      </c>
    </row>
    <row r="41570" spans="1:1" x14ac:dyDescent="0.3">
      <c r="A41570" t="s">
        <v>0</v>
      </c>
    </row>
    <row r="41571" spans="1:1" x14ac:dyDescent="0.3">
      <c r="A41571" t="s">
        <v>0</v>
      </c>
    </row>
    <row r="41572" spans="1:1" x14ac:dyDescent="0.3">
      <c r="A41572" t="s">
        <v>0</v>
      </c>
    </row>
    <row r="41573" spans="1:1" x14ac:dyDescent="0.3">
      <c r="A41573" t="s">
        <v>0</v>
      </c>
    </row>
    <row r="41574" spans="1:1" x14ac:dyDescent="0.3">
      <c r="A41574" t="s">
        <v>0</v>
      </c>
    </row>
    <row r="41575" spans="1:1" x14ac:dyDescent="0.3">
      <c r="A41575" t="s">
        <v>0</v>
      </c>
    </row>
    <row r="41576" spans="1:1" x14ac:dyDescent="0.3">
      <c r="A41576" t="s">
        <v>0</v>
      </c>
    </row>
    <row r="41577" spans="1:1" x14ac:dyDescent="0.3">
      <c r="A41577" t="s">
        <v>0</v>
      </c>
    </row>
    <row r="41578" spans="1:1" x14ac:dyDescent="0.3">
      <c r="A41578" t="s">
        <v>0</v>
      </c>
    </row>
    <row r="41579" spans="1:1" x14ac:dyDescent="0.3">
      <c r="A41579" t="s">
        <v>0</v>
      </c>
    </row>
    <row r="41580" spans="1:1" x14ac:dyDescent="0.3">
      <c r="A41580" t="s">
        <v>0</v>
      </c>
    </row>
    <row r="41581" spans="1:1" x14ac:dyDescent="0.3">
      <c r="A41581" t="s">
        <v>0</v>
      </c>
    </row>
    <row r="41582" spans="1:1" x14ac:dyDescent="0.3">
      <c r="A41582" t="s">
        <v>0</v>
      </c>
    </row>
    <row r="41583" spans="1:1" x14ac:dyDescent="0.3">
      <c r="A41583" t="s">
        <v>0</v>
      </c>
    </row>
    <row r="41584" spans="1:1" x14ac:dyDescent="0.3">
      <c r="A41584" t="s">
        <v>0</v>
      </c>
    </row>
    <row r="41585" spans="1:1" x14ac:dyDescent="0.3">
      <c r="A41585" t="s">
        <v>0</v>
      </c>
    </row>
    <row r="41586" spans="1:1" x14ac:dyDescent="0.3">
      <c r="A41586" t="s">
        <v>0</v>
      </c>
    </row>
    <row r="41587" spans="1:1" x14ac:dyDescent="0.3">
      <c r="A41587" t="s">
        <v>0</v>
      </c>
    </row>
    <row r="41588" spans="1:1" x14ac:dyDescent="0.3">
      <c r="A41588" t="s">
        <v>0</v>
      </c>
    </row>
    <row r="41589" spans="1:1" x14ac:dyDescent="0.3">
      <c r="A41589" t="s">
        <v>0</v>
      </c>
    </row>
    <row r="41590" spans="1:1" x14ac:dyDescent="0.3">
      <c r="A41590" t="s">
        <v>0</v>
      </c>
    </row>
    <row r="41591" spans="1:1" x14ac:dyDescent="0.3">
      <c r="A41591" t="s">
        <v>0</v>
      </c>
    </row>
    <row r="41592" spans="1:1" x14ac:dyDescent="0.3">
      <c r="A41592" t="s">
        <v>0</v>
      </c>
    </row>
    <row r="41593" spans="1:1" x14ac:dyDescent="0.3">
      <c r="A41593" t="s">
        <v>0</v>
      </c>
    </row>
    <row r="41594" spans="1:1" x14ac:dyDescent="0.3">
      <c r="A41594" t="s">
        <v>0</v>
      </c>
    </row>
    <row r="41595" spans="1:1" x14ac:dyDescent="0.3">
      <c r="A41595" t="s">
        <v>0</v>
      </c>
    </row>
    <row r="41596" spans="1:1" x14ac:dyDescent="0.3">
      <c r="A41596" t="s">
        <v>0</v>
      </c>
    </row>
    <row r="41597" spans="1:1" x14ac:dyDescent="0.3">
      <c r="A41597" t="s">
        <v>0</v>
      </c>
    </row>
    <row r="41598" spans="1:1" x14ac:dyDescent="0.3">
      <c r="A41598" t="s">
        <v>0</v>
      </c>
    </row>
    <row r="41599" spans="1:1" x14ac:dyDescent="0.3">
      <c r="A41599" t="s">
        <v>0</v>
      </c>
    </row>
    <row r="41600" spans="1:1" x14ac:dyDescent="0.3">
      <c r="A41600" t="s">
        <v>0</v>
      </c>
    </row>
    <row r="41601" spans="1:1" x14ac:dyDescent="0.3">
      <c r="A41601" t="s">
        <v>0</v>
      </c>
    </row>
    <row r="41602" spans="1:1" x14ac:dyDescent="0.3">
      <c r="A41602" t="s">
        <v>0</v>
      </c>
    </row>
    <row r="41603" spans="1:1" x14ac:dyDescent="0.3">
      <c r="A41603" t="s">
        <v>0</v>
      </c>
    </row>
    <row r="41604" spans="1:1" x14ac:dyDescent="0.3">
      <c r="A41604" t="s">
        <v>0</v>
      </c>
    </row>
    <row r="41605" spans="1:1" x14ac:dyDescent="0.3">
      <c r="A41605" t="s">
        <v>0</v>
      </c>
    </row>
    <row r="41606" spans="1:1" x14ac:dyDescent="0.3">
      <c r="A41606" t="s">
        <v>0</v>
      </c>
    </row>
    <row r="41607" spans="1:1" x14ac:dyDescent="0.3">
      <c r="A41607" t="s">
        <v>0</v>
      </c>
    </row>
    <row r="41608" spans="1:1" x14ac:dyDescent="0.3">
      <c r="A41608" t="s">
        <v>0</v>
      </c>
    </row>
    <row r="41609" spans="1:1" x14ac:dyDescent="0.3">
      <c r="A41609" t="s">
        <v>0</v>
      </c>
    </row>
    <row r="41610" spans="1:1" x14ac:dyDescent="0.3">
      <c r="A41610" t="s">
        <v>0</v>
      </c>
    </row>
    <row r="41611" spans="1:1" x14ac:dyDescent="0.3">
      <c r="A41611" t="s">
        <v>0</v>
      </c>
    </row>
    <row r="41612" spans="1:1" x14ac:dyDescent="0.3">
      <c r="A41612" t="s">
        <v>0</v>
      </c>
    </row>
    <row r="41613" spans="1:1" x14ac:dyDescent="0.3">
      <c r="A41613" t="s">
        <v>0</v>
      </c>
    </row>
    <row r="41614" spans="1:1" x14ac:dyDescent="0.3">
      <c r="A41614" t="s">
        <v>0</v>
      </c>
    </row>
    <row r="41615" spans="1:1" x14ac:dyDescent="0.3">
      <c r="A41615" t="s">
        <v>0</v>
      </c>
    </row>
    <row r="41616" spans="1:1" x14ac:dyDescent="0.3">
      <c r="A41616" t="s">
        <v>0</v>
      </c>
    </row>
    <row r="41617" spans="1:1" x14ac:dyDescent="0.3">
      <c r="A41617" t="s">
        <v>0</v>
      </c>
    </row>
    <row r="41618" spans="1:1" x14ac:dyDescent="0.3">
      <c r="A41618" t="s">
        <v>0</v>
      </c>
    </row>
    <row r="41619" spans="1:1" x14ac:dyDescent="0.3">
      <c r="A41619" t="s">
        <v>0</v>
      </c>
    </row>
    <row r="41620" spans="1:1" x14ac:dyDescent="0.3">
      <c r="A41620" t="s">
        <v>0</v>
      </c>
    </row>
    <row r="41621" spans="1:1" x14ac:dyDescent="0.3">
      <c r="A41621" t="s">
        <v>0</v>
      </c>
    </row>
    <row r="41622" spans="1:1" x14ac:dyDescent="0.3">
      <c r="A41622" t="s">
        <v>0</v>
      </c>
    </row>
    <row r="41623" spans="1:1" x14ac:dyDescent="0.3">
      <c r="A41623" t="s">
        <v>0</v>
      </c>
    </row>
    <row r="41624" spans="1:1" x14ac:dyDescent="0.3">
      <c r="A41624" t="s">
        <v>0</v>
      </c>
    </row>
    <row r="41625" spans="1:1" x14ac:dyDescent="0.3">
      <c r="A41625" t="s">
        <v>0</v>
      </c>
    </row>
    <row r="41626" spans="1:1" x14ac:dyDescent="0.3">
      <c r="A41626" t="s">
        <v>0</v>
      </c>
    </row>
    <row r="41627" spans="1:1" x14ac:dyDescent="0.3">
      <c r="A41627" t="s">
        <v>0</v>
      </c>
    </row>
    <row r="41628" spans="1:1" x14ac:dyDescent="0.3">
      <c r="A41628" t="s">
        <v>0</v>
      </c>
    </row>
    <row r="41629" spans="1:1" x14ac:dyDescent="0.3">
      <c r="A41629" t="s">
        <v>0</v>
      </c>
    </row>
    <row r="41630" spans="1:1" x14ac:dyDescent="0.3">
      <c r="A41630" t="s">
        <v>0</v>
      </c>
    </row>
    <row r="41631" spans="1:1" x14ac:dyDescent="0.3">
      <c r="A41631" t="s">
        <v>0</v>
      </c>
    </row>
    <row r="41632" spans="1:1" x14ac:dyDescent="0.3">
      <c r="A41632" t="s">
        <v>0</v>
      </c>
    </row>
    <row r="41633" spans="1:1" x14ac:dyDescent="0.3">
      <c r="A41633" t="s">
        <v>0</v>
      </c>
    </row>
    <row r="41634" spans="1:1" x14ac:dyDescent="0.3">
      <c r="A41634" t="s">
        <v>0</v>
      </c>
    </row>
    <row r="41635" spans="1:1" x14ac:dyDescent="0.3">
      <c r="A41635" t="s">
        <v>0</v>
      </c>
    </row>
    <row r="41636" spans="1:1" x14ac:dyDescent="0.3">
      <c r="A41636" t="s">
        <v>0</v>
      </c>
    </row>
    <row r="41637" spans="1:1" x14ac:dyDescent="0.3">
      <c r="A41637" t="s">
        <v>0</v>
      </c>
    </row>
    <row r="41638" spans="1:1" x14ac:dyDescent="0.3">
      <c r="A41638" t="s">
        <v>0</v>
      </c>
    </row>
    <row r="41639" spans="1:1" x14ac:dyDescent="0.3">
      <c r="A41639" t="s">
        <v>0</v>
      </c>
    </row>
    <row r="41640" spans="1:1" x14ac:dyDescent="0.3">
      <c r="A41640" t="s">
        <v>0</v>
      </c>
    </row>
    <row r="41641" spans="1:1" x14ac:dyDescent="0.3">
      <c r="A41641" t="s">
        <v>0</v>
      </c>
    </row>
    <row r="41642" spans="1:1" x14ac:dyDescent="0.3">
      <c r="A41642" t="s">
        <v>0</v>
      </c>
    </row>
    <row r="41643" spans="1:1" x14ac:dyDescent="0.3">
      <c r="A41643" t="s">
        <v>0</v>
      </c>
    </row>
    <row r="41644" spans="1:1" x14ac:dyDescent="0.3">
      <c r="A41644" t="s">
        <v>0</v>
      </c>
    </row>
    <row r="41645" spans="1:1" x14ac:dyDescent="0.3">
      <c r="A41645" t="s">
        <v>0</v>
      </c>
    </row>
    <row r="41646" spans="1:1" x14ac:dyDescent="0.3">
      <c r="A41646" t="s">
        <v>0</v>
      </c>
    </row>
    <row r="41647" spans="1:1" x14ac:dyDescent="0.3">
      <c r="A41647" t="s">
        <v>0</v>
      </c>
    </row>
    <row r="41648" spans="1:1" x14ac:dyDescent="0.3">
      <c r="A41648" t="s">
        <v>0</v>
      </c>
    </row>
    <row r="41649" spans="1:1" x14ac:dyDescent="0.3">
      <c r="A41649" t="s">
        <v>0</v>
      </c>
    </row>
    <row r="41650" spans="1:1" x14ac:dyDescent="0.3">
      <c r="A41650" t="s">
        <v>0</v>
      </c>
    </row>
    <row r="41651" spans="1:1" x14ac:dyDescent="0.3">
      <c r="A41651" t="s">
        <v>0</v>
      </c>
    </row>
    <row r="41652" spans="1:1" x14ac:dyDescent="0.3">
      <c r="A41652" t="s">
        <v>0</v>
      </c>
    </row>
    <row r="41653" spans="1:1" x14ac:dyDescent="0.3">
      <c r="A41653" t="s">
        <v>0</v>
      </c>
    </row>
    <row r="41654" spans="1:1" x14ac:dyDescent="0.3">
      <c r="A41654" t="s">
        <v>0</v>
      </c>
    </row>
    <row r="41655" spans="1:1" x14ac:dyDescent="0.3">
      <c r="A41655" t="s">
        <v>0</v>
      </c>
    </row>
    <row r="41656" spans="1:1" x14ac:dyDescent="0.3">
      <c r="A41656" t="s">
        <v>0</v>
      </c>
    </row>
    <row r="41657" spans="1:1" x14ac:dyDescent="0.3">
      <c r="A41657" t="s">
        <v>0</v>
      </c>
    </row>
    <row r="41658" spans="1:1" x14ac:dyDescent="0.3">
      <c r="A41658" t="s">
        <v>0</v>
      </c>
    </row>
    <row r="41659" spans="1:1" x14ac:dyDescent="0.3">
      <c r="A41659" t="s">
        <v>0</v>
      </c>
    </row>
    <row r="41660" spans="1:1" x14ac:dyDescent="0.3">
      <c r="A41660" t="s">
        <v>0</v>
      </c>
    </row>
    <row r="41661" spans="1:1" x14ac:dyDescent="0.3">
      <c r="A41661" t="s">
        <v>0</v>
      </c>
    </row>
    <row r="41662" spans="1:1" x14ac:dyDescent="0.3">
      <c r="A41662" t="s">
        <v>0</v>
      </c>
    </row>
    <row r="41663" spans="1:1" x14ac:dyDescent="0.3">
      <c r="A41663" t="s">
        <v>0</v>
      </c>
    </row>
    <row r="41664" spans="1:1" x14ac:dyDescent="0.3">
      <c r="A41664" t="s">
        <v>0</v>
      </c>
    </row>
    <row r="41665" spans="1:1" x14ac:dyDescent="0.3">
      <c r="A41665" t="s">
        <v>0</v>
      </c>
    </row>
    <row r="41666" spans="1:1" x14ac:dyDescent="0.3">
      <c r="A41666" t="s">
        <v>0</v>
      </c>
    </row>
    <row r="41667" spans="1:1" x14ac:dyDescent="0.3">
      <c r="A41667" t="s">
        <v>0</v>
      </c>
    </row>
    <row r="41668" spans="1:1" x14ac:dyDescent="0.3">
      <c r="A41668" t="s">
        <v>0</v>
      </c>
    </row>
    <row r="41669" spans="1:1" x14ac:dyDescent="0.3">
      <c r="A41669" t="s">
        <v>0</v>
      </c>
    </row>
    <row r="41670" spans="1:1" x14ac:dyDescent="0.3">
      <c r="A41670" t="s">
        <v>0</v>
      </c>
    </row>
    <row r="41671" spans="1:1" x14ac:dyDescent="0.3">
      <c r="A41671" t="s">
        <v>0</v>
      </c>
    </row>
    <row r="41672" spans="1:1" x14ac:dyDescent="0.3">
      <c r="A41672" t="s">
        <v>0</v>
      </c>
    </row>
    <row r="41673" spans="1:1" x14ac:dyDescent="0.3">
      <c r="A41673" t="s">
        <v>0</v>
      </c>
    </row>
    <row r="41674" spans="1:1" x14ac:dyDescent="0.3">
      <c r="A41674" t="s">
        <v>0</v>
      </c>
    </row>
    <row r="41675" spans="1:1" x14ac:dyDescent="0.3">
      <c r="A41675" t="s">
        <v>0</v>
      </c>
    </row>
    <row r="41676" spans="1:1" x14ac:dyDescent="0.3">
      <c r="A41676" t="s">
        <v>0</v>
      </c>
    </row>
    <row r="41677" spans="1:1" x14ac:dyDescent="0.3">
      <c r="A41677" t="s">
        <v>0</v>
      </c>
    </row>
    <row r="41678" spans="1:1" x14ac:dyDescent="0.3">
      <c r="A41678" t="s">
        <v>0</v>
      </c>
    </row>
    <row r="41679" spans="1:1" x14ac:dyDescent="0.3">
      <c r="A41679" t="s">
        <v>0</v>
      </c>
    </row>
    <row r="41680" spans="1:1" x14ac:dyDescent="0.3">
      <c r="A41680" t="s">
        <v>0</v>
      </c>
    </row>
    <row r="41681" spans="1:1" x14ac:dyDescent="0.3">
      <c r="A41681" t="s">
        <v>0</v>
      </c>
    </row>
    <row r="41682" spans="1:1" x14ac:dyDescent="0.3">
      <c r="A41682" t="s">
        <v>0</v>
      </c>
    </row>
    <row r="41683" spans="1:1" x14ac:dyDescent="0.3">
      <c r="A41683" t="s">
        <v>0</v>
      </c>
    </row>
    <row r="41684" spans="1:1" x14ac:dyDescent="0.3">
      <c r="A41684" t="s">
        <v>0</v>
      </c>
    </row>
    <row r="41685" spans="1:1" x14ac:dyDescent="0.3">
      <c r="A41685" t="s">
        <v>0</v>
      </c>
    </row>
    <row r="41686" spans="1:1" x14ac:dyDescent="0.3">
      <c r="A41686" t="s">
        <v>0</v>
      </c>
    </row>
    <row r="41687" spans="1:1" x14ac:dyDescent="0.3">
      <c r="A41687" t="s">
        <v>0</v>
      </c>
    </row>
    <row r="41688" spans="1:1" x14ac:dyDescent="0.3">
      <c r="A41688" t="s">
        <v>0</v>
      </c>
    </row>
    <row r="41689" spans="1:1" x14ac:dyDescent="0.3">
      <c r="A41689" t="s">
        <v>0</v>
      </c>
    </row>
    <row r="41690" spans="1:1" x14ac:dyDescent="0.3">
      <c r="A41690" t="s">
        <v>0</v>
      </c>
    </row>
    <row r="41691" spans="1:1" x14ac:dyDescent="0.3">
      <c r="A41691" t="s">
        <v>0</v>
      </c>
    </row>
    <row r="41692" spans="1:1" x14ac:dyDescent="0.3">
      <c r="A41692" t="s">
        <v>0</v>
      </c>
    </row>
    <row r="41693" spans="1:1" x14ac:dyDescent="0.3">
      <c r="A41693" t="s">
        <v>0</v>
      </c>
    </row>
    <row r="41694" spans="1:1" x14ac:dyDescent="0.3">
      <c r="A41694" t="s">
        <v>0</v>
      </c>
    </row>
    <row r="41695" spans="1:1" x14ac:dyDescent="0.3">
      <c r="A41695" t="s">
        <v>0</v>
      </c>
    </row>
    <row r="41696" spans="1:1" x14ac:dyDescent="0.3">
      <c r="A41696" t="s">
        <v>0</v>
      </c>
    </row>
    <row r="41697" spans="1:1" x14ac:dyDescent="0.3">
      <c r="A41697" t="s">
        <v>0</v>
      </c>
    </row>
    <row r="41698" spans="1:1" x14ac:dyDescent="0.3">
      <c r="A41698" t="s">
        <v>0</v>
      </c>
    </row>
    <row r="41699" spans="1:1" x14ac:dyDescent="0.3">
      <c r="A41699" t="s">
        <v>0</v>
      </c>
    </row>
    <row r="41700" spans="1:1" x14ac:dyDescent="0.3">
      <c r="A41700" t="s">
        <v>0</v>
      </c>
    </row>
    <row r="41701" spans="1:1" x14ac:dyDescent="0.3">
      <c r="A41701" t="s">
        <v>0</v>
      </c>
    </row>
    <row r="41702" spans="1:1" x14ac:dyDescent="0.3">
      <c r="A41702" t="s">
        <v>0</v>
      </c>
    </row>
    <row r="41703" spans="1:1" x14ac:dyDescent="0.3">
      <c r="A41703" t="s">
        <v>0</v>
      </c>
    </row>
    <row r="41704" spans="1:1" x14ac:dyDescent="0.3">
      <c r="A41704" t="s">
        <v>0</v>
      </c>
    </row>
    <row r="41705" spans="1:1" x14ac:dyDescent="0.3">
      <c r="A41705" t="s">
        <v>0</v>
      </c>
    </row>
    <row r="41706" spans="1:1" x14ac:dyDescent="0.3">
      <c r="A41706" t="s">
        <v>0</v>
      </c>
    </row>
    <row r="41707" spans="1:1" x14ac:dyDescent="0.3">
      <c r="A41707" t="s">
        <v>0</v>
      </c>
    </row>
    <row r="41708" spans="1:1" x14ac:dyDescent="0.3">
      <c r="A41708" t="s">
        <v>0</v>
      </c>
    </row>
    <row r="41709" spans="1:1" x14ac:dyDescent="0.3">
      <c r="A41709" t="s">
        <v>0</v>
      </c>
    </row>
    <row r="41710" spans="1:1" x14ac:dyDescent="0.3">
      <c r="A41710" t="s">
        <v>0</v>
      </c>
    </row>
    <row r="41711" spans="1:1" x14ac:dyDescent="0.3">
      <c r="A41711" t="s">
        <v>0</v>
      </c>
    </row>
    <row r="41712" spans="1:1" x14ac:dyDescent="0.3">
      <c r="A41712" t="s">
        <v>0</v>
      </c>
    </row>
    <row r="41713" spans="1:1" x14ac:dyDescent="0.3">
      <c r="A41713" t="s">
        <v>0</v>
      </c>
    </row>
    <row r="41714" spans="1:1" x14ac:dyDescent="0.3">
      <c r="A41714" t="s">
        <v>0</v>
      </c>
    </row>
    <row r="41715" spans="1:1" x14ac:dyDescent="0.3">
      <c r="A41715" t="s">
        <v>0</v>
      </c>
    </row>
    <row r="41716" spans="1:1" x14ac:dyDescent="0.3">
      <c r="A41716" t="s">
        <v>0</v>
      </c>
    </row>
    <row r="41717" spans="1:1" x14ac:dyDescent="0.3">
      <c r="A41717" t="s">
        <v>0</v>
      </c>
    </row>
    <row r="41718" spans="1:1" x14ac:dyDescent="0.3">
      <c r="A41718" t="s">
        <v>0</v>
      </c>
    </row>
    <row r="41719" spans="1:1" x14ac:dyDescent="0.3">
      <c r="A41719" t="s">
        <v>0</v>
      </c>
    </row>
    <row r="41720" spans="1:1" x14ac:dyDescent="0.3">
      <c r="A41720" t="s">
        <v>0</v>
      </c>
    </row>
    <row r="41721" spans="1:1" x14ac:dyDescent="0.3">
      <c r="A41721" t="s">
        <v>0</v>
      </c>
    </row>
    <row r="41722" spans="1:1" x14ac:dyDescent="0.3">
      <c r="A41722" t="s">
        <v>0</v>
      </c>
    </row>
    <row r="41723" spans="1:1" x14ac:dyDescent="0.3">
      <c r="A41723" t="s">
        <v>0</v>
      </c>
    </row>
    <row r="41724" spans="1:1" x14ac:dyDescent="0.3">
      <c r="A41724" t="s">
        <v>0</v>
      </c>
    </row>
    <row r="41725" spans="1:1" x14ac:dyDescent="0.3">
      <c r="A41725" t="s">
        <v>0</v>
      </c>
    </row>
    <row r="41726" spans="1:1" x14ac:dyDescent="0.3">
      <c r="A41726" t="s">
        <v>0</v>
      </c>
    </row>
    <row r="41727" spans="1:1" x14ac:dyDescent="0.3">
      <c r="A41727" t="s">
        <v>0</v>
      </c>
    </row>
    <row r="41728" spans="1:1" x14ac:dyDescent="0.3">
      <c r="A41728" t="s">
        <v>0</v>
      </c>
    </row>
    <row r="41729" spans="1:1" x14ac:dyDescent="0.3">
      <c r="A41729" t="s">
        <v>0</v>
      </c>
    </row>
    <row r="41730" spans="1:1" x14ac:dyDescent="0.3">
      <c r="A41730" t="s">
        <v>0</v>
      </c>
    </row>
    <row r="41731" spans="1:1" x14ac:dyDescent="0.3">
      <c r="A41731" t="s">
        <v>0</v>
      </c>
    </row>
    <row r="41732" spans="1:1" x14ac:dyDescent="0.3">
      <c r="A41732" t="s">
        <v>0</v>
      </c>
    </row>
    <row r="41733" spans="1:1" x14ac:dyDescent="0.3">
      <c r="A41733" t="s">
        <v>0</v>
      </c>
    </row>
    <row r="41734" spans="1:1" x14ac:dyDescent="0.3">
      <c r="A41734" t="s">
        <v>0</v>
      </c>
    </row>
    <row r="41735" spans="1:1" x14ac:dyDescent="0.3">
      <c r="A41735" t="s">
        <v>0</v>
      </c>
    </row>
    <row r="41736" spans="1:1" x14ac:dyDescent="0.3">
      <c r="A41736" t="s">
        <v>0</v>
      </c>
    </row>
    <row r="41737" spans="1:1" x14ac:dyDescent="0.3">
      <c r="A41737" t="s">
        <v>0</v>
      </c>
    </row>
    <row r="41738" spans="1:1" x14ac:dyDescent="0.3">
      <c r="A41738" t="s">
        <v>0</v>
      </c>
    </row>
    <row r="41739" spans="1:1" x14ac:dyDescent="0.3">
      <c r="A41739" t="s">
        <v>0</v>
      </c>
    </row>
    <row r="41740" spans="1:1" x14ac:dyDescent="0.3">
      <c r="A41740" t="s">
        <v>0</v>
      </c>
    </row>
    <row r="41741" spans="1:1" x14ac:dyDescent="0.3">
      <c r="A41741" t="s">
        <v>0</v>
      </c>
    </row>
    <row r="41742" spans="1:1" x14ac:dyDescent="0.3">
      <c r="A41742" t="s">
        <v>0</v>
      </c>
    </row>
    <row r="41743" spans="1:1" x14ac:dyDescent="0.3">
      <c r="A41743" t="s">
        <v>0</v>
      </c>
    </row>
    <row r="41744" spans="1:1" x14ac:dyDescent="0.3">
      <c r="A41744" t="s">
        <v>0</v>
      </c>
    </row>
    <row r="41745" spans="1:1" x14ac:dyDescent="0.3">
      <c r="A41745" t="s">
        <v>0</v>
      </c>
    </row>
    <row r="41746" spans="1:1" x14ac:dyDescent="0.3">
      <c r="A41746" t="s">
        <v>0</v>
      </c>
    </row>
    <row r="41747" spans="1:1" x14ac:dyDescent="0.3">
      <c r="A41747" t="s">
        <v>0</v>
      </c>
    </row>
    <row r="41748" spans="1:1" x14ac:dyDescent="0.3">
      <c r="A41748" t="s">
        <v>0</v>
      </c>
    </row>
    <row r="41749" spans="1:1" x14ac:dyDescent="0.3">
      <c r="A41749" t="s">
        <v>0</v>
      </c>
    </row>
    <row r="41750" spans="1:1" x14ac:dyDescent="0.3">
      <c r="A41750" t="s">
        <v>0</v>
      </c>
    </row>
    <row r="41751" spans="1:1" x14ac:dyDescent="0.3">
      <c r="A41751" t="s">
        <v>0</v>
      </c>
    </row>
    <row r="41752" spans="1:1" x14ac:dyDescent="0.3">
      <c r="A41752" t="s">
        <v>0</v>
      </c>
    </row>
    <row r="41753" spans="1:1" x14ac:dyDescent="0.3">
      <c r="A41753" t="s">
        <v>0</v>
      </c>
    </row>
    <row r="41754" spans="1:1" x14ac:dyDescent="0.3">
      <c r="A41754" t="s">
        <v>0</v>
      </c>
    </row>
    <row r="41755" spans="1:1" x14ac:dyDescent="0.3">
      <c r="A41755" t="s">
        <v>0</v>
      </c>
    </row>
    <row r="41756" spans="1:1" x14ac:dyDescent="0.3">
      <c r="A41756" t="s">
        <v>0</v>
      </c>
    </row>
    <row r="41757" spans="1:1" x14ac:dyDescent="0.3">
      <c r="A41757" t="s">
        <v>0</v>
      </c>
    </row>
    <row r="41758" spans="1:1" x14ac:dyDescent="0.3">
      <c r="A41758" t="s">
        <v>0</v>
      </c>
    </row>
    <row r="41759" spans="1:1" x14ac:dyDescent="0.3">
      <c r="A41759" t="s">
        <v>0</v>
      </c>
    </row>
    <row r="41760" spans="1:1" x14ac:dyDescent="0.3">
      <c r="A41760" t="s">
        <v>0</v>
      </c>
    </row>
    <row r="41761" spans="1:1" x14ac:dyDescent="0.3">
      <c r="A41761" t="s">
        <v>0</v>
      </c>
    </row>
    <row r="41762" spans="1:1" x14ac:dyDescent="0.3">
      <c r="A41762" t="s">
        <v>0</v>
      </c>
    </row>
    <row r="41763" spans="1:1" x14ac:dyDescent="0.3">
      <c r="A41763" t="s">
        <v>0</v>
      </c>
    </row>
    <row r="41764" spans="1:1" x14ac:dyDescent="0.3">
      <c r="A41764" t="s">
        <v>0</v>
      </c>
    </row>
    <row r="41765" spans="1:1" x14ac:dyDescent="0.3">
      <c r="A41765" t="s">
        <v>0</v>
      </c>
    </row>
    <row r="41766" spans="1:1" x14ac:dyDescent="0.3">
      <c r="A41766" t="s">
        <v>0</v>
      </c>
    </row>
    <row r="41767" spans="1:1" x14ac:dyDescent="0.3">
      <c r="A41767" t="s">
        <v>0</v>
      </c>
    </row>
    <row r="41768" spans="1:1" x14ac:dyDescent="0.3">
      <c r="A41768" t="s">
        <v>0</v>
      </c>
    </row>
    <row r="41769" spans="1:1" x14ac:dyDescent="0.3">
      <c r="A41769" t="s">
        <v>0</v>
      </c>
    </row>
    <row r="41770" spans="1:1" x14ac:dyDescent="0.3">
      <c r="A41770" t="s">
        <v>0</v>
      </c>
    </row>
    <row r="41771" spans="1:1" x14ac:dyDescent="0.3">
      <c r="A41771" t="s">
        <v>0</v>
      </c>
    </row>
    <row r="41772" spans="1:1" x14ac:dyDescent="0.3">
      <c r="A41772" t="s">
        <v>0</v>
      </c>
    </row>
    <row r="41773" spans="1:1" x14ac:dyDescent="0.3">
      <c r="A41773" t="s">
        <v>0</v>
      </c>
    </row>
    <row r="41774" spans="1:1" x14ac:dyDescent="0.3">
      <c r="A41774" t="s">
        <v>0</v>
      </c>
    </row>
    <row r="41775" spans="1:1" x14ac:dyDescent="0.3">
      <c r="A41775" t="s">
        <v>0</v>
      </c>
    </row>
    <row r="41776" spans="1:1" x14ac:dyDescent="0.3">
      <c r="A41776" t="s">
        <v>0</v>
      </c>
    </row>
    <row r="41777" spans="1:1" x14ac:dyDescent="0.3">
      <c r="A41777" t="s">
        <v>0</v>
      </c>
    </row>
    <row r="41778" spans="1:1" x14ac:dyDescent="0.3">
      <c r="A41778" t="s">
        <v>0</v>
      </c>
    </row>
    <row r="41779" spans="1:1" x14ac:dyDescent="0.3">
      <c r="A41779" t="s">
        <v>0</v>
      </c>
    </row>
    <row r="41780" spans="1:1" x14ac:dyDescent="0.3">
      <c r="A41780" t="s">
        <v>0</v>
      </c>
    </row>
    <row r="41781" spans="1:1" x14ac:dyDescent="0.3">
      <c r="A41781" t="s">
        <v>0</v>
      </c>
    </row>
    <row r="41782" spans="1:1" x14ac:dyDescent="0.3">
      <c r="A41782" t="s">
        <v>0</v>
      </c>
    </row>
    <row r="41783" spans="1:1" x14ac:dyDescent="0.3">
      <c r="A41783" t="s">
        <v>0</v>
      </c>
    </row>
    <row r="41784" spans="1:1" x14ac:dyDescent="0.3">
      <c r="A41784" t="s">
        <v>0</v>
      </c>
    </row>
    <row r="41785" spans="1:1" x14ac:dyDescent="0.3">
      <c r="A41785" t="s">
        <v>0</v>
      </c>
    </row>
    <row r="41786" spans="1:1" x14ac:dyDescent="0.3">
      <c r="A41786" t="s">
        <v>0</v>
      </c>
    </row>
    <row r="41787" spans="1:1" x14ac:dyDescent="0.3">
      <c r="A41787" t="s">
        <v>0</v>
      </c>
    </row>
    <row r="41788" spans="1:1" x14ac:dyDescent="0.3">
      <c r="A41788" t="s">
        <v>0</v>
      </c>
    </row>
    <row r="41789" spans="1:1" x14ac:dyDescent="0.3">
      <c r="A41789" t="s">
        <v>0</v>
      </c>
    </row>
    <row r="41790" spans="1:1" x14ac:dyDescent="0.3">
      <c r="A41790" t="s">
        <v>0</v>
      </c>
    </row>
    <row r="41791" spans="1:1" x14ac:dyDescent="0.3">
      <c r="A41791" t="s">
        <v>0</v>
      </c>
    </row>
    <row r="41792" spans="1:1" x14ac:dyDescent="0.3">
      <c r="A41792" t="s">
        <v>0</v>
      </c>
    </row>
    <row r="41793" spans="1:1" x14ac:dyDescent="0.3">
      <c r="A41793" t="s">
        <v>0</v>
      </c>
    </row>
    <row r="41794" spans="1:1" x14ac:dyDescent="0.3">
      <c r="A41794" t="s">
        <v>0</v>
      </c>
    </row>
    <row r="41795" spans="1:1" x14ac:dyDescent="0.3">
      <c r="A41795" t="s">
        <v>0</v>
      </c>
    </row>
    <row r="41796" spans="1:1" x14ac:dyDescent="0.3">
      <c r="A41796" t="s">
        <v>0</v>
      </c>
    </row>
    <row r="41797" spans="1:1" x14ac:dyDescent="0.3">
      <c r="A41797" t="s">
        <v>0</v>
      </c>
    </row>
    <row r="41798" spans="1:1" x14ac:dyDescent="0.3">
      <c r="A41798" t="s">
        <v>0</v>
      </c>
    </row>
    <row r="41799" spans="1:1" x14ac:dyDescent="0.3">
      <c r="A41799" t="s">
        <v>0</v>
      </c>
    </row>
    <row r="41800" spans="1:1" x14ac:dyDescent="0.3">
      <c r="A41800" t="s">
        <v>0</v>
      </c>
    </row>
    <row r="41801" spans="1:1" x14ac:dyDescent="0.3">
      <c r="A41801" t="s">
        <v>0</v>
      </c>
    </row>
    <row r="41802" spans="1:1" x14ac:dyDescent="0.3">
      <c r="A41802" t="s">
        <v>0</v>
      </c>
    </row>
    <row r="41803" spans="1:1" x14ac:dyDescent="0.3">
      <c r="A41803" t="s">
        <v>0</v>
      </c>
    </row>
    <row r="41804" spans="1:1" x14ac:dyDescent="0.3">
      <c r="A41804" t="s">
        <v>0</v>
      </c>
    </row>
    <row r="41805" spans="1:1" x14ac:dyDescent="0.3">
      <c r="A41805" t="s">
        <v>0</v>
      </c>
    </row>
    <row r="41806" spans="1:1" x14ac:dyDescent="0.3">
      <c r="A41806" t="s">
        <v>0</v>
      </c>
    </row>
    <row r="41807" spans="1:1" x14ac:dyDescent="0.3">
      <c r="A41807" t="s">
        <v>0</v>
      </c>
    </row>
    <row r="41808" spans="1:1" x14ac:dyDescent="0.3">
      <c r="A41808" t="s">
        <v>0</v>
      </c>
    </row>
    <row r="41809" spans="1:1" x14ac:dyDescent="0.3">
      <c r="A41809" t="s">
        <v>0</v>
      </c>
    </row>
    <row r="41810" spans="1:1" x14ac:dyDescent="0.3">
      <c r="A41810" t="s">
        <v>0</v>
      </c>
    </row>
    <row r="41811" spans="1:1" x14ac:dyDescent="0.3">
      <c r="A41811" t="s">
        <v>0</v>
      </c>
    </row>
    <row r="41812" spans="1:1" x14ac:dyDescent="0.3">
      <c r="A41812" t="s">
        <v>0</v>
      </c>
    </row>
    <row r="41813" spans="1:1" x14ac:dyDescent="0.3">
      <c r="A41813" t="s">
        <v>0</v>
      </c>
    </row>
    <row r="41814" spans="1:1" x14ac:dyDescent="0.3">
      <c r="A41814" t="s">
        <v>0</v>
      </c>
    </row>
    <row r="41815" spans="1:1" x14ac:dyDescent="0.3">
      <c r="A41815" t="s">
        <v>0</v>
      </c>
    </row>
    <row r="41816" spans="1:1" x14ac:dyDescent="0.3">
      <c r="A41816" t="s">
        <v>0</v>
      </c>
    </row>
    <row r="41817" spans="1:1" x14ac:dyDescent="0.3">
      <c r="A41817" t="s">
        <v>0</v>
      </c>
    </row>
    <row r="41818" spans="1:1" x14ac:dyDescent="0.3">
      <c r="A41818" t="s">
        <v>0</v>
      </c>
    </row>
    <row r="41819" spans="1:1" x14ac:dyDescent="0.3">
      <c r="A41819" t="s">
        <v>0</v>
      </c>
    </row>
    <row r="41820" spans="1:1" x14ac:dyDescent="0.3">
      <c r="A41820" t="s">
        <v>0</v>
      </c>
    </row>
    <row r="41821" spans="1:1" x14ac:dyDescent="0.3">
      <c r="A41821" t="s">
        <v>0</v>
      </c>
    </row>
    <row r="41822" spans="1:1" x14ac:dyDescent="0.3">
      <c r="A41822" t="s">
        <v>0</v>
      </c>
    </row>
    <row r="41823" spans="1:1" x14ac:dyDescent="0.3">
      <c r="A41823" t="s">
        <v>0</v>
      </c>
    </row>
    <row r="41824" spans="1:1" x14ac:dyDescent="0.3">
      <c r="A41824" t="s">
        <v>0</v>
      </c>
    </row>
    <row r="41825" spans="1:1" x14ac:dyDescent="0.3">
      <c r="A41825" t="s">
        <v>0</v>
      </c>
    </row>
    <row r="41826" spans="1:1" x14ac:dyDescent="0.3">
      <c r="A41826" t="s">
        <v>0</v>
      </c>
    </row>
    <row r="41827" spans="1:1" x14ac:dyDescent="0.3">
      <c r="A41827" t="s">
        <v>0</v>
      </c>
    </row>
    <row r="41828" spans="1:1" x14ac:dyDescent="0.3">
      <c r="A41828" t="s">
        <v>0</v>
      </c>
    </row>
    <row r="41829" spans="1:1" x14ac:dyDescent="0.3">
      <c r="A41829" t="s">
        <v>0</v>
      </c>
    </row>
    <row r="41830" spans="1:1" x14ac:dyDescent="0.3">
      <c r="A41830" t="s">
        <v>0</v>
      </c>
    </row>
    <row r="41831" spans="1:1" x14ac:dyDescent="0.3">
      <c r="A41831" t="s">
        <v>0</v>
      </c>
    </row>
    <row r="41832" spans="1:1" x14ac:dyDescent="0.3">
      <c r="A41832" t="s">
        <v>0</v>
      </c>
    </row>
    <row r="41833" spans="1:1" x14ac:dyDescent="0.3">
      <c r="A41833" t="s">
        <v>0</v>
      </c>
    </row>
    <row r="41834" spans="1:1" x14ac:dyDescent="0.3">
      <c r="A41834" t="s">
        <v>0</v>
      </c>
    </row>
    <row r="41835" spans="1:1" x14ac:dyDescent="0.3">
      <c r="A41835" t="s">
        <v>0</v>
      </c>
    </row>
    <row r="41836" spans="1:1" x14ac:dyDescent="0.3">
      <c r="A41836" t="s">
        <v>0</v>
      </c>
    </row>
    <row r="41837" spans="1:1" x14ac:dyDescent="0.3">
      <c r="A41837" t="s">
        <v>0</v>
      </c>
    </row>
    <row r="41838" spans="1:1" x14ac:dyDescent="0.3">
      <c r="A41838" t="s">
        <v>0</v>
      </c>
    </row>
    <row r="41839" spans="1:1" x14ac:dyDescent="0.3">
      <c r="A41839" t="s">
        <v>0</v>
      </c>
    </row>
    <row r="41840" spans="1:1" x14ac:dyDescent="0.3">
      <c r="A41840" t="s">
        <v>0</v>
      </c>
    </row>
    <row r="41841" spans="1:1" x14ac:dyDescent="0.3">
      <c r="A41841" t="s">
        <v>0</v>
      </c>
    </row>
    <row r="41842" spans="1:1" x14ac:dyDescent="0.3">
      <c r="A41842" t="s">
        <v>0</v>
      </c>
    </row>
    <row r="41843" spans="1:1" x14ac:dyDescent="0.3">
      <c r="A41843" t="s">
        <v>0</v>
      </c>
    </row>
    <row r="41844" spans="1:1" x14ac:dyDescent="0.3">
      <c r="A41844" t="s">
        <v>0</v>
      </c>
    </row>
    <row r="41845" spans="1:1" x14ac:dyDescent="0.3">
      <c r="A41845" t="s">
        <v>0</v>
      </c>
    </row>
    <row r="41846" spans="1:1" x14ac:dyDescent="0.3">
      <c r="A41846" t="s">
        <v>0</v>
      </c>
    </row>
    <row r="41847" spans="1:1" x14ac:dyDescent="0.3">
      <c r="A41847" t="s">
        <v>0</v>
      </c>
    </row>
    <row r="41848" spans="1:1" x14ac:dyDescent="0.3">
      <c r="A41848" t="s">
        <v>0</v>
      </c>
    </row>
    <row r="41849" spans="1:1" x14ac:dyDescent="0.3">
      <c r="A41849" t="s">
        <v>0</v>
      </c>
    </row>
    <row r="41850" spans="1:1" x14ac:dyDescent="0.3">
      <c r="A41850" t="s">
        <v>0</v>
      </c>
    </row>
    <row r="41851" spans="1:1" x14ac:dyDescent="0.3">
      <c r="A41851" t="s">
        <v>0</v>
      </c>
    </row>
    <row r="41852" spans="1:1" x14ac:dyDescent="0.3">
      <c r="A41852" t="s">
        <v>0</v>
      </c>
    </row>
    <row r="41853" spans="1:1" x14ac:dyDescent="0.3">
      <c r="A41853" t="s">
        <v>0</v>
      </c>
    </row>
    <row r="41854" spans="1:1" x14ac:dyDescent="0.3">
      <c r="A41854" t="s">
        <v>0</v>
      </c>
    </row>
    <row r="41855" spans="1:1" x14ac:dyDescent="0.3">
      <c r="A41855" t="s">
        <v>0</v>
      </c>
    </row>
    <row r="41856" spans="1:1" x14ac:dyDescent="0.3">
      <c r="A41856" t="s">
        <v>0</v>
      </c>
    </row>
    <row r="41857" spans="1:1" x14ac:dyDescent="0.3">
      <c r="A41857" t="s">
        <v>0</v>
      </c>
    </row>
    <row r="41858" spans="1:1" x14ac:dyDescent="0.3">
      <c r="A41858" t="s">
        <v>0</v>
      </c>
    </row>
    <row r="41859" spans="1:1" x14ac:dyDescent="0.3">
      <c r="A41859" t="s">
        <v>0</v>
      </c>
    </row>
    <row r="41860" spans="1:1" x14ac:dyDescent="0.3">
      <c r="A41860" t="s">
        <v>0</v>
      </c>
    </row>
    <row r="41861" spans="1:1" x14ac:dyDescent="0.3">
      <c r="A41861" t="s">
        <v>0</v>
      </c>
    </row>
    <row r="41862" spans="1:1" x14ac:dyDescent="0.3">
      <c r="A41862" t="s">
        <v>0</v>
      </c>
    </row>
    <row r="41863" spans="1:1" x14ac:dyDescent="0.3">
      <c r="A41863" t="s">
        <v>0</v>
      </c>
    </row>
    <row r="41864" spans="1:1" x14ac:dyDescent="0.3">
      <c r="A41864" t="s">
        <v>0</v>
      </c>
    </row>
    <row r="41865" spans="1:1" x14ac:dyDescent="0.3">
      <c r="A41865" t="s">
        <v>0</v>
      </c>
    </row>
    <row r="41866" spans="1:1" x14ac:dyDescent="0.3">
      <c r="A41866" t="s">
        <v>0</v>
      </c>
    </row>
    <row r="41867" spans="1:1" x14ac:dyDescent="0.3">
      <c r="A41867" t="s">
        <v>0</v>
      </c>
    </row>
    <row r="41868" spans="1:1" x14ac:dyDescent="0.3">
      <c r="A41868" t="s">
        <v>0</v>
      </c>
    </row>
    <row r="41869" spans="1:1" x14ac:dyDescent="0.3">
      <c r="A41869" t="s">
        <v>0</v>
      </c>
    </row>
    <row r="41870" spans="1:1" x14ac:dyDescent="0.3">
      <c r="A41870" t="s">
        <v>0</v>
      </c>
    </row>
    <row r="41871" spans="1:1" x14ac:dyDescent="0.3">
      <c r="A41871" t="s">
        <v>0</v>
      </c>
    </row>
    <row r="41872" spans="1:1" x14ac:dyDescent="0.3">
      <c r="A41872" t="s">
        <v>0</v>
      </c>
    </row>
    <row r="41873" spans="1:1" x14ac:dyDescent="0.3">
      <c r="A41873" t="s">
        <v>0</v>
      </c>
    </row>
    <row r="41874" spans="1:1" x14ac:dyDescent="0.3">
      <c r="A41874" t="s">
        <v>0</v>
      </c>
    </row>
    <row r="41875" spans="1:1" x14ac:dyDescent="0.3">
      <c r="A41875" t="s">
        <v>0</v>
      </c>
    </row>
    <row r="41876" spans="1:1" x14ac:dyDescent="0.3">
      <c r="A41876" t="s">
        <v>0</v>
      </c>
    </row>
    <row r="41877" spans="1:1" x14ac:dyDescent="0.3">
      <c r="A41877" t="s">
        <v>0</v>
      </c>
    </row>
    <row r="41878" spans="1:1" x14ac:dyDescent="0.3">
      <c r="A41878" t="s">
        <v>0</v>
      </c>
    </row>
    <row r="41879" spans="1:1" x14ac:dyDescent="0.3">
      <c r="A41879" t="s">
        <v>0</v>
      </c>
    </row>
    <row r="41880" spans="1:1" x14ac:dyDescent="0.3">
      <c r="A41880" t="s">
        <v>0</v>
      </c>
    </row>
    <row r="41881" spans="1:1" x14ac:dyDescent="0.3">
      <c r="A41881" t="s">
        <v>0</v>
      </c>
    </row>
    <row r="41882" spans="1:1" x14ac:dyDescent="0.3">
      <c r="A41882" t="s">
        <v>0</v>
      </c>
    </row>
    <row r="41883" spans="1:1" x14ac:dyDescent="0.3">
      <c r="A41883" t="s">
        <v>0</v>
      </c>
    </row>
    <row r="41884" spans="1:1" x14ac:dyDescent="0.3">
      <c r="A41884" t="s">
        <v>0</v>
      </c>
    </row>
    <row r="41885" spans="1:1" x14ac:dyDescent="0.3">
      <c r="A41885" t="s">
        <v>0</v>
      </c>
    </row>
    <row r="41886" spans="1:1" x14ac:dyDescent="0.3">
      <c r="A41886" t="s">
        <v>0</v>
      </c>
    </row>
    <row r="41887" spans="1:1" x14ac:dyDescent="0.3">
      <c r="A41887" t="s">
        <v>0</v>
      </c>
    </row>
    <row r="41888" spans="1:1" x14ac:dyDescent="0.3">
      <c r="A41888" t="s">
        <v>0</v>
      </c>
    </row>
    <row r="41889" spans="1:1" x14ac:dyDescent="0.3">
      <c r="A41889" t="s">
        <v>0</v>
      </c>
    </row>
    <row r="41890" spans="1:1" x14ac:dyDescent="0.3">
      <c r="A41890" t="s">
        <v>0</v>
      </c>
    </row>
    <row r="41891" spans="1:1" x14ac:dyDescent="0.3">
      <c r="A41891" t="s">
        <v>0</v>
      </c>
    </row>
    <row r="41892" spans="1:1" x14ac:dyDescent="0.3">
      <c r="A41892" t="s">
        <v>0</v>
      </c>
    </row>
    <row r="41893" spans="1:1" x14ac:dyDescent="0.3">
      <c r="A41893" t="s">
        <v>0</v>
      </c>
    </row>
    <row r="41894" spans="1:1" x14ac:dyDescent="0.3">
      <c r="A41894" t="s">
        <v>0</v>
      </c>
    </row>
    <row r="41895" spans="1:1" x14ac:dyDescent="0.3">
      <c r="A41895" t="s">
        <v>0</v>
      </c>
    </row>
    <row r="41896" spans="1:1" x14ac:dyDescent="0.3">
      <c r="A41896" t="s">
        <v>0</v>
      </c>
    </row>
    <row r="41897" spans="1:1" x14ac:dyDescent="0.3">
      <c r="A41897" t="s">
        <v>0</v>
      </c>
    </row>
    <row r="41898" spans="1:1" x14ac:dyDescent="0.3">
      <c r="A41898" t="s">
        <v>0</v>
      </c>
    </row>
    <row r="41899" spans="1:1" x14ac:dyDescent="0.3">
      <c r="A41899" t="s">
        <v>0</v>
      </c>
    </row>
    <row r="41900" spans="1:1" x14ac:dyDescent="0.3">
      <c r="A41900" t="s">
        <v>0</v>
      </c>
    </row>
    <row r="41901" spans="1:1" x14ac:dyDescent="0.3">
      <c r="A41901" t="s">
        <v>0</v>
      </c>
    </row>
    <row r="41902" spans="1:1" x14ac:dyDescent="0.3">
      <c r="A41902" t="s">
        <v>0</v>
      </c>
    </row>
    <row r="41903" spans="1:1" x14ac:dyDescent="0.3">
      <c r="A41903" t="s">
        <v>0</v>
      </c>
    </row>
    <row r="41904" spans="1:1" x14ac:dyDescent="0.3">
      <c r="A41904" t="s">
        <v>0</v>
      </c>
    </row>
    <row r="41905" spans="1:1" x14ac:dyDescent="0.3">
      <c r="A41905" t="s">
        <v>0</v>
      </c>
    </row>
    <row r="41906" spans="1:1" x14ac:dyDescent="0.3">
      <c r="A41906" t="s">
        <v>0</v>
      </c>
    </row>
    <row r="41907" spans="1:1" x14ac:dyDescent="0.3">
      <c r="A41907" t="s">
        <v>0</v>
      </c>
    </row>
    <row r="41908" spans="1:1" x14ac:dyDescent="0.3">
      <c r="A41908" t="s">
        <v>0</v>
      </c>
    </row>
    <row r="41909" spans="1:1" x14ac:dyDescent="0.3">
      <c r="A41909" t="s">
        <v>0</v>
      </c>
    </row>
    <row r="41910" spans="1:1" x14ac:dyDescent="0.3">
      <c r="A41910" t="s">
        <v>0</v>
      </c>
    </row>
    <row r="41911" spans="1:1" x14ac:dyDescent="0.3">
      <c r="A41911" t="s">
        <v>0</v>
      </c>
    </row>
    <row r="41912" spans="1:1" x14ac:dyDescent="0.3">
      <c r="A41912" t="s">
        <v>0</v>
      </c>
    </row>
    <row r="41913" spans="1:1" x14ac:dyDescent="0.3">
      <c r="A41913" t="s">
        <v>0</v>
      </c>
    </row>
    <row r="41914" spans="1:1" x14ac:dyDescent="0.3">
      <c r="A41914" t="s">
        <v>0</v>
      </c>
    </row>
    <row r="41915" spans="1:1" x14ac:dyDescent="0.3">
      <c r="A41915" t="s">
        <v>0</v>
      </c>
    </row>
    <row r="41916" spans="1:1" x14ac:dyDescent="0.3">
      <c r="A41916" t="s">
        <v>0</v>
      </c>
    </row>
    <row r="41917" spans="1:1" x14ac:dyDescent="0.3">
      <c r="A41917" t="s">
        <v>0</v>
      </c>
    </row>
    <row r="41918" spans="1:1" x14ac:dyDescent="0.3">
      <c r="A41918" t="s">
        <v>0</v>
      </c>
    </row>
    <row r="41919" spans="1:1" x14ac:dyDescent="0.3">
      <c r="A41919" t="s">
        <v>0</v>
      </c>
    </row>
    <row r="41920" spans="1:1" x14ac:dyDescent="0.3">
      <c r="A41920" t="s">
        <v>0</v>
      </c>
    </row>
    <row r="41921" spans="1:1" x14ac:dyDescent="0.3">
      <c r="A41921" t="s">
        <v>0</v>
      </c>
    </row>
    <row r="41922" spans="1:1" x14ac:dyDescent="0.3">
      <c r="A41922" t="s">
        <v>0</v>
      </c>
    </row>
    <row r="41923" spans="1:1" x14ac:dyDescent="0.3">
      <c r="A41923" t="s">
        <v>0</v>
      </c>
    </row>
    <row r="41924" spans="1:1" x14ac:dyDescent="0.3">
      <c r="A41924" t="s">
        <v>0</v>
      </c>
    </row>
    <row r="41925" spans="1:1" x14ac:dyDescent="0.3">
      <c r="A41925" t="s">
        <v>0</v>
      </c>
    </row>
    <row r="41926" spans="1:1" x14ac:dyDescent="0.3">
      <c r="A41926" t="s">
        <v>0</v>
      </c>
    </row>
    <row r="41927" spans="1:1" x14ac:dyDescent="0.3">
      <c r="A41927" t="s">
        <v>0</v>
      </c>
    </row>
    <row r="41928" spans="1:1" x14ac:dyDescent="0.3">
      <c r="A41928" t="s">
        <v>0</v>
      </c>
    </row>
    <row r="41929" spans="1:1" x14ac:dyDescent="0.3">
      <c r="A41929" t="s">
        <v>0</v>
      </c>
    </row>
    <row r="41930" spans="1:1" x14ac:dyDescent="0.3">
      <c r="A41930" t="s">
        <v>0</v>
      </c>
    </row>
    <row r="41931" spans="1:1" x14ac:dyDescent="0.3">
      <c r="A41931" t="s">
        <v>0</v>
      </c>
    </row>
    <row r="41932" spans="1:1" x14ac:dyDescent="0.3">
      <c r="A41932" t="s">
        <v>0</v>
      </c>
    </row>
    <row r="41933" spans="1:1" x14ac:dyDescent="0.3">
      <c r="A41933" t="s">
        <v>0</v>
      </c>
    </row>
    <row r="41934" spans="1:1" x14ac:dyDescent="0.3">
      <c r="A41934" t="s">
        <v>0</v>
      </c>
    </row>
    <row r="41935" spans="1:1" x14ac:dyDescent="0.3">
      <c r="A41935" t="s">
        <v>0</v>
      </c>
    </row>
    <row r="41936" spans="1:1" x14ac:dyDescent="0.3">
      <c r="A41936" t="s">
        <v>0</v>
      </c>
    </row>
    <row r="41937" spans="1:1" x14ac:dyDescent="0.3">
      <c r="A41937" t="s">
        <v>0</v>
      </c>
    </row>
    <row r="41938" spans="1:1" x14ac:dyDescent="0.3">
      <c r="A41938" t="s">
        <v>0</v>
      </c>
    </row>
    <row r="41939" spans="1:1" x14ac:dyDescent="0.3">
      <c r="A41939" t="s">
        <v>0</v>
      </c>
    </row>
    <row r="41940" spans="1:1" x14ac:dyDescent="0.3">
      <c r="A41940" t="s">
        <v>0</v>
      </c>
    </row>
    <row r="41941" spans="1:1" x14ac:dyDescent="0.3">
      <c r="A41941" t="s">
        <v>0</v>
      </c>
    </row>
    <row r="41942" spans="1:1" x14ac:dyDescent="0.3">
      <c r="A41942" t="s">
        <v>0</v>
      </c>
    </row>
    <row r="41943" spans="1:1" x14ac:dyDescent="0.3">
      <c r="A41943" t="s">
        <v>0</v>
      </c>
    </row>
    <row r="41944" spans="1:1" x14ac:dyDescent="0.3">
      <c r="A41944" t="s">
        <v>0</v>
      </c>
    </row>
    <row r="41945" spans="1:1" x14ac:dyDescent="0.3">
      <c r="A41945" t="s">
        <v>0</v>
      </c>
    </row>
    <row r="41946" spans="1:1" x14ac:dyDescent="0.3">
      <c r="A41946" t="s">
        <v>0</v>
      </c>
    </row>
    <row r="41947" spans="1:1" x14ac:dyDescent="0.3">
      <c r="A41947" t="s">
        <v>0</v>
      </c>
    </row>
    <row r="41948" spans="1:1" x14ac:dyDescent="0.3">
      <c r="A41948" t="s">
        <v>0</v>
      </c>
    </row>
    <row r="41949" spans="1:1" x14ac:dyDescent="0.3">
      <c r="A41949" t="s">
        <v>0</v>
      </c>
    </row>
    <row r="41950" spans="1:1" x14ac:dyDescent="0.3">
      <c r="A41950" t="s">
        <v>0</v>
      </c>
    </row>
    <row r="41951" spans="1:1" x14ac:dyDescent="0.3">
      <c r="A41951" t="s">
        <v>0</v>
      </c>
    </row>
    <row r="41952" spans="1:1" x14ac:dyDescent="0.3">
      <c r="A41952" t="s">
        <v>0</v>
      </c>
    </row>
    <row r="41953" spans="1:1" x14ac:dyDescent="0.3">
      <c r="A41953" t="s">
        <v>0</v>
      </c>
    </row>
    <row r="41954" spans="1:1" x14ac:dyDescent="0.3">
      <c r="A41954" t="s">
        <v>0</v>
      </c>
    </row>
    <row r="41955" spans="1:1" x14ac:dyDescent="0.3">
      <c r="A41955" t="s">
        <v>0</v>
      </c>
    </row>
    <row r="41956" spans="1:1" x14ac:dyDescent="0.3">
      <c r="A41956" t="s">
        <v>0</v>
      </c>
    </row>
    <row r="41957" spans="1:1" x14ac:dyDescent="0.3">
      <c r="A41957" t="s">
        <v>0</v>
      </c>
    </row>
    <row r="41958" spans="1:1" x14ac:dyDescent="0.3">
      <c r="A41958" t="s">
        <v>0</v>
      </c>
    </row>
    <row r="41959" spans="1:1" x14ac:dyDescent="0.3">
      <c r="A41959" t="s">
        <v>0</v>
      </c>
    </row>
    <row r="41960" spans="1:1" x14ac:dyDescent="0.3">
      <c r="A41960" t="s">
        <v>0</v>
      </c>
    </row>
    <row r="41961" spans="1:1" x14ac:dyDescent="0.3">
      <c r="A41961" t="s">
        <v>0</v>
      </c>
    </row>
    <row r="41962" spans="1:1" x14ac:dyDescent="0.3">
      <c r="A41962" t="s">
        <v>0</v>
      </c>
    </row>
    <row r="41963" spans="1:1" x14ac:dyDescent="0.3">
      <c r="A41963" t="s">
        <v>0</v>
      </c>
    </row>
    <row r="41964" spans="1:1" x14ac:dyDescent="0.3">
      <c r="A41964" t="s">
        <v>0</v>
      </c>
    </row>
    <row r="41965" spans="1:1" x14ac:dyDescent="0.3">
      <c r="A41965" t="s">
        <v>0</v>
      </c>
    </row>
    <row r="41966" spans="1:1" x14ac:dyDescent="0.3">
      <c r="A41966" t="s">
        <v>0</v>
      </c>
    </row>
    <row r="41967" spans="1:1" x14ac:dyDescent="0.3">
      <c r="A41967" t="s">
        <v>0</v>
      </c>
    </row>
    <row r="41968" spans="1:1" x14ac:dyDescent="0.3">
      <c r="A41968" t="s">
        <v>0</v>
      </c>
    </row>
    <row r="41969" spans="1:1" x14ac:dyDescent="0.3">
      <c r="A41969" t="s">
        <v>0</v>
      </c>
    </row>
    <row r="41970" spans="1:1" x14ac:dyDescent="0.3">
      <c r="A41970" t="s">
        <v>0</v>
      </c>
    </row>
    <row r="41971" spans="1:1" x14ac:dyDescent="0.3">
      <c r="A41971" t="s">
        <v>0</v>
      </c>
    </row>
    <row r="41972" spans="1:1" x14ac:dyDescent="0.3">
      <c r="A41972" t="s">
        <v>0</v>
      </c>
    </row>
    <row r="41973" spans="1:1" x14ac:dyDescent="0.3">
      <c r="A41973" t="s">
        <v>0</v>
      </c>
    </row>
    <row r="41974" spans="1:1" x14ac:dyDescent="0.3">
      <c r="A41974" t="s">
        <v>0</v>
      </c>
    </row>
    <row r="41975" spans="1:1" x14ac:dyDescent="0.3">
      <c r="A41975" t="s">
        <v>0</v>
      </c>
    </row>
    <row r="41976" spans="1:1" x14ac:dyDescent="0.3">
      <c r="A41976" t="s">
        <v>0</v>
      </c>
    </row>
    <row r="41977" spans="1:1" x14ac:dyDescent="0.3">
      <c r="A41977" t="s">
        <v>0</v>
      </c>
    </row>
    <row r="41978" spans="1:1" x14ac:dyDescent="0.3">
      <c r="A41978" t="s">
        <v>0</v>
      </c>
    </row>
    <row r="41979" spans="1:1" x14ac:dyDescent="0.3">
      <c r="A41979" t="s">
        <v>0</v>
      </c>
    </row>
    <row r="41980" spans="1:1" x14ac:dyDescent="0.3">
      <c r="A41980" t="s">
        <v>0</v>
      </c>
    </row>
    <row r="41981" spans="1:1" x14ac:dyDescent="0.3">
      <c r="A41981" t="s">
        <v>0</v>
      </c>
    </row>
    <row r="41982" spans="1:1" x14ac:dyDescent="0.3">
      <c r="A41982" t="s">
        <v>0</v>
      </c>
    </row>
    <row r="41983" spans="1:1" x14ac:dyDescent="0.3">
      <c r="A41983" t="s">
        <v>0</v>
      </c>
    </row>
    <row r="41984" spans="1:1" x14ac:dyDescent="0.3">
      <c r="A41984" t="s">
        <v>0</v>
      </c>
    </row>
    <row r="41985" spans="1:1" x14ac:dyDescent="0.3">
      <c r="A41985" t="s">
        <v>0</v>
      </c>
    </row>
    <row r="41986" spans="1:1" x14ac:dyDescent="0.3">
      <c r="A41986" t="s">
        <v>0</v>
      </c>
    </row>
    <row r="41987" spans="1:1" x14ac:dyDescent="0.3">
      <c r="A41987" t="s">
        <v>0</v>
      </c>
    </row>
    <row r="41988" spans="1:1" x14ac:dyDescent="0.3">
      <c r="A41988" t="s">
        <v>0</v>
      </c>
    </row>
    <row r="41989" spans="1:1" x14ac:dyDescent="0.3">
      <c r="A41989" t="s">
        <v>0</v>
      </c>
    </row>
    <row r="41990" spans="1:1" x14ac:dyDescent="0.3">
      <c r="A41990" t="s">
        <v>0</v>
      </c>
    </row>
    <row r="41991" spans="1:1" x14ac:dyDescent="0.3">
      <c r="A41991" t="s">
        <v>0</v>
      </c>
    </row>
    <row r="41992" spans="1:1" x14ac:dyDescent="0.3">
      <c r="A41992" t="s">
        <v>0</v>
      </c>
    </row>
    <row r="41993" spans="1:1" x14ac:dyDescent="0.3">
      <c r="A41993" t="s">
        <v>0</v>
      </c>
    </row>
    <row r="41994" spans="1:1" x14ac:dyDescent="0.3">
      <c r="A41994" t="s">
        <v>0</v>
      </c>
    </row>
    <row r="41995" spans="1:1" x14ac:dyDescent="0.3">
      <c r="A41995" t="s">
        <v>0</v>
      </c>
    </row>
    <row r="41996" spans="1:1" x14ac:dyDescent="0.3">
      <c r="A41996" t="s">
        <v>0</v>
      </c>
    </row>
    <row r="41997" spans="1:1" x14ac:dyDescent="0.3">
      <c r="A41997" t="s">
        <v>0</v>
      </c>
    </row>
    <row r="41998" spans="1:1" x14ac:dyDescent="0.3">
      <c r="A41998" t="s">
        <v>0</v>
      </c>
    </row>
    <row r="41999" spans="1:1" x14ac:dyDescent="0.3">
      <c r="A41999" t="s">
        <v>0</v>
      </c>
    </row>
    <row r="42000" spans="1:1" x14ac:dyDescent="0.3">
      <c r="A42000" t="s">
        <v>0</v>
      </c>
    </row>
    <row r="42001" spans="1:1" x14ac:dyDescent="0.3">
      <c r="A42001" t="s">
        <v>0</v>
      </c>
    </row>
    <row r="42002" spans="1:1" x14ac:dyDescent="0.3">
      <c r="A42002" t="s">
        <v>0</v>
      </c>
    </row>
    <row r="42003" spans="1:1" x14ac:dyDescent="0.3">
      <c r="A42003" t="s">
        <v>0</v>
      </c>
    </row>
    <row r="42004" spans="1:1" x14ac:dyDescent="0.3">
      <c r="A42004" t="s">
        <v>0</v>
      </c>
    </row>
    <row r="42005" spans="1:1" x14ac:dyDescent="0.3">
      <c r="A42005" t="s">
        <v>0</v>
      </c>
    </row>
    <row r="42006" spans="1:1" x14ac:dyDescent="0.3">
      <c r="A42006" t="s">
        <v>0</v>
      </c>
    </row>
    <row r="42007" spans="1:1" x14ac:dyDescent="0.3">
      <c r="A42007" t="s">
        <v>0</v>
      </c>
    </row>
    <row r="42008" spans="1:1" x14ac:dyDescent="0.3">
      <c r="A42008" t="s">
        <v>0</v>
      </c>
    </row>
    <row r="42009" spans="1:1" x14ac:dyDescent="0.3">
      <c r="A42009" t="s">
        <v>0</v>
      </c>
    </row>
    <row r="42010" spans="1:1" x14ac:dyDescent="0.3">
      <c r="A42010" t="s">
        <v>0</v>
      </c>
    </row>
    <row r="42011" spans="1:1" x14ac:dyDescent="0.3">
      <c r="A42011" t="s">
        <v>0</v>
      </c>
    </row>
    <row r="42012" spans="1:1" x14ac:dyDescent="0.3">
      <c r="A42012" t="s">
        <v>0</v>
      </c>
    </row>
    <row r="42013" spans="1:1" x14ac:dyDescent="0.3">
      <c r="A42013" t="s">
        <v>0</v>
      </c>
    </row>
    <row r="42014" spans="1:1" x14ac:dyDescent="0.3">
      <c r="A42014" t="s">
        <v>0</v>
      </c>
    </row>
    <row r="42015" spans="1:1" x14ac:dyDescent="0.3">
      <c r="A42015" t="s">
        <v>0</v>
      </c>
    </row>
    <row r="42016" spans="1:1" x14ac:dyDescent="0.3">
      <c r="A42016" t="s">
        <v>0</v>
      </c>
    </row>
    <row r="42017" spans="1:1" x14ac:dyDescent="0.3">
      <c r="A42017" t="s">
        <v>0</v>
      </c>
    </row>
    <row r="42018" spans="1:1" x14ac:dyDescent="0.3">
      <c r="A42018" t="s">
        <v>0</v>
      </c>
    </row>
    <row r="42019" spans="1:1" x14ac:dyDescent="0.3">
      <c r="A42019" t="s">
        <v>0</v>
      </c>
    </row>
    <row r="42020" spans="1:1" x14ac:dyDescent="0.3">
      <c r="A42020" t="s">
        <v>0</v>
      </c>
    </row>
    <row r="42021" spans="1:1" x14ac:dyDescent="0.3">
      <c r="A42021" t="s">
        <v>0</v>
      </c>
    </row>
    <row r="42022" spans="1:1" x14ac:dyDescent="0.3">
      <c r="A42022" t="s">
        <v>0</v>
      </c>
    </row>
    <row r="42023" spans="1:1" x14ac:dyDescent="0.3">
      <c r="A42023" t="s">
        <v>0</v>
      </c>
    </row>
    <row r="42024" spans="1:1" x14ac:dyDescent="0.3">
      <c r="A42024" t="s">
        <v>0</v>
      </c>
    </row>
    <row r="42025" spans="1:1" x14ac:dyDescent="0.3">
      <c r="A42025" t="s">
        <v>0</v>
      </c>
    </row>
    <row r="42026" spans="1:1" x14ac:dyDescent="0.3">
      <c r="A42026" t="s">
        <v>0</v>
      </c>
    </row>
    <row r="42027" spans="1:1" x14ac:dyDescent="0.3">
      <c r="A42027" t="s">
        <v>0</v>
      </c>
    </row>
    <row r="42028" spans="1:1" x14ac:dyDescent="0.3">
      <c r="A42028" t="s">
        <v>0</v>
      </c>
    </row>
    <row r="42029" spans="1:1" x14ac:dyDescent="0.3">
      <c r="A42029" t="s">
        <v>0</v>
      </c>
    </row>
    <row r="42030" spans="1:1" x14ac:dyDescent="0.3">
      <c r="A42030" t="s">
        <v>0</v>
      </c>
    </row>
    <row r="42031" spans="1:1" x14ac:dyDescent="0.3">
      <c r="A42031" t="s">
        <v>0</v>
      </c>
    </row>
    <row r="42032" spans="1:1" x14ac:dyDescent="0.3">
      <c r="A42032" t="s">
        <v>0</v>
      </c>
    </row>
    <row r="42033" spans="1:1" x14ac:dyDescent="0.3">
      <c r="A42033" t="s">
        <v>0</v>
      </c>
    </row>
    <row r="42034" spans="1:1" x14ac:dyDescent="0.3">
      <c r="A42034" t="s">
        <v>0</v>
      </c>
    </row>
    <row r="42035" spans="1:1" x14ac:dyDescent="0.3">
      <c r="A42035" t="s">
        <v>0</v>
      </c>
    </row>
    <row r="42036" spans="1:1" x14ac:dyDescent="0.3">
      <c r="A42036" t="s">
        <v>0</v>
      </c>
    </row>
    <row r="42037" spans="1:1" x14ac:dyDescent="0.3">
      <c r="A42037" t="s">
        <v>0</v>
      </c>
    </row>
    <row r="42038" spans="1:1" x14ac:dyDescent="0.3">
      <c r="A42038" t="s">
        <v>0</v>
      </c>
    </row>
    <row r="42039" spans="1:1" x14ac:dyDescent="0.3">
      <c r="A42039" t="s">
        <v>0</v>
      </c>
    </row>
    <row r="42040" spans="1:1" x14ac:dyDescent="0.3">
      <c r="A42040" t="s">
        <v>0</v>
      </c>
    </row>
    <row r="42041" spans="1:1" x14ac:dyDescent="0.3">
      <c r="A42041" t="s">
        <v>0</v>
      </c>
    </row>
    <row r="42042" spans="1:1" x14ac:dyDescent="0.3">
      <c r="A42042" t="s">
        <v>0</v>
      </c>
    </row>
    <row r="42043" spans="1:1" x14ac:dyDescent="0.3">
      <c r="A42043" t="s">
        <v>0</v>
      </c>
    </row>
    <row r="42044" spans="1:1" x14ac:dyDescent="0.3">
      <c r="A42044" t="s">
        <v>0</v>
      </c>
    </row>
    <row r="42045" spans="1:1" x14ac:dyDescent="0.3">
      <c r="A42045" t="s">
        <v>0</v>
      </c>
    </row>
    <row r="42046" spans="1:1" x14ac:dyDescent="0.3">
      <c r="A42046" t="s">
        <v>0</v>
      </c>
    </row>
    <row r="42047" spans="1:1" x14ac:dyDescent="0.3">
      <c r="A42047" t="s">
        <v>0</v>
      </c>
    </row>
    <row r="42048" spans="1:1" x14ac:dyDescent="0.3">
      <c r="A42048" t="s">
        <v>0</v>
      </c>
    </row>
    <row r="42049" spans="1:1" x14ac:dyDescent="0.3">
      <c r="A42049" t="s">
        <v>0</v>
      </c>
    </row>
    <row r="42050" spans="1:1" x14ac:dyDescent="0.3">
      <c r="A42050" t="s">
        <v>0</v>
      </c>
    </row>
    <row r="42051" spans="1:1" x14ac:dyDescent="0.3">
      <c r="A42051" t="s">
        <v>0</v>
      </c>
    </row>
    <row r="42052" spans="1:1" x14ac:dyDescent="0.3">
      <c r="A42052" t="s">
        <v>0</v>
      </c>
    </row>
    <row r="42053" spans="1:1" x14ac:dyDescent="0.3">
      <c r="A42053" t="s">
        <v>0</v>
      </c>
    </row>
    <row r="42054" spans="1:1" x14ac:dyDescent="0.3">
      <c r="A42054" t="s">
        <v>0</v>
      </c>
    </row>
    <row r="42055" spans="1:1" x14ac:dyDescent="0.3">
      <c r="A42055" t="s">
        <v>0</v>
      </c>
    </row>
    <row r="42056" spans="1:1" x14ac:dyDescent="0.3">
      <c r="A42056" t="s">
        <v>0</v>
      </c>
    </row>
    <row r="42057" spans="1:1" x14ac:dyDescent="0.3">
      <c r="A42057" t="s">
        <v>0</v>
      </c>
    </row>
    <row r="42058" spans="1:1" x14ac:dyDescent="0.3">
      <c r="A42058" t="s">
        <v>0</v>
      </c>
    </row>
    <row r="42059" spans="1:1" x14ac:dyDescent="0.3">
      <c r="A42059" t="s">
        <v>0</v>
      </c>
    </row>
    <row r="42060" spans="1:1" x14ac:dyDescent="0.3">
      <c r="A42060" t="s">
        <v>0</v>
      </c>
    </row>
    <row r="42061" spans="1:1" x14ac:dyDescent="0.3">
      <c r="A42061" t="s">
        <v>0</v>
      </c>
    </row>
    <row r="42062" spans="1:1" x14ac:dyDescent="0.3">
      <c r="A42062" t="s">
        <v>0</v>
      </c>
    </row>
    <row r="42063" spans="1:1" x14ac:dyDescent="0.3">
      <c r="A42063" t="s">
        <v>0</v>
      </c>
    </row>
    <row r="42064" spans="1:1" x14ac:dyDescent="0.3">
      <c r="A42064" t="s">
        <v>0</v>
      </c>
    </row>
    <row r="42065" spans="1:1" x14ac:dyDescent="0.3">
      <c r="A42065" t="s">
        <v>0</v>
      </c>
    </row>
    <row r="42066" spans="1:1" x14ac:dyDescent="0.3">
      <c r="A42066" t="s">
        <v>0</v>
      </c>
    </row>
    <row r="42067" spans="1:1" x14ac:dyDescent="0.3">
      <c r="A42067" t="s">
        <v>0</v>
      </c>
    </row>
    <row r="42068" spans="1:1" x14ac:dyDescent="0.3">
      <c r="A42068" t="s">
        <v>0</v>
      </c>
    </row>
    <row r="42069" spans="1:1" x14ac:dyDescent="0.3">
      <c r="A42069" t="s">
        <v>0</v>
      </c>
    </row>
    <row r="42070" spans="1:1" x14ac:dyDescent="0.3">
      <c r="A42070" t="s">
        <v>0</v>
      </c>
    </row>
    <row r="42071" spans="1:1" x14ac:dyDescent="0.3">
      <c r="A42071" t="s">
        <v>0</v>
      </c>
    </row>
    <row r="42072" spans="1:1" x14ac:dyDescent="0.3">
      <c r="A42072" t="s">
        <v>0</v>
      </c>
    </row>
    <row r="42073" spans="1:1" x14ac:dyDescent="0.3">
      <c r="A42073" t="s">
        <v>0</v>
      </c>
    </row>
    <row r="42074" spans="1:1" x14ac:dyDescent="0.3">
      <c r="A42074" t="s">
        <v>0</v>
      </c>
    </row>
    <row r="42075" spans="1:1" x14ac:dyDescent="0.3">
      <c r="A42075" t="s">
        <v>0</v>
      </c>
    </row>
    <row r="42076" spans="1:1" x14ac:dyDescent="0.3">
      <c r="A42076" t="s">
        <v>0</v>
      </c>
    </row>
    <row r="42077" spans="1:1" x14ac:dyDescent="0.3">
      <c r="A42077" t="s">
        <v>0</v>
      </c>
    </row>
    <row r="42078" spans="1:1" x14ac:dyDescent="0.3">
      <c r="A42078" t="s">
        <v>0</v>
      </c>
    </row>
    <row r="42079" spans="1:1" x14ac:dyDescent="0.3">
      <c r="A42079" t="s">
        <v>0</v>
      </c>
    </row>
    <row r="42080" spans="1:1" x14ac:dyDescent="0.3">
      <c r="A42080" t="s">
        <v>0</v>
      </c>
    </row>
    <row r="42081" spans="1:1" x14ac:dyDescent="0.3">
      <c r="A42081" t="s">
        <v>0</v>
      </c>
    </row>
    <row r="42082" spans="1:1" x14ac:dyDescent="0.3">
      <c r="A42082" t="s">
        <v>0</v>
      </c>
    </row>
    <row r="42083" spans="1:1" x14ac:dyDescent="0.3">
      <c r="A42083" t="s">
        <v>0</v>
      </c>
    </row>
    <row r="42084" spans="1:1" x14ac:dyDescent="0.3">
      <c r="A42084" t="s">
        <v>0</v>
      </c>
    </row>
    <row r="42085" spans="1:1" x14ac:dyDescent="0.3">
      <c r="A42085" t="s">
        <v>0</v>
      </c>
    </row>
    <row r="42086" spans="1:1" x14ac:dyDescent="0.3">
      <c r="A42086" t="s">
        <v>0</v>
      </c>
    </row>
    <row r="42087" spans="1:1" x14ac:dyDescent="0.3">
      <c r="A42087" t="s">
        <v>0</v>
      </c>
    </row>
    <row r="42088" spans="1:1" x14ac:dyDescent="0.3">
      <c r="A42088" t="s">
        <v>0</v>
      </c>
    </row>
    <row r="42089" spans="1:1" x14ac:dyDescent="0.3">
      <c r="A42089" t="s">
        <v>0</v>
      </c>
    </row>
    <row r="42090" spans="1:1" x14ac:dyDescent="0.3">
      <c r="A42090" t="s">
        <v>0</v>
      </c>
    </row>
    <row r="42091" spans="1:1" x14ac:dyDescent="0.3">
      <c r="A42091" t="s">
        <v>0</v>
      </c>
    </row>
    <row r="42092" spans="1:1" x14ac:dyDescent="0.3">
      <c r="A42092" t="s">
        <v>0</v>
      </c>
    </row>
    <row r="42093" spans="1:1" x14ac:dyDescent="0.3">
      <c r="A42093" t="s">
        <v>0</v>
      </c>
    </row>
    <row r="42094" spans="1:1" x14ac:dyDescent="0.3">
      <c r="A42094" t="s">
        <v>0</v>
      </c>
    </row>
    <row r="42095" spans="1:1" x14ac:dyDescent="0.3">
      <c r="A42095" t="s">
        <v>0</v>
      </c>
    </row>
    <row r="42096" spans="1:1" x14ac:dyDescent="0.3">
      <c r="A42096" t="s">
        <v>0</v>
      </c>
    </row>
    <row r="42097" spans="1:1" x14ac:dyDescent="0.3">
      <c r="A42097" t="s">
        <v>0</v>
      </c>
    </row>
    <row r="42098" spans="1:1" x14ac:dyDescent="0.3">
      <c r="A42098" t="s">
        <v>0</v>
      </c>
    </row>
    <row r="42099" spans="1:1" x14ac:dyDescent="0.3">
      <c r="A42099" t="s">
        <v>0</v>
      </c>
    </row>
    <row r="42100" spans="1:1" x14ac:dyDescent="0.3">
      <c r="A42100" t="s">
        <v>0</v>
      </c>
    </row>
    <row r="42101" spans="1:1" x14ac:dyDescent="0.3">
      <c r="A42101" t="s">
        <v>0</v>
      </c>
    </row>
    <row r="42102" spans="1:1" x14ac:dyDescent="0.3">
      <c r="A42102" t="s">
        <v>0</v>
      </c>
    </row>
    <row r="42103" spans="1:1" x14ac:dyDescent="0.3">
      <c r="A42103" t="s">
        <v>0</v>
      </c>
    </row>
    <row r="42104" spans="1:1" x14ac:dyDescent="0.3">
      <c r="A42104" t="s">
        <v>0</v>
      </c>
    </row>
    <row r="42105" spans="1:1" x14ac:dyDescent="0.3">
      <c r="A42105" t="s">
        <v>0</v>
      </c>
    </row>
    <row r="42106" spans="1:1" x14ac:dyDescent="0.3">
      <c r="A42106" t="s">
        <v>0</v>
      </c>
    </row>
    <row r="42107" spans="1:1" x14ac:dyDescent="0.3">
      <c r="A42107" t="s">
        <v>0</v>
      </c>
    </row>
    <row r="42108" spans="1:1" x14ac:dyDescent="0.3">
      <c r="A42108" t="s">
        <v>0</v>
      </c>
    </row>
    <row r="42109" spans="1:1" x14ac:dyDescent="0.3">
      <c r="A42109" t="s">
        <v>0</v>
      </c>
    </row>
    <row r="42110" spans="1:1" x14ac:dyDescent="0.3">
      <c r="A42110" t="s">
        <v>0</v>
      </c>
    </row>
    <row r="42111" spans="1:1" x14ac:dyDescent="0.3">
      <c r="A42111" t="s">
        <v>0</v>
      </c>
    </row>
    <row r="42112" spans="1:1" x14ac:dyDescent="0.3">
      <c r="A42112" t="s">
        <v>0</v>
      </c>
    </row>
    <row r="42113" spans="1:1" x14ac:dyDescent="0.3">
      <c r="A42113" t="s">
        <v>0</v>
      </c>
    </row>
    <row r="42114" spans="1:1" x14ac:dyDescent="0.3">
      <c r="A42114" t="s">
        <v>0</v>
      </c>
    </row>
    <row r="42115" spans="1:1" x14ac:dyDescent="0.3">
      <c r="A42115" t="s">
        <v>0</v>
      </c>
    </row>
    <row r="42116" spans="1:1" x14ac:dyDescent="0.3">
      <c r="A42116" t="s">
        <v>0</v>
      </c>
    </row>
    <row r="42117" spans="1:1" x14ac:dyDescent="0.3">
      <c r="A42117" t="s">
        <v>0</v>
      </c>
    </row>
    <row r="42118" spans="1:1" x14ac:dyDescent="0.3">
      <c r="A42118" t="s">
        <v>0</v>
      </c>
    </row>
    <row r="42119" spans="1:1" x14ac:dyDescent="0.3">
      <c r="A42119" t="s">
        <v>0</v>
      </c>
    </row>
    <row r="42120" spans="1:1" x14ac:dyDescent="0.3">
      <c r="A42120" t="s">
        <v>0</v>
      </c>
    </row>
    <row r="42121" spans="1:1" x14ac:dyDescent="0.3">
      <c r="A42121" t="s">
        <v>0</v>
      </c>
    </row>
    <row r="42122" spans="1:1" x14ac:dyDescent="0.3">
      <c r="A42122" t="s">
        <v>0</v>
      </c>
    </row>
    <row r="42123" spans="1:1" x14ac:dyDescent="0.3">
      <c r="A42123" t="s">
        <v>0</v>
      </c>
    </row>
    <row r="42124" spans="1:1" x14ac:dyDescent="0.3">
      <c r="A42124" t="s">
        <v>0</v>
      </c>
    </row>
    <row r="42125" spans="1:1" x14ac:dyDescent="0.3">
      <c r="A42125" t="s">
        <v>0</v>
      </c>
    </row>
    <row r="42126" spans="1:1" x14ac:dyDescent="0.3">
      <c r="A42126" t="s">
        <v>0</v>
      </c>
    </row>
    <row r="42127" spans="1:1" x14ac:dyDescent="0.3">
      <c r="A42127" t="s">
        <v>0</v>
      </c>
    </row>
    <row r="42128" spans="1:1" x14ac:dyDescent="0.3">
      <c r="A42128" t="s">
        <v>0</v>
      </c>
    </row>
    <row r="42129" spans="1:1" x14ac:dyDescent="0.3">
      <c r="A42129" t="s">
        <v>0</v>
      </c>
    </row>
    <row r="42130" spans="1:1" x14ac:dyDescent="0.3">
      <c r="A42130" t="s">
        <v>0</v>
      </c>
    </row>
    <row r="42131" spans="1:1" x14ac:dyDescent="0.3">
      <c r="A42131" t="s">
        <v>0</v>
      </c>
    </row>
    <row r="42132" spans="1:1" x14ac:dyDescent="0.3">
      <c r="A42132" t="s">
        <v>0</v>
      </c>
    </row>
    <row r="42133" spans="1:1" x14ac:dyDescent="0.3">
      <c r="A42133" t="s">
        <v>0</v>
      </c>
    </row>
    <row r="42134" spans="1:1" x14ac:dyDescent="0.3">
      <c r="A42134" t="s">
        <v>0</v>
      </c>
    </row>
    <row r="42135" spans="1:1" x14ac:dyDescent="0.3">
      <c r="A42135" t="s">
        <v>0</v>
      </c>
    </row>
    <row r="42136" spans="1:1" x14ac:dyDescent="0.3">
      <c r="A42136" t="s">
        <v>0</v>
      </c>
    </row>
    <row r="42137" spans="1:1" x14ac:dyDescent="0.3">
      <c r="A42137" t="s">
        <v>0</v>
      </c>
    </row>
    <row r="42138" spans="1:1" x14ac:dyDescent="0.3">
      <c r="A42138" t="s">
        <v>0</v>
      </c>
    </row>
    <row r="42139" spans="1:1" x14ac:dyDescent="0.3">
      <c r="A42139" t="s">
        <v>0</v>
      </c>
    </row>
    <row r="42140" spans="1:1" x14ac:dyDescent="0.3">
      <c r="A42140" t="s">
        <v>0</v>
      </c>
    </row>
    <row r="42141" spans="1:1" x14ac:dyDescent="0.3">
      <c r="A42141" t="s">
        <v>0</v>
      </c>
    </row>
    <row r="42142" spans="1:1" x14ac:dyDescent="0.3">
      <c r="A42142" t="s">
        <v>0</v>
      </c>
    </row>
    <row r="42143" spans="1:1" x14ac:dyDescent="0.3">
      <c r="A42143" t="s">
        <v>0</v>
      </c>
    </row>
    <row r="42144" spans="1:1" x14ac:dyDescent="0.3">
      <c r="A42144" t="s">
        <v>0</v>
      </c>
    </row>
    <row r="42145" spans="1:1" x14ac:dyDescent="0.3">
      <c r="A42145" t="s">
        <v>0</v>
      </c>
    </row>
    <row r="42146" spans="1:1" x14ac:dyDescent="0.3">
      <c r="A42146" t="s">
        <v>0</v>
      </c>
    </row>
    <row r="42147" spans="1:1" x14ac:dyDescent="0.3">
      <c r="A42147" t="s">
        <v>0</v>
      </c>
    </row>
    <row r="42148" spans="1:1" x14ac:dyDescent="0.3">
      <c r="A42148" t="s">
        <v>0</v>
      </c>
    </row>
    <row r="42149" spans="1:1" x14ac:dyDescent="0.3">
      <c r="A42149" t="s">
        <v>0</v>
      </c>
    </row>
    <row r="42150" spans="1:1" x14ac:dyDescent="0.3">
      <c r="A42150" t="s">
        <v>0</v>
      </c>
    </row>
    <row r="42151" spans="1:1" x14ac:dyDescent="0.3">
      <c r="A42151" t="s">
        <v>0</v>
      </c>
    </row>
    <row r="42152" spans="1:1" x14ac:dyDescent="0.3">
      <c r="A42152" t="s">
        <v>0</v>
      </c>
    </row>
    <row r="42153" spans="1:1" x14ac:dyDescent="0.3">
      <c r="A42153" t="s">
        <v>0</v>
      </c>
    </row>
    <row r="42154" spans="1:1" x14ac:dyDescent="0.3">
      <c r="A42154" t="s">
        <v>0</v>
      </c>
    </row>
    <row r="42155" spans="1:1" x14ac:dyDescent="0.3">
      <c r="A42155" t="s">
        <v>0</v>
      </c>
    </row>
    <row r="42156" spans="1:1" x14ac:dyDescent="0.3">
      <c r="A42156" t="s">
        <v>0</v>
      </c>
    </row>
    <row r="42157" spans="1:1" x14ac:dyDescent="0.3">
      <c r="A42157" t="s">
        <v>0</v>
      </c>
    </row>
    <row r="42158" spans="1:1" x14ac:dyDescent="0.3">
      <c r="A42158" t="s">
        <v>0</v>
      </c>
    </row>
    <row r="42159" spans="1:1" x14ac:dyDescent="0.3">
      <c r="A42159" t="s">
        <v>0</v>
      </c>
    </row>
    <row r="42160" spans="1:1" x14ac:dyDescent="0.3">
      <c r="A42160" t="s">
        <v>0</v>
      </c>
    </row>
    <row r="42161" spans="1:1" x14ac:dyDescent="0.3">
      <c r="A42161" t="s">
        <v>0</v>
      </c>
    </row>
    <row r="42162" spans="1:1" x14ac:dyDescent="0.3">
      <c r="A42162" t="s">
        <v>0</v>
      </c>
    </row>
    <row r="42163" spans="1:1" x14ac:dyDescent="0.3">
      <c r="A42163" t="s">
        <v>0</v>
      </c>
    </row>
    <row r="42164" spans="1:1" x14ac:dyDescent="0.3">
      <c r="A42164" t="s">
        <v>0</v>
      </c>
    </row>
    <row r="42165" spans="1:1" x14ac:dyDescent="0.3">
      <c r="A42165" t="s">
        <v>0</v>
      </c>
    </row>
    <row r="42166" spans="1:1" x14ac:dyDescent="0.3">
      <c r="A42166" t="s">
        <v>0</v>
      </c>
    </row>
    <row r="42167" spans="1:1" x14ac:dyDescent="0.3">
      <c r="A42167" t="s">
        <v>0</v>
      </c>
    </row>
    <row r="42168" spans="1:1" x14ac:dyDescent="0.3">
      <c r="A42168" t="s">
        <v>0</v>
      </c>
    </row>
    <row r="42169" spans="1:1" x14ac:dyDescent="0.3">
      <c r="A42169" t="s">
        <v>0</v>
      </c>
    </row>
    <row r="42170" spans="1:1" x14ac:dyDescent="0.3">
      <c r="A42170" t="s">
        <v>0</v>
      </c>
    </row>
    <row r="42171" spans="1:1" x14ac:dyDescent="0.3">
      <c r="A42171" t="s">
        <v>0</v>
      </c>
    </row>
    <row r="42172" spans="1:1" x14ac:dyDescent="0.3">
      <c r="A42172" t="s">
        <v>0</v>
      </c>
    </row>
    <row r="42173" spans="1:1" x14ac:dyDescent="0.3">
      <c r="A42173" t="s">
        <v>0</v>
      </c>
    </row>
    <row r="42174" spans="1:1" x14ac:dyDescent="0.3">
      <c r="A42174" t="s">
        <v>0</v>
      </c>
    </row>
    <row r="42175" spans="1:1" x14ac:dyDescent="0.3">
      <c r="A42175" t="s">
        <v>0</v>
      </c>
    </row>
    <row r="42176" spans="1:1" x14ac:dyDescent="0.3">
      <c r="A42176" t="s">
        <v>0</v>
      </c>
    </row>
    <row r="42177" spans="1:1" x14ac:dyDescent="0.3">
      <c r="A42177" t="s">
        <v>0</v>
      </c>
    </row>
    <row r="42178" spans="1:1" x14ac:dyDescent="0.3">
      <c r="A42178" t="s">
        <v>0</v>
      </c>
    </row>
    <row r="42179" spans="1:1" x14ac:dyDescent="0.3">
      <c r="A42179" t="s">
        <v>0</v>
      </c>
    </row>
    <row r="42180" spans="1:1" x14ac:dyDescent="0.3">
      <c r="A42180" t="s">
        <v>0</v>
      </c>
    </row>
    <row r="42181" spans="1:1" x14ac:dyDescent="0.3">
      <c r="A42181" t="s">
        <v>0</v>
      </c>
    </row>
    <row r="42182" spans="1:1" x14ac:dyDescent="0.3">
      <c r="A42182" t="s">
        <v>0</v>
      </c>
    </row>
    <row r="42183" spans="1:1" x14ac:dyDescent="0.3">
      <c r="A42183" t="s">
        <v>0</v>
      </c>
    </row>
    <row r="42184" spans="1:1" x14ac:dyDescent="0.3">
      <c r="A42184" t="s">
        <v>0</v>
      </c>
    </row>
    <row r="42185" spans="1:1" x14ac:dyDescent="0.3">
      <c r="A42185" t="s">
        <v>0</v>
      </c>
    </row>
    <row r="42186" spans="1:1" x14ac:dyDescent="0.3">
      <c r="A42186" t="s">
        <v>0</v>
      </c>
    </row>
    <row r="42187" spans="1:1" x14ac:dyDescent="0.3">
      <c r="A42187" t="s">
        <v>0</v>
      </c>
    </row>
    <row r="42188" spans="1:1" x14ac:dyDescent="0.3">
      <c r="A42188" t="s">
        <v>0</v>
      </c>
    </row>
    <row r="42189" spans="1:1" x14ac:dyDescent="0.3">
      <c r="A42189" t="s">
        <v>0</v>
      </c>
    </row>
    <row r="42190" spans="1:1" x14ac:dyDescent="0.3">
      <c r="A42190" t="s">
        <v>0</v>
      </c>
    </row>
    <row r="42191" spans="1:1" x14ac:dyDescent="0.3">
      <c r="A42191" t="s">
        <v>0</v>
      </c>
    </row>
    <row r="42192" spans="1:1" x14ac:dyDescent="0.3">
      <c r="A42192" t="s">
        <v>0</v>
      </c>
    </row>
    <row r="42193" spans="1:1" x14ac:dyDescent="0.3">
      <c r="A42193" t="s">
        <v>0</v>
      </c>
    </row>
    <row r="42194" spans="1:1" x14ac:dyDescent="0.3">
      <c r="A42194" t="s">
        <v>0</v>
      </c>
    </row>
    <row r="42195" spans="1:1" x14ac:dyDescent="0.3">
      <c r="A42195" t="s">
        <v>0</v>
      </c>
    </row>
    <row r="42196" spans="1:1" x14ac:dyDescent="0.3">
      <c r="A42196" t="s">
        <v>0</v>
      </c>
    </row>
    <row r="42197" spans="1:1" x14ac:dyDescent="0.3">
      <c r="A42197" t="s">
        <v>0</v>
      </c>
    </row>
    <row r="42198" spans="1:1" x14ac:dyDescent="0.3">
      <c r="A42198" t="s">
        <v>0</v>
      </c>
    </row>
    <row r="42199" spans="1:1" x14ac:dyDescent="0.3">
      <c r="A42199" t="s">
        <v>0</v>
      </c>
    </row>
    <row r="42200" spans="1:1" x14ac:dyDescent="0.3">
      <c r="A42200" t="s">
        <v>0</v>
      </c>
    </row>
    <row r="42201" spans="1:1" x14ac:dyDescent="0.3">
      <c r="A42201" t="s">
        <v>0</v>
      </c>
    </row>
    <row r="42202" spans="1:1" x14ac:dyDescent="0.3">
      <c r="A42202" t="s">
        <v>0</v>
      </c>
    </row>
    <row r="42203" spans="1:1" x14ac:dyDescent="0.3">
      <c r="A42203" t="s">
        <v>0</v>
      </c>
    </row>
    <row r="42204" spans="1:1" x14ac:dyDescent="0.3">
      <c r="A42204" t="s">
        <v>0</v>
      </c>
    </row>
    <row r="42205" spans="1:1" x14ac:dyDescent="0.3">
      <c r="A42205" t="s">
        <v>0</v>
      </c>
    </row>
    <row r="42206" spans="1:1" x14ac:dyDescent="0.3">
      <c r="A42206" t="s">
        <v>0</v>
      </c>
    </row>
    <row r="42207" spans="1:1" x14ac:dyDescent="0.3">
      <c r="A42207" t="s">
        <v>0</v>
      </c>
    </row>
    <row r="42208" spans="1:1" x14ac:dyDescent="0.3">
      <c r="A42208" t="s">
        <v>0</v>
      </c>
    </row>
    <row r="42209" spans="1:1" x14ac:dyDescent="0.3">
      <c r="A42209" t="s">
        <v>0</v>
      </c>
    </row>
    <row r="42210" spans="1:1" x14ac:dyDescent="0.3">
      <c r="A42210" t="s">
        <v>0</v>
      </c>
    </row>
    <row r="42211" spans="1:1" x14ac:dyDescent="0.3">
      <c r="A42211" t="s">
        <v>0</v>
      </c>
    </row>
    <row r="42212" spans="1:1" x14ac:dyDescent="0.3">
      <c r="A42212" t="s">
        <v>0</v>
      </c>
    </row>
    <row r="42213" spans="1:1" x14ac:dyDescent="0.3">
      <c r="A42213" t="s">
        <v>0</v>
      </c>
    </row>
    <row r="42214" spans="1:1" x14ac:dyDescent="0.3">
      <c r="A42214" t="s">
        <v>0</v>
      </c>
    </row>
    <row r="42215" spans="1:1" x14ac:dyDescent="0.3">
      <c r="A42215" t="s">
        <v>0</v>
      </c>
    </row>
    <row r="42216" spans="1:1" x14ac:dyDescent="0.3">
      <c r="A42216" t="s">
        <v>0</v>
      </c>
    </row>
    <row r="42217" spans="1:1" x14ac:dyDescent="0.3">
      <c r="A42217" t="s">
        <v>0</v>
      </c>
    </row>
    <row r="42218" spans="1:1" x14ac:dyDescent="0.3">
      <c r="A42218" t="s">
        <v>0</v>
      </c>
    </row>
    <row r="42219" spans="1:1" x14ac:dyDescent="0.3">
      <c r="A42219" t="s">
        <v>0</v>
      </c>
    </row>
    <row r="42220" spans="1:1" x14ac:dyDescent="0.3">
      <c r="A42220" t="s">
        <v>0</v>
      </c>
    </row>
    <row r="42221" spans="1:1" x14ac:dyDescent="0.3">
      <c r="A42221" t="s">
        <v>0</v>
      </c>
    </row>
    <row r="42222" spans="1:1" x14ac:dyDescent="0.3">
      <c r="A42222" t="s">
        <v>0</v>
      </c>
    </row>
    <row r="42223" spans="1:1" x14ac:dyDescent="0.3">
      <c r="A42223" t="s">
        <v>0</v>
      </c>
    </row>
    <row r="42224" spans="1:1" x14ac:dyDescent="0.3">
      <c r="A42224" t="s">
        <v>0</v>
      </c>
    </row>
    <row r="42225" spans="1:1" x14ac:dyDescent="0.3">
      <c r="A42225" t="s">
        <v>0</v>
      </c>
    </row>
    <row r="42226" spans="1:1" x14ac:dyDescent="0.3">
      <c r="A42226" t="s">
        <v>0</v>
      </c>
    </row>
    <row r="42227" spans="1:1" x14ac:dyDescent="0.3">
      <c r="A42227" t="s">
        <v>0</v>
      </c>
    </row>
    <row r="42228" spans="1:1" x14ac:dyDescent="0.3">
      <c r="A42228" t="s">
        <v>0</v>
      </c>
    </row>
    <row r="42229" spans="1:1" x14ac:dyDescent="0.3">
      <c r="A42229" t="s">
        <v>0</v>
      </c>
    </row>
    <row r="42230" spans="1:1" x14ac:dyDescent="0.3">
      <c r="A42230" t="s">
        <v>0</v>
      </c>
    </row>
    <row r="42231" spans="1:1" x14ac:dyDescent="0.3">
      <c r="A42231" t="s">
        <v>0</v>
      </c>
    </row>
    <row r="42232" spans="1:1" x14ac:dyDescent="0.3">
      <c r="A42232" t="s">
        <v>0</v>
      </c>
    </row>
    <row r="42233" spans="1:1" x14ac:dyDescent="0.3">
      <c r="A42233" t="s">
        <v>0</v>
      </c>
    </row>
    <row r="42234" spans="1:1" x14ac:dyDescent="0.3">
      <c r="A42234" t="s">
        <v>0</v>
      </c>
    </row>
    <row r="42235" spans="1:1" x14ac:dyDescent="0.3">
      <c r="A42235" t="s">
        <v>0</v>
      </c>
    </row>
    <row r="42236" spans="1:1" x14ac:dyDescent="0.3">
      <c r="A42236" t="s">
        <v>0</v>
      </c>
    </row>
    <row r="42237" spans="1:1" x14ac:dyDescent="0.3">
      <c r="A42237" t="s">
        <v>0</v>
      </c>
    </row>
    <row r="42238" spans="1:1" x14ac:dyDescent="0.3">
      <c r="A42238" t="s">
        <v>0</v>
      </c>
    </row>
    <row r="42239" spans="1:1" x14ac:dyDescent="0.3">
      <c r="A42239" t="s">
        <v>0</v>
      </c>
    </row>
    <row r="42240" spans="1:1" x14ac:dyDescent="0.3">
      <c r="A42240" t="s">
        <v>0</v>
      </c>
    </row>
    <row r="42241" spans="1:1" x14ac:dyDescent="0.3">
      <c r="A42241" t="s">
        <v>0</v>
      </c>
    </row>
    <row r="42242" spans="1:1" x14ac:dyDescent="0.3">
      <c r="A42242" t="s">
        <v>0</v>
      </c>
    </row>
    <row r="42243" spans="1:1" x14ac:dyDescent="0.3">
      <c r="A42243" t="s">
        <v>0</v>
      </c>
    </row>
    <row r="42244" spans="1:1" x14ac:dyDescent="0.3">
      <c r="A42244" t="s">
        <v>0</v>
      </c>
    </row>
    <row r="42245" spans="1:1" x14ac:dyDescent="0.3">
      <c r="A42245" t="s">
        <v>0</v>
      </c>
    </row>
    <row r="42246" spans="1:1" x14ac:dyDescent="0.3">
      <c r="A42246" t="s">
        <v>0</v>
      </c>
    </row>
    <row r="42247" spans="1:1" x14ac:dyDescent="0.3">
      <c r="A42247" t="s">
        <v>0</v>
      </c>
    </row>
    <row r="42248" spans="1:1" x14ac:dyDescent="0.3">
      <c r="A42248" t="s">
        <v>0</v>
      </c>
    </row>
    <row r="42249" spans="1:1" x14ac:dyDescent="0.3">
      <c r="A42249" t="s">
        <v>0</v>
      </c>
    </row>
    <row r="42250" spans="1:1" x14ac:dyDescent="0.3">
      <c r="A42250" t="s">
        <v>0</v>
      </c>
    </row>
    <row r="42251" spans="1:1" x14ac:dyDescent="0.3">
      <c r="A42251" t="s">
        <v>0</v>
      </c>
    </row>
    <row r="42252" spans="1:1" x14ac:dyDescent="0.3">
      <c r="A42252" t="s">
        <v>0</v>
      </c>
    </row>
    <row r="42253" spans="1:1" x14ac:dyDescent="0.3">
      <c r="A42253" t="s">
        <v>0</v>
      </c>
    </row>
    <row r="42254" spans="1:1" x14ac:dyDescent="0.3">
      <c r="A42254" t="s">
        <v>0</v>
      </c>
    </row>
    <row r="42255" spans="1:1" x14ac:dyDescent="0.3">
      <c r="A42255" t="s">
        <v>0</v>
      </c>
    </row>
    <row r="42256" spans="1:1" x14ac:dyDescent="0.3">
      <c r="A42256" t="s">
        <v>0</v>
      </c>
    </row>
    <row r="42257" spans="1:1" x14ac:dyDescent="0.3">
      <c r="A42257" t="s">
        <v>0</v>
      </c>
    </row>
    <row r="42258" spans="1:1" x14ac:dyDescent="0.3">
      <c r="A42258" t="s">
        <v>0</v>
      </c>
    </row>
    <row r="42259" spans="1:1" x14ac:dyDescent="0.3">
      <c r="A42259" t="s">
        <v>0</v>
      </c>
    </row>
    <row r="42260" spans="1:1" x14ac:dyDescent="0.3">
      <c r="A42260" t="s">
        <v>0</v>
      </c>
    </row>
    <row r="42261" spans="1:1" x14ac:dyDescent="0.3">
      <c r="A42261" t="s">
        <v>0</v>
      </c>
    </row>
    <row r="42262" spans="1:1" x14ac:dyDescent="0.3">
      <c r="A42262" t="s">
        <v>0</v>
      </c>
    </row>
    <row r="42263" spans="1:1" x14ac:dyDescent="0.3">
      <c r="A42263" t="s">
        <v>0</v>
      </c>
    </row>
    <row r="42264" spans="1:1" x14ac:dyDescent="0.3">
      <c r="A42264" t="s">
        <v>0</v>
      </c>
    </row>
    <row r="42265" spans="1:1" x14ac:dyDescent="0.3">
      <c r="A42265" t="s">
        <v>0</v>
      </c>
    </row>
    <row r="42266" spans="1:1" x14ac:dyDescent="0.3">
      <c r="A42266" t="s">
        <v>0</v>
      </c>
    </row>
    <row r="42267" spans="1:1" x14ac:dyDescent="0.3">
      <c r="A42267" t="s">
        <v>0</v>
      </c>
    </row>
    <row r="42268" spans="1:1" x14ac:dyDescent="0.3">
      <c r="A42268" t="s">
        <v>0</v>
      </c>
    </row>
    <row r="42269" spans="1:1" x14ac:dyDescent="0.3">
      <c r="A42269" t="s">
        <v>0</v>
      </c>
    </row>
    <row r="42270" spans="1:1" x14ac:dyDescent="0.3">
      <c r="A42270" t="s">
        <v>0</v>
      </c>
    </row>
    <row r="42271" spans="1:1" x14ac:dyDescent="0.3">
      <c r="A42271" t="s">
        <v>0</v>
      </c>
    </row>
    <row r="42272" spans="1:1" x14ac:dyDescent="0.3">
      <c r="A42272" t="s">
        <v>0</v>
      </c>
    </row>
    <row r="42273" spans="1:1" x14ac:dyDescent="0.3">
      <c r="A42273" t="s">
        <v>0</v>
      </c>
    </row>
    <row r="42274" spans="1:1" x14ac:dyDescent="0.3">
      <c r="A42274" t="s">
        <v>0</v>
      </c>
    </row>
    <row r="42275" spans="1:1" x14ac:dyDescent="0.3">
      <c r="A42275" t="s">
        <v>0</v>
      </c>
    </row>
    <row r="42276" spans="1:1" x14ac:dyDescent="0.3">
      <c r="A42276" t="s">
        <v>0</v>
      </c>
    </row>
    <row r="42277" spans="1:1" x14ac:dyDescent="0.3">
      <c r="A42277" t="s">
        <v>0</v>
      </c>
    </row>
    <row r="42278" spans="1:1" x14ac:dyDescent="0.3">
      <c r="A42278" t="s">
        <v>0</v>
      </c>
    </row>
    <row r="42279" spans="1:1" x14ac:dyDescent="0.3">
      <c r="A42279" t="s">
        <v>0</v>
      </c>
    </row>
    <row r="42280" spans="1:1" x14ac:dyDescent="0.3">
      <c r="A42280" t="s">
        <v>0</v>
      </c>
    </row>
    <row r="42281" spans="1:1" x14ac:dyDescent="0.3">
      <c r="A42281" t="s">
        <v>0</v>
      </c>
    </row>
    <row r="42282" spans="1:1" x14ac:dyDescent="0.3">
      <c r="A42282" t="s">
        <v>0</v>
      </c>
    </row>
    <row r="42283" spans="1:1" x14ac:dyDescent="0.3">
      <c r="A42283" t="s">
        <v>0</v>
      </c>
    </row>
    <row r="42284" spans="1:1" x14ac:dyDescent="0.3">
      <c r="A42284" t="s">
        <v>0</v>
      </c>
    </row>
    <row r="42285" spans="1:1" x14ac:dyDescent="0.3">
      <c r="A42285" t="s">
        <v>0</v>
      </c>
    </row>
    <row r="42286" spans="1:1" x14ac:dyDescent="0.3">
      <c r="A42286" t="s">
        <v>0</v>
      </c>
    </row>
    <row r="42287" spans="1:1" x14ac:dyDescent="0.3">
      <c r="A42287" t="s">
        <v>0</v>
      </c>
    </row>
    <row r="42288" spans="1:1" x14ac:dyDescent="0.3">
      <c r="A42288" t="s">
        <v>0</v>
      </c>
    </row>
    <row r="42289" spans="1:1" x14ac:dyDescent="0.3">
      <c r="A42289" t="s">
        <v>0</v>
      </c>
    </row>
    <row r="42290" spans="1:1" x14ac:dyDescent="0.3">
      <c r="A42290" t="s">
        <v>0</v>
      </c>
    </row>
    <row r="42291" spans="1:1" x14ac:dyDescent="0.3">
      <c r="A42291" t="s">
        <v>0</v>
      </c>
    </row>
    <row r="42292" spans="1:1" x14ac:dyDescent="0.3">
      <c r="A42292" t="s">
        <v>0</v>
      </c>
    </row>
    <row r="42293" spans="1:1" x14ac:dyDescent="0.3">
      <c r="A42293" t="s">
        <v>0</v>
      </c>
    </row>
    <row r="42294" spans="1:1" x14ac:dyDescent="0.3">
      <c r="A42294" t="s">
        <v>0</v>
      </c>
    </row>
    <row r="42295" spans="1:1" x14ac:dyDescent="0.3">
      <c r="A42295" t="s">
        <v>0</v>
      </c>
    </row>
    <row r="42296" spans="1:1" x14ac:dyDescent="0.3">
      <c r="A42296" t="s">
        <v>0</v>
      </c>
    </row>
    <row r="42297" spans="1:1" x14ac:dyDescent="0.3">
      <c r="A42297" t="s">
        <v>0</v>
      </c>
    </row>
    <row r="42298" spans="1:1" x14ac:dyDescent="0.3">
      <c r="A42298" t="s">
        <v>0</v>
      </c>
    </row>
    <row r="42299" spans="1:1" x14ac:dyDescent="0.3">
      <c r="A42299" t="s">
        <v>0</v>
      </c>
    </row>
    <row r="42300" spans="1:1" x14ac:dyDescent="0.3">
      <c r="A42300" t="s">
        <v>0</v>
      </c>
    </row>
    <row r="42301" spans="1:1" x14ac:dyDescent="0.3">
      <c r="A42301" t="s">
        <v>0</v>
      </c>
    </row>
    <row r="42302" spans="1:1" x14ac:dyDescent="0.3">
      <c r="A42302" t="s">
        <v>0</v>
      </c>
    </row>
    <row r="42303" spans="1:1" x14ac:dyDescent="0.3">
      <c r="A42303" t="s">
        <v>0</v>
      </c>
    </row>
    <row r="42304" spans="1:1" x14ac:dyDescent="0.3">
      <c r="A42304" t="s">
        <v>0</v>
      </c>
    </row>
    <row r="42305" spans="1:1" x14ac:dyDescent="0.3">
      <c r="A42305" t="s">
        <v>0</v>
      </c>
    </row>
    <row r="42306" spans="1:1" x14ac:dyDescent="0.3">
      <c r="A42306" t="s">
        <v>0</v>
      </c>
    </row>
    <row r="42307" spans="1:1" x14ac:dyDescent="0.3">
      <c r="A42307" t="s">
        <v>0</v>
      </c>
    </row>
    <row r="42308" spans="1:1" x14ac:dyDescent="0.3">
      <c r="A42308" t="s">
        <v>0</v>
      </c>
    </row>
    <row r="42309" spans="1:1" x14ac:dyDescent="0.3">
      <c r="A42309" t="s">
        <v>0</v>
      </c>
    </row>
    <row r="42310" spans="1:1" x14ac:dyDescent="0.3">
      <c r="A42310" t="s">
        <v>0</v>
      </c>
    </row>
    <row r="42311" spans="1:1" x14ac:dyDescent="0.3">
      <c r="A42311" t="s">
        <v>0</v>
      </c>
    </row>
    <row r="42312" spans="1:1" x14ac:dyDescent="0.3">
      <c r="A42312" t="s">
        <v>0</v>
      </c>
    </row>
    <row r="42313" spans="1:1" x14ac:dyDescent="0.3">
      <c r="A42313" t="s">
        <v>0</v>
      </c>
    </row>
    <row r="42314" spans="1:1" x14ac:dyDescent="0.3">
      <c r="A42314" t="s">
        <v>0</v>
      </c>
    </row>
    <row r="42315" spans="1:1" x14ac:dyDescent="0.3">
      <c r="A42315" t="s">
        <v>0</v>
      </c>
    </row>
    <row r="42316" spans="1:1" x14ac:dyDescent="0.3">
      <c r="A42316" t="s">
        <v>0</v>
      </c>
    </row>
    <row r="42317" spans="1:1" x14ac:dyDescent="0.3">
      <c r="A42317" t="s">
        <v>0</v>
      </c>
    </row>
    <row r="42318" spans="1:1" x14ac:dyDescent="0.3">
      <c r="A42318" t="s">
        <v>0</v>
      </c>
    </row>
    <row r="42319" spans="1:1" x14ac:dyDescent="0.3">
      <c r="A42319" t="s">
        <v>0</v>
      </c>
    </row>
    <row r="42320" spans="1:1" x14ac:dyDescent="0.3">
      <c r="A42320" t="s">
        <v>0</v>
      </c>
    </row>
    <row r="42321" spans="1:1" x14ac:dyDescent="0.3">
      <c r="A42321" t="s">
        <v>0</v>
      </c>
    </row>
    <row r="42322" spans="1:1" x14ac:dyDescent="0.3">
      <c r="A42322" t="s">
        <v>0</v>
      </c>
    </row>
    <row r="42323" spans="1:1" x14ac:dyDescent="0.3">
      <c r="A42323" t="s">
        <v>0</v>
      </c>
    </row>
    <row r="42324" spans="1:1" x14ac:dyDescent="0.3">
      <c r="A42324" t="s">
        <v>0</v>
      </c>
    </row>
    <row r="42325" spans="1:1" x14ac:dyDescent="0.3">
      <c r="A42325" t="s">
        <v>0</v>
      </c>
    </row>
    <row r="42326" spans="1:1" x14ac:dyDescent="0.3">
      <c r="A42326" t="s">
        <v>0</v>
      </c>
    </row>
    <row r="42327" spans="1:1" x14ac:dyDescent="0.3">
      <c r="A42327" t="s">
        <v>0</v>
      </c>
    </row>
    <row r="42328" spans="1:1" x14ac:dyDescent="0.3">
      <c r="A42328" t="s">
        <v>0</v>
      </c>
    </row>
    <row r="42329" spans="1:1" x14ac:dyDescent="0.3">
      <c r="A42329" t="s">
        <v>0</v>
      </c>
    </row>
    <row r="42330" spans="1:1" x14ac:dyDescent="0.3">
      <c r="A42330" t="s">
        <v>0</v>
      </c>
    </row>
    <row r="42331" spans="1:1" x14ac:dyDescent="0.3">
      <c r="A42331" t="s">
        <v>0</v>
      </c>
    </row>
    <row r="42332" spans="1:1" x14ac:dyDescent="0.3">
      <c r="A42332" t="s">
        <v>0</v>
      </c>
    </row>
    <row r="42333" spans="1:1" x14ac:dyDescent="0.3">
      <c r="A42333" t="s">
        <v>0</v>
      </c>
    </row>
    <row r="42334" spans="1:1" x14ac:dyDescent="0.3">
      <c r="A42334" t="s">
        <v>0</v>
      </c>
    </row>
    <row r="42335" spans="1:1" x14ac:dyDescent="0.3">
      <c r="A42335" t="s">
        <v>0</v>
      </c>
    </row>
    <row r="42336" spans="1:1" x14ac:dyDescent="0.3">
      <c r="A42336" t="s">
        <v>0</v>
      </c>
    </row>
    <row r="42337" spans="1:1" x14ac:dyDescent="0.3">
      <c r="A42337" t="s">
        <v>0</v>
      </c>
    </row>
    <row r="42338" spans="1:1" x14ac:dyDescent="0.3">
      <c r="A42338" t="s">
        <v>0</v>
      </c>
    </row>
    <row r="42339" spans="1:1" x14ac:dyDescent="0.3">
      <c r="A42339" t="s">
        <v>0</v>
      </c>
    </row>
    <row r="42340" spans="1:1" x14ac:dyDescent="0.3">
      <c r="A42340" t="s">
        <v>0</v>
      </c>
    </row>
    <row r="42341" spans="1:1" x14ac:dyDescent="0.3">
      <c r="A42341" t="s">
        <v>0</v>
      </c>
    </row>
    <row r="42342" spans="1:1" x14ac:dyDescent="0.3">
      <c r="A42342" t="s">
        <v>0</v>
      </c>
    </row>
    <row r="42343" spans="1:1" x14ac:dyDescent="0.3">
      <c r="A42343" t="s">
        <v>0</v>
      </c>
    </row>
    <row r="42344" spans="1:1" x14ac:dyDescent="0.3">
      <c r="A42344" t="s">
        <v>0</v>
      </c>
    </row>
    <row r="42345" spans="1:1" x14ac:dyDescent="0.3">
      <c r="A42345" t="s">
        <v>0</v>
      </c>
    </row>
    <row r="42346" spans="1:1" x14ac:dyDescent="0.3">
      <c r="A42346" t="s">
        <v>0</v>
      </c>
    </row>
    <row r="42347" spans="1:1" x14ac:dyDescent="0.3">
      <c r="A42347" t="s">
        <v>0</v>
      </c>
    </row>
    <row r="42348" spans="1:1" x14ac:dyDescent="0.3">
      <c r="A42348" t="s">
        <v>0</v>
      </c>
    </row>
    <row r="42349" spans="1:1" x14ac:dyDescent="0.3">
      <c r="A42349" t="s">
        <v>0</v>
      </c>
    </row>
    <row r="42350" spans="1:1" x14ac:dyDescent="0.3">
      <c r="A42350" t="s">
        <v>0</v>
      </c>
    </row>
    <row r="42351" spans="1:1" x14ac:dyDescent="0.3">
      <c r="A42351" t="s">
        <v>0</v>
      </c>
    </row>
    <row r="42352" spans="1:1" x14ac:dyDescent="0.3">
      <c r="A42352" t="s">
        <v>0</v>
      </c>
    </row>
    <row r="42353" spans="1:1" x14ac:dyDescent="0.3">
      <c r="A42353" t="s">
        <v>0</v>
      </c>
    </row>
    <row r="42354" spans="1:1" x14ac:dyDescent="0.3">
      <c r="A42354" t="s">
        <v>0</v>
      </c>
    </row>
    <row r="42355" spans="1:1" x14ac:dyDescent="0.3">
      <c r="A42355" t="s">
        <v>0</v>
      </c>
    </row>
    <row r="42356" spans="1:1" x14ac:dyDescent="0.3">
      <c r="A42356" t="s">
        <v>0</v>
      </c>
    </row>
    <row r="42357" spans="1:1" x14ac:dyDescent="0.3">
      <c r="A42357" t="s">
        <v>0</v>
      </c>
    </row>
    <row r="42358" spans="1:1" x14ac:dyDescent="0.3">
      <c r="A42358" t="s">
        <v>0</v>
      </c>
    </row>
    <row r="42359" spans="1:1" x14ac:dyDescent="0.3">
      <c r="A42359" t="s">
        <v>0</v>
      </c>
    </row>
    <row r="42360" spans="1:1" x14ac:dyDescent="0.3">
      <c r="A42360" t="s">
        <v>0</v>
      </c>
    </row>
    <row r="42361" spans="1:1" x14ac:dyDescent="0.3">
      <c r="A42361" t="s">
        <v>0</v>
      </c>
    </row>
    <row r="42362" spans="1:1" x14ac:dyDescent="0.3">
      <c r="A42362" t="s">
        <v>0</v>
      </c>
    </row>
    <row r="42363" spans="1:1" x14ac:dyDescent="0.3">
      <c r="A42363" t="s">
        <v>0</v>
      </c>
    </row>
    <row r="42364" spans="1:1" x14ac:dyDescent="0.3">
      <c r="A42364" t="s">
        <v>0</v>
      </c>
    </row>
    <row r="42365" spans="1:1" x14ac:dyDescent="0.3">
      <c r="A42365" t="s">
        <v>0</v>
      </c>
    </row>
    <row r="42366" spans="1:1" x14ac:dyDescent="0.3">
      <c r="A42366" t="s">
        <v>0</v>
      </c>
    </row>
    <row r="42367" spans="1:1" x14ac:dyDescent="0.3">
      <c r="A42367" t="s">
        <v>0</v>
      </c>
    </row>
    <row r="42368" spans="1:1" x14ac:dyDescent="0.3">
      <c r="A42368" t="s">
        <v>0</v>
      </c>
    </row>
    <row r="42369" spans="1:1" x14ac:dyDescent="0.3">
      <c r="A42369" t="s">
        <v>0</v>
      </c>
    </row>
    <row r="42370" spans="1:1" x14ac:dyDescent="0.3">
      <c r="A42370" t="s">
        <v>0</v>
      </c>
    </row>
    <row r="42371" spans="1:1" x14ac:dyDescent="0.3">
      <c r="A42371" t="s">
        <v>0</v>
      </c>
    </row>
    <row r="42372" spans="1:1" x14ac:dyDescent="0.3">
      <c r="A42372" t="s">
        <v>0</v>
      </c>
    </row>
    <row r="42373" spans="1:1" x14ac:dyDescent="0.3">
      <c r="A42373" t="s">
        <v>0</v>
      </c>
    </row>
    <row r="42374" spans="1:1" x14ac:dyDescent="0.3">
      <c r="A42374" t="s">
        <v>0</v>
      </c>
    </row>
    <row r="42375" spans="1:1" x14ac:dyDescent="0.3">
      <c r="A42375" t="s">
        <v>0</v>
      </c>
    </row>
    <row r="42376" spans="1:1" x14ac:dyDescent="0.3">
      <c r="A42376" t="s">
        <v>0</v>
      </c>
    </row>
    <row r="42377" spans="1:1" x14ac:dyDescent="0.3">
      <c r="A42377" t="s">
        <v>0</v>
      </c>
    </row>
    <row r="42378" spans="1:1" x14ac:dyDescent="0.3">
      <c r="A42378" t="s">
        <v>0</v>
      </c>
    </row>
    <row r="42379" spans="1:1" x14ac:dyDescent="0.3">
      <c r="A42379" t="s">
        <v>0</v>
      </c>
    </row>
    <row r="42380" spans="1:1" x14ac:dyDescent="0.3">
      <c r="A42380" t="s">
        <v>0</v>
      </c>
    </row>
    <row r="42381" spans="1:1" x14ac:dyDescent="0.3">
      <c r="A42381" t="s">
        <v>0</v>
      </c>
    </row>
    <row r="42382" spans="1:1" x14ac:dyDescent="0.3">
      <c r="A42382" t="s">
        <v>0</v>
      </c>
    </row>
    <row r="42383" spans="1:1" x14ac:dyDescent="0.3">
      <c r="A42383" t="s">
        <v>0</v>
      </c>
    </row>
    <row r="42384" spans="1:1" x14ac:dyDescent="0.3">
      <c r="A42384" t="s">
        <v>0</v>
      </c>
    </row>
    <row r="42385" spans="1:1" x14ac:dyDescent="0.3">
      <c r="A42385" t="s">
        <v>0</v>
      </c>
    </row>
    <row r="42386" spans="1:1" x14ac:dyDescent="0.3">
      <c r="A42386" t="s">
        <v>0</v>
      </c>
    </row>
    <row r="42387" spans="1:1" x14ac:dyDescent="0.3">
      <c r="A42387" t="s">
        <v>0</v>
      </c>
    </row>
    <row r="42388" spans="1:1" x14ac:dyDescent="0.3">
      <c r="A42388" t="s">
        <v>0</v>
      </c>
    </row>
    <row r="42389" spans="1:1" x14ac:dyDescent="0.3">
      <c r="A42389" t="s">
        <v>0</v>
      </c>
    </row>
    <row r="42390" spans="1:1" x14ac:dyDescent="0.3">
      <c r="A42390" t="s">
        <v>0</v>
      </c>
    </row>
    <row r="42391" spans="1:1" x14ac:dyDescent="0.3">
      <c r="A42391" t="s">
        <v>0</v>
      </c>
    </row>
    <row r="42392" spans="1:1" x14ac:dyDescent="0.3">
      <c r="A42392" t="s">
        <v>0</v>
      </c>
    </row>
    <row r="42393" spans="1:1" x14ac:dyDescent="0.3">
      <c r="A42393" t="s">
        <v>0</v>
      </c>
    </row>
    <row r="42394" spans="1:1" x14ac:dyDescent="0.3">
      <c r="A42394" t="s">
        <v>0</v>
      </c>
    </row>
    <row r="42395" spans="1:1" x14ac:dyDescent="0.3">
      <c r="A42395" t="s">
        <v>0</v>
      </c>
    </row>
    <row r="42396" spans="1:1" x14ac:dyDescent="0.3">
      <c r="A42396" t="s">
        <v>0</v>
      </c>
    </row>
    <row r="42397" spans="1:1" x14ac:dyDescent="0.3">
      <c r="A42397" t="s">
        <v>0</v>
      </c>
    </row>
    <row r="42398" spans="1:1" x14ac:dyDescent="0.3">
      <c r="A42398" t="s">
        <v>0</v>
      </c>
    </row>
    <row r="42399" spans="1:1" x14ac:dyDescent="0.3">
      <c r="A42399" t="s">
        <v>0</v>
      </c>
    </row>
    <row r="42400" spans="1:1" x14ac:dyDescent="0.3">
      <c r="A42400" t="s">
        <v>0</v>
      </c>
    </row>
    <row r="42401" spans="1:1" x14ac:dyDescent="0.3">
      <c r="A42401" t="s">
        <v>0</v>
      </c>
    </row>
    <row r="42402" spans="1:1" x14ac:dyDescent="0.3">
      <c r="A42402" t="s">
        <v>0</v>
      </c>
    </row>
    <row r="42403" spans="1:1" x14ac:dyDescent="0.3">
      <c r="A42403" t="s">
        <v>0</v>
      </c>
    </row>
    <row r="42404" spans="1:1" x14ac:dyDescent="0.3">
      <c r="A42404" t="s">
        <v>0</v>
      </c>
    </row>
    <row r="42405" spans="1:1" x14ac:dyDescent="0.3">
      <c r="A42405" t="s">
        <v>0</v>
      </c>
    </row>
    <row r="42406" spans="1:1" x14ac:dyDescent="0.3">
      <c r="A42406" t="s">
        <v>0</v>
      </c>
    </row>
    <row r="42407" spans="1:1" x14ac:dyDescent="0.3">
      <c r="A42407" t="s">
        <v>0</v>
      </c>
    </row>
    <row r="42408" spans="1:1" x14ac:dyDescent="0.3">
      <c r="A42408" t="s">
        <v>0</v>
      </c>
    </row>
    <row r="42409" spans="1:1" x14ac:dyDescent="0.3">
      <c r="A42409" t="s">
        <v>0</v>
      </c>
    </row>
    <row r="42410" spans="1:1" x14ac:dyDescent="0.3">
      <c r="A42410" t="s">
        <v>0</v>
      </c>
    </row>
    <row r="42411" spans="1:1" x14ac:dyDescent="0.3">
      <c r="A42411" t="s">
        <v>0</v>
      </c>
    </row>
    <row r="42412" spans="1:1" x14ac:dyDescent="0.3">
      <c r="A42412" t="s">
        <v>0</v>
      </c>
    </row>
    <row r="42413" spans="1:1" x14ac:dyDescent="0.3">
      <c r="A42413" t="s">
        <v>0</v>
      </c>
    </row>
    <row r="42414" spans="1:1" x14ac:dyDescent="0.3">
      <c r="A42414" t="s">
        <v>0</v>
      </c>
    </row>
    <row r="42415" spans="1:1" x14ac:dyDescent="0.3">
      <c r="A42415" t="s">
        <v>0</v>
      </c>
    </row>
    <row r="42416" spans="1:1" x14ac:dyDescent="0.3">
      <c r="A42416" t="s">
        <v>0</v>
      </c>
    </row>
    <row r="42417" spans="1:1" x14ac:dyDescent="0.3">
      <c r="A42417" t="s">
        <v>0</v>
      </c>
    </row>
    <row r="42418" spans="1:1" x14ac:dyDescent="0.3">
      <c r="A42418" t="s">
        <v>0</v>
      </c>
    </row>
    <row r="42419" spans="1:1" x14ac:dyDescent="0.3">
      <c r="A42419" t="s">
        <v>0</v>
      </c>
    </row>
    <row r="42420" spans="1:1" x14ac:dyDescent="0.3">
      <c r="A42420" t="s">
        <v>0</v>
      </c>
    </row>
    <row r="42421" spans="1:1" x14ac:dyDescent="0.3">
      <c r="A42421" t="s">
        <v>0</v>
      </c>
    </row>
    <row r="42422" spans="1:1" x14ac:dyDescent="0.3">
      <c r="A42422" t="s">
        <v>0</v>
      </c>
    </row>
    <row r="42423" spans="1:1" x14ac:dyDescent="0.3">
      <c r="A42423" t="s">
        <v>0</v>
      </c>
    </row>
    <row r="42424" spans="1:1" x14ac:dyDescent="0.3">
      <c r="A42424" t="s">
        <v>0</v>
      </c>
    </row>
    <row r="42425" spans="1:1" x14ac:dyDescent="0.3">
      <c r="A42425" t="s">
        <v>0</v>
      </c>
    </row>
    <row r="42426" spans="1:1" x14ac:dyDescent="0.3">
      <c r="A42426" t="s">
        <v>0</v>
      </c>
    </row>
    <row r="42427" spans="1:1" x14ac:dyDescent="0.3">
      <c r="A42427" t="s">
        <v>0</v>
      </c>
    </row>
    <row r="42428" spans="1:1" x14ac:dyDescent="0.3">
      <c r="A42428" t="s">
        <v>0</v>
      </c>
    </row>
    <row r="42429" spans="1:1" x14ac:dyDescent="0.3">
      <c r="A42429" t="s">
        <v>0</v>
      </c>
    </row>
    <row r="42430" spans="1:1" x14ac:dyDescent="0.3">
      <c r="A42430" t="s">
        <v>0</v>
      </c>
    </row>
    <row r="42431" spans="1:1" x14ac:dyDescent="0.3">
      <c r="A42431" t="s">
        <v>0</v>
      </c>
    </row>
    <row r="42432" spans="1:1" x14ac:dyDescent="0.3">
      <c r="A42432" t="s">
        <v>0</v>
      </c>
    </row>
    <row r="42433" spans="1:1" x14ac:dyDescent="0.3">
      <c r="A42433" t="s">
        <v>0</v>
      </c>
    </row>
    <row r="42434" spans="1:1" x14ac:dyDescent="0.3">
      <c r="A42434" t="s">
        <v>0</v>
      </c>
    </row>
    <row r="42435" spans="1:1" x14ac:dyDescent="0.3">
      <c r="A42435" t="s">
        <v>0</v>
      </c>
    </row>
    <row r="42436" spans="1:1" x14ac:dyDescent="0.3">
      <c r="A42436" t="s">
        <v>0</v>
      </c>
    </row>
    <row r="42437" spans="1:1" x14ac:dyDescent="0.3">
      <c r="A42437" t="s">
        <v>0</v>
      </c>
    </row>
    <row r="42438" spans="1:1" x14ac:dyDescent="0.3">
      <c r="A42438" t="s">
        <v>0</v>
      </c>
    </row>
    <row r="42439" spans="1:1" x14ac:dyDescent="0.3">
      <c r="A42439" t="s">
        <v>0</v>
      </c>
    </row>
    <row r="42440" spans="1:1" x14ac:dyDescent="0.3">
      <c r="A42440" t="s">
        <v>0</v>
      </c>
    </row>
    <row r="42441" spans="1:1" x14ac:dyDescent="0.3">
      <c r="A42441" t="s">
        <v>0</v>
      </c>
    </row>
    <row r="42442" spans="1:1" x14ac:dyDescent="0.3">
      <c r="A42442" t="s">
        <v>0</v>
      </c>
    </row>
    <row r="42443" spans="1:1" x14ac:dyDescent="0.3">
      <c r="A42443" t="s">
        <v>0</v>
      </c>
    </row>
    <row r="42444" spans="1:1" x14ac:dyDescent="0.3">
      <c r="A42444" t="s">
        <v>0</v>
      </c>
    </row>
    <row r="42445" spans="1:1" x14ac:dyDescent="0.3">
      <c r="A42445" t="s">
        <v>0</v>
      </c>
    </row>
    <row r="42446" spans="1:1" x14ac:dyDescent="0.3">
      <c r="A42446" t="s">
        <v>0</v>
      </c>
    </row>
    <row r="42447" spans="1:1" x14ac:dyDescent="0.3">
      <c r="A42447" t="s">
        <v>0</v>
      </c>
    </row>
    <row r="42448" spans="1:1" x14ac:dyDescent="0.3">
      <c r="A42448" t="s">
        <v>0</v>
      </c>
    </row>
    <row r="42449" spans="1:1" x14ac:dyDescent="0.3">
      <c r="A42449" t="s">
        <v>0</v>
      </c>
    </row>
    <row r="42450" spans="1:1" x14ac:dyDescent="0.3">
      <c r="A42450" t="s">
        <v>0</v>
      </c>
    </row>
    <row r="42451" spans="1:1" x14ac:dyDescent="0.3">
      <c r="A42451" t="s">
        <v>0</v>
      </c>
    </row>
    <row r="42452" spans="1:1" x14ac:dyDescent="0.3">
      <c r="A42452" t="s">
        <v>0</v>
      </c>
    </row>
    <row r="42453" spans="1:1" x14ac:dyDescent="0.3">
      <c r="A42453" t="s">
        <v>0</v>
      </c>
    </row>
    <row r="42454" spans="1:1" x14ac:dyDescent="0.3">
      <c r="A42454" t="s">
        <v>0</v>
      </c>
    </row>
    <row r="42455" spans="1:1" x14ac:dyDescent="0.3">
      <c r="A42455" t="s">
        <v>0</v>
      </c>
    </row>
    <row r="42456" spans="1:1" x14ac:dyDescent="0.3">
      <c r="A42456" t="s">
        <v>0</v>
      </c>
    </row>
    <row r="42457" spans="1:1" x14ac:dyDescent="0.3">
      <c r="A42457" t="s">
        <v>0</v>
      </c>
    </row>
    <row r="42458" spans="1:1" x14ac:dyDescent="0.3">
      <c r="A42458" t="s">
        <v>0</v>
      </c>
    </row>
    <row r="42459" spans="1:1" x14ac:dyDescent="0.3">
      <c r="A42459" t="s">
        <v>0</v>
      </c>
    </row>
    <row r="42460" spans="1:1" x14ac:dyDescent="0.3">
      <c r="A42460" t="s">
        <v>0</v>
      </c>
    </row>
    <row r="42461" spans="1:1" x14ac:dyDescent="0.3">
      <c r="A42461" t="s">
        <v>0</v>
      </c>
    </row>
    <row r="42462" spans="1:1" x14ac:dyDescent="0.3">
      <c r="A42462" t="s">
        <v>0</v>
      </c>
    </row>
    <row r="42463" spans="1:1" x14ac:dyDescent="0.3">
      <c r="A42463" t="s">
        <v>0</v>
      </c>
    </row>
    <row r="42464" spans="1:1" x14ac:dyDescent="0.3">
      <c r="A42464" t="s">
        <v>0</v>
      </c>
    </row>
    <row r="42465" spans="1:1" x14ac:dyDescent="0.3">
      <c r="A42465" t="s">
        <v>0</v>
      </c>
    </row>
    <row r="42466" spans="1:1" x14ac:dyDescent="0.3">
      <c r="A42466" t="s">
        <v>0</v>
      </c>
    </row>
    <row r="42467" spans="1:1" x14ac:dyDescent="0.3">
      <c r="A42467" t="s">
        <v>0</v>
      </c>
    </row>
    <row r="42468" spans="1:1" x14ac:dyDescent="0.3">
      <c r="A42468" t="s">
        <v>0</v>
      </c>
    </row>
    <row r="42469" spans="1:1" x14ac:dyDescent="0.3">
      <c r="A42469" t="s">
        <v>0</v>
      </c>
    </row>
    <row r="42470" spans="1:1" x14ac:dyDescent="0.3">
      <c r="A42470" t="s">
        <v>0</v>
      </c>
    </row>
    <row r="42471" spans="1:1" x14ac:dyDescent="0.3">
      <c r="A42471" t="s">
        <v>0</v>
      </c>
    </row>
    <row r="42472" spans="1:1" x14ac:dyDescent="0.3">
      <c r="A42472" t="s">
        <v>0</v>
      </c>
    </row>
    <row r="42473" spans="1:1" x14ac:dyDescent="0.3">
      <c r="A42473" t="s">
        <v>0</v>
      </c>
    </row>
    <row r="42474" spans="1:1" x14ac:dyDescent="0.3">
      <c r="A42474" t="s">
        <v>0</v>
      </c>
    </row>
    <row r="42475" spans="1:1" x14ac:dyDescent="0.3">
      <c r="A42475" t="s">
        <v>0</v>
      </c>
    </row>
    <row r="42476" spans="1:1" x14ac:dyDescent="0.3">
      <c r="A42476" t="s">
        <v>0</v>
      </c>
    </row>
    <row r="42477" spans="1:1" x14ac:dyDescent="0.3">
      <c r="A42477" t="s">
        <v>0</v>
      </c>
    </row>
    <row r="42478" spans="1:1" x14ac:dyDescent="0.3">
      <c r="A42478" t="s">
        <v>0</v>
      </c>
    </row>
    <row r="42479" spans="1:1" x14ac:dyDescent="0.3">
      <c r="A42479" t="s">
        <v>0</v>
      </c>
    </row>
    <row r="42480" spans="1:1" x14ac:dyDescent="0.3">
      <c r="A42480" t="s">
        <v>0</v>
      </c>
    </row>
    <row r="42481" spans="1:1" x14ac:dyDescent="0.3">
      <c r="A42481" t="s">
        <v>0</v>
      </c>
    </row>
    <row r="42482" spans="1:1" x14ac:dyDescent="0.3">
      <c r="A42482" t="s">
        <v>0</v>
      </c>
    </row>
    <row r="42483" spans="1:1" x14ac:dyDescent="0.3">
      <c r="A42483" t="s">
        <v>0</v>
      </c>
    </row>
    <row r="42484" spans="1:1" x14ac:dyDescent="0.3">
      <c r="A42484" t="s">
        <v>0</v>
      </c>
    </row>
    <row r="42485" spans="1:1" x14ac:dyDescent="0.3">
      <c r="A42485" t="s">
        <v>0</v>
      </c>
    </row>
    <row r="42486" spans="1:1" x14ac:dyDescent="0.3">
      <c r="A42486" t="s">
        <v>0</v>
      </c>
    </row>
    <row r="42487" spans="1:1" x14ac:dyDescent="0.3">
      <c r="A42487" t="s">
        <v>0</v>
      </c>
    </row>
    <row r="42488" spans="1:1" x14ac:dyDescent="0.3">
      <c r="A42488" t="s">
        <v>0</v>
      </c>
    </row>
    <row r="42489" spans="1:1" x14ac:dyDescent="0.3">
      <c r="A42489" t="s">
        <v>0</v>
      </c>
    </row>
    <row r="42490" spans="1:1" x14ac:dyDescent="0.3">
      <c r="A42490" t="s">
        <v>0</v>
      </c>
    </row>
    <row r="42491" spans="1:1" x14ac:dyDescent="0.3">
      <c r="A42491" t="s">
        <v>0</v>
      </c>
    </row>
    <row r="42492" spans="1:1" x14ac:dyDescent="0.3">
      <c r="A42492" t="s">
        <v>0</v>
      </c>
    </row>
    <row r="42493" spans="1:1" x14ac:dyDescent="0.3">
      <c r="A42493" t="s">
        <v>0</v>
      </c>
    </row>
    <row r="42494" spans="1:1" x14ac:dyDescent="0.3">
      <c r="A42494" t="s">
        <v>0</v>
      </c>
    </row>
    <row r="42495" spans="1:1" x14ac:dyDescent="0.3">
      <c r="A42495" t="s">
        <v>0</v>
      </c>
    </row>
    <row r="42496" spans="1:1" x14ac:dyDescent="0.3">
      <c r="A42496" t="s">
        <v>0</v>
      </c>
    </row>
    <row r="42497" spans="1:1" x14ac:dyDescent="0.3">
      <c r="A42497" t="s">
        <v>0</v>
      </c>
    </row>
    <row r="42498" spans="1:1" x14ac:dyDescent="0.3">
      <c r="A42498" t="s">
        <v>0</v>
      </c>
    </row>
    <row r="42499" spans="1:1" x14ac:dyDescent="0.3">
      <c r="A42499" t="s">
        <v>0</v>
      </c>
    </row>
    <row r="42500" spans="1:1" x14ac:dyDescent="0.3">
      <c r="A42500" t="s">
        <v>0</v>
      </c>
    </row>
    <row r="42501" spans="1:1" x14ac:dyDescent="0.3">
      <c r="A42501" t="s">
        <v>0</v>
      </c>
    </row>
    <row r="42502" spans="1:1" x14ac:dyDescent="0.3">
      <c r="A42502" t="s">
        <v>0</v>
      </c>
    </row>
    <row r="42503" spans="1:1" x14ac:dyDescent="0.3">
      <c r="A42503" t="s">
        <v>0</v>
      </c>
    </row>
    <row r="42504" spans="1:1" x14ac:dyDescent="0.3">
      <c r="A42504" t="s">
        <v>0</v>
      </c>
    </row>
    <row r="42505" spans="1:1" x14ac:dyDescent="0.3">
      <c r="A42505" t="s">
        <v>0</v>
      </c>
    </row>
    <row r="42506" spans="1:1" x14ac:dyDescent="0.3">
      <c r="A42506" t="s">
        <v>0</v>
      </c>
    </row>
    <row r="42507" spans="1:1" x14ac:dyDescent="0.3">
      <c r="A42507" t="s">
        <v>0</v>
      </c>
    </row>
    <row r="42508" spans="1:1" x14ac:dyDescent="0.3">
      <c r="A42508" t="s">
        <v>0</v>
      </c>
    </row>
    <row r="42509" spans="1:1" x14ac:dyDescent="0.3">
      <c r="A42509" t="s">
        <v>0</v>
      </c>
    </row>
    <row r="42510" spans="1:1" x14ac:dyDescent="0.3">
      <c r="A42510" t="s">
        <v>0</v>
      </c>
    </row>
    <row r="42511" spans="1:1" x14ac:dyDescent="0.3">
      <c r="A42511" t="s">
        <v>0</v>
      </c>
    </row>
    <row r="42512" spans="1:1" x14ac:dyDescent="0.3">
      <c r="A42512" t="s">
        <v>0</v>
      </c>
    </row>
    <row r="42513" spans="1:1" x14ac:dyDescent="0.3">
      <c r="A42513" t="s">
        <v>0</v>
      </c>
    </row>
    <row r="42514" spans="1:1" x14ac:dyDescent="0.3">
      <c r="A42514" t="s">
        <v>0</v>
      </c>
    </row>
    <row r="42515" spans="1:1" x14ac:dyDescent="0.3">
      <c r="A42515" t="s">
        <v>0</v>
      </c>
    </row>
    <row r="42516" spans="1:1" x14ac:dyDescent="0.3">
      <c r="A42516" t="s">
        <v>0</v>
      </c>
    </row>
    <row r="42517" spans="1:1" x14ac:dyDescent="0.3">
      <c r="A42517" t="s">
        <v>0</v>
      </c>
    </row>
    <row r="42518" spans="1:1" x14ac:dyDescent="0.3">
      <c r="A42518" t="s">
        <v>0</v>
      </c>
    </row>
    <row r="42519" spans="1:1" x14ac:dyDescent="0.3">
      <c r="A42519" t="s">
        <v>0</v>
      </c>
    </row>
    <row r="42520" spans="1:1" x14ac:dyDescent="0.3">
      <c r="A42520" t="s">
        <v>0</v>
      </c>
    </row>
    <row r="42521" spans="1:1" x14ac:dyDescent="0.3">
      <c r="A42521" t="s">
        <v>0</v>
      </c>
    </row>
    <row r="42522" spans="1:1" x14ac:dyDescent="0.3">
      <c r="A42522" t="s">
        <v>0</v>
      </c>
    </row>
    <row r="42523" spans="1:1" x14ac:dyDescent="0.3">
      <c r="A42523" t="s">
        <v>0</v>
      </c>
    </row>
    <row r="42524" spans="1:1" x14ac:dyDescent="0.3">
      <c r="A42524" t="s">
        <v>0</v>
      </c>
    </row>
    <row r="42525" spans="1:1" x14ac:dyDescent="0.3">
      <c r="A42525" t="s">
        <v>0</v>
      </c>
    </row>
    <row r="42526" spans="1:1" x14ac:dyDescent="0.3">
      <c r="A42526" t="s">
        <v>0</v>
      </c>
    </row>
    <row r="42527" spans="1:1" x14ac:dyDescent="0.3">
      <c r="A42527" t="s">
        <v>0</v>
      </c>
    </row>
    <row r="42528" spans="1:1" x14ac:dyDescent="0.3">
      <c r="A42528" t="s">
        <v>0</v>
      </c>
    </row>
    <row r="42529" spans="1:1" x14ac:dyDescent="0.3">
      <c r="A42529" t="s">
        <v>0</v>
      </c>
    </row>
    <row r="42530" spans="1:1" x14ac:dyDescent="0.3">
      <c r="A42530" t="s">
        <v>0</v>
      </c>
    </row>
    <row r="42531" spans="1:1" x14ac:dyDescent="0.3">
      <c r="A42531" t="s">
        <v>0</v>
      </c>
    </row>
    <row r="42532" spans="1:1" x14ac:dyDescent="0.3">
      <c r="A42532" t="s">
        <v>0</v>
      </c>
    </row>
    <row r="42533" spans="1:1" x14ac:dyDescent="0.3">
      <c r="A42533" t="s">
        <v>0</v>
      </c>
    </row>
    <row r="42534" spans="1:1" x14ac:dyDescent="0.3">
      <c r="A42534" t="s">
        <v>0</v>
      </c>
    </row>
    <row r="42535" spans="1:1" x14ac:dyDescent="0.3">
      <c r="A42535" t="s">
        <v>0</v>
      </c>
    </row>
    <row r="42536" spans="1:1" x14ac:dyDescent="0.3">
      <c r="A42536" t="s">
        <v>0</v>
      </c>
    </row>
    <row r="42537" spans="1:1" x14ac:dyDescent="0.3">
      <c r="A42537" t="s">
        <v>0</v>
      </c>
    </row>
    <row r="42538" spans="1:1" x14ac:dyDescent="0.3">
      <c r="A42538" t="s">
        <v>0</v>
      </c>
    </row>
    <row r="42539" spans="1:1" x14ac:dyDescent="0.3">
      <c r="A42539" t="s">
        <v>0</v>
      </c>
    </row>
    <row r="42540" spans="1:1" x14ac:dyDescent="0.3">
      <c r="A42540" t="s">
        <v>0</v>
      </c>
    </row>
    <row r="42541" spans="1:1" x14ac:dyDescent="0.3">
      <c r="A42541" t="s">
        <v>0</v>
      </c>
    </row>
    <row r="42542" spans="1:1" x14ac:dyDescent="0.3">
      <c r="A42542" t="s">
        <v>0</v>
      </c>
    </row>
    <row r="42543" spans="1:1" x14ac:dyDescent="0.3">
      <c r="A42543" t="s">
        <v>0</v>
      </c>
    </row>
    <row r="42544" spans="1:1" x14ac:dyDescent="0.3">
      <c r="A42544" t="s">
        <v>0</v>
      </c>
    </row>
    <row r="42545" spans="1:1" x14ac:dyDescent="0.3">
      <c r="A42545" t="s">
        <v>0</v>
      </c>
    </row>
    <row r="42546" spans="1:1" x14ac:dyDescent="0.3">
      <c r="A42546" t="s">
        <v>0</v>
      </c>
    </row>
    <row r="42547" spans="1:1" x14ac:dyDescent="0.3">
      <c r="A42547" t="s">
        <v>0</v>
      </c>
    </row>
    <row r="42548" spans="1:1" x14ac:dyDescent="0.3">
      <c r="A42548" t="s">
        <v>0</v>
      </c>
    </row>
    <row r="42549" spans="1:1" x14ac:dyDescent="0.3">
      <c r="A42549" t="s">
        <v>0</v>
      </c>
    </row>
    <row r="42550" spans="1:1" x14ac:dyDescent="0.3">
      <c r="A42550" t="s">
        <v>0</v>
      </c>
    </row>
    <row r="42551" spans="1:1" x14ac:dyDescent="0.3">
      <c r="A42551" t="s">
        <v>0</v>
      </c>
    </row>
    <row r="42552" spans="1:1" x14ac:dyDescent="0.3">
      <c r="A42552" t="s">
        <v>0</v>
      </c>
    </row>
    <row r="42553" spans="1:1" x14ac:dyDescent="0.3">
      <c r="A42553" t="s">
        <v>0</v>
      </c>
    </row>
    <row r="42554" spans="1:1" x14ac:dyDescent="0.3">
      <c r="A42554" t="s">
        <v>0</v>
      </c>
    </row>
    <row r="42555" spans="1:1" x14ac:dyDescent="0.3">
      <c r="A42555" t="s">
        <v>0</v>
      </c>
    </row>
    <row r="42556" spans="1:1" x14ac:dyDescent="0.3">
      <c r="A42556" t="s">
        <v>0</v>
      </c>
    </row>
    <row r="42557" spans="1:1" x14ac:dyDescent="0.3">
      <c r="A42557" t="s">
        <v>0</v>
      </c>
    </row>
    <row r="42558" spans="1:1" x14ac:dyDescent="0.3">
      <c r="A42558" t="s">
        <v>0</v>
      </c>
    </row>
    <row r="42559" spans="1:1" x14ac:dyDescent="0.3">
      <c r="A42559" t="s">
        <v>0</v>
      </c>
    </row>
    <row r="42560" spans="1:1" x14ac:dyDescent="0.3">
      <c r="A42560" t="s">
        <v>0</v>
      </c>
    </row>
    <row r="42561" spans="1:1" x14ac:dyDescent="0.3">
      <c r="A42561" t="s">
        <v>0</v>
      </c>
    </row>
    <row r="42562" spans="1:1" x14ac:dyDescent="0.3">
      <c r="A42562" t="s">
        <v>0</v>
      </c>
    </row>
    <row r="42563" spans="1:1" x14ac:dyDescent="0.3">
      <c r="A42563" t="s">
        <v>0</v>
      </c>
    </row>
    <row r="42564" spans="1:1" x14ac:dyDescent="0.3">
      <c r="A42564" t="s">
        <v>0</v>
      </c>
    </row>
    <row r="42565" spans="1:1" x14ac:dyDescent="0.3">
      <c r="A42565" t="s">
        <v>0</v>
      </c>
    </row>
    <row r="42566" spans="1:1" x14ac:dyDescent="0.3">
      <c r="A42566" t="s">
        <v>0</v>
      </c>
    </row>
    <row r="42567" spans="1:1" x14ac:dyDescent="0.3">
      <c r="A42567" t="s">
        <v>0</v>
      </c>
    </row>
    <row r="42568" spans="1:1" x14ac:dyDescent="0.3">
      <c r="A42568" t="s">
        <v>0</v>
      </c>
    </row>
    <row r="42569" spans="1:1" x14ac:dyDescent="0.3">
      <c r="A42569" t="s">
        <v>0</v>
      </c>
    </row>
    <row r="42570" spans="1:1" x14ac:dyDescent="0.3">
      <c r="A42570" t="s">
        <v>0</v>
      </c>
    </row>
    <row r="42571" spans="1:1" x14ac:dyDescent="0.3">
      <c r="A42571" t="s">
        <v>0</v>
      </c>
    </row>
    <row r="42572" spans="1:1" x14ac:dyDescent="0.3">
      <c r="A42572" t="s">
        <v>0</v>
      </c>
    </row>
    <row r="42573" spans="1:1" x14ac:dyDescent="0.3">
      <c r="A42573" t="s">
        <v>0</v>
      </c>
    </row>
    <row r="42574" spans="1:1" x14ac:dyDescent="0.3">
      <c r="A42574" t="s">
        <v>0</v>
      </c>
    </row>
    <row r="42575" spans="1:1" x14ac:dyDescent="0.3">
      <c r="A42575" t="s">
        <v>0</v>
      </c>
    </row>
    <row r="42576" spans="1:1" x14ac:dyDescent="0.3">
      <c r="A42576" t="s">
        <v>0</v>
      </c>
    </row>
    <row r="42577" spans="1:1" x14ac:dyDescent="0.3">
      <c r="A42577" t="s">
        <v>0</v>
      </c>
    </row>
    <row r="42578" spans="1:1" x14ac:dyDescent="0.3">
      <c r="A42578" t="s">
        <v>0</v>
      </c>
    </row>
    <row r="42579" spans="1:1" x14ac:dyDescent="0.3">
      <c r="A42579" t="s">
        <v>0</v>
      </c>
    </row>
    <row r="42580" spans="1:1" x14ac:dyDescent="0.3">
      <c r="A42580" t="s">
        <v>0</v>
      </c>
    </row>
    <row r="42581" spans="1:1" x14ac:dyDescent="0.3">
      <c r="A42581" t="s">
        <v>0</v>
      </c>
    </row>
    <row r="42582" spans="1:1" x14ac:dyDescent="0.3">
      <c r="A42582" t="s">
        <v>0</v>
      </c>
    </row>
    <row r="42583" spans="1:1" x14ac:dyDescent="0.3">
      <c r="A42583" t="s">
        <v>0</v>
      </c>
    </row>
    <row r="42584" spans="1:1" x14ac:dyDescent="0.3">
      <c r="A42584" t="s">
        <v>0</v>
      </c>
    </row>
    <row r="42585" spans="1:1" x14ac:dyDescent="0.3">
      <c r="A42585" t="s">
        <v>0</v>
      </c>
    </row>
    <row r="42586" spans="1:1" x14ac:dyDescent="0.3">
      <c r="A42586" t="s">
        <v>0</v>
      </c>
    </row>
    <row r="42587" spans="1:1" x14ac:dyDescent="0.3">
      <c r="A42587" t="s">
        <v>0</v>
      </c>
    </row>
    <row r="42588" spans="1:1" x14ac:dyDescent="0.3">
      <c r="A42588" t="s">
        <v>0</v>
      </c>
    </row>
    <row r="42589" spans="1:1" x14ac:dyDescent="0.3">
      <c r="A42589" t="s">
        <v>0</v>
      </c>
    </row>
    <row r="42590" spans="1:1" x14ac:dyDescent="0.3">
      <c r="A42590" t="s">
        <v>0</v>
      </c>
    </row>
    <row r="42591" spans="1:1" x14ac:dyDescent="0.3">
      <c r="A42591" t="s">
        <v>0</v>
      </c>
    </row>
    <row r="42592" spans="1:1" x14ac:dyDescent="0.3">
      <c r="A42592" t="s">
        <v>0</v>
      </c>
    </row>
    <row r="42593" spans="1:1" x14ac:dyDescent="0.3">
      <c r="A42593" t="s">
        <v>0</v>
      </c>
    </row>
    <row r="42594" spans="1:1" x14ac:dyDescent="0.3">
      <c r="A42594" t="s">
        <v>0</v>
      </c>
    </row>
    <row r="42595" spans="1:1" x14ac:dyDescent="0.3">
      <c r="A42595" t="s">
        <v>0</v>
      </c>
    </row>
    <row r="42596" spans="1:1" x14ac:dyDescent="0.3">
      <c r="A42596" t="s">
        <v>0</v>
      </c>
    </row>
    <row r="42597" spans="1:1" x14ac:dyDescent="0.3">
      <c r="A42597" t="s">
        <v>0</v>
      </c>
    </row>
    <row r="42598" spans="1:1" x14ac:dyDescent="0.3">
      <c r="A42598" t="s">
        <v>0</v>
      </c>
    </row>
    <row r="42599" spans="1:1" x14ac:dyDescent="0.3">
      <c r="A42599" t="s">
        <v>0</v>
      </c>
    </row>
    <row r="42600" spans="1:1" x14ac:dyDescent="0.3">
      <c r="A42600" t="s">
        <v>0</v>
      </c>
    </row>
    <row r="42601" spans="1:1" x14ac:dyDescent="0.3">
      <c r="A42601" t="s">
        <v>0</v>
      </c>
    </row>
    <row r="42602" spans="1:1" x14ac:dyDescent="0.3">
      <c r="A42602" t="s">
        <v>0</v>
      </c>
    </row>
    <row r="42603" spans="1:1" x14ac:dyDescent="0.3">
      <c r="A42603" t="s">
        <v>0</v>
      </c>
    </row>
    <row r="42604" spans="1:1" x14ac:dyDescent="0.3">
      <c r="A42604" t="s">
        <v>0</v>
      </c>
    </row>
    <row r="42605" spans="1:1" x14ac:dyDescent="0.3">
      <c r="A42605" t="s">
        <v>0</v>
      </c>
    </row>
    <row r="42606" spans="1:1" x14ac:dyDescent="0.3">
      <c r="A42606" t="s">
        <v>0</v>
      </c>
    </row>
    <row r="42607" spans="1:1" x14ac:dyDescent="0.3">
      <c r="A42607" t="s">
        <v>0</v>
      </c>
    </row>
    <row r="42608" spans="1:1" x14ac:dyDescent="0.3">
      <c r="A42608" t="s">
        <v>0</v>
      </c>
    </row>
    <row r="42609" spans="1:1" x14ac:dyDescent="0.3">
      <c r="A42609" t="s">
        <v>0</v>
      </c>
    </row>
    <row r="42610" spans="1:1" x14ac:dyDescent="0.3">
      <c r="A42610" t="s">
        <v>0</v>
      </c>
    </row>
    <row r="42611" spans="1:1" x14ac:dyDescent="0.3">
      <c r="A42611" t="s">
        <v>0</v>
      </c>
    </row>
    <row r="42612" spans="1:1" x14ac:dyDescent="0.3">
      <c r="A42612" t="s">
        <v>0</v>
      </c>
    </row>
    <row r="42613" spans="1:1" x14ac:dyDescent="0.3">
      <c r="A42613" t="s">
        <v>0</v>
      </c>
    </row>
    <row r="42614" spans="1:1" x14ac:dyDescent="0.3">
      <c r="A42614" t="s">
        <v>0</v>
      </c>
    </row>
    <row r="42615" spans="1:1" x14ac:dyDescent="0.3">
      <c r="A42615" t="s">
        <v>0</v>
      </c>
    </row>
    <row r="42616" spans="1:1" x14ac:dyDescent="0.3">
      <c r="A42616" t="s">
        <v>0</v>
      </c>
    </row>
    <row r="42617" spans="1:1" x14ac:dyDescent="0.3">
      <c r="A42617" t="s">
        <v>0</v>
      </c>
    </row>
    <row r="42618" spans="1:1" x14ac:dyDescent="0.3">
      <c r="A42618" t="s">
        <v>0</v>
      </c>
    </row>
    <row r="42619" spans="1:1" x14ac:dyDescent="0.3">
      <c r="A42619" t="s">
        <v>0</v>
      </c>
    </row>
    <row r="42620" spans="1:1" x14ac:dyDescent="0.3">
      <c r="A42620" t="s">
        <v>0</v>
      </c>
    </row>
    <row r="42621" spans="1:1" x14ac:dyDescent="0.3">
      <c r="A42621" t="s">
        <v>0</v>
      </c>
    </row>
    <row r="42622" spans="1:1" x14ac:dyDescent="0.3">
      <c r="A42622" t="s">
        <v>0</v>
      </c>
    </row>
    <row r="42623" spans="1:1" x14ac:dyDescent="0.3">
      <c r="A42623" t="s">
        <v>0</v>
      </c>
    </row>
    <row r="42624" spans="1:1" x14ac:dyDescent="0.3">
      <c r="A42624" t="s">
        <v>0</v>
      </c>
    </row>
    <row r="42625" spans="1:1" x14ac:dyDescent="0.3">
      <c r="A42625" t="s">
        <v>0</v>
      </c>
    </row>
    <row r="42626" spans="1:1" x14ac:dyDescent="0.3">
      <c r="A42626" t="s">
        <v>0</v>
      </c>
    </row>
    <row r="42627" spans="1:1" x14ac:dyDescent="0.3">
      <c r="A42627" t="s">
        <v>0</v>
      </c>
    </row>
    <row r="42628" spans="1:1" x14ac:dyDescent="0.3">
      <c r="A42628" t="s">
        <v>0</v>
      </c>
    </row>
    <row r="42629" spans="1:1" x14ac:dyDescent="0.3">
      <c r="A42629" t="s">
        <v>0</v>
      </c>
    </row>
    <row r="42630" spans="1:1" x14ac:dyDescent="0.3">
      <c r="A42630" t="s">
        <v>0</v>
      </c>
    </row>
    <row r="42631" spans="1:1" x14ac:dyDescent="0.3">
      <c r="A42631" t="s">
        <v>0</v>
      </c>
    </row>
    <row r="42632" spans="1:1" x14ac:dyDescent="0.3">
      <c r="A42632" t="s">
        <v>0</v>
      </c>
    </row>
    <row r="42633" spans="1:1" x14ac:dyDescent="0.3">
      <c r="A42633" t="s">
        <v>0</v>
      </c>
    </row>
    <row r="42634" spans="1:1" x14ac:dyDescent="0.3">
      <c r="A42634" t="s">
        <v>0</v>
      </c>
    </row>
    <row r="42635" spans="1:1" x14ac:dyDescent="0.3">
      <c r="A42635" t="s">
        <v>0</v>
      </c>
    </row>
    <row r="42636" spans="1:1" x14ac:dyDescent="0.3">
      <c r="A42636" t="s">
        <v>0</v>
      </c>
    </row>
    <row r="42637" spans="1:1" x14ac:dyDescent="0.3">
      <c r="A42637" t="s">
        <v>0</v>
      </c>
    </row>
    <row r="42638" spans="1:1" x14ac:dyDescent="0.3">
      <c r="A42638" t="s">
        <v>0</v>
      </c>
    </row>
    <row r="42639" spans="1:1" x14ac:dyDescent="0.3">
      <c r="A42639" t="s">
        <v>0</v>
      </c>
    </row>
    <row r="42640" spans="1:1" x14ac:dyDescent="0.3">
      <c r="A42640" t="s">
        <v>0</v>
      </c>
    </row>
    <row r="42641" spans="1:1" x14ac:dyDescent="0.3">
      <c r="A42641" t="s">
        <v>0</v>
      </c>
    </row>
    <row r="42642" spans="1:1" x14ac:dyDescent="0.3">
      <c r="A42642" t="s">
        <v>0</v>
      </c>
    </row>
    <row r="42643" spans="1:1" x14ac:dyDescent="0.3">
      <c r="A42643" t="s">
        <v>0</v>
      </c>
    </row>
    <row r="42644" spans="1:1" x14ac:dyDescent="0.3">
      <c r="A42644" t="s">
        <v>0</v>
      </c>
    </row>
    <row r="42645" spans="1:1" x14ac:dyDescent="0.3">
      <c r="A42645" t="s">
        <v>0</v>
      </c>
    </row>
    <row r="42646" spans="1:1" x14ac:dyDescent="0.3">
      <c r="A42646" t="s">
        <v>0</v>
      </c>
    </row>
    <row r="42647" spans="1:1" x14ac:dyDescent="0.3">
      <c r="A42647" t="s">
        <v>0</v>
      </c>
    </row>
    <row r="42648" spans="1:1" x14ac:dyDescent="0.3">
      <c r="A42648" t="s">
        <v>0</v>
      </c>
    </row>
    <row r="42649" spans="1:1" x14ac:dyDescent="0.3">
      <c r="A42649" t="s">
        <v>0</v>
      </c>
    </row>
    <row r="42650" spans="1:1" x14ac:dyDescent="0.3">
      <c r="A42650" t="s">
        <v>0</v>
      </c>
    </row>
    <row r="42651" spans="1:1" x14ac:dyDescent="0.3">
      <c r="A42651" t="s">
        <v>0</v>
      </c>
    </row>
    <row r="42652" spans="1:1" x14ac:dyDescent="0.3">
      <c r="A42652" t="s">
        <v>0</v>
      </c>
    </row>
    <row r="42653" spans="1:1" x14ac:dyDescent="0.3">
      <c r="A42653" t="s">
        <v>0</v>
      </c>
    </row>
    <row r="42654" spans="1:1" x14ac:dyDescent="0.3">
      <c r="A42654" t="s">
        <v>0</v>
      </c>
    </row>
    <row r="42655" spans="1:1" x14ac:dyDescent="0.3">
      <c r="A42655" t="s">
        <v>0</v>
      </c>
    </row>
    <row r="42656" spans="1:1" x14ac:dyDescent="0.3">
      <c r="A42656" t="s">
        <v>0</v>
      </c>
    </row>
    <row r="42657" spans="1:1" x14ac:dyDescent="0.3">
      <c r="A42657" t="s">
        <v>0</v>
      </c>
    </row>
    <row r="42658" spans="1:1" x14ac:dyDescent="0.3">
      <c r="A42658" t="s">
        <v>0</v>
      </c>
    </row>
    <row r="42659" spans="1:1" x14ac:dyDescent="0.3">
      <c r="A42659" t="s">
        <v>0</v>
      </c>
    </row>
    <row r="42660" spans="1:1" x14ac:dyDescent="0.3">
      <c r="A42660" t="s">
        <v>0</v>
      </c>
    </row>
    <row r="42661" spans="1:1" x14ac:dyDescent="0.3">
      <c r="A42661" t="s">
        <v>0</v>
      </c>
    </row>
    <row r="42662" spans="1:1" x14ac:dyDescent="0.3">
      <c r="A42662" t="s">
        <v>0</v>
      </c>
    </row>
    <row r="42663" spans="1:1" x14ac:dyDescent="0.3">
      <c r="A42663" t="s">
        <v>0</v>
      </c>
    </row>
    <row r="42664" spans="1:1" x14ac:dyDescent="0.3">
      <c r="A42664" t="s">
        <v>0</v>
      </c>
    </row>
    <row r="42665" spans="1:1" x14ac:dyDescent="0.3">
      <c r="A42665" t="s">
        <v>0</v>
      </c>
    </row>
    <row r="42666" spans="1:1" x14ac:dyDescent="0.3">
      <c r="A42666" t="s">
        <v>0</v>
      </c>
    </row>
    <row r="42667" spans="1:1" x14ac:dyDescent="0.3">
      <c r="A42667" t="s">
        <v>0</v>
      </c>
    </row>
    <row r="42668" spans="1:1" x14ac:dyDescent="0.3">
      <c r="A42668" t="s">
        <v>0</v>
      </c>
    </row>
    <row r="42669" spans="1:1" x14ac:dyDescent="0.3">
      <c r="A42669" t="s">
        <v>0</v>
      </c>
    </row>
    <row r="42670" spans="1:1" x14ac:dyDescent="0.3">
      <c r="A42670" t="s">
        <v>0</v>
      </c>
    </row>
    <row r="42671" spans="1:1" x14ac:dyDescent="0.3">
      <c r="A42671" t="s">
        <v>0</v>
      </c>
    </row>
    <row r="42672" spans="1:1" x14ac:dyDescent="0.3">
      <c r="A42672" t="s">
        <v>0</v>
      </c>
    </row>
    <row r="42673" spans="1:1" x14ac:dyDescent="0.3">
      <c r="A42673" t="s">
        <v>0</v>
      </c>
    </row>
    <row r="42674" spans="1:1" x14ac:dyDescent="0.3">
      <c r="A42674" t="s">
        <v>0</v>
      </c>
    </row>
    <row r="42675" spans="1:1" x14ac:dyDescent="0.3">
      <c r="A42675" t="s">
        <v>0</v>
      </c>
    </row>
    <row r="42676" spans="1:1" x14ac:dyDescent="0.3">
      <c r="A42676" t="s">
        <v>0</v>
      </c>
    </row>
    <row r="42677" spans="1:1" x14ac:dyDescent="0.3">
      <c r="A42677" t="s">
        <v>0</v>
      </c>
    </row>
    <row r="42678" spans="1:1" x14ac:dyDescent="0.3">
      <c r="A42678" t="s">
        <v>0</v>
      </c>
    </row>
    <row r="42679" spans="1:1" x14ac:dyDescent="0.3">
      <c r="A42679" t="s">
        <v>0</v>
      </c>
    </row>
    <row r="42680" spans="1:1" x14ac:dyDescent="0.3">
      <c r="A42680" t="s">
        <v>0</v>
      </c>
    </row>
    <row r="42681" spans="1:1" x14ac:dyDescent="0.3">
      <c r="A42681" t="s">
        <v>0</v>
      </c>
    </row>
    <row r="42682" spans="1:1" x14ac:dyDescent="0.3">
      <c r="A42682" t="s">
        <v>0</v>
      </c>
    </row>
    <row r="42683" spans="1:1" x14ac:dyDescent="0.3">
      <c r="A42683" t="s">
        <v>0</v>
      </c>
    </row>
    <row r="42684" spans="1:1" x14ac:dyDescent="0.3">
      <c r="A42684" t="s">
        <v>0</v>
      </c>
    </row>
    <row r="42685" spans="1:1" x14ac:dyDescent="0.3">
      <c r="A42685" t="s">
        <v>0</v>
      </c>
    </row>
    <row r="42686" spans="1:1" x14ac:dyDescent="0.3">
      <c r="A42686" t="s">
        <v>0</v>
      </c>
    </row>
    <row r="42687" spans="1:1" x14ac:dyDescent="0.3">
      <c r="A42687" t="s">
        <v>0</v>
      </c>
    </row>
    <row r="42688" spans="1:1" x14ac:dyDescent="0.3">
      <c r="A42688" t="s">
        <v>0</v>
      </c>
    </row>
    <row r="42689" spans="1:1" x14ac:dyDescent="0.3">
      <c r="A42689" t="s">
        <v>0</v>
      </c>
    </row>
    <row r="42690" spans="1:1" x14ac:dyDescent="0.3">
      <c r="A42690" t="s">
        <v>0</v>
      </c>
    </row>
    <row r="42691" spans="1:1" x14ac:dyDescent="0.3">
      <c r="A42691" t="s">
        <v>0</v>
      </c>
    </row>
    <row r="42692" spans="1:1" x14ac:dyDescent="0.3">
      <c r="A42692" t="s">
        <v>0</v>
      </c>
    </row>
    <row r="42693" spans="1:1" x14ac:dyDescent="0.3">
      <c r="A42693" t="s">
        <v>0</v>
      </c>
    </row>
    <row r="42694" spans="1:1" x14ac:dyDescent="0.3">
      <c r="A42694" t="s">
        <v>0</v>
      </c>
    </row>
    <row r="42695" spans="1:1" x14ac:dyDescent="0.3">
      <c r="A42695" t="s">
        <v>0</v>
      </c>
    </row>
    <row r="42696" spans="1:1" x14ac:dyDescent="0.3">
      <c r="A42696" t="s">
        <v>0</v>
      </c>
    </row>
    <row r="42697" spans="1:1" x14ac:dyDescent="0.3">
      <c r="A42697" t="s">
        <v>0</v>
      </c>
    </row>
    <row r="42698" spans="1:1" x14ac:dyDescent="0.3">
      <c r="A42698" t="s">
        <v>0</v>
      </c>
    </row>
    <row r="42699" spans="1:1" x14ac:dyDescent="0.3">
      <c r="A42699" t="s">
        <v>0</v>
      </c>
    </row>
    <row r="42700" spans="1:1" x14ac:dyDescent="0.3">
      <c r="A42700" t="s">
        <v>0</v>
      </c>
    </row>
    <row r="42701" spans="1:1" x14ac:dyDescent="0.3">
      <c r="A42701" t="s">
        <v>0</v>
      </c>
    </row>
    <row r="42702" spans="1:1" x14ac:dyDescent="0.3">
      <c r="A42702" t="s">
        <v>0</v>
      </c>
    </row>
    <row r="42703" spans="1:1" x14ac:dyDescent="0.3">
      <c r="A42703" t="s">
        <v>0</v>
      </c>
    </row>
    <row r="42704" spans="1:1" x14ac:dyDescent="0.3">
      <c r="A42704" t="s">
        <v>0</v>
      </c>
    </row>
    <row r="42705" spans="1:1" x14ac:dyDescent="0.3">
      <c r="A42705" t="s">
        <v>0</v>
      </c>
    </row>
    <row r="42706" spans="1:1" x14ac:dyDescent="0.3">
      <c r="A42706" t="s">
        <v>0</v>
      </c>
    </row>
    <row r="42707" spans="1:1" x14ac:dyDescent="0.3">
      <c r="A42707" t="s">
        <v>0</v>
      </c>
    </row>
    <row r="42708" spans="1:1" x14ac:dyDescent="0.3">
      <c r="A42708" t="s">
        <v>0</v>
      </c>
    </row>
    <row r="42709" spans="1:1" x14ac:dyDescent="0.3">
      <c r="A42709" t="s">
        <v>0</v>
      </c>
    </row>
    <row r="42710" spans="1:1" x14ac:dyDescent="0.3">
      <c r="A42710" t="s">
        <v>0</v>
      </c>
    </row>
    <row r="42711" spans="1:1" x14ac:dyDescent="0.3">
      <c r="A42711" t="s">
        <v>0</v>
      </c>
    </row>
    <row r="42712" spans="1:1" x14ac:dyDescent="0.3">
      <c r="A42712" t="s">
        <v>0</v>
      </c>
    </row>
    <row r="42713" spans="1:1" x14ac:dyDescent="0.3">
      <c r="A42713" t="s">
        <v>0</v>
      </c>
    </row>
    <row r="42714" spans="1:1" x14ac:dyDescent="0.3">
      <c r="A42714" t="s">
        <v>0</v>
      </c>
    </row>
    <row r="42715" spans="1:1" x14ac:dyDescent="0.3">
      <c r="A42715" t="s">
        <v>0</v>
      </c>
    </row>
    <row r="42716" spans="1:1" x14ac:dyDescent="0.3">
      <c r="A42716" t="s">
        <v>0</v>
      </c>
    </row>
    <row r="42717" spans="1:1" x14ac:dyDescent="0.3">
      <c r="A42717" t="s">
        <v>0</v>
      </c>
    </row>
    <row r="42718" spans="1:1" x14ac:dyDescent="0.3">
      <c r="A42718" t="s">
        <v>0</v>
      </c>
    </row>
    <row r="42719" spans="1:1" x14ac:dyDescent="0.3">
      <c r="A42719" t="s">
        <v>0</v>
      </c>
    </row>
    <row r="42720" spans="1:1" x14ac:dyDescent="0.3">
      <c r="A42720" t="s">
        <v>0</v>
      </c>
    </row>
    <row r="42721" spans="1:1" x14ac:dyDescent="0.3">
      <c r="A42721" t="s">
        <v>0</v>
      </c>
    </row>
    <row r="42722" spans="1:1" x14ac:dyDescent="0.3">
      <c r="A42722" t="s">
        <v>0</v>
      </c>
    </row>
    <row r="42723" spans="1:1" x14ac:dyDescent="0.3">
      <c r="A42723" t="s">
        <v>0</v>
      </c>
    </row>
    <row r="42724" spans="1:1" x14ac:dyDescent="0.3">
      <c r="A42724" t="s">
        <v>0</v>
      </c>
    </row>
    <row r="42725" spans="1:1" x14ac:dyDescent="0.3">
      <c r="A42725" t="s">
        <v>0</v>
      </c>
    </row>
    <row r="42726" spans="1:1" x14ac:dyDescent="0.3">
      <c r="A42726" t="s">
        <v>0</v>
      </c>
    </row>
    <row r="42727" spans="1:1" x14ac:dyDescent="0.3">
      <c r="A42727" t="s">
        <v>0</v>
      </c>
    </row>
    <row r="42728" spans="1:1" x14ac:dyDescent="0.3">
      <c r="A42728" t="s">
        <v>0</v>
      </c>
    </row>
    <row r="42729" spans="1:1" x14ac:dyDescent="0.3">
      <c r="A42729" t="s">
        <v>0</v>
      </c>
    </row>
    <row r="42730" spans="1:1" x14ac:dyDescent="0.3">
      <c r="A42730" t="s">
        <v>0</v>
      </c>
    </row>
    <row r="42731" spans="1:1" x14ac:dyDescent="0.3">
      <c r="A42731" t="s">
        <v>0</v>
      </c>
    </row>
    <row r="42732" spans="1:1" x14ac:dyDescent="0.3">
      <c r="A42732" t="s">
        <v>0</v>
      </c>
    </row>
    <row r="42733" spans="1:1" x14ac:dyDescent="0.3">
      <c r="A42733" t="s">
        <v>0</v>
      </c>
    </row>
    <row r="42734" spans="1:1" x14ac:dyDescent="0.3">
      <c r="A42734" t="s">
        <v>0</v>
      </c>
    </row>
    <row r="42735" spans="1:1" x14ac:dyDescent="0.3">
      <c r="A42735" t="s">
        <v>0</v>
      </c>
    </row>
    <row r="42736" spans="1:1" x14ac:dyDescent="0.3">
      <c r="A42736" t="s">
        <v>0</v>
      </c>
    </row>
    <row r="42737" spans="1:1" x14ac:dyDescent="0.3">
      <c r="A42737" t="s">
        <v>0</v>
      </c>
    </row>
    <row r="42738" spans="1:1" x14ac:dyDescent="0.3">
      <c r="A42738" t="s">
        <v>0</v>
      </c>
    </row>
    <row r="42739" spans="1:1" x14ac:dyDescent="0.3">
      <c r="A42739" t="s">
        <v>0</v>
      </c>
    </row>
    <row r="42740" spans="1:1" x14ac:dyDescent="0.3">
      <c r="A42740" t="s">
        <v>0</v>
      </c>
    </row>
    <row r="42741" spans="1:1" x14ac:dyDescent="0.3">
      <c r="A42741" t="s">
        <v>0</v>
      </c>
    </row>
    <row r="42742" spans="1:1" x14ac:dyDescent="0.3">
      <c r="A42742" t="s">
        <v>0</v>
      </c>
    </row>
    <row r="42743" spans="1:1" x14ac:dyDescent="0.3">
      <c r="A42743" t="s">
        <v>0</v>
      </c>
    </row>
    <row r="42744" spans="1:1" x14ac:dyDescent="0.3">
      <c r="A42744" t="s">
        <v>0</v>
      </c>
    </row>
    <row r="42745" spans="1:1" x14ac:dyDescent="0.3">
      <c r="A42745" t="s">
        <v>0</v>
      </c>
    </row>
    <row r="42746" spans="1:1" x14ac:dyDescent="0.3">
      <c r="A42746" t="s">
        <v>0</v>
      </c>
    </row>
    <row r="42747" spans="1:1" x14ac:dyDescent="0.3">
      <c r="A42747" t="s">
        <v>0</v>
      </c>
    </row>
    <row r="42748" spans="1:1" x14ac:dyDescent="0.3">
      <c r="A42748" t="s">
        <v>0</v>
      </c>
    </row>
    <row r="42749" spans="1:1" x14ac:dyDescent="0.3">
      <c r="A42749" t="s">
        <v>0</v>
      </c>
    </row>
    <row r="42750" spans="1:1" x14ac:dyDescent="0.3">
      <c r="A42750" t="s">
        <v>0</v>
      </c>
    </row>
    <row r="42751" spans="1:1" x14ac:dyDescent="0.3">
      <c r="A42751" t="s">
        <v>0</v>
      </c>
    </row>
    <row r="42752" spans="1:1" x14ac:dyDescent="0.3">
      <c r="A42752" t="s">
        <v>0</v>
      </c>
    </row>
    <row r="42753" spans="1:1" x14ac:dyDescent="0.3">
      <c r="A42753" t="s">
        <v>0</v>
      </c>
    </row>
    <row r="42754" spans="1:1" x14ac:dyDescent="0.3">
      <c r="A42754" t="s">
        <v>0</v>
      </c>
    </row>
    <row r="42755" spans="1:1" x14ac:dyDescent="0.3">
      <c r="A42755" t="s">
        <v>0</v>
      </c>
    </row>
    <row r="42756" spans="1:1" x14ac:dyDescent="0.3">
      <c r="A42756" t="s">
        <v>0</v>
      </c>
    </row>
    <row r="42757" spans="1:1" x14ac:dyDescent="0.3">
      <c r="A42757" t="s">
        <v>0</v>
      </c>
    </row>
    <row r="42758" spans="1:1" x14ac:dyDescent="0.3">
      <c r="A42758" t="s">
        <v>0</v>
      </c>
    </row>
    <row r="42759" spans="1:1" x14ac:dyDescent="0.3">
      <c r="A42759" t="s">
        <v>0</v>
      </c>
    </row>
    <row r="42760" spans="1:1" x14ac:dyDescent="0.3">
      <c r="A42760" t="s">
        <v>0</v>
      </c>
    </row>
    <row r="42761" spans="1:1" x14ac:dyDescent="0.3">
      <c r="A42761" t="s">
        <v>0</v>
      </c>
    </row>
    <row r="42762" spans="1:1" x14ac:dyDescent="0.3">
      <c r="A42762" t="s">
        <v>0</v>
      </c>
    </row>
    <row r="42763" spans="1:1" x14ac:dyDescent="0.3">
      <c r="A42763" t="s">
        <v>0</v>
      </c>
    </row>
    <row r="42764" spans="1:1" x14ac:dyDescent="0.3">
      <c r="A42764" t="s">
        <v>0</v>
      </c>
    </row>
    <row r="42765" spans="1:1" x14ac:dyDescent="0.3">
      <c r="A42765" t="s">
        <v>0</v>
      </c>
    </row>
    <row r="42766" spans="1:1" x14ac:dyDescent="0.3">
      <c r="A42766" t="s">
        <v>0</v>
      </c>
    </row>
    <row r="42767" spans="1:1" x14ac:dyDescent="0.3">
      <c r="A42767" t="s">
        <v>0</v>
      </c>
    </row>
    <row r="42768" spans="1:1" x14ac:dyDescent="0.3">
      <c r="A42768" t="s">
        <v>0</v>
      </c>
    </row>
    <row r="42769" spans="1:1" x14ac:dyDescent="0.3">
      <c r="A42769" t="s">
        <v>0</v>
      </c>
    </row>
    <row r="42770" spans="1:1" x14ac:dyDescent="0.3">
      <c r="A42770" t="s">
        <v>0</v>
      </c>
    </row>
    <row r="42771" spans="1:1" x14ac:dyDescent="0.3">
      <c r="A42771" t="s">
        <v>0</v>
      </c>
    </row>
    <row r="42772" spans="1:1" x14ac:dyDescent="0.3">
      <c r="A42772" t="s">
        <v>0</v>
      </c>
    </row>
    <row r="42773" spans="1:1" x14ac:dyDescent="0.3">
      <c r="A42773" t="s">
        <v>0</v>
      </c>
    </row>
    <row r="42774" spans="1:1" x14ac:dyDescent="0.3">
      <c r="A42774" t="s">
        <v>0</v>
      </c>
    </row>
    <row r="42775" spans="1:1" x14ac:dyDescent="0.3">
      <c r="A42775" t="s">
        <v>0</v>
      </c>
    </row>
    <row r="42776" spans="1:1" x14ac:dyDescent="0.3">
      <c r="A42776" t="s">
        <v>0</v>
      </c>
    </row>
    <row r="42777" spans="1:1" x14ac:dyDescent="0.3">
      <c r="A42777" t="s">
        <v>0</v>
      </c>
    </row>
    <row r="42778" spans="1:1" x14ac:dyDescent="0.3">
      <c r="A42778" t="s">
        <v>0</v>
      </c>
    </row>
    <row r="42779" spans="1:1" x14ac:dyDescent="0.3">
      <c r="A42779" t="s">
        <v>0</v>
      </c>
    </row>
    <row r="42780" spans="1:1" x14ac:dyDescent="0.3">
      <c r="A42780" t="s">
        <v>0</v>
      </c>
    </row>
    <row r="42781" spans="1:1" x14ac:dyDescent="0.3">
      <c r="A42781" t="s">
        <v>0</v>
      </c>
    </row>
    <row r="42782" spans="1:1" x14ac:dyDescent="0.3">
      <c r="A42782" t="s">
        <v>0</v>
      </c>
    </row>
    <row r="42783" spans="1:1" x14ac:dyDescent="0.3">
      <c r="A42783" t="s">
        <v>0</v>
      </c>
    </row>
    <row r="42784" spans="1:1" x14ac:dyDescent="0.3">
      <c r="A42784" t="s">
        <v>0</v>
      </c>
    </row>
    <row r="42785" spans="1:1" x14ac:dyDescent="0.3">
      <c r="A42785" t="s">
        <v>0</v>
      </c>
    </row>
    <row r="42786" spans="1:1" x14ac:dyDescent="0.3">
      <c r="A42786" t="s">
        <v>0</v>
      </c>
    </row>
    <row r="42787" spans="1:1" x14ac:dyDescent="0.3">
      <c r="A42787" t="s">
        <v>0</v>
      </c>
    </row>
    <row r="42788" spans="1:1" x14ac:dyDescent="0.3">
      <c r="A42788" t="s">
        <v>0</v>
      </c>
    </row>
    <row r="42789" spans="1:1" x14ac:dyDescent="0.3">
      <c r="A42789" t="s">
        <v>0</v>
      </c>
    </row>
    <row r="42790" spans="1:1" x14ac:dyDescent="0.3">
      <c r="A42790" t="s">
        <v>0</v>
      </c>
    </row>
    <row r="42791" spans="1:1" x14ac:dyDescent="0.3">
      <c r="A42791" t="s">
        <v>0</v>
      </c>
    </row>
    <row r="42792" spans="1:1" x14ac:dyDescent="0.3">
      <c r="A42792" t="s">
        <v>0</v>
      </c>
    </row>
    <row r="42793" spans="1:1" x14ac:dyDescent="0.3">
      <c r="A42793" t="s">
        <v>0</v>
      </c>
    </row>
    <row r="42794" spans="1:1" x14ac:dyDescent="0.3">
      <c r="A42794" t="s">
        <v>0</v>
      </c>
    </row>
    <row r="42795" spans="1:1" x14ac:dyDescent="0.3">
      <c r="A42795" t="s">
        <v>0</v>
      </c>
    </row>
    <row r="42796" spans="1:1" x14ac:dyDescent="0.3">
      <c r="A42796" t="s">
        <v>0</v>
      </c>
    </row>
    <row r="42797" spans="1:1" x14ac:dyDescent="0.3">
      <c r="A42797" t="s">
        <v>0</v>
      </c>
    </row>
    <row r="42798" spans="1:1" x14ac:dyDescent="0.3">
      <c r="A42798" t="s">
        <v>0</v>
      </c>
    </row>
    <row r="42799" spans="1:1" x14ac:dyDescent="0.3">
      <c r="A42799" t="s">
        <v>0</v>
      </c>
    </row>
    <row r="42800" spans="1:1" x14ac:dyDescent="0.3">
      <c r="A42800" t="s">
        <v>0</v>
      </c>
    </row>
    <row r="42801" spans="1:1" x14ac:dyDescent="0.3">
      <c r="A42801" t="s">
        <v>0</v>
      </c>
    </row>
    <row r="42802" spans="1:1" x14ac:dyDescent="0.3">
      <c r="A42802" t="s">
        <v>0</v>
      </c>
    </row>
    <row r="42803" spans="1:1" x14ac:dyDescent="0.3">
      <c r="A42803" t="s">
        <v>0</v>
      </c>
    </row>
    <row r="42804" spans="1:1" x14ac:dyDescent="0.3">
      <c r="A42804" t="s">
        <v>0</v>
      </c>
    </row>
    <row r="42805" spans="1:1" x14ac:dyDescent="0.3">
      <c r="A42805" t="s">
        <v>0</v>
      </c>
    </row>
    <row r="42806" spans="1:1" x14ac:dyDescent="0.3">
      <c r="A42806" t="s">
        <v>0</v>
      </c>
    </row>
    <row r="42807" spans="1:1" x14ac:dyDescent="0.3">
      <c r="A42807" t="s">
        <v>0</v>
      </c>
    </row>
    <row r="42808" spans="1:1" x14ac:dyDescent="0.3">
      <c r="A42808" t="s">
        <v>0</v>
      </c>
    </row>
    <row r="42809" spans="1:1" x14ac:dyDescent="0.3">
      <c r="A42809" t="s">
        <v>0</v>
      </c>
    </row>
    <row r="42810" spans="1:1" x14ac:dyDescent="0.3">
      <c r="A42810" t="s">
        <v>0</v>
      </c>
    </row>
    <row r="42811" spans="1:1" x14ac:dyDescent="0.3">
      <c r="A42811" t="s">
        <v>0</v>
      </c>
    </row>
    <row r="42812" spans="1:1" x14ac:dyDescent="0.3">
      <c r="A42812" t="s">
        <v>0</v>
      </c>
    </row>
    <row r="42813" spans="1:1" x14ac:dyDescent="0.3">
      <c r="A42813" t="s">
        <v>0</v>
      </c>
    </row>
    <row r="42814" spans="1:1" x14ac:dyDescent="0.3">
      <c r="A42814" t="s">
        <v>0</v>
      </c>
    </row>
    <row r="42815" spans="1:1" x14ac:dyDescent="0.3">
      <c r="A42815" t="s">
        <v>0</v>
      </c>
    </row>
    <row r="42816" spans="1:1" x14ac:dyDescent="0.3">
      <c r="A42816" t="s">
        <v>0</v>
      </c>
    </row>
    <row r="42817" spans="1:1" x14ac:dyDescent="0.3">
      <c r="A42817" t="s">
        <v>0</v>
      </c>
    </row>
    <row r="42818" spans="1:1" x14ac:dyDescent="0.3">
      <c r="A42818" t="s">
        <v>0</v>
      </c>
    </row>
    <row r="42819" spans="1:1" x14ac:dyDescent="0.3">
      <c r="A42819" t="s">
        <v>0</v>
      </c>
    </row>
    <row r="42820" spans="1:1" x14ac:dyDescent="0.3">
      <c r="A42820" t="s">
        <v>0</v>
      </c>
    </row>
    <row r="42821" spans="1:1" x14ac:dyDescent="0.3">
      <c r="A42821" t="s">
        <v>0</v>
      </c>
    </row>
    <row r="42822" spans="1:1" x14ac:dyDescent="0.3">
      <c r="A42822" t="s">
        <v>0</v>
      </c>
    </row>
    <row r="42823" spans="1:1" x14ac:dyDescent="0.3">
      <c r="A42823" t="s">
        <v>0</v>
      </c>
    </row>
    <row r="42824" spans="1:1" x14ac:dyDescent="0.3">
      <c r="A42824" t="s">
        <v>0</v>
      </c>
    </row>
    <row r="42825" spans="1:1" x14ac:dyDescent="0.3">
      <c r="A42825" t="s">
        <v>0</v>
      </c>
    </row>
    <row r="42826" spans="1:1" x14ac:dyDescent="0.3">
      <c r="A42826" t="s">
        <v>0</v>
      </c>
    </row>
    <row r="42827" spans="1:1" x14ac:dyDescent="0.3">
      <c r="A42827" t="s">
        <v>0</v>
      </c>
    </row>
    <row r="42828" spans="1:1" x14ac:dyDescent="0.3">
      <c r="A42828" t="s">
        <v>0</v>
      </c>
    </row>
    <row r="42829" spans="1:1" x14ac:dyDescent="0.3">
      <c r="A42829" t="s">
        <v>0</v>
      </c>
    </row>
    <row r="42830" spans="1:1" x14ac:dyDescent="0.3">
      <c r="A42830" t="s">
        <v>0</v>
      </c>
    </row>
    <row r="42831" spans="1:1" x14ac:dyDescent="0.3">
      <c r="A42831" t="s">
        <v>0</v>
      </c>
    </row>
    <row r="42832" spans="1:1" x14ac:dyDescent="0.3">
      <c r="A42832" t="s">
        <v>0</v>
      </c>
    </row>
    <row r="42833" spans="1:1" x14ac:dyDescent="0.3">
      <c r="A42833" t="s">
        <v>0</v>
      </c>
    </row>
    <row r="42834" spans="1:1" x14ac:dyDescent="0.3">
      <c r="A42834" t="s">
        <v>0</v>
      </c>
    </row>
    <row r="42835" spans="1:1" x14ac:dyDescent="0.3">
      <c r="A42835" t="s">
        <v>0</v>
      </c>
    </row>
    <row r="42836" spans="1:1" x14ac:dyDescent="0.3">
      <c r="A42836" t="s">
        <v>0</v>
      </c>
    </row>
    <row r="42837" spans="1:1" x14ac:dyDescent="0.3">
      <c r="A42837" t="s">
        <v>0</v>
      </c>
    </row>
    <row r="42838" spans="1:1" x14ac:dyDescent="0.3">
      <c r="A42838" t="s">
        <v>0</v>
      </c>
    </row>
    <row r="42839" spans="1:1" x14ac:dyDescent="0.3">
      <c r="A42839" t="s">
        <v>0</v>
      </c>
    </row>
    <row r="42840" spans="1:1" x14ac:dyDescent="0.3">
      <c r="A42840" t="s">
        <v>0</v>
      </c>
    </row>
    <row r="42841" spans="1:1" x14ac:dyDescent="0.3">
      <c r="A42841" t="s">
        <v>0</v>
      </c>
    </row>
    <row r="42842" spans="1:1" x14ac:dyDescent="0.3">
      <c r="A42842" t="s">
        <v>0</v>
      </c>
    </row>
    <row r="42843" spans="1:1" x14ac:dyDescent="0.3">
      <c r="A42843" t="s">
        <v>0</v>
      </c>
    </row>
    <row r="42844" spans="1:1" x14ac:dyDescent="0.3">
      <c r="A42844" t="s">
        <v>0</v>
      </c>
    </row>
    <row r="42845" spans="1:1" x14ac:dyDescent="0.3">
      <c r="A42845" t="s">
        <v>0</v>
      </c>
    </row>
    <row r="42846" spans="1:1" x14ac:dyDescent="0.3">
      <c r="A42846" t="s">
        <v>0</v>
      </c>
    </row>
    <row r="42847" spans="1:1" x14ac:dyDescent="0.3">
      <c r="A42847" t="s">
        <v>0</v>
      </c>
    </row>
    <row r="42848" spans="1:1" x14ac:dyDescent="0.3">
      <c r="A42848" t="s">
        <v>0</v>
      </c>
    </row>
    <row r="42849" spans="1:1" x14ac:dyDescent="0.3">
      <c r="A42849" t="s">
        <v>0</v>
      </c>
    </row>
    <row r="42850" spans="1:1" x14ac:dyDescent="0.3">
      <c r="A42850" t="s">
        <v>0</v>
      </c>
    </row>
    <row r="42851" spans="1:1" x14ac:dyDescent="0.3">
      <c r="A42851" t="s">
        <v>0</v>
      </c>
    </row>
    <row r="42852" spans="1:1" x14ac:dyDescent="0.3">
      <c r="A42852" t="s">
        <v>0</v>
      </c>
    </row>
    <row r="42853" spans="1:1" x14ac:dyDescent="0.3">
      <c r="A42853" t="s">
        <v>0</v>
      </c>
    </row>
    <row r="42854" spans="1:1" x14ac:dyDescent="0.3">
      <c r="A42854" t="s">
        <v>0</v>
      </c>
    </row>
    <row r="42855" spans="1:1" x14ac:dyDescent="0.3">
      <c r="A42855" t="s">
        <v>0</v>
      </c>
    </row>
    <row r="42856" spans="1:1" x14ac:dyDescent="0.3">
      <c r="A42856" t="s">
        <v>0</v>
      </c>
    </row>
    <row r="42857" spans="1:1" x14ac:dyDescent="0.3">
      <c r="A42857" t="s">
        <v>0</v>
      </c>
    </row>
    <row r="42858" spans="1:1" x14ac:dyDescent="0.3">
      <c r="A42858" t="s">
        <v>0</v>
      </c>
    </row>
    <row r="42859" spans="1:1" x14ac:dyDescent="0.3">
      <c r="A42859" t="s">
        <v>0</v>
      </c>
    </row>
    <row r="42860" spans="1:1" x14ac:dyDescent="0.3">
      <c r="A42860" t="s">
        <v>0</v>
      </c>
    </row>
    <row r="42861" spans="1:1" x14ac:dyDescent="0.3">
      <c r="A42861" t="s">
        <v>0</v>
      </c>
    </row>
    <row r="42862" spans="1:1" x14ac:dyDescent="0.3">
      <c r="A42862" t="s">
        <v>0</v>
      </c>
    </row>
    <row r="42863" spans="1:1" x14ac:dyDescent="0.3">
      <c r="A42863" t="s">
        <v>0</v>
      </c>
    </row>
    <row r="42864" spans="1:1" x14ac:dyDescent="0.3">
      <c r="A42864" t="s">
        <v>0</v>
      </c>
    </row>
    <row r="42865" spans="1:1" x14ac:dyDescent="0.3">
      <c r="A42865" t="s">
        <v>0</v>
      </c>
    </row>
    <row r="42866" spans="1:1" x14ac:dyDescent="0.3">
      <c r="A42866" t="s">
        <v>0</v>
      </c>
    </row>
    <row r="42867" spans="1:1" x14ac:dyDescent="0.3">
      <c r="A42867" t="s">
        <v>0</v>
      </c>
    </row>
    <row r="42868" spans="1:1" x14ac:dyDescent="0.3">
      <c r="A42868" t="s">
        <v>0</v>
      </c>
    </row>
    <row r="42869" spans="1:1" x14ac:dyDescent="0.3">
      <c r="A42869" t="s">
        <v>0</v>
      </c>
    </row>
    <row r="42870" spans="1:1" x14ac:dyDescent="0.3">
      <c r="A42870" t="s">
        <v>0</v>
      </c>
    </row>
    <row r="42871" spans="1:1" x14ac:dyDescent="0.3">
      <c r="A42871" t="s">
        <v>0</v>
      </c>
    </row>
    <row r="42872" spans="1:1" x14ac:dyDescent="0.3">
      <c r="A42872" t="s">
        <v>0</v>
      </c>
    </row>
    <row r="42873" spans="1:1" x14ac:dyDescent="0.3">
      <c r="A42873" t="s">
        <v>0</v>
      </c>
    </row>
    <row r="42874" spans="1:1" x14ac:dyDescent="0.3">
      <c r="A42874" t="s">
        <v>0</v>
      </c>
    </row>
    <row r="42875" spans="1:1" x14ac:dyDescent="0.3">
      <c r="A42875" t="s">
        <v>0</v>
      </c>
    </row>
    <row r="42876" spans="1:1" x14ac:dyDescent="0.3">
      <c r="A42876" t="s">
        <v>0</v>
      </c>
    </row>
    <row r="42877" spans="1:1" x14ac:dyDescent="0.3">
      <c r="A42877" t="s">
        <v>0</v>
      </c>
    </row>
    <row r="42878" spans="1:1" x14ac:dyDescent="0.3">
      <c r="A42878" t="s">
        <v>0</v>
      </c>
    </row>
    <row r="42879" spans="1:1" x14ac:dyDescent="0.3">
      <c r="A42879" t="s">
        <v>0</v>
      </c>
    </row>
    <row r="42880" spans="1:1" x14ac:dyDescent="0.3">
      <c r="A42880" t="s">
        <v>0</v>
      </c>
    </row>
    <row r="42881" spans="1:1" x14ac:dyDescent="0.3">
      <c r="A42881" t="s">
        <v>0</v>
      </c>
    </row>
    <row r="42882" spans="1:1" x14ac:dyDescent="0.3">
      <c r="A42882" t="s">
        <v>0</v>
      </c>
    </row>
    <row r="42883" spans="1:1" x14ac:dyDescent="0.3">
      <c r="A42883" t="s">
        <v>0</v>
      </c>
    </row>
    <row r="42884" spans="1:1" x14ac:dyDescent="0.3">
      <c r="A42884" t="s">
        <v>0</v>
      </c>
    </row>
    <row r="42885" spans="1:1" x14ac:dyDescent="0.3">
      <c r="A42885" t="s">
        <v>0</v>
      </c>
    </row>
    <row r="42886" spans="1:1" x14ac:dyDescent="0.3">
      <c r="A42886" t="s">
        <v>0</v>
      </c>
    </row>
    <row r="42887" spans="1:1" x14ac:dyDescent="0.3">
      <c r="A42887" t="s">
        <v>0</v>
      </c>
    </row>
    <row r="42888" spans="1:1" x14ac:dyDescent="0.3">
      <c r="A42888" t="s">
        <v>0</v>
      </c>
    </row>
    <row r="42889" spans="1:1" x14ac:dyDescent="0.3">
      <c r="A42889" t="s">
        <v>0</v>
      </c>
    </row>
    <row r="42890" spans="1:1" x14ac:dyDescent="0.3">
      <c r="A42890" t="s">
        <v>0</v>
      </c>
    </row>
    <row r="42891" spans="1:1" x14ac:dyDescent="0.3">
      <c r="A42891" t="s">
        <v>0</v>
      </c>
    </row>
    <row r="42892" spans="1:1" x14ac:dyDescent="0.3">
      <c r="A42892" t="s">
        <v>0</v>
      </c>
    </row>
    <row r="42893" spans="1:1" x14ac:dyDescent="0.3">
      <c r="A42893" t="s">
        <v>0</v>
      </c>
    </row>
    <row r="42894" spans="1:1" x14ac:dyDescent="0.3">
      <c r="A42894" t="s">
        <v>0</v>
      </c>
    </row>
    <row r="42895" spans="1:1" x14ac:dyDescent="0.3">
      <c r="A42895" t="s">
        <v>0</v>
      </c>
    </row>
    <row r="42896" spans="1:1" x14ac:dyDescent="0.3">
      <c r="A42896" t="s">
        <v>0</v>
      </c>
    </row>
    <row r="42897" spans="1:1" x14ac:dyDescent="0.3">
      <c r="A42897" t="s">
        <v>0</v>
      </c>
    </row>
    <row r="42898" spans="1:1" x14ac:dyDescent="0.3">
      <c r="A42898" t="s">
        <v>0</v>
      </c>
    </row>
    <row r="42899" spans="1:1" x14ac:dyDescent="0.3">
      <c r="A42899" t="s">
        <v>0</v>
      </c>
    </row>
    <row r="42900" spans="1:1" x14ac:dyDescent="0.3">
      <c r="A42900" t="s">
        <v>0</v>
      </c>
    </row>
    <row r="42901" spans="1:1" x14ac:dyDescent="0.3">
      <c r="A42901" t="s">
        <v>0</v>
      </c>
    </row>
    <row r="42902" spans="1:1" x14ac:dyDescent="0.3">
      <c r="A42902" t="s">
        <v>0</v>
      </c>
    </row>
    <row r="42903" spans="1:1" x14ac:dyDescent="0.3">
      <c r="A42903" t="s">
        <v>0</v>
      </c>
    </row>
    <row r="42904" spans="1:1" x14ac:dyDescent="0.3">
      <c r="A42904" t="s">
        <v>0</v>
      </c>
    </row>
    <row r="42905" spans="1:1" x14ac:dyDescent="0.3">
      <c r="A42905" t="s">
        <v>0</v>
      </c>
    </row>
    <row r="42906" spans="1:1" x14ac:dyDescent="0.3">
      <c r="A42906" t="s">
        <v>0</v>
      </c>
    </row>
    <row r="42907" spans="1:1" x14ac:dyDescent="0.3">
      <c r="A42907" t="s">
        <v>0</v>
      </c>
    </row>
    <row r="42908" spans="1:1" x14ac:dyDescent="0.3">
      <c r="A42908" t="s">
        <v>0</v>
      </c>
    </row>
    <row r="42909" spans="1:1" x14ac:dyDescent="0.3">
      <c r="A42909" t="s">
        <v>0</v>
      </c>
    </row>
    <row r="42910" spans="1:1" x14ac:dyDescent="0.3">
      <c r="A42910" t="s">
        <v>0</v>
      </c>
    </row>
    <row r="42911" spans="1:1" x14ac:dyDescent="0.3">
      <c r="A42911" t="s">
        <v>0</v>
      </c>
    </row>
    <row r="42912" spans="1:1" x14ac:dyDescent="0.3">
      <c r="A42912" t="s">
        <v>0</v>
      </c>
    </row>
    <row r="42913" spans="1:1" x14ac:dyDescent="0.3">
      <c r="A42913" t="s">
        <v>0</v>
      </c>
    </row>
    <row r="42914" spans="1:1" x14ac:dyDescent="0.3">
      <c r="A42914" t="s">
        <v>0</v>
      </c>
    </row>
    <row r="42915" spans="1:1" x14ac:dyDescent="0.3">
      <c r="A42915" t="s">
        <v>0</v>
      </c>
    </row>
    <row r="42916" spans="1:1" x14ac:dyDescent="0.3">
      <c r="A42916" t="s">
        <v>0</v>
      </c>
    </row>
    <row r="42917" spans="1:1" x14ac:dyDescent="0.3">
      <c r="A42917" t="s">
        <v>0</v>
      </c>
    </row>
    <row r="42918" spans="1:1" x14ac:dyDescent="0.3">
      <c r="A42918" t="s">
        <v>0</v>
      </c>
    </row>
    <row r="42919" spans="1:1" x14ac:dyDescent="0.3">
      <c r="A42919" t="s">
        <v>0</v>
      </c>
    </row>
    <row r="42920" spans="1:1" x14ac:dyDescent="0.3">
      <c r="A42920" t="s">
        <v>0</v>
      </c>
    </row>
    <row r="42921" spans="1:1" x14ac:dyDescent="0.3">
      <c r="A42921" t="s">
        <v>0</v>
      </c>
    </row>
    <row r="42922" spans="1:1" x14ac:dyDescent="0.3">
      <c r="A42922" t="s">
        <v>0</v>
      </c>
    </row>
    <row r="42923" spans="1:1" x14ac:dyDescent="0.3">
      <c r="A42923" t="s">
        <v>0</v>
      </c>
    </row>
    <row r="42924" spans="1:1" x14ac:dyDescent="0.3">
      <c r="A42924" t="s">
        <v>0</v>
      </c>
    </row>
    <row r="42925" spans="1:1" x14ac:dyDescent="0.3">
      <c r="A42925" t="s">
        <v>0</v>
      </c>
    </row>
    <row r="42926" spans="1:1" x14ac:dyDescent="0.3">
      <c r="A42926" t="s">
        <v>0</v>
      </c>
    </row>
    <row r="42927" spans="1:1" x14ac:dyDescent="0.3">
      <c r="A42927" t="s">
        <v>0</v>
      </c>
    </row>
    <row r="42928" spans="1:1" x14ac:dyDescent="0.3">
      <c r="A42928" t="s">
        <v>0</v>
      </c>
    </row>
    <row r="42929" spans="1:1" x14ac:dyDescent="0.3">
      <c r="A42929" t="s">
        <v>0</v>
      </c>
    </row>
    <row r="42930" spans="1:1" x14ac:dyDescent="0.3">
      <c r="A42930" t="s">
        <v>0</v>
      </c>
    </row>
    <row r="42931" spans="1:1" x14ac:dyDescent="0.3">
      <c r="A42931" t="s">
        <v>0</v>
      </c>
    </row>
    <row r="42932" spans="1:1" x14ac:dyDescent="0.3">
      <c r="A42932" t="s">
        <v>0</v>
      </c>
    </row>
    <row r="42933" spans="1:1" x14ac:dyDescent="0.3">
      <c r="A42933" t="s">
        <v>0</v>
      </c>
    </row>
    <row r="42934" spans="1:1" x14ac:dyDescent="0.3">
      <c r="A42934" t="s">
        <v>0</v>
      </c>
    </row>
    <row r="42935" spans="1:1" x14ac:dyDescent="0.3">
      <c r="A42935" t="s">
        <v>0</v>
      </c>
    </row>
    <row r="42936" spans="1:1" x14ac:dyDescent="0.3">
      <c r="A42936" t="s">
        <v>0</v>
      </c>
    </row>
    <row r="42937" spans="1:1" x14ac:dyDescent="0.3">
      <c r="A42937" t="s">
        <v>0</v>
      </c>
    </row>
    <row r="42938" spans="1:1" x14ac:dyDescent="0.3">
      <c r="A42938" t="s">
        <v>0</v>
      </c>
    </row>
    <row r="42939" spans="1:1" x14ac:dyDescent="0.3">
      <c r="A42939" t="s">
        <v>0</v>
      </c>
    </row>
    <row r="42940" spans="1:1" x14ac:dyDescent="0.3">
      <c r="A42940" t="s">
        <v>0</v>
      </c>
    </row>
    <row r="42941" spans="1:1" x14ac:dyDescent="0.3">
      <c r="A42941" t="s">
        <v>0</v>
      </c>
    </row>
    <row r="42942" spans="1:1" x14ac:dyDescent="0.3">
      <c r="A42942" t="s">
        <v>0</v>
      </c>
    </row>
    <row r="42943" spans="1:1" x14ac:dyDescent="0.3">
      <c r="A42943" t="s">
        <v>0</v>
      </c>
    </row>
    <row r="42944" spans="1:1" x14ac:dyDescent="0.3">
      <c r="A42944" t="s">
        <v>0</v>
      </c>
    </row>
    <row r="42945" spans="1:1" x14ac:dyDescent="0.3">
      <c r="A42945" t="s">
        <v>0</v>
      </c>
    </row>
    <row r="42946" spans="1:1" x14ac:dyDescent="0.3">
      <c r="A42946" t="s">
        <v>0</v>
      </c>
    </row>
    <row r="42947" spans="1:1" x14ac:dyDescent="0.3">
      <c r="A42947" t="s">
        <v>0</v>
      </c>
    </row>
    <row r="42948" spans="1:1" x14ac:dyDescent="0.3">
      <c r="A42948" t="s">
        <v>0</v>
      </c>
    </row>
    <row r="42949" spans="1:1" x14ac:dyDescent="0.3">
      <c r="A42949" t="s">
        <v>0</v>
      </c>
    </row>
    <row r="42950" spans="1:1" x14ac:dyDescent="0.3">
      <c r="A42950" t="s">
        <v>0</v>
      </c>
    </row>
    <row r="42951" spans="1:1" x14ac:dyDescent="0.3">
      <c r="A42951" t="s">
        <v>0</v>
      </c>
    </row>
    <row r="42952" spans="1:1" x14ac:dyDescent="0.3">
      <c r="A42952" t="s">
        <v>0</v>
      </c>
    </row>
    <row r="42953" spans="1:1" x14ac:dyDescent="0.3">
      <c r="A42953" t="s">
        <v>0</v>
      </c>
    </row>
    <row r="42954" spans="1:1" x14ac:dyDescent="0.3">
      <c r="A42954" t="s">
        <v>0</v>
      </c>
    </row>
    <row r="42955" spans="1:1" x14ac:dyDescent="0.3">
      <c r="A42955" t="s">
        <v>0</v>
      </c>
    </row>
    <row r="42956" spans="1:1" x14ac:dyDescent="0.3">
      <c r="A42956" t="s">
        <v>0</v>
      </c>
    </row>
    <row r="42957" spans="1:1" x14ac:dyDescent="0.3">
      <c r="A42957" t="s">
        <v>0</v>
      </c>
    </row>
    <row r="42958" spans="1:1" x14ac:dyDescent="0.3">
      <c r="A42958" t="s">
        <v>0</v>
      </c>
    </row>
    <row r="42959" spans="1:1" x14ac:dyDescent="0.3">
      <c r="A42959" t="s">
        <v>0</v>
      </c>
    </row>
    <row r="42960" spans="1:1" x14ac:dyDescent="0.3">
      <c r="A42960" t="s">
        <v>0</v>
      </c>
    </row>
    <row r="42961" spans="1:1" x14ac:dyDescent="0.3">
      <c r="A42961" t="s">
        <v>0</v>
      </c>
    </row>
    <row r="42962" spans="1:1" x14ac:dyDescent="0.3">
      <c r="A42962" t="s">
        <v>0</v>
      </c>
    </row>
    <row r="42963" spans="1:1" x14ac:dyDescent="0.3">
      <c r="A42963" t="s">
        <v>0</v>
      </c>
    </row>
    <row r="42964" spans="1:1" x14ac:dyDescent="0.3">
      <c r="A42964" t="s">
        <v>0</v>
      </c>
    </row>
    <row r="42965" spans="1:1" x14ac:dyDescent="0.3">
      <c r="A42965" t="s">
        <v>0</v>
      </c>
    </row>
    <row r="42966" spans="1:1" x14ac:dyDescent="0.3">
      <c r="A42966" t="s">
        <v>0</v>
      </c>
    </row>
    <row r="42967" spans="1:1" x14ac:dyDescent="0.3">
      <c r="A42967" t="s">
        <v>0</v>
      </c>
    </row>
    <row r="42968" spans="1:1" x14ac:dyDescent="0.3">
      <c r="A42968" t="s">
        <v>0</v>
      </c>
    </row>
    <row r="42969" spans="1:1" x14ac:dyDescent="0.3">
      <c r="A42969" t="s">
        <v>0</v>
      </c>
    </row>
    <row r="42970" spans="1:1" x14ac:dyDescent="0.3">
      <c r="A42970" t="s">
        <v>0</v>
      </c>
    </row>
    <row r="42971" spans="1:1" x14ac:dyDescent="0.3">
      <c r="A42971" t="s">
        <v>0</v>
      </c>
    </row>
    <row r="42972" spans="1:1" x14ac:dyDescent="0.3">
      <c r="A42972" t="s">
        <v>0</v>
      </c>
    </row>
    <row r="42973" spans="1:1" x14ac:dyDescent="0.3">
      <c r="A42973" t="s">
        <v>0</v>
      </c>
    </row>
    <row r="42974" spans="1:1" x14ac:dyDescent="0.3">
      <c r="A42974" t="s">
        <v>0</v>
      </c>
    </row>
    <row r="42975" spans="1:1" x14ac:dyDescent="0.3">
      <c r="A42975" t="s">
        <v>0</v>
      </c>
    </row>
    <row r="42976" spans="1:1" x14ac:dyDescent="0.3">
      <c r="A42976" t="s">
        <v>0</v>
      </c>
    </row>
    <row r="42977" spans="1:1" x14ac:dyDescent="0.3">
      <c r="A42977" t="s">
        <v>0</v>
      </c>
    </row>
    <row r="42978" spans="1:1" x14ac:dyDescent="0.3">
      <c r="A42978" t="s">
        <v>0</v>
      </c>
    </row>
    <row r="42979" spans="1:1" x14ac:dyDescent="0.3">
      <c r="A42979" t="s">
        <v>0</v>
      </c>
    </row>
    <row r="42980" spans="1:1" x14ac:dyDescent="0.3">
      <c r="A42980" t="s">
        <v>0</v>
      </c>
    </row>
    <row r="42981" spans="1:1" x14ac:dyDescent="0.3">
      <c r="A42981" t="s">
        <v>0</v>
      </c>
    </row>
    <row r="42982" spans="1:1" x14ac:dyDescent="0.3">
      <c r="A42982" t="s">
        <v>0</v>
      </c>
    </row>
    <row r="42983" spans="1:1" x14ac:dyDescent="0.3">
      <c r="A42983" t="s">
        <v>0</v>
      </c>
    </row>
    <row r="42984" spans="1:1" x14ac:dyDescent="0.3">
      <c r="A42984" t="s">
        <v>0</v>
      </c>
    </row>
    <row r="42985" spans="1:1" x14ac:dyDescent="0.3">
      <c r="A42985" t="s">
        <v>0</v>
      </c>
    </row>
    <row r="42986" spans="1:1" x14ac:dyDescent="0.3">
      <c r="A42986" t="s">
        <v>0</v>
      </c>
    </row>
    <row r="42987" spans="1:1" x14ac:dyDescent="0.3">
      <c r="A42987" t="s">
        <v>0</v>
      </c>
    </row>
    <row r="42988" spans="1:1" x14ac:dyDescent="0.3">
      <c r="A42988" t="s">
        <v>0</v>
      </c>
    </row>
    <row r="42989" spans="1:1" x14ac:dyDescent="0.3">
      <c r="A42989" t="s">
        <v>0</v>
      </c>
    </row>
    <row r="42990" spans="1:1" x14ac:dyDescent="0.3">
      <c r="A42990" t="s">
        <v>0</v>
      </c>
    </row>
    <row r="42991" spans="1:1" x14ac:dyDescent="0.3">
      <c r="A42991" t="s">
        <v>0</v>
      </c>
    </row>
    <row r="42992" spans="1:1" x14ac:dyDescent="0.3">
      <c r="A42992" t="s">
        <v>0</v>
      </c>
    </row>
    <row r="42993" spans="1:1" x14ac:dyDescent="0.3">
      <c r="A42993" t="s">
        <v>0</v>
      </c>
    </row>
    <row r="42994" spans="1:1" x14ac:dyDescent="0.3">
      <c r="A42994" t="s">
        <v>0</v>
      </c>
    </row>
    <row r="42995" spans="1:1" x14ac:dyDescent="0.3">
      <c r="A42995" t="s">
        <v>0</v>
      </c>
    </row>
    <row r="42996" spans="1:1" x14ac:dyDescent="0.3">
      <c r="A42996" t="s">
        <v>0</v>
      </c>
    </row>
    <row r="42997" spans="1:1" x14ac:dyDescent="0.3">
      <c r="A42997" t="s">
        <v>0</v>
      </c>
    </row>
    <row r="42998" spans="1:1" x14ac:dyDescent="0.3">
      <c r="A42998" t="s">
        <v>0</v>
      </c>
    </row>
    <row r="42999" spans="1:1" x14ac:dyDescent="0.3">
      <c r="A42999" t="s">
        <v>0</v>
      </c>
    </row>
    <row r="43000" spans="1:1" x14ac:dyDescent="0.3">
      <c r="A43000" t="s">
        <v>0</v>
      </c>
    </row>
    <row r="43001" spans="1:1" x14ac:dyDescent="0.3">
      <c r="A43001" t="s">
        <v>0</v>
      </c>
    </row>
    <row r="43002" spans="1:1" x14ac:dyDescent="0.3">
      <c r="A43002" t="s">
        <v>0</v>
      </c>
    </row>
    <row r="43003" spans="1:1" x14ac:dyDescent="0.3">
      <c r="A43003" t="s">
        <v>0</v>
      </c>
    </row>
    <row r="43004" spans="1:1" x14ac:dyDescent="0.3">
      <c r="A43004" t="s">
        <v>0</v>
      </c>
    </row>
    <row r="43005" spans="1:1" x14ac:dyDescent="0.3">
      <c r="A43005" t="s">
        <v>0</v>
      </c>
    </row>
    <row r="43006" spans="1:1" x14ac:dyDescent="0.3">
      <c r="A43006" t="s">
        <v>0</v>
      </c>
    </row>
    <row r="43007" spans="1:1" x14ac:dyDescent="0.3">
      <c r="A43007" t="s">
        <v>0</v>
      </c>
    </row>
    <row r="43008" spans="1:1" x14ac:dyDescent="0.3">
      <c r="A43008" t="s">
        <v>0</v>
      </c>
    </row>
    <row r="43009" spans="1:1" x14ac:dyDescent="0.3">
      <c r="A43009" t="s">
        <v>0</v>
      </c>
    </row>
    <row r="43010" spans="1:1" x14ac:dyDescent="0.3">
      <c r="A43010" t="s">
        <v>0</v>
      </c>
    </row>
    <row r="43011" spans="1:1" x14ac:dyDescent="0.3">
      <c r="A43011" t="s">
        <v>0</v>
      </c>
    </row>
    <row r="43012" spans="1:1" x14ac:dyDescent="0.3">
      <c r="A43012" t="s">
        <v>0</v>
      </c>
    </row>
    <row r="43013" spans="1:1" x14ac:dyDescent="0.3">
      <c r="A43013" t="s">
        <v>0</v>
      </c>
    </row>
    <row r="43014" spans="1:1" x14ac:dyDescent="0.3">
      <c r="A43014" t="s">
        <v>0</v>
      </c>
    </row>
    <row r="43015" spans="1:1" x14ac:dyDescent="0.3">
      <c r="A43015" t="s">
        <v>0</v>
      </c>
    </row>
    <row r="43016" spans="1:1" x14ac:dyDescent="0.3">
      <c r="A43016" t="s">
        <v>0</v>
      </c>
    </row>
    <row r="43017" spans="1:1" x14ac:dyDescent="0.3">
      <c r="A43017" t="s">
        <v>0</v>
      </c>
    </row>
    <row r="43018" spans="1:1" x14ac:dyDescent="0.3">
      <c r="A43018" t="s">
        <v>0</v>
      </c>
    </row>
    <row r="43019" spans="1:1" x14ac:dyDescent="0.3">
      <c r="A43019" t="s">
        <v>0</v>
      </c>
    </row>
    <row r="43020" spans="1:1" x14ac:dyDescent="0.3">
      <c r="A43020" t="s">
        <v>0</v>
      </c>
    </row>
    <row r="43021" spans="1:1" x14ac:dyDescent="0.3">
      <c r="A43021" t="s">
        <v>0</v>
      </c>
    </row>
    <row r="43022" spans="1:1" x14ac:dyDescent="0.3">
      <c r="A43022" t="s">
        <v>0</v>
      </c>
    </row>
    <row r="43023" spans="1:1" x14ac:dyDescent="0.3">
      <c r="A43023" t="s">
        <v>0</v>
      </c>
    </row>
    <row r="43024" spans="1:1" x14ac:dyDescent="0.3">
      <c r="A43024" t="s">
        <v>0</v>
      </c>
    </row>
    <row r="43025" spans="1:1" x14ac:dyDescent="0.3">
      <c r="A43025" t="s">
        <v>0</v>
      </c>
    </row>
    <row r="43026" spans="1:1" x14ac:dyDescent="0.3">
      <c r="A43026" t="s">
        <v>0</v>
      </c>
    </row>
    <row r="43027" spans="1:1" x14ac:dyDescent="0.3">
      <c r="A43027" t="s">
        <v>0</v>
      </c>
    </row>
    <row r="43028" spans="1:1" x14ac:dyDescent="0.3">
      <c r="A43028" t="s">
        <v>0</v>
      </c>
    </row>
    <row r="43029" spans="1:1" x14ac:dyDescent="0.3">
      <c r="A43029" t="s">
        <v>0</v>
      </c>
    </row>
    <row r="43030" spans="1:1" x14ac:dyDescent="0.3">
      <c r="A43030" t="s">
        <v>0</v>
      </c>
    </row>
    <row r="43031" spans="1:1" x14ac:dyDescent="0.3">
      <c r="A43031" t="s">
        <v>0</v>
      </c>
    </row>
    <row r="43032" spans="1:1" x14ac:dyDescent="0.3">
      <c r="A43032" t="s">
        <v>0</v>
      </c>
    </row>
    <row r="43033" spans="1:1" x14ac:dyDescent="0.3">
      <c r="A43033" t="s">
        <v>0</v>
      </c>
    </row>
    <row r="43034" spans="1:1" x14ac:dyDescent="0.3">
      <c r="A43034" t="s">
        <v>0</v>
      </c>
    </row>
    <row r="43035" spans="1:1" x14ac:dyDescent="0.3">
      <c r="A43035" t="s">
        <v>0</v>
      </c>
    </row>
    <row r="43036" spans="1:1" x14ac:dyDescent="0.3">
      <c r="A43036" t="s">
        <v>0</v>
      </c>
    </row>
    <row r="43037" spans="1:1" x14ac:dyDescent="0.3">
      <c r="A43037" t="s">
        <v>0</v>
      </c>
    </row>
    <row r="43038" spans="1:1" x14ac:dyDescent="0.3">
      <c r="A43038" t="s">
        <v>0</v>
      </c>
    </row>
    <row r="43039" spans="1:1" x14ac:dyDescent="0.3">
      <c r="A43039" t="s">
        <v>0</v>
      </c>
    </row>
    <row r="43040" spans="1:1" x14ac:dyDescent="0.3">
      <c r="A43040" t="s">
        <v>0</v>
      </c>
    </row>
    <row r="43041" spans="1:1" x14ac:dyDescent="0.3">
      <c r="A43041" t="s">
        <v>0</v>
      </c>
    </row>
    <row r="43042" spans="1:1" x14ac:dyDescent="0.3">
      <c r="A43042" t="s">
        <v>0</v>
      </c>
    </row>
    <row r="43043" spans="1:1" x14ac:dyDescent="0.3">
      <c r="A43043" t="s">
        <v>0</v>
      </c>
    </row>
    <row r="43044" spans="1:1" x14ac:dyDescent="0.3">
      <c r="A43044" t="s">
        <v>0</v>
      </c>
    </row>
    <row r="43045" spans="1:1" x14ac:dyDescent="0.3">
      <c r="A43045" t="s">
        <v>0</v>
      </c>
    </row>
    <row r="43046" spans="1:1" x14ac:dyDescent="0.3">
      <c r="A43046" t="s">
        <v>0</v>
      </c>
    </row>
    <row r="43047" spans="1:1" x14ac:dyDescent="0.3">
      <c r="A43047" t="s">
        <v>0</v>
      </c>
    </row>
    <row r="43048" spans="1:1" x14ac:dyDescent="0.3">
      <c r="A43048" t="s">
        <v>0</v>
      </c>
    </row>
    <row r="43049" spans="1:1" x14ac:dyDescent="0.3">
      <c r="A43049" t="s">
        <v>0</v>
      </c>
    </row>
    <row r="43050" spans="1:1" x14ac:dyDescent="0.3">
      <c r="A43050" t="s">
        <v>0</v>
      </c>
    </row>
    <row r="43051" spans="1:1" x14ac:dyDescent="0.3">
      <c r="A43051" t="s">
        <v>0</v>
      </c>
    </row>
    <row r="43052" spans="1:1" x14ac:dyDescent="0.3">
      <c r="A43052" t="s">
        <v>0</v>
      </c>
    </row>
    <row r="43053" spans="1:1" x14ac:dyDescent="0.3">
      <c r="A43053" t="s">
        <v>0</v>
      </c>
    </row>
    <row r="43054" spans="1:1" x14ac:dyDescent="0.3">
      <c r="A43054" t="s">
        <v>0</v>
      </c>
    </row>
    <row r="43055" spans="1:1" x14ac:dyDescent="0.3">
      <c r="A43055" t="s">
        <v>0</v>
      </c>
    </row>
    <row r="43056" spans="1:1" x14ac:dyDescent="0.3">
      <c r="A43056" t="s">
        <v>0</v>
      </c>
    </row>
    <row r="43057" spans="1:1" x14ac:dyDescent="0.3">
      <c r="A43057" t="s">
        <v>0</v>
      </c>
    </row>
    <row r="43058" spans="1:1" x14ac:dyDescent="0.3">
      <c r="A43058" t="s">
        <v>0</v>
      </c>
    </row>
    <row r="43059" spans="1:1" x14ac:dyDescent="0.3">
      <c r="A43059" t="s">
        <v>0</v>
      </c>
    </row>
    <row r="43060" spans="1:1" x14ac:dyDescent="0.3">
      <c r="A43060" t="s">
        <v>0</v>
      </c>
    </row>
    <row r="43061" spans="1:1" x14ac:dyDescent="0.3">
      <c r="A43061" t="s">
        <v>0</v>
      </c>
    </row>
    <row r="43062" spans="1:1" x14ac:dyDescent="0.3">
      <c r="A43062" t="s">
        <v>0</v>
      </c>
    </row>
    <row r="43063" spans="1:1" x14ac:dyDescent="0.3">
      <c r="A43063" t="s">
        <v>0</v>
      </c>
    </row>
    <row r="43064" spans="1:1" x14ac:dyDescent="0.3">
      <c r="A43064" t="s">
        <v>0</v>
      </c>
    </row>
    <row r="43065" spans="1:1" x14ac:dyDescent="0.3">
      <c r="A43065" t="s">
        <v>0</v>
      </c>
    </row>
    <row r="43066" spans="1:1" x14ac:dyDescent="0.3">
      <c r="A43066" t="s">
        <v>0</v>
      </c>
    </row>
    <row r="43067" spans="1:1" x14ac:dyDescent="0.3">
      <c r="A43067" t="s">
        <v>0</v>
      </c>
    </row>
    <row r="43068" spans="1:1" x14ac:dyDescent="0.3">
      <c r="A43068" t="s">
        <v>0</v>
      </c>
    </row>
    <row r="43069" spans="1:1" x14ac:dyDescent="0.3">
      <c r="A43069" t="s">
        <v>0</v>
      </c>
    </row>
    <row r="43070" spans="1:1" x14ac:dyDescent="0.3">
      <c r="A43070" t="s">
        <v>0</v>
      </c>
    </row>
    <row r="43071" spans="1:1" x14ac:dyDescent="0.3">
      <c r="A43071" t="s">
        <v>0</v>
      </c>
    </row>
    <row r="43072" spans="1:1" x14ac:dyDescent="0.3">
      <c r="A43072" t="s">
        <v>0</v>
      </c>
    </row>
    <row r="43073" spans="1:1" x14ac:dyDescent="0.3">
      <c r="A43073" t="s">
        <v>0</v>
      </c>
    </row>
    <row r="43074" spans="1:1" x14ac:dyDescent="0.3">
      <c r="A43074" t="s">
        <v>0</v>
      </c>
    </row>
    <row r="43075" spans="1:1" x14ac:dyDescent="0.3">
      <c r="A43075" t="s">
        <v>0</v>
      </c>
    </row>
    <row r="43076" spans="1:1" x14ac:dyDescent="0.3">
      <c r="A43076" t="s">
        <v>0</v>
      </c>
    </row>
    <row r="43077" spans="1:1" x14ac:dyDescent="0.3">
      <c r="A43077" t="s">
        <v>0</v>
      </c>
    </row>
    <row r="43078" spans="1:1" x14ac:dyDescent="0.3">
      <c r="A43078" t="s">
        <v>0</v>
      </c>
    </row>
    <row r="43079" spans="1:1" x14ac:dyDescent="0.3">
      <c r="A43079" t="s">
        <v>0</v>
      </c>
    </row>
    <row r="43080" spans="1:1" x14ac:dyDescent="0.3">
      <c r="A43080" t="s">
        <v>0</v>
      </c>
    </row>
    <row r="43081" spans="1:1" x14ac:dyDescent="0.3">
      <c r="A43081" t="s">
        <v>0</v>
      </c>
    </row>
    <row r="43082" spans="1:1" x14ac:dyDescent="0.3">
      <c r="A43082" t="s">
        <v>0</v>
      </c>
    </row>
    <row r="43083" spans="1:1" x14ac:dyDescent="0.3">
      <c r="A43083" t="s">
        <v>0</v>
      </c>
    </row>
    <row r="43084" spans="1:1" x14ac:dyDescent="0.3">
      <c r="A43084" t="s">
        <v>0</v>
      </c>
    </row>
    <row r="43085" spans="1:1" x14ac:dyDescent="0.3">
      <c r="A43085" t="s">
        <v>0</v>
      </c>
    </row>
    <row r="43086" spans="1:1" x14ac:dyDescent="0.3">
      <c r="A43086" t="s">
        <v>0</v>
      </c>
    </row>
    <row r="43087" spans="1:1" x14ac:dyDescent="0.3">
      <c r="A43087" t="s">
        <v>0</v>
      </c>
    </row>
    <row r="43088" spans="1:1" x14ac:dyDescent="0.3">
      <c r="A43088" t="s">
        <v>0</v>
      </c>
    </row>
    <row r="43089" spans="1:1" x14ac:dyDescent="0.3">
      <c r="A43089" t="s">
        <v>0</v>
      </c>
    </row>
    <row r="43090" spans="1:1" x14ac:dyDescent="0.3">
      <c r="A43090" t="s">
        <v>0</v>
      </c>
    </row>
    <row r="43091" spans="1:1" x14ac:dyDescent="0.3">
      <c r="A43091" t="s">
        <v>0</v>
      </c>
    </row>
    <row r="43092" spans="1:1" x14ac:dyDescent="0.3">
      <c r="A43092" t="s">
        <v>0</v>
      </c>
    </row>
    <row r="43093" spans="1:1" x14ac:dyDescent="0.3">
      <c r="A43093" t="s">
        <v>0</v>
      </c>
    </row>
    <row r="43094" spans="1:1" x14ac:dyDescent="0.3">
      <c r="A43094" t="s">
        <v>0</v>
      </c>
    </row>
    <row r="43095" spans="1:1" x14ac:dyDescent="0.3">
      <c r="A43095" t="s">
        <v>0</v>
      </c>
    </row>
    <row r="43096" spans="1:1" x14ac:dyDescent="0.3">
      <c r="A43096" t="s">
        <v>0</v>
      </c>
    </row>
    <row r="43097" spans="1:1" x14ac:dyDescent="0.3">
      <c r="A43097" t="s">
        <v>0</v>
      </c>
    </row>
    <row r="43098" spans="1:1" x14ac:dyDescent="0.3">
      <c r="A43098" t="s">
        <v>0</v>
      </c>
    </row>
    <row r="43099" spans="1:1" x14ac:dyDescent="0.3">
      <c r="A43099" t="s">
        <v>0</v>
      </c>
    </row>
    <row r="43100" spans="1:1" x14ac:dyDescent="0.3">
      <c r="A43100" t="s">
        <v>0</v>
      </c>
    </row>
    <row r="43101" spans="1:1" x14ac:dyDescent="0.3">
      <c r="A43101" t="s">
        <v>0</v>
      </c>
    </row>
    <row r="43102" spans="1:1" x14ac:dyDescent="0.3">
      <c r="A43102" t="s">
        <v>0</v>
      </c>
    </row>
    <row r="43103" spans="1:1" x14ac:dyDescent="0.3">
      <c r="A43103" t="s">
        <v>0</v>
      </c>
    </row>
    <row r="43104" spans="1:1" x14ac:dyDescent="0.3">
      <c r="A43104" t="s">
        <v>0</v>
      </c>
    </row>
    <row r="43105" spans="1:1" x14ac:dyDescent="0.3">
      <c r="A43105" t="s">
        <v>0</v>
      </c>
    </row>
    <row r="43106" spans="1:1" x14ac:dyDescent="0.3">
      <c r="A43106" t="s">
        <v>0</v>
      </c>
    </row>
    <row r="43107" spans="1:1" x14ac:dyDescent="0.3">
      <c r="A43107" t="s">
        <v>0</v>
      </c>
    </row>
    <row r="43108" spans="1:1" x14ac:dyDescent="0.3">
      <c r="A43108" t="s">
        <v>0</v>
      </c>
    </row>
    <row r="43109" spans="1:1" x14ac:dyDescent="0.3">
      <c r="A43109" t="s">
        <v>0</v>
      </c>
    </row>
    <row r="43110" spans="1:1" x14ac:dyDescent="0.3">
      <c r="A43110" t="s">
        <v>0</v>
      </c>
    </row>
    <row r="43111" spans="1:1" x14ac:dyDescent="0.3">
      <c r="A43111" t="s">
        <v>0</v>
      </c>
    </row>
    <row r="43112" spans="1:1" x14ac:dyDescent="0.3">
      <c r="A43112" t="s">
        <v>0</v>
      </c>
    </row>
    <row r="43113" spans="1:1" x14ac:dyDescent="0.3">
      <c r="A43113" t="s">
        <v>0</v>
      </c>
    </row>
    <row r="43114" spans="1:1" x14ac:dyDescent="0.3">
      <c r="A43114" t="s">
        <v>0</v>
      </c>
    </row>
    <row r="43115" spans="1:1" x14ac:dyDescent="0.3">
      <c r="A43115" t="s">
        <v>0</v>
      </c>
    </row>
    <row r="43116" spans="1:1" x14ac:dyDescent="0.3">
      <c r="A43116" t="s">
        <v>0</v>
      </c>
    </row>
    <row r="43117" spans="1:1" x14ac:dyDescent="0.3">
      <c r="A43117" t="s">
        <v>0</v>
      </c>
    </row>
    <row r="43118" spans="1:1" x14ac:dyDescent="0.3">
      <c r="A43118" t="s">
        <v>0</v>
      </c>
    </row>
    <row r="43119" spans="1:1" x14ac:dyDescent="0.3">
      <c r="A43119" t="s">
        <v>0</v>
      </c>
    </row>
    <row r="43120" spans="1:1" x14ac:dyDescent="0.3">
      <c r="A43120" t="s">
        <v>0</v>
      </c>
    </row>
    <row r="43121" spans="1:1" x14ac:dyDescent="0.3">
      <c r="A43121" t="s">
        <v>0</v>
      </c>
    </row>
    <row r="43122" spans="1:1" x14ac:dyDescent="0.3">
      <c r="A43122" t="s">
        <v>0</v>
      </c>
    </row>
    <row r="43123" spans="1:1" x14ac:dyDescent="0.3">
      <c r="A43123" t="s">
        <v>0</v>
      </c>
    </row>
    <row r="43124" spans="1:1" x14ac:dyDescent="0.3">
      <c r="A43124" t="s">
        <v>0</v>
      </c>
    </row>
    <row r="43125" spans="1:1" x14ac:dyDescent="0.3">
      <c r="A43125" t="s">
        <v>0</v>
      </c>
    </row>
    <row r="43126" spans="1:1" x14ac:dyDescent="0.3">
      <c r="A43126" t="s">
        <v>0</v>
      </c>
    </row>
    <row r="43127" spans="1:1" x14ac:dyDescent="0.3">
      <c r="A43127" t="s">
        <v>0</v>
      </c>
    </row>
    <row r="43128" spans="1:1" x14ac:dyDescent="0.3">
      <c r="A43128" t="s">
        <v>0</v>
      </c>
    </row>
    <row r="43129" spans="1:1" x14ac:dyDescent="0.3">
      <c r="A43129" t="s">
        <v>0</v>
      </c>
    </row>
    <row r="43130" spans="1:1" x14ac:dyDescent="0.3">
      <c r="A43130" t="s">
        <v>0</v>
      </c>
    </row>
    <row r="43131" spans="1:1" x14ac:dyDescent="0.3">
      <c r="A43131" t="s">
        <v>0</v>
      </c>
    </row>
    <row r="43132" spans="1:1" x14ac:dyDescent="0.3">
      <c r="A43132" t="s">
        <v>0</v>
      </c>
    </row>
    <row r="43133" spans="1:1" x14ac:dyDescent="0.3">
      <c r="A43133" t="s">
        <v>0</v>
      </c>
    </row>
    <row r="43134" spans="1:1" x14ac:dyDescent="0.3">
      <c r="A43134" t="s">
        <v>0</v>
      </c>
    </row>
    <row r="43135" spans="1:1" x14ac:dyDescent="0.3">
      <c r="A43135" t="s">
        <v>0</v>
      </c>
    </row>
    <row r="43136" spans="1:1" x14ac:dyDescent="0.3">
      <c r="A43136" t="s">
        <v>0</v>
      </c>
    </row>
    <row r="43137" spans="1:1" x14ac:dyDescent="0.3">
      <c r="A43137" t="s">
        <v>0</v>
      </c>
    </row>
    <row r="43138" spans="1:1" x14ac:dyDescent="0.3">
      <c r="A43138" t="s">
        <v>0</v>
      </c>
    </row>
    <row r="43139" spans="1:1" x14ac:dyDescent="0.3">
      <c r="A43139" t="s">
        <v>0</v>
      </c>
    </row>
    <row r="43140" spans="1:1" x14ac:dyDescent="0.3">
      <c r="A43140" t="s">
        <v>0</v>
      </c>
    </row>
    <row r="43141" spans="1:1" x14ac:dyDescent="0.3">
      <c r="A43141" t="s">
        <v>0</v>
      </c>
    </row>
    <row r="43142" spans="1:1" x14ac:dyDescent="0.3">
      <c r="A43142" t="s">
        <v>0</v>
      </c>
    </row>
    <row r="43143" spans="1:1" x14ac:dyDescent="0.3">
      <c r="A43143" t="s">
        <v>0</v>
      </c>
    </row>
    <row r="43144" spans="1:1" x14ac:dyDescent="0.3">
      <c r="A43144" t="s">
        <v>0</v>
      </c>
    </row>
    <row r="43145" spans="1:1" x14ac:dyDescent="0.3">
      <c r="A43145" t="s">
        <v>0</v>
      </c>
    </row>
    <row r="43146" spans="1:1" x14ac:dyDescent="0.3">
      <c r="A43146" t="s">
        <v>0</v>
      </c>
    </row>
    <row r="43147" spans="1:1" x14ac:dyDescent="0.3">
      <c r="A43147" t="s">
        <v>0</v>
      </c>
    </row>
    <row r="43148" spans="1:1" x14ac:dyDescent="0.3">
      <c r="A43148" t="s">
        <v>0</v>
      </c>
    </row>
    <row r="43149" spans="1:1" x14ac:dyDescent="0.3">
      <c r="A43149" t="s">
        <v>0</v>
      </c>
    </row>
    <row r="43150" spans="1:1" x14ac:dyDescent="0.3">
      <c r="A43150" t="s">
        <v>0</v>
      </c>
    </row>
    <row r="43151" spans="1:1" x14ac:dyDescent="0.3">
      <c r="A43151" t="s">
        <v>0</v>
      </c>
    </row>
    <row r="43152" spans="1:1" x14ac:dyDescent="0.3">
      <c r="A43152" t="s">
        <v>0</v>
      </c>
    </row>
    <row r="43153" spans="1:1" x14ac:dyDescent="0.3">
      <c r="A43153" t="s">
        <v>0</v>
      </c>
    </row>
    <row r="43154" spans="1:1" x14ac:dyDescent="0.3">
      <c r="A43154" t="s">
        <v>0</v>
      </c>
    </row>
    <row r="43155" spans="1:1" x14ac:dyDescent="0.3">
      <c r="A43155" t="s">
        <v>0</v>
      </c>
    </row>
    <row r="43156" spans="1:1" x14ac:dyDescent="0.3">
      <c r="A43156" t="s">
        <v>0</v>
      </c>
    </row>
    <row r="43157" spans="1:1" x14ac:dyDescent="0.3">
      <c r="A43157" t="s">
        <v>0</v>
      </c>
    </row>
    <row r="43158" spans="1:1" x14ac:dyDescent="0.3">
      <c r="A43158" t="s">
        <v>0</v>
      </c>
    </row>
    <row r="43159" spans="1:1" x14ac:dyDescent="0.3">
      <c r="A43159" t="s">
        <v>0</v>
      </c>
    </row>
    <row r="43160" spans="1:1" x14ac:dyDescent="0.3">
      <c r="A43160" t="s">
        <v>0</v>
      </c>
    </row>
    <row r="43161" spans="1:1" x14ac:dyDescent="0.3">
      <c r="A43161" t="s">
        <v>0</v>
      </c>
    </row>
    <row r="43162" spans="1:1" x14ac:dyDescent="0.3">
      <c r="A43162" t="s">
        <v>0</v>
      </c>
    </row>
    <row r="43163" spans="1:1" x14ac:dyDescent="0.3">
      <c r="A43163" t="s">
        <v>0</v>
      </c>
    </row>
    <row r="43164" spans="1:1" x14ac:dyDescent="0.3">
      <c r="A43164" t="s">
        <v>0</v>
      </c>
    </row>
    <row r="43165" spans="1:1" x14ac:dyDescent="0.3">
      <c r="A43165" t="s">
        <v>0</v>
      </c>
    </row>
    <row r="43166" spans="1:1" x14ac:dyDescent="0.3">
      <c r="A43166" t="s">
        <v>0</v>
      </c>
    </row>
    <row r="43167" spans="1:1" x14ac:dyDescent="0.3">
      <c r="A43167" t="s">
        <v>0</v>
      </c>
    </row>
    <row r="43168" spans="1:1" x14ac:dyDescent="0.3">
      <c r="A43168" t="s">
        <v>0</v>
      </c>
    </row>
    <row r="43169" spans="1:1" x14ac:dyDescent="0.3">
      <c r="A43169" t="s">
        <v>0</v>
      </c>
    </row>
    <row r="43170" spans="1:1" x14ac:dyDescent="0.3">
      <c r="A43170" t="s">
        <v>0</v>
      </c>
    </row>
    <row r="43171" spans="1:1" x14ac:dyDescent="0.3">
      <c r="A43171" t="s">
        <v>0</v>
      </c>
    </row>
    <row r="43172" spans="1:1" x14ac:dyDescent="0.3">
      <c r="A43172" t="s">
        <v>0</v>
      </c>
    </row>
    <row r="43173" spans="1:1" x14ac:dyDescent="0.3">
      <c r="A43173" t="s">
        <v>0</v>
      </c>
    </row>
    <row r="43174" spans="1:1" x14ac:dyDescent="0.3">
      <c r="A43174" t="s">
        <v>0</v>
      </c>
    </row>
    <row r="43175" spans="1:1" x14ac:dyDescent="0.3">
      <c r="A43175" t="s">
        <v>0</v>
      </c>
    </row>
    <row r="43176" spans="1:1" x14ac:dyDescent="0.3">
      <c r="A43176" t="s">
        <v>0</v>
      </c>
    </row>
    <row r="43177" spans="1:1" x14ac:dyDescent="0.3">
      <c r="A43177" t="s">
        <v>0</v>
      </c>
    </row>
    <row r="43178" spans="1:1" x14ac:dyDescent="0.3">
      <c r="A43178" t="s">
        <v>0</v>
      </c>
    </row>
    <row r="43179" spans="1:1" x14ac:dyDescent="0.3">
      <c r="A43179" t="s">
        <v>0</v>
      </c>
    </row>
    <row r="43180" spans="1:1" x14ac:dyDescent="0.3">
      <c r="A43180" t="s">
        <v>0</v>
      </c>
    </row>
    <row r="43181" spans="1:1" x14ac:dyDescent="0.3">
      <c r="A43181" t="s">
        <v>0</v>
      </c>
    </row>
    <row r="43182" spans="1:1" x14ac:dyDescent="0.3">
      <c r="A43182" t="s">
        <v>0</v>
      </c>
    </row>
    <row r="43183" spans="1:1" x14ac:dyDescent="0.3">
      <c r="A43183" t="s">
        <v>0</v>
      </c>
    </row>
    <row r="43184" spans="1:1" x14ac:dyDescent="0.3">
      <c r="A43184" t="s">
        <v>0</v>
      </c>
    </row>
    <row r="43185" spans="1:1" x14ac:dyDescent="0.3">
      <c r="A43185" t="s">
        <v>0</v>
      </c>
    </row>
    <row r="43186" spans="1:1" x14ac:dyDescent="0.3">
      <c r="A43186" t="s">
        <v>0</v>
      </c>
    </row>
    <row r="43187" spans="1:1" x14ac:dyDescent="0.3">
      <c r="A43187" t="s">
        <v>0</v>
      </c>
    </row>
    <row r="43188" spans="1:1" x14ac:dyDescent="0.3">
      <c r="A43188" t="s">
        <v>0</v>
      </c>
    </row>
    <row r="43189" spans="1:1" x14ac:dyDescent="0.3">
      <c r="A43189" t="s">
        <v>0</v>
      </c>
    </row>
    <row r="43190" spans="1:1" x14ac:dyDescent="0.3">
      <c r="A43190" t="s">
        <v>0</v>
      </c>
    </row>
    <row r="43191" spans="1:1" x14ac:dyDescent="0.3">
      <c r="A43191" t="s">
        <v>0</v>
      </c>
    </row>
    <row r="43192" spans="1:1" x14ac:dyDescent="0.3">
      <c r="A43192" t="s">
        <v>0</v>
      </c>
    </row>
    <row r="43193" spans="1:1" x14ac:dyDescent="0.3">
      <c r="A43193" t="s">
        <v>0</v>
      </c>
    </row>
    <row r="43194" spans="1:1" x14ac:dyDescent="0.3">
      <c r="A43194" t="s">
        <v>0</v>
      </c>
    </row>
    <row r="43195" spans="1:1" x14ac:dyDescent="0.3">
      <c r="A43195" t="s">
        <v>0</v>
      </c>
    </row>
    <row r="43196" spans="1:1" x14ac:dyDescent="0.3">
      <c r="A43196" t="s">
        <v>0</v>
      </c>
    </row>
    <row r="43197" spans="1:1" x14ac:dyDescent="0.3">
      <c r="A43197" t="s">
        <v>0</v>
      </c>
    </row>
    <row r="43198" spans="1:1" x14ac:dyDescent="0.3">
      <c r="A43198" t="s">
        <v>0</v>
      </c>
    </row>
    <row r="43199" spans="1:1" x14ac:dyDescent="0.3">
      <c r="A43199" t="s">
        <v>0</v>
      </c>
    </row>
    <row r="43200" spans="1:1" x14ac:dyDescent="0.3">
      <c r="A43200" t="s">
        <v>0</v>
      </c>
    </row>
    <row r="43201" spans="1:1" x14ac:dyDescent="0.3">
      <c r="A43201" t="s">
        <v>0</v>
      </c>
    </row>
    <row r="43202" spans="1:1" x14ac:dyDescent="0.3">
      <c r="A43202" t="s">
        <v>0</v>
      </c>
    </row>
    <row r="43203" spans="1:1" x14ac:dyDescent="0.3">
      <c r="A43203" t="s">
        <v>0</v>
      </c>
    </row>
    <row r="43204" spans="1:1" x14ac:dyDescent="0.3">
      <c r="A43204" t="s">
        <v>0</v>
      </c>
    </row>
    <row r="43205" spans="1:1" x14ac:dyDescent="0.3">
      <c r="A43205" t="s">
        <v>0</v>
      </c>
    </row>
    <row r="43206" spans="1:1" x14ac:dyDescent="0.3">
      <c r="A43206" t="s">
        <v>0</v>
      </c>
    </row>
    <row r="43207" spans="1:1" x14ac:dyDescent="0.3">
      <c r="A43207" t="s">
        <v>0</v>
      </c>
    </row>
    <row r="43208" spans="1:1" x14ac:dyDescent="0.3">
      <c r="A43208" t="s">
        <v>0</v>
      </c>
    </row>
    <row r="43209" spans="1:1" x14ac:dyDescent="0.3">
      <c r="A43209" t="s">
        <v>0</v>
      </c>
    </row>
    <row r="43210" spans="1:1" x14ac:dyDescent="0.3">
      <c r="A43210" t="s">
        <v>0</v>
      </c>
    </row>
    <row r="43211" spans="1:1" x14ac:dyDescent="0.3">
      <c r="A43211" t="s">
        <v>0</v>
      </c>
    </row>
    <row r="43212" spans="1:1" x14ac:dyDescent="0.3">
      <c r="A43212" t="s">
        <v>0</v>
      </c>
    </row>
    <row r="43213" spans="1:1" x14ac:dyDescent="0.3">
      <c r="A43213" t="s">
        <v>0</v>
      </c>
    </row>
    <row r="43214" spans="1:1" x14ac:dyDescent="0.3">
      <c r="A43214" t="s">
        <v>0</v>
      </c>
    </row>
    <row r="43215" spans="1:1" x14ac:dyDescent="0.3">
      <c r="A43215" t="s">
        <v>0</v>
      </c>
    </row>
    <row r="43216" spans="1:1" x14ac:dyDescent="0.3">
      <c r="A43216" t="s">
        <v>0</v>
      </c>
    </row>
    <row r="43217" spans="1:1" x14ac:dyDescent="0.3">
      <c r="A43217" t="s">
        <v>0</v>
      </c>
    </row>
    <row r="43218" spans="1:1" x14ac:dyDescent="0.3">
      <c r="A43218" t="s">
        <v>0</v>
      </c>
    </row>
    <row r="43219" spans="1:1" x14ac:dyDescent="0.3">
      <c r="A43219" t="s">
        <v>0</v>
      </c>
    </row>
    <row r="43220" spans="1:1" x14ac:dyDescent="0.3">
      <c r="A43220" t="s">
        <v>0</v>
      </c>
    </row>
    <row r="43221" spans="1:1" x14ac:dyDescent="0.3">
      <c r="A43221" t="s">
        <v>0</v>
      </c>
    </row>
    <row r="43222" spans="1:1" x14ac:dyDescent="0.3">
      <c r="A43222" t="s">
        <v>0</v>
      </c>
    </row>
    <row r="43223" spans="1:1" x14ac:dyDescent="0.3">
      <c r="A43223" t="s">
        <v>0</v>
      </c>
    </row>
    <row r="43224" spans="1:1" x14ac:dyDescent="0.3">
      <c r="A43224" t="s">
        <v>0</v>
      </c>
    </row>
    <row r="43225" spans="1:1" x14ac:dyDescent="0.3">
      <c r="A43225" t="s">
        <v>0</v>
      </c>
    </row>
    <row r="43226" spans="1:1" x14ac:dyDescent="0.3">
      <c r="A43226" t="s">
        <v>0</v>
      </c>
    </row>
    <row r="43227" spans="1:1" x14ac:dyDescent="0.3">
      <c r="A43227" t="s">
        <v>0</v>
      </c>
    </row>
    <row r="43228" spans="1:1" x14ac:dyDescent="0.3">
      <c r="A43228" t="s">
        <v>0</v>
      </c>
    </row>
    <row r="43229" spans="1:1" x14ac:dyDescent="0.3">
      <c r="A43229" t="s">
        <v>0</v>
      </c>
    </row>
    <row r="43230" spans="1:1" x14ac:dyDescent="0.3">
      <c r="A43230" t="s">
        <v>0</v>
      </c>
    </row>
    <row r="43231" spans="1:1" x14ac:dyDescent="0.3">
      <c r="A43231" t="s">
        <v>0</v>
      </c>
    </row>
    <row r="43232" spans="1:1" x14ac:dyDescent="0.3">
      <c r="A43232" t="s">
        <v>0</v>
      </c>
    </row>
    <row r="43233" spans="1:1" x14ac:dyDescent="0.3">
      <c r="A43233" t="s">
        <v>0</v>
      </c>
    </row>
    <row r="43234" spans="1:1" x14ac:dyDescent="0.3">
      <c r="A43234" t="s">
        <v>0</v>
      </c>
    </row>
    <row r="43235" spans="1:1" x14ac:dyDescent="0.3">
      <c r="A43235" t="s">
        <v>0</v>
      </c>
    </row>
    <row r="43236" spans="1:1" x14ac:dyDescent="0.3">
      <c r="A43236" t="s">
        <v>0</v>
      </c>
    </row>
    <row r="43237" spans="1:1" x14ac:dyDescent="0.3">
      <c r="A43237" t="s">
        <v>0</v>
      </c>
    </row>
    <row r="43238" spans="1:1" x14ac:dyDescent="0.3">
      <c r="A43238" t="s">
        <v>0</v>
      </c>
    </row>
    <row r="43239" spans="1:1" x14ac:dyDescent="0.3">
      <c r="A43239" t="s">
        <v>0</v>
      </c>
    </row>
    <row r="43240" spans="1:1" x14ac:dyDescent="0.3">
      <c r="A43240" t="s">
        <v>0</v>
      </c>
    </row>
    <row r="43241" spans="1:1" x14ac:dyDescent="0.3">
      <c r="A43241" t="s">
        <v>0</v>
      </c>
    </row>
    <row r="43242" spans="1:1" x14ac:dyDescent="0.3">
      <c r="A43242" t="s">
        <v>0</v>
      </c>
    </row>
    <row r="43243" spans="1:1" x14ac:dyDescent="0.3">
      <c r="A43243" t="s">
        <v>0</v>
      </c>
    </row>
    <row r="43244" spans="1:1" x14ac:dyDescent="0.3">
      <c r="A43244" t="s">
        <v>0</v>
      </c>
    </row>
    <row r="43245" spans="1:1" x14ac:dyDescent="0.3">
      <c r="A43245" t="s">
        <v>0</v>
      </c>
    </row>
    <row r="43246" spans="1:1" x14ac:dyDescent="0.3">
      <c r="A43246" t="s">
        <v>0</v>
      </c>
    </row>
    <row r="43247" spans="1:1" x14ac:dyDescent="0.3">
      <c r="A43247" t="s">
        <v>0</v>
      </c>
    </row>
    <row r="43248" spans="1:1" x14ac:dyDescent="0.3">
      <c r="A43248" t="s">
        <v>0</v>
      </c>
    </row>
    <row r="43249" spans="1:1" x14ac:dyDescent="0.3">
      <c r="A43249" t="s">
        <v>0</v>
      </c>
    </row>
    <row r="43250" spans="1:1" x14ac:dyDescent="0.3">
      <c r="A43250" t="s">
        <v>0</v>
      </c>
    </row>
    <row r="43251" spans="1:1" x14ac:dyDescent="0.3">
      <c r="A43251" t="s">
        <v>0</v>
      </c>
    </row>
    <row r="43252" spans="1:1" x14ac:dyDescent="0.3">
      <c r="A43252" t="s">
        <v>0</v>
      </c>
    </row>
    <row r="43253" spans="1:1" x14ac:dyDescent="0.3">
      <c r="A43253" t="s">
        <v>0</v>
      </c>
    </row>
    <row r="43254" spans="1:1" x14ac:dyDescent="0.3">
      <c r="A43254" t="s">
        <v>0</v>
      </c>
    </row>
    <row r="43255" spans="1:1" x14ac:dyDescent="0.3">
      <c r="A43255" t="s">
        <v>0</v>
      </c>
    </row>
    <row r="43256" spans="1:1" x14ac:dyDescent="0.3">
      <c r="A43256" t="s">
        <v>0</v>
      </c>
    </row>
    <row r="43257" spans="1:1" x14ac:dyDescent="0.3">
      <c r="A43257" t="s">
        <v>0</v>
      </c>
    </row>
    <row r="43258" spans="1:1" x14ac:dyDescent="0.3">
      <c r="A43258" t="s">
        <v>0</v>
      </c>
    </row>
    <row r="43259" spans="1:1" x14ac:dyDescent="0.3">
      <c r="A43259" t="s">
        <v>0</v>
      </c>
    </row>
    <row r="43260" spans="1:1" x14ac:dyDescent="0.3">
      <c r="A43260" t="s">
        <v>0</v>
      </c>
    </row>
    <row r="43261" spans="1:1" x14ac:dyDescent="0.3">
      <c r="A43261" t="s">
        <v>0</v>
      </c>
    </row>
    <row r="43262" spans="1:1" x14ac:dyDescent="0.3">
      <c r="A43262" t="s">
        <v>0</v>
      </c>
    </row>
    <row r="43263" spans="1:1" x14ac:dyDescent="0.3">
      <c r="A43263" t="s">
        <v>0</v>
      </c>
    </row>
    <row r="43264" spans="1:1" x14ac:dyDescent="0.3">
      <c r="A43264" t="s">
        <v>0</v>
      </c>
    </row>
    <row r="43265" spans="1:1" x14ac:dyDescent="0.3">
      <c r="A43265" t="s">
        <v>0</v>
      </c>
    </row>
    <row r="43266" spans="1:1" x14ac:dyDescent="0.3">
      <c r="A43266" t="s">
        <v>0</v>
      </c>
    </row>
    <row r="43267" spans="1:1" x14ac:dyDescent="0.3">
      <c r="A43267" t="s">
        <v>0</v>
      </c>
    </row>
    <row r="43268" spans="1:1" x14ac:dyDescent="0.3">
      <c r="A43268" t="s">
        <v>0</v>
      </c>
    </row>
    <row r="43269" spans="1:1" x14ac:dyDescent="0.3">
      <c r="A43269" t="s">
        <v>0</v>
      </c>
    </row>
    <row r="43270" spans="1:1" x14ac:dyDescent="0.3">
      <c r="A43270" t="s">
        <v>0</v>
      </c>
    </row>
    <row r="43271" spans="1:1" x14ac:dyDescent="0.3">
      <c r="A43271" t="s">
        <v>0</v>
      </c>
    </row>
    <row r="43272" spans="1:1" x14ac:dyDescent="0.3">
      <c r="A43272" t="s">
        <v>0</v>
      </c>
    </row>
    <row r="43273" spans="1:1" x14ac:dyDescent="0.3">
      <c r="A43273" t="s">
        <v>0</v>
      </c>
    </row>
    <row r="43274" spans="1:1" x14ac:dyDescent="0.3">
      <c r="A43274" t="s">
        <v>0</v>
      </c>
    </row>
    <row r="43275" spans="1:1" x14ac:dyDescent="0.3">
      <c r="A43275" t="s">
        <v>0</v>
      </c>
    </row>
    <row r="43276" spans="1:1" x14ac:dyDescent="0.3">
      <c r="A43276" t="s">
        <v>0</v>
      </c>
    </row>
    <row r="43277" spans="1:1" x14ac:dyDescent="0.3">
      <c r="A43277" t="s">
        <v>0</v>
      </c>
    </row>
    <row r="43278" spans="1:1" x14ac:dyDescent="0.3">
      <c r="A43278" t="s">
        <v>0</v>
      </c>
    </row>
    <row r="43279" spans="1:1" x14ac:dyDescent="0.3">
      <c r="A43279" t="s">
        <v>0</v>
      </c>
    </row>
    <row r="43280" spans="1:1" x14ac:dyDescent="0.3">
      <c r="A43280" t="s">
        <v>0</v>
      </c>
    </row>
    <row r="43281" spans="1:1" x14ac:dyDescent="0.3">
      <c r="A43281" t="s">
        <v>0</v>
      </c>
    </row>
    <row r="43282" spans="1:1" x14ac:dyDescent="0.3">
      <c r="A43282" t="s">
        <v>0</v>
      </c>
    </row>
    <row r="43283" spans="1:1" x14ac:dyDescent="0.3">
      <c r="A43283" t="s">
        <v>0</v>
      </c>
    </row>
    <row r="43284" spans="1:1" x14ac:dyDescent="0.3">
      <c r="A43284" t="s">
        <v>0</v>
      </c>
    </row>
    <row r="43285" spans="1:1" x14ac:dyDescent="0.3">
      <c r="A43285" t="s">
        <v>0</v>
      </c>
    </row>
    <row r="43286" spans="1:1" x14ac:dyDescent="0.3">
      <c r="A43286" t="s">
        <v>0</v>
      </c>
    </row>
    <row r="43287" spans="1:1" x14ac:dyDescent="0.3">
      <c r="A43287" t="s">
        <v>0</v>
      </c>
    </row>
    <row r="43288" spans="1:1" x14ac:dyDescent="0.3">
      <c r="A43288" t="s">
        <v>0</v>
      </c>
    </row>
    <row r="43289" spans="1:1" x14ac:dyDescent="0.3">
      <c r="A43289" t="s">
        <v>0</v>
      </c>
    </row>
    <row r="43290" spans="1:1" x14ac:dyDescent="0.3">
      <c r="A43290" t="s">
        <v>0</v>
      </c>
    </row>
    <row r="43291" spans="1:1" x14ac:dyDescent="0.3">
      <c r="A43291" t="s">
        <v>0</v>
      </c>
    </row>
    <row r="43292" spans="1:1" x14ac:dyDescent="0.3">
      <c r="A43292" t="s">
        <v>0</v>
      </c>
    </row>
    <row r="43293" spans="1:1" x14ac:dyDescent="0.3">
      <c r="A43293" t="s">
        <v>0</v>
      </c>
    </row>
    <row r="43294" spans="1:1" x14ac:dyDescent="0.3">
      <c r="A43294" t="s">
        <v>0</v>
      </c>
    </row>
    <row r="43295" spans="1:1" x14ac:dyDescent="0.3">
      <c r="A43295" t="s">
        <v>0</v>
      </c>
    </row>
    <row r="43296" spans="1:1" x14ac:dyDescent="0.3">
      <c r="A43296" t="s">
        <v>0</v>
      </c>
    </row>
    <row r="43297" spans="1:1" x14ac:dyDescent="0.3">
      <c r="A43297" t="s">
        <v>0</v>
      </c>
    </row>
    <row r="43298" spans="1:1" x14ac:dyDescent="0.3">
      <c r="A43298" t="s">
        <v>0</v>
      </c>
    </row>
    <row r="43299" spans="1:1" x14ac:dyDescent="0.3">
      <c r="A43299" t="s">
        <v>0</v>
      </c>
    </row>
    <row r="43300" spans="1:1" x14ac:dyDescent="0.3">
      <c r="A43300" t="s">
        <v>0</v>
      </c>
    </row>
    <row r="43301" spans="1:1" x14ac:dyDescent="0.3">
      <c r="A43301" t="s">
        <v>0</v>
      </c>
    </row>
    <row r="43302" spans="1:1" x14ac:dyDescent="0.3">
      <c r="A43302" t="s">
        <v>0</v>
      </c>
    </row>
    <row r="43303" spans="1:1" x14ac:dyDescent="0.3">
      <c r="A43303" t="s">
        <v>0</v>
      </c>
    </row>
    <row r="43304" spans="1:1" x14ac:dyDescent="0.3">
      <c r="A43304" t="s">
        <v>0</v>
      </c>
    </row>
    <row r="43305" spans="1:1" x14ac:dyDescent="0.3">
      <c r="A43305" t="s">
        <v>0</v>
      </c>
    </row>
    <row r="43306" spans="1:1" x14ac:dyDescent="0.3">
      <c r="A43306" t="s">
        <v>0</v>
      </c>
    </row>
    <row r="43307" spans="1:1" x14ac:dyDescent="0.3">
      <c r="A43307" t="s">
        <v>0</v>
      </c>
    </row>
    <row r="43308" spans="1:1" x14ac:dyDescent="0.3">
      <c r="A43308" t="s">
        <v>0</v>
      </c>
    </row>
    <row r="43309" spans="1:1" x14ac:dyDescent="0.3">
      <c r="A43309" t="s">
        <v>0</v>
      </c>
    </row>
    <row r="43310" spans="1:1" x14ac:dyDescent="0.3">
      <c r="A43310" t="s">
        <v>0</v>
      </c>
    </row>
    <row r="43311" spans="1:1" x14ac:dyDescent="0.3">
      <c r="A43311" t="s">
        <v>0</v>
      </c>
    </row>
    <row r="43312" spans="1:1" x14ac:dyDescent="0.3">
      <c r="A43312" t="s">
        <v>0</v>
      </c>
    </row>
    <row r="43313" spans="1:1" x14ac:dyDescent="0.3">
      <c r="A43313" t="s">
        <v>0</v>
      </c>
    </row>
    <row r="43314" spans="1:1" x14ac:dyDescent="0.3">
      <c r="A43314" t="s">
        <v>0</v>
      </c>
    </row>
    <row r="43315" spans="1:1" x14ac:dyDescent="0.3">
      <c r="A43315" t="s">
        <v>0</v>
      </c>
    </row>
    <row r="43316" spans="1:1" x14ac:dyDescent="0.3">
      <c r="A43316" t="s">
        <v>0</v>
      </c>
    </row>
    <row r="43317" spans="1:1" x14ac:dyDescent="0.3">
      <c r="A43317" t="s">
        <v>0</v>
      </c>
    </row>
    <row r="43318" spans="1:1" x14ac:dyDescent="0.3">
      <c r="A43318" t="s">
        <v>0</v>
      </c>
    </row>
    <row r="43319" spans="1:1" x14ac:dyDescent="0.3">
      <c r="A43319" t="s">
        <v>0</v>
      </c>
    </row>
    <row r="43320" spans="1:1" x14ac:dyDescent="0.3">
      <c r="A43320" t="s">
        <v>0</v>
      </c>
    </row>
    <row r="43321" spans="1:1" x14ac:dyDescent="0.3">
      <c r="A43321" t="s">
        <v>0</v>
      </c>
    </row>
    <row r="43322" spans="1:1" x14ac:dyDescent="0.3">
      <c r="A43322" t="s">
        <v>0</v>
      </c>
    </row>
    <row r="43323" spans="1:1" x14ac:dyDescent="0.3">
      <c r="A43323" t="s">
        <v>0</v>
      </c>
    </row>
    <row r="43324" spans="1:1" x14ac:dyDescent="0.3">
      <c r="A43324" t="s">
        <v>0</v>
      </c>
    </row>
    <row r="43325" spans="1:1" x14ac:dyDescent="0.3">
      <c r="A43325" t="s">
        <v>0</v>
      </c>
    </row>
    <row r="43326" spans="1:1" x14ac:dyDescent="0.3">
      <c r="A43326" t="s">
        <v>0</v>
      </c>
    </row>
    <row r="43327" spans="1:1" x14ac:dyDescent="0.3">
      <c r="A43327" t="s">
        <v>0</v>
      </c>
    </row>
    <row r="43328" spans="1:1" x14ac:dyDescent="0.3">
      <c r="A43328" t="s">
        <v>0</v>
      </c>
    </row>
    <row r="43329" spans="1:1" x14ac:dyDescent="0.3">
      <c r="A43329" t="s">
        <v>0</v>
      </c>
    </row>
    <row r="43330" spans="1:1" x14ac:dyDescent="0.3">
      <c r="A43330" t="s">
        <v>0</v>
      </c>
    </row>
    <row r="43331" spans="1:1" x14ac:dyDescent="0.3">
      <c r="A43331" t="s">
        <v>0</v>
      </c>
    </row>
    <row r="43332" spans="1:1" x14ac:dyDescent="0.3">
      <c r="A43332" t="s">
        <v>0</v>
      </c>
    </row>
    <row r="43333" spans="1:1" x14ac:dyDescent="0.3">
      <c r="A43333" t="s">
        <v>0</v>
      </c>
    </row>
    <row r="43334" spans="1:1" x14ac:dyDescent="0.3">
      <c r="A43334" t="s">
        <v>0</v>
      </c>
    </row>
    <row r="43335" spans="1:1" x14ac:dyDescent="0.3">
      <c r="A43335" t="s">
        <v>0</v>
      </c>
    </row>
    <row r="43336" spans="1:1" x14ac:dyDescent="0.3">
      <c r="A43336" t="s">
        <v>0</v>
      </c>
    </row>
    <row r="43337" spans="1:1" x14ac:dyDescent="0.3">
      <c r="A43337" t="s">
        <v>0</v>
      </c>
    </row>
    <row r="43338" spans="1:1" x14ac:dyDescent="0.3">
      <c r="A43338" t="s">
        <v>0</v>
      </c>
    </row>
    <row r="43339" spans="1:1" x14ac:dyDescent="0.3">
      <c r="A43339" t="s">
        <v>0</v>
      </c>
    </row>
    <row r="43340" spans="1:1" x14ac:dyDescent="0.3">
      <c r="A43340" t="s">
        <v>0</v>
      </c>
    </row>
    <row r="43341" spans="1:1" x14ac:dyDescent="0.3">
      <c r="A43341" t="s">
        <v>0</v>
      </c>
    </row>
    <row r="43342" spans="1:1" x14ac:dyDescent="0.3">
      <c r="A43342" t="s">
        <v>0</v>
      </c>
    </row>
    <row r="43343" spans="1:1" x14ac:dyDescent="0.3">
      <c r="A43343" t="s">
        <v>0</v>
      </c>
    </row>
    <row r="43344" spans="1:1" x14ac:dyDescent="0.3">
      <c r="A43344" t="s">
        <v>0</v>
      </c>
    </row>
    <row r="43345" spans="1:1" x14ac:dyDescent="0.3">
      <c r="A43345" t="s">
        <v>0</v>
      </c>
    </row>
    <row r="43346" spans="1:1" x14ac:dyDescent="0.3">
      <c r="A43346" t="s">
        <v>0</v>
      </c>
    </row>
    <row r="43347" spans="1:1" x14ac:dyDescent="0.3">
      <c r="A43347" t="s">
        <v>0</v>
      </c>
    </row>
    <row r="43348" spans="1:1" x14ac:dyDescent="0.3">
      <c r="A43348" t="s">
        <v>0</v>
      </c>
    </row>
    <row r="43349" spans="1:1" x14ac:dyDescent="0.3">
      <c r="A43349" t="s">
        <v>0</v>
      </c>
    </row>
    <row r="43350" spans="1:1" x14ac:dyDescent="0.3">
      <c r="A43350" t="s">
        <v>0</v>
      </c>
    </row>
    <row r="43351" spans="1:1" x14ac:dyDescent="0.3">
      <c r="A43351" t="s">
        <v>0</v>
      </c>
    </row>
    <row r="43352" spans="1:1" x14ac:dyDescent="0.3">
      <c r="A43352" t="s">
        <v>0</v>
      </c>
    </row>
    <row r="43353" spans="1:1" x14ac:dyDescent="0.3">
      <c r="A43353" t="s">
        <v>0</v>
      </c>
    </row>
    <row r="43354" spans="1:1" x14ac:dyDescent="0.3">
      <c r="A43354" t="s">
        <v>0</v>
      </c>
    </row>
    <row r="43355" spans="1:1" x14ac:dyDescent="0.3">
      <c r="A43355" t="s">
        <v>0</v>
      </c>
    </row>
    <row r="43356" spans="1:1" x14ac:dyDescent="0.3">
      <c r="A43356" t="s">
        <v>0</v>
      </c>
    </row>
    <row r="43357" spans="1:1" x14ac:dyDescent="0.3">
      <c r="A43357" t="s">
        <v>0</v>
      </c>
    </row>
    <row r="43358" spans="1:1" x14ac:dyDescent="0.3">
      <c r="A43358" t="s">
        <v>0</v>
      </c>
    </row>
    <row r="43359" spans="1:1" x14ac:dyDescent="0.3">
      <c r="A43359" t="s">
        <v>0</v>
      </c>
    </row>
    <row r="43360" spans="1:1" x14ac:dyDescent="0.3">
      <c r="A43360" t="s">
        <v>0</v>
      </c>
    </row>
    <row r="43361" spans="1:1" x14ac:dyDescent="0.3">
      <c r="A43361" t="s">
        <v>0</v>
      </c>
    </row>
    <row r="43362" spans="1:1" x14ac:dyDescent="0.3">
      <c r="A43362" t="s">
        <v>0</v>
      </c>
    </row>
    <row r="43363" spans="1:1" x14ac:dyDescent="0.3">
      <c r="A43363" t="s">
        <v>0</v>
      </c>
    </row>
    <row r="43364" spans="1:1" x14ac:dyDescent="0.3">
      <c r="A43364" t="s">
        <v>0</v>
      </c>
    </row>
    <row r="43365" spans="1:1" x14ac:dyDescent="0.3">
      <c r="A43365" t="s">
        <v>0</v>
      </c>
    </row>
    <row r="43366" spans="1:1" x14ac:dyDescent="0.3">
      <c r="A43366" t="s">
        <v>0</v>
      </c>
    </row>
    <row r="43367" spans="1:1" x14ac:dyDescent="0.3">
      <c r="A43367" t="s">
        <v>0</v>
      </c>
    </row>
    <row r="43368" spans="1:1" x14ac:dyDescent="0.3">
      <c r="A43368" t="s">
        <v>0</v>
      </c>
    </row>
    <row r="43369" spans="1:1" x14ac:dyDescent="0.3">
      <c r="A43369" t="s">
        <v>0</v>
      </c>
    </row>
    <row r="43370" spans="1:1" x14ac:dyDescent="0.3">
      <c r="A43370" t="s">
        <v>0</v>
      </c>
    </row>
    <row r="43371" spans="1:1" x14ac:dyDescent="0.3">
      <c r="A43371" t="s">
        <v>0</v>
      </c>
    </row>
    <row r="43372" spans="1:1" x14ac:dyDescent="0.3">
      <c r="A43372" t="s">
        <v>0</v>
      </c>
    </row>
    <row r="43373" spans="1:1" x14ac:dyDescent="0.3">
      <c r="A43373" t="s">
        <v>0</v>
      </c>
    </row>
    <row r="43374" spans="1:1" x14ac:dyDescent="0.3">
      <c r="A43374" t="s">
        <v>0</v>
      </c>
    </row>
    <row r="43375" spans="1:1" x14ac:dyDescent="0.3">
      <c r="A43375" t="s">
        <v>0</v>
      </c>
    </row>
    <row r="43376" spans="1:1" x14ac:dyDescent="0.3">
      <c r="A43376" t="s">
        <v>0</v>
      </c>
    </row>
    <row r="43377" spans="1:1" x14ac:dyDescent="0.3">
      <c r="A43377" t="s">
        <v>0</v>
      </c>
    </row>
    <row r="43378" spans="1:1" x14ac:dyDescent="0.3">
      <c r="A43378" t="s">
        <v>0</v>
      </c>
    </row>
    <row r="43379" spans="1:1" x14ac:dyDescent="0.3">
      <c r="A43379" t="s">
        <v>0</v>
      </c>
    </row>
    <row r="43380" spans="1:1" x14ac:dyDescent="0.3">
      <c r="A43380" t="s">
        <v>0</v>
      </c>
    </row>
    <row r="43381" spans="1:1" x14ac:dyDescent="0.3">
      <c r="A43381" t="s">
        <v>0</v>
      </c>
    </row>
    <row r="43382" spans="1:1" x14ac:dyDescent="0.3">
      <c r="A43382" t="s">
        <v>0</v>
      </c>
    </row>
    <row r="43383" spans="1:1" x14ac:dyDescent="0.3">
      <c r="A43383" t="s">
        <v>0</v>
      </c>
    </row>
    <row r="43384" spans="1:1" x14ac:dyDescent="0.3">
      <c r="A43384" t="s">
        <v>0</v>
      </c>
    </row>
    <row r="43385" spans="1:1" x14ac:dyDescent="0.3">
      <c r="A43385" t="s">
        <v>0</v>
      </c>
    </row>
    <row r="43386" spans="1:1" x14ac:dyDescent="0.3">
      <c r="A43386" t="s">
        <v>0</v>
      </c>
    </row>
    <row r="43387" spans="1:1" x14ac:dyDescent="0.3">
      <c r="A43387" t="s">
        <v>0</v>
      </c>
    </row>
    <row r="43388" spans="1:1" x14ac:dyDescent="0.3">
      <c r="A43388" t="s">
        <v>0</v>
      </c>
    </row>
    <row r="43389" spans="1:1" x14ac:dyDescent="0.3">
      <c r="A43389" t="s">
        <v>0</v>
      </c>
    </row>
    <row r="43390" spans="1:1" x14ac:dyDescent="0.3">
      <c r="A43390" t="s">
        <v>0</v>
      </c>
    </row>
    <row r="43391" spans="1:1" x14ac:dyDescent="0.3">
      <c r="A43391" t="s">
        <v>0</v>
      </c>
    </row>
    <row r="43392" spans="1:1" x14ac:dyDescent="0.3">
      <c r="A43392" t="s">
        <v>0</v>
      </c>
    </row>
    <row r="43393" spans="1:1" x14ac:dyDescent="0.3">
      <c r="A43393" t="s">
        <v>0</v>
      </c>
    </row>
    <row r="43394" spans="1:1" x14ac:dyDescent="0.3">
      <c r="A43394" t="s">
        <v>0</v>
      </c>
    </row>
    <row r="43395" spans="1:1" x14ac:dyDescent="0.3">
      <c r="A43395" t="s">
        <v>0</v>
      </c>
    </row>
    <row r="43396" spans="1:1" x14ac:dyDescent="0.3">
      <c r="A43396" t="s">
        <v>0</v>
      </c>
    </row>
    <row r="43397" spans="1:1" x14ac:dyDescent="0.3">
      <c r="A43397" t="s">
        <v>0</v>
      </c>
    </row>
    <row r="43398" spans="1:1" x14ac:dyDescent="0.3">
      <c r="A43398" t="s">
        <v>0</v>
      </c>
    </row>
    <row r="43399" spans="1:1" x14ac:dyDescent="0.3">
      <c r="A43399" t="s">
        <v>0</v>
      </c>
    </row>
    <row r="43400" spans="1:1" x14ac:dyDescent="0.3">
      <c r="A43400" t="s">
        <v>0</v>
      </c>
    </row>
    <row r="43401" spans="1:1" x14ac:dyDescent="0.3">
      <c r="A43401" t="s">
        <v>0</v>
      </c>
    </row>
    <row r="43402" spans="1:1" x14ac:dyDescent="0.3">
      <c r="A43402" t="s">
        <v>0</v>
      </c>
    </row>
    <row r="43403" spans="1:1" x14ac:dyDescent="0.3">
      <c r="A43403" t="s">
        <v>0</v>
      </c>
    </row>
    <row r="43404" spans="1:1" x14ac:dyDescent="0.3">
      <c r="A43404" t="s">
        <v>0</v>
      </c>
    </row>
    <row r="43405" spans="1:1" x14ac:dyDescent="0.3">
      <c r="A43405" t="s">
        <v>0</v>
      </c>
    </row>
    <row r="43406" spans="1:1" x14ac:dyDescent="0.3">
      <c r="A43406" t="s">
        <v>0</v>
      </c>
    </row>
    <row r="43407" spans="1:1" x14ac:dyDescent="0.3">
      <c r="A43407" t="s">
        <v>0</v>
      </c>
    </row>
    <row r="43408" spans="1:1" x14ac:dyDescent="0.3">
      <c r="A43408" t="s">
        <v>0</v>
      </c>
    </row>
    <row r="43409" spans="1:1" x14ac:dyDescent="0.3">
      <c r="A43409" t="s">
        <v>0</v>
      </c>
    </row>
    <row r="43410" spans="1:1" x14ac:dyDescent="0.3">
      <c r="A43410" t="s">
        <v>0</v>
      </c>
    </row>
    <row r="43411" spans="1:1" x14ac:dyDescent="0.3">
      <c r="A43411" t="s">
        <v>0</v>
      </c>
    </row>
    <row r="43412" spans="1:1" x14ac:dyDescent="0.3">
      <c r="A43412" t="s">
        <v>0</v>
      </c>
    </row>
    <row r="43413" spans="1:1" x14ac:dyDescent="0.3">
      <c r="A43413" t="s">
        <v>0</v>
      </c>
    </row>
    <row r="43414" spans="1:1" x14ac:dyDescent="0.3">
      <c r="A43414" t="s">
        <v>0</v>
      </c>
    </row>
    <row r="43415" spans="1:1" x14ac:dyDescent="0.3">
      <c r="A43415" t="s">
        <v>0</v>
      </c>
    </row>
    <row r="43416" spans="1:1" x14ac:dyDescent="0.3">
      <c r="A43416" t="s">
        <v>0</v>
      </c>
    </row>
    <row r="43417" spans="1:1" x14ac:dyDescent="0.3">
      <c r="A43417" t="s">
        <v>0</v>
      </c>
    </row>
    <row r="43418" spans="1:1" x14ac:dyDescent="0.3">
      <c r="A43418" t="s">
        <v>0</v>
      </c>
    </row>
    <row r="43419" spans="1:1" x14ac:dyDescent="0.3">
      <c r="A43419" t="s">
        <v>0</v>
      </c>
    </row>
    <row r="43420" spans="1:1" x14ac:dyDescent="0.3">
      <c r="A43420" t="s">
        <v>0</v>
      </c>
    </row>
    <row r="43421" spans="1:1" x14ac:dyDescent="0.3">
      <c r="A43421" t="s">
        <v>0</v>
      </c>
    </row>
    <row r="43422" spans="1:1" x14ac:dyDescent="0.3">
      <c r="A43422" t="s">
        <v>0</v>
      </c>
    </row>
    <row r="43423" spans="1:1" x14ac:dyDescent="0.3">
      <c r="A43423" t="s">
        <v>0</v>
      </c>
    </row>
    <row r="43424" spans="1:1" x14ac:dyDescent="0.3">
      <c r="A43424" t="s">
        <v>0</v>
      </c>
    </row>
    <row r="43425" spans="1:1" x14ac:dyDescent="0.3">
      <c r="A43425" t="s">
        <v>0</v>
      </c>
    </row>
    <row r="43426" spans="1:1" x14ac:dyDescent="0.3">
      <c r="A43426" t="s">
        <v>0</v>
      </c>
    </row>
    <row r="43427" spans="1:1" x14ac:dyDescent="0.3">
      <c r="A43427" t="s">
        <v>0</v>
      </c>
    </row>
    <row r="43428" spans="1:1" x14ac:dyDescent="0.3">
      <c r="A43428" t="s">
        <v>0</v>
      </c>
    </row>
    <row r="43429" spans="1:1" x14ac:dyDescent="0.3">
      <c r="A43429" t="s">
        <v>0</v>
      </c>
    </row>
    <row r="43430" spans="1:1" x14ac:dyDescent="0.3">
      <c r="A43430" t="s">
        <v>0</v>
      </c>
    </row>
    <row r="43431" spans="1:1" x14ac:dyDescent="0.3">
      <c r="A43431" t="s">
        <v>0</v>
      </c>
    </row>
    <row r="43432" spans="1:1" x14ac:dyDescent="0.3">
      <c r="A43432" t="s">
        <v>0</v>
      </c>
    </row>
    <row r="43433" spans="1:1" x14ac:dyDescent="0.3">
      <c r="A43433" t="s">
        <v>0</v>
      </c>
    </row>
    <row r="43434" spans="1:1" x14ac:dyDescent="0.3">
      <c r="A43434" t="s">
        <v>0</v>
      </c>
    </row>
    <row r="43435" spans="1:1" x14ac:dyDescent="0.3">
      <c r="A43435" t="s">
        <v>0</v>
      </c>
    </row>
    <row r="43436" spans="1:1" x14ac:dyDescent="0.3">
      <c r="A43436" t="s">
        <v>0</v>
      </c>
    </row>
    <row r="43437" spans="1:1" x14ac:dyDescent="0.3">
      <c r="A43437" t="s">
        <v>0</v>
      </c>
    </row>
    <row r="43438" spans="1:1" x14ac:dyDescent="0.3">
      <c r="A43438" t="s">
        <v>0</v>
      </c>
    </row>
    <row r="43439" spans="1:1" x14ac:dyDescent="0.3">
      <c r="A43439" t="s">
        <v>0</v>
      </c>
    </row>
    <row r="43440" spans="1:1" x14ac:dyDescent="0.3">
      <c r="A43440" t="s">
        <v>0</v>
      </c>
    </row>
    <row r="43441" spans="1:1" x14ac:dyDescent="0.3">
      <c r="A43441" t="s">
        <v>0</v>
      </c>
    </row>
    <row r="43442" spans="1:1" x14ac:dyDescent="0.3">
      <c r="A43442" t="s">
        <v>0</v>
      </c>
    </row>
    <row r="43443" spans="1:1" x14ac:dyDescent="0.3">
      <c r="A43443" t="s">
        <v>0</v>
      </c>
    </row>
    <row r="43444" spans="1:1" x14ac:dyDescent="0.3">
      <c r="A43444" t="s">
        <v>0</v>
      </c>
    </row>
    <row r="43445" spans="1:1" x14ac:dyDescent="0.3">
      <c r="A43445" t="s">
        <v>0</v>
      </c>
    </row>
    <row r="43446" spans="1:1" x14ac:dyDescent="0.3">
      <c r="A43446" t="s">
        <v>0</v>
      </c>
    </row>
    <row r="43447" spans="1:1" x14ac:dyDescent="0.3">
      <c r="A43447" t="s">
        <v>0</v>
      </c>
    </row>
    <row r="43448" spans="1:1" x14ac:dyDescent="0.3">
      <c r="A43448" t="s">
        <v>0</v>
      </c>
    </row>
    <row r="43449" spans="1:1" x14ac:dyDescent="0.3">
      <c r="A43449" t="s">
        <v>0</v>
      </c>
    </row>
    <row r="43450" spans="1:1" x14ac:dyDescent="0.3">
      <c r="A43450" t="s">
        <v>0</v>
      </c>
    </row>
    <row r="43451" spans="1:1" x14ac:dyDescent="0.3">
      <c r="A43451" t="s">
        <v>0</v>
      </c>
    </row>
    <row r="43452" spans="1:1" x14ac:dyDescent="0.3">
      <c r="A43452" t="s">
        <v>0</v>
      </c>
    </row>
    <row r="43453" spans="1:1" x14ac:dyDescent="0.3">
      <c r="A43453" t="s">
        <v>0</v>
      </c>
    </row>
    <row r="43454" spans="1:1" x14ac:dyDescent="0.3">
      <c r="A43454" t="s">
        <v>0</v>
      </c>
    </row>
    <row r="43455" spans="1:1" x14ac:dyDescent="0.3">
      <c r="A43455" t="s">
        <v>0</v>
      </c>
    </row>
    <row r="43456" spans="1:1" x14ac:dyDescent="0.3">
      <c r="A43456" t="s">
        <v>0</v>
      </c>
    </row>
    <row r="43457" spans="1:1" x14ac:dyDescent="0.3">
      <c r="A43457" t="s">
        <v>0</v>
      </c>
    </row>
    <row r="43458" spans="1:1" x14ac:dyDescent="0.3">
      <c r="A43458" t="s">
        <v>0</v>
      </c>
    </row>
    <row r="43459" spans="1:1" x14ac:dyDescent="0.3">
      <c r="A43459" t="s">
        <v>0</v>
      </c>
    </row>
    <row r="43460" spans="1:1" x14ac:dyDescent="0.3">
      <c r="A43460" t="s">
        <v>0</v>
      </c>
    </row>
    <row r="43461" spans="1:1" x14ac:dyDescent="0.3">
      <c r="A43461" t="s">
        <v>0</v>
      </c>
    </row>
    <row r="43462" spans="1:1" x14ac:dyDescent="0.3">
      <c r="A43462" t="s">
        <v>0</v>
      </c>
    </row>
    <row r="43463" spans="1:1" x14ac:dyDescent="0.3">
      <c r="A43463" t="s">
        <v>0</v>
      </c>
    </row>
    <row r="43464" spans="1:1" x14ac:dyDescent="0.3">
      <c r="A43464" t="s">
        <v>0</v>
      </c>
    </row>
    <row r="43465" spans="1:1" x14ac:dyDescent="0.3">
      <c r="A43465" t="s">
        <v>0</v>
      </c>
    </row>
    <row r="43466" spans="1:1" x14ac:dyDescent="0.3">
      <c r="A43466" t="s">
        <v>0</v>
      </c>
    </row>
    <row r="43467" spans="1:1" x14ac:dyDescent="0.3">
      <c r="A43467" t="s">
        <v>0</v>
      </c>
    </row>
    <row r="43468" spans="1:1" x14ac:dyDescent="0.3">
      <c r="A43468" t="s">
        <v>0</v>
      </c>
    </row>
    <row r="43469" spans="1:1" x14ac:dyDescent="0.3">
      <c r="A43469" t="s">
        <v>0</v>
      </c>
    </row>
    <row r="43470" spans="1:1" x14ac:dyDescent="0.3">
      <c r="A43470" t="s">
        <v>0</v>
      </c>
    </row>
    <row r="43471" spans="1:1" x14ac:dyDescent="0.3">
      <c r="A43471" t="s">
        <v>0</v>
      </c>
    </row>
    <row r="43472" spans="1:1" x14ac:dyDescent="0.3">
      <c r="A43472" t="s">
        <v>0</v>
      </c>
    </row>
    <row r="43473" spans="1:1" x14ac:dyDescent="0.3">
      <c r="A43473" t="s">
        <v>0</v>
      </c>
    </row>
    <row r="43474" spans="1:1" x14ac:dyDescent="0.3">
      <c r="A43474" t="s">
        <v>0</v>
      </c>
    </row>
    <row r="43475" spans="1:1" x14ac:dyDescent="0.3">
      <c r="A43475" t="s">
        <v>0</v>
      </c>
    </row>
    <row r="43476" spans="1:1" x14ac:dyDescent="0.3">
      <c r="A43476" t="s">
        <v>0</v>
      </c>
    </row>
    <row r="43477" spans="1:1" x14ac:dyDescent="0.3">
      <c r="A43477" t="s">
        <v>0</v>
      </c>
    </row>
    <row r="43478" spans="1:1" x14ac:dyDescent="0.3">
      <c r="A43478" t="s">
        <v>0</v>
      </c>
    </row>
    <row r="43479" spans="1:1" x14ac:dyDescent="0.3">
      <c r="A43479" t="s">
        <v>0</v>
      </c>
    </row>
    <row r="43480" spans="1:1" x14ac:dyDescent="0.3">
      <c r="A43480" t="s">
        <v>0</v>
      </c>
    </row>
    <row r="43481" spans="1:1" x14ac:dyDescent="0.3">
      <c r="A43481" t="s">
        <v>0</v>
      </c>
    </row>
    <row r="43482" spans="1:1" x14ac:dyDescent="0.3">
      <c r="A43482" t="s">
        <v>0</v>
      </c>
    </row>
    <row r="43483" spans="1:1" x14ac:dyDescent="0.3">
      <c r="A43483" t="s">
        <v>0</v>
      </c>
    </row>
    <row r="43484" spans="1:1" x14ac:dyDescent="0.3">
      <c r="A43484" t="s">
        <v>0</v>
      </c>
    </row>
    <row r="43485" spans="1:1" x14ac:dyDescent="0.3">
      <c r="A43485" t="s">
        <v>0</v>
      </c>
    </row>
    <row r="43486" spans="1:1" x14ac:dyDescent="0.3">
      <c r="A43486" t="s">
        <v>0</v>
      </c>
    </row>
    <row r="43487" spans="1:1" x14ac:dyDescent="0.3">
      <c r="A43487" t="s">
        <v>0</v>
      </c>
    </row>
    <row r="43488" spans="1:1" x14ac:dyDescent="0.3">
      <c r="A43488" t="s">
        <v>0</v>
      </c>
    </row>
    <row r="43489" spans="1:1" x14ac:dyDescent="0.3">
      <c r="A43489" t="s">
        <v>0</v>
      </c>
    </row>
    <row r="43490" spans="1:1" x14ac:dyDescent="0.3">
      <c r="A43490" t="s">
        <v>0</v>
      </c>
    </row>
    <row r="43491" spans="1:1" x14ac:dyDescent="0.3">
      <c r="A43491" t="s">
        <v>0</v>
      </c>
    </row>
    <row r="43492" spans="1:1" x14ac:dyDescent="0.3">
      <c r="A43492" t="s">
        <v>0</v>
      </c>
    </row>
    <row r="43493" spans="1:1" x14ac:dyDescent="0.3">
      <c r="A43493" t="s">
        <v>0</v>
      </c>
    </row>
    <row r="43494" spans="1:1" x14ac:dyDescent="0.3">
      <c r="A43494" t="s">
        <v>0</v>
      </c>
    </row>
    <row r="43495" spans="1:1" x14ac:dyDescent="0.3">
      <c r="A43495" t="s">
        <v>0</v>
      </c>
    </row>
    <row r="43496" spans="1:1" x14ac:dyDescent="0.3">
      <c r="A43496" t="s">
        <v>0</v>
      </c>
    </row>
    <row r="43497" spans="1:1" x14ac:dyDescent="0.3">
      <c r="A43497" t="s">
        <v>0</v>
      </c>
    </row>
    <row r="43498" spans="1:1" x14ac:dyDescent="0.3">
      <c r="A43498" t="s">
        <v>0</v>
      </c>
    </row>
    <row r="43499" spans="1:1" x14ac:dyDescent="0.3">
      <c r="A43499" t="s">
        <v>0</v>
      </c>
    </row>
    <row r="43500" spans="1:1" x14ac:dyDescent="0.3">
      <c r="A43500" t="s">
        <v>0</v>
      </c>
    </row>
    <row r="43501" spans="1:1" x14ac:dyDescent="0.3">
      <c r="A43501" t="s">
        <v>0</v>
      </c>
    </row>
    <row r="43502" spans="1:1" x14ac:dyDescent="0.3">
      <c r="A43502" t="s">
        <v>0</v>
      </c>
    </row>
    <row r="43503" spans="1:1" x14ac:dyDescent="0.3">
      <c r="A43503" t="s">
        <v>0</v>
      </c>
    </row>
    <row r="43504" spans="1:1" x14ac:dyDescent="0.3">
      <c r="A43504" t="s">
        <v>0</v>
      </c>
    </row>
    <row r="43505" spans="1:1" x14ac:dyDescent="0.3">
      <c r="A43505" t="s">
        <v>0</v>
      </c>
    </row>
    <row r="43506" spans="1:1" x14ac:dyDescent="0.3">
      <c r="A43506" t="s">
        <v>0</v>
      </c>
    </row>
    <row r="43507" spans="1:1" x14ac:dyDescent="0.3">
      <c r="A43507" t="s">
        <v>0</v>
      </c>
    </row>
    <row r="43508" spans="1:1" x14ac:dyDescent="0.3">
      <c r="A43508" t="s">
        <v>0</v>
      </c>
    </row>
    <row r="43509" spans="1:1" x14ac:dyDescent="0.3">
      <c r="A43509" t="s">
        <v>0</v>
      </c>
    </row>
    <row r="43510" spans="1:1" x14ac:dyDescent="0.3">
      <c r="A43510" t="s">
        <v>0</v>
      </c>
    </row>
    <row r="43511" spans="1:1" x14ac:dyDescent="0.3">
      <c r="A43511" t="s">
        <v>0</v>
      </c>
    </row>
    <row r="43512" spans="1:1" x14ac:dyDescent="0.3">
      <c r="A43512" t="s">
        <v>0</v>
      </c>
    </row>
    <row r="43513" spans="1:1" x14ac:dyDescent="0.3">
      <c r="A43513" t="s">
        <v>0</v>
      </c>
    </row>
    <row r="43514" spans="1:1" x14ac:dyDescent="0.3">
      <c r="A43514" t="s">
        <v>0</v>
      </c>
    </row>
    <row r="43515" spans="1:1" x14ac:dyDescent="0.3">
      <c r="A43515" t="s">
        <v>0</v>
      </c>
    </row>
    <row r="43516" spans="1:1" x14ac:dyDescent="0.3">
      <c r="A43516" t="s">
        <v>0</v>
      </c>
    </row>
    <row r="43517" spans="1:1" x14ac:dyDescent="0.3">
      <c r="A43517" t="s">
        <v>0</v>
      </c>
    </row>
    <row r="43518" spans="1:1" x14ac:dyDescent="0.3">
      <c r="A43518" t="s">
        <v>0</v>
      </c>
    </row>
    <row r="43519" spans="1:1" x14ac:dyDescent="0.3">
      <c r="A43519" t="s">
        <v>0</v>
      </c>
    </row>
    <row r="43520" spans="1:1" x14ac:dyDescent="0.3">
      <c r="A43520" t="s">
        <v>0</v>
      </c>
    </row>
    <row r="43521" spans="1:1" x14ac:dyDescent="0.3">
      <c r="A43521" t="s">
        <v>0</v>
      </c>
    </row>
    <row r="43522" spans="1:1" x14ac:dyDescent="0.3">
      <c r="A43522" t="s">
        <v>0</v>
      </c>
    </row>
    <row r="43523" spans="1:1" x14ac:dyDescent="0.3">
      <c r="A43523" t="s">
        <v>0</v>
      </c>
    </row>
    <row r="43524" spans="1:1" x14ac:dyDescent="0.3">
      <c r="A43524" t="s">
        <v>0</v>
      </c>
    </row>
    <row r="43525" spans="1:1" x14ac:dyDescent="0.3">
      <c r="A43525" t="s">
        <v>0</v>
      </c>
    </row>
    <row r="43526" spans="1:1" x14ac:dyDescent="0.3">
      <c r="A43526" t="s">
        <v>0</v>
      </c>
    </row>
    <row r="43527" spans="1:1" x14ac:dyDescent="0.3">
      <c r="A43527" t="s">
        <v>0</v>
      </c>
    </row>
    <row r="43528" spans="1:1" x14ac:dyDescent="0.3">
      <c r="A43528" t="s">
        <v>0</v>
      </c>
    </row>
    <row r="43529" spans="1:1" x14ac:dyDescent="0.3">
      <c r="A43529" t="s">
        <v>0</v>
      </c>
    </row>
    <row r="43530" spans="1:1" x14ac:dyDescent="0.3">
      <c r="A43530" t="s">
        <v>0</v>
      </c>
    </row>
    <row r="43531" spans="1:1" x14ac:dyDescent="0.3">
      <c r="A43531" t="s">
        <v>0</v>
      </c>
    </row>
    <row r="43532" spans="1:1" x14ac:dyDescent="0.3">
      <c r="A43532" t="s">
        <v>0</v>
      </c>
    </row>
    <row r="43533" spans="1:1" x14ac:dyDescent="0.3">
      <c r="A43533" t="s">
        <v>0</v>
      </c>
    </row>
    <row r="43534" spans="1:1" x14ac:dyDescent="0.3">
      <c r="A43534" t="s">
        <v>0</v>
      </c>
    </row>
    <row r="43535" spans="1:1" x14ac:dyDescent="0.3">
      <c r="A43535" t="s">
        <v>0</v>
      </c>
    </row>
    <row r="43536" spans="1:1" x14ac:dyDescent="0.3">
      <c r="A43536" t="s">
        <v>0</v>
      </c>
    </row>
    <row r="43537" spans="1:1" x14ac:dyDescent="0.3">
      <c r="A43537" t="s">
        <v>0</v>
      </c>
    </row>
    <row r="43538" spans="1:1" x14ac:dyDescent="0.3">
      <c r="A43538" t="s">
        <v>0</v>
      </c>
    </row>
    <row r="43539" spans="1:1" x14ac:dyDescent="0.3">
      <c r="A43539" t="s">
        <v>0</v>
      </c>
    </row>
    <row r="43540" spans="1:1" x14ac:dyDescent="0.3">
      <c r="A43540" t="s">
        <v>0</v>
      </c>
    </row>
    <row r="43541" spans="1:1" x14ac:dyDescent="0.3">
      <c r="A43541" t="s">
        <v>0</v>
      </c>
    </row>
    <row r="43542" spans="1:1" x14ac:dyDescent="0.3">
      <c r="A43542" t="s">
        <v>0</v>
      </c>
    </row>
    <row r="43543" spans="1:1" x14ac:dyDescent="0.3">
      <c r="A43543" t="s">
        <v>0</v>
      </c>
    </row>
    <row r="43544" spans="1:1" x14ac:dyDescent="0.3">
      <c r="A43544" t="s">
        <v>0</v>
      </c>
    </row>
    <row r="43545" spans="1:1" x14ac:dyDescent="0.3">
      <c r="A43545" t="s">
        <v>0</v>
      </c>
    </row>
    <row r="43546" spans="1:1" x14ac:dyDescent="0.3">
      <c r="A43546" t="s">
        <v>0</v>
      </c>
    </row>
    <row r="43547" spans="1:1" x14ac:dyDescent="0.3">
      <c r="A43547" t="s">
        <v>0</v>
      </c>
    </row>
    <row r="43548" spans="1:1" x14ac:dyDescent="0.3">
      <c r="A43548" t="s">
        <v>0</v>
      </c>
    </row>
    <row r="43549" spans="1:1" x14ac:dyDescent="0.3">
      <c r="A43549" t="s">
        <v>0</v>
      </c>
    </row>
    <row r="43550" spans="1:1" x14ac:dyDescent="0.3">
      <c r="A43550" t="s">
        <v>0</v>
      </c>
    </row>
    <row r="43551" spans="1:1" x14ac:dyDescent="0.3">
      <c r="A43551" t="s">
        <v>0</v>
      </c>
    </row>
    <row r="43552" spans="1:1" x14ac:dyDescent="0.3">
      <c r="A43552" t="s">
        <v>0</v>
      </c>
    </row>
    <row r="43553" spans="1:1" x14ac:dyDescent="0.3">
      <c r="A43553" t="s">
        <v>0</v>
      </c>
    </row>
    <row r="43554" spans="1:1" x14ac:dyDescent="0.3">
      <c r="A43554" t="s">
        <v>0</v>
      </c>
    </row>
    <row r="43555" spans="1:1" x14ac:dyDescent="0.3">
      <c r="A43555" t="s">
        <v>0</v>
      </c>
    </row>
    <row r="43556" spans="1:1" x14ac:dyDescent="0.3">
      <c r="A43556" t="s">
        <v>0</v>
      </c>
    </row>
    <row r="43557" spans="1:1" x14ac:dyDescent="0.3">
      <c r="A43557" t="s">
        <v>0</v>
      </c>
    </row>
    <row r="43558" spans="1:1" x14ac:dyDescent="0.3">
      <c r="A43558" t="s">
        <v>0</v>
      </c>
    </row>
    <row r="43559" spans="1:1" x14ac:dyDescent="0.3">
      <c r="A43559" t="s">
        <v>0</v>
      </c>
    </row>
    <row r="43560" spans="1:1" x14ac:dyDescent="0.3">
      <c r="A43560" t="s">
        <v>0</v>
      </c>
    </row>
    <row r="43561" spans="1:1" x14ac:dyDescent="0.3">
      <c r="A43561" t="s">
        <v>0</v>
      </c>
    </row>
    <row r="43562" spans="1:1" x14ac:dyDescent="0.3">
      <c r="A43562" t="s">
        <v>0</v>
      </c>
    </row>
    <row r="43563" spans="1:1" x14ac:dyDescent="0.3">
      <c r="A43563" t="s">
        <v>0</v>
      </c>
    </row>
    <row r="43564" spans="1:1" x14ac:dyDescent="0.3">
      <c r="A43564" t="s">
        <v>0</v>
      </c>
    </row>
    <row r="43565" spans="1:1" x14ac:dyDescent="0.3">
      <c r="A43565" t="s">
        <v>0</v>
      </c>
    </row>
    <row r="43566" spans="1:1" x14ac:dyDescent="0.3">
      <c r="A43566" t="s">
        <v>0</v>
      </c>
    </row>
    <row r="43567" spans="1:1" x14ac:dyDescent="0.3">
      <c r="A43567" t="s">
        <v>0</v>
      </c>
    </row>
    <row r="43568" spans="1:1" x14ac:dyDescent="0.3">
      <c r="A43568" t="s">
        <v>0</v>
      </c>
    </row>
    <row r="43569" spans="1:1" x14ac:dyDescent="0.3">
      <c r="A43569" t="s">
        <v>0</v>
      </c>
    </row>
    <row r="43570" spans="1:1" x14ac:dyDescent="0.3">
      <c r="A43570" t="s">
        <v>0</v>
      </c>
    </row>
    <row r="43571" spans="1:1" x14ac:dyDescent="0.3">
      <c r="A43571" t="s">
        <v>0</v>
      </c>
    </row>
    <row r="43572" spans="1:1" x14ac:dyDescent="0.3">
      <c r="A43572" t="s">
        <v>0</v>
      </c>
    </row>
    <row r="43573" spans="1:1" x14ac:dyDescent="0.3">
      <c r="A43573" t="s">
        <v>0</v>
      </c>
    </row>
    <row r="43574" spans="1:1" x14ac:dyDescent="0.3">
      <c r="A43574" t="s">
        <v>0</v>
      </c>
    </row>
    <row r="43575" spans="1:1" x14ac:dyDescent="0.3">
      <c r="A43575" t="s">
        <v>0</v>
      </c>
    </row>
    <row r="43576" spans="1:1" x14ac:dyDescent="0.3">
      <c r="A43576" t="s">
        <v>0</v>
      </c>
    </row>
    <row r="43577" spans="1:1" x14ac:dyDescent="0.3">
      <c r="A43577" t="s">
        <v>0</v>
      </c>
    </row>
    <row r="43578" spans="1:1" x14ac:dyDescent="0.3">
      <c r="A43578" t="s">
        <v>0</v>
      </c>
    </row>
    <row r="43579" spans="1:1" x14ac:dyDescent="0.3">
      <c r="A43579" t="s">
        <v>0</v>
      </c>
    </row>
    <row r="43580" spans="1:1" x14ac:dyDescent="0.3">
      <c r="A43580" t="s">
        <v>0</v>
      </c>
    </row>
    <row r="43581" spans="1:1" x14ac:dyDescent="0.3">
      <c r="A43581" t="s">
        <v>0</v>
      </c>
    </row>
    <row r="43582" spans="1:1" x14ac:dyDescent="0.3">
      <c r="A43582" t="s">
        <v>0</v>
      </c>
    </row>
    <row r="43583" spans="1:1" x14ac:dyDescent="0.3">
      <c r="A43583" t="s">
        <v>0</v>
      </c>
    </row>
    <row r="43584" spans="1:1" x14ac:dyDescent="0.3">
      <c r="A43584" t="s">
        <v>0</v>
      </c>
    </row>
    <row r="43585" spans="1:1" x14ac:dyDescent="0.3">
      <c r="A43585" t="s">
        <v>0</v>
      </c>
    </row>
    <row r="43586" spans="1:1" x14ac:dyDescent="0.3">
      <c r="A43586" t="s">
        <v>0</v>
      </c>
    </row>
    <row r="43587" spans="1:1" x14ac:dyDescent="0.3">
      <c r="A43587" t="s">
        <v>0</v>
      </c>
    </row>
    <row r="43588" spans="1:1" x14ac:dyDescent="0.3">
      <c r="A43588" t="s">
        <v>0</v>
      </c>
    </row>
    <row r="43589" spans="1:1" x14ac:dyDescent="0.3">
      <c r="A43589" t="s">
        <v>0</v>
      </c>
    </row>
    <row r="43590" spans="1:1" x14ac:dyDescent="0.3">
      <c r="A43590" t="s">
        <v>0</v>
      </c>
    </row>
    <row r="43591" spans="1:1" x14ac:dyDescent="0.3">
      <c r="A43591" t="s">
        <v>0</v>
      </c>
    </row>
    <row r="43592" spans="1:1" x14ac:dyDescent="0.3">
      <c r="A43592" t="s">
        <v>0</v>
      </c>
    </row>
    <row r="43593" spans="1:1" x14ac:dyDescent="0.3">
      <c r="A43593" t="s">
        <v>0</v>
      </c>
    </row>
    <row r="43594" spans="1:1" x14ac:dyDescent="0.3">
      <c r="A43594" t="s">
        <v>0</v>
      </c>
    </row>
    <row r="43595" spans="1:1" x14ac:dyDescent="0.3">
      <c r="A43595" t="s">
        <v>0</v>
      </c>
    </row>
    <row r="43596" spans="1:1" x14ac:dyDescent="0.3">
      <c r="A43596" t="s">
        <v>0</v>
      </c>
    </row>
    <row r="43597" spans="1:1" x14ac:dyDescent="0.3">
      <c r="A43597" t="s">
        <v>0</v>
      </c>
    </row>
    <row r="43598" spans="1:1" x14ac:dyDescent="0.3">
      <c r="A43598" t="s">
        <v>0</v>
      </c>
    </row>
    <row r="43599" spans="1:1" x14ac:dyDescent="0.3">
      <c r="A43599" t="s">
        <v>0</v>
      </c>
    </row>
    <row r="43600" spans="1:1" x14ac:dyDescent="0.3">
      <c r="A43600" t="s">
        <v>0</v>
      </c>
    </row>
    <row r="43601" spans="1:1" x14ac:dyDescent="0.3">
      <c r="A43601" t="s">
        <v>0</v>
      </c>
    </row>
    <row r="43602" spans="1:1" x14ac:dyDescent="0.3">
      <c r="A43602" t="s">
        <v>0</v>
      </c>
    </row>
    <row r="43603" spans="1:1" x14ac:dyDescent="0.3">
      <c r="A43603" t="s">
        <v>0</v>
      </c>
    </row>
    <row r="43604" spans="1:1" x14ac:dyDescent="0.3">
      <c r="A43604" t="s">
        <v>0</v>
      </c>
    </row>
    <row r="43605" spans="1:1" x14ac:dyDescent="0.3">
      <c r="A43605" t="s">
        <v>0</v>
      </c>
    </row>
    <row r="43606" spans="1:1" x14ac:dyDescent="0.3">
      <c r="A43606" t="s">
        <v>0</v>
      </c>
    </row>
    <row r="43607" spans="1:1" x14ac:dyDescent="0.3">
      <c r="A43607" t="s">
        <v>0</v>
      </c>
    </row>
    <row r="43608" spans="1:1" x14ac:dyDescent="0.3">
      <c r="A43608" t="s">
        <v>0</v>
      </c>
    </row>
    <row r="43609" spans="1:1" x14ac:dyDescent="0.3">
      <c r="A43609" t="s">
        <v>0</v>
      </c>
    </row>
    <row r="43610" spans="1:1" x14ac:dyDescent="0.3">
      <c r="A43610" t="s">
        <v>0</v>
      </c>
    </row>
    <row r="43611" spans="1:1" x14ac:dyDescent="0.3">
      <c r="A43611" t="s">
        <v>0</v>
      </c>
    </row>
    <row r="43612" spans="1:1" x14ac:dyDescent="0.3">
      <c r="A43612" t="s">
        <v>0</v>
      </c>
    </row>
    <row r="43613" spans="1:1" x14ac:dyDescent="0.3">
      <c r="A43613" t="s">
        <v>0</v>
      </c>
    </row>
    <row r="43614" spans="1:1" x14ac:dyDescent="0.3">
      <c r="A43614" t="s">
        <v>0</v>
      </c>
    </row>
    <row r="43615" spans="1:1" x14ac:dyDescent="0.3">
      <c r="A43615" t="s">
        <v>0</v>
      </c>
    </row>
    <row r="43616" spans="1:1" x14ac:dyDescent="0.3">
      <c r="A43616" t="s">
        <v>0</v>
      </c>
    </row>
    <row r="43617" spans="1:1" x14ac:dyDescent="0.3">
      <c r="A43617" t="s">
        <v>0</v>
      </c>
    </row>
    <row r="43618" spans="1:1" x14ac:dyDescent="0.3">
      <c r="A43618" t="s">
        <v>0</v>
      </c>
    </row>
    <row r="43619" spans="1:1" x14ac:dyDescent="0.3">
      <c r="A43619" t="s">
        <v>0</v>
      </c>
    </row>
    <row r="43620" spans="1:1" x14ac:dyDescent="0.3">
      <c r="A43620" t="s">
        <v>0</v>
      </c>
    </row>
    <row r="43621" spans="1:1" x14ac:dyDescent="0.3">
      <c r="A43621" t="s">
        <v>0</v>
      </c>
    </row>
    <row r="43622" spans="1:1" x14ac:dyDescent="0.3">
      <c r="A43622" t="s">
        <v>0</v>
      </c>
    </row>
    <row r="43623" spans="1:1" x14ac:dyDescent="0.3">
      <c r="A43623" t="s">
        <v>0</v>
      </c>
    </row>
    <row r="43624" spans="1:1" x14ac:dyDescent="0.3">
      <c r="A43624" t="s">
        <v>0</v>
      </c>
    </row>
    <row r="43625" spans="1:1" x14ac:dyDescent="0.3">
      <c r="A43625" t="s">
        <v>0</v>
      </c>
    </row>
    <row r="43626" spans="1:1" x14ac:dyDescent="0.3">
      <c r="A43626" t="s">
        <v>0</v>
      </c>
    </row>
    <row r="43627" spans="1:1" x14ac:dyDescent="0.3">
      <c r="A43627" t="s">
        <v>0</v>
      </c>
    </row>
    <row r="43628" spans="1:1" x14ac:dyDescent="0.3">
      <c r="A43628" t="s">
        <v>0</v>
      </c>
    </row>
    <row r="43629" spans="1:1" x14ac:dyDescent="0.3">
      <c r="A43629" t="s">
        <v>0</v>
      </c>
    </row>
    <row r="43630" spans="1:1" x14ac:dyDescent="0.3">
      <c r="A43630" t="s">
        <v>0</v>
      </c>
    </row>
    <row r="43631" spans="1:1" x14ac:dyDescent="0.3">
      <c r="A43631" t="s">
        <v>0</v>
      </c>
    </row>
    <row r="43632" spans="1:1" x14ac:dyDescent="0.3">
      <c r="A43632" t="s">
        <v>0</v>
      </c>
    </row>
    <row r="43633" spans="1:1" x14ac:dyDescent="0.3">
      <c r="A43633" t="s">
        <v>0</v>
      </c>
    </row>
    <row r="43634" spans="1:1" x14ac:dyDescent="0.3">
      <c r="A43634" t="s">
        <v>0</v>
      </c>
    </row>
    <row r="43635" spans="1:1" x14ac:dyDescent="0.3">
      <c r="A43635" t="s">
        <v>0</v>
      </c>
    </row>
    <row r="43636" spans="1:1" x14ac:dyDescent="0.3">
      <c r="A43636" t="s">
        <v>0</v>
      </c>
    </row>
    <row r="43637" spans="1:1" x14ac:dyDescent="0.3">
      <c r="A43637" t="s">
        <v>0</v>
      </c>
    </row>
    <row r="43638" spans="1:1" x14ac:dyDescent="0.3">
      <c r="A43638" t="s">
        <v>0</v>
      </c>
    </row>
    <row r="43639" spans="1:1" x14ac:dyDescent="0.3">
      <c r="A43639" t="s">
        <v>0</v>
      </c>
    </row>
    <row r="43640" spans="1:1" x14ac:dyDescent="0.3">
      <c r="A43640" t="s">
        <v>0</v>
      </c>
    </row>
    <row r="43641" spans="1:1" x14ac:dyDescent="0.3">
      <c r="A43641" t="s">
        <v>0</v>
      </c>
    </row>
    <row r="43642" spans="1:1" x14ac:dyDescent="0.3">
      <c r="A43642" t="s">
        <v>0</v>
      </c>
    </row>
    <row r="43643" spans="1:1" x14ac:dyDescent="0.3">
      <c r="A43643" t="s">
        <v>0</v>
      </c>
    </row>
    <row r="43644" spans="1:1" x14ac:dyDescent="0.3">
      <c r="A43644" t="s">
        <v>0</v>
      </c>
    </row>
    <row r="43645" spans="1:1" x14ac:dyDescent="0.3">
      <c r="A43645" t="s">
        <v>0</v>
      </c>
    </row>
    <row r="43646" spans="1:1" x14ac:dyDescent="0.3">
      <c r="A43646" t="s">
        <v>0</v>
      </c>
    </row>
    <row r="43647" spans="1:1" x14ac:dyDescent="0.3">
      <c r="A43647" t="s">
        <v>0</v>
      </c>
    </row>
    <row r="43648" spans="1:1" x14ac:dyDescent="0.3">
      <c r="A43648" t="s">
        <v>0</v>
      </c>
    </row>
    <row r="43649" spans="1:1" x14ac:dyDescent="0.3">
      <c r="A43649" t="s">
        <v>0</v>
      </c>
    </row>
    <row r="43650" spans="1:1" x14ac:dyDescent="0.3">
      <c r="A43650" t="s">
        <v>0</v>
      </c>
    </row>
    <row r="43651" spans="1:1" x14ac:dyDescent="0.3">
      <c r="A43651" t="s">
        <v>0</v>
      </c>
    </row>
    <row r="43652" spans="1:1" x14ac:dyDescent="0.3">
      <c r="A43652" t="s">
        <v>0</v>
      </c>
    </row>
    <row r="43653" spans="1:1" x14ac:dyDescent="0.3">
      <c r="A43653" t="s">
        <v>0</v>
      </c>
    </row>
    <row r="43654" spans="1:1" x14ac:dyDescent="0.3">
      <c r="A43654" t="s">
        <v>0</v>
      </c>
    </row>
    <row r="43655" spans="1:1" x14ac:dyDescent="0.3">
      <c r="A43655" t="s">
        <v>0</v>
      </c>
    </row>
    <row r="43656" spans="1:1" x14ac:dyDescent="0.3">
      <c r="A43656" t="s">
        <v>0</v>
      </c>
    </row>
    <row r="43657" spans="1:1" x14ac:dyDescent="0.3">
      <c r="A43657" t="s">
        <v>0</v>
      </c>
    </row>
    <row r="43658" spans="1:1" x14ac:dyDescent="0.3">
      <c r="A43658" t="s">
        <v>0</v>
      </c>
    </row>
    <row r="43659" spans="1:1" x14ac:dyDescent="0.3">
      <c r="A43659" t="s">
        <v>0</v>
      </c>
    </row>
    <row r="43660" spans="1:1" x14ac:dyDescent="0.3">
      <c r="A43660" t="s">
        <v>0</v>
      </c>
    </row>
    <row r="43661" spans="1:1" x14ac:dyDescent="0.3">
      <c r="A43661" t="s">
        <v>0</v>
      </c>
    </row>
    <row r="43662" spans="1:1" x14ac:dyDescent="0.3">
      <c r="A43662" t="s">
        <v>0</v>
      </c>
    </row>
    <row r="43663" spans="1:1" x14ac:dyDescent="0.3">
      <c r="A43663" t="s">
        <v>0</v>
      </c>
    </row>
    <row r="43664" spans="1:1" x14ac:dyDescent="0.3">
      <c r="A43664" t="s">
        <v>0</v>
      </c>
    </row>
    <row r="43665" spans="1:1" x14ac:dyDescent="0.3">
      <c r="A43665" t="s">
        <v>0</v>
      </c>
    </row>
    <row r="43666" spans="1:1" x14ac:dyDescent="0.3">
      <c r="A43666" t="s">
        <v>0</v>
      </c>
    </row>
    <row r="43667" spans="1:1" x14ac:dyDescent="0.3">
      <c r="A43667" t="s">
        <v>0</v>
      </c>
    </row>
    <row r="43668" spans="1:1" x14ac:dyDescent="0.3">
      <c r="A43668" t="s">
        <v>0</v>
      </c>
    </row>
    <row r="43669" spans="1:1" x14ac:dyDescent="0.3">
      <c r="A43669" t="s">
        <v>0</v>
      </c>
    </row>
    <row r="43670" spans="1:1" x14ac:dyDescent="0.3">
      <c r="A43670" t="s">
        <v>0</v>
      </c>
    </row>
    <row r="43671" spans="1:1" x14ac:dyDescent="0.3">
      <c r="A43671" t="s">
        <v>0</v>
      </c>
    </row>
    <row r="43672" spans="1:1" x14ac:dyDescent="0.3">
      <c r="A43672" t="s">
        <v>0</v>
      </c>
    </row>
    <row r="43673" spans="1:1" x14ac:dyDescent="0.3">
      <c r="A43673" t="s">
        <v>0</v>
      </c>
    </row>
    <row r="43674" spans="1:1" x14ac:dyDescent="0.3">
      <c r="A43674" t="s">
        <v>0</v>
      </c>
    </row>
    <row r="43675" spans="1:1" x14ac:dyDescent="0.3">
      <c r="A43675" t="s">
        <v>0</v>
      </c>
    </row>
    <row r="43676" spans="1:1" x14ac:dyDescent="0.3">
      <c r="A43676" t="s">
        <v>0</v>
      </c>
    </row>
    <row r="43677" spans="1:1" x14ac:dyDescent="0.3">
      <c r="A43677" t="s">
        <v>0</v>
      </c>
    </row>
    <row r="43678" spans="1:1" x14ac:dyDescent="0.3">
      <c r="A43678" t="s">
        <v>0</v>
      </c>
    </row>
    <row r="43679" spans="1:1" x14ac:dyDescent="0.3">
      <c r="A43679" t="s">
        <v>0</v>
      </c>
    </row>
    <row r="43680" spans="1:1" x14ac:dyDescent="0.3">
      <c r="A43680" t="s">
        <v>0</v>
      </c>
    </row>
    <row r="43681" spans="1:1" x14ac:dyDescent="0.3">
      <c r="A43681" t="s">
        <v>0</v>
      </c>
    </row>
    <row r="43682" spans="1:1" x14ac:dyDescent="0.3">
      <c r="A43682" t="s">
        <v>0</v>
      </c>
    </row>
    <row r="43683" spans="1:1" x14ac:dyDescent="0.3">
      <c r="A43683" t="s">
        <v>0</v>
      </c>
    </row>
    <row r="43684" spans="1:1" x14ac:dyDescent="0.3">
      <c r="A43684" t="s">
        <v>0</v>
      </c>
    </row>
    <row r="43685" spans="1:1" x14ac:dyDescent="0.3">
      <c r="A43685" t="s">
        <v>0</v>
      </c>
    </row>
    <row r="43686" spans="1:1" x14ac:dyDescent="0.3">
      <c r="A43686" t="s">
        <v>0</v>
      </c>
    </row>
    <row r="43687" spans="1:1" x14ac:dyDescent="0.3">
      <c r="A43687" t="s">
        <v>0</v>
      </c>
    </row>
    <row r="43688" spans="1:1" x14ac:dyDescent="0.3">
      <c r="A43688" t="s">
        <v>0</v>
      </c>
    </row>
    <row r="43689" spans="1:1" x14ac:dyDescent="0.3">
      <c r="A43689" t="s">
        <v>0</v>
      </c>
    </row>
    <row r="43690" spans="1:1" x14ac:dyDescent="0.3">
      <c r="A43690" t="s">
        <v>0</v>
      </c>
    </row>
    <row r="43691" spans="1:1" x14ac:dyDescent="0.3">
      <c r="A43691" t="s">
        <v>0</v>
      </c>
    </row>
    <row r="43692" spans="1:1" x14ac:dyDescent="0.3">
      <c r="A43692" t="s">
        <v>0</v>
      </c>
    </row>
    <row r="43693" spans="1:1" x14ac:dyDescent="0.3">
      <c r="A43693" t="s">
        <v>0</v>
      </c>
    </row>
    <row r="43694" spans="1:1" x14ac:dyDescent="0.3">
      <c r="A43694" t="s">
        <v>0</v>
      </c>
    </row>
    <row r="43695" spans="1:1" x14ac:dyDescent="0.3">
      <c r="A43695" t="s">
        <v>0</v>
      </c>
    </row>
    <row r="43696" spans="1:1" x14ac:dyDescent="0.3">
      <c r="A43696" t="s">
        <v>0</v>
      </c>
    </row>
    <row r="43697" spans="1:1" x14ac:dyDescent="0.3">
      <c r="A43697" t="s">
        <v>0</v>
      </c>
    </row>
    <row r="43698" spans="1:1" x14ac:dyDescent="0.3">
      <c r="A43698" t="s">
        <v>0</v>
      </c>
    </row>
    <row r="43699" spans="1:1" x14ac:dyDescent="0.3">
      <c r="A43699" t="s">
        <v>0</v>
      </c>
    </row>
    <row r="43700" spans="1:1" x14ac:dyDescent="0.3">
      <c r="A43700" t="s">
        <v>0</v>
      </c>
    </row>
    <row r="43701" spans="1:1" x14ac:dyDescent="0.3">
      <c r="A43701" t="s">
        <v>0</v>
      </c>
    </row>
    <row r="43702" spans="1:1" x14ac:dyDescent="0.3">
      <c r="A43702" t="s">
        <v>0</v>
      </c>
    </row>
    <row r="43703" spans="1:1" x14ac:dyDescent="0.3">
      <c r="A43703" t="s">
        <v>0</v>
      </c>
    </row>
    <row r="43704" spans="1:1" x14ac:dyDescent="0.3">
      <c r="A43704" t="s">
        <v>0</v>
      </c>
    </row>
    <row r="43705" spans="1:1" x14ac:dyDescent="0.3">
      <c r="A43705" t="s">
        <v>0</v>
      </c>
    </row>
    <row r="43706" spans="1:1" x14ac:dyDescent="0.3">
      <c r="A43706" t="s">
        <v>0</v>
      </c>
    </row>
    <row r="43707" spans="1:1" x14ac:dyDescent="0.3">
      <c r="A43707" t="s">
        <v>0</v>
      </c>
    </row>
    <row r="43708" spans="1:1" x14ac:dyDescent="0.3">
      <c r="A43708" t="s">
        <v>0</v>
      </c>
    </row>
    <row r="43709" spans="1:1" x14ac:dyDescent="0.3">
      <c r="A43709" t="s">
        <v>0</v>
      </c>
    </row>
    <row r="43710" spans="1:1" x14ac:dyDescent="0.3">
      <c r="A43710" t="s">
        <v>0</v>
      </c>
    </row>
    <row r="43711" spans="1:1" x14ac:dyDescent="0.3">
      <c r="A43711" t="s">
        <v>0</v>
      </c>
    </row>
    <row r="43712" spans="1:1" x14ac:dyDescent="0.3">
      <c r="A43712" t="s">
        <v>0</v>
      </c>
    </row>
    <row r="43713" spans="1:1" x14ac:dyDescent="0.3">
      <c r="A43713" t="s">
        <v>0</v>
      </c>
    </row>
    <row r="43714" spans="1:1" x14ac:dyDescent="0.3">
      <c r="A43714" t="s">
        <v>0</v>
      </c>
    </row>
    <row r="43715" spans="1:1" x14ac:dyDescent="0.3">
      <c r="A43715" t="s">
        <v>0</v>
      </c>
    </row>
    <row r="43716" spans="1:1" x14ac:dyDescent="0.3">
      <c r="A43716" t="s">
        <v>0</v>
      </c>
    </row>
    <row r="43717" spans="1:1" x14ac:dyDescent="0.3">
      <c r="A43717" t="s">
        <v>0</v>
      </c>
    </row>
    <row r="43718" spans="1:1" x14ac:dyDescent="0.3">
      <c r="A43718" t="s">
        <v>0</v>
      </c>
    </row>
    <row r="43719" spans="1:1" x14ac:dyDescent="0.3">
      <c r="A43719" t="s">
        <v>0</v>
      </c>
    </row>
    <row r="43720" spans="1:1" x14ac:dyDescent="0.3">
      <c r="A43720" t="s">
        <v>0</v>
      </c>
    </row>
    <row r="43721" spans="1:1" x14ac:dyDescent="0.3">
      <c r="A43721" t="s">
        <v>0</v>
      </c>
    </row>
    <row r="43722" spans="1:1" x14ac:dyDescent="0.3">
      <c r="A43722" t="s">
        <v>0</v>
      </c>
    </row>
    <row r="43723" spans="1:1" x14ac:dyDescent="0.3">
      <c r="A43723" t="s">
        <v>0</v>
      </c>
    </row>
    <row r="43724" spans="1:1" x14ac:dyDescent="0.3">
      <c r="A43724" t="s">
        <v>0</v>
      </c>
    </row>
    <row r="43725" spans="1:1" x14ac:dyDescent="0.3">
      <c r="A43725" t="s">
        <v>0</v>
      </c>
    </row>
    <row r="43726" spans="1:1" x14ac:dyDescent="0.3">
      <c r="A43726" t="s">
        <v>0</v>
      </c>
    </row>
    <row r="43727" spans="1:1" x14ac:dyDescent="0.3">
      <c r="A43727" t="s">
        <v>0</v>
      </c>
    </row>
    <row r="43728" spans="1:1" x14ac:dyDescent="0.3">
      <c r="A43728" t="s">
        <v>0</v>
      </c>
    </row>
    <row r="43729" spans="1:1" x14ac:dyDescent="0.3">
      <c r="A43729" t="s">
        <v>0</v>
      </c>
    </row>
    <row r="43730" spans="1:1" x14ac:dyDescent="0.3">
      <c r="A43730" t="s">
        <v>0</v>
      </c>
    </row>
    <row r="43731" spans="1:1" x14ac:dyDescent="0.3">
      <c r="A43731" t="s">
        <v>0</v>
      </c>
    </row>
    <row r="43732" spans="1:1" x14ac:dyDescent="0.3">
      <c r="A43732" t="s">
        <v>0</v>
      </c>
    </row>
    <row r="43733" spans="1:1" x14ac:dyDescent="0.3">
      <c r="A43733" t="s">
        <v>0</v>
      </c>
    </row>
    <row r="43734" spans="1:1" x14ac:dyDescent="0.3">
      <c r="A43734" t="s">
        <v>0</v>
      </c>
    </row>
    <row r="43735" spans="1:1" x14ac:dyDescent="0.3">
      <c r="A43735" t="s">
        <v>0</v>
      </c>
    </row>
    <row r="43736" spans="1:1" x14ac:dyDescent="0.3">
      <c r="A43736" t="s">
        <v>0</v>
      </c>
    </row>
    <row r="43737" spans="1:1" x14ac:dyDescent="0.3">
      <c r="A43737" t="s">
        <v>0</v>
      </c>
    </row>
    <row r="43738" spans="1:1" x14ac:dyDescent="0.3">
      <c r="A43738" t="s">
        <v>0</v>
      </c>
    </row>
    <row r="43739" spans="1:1" x14ac:dyDescent="0.3">
      <c r="A43739" t="s">
        <v>0</v>
      </c>
    </row>
    <row r="43740" spans="1:1" x14ac:dyDescent="0.3">
      <c r="A43740" t="s">
        <v>0</v>
      </c>
    </row>
    <row r="43741" spans="1:1" x14ac:dyDescent="0.3">
      <c r="A43741" t="s">
        <v>0</v>
      </c>
    </row>
    <row r="43742" spans="1:1" x14ac:dyDescent="0.3">
      <c r="A43742" t="s">
        <v>0</v>
      </c>
    </row>
    <row r="43743" spans="1:1" x14ac:dyDescent="0.3">
      <c r="A43743" t="s">
        <v>0</v>
      </c>
    </row>
    <row r="43744" spans="1:1" x14ac:dyDescent="0.3">
      <c r="A43744" t="s">
        <v>0</v>
      </c>
    </row>
    <row r="43745" spans="1:1" x14ac:dyDescent="0.3">
      <c r="A43745" t="s">
        <v>0</v>
      </c>
    </row>
    <row r="43746" spans="1:1" x14ac:dyDescent="0.3">
      <c r="A43746" t="s">
        <v>0</v>
      </c>
    </row>
    <row r="43747" spans="1:1" x14ac:dyDescent="0.3">
      <c r="A43747" t="s">
        <v>0</v>
      </c>
    </row>
    <row r="43748" spans="1:1" x14ac:dyDescent="0.3">
      <c r="A43748" t="s">
        <v>0</v>
      </c>
    </row>
    <row r="43749" spans="1:1" x14ac:dyDescent="0.3">
      <c r="A43749" t="s">
        <v>0</v>
      </c>
    </row>
    <row r="43750" spans="1:1" x14ac:dyDescent="0.3">
      <c r="A43750" t="s">
        <v>0</v>
      </c>
    </row>
    <row r="43751" spans="1:1" x14ac:dyDescent="0.3">
      <c r="A43751" t="s">
        <v>0</v>
      </c>
    </row>
    <row r="43752" spans="1:1" x14ac:dyDescent="0.3">
      <c r="A43752" t="s">
        <v>0</v>
      </c>
    </row>
    <row r="43753" spans="1:1" x14ac:dyDescent="0.3">
      <c r="A43753" t="s">
        <v>0</v>
      </c>
    </row>
    <row r="43754" spans="1:1" x14ac:dyDescent="0.3">
      <c r="A43754" t="s">
        <v>0</v>
      </c>
    </row>
    <row r="43755" spans="1:1" x14ac:dyDescent="0.3">
      <c r="A43755" t="s">
        <v>0</v>
      </c>
    </row>
    <row r="43756" spans="1:1" x14ac:dyDescent="0.3">
      <c r="A43756" t="s">
        <v>0</v>
      </c>
    </row>
    <row r="43757" spans="1:1" x14ac:dyDescent="0.3">
      <c r="A43757" t="s">
        <v>0</v>
      </c>
    </row>
    <row r="43758" spans="1:1" x14ac:dyDescent="0.3">
      <c r="A43758" t="s">
        <v>0</v>
      </c>
    </row>
    <row r="43759" spans="1:1" x14ac:dyDescent="0.3">
      <c r="A43759" t="s">
        <v>0</v>
      </c>
    </row>
    <row r="43760" spans="1:1" x14ac:dyDescent="0.3">
      <c r="A43760" t="s">
        <v>0</v>
      </c>
    </row>
    <row r="43761" spans="1:1" x14ac:dyDescent="0.3">
      <c r="A43761" t="s">
        <v>0</v>
      </c>
    </row>
    <row r="43762" spans="1:1" x14ac:dyDescent="0.3">
      <c r="A43762" t="s">
        <v>0</v>
      </c>
    </row>
    <row r="43763" spans="1:1" x14ac:dyDescent="0.3">
      <c r="A43763" t="s">
        <v>0</v>
      </c>
    </row>
    <row r="43764" spans="1:1" x14ac:dyDescent="0.3">
      <c r="A43764" t="s">
        <v>0</v>
      </c>
    </row>
    <row r="43765" spans="1:1" x14ac:dyDescent="0.3">
      <c r="A43765" t="s">
        <v>0</v>
      </c>
    </row>
    <row r="43766" spans="1:1" x14ac:dyDescent="0.3">
      <c r="A43766" t="s">
        <v>0</v>
      </c>
    </row>
    <row r="43767" spans="1:1" x14ac:dyDescent="0.3">
      <c r="A43767" t="s">
        <v>0</v>
      </c>
    </row>
    <row r="43768" spans="1:1" x14ac:dyDescent="0.3">
      <c r="A43768" t="s">
        <v>0</v>
      </c>
    </row>
    <row r="43769" spans="1:1" x14ac:dyDescent="0.3">
      <c r="A43769" t="s">
        <v>0</v>
      </c>
    </row>
    <row r="43770" spans="1:1" x14ac:dyDescent="0.3">
      <c r="A43770" t="s">
        <v>0</v>
      </c>
    </row>
    <row r="43771" spans="1:1" x14ac:dyDescent="0.3">
      <c r="A43771" t="s">
        <v>0</v>
      </c>
    </row>
    <row r="43772" spans="1:1" x14ac:dyDescent="0.3">
      <c r="A43772" t="s">
        <v>0</v>
      </c>
    </row>
    <row r="43773" spans="1:1" x14ac:dyDescent="0.3">
      <c r="A43773" t="s">
        <v>0</v>
      </c>
    </row>
    <row r="43774" spans="1:1" x14ac:dyDescent="0.3">
      <c r="A43774" t="s">
        <v>0</v>
      </c>
    </row>
    <row r="43775" spans="1:1" x14ac:dyDescent="0.3">
      <c r="A43775" t="s">
        <v>0</v>
      </c>
    </row>
    <row r="43776" spans="1:1" x14ac:dyDescent="0.3">
      <c r="A43776" t="s">
        <v>0</v>
      </c>
    </row>
    <row r="43777" spans="1:1" x14ac:dyDescent="0.3">
      <c r="A43777" t="s">
        <v>0</v>
      </c>
    </row>
    <row r="43778" spans="1:1" x14ac:dyDescent="0.3">
      <c r="A43778" t="s">
        <v>0</v>
      </c>
    </row>
    <row r="43779" spans="1:1" x14ac:dyDescent="0.3">
      <c r="A43779" t="s">
        <v>0</v>
      </c>
    </row>
    <row r="43780" spans="1:1" x14ac:dyDescent="0.3">
      <c r="A43780" t="s">
        <v>0</v>
      </c>
    </row>
    <row r="43781" spans="1:1" x14ac:dyDescent="0.3">
      <c r="A43781" t="s">
        <v>0</v>
      </c>
    </row>
    <row r="43782" spans="1:1" x14ac:dyDescent="0.3">
      <c r="A43782" t="s">
        <v>0</v>
      </c>
    </row>
    <row r="43783" spans="1:1" x14ac:dyDescent="0.3">
      <c r="A43783" t="s">
        <v>0</v>
      </c>
    </row>
    <row r="43784" spans="1:1" x14ac:dyDescent="0.3">
      <c r="A43784" t="s">
        <v>0</v>
      </c>
    </row>
    <row r="43785" spans="1:1" x14ac:dyDescent="0.3">
      <c r="A43785" t="s">
        <v>0</v>
      </c>
    </row>
    <row r="43786" spans="1:1" x14ac:dyDescent="0.3">
      <c r="A43786" t="s">
        <v>0</v>
      </c>
    </row>
    <row r="43787" spans="1:1" x14ac:dyDescent="0.3">
      <c r="A43787" t="s">
        <v>0</v>
      </c>
    </row>
    <row r="43788" spans="1:1" x14ac:dyDescent="0.3">
      <c r="A43788" t="s">
        <v>0</v>
      </c>
    </row>
    <row r="43789" spans="1:1" x14ac:dyDescent="0.3">
      <c r="A43789" t="s">
        <v>0</v>
      </c>
    </row>
    <row r="43790" spans="1:1" x14ac:dyDescent="0.3">
      <c r="A43790" t="s">
        <v>0</v>
      </c>
    </row>
    <row r="43791" spans="1:1" x14ac:dyDescent="0.3">
      <c r="A43791" t="s">
        <v>0</v>
      </c>
    </row>
    <row r="43792" spans="1:1" x14ac:dyDescent="0.3">
      <c r="A43792" t="s">
        <v>0</v>
      </c>
    </row>
    <row r="43793" spans="1:1" x14ac:dyDescent="0.3">
      <c r="A43793" t="s">
        <v>0</v>
      </c>
    </row>
    <row r="43794" spans="1:1" x14ac:dyDescent="0.3">
      <c r="A43794" t="s">
        <v>0</v>
      </c>
    </row>
    <row r="43795" spans="1:1" x14ac:dyDescent="0.3">
      <c r="A43795" t="s">
        <v>0</v>
      </c>
    </row>
    <row r="43796" spans="1:1" x14ac:dyDescent="0.3">
      <c r="A43796" t="s">
        <v>0</v>
      </c>
    </row>
    <row r="43797" spans="1:1" x14ac:dyDescent="0.3">
      <c r="A43797" t="s">
        <v>0</v>
      </c>
    </row>
    <row r="43798" spans="1:1" x14ac:dyDescent="0.3">
      <c r="A43798" t="s">
        <v>0</v>
      </c>
    </row>
    <row r="43799" spans="1:1" x14ac:dyDescent="0.3">
      <c r="A43799" t="s">
        <v>0</v>
      </c>
    </row>
    <row r="43800" spans="1:1" x14ac:dyDescent="0.3">
      <c r="A43800" t="s">
        <v>0</v>
      </c>
    </row>
    <row r="43801" spans="1:1" x14ac:dyDescent="0.3">
      <c r="A43801" t="s">
        <v>0</v>
      </c>
    </row>
    <row r="43802" spans="1:1" x14ac:dyDescent="0.3">
      <c r="A43802" t="s">
        <v>0</v>
      </c>
    </row>
    <row r="43803" spans="1:1" x14ac:dyDescent="0.3">
      <c r="A43803" t="s">
        <v>0</v>
      </c>
    </row>
    <row r="43804" spans="1:1" x14ac:dyDescent="0.3">
      <c r="A43804" t="s">
        <v>0</v>
      </c>
    </row>
    <row r="43805" spans="1:1" x14ac:dyDescent="0.3">
      <c r="A43805" t="s">
        <v>0</v>
      </c>
    </row>
    <row r="43806" spans="1:1" x14ac:dyDescent="0.3">
      <c r="A43806" t="s">
        <v>0</v>
      </c>
    </row>
    <row r="43807" spans="1:1" x14ac:dyDescent="0.3">
      <c r="A43807" t="s">
        <v>0</v>
      </c>
    </row>
    <row r="43808" spans="1:1" x14ac:dyDescent="0.3">
      <c r="A43808" t="s">
        <v>0</v>
      </c>
    </row>
    <row r="43809" spans="1:1" x14ac:dyDescent="0.3">
      <c r="A43809" t="s">
        <v>0</v>
      </c>
    </row>
    <row r="43810" spans="1:1" x14ac:dyDescent="0.3">
      <c r="A43810" t="s">
        <v>0</v>
      </c>
    </row>
    <row r="43811" spans="1:1" x14ac:dyDescent="0.3">
      <c r="A43811" t="s">
        <v>0</v>
      </c>
    </row>
    <row r="43812" spans="1:1" x14ac:dyDescent="0.3">
      <c r="A43812" t="s">
        <v>0</v>
      </c>
    </row>
    <row r="43813" spans="1:1" x14ac:dyDescent="0.3">
      <c r="A43813" t="s">
        <v>0</v>
      </c>
    </row>
    <row r="43814" spans="1:1" x14ac:dyDescent="0.3">
      <c r="A43814" t="s">
        <v>0</v>
      </c>
    </row>
    <row r="43815" spans="1:1" x14ac:dyDescent="0.3">
      <c r="A43815" t="s">
        <v>0</v>
      </c>
    </row>
    <row r="43816" spans="1:1" x14ac:dyDescent="0.3">
      <c r="A43816" t="s">
        <v>0</v>
      </c>
    </row>
    <row r="43817" spans="1:1" x14ac:dyDescent="0.3">
      <c r="A43817" t="s">
        <v>0</v>
      </c>
    </row>
    <row r="43818" spans="1:1" x14ac:dyDescent="0.3">
      <c r="A43818" t="s">
        <v>0</v>
      </c>
    </row>
    <row r="43819" spans="1:1" x14ac:dyDescent="0.3">
      <c r="A43819" t="s">
        <v>0</v>
      </c>
    </row>
    <row r="43820" spans="1:1" x14ac:dyDescent="0.3">
      <c r="A43820" t="s">
        <v>0</v>
      </c>
    </row>
    <row r="43821" spans="1:1" x14ac:dyDescent="0.3">
      <c r="A43821" t="s">
        <v>0</v>
      </c>
    </row>
    <row r="43822" spans="1:1" x14ac:dyDescent="0.3">
      <c r="A43822" t="s">
        <v>0</v>
      </c>
    </row>
    <row r="43823" spans="1:1" x14ac:dyDescent="0.3">
      <c r="A43823" t="s">
        <v>0</v>
      </c>
    </row>
    <row r="43824" spans="1:1" x14ac:dyDescent="0.3">
      <c r="A43824" t="s">
        <v>0</v>
      </c>
    </row>
    <row r="43825" spans="1:1" x14ac:dyDescent="0.3">
      <c r="A43825" t="s">
        <v>0</v>
      </c>
    </row>
    <row r="43826" spans="1:1" x14ac:dyDescent="0.3">
      <c r="A43826" t="s">
        <v>0</v>
      </c>
    </row>
    <row r="43827" spans="1:1" x14ac:dyDescent="0.3">
      <c r="A43827" t="s">
        <v>0</v>
      </c>
    </row>
    <row r="43828" spans="1:1" x14ac:dyDescent="0.3">
      <c r="A43828" t="s">
        <v>0</v>
      </c>
    </row>
    <row r="43829" spans="1:1" x14ac:dyDescent="0.3">
      <c r="A43829" t="s">
        <v>0</v>
      </c>
    </row>
    <row r="43830" spans="1:1" x14ac:dyDescent="0.3">
      <c r="A43830" t="s">
        <v>0</v>
      </c>
    </row>
    <row r="43831" spans="1:1" x14ac:dyDescent="0.3">
      <c r="A43831" t="s">
        <v>0</v>
      </c>
    </row>
    <row r="43832" spans="1:1" x14ac:dyDescent="0.3">
      <c r="A43832" t="s">
        <v>0</v>
      </c>
    </row>
    <row r="43833" spans="1:1" x14ac:dyDescent="0.3">
      <c r="A43833" t="s">
        <v>0</v>
      </c>
    </row>
    <row r="43834" spans="1:1" x14ac:dyDescent="0.3">
      <c r="A43834" t="s">
        <v>0</v>
      </c>
    </row>
    <row r="43835" spans="1:1" x14ac:dyDescent="0.3">
      <c r="A43835" t="s">
        <v>0</v>
      </c>
    </row>
    <row r="43836" spans="1:1" x14ac:dyDescent="0.3">
      <c r="A43836" t="s">
        <v>0</v>
      </c>
    </row>
    <row r="43837" spans="1:1" x14ac:dyDescent="0.3">
      <c r="A43837" t="s">
        <v>0</v>
      </c>
    </row>
    <row r="43838" spans="1:1" x14ac:dyDescent="0.3">
      <c r="A43838" t="s">
        <v>0</v>
      </c>
    </row>
    <row r="43839" spans="1:1" x14ac:dyDescent="0.3">
      <c r="A43839" t="s">
        <v>0</v>
      </c>
    </row>
    <row r="43840" spans="1:1" x14ac:dyDescent="0.3">
      <c r="A43840" t="s">
        <v>0</v>
      </c>
    </row>
    <row r="43841" spans="1:1" x14ac:dyDescent="0.3">
      <c r="A43841" t="s">
        <v>0</v>
      </c>
    </row>
    <row r="43842" spans="1:1" x14ac:dyDescent="0.3">
      <c r="A43842" t="s">
        <v>0</v>
      </c>
    </row>
    <row r="43843" spans="1:1" x14ac:dyDescent="0.3">
      <c r="A43843" t="s">
        <v>0</v>
      </c>
    </row>
    <row r="43844" spans="1:1" x14ac:dyDescent="0.3">
      <c r="A43844" t="s">
        <v>0</v>
      </c>
    </row>
    <row r="43845" spans="1:1" x14ac:dyDescent="0.3">
      <c r="A43845" t="s">
        <v>0</v>
      </c>
    </row>
    <row r="43846" spans="1:1" x14ac:dyDescent="0.3">
      <c r="A43846" t="s">
        <v>0</v>
      </c>
    </row>
    <row r="43847" spans="1:1" x14ac:dyDescent="0.3">
      <c r="A43847" t="s">
        <v>0</v>
      </c>
    </row>
    <row r="43848" spans="1:1" x14ac:dyDescent="0.3">
      <c r="A43848" t="s">
        <v>0</v>
      </c>
    </row>
    <row r="43849" spans="1:1" x14ac:dyDescent="0.3">
      <c r="A43849" t="s">
        <v>0</v>
      </c>
    </row>
    <row r="43850" spans="1:1" x14ac:dyDescent="0.3">
      <c r="A43850" t="s">
        <v>0</v>
      </c>
    </row>
    <row r="43851" spans="1:1" x14ac:dyDescent="0.3">
      <c r="A43851" t="s">
        <v>0</v>
      </c>
    </row>
    <row r="43852" spans="1:1" x14ac:dyDescent="0.3">
      <c r="A43852" t="s">
        <v>0</v>
      </c>
    </row>
    <row r="43853" spans="1:1" x14ac:dyDescent="0.3">
      <c r="A43853" t="s">
        <v>0</v>
      </c>
    </row>
    <row r="43854" spans="1:1" x14ac:dyDescent="0.3">
      <c r="A43854" t="s">
        <v>0</v>
      </c>
    </row>
    <row r="43855" spans="1:1" x14ac:dyDescent="0.3">
      <c r="A43855" t="s">
        <v>0</v>
      </c>
    </row>
    <row r="43856" spans="1:1" x14ac:dyDescent="0.3">
      <c r="A43856" t="s">
        <v>0</v>
      </c>
    </row>
    <row r="43857" spans="1:1" x14ac:dyDescent="0.3">
      <c r="A43857" t="s">
        <v>0</v>
      </c>
    </row>
    <row r="43858" spans="1:1" x14ac:dyDescent="0.3">
      <c r="A43858" t="s">
        <v>0</v>
      </c>
    </row>
    <row r="43859" spans="1:1" x14ac:dyDescent="0.3">
      <c r="A43859" t="s">
        <v>0</v>
      </c>
    </row>
    <row r="43860" spans="1:1" x14ac:dyDescent="0.3">
      <c r="A43860" t="s">
        <v>0</v>
      </c>
    </row>
    <row r="43861" spans="1:1" x14ac:dyDescent="0.3">
      <c r="A43861" t="s">
        <v>0</v>
      </c>
    </row>
    <row r="43862" spans="1:1" x14ac:dyDescent="0.3">
      <c r="A43862" t="s">
        <v>0</v>
      </c>
    </row>
    <row r="43863" spans="1:1" x14ac:dyDescent="0.3">
      <c r="A43863" t="s">
        <v>0</v>
      </c>
    </row>
    <row r="43864" spans="1:1" x14ac:dyDescent="0.3">
      <c r="A43864" t="s">
        <v>0</v>
      </c>
    </row>
    <row r="43865" spans="1:1" x14ac:dyDescent="0.3">
      <c r="A43865" t="s">
        <v>0</v>
      </c>
    </row>
    <row r="43866" spans="1:1" x14ac:dyDescent="0.3">
      <c r="A43866" t="s">
        <v>0</v>
      </c>
    </row>
    <row r="43867" spans="1:1" x14ac:dyDescent="0.3">
      <c r="A43867" t="s">
        <v>0</v>
      </c>
    </row>
    <row r="43868" spans="1:1" x14ac:dyDescent="0.3">
      <c r="A43868" t="s">
        <v>0</v>
      </c>
    </row>
    <row r="43869" spans="1:1" x14ac:dyDescent="0.3">
      <c r="A43869" t="s">
        <v>0</v>
      </c>
    </row>
    <row r="43870" spans="1:1" x14ac:dyDescent="0.3">
      <c r="A43870" t="s">
        <v>0</v>
      </c>
    </row>
    <row r="43871" spans="1:1" x14ac:dyDescent="0.3">
      <c r="A43871" t="s">
        <v>0</v>
      </c>
    </row>
    <row r="43872" spans="1:1" x14ac:dyDescent="0.3">
      <c r="A43872" t="s">
        <v>0</v>
      </c>
    </row>
    <row r="43873" spans="1:1" x14ac:dyDescent="0.3">
      <c r="A43873" t="s">
        <v>0</v>
      </c>
    </row>
    <row r="43874" spans="1:1" x14ac:dyDescent="0.3">
      <c r="A43874" t="s">
        <v>0</v>
      </c>
    </row>
    <row r="43875" spans="1:1" x14ac:dyDescent="0.3">
      <c r="A43875" t="s">
        <v>0</v>
      </c>
    </row>
    <row r="43876" spans="1:1" x14ac:dyDescent="0.3">
      <c r="A43876" t="s">
        <v>0</v>
      </c>
    </row>
    <row r="43877" spans="1:1" x14ac:dyDescent="0.3">
      <c r="A43877" t="s">
        <v>0</v>
      </c>
    </row>
    <row r="43878" spans="1:1" x14ac:dyDescent="0.3">
      <c r="A43878" t="s">
        <v>0</v>
      </c>
    </row>
    <row r="43879" spans="1:1" x14ac:dyDescent="0.3">
      <c r="A43879" t="s">
        <v>0</v>
      </c>
    </row>
    <row r="43880" spans="1:1" x14ac:dyDescent="0.3">
      <c r="A43880" t="s">
        <v>0</v>
      </c>
    </row>
    <row r="43881" spans="1:1" x14ac:dyDescent="0.3">
      <c r="A43881" t="s">
        <v>0</v>
      </c>
    </row>
    <row r="43882" spans="1:1" x14ac:dyDescent="0.3">
      <c r="A43882" t="s">
        <v>0</v>
      </c>
    </row>
    <row r="43883" spans="1:1" x14ac:dyDescent="0.3">
      <c r="A43883" t="s">
        <v>0</v>
      </c>
    </row>
    <row r="43884" spans="1:1" x14ac:dyDescent="0.3">
      <c r="A43884" t="s">
        <v>0</v>
      </c>
    </row>
    <row r="43885" spans="1:1" x14ac:dyDescent="0.3">
      <c r="A43885" t="s">
        <v>0</v>
      </c>
    </row>
    <row r="43886" spans="1:1" x14ac:dyDescent="0.3">
      <c r="A43886" t="s">
        <v>0</v>
      </c>
    </row>
    <row r="43887" spans="1:1" x14ac:dyDescent="0.3">
      <c r="A43887" t="s">
        <v>0</v>
      </c>
    </row>
    <row r="43888" spans="1:1" x14ac:dyDescent="0.3">
      <c r="A43888" t="s">
        <v>0</v>
      </c>
    </row>
    <row r="43889" spans="1:1" x14ac:dyDescent="0.3">
      <c r="A43889" t="s">
        <v>0</v>
      </c>
    </row>
    <row r="43890" spans="1:1" x14ac:dyDescent="0.3">
      <c r="A43890" t="s">
        <v>0</v>
      </c>
    </row>
    <row r="43891" spans="1:1" x14ac:dyDescent="0.3">
      <c r="A43891" t="s">
        <v>0</v>
      </c>
    </row>
    <row r="43892" spans="1:1" x14ac:dyDescent="0.3">
      <c r="A43892" t="s">
        <v>0</v>
      </c>
    </row>
    <row r="43893" spans="1:1" x14ac:dyDescent="0.3">
      <c r="A43893" t="s">
        <v>0</v>
      </c>
    </row>
    <row r="43894" spans="1:1" x14ac:dyDescent="0.3">
      <c r="A43894" t="s">
        <v>0</v>
      </c>
    </row>
    <row r="43895" spans="1:1" x14ac:dyDescent="0.3">
      <c r="A43895" t="s">
        <v>0</v>
      </c>
    </row>
    <row r="43896" spans="1:1" x14ac:dyDescent="0.3">
      <c r="A43896" t="s">
        <v>0</v>
      </c>
    </row>
    <row r="43897" spans="1:1" x14ac:dyDescent="0.3">
      <c r="A43897" t="s">
        <v>0</v>
      </c>
    </row>
    <row r="43898" spans="1:1" x14ac:dyDescent="0.3">
      <c r="A43898" t="s">
        <v>0</v>
      </c>
    </row>
    <row r="43899" spans="1:1" x14ac:dyDescent="0.3">
      <c r="A43899" t="s">
        <v>0</v>
      </c>
    </row>
    <row r="43900" spans="1:1" x14ac:dyDescent="0.3">
      <c r="A43900" t="s">
        <v>0</v>
      </c>
    </row>
    <row r="43901" spans="1:1" x14ac:dyDescent="0.3">
      <c r="A43901" t="s">
        <v>0</v>
      </c>
    </row>
    <row r="43902" spans="1:1" x14ac:dyDescent="0.3">
      <c r="A43902" t="s">
        <v>0</v>
      </c>
    </row>
    <row r="43903" spans="1:1" x14ac:dyDescent="0.3">
      <c r="A43903" t="s">
        <v>0</v>
      </c>
    </row>
    <row r="43904" spans="1:1" x14ac:dyDescent="0.3">
      <c r="A43904" t="s">
        <v>0</v>
      </c>
    </row>
    <row r="43905" spans="1:1" x14ac:dyDescent="0.3">
      <c r="A43905" t="s">
        <v>0</v>
      </c>
    </row>
    <row r="43906" spans="1:1" x14ac:dyDescent="0.3">
      <c r="A43906" t="s">
        <v>0</v>
      </c>
    </row>
    <row r="43907" spans="1:1" x14ac:dyDescent="0.3">
      <c r="A43907" t="s">
        <v>0</v>
      </c>
    </row>
    <row r="43908" spans="1:1" x14ac:dyDescent="0.3">
      <c r="A43908" t="s">
        <v>0</v>
      </c>
    </row>
    <row r="43909" spans="1:1" x14ac:dyDescent="0.3">
      <c r="A43909" t="s">
        <v>0</v>
      </c>
    </row>
    <row r="43910" spans="1:1" x14ac:dyDescent="0.3">
      <c r="A43910" t="s">
        <v>0</v>
      </c>
    </row>
    <row r="43911" spans="1:1" x14ac:dyDescent="0.3">
      <c r="A43911" t="s">
        <v>0</v>
      </c>
    </row>
    <row r="43912" spans="1:1" x14ac:dyDescent="0.3">
      <c r="A43912" t="s">
        <v>0</v>
      </c>
    </row>
    <row r="43913" spans="1:1" x14ac:dyDescent="0.3">
      <c r="A43913" t="s">
        <v>0</v>
      </c>
    </row>
    <row r="43914" spans="1:1" x14ac:dyDescent="0.3">
      <c r="A43914" t="s">
        <v>0</v>
      </c>
    </row>
    <row r="43915" spans="1:1" x14ac:dyDescent="0.3">
      <c r="A43915" t="s">
        <v>0</v>
      </c>
    </row>
    <row r="43916" spans="1:1" x14ac:dyDescent="0.3">
      <c r="A43916" t="s">
        <v>0</v>
      </c>
    </row>
    <row r="43917" spans="1:1" x14ac:dyDescent="0.3">
      <c r="A43917" t="s">
        <v>0</v>
      </c>
    </row>
    <row r="43918" spans="1:1" x14ac:dyDescent="0.3">
      <c r="A43918" t="s">
        <v>0</v>
      </c>
    </row>
    <row r="43919" spans="1:1" x14ac:dyDescent="0.3">
      <c r="A43919" t="s">
        <v>0</v>
      </c>
    </row>
    <row r="43920" spans="1:1" x14ac:dyDescent="0.3">
      <c r="A43920" t="s">
        <v>0</v>
      </c>
    </row>
    <row r="43921" spans="1:1" x14ac:dyDescent="0.3">
      <c r="A43921" t="s">
        <v>0</v>
      </c>
    </row>
    <row r="43922" spans="1:1" x14ac:dyDescent="0.3">
      <c r="A43922" t="s">
        <v>0</v>
      </c>
    </row>
    <row r="43923" spans="1:1" x14ac:dyDescent="0.3">
      <c r="A43923" t="s">
        <v>0</v>
      </c>
    </row>
    <row r="43924" spans="1:1" x14ac:dyDescent="0.3">
      <c r="A43924" t="s">
        <v>0</v>
      </c>
    </row>
    <row r="43925" spans="1:1" x14ac:dyDescent="0.3">
      <c r="A43925" t="s">
        <v>0</v>
      </c>
    </row>
    <row r="43926" spans="1:1" x14ac:dyDescent="0.3">
      <c r="A43926" t="s">
        <v>0</v>
      </c>
    </row>
    <row r="43927" spans="1:1" x14ac:dyDescent="0.3">
      <c r="A43927" t="s">
        <v>0</v>
      </c>
    </row>
    <row r="43928" spans="1:1" x14ac:dyDescent="0.3">
      <c r="A43928" t="s">
        <v>0</v>
      </c>
    </row>
    <row r="43929" spans="1:1" x14ac:dyDescent="0.3">
      <c r="A43929" t="s">
        <v>0</v>
      </c>
    </row>
    <row r="43930" spans="1:1" x14ac:dyDescent="0.3">
      <c r="A43930" t="s">
        <v>0</v>
      </c>
    </row>
    <row r="43931" spans="1:1" x14ac:dyDescent="0.3">
      <c r="A43931" t="s">
        <v>0</v>
      </c>
    </row>
    <row r="43932" spans="1:1" x14ac:dyDescent="0.3">
      <c r="A43932" t="s">
        <v>0</v>
      </c>
    </row>
    <row r="43933" spans="1:1" x14ac:dyDescent="0.3">
      <c r="A43933" t="s">
        <v>0</v>
      </c>
    </row>
    <row r="43934" spans="1:1" x14ac:dyDescent="0.3">
      <c r="A43934" t="s">
        <v>0</v>
      </c>
    </row>
    <row r="43935" spans="1:1" x14ac:dyDescent="0.3">
      <c r="A43935" t="s">
        <v>0</v>
      </c>
    </row>
    <row r="43936" spans="1:1" x14ac:dyDescent="0.3">
      <c r="A43936" t="s">
        <v>0</v>
      </c>
    </row>
    <row r="43937" spans="1:1" x14ac:dyDescent="0.3">
      <c r="A43937" t="s">
        <v>0</v>
      </c>
    </row>
    <row r="43938" spans="1:1" x14ac:dyDescent="0.3">
      <c r="A43938" t="s">
        <v>0</v>
      </c>
    </row>
    <row r="43939" spans="1:1" x14ac:dyDescent="0.3">
      <c r="A43939" t="s">
        <v>0</v>
      </c>
    </row>
    <row r="43940" spans="1:1" x14ac:dyDescent="0.3">
      <c r="A43940" t="s">
        <v>0</v>
      </c>
    </row>
    <row r="43941" spans="1:1" x14ac:dyDescent="0.3">
      <c r="A43941" t="s">
        <v>0</v>
      </c>
    </row>
    <row r="43942" spans="1:1" x14ac:dyDescent="0.3">
      <c r="A43942" t="s">
        <v>0</v>
      </c>
    </row>
    <row r="43943" spans="1:1" x14ac:dyDescent="0.3">
      <c r="A43943" t="s">
        <v>0</v>
      </c>
    </row>
    <row r="43944" spans="1:1" x14ac:dyDescent="0.3">
      <c r="A43944" t="s">
        <v>0</v>
      </c>
    </row>
    <row r="43945" spans="1:1" x14ac:dyDescent="0.3">
      <c r="A43945" t="s">
        <v>0</v>
      </c>
    </row>
    <row r="43946" spans="1:1" x14ac:dyDescent="0.3">
      <c r="A43946" t="s">
        <v>0</v>
      </c>
    </row>
    <row r="43947" spans="1:1" x14ac:dyDescent="0.3">
      <c r="A43947" t="s">
        <v>0</v>
      </c>
    </row>
    <row r="43948" spans="1:1" x14ac:dyDescent="0.3">
      <c r="A43948" t="s">
        <v>0</v>
      </c>
    </row>
    <row r="43949" spans="1:1" x14ac:dyDescent="0.3">
      <c r="A43949" t="s">
        <v>0</v>
      </c>
    </row>
    <row r="43950" spans="1:1" x14ac:dyDescent="0.3">
      <c r="A43950" t="s">
        <v>0</v>
      </c>
    </row>
    <row r="43951" spans="1:1" x14ac:dyDescent="0.3">
      <c r="A43951" t="s">
        <v>0</v>
      </c>
    </row>
    <row r="43952" spans="1:1" x14ac:dyDescent="0.3">
      <c r="A43952" t="s">
        <v>0</v>
      </c>
    </row>
    <row r="43953" spans="1:1" x14ac:dyDescent="0.3">
      <c r="A43953" t="s">
        <v>0</v>
      </c>
    </row>
    <row r="43954" spans="1:1" x14ac:dyDescent="0.3">
      <c r="A43954" t="s">
        <v>0</v>
      </c>
    </row>
    <row r="43955" spans="1:1" x14ac:dyDescent="0.3">
      <c r="A43955" t="s">
        <v>0</v>
      </c>
    </row>
    <row r="43956" spans="1:1" x14ac:dyDescent="0.3">
      <c r="A43956" t="s">
        <v>0</v>
      </c>
    </row>
    <row r="43957" spans="1:1" x14ac:dyDescent="0.3">
      <c r="A43957" t="s">
        <v>0</v>
      </c>
    </row>
    <row r="43958" spans="1:1" x14ac:dyDescent="0.3">
      <c r="A43958" t="s">
        <v>0</v>
      </c>
    </row>
    <row r="43959" spans="1:1" x14ac:dyDescent="0.3">
      <c r="A43959" t="s">
        <v>0</v>
      </c>
    </row>
    <row r="43960" spans="1:1" x14ac:dyDescent="0.3">
      <c r="A43960" t="s">
        <v>0</v>
      </c>
    </row>
    <row r="43961" spans="1:1" x14ac:dyDescent="0.3">
      <c r="A43961" t="s">
        <v>0</v>
      </c>
    </row>
    <row r="43962" spans="1:1" x14ac:dyDescent="0.3">
      <c r="A43962" t="s">
        <v>0</v>
      </c>
    </row>
    <row r="43963" spans="1:1" x14ac:dyDescent="0.3">
      <c r="A43963" t="s">
        <v>0</v>
      </c>
    </row>
    <row r="43964" spans="1:1" x14ac:dyDescent="0.3">
      <c r="A43964" t="s">
        <v>0</v>
      </c>
    </row>
    <row r="43965" spans="1:1" x14ac:dyDescent="0.3">
      <c r="A43965" t="s">
        <v>0</v>
      </c>
    </row>
    <row r="43966" spans="1:1" x14ac:dyDescent="0.3">
      <c r="A43966" t="s">
        <v>0</v>
      </c>
    </row>
    <row r="43967" spans="1:1" x14ac:dyDescent="0.3">
      <c r="A43967" t="s">
        <v>0</v>
      </c>
    </row>
    <row r="43968" spans="1:1" x14ac:dyDescent="0.3">
      <c r="A43968" t="s">
        <v>0</v>
      </c>
    </row>
    <row r="43969" spans="1:1" x14ac:dyDescent="0.3">
      <c r="A43969" t="s">
        <v>0</v>
      </c>
    </row>
    <row r="43970" spans="1:1" x14ac:dyDescent="0.3">
      <c r="A43970" t="s">
        <v>0</v>
      </c>
    </row>
    <row r="43971" spans="1:1" x14ac:dyDescent="0.3">
      <c r="A43971" t="s">
        <v>0</v>
      </c>
    </row>
    <row r="43972" spans="1:1" x14ac:dyDescent="0.3">
      <c r="A43972" t="s">
        <v>0</v>
      </c>
    </row>
    <row r="43973" spans="1:1" x14ac:dyDescent="0.3">
      <c r="A43973" t="s">
        <v>0</v>
      </c>
    </row>
    <row r="43974" spans="1:1" x14ac:dyDescent="0.3">
      <c r="A43974" t="s">
        <v>0</v>
      </c>
    </row>
    <row r="43975" spans="1:1" x14ac:dyDescent="0.3">
      <c r="A43975" t="s">
        <v>0</v>
      </c>
    </row>
    <row r="43976" spans="1:1" x14ac:dyDescent="0.3">
      <c r="A43976" t="s">
        <v>0</v>
      </c>
    </row>
    <row r="43977" spans="1:1" x14ac:dyDescent="0.3">
      <c r="A43977" t="s">
        <v>0</v>
      </c>
    </row>
    <row r="43978" spans="1:1" x14ac:dyDescent="0.3">
      <c r="A43978" t="s">
        <v>0</v>
      </c>
    </row>
    <row r="43979" spans="1:1" x14ac:dyDescent="0.3">
      <c r="A43979" t="s">
        <v>0</v>
      </c>
    </row>
    <row r="43980" spans="1:1" x14ac:dyDescent="0.3">
      <c r="A43980" t="s">
        <v>0</v>
      </c>
    </row>
    <row r="43981" spans="1:1" x14ac:dyDescent="0.3">
      <c r="A43981" t="s">
        <v>0</v>
      </c>
    </row>
    <row r="43982" spans="1:1" x14ac:dyDescent="0.3">
      <c r="A43982" t="s">
        <v>0</v>
      </c>
    </row>
    <row r="43983" spans="1:1" x14ac:dyDescent="0.3">
      <c r="A43983" t="s">
        <v>0</v>
      </c>
    </row>
    <row r="43984" spans="1:1" x14ac:dyDescent="0.3">
      <c r="A43984" t="s">
        <v>0</v>
      </c>
    </row>
    <row r="43985" spans="1:1" x14ac:dyDescent="0.3">
      <c r="A43985" t="s">
        <v>0</v>
      </c>
    </row>
    <row r="43986" spans="1:1" x14ac:dyDescent="0.3">
      <c r="A43986" t="s">
        <v>0</v>
      </c>
    </row>
    <row r="43987" spans="1:1" x14ac:dyDescent="0.3">
      <c r="A43987" t="s">
        <v>0</v>
      </c>
    </row>
    <row r="43988" spans="1:1" x14ac:dyDescent="0.3">
      <c r="A43988" t="s">
        <v>0</v>
      </c>
    </row>
    <row r="43989" spans="1:1" x14ac:dyDescent="0.3">
      <c r="A43989" t="s">
        <v>0</v>
      </c>
    </row>
    <row r="43990" spans="1:1" x14ac:dyDescent="0.3">
      <c r="A43990" t="s">
        <v>0</v>
      </c>
    </row>
    <row r="43991" spans="1:1" x14ac:dyDescent="0.3">
      <c r="A43991" t="s">
        <v>0</v>
      </c>
    </row>
    <row r="43992" spans="1:1" x14ac:dyDescent="0.3">
      <c r="A43992" t="s">
        <v>0</v>
      </c>
    </row>
    <row r="43993" spans="1:1" x14ac:dyDescent="0.3">
      <c r="A43993" t="s">
        <v>0</v>
      </c>
    </row>
    <row r="43994" spans="1:1" x14ac:dyDescent="0.3">
      <c r="A43994" t="s">
        <v>0</v>
      </c>
    </row>
    <row r="43995" spans="1:1" x14ac:dyDescent="0.3">
      <c r="A43995" t="s">
        <v>0</v>
      </c>
    </row>
    <row r="43996" spans="1:1" x14ac:dyDescent="0.3">
      <c r="A43996" t="s">
        <v>0</v>
      </c>
    </row>
    <row r="43997" spans="1:1" x14ac:dyDescent="0.3">
      <c r="A43997" t="s">
        <v>0</v>
      </c>
    </row>
    <row r="43998" spans="1:1" x14ac:dyDescent="0.3">
      <c r="A43998" t="s">
        <v>0</v>
      </c>
    </row>
    <row r="43999" spans="1:1" x14ac:dyDescent="0.3">
      <c r="A43999" t="s">
        <v>0</v>
      </c>
    </row>
    <row r="44000" spans="1:1" x14ac:dyDescent="0.3">
      <c r="A44000" t="s">
        <v>0</v>
      </c>
    </row>
    <row r="44001" spans="1:1" x14ac:dyDescent="0.3">
      <c r="A44001" t="s">
        <v>0</v>
      </c>
    </row>
    <row r="44002" spans="1:1" x14ac:dyDescent="0.3">
      <c r="A44002" t="s">
        <v>0</v>
      </c>
    </row>
    <row r="44003" spans="1:1" x14ac:dyDescent="0.3">
      <c r="A44003" t="s">
        <v>0</v>
      </c>
    </row>
    <row r="44004" spans="1:1" x14ac:dyDescent="0.3">
      <c r="A44004" t="s">
        <v>0</v>
      </c>
    </row>
    <row r="44005" spans="1:1" x14ac:dyDescent="0.3">
      <c r="A44005" t="s">
        <v>0</v>
      </c>
    </row>
    <row r="44006" spans="1:1" x14ac:dyDescent="0.3">
      <c r="A44006" t="s">
        <v>0</v>
      </c>
    </row>
    <row r="44007" spans="1:1" x14ac:dyDescent="0.3">
      <c r="A44007" t="s">
        <v>0</v>
      </c>
    </row>
    <row r="44008" spans="1:1" x14ac:dyDescent="0.3">
      <c r="A44008" t="s">
        <v>0</v>
      </c>
    </row>
    <row r="44009" spans="1:1" x14ac:dyDescent="0.3">
      <c r="A44009" t="s">
        <v>0</v>
      </c>
    </row>
    <row r="44010" spans="1:1" x14ac:dyDescent="0.3">
      <c r="A44010" t="s">
        <v>0</v>
      </c>
    </row>
    <row r="44011" spans="1:1" x14ac:dyDescent="0.3">
      <c r="A44011" t="s">
        <v>0</v>
      </c>
    </row>
    <row r="44012" spans="1:1" x14ac:dyDescent="0.3">
      <c r="A44012" t="s">
        <v>0</v>
      </c>
    </row>
    <row r="44013" spans="1:1" x14ac:dyDescent="0.3">
      <c r="A44013" t="s">
        <v>0</v>
      </c>
    </row>
    <row r="44014" spans="1:1" x14ac:dyDescent="0.3">
      <c r="A44014" t="s">
        <v>0</v>
      </c>
    </row>
    <row r="44015" spans="1:1" x14ac:dyDescent="0.3">
      <c r="A44015" t="s">
        <v>0</v>
      </c>
    </row>
    <row r="44016" spans="1:1" x14ac:dyDescent="0.3">
      <c r="A44016" t="s">
        <v>0</v>
      </c>
    </row>
    <row r="44017" spans="1:1" x14ac:dyDescent="0.3">
      <c r="A44017" t="s">
        <v>0</v>
      </c>
    </row>
    <row r="44018" spans="1:1" x14ac:dyDescent="0.3">
      <c r="A44018" t="s">
        <v>0</v>
      </c>
    </row>
    <row r="44019" spans="1:1" x14ac:dyDescent="0.3">
      <c r="A44019" t="s">
        <v>0</v>
      </c>
    </row>
    <row r="44020" spans="1:1" x14ac:dyDescent="0.3">
      <c r="A44020" t="s">
        <v>0</v>
      </c>
    </row>
    <row r="44021" spans="1:1" x14ac:dyDescent="0.3">
      <c r="A44021" t="s">
        <v>0</v>
      </c>
    </row>
    <row r="44022" spans="1:1" x14ac:dyDescent="0.3">
      <c r="A44022" t="s">
        <v>0</v>
      </c>
    </row>
    <row r="44023" spans="1:1" x14ac:dyDescent="0.3">
      <c r="A44023" t="s">
        <v>0</v>
      </c>
    </row>
    <row r="44024" spans="1:1" x14ac:dyDescent="0.3">
      <c r="A44024" t="s">
        <v>0</v>
      </c>
    </row>
    <row r="44025" spans="1:1" x14ac:dyDescent="0.3">
      <c r="A44025" t="s">
        <v>0</v>
      </c>
    </row>
    <row r="44026" spans="1:1" x14ac:dyDescent="0.3">
      <c r="A44026" t="s">
        <v>0</v>
      </c>
    </row>
    <row r="44027" spans="1:1" x14ac:dyDescent="0.3">
      <c r="A44027" t="s">
        <v>0</v>
      </c>
    </row>
    <row r="44028" spans="1:1" x14ac:dyDescent="0.3">
      <c r="A44028" t="s">
        <v>0</v>
      </c>
    </row>
    <row r="44029" spans="1:1" x14ac:dyDescent="0.3">
      <c r="A44029" t="s">
        <v>0</v>
      </c>
    </row>
    <row r="44030" spans="1:1" x14ac:dyDescent="0.3">
      <c r="A44030" t="s">
        <v>0</v>
      </c>
    </row>
    <row r="44031" spans="1:1" x14ac:dyDescent="0.3">
      <c r="A44031" t="s">
        <v>0</v>
      </c>
    </row>
    <row r="44032" spans="1:1" x14ac:dyDescent="0.3">
      <c r="A44032" t="s">
        <v>0</v>
      </c>
    </row>
    <row r="44033" spans="1:1" x14ac:dyDescent="0.3">
      <c r="A44033" t="s">
        <v>0</v>
      </c>
    </row>
    <row r="44034" spans="1:1" x14ac:dyDescent="0.3">
      <c r="A44034" t="s">
        <v>0</v>
      </c>
    </row>
    <row r="44035" spans="1:1" x14ac:dyDescent="0.3">
      <c r="A44035" t="s">
        <v>0</v>
      </c>
    </row>
    <row r="44036" spans="1:1" x14ac:dyDescent="0.3">
      <c r="A44036" t="s">
        <v>0</v>
      </c>
    </row>
    <row r="44037" spans="1:1" x14ac:dyDescent="0.3">
      <c r="A44037" t="s">
        <v>0</v>
      </c>
    </row>
    <row r="44038" spans="1:1" x14ac:dyDescent="0.3">
      <c r="A44038" t="s">
        <v>0</v>
      </c>
    </row>
    <row r="44039" spans="1:1" x14ac:dyDescent="0.3">
      <c r="A44039" t="s">
        <v>0</v>
      </c>
    </row>
    <row r="44040" spans="1:1" x14ac:dyDescent="0.3">
      <c r="A44040" t="s">
        <v>0</v>
      </c>
    </row>
    <row r="44041" spans="1:1" x14ac:dyDescent="0.3">
      <c r="A44041" t="s">
        <v>0</v>
      </c>
    </row>
    <row r="44042" spans="1:1" x14ac:dyDescent="0.3">
      <c r="A44042" t="s">
        <v>0</v>
      </c>
    </row>
    <row r="44043" spans="1:1" x14ac:dyDescent="0.3">
      <c r="A44043" t="s">
        <v>0</v>
      </c>
    </row>
    <row r="44044" spans="1:1" x14ac:dyDescent="0.3">
      <c r="A44044" t="s">
        <v>0</v>
      </c>
    </row>
    <row r="44045" spans="1:1" x14ac:dyDescent="0.3">
      <c r="A44045" t="s">
        <v>0</v>
      </c>
    </row>
    <row r="44046" spans="1:1" x14ac:dyDescent="0.3">
      <c r="A44046" t="s">
        <v>0</v>
      </c>
    </row>
    <row r="44047" spans="1:1" x14ac:dyDescent="0.3">
      <c r="A44047" t="s">
        <v>0</v>
      </c>
    </row>
    <row r="44048" spans="1:1" x14ac:dyDescent="0.3">
      <c r="A44048" t="s">
        <v>0</v>
      </c>
    </row>
    <row r="44049" spans="1:1" x14ac:dyDescent="0.3">
      <c r="A44049" t="s">
        <v>0</v>
      </c>
    </row>
    <row r="44050" spans="1:1" x14ac:dyDescent="0.3">
      <c r="A44050" t="s">
        <v>0</v>
      </c>
    </row>
    <row r="44051" spans="1:1" x14ac:dyDescent="0.3">
      <c r="A44051" t="s">
        <v>0</v>
      </c>
    </row>
    <row r="44052" spans="1:1" x14ac:dyDescent="0.3">
      <c r="A44052" t="s">
        <v>0</v>
      </c>
    </row>
    <row r="44053" spans="1:1" x14ac:dyDescent="0.3">
      <c r="A44053" t="s">
        <v>0</v>
      </c>
    </row>
    <row r="44054" spans="1:1" x14ac:dyDescent="0.3">
      <c r="A44054" t="s">
        <v>0</v>
      </c>
    </row>
    <row r="44055" spans="1:1" x14ac:dyDescent="0.3">
      <c r="A44055" t="s">
        <v>0</v>
      </c>
    </row>
    <row r="44056" spans="1:1" x14ac:dyDescent="0.3">
      <c r="A44056" t="s">
        <v>0</v>
      </c>
    </row>
    <row r="44057" spans="1:1" x14ac:dyDescent="0.3">
      <c r="A44057" t="s">
        <v>0</v>
      </c>
    </row>
    <row r="44058" spans="1:1" x14ac:dyDescent="0.3">
      <c r="A44058" t="s">
        <v>0</v>
      </c>
    </row>
    <row r="44059" spans="1:1" x14ac:dyDescent="0.3">
      <c r="A44059" t="s">
        <v>0</v>
      </c>
    </row>
    <row r="44060" spans="1:1" x14ac:dyDescent="0.3">
      <c r="A44060" t="s">
        <v>0</v>
      </c>
    </row>
    <row r="44061" spans="1:1" x14ac:dyDescent="0.3">
      <c r="A44061" t="s">
        <v>0</v>
      </c>
    </row>
    <row r="44062" spans="1:1" x14ac:dyDescent="0.3">
      <c r="A44062" t="s">
        <v>0</v>
      </c>
    </row>
    <row r="44063" spans="1:1" x14ac:dyDescent="0.3">
      <c r="A44063" t="s">
        <v>0</v>
      </c>
    </row>
    <row r="44064" spans="1:1" x14ac:dyDescent="0.3">
      <c r="A44064" t="s">
        <v>0</v>
      </c>
    </row>
    <row r="44065" spans="1:1" x14ac:dyDescent="0.3">
      <c r="A44065" t="s">
        <v>0</v>
      </c>
    </row>
    <row r="44066" spans="1:1" x14ac:dyDescent="0.3">
      <c r="A44066" t="s">
        <v>0</v>
      </c>
    </row>
    <row r="44067" spans="1:1" x14ac:dyDescent="0.3">
      <c r="A44067" t="s">
        <v>0</v>
      </c>
    </row>
    <row r="44068" spans="1:1" x14ac:dyDescent="0.3">
      <c r="A44068" t="s">
        <v>0</v>
      </c>
    </row>
    <row r="44069" spans="1:1" x14ac:dyDescent="0.3">
      <c r="A44069" t="s">
        <v>0</v>
      </c>
    </row>
    <row r="44070" spans="1:1" x14ac:dyDescent="0.3">
      <c r="A44070" t="s">
        <v>0</v>
      </c>
    </row>
    <row r="44071" spans="1:1" x14ac:dyDescent="0.3">
      <c r="A44071" t="s">
        <v>0</v>
      </c>
    </row>
    <row r="44072" spans="1:1" x14ac:dyDescent="0.3">
      <c r="A44072" t="s">
        <v>0</v>
      </c>
    </row>
    <row r="44073" spans="1:1" x14ac:dyDescent="0.3">
      <c r="A44073" t="s">
        <v>0</v>
      </c>
    </row>
    <row r="44074" spans="1:1" x14ac:dyDescent="0.3">
      <c r="A44074" t="s">
        <v>0</v>
      </c>
    </row>
    <row r="44075" spans="1:1" x14ac:dyDescent="0.3">
      <c r="A44075" t="s">
        <v>0</v>
      </c>
    </row>
    <row r="44076" spans="1:1" x14ac:dyDescent="0.3">
      <c r="A44076" t="s">
        <v>0</v>
      </c>
    </row>
    <row r="44077" spans="1:1" x14ac:dyDescent="0.3">
      <c r="A44077" t="s">
        <v>0</v>
      </c>
    </row>
    <row r="44078" spans="1:1" x14ac:dyDescent="0.3">
      <c r="A44078" t="s">
        <v>0</v>
      </c>
    </row>
    <row r="44079" spans="1:1" x14ac:dyDescent="0.3">
      <c r="A44079" t="s">
        <v>0</v>
      </c>
    </row>
    <row r="44080" spans="1:1" x14ac:dyDescent="0.3">
      <c r="A44080" t="s">
        <v>0</v>
      </c>
    </row>
    <row r="44081" spans="1:1" x14ac:dyDescent="0.3">
      <c r="A44081" t="s">
        <v>0</v>
      </c>
    </row>
    <row r="44082" spans="1:1" x14ac:dyDescent="0.3">
      <c r="A44082" t="s">
        <v>0</v>
      </c>
    </row>
    <row r="44083" spans="1:1" x14ac:dyDescent="0.3">
      <c r="A44083" t="s">
        <v>0</v>
      </c>
    </row>
    <row r="44084" spans="1:1" x14ac:dyDescent="0.3">
      <c r="A44084" t="s">
        <v>0</v>
      </c>
    </row>
    <row r="44085" spans="1:1" x14ac:dyDescent="0.3">
      <c r="A44085" t="s">
        <v>0</v>
      </c>
    </row>
    <row r="44086" spans="1:1" x14ac:dyDescent="0.3">
      <c r="A44086" t="s">
        <v>0</v>
      </c>
    </row>
    <row r="44087" spans="1:1" x14ac:dyDescent="0.3">
      <c r="A44087" t="s">
        <v>0</v>
      </c>
    </row>
    <row r="44088" spans="1:1" x14ac:dyDescent="0.3">
      <c r="A44088" t="s">
        <v>0</v>
      </c>
    </row>
    <row r="44089" spans="1:1" x14ac:dyDescent="0.3">
      <c r="A44089" t="s">
        <v>0</v>
      </c>
    </row>
    <row r="44090" spans="1:1" x14ac:dyDescent="0.3">
      <c r="A44090" t="s">
        <v>0</v>
      </c>
    </row>
    <row r="44091" spans="1:1" x14ac:dyDescent="0.3">
      <c r="A44091" t="s">
        <v>0</v>
      </c>
    </row>
    <row r="44092" spans="1:1" x14ac:dyDescent="0.3">
      <c r="A44092" t="s">
        <v>0</v>
      </c>
    </row>
    <row r="44093" spans="1:1" x14ac:dyDescent="0.3">
      <c r="A44093" t="s">
        <v>0</v>
      </c>
    </row>
    <row r="44094" spans="1:1" x14ac:dyDescent="0.3">
      <c r="A44094" t="s">
        <v>0</v>
      </c>
    </row>
    <row r="44095" spans="1:1" x14ac:dyDescent="0.3">
      <c r="A44095" t="s">
        <v>0</v>
      </c>
    </row>
    <row r="44096" spans="1:1" x14ac:dyDescent="0.3">
      <c r="A44096" t="s">
        <v>0</v>
      </c>
    </row>
    <row r="44097" spans="1:1" x14ac:dyDescent="0.3">
      <c r="A44097" t="s">
        <v>0</v>
      </c>
    </row>
    <row r="44098" spans="1:1" x14ac:dyDescent="0.3">
      <c r="A44098" t="s">
        <v>0</v>
      </c>
    </row>
    <row r="44099" spans="1:1" x14ac:dyDescent="0.3">
      <c r="A44099" t="s">
        <v>0</v>
      </c>
    </row>
    <row r="44100" spans="1:1" x14ac:dyDescent="0.3">
      <c r="A44100" t="s">
        <v>0</v>
      </c>
    </row>
    <row r="44101" spans="1:1" x14ac:dyDescent="0.3">
      <c r="A44101" t="s">
        <v>0</v>
      </c>
    </row>
    <row r="44102" spans="1:1" x14ac:dyDescent="0.3">
      <c r="A44102" t="s">
        <v>0</v>
      </c>
    </row>
    <row r="44103" spans="1:1" x14ac:dyDescent="0.3">
      <c r="A44103" t="s">
        <v>0</v>
      </c>
    </row>
    <row r="44104" spans="1:1" x14ac:dyDescent="0.3">
      <c r="A44104" t="s">
        <v>0</v>
      </c>
    </row>
    <row r="44105" spans="1:1" x14ac:dyDescent="0.3">
      <c r="A44105" t="s">
        <v>0</v>
      </c>
    </row>
    <row r="44106" spans="1:1" x14ac:dyDescent="0.3">
      <c r="A44106" t="s">
        <v>0</v>
      </c>
    </row>
    <row r="44107" spans="1:1" x14ac:dyDescent="0.3">
      <c r="A44107" t="s">
        <v>0</v>
      </c>
    </row>
    <row r="44108" spans="1:1" x14ac:dyDescent="0.3">
      <c r="A44108" t="s">
        <v>0</v>
      </c>
    </row>
    <row r="44109" spans="1:1" x14ac:dyDescent="0.3">
      <c r="A44109" t="s">
        <v>0</v>
      </c>
    </row>
    <row r="44110" spans="1:1" x14ac:dyDescent="0.3">
      <c r="A44110" t="s">
        <v>0</v>
      </c>
    </row>
    <row r="44111" spans="1:1" x14ac:dyDescent="0.3">
      <c r="A44111" t="s">
        <v>0</v>
      </c>
    </row>
    <row r="44112" spans="1:1" x14ac:dyDescent="0.3">
      <c r="A44112" t="s">
        <v>0</v>
      </c>
    </row>
    <row r="44113" spans="1:1" x14ac:dyDescent="0.3">
      <c r="A44113" t="s">
        <v>0</v>
      </c>
    </row>
    <row r="44114" spans="1:1" x14ac:dyDescent="0.3">
      <c r="A44114" t="s">
        <v>0</v>
      </c>
    </row>
    <row r="44115" spans="1:1" x14ac:dyDescent="0.3">
      <c r="A44115" t="s">
        <v>0</v>
      </c>
    </row>
    <row r="44116" spans="1:1" x14ac:dyDescent="0.3">
      <c r="A44116" t="s">
        <v>0</v>
      </c>
    </row>
    <row r="44117" spans="1:1" x14ac:dyDescent="0.3">
      <c r="A44117" t="s">
        <v>0</v>
      </c>
    </row>
    <row r="44118" spans="1:1" x14ac:dyDescent="0.3">
      <c r="A44118" t="s">
        <v>0</v>
      </c>
    </row>
    <row r="44119" spans="1:1" x14ac:dyDescent="0.3">
      <c r="A44119" t="s">
        <v>0</v>
      </c>
    </row>
    <row r="44120" spans="1:1" x14ac:dyDescent="0.3">
      <c r="A44120" t="s">
        <v>0</v>
      </c>
    </row>
    <row r="44121" spans="1:1" x14ac:dyDescent="0.3">
      <c r="A44121" t="s">
        <v>0</v>
      </c>
    </row>
    <row r="44122" spans="1:1" x14ac:dyDescent="0.3">
      <c r="A44122" t="s">
        <v>0</v>
      </c>
    </row>
    <row r="44123" spans="1:1" x14ac:dyDescent="0.3">
      <c r="A44123" t="s">
        <v>0</v>
      </c>
    </row>
    <row r="44124" spans="1:1" x14ac:dyDescent="0.3">
      <c r="A44124" t="s">
        <v>0</v>
      </c>
    </row>
    <row r="44125" spans="1:1" x14ac:dyDescent="0.3">
      <c r="A44125" t="s">
        <v>0</v>
      </c>
    </row>
    <row r="44126" spans="1:1" x14ac:dyDescent="0.3">
      <c r="A44126" t="s">
        <v>0</v>
      </c>
    </row>
    <row r="44127" spans="1:1" x14ac:dyDescent="0.3">
      <c r="A44127" t="s">
        <v>0</v>
      </c>
    </row>
    <row r="44128" spans="1:1" x14ac:dyDescent="0.3">
      <c r="A44128" t="s">
        <v>0</v>
      </c>
    </row>
    <row r="44129" spans="1:1" x14ac:dyDescent="0.3">
      <c r="A44129" t="s">
        <v>0</v>
      </c>
    </row>
    <row r="44130" spans="1:1" x14ac:dyDescent="0.3">
      <c r="A44130" t="s">
        <v>0</v>
      </c>
    </row>
    <row r="44131" spans="1:1" x14ac:dyDescent="0.3">
      <c r="A44131" t="s">
        <v>0</v>
      </c>
    </row>
    <row r="44132" spans="1:1" x14ac:dyDescent="0.3">
      <c r="A44132" t="s">
        <v>0</v>
      </c>
    </row>
    <row r="44133" spans="1:1" x14ac:dyDescent="0.3">
      <c r="A44133" t="s">
        <v>0</v>
      </c>
    </row>
    <row r="44134" spans="1:1" x14ac:dyDescent="0.3">
      <c r="A44134" t="s">
        <v>0</v>
      </c>
    </row>
    <row r="44135" spans="1:1" x14ac:dyDescent="0.3">
      <c r="A44135" t="s">
        <v>0</v>
      </c>
    </row>
    <row r="44136" spans="1:1" x14ac:dyDescent="0.3">
      <c r="A44136" t="s">
        <v>0</v>
      </c>
    </row>
    <row r="44137" spans="1:1" x14ac:dyDescent="0.3">
      <c r="A44137" t="s">
        <v>0</v>
      </c>
    </row>
    <row r="44138" spans="1:1" x14ac:dyDescent="0.3">
      <c r="A44138" t="s">
        <v>0</v>
      </c>
    </row>
    <row r="44139" spans="1:1" x14ac:dyDescent="0.3">
      <c r="A44139" t="s">
        <v>0</v>
      </c>
    </row>
    <row r="44140" spans="1:1" x14ac:dyDescent="0.3">
      <c r="A44140" t="s">
        <v>0</v>
      </c>
    </row>
    <row r="44141" spans="1:1" x14ac:dyDescent="0.3">
      <c r="A44141" t="s">
        <v>0</v>
      </c>
    </row>
    <row r="44142" spans="1:1" x14ac:dyDescent="0.3">
      <c r="A44142" t="s">
        <v>0</v>
      </c>
    </row>
    <row r="44143" spans="1:1" x14ac:dyDescent="0.3">
      <c r="A44143" t="s">
        <v>0</v>
      </c>
    </row>
    <row r="44144" spans="1:1" x14ac:dyDescent="0.3">
      <c r="A44144" t="s">
        <v>0</v>
      </c>
    </row>
    <row r="44145" spans="1:1" x14ac:dyDescent="0.3">
      <c r="A44145" t="s">
        <v>0</v>
      </c>
    </row>
    <row r="44146" spans="1:1" x14ac:dyDescent="0.3">
      <c r="A44146" t="s">
        <v>0</v>
      </c>
    </row>
    <row r="44147" spans="1:1" x14ac:dyDescent="0.3">
      <c r="A44147" t="s">
        <v>0</v>
      </c>
    </row>
    <row r="44148" spans="1:1" x14ac:dyDescent="0.3">
      <c r="A44148" t="s">
        <v>0</v>
      </c>
    </row>
    <row r="44149" spans="1:1" x14ac:dyDescent="0.3">
      <c r="A44149" t="s">
        <v>0</v>
      </c>
    </row>
    <row r="44150" spans="1:1" x14ac:dyDescent="0.3">
      <c r="A44150" t="s">
        <v>0</v>
      </c>
    </row>
    <row r="44151" spans="1:1" x14ac:dyDescent="0.3">
      <c r="A44151" t="s">
        <v>0</v>
      </c>
    </row>
    <row r="44152" spans="1:1" x14ac:dyDescent="0.3">
      <c r="A44152" t="s">
        <v>0</v>
      </c>
    </row>
    <row r="44153" spans="1:1" x14ac:dyDescent="0.3">
      <c r="A44153" t="s">
        <v>0</v>
      </c>
    </row>
    <row r="44154" spans="1:1" x14ac:dyDescent="0.3">
      <c r="A44154" t="s">
        <v>0</v>
      </c>
    </row>
    <row r="44155" spans="1:1" x14ac:dyDescent="0.3">
      <c r="A44155" t="s">
        <v>0</v>
      </c>
    </row>
    <row r="44156" spans="1:1" x14ac:dyDescent="0.3">
      <c r="A44156" t="s">
        <v>0</v>
      </c>
    </row>
    <row r="44157" spans="1:1" x14ac:dyDescent="0.3">
      <c r="A44157" t="s">
        <v>0</v>
      </c>
    </row>
    <row r="44158" spans="1:1" x14ac:dyDescent="0.3">
      <c r="A44158" t="s">
        <v>0</v>
      </c>
    </row>
    <row r="44159" spans="1:1" x14ac:dyDescent="0.3">
      <c r="A44159" t="s">
        <v>0</v>
      </c>
    </row>
    <row r="44160" spans="1:1" x14ac:dyDescent="0.3">
      <c r="A44160" t="s">
        <v>0</v>
      </c>
    </row>
    <row r="44161" spans="1:1" x14ac:dyDescent="0.3">
      <c r="A44161" t="s">
        <v>0</v>
      </c>
    </row>
    <row r="44162" spans="1:1" x14ac:dyDescent="0.3">
      <c r="A44162" t="s">
        <v>0</v>
      </c>
    </row>
    <row r="44163" spans="1:1" x14ac:dyDescent="0.3">
      <c r="A44163" t="s">
        <v>0</v>
      </c>
    </row>
    <row r="44164" spans="1:1" x14ac:dyDescent="0.3">
      <c r="A44164" t="s">
        <v>0</v>
      </c>
    </row>
    <row r="44165" spans="1:1" x14ac:dyDescent="0.3">
      <c r="A44165" t="s">
        <v>0</v>
      </c>
    </row>
    <row r="44166" spans="1:1" x14ac:dyDescent="0.3">
      <c r="A44166" t="s">
        <v>0</v>
      </c>
    </row>
    <row r="44167" spans="1:1" x14ac:dyDescent="0.3">
      <c r="A44167" t="s">
        <v>0</v>
      </c>
    </row>
    <row r="44168" spans="1:1" x14ac:dyDescent="0.3">
      <c r="A44168" t="s">
        <v>0</v>
      </c>
    </row>
    <row r="44169" spans="1:1" x14ac:dyDescent="0.3">
      <c r="A44169" t="s">
        <v>0</v>
      </c>
    </row>
    <row r="44170" spans="1:1" x14ac:dyDescent="0.3">
      <c r="A44170" t="s">
        <v>0</v>
      </c>
    </row>
    <row r="44171" spans="1:1" x14ac:dyDescent="0.3">
      <c r="A44171" t="s">
        <v>0</v>
      </c>
    </row>
    <row r="44172" spans="1:1" x14ac:dyDescent="0.3">
      <c r="A44172" t="s">
        <v>0</v>
      </c>
    </row>
    <row r="44173" spans="1:1" x14ac:dyDescent="0.3">
      <c r="A44173" t="s">
        <v>0</v>
      </c>
    </row>
    <row r="44174" spans="1:1" x14ac:dyDescent="0.3">
      <c r="A44174" t="s">
        <v>0</v>
      </c>
    </row>
    <row r="44175" spans="1:1" x14ac:dyDescent="0.3">
      <c r="A44175" t="s">
        <v>0</v>
      </c>
    </row>
    <row r="44176" spans="1:1" x14ac:dyDescent="0.3">
      <c r="A44176" t="s">
        <v>0</v>
      </c>
    </row>
    <row r="44177" spans="1:1" x14ac:dyDescent="0.3">
      <c r="A44177" t="s">
        <v>0</v>
      </c>
    </row>
    <row r="44178" spans="1:1" x14ac:dyDescent="0.3">
      <c r="A44178" t="s">
        <v>0</v>
      </c>
    </row>
    <row r="44179" spans="1:1" x14ac:dyDescent="0.3">
      <c r="A44179" t="s">
        <v>0</v>
      </c>
    </row>
    <row r="44180" spans="1:1" x14ac:dyDescent="0.3">
      <c r="A44180" t="s">
        <v>0</v>
      </c>
    </row>
    <row r="44181" spans="1:1" x14ac:dyDescent="0.3">
      <c r="A44181" t="s">
        <v>0</v>
      </c>
    </row>
    <row r="44182" spans="1:1" x14ac:dyDescent="0.3">
      <c r="A44182" t="s">
        <v>0</v>
      </c>
    </row>
    <row r="44183" spans="1:1" x14ac:dyDescent="0.3">
      <c r="A44183" t="s">
        <v>0</v>
      </c>
    </row>
    <row r="44184" spans="1:1" x14ac:dyDescent="0.3">
      <c r="A44184" t="s">
        <v>0</v>
      </c>
    </row>
    <row r="44185" spans="1:1" x14ac:dyDescent="0.3">
      <c r="A44185" t="s">
        <v>0</v>
      </c>
    </row>
    <row r="44186" spans="1:1" x14ac:dyDescent="0.3">
      <c r="A44186" t="s">
        <v>0</v>
      </c>
    </row>
    <row r="44187" spans="1:1" x14ac:dyDescent="0.3">
      <c r="A44187" t="s">
        <v>0</v>
      </c>
    </row>
    <row r="44188" spans="1:1" x14ac:dyDescent="0.3">
      <c r="A44188" t="s">
        <v>0</v>
      </c>
    </row>
    <row r="44189" spans="1:1" x14ac:dyDescent="0.3">
      <c r="A44189" t="s">
        <v>0</v>
      </c>
    </row>
    <row r="44190" spans="1:1" x14ac:dyDescent="0.3">
      <c r="A44190" t="s">
        <v>0</v>
      </c>
    </row>
    <row r="44191" spans="1:1" x14ac:dyDescent="0.3">
      <c r="A44191" t="s">
        <v>0</v>
      </c>
    </row>
    <row r="44192" spans="1:1" x14ac:dyDescent="0.3">
      <c r="A44192" t="s">
        <v>0</v>
      </c>
    </row>
    <row r="44193" spans="1:1" x14ac:dyDescent="0.3">
      <c r="A44193" t="s">
        <v>0</v>
      </c>
    </row>
    <row r="44194" spans="1:1" x14ac:dyDescent="0.3">
      <c r="A44194" t="s">
        <v>0</v>
      </c>
    </row>
    <row r="44195" spans="1:1" x14ac:dyDescent="0.3">
      <c r="A44195" t="s">
        <v>0</v>
      </c>
    </row>
    <row r="44196" spans="1:1" x14ac:dyDescent="0.3">
      <c r="A44196" t="s">
        <v>0</v>
      </c>
    </row>
    <row r="44197" spans="1:1" x14ac:dyDescent="0.3">
      <c r="A44197" t="s">
        <v>0</v>
      </c>
    </row>
    <row r="44198" spans="1:1" x14ac:dyDescent="0.3">
      <c r="A44198" t="s">
        <v>0</v>
      </c>
    </row>
    <row r="44199" spans="1:1" x14ac:dyDescent="0.3">
      <c r="A44199" t="s">
        <v>0</v>
      </c>
    </row>
    <row r="44200" spans="1:1" x14ac:dyDescent="0.3">
      <c r="A44200" t="s">
        <v>0</v>
      </c>
    </row>
    <row r="44201" spans="1:1" x14ac:dyDescent="0.3">
      <c r="A44201" t="s">
        <v>0</v>
      </c>
    </row>
    <row r="44202" spans="1:1" x14ac:dyDescent="0.3">
      <c r="A44202" t="s">
        <v>0</v>
      </c>
    </row>
    <row r="44203" spans="1:1" x14ac:dyDescent="0.3">
      <c r="A44203" t="s">
        <v>0</v>
      </c>
    </row>
    <row r="44204" spans="1:1" x14ac:dyDescent="0.3">
      <c r="A44204" t="s">
        <v>0</v>
      </c>
    </row>
    <row r="44205" spans="1:1" x14ac:dyDescent="0.3">
      <c r="A44205" t="s">
        <v>0</v>
      </c>
    </row>
    <row r="44206" spans="1:1" x14ac:dyDescent="0.3">
      <c r="A44206" t="s">
        <v>0</v>
      </c>
    </row>
    <row r="44207" spans="1:1" x14ac:dyDescent="0.3">
      <c r="A44207" t="s">
        <v>0</v>
      </c>
    </row>
    <row r="44208" spans="1:1" x14ac:dyDescent="0.3">
      <c r="A44208" t="s">
        <v>0</v>
      </c>
    </row>
    <row r="44209" spans="1:1" x14ac:dyDescent="0.3">
      <c r="A44209" t="s">
        <v>0</v>
      </c>
    </row>
    <row r="44210" spans="1:1" x14ac:dyDescent="0.3">
      <c r="A44210" t="s">
        <v>0</v>
      </c>
    </row>
    <row r="44211" spans="1:1" x14ac:dyDescent="0.3">
      <c r="A44211" t="s">
        <v>0</v>
      </c>
    </row>
    <row r="44212" spans="1:1" x14ac:dyDescent="0.3">
      <c r="A44212" t="s">
        <v>0</v>
      </c>
    </row>
    <row r="44213" spans="1:1" x14ac:dyDescent="0.3">
      <c r="A44213" t="s">
        <v>0</v>
      </c>
    </row>
    <row r="44214" spans="1:1" x14ac:dyDescent="0.3">
      <c r="A44214" t="s">
        <v>0</v>
      </c>
    </row>
    <row r="44215" spans="1:1" x14ac:dyDescent="0.3">
      <c r="A44215" t="s">
        <v>0</v>
      </c>
    </row>
    <row r="44216" spans="1:1" x14ac:dyDescent="0.3">
      <c r="A44216" t="s">
        <v>0</v>
      </c>
    </row>
    <row r="44217" spans="1:1" x14ac:dyDescent="0.3">
      <c r="A44217" t="s">
        <v>0</v>
      </c>
    </row>
    <row r="44218" spans="1:1" x14ac:dyDescent="0.3">
      <c r="A44218" t="s">
        <v>0</v>
      </c>
    </row>
    <row r="44219" spans="1:1" x14ac:dyDescent="0.3">
      <c r="A44219" t="s">
        <v>0</v>
      </c>
    </row>
    <row r="44220" spans="1:1" x14ac:dyDescent="0.3">
      <c r="A44220" t="s">
        <v>0</v>
      </c>
    </row>
    <row r="44221" spans="1:1" x14ac:dyDescent="0.3">
      <c r="A44221" t="s">
        <v>0</v>
      </c>
    </row>
    <row r="44222" spans="1:1" x14ac:dyDescent="0.3">
      <c r="A44222" t="s">
        <v>0</v>
      </c>
    </row>
    <row r="44223" spans="1:1" x14ac:dyDescent="0.3">
      <c r="A44223" t="s">
        <v>0</v>
      </c>
    </row>
    <row r="44224" spans="1:1" x14ac:dyDescent="0.3">
      <c r="A44224" t="s">
        <v>0</v>
      </c>
    </row>
    <row r="44225" spans="1:1" x14ac:dyDescent="0.3">
      <c r="A44225" t="s">
        <v>0</v>
      </c>
    </row>
    <row r="44226" spans="1:1" x14ac:dyDescent="0.3">
      <c r="A44226" t="s">
        <v>0</v>
      </c>
    </row>
    <row r="44227" spans="1:1" x14ac:dyDescent="0.3">
      <c r="A44227" t="s">
        <v>0</v>
      </c>
    </row>
    <row r="44228" spans="1:1" x14ac:dyDescent="0.3">
      <c r="A44228" t="s">
        <v>0</v>
      </c>
    </row>
    <row r="44229" spans="1:1" x14ac:dyDescent="0.3">
      <c r="A44229" t="s">
        <v>0</v>
      </c>
    </row>
    <row r="44230" spans="1:1" x14ac:dyDescent="0.3">
      <c r="A44230" t="s">
        <v>0</v>
      </c>
    </row>
    <row r="44231" spans="1:1" x14ac:dyDescent="0.3">
      <c r="A44231" t="s">
        <v>0</v>
      </c>
    </row>
    <row r="44232" spans="1:1" x14ac:dyDescent="0.3">
      <c r="A44232" t="s">
        <v>0</v>
      </c>
    </row>
    <row r="44233" spans="1:1" x14ac:dyDescent="0.3">
      <c r="A44233" t="s">
        <v>0</v>
      </c>
    </row>
    <row r="44234" spans="1:1" x14ac:dyDescent="0.3">
      <c r="A44234" t="s">
        <v>0</v>
      </c>
    </row>
    <row r="44235" spans="1:1" x14ac:dyDescent="0.3">
      <c r="A44235" t="s">
        <v>0</v>
      </c>
    </row>
    <row r="44236" spans="1:1" x14ac:dyDescent="0.3">
      <c r="A44236" t="s">
        <v>0</v>
      </c>
    </row>
    <row r="44237" spans="1:1" x14ac:dyDescent="0.3">
      <c r="A44237" t="s">
        <v>0</v>
      </c>
    </row>
    <row r="44238" spans="1:1" x14ac:dyDescent="0.3">
      <c r="A44238" t="s">
        <v>0</v>
      </c>
    </row>
    <row r="44239" spans="1:1" x14ac:dyDescent="0.3">
      <c r="A44239" t="s">
        <v>0</v>
      </c>
    </row>
    <row r="44240" spans="1:1" x14ac:dyDescent="0.3">
      <c r="A44240" t="s">
        <v>0</v>
      </c>
    </row>
    <row r="44241" spans="1:1" x14ac:dyDescent="0.3">
      <c r="A44241" t="s">
        <v>0</v>
      </c>
    </row>
    <row r="44242" spans="1:1" x14ac:dyDescent="0.3">
      <c r="A44242" t="s">
        <v>0</v>
      </c>
    </row>
    <row r="44243" spans="1:1" x14ac:dyDescent="0.3">
      <c r="A44243" t="s">
        <v>0</v>
      </c>
    </row>
    <row r="44244" spans="1:1" x14ac:dyDescent="0.3">
      <c r="A44244" t="s">
        <v>0</v>
      </c>
    </row>
    <row r="44245" spans="1:1" x14ac:dyDescent="0.3">
      <c r="A44245" t="s">
        <v>0</v>
      </c>
    </row>
    <row r="44246" spans="1:1" x14ac:dyDescent="0.3">
      <c r="A44246" t="s">
        <v>0</v>
      </c>
    </row>
    <row r="44247" spans="1:1" x14ac:dyDescent="0.3">
      <c r="A44247" t="s">
        <v>0</v>
      </c>
    </row>
    <row r="44248" spans="1:1" x14ac:dyDescent="0.3">
      <c r="A44248" t="s">
        <v>0</v>
      </c>
    </row>
    <row r="44249" spans="1:1" x14ac:dyDescent="0.3">
      <c r="A44249" t="s">
        <v>0</v>
      </c>
    </row>
    <row r="44250" spans="1:1" x14ac:dyDescent="0.3">
      <c r="A44250" t="s">
        <v>0</v>
      </c>
    </row>
    <row r="44251" spans="1:1" x14ac:dyDescent="0.3">
      <c r="A44251" t="s">
        <v>0</v>
      </c>
    </row>
    <row r="44252" spans="1:1" x14ac:dyDescent="0.3">
      <c r="A44252" t="s">
        <v>0</v>
      </c>
    </row>
    <row r="44253" spans="1:1" x14ac:dyDescent="0.3">
      <c r="A44253" t="s">
        <v>0</v>
      </c>
    </row>
    <row r="44254" spans="1:1" x14ac:dyDescent="0.3">
      <c r="A44254" t="s">
        <v>0</v>
      </c>
    </row>
    <row r="44255" spans="1:1" x14ac:dyDescent="0.3">
      <c r="A44255" t="s">
        <v>0</v>
      </c>
    </row>
    <row r="44256" spans="1:1" x14ac:dyDescent="0.3">
      <c r="A44256" t="s">
        <v>0</v>
      </c>
    </row>
    <row r="44257" spans="1:1" x14ac:dyDescent="0.3">
      <c r="A44257" t="s">
        <v>0</v>
      </c>
    </row>
    <row r="44258" spans="1:1" x14ac:dyDescent="0.3">
      <c r="A44258" t="s">
        <v>0</v>
      </c>
    </row>
    <row r="44259" spans="1:1" x14ac:dyDescent="0.3">
      <c r="A44259" t="s">
        <v>0</v>
      </c>
    </row>
    <row r="44260" spans="1:1" x14ac:dyDescent="0.3">
      <c r="A44260" t="s">
        <v>0</v>
      </c>
    </row>
    <row r="44261" spans="1:1" x14ac:dyDescent="0.3">
      <c r="A44261" t="s">
        <v>0</v>
      </c>
    </row>
    <row r="44262" spans="1:1" x14ac:dyDescent="0.3">
      <c r="A44262" t="s">
        <v>0</v>
      </c>
    </row>
    <row r="44263" spans="1:1" x14ac:dyDescent="0.3">
      <c r="A44263" t="s">
        <v>0</v>
      </c>
    </row>
    <row r="44264" spans="1:1" x14ac:dyDescent="0.3">
      <c r="A44264" t="s">
        <v>0</v>
      </c>
    </row>
    <row r="44265" spans="1:1" x14ac:dyDescent="0.3">
      <c r="A44265" t="s">
        <v>0</v>
      </c>
    </row>
    <row r="44266" spans="1:1" x14ac:dyDescent="0.3">
      <c r="A44266" t="s">
        <v>0</v>
      </c>
    </row>
    <row r="44267" spans="1:1" x14ac:dyDescent="0.3">
      <c r="A44267" t="s">
        <v>0</v>
      </c>
    </row>
    <row r="44268" spans="1:1" x14ac:dyDescent="0.3">
      <c r="A44268" t="s">
        <v>0</v>
      </c>
    </row>
    <row r="44269" spans="1:1" x14ac:dyDescent="0.3">
      <c r="A44269" t="s">
        <v>0</v>
      </c>
    </row>
    <row r="44270" spans="1:1" x14ac:dyDescent="0.3">
      <c r="A44270" t="s">
        <v>0</v>
      </c>
    </row>
    <row r="44271" spans="1:1" x14ac:dyDescent="0.3">
      <c r="A44271" t="s">
        <v>0</v>
      </c>
    </row>
    <row r="44272" spans="1:1" x14ac:dyDescent="0.3">
      <c r="A44272" t="s">
        <v>0</v>
      </c>
    </row>
    <row r="44273" spans="1:1" x14ac:dyDescent="0.3">
      <c r="A44273" t="s">
        <v>0</v>
      </c>
    </row>
    <row r="44274" spans="1:1" x14ac:dyDescent="0.3">
      <c r="A44274" t="s">
        <v>0</v>
      </c>
    </row>
    <row r="44275" spans="1:1" x14ac:dyDescent="0.3">
      <c r="A44275" t="s">
        <v>0</v>
      </c>
    </row>
    <row r="44276" spans="1:1" x14ac:dyDescent="0.3">
      <c r="A44276" t="s">
        <v>0</v>
      </c>
    </row>
    <row r="44277" spans="1:1" x14ac:dyDescent="0.3">
      <c r="A44277" t="s">
        <v>0</v>
      </c>
    </row>
    <row r="44278" spans="1:1" x14ac:dyDescent="0.3">
      <c r="A44278" t="s">
        <v>0</v>
      </c>
    </row>
    <row r="44279" spans="1:1" x14ac:dyDescent="0.3">
      <c r="A44279" t="s">
        <v>0</v>
      </c>
    </row>
    <row r="44280" spans="1:1" x14ac:dyDescent="0.3">
      <c r="A44280" t="s">
        <v>0</v>
      </c>
    </row>
    <row r="44281" spans="1:1" x14ac:dyDescent="0.3">
      <c r="A44281" t="s">
        <v>0</v>
      </c>
    </row>
    <row r="44282" spans="1:1" x14ac:dyDescent="0.3">
      <c r="A44282" t="s">
        <v>0</v>
      </c>
    </row>
    <row r="44283" spans="1:1" x14ac:dyDescent="0.3">
      <c r="A44283" t="s">
        <v>0</v>
      </c>
    </row>
    <row r="44284" spans="1:1" x14ac:dyDescent="0.3">
      <c r="A44284" t="s">
        <v>0</v>
      </c>
    </row>
    <row r="44285" spans="1:1" x14ac:dyDescent="0.3">
      <c r="A44285" t="s">
        <v>0</v>
      </c>
    </row>
    <row r="44286" spans="1:1" x14ac:dyDescent="0.3">
      <c r="A44286" t="s">
        <v>0</v>
      </c>
    </row>
    <row r="44287" spans="1:1" x14ac:dyDescent="0.3">
      <c r="A44287" t="s">
        <v>0</v>
      </c>
    </row>
    <row r="44288" spans="1:1" x14ac:dyDescent="0.3">
      <c r="A44288" t="s">
        <v>0</v>
      </c>
    </row>
    <row r="44289" spans="1:1" x14ac:dyDescent="0.3">
      <c r="A44289" t="s">
        <v>0</v>
      </c>
    </row>
    <row r="44290" spans="1:1" x14ac:dyDescent="0.3">
      <c r="A44290" t="s">
        <v>0</v>
      </c>
    </row>
    <row r="44291" spans="1:1" x14ac:dyDescent="0.3">
      <c r="A44291" t="s">
        <v>0</v>
      </c>
    </row>
    <row r="44292" spans="1:1" x14ac:dyDescent="0.3">
      <c r="A44292" t="s">
        <v>0</v>
      </c>
    </row>
    <row r="44293" spans="1:1" x14ac:dyDescent="0.3">
      <c r="A44293" t="s">
        <v>0</v>
      </c>
    </row>
    <row r="44294" spans="1:1" x14ac:dyDescent="0.3">
      <c r="A44294" t="s">
        <v>0</v>
      </c>
    </row>
    <row r="44295" spans="1:1" x14ac:dyDescent="0.3">
      <c r="A44295" t="s">
        <v>0</v>
      </c>
    </row>
    <row r="44296" spans="1:1" x14ac:dyDescent="0.3">
      <c r="A44296" t="s">
        <v>0</v>
      </c>
    </row>
    <row r="44297" spans="1:1" x14ac:dyDescent="0.3">
      <c r="A44297" t="s">
        <v>0</v>
      </c>
    </row>
    <row r="44298" spans="1:1" x14ac:dyDescent="0.3">
      <c r="A44298" t="s">
        <v>0</v>
      </c>
    </row>
    <row r="44299" spans="1:1" x14ac:dyDescent="0.3">
      <c r="A44299" t="s">
        <v>0</v>
      </c>
    </row>
    <row r="44300" spans="1:1" x14ac:dyDescent="0.3">
      <c r="A44300" t="s">
        <v>0</v>
      </c>
    </row>
    <row r="44301" spans="1:1" x14ac:dyDescent="0.3">
      <c r="A44301" t="s">
        <v>0</v>
      </c>
    </row>
    <row r="44302" spans="1:1" x14ac:dyDescent="0.3">
      <c r="A44302" t="s">
        <v>0</v>
      </c>
    </row>
    <row r="44303" spans="1:1" x14ac:dyDescent="0.3">
      <c r="A44303" t="s">
        <v>0</v>
      </c>
    </row>
    <row r="44304" spans="1:1" x14ac:dyDescent="0.3">
      <c r="A44304" t="s">
        <v>0</v>
      </c>
    </row>
    <row r="44305" spans="1:1" x14ac:dyDescent="0.3">
      <c r="A44305" t="s">
        <v>0</v>
      </c>
    </row>
    <row r="44306" spans="1:1" x14ac:dyDescent="0.3">
      <c r="A44306" t="s">
        <v>0</v>
      </c>
    </row>
    <row r="44307" spans="1:1" x14ac:dyDescent="0.3">
      <c r="A44307" t="s">
        <v>0</v>
      </c>
    </row>
    <row r="44308" spans="1:1" x14ac:dyDescent="0.3">
      <c r="A44308" t="s">
        <v>0</v>
      </c>
    </row>
    <row r="44309" spans="1:1" x14ac:dyDescent="0.3">
      <c r="A44309" t="s">
        <v>0</v>
      </c>
    </row>
    <row r="44310" spans="1:1" x14ac:dyDescent="0.3">
      <c r="A44310" t="s">
        <v>0</v>
      </c>
    </row>
    <row r="44311" spans="1:1" x14ac:dyDescent="0.3">
      <c r="A44311" t="s">
        <v>0</v>
      </c>
    </row>
    <row r="44312" spans="1:1" x14ac:dyDescent="0.3">
      <c r="A44312" t="s">
        <v>0</v>
      </c>
    </row>
    <row r="44313" spans="1:1" x14ac:dyDescent="0.3">
      <c r="A44313" t="s">
        <v>0</v>
      </c>
    </row>
    <row r="44314" spans="1:1" x14ac:dyDescent="0.3">
      <c r="A44314" t="s">
        <v>0</v>
      </c>
    </row>
    <row r="44315" spans="1:1" x14ac:dyDescent="0.3">
      <c r="A44315" t="s">
        <v>0</v>
      </c>
    </row>
    <row r="44316" spans="1:1" x14ac:dyDescent="0.3">
      <c r="A44316" t="s">
        <v>0</v>
      </c>
    </row>
    <row r="44317" spans="1:1" x14ac:dyDescent="0.3">
      <c r="A44317" t="s">
        <v>0</v>
      </c>
    </row>
    <row r="44318" spans="1:1" x14ac:dyDescent="0.3">
      <c r="A44318" t="s">
        <v>0</v>
      </c>
    </row>
    <row r="44319" spans="1:1" x14ac:dyDescent="0.3">
      <c r="A44319" t="s">
        <v>0</v>
      </c>
    </row>
    <row r="44320" spans="1:1" x14ac:dyDescent="0.3">
      <c r="A44320" t="s">
        <v>0</v>
      </c>
    </row>
    <row r="44321" spans="1:1" x14ac:dyDescent="0.3">
      <c r="A44321" t="s">
        <v>0</v>
      </c>
    </row>
    <row r="44322" spans="1:1" x14ac:dyDescent="0.3">
      <c r="A44322" t="s">
        <v>0</v>
      </c>
    </row>
    <row r="44323" spans="1:1" x14ac:dyDescent="0.3">
      <c r="A44323" t="s">
        <v>0</v>
      </c>
    </row>
    <row r="44324" spans="1:1" x14ac:dyDescent="0.3">
      <c r="A44324" t="s">
        <v>0</v>
      </c>
    </row>
    <row r="44325" spans="1:1" x14ac:dyDescent="0.3">
      <c r="A44325" t="s">
        <v>0</v>
      </c>
    </row>
    <row r="44326" spans="1:1" x14ac:dyDescent="0.3">
      <c r="A44326" t="s">
        <v>0</v>
      </c>
    </row>
    <row r="44327" spans="1:1" x14ac:dyDescent="0.3">
      <c r="A44327" t="s">
        <v>0</v>
      </c>
    </row>
    <row r="44328" spans="1:1" x14ac:dyDescent="0.3">
      <c r="A44328" t="s">
        <v>0</v>
      </c>
    </row>
    <row r="44329" spans="1:1" x14ac:dyDescent="0.3">
      <c r="A44329" t="s">
        <v>0</v>
      </c>
    </row>
    <row r="44330" spans="1:1" x14ac:dyDescent="0.3">
      <c r="A44330" t="s">
        <v>0</v>
      </c>
    </row>
    <row r="44331" spans="1:1" x14ac:dyDescent="0.3">
      <c r="A44331" t="s">
        <v>0</v>
      </c>
    </row>
    <row r="44332" spans="1:1" x14ac:dyDescent="0.3">
      <c r="A44332" t="s">
        <v>0</v>
      </c>
    </row>
    <row r="44333" spans="1:1" x14ac:dyDescent="0.3">
      <c r="A44333" t="s">
        <v>0</v>
      </c>
    </row>
    <row r="44334" spans="1:1" x14ac:dyDescent="0.3">
      <c r="A44334" t="s">
        <v>0</v>
      </c>
    </row>
    <row r="44335" spans="1:1" x14ac:dyDescent="0.3">
      <c r="A44335" t="s">
        <v>0</v>
      </c>
    </row>
    <row r="44336" spans="1:1" x14ac:dyDescent="0.3">
      <c r="A44336" t="s">
        <v>0</v>
      </c>
    </row>
    <row r="44337" spans="1:1" x14ac:dyDescent="0.3">
      <c r="A44337" t="s">
        <v>0</v>
      </c>
    </row>
    <row r="44338" spans="1:1" x14ac:dyDescent="0.3">
      <c r="A44338" t="s">
        <v>0</v>
      </c>
    </row>
    <row r="44339" spans="1:1" x14ac:dyDescent="0.3">
      <c r="A44339" t="s">
        <v>0</v>
      </c>
    </row>
    <row r="44340" spans="1:1" x14ac:dyDescent="0.3">
      <c r="A44340" t="s">
        <v>0</v>
      </c>
    </row>
    <row r="44341" spans="1:1" x14ac:dyDescent="0.3">
      <c r="A44341" t="s">
        <v>0</v>
      </c>
    </row>
    <row r="44342" spans="1:1" x14ac:dyDescent="0.3">
      <c r="A44342" t="s">
        <v>0</v>
      </c>
    </row>
    <row r="44343" spans="1:1" x14ac:dyDescent="0.3">
      <c r="A44343" t="s">
        <v>0</v>
      </c>
    </row>
    <row r="44344" spans="1:1" x14ac:dyDescent="0.3">
      <c r="A44344" t="s">
        <v>0</v>
      </c>
    </row>
    <row r="44345" spans="1:1" x14ac:dyDescent="0.3">
      <c r="A44345" t="s">
        <v>0</v>
      </c>
    </row>
    <row r="44346" spans="1:1" x14ac:dyDescent="0.3">
      <c r="A44346" t="s">
        <v>0</v>
      </c>
    </row>
    <row r="44347" spans="1:1" x14ac:dyDescent="0.3">
      <c r="A44347" t="s">
        <v>0</v>
      </c>
    </row>
    <row r="44348" spans="1:1" x14ac:dyDescent="0.3">
      <c r="A44348" t="s">
        <v>0</v>
      </c>
    </row>
    <row r="44349" spans="1:1" x14ac:dyDescent="0.3">
      <c r="A44349" t="s">
        <v>0</v>
      </c>
    </row>
    <row r="44350" spans="1:1" x14ac:dyDescent="0.3">
      <c r="A44350" t="s">
        <v>0</v>
      </c>
    </row>
    <row r="44351" spans="1:1" x14ac:dyDescent="0.3">
      <c r="A44351" t="s">
        <v>0</v>
      </c>
    </row>
    <row r="44352" spans="1:1" x14ac:dyDescent="0.3">
      <c r="A44352" t="s">
        <v>0</v>
      </c>
    </row>
    <row r="44353" spans="1:1" x14ac:dyDescent="0.3">
      <c r="A44353" t="s">
        <v>0</v>
      </c>
    </row>
    <row r="44354" spans="1:1" x14ac:dyDescent="0.3">
      <c r="A44354" t="s">
        <v>0</v>
      </c>
    </row>
    <row r="44355" spans="1:1" x14ac:dyDescent="0.3">
      <c r="A44355" t="s">
        <v>0</v>
      </c>
    </row>
    <row r="44356" spans="1:1" x14ac:dyDescent="0.3">
      <c r="A44356" t="s">
        <v>0</v>
      </c>
    </row>
    <row r="44357" spans="1:1" x14ac:dyDescent="0.3">
      <c r="A44357" t="s">
        <v>0</v>
      </c>
    </row>
    <row r="44358" spans="1:1" x14ac:dyDescent="0.3">
      <c r="A44358" t="s">
        <v>0</v>
      </c>
    </row>
    <row r="44359" spans="1:1" x14ac:dyDescent="0.3">
      <c r="A44359" t="s">
        <v>0</v>
      </c>
    </row>
    <row r="44360" spans="1:1" x14ac:dyDescent="0.3">
      <c r="A44360" t="s">
        <v>0</v>
      </c>
    </row>
    <row r="44361" spans="1:1" x14ac:dyDescent="0.3">
      <c r="A44361" t="s">
        <v>0</v>
      </c>
    </row>
    <row r="44362" spans="1:1" x14ac:dyDescent="0.3">
      <c r="A44362" t="s">
        <v>0</v>
      </c>
    </row>
    <row r="44363" spans="1:1" x14ac:dyDescent="0.3">
      <c r="A44363" t="s">
        <v>0</v>
      </c>
    </row>
    <row r="44364" spans="1:1" x14ac:dyDescent="0.3">
      <c r="A44364" t="s">
        <v>0</v>
      </c>
    </row>
    <row r="44365" spans="1:1" x14ac:dyDescent="0.3">
      <c r="A44365" t="s">
        <v>0</v>
      </c>
    </row>
    <row r="44366" spans="1:1" x14ac:dyDescent="0.3">
      <c r="A44366" t="s">
        <v>0</v>
      </c>
    </row>
    <row r="44367" spans="1:1" x14ac:dyDescent="0.3">
      <c r="A44367" t="s">
        <v>0</v>
      </c>
    </row>
    <row r="44368" spans="1:1" x14ac:dyDescent="0.3">
      <c r="A44368" t="s">
        <v>0</v>
      </c>
    </row>
    <row r="44369" spans="1:1" x14ac:dyDescent="0.3">
      <c r="A44369" t="s">
        <v>0</v>
      </c>
    </row>
    <row r="44370" spans="1:1" x14ac:dyDescent="0.3">
      <c r="A44370" t="s">
        <v>0</v>
      </c>
    </row>
    <row r="44371" spans="1:1" x14ac:dyDescent="0.3">
      <c r="A44371" t="s">
        <v>0</v>
      </c>
    </row>
    <row r="44372" spans="1:1" x14ac:dyDescent="0.3">
      <c r="A44372" t="s">
        <v>0</v>
      </c>
    </row>
    <row r="44373" spans="1:1" x14ac:dyDescent="0.3">
      <c r="A44373" t="s">
        <v>0</v>
      </c>
    </row>
    <row r="44374" spans="1:1" x14ac:dyDescent="0.3">
      <c r="A44374" t="s">
        <v>0</v>
      </c>
    </row>
    <row r="44375" spans="1:1" x14ac:dyDescent="0.3">
      <c r="A44375" t="s">
        <v>0</v>
      </c>
    </row>
    <row r="44376" spans="1:1" x14ac:dyDescent="0.3">
      <c r="A44376" t="s">
        <v>0</v>
      </c>
    </row>
    <row r="44377" spans="1:1" x14ac:dyDescent="0.3">
      <c r="A44377" t="s">
        <v>0</v>
      </c>
    </row>
    <row r="44378" spans="1:1" x14ac:dyDescent="0.3">
      <c r="A44378" t="s">
        <v>0</v>
      </c>
    </row>
    <row r="44379" spans="1:1" x14ac:dyDescent="0.3">
      <c r="A44379" t="s">
        <v>0</v>
      </c>
    </row>
    <row r="44380" spans="1:1" x14ac:dyDescent="0.3">
      <c r="A44380" t="s">
        <v>0</v>
      </c>
    </row>
    <row r="44381" spans="1:1" x14ac:dyDescent="0.3">
      <c r="A44381" t="s">
        <v>0</v>
      </c>
    </row>
    <row r="44382" spans="1:1" x14ac:dyDescent="0.3">
      <c r="A44382" t="s">
        <v>0</v>
      </c>
    </row>
    <row r="44383" spans="1:1" x14ac:dyDescent="0.3">
      <c r="A44383" t="s">
        <v>0</v>
      </c>
    </row>
    <row r="44384" spans="1:1" x14ac:dyDescent="0.3">
      <c r="A44384" t="s">
        <v>0</v>
      </c>
    </row>
    <row r="44385" spans="1:1" x14ac:dyDescent="0.3">
      <c r="A44385" t="s">
        <v>0</v>
      </c>
    </row>
    <row r="44386" spans="1:1" x14ac:dyDescent="0.3">
      <c r="A44386" t="s">
        <v>0</v>
      </c>
    </row>
    <row r="44387" spans="1:1" x14ac:dyDescent="0.3">
      <c r="A44387" t="s">
        <v>0</v>
      </c>
    </row>
    <row r="44388" spans="1:1" x14ac:dyDescent="0.3">
      <c r="A44388" t="s">
        <v>0</v>
      </c>
    </row>
    <row r="44389" spans="1:1" x14ac:dyDescent="0.3">
      <c r="A44389" t="s">
        <v>0</v>
      </c>
    </row>
    <row r="44390" spans="1:1" x14ac:dyDescent="0.3">
      <c r="A44390" t="s">
        <v>0</v>
      </c>
    </row>
    <row r="44391" spans="1:1" x14ac:dyDescent="0.3">
      <c r="A44391" t="s">
        <v>0</v>
      </c>
    </row>
    <row r="44392" spans="1:1" x14ac:dyDescent="0.3">
      <c r="A44392" t="s">
        <v>0</v>
      </c>
    </row>
    <row r="44393" spans="1:1" x14ac:dyDescent="0.3">
      <c r="A44393" t="s">
        <v>0</v>
      </c>
    </row>
    <row r="44394" spans="1:1" x14ac:dyDescent="0.3">
      <c r="A44394" t="s">
        <v>0</v>
      </c>
    </row>
    <row r="44395" spans="1:1" x14ac:dyDescent="0.3">
      <c r="A44395" t="s">
        <v>0</v>
      </c>
    </row>
    <row r="44396" spans="1:1" x14ac:dyDescent="0.3">
      <c r="A44396" t="s">
        <v>0</v>
      </c>
    </row>
    <row r="44397" spans="1:1" x14ac:dyDescent="0.3">
      <c r="A44397" t="s">
        <v>0</v>
      </c>
    </row>
    <row r="44398" spans="1:1" x14ac:dyDescent="0.3">
      <c r="A44398" t="s">
        <v>0</v>
      </c>
    </row>
    <row r="44399" spans="1:1" x14ac:dyDescent="0.3">
      <c r="A44399" t="s">
        <v>0</v>
      </c>
    </row>
    <row r="44400" spans="1:1" x14ac:dyDescent="0.3">
      <c r="A44400" t="s">
        <v>0</v>
      </c>
    </row>
    <row r="44401" spans="1:1" x14ac:dyDescent="0.3">
      <c r="A44401" t="s">
        <v>0</v>
      </c>
    </row>
    <row r="44402" spans="1:1" x14ac:dyDescent="0.3">
      <c r="A44402" t="s">
        <v>0</v>
      </c>
    </row>
    <row r="44403" spans="1:1" x14ac:dyDescent="0.3">
      <c r="A44403" t="s">
        <v>0</v>
      </c>
    </row>
    <row r="44404" spans="1:1" x14ac:dyDescent="0.3">
      <c r="A44404" t="s">
        <v>0</v>
      </c>
    </row>
    <row r="44405" spans="1:1" x14ac:dyDescent="0.3">
      <c r="A44405" t="s">
        <v>0</v>
      </c>
    </row>
    <row r="44406" spans="1:1" x14ac:dyDescent="0.3">
      <c r="A44406" t="s">
        <v>0</v>
      </c>
    </row>
    <row r="44407" spans="1:1" x14ac:dyDescent="0.3">
      <c r="A44407" t="s">
        <v>0</v>
      </c>
    </row>
    <row r="44408" spans="1:1" x14ac:dyDescent="0.3">
      <c r="A44408" t="s">
        <v>0</v>
      </c>
    </row>
    <row r="44409" spans="1:1" x14ac:dyDescent="0.3">
      <c r="A44409" t="s">
        <v>0</v>
      </c>
    </row>
    <row r="44410" spans="1:1" x14ac:dyDescent="0.3">
      <c r="A44410" t="s">
        <v>0</v>
      </c>
    </row>
    <row r="44411" spans="1:1" x14ac:dyDescent="0.3">
      <c r="A44411" t="s">
        <v>0</v>
      </c>
    </row>
    <row r="44412" spans="1:1" x14ac:dyDescent="0.3">
      <c r="A44412" t="s">
        <v>0</v>
      </c>
    </row>
    <row r="44413" spans="1:1" x14ac:dyDescent="0.3">
      <c r="A44413" t="s">
        <v>0</v>
      </c>
    </row>
    <row r="44414" spans="1:1" x14ac:dyDescent="0.3">
      <c r="A44414" t="s">
        <v>0</v>
      </c>
    </row>
    <row r="44415" spans="1:1" x14ac:dyDescent="0.3">
      <c r="A44415" t="s">
        <v>0</v>
      </c>
    </row>
    <row r="44416" spans="1:1" x14ac:dyDescent="0.3">
      <c r="A44416" t="s">
        <v>0</v>
      </c>
    </row>
    <row r="44417" spans="1:1" x14ac:dyDescent="0.3">
      <c r="A44417" t="s">
        <v>0</v>
      </c>
    </row>
    <row r="44418" spans="1:1" x14ac:dyDescent="0.3">
      <c r="A44418" t="s">
        <v>0</v>
      </c>
    </row>
    <row r="44419" spans="1:1" x14ac:dyDescent="0.3">
      <c r="A44419" t="s">
        <v>0</v>
      </c>
    </row>
    <row r="44420" spans="1:1" x14ac:dyDescent="0.3">
      <c r="A44420" t="s">
        <v>0</v>
      </c>
    </row>
    <row r="44421" spans="1:1" x14ac:dyDescent="0.3">
      <c r="A44421" t="s">
        <v>0</v>
      </c>
    </row>
    <row r="44422" spans="1:1" x14ac:dyDescent="0.3">
      <c r="A44422" t="s">
        <v>0</v>
      </c>
    </row>
    <row r="44423" spans="1:1" x14ac:dyDescent="0.3">
      <c r="A44423" t="s">
        <v>0</v>
      </c>
    </row>
    <row r="44424" spans="1:1" x14ac:dyDescent="0.3">
      <c r="A44424" t="s">
        <v>0</v>
      </c>
    </row>
    <row r="44425" spans="1:1" x14ac:dyDescent="0.3">
      <c r="A44425" t="s">
        <v>0</v>
      </c>
    </row>
    <row r="44426" spans="1:1" x14ac:dyDescent="0.3">
      <c r="A44426" t="s">
        <v>0</v>
      </c>
    </row>
    <row r="44427" spans="1:1" x14ac:dyDescent="0.3">
      <c r="A44427" t="s">
        <v>0</v>
      </c>
    </row>
    <row r="44428" spans="1:1" x14ac:dyDescent="0.3">
      <c r="A44428" t="s">
        <v>0</v>
      </c>
    </row>
    <row r="44429" spans="1:1" x14ac:dyDescent="0.3">
      <c r="A44429" t="s">
        <v>0</v>
      </c>
    </row>
    <row r="44430" spans="1:1" x14ac:dyDescent="0.3">
      <c r="A44430" t="s">
        <v>0</v>
      </c>
    </row>
    <row r="44431" spans="1:1" x14ac:dyDescent="0.3">
      <c r="A44431" t="s">
        <v>0</v>
      </c>
    </row>
    <row r="44432" spans="1:1" x14ac:dyDescent="0.3">
      <c r="A44432" t="s">
        <v>0</v>
      </c>
    </row>
    <row r="44433" spans="1:1" x14ac:dyDescent="0.3">
      <c r="A44433" t="s">
        <v>0</v>
      </c>
    </row>
    <row r="44434" spans="1:1" x14ac:dyDescent="0.3">
      <c r="A44434" t="s">
        <v>0</v>
      </c>
    </row>
    <row r="44435" spans="1:1" x14ac:dyDescent="0.3">
      <c r="A44435" t="s">
        <v>0</v>
      </c>
    </row>
    <row r="44436" spans="1:1" x14ac:dyDescent="0.3">
      <c r="A44436" t="s">
        <v>0</v>
      </c>
    </row>
    <row r="44437" spans="1:1" x14ac:dyDescent="0.3">
      <c r="A44437" t="s">
        <v>0</v>
      </c>
    </row>
    <row r="44438" spans="1:1" x14ac:dyDescent="0.3">
      <c r="A44438" t="s">
        <v>0</v>
      </c>
    </row>
    <row r="44439" spans="1:1" x14ac:dyDescent="0.3">
      <c r="A44439" t="s">
        <v>0</v>
      </c>
    </row>
    <row r="44440" spans="1:1" x14ac:dyDescent="0.3">
      <c r="A44440" t="s">
        <v>0</v>
      </c>
    </row>
    <row r="44441" spans="1:1" x14ac:dyDescent="0.3">
      <c r="A44441" t="s">
        <v>0</v>
      </c>
    </row>
    <row r="44442" spans="1:1" x14ac:dyDescent="0.3">
      <c r="A44442" t="s">
        <v>0</v>
      </c>
    </row>
    <row r="44443" spans="1:1" x14ac:dyDescent="0.3">
      <c r="A44443" t="s">
        <v>0</v>
      </c>
    </row>
    <row r="44444" spans="1:1" x14ac:dyDescent="0.3">
      <c r="A44444" t="s">
        <v>0</v>
      </c>
    </row>
    <row r="44445" spans="1:1" x14ac:dyDescent="0.3">
      <c r="A44445" t="s">
        <v>0</v>
      </c>
    </row>
    <row r="44446" spans="1:1" x14ac:dyDescent="0.3">
      <c r="A44446" t="s">
        <v>0</v>
      </c>
    </row>
    <row r="44447" spans="1:1" x14ac:dyDescent="0.3">
      <c r="A44447" t="s">
        <v>0</v>
      </c>
    </row>
    <row r="44448" spans="1:1" x14ac:dyDescent="0.3">
      <c r="A44448" t="s">
        <v>0</v>
      </c>
    </row>
    <row r="44449" spans="1:1" x14ac:dyDescent="0.3">
      <c r="A44449" t="s">
        <v>0</v>
      </c>
    </row>
    <row r="44450" spans="1:1" x14ac:dyDescent="0.3">
      <c r="A44450" t="s">
        <v>0</v>
      </c>
    </row>
    <row r="44451" spans="1:1" x14ac:dyDescent="0.3">
      <c r="A44451" t="s">
        <v>0</v>
      </c>
    </row>
    <row r="44452" spans="1:1" x14ac:dyDescent="0.3">
      <c r="A44452" t="s">
        <v>0</v>
      </c>
    </row>
    <row r="44453" spans="1:1" x14ac:dyDescent="0.3">
      <c r="A44453" t="s">
        <v>0</v>
      </c>
    </row>
    <row r="44454" spans="1:1" x14ac:dyDescent="0.3">
      <c r="A44454" t="s">
        <v>0</v>
      </c>
    </row>
    <row r="44455" spans="1:1" x14ac:dyDescent="0.3">
      <c r="A44455" t="s">
        <v>0</v>
      </c>
    </row>
    <row r="44456" spans="1:1" x14ac:dyDescent="0.3">
      <c r="A44456" t="s">
        <v>0</v>
      </c>
    </row>
    <row r="44457" spans="1:1" x14ac:dyDescent="0.3">
      <c r="A44457" t="s">
        <v>0</v>
      </c>
    </row>
    <row r="44458" spans="1:1" x14ac:dyDescent="0.3">
      <c r="A44458" t="s">
        <v>0</v>
      </c>
    </row>
    <row r="44459" spans="1:1" x14ac:dyDescent="0.3">
      <c r="A44459" t="s">
        <v>0</v>
      </c>
    </row>
    <row r="44460" spans="1:1" x14ac:dyDescent="0.3">
      <c r="A44460" t="s">
        <v>0</v>
      </c>
    </row>
    <row r="44461" spans="1:1" x14ac:dyDescent="0.3">
      <c r="A44461" t="s">
        <v>0</v>
      </c>
    </row>
    <row r="44462" spans="1:1" x14ac:dyDescent="0.3">
      <c r="A44462" t="s">
        <v>0</v>
      </c>
    </row>
    <row r="44463" spans="1:1" x14ac:dyDescent="0.3">
      <c r="A44463" t="s">
        <v>0</v>
      </c>
    </row>
    <row r="44464" spans="1:1" x14ac:dyDescent="0.3">
      <c r="A44464" t="s">
        <v>0</v>
      </c>
    </row>
    <row r="44465" spans="1:1" x14ac:dyDescent="0.3">
      <c r="A44465" t="s">
        <v>0</v>
      </c>
    </row>
    <row r="44466" spans="1:1" x14ac:dyDescent="0.3">
      <c r="A44466" t="s">
        <v>0</v>
      </c>
    </row>
    <row r="44467" spans="1:1" x14ac:dyDescent="0.3">
      <c r="A44467" t="s">
        <v>0</v>
      </c>
    </row>
    <row r="44468" spans="1:1" x14ac:dyDescent="0.3">
      <c r="A44468" t="s">
        <v>0</v>
      </c>
    </row>
    <row r="44469" spans="1:1" x14ac:dyDescent="0.3">
      <c r="A44469" t="s">
        <v>0</v>
      </c>
    </row>
    <row r="44470" spans="1:1" x14ac:dyDescent="0.3">
      <c r="A44470" t="s">
        <v>0</v>
      </c>
    </row>
    <row r="44471" spans="1:1" x14ac:dyDescent="0.3">
      <c r="A44471" t="s">
        <v>0</v>
      </c>
    </row>
    <row r="44472" spans="1:1" x14ac:dyDescent="0.3">
      <c r="A44472" t="s">
        <v>0</v>
      </c>
    </row>
    <row r="44473" spans="1:1" x14ac:dyDescent="0.3">
      <c r="A44473" t="s">
        <v>0</v>
      </c>
    </row>
    <row r="44474" spans="1:1" x14ac:dyDescent="0.3">
      <c r="A44474" t="s">
        <v>0</v>
      </c>
    </row>
    <row r="44475" spans="1:1" x14ac:dyDescent="0.3">
      <c r="A44475" t="s">
        <v>0</v>
      </c>
    </row>
    <row r="44476" spans="1:1" x14ac:dyDescent="0.3">
      <c r="A44476" t="s">
        <v>0</v>
      </c>
    </row>
    <row r="44477" spans="1:1" x14ac:dyDescent="0.3">
      <c r="A44477" t="s">
        <v>0</v>
      </c>
    </row>
    <row r="44478" spans="1:1" x14ac:dyDescent="0.3">
      <c r="A44478" t="s">
        <v>0</v>
      </c>
    </row>
    <row r="44479" spans="1:1" x14ac:dyDescent="0.3">
      <c r="A44479" t="s">
        <v>0</v>
      </c>
    </row>
    <row r="44480" spans="1:1" x14ac:dyDescent="0.3">
      <c r="A44480" t="s">
        <v>0</v>
      </c>
    </row>
    <row r="44481" spans="1:1" x14ac:dyDescent="0.3">
      <c r="A44481" t="s">
        <v>0</v>
      </c>
    </row>
    <row r="44482" spans="1:1" x14ac:dyDescent="0.3">
      <c r="A44482" t="s">
        <v>0</v>
      </c>
    </row>
    <row r="44483" spans="1:1" x14ac:dyDescent="0.3">
      <c r="A44483" t="s">
        <v>0</v>
      </c>
    </row>
    <row r="44484" spans="1:1" x14ac:dyDescent="0.3">
      <c r="A44484" t="s">
        <v>0</v>
      </c>
    </row>
    <row r="44485" spans="1:1" x14ac:dyDescent="0.3">
      <c r="A44485" t="s">
        <v>0</v>
      </c>
    </row>
    <row r="44486" spans="1:1" x14ac:dyDescent="0.3">
      <c r="A44486" t="s">
        <v>0</v>
      </c>
    </row>
    <row r="44487" spans="1:1" x14ac:dyDescent="0.3">
      <c r="A44487" t="s">
        <v>0</v>
      </c>
    </row>
    <row r="44488" spans="1:1" x14ac:dyDescent="0.3">
      <c r="A44488" t="s">
        <v>0</v>
      </c>
    </row>
    <row r="44489" spans="1:1" x14ac:dyDescent="0.3">
      <c r="A44489" t="s">
        <v>0</v>
      </c>
    </row>
    <row r="44490" spans="1:1" x14ac:dyDescent="0.3">
      <c r="A44490" t="s">
        <v>0</v>
      </c>
    </row>
    <row r="44491" spans="1:1" x14ac:dyDescent="0.3">
      <c r="A44491" t="s">
        <v>0</v>
      </c>
    </row>
    <row r="44492" spans="1:1" x14ac:dyDescent="0.3">
      <c r="A44492" t="s">
        <v>0</v>
      </c>
    </row>
    <row r="44493" spans="1:1" x14ac:dyDescent="0.3">
      <c r="A44493" t="s">
        <v>0</v>
      </c>
    </row>
    <row r="44494" spans="1:1" x14ac:dyDescent="0.3">
      <c r="A44494" t="s">
        <v>0</v>
      </c>
    </row>
    <row r="44495" spans="1:1" x14ac:dyDescent="0.3">
      <c r="A44495" t="s">
        <v>0</v>
      </c>
    </row>
    <row r="44496" spans="1:1" x14ac:dyDescent="0.3">
      <c r="A44496" t="s">
        <v>0</v>
      </c>
    </row>
    <row r="44497" spans="1:1" x14ac:dyDescent="0.3">
      <c r="A44497" t="s">
        <v>0</v>
      </c>
    </row>
    <row r="44498" spans="1:1" x14ac:dyDescent="0.3">
      <c r="A44498" t="s">
        <v>0</v>
      </c>
    </row>
    <row r="44499" spans="1:1" x14ac:dyDescent="0.3">
      <c r="A44499" t="s">
        <v>0</v>
      </c>
    </row>
    <row r="44500" spans="1:1" x14ac:dyDescent="0.3">
      <c r="A44500" t="s">
        <v>0</v>
      </c>
    </row>
    <row r="44501" spans="1:1" x14ac:dyDescent="0.3">
      <c r="A44501" t="s">
        <v>0</v>
      </c>
    </row>
    <row r="44502" spans="1:1" x14ac:dyDescent="0.3">
      <c r="A44502" t="s">
        <v>0</v>
      </c>
    </row>
    <row r="44503" spans="1:1" x14ac:dyDescent="0.3">
      <c r="A44503" t="s">
        <v>0</v>
      </c>
    </row>
    <row r="44504" spans="1:1" x14ac:dyDescent="0.3">
      <c r="A44504" t="s">
        <v>0</v>
      </c>
    </row>
    <row r="44505" spans="1:1" x14ac:dyDescent="0.3">
      <c r="A44505" t="s">
        <v>0</v>
      </c>
    </row>
    <row r="44506" spans="1:1" x14ac:dyDescent="0.3">
      <c r="A44506" t="s">
        <v>0</v>
      </c>
    </row>
    <row r="44507" spans="1:1" x14ac:dyDescent="0.3">
      <c r="A44507" t="s">
        <v>0</v>
      </c>
    </row>
    <row r="44508" spans="1:1" x14ac:dyDescent="0.3">
      <c r="A44508" t="s">
        <v>0</v>
      </c>
    </row>
    <row r="44509" spans="1:1" x14ac:dyDescent="0.3">
      <c r="A44509" t="s">
        <v>0</v>
      </c>
    </row>
    <row r="44510" spans="1:1" x14ac:dyDescent="0.3">
      <c r="A44510" t="s">
        <v>0</v>
      </c>
    </row>
    <row r="44511" spans="1:1" x14ac:dyDescent="0.3">
      <c r="A44511" t="s">
        <v>0</v>
      </c>
    </row>
    <row r="44512" spans="1:1" x14ac:dyDescent="0.3">
      <c r="A44512" t="s">
        <v>0</v>
      </c>
    </row>
    <row r="44513" spans="1:1" x14ac:dyDescent="0.3">
      <c r="A44513" t="s">
        <v>0</v>
      </c>
    </row>
    <row r="44514" spans="1:1" x14ac:dyDescent="0.3">
      <c r="A44514" t="s">
        <v>0</v>
      </c>
    </row>
    <row r="44515" spans="1:1" x14ac:dyDescent="0.3">
      <c r="A44515" t="s">
        <v>0</v>
      </c>
    </row>
    <row r="44516" spans="1:1" x14ac:dyDescent="0.3">
      <c r="A44516" t="s">
        <v>0</v>
      </c>
    </row>
    <row r="44517" spans="1:1" x14ac:dyDescent="0.3">
      <c r="A44517" t="s">
        <v>0</v>
      </c>
    </row>
    <row r="44518" spans="1:1" x14ac:dyDescent="0.3">
      <c r="A44518" t="s">
        <v>0</v>
      </c>
    </row>
    <row r="44519" spans="1:1" x14ac:dyDescent="0.3">
      <c r="A44519" t="s">
        <v>0</v>
      </c>
    </row>
    <row r="44520" spans="1:1" x14ac:dyDescent="0.3">
      <c r="A44520" t="s">
        <v>0</v>
      </c>
    </row>
    <row r="44521" spans="1:1" x14ac:dyDescent="0.3">
      <c r="A44521" t="s">
        <v>0</v>
      </c>
    </row>
    <row r="44522" spans="1:1" x14ac:dyDescent="0.3">
      <c r="A44522" t="s">
        <v>0</v>
      </c>
    </row>
    <row r="44523" spans="1:1" x14ac:dyDescent="0.3">
      <c r="A44523" t="s">
        <v>0</v>
      </c>
    </row>
    <row r="44524" spans="1:1" x14ac:dyDescent="0.3">
      <c r="A44524" t="s">
        <v>0</v>
      </c>
    </row>
    <row r="44525" spans="1:1" x14ac:dyDescent="0.3">
      <c r="A44525" t="s">
        <v>0</v>
      </c>
    </row>
    <row r="44526" spans="1:1" x14ac:dyDescent="0.3">
      <c r="A44526" t="s">
        <v>0</v>
      </c>
    </row>
    <row r="44527" spans="1:1" x14ac:dyDescent="0.3">
      <c r="A44527" t="s">
        <v>0</v>
      </c>
    </row>
    <row r="44528" spans="1:1" x14ac:dyDescent="0.3">
      <c r="A44528" t="s">
        <v>0</v>
      </c>
    </row>
    <row r="44529" spans="1:1" x14ac:dyDescent="0.3">
      <c r="A44529" t="s">
        <v>0</v>
      </c>
    </row>
    <row r="44530" spans="1:1" x14ac:dyDescent="0.3">
      <c r="A44530" t="s">
        <v>0</v>
      </c>
    </row>
    <row r="44531" spans="1:1" x14ac:dyDescent="0.3">
      <c r="A44531" t="s">
        <v>0</v>
      </c>
    </row>
    <row r="44532" spans="1:1" x14ac:dyDescent="0.3">
      <c r="A44532" t="s">
        <v>0</v>
      </c>
    </row>
    <row r="44533" spans="1:1" x14ac:dyDescent="0.3">
      <c r="A44533" t="s">
        <v>0</v>
      </c>
    </row>
    <row r="44534" spans="1:1" x14ac:dyDescent="0.3">
      <c r="A44534" t="s">
        <v>0</v>
      </c>
    </row>
    <row r="44535" spans="1:1" x14ac:dyDescent="0.3">
      <c r="A44535" t="s">
        <v>0</v>
      </c>
    </row>
    <row r="44536" spans="1:1" x14ac:dyDescent="0.3">
      <c r="A44536" t="s">
        <v>0</v>
      </c>
    </row>
    <row r="44537" spans="1:1" x14ac:dyDescent="0.3">
      <c r="A44537" t="s">
        <v>0</v>
      </c>
    </row>
    <row r="44538" spans="1:1" x14ac:dyDescent="0.3">
      <c r="A44538" t="s">
        <v>0</v>
      </c>
    </row>
    <row r="44539" spans="1:1" x14ac:dyDescent="0.3">
      <c r="A44539" t="s">
        <v>0</v>
      </c>
    </row>
    <row r="44540" spans="1:1" x14ac:dyDescent="0.3">
      <c r="A44540" t="s">
        <v>0</v>
      </c>
    </row>
    <row r="44541" spans="1:1" x14ac:dyDescent="0.3">
      <c r="A44541" t="s">
        <v>0</v>
      </c>
    </row>
    <row r="44542" spans="1:1" x14ac:dyDescent="0.3">
      <c r="A44542" t="s">
        <v>0</v>
      </c>
    </row>
    <row r="44543" spans="1:1" x14ac:dyDescent="0.3">
      <c r="A44543" t="s">
        <v>0</v>
      </c>
    </row>
    <row r="44544" spans="1:1" x14ac:dyDescent="0.3">
      <c r="A44544" t="s">
        <v>0</v>
      </c>
    </row>
    <row r="44545" spans="1:1" x14ac:dyDescent="0.3">
      <c r="A44545" t="s">
        <v>0</v>
      </c>
    </row>
    <row r="44546" spans="1:1" x14ac:dyDescent="0.3">
      <c r="A44546" t="s">
        <v>0</v>
      </c>
    </row>
    <row r="44547" spans="1:1" x14ac:dyDescent="0.3">
      <c r="A44547" t="s">
        <v>0</v>
      </c>
    </row>
    <row r="44548" spans="1:1" x14ac:dyDescent="0.3">
      <c r="A44548" t="s">
        <v>0</v>
      </c>
    </row>
    <row r="44549" spans="1:1" x14ac:dyDescent="0.3">
      <c r="A44549" t="s">
        <v>0</v>
      </c>
    </row>
    <row r="44550" spans="1:1" x14ac:dyDescent="0.3">
      <c r="A44550" t="s">
        <v>0</v>
      </c>
    </row>
    <row r="44551" spans="1:1" x14ac:dyDescent="0.3">
      <c r="A44551" t="s">
        <v>0</v>
      </c>
    </row>
    <row r="44552" spans="1:1" x14ac:dyDescent="0.3">
      <c r="A44552" t="s">
        <v>0</v>
      </c>
    </row>
    <row r="44553" spans="1:1" x14ac:dyDescent="0.3">
      <c r="A44553" t="s">
        <v>0</v>
      </c>
    </row>
    <row r="44554" spans="1:1" x14ac:dyDescent="0.3">
      <c r="A44554" t="s">
        <v>0</v>
      </c>
    </row>
    <row r="44555" spans="1:1" x14ac:dyDescent="0.3">
      <c r="A44555" t="s">
        <v>0</v>
      </c>
    </row>
    <row r="44556" spans="1:1" x14ac:dyDescent="0.3">
      <c r="A44556" t="s">
        <v>0</v>
      </c>
    </row>
    <row r="44557" spans="1:1" x14ac:dyDescent="0.3">
      <c r="A44557" t="s">
        <v>0</v>
      </c>
    </row>
    <row r="44558" spans="1:1" x14ac:dyDescent="0.3">
      <c r="A44558" t="s">
        <v>0</v>
      </c>
    </row>
    <row r="44559" spans="1:1" x14ac:dyDescent="0.3">
      <c r="A44559" t="s">
        <v>0</v>
      </c>
    </row>
    <row r="44560" spans="1:1" x14ac:dyDescent="0.3">
      <c r="A44560" t="s">
        <v>0</v>
      </c>
    </row>
    <row r="44561" spans="1:1" x14ac:dyDescent="0.3">
      <c r="A44561" t="s">
        <v>0</v>
      </c>
    </row>
    <row r="44562" spans="1:1" x14ac:dyDescent="0.3">
      <c r="A44562" t="s">
        <v>0</v>
      </c>
    </row>
    <row r="44563" spans="1:1" x14ac:dyDescent="0.3">
      <c r="A44563" t="s">
        <v>0</v>
      </c>
    </row>
    <row r="44564" spans="1:1" x14ac:dyDescent="0.3">
      <c r="A44564" t="s">
        <v>0</v>
      </c>
    </row>
    <row r="44565" spans="1:1" x14ac:dyDescent="0.3">
      <c r="A44565" t="s">
        <v>0</v>
      </c>
    </row>
    <row r="44566" spans="1:1" x14ac:dyDescent="0.3">
      <c r="A44566" t="s">
        <v>0</v>
      </c>
    </row>
    <row r="44567" spans="1:1" x14ac:dyDescent="0.3">
      <c r="A44567" t="s">
        <v>0</v>
      </c>
    </row>
    <row r="44568" spans="1:1" x14ac:dyDescent="0.3">
      <c r="A44568" t="s">
        <v>0</v>
      </c>
    </row>
    <row r="44569" spans="1:1" x14ac:dyDescent="0.3">
      <c r="A44569" t="s">
        <v>0</v>
      </c>
    </row>
    <row r="44570" spans="1:1" x14ac:dyDescent="0.3">
      <c r="A44570" t="s">
        <v>0</v>
      </c>
    </row>
    <row r="44571" spans="1:1" x14ac:dyDescent="0.3">
      <c r="A44571" t="s">
        <v>0</v>
      </c>
    </row>
    <row r="44572" spans="1:1" x14ac:dyDescent="0.3">
      <c r="A44572" t="s">
        <v>0</v>
      </c>
    </row>
    <row r="44573" spans="1:1" x14ac:dyDescent="0.3">
      <c r="A44573" t="s">
        <v>0</v>
      </c>
    </row>
    <row r="44574" spans="1:1" x14ac:dyDescent="0.3">
      <c r="A44574" t="s">
        <v>0</v>
      </c>
    </row>
    <row r="44575" spans="1:1" x14ac:dyDescent="0.3">
      <c r="A44575" t="s">
        <v>0</v>
      </c>
    </row>
    <row r="44576" spans="1:1" x14ac:dyDescent="0.3">
      <c r="A44576" t="s">
        <v>0</v>
      </c>
    </row>
    <row r="44577" spans="1:1" x14ac:dyDescent="0.3">
      <c r="A44577" t="s">
        <v>0</v>
      </c>
    </row>
    <row r="44578" spans="1:1" x14ac:dyDescent="0.3">
      <c r="A44578" t="s">
        <v>0</v>
      </c>
    </row>
    <row r="44579" spans="1:1" x14ac:dyDescent="0.3">
      <c r="A44579" t="s">
        <v>0</v>
      </c>
    </row>
    <row r="44580" spans="1:1" x14ac:dyDescent="0.3">
      <c r="A44580" t="s">
        <v>0</v>
      </c>
    </row>
    <row r="44581" spans="1:1" x14ac:dyDescent="0.3">
      <c r="A44581" t="s">
        <v>0</v>
      </c>
    </row>
    <row r="44582" spans="1:1" x14ac:dyDescent="0.3">
      <c r="A44582" t="s">
        <v>0</v>
      </c>
    </row>
    <row r="44583" spans="1:1" x14ac:dyDescent="0.3">
      <c r="A44583" t="s">
        <v>0</v>
      </c>
    </row>
    <row r="44584" spans="1:1" x14ac:dyDescent="0.3">
      <c r="A44584" t="s">
        <v>0</v>
      </c>
    </row>
    <row r="44585" spans="1:1" x14ac:dyDescent="0.3">
      <c r="A44585" t="s">
        <v>0</v>
      </c>
    </row>
    <row r="44586" spans="1:1" x14ac:dyDescent="0.3">
      <c r="A44586" t="s">
        <v>0</v>
      </c>
    </row>
    <row r="44587" spans="1:1" x14ac:dyDescent="0.3">
      <c r="A44587" t="s">
        <v>0</v>
      </c>
    </row>
    <row r="44588" spans="1:1" x14ac:dyDescent="0.3">
      <c r="A44588" t="s">
        <v>0</v>
      </c>
    </row>
    <row r="44589" spans="1:1" x14ac:dyDescent="0.3">
      <c r="A44589" t="s">
        <v>0</v>
      </c>
    </row>
    <row r="44590" spans="1:1" x14ac:dyDescent="0.3">
      <c r="A44590" t="s">
        <v>0</v>
      </c>
    </row>
    <row r="44591" spans="1:1" x14ac:dyDescent="0.3">
      <c r="A44591" t="s">
        <v>0</v>
      </c>
    </row>
    <row r="44592" spans="1:1" x14ac:dyDescent="0.3">
      <c r="A44592" t="s">
        <v>0</v>
      </c>
    </row>
    <row r="44593" spans="1:1" x14ac:dyDescent="0.3">
      <c r="A44593" t="s">
        <v>0</v>
      </c>
    </row>
    <row r="44594" spans="1:1" x14ac:dyDescent="0.3">
      <c r="A44594" t="s">
        <v>0</v>
      </c>
    </row>
    <row r="44595" spans="1:1" x14ac:dyDescent="0.3">
      <c r="A44595" t="s">
        <v>0</v>
      </c>
    </row>
    <row r="44596" spans="1:1" x14ac:dyDescent="0.3">
      <c r="A44596" t="s">
        <v>0</v>
      </c>
    </row>
    <row r="44597" spans="1:1" x14ac:dyDescent="0.3">
      <c r="A44597" t="s">
        <v>0</v>
      </c>
    </row>
    <row r="44598" spans="1:1" x14ac:dyDescent="0.3">
      <c r="A44598" t="s">
        <v>0</v>
      </c>
    </row>
    <row r="44599" spans="1:1" x14ac:dyDescent="0.3">
      <c r="A44599" t="s">
        <v>0</v>
      </c>
    </row>
    <row r="44600" spans="1:1" x14ac:dyDescent="0.3">
      <c r="A44600" t="s">
        <v>0</v>
      </c>
    </row>
    <row r="44601" spans="1:1" x14ac:dyDescent="0.3">
      <c r="A44601" t="s">
        <v>0</v>
      </c>
    </row>
    <row r="44602" spans="1:1" x14ac:dyDescent="0.3">
      <c r="A44602" t="s">
        <v>0</v>
      </c>
    </row>
    <row r="44603" spans="1:1" x14ac:dyDescent="0.3">
      <c r="A44603" t="s">
        <v>0</v>
      </c>
    </row>
    <row r="44604" spans="1:1" x14ac:dyDescent="0.3">
      <c r="A44604" t="s">
        <v>0</v>
      </c>
    </row>
    <row r="44605" spans="1:1" x14ac:dyDescent="0.3">
      <c r="A44605" t="s">
        <v>0</v>
      </c>
    </row>
    <row r="44606" spans="1:1" x14ac:dyDescent="0.3">
      <c r="A44606" t="s">
        <v>0</v>
      </c>
    </row>
    <row r="44607" spans="1:1" x14ac:dyDescent="0.3">
      <c r="A44607" t="s">
        <v>0</v>
      </c>
    </row>
    <row r="44608" spans="1:1" x14ac:dyDescent="0.3">
      <c r="A44608" t="s">
        <v>0</v>
      </c>
    </row>
    <row r="44609" spans="1:1" x14ac:dyDescent="0.3">
      <c r="A44609" t="s">
        <v>0</v>
      </c>
    </row>
    <row r="44610" spans="1:1" x14ac:dyDescent="0.3">
      <c r="A44610" t="s">
        <v>0</v>
      </c>
    </row>
    <row r="44611" spans="1:1" x14ac:dyDescent="0.3">
      <c r="A44611" t="s">
        <v>0</v>
      </c>
    </row>
    <row r="44612" spans="1:1" x14ac:dyDescent="0.3">
      <c r="A44612" t="s">
        <v>0</v>
      </c>
    </row>
    <row r="44613" spans="1:1" x14ac:dyDescent="0.3">
      <c r="A44613" t="s">
        <v>0</v>
      </c>
    </row>
    <row r="44614" spans="1:1" x14ac:dyDescent="0.3">
      <c r="A44614" t="s">
        <v>0</v>
      </c>
    </row>
    <row r="44615" spans="1:1" x14ac:dyDescent="0.3">
      <c r="A44615" t="s">
        <v>0</v>
      </c>
    </row>
    <row r="44616" spans="1:1" x14ac:dyDescent="0.3">
      <c r="A44616" t="s">
        <v>0</v>
      </c>
    </row>
    <row r="44617" spans="1:1" x14ac:dyDescent="0.3">
      <c r="A44617" t="s">
        <v>0</v>
      </c>
    </row>
    <row r="44618" spans="1:1" x14ac:dyDescent="0.3">
      <c r="A44618" t="s">
        <v>0</v>
      </c>
    </row>
    <row r="44619" spans="1:1" x14ac:dyDescent="0.3">
      <c r="A44619" t="s">
        <v>0</v>
      </c>
    </row>
    <row r="44620" spans="1:1" x14ac:dyDescent="0.3">
      <c r="A44620" t="s">
        <v>0</v>
      </c>
    </row>
    <row r="44621" spans="1:1" x14ac:dyDescent="0.3">
      <c r="A44621" t="s">
        <v>0</v>
      </c>
    </row>
    <row r="44622" spans="1:1" x14ac:dyDescent="0.3">
      <c r="A44622" t="s">
        <v>0</v>
      </c>
    </row>
    <row r="44623" spans="1:1" x14ac:dyDescent="0.3">
      <c r="A44623" t="s">
        <v>0</v>
      </c>
    </row>
    <row r="44624" spans="1:1" x14ac:dyDescent="0.3">
      <c r="A44624" t="s">
        <v>0</v>
      </c>
    </row>
    <row r="44625" spans="1:1" x14ac:dyDescent="0.3">
      <c r="A44625" t="s">
        <v>0</v>
      </c>
    </row>
    <row r="44626" spans="1:1" x14ac:dyDescent="0.3">
      <c r="A44626" t="s">
        <v>0</v>
      </c>
    </row>
    <row r="44627" spans="1:1" x14ac:dyDescent="0.3">
      <c r="A44627" t="s">
        <v>0</v>
      </c>
    </row>
    <row r="44628" spans="1:1" x14ac:dyDescent="0.3">
      <c r="A44628" t="s">
        <v>0</v>
      </c>
    </row>
    <row r="44629" spans="1:1" x14ac:dyDescent="0.3">
      <c r="A44629" t="s">
        <v>0</v>
      </c>
    </row>
    <row r="44630" spans="1:1" x14ac:dyDescent="0.3">
      <c r="A44630" t="s">
        <v>0</v>
      </c>
    </row>
    <row r="44631" spans="1:1" x14ac:dyDescent="0.3">
      <c r="A44631" t="s">
        <v>0</v>
      </c>
    </row>
    <row r="44632" spans="1:1" x14ac:dyDescent="0.3">
      <c r="A44632" t="s">
        <v>0</v>
      </c>
    </row>
    <row r="44633" spans="1:1" x14ac:dyDescent="0.3">
      <c r="A44633" t="s">
        <v>0</v>
      </c>
    </row>
    <row r="44634" spans="1:1" x14ac:dyDescent="0.3">
      <c r="A44634" t="s">
        <v>0</v>
      </c>
    </row>
    <row r="44635" spans="1:1" x14ac:dyDescent="0.3">
      <c r="A44635" t="s">
        <v>0</v>
      </c>
    </row>
    <row r="44636" spans="1:1" x14ac:dyDescent="0.3">
      <c r="A44636" t="s">
        <v>0</v>
      </c>
    </row>
    <row r="44637" spans="1:1" x14ac:dyDescent="0.3">
      <c r="A44637" t="s">
        <v>0</v>
      </c>
    </row>
    <row r="44638" spans="1:1" x14ac:dyDescent="0.3">
      <c r="A44638" t="s">
        <v>0</v>
      </c>
    </row>
    <row r="44639" spans="1:1" x14ac:dyDescent="0.3">
      <c r="A44639" t="s">
        <v>0</v>
      </c>
    </row>
    <row r="44640" spans="1:1" x14ac:dyDescent="0.3">
      <c r="A44640" t="s">
        <v>0</v>
      </c>
    </row>
    <row r="44641" spans="1:1" x14ac:dyDescent="0.3">
      <c r="A44641" t="s">
        <v>0</v>
      </c>
    </row>
    <row r="44642" spans="1:1" x14ac:dyDescent="0.3">
      <c r="A44642" t="s">
        <v>0</v>
      </c>
    </row>
    <row r="44643" spans="1:1" x14ac:dyDescent="0.3">
      <c r="A44643" t="s">
        <v>0</v>
      </c>
    </row>
    <row r="44644" spans="1:1" x14ac:dyDescent="0.3">
      <c r="A44644" t="s">
        <v>0</v>
      </c>
    </row>
    <row r="44645" spans="1:1" x14ac:dyDescent="0.3">
      <c r="A44645" t="s">
        <v>0</v>
      </c>
    </row>
    <row r="44646" spans="1:1" x14ac:dyDescent="0.3">
      <c r="A44646" t="s">
        <v>0</v>
      </c>
    </row>
    <row r="44647" spans="1:1" x14ac:dyDescent="0.3">
      <c r="A44647" t="s">
        <v>0</v>
      </c>
    </row>
    <row r="44648" spans="1:1" x14ac:dyDescent="0.3">
      <c r="A44648" t="s">
        <v>0</v>
      </c>
    </row>
    <row r="44649" spans="1:1" x14ac:dyDescent="0.3">
      <c r="A44649" t="s">
        <v>0</v>
      </c>
    </row>
    <row r="44650" spans="1:1" x14ac:dyDescent="0.3">
      <c r="A44650" t="s">
        <v>0</v>
      </c>
    </row>
    <row r="44651" spans="1:1" x14ac:dyDescent="0.3">
      <c r="A44651" t="s">
        <v>0</v>
      </c>
    </row>
    <row r="44652" spans="1:1" x14ac:dyDescent="0.3">
      <c r="A44652" t="s">
        <v>0</v>
      </c>
    </row>
    <row r="44653" spans="1:1" x14ac:dyDescent="0.3">
      <c r="A44653" t="s">
        <v>0</v>
      </c>
    </row>
    <row r="44654" spans="1:1" x14ac:dyDescent="0.3">
      <c r="A44654" t="s">
        <v>0</v>
      </c>
    </row>
    <row r="44655" spans="1:1" x14ac:dyDescent="0.3">
      <c r="A44655" t="s">
        <v>0</v>
      </c>
    </row>
    <row r="44656" spans="1:1" x14ac:dyDescent="0.3">
      <c r="A44656" t="s">
        <v>0</v>
      </c>
    </row>
    <row r="44657" spans="1:1" x14ac:dyDescent="0.3">
      <c r="A44657" t="s">
        <v>0</v>
      </c>
    </row>
    <row r="44658" spans="1:1" x14ac:dyDescent="0.3">
      <c r="A44658" t="s">
        <v>0</v>
      </c>
    </row>
    <row r="44659" spans="1:1" x14ac:dyDescent="0.3">
      <c r="A44659" t="s">
        <v>0</v>
      </c>
    </row>
    <row r="44660" spans="1:1" x14ac:dyDescent="0.3">
      <c r="A44660" t="s">
        <v>0</v>
      </c>
    </row>
    <row r="44661" spans="1:1" x14ac:dyDescent="0.3">
      <c r="A44661" t="s">
        <v>0</v>
      </c>
    </row>
    <row r="44662" spans="1:1" x14ac:dyDescent="0.3">
      <c r="A44662" t="s">
        <v>0</v>
      </c>
    </row>
    <row r="44663" spans="1:1" x14ac:dyDescent="0.3">
      <c r="A44663" t="s">
        <v>0</v>
      </c>
    </row>
    <row r="44664" spans="1:1" x14ac:dyDescent="0.3">
      <c r="A44664" t="s">
        <v>0</v>
      </c>
    </row>
    <row r="44665" spans="1:1" x14ac:dyDescent="0.3">
      <c r="A44665" t="s">
        <v>0</v>
      </c>
    </row>
    <row r="44666" spans="1:1" x14ac:dyDescent="0.3">
      <c r="A44666" t="s">
        <v>0</v>
      </c>
    </row>
    <row r="44667" spans="1:1" x14ac:dyDescent="0.3">
      <c r="A44667" t="s">
        <v>0</v>
      </c>
    </row>
    <row r="44668" spans="1:1" x14ac:dyDescent="0.3">
      <c r="A44668" t="s">
        <v>0</v>
      </c>
    </row>
    <row r="44669" spans="1:1" x14ac:dyDescent="0.3">
      <c r="A44669" t="s">
        <v>0</v>
      </c>
    </row>
    <row r="44670" spans="1:1" x14ac:dyDescent="0.3">
      <c r="A44670" t="s">
        <v>0</v>
      </c>
    </row>
    <row r="44671" spans="1:1" x14ac:dyDescent="0.3">
      <c r="A44671" t="s">
        <v>0</v>
      </c>
    </row>
    <row r="44672" spans="1:1" x14ac:dyDescent="0.3">
      <c r="A44672" t="s">
        <v>0</v>
      </c>
    </row>
    <row r="44673" spans="1:1" x14ac:dyDescent="0.3">
      <c r="A44673" t="s">
        <v>0</v>
      </c>
    </row>
    <row r="44674" spans="1:1" x14ac:dyDescent="0.3">
      <c r="A44674" t="s">
        <v>0</v>
      </c>
    </row>
    <row r="44675" spans="1:1" x14ac:dyDescent="0.3">
      <c r="A44675" t="s">
        <v>0</v>
      </c>
    </row>
    <row r="44676" spans="1:1" x14ac:dyDescent="0.3">
      <c r="A44676" t="s">
        <v>0</v>
      </c>
    </row>
    <row r="44677" spans="1:1" x14ac:dyDescent="0.3">
      <c r="A44677" t="s">
        <v>0</v>
      </c>
    </row>
    <row r="44678" spans="1:1" x14ac:dyDescent="0.3">
      <c r="A44678" t="s">
        <v>0</v>
      </c>
    </row>
    <row r="44679" spans="1:1" x14ac:dyDescent="0.3">
      <c r="A44679" t="s">
        <v>0</v>
      </c>
    </row>
    <row r="44680" spans="1:1" x14ac:dyDescent="0.3">
      <c r="A44680" t="s">
        <v>0</v>
      </c>
    </row>
    <row r="44681" spans="1:1" x14ac:dyDescent="0.3">
      <c r="A44681" t="s">
        <v>0</v>
      </c>
    </row>
    <row r="44682" spans="1:1" x14ac:dyDescent="0.3">
      <c r="A44682" t="s">
        <v>0</v>
      </c>
    </row>
    <row r="44683" spans="1:1" x14ac:dyDescent="0.3">
      <c r="A44683" t="s">
        <v>0</v>
      </c>
    </row>
    <row r="44684" spans="1:1" x14ac:dyDescent="0.3">
      <c r="A44684" t="s">
        <v>0</v>
      </c>
    </row>
    <row r="44685" spans="1:1" x14ac:dyDescent="0.3">
      <c r="A44685" t="s">
        <v>0</v>
      </c>
    </row>
    <row r="44686" spans="1:1" x14ac:dyDescent="0.3">
      <c r="A44686" t="s">
        <v>0</v>
      </c>
    </row>
    <row r="44687" spans="1:1" x14ac:dyDescent="0.3">
      <c r="A44687" t="s">
        <v>0</v>
      </c>
    </row>
    <row r="44688" spans="1:1" x14ac:dyDescent="0.3">
      <c r="A44688" t="s">
        <v>0</v>
      </c>
    </row>
    <row r="44689" spans="1:1" x14ac:dyDescent="0.3">
      <c r="A44689" t="s">
        <v>0</v>
      </c>
    </row>
    <row r="44690" spans="1:1" x14ac:dyDescent="0.3">
      <c r="A44690" t="s">
        <v>0</v>
      </c>
    </row>
    <row r="44691" spans="1:1" x14ac:dyDescent="0.3">
      <c r="A44691" t="s">
        <v>0</v>
      </c>
    </row>
    <row r="44692" spans="1:1" x14ac:dyDescent="0.3">
      <c r="A44692" t="s">
        <v>0</v>
      </c>
    </row>
    <row r="44693" spans="1:1" x14ac:dyDescent="0.3">
      <c r="A44693" t="s">
        <v>0</v>
      </c>
    </row>
    <row r="44694" spans="1:1" x14ac:dyDescent="0.3">
      <c r="A44694" t="s">
        <v>0</v>
      </c>
    </row>
    <row r="44695" spans="1:1" x14ac:dyDescent="0.3">
      <c r="A44695" t="s">
        <v>0</v>
      </c>
    </row>
    <row r="44696" spans="1:1" x14ac:dyDescent="0.3">
      <c r="A44696" t="s">
        <v>0</v>
      </c>
    </row>
    <row r="44697" spans="1:1" x14ac:dyDescent="0.3">
      <c r="A44697" t="s">
        <v>0</v>
      </c>
    </row>
    <row r="44698" spans="1:1" x14ac:dyDescent="0.3">
      <c r="A44698" t="s">
        <v>0</v>
      </c>
    </row>
    <row r="44699" spans="1:1" x14ac:dyDescent="0.3">
      <c r="A44699" t="s">
        <v>0</v>
      </c>
    </row>
    <row r="44700" spans="1:1" x14ac:dyDescent="0.3">
      <c r="A44700" t="s">
        <v>0</v>
      </c>
    </row>
    <row r="44701" spans="1:1" x14ac:dyDescent="0.3">
      <c r="A44701" t="s">
        <v>0</v>
      </c>
    </row>
    <row r="44702" spans="1:1" x14ac:dyDescent="0.3">
      <c r="A44702" t="s">
        <v>0</v>
      </c>
    </row>
    <row r="44703" spans="1:1" x14ac:dyDescent="0.3">
      <c r="A44703" t="s">
        <v>0</v>
      </c>
    </row>
    <row r="44704" spans="1:1" x14ac:dyDescent="0.3">
      <c r="A44704" t="s">
        <v>0</v>
      </c>
    </row>
    <row r="44705" spans="1:1" x14ac:dyDescent="0.3">
      <c r="A44705" t="s">
        <v>0</v>
      </c>
    </row>
    <row r="44706" spans="1:1" x14ac:dyDescent="0.3">
      <c r="A44706" t="s">
        <v>0</v>
      </c>
    </row>
    <row r="44707" spans="1:1" x14ac:dyDescent="0.3">
      <c r="A44707" t="s">
        <v>0</v>
      </c>
    </row>
    <row r="44708" spans="1:1" x14ac:dyDescent="0.3">
      <c r="A44708" t="s">
        <v>0</v>
      </c>
    </row>
    <row r="44709" spans="1:1" x14ac:dyDescent="0.3">
      <c r="A44709" t="s">
        <v>0</v>
      </c>
    </row>
    <row r="44710" spans="1:1" x14ac:dyDescent="0.3">
      <c r="A44710" t="s">
        <v>0</v>
      </c>
    </row>
    <row r="44711" spans="1:1" x14ac:dyDescent="0.3">
      <c r="A44711" t="s">
        <v>0</v>
      </c>
    </row>
    <row r="44712" spans="1:1" x14ac:dyDescent="0.3">
      <c r="A44712" t="s">
        <v>0</v>
      </c>
    </row>
    <row r="44713" spans="1:1" x14ac:dyDescent="0.3">
      <c r="A44713" t="s">
        <v>0</v>
      </c>
    </row>
    <row r="44714" spans="1:1" x14ac:dyDescent="0.3">
      <c r="A44714" t="s">
        <v>0</v>
      </c>
    </row>
    <row r="44715" spans="1:1" x14ac:dyDescent="0.3">
      <c r="A44715" t="s">
        <v>0</v>
      </c>
    </row>
    <row r="44716" spans="1:1" x14ac:dyDescent="0.3">
      <c r="A44716" t="s">
        <v>0</v>
      </c>
    </row>
    <row r="44717" spans="1:1" x14ac:dyDescent="0.3">
      <c r="A44717" t="s">
        <v>0</v>
      </c>
    </row>
    <row r="44718" spans="1:1" x14ac:dyDescent="0.3">
      <c r="A44718" t="s">
        <v>0</v>
      </c>
    </row>
    <row r="44719" spans="1:1" x14ac:dyDescent="0.3">
      <c r="A44719" t="s">
        <v>0</v>
      </c>
    </row>
    <row r="44720" spans="1:1" x14ac:dyDescent="0.3">
      <c r="A44720" t="s">
        <v>0</v>
      </c>
    </row>
    <row r="44721" spans="1:1" x14ac:dyDescent="0.3">
      <c r="A44721" t="s">
        <v>0</v>
      </c>
    </row>
    <row r="44722" spans="1:1" x14ac:dyDescent="0.3">
      <c r="A44722" t="s">
        <v>0</v>
      </c>
    </row>
    <row r="44723" spans="1:1" x14ac:dyDescent="0.3">
      <c r="A44723" t="s">
        <v>0</v>
      </c>
    </row>
    <row r="44724" spans="1:1" x14ac:dyDescent="0.3">
      <c r="A44724" t="s">
        <v>0</v>
      </c>
    </row>
    <row r="44725" spans="1:1" x14ac:dyDescent="0.3">
      <c r="A44725" t="s">
        <v>0</v>
      </c>
    </row>
    <row r="44726" spans="1:1" x14ac:dyDescent="0.3">
      <c r="A44726" t="s">
        <v>0</v>
      </c>
    </row>
    <row r="44727" spans="1:1" x14ac:dyDescent="0.3">
      <c r="A44727" t="s">
        <v>0</v>
      </c>
    </row>
    <row r="44728" spans="1:1" x14ac:dyDescent="0.3">
      <c r="A44728" t="s">
        <v>0</v>
      </c>
    </row>
    <row r="44729" spans="1:1" x14ac:dyDescent="0.3">
      <c r="A44729" t="s">
        <v>0</v>
      </c>
    </row>
    <row r="44730" spans="1:1" x14ac:dyDescent="0.3">
      <c r="A44730" t="s">
        <v>0</v>
      </c>
    </row>
    <row r="44731" spans="1:1" x14ac:dyDescent="0.3">
      <c r="A44731" t="s">
        <v>0</v>
      </c>
    </row>
    <row r="44732" spans="1:1" x14ac:dyDescent="0.3">
      <c r="A44732" t="s">
        <v>0</v>
      </c>
    </row>
    <row r="44733" spans="1:1" x14ac:dyDescent="0.3">
      <c r="A44733" t="s">
        <v>0</v>
      </c>
    </row>
    <row r="44734" spans="1:1" x14ac:dyDescent="0.3">
      <c r="A44734" t="s">
        <v>0</v>
      </c>
    </row>
    <row r="44735" spans="1:1" x14ac:dyDescent="0.3">
      <c r="A44735" t="s">
        <v>0</v>
      </c>
    </row>
    <row r="44736" spans="1:1" x14ac:dyDescent="0.3">
      <c r="A44736" t="s">
        <v>0</v>
      </c>
    </row>
    <row r="44737" spans="1:1" x14ac:dyDescent="0.3">
      <c r="A44737" t="s">
        <v>0</v>
      </c>
    </row>
    <row r="44738" spans="1:1" x14ac:dyDescent="0.3">
      <c r="A44738" t="s">
        <v>0</v>
      </c>
    </row>
    <row r="44739" spans="1:1" x14ac:dyDescent="0.3">
      <c r="A44739" t="s">
        <v>0</v>
      </c>
    </row>
    <row r="44740" spans="1:1" x14ac:dyDescent="0.3">
      <c r="A44740" t="s">
        <v>0</v>
      </c>
    </row>
    <row r="44741" spans="1:1" x14ac:dyDescent="0.3">
      <c r="A44741" t="s">
        <v>0</v>
      </c>
    </row>
    <row r="44742" spans="1:1" x14ac:dyDescent="0.3">
      <c r="A44742" t="s">
        <v>0</v>
      </c>
    </row>
    <row r="44743" spans="1:1" x14ac:dyDescent="0.3">
      <c r="A44743" t="s">
        <v>0</v>
      </c>
    </row>
    <row r="44744" spans="1:1" x14ac:dyDescent="0.3">
      <c r="A44744" t="s">
        <v>0</v>
      </c>
    </row>
    <row r="44745" spans="1:1" x14ac:dyDescent="0.3">
      <c r="A44745" t="s">
        <v>0</v>
      </c>
    </row>
    <row r="44746" spans="1:1" x14ac:dyDescent="0.3">
      <c r="A44746" t="s">
        <v>0</v>
      </c>
    </row>
    <row r="44747" spans="1:1" x14ac:dyDescent="0.3">
      <c r="A44747" t="s">
        <v>0</v>
      </c>
    </row>
    <row r="44748" spans="1:1" x14ac:dyDescent="0.3">
      <c r="A44748" t="s">
        <v>0</v>
      </c>
    </row>
    <row r="44749" spans="1:1" x14ac:dyDescent="0.3">
      <c r="A44749" t="s">
        <v>0</v>
      </c>
    </row>
    <row r="44750" spans="1:1" x14ac:dyDescent="0.3">
      <c r="A44750" t="s">
        <v>0</v>
      </c>
    </row>
    <row r="44751" spans="1:1" x14ac:dyDescent="0.3">
      <c r="A44751" t="s">
        <v>0</v>
      </c>
    </row>
    <row r="44752" spans="1:1" x14ac:dyDescent="0.3">
      <c r="A44752" t="s">
        <v>0</v>
      </c>
    </row>
    <row r="44753" spans="1:1" x14ac:dyDescent="0.3">
      <c r="A44753" t="s">
        <v>0</v>
      </c>
    </row>
    <row r="44754" spans="1:1" x14ac:dyDescent="0.3">
      <c r="A44754" t="s">
        <v>0</v>
      </c>
    </row>
    <row r="44755" spans="1:1" x14ac:dyDescent="0.3">
      <c r="A44755" t="s">
        <v>0</v>
      </c>
    </row>
    <row r="44756" spans="1:1" x14ac:dyDescent="0.3">
      <c r="A44756" t="s">
        <v>0</v>
      </c>
    </row>
    <row r="44757" spans="1:1" x14ac:dyDescent="0.3">
      <c r="A44757" t="s">
        <v>0</v>
      </c>
    </row>
    <row r="44758" spans="1:1" x14ac:dyDescent="0.3">
      <c r="A44758" t="s">
        <v>0</v>
      </c>
    </row>
    <row r="44759" spans="1:1" x14ac:dyDescent="0.3">
      <c r="A44759" t="s">
        <v>0</v>
      </c>
    </row>
    <row r="44760" spans="1:1" x14ac:dyDescent="0.3">
      <c r="A44760" t="s">
        <v>0</v>
      </c>
    </row>
    <row r="44761" spans="1:1" x14ac:dyDescent="0.3">
      <c r="A44761" t="s">
        <v>0</v>
      </c>
    </row>
    <row r="44762" spans="1:1" x14ac:dyDescent="0.3">
      <c r="A44762" t="s">
        <v>0</v>
      </c>
    </row>
    <row r="44763" spans="1:1" x14ac:dyDescent="0.3">
      <c r="A44763" t="s">
        <v>0</v>
      </c>
    </row>
    <row r="44764" spans="1:1" x14ac:dyDescent="0.3">
      <c r="A44764" t="s">
        <v>0</v>
      </c>
    </row>
    <row r="44765" spans="1:1" x14ac:dyDescent="0.3">
      <c r="A44765" t="s">
        <v>0</v>
      </c>
    </row>
    <row r="44766" spans="1:1" x14ac:dyDescent="0.3">
      <c r="A44766" t="s">
        <v>0</v>
      </c>
    </row>
    <row r="44767" spans="1:1" x14ac:dyDescent="0.3">
      <c r="A44767" t="s">
        <v>0</v>
      </c>
    </row>
    <row r="44768" spans="1:1" x14ac:dyDescent="0.3">
      <c r="A44768" t="s">
        <v>0</v>
      </c>
    </row>
    <row r="44769" spans="1:1" x14ac:dyDescent="0.3">
      <c r="A44769" t="s">
        <v>0</v>
      </c>
    </row>
    <row r="44770" spans="1:1" x14ac:dyDescent="0.3">
      <c r="A44770" t="s">
        <v>0</v>
      </c>
    </row>
    <row r="44771" spans="1:1" x14ac:dyDescent="0.3">
      <c r="A44771" t="s">
        <v>0</v>
      </c>
    </row>
    <row r="44772" spans="1:1" x14ac:dyDescent="0.3">
      <c r="A44772" t="s">
        <v>0</v>
      </c>
    </row>
    <row r="44773" spans="1:1" x14ac:dyDescent="0.3">
      <c r="A44773" t="s">
        <v>0</v>
      </c>
    </row>
    <row r="44774" spans="1:1" x14ac:dyDescent="0.3">
      <c r="A44774" t="s">
        <v>0</v>
      </c>
    </row>
    <row r="44775" spans="1:1" x14ac:dyDescent="0.3">
      <c r="A44775" t="s">
        <v>0</v>
      </c>
    </row>
    <row r="44776" spans="1:1" x14ac:dyDescent="0.3">
      <c r="A44776" t="s">
        <v>0</v>
      </c>
    </row>
    <row r="44777" spans="1:1" x14ac:dyDescent="0.3">
      <c r="A44777" t="s">
        <v>0</v>
      </c>
    </row>
    <row r="44778" spans="1:1" x14ac:dyDescent="0.3">
      <c r="A44778" t="s">
        <v>0</v>
      </c>
    </row>
    <row r="44779" spans="1:1" x14ac:dyDescent="0.3">
      <c r="A44779" t="s">
        <v>0</v>
      </c>
    </row>
    <row r="44780" spans="1:1" x14ac:dyDescent="0.3">
      <c r="A44780" t="s">
        <v>0</v>
      </c>
    </row>
    <row r="44781" spans="1:1" x14ac:dyDescent="0.3">
      <c r="A44781" t="s">
        <v>0</v>
      </c>
    </row>
    <row r="44782" spans="1:1" x14ac:dyDescent="0.3">
      <c r="A44782" t="s">
        <v>0</v>
      </c>
    </row>
    <row r="44783" spans="1:1" x14ac:dyDescent="0.3">
      <c r="A44783" t="s">
        <v>0</v>
      </c>
    </row>
    <row r="44784" spans="1:1" x14ac:dyDescent="0.3">
      <c r="A44784" t="s">
        <v>0</v>
      </c>
    </row>
    <row r="44785" spans="1:1" x14ac:dyDescent="0.3">
      <c r="A44785" t="s">
        <v>0</v>
      </c>
    </row>
    <row r="44786" spans="1:1" x14ac:dyDescent="0.3">
      <c r="A44786" t="s">
        <v>0</v>
      </c>
    </row>
    <row r="44787" spans="1:1" x14ac:dyDescent="0.3">
      <c r="A44787" t="s">
        <v>0</v>
      </c>
    </row>
    <row r="44788" spans="1:1" x14ac:dyDescent="0.3">
      <c r="A44788" t="s">
        <v>0</v>
      </c>
    </row>
    <row r="44789" spans="1:1" x14ac:dyDescent="0.3">
      <c r="A44789" t="s">
        <v>0</v>
      </c>
    </row>
    <row r="44790" spans="1:1" x14ac:dyDescent="0.3">
      <c r="A44790" t="s">
        <v>0</v>
      </c>
    </row>
    <row r="44791" spans="1:1" x14ac:dyDescent="0.3">
      <c r="A44791" t="s">
        <v>0</v>
      </c>
    </row>
    <row r="44792" spans="1:1" x14ac:dyDescent="0.3">
      <c r="A44792" t="s">
        <v>0</v>
      </c>
    </row>
    <row r="44793" spans="1:1" x14ac:dyDescent="0.3">
      <c r="A44793" t="s">
        <v>0</v>
      </c>
    </row>
    <row r="44794" spans="1:1" x14ac:dyDescent="0.3">
      <c r="A44794" t="s">
        <v>0</v>
      </c>
    </row>
    <row r="44795" spans="1:1" x14ac:dyDescent="0.3">
      <c r="A44795" t="s">
        <v>0</v>
      </c>
    </row>
    <row r="44796" spans="1:1" x14ac:dyDescent="0.3">
      <c r="A44796" t="s">
        <v>0</v>
      </c>
    </row>
    <row r="44797" spans="1:1" x14ac:dyDescent="0.3">
      <c r="A44797" t="s">
        <v>0</v>
      </c>
    </row>
    <row r="44798" spans="1:1" x14ac:dyDescent="0.3">
      <c r="A44798" t="s">
        <v>0</v>
      </c>
    </row>
    <row r="44799" spans="1:1" x14ac:dyDescent="0.3">
      <c r="A44799" t="s">
        <v>0</v>
      </c>
    </row>
    <row r="44800" spans="1:1" x14ac:dyDescent="0.3">
      <c r="A44800" t="s">
        <v>0</v>
      </c>
    </row>
    <row r="44801" spans="1:1" x14ac:dyDescent="0.3">
      <c r="A44801" t="s">
        <v>0</v>
      </c>
    </row>
    <row r="44802" spans="1:1" x14ac:dyDescent="0.3">
      <c r="A44802" t="s">
        <v>0</v>
      </c>
    </row>
    <row r="44803" spans="1:1" x14ac:dyDescent="0.3">
      <c r="A44803" t="s">
        <v>0</v>
      </c>
    </row>
    <row r="44804" spans="1:1" x14ac:dyDescent="0.3">
      <c r="A44804" t="s">
        <v>0</v>
      </c>
    </row>
    <row r="44805" spans="1:1" x14ac:dyDescent="0.3">
      <c r="A44805" t="s">
        <v>0</v>
      </c>
    </row>
    <row r="44806" spans="1:1" x14ac:dyDescent="0.3">
      <c r="A44806" t="s">
        <v>0</v>
      </c>
    </row>
    <row r="44807" spans="1:1" x14ac:dyDescent="0.3">
      <c r="A44807" t="s">
        <v>0</v>
      </c>
    </row>
    <row r="44808" spans="1:1" x14ac:dyDescent="0.3">
      <c r="A44808" t="s">
        <v>0</v>
      </c>
    </row>
    <row r="44809" spans="1:1" x14ac:dyDescent="0.3">
      <c r="A44809" t="s">
        <v>0</v>
      </c>
    </row>
    <row r="44810" spans="1:1" x14ac:dyDescent="0.3">
      <c r="A44810" t="s">
        <v>0</v>
      </c>
    </row>
    <row r="44811" spans="1:1" x14ac:dyDescent="0.3">
      <c r="A44811" t="s">
        <v>0</v>
      </c>
    </row>
    <row r="44812" spans="1:1" x14ac:dyDescent="0.3">
      <c r="A44812" t="s">
        <v>0</v>
      </c>
    </row>
    <row r="44813" spans="1:1" x14ac:dyDescent="0.3">
      <c r="A44813" t="s">
        <v>0</v>
      </c>
    </row>
    <row r="44814" spans="1:1" x14ac:dyDescent="0.3">
      <c r="A44814" t="s">
        <v>0</v>
      </c>
    </row>
    <row r="44815" spans="1:1" x14ac:dyDescent="0.3">
      <c r="A44815" t="s">
        <v>0</v>
      </c>
    </row>
    <row r="44816" spans="1:1" x14ac:dyDescent="0.3">
      <c r="A44816" t="s">
        <v>0</v>
      </c>
    </row>
    <row r="44817" spans="1:1" x14ac:dyDescent="0.3">
      <c r="A44817" t="s">
        <v>0</v>
      </c>
    </row>
    <row r="44818" spans="1:1" x14ac:dyDescent="0.3">
      <c r="A44818" t="s">
        <v>0</v>
      </c>
    </row>
    <row r="44819" spans="1:1" x14ac:dyDescent="0.3">
      <c r="A44819" t="s">
        <v>0</v>
      </c>
    </row>
    <row r="44820" spans="1:1" x14ac:dyDescent="0.3">
      <c r="A44820" t="s">
        <v>0</v>
      </c>
    </row>
    <row r="44821" spans="1:1" x14ac:dyDescent="0.3">
      <c r="A44821" t="s">
        <v>0</v>
      </c>
    </row>
    <row r="44822" spans="1:1" x14ac:dyDescent="0.3">
      <c r="A44822" t="s">
        <v>0</v>
      </c>
    </row>
    <row r="44823" spans="1:1" x14ac:dyDescent="0.3">
      <c r="A44823" t="s">
        <v>0</v>
      </c>
    </row>
    <row r="44824" spans="1:1" x14ac:dyDescent="0.3">
      <c r="A44824" t="s">
        <v>0</v>
      </c>
    </row>
    <row r="44825" spans="1:1" x14ac:dyDescent="0.3">
      <c r="A44825" t="s">
        <v>0</v>
      </c>
    </row>
    <row r="44826" spans="1:1" x14ac:dyDescent="0.3">
      <c r="A44826" t="s">
        <v>0</v>
      </c>
    </row>
    <row r="44827" spans="1:1" x14ac:dyDescent="0.3">
      <c r="A44827" t="s">
        <v>0</v>
      </c>
    </row>
    <row r="44828" spans="1:1" x14ac:dyDescent="0.3">
      <c r="A44828" t="s">
        <v>0</v>
      </c>
    </row>
    <row r="44829" spans="1:1" x14ac:dyDescent="0.3">
      <c r="A44829" t="s">
        <v>0</v>
      </c>
    </row>
    <row r="44830" spans="1:1" x14ac:dyDescent="0.3">
      <c r="A44830" t="s">
        <v>0</v>
      </c>
    </row>
    <row r="44831" spans="1:1" x14ac:dyDescent="0.3">
      <c r="A44831" t="s">
        <v>0</v>
      </c>
    </row>
    <row r="44832" spans="1:1" x14ac:dyDescent="0.3">
      <c r="A44832" t="s">
        <v>0</v>
      </c>
    </row>
    <row r="44833" spans="1:1" x14ac:dyDescent="0.3">
      <c r="A44833" t="s">
        <v>0</v>
      </c>
    </row>
    <row r="44834" spans="1:1" x14ac:dyDescent="0.3">
      <c r="A44834" t="s">
        <v>0</v>
      </c>
    </row>
    <row r="44835" spans="1:1" x14ac:dyDescent="0.3">
      <c r="A44835" t="s">
        <v>0</v>
      </c>
    </row>
    <row r="44836" spans="1:1" x14ac:dyDescent="0.3">
      <c r="A44836" t="s">
        <v>0</v>
      </c>
    </row>
    <row r="44837" spans="1:1" x14ac:dyDescent="0.3">
      <c r="A44837" t="s">
        <v>0</v>
      </c>
    </row>
    <row r="44838" spans="1:1" x14ac:dyDescent="0.3">
      <c r="A44838" t="s">
        <v>0</v>
      </c>
    </row>
    <row r="44839" spans="1:1" x14ac:dyDescent="0.3">
      <c r="A44839" t="s">
        <v>0</v>
      </c>
    </row>
    <row r="44840" spans="1:1" x14ac:dyDescent="0.3">
      <c r="A44840" t="s">
        <v>0</v>
      </c>
    </row>
    <row r="44841" spans="1:1" x14ac:dyDescent="0.3">
      <c r="A44841" t="s">
        <v>0</v>
      </c>
    </row>
    <row r="44842" spans="1:1" x14ac:dyDescent="0.3">
      <c r="A44842" t="s">
        <v>0</v>
      </c>
    </row>
    <row r="44843" spans="1:1" x14ac:dyDescent="0.3">
      <c r="A44843" t="s">
        <v>0</v>
      </c>
    </row>
    <row r="44844" spans="1:1" x14ac:dyDescent="0.3">
      <c r="A44844" t="s">
        <v>0</v>
      </c>
    </row>
    <row r="44845" spans="1:1" x14ac:dyDescent="0.3">
      <c r="A44845" t="s">
        <v>0</v>
      </c>
    </row>
    <row r="44846" spans="1:1" x14ac:dyDescent="0.3">
      <c r="A44846" t="s">
        <v>0</v>
      </c>
    </row>
    <row r="44847" spans="1:1" x14ac:dyDescent="0.3">
      <c r="A44847" t="s">
        <v>0</v>
      </c>
    </row>
    <row r="44848" spans="1:1" x14ac:dyDescent="0.3">
      <c r="A44848" t="s">
        <v>0</v>
      </c>
    </row>
    <row r="44849" spans="1:1" x14ac:dyDescent="0.3">
      <c r="A44849" t="s">
        <v>0</v>
      </c>
    </row>
    <row r="44850" spans="1:1" x14ac:dyDescent="0.3">
      <c r="A44850" t="s">
        <v>0</v>
      </c>
    </row>
    <row r="44851" spans="1:1" x14ac:dyDescent="0.3">
      <c r="A44851" t="s">
        <v>0</v>
      </c>
    </row>
    <row r="44852" spans="1:1" x14ac:dyDescent="0.3">
      <c r="A44852" t="s">
        <v>0</v>
      </c>
    </row>
    <row r="44853" spans="1:1" x14ac:dyDescent="0.3">
      <c r="A44853" t="s">
        <v>0</v>
      </c>
    </row>
    <row r="44854" spans="1:1" x14ac:dyDescent="0.3">
      <c r="A44854" t="s">
        <v>0</v>
      </c>
    </row>
    <row r="44855" spans="1:1" x14ac:dyDescent="0.3">
      <c r="A44855" t="s">
        <v>0</v>
      </c>
    </row>
    <row r="44856" spans="1:1" x14ac:dyDescent="0.3">
      <c r="A44856" t="s">
        <v>0</v>
      </c>
    </row>
    <row r="44857" spans="1:1" x14ac:dyDescent="0.3">
      <c r="A44857" t="s">
        <v>0</v>
      </c>
    </row>
    <row r="44858" spans="1:1" x14ac:dyDescent="0.3">
      <c r="A44858" t="s">
        <v>0</v>
      </c>
    </row>
    <row r="44859" spans="1:1" x14ac:dyDescent="0.3">
      <c r="A44859" t="s">
        <v>0</v>
      </c>
    </row>
    <row r="44860" spans="1:1" x14ac:dyDescent="0.3">
      <c r="A44860" t="s">
        <v>0</v>
      </c>
    </row>
    <row r="44861" spans="1:1" x14ac:dyDescent="0.3">
      <c r="A44861" t="s">
        <v>0</v>
      </c>
    </row>
    <row r="44862" spans="1:1" x14ac:dyDescent="0.3">
      <c r="A44862" t="s">
        <v>0</v>
      </c>
    </row>
    <row r="44863" spans="1:1" x14ac:dyDescent="0.3">
      <c r="A44863" t="s">
        <v>0</v>
      </c>
    </row>
    <row r="44864" spans="1:1" x14ac:dyDescent="0.3">
      <c r="A44864" t="s">
        <v>0</v>
      </c>
    </row>
    <row r="44865" spans="1:1" x14ac:dyDescent="0.3">
      <c r="A44865" t="s">
        <v>0</v>
      </c>
    </row>
    <row r="44866" spans="1:1" x14ac:dyDescent="0.3">
      <c r="A44866" t="s">
        <v>0</v>
      </c>
    </row>
    <row r="44867" spans="1:1" x14ac:dyDescent="0.3">
      <c r="A44867" t="s">
        <v>0</v>
      </c>
    </row>
    <row r="44868" spans="1:1" x14ac:dyDescent="0.3">
      <c r="A44868" t="s">
        <v>0</v>
      </c>
    </row>
    <row r="44869" spans="1:1" x14ac:dyDescent="0.3">
      <c r="A44869" t="s">
        <v>0</v>
      </c>
    </row>
    <row r="44870" spans="1:1" x14ac:dyDescent="0.3">
      <c r="A44870" t="s">
        <v>0</v>
      </c>
    </row>
    <row r="44871" spans="1:1" x14ac:dyDescent="0.3">
      <c r="A44871" t="s">
        <v>0</v>
      </c>
    </row>
    <row r="44872" spans="1:1" x14ac:dyDescent="0.3">
      <c r="A44872" t="s">
        <v>0</v>
      </c>
    </row>
    <row r="44873" spans="1:1" x14ac:dyDescent="0.3">
      <c r="A44873" t="s">
        <v>0</v>
      </c>
    </row>
    <row r="44874" spans="1:1" x14ac:dyDescent="0.3">
      <c r="A44874" t="s">
        <v>0</v>
      </c>
    </row>
    <row r="44875" spans="1:1" x14ac:dyDescent="0.3">
      <c r="A44875" t="s">
        <v>0</v>
      </c>
    </row>
    <row r="44876" spans="1:1" x14ac:dyDescent="0.3">
      <c r="A44876" t="s">
        <v>0</v>
      </c>
    </row>
    <row r="44877" spans="1:1" x14ac:dyDescent="0.3">
      <c r="A44877" t="s">
        <v>0</v>
      </c>
    </row>
    <row r="44878" spans="1:1" x14ac:dyDescent="0.3">
      <c r="A44878" t="s">
        <v>0</v>
      </c>
    </row>
    <row r="44879" spans="1:1" x14ac:dyDescent="0.3">
      <c r="A44879" t="s">
        <v>0</v>
      </c>
    </row>
    <row r="44880" spans="1:1" x14ac:dyDescent="0.3">
      <c r="A44880" t="s">
        <v>0</v>
      </c>
    </row>
    <row r="44881" spans="1:1" x14ac:dyDescent="0.3">
      <c r="A44881" t="s">
        <v>0</v>
      </c>
    </row>
    <row r="44882" spans="1:1" x14ac:dyDescent="0.3">
      <c r="A44882" t="s">
        <v>0</v>
      </c>
    </row>
    <row r="44883" spans="1:1" x14ac:dyDescent="0.3">
      <c r="A44883" t="s">
        <v>0</v>
      </c>
    </row>
    <row r="44884" spans="1:1" x14ac:dyDescent="0.3">
      <c r="A44884" t="s">
        <v>0</v>
      </c>
    </row>
    <row r="44885" spans="1:1" x14ac:dyDescent="0.3">
      <c r="A44885" t="s">
        <v>0</v>
      </c>
    </row>
    <row r="44886" spans="1:1" x14ac:dyDescent="0.3">
      <c r="A44886" t="s">
        <v>0</v>
      </c>
    </row>
    <row r="44887" spans="1:1" x14ac:dyDescent="0.3">
      <c r="A44887" t="s">
        <v>0</v>
      </c>
    </row>
    <row r="44888" spans="1:1" x14ac:dyDescent="0.3">
      <c r="A44888" t="s">
        <v>0</v>
      </c>
    </row>
    <row r="44889" spans="1:1" x14ac:dyDescent="0.3">
      <c r="A44889" t="s">
        <v>0</v>
      </c>
    </row>
    <row r="44890" spans="1:1" x14ac:dyDescent="0.3">
      <c r="A44890" t="s">
        <v>0</v>
      </c>
    </row>
    <row r="44891" spans="1:1" x14ac:dyDescent="0.3">
      <c r="A44891" t="s">
        <v>0</v>
      </c>
    </row>
    <row r="44892" spans="1:1" x14ac:dyDescent="0.3">
      <c r="A44892" t="s">
        <v>0</v>
      </c>
    </row>
    <row r="44893" spans="1:1" x14ac:dyDescent="0.3">
      <c r="A44893" t="s">
        <v>0</v>
      </c>
    </row>
    <row r="44894" spans="1:1" x14ac:dyDescent="0.3">
      <c r="A44894" t="s">
        <v>0</v>
      </c>
    </row>
    <row r="44895" spans="1:1" x14ac:dyDescent="0.3">
      <c r="A44895" t="s">
        <v>0</v>
      </c>
    </row>
    <row r="44896" spans="1:1" x14ac:dyDescent="0.3">
      <c r="A44896" t="s">
        <v>0</v>
      </c>
    </row>
    <row r="44897" spans="1:1" x14ac:dyDescent="0.3">
      <c r="A44897" t="s">
        <v>0</v>
      </c>
    </row>
    <row r="44898" spans="1:1" x14ac:dyDescent="0.3">
      <c r="A44898" t="s">
        <v>0</v>
      </c>
    </row>
    <row r="44899" spans="1:1" x14ac:dyDescent="0.3">
      <c r="A44899" t="s">
        <v>0</v>
      </c>
    </row>
    <row r="44900" spans="1:1" x14ac:dyDescent="0.3">
      <c r="A44900" t="s">
        <v>0</v>
      </c>
    </row>
    <row r="44901" spans="1:1" x14ac:dyDescent="0.3">
      <c r="A44901" t="s">
        <v>0</v>
      </c>
    </row>
    <row r="44902" spans="1:1" x14ac:dyDescent="0.3">
      <c r="A44902" t="s">
        <v>0</v>
      </c>
    </row>
    <row r="44903" spans="1:1" x14ac:dyDescent="0.3">
      <c r="A44903" t="s">
        <v>0</v>
      </c>
    </row>
    <row r="44904" spans="1:1" x14ac:dyDescent="0.3">
      <c r="A44904" t="s">
        <v>0</v>
      </c>
    </row>
    <row r="44905" spans="1:1" x14ac:dyDescent="0.3">
      <c r="A44905" t="s">
        <v>0</v>
      </c>
    </row>
    <row r="44906" spans="1:1" x14ac:dyDescent="0.3">
      <c r="A44906" t="s">
        <v>0</v>
      </c>
    </row>
    <row r="44907" spans="1:1" x14ac:dyDescent="0.3">
      <c r="A44907" t="s">
        <v>0</v>
      </c>
    </row>
    <row r="44908" spans="1:1" x14ac:dyDescent="0.3">
      <c r="A44908" t="s">
        <v>0</v>
      </c>
    </row>
    <row r="44909" spans="1:1" x14ac:dyDescent="0.3">
      <c r="A44909" t="s">
        <v>0</v>
      </c>
    </row>
    <row r="44910" spans="1:1" x14ac:dyDescent="0.3">
      <c r="A44910" t="s">
        <v>0</v>
      </c>
    </row>
    <row r="44911" spans="1:1" x14ac:dyDescent="0.3">
      <c r="A44911" t="s">
        <v>0</v>
      </c>
    </row>
    <row r="44912" spans="1:1" x14ac:dyDescent="0.3">
      <c r="A44912" t="s">
        <v>0</v>
      </c>
    </row>
    <row r="44913" spans="1:1" x14ac:dyDescent="0.3">
      <c r="A44913" t="s">
        <v>0</v>
      </c>
    </row>
    <row r="44914" spans="1:1" x14ac:dyDescent="0.3">
      <c r="A44914" t="s">
        <v>0</v>
      </c>
    </row>
    <row r="44915" spans="1:1" x14ac:dyDescent="0.3">
      <c r="A44915" t="s">
        <v>0</v>
      </c>
    </row>
    <row r="44916" spans="1:1" x14ac:dyDescent="0.3">
      <c r="A44916" t="s">
        <v>0</v>
      </c>
    </row>
    <row r="44917" spans="1:1" x14ac:dyDescent="0.3">
      <c r="A44917" t="s">
        <v>0</v>
      </c>
    </row>
    <row r="44918" spans="1:1" x14ac:dyDescent="0.3">
      <c r="A44918" t="s">
        <v>0</v>
      </c>
    </row>
    <row r="44919" spans="1:1" x14ac:dyDescent="0.3">
      <c r="A44919" t="s">
        <v>0</v>
      </c>
    </row>
    <row r="44920" spans="1:1" x14ac:dyDescent="0.3">
      <c r="A44920" t="s">
        <v>0</v>
      </c>
    </row>
    <row r="44921" spans="1:1" x14ac:dyDescent="0.3">
      <c r="A44921" t="s">
        <v>0</v>
      </c>
    </row>
    <row r="44922" spans="1:1" x14ac:dyDescent="0.3">
      <c r="A44922" t="s">
        <v>0</v>
      </c>
    </row>
    <row r="44923" spans="1:1" x14ac:dyDescent="0.3">
      <c r="A44923" t="s">
        <v>0</v>
      </c>
    </row>
    <row r="44924" spans="1:1" x14ac:dyDescent="0.3">
      <c r="A44924" t="s">
        <v>0</v>
      </c>
    </row>
    <row r="44925" spans="1:1" x14ac:dyDescent="0.3">
      <c r="A44925" t="s">
        <v>0</v>
      </c>
    </row>
    <row r="44926" spans="1:1" x14ac:dyDescent="0.3">
      <c r="A44926" t="s">
        <v>0</v>
      </c>
    </row>
    <row r="44927" spans="1:1" x14ac:dyDescent="0.3">
      <c r="A44927" t="s">
        <v>0</v>
      </c>
    </row>
    <row r="44928" spans="1:1" x14ac:dyDescent="0.3">
      <c r="A44928" t="s">
        <v>0</v>
      </c>
    </row>
    <row r="44929" spans="1:1" x14ac:dyDescent="0.3">
      <c r="A44929" t="s">
        <v>0</v>
      </c>
    </row>
    <row r="44930" spans="1:1" x14ac:dyDescent="0.3">
      <c r="A44930" t="s">
        <v>0</v>
      </c>
    </row>
    <row r="44931" spans="1:1" x14ac:dyDescent="0.3">
      <c r="A44931" t="s">
        <v>0</v>
      </c>
    </row>
    <row r="44932" spans="1:1" x14ac:dyDescent="0.3">
      <c r="A44932" t="s">
        <v>0</v>
      </c>
    </row>
    <row r="44933" spans="1:1" x14ac:dyDescent="0.3">
      <c r="A44933" t="s">
        <v>0</v>
      </c>
    </row>
    <row r="44934" spans="1:1" x14ac:dyDescent="0.3">
      <c r="A44934" t="s">
        <v>0</v>
      </c>
    </row>
    <row r="44935" spans="1:1" x14ac:dyDescent="0.3">
      <c r="A44935" t="s">
        <v>0</v>
      </c>
    </row>
    <row r="44936" spans="1:1" x14ac:dyDescent="0.3">
      <c r="A44936" t="s">
        <v>0</v>
      </c>
    </row>
    <row r="44937" spans="1:1" x14ac:dyDescent="0.3">
      <c r="A44937" t="s">
        <v>0</v>
      </c>
    </row>
    <row r="44938" spans="1:1" x14ac:dyDescent="0.3">
      <c r="A44938" t="s">
        <v>0</v>
      </c>
    </row>
    <row r="44939" spans="1:1" x14ac:dyDescent="0.3">
      <c r="A44939" t="s">
        <v>0</v>
      </c>
    </row>
    <row r="44940" spans="1:1" x14ac:dyDescent="0.3">
      <c r="A44940" t="s">
        <v>0</v>
      </c>
    </row>
    <row r="44941" spans="1:1" x14ac:dyDescent="0.3">
      <c r="A44941" t="s">
        <v>0</v>
      </c>
    </row>
    <row r="44942" spans="1:1" x14ac:dyDescent="0.3">
      <c r="A44942" t="s">
        <v>0</v>
      </c>
    </row>
    <row r="44943" spans="1:1" x14ac:dyDescent="0.3">
      <c r="A44943" t="s">
        <v>0</v>
      </c>
    </row>
    <row r="44944" spans="1:1" x14ac:dyDescent="0.3">
      <c r="A44944" t="s">
        <v>0</v>
      </c>
    </row>
    <row r="44945" spans="1:1" x14ac:dyDescent="0.3">
      <c r="A44945" t="s">
        <v>0</v>
      </c>
    </row>
    <row r="44946" spans="1:1" x14ac:dyDescent="0.3">
      <c r="A44946" t="s">
        <v>0</v>
      </c>
    </row>
    <row r="44947" spans="1:1" x14ac:dyDescent="0.3">
      <c r="A44947" t="s">
        <v>0</v>
      </c>
    </row>
    <row r="44948" spans="1:1" x14ac:dyDescent="0.3">
      <c r="A44948" t="s">
        <v>0</v>
      </c>
    </row>
    <row r="44949" spans="1:1" x14ac:dyDescent="0.3">
      <c r="A44949" t="s">
        <v>0</v>
      </c>
    </row>
    <row r="44950" spans="1:1" x14ac:dyDescent="0.3">
      <c r="A44950" t="s">
        <v>0</v>
      </c>
    </row>
    <row r="44951" spans="1:1" x14ac:dyDescent="0.3">
      <c r="A44951" t="s">
        <v>0</v>
      </c>
    </row>
    <row r="44952" spans="1:1" x14ac:dyDescent="0.3">
      <c r="A44952" t="s">
        <v>0</v>
      </c>
    </row>
    <row r="44953" spans="1:1" x14ac:dyDescent="0.3">
      <c r="A44953" t="s">
        <v>0</v>
      </c>
    </row>
    <row r="44954" spans="1:1" x14ac:dyDescent="0.3">
      <c r="A44954" t="s">
        <v>0</v>
      </c>
    </row>
    <row r="44955" spans="1:1" x14ac:dyDescent="0.3">
      <c r="A44955" t="s">
        <v>0</v>
      </c>
    </row>
    <row r="44956" spans="1:1" x14ac:dyDescent="0.3">
      <c r="A44956" t="s">
        <v>0</v>
      </c>
    </row>
    <row r="44957" spans="1:1" x14ac:dyDescent="0.3">
      <c r="A44957" t="s">
        <v>0</v>
      </c>
    </row>
    <row r="44958" spans="1:1" x14ac:dyDescent="0.3">
      <c r="A44958" t="s">
        <v>0</v>
      </c>
    </row>
    <row r="44959" spans="1:1" x14ac:dyDescent="0.3">
      <c r="A44959" t="s">
        <v>0</v>
      </c>
    </row>
    <row r="44960" spans="1:1" x14ac:dyDescent="0.3">
      <c r="A44960" t="s">
        <v>0</v>
      </c>
    </row>
    <row r="44961" spans="1:1" x14ac:dyDescent="0.3">
      <c r="A44961" t="s">
        <v>0</v>
      </c>
    </row>
    <row r="44962" spans="1:1" x14ac:dyDescent="0.3">
      <c r="A44962" t="s">
        <v>0</v>
      </c>
    </row>
    <row r="44963" spans="1:1" x14ac:dyDescent="0.3">
      <c r="A44963" t="s">
        <v>0</v>
      </c>
    </row>
    <row r="44964" spans="1:1" x14ac:dyDescent="0.3">
      <c r="A44964" t="s">
        <v>0</v>
      </c>
    </row>
    <row r="44965" spans="1:1" x14ac:dyDescent="0.3">
      <c r="A44965" t="s">
        <v>0</v>
      </c>
    </row>
    <row r="44966" spans="1:1" x14ac:dyDescent="0.3">
      <c r="A44966" t="s">
        <v>0</v>
      </c>
    </row>
    <row r="44967" spans="1:1" x14ac:dyDescent="0.3">
      <c r="A44967" t="s">
        <v>0</v>
      </c>
    </row>
    <row r="44968" spans="1:1" x14ac:dyDescent="0.3">
      <c r="A44968" t="s">
        <v>0</v>
      </c>
    </row>
    <row r="44969" spans="1:1" x14ac:dyDescent="0.3">
      <c r="A44969" t="s">
        <v>0</v>
      </c>
    </row>
    <row r="44970" spans="1:1" x14ac:dyDescent="0.3">
      <c r="A44970" t="s">
        <v>0</v>
      </c>
    </row>
    <row r="44971" spans="1:1" x14ac:dyDescent="0.3">
      <c r="A44971" t="s">
        <v>0</v>
      </c>
    </row>
    <row r="44972" spans="1:1" x14ac:dyDescent="0.3">
      <c r="A44972" t="s">
        <v>0</v>
      </c>
    </row>
    <row r="44973" spans="1:1" x14ac:dyDescent="0.3">
      <c r="A44973" t="s">
        <v>0</v>
      </c>
    </row>
    <row r="44974" spans="1:1" x14ac:dyDescent="0.3">
      <c r="A44974" t="s">
        <v>0</v>
      </c>
    </row>
    <row r="44975" spans="1:1" x14ac:dyDescent="0.3">
      <c r="A44975" t="s">
        <v>0</v>
      </c>
    </row>
    <row r="44976" spans="1:1" x14ac:dyDescent="0.3">
      <c r="A44976" t="s">
        <v>0</v>
      </c>
    </row>
    <row r="44977" spans="1:1" x14ac:dyDescent="0.3">
      <c r="A44977" t="s">
        <v>0</v>
      </c>
    </row>
    <row r="44978" spans="1:1" x14ac:dyDescent="0.3">
      <c r="A44978" t="s">
        <v>0</v>
      </c>
    </row>
    <row r="44979" spans="1:1" x14ac:dyDescent="0.3">
      <c r="A44979" t="s">
        <v>0</v>
      </c>
    </row>
    <row r="44980" spans="1:1" x14ac:dyDescent="0.3">
      <c r="A44980" t="s">
        <v>0</v>
      </c>
    </row>
    <row r="44981" spans="1:1" x14ac:dyDescent="0.3">
      <c r="A44981" t="s">
        <v>0</v>
      </c>
    </row>
    <row r="44982" spans="1:1" x14ac:dyDescent="0.3">
      <c r="A44982" t="s">
        <v>0</v>
      </c>
    </row>
    <row r="44983" spans="1:1" x14ac:dyDescent="0.3">
      <c r="A44983" t="s">
        <v>0</v>
      </c>
    </row>
    <row r="44984" spans="1:1" x14ac:dyDescent="0.3">
      <c r="A44984" t="s">
        <v>0</v>
      </c>
    </row>
    <row r="44985" spans="1:1" x14ac:dyDescent="0.3">
      <c r="A44985" t="s">
        <v>0</v>
      </c>
    </row>
    <row r="44986" spans="1:1" x14ac:dyDescent="0.3">
      <c r="A44986" t="s">
        <v>0</v>
      </c>
    </row>
    <row r="44987" spans="1:1" x14ac:dyDescent="0.3">
      <c r="A44987" t="s">
        <v>0</v>
      </c>
    </row>
    <row r="44988" spans="1:1" x14ac:dyDescent="0.3">
      <c r="A44988" t="s">
        <v>0</v>
      </c>
    </row>
    <row r="44989" spans="1:1" x14ac:dyDescent="0.3">
      <c r="A44989" t="s">
        <v>0</v>
      </c>
    </row>
    <row r="44990" spans="1:1" x14ac:dyDescent="0.3">
      <c r="A44990" t="s">
        <v>0</v>
      </c>
    </row>
    <row r="44991" spans="1:1" x14ac:dyDescent="0.3">
      <c r="A44991" t="s">
        <v>0</v>
      </c>
    </row>
    <row r="44992" spans="1:1" x14ac:dyDescent="0.3">
      <c r="A44992" t="s">
        <v>0</v>
      </c>
    </row>
    <row r="44993" spans="1:1" x14ac:dyDescent="0.3">
      <c r="A44993" t="s">
        <v>0</v>
      </c>
    </row>
    <row r="44994" spans="1:1" x14ac:dyDescent="0.3">
      <c r="A44994" t="s">
        <v>0</v>
      </c>
    </row>
    <row r="44995" spans="1:1" x14ac:dyDescent="0.3">
      <c r="A44995" t="s">
        <v>0</v>
      </c>
    </row>
    <row r="44996" spans="1:1" x14ac:dyDescent="0.3">
      <c r="A44996" t="s">
        <v>0</v>
      </c>
    </row>
    <row r="44997" spans="1:1" x14ac:dyDescent="0.3">
      <c r="A44997" t="s">
        <v>0</v>
      </c>
    </row>
    <row r="44998" spans="1:1" x14ac:dyDescent="0.3">
      <c r="A44998" t="s">
        <v>0</v>
      </c>
    </row>
    <row r="44999" spans="1:1" x14ac:dyDescent="0.3">
      <c r="A44999" t="s">
        <v>0</v>
      </c>
    </row>
    <row r="45000" spans="1:1" x14ac:dyDescent="0.3">
      <c r="A45000" t="s">
        <v>0</v>
      </c>
    </row>
    <row r="45001" spans="1:1" x14ac:dyDescent="0.3">
      <c r="A45001" t="s">
        <v>0</v>
      </c>
    </row>
    <row r="45002" spans="1:1" x14ac:dyDescent="0.3">
      <c r="A45002" t="s">
        <v>0</v>
      </c>
    </row>
    <row r="45003" spans="1:1" x14ac:dyDescent="0.3">
      <c r="A45003" t="s">
        <v>0</v>
      </c>
    </row>
    <row r="45004" spans="1:1" x14ac:dyDescent="0.3">
      <c r="A45004" t="s">
        <v>0</v>
      </c>
    </row>
    <row r="45005" spans="1:1" x14ac:dyDescent="0.3">
      <c r="A45005" t="s">
        <v>0</v>
      </c>
    </row>
    <row r="45006" spans="1:1" x14ac:dyDescent="0.3">
      <c r="A45006" t="s">
        <v>0</v>
      </c>
    </row>
    <row r="45007" spans="1:1" x14ac:dyDescent="0.3">
      <c r="A45007" t="s">
        <v>0</v>
      </c>
    </row>
    <row r="45008" spans="1:1" x14ac:dyDescent="0.3">
      <c r="A45008" t="s">
        <v>0</v>
      </c>
    </row>
    <row r="45009" spans="1:1" x14ac:dyDescent="0.3">
      <c r="A45009" t="s">
        <v>0</v>
      </c>
    </row>
    <row r="45010" spans="1:1" x14ac:dyDescent="0.3">
      <c r="A45010" t="s">
        <v>0</v>
      </c>
    </row>
    <row r="45011" spans="1:1" x14ac:dyDescent="0.3">
      <c r="A45011" t="s">
        <v>0</v>
      </c>
    </row>
    <row r="45012" spans="1:1" x14ac:dyDescent="0.3">
      <c r="A45012" t="s">
        <v>0</v>
      </c>
    </row>
    <row r="45013" spans="1:1" x14ac:dyDescent="0.3">
      <c r="A45013" t="s">
        <v>0</v>
      </c>
    </row>
    <row r="45014" spans="1:1" x14ac:dyDescent="0.3">
      <c r="A45014" t="s">
        <v>0</v>
      </c>
    </row>
    <row r="45015" spans="1:1" x14ac:dyDescent="0.3">
      <c r="A45015" t="s">
        <v>0</v>
      </c>
    </row>
    <row r="45016" spans="1:1" x14ac:dyDescent="0.3">
      <c r="A45016" t="s">
        <v>0</v>
      </c>
    </row>
    <row r="45017" spans="1:1" x14ac:dyDescent="0.3">
      <c r="A45017" t="s">
        <v>0</v>
      </c>
    </row>
    <row r="45018" spans="1:1" x14ac:dyDescent="0.3">
      <c r="A45018" t="s">
        <v>0</v>
      </c>
    </row>
    <row r="45019" spans="1:1" x14ac:dyDescent="0.3">
      <c r="A45019" t="s">
        <v>0</v>
      </c>
    </row>
    <row r="45020" spans="1:1" x14ac:dyDescent="0.3">
      <c r="A45020" t="s">
        <v>0</v>
      </c>
    </row>
    <row r="45021" spans="1:1" x14ac:dyDescent="0.3">
      <c r="A45021" t="s">
        <v>0</v>
      </c>
    </row>
    <row r="45022" spans="1:1" x14ac:dyDescent="0.3">
      <c r="A45022" t="s">
        <v>0</v>
      </c>
    </row>
    <row r="45023" spans="1:1" x14ac:dyDescent="0.3">
      <c r="A45023" t="s">
        <v>0</v>
      </c>
    </row>
    <row r="45024" spans="1:1" x14ac:dyDescent="0.3">
      <c r="A45024" t="s">
        <v>0</v>
      </c>
    </row>
    <row r="45025" spans="1:1" x14ac:dyDescent="0.3">
      <c r="A45025" t="s">
        <v>0</v>
      </c>
    </row>
    <row r="45026" spans="1:1" x14ac:dyDescent="0.3">
      <c r="A45026" t="s">
        <v>0</v>
      </c>
    </row>
    <row r="45027" spans="1:1" x14ac:dyDescent="0.3">
      <c r="A45027" t="s">
        <v>0</v>
      </c>
    </row>
    <row r="45028" spans="1:1" x14ac:dyDescent="0.3">
      <c r="A45028" t="s">
        <v>0</v>
      </c>
    </row>
    <row r="45029" spans="1:1" x14ac:dyDescent="0.3">
      <c r="A45029" t="s">
        <v>0</v>
      </c>
    </row>
    <row r="45030" spans="1:1" x14ac:dyDescent="0.3">
      <c r="A45030" t="s">
        <v>0</v>
      </c>
    </row>
    <row r="45031" spans="1:1" x14ac:dyDescent="0.3">
      <c r="A45031" t="s">
        <v>0</v>
      </c>
    </row>
    <row r="45032" spans="1:1" x14ac:dyDescent="0.3">
      <c r="A45032" t="s">
        <v>0</v>
      </c>
    </row>
    <row r="45033" spans="1:1" x14ac:dyDescent="0.3">
      <c r="A45033" t="s">
        <v>0</v>
      </c>
    </row>
    <row r="45034" spans="1:1" x14ac:dyDescent="0.3">
      <c r="A45034" t="s">
        <v>0</v>
      </c>
    </row>
    <row r="45035" spans="1:1" x14ac:dyDescent="0.3">
      <c r="A45035" t="s">
        <v>0</v>
      </c>
    </row>
    <row r="45036" spans="1:1" x14ac:dyDescent="0.3">
      <c r="A45036" t="s">
        <v>0</v>
      </c>
    </row>
    <row r="45037" spans="1:1" x14ac:dyDescent="0.3">
      <c r="A45037" t="s">
        <v>0</v>
      </c>
    </row>
    <row r="45038" spans="1:1" x14ac:dyDescent="0.3">
      <c r="A45038" t="s">
        <v>0</v>
      </c>
    </row>
    <row r="45039" spans="1:1" x14ac:dyDescent="0.3">
      <c r="A45039" t="s">
        <v>0</v>
      </c>
    </row>
    <row r="45040" spans="1:1" x14ac:dyDescent="0.3">
      <c r="A45040" t="s">
        <v>0</v>
      </c>
    </row>
    <row r="45041" spans="1:1" x14ac:dyDescent="0.3">
      <c r="A45041" t="s">
        <v>0</v>
      </c>
    </row>
    <row r="45042" spans="1:1" x14ac:dyDescent="0.3">
      <c r="A45042" t="s">
        <v>0</v>
      </c>
    </row>
    <row r="45043" spans="1:1" x14ac:dyDescent="0.3">
      <c r="A45043" t="s">
        <v>0</v>
      </c>
    </row>
    <row r="45044" spans="1:1" x14ac:dyDescent="0.3">
      <c r="A45044" t="s">
        <v>0</v>
      </c>
    </row>
    <row r="45045" spans="1:1" x14ac:dyDescent="0.3">
      <c r="A45045" t="s">
        <v>0</v>
      </c>
    </row>
    <row r="45046" spans="1:1" x14ac:dyDescent="0.3">
      <c r="A45046" t="s">
        <v>0</v>
      </c>
    </row>
    <row r="45047" spans="1:1" x14ac:dyDescent="0.3">
      <c r="A45047" t="s">
        <v>0</v>
      </c>
    </row>
    <row r="45048" spans="1:1" x14ac:dyDescent="0.3">
      <c r="A45048" t="s">
        <v>0</v>
      </c>
    </row>
    <row r="45049" spans="1:1" x14ac:dyDescent="0.3">
      <c r="A45049" t="s">
        <v>0</v>
      </c>
    </row>
    <row r="45050" spans="1:1" x14ac:dyDescent="0.3">
      <c r="A45050" t="s">
        <v>0</v>
      </c>
    </row>
    <row r="45051" spans="1:1" x14ac:dyDescent="0.3">
      <c r="A45051" t="s">
        <v>0</v>
      </c>
    </row>
    <row r="45052" spans="1:1" x14ac:dyDescent="0.3">
      <c r="A45052" t="s">
        <v>0</v>
      </c>
    </row>
    <row r="45053" spans="1:1" x14ac:dyDescent="0.3">
      <c r="A45053" t="s">
        <v>0</v>
      </c>
    </row>
    <row r="45054" spans="1:1" x14ac:dyDescent="0.3">
      <c r="A45054" t="s">
        <v>0</v>
      </c>
    </row>
    <row r="45055" spans="1:1" x14ac:dyDescent="0.3">
      <c r="A45055" t="s">
        <v>0</v>
      </c>
    </row>
    <row r="45056" spans="1:1" x14ac:dyDescent="0.3">
      <c r="A45056" t="s">
        <v>0</v>
      </c>
    </row>
    <row r="45057" spans="1:1" x14ac:dyDescent="0.3">
      <c r="A45057" t="s">
        <v>0</v>
      </c>
    </row>
    <row r="45058" spans="1:1" x14ac:dyDescent="0.3">
      <c r="A45058" t="s">
        <v>0</v>
      </c>
    </row>
    <row r="45059" spans="1:1" x14ac:dyDescent="0.3">
      <c r="A45059" t="s">
        <v>0</v>
      </c>
    </row>
    <row r="45060" spans="1:1" x14ac:dyDescent="0.3">
      <c r="A45060" t="s">
        <v>0</v>
      </c>
    </row>
    <row r="45061" spans="1:1" x14ac:dyDescent="0.3">
      <c r="A45061" t="s">
        <v>0</v>
      </c>
    </row>
    <row r="45062" spans="1:1" x14ac:dyDescent="0.3">
      <c r="A45062" t="s">
        <v>0</v>
      </c>
    </row>
    <row r="45063" spans="1:1" x14ac:dyDescent="0.3">
      <c r="A45063" t="s">
        <v>0</v>
      </c>
    </row>
    <row r="45064" spans="1:1" x14ac:dyDescent="0.3">
      <c r="A45064" t="s">
        <v>0</v>
      </c>
    </row>
    <row r="45065" spans="1:1" x14ac:dyDescent="0.3">
      <c r="A45065" t="s">
        <v>0</v>
      </c>
    </row>
    <row r="45066" spans="1:1" x14ac:dyDescent="0.3">
      <c r="A45066" t="s">
        <v>0</v>
      </c>
    </row>
    <row r="45067" spans="1:1" x14ac:dyDescent="0.3">
      <c r="A45067" t="s">
        <v>0</v>
      </c>
    </row>
    <row r="45068" spans="1:1" x14ac:dyDescent="0.3">
      <c r="A45068" t="s">
        <v>0</v>
      </c>
    </row>
    <row r="45069" spans="1:1" x14ac:dyDescent="0.3">
      <c r="A45069" t="s">
        <v>0</v>
      </c>
    </row>
    <row r="45070" spans="1:1" x14ac:dyDescent="0.3">
      <c r="A45070" t="s">
        <v>0</v>
      </c>
    </row>
    <row r="45071" spans="1:1" x14ac:dyDescent="0.3">
      <c r="A45071" t="s">
        <v>0</v>
      </c>
    </row>
    <row r="45072" spans="1:1" x14ac:dyDescent="0.3">
      <c r="A45072" t="s">
        <v>0</v>
      </c>
    </row>
    <row r="45073" spans="1:1" x14ac:dyDescent="0.3">
      <c r="A45073" t="s">
        <v>0</v>
      </c>
    </row>
    <row r="45074" spans="1:1" x14ac:dyDescent="0.3">
      <c r="A45074" t="s">
        <v>0</v>
      </c>
    </row>
    <row r="45075" spans="1:1" x14ac:dyDescent="0.3">
      <c r="A45075" t="s">
        <v>0</v>
      </c>
    </row>
    <row r="45076" spans="1:1" x14ac:dyDescent="0.3">
      <c r="A45076" t="s">
        <v>0</v>
      </c>
    </row>
    <row r="45077" spans="1:1" x14ac:dyDescent="0.3">
      <c r="A45077" t="s">
        <v>0</v>
      </c>
    </row>
    <row r="45078" spans="1:1" x14ac:dyDescent="0.3">
      <c r="A45078" t="s">
        <v>0</v>
      </c>
    </row>
    <row r="45079" spans="1:1" x14ac:dyDescent="0.3">
      <c r="A45079" t="s">
        <v>0</v>
      </c>
    </row>
    <row r="45080" spans="1:1" x14ac:dyDescent="0.3">
      <c r="A45080" t="s">
        <v>0</v>
      </c>
    </row>
    <row r="45081" spans="1:1" x14ac:dyDescent="0.3">
      <c r="A45081" t="s">
        <v>0</v>
      </c>
    </row>
    <row r="45082" spans="1:1" x14ac:dyDescent="0.3">
      <c r="A45082" t="s">
        <v>0</v>
      </c>
    </row>
    <row r="45083" spans="1:1" x14ac:dyDescent="0.3">
      <c r="A45083" t="s">
        <v>0</v>
      </c>
    </row>
    <row r="45084" spans="1:1" x14ac:dyDescent="0.3">
      <c r="A45084" t="s">
        <v>0</v>
      </c>
    </row>
    <row r="45085" spans="1:1" x14ac:dyDescent="0.3">
      <c r="A45085" t="s">
        <v>0</v>
      </c>
    </row>
    <row r="45086" spans="1:1" x14ac:dyDescent="0.3">
      <c r="A45086" t="s">
        <v>0</v>
      </c>
    </row>
    <row r="45087" spans="1:1" x14ac:dyDescent="0.3">
      <c r="A45087" t="s">
        <v>0</v>
      </c>
    </row>
    <row r="45088" spans="1:1" x14ac:dyDescent="0.3">
      <c r="A45088" t="s">
        <v>0</v>
      </c>
    </row>
    <row r="45089" spans="1:1" x14ac:dyDescent="0.3">
      <c r="A45089" t="s">
        <v>0</v>
      </c>
    </row>
    <row r="45090" spans="1:1" x14ac:dyDescent="0.3">
      <c r="A45090" t="s">
        <v>0</v>
      </c>
    </row>
    <row r="45091" spans="1:1" x14ac:dyDescent="0.3">
      <c r="A45091" t="s">
        <v>0</v>
      </c>
    </row>
    <row r="45092" spans="1:1" x14ac:dyDescent="0.3">
      <c r="A45092" t="s">
        <v>0</v>
      </c>
    </row>
    <row r="45093" spans="1:1" x14ac:dyDescent="0.3">
      <c r="A45093" t="s">
        <v>0</v>
      </c>
    </row>
    <row r="45094" spans="1:1" x14ac:dyDescent="0.3">
      <c r="A45094" t="s">
        <v>0</v>
      </c>
    </row>
    <row r="45095" spans="1:1" x14ac:dyDescent="0.3">
      <c r="A45095" t="s">
        <v>0</v>
      </c>
    </row>
    <row r="45096" spans="1:1" x14ac:dyDescent="0.3">
      <c r="A45096" t="s">
        <v>0</v>
      </c>
    </row>
    <row r="45097" spans="1:1" x14ac:dyDescent="0.3">
      <c r="A45097" t="s">
        <v>0</v>
      </c>
    </row>
    <row r="45098" spans="1:1" x14ac:dyDescent="0.3">
      <c r="A45098" t="s">
        <v>0</v>
      </c>
    </row>
    <row r="45099" spans="1:1" x14ac:dyDescent="0.3">
      <c r="A45099" t="s">
        <v>0</v>
      </c>
    </row>
    <row r="45100" spans="1:1" x14ac:dyDescent="0.3">
      <c r="A45100" t="s">
        <v>0</v>
      </c>
    </row>
    <row r="45101" spans="1:1" x14ac:dyDescent="0.3">
      <c r="A45101" t="s">
        <v>0</v>
      </c>
    </row>
    <row r="45102" spans="1:1" x14ac:dyDescent="0.3">
      <c r="A45102" t="s">
        <v>0</v>
      </c>
    </row>
    <row r="45103" spans="1:1" x14ac:dyDescent="0.3">
      <c r="A45103" t="s">
        <v>0</v>
      </c>
    </row>
    <row r="45104" spans="1:1" x14ac:dyDescent="0.3">
      <c r="A45104" t="s">
        <v>0</v>
      </c>
    </row>
    <row r="45105" spans="1:1" x14ac:dyDescent="0.3">
      <c r="A45105" t="s">
        <v>0</v>
      </c>
    </row>
    <row r="45106" spans="1:1" x14ac:dyDescent="0.3">
      <c r="A45106" t="s">
        <v>0</v>
      </c>
    </row>
    <row r="45107" spans="1:1" x14ac:dyDescent="0.3">
      <c r="A45107" t="s">
        <v>0</v>
      </c>
    </row>
    <row r="45108" spans="1:1" x14ac:dyDescent="0.3">
      <c r="A45108" t="s">
        <v>0</v>
      </c>
    </row>
    <row r="45109" spans="1:1" x14ac:dyDescent="0.3">
      <c r="A45109" t="s">
        <v>0</v>
      </c>
    </row>
    <row r="45110" spans="1:1" x14ac:dyDescent="0.3">
      <c r="A45110" t="s">
        <v>0</v>
      </c>
    </row>
    <row r="45111" spans="1:1" x14ac:dyDescent="0.3">
      <c r="A45111" t="s">
        <v>0</v>
      </c>
    </row>
    <row r="45112" spans="1:1" x14ac:dyDescent="0.3">
      <c r="A45112" t="s">
        <v>0</v>
      </c>
    </row>
    <row r="45113" spans="1:1" x14ac:dyDescent="0.3">
      <c r="A45113" t="s">
        <v>0</v>
      </c>
    </row>
    <row r="45114" spans="1:1" x14ac:dyDescent="0.3">
      <c r="A45114" t="s">
        <v>0</v>
      </c>
    </row>
    <row r="45115" spans="1:1" x14ac:dyDescent="0.3">
      <c r="A45115" t="s">
        <v>0</v>
      </c>
    </row>
    <row r="45116" spans="1:1" x14ac:dyDescent="0.3">
      <c r="A45116" t="s">
        <v>0</v>
      </c>
    </row>
    <row r="45117" spans="1:1" x14ac:dyDescent="0.3">
      <c r="A45117" t="s">
        <v>0</v>
      </c>
    </row>
    <row r="45118" spans="1:1" x14ac:dyDescent="0.3">
      <c r="A45118" t="s">
        <v>0</v>
      </c>
    </row>
    <row r="45119" spans="1:1" x14ac:dyDescent="0.3">
      <c r="A45119" t="s">
        <v>0</v>
      </c>
    </row>
    <row r="45120" spans="1:1" x14ac:dyDescent="0.3">
      <c r="A45120" t="s">
        <v>0</v>
      </c>
    </row>
    <row r="45121" spans="1:1" x14ac:dyDescent="0.3">
      <c r="A45121" t="s">
        <v>0</v>
      </c>
    </row>
    <row r="45122" spans="1:1" x14ac:dyDescent="0.3">
      <c r="A45122" t="s">
        <v>0</v>
      </c>
    </row>
    <row r="45123" spans="1:1" x14ac:dyDescent="0.3">
      <c r="A45123" t="s">
        <v>0</v>
      </c>
    </row>
    <row r="45124" spans="1:1" x14ac:dyDescent="0.3">
      <c r="A45124" t="s">
        <v>0</v>
      </c>
    </row>
    <row r="45125" spans="1:1" x14ac:dyDescent="0.3">
      <c r="A45125" t="s">
        <v>0</v>
      </c>
    </row>
    <row r="45126" spans="1:1" x14ac:dyDescent="0.3">
      <c r="A45126" t="s">
        <v>0</v>
      </c>
    </row>
    <row r="45127" spans="1:1" x14ac:dyDescent="0.3">
      <c r="A45127" t="s">
        <v>0</v>
      </c>
    </row>
    <row r="45128" spans="1:1" x14ac:dyDescent="0.3">
      <c r="A45128" t="s">
        <v>0</v>
      </c>
    </row>
    <row r="45129" spans="1:1" x14ac:dyDescent="0.3">
      <c r="A45129" t="s">
        <v>0</v>
      </c>
    </row>
    <row r="45130" spans="1:1" x14ac:dyDescent="0.3">
      <c r="A45130" t="s">
        <v>0</v>
      </c>
    </row>
    <row r="45131" spans="1:1" x14ac:dyDescent="0.3">
      <c r="A45131" t="s">
        <v>0</v>
      </c>
    </row>
    <row r="45132" spans="1:1" x14ac:dyDescent="0.3">
      <c r="A45132" t="s">
        <v>0</v>
      </c>
    </row>
    <row r="45133" spans="1:1" x14ac:dyDescent="0.3">
      <c r="A45133" t="s">
        <v>0</v>
      </c>
    </row>
    <row r="45134" spans="1:1" x14ac:dyDescent="0.3">
      <c r="A45134" t="s">
        <v>0</v>
      </c>
    </row>
    <row r="45135" spans="1:1" x14ac:dyDescent="0.3">
      <c r="A45135" t="s">
        <v>0</v>
      </c>
    </row>
    <row r="45136" spans="1:1" x14ac:dyDescent="0.3">
      <c r="A45136" t="s">
        <v>0</v>
      </c>
    </row>
    <row r="45137" spans="1:1" x14ac:dyDescent="0.3">
      <c r="A45137" t="s">
        <v>0</v>
      </c>
    </row>
    <row r="45138" spans="1:1" x14ac:dyDescent="0.3">
      <c r="A45138" t="s">
        <v>0</v>
      </c>
    </row>
    <row r="45139" spans="1:1" x14ac:dyDescent="0.3">
      <c r="A45139" t="s">
        <v>0</v>
      </c>
    </row>
    <row r="45140" spans="1:1" x14ac:dyDescent="0.3">
      <c r="A45140" t="s">
        <v>0</v>
      </c>
    </row>
    <row r="45141" spans="1:1" x14ac:dyDescent="0.3">
      <c r="A45141" t="s">
        <v>0</v>
      </c>
    </row>
    <row r="45142" spans="1:1" x14ac:dyDescent="0.3">
      <c r="A45142" t="s">
        <v>0</v>
      </c>
    </row>
    <row r="45143" spans="1:1" x14ac:dyDescent="0.3">
      <c r="A45143" t="s">
        <v>0</v>
      </c>
    </row>
    <row r="45144" spans="1:1" x14ac:dyDescent="0.3">
      <c r="A45144" t="s">
        <v>0</v>
      </c>
    </row>
    <row r="45145" spans="1:1" x14ac:dyDescent="0.3">
      <c r="A45145" t="s">
        <v>0</v>
      </c>
    </row>
    <row r="45146" spans="1:1" x14ac:dyDescent="0.3">
      <c r="A45146" t="s">
        <v>0</v>
      </c>
    </row>
    <row r="45147" spans="1:1" x14ac:dyDescent="0.3">
      <c r="A45147" t="s">
        <v>0</v>
      </c>
    </row>
    <row r="45148" spans="1:1" x14ac:dyDescent="0.3">
      <c r="A45148" t="s">
        <v>0</v>
      </c>
    </row>
    <row r="45149" spans="1:1" x14ac:dyDescent="0.3">
      <c r="A45149" t="s">
        <v>0</v>
      </c>
    </row>
    <row r="45150" spans="1:1" x14ac:dyDescent="0.3">
      <c r="A45150" t="s">
        <v>0</v>
      </c>
    </row>
    <row r="45151" spans="1:1" x14ac:dyDescent="0.3">
      <c r="A45151" t="s">
        <v>0</v>
      </c>
    </row>
    <row r="45152" spans="1:1" x14ac:dyDescent="0.3">
      <c r="A45152" t="s">
        <v>0</v>
      </c>
    </row>
    <row r="45153" spans="1:1" x14ac:dyDescent="0.3">
      <c r="A45153" t="s">
        <v>0</v>
      </c>
    </row>
    <row r="45154" spans="1:1" x14ac:dyDescent="0.3">
      <c r="A45154" t="s">
        <v>0</v>
      </c>
    </row>
    <row r="45155" spans="1:1" x14ac:dyDescent="0.3">
      <c r="A45155" t="s">
        <v>0</v>
      </c>
    </row>
    <row r="45156" spans="1:1" x14ac:dyDescent="0.3">
      <c r="A45156" t="s">
        <v>0</v>
      </c>
    </row>
    <row r="45157" spans="1:1" x14ac:dyDescent="0.3">
      <c r="A45157" t="s">
        <v>0</v>
      </c>
    </row>
    <row r="45158" spans="1:1" x14ac:dyDescent="0.3">
      <c r="A45158" t="s">
        <v>0</v>
      </c>
    </row>
    <row r="45159" spans="1:1" x14ac:dyDescent="0.3">
      <c r="A45159" t="s">
        <v>0</v>
      </c>
    </row>
    <row r="45160" spans="1:1" x14ac:dyDescent="0.3">
      <c r="A45160" t="s">
        <v>0</v>
      </c>
    </row>
    <row r="45161" spans="1:1" x14ac:dyDescent="0.3">
      <c r="A45161" t="s">
        <v>0</v>
      </c>
    </row>
    <row r="45162" spans="1:1" x14ac:dyDescent="0.3">
      <c r="A45162" t="s">
        <v>0</v>
      </c>
    </row>
    <row r="45163" spans="1:1" x14ac:dyDescent="0.3">
      <c r="A45163" t="s">
        <v>0</v>
      </c>
    </row>
    <row r="45164" spans="1:1" x14ac:dyDescent="0.3">
      <c r="A45164" t="s">
        <v>0</v>
      </c>
    </row>
    <row r="45165" spans="1:1" x14ac:dyDescent="0.3">
      <c r="A45165" t="s">
        <v>0</v>
      </c>
    </row>
    <row r="45166" spans="1:1" x14ac:dyDescent="0.3">
      <c r="A45166" t="s">
        <v>0</v>
      </c>
    </row>
    <row r="45167" spans="1:1" x14ac:dyDescent="0.3">
      <c r="A45167" t="s">
        <v>0</v>
      </c>
    </row>
    <row r="45168" spans="1:1" x14ac:dyDescent="0.3">
      <c r="A45168" t="s">
        <v>0</v>
      </c>
    </row>
    <row r="45169" spans="1:1" x14ac:dyDescent="0.3">
      <c r="A45169" t="s">
        <v>0</v>
      </c>
    </row>
    <row r="45170" spans="1:1" x14ac:dyDescent="0.3">
      <c r="A45170" t="s">
        <v>0</v>
      </c>
    </row>
    <row r="45171" spans="1:1" x14ac:dyDescent="0.3">
      <c r="A45171" t="s">
        <v>0</v>
      </c>
    </row>
    <row r="45172" spans="1:1" x14ac:dyDescent="0.3">
      <c r="A45172" t="s">
        <v>0</v>
      </c>
    </row>
    <row r="45173" spans="1:1" x14ac:dyDescent="0.3">
      <c r="A45173" t="s">
        <v>0</v>
      </c>
    </row>
    <row r="45174" spans="1:1" x14ac:dyDescent="0.3">
      <c r="A45174" t="s">
        <v>0</v>
      </c>
    </row>
    <row r="45175" spans="1:1" x14ac:dyDescent="0.3">
      <c r="A45175" t="s">
        <v>0</v>
      </c>
    </row>
    <row r="45176" spans="1:1" x14ac:dyDescent="0.3">
      <c r="A45176" t="s">
        <v>0</v>
      </c>
    </row>
    <row r="45177" spans="1:1" x14ac:dyDescent="0.3">
      <c r="A45177" t="s">
        <v>0</v>
      </c>
    </row>
    <row r="45178" spans="1:1" x14ac:dyDescent="0.3">
      <c r="A45178" t="s">
        <v>0</v>
      </c>
    </row>
    <row r="45179" spans="1:1" x14ac:dyDescent="0.3">
      <c r="A45179" t="s">
        <v>0</v>
      </c>
    </row>
    <row r="45180" spans="1:1" x14ac:dyDescent="0.3">
      <c r="A45180" t="s">
        <v>0</v>
      </c>
    </row>
    <row r="45181" spans="1:1" x14ac:dyDescent="0.3">
      <c r="A45181" t="s">
        <v>0</v>
      </c>
    </row>
    <row r="45182" spans="1:1" x14ac:dyDescent="0.3">
      <c r="A45182" t="s">
        <v>0</v>
      </c>
    </row>
    <row r="45183" spans="1:1" x14ac:dyDescent="0.3">
      <c r="A45183" t="s">
        <v>0</v>
      </c>
    </row>
    <row r="45184" spans="1:1" x14ac:dyDescent="0.3">
      <c r="A45184" t="s">
        <v>0</v>
      </c>
    </row>
    <row r="45185" spans="1:1" x14ac:dyDescent="0.3">
      <c r="A45185" t="s">
        <v>0</v>
      </c>
    </row>
    <row r="45186" spans="1:1" x14ac:dyDescent="0.3">
      <c r="A45186" t="s">
        <v>0</v>
      </c>
    </row>
    <row r="45187" spans="1:1" x14ac:dyDescent="0.3">
      <c r="A45187" t="s">
        <v>0</v>
      </c>
    </row>
    <row r="45188" spans="1:1" x14ac:dyDescent="0.3">
      <c r="A45188" t="s">
        <v>0</v>
      </c>
    </row>
    <row r="45189" spans="1:1" x14ac:dyDescent="0.3">
      <c r="A45189" t="s">
        <v>0</v>
      </c>
    </row>
    <row r="45190" spans="1:1" x14ac:dyDescent="0.3">
      <c r="A45190" t="s">
        <v>0</v>
      </c>
    </row>
    <row r="45191" spans="1:1" x14ac:dyDescent="0.3">
      <c r="A45191" t="s">
        <v>0</v>
      </c>
    </row>
    <row r="45192" spans="1:1" x14ac:dyDescent="0.3">
      <c r="A45192" t="s">
        <v>0</v>
      </c>
    </row>
    <row r="45193" spans="1:1" x14ac:dyDescent="0.3">
      <c r="A45193" t="s">
        <v>0</v>
      </c>
    </row>
    <row r="45194" spans="1:1" x14ac:dyDescent="0.3">
      <c r="A45194" t="s">
        <v>0</v>
      </c>
    </row>
    <row r="45195" spans="1:1" x14ac:dyDescent="0.3">
      <c r="A45195" t="s">
        <v>0</v>
      </c>
    </row>
    <row r="45196" spans="1:1" x14ac:dyDescent="0.3">
      <c r="A45196" t="s">
        <v>0</v>
      </c>
    </row>
    <row r="45197" spans="1:1" x14ac:dyDescent="0.3">
      <c r="A45197" t="s">
        <v>0</v>
      </c>
    </row>
    <row r="45198" spans="1:1" x14ac:dyDescent="0.3">
      <c r="A45198" t="s">
        <v>0</v>
      </c>
    </row>
    <row r="45199" spans="1:1" x14ac:dyDescent="0.3">
      <c r="A45199" t="s">
        <v>0</v>
      </c>
    </row>
    <row r="45200" spans="1:1" x14ac:dyDescent="0.3">
      <c r="A45200" t="s">
        <v>0</v>
      </c>
    </row>
    <row r="45201" spans="1:1" x14ac:dyDescent="0.3">
      <c r="A45201" t="s">
        <v>0</v>
      </c>
    </row>
    <row r="45202" spans="1:1" x14ac:dyDescent="0.3">
      <c r="A45202" t="s">
        <v>0</v>
      </c>
    </row>
    <row r="45203" spans="1:1" x14ac:dyDescent="0.3">
      <c r="A45203" t="s">
        <v>0</v>
      </c>
    </row>
    <row r="45204" spans="1:1" x14ac:dyDescent="0.3">
      <c r="A45204" t="s">
        <v>0</v>
      </c>
    </row>
    <row r="45205" spans="1:1" x14ac:dyDescent="0.3">
      <c r="A45205" t="s">
        <v>0</v>
      </c>
    </row>
    <row r="45206" spans="1:1" x14ac:dyDescent="0.3">
      <c r="A45206" t="s">
        <v>0</v>
      </c>
    </row>
    <row r="45207" spans="1:1" x14ac:dyDescent="0.3">
      <c r="A45207" t="s">
        <v>0</v>
      </c>
    </row>
    <row r="45208" spans="1:1" x14ac:dyDescent="0.3">
      <c r="A45208" t="s">
        <v>0</v>
      </c>
    </row>
    <row r="45209" spans="1:1" x14ac:dyDescent="0.3">
      <c r="A45209" t="s">
        <v>0</v>
      </c>
    </row>
    <row r="45210" spans="1:1" x14ac:dyDescent="0.3">
      <c r="A45210" t="s">
        <v>0</v>
      </c>
    </row>
    <row r="45211" spans="1:1" x14ac:dyDescent="0.3">
      <c r="A45211" t="s">
        <v>0</v>
      </c>
    </row>
    <row r="45212" spans="1:1" x14ac:dyDescent="0.3">
      <c r="A45212" t="s">
        <v>0</v>
      </c>
    </row>
    <row r="45213" spans="1:1" x14ac:dyDescent="0.3">
      <c r="A45213" t="s">
        <v>0</v>
      </c>
    </row>
    <row r="45214" spans="1:1" x14ac:dyDescent="0.3">
      <c r="A45214" t="s">
        <v>0</v>
      </c>
    </row>
    <row r="45215" spans="1:1" x14ac:dyDescent="0.3">
      <c r="A45215" t="s">
        <v>0</v>
      </c>
    </row>
    <row r="45216" spans="1:1" x14ac:dyDescent="0.3">
      <c r="A45216" t="s">
        <v>0</v>
      </c>
    </row>
    <row r="45217" spans="1:1" x14ac:dyDescent="0.3">
      <c r="A45217" t="s">
        <v>0</v>
      </c>
    </row>
    <row r="45218" spans="1:1" x14ac:dyDescent="0.3">
      <c r="A45218" t="s">
        <v>0</v>
      </c>
    </row>
    <row r="45219" spans="1:1" x14ac:dyDescent="0.3">
      <c r="A45219" t="s">
        <v>0</v>
      </c>
    </row>
    <row r="45220" spans="1:1" x14ac:dyDescent="0.3">
      <c r="A45220" t="s">
        <v>0</v>
      </c>
    </row>
    <row r="45221" spans="1:1" x14ac:dyDescent="0.3">
      <c r="A45221" t="s">
        <v>0</v>
      </c>
    </row>
    <row r="45222" spans="1:1" x14ac:dyDescent="0.3">
      <c r="A45222" t="s">
        <v>0</v>
      </c>
    </row>
    <row r="45223" spans="1:1" x14ac:dyDescent="0.3">
      <c r="A45223" t="s">
        <v>0</v>
      </c>
    </row>
    <row r="45224" spans="1:1" x14ac:dyDescent="0.3">
      <c r="A45224" t="s">
        <v>0</v>
      </c>
    </row>
    <row r="45225" spans="1:1" x14ac:dyDescent="0.3">
      <c r="A45225" t="s">
        <v>0</v>
      </c>
    </row>
    <row r="45226" spans="1:1" x14ac:dyDescent="0.3">
      <c r="A45226" t="s">
        <v>0</v>
      </c>
    </row>
    <row r="45227" spans="1:1" x14ac:dyDescent="0.3">
      <c r="A45227" t="s">
        <v>0</v>
      </c>
    </row>
    <row r="45228" spans="1:1" x14ac:dyDescent="0.3">
      <c r="A45228" t="s">
        <v>0</v>
      </c>
    </row>
    <row r="45229" spans="1:1" x14ac:dyDescent="0.3">
      <c r="A45229" t="s">
        <v>0</v>
      </c>
    </row>
    <row r="45230" spans="1:1" x14ac:dyDescent="0.3">
      <c r="A45230" t="s">
        <v>0</v>
      </c>
    </row>
    <row r="45231" spans="1:1" x14ac:dyDescent="0.3">
      <c r="A45231" t="s">
        <v>0</v>
      </c>
    </row>
    <row r="45232" spans="1:1" x14ac:dyDescent="0.3">
      <c r="A45232" t="s">
        <v>0</v>
      </c>
    </row>
    <row r="45233" spans="1:1" x14ac:dyDescent="0.3">
      <c r="A45233" t="s">
        <v>0</v>
      </c>
    </row>
    <row r="45234" spans="1:1" x14ac:dyDescent="0.3">
      <c r="A45234" t="s">
        <v>0</v>
      </c>
    </row>
    <row r="45235" spans="1:1" x14ac:dyDescent="0.3">
      <c r="A45235" t="s">
        <v>0</v>
      </c>
    </row>
    <row r="45236" spans="1:1" x14ac:dyDescent="0.3">
      <c r="A45236" t="s">
        <v>0</v>
      </c>
    </row>
    <row r="45237" spans="1:1" x14ac:dyDescent="0.3">
      <c r="A45237" t="s">
        <v>0</v>
      </c>
    </row>
    <row r="45238" spans="1:1" x14ac:dyDescent="0.3">
      <c r="A45238" t="s">
        <v>0</v>
      </c>
    </row>
    <row r="45239" spans="1:1" x14ac:dyDescent="0.3">
      <c r="A45239" t="s">
        <v>0</v>
      </c>
    </row>
    <row r="45240" spans="1:1" x14ac:dyDescent="0.3">
      <c r="A45240" t="s">
        <v>0</v>
      </c>
    </row>
    <row r="45241" spans="1:1" x14ac:dyDescent="0.3">
      <c r="A45241" t="s">
        <v>0</v>
      </c>
    </row>
    <row r="45242" spans="1:1" x14ac:dyDescent="0.3">
      <c r="A45242" t="s">
        <v>0</v>
      </c>
    </row>
    <row r="45243" spans="1:1" x14ac:dyDescent="0.3">
      <c r="A45243" t="s">
        <v>0</v>
      </c>
    </row>
    <row r="45244" spans="1:1" x14ac:dyDescent="0.3">
      <c r="A45244" t="s">
        <v>0</v>
      </c>
    </row>
    <row r="45245" spans="1:1" x14ac:dyDescent="0.3">
      <c r="A45245" t="s">
        <v>0</v>
      </c>
    </row>
    <row r="45246" spans="1:1" x14ac:dyDescent="0.3">
      <c r="A45246" t="s">
        <v>0</v>
      </c>
    </row>
    <row r="45247" spans="1:1" x14ac:dyDescent="0.3">
      <c r="A45247" t="s">
        <v>0</v>
      </c>
    </row>
    <row r="45248" spans="1:1" x14ac:dyDescent="0.3">
      <c r="A45248" t="s">
        <v>0</v>
      </c>
    </row>
    <row r="45249" spans="1:1" x14ac:dyDescent="0.3">
      <c r="A45249" t="s">
        <v>0</v>
      </c>
    </row>
    <row r="45250" spans="1:1" x14ac:dyDescent="0.3">
      <c r="A45250" t="s">
        <v>0</v>
      </c>
    </row>
    <row r="45251" spans="1:1" x14ac:dyDescent="0.3">
      <c r="A45251" t="s">
        <v>0</v>
      </c>
    </row>
    <row r="45252" spans="1:1" x14ac:dyDescent="0.3">
      <c r="A45252" t="s">
        <v>0</v>
      </c>
    </row>
    <row r="45253" spans="1:1" x14ac:dyDescent="0.3">
      <c r="A45253" t="s">
        <v>0</v>
      </c>
    </row>
    <row r="45254" spans="1:1" x14ac:dyDescent="0.3">
      <c r="A45254" t="s">
        <v>0</v>
      </c>
    </row>
    <row r="45255" spans="1:1" x14ac:dyDescent="0.3">
      <c r="A45255" t="s">
        <v>0</v>
      </c>
    </row>
    <row r="45256" spans="1:1" x14ac:dyDescent="0.3">
      <c r="A45256" t="s">
        <v>0</v>
      </c>
    </row>
    <row r="45257" spans="1:1" x14ac:dyDescent="0.3">
      <c r="A45257" t="s">
        <v>0</v>
      </c>
    </row>
    <row r="45258" spans="1:1" x14ac:dyDescent="0.3">
      <c r="A45258" t="s">
        <v>0</v>
      </c>
    </row>
    <row r="45259" spans="1:1" x14ac:dyDescent="0.3">
      <c r="A45259" t="s">
        <v>0</v>
      </c>
    </row>
    <row r="45260" spans="1:1" x14ac:dyDescent="0.3">
      <c r="A45260" t="s">
        <v>0</v>
      </c>
    </row>
    <row r="45261" spans="1:1" x14ac:dyDescent="0.3">
      <c r="A45261" t="s">
        <v>0</v>
      </c>
    </row>
    <row r="45262" spans="1:1" x14ac:dyDescent="0.3">
      <c r="A45262" t="s">
        <v>0</v>
      </c>
    </row>
    <row r="45263" spans="1:1" x14ac:dyDescent="0.3">
      <c r="A45263" t="s">
        <v>0</v>
      </c>
    </row>
    <row r="45264" spans="1:1" x14ac:dyDescent="0.3">
      <c r="A45264" t="s">
        <v>0</v>
      </c>
    </row>
    <row r="45265" spans="1:1" x14ac:dyDescent="0.3">
      <c r="A45265" t="s">
        <v>0</v>
      </c>
    </row>
    <row r="45266" spans="1:1" x14ac:dyDescent="0.3">
      <c r="A45266" t="s">
        <v>0</v>
      </c>
    </row>
    <row r="45267" spans="1:1" x14ac:dyDescent="0.3">
      <c r="A45267" t="s">
        <v>0</v>
      </c>
    </row>
    <row r="45268" spans="1:1" x14ac:dyDescent="0.3">
      <c r="A45268" t="s">
        <v>0</v>
      </c>
    </row>
    <row r="45269" spans="1:1" x14ac:dyDescent="0.3">
      <c r="A45269" t="s">
        <v>0</v>
      </c>
    </row>
    <row r="45270" spans="1:1" x14ac:dyDescent="0.3">
      <c r="A45270" t="s">
        <v>0</v>
      </c>
    </row>
    <row r="45271" spans="1:1" x14ac:dyDescent="0.3">
      <c r="A45271" t="s">
        <v>0</v>
      </c>
    </row>
    <row r="45272" spans="1:1" x14ac:dyDescent="0.3">
      <c r="A45272" t="s">
        <v>0</v>
      </c>
    </row>
    <row r="45273" spans="1:1" x14ac:dyDescent="0.3">
      <c r="A45273" t="s">
        <v>0</v>
      </c>
    </row>
    <row r="45274" spans="1:1" x14ac:dyDescent="0.3">
      <c r="A45274" t="s">
        <v>0</v>
      </c>
    </row>
    <row r="45275" spans="1:1" x14ac:dyDescent="0.3">
      <c r="A45275" t="s">
        <v>0</v>
      </c>
    </row>
    <row r="45276" spans="1:1" x14ac:dyDescent="0.3">
      <c r="A45276" t="s">
        <v>0</v>
      </c>
    </row>
    <row r="45277" spans="1:1" x14ac:dyDescent="0.3">
      <c r="A45277" t="s">
        <v>0</v>
      </c>
    </row>
    <row r="45278" spans="1:1" x14ac:dyDescent="0.3">
      <c r="A45278" t="s">
        <v>0</v>
      </c>
    </row>
    <row r="45279" spans="1:1" x14ac:dyDescent="0.3">
      <c r="A45279" t="s">
        <v>0</v>
      </c>
    </row>
    <row r="45280" spans="1:1" x14ac:dyDescent="0.3">
      <c r="A45280" t="s">
        <v>0</v>
      </c>
    </row>
    <row r="45281" spans="1:1" x14ac:dyDescent="0.3">
      <c r="A45281" t="s">
        <v>0</v>
      </c>
    </row>
    <row r="45282" spans="1:1" x14ac:dyDescent="0.3">
      <c r="A45282" t="s">
        <v>0</v>
      </c>
    </row>
    <row r="45283" spans="1:1" x14ac:dyDescent="0.3">
      <c r="A45283" t="s">
        <v>0</v>
      </c>
    </row>
    <row r="45284" spans="1:1" x14ac:dyDescent="0.3">
      <c r="A45284" t="s">
        <v>0</v>
      </c>
    </row>
    <row r="45285" spans="1:1" x14ac:dyDescent="0.3">
      <c r="A45285" t="s">
        <v>0</v>
      </c>
    </row>
    <row r="45286" spans="1:1" x14ac:dyDescent="0.3">
      <c r="A45286" t="s">
        <v>0</v>
      </c>
    </row>
    <row r="45287" spans="1:1" x14ac:dyDescent="0.3">
      <c r="A45287" t="s">
        <v>0</v>
      </c>
    </row>
    <row r="45288" spans="1:1" x14ac:dyDescent="0.3">
      <c r="A45288" t="s">
        <v>0</v>
      </c>
    </row>
    <row r="45289" spans="1:1" x14ac:dyDescent="0.3">
      <c r="A45289" t="s">
        <v>0</v>
      </c>
    </row>
    <row r="45290" spans="1:1" x14ac:dyDescent="0.3">
      <c r="A45290" t="s">
        <v>0</v>
      </c>
    </row>
    <row r="45291" spans="1:1" x14ac:dyDescent="0.3">
      <c r="A45291" t="s">
        <v>0</v>
      </c>
    </row>
    <row r="45292" spans="1:1" x14ac:dyDescent="0.3">
      <c r="A45292" t="s">
        <v>0</v>
      </c>
    </row>
    <row r="45293" spans="1:1" x14ac:dyDescent="0.3">
      <c r="A45293" t="s">
        <v>0</v>
      </c>
    </row>
    <row r="45294" spans="1:1" x14ac:dyDescent="0.3">
      <c r="A45294" t="s">
        <v>0</v>
      </c>
    </row>
    <row r="45295" spans="1:1" x14ac:dyDescent="0.3">
      <c r="A45295" t="s">
        <v>0</v>
      </c>
    </row>
    <row r="45296" spans="1:1" x14ac:dyDescent="0.3">
      <c r="A45296" t="s">
        <v>0</v>
      </c>
    </row>
    <row r="45297" spans="1:1" x14ac:dyDescent="0.3">
      <c r="A45297" t="s">
        <v>0</v>
      </c>
    </row>
    <row r="45298" spans="1:1" x14ac:dyDescent="0.3">
      <c r="A45298" t="s">
        <v>0</v>
      </c>
    </row>
    <row r="45299" spans="1:1" x14ac:dyDescent="0.3">
      <c r="A45299" t="s">
        <v>0</v>
      </c>
    </row>
    <row r="45300" spans="1:1" x14ac:dyDescent="0.3">
      <c r="A45300" t="s">
        <v>0</v>
      </c>
    </row>
    <row r="45301" spans="1:1" x14ac:dyDescent="0.3">
      <c r="A45301" t="s">
        <v>0</v>
      </c>
    </row>
    <row r="45302" spans="1:1" x14ac:dyDescent="0.3">
      <c r="A45302" t="s">
        <v>0</v>
      </c>
    </row>
    <row r="45303" spans="1:1" x14ac:dyDescent="0.3">
      <c r="A45303" t="s">
        <v>0</v>
      </c>
    </row>
    <row r="45304" spans="1:1" x14ac:dyDescent="0.3">
      <c r="A45304" t="s">
        <v>0</v>
      </c>
    </row>
    <row r="45305" spans="1:1" x14ac:dyDescent="0.3">
      <c r="A45305" t="s">
        <v>0</v>
      </c>
    </row>
    <row r="45306" spans="1:1" x14ac:dyDescent="0.3">
      <c r="A45306" t="s">
        <v>0</v>
      </c>
    </row>
    <row r="45307" spans="1:1" x14ac:dyDescent="0.3">
      <c r="A45307" t="s">
        <v>0</v>
      </c>
    </row>
    <row r="45308" spans="1:1" x14ac:dyDescent="0.3">
      <c r="A45308" t="s">
        <v>0</v>
      </c>
    </row>
    <row r="45309" spans="1:1" x14ac:dyDescent="0.3">
      <c r="A45309" t="s">
        <v>0</v>
      </c>
    </row>
    <row r="45310" spans="1:1" x14ac:dyDescent="0.3">
      <c r="A45310" t="s">
        <v>0</v>
      </c>
    </row>
    <row r="45311" spans="1:1" x14ac:dyDescent="0.3">
      <c r="A45311" t="s">
        <v>0</v>
      </c>
    </row>
    <row r="45312" spans="1:1" x14ac:dyDescent="0.3">
      <c r="A45312" t="s">
        <v>0</v>
      </c>
    </row>
    <row r="45313" spans="1:1" x14ac:dyDescent="0.3">
      <c r="A45313" t="s">
        <v>0</v>
      </c>
    </row>
    <row r="45314" spans="1:1" x14ac:dyDescent="0.3">
      <c r="A45314" t="s">
        <v>0</v>
      </c>
    </row>
    <row r="45315" spans="1:1" x14ac:dyDescent="0.3">
      <c r="A45315" t="s">
        <v>0</v>
      </c>
    </row>
    <row r="45316" spans="1:1" x14ac:dyDescent="0.3">
      <c r="A45316" t="s">
        <v>0</v>
      </c>
    </row>
    <row r="45317" spans="1:1" x14ac:dyDescent="0.3">
      <c r="A45317" t="s">
        <v>0</v>
      </c>
    </row>
    <row r="45318" spans="1:1" x14ac:dyDescent="0.3">
      <c r="A45318" t="s">
        <v>0</v>
      </c>
    </row>
    <row r="45319" spans="1:1" x14ac:dyDescent="0.3">
      <c r="A45319" t="s">
        <v>0</v>
      </c>
    </row>
    <row r="45320" spans="1:1" x14ac:dyDescent="0.3">
      <c r="A45320" t="s">
        <v>0</v>
      </c>
    </row>
    <row r="45321" spans="1:1" x14ac:dyDescent="0.3">
      <c r="A45321" t="s">
        <v>0</v>
      </c>
    </row>
    <row r="45322" spans="1:1" x14ac:dyDescent="0.3">
      <c r="A45322" t="s">
        <v>0</v>
      </c>
    </row>
    <row r="45323" spans="1:1" x14ac:dyDescent="0.3">
      <c r="A45323" t="s">
        <v>0</v>
      </c>
    </row>
    <row r="45324" spans="1:1" x14ac:dyDescent="0.3">
      <c r="A45324" t="s">
        <v>0</v>
      </c>
    </row>
    <row r="45325" spans="1:1" x14ac:dyDescent="0.3">
      <c r="A45325" t="s">
        <v>0</v>
      </c>
    </row>
    <row r="45326" spans="1:1" x14ac:dyDescent="0.3">
      <c r="A45326" t="s">
        <v>0</v>
      </c>
    </row>
    <row r="45327" spans="1:1" x14ac:dyDescent="0.3">
      <c r="A45327" t="s">
        <v>0</v>
      </c>
    </row>
    <row r="45328" spans="1:1" x14ac:dyDescent="0.3">
      <c r="A45328" t="s">
        <v>0</v>
      </c>
    </row>
    <row r="45329" spans="1:1" x14ac:dyDescent="0.3">
      <c r="A45329" t="s">
        <v>0</v>
      </c>
    </row>
    <row r="45330" spans="1:1" x14ac:dyDescent="0.3">
      <c r="A45330" t="s">
        <v>0</v>
      </c>
    </row>
    <row r="45331" spans="1:1" x14ac:dyDescent="0.3">
      <c r="A45331" t="s">
        <v>0</v>
      </c>
    </row>
    <row r="45332" spans="1:1" x14ac:dyDescent="0.3">
      <c r="A45332" t="s">
        <v>0</v>
      </c>
    </row>
    <row r="45333" spans="1:1" x14ac:dyDescent="0.3">
      <c r="A45333" t="s">
        <v>0</v>
      </c>
    </row>
    <row r="45334" spans="1:1" x14ac:dyDescent="0.3">
      <c r="A45334" t="s">
        <v>0</v>
      </c>
    </row>
    <row r="45335" spans="1:1" x14ac:dyDescent="0.3">
      <c r="A45335" t="s">
        <v>0</v>
      </c>
    </row>
    <row r="45336" spans="1:1" x14ac:dyDescent="0.3">
      <c r="A45336" t="s">
        <v>0</v>
      </c>
    </row>
    <row r="45337" spans="1:1" x14ac:dyDescent="0.3">
      <c r="A45337" t="s">
        <v>0</v>
      </c>
    </row>
    <row r="45338" spans="1:1" x14ac:dyDescent="0.3">
      <c r="A45338" t="s">
        <v>0</v>
      </c>
    </row>
    <row r="45339" spans="1:1" x14ac:dyDescent="0.3">
      <c r="A45339" t="s">
        <v>0</v>
      </c>
    </row>
    <row r="45340" spans="1:1" x14ac:dyDescent="0.3">
      <c r="A45340" t="s">
        <v>0</v>
      </c>
    </row>
    <row r="45341" spans="1:1" x14ac:dyDescent="0.3">
      <c r="A45341" t="s">
        <v>0</v>
      </c>
    </row>
    <row r="45342" spans="1:1" x14ac:dyDescent="0.3">
      <c r="A45342" t="s">
        <v>0</v>
      </c>
    </row>
    <row r="45343" spans="1:1" x14ac:dyDescent="0.3">
      <c r="A45343" t="s">
        <v>0</v>
      </c>
    </row>
    <row r="45344" spans="1:1" x14ac:dyDescent="0.3">
      <c r="A45344" t="s">
        <v>0</v>
      </c>
    </row>
    <row r="45345" spans="1:1" x14ac:dyDescent="0.3">
      <c r="A45345" t="s">
        <v>0</v>
      </c>
    </row>
    <row r="45346" spans="1:1" x14ac:dyDescent="0.3">
      <c r="A45346" t="s">
        <v>0</v>
      </c>
    </row>
    <row r="45347" spans="1:1" x14ac:dyDescent="0.3">
      <c r="A45347" t="s">
        <v>0</v>
      </c>
    </row>
    <row r="45348" spans="1:1" x14ac:dyDescent="0.3">
      <c r="A45348" t="s">
        <v>0</v>
      </c>
    </row>
    <row r="45349" spans="1:1" x14ac:dyDescent="0.3">
      <c r="A45349" t="s">
        <v>0</v>
      </c>
    </row>
    <row r="45350" spans="1:1" x14ac:dyDescent="0.3">
      <c r="A45350" t="s">
        <v>0</v>
      </c>
    </row>
    <row r="45351" spans="1:1" x14ac:dyDescent="0.3">
      <c r="A45351" t="s">
        <v>0</v>
      </c>
    </row>
    <row r="45352" spans="1:1" x14ac:dyDescent="0.3">
      <c r="A45352" t="s">
        <v>0</v>
      </c>
    </row>
    <row r="45353" spans="1:1" x14ac:dyDescent="0.3">
      <c r="A45353" t="s">
        <v>0</v>
      </c>
    </row>
    <row r="45354" spans="1:1" x14ac:dyDescent="0.3">
      <c r="A45354" t="s">
        <v>0</v>
      </c>
    </row>
    <row r="45355" spans="1:1" x14ac:dyDescent="0.3">
      <c r="A45355" t="s">
        <v>0</v>
      </c>
    </row>
    <row r="45356" spans="1:1" x14ac:dyDescent="0.3">
      <c r="A45356" t="s">
        <v>0</v>
      </c>
    </row>
    <row r="45357" spans="1:1" x14ac:dyDescent="0.3">
      <c r="A45357" t="s">
        <v>0</v>
      </c>
    </row>
    <row r="45358" spans="1:1" x14ac:dyDescent="0.3">
      <c r="A45358" t="s">
        <v>0</v>
      </c>
    </row>
    <row r="45359" spans="1:1" x14ac:dyDescent="0.3">
      <c r="A45359" t="s">
        <v>0</v>
      </c>
    </row>
    <row r="45360" spans="1:1" x14ac:dyDescent="0.3">
      <c r="A45360" t="s">
        <v>0</v>
      </c>
    </row>
    <row r="45361" spans="1:1" x14ac:dyDescent="0.3">
      <c r="A45361" t="s">
        <v>0</v>
      </c>
    </row>
    <row r="45362" spans="1:1" x14ac:dyDescent="0.3">
      <c r="A45362" t="s">
        <v>0</v>
      </c>
    </row>
    <row r="45363" spans="1:1" x14ac:dyDescent="0.3">
      <c r="A45363" t="s">
        <v>0</v>
      </c>
    </row>
    <row r="45364" spans="1:1" x14ac:dyDescent="0.3">
      <c r="A45364" t="s">
        <v>0</v>
      </c>
    </row>
    <row r="45365" spans="1:1" x14ac:dyDescent="0.3">
      <c r="A45365" t="s">
        <v>0</v>
      </c>
    </row>
    <row r="45366" spans="1:1" x14ac:dyDescent="0.3">
      <c r="A45366" t="s">
        <v>0</v>
      </c>
    </row>
    <row r="45367" spans="1:1" x14ac:dyDescent="0.3">
      <c r="A45367" t="s">
        <v>0</v>
      </c>
    </row>
    <row r="45368" spans="1:1" x14ac:dyDescent="0.3">
      <c r="A45368" t="s">
        <v>0</v>
      </c>
    </row>
    <row r="45369" spans="1:1" x14ac:dyDescent="0.3">
      <c r="A45369" t="s">
        <v>0</v>
      </c>
    </row>
    <row r="45370" spans="1:1" x14ac:dyDescent="0.3">
      <c r="A45370" t="s">
        <v>0</v>
      </c>
    </row>
    <row r="45371" spans="1:1" x14ac:dyDescent="0.3">
      <c r="A45371" t="s">
        <v>0</v>
      </c>
    </row>
    <row r="45372" spans="1:1" x14ac:dyDescent="0.3">
      <c r="A45372" t="s">
        <v>0</v>
      </c>
    </row>
    <row r="45373" spans="1:1" x14ac:dyDescent="0.3">
      <c r="A45373" t="s">
        <v>0</v>
      </c>
    </row>
    <row r="45374" spans="1:1" x14ac:dyDescent="0.3">
      <c r="A45374" t="s">
        <v>0</v>
      </c>
    </row>
    <row r="45375" spans="1:1" x14ac:dyDescent="0.3">
      <c r="A45375" t="s">
        <v>0</v>
      </c>
    </row>
    <row r="45376" spans="1:1" x14ac:dyDescent="0.3">
      <c r="A45376" t="s">
        <v>0</v>
      </c>
    </row>
    <row r="45377" spans="1:1" x14ac:dyDescent="0.3">
      <c r="A45377" t="s">
        <v>0</v>
      </c>
    </row>
    <row r="45378" spans="1:1" x14ac:dyDescent="0.3">
      <c r="A45378" t="s">
        <v>0</v>
      </c>
    </row>
    <row r="45379" spans="1:1" x14ac:dyDescent="0.3">
      <c r="A45379" t="s">
        <v>0</v>
      </c>
    </row>
    <row r="45380" spans="1:1" x14ac:dyDescent="0.3">
      <c r="A45380" t="s">
        <v>0</v>
      </c>
    </row>
    <row r="45381" spans="1:1" x14ac:dyDescent="0.3">
      <c r="A45381" t="s">
        <v>0</v>
      </c>
    </row>
    <row r="45382" spans="1:1" x14ac:dyDescent="0.3">
      <c r="A45382" t="s">
        <v>0</v>
      </c>
    </row>
    <row r="45383" spans="1:1" x14ac:dyDescent="0.3">
      <c r="A45383" t="s">
        <v>0</v>
      </c>
    </row>
    <row r="45384" spans="1:1" x14ac:dyDescent="0.3">
      <c r="A45384" t="s">
        <v>0</v>
      </c>
    </row>
    <row r="45385" spans="1:1" x14ac:dyDescent="0.3">
      <c r="A45385" t="s">
        <v>0</v>
      </c>
    </row>
    <row r="45386" spans="1:1" x14ac:dyDescent="0.3">
      <c r="A45386" t="s">
        <v>0</v>
      </c>
    </row>
    <row r="45387" spans="1:1" x14ac:dyDescent="0.3">
      <c r="A45387" t="s">
        <v>0</v>
      </c>
    </row>
    <row r="45388" spans="1:1" x14ac:dyDescent="0.3">
      <c r="A45388" t="s">
        <v>0</v>
      </c>
    </row>
    <row r="45389" spans="1:1" x14ac:dyDescent="0.3">
      <c r="A45389" t="s">
        <v>0</v>
      </c>
    </row>
    <row r="45390" spans="1:1" x14ac:dyDescent="0.3">
      <c r="A45390" t="s">
        <v>0</v>
      </c>
    </row>
    <row r="45391" spans="1:1" x14ac:dyDescent="0.3">
      <c r="A45391" t="s">
        <v>0</v>
      </c>
    </row>
    <row r="45392" spans="1:1" x14ac:dyDescent="0.3">
      <c r="A45392" t="s">
        <v>0</v>
      </c>
    </row>
    <row r="45393" spans="1:1" x14ac:dyDescent="0.3">
      <c r="A45393" t="s">
        <v>0</v>
      </c>
    </row>
    <row r="45394" spans="1:1" x14ac:dyDescent="0.3">
      <c r="A45394" t="s">
        <v>0</v>
      </c>
    </row>
    <row r="45395" spans="1:1" x14ac:dyDescent="0.3">
      <c r="A45395" t="s">
        <v>0</v>
      </c>
    </row>
    <row r="45396" spans="1:1" x14ac:dyDescent="0.3">
      <c r="A45396" t="s">
        <v>0</v>
      </c>
    </row>
    <row r="45397" spans="1:1" x14ac:dyDescent="0.3">
      <c r="A45397" t="s">
        <v>0</v>
      </c>
    </row>
    <row r="45398" spans="1:1" x14ac:dyDescent="0.3">
      <c r="A45398" t="s">
        <v>0</v>
      </c>
    </row>
    <row r="45399" spans="1:1" x14ac:dyDescent="0.3">
      <c r="A45399" t="s">
        <v>0</v>
      </c>
    </row>
    <row r="45400" spans="1:1" x14ac:dyDescent="0.3">
      <c r="A45400" t="s">
        <v>0</v>
      </c>
    </row>
    <row r="45401" spans="1:1" x14ac:dyDescent="0.3">
      <c r="A45401" t="s">
        <v>0</v>
      </c>
    </row>
    <row r="45402" spans="1:1" x14ac:dyDescent="0.3">
      <c r="A45402" t="s">
        <v>0</v>
      </c>
    </row>
    <row r="45403" spans="1:1" x14ac:dyDescent="0.3">
      <c r="A45403" t="s">
        <v>0</v>
      </c>
    </row>
    <row r="45404" spans="1:1" x14ac:dyDescent="0.3">
      <c r="A45404" t="s">
        <v>0</v>
      </c>
    </row>
    <row r="45405" spans="1:1" x14ac:dyDescent="0.3">
      <c r="A45405" t="s">
        <v>0</v>
      </c>
    </row>
    <row r="45406" spans="1:1" x14ac:dyDescent="0.3">
      <c r="A45406" t="s">
        <v>0</v>
      </c>
    </row>
    <row r="45407" spans="1:1" x14ac:dyDescent="0.3">
      <c r="A45407" t="s">
        <v>0</v>
      </c>
    </row>
    <row r="45408" spans="1:1" x14ac:dyDescent="0.3">
      <c r="A45408" t="s">
        <v>0</v>
      </c>
    </row>
    <row r="45409" spans="1:1" x14ac:dyDescent="0.3">
      <c r="A45409" t="s">
        <v>0</v>
      </c>
    </row>
    <row r="45410" spans="1:1" x14ac:dyDescent="0.3">
      <c r="A45410" t="s">
        <v>0</v>
      </c>
    </row>
    <row r="45411" spans="1:1" x14ac:dyDescent="0.3">
      <c r="A45411" t="s">
        <v>0</v>
      </c>
    </row>
    <row r="45412" spans="1:1" x14ac:dyDescent="0.3">
      <c r="A45412" t="s">
        <v>0</v>
      </c>
    </row>
    <row r="45413" spans="1:1" x14ac:dyDescent="0.3">
      <c r="A45413" t="s">
        <v>0</v>
      </c>
    </row>
    <row r="45414" spans="1:1" x14ac:dyDescent="0.3">
      <c r="A45414" t="s">
        <v>0</v>
      </c>
    </row>
    <row r="45415" spans="1:1" x14ac:dyDescent="0.3">
      <c r="A45415" t="s">
        <v>0</v>
      </c>
    </row>
    <row r="45416" spans="1:1" x14ac:dyDescent="0.3">
      <c r="A45416" t="s">
        <v>0</v>
      </c>
    </row>
    <row r="45417" spans="1:1" x14ac:dyDescent="0.3">
      <c r="A45417" t="s">
        <v>0</v>
      </c>
    </row>
    <row r="45418" spans="1:1" x14ac:dyDescent="0.3">
      <c r="A45418" t="s">
        <v>0</v>
      </c>
    </row>
    <row r="45419" spans="1:1" x14ac:dyDescent="0.3">
      <c r="A45419" t="s">
        <v>0</v>
      </c>
    </row>
    <row r="45420" spans="1:1" x14ac:dyDescent="0.3">
      <c r="A45420" t="s">
        <v>0</v>
      </c>
    </row>
    <row r="45421" spans="1:1" x14ac:dyDescent="0.3">
      <c r="A45421" t="s">
        <v>0</v>
      </c>
    </row>
    <row r="45422" spans="1:1" x14ac:dyDescent="0.3">
      <c r="A45422" t="s">
        <v>0</v>
      </c>
    </row>
    <row r="45423" spans="1:1" x14ac:dyDescent="0.3">
      <c r="A45423" t="s">
        <v>0</v>
      </c>
    </row>
    <row r="45424" spans="1:1" x14ac:dyDescent="0.3">
      <c r="A45424" t="s">
        <v>0</v>
      </c>
    </row>
    <row r="45425" spans="1:1" x14ac:dyDescent="0.3">
      <c r="A45425" t="s">
        <v>0</v>
      </c>
    </row>
    <row r="45426" spans="1:1" x14ac:dyDescent="0.3">
      <c r="A45426" t="s">
        <v>0</v>
      </c>
    </row>
    <row r="45427" spans="1:1" x14ac:dyDescent="0.3">
      <c r="A45427" t="s">
        <v>0</v>
      </c>
    </row>
    <row r="45428" spans="1:1" x14ac:dyDescent="0.3">
      <c r="A45428" t="s">
        <v>0</v>
      </c>
    </row>
    <row r="45429" spans="1:1" x14ac:dyDescent="0.3">
      <c r="A45429" t="s">
        <v>0</v>
      </c>
    </row>
    <row r="45430" spans="1:1" x14ac:dyDescent="0.3">
      <c r="A45430" t="s">
        <v>0</v>
      </c>
    </row>
    <row r="45431" spans="1:1" x14ac:dyDescent="0.3">
      <c r="A45431" t="s">
        <v>0</v>
      </c>
    </row>
    <row r="45432" spans="1:1" x14ac:dyDescent="0.3">
      <c r="A45432" t="s">
        <v>0</v>
      </c>
    </row>
    <row r="45433" spans="1:1" x14ac:dyDescent="0.3">
      <c r="A45433" t="s">
        <v>0</v>
      </c>
    </row>
    <row r="45434" spans="1:1" x14ac:dyDescent="0.3">
      <c r="A45434" t="s">
        <v>0</v>
      </c>
    </row>
    <row r="45435" spans="1:1" x14ac:dyDescent="0.3">
      <c r="A45435" t="s">
        <v>0</v>
      </c>
    </row>
    <row r="45436" spans="1:1" x14ac:dyDescent="0.3">
      <c r="A45436" t="s">
        <v>0</v>
      </c>
    </row>
    <row r="45437" spans="1:1" x14ac:dyDescent="0.3">
      <c r="A45437" t="s">
        <v>0</v>
      </c>
    </row>
    <row r="45438" spans="1:1" x14ac:dyDescent="0.3">
      <c r="A45438" t="s">
        <v>0</v>
      </c>
    </row>
    <row r="45439" spans="1:1" x14ac:dyDescent="0.3">
      <c r="A45439" t="s">
        <v>0</v>
      </c>
    </row>
    <row r="45440" spans="1:1" x14ac:dyDescent="0.3">
      <c r="A45440" t="s">
        <v>0</v>
      </c>
    </row>
    <row r="45441" spans="1:1" x14ac:dyDescent="0.3">
      <c r="A45441" t="s">
        <v>0</v>
      </c>
    </row>
    <row r="45442" spans="1:1" x14ac:dyDescent="0.3">
      <c r="A45442" t="s">
        <v>0</v>
      </c>
    </row>
    <row r="45443" spans="1:1" x14ac:dyDescent="0.3">
      <c r="A45443" t="s">
        <v>0</v>
      </c>
    </row>
    <row r="45444" spans="1:1" x14ac:dyDescent="0.3">
      <c r="A45444" t="s">
        <v>0</v>
      </c>
    </row>
    <row r="45445" spans="1:1" x14ac:dyDescent="0.3">
      <c r="A45445" t="s">
        <v>0</v>
      </c>
    </row>
    <row r="45446" spans="1:1" x14ac:dyDescent="0.3">
      <c r="A45446" t="s">
        <v>0</v>
      </c>
    </row>
    <row r="45447" spans="1:1" x14ac:dyDescent="0.3">
      <c r="A45447" t="s">
        <v>0</v>
      </c>
    </row>
    <row r="45448" spans="1:1" x14ac:dyDescent="0.3">
      <c r="A45448" t="s">
        <v>0</v>
      </c>
    </row>
    <row r="45449" spans="1:1" x14ac:dyDescent="0.3">
      <c r="A45449" t="s">
        <v>0</v>
      </c>
    </row>
    <row r="45450" spans="1:1" x14ac:dyDescent="0.3">
      <c r="A45450" t="s">
        <v>0</v>
      </c>
    </row>
    <row r="45451" spans="1:1" x14ac:dyDescent="0.3">
      <c r="A45451" t="s">
        <v>0</v>
      </c>
    </row>
    <row r="45452" spans="1:1" x14ac:dyDescent="0.3">
      <c r="A45452" t="s">
        <v>0</v>
      </c>
    </row>
    <row r="45453" spans="1:1" x14ac:dyDescent="0.3">
      <c r="A45453" t="s">
        <v>0</v>
      </c>
    </row>
    <row r="45454" spans="1:1" x14ac:dyDescent="0.3">
      <c r="A45454" t="s">
        <v>0</v>
      </c>
    </row>
    <row r="45455" spans="1:1" x14ac:dyDescent="0.3">
      <c r="A45455" t="s">
        <v>0</v>
      </c>
    </row>
    <row r="45456" spans="1:1" x14ac:dyDescent="0.3">
      <c r="A45456" t="s">
        <v>0</v>
      </c>
    </row>
    <row r="45457" spans="1:1" x14ac:dyDescent="0.3">
      <c r="A45457" t="s">
        <v>0</v>
      </c>
    </row>
    <row r="45458" spans="1:1" x14ac:dyDescent="0.3">
      <c r="A45458" t="s">
        <v>0</v>
      </c>
    </row>
    <row r="45459" spans="1:1" x14ac:dyDescent="0.3">
      <c r="A45459" t="s">
        <v>0</v>
      </c>
    </row>
    <row r="45460" spans="1:1" x14ac:dyDescent="0.3">
      <c r="A45460" t="s">
        <v>0</v>
      </c>
    </row>
    <row r="45461" spans="1:1" x14ac:dyDescent="0.3">
      <c r="A45461" t="s">
        <v>0</v>
      </c>
    </row>
    <row r="45462" spans="1:1" x14ac:dyDescent="0.3">
      <c r="A45462" t="s">
        <v>0</v>
      </c>
    </row>
    <row r="45463" spans="1:1" x14ac:dyDescent="0.3">
      <c r="A45463" t="s">
        <v>0</v>
      </c>
    </row>
    <row r="45464" spans="1:1" x14ac:dyDescent="0.3">
      <c r="A45464" t="s">
        <v>0</v>
      </c>
    </row>
    <row r="45465" spans="1:1" x14ac:dyDescent="0.3">
      <c r="A45465" t="s">
        <v>0</v>
      </c>
    </row>
    <row r="45466" spans="1:1" x14ac:dyDescent="0.3">
      <c r="A45466" t="s">
        <v>0</v>
      </c>
    </row>
    <row r="45467" spans="1:1" x14ac:dyDescent="0.3">
      <c r="A45467" t="s">
        <v>0</v>
      </c>
    </row>
    <row r="45468" spans="1:1" x14ac:dyDescent="0.3">
      <c r="A45468" t="s">
        <v>0</v>
      </c>
    </row>
    <row r="45469" spans="1:1" x14ac:dyDescent="0.3">
      <c r="A45469" t="s">
        <v>0</v>
      </c>
    </row>
    <row r="45470" spans="1:1" x14ac:dyDescent="0.3">
      <c r="A45470" t="s">
        <v>0</v>
      </c>
    </row>
    <row r="45471" spans="1:1" x14ac:dyDescent="0.3">
      <c r="A45471" t="s">
        <v>0</v>
      </c>
    </row>
    <row r="45472" spans="1:1" x14ac:dyDescent="0.3">
      <c r="A45472" t="s">
        <v>0</v>
      </c>
    </row>
    <row r="45473" spans="1:1" x14ac:dyDescent="0.3">
      <c r="A45473" t="s">
        <v>0</v>
      </c>
    </row>
    <row r="45474" spans="1:1" x14ac:dyDescent="0.3">
      <c r="A45474" t="s">
        <v>0</v>
      </c>
    </row>
    <row r="45475" spans="1:1" x14ac:dyDescent="0.3">
      <c r="A45475" t="s">
        <v>0</v>
      </c>
    </row>
    <row r="45476" spans="1:1" x14ac:dyDescent="0.3">
      <c r="A45476" t="s">
        <v>0</v>
      </c>
    </row>
    <row r="45477" spans="1:1" x14ac:dyDescent="0.3">
      <c r="A45477" t="s">
        <v>0</v>
      </c>
    </row>
    <row r="45478" spans="1:1" x14ac:dyDescent="0.3">
      <c r="A45478" t="s">
        <v>0</v>
      </c>
    </row>
    <row r="45479" spans="1:1" x14ac:dyDescent="0.3">
      <c r="A45479" t="s">
        <v>0</v>
      </c>
    </row>
    <row r="45480" spans="1:1" x14ac:dyDescent="0.3">
      <c r="A45480" t="s">
        <v>0</v>
      </c>
    </row>
    <row r="45481" spans="1:1" x14ac:dyDescent="0.3">
      <c r="A45481" t="s">
        <v>0</v>
      </c>
    </row>
    <row r="45482" spans="1:1" x14ac:dyDescent="0.3">
      <c r="A45482" t="s">
        <v>0</v>
      </c>
    </row>
    <row r="45483" spans="1:1" x14ac:dyDescent="0.3">
      <c r="A45483" t="s">
        <v>0</v>
      </c>
    </row>
    <row r="45484" spans="1:1" x14ac:dyDescent="0.3">
      <c r="A45484" t="s">
        <v>0</v>
      </c>
    </row>
    <row r="45485" spans="1:1" x14ac:dyDescent="0.3">
      <c r="A45485" t="s">
        <v>0</v>
      </c>
    </row>
    <row r="45486" spans="1:1" x14ac:dyDescent="0.3">
      <c r="A45486" t="s">
        <v>0</v>
      </c>
    </row>
    <row r="45487" spans="1:1" x14ac:dyDescent="0.3">
      <c r="A45487" t="s">
        <v>0</v>
      </c>
    </row>
    <row r="45488" spans="1:1" x14ac:dyDescent="0.3">
      <c r="A45488" t="s">
        <v>0</v>
      </c>
    </row>
    <row r="45489" spans="1:1" x14ac:dyDescent="0.3">
      <c r="A45489" t="s">
        <v>0</v>
      </c>
    </row>
    <row r="45490" spans="1:1" x14ac:dyDescent="0.3">
      <c r="A45490" t="s">
        <v>0</v>
      </c>
    </row>
    <row r="45491" spans="1:1" x14ac:dyDescent="0.3">
      <c r="A45491" t="s">
        <v>0</v>
      </c>
    </row>
    <row r="45492" spans="1:1" x14ac:dyDescent="0.3">
      <c r="A45492" t="s">
        <v>0</v>
      </c>
    </row>
    <row r="45493" spans="1:1" x14ac:dyDescent="0.3">
      <c r="A45493" t="s">
        <v>0</v>
      </c>
    </row>
    <row r="45494" spans="1:1" x14ac:dyDescent="0.3">
      <c r="A45494" t="s">
        <v>0</v>
      </c>
    </row>
    <row r="45495" spans="1:1" x14ac:dyDescent="0.3">
      <c r="A45495" t="s">
        <v>0</v>
      </c>
    </row>
    <row r="45496" spans="1:1" x14ac:dyDescent="0.3">
      <c r="A45496" t="s">
        <v>0</v>
      </c>
    </row>
    <row r="45497" spans="1:1" x14ac:dyDescent="0.3">
      <c r="A45497" t="s">
        <v>0</v>
      </c>
    </row>
    <row r="45498" spans="1:1" x14ac:dyDescent="0.3">
      <c r="A45498" t="s">
        <v>0</v>
      </c>
    </row>
    <row r="45499" spans="1:1" x14ac:dyDescent="0.3">
      <c r="A45499" t="s">
        <v>0</v>
      </c>
    </row>
    <row r="45500" spans="1:1" x14ac:dyDescent="0.3">
      <c r="A45500" t="s">
        <v>0</v>
      </c>
    </row>
    <row r="45501" spans="1:1" x14ac:dyDescent="0.3">
      <c r="A45501" t="s">
        <v>0</v>
      </c>
    </row>
    <row r="45502" spans="1:1" x14ac:dyDescent="0.3">
      <c r="A45502" t="s">
        <v>0</v>
      </c>
    </row>
    <row r="45503" spans="1:1" x14ac:dyDescent="0.3">
      <c r="A45503" t="s">
        <v>0</v>
      </c>
    </row>
    <row r="45504" spans="1:1" x14ac:dyDescent="0.3">
      <c r="A45504" t="s">
        <v>0</v>
      </c>
    </row>
    <row r="45505" spans="1:1" x14ac:dyDescent="0.3">
      <c r="A45505" t="s">
        <v>0</v>
      </c>
    </row>
    <row r="45506" spans="1:1" x14ac:dyDescent="0.3">
      <c r="A45506" t="s">
        <v>0</v>
      </c>
    </row>
    <row r="45507" spans="1:1" x14ac:dyDescent="0.3">
      <c r="A45507" t="s">
        <v>0</v>
      </c>
    </row>
    <row r="45508" spans="1:1" x14ac:dyDescent="0.3">
      <c r="A45508" t="s">
        <v>0</v>
      </c>
    </row>
    <row r="45509" spans="1:1" x14ac:dyDescent="0.3">
      <c r="A45509" t="s">
        <v>0</v>
      </c>
    </row>
    <row r="45510" spans="1:1" x14ac:dyDescent="0.3">
      <c r="A45510" t="s">
        <v>0</v>
      </c>
    </row>
    <row r="45511" spans="1:1" x14ac:dyDescent="0.3">
      <c r="A45511" t="s">
        <v>0</v>
      </c>
    </row>
    <row r="45512" spans="1:1" x14ac:dyDescent="0.3">
      <c r="A45512" t="s">
        <v>0</v>
      </c>
    </row>
    <row r="45513" spans="1:1" x14ac:dyDescent="0.3">
      <c r="A45513" t="s">
        <v>0</v>
      </c>
    </row>
    <row r="45514" spans="1:1" x14ac:dyDescent="0.3">
      <c r="A45514" t="s">
        <v>0</v>
      </c>
    </row>
    <row r="45515" spans="1:1" x14ac:dyDescent="0.3">
      <c r="A45515" t="s">
        <v>0</v>
      </c>
    </row>
    <row r="45516" spans="1:1" x14ac:dyDescent="0.3">
      <c r="A45516" t="s">
        <v>0</v>
      </c>
    </row>
    <row r="45517" spans="1:1" x14ac:dyDescent="0.3">
      <c r="A45517" t="s">
        <v>0</v>
      </c>
    </row>
    <row r="45518" spans="1:1" x14ac:dyDescent="0.3">
      <c r="A45518" t="s">
        <v>0</v>
      </c>
    </row>
    <row r="45519" spans="1:1" x14ac:dyDescent="0.3">
      <c r="A45519" t="s">
        <v>0</v>
      </c>
    </row>
    <row r="45520" spans="1:1" x14ac:dyDescent="0.3">
      <c r="A45520" t="s">
        <v>0</v>
      </c>
    </row>
    <row r="45521" spans="1:1" x14ac:dyDescent="0.3">
      <c r="A45521" t="s">
        <v>0</v>
      </c>
    </row>
    <row r="45522" spans="1:1" x14ac:dyDescent="0.3">
      <c r="A45522" t="s">
        <v>0</v>
      </c>
    </row>
    <row r="45523" spans="1:1" x14ac:dyDescent="0.3">
      <c r="A45523" t="s">
        <v>0</v>
      </c>
    </row>
    <row r="45524" spans="1:1" x14ac:dyDescent="0.3">
      <c r="A45524" t="s">
        <v>0</v>
      </c>
    </row>
    <row r="45525" spans="1:1" x14ac:dyDescent="0.3">
      <c r="A45525" t="s">
        <v>0</v>
      </c>
    </row>
    <row r="45526" spans="1:1" x14ac:dyDescent="0.3">
      <c r="A45526" t="s">
        <v>0</v>
      </c>
    </row>
    <row r="45527" spans="1:1" x14ac:dyDescent="0.3">
      <c r="A45527" t="s">
        <v>0</v>
      </c>
    </row>
    <row r="45528" spans="1:1" x14ac:dyDescent="0.3">
      <c r="A45528" t="s">
        <v>0</v>
      </c>
    </row>
    <row r="45529" spans="1:1" x14ac:dyDescent="0.3">
      <c r="A45529" t="s">
        <v>0</v>
      </c>
    </row>
    <row r="45530" spans="1:1" x14ac:dyDescent="0.3">
      <c r="A45530" t="s">
        <v>0</v>
      </c>
    </row>
    <row r="45531" spans="1:1" x14ac:dyDescent="0.3">
      <c r="A45531" t="s">
        <v>0</v>
      </c>
    </row>
    <row r="45532" spans="1:1" x14ac:dyDescent="0.3">
      <c r="A45532" t="s">
        <v>0</v>
      </c>
    </row>
    <row r="45533" spans="1:1" x14ac:dyDescent="0.3">
      <c r="A45533" t="s">
        <v>0</v>
      </c>
    </row>
    <row r="45534" spans="1:1" x14ac:dyDescent="0.3">
      <c r="A45534" t="s">
        <v>0</v>
      </c>
    </row>
    <row r="45535" spans="1:1" x14ac:dyDescent="0.3">
      <c r="A45535" t="s">
        <v>0</v>
      </c>
    </row>
    <row r="45536" spans="1:1" x14ac:dyDescent="0.3">
      <c r="A45536" t="s">
        <v>0</v>
      </c>
    </row>
    <row r="45537" spans="1:1" x14ac:dyDescent="0.3">
      <c r="A45537" t="s">
        <v>0</v>
      </c>
    </row>
    <row r="45538" spans="1:1" x14ac:dyDescent="0.3">
      <c r="A45538" t="s">
        <v>0</v>
      </c>
    </row>
    <row r="45539" spans="1:1" x14ac:dyDescent="0.3">
      <c r="A45539" t="s">
        <v>0</v>
      </c>
    </row>
    <row r="45540" spans="1:1" x14ac:dyDescent="0.3">
      <c r="A45540" t="s">
        <v>0</v>
      </c>
    </row>
    <row r="45541" spans="1:1" x14ac:dyDescent="0.3">
      <c r="A45541" t="s">
        <v>0</v>
      </c>
    </row>
    <row r="45542" spans="1:1" x14ac:dyDescent="0.3">
      <c r="A45542" t="s">
        <v>0</v>
      </c>
    </row>
    <row r="45543" spans="1:1" x14ac:dyDescent="0.3">
      <c r="A45543" t="s">
        <v>0</v>
      </c>
    </row>
    <row r="45544" spans="1:1" x14ac:dyDescent="0.3">
      <c r="A45544" t="s">
        <v>0</v>
      </c>
    </row>
    <row r="45545" spans="1:1" x14ac:dyDescent="0.3">
      <c r="A45545" t="s">
        <v>0</v>
      </c>
    </row>
    <row r="45546" spans="1:1" x14ac:dyDescent="0.3">
      <c r="A45546" t="s">
        <v>0</v>
      </c>
    </row>
    <row r="45547" spans="1:1" x14ac:dyDescent="0.3">
      <c r="A45547" t="s">
        <v>0</v>
      </c>
    </row>
    <row r="45548" spans="1:1" x14ac:dyDescent="0.3">
      <c r="A45548" t="s">
        <v>0</v>
      </c>
    </row>
    <row r="45549" spans="1:1" x14ac:dyDescent="0.3">
      <c r="A45549" t="s">
        <v>0</v>
      </c>
    </row>
    <row r="45550" spans="1:1" x14ac:dyDescent="0.3">
      <c r="A45550" t="s">
        <v>0</v>
      </c>
    </row>
    <row r="45551" spans="1:1" x14ac:dyDescent="0.3">
      <c r="A45551" t="s">
        <v>0</v>
      </c>
    </row>
    <row r="45552" spans="1:1" x14ac:dyDescent="0.3">
      <c r="A45552" t="s">
        <v>0</v>
      </c>
    </row>
    <row r="45553" spans="1:1" x14ac:dyDescent="0.3">
      <c r="A45553" t="s">
        <v>0</v>
      </c>
    </row>
    <row r="45554" spans="1:1" x14ac:dyDescent="0.3">
      <c r="A45554" t="s">
        <v>0</v>
      </c>
    </row>
    <row r="45555" spans="1:1" x14ac:dyDescent="0.3">
      <c r="A45555" t="s">
        <v>0</v>
      </c>
    </row>
    <row r="45556" spans="1:1" x14ac:dyDescent="0.3">
      <c r="A45556" t="s">
        <v>0</v>
      </c>
    </row>
    <row r="45557" spans="1:1" x14ac:dyDescent="0.3">
      <c r="A45557" t="s">
        <v>0</v>
      </c>
    </row>
    <row r="45558" spans="1:1" x14ac:dyDescent="0.3">
      <c r="A45558" t="s">
        <v>0</v>
      </c>
    </row>
    <row r="45559" spans="1:1" x14ac:dyDescent="0.3">
      <c r="A45559" t="s">
        <v>0</v>
      </c>
    </row>
    <row r="45560" spans="1:1" x14ac:dyDescent="0.3">
      <c r="A45560" t="s">
        <v>0</v>
      </c>
    </row>
    <row r="45561" spans="1:1" x14ac:dyDescent="0.3">
      <c r="A45561" t="s">
        <v>0</v>
      </c>
    </row>
    <row r="45562" spans="1:1" x14ac:dyDescent="0.3">
      <c r="A45562" t="s">
        <v>0</v>
      </c>
    </row>
    <row r="45563" spans="1:1" x14ac:dyDescent="0.3">
      <c r="A45563" t="s">
        <v>0</v>
      </c>
    </row>
    <row r="45564" spans="1:1" x14ac:dyDescent="0.3">
      <c r="A45564" t="s">
        <v>0</v>
      </c>
    </row>
    <row r="45565" spans="1:1" x14ac:dyDescent="0.3">
      <c r="A45565" t="s">
        <v>0</v>
      </c>
    </row>
    <row r="45566" spans="1:1" x14ac:dyDescent="0.3">
      <c r="A45566" t="s">
        <v>0</v>
      </c>
    </row>
    <row r="45567" spans="1:1" x14ac:dyDescent="0.3">
      <c r="A45567" t="s">
        <v>0</v>
      </c>
    </row>
    <row r="45568" spans="1:1" x14ac:dyDescent="0.3">
      <c r="A45568" t="s">
        <v>0</v>
      </c>
    </row>
    <row r="45569" spans="1:1" x14ac:dyDescent="0.3">
      <c r="A45569" t="s">
        <v>0</v>
      </c>
    </row>
    <row r="45570" spans="1:1" x14ac:dyDescent="0.3">
      <c r="A45570" t="s">
        <v>0</v>
      </c>
    </row>
    <row r="45571" spans="1:1" x14ac:dyDescent="0.3">
      <c r="A45571" t="s">
        <v>0</v>
      </c>
    </row>
    <row r="45572" spans="1:1" x14ac:dyDescent="0.3">
      <c r="A45572" t="s">
        <v>0</v>
      </c>
    </row>
    <row r="45573" spans="1:1" x14ac:dyDescent="0.3">
      <c r="A45573" t="s">
        <v>0</v>
      </c>
    </row>
    <row r="45574" spans="1:1" x14ac:dyDescent="0.3">
      <c r="A45574" t="s">
        <v>0</v>
      </c>
    </row>
    <row r="45575" spans="1:1" x14ac:dyDescent="0.3">
      <c r="A45575" t="s">
        <v>0</v>
      </c>
    </row>
    <row r="45576" spans="1:1" x14ac:dyDescent="0.3">
      <c r="A45576" t="s">
        <v>0</v>
      </c>
    </row>
    <row r="45577" spans="1:1" x14ac:dyDescent="0.3">
      <c r="A45577" t="s">
        <v>0</v>
      </c>
    </row>
    <row r="45578" spans="1:1" x14ac:dyDescent="0.3">
      <c r="A45578" t="s">
        <v>0</v>
      </c>
    </row>
    <row r="45579" spans="1:1" x14ac:dyDescent="0.3">
      <c r="A45579" t="s">
        <v>0</v>
      </c>
    </row>
    <row r="45580" spans="1:1" x14ac:dyDescent="0.3">
      <c r="A45580" t="s">
        <v>0</v>
      </c>
    </row>
    <row r="45581" spans="1:1" x14ac:dyDescent="0.3">
      <c r="A45581" t="s">
        <v>0</v>
      </c>
    </row>
    <row r="45582" spans="1:1" x14ac:dyDescent="0.3">
      <c r="A45582" t="s">
        <v>0</v>
      </c>
    </row>
    <row r="45583" spans="1:1" x14ac:dyDescent="0.3">
      <c r="A45583" t="s">
        <v>0</v>
      </c>
    </row>
    <row r="45584" spans="1:1" x14ac:dyDescent="0.3">
      <c r="A45584" t="s">
        <v>0</v>
      </c>
    </row>
    <row r="45585" spans="1:1" x14ac:dyDescent="0.3">
      <c r="A45585" t="s">
        <v>0</v>
      </c>
    </row>
    <row r="45586" spans="1:1" x14ac:dyDescent="0.3">
      <c r="A45586" t="s">
        <v>0</v>
      </c>
    </row>
    <row r="45587" spans="1:1" x14ac:dyDescent="0.3">
      <c r="A45587" t="s">
        <v>0</v>
      </c>
    </row>
    <row r="45588" spans="1:1" x14ac:dyDescent="0.3">
      <c r="A45588" t="s">
        <v>0</v>
      </c>
    </row>
    <row r="45589" spans="1:1" x14ac:dyDescent="0.3">
      <c r="A45589" t="s">
        <v>0</v>
      </c>
    </row>
    <row r="45590" spans="1:1" x14ac:dyDescent="0.3">
      <c r="A45590" t="s">
        <v>0</v>
      </c>
    </row>
    <row r="45591" spans="1:1" x14ac:dyDescent="0.3">
      <c r="A45591" t="s">
        <v>0</v>
      </c>
    </row>
    <row r="45592" spans="1:1" x14ac:dyDescent="0.3">
      <c r="A45592" t="s">
        <v>0</v>
      </c>
    </row>
    <row r="45593" spans="1:1" x14ac:dyDescent="0.3">
      <c r="A45593" t="s">
        <v>0</v>
      </c>
    </row>
    <row r="45594" spans="1:1" x14ac:dyDescent="0.3">
      <c r="A45594" t="s">
        <v>0</v>
      </c>
    </row>
    <row r="45595" spans="1:1" x14ac:dyDescent="0.3">
      <c r="A45595" t="s">
        <v>0</v>
      </c>
    </row>
    <row r="45596" spans="1:1" x14ac:dyDescent="0.3">
      <c r="A45596" t="s">
        <v>0</v>
      </c>
    </row>
    <row r="45597" spans="1:1" x14ac:dyDescent="0.3">
      <c r="A45597" t="s">
        <v>0</v>
      </c>
    </row>
    <row r="45598" spans="1:1" x14ac:dyDescent="0.3">
      <c r="A45598" t="s">
        <v>0</v>
      </c>
    </row>
    <row r="45599" spans="1:1" x14ac:dyDescent="0.3">
      <c r="A45599" t="s">
        <v>0</v>
      </c>
    </row>
    <row r="45600" spans="1:1" x14ac:dyDescent="0.3">
      <c r="A45600" t="s">
        <v>0</v>
      </c>
    </row>
    <row r="45601" spans="1:1" x14ac:dyDescent="0.3">
      <c r="A45601" t="s">
        <v>0</v>
      </c>
    </row>
    <row r="45602" spans="1:1" x14ac:dyDescent="0.3">
      <c r="A45602" t="s">
        <v>0</v>
      </c>
    </row>
    <row r="45603" spans="1:1" x14ac:dyDescent="0.3">
      <c r="A45603" t="s">
        <v>0</v>
      </c>
    </row>
    <row r="45604" spans="1:1" x14ac:dyDescent="0.3">
      <c r="A45604" t="s">
        <v>0</v>
      </c>
    </row>
    <row r="45605" spans="1:1" x14ac:dyDescent="0.3">
      <c r="A45605" t="s">
        <v>0</v>
      </c>
    </row>
    <row r="45606" spans="1:1" x14ac:dyDescent="0.3">
      <c r="A45606" t="s">
        <v>0</v>
      </c>
    </row>
    <row r="45607" spans="1:1" x14ac:dyDescent="0.3">
      <c r="A45607" t="s">
        <v>0</v>
      </c>
    </row>
    <row r="45608" spans="1:1" x14ac:dyDescent="0.3">
      <c r="A45608" t="s">
        <v>0</v>
      </c>
    </row>
    <row r="45609" spans="1:1" x14ac:dyDescent="0.3">
      <c r="A45609" t="s">
        <v>0</v>
      </c>
    </row>
    <row r="45610" spans="1:1" x14ac:dyDescent="0.3">
      <c r="A45610" t="s">
        <v>0</v>
      </c>
    </row>
    <row r="45611" spans="1:1" x14ac:dyDescent="0.3">
      <c r="A45611" t="s">
        <v>0</v>
      </c>
    </row>
    <row r="45612" spans="1:1" x14ac:dyDescent="0.3">
      <c r="A45612" t="s">
        <v>0</v>
      </c>
    </row>
    <row r="45613" spans="1:1" x14ac:dyDescent="0.3">
      <c r="A45613" t="s">
        <v>0</v>
      </c>
    </row>
    <row r="45614" spans="1:1" x14ac:dyDescent="0.3">
      <c r="A45614" t="s">
        <v>0</v>
      </c>
    </row>
    <row r="45615" spans="1:1" x14ac:dyDescent="0.3">
      <c r="A45615" t="s">
        <v>0</v>
      </c>
    </row>
    <row r="45616" spans="1:1" x14ac:dyDescent="0.3">
      <c r="A45616" t="s">
        <v>0</v>
      </c>
    </row>
    <row r="45617" spans="1:1" x14ac:dyDescent="0.3">
      <c r="A45617" t="s">
        <v>0</v>
      </c>
    </row>
    <row r="45618" spans="1:1" x14ac:dyDescent="0.3">
      <c r="A45618" t="s">
        <v>0</v>
      </c>
    </row>
    <row r="45619" spans="1:1" x14ac:dyDescent="0.3">
      <c r="A45619" t="s">
        <v>0</v>
      </c>
    </row>
    <row r="45620" spans="1:1" x14ac:dyDescent="0.3">
      <c r="A45620" t="s">
        <v>0</v>
      </c>
    </row>
    <row r="45621" spans="1:1" x14ac:dyDescent="0.3">
      <c r="A45621" t="s">
        <v>0</v>
      </c>
    </row>
    <row r="45622" spans="1:1" x14ac:dyDescent="0.3">
      <c r="A45622" t="s">
        <v>0</v>
      </c>
    </row>
    <row r="45623" spans="1:1" x14ac:dyDescent="0.3">
      <c r="A45623" t="s">
        <v>0</v>
      </c>
    </row>
    <row r="45624" spans="1:1" x14ac:dyDescent="0.3">
      <c r="A45624" t="s">
        <v>0</v>
      </c>
    </row>
    <row r="45625" spans="1:1" x14ac:dyDescent="0.3">
      <c r="A45625" t="s">
        <v>0</v>
      </c>
    </row>
    <row r="45626" spans="1:1" x14ac:dyDescent="0.3">
      <c r="A45626" t="s">
        <v>0</v>
      </c>
    </row>
    <row r="45627" spans="1:1" x14ac:dyDescent="0.3">
      <c r="A45627" t="s">
        <v>0</v>
      </c>
    </row>
    <row r="45628" spans="1:1" x14ac:dyDescent="0.3">
      <c r="A45628" t="s">
        <v>0</v>
      </c>
    </row>
    <row r="45629" spans="1:1" x14ac:dyDescent="0.3">
      <c r="A45629" t="s">
        <v>0</v>
      </c>
    </row>
    <row r="45630" spans="1:1" x14ac:dyDescent="0.3">
      <c r="A45630" t="s">
        <v>0</v>
      </c>
    </row>
    <row r="45631" spans="1:1" x14ac:dyDescent="0.3">
      <c r="A45631" t="s">
        <v>0</v>
      </c>
    </row>
    <row r="45632" spans="1:1" x14ac:dyDescent="0.3">
      <c r="A45632" t="s">
        <v>0</v>
      </c>
    </row>
    <row r="45633" spans="1:1" x14ac:dyDescent="0.3">
      <c r="A45633" t="s">
        <v>0</v>
      </c>
    </row>
    <row r="45634" spans="1:1" x14ac:dyDescent="0.3">
      <c r="A45634" t="s">
        <v>0</v>
      </c>
    </row>
    <row r="45635" spans="1:1" x14ac:dyDescent="0.3">
      <c r="A45635" t="s">
        <v>0</v>
      </c>
    </row>
    <row r="45636" spans="1:1" x14ac:dyDescent="0.3">
      <c r="A45636" t="s">
        <v>0</v>
      </c>
    </row>
    <row r="45637" spans="1:1" x14ac:dyDescent="0.3">
      <c r="A45637" t="s">
        <v>0</v>
      </c>
    </row>
    <row r="45638" spans="1:1" x14ac:dyDescent="0.3">
      <c r="A45638" t="s">
        <v>0</v>
      </c>
    </row>
    <row r="45639" spans="1:1" x14ac:dyDescent="0.3">
      <c r="A45639" t="s">
        <v>0</v>
      </c>
    </row>
    <row r="45640" spans="1:1" x14ac:dyDescent="0.3">
      <c r="A45640" t="s">
        <v>0</v>
      </c>
    </row>
    <row r="45641" spans="1:1" x14ac:dyDescent="0.3">
      <c r="A45641" t="s">
        <v>0</v>
      </c>
    </row>
    <row r="45642" spans="1:1" x14ac:dyDescent="0.3">
      <c r="A45642" t="s">
        <v>0</v>
      </c>
    </row>
    <row r="45643" spans="1:1" x14ac:dyDescent="0.3">
      <c r="A45643" t="s">
        <v>0</v>
      </c>
    </row>
    <row r="45644" spans="1:1" x14ac:dyDescent="0.3">
      <c r="A45644" t="s">
        <v>0</v>
      </c>
    </row>
    <row r="45645" spans="1:1" x14ac:dyDescent="0.3">
      <c r="A45645" t="s">
        <v>0</v>
      </c>
    </row>
    <row r="45646" spans="1:1" x14ac:dyDescent="0.3">
      <c r="A45646" t="s">
        <v>0</v>
      </c>
    </row>
    <row r="45647" spans="1:1" x14ac:dyDescent="0.3">
      <c r="A45647" t="s">
        <v>0</v>
      </c>
    </row>
    <row r="45648" spans="1:1" x14ac:dyDescent="0.3">
      <c r="A45648" t="s">
        <v>0</v>
      </c>
    </row>
    <row r="45649" spans="1:1" x14ac:dyDescent="0.3">
      <c r="A45649" t="s">
        <v>0</v>
      </c>
    </row>
    <row r="45650" spans="1:1" x14ac:dyDescent="0.3">
      <c r="A45650" t="s">
        <v>0</v>
      </c>
    </row>
    <row r="45651" spans="1:1" x14ac:dyDescent="0.3">
      <c r="A45651" t="s">
        <v>0</v>
      </c>
    </row>
    <row r="45652" spans="1:1" x14ac:dyDescent="0.3">
      <c r="A45652" t="s">
        <v>0</v>
      </c>
    </row>
    <row r="45653" spans="1:1" x14ac:dyDescent="0.3">
      <c r="A45653" t="s">
        <v>0</v>
      </c>
    </row>
    <row r="45654" spans="1:1" x14ac:dyDescent="0.3">
      <c r="A45654" t="s">
        <v>0</v>
      </c>
    </row>
    <row r="45655" spans="1:1" x14ac:dyDescent="0.3">
      <c r="A45655" t="s">
        <v>0</v>
      </c>
    </row>
    <row r="45656" spans="1:1" x14ac:dyDescent="0.3">
      <c r="A45656" t="s">
        <v>0</v>
      </c>
    </row>
    <row r="45657" spans="1:1" x14ac:dyDescent="0.3">
      <c r="A45657" t="s">
        <v>0</v>
      </c>
    </row>
    <row r="45658" spans="1:1" x14ac:dyDescent="0.3">
      <c r="A45658" t="s">
        <v>0</v>
      </c>
    </row>
    <row r="45659" spans="1:1" x14ac:dyDescent="0.3">
      <c r="A45659" t="s">
        <v>0</v>
      </c>
    </row>
    <row r="45660" spans="1:1" x14ac:dyDescent="0.3">
      <c r="A45660" t="s">
        <v>0</v>
      </c>
    </row>
    <row r="45661" spans="1:1" x14ac:dyDescent="0.3">
      <c r="A45661" t="s">
        <v>0</v>
      </c>
    </row>
    <row r="45662" spans="1:1" x14ac:dyDescent="0.3">
      <c r="A45662" t="s">
        <v>0</v>
      </c>
    </row>
    <row r="45663" spans="1:1" x14ac:dyDescent="0.3">
      <c r="A45663" t="s">
        <v>0</v>
      </c>
    </row>
    <row r="45664" spans="1:1" x14ac:dyDescent="0.3">
      <c r="A45664" t="s">
        <v>0</v>
      </c>
    </row>
    <row r="45665" spans="1:1" x14ac:dyDescent="0.3">
      <c r="A45665" t="s">
        <v>0</v>
      </c>
    </row>
    <row r="45666" spans="1:1" x14ac:dyDescent="0.3">
      <c r="A45666" t="s">
        <v>0</v>
      </c>
    </row>
    <row r="45667" spans="1:1" x14ac:dyDescent="0.3">
      <c r="A45667" t="s">
        <v>0</v>
      </c>
    </row>
    <row r="45668" spans="1:1" x14ac:dyDescent="0.3">
      <c r="A45668" t="s">
        <v>0</v>
      </c>
    </row>
    <row r="45669" spans="1:1" x14ac:dyDescent="0.3">
      <c r="A45669" t="s">
        <v>0</v>
      </c>
    </row>
    <row r="45670" spans="1:1" x14ac:dyDescent="0.3">
      <c r="A45670" t="s">
        <v>0</v>
      </c>
    </row>
    <row r="45671" spans="1:1" x14ac:dyDescent="0.3">
      <c r="A45671" t="s">
        <v>0</v>
      </c>
    </row>
    <row r="45672" spans="1:1" x14ac:dyDescent="0.3">
      <c r="A45672" t="s">
        <v>0</v>
      </c>
    </row>
    <row r="45673" spans="1:1" x14ac:dyDescent="0.3">
      <c r="A45673" t="s">
        <v>0</v>
      </c>
    </row>
    <row r="45674" spans="1:1" x14ac:dyDescent="0.3">
      <c r="A45674" t="s">
        <v>0</v>
      </c>
    </row>
    <row r="45675" spans="1:1" x14ac:dyDescent="0.3">
      <c r="A45675" t="s">
        <v>0</v>
      </c>
    </row>
    <row r="45676" spans="1:1" x14ac:dyDescent="0.3">
      <c r="A45676" t="s">
        <v>0</v>
      </c>
    </row>
    <row r="45677" spans="1:1" x14ac:dyDescent="0.3">
      <c r="A45677" t="s">
        <v>0</v>
      </c>
    </row>
    <row r="45678" spans="1:1" x14ac:dyDescent="0.3">
      <c r="A45678" t="s">
        <v>0</v>
      </c>
    </row>
    <row r="45679" spans="1:1" x14ac:dyDescent="0.3">
      <c r="A45679" t="s">
        <v>0</v>
      </c>
    </row>
    <row r="45680" spans="1:1" x14ac:dyDescent="0.3">
      <c r="A45680" t="s">
        <v>0</v>
      </c>
    </row>
    <row r="45681" spans="1:1" x14ac:dyDescent="0.3">
      <c r="A45681" t="s">
        <v>0</v>
      </c>
    </row>
    <row r="45682" spans="1:1" x14ac:dyDescent="0.3">
      <c r="A45682" t="s">
        <v>0</v>
      </c>
    </row>
    <row r="45683" spans="1:1" x14ac:dyDescent="0.3">
      <c r="A45683" t="s">
        <v>0</v>
      </c>
    </row>
    <row r="45684" spans="1:1" x14ac:dyDescent="0.3">
      <c r="A45684" t="s">
        <v>0</v>
      </c>
    </row>
    <row r="45685" spans="1:1" x14ac:dyDescent="0.3">
      <c r="A45685" t="s">
        <v>0</v>
      </c>
    </row>
    <row r="45686" spans="1:1" x14ac:dyDescent="0.3">
      <c r="A45686" t="s">
        <v>0</v>
      </c>
    </row>
    <row r="45687" spans="1:1" x14ac:dyDescent="0.3">
      <c r="A45687" t="s">
        <v>0</v>
      </c>
    </row>
    <row r="45688" spans="1:1" x14ac:dyDescent="0.3">
      <c r="A45688" t="s">
        <v>0</v>
      </c>
    </row>
    <row r="45689" spans="1:1" x14ac:dyDescent="0.3">
      <c r="A45689" t="s">
        <v>0</v>
      </c>
    </row>
    <row r="45690" spans="1:1" x14ac:dyDescent="0.3">
      <c r="A45690" t="s">
        <v>0</v>
      </c>
    </row>
    <row r="45691" spans="1:1" x14ac:dyDescent="0.3">
      <c r="A45691" t="s">
        <v>0</v>
      </c>
    </row>
    <row r="45692" spans="1:1" x14ac:dyDescent="0.3">
      <c r="A45692" t="s">
        <v>0</v>
      </c>
    </row>
    <row r="45693" spans="1:1" x14ac:dyDescent="0.3">
      <c r="A45693" t="s">
        <v>0</v>
      </c>
    </row>
    <row r="45694" spans="1:1" x14ac:dyDescent="0.3">
      <c r="A45694" t="s">
        <v>0</v>
      </c>
    </row>
    <row r="45695" spans="1:1" x14ac:dyDescent="0.3">
      <c r="A45695" t="s">
        <v>0</v>
      </c>
    </row>
    <row r="45696" spans="1:1" x14ac:dyDescent="0.3">
      <c r="A45696" t="s">
        <v>0</v>
      </c>
    </row>
    <row r="45697" spans="1:1" x14ac:dyDescent="0.3">
      <c r="A45697" t="s">
        <v>0</v>
      </c>
    </row>
    <row r="45698" spans="1:1" x14ac:dyDescent="0.3">
      <c r="A45698" t="s">
        <v>0</v>
      </c>
    </row>
    <row r="45699" spans="1:1" x14ac:dyDescent="0.3">
      <c r="A45699" t="s">
        <v>0</v>
      </c>
    </row>
    <row r="45700" spans="1:1" x14ac:dyDescent="0.3">
      <c r="A45700" t="s">
        <v>0</v>
      </c>
    </row>
    <row r="45701" spans="1:1" x14ac:dyDescent="0.3">
      <c r="A45701" t="s">
        <v>0</v>
      </c>
    </row>
    <row r="45702" spans="1:1" x14ac:dyDescent="0.3">
      <c r="A45702" t="s">
        <v>0</v>
      </c>
    </row>
    <row r="45703" spans="1:1" x14ac:dyDescent="0.3">
      <c r="A45703" t="s">
        <v>0</v>
      </c>
    </row>
    <row r="45704" spans="1:1" x14ac:dyDescent="0.3">
      <c r="A45704" t="s">
        <v>0</v>
      </c>
    </row>
    <row r="45705" spans="1:1" x14ac:dyDescent="0.3">
      <c r="A45705" t="s">
        <v>0</v>
      </c>
    </row>
    <row r="45706" spans="1:1" x14ac:dyDescent="0.3">
      <c r="A45706" t="s">
        <v>0</v>
      </c>
    </row>
    <row r="45707" spans="1:1" x14ac:dyDescent="0.3">
      <c r="A45707" t="s">
        <v>0</v>
      </c>
    </row>
    <row r="45708" spans="1:1" x14ac:dyDescent="0.3">
      <c r="A45708" t="s">
        <v>0</v>
      </c>
    </row>
    <row r="45709" spans="1:1" x14ac:dyDescent="0.3">
      <c r="A45709" t="s">
        <v>0</v>
      </c>
    </row>
    <row r="45710" spans="1:1" x14ac:dyDescent="0.3">
      <c r="A45710" t="s">
        <v>0</v>
      </c>
    </row>
    <row r="45711" spans="1:1" x14ac:dyDescent="0.3">
      <c r="A45711" t="s">
        <v>0</v>
      </c>
    </row>
    <row r="45712" spans="1:1" x14ac:dyDescent="0.3">
      <c r="A45712" t="s">
        <v>0</v>
      </c>
    </row>
    <row r="45713" spans="1:1" x14ac:dyDescent="0.3">
      <c r="A45713" t="s">
        <v>0</v>
      </c>
    </row>
    <row r="45714" spans="1:1" x14ac:dyDescent="0.3">
      <c r="A45714" t="s">
        <v>0</v>
      </c>
    </row>
    <row r="45715" spans="1:1" x14ac:dyDescent="0.3">
      <c r="A45715" t="s">
        <v>0</v>
      </c>
    </row>
    <row r="45716" spans="1:1" x14ac:dyDescent="0.3">
      <c r="A45716" t="s">
        <v>0</v>
      </c>
    </row>
    <row r="45717" spans="1:1" x14ac:dyDescent="0.3">
      <c r="A45717" t="s">
        <v>0</v>
      </c>
    </row>
    <row r="45718" spans="1:1" x14ac:dyDescent="0.3">
      <c r="A45718" t="s">
        <v>0</v>
      </c>
    </row>
    <row r="45719" spans="1:1" x14ac:dyDescent="0.3">
      <c r="A45719" t="s">
        <v>0</v>
      </c>
    </row>
    <row r="45720" spans="1:1" x14ac:dyDescent="0.3">
      <c r="A45720" t="s">
        <v>0</v>
      </c>
    </row>
    <row r="45721" spans="1:1" x14ac:dyDescent="0.3">
      <c r="A45721" t="s">
        <v>0</v>
      </c>
    </row>
    <row r="45722" spans="1:1" x14ac:dyDescent="0.3">
      <c r="A45722" t="s">
        <v>0</v>
      </c>
    </row>
    <row r="45723" spans="1:1" x14ac:dyDescent="0.3">
      <c r="A45723" t="s">
        <v>0</v>
      </c>
    </row>
    <row r="45724" spans="1:1" x14ac:dyDescent="0.3">
      <c r="A45724" t="s">
        <v>0</v>
      </c>
    </row>
    <row r="45725" spans="1:1" x14ac:dyDescent="0.3">
      <c r="A45725" t="s">
        <v>0</v>
      </c>
    </row>
    <row r="45726" spans="1:1" x14ac:dyDescent="0.3">
      <c r="A45726" t="s">
        <v>0</v>
      </c>
    </row>
    <row r="45727" spans="1:1" x14ac:dyDescent="0.3">
      <c r="A45727" t="s">
        <v>0</v>
      </c>
    </row>
    <row r="45728" spans="1:1" x14ac:dyDescent="0.3">
      <c r="A45728" t="s">
        <v>0</v>
      </c>
    </row>
    <row r="45729" spans="1:1" x14ac:dyDescent="0.3">
      <c r="A45729" t="s">
        <v>0</v>
      </c>
    </row>
    <row r="45730" spans="1:1" x14ac:dyDescent="0.3">
      <c r="A45730" t="s">
        <v>0</v>
      </c>
    </row>
    <row r="45731" spans="1:1" x14ac:dyDescent="0.3">
      <c r="A45731" t="s">
        <v>0</v>
      </c>
    </row>
    <row r="45732" spans="1:1" x14ac:dyDescent="0.3">
      <c r="A45732" t="s">
        <v>0</v>
      </c>
    </row>
    <row r="45733" spans="1:1" x14ac:dyDescent="0.3">
      <c r="A45733" t="s">
        <v>0</v>
      </c>
    </row>
    <row r="45734" spans="1:1" x14ac:dyDescent="0.3">
      <c r="A45734" t="s">
        <v>0</v>
      </c>
    </row>
    <row r="45735" spans="1:1" x14ac:dyDescent="0.3">
      <c r="A45735" t="s">
        <v>0</v>
      </c>
    </row>
    <row r="45736" spans="1:1" x14ac:dyDescent="0.3">
      <c r="A45736" t="s">
        <v>0</v>
      </c>
    </row>
    <row r="45737" spans="1:1" x14ac:dyDescent="0.3">
      <c r="A45737" t="s">
        <v>0</v>
      </c>
    </row>
    <row r="45738" spans="1:1" x14ac:dyDescent="0.3">
      <c r="A45738" t="s">
        <v>0</v>
      </c>
    </row>
    <row r="45739" spans="1:1" x14ac:dyDescent="0.3">
      <c r="A45739" t="s">
        <v>0</v>
      </c>
    </row>
    <row r="45740" spans="1:1" x14ac:dyDescent="0.3">
      <c r="A45740" t="s">
        <v>0</v>
      </c>
    </row>
    <row r="45741" spans="1:1" x14ac:dyDescent="0.3">
      <c r="A45741" t="s">
        <v>0</v>
      </c>
    </row>
    <row r="45742" spans="1:1" x14ac:dyDescent="0.3">
      <c r="A45742" t="s">
        <v>0</v>
      </c>
    </row>
    <row r="45743" spans="1:1" x14ac:dyDescent="0.3">
      <c r="A45743" t="s">
        <v>0</v>
      </c>
    </row>
    <row r="45744" spans="1:1" x14ac:dyDescent="0.3">
      <c r="A45744" t="s">
        <v>0</v>
      </c>
    </row>
    <row r="45745" spans="1:1" x14ac:dyDescent="0.3">
      <c r="A45745" t="s">
        <v>0</v>
      </c>
    </row>
    <row r="45746" spans="1:1" x14ac:dyDescent="0.3">
      <c r="A45746" t="s">
        <v>0</v>
      </c>
    </row>
    <row r="45747" spans="1:1" x14ac:dyDescent="0.3">
      <c r="A45747" t="s">
        <v>0</v>
      </c>
    </row>
    <row r="45748" spans="1:1" x14ac:dyDescent="0.3">
      <c r="A45748" t="s">
        <v>0</v>
      </c>
    </row>
    <row r="45749" spans="1:1" x14ac:dyDescent="0.3">
      <c r="A45749" t="s">
        <v>0</v>
      </c>
    </row>
    <row r="45750" spans="1:1" x14ac:dyDescent="0.3">
      <c r="A45750" t="s">
        <v>0</v>
      </c>
    </row>
    <row r="45751" spans="1:1" x14ac:dyDescent="0.3">
      <c r="A45751" t="s">
        <v>0</v>
      </c>
    </row>
    <row r="45752" spans="1:1" x14ac:dyDescent="0.3">
      <c r="A45752" t="s">
        <v>0</v>
      </c>
    </row>
    <row r="45753" spans="1:1" x14ac:dyDescent="0.3">
      <c r="A45753" t="s">
        <v>0</v>
      </c>
    </row>
    <row r="45754" spans="1:1" x14ac:dyDescent="0.3">
      <c r="A45754" t="s">
        <v>0</v>
      </c>
    </row>
    <row r="45755" spans="1:1" x14ac:dyDescent="0.3">
      <c r="A45755" t="s">
        <v>0</v>
      </c>
    </row>
    <row r="45756" spans="1:1" x14ac:dyDescent="0.3">
      <c r="A45756" t="s">
        <v>0</v>
      </c>
    </row>
    <row r="45757" spans="1:1" x14ac:dyDescent="0.3">
      <c r="A45757" t="s">
        <v>0</v>
      </c>
    </row>
    <row r="45758" spans="1:1" x14ac:dyDescent="0.3">
      <c r="A45758" t="s">
        <v>0</v>
      </c>
    </row>
    <row r="45759" spans="1:1" x14ac:dyDescent="0.3">
      <c r="A45759" t="s">
        <v>0</v>
      </c>
    </row>
    <row r="45760" spans="1:1" x14ac:dyDescent="0.3">
      <c r="A45760" t="s">
        <v>0</v>
      </c>
    </row>
    <row r="45761" spans="1:1" x14ac:dyDescent="0.3">
      <c r="A45761" t="s">
        <v>0</v>
      </c>
    </row>
    <row r="45762" spans="1:1" x14ac:dyDescent="0.3">
      <c r="A45762" t="s">
        <v>0</v>
      </c>
    </row>
    <row r="45763" spans="1:1" x14ac:dyDescent="0.3">
      <c r="A45763" t="s">
        <v>0</v>
      </c>
    </row>
    <row r="45764" spans="1:1" x14ac:dyDescent="0.3">
      <c r="A45764" t="s">
        <v>0</v>
      </c>
    </row>
    <row r="45765" spans="1:1" x14ac:dyDescent="0.3">
      <c r="A45765" t="s">
        <v>0</v>
      </c>
    </row>
    <row r="45766" spans="1:1" x14ac:dyDescent="0.3">
      <c r="A45766" t="s">
        <v>0</v>
      </c>
    </row>
    <row r="45767" spans="1:1" x14ac:dyDescent="0.3">
      <c r="A45767" t="s">
        <v>0</v>
      </c>
    </row>
    <row r="45768" spans="1:1" x14ac:dyDescent="0.3">
      <c r="A45768" t="s">
        <v>0</v>
      </c>
    </row>
    <row r="45769" spans="1:1" x14ac:dyDescent="0.3">
      <c r="A45769" t="s">
        <v>0</v>
      </c>
    </row>
    <row r="45770" spans="1:1" x14ac:dyDescent="0.3">
      <c r="A45770" t="s">
        <v>0</v>
      </c>
    </row>
    <row r="45771" spans="1:1" x14ac:dyDescent="0.3">
      <c r="A45771" t="s">
        <v>0</v>
      </c>
    </row>
    <row r="45772" spans="1:1" x14ac:dyDescent="0.3">
      <c r="A45772" t="s">
        <v>0</v>
      </c>
    </row>
    <row r="45773" spans="1:1" x14ac:dyDescent="0.3">
      <c r="A45773" t="s">
        <v>0</v>
      </c>
    </row>
    <row r="45774" spans="1:1" x14ac:dyDescent="0.3">
      <c r="A45774" t="s">
        <v>0</v>
      </c>
    </row>
    <row r="45775" spans="1:1" x14ac:dyDescent="0.3">
      <c r="A45775" t="s">
        <v>0</v>
      </c>
    </row>
    <row r="45776" spans="1:1" x14ac:dyDescent="0.3">
      <c r="A45776" t="s">
        <v>0</v>
      </c>
    </row>
    <row r="45777" spans="1:1" x14ac:dyDescent="0.3">
      <c r="A45777" t="s">
        <v>0</v>
      </c>
    </row>
    <row r="45778" spans="1:1" x14ac:dyDescent="0.3">
      <c r="A45778" t="s">
        <v>0</v>
      </c>
    </row>
    <row r="45779" spans="1:1" x14ac:dyDescent="0.3">
      <c r="A45779" t="s">
        <v>0</v>
      </c>
    </row>
    <row r="45780" spans="1:1" x14ac:dyDescent="0.3">
      <c r="A45780" t="s">
        <v>0</v>
      </c>
    </row>
    <row r="45781" spans="1:1" x14ac:dyDescent="0.3">
      <c r="A45781" t="s">
        <v>0</v>
      </c>
    </row>
    <row r="45782" spans="1:1" x14ac:dyDescent="0.3">
      <c r="A45782" t="s">
        <v>0</v>
      </c>
    </row>
    <row r="45783" spans="1:1" x14ac:dyDescent="0.3">
      <c r="A45783" t="s">
        <v>0</v>
      </c>
    </row>
    <row r="45784" spans="1:1" x14ac:dyDescent="0.3">
      <c r="A45784" t="s">
        <v>0</v>
      </c>
    </row>
    <row r="45785" spans="1:1" x14ac:dyDescent="0.3">
      <c r="A45785" t="s">
        <v>0</v>
      </c>
    </row>
    <row r="45786" spans="1:1" x14ac:dyDescent="0.3">
      <c r="A45786" t="s">
        <v>0</v>
      </c>
    </row>
    <row r="45787" spans="1:1" x14ac:dyDescent="0.3">
      <c r="A45787" t="s">
        <v>0</v>
      </c>
    </row>
    <row r="45788" spans="1:1" x14ac:dyDescent="0.3">
      <c r="A45788" t="s">
        <v>0</v>
      </c>
    </row>
    <row r="45789" spans="1:1" x14ac:dyDescent="0.3">
      <c r="A45789" t="s">
        <v>0</v>
      </c>
    </row>
    <row r="45790" spans="1:1" x14ac:dyDescent="0.3">
      <c r="A45790" t="s">
        <v>0</v>
      </c>
    </row>
    <row r="45791" spans="1:1" x14ac:dyDescent="0.3">
      <c r="A45791" t="s">
        <v>0</v>
      </c>
    </row>
    <row r="45792" spans="1:1" x14ac:dyDescent="0.3">
      <c r="A45792" t="s">
        <v>0</v>
      </c>
    </row>
    <row r="45793" spans="1:1" x14ac:dyDescent="0.3">
      <c r="A45793" t="s">
        <v>0</v>
      </c>
    </row>
    <row r="45794" spans="1:1" x14ac:dyDescent="0.3">
      <c r="A45794" t="s">
        <v>0</v>
      </c>
    </row>
    <row r="45795" spans="1:1" x14ac:dyDescent="0.3">
      <c r="A45795" t="s">
        <v>0</v>
      </c>
    </row>
    <row r="45796" spans="1:1" x14ac:dyDescent="0.3">
      <c r="A45796" t="s">
        <v>0</v>
      </c>
    </row>
    <row r="45797" spans="1:1" x14ac:dyDescent="0.3">
      <c r="A45797" t="s">
        <v>0</v>
      </c>
    </row>
    <row r="45798" spans="1:1" x14ac:dyDescent="0.3">
      <c r="A45798" t="s">
        <v>0</v>
      </c>
    </row>
    <row r="45799" spans="1:1" x14ac:dyDescent="0.3">
      <c r="A45799" t="s">
        <v>0</v>
      </c>
    </row>
    <row r="45800" spans="1:1" x14ac:dyDescent="0.3">
      <c r="A45800" t="s">
        <v>0</v>
      </c>
    </row>
    <row r="45801" spans="1:1" x14ac:dyDescent="0.3">
      <c r="A45801" t="s">
        <v>0</v>
      </c>
    </row>
    <row r="45802" spans="1:1" x14ac:dyDescent="0.3">
      <c r="A45802" t="s">
        <v>0</v>
      </c>
    </row>
    <row r="45803" spans="1:1" x14ac:dyDescent="0.3">
      <c r="A45803" t="s">
        <v>0</v>
      </c>
    </row>
    <row r="45804" spans="1:1" x14ac:dyDescent="0.3">
      <c r="A45804" t="s">
        <v>0</v>
      </c>
    </row>
    <row r="45805" spans="1:1" x14ac:dyDescent="0.3">
      <c r="A45805" t="s">
        <v>0</v>
      </c>
    </row>
    <row r="45806" spans="1:1" x14ac:dyDescent="0.3">
      <c r="A45806" t="s">
        <v>0</v>
      </c>
    </row>
    <row r="45807" spans="1:1" x14ac:dyDescent="0.3">
      <c r="A45807" t="s">
        <v>0</v>
      </c>
    </row>
    <row r="45808" spans="1:1" x14ac:dyDescent="0.3">
      <c r="A45808" t="s">
        <v>0</v>
      </c>
    </row>
    <row r="45809" spans="1:1" x14ac:dyDescent="0.3">
      <c r="A45809" t="s">
        <v>0</v>
      </c>
    </row>
    <row r="45810" spans="1:1" x14ac:dyDescent="0.3">
      <c r="A45810" t="s">
        <v>0</v>
      </c>
    </row>
    <row r="45811" spans="1:1" x14ac:dyDescent="0.3">
      <c r="A45811" t="s">
        <v>0</v>
      </c>
    </row>
    <row r="45812" spans="1:1" x14ac:dyDescent="0.3">
      <c r="A45812" t="s">
        <v>0</v>
      </c>
    </row>
    <row r="45813" spans="1:1" x14ac:dyDescent="0.3">
      <c r="A45813" t="s">
        <v>0</v>
      </c>
    </row>
    <row r="45814" spans="1:1" x14ac:dyDescent="0.3">
      <c r="A45814" t="s">
        <v>0</v>
      </c>
    </row>
    <row r="45815" spans="1:1" x14ac:dyDescent="0.3">
      <c r="A45815" t="s">
        <v>0</v>
      </c>
    </row>
    <row r="45816" spans="1:1" x14ac:dyDescent="0.3">
      <c r="A45816" t="s">
        <v>0</v>
      </c>
    </row>
    <row r="45817" spans="1:1" x14ac:dyDescent="0.3">
      <c r="A45817" t="s">
        <v>0</v>
      </c>
    </row>
    <row r="45818" spans="1:1" x14ac:dyDescent="0.3">
      <c r="A45818" t="s">
        <v>0</v>
      </c>
    </row>
    <row r="45819" spans="1:1" x14ac:dyDescent="0.3">
      <c r="A45819" t="s">
        <v>0</v>
      </c>
    </row>
    <row r="45820" spans="1:1" x14ac:dyDescent="0.3">
      <c r="A45820" t="s">
        <v>0</v>
      </c>
    </row>
    <row r="45821" spans="1:1" x14ac:dyDescent="0.3">
      <c r="A45821" t="s">
        <v>0</v>
      </c>
    </row>
    <row r="45822" spans="1:1" x14ac:dyDescent="0.3">
      <c r="A45822" t="s">
        <v>0</v>
      </c>
    </row>
    <row r="45823" spans="1:1" x14ac:dyDescent="0.3">
      <c r="A45823" t="s">
        <v>0</v>
      </c>
    </row>
    <row r="45824" spans="1:1" x14ac:dyDescent="0.3">
      <c r="A45824" t="s">
        <v>0</v>
      </c>
    </row>
    <row r="45825" spans="1:1" x14ac:dyDescent="0.3">
      <c r="A45825" t="s">
        <v>0</v>
      </c>
    </row>
    <row r="45826" spans="1:1" x14ac:dyDescent="0.3">
      <c r="A45826" t="s">
        <v>0</v>
      </c>
    </row>
    <row r="45827" spans="1:1" x14ac:dyDescent="0.3">
      <c r="A45827" t="s">
        <v>0</v>
      </c>
    </row>
    <row r="45828" spans="1:1" x14ac:dyDescent="0.3">
      <c r="A45828" t="s">
        <v>0</v>
      </c>
    </row>
    <row r="45829" spans="1:1" x14ac:dyDescent="0.3">
      <c r="A45829" t="s">
        <v>0</v>
      </c>
    </row>
    <row r="45830" spans="1:1" x14ac:dyDescent="0.3">
      <c r="A45830" t="s">
        <v>0</v>
      </c>
    </row>
    <row r="45831" spans="1:1" x14ac:dyDescent="0.3">
      <c r="A45831" t="s">
        <v>0</v>
      </c>
    </row>
    <row r="45832" spans="1:1" x14ac:dyDescent="0.3">
      <c r="A45832" t="s">
        <v>0</v>
      </c>
    </row>
    <row r="45833" spans="1:1" x14ac:dyDescent="0.3">
      <c r="A45833" t="s">
        <v>0</v>
      </c>
    </row>
    <row r="45834" spans="1:1" x14ac:dyDescent="0.3">
      <c r="A45834" t="s">
        <v>0</v>
      </c>
    </row>
    <row r="45835" spans="1:1" x14ac:dyDescent="0.3">
      <c r="A45835" t="s">
        <v>0</v>
      </c>
    </row>
    <row r="45836" spans="1:1" x14ac:dyDescent="0.3">
      <c r="A45836" t="s">
        <v>0</v>
      </c>
    </row>
    <row r="45837" spans="1:1" x14ac:dyDescent="0.3">
      <c r="A45837" t="s">
        <v>0</v>
      </c>
    </row>
    <row r="45838" spans="1:1" x14ac:dyDescent="0.3">
      <c r="A45838" t="s">
        <v>0</v>
      </c>
    </row>
    <row r="45839" spans="1:1" x14ac:dyDescent="0.3">
      <c r="A45839" t="s">
        <v>0</v>
      </c>
    </row>
    <row r="45840" spans="1:1" x14ac:dyDescent="0.3">
      <c r="A45840" t="s">
        <v>0</v>
      </c>
    </row>
    <row r="45841" spans="1:1" x14ac:dyDescent="0.3">
      <c r="A45841" t="s">
        <v>0</v>
      </c>
    </row>
    <row r="45842" spans="1:1" x14ac:dyDescent="0.3">
      <c r="A45842" t="s">
        <v>0</v>
      </c>
    </row>
    <row r="45843" spans="1:1" x14ac:dyDescent="0.3">
      <c r="A45843" t="s">
        <v>0</v>
      </c>
    </row>
    <row r="45844" spans="1:1" x14ac:dyDescent="0.3">
      <c r="A45844" t="s">
        <v>0</v>
      </c>
    </row>
    <row r="45845" spans="1:1" x14ac:dyDescent="0.3">
      <c r="A45845" t="s">
        <v>0</v>
      </c>
    </row>
    <row r="45846" spans="1:1" x14ac:dyDescent="0.3">
      <c r="A45846" t="s">
        <v>0</v>
      </c>
    </row>
    <row r="45847" spans="1:1" x14ac:dyDescent="0.3">
      <c r="A45847" t="s">
        <v>0</v>
      </c>
    </row>
    <row r="45848" spans="1:1" x14ac:dyDescent="0.3">
      <c r="A45848" t="s">
        <v>0</v>
      </c>
    </row>
    <row r="45849" spans="1:1" x14ac:dyDescent="0.3">
      <c r="A45849" t="s">
        <v>0</v>
      </c>
    </row>
    <row r="45850" spans="1:1" x14ac:dyDescent="0.3">
      <c r="A45850" t="s">
        <v>0</v>
      </c>
    </row>
    <row r="45851" spans="1:1" x14ac:dyDescent="0.3">
      <c r="A45851" t="s">
        <v>0</v>
      </c>
    </row>
    <row r="45852" spans="1:1" x14ac:dyDescent="0.3">
      <c r="A45852" t="s">
        <v>0</v>
      </c>
    </row>
    <row r="45853" spans="1:1" x14ac:dyDescent="0.3">
      <c r="A45853" t="s">
        <v>0</v>
      </c>
    </row>
    <row r="45854" spans="1:1" x14ac:dyDescent="0.3">
      <c r="A45854" t="s">
        <v>0</v>
      </c>
    </row>
    <row r="45855" spans="1:1" x14ac:dyDescent="0.3">
      <c r="A45855" t="s">
        <v>0</v>
      </c>
    </row>
    <row r="45856" spans="1:1" x14ac:dyDescent="0.3">
      <c r="A45856" t="s">
        <v>0</v>
      </c>
    </row>
    <row r="45857" spans="1:1" x14ac:dyDescent="0.3">
      <c r="A45857" t="s">
        <v>0</v>
      </c>
    </row>
    <row r="45858" spans="1:1" x14ac:dyDescent="0.3">
      <c r="A45858" t="s">
        <v>0</v>
      </c>
    </row>
    <row r="45859" spans="1:1" x14ac:dyDescent="0.3">
      <c r="A45859" t="s">
        <v>0</v>
      </c>
    </row>
    <row r="45860" spans="1:1" x14ac:dyDescent="0.3">
      <c r="A45860" t="s">
        <v>0</v>
      </c>
    </row>
    <row r="45861" spans="1:1" x14ac:dyDescent="0.3">
      <c r="A45861" t="s">
        <v>0</v>
      </c>
    </row>
    <row r="45862" spans="1:1" x14ac:dyDescent="0.3">
      <c r="A45862" t="s">
        <v>0</v>
      </c>
    </row>
    <row r="45863" spans="1:1" x14ac:dyDescent="0.3">
      <c r="A45863" t="s">
        <v>0</v>
      </c>
    </row>
    <row r="45864" spans="1:1" x14ac:dyDescent="0.3">
      <c r="A45864" t="s">
        <v>0</v>
      </c>
    </row>
    <row r="45865" spans="1:1" x14ac:dyDescent="0.3">
      <c r="A45865" t="s">
        <v>0</v>
      </c>
    </row>
    <row r="45866" spans="1:1" x14ac:dyDescent="0.3">
      <c r="A45866" t="s">
        <v>0</v>
      </c>
    </row>
    <row r="45867" spans="1:1" x14ac:dyDescent="0.3">
      <c r="A45867" t="s">
        <v>0</v>
      </c>
    </row>
    <row r="45868" spans="1:1" x14ac:dyDescent="0.3">
      <c r="A45868" t="s">
        <v>0</v>
      </c>
    </row>
    <row r="45869" spans="1:1" x14ac:dyDescent="0.3">
      <c r="A45869" t="s">
        <v>0</v>
      </c>
    </row>
    <row r="45870" spans="1:1" x14ac:dyDescent="0.3">
      <c r="A45870" t="s">
        <v>0</v>
      </c>
    </row>
    <row r="45871" spans="1:1" x14ac:dyDescent="0.3">
      <c r="A45871" t="s">
        <v>0</v>
      </c>
    </row>
    <row r="45872" spans="1:1" x14ac:dyDescent="0.3">
      <c r="A45872" t="s">
        <v>0</v>
      </c>
    </row>
    <row r="45873" spans="1:1" x14ac:dyDescent="0.3">
      <c r="A45873" t="s">
        <v>0</v>
      </c>
    </row>
    <row r="45874" spans="1:1" x14ac:dyDescent="0.3">
      <c r="A45874" t="s">
        <v>0</v>
      </c>
    </row>
    <row r="45875" spans="1:1" x14ac:dyDescent="0.3">
      <c r="A45875" t="s">
        <v>0</v>
      </c>
    </row>
    <row r="45876" spans="1:1" x14ac:dyDescent="0.3">
      <c r="A45876" t="s">
        <v>0</v>
      </c>
    </row>
    <row r="45877" spans="1:1" x14ac:dyDescent="0.3">
      <c r="A45877" t="s">
        <v>0</v>
      </c>
    </row>
    <row r="45878" spans="1:1" x14ac:dyDescent="0.3">
      <c r="A45878" t="s">
        <v>0</v>
      </c>
    </row>
    <row r="45879" spans="1:1" x14ac:dyDescent="0.3">
      <c r="A45879" t="s">
        <v>0</v>
      </c>
    </row>
    <row r="45880" spans="1:1" x14ac:dyDescent="0.3">
      <c r="A45880" t="s">
        <v>0</v>
      </c>
    </row>
    <row r="45881" spans="1:1" x14ac:dyDescent="0.3">
      <c r="A45881" t="s">
        <v>0</v>
      </c>
    </row>
    <row r="45882" spans="1:1" x14ac:dyDescent="0.3">
      <c r="A45882" t="s">
        <v>0</v>
      </c>
    </row>
    <row r="45883" spans="1:1" x14ac:dyDescent="0.3">
      <c r="A45883" t="s">
        <v>0</v>
      </c>
    </row>
    <row r="45884" spans="1:1" x14ac:dyDescent="0.3">
      <c r="A45884" t="s">
        <v>0</v>
      </c>
    </row>
    <row r="45885" spans="1:1" x14ac:dyDescent="0.3">
      <c r="A45885" t="s">
        <v>0</v>
      </c>
    </row>
    <row r="45886" spans="1:1" x14ac:dyDescent="0.3">
      <c r="A45886" t="s">
        <v>0</v>
      </c>
    </row>
    <row r="45887" spans="1:1" x14ac:dyDescent="0.3">
      <c r="A45887" t="s">
        <v>0</v>
      </c>
    </row>
    <row r="45888" spans="1:1" x14ac:dyDescent="0.3">
      <c r="A45888" t="s">
        <v>0</v>
      </c>
    </row>
    <row r="45889" spans="1:1" x14ac:dyDescent="0.3">
      <c r="A45889" t="s">
        <v>0</v>
      </c>
    </row>
    <row r="45890" spans="1:1" x14ac:dyDescent="0.3">
      <c r="A45890" t="s">
        <v>0</v>
      </c>
    </row>
    <row r="45891" spans="1:1" x14ac:dyDescent="0.3">
      <c r="A45891" t="s">
        <v>0</v>
      </c>
    </row>
    <row r="45892" spans="1:1" x14ac:dyDescent="0.3">
      <c r="A45892" t="s">
        <v>0</v>
      </c>
    </row>
    <row r="45893" spans="1:1" x14ac:dyDescent="0.3">
      <c r="A45893" t="s">
        <v>0</v>
      </c>
    </row>
    <row r="45894" spans="1:1" x14ac:dyDescent="0.3">
      <c r="A45894" t="s">
        <v>0</v>
      </c>
    </row>
    <row r="45895" spans="1:1" x14ac:dyDescent="0.3">
      <c r="A45895" t="s">
        <v>0</v>
      </c>
    </row>
    <row r="45896" spans="1:1" x14ac:dyDescent="0.3">
      <c r="A45896" t="s">
        <v>0</v>
      </c>
    </row>
    <row r="45897" spans="1:1" x14ac:dyDescent="0.3">
      <c r="A45897" t="s">
        <v>0</v>
      </c>
    </row>
    <row r="45898" spans="1:1" x14ac:dyDescent="0.3">
      <c r="A45898" t="s">
        <v>0</v>
      </c>
    </row>
    <row r="45899" spans="1:1" x14ac:dyDescent="0.3">
      <c r="A45899" t="s">
        <v>0</v>
      </c>
    </row>
    <row r="45900" spans="1:1" x14ac:dyDescent="0.3">
      <c r="A45900" t="s">
        <v>0</v>
      </c>
    </row>
    <row r="45901" spans="1:1" x14ac:dyDescent="0.3">
      <c r="A45901" t="s">
        <v>0</v>
      </c>
    </row>
    <row r="45902" spans="1:1" x14ac:dyDescent="0.3">
      <c r="A45902" t="s">
        <v>0</v>
      </c>
    </row>
    <row r="45903" spans="1:1" x14ac:dyDescent="0.3">
      <c r="A45903" t="s">
        <v>0</v>
      </c>
    </row>
    <row r="45904" spans="1:1" x14ac:dyDescent="0.3">
      <c r="A45904" t="s">
        <v>0</v>
      </c>
    </row>
    <row r="45905" spans="1:1" x14ac:dyDescent="0.3">
      <c r="A45905" t="s">
        <v>0</v>
      </c>
    </row>
    <row r="45906" spans="1:1" x14ac:dyDescent="0.3">
      <c r="A45906" t="s">
        <v>0</v>
      </c>
    </row>
    <row r="45907" spans="1:1" x14ac:dyDescent="0.3">
      <c r="A45907" t="s">
        <v>0</v>
      </c>
    </row>
    <row r="45908" spans="1:1" x14ac:dyDescent="0.3">
      <c r="A45908" t="s">
        <v>0</v>
      </c>
    </row>
    <row r="45909" spans="1:1" x14ac:dyDescent="0.3">
      <c r="A45909" t="s">
        <v>0</v>
      </c>
    </row>
    <row r="45910" spans="1:1" x14ac:dyDescent="0.3">
      <c r="A45910" t="s">
        <v>0</v>
      </c>
    </row>
    <row r="45911" spans="1:1" x14ac:dyDescent="0.3">
      <c r="A45911" t="s">
        <v>0</v>
      </c>
    </row>
    <row r="45912" spans="1:1" x14ac:dyDescent="0.3">
      <c r="A45912" t="s">
        <v>0</v>
      </c>
    </row>
    <row r="45913" spans="1:1" x14ac:dyDescent="0.3">
      <c r="A45913" t="s">
        <v>0</v>
      </c>
    </row>
    <row r="45914" spans="1:1" x14ac:dyDescent="0.3">
      <c r="A45914" t="s">
        <v>0</v>
      </c>
    </row>
    <row r="45915" spans="1:1" x14ac:dyDescent="0.3">
      <c r="A45915" t="s">
        <v>0</v>
      </c>
    </row>
    <row r="45916" spans="1:1" x14ac:dyDescent="0.3">
      <c r="A45916" t="s">
        <v>0</v>
      </c>
    </row>
    <row r="45917" spans="1:1" x14ac:dyDescent="0.3">
      <c r="A45917" t="s">
        <v>0</v>
      </c>
    </row>
    <row r="45918" spans="1:1" x14ac:dyDescent="0.3">
      <c r="A45918" t="s">
        <v>0</v>
      </c>
    </row>
    <row r="45919" spans="1:1" x14ac:dyDescent="0.3">
      <c r="A45919" t="s">
        <v>0</v>
      </c>
    </row>
    <row r="45920" spans="1:1" x14ac:dyDescent="0.3">
      <c r="A45920" t="s">
        <v>0</v>
      </c>
    </row>
    <row r="45921" spans="1:1" x14ac:dyDescent="0.3">
      <c r="A45921" t="s">
        <v>0</v>
      </c>
    </row>
    <row r="45922" spans="1:1" x14ac:dyDescent="0.3">
      <c r="A45922" t="s">
        <v>0</v>
      </c>
    </row>
    <row r="45923" spans="1:1" x14ac:dyDescent="0.3">
      <c r="A45923" t="s">
        <v>0</v>
      </c>
    </row>
    <row r="45924" spans="1:1" x14ac:dyDescent="0.3">
      <c r="A45924" t="s">
        <v>0</v>
      </c>
    </row>
    <row r="45925" spans="1:1" x14ac:dyDescent="0.3">
      <c r="A45925" t="s">
        <v>0</v>
      </c>
    </row>
    <row r="45926" spans="1:1" x14ac:dyDescent="0.3">
      <c r="A45926" t="s">
        <v>0</v>
      </c>
    </row>
    <row r="45927" spans="1:1" x14ac:dyDescent="0.3">
      <c r="A45927" t="s">
        <v>0</v>
      </c>
    </row>
    <row r="45928" spans="1:1" x14ac:dyDescent="0.3">
      <c r="A45928" t="s">
        <v>0</v>
      </c>
    </row>
    <row r="45929" spans="1:1" x14ac:dyDescent="0.3">
      <c r="A45929" t="s">
        <v>0</v>
      </c>
    </row>
    <row r="45930" spans="1:1" x14ac:dyDescent="0.3">
      <c r="A45930" t="s">
        <v>0</v>
      </c>
    </row>
    <row r="45931" spans="1:1" x14ac:dyDescent="0.3">
      <c r="A45931" t="s">
        <v>0</v>
      </c>
    </row>
    <row r="45932" spans="1:1" x14ac:dyDescent="0.3">
      <c r="A45932" t="s">
        <v>0</v>
      </c>
    </row>
    <row r="45933" spans="1:1" x14ac:dyDescent="0.3">
      <c r="A45933" t="s">
        <v>0</v>
      </c>
    </row>
    <row r="45934" spans="1:1" x14ac:dyDescent="0.3">
      <c r="A45934" t="s">
        <v>0</v>
      </c>
    </row>
    <row r="45935" spans="1:1" x14ac:dyDescent="0.3">
      <c r="A45935" t="s">
        <v>0</v>
      </c>
    </row>
    <row r="45936" spans="1:1" x14ac:dyDescent="0.3">
      <c r="A45936" t="s">
        <v>0</v>
      </c>
    </row>
    <row r="45937" spans="1:1" x14ac:dyDescent="0.3">
      <c r="A45937" t="s">
        <v>0</v>
      </c>
    </row>
    <row r="45938" spans="1:1" x14ac:dyDescent="0.3">
      <c r="A45938" t="s">
        <v>0</v>
      </c>
    </row>
    <row r="45939" spans="1:1" x14ac:dyDescent="0.3">
      <c r="A45939" t="s">
        <v>0</v>
      </c>
    </row>
    <row r="45940" spans="1:1" x14ac:dyDescent="0.3">
      <c r="A45940" t="s">
        <v>0</v>
      </c>
    </row>
    <row r="45941" spans="1:1" x14ac:dyDescent="0.3">
      <c r="A45941" t="s">
        <v>0</v>
      </c>
    </row>
    <row r="45942" spans="1:1" x14ac:dyDescent="0.3">
      <c r="A45942" t="s">
        <v>0</v>
      </c>
    </row>
    <row r="45943" spans="1:1" x14ac:dyDescent="0.3">
      <c r="A45943" t="s">
        <v>0</v>
      </c>
    </row>
    <row r="45944" spans="1:1" x14ac:dyDescent="0.3">
      <c r="A45944" t="s">
        <v>0</v>
      </c>
    </row>
    <row r="45945" spans="1:1" x14ac:dyDescent="0.3">
      <c r="A45945" t="s">
        <v>0</v>
      </c>
    </row>
    <row r="45946" spans="1:1" x14ac:dyDescent="0.3">
      <c r="A45946" t="s">
        <v>0</v>
      </c>
    </row>
    <row r="45947" spans="1:1" x14ac:dyDescent="0.3">
      <c r="A45947" t="s">
        <v>0</v>
      </c>
    </row>
    <row r="45948" spans="1:1" x14ac:dyDescent="0.3">
      <c r="A45948" t="s">
        <v>0</v>
      </c>
    </row>
    <row r="45949" spans="1:1" x14ac:dyDescent="0.3">
      <c r="A45949" t="s">
        <v>0</v>
      </c>
    </row>
    <row r="45950" spans="1:1" x14ac:dyDescent="0.3">
      <c r="A45950" t="s">
        <v>0</v>
      </c>
    </row>
    <row r="45951" spans="1:1" x14ac:dyDescent="0.3">
      <c r="A45951" t="s">
        <v>0</v>
      </c>
    </row>
    <row r="45952" spans="1:1" x14ac:dyDescent="0.3">
      <c r="A45952" t="s">
        <v>0</v>
      </c>
    </row>
    <row r="45953" spans="1:1" x14ac:dyDescent="0.3">
      <c r="A45953" t="s">
        <v>0</v>
      </c>
    </row>
    <row r="45954" spans="1:1" x14ac:dyDescent="0.3">
      <c r="A45954" t="s">
        <v>0</v>
      </c>
    </row>
    <row r="45955" spans="1:1" x14ac:dyDescent="0.3">
      <c r="A45955" t="s">
        <v>0</v>
      </c>
    </row>
    <row r="45956" spans="1:1" x14ac:dyDescent="0.3">
      <c r="A45956" t="s">
        <v>0</v>
      </c>
    </row>
    <row r="45957" spans="1:1" x14ac:dyDescent="0.3">
      <c r="A45957" t="s">
        <v>0</v>
      </c>
    </row>
    <row r="45958" spans="1:1" x14ac:dyDescent="0.3">
      <c r="A45958" t="s">
        <v>0</v>
      </c>
    </row>
    <row r="45959" spans="1:1" x14ac:dyDescent="0.3">
      <c r="A45959" t="s">
        <v>0</v>
      </c>
    </row>
    <row r="45960" spans="1:1" x14ac:dyDescent="0.3">
      <c r="A45960" t="s">
        <v>0</v>
      </c>
    </row>
    <row r="45961" spans="1:1" x14ac:dyDescent="0.3">
      <c r="A45961" t="s">
        <v>0</v>
      </c>
    </row>
    <row r="45962" spans="1:1" x14ac:dyDescent="0.3">
      <c r="A45962" t="s">
        <v>0</v>
      </c>
    </row>
    <row r="45963" spans="1:1" x14ac:dyDescent="0.3">
      <c r="A45963" t="s">
        <v>0</v>
      </c>
    </row>
    <row r="45964" spans="1:1" x14ac:dyDescent="0.3">
      <c r="A45964" t="s">
        <v>0</v>
      </c>
    </row>
    <row r="45965" spans="1:1" x14ac:dyDescent="0.3">
      <c r="A45965" t="s">
        <v>0</v>
      </c>
    </row>
    <row r="45966" spans="1:1" x14ac:dyDescent="0.3">
      <c r="A45966" t="s">
        <v>0</v>
      </c>
    </row>
    <row r="45967" spans="1:1" x14ac:dyDescent="0.3">
      <c r="A45967" t="s">
        <v>0</v>
      </c>
    </row>
    <row r="45968" spans="1:1" x14ac:dyDescent="0.3">
      <c r="A45968" t="s">
        <v>0</v>
      </c>
    </row>
    <row r="45969" spans="1:1" x14ac:dyDescent="0.3">
      <c r="A45969" t="s">
        <v>0</v>
      </c>
    </row>
    <row r="45970" spans="1:1" x14ac:dyDescent="0.3">
      <c r="A45970" t="s">
        <v>0</v>
      </c>
    </row>
    <row r="45971" spans="1:1" x14ac:dyDescent="0.3">
      <c r="A45971" t="s">
        <v>0</v>
      </c>
    </row>
    <row r="45972" spans="1:1" x14ac:dyDescent="0.3">
      <c r="A45972" t="s">
        <v>0</v>
      </c>
    </row>
    <row r="45973" spans="1:1" x14ac:dyDescent="0.3">
      <c r="A45973" t="s">
        <v>0</v>
      </c>
    </row>
    <row r="45974" spans="1:1" x14ac:dyDescent="0.3">
      <c r="A45974" t="s">
        <v>0</v>
      </c>
    </row>
    <row r="45975" spans="1:1" x14ac:dyDescent="0.3">
      <c r="A45975" t="s">
        <v>0</v>
      </c>
    </row>
    <row r="45976" spans="1:1" x14ac:dyDescent="0.3">
      <c r="A45976" t="s">
        <v>0</v>
      </c>
    </row>
    <row r="45977" spans="1:1" x14ac:dyDescent="0.3">
      <c r="A45977" t="s">
        <v>0</v>
      </c>
    </row>
    <row r="45978" spans="1:1" x14ac:dyDescent="0.3">
      <c r="A45978" t="s">
        <v>0</v>
      </c>
    </row>
    <row r="45979" spans="1:1" x14ac:dyDescent="0.3">
      <c r="A45979" t="s">
        <v>0</v>
      </c>
    </row>
    <row r="45980" spans="1:1" x14ac:dyDescent="0.3">
      <c r="A45980" t="s">
        <v>0</v>
      </c>
    </row>
    <row r="45981" spans="1:1" x14ac:dyDescent="0.3">
      <c r="A45981" t="s">
        <v>0</v>
      </c>
    </row>
    <row r="45982" spans="1:1" x14ac:dyDescent="0.3">
      <c r="A45982" t="s">
        <v>0</v>
      </c>
    </row>
    <row r="45983" spans="1:1" x14ac:dyDescent="0.3">
      <c r="A45983" t="s">
        <v>0</v>
      </c>
    </row>
    <row r="45984" spans="1:1" x14ac:dyDescent="0.3">
      <c r="A45984" t="s">
        <v>0</v>
      </c>
    </row>
    <row r="45985" spans="1:1" x14ac:dyDescent="0.3">
      <c r="A45985" t="s">
        <v>0</v>
      </c>
    </row>
    <row r="45986" spans="1:1" x14ac:dyDescent="0.3">
      <c r="A45986" t="s">
        <v>0</v>
      </c>
    </row>
    <row r="45987" spans="1:1" x14ac:dyDescent="0.3">
      <c r="A45987" t="s">
        <v>0</v>
      </c>
    </row>
    <row r="45988" spans="1:1" x14ac:dyDescent="0.3">
      <c r="A45988" t="s">
        <v>0</v>
      </c>
    </row>
    <row r="45989" spans="1:1" x14ac:dyDescent="0.3">
      <c r="A45989" t="s">
        <v>0</v>
      </c>
    </row>
    <row r="45990" spans="1:1" x14ac:dyDescent="0.3">
      <c r="A45990" t="s">
        <v>0</v>
      </c>
    </row>
    <row r="45991" spans="1:1" x14ac:dyDescent="0.3">
      <c r="A45991" t="s">
        <v>0</v>
      </c>
    </row>
    <row r="45992" spans="1:1" x14ac:dyDescent="0.3">
      <c r="A45992" t="s">
        <v>0</v>
      </c>
    </row>
    <row r="45993" spans="1:1" x14ac:dyDescent="0.3">
      <c r="A45993" t="s">
        <v>0</v>
      </c>
    </row>
    <row r="45994" spans="1:1" x14ac:dyDescent="0.3">
      <c r="A45994" t="s">
        <v>0</v>
      </c>
    </row>
    <row r="45995" spans="1:1" x14ac:dyDescent="0.3">
      <c r="A45995" t="s">
        <v>0</v>
      </c>
    </row>
    <row r="45996" spans="1:1" x14ac:dyDescent="0.3">
      <c r="A45996" t="s">
        <v>0</v>
      </c>
    </row>
    <row r="45997" spans="1:1" x14ac:dyDescent="0.3">
      <c r="A45997" t="s">
        <v>0</v>
      </c>
    </row>
    <row r="45998" spans="1:1" x14ac:dyDescent="0.3">
      <c r="A45998" t="s">
        <v>0</v>
      </c>
    </row>
    <row r="45999" spans="1:1" x14ac:dyDescent="0.3">
      <c r="A45999" t="s">
        <v>0</v>
      </c>
    </row>
    <row r="46000" spans="1:1" x14ac:dyDescent="0.3">
      <c r="A46000" t="s">
        <v>0</v>
      </c>
    </row>
    <row r="46001" spans="1:1" x14ac:dyDescent="0.3">
      <c r="A46001" t="s">
        <v>0</v>
      </c>
    </row>
    <row r="46002" spans="1:1" x14ac:dyDescent="0.3">
      <c r="A46002" t="s">
        <v>0</v>
      </c>
    </row>
    <row r="46003" spans="1:1" x14ac:dyDescent="0.3">
      <c r="A46003" t="s">
        <v>0</v>
      </c>
    </row>
    <row r="46004" spans="1:1" x14ac:dyDescent="0.3">
      <c r="A46004" t="s">
        <v>0</v>
      </c>
    </row>
    <row r="46005" spans="1:1" x14ac:dyDescent="0.3">
      <c r="A46005" t="s">
        <v>0</v>
      </c>
    </row>
    <row r="46006" spans="1:1" x14ac:dyDescent="0.3">
      <c r="A46006" t="s">
        <v>0</v>
      </c>
    </row>
    <row r="46007" spans="1:1" x14ac:dyDescent="0.3">
      <c r="A46007" t="s">
        <v>0</v>
      </c>
    </row>
    <row r="46008" spans="1:1" x14ac:dyDescent="0.3">
      <c r="A46008" t="s">
        <v>0</v>
      </c>
    </row>
    <row r="46009" spans="1:1" x14ac:dyDescent="0.3">
      <c r="A46009" t="s">
        <v>0</v>
      </c>
    </row>
    <row r="46010" spans="1:1" x14ac:dyDescent="0.3">
      <c r="A46010" t="s">
        <v>0</v>
      </c>
    </row>
    <row r="46011" spans="1:1" x14ac:dyDescent="0.3">
      <c r="A46011" t="s">
        <v>0</v>
      </c>
    </row>
    <row r="46012" spans="1:1" x14ac:dyDescent="0.3">
      <c r="A46012" t="s">
        <v>0</v>
      </c>
    </row>
    <row r="46013" spans="1:1" x14ac:dyDescent="0.3">
      <c r="A46013" t="s">
        <v>0</v>
      </c>
    </row>
    <row r="46014" spans="1:1" x14ac:dyDescent="0.3">
      <c r="A46014" t="s">
        <v>0</v>
      </c>
    </row>
    <row r="46015" spans="1:1" x14ac:dyDescent="0.3">
      <c r="A46015" t="s">
        <v>0</v>
      </c>
    </row>
    <row r="46016" spans="1:1" x14ac:dyDescent="0.3">
      <c r="A46016" t="s">
        <v>0</v>
      </c>
    </row>
    <row r="46017" spans="1:1" x14ac:dyDescent="0.3">
      <c r="A46017" t="s">
        <v>0</v>
      </c>
    </row>
    <row r="46018" spans="1:1" x14ac:dyDescent="0.3">
      <c r="A46018" t="s">
        <v>0</v>
      </c>
    </row>
    <row r="46019" spans="1:1" x14ac:dyDescent="0.3">
      <c r="A46019" t="s">
        <v>0</v>
      </c>
    </row>
    <row r="46020" spans="1:1" x14ac:dyDescent="0.3">
      <c r="A46020" t="s">
        <v>0</v>
      </c>
    </row>
    <row r="46021" spans="1:1" x14ac:dyDescent="0.3">
      <c r="A46021" t="s">
        <v>0</v>
      </c>
    </row>
    <row r="46022" spans="1:1" x14ac:dyDescent="0.3">
      <c r="A46022" t="s">
        <v>0</v>
      </c>
    </row>
    <row r="46023" spans="1:1" x14ac:dyDescent="0.3">
      <c r="A46023" t="s">
        <v>0</v>
      </c>
    </row>
    <row r="46024" spans="1:1" x14ac:dyDescent="0.3">
      <c r="A46024" t="s">
        <v>0</v>
      </c>
    </row>
    <row r="46025" spans="1:1" x14ac:dyDescent="0.3">
      <c r="A46025" t="s">
        <v>0</v>
      </c>
    </row>
    <row r="46026" spans="1:1" x14ac:dyDescent="0.3">
      <c r="A46026" t="s">
        <v>0</v>
      </c>
    </row>
    <row r="46027" spans="1:1" x14ac:dyDescent="0.3">
      <c r="A46027" t="s">
        <v>0</v>
      </c>
    </row>
    <row r="46028" spans="1:1" x14ac:dyDescent="0.3">
      <c r="A46028" t="s">
        <v>0</v>
      </c>
    </row>
    <row r="46029" spans="1:1" x14ac:dyDescent="0.3">
      <c r="A46029" t="s">
        <v>0</v>
      </c>
    </row>
    <row r="46030" spans="1:1" x14ac:dyDescent="0.3">
      <c r="A46030" t="s">
        <v>0</v>
      </c>
    </row>
    <row r="46031" spans="1:1" x14ac:dyDescent="0.3">
      <c r="A46031" t="s">
        <v>0</v>
      </c>
    </row>
    <row r="46032" spans="1:1" x14ac:dyDescent="0.3">
      <c r="A46032" t="s">
        <v>0</v>
      </c>
    </row>
    <row r="46033" spans="1:1" x14ac:dyDescent="0.3">
      <c r="A46033" t="s">
        <v>0</v>
      </c>
    </row>
    <row r="46034" spans="1:1" x14ac:dyDescent="0.3">
      <c r="A46034" t="s">
        <v>0</v>
      </c>
    </row>
    <row r="46035" spans="1:1" x14ac:dyDescent="0.3">
      <c r="A46035" t="s">
        <v>0</v>
      </c>
    </row>
    <row r="46036" spans="1:1" x14ac:dyDescent="0.3">
      <c r="A46036" t="s">
        <v>0</v>
      </c>
    </row>
    <row r="46037" spans="1:1" x14ac:dyDescent="0.3">
      <c r="A46037" t="s">
        <v>0</v>
      </c>
    </row>
    <row r="46038" spans="1:1" x14ac:dyDescent="0.3">
      <c r="A46038" t="s">
        <v>0</v>
      </c>
    </row>
    <row r="46039" spans="1:1" x14ac:dyDescent="0.3">
      <c r="A46039" t="s">
        <v>0</v>
      </c>
    </row>
    <row r="46040" spans="1:1" x14ac:dyDescent="0.3">
      <c r="A46040" t="s">
        <v>0</v>
      </c>
    </row>
    <row r="46041" spans="1:1" x14ac:dyDescent="0.3">
      <c r="A46041" t="s">
        <v>0</v>
      </c>
    </row>
    <row r="46042" spans="1:1" x14ac:dyDescent="0.3">
      <c r="A46042" t="s">
        <v>0</v>
      </c>
    </row>
    <row r="46043" spans="1:1" x14ac:dyDescent="0.3">
      <c r="A46043" t="s">
        <v>0</v>
      </c>
    </row>
    <row r="46044" spans="1:1" x14ac:dyDescent="0.3">
      <c r="A46044" t="s">
        <v>0</v>
      </c>
    </row>
    <row r="46045" spans="1:1" x14ac:dyDescent="0.3">
      <c r="A46045" t="s">
        <v>0</v>
      </c>
    </row>
    <row r="46046" spans="1:1" x14ac:dyDescent="0.3">
      <c r="A46046" t="s">
        <v>0</v>
      </c>
    </row>
    <row r="46047" spans="1:1" x14ac:dyDescent="0.3">
      <c r="A46047" t="s">
        <v>0</v>
      </c>
    </row>
    <row r="46048" spans="1:1" x14ac:dyDescent="0.3">
      <c r="A46048" t="s">
        <v>0</v>
      </c>
    </row>
    <row r="46049" spans="1:1" x14ac:dyDescent="0.3">
      <c r="A46049" t="s">
        <v>0</v>
      </c>
    </row>
    <row r="46050" spans="1:1" x14ac:dyDescent="0.3">
      <c r="A46050" t="s">
        <v>0</v>
      </c>
    </row>
    <row r="46051" spans="1:1" x14ac:dyDescent="0.3">
      <c r="A46051" t="s">
        <v>0</v>
      </c>
    </row>
    <row r="46052" spans="1:1" x14ac:dyDescent="0.3">
      <c r="A46052" t="s">
        <v>0</v>
      </c>
    </row>
    <row r="46053" spans="1:1" x14ac:dyDescent="0.3">
      <c r="A46053" t="s">
        <v>0</v>
      </c>
    </row>
    <row r="46054" spans="1:1" x14ac:dyDescent="0.3">
      <c r="A46054" t="s">
        <v>0</v>
      </c>
    </row>
    <row r="46055" spans="1:1" x14ac:dyDescent="0.3">
      <c r="A46055" t="s">
        <v>0</v>
      </c>
    </row>
    <row r="46056" spans="1:1" x14ac:dyDescent="0.3">
      <c r="A46056" t="s">
        <v>0</v>
      </c>
    </row>
    <row r="46057" spans="1:1" x14ac:dyDescent="0.3">
      <c r="A46057" t="s">
        <v>0</v>
      </c>
    </row>
    <row r="46058" spans="1:1" x14ac:dyDescent="0.3">
      <c r="A46058" t="s">
        <v>0</v>
      </c>
    </row>
    <row r="46059" spans="1:1" x14ac:dyDescent="0.3">
      <c r="A46059" t="s">
        <v>0</v>
      </c>
    </row>
    <row r="46060" spans="1:1" x14ac:dyDescent="0.3">
      <c r="A46060" t="s">
        <v>0</v>
      </c>
    </row>
    <row r="46061" spans="1:1" x14ac:dyDescent="0.3">
      <c r="A46061" t="s">
        <v>0</v>
      </c>
    </row>
    <row r="46062" spans="1:1" x14ac:dyDescent="0.3">
      <c r="A46062" t="s">
        <v>0</v>
      </c>
    </row>
    <row r="46063" spans="1:1" x14ac:dyDescent="0.3">
      <c r="A46063" t="s">
        <v>0</v>
      </c>
    </row>
    <row r="46064" spans="1:1" x14ac:dyDescent="0.3">
      <c r="A46064" t="s">
        <v>0</v>
      </c>
    </row>
    <row r="46065" spans="1:1" x14ac:dyDescent="0.3">
      <c r="A46065" t="s">
        <v>0</v>
      </c>
    </row>
    <row r="46066" spans="1:1" x14ac:dyDescent="0.3">
      <c r="A46066" t="s">
        <v>0</v>
      </c>
    </row>
    <row r="46067" spans="1:1" x14ac:dyDescent="0.3">
      <c r="A46067" t="s">
        <v>0</v>
      </c>
    </row>
    <row r="46068" spans="1:1" x14ac:dyDescent="0.3">
      <c r="A46068" t="s">
        <v>0</v>
      </c>
    </row>
    <row r="46069" spans="1:1" x14ac:dyDescent="0.3">
      <c r="A46069" t="s">
        <v>0</v>
      </c>
    </row>
    <row r="46070" spans="1:1" x14ac:dyDescent="0.3">
      <c r="A46070" t="s">
        <v>0</v>
      </c>
    </row>
    <row r="46071" spans="1:1" x14ac:dyDescent="0.3">
      <c r="A46071" t="s">
        <v>0</v>
      </c>
    </row>
    <row r="46072" spans="1:1" x14ac:dyDescent="0.3">
      <c r="A46072" t="s">
        <v>0</v>
      </c>
    </row>
    <row r="46073" spans="1:1" x14ac:dyDescent="0.3">
      <c r="A46073" t="s">
        <v>0</v>
      </c>
    </row>
    <row r="46074" spans="1:1" x14ac:dyDescent="0.3">
      <c r="A46074" t="s">
        <v>0</v>
      </c>
    </row>
    <row r="46075" spans="1:1" x14ac:dyDescent="0.3">
      <c r="A46075" t="s">
        <v>0</v>
      </c>
    </row>
    <row r="46076" spans="1:1" x14ac:dyDescent="0.3">
      <c r="A46076" t="s">
        <v>0</v>
      </c>
    </row>
    <row r="46077" spans="1:1" x14ac:dyDescent="0.3">
      <c r="A46077" t="s">
        <v>0</v>
      </c>
    </row>
    <row r="46078" spans="1:1" x14ac:dyDescent="0.3">
      <c r="A46078" t="s">
        <v>0</v>
      </c>
    </row>
    <row r="46079" spans="1:1" x14ac:dyDescent="0.3">
      <c r="A46079" t="s">
        <v>0</v>
      </c>
    </row>
    <row r="46080" spans="1:1" x14ac:dyDescent="0.3">
      <c r="A46080" t="s">
        <v>0</v>
      </c>
    </row>
    <row r="46081" spans="1:1" x14ac:dyDescent="0.3">
      <c r="A46081" t="s">
        <v>0</v>
      </c>
    </row>
    <row r="46082" spans="1:1" x14ac:dyDescent="0.3">
      <c r="A46082" t="s">
        <v>0</v>
      </c>
    </row>
    <row r="46083" spans="1:1" x14ac:dyDescent="0.3">
      <c r="A46083" t="s">
        <v>0</v>
      </c>
    </row>
    <row r="46084" spans="1:1" x14ac:dyDescent="0.3">
      <c r="A46084" t="s">
        <v>0</v>
      </c>
    </row>
    <row r="46085" spans="1:1" x14ac:dyDescent="0.3">
      <c r="A46085" t="s">
        <v>0</v>
      </c>
    </row>
    <row r="46086" spans="1:1" x14ac:dyDescent="0.3">
      <c r="A46086" t="s">
        <v>0</v>
      </c>
    </row>
    <row r="46087" spans="1:1" x14ac:dyDescent="0.3">
      <c r="A46087" t="s">
        <v>0</v>
      </c>
    </row>
    <row r="46088" spans="1:1" x14ac:dyDescent="0.3">
      <c r="A46088" t="s">
        <v>0</v>
      </c>
    </row>
    <row r="46089" spans="1:1" x14ac:dyDescent="0.3">
      <c r="A46089" t="s">
        <v>0</v>
      </c>
    </row>
    <row r="46090" spans="1:1" x14ac:dyDescent="0.3">
      <c r="A46090" t="s">
        <v>0</v>
      </c>
    </row>
    <row r="46091" spans="1:1" x14ac:dyDescent="0.3">
      <c r="A46091" t="s">
        <v>0</v>
      </c>
    </row>
    <row r="46092" spans="1:1" x14ac:dyDescent="0.3">
      <c r="A46092" t="s">
        <v>0</v>
      </c>
    </row>
    <row r="46093" spans="1:1" x14ac:dyDescent="0.3">
      <c r="A46093" t="s">
        <v>0</v>
      </c>
    </row>
    <row r="46094" spans="1:1" x14ac:dyDescent="0.3">
      <c r="A46094" t="s">
        <v>0</v>
      </c>
    </row>
    <row r="46095" spans="1:1" x14ac:dyDescent="0.3">
      <c r="A46095" t="s">
        <v>0</v>
      </c>
    </row>
    <row r="46096" spans="1:1" x14ac:dyDescent="0.3">
      <c r="A46096" t="s">
        <v>0</v>
      </c>
    </row>
    <row r="46097" spans="1:1" x14ac:dyDescent="0.3">
      <c r="A46097" t="s">
        <v>0</v>
      </c>
    </row>
    <row r="46098" spans="1:1" x14ac:dyDescent="0.3">
      <c r="A46098" t="s">
        <v>0</v>
      </c>
    </row>
    <row r="46099" spans="1:1" x14ac:dyDescent="0.3">
      <c r="A46099" t="s">
        <v>0</v>
      </c>
    </row>
    <row r="46100" spans="1:1" x14ac:dyDescent="0.3">
      <c r="A46100" t="s">
        <v>0</v>
      </c>
    </row>
    <row r="46101" spans="1:1" x14ac:dyDescent="0.3">
      <c r="A46101" t="s">
        <v>0</v>
      </c>
    </row>
    <row r="46102" spans="1:1" x14ac:dyDescent="0.3">
      <c r="A46102" t="s">
        <v>0</v>
      </c>
    </row>
    <row r="46103" spans="1:1" x14ac:dyDescent="0.3">
      <c r="A46103" t="s">
        <v>0</v>
      </c>
    </row>
    <row r="46104" spans="1:1" x14ac:dyDescent="0.3">
      <c r="A46104" t="s">
        <v>0</v>
      </c>
    </row>
    <row r="46105" spans="1:1" x14ac:dyDescent="0.3">
      <c r="A46105" t="s">
        <v>0</v>
      </c>
    </row>
    <row r="46106" spans="1:1" x14ac:dyDescent="0.3">
      <c r="A46106" t="s">
        <v>0</v>
      </c>
    </row>
    <row r="46107" spans="1:1" x14ac:dyDescent="0.3">
      <c r="A46107" t="s">
        <v>0</v>
      </c>
    </row>
    <row r="46108" spans="1:1" x14ac:dyDescent="0.3">
      <c r="A46108" t="s">
        <v>0</v>
      </c>
    </row>
    <row r="46109" spans="1:1" x14ac:dyDescent="0.3">
      <c r="A46109" t="s">
        <v>0</v>
      </c>
    </row>
    <row r="46110" spans="1:1" x14ac:dyDescent="0.3">
      <c r="A46110" t="s">
        <v>0</v>
      </c>
    </row>
    <row r="46111" spans="1:1" x14ac:dyDescent="0.3">
      <c r="A46111" t="s">
        <v>0</v>
      </c>
    </row>
    <row r="46112" spans="1:1" x14ac:dyDescent="0.3">
      <c r="A46112" t="s">
        <v>0</v>
      </c>
    </row>
    <row r="46113" spans="1:1" x14ac:dyDescent="0.3">
      <c r="A46113" t="s">
        <v>0</v>
      </c>
    </row>
    <row r="46114" spans="1:1" x14ac:dyDescent="0.3">
      <c r="A46114" t="s">
        <v>0</v>
      </c>
    </row>
    <row r="46115" spans="1:1" x14ac:dyDescent="0.3">
      <c r="A46115" t="s">
        <v>0</v>
      </c>
    </row>
    <row r="46116" spans="1:1" x14ac:dyDescent="0.3">
      <c r="A46116" t="s">
        <v>0</v>
      </c>
    </row>
    <row r="46117" spans="1:1" x14ac:dyDescent="0.3">
      <c r="A46117" t="s">
        <v>0</v>
      </c>
    </row>
    <row r="46118" spans="1:1" x14ac:dyDescent="0.3">
      <c r="A46118" t="s">
        <v>0</v>
      </c>
    </row>
    <row r="46119" spans="1:1" x14ac:dyDescent="0.3">
      <c r="A46119" t="s">
        <v>0</v>
      </c>
    </row>
    <row r="46120" spans="1:1" x14ac:dyDescent="0.3">
      <c r="A46120" t="s">
        <v>0</v>
      </c>
    </row>
    <row r="46121" spans="1:1" x14ac:dyDescent="0.3">
      <c r="A46121" t="s">
        <v>0</v>
      </c>
    </row>
    <row r="46122" spans="1:1" x14ac:dyDescent="0.3">
      <c r="A46122" t="s">
        <v>0</v>
      </c>
    </row>
    <row r="46123" spans="1:1" x14ac:dyDescent="0.3">
      <c r="A46123" t="s">
        <v>0</v>
      </c>
    </row>
    <row r="46124" spans="1:1" x14ac:dyDescent="0.3">
      <c r="A46124" t="s">
        <v>0</v>
      </c>
    </row>
    <row r="46125" spans="1:1" x14ac:dyDescent="0.3">
      <c r="A46125" t="s">
        <v>0</v>
      </c>
    </row>
    <row r="46126" spans="1:1" x14ac:dyDescent="0.3">
      <c r="A46126" t="s">
        <v>0</v>
      </c>
    </row>
    <row r="46127" spans="1:1" x14ac:dyDescent="0.3">
      <c r="A46127" t="s">
        <v>0</v>
      </c>
    </row>
    <row r="46128" spans="1:1" x14ac:dyDescent="0.3">
      <c r="A46128" t="s">
        <v>0</v>
      </c>
    </row>
    <row r="46129" spans="1:1" x14ac:dyDescent="0.3">
      <c r="A46129" t="s">
        <v>0</v>
      </c>
    </row>
    <row r="46130" spans="1:1" x14ac:dyDescent="0.3">
      <c r="A46130" t="s">
        <v>0</v>
      </c>
    </row>
    <row r="46131" spans="1:1" x14ac:dyDescent="0.3">
      <c r="A46131" t="s">
        <v>0</v>
      </c>
    </row>
    <row r="46132" spans="1:1" x14ac:dyDescent="0.3">
      <c r="A46132" t="s">
        <v>0</v>
      </c>
    </row>
    <row r="46133" spans="1:1" x14ac:dyDescent="0.3">
      <c r="A46133" t="s">
        <v>0</v>
      </c>
    </row>
    <row r="46134" spans="1:1" x14ac:dyDescent="0.3">
      <c r="A46134" t="s">
        <v>0</v>
      </c>
    </row>
    <row r="46135" spans="1:1" x14ac:dyDescent="0.3">
      <c r="A46135" t="s">
        <v>0</v>
      </c>
    </row>
    <row r="46136" spans="1:1" x14ac:dyDescent="0.3">
      <c r="A46136" t="s">
        <v>0</v>
      </c>
    </row>
    <row r="46137" spans="1:1" x14ac:dyDescent="0.3">
      <c r="A46137" t="s">
        <v>0</v>
      </c>
    </row>
    <row r="46138" spans="1:1" x14ac:dyDescent="0.3">
      <c r="A46138" t="s">
        <v>0</v>
      </c>
    </row>
    <row r="46139" spans="1:1" x14ac:dyDescent="0.3">
      <c r="A46139" t="s">
        <v>0</v>
      </c>
    </row>
    <row r="46140" spans="1:1" x14ac:dyDescent="0.3">
      <c r="A46140" t="s">
        <v>0</v>
      </c>
    </row>
    <row r="46141" spans="1:1" x14ac:dyDescent="0.3">
      <c r="A46141" t="s">
        <v>0</v>
      </c>
    </row>
    <row r="46142" spans="1:1" x14ac:dyDescent="0.3">
      <c r="A46142" t="s">
        <v>0</v>
      </c>
    </row>
    <row r="46143" spans="1:1" x14ac:dyDescent="0.3">
      <c r="A46143" t="s">
        <v>0</v>
      </c>
    </row>
    <row r="46144" spans="1:1" x14ac:dyDescent="0.3">
      <c r="A46144" t="s">
        <v>0</v>
      </c>
    </row>
    <row r="46145" spans="1:1" x14ac:dyDescent="0.3">
      <c r="A46145" t="s">
        <v>0</v>
      </c>
    </row>
    <row r="46146" spans="1:1" x14ac:dyDescent="0.3">
      <c r="A46146" t="s">
        <v>0</v>
      </c>
    </row>
    <row r="46147" spans="1:1" x14ac:dyDescent="0.3">
      <c r="A46147" t="s">
        <v>0</v>
      </c>
    </row>
    <row r="46148" spans="1:1" x14ac:dyDescent="0.3">
      <c r="A46148" t="s">
        <v>0</v>
      </c>
    </row>
    <row r="46149" spans="1:1" x14ac:dyDescent="0.3">
      <c r="A46149" t="s">
        <v>0</v>
      </c>
    </row>
    <row r="46150" spans="1:1" x14ac:dyDescent="0.3">
      <c r="A46150" t="s">
        <v>0</v>
      </c>
    </row>
    <row r="46151" spans="1:1" x14ac:dyDescent="0.3">
      <c r="A46151" t="s">
        <v>0</v>
      </c>
    </row>
    <row r="46152" spans="1:1" x14ac:dyDescent="0.3">
      <c r="A46152" t="s">
        <v>0</v>
      </c>
    </row>
    <row r="46153" spans="1:1" x14ac:dyDescent="0.3">
      <c r="A46153" t="s">
        <v>0</v>
      </c>
    </row>
    <row r="46154" spans="1:1" x14ac:dyDescent="0.3">
      <c r="A46154" t="s">
        <v>0</v>
      </c>
    </row>
    <row r="46155" spans="1:1" x14ac:dyDescent="0.3">
      <c r="A46155" t="s">
        <v>0</v>
      </c>
    </row>
    <row r="46156" spans="1:1" x14ac:dyDescent="0.3">
      <c r="A46156" t="s">
        <v>0</v>
      </c>
    </row>
    <row r="46157" spans="1:1" x14ac:dyDescent="0.3">
      <c r="A46157" t="s">
        <v>0</v>
      </c>
    </row>
    <row r="46158" spans="1:1" x14ac:dyDescent="0.3">
      <c r="A46158" t="s">
        <v>0</v>
      </c>
    </row>
    <row r="46159" spans="1:1" x14ac:dyDescent="0.3">
      <c r="A46159" t="s">
        <v>0</v>
      </c>
    </row>
    <row r="46160" spans="1:1" x14ac:dyDescent="0.3">
      <c r="A46160" t="s">
        <v>0</v>
      </c>
    </row>
    <row r="46161" spans="1:1" x14ac:dyDescent="0.3">
      <c r="A46161" t="s">
        <v>0</v>
      </c>
    </row>
    <row r="46162" spans="1:1" x14ac:dyDescent="0.3">
      <c r="A46162" t="s">
        <v>0</v>
      </c>
    </row>
    <row r="46163" spans="1:1" x14ac:dyDescent="0.3">
      <c r="A46163" t="s">
        <v>0</v>
      </c>
    </row>
    <row r="46164" spans="1:1" x14ac:dyDescent="0.3">
      <c r="A46164" t="s">
        <v>0</v>
      </c>
    </row>
    <row r="46165" spans="1:1" x14ac:dyDescent="0.3">
      <c r="A46165" t="s">
        <v>0</v>
      </c>
    </row>
    <row r="46166" spans="1:1" x14ac:dyDescent="0.3">
      <c r="A46166" t="s">
        <v>0</v>
      </c>
    </row>
    <row r="46167" spans="1:1" x14ac:dyDescent="0.3">
      <c r="A46167" t="s">
        <v>0</v>
      </c>
    </row>
    <row r="46168" spans="1:1" x14ac:dyDescent="0.3">
      <c r="A46168" t="s">
        <v>0</v>
      </c>
    </row>
    <row r="46169" spans="1:1" x14ac:dyDescent="0.3">
      <c r="A46169" t="s">
        <v>0</v>
      </c>
    </row>
    <row r="46170" spans="1:1" x14ac:dyDescent="0.3">
      <c r="A46170" t="s">
        <v>0</v>
      </c>
    </row>
    <row r="46171" spans="1:1" x14ac:dyDescent="0.3">
      <c r="A46171" t="s">
        <v>0</v>
      </c>
    </row>
    <row r="46172" spans="1:1" x14ac:dyDescent="0.3">
      <c r="A46172" t="s">
        <v>0</v>
      </c>
    </row>
    <row r="46173" spans="1:1" x14ac:dyDescent="0.3">
      <c r="A46173" t="s">
        <v>0</v>
      </c>
    </row>
    <row r="46174" spans="1:1" x14ac:dyDescent="0.3">
      <c r="A46174" t="s">
        <v>0</v>
      </c>
    </row>
    <row r="46175" spans="1:1" x14ac:dyDescent="0.3">
      <c r="A46175" t="s">
        <v>0</v>
      </c>
    </row>
    <row r="46176" spans="1:1" x14ac:dyDescent="0.3">
      <c r="A46176" t="s">
        <v>0</v>
      </c>
    </row>
    <row r="46177" spans="1:1" x14ac:dyDescent="0.3">
      <c r="A46177" t="s">
        <v>0</v>
      </c>
    </row>
    <row r="46178" spans="1:1" x14ac:dyDescent="0.3">
      <c r="A46178" t="s">
        <v>0</v>
      </c>
    </row>
    <row r="46179" spans="1:1" x14ac:dyDescent="0.3">
      <c r="A46179" t="s">
        <v>0</v>
      </c>
    </row>
    <row r="46180" spans="1:1" x14ac:dyDescent="0.3">
      <c r="A46180" t="s">
        <v>0</v>
      </c>
    </row>
    <row r="46181" spans="1:1" x14ac:dyDescent="0.3">
      <c r="A46181" t="s">
        <v>0</v>
      </c>
    </row>
    <row r="46182" spans="1:1" x14ac:dyDescent="0.3">
      <c r="A46182" t="s">
        <v>0</v>
      </c>
    </row>
    <row r="46183" spans="1:1" x14ac:dyDescent="0.3">
      <c r="A46183" t="s">
        <v>0</v>
      </c>
    </row>
    <row r="46184" spans="1:1" x14ac:dyDescent="0.3">
      <c r="A46184" t="s">
        <v>0</v>
      </c>
    </row>
    <row r="46185" spans="1:1" x14ac:dyDescent="0.3">
      <c r="A46185" t="s">
        <v>0</v>
      </c>
    </row>
    <row r="46186" spans="1:1" x14ac:dyDescent="0.3">
      <c r="A46186" t="s">
        <v>0</v>
      </c>
    </row>
    <row r="46187" spans="1:1" x14ac:dyDescent="0.3">
      <c r="A46187" t="s">
        <v>0</v>
      </c>
    </row>
    <row r="46188" spans="1:1" x14ac:dyDescent="0.3">
      <c r="A46188" t="s">
        <v>0</v>
      </c>
    </row>
    <row r="46189" spans="1:1" x14ac:dyDescent="0.3">
      <c r="A46189" t="s">
        <v>0</v>
      </c>
    </row>
    <row r="46190" spans="1:1" x14ac:dyDescent="0.3">
      <c r="A46190" t="s">
        <v>0</v>
      </c>
    </row>
    <row r="46191" spans="1:1" x14ac:dyDescent="0.3">
      <c r="A46191" t="s">
        <v>0</v>
      </c>
    </row>
    <row r="46192" spans="1:1" x14ac:dyDescent="0.3">
      <c r="A46192" t="s">
        <v>0</v>
      </c>
    </row>
    <row r="46193" spans="1:1" x14ac:dyDescent="0.3">
      <c r="A46193" t="s">
        <v>0</v>
      </c>
    </row>
    <row r="46194" spans="1:1" x14ac:dyDescent="0.3">
      <c r="A46194" t="s">
        <v>0</v>
      </c>
    </row>
    <row r="46195" spans="1:1" x14ac:dyDescent="0.3">
      <c r="A46195" t="s">
        <v>0</v>
      </c>
    </row>
    <row r="46196" spans="1:1" x14ac:dyDescent="0.3">
      <c r="A46196" t="s">
        <v>0</v>
      </c>
    </row>
    <row r="46197" spans="1:1" x14ac:dyDescent="0.3">
      <c r="A46197" t="s">
        <v>0</v>
      </c>
    </row>
    <row r="46198" spans="1:1" x14ac:dyDescent="0.3">
      <c r="A46198" t="s">
        <v>0</v>
      </c>
    </row>
    <row r="46199" spans="1:1" x14ac:dyDescent="0.3">
      <c r="A46199" t="s">
        <v>0</v>
      </c>
    </row>
    <row r="46200" spans="1:1" x14ac:dyDescent="0.3">
      <c r="A46200" t="s">
        <v>0</v>
      </c>
    </row>
    <row r="46201" spans="1:1" x14ac:dyDescent="0.3">
      <c r="A46201" t="s">
        <v>0</v>
      </c>
    </row>
    <row r="46202" spans="1:1" x14ac:dyDescent="0.3">
      <c r="A46202" t="s">
        <v>0</v>
      </c>
    </row>
    <row r="46203" spans="1:1" x14ac:dyDescent="0.3">
      <c r="A46203" t="s">
        <v>0</v>
      </c>
    </row>
    <row r="46204" spans="1:1" x14ac:dyDescent="0.3">
      <c r="A46204" t="s">
        <v>0</v>
      </c>
    </row>
    <row r="46205" spans="1:1" x14ac:dyDescent="0.3">
      <c r="A46205" t="s">
        <v>0</v>
      </c>
    </row>
    <row r="46206" spans="1:1" x14ac:dyDescent="0.3">
      <c r="A46206" t="s">
        <v>0</v>
      </c>
    </row>
    <row r="46207" spans="1:1" x14ac:dyDescent="0.3">
      <c r="A46207" t="s">
        <v>0</v>
      </c>
    </row>
    <row r="46208" spans="1:1" x14ac:dyDescent="0.3">
      <c r="A46208" t="s">
        <v>0</v>
      </c>
    </row>
    <row r="46209" spans="1:1" x14ac:dyDescent="0.3">
      <c r="A46209" t="s">
        <v>0</v>
      </c>
    </row>
    <row r="46210" spans="1:1" x14ac:dyDescent="0.3">
      <c r="A46210" t="s">
        <v>0</v>
      </c>
    </row>
    <row r="46211" spans="1:1" x14ac:dyDescent="0.3">
      <c r="A46211" t="s">
        <v>0</v>
      </c>
    </row>
    <row r="46212" spans="1:1" x14ac:dyDescent="0.3">
      <c r="A46212" t="s">
        <v>0</v>
      </c>
    </row>
    <row r="46213" spans="1:1" x14ac:dyDescent="0.3">
      <c r="A46213" t="s">
        <v>0</v>
      </c>
    </row>
    <row r="46214" spans="1:1" x14ac:dyDescent="0.3">
      <c r="A46214" t="s">
        <v>0</v>
      </c>
    </row>
    <row r="46215" spans="1:1" x14ac:dyDescent="0.3">
      <c r="A46215" t="s">
        <v>0</v>
      </c>
    </row>
    <row r="46216" spans="1:1" x14ac:dyDescent="0.3">
      <c r="A46216" t="s">
        <v>0</v>
      </c>
    </row>
    <row r="46217" spans="1:1" x14ac:dyDescent="0.3">
      <c r="A46217" t="s">
        <v>0</v>
      </c>
    </row>
    <row r="46218" spans="1:1" x14ac:dyDescent="0.3">
      <c r="A46218" t="s">
        <v>0</v>
      </c>
    </row>
    <row r="46219" spans="1:1" x14ac:dyDescent="0.3">
      <c r="A46219" t="s">
        <v>0</v>
      </c>
    </row>
    <row r="46220" spans="1:1" x14ac:dyDescent="0.3">
      <c r="A46220" t="s">
        <v>0</v>
      </c>
    </row>
    <row r="46221" spans="1:1" x14ac:dyDescent="0.3">
      <c r="A46221" t="s">
        <v>0</v>
      </c>
    </row>
    <row r="46222" spans="1:1" x14ac:dyDescent="0.3">
      <c r="A46222" t="s">
        <v>0</v>
      </c>
    </row>
    <row r="46223" spans="1:1" x14ac:dyDescent="0.3">
      <c r="A46223" t="s">
        <v>0</v>
      </c>
    </row>
    <row r="46224" spans="1:1" x14ac:dyDescent="0.3">
      <c r="A46224" t="s">
        <v>0</v>
      </c>
    </row>
    <row r="46225" spans="1:1" x14ac:dyDescent="0.3">
      <c r="A46225" t="s">
        <v>0</v>
      </c>
    </row>
    <row r="46226" spans="1:1" x14ac:dyDescent="0.3">
      <c r="A46226" t="s">
        <v>0</v>
      </c>
    </row>
    <row r="46227" spans="1:1" x14ac:dyDescent="0.3">
      <c r="A46227" t="s">
        <v>0</v>
      </c>
    </row>
    <row r="46228" spans="1:1" x14ac:dyDescent="0.3">
      <c r="A46228" t="s">
        <v>0</v>
      </c>
    </row>
    <row r="46229" spans="1:1" x14ac:dyDescent="0.3">
      <c r="A46229" t="s">
        <v>0</v>
      </c>
    </row>
    <row r="46230" spans="1:1" x14ac:dyDescent="0.3">
      <c r="A46230" t="s">
        <v>0</v>
      </c>
    </row>
    <row r="46231" spans="1:1" x14ac:dyDescent="0.3">
      <c r="A46231" t="s">
        <v>0</v>
      </c>
    </row>
    <row r="46232" spans="1:1" x14ac:dyDescent="0.3">
      <c r="A46232" t="s">
        <v>0</v>
      </c>
    </row>
    <row r="46233" spans="1:1" x14ac:dyDescent="0.3">
      <c r="A46233" t="s">
        <v>0</v>
      </c>
    </row>
    <row r="46234" spans="1:1" x14ac:dyDescent="0.3">
      <c r="A46234" t="s">
        <v>0</v>
      </c>
    </row>
    <row r="46235" spans="1:1" x14ac:dyDescent="0.3">
      <c r="A46235" t="s">
        <v>0</v>
      </c>
    </row>
    <row r="46236" spans="1:1" x14ac:dyDescent="0.3">
      <c r="A46236" t="s">
        <v>0</v>
      </c>
    </row>
    <row r="46237" spans="1:1" x14ac:dyDescent="0.3">
      <c r="A46237" t="s">
        <v>0</v>
      </c>
    </row>
    <row r="46238" spans="1:1" x14ac:dyDescent="0.3">
      <c r="A46238" t="s">
        <v>0</v>
      </c>
    </row>
    <row r="46239" spans="1:1" x14ac:dyDescent="0.3">
      <c r="A46239" t="s">
        <v>0</v>
      </c>
    </row>
    <row r="46240" spans="1:1" x14ac:dyDescent="0.3">
      <c r="A46240" t="s">
        <v>0</v>
      </c>
    </row>
    <row r="46241" spans="1:1" x14ac:dyDescent="0.3">
      <c r="A46241" t="s">
        <v>0</v>
      </c>
    </row>
    <row r="46242" spans="1:1" x14ac:dyDescent="0.3">
      <c r="A46242" t="s">
        <v>0</v>
      </c>
    </row>
    <row r="46243" spans="1:1" x14ac:dyDescent="0.3">
      <c r="A46243" t="s">
        <v>0</v>
      </c>
    </row>
    <row r="46244" spans="1:1" x14ac:dyDescent="0.3">
      <c r="A46244" t="s">
        <v>0</v>
      </c>
    </row>
    <row r="46245" spans="1:1" x14ac:dyDescent="0.3">
      <c r="A46245" t="s">
        <v>0</v>
      </c>
    </row>
    <row r="46246" spans="1:1" x14ac:dyDescent="0.3">
      <c r="A46246" t="s">
        <v>0</v>
      </c>
    </row>
    <row r="46247" spans="1:1" x14ac:dyDescent="0.3">
      <c r="A46247" t="s">
        <v>0</v>
      </c>
    </row>
    <row r="46248" spans="1:1" x14ac:dyDescent="0.3">
      <c r="A46248" t="s">
        <v>0</v>
      </c>
    </row>
    <row r="46249" spans="1:1" x14ac:dyDescent="0.3">
      <c r="A46249" t="s">
        <v>0</v>
      </c>
    </row>
    <row r="46250" spans="1:1" x14ac:dyDescent="0.3">
      <c r="A46250" t="s">
        <v>0</v>
      </c>
    </row>
    <row r="46251" spans="1:1" x14ac:dyDescent="0.3">
      <c r="A46251" t="s">
        <v>0</v>
      </c>
    </row>
    <row r="46252" spans="1:1" x14ac:dyDescent="0.3">
      <c r="A46252" t="s">
        <v>0</v>
      </c>
    </row>
    <row r="46253" spans="1:1" x14ac:dyDescent="0.3">
      <c r="A46253" t="s">
        <v>0</v>
      </c>
    </row>
    <row r="46254" spans="1:1" x14ac:dyDescent="0.3">
      <c r="A46254" t="s">
        <v>0</v>
      </c>
    </row>
    <row r="46255" spans="1:1" x14ac:dyDescent="0.3">
      <c r="A46255" t="s">
        <v>0</v>
      </c>
    </row>
    <row r="46256" spans="1:1" x14ac:dyDescent="0.3">
      <c r="A46256" t="s">
        <v>0</v>
      </c>
    </row>
    <row r="46257" spans="1:1" x14ac:dyDescent="0.3">
      <c r="A46257" t="s">
        <v>0</v>
      </c>
    </row>
    <row r="46258" spans="1:1" x14ac:dyDescent="0.3">
      <c r="A46258" t="s">
        <v>0</v>
      </c>
    </row>
    <row r="46259" spans="1:1" x14ac:dyDescent="0.3">
      <c r="A46259" t="s">
        <v>0</v>
      </c>
    </row>
    <row r="46260" spans="1:1" x14ac:dyDescent="0.3">
      <c r="A46260" t="s">
        <v>0</v>
      </c>
    </row>
    <row r="46261" spans="1:1" x14ac:dyDescent="0.3">
      <c r="A46261" t="s">
        <v>0</v>
      </c>
    </row>
    <row r="46262" spans="1:1" x14ac:dyDescent="0.3">
      <c r="A46262" t="s">
        <v>0</v>
      </c>
    </row>
    <row r="46263" spans="1:1" x14ac:dyDescent="0.3">
      <c r="A46263" t="s">
        <v>0</v>
      </c>
    </row>
    <row r="46264" spans="1:1" x14ac:dyDescent="0.3">
      <c r="A46264" t="s">
        <v>0</v>
      </c>
    </row>
    <row r="46265" spans="1:1" x14ac:dyDescent="0.3">
      <c r="A46265" t="s">
        <v>0</v>
      </c>
    </row>
    <row r="46266" spans="1:1" x14ac:dyDescent="0.3">
      <c r="A46266" t="s">
        <v>0</v>
      </c>
    </row>
    <row r="46267" spans="1:1" x14ac:dyDescent="0.3">
      <c r="A46267" t="s">
        <v>0</v>
      </c>
    </row>
    <row r="46268" spans="1:1" x14ac:dyDescent="0.3">
      <c r="A46268" t="s">
        <v>0</v>
      </c>
    </row>
    <row r="46269" spans="1:1" x14ac:dyDescent="0.3">
      <c r="A46269" t="s">
        <v>0</v>
      </c>
    </row>
    <row r="46270" spans="1:1" x14ac:dyDescent="0.3">
      <c r="A46270" t="s">
        <v>0</v>
      </c>
    </row>
    <row r="46271" spans="1:1" x14ac:dyDescent="0.3">
      <c r="A46271" t="s">
        <v>0</v>
      </c>
    </row>
    <row r="46272" spans="1:1" x14ac:dyDescent="0.3">
      <c r="A46272" t="s">
        <v>0</v>
      </c>
    </row>
    <row r="46273" spans="1:1" x14ac:dyDescent="0.3">
      <c r="A46273" t="s">
        <v>0</v>
      </c>
    </row>
    <row r="46274" spans="1:1" x14ac:dyDescent="0.3">
      <c r="A46274" t="s">
        <v>0</v>
      </c>
    </row>
    <row r="46275" spans="1:1" x14ac:dyDescent="0.3">
      <c r="A46275" t="s">
        <v>0</v>
      </c>
    </row>
    <row r="46276" spans="1:1" x14ac:dyDescent="0.3">
      <c r="A46276" t="s">
        <v>0</v>
      </c>
    </row>
    <row r="46277" spans="1:1" x14ac:dyDescent="0.3">
      <c r="A46277" t="s">
        <v>0</v>
      </c>
    </row>
    <row r="46278" spans="1:1" x14ac:dyDescent="0.3">
      <c r="A46278" t="s">
        <v>0</v>
      </c>
    </row>
    <row r="46279" spans="1:1" x14ac:dyDescent="0.3">
      <c r="A46279" t="s">
        <v>0</v>
      </c>
    </row>
    <row r="46280" spans="1:1" x14ac:dyDescent="0.3">
      <c r="A46280" t="s">
        <v>0</v>
      </c>
    </row>
    <row r="46281" spans="1:1" x14ac:dyDescent="0.3">
      <c r="A46281" t="s">
        <v>0</v>
      </c>
    </row>
    <row r="46282" spans="1:1" x14ac:dyDescent="0.3">
      <c r="A46282" t="s">
        <v>0</v>
      </c>
    </row>
    <row r="46283" spans="1:1" x14ac:dyDescent="0.3">
      <c r="A46283" t="s">
        <v>0</v>
      </c>
    </row>
    <row r="46284" spans="1:1" x14ac:dyDescent="0.3">
      <c r="A46284" t="s">
        <v>0</v>
      </c>
    </row>
    <row r="46285" spans="1:1" x14ac:dyDescent="0.3">
      <c r="A46285" t="s">
        <v>0</v>
      </c>
    </row>
    <row r="46286" spans="1:1" x14ac:dyDescent="0.3">
      <c r="A46286" t="s">
        <v>0</v>
      </c>
    </row>
    <row r="46287" spans="1:1" x14ac:dyDescent="0.3">
      <c r="A46287" t="s">
        <v>0</v>
      </c>
    </row>
    <row r="46288" spans="1:1" x14ac:dyDescent="0.3">
      <c r="A46288" t="s">
        <v>0</v>
      </c>
    </row>
    <row r="46289" spans="1:1" x14ac:dyDescent="0.3">
      <c r="A46289" t="s">
        <v>0</v>
      </c>
    </row>
    <row r="46290" spans="1:1" x14ac:dyDescent="0.3">
      <c r="A46290" t="s">
        <v>0</v>
      </c>
    </row>
    <row r="46291" spans="1:1" x14ac:dyDescent="0.3">
      <c r="A46291" t="s">
        <v>0</v>
      </c>
    </row>
    <row r="46292" spans="1:1" x14ac:dyDescent="0.3">
      <c r="A46292" t="s">
        <v>0</v>
      </c>
    </row>
    <row r="46293" spans="1:1" x14ac:dyDescent="0.3">
      <c r="A46293" t="s">
        <v>0</v>
      </c>
    </row>
    <row r="46294" spans="1:1" x14ac:dyDescent="0.3">
      <c r="A46294" t="s">
        <v>0</v>
      </c>
    </row>
    <row r="46295" spans="1:1" x14ac:dyDescent="0.3">
      <c r="A46295" t="s">
        <v>0</v>
      </c>
    </row>
    <row r="46296" spans="1:1" x14ac:dyDescent="0.3">
      <c r="A46296" t="s">
        <v>0</v>
      </c>
    </row>
    <row r="46297" spans="1:1" x14ac:dyDescent="0.3">
      <c r="A46297" t="s">
        <v>0</v>
      </c>
    </row>
    <row r="46298" spans="1:1" x14ac:dyDescent="0.3">
      <c r="A46298" t="s">
        <v>0</v>
      </c>
    </row>
    <row r="46299" spans="1:1" x14ac:dyDescent="0.3">
      <c r="A46299" t="s">
        <v>0</v>
      </c>
    </row>
    <row r="46300" spans="1:1" x14ac:dyDescent="0.3">
      <c r="A46300" t="s">
        <v>0</v>
      </c>
    </row>
    <row r="46301" spans="1:1" x14ac:dyDescent="0.3">
      <c r="A46301" t="s">
        <v>0</v>
      </c>
    </row>
    <row r="46302" spans="1:1" x14ac:dyDescent="0.3">
      <c r="A46302" t="s">
        <v>0</v>
      </c>
    </row>
    <row r="46303" spans="1:1" x14ac:dyDescent="0.3">
      <c r="A46303" t="s">
        <v>0</v>
      </c>
    </row>
    <row r="46304" spans="1:1" x14ac:dyDescent="0.3">
      <c r="A46304" t="s">
        <v>0</v>
      </c>
    </row>
    <row r="46305" spans="1:1" x14ac:dyDescent="0.3">
      <c r="A46305" t="s">
        <v>0</v>
      </c>
    </row>
    <row r="46306" spans="1:1" x14ac:dyDescent="0.3">
      <c r="A46306" t="s">
        <v>0</v>
      </c>
    </row>
    <row r="46307" spans="1:1" x14ac:dyDescent="0.3">
      <c r="A46307" t="s">
        <v>0</v>
      </c>
    </row>
    <row r="46308" spans="1:1" x14ac:dyDescent="0.3">
      <c r="A46308" t="s">
        <v>0</v>
      </c>
    </row>
    <row r="46309" spans="1:1" x14ac:dyDescent="0.3">
      <c r="A46309" t="s">
        <v>0</v>
      </c>
    </row>
    <row r="46310" spans="1:1" x14ac:dyDescent="0.3">
      <c r="A46310" t="s">
        <v>0</v>
      </c>
    </row>
    <row r="46311" spans="1:1" x14ac:dyDescent="0.3">
      <c r="A46311" t="s">
        <v>0</v>
      </c>
    </row>
    <row r="46312" spans="1:1" x14ac:dyDescent="0.3">
      <c r="A46312" t="s">
        <v>0</v>
      </c>
    </row>
    <row r="46313" spans="1:1" x14ac:dyDescent="0.3">
      <c r="A46313" t="s">
        <v>0</v>
      </c>
    </row>
    <row r="46314" spans="1:1" x14ac:dyDescent="0.3">
      <c r="A46314" t="s">
        <v>0</v>
      </c>
    </row>
    <row r="46315" spans="1:1" x14ac:dyDescent="0.3">
      <c r="A46315" t="s">
        <v>0</v>
      </c>
    </row>
    <row r="46316" spans="1:1" x14ac:dyDescent="0.3">
      <c r="A46316" t="s">
        <v>0</v>
      </c>
    </row>
    <row r="46317" spans="1:1" x14ac:dyDescent="0.3">
      <c r="A46317" t="s">
        <v>0</v>
      </c>
    </row>
    <row r="46318" spans="1:1" x14ac:dyDescent="0.3">
      <c r="A46318" t="s">
        <v>0</v>
      </c>
    </row>
    <row r="46319" spans="1:1" x14ac:dyDescent="0.3">
      <c r="A46319" t="s">
        <v>0</v>
      </c>
    </row>
    <row r="46320" spans="1:1" x14ac:dyDescent="0.3">
      <c r="A46320" t="s">
        <v>0</v>
      </c>
    </row>
    <row r="46321" spans="1:1" x14ac:dyDescent="0.3">
      <c r="A46321" t="s">
        <v>0</v>
      </c>
    </row>
    <row r="46322" spans="1:1" x14ac:dyDescent="0.3">
      <c r="A46322" t="s">
        <v>0</v>
      </c>
    </row>
    <row r="46323" spans="1:1" x14ac:dyDescent="0.3">
      <c r="A46323" t="s">
        <v>0</v>
      </c>
    </row>
    <row r="46324" spans="1:1" x14ac:dyDescent="0.3">
      <c r="A46324" t="s">
        <v>0</v>
      </c>
    </row>
    <row r="46325" spans="1:1" x14ac:dyDescent="0.3">
      <c r="A46325" t="s">
        <v>0</v>
      </c>
    </row>
    <row r="46326" spans="1:1" x14ac:dyDescent="0.3">
      <c r="A46326" t="s">
        <v>0</v>
      </c>
    </row>
    <row r="46327" spans="1:1" x14ac:dyDescent="0.3">
      <c r="A46327" t="s">
        <v>0</v>
      </c>
    </row>
    <row r="46328" spans="1:1" x14ac:dyDescent="0.3">
      <c r="A46328" t="s">
        <v>0</v>
      </c>
    </row>
    <row r="46329" spans="1:1" x14ac:dyDescent="0.3">
      <c r="A46329" t="s">
        <v>0</v>
      </c>
    </row>
    <row r="46330" spans="1:1" x14ac:dyDescent="0.3">
      <c r="A46330" t="s">
        <v>0</v>
      </c>
    </row>
    <row r="46331" spans="1:1" x14ac:dyDescent="0.3">
      <c r="A46331" t="s">
        <v>0</v>
      </c>
    </row>
    <row r="46332" spans="1:1" x14ac:dyDescent="0.3">
      <c r="A46332" t="s">
        <v>0</v>
      </c>
    </row>
    <row r="46333" spans="1:1" x14ac:dyDescent="0.3">
      <c r="A46333" t="s">
        <v>0</v>
      </c>
    </row>
    <row r="46334" spans="1:1" x14ac:dyDescent="0.3">
      <c r="A46334" t="s">
        <v>0</v>
      </c>
    </row>
    <row r="46335" spans="1:1" x14ac:dyDescent="0.3">
      <c r="A46335" t="s">
        <v>0</v>
      </c>
    </row>
    <row r="46336" spans="1:1" x14ac:dyDescent="0.3">
      <c r="A46336" t="s">
        <v>0</v>
      </c>
    </row>
    <row r="46337" spans="1:1" x14ac:dyDescent="0.3">
      <c r="A46337" t="s">
        <v>0</v>
      </c>
    </row>
    <row r="46338" spans="1:1" x14ac:dyDescent="0.3">
      <c r="A46338" t="s">
        <v>0</v>
      </c>
    </row>
    <row r="46339" spans="1:1" x14ac:dyDescent="0.3">
      <c r="A46339" t="s">
        <v>0</v>
      </c>
    </row>
    <row r="46340" spans="1:1" x14ac:dyDescent="0.3">
      <c r="A46340" t="s">
        <v>0</v>
      </c>
    </row>
    <row r="46341" spans="1:1" x14ac:dyDescent="0.3">
      <c r="A46341" t="s">
        <v>0</v>
      </c>
    </row>
    <row r="46342" spans="1:1" x14ac:dyDescent="0.3">
      <c r="A46342" t="s">
        <v>0</v>
      </c>
    </row>
    <row r="46343" spans="1:1" x14ac:dyDescent="0.3">
      <c r="A46343" t="s">
        <v>0</v>
      </c>
    </row>
    <row r="46344" spans="1:1" x14ac:dyDescent="0.3">
      <c r="A46344" t="s">
        <v>0</v>
      </c>
    </row>
    <row r="46345" spans="1:1" x14ac:dyDescent="0.3">
      <c r="A46345" t="s">
        <v>0</v>
      </c>
    </row>
    <row r="46346" spans="1:1" x14ac:dyDescent="0.3">
      <c r="A46346" t="s">
        <v>0</v>
      </c>
    </row>
    <row r="46347" spans="1:1" x14ac:dyDescent="0.3">
      <c r="A46347" t="s">
        <v>0</v>
      </c>
    </row>
    <row r="46348" spans="1:1" x14ac:dyDescent="0.3">
      <c r="A46348" t="s">
        <v>0</v>
      </c>
    </row>
    <row r="46349" spans="1:1" x14ac:dyDescent="0.3">
      <c r="A46349" t="s">
        <v>0</v>
      </c>
    </row>
    <row r="46350" spans="1:1" x14ac:dyDescent="0.3">
      <c r="A46350" t="s">
        <v>0</v>
      </c>
    </row>
    <row r="46351" spans="1:1" x14ac:dyDescent="0.3">
      <c r="A46351" t="s">
        <v>0</v>
      </c>
    </row>
    <row r="46352" spans="1:1" x14ac:dyDescent="0.3">
      <c r="A46352" t="s">
        <v>0</v>
      </c>
    </row>
    <row r="46353" spans="1:1" x14ac:dyDescent="0.3">
      <c r="A46353" t="s">
        <v>0</v>
      </c>
    </row>
    <row r="46354" spans="1:1" x14ac:dyDescent="0.3">
      <c r="A46354" t="s">
        <v>0</v>
      </c>
    </row>
    <row r="46355" spans="1:1" x14ac:dyDescent="0.3">
      <c r="A46355" t="s">
        <v>0</v>
      </c>
    </row>
    <row r="46356" spans="1:1" x14ac:dyDescent="0.3">
      <c r="A46356" t="s">
        <v>0</v>
      </c>
    </row>
    <row r="46357" spans="1:1" x14ac:dyDescent="0.3">
      <c r="A46357" t="s">
        <v>0</v>
      </c>
    </row>
    <row r="46358" spans="1:1" x14ac:dyDescent="0.3">
      <c r="A46358" t="s">
        <v>0</v>
      </c>
    </row>
    <row r="46359" spans="1:1" x14ac:dyDescent="0.3">
      <c r="A46359" t="s">
        <v>0</v>
      </c>
    </row>
    <row r="46360" spans="1:1" x14ac:dyDescent="0.3">
      <c r="A46360" t="s">
        <v>0</v>
      </c>
    </row>
    <row r="46361" spans="1:1" x14ac:dyDescent="0.3">
      <c r="A46361" t="s">
        <v>0</v>
      </c>
    </row>
    <row r="46362" spans="1:1" x14ac:dyDescent="0.3">
      <c r="A46362" t="s">
        <v>0</v>
      </c>
    </row>
    <row r="46363" spans="1:1" x14ac:dyDescent="0.3">
      <c r="A46363" t="s">
        <v>0</v>
      </c>
    </row>
    <row r="46364" spans="1:1" x14ac:dyDescent="0.3">
      <c r="A46364" t="s">
        <v>0</v>
      </c>
    </row>
    <row r="46365" spans="1:1" x14ac:dyDescent="0.3">
      <c r="A46365" t="s">
        <v>0</v>
      </c>
    </row>
    <row r="46366" spans="1:1" x14ac:dyDescent="0.3">
      <c r="A46366" t="s">
        <v>0</v>
      </c>
    </row>
    <row r="46367" spans="1:1" x14ac:dyDescent="0.3">
      <c r="A46367" t="s">
        <v>0</v>
      </c>
    </row>
    <row r="46368" spans="1:1" x14ac:dyDescent="0.3">
      <c r="A46368" t="s">
        <v>0</v>
      </c>
    </row>
    <row r="46369" spans="1:1" x14ac:dyDescent="0.3">
      <c r="A46369" t="s">
        <v>0</v>
      </c>
    </row>
    <row r="46370" spans="1:1" x14ac:dyDescent="0.3">
      <c r="A46370" t="s">
        <v>0</v>
      </c>
    </row>
    <row r="46371" spans="1:1" x14ac:dyDescent="0.3">
      <c r="A46371" t="s">
        <v>0</v>
      </c>
    </row>
    <row r="46372" spans="1:1" x14ac:dyDescent="0.3">
      <c r="A46372" t="s">
        <v>0</v>
      </c>
    </row>
    <row r="46373" spans="1:1" x14ac:dyDescent="0.3">
      <c r="A46373" t="s">
        <v>0</v>
      </c>
    </row>
    <row r="46374" spans="1:1" x14ac:dyDescent="0.3">
      <c r="A46374" t="s">
        <v>0</v>
      </c>
    </row>
    <row r="46375" spans="1:1" x14ac:dyDescent="0.3">
      <c r="A46375" t="s">
        <v>0</v>
      </c>
    </row>
    <row r="46376" spans="1:1" x14ac:dyDescent="0.3">
      <c r="A46376" t="s">
        <v>0</v>
      </c>
    </row>
    <row r="46377" spans="1:1" x14ac:dyDescent="0.3">
      <c r="A46377" t="s">
        <v>0</v>
      </c>
    </row>
    <row r="46378" spans="1:1" x14ac:dyDescent="0.3">
      <c r="A46378" t="s">
        <v>0</v>
      </c>
    </row>
    <row r="46379" spans="1:1" x14ac:dyDescent="0.3">
      <c r="A46379" t="s">
        <v>0</v>
      </c>
    </row>
    <row r="46380" spans="1:1" x14ac:dyDescent="0.3">
      <c r="A46380" t="s">
        <v>0</v>
      </c>
    </row>
    <row r="46381" spans="1:1" x14ac:dyDescent="0.3">
      <c r="A46381" t="s">
        <v>0</v>
      </c>
    </row>
    <row r="46382" spans="1:1" x14ac:dyDescent="0.3">
      <c r="A46382" t="s">
        <v>0</v>
      </c>
    </row>
    <row r="46383" spans="1:1" x14ac:dyDescent="0.3">
      <c r="A46383" t="s">
        <v>0</v>
      </c>
    </row>
    <row r="46384" spans="1:1" x14ac:dyDescent="0.3">
      <c r="A46384" t="s">
        <v>0</v>
      </c>
    </row>
    <row r="46385" spans="1:1" x14ac:dyDescent="0.3">
      <c r="A46385" t="s">
        <v>0</v>
      </c>
    </row>
    <row r="46386" spans="1:1" x14ac:dyDescent="0.3">
      <c r="A46386" t="s">
        <v>0</v>
      </c>
    </row>
    <row r="46387" spans="1:1" x14ac:dyDescent="0.3">
      <c r="A46387" t="s">
        <v>0</v>
      </c>
    </row>
    <row r="46388" spans="1:1" x14ac:dyDescent="0.3">
      <c r="A46388" t="s">
        <v>0</v>
      </c>
    </row>
    <row r="46389" spans="1:1" x14ac:dyDescent="0.3">
      <c r="A46389" t="s">
        <v>0</v>
      </c>
    </row>
    <row r="46390" spans="1:1" x14ac:dyDescent="0.3">
      <c r="A46390" t="s">
        <v>0</v>
      </c>
    </row>
    <row r="46391" spans="1:1" x14ac:dyDescent="0.3">
      <c r="A46391" t="s">
        <v>0</v>
      </c>
    </row>
    <row r="46392" spans="1:1" x14ac:dyDescent="0.3">
      <c r="A46392" t="s">
        <v>0</v>
      </c>
    </row>
    <row r="46393" spans="1:1" x14ac:dyDescent="0.3">
      <c r="A46393" t="s">
        <v>0</v>
      </c>
    </row>
    <row r="46394" spans="1:1" x14ac:dyDescent="0.3">
      <c r="A46394" t="s">
        <v>0</v>
      </c>
    </row>
    <row r="46395" spans="1:1" x14ac:dyDescent="0.3">
      <c r="A46395" t="s">
        <v>0</v>
      </c>
    </row>
    <row r="46396" spans="1:1" x14ac:dyDescent="0.3">
      <c r="A46396" t="s">
        <v>0</v>
      </c>
    </row>
    <row r="46397" spans="1:1" x14ac:dyDescent="0.3">
      <c r="A46397" t="s">
        <v>0</v>
      </c>
    </row>
    <row r="46398" spans="1:1" x14ac:dyDescent="0.3">
      <c r="A46398" t="s">
        <v>0</v>
      </c>
    </row>
    <row r="46399" spans="1:1" x14ac:dyDescent="0.3">
      <c r="A46399" t="s">
        <v>0</v>
      </c>
    </row>
    <row r="46400" spans="1:1" x14ac:dyDescent="0.3">
      <c r="A46400" t="s">
        <v>0</v>
      </c>
    </row>
    <row r="46401" spans="1:1" x14ac:dyDescent="0.3">
      <c r="A46401" t="s">
        <v>0</v>
      </c>
    </row>
    <row r="46402" spans="1:1" x14ac:dyDescent="0.3">
      <c r="A46402" t="s">
        <v>0</v>
      </c>
    </row>
    <row r="46403" spans="1:1" x14ac:dyDescent="0.3">
      <c r="A46403" t="s">
        <v>0</v>
      </c>
    </row>
    <row r="46404" spans="1:1" x14ac:dyDescent="0.3">
      <c r="A46404" t="s">
        <v>0</v>
      </c>
    </row>
    <row r="46405" spans="1:1" x14ac:dyDescent="0.3">
      <c r="A46405" t="s">
        <v>0</v>
      </c>
    </row>
    <row r="46406" spans="1:1" x14ac:dyDescent="0.3">
      <c r="A46406" t="s">
        <v>0</v>
      </c>
    </row>
    <row r="46407" spans="1:1" x14ac:dyDescent="0.3">
      <c r="A46407" t="s">
        <v>0</v>
      </c>
    </row>
    <row r="46408" spans="1:1" x14ac:dyDescent="0.3">
      <c r="A46408" t="s">
        <v>0</v>
      </c>
    </row>
    <row r="46409" spans="1:1" x14ac:dyDescent="0.3">
      <c r="A46409" t="s">
        <v>0</v>
      </c>
    </row>
    <row r="46410" spans="1:1" x14ac:dyDescent="0.3">
      <c r="A46410" t="s">
        <v>0</v>
      </c>
    </row>
    <row r="46411" spans="1:1" x14ac:dyDescent="0.3">
      <c r="A46411" t="s">
        <v>0</v>
      </c>
    </row>
    <row r="46412" spans="1:1" x14ac:dyDescent="0.3">
      <c r="A46412" t="s">
        <v>0</v>
      </c>
    </row>
    <row r="46413" spans="1:1" x14ac:dyDescent="0.3">
      <c r="A46413" t="s">
        <v>0</v>
      </c>
    </row>
    <row r="46414" spans="1:1" x14ac:dyDescent="0.3">
      <c r="A46414" t="s">
        <v>0</v>
      </c>
    </row>
    <row r="46415" spans="1:1" x14ac:dyDescent="0.3">
      <c r="A46415" t="s">
        <v>0</v>
      </c>
    </row>
    <row r="46416" spans="1:1" x14ac:dyDescent="0.3">
      <c r="A46416" t="s">
        <v>0</v>
      </c>
    </row>
    <row r="46417" spans="1:1" x14ac:dyDescent="0.3">
      <c r="A46417" t="s">
        <v>0</v>
      </c>
    </row>
    <row r="46418" spans="1:1" x14ac:dyDescent="0.3">
      <c r="A46418" t="s">
        <v>0</v>
      </c>
    </row>
    <row r="46419" spans="1:1" x14ac:dyDescent="0.3">
      <c r="A46419" t="s">
        <v>0</v>
      </c>
    </row>
    <row r="46420" spans="1:1" x14ac:dyDescent="0.3">
      <c r="A46420" t="s">
        <v>0</v>
      </c>
    </row>
    <row r="46421" spans="1:1" x14ac:dyDescent="0.3">
      <c r="A46421" t="s">
        <v>0</v>
      </c>
    </row>
    <row r="46422" spans="1:1" x14ac:dyDescent="0.3">
      <c r="A46422" t="s">
        <v>0</v>
      </c>
    </row>
    <row r="46423" spans="1:1" x14ac:dyDescent="0.3">
      <c r="A46423" t="s">
        <v>0</v>
      </c>
    </row>
    <row r="46424" spans="1:1" x14ac:dyDescent="0.3">
      <c r="A46424" t="s">
        <v>0</v>
      </c>
    </row>
    <row r="46425" spans="1:1" x14ac:dyDescent="0.3">
      <c r="A46425" t="s">
        <v>0</v>
      </c>
    </row>
    <row r="46426" spans="1:1" x14ac:dyDescent="0.3">
      <c r="A46426" t="s">
        <v>0</v>
      </c>
    </row>
    <row r="46427" spans="1:1" x14ac:dyDescent="0.3">
      <c r="A46427" t="s">
        <v>0</v>
      </c>
    </row>
    <row r="46428" spans="1:1" x14ac:dyDescent="0.3">
      <c r="A46428" t="s">
        <v>0</v>
      </c>
    </row>
    <row r="46429" spans="1:1" x14ac:dyDescent="0.3">
      <c r="A46429" t="s">
        <v>0</v>
      </c>
    </row>
    <row r="46430" spans="1:1" x14ac:dyDescent="0.3">
      <c r="A46430" t="s">
        <v>0</v>
      </c>
    </row>
    <row r="46431" spans="1:1" x14ac:dyDescent="0.3">
      <c r="A46431" t="s">
        <v>0</v>
      </c>
    </row>
    <row r="46432" spans="1:1" x14ac:dyDescent="0.3">
      <c r="A46432" t="s">
        <v>0</v>
      </c>
    </row>
    <row r="46433" spans="1:1" x14ac:dyDescent="0.3">
      <c r="A46433" t="s">
        <v>0</v>
      </c>
    </row>
    <row r="46434" spans="1:1" x14ac:dyDescent="0.3">
      <c r="A46434" t="s">
        <v>0</v>
      </c>
    </row>
    <row r="46435" spans="1:1" x14ac:dyDescent="0.3">
      <c r="A46435" t="s">
        <v>0</v>
      </c>
    </row>
    <row r="46436" spans="1:1" x14ac:dyDescent="0.3">
      <c r="A46436" t="s">
        <v>0</v>
      </c>
    </row>
    <row r="46437" spans="1:1" x14ac:dyDescent="0.3">
      <c r="A46437" t="s">
        <v>0</v>
      </c>
    </row>
    <row r="46438" spans="1:1" x14ac:dyDescent="0.3">
      <c r="A46438" t="s">
        <v>0</v>
      </c>
    </row>
    <row r="46439" spans="1:1" x14ac:dyDescent="0.3">
      <c r="A46439" t="s">
        <v>0</v>
      </c>
    </row>
    <row r="46440" spans="1:1" x14ac:dyDescent="0.3">
      <c r="A46440" t="s">
        <v>0</v>
      </c>
    </row>
    <row r="46441" spans="1:1" x14ac:dyDescent="0.3">
      <c r="A46441" t="s">
        <v>0</v>
      </c>
    </row>
    <row r="46442" spans="1:1" x14ac:dyDescent="0.3">
      <c r="A46442" t="s">
        <v>0</v>
      </c>
    </row>
    <row r="46443" spans="1:1" x14ac:dyDescent="0.3">
      <c r="A46443" t="s">
        <v>0</v>
      </c>
    </row>
    <row r="46444" spans="1:1" x14ac:dyDescent="0.3">
      <c r="A46444" t="s">
        <v>0</v>
      </c>
    </row>
    <row r="46445" spans="1:1" x14ac:dyDescent="0.3">
      <c r="A46445" t="s">
        <v>0</v>
      </c>
    </row>
    <row r="46446" spans="1:1" x14ac:dyDescent="0.3">
      <c r="A46446" t="s">
        <v>0</v>
      </c>
    </row>
    <row r="46447" spans="1:1" x14ac:dyDescent="0.3">
      <c r="A46447" t="s">
        <v>0</v>
      </c>
    </row>
    <row r="46448" spans="1:1" x14ac:dyDescent="0.3">
      <c r="A46448" t="s">
        <v>0</v>
      </c>
    </row>
    <row r="46449" spans="1:1" x14ac:dyDescent="0.3">
      <c r="A46449" t="s">
        <v>0</v>
      </c>
    </row>
    <row r="46450" spans="1:1" x14ac:dyDescent="0.3">
      <c r="A46450" t="s">
        <v>0</v>
      </c>
    </row>
    <row r="46451" spans="1:1" x14ac:dyDescent="0.3">
      <c r="A46451" t="s">
        <v>0</v>
      </c>
    </row>
    <row r="46452" spans="1:1" x14ac:dyDescent="0.3">
      <c r="A46452" t="s">
        <v>0</v>
      </c>
    </row>
    <row r="46453" spans="1:1" x14ac:dyDescent="0.3">
      <c r="A46453" t="s">
        <v>0</v>
      </c>
    </row>
    <row r="46454" spans="1:1" x14ac:dyDescent="0.3">
      <c r="A46454" t="s">
        <v>0</v>
      </c>
    </row>
    <row r="46455" spans="1:1" x14ac:dyDescent="0.3">
      <c r="A46455" t="s">
        <v>0</v>
      </c>
    </row>
    <row r="46456" spans="1:1" x14ac:dyDescent="0.3">
      <c r="A46456" t="s">
        <v>0</v>
      </c>
    </row>
    <row r="46457" spans="1:1" x14ac:dyDescent="0.3">
      <c r="A46457" t="s">
        <v>0</v>
      </c>
    </row>
    <row r="46458" spans="1:1" x14ac:dyDescent="0.3">
      <c r="A46458" t="s">
        <v>0</v>
      </c>
    </row>
    <row r="46459" spans="1:1" x14ac:dyDescent="0.3">
      <c r="A46459" t="s">
        <v>0</v>
      </c>
    </row>
    <row r="46460" spans="1:1" x14ac:dyDescent="0.3">
      <c r="A46460" t="s">
        <v>0</v>
      </c>
    </row>
    <row r="46461" spans="1:1" x14ac:dyDescent="0.3">
      <c r="A46461" t="s">
        <v>0</v>
      </c>
    </row>
    <row r="46462" spans="1:1" x14ac:dyDescent="0.3">
      <c r="A46462" t="s">
        <v>0</v>
      </c>
    </row>
    <row r="46463" spans="1:1" x14ac:dyDescent="0.3">
      <c r="A46463" t="s">
        <v>0</v>
      </c>
    </row>
    <row r="46464" spans="1:1" x14ac:dyDescent="0.3">
      <c r="A46464" t="s">
        <v>0</v>
      </c>
    </row>
    <row r="46465" spans="1:1" x14ac:dyDescent="0.3">
      <c r="A46465" t="s">
        <v>0</v>
      </c>
    </row>
    <row r="46466" spans="1:1" x14ac:dyDescent="0.3">
      <c r="A46466" t="s">
        <v>0</v>
      </c>
    </row>
    <row r="46467" spans="1:1" x14ac:dyDescent="0.3">
      <c r="A46467" t="s">
        <v>0</v>
      </c>
    </row>
    <row r="46468" spans="1:1" x14ac:dyDescent="0.3">
      <c r="A46468" t="s">
        <v>0</v>
      </c>
    </row>
    <row r="46469" spans="1:1" x14ac:dyDescent="0.3">
      <c r="A46469" t="s">
        <v>0</v>
      </c>
    </row>
    <row r="46470" spans="1:1" x14ac:dyDescent="0.3">
      <c r="A46470" t="s">
        <v>0</v>
      </c>
    </row>
    <row r="46471" spans="1:1" x14ac:dyDescent="0.3">
      <c r="A46471" t="s">
        <v>0</v>
      </c>
    </row>
    <row r="46472" spans="1:1" x14ac:dyDescent="0.3">
      <c r="A46472" t="s">
        <v>0</v>
      </c>
    </row>
    <row r="46473" spans="1:1" x14ac:dyDescent="0.3">
      <c r="A46473" t="s">
        <v>0</v>
      </c>
    </row>
    <row r="46474" spans="1:1" x14ac:dyDescent="0.3">
      <c r="A46474" t="s">
        <v>0</v>
      </c>
    </row>
    <row r="46475" spans="1:1" x14ac:dyDescent="0.3">
      <c r="A46475" t="s">
        <v>0</v>
      </c>
    </row>
    <row r="46476" spans="1:1" x14ac:dyDescent="0.3">
      <c r="A46476" t="s">
        <v>0</v>
      </c>
    </row>
    <row r="46477" spans="1:1" x14ac:dyDescent="0.3">
      <c r="A46477" t="s">
        <v>0</v>
      </c>
    </row>
    <row r="46478" spans="1:1" x14ac:dyDescent="0.3">
      <c r="A46478" t="s">
        <v>0</v>
      </c>
    </row>
    <row r="46479" spans="1:1" x14ac:dyDescent="0.3">
      <c r="A46479" t="s">
        <v>0</v>
      </c>
    </row>
    <row r="46480" spans="1:1" x14ac:dyDescent="0.3">
      <c r="A46480" t="s">
        <v>0</v>
      </c>
    </row>
    <row r="46481" spans="1:1" x14ac:dyDescent="0.3">
      <c r="A46481" t="s">
        <v>0</v>
      </c>
    </row>
    <row r="46482" spans="1:1" x14ac:dyDescent="0.3">
      <c r="A46482" t="s">
        <v>0</v>
      </c>
    </row>
    <row r="46483" spans="1:1" x14ac:dyDescent="0.3">
      <c r="A46483" t="s">
        <v>0</v>
      </c>
    </row>
    <row r="46484" spans="1:1" x14ac:dyDescent="0.3">
      <c r="A46484" t="s">
        <v>0</v>
      </c>
    </row>
    <row r="46485" spans="1:1" x14ac:dyDescent="0.3">
      <c r="A46485" t="s">
        <v>0</v>
      </c>
    </row>
    <row r="46486" spans="1:1" x14ac:dyDescent="0.3">
      <c r="A46486" t="s">
        <v>0</v>
      </c>
    </row>
    <row r="46487" spans="1:1" x14ac:dyDescent="0.3">
      <c r="A46487" t="s">
        <v>0</v>
      </c>
    </row>
    <row r="46488" spans="1:1" x14ac:dyDescent="0.3">
      <c r="A46488" t="s">
        <v>0</v>
      </c>
    </row>
    <row r="46489" spans="1:1" x14ac:dyDescent="0.3">
      <c r="A46489" t="s">
        <v>0</v>
      </c>
    </row>
    <row r="46490" spans="1:1" x14ac:dyDescent="0.3">
      <c r="A46490" t="s">
        <v>0</v>
      </c>
    </row>
    <row r="46491" spans="1:1" x14ac:dyDescent="0.3">
      <c r="A46491" t="s">
        <v>0</v>
      </c>
    </row>
    <row r="46492" spans="1:1" x14ac:dyDescent="0.3">
      <c r="A46492" t="s">
        <v>0</v>
      </c>
    </row>
    <row r="46493" spans="1:1" x14ac:dyDescent="0.3">
      <c r="A46493" t="s">
        <v>0</v>
      </c>
    </row>
    <row r="46494" spans="1:1" x14ac:dyDescent="0.3">
      <c r="A46494" t="s">
        <v>0</v>
      </c>
    </row>
    <row r="46495" spans="1:1" x14ac:dyDescent="0.3">
      <c r="A46495" t="s">
        <v>0</v>
      </c>
    </row>
    <row r="46496" spans="1:1" x14ac:dyDescent="0.3">
      <c r="A46496" t="s">
        <v>0</v>
      </c>
    </row>
    <row r="46497" spans="1:1" x14ac:dyDescent="0.3">
      <c r="A46497" t="s">
        <v>0</v>
      </c>
    </row>
    <row r="46498" spans="1:1" x14ac:dyDescent="0.3">
      <c r="A46498" t="s">
        <v>0</v>
      </c>
    </row>
    <row r="46499" spans="1:1" x14ac:dyDescent="0.3">
      <c r="A46499" t="s">
        <v>0</v>
      </c>
    </row>
    <row r="46500" spans="1:1" x14ac:dyDescent="0.3">
      <c r="A46500" t="s">
        <v>0</v>
      </c>
    </row>
    <row r="46501" spans="1:1" x14ac:dyDescent="0.3">
      <c r="A46501" t="s">
        <v>0</v>
      </c>
    </row>
    <row r="46502" spans="1:1" x14ac:dyDescent="0.3">
      <c r="A46502" t="s">
        <v>0</v>
      </c>
    </row>
    <row r="46503" spans="1:1" x14ac:dyDescent="0.3">
      <c r="A46503" t="s">
        <v>0</v>
      </c>
    </row>
    <row r="46504" spans="1:1" x14ac:dyDescent="0.3">
      <c r="A46504" t="s">
        <v>0</v>
      </c>
    </row>
    <row r="46505" spans="1:1" x14ac:dyDescent="0.3">
      <c r="A46505" t="s">
        <v>0</v>
      </c>
    </row>
    <row r="46506" spans="1:1" x14ac:dyDescent="0.3">
      <c r="A46506" t="s">
        <v>0</v>
      </c>
    </row>
    <row r="46507" spans="1:1" x14ac:dyDescent="0.3">
      <c r="A46507" t="s">
        <v>0</v>
      </c>
    </row>
    <row r="46508" spans="1:1" x14ac:dyDescent="0.3">
      <c r="A46508" t="s">
        <v>0</v>
      </c>
    </row>
    <row r="46509" spans="1:1" x14ac:dyDescent="0.3">
      <c r="A46509" t="s">
        <v>0</v>
      </c>
    </row>
    <row r="46510" spans="1:1" x14ac:dyDescent="0.3">
      <c r="A46510" t="s">
        <v>0</v>
      </c>
    </row>
    <row r="46511" spans="1:1" x14ac:dyDescent="0.3">
      <c r="A46511" t="s">
        <v>0</v>
      </c>
    </row>
    <row r="46512" spans="1:1" x14ac:dyDescent="0.3">
      <c r="A46512" t="s">
        <v>0</v>
      </c>
    </row>
    <row r="46513" spans="1:1" x14ac:dyDescent="0.3">
      <c r="A46513" t="s">
        <v>0</v>
      </c>
    </row>
    <row r="46514" spans="1:1" x14ac:dyDescent="0.3">
      <c r="A46514" t="s">
        <v>0</v>
      </c>
    </row>
    <row r="46515" spans="1:1" x14ac:dyDescent="0.3">
      <c r="A46515" t="s">
        <v>0</v>
      </c>
    </row>
    <row r="46516" spans="1:1" x14ac:dyDescent="0.3">
      <c r="A46516" t="s">
        <v>0</v>
      </c>
    </row>
    <row r="46517" spans="1:1" x14ac:dyDescent="0.3">
      <c r="A46517" t="s">
        <v>0</v>
      </c>
    </row>
    <row r="46518" spans="1:1" x14ac:dyDescent="0.3">
      <c r="A46518" t="s">
        <v>0</v>
      </c>
    </row>
    <row r="46519" spans="1:1" x14ac:dyDescent="0.3">
      <c r="A46519" t="s">
        <v>0</v>
      </c>
    </row>
    <row r="46520" spans="1:1" x14ac:dyDescent="0.3">
      <c r="A46520" t="s">
        <v>0</v>
      </c>
    </row>
    <row r="46521" spans="1:1" x14ac:dyDescent="0.3">
      <c r="A46521" t="s">
        <v>0</v>
      </c>
    </row>
    <row r="46522" spans="1:1" x14ac:dyDescent="0.3">
      <c r="A46522" t="s">
        <v>0</v>
      </c>
    </row>
    <row r="46523" spans="1:1" x14ac:dyDescent="0.3">
      <c r="A46523" t="s">
        <v>0</v>
      </c>
    </row>
    <row r="46524" spans="1:1" x14ac:dyDescent="0.3">
      <c r="A46524" t="s">
        <v>0</v>
      </c>
    </row>
    <row r="46525" spans="1:1" x14ac:dyDescent="0.3">
      <c r="A46525" t="s">
        <v>0</v>
      </c>
    </row>
    <row r="46526" spans="1:1" x14ac:dyDescent="0.3">
      <c r="A46526" t="s">
        <v>0</v>
      </c>
    </row>
    <row r="46527" spans="1:1" x14ac:dyDescent="0.3">
      <c r="A46527" t="s">
        <v>0</v>
      </c>
    </row>
    <row r="46528" spans="1:1" x14ac:dyDescent="0.3">
      <c r="A46528" t="s">
        <v>0</v>
      </c>
    </row>
    <row r="46529" spans="1:1" x14ac:dyDescent="0.3">
      <c r="A46529" t="s">
        <v>0</v>
      </c>
    </row>
    <row r="46530" spans="1:1" x14ac:dyDescent="0.3">
      <c r="A46530" t="s">
        <v>0</v>
      </c>
    </row>
    <row r="46531" spans="1:1" x14ac:dyDescent="0.3">
      <c r="A46531" t="s">
        <v>0</v>
      </c>
    </row>
    <row r="46532" spans="1:1" x14ac:dyDescent="0.3">
      <c r="A46532" t="s">
        <v>0</v>
      </c>
    </row>
    <row r="46533" spans="1:1" x14ac:dyDescent="0.3">
      <c r="A46533" t="s">
        <v>0</v>
      </c>
    </row>
    <row r="46534" spans="1:1" x14ac:dyDescent="0.3">
      <c r="A46534" t="s">
        <v>0</v>
      </c>
    </row>
    <row r="46535" spans="1:1" x14ac:dyDescent="0.3">
      <c r="A46535" t="s">
        <v>0</v>
      </c>
    </row>
    <row r="46536" spans="1:1" x14ac:dyDescent="0.3">
      <c r="A46536" t="s">
        <v>0</v>
      </c>
    </row>
    <row r="46537" spans="1:1" x14ac:dyDescent="0.3">
      <c r="A46537" t="s">
        <v>0</v>
      </c>
    </row>
    <row r="46538" spans="1:1" x14ac:dyDescent="0.3">
      <c r="A46538" t="s">
        <v>0</v>
      </c>
    </row>
    <row r="46539" spans="1:1" x14ac:dyDescent="0.3">
      <c r="A46539" t="s">
        <v>0</v>
      </c>
    </row>
    <row r="46540" spans="1:1" x14ac:dyDescent="0.3">
      <c r="A46540" t="s">
        <v>0</v>
      </c>
    </row>
    <row r="46541" spans="1:1" x14ac:dyDescent="0.3">
      <c r="A46541" t="s">
        <v>0</v>
      </c>
    </row>
    <row r="46542" spans="1:1" x14ac:dyDescent="0.3">
      <c r="A46542" t="s">
        <v>0</v>
      </c>
    </row>
    <row r="46543" spans="1:1" x14ac:dyDescent="0.3">
      <c r="A46543" t="s">
        <v>0</v>
      </c>
    </row>
    <row r="46544" spans="1:1" x14ac:dyDescent="0.3">
      <c r="A46544" t="s">
        <v>0</v>
      </c>
    </row>
    <row r="46545" spans="1:1" x14ac:dyDescent="0.3">
      <c r="A46545" t="s">
        <v>0</v>
      </c>
    </row>
    <row r="46546" spans="1:1" x14ac:dyDescent="0.3">
      <c r="A46546" t="s">
        <v>0</v>
      </c>
    </row>
    <row r="46547" spans="1:1" x14ac:dyDescent="0.3">
      <c r="A46547" t="s">
        <v>0</v>
      </c>
    </row>
    <row r="46548" spans="1:1" x14ac:dyDescent="0.3">
      <c r="A46548" t="s">
        <v>0</v>
      </c>
    </row>
    <row r="46549" spans="1:1" x14ac:dyDescent="0.3">
      <c r="A46549" t="s">
        <v>0</v>
      </c>
    </row>
    <row r="46550" spans="1:1" x14ac:dyDescent="0.3">
      <c r="A46550" t="s">
        <v>0</v>
      </c>
    </row>
    <row r="46551" spans="1:1" x14ac:dyDescent="0.3">
      <c r="A46551" t="s">
        <v>0</v>
      </c>
    </row>
    <row r="46552" spans="1:1" x14ac:dyDescent="0.3">
      <c r="A46552" t="s">
        <v>0</v>
      </c>
    </row>
    <row r="46553" spans="1:1" x14ac:dyDescent="0.3">
      <c r="A46553" t="s">
        <v>0</v>
      </c>
    </row>
    <row r="46554" spans="1:1" x14ac:dyDescent="0.3">
      <c r="A46554" t="s">
        <v>0</v>
      </c>
    </row>
    <row r="46555" spans="1:1" x14ac:dyDescent="0.3">
      <c r="A46555" t="s">
        <v>0</v>
      </c>
    </row>
    <row r="46556" spans="1:1" x14ac:dyDescent="0.3">
      <c r="A46556" t="s">
        <v>0</v>
      </c>
    </row>
    <row r="46557" spans="1:1" x14ac:dyDescent="0.3">
      <c r="A46557" t="s">
        <v>0</v>
      </c>
    </row>
    <row r="46558" spans="1:1" x14ac:dyDescent="0.3">
      <c r="A46558" t="s">
        <v>0</v>
      </c>
    </row>
    <row r="46559" spans="1:1" x14ac:dyDescent="0.3">
      <c r="A46559" t="s">
        <v>0</v>
      </c>
    </row>
    <row r="46560" spans="1:1" x14ac:dyDescent="0.3">
      <c r="A46560" t="s">
        <v>0</v>
      </c>
    </row>
    <row r="46561" spans="1:1" x14ac:dyDescent="0.3">
      <c r="A46561" t="s">
        <v>0</v>
      </c>
    </row>
    <row r="46562" spans="1:1" x14ac:dyDescent="0.3">
      <c r="A46562" t="s">
        <v>0</v>
      </c>
    </row>
    <row r="46563" spans="1:1" x14ac:dyDescent="0.3">
      <c r="A46563" t="s">
        <v>0</v>
      </c>
    </row>
    <row r="46564" spans="1:1" x14ac:dyDescent="0.3">
      <c r="A46564" t="s">
        <v>0</v>
      </c>
    </row>
    <row r="46565" spans="1:1" x14ac:dyDescent="0.3">
      <c r="A46565" t="s">
        <v>0</v>
      </c>
    </row>
    <row r="46566" spans="1:1" x14ac:dyDescent="0.3">
      <c r="A46566" t="s">
        <v>0</v>
      </c>
    </row>
    <row r="46567" spans="1:1" x14ac:dyDescent="0.3">
      <c r="A46567" t="s">
        <v>0</v>
      </c>
    </row>
    <row r="46568" spans="1:1" x14ac:dyDescent="0.3">
      <c r="A46568" t="s">
        <v>0</v>
      </c>
    </row>
    <row r="46569" spans="1:1" x14ac:dyDescent="0.3">
      <c r="A46569" t="s">
        <v>0</v>
      </c>
    </row>
    <row r="46570" spans="1:1" x14ac:dyDescent="0.3">
      <c r="A46570" t="s">
        <v>0</v>
      </c>
    </row>
    <row r="46571" spans="1:1" x14ac:dyDescent="0.3">
      <c r="A46571" t="s">
        <v>0</v>
      </c>
    </row>
    <row r="46572" spans="1:1" x14ac:dyDescent="0.3">
      <c r="A46572" t="s">
        <v>0</v>
      </c>
    </row>
    <row r="46573" spans="1:1" x14ac:dyDescent="0.3">
      <c r="A46573" t="s">
        <v>0</v>
      </c>
    </row>
    <row r="46574" spans="1:1" x14ac:dyDescent="0.3">
      <c r="A46574" t="s">
        <v>0</v>
      </c>
    </row>
    <row r="46575" spans="1:1" x14ac:dyDescent="0.3">
      <c r="A46575" t="s">
        <v>0</v>
      </c>
    </row>
    <row r="46576" spans="1:1" x14ac:dyDescent="0.3">
      <c r="A46576" t="s">
        <v>0</v>
      </c>
    </row>
    <row r="46577" spans="1:1" x14ac:dyDescent="0.3">
      <c r="A46577" t="s">
        <v>0</v>
      </c>
    </row>
    <row r="46578" spans="1:1" x14ac:dyDescent="0.3">
      <c r="A46578" t="s">
        <v>0</v>
      </c>
    </row>
    <row r="46579" spans="1:1" x14ac:dyDescent="0.3">
      <c r="A46579" t="s">
        <v>0</v>
      </c>
    </row>
    <row r="46580" spans="1:1" x14ac:dyDescent="0.3">
      <c r="A46580" t="s">
        <v>0</v>
      </c>
    </row>
    <row r="46581" spans="1:1" x14ac:dyDescent="0.3">
      <c r="A46581" t="s">
        <v>0</v>
      </c>
    </row>
    <row r="46582" spans="1:1" x14ac:dyDescent="0.3">
      <c r="A46582" t="s">
        <v>0</v>
      </c>
    </row>
    <row r="46583" spans="1:1" x14ac:dyDescent="0.3">
      <c r="A46583" t="s">
        <v>0</v>
      </c>
    </row>
    <row r="46584" spans="1:1" x14ac:dyDescent="0.3">
      <c r="A46584" t="s">
        <v>0</v>
      </c>
    </row>
    <row r="46585" spans="1:1" x14ac:dyDescent="0.3">
      <c r="A46585" t="s">
        <v>0</v>
      </c>
    </row>
    <row r="46586" spans="1:1" x14ac:dyDescent="0.3">
      <c r="A46586" t="s">
        <v>0</v>
      </c>
    </row>
    <row r="46587" spans="1:1" x14ac:dyDescent="0.3">
      <c r="A46587" t="s">
        <v>0</v>
      </c>
    </row>
    <row r="46588" spans="1:1" x14ac:dyDescent="0.3">
      <c r="A46588" t="s">
        <v>0</v>
      </c>
    </row>
    <row r="46589" spans="1:1" x14ac:dyDescent="0.3">
      <c r="A46589" t="s">
        <v>0</v>
      </c>
    </row>
    <row r="46590" spans="1:1" x14ac:dyDescent="0.3">
      <c r="A46590" t="s">
        <v>0</v>
      </c>
    </row>
    <row r="46591" spans="1:1" x14ac:dyDescent="0.3">
      <c r="A46591" t="s">
        <v>0</v>
      </c>
    </row>
    <row r="46592" spans="1:1" x14ac:dyDescent="0.3">
      <c r="A46592" t="s">
        <v>0</v>
      </c>
    </row>
    <row r="46593" spans="1:1" x14ac:dyDescent="0.3">
      <c r="A46593" t="s">
        <v>0</v>
      </c>
    </row>
    <row r="46594" spans="1:1" x14ac:dyDescent="0.3">
      <c r="A46594" t="s">
        <v>0</v>
      </c>
    </row>
    <row r="46595" spans="1:1" x14ac:dyDescent="0.3">
      <c r="A46595" t="s">
        <v>0</v>
      </c>
    </row>
    <row r="46596" spans="1:1" x14ac:dyDescent="0.3">
      <c r="A46596" t="s">
        <v>0</v>
      </c>
    </row>
    <row r="46597" spans="1:1" x14ac:dyDescent="0.3">
      <c r="A46597" t="s">
        <v>0</v>
      </c>
    </row>
    <row r="46598" spans="1:1" x14ac:dyDescent="0.3">
      <c r="A46598" t="s">
        <v>0</v>
      </c>
    </row>
    <row r="46599" spans="1:1" x14ac:dyDescent="0.3">
      <c r="A46599" t="s">
        <v>0</v>
      </c>
    </row>
    <row r="46600" spans="1:1" x14ac:dyDescent="0.3">
      <c r="A46600" t="s">
        <v>0</v>
      </c>
    </row>
    <row r="46601" spans="1:1" x14ac:dyDescent="0.3">
      <c r="A46601" t="s">
        <v>0</v>
      </c>
    </row>
    <row r="46602" spans="1:1" x14ac:dyDescent="0.3">
      <c r="A46602" t="s">
        <v>0</v>
      </c>
    </row>
    <row r="46603" spans="1:1" x14ac:dyDescent="0.3">
      <c r="A46603" t="s">
        <v>0</v>
      </c>
    </row>
    <row r="46604" spans="1:1" x14ac:dyDescent="0.3">
      <c r="A46604" t="s">
        <v>0</v>
      </c>
    </row>
    <row r="46605" spans="1:1" x14ac:dyDescent="0.3">
      <c r="A46605" t="s">
        <v>0</v>
      </c>
    </row>
    <row r="46606" spans="1:1" x14ac:dyDescent="0.3">
      <c r="A46606" t="s">
        <v>0</v>
      </c>
    </row>
    <row r="46607" spans="1:1" x14ac:dyDescent="0.3">
      <c r="A46607" t="s">
        <v>0</v>
      </c>
    </row>
    <row r="46608" spans="1:1" x14ac:dyDescent="0.3">
      <c r="A46608" t="s">
        <v>0</v>
      </c>
    </row>
    <row r="46609" spans="1:1" x14ac:dyDescent="0.3">
      <c r="A46609" t="s">
        <v>0</v>
      </c>
    </row>
    <row r="46610" spans="1:1" x14ac:dyDescent="0.3">
      <c r="A46610" t="s">
        <v>0</v>
      </c>
    </row>
    <row r="46611" spans="1:1" x14ac:dyDescent="0.3">
      <c r="A46611" t="s">
        <v>0</v>
      </c>
    </row>
    <row r="46612" spans="1:1" x14ac:dyDescent="0.3">
      <c r="A46612" t="s">
        <v>0</v>
      </c>
    </row>
    <row r="46613" spans="1:1" x14ac:dyDescent="0.3">
      <c r="A46613" t="s">
        <v>0</v>
      </c>
    </row>
    <row r="46614" spans="1:1" x14ac:dyDescent="0.3">
      <c r="A46614" t="s">
        <v>0</v>
      </c>
    </row>
    <row r="46615" spans="1:1" x14ac:dyDescent="0.3">
      <c r="A46615" t="s">
        <v>0</v>
      </c>
    </row>
    <row r="46616" spans="1:1" x14ac:dyDescent="0.3">
      <c r="A46616" t="s">
        <v>0</v>
      </c>
    </row>
    <row r="46617" spans="1:1" x14ac:dyDescent="0.3">
      <c r="A46617" t="s">
        <v>0</v>
      </c>
    </row>
    <row r="46618" spans="1:1" x14ac:dyDescent="0.3">
      <c r="A46618" t="s">
        <v>0</v>
      </c>
    </row>
    <row r="46619" spans="1:1" x14ac:dyDescent="0.3">
      <c r="A46619" t="s">
        <v>0</v>
      </c>
    </row>
    <row r="46620" spans="1:1" x14ac:dyDescent="0.3">
      <c r="A46620" t="s">
        <v>0</v>
      </c>
    </row>
    <row r="46621" spans="1:1" x14ac:dyDescent="0.3">
      <c r="A46621" t="s">
        <v>0</v>
      </c>
    </row>
    <row r="46622" spans="1:1" x14ac:dyDescent="0.3">
      <c r="A46622" t="s">
        <v>0</v>
      </c>
    </row>
    <row r="46623" spans="1:1" x14ac:dyDescent="0.3">
      <c r="A46623" t="s">
        <v>0</v>
      </c>
    </row>
    <row r="46624" spans="1:1" x14ac:dyDescent="0.3">
      <c r="A46624" t="s">
        <v>0</v>
      </c>
    </row>
    <row r="46625" spans="1:1" x14ac:dyDescent="0.3">
      <c r="A46625" t="s">
        <v>0</v>
      </c>
    </row>
    <row r="46626" spans="1:1" x14ac:dyDescent="0.3">
      <c r="A46626" t="s">
        <v>0</v>
      </c>
    </row>
    <row r="46627" spans="1:1" x14ac:dyDescent="0.3">
      <c r="A46627" t="s">
        <v>0</v>
      </c>
    </row>
    <row r="46628" spans="1:1" x14ac:dyDescent="0.3">
      <c r="A46628" t="s">
        <v>0</v>
      </c>
    </row>
    <row r="46629" spans="1:1" x14ac:dyDescent="0.3">
      <c r="A46629" t="s">
        <v>0</v>
      </c>
    </row>
    <row r="46630" spans="1:1" x14ac:dyDescent="0.3">
      <c r="A46630" t="s">
        <v>0</v>
      </c>
    </row>
    <row r="46631" spans="1:1" x14ac:dyDescent="0.3">
      <c r="A46631" t="s">
        <v>0</v>
      </c>
    </row>
    <row r="46632" spans="1:1" x14ac:dyDescent="0.3">
      <c r="A46632" t="s">
        <v>0</v>
      </c>
    </row>
    <row r="46633" spans="1:1" x14ac:dyDescent="0.3">
      <c r="A46633" t="s">
        <v>0</v>
      </c>
    </row>
    <row r="46634" spans="1:1" x14ac:dyDescent="0.3">
      <c r="A46634" t="s">
        <v>0</v>
      </c>
    </row>
    <row r="46635" spans="1:1" x14ac:dyDescent="0.3">
      <c r="A46635" t="s">
        <v>0</v>
      </c>
    </row>
    <row r="46636" spans="1:1" x14ac:dyDescent="0.3">
      <c r="A46636" t="s">
        <v>0</v>
      </c>
    </row>
    <row r="46637" spans="1:1" x14ac:dyDescent="0.3">
      <c r="A46637" t="s">
        <v>0</v>
      </c>
    </row>
    <row r="46638" spans="1:1" x14ac:dyDescent="0.3">
      <c r="A46638" t="s">
        <v>0</v>
      </c>
    </row>
    <row r="46639" spans="1:1" x14ac:dyDescent="0.3">
      <c r="A46639" t="s">
        <v>0</v>
      </c>
    </row>
    <row r="46640" spans="1:1" x14ac:dyDescent="0.3">
      <c r="A46640" t="s">
        <v>0</v>
      </c>
    </row>
    <row r="46641" spans="1:1" x14ac:dyDescent="0.3">
      <c r="A46641" t="s">
        <v>0</v>
      </c>
    </row>
    <row r="46642" spans="1:1" x14ac:dyDescent="0.3">
      <c r="A46642" t="s">
        <v>0</v>
      </c>
    </row>
    <row r="46643" spans="1:1" x14ac:dyDescent="0.3">
      <c r="A46643" t="s">
        <v>0</v>
      </c>
    </row>
    <row r="46644" spans="1:1" x14ac:dyDescent="0.3">
      <c r="A46644" t="s">
        <v>0</v>
      </c>
    </row>
    <row r="46645" spans="1:1" x14ac:dyDescent="0.3">
      <c r="A46645" t="s">
        <v>0</v>
      </c>
    </row>
    <row r="46646" spans="1:1" x14ac:dyDescent="0.3">
      <c r="A46646" t="s">
        <v>0</v>
      </c>
    </row>
    <row r="46647" spans="1:1" x14ac:dyDescent="0.3">
      <c r="A46647" t="s">
        <v>0</v>
      </c>
    </row>
    <row r="46648" spans="1:1" x14ac:dyDescent="0.3">
      <c r="A46648" t="s">
        <v>0</v>
      </c>
    </row>
    <row r="46649" spans="1:1" x14ac:dyDescent="0.3">
      <c r="A46649" t="s">
        <v>0</v>
      </c>
    </row>
    <row r="46650" spans="1:1" x14ac:dyDescent="0.3">
      <c r="A46650" t="s">
        <v>0</v>
      </c>
    </row>
    <row r="46651" spans="1:1" x14ac:dyDescent="0.3">
      <c r="A46651" t="s">
        <v>0</v>
      </c>
    </row>
    <row r="46652" spans="1:1" x14ac:dyDescent="0.3">
      <c r="A46652" t="s">
        <v>0</v>
      </c>
    </row>
    <row r="46653" spans="1:1" x14ac:dyDescent="0.3">
      <c r="A46653" t="s">
        <v>0</v>
      </c>
    </row>
    <row r="46654" spans="1:1" x14ac:dyDescent="0.3">
      <c r="A46654" t="s">
        <v>0</v>
      </c>
    </row>
    <row r="46655" spans="1:1" x14ac:dyDescent="0.3">
      <c r="A46655" t="s">
        <v>0</v>
      </c>
    </row>
    <row r="46656" spans="1:1" x14ac:dyDescent="0.3">
      <c r="A46656" t="s">
        <v>0</v>
      </c>
    </row>
    <row r="46657" spans="1:1" x14ac:dyDescent="0.3">
      <c r="A46657" t="s">
        <v>0</v>
      </c>
    </row>
    <row r="46658" spans="1:1" x14ac:dyDescent="0.3">
      <c r="A46658" t="s">
        <v>0</v>
      </c>
    </row>
    <row r="46659" spans="1:1" x14ac:dyDescent="0.3">
      <c r="A46659" t="s">
        <v>0</v>
      </c>
    </row>
    <row r="46660" spans="1:1" x14ac:dyDescent="0.3">
      <c r="A46660" t="s">
        <v>0</v>
      </c>
    </row>
    <row r="46661" spans="1:1" x14ac:dyDescent="0.3">
      <c r="A46661" t="s">
        <v>0</v>
      </c>
    </row>
    <row r="46662" spans="1:1" x14ac:dyDescent="0.3">
      <c r="A46662" t="s">
        <v>0</v>
      </c>
    </row>
    <row r="46663" spans="1:1" x14ac:dyDescent="0.3">
      <c r="A46663" t="s">
        <v>0</v>
      </c>
    </row>
    <row r="46664" spans="1:1" x14ac:dyDescent="0.3">
      <c r="A46664" t="s">
        <v>0</v>
      </c>
    </row>
    <row r="46665" spans="1:1" x14ac:dyDescent="0.3">
      <c r="A46665" t="s">
        <v>0</v>
      </c>
    </row>
    <row r="46666" spans="1:1" x14ac:dyDescent="0.3">
      <c r="A46666" t="s">
        <v>0</v>
      </c>
    </row>
    <row r="46667" spans="1:1" x14ac:dyDescent="0.3">
      <c r="A46667" t="s">
        <v>0</v>
      </c>
    </row>
    <row r="46668" spans="1:1" x14ac:dyDescent="0.3">
      <c r="A46668" t="s">
        <v>0</v>
      </c>
    </row>
    <row r="46669" spans="1:1" x14ac:dyDescent="0.3">
      <c r="A46669" t="s">
        <v>0</v>
      </c>
    </row>
    <row r="46670" spans="1:1" x14ac:dyDescent="0.3">
      <c r="A46670" t="s">
        <v>0</v>
      </c>
    </row>
    <row r="46671" spans="1:1" x14ac:dyDescent="0.3">
      <c r="A46671" t="s">
        <v>0</v>
      </c>
    </row>
    <row r="46672" spans="1:1" x14ac:dyDescent="0.3">
      <c r="A46672" t="s">
        <v>0</v>
      </c>
    </row>
    <row r="46673" spans="1:1" x14ac:dyDescent="0.3">
      <c r="A46673" t="s">
        <v>0</v>
      </c>
    </row>
    <row r="46674" spans="1:1" x14ac:dyDescent="0.3">
      <c r="A46674" t="s">
        <v>0</v>
      </c>
    </row>
    <row r="46675" spans="1:1" x14ac:dyDescent="0.3">
      <c r="A46675" t="s">
        <v>0</v>
      </c>
    </row>
    <row r="46676" spans="1:1" x14ac:dyDescent="0.3">
      <c r="A46676" t="s">
        <v>0</v>
      </c>
    </row>
    <row r="46677" spans="1:1" x14ac:dyDescent="0.3">
      <c r="A46677" t="s">
        <v>0</v>
      </c>
    </row>
    <row r="46678" spans="1:1" x14ac:dyDescent="0.3">
      <c r="A46678" t="s">
        <v>0</v>
      </c>
    </row>
    <row r="46679" spans="1:1" x14ac:dyDescent="0.3">
      <c r="A46679" t="s">
        <v>0</v>
      </c>
    </row>
    <row r="46680" spans="1:1" x14ac:dyDescent="0.3">
      <c r="A46680" t="s">
        <v>0</v>
      </c>
    </row>
    <row r="46681" spans="1:1" x14ac:dyDescent="0.3">
      <c r="A46681" t="s">
        <v>0</v>
      </c>
    </row>
    <row r="46682" spans="1:1" x14ac:dyDescent="0.3">
      <c r="A46682" t="s">
        <v>0</v>
      </c>
    </row>
    <row r="46683" spans="1:1" x14ac:dyDescent="0.3">
      <c r="A46683" t="s">
        <v>0</v>
      </c>
    </row>
    <row r="46684" spans="1:1" x14ac:dyDescent="0.3">
      <c r="A46684" t="s">
        <v>0</v>
      </c>
    </row>
    <row r="46685" spans="1:1" x14ac:dyDescent="0.3">
      <c r="A46685" t="s">
        <v>0</v>
      </c>
    </row>
    <row r="46686" spans="1:1" x14ac:dyDescent="0.3">
      <c r="A46686" t="s">
        <v>0</v>
      </c>
    </row>
    <row r="46687" spans="1:1" x14ac:dyDescent="0.3">
      <c r="A46687" t="s">
        <v>0</v>
      </c>
    </row>
    <row r="46688" spans="1:1" x14ac:dyDescent="0.3">
      <c r="A46688" t="s">
        <v>0</v>
      </c>
    </row>
    <row r="46689" spans="1:1" x14ac:dyDescent="0.3">
      <c r="A46689" t="s">
        <v>0</v>
      </c>
    </row>
    <row r="46690" spans="1:1" x14ac:dyDescent="0.3">
      <c r="A46690" t="s">
        <v>0</v>
      </c>
    </row>
    <row r="46691" spans="1:1" x14ac:dyDescent="0.3">
      <c r="A46691" t="s">
        <v>0</v>
      </c>
    </row>
    <row r="46692" spans="1:1" x14ac:dyDescent="0.3">
      <c r="A46692" t="s">
        <v>0</v>
      </c>
    </row>
    <row r="46693" spans="1:1" x14ac:dyDescent="0.3">
      <c r="A46693" t="s">
        <v>0</v>
      </c>
    </row>
    <row r="46694" spans="1:1" x14ac:dyDescent="0.3">
      <c r="A46694" t="s">
        <v>0</v>
      </c>
    </row>
    <row r="46695" spans="1:1" x14ac:dyDescent="0.3">
      <c r="A46695" t="s">
        <v>0</v>
      </c>
    </row>
    <row r="46696" spans="1:1" x14ac:dyDescent="0.3">
      <c r="A46696" t="s">
        <v>0</v>
      </c>
    </row>
    <row r="46697" spans="1:1" x14ac:dyDescent="0.3">
      <c r="A46697" t="s">
        <v>0</v>
      </c>
    </row>
    <row r="46698" spans="1:1" x14ac:dyDescent="0.3">
      <c r="A46698" t="s">
        <v>0</v>
      </c>
    </row>
    <row r="46699" spans="1:1" x14ac:dyDescent="0.3">
      <c r="A46699" t="s">
        <v>0</v>
      </c>
    </row>
    <row r="46700" spans="1:1" x14ac:dyDescent="0.3">
      <c r="A46700" t="s">
        <v>0</v>
      </c>
    </row>
    <row r="46701" spans="1:1" x14ac:dyDescent="0.3">
      <c r="A46701" t="s">
        <v>0</v>
      </c>
    </row>
    <row r="46702" spans="1:1" x14ac:dyDescent="0.3">
      <c r="A46702" t="s">
        <v>0</v>
      </c>
    </row>
    <row r="46703" spans="1:1" x14ac:dyDescent="0.3">
      <c r="A46703" t="s">
        <v>0</v>
      </c>
    </row>
    <row r="46704" spans="1:1" x14ac:dyDescent="0.3">
      <c r="A46704" t="s">
        <v>0</v>
      </c>
    </row>
    <row r="46705" spans="1:1" x14ac:dyDescent="0.3">
      <c r="A46705" t="s">
        <v>0</v>
      </c>
    </row>
    <row r="46706" spans="1:1" x14ac:dyDescent="0.3">
      <c r="A46706" t="s">
        <v>0</v>
      </c>
    </row>
    <row r="46707" spans="1:1" x14ac:dyDescent="0.3">
      <c r="A46707" t="s">
        <v>0</v>
      </c>
    </row>
    <row r="46708" spans="1:1" x14ac:dyDescent="0.3">
      <c r="A46708" t="s">
        <v>0</v>
      </c>
    </row>
    <row r="46709" spans="1:1" x14ac:dyDescent="0.3">
      <c r="A46709" t="s">
        <v>0</v>
      </c>
    </row>
    <row r="46710" spans="1:1" x14ac:dyDescent="0.3">
      <c r="A46710" t="s">
        <v>0</v>
      </c>
    </row>
    <row r="46711" spans="1:1" x14ac:dyDescent="0.3">
      <c r="A46711" t="s">
        <v>0</v>
      </c>
    </row>
    <row r="46712" spans="1:1" x14ac:dyDescent="0.3">
      <c r="A46712" t="s">
        <v>0</v>
      </c>
    </row>
    <row r="46713" spans="1:1" x14ac:dyDescent="0.3">
      <c r="A46713" t="s">
        <v>0</v>
      </c>
    </row>
    <row r="46714" spans="1:1" x14ac:dyDescent="0.3">
      <c r="A46714" t="s">
        <v>0</v>
      </c>
    </row>
    <row r="46715" spans="1:1" x14ac:dyDescent="0.3">
      <c r="A46715" t="s">
        <v>0</v>
      </c>
    </row>
    <row r="46716" spans="1:1" x14ac:dyDescent="0.3">
      <c r="A46716" t="s">
        <v>0</v>
      </c>
    </row>
    <row r="46717" spans="1:1" x14ac:dyDescent="0.3">
      <c r="A46717" t="s">
        <v>0</v>
      </c>
    </row>
    <row r="46718" spans="1:1" x14ac:dyDescent="0.3">
      <c r="A46718" t="s">
        <v>0</v>
      </c>
    </row>
    <row r="46719" spans="1:1" x14ac:dyDescent="0.3">
      <c r="A46719" t="s">
        <v>0</v>
      </c>
    </row>
    <row r="46720" spans="1:1" x14ac:dyDescent="0.3">
      <c r="A46720" t="s">
        <v>0</v>
      </c>
    </row>
    <row r="46721" spans="1:1" x14ac:dyDescent="0.3">
      <c r="A46721" t="s">
        <v>0</v>
      </c>
    </row>
    <row r="46722" spans="1:1" x14ac:dyDescent="0.3">
      <c r="A46722" t="s">
        <v>0</v>
      </c>
    </row>
    <row r="46723" spans="1:1" x14ac:dyDescent="0.3">
      <c r="A46723" t="s">
        <v>0</v>
      </c>
    </row>
    <row r="46724" spans="1:1" x14ac:dyDescent="0.3">
      <c r="A46724" t="s">
        <v>0</v>
      </c>
    </row>
    <row r="46725" spans="1:1" x14ac:dyDescent="0.3">
      <c r="A46725" t="s">
        <v>0</v>
      </c>
    </row>
    <row r="46726" spans="1:1" x14ac:dyDescent="0.3">
      <c r="A46726" t="s">
        <v>0</v>
      </c>
    </row>
    <row r="46727" spans="1:1" x14ac:dyDescent="0.3">
      <c r="A46727" t="s">
        <v>0</v>
      </c>
    </row>
    <row r="46728" spans="1:1" x14ac:dyDescent="0.3">
      <c r="A46728" t="s">
        <v>0</v>
      </c>
    </row>
    <row r="46729" spans="1:1" x14ac:dyDescent="0.3">
      <c r="A46729" t="s">
        <v>0</v>
      </c>
    </row>
    <row r="46730" spans="1:1" x14ac:dyDescent="0.3">
      <c r="A46730" t="s">
        <v>0</v>
      </c>
    </row>
    <row r="46731" spans="1:1" x14ac:dyDescent="0.3">
      <c r="A46731" t="s">
        <v>0</v>
      </c>
    </row>
    <row r="46732" spans="1:1" x14ac:dyDescent="0.3">
      <c r="A46732" t="s">
        <v>0</v>
      </c>
    </row>
    <row r="46733" spans="1:1" x14ac:dyDescent="0.3">
      <c r="A46733" t="s">
        <v>0</v>
      </c>
    </row>
    <row r="46734" spans="1:1" x14ac:dyDescent="0.3">
      <c r="A46734" t="s">
        <v>0</v>
      </c>
    </row>
    <row r="46735" spans="1:1" x14ac:dyDescent="0.3">
      <c r="A46735" t="s">
        <v>0</v>
      </c>
    </row>
    <row r="46736" spans="1:1" x14ac:dyDescent="0.3">
      <c r="A46736" t="s">
        <v>0</v>
      </c>
    </row>
    <row r="46737" spans="1:1" x14ac:dyDescent="0.3">
      <c r="A46737" t="s">
        <v>0</v>
      </c>
    </row>
    <row r="46738" spans="1:1" x14ac:dyDescent="0.3">
      <c r="A46738" t="s">
        <v>0</v>
      </c>
    </row>
    <row r="46739" spans="1:1" x14ac:dyDescent="0.3">
      <c r="A46739" t="s">
        <v>0</v>
      </c>
    </row>
    <row r="46740" spans="1:1" x14ac:dyDescent="0.3">
      <c r="A46740" t="s">
        <v>0</v>
      </c>
    </row>
    <row r="46741" spans="1:1" x14ac:dyDescent="0.3">
      <c r="A46741" t="s">
        <v>0</v>
      </c>
    </row>
    <row r="46742" spans="1:1" x14ac:dyDescent="0.3">
      <c r="A46742" t="s">
        <v>0</v>
      </c>
    </row>
    <row r="46743" spans="1:1" x14ac:dyDescent="0.3">
      <c r="A46743" t="s">
        <v>0</v>
      </c>
    </row>
    <row r="46744" spans="1:1" x14ac:dyDescent="0.3">
      <c r="A46744" t="s">
        <v>0</v>
      </c>
    </row>
    <row r="46745" spans="1:1" x14ac:dyDescent="0.3">
      <c r="A46745" t="s">
        <v>0</v>
      </c>
    </row>
    <row r="46746" spans="1:1" x14ac:dyDescent="0.3">
      <c r="A46746" t="s">
        <v>0</v>
      </c>
    </row>
    <row r="46747" spans="1:1" x14ac:dyDescent="0.3">
      <c r="A46747" t="s">
        <v>0</v>
      </c>
    </row>
    <row r="46748" spans="1:1" x14ac:dyDescent="0.3">
      <c r="A46748" t="s">
        <v>0</v>
      </c>
    </row>
    <row r="46749" spans="1:1" x14ac:dyDescent="0.3">
      <c r="A46749" t="s">
        <v>0</v>
      </c>
    </row>
    <row r="46750" spans="1:1" x14ac:dyDescent="0.3">
      <c r="A46750" t="s">
        <v>0</v>
      </c>
    </row>
    <row r="46751" spans="1:1" x14ac:dyDescent="0.3">
      <c r="A46751" t="s">
        <v>0</v>
      </c>
    </row>
    <row r="46752" spans="1:1" x14ac:dyDescent="0.3">
      <c r="A46752" t="s">
        <v>0</v>
      </c>
    </row>
    <row r="46753" spans="1:1" x14ac:dyDescent="0.3">
      <c r="A46753" t="s">
        <v>0</v>
      </c>
    </row>
    <row r="46754" spans="1:1" x14ac:dyDescent="0.3">
      <c r="A46754" t="s">
        <v>0</v>
      </c>
    </row>
    <row r="46755" spans="1:1" x14ac:dyDescent="0.3">
      <c r="A46755" t="s">
        <v>0</v>
      </c>
    </row>
    <row r="46756" spans="1:1" x14ac:dyDescent="0.3">
      <c r="A46756" t="s">
        <v>0</v>
      </c>
    </row>
    <row r="46757" spans="1:1" x14ac:dyDescent="0.3">
      <c r="A46757" t="s">
        <v>0</v>
      </c>
    </row>
    <row r="46758" spans="1:1" x14ac:dyDescent="0.3">
      <c r="A46758" t="s">
        <v>0</v>
      </c>
    </row>
    <row r="46759" spans="1:1" x14ac:dyDescent="0.3">
      <c r="A46759" t="s">
        <v>0</v>
      </c>
    </row>
    <row r="46760" spans="1:1" x14ac:dyDescent="0.3">
      <c r="A46760" t="s">
        <v>0</v>
      </c>
    </row>
    <row r="46761" spans="1:1" x14ac:dyDescent="0.3">
      <c r="A46761" t="s">
        <v>0</v>
      </c>
    </row>
    <row r="46762" spans="1:1" x14ac:dyDescent="0.3">
      <c r="A46762" t="s">
        <v>0</v>
      </c>
    </row>
    <row r="46763" spans="1:1" x14ac:dyDescent="0.3">
      <c r="A46763" t="s">
        <v>0</v>
      </c>
    </row>
    <row r="46764" spans="1:1" x14ac:dyDescent="0.3">
      <c r="A46764" t="s">
        <v>0</v>
      </c>
    </row>
    <row r="46765" spans="1:1" x14ac:dyDescent="0.3">
      <c r="A46765" t="s">
        <v>0</v>
      </c>
    </row>
    <row r="46766" spans="1:1" x14ac:dyDescent="0.3">
      <c r="A46766" t="s">
        <v>0</v>
      </c>
    </row>
    <row r="46767" spans="1:1" x14ac:dyDescent="0.3">
      <c r="A46767" t="s">
        <v>0</v>
      </c>
    </row>
    <row r="46768" spans="1:1" x14ac:dyDescent="0.3">
      <c r="A46768" t="s">
        <v>0</v>
      </c>
    </row>
    <row r="46769" spans="1:1" x14ac:dyDescent="0.3">
      <c r="A46769" t="s">
        <v>0</v>
      </c>
    </row>
    <row r="46770" spans="1:1" x14ac:dyDescent="0.3">
      <c r="A46770" t="s">
        <v>0</v>
      </c>
    </row>
    <row r="46771" spans="1:1" x14ac:dyDescent="0.3">
      <c r="A46771" t="s">
        <v>0</v>
      </c>
    </row>
    <row r="46772" spans="1:1" x14ac:dyDescent="0.3">
      <c r="A46772" t="s">
        <v>0</v>
      </c>
    </row>
    <row r="46773" spans="1:1" x14ac:dyDescent="0.3">
      <c r="A46773" t="s">
        <v>0</v>
      </c>
    </row>
    <row r="46774" spans="1:1" x14ac:dyDescent="0.3">
      <c r="A46774" t="s">
        <v>0</v>
      </c>
    </row>
    <row r="46775" spans="1:1" x14ac:dyDescent="0.3">
      <c r="A46775" t="s">
        <v>0</v>
      </c>
    </row>
    <row r="46776" spans="1:1" x14ac:dyDescent="0.3">
      <c r="A46776" t="s">
        <v>0</v>
      </c>
    </row>
    <row r="46777" spans="1:1" x14ac:dyDescent="0.3">
      <c r="A46777" t="s">
        <v>0</v>
      </c>
    </row>
    <row r="46778" spans="1:1" x14ac:dyDescent="0.3">
      <c r="A46778" t="s">
        <v>0</v>
      </c>
    </row>
    <row r="46779" spans="1:1" x14ac:dyDescent="0.3">
      <c r="A46779" t="s">
        <v>0</v>
      </c>
    </row>
    <row r="46780" spans="1:1" x14ac:dyDescent="0.3">
      <c r="A46780" t="s">
        <v>0</v>
      </c>
    </row>
    <row r="46781" spans="1:1" x14ac:dyDescent="0.3">
      <c r="A46781" t="s">
        <v>0</v>
      </c>
    </row>
    <row r="46782" spans="1:1" x14ac:dyDescent="0.3">
      <c r="A46782" t="s">
        <v>0</v>
      </c>
    </row>
    <row r="46783" spans="1:1" x14ac:dyDescent="0.3">
      <c r="A46783" t="s">
        <v>0</v>
      </c>
    </row>
    <row r="46784" spans="1:1" x14ac:dyDescent="0.3">
      <c r="A46784" t="s">
        <v>0</v>
      </c>
    </row>
    <row r="46785" spans="1:1" x14ac:dyDescent="0.3">
      <c r="A46785" t="s">
        <v>0</v>
      </c>
    </row>
    <row r="46786" spans="1:1" x14ac:dyDescent="0.3">
      <c r="A46786" t="s">
        <v>0</v>
      </c>
    </row>
    <row r="46787" spans="1:1" x14ac:dyDescent="0.3">
      <c r="A46787" t="s">
        <v>0</v>
      </c>
    </row>
    <row r="46788" spans="1:1" x14ac:dyDescent="0.3">
      <c r="A46788" t="s">
        <v>0</v>
      </c>
    </row>
    <row r="46789" spans="1:1" x14ac:dyDescent="0.3">
      <c r="A46789" t="s">
        <v>0</v>
      </c>
    </row>
    <row r="46790" spans="1:1" x14ac:dyDescent="0.3">
      <c r="A46790" t="s">
        <v>0</v>
      </c>
    </row>
    <row r="46791" spans="1:1" x14ac:dyDescent="0.3">
      <c r="A46791" t="s">
        <v>0</v>
      </c>
    </row>
    <row r="46792" spans="1:1" x14ac:dyDescent="0.3">
      <c r="A46792" t="s">
        <v>0</v>
      </c>
    </row>
    <row r="46793" spans="1:1" x14ac:dyDescent="0.3">
      <c r="A46793" t="s">
        <v>0</v>
      </c>
    </row>
    <row r="46794" spans="1:1" x14ac:dyDescent="0.3">
      <c r="A46794" t="s">
        <v>0</v>
      </c>
    </row>
    <row r="46795" spans="1:1" x14ac:dyDescent="0.3">
      <c r="A46795" t="s">
        <v>0</v>
      </c>
    </row>
    <row r="46796" spans="1:1" x14ac:dyDescent="0.3">
      <c r="A46796" t="s">
        <v>0</v>
      </c>
    </row>
    <row r="46797" spans="1:1" x14ac:dyDescent="0.3">
      <c r="A46797" t="s">
        <v>0</v>
      </c>
    </row>
    <row r="46798" spans="1:1" x14ac:dyDescent="0.3">
      <c r="A46798" t="s">
        <v>0</v>
      </c>
    </row>
    <row r="46799" spans="1:1" x14ac:dyDescent="0.3">
      <c r="A46799" t="s">
        <v>0</v>
      </c>
    </row>
    <row r="46800" spans="1:1" x14ac:dyDescent="0.3">
      <c r="A46800" t="s">
        <v>0</v>
      </c>
    </row>
    <row r="46801" spans="1:1" x14ac:dyDescent="0.3">
      <c r="A46801" t="s">
        <v>0</v>
      </c>
    </row>
    <row r="46802" spans="1:1" x14ac:dyDescent="0.3">
      <c r="A46802" t="s">
        <v>0</v>
      </c>
    </row>
    <row r="46803" spans="1:1" x14ac:dyDescent="0.3">
      <c r="A46803" t="s">
        <v>0</v>
      </c>
    </row>
    <row r="46804" spans="1:1" x14ac:dyDescent="0.3">
      <c r="A46804" t="s">
        <v>0</v>
      </c>
    </row>
    <row r="46805" spans="1:1" x14ac:dyDescent="0.3">
      <c r="A46805" t="s">
        <v>0</v>
      </c>
    </row>
    <row r="46806" spans="1:1" x14ac:dyDescent="0.3">
      <c r="A46806" t="s">
        <v>0</v>
      </c>
    </row>
    <row r="46807" spans="1:1" x14ac:dyDescent="0.3">
      <c r="A46807" t="s">
        <v>0</v>
      </c>
    </row>
    <row r="46808" spans="1:1" x14ac:dyDescent="0.3">
      <c r="A46808" t="s">
        <v>0</v>
      </c>
    </row>
    <row r="46809" spans="1:1" x14ac:dyDescent="0.3">
      <c r="A46809" t="s">
        <v>0</v>
      </c>
    </row>
    <row r="46810" spans="1:1" x14ac:dyDescent="0.3">
      <c r="A46810" t="s">
        <v>0</v>
      </c>
    </row>
    <row r="46811" spans="1:1" x14ac:dyDescent="0.3">
      <c r="A46811" t="s">
        <v>0</v>
      </c>
    </row>
    <row r="46812" spans="1:1" x14ac:dyDescent="0.3">
      <c r="A46812" t="s">
        <v>0</v>
      </c>
    </row>
    <row r="46813" spans="1:1" x14ac:dyDescent="0.3">
      <c r="A46813" t="s">
        <v>0</v>
      </c>
    </row>
    <row r="46814" spans="1:1" x14ac:dyDescent="0.3">
      <c r="A46814" t="s">
        <v>0</v>
      </c>
    </row>
    <row r="46815" spans="1:1" x14ac:dyDescent="0.3">
      <c r="A46815" t="s">
        <v>0</v>
      </c>
    </row>
    <row r="46816" spans="1:1" x14ac:dyDescent="0.3">
      <c r="A46816" t="s">
        <v>0</v>
      </c>
    </row>
    <row r="46817" spans="1:1" x14ac:dyDescent="0.3">
      <c r="A46817" t="s">
        <v>0</v>
      </c>
    </row>
    <row r="46818" spans="1:1" x14ac:dyDescent="0.3">
      <c r="A46818" t="s">
        <v>0</v>
      </c>
    </row>
    <row r="46819" spans="1:1" x14ac:dyDescent="0.3">
      <c r="A46819" t="s">
        <v>0</v>
      </c>
    </row>
    <row r="46820" spans="1:1" x14ac:dyDescent="0.3">
      <c r="A46820" t="s">
        <v>0</v>
      </c>
    </row>
    <row r="46821" spans="1:1" x14ac:dyDescent="0.3">
      <c r="A46821" t="s">
        <v>0</v>
      </c>
    </row>
    <row r="46822" spans="1:1" x14ac:dyDescent="0.3">
      <c r="A46822" t="s">
        <v>0</v>
      </c>
    </row>
    <row r="46823" spans="1:1" x14ac:dyDescent="0.3">
      <c r="A46823" t="s">
        <v>0</v>
      </c>
    </row>
    <row r="46824" spans="1:1" x14ac:dyDescent="0.3">
      <c r="A46824" t="s">
        <v>0</v>
      </c>
    </row>
    <row r="46825" spans="1:1" x14ac:dyDescent="0.3">
      <c r="A46825" t="s">
        <v>0</v>
      </c>
    </row>
    <row r="46826" spans="1:1" x14ac:dyDescent="0.3">
      <c r="A46826" t="s">
        <v>0</v>
      </c>
    </row>
    <row r="46827" spans="1:1" x14ac:dyDescent="0.3">
      <c r="A46827" t="s">
        <v>0</v>
      </c>
    </row>
    <row r="46828" spans="1:1" x14ac:dyDescent="0.3">
      <c r="A46828" t="s">
        <v>0</v>
      </c>
    </row>
    <row r="46829" spans="1:1" x14ac:dyDescent="0.3">
      <c r="A46829" t="s">
        <v>0</v>
      </c>
    </row>
    <row r="46830" spans="1:1" x14ac:dyDescent="0.3">
      <c r="A46830" t="s">
        <v>0</v>
      </c>
    </row>
    <row r="46831" spans="1:1" x14ac:dyDescent="0.3">
      <c r="A46831" t="s">
        <v>0</v>
      </c>
    </row>
    <row r="46832" spans="1:1" x14ac:dyDescent="0.3">
      <c r="A46832" t="s">
        <v>0</v>
      </c>
    </row>
    <row r="46833" spans="1:1" x14ac:dyDescent="0.3">
      <c r="A46833" t="s">
        <v>0</v>
      </c>
    </row>
    <row r="46834" spans="1:1" x14ac:dyDescent="0.3">
      <c r="A46834" t="s">
        <v>0</v>
      </c>
    </row>
    <row r="46835" spans="1:1" x14ac:dyDescent="0.3">
      <c r="A46835" t="s">
        <v>0</v>
      </c>
    </row>
    <row r="46836" spans="1:1" x14ac:dyDescent="0.3">
      <c r="A46836" t="s">
        <v>0</v>
      </c>
    </row>
    <row r="46837" spans="1:1" x14ac:dyDescent="0.3">
      <c r="A46837" t="s">
        <v>0</v>
      </c>
    </row>
    <row r="46838" spans="1:1" x14ac:dyDescent="0.3">
      <c r="A46838" t="s">
        <v>0</v>
      </c>
    </row>
    <row r="46839" spans="1:1" x14ac:dyDescent="0.3">
      <c r="A46839" t="s">
        <v>0</v>
      </c>
    </row>
    <row r="46840" spans="1:1" x14ac:dyDescent="0.3">
      <c r="A46840" t="s">
        <v>0</v>
      </c>
    </row>
    <row r="46841" spans="1:1" x14ac:dyDescent="0.3">
      <c r="A46841" t="s">
        <v>0</v>
      </c>
    </row>
    <row r="46842" spans="1:1" x14ac:dyDescent="0.3">
      <c r="A46842" t="s">
        <v>0</v>
      </c>
    </row>
    <row r="46843" spans="1:1" x14ac:dyDescent="0.3">
      <c r="A46843" t="s">
        <v>0</v>
      </c>
    </row>
    <row r="46844" spans="1:1" x14ac:dyDescent="0.3">
      <c r="A46844" t="s">
        <v>0</v>
      </c>
    </row>
    <row r="46845" spans="1:1" x14ac:dyDescent="0.3">
      <c r="A46845" t="s">
        <v>0</v>
      </c>
    </row>
    <row r="46846" spans="1:1" x14ac:dyDescent="0.3">
      <c r="A46846" t="s">
        <v>0</v>
      </c>
    </row>
    <row r="46847" spans="1:1" x14ac:dyDescent="0.3">
      <c r="A46847" t="s">
        <v>0</v>
      </c>
    </row>
    <row r="46848" spans="1:1" x14ac:dyDescent="0.3">
      <c r="A46848" t="s">
        <v>0</v>
      </c>
    </row>
    <row r="46849" spans="1:1" x14ac:dyDescent="0.3">
      <c r="A46849" t="s">
        <v>0</v>
      </c>
    </row>
    <row r="46850" spans="1:1" x14ac:dyDescent="0.3">
      <c r="A46850" t="s">
        <v>0</v>
      </c>
    </row>
    <row r="46851" spans="1:1" x14ac:dyDescent="0.3">
      <c r="A46851" t="s">
        <v>0</v>
      </c>
    </row>
    <row r="46852" spans="1:1" x14ac:dyDescent="0.3">
      <c r="A46852" t="s">
        <v>0</v>
      </c>
    </row>
    <row r="46853" spans="1:1" x14ac:dyDescent="0.3">
      <c r="A46853" t="s">
        <v>0</v>
      </c>
    </row>
    <row r="46854" spans="1:1" x14ac:dyDescent="0.3">
      <c r="A46854" t="s">
        <v>0</v>
      </c>
    </row>
    <row r="46855" spans="1:1" x14ac:dyDescent="0.3">
      <c r="A46855" t="s">
        <v>0</v>
      </c>
    </row>
    <row r="46856" spans="1:1" x14ac:dyDescent="0.3">
      <c r="A46856" t="s">
        <v>0</v>
      </c>
    </row>
    <row r="46857" spans="1:1" x14ac:dyDescent="0.3">
      <c r="A46857" t="s">
        <v>0</v>
      </c>
    </row>
    <row r="46858" spans="1:1" x14ac:dyDescent="0.3">
      <c r="A46858" t="s">
        <v>0</v>
      </c>
    </row>
    <row r="46859" spans="1:1" x14ac:dyDescent="0.3">
      <c r="A46859" t="s">
        <v>0</v>
      </c>
    </row>
    <row r="46860" spans="1:1" x14ac:dyDescent="0.3">
      <c r="A46860" t="s">
        <v>0</v>
      </c>
    </row>
    <row r="46861" spans="1:1" x14ac:dyDescent="0.3">
      <c r="A46861" t="s">
        <v>0</v>
      </c>
    </row>
    <row r="46862" spans="1:1" x14ac:dyDescent="0.3">
      <c r="A46862" t="s">
        <v>0</v>
      </c>
    </row>
    <row r="46863" spans="1:1" x14ac:dyDescent="0.3">
      <c r="A46863" t="s">
        <v>0</v>
      </c>
    </row>
    <row r="46864" spans="1:1" x14ac:dyDescent="0.3">
      <c r="A46864" t="s">
        <v>0</v>
      </c>
    </row>
    <row r="46865" spans="1:1" x14ac:dyDescent="0.3">
      <c r="A46865" t="s">
        <v>0</v>
      </c>
    </row>
    <row r="46866" spans="1:1" x14ac:dyDescent="0.3">
      <c r="A46866" t="s">
        <v>0</v>
      </c>
    </row>
    <row r="46867" spans="1:1" x14ac:dyDescent="0.3">
      <c r="A46867" t="s">
        <v>0</v>
      </c>
    </row>
    <row r="46868" spans="1:1" x14ac:dyDescent="0.3">
      <c r="A46868" t="s">
        <v>0</v>
      </c>
    </row>
    <row r="46869" spans="1:1" x14ac:dyDescent="0.3">
      <c r="A46869" t="s">
        <v>0</v>
      </c>
    </row>
    <row r="46870" spans="1:1" x14ac:dyDescent="0.3">
      <c r="A46870" t="s">
        <v>0</v>
      </c>
    </row>
    <row r="46871" spans="1:1" x14ac:dyDescent="0.3">
      <c r="A46871" t="s">
        <v>0</v>
      </c>
    </row>
    <row r="46872" spans="1:1" x14ac:dyDescent="0.3">
      <c r="A46872" t="s">
        <v>0</v>
      </c>
    </row>
    <row r="46873" spans="1:1" x14ac:dyDescent="0.3">
      <c r="A46873" t="s">
        <v>0</v>
      </c>
    </row>
    <row r="46874" spans="1:1" x14ac:dyDescent="0.3">
      <c r="A46874" t="s">
        <v>0</v>
      </c>
    </row>
    <row r="46875" spans="1:1" x14ac:dyDescent="0.3">
      <c r="A46875" t="s">
        <v>0</v>
      </c>
    </row>
    <row r="46876" spans="1:1" x14ac:dyDescent="0.3">
      <c r="A46876" t="s">
        <v>0</v>
      </c>
    </row>
    <row r="46877" spans="1:1" x14ac:dyDescent="0.3">
      <c r="A46877" t="s">
        <v>0</v>
      </c>
    </row>
    <row r="46878" spans="1:1" x14ac:dyDescent="0.3">
      <c r="A46878" t="s">
        <v>0</v>
      </c>
    </row>
    <row r="46879" spans="1:1" x14ac:dyDescent="0.3">
      <c r="A46879" t="s">
        <v>0</v>
      </c>
    </row>
    <row r="46880" spans="1:1" x14ac:dyDescent="0.3">
      <c r="A46880" t="s">
        <v>0</v>
      </c>
    </row>
    <row r="46881" spans="1:1" x14ac:dyDescent="0.3">
      <c r="A46881" t="s">
        <v>0</v>
      </c>
    </row>
    <row r="46882" spans="1:1" x14ac:dyDescent="0.3">
      <c r="A46882" t="s">
        <v>0</v>
      </c>
    </row>
    <row r="46883" spans="1:1" x14ac:dyDescent="0.3">
      <c r="A46883" t="s">
        <v>0</v>
      </c>
    </row>
    <row r="46884" spans="1:1" x14ac:dyDescent="0.3">
      <c r="A46884" t="s">
        <v>0</v>
      </c>
    </row>
    <row r="46885" spans="1:1" x14ac:dyDescent="0.3">
      <c r="A46885" t="s">
        <v>0</v>
      </c>
    </row>
    <row r="46886" spans="1:1" x14ac:dyDescent="0.3">
      <c r="A46886" t="s">
        <v>0</v>
      </c>
    </row>
    <row r="46887" spans="1:1" x14ac:dyDescent="0.3">
      <c r="A46887" t="s">
        <v>0</v>
      </c>
    </row>
    <row r="46888" spans="1:1" x14ac:dyDescent="0.3">
      <c r="A46888" t="s">
        <v>0</v>
      </c>
    </row>
    <row r="46889" spans="1:1" x14ac:dyDescent="0.3">
      <c r="A46889" t="s">
        <v>0</v>
      </c>
    </row>
    <row r="46890" spans="1:1" x14ac:dyDescent="0.3">
      <c r="A46890" t="s">
        <v>0</v>
      </c>
    </row>
    <row r="46891" spans="1:1" x14ac:dyDescent="0.3">
      <c r="A46891" t="s">
        <v>0</v>
      </c>
    </row>
    <row r="46892" spans="1:1" x14ac:dyDescent="0.3">
      <c r="A46892" t="s">
        <v>0</v>
      </c>
    </row>
    <row r="46893" spans="1:1" x14ac:dyDescent="0.3">
      <c r="A46893" t="s">
        <v>0</v>
      </c>
    </row>
    <row r="46894" spans="1:1" x14ac:dyDescent="0.3">
      <c r="A46894" t="s">
        <v>0</v>
      </c>
    </row>
    <row r="46895" spans="1:1" x14ac:dyDescent="0.3">
      <c r="A46895" t="s">
        <v>0</v>
      </c>
    </row>
    <row r="46896" spans="1:1" x14ac:dyDescent="0.3">
      <c r="A46896" t="s">
        <v>0</v>
      </c>
    </row>
    <row r="46897" spans="1:1" x14ac:dyDescent="0.3">
      <c r="A46897" t="s">
        <v>0</v>
      </c>
    </row>
    <row r="46898" spans="1:1" x14ac:dyDescent="0.3">
      <c r="A46898" t="s">
        <v>0</v>
      </c>
    </row>
    <row r="46899" spans="1:1" x14ac:dyDescent="0.3">
      <c r="A46899" t="s">
        <v>0</v>
      </c>
    </row>
    <row r="46900" spans="1:1" x14ac:dyDescent="0.3">
      <c r="A46900" t="s">
        <v>0</v>
      </c>
    </row>
    <row r="46901" spans="1:1" x14ac:dyDescent="0.3">
      <c r="A46901" t="s">
        <v>0</v>
      </c>
    </row>
    <row r="46902" spans="1:1" x14ac:dyDescent="0.3">
      <c r="A46902" t="s">
        <v>0</v>
      </c>
    </row>
    <row r="46903" spans="1:1" x14ac:dyDescent="0.3">
      <c r="A46903" t="s">
        <v>0</v>
      </c>
    </row>
    <row r="46904" spans="1:1" x14ac:dyDescent="0.3">
      <c r="A46904" t="s">
        <v>0</v>
      </c>
    </row>
    <row r="46905" spans="1:1" x14ac:dyDescent="0.3">
      <c r="A46905" t="s">
        <v>0</v>
      </c>
    </row>
    <row r="46906" spans="1:1" x14ac:dyDescent="0.3">
      <c r="A46906" t="s">
        <v>0</v>
      </c>
    </row>
    <row r="46907" spans="1:1" x14ac:dyDescent="0.3">
      <c r="A46907" t="s">
        <v>0</v>
      </c>
    </row>
    <row r="46908" spans="1:1" x14ac:dyDescent="0.3">
      <c r="A46908" t="s">
        <v>0</v>
      </c>
    </row>
    <row r="46909" spans="1:1" x14ac:dyDescent="0.3">
      <c r="A46909" t="s">
        <v>0</v>
      </c>
    </row>
    <row r="46910" spans="1:1" x14ac:dyDescent="0.3">
      <c r="A46910" t="s">
        <v>0</v>
      </c>
    </row>
    <row r="46911" spans="1:1" x14ac:dyDescent="0.3">
      <c r="A46911" t="s">
        <v>0</v>
      </c>
    </row>
    <row r="46912" spans="1:1" x14ac:dyDescent="0.3">
      <c r="A46912" t="s">
        <v>0</v>
      </c>
    </row>
    <row r="46913" spans="1:1" x14ac:dyDescent="0.3">
      <c r="A46913" t="s">
        <v>0</v>
      </c>
    </row>
    <row r="46914" spans="1:1" x14ac:dyDescent="0.3">
      <c r="A46914" t="s">
        <v>0</v>
      </c>
    </row>
    <row r="46915" spans="1:1" x14ac:dyDescent="0.3">
      <c r="A46915" t="s">
        <v>0</v>
      </c>
    </row>
    <row r="46916" spans="1:1" x14ac:dyDescent="0.3">
      <c r="A46916" t="s">
        <v>0</v>
      </c>
    </row>
    <row r="46917" spans="1:1" x14ac:dyDescent="0.3">
      <c r="A46917" t="s">
        <v>0</v>
      </c>
    </row>
    <row r="46918" spans="1:1" x14ac:dyDescent="0.3">
      <c r="A46918" t="s">
        <v>0</v>
      </c>
    </row>
    <row r="46919" spans="1:1" x14ac:dyDescent="0.3">
      <c r="A46919" t="s">
        <v>0</v>
      </c>
    </row>
    <row r="46920" spans="1:1" x14ac:dyDescent="0.3">
      <c r="A46920" t="s">
        <v>0</v>
      </c>
    </row>
    <row r="46921" spans="1:1" x14ac:dyDescent="0.3">
      <c r="A46921" t="s">
        <v>0</v>
      </c>
    </row>
    <row r="46922" spans="1:1" x14ac:dyDescent="0.3">
      <c r="A46922" t="s">
        <v>0</v>
      </c>
    </row>
    <row r="46923" spans="1:1" x14ac:dyDescent="0.3">
      <c r="A46923" t="s">
        <v>0</v>
      </c>
    </row>
    <row r="46924" spans="1:1" x14ac:dyDescent="0.3">
      <c r="A46924" t="s">
        <v>0</v>
      </c>
    </row>
    <row r="46925" spans="1:1" x14ac:dyDescent="0.3">
      <c r="A46925" t="s">
        <v>0</v>
      </c>
    </row>
    <row r="46926" spans="1:1" x14ac:dyDescent="0.3">
      <c r="A46926" t="s">
        <v>0</v>
      </c>
    </row>
    <row r="46927" spans="1:1" x14ac:dyDescent="0.3">
      <c r="A46927" t="s">
        <v>0</v>
      </c>
    </row>
    <row r="46928" spans="1:1" x14ac:dyDescent="0.3">
      <c r="A46928" t="s">
        <v>0</v>
      </c>
    </row>
    <row r="46929" spans="1:1" x14ac:dyDescent="0.3">
      <c r="A46929" t="s">
        <v>0</v>
      </c>
    </row>
    <row r="46930" spans="1:1" x14ac:dyDescent="0.3">
      <c r="A46930" t="s">
        <v>0</v>
      </c>
    </row>
    <row r="46931" spans="1:1" x14ac:dyDescent="0.3">
      <c r="A46931" t="s">
        <v>0</v>
      </c>
    </row>
    <row r="46932" spans="1:1" x14ac:dyDescent="0.3">
      <c r="A46932" t="s">
        <v>0</v>
      </c>
    </row>
    <row r="46933" spans="1:1" x14ac:dyDescent="0.3">
      <c r="A46933" t="s">
        <v>0</v>
      </c>
    </row>
    <row r="46934" spans="1:1" x14ac:dyDescent="0.3">
      <c r="A46934" t="s">
        <v>0</v>
      </c>
    </row>
    <row r="46935" spans="1:1" x14ac:dyDescent="0.3">
      <c r="A46935" t="s">
        <v>0</v>
      </c>
    </row>
    <row r="46936" spans="1:1" x14ac:dyDescent="0.3">
      <c r="A46936" t="s">
        <v>0</v>
      </c>
    </row>
    <row r="46937" spans="1:1" x14ac:dyDescent="0.3">
      <c r="A46937" t="s">
        <v>0</v>
      </c>
    </row>
    <row r="46938" spans="1:1" x14ac:dyDescent="0.3">
      <c r="A46938" t="s">
        <v>0</v>
      </c>
    </row>
    <row r="46939" spans="1:1" x14ac:dyDescent="0.3">
      <c r="A46939" t="s">
        <v>0</v>
      </c>
    </row>
    <row r="46940" spans="1:1" x14ac:dyDescent="0.3">
      <c r="A46940" t="s">
        <v>0</v>
      </c>
    </row>
    <row r="46941" spans="1:1" x14ac:dyDescent="0.3">
      <c r="A46941" t="s">
        <v>0</v>
      </c>
    </row>
    <row r="46942" spans="1:1" x14ac:dyDescent="0.3">
      <c r="A46942" t="s">
        <v>0</v>
      </c>
    </row>
    <row r="46943" spans="1:1" x14ac:dyDescent="0.3">
      <c r="A46943" t="s">
        <v>0</v>
      </c>
    </row>
    <row r="46944" spans="1:1" x14ac:dyDescent="0.3">
      <c r="A46944" t="s">
        <v>0</v>
      </c>
    </row>
    <row r="46945" spans="1:1" x14ac:dyDescent="0.3">
      <c r="A46945" t="s">
        <v>0</v>
      </c>
    </row>
    <row r="46946" spans="1:1" x14ac:dyDescent="0.3">
      <c r="A46946" t="s">
        <v>0</v>
      </c>
    </row>
    <row r="46947" spans="1:1" x14ac:dyDescent="0.3">
      <c r="A46947" t="s">
        <v>0</v>
      </c>
    </row>
    <row r="46948" spans="1:1" x14ac:dyDescent="0.3">
      <c r="A46948" t="s">
        <v>0</v>
      </c>
    </row>
    <row r="46949" spans="1:1" x14ac:dyDescent="0.3">
      <c r="A46949" t="s">
        <v>0</v>
      </c>
    </row>
    <row r="46950" spans="1:1" x14ac:dyDescent="0.3">
      <c r="A46950" t="s">
        <v>0</v>
      </c>
    </row>
    <row r="46951" spans="1:1" x14ac:dyDescent="0.3">
      <c r="A46951" t="s">
        <v>0</v>
      </c>
    </row>
    <row r="46952" spans="1:1" x14ac:dyDescent="0.3">
      <c r="A46952" t="s">
        <v>0</v>
      </c>
    </row>
    <row r="46953" spans="1:1" x14ac:dyDescent="0.3">
      <c r="A46953" t="s">
        <v>0</v>
      </c>
    </row>
    <row r="46954" spans="1:1" x14ac:dyDescent="0.3">
      <c r="A46954" t="s">
        <v>0</v>
      </c>
    </row>
    <row r="46955" spans="1:1" x14ac:dyDescent="0.3">
      <c r="A46955" t="s">
        <v>0</v>
      </c>
    </row>
    <row r="46956" spans="1:1" x14ac:dyDescent="0.3">
      <c r="A46956" t="s">
        <v>0</v>
      </c>
    </row>
    <row r="46957" spans="1:1" x14ac:dyDescent="0.3">
      <c r="A46957" t="s">
        <v>0</v>
      </c>
    </row>
    <row r="46958" spans="1:1" x14ac:dyDescent="0.3">
      <c r="A46958" t="s">
        <v>0</v>
      </c>
    </row>
    <row r="46959" spans="1:1" x14ac:dyDescent="0.3">
      <c r="A46959" t="s">
        <v>0</v>
      </c>
    </row>
    <row r="46960" spans="1:1" x14ac:dyDescent="0.3">
      <c r="A46960" t="s">
        <v>0</v>
      </c>
    </row>
    <row r="46961" spans="1:1" x14ac:dyDescent="0.3">
      <c r="A46961" t="s">
        <v>0</v>
      </c>
    </row>
    <row r="46962" spans="1:1" x14ac:dyDescent="0.3">
      <c r="A46962" t="s">
        <v>0</v>
      </c>
    </row>
    <row r="46963" spans="1:1" x14ac:dyDescent="0.3">
      <c r="A46963" t="s">
        <v>0</v>
      </c>
    </row>
    <row r="46964" spans="1:1" x14ac:dyDescent="0.3">
      <c r="A46964" t="s">
        <v>0</v>
      </c>
    </row>
    <row r="46965" spans="1:1" x14ac:dyDescent="0.3">
      <c r="A46965" t="s">
        <v>0</v>
      </c>
    </row>
    <row r="46966" spans="1:1" x14ac:dyDescent="0.3">
      <c r="A46966" t="s">
        <v>0</v>
      </c>
    </row>
    <row r="46967" spans="1:1" x14ac:dyDescent="0.3">
      <c r="A46967" t="s">
        <v>0</v>
      </c>
    </row>
    <row r="46968" spans="1:1" x14ac:dyDescent="0.3">
      <c r="A46968" t="s">
        <v>0</v>
      </c>
    </row>
    <row r="46969" spans="1:1" x14ac:dyDescent="0.3">
      <c r="A46969" t="s">
        <v>0</v>
      </c>
    </row>
    <row r="46970" spans="1:1" x14ac:dyDescent="0.3">
      <c r="A46970" t="s">
        <v>0</v>
      </c>
    </row>
    <row r="46971" spans="1:1" x14ac:dyDescent="0.3">
      <c r="A46971" t="s">
        <v>0</v>
      </c>
    </row>
    <row r="46972" spans="1:1" x14ac:dyDescent="0.3">
      <c r="A46972" t="s">
        <v>0</v>
      </c>
    </row>
    <row r="46973" spans="1:1" x14ac:dyDescent="0.3">
      <c r="A46973" t="s">
        <v>0</v>
      </c>
    </row>
    <row r="46974" spans="1:1" x14ac:dyDescent="0.3">
      <c r="A46974" t="s">
        <v>0</v>
      </c>
    </row>
    <row r="46975" spans="1:1" x14ac:dyDescent="0.3">
      <c r="A46975" t="s">
        <v>0</v>
      </c>
    </row>
    <row r="46976" spans="1:1" x14ac:dyDescent="0.3">
      <c r="A46976" t="s">
        <v>0</v>
      </c>
    </row>
    <row r="46977" spans="1:1" x14ac:dyDescent="0.3">
      <c r="A46977" t="s">
        <v>0</v>
      </c>
    </row>
    <row r="46978" spans="1:1" x14ac:dyDescent="0.3">
      <c r="A46978" t="s">
        <v>0</v>
      </c>
    </row>
    <row r="46979" spans="1:1" x14ac:dyDescent="0.3">
      <c r="A46979" t="s">
        <v>0</v>
      </c>
    </row>
    <row r="46980" spans="1:1" x14ac:dyDescent="0.3">
      <c r="A46980" t="s">
        <v>0</v>
      </c>
    </row>
    <row r="46981" spans="1:1" x14ac:dyDescent="0.3">
      <c r="A46981" t="s">
        <v>0</v>
      </c>
    </row>
    <row r="46982" spans="1:1" x14ac:dyDescent="0.3">
      <c r="A46982" t="s">
        <v>0</v>
      </c>
    </row>
    <row r="46983" spans="1:1" x14ac:dyDescent="0.3">
      <c r="A46983" t="s">
        <v>0</v>
      </c>
    </row>
    <row r="46984" spans="1:1" x14ac:dyDescent="0.3">
      <c r="A46984" t="s">
        <v>0</v>
      </c>
    </row>
    <row r="46985" spans="1:1" x14ac:dyDescent="0.3">
      <c r="A46985" t="s">
        <v>0</v>
      </c>
    </row>
    <row r="46986" spans="1:1" x14ac:dyDescent="0.3">
      <c r="A46986" t="s">
        <v>0</v>
      </c>
    </row>
    <row r="46987" spans="1:1" x14ac:dyDescent="0.3">
      <c r="A46987" t="s">
        <v>0</v>
      </c>
    </row>
    <row r="46988" spans="1:1" x14ac:dyDescent="0.3">
      <c r="A46988" t="s">
        <v>0</v>
      </c>
    </row>
    <row r="46989" spans="1:1" x14ac:dyDescent="0.3">
      <c r="A46989" t="s">
        <v>0</v>
      </c>
    </row>
    <row r="46990" spans="1:1" x14ac:dyDescent="0.3">
      <c r="A46990" t="s">
        <v>0</v>
      </c>
    </row>
    <row r="46991" spans="1:1" x14ac:dyDescent="0.3">
      <c r="A46991" t="s">
        <v>0</v>
      </c>
    </row>
    <row r="46992" spans="1:1" x14ac:dyDescent="0.3">
      <c r="A46992" t="s">
        <v>0</v>
      </c>
    </row>
    <row r="46993" spans="1:1" x14ac:dyDescent="0.3">
      <c r="A46993" t="s">
        <v>0</v>
      </c>
    </row>
    <row r="46994" spans="1:1" x14ac:dyDescent="0.3">
      <c r="A46994" t="s">
        <v>0</v>
      </c>
    </row>
    <row r="46995" spans="1:1" x14ac:dyDescent="0.3">
      <c r="A46995" t="s">
        <v>0</v>
      </c>
    </row>
    <row r="46996" spans="1:1" x14ac:dyDescent="0.3">
      <c r="A46996" t="s">
        <v>0</v>
      </c>
    </row>
    <row r="46997" spans="1:1" x14ac:dyDescent="0.3">
      <c r="A46997" t="s">
        <v>0</v>
      </c>
    </row>
    <row r="46998" spans="1:1" x14ac:dyDescent="0.3">
      <c r="A46998" t="s">
        <v>0</v>
      </c>
    </row>
    <row r="46999" spans="1:1" x14ac:dyDescent="0.3">
      <c r="A46999" t="s">
        <v>0</v>
      </c>
    </row>
    <row r="47000" spans="1:1" x14ac:dyDescent="0.3">
      <c r="A47000" t="s">
        <v>0</v>
      </c>
    </row>
    <row r="47001" spans="1:1" x14ac:dyDescent="0.3">
      <c r="A47001" t="s">
        <v>0</v>
      </c>
    </row>
    <row r="47002" spans="1:1" x14ac:dyDescent="0.3">
      <c r="A47002" t="s">
        <v>0</v>
      </c>
    </row>
    <row r="47003" spans="1:1" x14ac:dyDescent="0.3">
      <c r="A47003" t="s">
        <v>0</v>
      </c>
    </row>
    <row r="47004" spans="1:1" x14ac:dyDescent="0.3">
      <c r="A47004" t="s">
        <v>0</v>
      </c>
    </row>
    <row r="47005" spans="1:1" x14ac:dyDescent="0.3">
      <c r="A47005" t="s">
        <v>0</v>
      </c>
    </row>
    <row r="47006" spans="1:1" x14ac:dyDescent="0.3">
      <c r="A47006" t="s">
        <v>0</v>
      </c>
    </row>
    <row r="47007" spans="1:1" x14ac:dyDescent="0.3">
      <c r="A47007" t="s">
        <v>0</v>
      </c>
    </row>
    <row r="47008" spans="1:1" x14ac:dyDescent="0.3">
      <c r="A47008" t="s">
        <v>0</v>
      </c>
    </row>
    <row r="47009" spans="1:1" x14ac:dyDescent="0.3">
      <c r="A47009" t="s">
        <v>0</v>
      </c>
    </row>
    <row r="47010" spans="1:1" x14ac:dyDescent="0.3">
      <c r="A47010" t="s">
        <v>0</v>
      </c>
    </row>
    <row r="47011" spans="1:1" x14ac:dyDescent="0.3">
      <c r="A47011" t="s">
        <v>0</v>
      </c>
    </row>
    <row r="47012" spans="1:1" x14ac:dyDescent="0.3">
      <c r="A47012" t="s">
        <v>0</v>
      </c>
    </row>
    <row r="47013" spans="1:1" x14ac:dyDescent="0.3">
      <c r="A47013" t="s">
        <v>0</v>
      </c>
    </row>
    <row r="47014" spans="1:1" x14ac:dyDescent="0.3">
      <c r="A47014" t="s">
        <v>0</v>
      </c>
    </row>
    <row r="47015" spans="1:1" x14ac:dyDescent="0.3">
      <c r="A47015" t="s">
        <v>0</v>
      </c>
    </row>
    <row r="47016" spans="1:1" x14ac:dyDescent="0.3">
      <c r="A47016" t="s">
        <v>0</v>
      </c>
    </row>
    <row r="47017" spans="1:1" x14ac:dyDescent="0.3">
      <c r="A47017" t="s">
        <v>0</v>
      </c>
    </row>
    <row r="47018" spans="1:1" x14ac:dyDescent="0.3">
      <c r="A47018" t="s">
        <v>0</v>
      </c>
    </row>
    <row r="47019" spans="1:1" x14ac:dyDescent="0.3">
      <c r="A47019" t="s">
        <v>0</v>
      </c>
    </row>
    <row r="47020" spans="1:1" x14ac:dyDescent="0.3">
      <c r="A47020" t="s">
        <v>0</v>
      </c>
    </row>
    <row r="47021" spans="1:1" x14ac:dyDescent="0.3">
      <c r="A47021" t="s">
        <v>0</v>
      </c>
    </row>
    <row r="47022" spans="1:1" x14ac:dyDescent="0.3">
      <c r="A47022" t="s">
        <v>0</v>
      </c>
    </row>
    <row r="47023" spans="1:1" x14ac:dyDescent="0.3">
      <c r="A47023" t="s">
        <v>0</v>
      </c>
    </row>
    <row r="47024" spans="1:1" x14ac:dyDescent="0.3">
      <c r="A47024" t="s">
        <v>0</v>
      </c>
    </row>
    <row r="47025" spans="1:1" x14ac:dyDescent="0.3">
      <c r="A47025" t="s">
        <v>0</v>
      </c>
    </row>
    <row r="47026" spans="1:1" x14ac:dyDescent="0.3">
      <c r="A47026" t="s">
        <v>0</v>
      </c>
    </row>
    <row r="47027" spans="1:1" x14ac:dyDescent="0.3">
      <c r="A47027" t="s">
        <v>0</v>
      </c>
    </row>
    <row r="47028" spans="1:1" x14ac:dyDescent="0.3">
      <c r="A47028" t="s">
        <v>0</v>
      </c>
    </row>
    <row r="47029" spans="1:1" x14ac:dyDescent="0.3">
      <c r="A47029" t="s">
        <v>0</v>
      </c>
    </row>
    <row r="47030" spans="1:1" x14ac:dyDescent="0.3">
      <c r="A47030" t="s">
        <v>0</v>
      </c>
    </row>
    <row r="47031" spans="1:1" x14ac:dyDescent="0.3">
      <c r="A47031" t="s">
        <v>0</v>
      </c>
    </row>
    <row r="47032" spans="1:1" x14ac:dyDescent="0.3">
      <c r="A47032" t="s">
        <v>0</v>
      </c>
    </row>
    <row r="47033" spans="1:1" x14ac:dyDescent="0.3">
      <c r="A47033" t="s">
        <v>0</v>
      </c>
    </row>
    <row r="47034" spans="1:1" x14ac:dyDescent="0.3">
      <c r="A47034" t="s">
        <v>0</v>
      </c>
    </row>
    <row r="47035" spans="1:1" x14ac:dyDescent="0.3">
      <c r="A47035" t="s">
        <v>0</v>
      </c>
    </row>
    <row r="47036" spans="1:1" x14ac:dyDescent="0.3">
      <c r="A47036" t="s">
        <v>0</v>
      </c>
    </row>
    <row r="47037" spans="1:1" x14ac:dyDescent="0.3">
      <c r="A47037" t="s">
        <v>0</v>
      </c>
    </row>
    <row r="47038" spans="1:1" x14ac:dyDescent="0.3">
      <c r="A47038" t="s">
        <v>0</v>
      </c>
    </row>
    <row r="47039" spans="1:1" x14ac:dyDescent="0.3">
      <c r="A47039" t="s">
        <v>0</v>
      </c>
    </row>
    <row r="47040" spans="1:1" x14ac:dyDescent="0.3">
      <c r="A47040" t="s">
        <v>0</v>
      </c>
    </row>
    <row r="47041" spans="1:1" x14ac:dyDescent="0.3">
      <c r="A47041" t="s">
        <v>0</v>
      </c>
    </row>
    <row r="47042" spans="1:1" x14ac:dyDescent="0.3">
      <c r="A47042" t="s">
        <v>0</v>
      </c>
    </row>
    <row r="47043" spans="1:1" x14ac:dyDescent="0.3">
      <c r="A47043" t="s">
        <v>0</v>
      </c>
    </row>
    <row r="47044" spans="1:1" x14ac:dyDescent="0.3">
      <c r="A47044" t="s">
        <v>0</v>
      </c>
    </row>
    <row r="47045" spans="1:1" x14ac:dyDescent="0.3">
      <c r="A47045" t="s">
        <v>0</v>
      </c>
    </row>
    <row r="47046" spans="1:1" x14ac:dyDescent="0.3">
      <c r="A47046" t="s">
        <v>0</v>
      </c>
    </row>
    <row r="47047" spans="1:1" x14ac:dyDescent="0.3">
      <c r="A47047" t="s">
        <v>0</v>
      </c>
    </row>
    <row r="47048" spans="1:1" x14ac:dyDescent="0.3">
      <c r="A47048" t="s">
        <v>0</v>
      </c>
    </row>
    <row r="47049" spans="1:1" x14ac:dyDescent="0.3">
      <c r="A47049" t="s">
        <v>0</v>
      </c>
    </row>
    <row r="47050" spans="1:1" x14ac:dyDescent="0.3">
      <c r="A47050" t="s">
        <v>0</v>
      </c>
    </row>
    <row r="47051" spans="1:1" x14ac:dyDescent="0.3">
      <c r="A47051" t="s">
        <v>0</v>
      </c>
    </row>
    <row r="47052" spans="1:1" x14ac:dyDescent="0.3">
      <c r="A47052" t="s">
        <v>0</v>
      </c>
    </row>
    <row r="47053" spans="1:1" x14ac:dyDescent="0.3">
      <c r="A47053" t="s">
        <v>0</v>
      </c>
    </row>
    <row r="47054" spans="1:1" x14ac:dyDescent="0.3">
      <c r="A47054" t="s">
        <v>0</v>
      </c>
    </row>
    <row r="47055" spans="1:1" x14ac:dyDescent="0.3">
      <c r="A47055" t="s">
        <v>0</v>
      </c>
    </row>
    <row r="47056" spans="1:1" x14ac:dyDescent="0.3">
      <c r="A47056" t="s">
        <v>0</v>
      </c>
    </row>
    <row r="47057" spans="1:1" x14ac:dyDescent="0.3">
      <c r="A47057" t="s">
        <v>0</v>
      </c>
    </row>
    <row r="47058" spans="1:1" x14ac:dyDescent="0.3">
      <c r="A47058" t="s">
        <v>0</v>
      </c>
    </row>
    <row r="47059" spans="1:1" x14ac:dyDescent="0.3">
      <c r="A47059" t="s">
        <v>0</v>
      </c>
    </row>
    <row r="47060" spans="1:1" x14ac:dyDescent="0.3">
      <c r="A47060" t="s">
        <v>0</v>
      </c>
    </row>
    <row r="47061" spans="1:1" x14ac:dyDescent="0.3">
      <c r="A47061" t="s">
        <v>0</v>
      </c>
    </row>
    <row r="47062" spans="1:1" x14ac:dyDescent="0.3">
      <c r="A47062" t="s">
        <v>0</v>
      </c>
    </row>
    <row r="47063" spans="1:1" x14ac:dyDescent="0.3">
      <c r="A47063" t="s">
        <v>0</v>
      </c>
    </row>
    <row r="47064" spans="1:1" x14ac:dyDescent="0.3">
      <c r="A47064" t="s">
        <v>0</v>
      </c>
    </row>
    <row r="47065" spans="1:1" x14ac:dyDescent="0.3">
      <c r="A47065" t="s">
        <v>0</v>
      </c>
    </row>
    <row r="47066" spans="1:1" x14ac:dyDescent="0.3">
      <c r="A47066" t="s">
        <v>0</v>
      </c>
    </row>
    <row r="47067" spans="1:1" x14ac:dyDescent="0.3">
      <c r="A47067" t="s">
        <v>0</v>
      </c>
    </row>
    <row r="47068" spans="1:1" x14ac:dyDescent="0.3">
      <c r="A47068" t="s">
        <v>0</v>
      </c>
    </row>
    <row r="47069" spans="1:1" x14ac:dyDescent="0.3">
      <c r="A47069" t="s">
        <v>0</v>
      </c>
    </row>
    <row r="47070" spans="1:1" x14ac:dyDescent="0.3">
      <c r="A47070" t="s">
        <v>0</v>
      </c>
    </row>
    <row r="47071" spans="1:1" x14ac:dyDescent="0.3">
      <c r="A47071" t="s">
        <v>0</v>
      </c>
    </row>
    <row r="47072" spans="1:1" x14ac:dyDescent="0.3">
      <c r="A47072" t="s">
        <v>0</v>
      </c>
    </row>
    <row r="47073" spans="1:1" x14ac:dyDescent="0.3">
      <c r="A47073" t="s">
        <v>0</v>
      </c>
    </row>
    <row r="47074" spans="1:1" x14ac:dyDescent="0.3">
      <c r="A47074" t="s">
        <v>0</v>
      </c>
    </row>
    <row r="47075" spans="1:1" x14ac:dyDescent="0.3">
      <c r="A47075" t="s">
        <v>0</v>
      </c>
    </row>
    <row r="47076" spans="1:1" x14ac:dyDescent="0.3">
      <c r="A47076" t="s">
        <v>0</v>
      </c>
    </row>
    <row r="47077" spans="1:1" x14ac:dyDescent="0.3">
      <c r="A47077" t="s">
        <v>0</v>
      </c>
    </row>
    <row r="47078" spans="1:1" x14ac:dyDescent="0.3">
      <c r="A47078" t="s">
        <v>0</v>
      </c>
    </row>
    <row r="47079" spans="1:1" x14ac:dyDescent="0.3">
      <c r="A47079" t="s">
        <v>0</v>
      </c>
    </row>
    <row r="47080" spans="1:1" x14ac:dyDescent="0.3">
      <c r="A47080" t="s">
        <v>0</v>
      </c>
    </row>
    <row r="47081" spans="1:1" x14ac:dyDescent="0.3">
      <c r="A47081" t="s">
        <v>0</v>
      </c>
    </row>
    <row r="47082" spans="1:1" x14ac:dyDescent="0.3">
      <c r="A47082" t="s">
        <v>0</v>
      </c>
    </row>
    <row r="47083" spans="1:1" x14ac:dyDescent="0.3">
      <c r="A47083" t="s">
        <v>0</v>
      </c>
    </row>
    <row r="47084" spans="1:1" x14ac:dyDescent="0.3">
      <c r="A47084" t="s">
        <v>0</v>
      </c>
    </row>
    <row r="47085" spans="1:1" x14ac:dyDescent="0.3">
      <c r="A47085" t="s">
        <v>0</v>
      </c>
    </row>
    <row r="47086" spans="1:1" x14ac:dyDescent="0.3">
      <c r="A47086" t="s">
        <v>0</v>
      </c>
    </row>
    <row r="47087" spans="1:1" x14ac:dyDescent="0.3">
      <c r="A47087" t="s">
        <v>0</v>
      </c>
    </row>
    <row r="47088" spans="1:1" x14ac:dyDescent="0.3">
      <c r="A47088" t="s">
        <v>0</v>
      </c>
    </row>
    <row r="47089" spans="1:1" x14ac:dyDescent="0.3">
      <c r="A47089" t="s">
        <v>0</v>
      </c>
    </row>
    <row r="47090" spans="1:1" x14ac:dyDescent="0.3">
      <c r="A47090" t="s">
        <v>0</v>
      </c>
    </row>
    <row r="47091" spans="1:1" x14ac:dyDescent="0.3">
      <c r="A47091" t="s">
        <v>0</v>
      </c>
    </row>
    <row r="47092" spans="1:1" x14ac:dyDescent="0.3">
      <c r="A47092" t="s">
        <v>0</v>
      </c>
    </row>
    <row r="47093" spans="1:1" x14ac:dyDescent="0.3">
      <c r="A47093" t="s">
        <v>0</v>
      </c>
    </row>
    <row r="47094" spans="1:1" x14ac:dyDescent="0.3">
      <c r="A47094" t="s">
        <v>0</v>
      </c>
    </row>
    <row r="47095" spans="1:1" x14ac:dyDescent="0.3">
      <c r="A47095" t="s">
        <v>0</v>
      </c>
    </row>
    <row r="47096" spans="1:1" x14ac:dyDescent="0.3">
      <c r="A47096" t="s">
        <v>0</v>
      </c>
    </row>
    <row r="47097" spans="1:1" x14ac:dyDescent="0.3">
      <c r="A47097" t="s">
        <v>0</v>
      </c>
    </row>
    <row r="47098" spans="1:1" x14ac:dyDescent="0.3">
      <c r="A47098" t="s">
        <v>0</v>
      </c>
    </row>
    <row r="47099" spans="1:1" x14ac:dyDescent="0.3">
      <c r="A47099" t="s">
        <v>0</v>
      </c>
    </row>
    <row r="47100" spans="1:1" x14ac:dyDescent="0.3">
      <c r="A47100" t="s">
        <v>0</v>
      </c>
    </row>
    <row r="47101" spans="1:1" x14ac:dyDescent="0.3">
      <c r="A47101" t="s">
        <v>0</v>
      </c>
    </row>
    <row r="47102" spans="1:1" x14ac:dyDescent="0.3">
      <c r="A47102" t="s">
        <v>0</v>
      </c>
    </row>
    <row r="47103" spans="1:1" x14ac:dyDescent="0.3">
      <c r="A47103" t="s">
        <v>0</v>
      </c>
    </row>
    <row r="47104" spans="1:1" x14ac:dyDescent="0.3">
      <c r="A47104" t="s">
        <v>0</v>
      </c>
    </row>
    <row r="47105" spans="1:1" x14ac:dyDescent="0.3">
      <c r="A47105" t="s">
        <v>0</v>
      </c>
    </row>
    <row r="47106" spans="1:1" x14ac:dyDescent="0.3">
      <c r="A47106" t="s">
        <v>0</v>
      </c>
    </row>
    <row r="47107" spans="1:1" x14ac:dyDescent="0.3">
      <c r="A47107" t="s">
        <v>0</v>
      </c>
    </row>
    <row r="47108" spans="1:1" x14ac:dyDescent="0.3">
      <c r="A47108" t="s">
        <v>0</v>
      </c>
    </row>
    <row r="47109" spans="1:1" x14ac:dyDescent="0.3">
      <c r="A47109" t="s">
        <v>0</v>
      </c>
    </row>
    <row r="47110" spans="1:1" x14ac:dyDescent="0.3">
      <c r="A47110" t="s">
        <v>0</v>
      </c>
    </row>
    <row r="47111" spans="1:1" x14ac:dyDescent="0.3">
      <c r="A47111" t="s">
        <v>0</v>
      </c>
    </row>
    <row r="47112" spans="1:1" x14ac:dyDescent="0.3">
      <c r="A47112" t="s">
        <v>0</v>
      </c>
    </row>
    <row r="47113" spans="1:1" x14ac:dyDescent="0.3">
      <c r="A47113" t="s">
        <v>0</v>
      </c>
    </row>
    <row r="47114" spans="1:1" x14ac:dyDescent="0.3">
      <c r="A47114" t="s">
        <v>0</v>
      </c>
    </row>
    <row r="47115" spans="1:1" x14ac:dyDescent="0.3">
      <c r="A47115" t="s">
        <v>0</v>
      </c>
    </row>
    <row r="47116" spans="1:1" x14ac:dyDescent="0.3">
      <c r="A47116" t="s">
        <v>0</v>
      </c>
    </row>
    <row r="47117" spans="1:1" x14ac:dyDescent="0.3">
      <c r="A47117" t="s">
        <v>0</v>
      </c>
    </row>
    <row r="47118" spans="1:1" x14ac:dyDescent="0.3">
      <c r="A47118" t="s">
        <v>0</v>
      </c>
    </row>
    <row r="47119" spans="1:1" x14ac:dyDescent="0.3">
      <c r="A47119" t="s">
        <v>0</v>
      </c>
    </row>
    <row r="47120" spans="1:1" x14ac:dyDescent="0.3">
      <c r="A47120" t="s">
        <v>0</v>
      </c>
    </row>
    <row r="47121" spans="1:1" x14ac:dyDescent="0.3">
      <c r="A47121" t="s">
        <v>0</v>
      </c>
    </row>
    <row r="47122" spans="1:1" x14ac:dyDescent="0.3">
      <c r="A47122" t="s">
        <v>0</v>
      </c>
    </row>
    <row r="47123" spans="1:1" x14ac:dyDescent="0.3">
      <c r="A47123" t="s">
        <v>0</v>
      </c>
    </row>
    <row r="47124" spans="1:1" x14ac:dyDescent="0.3">
      <c r="A47124" t="s">
        <v>0</v>
      </c>
    </row>
    <row r="47125" spans="1:1" x14ac:dyDescent="0.3">
      <c r="A47125" t="s">
        <v>0</v>
      </c>
    </row>
    <row r="47126" spans="1:1" x14ac:dyDescent="0.3">
      <c r="A47126" t="s">
        <v>0</v>
      </c>
    </row>
    <row r="47127" spans="1:1" x14ac:dyDescent="0.3">
      <c r="A47127" t="s">
        <v>0</v>
      </c>
    </row>
    <row r="47128" spans="1:1" x14ac:dyDescent="0.3">
      <c r="A47128" t="s">
        <v>0</v>
      </c>
    </row>
    <row r="47129" spans="1:1" x14ac:dyDescent="0.3">
      <c r="A47129" t="s">
        <v>0</v>
      </c>
    </row>
    <row r="47130" spans="1:1" x14ac:dyDescent="0.3">
      <c r="A47130" t="s">
        <v>0</v>
      </c>
    </row>
    <row r="47131" spans="1:1" x14ac:dyDescent="0.3">
      <c r="A47131" t="s">
        <v>0</v>
      </c>
    </row>
    <row r="47132" spans="1:1" x14ac:dyDescent="0.3">
      <c r="A47132" t="s">
        <v>0</v>
      </c>
    </row>
    <row r="47133" spans="1:1" x14ac:dyDescent="0.3">
      <c r="A47133" t="s">
        <v>0</v>
      </c>
    </row>
    <row r="47134" spans="1:1" x14ac:dyDescent="0.3">
      <c r="A47134" t="s">
        <v>0</v>
      </c>
    </row>
    <row r="47135" spans="1:1" x14ac:dyDescent="0.3">
      <c r="A47135" t="s">
        <v>0</v>
      </c>
    </row>
    <row r="47136" spans="1:1" x14ac:dyDescent="0.3">
      <c r="A47136" t="s">
        <v>0</v>
      </c>
    </row>
    <row r="47137" spans="1:1" x14ac:dyDescent="0.3">
      <c r="A47137" t="s">
        <v>0</v>
      </c>
    </row>
    <row r="47138" spans="1:1" x14ac:dyDescent="0.3">
      <c r="A47138" t="s">
        <v>0</v>
      </c>
    </row>
    <row r="47139" spans="1:1" x14ac:dyDescent="0.3">
      <c r="A47139" t="s">
        <v>0</v>
      </c>
    </row>
    <row r="47140" spans="1:1" x14ac:dyDescent="0.3">
      <c r="A47140" t="s">
        <v>0</v>
      </c>
    </row>
    <row r="47141" spans="1:1" x14ac:dyDescent="0.3">
      <c r="A47141" t="s">
        <v>0</v>
      </c>
    </row>
    <row r="47142" spans="1:1" x14ac:dyDescent="0.3">
      <c r="A47142" t="s">
        <v>0</v>
      </c>
    </row>
    <row r="47143" spans="1:1" x14ac:dyDescent="0.3">
      <c r="A47143" t="s">
        <v>0</v>
      </c>
    </row>
    <row r="47144" spans="1:1" x14ac:dyDescent="0.3">
      <c r="A47144" t="s">
        <v>0</v>
      </c>
    </row>
    <row r="47145" spans="1:1" x14ac:dyDescent="0.3">
      <c r="A47145" t="s">
        <v>0</v>
      </c>
    </row>
    <row r="47146" spans="1:1" x14ac:dyDescent="0.3">
      <c r="A47146" t="s">
        <v>0</v>
      </c>
    </row>
    <row r="47147" spans="1:1" x14ac:dyDescent="0.3">
      <c r="A47147" t="s">
        <v>0</v>
      </c>
    </row>
    <row r="47148" spans="1:1" x14ac:dyDescent="0.3">
      <c r="A47148" t="s">
        <v>0</v>
      </c>
    </row>
    <row r="47149" spans="1:1" x14ac:dyDescent="0.3">
      <c r="A47149" t="s">
        <v>0</v>
      </c>
    </row>
    <row r="47150" spans="1:1" x14ac:dyDescent="0.3">
      <c r="A47150" t="s">
        <v>0</v>
      </c>
    </row>
    <row r="47151" spans="1:1" x14ac:dyDescent="0.3">
      <c r="A47151" t="s">
        <v>0</v>
      </c>
    </row>
    <row r="47152" spans="1:1" x14ac:dyDescent="0.3">
      <c r="A47152" t="s">
        <v>0</v>
      </c>
    </row>
    <row r="47153" spans="1:1" x14ac:dyDescent="0.3">
      <c r="A47153" t="s">
        <v>0</v>
      </c>
    </row>
    <row r="47154" spans="1:1" x14ac:dyDescent="0.3">
      <c r="A47154" t="s">
        <v>0</v>
      </c>
    </row>
    <row r="47155" spans="1:1" x14ac:dyDescent="0.3">
      <c r="A47155" t="s">
        <v>0</v>
      </c>
    </row>
    <row r="47156" spans="1:1" x14ac:dyDescent="0.3">
      <c r="A47156" t="s">
        <v>0</v>
      </c>
    </row>
    <row r="47157" spans="1:1" x14ac:dyDescent="0.3">
      <c r="A47157" t="s">
        <v>0</v>
      </c>
    </row>
    <row r="47158" spans="1:1" x14ac:dyDescent="0.3">
      <c r="A47158" t="s">
        <v>0</v>
      </c>
    </row>
    <row r="47159" spans="1:1" x14ac:dyDescent="0.3">
      <c r="A47159" t="s">
        <v>0</v>
      </c>
    </row>
    <row r="47160" spans="1:1" x14ac:dyDescent="0.3">
      <c r="A47160" t="s">
        <v>0</v>
      </c>
    </row>
    <row r="47161" spans="1:1" x14ac:dyDescent="0.3">
      <c r="A47161" t="s">
        <v>0</v>
      </c>
    </row>
    <row r="47162" spans="1:1" x14ac:dyDescent="0.3">
      <c r="A47162" t="s">
        <v>0</v>
      </c>
    </row>
    <row r="47163" spans="1:1" x14ac:dyDescent="0.3">
      <c r="A47163" t="s">
        <v>0</v>
      </c>
    </row>
    <row r="47164" spans="1:1" x14ac:dyDescent="0.3">
      <c r="A47164" t="s">
        <v>0</v>
      </c>
    </row>
    <row r="47165" spans="1:1" x14ac:dyDescent="0.3">
      <c r="A47165" t="s">
        <v>0</v>
      </c>
    </row>
    <row r="47166" spans="1:1" x14ac:dyDescent="0.3">
      <c r="A47166" t="s">
        <v>0</v>
      </c>
    </row>
    <row r="47167" spans="1:1" x14ac:dyDescent="0.3">
      <c r="A47167" t="s">
        <v>0</v>
      </c>
    </row>
    <row r="47168" spans="1:1" x14ac:dyDescent="0.3">
      <c r="A47168" t="s">
        <v>0</v>
      </c>
    </row>
    <row r="47169" spans="1:1" x14ac:dyDescent="0.3">
      <c r="A47169" t="s">
        <v>0</v>
      </c>
    </row>
    <row r="47170" spans="1:1" x14ac:dyDescent="0.3">
      <c r="A47170" t="s">
        <v>0</v>
      </c>
    </row>
    <row r="47171" spans="1:1" x14ac:dyDescent="0.3">
      <c r="A47171" t="s">
        <v>0</v>
      </c>
    </row>
    <row r="47172" spans="1:1" x14ac:dyDescent="0.3">
      <c r="A47172" t="s">
        <v>0</v>
      </c>
    </row>
    <row r="47173" spans="1:1" x14ac:dyDescent="0.3">
      <c r="A47173" t="s">
        <v>0</v>
      </c>
    </row>
    <row r="47174" spans="1:1" x14ac:dyDescent="0.3">
      <c r="A47174" t="s">
        <v>0</v>
      </c>
    </row>
    <row r="47175" spans="1:1" x14ac:dyDescent="0.3">
      <c r="A47175" t="s">
        <v>0</v>
      </c>
    </row>
    <row r="47176" spans="1:1" x14ac:dyDescent="0.3">
      <c r="A47176" t="s">
        <v>0</v>
      </c>
    </row>
    <row r="47177" spans="1:1" x14ac:dyDescent="0.3">
      <c r="A47177" t="s">
        <v>0</v>
      </c>
    </row>
    <row r="47178" spans="1:1" x14ac:dyDescent="0.3">
      <c r="A47178" t="s">
        <v>0</v>
      </c>
    </row>
    <row r="47179" spans="1:1" x14ac:dyDescent="0.3">
      <c r="A47179" t="s">
        <v>0</v>
      </c>
    </row>
    <row r="47180" spans="1:1" x14ac:dyDescent="0.3">
      <c r="A47180" t="s">
        <v>0</v>
      </c>
    </row>
    <row r="47181" spans="1:1" x14ac:dyDescent="0.3">
      <c r="A47181" t="s">
        <v>0</v>
      </c>
    </row>
    <row r="47182" spans="1:1" x14ac:dyDescent="0.3">
      <c r="A47182" t="s">
        <v>0</v>
      </c>
    </row>
    <row r="47183" spans="1:1" x14ac:dyDescent="0.3">
      <c r="A47183" t="s">
        <v>0</v>
      </c>
    </row>
    <row r="47184" spans="1:1" x14ac:dyDescent="0.3">
      <c r="A47184" t="s">
        <v>0</v>
      </c>
    </row>
    <row r="47185" spans="1:1" x14ac:dyDescent="0.3">
      <c r="A47185" t="s">
        <v>0</v>
      </c>
    </row>
    <row r="47186" spans="1:1" x14ac:dyDescent="0.3">
      <c r="A47186" t="s">
        <v>0</v>
      </c>
    </row>
    <row r="47187" spans="1:1" x14ac:dyDescent="0.3">
      <c r="A47187" t="s">
        <v>0</v>
      </c>
    </row>
    <row r="47188" spans="1:1" x14ac:dyDescent="0.3">
      <c r="A47188" t="s">
        <v>0</v>
      </c>
    </row>
    <row r="47189" spans="1:1" x14ac:dyDescent="0.3">
      <c r="A47189" t="s">
        <v>0</v>
      </c>
    </row>
    <row r="47190" spans="1:1" x14ac:dyDescent="0.3">
      <c r="A47190" t="s">
        <v>0</v>
      </c>
    </row>
    <row r="47191" spans="1:1" x14ac:dyDescent="0.3">
      <c r="A47191" t="s">
        <v>0</v>
      </c>
    </row>
    <row r="47192" spans="1:1" x14ac:dyDescent="0.3">
      <c r="A47192" t="s">
        <v>0</v>
      </c>
    </row>
    <row r="47193" spans="1:1" x14ac:dyDescent="0.3">
      <c r="A47193" t="s">
        <v>0</v>
      </c>
    </row>
    <row r="47194" spans="1:1" x14ac:dyDescent="0.3">
      <c r="A47194" t="s">
        <v>0</v>
      </c>
    </row>
    <row r="47195" spans="1:1" x14ac:dyDescent="0.3">
      <c r="A47195" t="s">
        <v>0</v>
      </c>
    </row>
    <row r="47196" spans="1:1" x14ac:dyDescent="0.3">
      <c r="A47196" t="s">
        <v>0</v>
      </c>
    </row>
    <row r="47197" spans="1:1" x14ac:dyDescent="0.3">
      <c r="A47197" t="s">
        <v>0</v>
      </c>
    </row>
    <row r="47198" spans="1:1" x14ac:dyDescent="0.3">
      <c r="A47198" t="s">
        <v>0</v>
      </c>
    </row>
    <row r="47199" spans="1:1" x14ac:dyDescent="0.3">
      <c r="A47199" t="s">
        <v>0</v>
      </c>
    </row>
    <row r="47200" spans="1:1" x14ac:dyDescent="0.3">
      <c r="A47200" t="s">
        <v>0</v>
      </c>
    </row>
    <row r="47201" spans="1:1" x14ac:dyDescent="0.3">
      <c r="A47201" t="s">
        <v>0</v>
      </c>
    </row>
    <row r="47202" spans="1:1" x14ac:dyDescent="0.3">
      <c r="A47202" t="s">
        <v>0</v>
      </c>
    </row>
    <row r="47203" spans="1:1" x14ac:dyDescent="0.3">
      <c r="A47203" t="s">
        <v>0</v>
      </c>
    </row>
    <row r="47204" spans="1:1" x14ac:dyDescent="0.3">
      <c r="A47204" t="s">
        <v>0</v>
      </c>
    </row>
    <row r="47205" spans="1:1" x14ac:dyDescent="0.3">
      <c r="A47205" t="s">
        <v>0</v>
      </c>
    </row>
    <row r="47206" spans="1:1" x14ac:dyDescent="0.3">
      <c r="A47206" t="s">
        <v>0</v>
      </c>
    </row>
    <row r="47207" spans="1:1" x14ac:dyDescent="0.3">
      <c r="A47207" t="s">
        <v>0</v>
      </c>
    </row>
    <row r="47208" spans="1:1" x14ac:dyDescent="0.3">
      <c r="A47208" t="s">
        <v>0</v>
      </c>
    </row>
    <row r="47209" spans="1:1" x14ac:dyDescent="0.3">
      <c r="A47209" t="s">
        <v>0</v>
      </c>
    </row>
    <row r="47210" spans="1:1" x14ac:dyDescent="0.3">
      <c r="A47210" t="s">
        <v>0</v>
      </c>
    </row>
    <row r="47211" spans="1:1" x14ac:dyDescent="0.3">
      <c r="A47211" t="s">
        <v>0</v>
      </c>
    </row>
    <row r="47212" spans="1:1" x14ac:dyDescent="0.3">
      <c r="A47212" t="s">
        <v>0</v>
      </c>
    </row>
    <row r="47213" spans="1:1" x14ac:dyDescent="0.3">
      <c r="A47213" t="s">
        <v>0</v>
      </c>
    </row>
    <row r="47214" spans="1:1" x14ac:dyDescent="0.3">
      <c r="A47214" t="s">
        <v>0</v>
      </c>
    </row>
    <row r="47215" spans="1:1" x14ac:dyDescent="0.3">
      <c r="A47215" t="s">
        <v>0</v>
      </c>
    </row>
    <row r="47216" spans="1:1" x14ac:dyDescent="0.3">
      <c r="A47216" t="s">
        <v>0</v>
      </c>
    </row>
    <row r="47217" spans="1:1" x14ac:dyDescent="0.3">
      <c r="A47217" t="s">
        <v>0</v>
      </c>
    </row>
    <row r="47218" spans="1:1" x14ac:dyDescent="0.3">
      <c r="A47218" t="s">
        <v>0</v>
      </c>
    </row>
    <row r="47219" spans="1:1" x14ac:dyDescent="0.3">
      <c r="A47219" t="s">
        <v>0</v>
      </c>
    </row>
    <row r="47220" spans="1:1" x14ac:dyDescent="0.3">
      <c r="A47220" t="s">
        <v>0</v>
      </c>
    </row>
    <row r="47221" spans="1:1" x14ac:dyDescent="0.3">
      <c r="A47221" t="s">
        <v>0</v>
      </c>
    </row>
    <row r="47222" spans="1:1" x14ac:dyDescent="0.3">
      <c r="A47222" t="s">
        <v>0</v>
      </c>
    </row>
    <row r="47223" spans="1:1" x14ac:dyDescent="0.3">
      <c r="A47223" t="s">
        <v>0</v>
      </c>
    </row>
    <row r="47224" spans="1:1" x14ac:dyDescent="0.3">
      <c r="A47224" t="s">
        <v>0</v>
      </c>
    </row>
    <row r="47225" spans="1:1" x14ac:dyDescent="0.3">
      <c r="A47225" t="s">
        <v>0</v>
      </c>
    </row>
    <row r="47226" spans="1:1" x14ac:dyDescent="0.3">
      <c r="A47226" t="s">
        <v>0</v>
      </c>
    </row>
    <row r="47227" spans="1:1" x14ac:dyDescent="0.3">
      <c r="A47227" t="s">
        <v>0</v>
      </c>
    </row>
    <row r="47228" spans="1:1" x14ac:dyDescent="0.3">
      <c r="A47228" t="s">
        <v>0</v>
      </c>
    </row>
    <row r="47229" spans="1:1" x14ac:dyDescent="0.3">
      <c r="A47229" t="s">
        <v>0</v>
      </c>
    </row>
    <row r="47230" spans="1:1" x14ac:dyDescent="0.3">
      <c r="A47230" t="s">
        <v>0</v>
      </c>
    </row>
    <row r="47231" spans="1:1" x14ac:dyDescent="0.3">
      <c r="A47231" t="s">
        <v>0</v>
      </c>
    </row>
    <row r="47232" spans="1:1" x14ac:dyDescent="0.3">
      <c r="A47232" t="s">
        <v>0</v>
      </c>
    </row>
    <row r="47233" spans="1:1" x14ac:dyDescent="0.3">
      <c r="A47233" t="s">
        <v>0</v>
      </c>
    </row>
    <row r="47234" spans="1:1" x14ac:dyDescent="0.3">
      <c r="A47234" t="s">
        <v>0</v>
      </c>
    </row>
    <row r="47235" spans="1:1" x14ac:dyDescent="0.3">
      <c r="A47235" t="s">
        <v>0</v>
      </c>
    </row>
    <row r="47236" spans="1:1" x14ac:dyDescent="0.3">
      <c r="A47236" t="s">
        <v>0</v>
      </c>
    </row>
    <row r="47237" spans="1:1" x14ac:dyDescent="0.3">
      <c r="A47237" t="s">
        <v>0</v>
      </c>
    </row>
    <row r="47238" spans="1:1" x14ac:dyDescent="0.3">
      <c r="A47238" t="s">
        <v>0</v>
      </c>
    </row>
    <row r="47239" spans="1:1" x14ac:dyDescent="0.3">
      <c r="A47239" t="s">
        <v>0</v>
      </c>
    </row>
    <row r="47240" spans="1:1" x14ac:dyDescent="0.3">
      <c r="A47240" t="s">
        <v>0</v>
      </c>
    </row>
    <row r="47241" spans="1:1" x14ac:dyDescent="0.3">
      <c r="A47241" t="s">
        <v>0</v>
      </c>
    </row>
    <row r="47242" spans="1:1" x14ac:dyDescent="0.3">
      <c r="A47242" t="s">
        <v>0</v>
      </c>
    </row>
    <row r="47243" spans="1:1" x14ac:dyDescent="0.3">
      <c r="A47243" t="s">
        <v>0</v>
      </c>
    </row>
    <row r="47244" spans="1:1" x14ac:dyDescent="0.3">
      <c r="A47244" t="s">
        <v>0</v>
      </c>
    </row>
    <row r="47245" spans="1:1" x14ac:dyDescent="0.3">
      <c r="A47245" t="s">
        <v>0</v>
      </c>
    </row>
    <row r="47246" spans="1:1" x14ac:dyDescent="0.3">
      <c r="A47246" t="s">
        <v>0</v>
      </c>
    </row>
    <row r="47247" spans="1:1" x14ac:dyDescent="0.3">
      <c r="A47247" t="s">
        <v>0</v>
      </c>
    </row>
    <row r="47248" spans="1:1" x14ac:dyDescent="0.3">
      <c r="A47248" t="s">
        <v>0</v>
      </c>
    </row>
    <row r="47249" spans="1:1" x14ac:dyDescent="0.3">
      <c r="A47249" t="s">
        <v>0</v>
      </c>
    </row>
    <row r="47250" spans="1:1" x14ac:dyDescent="0.3">
      <c r="A47250" t="s">
        <v>0</v>
      </c>
    </row>
    <row r="47251" spans="1:1" x14ac:dyDescent="0.3">
      <c r="A47251" t="s">
        <v>0</v>
      </c>
    </row>
    <row r="47252" spans="1:1" x14ac:dyDescent="0.3">
      <c r="A47252" t="s">
        <v>0</v>
      </c>
    </row>
    <row r="47253" spans="1:1" x14ac:dyDescent="0.3">
      <c r="A47253" t="s">
        <v>0</v>
      </c>
    </row>
    <row r="47254" spans="1:1" x14ac:dyDescent="0.3">
      <c r="A47254" t="s">
        <v>0</v>
      </c>
    </row>
    <row r="47255" spans="1:1" x14ac:dyDescent="0.3">
      <c r="A47255" t="s">
        <v>0</v>
      </c>
    </row>
    <row r="47256" spans="1:1" x14ac:dyDescent="0.3">
      <c r="A47256" t="s">
        <v>0</v>
      </c>
    </row>
    <row r="47257" spans="1:1" x14ac:dyDescent="0.3">
      <c r="A47257" t="s">
        <v>0</v>
      </c>
    </row>
    <row r="47258" spans="1:1" x14ac:dyDescent="0.3">
      <c r="A47258" t="s">
        <v>0</v>
      </c>
    </row>
    <row r="47259" spans="1:1" x14ac:dyDescent="0.3">
      <c r="A47259" t="s">
        <v>0</v>
      </c>
    </row>
    <row r="47260" spans="1:1" x14ac:dyDescent="0.3">
      <c r="A47260" t="s">
        <v>0</v>
      </c>
    </row>
    <row r="47261" spans="1:1" x14ac:dyDescent="0.3">
      <c r="A47261" t="s">
        <v>0</v>
      </c>
    </row>
    <row r="47262" spans="1:1" x14ac:dyDescent="0.3">
      <c r="A47262" t="s">
        <v>0</v>
      </c>
    </row>
    <row r="47263" spans="1:1" x14ac:dyDescent="0.3">
      <c r="A47263" t="s">
        <v>0</v>
      </c>
    </row>
    <row r="47264" spans="1:1" x14ac:dyDescent="0.3">
      <c r="A47264" t="s">
        <v>0</v>
      </c>
    </row>
    <row r="47265" spans="1:1" x14ac:dyDescent="0.3">
      <c r="A47265" t="s">
        <v>0</v>
      </c>
    </row>
    <row r="47266" spans="1:1" x14ac:dyDescent="0.3">
      <c r="A47266" t="s">
        <v>0</v>
      </c>
    </row>
    <row r="47267" spans="1:1" x14ac:dyDescent="0.3">
      <c r="A47267" t="s">
        <v>0</v>
      </c>
    </row>
    <row r="47268" spans="1:1" x14ac:dyDescent="0.3">
      <c r="A47268" t="s">
        <v>0</v>
      </c>
    </row>
    <row r="47269" spans="1:1" x14ac:dyDescent="0.3">
      <c r="A47269" t="s">
        <v>0</v>
      </c>
    </row>
    <row r="47270" spans="1:1" x14ac:dyDescent="0.3">
      <c r="A47270" t="s">
        <v>0</v>
      </c>
    </row>
    <row r="47271" spans="1:1" x14ac:dyDescent="0.3">
      <c r="A47271" t="s">
        <v>0</v>
      </c>
    </row>
    <row r="47272" spans="1:1" x14ac:dyDescent="0.3">
      <c r="A47272" t="s">
        <v>0</v>
      </c>
    </row>
    <row r="47273" spans="1:1" x14ac:dyDescent="0.3">
      <c r="A47273" t="s">
        <v>0</v>
      </c>
    </row>
    <row r="47274" spans="1:1" x14ac:dyDescent="0.3">
      <c r="A47274" t="s">
        <v>0</v>
      </c>
    </row>
    <row r="47275" spans="1:1" x14ac:dyDescent="0.3">
      <c r="A47275" t="s">
        <v>0</v>
      </c>
    </row>
    <row r="47276" spans="1:1" x14ac:dyDescent="0.3">
      <c r="A47276" t="s">
        <v>0</v>
      </c>
    </row>
    <row r="47277" spans="1:1" x14ac:dyDescent="0.3">
      <c r="A47277" t="s">
        <v>0</v>
      </c>
    </row>
    <row r="47278" spans="1:1" x14ac:dyDescent="0.3">
      <c r="A47278" t="s">
        <v>0</v>
      </c>
    </row>
    <row r="47279" spans="1:1" x14ac:dyDescent="0.3">
      <c r="A47279" t="s">
        <v>0</v>
      </c>
    </row>
    <row r="47280" spans="1:1" x14ac:dyDescent="0.3">
      <c r="A47280" t="s">
        <v>0</v>
      </c>
    </row>
    <row r="47281" spans="1:1" x14ac:dyDescent="0.3">
      <c r="A47281" t="s">
        <v>0</v>
      </c>
    </row>
    <row r="47282" spans="1:1" x14ac:dyDescent="0.3">
      <c r="A47282" t="s">
        <v>0</v>
      </c>
    </row>
    <row r="47283" spans="1:1" x14ac:dyDescent="0.3">
      <c r="A47283" t="s">
        <v>0</v>
      </c>
    </row>
    <row r="47284" spans="1:1" x14ac:dyDescent="0.3">
      <c r="A47284" t="s">
        <v>0</v>
      </c>
    </row>
    <row r="47285" spans="1:1" x14ac:dyDescent="0.3">
      <c r="A47285" t="s">
        <v>0</v>
      </c>
    </row>
    <row r="47286" spans="1:1" x14ac:dyDescent="0.3">
      <c r="A47286" t="s">
        <v>0</v>
      </c>
    </row>
    <row r="47287" spans="1:1" x14ac:dyDescent="0.3">
      <c r="A47287" t="s">
        <v>0</v>
      </c>
    </row>
    <row r="47288" spans="1:1" x14ac:dyDescent="0.3">
      <c r="A47288" t="s">
        <v>0</v>
      </c>
    </row>
    <row r="47289" spans="1:1" x14ac:dyDescent="0.3">
      <c r="A47289" t="s">
        <v>0</v>
      </c>
    </row>
    <row r="47290" spans="1:1" x14ac:dyDescent="0.3">
      <c r="A47290" t="s">
        <v>0</v>
      </c>
    </row>
    <row r="47291" spans="1:1" x14ac:dyDescent="0.3">
      <c r="A47291" t="s">
        <v>0</v>
      </c>
    </row>
    <row r="47292" spans="1:1" x14ac:dyDescent="0.3">
      <c r="A47292" t="s">
        <v>0</v>
      </c>
    </row>
    <row r="47293" spans="1:1" x14ac:dyDescent="0.3">
      <c r="A47293" t="s">
        <v>0</v>
      </c>
    </row>
    <row r="47294" spans="1:1" x14ac:dyDescent="0.3">
      <c r="A47294" t="s">
        <v>0</v>
      </c>
    </row>
    <row r="47295" spans="1:1" x14ac:dyDescent="0.3">
      <c r="A47295" t="s">
        <v>0</v>
      </c>
    </row>
    <row r="47296" spans="1:1" x14ac:dyDescent="0.3">
      <c r="A47296" t="s">
        <v>0</v>
      </c>
    </row>
    <row r="47297" spans="1:1" x14ac:dyDescent="0.3">
      <c r="A47297" t="s">
        <v>0</v>
      </c>
    </row>
    <row r="47298" spans="1:1" x14ac:dyDescent="0.3">
      <c r="A47298" t="s">
        <v>0</v>
      </c>
    </row>
    <row r="47299" spans="1:1" x14ac:dyDescent="0.3">
      <c r="A47299" t="s">
        <v>0</v>
      </c>
    </row>
    <row r="47300" spans="1:1" x14ac:dyDescent="0.3">
      <c r="A47300" t="s">
        <v>0</v>
      </c>
    </row>
    <row r="47301" spans="1:1" x14ac:dyDescent="0.3">
      <c r="A47301" t="s">
        <v>0</v>
      </c>
    </row>
    <row r="47302" spans="1:1" x14ac:dyDescent="0.3">
      <c r="A47302" t="s">
        <v>0</v>
      </c>
    </row>
    <row r="47303" spans="1:1" x14ac:dyDescent="0.3">
      <c r="A47303" t="s">
        <v>0</v>
      </c>
    </row>
    <row r="47304" spans="1:1" x14ac:dyDescent="0.3">
      <c r="A47304" t="s">
        <v>0</v>
      </c>
    </row>
    <row r="47305" spans="1:1" x14ac:dyDescent="0.3">
      <c r="A47305" t="s">
        <v>0</v>
      </c>
    </row>
    <row r="47306" spans="1:1" x14ac:dyDescent="0.3">
      <c r="A47306" t="s">
        <v>0</v>
      </c>
    </row>
    <row r="47307" spans="1:1" x14ac:dyDescent="0.3">
      <c r="A47307" t="s">
        <v>0</v>
      </c>
    </row>
    <row r="47308" spans="1:1" x14ac:dyDescent="0.3">
      <c r="A47308" t="s">
        <v>0</v>
      </c>
    </row>
    <row r="47309" spans="1:1" x14ac:dyDescent="0.3">
      <c r="A47309" t="s">
        <v>0</v>
      </c>
    </row>
    <row r="47310" spans="1:1" x14ac:dyDescent="0.3">
      <c r="A47310" t="s">
        <v>0</v>
      </c>
    </row>
    <row r="47311" spans="1:1" x14ac:dyDescent="0.3">
      <c r="A47311" t="s">
        <v>0</v>
      </c>
    </row>
    <row r="47312" spans="1:1" x14ac:dyDescent="0.3">
      <c r="A47312" t="s">
        <v>0</v>
      </c>
    </row>
    <row r="47313" spans="1:1" x14ac:dyDescent="0.3">
      <c r="A47313" t="s">
        <v>0</v>
      </c>
    </row>
    <row r="47314" spans="1:1" x14ac:dyDescent="0.3">
      <c r="A47314" t="s">
        <v>0</v>
      </c>
    </row>
    <row r="47315" spans="1:1" x14ac:dyDescent="0.3">
      <c r="A47315" t="s">
        <v>0</v>
      </c>
    </row>
    <row r="47316" spans="1:1" x14ac:dyDescent="0.3">
      <c r="A47316" t="s">
        <v>0</v>
      </c>
    </row>
    <row r="47317" spans="1:1" x14ac:dyDescent="0.3">
      <c r="A47317" t="s">
        <v>0</v>
      </c>
    </row>
    <row r="47318" spans="1:1" x14ac:dyDescent="0.3">
      <c r="A47318" t="s">
        <v>0</v>
      </c>
    </row>
    <row r="47319" spans="1:1" x14ac:dyDescent="0.3">
      <c r="A47319" t="s">
        <v>0</v>
      </c>
    </row>
    <row r="47320" spans="1:1" x14ac:dyDescent="0.3">
      <c r="A47320" t="s">
        <v>0</v>
      </c>
    </row>
    <row r="47321" spans="1:1" x14ac:dyDescent="0.3">
      <c r="A47321" t="s">
        <v>0</v>
      </c>
    </row>
    <row r="47322" spans="1:1" x14ac:dyDescent="0.3">
      <c r="A47322" t="s">
        <v>0</v>
      </c>
    </row>
    <row r="47323" spans="1:1" x14ac:dyDescent="0.3">
      <c r="A47323" t="s">
        <v>0</v>
      </c>
    </row>
    <row r="47324" spans="1:1" x14ac:dyDescent="0.3">
      <c r="A47324" t="s">
        <v>0</v>
      </c>
    </row>
    <row r="47325" spans="1:1" x14ac:dyDescent="0.3">
      <c r="A47325" t="s">
        <v>0</v>
      </c>
    </row>
    <row r="47326" spans="1:1" x14ac:dyDescent="0.3">
      <c r="A47326" t="s">
        <v>0</v>
      </c>
    </row>
    <row r="47327" spans="1:1" x14ac:dyDescent="0.3">
      <c r="A47327" t="s">
        <v>0</v>
      </c>
    </row>
    <row r="47328" spans="1:1" x14ac:dyDescent="0.3">
      <c r="A47328" t="s">
        <v>0</v>
      </c>
    </row>
    <row r="47329" spans="1:1" x14ac:dyDescent="0.3">
      <c r="A47329" t="s">
        <v>0</v>
      </c>
    </row>
    <row r="47330" spans="1:1" x14ac:dyDescent="0.3">
      <c r="A47330" t="s">
        <v>0</v>
      </c>
    </row>
    <row r="47331" spans="1:1" x14ac:dyDescent="0.3">
      <c r="A47331" t="s">
        <v>0</v>
      </c>
    </row>
    <row r="47332" spans="1:1" x14ac:dyDescent="0.3">
      <c r="A47332" t="s">
        <v>0</v>
      </c>
    </row>
    <row r="47333" spans="1:1" x14ac:dyDescent="0.3">
      <c r="A47333" t="s">
        <v>0</v>
      </c>
    </row>
    <row r="47334" spans="1:1" x14ac:dyDescent="0.3">
      <c r="A47334" t="s">
        <v>0</v>
      </c>
    </row>
    <row r="47335" spans="1:1" x14ac:dyDescent="0.3">
      <c r="A47335" t="s">
        <v>0</v>
      </c>
    </row>
    <row r="47336" spans="1:1" x14ac:dyDescent="0.3">
      <c r="A47336" t="s">
        <v>0</v>
      </c>
    </row>
    <row r="47337" spans="1:1" x14ac:dyDescent="0.3">
      <c r="A47337" t="s">
        <v>0</v>
      </c>
    </row>
    <row r="47338" spans="1:1" x14ac:dyDescent="0.3">
      <c r="A47338" t="s">
        <v>0</v>
      </c>
    </row>
    <row r="47339" spans="1:1" x14ac:dyDescent="0.3">
      <c r="A47339" t="s">
        <v>0</v>
      </c>
    </row>
    <row r="47340" spans="1:1" x14ac:dyDescent="0.3">
      <c r="A47340" t="s">
        <v>0</v>
      </c>
    </row>
    <row r="47341" spans="1:1" x14ac:dyDescent="0.3">
      <c r="A47341" t="s">
        <v>0</v>
      </c>
    </row>
    <row r="47342" spans="1:1" x14ac:dyDescent="0.3">
      <c r="A47342" t="s">
        <v>0</v>
      </c>
    </row>
    <row r="47343" spans="1:1" x14ac:dyDescent="0.3">
      <c r="A47343" t="s">
        <v>0</v>
      </c>
    </row>
    <row r="47344" spans="1:1" x14ac:dyDescent="0.3">
      <c r="A47344" t="s">
        <v>0</v>
      </c>
    </row>
    <row r="47345" spans="1:1" x14ac:dyDescent="0.3">
      <c r="A47345" t="s">
        <v>0</v>
      </c>
    </row>
    <row r="47346" spans="1:1" x14ac:dyDescent="0.3">
      <c r="A47346" t="s">
        <v>0</v>
      </c>
    </row>
    <row r="47347" spans="1:1" x14ac:dyDescent="0.3">
      <c r="A47347" t="s">
        <v>0</v>
      </c>
    </row>
    <row r="47348" spans="1:1" x14ac:dyDescent="0.3">
      <c r="A47348" t="s">
        <v>0</v>
      </c>
    </row>
    <row r="47349" spans="1:1" x14ac:dyDescent="0.3">
      <c r="A47349" t="s">
        <v>0</v>
      </c>
    </row>
    <row r="47350" spans="1:1" x14ac:dyDescent="0.3">
      <c r="A47350" t="s">
        <v>0</v>
      </c>
    </row>
    <row r="47351" spans="1:1" x14ac:dyDescent="0.3">
      <c r="A47351" t="s">
        <v>0</v>
      </c>
    </row>
    <row r="47352" spans="1:1" x14ac:dyDescent="0.3">
      <c r="A47352" t="s">
        <v>0</v>
      </c>
    </row>
    <row r="47353" spans="1:1" x14ac:dyDescent="0.3">
      <c r="A47353" t="s">
        <v>0</v>
      </c>
    </row>
    <row r="47354" spans="1:1" x14ac:dyDescent="0.3">
      <c r="A47354" t="s">
        <v>0</v>
      </c>
    </row>
    <row r="47355" spans="1:1" x14ac:dyDescent="0.3">
      <c r="A47355" t="s">
        <v>0</v>
      </c>
    </row>
    <row r="47356" spans="1:1" x14ac:dyDescent="0.3">
      <c r="A47356" t="s">
        <v>0</v>
      </c>
    </row>
    <row r="47357" spans="1:1" x14ac:dyDescent="0.3">
      <c r="A47357" t="s">
        <v>0</v>
      </c>
    </row>
    <row r="47358" spans="1:1" x14ac:dyDescent="0.3">
      <c r="A47358" t="s">
        <v>0</v>
      </c>
    </row>
    <row r="47359" spans="1:1" x14ac:dyDescent="0.3">
      <c r="A47359" t="s">
        <v>0</v>
      </c>
    </row>
    <row r="47360" spans="1:1" x14ac:dyDescent="0.3">
      <c r="A47360" t="s">
        <v>0</v>
      </c>
    </row>
    <row r="47361" spans="1:1" x14ac:dyDescent="0.3">
      <c r="A47361" t="s">
        <v>0</v>
      </c>
    </row>
    <row r="47362" spans="1:1" x14ac:dyDescent="0.3">
      <c r="A47362" t="s">
        <v>0</v>
      </c>
    </row>
    <row r="47363" spans="1:1" x14ac:dyDescent="0.3">
      <c r="A47363" t="s">
        <v>0</v>
      </c>
    </row>
    <row r="47364" spans="1:1" x14ac:dyDescent="0.3">
      <c r="A47364" t="s">
        <v>0</v>
      </c>
    </row>
    <row r="47365" spans="1:1" x14ac:dyDescent="0.3">
      <c r="A47365" t="s">
        <v>0</v>
      </c>
    </row>
    <row r="47366" spans="1:1" x14ac:dyDescent="0.3">
      <c r="A47366" t="s">
        <v>0</v>
      </c>
    </row>
    <row r="47367" spans="1:1" x14ac:dyDescent="0.3">
      <c r="A47367" t="s">
        <v>0</v>
      </c>
    </row>
    <row r="47368" spans="1:1" x14ac:dyDescent="0.3">
      <c r="A47368" t="s">
        <v>0</v>
      </c>
    </row>
    <row r="47369" spans="1:1" x14ac:dyDescent="0.3">
      <c r="A47369" t="s">
        <v>0</v>
      </c>
    </row>
    <row r="47370" spans="1:1" x14ac:dyDescent="0.3">
      <c r="A47370" t="s">
        <v>0</v>
      </c>
    </row>
    <row r="47371" spans="1:1" x14ac:dyDescent="0.3">
      <c r="A47371" t="s">
        <v>0</v>
      </c>
    </row>
    <row r="47372" spans="1:1" x14ac:dyDescent="0.3">
      <c r="A47372" t="s">
        <v>0</v>
      </c>
    </row>
    <row r="47373" spans="1:1" x14ac:dyDescent="0.3">
      <c r="A47373" t="s">
        <v>0</v>
      </c>
    </row>
    <row r="47374" spans="1:1" x14ac:dyDescent="0.3">
      <c r="A47374" t="s">
        <v>0</v>
      </c>
    </row>
    <row r="47375" spans="1:1" x14ac:dyDescent="0.3">
      <c r="A47375" t="s">
        <v>0</v>
      </c>
    </row>
    <row r="47376" spans="1:1" x14ac:dyDescent="0.3">
      <c r="A47376" t="s">
        <v>0</v>
      </c>
    </row>
    <row r="47377" spans="1:1" x14ac:dyDescent="0.3">
      <c r="A47377" t="s">
        <v>0</v>
      </c>
    </row>
    <row r="47378" spans="1:1" x14ac:dyDescent="0.3">
      <c r="A47378" t="s">
        <v>0</v>
      </c>
    </row>
    <row r="47379" spans="1:1" x14ac:dyDescent="0.3">
      <c r="A47379" t="s">
        <v>0</v>
      </c>
    </row>
    <row r="47380" spans="1:1" x14ac:dyDescent="0.3">
      <c r="A47380" t="s">
        <v>0</v>
      </c>
    </row>
    <row r="47381" spans="1:1" x14ac:dyDescent="0.3">
      <c r="A47381" t="s">
        <v>0</v>
      </c>
    </row>
    <row r="47382" spans="1:1" x14ac:dyDescent="0.3">
      <c r="A47382" t="s">
        <v>0</v>
      </c>
    </row>
    <row r="47383" spans="1:1" x14ac:dyDescent="0.3">
      <c r="A47383" t="s">
        <v>0</v>
      </c>
    </row>
    <row r="47384" spans="1:1" x14ac:dyDescent="0.3">
      <c r="A47384" t="s">
        <v>0</v>
      </c>
    </row>
    <row r="47385" spans="1:1" x14ac:dyDescent="0.3">
      <c r="A47385" t="s">
        <v>0</v>
      </c>
    </row>
    <row r="47386" spans="1:1" x14ac:dyDescent="0.3">
      <c r="A47386" t="s">
        <v>0</v>
      </c>
    </row>
    <row r="47387" spans="1:1" x14ac:dyDescent="0.3">
      <c r="A47387" t="s">
        <v>0</v>
      </c>
    </row>
    <row r="47388" spans="1:1" x14ac:dyDescent="0.3">
      <c r="A47388" t="s">
        <v>0</v>
      </c>
    </row>
    <row r="47389" spans="1:1" x14ac:dyDescent="0.3">
      <c r="A47389" t="s">
        <v>0</v>
      </c>
    </row>
    <row r="47390" spans="1:1" x14ac:dyDescent="0.3">
      <c r="A47390" t="s">
        <v>0</v>
      </c>
    </row>
    <row r="47391" spans="1:1" x14ac:dyDescent="0.3">
      <c r="A47391" t="s">
        <v>0</v>
      </c>
    </row>
    <row r="47392" spans="1:1" x14ac:dyDescent="0.3">
      <c r="A47392" t="s">
        <v>0</v>
      </c>
    </row>
    <row r="47393" spans="1:1" x14ac:dyDescent="0.3">
      <c r="A47393" t="s">
        <v>0</v>
      </c>
    </row>
    <row r="47394" spans="1:1" x14ac:dyDescent="0.3">
      <c r="A47394" t="s">
        <v>0</v>
      </c>
    </row>
    <row r="47395" spans="1:1" x14ac:dyDescent="0.3">
      <c r="A47395" t="s">
        <v>0</v>
      </c>
    </row>
    <row r="47396" spans="1:1" x14ac:dyDescent="0.3">
      <c r="A47396" t="s">
        <v>0</v>
      </c>
    </row>
    <row r="47397" spans="1:1" x14ac:dyDescent="0.3">
      <c r="A47397" t="s">
        <v>0</v>
      </c>
    </row>
    <row r="47398" spans="1:1" x14ac:dyDescent="0.3">
      <c r="A47398" t="s">
        <v>0</v>
      </c>
    </row>
    <row r="47399" spans="1:1" x14ac:dyDescent="0.3">
      <c r="A47399" t="s">
        <v>0</v>
      </c>
    </row>
    <row r="47400" spans="1:1" x14ac:dyDescent="0.3">
      <c r="A47400" t="s">
        <v>0</v>
      </c>
    </row>
    <row r="47401" spans="1:1" x14ac:dyDescent="0.3">
      <c r="A47401" t="s">
        <v>0</v>
      </c>
    </row>
    <row r="47402" spans="1:1" x14ac:dyDescent="0.3">
      <c r="A47402" t="s">
        <v>0</v>
      </c>
    </row>
    <row r="47403" spans="1:1" x14ac:dyDescent="0.3">
      <c r="A47403" t="s">
        <v>0</v>
      </c>
    </row>
    <row r="47404" spans="1:1" x14ac:dyDescent="0.3">
      <c r="A47404" t="s">
        <v>0</v>
      </c>
    </row>
    <row r="47405" spans="1:1" x14ac:dyDescent="0.3">
      <c r="A47405" t="s">
        <v>0</v>
      </c>
    </row>
    <row r="47406" spans="1:1" x14ac:dyDescent="0.3">
      <c r="A47406" t="s">
        <v>0</v>
      </c>
    </row>
    <row r="47407" spans="1:1" x14ac:dyDescent="0.3">
      <c r="A47407" t="s">
        <v>0</v>
      </c>
    </row>
    <row r="47408" spans="1:1" x14ac:dyDescent="0.3">
      <c r="A47408" t="s">
        <v>0</v>
      </c>
    </row>
    <row r="47409" spans="1:1" x14ac:dyDescent="0.3">
      <c r="A47409" t="s">
        <v>0</v>
      </c>
    </row>
    <row r="47410" spans="1:1" x14ac:dyDescent="0.3">
      <c r="A47410" t="s">
        <v>0</v>
      </c>
    </row>
    <row r="47411" spans="1:1" x14ac:dyDescent="0.3">
      <c r="A47411" t="s">
        <v>0</v>
      </c>
    </row>
    <row r="47412" spans="1:1" x14ac:dyDescent="0.3">
      <c r="A47412" t="s">
        <v>0</v>
      </c>
    </row>
    <row r="47413" spans="1:1" x14ac:dyDescent="0.3">
      <c r="A47413" t="s">
        <v>0</v>
      </c>
    </row>
    <row r="47414" spans="1:1" x14ac:dyDescent="0.3">
      <c r="A47414" t="s">
        <v>0</v>
      </c>
    </row>
    <row r="47415" spans="1:1" x14ac:dyDescent="0.3">
      <c r="A47415" t="s">
        <v>0</v>
      </c>
    </row>
    <row r="47416" spans="1:1" x14ac:dyDescent="0.3">
      <c r="A47416" t="s">
        <v>0</v>
      </c>
    </row>
    <row r="47417" spans="1:1" x14ac:dyDescent="0.3">
      <c r="A47417" t="s">
        <v>0</v>
      </c>
    </row>
    <row r="47418" spans="1:1" x14ac:dyDescent="0.3">
      <c r="A47418" t="s">
        <v>0</v>
      </c>
    </row>
    <row r="47419" spans="1:1" x14ac:dyDescent="0.3">
      <c r="A47419" t="s">
        <v>0</v>
      </c>
    </row>
    <row r="47420" spans="1:1" x14ac:dyDescent="0.3">
      <c r="A47420" t="s">
        <v>0</v>
      </c>
    </row>
    <row r="47421" spans="1:1" x14ac:dyDescent="0.3">
      <c r="A47421" t="s">
        <v>0</v>
      </c>
    </row>
    <row r="47422" spans="1:1" x14ac:dyDescent="0.3">
      <c r="A47422" t="s">
        <v>0</v>
      </c>
    </row>
    <row r="47423" spans="1:1" x14ac:dyDescent="0.3">
      <c r="A47423" t="s">
        <v>0</v>
      </c>
    </row>
    <row r="47424" spans="1:1" x14ac:dyDescent="0.3">
      <c r="A47424" t="s">
        <v>0</v>
      </c>
    </row>
    <row r="47425" spans="1:1" x14ac:dyDescent="0.3">
      <c r="A47425" t="s">
        <v>0</v>
      </c>
    </row>
    <row r="47426" spans="1:1" x14ac:dyDescent="0.3">
      <c r="A47426" t="s">
        <v>0</v>
      </c>
    </row>
    <row r="47427" spans="1:1" x14ac:dyDescent="0.3">
      <c r="A47427" t="s">
        <v>0</v>
      </c>
    </row>
    <row r="47428" spans="1:1" x14ac:dyDescent="0.3">
      <c r="A47428" t="s">
        <v>0</v>
      </c>
    </row>
    <row r="47429" spans="1:1" x14ac:dyDescent="0.3">
      <c r="A47429" t="s">
        <v>0</v>
      </c>
    </row>
    <row r="47430" spans="1:1" x14ac:dyDescent="0.3">
      <c r="A47430" t="s">
        <v>0</v>
      </c>
    </row>
    <row r="47431" spans="1:1" x14ac:dyDescent="0.3">
      <c r="A47431" t="s">
        <v>0</v>
      </c>
    </row>
    <row r="47432" spans="1:1" x14ac:dyDescent="0.3">
      <c r="A47432" t="s">
        <v>0</v>
      </c>
    </row>
    <row r="47433" spans="1:1" x14ac:dyDescent="0.3">
      <c r="A47433" t="s">
        <v>0</v>
      </c>
    </row>
    <row r="47434" spans="1:1" x14ac:dyDescent="0.3">
      <c r="A47434" t="s">
        <v>0</v>
      </c>
    </row>
    <row r="47435" spans="1:1" x14ac:dyDescent="0.3">
      <c r="A47435" t="s">
        <v>0</v>
      </c>
    </row>
    <row r="47436" spans="1:1" x14ac:dyDescent="0.3">
      <c r="A47436" t="s">
        <v>0</v>
      </c>
    </row>
    <row r="47437" spans="1:1" x14ac:dyDescent="0.3">
      <c r="A47437" t="s">
        <v>0</v>
      </c>
    </row>
    <row r="47438" spans="1:1" x14ac:dyDescent="0.3">
      <c r="A47438" t="s">
        <v>0</v>
      </c>
    </row>
    <row r="47439" spans="1:1" x14ac:dyDescent="0.3">
      <c r="A47439" t="s">
        <v>0</v>
      </c>
    </row>
    <row r="47440" spans="1:1" x14ac:dyDescent="0.3">
      <c r="A47440" t="s">
        <v>0</v>
      </c>
    </row>
    <row r="47441" spans="1:1" x14ac:dyDescent="0.3">
      <c r="A47441" t="s">
        <v>0</v>
      </c>
    </row>
    <row r="47442" spans="1:1" x14ac:dyDescent="0.3">
      <c r="A47442" t="s">
        <v>0</v>
      </c>
    </row>
    <row r="47443" spans="1:1" x14ac:dyDescent="0.3">
      <c r="A47443" t="s">
        <v>0</v>
      </c>
    </row>
    <row r="47444" spans="1:1" x14ac:dyDescent="0.3">
      <c r="A47444" t="s">
        <v>0</v>
      </c>
    </row>
    <row r="47445" spans="1:1" x14ac:dyDescent="0.3">
      <c r="A47445" t="s">
        <v>0</v>
      </c>
    </row>
    <row r="47446" spans="1:1" x14ac:dyDescent="0.3">
      <c r="A47446" t="s">
        <v>0</v>
      </c>
    </row>
    <row r="47447" spans="1:1" x14ac:dyDescent="0.3">
      <c r="A47447" t="s">
        <v>0</v>
      </c>
    </row>
    <row r="47448" spans="1:1" x14ac:dyDescent="0.3">
      <c r="A47448" t="s">
        <v>0</v>
      </c>
    </row>
    <row r="47449" spans="1:1" x14ac:dyDescent="0.3">
      <c r="A47449" t="s">
        <v>0</v>
      </c>
    </row>
    <row r="47450" spans="1:1" x14ac:dyDescent="0.3">
      <c r="A47450" t="s">
        <v>0</v>
      </c>
    </row>
    <row r="47451" spans="1:1" x14ac:dyDescent="0.3">
      <c r="A47451" t="s">
        <v>0</v>
      </c>
    </row>
    <row r="47452" spans="1:1" x14ac:dyDescent="0.3">
      <c r="A47452" t="s">
        <v>0</v>
      </c>
    </row>
    <row r="47453" spans="1:1" x14ac:dyDescent="0.3">
      <c r="A47453" t="s">
        <v>0</v>
      </c>
    </row>
    <row r="47454" spans="1:1" x14ac:dyDescent="0.3">
      <c r="A47454" t="s">
        <v>0</v>
      </c>
    </row>
    <row r="47455" spans="1:1" x14ac:dyDescent="0.3">
      <c r="A47455" t="s">
        <v>0</v>
      </c>
    </row>
    <row r="47456" spans="1:1" x14ac:dyDescent="0.3">
      <c r="A47456" t="s">
        <v>0</v>
      </c>
    </row>
    <row r="47457" spans="1:1" x14ac:dyDescent="0.3">
      <c r="A47457" t="s">
        <v>0</v>
      </c>
    </row>
    <row r="47458" spans="1:1" x14ac:dyDescent="0.3">
      <c r="A47458" t="s">
        <v>0</v>
      </c>
    </row>
    <row r="47459" spans="1:1" x14ac:dyDescent="0.3">
      <c r="A47459" t="s">
        <v>0</v>
      </c>
    </row>
    <row r="47460" spans="1:1" x14ac:dyDescent="0.3">
      <c r="A47460" t="s">
        <v>0</v>
      </c>
    </row>
    <row r="47461" spans="1:1" x14ac:dyDescent="0.3">
      <c r="A47461" t="s">
        <v>0</v>
      </c>
    </row>
    <row r="47462" spans="1:1" x14ac:dyDescent="0.3">
      <c r="A47462" t="s">
        <v>0</v>
      </c>
    </row>
    <row r="47463" spans="1:1" x14ac:dyDescent="0.3">
      <c r="A47463" t="s">
        <v>0</v>
      </c>
    </row>
    <row r="47464" spans="1:1" x14ac:dyDescent="0.3">
      <c r="A47464" t="s">
        <v>0</v>
      </c>
    </row>
    <row r="47465" spans="1:1" x14ac:dyDescent="0.3">
      <c r="A47465" t="s">
        <v>0</v>
      </c>
    </row>
    <row r="47466" spans="1:1" x14ac:dyDescent="0.3">
      <c r="A47466" t="s">
        <v>0</v>
      </c>
    </row>
    <row r="47467" spans="1:1" x14ac:dyDescent="0.3">
      <c r="A47467" t="s">
        <v>0</v>
      </c>
    </row>
    <row r="47468" spans="1:1" x14ac:dyDescent="0.3">
      <c r="A47468" t="s">
        <v>0</v>
      </c>
    </row>
    <row r="47469" spans="1:1" x14ac:dyDescent="0.3">
      <c r="A47469" t="s">
        <v>0</v>
      </c>
    </row>
    <row r="47470" spans="1:1" x14ac:dyDescent="0.3">
      <c r="A47470" t="s">
        <v>0</v>
      </c>
    </row>
    <row r="47471" spans="1:1" x14ac:dyDescent="0.3">
      <c r="A47471" t="s">
        <v>0</v>
      </c>
    </row>
    <row r="47472" spans="1:1" x14ac:dyDescent="0.3">
      <c r="A47472" t="s">
        <v>0</v>
      </c>
    </row>
    <row r="47473" spans="1:1" x14ac:dyDescent="0.3">
      <c r="A47473" t="s">
        <v>0</v>
      </c>
    </row>
    <row r="47474" spans="1:1" x14ac:dyDescent="0.3">
      <c r="A47474" t="s">
        <v>0</v>
      </c>
    </row>
    <row r="47475" spans="1:1" x14ac:dyDescent="0.3">
      <c r="A47475" t="s">
        <v>0</v>
      </c>
    </row>
    <row r="47476" spans="1:1" x14ac:dyDescent="0.3">
      <c r="A47476" t="s">
        <v>0</v>
      </c>
    </row>
    <row r="47477" spans="1:1" x14ac:dyDescent="0.3">
      <c r="A47477" t="s">
        <v>0</v>
      </c>
    </row>
    <row r="47478" spans="1:1" x14ac:dyDescent="0.3">
      <c r="A47478" t="s">
        <v>0</v>
      </c>
    </row>
    <row r="47479" spans="1:1" x14ac:dyDescent="0.3">
      <c r="A47479" t="s">
        <v>0</v>
      </c>
    </row>
    <row r="47480" spans="1:1" x14ac:dyDescent="0.3">
      <c r="A47480" t="s">
        <v>0</v>
      </c>
    </row>
    <row r="47481" spans="1:1" x14ac:dyDescent="0.3">
      <c r="A47481" t="s">
        <v>0</v>
      </c>
    </row>
    <row r="47482" spans="1:1" x14ac:dyDescent="0.3">
      <c r="A47482" t="s">
        <v>0</v>
      </c>
    </row>
    <row r="47483" spans="1:1" x14ac:dyDescent="0.3">
      <c r="A47483" t="s">
        <v>0</v>
      </c>
    </row>
    <row r="47484" spans="1:1" x14ac:dyDescent="0.3">
      <c r="A47484" t="s">
        <v>0</v>
      </c>
    </row>
    <row r="47485" spans="1:1" x14ac:dyDescent="0.3">
      <c r="A47485" t="s">
        <v>0</v>
      </c>
    </row>
    <row r="47486" spans="1:1" x14ac:dyDescent="0.3">
      <c r="A47486" t="s">
        <v>0</v>
      </c>
    </row>
    <row r="47487" spans="1:1" x14ac:dyDescent="0.3">
      <c r="A47487" t="s">
        <v>0</v>
      </c>
    </row>
    <row r="47488" spans="1:1" x14ac:dyDescent="0.3">
      <c r="A47488" t="s">
        <v>0</v>
      </c>
    </row>
    <row r="47489" spans="1:1" x14ac:dyDescent="0.3">
      <c r="A47489" t="s">
        <v>0</v>
      </c>
    </row>
    <row r="47490" spans="1:1" x14ac:dyDescent="0.3">
      <c r="A47490" t="s">
        <v>0</v>
      </c>
    </row>
    <row r="47491" spans="1:1" x14ac:dyDescent="0.3">
      <c r="A47491" t="s">
        <v>0</v>
      </c>
    </row>
    <row r="47492" spans="1:1" x14ac:dyDescent="0.3">
      <c r="A47492" t="s">
        <v>0</v>
      </c>
    </row>
    <row r="47493" spans="1:1" x14ac:dyDescent="0.3">
      <c r="A47493" t="s">
        <v>0</v>
      </c>
    </row>
    <row r="47494" spans="1:1" x14ac:dyDescent="0.3">
      <c r="A47494" t="s">
        <v>0</v>
      </c>
    </row>
    <row r="47495" spans="1:1" x14ac:dyDescent="0.3">
      <c r="A47495" t="s">
        <v>0</v>
      </c>
    </row>
    <row r="47496" spans="1:1" x14ac:dyDescent="0.3">
      <c r="A47496" t="s">
        <v>0</v>
      </c>
    </row>
    <row r="47497" spans="1:1" x14ac:dyDescent="0.3">
      <c r="A47497" t="s">
        <v>0</v>
      </c>
    </row>
    <row r="47498" spans="1:1" x14ac:dyDescent="0.3">
      <c r="A47498" t="s">
        <v>0</v>
      </c>
    </row>
    <row r="47499" spans="1:1" x14ac:dyDescent="0.3">
      <c r="A47499" t="s">
        <v>0</v>
      </c>
    </row>
    <row r="47500" spans="1:1" x14ac:dyDescent="0.3">
      <c r="A47500" t="s">
        <v>0</v>
      </c>
    </row>
    <row r="47501" spans="1:1" x14ac:dyDescent="0.3">
      <c r="A47501" t="s">
        <v>0</v>
      </c>
    </row>
    <row r="47502" spans="1:1" x14ac:dyDescent="0.3">
      <c r="A47502" t="s">
        <v>0</v>
      </c>
    </row>
    <row r="47503" spans="1:1" x14ac:dyDescent="0.3">
      <c r="A47503" t="s">
        <v>0</v>
      </c>
    </row>
    <row r="47504" spans="1:1" x14ac:dyDescent="0.3">
      <c r="A47504" t="s">
        <v>0</v>
      </c>
    </row>
    <row r="47505" spans="1:1" x14ac:dyDescent="0.3">
      <c r="A47505" t="s">
        <v>0</v>
      </c>
    </row>
    <row r="47506" spans="1:1" x14ac:dyDescent="0.3">
      <c r="A47506" t="s">
        <v>0</v>
      </c>
    </row>
    <row r="47507" spans="1:1" x14ac:dyDescent="0.3">
      <c r="A47507" t="s">
        <v>0</v>
      </c>
    </row>
    <row r="47508" spans="1:1" x14ac:dyDescent="0.3">
      <c r="A47508" t="s">
        <v>0</v>
      </c>
    </row>
    <row r="47509" spans="1:1" x14ac:dyDescent="0.3">
      <c r="A47509" t="s">
        <v>0</v>
      </c>
    </row>
    <row r="47510" spans="1:1" x14ac:dyDescent="0.3">
      <c r="A47510" t="s">
        <v>0</v>
      </c>
    </row>
    <row r="47511" spans="1:1" x14ac:dyDescent="0.3">
      <c r="A47511" t="s">
        <v>0</v>
      </c>
    </row>
    <row r="47512" spans="1:1" x14ac:dyDescent="0.3">
      <c r="A47512" t="s">
        <v>0</v>
      </c>
    </row>
    <row r="47513" spans="1:1" x14ac:dyDescent="0.3">
      <c r="A47513" t="s">
        <v>0</v>
      </c>
    </row>
    <row r="47514" spans="1:1" x14ac:dyDescent="0.3">
      <c r="A47514" t="s">
        <v>0</v>
      </c>
    </row>
    <row r="47515" spans="1:1" x14ac:dyDescent="0.3">
      <c r="A47515" t="s">
        <v>0</v>
      </c>
    </row>
    <row r="47516" spans="1:1" x14ac:dyDescent="0.3">
      <c r="A47516" t="s">
        <v>0</v>
      </c>
    </row>
    <row r="47517" spans="1:1" x14ac:dyDescent="0.3">
      <c r="A47517" t="s">
        <v>0</v>
      </c>
    </row>
    <row r="47518" spans="1:1" x14ac:dyDescent="0.3">
      <c r="A47518" t="s">
        <v>0</v>
      </c>
    </row>
    <row r="47519" spans="1:1" x14ac:dyDescent="0.3">
      <c r="A47519" t="s">
        <v>0</v>
      </c>
    </row>
    <row r="47520" spans="1:1" x14ac:dyDescent="0.3">
      <c r="A47520" t="s">
        <v>0</v>
      </c>
    </row>
    <row r="47521" spans="1:1" x14ac:dyDescent="0.3">
      <c r="A47521" t="s">
        <v>0</v>
      </c>
    </row>
    <row r="47522" spans="1:1" x14ac:dyDescent="0.3">
      <c r="A47522" t="s">
        <v>0</v>
      </c>
    </row>
    <row r="47523" spans="1:1" x14ac:dyDescent="0.3">
      <c r="A47523" t="s">
        <v>0</v>
      </c>
    </row>
    <row r="47524" spans="1:1" x14ac:dyDescent="0.3">
      <c r="A47524" t="s">
        <v>0</v>
      </c>
    </row>
    <row r="47525" spans="1:1" x14ac:dyDescent="0.3">
      <c r="A47525" t="s">
        <v>0</v>
      </c>
    </row>
    <row r="47526" spans="1:1" x14ac:dyDescent="0.3">
      <c r="A47526" t="s">
        <v>0</v>
      </c>
    </row>
    <row r="47527" spans="1:1" x14ac:dyDescent="0.3">
      <c r="A47527" t="s">
        <v>0</v>
      </c>
    </row>
    <row r="47528" spans="1:1" x14ac:dyDescent="0.3">
      <c r="A47528" t="s">
        <v>0</v>
      </c>
    </row>
    <row r="47529" spans="1:1" x14ac:dyDescent="0.3">
      <c r="A47529" t="s">
        <v>0</v>
      </c>
    </row>
    <row r="47530" spans="1:1" x14ac:dyDescent="0.3">
      <c r="A47530" t="s">
        <v>0</v>
      </c>
    </row>
    <row r="47531" spans="1:1" x14ac:dyDescent="0.3">
      <c r="A47531" t="s">
        <v>0</v>
      </c>
    </row>
    <row r="47532" spans="1:1" x14ac:dyDescent="0.3">
      <c r="A47532" t="s">
        <v>0</v>
      </c>
    </row>
    <row r="47533" spans="1:1" x14ac:dyDescent="0.3">
      <c r="A47533" t="s">
        <v>0</v>
      </c>
    </row>
    <row r="47534" spans="1:1" x14ac:dyDescent="0.3">
      <c r="A47534" t="s">
        <v>0</v>
      </c>
    </row>
    <row r="47535" spans="1:1" x14ac:dyDescent="0.3">
      <c r="A47535" t="s">
        <v>0</v>
      </c>
    </row>
    <row r="47536" spans="1:1" x14ac:dyDescent="0.3">
      <c r="A47536" t="s">
        <v>0</v>
      </c>
    </row>
    <row r="47537" spans="1:1" x14ac:dyDescent="0.3">
      <c r="A47537" t="s">
        <v>0</v>
      </c>
    </row>
    <row r="47538" spans="1:1" x14ac:dyDescent="0.3">
      <c r="A47538" t="s">
        <v>0</v>
      </c>
    </row>
    <row r="47539" spans="1:1" x14ac:dyDescent="0.3">
      <c r="A47539" t="s">
        <v>0</v>
      </c>
    </row>
    <row r="47540" spans="1:1" x14ac:dyDescent="0.3">
      <c r="A47540" t="s">
        <v>0</v>
      </c>
    </row>
    <row r="47541" spans="1:1" x14ac:dyDescent="0.3">
      <c r="A47541" t="s">
        <v>0</v>
      </c>
    </row>
    <row r="47542" spans="1:1" x14ac:dyDescent="0.3">
      <c r="A47542" t="s">
        <v>0</v>
      </c>
    </row>
    <row r="47543" spans="1:1" x14ac:dyDescent="0.3">
      <c r="A47543" t="s">
        <v>0</v>
      </c>
    </row>
    <row r="47544" spans="1:1" x14ac:dyDescent="0.3">
      <c r="A47544" t="s">
        <v>0</v>
      </c>
    </row>
    <row r="47545" spans="1:1" x14ac:dyDescent="0.3">
      <c r="A47545" t="s">
        <v>0</v>
      </c>
    </row>
    <row r="47546" spans="1:1" x14ac:dyDescent="0.3">
      <c r="A47546" t="s">
        <v>0</v>
      </c>
    </row>
    <row r="47547" spans="1:1" x14ac:dyDescent="0.3">
      <c r="A47547" t="s">
        <v>0</v>
      </c>
    </row>
    <row r="47548" spans="1:1" x14ac:dyDescent="0.3">
      <c r="A47548" t="s">
        <v>0</v>
      </c>
    </row>
    <row r="47549" spans="1:1" x14ac:dyDescent="0.3">
      <c r="A47549" t="s">
        <v>0</v>
      </c>
    </row>
    <row r="47550" spans="1:1" x14ac:dyDescent="0.3">
      <c r="A47550" t="s">
        <v>0</v>
      </c>
    </row>
    <row r="47551" spans="1:1" x14ac:dyDescent="0.3">
      <c r="A47551" t="s">
        <v>0</v>
      </c>
    </row>
    <row r="47552" spans="1:1" x14ac:dyDescent="0.3">
      <c r="A47552" t="s">
        <v>0</v>
      </c>
    </row>
    <row r="47553" spans="1:1" x14ac:dyDescent="0.3">
      <c r="A47553" t="s">
        <v>0</v>
      </c>
    </row>
    <row r="47554" spans="1:1" x14ac:dyDescent="0.3">
      <c r="A47554" t="s">
        <v>0</v>
      </c>
    </row>
    <row r="47555" spans="1:1" x14ac:dyDescent="0.3">
      <c r="A47555" t="s">
        <v>0</v>
      </c>
    </row>
    <row r="47556" spans="1:1" x14ac:dyDescent="0.3">
      <c r="A47556" t="s">
        <v>0</v>
      </c>
    </row>
    <row r="47557" spans="1:1" x14ac:dyDescent="0.3">
      <c r="A47557" t="s">
        <v>0</v>
      </c>
    </row>
    <row r="47558" spans="1:1" x14ac:dyDescent="0.3">
      <c r="A47558" t="s">
        <v>0</v>
      </c>
    </row>
    <row r="47559" spans="1:1" x14ac:dyDescent="0.3">
      <c r="A47559" t="s">
        <v>0</v>
      </c>
    </row>
    <row r="47560" spans="1:1" x14ac:dyDescent="0.3">
      <c r="A47560" t="s">
        <v>0</v>
      </c>
    </row>
    <row r="47561" spans="1:1" x14ac:dyDescent="0.3">
      <c r="A47561" t="s">
        <v>0</v>
      </c>
    </row>
    <row r="47562" spans="1:1" x14ac:dyDescent="0.3">
      <c r="A47562" t="s">
        <v>0</v>
      </c>
    </row>
    <row r="47563" spans="1:1" x14ac:dyDescent="0.3">
      <c r="A47563" t="s">
        <v>0</v>
      </c>
    </row>
    <row r="47564" spans="1:1" x14ac:dyDescent="0.3">
      <c r="A47564" t="s">
        <v>0</v>
      </c>
    </row>
    <row r="47565" spans="1:1" x14ac:dyDescent="0.3">
      <c r="A47565" t="s">
        <v>0</v>
      </c>
    </row>
    <row r="47566" spans="1:1" x14ac:dyDescent="0.3">
      <c r="A47566" t="s">
        <v>0</v>
      </c>
    </row>
    <row r="47567" spans="1:1" x14ac:dyDescent="0.3">
      <c r="A47567" t="s">
        <v>0</v>
      </c>
    </row>
    <row r="47568" spans="1:1" x14ac:dyDescent="0.3">
      <c r="A47568" t="s">
        <v>0</v>
      </c>
    </row>
    <row r="47569" spans="1:1" x14ac:dyDescent="0.3">
      <c r="A47569" t="s">
        <v>0</v>
      </c>
    </row>
    <row r="47570" spans="1:1" x14ac:dyDescent="0.3">
      <c r="A47570" t="s">
        <v>0</v>
      </c>
    </row>
    <row r="47571" spans="1:1" x14ac:dyDescent="0.3">
      <c r="A47571" t="s">
        <v>0</v>
      </c>
    </row>
    <row r="47572" spans="1:1" x14ac:dyDescent="0.3">
      <c r="A47572" t="s">
        <v>0</v>
      </c>
    </row>
    <row r="47573" spans="1:1" x14ac:dyDescent="0.3">
      <c r="A47573" t="s">
        <v>0</v>
      </c>
    </row>
    <row r="47574" spans="1:1" x14ac:dyDescent="0.3">
      <c r="A47574" t="s">
        <v>0</v>
      </c>
    </row>
    <row r="47575" spans="1:1" x14ac:dyDescent="0.3">
      <c r="A47575" t="s">
        <v>0</v>
      </c>
    </row>
    <row r="47576" spans="1:1" x14ac:dyDescent="0.3">
      <c r="A47576" t="s">
        <v>0</v>
      </c>
    </row>
    <row r="47577" spans="1:1" x14ac:dyDescent="0.3">
      <c r="A47577" t="s">
        <v>0</v>
      </c>
    </row>
    <row r="47578" spans="1:1" x14ac:dyDescent="0.3">
      <c r="A47578" t="s">
        <v>0</v>
      </c>
    </row>
    <row r="47579" spans="1:1" x14ac:dyDescent="0.3">
      <c r="A47579" t="s">
        <v>0</v>
      </c>
    </row>
    <row r="47580" spans="1:1" x14ac:dyDescent="0.3">
      <c r="A47580" t="s">
        <v>0</v>
      </c>
    </row>
    <row r="47581" spans="1:1" x14ac:dyDescent="0.3">
      <c r="A47581" t="s">
        <v>0</v>
      </c>
    </row>
    <row r="47582" spans="1:1" x14ac:dyDescent="0.3">
      <c r="A47582" t="s">
        <v>0</v>
      </c>
    </row>
    <row r="47583" spans="1:1" x14ac:dyDescent="0.3">
      <c r="A47583" t="s">
        <v>0</v>
      </c>
    </row>
    <row r="47584" spans="1:1" x14ac:dyDescent="0.3">
      <c r="A47584" t="s">
        <v>0</v>
      </c>
    </row>
    <row r="47585" spans="1:1" x14ac:dyDescent="0.3">
      <c r="A47585" t="s">
        <v>0</v>
      </c>
    </row>
    <row r="47586" spans="1:1" x14ac:dyDescent="0.3">
      <c r="A47586" t="s">
        <v>0</v>
      </c>
    </row>
    <row r="47587" spans="1:1" x14ac:dyDescent="0.3">
      <c r="A47587" t="s">
        <v>0</v>
      </c>
    </row>
    <row r="47588" spans="1:1" x14ac:dyDescent="0.3">
      <c r="A47588" t="s">
        <v>0</v>
      </c>
    </row>
    <row r="47589" spans="1:1" x14ac:dyDescent="0.3">
      <c r="A47589" t="s">
        <v>0</v>
      </c>
    </row>
    <row r="47590" spans="1:1" x14ac:dyDescent="0.3">
      <c r="A47590" t="s">
        <v>0</v>
      </c>
    </row>
    <row r="47591" spans="1:1" x14ac:dyDescent="0.3">
      <c r="A47591" t="s">
        <v>0</v>
      </c>
    </row>
    <row r="47592" spans="1:1" x14ac:dyDescent="0.3">
      <c r="A47592" t="s">
        <v>0</v>
      </c>
    </row>
    <row r="47593" spans="1:1" x14ac:dyDescent="0.3">
      <c r="A47593" t="s">
        <v>0</v>
      </c>
    </row>
    <row r="47594" spans="1:1" x14ac:dyDescent="0.3">
      <c r="A47594" t="s">
        <v>0</v>
      </c>
    </row>
    <row r="47595" spans="1:1" x14ac:dyDescent="0.3">
      <c r="A47595" t="s">
        <v>0</v>
      </c>
    </row>
    <row r="47596" spans="1:1" x14ac:dyDescent="0.3">
      <c r="A47596" t="s">
        <v>0</v>
      </c>
    </row>
    <row r="47597" spans="1:1" x14ac:dyDescent="0.3">
      <c r="A47597" t="s">
        <v>0</v>
      </c>
    </row>
    <row r="47598" spans="1:1" x14ac:dyDescent="0.3">
      <c r="A47598" t="s">
        <v>0</v>
      </c>
    </row>
    <row r="47599" spans="1:1" x14ac:dyDescent="0.3">
      <c r="A47599" t="s">
        <v>0</v>
      </c>
    </row>
    <row r="47600" spans="1:1" x14ac:dyDescent="0.3">
      <c r="A47600" t="s">
        <v>0</v>
      </c>
    </row>
    <row r="47601" spans="1:1" x14ac:dyDescent="0.3">
      <c r="A47601" t="s">
        <v>0</v>
      </c>
    </row>
    <row r="47602" spans="1:1" x14ac:dyDescent="0.3">
      <c r="A47602" t="s">
        <v>0</v>
      </c>
    </row>
    <row r="47603" spans="1:1" x14ac:dyDescent="0.3">
      <c r="A47603" t="s">
        <v>0</v>
      </c>
    </row>
    <row r="47604" spans="1:1" x14ac:dyDescent="0.3">
      <c r="A47604" t="s">
        <v>0</v>
      </c>
    </row>
    <row r="47605" spans="1:1" x14ac:dyDescent="0.3">
      <c r="A47605" t="s">
        <v>0</v>
      </c>
    </row>
    <row r="47606" spans="1:1" x14ac:dyDescent="0.3">
      <c r="A47606" t="s">
        <v>0</v>
      </c>
    </row>
    <row r="47607" spans="1:1" x14ac:dyDescent="0.3">
      <c r="A47607" t="s">
        <v>0</v>
      </c>
    </row>
    <row r="47608" spans="1:1" x14ac:dyDescent="0.3">
      <c r="A47608" t="s">
        <v>0</v>
      </c>
    </row>
    <row r="47609" spans="1:1" x14ac:dyDescent="0.3">
      <c r="A47609" t="s">
        <v>0</v>
      </c>
    </row>
    <row r="47610" spans="1:1" x14ac:dyDescent="0.3">
      <c r="A47610" t="s">
        <v>0</v>
      </c>
    </row>
    <row r="47611" spans="1:1" x14ac:dyDescent="0.3">
      <c r="A47611" t="s">
        <v>0</v>
      </c>
    </row>
    <row r="47612" spans="1:1" x14ac:dyDescent="0.3">
      <c r="A47612" t="s">
        <v>0</v>
      </c>
    </row>
    <row r="47613" spans="1:1" x14ac:dyDescent="0.3">
      <c r="A47613" t="s">
        <v>0</v>
      </c>
    </row>
    <row r="47614" spans="1:1" x14ac:dyDescent="0.3">
      <c r="A47614" t="s">
        <v>0</v>
      </c>
    </row>
    <row r="47615" spans="1:1" x14ac:dyDescent="0.3">
      <c r="A47615" t="s">
        <v>0</v>
      </c>
    </row>
    <row r="47616" spans="1:1" x14ac:dyDescent="0.3">
      <c r="A47616" t="s">
        <v>0</v>
      </c>
    </row>
    <row r="47617" spans="1:1" x14ac:dyDescent="0.3">
      <c r="A47617" t="s">
        <v>0</v>
      </c>
    </row>
    <row r="47618" spans="1:1" x14ac:dyDescent="0.3">
      <c r="A47618" t="s">
        <v>0</v>
      </c>
    </row>
    <row r="47619" spans="1:1" x14ac:dyDescent="0.3">
      <c r="A47619" t="s">
        <v>0</v>
      </c>
    </row>
    <row r="47620" spans="1:1" x14ac:dyDescent="0.3">
      <c r="A47620" t="s">
        <v>0</v>
      </c>
    </row>
    <row r="47621" spans="1:1" x14ac:dyDescent="0.3">
      <c r="A47621" t="s">
        <v>0</v>
      </c>
    </row>
    <row r="47622" spans="1:1" x14ac:dyDescent="0.3">
      <c r="A47622" t="s">
        <v>0</v>
      </c>
    </row>
    <row r="47623" spans="1:1" x14ac:dyDescent="0.3">
      <c r="A47623" t="s">
        <v>0</v>
      </c>
    </row>
    <row r="47624" spans="1:1" x14ac:dyDescent="0.3">
      <c r="A47624" t="s">
        <v>0</v>
      </c>
    </row>
    <row r="47625" spans="1:1" x14ac:dyDescent="0.3">
      <c r="A47625" t="s">
        <v>0</v>
      </c>
    </row>
    <row r="47626" spans="1:1" x14ac:dyDescent="0.3">
      <c r="A47626" t="s">
        <v>0</v>
      </c>
    </row>
    <row r="47627" spans="1:1" x14ac:dyDescent="0.3">
      <c r="A47627" t="s">
        <v>0</v>
      </c>
    </row>
    <row r="47628" spans="1:1" x14ac:dyDescent="0.3">
      <c r="A47628" t="s">
        <v>0</v>
      </c>
    </row>
    <row r="47629" spans="1:1" x14ac:dyDescent="0.3">
      <c r="A47629" t="s">
        <v>0</v>
      </c>
    </row>
    <row r="47630" spans="1:1" x14ac:dyDescent="0.3">
      <c r="A47630" t="s">
        <v>0</v>
      </c>
    </row>
    <row r="47631" spans="1:1" x14ac:dyDescent="0.3">
      <c r="A47631" t="s">
        <v>0</v>
      </c>
    </row>
    <row r="47632" spans="1:1" x14ac:dyDescent="0.3">
      <c r="A47632" t="s">
        <v>0</v>
      </c>
    </row>
    <row r="47633" spans="1:1" x14ac:dyDescent="0.3">
      <c r="A47633" t="s">
        <v>0</v>
      </c>
    </row>
    <row r="47634" spans="1:1" x14ac:dyDescent="0.3">
      <c r="A47634" t="s">
        <v>0</v>
      </c>
    </row>
    <row r="47635" spans="1:1" x14ac:dyDescent="0.3">
      <c r="A47635" t="s">
        <v>0</v>
      </c>
    </row>
    <row r="47636" spans="1:1" x14ac:dyDescent="0.3">
      <c r="A47636" t="s">
        <v>0</v>
      </c>
    </row>
    <row r="47637" spans="1:1" x14ac:dyDescent="0.3">
      <c r="A47637" t="s">
        <v>0</v>
      </c>
    </row>
    <row r="47638" spans="1:1" x14ac:dyDescent="0.3">
      <c r="A47638" t="s">
        <v>0</v>
      </c>
    </row>
    <row r="47639" spans="1:1" x14ac:dyDescent="0.3">
      <c r="A47639" t="s">
        <v>0</v>
      </c>
    </row>
    <row r="47640" spans="1:1" x14ac:dyDescent="0.3">
      <c r="A47640" t="s">
        <v>0</v>
      </c>
    </row>
    <row r="47641" spans="1:1" x14ac:dyDescent="0.3">
      <c r="A47641" t="s">
        <v>0</v>
      </c>
    </row>
    <row r="47642" spans="1:1" x14ac:dyDescent="0.3">
      <c r="A47642" t="s">
        <v>0</v>
      </c>
    </row>
    <row r="47643" spans="1:1" x14ac:dyDescent="0.3">
      <c r="A47643" t="s">
        <v>0</v>
      </c>
    </row>
    <row r="47644" spans="1:1" x14ac:dyDescent="0.3">
      <c r="A47644" t="s">
        <v>0</v>
      </c>
    </row>
    <row r="47645" spans="1:1" x14ac:dyDescent="0.3">
      <c r="A47645" t="s">
        <v>0</v>
      </c>
    </row>
    <row r="47646" spans="1:1" x14ac:dyDescent="0.3">
      <c r="A47646" t="s">
        <v>0</v>
      </c>
    </row>
    <row r="47647" spans="1:1" x14ac:dyDescent="0.3">
      <c r="A47647" t="s">
        <v>0</v>
      </c>
    </row>
    <row r="47648" spans="1:1" x14ac:dyDescent="0.3">
      <c r="A47648" t="s">
        <v>0</v>
      </c>
    </row>
    <row r="47649" spans="1:1" x14ac:dyDescent="0.3">
      <c r="A47649" t="s">
        <v>0</v>
      </c>
    </row>
    <row r="47650" spans="1:1" x14ac:dyDescent="0.3">
      <c r="A47650" t="s">
        <v>0</v>
      </c>
    </row>
    <row r="47651" spans="1:1" x14ac:dyDescent="0.3">
      <c r="A47651" t="s">
        <v>0</v>
      </c>
    </row>
    <row r="47652" spans="1:1" x14ac:dyDescent="0.3">
      <c r="A47652" t="s">
        <v>0</v>
      </c>
    </row>
    <row r="47653" spans="1:1" x14ac:dyDescent="0.3">
      <c r="A47653" t="s">
        <v>0</v>
      </c>
    </row>
    <row r="47654" spans="1:1" x14ac:dyDescent="0.3">
      <c r="A47654" t="s">
        <v>0</v>
      </c>
    </row>
    <row r="47655" spans="1:1" x14ac:dyDescent="0.3">
      <c r="A47655" t="s">
        <v>0</v>
      </c>
    </row>
    <row r="47656" spans="1:1" x14ac:dyDescent="0.3">
      <c r="A47656" t="s">
        <v>0</v>
      </c>
    </row>
    <row r="47657" spans="1:1" x14ac:dyDescent="0.3">
      <c r="A47657" t="s">
        <v>0</v>
      </c>
    </row>
    <row r="47658" spans="1:1" x14ac:dyDescent="0.3">
      <c r="A47658" t="s">
        <v>0</v>
      </c>
    </row>
    <row r="47659" spans="1:1" x14ac:dyDescent="0.3">
      <c r="A47659" t="s">
        <v>0</v>
      </c>
    </row>
    <row r="47660" spans="1:1" x14ac:dyDescent="0.3">
      <c r="A47660" t="s">
        <v>0</v>
      </c>
    </row>
    <row r="47661" spans="1:1" x14ac:dyDescent="0.3">
      <c r="A47661" t="s">
        <v>0</v>
      </c>
    </row>
    <row r="47662" spans="1:1" x14ac:dyDescent="0.3">
      <c r="A47662" t="s">
        <v>0</v>
      </c>
    </row>
    <row r="47663" spans="1:1" x14ac:dyDescent="0.3">
      <c r="A47663" t="s">
        <v>0</v>
      </c>
    </row>
    <row r="47664" spans="1:1" x14ac:dyDescent="0.3">
      <c r="A47664" t="s">
        <v>0</v>
      </c>
    </row>
    <row r="47665" spans="1:1" x14ac:dyDescent="0.3">
      <c r="A47665" t="s">
        <v>0</v>
      </c>
    </row>
    <row r="47666" spans="1:1" x14ac:dyDescent="0.3">
      <c r="A47666" t="s">
        <v>0</v>
      </c>
    </row>
    <row r="47667" spans="1:1" x14ac:dyDescent="0.3">
      <c r="A47667" t="s">
        <v>0</v>
      </c>
    </row>
    <row r="47668" spans="1:1" x14ac:dyDescent="0.3">
      <c r="A47668" t="s">
        <v>0</v>
      </c>
    </row>
    <row r="47669" spans="1:1" x14ac:dyDescent="0.3">
      <c r="A47669" t="s">
        <v>0</v>
      </c>
    </row>
    <row r="47670" spans="1:1" x14ac:dyDescent="0.3">
      <c r="A47670" t="s">
        <v>0</v>
      </c>
    </row>
    <row r="47671" spans="1:1" x14ac:dyDescent="0.3">
      <c r="A47671" t="s">
        <v>0</v>
      </c>
    </row>
    <row r="47672" spans="1:1" x14ac:dyDescent="0.3">
      <c r="A47672" t="s">
        <v>0</v>
      </c>
    </row>
    <row r="47673" spans="1:1" x14ac:dyDescent="0.3">
      <c r="A47673" t="s">
        <v>0</v>
      </c>
    </row>
    <row r="47674" spans="1:1" x14ac:dyDescent="0.3">
      <c r="A47674" t="s">
        <v>0</v>
      </c>
    </row>
    <row r="47675" spans="1:1" x14ac:dyDescent="0.3">
      <c r="A47675" t="s">
        <v>0</v>
      </c>
    </row>
    <row r="47676" spans="1:1" x14ac:dyDescent="0.3">
      <c r="A47676" t="s">
        <v>0</v>
      </c>
    </row>
    <row r="47677" spans="1:1" x14ac:dyDescent="0.3">
      <c r="A47677" t="s">
        <v>0</v>
      </c>
    </row>
    <row r="47678" spans="1:1" x14ac:dyDescent="0.3">
      <c r="A47678" t="s">
        <v>0</v>
      </c>
    </row>
    <row r="47679" spans="1:1" x14ac:dyDescent="0.3">
      <c r="A47679" t="s">
        <v>0</v>
      </c>
    </row>
    <row r="47680" spans="1:1" x14ac:dyDescent="0.3">
      <c r="A47680" t="s">
        <v>0</v>
      </c>
    </row>
    <row r="47681" spans="1:1" x14ac:dyDescent="0.3">
      <c r="A47681" t="s">
        <v>0</v>
      </c>
    </row>
    <row r="47682" spans="1:1" x14ac:dyDescent="0.3">
      <c r="A47682" t="s">
        <v>0</v>
      </c>
    </row>
    <row r="47683" spans="1:1" x14ac:dyDescent="0.3">
      <c r="A47683" t="s">
        <v>0</v>
      </c>
    </row>
    <row r="47684" spans="1:1" x14ac:dyDescent="0.3">
      <c r="A47684" t="s">
        <v>0</v>
      </c>
    </row>
    <row r="47685" spans="1:1" x14ac:dyDescent="0.3">
      <c r="A47685" t="s">
        <v>0</v>
      </c>
    </row>
    <row r="47686" spans="1:1" x14ac:dyDescent="0.3">
      <c r="A47686" t="s">
        <v>0</v>
      </c>
    </row>
    <row r="47687" spans="1:1" x14ac:dyDescent="0.3">
      <c r="A47687" t="s">
        <v>0</v>
      </c>
    </row>
    <row r="47688" spans="1:1" x14ac:dyDescent="0.3">
      <c r="A47688" t="s">
        <v>0</v>
      </c>
    </row>
    <row r="47689" spans="1:1" x14ac:dyDescent="0.3">
      <c r="A47689" t="s">
        <v>0</v>
      </c>
    </row>
    <row r="47690" spans="1:1" x14ac:dyDescent="0.3">
      <c r="A47690" t="s">
        <v>0</v>
      </c>
    </row>
    <row r="47691" spans="1:1" x14ac:dyDescent="0.3">
      <c r="A47691" t="s">
        <v>0</v>
      </c>
    </row>
    <row r="47692" spans="1:1" x14ac:dyDescent="0.3">
      <c r="A47692" t="s">
        <v>0</v>
      </c>
    </row>
    <row r="47693" spans="1:1" x14ac:dyDescent="0.3">
      <c r="A47693" t="s">
        <v>0</v>
      </c>
    </row>
    <row r="47694" spans="1:1" x14ac:dyDescent="0.3">
      <c r="A47694" t="s">
        <v>0</v>
      </c>
    </row>
    <row r="47695" spans="1:1" x14ac:dyDescent="0.3">
      <c r="A47695" t="s">
        <v>0</v>
      </c>
    </row>
    <row r="47696" spans="1:1" x14ac:dyDescent="0.3">
      <c r="A47696" t="s">
        <v>0</v>
      </c>
    </row>
    <row r="47697" spans="1:1" x14ac:dyDescent="0.3">
      <c r="A47697" t="s">
        <v>0</v>
      </c>
    </row>
    <row r="47698" spans="1:1" x14ac:dyDescent="0.3">
      <c r="A47698" t="s">
        <v>0</v>
      </c>
    </row>
    <row r="47699" spans="1:1" x14ac:dyDescent="0.3">
      <c r="A47699" t="s">
        <v>0</v>
      </c>
    </row>
    <row r="47700" spans="1:1" x14ac:dyDescent="0.3">
      <c r="A47700" t="s">
        <v>0</v>
      </c>
    </row>
    <row r="47701" spans="1:1" x14ac:dyDescent="0.3">
      <c r="A47701" t="s">
        <v>0</v>
      </c>
    </row>
    <row r="47702" spans="1:1" x14ac:dyDescent="0.3">
      <c r="A47702" t="s">
        <v>0</v>
      </c>
    </row>
    <row r="47703" spans="1:1" x14ac:dyDescent="0.3">
      <c r="A47703" t="s">
        <v>0</v>
      </c>
    </row>
    <row r="47704" spans="1:1" x14ac:dyDescent="0.3">
      <c r="A47704" t="s">
        <v>0</v>
      </c>
    </row>
    <row r="47705" spans="1:1" x14ac:dyDescent="0.3">
      <c r="A47705" t="s">
        <v>0</v>
      </c>
    </row>
    <row r="47706" spans="1:1" x14ac:dyDescent="0.3">
      <c r="A47706" t="s">
        <v>0</v>
      </c>
    </row>
    <row r="47707" spans="1:1" x14ac:dyDescent="0.3">
      <c r="A47707" t="s">
        <v>0</v>
      </c>
    </row>
    <row r="47708" spans="1:1" x14ac:dyDescent="0.3">
      <c r="A47708" t="s">
        <v>0</v>
      </c>
    </row>
    <row r="47709" spans="1:1" x14ac:dyDescent="0.3">
      <c r="A47709" t="s">
        <v>0</v>
      </c>
    </row>
    <row r="47710" spans="1:1" x14ac:dyDescent="0.3">
      <c r="A47710" t="s">
        <v>0</v>
      </c>
    </row>
    <row r="47711" spans="1:1" x14ac:dyDescent="0.3">
      <c r="A47711" t="s">
        <v>0</v>
      </c>
    </row>
    <row r="47712" spans="1:1" x14ac:dyDescent="0.3">
      <c r="A47712" t="s">
        <v>0</v>
      </c>
    </row>
    <row r="47713" spans="1:1" x14ac:dyDescent="0.3">
      <c r="A47713" t="s">
        <v>0</v>
      </c>
    </row>
    <row r="47714" spans="1:1" x14ac:dyDescent="0.3">
      <c r="A47714" t="s">
        <v>0</v>
      </c>
    </row>
    <row r="47715" spans="1:1" x14ac:dyDescent="0.3">
      <c r="A47715" t="s">
        <v>0</v>
      </c>
    </row>
    <row r="47716" spans="1:1" x14ac:dyDescent="0.3">
      <c r="A47716" t="s">
        <v>0</v>
      </c>
    </row>
    <row r="47717" spans="1:1" x14ac:dyDescent="0.3">
      <c r="A47717" t="s">
        <v>0</v>
      </c>
    </row>
    <row r="47718" spans="1:1" x14ac:dyDescent="0.3">
      <c r="A47718" t="s">
        <v>0</v>
      </c>
    </row>
    <row r="47719" spans="1:1" x14ac:dyDescent="0.3">
      <c r="A47719" t="s">
        <v>0</v>
      </c>
    </row>
    <row r="47720" spans="1:1" x14ac:dyDescent="0.3">
      <c r="A47720" t="s">
        <v>0</v>
      </c>
    </row>
    <row r="47721" spans="1:1" x14ac:dyDescent="0.3">
      <c r="A47721" t="s">
        <v>0</v>
      </c>
    </row>
    <row r="47722" spans="1:1" x14ac:dyDescent="0.3">
      <c r="A47722" t="s">
        <v>0</v>
      </c>
    </row>
    <row r="47723" spans="1:1" x14ac:dyDescent="0.3">
      <c r="A47723" t="s">
        <v>0</v>
      </c>
    </row>
    <row r="47724" spans="1:1" x14ac:dyDescent="0.3">
      <c r="A47724" t="s">
        <v>0</v>
      </c>
    </row>
    <row r="47725" spans="1:1" x14ac:dyDescent="0.3">
      <c r="A47725" t="s">
        <v>0</v>
      </c>
    </row>
    <row r="47726" spans="1:1" x14ac:dyDescent="0.3">
      <c r="A47726" t="s">
        <v>0</v>
      </c>
    </row>
    <row r="47727" spans="1:1" x14ac:dyDescent="0.3">
      <c r="A47727" t="s">
        <v>0</v>
      </c>
    </row>
    <row r="47728" spans="1:1" x14ac:dyDescent="0.3">
      <c r="A47728" t="s">
        <v>0</v>
      </c>
    </row>
    <row r="47729" spans="1:1" x14ac:dyDescent="0.3">
      <c r="A47729" t="s">
        <v>0</v>
      </c>
    </row>
    <row r="47730" spans="1:1" x14ac:dyDescent="0.3">
      <c r="A47730" t="s">
        <v>0</v>
      </c>
    </row>
    <row r="47731" spans="1:1" x14ac:dyDescent="0.3">
      <c r="A47731" t="s">
        <v>0</v>
      </c>
    </row>
    <row r="47732" spans="1:1" x14ac:dyDescent="0.3">
      <c r="A47732" t="s">
        <v>0</v>
      </c>
    </row>
    <row r="47733" spans="1:1" x14ac:dyDescent="0.3">
      <c r="A47733" t="s">
        <v>0</v>
      </c>
    </row>
    <row r="47734" spans="1:1" x14ac:dyDescent="0.3">
      <c r="A47734" t="s">
        <v>0</v>
      </c>
    </row>
    <row r="47735" spans="1:1" x14ac:dyDescent="0.3">
      <c r="A47735" t="s">
        <v>0</v>
      </c>
    </row>
    <row r="47736" spans="1:1" x14ac:dyDescent="0.3">
      <c r="A47736" t="s">
        <v>0</v>
      </c>
    </row>
    <row r="47737" spans="1:1" x14ac:dyDescent="0.3">
      <c r="A47737" t="s">
        <v>0</v>
      </c>
    </row>
    <row r="47738" spans="1:1" x14ac:dyDescent="0.3">
      <c r="A47738" t="s">
        <v>0</v>
      </c>
    </row>
    <row r="47739" spans="1:1" x14ac:dyDescent="0.3">
      <c r="A47739" t="s">
        <v>0</v>
      </c>
    </row>
    <row r="47740" spans="1:1" x14ac:dyDescent="0.3">
      <c r="A47740" t="s">
        <v>0</v>
      </c>
    </row>
    <row r="47741" spans="1:1" x14ac:dyDescent="0.3">
      <c r="A47741" t="s">
        <v>0</v>
      </c>
    </row>
    <row r="47742" spans="1:1" x14ac:dyDescent="0.3">
      <c r="A47742" t="s">
        <v>0</v>
      </c>
    </row>
    <row r="47743" spans="1:1" x14ac:dyDescent="0.3">
      <c r="A47743" t="s">
        <v>0</v>
      </c>
    </row>
    <row r="47744" spans="1:1" x14ac:dyDescent="0.3">
      <c r="A47744" t="s">
        <v>0</v>
      </c>
    </row>
    <row r="47745" spans="1:1" x14ac:dyDescent="0.3">
      <c r="A47745" t="s">
        <v>0</v>
      </c>
    </row>
    <row r="47746" spans="1:1" x14ac:dyDescent="0.3">
      <c r="A47746" t="s">
        <v>0</v>
      </c>
    </row>
    <row r="47747" spans="1:1" x14ac:dyDescent="0.3">
      <c r="A47747" t="s">
        <v>0</v>
      </c>
    </row>
    <row r="47748" spans="1:1" x14ac:dyDescent="0.3">
      <c r="A47748" t="s">
        <v>0</v>
      </c>
    </row>
    <row r="47749" spans="1:1" x14ac:dyDescent="0.3">
      <c r="A47749" t="s">
        <v>0</v>
      </c>
    </row>
    <row r="47750" spans="1:1" x14ac:dyDescent="0.3">
      <c r="A47750" t="s">
        <v>0</v>
      </c>
    </row>
    <row r="47751" spans="1:1" x14ac:dyDescent="0.3">
      <c r="A47751" t="s">
        <v>0</v>
      </c>
    </row>
    <row r="47752" spans="1:1" x14ac:dyDescent="0.3">
      <c r="A47752" t="s">
        <v>0</v>
      </c>
    </row>
    <row r="47753" spans="1:1" x14ac:dyDescent="0.3">
      <c r="A47753" t="s">
        <v>0</v>
      </c>
    </row>
    <row r="47754" spans="1:1" x14ac:dyDescent="0.3">
      <c r="A47754" t="s">
        <v>0</v>
      </c>
    </row>
    <row r="47755" spans="1:1" x14ac:dyDescent="0.3">
      <c r="A47755" t="s">
        <v>0</v>
      </c>
    </row>
    <row r="47756" spans="1:1" x14ac:dyDescent="0.3">
      <c r="A47756" t="s">
        <v>0</v>
      </c>
    </row>
    <row r="47757" spans="1:1" x14ac:dyDescent="0.3">
      <c r="A47757" t="s">
        <v>0</v>
      </c>
    </row>
    <row r="47758" spans="1:1" x14ac:dyDescent="0.3">
      <c r="A47758" t="s">
        <v>0</v>
      </c>
    </row>
    <row r="47759" spans="1:1" x14ac:dyDescent="0.3">
      <c r="A47759" t="s">
        <v>0</v>
      </c>
    </row>
    <row r="47760" spans="1:1" x14ac:dyDescent="0.3">
      <c r="A47760" t="s">
        <v>0</v>
      </c>
    </row>
    <row r="47761" spans="1:1" x14ac:dyDescent="0.3">
      <c r="A47761" t="s">
        <v>0</v>
      </c>
    </row>
    <row r="47762" spans="1:1" x14ac:dyDescent="0.3">
      <c r="A47762" t="s">
        <v>0</v>
      </c>
    </row>
    <row r="47763" spans="1:1" x14ac:dyDescent="0.3">
      <c r="A47763" t="s">
        <v>0</v>
      </c>
    </row>
    <row r="47764" spans="1:1" x14ac:dyDescent="0.3">
      <c r="A47764" t="s">
        <v>0</v>
      </c>
    </row>
    <row r="47765" spans="1:1" x14ac:dyDescent="0.3">
      <c r="A47765" t="s">
        <v>0</v>
      </c>
    </row>
    <row r="47766" spans="1:1" x14ac:dyDescent="0.3">
      <c r="A47766" t="s">
        <v>0</v>
      </c>
    </row>
    <row r="47767" spans="1:1" x14ac:dyDescent="0.3">
      <c r="A47767" t="s">
        <v>0</v>
      </c>
    </row>
    <row r="47768" spans="1:1" x14ac:dyDescent="0.3">
      <c r="A47768" t="s">
        <v>0</v>
      </c>
    </row>
    <row r="47769" spans="1:1" x14ac:dyDescent="0.3">
      <c r="A47769" t="s">
        <v>0</v>
      </c>
    </row>
    <row r="47770" spans="1:1" x14ac:dyDescent="0.3">
      <c r="A47770" t="s">
        <v>0</v>
      </c>
    </row>
    <row r="47771" spans="1:1" x14ac:dyDescent="0.3">
      <c r="A47771" t="s">
        <v>0</v>
      </c>
    </row>
    <row r="47772" spans="1:1" x14ac:dyDescent="0.3">
      <c r="A47772" t="s">
        <v>0</v>
      </c>
    </row>
    <row r="47773" spans="1:1" x14ac:dyDescent="0.3">
      <c r="A47773" t="s">
        <v>0</v>
      </c>
    </row>
    <row r="47774" spans="1:1" x14ac:dyDescent="0.3">
      <c r="A47774" t="s">
        <v>0</v>
      </c>
    </row>
    <row r="47775" spans="1:1" x14ac:dyDescent="0.3">
      <c r="A47775" t="s">
        <v>0</v>
      </c>
    </row>
    <row r="47776" spans="1:1" x14ac:dyDescent="0.3">
      <c r="A47776" t="s">
        <v>0</v>
      </c>
    </row>
    <row r="47777" spans="1:1" x14ac:dyDescent="0.3">
      <c r="A47777" t="s">
        <v>0</v>
      </c>
    </row>
    <row r="47778" spans="1:1" x14ac:dyDescent="0.3">
      <c r="A47778" t="s">
        <v>0</v>
      </c>
    </row>
    <row r="47779" spans="1:1" x14ac:dyDescent="0.3">
      <c r="A47779" t="s">
        <v>0</v>
      </c>
    </row>
    <row r="47780" spans="1:1" x14ac:dyDescent="0.3">
      <c r="A47780" t="s">
        <v>0</v>
      </c>
    </row>
    <row r="47781" spans="1:1" x14ac:dyDescent="0.3">
      <c r="A47781" t="s">
        <v>0</v>
      </c>
    </row>
    <row r="47782" spans="1:1" x14ac:dyDescent="0.3">
      <c r="A47782" t="s">
        <v>0</v>
      </c>
    </row>
    <row r="47783" spans="1:1" x14ac:dyDescent="0.3">
      <c r="A47783" t="s">
        <v>0</v>
      </c>
    </row>
    <row r="47784" spans="1:1" x14ac:dyDescent="0.3">
      <c r="A47784" t="s">
        <v>0</v>
      </c>
    </row>
    <row r="47785" spans="1:1" x14ac:dyDescent="0.3">
      <c r="A47785" t="s">
        <v>0</v>
      </c>
    </row>
    <row r="47786" spans="1:1" x14ac:dyDescent="0.3">
      <c r="A47786" t="s">
        <v>0</v>
      </c>
    </row>
    <row r="47787" spans="1:1" x14ac:dyDescent="0.3">
      <c r="A47787" t="s">
        <v>0</v>
      </c>
    </row>
    <row r="47788" spans="1:1" x14ac:dyDescent="0.3">
      <c r="A47788" t="s">
        <v>0</v>
      </c>
    </row>
    <row r="47789" spans="1:1" x14ac:dyDescent="0.3">
      <c r="A47789" t="s">
        <v>0</v>
      </c>
    </row>
    <row r="47790" spans="1:1" x14ac:dyDescent="0.3">
      <c r="A47790" t="s">
        <v>0</v>
      </c>
    </row>
    <row r="47791" spans="1:1" x14ac:dyDescent="0.3">
      <c r="A47791" t="s">
        <v>0</v>
      </c>
    </row>
    <row r="47792" spans="1:1" x14ac:dyDescent="0.3">
      <c r="A47792" t="s">
        <v>0</v>
      </c>
    </row>
    <row r="47793" spans="1:1" x14ac:dyDescent="0.3">
      <c r="A47793" t="s">
        <v>0</v>
      </c>
    </row>
    <row r="47794" spans="1:1" x14ac:dyDescent="0.3">
      <c r="A47794" t="s">
        <v>0</v>
      </c>
    </row>
    <row r="47795" spans="1:1" x14ac:dyDescent="0.3">
      <c r="A47795" t="s">
        <v>0</v>
      </c>
    </row>
    <row r="47796" spans="1:1" x14ac:dyDescent="0.3">
      <c r="A47796" t="s">
        <v>0</v>
      </c>
    </row>
    <row r="47797" spans="1:1" x14ac:dyDescent="0.3">
      <c r="A47797" t="s">
        <v>0</v>
      </c>
    </row>
    <row r="47798" spans="1:1" x14ac:dyDescent="0.3">
      <c r="A47798" t="s">
        <v>0</v>
      </c>
    </row>
    <row r="47799" spans="1:1" x14ac:dyDescent="0.3">
      <c r="A47799" t="s">
        <v>0</v>
      </c>
    </row>
    <row r="47800" spans="1:1" x14ac:dyDescent="0.3">
      <c r="A47800" t="s">
        <v>0</v>
      </c>
    </row>
    <row r="47801" spans="1:1" x14ac:dyDescent="0.3">
      <c r="A47801" t="s">
        <v>0</v>
      </c>
    </row>
    <row r="47802" spans="1:1" x14ac:dyDescent="0.3">
      <c r="A47802" t="s">
        <v>0</v>
      </c>
    </row>
    <row r="47803" spans="1:1" x14ac:dyDescent="0.3">
      <c r="A47803" t="s">
        <v>0</v>
      </c>
    </row>
    <row r="47804" spans="1:1" x14ac:dyDescent="0.3">
      <c r="A47804" t="s">
        <v>0</v>
      </c>
    </row>
    <row r="47805" spans="1:1" x14ac:dyDescent="0.3">
      <c r="A47805" t="s">
        <v>0</v>
      </c>
    </row>
    <row r="47806" spans="1:1" x14ac:dyDescent="0.3">
      <c r="A47806" t="s">
        <v>0</v>
      </c>
    </row>
    <row r="47807" spans="1:1" x14ac:dyDescent="0.3">
      <c r="A47807" t="s">
        <v>0</v>
      </c>
    </row>
    <row r="47808" spans="1:1" x14ac:dyDescent="0.3">
      <c r="A47808" t="s">
        <v>0</v>
      </c>
    </row>
    <row r="47809" spans="1:1" x14ac:dyDescent="0.3">
      <c r="A47809" t="s">
        <v>0</v>
      </c>
    </row>
    <row r="47810" spans="1:1" x14ac:dyDescent="0.3">
      <c r="A47810" t="s">
        <v>0</v>
      </c>
    </row>
    <row r="47811" spans="1:1" x14ac:dyDescent="0.3">
      <c r="A47811" t="s">
        <v>0</v>
      </c>
    </row>
    <row r="47812" spans="1:1" x14ac:dyDescent="0.3">
      <c r="A47812" t="s">
        <v>0</v>
      </c>
    </row>
    <row r="47813" spans="1:1" x14ac:dyDescent="0.3">
      <c r="A47813" t="s">
        <v>0</v>
      </c>
    </row>
    <row r="47814" spans="1:1" x14ac:dyDescent="0.3">
      <c r="A47814" t="s">
        <v>0</v>
      </c>
    </row>
    <row r="47815" spans="1:1" x14ac:dyDescent="0.3">
      <c r="A47815" t="s">
        <v>0</v>
      </c>
    </row>
    <row r="47816" spans="1:1" x14ac:dyDescent="0.3">
      <c r="A47816" t="s">
        <v>0</v>
      </c>
    </row>
    <row r="47817" spans="1:1" x14ac:dyDescent="0.3">
      <c r="A47817" t="s">
        <v>0</v>
      </c>
    </row>
    <row r="47818" spans="1:1" x14ac:dyDescent="0.3">
      <c r="A47818" t="s">
        <v>0</v>
      </c>
    </row>
    <row r="47819" spans="1:1" x14ac:dyDescent="0.3">
      <c r="A47819" t="s">
        <v>0</v>
      </c>
    </row>
    <row r="47820" spans="1:1" x14ac:dyDescent="0.3">
      <c r="A47820" t="s">
        <v>0</v>
      </c>
    </row>
    <row r="47821" spans="1:1" x14ac:dyDescent="0.3">
      <c r="A47821" t="s">
        <v>0</v>
      </c>
    </row>
    <row r="47822" spans="1:1" x14ac:dyDescent="0.3">
      <c r="A47822" t="s">
        <v>0</v>
      </c>
    </row>
    <row r="47823" spans="1:1" x14ac:dyDescent="0.3">
      <c r="A47823" t="s">
        <v>0</v>
      </c>
    </row>
    <row r="47824" spans="1:1" x14ac:dyDescent="0.3">
      <c r="A47824" t="s">
        <v>0</v>
      </c>
    </row>
    <row r="47825" spans="1:1" x14ac:dyDescent="0.3">
      <c r="A47825" t="s">
        <v>0</v>
      </c>
    </row>
    <row r="47826" spans="1:1" x14ac:dyDescent="0.3">
      <c r="A47826" t="s">
        <v>0</v>
      </c>
    </row>
    <row r="47827" spans="1:1" x14ac:dyDescent="0.3">
      <c r="A47827" t="s">
        <v>0</v>
      </c>
    </row>
    <row r="47828" spans="1:1" x14ac:dyDescent="0.3">
      <c r="A47828" t="s">
        <v>0</v>
      </c>
    </row>
    <row r="47829" spans="1:1" x14ac:dyDescent="0.3">
      <c r="A47829" t="s">
        <v>0</v>
      </c>
    </row>
    <row r="47830" spans="1:1" x14ac:dyDescent="0.3">
      <c r="A47830" t="s">
        <v>0</v>
      </c>
    </row>
    <row r="47831" spans="1:1" x14ac:dyDescent="0.3">
      <c r="A47831" t="s">
        <v>0</v>
      </c>
    </row>
    <row r="47832" spans="1:1" x14ac:dyDescent="0.3">
      <c r="A47832" t="s">
        <v>0</v>
      </c>
    </row>
    <row r="47833" spans="1:1" x14ac:dyDescent="0.3">
      <c r="A47833" t="s">
        <v>0</v>
      </c>
    </row>
    <row r="47834" spans="1:1" x14ac:dyDescent="0.3">
      <c r="A47834" t="s">
        <v>0</v>
      </c>
    </row>
    <row r="47835" spans="1:1" x14ac:dyDescent="0.3">
      <c r="A47835" t="s">
        <v>0</v>
      </c>
    </row>
    <row r="47836" spans="1:1" x14ac:dyDescent="0.3">
      <c r="A47836" t="s">
        <v>0</v>
      </c>
    </row>
    <row r="47837" spans="1:1" x14ac:dyDescent="0.3">
      <c r="A47837" t="s">
        <v>0</v>
      </c>
    </row>
    <row r="47838" spans="1:1" x14ac:dyDescent="0.3">
      <c r="A47838" t="s">
        <v>0</v>
      </c>
    </row>
    <row r="47839" spans="1:1" x14ac:dyDescent="0.3">
      <c r="A47839" t="s">
        <v>0</v>
      </c>
    </row>
    <row r="47840" spans="1:1" x14ac:dyDescent="0.3">
      <c r="A47840" t="s">
        <v>0</v>
      </c>
    </row>
    <row r="47841" spans="1:1" x14ac:dyDescent="0.3">
      <c r="A47841" t="s">
        <v>0</v>
      </c>
    </row>
    <row r="47842" spans="1:1" x14ac:dyDescent="0.3">
      <c r="A47842" t="s">
        <v>0</v>
      </c>
    </row>
    <row r="47843" spans="1:1" x14ac:dyDescent="0.3">
      <c r="A47843" t="s">
        <v>0</v>
      </c>
    </row>
    <row r="47844" spans="1:1" x14ac:dyDescent="0.3">
      <c r="A47844" t="s">
        <v>0</v>
      </c>
    </row>
    <row r="47845" spans="1:1" x14ac:dyDescent="0.3">
      <c r="A47845" t="s">
        <v>0</v>
      </c>
    </row>
    <row r="47846" spans="1:1" x14ac:dyDescent="0.3">
      <c r="A47846" t="s">
        <v>0</v>
      </c>
    </row>
    <row r="47847" spans="1:1" x14ac:dyDescent="0.3">
      <c r="A47847" t="s">
        <v>0</v>
      </c>
    </row>
    <row r="47848" spans="1:1" x14ac:dyDescent="0.3">
      <c r="A47848" t="s">
        <v>0</v>
      </c>
    </row>
    <row r="47849" spans="1:1" x14ac:dyDescent="0.3">
      <c r="A47849" t="s">
        <v>0</v>
      </c>
    </row>
    <row r="47850" spans="1:1" x14ac:dyDescent="0.3">
      <c r="A47850" t="s">
        <v>0</v>
      </c>
    </row>
    <row r="47851" spans="1:1" x14ac:dyDescent="0.3">
      <c r="A47851" t="s">
        <v>0</v>
      </c>
    </row>
    <row r="47852" spans="1:1" x14ac:dyDescent="0.3">
      <c r="A47852" t="s">
        <v>0</v>
      </c>
    </row>
    <row r="47853" spans="1:1" x14ac:dyDescent="0.3">
      <c r="A47853" t="s">
        <v>0</v>
      </c>
    </row>
    <row r="47854" spans="1:1" x14ac:dyDescent="0.3">
      <c r="A47854" t="s">
        <v>0</v>
      </c>
    </row>
    <row r="47855" spans="1:1" x14ac:dyDescent="0.3">
      <c r="A47855" t="s">
        <v>0</v>
      </c>
    </row>
    <row r="47856" spans="1:1" x14ac:dyDescent="0.3">
      <c r="A47856" t="s">
        <v>0</v>
      </c>
    </row>
    <row r="47857" spans="1:1" x14ac:dyDescent="0.3">
      <c r="A47857" t="s">
        <v>0</v>
      </c>
    </row>
    <row r="47858" spans="1:1" x14ac:dyDescent="0.3">
      <c r="A47858" t="s">
        <v>0</v>
      </c>
    </row>
    <row r="47859" spans="1:1" x14ac:dyDescent="0.3">
      <c r="A47859" t="s">
        <v>0</v>
      </c>
    </row>
    <row r="47860" spans="1:1" x14ac:dyDescent="0.3">
      <c r="A47860" t="s">
        <v>0</v>
      </c>
    </row>
    <row r="47861" spans="1:1" x14ac:dyDescent="0.3">
      <c r="A47861" t="s">
        <v>0</v>
      </c>
    </row>
    <row r="47862" spans="1:1" x14ac:dyDescent="0.3">
      <c r="A47862" t="s">
        <v>0</v>
      </c>
    </row>
    <row r="47863" spans="1:1" x14ac:dyDescent="0.3">
      <c r="A47863" t="s">
        <v>0</v>
      </c>
    </row>
    <row r="47864" spans="1:1" x14ac:dyDescent="0.3">
      <c r="A47864" t="s">
        <v>0</v>
      </c>
    </row>
    <row r="47865" spans="1:1" x14ac:dyDescent="0.3">
      <c r="A47865" t="s">
        <v>0</v>
      </c>
    </row>
    <row r="47866" spans="1:1" x14ac:dyDescent="0.3">
      <c r="A47866" t="s">
        <v>0</v>
      </c>
    </row>
    <row r="47867" spans="1:1" x14ac:dyDescent="0.3">
      <c r="A47867" t="s">
        <v>0</v>
      </c>
    </row>
    <row r="47868" spans="1:1" x14ac:dyDescent="0.3">
      <c r="A47868" t="s">
        <v>0</v>
      </c>
    </row>
    <row r="47869" spans="1:1" x14ac:dyDescent="0.3">
      <c r="A47869" t="s">
        <v>0</v>
      </c>
    </row>
    <row r="47870" spans="1:1" x14ac:dyDescent="0.3">
      <c r="A47870" t="s">
        <v>0</v>
      </c>
    </row>
    <row r="47871" spans="1:1" x14ac:dyDescent="0.3">
      <c r="A47871" t="s">
        <v>0</v>
      </c>
    </row>
    <row r="47872" spans="1:1" x14ac:dyDescent="0.3">
      <c r="A47872" t="s">
        <v>0</v>
      </c>
    </row>
    <row r="47873" spans="1:1" x14ac:dyDescent="0.3">
      <c r="A47873" t="s">
        <v>0</v>
      </c>
    </row>
    <row r="47874" spans="1:1" x14ac:dyDescent="0.3">
      <c r="A47874" t="s">
        <v>0</v>
      </c>
    </row>
    <row r="47875" spans="1:1" x14ac:dyDescent="0.3">
      <c r="A47875" t="s">
        <v>0</v>
      </c>
    </row>
    <row r="47876" spans="1:1" x14ac:dyDescent="0.3">
      <c r="A47876" t="s">
        <v>0</v>
      </c>
    </row>
    <row r="47877" spans="1:1" x14ac:dyDescent="0.3">
      <c r="A47877" t="s">
        <v>0</v>
      </c>
    </row>
    <row r="47878" spans="1:1" x14ac:dyDescent="0.3">
      <c r="A47878" t="s">
        <v>0</v>
      </c>
    </row>
    <row r="47879" spans="1:1" x14ac:dyDescent="0.3">
      <c r="A47879" t="s">
        <v>0</v>
      </c>
    </row>
    <row r="47880" spans="1:1" x14ac:dyDescent="0.3">
      <c r="A47880" t="s">
        <v>0</v>
      </c>
    </row>
    <row r="47881" spans="1:1" x14ac:dyDescent="0.3">
      <c r="A47881" t="s">
        <v>0</v>
      </c>
    </row>
    <row r="47882" spans="1:1" x14ac:dyDescent="0.3">
      <c r="A47882" t="s">
        <v>0</v>
      </c>
    </row>
    <row r="47883" spans="1:1" x14ac:dyDescent="0.3">
      <c r="A47883" t="s">
        <v>0</v>
      </c>
    </row>
    <row r="47884" spans="1:1" x14ac:dyDescent="0.3">
      <c r="A47884" t="s">
        <v>0</v>
      </c>
    </row>
    <row r="47885" spans="1:1" x14ac:dyDescent="0.3">
      <c r="A47885" t="s">
        <v>0</v>
      </c>
    </row>
    <row r="47886" spans="1:1" x14ac:dyDescent="0.3">
      <c r="A47886" t="s">
        <v>0</v>
      </c>
    </row>
    <row r="47887" spans="1:1" x14ac:dyDescent="0.3">
      <c r="A47887" t="s">
        <v>0</v>
      </c>
    </row>
    <row r="47888" spans="1:1" x14ac:dyDescent="0.3">
      <c r="A47888" t="s">
        <v>0</v>
      </c>
    </row>
    <row r="47889" spans="1:1" x14ac:dyDescent="0.3">
      <c r="A47889" t="s">
        <v>0</v>
      </c>
    </row>
    <row r="47890" spans="1:1" x14ac:dyDescent="0.3">
      <c r="A47890" t="s">
        <v>0</v>
      </c>
    </row>
    <row r="47891" spans="1:1" x14ac:dyDescent="0.3">
      <c r="A47891" t="s">
        <v>0</v>
      </c>
    </row>
    <row r="47892" spans="1:1" x14ac:dyDescent="0.3">
      <c r="A47892" t="s">
        <v>0</v>
      </c>
    </row>
    <row r="47893" spans="1:1" x14ac:dyDescent="0.3">
      <c r="A47893" t="s">
        <v>0</v>
      </c>
    </row>
    <row r="47894" spans="1:1" x14ac:dyDescent="0.3">
      <c r="A47894" t="s">
        <v>0</v>
      </c>
    </row>
    <row r="47895" spans="1:1" x14ac:dyDescent="0.3">
      <c r="A47895" t="s">
        <v>0</v>
      </c>
    </row>
    <row r="47896" spans="1:1" x14ac:dyDescent="0.3">
      <c r="A47896" t="s">
        <v>0</v>
      </c>
    </row>
    <row r="47897" spans="1:1" x14ac:dyDescent="0.3">
      <c r="A47897" t="s">
        <v>0</v>
      </c>
    </row>
    <row r="47898" spans="1:1" x14ac:dyDescent="0.3">
      <c r="A47898" t="s">
        <v>0</v>
      </c>
    </row>
    <row r="47899" spans="1:1" x14ac:dyDescent="0.3">
      <c r="A47899" t="s">
        <v>0</v>
      </c>
    </row>
    <row r="47900" spans="1:1" x14ac:dyDescent="0.3">
      <c r="A47900" t="s">
        <v>0</v>
      </c>
    </row>
    <row r="47901" spans="1:1" x14ac:dyDescent="0.3">
      <c r="A47901" t="s">
        <v>0</v>
      </c>
    </row>
    <row r="47902" spans="1:1" x14ac:dyDescent="0.3">
      <c r="A47902" t="s">
        <v>0</v>
      </c>
    </row>
    <row r="47903" spans="1:1" x14ac:dyDescent="0.3">
      <c r="A47903" t="s">
        <v>0</v>
      </c>
    </row>
    <row r="47904" spans="1:1" x14ac:dyDescent="0.3">
      <c r="A47904" t="s">
        <v>0</v>
      </c>
    </row>
    <row r="47905" spans="1:1" x14ac:dyDescent="0.3">
      <c r="A47905" t="s">
        <v>0</v>
      </c>
    </row>
    <row r="47906" spans="1:1" x14ac:dyDescent="0.3">
      <c r="A47906" t="s">
        <v>0</v>
      </c>
    </row>
    <row r="47907" spans="1:1" x14ac:dyDescent="0.3">
      <c r="A47907" t="s">
        <v>0</v>
      </c>
    </row>
    <row r="47908" spans="1:1" x14ac:dyDescent="0.3">
      <c r="A47908" t="s">
        <v>0</v>
      </c>
    </row>
    <row r="47909" spans="1:1" x14ac:dyDescent="0.3">
      <c r="A47909" t="s">
        <v>0</v>
      </c>
    </row>
    <row r="47910" spans="1:1" x14ac:dyDescent="0.3">
      <c r="A47910" t="s">
        <v>0</v>
      </c>
    </row>
    <row r="47911" spans="1:1" x14ac:dyDescent="0.3">
      <c r="A47911" t="s">
        <v>0</v>
      </c>
    </row>
    <row r="47912" spans="1:1" x14ac:dyDescent="0.3">
      <c r="A47912" t="s">
        <v>0</v>
      </c>
    </row>
    <row r="47913" spans="1:1" x14ac:dyDescent="0.3">
      <c r="A47913" t="s">
        <v>0</v>
      </c>
    </row>
    <row r="47914" spans="1:1" x14ac:dyDescent="0.3">
      <c r="A47914" t="s">
        <v>0</v>
      </c>
    </row>
    <row r="47915" spans="1:1" x14ac:dyDescent="0.3">
      <c r="A47915" t="s">
        <v>0</v>
      </c>
    </row>
    <row r="47916" spans="1:1" x14ac:dyDescent="0.3">
      <c r="A47916" t="s">
        <v>0</v>
      </c>
    </row>
    <row r="47917" spans="1:1" x14ac:dyDescent="0.3">
      <c r="A47917" t="s">
        <v>0</v>
      </c>
    </row>
    <row r="47918" spans="1:1" x14ac:dyDescent="0.3">
      <c r="A47918" t="s">
        <v>0</v>
      </c>
    </row>
    <row r="47919" spans="1:1" x14ac:dyDescent="0.3">
      <c r="A47919" t="s">
        <v>0</v>
      </c>
    </row>
    <row r="47920" spans="1:1" x14ac:dyDescent="0.3">
      <c r="A47920" t="s">
        <v>0</v>
      </c>
    </row>
    <row r="47921" spans="1:1" x14ac:dyDescent="0.3">
      <c r="A47921" t="s">
        <v>0</v>
      </c>
    </row>
    <row r="47922" spans="1:1" x14ac:dyDescent="0.3">
      <c r="A47922" t="s">
        <v>0</v>
      </c>
    </row>
    <row r="47923" spans="1:1" x14ac:dyDescent="0.3">
      <c r="A47923" t="s">
        <v>0</v>
      </c>
    </row>
    <row r="47924" spans="1:1" x14ac:dyDescent="0.3">
      <c r="A47924" t="s">
        <v>0</v>
      </c>
    </row>
    <row r="47925" spans="1:1" x14ac:dyDescent="0.3">
      <c r="A47925" t="s">
        <v>0</v>
      </c>
    </row>
    <row r="47926" spans="1:1" x14ac:dyDescent="0.3">
      <c r="A47926" t="s">
        <v>0</v>
      </c>
    </row>
    <row r="47927" spans="1:1" x14ac:dyDescent="0.3">
      <c r="A47927" t="s">
        <v>0</v>
      </c>
    </row>
    <row r="47928" spans="1:1" x14ac:dyDescent="0.3">
      <c r="A47928" t="s">
        <v>0</v>
      </c>
    </row>
    <row r="47929" spans="1:1" x14ac:dyDescent="0.3">
      <c r="A47929" t="s">
        <v>0</v>
      </c>
    </row>
    <row r="47930" spans="1:1" x14ac:dyDescent="0.3">
      <c r="A47930" t="s">
        <v>0</v>
      </c>
    </row>
    <row r="47931" spans="1:1" x14ac:dyDescent="0.3">
      <c r="A47931" t="s">
        <v>0</v>
      </c>
    </row>
    <row r="47932" spans="1:1" x14ac:dyDescent="0.3">
      <c r="A47932" t="s">
        <v>0</v>
      </c>
    </row>
    <row r="47933" spans="1:1" x14ac:dyDescent="0.3">
      <c r="A47933" t="s">
        <v>0</v>
      </c>
    </row>
    <row r="47934" spans="1:1" x14ac:dyDescent="0.3">
      <c r="A47934" t="s">
        <v>0</v>
      </c>
    </row>
    <row r="47935" spans="1:1" x14ac:dyDescent="0.3">
      <c r="A47935" t="s">
        <v>0</v>
      </c>
    </row>
    <row r="47936" spans="1:1" x14ac:dyDescent="0.3">
      <c r="A47936" t="s">
        <v>0</v>
      </c>
    </row>
    <row r="47937" spans="1:1" x14ac:dyDescent="0.3">
      <c r="A47937" t="s">
        <v>0</v>
      </c>
    </row>
    <row r="47938" spans="1:1" x14ac:dyDescent="0.3">
      <c r="A47938" t="s">
        <v>0</v>
      </c>
    </row>
    <row r="47939" spans="1:1" x14ac:dyDescent="0.3">
      <c r="A47939" t="s">
        <v>0</v>
      </c>
    </row>
    <row r="47940" spans="1:1" x14ac:dyDescent="0.3">
      <c r="A47940" t="s">
        <v>0</v>
      </c>
    </row>
    <row r="47941" spans="1:1" x14ac:dyDescent="0.3">
      <c r="A47941" t="s">
        <v>0</v>
      </c>
    </row>
    <row r="47942" spans="1:1" x14ac:dyDescent="0.3">
      <c r="A47942" t="s">
        <v>0</v>
      </c>
    </row>
    <row r="47943" spans="1:1" x14ac:dyDescent="0.3">
      <c r="A47943" t="s">
        <v>0</v>
      </c>
    </row>
    <row r="47944" spans="1:1" x14ac:dyDescent="0.3">
      <c r="A47944" t="s">
        <v>0</v>
      </c>
    </row>
    <row r="47945" spans="1:1" x14ac:dyDescent="0.3">
      <c r="A47945" t="s">
        <v>0</v>
      </c>
    </row>
    <row r="47946" spans="1:1" x14ac:dyDescent="0.3">
      <c r="A47946" t="s">
        <v>0</v>
      </c>
    </row>
    <row r="47947" spans="1:1" x14ac:dyDescent="0.3">
      <c r="A47947" t="s">
        <v>0</v>
      </c>
    </row>
    <row r="47948" spans="1:1" x14ac:dyDescent="0.3">
      <c r="A47948" t="s">
        <v>0</v>
      </c>
    </row>
    <row r="47949" spans="1:1" x14ac:dyDescent="0.3">
      <c r="A47949" t="s">
        <v>0</v>
      </c>
    </row>
    <row r="47950" spans="1:1" x14ac:dyDescent="0.3">
      <c r="A47950" t="s">
        <v>0</v>
      </c>
    </row>
    <row r="47951" spans="1:1" x14ac:dyDescent="0.3">
      <c r="A47951" t="s">
        <v>0</v>
      </c>
    </row>
    <row r="47952" spans="1:1" x14ac:dyDescent="0.3">
      <c r="A47952" t="s">
        <v>0</v>
      </c>
    </row>
    <row r="47953" spans="1:1" x14ac:dyDescent="0.3">
      <c r="A47953" t="s">
        <v>0</v>
      </c>
    </row>
    <row r="47954" spans="1:1" x14ac:dyDescent="0.3">
      <c r="A47954" t="s">
        <v>0</v>
      </c>
    </row>
    <row r="47955" spans="1:1" x14ac:dyDescent="0.3">
      <c r="A47955" t="s">
        <v>0</v>
      </c>
    </row>
    <row r="47956" spans="1:1" x14ac:dyDescent="0.3">
      <c r="A47956" t="s">
        <v>0</v>
      </c>
    </row>
    <row r="47957" spans="1:1" x14ac:dyDescent="0.3">
      <c r="A47957" t="s">
        <v>0</v>
      </c>
    </row>
    <row r="47958" spans="1:1" x14ac:dyDescent="0.3">
      <c r="A47958" t="s">
        <v>0</v>
      </c>
    </row>
    <row r="47959" spans="1:1" x14ac:dyDescent="0.3">
      <c r="A47959" t="s">
        <v>0</v>
      </c>
    </row>
    <row r="47960" spans="1:1" x14ac:dyDescent="0.3">
      <c r="A47960" t="s">
        <v>0</v>
      </c>
    </row>
    <row r="47961" spans="1:1" x14ac:dyDescent="0.3">
      <c r="A47961" t="s">
        <v>0</v>
      </c>
    </row>
    <row r="47962" spans="1:1" x14ac:dyDescent="0.3">
      <c r="A47962" t="s">
        <v>0</v>
      </c>
    </row>
    <row r="47963" spans="1:1" x14ac:dyDescent="0.3">
      <c r="A47963" t="s">
        <v>0</v>
      </c>
    </row>
    <row r="47964" spans="1:1" x14ac:dyDescent="0.3">
      <c r="A47964" t="s">
        <v>0</v>
      </c>
    </row>
    <row r="47965" spans="1:1" x14ac:dyDescent="0.3">
      <c r="A47965" t="s">
        <v>0</v>
      </c>
    </row>
    <row r="47966" spans="1:1" x14ac:dyDescent="0.3">
      <c r="A47966" t="s">
        <v>0</v>
      </c>
    </row>
    <row r="47967" spans="1:1" x14ac:dyDescent="0.3">
      <c r="A47967" t="s">
        <v>0</v>
      </c>
    </row>
    <row r="47968" spans="1:1" x14ac:dyDescent="0.3">
      <c r="A47968" t="s">
        <v>0</v>
      </c>
    </row>
    <row r="47969" spans="1:1" x14ac:dyDescent="0.3">
      <c r="A47969" t="s">
        <v>0</v>
      </c>
    </row>
    <row r="47970" spans="1:1" x14ac:dyDescent="0.3">
      <c r="A47970" t="s">
        <v>0</v>
      </c>
    </row>
    <row r="47971" spans="1:1" x14ac:dyDescent="0.3">
      <c r="A47971" t="s">
        <v>0</v>
      </c>
    </row>
    <row r="47972" spans="1:1" x14ac:dyDescent="0.3">
      <c r="A47972" t="s">
        <v>0</v>
      </c>
    </row>
    <row r="47973" spans="1:1" x14ac:dyDescent="0.3">
      <c r="A47973" t="s">
        <v>0</v>
      </c>
    </row>
    <row r="47974" spans="1:1" x14ac:dyDescent="0.3">
      <c r="A47974" t="s">
        <v>0</v>
      </c>
    </row>
    <row r="47975" spans="1:1" x14ac:dyDescent="0.3">
      <c r="A47975" t="s">
        <v>0</v>
      </c>
    </row>
    <row r="47976" spans="1:1" x14ac:dyDescent="0.3">
      <c r="A47976" t="s">
        <v>0</v>
      </c>
    </row>
    <row r="47977" spans="1:1" x14ac:dyDescent="0.3">
      <c r="A47977" t="s">
        <v>0</v>
      </c>
    </row>
    <row r="47978" spans="1:1" x14ac:dyDescent="0.3">
      <c r="A47978" t="s">
        <v>0</v>
      </c>
    </row>
    <row r="47979" spans="1:1" x14ac:dyDescent="0.3">
      <c r="A47979" t="s">
        <v>0</v>
      </c>
    </row>
    <row r="47980" spans="1:1" x14ac:dyDescent="0.3">
      <c r="A47980" t="s">
        <v>0</v>
      </c>
    </row>
    <row r="47981" spans="1:1" x14ac:dyDescent="0.3">
      <c r="A47981" t="s">
        <v>0</v>
      </c>
    </row>
    <row r="47982" spans="1:1" x14ac:dyDescent="0.3">
      <c r="A47982" t="s">
        <v>0</v>
      </c>
    </row>
    <row r="47983" spans="1:1" x14ac:dyDescent="0.3">
      <c r="A47983" t="s">
        <v>0</v>
      </c>
    </row>
    <row r="47984" spans="1:1" x14ac:dyDescent="0.3">
      <c r="A47984" t="s">
        <v>0</v>
      </c>
    </row>
    <row r="47985" spans="1:1" x14ac:dyDescent="0.3">
      <c r="A47985" t="s">
        <v>0</v>
      </c>
    </row>
    <row r="47986" spans="1:1" x14ac:dyDescent="0.3">
      <c r="A47986" t="s">
        <v>0</v>
      </c>
    </row>
    <row r="47987" spans="1:1" x14ac:dyDescent="0.3">
      <c r="A47987" t="s">
        <v>0</v>
      </c>
    </row>
    <row r="47988" spans="1:1" x14ac:dyDescent="0.3">
      <c r="A47988" t="s">
        <v>0</v>
      </c>
    </row>
    <row r="47989" spans="1:1" x14ac:dyDescent="0.3">
      <c r="A47989" t="s">
        <v>0</v>
      </c>
    </row>
    <row r="47990" spans="1:1" x14ac:dyDescent="0.3">
      <c r="A47990" t="s">
        <v>0</v>
      </c>
    </row>
    <row r="47991" spans="1:1" x14ac:dyDescent="0.3">
      <c r="A47991" t="s">
        <v>0</v>
      </c>
    </row>
    <row r="47992" spans="1:1" x14ac:dyDescent="0.3">
      <c r="A47992" t="s">
        <v>0</v>
      </c>
    </row>
    <row r="47993" spans="1:1" x14ac:dyDescent="0.3">
      <c r="A47993" t="s">
        <v>0</v>
      </c>
    </row>
    <row r="47994" spans="1:1" x14ac:dyDescent="0.3">
      <c r="A47994" t="s">
        <v>0</v>
      </c>
    </row>
    <row r="47995" spans="1:1" x14ac:dyDescent="0.3">
      <c r="A47995" t="s">
        <v>0</v>
      </c>
    </row>
    <row r="47996" spans="1:1" x14ac:dyDescent="0.3">
      <c r="A47996" t="s">
        <v>0</v>
      </c>
    </row>
    <row r="47997" spans="1:1" x14ac:dyDescent="0.3">
      <c r="A47997" t="s">
        <v>0</v>
      </c>
    </row>
    <row r="47998" spans="1:1" x14ac:dyDescent="0.3">
      <c r="A47998" t="s">
        <v>0</v>
      </c>
    </row>
    <row r="47999" spans="1:1" x14ac:dyDescent="0.3">
      <c r="A47999" t="s">
        <v>0</v>
      </c>
    </row>
    <row r="48000" spans="1:1" x14ac:dyDescent="0.3">
      <c r="A48000" t="s">
        <v>0</v>
      </c>
    </row>
    <row r="48001" spans="1:1" x14ac:dyDescent="0.3">
      <c r="A48001" t="s">
        <v>0</v>
      </c>
    </row>
    <row r="48002" spans="1:1" x14ac:dyDescent="0.3">
      <c r="A48002" t="s">
        <v>0</v>
      </c>
    </row>
    <row r="48003" spans="1:1" x14ac:dyDescent="0.3">
      <c r="A48003" t="s">
        <v>0</v>
      </c>
    </row>
    <row r="48004" spans="1:1" x14ac:dyDescent="0.3">
      <c r="A48004" t="s">
        <v>0</v>
      </c>
    </row>
    <row r="48005" spans="1:1" x14ac:dyDescent="0.3">
      <c r="A48005" t="s">
        <v>0</v>
      </c>
    </row>
    <row r="48006" spans="1:1" x14ac:dyDescent="0.3">
      <c r="A48006" t="s">
        <v>0</v>
      </c>
    </row>
    <row r="48007" spans="1:1" x14ac:dyDescent="0.3">
      <c r="A48007" t="s">
        <v>0</v>
      </c>
    </row>
    <row r="48008" spans="1:1" x14ac:dyDescent="0.3">
      <c r="A48008" t="s">
        <v>0</v>
      </c>
    </row>
    <row r="48009" spans="1:1" x14ac:dyDescent="0.3">
      <c r="A48009" t="s">
        <v>0</v>
      </c>
    </row>
    <row r="48010" spans="1:1" x14ac:dyDescent="0.3">
      <c r="A48010" t="s">
        <v>0</v>
      </c>
    </row>
    <row r="48011" spans="1:1" x14ac:dyDescent="0.3">
      <c r="A48011" t="s">
        <v>0</v>
      </c>
    </row>
    <row r="48012" spans="1:1" x14ac:dyDescent="0.3">
      <c r="A48012" t="s">
        <v>0</v>
      </c>
    </row>
    <row r="48013" spans="1:1" x14ac:dyDescent="0.3">
      <c r="A48013" t="s">
        <v>0</v>
      </c>
    </row>
    <row r="48014" spans="1:1" x14ac:dyDescent="0.3">
      <c r="A48014" t="s">
        <v>0</v>
      </c>
    </row>
    <row r="48015" spans="1:1" x14ac:dyDescent="0.3">
      <c r="A48015" t="s">
        <v>0</v>
      </c>
    </row>
    <row r="48016" spans="1:1" x14ac:dyDescent="0.3">
      <c r="A48016" t="s">
        <v>0</v>
      </c>
    </row>
    <row r="48017" spans="1:1" x14ac:dyDescent="0.3">
      <c r="A48017" t="s">
        <v>0</v>
      </c>
    </row>
    <row r="48018" spans="1:1" x14ac:dyDescent="0.3">
      <c r="A48018" t="s">
        <v>0</v>
      </c>
    </row>
    <row r="48019" spans="1:1" x14ac:dyDescent="0.3">
      <c r="A48019" t="s">
        <v>0</v>
      </c>
    </row>
    <row r="48020" spans="1:1" x14ac:dyDescent="0.3">
      <c r="A48020" t="s">
        <v>0</v>
      </c>
    </row>
    <row r="48021" spans="1:1" x14ac:dyDescent="0.3">
      <c r="A48021" t="s">
        <v>0</v>
      </c>
    </row>
    <row r="48022" spans="1:1" x14ac:dyDescent="0.3">
      <c r="A48022" t="s">
        <v>0</v>
      </c>
    </row>
    <row r="48023" spans="1:1" x14ac:dyDescent="0.3">
      <c r="A48023" t="s">
        <v>0</v>
      </c>
    </row>
    <row r="48024" spans="1:1" x14ac:dyDescent="0.3">
      <c r="A48024" t="s">
        <v>0</v>
      </c>
    </row>
    <row r="48025" spans="1:1" x14ac:dyDescent="0.3">
      <c r="A48025" t="s">
        <v>0</v>
      </c>
    </row>
    <row r="48026" spans="1:1" x14ac:dyDescent="0.3">
      <c r="A48026" t="s">
        <v>0</v>
      </c>
    </row>
    <row r="48027" spans="1:1" x14ac:dyDescent="0.3">
      <c r="A48027" t="s">
        <v>0</v>
      </c>
    </row>
    <row r="48028" spans="1:1" x14ac:dyDescent="0.3">
      <c r="A48028" t="s">
        <v>0</v>
      </c>
    </row>
    <row r="48029" spans="1:1" x14ac:dyDescent="0.3">
      <c r="A48029" t="s">
        <v>0</v>
      </c>
    </row>
    <row r="48030" spans="1:1" x14ac:dyDescent="0.3">
      <c r="A48030" t="s">
        <v>0</v>
      </c>
    </row>
    <row r="48031" spans="1:1" x14ac:dyDescent="0.3">
      <c r="A48031" t="s">
        <v>0</v>
      </c>
    </row>
    <row r="48032" spans="1:1" x14ac:dyDescent="0.3">
      <c r="A48032" t="s">
        <v>0</v>
      </c>
    </row>
    <row r="48033" spans="1:1" x14ac:dyDescent="0.3">
      <c r="A48033" t="s">
        <v>0</v>
      </c>
    </row>
    <row r="48034" spans="1:1" x14ac:dyDescent="0.3">
      <c r="A48034" t="s">
        <v>0</v>
      </c>
    </row>
    <row r="48035" spans="1:1" x14ac:dyDescent="0.3">
      <c r="A48035" t="s">
        <v>0</v>
      </c>
    </row>
    <row r="48036" spans="1:1" x14ac:dyDescent="0.3">
      <c r="A48036" t="s">
        <v>0</v>
      </c>
    </row>
    <row r="48037" spans="1:1" x14ac:dyDescent="0.3">
      <c r="A48037" t="s">
        <v>0</v>
      </c>
    </row>
    <row r="48038" spans="1:1" x14ac:dyDescent="0.3">
      <c r="A48038" t="s">
        <v>0</v>
      </c>
    </row>
    <row r="48039" spans="1:1" x14ac:dyDescent="0.3">
      <c r="A48039" t="s">
        <v>0</v>
      </c>
    </row>
    <row r="48040" spans="1:1" x14ac:dyDescent="0.3">
      <c r="A48040" t="s">
        <v>0</v>
      </c>
    </row>
    <row r="48041" spans="1:1" x14ac:dyDescent="0.3">
      <c r="A48041" t="s">
        <v>0</v>
      </c>
    </row>
    <row r="48042" spans="1:1" x14ac:dyDescent="0.3">
      <c r="A48042" t="s">
        <v>0</v>
      </c>
    </row>
    <row r="48043" spans="1:1" x14ac:dyDescent="0.3">
      <c r="A48043" t="s">
        <v>0</v>
      </c>
    </row>
    <row r="48044" spans="1:1" x14ac:dyDescent="0.3">
      <c r="A48044" t="s">
        <v>0</v>
      </c>
    </row>
    <row r="48045" spans="1:1" x14ac:dyDescent="0.3">
      <c r="A48045" t="s">
        <v>0</v>
      </c>
    </row>
    <row r="48046" spans="1:1" x14ac:dyDescent="0.3">
      <c r="A48046" t="s">
        <v>0</v>
      </c>
    </row>
    <row r="48047" spans="1:1" x14ac:dyDescent="0.3">
      <c r="A48047" t="s">
        <v>0</v>
      </c>
    </row>
    <row r="48048" spans="1:1" x14ac:dyDescent="0.3">
      <c r="A48048" t="s">
        <v>0</v>
      </c>
    </row>
    <row r="48049" spans="1:1" x14ac:dyDescent="0.3">
      <c r="A48049" t="s">
        <v>0</v>
      </c>
    </row>
    <row r="48050" spans="1:1" x14ac:dyDescent="0.3">
      <c r="A48050" t="s">
        <v>0</v>
      </c>
    </row>
    <row r="48051" spans="1:1" x14ac:dyDescent="0.3">
      <c r="A48051" t="s">
        <v>0</v>
      </c>
    </row>
    <row r="48052" spans="1:1" x14ac:dyDescent="0.3">
      <c r="A48052" t="s">
        <v>0</v>
      </c>
    </row>
    <row r="48053" spans="1:1" x14ac:dyDescent="0.3">
      <c r="A48053" t="s">
        <v>0</v>
      </c>
    </row>
    <row r="48054" spans="1:1" x14ac:dyDescent="0.3">
      <c r="A48054" t="s">
        <v>0</v>
      </c>
    </row>
    <row r="48055" spans="1:1" x14ac:dyDescent="0.3">
      <c r="A48055" t="s">
        <v>0</v>
      </c>
    </row>
    <row r="48056" spans="1:1" x14ac:dyDescent="0.3">
      <c r="A48056" t="s">
        <v>0</v>
      </c>
    </row>
    <row r="48057" spans="1:1" x14ac:dyDescent="0.3">
      <c r="A48057" t="s">
        <v>0</v>
      </c>
    </row>
    <row r="48058" spans="1:1" x14ac:dyDescent="0.3">
      <c r="A48058" t="s">
        <v>0</v>
      </c>
    </row>
    <row r="48059" spans="1:1" x14ac:dyDescent="0.3">
      <c r="A48059" t="s">
        <v>0</v>
      </c>
    </row>
    <row r="48060" spans="1:1" x14ac:dyDescent="0.3">
      <c r="A48060" t="s">
        <v>0</v>
      </c>
    </row>
    <row r="48061" spans="1:1" x14ac:dyDescent="0.3">
      <c r="A48061" t="s">
        <v>0</v>
      </c>
    </row>
    <row r="48062" spans="1:1" x14ac:dyDescent="0.3">
      <c r="A48062" t="s">
        <v>0</v>
      </c>
    </row>
    <row r="48063" spans="1:1" x14ac:dyDescent="0.3">
      <c r="A48063" t="s">
        <v>0</v>
      </c>
    </row>
    <row r="48064" spans="1:1" x14ac:dyDescent="0.3">
      <c r="A48064" t="s">
        <v>0</v>
      </c>
    </row>
    <row r="48065" spans="1:1" x14ac:dyDescent="0.3">
      <c r="A48065" t="s">
        <v>0</v>
      </c>
    </row>
    <row r="48066" spans="1:1" x14ac:dyDescent="0.3">
      <c r="A48066" t="s">
        <v>0</v>
      </c>
    </row>
    <row r="48067" spans="1:1" x14ac:dyDescent="0.3">
      <c r="A48067" t="s">
        <v>0</v>
      </c>
    </row>
    <row r="48068" spans="1:1" x14ac:dyDescent="0.3">
      <c r="A48068" t="s">
        <v>0</v>
      </c>
    </row>
    <row r="48069" spans="1:1" x14ac:dyDescent="0.3">
      <c r="A48069" t="s">
        <v>0</v>
      </c>
    </row>
    <row r="48070" spans="1:1" x14ac:dyDescent="0.3">
      <c r="A48070" t="s">
        <v>0</v>
      </c>
    </row>
    <row r="48071" spans="1:1" x14ac:dyDescent="0.3">
      <c r="A48071" t="s">
        <v>0</v>
      </c>
    </row>
    <row r="48072" spans="1:1" x14ac:dyDescent="0.3">
      <c r="A48072" t="s">
        <v>0</v>
      </c>
    </row>
    <row r="48073" spans="1:1" x14ac:dyDescent="0.3">
      <c r="A48073" t="s">
        <v>0</v>
      </c>
    </row>
    <row r="48074" spans="1:1" x14ac:dyDescent="0.3">
      <c r="A48074" t="s">
        <v>0</v>
      </c>
    </row>
    <row r="48075" spans="1:1" x14ac:dyDescent="0.3">
      <c r="A48075" t="s">
        <v>0</v>
      </c>
    </row>
    <row r="48076" spans="1:1" x14ac:dyDescent="0.3">
      <c r="A48076" t="s">
        <v>0</v>
      </c>
    </row>
    <row r="48077" spans="1:1" x14ac:dyDescent="0.3">
      <c r="A48077" t="s">
        <v>0</v>
      </c>
    </row>
    <row r="48078" spans="1:1" x14ac:dyDescent="0.3">
      <c r="A48078" t="s">
        <v>0</v>
      </c>
    </row>
    <row r="48079" spans="1:1" x14ac:dyDescent="0.3">
      <c r="A48079" t="s">
        <v>0</v>
      </c>
    </row>
    <row r="48080" spans="1:1" x14ac:dyDescent="0.3">
      <c r="A48080" t="s">
        <v>0</v>
      </c>
    </row>
    <row r="48081" spans="1:1" x14ac:dyDescent="0.3">
      <c r="A48081" t="s">
        <v>0</v>
      </c>
    </row>
    <row r="48082" spans="1:1" x14ac:dyDescent="0.3">
      <c r="A48082" t="s">
        <v>0</v>
      </c>
    </row>
    <row r="48083" spans="1:1" x14ac:dyDescent="0.3">
      <c r="A48083" t="s">
        <v>0</v>
      </c>
    </row>
    <row r="48084" spans="1:1" x14ac:dyDescent="0.3">
      <c r="A48084" t="s">
        <v>0</v>
      </c>
    </row>
    <row r="48085" spans="1:1" x14ac:dyDescent="0.3">
      <c r="A48085" t="s">
        <v>0</v>
      </c>
    </row>
    <row r="48086" spans="1:1" x14ac:dyDescent="0.3">
      <c r="A48086" t="s">
        <v>0</v>
      </c>
    </row>
    <row r="48087" spans="1:1" x14ac:dyDescent="0.3">
      <c r="A48087" t="s">
        <v>0</v>
      </c>
    </row>
    <row r="48088" spans="1:1" x14ac:dyDescent="0.3">
      <c r="A48088" t="s">
        <v>0</v>
      </c>
    </row>
    <row r="48089" spans="1:1" x14ac:dyDescent="0.3">
      <c r="A48089" t="s">
        <v>0</v>
      </c>
    </row>
    <row r="48090" spans="1:1" x14ac:dyDescent="0.3">
      <c r="A48090" t="s">
        <v>0</v>
      </c>
    </row>
    <row r="48091" spans="1:1" x14ac:dyDescent="0.3">
      <c r="A48091" t="s">
        <v>0</v>
      </c>
    </row>
    <row r="48092" spans="1:1" x14ac:dyDescent="0.3">
      <c r="A48092" t="s">
        <v>0</v>
      </c>
    </row>
    <row r="48093" spans="1:1" x14ac:dyDescent="0.3">
      <c r="A48093" t="s">
        <v>0</v>
      </c>
    </row>
    <row r="48094" spans="1:1" x14ac:dyDescent="0.3">
      <c r="A48094" t="s">
        <v>0</v>
      </c>
    </row>
    <row r="48095" spans="1:1" x14ac:dyDescent="0.3">
      <c r="A48095" t="s">
        <v>0</v>
      </c>
    </row>
    <row r="48096" spans="1:1" x14ac:dyDescent="0.3">
      <c r="A48096" t="s">
        <v>0</v>
      </c>
    </row>
    <row r="48097" spans="1:1" x14ac:dyDescent="0.3">
      <c r="A48097" t="s">
        <v>0</v>
      </c>
    </row>
    <row r="48098" spans="1:1" x14ac:dyDescent="0.3">
      <c r="A48098" t="s">
        <v>0</v>
      </c>
    </row>
    <row r="48099" spans="1:1" x14ac:dyDescent="0.3">
      <c r="A48099" t="s">
        <v>0</v>
      </c>
    </row>
    <row r="48100" spans="1:1" x14ac:dyDescent="0.3">
      <c r="A48100" t="s">
        <v>0</v>
      </c>
    </row>
    <row r="48101" spans="1:1" x14ac:dyDescent="0.3">
      <c r="A48101" t="s">
        <v>0</v>
      </c>
    </row>
    <row r="48102" spans="1:1" x14ac:dyDescent="0.3">
      <c r="A48102" t="s">
        <v>0</v>
      </c>
    </row>
    <row r="48103" spans="1:1" x14ac:dyDescent="0.3">
      <c r="A48103" t="s">
        <v>0</v>
      </c>
    </row>
    <row r="48104" spans="1:1" x14ac:dyDescent="0.3">
      <c r="A48104" t="s">
        <v>0</v>
      </c>
    </row>
    <row r="48105" spans="1:1" x14ac:dyDescent="0.3">
      <c r="A48105" t="s">
        <v>0</v>
      </c>
    </row>
    <row r="48106" spans="1:1" x14ac:dyDescent="0.3">
      <c r="A48106" t="s">
        <v>0</v>
      </c>
    </row>
    <row r="48107" spans="1:1" x14ac:dyDescent="0.3">
      <c r="A48107" t="s">
        <v>0</v>
      </c>
    </row>
    <row r="48108" spans="1:1" x14ac:dyDescent="0.3">
      <c r="A48108" t="s">
        <v>0</v>
      </c>
    </row>
    <row r="48109" spans="1:1" x14ac:dyDescent="0.3">
      <c r="A48109" t="s">
        <v>0</v>
      </c>
    </row>
    <row r="48110" spans="1:1" x14ac:dyDescent="0.3">
      <c r="A48110" t="s">
        <v>0</v>
      </c>
    </row>
    <row r="48111" spans="1:1" x14ac:dyDescent="0.3">
      <c r="A48111" t="s">
        <v>0</v>
      </c>
    </row>
    <row r="48112" spans="1:1" x14ac:dyDescent="0.3">
      <c r="A48112" t="s">
        <v>0</v>
      </c>
    </row>
    <row r="48113" spans="1:1" x14ac:dyDescent="0.3">
      <c r="A48113" t="s">
        <v>0</v>
      </c>
    </row>
    <row r="48114" spans="1:1" x14ac:dyDescent="0.3">
      <c r="A48114" t="s">
        <v>0</v>
      </c>
    </row>
    <row r="48115" spans="1:1" x14ac:dyDescent="0.3">
      <c r="A48115" t="s">
        <v>0</v>
      </c>
    </row>
    <row r="48116" spans="1:1" x14ac:dyDescent="0.3">
      <c r="A48116" t="s">
        <v>0</v>
      </c>
    </row>
    <row r="48117" spans="1:1" x14ac:dyDescent="0.3">
      <c r="A48117" t="s">
        <v>0</v>
      </c>
    </row>
    <row r="48118" spans="1:1" x14ac:dyDescent="0.3">
      <c r="A48118" t="s">
        <v>0</v>
      </c>
    </row>
    <row r="48119" spans="1:1" x14ac:dyDescent="0.3">
      <c r="A48119" t="s">
        <v>0</v>
      </c>
    </row>
    <row r="48120" spans="1:1" x14ac:dyDescent="0.3">
      <c r="A48120" t="s">
        <v>0</v>
      </c>
    </row>
    <row r="48121" spans="1:1" x14ac:dyDescent="0.3">
      <c r="A48121" t="s">
        <v>0</v>
      </c>
    </row>
    <row r="48122" spans="1:1" x14ac:dyDescent="0.3">
      <c r="A48122" t="s">
        <v>0</v>
      </c>
    </row>
    <row r="48123" spans="1:1" x14ac:dyDescent="0.3">
      <c r="A48123" t="s">
        <v>0</v>
      </c>
    </row>
    <row r="48124" spans="1:1" x14ac:dyDescent="0.3">
      <c r="A48124" t="s">
        <v>0</v>
      </c>
    </row>
    <row r="48125" spans="1:1" x14ac:dyDescent="0.3">
      <c r="A48125" t="s">
        <v>0</v>
      </c>
    </row>
    <row r="48126" spans="1:1" x14ac:dyDescent="0.3">
      <c r="A48126" t="s">
        <v>0</v>
      </c>
    </row>
    <row r="48127" spans="1:1" x14ac:dyDescent="0.3">
      <c r="A48127" t="s">
        <v>0</v>
      </c>
    </row>
    <row r="48128" spans="1:1" x14ac:dyDescent="0.3">
      <c r="A48128" t="s">
        <v>0</v>
      </c>
    </row>
    <row r="48129" spans="1:1" x14ac:dyDescent="0.3">
      <c r="A48129" t="s">
        <v>0</v>
      </c>
    </row>
    <row r="48130" spans="1:1" x14ac:dyDescent="0.3">
      <c r="A48130" t="s">
        <v>0</v>
      </c>
    </row>
    <row r="48131" spans="1:1" x14ac:dyDescent="0.3">
      <c r="A48131" t="s">
        <v>0</v>
      </c>
    </row>
    <row r="48132" spans="1:1" x14ac:dyDescent="0.3">
      <c r="A48132" t="s">
        <v>0</v>
      </c>
    </row>
    <row r="48133" spans="1:1" x14ac:dyDescent="0.3">
      <c r="A48133" t="s">
        <v>0</v>
      </c>
    </row>
    <row r="48134" spans="1:1" x14ac:dyDescent="0.3">
      <c r="A48134" t="s">
        <v>0</v>
      </c>
    </row>
    <row r="48135" spans="1:1" x14ac:dyDescent="0.3">
      <c r="A48135" t="s">
        <v>0</v>
      </c>
    </row>
    <row r="48136" spans="1:1" x14ac:dyDescent="0.3">
      <c r="A48136" t="s">
        <v>0</v>
      </c>
    </row>
    <row r="48137" spans="1:1" x14ac:dyDescent="0.3">
      <c r="A48137" t="s">
        <v>0</v>
      </c>
    </row>
    <row r="48138" spans="1:1" x14ac:dyDescent="0.3">
      <c r="A48138" t="s">
        <v>0</v>
      </c>
    </row>
    <row r="48139" spans="1:1" x14ac:dyDescent="0.3">
      <c r="A48139" t="s">
        <v>0</v>
      </c>
    </row>
    <row r="48140" spans="1:1" x14ac:dyDescent="0.3">
      <c r="A48140" t="s">
        <v>0</v>
      </c>
    </row>
    <row r="48141" spans="1:1" x14ac:dyDescent="0.3">
      <c r="A48141" t="s">
        <v>0</v>
      </c>
    </row>
    <row r="48142" spans="1:1" x14ac:dyDescent="0.3">
      <c r="A48142" t="s">
        <v>0</v>
      </c>
    </row>
    <row r="48143" spans="1:1" x14ac:dyDescent="0.3">
      <c r="A48143" t="s">
        <v>0</v>
      </c>
    </row>
    <row r="48144" spans="1:1" x14ac:dyDescent="0.3">
      <c r="A48144" t="s">
        <v>0</v>
      </c>
    </row>
    <row r="48145" spans="1:1" x14ac:dyDescent="0.3">
      <c r="A48145" t="s">
        <v>0</v>
      </c>
    </row>
    <row r="48146" spans="1:1" x14ac:dyDescent="0.3">
      <c r="A48146" t="s">
        <v>0</v>
      </c>
    </row>
    <row r="48147" spans="1:1" x14ac:dyDescent="0.3">
      <c r="A48147" t="s">
        <v>0</v>
      </c>
    </row>
    <row r="48148" spans="1:1" x14ac:dyDescent="0.3">
      <c r="A48148" t="s">
        <v>0</v>
      </c>
    </row>
    <row r="48149" spans="1:1" x14ac:dyDescent="0.3">
      <c r="A48149" t="s">
        <v>0</v>
      </c>
    </row>
    <row r="48150" spans="1:1" x14ac:dyDescent="0.3">
      <c r="A48150" t="s">
        <v>0</v>
      </c>
    </row>
    <row r="48151" spans="1:1" x14ac:dyDescent="0.3">
      <c r="A48151" t="s">
        <v>0</v>
      </c>
    </row>
    <row r="48152" spans="1:1" x14ac:dyDescent="0.3">
      <c r="A48152" t="s">
        <v>0</v>
      </c>
    </row>
    <row r="48153" spans="1:1" x14ac:dyDescent="0.3">
      <c r="A48153" t="s">
        <v>0</v>
      </c>
    </row>
    <row r="48154" spans="1:1" x14ac:dyDescent="0.3">
      <c r="A48154" t="s">
        <v>0</v>
      </c>
    </row>
    <row r="48155" spans="1:1" x14ac:dyDescent="0.3">
      <c r="A48155" t="s">
        <v>0</v>
      </c>
    </row>
    <row r="48156" spans="1:1" x14ac:dyDescent="0.3">
      <c r="A48156" t="s">
        <v>0</v>
      </c>
    </row>
    <row r="48157" spans="1:1" x14ac:dyDescent="0.3">
      <c r="A48157" t="s">
        <v>0</v>
      </c>
    </row>
    <row r="48158" spans="1:1" x14ac:dyDescent="0.3">
      <c r="A48158" t="s">
        <v>0</v>
      </c>
    </row>
    <row r="48159" spans="1:1" x14ac:dyDescent="0.3">
      <c r="A48159" t="s">
        <v>0</v>
      </c>
    </row>
    <row r="48160" spans="1:1" x14ac:dyDescent="0.3">
      <c r="A48160" t="s">
        <v>0</v>
      </c>
    </row>
    <row r="48161" spans="1:1" x14ac:dyDescent="0.3">
      <c r="A48161" t="s">
        <v>0</v>
      </c>
    </row>
    <row r="48162" spans="1:1" x14ac:dyDescent="0.3">
      <c r="A48162" t="s">
        <v>0</v>
      </c>
    </row>
    <row r="48163" spans="1:1" x14ac:dyDescent="0.3">
      <c r="A48163" t="s">
        <v>0</v>
      </c>
    </row>
    <row r="48164" spans="1:1" x14ac:dyDescent="0.3">
      <c r="A48164" t="s">
        <v>0</v>
      </c>
    </row>
    <row r="48165" spans="1:1" x14ac:dyDescent="0.3">
      <c r="A48165" t="s">
        <v>0</v>
      </c>
    </row>
    <row r="48166" spans="1:1" x14ac:dyDescent="0.3">
      <c r="A48166" t="s">
        <v>0</v>
      </c>
    </row>
    <row r="48167" spans="1:1" x14ac:dyDescent="0.3">
      <c r="A48167" t="s">
        <v>0</v>
      </c>
    </row>
    <row r="48168" spans="1:1" x14ac:dyDescent="0.3">
      <c r="A48168" t="s">
        <v>0</v>
      </c>
    </row>
    <row r="48169" spans="1:1" x14ac:dyDescent="0.3">
      <c r="A48169" t="s">
        <v>0</v>
      </c>
    </row>
    <row r="48170" spans="1:1" x14ac:dyDescent="0.3">
      <c r="A48170" t="s">
        <v>0</v>
      </c>
    </row>
    <row r="48171" spans="1:1" x14ac:dyDescent="0.3">
      <c r="A48171" t="s">
        <v>0</v>
      </c>
    </row>
    <row r="48172" spans="1:1" x14ac:dyDescent="0.3">
      <c r="A48172" t="s">
        <v>0</v>
      </c>
    </row>
    <row r="48173" spans="1:1" x14ac:dyDescent="0.3">
      <c r="A48173" t="s">
        <v>0</v>
      </c>
    </row>
    <row r="48174" spans="1:1" x14ac:dyDescent="0.3">
      <c r="A48174" t="s">
        <v>0</v>
      </c>
    </row>
    <row r="48175" spans="1:1" x14ac:dyDescent="0.3">
      <c r="A48175" t="s">
        <v>0</v>
      </c>
    </row>
    <row r="48176" spans="1:1" x14ac:dyDescent="0.3">
      <c r="A48176" t="s">
        <v>0</v>
      </c>
    </row>
    <row r="48177" spans="1:1" x14ac:dyDescent="0.3">
      <c r="A48177" t="s">
        <v>0</v>
      </c>
    </row>
    <row r="48178" spans="1:1" x14ac:dyDescent="0.3">
      <c r="A48178" t="s">
        <v>0</v>
      </c>
    </row>
    <row r="48179" spans="1:1" x14ac:dyDescent="0.3">
      <c r="A48179" t="s">
        <v>0</v>
      </c>
    </row>
    <row r="48180" spans="1:1" x14ac:dyDescent="0.3">
      <c r="A48180" t="s">
        <v>0</v>
      </c>
    </row>
    <row r="48181" spans="1:1" x14ac:dyDescent="0.3">
      <c r="A48181" t="s">
        <v>0</v>
      </c>
    </row>
    <row r="48182" spans="1:1" x14ac:dyDescent="0.3">
      <c r="A48182" t="s">
        <v>0</v>
      </c>
    </row>
    <row r="48183" spans="1:1" x14ac:dyDescent="0.3">
      <c r="A48183" t="s">
        <v>0</v>
      </c>
    </row>
    <row r="48184" spans="1:1" x14ac:dyDescent="0.3">
      <c r="A48184" t="s">
        <v>0</v>
      </c>
    </row>
    <row r="48185" spans="1:1" x14ac:dyDescent="0.3">
      <c r="A48185" t="s">
        <v>0</v>
      </c>
    </row>
    <row r="48186" spans="1:1" x14ac:dyDescent="0.3">
      <c r="A48186" t="s">
        <v>0</v>
      </c>
    </row>
    <row r="48187" spans="1:1" x14ac:dyDescent="0.3">
      <c r="A48187" t="s">
        <v>0</v>
      </c>
    </row>
    <row r="48188" spans="1:1" x14ac:dyDescent="0.3">
      <c r="A48188" t="s">
        <v>0</v>
      </c>
    </row>
    <row r="48189" spans="1:1" x14ac:dyDescent="0.3">
      <c r="A48189" t="s">
        <v>0</v>
      </c>
    </row>
    <row r="48190" spans="1:1" x14ac:dyDescent="0.3">
      <c r="A48190" t="s">
        <v>0</v>
      </c>
    </row>
    <row r="48191" spans="1:1" x14ac:dyDescent="0.3">
      <c r="A48191" t="s">
        <v>0</v>
      </c>
    </row>
    <row r="48192" spans="1:1" x14ac:dyDescent="0.3">
      <c r="A48192" t="s">
        <v>0</v>
      </c>
    </row>
    <row r="48193" spans="1:1" x14ac:dyDescent="0.3">
      <c r="A48193" t="s">
        <v>0</v>
      </c>
    </row>
    <row r="48194" spans="1:1" x14ac:dyDescent="0.3">
      <c r="A48194" t="s">
        <v>0</v>
      </c>
    </row>
    <row r="48195" spans="1:1" x14ac:dyDescent="0.3">
      <c r="A48195" t="s">
        <v>0</v>
      </c>
    </row>
    <row r="48196" spans="1:1" x14ac:dyDescent="0.3">
      <c r="A48196" t="s">
        <v>0</v>
      </c>
    </row>
    <row r="48197" spans="1:1" x14ac:dyDescent="0.3">
      <c r="A48197" t="s">
        <v>0</v>
      </c>
    </row>
    <row r="48198" spans="1:1" x14ac:dyDescent="0.3">
      <c r="A48198" t="s">
        <v>0</v>
      </c>
    </row>
    <row r="48199" spans="1:1" x14ac:dyDescent="0.3">
      <c r="A48199" t="s">
        <v>0</v>
      </c>
    </row>
    <row r="48200" spans="1:1" x14ac:dyDescent="0.3">
      <c r="A48200" t="s">
        <v>0</v>
      </c>
    </row>
    <row r="48201" spans="1:1" x14ac:dyDescent="0.3">
      <c r="A48201" t="s">
        <v>0</v>
      </c>
    </row>
    <row r="48202" spans="1:1" x14ac:dyDescent="0.3">
      <c r="A48202" t="s">
        <v>0</v>
      </c>
    </row>
    <row r="48203" spans="1:1" x14ac:dyDescent="0.3">
      <c r="A48203" t="s">
        <v>0</v>
      </c>
    </row>
    <row r="48204" spans="1:1" x14ac:dyDescent="0.3">
      <c r="A48204" t="s">
        <v>0</v>
      </c>
    </row>
    <row r="48205" spans="1:1" x14ac:dyDescent="0.3">
      <c r="A48205" t="s">
        <v>0</v>
      </c>
    </row>
    <row r="48206" spans="1:1" x14ac:dyDescent="0.3">
      <c r="A48206" t="s">
        <v>0</v>
      </c>
    </row>
    <row r="48207" spans="1:1" x14ac:dyDescent="0.3">
      <c r="A48207" t="s">
        <v>0</v>
      </c>
    </row>
    <row r="48208" spans="1:1" x14ac:dyDescent="0.3">
      <c r="A48208" t="s">
        <v>0</v>
      </c>
    </row>
    <row r="48209" spans="1:1" x14ac:dyDescent="0.3">
      <c r="A48209" t="s">
        <v>0</v>
      </c>
    </row>
    <row r="48210" spans="1:1" x14ac:dyDescent="0.3">
      <c r="A48210" t="s">
        <v>0</v>
      </c>
    </row>
    <row r="48211" spans="1:1" x14ac:dyDescent="0.3">
      <c r="A48211" t="s">
        <v>0</v>
      </c>
    </row>
    <row r="48212" spans="1:1" x14ac:dyDescent="0.3">
      <c r="A48212" t="s">
        <v>0</v>
      </c>
    </row>
    <row r="48213" spans="1:1" x14ac:dyDescent="0.3">
      <c r="A48213" t="s">
        <v>0</v>
      </c>
    </row>
    <row r="48214" spans="1:1" x14ac:dyDescent="0.3">
      <c r="A48214" t="s">
        <v>0</v>
      </c>
    </row>
    <row r="48215" spans="1:1" x14ac:dyDescent="0.3">
      <c r="A48215" t="s">
        <v>0</v>
      </c>
    </row>
    <row r="48216" spans="1:1" x14ac:dyDescent="0.3">
      <c r="A48216" t="s">
        <v>0</v>
      </c>
    </row>
    <row r="48217" spans="1:1" x14ac:dyDescent="0.3">
      <c r="A48217" t="s">
        <v>0</v>
      </c>
    </row>
    <row r="48218" spans="1:1" x14ac:dyDescent="0.3">
      <c r="A48218" t="s">
        <v>0</v>
      </c>
    </row>
    <row r="48219" spans="1:1" x14ac:dyDescent="0.3">
      <c r="A48219" t="s">
        <v>0</v>
      </c>
    </row>
    <row r="48220" spans="1:1" x14ac:dyDescent="0.3">
      <c r="A48220" t="s">
        <v>0</v>
      </c>
    </row>
    <row r="48221" spans="1:1" x14ac:dyDescent="0.3">
      <c r="A48221" t="s">
        <v>0</v>
      </c>
    </row>
    <row r="48222" spans="1:1" x14ac:dyDescent="0.3">
      <c r="A48222" t="s">
        <v>0</v>
      </c>
    </row>
    <row r="48223" spans="1:1" x14ac:dyDescent="0.3">
      <c r="A48223" t="s">
        <v>0</v>
      </c>
    </row>
    <row r="48224" spans="1:1" x14ac:dyDescent="0.3">
      <c r="A48224" t="s">
        <v>0</v>
      </c>
    </row>
    <row r="48225" spans="1:1" x14ac:dyDescent="0.3">
      <c r="A48225" t="s">
        <v>0</v>
      </c>
    </row>
    <row r="48226" spans="1:1" x14ac:dyDescent="0.3">
      <c r="A48226" t="s">
        <v>0</v>
      </c>
    </row>
    <row r="48227" spans="1:1" x14ac:dyDescent="0.3">
      <c r="A48227" t="s">
        <v>0</v>
      </c>
    </row>
    <row r="48228" spans="1:1" x14ac:dyDescent="0.3">
      <c r="A48228" t="s">
        <v>0</v>
      </c>
    </row>
    <row r="48229" spans="1:1" x14ac:dyDescent="0.3">
      <c r="A48229" t="s">
        <v>0</v>
      </c>
    </row>
    <row r="48230" spans="1:1" x14ac:dyDescent="0.3">
      <c r="A48230" t="s">
        <v>0</v>
      </c>
    </row>
    <row r="48231" spans="1:1" x14ac:dyDescent="0.3">
      <c r="A48231" t="s">
        <v>0</v>
      </c>
    </row>
    <row r="48232" spans="1:1" x14ac:dyDescent="0.3">
      <c r="A48232" t="s">
        <v>0</v>
      </c>
    </row>
    <row r="48233" spans="1:1" x14ac:dyDescent="0.3">
      <c r="A48233" t="s">
        <v>0</v>
      </c>
    </row>
    <row r="48234" spans="1:1" x14ac:dyDescent="0.3">
      <c r="A48234" t="s">
        <v>0</v>
      </c>
    </row>
    <row r="48235" spans="1:1" x14ac:dyDescent="0.3">
      <c r="A48235" t="s">
        <v>0</v>
      </c>
    </row>
    <row r="48236" spans="1:1" x14ac:dyDescent="0.3">
      <c r="A48236" t="s">
        <v>0</v>
      </c>
    </row>
    <row r="48237" spans="1:1" x14ac:dyDescent="0.3">
      <c r="A48237" t="s">
        <v>0</v>
      </c>
    </row>
    <row r="48238" spans="1:1" x14ac:dyDescent="0.3">
      <c r="A48238" t="s">
        <v>0</v>
      </c>
    </row>
    <row r="48239" spans="1:1" x14ac:dyDescent="0.3">
      <c r="A48239" t="s">
        <v>0</v>
      </c>
    </row>
    <row r="48240" spans="1:1" x14ac:dyDescent="0.3">
      <c r="A48240" t="s">
        <v>0</v>
      </c>
    </row>
    <row r="48241" spans="1:1" x14ac:dyDescent="0.3">
      <c r="A48241" t="s">
        <v>0</v>
      </c>
    </row>
    <row r="48242" spans="1:1" x14ac:dyDescent="0.3">
      <c r="A48242" t="s">
        <v>0</v>
      </c>
    </row>
    <row r="48243" spans="1:1" x14ac:dyDescent="0.3">
      <c r="A48243" t="s">
        <v>0</v>
      </c>
    </row>
    <row r="48244" spans="1:1" x14ac:dyDescent="0.3">
      <c r="A48244" t="s">
        <v>0</v>
      </c>
    </row>
    <row r="48245" spans="1:1" x14ac:dyDescent="0.3">
      <c r="A48245" t="s">
        <v>0</v>
      </c>
    </row>
    <row r="48246" spans="1:1" x14ac:dyDescent="0.3">
      <c r="A48246" t="s">
        <v>0</v>
      </c>
    </row>
    <row r="48247" spans="1:1" x14ac:dyDescent="0.3">
      <c r="A48247" t="s">
        <v>0</v>
      </c>
    </row>
    <row r="48248" spans="1:1" x14ac:dyDescent="0.3">
      <c r="A48248" t="s">
        <v>0</v>
      </c>
    </row>
    <row r="48249" spans="1:1" x14ac:dyDescent="0.3">
      <c r="A48249" t="s">
        <v>0</v>
      </c>
    </row>
    <row r="48250" spans="1:1" x14ac:dyDescent="0.3">
      <c r="A48250" t="s">
        <v>0</v>
      </c>
    </row>
    <row r="48251" spans="1:1" x14ac:dyDescent="0.3">
      <c r="A48251" t="s">
        <v>0</v>
      </c>
    </row>
    <row r="48252" spans="1:1" x14ac:dyDescent="0.3">
      <c r="A48252" t="s">
        <v>0</v>
      </c>
    </row>
    <row r="48253" spans="1:1" x14ac:dyDescent="0.3">
      <c r="A48253" t="s">
        <v>0</v>
      </c>
    </row>
    <row r="48254" spans="1:1" x14ac:dyDescent="0.3">
      <c r="A48254" t="s">
        <v>0</v>
      </c>
    </row>
    <row r="48255" spans="1:1" x14ac:dyDescent="0.3">
      <c r="A48255" t="s">
        <v>0</v>
      </c>
    </row>
    <row r="48256" spans="1:1" x14ac:dyDescent="0.3">
      <c r="A48256" t="s">
        <v>0</v>
      </c>
    </row>
    <row r="48257" spans="1:1" x14ac:dyDescent="0.3">
      <c r="A48257" t="s">
        <v>0</v>
      </c>
    </row>
    <row r="48258" spans="1:1" x14ac:dyDescent="0.3">
      <c r="A48258" t="s">
        <v>0</v>
      </c>
    </row>
    <row r="48259" spans="1:1" x14ac:dyDescent="0.3">
      <c r="A48259" t="s">
        <v>0</v>
      </c>
    </row>
    <row r="48260" spans="1:1" x14ac:dyDescent="0.3">
      <c r="A48260" t="s">
        <v>0</v>
      </c>
    </row>
    <row r="48261" spans="1:1" x14ac:dyDescent="0.3">
      <c r="A48261" t="s">
        <v>0</v>
      </c>
    </row>
    <row r="48262" spans="1:1" x14ac:dyDescent="0.3">
      <c r="A48262" t="s">
        <v>0</v>
      </c>
    </row>
    <row r="48263" spans="1:1" x14ac:dyDescent="0.3">
      <c r="A48263" t="s">
        <v>0</v>
      </c>
    </row>
    <row r="48264" spans="1:1" x14ac:dyDescent="0.3">
      <c r="A48264" t="s">
        <v>0</v>
      </c>
    </row>
    <row r="48265" spans="1:1" x14ac:dyDescent="0.3">
      <c r="A48265" t="s">
        <v>0</v>
      </c>
    </row>
    <row r="48266" spans="1:1" x14ac:dyDescent="0.3">
      <c r="A48266" t="s">
        <v>0</v>
      </c>
    </row>
    <row r="48267" spans="1:1" x14ac:dyDescent="0.3">
      <c r="A48267" t="s">
        <v>0</v>
      </c>
    </row>
    <row r="48268" spans="1:1" x14ac:dyDescent="0.3">
      <c r="A48268" t="s">
        <v>0</v>
      </c>
    </row>
    <row r="48269" spans="1:1" x14ac:dyDescent="0.3">
      <c r="A48269" t="s">
        <v>0</v>
      </c>
    </row>
    <row r="48270" spans="1:1" x14ac:dyDescent="0.3">
      <c r="A48270" t="s">
        <v>0</v>
      </c>
    </row>
    <row r="48271" spans="1:1" x14ac:dyDescent="0.3">
      <c r="A48271" t="s">
        <v>0</v>
      </c>
    </row>
    <row r="48272" spans="1:1" x14ac:dyDescent="0.3">
      <c r="A48272" t="s">
        <v>0</v>
      </c>
    </row>
    <row r="48273" spans="1:1" x14ac:dyDescent="0.3">
      <c r="A48273" t="s">
        <v>0</v>
      </c>
    </row>
    <row r="48274" spans="1:1" x14ac:dyDescent="0.3">
      <c r="A48274" t="s">
        <v>0</v>
      </c>
    </row>
    <row r="48275" spans="1:1" x14ac:dyDescent="0.3">
      <c r="A48275" t="s">
        <v>0</v>
      </c>
    </row>
    <row r="48276" spans="1:1" x14ac:dyDescent="0.3">
      <c r="A48276" t="s">
        <v>0</v>
      </c>
    </row>
    <row r="48277" spans="1:1" x14ac:dyDescent="0.3">
      <c r="A48277" t="s">
        <v>0</v>
      </c>
    </row>
    <row r="48278" spans="1:1" x14ac:dyDescent="0.3">
      <c r="A48278" t="s">
        <v>0</v>
      </c>
    </row>
    <row r="48279" spans="1:1" x14ac:dyDescent="0.3">
      <c r="A48279" t="s">
        <v>0</v>
      </c>
    </row>
    <row r="48280" spans="1:1" x14ac:dyDescent="0.3">
      <c r="A48280" t="s">
        <v>0</v>
      </c>
    </row>
    <row r="48281" spans="1:1" x14ac:dyDescent="0.3">
      <c r="A48281" t="s">
        <v>0</v>
      </c>
    </row>
    <row r="48282" spans="1:1" x14ac:dyDescent="0.3">
      <c r="A48282" t="s">
        <v>0</v>
      </c>
    </row>
    <row r="48283" spans="1:1" x14ac:dyDescent="0.3">
      <c r="A48283" t="s">
        <v>0</v>
      </c>
    </row>
    <row r="48284" spans="1:1" x14ac:dyDescent="0.3">
      <c r="A48284" t="s">
        <v>0</v>
      </c>
    </row>
    <row r="48285" spans="1:1" x14ac:dyDescent="0.3">
      <c r="A48285" t="s">
        <v>0</v>
      </c>
    </row>
    <row r="48286" spans="1:1" x14ac:dyDescent="0.3">
      <c r="A48286" t="s">
        <v>0</v>
      </c>
    </row>
    <row r="48287" spans="1:1" x14ac:dyDescent="0.3">
      <c r="A48287" t="s">
        <v>0</v>
      </c>
    </row>
    <row r="48288" spans="1:1" x14ac:dyDescent="0.3">
      <c r="A48288" t="s">
        <v>0</v>
      </c>
    </row>
    <row r="48289" spans="1:1" x14ac:dyDescent="0.3">
      <c r="A48289" t="s">
        <v>0</v>
      </c>
    </row>
    <row r="48290" spans="1:1" x14ac:dyDescent="0.3">
      <c r="A48290" t="s">
        <v>0</v>
      </c>
    </row>
    <row r="48291" spans="1:1" x14ac:dyDescent="0.3">
      <c r="A48291" t="s">
        <v>0</v>
      </c>
    </row>
    <row r="48292" spans="1:1" x14ac:dyDescent="0.3">
      <c r="A48292" t="s">
        <v>0</v>
      </c>
    </row>
    <row r="48293" spans="1:1" x14ac:dyDescent="0.3">
      <c r="A48293" t="s">
        <v>0</v>
      </c>
    </row>
    <row r="48294" spans="1:1" x14ac:dyDescent="0.3">
      <c r="A48294" t="s">
        <v>0</v>
      </c>
    </row>
    <row r="48295" spans="1:1" x14ac:dyDescent="0.3">
      <c r="A48295" t="s">
        <v>0</v>
      </c>
    </row>
    <row r="48296" spans="1:1" x14ac:dyDescent="0.3">
      <c r="A48296" t="s">
        <v>0</v>
      </c>
    </row>
    <row r="48297" spans="1:1" x14ac:dyDescent="0.3">
      <c r="A48297" t="s">
        <v>0</v>
      </c>
    </row>
    <row r="48298" spans="1:1" x14ac:dyDescent="0.3">
      <c r="A48298" t="s">
        <v>0</v>
      </c>
    </row>
    <row r="48299" spans="1:1" x14ac:dyDescent="0.3">
      <c r="A48299" t="s">
        <v>0</v>
      </c>
    </row>
    <row r="48300" spans="1:1" x14ac:dyDescent="0.3">
      <c r="A48300" t="s">
        <v>0</v>
      </c>
    </row>
    <row r="48301" spans="1:1" x14ac:dyDescent="0.3">
      <c r="A48301" t="s">
        <v>0</v>
      </c>
    </row>
    <row r="48302" spans="1:1" x14ac:dyDescent="0.3">
      <c r="A48302" t="s">
        <v>0</v>
      </c>
    </row>
    <row r="48303" spans="1:1" x14ac:dyDescent="0.3">
      <c r="A48303" t="s">
        <v>0</v>
      </c>
    </row>
    <row r="48304" spans="1:1" x14ac:dyDescent="0.3">
      <c r="A48304" t="s">
        <v>0</v>
      </c>
    </row>
    <row r="48305" spans="1:1" x14ac:dyDescent="0.3">
      <c r="A48305" t="s">
        <v>0</v>
      </c>
    </row>
    <row r="48306" spans="1:1" x14ac:dyDescent="0.3">
      <c r="A48306" t="s">
        <v>0</v>
      </c>
    </row>
    <row r="48307" spans="1:1" x14ac:dyDescent="0.3">
      <c r="A48307" t="s">
        <v>0</v>
      </c>
    </row>
    <row r="48308" spans="1:1" x14ac:dyDescent="0.3">
      <c r="A48308" t="s">
        <v>0</v>
      </c>
    </row>
    <row r="48309" spans="1:1" x14ac:dyDescent="0.3">
      <c r="A48309" t="s">
        <v>0</v>
      </c>
    </row>
    <row r="48310" spans="1:1" x14ac:dyDescent="0.3">
      <c r="A48310" t="s">
        <v>0</v>
      </c>
    </row>
    <row r="48311" spans="1:1" x14ac:dyDescent="0.3">
      <c r="A48311" t="s">
        <v>0</v>
      </c>
    </row>
    <row r="48312" spans="1:1" x14ac:dyDescent="0.3">
      <c r="A48312" t="s">
        <v>0</v>
      </c>
    </row>
    <row r="48313" spans="1:1" x14ac:dyDescent="0.3">
      <c r="A48313" t="s">
        <v>0</v>
      </c>
    </row>
    <row r="48314" spans="1:1" x14ac:dyDescent="0.3">
      <c r="A48314" t="s">
        <v>0</v>
      </c>
    </row>
    <row r="48315" spans="1:1" x14ac:dyDescent="0.3">
      <c r="A48315" t="s">
        <v>0</v>
      </c>
    </row>
    <row r="48316" spans="1:1" x14ac:dyDescent="0.3">
      <c r="A48316" t="s">
        <v>0</v>
      </c>
    </row>
    <row r="48317" spans="1:1" x14ac:dyDescent="0.3">
      <c r="A48317" t="s">
        <v>0</v>
      </c>
    </row>
    <row r="48318" spans="1:1" x14ac:dyDescent="0.3">
      <c r="A48318" t="s">
        <v>0</v>
      </c>
    </row>
    <row r="48319" spans="1:1" x14ac:dyDescent="0.3">
      <c r="A48319" t="s">
        <v>0</v>
      </c>
    </row>
    <row r="48320" spans="1:1" x14ac:dyDescent="0.3">
      <c r="A48320" t="s">
        <v>0</v>
      </c>
    </row>
    <row r="48321" spans="1:1" x14ac:dyDescent="0.3">
      <c r="A48321" t="s">
        <v>0</v>
      </c>
    </row>
    <row r="48322" spans="1:1" x14ac:dyDescent="0.3">
      <c r="A48322" t="s">
        <v>0</v>
      </c>
    </row>
    <row r="48323" spans="1:1" x14ac:dyDescent="0.3">
      <c r="A48323" t="s">
        <v>0</v>
      </c>
    </row>
    <row r="48324" spans="1:1" x14ac:dyDescent="0.3">
      <c r="A48324" t="s">
        <v>0</v>
      </c>
    </row>
    <row r="48325" spans="1:1" x14ac:dyDescent="0.3">
      <c r="A48325" t="s">
        <v>0</v>
      </c>
    </row>
    <row r="48326" spans="1:1" x14ac:dyDescent="0.3">
      <c r="A48326" t="s">
        <v>0</v>
      </c>
    </row>
    <row r="48327" spans="1:1" x14ac:dyDescent="0.3">
      <c r="A48327" t="s">
        <v>0</v>
      </c>
    </row>
    <row r="48328" spans="1:1" x14ac:dyDescent="0.3">
      <c r="A48328" t="s">
        <v>0</v>
      </c>
    </row>
    <row r="48329" spans="1:1" x14ac:dyDescent="0.3">
      <c r="A48329" t="s">
        <v>0</v>
      </c>
    </row>
    <row r="48330" spans="1:1" x14ac:dyDescent="0.3">
      <c r="A48330" t="s">
        <v>0</v>
      </c>
    </row>
    <row r="48331" spans="1:1" x14ac:dyDescent="0.3">
      <c r="A48331" t="s">
        <v>0</v>
      </c>
    </row>
    <row r="48332" spans="1:1" x14ac:dyDescent="0.3">
      <c r="A48332" t="s">
        <v>0</v>
      </c>
    </row>
    <row r="48333" spans="1:1" x14ac:dyDescent="0.3">
      <c r="A48333" t="s">
        <v>0</v>
      </c>
    </row>
    <row r="48334" spans="1:1" x14ac:dyDescent="0.3">
      <c r="A48334" t="s">
        <v>0</v>
      </c>
    </row>
    <row r="48335" spans="1:1" x14ac:dyDescent="0.3">
      <c r="A48335" t="s">
        <v>0</v>
      </c>
    </row>
    <row r="48336" spans="1:1" x14ac:dyDescent="0.3">
      <c r="A48336" t="s">
        <v>0</v>
      </c>
    </row>
    <row r="48337" spans="1:1" x14ac:dyDescent="0.3">
      <c r="A48337" t="s">
        <v>0</v>
      </c>
    </row>
    <row r="48338" spans="1:1" x14ac:dyDescent="0.3">
      <c r="A48338" t="s">
        <v>0</v>
      </c>
    </row>
    <row r="48339" spans="1:1" x14ac:dyDescent="0.3">
      <c r="A48339" t="s">
        <v>0</v>
      </c>
    </row>
    <row r="48340" spans="1:1" x14ac:dyDescent="0.3">
      <c r="A48340" t="s">
        <v>0</v>
      </c>
    </row>
    <row r="48341" spans="1:1" x14ac:dyDescent="0.3">
      <c r="A48341" t="s">
        <v>0</v>
      </c>
    </row>
    <row r="48342" spans="1:1" x14ac:dyDescent="0.3">
      <c r="A48342" t="s">
        <v>0</v>
      </c>
    </row>
    <row r="48343" spans="1:1" x14ac:dyDescent="0.3">
      <c r="A48343" t="s">
        <v>0</v>
      </c>
    </row>
    <row r="48344" spans="1:1" x14ac:dyDescent="0.3">
      <c r="A48344" t="s">
        <v>0</v>
      </c>
    </row>
    <row r="48345" spans="1:1" x14ac:dyDescent="0.3">
      <c r="A48345" t="s">
        <v>0</v>
      </c>
    </row>
    <row r="48346" spans="1:1" x14ac:dyDescent="0.3">
      <c r="A48346" t="s">
        <v>0</v>
      </c>
    </row>
    <row r="48347" spans="1:1" x14ac:dyDescent="0.3">
      <c r="A48347" t="s">
        <v>0</v>
      </c>
    </row>
    <row r="48348" spans="1:1" x14ac:dyDescent="0.3">
      <c r="A48348" t="s">
        <v>0</v>
      </c>
    </row>
    <row r="48349" spans="1:1" x14ac:dyDescent="0.3">
      <c r="A48349" t="s">
        <v>0</v>
      </c>
    </row>
    <row r="48350" spans="1:1" x14ac:dyDescent="0.3">
      <c r="A48350" t="s">
        <v>0</v>
      </c>
    </row>
    <row r="48351" spans="1:1" x14ac:dyDescent="0.3">
      <c r="A48351" t="s">
        <v>0</v>
      </c>
    </row>
    <row r="48352" spans="1:1" x14ac:dyDescent="0.3">
      <c r="A48352" t="s">
        <v>0</v>
      </c>
    </row>
    <row r="48353" spans="1:1" x14ac:dyDescent="0.3">
      <c r="A48353" t="s">
        <v>0</v>
      </c>
    </row>
    <row r="48354" spans="1:1" x14ac:dyDescent="0.3">
      <c r="A48354" t="s">
        <v>0</v>
      </c>
    </row>
    <row r="48355" spans="1:1" x14ac:dyDescent="0.3">
      <c r="A48355" t="s">
        <v>0</v>
      </c>
    </row>
    <row r="48356" spans="1:1" x14ac:dyDescent="0.3">
      <c r="A48356" t="s">
        <v>0</v>
      </c>
    </row>
    <row r="48357" spans="1:1" x14ac:dyDescent="0.3">
      <c r="A48357" t="s">
        <v>0</v>
      </c>
    </row>
    <row r="48358" spans="1:1" x14ac:dyDescent="0.3">
      <c r="A48358" t="s">
        <v>0</v>
      </c>
    </row>
    <row r="48359" spans="1:1" x14ac:dyDescent="0.3">
      <c r="A48359" t="s">
        <v>0</v>
      </c>
    </row>
    <row r="48360" spans="1:1" x14ac:dyDescent="0.3">
      <c r="A48360" t="s">
        <v>0</v>
      </c>
    </row>
    <row r="48361" spans="1:1" x14ac:dyDescent="0.3">
      <c r="A48361" t="s">
        <v>0</v>
      </c>
    </row>
    <row r="48362" spans="1:1" x14ac:dyDescent="0.3">
      <c r="A48362" t="s">
        <v>0</v>
      </c>
    </row>
    <row r="48363" spans="1:1" x14ac:dyDescent="0.3">
      <c r="A48363" t="s">
        <v>0</v>
      </c>
    </row>
    <row r="48364" spans="1:1" x14ac:dyDescent="0.3">
      <c r="A48364" t="s">
        <v>0</v>
      </c>
    </row>
    <row r="48365" spans="1:1" x14ac:dyDescent="0.3">
      <c r="A48365" t="s">
        <v>0</v>
      </c>
    </row>
    <row r="48366" spans="1:1" x14ac:dyDescent="0.3">
      <c r="A48366" t="s">
        <v>0</v>
      </c>
    </row>
    <row r="48367" spans="1:1" x14ac:dyDescent="0.3">
      <c r="A48367" t="s">
        <v>0</v>
      </c>
    </row>
    <row r="48368" spans="1:1" x14ac:dyDescent="0.3">
      <c r="A48368" t="s">
        <v>0</v>
      </c>
    </row>
    <row r="48369" spans="1:1" x14ac:dyDescent="0.3">
      <c r="A48369" t="s">
        <v>0</v>
      </c>
    </row>
    <row r="48370" spans="1:1" x14ac:dyDescent="0.3">
      <c r="A48370" t="s">
        <v>0</v>
      </c>
    </row>
    <row r="48371" spans="1:1" x14ac:dyDescent="0.3">
      <c r="A48371" t="s">
        <v>0</v>
      </c>
    </row>
    <row r="48372" spans="1:1" x14ac:dyDescent="0.3">
      <c r="A48372" t="s">
        <v>0</v>
      </c>
    </row>
    <row r="48373" spans="1:1" x14ac:dyDescent="0.3">
      <c r="A48373" t="s">
        <v>0</v>
      </c>
    </row>
    <row r="48374" spans="1:1" x14ac:dyDescent="0.3">
      <c r="A48374" t="s">
        <v>0</v>
      </c>
    </row>
    <row r="48375" spans="1:1" x14ac:dyDescent="0.3">
      <c r="A48375" t="s">
        <v>0</v>
      </c>
    </row>
    <row r="48376" spans="1:1" x14ac:dyDescent="0.3">
      <c r="A48376" t="s">
        <v>0</v>
      </c>
    </row>
    <row r="48377" spans="1:1" x14ac:dyDescent="0.3">
      <c r="A48377" t="s">
        <v>0</v>
      </c>
    </row>
    <row r="48378" spans="1:1" x14ac:dyDescent="0.3">
      <c r="A48378" t="s">
        <v>0</v>
      </c>
    </row>
    <row r="48379" spans="1:1" x14ac:dyDescent="0.3">
      <c r="A48379" t="s">
        <v>0</v>
      </c>
    </row>
    <row r="48380" spans="1:1" x14ac:dyDescent="0.3">
      <c r="A48380" t="s">
        <v>0</v>
      </c>
    </row>
    <row r="48381" spans="1:1" x14ac:dyDescent="0.3">
      <c r="A48381" t="s">
        <v>0</v>
      </c>
    </row>
    <row r="48382" spans="1:1" x14ac:dyDescent="0.3">
      <c r="A48382" t="s">
        <v>0</v>
      </c>
    </row>
    <row r="48383" spans="1:1" x14ac:dyDescent="0.3">
      <c r="A48383" t="s">
        <v>0</v>
      </c>
    </row>
    <row r="48384" spans="1:1" x14ac:dyDescent="0.3">
      <c r="A48384" t="s">
        <v>0</v>
      </c>
    </row>
    <row r="48385" spans="1:1" x14ac:dyDescent="0.3">
      <c r="A48385" t="s">
        <v>0</v>
      </c>
    </row>
    <row r="48386" spans="1:1" x14ac:dyDescent="0.3">
      <c r="A48386" t="s">
        <v>0</v>
      </c>
    </row>
    <row r="48387" spans="1:1" x14ac:dyDescent="0.3">
      <c r="A48387" t="s">
        <v>0</v>
      </c>
    </row>
    <row r="48388" spans="1:1" x14ac:dyDescent="0.3">
      <c r="A48388" t="s">
        <v>0</v>
      </c>
    </row>
    <row r="48389" spans="1:1" x14ac:dyDescent="0.3">
      <c r="A48389" t="s">
        <v>0</v>
      </c>
    </row>
    <row r="48390" spans="1:1" x14ac:dyDescent="0.3">
      <c r="A48390" t="s">
        <v>0</v>
      </c>
    </row>
    <row r="48391" spans="1:1" x14ac:dyDescent="0.3">
      <c r="A48391" t="s">
        <v>0</v>
      </c>
    </row>
    <row r="48392" spans="1:1" x14ac:dyDescent="0.3">
      <c r="A48392" t="s">
        <v>0</v>
      </c>
    </row>
    <row r="48393" spans="1:1" x14ac:dyDescent="0.3">
      <c r="A48393" t="s">
        <v>0</v>
      </c>
    </row>
    <row r="48394" spans="1:1" x14ac:dyDescent="0.3">
      <c r="A48394" t="s">
        <v>0</v>
      </c>
    </row>
    <row r="48395" spans="1:1" x14ac:dyDescent="0.3">
      <c r="A48395" t="s">
        <v>0</v>
      </c>
    </row>
    <row r="48396" spans="1:1" x14ac:dyDescent="0.3">
      <c r="A48396" t="s">
        <v>0</v>
      </c>
    </row>
    <row r="48397" spans="1:1" x14ac:dyDescent="0.3">
      <c r="A48397" t="s">
        <v>0</v>
      </c>
    </row>
    <row r="48398" spans="1:1" x14ac:dyDescent="0.3">
      <c r="A48398" t="s">
        <v>0</v>
      </c>
    </row>
    <row r="48399" spans="1:1" x14ac:dyDescent="0.3">
      <c r="A48399" t="s">
        <v>0</v>
      </c>
    </row>
    <row r="48400" spans="1:1" x14ac:dyDescent="0.3">
      <c r="A48400" t="s">
        <v>0</v>
      </c>
    </row>
    <row r="48401" spans="1:1" x14ac:dyDescent="0.3">
      <c r="A48401" t="s">
        <v>0</v>
      </c>
    </row>
    <row r="48402" spans="1:1" x14ac:dyDescent="0.3">
      <c r="A48402" t="s">
        <v>0</v>
      </c>
    </row>
    <row r="48403" spans="1:1" x14ac:dyDescent="0.3">
      <c r="A48403" t="s">
        <v>0</v>
      </c>
    </row>
    <row r="48404" spans="1:1" x14ac:dyDescent="0.3">
      <c r="A48404" t="s">
        <v>0</v>
      </c>
    </row>
    <row r="48405" spans="1:1" x14ac:dyDescent="0.3">
      <c r="A48405" t="s">
        <v>0</v>
      </c>
    </row>
    <row r="48406" spans="1:1" x14ac:dyDescent="0.3">
      <c r="A48406" t="s">
        <v>0</v>
      </c>
    </row>
    <row r="48407" spans="1:1" x14ac:dyDescent="0.3">
      <c r="A48407" t="s">
        <v>0</v>
      </c>
    </row>
    <row r="48408" spans="1:1" x14ac:dyDescent="0.3">
      <c r="A48408" t="s">
        <v>0</v>
      </c>
    </row>
    <row r="48409" spans="1:1" x14ac:dyDescent="0.3">
      <c r="A48409" t="s">
        <v>0</v>
      </c>
    </row>
    <row r="48410" spans="1:1" x14ac:dyDescent="0.3">
      <c r="A48410" t="s">
        <v>0</v>
      </c>
    </row>
    <row r="48411" spans="1:1" x14ac:dyDescent="0.3">
      <c r="A48411" t="s">
        <v>0</v>
      </c>
    </row>
    <row r="48412" spans="1:1" x14ac:dyDescent="0.3">
      <c r="A48412" t="s">
        <v>0</v>
      </c>
    </row>
    <row r="48413" spans="1:1" x14ac:dyDescent="0.3">
      <c r="A48413" t="s">
        <v>0</v>
      </c>
    </row>
    <row r="48414" spans="1:1" x14ac:dyDescent="0.3">
      <c r="A48414" t="s">
        <v>0</v>
      </c>
    </row>
    <row r="48415" spans="1:1" x14ac:dyDescent="0.3">
      <c r="A48415" t="s">
        <v>0</v>
      </c>
    </row>
    <row r="48416" spans="1:1" x14ac:dyDescent="0.3">
      <c r="A48416" t="s">
        <v>0</v>
      </c>
    </row>
    <row r="48417" spans="1:1" x14ac:dyDescent="0.3">
      <c r="A48417" t="s">
        <v>0</v>
      </c>
    </row>
    <row r="48418" spans="1:1" x14ac:dyDescent="0.3">
      <c r="A48418" t="s">
        <v>0</v>
      </c>
    </row>
    <row r="48419" spans="1:1" x14ac:dyDescent="0.3">
      <c r="A48419" t="s">
        <v>0</v>
      </c>
    </row>
    <row r="48420" spans="1:1" x14ac:dyDescent="0.3">
      <c r="A48420" t="s">
        <v>0</v>
      </c>
    </row>
    <row r="48421" spans="1:1" x14ac:dyDescent="0.3">
      <c r="A48421" t="s">
        <v>0</v>
      </c>
    </row>
    <row r="48422" spans="1:1" x14ac:dyDescent="0.3">
      <c r="A48422" t="s">
        <v>0</v>
      </c>
    </row>
    <row r="48423" spans="1:1" x14ac:dyDescent="0.3">
      <c r="A48423" t="s">
        <v>0</v>
      </c>
    </row>
    <row r="48424" spans="1:1" x14ac:dyDescent="0.3">
      <c r="A48424" t="s">
        <v>0</v>
      </c>
    </row>
    <row r="48425" spans="1:1" x14ac:dyDescent="0.3">
      <c r="A48425" t="s">
        <v>0</v>
      </c>
    </row>
    <row r="48426" spans="1:1" x14ac:dyDescent="0.3">
      <c r="A48426" t="s">
        <v>0</v>
      </c>
    </row>
    <row r="48427" spans="1:1" x14ac:dyDescent="0.3">
      <c r="A48427" t="s">
        <v>0</v>
      </c>
    </row>
    <row r="48428" spans="1:1" x14ac:dyDescent="0.3">
      <c r="A48428" t="s">
        <v>0</v>
      </c>
    </row>
    <row r="48429" spans="1:1" x14ac:dyDescent="0.3">
      <c r="A48429" t="s">
        <v>0</v>
      </c>
    </row>
    <row r="48430" spans="1:1" x14ac:dyDescent="0.3">
      <c r="A48430" t="s">
        <v>0</v>
      </c>
    </row>
    <row r="48431" spans="1:1" x14ac:dyDescent="0.3">
      <c r="A48431" t="s">
        <v>0</v>
      </c>
    </row>
    <row r="48432" spans="1:1" x14ac:dyDescent="0.3">
      <c r="A48432" t="s">
        <v>0</v>
      </c>
    </row>
    <row r="48433" spans="1:1" x14ac:dyDescent="0.3">
      <c r="A48433" t="s">
        <v>0</v>
      </c>
    </row>
    <row r="48434" spans="1:1" x14ac:dyDescent="0.3">
      <c r="A48434" t="s">
        <v>0</v>
      </c>
    </row>
    <row r="48435" spans="1:1" x14ac:dyDescent="0.3">
      <c r="A48435" t="s">
        <v>0</v>
      </c>
    </row>
    <row r="48436" spans="1:1" x14ac:dyDescent="0.3">
      <c r="A48436" t="s">
        <v>0</v>
      </c>
    </row>
    <row r="48437" spans="1:1" x14ac:dyDescent="0.3">
      <c r="A48437" t="s">
        <v>0</v>
      </c>
    </row>
    <row r="48438" spans="1:1" x14ac:dyDescent="0.3">
      <c r="A48438" t="s">
        <v>0</v>
      </c>
    </row>
    <row r="48439" spans="1:1" x14ac:dyDescent="0.3">
      <c r="A48439" t="s">
        <v>0</v>
      </c>
    </row>
    <row r="48440" spans="1:1" x14ac:dyDescent="0.3">
      <c r="A48440" t="s">
        <v>0</v>
      </c>
    </row>
    <row r="48441" spans="1:1" x14ac:dyDescent="0.3">
      <c r="A48441" t="s">
        <v>0</v>
      </c>
    </row>
    <row r="48442" spans="1:1" x14ac:dyDescent="0.3">
      <c r="A48442" t="s">
        <v>0</v>
      </c>
    </row>
    <row r="48443" spans="1:1" x14ac:dyDescent="0.3">
      <c r="A48443" t="s">
        <v>0</v>
      </c>
    </row>
    <row r="48444" spans="1:1" x14ac:dyDescent="0.3">
      <c r="A48444" t="s">
        <v>0</v>
      </c>
    </row>
    <row r="48445" spans="1:1" x14ac:dyDescent="0.3">
      <c r="A48445" t="s">
        <v>0</v>
      </c>
    </row>
    <row r="48446" spans="1:1" x14ac:dyDescent="0.3">
      <c r="A48446" t="s">
        <v>0</v>
      </c>
    </row>
    <row r="48447" spans="1:1" x14ac:dyDescent="0.3">
      <c r="A48447" t="s">
        <v>0</v>
      </c>
    </row>
    <row r="48448" spans="1:1" x14ac:dyDescent="0.3">
      <c r="A48448" t="s">
        <v>0</v>
      </c>
    </row>
    <row r="48449" spans="1:1" x14ac:dyDescent="0.3">
      <c r="A48449" t="s">
        <v>0</v>
      </c>
    </row>
    <row r="48450" spans="1:1" x14ac:dyDescent="0.3">
      <c r="A48450" t="s">
        <v>0</v>
      </c>
    </row>
    <row r="48451" spans="1:1" x14ac:dyDescent="0.3">
      <c r="A48451" t="s">
        <v>0</v>
      </c>
    </row>
    <row r="48452" spans="1:1" x14ac:dyDescent="0.3">
      <c r="A48452" t="s">
        <v>0</v>
      </c>
    </row>
    <row r="48453" spans="1:1" x14ac:dyDescent="0.3">
      <c r="A48453" t="s">
        <v>0</v>
      </c>
    </row>
    <row r="48454" spans="1:1" x14ac:dyDescent="0.3">
      <c r="A48454" t="s">
        <v>0</v>
      </c>
    </row>
    <row r="48455" spans="1:1" x14ac:dyDescent="0.3">
      <c r="A48455" t="s">
        <v>0</v>
      </c>
    </row>
    <row r="48456" spans="1:1" x14ac:dyDescent="0.3">
      <c r="A48456" t="s">
        <v>0</v>
      </c>
    </row>
    <row r="48457" spans="1:1" x14ac:dyDescent="0.3">
      <c r="A48457" t="s">
        <v>0</v>
      </c>
    </row>
    <row r="48458" spans="1:1" x14ac:dyDescent="0.3">
      <c r="A48458" t="s">
        <v>0</v>
      </c>
    </row>
    <row r="48459" spans="1:1" x14ac:dyDescent="0.3">
      <c r="A48459" t="s">
        <v>0</v>
      </c>
    </row>
    <row r="48460" spans="1:1" x14ac:dyDescent="0.3">
      <c r="A48460" t="s">
        <v>0</v>
      </c>
    </row>
    <row r="48461" spans="1:1" x14ac:dyDescent="0.3">
      <c r="A48461" t="s">
        <v>0</v>
      </c>
    </row>
    <row r="48462" spans="1:1" x14ac:dyDescent="0.3">
      <c r="A48462" t="s">
        <v>0</v>
      </c>
    </row>
    <row r="48463" spans="1:1" x14ac:dyDescent="0.3">
      <c r="A48463" t="s">
        <v>0</v>
      </c>
    </row>
    <row r="48464" spans="1:1" x14ac:dyDescent="0.3">
      <c r="A48464" t="s">
        <v>0</v>
      </c>
    </row>
    <row r="48465" spans="1:1" x14ac:dyDescent="0.3">
      <c r="A48465" t="s">
        <v>0</v>
      </c>
    </row>
    <row r="48466" spans="1:1" x14ac:dyDescent="0.3">
      <c r="A48466" t="s">
        <v>0</v>
      </c>
    </row>
    <row r="48467" spans="1:1" x14ac:dyDescent="0.3">
      <c r="A48467" t="s">
        <v>0</v>
      </c>
    </row>
    <row r="48468" spans="1:1" x14ac:dyDescent="0.3">
      <c r="A48468" t="s">
        <v>0</v>
      </c>
    </row>
    <row r="48469" spans="1:1" x14ac:dyDescent="0.3">
      <c r="A48469" t="s">
        <v>0</v>
      </c>
    </row>
    <row r="48470" spans="1:1" x14ac:dyDescent="0.3">
      <c r="A48470" t="s">
        <v>0</v>
      </c>
    </row>
    <row r="48471" spans="1:1" x14ac:dyDescent="0.3">
      <c r="A48471" t="s">
        <v>0</v>
      </c>
    </row>
    <row r="48472" spans="1:1" x14ac:dyDescent="0.3">
      <c r="A48472" t="s">
        <v>0</v>
      </c>
    </row>
    <row r="48473" spans="1:1" x14ac:dyDescent="0.3">
      <c r="A48473" t="s">
        <v>0</v>
      </c>
    </row>
    <row r="48474" spans="1:1" x14ac:dyDescent="0.3">
      <c r="A48474" t="s">
        <v>0</v>
      </c>
    </row>
    <row r="48475" spans="1:1" x14ac:dyDescent="0.3">
      <c r="A48475" t="s">
        <v>0</v>
      </c>
    </row>
    <row r="48476" spans="1:1" x14ac:dyDescent="0.3">
      <c r="A48476" t="s">
        <v>0</v>
      </c>
    </row>
    <row r="48477" spans="1:1" x14ac:dyDescent="0.3">
      <c r="A48477" t="s">
        <v>0</v>
      </c>
    </row>
    <row r="48478" spans="1:1" x14ac:dyDescent="0.3">
      <c r="A48478" t="s">
        <v>0</v>
      </c>
    </row>
    <row r="48479" spans="1:1" x14ac:dyDescent="0.3">
      <c r="A48479" t="s">
        <v>0</v>
      </c>
    </row>
    <row r="48480" spans="1:1" x14ac:dyDescent="0.3">
      <c r="A48480" t="s">
        <v>0</v>
      </c>
    </row>
    <row r="48481" spans="1:1" x14ac:dyDescent="0.3">
      <c r="A48481" t="s">
        <v>0</v>
      </c>
    </row>
    <row r="48482" spans="1:1" x14ac:dyDescent="0.3">
      <c r="A48482" t="s">
        <v>0</v>
      </c>
    </row>
    <row r="48483" spans="1:1" x14ac:dyDescent="0.3">
      <c r="A48483" t="s">
        <v>0</v>
      </c>
    </row>
    <row r="48484" spans="1:1" x14ac:dyDescent="0.3">
      <c r="A48484" t="s">
        <v>0</v>
      </c>
    </row>
    <row r="48485" spans="1:1" x14ac:dyDescent="0.3">
      <c r="A48485" t="s">
        <v>0</v>
      </c>
    </row>
    <row r="48486" spans="1:1" x14ac:dyDescent="0.3">
      <c r="A48486" t="s">
        <v>0</v>
      </c>
    </row>
    <row r="48487" spans="1:1" x14ac:dyDescent="0.3">
      <c r="A48487" t="s">
        <v>0</v>
      </c>
    </row>
    <row r="48488" spans="1:1" x14ac:dyDescent="0.3">
      <c r="A48488" t="s">
        <v>0</v>
      </c>
    </row>
    <row r="48489" spans="1:1" x14ac:dyDescent="0.3">
      <c r="A48489" t="s">
        <v>0</v>
      </c>
    </row>
    <row r="48490" spans="1:1" x14ac:dyDescent="0.3">
      <c r="A48490" t="s">
        <v>0</v>
      </c>
    </row>
    <row r="48491" spans="1:1" x14ac:dyDescent="0.3">
      <c r="A48491" t="s">
        <v>0</v>
      </c>
    </row>
    <row r="48492" spans="1:1" x14ac:dyDescent="0.3">
      <c r="A48492" t="s">
        <v>0</v>
      </c>
    </row>
    <row r="48493" spans="1:1" x14ac:dyDescent="0.3">
      <c r="A48493" t="s">
        <v>0</v>
      </c>
    </row>
    <row r="48494" spans="1:1" x14ac:dyDescent="0.3">
      <c r="A48494" t="s">
        <v>0</v>
      </c>
    </row>
    <row r="48495" spans="1:1" x14ac:dyDescent="0.3">
      <c r="A48495" t="s">
        <v>0</v>
      </c>
    </row>
    <row r="48496" spans="1:1" x14ac:dyDescent="0.3">
      <c r="A48496" t="s">
        <v>0</v>
      </c>
    </row>
    <row r="48497" spans="1:1" x14ac:dyDescent="0.3">
      <c r="A48497" t="s">
        <v>0</v>
      </c>
    </row>
    <row r="48498" spans="1:1" x14ac:dyDescent="0.3">
      <c r="A48498" t="s">
        <v>0</v>
      </c>
    </row>
    <row r="48499" spans="1:1" x14ac:dyDescent="0.3">
      <c r="A48499" t="s">
        <v>0</v>
      </c>
    </row>
    <row r="48500" spans="1:1" x14ac:dyDescent="0.3">
      <c r="A48500" t="s">
        <v>0</v>
      </c>
    </row>
    <row r="48501" spans="1:1" x14ac:dyDescent="0.3">
      <c r="A48501" t="s">
        <v>0</v>
      </c>
    </row>
    <row r="48502" spans="1:1" x14ac:dyDescent="0.3">
      <c r="A48502" t="s">
        <v>0</v>
      </c>
    </row>
    <row r="48503" spans="1:1" x14ac:dyDescent="0.3">
      <c r="A48503" t="s">
        <v>0</v>
      </c>
    </row>
    <row r="48504" spans="1:1" x14ac:dyDescent="0.3">
      <c r="A48504" t="s">
        <v>0</v>
      </c>
    </row>
    <row r="48505" spans="1:1" x14ac:dyDescent="0.3">
      <c r="A48505" t="s">
        <v>0</v>
      </c>
    </row>
    <row r="48506" spans="1:1" x14ac:dyDescent="0.3">
      <c r="A48506" t="s">
        <v>0</v>
      </c>
    </row>
    <row r="48507" spans="1:1" x14ac:dyDescent="0.3">
      <c r="A48507" t="s">
        <v>0</v>
      </c>
    </row>
    <row r="48508" spans="1:1" x14ac:dyDescent="0.3">
      <c r="A48508" t="s">
        <v>0</v>
      </c>
    </row>
    <row r="48509" spans="1:1" x14ac:dyDescent="0.3">
      <c r="A48509" t="s">
        <v>0</v>
      </c>
    </row>
    <row r="48510" spans="1:1" x14ac:dyDescent="0.3">
      <c r="A48510" t="s">
        <v>0</v>
      </c>
    </row>
    <row r="48511" spans="1:1" x14ac:dyDescent="0.3">
      <c r="A48511" t="s">
        <v>0</v>
      </c>
    </row>
    <row r="48512" spans="1:1" x14ac:dyDescent="0.3">
      <c r="A48512" t="s">
        <v>0</v>
      </c>
    </row>
    <row r="48513" spans="1:1" x14ac:dyDescent="0.3">
      <c r="A48513" t="s">
        <v>0</v>
      </c>
    </row>
    <row r="48514" spans="1:1" x14ac:dyDescent="0.3">
      <c r="A48514" t="s">
        <v>0</v>
      </c>
    </row>
    <row r="48515" spans="1:1" x14ac:dyDescent="0.3">
      <c r="A48515" t="s">
        <v>0</v>
      </c>
    </row>
    <row r="48516" spans="1:1" x14ac:dyDescent="0.3">
      <c r="A48516" t="s">
        <v>0</v>
      </c>
    </row>
    <row r="48517" spans="1:1" x14ac:dyDescent="0.3">
      <c r="A48517" t="s">
        <v>0</v>
      </c>
    </row>
    <row r="48518" spans="1:1" x14ac:dyDescent="0.3">
      <c r="A48518" t="s">
        <v>0</v>
      </c>
    </row>
    <row r="48519" spans="1:1" x14ac:dyDescent="0.3">
      <c r="A48519" t="s">
        <v>0</v>
      </c>
    </row>
    <row r="48520" spans="1:1" x14ac:dyDescent="0.3">
      <c r="A48520" t="s">
        <v>0</v>
      </c>
    </row>
    <row r="48521" spans="1:1" x14ac:dyDescent="0.3">
      <c r="A48521" t="s">
        <v>0</v>
      </c>
    </row>
    <row r="48522" spans="1:1" x14ac:dyDescent="0.3">
      <c r="A48522" t="s">
        <v>0</v>
      </c>
    </row>
    <row r="48523" spans="1:1" x14ac:dyDescent="0.3">
      <c r="A48523" t="s">
        <v>0</v>
      </c>
    </row>
    <row r="48524" spans="1:1" x14ac:dyDescent="0.3">
      <c r="A48524" t="s">
        <v>0</v>
      </c>
    </row>
    <row r="48525" spans="1:1" x14ac:dyDescent="0.3">
      <c r="A48525" t="s">
        <v>0</v>
      </c>
    </row>
    <row r="48526" spans="1:1" x14ac:dyDescent="0.3">
      <c r="A48526" t="s">
        <v>0</v>
      </c>
    </row>
    <row r="48527" spans="1:1" x14ac:dyDescent="0.3">
      <c r="A48527" t="s">
        <v>0</v>
      </c>
    </row>
    <row r="48528" spans="1:1" x14ac:dyDescent="0.3">
      <c r="A48528" t="s">
        <v>0</v>
      </c>
    </row>
    <row r="48529" spans="1:1" x14ac:dyDescent="0.3">
      <c r="A48529" t="s">
        <v>0</v>
      </c>
    </row>
    <row r="48530" spans="1:1" x14ac:dyDescent="0.3">
      <c r="A48530" t="s">
        <v>0</v>
      </c>
    </row>
    <row r="48531" spans="1:1" x14ac:dyDescent="0.3">
      <c r="A48531" t="s">
        <v>0</v>
      </c>
    </row>
    <row r="48532" spans="1:1" x14ac:dyDescent="0.3">
      <c r="A48532" t="s">
        <v>0</v>
      </c>
    </row>
    <row r="48533" spans="1:1" x14ac:dyDescent="0.3">
      <c r="A48533" t="s">
        <v>0</v>
      </c>
    </row>
    <row r="48534" spans="1:1" x14ac:dyDescent="0.3">
      <c r="A48534" t="s">
        <v>0</v>
      </c>
    </row>
    <row r="48535" spans="1:1" x14ac:dyDescent="0.3">
      <c r="A48535" t="s">
        <v>0</v>
      </c>
    </row>
    <row r="48536" spans="1:1" x14ac:dyDescent="0.3">
      <c r="A48536" t="s">
        <v>0</v>
      </c>
    </row>
    <row r="48537" spans="1:1" x14ac:dyDescent="0.3">
      <c r="A48537" t="s">
        <v>0</v>
      </c>
    </row>
    <row r="48538" spans="1:1" x14ac:dyDescent="0.3">
      <c r="A48538" t="s">
        <v>0</v>
      </c>
    </row>
    <row r="48539" spans="1:1" x14ac:dyDescent="0.3">
      <c r="A48539" t="s">
        <v>0</v>
      </c>
    </row>
    <row r="48540" spans="1:1" x14ac:dyDescent="0.3">
      <c r="A48540" t="s">
        <v>0</v>
      </c>
    </row>
    <row r="48541" spans="1:1" x14ac:dyDescent="0.3">
      <c r="A48541" t="s">
        <v>0</v>
      </c>
    </row>
    <row r="48542" spans="1:1" x14ac:dyDescent="0.3">
      <c r="A48542" t="s">
        <v>0</v>
      </c>
    </row>
    <row r="48543" spans="1:1" x14ac:dyDescent="0.3">
      <c r="A48543" t="s">
        <v>0</v>
      </c>
    </row>
    <row r="48544" spans="1:1" x14ac:dyDescent="0.3">
      <c r="A48544" t="s">
        <v>0</v>
      </c>
    </row>
    <row r="48545" spans="1:1" x14ac:dyDescent="0.3">
      <c r="A48545" t="s">
        <v>0</v>
      </c>
    </row>
    <row r="48546" spans="1:1" x14ac:dyDescent="0.3">
      <c r="A48546" t="s">
        <v>0</v>
      </c>
    </row>
    <row r="48547" spans="1:1" x14ac:dyDescent="0.3">
      <c r="A48547" t="s">
        <v>0</v>
      </c>
    </row>
    <row r="48548" spans="1:1" x14ac:dyDescent="0.3">
      <c r="A48548" t="s">
        <v>0</v>
      </c>
    </row>
    <row r="48549" spans="1:1" x14ac:dyDescent="0.3">
      <c r="A48549" t="s">
        <v>0</v>
      </c>
    </row>
    <row r="48550" spans="1:1" x14ac:dyDescent="0.3">
      <c r="A48550" t="s">
        <v>0</v>
      </c>
    </row>
    <row r="48551" spans="1:1" x14ac:dyDescent="0.3">
      <c r="A48551" t="s">
        <v>0</v>
      </c>
    </row>
    <row r="48552" spans="1:1" x14ac:dyDescent="0.3">
      <c r="A48552" t="s">
        <v>0</v>
      </c>
    </row>
    <row r="48553" spans="1:1" x14ac:dyDescent="0.3">
      <c r="A48553" t="s">
        <v>0</v>
      </c>
    </row>
    <row r="48554" spans="1:1" x14ac:dyDescent="0.3">
      <c r="A48554" t="s">
        <v>0</v>
      </c>
    </row>
    <row r="48555" spans="1:1" x14ac:dyDescent="0.3">
      <c r="A48555" t="s">
        <v>0</v>
      </c>
    </row>
    <row r="48556" spans="1:1" x14ac:dyDescent="0.3">
      <c r="A48556" t="s">
        <v>0</v>
      </c>
    </row>
    <row r="48557" spans="1:1" x14ac:dyDescent="0.3">
      <c r="A48557" t="s">
        <v>0</v>
      </c>
    </row>
    <row r="48558" spans="1:1" x14ac:dyDescent="0.3">
      <c r="A48558" t="s">
        <v>0</v>
      </c>
    </row>
    <row r="48559" spans="1:1" x14ac:dyDescent="0.3">
      <c r="A48559" t="s">
        <v>0</v>
      </c>
    </row>
    <row r="48560" spans="1:1" x14ac:dyDescent="0.3">
      <c r="A48560" t="s">
        <v>0</v>
      </c>
    </row>
    <row r="48561" spans="1:1" x14ac:dyDescent="0.3">
      <c r="A48561" t="s">
        <v>0</v>
      </c>
    </row>
    <row r="48562" spans="1:1" x14ac:dyDescent="0.3">
      <c r="A48562" t="s">
        <v>0</v>
      </c>
    </row>
    <row r="48563" spans="1:1" x14ac:dyDescent="0.3">
      <c r="A48563" t="s">
        <v>0</v>
      </c>
    </row>
    <row r="48564" spans="1:1" x14ac:dyDescent="0.3">
      <c r="A48564" t="s">
        <v>0</v>
      </c>
    </row>
    <row r="48565" spans="1:1" x14ac:dyDescent="0.3">
      <c r="A48565" t="s">
        <v>0</v>
      </c>
    </row>
    <row r="48566" spans="1:1" x14ac:dyDescent="0.3">
      <c r="A48566" t="s">
        <v>0</v>
      </c>
    </row>
    <row r="48567" spans="1:1" x14ac:dyDescent="0.3">
      <c r="A48567" t="s">
        <v>0</v>
      </c>
    </row>
    <row r="48568" spans="1:1" x14ac:dyDescent="0.3">
      <c r="A48568" t="s">
        <v>0</v>
      </c>
    </row>
    <row r="48569" spans="1:1" x14ac:dyDescent="0.3">
      <c r="A48569" t="s">
        <v>0</v>
      </c>
    </row>
    <row r="48570" spans="1:1" x14ac:dyDescent="0.3">
      <c r="A48570" t="s">
        <v>0</v>
      </c>
    </row>
    <row r="48571" spans="1:1" x14ac:dyDescent="0.3">
      <c r="A48571" t="s">
        <v>0</v>
      </c>
    </row>
    <row r="48572" spans="1:1" x14ac:dyDescent="0.3">
      <c r="A48572" t="s">
        <v>0</v>
      </c>
    </row>
    <row r="48573" spans="1:1" x14ac:dyDescent="0.3">
      <c r="A48573" t="s">
        <v>0</v>
      </c>
    </row>
    <row r="48574" spans="1:1" x14ac:dyDescent="0.3">
      <c r="A48574" t="s">
        <v>0</v>
      </c>
    </row>
    <row r="48575" spans="1:1" x14ac:dyDescent="0.3">
      <c r="A48575" t="s">
        <v>0</v>
      </c>
    </row>
    <row r="48576" spans="1:1" x14ac:dyDescent="0.3">
      <c r="A48576" t="s">
        <v>0</v>
      </c>
    </row>
    <row r="48577" spans="1:1" x14ac:dyDescent="0.3">
      <c r="A48577" t="s">
        <v>0</v>
      </c>
    </row>
    <row r="48578" spans="1:1" x14ac:dyDescent="0.3">
      <c r="A48578" t="s">
        <v>0</v>
      </c>
    </row>
    <row r="48579" spans="1:1" x14ac:dyDescent="0.3">
      <c r="A48579" t="s">
        <v>0</v>
      </c>
    </row>
    <row r="48580" spans="1:1" x14ac:dyDescent="0.3">
      <c r="A48580" t="s">
        <v>0</v>
      </c>
    </row>
    <row r="48581" spans="1:1" x14ac:dyDescent="0.3">
      <c r="A48581" t="s">
        <v>0</v>
      </c>
    </row>
    <row r="48582" spans="1:1" x14ac:dyDescent="0.3">
      <c r="A48582" t="s">
        <v>0</v>
      </c>
    </row>
    <row r="48583" spans="1:1" x14ac:dyDescent="0.3">
      <c r="A48583" t="s">
        <v>0</v>
      </c>
    </row>
    <row r="48584" spans="1:1" x14ac:dyDescent="0.3">
      <c r="A48584" t="s">
        <v>0</v>
      </c>
    </row>
    <row r="48585" spans="1:1" x14ac:dyDescent="0.3">
      <c r="A48585" t="s">
        <v>0</v>
      </c>
    </row>
    <row r="48586" spans="1:1" x14ac:dyDescent="0.3">
      <c r="A48586" t="s">
        <v>0</v>
      </c>
    </row>
    <row r="48587" spans="1:1" x14ac:dyDescent="0.3">
      <c r="A48587" t="s">
        <v>0</v>
      </c>
    </row>
    <row r="48588" spans="1:1" x14ac:dyDescent="0.3">
      <c r="A48588" t="s">
        <v>0</v>
      </c>
    </row>
    <row r="48589" spans="1:1" x14ac:dyDescent="0.3">
      <c r="A48589" t="s">
        <v>0</v>
      </c>
    </row>
    <row r="48590" spans="1:1" x14ac:dyDescent="0.3">
      <c r="A48590" t="s">
        <v>0</v>
      </c>
    </row>
    <row r="48591" spans="1:1" x14ac:dyDescent="0.3">
      <c r="A48591" t="s">
        <v>0</v>
      </c>
    </row>
    <row r="48592" spans="1:1" x14ac:dyDescent="0.3">
      <c r="A48592" t="s">
        <v>0</v>
      </c>
    </row>
    <row r="48593" spans="1:1" x14ac:dyDescent="0.3">
      <c r="A48593" t="s">
        <v>0</v>
      </c>
    </row>
    <row r="48594" spans="1:1" x14ac:dyDescent="0.3">
      <c r="A48594" t="s">
        <v>0</v>
      </c>
    </row>
    <row r="48595" spans="1:1" x14ac:dyDescent="0.3">
      <c r="A48595" t="s">
        <v>0</v>
      </c>
    </row>
    <row r="48596" spans="1:1" x14ac:dyDescent="0.3">
      <c r="A48596" t="s">
        <v>0</v>
      </c>
    </row>
    <row r="48597" spans="1:1" x14ac:dyDescent="0.3">
      <c r="A48597" t="s">
        <v>0</v>
      </c>
    </row>
    <row r="48598" spans="1:1" x14ac:dyDescent="0.3">
      <c r="A48598" t="s">
        <v>0</v>
      </c>
    </row>
    <row r="48599" spans="1:1" x14ac:dyDescent="0.3">
      <c r="A48599" t="s">
        <v>0</v>
      </c>
    </row>
    <row r="48600" spans="1:1" x14ac:dyDescent="0.3">
      <c r="A48600" t="s">
        <v>0</v>
      </c>
    </row>
    <row r="48601" spans="1:1" x14ac:dyDescent="0.3">
      <c r="A48601" t="s">
        <v>0</v>
      </c>
    </row>
    <row r="48602" spans="1:1" x14ac:dyDescent="0.3">
      <c r="A48602" t="s">
        <v>0</v>
      </c>
    </row>
    <row r="48603" spans="1:1" x14ac:dyDescent="0.3">
      <c r="A48603" t="s">
        <v>0</v>
      </c>
    </row>
    <row r="48604" spans="1:1" x14ac:dyDescent="0.3">
      <c r="A48604" t="s">
        <v>0</v>
      </c>
    </row>
    <row r="48605" spans="1:1" x14ac:dyDescent="0.3">
      <c r="A48605" t="s">
        <v>0</v>
      </c>
    </row>
    <row r="48606" spans="1:1" x14ac:dyDescent="0.3">
      <c r="A48606" t="s">
        <v>0</v>
      </c>
    </row>
    <row r="48607" spans="1:1" x14ac:dyDescent="0.3">
      <c r="A48607" t="s">
        <v>0</v>
      </c>
    </row>
    <row r="48608" spans="1:1" x14ac:dyDescent="0.3">
      <c r="A48608" t="s">
        <v>0</v>
      </c>
    </row>
    <row r="48609" spans="1:1" x14ac:dyDescent="0.3">
      <c r="A48609" t="s">
        <v>0</v>
      </c>
    </row>
    <row r="48610" spans="1:1" x14ac:dyDescent="0.3">
      <c r="A48610" t="s">
        <v>0</v>
      </c>
    </row>
    <row r="48611" spans="1:1" x14ac:dyDescent="0.3">
      <c r="A48611" t="s">
        <v>0</v>
      </c>
    </row>
    <row r="48612" spans="1:1" x14ac:dyDescent="0.3">
      <c r="A48612" t="s">
        <v>0</v>
      </c>
    </row>
    <row r="48613" spans="1:1" x14ac:dyDescent="0.3">
      <c r="A48613" t="s">
        <v>0</v>
      </c>
    </row>
    <row r="48614" spans="1:1" x14ac:dyDescent="0.3">
      <c r="A48614" t="s">
        <v>0</v>
      </c>
    </row>
    <row r="48615" spans="1:1" x14ac:dyDescent="0.3">
      <c r="A48615" t="s">
        <v>0</v>
      </c>
    </row>
    <row r="48616" spans="1:1" x14ac:dyDescent="0.3">
      <c r="A48616" t="s">
        <v>0</v>
      </c>
    </row>
    <row r="48617" spans="1:1" x14ac:dyDescent="0.3">
      <c r="A48617" t="s">
        <v>0</v>
      </c>
    </row>
    <row r="48618" spans="1:1" x14ac:dyDescent="0.3">
      <c r="A48618" t="s">
        <v>0</v>
      </c>
    </row>
    <row r="48619" spans="1:1" x14ac:dyDescent="0.3">
      <c r="A48619" t="s">
        <v>0</v>
      </c>
    </row>
    <row r="48620" spans="1:1" x14ac:dyDescent="0.3">
      <c r="A48620" t="s">
        <v>0</v>
      </c>
    </row>
    <row r="48621" spans="1:1" x14ac:dyDescent="0.3">
      <c r="A48621" t="s">
        <v>0</v>
      </c>
    </row>
    <row r="48622" spans="1:1" x14ac:dyDescent="0.3">
      <c r="A48622" t="s">
        <v>0</v>
      </c>
    </row>
    <row r="48623" spans="1:1" x14ac:dyDescent="0.3">
      <c r="A48623" t="s">
        <v>0</v>
      </c>
    </row>
    <row r="48624" spans="1:1" x14ac:dyDescent="0.3">
      <c r="A48624" t="s">
        <v>0</v>
      </c>
    </row>
    <row r="48625" spans="1:1" x14ac:dyDescent="0.3">
      <c r="A48625" t="s">
        <v>0</v>
      </c>
    </row>
    <row r="48626" spans="1:1" x14ac:dyDescent="0.3">
      <c r="A48626" t="s">
        <v>0</v>
      </c>
    </row>
    <row r="48627" spans="1:1" x14ac:dyDescent="0.3">
      <c r="A48627" t="s">
        <v>0</v>
      </c>
    </row>
    <row r="48628" spans="1:1" x14ac:dyDescent="0.3">
      <c r="A48628" t="s">
        <v>0</v>
      </c>
    </row>
    <row r="48629" spans="1:1" x14ac:dyDescent="0.3">
      <c r="A48629" t="s">
        <v>0</v>
      </c>
    </row>
    <row r="48630" spans="1:1" x14ac:dyDescent="0.3">
      <c r="A48630" t="s">
        <v>0</v>
      </c>
    </row>
    <row r="48631" spans="1:1" x14ac:dyDescent="0.3">
      <c r="A48631" t="s">
        <v>0</v>
      </c>
    </row>
    <row r="48632" spans="1:1" x14ac:dyDescent="0.3">
      <c r="A48632" t="s">
        <v>0</v>
      </c>
    </row>
    <row r="48633" spans="1:1" x14ac:dyDescent="0.3">
      <c r="A48633" t="s">
        <v>0</v>
      </c>
    </row>
    <row r="48634" spans="1:1" x14ac:dyDescent="0.3">
      <c r="A48634" t="s">
        <v>0</v>
      </c>
    </row>
    <row r="48635" spans="1:1" x14ac:dyDescent="0.3">
      <c r="A48635" t="s">
        <v>0</v>
      </c>
    </row>
    <row r="48636" spans="1:1" x14ac:dyDescent="0.3">
      <c r="A48636" t="s">
        <v>0</v>
      </c>
    </row>
    <row r="48637" spans="1:1" x14ac:dyDescent="0.3">
      <c r="A48637" t="s">
        <v>0</v>
      </c>
    </row>
    <row r="48638" spans="1:1" x14ac:dyDescent="0.3">
      <c r="A48638" t="s">
        <v>0</v>
      </c>
    </row>
    <row r="48639" spans="1:1" x14ac:dyDescent="0.3">
      <c r="A48639" t="s">
        <v>0</v>
      </c>
    </row>
    <row r="48640" spans="1:1" x14ac:dyDescent="0.3">
      <c r="A48640" t="s">
        <v>0</v>
      </c>
    </row>
    <row r="48641" spans="1:1" x14ac:dyDescent="0.3">
      <c r="A48641" t="s">
        <v>0</v>
      </c>
    </row>
    <row r="48642" spans="1:1" x14ac:dyDescent="0.3">
      <c r="A48642" t="s">
        <v>0</v>
      </c>
    </row>
    <row r="48643" spans="1:1" x14ac:dyDescent="0.3">
      <c r="A48643" t="s">
        <v>0</v>
      </c>
    </row>
    <row r="48644" spans="1:1" x14ac:dyDescent="0.3">
      <c r="A48644" t="s">
        <v>0</v>
      </c>
    </row>
    <row r="48645" spans="1:1" x14ac:dyDescent="0.3">
      <c r="A48645" t="s">
        <v>0</v>
      </c>
    </row>
    <row r="48646" spans="1:1" x14ac:dyDescent="0.3">
      <c r="A48646" t="s">
        <v>0</v>
      </c>
    </row>
    <row r="48647" spans="1:1" x14ac:dyDescent="0.3">
      <c r="A48647" t="s">
        <v>0</v>
      </c>
    </row>
    <row r="48648" spans="1:1" x14ac:dyDescent="0.3">
      <c r="A48648" t="s">
        <v>0</v>
      </c>
    </row>
    <row r="48649" spans="1:1" x14ac:dyDescent="0.3">
      <c r="A48649" t="s">
        <v>0</v>
      </c>
    </row>
    <row r="48650" spans="1:1" x14ac:dyDescent="0.3">
      <c r="A48650" t="s">
        <v>0</v>
      </c>
    </row>
    <row r="48651" spans="1:1" x14ac:dyDescent="0.3">
      <c r="A48651" t="s">
        <v>0</v>
      </c>
    </row>
    <row r="48652" spans="1:1" x14ac:dyDescent="0.3">
      <c r="A48652" t="s">
        <v>0</v>
      </c>
    </row>
    <row r="48653" spans="1:1" x14ac:dyDescent="0.3">
      <c r="A48653" t="s">
        <v>0</v>
      </c>
    </row>
    <row r="48654" spans="1:1" x14ac:dyDescent="0.3">
      <c r="A48654" t="s">
        <v>0</v>
      </c>
    </row>
    <row r="48655" spans="1:1" x14ac:dyDescent="0.3">
      <c r="A48655" t="s">
        <v>0</v>
      </c>
    </row>
    <row r="48656" spans="1:1" x14ac:dyDescent="0.3">
      <c r="A48656" t="s">
        <v>0</v>
      </c>
    </row>
    <row r="48657" spans="1:1" x14ac:dyDescent="0.3">
      <c r="A48657" t="s">
        <v>0</v>
      </c>
    </row>
    <row r="48658" spans="1:1" x14ac:dyDescent="0.3">
      <c r="A48658" t="s">
        <v>0</v>
      </c>
    </row>
    <row r="48659" spans="1:1" x14ac:dyDescent="0.3">
      <c r="A48659" t="s">
        <v>0</v>
      </c>
    </row>
    <row r="48660" spans="1:1" x14ac:dyDescent="0.3">
      <c r="A48660" t="s">
        <v>0</v>
      </c>
    </row>
    <row r="48661" spans="1:1" x14ac:dyDescent="0.3">
      <c r="A48661" t="s">
        <v>0</v>
      </c>
    </row>
    <row r="48662" spans="1:1" x14ac:dyDescent="0.3">
      <c r="A48662" t="s">
        <v>0</v>
      </c>
    </row>
    <row r="48663" spans="1:1" x14ac:dyDescent="0.3">
      <c r="A48663" t="s">
        <v>0</v>
      </c>
    </row>
    <row r="48664" spans="1:1" x14ac:dyDescent="0.3">
      <c r="A48664" t="s">
        <v>0</v>
      </c>
    </row>
    <row r="48665" spans="1:1" x14ac:dyDescent="0.3">
      <c r="A48665" t="s">
        <v>0</v>
      </c>
    </row>
    <row r="48666" spans="1:1" x14ac:dyDescent="0.3">
      <c r="A48666" t="s">
        <v>0</v>
      </c>
    </row>
    <row r="48667" spans="1:1" x14ac:dyDescent="0.3">
      <c r="A48667" t="s">
        <v>0</v>
      </c>
    </row>
    <row r="48668" spans="1:1" x14ac:dyDescent="0.3">
      <c r="A48668" t="s">
        <v>0</v>
      </c>
    </row>
    <row r="48669" spans="1:1" x14ac:dyDescent="0.3">
      <c r="A48669" t="s">
        <v>0</v>
      </c>
    </row>
    <row r="48670" spans="1:1" x14ac:dyDescent="0.3">
      <c r="A48670" t="s">
        <v>0</v>
      </c>
    </row>
    <row r="48671" spans="1:1" x14ac:dyDescent="0.3">
      <c r="A48671" t="s">
        <v>0</v>
      </c>
    </row>
    <row r="48672" spans="1:1" x14ac:dyDescent="0.3">
      <c r="A48672" t="s">
        <v>0</v>
      </c>
    </row>
    <row r="48673" spans="1:1" x14ac:dyDescent="0.3">
      <c r="A48673" t="s">
        <v>0</v>
      </c>
    </row>
    <row r="48674" spans="1:1" x14ac:dyDescent="0.3">
      <c r="A48674" t="s">
        <v>0</v>
      </c>
    </row>
    <row r="48675" spans="1:1" x14ac:dyDescent="0.3">
      <c r="A48675" t="s">
        <v>0</v>
      </c>
    </row>
    <row r="48676" spans="1:1" x14ac:dyDescent="0.3">
      <c r="A48676" t="s">
        <v>0</v>
      </c>
    </row>
    <row r="48677" spans="1:1" x14ac:dyDescent="0.3">
      <c r="A48677" t="s">
        <v>0</v>
      </c>
    </row>
    <row r="48678" spans="1:1" x14ac:dyDescent="0.3">
      <c r="A48678" t="s">
        <v>0</v>
      </c>
    </row>
    <row r="48679" spans="1:1" x14ac:dyDescent="0.3">
      <c r="A48679" t="s">
        <v>0</v>
      </c>
    </row>
    <row r="48680" spans="1:1" x14ac:dyDescent="0.3">
      <c r="A48680" t="s">
        <v>0</v>
      </c>
    </row>
    <row r="48681" spans="1:1" x14ac:dyDescent="0.3">
      <c r="A48681" t="s">
        <v>0</v>
      </c>
    </row>
    <row r="48682" spans="1:1" x14ac:dyDescent="0.3">
      <c r="A48682" t="s">
        <v>0</v>
      </c>
    </row>
    <row r="48683" spans="1:1" x14ac:dyDescent="0.3">
      <c r="A48683" t="s">
        <v>0</v>
      </c>
    </row>
    <row r="48684" spans="1:1" x14ac:dyDescent="0.3">
      <c r="A48684" t="s">
        <v>0</v>
      </c>
    </row>
    <row r="48685" spans="1:1" x14ac:dyDescent="0.3">
      <c r="A48685" t="s">
        <v>0</v>
      </c>
    </row>
    <row r="48686" spans="1:1" x14ac:dyDescent="0.3">
      <c r="A48686" t="s">
        <v>0</v>
      </c>
    </row>
    <row r="48687" spans="1:1" x14ac:dyDescent="0.3">
      <c r="A48687" t="s">
        <v>0</v>
      </c>
    </row>
    <row r="48688" spans="1:1" x14ac:dyDescent="0.3">
      <c r="A48688" t="s">
        <v>0</v>
      </c>
    </row>
    <row r="48689" spans="1:1" x14ac:dyDescent="0.3">
      <c r="A48689" t="s">
        <v>0</v>
      </c>
    </row>
    <row r="48690" spans="1:1" x14ac:dyDescent="0.3">
      <c r="A48690" t="s">
        <v>0</v>
      </c>
    </row>
    <row r="48691" spans="1:1" x14ac:dyDescent="0.3">
      <c r="A48691" t="s">
        <v>0</v>
      </c>
    </row>
    <row r="48692" spans="1:1" x14ac:dyDescent="0.3">
      <c r="A48692" t="s">
        <v>0</v>
      </c>
    </row>
    <row r="48693" spans="1:1" x14ac:dyDescent="0.3">
      <c r="A48693" t="s">
        <v>0</v>
      </c>
    </row>
    <row r="48694" spans="1:1" x14ac:dyDescent="0.3">
      <c r="A48694" t="s">
        <v>0</v>
      </c>
    </row>
    <row r="48695" spans="1:1" x14ac:dyDescent="0.3">
      <c r="A48695" t="s">
        <v>0</v>
      </c>
    </row>
    <row r="48696" spans="1:1" x14ac:dyDescent="0.3">
      <c r="A48696" t="s">
        <v>0</v>
      </c>
    </row>
    <row r="48697" spans="1:1" x14ac:dyDescent="0.3">
      <c r="A48697" t="s">
        <v>0</v>
      </c>
    </row>
    <row r="48698" spans="1:1" x14ac:dyDescent="0.3">
      <c r="A48698" t="s">
        <v>0</v>
      </c>
    </row>
    <row r="48699" spans="1:1" x14ac:dyDescent="0.3">
      <c r="A48699" t="s">
        <v>0</v>
      </c>
    </row>
    <row r="48700" spans="1:1" x14ac:dyDescent="0.3">
      <c r="A48700" t="s">
        <v>0</v>
      </c>
    </row>
    <row r="48701" spans="1:1" x14ac:dyDescent="0.3">
      <c r="A48701" t="s">
        <v>0</v>
      </c>
    </row>
    <row r="48702" spans="1:1" x14ac:dyDescent="0.3">
      <c r="A48702" t="s">
        <v>0</v>
      </c>
    </row>
    <row r="48703" spans="1:1" x14ac:dyDescent="0.3">
      <c r="A48703" t="s">
        <v>0</v>
      </c>
    </row>
    <row r="48704" spans="1:1" x14ac:dyDescent="0.3">
      <c r="A48704" t="s">
        <v>0</v>
      </c>
    </row>
    <row r="48705" spans="1:1" x14ac:dyDescent="0.3">
      <c r="A48705" t="s">
        <v>0</v>
      </c>
    </row>
    <row r="48706" spans="1:1" x14ac:dyDescent="0.3">
      <c r="A48706" t="s">
        <v>0</v>
      </c>
    </row>
    <row r="48707" spans="1:1" x14ac:dyDescent="0.3">
      <c r="A48707" t="s">
        <v>0</v>
      </c>
    </row>
    <row r="48708" spans="1:1" x14ac:dyDescent="0.3">
      <c r="A48708" t="s">
        <v>0</v>
      </c>
    </row>
    <row r="48709" spans="1:1" x14ac:dyDescent="0.3">
      <c r="A48709" t="s">
        <v>0</v>
      </c>
    </row>
    <row r="48710" spans="1:1" x14ac:dyDescent="0.3">
      <c r="A48710" t="s">
        <v>0</v>
      </c>
    </row>
    <row r="48711" spans="1:1" x14ac:dyDescent="0.3">
      <c r="A48711" t="s">
        <v>0</v>
      </c>
    </row>
    <row r="48712" spans="1:1" x14ac:dyDescent="0.3">
      <c r="A48712" t="s">
        <v>0</v>
      </c>
    </row>
    <row r="48713" spans="1:1" x14ac:dyDescent="0.3">
      <c r="A48713" t="s">
        <v>0</v>
      </c>
    </row>
    <row r="48714" spans="1:1" x14ac:dyDescent="0.3">
      <c r="A48714" t="s">
        <v>0</v>
      </c>
    </row>
    <row r="48715" spans="1:1" x14ac:dyDescent="0.3">
      <c r="A48715" t="s">
        <v>0</v>
      </c>
    </row>
    <row r="48716" spans="1:1" x14ac:dyDescent="0.3">
      <c r="A48716" t="s">
        <v>0</v>
      </c>
    </row>
    <row r="48717" spans="1:1" x14ac:dyDescent="0.3">
      <c r="A48717" t="s">
        <v>0</v>
      </c>
    </row>
    <row r="48718" spans="1:1" x14ac:dyDescent="0.3">
      <c r="A48718" t="s">
        <v>0</v>
      </c>
    </row>
    <row r="48719" spans="1:1" x14ac:dyDescent="0.3">
      <c r="A48719" t="s">
        <v>0</v>
      </c>
    </row>
    <row r="48720" spans="1:1" x14ac:dyDescent="0.3">
      <c r="A48720" t="s">
        <v>0</v>
      </c>
    </row>
    <row r="48721" spans="1:1" x14ac:dyDescent="0.3">
      <c r="A48721" t="s">
        <v>0</v>
      </c>
    </row>
    <row r="48722" spans="1:1" x14ac:dyDescent="0.3">
      <c r="A48722" t="s">
        <v>0</v>
      </c>
    </row>
    <row r="48723" spans="1:1" x14ac:dyDescent="0.3">
      <c r="A48723" t="s">
        <v>0</v>
      </c>
    </row>
    <row r="48724" spans="1:1" x14ac:dyDescent="0.3">
      <c r="A48724" t="s">
        <v>0</v>
      </c>
    </row>
    <row r="48725" spans="1:1" x14ac:dyDescent="0.3">
      <c r="A48725" t="s">
        <v>0</v>
      </c>
    </row>
    <row r="48726" spans="1:1" x14ac:dyDescent="0.3">
      <c r="A48726" t="s">
        <v>0</v>
      </c>
    </row>
    <row r="48727" spans="1:1" x14ac:dyDescent="0.3">
      <c r="A48727" t="s">
        <v>0</v>
      </c>
    </row>
    <row r="48728" spans="1:1" x14ac:dyDescent="0.3">
      <c r="A48728" t="s">
        <v>0</v>
      </c>
    </row>
    <row r="48729" spans="1:1" x14ac:dyDescent="0.3">
      <c r="A48729" t="s">
        <v>0</v>
      </c>
    </row>
    <row r="48730" spans="1:1" x14ac:dyDescent="0.3">
      <c r="A48730" t="s">
        <v>0</v>
      </c>
    </row>
    <row r="48731" spans="1:1" x14ac:dyDescent="0.3">
      <c r="A48731" t="s">
        <v>0</v>
      </c>
    </row>
    <row r="48732" spans="1:1" x14ac:dyDescent="0.3">
      <c r="A48732" t="s">
        <v>0</v>
      </c>
    </row>
    <row r="48733" spans="1:1" x14ac:dyDescent="0.3">
      <c r="A48733" t="s">
        <v>0</v>
      </c>
    </row>
    <row r="48734" spans="1:1" x14ac:dyDescent="0.3">
      <c r="A48734" t="s">
        <v>0</v>
      </c>
    </row>
    <row r="48735" spans="1:1" x14ac:dyDescent="0.3">
      <c r="A48735" t="s">
        <v>0</v>
      </c>
    </row>
    <row r="48736" spans="1:1" x14ac:dyDescent="0.3">
      <c r="A48736" t="s">
        <v>0</v>
      </c>
    </row>
    <row r="48737" spans="1:1" x14ac:dyDescent="0.3">
      <c r="A48737" t="s">
        <v>0</v>
      </c>
    </row>
    <row r="48738" spans="1:1" x14ac:dyDescent="0.3">
      <c r="A48738" t="s">
        <v>0</v>
      </c>
    </row>
    <row r="48739" spans="1:1" x14ac:dyDescent="0.3">
      <c r="A48739" t="s">
        <v>0</v>
      </c>
    </row>
    <row r="48740" spans="1:1" x14ac:dyDescent="0.3">
      <c r="A48740" t="s">
        <v>0</v>
      </c>
    </row>
    <row r="48741" spans="1:1" x14ac:dyDescent="0.3">
      <c r="A48741" t="s">
        <v>0</v>
      </c>
    </row>
    <row r="48742" spans="1:1" x14ac:dyDescent="0.3">
      <c r="A48742" t="s">
        <v>0</v>
      </c>
    </row>
    <row r="48743" spans="1:1" x14ac:dyDescent="0.3">
      <c r="A48743" t="s">
        <v>0</v>
      </c>
    </row>
    <row r="48744" spans="1:1" x14ac:dyDescent="0.3">
      <c r="A48744" t="s">
        <v>0</v>
      </c>
    </row>
    <row r="48745" spans="1:1" x14ac:dyDescent="0.3">
      <c r="A48745" t="s">
        <v>0</v>
      </c>
    </row>
    <row r="48746" spans="1:1" x14ac:dyDescent="0.3">
      <c r="A48746" t="s">
        <v>0</v>
      </c>
    </row>
    <row r="48747" spans="1:1" x14ac:dyDescent="0.3">
      <c r="A48747" t="s">
        <v>0</v>
      </c>
    </row>
    <row r="48748" spans="1:1" x14ac:dyDescent="0.3">
      <c r="A48748" t="s">
        <v>0</v>
      </c>
    </row>
    <row r="48749" spans="1:1" x14ac:dyDescent="0.3">
      <c r="A48749" t="s">
        <v>0</v>
      </c>
    </row>
    <row r="48750" spans="1:1" x14ac:dyDescent="0.3">
      <c r="A48750" t="s">
        <v>0</v>
      </c>
    </row>
    <row r="48751" spans="1:1" x14ac:dyDescent="0.3">
      <c r="A48751" t="s">
        <v>0</v>
      </c>
    </row>
    <row r="48752" spans="1:1" x14ac:dyDescent="0.3">
      <c r="A48752" t="s">
        <v>0</v>
      </c>
    </row>
    <row r="48753" spans="1:1" x14ac:dyDescent="0.3">
      <c r="A48753" t="s">
        <v>0</v>
      </c>
    </row>
    <row r="48754" spans="1:1" x14ac:dyDescent="0.3">
      <c r="A48754" t="s">
        <v>0</v>
      </c>
    </row>
    <row r="48755" spans="1:1" x14ac:dyDescent="0.3">
      <c r="A48755" t="s">
        <v>0</v>
      </c>
    </row>
    <row r="48756" spans="1:1" x14ac:dyDescent="0.3">
      <c r="A48756" t="s">
        <v>0</v>
      </c>
    </row>
    <row r="48757" spans="1:1" x14ac:dyDescent="0.3">
      <c r="A48757" t="s">
        <v>0</v>
      </c>
    </row>
    <row r="48758" spans="1:1" x14ac:dyDescent="0.3">
      <c r="A48758" t="s">
        <v>0</v>
      </c>
    </row>
    <row r="48759" spans="1:1" x14ac:dyDescent="0.3">
      <c r="A48759" t="s">
        <v>0</v>
      </c>
    </row>
    <row r="48760" spans="1:1" x14ac:dyDescent="0.3">
      <c r="A48760" t="s">
        <v>0</v>
      </c>
    </row>
    <row r="48761" spans="1:1" x14ac:dyDescent="0.3">
      <c r="A48761" t="s">
        <v>0</v>
      </c>
    </row>
    <row r="48762" spans="1:1" x14ac:dyDescent="0.3">
      <c r="A48762" t="s">
        <v>0</v>
      </c>
    </row>
    <row r="48763" spans="1:1" x14ac:dyDescent="0.3">
      <c r="A48763" t="s">
        <v>0</v>
      </c>
    </row>
    <row r="48764" spans="1:1" x14ac:dyDescent="0.3">
      <c r="A48764" t="s">
        <v>0</v>
      </c>
    </row>
    <row r="48765" spans="1:1" x14ac:dyDescent="0.3">
      <c r="A48765" t="s">
        <v>0</v>
      </c>
    </row>
    <row r="48766" spans="1:1" x14ac:dyDescent="0.3">
      <c r="A48766" t="s">
        <v>0</v>
      </c>
    </row>
    <row r="48767" spans="1:1" x14ac:dyDescent="0.3">
      <c r="A48767" t="s">
        <v>0</v>
      </c>
    </row>
    <row r="48768" spans="1:1" x14ac:dyDescent="0.3">
      <c r="A48768" t="s">
        <v>0</v>
      </c>
    </row>
    <row r="48769" spans="1:1" x14ac:dyDescent="0.3">
      <c r="A48769" t="s">
        <v>0</v>
      </c>
    </row>
    <row r="48770" spans="1:1" x14ac:dyDescent="0.3">
      <c r="A48770" t="s">
        <v>0</v>
      </c>
    </row>
    <row r="48771" spans="1:1" x14ac:dyDescent="0.3">
      <c r="A48771" t="s">
        <v>0</v>
      </c>
    </row>
    <row r="48772" spans="1:1" x14ac:dyDescent="0.3">
      <c r="A48772" t="s">
        <v>0</v>
      </c>
    </row>
    <row r="48773" spans="1:1" x14ac:dyDescent="0.3">
      <c r="A48773" t="s">
        <v>0</v>
      </c>
    </row>
    <row r="48774" spans="1:1" x14ac:dyDescent="0.3">
      <c r="A48774" t="s">
        <v>0</v>
      </c>
    </row>
    <row r="48775" spans="1:1" x14ac:dyDescent="0.3">
      <c r="A48775" t="s">
        <v>0</v>
      </c>
    </row>
    <row r="48776" spans="1:1" x14ac:dyDescent="0.3">
      <c r="A48776" t="s">
        <v>0</v>
      </c>
    </row>
    <row r="48777" spans="1:1" x14ac:dyDescent="0.3">
      <c r="A48777" t="s">
        <v>0</v>
      </c>
    </row>
    <row r="48778" spans="1:1" x14ac:dyDescent="0.3">
      <c r="A48778" t="s">
        <v>0</v>
      </c>
    </row>
    <row r="48779" spans="1:1" x14ac:dyDescent="0.3">
      <c r="A48779" t="s">
        <v>0</v>
      </c>
    </row>
    <row r="48780" spans="1:1" x14ac:dyDescent="0.3">
      <c r="A48780" t="s">
        <v>0</v>
      </c>
    </row>
    <row r="48781" spans="1:1" x14ac:dyDescent="0.3">
      <c r="A48781" t="s">
        <v>0</v>
      </c>
    </row>
    <row r="48782" spans="1:1" x14ac:dyDescent="0.3">
      <c r="A48782" t="s">
        <v>0</v>
      </c>
    </row>
    <row r="48783" spans="1:1" x14ac:dyDescent="0.3">
      <c r="A48783" t="s">
        <v>0</v>
      </c>
    </row>
    <row r="48784" spans="1:1" x14ac:dyDescent="0.3">
      <c r="A48784" t="s">
        <v>0</v>
      </c>
    </row>
    <row r="48785" spans="1:1" x14ac:dyDescent="0.3">
      <c r="A48785" t="s">
        <v>0</v>
      </c>
    </row>
    <row r="48786" spans="1:1" x14ac:dyDescent="0.3">
      <c r="A48786" t="s">
        <v>0</v>
      </c>
    </row>
    <row r="48787" spans="1:1" x14ac:dyDescent="0.3">
      <c r="A48787" t="s">
        <v>0</v>
      </c>
    </row>
    <row r="48788" spans="1:1" x14ac:dyDescent="0.3">
      <c r="A48788" t="s">
        <v>0</v>
      </c>
    </row>
    <row r="48789" spans="1:1" x14ac:dyDescent="0.3">
      <c r="A48789" t="s">
        <v>0</v>
      </c>
    </row>
    <row r="48790" spans="1:1" x14ac:dyDescent="0.3">
      <c r="A48790" t="s">
        <v>0</v>
      </c>
    </row>
    <row r="48791" spans="1:1" x14ac:dyDescent="0.3">
      <c r="A48791" t="s">
        <v>0</v>
      </c>
    </row>
    <row r="48792" spans="1:1" x14ac:dyDescent="0.3">
      <c r="A48792" t="s">
        <v>0</v>
      </c>
    </row>
    <row r="48793" spans="1:1" x14ac:dyDescent="0.3">
      <c r="A48793" t="s">
        <v>0</v>
      </c>
    </row>
    <row r="48794" spans="1:1" x14ac:dyDescent="0.3">
      <c r="A48794" t="s">
        <v>0</v>
      </c>
    </row>
    <row r="48795" spans="1:1" x14ac:dyDescent="0.3">
      <c r="A48795" t="s">
        <v>0</v>
      </c>
    </row>
    <row r="48796" spans="1:1" x14ac:dyDescent="0.3">
      <c r="A48796" t="s">
        <v>0</v>
      </c>
    </row>
    <row r="48797" spans="1:1" x14ac:dyDescent="0.3">
      <c r="A48797" t="s">
        <v>0</v>
      </c>
    </row>
    <row r="48798" spans="1:1" x14ac:dyDescent="0.3">
      <c r="A48798" t="s">
        <v>0</v>
      </c>
    </row>
    <row r="48799" spans="1:1" x14ac:dyDescent="0.3">
      <c r="A48799" t="s">
        <v>0</v>
      </c>
    </row>
    <row r="48800" spans="1:1" x14ac:dyDescent="0.3">
      <c r="A48800" t="s">
        <v>0</v>
      </c>
    </row>
    <row r="48801" spans="1:1" x14ac:dyDescent="0.3">
      <c r="A48801" t="s">
        <v>0</v>
      </c>
    </row>
    <row r="48802" spans="1:1" x14ac:dyDescent="0.3">
      <c r="A48802" t="s">
        <v>0</v>
      </c>
    </row>
    <row r="48803" spans="1:1" x14ac:dyDescent="0.3">
      <c r="A48803" t="s">
        <v>0</v>
      </c>
    </row>
    <row r="48804" spans="1:1" x14ac:dyDescent="0.3">
      <c r="A48804" t="s">
        <v>0</v>
      </c>
    </row>
    <row r="48805" spans="1:1" x14ac:dyDescent="0.3">
      <c r="A48805" t="s">
        <v>0</v>
      </c>
    </row>
    <row r="48806" spans="1:1" x14ac:dyDescent="0.3">
      <c r="A48806" t="s">
        <v>0</v>
      </c>
    </row>
    <row r="48807" spans="1:1" x14ac:dyDescent="0.3">
      <c r="A48807" t="s">
        <v>0</v>
      </c>
    </row>
    <row r="48808" spans="1:1" x14ac:dyDescent="0.3">
      <c r="A48808" t="s">
        <v>0</v>
      </c>
    </row>
    <row r="48809" spans="1:1" x14ac:dyDescent="0.3">
      <c r="A48809" t="s">
        <v>0</v>
      </c>
    </row>
    <row r="48810" spans="1:1" x14ac:dyDescent="0.3">
      <c r="A48810" t="s">
        <v>0</v>
      </c>
    </row>
    <row r="48811" spans="1:1" x14ac:dyDescent="0.3">
      <c r="A48811" t="s">
        <v>0</v>
      </c>
    </row>
    <row r="48812" spans="1:1" x14ac:dyDescent="0.3">
      <c r="A48812" t="s">
        <v>0</v>
      </c>
    </row>
    <row r="48813" spans="1:1" x14ac:dyDescent="0.3">
      <c r="A48813" t="s">
        <v>0</v>
      </c>
    </row>
    <row r="48814" spans="1:1" x14ac:dyDescent="0.3">
      <c r="A48814" t="s">
        <v>0</v>
      </c>
    </row>
    <row r="48815" spans="1:1" x14ac:dyDescent="0.3">
      <c r="A48815" t="s">
        <v>0</v>
      </c>
    </row>
    <row r="48816" spans="1:1" x14ac:dyDescent="0.3">
      <c r="A48816" t="s">
        <v>0</v>
      </c>
    </row>
    <row r="48817" spans="1:1" x14ac:dyDescent="0.3">
      <c r="A48817" t="s">
        <v>0</v>
      </c>
    </row>
    <row r="48818" spans="1:1" x14ac:dyDescent="0.3">
      <c r="A48818" t="s">
        <v>0</v>
      </c>
    </row>
    <row r="48819" spans="1:1" x14ac:dyDescent="0.3">
      <c r="A48819" t="s">
        <v>0</v>
      </c>
    </row>
    <row r="48820" spans="1:1" x14ac:dyDescent="0.3">
      <c r="A48820" t="s">
        <v>0</v>
      </c>
    </row>
    <row r="48821" spans="1:1" x14ac:dyDescent="0.3">
      <c r="A48821" t="s">
        <v>0</v>
      </c>
    </row>
    <row r="48822" spans="1:1" x14ac:dyDescent="0.3">
      <c r="A48822" t="s">
        <v>0</v>
      </c>
    </row>
    <row r="48823" spans="1:1" x14ac:dyDescent="0.3">
      <c r="A48823" t="s">
        <v>0</v>
      </c>
    </row>
    <row r="48824" spans="1:1" x14ac:dyDescent="0.3">
      <c r="A48824" t="s">
        <v>0</v>
      </c>
    </row>
    <row r="48825" spans="1:1" x14ac:dyDescent="0.3">
      <c r="A48825" t="s">
        <v>0</v>
      </c>
    </row>
    <row r="48826" spans="1:1" x14ac:dyDescent="0.3">
      <c r="A48826" t="s">
        <v>0</v>
      </c>
    </row>
    <row r="48827" spans="1:1" x14ac:dyDescent="0.3">
      <c r="A48827" t="s">
        <v>0</v>
      </c>
    </row>
    <row r="48828" spans="1:1" x14ac:dyDescent="0.3">
      <c r="A48828" t="s">
        <v>0</v>
      </c>
    </row>
    <row r="48829" spans="1:1" x14ac:dyDescent="0.3">
      <c r="A48829" t="s">
        <v>0</v>
      </c>
    </row>
    <row r="48830" spans="1:1" x14ac:dyDescent="0.3">
      <c r="A48830" t="s">
        <v>0</v>
      </c>
    </row>
    <row r="48831" spans="1:1" x14ac:dyDescent="0.3">
      <c r="A48831" t="s">
        <v>0</v>
      </c>
    </row>
    <row r="48832" spans="1:1" x14ac:dyDescent="0.3">
      <c r="A48832" t="s">
        <v>0</v>
      </c>
    </row>
    <row r="48833" spans="1:1" x14ac:dyDescent="0.3">
      <c r="A48833" t="s">
        <v>0</v>
      </c>
    </row>
    <row r="48834" spans="1:1" x14ac:dyDescent="0.3">
      <c r="A48834" t="s">
        <v>0</v>
      </c>
    </row>
    <row r="48835" spans="1:1" x14ac:dyDescent="0.3">
      <c r="A48835" t="s">
        <v>0</v>
      </c>
    </row>
    <row r="48836" spans="1:1" x14ac:dyDescent="0.3">
      <c r="A48836" t="s">
        <v>0</v>
      </c>
    </row>
    <row r="48837" spans="1:1" x14ac:dyDescent="0.3">
      <c r="A48837" t="s">
        <v>0</v>
      </c>
    </row>
    <row r="48838" spans="1:1" x14ac:dyDescent="0.3">
      <c r="A48838" t="s">
        <v>0</v>
      </c>
    </row>
    <row r="48839" spans="1:1" x14ac:dyDescent="0.3">
      <c r="A48839" t="s">
        <v>0</v>
      </c>
    </row>
    <row r="48840" spans="1:1" x14ac:dyDescent="0.3">
      <c r="A48840" t="s">
        <v>0</v>
      </c>
    </row>
    <row r="48841" spans="1:1" x14ac:dyDescent="0.3">
      <c r="A48841" t="s">
        <v>0</v>
      </c>
    </row>
    <row r="48842" spans="1:1" x14ac:dyDescent="0.3">
      <c r="A48842" t="s">
        <v>0</v>
      </c>
    </row>
    <row r="48843" spans="1:1" x14ac:dyDescent="0.3">
      <c r="A48843" t="s">
        <v>0</v>
      </c>
    </row>
    <row r="48844" spans="1:1" x14ac:dyDescent="0.3">
      <c r="A48844" t="s">
        <v>0</v>
      </c>
    </row>
    <row r="48845" spans="1:1" x14ac:dyDescent="0.3">
      <c r="A48845" t="s">
        <v>0</v>
      </c>
    </row>
    <row r="48846" spans="1:1" x14ac:dyDescent="0.3">
      <c r="A48846" t="s">
        <v>0</v>
      </c>
    </row>
    <row r="48847" spans="1:1" x14ac:dyDescent="0.3">
      <c r="A48847" t="s">
        <v>0</v>
      </c>
    </row>
    <row r="48848" spans="1:1" x14ac:dyDescent="0.3">
      <c r="A48848" t="s">
        <v>0</v>
      </c>
    </row>
    <row r="48849" spans="1:1" x14ac:dyDescent="0.3">
      <c r="A48849" t="s">
        <v>0</v>
      </c>
    </row>
    <row r="48850" spans="1:1" x14ac:dyDescent="0.3">
      <c r="A48850" t="s">
        <v>0</v>
      </c>
    </row>
    <row r="48851" spans="1:1" x14ac:dyDescent="0.3">
      <c r="A48851" t="s">
        <v>0</v>
      </c>
    </row>
    <row r="48852" spans="1:1" x14ac:dyDescent="0.3">
      <c r="A48852" t="s">
        <v>0</v>
      </c>
    </row>
    <row r="48853" spans="1:1" x14ac:dyDescent="0.3">
      <c r="A48853" t="s">
        <v>0</v>
      </c>
    </row>
    <row r="48854" spans="1:1" x14ac:dyDescent="0.3">
      <c r="A48854" t="s">
        <v>0</v>
      </c>
    </row>
    <row r="48855" spans="1:1" x14ac:dyDescent="0.3">
      <c r="A48855" t="s">
        <v>0</v>
      </c>
    </row>
    <row r="48856" spans="1:1" x14ac:dyDescent="0.3">
      <c r="A48856" t="s">
        <v>0</v>
      </c>
    </row>
    <row r="48857" spans="1:1" x14ac:dyDescent="0.3">
      <c r="A48857" t="s">
        <v>0</v>
      </c>
    </row>
    <row r="48858" spans="1:1" x14ac:dyDescent="0.3">
      <c r="A48858" t="s">
        <v>0</v>
      </c>
    </row>
    <row r="48859" spans="1:1" x14ac:dyDescent="0.3">
      <c r="A48859" t="s">
        <v>0</v>
      </c>
    </row>
    <row r="48860" spans="1:1" x14ac:dyDescent="0.3">
      <c r="A48860" t="s">
        <v>0</v>
      </c>
    </row>
    <row r="48861" spans="1:1" x14ac:dyDescent="0.3">
      <c r="A48861" t="s">
        <v>0</v>
      </c>
    </row>
    <row r="48862" spans="1:1" x14ac:dyDescent="0.3">
      <c r="A48862" t="s">
        <v>0</v>
      </c>
    </row>
    <row r="48863" spans="1:1" x14ac:dyDescent="0.3">
      <c r="A48863" t="s">
        <v>0</v>
      </c>
    </row>
    <row r="48864" spans="1:1" x14ac:dyDescent="0.3">
      <c r="A48864" t="s">
        <v>0</v>
      </c>
    </row>
    <row r="48865" spans="1:1" x14ac:dyDescent="0.3">
      <c r="A48865" t="s">
        <v>0</v>
      </c>
    </row>
    <row r="48866" spans="1:1" x14ac:dyDescent="0.3">
      <c r="A48866" t="s">
        <v>0</v>
      </c>
    </row>
    <row r="48867" spans="1:1" x14ac:dyDescent="0.3">
      <c r="A48867" t="s">
        <v>0</v>
      </c>
    </row>
    <row r="48868" spans="1:1" x14ac:dyDescent="0.3">
      <c r="A48868" t="s">
        <v>0</v>
      </c>
    </row>
    <row r="48869" spans="1:1" x14ac:dyDescent="0.3">
      <c r="A48869" t="s">
        <v>0</v>
      </c>
    </row>
    <row r="48870" spans="1:1" x14ac:dyDescent="0.3">
      <c r="A48870" t="s">
        <v>0</v>
      </c>
    </row>
    <row r="48871" spans="1:1" x14ac:dyDescent="0.3">
      <c r="A48871" t="s">
        <v>0</v>
      </c>
    </row>
    <row r="48872" spans="1:1" x14ac:dyDescent="0.3">
      <c r="A48872" t="s">
        <v>0</v>
      </c>
    </row>
    <row r="48873" spans="1:1" x14ac:dyDescent="0.3">
      <c r="A48873" t="s">
        <v>0</v>
      </c>
    </row>
    <row r="48874" spans="1:1" x14ac:dyDescent="0.3">
      <c r="A48874" t="s">
        <v>0</v>
      </c>
    </row>
    <row r="48875" spans="1:1" x14ac:dyDescent="0.3">
      <c r="A48875" t="s">
        <v>0</v>
      </c>
    </row>
    <row r="48876" spans="1:1" x14ac:dyDescent="0.3">
      <c r="A48876" t="s">
        <v>0</v>
      </c>
    </row>
    <row r="48877" spans="1:1" x14ac:dyDescent="0.3">
      <c r="A48877" t="s">
        <v>0</v>
      </c>
    </row>
    <row r="48878" spans="1:1" x14ac:dyDescent="0.3">
      <c r="A48878" t="s">
        <v>0</v>
      </c>
    </row>
    <row r="48879" spans="1:1" x14ac:dyDescent="0.3">
      <c r="A48879" t="s">
        <v>0</v>
      </c>
    </row>
    <row r="48880" spans="1:1" x14ac:dyDescent="0.3">
      <c r="A48880" t="s">
        <v>0</v>
      </c>
    </row>
    <row r="48881" spans="1:1" x14ac:dyDescent="0.3">
      <c r="A48881" t="s">
        <v>0</v>
      </c>
    </row>
    <row r="48882" spans="1:1" x14ac:dyDescent="0.3">
      <c r="A48882" t="s">
        <v>0</v>
      </c>
    </row>
    <row r="48883" spans="1:1" x14ac:dyDescent="0.3">
      <c r="A48883" t="s">
        <v>0</v>
      </c>
    </row>
    <row r="48884" spans="1:1" x14ac:dyDescent="0.3">
      <c r="A48884" t="s">
        <v>0</v>
      </c>
    </row>
    <row r="48885" spans="1:1" x14ac:dyDescent="0.3">
      <c r="A48885" t="s">
        <v>0</v>
      </c>
    </row>
    <row r="48886" spans="1:1" x14ac:dyDescent="0.3">
      <c r="A48886" t="s">
        <v>0</v>
      </c>
    </row>
    <row r="48887" spans="1:1" x14ac:dyDescent="0.3">
      <c r="A48887" t="s">
        <v>0</v>
      </c>
    </row>
    <row r="48888" spans="1:1" x14ac:dyDescent="0.3">
      <c r="A48888" t="s">
        <v>0</v>
      </c>
    </row>
    <row r="48889" spans="1:1" x14ac:dyDescent="0.3">
      <c r="A48889" t="s">
        <v>0</v>
      </c>
    </row>
    <row r="48890" spans="1:1" x14ac:dyDescent="0.3">
      <c r="A48890" t="s">
        <v>0</v>
      </c>
    </row>
    <row r="48891" spans="1:1" x14ac:dyDescent="0.3">
      <c r="A48891" t="s">
        <v>0</v>
      </c>
    </row>
    <row r="48892" spans="1:1" x14ac:dyDescent="0.3">
      <c r="A48892" t="s">
        <v>0</v>
      </c>
    </row>
    <row r="48893" spans="1:1" x14ac:dyDescent="0.3">
      <c r="A48893" t="s">
        <v>0</v>
      </c>
    </row>
    <row r="48894" spans="1:1" x14ac:dyDescent="0.3">
      <c r="A48894" t="s">
        <v>0</v>
      </c>
    </row>
    <row r="48895" spans="1:1" x14ac:dyDescent="0.3">
      <c r="A48895" t="s">
        <v>0</v>
      </c>
    </row>
    <row r="48896" spans="1:1" x14ac:dyDescent="0.3">
      <c r="A48896" t="s">
        <v>0</v>
      </c>
    </row>
    <row r="48897" spans="1:1" x14ac:dyDescent="0.3">
      <c r="A48897" t="s">
        <v>0</v>
      </c>
    </row>
    <row r="48898" spans="1:1" x14ac:dyDescent="0.3">
      <c r="A48898" t="s">
        <v>0</v>
      </c>
    </row>
    <row r="48899" spans="1:1" x14ac:dyDescent="0.3">
      <c r="A48899" t="s">
        <v>0</v>
      </c>
    </row>
    <row r="48900" spans="1:1" x14ac:dyDescent="0.3">
      <c r="A48900" t="s">
        <v>0</v>
      </c>
    </row>
    <row r="48901" spans="1:1" x14ac:dyDescent="0.3">
      <c r="A48901" t="s">
        <v>0</v>
      </c>
    </row>
    <row r="48902" spans="1:1" x14ac:dyDescent="0.3">
      <c r="A48902" t="s">
        <v>0</v>
      </c>
    </row>
    <row r="48903" spans="1:1" x14ac:dyDescent="0.3">
      <c r="A48903" t="s">
        <v>0</v>
      </c>
    </row>
    <row r="48904" spans="1:1" x14ac:dyDescent="0.3">
      <c r="A48904" t="s">
        <v>0</v>
      </c>
    </row>
    <row r="48905" spans="1:1" x14ac:dyDescent="0.3">
      <c r="A48905" t="s">
        <v>0</v>
      </c>
    </row>
    <row r="48906" spans="1:1" x14ac:dyDescent="0.3">
      <c r="A48906" t="s">
        <v>0</v>
      </c>
    </row>
    <row r="48907" spans="1:1" x14ac:dyDescent="0.3">
      <c r="A48907" t="s">
        <v>0</v>
      </c>
    </row>
    <row r="48908" spans="1:1" x14ac:dyDescent="0.3">
      <c r="A48908" t="s">
        <v>0</v>
      </c>
    </row>
    <row r="48909" spans="1:1" x14ac:dyDescent="0.3">
      <c r="A48909" t="s">
        <v>0</v>
      </c>
    </row>
    <row r="48910" spans="1:1" x14ac:dyDescent="0.3">
      <c r="A48910" t="s">
        <v>0</v>
      </c>
    </row>
    <row r="48911" spans="1:1" x14ac:dyDescent="0.3">
      <c r="A48911" t="s">
        <v>0</v>
      </c>
    </row>
    <row r="48912" spans="1:1" x14ac:dyDescent="0.3">
      <c r="A48912" t="s">
        <v>0</v>
      </c>
    </row>
    <row r="48913" spans="1:1" x14ac:dyDescent="0.3">
      <c r="A48913" t="s">
        <v>0</v>
      </c>
    </row>
    <row r="48914" spans="1:1" x14ac:dyDescent="0.3">
      <c r="A48914" t="s">
        <v>0</v>
      </c>
    </row>
    <row r="48915" spans="1:1" x14ac:dyDescent="0.3">
      <c r="A48915" t="s">
        <v>0</v>
      </c>
    </row>
    <row r="48916" spans="1:1" x14ac:dyDescent="0.3">
      <c r="A48916" t="s">
        <v>0</v>
      </c>
    </row>
    <row r="48917" spans="1:1" x14ac:dyDescent="0.3">
      <c r="A48917" t="s">
        <v>0</v>
      </c>
    </row>
    <row r="48918" spans="1:1" x14ac:dyDescent="0.3">
      <c r="A48918" t="s">
        <v>0</v>
      </c>
    </row>
    <row r="48919" spans="1:1" x14ac:dyDescent="0.3">
      <c r="A48919" t="s">
        <v>0</v>
      </c>
    </row>
    <row r="48920" spans="1:1" x14ac:dyDescent="0.3">
      <c r="A48920" t="s">
        <v>0</v>
      </c>
    </row>
    <row r="48921" spans="1:1" x14ac:dyDescent="0.3">
      <c r="A48921" t="s">
        <v>0</v>
      </c>
    </row>
    <row r="48922" spans="1:1" x14ac:dyDescent="0.3">
      <c r="A48922" t="s">
        <v>0</v>
      </c>
    </row>
    <row r="48923" spans="1:1" x14ac:dyDescent="0.3">
      <c r="A48923" t="s">
        <v>0</v>
      </c>
    </row>
    <row r="48924" spans="1:1" x14ac:dyDescent="0.3">
      <c r="A48924" t="s">
        <v>0</v>
      </c>
    </row>
    <row r="48925" spans="1:1" x14ac:dyDescent="0.3">
      <c r="A48925" t="s">
        <v>0</v>
      </c>
    </row>
    <row r="48926" spans="1:1" x14ac:dyDescent="0.3">
      <c r="A48926" t="s">
        <v>0</v>
      </c>
    </row>
    <row r="48927" spans="1:1" x14ac:dyDescent="0.3">
      <c r="A48927" t="s">
        <v>0</v>
      </c>
    </row>
    <row r="48928" spans="1:1" x14ac:dyDescent="0.3">
      <c r="A48928" t="s">
        <v>0</v>
      </c>
    </row>
    <row r="48929" spans="1:1" x14ac:dyDescent="0.3">
      <c r="A48929" t="s">
        <v>0</v>
      </c>
    </row>
    <row r="48930" spans="1:1" x14ac:dyDescent="0.3">
      <c r="A48930" t="s">
        <v>0</v>
      </c>
    </row>
    <row r="48931" spans="1:1" x14ac:dyDescent="0.3">
      <c r="A48931" t="s">
        <v>0</v>
      </c>
    </row>
    <row r="48932" spans="1:1" x14ac:dyDescent="0.3">
      <c r="A48932" t="s">
        <v>0</v>
      </c>
    </row>
    <row r="48933" spans="1:1" x14ac:dyDescent="0.3">
      <c r="A48933" t="s">
        <v>0</v>
      </c>
    </row>
    <row r="48934" spans="1:1" x14ac:dyDescent="0.3">
      <c r="A48934" t="s">
        <v>0</v>
      </c>
    </row>
    <row r="48935" spans="1:1" x14ac:dyDescent="0.3">
      <c r="A48935" t="s">
        <v>0</v>
      </c>
    </row>
    <row r="48936" spans="1:1" x14ac:dyDescent="0.3">
      <c r="A48936" t="s">
        <v>0</v>
      </c>
    </row>
    <row r="48937" spans="1:1" x14ac:dyDescent="0.3">
      <c r="A48937" t="s">
        <v>0</v>
      </c>
    </row>
    <row r="48938" spans="1:1" x14ac:dyDescent="0.3">
      <c r="A48938" t="s">
        <v>0</v>
      </c>
    </row>
    <row r="48939" spans="1:1" x14ac:dyDescent="0.3">
      <c r="A48939" t="s">
        <v>0</v>
      </c>
    </row>
    <row r="48940" spans="1:1" x14ac:dyDescent="0.3">
      <c r="A48940" t="s">
        <v>0</v>
      </c>
    </row>
    <row r="48941" spans="1:1" x14ac:dyDescent="0.3">
      <c r="A48941" t="s">
        <v>0</v>
      </c>
    </row>
    <row r="48942" spans="1:1" x14ac:dyDescent="0.3">
      <c r="A48942" t="s">
        <v>0</v>
      </c>
    </row>
    <row r="48943" spans="1:1" x14ac:dyDescent="0.3">
      <c r="A48943" t="s">
        <v>0</v>
      </c>
    </row>
    <row r="48944" spans="1:1" x14ac:dyDescent="0.3">
      <c r="A48944" t="s">
        <v>0</v>
      </c>
    </row>
    <row r="48945" spans="1:1" x14ac:dyDescent="0.3">
      <c r="A48945" t="s">
        <v>0</v>
      </c>
    </row>
    <row r="48946" spans="1:1" x14ac:dyDescent="0.3">
      <c r="A48946" t="s">
        <v>0</v>
      </c>
    </row>
    <row r="48947" spans="1:1" x14ac:dyDescent="0.3">
      <c r="A48947" t="s">
        <v>0</v>
      </c>
    </row>
    <row r="48948" spans="1:1" x14ac:dyDescent="0.3">
      <c r="A48948" t="s">
        <v>0</v>
      </c>
    </row>
    <row r="48949" spans="1:1" x14ac:dyDescent="0.3">
      <c r="A48949" t="s">
        <v>0</v>
      </c>
    </row>
    <row r="48950" spans="1:1" x14ac:dyDescent="0.3">
      <c r="A48950" t="s">
        <v>0</v>
      </c>
    </row>
    <row r="48951" spans="1:1" x14ac:dyDescent="0.3">
      <c r="A48951" t="s">
        <v>0</v>
      </c>
    </row>
    <row r="48952" spans="1:1" x14ac:dyDescent="0.3">
      <c r="A48952" t="s">
        <v>0</v>
      </c>
    </row>
    <row r="48953" spans="1:1" x14ac:dyDescent="0.3">
      <c r="A48953" t="s">
        <v>0</v>
      </c>
    </row>
    <row r="48954" spans="1:1" x14ac:dyDescent="0.3">
      <c r="A48954" t="s">
        <v>0</v>
      </c>
    </row>
    <row r="48955" spans="1:1" x14ac:dyDescent="0.3">
      <c r="A48955" t="s">
        <v>0</v>
      </c>
    </row>
    <row r="48956" spans="1:1" x14ac:dyDescent="0.3">
      <c r="A48956" t="s">
        <v>0</v>
      </c>
    </row>
    <row r="48957" spans="1:1" x14ac:dyDescent="0.3">
      <c r="A48957" t="s">
        <v>0</v>
      </c>
    </row>
    <row r="48958" spans="1:1" x14ac:dyDescent="0.3">
      <c r="A48958" t="s">
        <v>0</v>
      </c>
    </row>
    <row r="48959" spans="1:1" x14ac:dyDescent="0.3">
      <c r="A48959" t="s">
        <v>0</v>
      </c>
    </row>
    <row r="48960" spans="1:1" x14ac:dyDescent="0.3">
      <c r="A48960" t="s">
        <v>0</v>
      </c>
    </row>
    <row r="48961" spans="1:1" x14ac:dyDescent="0.3">
      <c r="A48961" t="s">
        <v>0</v>
      </c>
    </row>
    <row r="48962" spans="1:1" x14ac:dyDescent="0.3">
      <c r="A48962" t="s">
        <v>0</v>
      </c>
    </row>
    <row r="48963" spans="1:1" x14ac:dyDescent="0.3">
      <c r="A48963" t="s">
        <v>0</v>
      </c>
    </row>
    <row r="48964" spans="1:1" x14ac:dyDescent="0.3">
      <c r="A48964" t="s">
        <v>0</v>
      </c>
    </row>
    <row r="48965" spans="1:1" x14ac:dyDescent="0.3">
      <c r="A48965" t="s">
        <v>0</v>
      </c>
    </row>
    <row r="48966" spans="1:1" x14ac:dyDescent="0.3">
      <c r="A48966" t="s">
        <v>0</v>
      </c>
    </row>
    <row r="48967" spans="1:1" x14ac:dyDescent="0.3">
      <c r="A48967" t="s">
        <v>0</v>
      </c>
    </row>
    <row r="48968" spans="1:1" x14ac:dyDescent="0.3">
      <c r="A48968" t="s">
        <v>0</v>
      </c>
    </row>
    <row r="48969" spans="1:1" x14ac:dyDescent="0.3">
      <c r="A48969" t="s">
        <v>0</v>
      </c>
    </row>
    <row r="48970" spans="1:1" x14ac:dyDescent="0.3">
      <c r="A48970" t="s">
        <v>0</v>
      </c>
    </row>
    <row r="48971" spans="1:1" x14ac:dyDescent="0.3">
      <c r="A48971" t="s">
        <v>0</v>
      </c>
    </row>
    <row r="48972" spans="1:1" x14ac:dyDescent="0.3">
      <c r="A48972" t="s">
        <v>0</v>
      </c>
    </row>
    <row r="48973" spans="1:1" x14ac:dyDescent="0.3">
      <c r="A48973" t="s">
        <v>0</v>
      </c>
    </row>
    <row r="48974" spans="1:1" x14ac:dyDescent="0.3">
      <c r="A48974" t="s">
        <v>0</v>
      </c>
    </row>
    <row r="48975" spans="1:1" x14ac:dyDescent="0.3">
      <c r="A48975" t="s">
        <v>0</v>
      </c>
    </row>
    <row r="48976" spans="1:1" x14ac:dyDescent="0.3">
      <c r="A48976" t="s">
        <v>0</v>
      </c>
    </row>
    <row r="48977" spans="1:1" x14ac:dyDescent="0.3">
      <c r="A48977" t="s">
        <v>0</v>
      </c>
    </row>
    <row r="48978" spans="1:1" x14ac:dyDescent="0.3">
      <c r="A48978" t="s">
        <v>0</v>
      </c>
    </row>
    <row r="48979" spans="1:1" x14ac:dyDescent="0.3">
      <c r="A48979" t="s">
        <v>0</v>
      </c>
    </row>
    <row r="48980" spans="1:1" x14ac:dyDescent="0.3">
      <c r="A48980" t="s">
        <v>0</v>
      </c>
    </row>
    <row r="48981" spans="1:1" x14ac:dyDescent="0.3">
      <c r="A48981" t="s">
        <v>0</v>
      </c>
    </row>
    <row r="48982" spans="1:1" x14ac:dyDescent="0.3">
      <c r="A48982" t="s">
        <v>0</v>
      </c>
    </row>
    <row r="48983" spans="1:1" x14ac:dyDescent="0.3">
      <c r="A48983" t="s">
        <v>0</v>
      </c>
    </row>
    <row r="48984" spans="1:1" x14ac:dyDescent="0.3">
      <c r="A48984" t="s">
        <v>0</v>
      </c>
    </row>
    <row r="48985" spans="1:1" x14ac:dyDescent="0.3">
      <c r="A48985" t="s">
        <v>0</v>
      </c>
    </row>
    <row r="48986" spans="1:1" x14ac:dyDescent="0.3">
      <c r="A48986" t="s">
        <v>0</v>
      </c>
    </row>
    <row r="48987" spans="1:1" x14ac:dyDescent="0.3">
      <c r="A48987" t="s">
        <v>0</v>
      </c>
    </row>
    <row r="48988" spans="1:1" x14ac:dyDescent="0.3">
      <c r="A48988" t="s">
        <v>0</v>
      </c>
    </row>
    <row r="48989" spans="1:1" x14ac:dyDescent="0.3">
      <c r="A48989" t="s">
        <v>0</v>
      </c>
    </row>
    <row r="48990" spans="1:1" x14ac:dyDescent="0.3">
      <c r="A48990" t="s">
        <v>0</v>
      </c>
    </row>
    <row r="48991" spans="1:1" x14ac:dyDescent="0.3">
      <c r="A48991" t="s">
        <v>0</v>
      </c>
    </row>
    <row r="48992" spans="1:1" x14ac:dyDescent="0.3">
      <c r="A48992" t="s">
        <v>0</v>
      </c>
    </row>
    <row r="48993" spans="1:1" x14ac:dyDescent="0.3">
      <c r="A48993" t="s">
        <v>0</v>
      </c>
    </row>
    <row r="48994" spans="1:1" x14ac:dyDescent="0.3">
      <c r="A48994" t="s">
        <v>0</v>
      </c>
    </row>
    <row r="48995" spans="1:1" x14ac:dyDescent="0.3">
      <c r="A48995" t="s">
        <v>0</v>
      </c>
    </row>
    <row r="48996" spans="1:1" x14ac:dyDescent="0.3">
      <c r="A48996" t="s">
        <v>0</v>
      </c>
    </row>
    <row r="48997" spans="1:1" x14ac:dyDescent="0.3">
      <c r="A48997" t="s">
        <v>0</v>
      </c>
    </row>
    <row r="48998" spans="1:1" x14ac:dyDescent="0.3">
      <c r="A48998" t="s">
        <v>0</v>
      </c>
    </row>
    <row r="48999" spans="1:1" x14ac:dyDescent="0.3">
      <c r="A48999" t="s">
        <v>0</v>
      </c>
    </row>
    <row r="49000" spans="1:1" x14ac:dyDescent="0.3">
      <c r="A49000" t="s">
        <v>0</v>
      </c>
    </row>
    <row r="49001" spans="1:1" x14ac:dyDescent="0.3">
      <c r="A49001" t="s">
        <v>0</v>
      </c>
    </row>
    <row r="49002" spans="1:1" x14ac:dyDescent="0.3">
      <c r="A49002" t="s">
        <v>0</v>
      </c>
    </row>
    <row r="49003" spans="1:1" x14ac:dyDescent="0.3">
      <c r="A49003" t="s">
        <v>0</v>
      </c>
    </row>
    <row r="49004" spans="1:1" x14ac:dyDescent="0.3">
      <c r="A49004" t="s">
        <v>0</v>
      </c>
    </row>
    <row r="49005" spans="1:1" x14ac:dyDescent="0.3">
      <c r="A49005" t="s">
        <v>0</v>
      </c>
    </row>
    <row r="49006" spans="1:1" x14ac:dyDescent="0.3">
      <c r="A49006" t="s">
        <v>0</v>
      </c>
    </row>
    <row r="49007" spans="1:1" x14ac:dyDescent="0.3">
      <c r="A49007" t="s">
        <v>0</v>
      </c>
    </row>
    <row r="49008" spans="1:1" x14ac:dyDescent="0.3">
      <c r="A49008" t="s">
        <v>0</v>
      </c>
    </row>
    <row r="49009" spans="1:1" x14ac:dyDescent="0.3">
      <c r="A49009" t="s">
        <v>0</v>
      </c>
    </row>
    <row r="49010" spans="1:1" x14ac:dyDescent="0.3">
      <c r="A49010" t="s">
        <v>0</v>
      </c>
    </row>
    <row r="49011" spans="1:1" x14ac:dyDescent="0.3">
      <c r="A49011" t="s">
        <v>0</v>
      </c>
    </row>
    <row r="49012" spans="1:1" x14ac:dyDescent="0.3">
      <c r="A49012" t="s">
        <v>0</v>
      </c>
    </row>
    <row r="49013" spans="1:1" x14ac:dyDescent="0.3">
      <c r="A49013" t="s">
        <v>0</v>
      </c>
    </row>
    <row r="49014" spans="1:1" x14ac:dyDescent="0.3">
      <c r="A49014" t="s">
        <v>0</v>
      </c>
    </row>
    <row r="49015" spans="1:1" x14ac:dyDescent="0.3">
      <c r="A49015" t="s">
        <v>0</v>
      </c>
    </row>
    <row r="49016" spans="1:1" x14ac:dyDescent="0.3">
      <c r="A49016" t="s">
        <v>0</v>
      </c>
    </row>
    <row r="49017" spans="1:1" x14ac:dyDescent="0.3">
      <c r="A49017" t="s">
        <v>0</v>
      </c>
    </row>
    <row r="49018" spans="1:1" x14ac:dyDescent="0.3">
      <c r="A49018" t="s">
        <v>0</v>
      </c>
    </row>
    <row r="49019" spans="1:1" x14ac:dyDescent="0.3">
      <c r="A49019" t="s">
        <v>0</v>
      </c>
    </row>
    <row r="49020" spans="1:1" x14ac:dyDescent="0.3">
      <c r="A49020" t="s">
        <v>0</v>
      </c>
    </row>
    <row r="49021" spans="1:1" x14ac:dyDescent="0.3">
      <c r="A49021" t="s">
        <v>0</v>
      </c>
    </row>
    <row r="49022" spans="1:1" x14ac:dyDescent="0.3">
      <c r="A49022" t="s">
        <v>0</v>
      </c>
    </row>
    <row r="49023" spans="1:1" x14ac:dyDescent="0.3">
      <c r="A49023" t="s">
        <v>0</v>
      </c>
    </row>
    <row r="49024" spans="1:1" x14ac:dyDescent="0.3">
      <c r="A49024" t="s">
        <v>0</v>
      </c>
    </row>
    <row r="49025" spans="1:1" x14ac:dyDescent="0.3">
      <c r="A49025" t="s">
        <v>0</v>
      </c>
    </row>
    <row r="49026" spans="1:1" x14ac:dyDescent="0.3">
      <c r="A49026" t="s">
        <v>0</v>
      </c>
    </row>
    <row r="49027" spans="1:1" x14ac:dyDescent="0.3">
      <c r="A49027" t="s">
        <v>0</v>
      </c>
    </row>
    <row r="49028" spans="1:1" x14ac:dyDescent="0.3">
      <c r="A49028" t="s">
        <v>0</v>
      </c>
    </row>
    <row r="49029" spans="1:1" x14ac:dyDescent="0.3">
      <c r="A49029" t="s">
        <v>0</v>
      </c>
    </row>
    <row r="49030" spans="1:1" x14ac:dyDescent="0.3">
      <c r="A49030" t="s">
        <v>0</v>
      </c>
    </row>
    <row r="49031" spans="1:1" x14ac:dyDescent="0.3">
      <c r="A49031" t="s">
        <v>0</v>
      </c>
    </row>
    <row r="49032" spans="1:1" x14ac:dyDescent="0.3">
      <c r="A49032" t="s">
        <v>0</v>
      </c>
    </row>
    <row r="49033" spans="1:1" x14ac:dyDescent="0.3">
      <c r="A49033" t="s">
        <v>0</v>
      </c>
    </row>
    <row r="49034" spans="1:1" x14ac:dyDescent="0.3">
      <c r="A49034" t="s">
        <v>0</v>
      </c>
    </row>
    <row r="49035" spans="1:1" x14ac:dyDescent="0.3">
      <c r="A49035" t="s">
        <v>0</v>
      </c>
    </row>
    <row r="49036" spans="1:1" x14ac:dyDescent="0.3">
      <c r="A49036" t="s">
        <v>0</v>
      </c>
    </row>
    <row r="49037" spans="1:1" x14ac:dyDescent="0.3">
      <c r="A49037" t="s">
        <v>0</v>
      </c>
    </row>
    <row r="49038" spans="1:1" x14ac:dyDescent="0.3">
      <c r="A49038" t="s">
        <v>0</v>
      </c>
    </row>
    <row r="49039" spans="1:1" x14ac:dyDescent="0.3">
      <c r="A49039" t="s">
        <v>0</v>
      </c>
    </row>
    <row r="49040" spans="1:1" x14ac:dyDescent="0.3">
      <c r="A49040" t="s">
        <v>0</v>
      </c>
    </row>
    <row r="49041" spans="1:1" x14ac:dyDescent="0.3">
      <c r="A49041" t="s">
        <v>0</v>
      </c>
    </row>
    <row r="49042" spans="1:1" x14ac:dyDescent="0.3">
      <c r="A49042" t="s">
        <v>0</v>
      </c>
    </row>
    <row r="49043" spans="1:1" x14ac:dyDescent="0.3">
      <c r="A49043" t="s">
        <v>0</v>
      </c>
    </row>
    <row r="49044" spans="1:1" x14ac:dyDescent="0.3">
      <c r="A49044" t="s">
        <v>0</v>
      </c>
    </row>
    <row r="49045" spans="1:1" x14ac:dyDescent="0.3">
      <c r="A49045" t="s">
        <v>0</v>
      </c>
    </row>
    <row r="49046" spans="1:1" x14ac:dyDescent="0.3">
      <c r="A49046" t="s">
        <v>0</v>
      </c>
    </row>
    <row r="49047" spans="1:1" x14ac:dyDescent="0.3">
      <c r="A49047" t="s">
        <v>0</v>
      </c>
    </row>
    <row r="49048" spans="1:1" x14ac:dyDescent="0.3">
      <c r="A49048" t="s">
        <v>0</v>
      </c>
    </row>
    <row r="49049" spans="1:1" x14ac:dyDescent="0.3">
      <c r="A49049" t="s">
        <v>0</v>
      </c>
    </row>
    <row r="49050" spans="1:1" x14ac:dyDescent="0.3">
      <c r="A49050" t="s">
        <v>0</v>
      </c>
    </row>
    <row r="49051" spans="1:1" x14ac:dyDescent="0.3">
      <c r="A49051" t="s">
        <v>0</v>
      </c>
    </row>
    <row r="49052" spans="1:1" x14ac:dyDescent="0.3">
      <c r="A49052" t="s">
        <v>0</v>
      </c>
    </row>
    <row r="49053" spans="1:1" x14ac:dyDescent="0.3">
      <c r="A49053" t="s">
        <v>0</v>
      </c>
    </row>
    <row r="49054" spans="1:1" x14ac:dyDescent="0.3">
      <c r="A49054" t="s">
        <v>0</v>
      </c>
    </row>
    <row r="49055" spans="1:1" x14ac:dyDescent="0.3">
      <c r="A49055" t="s">
        <v>0</v>
      </c>
    </row>
    <row r="49056" spans="1:1" x14ac:dyDescent="0.3">
      <c r="A49056" t="s">
        <v>0</v>
      </c>
    </row>
    <row r="49057" spans="1:1" x14ac:dyDescent="0.3">
      <c r="A49057" t="s">
        <v>0</v>
      </c>
    </row>
    <row r="49058" spans="1:1" x14ac:dyDescent="0.3">
      <c r="A49058" t="s">
        <v>0</v>
      </c>
    </row>
    <row r="49059" spans="1:1" x14ac:dyDescent="0.3">
      <c r="A49059" t="s">
        <v>0</v>
      </c>
    </row>
    <row r="49060" spans="1:1" x14ac:dyDescent="0.3">
      <c r="A49060" t="s">
        <v>0</v>
      </c>
    </row>
    <row r="49061" spans="1:1" x14ac:dyDescent="0.3">
      <c r="A49061" t="s">
        <v>0</v>
      </c>
    </row>
    <row r="49062" spans="1:1" x14ac:dyDescent="0.3">
      <c r="A49062" t="s">
        <v>0</v>
      </c>
    </row>
    <row r="49063" spans="1:1" x14ac:dyDescent="0.3">
      <c r="A49063" t="s">
        <v>0</v>
      </c>
    </row>
    <row r="49064" spans="1:1" x14ac:dyDescent="0.3">
      <c r="A49064" t="s">
        <v>0</v>
      </c>
    </row>
    <row r="49065" spans="1:1" x14ac:dyDescent="0.3">
      <c r="A49065" t="s">
        <v>0</v>
      </c>
    </row>
    <row r="49066" spans="1:1" x14ac:dyDescent="0.3">
      <c r="A49066" t="s">
        <v>0</v>
      </c>
    </row>
    <row r="49067" spans="1:1" x14ac:dyDescent="0.3">
      <c r="A49067" t="s">
        <v>0</v>
      </c>
    </row>
    <row r="49068" spans="1:1" x14ac:dyDescent="0.3">
      <c r="A49068" t="s">
        <v>0</v>
      </c>
    </row>
    <row r="49069" spans="1:1" x14ac:dyDescent="0.3">
      <c r="A49069" t="s">
        <v>0</v>
      </c>
    </row>
    <row r="49070" spans="1:1" x14ac:dyDescent="0.3">
      <c r="A49070" t="s">
        <v>0</v>
      </c>
    </row>
    <row r="49071" spans="1:1" x14ac:dyDescent="0.3">
      <c r="A49071" t="s">
        <v>0</v>
      </c>
    </row>
    <row r="49072" spans="1:1" x14ac:dyDescent="0.3">
      <c r="A49072" t="s">
        <v>0</v>
      </c>
    </row>
    <row r="49073" spans="1:1" x14ac:dyDescent="0.3">
      <c r="A49073" t="s">
        <v>0</v>
      </c>
    </row>
    <row r="49074" spans="1:1" x14ac:dyDescent="0.3">
      <c r="A49074" t="s">
        <v>0</v>
      </c>
    </row>
    <row r="49075" spans="1:1" x14ac:dyDescent="0.3">
      <c r="A49075" t="s">
        <v>0</v>
      </c>
    </row>
    <row r="49076" spans="1:1" x14ac:dyDescent="0.3">
      <c r="A49076" t="s">
        <v>0</v>
      </c>
    </row>
    <row r="49077" spans="1:1" x14ac:dyDescent="0.3">
      <c r="A49077" t="s">
        <v>0</v>
      </c>
    </row>
    <row r="49078" spans="1:1" x14ac:dyDescent="0.3">
      <c r="A49078" t="s">
        <v>0</v>
      </c>
    </row>
    <row r="49079" spans="1:1" x14ac:dyDescent="0.3">
      <c r="A49079" t="s">
        <v>0</v>
      </c>
    </row>
    <row r="49080" spans="1:1" x14ac:dyDescent="0.3">
      <c r="A49080" t="s">
        <v>0</v>
      </c>
    </row>
    <row r="49081" spans="1:1" x14ac:dyDescent="0.3">
      <c r="A49081" t="s">
        <v>0</v>
      </c>
    </row>
    <row r="49082" spans="1:1" x14ac:dyDescent="0.3">
      <c r="A49082" t="s">
        <v>0</v>
      </c>
    </row>
    <row r="49083" spans="1:1" x14ac:dyDescent="0.3">
      <c r="A49083" t="s">
        <v>0</v>
      </c>
    </row>
    <row r="49084" spans="1:1" x14ac:dyDescent="0.3">
      <c r="A49084" t="s">
        <v>0</v>
      </c>
    </row>
    <row r="49085" spans="1:1" x14ac:dyDescent="0.3">
      <c r="A49085" t="s">
        <v>0</v>
      </c>
    </row>
    <row r="49086" spans="1:1" x14ac:dyDescent="0.3">
      <c r="A49086" t="s">
        <v>0</v>
      </c>
    </row>
    <row r="49087" spans="1:1" x14ac:dyDescent="0.3">
      <c r="A49087" t="s">
        <v>0</v>
      </c>
    </row>
    <row r="49088" spans="1:1" x14ac:dyDescent="0.3">
      <c r="A49088" t="s">
        <v>0</v>
      </c>
    </row>
    <row r="49089" spans="1:1" x14ac:dyDescent="0.3">
      <c r="A49089" t="s">
        <v>0</v>
      </c>
    </row>
    <row r="49090" spans="1:1" x14ac:dyDescent="0.3">
      <c r="A49090" t="s">
        <v>0</v>
      </c>
    </row>
    <row r="49091" spans="1:1" x14ac:dyDescent="0.3">
      <c r="A49091" t="s">
        <v>0</v>
      </c>
    </row>
    <row r="49092" spans="1:1" x14ac:dyDescent="0.3">
      <c r="A49092" t="s">
        <v>0</v>
      </c>
    </row>
    <row r="49093" spans="1:1" x14ac:dyDescent="0.3">
      <c r="A49093" t="s">
        <v>0</v>
      </c>
    </row>
    <row r="49094" spans="1:1" x14ac:dyDescent="0.3">
      <c r="A49094" t="s">
        <v>0</v>
      </c>
    </row>
    <row r="49095" spans="1:1" x14ac:dyDescent="0.3">
      <c r="A49095" t="s">
        <v>0</v>
      </c>
    </row>
    <row r="49096" spans="1:1" x14ac:dyDescent="0.3">
      <c r="A49096" t="s">
        <v>0</v>
      </c>
    </row>
    <row r="49097" spans="1:1" x14ac:dyDescent="0.3">
      <c r="A49097" t="s">
        <v>0</v>
      </c>
    </row>
    <row r="49098" spans="1:1" x14ac:dyDescent="0.3">
      <c r="A49098" t="s">
        <v>0</v>
      </c>
    </row>
    <row r="49099" spans="1:1" x14ac:dyDescent="0.3">
      <c r="A49099" t="s">
        <v>0</v>
      </c>
    </row>
    <row r="49100" spans="1:1" x14ac:dyDescent="0.3">
      <c r="A49100" t="s">
        <v>0</v>
      </c>
    </row>
    <row r="49101" spans="1:1" x14ac:dyDescent="0.3">
      <c r="A49101" t="s">
        <v>0</v>
      </c>
    </row>
    <row r="49102" spans="1:1" x14ac:dyDescent="0.3">
      <c r="A49102" t="s">
        <v>0</v>
      </c>
    </row>
    <row r="49103" spans="1:1" x14ac:dyDescent="0.3">
      <c r="A49103" t="s">
        <v>0</v>
      </c>
    </row>
    <row r="49104" spans="1:1" x14ac:dyDescent="0.3">
      <c r="A49104" t="s">
        <v>0</v>
      </c>
    </row>
    <row r="49105" spans="1:1" x14ac:dyDescent="0.3">
      <c r="A49105" t="s">
        <v>0</v>
      </c>
    </row>
    <row r="49106" spans="1:1" x14ac:dyDescent="0.3">
      <c r="A49106" t="s">
        <v>0</v>
      </c>
    </row>
    <row r="49107" spans="1:1" x14ac:dyDescent="0.3">
      <c r="A49107" t="s">
        <v>0</v>
      </c>
    </row>
    <row r="49108" spans="1:1" x14ac:dyDescent="0.3">
      <c r="A49108" t="s">
        <v>0</v>
      </c>
    </row>
    <row r="49109" spans="1:1" x14ac:dyDescent="0.3">
      <c r="A49109" t="s">
        <v>0</v>
      </c>
    </row>
    <row r="49110" spans="1:1" x14ac:dyDescent="0.3">
      <c r="A49110" t="s">
        <v>0</v>
      </c>
    </row>
    <row r="49111" spans="1:1" x14ac:dyDescent="0.3">
      <c r="A49111" t="s">
        <v>0</v>
      </c>
    </row>
    <row r="49112" spans="1:1" x14ac:dyDescent="0.3">
      <c r="A49112" t="s">
        <v>0</v>
      </c>
    </row>
    <row r="49113" spans="1:1" x14ac:dyDescent="0.3">
      <c r="A49113" t="s">
        <v>0</v>
      </c>
    </row>
    <row r="49114" spans="1:1" x14ac:dyDescent="0.3">
      <c r="A49114" t="s">
        <v>0</v>
      </c>
    </row>
    <row r="49115" spans="1:1" x14ac:dyDescent="0.3">
      <c r="A49115" t="s">
        <v>0</v>
      </c>
    </row>
    <row r="49116" spans="1:1" x14ac:dyDescent="0.3">
      <c r="A49116" t="s">
        <v>0</v>
      </c>
    </row>
    <row r="49117" spans="1:1" x14ac:dyDescent="0.3">
      <c r="A49117" t="s">
        <v>0</v>
      </c>
    </row>
    <row r="49118" spans="1:1" x14ac:dyDescent="0.3">
      <c r="A49118" t="s">
        <v>0</v>
      </c>
    </row>
    <row r="49119" spans="1:1" x14ac:dyDescent="0.3">
      <c r="A49119" t="s">
        <v>0</v>
      </c>
    </row>
    <row r="49120" spans="1:1" x14ac:dyDescent="0.3">
      <c r="A49120" t="s">
        <v>0</v>
      </c>
    </row>
    <row r="49121" spans="1:1" x14ac:dyDescent="0.3">
      <c r="A49121" t="s">
        <v>0</v>
      </c>
    </row>
    <row r="49122" spans="1:1" x14ac:dyDescent="0.3">
      <c r="A49122" t="s">
        <v>0</v>
      </c>
    </row>
    <row r="49123" spans="1:1" x14ac:dyDescent="0.3">
      <c r="A49123" t="s">
        <v>0</v>
      </c>
    </row>
    <row r="49124" spans="1:1" x14ac:dyDescent="0.3">
      <c r="A49124" t="s">
        <v>0</v>
      </c>
    </row>
    <row r="49125" spans="1:1" x14ac:dyDescent="0.3">
      <c r="A49125" t="s">
        <v>0</v>
      </c>
    </row>
    <row r="49126" spans="1:1" x14ac:dyDescent="0.3">
      <c r="A49126" t="s">
        <v>0</v>
      </c>
    </row>
    <row r="49127" spans="1:1" x14ac:dyDescent="0.3">
      <c r="A49127" t="s">
        <v>0</v>
      </c>
    </row>
    <row r="49128" spans="1:1" x14ac:dyDescent="0.3">
      <c r="A49128" t="s">
        <v>0</v>
      </c>
    </row>
    <row r="49129" spans="1:1" x14ac:dyDescent="0.3">
      <c r="A49129" t="s">
        <v>0</v>
      </c>
    </row>
    <row r="49130" spans="1:1" x14ac:dyDescent="0.3">
      <c r="A49130" t="s">
        <v>0</v>
      </c>
    </row>
    <row r="49131" spans="1:1" x14ac:dyDescent="0.3">
      <c r="A49131" t="s">
        <v>0</v>
      </c>
    </row>
    <row r="49132" spans="1:1" x14ac:dyDescent="0.3">
      <c r="A49132" t="s">
        <v>0</v>
      </c>
    </row>
    <row r="49133" spans="1:1" x14ac:dyDescent="0.3">
      <c r="A49133" t="s">
        <v>0</v>
      </c>
    </row>
    <row r="49134" spans="1:1" x14ac:dyDescent="0.3">
      <c r="A49134" t="s">
        <v>0</v>
      </c>
    </row>
    <row r="49135" spans="1:1" x14ac:dyDescent="0.3">
      <c r="A49135" t="s">
        <v>0</v>
      </c>
    </row>
    <row r="49136" spans="1:1" x14ac:dyDescent="0.3">
      <c r="A49136" t="s">
        <v>0</v>
      </c>
    </row>
    <row r="49137" spans="1:1" x14ac:dyDescent="0.3">
      <c r="A49137" t="s">
        <v>0</v>
      </c>
    </row>
    <row r="49138" spans="1:1" x14ac:dyDescent="0.3">
      <c r="A49138" t="s">
        <v>0</v>
      </c>
    </row>
    <row r="49139" spans="1:1" x14ac:dyDescent="0.3">
      <c r="A49139" t="s">
        <v>0</v>
      </c>
    </row>
    <row r="49140" spans="1:1" x14ac:dyDescent="0.3">
      <c r="A49140" t="s">
        <v>0</v>
      </c>
    </row>
    <row r="49141" spans="1:1" x14ac:dyDescent="0.3">
      <c r="A49141" t="s">
        <v>0</v>
      </c>
    </row>
    <row r="49142" spans="1:1" x14ac:dyDescent="0.3">
      <c r="A49142" t="s">
        <v>0</v>
      </c>
    </row>
    <row r="49143" spans="1:1" x14ac:dyDescent="0.3">
      <c r="A49143" t="s">
        <v>0</v>
      </c>
    </row>
    <row r="49144" spans="1:1" x14ac:dyDescent="0.3">
      <c r="A49144" t="s">
        <v>0</v>
      </c>
    </row>
    <row r="49145" spans="1:1" x14ac:dyDescent="0.3">
      <c r="A49145" t="s">
        <v>0</v>
      </c>
    </row>
    <row r="49146" spans="1:1" x14ac:dyDescent="0.3">
      <c r="A49146" t="s">
        <v>0</v>
      </c>
    </row>
    <row r="49147" spans="1:1" x14ac:dyDescent="0.3">
      <c r="A49147" t="s">
        <v>0</v>
      </c>
    </row>
    <row r="49148" spans="1:1" x14ac:dyDescent="0.3">
      <c r="A49148" t="s">
        <v>0</v>
      </c>
    </row>
    <row r="49149" spans="1:1" x14ac:dyDescent="0.3">
      <c r="A49149" t="s">
        <v>0</v>
      </c>
    </row>
    <row r="49150" spans="1:1" x14ac:dyDescent="0.3">
      <c r="A49150" t="s">
        <v>0</v>
      </c>
    </row>
    <row r="49151" spans="1:1" x14ac:dyDescent="0.3">
      <c r="A49151" t="s">
        <v>0</v>
      </c>
    </row>
    <row r="49152" spans="1:1" x14ac:dyDescent="0.3">
      <c r="A49152" t="s">
        <v>0</v>
      </c>
    </row>
    <row r="49153" spans="1:1" x14ac:dyDescent="0.3">
      <c r="A49153" t="s">
        <v>0</v>
      </c>
    </row>
    <row r="49154" spans="1:1" x14ac:dyDescent="0.3">
      <c r="A49154" t="s">
        <v>0</v>
      </c>
    </row>
    <row r="49155" spans="1:1" x14ac:dyDescent="0.3">
      <c r="A49155" t="s">
        <v>0</v>
      </c>
    </row>
    <row r="49156" spans="1:1" x14ac:dyDescent="0.3">
      <c r="A49156" t="s">
        <v>0</v>
      </c>
    </row>
    <row r="49157" spans="1:1" x14ac:dyDescent="0.3">
      <c r="A49157" t="s">
        <v>0</v>
      </c>
    </row>
    <row r="49158" spans="1:1" x14ac:dyDescent="0.3">
      <c r="A49158" t="s">
        <v>0</v>
      </c>
    </row>
    <row r="49159" spans="1:1" x14ac:dyDescent="0.3">
      <c r="A49159" t="s">
        <v>0</v>
      </c>
    </row>
    <row r="49160" spans="1:1" x14ac:dyDescent="0.3">
      <c r="A49160" t="s">
        <v>0</v>
      </c>
    </row>
    <row r="49161" spans="1:1" x14ac:dyDescent="0.3">
      <c r="A49161" t="s">
        <v>0</v>
      </c>
    </row>
    <row r="49162" spans="1:1" x14ac:dyDescent="0.3">
      <c r="A49162" t="s">
        <v>0</v>
      </c>
    </row>
    <row r="49163" spans="1:1" x14ac:dyDescent="0.3">
      <c r="A49163" t="s">
        <v>0</v>
      </c>
    </row>
    <row r="49164" spans="1:1" x14ac:dyDescent="0.3">
      <c r="A49164" t="s">
        <v>0</v>
      </c>
    </row>
    <row r="49165" spans="1:1" x14ac:dyDescent="0.3">
      <c r="A49165" t="s">
        <v>0</v>
      </c>
    </row>
    <row r="49166" spans="1:1" x14ac:dyDescent="0.3">
      <c r="A49166" t="s">
        <v>0</v>
      </c>
    </row>
    <row r="49167" spans="1:1" x14ac:dyDescent="0.3">
      <c r="A49167" t="s">
        <v>0</v>
      </c>
    </row>
    <row r="49168" spans="1:1" x14ac:dyDescent="0.3">
      <c r="A49168" t="s">
        <v>0</v>
      </c>
    </row>
    <row r="49169" spans="1:1" x14ac:dyDescent="0.3">
      <c r="A49169" t="s">
        <v>0</v>
      </c>
    </row>
    <row r="49170" spans="1:1" x14ac:dyDescent="0.3">
      <c r="A49170" t="s">
        <v>0</v>
      </c>
    </row>
    <row r="49171" spans="1:1" x14ac:dyDescent="0.3">
      <c r="A49171" t="s">
        <v>0</v>
      </c>
    </row>
    <row r="49172" spans="1:1" x14ac:dyDescent="0.3">
      <c r="A49172" t="s">
        <v>0</v>
      </c>
    </row>
    <row r="49173" spans="1:1" x14ac:dyDescent="0.3">
      <c r="A49173" t="s">
        <v>0</v>
      </c>
    </row>
    <row r="49174" spans="1:1" x14ac:dyDescent="0.3">
      <c r="A49174" t="s">
        <v>0</v>
      </c>
    </row>
    <row r="49175" spans="1:1" x14ac:dyDescent="0.3">
      <c r="A49175" t="s">
        <v>0</v>
      </c>
    </row>
    <row r="49176" spans="1:1" x14ac:dyDescent="0.3">
      <c r="A49176" t="s">
        <v>0</v>
      </c>
    </row>
    <row r="49177" spans="1:1" x14ac:dyDescent="0.3">
      <c r="A49177" t="s">
        <v>0</v>
      </c>
    </row>
    <row r="49178" spans="1:1" x14ac:dyDescent="0.3">
      <c r="A49178" t="s">
        <v>0</v>
      </c>
    </row>
    <row r="49179" spans="1:1" x14ac:dyDescent="0.3">
      <c r="A49179" t="s">
        <v>0</v>
      </c>
    </row>
    <row r="49180" spans="1:1" x14ac:dyDescent="0.3">
      <c r="A49180" t="s">
        <v>0</v>
      </c>
    </row>
    <row r="49181" spans="1:1" x14ac:dyDescent="0.3">
      <c r="A49181" t="s">
        <v>0</v>
      </c>
    </row>
    <row r="49182" spans="1:1" x14ac:dyDescent="0.3">
      <c r="A49182" t="s">
        <v>0</v>
      </c>
    </row>
    <row r="49183" spans="1:1" x14ac:dyDescent="0.3">
      <c r="A49183" t="s">
        <v>0</v>
      </c>
    </row>
    <row r="49184" spans="1:1" x14ac:dyDescent="0.3">
      <c r="A49184" t="s">
        <v>0</v>
      </c>
    </row>
    <row r="49185" spans="1:1" x14ac:dyDescent="0.3">
      <c r="A49185" t="s">
        <v>0</v>
      </c>
    </row>
    <row r="49186" spans="1:1" x14ac:dyDescent="0.3">
      <c r="A49186" t="s">
        <v>0</v>
      </c>
    </row>
    <row r="49187" spans="1:1" x14ac:dyDescent="0.3">
      <c r="A49187" t="s">
        <v>0</v>
      </c>
    </row>
    <row r="49188" spans="1:1" x14ac:dyDescent="0.3">
      <c r="A49188" t="s">
        <v>0</v>
      </c>
    </row>
    <row r="49189" spans="1:1" x14ac:dyDescent="0.3">
      <c r="A49189" t="s">
        <v>0</v>
      </c>
    </row>
    <row r="49190" spans="1:1" x14ac:dyDescent="0.3">
      <c r="A49190" t="s">
        <v>0</v>
      </c>
    </row>
    <row r="49191" spans="1:1" x14ac:dyDescent="0.3">
      <c r="A49191" t="s">
        <v>0</v>
      </c>
    </row>
    <row r="49192" spans="1:1" x14ac:dyDescent="0.3">
      <c r="A49192" t="s">
        <v>0</v>
      </c>
    </row>
    <row r="49193" spans="1:1" x14ac:dyDescent="0.3">
      <c r="A49193" t="s">
        <v>0</v>
      </c>
    </row>
    <row r="49194" spans="1:1" x14ac:dyDescent="0.3">
      <c r="A49194" t="s">
        <v>0</v>
      </c>
    </row>
    <row r="49195" spans="1:1" x14ac:dyDescent="0.3">
      <c r="A49195" t="s">
        <v>0</v>
      </c>
    </row>
    <row r="49196" spans="1:1" x14ac:dyDescent="0.3">
      <c r="A49196" t="s">
        <v>0</v>
      </c>
    </row>
    <row r="49197" spans="1:1" x14ac:dyDescent="0.3">
      <c r="A49197" t="s">
        <v>0</v>
      </c>
    </row>
    <row r="49198" spans="1:1" x14ac:dyDescent="0.3">
      <c r="A49198" t="s">
        <v>0</v>
      </c>
    </row>
    <row r="49199" spans="1:1" x14ac:dyDescent="0.3">
      <c r="A49199" t="s">
        <v>0</v>
      </c>
    </row>
    <row r="49200" spans="1:1" x14ac:dyDescent="0.3">
      <c r="A49200" t="s">
        <v>0</v>
      </c>
    </row>
    <row r="49201" spans="1:1" x14ac:dyDescent="0.3">
      <c r="A49201" t="s">
        <v>0</v>
      </c>
    </row>
    <row r="49202" spans="1:1" x14ac:dyDescent="0.3">
      <c r="A49202" t="s">
        <v>0</v>
      </c>
    </row>
    <row r="49203" spans="1:1" x14ac:dyDescent="0.3">
      <c r="A49203" t="s">
        <v>0</v>
      </c>
    </row>
    <row r="49204" spans="1:1" x14ac:dyDescent="0.3">
      <c r="A49204" t="s">
        <v>0</v>
      </c>
    </row>
    <row r="49205" spans="1:1" x14ac:dyDescent="0.3">
      <c r="A49205" t="s">
        <v>0</v>
      </c>
    </row>
    <row r="49206" spans="1:1" x14ac:dyDescent="0.3">
      <c r="A49206" t="s">
        <v>0</v>
      </c>
    </row>
    <row r="49207" spans="1:1" x14ac:dyDescent="0.3">
      <c r="A49207" t="s">
        <v>0</v>
      </c>
    </row>
    <row r="49208" spans="1:1" x14ac:dyDescent="0.3">
      <c r="A49208" t="s">
        <v>0</v>
      </c>
    </row>
    <row r="49209" spans="1:1" x14ac:dyDescent="0.3">
      <c r="A49209" t="s">
        <v>0</v>
      </c>
    </row>
    <row r="49210" spans="1:1" x14ac:dyDescent="0.3">
      <c r="A49210" t="s">
        <v>0</v>
      </c>
    </row>
    <row r="49211" spans="1:1" x14ac:dyDescent="0.3">
      <c r="A49211" t="s">
        <v>0</v>
      </c>
    </row>
    <row r="49212" spans="1:1" x14ac:dyDescent="0.3">
      <c r="A49212" t="s">
        <v>0</v>
      </c>
    </row>
    <row r="49213" spans="1:1" x14ac:dyDescent="0.3">
      <c r="A49213" t="s">
        <v>0</v>
      </c>
    </row>
    <row r="49214" spans="1:1" x14ac:dyDescent="0.3">
      <c r="A49214" t="s">
        <v>0</v>
      </c>
    </row>
    <row r="49215" spans="1:1" x14ac:dyDescent="0.3">
      <c r="A49215" t="s">
        <v>0</v>
      </c>
    </row>
    <row r="49216" spans="1:1" x14ac:dyDescent="0.3">
      <c r="A49216" t="s">
        <v>0</v>
      </c>
    </row>
    <row r="49217" spans="1:1" x14ac:dyDescent="0.3">
      <c r="A49217" t="s">
        <v>0</v>
      </c>
    </row>
    <row r="49218" spans="1:1" x14ac:dyDescent="0.3">
      <c r="A49218" t="s">
        <v>0</v>
      </c>
    </row>
    <row r="49219" spans="1:1" x14ac:dyDescent="0.3">
      <c r="A49219" t="s">
        <v>0</v>
      </c>
    </row>
    <row r="49220" spans="1:1" x14ac:dyDescent="0.3">
      <c r="A49220" t="s">
        <v>0</v>
      </c>
    </row>
    <row r="49221" spans="1:1" x14ac:dyDescent="0.3">
      <c r="A49221" t="s">
        <v>0</v>
      </c>
    </row>
    <row r="49222" spans="1:1" x14ac:dyDescent="0.3">
      <c r="A49222" t="s">
        <v>0</v>
      </c>
    </row>
    <row r="49223" spans="1:1" x14ac:dyDescent="0.3">
      <c r="A49223" t="s">
        <v>0</v>
      </c>
    </row>
    <row r="49224" spans="1:1" x14ac:dyDescent="0.3">
      <c r="A49224" t="s">
        <v>0</v>
      </c>
    </row>
    <row r="49225" spans="1:1" x14ac:dyDescent="0.3">
      <c r="A49225" t="s">
        <v>0</v>
      </c>
    </row>
    <row r="49226" spans="1:1" x14ac:dyDescent="0.3">
      <c r="A49226" t="s">
        <v>0</v>
      </c>
    </row>
    <row r="49227" spans="1:1" x14ac:dyDescent="0.3">
      <c r="A49227" t="s">
        <v>0</v>
      </c>
    </row>
    <row r="49228" spans="1:1" x14ac:dyDescent="0.3">
      <c r="A49228" t="s">
        <v>0</v>
      </c>
    </row>
    <row r="49229" spans="1:1" x14ac:dyDescent="0.3">
      <c r="A49229" t="s">
        <v>0</v>
      </c>
    </row>
    <row r="49230" spans="1:1" x14ac:dyDescent="0.3">
      <c r="A49230" t="s">
        <v>0</v>
      </c>
    </row>
    <row r="49231" spans="1:1" x14ac:dyDescent="0.3">
      <c r="A49231" t="s">
        <v>0</v>
      </c>
    </row>
    <row r="49232" spans="1:1" x14ac:dyDescent="0.3">
      <c r="A49232" t="s">
        <v>0</v>
      </c>
    </row>
    <row r="49233" spans="1:1" x14ac:dyDescent="0.3">
      <c r="A49233" t="s">
        <v>0</v>
      </c>
    </row>
    <row r="49234" spans="1:1" x14ac:dyDescent="0.3">
      <c r="A49234" t="s">
        <v>0</v>
      </c>
    </row>
    <row r="49235" spans="1:1" x14ac:dyDescent="0.3">
      <c r="A49235" t="s">
        <v>0</v>
      </c>
    </row>
    <row r="49236" spans="1:1" x14ac:dyDescent="0.3">
      <c r="A49236" t="s">
        <v>0</v>
      </c>
    </row>
    <row r="49237" spans="1:1" x14ac:dyDescent="0.3">
      <c r="A49237" t="s">
        <v>0</v>
      </c>
    </row>
    <row r="49238" spans="1:1" x14ac:dyDescent="0.3">
      <c r="A49238" t="s">
        <v>0</v>
      </c>
    </row>
    <row r="49239" spans="1:1" x14ac:dyDescent="0.3">
      <c r="A49239" t="s">
        <v>0</v>
      </c>
    </row>
    <row r="49240" spans="1:1" x14ac:dyDescent="0.3">
      <c r="A49240" t="s">
        <v>0</v>
      </c>
    </row>
    <row r="49241" spans="1:1" x14ac:dyDescent="0.3">
      <c r="A49241" t="s">
        <v>0</v>
      </c>
    </row>
    <row r="49242" spans="1:1" x14ac:dyDescent="0.3">
      <c r="A49242" t="s">
        <v>0</v>
      </c>
    </row>
    <row r="49243" spans="1:1" x14ac:dyDescent="0.3">
      <c r="A49243" t="s">
        <v>0</v>
      </c>
    </row>
    <row r="49244" spans="1:1" x14ac:dyDescent="0.3">
      <c r="A49244" t="s">
        <v>0</v>
      </c>
    </row>
    <row r="49245" spans="1:1" x14ac:dyDescent="0.3">
      <c r="A49245" t="s">
        <v>0</v>
      </c>
    </row>
    <row r="49246" spans="1:1" x14ac:dyDescent="0.3">
      <c r="A49246" t="s">
        <v>0</v>
      </c>
    </row>
    <row r="49247" spans="1:1" x14ac:dyDescent="0.3">
      <c r="A49247" t="s">
        <v>0</v>
      </c>
    </row>
    <row r="49248" spans="1:1" x14ac:dyDescent="0.3">
      <c r="A49248" t="s">
        <v>0</v>
      </c>
    </row>
    <row r="49249" spans="1:1" x14ac:dyDescent="0.3">
      <c r="A49249" t="s">
        <v>0</v>
      </c>
    </row>
    <row r="49250" spans="1:1" x14ac:dyDescent="0.3">
      <c r="A49250" t="s">
        <v>0</v>
      </c>
    </row>
    <row r="49251" spans="1:1" x14ac:dyDescent="0.3">
      <c r="A49251" t="s">
        <v>0</v>
      </c>
    </row>
    <row r="49252" spans="1:1" x14ac:dyDescent="0.3">
      <c r="A49252" t="s">
        <v>0</v>
      </c>
    </row>
    <row r="49253" spans="1:1" x14ac:dyDescent="0.3">
      <c r="A49253" t="s">
        <v>0</v>
      </c>
    </row>
    <row r="49254" spans="1:1" x14ac:dyDescent="0.3">
      <c r="A49254" t="s">
        <v>0</v>
      </c>
    </row>
    <row r="49255" spans="1:1" x14ac:dyDescent="0.3">
      <c r="A49255" t="s">
        <v>0</v>
      </c>
    </row>
    <row r="49256" spans="1:1" x14ac:dyDescent="0.3">
      <c r="A49256" t="s">
        <v>0</v>
      </c>
    </row>
    <row r="49257" spans="1:1" x14ac:dyDescent="0.3">
      <c r="A49257" t="s">
        <v>0</v>
      </c>
    </row>
    <row r="49258" spans="1:1" x14ac:dyDescent="0.3">
      <c r="A49258" t="s">
        <v>0</v>
      </c>
    </row>
    <row r="49259" spans="1:1" x14ac:dyDescent="0.3">
      <c r="A49259" t="s">
        <v>0</v>
      </c>
    </row>
    <row r="49260" spans="1:1" x14ac:dyDescent="0.3">
      <c r="A49260" t="s">
        <v>0</v>
      </c>
    </row>
    <row r="49261" spans="1:1" x14ac:dyDescent="0.3">
      <c r="A49261" t="s">
        <v>0</v>
      </c>
    </row>
    <row r="49262" spans="1:1" x14ac:dyDescent="0.3">
      <c r="A49262" t="s">
        <v>0</v>
      </c>
    </row>
    <row r="49263" spans="1:1" x14ac:dyDescent="0.3">
      <c r="A49263" t="s">
        <v>0</v>
      </c>
    </row>
    <row r="49264" spans="1:1" x14ac:dyDescent="0.3">
      <c r="A49264" t="s">
        <v>0</v>
      </c>
    </row>
    <row r="49265" spans="1:1" x14ac:dyDescent="0.3">
      <c r="A49265" t="s">
        <v>0</v>
      </c>
    </row>
    <row r="49266" spans="1:1" x14ac:dyDescent="0.3">
      <c r="A49266" t="s">
        <v>0</v>
      </c>
    </row>
    <row r="49267" spans="1:1" x14ac:dyDescent="0.3">
      <c r="A49267" t="s">
        <v>0</v>
      </c>
    </row>
    <row r="49268" spans="1:1" x14ac:dyDescent="0.3">
      <c r="A49268" t="s">
        <v>0</v>
      </c>
    </row>
    <row r="49269" spans="1:1" x14ac:dyDescent="0.3">
      <c r="A49269" t="s">
        <v>0</v>
      </c>
    </row>
    <row r="49270" spans="1:1" x14ac:dyDescent="0.3">
      <c r="A49270" t="s">
        <v>0</v>
      </c>
    </row>
    <row r="49271" spans="1:1" x14ac:dyDescent="0.3">
      <c r="A49271" t="s">
        <v>0</v>
      </c>
    </row>
    <row r="49272" spans="1:1" x14ac:dyDescent="0.3">
      <c r="A49272" t="s">
        <v>0</v>
      </c>
    </row>
    <row r="49273" spans="1:1" x14ac:dyDescent="0.3">
      <c r="A49273" t="s">
        <v>0</v>
      </c>
    </row>
    <row r="49274" spans="1:1" x14ac:dyDescent="0.3">
      <c r="A49274" t="s">
        <v>0</v>
      </c>
    </row>
    <row r="49275" spans="1:1" x14ac:dyDescent="0.3">
      <c r="A49275" t="s">
        <v>0</v>
      </c>
    </row>
    <row r="49276" spans="1:1" x14ac:dyDescent="0.3">
      <c r="A49276" t="s">
        <v>0</v>
      </c>
    </row>
    <row r="49277" spans="1:1" x14ac:dyDescent="0.3">
      <c r="A49277" t="s">
        <v>0</v>
      </c>
    </row>
    <row r="49278" spans="1:1" x14ac:dyDescent="0.3">
      <c r="A49278" t="s">
        <v>0</v>
      </c>
    </row>
    <row r="49279" spans="1:1" x14ac:dyDescent="0.3">
      <c r="A49279" t="s">
        <v>0</v>
      </c>
    </row>
    <row r="49280" spans="1:1" x14ac:dyDescent="0.3">
      <c r="A49280" t="s">
        <v>0</v>
      </c>
    </row>
    <row r="49281" spans="1:1" x14ac:dyDescent="0.3">
      <c r="A49281" t="s">
        <v>0</v>
      </c>
    </row>
    <row r="49282" spans="1:1" x14ac:dyDescent="0.3">
      <c r="A49282" t="s">
        <v>0</v>
      </c>
    </row>
    <row r="49283" spans="1:1" x14ac:dyDescent="0.3">
      <c r="A49283" t="s">
        <v>0</v>
      </c>
    </row>
    <row r="49284" spans="1:1" x14ac:dyDescent="0.3">
      <c r="A49284" t="s">
        <v>0</v>
      </c>
    </row>
    <row r="49285" spans="1:1" x14ac:dyDescent="0.3">
      <c r="A49285" t="s">
        <v>0</v>
      </c>
    </row>
    <row r="49286" spans="1:1" x14ac:dyDescent="0.3">
      <c r="A49286" t="s">
        <v>0</v>
      </c>
    </row>
    <row r="49287" spans="1:1" x14ac:dyDescent="0.3">
      <c r="A49287" t="s">
        <v>0</v>
      </c>
    </row>
    <row r="49288" spans="1:1" x14ac:dyDescent="0.3">
      <c r="A49288" t="s">
        <v>0</v>
      </c>
    </row>
    <row r="49289" spans="1:1" x14ac:dyDescent="0.3">
      <c r="A49289" t="s">
        <v>0</v>
      </c>
    </row>
    <row r="49290" spans="1:1" x14ac:dyDescent="0.3">
      <c r="A49290" t="s">
        <v>0</v>
      </c>
    </row>
    <row r="49291" spans="1:1" x14ac:dyDescent="0.3">
      <c r="A49291" t="s">
        <v>0</v>
      </c>
    </row>
    <row r="49292" spans="1:1" x14ac:dyDescent="0.3">
      <c r="A49292" t="s">
        <v>0</v>
      </c>
    </row>
    <row r="49293" spans="1:1" x14ac:dyDescent="0.3">
      <c r="A49293" t="s">
        <v>0</v>
      </c>
    </row>
    <row r="49294" spans="1:1" x14ac:dyDescent="0.3">
      <c r="A49294" t="s">
        <v>0</v>
      </c>
    </row>
    <row r="49295" spans="1:1" x14ac:dyDescent="0.3">
      <c r="A49295" t="s">
        <v>0</v>
      </c>
    </row>
    <row r="49296" spans="1:1" x14ac:dyDescent="0.3">
      <c r="A49296" t="s">
        <v>0</v>
      </c>
    </row>
    <row r="49297" spans="1:1" x14ac:dyDescent="0.3">
      <c r="A49297" t="s">
        <v>0</v>
      </c>
    </row>
    <row r="49298" spans="1:1" x14ac:dyDescent="0.3">
      <c r="A49298" t="s">
        <v>0</v>
      </c>
    </row>
    <row r="49299" spans="1:1" x14ac:dyDescent="0.3">
      <c r="A49299" t="s">
        <v>0</v>
      </c>
    </row>
    <row r="49300" spans="1:1" x14ac:dyDescent="0.3">
      <c r="A49300" t="s">
        <v>0</v>
      </c>
    </row>
    <row r="49301" spans="1:1" x14ac:dyDescent="0.3">
      <c r="A49301" t="s">
        <v>0</v>
      </c>
    </row>
    <row r="49302" spans="1:1" x14ac:dyDescent="0.3">
      <c r="A49302" t="s">
        <v>0</v>
      </c>
    </row>
    <row r="49303" spans="1:1" x14ac:dyDescent="0.3">
      <c r="A49303" t="s">
        <v>0</v>
      </c>
    </row>
    <row r="49304" spans="1:1" x14ac:dyDescent="0.3">
      <c r="A49304" t="s">
        <v>0</v>
      </c>
    </row>
    <row r="49305" spans="1:1" x14ac:dyDescent="0.3">
      <c r="A49305" t="s">
        <v>0</v>
      </c>
    </row>
    <row r="49306" spans="1:1" x14ac:dyDescent="0.3">
      <c r="A49306" t="s">
        <v>0</v>
      </c>
    </row>
    <row r="49307" spans="1:1" x14ac:dyDescent="0.3">
      <c r="A49307" t="s">
        <v>0</v>
      </c>
    </row>
    <row r="49308" spans="1:1" x14ac:dyDescent="0.3">
      <c r="A49308" t="s">
        <v>0</v>
      </c>
    </row>
    <row r="49309" spans="1:1" x14ac:dyDescent="0.3">
      <c r="A49309" t="s">
        <v>0</v>
      </c>
    </row>
    <row r="49310" spans="1:1" x14ac:dyDescent="0.3">
      <c r="A49310" t="s">
        <v>0</v>
      </c>
    </row>
    <row r="49311" spans="1:1" x14ac:dyDescent="0.3">
      <c r="A49311" t="s">
        <v>0</v>
      </c>
    </row>
    <row r="49312" spans="1:1" x14ac:dyDescent="0.3">
      <c r="A49312" t="s">
        <v>0</v>
      </c>
    </row>
    <row r="49313" spans="1:1" x14ac:dyDescent="0.3">
      <c r="A49313" t="s">
        <v>0</v>
      </c>
    </row>
    <row r="49314" spans="1:1" x14ac:dyDescent="0.3">
      <c r="A49314" t="s">
        <v>0</v>
      </c>
    </row>
    <row r="49315" spans="1:1" x14ac:dyDescent="0.3">
      <c r="A49315" t="s">
        <v>0</v>
      </c>
    </row>
    <row r="49316" spans="1:1" x14ac:dyDescent="0.3">
      <c r="A49316" t="s">
        <v>0</v>
      </c>
    </row>
    <row r="49317" spans="1:1" x14ac:dyDescent="0.3">
      <c r="A49317" t="s">
        <v>0</v>
      </c>
    </row>
    <row r="49318" spans="1:1" x14ac:dyDescent="0.3">
      <c r="A49318" t="s">
        <v>0</v>
      </c>
    </row>
    <row r="49319" spans="1:1" x14ac:dyDescent="0.3">
      <c r="A49319" t="s">
        <v>0</v>
      </c>
    </row>
    <row r="49320" spans="1:1" x14ac:dyDescent="0.3">
      <c r="A49320" t="s">
        <v>0</v>
      </c>
    </row>
    <row r="49321" spans="1:1" x14ac:dyDescent="0.3">
      <c r="A49321" t="s">
        <v>0</v>
      </c>
    </row>
    <row r="49322" spans="1:1" x14ac:dyDescent="0.3">
      <c r="A49322" t="s">
        <v>0</v>
      </c>
    </row>
    <row r="49323" spans="1:1" x14ac:dyDescent="0.3">
      <c r="A49323" t="s">
        <v>0</v>
      </c>
    </row>
    <row r="49324" spans="1:1" x14ac:dyDescent="0.3">
      <c r="A49324" t="s">
        <v>0</v>
      </c>
    </row>
    <row r="49325" spans="1:1" x14ac:dyDescent="0.3">
      <c r="A49325" t="s">
        <v>0</v>
      </c>
    </row>
    <row r="49326" spans="1:1" x14ac:dyDescent="0.3">
      <c r="A49326" t="s">
        <v>0</v>
      </c>
    </row>
    <row r="49327" spans="1:1" x14ac:dyDescent="0.3">
      <c r="A49327" t="s">
        <v>0</v>
      </c>
    </row>
    <row r="49328" spans="1:1" x14ac:dyDescent="0.3">
      <c r="A49328" t="s">
        <v>0</v>
      </c>
    </row>
    <row r="49329" spans="1:1" x14ac:dyDescent="0.3">
      <c r="A49329" t="s">
        <v>0</v>
      </c>
    </row>
    <row r="49330" spans="1:1" x14ac:dyDescent="0.3">
      <c r="A49330" t="s">
        <v>0</v>
      </c>
    </row>
    <row r="49331" spans="1:1" x14ac:dyDescent="0.3">
      <c r="A49331" t="s">
        <v>0</v>
      </c>
    </row>
    <row r="49332" spans="1:1" x14ac:dyDescent="0.3">
      <c r="A49332" t="s">
        <v>0</v>
      </c>
    </row>
    <row r="49333" spans="1:1" x14ac:dyDescent="0.3">
      <c r="A49333" t="s">
        <v>0</v>
      </c>
    </row>
    <row r="49334" spans="1:1" x14ac:dyDescent="0.3">
      <c r="A49334" t="s">
        <v>0</v>
      </c>
    </row>
    <row r="49335" spans="1:1" x14ac:dyDescent="0.3">
      <c r="A49335" t="s">
        <v>0</v>
      </c>
    </row>
    <row r="49336" spans="1:1" x14ac:dyDescent="0.3">
      <c r="A49336" t="s">
        <v>0</v>
      </c>
    </row>
    <row r="49337" spans="1:1" x14ac:dyDescent="0.3">
      <c r="A49337" t="s">
        <v>0</v>
      </c>
    </row>
    <row r="49338" spans="1:1" x14ac:dyDescent="0.3">
      <c r="A49338" t="s">
        <v>0</v>
      </c>
    </row>
    <row r="49339" spans="1:1" x14ac:dyDescent="0.3">
      <c r="A49339" t="s">
        <v>0</v>
      </c>
    </row>
    <row r="49340" spans="1:1" x14ac:dyDescent="0.3">
      <c r="A49340" t="s">
        <v>0</v>
      </c>
    </row>
    <row r="49341" spans="1:1" x14ac:dyDescent="0.3">
      <c r="A49341" t="s">
        <v>0</v>
      </c>
    </row>
    <row r="49342" spans="1:1" x14ac:dyDescent="0.3">
      <c r="A49342" t="s">
        <v>0</v>
      </c>
    </row>
    <row r="49343" spans="1:1" x14ac:dyDescent="0.3">
      <c r="A49343" t="s">
        <v>0</v>
      </c>
    </row>
    <row r="49344" spans="1:1" x14ac:dyDescent="0.3">
      <c r="A49344" t="s">
        <v>0</v>
      </c>
    </row>
    <row r="49345" spans="1:1" x14ac:dyDescent="0.3">
      <c r="A49345" t="s">
        <v>0</v>
      </c>
    </row>
    <row r="49346" spans="1:1" x14ac:dyDescent="0.3">
      <c r="A49346" t="s">
        <v>0</v>
      </c>
    </row>
    <row r="49347" spans="1:1" x14ac:dyDescent="0.3">
      <c r="A49347" t="s">
        <v>0</v>
      </c>
    </row>
    <row r="49348" spans="1:1" x14ac:dyDescent="0.3">
      <c r="A49348" t="s">
        <v>0</v>
      </c>
    </row>
    <row r="49349" spans="1:1" x14ac:dyDescent="0.3">
      <c r="A49349" t="s">
        <v>0</v>
      </c>
    </row>
    <row r="49350" spans="1:1" x14ac:dyDescent="0.3">
      <c r="A49350" t="s">
        <v>0</v>
      </c>
    </row>
    <row r="49351" spans="1:1" x14ac:dyDescent="0.3">
      <c r="A49351" t="s">
        <v>0</v>
      </c>
    </row>
    <row r="49352" spans="1:1" x14ac:dyDescent="0.3">
      <c r="A49352" t="s">
        <v>0</v>
      </c>
    </row>
    <row r="49353" spans="1:1" x14ac:dyDescent="0.3">
      <c r="A49353" t="s">
        <v>0</v>
      </c>
    </row>
    <row r="49354" spans="1:1" x14ac:dyDescent="0.3">
      <c r="A49354" t="s">
        <v>0</v>
      </c>
    </row>
    <row r="49355" spans="1:1" x14ac:dyDescent="0.3">
      <c r="A49355" t="s">
        <v>0</v>
      </c>
    </row>
    <row r="49356" spans="1:1" x14ac:dyDescent="0.3">
      <c r="A49356" t="s">
        <v>0</v>
      </c>
    </row>
    <row r="49357" spans="1:1" x14ac:dyDescent="0.3">
      <c r="A49357" t="s">
        <v>0</v>
      </c>
    </row>
    <row r="49358" spans="1:1" x14ac:dyDescent="0.3">
      <c r="A49358" t="s">
        <v>0</v>
      </c>
    </row>
    <row r="49359" spans="1:1" x14ac:dyDescent="0.3">
      <c r="A49359" t="s">
        <v>0</v>
      </c>
    </row>
    <row r="49360" spans="1:1" x14ac:dyDescent="0.3">
      <c r="A49360" t="s">
        <v>0</v>
      </c>
    </row>
    <row r="49361" spans="1:1" x14ac:dyDescent="0.3">
      <c r="A49361" t="s">
        <v>0</v>
      </c>
    </row>
    <row r="49362" spans="1:1" x14ac:dyDescent="0.3">
      <c r="A49362" t="s">
        <v>0</v>
      </c>
    </row>
    <row r="49363" spans="1:1" x14ac:dyDescent="0.3">
      <c r="A49363" t="s">
        <v>0</v>
      </c>
    </row>
    <row r="49364" spans="1:1" x14ac:dyDescent="0.3">
      <c r="A49364" t="s">
        <v>0</v>
      </c>
    </row>
    <row r="49365" spans="1:1" x14ac:dyDescent="0.3">
      <c r="A49365" t="s">
        <v>0</v>
      </c>
    </row>
    <row r="49366" spans="1:1" x14ac:dyDescent="0.3">
      <c r="A49366" t="s">
        <v>0</v>
      </c>
    </row>
    <row r="49367" spans="1:1" x14ac:dyDescent="0.3">
      <c r="A49367" t="s">
        <v>0</v>
      </c>
    </row>
    <row r="49368" spans="1:1" x14ac:dyDescent="0.3">
      <c r="A49368" t="s">
        <v>0</v>
      </c>
    </row>
    <row r="49369" spans="1:1" x14ac:dyDescent="0.3">
      <c r="A49369" t="s">
        <v>0</v>
      </c>
    </row>
    <row r="49370" spans="1:1" x14ac:dyDescent="0.3">
      <c r="A49370" t="s">
        <v>0</v>
      </c>
    </row>
    <row r="49371" spans="1:1" x14ac:dyDescent="0.3">
      <c r="A49371" t="s">
        <v>0</v>
      </c>
    </row>
    <row r="49372" spans="1:1" x14ac:dyDescent="0.3">
      <c r="A49372" t="s">
        <v>0</v>
      </c>
    </row>
    <row r="49373" spans="1:1" x14ac:dyDescent="0.3">
      <c r="A49373" t="s">
        <v>0</v>
      </c>
    </row>
    <row r="49374" spans="1:1" x14ac:dyDescent="0.3">
      <c r="A49374" t="s">
        <v>0</v>
      </c>
    </row>
    <row r="49375" spans="1:1" x14ac:dyDescent="0.3">
      <c r="A49375" t="s">
        <v>0</v>
      </c>
    </row>
    <row r="49376" spans="1:1" x14ac:dyDescent="0.3">
      <c r="A49376" t="s">
        <v>0</v>
      </c>
    </row>
    <row r="49377" spans="1:1" x14ac:dyDescent="0.3">
      <c r="A49377" t="s">
        <v>0</v>
      </c>
    </row>
    <row r="49378" spans="1:1" x14ac:dyDescent="0.3">
      <c r="A49378" t="s">
        <v>0</v>
      </c>
    </row>
    <row r="49379" spans="1:1" x14ac:dyDescent="0.3">
      <c r="A49379" t="s">
        <v>0</v>
      </c>
    </row>
    <row r="49380" spans="1:1" x14ac:dyDescent="0.3">
      <c r="A49380" t="s">
        <v>0</v>
      </c>
    </row>
    <row r="49381" spans="1:1" x14ac:dyDescent="0.3">
      <c r="A49381" t="s">
        <v>0</v>
      </c>
    </row>
    <row r="49382" spans="1:1" x14ac:dyDescent="0.3">
      <c r="A49382" t="s">
        <v>0</v>
      </c>
    </row>
    <row r="49383" spans="1:1" x14ac:dyDescent="0.3">
      <c r="A49383" t="s">
        <v>0</v>
      </c>
    </row>
    <row r="49384" spans="1:1" x14ac:dyDescent="0.3">
      <c r="A49384" t="s">
        <v>0</v>
      </c>
    </row>
    <row r="49385" spans="1:1" x14ac:dyDescent="0.3">
      <c r="A49385" t="s">
        <v>0</v>
      </c>
    </row>
    <row r="49386" spans="1:1" x14ac:dyDescent="0.3">
      <c r="A49386" t="s">
        <v>0</v>
      </c>
    </row>
    <row r="49387" spans="1:1" x14ac:dyDescent="0.3">
      <c r="A49387" t="s">
        <v>0</v>
      </c>
    </row>
    <row r="49388" spans="1:1" x14ac:dyDescent="0.3">
      <c r="A49388" t="s">
        <v>0</v>
      </c>
    </row>
    <row r="49389" spans="1:1" x14ac:dyDescent="0.3">
      <c r="A49389" t="s">
        <v>0</v>
      </c>
    </row>
    <row r="49390" spans="1:1" x14ac:dyDescent="0.3">
      <c r="A49390" t="s">
        <v>0</v>
      </c>
    </row>
    <row r="49391" spans="1:1" x14ac:dyDescent="0.3">
      <c r="A49391" t="s">
        <v>0</v>
      </c>
    </row>
    <row r="49392" spans="1:1" x14ac:dyDescent="0.3">
      <c r="A49392" t="s">
        <v>0</v>
      </c>
    </row>
    <row r="49393" spans="1:1" x14ac:dyDescent="0.3">
      <c r="A49393" t="s">
        <v>0</v>
      </c>
    </row>
    <row r="49394" spans="1:1" x14ac:dyDescent="0.3">
      <c r="A49394" t="s">
        <v>0</v>
      </c>
    </row>
    <row r="49395" spans="1:1" x14ac:dyDescent="0.3">
      <c r="A49395" t="s">
        <v>0</v>
      </c>
    </row>
    <row r="49396" spans="1:1" x14ac:dyDescent="0.3">
      <c r="A49396" t="s">
        <v>0</v>
      </c>
    </row>
    <row r="49397" spans="1:1" x14ac:dyDescent="0.3">
      <c r="A49397" t="s">
        <v>0</v>
      </c>
    </row>
    <row r="49398" spans="1:1" x14ac:dyDescent="0.3">
      <c r="A49398" t="s">
        <v>0</v>
      </c>
    </row>
    <row r="49399" spans="1:1" x14ac:dyDescent="0.3">
      <c r="A49399" t="s">
        <v>0</v>
      </c>
    </row>
    <row r="49400" spans="1:1" x14ac:dyDescent="0.3">
      <c r="A49400" t="s">
        <v>0</v>
      </c>
    </row>
    <row r="49401" spans="1:1" x14ac:dyDescent="0.3">
      <c r="A49401" t="s">
        <v>0</v>
      </c>
    </row>
    <row r="49402" spans="1:1" x14ac:dyDescent="0.3">
      <c r="A49402" t="s">
        <v>0</v>
      </c>
    </row>
    <row r="49403" spans="1:1" x14ac:dyDescent="0.3">
      <c r="A49403" t="s">
        <v>0</v>
      </c>
    </row>
    <row r="49404" spans="1:1" x14ac:dyDescent="0.3">
      <c r="A49404" t="s">
        <v>0</v>
      </c>
    </row>
    <row r="49405" spans="1:1" x14ac:dyDescent="0.3">
      <c r="A49405" t="s">
        <v>0</v>
      </c>
    </row>
    <row r="49406" spans="1:1" x14ac:dyDescent="0.3">
      <c r="A49406" t="s">
        <v>0</v>
      </c>
    </row>
    <row r="49407" spans="1:1" x14ac:dyDescent="0.3">
      <c r="A49407" t="s">
        <v>0</v>
      </c>
    </row>
    <row r="49408" spans="1:1" x14ac:dyDescent="0.3">
      <c r="A49408" t="s">
        <v>0</v>
      </c>
    </row>
    <row r="49409" spans="1:1" x14ac:dyDescent="0.3">
      <c r="A49409" t="s">
        <v>0</v>
      </c>
    </row>
    <row r="49410" spans="1:1" x14ac:dyDescent="0.3">
      <c r="A49410" t="s">
        <v>0</v>
      </c>
    </row>
    <row r="49411" spans="1:1" x14ac:dyDescent="0.3">
      <c r="A49411" t="s">
        <v>0</v>
      </c>
    </row>
    <row r="49412" spans="1:1" x14ac:dyDescent="0.3">
      <c r="A49412" t="s">
        <v>0</v>
      </c>
    </row>
    <row r="49413" spans="1:1" x14ac:dyDescent="0.3">
      <c r="A49413" t="s">
        <v>0</v>
      </c>
    </row>
    <row r="49414" spans="1:1" x14ac:dyDescent="0.3">
      <c r="A49414" t="s">
        <v>0</v>
      </c>
    </row>
    <row r="49415" spans="1:1" x14ac:dyDescent="0.3">
      <c r="A49415" t="s">
        <v>0</v>
      </c>
    </row>
    <row r="49416" spans="1:1" x14ac:dyDescent="0.3">
      <c r="A49416" t="s">
        <v>0</v>
      </c>
    </row>
    <row r="49417" spans="1:1" x14ac:dyDescent="0.3">
      <c r="A49417" t="s">
        <v>0</v>
      </c>
    </row>
    <row r="49418" spans="1:1" x14ac:dyDescent="0.3">
      <c r="A49418" t="s">
        <v>0</v>
      </c>
    </row>
    <row r="49419" spans="1:1" x14ac:dyDescent="0.3">
      <c r="A49419" t="s">
        <v>0</v>
      </c>
    </row>
    <row r="49420" spans="1:1" x14ac:dyDescent="0.3">
      <c r="A49420" t="s">
        <v>0</v>
      </c>
    </row>
    <row r="49421" spans="1:1" x14ac:dyDescent="0.3">
      <c r="A49421" t="s">
        <v>0</v>
      </c>
    </row>
    <row r="49422" spans="1:1" x14ac:dyDescent="0.3">
      <c r="A49422" t="s">
        <v>0</v>
      </c>
    </row>
    <row r="49423" spans="1:1" x14ac:dyDescent="0.3">
      <c r="A49423" t="s">
        <v>0</v>
      </c>
    </row>
    <row r="49424" spans="1:1" x14ac:dyDescent="0.3">
      <c r="A49424" t="s">
        <v>0</v>
      </c>
    </row>
    <row r="49425" spans="1:1" x14ac:dyDescent="0.3">
      <c r="A49425" t="s">
        <v>0</v>
      </c>
    </row>
    <row r="49426" spans="1:1" x14ac:dyDescent="0.3">
      <c r="A49426" t="s">
        <v>0</v>
      </c>
    </row>
    <row r="49427" spans="1:1" x14ac:dyDescent="0.3">
      <c r="A49427" t="s">
        <v>0</v>
      </c>
    </row>
    <row r="49428" spans="1:1" x14ac:dyDescent="0.3">
      <c r="A49428" t="s">
        <v>0</v>
      </c>
    </row>
    <row r="49429" spans="1:1" x14ac:dyDescent="0.3">
      <c r="A49429" t="s">
        <v>0</v>
      </c>
    </row>
    <row r="49430" spans="1:1" x14ac:dyDescent="0.3">
      <c r="A49430" t="s">
        <v>0</v>
      </c>
    </row>
    <row r="49431" spans="1:1" x14ac:dyDescent="0.3">
      <c r="A49431" t="s">
        <v>0</v>
      </c>
    </row>
    <row r="49432" spans="1:1" x14ac:dyDescent="0.3">
      <c r="A49432" t="s">
        <v>0</v>
      </c>
    </row>
    <row r="49433" spans="1:1" x14ac:dyDescent="0.3">
      <c r="A49433" t="s">
        <v>0</v>
      </c>
    </row>
    <row r="49434" spans="1:1" x14ac:dyDescent="0.3">
      <c r="A49434" t="s">
        <v>0</v>
      </c>
    </row>
    <row r="49435" spans="1:1" x14ac:dyDescent="0.3">
      <c r="A49435" t="s">
        <v>0</v>
      </c>
    </row>
    <row r="49436" spans="1:1" x14ac:dyDescent="0.3">
      <c r="A49436" t="s">
        <v>0</v>
      </c>
    </row>
    <row r="49437" spans="1:1" x14ac:dyDescent="0.3">
      <c r="A49437" t="s">
        <v>0</v>
      </c>
    </row>
    <row r="49438" spans="1:1" x14ac:dyDescent="0.3">
      <c r="A49438" t="s">
        <v>0</v>
      </c>
    </row>
    <row r="49439" spans="1:1" x14ac:dyDescent="0.3">
      <c r="A49439" t="s">
        <v>0</v>
      </c>
    </row>
    <row r="49440" spans="1:1" x14ac:dyDescent="0.3">
      <c r="A49440" t="s">
        <v>0</v>
      </c>
    </row>
    <row r="49441" spans="1:1" x14ac:dyDescent="0.3">
      <c r="A49441" t="s">
        <v>0</v>
      </c>
    </row>
    <row r="49442" spans="1:1" x14ac:dyDescent="0.3">
      <c r="A49442" t="s">
        <v>0</v>
      </c>
    </row>
    <row r="49443" spans="1:1" x14ac:dyDescent="0.3">
      <c r="A49443" t="s">
        <v>0</v>
      </c>
    </row>
    <row r="49444" spans="1:1" x14ac:dyDescent="0.3">
      <c r="A49444" t="s">
        <v>0</v>
      </c>
    </row>
    <row r="49445" spans="1:1" x14ac:dyDescent="0.3">
      <c r="A49445" t="s">
        <v>0</v>
      </c>
    </row>
    <row r="49446" spans="1:1" x14ac:dyDescent="0.3">
      <c r="A49446" t="s">
        <v>0</v>
      </c>
    </row>
    <row r="49447" spans="1:1" x14ac:dyDescent="0.3">
      <c r="A49447" t="s">
        <v>0</v>
      </c>
    </row>
    <row r="49448" spans="1:1" x14ac:dyDescent="0.3">
      <c r="A49448" t="s">
        <v>0</v>
      </c>
    </row>
    <row r="49449" spans="1:1" x14ac:dyDescent="0.3">
      <c r="A49449" t="s">
        <v>0</v>
      </c>
    </row>
    <row r="49450" spans="1:1" x14ac:dyDescent="0.3">
      <c r="A49450" t="s">
        <v>0</v>
      </c>
    </row>
    <row r="49451" spans="1:1" x14ac:dyDescent="0.3">
      <c r="A49451" t="s">
        <v>0</v>
      </c>
    </row>
    <row r="49452" spans="1:1" x14ac:dyDescent="0.3">
      <c r="A49452" t="s">
        <v>0</v>
      </c>
    </row>
    <row r="49453" spans="1:1" x14ac:dyDescent="0.3">
      <c r="A49453" t="s">
        <v>0</v>
      </c>
    </row>
    <row r="49454" spans="1:1" x14ac:dyDescent="0.3">
      <c r="A49454" t="s">
        <v>0</v>
      </c>
    </row>
    <row r="49455" spans="1:1" x14ac:dyDescent="0.3">
      <c r="A49455" t="s">
        <v>0</v>
      </c>
    </row>
    <row r="49456" spans="1:1" x14ac:dyDescent="0.3">
      <c r="A49456" t="s">
        <v>0</v>
      </c>
    </row>
    <row r="49457" spans="1:1" x14ac:dyDescent="0.3">
      <c r="A49457" t="s">
        <v>0</v>
      </c>
    </row>
    <row r="49458" spans="1:1" x14ac:dyDescent="0.3">
      <c r="A49458" t="s">
        <v>0</v>
      </c>
    </row>
    <row r="49459" spans="1:1" x14ac:dyDescent="0.3">
      <c r="A49459" t="s">
        <v>0</v>
      </c>
    </row>
    <row r="49460" spans="1:1" x14ac:dyDescent="0.3">
      <c r="A49460" t="s">
        <v>0</v>
      </c>
    </row>
    <row r="49461" spans="1:1" x14ac:dyDescent="0.3">
      <c r="A49461" t="s">
        <v>0</v>
      </c>
    </row>
    <row r="49462" spans="1:1" x14ac:dyDescent="0.3">
      <c r="A49462" t="s">
        <v>0</v>
      </c>
    </row>
    <row r="49463" spans="1:1" x14ac:dyDescent="0.3">
      <c r="A49463" t="s">
        <v>0</v>
      </c>
    </row>
    <row r="49464" spans="1:1" x14ac:dyDescent="0.3">
      <c r="A49464" t="s">
        <v>0</v>
      </c>
    </row>
    <row r="49465" spans="1:1" x14ac:dyDescent="0.3">
      <c r="A49465" t="s">
        <v>0</v>
      </c>
    </row>
    <row r="49466" spans="1:1" x14ac:dyDescent="0.3">
      <c r="A49466" t="s">
        <v>0</v>
      </c>
    </row>
    <row r="49467" spans="1:1" x14ac:dyDescent="0.3">
      <c r="A49467" t="s">
        <v>0</v>
      </c>
    </row>
    <row r="49468" spans="1:1" x14ac:dyDescent="0.3">
      <c r="A49468" t="s">
        <v>0</v>
      </c>
    </row>
    <row r="49469" spans="1:1" x14ac:dyDescent="0.3">
      <c r="A49469" t="s">
        <v>0</v>
      </c>
    </row>
    <row r="49470" spans="1:1" x14ac:dyDescent="0.3">
      <c r="A49470" t="s">
        <v>0</v>
      </c>
    </row>
    <row r="49471" spans="1:1" x14ac:dyDescent="0.3">
      <c r="A49471" t="s">
        <v>0</v>
      </c>
    </row>
    <row r="49472" spans="1:1" x14ac:dyDescent="0.3">
      <c r="A49472" t="s">
        <v>0</v>
      </c>
    </row>
    <row r="49473" spans="1:1" x14ac:dyDescent="0.3">
      <c r="A49473" t="s">
        <v>0</v>
      </c>
    </row>
    <row r="49474" spans="1:1" x14ac:dyDescent="0.3">
      <c r="A49474" t="s">
        <v>0</v>
      </c>
    </row>
    <row r="49475" spans="1:1" x14ac:dyDescent="0.3">
      <c r="A49475" t="s">
        <v>0</v>
      </c>
    </row>
    <row r="49476" spans="1:1" x14ac:dyDescent="0.3">
      <c r="A49476" t="s">
        <v>0</v>
      </c>
    </row>
    <row r="49477" spans="1:1" x14ac:dyDescent="0.3">
      <c r="A49477" t="s">
        <v>0</v>
      </c>
    </row>
    <row r="49478" spans="1:1" x14ac:dyDescent="0.3">
      <c r="A49478" t="s">
        <v>0</v>
      </c>
    </row>
    <row r="49479" spans="1:1" x14ac:dyDescent="0.3">
      <c r="A49479" t="s">
        <v>0</v>
      </c>
    </row>
    <row r="49480" spans="1:1" x14ac:dyDescent="0.3">
      <c r="A49480" t="s">
        <v>0</v>
      </c>
    </row>
    <row r="49481" spans="1:1" x14ac:dyDescent="0.3">
      <c r="A49481" t="s">
        <v>0</v>
      </c>
    </row>
    <row r="49482" spans="1:1" x14ac:dyDescent="0.3">
      <c r="A49482" t="s">
        <v>0</v>
      </c>
    </row>
    <row r="49483" spans="1:1" x14ac:dyDescent="0.3">
      <c r="A49483" t="s">
        <v>0</v>
      </c>
    </row>
    <row r="49484" spans="1:1" x14ac:dyDescent="0.3">
      <c r="A49484" t="s">
        <v>0</v>
      </c>
    </row>
    <row r="49485" spans="1:1" x14ac:dyDescent="0.3">
      <c r="A49485" t="s">
        <v>0</v>
      </c>
    </row>
    <row r="49486" spans="1:1" x14ac:dyDescent="0.3">
      <c r="A49486" t="s">
        <v>0</v>
      </c>
    </row>
    <row r="49487" spans="1:1" x14ac:dyDescent="0.3">
      <c r="A49487" t="s">
        <v>0</v>
      </c>
    </row>
    <row r="49488" spans="1:1" x14ac:dyDescent="0.3">
      <c r="A49488" t="s">
        <v>0</v>
      </c>
    </row>
    <row r="49489" spans="1:1" x14ac:dyDescent="0.3">
      <c r="A49489" t="s">
        <v>0</v>
      </c>
    </row>
    <row r="49490" spans="1:1" x14ac:dyDescent="0.3">
      <c r="A49490" t="s">
        <v>0</v>
      </c>
    </row>
    <row r="49491" spans="1:1" x14ac:dyDescent="0.3">
      <c r="A49491" t="s">
        <v>0</v>
      </c>
    </row>
    <row r="49492" spans="1:1" x14ac:dyDescent="0.3">
      <c r="A49492" t="s">
        <v>0</v>
      </c>
    </row>
    <row r="49493" spans="1:1" x14ac:dyDescent="0.3">
      <c r="A49493" t="s">
        <v>0</v>
      </c>
    </row>
    <row r="49494" spans="1:1" x14ac:dyDescent="0.3">
      <c r="A49494" t="s">
        <v>0</v>
      </c>
    </row>
    <row r="49495" spans="1:1" x14ac:dyDescent="0.3">
      <c r="A49495" t="s">
        <v>0</v>
      </c>
    </row>
    <row r="49496" spans="1:1" x14ac:dyDescent="0.3">
      <c r="A49496" t="s">
        <v>0</v>
      </c>
    </row>
    <row r="49497" spans="1:1" x14ac:dyDescent="0.3">
      <c r="A49497" t="s">
        <v>0</v>
      </c>
    </row>
    <row r="49498" spans="1:1" x14ac:dyDescent="0.3">
      <c r="A49498" t="s">
        <v>0</v>
      </c>
    </row>
    <row r="49499" spans="1:1" x14ac:dyDescent="0.3">
      <c r="A49499" t="s">
        <v>0</v>
      </c>
    </row>
    <row r="49500" spans="1:1" x14ac:dyDescent="0.3">
      <c r="A49500" t="s">
        <v>0</v>
      </c>
    </row>
    <row r="49501" spans="1:1" x14ac:dyDescent="0.3">
      <c r="A49501" t="s">
        <v>0</v>
      </c>
    </row>
    <row r="49502" spans="1:1" x14ac:dyDescent="0.3">
      <c r="A49502" t="s">
        <v>0</v>
      </c>
    </row>
    <row r="49503" spans="1:1" x14ac:dyDescent="0.3">
      <c r="A49503" t="s">
        <v>0</v>
      </c>
    </row>
    <row r="49504" spans="1:1" x14ac:dyDescent="0.3">
      <c r="A49504" t="s">
        <v>0</v>
      </c>
    </row>
    <row r="49505" spans="1:1" x14ac:dyDescent="0.3">
      <c r="A49505" t="s">
        <v>0</v>
      </c>
    </row>
    <row r="49506" spans="1:1" x14ac:dyDescent="0.3">
      <c r="A49506" t="s">
        <v>0</v>
      </c>
    </row>
    <row r="49507" spans="1:1" x14ac:dyDescent="0.3">
      <c r="A49507" t="s">
        <v>0</v>
      </c>
    </row>
    <row r="49508" spans="1:1" x14ac:dyDescent="0.3">
      <c r="A49508" t="s">
        <v>0</v>
      </c>
    </row>
    <row r="49509" spans="1:1" x14ac:dyDescent="0.3">
      <c r="A49509" t="s">
        <v>0</v>
      </c>
    </row>
    <row r="49510" spans="1:1" x14ac:dyDescent="0.3">
      <c r="A49510" t="s">
        <v>0</v>
      </c>
    </row>
    <row r="49511" spans="1:1" x14ac:dyDescent="0.3">
      <c r="A49511" t="s">
        <v>0</v>
      </c>
    </row>
    <row r="49512" spans="1:1" x14ac:dyDescent="0.3">
      <c r="A49512" t="s">
        <v>0</v>
      </c>
    </row>
    <row r="49513" spans="1:1" x14ac:dyDescent="0.3">
      <c r="A49513" t="s">
        <v>0</v>
      </c>
    </row>
    <row r="49514" spans="1:1" x14ac:dyDescent="0.3">
      <c r="A49514" t="s">
        <v>0</v>
      </c>
    </row>
    <row r="49515" spans="1:1" x14ac:dyDescent="0.3">
      <c r="A49515" t="s">
        <v>0</v>
      </c>
    </row>
    <row r="49516" spans="1:1" x14ac:dyDescent="0.3">
      <c r="A49516" t="s">
        <v>0</v>
      </c>
    </row>
    <row r="49517" spans="1:1" x14ac:dyDescent="0.3">
      <c r="A49517" t="s">
        <v>0</v>
      </c>
    </row>
    <row r="49518" spans="1:1" x14ac:dyDescent="0.3">
      <c r="A49518" t="s">
        <v>0</v>
      </c>
    </row>
    <row r="49519" spans="1:1" x14ac:dyDescent="0.3">
      <c r="A49519" t="s">
        <v>0</v>
      </c>
    </row>
    <row r="49520" spans="1:1" x14ac:dyDescent="0.3">
      <c r="A49520" t="s">
        <v>0</v>
      </c>
    </row>
    <row r="49521" spans="1:1" x14ac:dyDescent="0.3">
      <c r="A49521" t="s">
        <v>0</v>
      </c>
    </row>
    <row r="49522" spans="1:1" x14ac:dyDescent="0.3">
      <c r="A49522" t="s">
        <v>0</v>
      </c>
    </row>
    <row r="49523" spans="1:1" x14ac:dyDescent="0.3">
      <c r="A49523" t="s">
        <v>0</v>
      </c>
    </row>
    <row r="49524" spans="1:1" x14ac:dyDescent="0.3">
      <c r="A49524" t="s">
        <v>0</v>
      </c>
    </row>
    <row r="49525" spans="1:1" x14ac:dyDescent="0.3">
      <c r="A49525" t="s">
        <v>0</v>
      </c>
    </row>
    <row r="49526" spans="1:1" x14ac:dyDescent="0.3">
      <c r="A49526" t="s">
        <v>0</v>
      </c>
    </row>
    <row r="49527" spans="1:1" x14ac:dyDescent="0.3">
      <c r="A49527" t="s">
        <v>0</v>
      </c>
    </row>
    <row r="49528" spans="1:1" x14ac:dyDescent="0.3">
      <c r="A49528" t="s">
        <v>0</v>
      </c>
    </row>
    <row r="49529" spans="1:1" x14ac:dyDescent="0.3">
      <c r="A49529" t="s">
        <v>0</v>
      </c>
    </row>
    <row r="49530" spans="1:1" x14ac:dyDescent="0.3">
      <c r="A49530" t="s">
        <v>0</v>
      </c>
    </row>
    <row r="49531" spans="1:1" x14ac:dyDescent="0.3">
      <c r="A49531" t="s">
        <v>0</v>
      </c>
    </row>
    <row r="49532" spans="1:1" x14ac:dyDescent="0.3">
      <c r="A49532" t="s">
        <v>0</v>
      </c>
    </row>
    <row r="49533" spans="1:1" x14ac:dyDescent="0.3">
      <c r="A49533" t="s">
        <v>0</v>
      </c>
    </row>
    <row r="49534" spans="1:1" x14ac:dyDescent="0.3">
      <c r="A49534" t="s">
        <v>0</v>
      </c>
    </row>
    <row r="49535" spans="1:1" x14ac:dyDescent="0.3">
      <c r="A49535" t="s">
        <v>0</v>
      </c>
    </row>
    <row r="49536" spans="1:1" x14ac:dyDescent="0.3">
      <c r="A49536" t="s">
        <v>0</v>
      </c>
    </row>
    <row r="49537" spans="1:1" x14ac:dyDescent="0.3">
      <c r="A49537" t="s">
        <v>0</v>
      </c>
    </row>
    <row r="49538" spans="1:1" x14ac:dyDescent="0.3">
      <c r="A49538" t="s">
        <v>0</v>
      </c>
    </row>
    <row r="49539" spans="1:1" x14ac:dyDescent="0.3">
      <c r="A49539" t="s">
        <v>0</v>
      </c>
    </row>
    <row r="49540" spans="1:1" x14ac:dyDescent="0.3">
      <c r="A49540" t="s">
        <v>0</v>
      </c>
    </row>
    <row r="49541" spans="1:1" x14ac:dyDescent="0.3">
      <c r="A49541" t="s">
        <v>0</v>
      </c>
    </row>
    <row r="49542" spans="1:1" x14ac:dyDescent="0.3">
      <c r="A49542" t="s">
        <v>0</v>
      </c>
    </row>
    <row r="49543" spans="1:1" x14ac:dyDescent="0.3">
      <c r="A49543" t="s">
        <v>0</v>
      </c>
    </row>
    <row r="49544" spans="1:1" x14ac:dyDescent="0.3">
      <c r="A49544" t="s">
        <v>0</v>
      </c>
    </row>
    <row r="49545" spans="1:1" x14ac:dyDescent="0.3">
      <c r="A49545" t="s">
        <v>0</v>
      </c>
    </row>
    <row r="49546" spans="1:1" x14ac:dyDescent="0.3">
      <c r="A49546" t="s">
        <v>0</v>
      </c>
    </row>
    <row r="49547" spans="1:1" x14ac:dyDescent="0.3">
      <c r="A49547" t="s">
        <v>0</v>
      </c>
    </row>
    <row r="49548" spans="1:1" x14ac:dyDescent="0.3">
      <c r="A49548" t="s">
        <v>0</v>
      </c>
    </row>
    <row r="49549" spans="1:1" x14ac:dyDescent="0.3">
      <c r="A49549" t="s">
        <v>0</v>
      </c>
    </row>
    <row r="49550" spans="1:1" x14ac:dyDescent="0.3">
      <c r="A49550" t="s">
        <v>0</v>
      </c>
    </row>
    <row r="49551" spans="1:1" x14ac:dyDescent="0.3">
      <c r="A49551" t="s">
        <v>0</v>
      </c>
    </row>
    <row r="49552" spans="1:1" x14ac:dyDescent="0.3">
      <c r="A49552" t="s">
        <v>0</v>
      </c>
    </row>
    <row r="49553" spans="1:1" x14ac:dyDescent="0.3">
      <c r="A49553" t="s">
        <v>0</v>
      </c>
    </row>
    <row r="49554" spans="1:1" x14ac:dyDescent="0.3">
      <c r="A49554" t="s">
        <v>0</v>
      </c>
    </row>
    <row r="49555" spans="1:1" x14ac:dyDescent="0.3">
      <c r="A49555" t="s">
        <v>0</v>
      </c>
    </row>
    <row r="49556" spans="1:1" x14ac:dyDescent="0.3">
      <c r="A49556" t="s">
        <v>0</v>
      </c>
    </row>
    <row r="49557" spans="1:1" x14ac:dyDescent="0.3">
      <c r="A49557" t="s">
        <v>0</v>
      </c>
    </row>
    <row r="49558" spans="1:1" x14ac:dyDescent="0.3">
      <c r="A49558" t="s">
        <v>0</v>
      </c>
    </row>
    <row r="49559" spans="1:1" x14ac:dyDescent="0.3">
      <c r="A49559" t="s">
        <v>0</v>
      </c>
    </row>
    <row r="49560" spans="1:1" x14ac:dyDescent="0.3">
      <c r="A49560" t="s">
        <v>0</v>
      </c>
    </row>
    <row r="49561" spans="1:1" x14ac:dyDescent="0.3">
      <c r="A49561" t="s">
        <v>0</v>
      </c>
    </row>
    <row r="49562" spans="1:1" x14ac:dyDescent="0.3">
      <c r="A49562" t="s">
        <v>0</v>
      </c>
    </row>
    <row r="49563" spans="1:1" x14ac:dyDescent="0.3">
      <c r="A49563" t="s">
        <v>0</v>
      </c>
    </row>
    <row r="49564" spans="1:1" x14ac:dyDescent="0.3">
      <c r="A49564" t="s">
        <v>0</v>
      </c>
    </row>
    <row r="49565" spans="1:1" x14ac:dyDescent="0.3">
      <c r="A49565" t="s">
        <v>0</v>
      </c>
    </row>
    <row r="49566" spans="1:1" x14ac:dyDescent="0.3">
      <c r="A49566" t="s">
        <v>0</v>
      </c>
    </row>
    <row r="49567" spans="1:1" x14ac:dyDescent="0.3">
      <c r="A49567" t="s">
        <v>0</v>
      </c>
    </row>
    <row r="49568" spans="1:1" x14ac:dyDescent="0.3">
      <c r="A49568" t="s">
        <v>0</v>
      </c>
    </row>
    <row r="49569" spans="1:1" x14ac:dyDescent="0.3">
      <c r="A49569" t="s">
        <v>0</v>
      </c>
    </row>
    <row r="49570" spans="1:1" x14ac:dyDescent="0.3">
      <c r="A49570" t="s">
        <v>0</v>
      </c>
    </row>
    <row r="49571" spans="1:1" x14ac:dyDescent="0.3">
      <c r="A49571" t="s">
        <v>0</v>
      </c>
    </row>
    <row r="49572" spans="1:1" x14ac:dyDescent="0.3">
      <c r="A49572" t="s">
        <v>0</v>
      </c>
    </row>
    <row r="49573" spans="1:1" x14ac:dyDescent="0.3">
      <c r="A49573" t="s">
        <v>0</v>
      </c>
    </row>
    <row r="49574" spans="1:1" x14ac:dyDescent="0.3">
      <c r="A49574" t="s">
        <v>0</v>
      </c>
    </row>
    <row r="49575" spans="1:1" x14ac:dyDescent="0.3">
      <c r="A49575" t="s">
        <v>0</v>
      </c>
    </row>
    <row r="49576" spans="1:1" x14ac:dyDescent="0.3">
      <c r="A49576" t="s">
        <v>0</v>
      </c>
    </row>
    <row r="49577" spans="1:1" x14ac:dyDescent="0.3">
      <c r="A49577" t="s">
        <v>0</v>
      </c>
    </row>
    <row r="49578" spans="1:1" x14ac:dyDescent="0.3">
      <c r="A49578" t="s">
        <v>0</v>
      </c>
    </row>
    <row r="49579" spans="1:1" x14ac:dyDescent="0.3">
      <c r="A49579" t="s">
        <v>0</v>
      </c>
    </row>
    <row r="49580" spans="1:1" x14ac:dyDescent="0.3">
      <c r="A49580" t="s">
        <v>0</v>
      </c>
    </row>
    <row r="49581" spans="1:1" x14ac:dyDescent="0.3">
      <c r="A49581" t="s">
        <v>0</v>
      </c>
    </row>
    <row r="49582" spans="1:1" x14ac:dyDescent="0.3">
      <c r="A49582" t="s">
        <v>0</v>
      </c>
    </row>
    <row r="49583" spans="1:1" x14ac:dyDescent="0.3">
      <c r="A49583" t="s">
        <v>0</v>
      </c>
    </row>
    <row r="49584" spans="1:1" x14ac:dyDescent="0.3">
      <c r="A49584" t="s">
        <v>0</v>
      </c>
    </row>
    <row r="49585" spans="1:1" x14ac:dyDescent="0.3">
      <c r="A49585" t="s">
        <v>0</v>
      </c>
    </row>
    <row r="49586" spans="1:1" x14ac:dyDescent="0.3">
      <c r="A49586" t="s">
        <v>0</v>
      </c>
    </row>
    <row r="49587" spans="1:1" x14ac:dyDescent="0.3">
      <c r="A49587" t="s">
        <v>0</v>
      </c>
    </row>
    <row r="49588" spans="1:1" x14ac:dyDescent="0.3">
      <c r="A49588" t="s">
        <v>0</v>
      </c>
    </row>
    <row r="49589" spans="1:1" x14ac:dyDescent="0.3">
      <c r="A49589" t="s">
        <v>0</v>
      </c>
    </row>
    <row r="49590" spans="1:1" x14ac:dyDescent="0.3">
      <c r="A49590" t="s">
        <v>0</v>
      </c>
    </row>
    <row r="49591" spans="1:1" x14ac:dyDescent="0.3">
      <c r="A49591" t="s">
        <v>0</v>
      </c>
    </row>
    <row r="49592" spans="1:1" x14ac:dyDescent="0.3">
      <c r="A49592" t="s">
        <v>0</v>
      </c>
    </row>
    <row r="49593" spans="1:1" x14ac:dyDescent="0.3">
      <c r="A49593" t="s">
        <v>0</v>
      </c>
    </row>
    <row r="49594" spans="1:1" x14ac:dyDescent="0.3">
      <c r="A49594" t="s">
        <v>0</v>
      </c>
    </row>
    <row r="49595" spans="1:1" x14ac:dyDescent="0.3">
      <c r="A49595" t="s">
        <v>0</v>
      </c>
    </row>
    <row r="49596" spans="1:1" x14ac:dyDescent="0.3">
      <c r="A49596" t="s">
        <v>0</v>
      </c>
    </row>
    <row r="49597" spans="1:1" x14ac:dyDescent="0.3">
      <c r="A49597" t="s">
        <v>0</v>
      </c>
    </row>
    <row r="49598" spans="1:1" x14ac:dyDescent="0.3">
      <c r="A49598" t="s">
        <v>0</v>
      </c>
    </row>
    <row r="49599" spans="1:1" x14ac:dyDescent="0.3">
      <c r="A49599" t="s">
        <v>0</v>
      </c>
    </row>
    <row r="49600" spans="1:1" x14ac:dyDescent="0.3">
      <c r="A49600" t="s">
        <v>0</v>
      </c>
    </row>
    <row r="49601" spans="1:1" x14ac:dyDescent="0.3">
      <c r="A49601" t="s">
        <v>0</v>
      </c>
    </row>
    <row r="49602" spans="1:1" x14ac:dyDescent="0.3">
      <c r="A49602" t="s">
        <v>0</v>
      </c>
    </row>
    <row r="49603" spans="1:1" x14ac:dyDescent="0.3">
      <c r="A49603" t="s">
        <v>0</v>
      </c>
    </row>
    <row r="49604" spans="1:1" x14ac:dyDescent="0.3">
      <c r="A49604" t="s">
        <v>0</v>
      </c>
    </row>
    <row r="49605" spans="1:1" x14ac:dyDescent="0.3">
      <c r="A49605" t="s">
        <v>0</v>
      </c>
    </row>
    <row r="49606" spans="1:1" x14ac:dyDescent="0.3">
      <c r="A49606" t="s">
        <v>0</v>
      </c>
    </row>
    <row r="49607" spans="1:1" x14ac:dyDescent="0.3">
      <c r="A49607" t="s">
        <v>0</v>
      </c>
    </row>
    <row r="49608" spans="1:1" x14ac:dyDescent="0.3">
      <c r="A49608" t="s">
        <v>0</v>
      </c>
    </row>
    <row r="49609" spans="1:1" x14ac:dyDescent="0.3">
      <c r="A49609" t="s">
        <v>0</v>
      </c>
    </row>
    <row r="49610" spans="1:1" x14ac:dyDescent="0.3">
      <c r="A49610" t="s">
        <v>0</v>
      </c>
    </row>
    <row r="49611" spans="1:1" x14ac:dyDescent="0.3">
      <c r="A49611" t="s">
        <v>0</v>
      </c>
    </row>
    <row r="49612" spans="1:1" x14ac:dyDescent="0.3">
      <c r="A49612" t="s">
        <v>0</v>
      </c>
    </row>
    <row r="49613" spans="1:1" x14ac:dyDescent="0.3">
      <c r="A49613" t="s">
        <v>0</v>
      </c>
    </row>
    <row r="49614" spans="1:1" x14ac:dyDescent="0.3">
      <c r="A49614" t="s">
        <v>0</v>
      </c>
    </row>
    <row r="49615" spans="1:1" x14ac:dyDescent="0.3">
      <c r="A49615" t="s">
        <v>0</v>
      </c>
    </row>
    <row r="49616" spans="1:1" x14ac:dyDescent="0.3">
      <c r="A49616" t="s">
        <v>0</v>
      </c>
    </row>
    <row r="49617" spans="1:1" x14ac:dyDescent="0.3">
      <c r="A49617" t="s">
        <v>0</v>
      </c>
    </row>
    <row r="49618" spans="1:1" x14ac:dyDescent="0.3">
      <c r="A49618" t="s">
        <v>0</v>
      </c>
    </row>
    <row r="49619" spans="1:1" x14ac:dyDescent="0.3">
      <c r="A49619" t="s">
        <v>0</v>
      </c>
    </row>
    <row r="49620" spans="1:1" x14ac:dyDescent="0.3">
      <c r="A49620" t="s">
        <v>0</v>
      </c>
    </row>
    <row r="49621" spans="1:1" x14ac:dyDescent="0.3">
      <c r="A49621" t="s">
        <v>0</v>
      </c>
    </row>
    <row r="49622" spans="1:1" x14ac:dyDescent="0.3">
      <c r="A49622" t="s">
        <v>0</v>
      </c>
    </row>
    <row r="49623" spans="1:1" x14ac:dyDescent="0.3">
      <c r="A49623" t="s">
        <v>0</v>
      </c>
    </row>
    <row r="49624" spans="1:1" x14ac:dyDescent="0.3">
      <c r="A49624" t="s">
        <v>0</v>
      </c>
    </row>
    <row r="49625" spans="1:1" x14ac:dyDescent="0.3">
      <c r="A49625" t="s">
        <v>0</v>
      </c>
    </row>
    <row r="49626" spans="1:1" x14ac:dyDescent="0.3">
      <c r="A49626" t="s">
        <v>0</v>
      </c>
    </row>
    <row r="49627" spans="1:1" x14ac:dyDescent="0.3">
      <c r="A49627" t="s">
        <v>0</v>
      </c>
    </row>
    <row r="49628" spans="1:1" x14ac:dyDescent="0.3">
      <c r="A49628" t="s">
        <v>0</v>
      </c>
    </row>
    <row r="49629" spans="1:1" x14ac:dyDescent="0.3">
      <c r="A49629" t="s">
        <v>0</v>
      </c>
    </row>
    <row r="49630" spans="1:1" x14ac:dyDescent="0.3">
      <c r="A49630" t="s">
        <v>0</v>
      </c>
    </row>
    <row r="49631" spans="1:1" x14ac:dyDescent="0.3">
      <c r="A49631" t="s">
        <v>0</v>
      </c>
    </row>
    <row r="49632" spans="1:1" x14ac:dyDescent="0.3">
      <c r="A49632" t="s">
        <v>0</v>
      </c>
    </row>
    <row r="49633" spans="1:1" x14ac:dyDescent="0.3">
      <c r="A49633" t="s">
        <v>0</v>
      </c>
    </row>
    <row r="49634" spans="1:1" x14ac:dyDescent="0.3">
      <c r="A49634" t="s">
        <v>0</v>
      </c>
    </row>
    <row r="49635" spans="1:1" x14ac:dyDescent="0.3">
      <c r="A49635" t="s">
        <v>0</v>
      </c>
    </row>
    <row r="49636" spans="1:1" x14ac:dyDescent="0.3">
      <c r="A49636" t="s">
        <v>0</v>
      </c>
    </row>
    <row r="49637" spans="1:1" x14ac:dyDescent="0.3">
      <c r="A49637" t="s">
        <v>0</v>
      </c>
    </row>
    <row r="49638" spans="1:1" x14ac:dyDescent="0.3">
      <c r="A49638" t="s">
        <v>0</v>
      </c>
    </row>
    <row r="49639" spans="1:1" x14ac:dyDescent="0.3">
      <c r="A49639" t="s">
        <v>0</v>
      </c>
    </row>
    <row r="49640" spans="1:1" x14ac:dyDescent="0.3">
      <c r="A49640" t="s">
        <v>0</v>
      </c>
    </row>
    <row r="49641" spans="1:1" x14ac:dyDescent="0.3">
      <c r="A49641" t="s">
        <v>0</v>
      </c>
    </row>
    <row r="49642" spans="1:1" x14ac:dyDescent="0.3">
      <c r="A49642" t="s">
        <v>0</v>
      </c>
    </row>
    <row r="49643" spans="1:1" x14ac:dyDescent="0.3">
      <c r="A49643" t="s">
        <v>0</v>
      </c>
    </row>
    <row r="49644" spans="1:1" x14ac:dyDescent="0.3">
      <c r="A49644" t="s">
        <v>0</v>
      </c>
    </row>
    <row r="49645" spans="1:1" x14ac:dyDescent="0.3">
      <c r="A49645" t="s">
        <v>0</v>
      </c>
    </row>
    <row r="49646" spans="1:1" x14ac:dyDescent="0.3">
      <c r="A49646" t="s">
        <v>0</v>
      </c>
    </row>
    <row r="49647" spans="1:1" x14ac:dyDescent="0.3">
      <c r="A49647" t="s">
        <v>0</v>
      </c>
    </row>
    <row r="49648" spans="1:1" x14ac:dyDescent="0.3">
      <c r="A49648" t="s">
        <v>0</v>
      </c>
    </row>
    <row r="49649" spans="1:1" x14ac:dyDescent="0.3">
      <c r="A49649" t="s">
        <v>0</v>
      </c>
    </row>
    <row r="49650" spans="1:1" x14ac:dyDescent="0.3">
      <c r="A49650" t="s">
        <v>0</v>
      </c>
    </row>
    <row r="49651" spans="1:1" x14ac:dyDescent="0.3">
      <c r="A49651" t="s">
        <v>0</v>
      </c>
    </row>
    <row r="49652" spans="1:1" x14ac:dyDescent="0.3">
      <c r="A49652" t="s">
        <v>0</v>
      </c>
    </row>
    <row r="49653" spans="1:1" x14ac:dyDescent="0.3">
      <c r="A49653" t="s">
        <v>0</v>
      </c>
    </row>
    <row r="49654" spans="1:1" x14ac:dyDescent="0.3">
      <c r="A49654" t="s">
        <v>0</v>
      </c>
    </row>
    <row r="49655" spans="1:1" x14ac:dyDescent="0.3">
      <c r="A49655" t="s">
        <v>0</v>
      </c>
    </row>
    <row r="49656" spans="1:1" x14ac:dyDescent="0.3">
      <c r="A49656" t="s">
        <v>0</v>
      </c>
    </row>
    <row r="49657" spans="1:1" x14ac:dyDescent="0.3">
      <c r="A49657" t="s">
        <v>0</v>
      </c>
    </row>
    <row r="49658" spans="1:1" x14ac:dyDescent="0.3">
      <c r="A49658" t="s">
        <v>0</v>
      </c>
    </row>
    <row r="49659" spans="1:1" x14ac:dyDescent="0.3">
      <c r="A49659" t="s">
        <v>0</v>
      </c>
    </row>
    <row r="49660" spans="1:1" x14ac:dyDescent="0.3">
      <c r="A49660" t="s">
        <v>0</v>
      </c>
    </row>
    <row r="49661" spans="1:1" x14ac:dyDescent="0.3">
      <c r="A49661" t="s">
        <v>0</v>
      </c>
    </row>
    <row r="49662" spans="1:1" x14ac:dyDescent="0.3">
      <c r="A49662" t="s">
        <v>0</v>
      </c>
    </row>
    <row r="49663" spans="1:1" x14ac:dyDescent="0.3">
      <c r="A49663" t="s">
        <v>0</v>
      </c>
    </row>
    <row r="49664" spans="1:1" x14ac:dyDescent="0.3">
      <c r="A49664" t="s">
        <v>0</v>
      </c>
    </row>
    <row r="49665" spans="1:1" x14ac:dyDescent="0.3">
      <c r="A49665" t="s">
        <v>0</v>
      </c>
    </row>
    <row r="49666" spans="1:1" x14ac:dyDescent="0.3">
      <c r="A49666" t="s">
        <v>0</v>
      </c>
    </row>
    <row r="49667" spans="1:1" x14ac:dyDescent="0.3">
      <c r="A49667" t="s">
        <v>0</v>
      </c>
    </row>
    <row r="49668" spans="1:1" x14ac:dyDescent="0.3">
      <c r="A49668" t="s">
        <v>0</v>
      </c>
    </row>
    <row r="49669" spans="1:1" x14ac:dyDescent="0.3">
      <c r="A49669" t="s">
        <v>0</v>
      </c>
    </row>
    <row r="49670" spans="1:1" x14ac:dyDescent="0.3">
      <c r="A49670" t="s">
        <v>0</v>
      </c>
    </row>
    <row r="49671" spans="1:1" x14ac:dyDescent="0.3">
      <c r="A49671" t="s">
        <v>0</v>
      </c>
    </row>
    <row r="49672" spans="1:1" x14ac:dyDescent="0.3">
      <c r="A49672" t="s">
        <v>0</v>
      </c>
    </row>
    <row r="49673" spans="1:1" x14ac:dyDescent="0.3">
      <c r="A49673" t="s">
        <v>0</v>
      </c>
    </row>
    <row r="49674" spans="1:1" x14ac:dyDescent="0.3">
      <c r="A49674" t="s">
        <v>0</v>
      </c>
    </row>
    <row r="49675" spans="1:1" x14ac:dyDescent="0.3">
      <c r="A49675" t="s">
        <v>0</v>
      </c>
    </row>
    <row r="49676" spans="1:1" x14ac:dyDescent="0.3">
      <c r="A49676" t="s">
        <v>0</v>
      </c>
    </row>
    <row r="49677" spans="1:1" x14ac:dyDescent="0.3">
      <c r="A49677" t="s">
        <v>0</v>
      </c>
    </row>
    <row r="49678" spans="1:1" x14ac:dyDescent="0.3">
      <c r="A49678" t="s">
        <v>0</v>
      </c>
    </row>
    <row r="49679" spans="1:1" x14ac:dyDescent="0.3">
      <c r="A49679" t="s">
        <v>0</v>
      </c>
    </row>
    <row r="49680" spans="1:1" x14ac:dyDescent="0.3">
      <c r="A49680" t="s">
        <v>0</v>
      </c>
    </row>
    <row r="49681" spans="1:1" x14ac:dyDescent="0.3">
      <c r="A49681" t="s">
        <v>0</v>
      </c>
    </row>
    <row r="49682" spans="1:1" x14ac:dyDescent="0.3">
      <c r="A49682" t="s">
        <v>0</v>
      </c>
    </row>
    <row r="49683" spans="1:1" x14ac:dyDescent="0.3">
      <c r="A49683" t="s">
        <v>0</v>
      </c>
    </row>
    <row r="49684" spans="1:1" x14ac:dyDescent="0.3">
      <c r="A49684" t="s">
        <v>0</v>
      </c>
    </row>
    <row r="49685" spans="1:1" x14ac:dyDescent="0.3">
      <c r="A49685" t="s">
        <v>0</v>
      </c>
    </row>
    <row r="49686" spans="1:1" x14ac:dyDescent="0.3">
      <c r="A49686" t="s">
        <v>0</v>
      </c>
    </row>
    <row r="49687" spans="1:1" x14ac:dyDescent="0.3">
      <c r="A49687" t="s">
        <v>0</v>
      </c>
    </row>
    <row r="49688" spans="1:1" x14ac:dyDescent="0.3">
      <c r="A49688" t="s">
        <v>0</v>
      </c>
    </row>
    <row r="49689" spans="1:1" x14ac:dyDescent="0.3">
      <c r="A49689" t="s">
        <v>0</v>
      </c>
    </row>
    <row r="49690" spans="1:1" x14ac:dyDescent="0.3">
      <c r="A49690" t="s">
        <v>0</v>
      </c>
    </row>
    <row r="49691" spans="1:1" x14ac:dyDescent="0.3">
      <c r="A49691" t="s">
        <v>0</v>
      </c>
    </row>
    <row r="49692" spans="1:1" x14ac:dyDescent="0.3">
      <c r="A49692" t="s">
        <v>0</v>
      </c>
    </row>
    <row r="49693" spans="1:1" x14ac:dyDescent="0.3">
      <c r="A49693" t="s">
        <v>0</v>
      </c>
    </row>
    <row r="49694" spans="1:1" x14ac:dyDescent="0.3">
      <c r="A49694" t="s">
        <v>0</v>
      </c>
    </row>
    <row r="49695" spans="1:1" x14ac:dyDescent="0.3">
      <c r="A49695" t="s">
        <v>0</v>
      </c>
    </row>
    <row r="49696" spans="1:1" x14ac:dyDescent="0.3">
      <c r="A49696" t="s">
        <v>0</v>
      </c>
    </row>
    <row r="49697" spans="1:1" x14ac:dyDescent="0.3">
      <c r="A49697" t="s">
        <v>0</v>
      </c>
    </row>
    <row r="49698" spans="1:1" x14ac:dyDescent="0.3">
      <c r="A49698" t="s">
        <v>0</v>
      </c>
    </row>
    <row r="49699" spans="1:1" x14ac:dyDescent="0.3">
      <c r="A49699" t="s">
        <v>0</v>
      </c>
    </row>
    <row r="49700" spans="1:1" x14ac:dyDescent="0.3">
      <c r="A49700" t="s">
        <v>0</v>
      </c>
    </row>
    <row r="49701" spans="1:1" x14ac:dyDescent="0.3">
      <c r="A49701" t="s">
        <v>0</v>
      </c>
    </row>
    <row r="49702" spans="1:1" x14ac:dyDescent="0.3">
      <c r="A49702" t="s">
        <v>0</v>
      </c>
    </row>
    <row r="49703" spans="1:1" x14ac:dyDescent="0.3">
      <c r="A49703" t="s">
        <v>0</v>
      </c>
    </row>
    <row r="49704" spans="1:1" x14ac:dyDescent="0.3">
      <c r="A49704" t="s">
        <v>0</v>
      </c>
    </row>
    <row r="49705" spans="1:1" x14ac:dyDescent="0.3">
      <c r="A49705" t="s">
        <v>0</v>
      </c>
    </row>
    <row r="49706" spans="1:1" x14ac:dyDescent="0.3">
      <c r="A49706" t="s">
        <v>0</v>
      </c>
    </row>
    <row r="49707" spans="1:1" x14ac:dyDescent="0.3">
      <c r="A49707" t="s">
        <v>0</v>
      </c>
    </row>
    <row r="49708" spans="1:1" x14ac:dyDescent="0.3">
      <c r="A49708" t="s">
        <v>0</v>
      </c>
    </row>
    <row r="49709" spans="1:1" x14ac:dyDescent="0.3">
      <c r="A49709" t="s">
        <v>0</v>
      </c>
    </row>
    <row r="49710" spans="1:1" x14ac:dyDescent="0.3">
      <c r="A49710" t="s">
        <v>0</v>
      </c>
    </row>
    <row r="49711" spans="1:1" x14ac:dyDescent="0.3">
      <c r="A49711" t="s">
        <v>0</v>
      </c>
    </row>
    <row r="49712" spans="1:1" x14ac:dyDescent="0.3">
      <c r="A49712" t="s">
        <v>0</v>
      </c>
    </row>
    <row r="49713" spans="1:1" x14ac:dyDescent="0.3">
      <c r="A49713" t="s">
        <v>0</v>
      </c>
    </row>
    <row r="49714" spans="1:1" x14ac:dyDescent="0.3">
      <c r="A49714" t="s">
        <v>0</v>
      </c>
    </row>
    <row r="49715" spans="1:1" x14ac:dyDescent="0.3">
      <c r="A49715" t="s">
        <v>0</v>
      </c>
    </row>
    <row r="49716" spans="1:1" x14ac:dyDescent="0.3">
      <c r="A49716" t="s">
        <v>0</v>
      </c>
    </row>
    <row r="49717" spans="1:1" x14ac:dyDescent="0.3">
      <c r="A49717" t="s">
        <v>0</v>
      </c>
    </row>
    <row r="49718" spans="1:1" x14ac:dyDescent="0.3">
      <c r="A49718" t="s">
        <v>0</v>
      </c>
    </row>
    <row r="49719" spans="1:1" x14ac:dyDescent="0.3">
      <c r="A49719" t="s">
        <v>0</v>
      </c>
    </row>
    <row r="49720" spans="1:1" x14ac:dyDescent="0.3">
      <c r="A49720" t="s">
        <v>0</v>
      </c>
    </row>
    <row r="49721" spans="1:1" x14ac:dyDescent="0.3">
      <c r="A49721" t="s">
        <v>0</v>
      </c>
    </row>
    <row r="49722" spans="1:1" x14ac:dyDescent="0.3">
      <c r="A49722" t="s">
        <v>0</v>
      </c>
    </row>
    <row r="49723" spans="1:1" x14ac:dyDescent="0.3">
      <c r="A49723" t="s">
        <v>0</v>
      </c>
    </row>
    <row r="49724" spans="1:1" x14ac:dyDescent="0.3">
      <c r="A49724" t="s">
        <v>0</v>
      </c>
    </row>
    <row r="49725" spans="1:1" x14ac:dyDescent="0.3">
      <c r="A49725" t="s">
        <v>0</v>
      </c>
    </row>
    <row r="49726" spans="1:1" x14ac:dyDescent="0.3">
      <c r="A49726" t="s">
        <v>0</v>
      </c>
    </row>
    <row r="49727" spans="1:1" x14ac:dyDescent="0.3">
      <c r="A49727" t="s">
        <v>0</v>
      </c>
    </row>
    <row r="49728" spans="1:1" x14ac:dyDescent="0.3">
      <c r="A49728" t="s">
        <v>0</v>
      </c>
    </row>
    <row r="49729" spans="1:1" x14ac:dyDescent="0.3">
      <c r="A49729" t="s">
        <v>0</v>
      </c>
    </row>
    <row r="49730" spans="1:1" x14ac:dyDescent="0.3">
      <c r="A49730" t="s">
        <v>0</v>
      </c>
    </row>
    <row r="49731" spans="1:1" x14ac:dyDescent="0.3">
      <c r="A49731" t="s">
        <v>0</v>
      </c>
    </row>
    <row r="49732" spans="1:1" x14ac:dyDescent="0.3">
      <c r="A49732" t="s">
        <v>0</v>
      </c>
    </row>
    <row r="49733" spans="1:1" x14ac:dyDescent="0.3">
      <c r="A49733" t="s">
        <v>0</v>
      </c>
    </row>
    <row r="49734" spans="1:1" x14ac:dyDescent="0.3">
      <c r="A49734" t="s">
        <v>0</v>
      </c>
    </row>
    <row r="49735" spans="1:1" x14ac:dyDescent="0.3">
      <c r="A49735" t="s">
        <v>0</v>
      </c>
    </row>
    <row r="49736" spans="1:1" x14ac:dyDescent="0.3">
      <c r="A49736" t="s">
        <v>0</v>
      </c>
    </row>
    <row r="49737" spans="1:1" x14ac:dyDescent="0.3">
      <c r="A49737" t="s">
        <v>0</v>
      </c>
    </row>
    <row r="49738" spans="1:1" x14ac:dyDescent="0.3">
      <c r="A49738" t="s">
        <v>0</v>
      </c>
    </row>
    <row r="49739" spans="1:1" x14ac:dyDescent="0.3">
      <c r="A49739" t="s">
        <v>0</v>
      </c>
    </row>
    <row r="49740" spans="1:1" x14ac:dyDescent="0.3">
      <c r="A49740" t="s">
        <v>0</v>
      </c>
    </row>
    <row r="49741" spans="1:1" x14ac:dyDescent="0.3">
      <c r="A49741" t="s">
        <v>0</v>
      </c>
    </row>
    <row r="49742" spans="1:1" x14ac:dyDescent="0.3">
      <c r="A49742" t="s">
        <v>0</v>
      </c>
    </row>
    <row r="49743" spans="1:1" x14ac:dyDescent="0.3">
      <c r="A49743" t="s">
        <v>0</v>
      </c>
    </row>
    <row r="49744" spans="1:1" x14ac:dyDescent="0.3">
      <c r="A49744" t="s">
        <v>0</v>
      </c>
    </row>
    <row r="49745" spans="1:1" x14ac:dyDescent="0.3">
      <c r="A49745" t="s">
        <v>0</v>
      </c>
    </row>
    <row r="49746" spans="1:1" x14ac:dyDescent="0.3">
      <c r="A49746" t="s">
        <v>0</v>
      </c>
    </row>
    <row r="49747" spans="1:1" x14ac:dyDescent="0.3">
      <c r="A49747" t="s">
        <v>0</v>
      </c>
    </row>
    <row r="49748" spans="1:1" x14ac:dyDescent="0.3">
      <c r="A49748" t="s">
        <v>0</v>
      </c>
    </row>
    <row r="49749" spans="1:1" x14ac:dyDescent="0.3">
      <c r="A49749" t="s">
        <v>0</v>
      </c>
    </row>
    <row r="49750" spans="1:1" x14ac:dyDescent="0.3">
      <c r="A49750" t="s">
        <v>0</v>
      </c>
    </row>
    <row r="49751" spans="1:1" x14ac:dyDescent="0.3">
      <c r="A49751" t="s">
        <v>0</v>
      </c>
    </row>
    <row r="49752" spans="1:1" x14ac:dyDescent="0.3">
      <c r="A49752" t="s">
        <v>0</v>
      </c>
    </row>
    <row r="49753" spans="1:1" x14ac:dyDescent="0.3">
      <c r="A49753" t="s">
        <v>0</v>
      </c>
    </row>
    <row r="49754" spans="1:1" x14ac:dyDescent="0.3">
      <c r="A49754" t="s">
        <v>0</v>
      </c>
    </row>
    <row r="49755" spans="1:1" x14ac:dyDescent="0.3">
      <c r="A49755" t="s">
        <v>0</v>
      </c>
    </row>
    <row r="49756" spans="1:1" x14ac:dyDescent="0.3">
      <c r="A49756" t="s">
        <v>0</v>
      </c>
    </row>
    <row r="49757" spans="1:1" x14ac:dyDescent="0.3">
      <c r="A49757" t="s">
        <v>0</v>
      </c>
    </row>
    <row r="49758" spans="1:1" x14ac:dyDescent="0.3">
      <c r="A49758" t="s">
        <v>0</v>
      </c>
    </row>
    <row r="49759" spans="1:1" x14ac:dyDescent="0.3">
      <c r="A49759" t="s">
        <v>0</v>
      </c>
    </row>
    <row r="49760" spans="1:1" x14ac:dyDescent="0.3">
      <c r="A49760" t="s">
        <v>0</v>
      </c>
    </row>
    <row r="49761" spans="1:1" x14ac:dyDescent="0.3">
      <c r="A49761" t="s">
        <v>0</v>
      </c>
    </row>
    <row r="49762" spans="1:1" x14ac:dyDescent="0.3">
      <c r="A49762" t="s">
        <v>0</v>
      </c>
    </row>
    <row r="49763" spans="1:1" x14ac:dyDescent="0.3">
      <c r="A49763" t="s">
        <v>0</v>
      </c>
    </row>
    <row r="49764" spans="1:1" x14ac:dyDescent="0.3">
      <c r="A49764" t="s">
        <v>0</v>
      </c>
    </row>
    <row r="49765" spans="1:1" x14ac:dyDescent="0.3">
      <c r="A49765" t="s">
        <v>0</v>
      </c>
    </row>
    <row r="49766" spans="1:1" x14ac:dyDescent="0.3">
      <c r="A49766" t="s">
        <v>0</v>
      </c>
    </row>
    <row r="49767" spans="1:1" x14ac:dyDescent="0.3">
      <c r="A49767" t="s">
        <v>0</v>
      </c>
    </row>
    <row r="49768" spans="1:1" x14ac:dyDescent="0.3">
      <c r="A49768" t="s">
        <v>0</v>
      </c>
    </row>
    <row r="49769" spans="1:1" x14ac:dyDescent="0.3">
      <c r="A49769" t="s">
        <v>0</v>
      </c>
    </row>
    <row r="49770" spans="1:1" x14ac:dyDescent="0.3">
      <c r="A49770" t="s">
        <v>0</v>
      </c>
    </row>
    <row r="49771" spans="1:1" x14ac:dyDescent="0.3">
      <c r="A49771" t="s">
        <v>0</v>
      </c>
    </row>
    <row r="49772" spans="1:1" x14ac:dyDescent="0.3">
      <c r="A49772" t="s">
        <v>0</v>
      </c>
    </row>
    <row r="49773" spans="1:1" x14ac:dyDescent="0.3">
      <c r="A49773" t="s">
        <v>0</v>
      </c>
    </row>
    <row r="49774" spans="1:1" x14ac:dyDescent="0.3">
      <c r="A49774" t="s">
        <v>0</v>
      </c>
    </row>
    <row r="49775" spans="1:1" x14ac:dyDescent="0.3">
      <c r="A49775" t="s">
        <v>0</v>
      </c>
    </row>
    <row r="49776" spans="1:1" x14ac:dyDescent="0.3">
      <c r="A49776" t="s">
        <v>0</v>
      </c>
    </row>
    <row r="49777" spans="1:1" x14ac:dyDescent="0.3">
      <c r="A49777" t="s">
        <v>0</v>
      </c>
    </row>
    <row r="49778" spans="1:1" x14ac:dyDescent="0.3">
      <c r="A49778" t="s">
        <v>0</v>
      </c>
    </row>
    <row r="49779" spans="1:1" x14ac:dyDescent="0.3">
      <c r="A49779" t="s">
        <v>0</v>
      </c>
    </row>
    <row r="49780" spans="1:1" x14ac:dyDescent="0.3">
      <c r="A49780" t="s">
        <v>0</v>
      </c>
    </row>
    <row r="49781" spans="1:1" x14ac:dyDescent="0.3">
      <c r="A49781" t="s">
        <v>0</v>
      </c>
    </row>
    <row r="49782" spans="1:1" x14ac:dyDescent="0.3">
      <c r="A49782" t="s">
        <v>0</v>
      </c>
    </row>
    <row r="49783" spans="1:1" x14ac:dyDescent="0.3">
      <c r="A49783" t="s">
        <v>0</v>
      </c>
    </row>
    <row r="49784" spans="1:1" x14ac:dyDescent="0.3">
      <c r="A49784" t="s">
        <v>0</v>
      </c>
    </row>
    <row r="49785" spans="1:1" x14ac:dyDescent="0.3">
      <c r="A49785" t="s">
        <v>0</v>
      </c>
    </row>
    <row r="49786" spans="1:1" x14ac:dyDescent="0.3">
      <c r="A49786" t="s">
        <v>0</v>
      </c>
    </row>
    <row r="49787" spans="1:1" x14ac:dyDescent="0.3">
      <c r="A49787" t="s">
        <v>0</v>
      </c>
    </row>
    <row r="49788" spans="1:1" x14ac:dyDescent="0.3">
      <c r="A49788" t="s">
        <v>0</v>
      </c>
    </row>
    <row r="49789" spans="1:1" x14ac:dyDescent="0.3">
      <c r="A49789" t="s">
        <v>0</v>
      </c>
    </row>
    <row r="49790" spans="1:1" x14ac:dyDescent="0.3">
      <c r="A49790" t="s">
        <v>0</v>
      </c>
    </row>
    <row r="49791" spans="1:1" x14ac:dyDescent="0.3">
      <c r="A49791" t="s">
        <v>0</v>
      </c>
    </row>
    <row r="49792" spans="1:1" x14ac:dyDescent="0.3">
      <c r="A49792" t="s">
        <v>0</v>
      </c>
    </row>
    <row r="49793" spans="1:1" x14ac:dyDescent="0.3">
      <c r="A49793" t="s">
        <v>0</v>
      </c>
    </row>
    <row r="49794" spans="1:1" x14ac:dyDescent="0.3">
      <c r="A49794" t="s">
        <v>0</v>
      </c>
    </row>
    <row r="49795" spans="1:1" x14ac:dyDescent="0.3">
      <c r="A49795" t="s">
        <v>0</v>
      </c>
    </row>
    <row r="49796" spans="1:1" x14ac:dyDescent="0.3">
      <c r="A49796" t="s">
        <v>0</v>
      </c>
    </row>
    <row r="49797" spans="1:1" x14ac:dyDescent="0.3">
      <c r="A49797" t="s">
        <v>0</v>
      </c>
    </row>
    <row r="49798" spans="1:1" x14ac:dyDescent="0.3">
      <c r="A49798" t="s">
        <v>0</v>
      </c>
    </row>
    <row r="49799" spans="1:1" x14ac:dyDescent="0.3">
      <c r="A49799" t="s">
        <v>0</v>
      </c>
    </row>
    <row r="49800" spans="1:1" x14ac:dyDescent="0.3">
      <c r="A49800" t="s">
        <v>0</v>
      </c>
    </row>
    <row r="49801" spans="1:1" x14ac:dyDescent="0.3">
      <c r="A49801" t="s">
        <v>0</v>
      </c>
    </row>
    <row r="49802" spans="1:1" x14ac:dyDescent="0.3">
      <c r="A49802" t="s">
        <v>0</v>
      </c>
    </row>
    <row r="49803" spans="1:1" x14ac:dyDescent="0.3">
      <c r="A49803" t="s">
        <v>0</v>
      </c>
    </row>
    <row r="49804" spans="1:1" x14ac:dyDescent="0.3">
      <c r="A49804" t="s">
        <v>0</v>
      </c>
    </row>
    <row r="49805" spans="1:1" x14ac:dyDescent="0.3">
      <c r="A49805" t="s">
        <v>0</v>
      </c>
    </row>
    <row r="49806" spans="1:1" x14ac:dyDescent="0.3">
      <c r="A49806" t="s">
        <v>0</v>
      </c>
    </row>
    <row r="49807" spans="1:1" x14ac:dyDescent="0.3">
      <c r="A49807" t="s">
        <v>0</v>
      </c>
    </row>
    <row r="49808" spans="1:1" x14ac:dyDescent="0.3">
      <c r="A49808" t="s">
        <v>0</v>
      </c>
    </row>
    <row r="49809" spans="1:1" x14ac:dyDescent="0.3">
      <c r="A49809" t="s">
        <v>0</v>
      </c>
    </row>
    <row r="49810" spans="1:1" x14ac:dyDescent="0.3">
      <c r="A49810" t="s">
        <v>0</v>
      </c>
    </row>
    <row r="49811" spans="1:1" x14ac:dyDescent="0.3">
      <c r="A49811" t="s">
        <v>0</v>
      </c>
    </row>
    <row r="49812" spans="1:1" x14ac:dyDescent="0.3">
      <c r="A49812" t="s">
        <v>0</v>
      </c>
    </row>
    <row r="49813" spans="1:1" x14ac:dyDescent="0.3">
      <c r="A49813" t="s">
        <v>0</v>
      </c>
    </row>
    <row r="49814" spans="1:1" x14ac:dyDescent="0.3">
      <c r="A49814" t="s">
        <v>0</v>
      </c>
    </row>
    <row r="49815" spans="1:1" x14ac:dyDescent="0.3">
      <c r="A49815" t="s">
        <v>0</v>
      </c>
    </row>
    <row r="49816" spans="1:1" x14ac:dyDescent="0.3">
      <c r="A49816" t="s">
        <v>0</v>
      </c>
    </row>
    <row r="49817" spans="1:1" x14ac:dyDescent="0.3">
      <c r="A49817" t="s">
        <v>0</v>
      </c>
    </row>
    <row r="49818" spans="1:1" x14ac:dyDescent="0.3">
      <c r="A49818" t="s">
        <v>0</v>
      </c>
    </row>
    <row r="49819" spans="1:1" x14ac:dyDescent="0.3">
      <c r="A49819" t="s">
        <v>0</v>
      </c>
    </row>
    <row r="49820" spans="1:1" x14ac:dyDescent="0.3">
      <c r="A49820" t="s">
        <v>0</v>
      </c>
    </row>
    <row r="49821" spans="1:1" x14ac:dyDescent="0.3">
      <c r="A49821" t="s">
        <v>0</v>
      </c>
    </row>
    <row r="49822" spans="1:1" x14ac:dyDescent="0.3">
      <c r="A49822" t="s">
        <v>0</v>
      </c>
    </row>
    <row r="49823" spans="1:1" x14ac:dyDescent="0.3">
      <c r="A49823" t="s">
        <v>0</v>
      </c>
    </row>
    <row r="49824" spans="1:1" x14ac:dyDescent="0.3">
      <c r="A49824" t="s">
        <v>0</v>
      </c>
    </row>
    <row r="49825" spans="1:1" x14ac:dyDescent="0.3">
      <c r="A49825" t="s">
        <v>0</v>
      </c>
    </row>
    <row r="49826" spans="1:1" x14ac:dyDescent="0.3">
      <c r="A49826" t="s">
        <v>0</v>
      </c>
    </row>
    <row r="49827" spans="1:1" x14ac:dyDescent="0.3">
      <c r="A49827" t="s">
        <v>0</v>
      </c>
    </row>
    <row r="49828" spans="1:1" x14ac:dyDescent="0.3">
      <c r="A49828" t="s">
        <v>0</v>
      </c>
    </row>
    <row r="49829" spans="1:1" x14ac:dyDescent="0.3">
      <c r="A49829" t="s">
        <v>0</v>
      </c>
    </row>
    <row r="49830" spans="1:1" x14ac:dyDescent="0.3">
      <c r="A49830" t="s">
        <v>0</v>
      </c>
    </row>
    <row r="49831" spans="1:1" x14ac:dyDescent="0.3">
      <c r="A49831" t="s">
        <v>0</v>
      </c>
    </row>
    <row r="49832" spans="1:1" x14ac:dyDescent="0.3">
      <c r="A49832" t="s">
        <v>0</v>
      </c>
    </row>
    <row r="49833" spans="1:1" x14ac:dyDescent="0.3">
      <c r="A49833" t="s">
        <v>0</v>
      </c>
    </row>
    <row r="49834" spans="1:1" x14ac:dyDescent="0.3">
      <c r="A49834" t="s">
        <v>0</v>
      </c>
    </row>
    <row r="49835" spans="1:1" x14ac:dyDescent="0.3">
      <c r="A49835" t="s">
        <v>0</v>
      </c>
    </row>
    <row r="49836" spans="1:1" x14ac:dyDescent="0.3">
      <c r="A49836" t="s">
        <v>0</v>
      </c>
    </row>
    <row r="49837" spans="1:1" x14ac:dyDescent="0.3">
      <c r="A49837" t="s">
        <v>0</v>
      </c>
    </row>
    <row r="49838" spans="1:1" x14ac:dyDescent="0.3">
      <c r="A49838" t="s">
        <v>0</v>
      </c>
    </row>
    <row r="49839" spans="1:1" x14ac:dyDescent="0.3">
      <c r="A49839" t="s">
        <v>0</v>
      </c>
    </row>
    <row r="49840" spans="1:1" x14ac:dyDescent="0.3">
      <c r="A49840" t="s">
        <v>0</v>
      </c>
    </row>
    <row r="49841" spans="1:1" x14ac:dyDescent="0.3">
      <c r="A49841" t="s">
        <v>0</v>
      </c>
    </row>
    <row r="49842" spans="1:1" x14ac:dyDescent="0.3">
      <c r="A49842" t="s">
        <v>0</v>
      </c>
    </row>
    <row r="49843" spans="1:1" x14ac:dyDescent="0.3">
      <c r="A49843" t="s">
        <v>0</v>
      </c>
    </row>
    <row r="49844" spans="1:1" x14ac:dyDescent="0.3">
      <c r="A49844" t="s">
        <v>0</v>
      </c>
    </row>
    <row r="49845" spans="1:1" x14ac:dyDescent="0.3">
      <c r="A49845" t="s">
        <v>0</v>
      </c>
    </row>
    <row r="49846" spans="1:1" x14ac:dyDescent="0.3">
      <c r="A49846" t="s">
        <v>0</v>
      </c>
    </row>
    <row r="49847" spans="1:1" x14ac:dyDescent="0.3">
      <c r="A49847" t="s">
        <v>0</v>
      </c>
    </row>
    <row r="49848" spans="1:1" x14ac:dyDescent="0.3">
      <c r="A49848" t="s">
        <v>0</v>
      </c>
    </row>
    <row r="49849" spans="1:1" x14ac:dyDescent="0.3">
      <c r="A49849" t="s">
        <v>0</v>
      </c>
    </row>
    <row r="49850" spans="1:1" x14ac:dyDescent="0.3">
      <c r="A49850" t="s">
        <v>0</v>
      </c>
    </row>
    <row r="49851" spans="1:1" x14ac:dyDescent="0.3">
      <c r="A49851" t="s">
        <v>0</v>
      </c>
    </row>
    <row r="49852" spans="1:1" x14ac:dyDescent="0.3">
      <c r="A49852" t="s">
        <v>0</v>
      </c>
    </row>
    <row r="49853" spans="1:1" x14ac:dyDescent="0.3">
      <c r="A49853" t="s">
        <v>0</v>
      </c>
    </row>
    <row r="49854" spans="1:1" x14ac:dyDescent="0.3">
      <c r="A49854" t="s">
        <v>0</v>
      </c>
    </row>
    <row r="49855" spans="1:1" x14ac:dyDescent="0.3">
      <c r="A49855" t="s">
        <v>0</v>
      </c>
    </row>
    <row r="49856" spans="1:1" x14ac:dyDescent="0.3">
      <c r="A49856" t="s">
        <v>0</v>
      </c>
    </row>
    <row r="49857" spans="1:1" x14ac:dyDescent="0.3">
      <c r="A49857" t="s">
        <v>0</v>
      </c>
    </row>
    <row r="49858" spans="1:1" x14ac:dyDescent="0.3">
      <c r="A49858" t="s">
        <v>0</v>
      </c>
    </row>
    <row r="49859" spans="1:1" x14ac:dyDescent="0.3">
      <c r="A49859" t="s">
        <v>0</v>
      </c>
    </row>
    <row r="49860" spans="1:1" x14ac:dyDescent="0.3">
      <c r="A49860" t="s">
        <v>0</v>
      </c>
    </row>
    <row r="49861" spans="1:1" x14ac:dyDescent="0.3">
      <c r="A49861" t="s">
        <v>0</v>
      </c>
    </row>
    <row r="49862" spans="1:1" x14ac:dyDescent="0.3">
      <c r="A49862" t="s">
        <v>0</v>
      </c>
    </row>
    <row r="49863" spans="1:1" x14ac:dyDescent="0.3">
      <c r="A49863" t="s">
        <v>0</v>
      </c>
    </row>
    <row r="49864" spans="1:1" x14ac:dyDescent="0.3">
      <c r="A49864" t="s">
        <v>0</v>
      </c>
    </row>
    <row r="49865" spans="1:1" x14ac:dyDescent="0.3">
      <c r="A49865" t="s">
        <v>0</v>
      </c>
    </row>
    <row r="49866" spans="1:1" x14ac:dyDescent="0.3">
      <c r="A49866" t="s">
        <v>0</v>
      </c>
    </row>
    <row r="49867" spans="1:1" x14ac:dyDescent="0.3">
      <c r="A49867" t="s">
        <v>0</v>
      </c>
    </row>
    <row r="49868" spans="1:1" x14ac:dyDescent="0.3">
      <c r="A49868" t="s">
        <v>0</v>
      </c>
    </row>
    <row r="49869" spans="1:1" x14ac:dyDescent="0.3">
      <c r="A49869" t="s">
        <v>0</v>
      </c>
    </row>
    <row r="49870" spans="1:1" x14ac:dyDescent="0.3">
      <c r="A49870" t="s">
        <v>0</v>
      </c>
    </row>
    <row r="49871" spans="1:1" x14ac:dyDescent="0.3">
      <c r="A49871" t="s">
        <v>0</v>
      </c>
    </row>
    <row r="49872" spans="1:1" x14ac:dyDescent="0.3">
      <c r="A49872" t="s">
        <v>0</v>
      </c>
    </row>
    <row r="49873" spans="1:1" x14ac:dyDescent="0.3">
      <c r="A49873" t="s">
        <v>0</v>
      </c>
    </row>
    <row r="49874" spans="1:1" x14ac:dyDescent="0.3">
      <c r="A49874" t="s">
        <v>0</v>
      </c>
    </row>
    <row r="49875" spans="1:1" x14ac:dyDescent="0.3">
      <c r="A49875" t="s">
        <v>0</v>
      </c>
    </row>
    <row r="49876" spans="1:1" x14ac:dyDescent="0.3">
      <c r="A49876" t="s">
        <v>0</v>
      </c>
    </row>
    <row r="49877" spans="1:1" x14ac:dyDescent="0.3">
      <c r="A49877" t="s">
        <v>0</v>
      </c>
    </row>
    <row r="49878" spans="1:1" x14ac:dyDescent="0.3">
      <c r="A49878" t="s">
        <v>0</v>
      </c>
    </row>
    <row r="49879" spans="1:1" x14ac:dyDescent="0.3">
      <c r="A49879" t="s">
        <v>0</v>
      </c>
    </row>
    <row r="49880" spans="1:1" x14ac:dyDescent="0.3">
      <c r="A49880" t="s">
        <v>0</v>
      </c>
    </row>
    <row r="49881" spans="1:1" x14ac:dyDescent="0.3">
      <c r="A49881" t="s">
        <v>0</v>
      </c>
    </row>
    <row r="49882" spans="1:1" x14ac:dyDescent="0.3">
      <c r="A49882" t="s">
        <v>0</v>
      </c>
    </row>
    <row r="49883" spans="1:1" x14ac:dyDescent="0.3">
      <c r="A49883" t="s">
        <v>0</v>
      </c>
    </row>
    <row r="49884" spans="1:1" x14ac:dyDescent="0.3">
      <c r="A49884" t="s">
        <v>0</v>
      </c>
    </row>
    <row r="49885" spans="1:1" x14ac:dyDescent="0.3">
      <c r="A49885" t="s">
        <v>0</v>
      </c>
    </row>
    <row r="49886" spans="1:1" x14ac:dyDescent="0.3">
      <c r="A49886" t="s">
        <v>0</v>
      </c>
    </row>
    <row r="49887" spans="1:1" x14ac:dyDescent="0.3">
      <c r="A49887" t="s">
        <v>0</v>
      </c>
    </row>
    <row r="49888" spans="1:1" x14ac:dyDescent="0.3">
      <c r="A49888" t="s">
        <v>0</v>
      </c>
    </row>
    <row r="49889" spans="1:1" x14ac:dyDescent="0.3">
      <c r="A49889" t="s">
        <v>0</v>
      </c>
    </row>
    <row r="49890" spans="1:1" x14ac:dyDescent="0.3">
      <c r="A49890" t="s">
        <v>0</v>
      </c>
    </row>
    <row r="49891" spans="1:1" x14ac:dyDescent="0.3">
      <c r="A49891" t="s">
        <v>0</v>
      </c>
    </row>
    <row r="49892" spans="1:1" x14ac:dyDescent="0.3">
      <c r="A49892" t="s">
        <v>0</v>
      </c>
    </row>
    <row r="49893" spans="1:1" x14ac:dyDescent="0.3">
      <c r="A49893" t="s">
        <v>0</v>
      </c>
    </row>
    <row r="49894" spans="1:1" x14ac:dyDescent="0.3">
      <c r="A49894" t="s">
        <v>0</v>
      </c>
    </row>
    <row r="49895" spans="1:1" x14ac:dyDescent="0.3">
      <c r="A49895" t="s">
        <v>0</v>
      </c>
    </row>
    <row r="49896" spans="1:1" x14ac:dyDescent="0.3">
      <c r="A49896" t="s">
        <v>0</v>
      </c>
    </row>
    <row r="49897" spans="1:1" x14ac:dyDescent="0.3">
      <c r="A49897" t="s">
        <v>0</v>
      </c>
    </row>
    <row r="49898" spans="1:1" x14ac:dyDescent="0.3">
      <c r="A49898" t="s">
        <v>0</v>
      </c>
    </row>
    <row r="49899" spans="1:1" x14ac:dyDescent="0.3">
      <c r="A49899" t="s">
        <v>0</v>
      </c>
    </row>
    <row r="49900" spans="1:1" x14ac:dyDescent="0.3">
      <c r="A49900" t="s">
        <v>0</v>
      </c>
    </row>
    <row r="49901" spans="1:1" x14ac:dyDescent="0.3">
      <c r="A49901" t="s">
        <v>0</v>
      </c>
    </row>
    <row r="49902" spans="1:1" x14ac:dyDescent="0.3">
      <c r="A49902" t="s">
        <v>0</v>
      </c>
    </row>
    <row r="49903" spans="1:1" x14ac:dyDescent="0.3">
      <c r="A49903" t="s">
        <v>0</v>
      </c>
    </row>
    <row r="49904" spans="1:1" x14ac:dyDescent="0.3">
      <c r="A49904" t="s">
        <v>0</v>
      </c>
    </row>
    <row r="49905" spans="1:1" x14ac:dyDescent="0.3">
      <c r="A49905" t="s">
        <v>0</v>
      </c>
    </row>
    <row r="49906" spans="1:1" x14ac:dyDescent="0.3">
      <c r="A49906" t="s">
        <v>0</v>
      </c>
    </row>
    <row r="49907" spans="1:1" x14ac:dyDescent="0.3">
      <c r="A49907" t="s">
        <v>0</v>
      </c>
    </row>
    <row r="49908" spans="1:1" x14ac:dyDescent="0.3">
      <c r="A49908" t="s">
        <v>0</v>
      </c>
    </row>
    <row r="49909" spans="1:1" x14ac:dyDescent="0.3">
      <c r="A49909" t="s">
        <v>0</v>
      </c>
    </row>
    <row r="49910" spans="1:1" x14ac:dyDescent="0.3">
      <c r="A49910" t="s">
        <v>0</v>
      </c>
    </row>
    <row r="49911" spans="1:1" x14ac:dyDescent="0.3">
      <c r="A49911" t="s">
        <v>0</v>
      </c>
    </row>
    <row r="49912" spans="1:1" x14ac:dyDescent="0.3">
      <c r="A49912" t="s">
        <v>0</v>
      </c>
    </row>
    <row r="49913" spans="1:1" x14ac:dyDescent="0.3">
      <c r="A49913" t="s">
        <v>0</v>
      </c>
    </row>
    <row r="49914" spans="1:1" x14ac:dyDescent="0.3">
      <c r="A49914" t="s">
        <v>0</v>
      </c>
    </row>
    <row r="49915" spans="1:1" x14ac:dyDescent="0.3">
      <c r="A49915" t="s">
        <v>0</v>
      </c>
    </row>
    <row r="49916" spans="1:1" x14ac:dyDescent="0.3">
      <c r="A49916" t="s">
        <v>0</v>
      </c>
    </row>
    <row r="49917" spans="1:1" x14ac:dyDescent="0.3">
      <c r="A49917" t="s">
        <v>0</v>
      </c>
    </row>
    <row r="49918" spans="1:1" x14ac:dyDescent="0.3">
      <c r="A49918" t="s">
        <v>0</v>
      </c>
    </row>
    <row r="49919" spans="1:1" x14ac:dyDescent="0.3">
      <c r="A49919" t="s">
        <v>0</v>
      </c>
    </row>
    <row r="49920" spans="1:1" x14ac:dyDescent="0.3">
      <c r="A49920" t="s">
        <v>0</v>
      </c>
    </row>
    <row r="49921" spans="1:1" x14ac:dyDescent="0.3">
      <c r="A49921" t="s">
        <v>0</v>
      </c>
    </row>
    <row r="49922" spans="1:1" x14ac:dyDescent="0.3">
      <c r="A49922" t="s">
        <v>0</v>
      </c>
    </row>
    <row r="49923" spans="1:1" x14ac:dyDescent="0.3">
      <c r="A49923" t="s">
        <v>0</v>
      </c>
    </row>
    <row r="49924" spans="1:1" x14ac:dyDescent="0.3">
      <c r="A49924" t="s">
        <v>0</v>
      </c>
    </row>
    <row r="49925" spans="1:1" x14ac:dyDescent="0.3">
      <c r="A49925" t="s">
        <v>0</v>
      </c>
    </row>
    <row r="49926" spans="1:1" x14ac:dyDescent="0.3">
      <c r="A49926" t="s">
        <v>0</v>
      </c>
    </row>
    <row r="49927" spans="1:1" x14ac:dyDescent="0.3">
      <c r="A49927" t="s">
        <v>0</v>
      </c>
    </row>
    <row r="49928" spans="1:1" x14ac:dyDescent="0.3">
      <c r="A49928" t="s">
        <v>0</v>
      </c>
    </row>
    <row r="49929" spans="1:1" x14ac:dyDescent="0.3">
      <c r="A49929" t="s">
        <v>0</v>
      </c>
    </row>
    <row r="49930" spans="1:1" x14ac:dyDescent="0.3">
      <c r="A49930" t="s">
        <v>0</v>
      </c>
    </row>
    <row r="49931" spans="1:1" x14ac:dyDescent="0.3">
      <c r="A49931" t="s">
        <v>0</v>
      </c>
    </row>
    <row r="49932" spans="1:1" x14ac:dyDescent="0.3">
      <c r="A49932" t="s">
        <v>0</v>
      </c>
    </row>
    <row r="49933" spans="1:1" x14ac:dyDescent="0.3">
      <c r="A49933" t="s">
        <v>0</v>
      </c>
    </row>
    <row r="49934" spans="1:1" x14ac:dyDescent="0.3">
      <c r="A49934" t="s">
        <v>0</v>
      </c>
    </row>
    <row r="49935" spans="1:1" x14ac:dyDescent="0.3">
      <c r="A49935" t="s">
        <v>0</v>
      </c>
    </row>
    <row r="49936" spans="1:1" x14ac:dyDescent="0.3">
      <c r="A49936" t="s">
        <v>0</v>
      </c>
    </row>
    <row r="49937" spans="1:1" x14ac:dyDescent="0.3">
      <c r="A49937" t="s">
        <v>0</v>
      </c>
    </row>
    <row r="49938" spans="1:1" x14ac:dyDescent="0.3">
      <c r="A49938" t="s">
        <v>0</v>
      </c>
    </row>
    <row r="49939" spans="1:1" x14ac:dyDescent="0.3">
      <c r="A49939" t="s">
        <v>0</v>
      </c>
    </row>
    <row r="49940" spans="1:1" x14ac:dyDescent="0.3">
      <c r="A49940" t="s">
        <v>0</v>
      </c>
    </row>
    <row r="49941" spans="1:1" x14ac:dyDescent="0.3">
      <c r="A49941" t="s">
        <v>0</v>
      </c>
    </row>
    <row r="49942" spans="1:1" x14ac:dyDescent="0.3">
      <c r="A49942" t="s">
        <v>0</v>
      </c>
    </row>
    <row r="49943" spans="1:1" x14ac:dyDescent="0.3">
      <c r="A49943" t="s">
        <v>0</v>
      </c>
    </row>
    <row r="49944" spans="1:1" x14ac:dyDescent="0.3">
      <c r="A49944" t="s">
        <v>0</v>
      </c>
    </row>
    <row r="49945" spans="1:1" x14ac:dyDescent="0.3">
      <c r="A49945" t="s">
        <v>0</v>
      </c>
    </row>
    <row r="49946" spans="1:1" x14ac:dyDescent="0.3">
      <c r="A49946" t="s">
        <v>0</v>
      </c>
    </row>
    <row r="49947" spans="1:1" x14ac:dyDescent="0.3">
      <c r="A49947" t="s">
        <v>0</v>
      </c>
    </row>
    <row r="49948" spans="1:1" x14ac:dyDescent="0.3">
      <c r="A49948" t="s">
        <v>0</v>
      </c>
    </row>
    <row r="49949" spans="1:1" x14ac:dyDescent="0.3">
      <c r="A49949" t="s">
        <v>0</v>
      </c>
    </row>
    <row r="49950" spans="1:1" x14ac:dyDescent="0.3">
      <c r="A49950" t="s">
        <v>0</v>
      </c>
    </row>
    <row r="49951" spans="1:1" x14ac:dyDescent="0.3">
      <c r="A49951" t="s">
        <v>0</v>
      </c>
    </row>
    <row r="49952" spans="1:1" x14ac:dyDescent="0.3">
      <c r="A49952" t="s">
        <v>0</v>
      </c>
    </row>
    <row r="49953" spans="1:1" x14ac:dyDescent="0.3">
      <c r="A49953" t="s">
        <v>0</v>
      </c>
    </row>
    <row r="49954" spans="1:1" x14ac:dyDescent="0.3">
      <c r="A49954" t="s">
        <v>0</v>
      </c>
    </row>
    <row r="49955" spans="1:1" x14ac:dyDescent="0.3">
      <c r="A49955" t="s">
        <v>0</v>
      </c>
    </row>
    <row r="49956" spans="1:1" x14ac:dyDescent="0.3">
      <c r="A49956" t="s">
        <v>0</v>
      </c>
    </row>
    <row r="49957" spans="1:1" x14ac:dyDescent="0.3">
      <c r="A49957" t="s">
        <v>0</v>
      </c>
    </row>
    <row r="49958" spans="1:1" x14ac:dyDescent="0.3">
      <c r="A49958" t="s">
        <v>0</v>
      </c>
    </row>
    <row r="49959" spans="1:1" x14ac:dyDescent="0.3">
      <c r="A49959" t="s">
        <v>0</v>
      </c>
    </row>
    <row r="49960" spans="1:1" x14ac:dyDescent="0.3">
      <c r="A49960" t="s">
        <v>0</v>
      </c>
    </row>
    <row r="49961" spans="1:1" x14ac:dyDescent="0.3">
      <c r="A49961" t="s">
        <v>0</v>
      </c>
    </row>
    <row r="49962" spans="1:1" x14ac:dyDescent="0.3">
      <c r="A49962" t="s">
        <v>0</v>
      </c>
    </row>
    <row r="49963" spans="1:1" x14ac:dyDescent="0.3">
      <c r="A49963" t="s">
        <v>0</v>
      </c>
    </row>
    <row r="49964" spans="1:1" x14ac:dyDescent="0.3">
      <c r="A49964" t="s">
        <v>0</v>
      </c>
    </row>
    <row r="49965" spans="1:1" x14ac:dyDescent="0.3">
      <c r="A49965" t="s">
        <v>0</v>
      </c>
    </row>
    <row r="49966" spans="1:1" x14ac:dyDescent="0.3">
      <c r="A49966" t="s">
        <v>0</v>
      </c>
    </row>
    <row r="49967" spans="1:1" x14ac:dyDescent="0.3">
      <c r="A49967" t="s">
        <v>0</v>
      </c>
    </row>
    <row r="49968" spans="1:1" x14ac:dyDescent="0.3">
      <c r="A49968" t="s">
        <v>0</v>
      </c>
    </row>
    <row r="49969" spans="1:1" x14ac:dyDescent="0.3">
      <c r="A49969" t="s">
        <v>0</v>
      </c>
    </row>
    <row r="49970" spans="1:1" x14ac:dyDescent="0.3">
      <c r="A49970" t="s">
        <v>0</v>
      </c>
    </row>
    <row r="49971" spans="1:1" x14ac:dyDescent="0.3">
      <c r="A49971" t="s">
        <v>0</v>
      </c>
    </row>
    <row r="49972" spans="1:1" x14ac:dyDescent="0.3">
      <c r="A49972" t="s">
        <v>0</v>
      </c>
    </row>
    <row r="49973" spans="1:1" x14ac:dyDescent="0.3">
      <c r="A49973" t="s">
        <v>0</v>
      </c>
    </row>
    <row r="49974" spans="1:1" x14ac:dyDescent="0.3">
      <c r="A49974" t="s">
        <v>0</v>
      </c>
    </row>
    <row r="49975" spans="1:1" x14ac:dyDescent="0.3">
      <c r="A49975" t="s">
        <v>0</v>
      </c>
    </row>
    <row r="49976" spans="1:1" x14ac:dyDescent="0.3">
      <c r="A49976" t="s">
        <v>0</v>
      </c>
    </row>
    <row r="49977" spans="1:1" x14ac:dyDescent="0.3">
      <c r="A49977" t="s">
        <v>0</v>
      </c>
    </row>
    <row r="49978" spans="1:1" x14ac:dyDescent="0.3">
      <c r="A49978" t="s">
        <v>0</v>
      </c>
    </row>
    <row r="49979" spans="1:1" x14ac:dyDescent="0.3">
      <c r="A49979" t="s">
        <v>0</v>
      </c>
    </row>
    <row r="49980" spans="1:1" x14ac:dyDescent="0.3">
      <c r="A49980" t="s">
        <v>0</v>
      </c>
    </row>
    <row r="49981" spans="1:1" x14ac:dyDescent="0.3">
      <c r="A49981" t="s">
        <v>0</v>
      </c>
    </row>
    <row r="49982" spans="1:1" x14ac:dyDescent="0.3">
      <c r="A49982" t="s">
        <v>0</v>
      </c>
    </row>
    <row r="49983" spans="1:1" x14ac:dyDescent="0.3">
      <c r="A49983" t="s">
        <v>0</v>
      </c>
    </row>
    <row r="49984" spans="1:1" x14ac:dyDescent="0.3">
      <c r="A49984" t="s">
        <v>0</v>
      </c>
    </row>
    <row r="49985" spans="1:1" x14ac:dyDescent="0.3">
      <c r="A49985" t="s">
        <v>0</v>
      </c>
    </row>
    <row r="49986" spans="1:1" x14ac:dyDescent="0.3">
      <c r="A49986" t="s">
        <v>0</v>
      </c>
    </row>
    <row r="49987" spans="1:1" x14ac:dyDescent="0.3">
      <c r="A49987" t="s">
        <v>0</v>
      </c>
    </row>
    <row r="49988" spans="1:1" x14ac:dyDescent="0.3">
      <c r="A49988" t="s">
        <v>0</v>
      </c>
    </row>
    <row r="49989" spans="1:1" x14ac:dyDescent="0.3">
      <c r="A49989" t="s">
        <v>0</v>
      </c>
    </row>
    <row r="49990" spans="1:1" x14ac:dyDescent="0.3">
      <c r="A49990" t="s">
        <v>0</v>
      </c>
    </row>
    <row r="49991" spans="1:1" x14ac:dyDescent="0.3">
      <c r="A49991" t="s">
        <v>0</v>
      </c>
    </row>
    <row r="49992" spans="1:1" x14ac:dyDescent="0.3">
      <c r="A49992" t="s">
        <v>0</v>
      </c>
    </row>
    <row r="49993" spans="1:1" x14ac:dyDescent="0.3">
      <c r="A49993" t="s">
        <v>0</v>
      </c>
    </row>
    <row r="49994" spans="1:1" x14ac:dyDescent="0.3">
      <c r="A49994" t="s">
        <v>0</v>
      </c>
    </row>
    <row r="49995" spans="1:1" x14ac:dyDescent="0.3">
      <c r="A49995" t="s">
        <v>0</v>
      </c>
    </row>
    <row r="49996" spans="1:1" x14ac:dyDescent="0.3">
      <c r="A49996" t="s">
        <v>0</v>
      </c>
    </row>
    <row r="49997" spans="1:1" x14ac:dyDescent="0.3">
      <c r="A49997" t="s">
        <v>0</v>
      </c>
    </row>
    <row r="49998" spans="1:1" x14ac:dyDescent="0.3">
      <c r="A49998" t="s">
        <v>0</v>
      </c>
    </row>
    <row r="49999" spans="1:1" x14ac:dyDescent="0.3">
      <c r="A49999" t="s">
        <v>0</v>
      </c>
    </row>
    <row r="50000" spans="1:1" x14ac:dyDescent="0.3">
      <c r="A50000" t="s">
        <v>0</v>
      </c>
    </row>
    <row r="50001" spans="1:1" x14ac:dyDescent="0.3">
      <c r="A50001" t="s">
        <v>0</v>
      </c>
    </row>
    <row r="50002" spans="1:1" x14ac:dyDescent="0.3">
      <c r="A50002" t="s">
        <v>0</v>
      </c>
    </row>
    <row r="50003" spans="1:1" x14ac:dyDescent="0.3">
      <c r="A50003" t="s">
        <v>0</v>
      </c>
    </row>
    <row r="50004" spans="1:1" x14ac:dyDescent="0.3">
      <c r="A50004" t="s">
        <v>0</v>
      </c>
    </row>
    <row r="50005" spans="1:1" x14ac:dyDescent="0.3">
      <c r="A50005" t="s">
        <v>0</v>
      </c>
    </row>
    <row r="50006" spans="1:1" x14ac:dyDescent="0.3">
      <c r="A50006" t="s">
        <v>0</v>
      </c>
    </row>
    <row r="50007" spans="1:1" x14ac:dyDescent="0.3">
      <c r="A50007" t="s">
        <v>0</v>
      </c>
    </row>
    <row r="50008" spans="1:1" x14ac:dyDescent="0.3">
      <c r="A50008" t="s">
        <v>0</v>
      </c>
    </row>
    <row r="50009" spans="1:1" x14ac:dyDescent="0.3">
      <c r="A50009" t="s">
        <v>0</v>
      </c>
    </row>
    <row r="50010" spans="1:1" x14ac:dyDescent="0.3">
      <c r="A50010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Q346"/>
  <sheetViews>
    <sheetView zoomScale="80" zoomScaleNormal="80" workbookViewId="0">
      <selection activeCell="B6" sqref="B6"/>
    </sheetView>
  </sheetViews>
  <sheetFormatPr defaultRowHeight="14.4" x14ac:dyDescent="0.3"/>
  <cols>
    <col min="1" max="1" width="8.88671875" style="20"/>
    <col min="2" max="2" width="38.88671875" style="20" customWidth="1"/>
    <col min="3" max="3" width="17.109375" style="20" bestFit="1" customWidth="1"/>
    <col min="4" max="4" width="12.109375" style="20" bestFit="1" customWidth="1"/>
    <col min="5" max="5" width="21" style="20" bestFit="1" customWidth="1"/>
    <col min="6" max="6" width="18" style="20" bestFit="1" customWidth="1"/>
    <col min="7" max="7" width="18.6640625" style="20" bestFit="1" customWidth="1"/>
    <col min="8" max="8" width="40.33203125" style="20" bestFit="1" customWidth="1"/>
    <col min="9" max="9" width="62" style="20" bestFit="1" customWidth="1"/>
    <col min="10" max="10" width="13.6640625" style="20" bestFit="1" customWidth="1"/>
    <col min="11" max="11" width="11.33203125" style="20" bestFit="1" customWidth="1"/>
    <col min="12" max="12" width="13.88671875" style="20" bestFit="1" customWidth="1"/>
    <col min="13" max="13" width="16.44140625" style="20" bestFit="1" customWidth="1"/>
    <col min="14" max="14" width="34.109375" style="20" bestFit="1" customWidth="1"/>
    <col min="15" max="15" width="18.109375" style="20" bestFit="1" customWidth="1"/>
    <col min="16" max="16" width="17.109375" style="20" bestFit="1" customWidth="1"/>
    <col min="17" max="17" width="14.5546875" bestFit="1" customWidth="1"/>
  </cols>
  <sheetData>
    <row r="1" spans="1:17" ht="132" customHeight="1" x14ac:dyDescent="0.3">
      <c r="C1" s="14" t="s">
        <v>1</v>
      </c>
      <c r="D1" s="14" t="s">
        <v>11</v>
      </c>
      <c r="E1" s="14" t="s">
        <v>2</v>
      </c>
      <c r="F1" s="14" t="s">
        <v>12</v>
      </c>
      <c r="G1" s="14" t="s">
        <v>13</v>
      </c>
      <c r="H1" s="14" t="s">
        <v>15</v>
      </c>
      <c r="I1" s="14" t="s">
        <v>14</v>
      </c>
      <c r="J1" s="14" t="s">
        <v>3</v>
      </c>
      <c r="K1" s="14" t="s">
        <v>4</v>
      </c>
      <c r="L1" s="14" t="s">
        <v>5</v>
      </c>
      <c r="M1" s="14" t="s">
        <v>6</v>
      </c>
      <c r="N1" s="14" t="s">
        <v>7</v>
      </c>
      <c r="O1" s="15" t="s">
        <v>8</v>
      </c>
      <c r="P1" s="15" t="s">
        <v>9</v>
      </c>
      <c r="Q1" s="15" t="s">
        <v>10</v>
      </c>
    </row>
    <row r="2" spans="1:17" ht="26.25" customHeight="1" x14ac:dyDescent="0.3">
      <c r="A2" s="20" t="s">
        <v>16</v>
      </c>
      <c r="B2" s="20" t="s">
        <v>20</v>
      </c>
      <c r="C2" s="21" t="s">
        <v>42</v>
      </c>
      <c r="D2" s="20" t="str">
        <f>VLOOKUP($G2,CHOOSE({1,2},'[1]Plan atualizada aptas e desativ'!$E$4:$E$5000,'[1]Plan atualizada aptas e desativ'!$A$4:$A$5000),2,0)</f>
        <v>06</v>
      </c>
      <c r="E2" s="20" t="s">
        <v>48</v>
      </c>
      <c r="F2" s="20">
        <f>VLOOKUP($G2,CHOOSE({1,2},'[1]Plan atualizada aptas e desativ'!$E$4:$E$5000,'[1]Plan atualizada aptas e desativ'!$C$4:$C$5000),2,0)</f>
        <v>1142862</v>
      </c>
      <c r="G2" s="20">
        <f>VLOOKUP($C2,CHOOSE({1,2},[2]dadoscnpj!$U$4:$U$5000,[2]dadoscnpj!$E$4:$E$5000),2,0)</f>
        <v>29285534</v>
      </c>
      <c r="H2" s="20" t="str">
        <f>VLOOKUP($G2,CHOOSE({1,2},'[1]Plan atualizada aptas e desativ'!$E$4:$E$5000,'[1]Plan atualizada aptas e desativ'!$F$4:$F$5000),2,0)</f>
        <v>COLEGIO ESTADUAL CANDIDO MEIRELES</v>
      </c>
      <c r="I2" s="20" t="s">
        <v>38</v>
      </c>
      <c r="J2" s="21" t="s">
        <v>24</v>
      </c>
      <c r="K2" s="20">
        <v>33800</v>
      </c>
      <c r="L2" s="20" t="s">
        <v>25</v>
      </c>
      <c r="M2" s="20">
        <v>1</v>
      </c>
      <c r="N2" s="20" t="s">
        <v>26</v>
      </c>
      <c r="O2" s="20" t="s">
        <v>27</v>
      </c>
      <c r="P2" s="20">
        <v>2710</v>
      </c>
      <c r="Q2">
        <v>144592</v>
      </c>
    </row>
    <row r="3" spans="1:17" ht="26.25" customHeight="1" x14ac:dyDescent="0.3">
      <c r="A3" s="20" t="s">
        <v>16</v>
      </c>
      <c r="C3" s="21" t="s">
        <v>42</v>
      </c>
      <c r="D3" s="20" t="str">
        <f>VLOOKUP($G3,CHOOSE({1,2},'[1]Plan atualizada aptas e desativ'!$E$4:$E$5000,'[1]Plan atualizada aptas e desativ'!$A$4:$A$5000),2,0)</f>
        <v>06</v>
      </c>
      <c r="E3" s="20" t="s">
        <v>48</v>
      </c>
      <c r="F3" s="20">
        <f>VLOOKUP($G3,CHOOSE({1,2},'[1]Plan atualizada aptas e desativ'!$E$4:$E$5000,'[1]Plan atualizada aptas e desativ'!$C$4:$C$5000),2,0)</f>
        <v>1142862</v>
      </c>
      <c r="G3" s="20">
        <f>VLOOKUP($C3,CHOOSE({1,2},[2]dadoscnpj!$U$4:$U$5000,[2]dadoscnpj!$E$4:$E$5000),2,0)</f>
        <v>29285534</v>
      </c>
      <c r="H3" s="20" t="str">
        <f>VLOOKUP($G3,CHOOSE({1,2},'[1]Plan atualizada aptas e desativ'!$E$4:$E$5000,'[1]Plan atualizada aptas e desativ'!$F$4:$F$5000),2,0)</f>
        <v>COLEGIO ESTADUAL CANDIDO MEIRELES</v>
      </c>
      <c r="I3" s="20" t="s">
        <v>38</v>
      </c>
      <c r="J3" s="21" t="s">
        <v>28</v>
      </c>
      <c r="K3" s="20">
        <v>35212</v>
      </c>
      <c r="L3" s="20" t="s">
        <v>29</v>
      </c>
      <c r="M3" s="20">
        <v>1</v>
      </c>
      <c r="N3" s="20" t="s">
        <v>30</v>
      </c>
      <c r="O3" s="20" t="s">
        <v>27</v>
      </c>
      <c r="P3" s="20">
        <v>2710</v>
      </c>
      <c r="Q3">
        <v>144592</v>
      </c>
    </row>
    <row r="4" spans="1:17" ht="26.25" customHeight="1" x14ac:dyDescent="0.3">
      <c r="A4" s="20" t="s">
        <v>17</v>
      </c>
      <c r="B4" s="20" t="s">
        <v>21</v>
      </c>
      <c r="C4" s="21" t="s">
        <v>43</v>
      </c>
      <c r="D4" s="20" t="str">
        <f>VLOOKUP($G4,CHOOSE({1,2},'[1]Plan atualizada aptas e desativ'!$E$4:$E$5000,'[1]Plan atualizada aptas e desativ'!$A$4:$A$5000),2,0)</f>
        <v>18</v>
      </c>
      <c r="E4" s="20" t="s">
        <v>49</v>
      </c>
      <c r="F4" s="20">
        <f>VLOOKUP($G4,CHOOSE({1,2},'[1]Plan atualizada aptas e desativ'!$E$4:$E$5000,'[1]Plan atualizada aptas e desativ'!$C$4:$C$5000),2,0)</f>
        <v>1179222</v>
      </c>
      <c r="G4" s="20">
        <f>VLOOKUP($C4,CHOOSE({1,2},[2]dadoscnpj!$U$4:$U$5000,[2]dadoscnpj!$E$4:$E$5000),2,0)</f>
        <v>29456495</v>
      </c>
      <c r="H4" s="20" t="str">
        <f>VLOOKUP($G4,CHOOSE({1,2},'[1]Plan atualizada aptas e desativ'!$E$4:$E$5000,'[1]Plan atualizada aptas e desativ'!$F$4:$F$5000),2,0)</f>
        <v>COLEGIO ESTADUAL PROFESSORA IVANECK MARIA AGUIAR COSTA</v>
      </c>
      <c r="I4" s="20" t="s">
        <v>39</v>
      </c>
      <c r="J4" s="21" t="s">
        <v>46</v>
      </c>
      <c r="K4" s="20">
        <v>3105</v>
      </c>
      <c r="L4" s="20" t="s">
        <v>31</v>
      </c>
      <c r="M4" s="20">
        <v>1</v>
      </c>
      <c r="N4" s="20" t="s">
        <v>32</v>
      </c>
      <c r="O4" s="20" t="s">
        <v>27</v>
      </c>
      <c r="P4" s="20">
        <v>2041</v>
      </c>
      <c r="Q4">
        <v>308269</v>
      </c>
    </row>
    <row r="5" spans="1:17" ht="26.25" customHeight="1" x14ac:dyDescent="0.3">
      <c r="A5" s="20" t="s">
        <v>17</v>
      </c>
      <c r="C5" s="21" t="s">
        <v>43</v>
      </c>
      <c r="D5" s="20" t="str">
        <f>VLOOKUP($G5,CHOOSE({1,2},'[1]Plan atualizada aptas e desativ'!$E$4:$E$5000,'[1]Plan atualizada aptas e desativ'!$A$4:$A$5000),2,0)</f>
        <v>18</v>
      </c>
      <c r="E5" s="20" t="s">
        <v>49</v>
      </c>
      <c r="F5" s="20">
        <f>VLOOKUP($G5,CHOOSE({1,2},'[1]Plan atualizada aptas e desativ'!$E$4:$E$5000,'[1]Plan atualizada aptas e desativ'!$C$4:$C$5000),2,0)</f>
        <v>1179222</v>
      </c>
      <c r="G5" s="20">
        <f>VLOOKUP($C5,CHOOSE({1,2},[2]dadoscnpj!$U$4:$U$5000,[2]dadoscnpj!$E$4:$E$5000),2,0)</f>
        <v>29456495</v>
      </c>
      <c r="H5" s="20" t="str">
        <f>VLOOKUP($G5,CHOOSE({1,2},'[1]Plan atualizada aptas e desativ'!$E$4:$E$5000,'[1]Plan atualizada aptas e desativ'!$F$4:$F$5000),2,0)</f>
        <v>COLEGIO ESTADUAL PROFESSORA IVANECK MARIA AGUIAR COSTA</v>
      </c>
      <c r="I5" s="20" t="s">
        <v>39</v>
      </c>
      <c r="J5" s="21" t="s">
        <v>33</v>
      </c>
      <c r="K5" s="20">
        <v>27491</v>
      </c>
      <c r="L5" s="20" t="s">
        <v>29</v>
      </c>
      <c r="M5" s="20">
        <v>1</v>
      </c>
      <c r="N5" s="20" t="s">
        <v>30</v>
      </c>
      <c r="O5" s="20" t="s">
        <v>27</v>
      </c>
      <c r="P5" s="20">
        <v>2041</v>
      </c>
      <c r="Q5">
        <v>308269</v>
      </c>
    </row>
    <row r="6" spans="1:17" ht="26.25" customHeight="1" x14ac:dyDescent="0.3">
      <c r="A6" s="20" t="s">
        <v>18</v>
      </c>
      <c r="B6" s="20" t="s">
        <v>22</v>
      </c>
      <c r="C6" s="21" t="s">
        <v>44</v>
      </c>
      <c r="D6" s="20" t="str">
        <f>VLOOKUP($G6,CHOOSE({1,2},'[1]Plan atualizada aptas e desativ'!$E$4:$E$5000,'[1]Plan atualizada aptas e desativ'!$A$4:$A$5000),2,0)</f>
        <v>17</v>
      </c>
      <c r="E6" s="20" t="s">
        <v>50</v>
      </c>
      <c r="F6" s="20">
        <f>VLOOKUP($G6,CHOOSE({1,2},'[1]Plan atualizada aptas e desativ'!$E$4:$E$5000,'[1]Plan atualizada aptas e desativ'!$C$4:$C$5000),2,0)</f>
        <v>1115342</v>
      </c>
      <c r="G6" s="20">
        <f>VLOOKUP($C6,CHOOSE({1,2},[2]dadoscnpj!$U$4:$U$5000,[2]dadoscnpj!$E$4:$E$5000),2,0)</f>
        <v>29132711</v>
      </c>
      <c r="H6" s="20" t="str">
        <f>VLOOKUP($G6,CHOOSE({1,2},'[1]Plan atualizada aptas e desativ'!$E$4:$E$5000,'[1]Plan atualizada aptas e desativ'!$F$4:$F$5000),2,0)</f>
        <v>COLEGIO ESTADUAL JOSEFA SOARES DE OLIVEIRA</v>
      </c>
      <c r="I6" s="20" t="s">
        <v>40</v>
      </c>
      <c r="J6" s="21" t="s">
        <v>34</v>
      </c>
      <c r="K6" s="20">
        <v>26088</v>
      </c>
      <c r="L6" s="20" t="s">
        <v>29</v>
      </c>
      <c r="M6" s="20">
        <v>1</v>
      </c>
      <c r="N6" s="20" t="s">
        <v>35</v>
      </c>
      <c r="O6" s="20" t="s">
        <v>27</v>
      </c>
      <c r="P6" s="20">
        <v>973</v>
      </c>
      <c r="Q6" s="3">
        <v>393746</v>
      </c>
    </row>
    <row r="7" spans="1:17" ht="26.25" customHeight="1" x14ac:dyDescent="0.3">
      <c r="A7" s="20" t="s">
        <v>18</v>
      </c>
      <c r="C7" s="21" t="s">
        <v>44</v>
      </c>
      <c r="D7" s="20" t="str">
        <f>VLOOKUP($G7,CHOOSE({1,2},'[1]Plan atualizada aptas e desativ'!$E$4:$E$5000,'[1]Plan atualizada aptas e desativ'!$A$4:$A$5000),2,0)</f>
        <v>17</v>
      </c>
      <c r="E7" s="20" t="s">
        <v>50</v>
      </c>
      <c r="F7" s="20">
        <f>VLOOKUP($G7,CHOOSE({1,2},'[1]Plan atualizada aptas e desativ'!$E$4:$E$5000,'[1]Plan atualizada aptas e desativ'!$C$4:$C$5000),2,0)</f>
        <v>1115342</v>
      </c>
      <c r="G7" s="20">
        <f>VLOOKUP($C7,CHOOSE({1,2},[2]dadoscnpj!$U$4:$U$5000,[2]dadoscnpj!$E$4:$E$5000),2,0)</f>
        <v>29132711</v>
      </c>
      <c r="H7" s="20" t="str">
        <f>VLOOKUP($G7,CHOOSE({1,2},'[1]Plan atualizada aptas e desativ'!$E$4:$E$5000,'[1]Plan atualizada aptas e desativ'!$F$4:$F$5000),2,0)</f>
        <v>COLEGIO ESTADUAL JOSEFA SOARES DE OLIVEIRA</v>
      </c>
      <c r="I7" s="20" t="s">
        <v>40</v>
      </c>
      <c r="J7" s="21" t="s">
        <v>33</v>
      </c>
      <c r="K7" s="20">
        <v>27491</v>
      </c>
      <c r="L7" s="20" t="s">
        <v>29</v>
      </c>
      <c r="M7" s="20">
        <v>1</v>
      </c>
      <c r="N7" s="20" t="s">
        <v>30</v>
      </c>
      <c r="O7" s="20" t="s">
        <v>27</v>
      </c>
      <c r="P7" s="20">
        <v>973</v>
      </c>
      <c r="Q7" s="3">
        <v>393746</v>
      </c>
    </row>
    <row r="8" spans="1:17" ht="26.25" customHeight="1" x14ac:dyDescent="0.3">
      <c r="A8" s="20" t="s">
        <v>18</v>
      </c>
      <c r="C8" s="21" t="s">
        <v>44</v>
      </c>
      <c r="D8" s="20" t="str">
        <f>VLOOKUP($G8,CHOOSE({1,2},'[1]Plan atualizada aptas e desativ'!$E$4:$E$5000,'[1]Plan atualizada aptas e desativ'!$A$4:$A$5000),2,0)</f>
        <v>17</v>
      </c>
      <c r="E8" s="20" t="s">
        <v>50</v>
      </c>
      <c r="F8" s="20">
        <f>VLOOKUP($G8,CHOOSE({1,2},'[1]Plan atualizada aptas e desativ'!$E$4:$E$5000,'[1]Plan atualizada aptas e desativ'!$C$4:$C$5000),2,0)</f>
        <v>1115342</v>
      </c>
      <c r="G8" s="20">
        <f>VLOOKUP($C8,CHOOSE({1,2},[2]dadoscnpj!$U$4:$U$5000,[2]dadoscnpj!$E$4:$E$5000),2,0)</f>
        <v>29132711</v>
      </c>
      <c r="H8" s="20" t="str">
        <f>VLOOKUP($G8,CHOOSE({1,2},'[1]Plan atualizada aptas e desativ'!$E$4:$E$5000,'[1]Plan atualizada aptas e desativ'!$F$4:$F$5000),2,0)</f>
        <v>COLEGIO ESTADUAL JOSEFA SOARES DE OLIVEIRA</v>
      </c>
      <c r="I8" s="20" t="s">
        <v>40</v>
      </c>
      <c r="J8" s="21" t="s">
        <v>47</v>
      </c>
      <c r="K8" s="20">
        <v>31473</v>
      </c>
      <c r="L8" s="20" t="s">
        <v>36</v>
      </c>
      <c r="M8" s="20">
        <v>1</v>
      </c>
      <c r="N8" s="20" t="s">
        <v>37</v>
      </c>
      <c r="O8" s="20" t="s">
        <v>27</v>
      </c>
      <c r="P8" s="20">
        <v>973</v>
      </c>
      <c r="Q8" s="3">
        <v>393746</v>
      </c>
    </row>
    <row r="9" spans="1:17" ht="26.25" customHeight="1" x14ac:dyDescent="0.3">
      <c r="A9" s="20" t="s">
        <v>19</v>
      </c>
      <c r="B9" s="20" t="s">
        <v>23</v>
      </c>
      <c r="C9" s="21" t="s">
        <v>45</v>
      </c>
      <c r="D9" s="20" t="str">
        <f>VLOOKUP($G9,CHOOSE({1,2},'[1]Plan atualizada aptas e desativ'!$E$4:$E$5000,'[1]Plan atualizada aptas e desativ'!$A$4:$A$5000),2,0)</f>
        <v>06</v>
      </c>
      <c r="E9" s="20" t="s">
        <v>51</v>
      </c>
      <c r="F9" s="20">
        <f>VLOOKUP($G9,CHOOSE({1,2},'[1]Plan atualizada aptas e desativ'!$E$4:$E$5000,'[1]Plan atualizada aptas e desativ'!$C$4:$C$5000),2,0)</f>
        <v>1108966</v>
      </c>
      <c r="G9" s="20">
        <f>VLOOKUP($C9,CHOOSE({1,2},[2]dadoscnpj!$U$4:$U$5000,[2]dadoscnpj!$E$4:$E$5000),2,0)</f>
        <v>29161770</v>
      </c>
      <c r="H9" s="20" t="str">
        <f>VLOOKUP($G9,CHOOSE({1,2},'[1]Plan atualizada aptas e desativ'!$E$4:$E$5000,'[1]Plan atualizada aptas e desativ'!$F$4:$F$5000),2,0)</f>
        <v>COLEGIO ESTADUAL DE TEMPO INTEGRAL PROFESSOR ROCHA PITA</v>
      </c>
      <c r="I9" s="20" t="s">
        <v>41</v>
      </c>
      <c r="J9" s="21" t="s">
        <v>33</v>
      </c>
      <c r="K9" s="20">
        <v>27491</v>
      </c>
      <c r="L9" s="20" t="s">
        <v>29</v>
      </c>
      <c r="M9" s="20">
        <v>1</v>
      </c>
      <c r="N9" s="20" t="s">
        <v>30</v>
      </c>
      <c r="O9" s="20" t="s">
        <v>27</v>
      </c>
      <c r="P9" s="20">
        <v>238</v>
      </c>
      <c r="Q9">
        <v>386162</v>
      </c>
    </row>
    <row r="10" spans="1:17" ht="26.25" customHeight="1" x14ac:dyDescent="0.3">
      <c r="J10" s="21"/>
    </row>
    <row r="11" spans="1:17" ht="26.25" customHeight="1" x14ac:dyDescent="0.3">
      <c r="J11" s="21"/>
    </row>
    <row r="12" spans="1:17" ht="26.25" customHeight="1" x14ac:dyDescent="0.3">
      <c r="J12" s="21"/>
      <c r="Q12" s="3"/>
    </row>
    <row r="13" spans="1:17" ht="26.25" customHeight="1" x14ac:dyDescent="0.3">
      <c r="J13" s="21"/>
    </row>
    <row r="14" spans="1:17" ht="26.25" customHeight="1" x14ac:dyDescent="0.3"/>
    <row r="15" spans="1:17" ht="26.25" customHeight="1" x14ac:dyDescent="0.3"/>
    <row r="16" spans="1:17" ht="26.25" customHeight="1" x14ac:dyDescent="0.3"/>
    <row r="17" ht="26.25" customHeight="1" x14ac:dyDescent="0.3"/>
    <row r="18" ht="26.25" customHeight="1" x14ac:dyDescent="0.3"/>
    <row r="19" ht="26.25" customHeight="1" x14ac:dyDescent="0.3"/>
    <row r="20" ht="26.25" customHeight="1" x14ac:dyDescent="0.3"/>
    <row r="21" ht="26.25" customHeight="1" x14ac:dyDescent="0.3"/>
    <row r="22" ht="26.25" customHeight="1" x14ac:dyDescent="0.3"/>
    <row r="23" ht="26.25" customHeight="1" x14ac:dyDescent="0.3"/>
    <row r="24" ht="26.25" customHeight="1" x14ac:dyDescent="0.3"/>
    <row r="25" ht="26.25" customHeight="1" x14ac:dyDescent="0.3"/>
    <row r="26" ht="26.25" customHeight="1" x14ac:dyDescent="0.3"/>
    <row r="27" ht="26.25" customHeight="1" x14ac:dyDescent="0.3"/>
    <row r="28" ht="26.25" customHeight="1" x14ac:dyDescent="0.3"/>
    <row r="29" ht="26.25" customHeight="1" x14ac:dyDescent="0.3"/>
    <row r="30" ht="26.25" customHeight="1" x14ac:dyDescent="0.3"/>
    <row r="31" ht="26.25" customHeight="1" x14ac:dyDescent="0.3"/>
    <row r="32" ht="26.25" customHeight="1" x14ac:dyDescent="0.3"/>
    <row r="33" spans="17:17" ht="26.25" customHeight="1" x14ac:dyDescent="0.3"/>
    <row r="34" spans="17:17" ht="26.25" customHeight="1" x14ac:dyDescent="0.3"/>
    <row r="35" spans="17:17" ht="26.25" customHeight="1" x14ac:dyDescent="0.3"/>
    <row r="36" spans="17:17" ht="26.25" customHeight="1" x14ac:dyDescent="0.3"/>
    <row r="37" spans="17:17" ht="26.25" customHeight="1" x14ac:dyDescent="0.3">
      <c r="Q37" s="3"/>
    </row>
    <row r="38" spans="17:17" ht="26.25" customHeight="1" x14ac:dyDescent="0.3">
      <c r="Q38" s="3"/>
    </row>
    <row r="39" spans="17:17" ht="26.25" customHeight="1" x14ac:dyDescent="0.3">
      <c r="Q39" s="3"/>
    </row>
    <row r="40" spans="17:17" ht="26.25" customHeight="1" x14ac:dyDescent="0.3">
      <c r="Q40" s="3"/>
    </row>
    <row r="41" spans="17:17" ht="26.25" customHeight="1" x14ac:dyDescent="0.3"/>
    <row r="42" spans="17:17" ht="26.25" customHeight="1" x14ac:dyDescent="0.3"/>
    <row r="43" spans="17:17" ht="26.25" customHeight="1" x14ac:dyDescent="0.3"/>
    <row r="44" spans="17:17" ht="26.25" customHeight="1" x14ac:dyDescent="0.3"/>
    <row r="45" spans="17:17" ht="26.25" customHeight="1" x14ac:dyDescent="0.3"/>
    <row r="46" spans="17:17" ht="26.25" customHeight="1" x14ac:dyDescent="0.3"/>
    <row r="47" spans="17:17" ht="26.25" customHeight="1" x14ac:dyDescent="0.3"/>
    <row r="48" spans="17:17" ht="26.25" customHeight="1" x14ac:dyDescent="0.3"/>
    <row r="49" spans="17:17" ht="26.25" customHeight="1" x14ac:dyDescent="0.3"/>
    <row r="50" spans="17:17" ht="26.25" customHeight="1" x14ac:dyDescent="0.3"/>
    <row r="51" spans="17:17" ht="26.25" customHeight="1" x14ac:dyDescent="0.3"/>
    <row r="52" spans="17:17" ht="26.25" customHeight="1" x14ac:dyDescent="0.3"/>
    <row r="53" spans="17:17" ht="26.25" customHeight="1" x14ac:dyDescent="0.3"/>
    <row r="54" spans="17:17" ht="26.25" customHeight="1" x14ac:dyDescent="0.3"/>
    <row r="55" spans="17:17" ht="26.25" customHeight="1" x14ac:dyDescent="0.3"/>
    <row r="56" spans="17:17" ht="26.25" customHeight="1" x14ac:dyDescent="0.3"/>
    <row r="57" spans="17:17" ht="26.25" customHeight="1" x14ac:dyDescent="0.3"/>
    <row r="58" spans="17:17" ht="26.25" customHeight="1" x14ac:dyDescent="0.3"/>
    <row r="59" spans="17:17" ht="26.25" customHeight="1" x14ac:dyDescent="0.3"/>
    <row r="60" spans="17:17" ht="26.25" customHeight="1" x14ac:dyDescent="0.3"/>
    <row r="61" spans="17:17" ht="26.25" customHeight="1" x14ac:dyDescent="0.3"/>
    <row r="62" spans="17:17" ht="26.25" customHeight="1" x14ac:dyDescent="0.3"/>
    <row r="63" spans="17:17" ht="26.25" customHeight="1" x14ac:dyDescent="0.3">
      <c r="Q63" s="3"/>
    </row>
    <row r="64" spans="17:17" ht="26.25" customHeight="1" x14ac:dyDescent="0.3"/>
    <row r="65" spans="17:17" ht="26.25" customHeight="1" x14ac:dyDescent="0.3">
      <c r="Q65" s="3"/>
    </row>
    <row r="66" spans="17:17" ht="26.25" customHeight="1" x14ac:dyDescent="0.3">
      <c r="Q66" s="3"/>
    </row>
    <row r="67" spans="17:17" ht="26.25" customHeight="1" x14ac:dyDescent="0.3">
      <c r="Q67" s="3"/>
    </row>
    <row r="68" spans="17:17" ht="26.25" customHeight="1" x14ac:dyDescent="0.3"/>
    <row r="69" spans="17:17" ht="26.25" customHeight="1" x14ac:dyDescent="0.3"/>
    <row r="70" spans="17:17" ht="26.25" customHeight="1" x14ac:dyDescent="0.3"/>
    <row r="71" spans="17:17" ht="26.25" customHeight="1" x14ac:dyDescent="0.3"/>
    <row r="72" spans="17:17" ht="26.25" customHeight="1" x14ac:dyDescent="0.3"/>
    <row r="73" spans="17:17" ht="26.25" customHeight="1" x14ac:dyDescent="0.3"/>
    <row r="74" spans="17:17" ht="26.25" customHeight="1" x14ac:dyDescent="0.3"/>
    <row r="75" spans="17:17" ht="26.25" customHeight="1" x14ac:dyDescent="0.3"/>
    <row r="76" spans="17:17" ht="26.25" customHeight="1" x14ac:dyDescent="0.3"/>
    <row r="77" spans="17:17" ht="26.25" customHeight="1" x14ac:dyDescent="0.3"/>
    <row r="78" spans="17:17" ht="26.25" customHeight="1" x14ac:dyDescent="0.3"/>
    <row r="79" spans="17:17" ht="26.25" customHeight="1" x14ac:dyDescent="0.3"/>
    <row r="80" spans="17:17" ht="26.25" customHeight="1" x14ac:dyDescent="0.3"/>
    <row r="81" ht="26.25" customHeight="1" x14ac:dyDescent="0.3"/>
    <row r="82" ht="26.25" customHeight="1" x14ac:dyDescent="0.3"/>
    <row r="83" ht="26.25" customHeight="1" x14ac:dyDescent="0.3"/>
    <row r="84" ht="26.25" customHeight="1" x14ac:dyDescent="0.3"/>
    <row r="85" ht="26.25" customHeight="1" x14ac:dyDescent="0.3"/>
    <row r="86" ht="26.25" customHeight="1" x14ac:dyDescent="0.3"/>
    <row r="87" ht="26.25" customHeight="1" x14ac:dyDescent="0.3"/>
    <row r="88" ht="26.25" customHeight="1" x14ac:dyDescent="0.3"/>
    <row r="89" ht="26.25" customHeight="1" x14ac:dyDescent="0.3"/>
    <row r="90" ht="26.25" customHeight="1" x14ac:dyDescent="0.3"/>
    <row r="91" ht="26.25" customHeight="1" x14ac:dyDescent="0.3"/>
    <row r="92" ht="26.25" customHeight="1" x14ac:dyDescent="0.3"/>
    <row r="93" ht="26.25" customHeight="1" x14ac:dyDescent="0.3"/>
    <row r="94" ht="26.25" customHeight="1" x14ac:dyDescent="0.3"/>
    <row r="95" ht="26.25" customHeight="1" x14ac:dyDescent="0.3"/>
    <row r="96" ht="26.25" customHeight="1" x14ac:dyDescent="0.3"/>
    <row r="97" ht="26.25" customHeight="1" x14ac:dyDescent="0.3"/>
    <row r="98" ht="26.25" customHeight="1" x14ac:dyDescent="0.3"/>
    <row r="99" ht="26.25" customHeight="1" x14ac:dyDescent="0.3"/>
    <row r="100" ht="26.25" customHeight="1" x14ac:dyDescent="0.3"/>
    <row r="101" ht="26.25" customHeight="1" x14ac:dyDescent="0.3"/>
    <row r="102" ht="26.25" customHeight="1" x14ac:dyDescent="0.3"/>
    <row r="103" ht="26.25" customHeight="1" x14ac:dyDescent="0.3"/>
    <row r="104" ht="26.25" customHeight="1" x14ac:dyDescent="0.3"/>
    <row r="105" ht="26.25" customHeight="1" x14ac:dyDescent="0.3"/>
    <row r="106" ht="26.25" customHeight="1" x14ac:dyDescent="0.3"/>
    <row r="107" ht="26.25" customHeight="1" x14ac:dyDescent="0.3"/>
    <row r="108" ht="26.25" customHeight="1" x14ac:dyDescent="0.3"/>
    <row r="109" ht="26.25" customHeight="1" x14ac:dyDescent="0.3"/>
    <row r="110" ht="26.25" customHeight="1" x14ac:dyDescent="0.3"/>
    <row r="111" ht="26.25" customHeight="1" x14ac:dyDescent="0.3"/>
    <row r="112" ht="26.25" customHeight="1" x14ac:dyDescent="0.3"/>
    <row r="113" ht="26.25" customHeight="1" x14ac:dyDescent="0.3"/>
    <row r="114" ht="26.25" customHeight="1" x14ac:dyDescent="0.3"/>
    <row r="115" ht="26.25" customHeight="1" x14ac:dyDescent="0.3"/>
    <row r="116" ht="26.25" customHeight="1" x14ac:dyDescent="0.3"/>
    <row r="117" ht="26.25" customHeight="1" x14ac:dyDescent="0.3"/>
    <row r="118" ht="26.25" customHeight="1" x14ac:dyDescent="0.3"/>
    <row r="119" ht="26.25" customHeight="1" x14ac:dyDescent="0.3"/>
    <row r="120" ht="26.25" customHeight="1" x14ac:dyDescent="0.3"/>
    <row r="121" ht="26.25" customHeight="1" x14ac:dyDescent="0.3"/>
    <row r="122" ht="26.25" customHeight="1" x14ac:dyDescent="0.3"/>
    <row r="123" ht="26.25" customHeight="1" x14ac:dyDescent="0.3"/>
    <row r="124" ht="26.25" customHeight="1" x14ac:dyDescent="0.3"/>
    <row r="125" ht="26.25" customHeight="1" x14ac:dyDescent="0.3"/>
    <row r="126" ht="26.25" customHeight="1" x14ac:dyDescent="0.3"/>
    <row r="127" ht="26.25" customHeight="1" x14ac:dyDescent="0.3"/>
    <row r="128" ht="26.25" customHeight="1" x14ac:dyDescent="0.3"/>
    <row r="129" ht="26.25" customHeight="1" x14ac:dyDescent="0.3"/>
    <row r="130" ht="26.25" customHeight="1" x14ac:dyDescent="0.3"/>
    <row r="131" ht="26.25" customHeight="1" x14ac:dyDescent="0.3"/>
    <row r="132" ht="26.25" customHeight="1" x14ac:dyDescent="0.3"/>
    <row r="133" ht="26.25" customHeight="1" x14ac:dyDescent="0.3"/>
    <row r="134" ht="26.25" customHeight="1" x14ac:dyDescent="0.3"/>
    <row r="135" ht="26.25" customHeight="1" x14ac:dyDescent="0.3"/>
    <row r="136" ht="26.25" customHeight="1" x14ac:dyDescent="0.3"/>
    <row r="137" ht="26.25" customHeight="1" x14ac:dyDescent="0.3"/>
    <row r="138" ht="26.25" customHeight="1" x14ac:dyDescent="0.3"/>
    <row r="139" ht="26.25" customHeight="1" x14ac:dyDescent="0.3"/>
    <row r="140" ht="26.25" customHeight="1" x14ac:dyDescent="0.3"/>
    <row r="141" ht="26.25" customHeight="1" x14ac:dyDescent="0.3"/>
    <row r="142" ht="26.25" customHeight="1" x14ac:dyDescent="0.3"/>
    <row r="143" ht="26.25" customHeight="1" x14ac:dyDescent="0.3"/>
    <row r="144" ht="26.25" customHeight="1" x14ac:dyDescent="0.3"/>
    <row r="145" ht="26.25" customHeight="1" x14ac:dyDescent="0.3"/>
    <row r="146" ht="26.25" customHeight="1" x14ac:dyDescent="0.3"/>
    <row r="147" ht="26.25" customHeight="1" x14ac:dyDescent="0.3"/>
    <row r="148" ht="26.25" customHeight="1" x14ac:dyDescent="0.3"/>
    <row r="149" ht="26.25" customHeight="1" x14ac:dyDescent="0.3"/>
    <row r="150" ht="26.25" customHeight="1" x14ac:dyDescent="0.3"/>
    <row r="151" ht="26.25" customHeight="1" x14ac:dyDescent="0.3"/>
    <row r="152" ht="26.25" customHeight="1" x14ac:dyDescent="0.3"/>
    <row r="153" ht="26.25" customHeight="1" x14ac:dyDescent="0.3"/>
    <row r="154" ht="26.25" customHeight="1" x14ac:dyDescent="0.3"/>
    <row r="155" ht="26.25" customHeight="1" x14ac:dyDescent="0.3"/>
    <row r="156" ht="26.25" customHeight="1" x14ac:dyDescent="0.3"/>
    <row r="157" ht="26.25" customHeight="1" x14ac:dyDescent="0.3"/>
    <row r="158" ht="26.25" customHeight="1" x14ac:dyDescent="0.3"/>
    <row r="159" ht="26.25" customHeight="1" x14ac:dyDescent="0.3"/>
    <row r="160" ht="26.25" customHeight="1" x14ac:dyDescent="0.3"/>
    <row r="161" ht="26.25" customHeight="1" x14ac:dyDescent="0.3"/>
    <row r="162" ht="26.25" customHeight="1" x14ac:dyDescent="0.3"/>
    <row r="163" ht="26.25" customHeight="1" x14ac:dyDescent="0.3"/>
    <row r="164" ht="26.25" customHeight="1" x14ac:dyDescent="0.3"/>
    <row r="165" ht="26.25" customHeight="1" x14ac:dyDescent="0.3"/>
    <row r="166" ht="26.25" customHeight="1" x14ac:dyDescent="0.3"/>
    <row r="167" ht="26.25" customHeight="1" x14ac:dyDescent="0.3"/>
    <row r="168" ht="26.25" customHeight="1" x14ac:dyDescent="0.3"/>
    <row r="169" ht="26.25" customHeight="1" x14ac:dyDescent="0.3"/>
    <row r="170" ht="26.25" customHeight="1" x14ac:dyDescent="0.3"/>
    <row r="171" ht="26.25" customHeight="1" x14ac:dyDescent="0.3"/>
    <row r="172" ht="26.25" customHeight="1" x14ac:dyDescent="0.3"/>
    <row r="173" ht="26.25" customHeight="1" x14ac:dyDescent="0.3"/>
    <row r="174" ht="26.25" customHeight="1" x14ac:dyDescent="0.3"/>
    <row r="175" ht="26.25" customHeight="1" x14ac:dyDescent="0.3"/>
    <row r="176" ht="26.25" customHeight="1" x14ac:dyDescent="0.3"/>
    <row r="177" ht="26.25" customHeight="1" x14ac:dyDescent="0.3"/>
    <row r="178" ht="26.25" customHeight="1" x14ac:dyDescent="0.3"/>
    <row r="179" ht="26.25" customHeight="1" x14ac:dyDescent="0.3"/>
    <row r="180" ht="26.25" customHeight="1" x14ac:dyDescent="0.3"/>
    <row r="181" ht="26.25" customHeight="1" x14ac:dyDescent="0.3"/>
    <row r="182" ht="26.25" customHeight="1" x14ac:dyDescent="0.3"/>
    <row r="183" ht="26.25" customHeight="1" x14ac:dyDescent="0.3"/>
    <row r="184" ht="26.25" customHeight="1" x14ac:dyDescent="0.3"/>
    <row r="185" ht="26.25" customHeight="1" x14ac:dyDescent="0.3"/>
    <row r="186" ht="26.25" customHeight="1" x14ac:dyDescent="0.3"/>
    <row r="187" ht="26.25" customHeight="1" x14ac:dyDescent="0.3"/>
    <row r="188" ht="26.25" customHeight="1" x14ac:dyDescent="0.3"/>
    <row r="189" ht="26.25" customHeight="1" x14ac:dyDescent="0.3"/>
    <row r="190" ht="26.25" customHeight="1" x14ac:dyDescent="0.3"/>
    <row r="191" ht="26.25" customHeight="1" x14ac:dyDescent="0.3"/>
    <row r="192" ht="26.25" customHeight="1" x14ac:dyDescent="0.3"/>
    <row r="193" ht="26.25" customHeight="1" x14ac:dyDescent="0.3"/>
    <row r="194" ht="26.25" customHeight="1" x14ac:dyDescent="0.3"/>
    <row r="195" ht="26.25" customHeight="1" x14ac:dyDescent="0.3"/>
    <row r="196" ht="26.25" customHeight="1" x14ac:dyDescent="0.3"/>
    <row r="197" ht="26.25" customHeight="1" x14ac:dyDescent="0.3"/>
    <row r="198" ht="26.25" customHeight="1" x14ac:dyDescent="0.3"/>
    <row r="199" ht="26.25" customHeight="1" x14ac:dyDescent="0.3"/>
    <row r="200" ht="26.25" customHeight="1" x14ac:dyDescent="0.3"/>
    <row r="201" ht="26.25" customHeight="1" x14ac:dyDescent="0.3"/>
    <row r="202" ht="26.25" customHeight="1" x14ac:dyDescent="0.3"/>
    <row r="203" ht="26.25" customHeight="1" x14ac:dyDescent="0.3"/>
    <row r="204" ht="26.25" customHeight="1" x14ac:dyDescent="0.3"/>
    <row r="205" ht="26.25" customHeight="1" x14ac:dyDescent="0.3"/>
    <row r="206" ht="26.25" customHeight="1" x14ac:dyDescent="0.3"/>
    <row r="207" ht="26.25" customHeight="1" x14ac:dyDescent="0.3"/>
    <row r="208" ht="26.25" customHeight="1" x14ac:dyDescent="0.3"/>
    <row r="209" ht="26.25" customHeight="1" x14ac:dyDescent="0.3"/>
    <row r="210" ht="26.25" customHeight="1" x14ac:dyDescent="0.3"/>
    <row r="211" ht="26.25" customHeight="1" x14ac:dyDescent="0.3"/>
    <row r="212" ht="26.25" customHeight="1" x14ac:dyDescent="0.3"/>
    <row r="213" ht="26.25" customHeight="1" x14ac:dyDescent="0.3"/>
    <row r="214" ht="26.25" customHeight="1" x14ac:dyDescent="0.3"/>
    <row r="215" ht="26.25" customHeight="1" x14ac:dyDescent="0.3"/>
    <row r="216" ht="26.25" customHeight="1" x14ac:dyDescent="0.3"/>
    <row r="217" ht="26.25" customHeight="1" x14ac:dyDescent="0.3"/>
    <row r="218" ht="26.25" customHeight="1" x14ac:dyDescent="0.3"/>
    <row r="219" ht="26.25" customHeight="1" x14ac:dyDescent="0.3"/>
    <row r="220" ht="26.25" customHeight="1" x14ac:dyDescent="0.3"/>
    <row r="221" ht="26.25" customHeight="1" x14ac:dyDescent="0.3"/>
    <row r="222" ht="26.25" customHeight="1" x14ac:dyDescent="0.3"/>
    <row r="223" ht="26.25" customHeight="1" x14ac:dyDescent="0.3"/>
    <row r="224" ht="26.25" customHeight="1" x14ac:dyDescent="0.3"/>
    <row r="225" ht="26.25" customHeight="1" x14ac:dyDescent="0.3"/>
    <row r="226" ht="26.25" customHeight="1" x14ac:dyDescent="0.3"/>
    <row r="227" ht="26.25" customHeight="1" x14ac:dyDescent="0.3"/>
    <row r="228" ht="26.25" customHeight="1" x14ac:dyDescent="0.3"/>
    <row r="229" ht="26.25" customHeight="1" x14ac:dyDescent="0.3"/>
    <row r="230" ht="26.25" customHeight="1" x14ac:dyDescent="0.3"/>
    <row r="231" ht="26.25" customHeight="1" x14ac:dyDescent="0.3"/>
    <row r="232" ht="26.25" customHeight="1" x14ac:dyDescent="0.3"/>
    <row r="233" ht="26.25" customHeight="1" x14ac:dyDescent="0.3"/>
    <row r="234" ht="26.25" customHeight="1" x14ac:dyDescent="0.3"/>
    <row r="235" ht="26.25" customHeight="1" x14ac:dyDescent="0.3"/>
    <row r="236" ht="26.25" customHeight="1" x14ac:dyDescent="0.3"/>
    <row r="237" ht="26.25" customHeight="1" x14ac:dyDescent="0.3"/>
    <row r="238" ht="26.25" customHeight="1" x14ac:dyDescent="0.3"/>
    <row r="239" ht="26.25" customHeight="1" x14ac:dyDescent="0.3"/>
    <row r="240" ht="26.25" customHeight="1" x14ac:dyDescent="0.3"/>
    <row r="241" ht="26.25" customHeight="1" x14ac:dyDescent="0.3"/>
    <row r="242" ht="26.25" customHeight="1" x14ac:dyDescent="0.3"/>
    <row r="243" ht="26.25" customHeight="1" x14ac:dyDescent="0.3"/>
    <row r="244" ht="26.25" customHeight="1" x14ac:dyDescent="0.3"/>
    <row r="245" ht="26.25" customHeight="1" x14ac:dyDescent="0.3"/>
    <row r="246" ht="26.25" customHeight="1" x14ac:dyDescent="0.3"/>
    <row r="247" ht="26.25" customHeight="1" x14ac:dyDescent="0.3"/>
    <row r="248" ht="26.25" customHeight="1" x14ac:dyDescent="0.3"/>
    <row r="249" ht="26.25" customHeight="1" x14ac:dyDescent="0.3"/>
    <row r="250" ht="26.25" customHeight="1" x14ac:dyDescent="0.3"/>
    <row r="251" ht="26.25" customHeight="1" x14ac:dyDescent="0.3"/>
    <row r="252" ht="26.25" customHeight="1" x14ac:dyDescent="0.3"/>
    <row r="253" ht="26.25" customHeight="1" x14ac:dyDescent="0.3"/>
    <row r="254" ht="26.25" customHeight="1" x14ac:dyDescent="0.3"/>
    <row r="255" ht="26.25" customHeight="1" x14ac:dyDescent="0.3"/>
    <row r="256" ht="26.25" customHeight="1" x14ac:dyDescent="0.3"/>
    <row r="257" ht="26.25" customHeight="1" x14ac:dyDescent="0.3"/>
    <row r="258" ht="26.25" customHeight="1" x14ac:dyDescent="0.3"/>
    <row r="259" ht="26.25" customHeight="1" x14ac:dyDescent="0.3"/>
    <row r="260" ht="26.25" customHeight="1" x14ac:dyDescent="0.3"/>
    <row r="261" ht="26.25" customHeight="1" x14ac:dyDescent="0.3"/>
    <row r="262" ht="26.25" customHeight="1" x14ac:dyDescent="0.3"/>
    <row r="263" ht="26.25" customHeight="1" x14ac:dyDescent="0.3"/>
    <row r="264" ht="26.25" customHeight="1" x14ac:dyDescent="0.3"/>
    <row r="265" ht="26.25" customHeight="1" x14ac:dyDescent="0.3"/>
    <row r="266" ht="26.25" customHeight="1" x14ac:dyDescent="0.3"/>
    <row r="267" ht="26.25" customHeight="1" x14ac:dyDescent="0.3"/>
    <row r="268" ht="26.25" customHeight="1" x14ac:dyDescent="0.3"/>
    <row r="269" ht="26.25" customHeight="1" x14ac:dyDescent="0.3"/>
    <row r="270" ht="26.25" customHeight="1" x14ac:dyDescent="0.3"/>
    <row r="271" ht="26.25" customHeight="1" x14ac:dyDescent="0.3"/>
    <row r="272" ht="26.25" customHeight="1" x14ac:dyDescent="0.3"/>
    <row r="273" ht="26.25" customHeight="1" x14ac:dyDescent="0.3"/>
    <row r="274" ht="26.25" customHeight="1" x14ac:dyDescent="0.3"/>
    <row r="275" ht="26.25" customHeight="1" x14ac:dyDescent="0.3"/>
    <row r="276" ht="26.25" customHeight="1" x14ac:dyDescent="0.3"/>
    <row r="277" ht="26.25" customHeight="1" x14ac:dyDescent="0.3"/>
    <row r="278" ht="26.25" customHeight="1" x14ac:dyDescent="0.3"/>
    <row r="279" ht="26.25" customHeight="1" x14ac:dyDescent="0.3"/>
    <row r="280" ht="26.25" customHeight="1" x14ac:dyDescent="0.3"/>
    <row r="281" ht="26.25" customHeight="1" x14ac:dyDescent="0.3"/>
    <row r="282" ht="26.25" customHeight="1" x14ac:dyDescent="0.3"/>
    <row r="283" ht="26.25" customHeight="1" x14ac:dyDescent="0.3"/>
    <row r="284" ht="26.25" customHeight="1" x14ac:dyDescent="0.3"/>
    <row r="285" ht="26.25" customHeight="1" x14ac:dyDescent="0.3"/>
    <row r="286" ht="26.25" customHeight="1" x14ac:dyDescent="0.3"/>
    <row r="287" ht="26.25" customHeight="1" x14ac:dyDescent="0.3"/>
    <row r="288" ht="26.25" customHeight="1" x14ac:dyDescent="0.3"/>
    <row r="289" ht="26.25" customHeight="1" x14ac:dyDescent="0.3"/>
    <row r="290" ht="26.25" customHeight="1" x14ac:dyDescent="0.3"/>
    <row r="291" ht="26.25" customHeight="1" x14ac:dyDescent="0.3"/>
    <row r="292" ht="26.25" customHeight="1" x14ac:dyDescent="0.3"/>
    <row r="293" ht="26.25" customHeight="1" x14ac:dyDescent="0.3"/>
    <row r="294" ht="26.25" customHeight="1" x14ac:dyDescent="0.3"/>
    <row r="295" ht="26.25" customHeight="1" x14ac:dyDescent="0.3"/>
    <row r="296" ht="26.25" customHeight="1" x14ac:dyDescent="0.3"/>
    <row r="297" ht="26.25" customHeight="1" x14ac:dyDescent="0.3"/>
    <row r="298" ht="26.25" customHeight="1" x14ac:dyDescent="0.3"/>
    <row r="299" ht="26.25" customHeight="1" x14ac:dyDescent="0.3"/>
    <row r="300" ht="26.25" customHeight="1" x14ac:dyDescent="0.3"/>
    <row r="301" ht="26.25" customHeight="1" x14ac:dyDescent="0.3"/>
    <row r="302" ht="26.25" customHeight="1" x14ac:dyDescent="0.3"/>
    <row r="303" ht="26.25" customHeight="1" x14ac:dyDescent="0.3"/>
    <row r="304" ht="26.25" customHeight="1" x14ac:dyDescent="0.3"/>
    <row r="305" ht="26.25" customHeight="1" x14ac:dyDescent="0.3"/>
    <row r="306" ht="26.25" customHeight="1" x14ac:dyDescent="0.3"/>
    <row r="307" ht="20.25" customHeight="1" x14ac:dyDescent="0.3"/>
    <row r="308" ht="20.25" customHeight="1" x14ac:dyDescent="0.3"/>
    <row r="309" ht="20.25" customHeight="1" x14ac:dyDescent="0.3"/>
    <row r="310" ht="20.25" customHeight="1" x14ac:dyDescent="0.3"/>
    <row r="311" ht="20.25" customHeight="1" x14ac:dyDescent="0.3"/>
    <row r="312" ht="20.25" customHeight="1" x14ac:dyDescent="0.3"/>
    <row r="313" ht="20.25" customHeight="1" x14ac:dyDescent="0.3"/>
    <row r="314" ht="20.25" customHeight="1" x14ac:dyDescent="0.3"/>
    <row r="315" ht="20.25" customHeight="1" x14ac:dyDescent="0.3"/>
    <row r="316" ht="20.25" customHeight="1" x14ac:dyDescent="0.3"/>
    <row r="317" ht="20.25" customHeight="1" x14ac:dyDescent="0.3"/>
    <row r="318" ht="20.25" customHeight="1" x14ac:dyDescent="0.3"/>
    <row r="319" ht="20.25" customHeight="1" x14ac:dyDescent="0.3"/>
    <row r="320" ht="20.25" customHeight="1" x14ac:dyDescent="0.3"/>
    <row r="321" ht="20.25" customHeight="1" x14ac:dyDescent="0.3"/>
    <row r="322" ht="20.25" customHeight="1" x14ac:dyDescent="0.3"/>
    <row r="323" ht="20.25" customHeight="1" x14ac:dyDescent="0.3"/>
    <row r="324" ht="20.25" customHeight="1" x14ac:dyDescent="0.3"/>
    <row r="325" ht="20.25" customHeight="1" x14ac:dyDescent="0.3"/>
    <row r="326" ht="20.25" customHeight="1" x14ac:dyDescent="0.3"/>
    <row r="327" ht="20.25" customHeight="1" x14ac:dyDescent="0.3"/>
    <row r="328" ht="20.25" customHeight="1" x14ac:dyDescent="0.3"/>
    <row r="329" ht="20.25" customHeight="1" x14ac:dyDescent="0.3"/>
    <row r="330" ht="20.25" customHeight="1" x14ac:dyDescent="0.3"/>
    <row r="331" ht="20.25" customHeight="1" x14ac:dyDescent="0.3"/>
    <row r="332" ht="20.25" customHeight="1" x14ac:dyDescent="0.3"/>
    <row r="333" ht="20.25" customHeight="1" x14ac:dyDescent="0.3"/>
    <row r="334" ht="20.25" customHeight="1" x14ac:dyDescent="0.3"/>
    <row r="335" ht="20.25" customHeight="1" x14ac:dyDescent="0.3"/>
    <row r="336" ht="20.25" customHeight="1" x14ac:dyDescent="0.3"/>
    <row r="337" ht="20.25" customHeight="1" x14ac:dyDescent="0.3"/>
    <row r="338" ht="20.25" customHeight="1" x14ac:dyDescent="0.3"/>
    <row r="339" ht="28.5" customHeight="1" x14ac:dyDescent="0.3"/>
    <row r="340" ht="28.5" customHeight="1" x14ac:dyDescent="0.3"/>
    <row r="341" ht="28.5" customHeight="1" x14ac:dyDescent="0.3"/>
    <row r="342" ht="28.5" customHeight="1" x14ac:dyDescent="0.3"/>
    <row r="343" ht="28.5" customHeight="1" x14ac:dyDescent="0.3"/>
    <row r="344" ht="39.75" customHeight="1" x14ac:dyDescent="0.3"/>
    <row r="345" ht="39.75" customHeight="1" x14ac:dyDescent="0.3"/>
    <row r="346" ht="39.75" customHeight="1" x14ac:dyDescent="0.3"/>
  </sheetData>
  <autoFilter ref="A1:Q287" xr:uid="{00000000-0009-0000-0000-000002000000}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5338-2512-408E-A02B-65076BC43E47}">
  <sheetPr codeName="Planilha5"/>
  <dimension ref="A1:U889"/>
  <sheetViews>
    <sheetView zoomScale="70" zoomScaleNormal="70" workbookViewId="0">
      <selection activeCell="G13" sqref="G13"/>
    </sheetView>
  </sheetViews>
  <sheetFormatPr defaultColWidth="9.109375" defaultRowHeight="14.4" x14ac:dyDescent="0.3"/>
  <cols>
    <col min="2" max="2" width="11.109375" style="1" customWidth="1"/>
    <col min="3" max="3" width="9.44140625" style="1" customWidth="1"/>
    <col min="4" max="4" width="25.109375" customWidth="1"/>
    <col min="5" max="5" width="21.5546875" style="1" bestFit="1" customWidth="1"/>
    <col min="6" max="6" width="13.6640625" customWidth="1"/>
    <col min="7" max="7" width="81.44140625" bestFit="1" customWidth="1"/>
    <col min="8" max="8" width="21.5546875" style="1" hidden="1" customWidth="1"/>
    <col min="9" max="9" width="15.6640625" style="1" hidden="1" customWidth="1"/>
    <col min="10" max="10" width="17.6640625" style="1" hidden="1" customWidth="1"/>
    <col min="11" max="11" width="15" hidden="1" customWidth="1"/>
    <col min="12" max="12" width="24.5546875" style="1" hidden="1" customWidth="1"/>
    <col min="13" max="13" width="23.5546875" hidden="1" customWidth="1"/>
    <col min="14" max="14" width="23" hidden="1" customWidth="1"/>
    <col min="15" max="15" width="20.5546875" hidden="1" customWidth="1"/>
    <col min="16" max="16" width="11.109375" hidden="1" customWidth="1"/>
    <col min="17" max="17" width="14.44140625" hidden="1" customWidth="1"/>
    <col min="18" max="18" width="26.33203125" style="1" hidden="1" customWidth="1"/>
    <col min="19" max="19" width="11.6640625" style="1" hidden="1" customWidth="1"/>
    <col min="20" max="20" width="26.6640625" style="1" hidden="1" customWidth="1"/>
    <col min="21" max="21" width="19.5546875" customWidth="1"/>
  </cols>
  <sheetData>
    <row r="1" spans="1:21" ht="45" customHeight="1" x14ac:dyDescent="0.3">
      <c r="B1" s="22" t="s">
        <v>52</v>
      </c>
      <c r="C1" s="22" t="s">
        <v>53</v>
      </c>
      <c r="D1" s="23" t="s">
        <v>54</v>
      </c>
      <c r="E1" s="22" t="s">
        <v>53</v>
      </c>
      <c r="F1" s="23" t="s">
        <v>55</v>
      </c>
      <c r="G1" s="23"/>
      <c r="H1" s="22"/>
      <c r="I1" s="22"/>
      <c r="J1" s="22"/>
      <c r="K1" s="23"/>
      <c r="L1" s="22"/>
      <c r="M1" s="23"/>
      <c r="N1" s="23"/>
      <c r="O1" s="23"/>
      <c r="P1" s="23"/>
      <c r="Q1" s="23"/>
      <c r="R1" s="22"/>
      <c r="S1" s="22"/>
      <c r="T1" s="22"/>
      <c r="U1" s="23"/>
    </row>
    <row r="2" spans="1:21" ht="29.25" customHeight="1" x14ac:dyDescent="0.3">
      <c r="B2" s="11"/>
      <c r="C2" s="11"/>
      <c r="F2" s="23"/>
      <c r="G2" s="23"/>
      <c r="H2" s="22"/>
      <c r="I2" s="22"/>
      <c r="J2" s="22"/>
      <c r="K2" s="23"/>
      <c r="L2" s="22"/>
      <c r="M2" s="23"/>
      <c r="N2" s="23"/>
      <c r="O2" s="23"/>
      <c r="P2" s="23"/>
      <c r="Q2" s="23"/>
      <c r="R2" s="22"/>
      <c r="S2" s="22"/>
      <c r="T2" s="22"/>
      <c r="U2" s="23"/>
    </row>
    <row r="3" spans="1:21" s="26" customFormat="1" ht="87.75" customHeight="1" x14ac:dyDescent="0.3">
      <c r="A3" s="24" t="s">
        <v>56</v>
      </c>
      <c r="B3" s="25" t="s">
        <v>57</v>
      </c>
      <c r="C3" s="25" t="s">
        <v>11</v>
      </c>
      <c r="D3" s="25" t="s">
        <v>58</v>
      </c>
      <c r="E3" s="25" t="s">
        <v>59</v>
      </c>
      <c r="F3" s="25" t="s">
        <v>60</v>
      </c>
      <c r="G3" s="25" t="s">
        <v>61</v>
      </c>
      <c r="H3" s="25" t="s">
        <v>62</v>
      </c>
      <c r="I3" s="25" t="s">
        <v>8</v>
      </c>
      <c r="J3" s="25" t="s">
        <v>9</v>
      </c>
      <c r="K3" s="25" t="s">
        <v>10</v>
      </c>
      <c r="L3" s="25" t="s">
        <v>63</v>
      </c>
      <c r="M3" s="25" t="s">
        <v>64</v>
      </c>
      <c r="N3" s="25" t="s">
        <v>65</v>
      </c>
      <c r="O3" s="25" t="s">
        <v>66</v>
      </c>
      <c r="P3" s="25"/>
      <c r="Q3" s="25"/>
      <c r="R3" s="25" t="s">
        <v>67</v>
      </c>
      <c r="S3" s="25" t="s">
        <v>4</v>
      </c>
      <c r="T3" s="25" t="s">
        <v>68</v>
      </c>
      <c r="U3" s="25"/>
    </row>
    <row r="4" spans="1:21" ht="28.5" customHeight="1" x14ac:dyDescent="0.3">
      <c r="A4" s="27">
        <v>1</v>
      </c>
      <c r="B4" s="28">
        <v>2025</v>
      </c>
      <c r="C4" s="29" t="s">
        <v>69</v>
      </c>
      <c r="D4" s="30" t="s">
        <v>70</v>
      </c>
      <c r="E4" s="29">
        <v>29000599</v>
      </c>
      <c r="F4" s="29">
        <v>1129637</v>
      </c>
      <c r="G4" s="30" t="s">
        <v>71</v>
      </c>
      <c r="H4" s="29">
        <v>431</v>
      </c>
      <c r="I4" s="29">
        <v>1</v>
      </c>
      <c r="J4" s="29"/>
      <c r="K4" s="30"/>
      <c r="L4" s="29" t="s">
        <v>72</v>
      </c>
      <c r="M4" s="31">
        <v>3141</v>
      </c>
      <c r="N4" s="31">
        <v>2094</v>
      </c>
      <c r="O4" s="31">
        <v>5235</v>
      </c>
      <c r="P4" s="31">
        <f>VLOOKUP(F4,'[3]1ª PARCELA'!$E$5:$H$889,4,FALSE)</f>
        <v>5235</v>
      </c>
      <c r="Q4" s="31" t="b">
        <f>O4=P4</f>
        <v>1</v>
      </c>
      <c r="R4" s="32">
        <v>45805</v>
      </c>
      <c r="S4" s="29">
        <v>9678</v>
      </c>
      <c r="T4" s="29" t="s">
        <v>73</v>
      </c>
      <c r="U4" s="33" t="s">
        <v>74</v>
      </c>
    </row>
    <row r="5" spans="1:21" ht="28.5" customHeight="1" x14ac:dyDescent="0.3">
      <c r="A5" s="27">
        <v>2</v>
      </c>
      <c r="B5" s="28">
        <v>2025</v>
      </c>
      <c r="C5" s="29" t="s">
        <v>69</v>
      </c>
      <c r="D5" s="30" t="s">
        <v>75</v>
      </c>
      <c r="E5" s="29">
        <v>29000831</v>
      </c>
      <c r="F5" s="29">
        <v>1165382</v>
      </c>
      <c r="G5" s="30" t="s">
        <v>76</v>
      </c>
      <c r="H5" s="29">
        <v>325</v>
      </c>
      <c r="I5" s="29">
        <v>1</v>
      </c>
      <c r="J5" s="29"/>
      <c r="K5" s="30"/>
      <c r="L5" s="29" t="s">
        <v>72</v>
      </c>
      <c r="M5" s="31">
        <v>2922.5</v>
      </c>
      <c r="N5" s="31">
        <v>1252.5</v>
      </c>
      <c r="O5" s="31">
        <v>4175</v>
      </c>
      <c r="P5" s="31">
        <f>VLOOKUP(F5,'[3]1ª PARCELA'!$E$5:$H$889,4,FALSE)</f>
        <v>4175</v>
      </c>
      <c r="Q5" s="31" t="b">
        <f t="shared" ref="Q5:Q68" si="0">O5=P5</f>
        <v>1</v>
      </c>
      <c r="R5" s="32">
        <v>45793</v>
      </c>
      <c r="S5" s="29">
        <v>9173</v>
      </c>
      <c r="T5" s="29" t="s">
        <v>77</v>
      </c>
      <c r="U5" s="33" t="s">
        <v>78</v>
      </c>
    </row>
    <row r="6" spans="1:21" ht="28.5" customHeight="1" x14ac:dyDescent="0.3">
      <c r="A6" s="27">
        <v>3</v>
      </c>
      <c r="B6" s="28">
        <v>2025</v>
      </c>
      <c r="C6" s="29" t="s">
        <v>69</v>
      </c>
      <c r="D6" s="30" t="s">
        <v>75</v>
      </c>
      <c r="E6" s="29">
        <v>29000840</v>
      </c>
      <c r="F6" s="29">
        <v>1139896</v>
      </c>
      <c r="G6" s="30" t="s">
        <v>79</v>
      </c>
      <c r="H6" s="29">
        <v>1213</v>
      </c>
      <c r="I6" s="29">
        <v>1</v>
      </c>
      <c r="J6" s="29"/>
      <c r="K6" s="30"/>
      <c r="L6" s="29" t="s">
        <v>72</v>
      </c>
      <c r="M6" s="31">
        <v>10444</v>
      </c>
      <c r="N6" s="31">
        <v>2611</v>
      </c>
      <c r="O6" s="31">
        <v>13055</v>
      </c>
      <c r="P6" s="31">
        <f>VLOOKUP(F6,'[3]1ª PARCELA'!$E$5:$H$889,4,FALSE)</f>
        <v>13055</v>
      </c>
      <c r="Q6" s="31" t="b">
        <f t="shared" si="0"/>
        <v>1</v>
      </c>
      <c r="R6" s="32">
        <v>45895</v>
      </c>
      <c r="S6" s="29">
        <v>19863</v>
      </c>
      <c r="T6" s="29" t="s">
        <v>80</v>
      </c>
      <c r="U6" s="33" t="s">
        <v>81</v>
      </c>
    </row>
    <row r="7" spans="1:21" ht="28.5" customHeight="1" x14ac:dyDescent="0.3">
      <c r="A7" s="27">
        <v>4</v>
      </c>
      <c r="B7" s="28">
        <v>2025</v>
      </c>
      <c r="C7" s="29" t="s">
        <v>69</v>
      </c>
      <c r="D7" s="30" t="s">
        <v>75</v>
      </c>
      <c r="E7" s="29">
        <v>29000971</v>
      </c>
      <c r="F7" s="29">
        <v>1129742</v>
      </c>
      <c r="G7" s="30" t="s">
        <v>82</v>
      </c>
      <c r="H7" s="29">
        <v>1201</v>
      </c>
      <c r="I7" s="29">
        <v>1</v>
      </c>
      <c r="J7" s="29"/>
      <c r="K7" s="30"/>
      <c r="L7" s="29" t="s">
        <v>72</v>
      </c>
      <c r="M7" s="31">
        <v>7761</v>
      </c>
      <c r="N7" s="31">
        <v>5174</v>
      </c>
      <c r="O7" s="31">
        <v>12935</v>
      </c>
      <c r="P7" s="31">
        <f>VLOOKUP(F7,'[3]1ª PARCELA'!$E$5:$H$889,4,FALSE)</f>
        <v>12935</v>
      </c>
      <c r="Q7" s="31" t="b">
        <f t="shared" si="0"/>
        <v>1</v>
      </c>
      <c r="R7" s="32">
        <v>45895</v>
      </c>
      <c r="S7" s="29">
        <v>19863</v>
      </c>
      <c r="T7" s="29" t="s">
        <v>83</v>
      </c>
      <c r="U7" s="33" t="s">
        <v>84</v>
      </c>
    </row>
    <row r="8" spans="1:21" ht="28.5" customHeight="1" x14ac:dyDescent="0.3">
      <c r="A8" s="27">
        <v>5</v>
      </c>
      <c r="B8" s="28">
        <v>2025</v>
      </c>
      <c r="C8" s="29" t="s">
        <v>69</v>
      </c>
      <c r="D8" s="30" t="s">
        <v>75</v>
      </c>
      <c r="E8" s="29">
        <v>29001064</v>
      </c>
      <c r="F8" s="29">
        <v>1129696</v>
      </c>
      <c r="G8" s="30" t="s">
        <v>85</v>
      </c>
      <c r="H8" s="29">
        <v>548</v>
      </c>
      <c r="I8" s="29">
        <v>1</v>
      </c>
      <c r="J8" s="29"/>
      <c r="K8" s="30"/>
      <c r="L8" s="29" t="s">
        <v>72</v>
      </c>
      <c r="M8" s="31">
        <v>4483.5</v>
      </c>
      <c r="N8" s="31">
        <v>1921.5</v>
      </c>
      <c r="O8" s="31">
        <v>6405</v>
      </c>
      <c r="P8" s="31">
        <f>VLOOKUP(F8,'[3]1ª PARCELA'!$E$5:$H$889,4,FALSE)</f>
        <v>6405</v>
      </c>
      <c r="Q8" s="31" t="b">
        <f t="shared" si="0"/>
        <v>1</v>
      </c>
      <c r="R8" s="32">
        <v>45793</v>
      </c>
      <c r="S8" s="29">
        <v>9173</v>
      </c>
      <c r="T8" s="29" t="s">
        <v>86</v>
      </c>
      <c r="U8" s="33" t="s">
        <v>87</v>
      </c>
    </row>
    <row r="9" spans="1:21" ht="28.5" customHeight="1" x14ac:dyDescent="0.3">
      <c r="A9" s="27">
        <v>6</v>
      </c>
      <c r="B9" s="28">
        <v>2025</v>
      </c>
      <c r="C9" s="29" t="s">
        <v>69</v>
      </c>
      <c r="D9" s="30" t="s">
        <v>75</v>
      </c>
      <c r="E9" s="29">
        <v>29001498</v>
      </c>
      <c r="F9" s="29">
        <v>1129831</v>
      </c>
      <c r="G9" s="30" t="s">
        <v>88</v>
      </c>
      <c r="H9" s="29">
        <v>785</v>
      </c>
      <c r="I9" s="29">
        <v>1</v>
      </c>
      <c r="J9" s="29"/>
      <c r="K9" s="30"/>
      <c r="L9" s="29" t="s">
        <v>72</v>
      </c>
      <c r="M9" s="31">
        <v>7897.5</v>
      </c>
      <c r="N9" s="31">
        <v>877.5</v>
      </c>
      <c r="O9" s="31">
        <v>8775</v>
      </c>
      <c r="P9" s="31">
        <f>VLOOKUP(F9,'[3]1ª PARCELA'!$E$5:$H$889,4,FALSE)</f>
        <v>8775</v>
      </c>
      <c r="Q9" s="31" t="b">
        <f t="shared" si="0"/>
        <v>1</v>
      </c>
      <c r="R9" s="32">
        <v>45867</v>
      </c>
      <c r="S9" s="29">
        <v>16705</v>
      </c>
      <c r="T9" s="29" t="s">
        <v>89</v>
      </c>
      <c r="U9" s="33" t="s">
        <v>90</v>
      </c>
    </row>
    <row r="10" spans="1:21" ht="28.5" customHeight="1" x14ac:dyDescent="0.3">
      <c r="A10" s="27">
        <v>7</v>
      </c>
      <c r="B10" s="28">
        <v>2025</v>
      </c>
      <c r="C10" s="29" t="s">
        <v>69</v>
      </c>
      <c r="D10" s="30" t="s">
        <v>75</v>
      </c>
      <c r="E10" s="29">
        <v>29001773</v>
      </c>
      <c r="F10" s="29">
        <v>1129858</v>
      </c>
      <c r="G10" s="30" t="s">
        <v>91</v>
      </c>
      <c r="H10" s="29">
        <v>305</v>
      </c>
      <c r="I10" s="29">
        <v>1</v>
      </c>
      <c r="J10" s="29"/>
      <c r="K10" s="30"/>
      <c r="L10" s="29" t="s">
        <v>72</v>
      </c>
      <c r="M10" s="31">
        <v>3180</v>
      </c>
      <c r="N10" s="31">
        <v>795</v>
      </c>
      <c r="O10" s="31">
        <v>3975</v>
      </c>
      <c r="P10" s="31">
        <f>VLOOKUP(F10,'[3]1ª PARCELA'!$E$5:$H$889,4,FALSE)</f>
        <v>3975</v>
      </c>
      <c r="Q10" s="31" t="b">
        <f t="shared" si="0"/>
        <v>1</v>
      </c>
      <c r="R10" s="32">
        <v>45793</v>
      </c>
      <c r="S10" s="29">
        <v>9173</v>
      </c>
      <c r="T10" s="29" t="s">
        <v>92</v>
      </c>
      <c r="U10" s="33" t="s">
        <v>93</v>
      </c>
    </row>
    <row r="11" spans="1:21" ht="28.5" customHeight="1" x14ac:dyDescent="0.3">
      <c r="A11" s="27">
        <v>8</v>
      </c>
      <c r="B11" s="28">
        <v>2025</v>
      </c>
      <c r="C11" s="29" t="s">
        <v>69</v>
      </c>
      <c r="D11" s="30" t="s">
        <v>94</v>
      </c>
      <c r="E11" s="29">
        <v>29002427</v>
      </c>
      <c r="F11" s="29">
        <v>1129980</v>
      </c>
      <c r="G11" s="30" t="s">
        <v>95</v>
      </c>
      <c r="H11" s="29">
        <v>73</v>
      </c>
      <c r="I11" s="29">
        <v>1</v>
      </c>
      <c r="J11" s="29"/>
      <c r="K11" s="30"/>
      <c r="L11" s="29" t="s">
        <v>72</v>
      </c>
      <c r="M11" s="31">
        <v>496.5</v>
      </c>
      <c r="N11" s="31">
        <v>1158.5</v>
      </c>
      <c r="O11" s="31">
        <v>1655</v>
      </c>
      <c r="P11" s="31">
        <f>VLOOKUP(F11,'[3]1ª PARCELA'!$E$5:$H$889,4,FALSE)</f>
        <v>1655</v>
      </c>
      <c r="Q11" s="31" t="b">
        <f t="shared" si="0"/>
        <v>1</v>
      </c>
      <c r="R11" s="32">
        <v>45967</v>
      </c>
      <c r="S11" s="29">
        <v>29630</v>
      </c>
      <c r="T11" s="29" t="s">
        <v>96</v>
      </c>
      <c r="U11" s="33" t="s">
        <v>97</v>
      </c>
    </row>
    <row r="12" spans="1:21" ht="28.5" customHeight="1" x14ac:dyDescent="0.3">
      <c r="A12" s="27">
        <v>9</v>
      </c>
      <c r="B12" s="28">
        <v>2025</v>
      </c>
      <c r="C12" s="29" t="s">
        <v>69</v>
      </c>
      <c r="D12" s="30" t="s">
        <v>98</v>
      </c>
      <c r="E12" s="29">
        <v>29004403</v>
      </c>
      <c r="F12" s="29">
        <v>1130902</v>
      </c>
      <c r="G12" s="30" t="s">
        <v>99</v>
      </c>
      <c r="H12" s="29">
        <v>597</v>
      </c>
      <c r="I12" s="29">
        <v>1</v>
      </c>
      <c r="J12" s="29"/>
      <c r="K12" s="30"/>
      <c r="L12" s="29" t="s">
        <v>72</v>
      </c>
      <c r="M12" s="31">
        <v>4826.5</v>
      </c>
      <c r="N12" s="31">
        <v>2068.5</v>
      </c>
      <c r="O12" s="31">
        <v>6895</v>
      </c>
      <c r="P12" s="31">
        <f>VLOOKUP(F12,'[3]1ª PARCELA'!$E$5:$H$889,4,FALSE)</f>
        <v>6895</v>
      </c>
      <c r="Q12" s="31" t="b">
        <f t="shared" si="0"/>
        <v>1</v>
      </c>
      <c r="R12" s="32">
        <v>45805</v>
      </c>
      <c r="S12" s="29">
        <v>9678</v>
      </c>
      <c r="T12" s="29" t="s">
        <v>100</v>
      </c>
      <c r="U12" s="33" t="s">
        <v>101</v>
      </c>
    </row>
    <row r="13" spans="1:21" ht="28.5" customHeight="1" x14ac:dyDescent="0.3">
      <c r="A13" s="27">
        <v>10</v>
      </c>
      <c r="B13" s="28">
        <v>2025</v>
      </c>
      <c r="C13" s="29" t="s">
        <v>69</v>
      </c>
      <c r="D13" s="30" t="s">
        <v>102</v>
      </c>
      <c r="E13" s="29">
        <v>29005752</v>
      </c>
      <c r="F13" s="29">
        <v>1129521</v>
      </c>
      <c r="G13" s="30" t="s">
        <v>103</v>
      </c>
      <c r="H13" s="29">
        <v>453</v>
      </c>
      <c r="I13" s="29">
        <v>1</v>
      </c>
      <c r="J13" s="29"/>
      <c r="K13" s="30"/>
      <c r="L13" s="29" t="s">
        <v>72</v>
      </c>
      <c r="M13" s="31">
        <v>4364</v>
      </c>
      <c r="N13" s="31">
        <v>1091</v>
      </c>
      <c r="O13" s="31">
        <v>5455</v>
      </c>
      <c r="P13" s="31">
        <f>VLOOKUP(F13,'[3]1ª PARCELA'!$E$5:$H$889,4,FALSE)</f>
        <v>5455</v>
      </c>
      <c r="Q13" s="31" t="b">
        <f t="shared" si="0"/>
        <v>1</v>
      </c>
      <c r="R13" s="32">
        <v>45793</v>
      </c>
      <c r="S13" s="29">
        <v>9173</v>
      </c>
      <c r="T13" s="29" t="s">
        <v>104</v>
      </c>
      <c r="U13" s="33" t="s">
        <v>105</v>
      </c>
    </row>
    <row r="14" spans="1:21" ht="28.5" customHeight="1" x14ac:dyDescent="0.3">
      <c r="A14" s="27">
        <v>11</v>
      </c>
      <c r="B14" s="28">
        <v>2025</v>
      </c>
      <c r="C14" s="29" t="s">
        <v>69</v>
      </c>
      <c r="D14" s="30" t="s">
        <v>106</v>
      </c>
      <c r="E14" s="29">
        <v>29007100</v>
      </c>
      <c r="F14" s="29">
        <v>1130260</v>
      </c>
      <c r="G14" s="30" t="s">
        <v>107</v>
      </c>
      <c r="H14" s="29">
        <v>506</v>
      </c>
      <c r="I14" s="29">
        <v>1</v>
      </c>
      <c r="J14" s="29"/>
      <c r="K14" s="30"/>
      <c r="L14" s="29" t="s">
        <v>72</v>
      </c>
      <c r="M14" s="31">
        <v>3591</v>
      </c>
      <c r="N14" s="31">
        <v>2394</v>
      </c>
      <c r="O14" s="31">
        <v>5985</v>
      </c>
      <c r="P14" s="31">
        <f>VLOOKUP(F14,'[3]1ª PARCELA'!$E$5:$H$889,4,FALSE)</f>
        <v>5985</v>
      </c>
      <c r="Q14" s="31" t="b">
        <f t="shared" si="0"/>
        <v>1</v>
      </c>
      <c r="R14" s="32">
        <v>45805</v>
      </c>
      <c r="S14" s="29">
        <v>9678</v>
      </c>
      <c r="T14" s="29" t="s">
        <v>108</v>
      </c>
      <c r="U14" s="33" t="s">
        <v>109</v>
      </c>
    </row>
    <row r="15" spans="1:21" ht="28.5" customHeight="1" x14ac:dyDescent="0.3">
      <c r="A15" s="27">
        <v>12</v>
      </c>
      <c r="B15" s="28">
        <v>2025</v>
      </c>
      <c r="C15" s="29" t="s">
        <v>69</v>
      </c>
      <c r="D15" s="30" t="s">
        <v>110</v>
      </c>
      <c r="E15" s="29">
        <v>29007887</v>
      </c>
      <c r="F15" s="29">
        <v>1169558</v>
      </c>
      <c r="G15" s="30" t="s">
        <v>111</v>
      </c>
      <c r="H15" s="29">
        <v>516</v>
      </c>
      <c r="I15" s="29">
        <v>1</v>
      </c>
      <c r="J15" s="29"/>
      <c r="K15" s="30"/>
      <c r="L15" s="29" t="s">
        <v>72</v>
      </c>
      <c r="M15" s="31">
        <v>4868</v>
      </c>
      <c r="N15" s="31">
        <v>1217</v>
      </c>
      <c r="O15" s="31">
        <v>6085</v>
      </c>
      <c r="P15" s="31">
        <f>VLOOKUP(F15,'[3]1ª PARCELA'!$E$5:$H$889,4,FALSE)</f>
        <v>6085</v>
      </c>
      <c r="Q15" s="31" t="b">
        <f t="shared" si="0"/>
        <v>1</v>
      </c>
      <c r="R15" s="32">
        <v>45793</v>
      </c>
      <c r="S15" s="29">
        <v>9173</v>
      </c>
      <c r="T15" s="29" t="s">
        <v>112</v>
      </c>
      <c r="U15" s="33" t="s">
        <v>113</v>
      </c>
    </row>
    <row r="16" spans="1:21" ht="28.5" customHeight="1" x14ac:dyDescent="0.3">
      <c r="A16" s="27">
        <v>13</v>
      </c>
      <c r="B16" s="28">
        <v>2025</v>
      </c>
      <c r="C16" s="29" t="s">
        <v>69</v>
      </c>
      <c r="D16" s="30" t="s">
        <v>114</v>
      </c>
      <c r="E16" s="29">
        <v>29009197</v>
      </c>
      <c r="F16" s="29">
        <v>1130929</v>
      </c>
      <c r="G16" s="30" t="s">
        <v>115</v>
      </c>
      <c r="H16" s="29">
        <v>329</v>
      </c>
      <c r="I16" s="29">
        <v>1</v>
      </c>
      <c r="J16" s="29"/>
      <c r="K16" s="30"/>
      <c r="L16" s="29" t="s">
        <v>72</v>
      </c>
      <c r="M16" s="31">
        <v>2529</v>
      </c>
      <c r="N16" s="31">
        <v>1686</v>
      </c>
      <c r="O16" s="31">
        <v>4215</v>
      </c>
      <c r="P16" s="31">
        <f>VLOOKUP(F16,'[3]1ª PARCELA'!$E$5:$H$889,4,FALSE)</f>
        <v>4215</v>
      </c>
      <c r="Q16" s="31" t="b">
        <f t="shared" si="0"/>
        <v>1</v>
      </c>
      <c r="R16" s="32">
        <v>45793</v>
      </c>
      <c r="S16" s="29">
        <v>9173</v>
      </c>
      <c r="T16" s="29" t="s">
        <v>116</v>
      </c>
      <c r="U16" s="33" t="s">
        <v>117</v>
      </c>
    </row>
    <row r="17" spans="1:21" ht="28.5" customHeight="1" x14ac:dyDescent="0.3">
      <c r="A17" s="27">
        <v>14</v>
      </c>
      <c r="B17" s="28">
        <v>2025</v>
      </c>
      <c r="C17" s="29" t="s">
        <v>69</v>
      </c>
      <c r="D17" s="30" t="s">
        <v>114</v>
      </c>
      <c r="E17" s="29">
        <v>29009847</v>
      </c>
      <c r="F17" s="29">
        <v>1130910</v>
      </c>
      <c r="G17" s="30" t="s">
        <v>118</v>
      </c>
      <c r="H17" s="29">
        <v>312</v>
      </c>
      <c r="I17" s="29">
        <v>1</v>
      </c>
      <c r="J17" s="29"/>
      <c r="K17" s="30"/>
      <c r="L17" s="29" t="s">
        <v>72</v>
      </c>
      <c r="M17" s="31">
        <v>2427</v>
      </c>
      <c r="N17" s="31">
        <v>1618</v>
      </c>
      <c r="O17" s="31">
        <v>4045</v>
      </c>
      <c r="P17" s="31">
        <f>VLOOKUP(F17,'[3]1ª PARCELA'!$E$5:$H$889,4,FALSE)</f>
        <v>4045</v>
      </c>
      <c r="Q17" s="31" t="b">
        <f t="shared" si="0"/>
        <v>1</v>
      </c>
      <c r="R17" s="32">
        <v>45793</v>
      </c>
      <c r="S17" s="29">
        <v>9173</v>
      </c>
      <c r="T17" s="29" t="s">
        <v>119</v>
      </c>
      <c r="U17" s="33" t="s">
        <v>120</v>
      </c>
    </row>
    <row r="18" spans="1:21" ht="28.5" customHeight="1" x14ac:dyDescent="0.3">
      <c r="A18" s="27">
        <v>15</v>
      </c>
      <c r="B18" s="28">
        <v>2025</v>
      </c>
      <c r="C18" s="29" t="s">
        <v>121</v>
      </c>
      <c r="D18" s="30" t="s">
        <v>122</v>
      </c>
      <c r="E18" s="29">
        <v>29009880</v>
      </c>
      <c r="F18" s="29">
        <v>1131739</v>
      </c>
      <c r="G18" s="30" t="s">
        <v>123</v>
      </c>
      <c r="H18" s="29">
        <v>606</v>
      </c>
      <c r="I18" s="29">
        <v>1</v>
      </c>
      <c r="J18" s="29"/>
      <c r="K18" s="30"/>
      <c r="L18" s="29" t="s">
        <v>72</v>
      </c>
      <c r="M18" s="31">
        <v>4191</v>
      </c>
      <c r="N18" s="31">
        <v>2794</v>
      </c>
      <c r="O18" s="31">
        <v>6985</v>
      </c>
      <c r="P18" s="31">
        <f>VLOOKUP(F18,'[3]1ª PARCELA'!$E$5:$H$889,4,FALSE)</f>
        <v>6985</v>
      </c>
      <c r="Q18" s="31" t="b">
        <f t="shared" si="0"/>
        <v>1</v>
      </c>
      <c r="R18" s="32">
        <v>45926</v>
      </c>
      <c r="S18" s="29">
        <v>24529</v>
      </c>
      <c r="T18" s="29" t="s">
        <v>124</v>
      </c>
      <c r="U18" s="33" t="s">
        <v>125</v>
      </c>
    </row>
    <row r="19" spans="1:21" ht="28.5" customHeight="1" x14ac:dyDescent="0.3">
      <c r="A19" s="27">
        <v>16</v>
      </c>
      <c r="B19" s="28">
        <v>2025</v>
      </c>
      <c r="C19" s="29" t="s">
        <v>69</v>
      </c>
      <c r="D19" s="30" t="s">
        <v>126</v>
      </c>
      <c r="E19" s="29">
        <v>29010438</v>
      </c>
      <c r="F19" s="29">
        <v>1165455</v>
      </c>
      <c r="G19" s="30" t="s">
        <v>127</v>
      </c>
      <c r="H19" s="29">
        <v>447</v>
      </c>
      <c r="I19" s="29">
        <v>1</v>
      </c>
      <c r="J19" s="29"/>
      <c r="K19" s="30"/>
      <c r="L19" s="29" t="s">
        <v>72</v>
      </c>
      <c r="M19" s="31">
        <v>4316</v>
      </c>
      <c r="N19" s="31">
        <v>1079</v>
      </c>
      <c r="O19" s="31">
        <v>5395</v>
      </c>
      <c r="P19" s="31">
        <f>VLOOKUP(F19,'[3]1ª PARCELA'!$E$5:$H$889,4,FALSE)</f>
        <v>5395</v>
      </c>
      <c r="Q19" s="31" t="b">
        <f t="shared" si="0"/>
        <v>1</v>
      </c>
      <c r="R19" s="32">
        <v>45805</v>
      </c>
      <c r="S19" s="29">
        <v>9678</v>
      </c>
      <c r="T19" s="29" t="s">
        <v>128</v>
      </c>
      <c r="U19" s="33" t="s">
        <v>129</v>
      </c>
    </row>
    <row r="20" spans="1:21" ht="28.5" customHeight="1" x14ac:dyDescent="0.3">
      <c r="A20" s="27">
        <v>17</v>
      </c>
      <c r="B20" s="28">
        <v>2025</v>
      </c>
      <c r="C20" s="29" t="s">
        <v>121</v>
      </c>
      <c r="D20" s="30" t="s">
        <v>130</v>
      </c>
      <c r="E20" s="29">
        <v>29011507</v>
      </c>
      <c r="F20" s="29">
        <v>1131674</v>
      </c>
      <c r="G20" s="30" t="s">
        <v>131</v>
      </c>
      <c r="H20" s="29">
        <v>441</v>
      </c>
      <c r="I20" s="29">
        <v>1</v>
      </c>
      <c r="J20" s="29"/>
      <c r="K20" s="30"/>
      <c r="L20" s="29" t="s">
        <v>72</v>
      </c>
      <c r="M20" s="31">
        <v>2667.5</v>
      </c>
      <c r="N20" s="31">
        <v>2667.5</v>
      </c>
      <c r="O20" s="31">
        <v>5335</v>
      </c>
      <c r="P20" s="31">
        <f>VLOOKUP(F20,'[3]1ª PARCELA'!$E$5:$H$889,4,FALSE)</f>
        <v>5335</v>
      </c>
      <c r="Q20" s="31" t="b">
        <f t="shared" si="0"/>
        <v>1</v>
      </c>
      <c r="R20" s="32">
        <v>45793</v>
      </c>
      <c r="S20" s="29">
        <v>9173</v>
      </c>
      <c r="T20" s="29" t="s">
        <v>132</v>
      </c>
      <c r="U20" s="33" t="s">
        <v>133</v>
      </c>
    </row>
    <row r="21" spans="1:21" ht="28.5" customHeight="1" x14ac:dyDescent="0.3">
      <c r="A21" s="27">
        <v>18</v>
      </c>
      <c r="B21" s="28">
        <v>2025</v>
      </c>
      <c r="C21" s="29" t="s">
        <v>121</v>
      </c>
      <c r="D21" s="30" t="s">
        <v>134</v>
      </c>
      <c r="E21" s="29">
        <v>29011604</v>
      </c>
      <c r="F21" s="29">
        <v>1131607</v>
      </c>
      <c r="G21" s="30" t="s">
        <v>135</v>
      </c>
      <c r="H21" s="29">
        <v>713</v>
      </c>
      <c r="I21" s="29">
        <v>1</v>
      </c>
      <c r="J21" s="29"/>
      <c r="K21" s="30"/>
      <c r="L21" s="29" t="s">
        <v>72</v>
      </c>
      <c r="M21" s="31">
        <v>4027.5</v>
      </c>
      <c r="N21" s="31">
        <v>4027.5</v>
      </c>
      <c r="O21" s="31">
        <v>8055</v>
      </c>
      <c r="P21" s="31">
        <f>VLOOKUP(F21,'[3]1ª PARCELA'!$E$5:$H$889,4,FALSE)</f>
        <v>8055</v>
      </c>
      <c r="Q21" s="31" t="b">
        <f t="shared" si="0"/>
        <v>1</v>
      </c>
      <c r="R21" s="32">
        <v>45926</v>
      </c>
      <c r="S21" s="29">
        <v>24529</v>
      </c>
      <c r="T21" s="29" t="s">
        <v>136</v>
      </c>
      <c r="U21" s="33" t="s">
        <v>137</v>
      </c>
    </row>
    <row r="22" spans="1:21" ht="28.5" customHeight="1" x14ac:dyDescent="0.3">
      <c r="A22" s="27">
        <v>19</v>
      </c>
      <c r="B22" s="28">
        <v>2025</v>
      </c>
      <c r="C22" s="29" t="s">
        <v>121</v>
      </c>
      <c r="D22" s="30" t="s">
        <v>138</v>
      </c>
      <c r="E22" s="29">
        <v>29012465</v>
      </c>
      <c r="F22" s="29">
        <v>1131534</v>
      </c>
      <c r="G22" s="30" t="s">
        <v>139</v>
      </c>
      <c r="H22" s="29">
        <v>611</v>
      </c>
      <c r="I22" s="29">
        <v>1</v>
      </c>
      <c r="J22" s="29"/>
      <c r="K22" s="30"/>
      <c r="L22" s="29" t="s">
        <v>72</v>
      </c>
      <c r="M22" s="31">
        <v>5628</v>
      </c>
      <c r="N22" s="31">
        <v>1407</v>
      </c>
      <c r="O22" s="31">
        <v>7035</v>
      </c>
      <c r="P22" s="31">
        <f>VLOOKUP(F22,'[3]1ª PARCELA'!$E$5:$H$889,4,FALSE)</f>
        <v>7035</v>
      </c>
      <c r="Q22" s="31" t="b">
        <f t="shared" si="0"/>
        <v>1</v>
      </c>
      <c r="R22" s="32">
        <v>45793</v>
      </c>
      <c r="S22" s="29">
        <v>9173</v>
      </c>
      <c r="T22" s="29" t="s">
        <v>140</v>
      </c>
      <c r="U22" s="33" t="s">
        <v>141</v>
      </c>
    </row>
    <row r="23" spans="1:21" ht="28.5" customHeight="1" x14ac:dyDescent="0.3">
      <c r="A23" s="27">
        <v>20</v>
      </c>
      <c r="B23" s="28">
        <v>2025</v>
      </c>
      <c r="C23" s="29" t="s">
        <v>121</v>
      </c>
      <c r="D23" s="30" t="s">
        <v>142</v>
      </c>
      <c r="E23" s="29">
        <v>29013275</v>
      </c>
      <c r="F23" s="29">
        <v>1131453</v>
      </c>
      <c r="G23" s="30" t="s">
        <v>143</v>
      </c>
      <c r="H23" s="29">
        <v>1080</v>
      </c>
      <c r="I23" s="29">
        <v>1</v>
      </c>
      <c r="J23" s="29"/>
      <c r="K23" s="30"/>
      <c r="L23" s="29" t="s">
        <v>72</v>
      </c>
      <c r="M23" s="31">
        <v>9380</v>
      </c>
      <c r="N23" s="31">
        <v>2345</v>
      </c>
      <c r="O23" s="31">
        <v>11725</v>
      </c>
      <c r="P23" s="31">
        <f>VLOOKUP(F23,'[3]1ª PARCELA'!$E$5:$H$889,4,FALSE)</f>
        <v>11725</v>
      </c>
      <c r="Q23" s="31" t="b">
        <f t="shared" si="0"/>
        <v>1</v>
      </c>
      <c r="R23" s="32">
        <v>45793</v>
      </c>
      <c r="S23" s="29">
        <v>9173</v>
      </c>
      <c r="T23" s="29" t="s">
        <v>144</v>
      </c>
      <c r="U23" s="33" t="s">
        <v>145</v>
      </c>
    </row>
    <row r="24" spans="1:21" ht="28.5" customHeight="1" x14ac:dyDescent="0.3">
      <c r="A24" s="27">
        <v>21</v>
      </c>
      <c r="B24" s="28">
        <v>2025</v>
      </c>
      <c r="C24" s="29" t="s">
        <v>121</v>
      </c>
      <c r="D24" s="30" t="s">
        <v>146</v>
      </c>
      <c r="E24" s="29">
        <v>29013887</v>
      </c>
      <c r="F24" s="29">
        <v>1141726</v>
      </c>
      <c r="G24" s="30" t="s">
        <v>147</v>
      </c>
      <c r="H24" s="29">
        <v>398</v>
      </c>
      <c r="I24" s="29">
        <v>1</v>
      </c>
      <c r="J24" s="29"/>
      <c r="K24" s="30"/>
      <c r="L24" s="29" t="s">
        <v>72</v>
      </c>
      <c r="M24" s="31">
        <v>2452.5</v>
      </c>
      <c r="N24" s="31">
        <v>2452.5</v>
      </c>
      <c r="O24" s="31">
        <v>4905</v>
      </c>
      <c r="P24" s="31">
        <f>VLOOKUP(F24,'[3]1ª PARCELA'!$E$5:$H$889,4,FALSE)</f>
        <v>4905</v>
      </c>
      <c r="Q24" s="31" t="b">
        <f t="shared" si="0"/>
        <v>1</v>
      </c>
      <c r="R24" s="32">
        <v>45793</v>
      </c>
      <c r="S24" s="29">
        <v>9173</v>
      </c>
      <c r="T24" s="29" t="s">
        <v>148</v>
      </c>
      <c r="U24" s="33" t="s">
        <v>149</v>
      </c>
    </row>
    <row r="25" spans="1:21" ht="28.5" customHeight="1" x14ac:dyDescent="0.3">
      <c r="A25" s="27">
        <v>22</v>
      </c>
      <c r="B25" s="28">
        <v>2025</v>
      </c>
      <c r="C25" s="29" t="s">
        <v>121</v>
      </c>
      <c r="D25" s="30" t="s">
        <v>150</v>
      </c>
      <c r="E25" s="29">
        <v>29014433</v>
      </c>
      <c r="F25" s="29">
        <v>1132000</v>
      </c>
      <c r="G25" s="30" t="s">
        <v>82</v>
      </c>
      <c r="H25" s="29">
        <v>629</v>
      </c>
      <c r="I25" s="29">
        <v>1</v>
      </c>
      <c r="J25" s="29"/>
      <c r="K25" s="30"/>
      <c r="L25" s="29" t="s">
        <v>72</v>
      </c>
      <c r="M25" s="31">
        <v>4329</v>
      </c>
      <c r="N25" s="31">
        <v>2886</v>
      </c>
      <c r="O25" s="31">
        <v>7215</v>
      </c>
      <c r="P25" s="31">
        <f>VLOOKUP(F25,'[3]1ª PARCELA'!$E$5:$H$889,4,FALSE)</f>
        <v>7215</v>
      </c>
      <c r="Q25" s="31" t="b">
        <f t="shared" si="0"/>
        <v>1</v>
      </c>
      <c r="R25" s="32">
        <v>45926</v>
      </c>
      <c r="S25" s="29">
        <v>24529</v>
      </c>
      <c r="T25" s="29" t="s">
        <v>151</v>
      </c>
      <c r="U25" s="33" t="s">
        <v>152</v>
      </c>
    </row>
    <row r="26" spans="1:21" ht="28.5" customHeight="1" x14ac:dyDescent="0.3">
      <c r="A26" s="27">
        <v>23</v>
      </c>
      <c r="B26" s="28">
        <v>2025</v>
      </c>
      <c r="C26" s="29" t="s">
        <v>121</v>
      </c>
      <c r="D26" s="30" t="s">
        <v>150</v>
      </c>
      <c r="E26" s="29">
        <v>29015227</v>
      </c>
      <c r="F26" s="29">
        <v>1131860</v>
      </c>
      <c r="G26" s="30" t="s">
        <v>153</v>
      </c>
      <c r="H26" s="29">
        <v>1287</v>
      </c>
      <c r="I26" s="29">
        <v>1</v>
      </c>
      <c r="J26" s="29"/>
      <c r="K26" s="30"/>
      <c r="L26" s="29" t="s">
        <v>72</v>
      </c>
      <c r="M26" s="31">
        <v>11036</v>
      </c>
      <c r="N26" s="31">
        <v>2759</v>
      </c>
      <c r="O26" s="31">
        <v>13795</v>
      </c>
      <c r="P26" s="31">
        <f>VLOOKUP(F26,'[3]1ª PARCELA'!$E$5:$H$889,4,FALSE)</f>
        <v>13795</v>
      </c>
      <c r="Q26" s="31" t="b">
        <f t="shared" si="0"/>
        <v>1</v>
      </c>
      <c r="R26" s="32">
        <v>45793</v>
      </c>
      <c r="S26" s="29">
        <v>9173</v>
      </c>
      <c r="T26" s="29" t="s">
        <v>154</v>
      </c>
      <c r="U26" s="33" t="s">
        <v>155</v>
      </c>
    </row>
    <row r="27" spans="1:21" ht="28.5" customHeight="1" x14ac:dyDescent="0.3">
      <c r="A27" s="27">
        <v>24</v>
      </c>
      <c r="B27" s="28">
        <v>2025</v>
      </c>
      <c r="C27" s="29" t="s">
        <v>121</v>
      </c>
      <c r="D27" s="30" t="s">
        <v>156</v>
      </c>
      <c r="E27" s="29">
        <v>29015413</v>
      </c>
      <c r="F27" s="29">
        <v>1132158</v>
      </c>
      <c r="G27" s="30" t="s">
        <v>157</v>
      </c>
      <c r="H27" s="29">
        <v>1221</v>
      </c>
      <c r="I27" s="29">
        <v>1</v>
      </c>
      <c r="J27" s="29"/>
      <c r="K27" s="30"/>
      <c r="L27" s="29" t="s">
        <v>72</v>
      </c>
      <c r="M27" s="31">
        <v>6567.5</v>
      </c>
      <c r="N27" s="31">
        <v>6567.5</v>
      </c>
      <c r="O27" s="31">
        <v>13135</v>
      </c>
      <c r="P27" s="31">
        <f>VLOOKUP(F27,'[3]1ª PARCELA'!$E$5:$H$889,4,FALSE)</f>
        <v>13135</v>
      </c>
      <c r="Q27" s="31" t="b">
        <f t="shared" si="0"/>
        <v>1</v>
      </c>
      <c r="R27" s="32">
        <v>45793</v>
      </c>
      <c r="S27" s="29">
        <v>9173</v>
      </c>
      <c r="T27" s="29" t="s">
        <v>158</v>
      </c>
      <c r="U27" s="33" t="s">
        <v>159</v>
      </c>
    </row>
    <row r="28" spans="1:21" ht="28.5" customHeight="1" x14ac:dyDescent="0.3">
      <c r="A28" s="27">
        <v>25</v>
      </c>
      <c r="B28" s="28">
        <v>2025</v>
      </c>
      <c r="C28" s="29" t="s">
        <v>121</v>
      </c>
      <c r="D28" s="30" t="s">
        <v>160</v>
      </c>
      <c r="E28" s="29">
        <v>29016339</v>
      </c>
      <c r="F28" s="29">
        <v>1167741</v>
      </c>
      <c r="G28" s="30" t="s">
        <v>161</v>
      </c>
      <c r="H28" s="29">
        <v>646</v>
      </c>
      <c r="I28" s="29">
        <v>1</v>
      </c>
      <c r="J28" s="29"/>
      <c r="K28" s="30"/>
      <c r="L28" s="29" t="s">
        <v>72</v>
      </c>
      <c r="M28" s="31">
        <v>7385</v>
      </c>
      <c r="N28" s="31">
        <v>0</v>
      </c>
      <c r="O28" s="31">
        <v>7385</v>
      </c>
      <c r="P28" s="31">
        <f>VLOOKUP(F28,'[3]1ª PARCELA'!$E$5:$H$889,4,FALSE)</f>
        <v>7385</v>
      </c>
      <c r="Q28" s="31" t="b">
        <f t="shared" si="0"/>
        <v>1</v>
      </c>
      <c r="R28" s="32">
        <v>45793</v>
      </c>
      <c r="S28" s="29">
        <v>9173</v>
      </c>
      <c r="T28" s="29" t="s">
        <v>162</v>
      </c>
      <c r="U28" s="33" t="s">
        <v>163</v>
      </c>
    </row>
    <row r="29" spans="1:21" ht="28.5" customHeight="1" x14ac:dyDescent="0.3">
      <c r="A29" s="27">
        <v>26</v>
      </c>
      <c r="B29" s="28">
        <v>2025</v>
      </c>
      <c r="C29" s="29" t="s">
        <v>121</v>
      </c>
      <c r="D29" s="30" t="s">
        <v>164</v>
      </c>
      <c r="E29" s="29">
        <v>29016916</v>
      </c>
      <c r="F29" s="29">
        <v>1131798</v>
      </c>
      <c r="G29" s="30" t="s">
        <v>165</v>
      </c>
      <c r="H29" s="29">
        <v>711</v>
      </c>
      <c r="I29" s="29">
        <v>1</v>
      </c>
      <c r="J29" s="29"/>
      <c r="K29" s="30"/>
      <c r="L29" s="29" t="s">
        <v>72</v>
      </c>
      <c r="M29" s="31">
        <v>6428</v>
      </c>
      <c r="N29" s="31">
        <v>1607</v>
      </c>
      <c r="O29" s="31">
        <v>8035</v>
      </c>
      <c r="P29" s="31">
        <f>VLOOKUP(F29,'[3]1ª PARCELA'!$E$5:$H$889,4,FALSE)</f>
        <v>8035</v>
      </c>
      <c r="Q29" s="31" t="b">
        <f t="shared" si="0"/>
        <v>1</v>
      </c>
      <c r="R29" s="32">
        <v>45793</v>
      </c>
      <c r="S29" s="29">
        <v>9173</v>
      </c>
      <c r="T29" s="29" t="s">
        <v>166</v>
      </c>
      <c r="U29" s="33" t="s">
        <v>167</v>
      </c>
    </row>
    <row r="30" spans="1:21" ht="28.5" customHeight="1" x14ac:dyDescent="0.3">
      <c r="A30" s="27">
        <v>27</v>
      </c>
      <c r="B30" s="28">
        <v>2025</v>
      </c>
      <c r="C30" s="29" t="s">
        <v>168</v>
      </c>
      <c r="D30" s="30" t="s">
        <v>169</v>
      </c>
      <c r="E30" s="29">
        <v>29023688</v>
      </c>
      <c r="F30" s="29">
        <v>1161638</v>
      </c>
      <c r="G30" s="30" t="s">
        <v>170</v>
      </c>
      <c r="H30" s="29">
        <v>1086</v>
      </c>
      <c r="I30" s="29">
        <v>1</v>
      </c>
      <c r="J30" s="29"/>
      <c r="K30" s="30"/>
      <c r="L30" s="29" t="s">
        <v>72</v>
      </c>
      <c r="M30" s="31">
        <v>8249.5</v>
      </c>
      <c r="N30" s="31">
        <v>3535.5</v>
      </c>
      <c r="O30" s="31">
        <v>11785</v>
      </c>
      <c r="P30" s="31">
        <f>VLOOKUP(F30,'[3]1ª PARCELA'!$E$5:$H$889,4,FALSE)</f>
        <v>11785</v>
      </c>
      <c r="Q30" s="31" t="b">
        <f t="shared" si="0"/>
        <v>1</v>
      </c>
      <c r="R30" s="32">
        <v>45895</v>
      </c>
      <c r="S30" s="29">
        <v>19863</v>
      </c>
      <c r="T30" s="29" t="s">
        <v>171</v>
      </c>
      <c r="U30" s="33" t="s">
        <v>172</v>
      </c>
    </row>
    <row r="31" spans="1:21" ht="28.5" customHeight="1" x14ac:dyDescent="0.3">
      <c r="A31" s="27">
        <v>28</v>
      </c>
      <c r="B31" s="28">
        <v>2025</v>
      </c>
      <c r="C31" s="29" t="s">
        <v>168</v>
      </c>
      <c r="D31" s="30" t="s">
        <v>169</v>
      </c>
      <c r="E31" s="29">
        <v>29024129</v>
      </c>
      <c r="F31" s="29">
        <v>1161654</v>
      </c>
      <c r="G31" s="30" t="s">
        <v>173</v>
      </c>
      <c r="H31" s="29">
        <v>238</v>
      </c>
      <c r="I31" s="29">
        <v>1</v>
      </c>
      <c r="J31" s="29"/>
      <c r="K31" s="30"/>
      <c r="L31" s="29" t="s">
        <v>72</v>
      </c>
      <c r="M31" s="31">
        <v>1546.5</v>
      </c>
      <c r="N31" s="31">
        <v>3608.5</v>
      </c>
      <c r="O31" s="31">
        <v>5155</v>
      </c>
      <c r="P31" s="31">
        <f>VLOOKUP(F31,'[3]1ª PARCELA'!$E$5:$H$889,4,FALSE)</f>
        <v>5155</v>
      </c>
      <c r="Q31" s="31" t="b">
        <f t="shared" si="0"/>
        <v>1</v>
      </c>
      <c r="R31" s="32">
        <v>45926</v>
      </c>
      <c r="S31" s="29">
        <v>24529</v>
      </c>
      <c r="T31" s="29" t="s">
        <v>174</v>
      </c>
      <c r="U31" s="33" t="s">
        <v>175</v>
      </c>
    </row>
    <row r="32" spans="1:21" ht="28.5" customHeight="1" x14ac:dyDescent="0.3">
      <c r="A32" s="27">
        <v>29</v>
      </c>
      <c r="B32" s="28">
        <v>2025</v>
      </c>
      <c r="C32" s="29" t="s">
        <v>168</v>
      </c>
      <c r="D32" s="30" t="s">
        <v>176</v>
      </c>
      <c r="E32" s="29">
        <v>29024528</v>
      </c>
      <c r="F32" s="29">
        <v>1161034</v>
      </c>
      <c r="G32" s="30" t="s">
        <v>177</v>
      </c>
      <c r="H32" s="29">
        <v>768</v>
      </c>
      <c r="I32" s="29">
        <v>1</v>
      </c>
      <c r="J32" s="29"/>
      <c r="K32" s="30"/>
      <c r="L32" s="29" t="s">
        <v>72</v>
      </c>
      <c r="M32" s="31">
        <v>6884</v>
      </c>
      <c r="N32" s="31">
        <v>1721</v>
      </c>
      <c r="O32" s="31">
        <v>8605</v>
      </c>
      <c r="P32" s="31">
        <f>VLOOKUP(F32,'[3]1ª PARCELA'!$E$5:$H$889,4,FALSE)</f>
        <v>8605</v>
      </c>
      <c r="Q32" s="31" t="b">
        <f t="shared" si="0"/>
        <v>1</v>
      </c>
      <c r="R32" s="32">
        <v>45967</v>
      </c>
      <c r="S32" s="29">
        <v>29630</v>
      </c>
      <c r="T32" s="29" t="s">
        <v>178</v>
      </c>
      <c r="U32" s="33" t="s">
        <v>179</v>
      </c>
    </row>
    <row r="33" spans="1:21" ht="28.5" customHeight="1" x14ac:dyDescent="0.3">
      <c r="A33" s="27">
        <v>30</v>
      </c>
      <c r="B33" s="28">
        <v>2025</v>
      </c>
      <c r="C33" s="29" t="s">
        <v>168</v>
      </c>
      <c r="D33" s="30" t="s">
        <v>176</v>
      </c>
      <c r="E33" s="29">
        <v>29024579</v>
      </c>
      <c r="F33" s="29">
        <v>1120915</v>
      </c>
      <c r="G33" s="30" t="s">
        <v>180</v>
      </c>
      <c r="H33" s="29">
        <v>773</v>
      </c>
      <c r="I33" s="29">
        <v>1</v>
      </c>
      <c r="J33" s="29"/>
      <c r="K33" s="30"/>
      <c r="L33" s="29" t="s">
        <v>72</v>
      </c>
      <c r="M33" s="31">
        <v>4327.5</v>
      </c>
      <c r="N33" s="31">
        <v>4327.5</v>
      </c>
      <c r="O33" s="31">
        <v>8655</v>
      </c>
      <c r="P33" s="31">
        <f>VLOOKUP(F33,'[3]1ª PARCELA'!$E$5:$H$889,4,FALSE)</f>
        <v>8655</v>
      </c>
      <c r="Q33" s="31" t="b">
        <f t="shared" si="0"/>
        <v>1</v>
      </c>
      <c r="R33" s="32">
        <v>45967</v>
      </c>
      <c r="S33" s="29">
        <v>29630</v>
      </c>
      <c r="T33" s="29" t="s">
        <v>181</v>
      </c>
      <c r="U33" s="33" t="s">
        <v>182</v>
      </c>
    </row>
    <row r="34" spans="1:21" ht="28.5" customHeight="1" x14ac:dyDescent="0.3">
      <c r="A34" s="27">
        <v>31</v>
      </c>
      <c r="B34" s="28">
        <v>2025</v>
      </c>
      <c r="C34" s="29" t="s">
        <v>168</v>
      </c>
      <c r="D34" s="30" t="s">
        <v>176</v>
      </c>
      <c r="E34" s="29">
        <v>29024641</v>
      </c>
      <c r="F34" s="29">
        <v>1161085</v>
      </c>
      <c r="G34" s="30" t="s">
        <v>183</v>
      </c>
      <c r="H34" s="29">
        <v>834</v>
      </c>
      <c r="I34" s="29">
        <v>1</v>
      </c>
      <c r="J34" s="29"/>
      <c r="K34" s="30"/>
      <c r="L34" s="29" t="s">
        <v>72</v>
      </c>
      <c r="M34" s="31">
        <v>7412</v>
      </c>
      <c r="N34" s="31">
        <v>1853</v>
      </c>
      <c r="O34" s="31">
        <v>9265</v>
      </c>
      <c r="P34" s="31">
        <f>VLOOKUP(F34,'[3]1ª PARCELA'!$E$5:$H$889,4,FALSE)</f>
        <v>9265</v>
      </c>
      <c r="Q34" s="31" t="b">
        <f t="shared" si="0"/>
        <v>1</v>
      </c>
      <c r="R34" s="32">
        <v>45833</v>
      </c>
      <c r="S34" s="29">
        <v>13120</v>
      </c>
      <c r="T34" s="29" t="s">
        <v>184</v>
      </c>
      <c r="U34" s="33" t="s">
        <v>185</v>
      </c>
    </row>
    <row r="35" spans="1:21" ht="28.5" customHeight="1" x14ac:dyDescent="0.3">
      <c r="A35" s="27">
        <v>32</v>
      </c>
      <c r="B35" s="28">
        <v>2025</v>
      </c>
      <c r="C35" s="29" t="s">
        <v>168</v>
      </c>
      <c r="D35" s="30" t="s">
        <v>176</v>
      </c>
      <c r="E35" s="29">
        <v>29024765</v>
      </c>
      <c r="F35" s="29">
        <v>1120338</v>
      </c>
      <c r="G35" s="30" t="s">
        <v>186</v>
      </c>
      <c r="H35" s="29">
        <v>875</v>
      </c>
      <c r="I35" s="29">
        <v>1</v>
      </c>
      <c r="J35" s="29"/>
      <c r="K35" s="30"/>
      <c r="L35" s="29" t="s">
        <v>72</v>
      </c>
      <c r="M35" s="31">
        <v>6772.5</v>
      </c>
      <c r="N35" s="31">
        <v>2902.5</v>
      </c>
      <c r="O35" s="31">
        <v>9675</v>
      </c>
      <c r="P35" s="31">
        <f>VLOOKUP(F35,'[3]1ª PARCELA'!$E$5:$H$889,4,FALSE)</f>
        <v>9675</v>
      </c>
      <c r="Q35" s="31" t="b">
        <f t="shared" si="0"/>
        <v>1</v>
      </c>
      <c r="R35" s="32">
        <v>45926</v>
      </c>
      <c r="S35" s="29">
        <v>24529</v>
      </c>
      <c r="T35" s="29" t="s">
        <v>187</v>
      </c>
      <c r="U35" s="33" t="s">
        <v>188</v>
      </c>
    </row>
    <row r="36" spans="1:21" ht="28.5" customHeight="1" x14ac:dyDescent="0.3">
      <c r="A36" s="27">
        <v>33</v>
      </c>
      <c r="B36" s="28">
        <v>2025</v>
      </c>
      <c r="C36" s="29" t="s">
        <v>168</v>
      </c>
      <c r="D36" s="30" t="s">
        <v>176</v>
      </c>
      <c r="E36" s="29">
        <v>29024803</v>
      </c>
      <c r="F36" s="29">
        <v>1120494</v>
      </c>
      <c r="G36" s="30" t="s">
        <v>189</v>
      </c>
      <c r="H36" s="29">
        <v>440</v>
      </c>
      <c r="I36" s="29">
        <v>1</v>
      </c>
      <c r="J36" s="29"/>
      <c r="K36" s="30"/>
      <c r="L36" s="29" t="s">
        <v>72</v>
      </c>
      <c r="M36" s="31">
        <v>4260</v>
      </c>
      <c r="N36" s="31">
        <v>1065</v>
      </c>
      <c r="O36" s="31">
        <v>5325</v>
      </c>
      <c r="P36" s="31">
        <f>VLOOKUP(F36,'[3]1ª PARCELA'!$E$5:$H$889,4,FALSE)</f>
        <v>5325</v>
      </c>
      <c r="Q36" s="31" t="b">
        <f t="shared" si="0"/>
        <v>1</v>
      </c>
      <c r="R36" s="32">
        <v>45895</v>
      </c>
      <c r="S36" s="29">
        <v>19863</v>
      </c>
      <c r="T36" s="29" t="s">
        <v>190</v>
      </c>
      <c r="U36" s="33" t="s">
        <v>191</v>
      </c>
    </row>
    <row r="37" spans="1:21" ht="28.5" customHeight="1" x14ac:dyDescent="0.3">
      <c r="A37" s="27">
        <v>34</v>
      </c>
      <c r="B37" s="28">
        <v>2025</v>
      </c>
      <c r="C37" s="29" t="s">
        <v>168</v>
      </c>
      <c r="D37" s="30" t="s">
        <v>176</v>
      </c>
      <c r="E37" s="29">
        <v>29025001</v>
      </c>
      <c r="F37" s="29">
        <v>1120893</v>
      </c>
      <c r="G37" s="30" t="s">
        <v>192</v>
      </c>
      <c r="H37" s="29">
        <v>655</v>
      </c>
      <c r="I37" s="29">
        <v>1</v>
      </c>
      <c r="J37" s="29"/>
      <c r="K37" s="30"/>
      <c r="L37" s="29" t="s">
        <v>72</v>
      </c>
      <c r="M37" s="31">
        <v>5980</v>
      </c>
      <c r="N37" s="31">
        <v>1495</v>
      </c>
      <c r="O37" s="31">
        <v>7475</v>
      </c>
      <c r="P37" s="31">
        <f>VLOOKUP(F37,'[3]1ª PARCELA'!$E$5:$H$889,4,FALSE)</f>
        <v>7475</v>
      </c>
      <c r="Q37" s="31" t="b">
        <f t="shared" si="0"/>
        <v>1</v>
      </c>
      <c r="R37" s="32">
        <v>45926</v>
      </c>
      <c r="S37" s="29">
        <v>24529</v>
      </c>
      <c r="T37" s="29" t="s">
        <v>193</v>
      </c>
      <c r="U37" s="33" t="s">
        <v>194</v>
      </c>
    </row>
    <row r="38" spans="1:21" ht="28.5" customHeight="1" x14ac:dyDescent="0.3">
      <c r="A38" s="27">
        <v>35</v>
      </c>
      <c r="B38" s="28">
        <v>2025</v>
      </c>
      <c r="C38" s="29" t="s">
        <v>168</v>
      </c>
      <c r="D38" s="30" t="s">
        <v>176</v>
      </c>
      <c r="E38" s="29">
        <v>29025028</v>
      </c>
      <c r="F38" s="29">
        <v>1120311</v>
      </c>
      <c r="G38" s="30" t="s">
        <v>195</v>
      </c>
      <c r="H38" s="29">
        <v>1207</v>
      </c>
      <c r="I38" s="29">
        <v>1</v>
      </c>
      <c r="J38" s="29"/>
      <c r="K38" s="30"/>
      <c r="L38" s="29" t="s">
        <v>72</v>
      </c>
      <c r="M38" s="31">
        <v>10396</v>
      </c>
      <c r="N38" s="31">
        <v>2599</v>
      </c>
      <c r="O38" s="31">
        <v>12995</v>
      </c>
      <c r="P38" s="31">
        <f>VLOOKUP(F38,'[3]1ª PARCELA'!$E$5:$H$889,4,FALSE)</f>
        <v>12995</v>
      </c>
      <c r="Q38" s="31" t="b">
        <f t="shared" si="0"/>
        <v>1</v>
      </c>
      <c r="R38" s="32">
        <v>45947</v>
      </c>
      <c r="S38" s="29">
        <v>27225</v>
      </c>
      <c r="T38" s="29" t="s">
        <v>196</v>
      </c>
      <c r="U38" s="33" t="s">
        <v>197</v>
      </c>
    </row>
    <row r="39" spans="1:21" ht="28.5" customHeight="1" x14ac:dyDescent="0.3">
      <c r="A39" s="27">
        <v>36</v>
      </c>
      <c r="B39" s="28">
        <v>2025</v>
      </c>
      <c r="C39" s="29" t="s">
        <v>168</v>
      </c>
      <c r="D39" s="30" t="s">
        <v>176</v>
      </c>
      <c r="E39" s="29">
        <v>29025052</v>
      </c>
      <c r="F39" s="29">
        <v>1120524</v>
      </c>
      <c r="G39" s="30" t="s">
        <v>198</v>
      </c>
      <c r="H39" s="29">
        <v>472</v>
      </c>
      <c r="I39" s="29">
        <v>1</v>
      </c>
      <c r="J39" s="29"/>
      <c r="K39" s="30"/>
      <c r="L39" s="29" t="s">
        <v>72</v>
      </c>
      <c r="M39" s="31">
        <v>4516</v>
      </c>
      <c r="N39" s="31">
        <v>1129</v>
      </c>
      <c r="O39" s="31">
        <v>5645</v>
      </c>
      <c r="P39" s="31">
        <f>VLOOKUP(F39,'[3]1ª PARCELA'!$E$5:$H$889,4,FALSE)</f>
        <v>5645</v>
      </c>
      <c r="Q39" s="31" t="b">
        <f t="shared" si="0"/>
        <v>1</v>
      </c>
      <c r="R39" s="32">
        <v>45895</v>
      </c>
      <c r="S39" s="29">
        <v>19863</v>
      </c>
      <c r="T39" s="29" t="s">
        <v>199</v>
      </c>
      <c r="U39" s="33" t="s">
        <v>200</v>
      </c>
    </row>
    <row r="40" spans="1:21" ht="28.5" customHeight="1" x14ac:dyDescent="0.3">
      <c r="A40" s="27">
        <v>37</v>
      </c>
      <c r="B40" s="28">
        <v>2025</v>
      </c>
      <c r="C40" s="29" t="s">
        <v>168</v>
      </c>
      <c r="D40" s="30" t="s">
        <v>176</v>
      </c>
      <c r="E40" s="29">
        <v>29025117</v>
      </c>
      <c r="F40" s="29">
        <v>1176091</v>
      </c>
      <c r="G40" s="30" t="s">
        <v>201</v>
      </c>
      <c r="H40" s="29">
        <v>861</v>
      </c>
      <c r="I40" s="29">
        <v>1</v>
      </c>
      <c r="J40" s="29"/>
      <c r="K40" s="30"/>
      <c r="L40" s="29" t="s">
        <v>72</v>
      </c>
      <c r="M40" s="31">
        <v>7628</v>
      </c>
      <c r="N40" s="31">
        <v>1907</v>
      </c>
      <c r="O40" s="31">
        <v>9535</v>
      </c>
      <c r="P40" s="31">
        <f>VLOOKUP(F40,'[3]1ª PARCELA'!$E$5:$H$889,4,FALSE)</f>
        <v>9535</v>
      </c>
      <c r="Q40" s="31" t="b">
        <f t="shared" si="0"/>
        <v>1</v>
      </c>
      <c r="R40" s="32">
        <v>45793</v>
      </c>
      <c r="S40" s="29">
        <v>9173</v>
      </c>
      <c r="T40" s="29" t="s">
        <v>202</v>
      </c>
      <c r="U40" s="33" t="s">
        <v>203</v>
      </c>
    </row>
    <row r="41" spans="1:21" ht="28.5" customHeight="1" x14ac:dyDescent="0.3">
      <c r="A41" s="27">
        <v>38</v>
      </c>
      <c r="B41" s="28">
        <v>2025</v>
      </c>
      <c r="C41" s="29" t="s">
        <v>168</v>
      </c>
      <c r="D41" s="30" t="s">
        <v>204</v>
      </c>
      <c r="E41" s="29">
        <v>29029732</v>
      </c>
      <c r="F41" s="29">
        <v>1121520</v>
      </c>
      <c r="G41" s="30" t="s">
        <v>205</v>
      </c>
      <c r="H41" s="29">
        <v>1419</v>
      </c>
      <c r="I41" s="29">
        <v>1</v>
      </c>
      <c r="J41" s="29"/>
      <c r="K41" s="30"/>
      <c r="L41" s="29" t="s">
        <v>72</v>
      </c>
      <c r="M41" s="31">
        <v>12092</v>
      </c>
      <c r="N41" s="31">
        <v>3023</v>
      </c>
      <c r="O41" s="31">
        <v>15115</v>
      </c>
      <c r="P41" s="31">
        <f>VLOOKUP(F41,'[3]1ª PARCELA'!$E$5:$H$889,4,FALSE)</f>
        <v>15115</v>
      </c>
      <c r="Q41" s="31" t="b">
        <f t="shared" si="0"/>
        <v>1</v>
      </c>
      <c r="R41" s="32">
        <v>45967</v>
      </c>
      <c r="S41" s="29">
        <v>29630</v>
      </c>
      <c r="T41" s="29" t="s">
        <v>206</v>
      </c>
      <c r="U41" s="33" t="s">
        <v>207</v>
      </c>
    </row>
    <row r="42" spans="1:21" ht="28.5" customHeight="1" x14ac:dyDescent="0.3">
      <c r="A42" s="27">
        <v>39</v>
      </c>
      <c r="B42" s="28">
        <v>2025</v>
      </c>
      <c r="C42" s="29" t="s">
        <v>168</v>
      </c>
      <c r="D42" s="30" t="s">
        <v>208</v>
      </c>
      <c r="E42" s="29">
        <v>29031265</v>
      </c>
      <c r="F42" s="29">
        <v>1121342</v>
      </c>
      <c r="G42" s="30" t="s">
        <v>209</v>
      </c>
      <c r="H42" s="29">
        <v>1090</v>
      </c>
      <c r="I42" s="29">
        <v>1</v>
      </c>
      <c r="J42" s="29"/>
      <c r="K42" s="30"/>
      <c r="L42" s="29" t="s">
        <v>72</v>
      </c>
      <c r="M42" s="31">
        <v>8277.5</v>
      </c>
      <c r="N42" s="31">
        <v>3547.5</v>
      </c>
      <c r="O42" s="31">
        <v>11825</v>
      </c>
      <c r="P42" s="31">
        <f>VLOOKUP(F42,'[3]1ª PARCELA'!$E$5:$H$889,4,FALSE)</f>
        <v>11825</v>
      </c>
      <c r="Q42" s="31" t="b">
        <f t="shared" si="0"/>
        <v>1</v>
      </c>
      <c r="R42" s="32">
        <v>45947</v>
      </c>
      <c r="S42" s="29">
        <v>27225</v>
      </c>
      <c r="T42" s="29" t="s">
        <v>210</v>
      </c>
      <c r="U42" s="33" t="s">
        <v>211</v>
      </c>
    </row>
    <row r="43" spans="1:21" ht="28.5" customHeight="1" x14ac:dyDescent="0.3">
      <c r="A43" s="27">
        <v>40</v>
      </c>
      <c r="B43" s="28">
        <v>2025</v>
      </c>
      <c r="C43" s="29" t="s">
        <v>168</v>
      </c>
      <c r="D43" s="30" t="s">
        <v>212</v>
      </c>
      <c r="E43" s="29">
        <v>29031630</v>
      </c>
      <c r="F43" s="29">
        <v>1144156</v>
      </c>
      <c r="G43" s="30" t="s">
        <v>213</v>
      </c>
      <c r="H43" s="29">
        <v>528</v>
      </c>
      <c r="I43" s="29">
        <v>1</v>
      </c>
      <c r="J43" s="29"/>
      <c r="K43" s="30"/>
      <c r="L43" s="29" t="s">
        <v>72</v>
      </c>
      <c r="M43" s="31">
        <v>4343.5</v>
      </c>
      <c r="N43" s="31">
        <v>1861.5</v>
      </c>
      <c r="O43" s="31">
        <v>6205</v>
      </c>
      <c r="P43" s="31">
        <f>VLOOKUP(F43,'[3]1ª PARCELA'!$E$5:$H$889,4,FALSE)</f>
        <v>6205</v>
      </c>
      <c r="Q43" s="31" t="b">
        <f t="shared" si="0"/>
        <v>1</v>
      </c>
      <c r="R43" s="32">
        <v>45967</v>
      </c>
      <c r="S43" s="29">
        <v>29630</v>
      </c>
      <c r="T43" s="29" t="s">
        <v>214</v>
      </c>
      <c r="U43" s="33" t="s">
        <v>215</v>
      </c>
    </row>
    <row r="44" spans="1:21" ht="28.5" customHeight="1" x14ac:dyDescent="0.3">
      <c r="A44" s="27">
        <v>41</v>
      </c>
      <c r="B44" s="28">
        <v>2025</v>
      </c>
      <c r="C44" s="29" t="s">
        <v>168</v>
      </c>
      <c r="D44" s="30" t="s">
        <v>212</v>
      </c>
      <c r="E44" s="29">
        <v>29031761</v>
      </c>
      <c r="F44" s="29">
        <v>1120990</v>
      </c>
      <c r="G44" s="30" t="s">
        <v>216</v>
      </c>
      <c r="H44" s="29">
        <v>974</v>
      </c>
      <c r="I44" s="29">
        <v>1</v>
      </c>
      <c r="J44" s="29"/>
      <c r="K44" s="30"/>
      <c r="L44" s="29" t="s">
        <v>72</v>
      </c>
      <c r="M44" s="31">
        <v>8532</v>
      </c>
      <c r="N44" s="31">
        <v>2133</v>
      </c>
      <c r="O44" s="31">
        <v>10665</v>
      </c>
      <c r="P44" s="31">
        <f>VLOOKUP(F44,'[3]1ª PARCELA'!$E$5:$H$889,4,FALSE)</f>
        <v>10665</v>
      </c>
      <c r="Q44" s="31" t="b">
        <f t="shared" si="0"/>
        <v>1</v>
      </c>
      <c r="R44" s="32">
        <v>45833</v>
      </c>
      <c r="S44" s="29">
        <v>13120</v>
      </c>
      <c r="T44" s="29" t="s">
        <v>217</v>
      </c>
      <c r="U44" s="33" t="s">
        <v>218</v>
      </c>
    </row>
    <row r="45" spans="1:21" ht="28.5" customHeight="1" x14ac:dyDescent="0.3">
      <c r="A45" s="27">
        <v>42</v>
      </c>
      <c r="B45" s="28">
        <v>2025</v>
      </c>
      <c r="C45" s="29" t="s">
        <v>168</v>
      </c>
      <c r="D45" s="30" t="s">
        <v>219</v>
      </c>
      <c r="E45" s="29">
        <v>29032334</v>
      </c>
      <c r="F45" s="29">
        <v>1120907</v>
      </c>
      <c r="G45" s="30" t="s">
        <v>220</v>
      </c>
      <c r="H45" s="29">
        <v>771</v>
      </c>
      <c r="I45" s="29">
        <v>1</v>
      </c>
      <c r="J45" s="29"/>
      <c r="K45" s="30"/>
      <c r="L45" s="29" t="s">
        <v>72</v>
      </c>
      <c r="M45" s="31">
        <v>6908</v>
      </c>
      <c r="N45" s="31">
        <v>1727</v>
      </c>
      <c r="O45" s="31">
        <v>8635</v>
      </c>
      <c r="P45" s="31">
        <f>VLOOKUP(F45,'[3]1ª PARCELA'!$E$5:$H$889,4,FALSE)</f>
        <v>8635</v>
      </c>
      <c r="Q45" s="31" t="b">
        <f t="shared" si="0"/>
        <v>1</v>
      </c>
      <c r="R45" s="32">
        <v>45895</v>
      </c>
      <c r="S45" s="29">
        <v>19863</v>
      </c>
      <c r="T45" s="29" t="s">
        <v>221</v>
      </c>
      <c r="U45" s="33" t="s">
        <v>222</v>
      </c>
    </row>
    <row r="46" spans="1:21" ht="28.5" customHeight="1" x14ac:dyDescent="0.3">
      <c r="A46" s="27">
        <v>43</v>
      </c>
      <c r="B46" s="28">
        <v>2025</v>
      </c>
      <c r="C46" s="29" t="s">
        <v>223</v>
      </c>
      <c r="D46" s="30" t="s">
        <v>224</v>
      </c>
      <c r="E46" s="29">
        <v>29032539</v>
      </c>
      <c r="F46" s="29">
        <v>1113960</v>
      </c>
      <c r="G46" s="30" t="s">
        <v>225</v>
      </c>
      <c r="H46" s="29">
        <v>586</v>
      </c>
      <c r="I46" s="29">
        <v>1</v>
      </c>
      <c r="J46" s="29"/>
      <c r="K46" s="30"/>
      <c r="L46" s="29" t="s">
        <v>72</v>
      </c>
      <c r="M46" s="31">
        <v>5428</v>
      </c>
      <c r="N46" s="31">
        <v>1357</v>
      </c>
      <c r="O46" s="31">
        <v>6785</v>
      </c>
      <c r="P46" s="31">
        <f>VLOOKUP(F46,'[3]1ª PARCELA'!$E$5:$H$889,4,FALSE)</f>
        <v>6785</v>
      </c>
      <c r="Q46" s="31" t="b">
        <f t="shared" si="0"/>
        <v>1</v>
      </c>
      <c r="R46" s="32">
        <v>45793</v>
      </c>
      <c r="S46" s="29">
        <v>9173</v>
      </c>
      <c r="T46" s="29" t="s">
        <v>226</v>
      </c>
      <c r="U46" s="33" t="s">
        <v>227</v>
      </c>
    </row>
    <row r="47" spans="1:21" ht="28.5" customHeight="1" x14ac:dyDescent="0.3">
      <c r="A47" s="27">
        <v>44</v>
      </c>
      <c r="B47" s="28">
        <v>2025</v>
      </c>
      <c r="C47" s="29" t="s">
        <v>223</v>
      </c>
      <c r="D47" s="30" t="s">
        <v>224</v>
      </c>
      <c r="E47" s="29">
        <v>29033047</v>
      </c>
      <c r="F47" s="29">
        <v>1113927</v>
      </c>
      <c r="G47" s="30" t="s">
        <v>228</v>
      </c>
      <c r="H47" s="29">
        <v>262</v>
      </c>
      <c r="I47" s="29">
        <v>1</v>
      </c>
      <c r="J47" s="29"/>
      <c r="K47" s="30"/>
      <c r="L47" s="29" t="s">
        <v>72</v>
      </c>
      <c r="M47" s="31">
        <v>4316</v>
      </c>
      <c r="N47" s="31">
        <v>1079</v>
      </c>
      <c r="O47" s="31">
        <v>5395</v>
      </c>
      <c r="P47" s="31">
        <f>VLOOKUP(F47,'[3]1ª PARCELA'!$E$5:$H$889,4,FALSE)</f>
        <v>5395</v>
      </c>
      <c r="Q47" s="31" t="b">
        <f t="shared" si="0"/>
        <v>1</v>
      </c>
      <c r="R47" s="32">
        <v>45805</v>
      </c>
      <c r="S47" s="29">
        <v>9678</v>
      </c>
      <c r="T47" s="29" t="s">
        <v>229</v>
      </c>
      <c r="U47" s="33" t="s">
        <v>230</v>
      </c>
    </row>
    <row r="48" spans="1:21" ht="28.5" customHeight="1" x14ac:dyDescent="0.3">
      <c r="A48" s="27">
        <v>45</v>
      </c>
      <c r="B48" s="28">
        <v>2025</v>
      </c>
      <c r="C48" s="29" t="s">
        <v>223</v>
      </c>
      <c r="D48" s="30" t="s">
        <v>231</v>
      </c>
      <c r="E48" s="29">
        <v>29033187</v>
      </c>
      <c r="F48" s="29">
        <v>1113994</v>
      </c>
      <c r="G48" s="30" t="s">
        <v>232</v>
      </c>
      <c r="H48" s="29">
        <v>154</v>
      </c>
      <c r="I48" s="29">
        <v>1</v>
      </c>
      <c r="J48" s="29"/>
      <c r="K48" s="30"/>
      <c r="L48" s="29" t="s">
        <v>72</v>
      </c>
      <c r="M48" s="31">
        <v>3452</v>
      </c>
      <c r="N48" s="31">
        <v>863</v>
      </c>
      <c r="O48" s="31">
        <v>4315</v>
      </c>
      <c r="P48" s="31">
        <f>VLOOKUP(F48,'[3]1ª PARCELA'!$E$5:$H$889,4,FALSE)</f>
        <v>4315</v>
      </c>
      <c r="Q48" s="31" t="b">
        <f t="shared" si="0"/>
        <v>1</v>
      </c>
      <c r="R48" s="32">
        <v>45793</v>
      </c>
      <c r="S48" s="29">
        <v>9173</v>
      </c>
      <c r="T48" s="29" t="s">
        <v>233</v>
      </c>
      <c r="U48" s="33" t="s">
        <v>234</v>
      </c>
    </row>
    <row r="49" spans="1:21" ht="28.5" customHeight="1" x14ac:dyDescent="0.3">
      <c r="A49" s="27">
        <v>46</v>
      </c>
      <c r="B49" s="28">
        <v>2025</v>
      </c>
      <c r="C49" s="29" t="s">
        <v>223</v>
      </c>
      <c r="D49" s="30" t="s">
        <v>235</v>
      </c>
      <c r="E49" s="29">
        <v>29033950</v>
      </c>
      <c r="F49" s="29">
        <v>1179202</v>
      </c>
      <c r="G49" s="30" t="s">
        <v>236</v>
      </c>
      <c r="H49" s="29">
        <v>49</v>
      </c>
      <c r="I49" s="29">
        <v>1</v>
      </c>
      <c r="J49" s="29"/>
      <c r="K49" s="30"/>
      <c r="L49" s="29" t="s">
        <v>72</v>
      </c>
      <c r="M49" s="31">
        <v>1632.5</v>
      </c>
      <c r="N49" s="31">
        <v>1632.5</v>
      </c>
      <c r="O49" s="31">
        <v>3265</v>
      </c>
      <c r="P49" s="31">
        <f>VLOOKUP(F49,'[3]1ª PARCELA'!$E$5:$H$889,4,FALSE)</f>
        <v>3265</v>
      </c>
      <c r="Q49" s="31" t="b">
        <f t="shared" si="0"/>
        <v>1</v>
      </c>
      <c r="R49" s="32">
        <v>45793</v>
      </c>
      <c r="S49" s="29">
        <v>9173</v>
      </c>
      <c r="T49" s="29" t="s">
        <v>237</v>
      </c>
      <c r="U49" s="33" t="s">
        <v>238</v>
      </c>
    </row>
    <row r="50" spans="1:21" ht="28.5" customHeight="1" x14ac:dyDescent="0.3">
      <c r="A50" s="27">
        <v>47</v>
      </c>
      <c r="B50" s="28">
        <v>2025</v>
      </c>
      <c r="C50" s="29" t="s">
        <v>223</v>
      </c>
      <c r="D50" s="30" t="s">
        <v>235</v>
      </c>
      <c r="E50" s="29">
        <v>29034205</v>
      </c>
      <c r="F50" s="29">
        <v>1138504</v>
      </c>
      <c r="G50" s="30" t="s">
        <v>239</v>
      </c>
      <c r="H50" s="29">
        <v>603</v>
      </c>
      <c r="I50" s="29">
        <v>1</v>
      </c>
      <c r="J50" s="29"/>
      <c r="K50" s="30"/>
      <c r="L50" s="29" t="s">
        <v>72</v>
      </c>
      <c r="M50" s="31">
        <v>5564</v>
      </c>
      <c r="N50" s="31">
        <v>1391</v>
      </c>
      <c r="O50" s="31">
        <v>6955</v>
      </c>
      <c r="P50" s="31">
        <f>VLOOKUP(F50,'[3]1ª PARCELA'!$E$5:$H$889,4,FALSE)</f>
        <v>6955</v>
      </c>
      <c r="Q50" s="31" t="b">
        <f t="shared" si="0"/>
        <v>1</v>
      </c>
      <c r="R50" s="32">
        <v>45793</v>
      </c>
      <c r="S50" s="29">
        <v>9173</v>
      </c>
      <c r="T50" s="29" t="s">
        <v>240</v>
      </c>
      <c r="U50" s="33" t="s">
        <v>241</v>
      </c>
    </row>
    <row r="51" spans="1:21" ht="28.5" customHeight="1" x14ac:dyDescent="0.3">
      <c r="A51" s="27">
        <v>48</v>
      </c>
      <c r="B51" s="28">
        <v>2025</v>
      </c>
      <c r="C51" s="29" t="s">
        <v>223</v>
      </c>
      <c r="D51" s="30" t="s">
        <v>242</v>
      </c>
      <c r="E51" s="29">
        <v>29034280</v>
      </c>
      <c r="F51" s="29">
        <v>1114265</v>
      </c>
      <c r="G51" s="30" t="s">
        <v>243</v>
      </c>
      <c r="H51" s="29">
        <v>346</v>
      </c>
      <c r="I51" s="29">
        <v>1</v>
      </c>
      <c r="J51" s="29"/>
      <c r="K51" s="30"/>
      <c r="L51" s="29" t="s">
        <v>72</v>
      </c>
      <c r="M51" s="31">
        <v>3069.5</v>
      </c>
      <c r="N51" s="31">
        <v>1315.5</v>
      </c>
      <c r="O51" s="31">
        <v>4385</v>
      </c>
      <c r="P51" s="31">
        <f>VLOOKUP(F51,'[3]1ª PARCELA'!$E$5:$H$889,4,FALSE)</f>
        <v>4385</v>
      </c>
      <c r="Q51" s="31" t="b">
        <f t="shared" si="0"/>
        <v>1</v>
      </c>
      <c r="R51" s="32">
        <v>45833</v>
      </c>
      <c r="S51" s="29">
        <v>13120</v>
      </c>
      <c r="T51" s="29" t="s">
        <v>244</v>
      </c>
      <c r="U51" s="33" t="s">
        <v>245</v>
      </c>
    </row>
    <row r="52" spans="1:21" ht="28.5" customHeight="1" x14ac:dyDescent="0.3">
      <c r="A52" s="27">
        <v>49</v>
      </c>
      <c r="B52" s="28">
        <v>2025</v>
      </c>
      <c r="C52" s="29" t="s">
        <v>223</v>
      </c>
      <c r="D52" s="30" t="s">
        <v>246</v>
      </c>
      <c r="E52" s="29">
        <v>29034922</v>
      </c>
      <c r="F52" s="29">
        <v>1114257</v>
      </c>
      <c r="G52" s="30" t="s">
        <v>247</v>
      </c>
      <c r="H52" s="29">
        <v>609</v>
      </c>
      <c r="I52" s="29">
        <v>1</v>
      </c>
      <c r="J52" s="29"/>
      <c r="K52" s="30"/>
      <c r="L52" s="29" t="s">
        <v>72</v>
      </c>
      <c r="M52" s="31">
        <v>5612</v>
      </c>
      <c r="N52" s="31">
        <v>1403</v>
      </c>
      <c r="O52" s="31">
        <v>7015</v>
      </c>
      <c r="P52" s="31">
        <f>VLOOKUP(F52,'[3]1ª PARCELA'!$E$5:$H$889,4,FALSE)</f>
        <v>7015</v>
      </c>
      <c r="Q52" s="31" t="b">
        <f t="shared" si="0"/>
        <v>1</v>
      </c>
      <c r="R52" s="32">
        <v>45805</v>
      </c>
      <c r="S52" s="29">
        <v>9678</v>
      </c>
      <c r="T52" s="29" t="s">
        <v>248</v>
      </c>
      <c r="U52" s="33" t="s">
        <v>249</v>
      </c>
    </row>
    <row r="53" spans="1:21" ht="28.5" customHeight="1" x14ac:dyDescent="0.3">
      <c r="A53" s="27">
        <v>50</v>
      </c>
      <c r="B53" s="28">
        <v>2025</v>
      </c>
      <c r="C53" s="29" t="s">
        <v>223</v>
      </c>
      <c r="D53" s="30" t="s">
        <v>246</v>
      </c>
      <c r="E53" s="29">
        <v>29034965</v>
      </c>
      <c r="F53" s="29">
        <v>1174292</v>
      </c>
      <c r="G53" s="30" t="s">
        <v>250</v>
      </c>
      <c r="H53" s="29">
        <v>758</v>
      </c>
      <c r="I53" s="29">
        <v>1</v>
      </c>
      <c r="J53" s="29"/>
      <c r="K53" s="30"/>
      <c r="L53" s="29" t="s">
        <v>72</v>
      </c>
      <c r="M53" s="31">
        <v>6804</v>
      </c>
      <c r="N53" s="31">
        <v>1701</v>
      </c>
      <c r="O53" s="31">
        <v>8505</v>
      </c>
      <c r="P53" s="31">
        <f>VLOOKUP(F53,'[3]1ª PARCELA'!$E$5:$H$889,4,FALSE)</f>
        <v>8505</v>
      </c>
      <c r="Q53" s="31" t="b">
        <f t="shared" si="0"/>
        <v>1</v>
      </c>
      <c r="R53" s="32">
        <v>45833</v>
      </c>
      <c r="S53" s="29">
        <v>13120</v>
      </c>
      <c r="T53" s="29" t="s">
        <v>251</v>
      </c>
      <c r="U53" s="33" t="s">
        <v>252</v>
      </c>
    </row>
    <row r="54" spans="1:21" ht="28.5" customHeight="1" x14ac:dyDescent="0.3">
      <c r="A54" s="27">
        <v>51</v>
      </c>
      <c r="B54" s="28">
        <v>2025</v>
      </c>
      <c r="C54" s="29" t="s">
        <v>223</v>
      </c>
      <c r="D54" s="30" t="s">
        <v>246</v>
      </c>
      <c r="E54" s="29">
        <v>29034990</v>
      </c>
      <c r="F54" s="29">
        <v>1118040</v>
      </c>
      <c r="G54" s="30" t="s">
        <v>253</v>
      </c>
      <c r="H54" s="29">
        <v>601</v>
      </c>
      <c r="I54" s="29">
        <v>1</v>
      </c>
      <c r="J54" s="29"/>
      <c r="K54" s="30"/>
      <c r="L54" s="29" t="s">
        <v>72</v>
      </c>
      <c r="M54" s="31">
        <v>4161</v>
      </c>
      <c r="N54" s="31">
        <v>2774</v>
      </c>
      <c r="O54" s="31">
        <v>6935</v>
      </c>
      <c r="P54" s="31">
        <f>VLOOKUP(F54,'[3]1ª PARCELA'!$E$5:$H$889,4,FALSE)</f>
        <v>6935</v>
      </c>
      <c r="Q54" s="31" t="b">
        <f t="shared" si="0"/>
        <v>1</v>
      </c>
      <c r="R54" s="32">
        <v>45793</v>
      </c>
      <c r="S54" s="29">
        <v>9173</v>
      </c>
      <c r="T54" s="29" t="s">
        <v>254</v>
      </c>
      <c r="U54" s="33" t="s">
        <v>255</v>
      </c>
    </row>
    <row r="55" spans="1:21" ht="28.5" customHeight="1" x14ac:dyDescent="0.3">
      <c r="A55" s="27">
        <v>52</v>
      </c>
      <c r="B55" s="28">
        <v>2025</v>
      </c>
      <c r="C55" s="29" t="s">
        <v>223</v>
      </c>
      <c r="D55" s="30" t="s">
        <v>246</v>
      </c>
      <c r="E55" s="29">
        <v>29035007</v>
      </c>
      <c r="F55" s="29">
        <v>1117779</v>
      </c>
      <c r="G55" s="30" t="s">
        <v>256</v>
      </c>
      <c r="H55" s="29">
        <v>636</v>
      </c>
      <c r="I55" s="29">
        <v>1</v>
      </c>
      <c r="J55" s="29"/>
      <c r="K55" s="30"/>
      <c r="L55" s="29" t="s">
        <v>72</v>
      </c>
      <c r="M55" s="31">
        <v>5828</v>
      </c>
      <c r="N55" s="31">
        <v>1457</v>
      </c>
      <c r="O55" s="31">
        <v>7285</v>
      </c>
      <c r="P55" s="31">
        <f>VLOOKUP(F55,'[3]1ª PARCELA'!$E$5:$H$889,4,FALSE)</f>
        <v>7285</v>
      </c>
      <c r="Q55" s="31" t="b">
        <f t="shared" si="0"/>
        <v>1</v>
      </c>
      <c r="R55" s="32">
        <v>45793</v>
      </c>
      <c r="S55" s="29">
        <v>9173</v>
      </c>
      <c r="T55" s="29" t="s">
        <v>257</v>
      </c>
      <c r="U55" s="33" t="s">
        <v>258</v>
      </c>
    </row>
    <row r="56" spans="1:21" ht="28.5" customHeight="1" x14ac:dyDescent="0.3">
      <c r="A56" s="27">
        <v>53</v>
      </c>
      <c r="B56" s="28">
        <v>2025</v>
      </c>
      <c r="C56" s="29" t="s">
        <v>223</v>
      </c>
      <c r="D56" s="30" t="s">
        <v>259</v>
      </c>
      <c r="E56" s="29">
        <v>29036046</v>
      </c>
      <c r="F56" s="29">
        <v>1114133</v>
      </c>
      <c r="G56" s="30" t="s">
        <v>260</v>
      </c>
      <c r="H56" s="29">
        <v>406</v>
      </c>
      <c r="I56" s="29">
        <v>1</v>
      </c>
      <c r="J56" s="29"/>
      <c r="K56" s="30"/>
      <c r="L56" s="29" t="s">
        <v>72</v>
      </c>
      <c r="M56" s="31">
        <v>3988</v>
      </c>
      <c r="N56" s="31">
        <v>997</v>
      </c>
      <c r="O56" s="31">
        <v>4985</v>
      </c>
      <c r="P56" s="31">
        <f>VLOOKUP(F56,'[3]1ª PARCELA'!$E$5:$H$889,4,FALSE)</f>
        <v>4985</v>
      </c>
      <c r="Q56" s="31" t="b">
        <f t="shared" si="0"/>
        <v>1</v>
      </c>
      <c r="R56" s="32">
        <v>45947</v>
      </c>
      <c r="S56" s="29">
        <v>27225</v>
      </c>
      <c r="T56" s="29" t="s">
        <v>261</v>
      </c>
      <c r="U56" s="33" t="s">
        <v>262</v>
      </c>
    </row>
    <row r="57" spans="1:21" ht="28.5" customHeight="1" x14ac:dyDescent="0.3">
      <c r="A57" s="27">
        <v>54</v>
      </c>
      <c r="B57" s="28">
        <v>2025</v>
      </c>
      <c r="C57" s="29" t="s">
        <v>263</v>
      </c>
      <c r="D57" s="30" t="s">
        <v>264</v>
      </c>
      <c r="E57" s="29">
        <v>29036143</v>
      </c>
      <c r="F57" s="29">
        <v>1127502</v>
      </c>
      <c r="G57" s="30" t="s">
        <v>265</v>
      </c>
      <c r="H57" s="29">
        <v>1209</v>
      </c>
      <c r="I57" s="29">
        <v>1</v>
      </c>
      <c r="J57" s="29"/>
      <c r="K57" s="30"/>
      <c r="L57" s="29" t="s">
        <v>72</v>
      </c>
      <c r="M57" s="31">
        <v>10006.5</v>
      </c>
      <c r="N57" s="31">
        <v>4288.5</v>
      </c>
      <c r="O57" s="31">
        <v>14295</v>
      </c>
      <c r="P57" s="31">
        <f>VLOOKUP(F57,'[3]1ª PARCELA'!$E$5:$H$889,4,FALSE)</f>
        <v>14295</v>
      </c>
      <c r="Q57" s="31" t="b">
        <f t="shared" si="0"/>
        <v>1</v>
      </c>
      <c r="R57" s="32">
        <v>45793</v>
      </c>
      <c r="S57" s="29">
        <v>9173</v>
      </c>
      <c r="T57" s="29" t="s">
        <v>266</v>
      </c>
      <c r="U57" s="33" t="s">
        <v>267</v>
      </c>
    </row>
    <row r="58" spans="1:21" ht="28.5" customHeight="1" x14ac:dyDescent="0.3">
      <c r="A58" s="27">
        <v>55</v>
      </c>
      <c r="B58" s="28">
        <v>2025</v>
      </c>
      <c r="C58" s="29" t="s">
        <v>263</v>
      </c>
      <c r="D58" s="30" t="s">
        <v>268</v>
      </c>
      <c r="E58" s="29">
        <v>29038820</v>
      </c>
      <c r="F58" s="29">
        <v>1127324</v>
      </c>
      <c r="G58" s="30" t="s">
        <v>269</v>
      </c>
      <c r="H58" s="29">
        <v>856</v>
      </c>
      <c r="I58" s="29">
        <v>1</v>
      </c>
      <c r="J58" s="29"/>
      <c r="K58" s="30"/>
      <c r="L58" s="29" t="s">
        <v>72</v>
      </c>
      <c r="M58" s="31">
        <v>7588</v>
      </c>
      <c r="N58" s="31">
        <v>1897</v>
      </c>
      <c r="O58" s="31">
        <v>9485</v>
      </c>
      <c r="P58" s="31">
        <f>VLOOKUP(F58,'[3]1ª PARCELA'!$E$5:$H$889,4,FALSE)</f>
        <v>9485</v>
      </c>
      <c r="Q58" s="31" t="b">
        <f t="shared" si="0"/>
        <v>1</v>
      </c>
      <c r="R58" s="32">
        <v>45793</v>
      </c>
      <c r="S58" s="29">
        <v>9173</v>
      </c>
      <c r="T58" s="29" t="s">
        <v>270</v>
      </c>
      <c r="U58" s="33" t="s">
        <v>271</v>
      </c>
    </row>
    <row r="59" spans="1:21" ht="28.5" customHeight="1" x14ac:dyDescent="0.3">
      <c r="A59" s="27">
        <v>56</v>
      </c>
      <c r="B59" s="28">
        <v>2025</v>
      </c>
      <c r="C59" s="29" t="s">
        <v>272</v>
      </c>
      <c r="D59" s="30" t="s">
        <v>273</v>
      </c>
      <c r="E59" s="29">
        <v>29041333</v>
      </c>
      <c r="F59" s="29">
        <v>1126808</v>
      </c>
      <c r="G59" s="30" t="s">
        <v>274</v>
      </c>
      <c r="H59" s="29">
        <v>867</v>
      </c>
      <c r="I59" s="29">
        <v>1</v>
      </c>
      <c r="J59" s="29"/>
      <c r="K59" s="30"/>
      <c r="L59" s="29" t="s">
        <v>72</v>
      </c>
      <c r="M59" s="31">
        <v>7676</v>
      </c>
      <c r="N59" s="31">
        <v>1919</v>
      </c>
      <c r="O59" s="31">
        <v>9595</v>
      </c>
      <c r="P59" s="31">
        <f>VLOOKUP(F59,'[3]1ª PARCELA'!$E$5:$H$889,4,FALSE)</f>
        <v>9595</v>
      </c>
      <c r="Q59" s="31" t="b">
        <f t="shared" si="0"/>
        <v>1</v>
      </c>
      <c r="R59" s="32">
        <v>45793</v>
      </c>
      <c r="S59" s="29">
        <v>9173</v>
      </c>
      <c r="T59" s="29" t="s">
        <v>275</v>
      </c>
      <c r="U59" s="33" t="s">
        <v>276</v>
      </c>
    </row>
    <row r="60" spans="1:21" ht="28.5" customHeight="1" x14ac:dyDescent="0.3">
      <c r="A60" s="27">
        <v>57</v>
      </c>
      <c r="B60" s="28">
        <v>2025</v>
      </c>
      <c r="C60" s="29" t="s">
        <v>263</v>
      </c>
      <c r="D60" s="30" t="s">
        <v>277</v>
      </c>
      <c r="E60" s="29">
        <v>29043085</v>
      </c>
      <c r="F60" s="29">
        <v>1131720</v>
      </c>
      <c r="G60" s="30" t="s">
        <v>278</v>
      </c>
      <c r="H60" s="29">
        <v>1317</v>
      </c>
      <c r="I60" s="29">
        <v>1</v>
      </c>
      <c r="J60" s="29"/>
      <c r="K60" s="30"/>
      <c r="L60" s="29" t="s">
        <v>72</v>
      </c>
      <c r="M60" s="31">
        <v>9866.5</v>
      </c>
      <c r="N60" s="31">
        <v>4228.5</v>
      </c>
      <c r="O60" s="31">
        <v>14095</v>
      </c>
      <c r="P60" s="31">
        <f>VLOOKUP(F60,'[3]1ª PARCELA'!$E$5:$H$889,4,FALSE)</f>
        <v>14095</v>
      </c>
      <c r="Q60" s="31" t="b">
        <f t="shared" si="0"/>
        <v>1</v>
      </c>
      <c r="R60" s="32">
        <v>45793</v>
      </c>
      <c r="S60" s="29">
        <v>9173</v>
      </c>
      <c r="T60" s="29" t="s">
        <v>279</v>
      </c>
      <c r="U60" s="33" t="s">
        <v>280</v>
      </c>
    </row>
    <row r="61" spans="1:21" ht="28.5" customHeight="1" x14ac:dyDescent="0.3">
      <c r="A61" s="27">
        <v>58</v>
      </c>
      <c r="B61" s="28">
        <v>2025</v>
      </c>
      <c r="C61" s="29" t="s">
        <v>263</v>
      </c>
      <c r="D61" s="30" t="s">
        <v>281</v>
      </c>
      <c r="E61" s="29">
        <v>29044570</v>
      </c>
      <c r="F61" s="29">
        <v>1128762</v>
      </c>
      <c r="G61" s="30" t="s">
        <v>282</v>
      </c>
      <c r="H61" s="29">
        <v>846</v>
      </c>
      <c r="I61" s="29">
        <v>1</v>
      </c>
      <c r="J61" s="29"/>
      <c r="K61" s="30"/>
      <c r="L61" s="29" t="s">
        <v>72</v>
      </c>
      <c r="M61" s="31">
        <v>7508</v>
      </c>
      <c r="N61" s="31">
        <v>1877</v>
      </c>
      <c r="O61" s="31">
        <v>9385</v>
      </c>
      <c r="P61" s="31">
        <f>VLOOKUP(F61,'[3]1ª PARCELA'!$E$5:$H$889,4,FALSE)</f>
        <v>9385</v>
      </c>
      <c r="Q61" s="31" t="b">
        <f t="shared" si="0"/>
        <v>1</v>
      </c>
      <c r="R61" s="32">
        <v>45793</v>
      </c>
      <c r="S61" s="29">
        <v>9173</v>
      </c>
      <c r="T61" s="29" t="s">
        <v>283</v>
      </c>
      <c r="U61" s="33" t="s">
        <v>284</v>
      </c>
    </row>
    <row r="62" spans="1:21" ht="28.5" customHeight="1" x14ac:dyDescent="0.3">
      <c r="A62" s="27">
        <v>59</v>
      </c>
      <c r="B62" s="28">
        <v>2025</v>
      </c>
      <c r="C62" s="29" t="s">
        <v>263</v>
      </c>
      <c r="D62" s="30" t="s">
        <v>285</v>
      </c>
      <c r="E62" s="29">
        <v>29047250</v>
      </c>
      <c r="F62" s="29">
        <v>1164890</v>
      </c>
      <c r="G62" s="30" t="s">
        <v>286</v>
      </c>
      <c r="H62" s="29">
        <v>470</v>
      </c>
      <c r="I62" s="29">
        <v>1</v>
      </c>
      <c r="J62" s="29"/>
      <c r="K62" s="30"/>
      <c r="L62" s="29" t="s">
        <v>72</v>
      </c>
      <c r="M62" s="31">
        <v>3375</v>
      </c>
      <c r="N62" s="31">
        <v>2250</v>
      </c>
      <c r="O62" s="31">
        <v>5625</v>
      </c>
      <c r="P62" s="31">
        <f>VLOOKUP(F62,'[3]1ª PARCELA'!$E$5:$H$889,4,FALSE)</f>
        <v>5625</v>
      </c>
      <c r="Q62" s="31" t="b">
        <f t="shared" si="0"/>
        <v>1</v>
      </c>
      <c r="R62" s="32">
        <v>45793</v>
      </c>
      <c r="S62" s="29">
        <v>9173</v>
      </c>
      <c r="T62" s="29" t="s">
        <v>287</v>
      </c>
      <c r="U62" s="33" t="s">
        <v>288</v>
      </c>
    </row>
    <row r="63" spans="1:21" ht="28.5" customHeight="1" x14ac:dyDescent="0.3">
      <c r="A63" s="27">
        <v>60</v>
      </c>
      <c r="B63" s="28">
        <v>2025</v>
      </c>
      <c r="C63" s="29" t="s">
        <v>263</v>
      </c>
      <c r="D63" s="30" t="s">
        <v>285</v>
      </c>
      <c r="E63" s="29">
        <v>29047455</v>
      </c>
      <c r="F63" s="29">
        <v>1176059</v>
      </c>
      <c r="G63" s="30" t="s">
        <v>289</v>
      </c>
      <c r="H63" s="29">
        <v>230</v>
      </c>
      <c r="I63" s="29">
        <v>1</v>
      </c>
      <c r="J63" s="29"/>
      <c r="K63" s="30"/>
      <c r="L63" s="29" t="s">
        <v>72</v>
      </c>
      <c r="M63" s="31">
        <v>3045</v>
      </c>
      <c r="N63" s="31">
        <v>2030</v>
      </c>
      <c r="O63" s="31">
        <v>5075</v>
      </c>
      <c r="P63" s="31">
        <f>VLOOKUP(F63,'[3]1ª PARCELA'!$E$5:$H$889,4,FALSE)</f>
        <v>5075</v>
      </c>
      <c r="Q63" s="31" t="b">
        <f t="shared" si="0"/>
        <v>1</v>
      </c>
      <c r="R63" s="32">
        <v>45793</v>
      </c>
      <c r="S63" s="29">
        <v>9173</v>
      </c>
      <c r="T63" s="29" t="s">
        <v>290</v>
      </c>
      <c r="U63" s="33" t="s">
        <v>291</v>
      </c>
    </row>
    <row r="64" spans="1:21" ht="28.5" customHeight="1" x14ac:dyDescent="0.3">
      <c r="A64" s="27">
        <v>61</v>
      </c>
      <c r="B64" s="28">
        <v>2025</v>
      </c>
      <c r="C64" s="29" t="s">
        <v>292</v>
      </c>
      <c r="D64" s="30" t="s">
        <v>293</v>
      </c>
      <c r="E64" s="29">
        <v>29047501</v>
      </c>
      <c r="F64" s="29">
        <v>1164998</v>
      </c>
      <c r="G64" s="30" t="s">
        <v>294</v>
      </c>
      <c r="H64" s="29">
        <v>543</v>
      </c>
      <c r="I64" s="29">
        <v>1</v>
      </c>
      <c r="J64" s="29"/>
      <c r="K64" s="30"/>
      <c r="L64" s="29" t="s">
        <v>72</v>
      </c>
      <c r="M64" s="31">
        <v>6564</v>
      </c>
      <c r="N64" s="31">
        <v>1641</v>
      </c>
      <c r="O64" s="31">
        <v>8205</v>
      </c>
      <c r="P64" s="31">
        <f>VLOOKUP(F64,'[3]1ª PARCELA'!$E$5:$H$889,4,FALSE)</f>
        <v>8205</v>
      </c>
      <c r="Q64" s="31" t="b">
        <f t="shared" si="0"/>
        <v>1</v>
      </c>
      <c r="R64" s="32">
        <v>45793</v>
      </c>
      <c r="S64" s="29">
        <v>9173</v>
      </c>
      <c r="T64" s="29" t="s">
        <v>295</v>
      </c>
      <c r="U64" s="33" t="s">
        <v>296</v>
      </c>
    </row>
    <row r="65" spans="1:21" ht="28.5" customHeight="1" x14ac:dyDescent="0.3">
      <c r="A65" s="27">
        <v>62</v>
      </c>
      <c r="B65" s="28">
        <v>2025</v>
      </c>
      <c r="C65" s="29" t="s">
        <v>292</v>
      </c>
      <c r="D65" s="30" t="s">
        <v>297</v>
      </c>
      <c r="E65" s="29">
        <v>29048184</v>
      </c>
      <c r="F65" s="29">
        <v>1119577</v>
      </c>
      <c r="G65" s="30" t="s">
        <v>298</v>
      </c>
      <c r="H65" s="29">
        <v>391</v>
      </c>
      <c r="I65" s="29">
        <v>1</v>
      </c>
      <c r="J65" s="29"/>
      <c r="K65" s="30"/>
      <c r="L65" s="29" t="s">
        <v>72</v>
      </c>
      <c r="M65" s="31">
        <v>3384.5</v>
      </c>
      <c r="N65" s="31">
        <v>1450.5</v>
      </c>
      <c r="O65" s="31">
        <v>4835</v>
      </c>
      <c r="P65" s="31">
        <f>VLOOKUP(F65,'[3]1ª PARCELA'!$E$5:$H$889,4,FALSE)</f>
        <v>4835</v>
      </c>
      <c r="Q65" s="31" t="b">
        <f t="shared" si="0"/>
        <v>1</v>
      </c>
      <c r="R65" s="32">
        <v>45793</v>
      </c>
      <c r="S65" s="29">
        <v>9173</v>
      </c>
      <c r="T65" s="29" t="s">
        <v>299</v>
      </c>
      <c r="U65" s="33" t="s">
        <v>300</v>
      </c>
    </row>
    <row r="66" spans="1:21" ht="28.5" customHeight="1" x14ac:dyDescent="0.3">
      <c r="A66" s="27">
        <v>63</v>
      </c>
      <c r="B66" s="28">
        <v>2025</v>
      </c>
      <c r="C66" s="29" t="s">
        <v>292</v>
      </c>
      <c r="D66" s="30" t="s">
        <v>301</v>
      </c>
      <c r="E66" s="29">
        <v>29050057</v>
      </c>
      <c r="F66" s="29">
        <v>1119828</v>
      </c>
      <c r="G66" s="30" t="s">
        <v>302</v>
      </c>
      <c r="H66" s="29">
        <v>1841</v>
      </c>
      <c r="I66" s="29">
        <v>1</v>
      </c>
      <c r="J66" s="29"/>
      <c r="K66" s="30"/>
      <c r="L66" s="29" t="s">
        <v>72</v>
      </c>
      <c r="M66" s="31">
        <v>16948</v>
      </c>
      <c r="N66" s="31">
        <v>4237</v>
      </c>
      <c r="O66" s="31">
        <v>21185</v>
      </c>
      <c r="P66" s="31">
        <f>VLOOKUP(F66,'[3]1ª PARCELA'!$E$5:$H$889,4,FALSE)</f>
        <v>21185</v>
      </c>
      <c r="Q66" s="31" t="b">
        <f t="shared" si="0"/>
        <v>1</v>
      </c>
      <c r="R66" s="32">
        <v>45793</v>
      </c>
      <c r="S66" s="29">
        <v>9173</v>
      </c>
      <c r="T66" s="29" t="s">
        <v>303</v>
      </c>
      <c r="U66" s="33" t="s">
        <v>304</v>
      </c>
    </row>
    <row r="67" spans="1:21" ht="28.5" customHeight="1" x14ac:dyDescent="0.3">
      <c r="A67" s="27">
        <v>64</v>
      </c>
      <c r="B67" s="28">
        <v>2025</v>
      </c>
      <c r="C67" s="29" t="s">
        <v>292</v>
      </c>
      <c r="D67" s="30" t="s">
        <v>305</v>
      </c>
      <c r="E67" s="29">
        <v>29050910</v>
      </c>
      <c r="F67" s="29">
        <v>1121172</v>
      </c>
      <c r="G67" s="30" t="s">
        <v>306</v>
      </c>
      <c r="H67" s="29">
        <v>761</v>
      </c>
      <c r="I67" s="29">
        <v>1</v>
      </c>
      <c r="J67" s="29"/>
      <c r="K67" s="30"/>
      <c r="L67" s="29" t="s">
        <v>72</v>
      </c>
      <c r="M67" s="31">
        <v>6828</v>
      </c>
      <c r="N67" s="31">
        <v>1707</v>
      </c>
      <c r="O67" s="31">
        <v>8535</v>
      </c>
      <c r="P67" s="31">
        <f>VLOOKUP(F67,'[3]1ª PARCELA'!$E$5:$H$889,4,FALSE)</f>
        <v>8535</v>
      </c>
      <c r="Q67" s="31" t="b">
        <f t="shared" si="0"/>
        <v>1</v>
      </c>
      <c r="R67" s="32">
        <v>45793</v>
      </c>
      <c r="S67" s="29">
        <v>9173</v>
      </c>
      <c r="T67" s="29" t="s">
        <v>307</v>
      </c>
      <c r="U67" s="33" t="s">
        <v>308</v>
      </c>
    </row>
    <row r="68" spans="1:21" ht="28.5" customHeight="1" x14ac:dyDescent="0.3">
      <c r="A68" s="27">
        <v>65</v>
      </c>
      <c r="B68" s="28">
        <v>2025</v>
      </c>
      <c r="C68" s="29" t="s">
        <v>292</v>
      </c>
      <c r="D68" s="30" t="s">
        <v>309</v>
      </c>
      <c r="E68" s="29">
        <v>29053544</v>
      </c>
      <c r="F68" s="29">
        <v>1120257</v>
      </c>
      <c r="G68" s="30" t="s">
        <v>310</v>
      </c>
      <c r="H68" s="29">
        <v>350</v>
      </c>
      <c r="I68" s="29">
        <v>1</v>
      </c>
      <c r="J68" s="29"/>
      <c r="K68" s="30"/>
      <c r="L68" s="29" t="s">
        <v>72</v>
      </c>
      <c r="M68" s="31">
        <v>3765</v>
      </c>
      <c r="N68" s="31">
        <v>2510</v>
      </c>
      <c r="O68" s="31">
        <v>6275</v>
      </c>
      <c r="P68" s="31">
        <f>VLOOKUP(F68,'[3]1ª PARCELA'!$E$5:$H$889,4,FALSE)</f>
        <v>6275</v>
      </c>
      <c r="Q68" s="31" t="b">
        <f t="shared" si="0"/>
        <v>1</v>
      </c>
      <c r="R68" s="32">
        <v>45793</v>
      </c>
      <c r="S68" s="29">
        <v>9173</v>
      </c>
      <c r="T68" s="29" t="s">
        <v>311</v>
      </c>
      <c r="U68" s="33" t="s">
        <v>312</v>
      </c>
    </row>
    <row r="69" spans="1:21" ht="28.5" customHeight="1" x14ac:dyDescent="0.3">
      <c r="A69" s="27">
        <v>66</v>
      </c>
      <c r="B69" s="28">
        <v>2025</v>
      </c>
      <c r="C69" s="29" t="s">
        <v>292</v>
      </c>
      <c r="D69" s="30" t="s">
        <v>313</v>
      </c>
      <c r="E69" s="29">
        <v>29055067</v>
      </c>
      <c r="F69" s="29">
        <v>1144032</v>
      </c>
      <c r="G69" s="30" t="s">
        <v>314</v>
      </c>
      <c r="H69" s="29">
        <v>465</v>
      </c>
      <c r="I69" s="29">
        <v>1</v>
      </c>
      <c r="J69" s="29"/>
      <c r="K69" s="30"/>
      <c r="L69" s="29" t="s">
        <v>72</v>
      </c>
      <c r="M69" s="31">
        <v>3902.5</v>
      </c>
      <c r="N69" s="31">
        <v>1672.5</v>
      </c>
      <c r="O69" s="31">
        <v>5575</v>
      </c>
      <c r="P69" s="31">
        <f>VLOOKUP(F69,'[3]1ª PARCELA'!$E$5:$H$889,4,FALSE)</f>
        <v>5575</v>
      </c>
      <c r="Q69" s="31" t="b">
        <f t="shared" ref="Q69:Q132" si="1">O69=P69</f>
        <v>1</v>
      </c>
      <c r="R69" s="32">
        <v>45954</v>
      </c>
      <c r="S69" s="29">
        <v>28607</v>
      </c>
      <c r="T69" s="29" t="s">
        <v>315</v>
      </c>
      <c r="U69" s="33" t="s">
        <v>316</v>
      </c>
    </row>
    <row r="70" spans="1:21" ht="28.5" customHeight="1" x14ac:dyDescent="0.3">
      <c r="A70" s="27">
        <v>67</v>
      </c>
      <c r="B70" s="28">
        <v>2025</v>
      </c>
      <c r="C70" s="29" t="s">
        <v>292</v>
      </c>
      <c r="D70" s="30" t="s">
        <v>313</v>
      </c>
      <c r="E70" s="29">
        <v>29055075</v>
      </c>
      <c r="F70" s="29">
        <v>1140452</v>
      </c>
      <c r="G70" s="30" t="s">
        <v>317</v>
      </c>
      <c r="H70" s="29">
        <v>344</v>
      </c>
      <c r="I70" s="29">
        <v>1</v>
      </c>
      <c r="J70" s="29"/>
      <c r="K70" s="30"/>
      <c r="L70" s="29" t="s">
        <v>72</v>
      </c>
      <c r="M70" s="31">
        <v>4350.5</v>
      </c>
      <c r="N70" s="31">
        <v>1864.5</v>
      </c>
      <c r="O70" s="31">
        <v>6215</v>
      </c>
      <c r="P70" s="31">
        <f>VLOOKUP(F70,'[3]1ª PARCELA'!$E$5:$H$889,4,FALSE)</f>
        <v>6215</v>
      </c>
      <c r="Q70" s="31" t="b">
        <f t="shared" si="1"/>
        <v>1</v>
      </c>
      <c r="R70" s="32">
        <v>45793</v>
      </c>
      <c r="S70" s="29">
        <v>9173</v>
      </c>
      <c r="T70" s="29" t="s">
        <v>318</v>
      </c>
      <c r="U70" s="33" t="s">
        <v>319</v>
      </c>
    </row>
    <row r="71" spans="1:21" ht="28.5" customHeight="1" x14ac:dyDescent="0.3">
      <c r="A71" s="27">
        <v>68</v>
      </c>
      <c r="B71" s="28">
        <v>2025</v>
      </c>
      <c r="C71" s="29" t="s">
        <v>292</v>
      </c>
      <c r="D71" s="30" t="s">
        <v>320</v>
      </c>
      <c r="E71" s="29">
        <v>29055385</v>
      </c>
      <c r="F71" s="29">
        <v>1164602</v>
      </c>
      <c r="G71" s="30" t="s">
        <v>321</v>
      </c>
      <c r="H71" s="29">
        <v>1380</v>
      </c>
      <c r="I71" s="29">
        <v>1</v>
      </c>
      <c r="J71" s="29"/>
      <c r="K71" s="30"/>
      <c r="L71" s="29" t="s">
        <v>72</v>
      </c>
      <c r="M71" s="31">
        <v>13260</v>
      </c>
      <c r="N71" s="31">
        <v>3315</v>
      </c>
      <c r="O71" s="31">
        <v>16575</v>
      </c>
      <c r="P71" s="31">
        <f>VLOOKUP(F71,'[3]1ª PARCELA'!$E$5:$H$889,4,FALSE)</f>
        <v>16575</v>
      </c>
      <c r="Q71" s="31" t="b">
        <f t="shared" si="1"/>
        <v>1</v>
      </c>
      <c r="R71" s="32">
        <v>45793</v>
      </c>
      <c r="S71" s="29">
        <v>9173</v>
      </c>
      <c r="T71" s="29" t="s">
        <v>322</v>
      </c>
      <c r="U71" s="33" t="s">
        <v>323</v>
      </c>
    </row>
    <row r="72" spans="1:21" ht="28.5" customHeight="1" x14ac:dyDescent="0.3">
      <c r="A72" s="27">
        <v>69</v>
      </c>
      <c r="B72" s="28">
        <v>2025</v>
      </c>
      <c r="C72" s="29" t="s">
        <v>292</v>
      </c>
      <c r="D72" s="30" t="s">
        <v>320</v>
      </c>
      <c r="E72" s="29">
        <v>29055393</v>
      </c>
      <c r="F72" s="29">
        <v>1121261</v>
      </c>
      <c r="G72" s="30" t="s">
        <v>324</v>
      </c>
      <c r="H72" s="29">
        <v>685</v>
      </c>
      <c r="I72" s="29">
        <v>1</v>
      </c>
      <c r="J72" s="29"/>
      <c r="K72" s="30"/>
      <c r="L72" s="29" t="s">
        <v>72</v>
      </c>
      <c r="M72" s="31">
        <v>6220</v>
      </c>
      <c r="N72" s="31">
        <v>1555</v>
      </c>
      <c r="O72" s="31">
        <v>7775</v>
      </c>
      <c r="P72" s="31">
        <f>VLOOKUP(F72,'[3]1ª PARCELA'!$E$5:$H$889,4,FALSE)</f>
        <v>7775</v>
      </c>
      <c r="Q72" s="31" t="b">
        <f t="shared" si="1"/>
        <v>1</v>
      </c>
      <c r="R72" s="32">
        <v>45793</v>
      </c>
      <c r="S72" s="29">
        <v>9173</v>
      </c>
      <c r="T72" s="29" t="s">
        <v>325</v>
      </c>
      <c r="U72" s="33" t="s">
        <v>326</v>
      </c>
    </row>
    <row r="73" spans="1:21" ht="28.5" customHeight="1" x14ac:dyDescent="0.3">
      <c r="A73" s="27">
        <v>70</v>
      </c>
      <c r="B73" s="28">
        <v>2025</v>
      </c>
      <c r="C73" s="29" t="s">
        <v>292</v>
      </c>
      <c r="D73" s="30" t="s">
        <v>320</v>
      </c>
      <c r="E73" s="29">
        <v>29056144</v>
      </c>
      <c r="F73" s="29">
        <v>1120923</v>
      </c>
      <c r="G73" s="30" t="s">
        <v>327</v>
      </c>
      <c r="H73" s="29">
        <v>587</v>
      </c>
      <c r="I73" s="29">
        <v>1</v>
      </c>
      <c r="J73" s="29"/>
      <c r="K73" s="30"/>
      <c r="L73" s="29" t="s">
        <v>72</v>
      </c>
      <c r="M73" s="31">
        <v>5436</v>
      </c>
      <c r="N73" s="31">
        <v>1359</v>
      </c>
      <c r="O73" s="31">
        <v>6795</v>
      </c>
      <c r="P73" s="31">
        <f>VLOOKUP(F73,'[3]1ª PARCELA'!$E$5:$H$889,4,FALSE)</f>
        <v>6795</v>
      </c>
      <c r="Q73" s="31" t="b">
        <f t="shared" si="1"/>
        <v>1</v>
      </c>
      <c r="R73" s="32">
        <v>45805</v>
      </c>
      <c r="S73" s="29">
        <v>9678</v>
      </c>
      <c r="T73" s="29" t="s">
        <v>328</v>
      </c>
      <c r="U73" s="33" t="s">
        <v>329</v>
      </c>
    </row>
    <row r="74" spans="1:21" ht="28.5" customHeight="1" x14ac:dyDescent="0.3">
      <c r="A74" s="27">
        <v>71</v>
      </c>
      <c r="B74" s="28">
        <v>2025</v>
      </c>
      <c r="C74" s="29" t="s">
        <v>292</v>
      </c>
      <c r="D74" s="30" t="s">
        <v>320</v>
      </c>
      <c r="E74" s="29">
        <v>29056780</v>
      </c>
      <c r="F74" s="29">
        <v>1121156</v>
      </c>
      <c r="G74" s="30" t="s">
        <v>330</v>
      </c>
      <c r="H74" s="29">
        <v>246</v>
      </c>
      <c r="I74" s="29">
        <v>1</v>
      </c>
      <c r="J74" s="29"/>
      <c r="K74" s="30"/>
      <c r="L74" s="29" t="s">
        <v>72</v>
      </c>
      <c r="M74" s="31">
        <v>4188</v>
      </c>
      <c r="N74" s="31">
        <v>1047</v>
      </c>
      <c r="O74" s="31">
        <v>5235</v>
      </c>
      <c r="P74" s="31">
        <f>VLOOKUP(F74,'[3]1ª PARCELA'!$E$5:$H$889,4,FALSE)</f>
        <v>5235</v>
      </c>
      <c r="Q74" s="31" t="b">
        <f t="shared" si="1"/>
        <v>1</v>
      </c>
      <c r="R74" s="32">
        <v>45793</v>
      </c>
      <c r="S74" s="29">
        <v>9173</v>
      </c>
      <c r="T74" s="29" t="s">
        <v>331</v>
      </c>
      <c r="U74" s="33" t="s">
        <v>332</v>
      </c>
    </row>
    <row r="75" spans="1:21" ht="28.5" customHeight="1" x14ac:dyDescent="0.3">
      <c r="A75" s="27">
        <v>72</v>
      </c>
      <c r="B75" s="28">
        <v>2025</v>
      </c>
      <c r="C75" s="29" t="s">
        <v>272</v>
      </c>
      <c r="D75" s="30" t="s">
        <v>333</v>
      </c>
      <c r="E75" s="29">
        <v>29057809</v>
      </c>
      <c r="F75" s="29">
        <v>1125747</v>
      </c>
      <c r="G75" s="30" t="s">
        <v>334</v>
      </c>
      <c r="H75" s="29">
        <v>676</v>
      </c>
      <c r="I75" s="29">
        <v>1</v>
      </c>
      <c r="J75" s="29"/>
      <c r="K75" s="30"/>
      <c r="L75" s="29" t="s">
        <v>72</v>
      </c>
      <c r="M75" s="31">
        <v>6148</v>
      </c>
      <c r="N75" s="31">
        <v>1537</v>
      </c>
      <c r="O75" s="31">
        <v>7685</v>
      </c>
      <c r="P75" s="31">
        <f>VLOOKUP(F75,'[3]1ª PARCELA'!$E$5:$H$889,4,FALSE)</f>
        <v>7685</v>
      </c>
      <c r="Q75" s="31" t="b">
        <f t="shared" si="1"/>
        <v>1</v>
      </c>
      <c r="R75" s="32">
        <v>45793</v>
      </c>
      <c r="S75" s="29">
        <v>9173</v>
      </c>
      <c r="T75" s="29" t="s">
        <v>335</v>
      </c>
      <c r="U75" s="33" t="s">
        <v>336</v>
      </c>
    </row>
    <row r="76" spans="1:21" ht="28.5" customHeight="1" x14ac:dyDescent="0.3">
      <c r="A76" s="27">
        <v>73</v>
      </c>
      <c r="B76" s="28">
        <v>2025</v>
      </c>
      <c r="C76" s="29" t="s">
        <v>272</v>
      </c>
      <c r="D76" s="30" t="s">
        <v>337</v>
      </c>
      <c r="E76" s="29">
        <v>29058244</v>
      </c>
      <c r="F76" s="29">
        <v>1125925</v>
      </c>
      <c r="G76" s="30" t="s">
        <v>338</v>
      </c>
      <c r="H76" s="29">
        <v>459</v>
      </c>
      <c r="I76" s="29">
        <v>1</v>
      </c>
      <c r="J76" s="29"/>
      <c r="K76" s="30"/>
      <c r="L76" s="29" t="s">
        <v>72</v>
      </c>
      <c r="M76" s="31">
        <v>3309</v>
      </c>
      <c r="N76" s="31">
        <v>2206</v>
      </c>
      <c r="O76" s="31">
        <v>5515</v>
      </c>
      <c r="P76" s="31">
        <f>VLOOKUP(F76,'[3]1ª PARCELA'!$E$5:$H$889,4,FALSE)</f>
        <v>5515</v>
      </c>
      <c r="Q76" s="31" t="b">
        <f t="shared" si="1"/>
        <v>1</v>
      </c>
      <c r="R76" s="32">
        <v>45793</v>
      </c>
      <c r="S76" s="29">
        <v>9173</v>
      </c>
      <c r="T76" s="29" t="s">
        <v>339</v>
      </c>
      <c r="U76" s="33" t="s">
        <v>340</v>
      </c>
    </row>
    <row r="77" spans="1:21" ht="28.5" customHeight="1" x14ac:dyDescent="0.3">
      <c r="A77" s="27">
        <v>74</v>
      </c>
      <c r="B77" s="28">
        <v>2025</v>
      </c>
      <c r="C77" s="29" t="s">
        <v>272</v>
      </c>
      <c r="D77" s="30" t="s">
        <v>341</v>
      </c>
      <c r="E77" s="29">
        <v>29059380</v>
      </c>
      <c r="F77" s="29">
        <v>1126212</v>
      </c>
      <c r="G77" s="30" t="s">
        <v>342</v>
      </c>
      <c r="H77" s="29">
        <v>479</v>
      </c>
      <c r="I77" s="29">
        <v>1</v>
      </c>
      <c r="J77" s="29"/>
      <c r="K77" s="30"/>
      <c r="L77" s="29" t="s">
        <v>72</v>
      </c>
      <c r="M77" s="31">
        <v>4572</v>
      </c>
      <c r="N77" s="31">
        <v>1143</v>
      </c>
      <c r="O77" s="31">
        <v>5715</v>
      </c>
      <c r="P77" s="31">
        <f>VLOOKUP(F77,'[3]1ª PARCELA'!$E$5:$H$889,4,FALSE)</f>
        <v>5715</v>
      </c>
      <c r="Q77" s="31" t="b">
        <f t="shared" si="1"/>
        <v>1</v>
      </c>
      <c r="R77" s="32">
        <v>45793</v>
      </c>
      <c r="S77" s="29">
        <v>9173</v>
      </c>
      <c r="T77" s="29" t="s">
        <v>343</v>
      </c>
      <c r="U77" s="33" t="s">
        <v>344</v>
      </c>
    </row>
    <row r="78" spans="1:21" ht="28.5" customHeight="1" x14ac:dyDescent="0.3">
      <c r="A78" s="27">
        <v>75</v>
      </c>
      <c r="B78" s="28">
        <v>2025</v>
      </c>
      <c r="C78" s="29" t="s">
        <v>272</v>
      </c>
      <c r="D78" s="30" t="s">
        <v>345</v>
      </c>
      <c r="E78" s="29">
        <v>29060001</v>
      </c>
      <c r="F78" s="29">
        <v>1126247</v>
      </c>
      <c r="G78" s="30" t="s">
        <v>346</v>
      </c>
      <c r="H78" s="29">
        <v>757</v>
      </c>
      <c r="I78" s="29">
        <v>1</v>
      </c>
      <c r="J78" s="29"/>
      <c r="K78" s="30"/>
      <c r="L78" s="29" t="s">
        <v>72</v>
      </c>
      <c r="M78" s="31">
        <v>6796</v>
      </c>
      <c r="N78" s="31">
        <v>1699</v>
      </c>
      <c r="O78" s="31">
        <v>8495</v>
      </c>
      <c r="P78" s="31">
        <f>VLOOKUP(F78,'[3]1ª PARCELA'!$E$5:$H$889,4,FALSE)</f>
        <v>8495</v>
      </c>
      <c r="Q78" s="31" t="b">
        <f t="shared" si="1"/>
        <v>1</v>
      </c>
      <c r="R78" s="32">
        <v>45793</v>
      </c>
      <c r="S78" s="29">
        <v>9173</v>
      </c>
      <c r="T78" s="29" t="s">
        <v>347</v>
      </c>
      <c r="U78" s="33" t="s">
        <v>348</v>
      </c>
    </row>
    <row r="79" spans="1:21" ht="28.5" customHeight="1" x14ac:dyDescent="0.3">
      <c r="A79" s="27">
        <v>76</v>
      </c>
      <c r="B79" s="28">
        <v>2025</v>
      </c>
      <c r="C79" s="29" t="s">
        <v>272</v>
      </c>
      <c r="D79" s="30" t="s">
        <v>349</v>
      </c>
      <c r="E79" s="29">
        <v>29060206</v>
      </c>
      <c r="F79" s="29">
        <v>1137583</v>
      </c>
      <c r="G79" s="30" t="s">
        <v>350</v>
      </c>
      <c r="H79" s="29">
        <v>301</v>
      </c>
      <c r="I79" s="29">
        <v>1</v>
      </c>
      <c r="J79" s="29"/>
      <c r="K79" s="30"/>
      <c r="L79" s="29" t="s">
        <v>72</v>
      </c>
      <c r="M79" s="31">
        <v>4628</v>
      </c>
      <c r="N79" s="31">
        <v>1157</v>
      </c>
      <c r="O79" s="31">
        <v>5785</v>
      </c>
      <c r="P79" s="31">
        <f>VLOOKUP(F79,'[3]1ª PARCELA'!$E$5:$H$889,4,FALSE)</f>
        <v>5785</v>
      </c>
      <c r="Q79" s="31" t="b">
        <f t="shared" si="1"/>
        <v>1</v>
      </c>
      <c r="R79" s="32">
        <v>45793</v>
      </c>
      <c r="S79" s="29">
        <v>9173</v>
      </c>
      <c r="T79" s="29" t="s">
        <v>351</v>
      </c>
      <c r="U79" s="33" t="s">
        <v>352</v>
      </c>
    </row>
    <row r="80" spans="1:21" ht="28.5" customHeight="1" x14ac:dyDescent="0.3">
      <c r="A80" s="27">
        <v>77</v>
      </c>
      <c r="B80" s="28">
        <v>2025</v>
      </c>
      <c r="C80" s="29" t="s">
        <v>272</v>
      </c>
      <c r="D80" s="30" t="s">
        <v>349</v>
      </c>
      <c r="E80" s="29">
        <v>29060214</v>
      </c>
      <c r="F80" s="29">
        <v>1163100</v>
      </c>
      <c r="G80" s="30" t="s">
        <v>353</v>
      </c>
      <c r="H80" s="29">
        <v>690</v>
      </c>
      <c r="I80" s="29">
        <v>1</v>
      </c>
      <c r="J80" s="29"/>
      <c r="K80" s="30"/>
      <c r="L80" s="29" t="s">
        <v>72</v>
      </c>
      <c r="M80" s="31">
        <v>6260</v>
      </c>
      <c r="N80" s="31">
        <v>1565</v>
      </c>
      <c r="O80" s="31">
        <v>7825</v>
      </c>
      <c r="P80" s="31">
        <f>VLOOKUP(F80,'[3]1ª PARCELA'!$E$5:$H$889,4,FALSE)</f>
        <v>7825</v>
      </c>
      <c r="Q80" s="31" t="b">
        <f t="shared" si="1"/>
        <v>1</v>
      </c>
      <c r="R80" s="32">
        <v>45800</v>
      </c>
      <c r="S80" s="29">
        <v>9563</v>
      </c>
      <c r="T80" s="29" t="s">
        <v>354</v>
      </c>
      <c r="U80" s="33" t="s">
        <v>355</v>
      </c>
    </row>
    <row r="81" spans="1:21" ht="28.5" customHeight="1" x14ac:dyDescent="0.3">
      <c r="A81" s="27">
        <v>78</v>
      </c>
      <c r="B81" s="28">
        <v>2025</v>
      </c>
      <c r="C81" s="29" t="s">
        <v>272</v>
      </c>
      <c r="D81" s="30" t="s">
        <v>356</v>
      </c>
      <c r="E81" s="29">
        <v>29061016</v>
      </c>
      <c r="F81" s="29">
        <v>1163088</v>
      </c>
      <c r="G81" s="30" t="s">
        <v>357</v>
      </c>
      <c r="H81" s="29">
        <v>599</v>
      </c>
      <c r="I81" s="29">
        <v>1</v>
      </c>
      <c r="J81" s="29"/>
      <c r="K81" s="30"/>
      <c r="L81" s="29" t="s">
        <v>72</v>
      </c>
      <c r="M81" s="31">
        <v>5532</v>
      </c>
      <c r="N81" s="31">
        <v>1383</v>
      </c>
      <c r="O81" s="31">
        <v>6915</v>
      </c>
      <c r="P81" s="31">
        <f>VLOOKUP(F81,'[3]1ª PARCELA'!$E$5:$H$889,4,FALSE)</f>
        <v>6915</v>
      </c>
      <c r="Q81" s="31" t="b">
        <f t="shared" si="1"/>
        <v>1</v>
      </c>
      <c r="R81" s="32">
        <v>45793</v>
      </c>
      <c r="S81" s="29">
        <v>9173</v>
      </c>
      <c r="T81" s="29" t="s">
        <v>358</v>
      </c>
      <c r="U81" s="33" t="s">
        <v>359</v>
      </c>
    </row>
    <row r="82" spans="1:21" ht="28.5" customHeight="1" x14ac:dyDescent="0.3">
      <c r="A82" s="27">
        <v>79</v>
      </c>
      <c r="B82" s="28">
        <v>2025</v>
      </c>
      <c r="C82" s="29" t="s">
        <v>272</v>
      </c>
      <c r="D82" s="30" t="s">
        <v>360</v>
      </c>
      <c r="E82" s="29">
        <v>29061628</v>
      </c>
      <c r="F82" s="29">
        <v>1125887</v>
      </c>
      <c r="G82" s="30" t="s">
        <v>361</v>
      </c>
      <c r="H82" s="29">
        <v>336</v>
      </c>
      <c r="I82" s="29">
        <v>1</v>
      </c>
      <c r="J82" s="29"/>
      <c r="K82" s="30"/>
      <c r="L82" s="29" t="s">
        <v>72</v>
      </c>
      <c r="M82" s="31">
        <v>2999.5</v>
      </c>
      <c r="N82" s="31">
        <v>1285.5</v>
      </c>
      <c r="O82" s="31">
        <v>4285</v>
      </c>
      <c r="P82" s="31">
        <f>VLOOKUP(F82,'[3]1ª PARCELA'!$E$5:$H$889,4,FALSE)</f>
        <v>4285</v>
      </c>
      <c r="Q82" s="31" t="b">
        <f t="shared" si="1"/>
        <v>1</v>
      </c>
      <c r="R82" s="32">
        <v>45793</v>
      </c>
      <c r="S82" s="29">
        <v>9173</v>
      </c>
      <c r="T82" s="29" t="s">
        <v>362</v>
      </c>
      <c r="U82" s="33" t="s">
        <v>363</v>
      </c>
    </row>
    <row r="83" spans="1:21" ht="28.5" customHeight="1" x14ac:dyDescent="0.3">
      <c r="A83" s="27">
        <v>80</v>
      </c>
      <c r="B83" s="28">
        <v>2025</v>
      </c>
      <c r="C83" s="29" t="s">
        <v>272</v>
      </c>
      <c r="D83" s="30" t="s">
        <v>364</v>
      </c>
      <c r="E83" s="29">
        <v>29062250</v>
      </c>
      <c r="F83" s="29">
        <v>1125968</v>
      </c>
      <c r="G83" s="30" t="s">
        <v>365</v>
      </c>
      <c r="H83" s="29">
        <v>401</v>
      </c>
      <c r="I83" s="29">
        <v>1</v>
      </c>
      <c r="J83" s="29"/>
      <c r="K83" s="30"/>
      <c r="L83" s="29" t="s">
        <v>72</v>
      </c>
      <c r="M83" s="31">
        <v>3948</v>
      </c>
      <c r="N83" s="31">
        <v>987</v>
      </c>
      <c r="O83" s="31">
        <v>4935</v>
      </c>
      <c r="P83" s="31">
        <f>VLOOKUP(F83,'[3]1ª PARCELA'!$E$5:$H$889,4,FALSE)</f>
        <v>4935</v>
      </c>
      <c r="Q83" s="31" t="b">
        <f t="shared" si="1"/>
        <v>1</v>
      </c>
      <c r="R83" s="32">
        <v>45793</v>
      </c>
      <c r="S83" s="29">
        <v>9173</v>
      </c>
      <c r="T83" s="29" t="s">
        <v>366</v>
      </c>
      <c r="U83" s="33" t="s">
        <v>367</v>
      </c>
    </row>
    <row r="84" spans="1:21" ht="28.5" customHeight="1" x14ac:dyDescent="0.3">
      <c r="A84" s="27">
        <v>81</v>
      </c>
      <c r="B84" s="28">
        <v>2025</v>
      </c>
      <c r="C84" s="29" t="s">
        <v>272</v>
      </c>
      <c r="D84" s="30" t="s">
        <v>364</v>
      </c>
      <c r="E84" s="29">
        <v>29062519</v>
      </c>
      <c r="F84" s="29">
        <v>1126050</v>
      </c>
      <c r="G84" s="30" t="s">
        <v>368</v>
      </c>
      <c r="H84" s="29">
        <v>223</v>
      </c>
      <c r="I84" s="29">
        <v>1</v>
      </c>
      <c r="J84" s="29"/>
      <c r="K84" s="30"/>
      <c r="L84" s="29" t="s">
        <v>72</v>
      </c>
      <c r="M84" s="31">
        <v>4004</v>
      </c>
      <c r="N84" s="31">
        <v>1001</v>
      </c>
      <c r="O84" s="31">
        <v>5005</v>
      </c>
      <c r="P84" s="31">
        <f>VLOOKUP(F84,'[3]1ª PARCELA'!$E$5:$H$889,4,FALSE)</f>
        <v>5005</v>
      </c>
      <c r="Q84" s="31" t="b">
        <f t="shared" si="1"/>
        <v>1</v>
      </c>
      <c r="R84" s="32">
        <v>45793</v>
      </c>
      <c r="S84" s="29">
        <v>9173</v>
      </c>
      <c r="T84" s="29" t="s">
        <v>369</v>
      </c>
      <c r="U84" s="33" t="s">
        <v>370</v>
      </c>
    </row>
    <row r="85" spans="1:21" ht="28.5" customHeight="1" x14ac:dyDescent="0.3">
      <c r="A85" s="27">
        <v>82</v>
      </c>
      <c r="B85" s="28">
        <v>2025</v>
      </c>
      <c r="C85" s="29" t="s">
        <v>272</v>
      </c>
      <c r="D85" s="30" t="s">
        <v>371</v>
      </c>
      <c r="E85" s="29">
        <v>29062632</v>
      </c>
      <c r="F85" s="29">
        <v>1162774</v>
      </c>
      <c r="G85" s="30" t="s">
        <v>372</v>
      </c>
      <c r="H85" s="29">
        <v>539</v>
      </c>
      <c r="I85" s="29">
        <v>1</v>
      </c>
      <c r="J85" s="29"/>
      <c r="K85" s="30"/>
      <c r="L85" s="29" t="s">
        <v>72</v>
      </c>
      <c r="M85" s="31">
        <v>5052</v>
      </c>
      <c r="N85" s="31">
        <v>1263</v>
      </c>
      <c r="O85" s="31">
        <v>6315</v>
      </c>
      <c r="P85" s="31">
        <f>VLOOKUP(F85,'[3]1ª PARCELA'!$E$5:$H$889,4,FALSE)</f>
        <v>6315</v>
      </c>
      <c r="Q85" s="31" t="b">
        <f t="shared" si="1"/>
        <v>1</v>
      </c>
      <c r="R85" s="32">
        <v>45793</v>
      </c>
      <c r="S85" s="29">
        <v>9173</v>
      </c>
      <c r="T85" s="29" t="s">
        <v>373</v>
      </c>
      <c r="U85" s="33" t="s">
        <v>374</v>
      </c>
    </row>
    <row r="86" spans="1:21" ht="28.5" customHeight="1" x14ac:dyDescent="0.3">
      <c r="A86" s="27">
        <v>83</v>
      </c>
      <c r="B86" s="28">
        <v>2025</v>
      </c>
      <c r="C86" s="29" t="s">
        <v>375</v>
      </c>
      <c r="D86" s="30" t="s">
        <v>376</v>
      </c>
      <c r="E86" s="29">
        <v>29063299</v>
      </c>
      <c r="F86" s="29">
        <v>1133278</v>
      </c>
      <c r="G86" s="30" t="s">
        <v>377</v>
      </c>
      <c r="H86" s="29">
        <v>983</v>
      </c>
      <c r="I86" s="29">
        <v>1</v>
      </c>
      <c r="J86" s="29"/>
      <c r="K86" s="30"/>
      <c r="L86" s="29" t="s">
        <v>72</v>
      </c>
      <c r="M86" s="31">
        <v>8604</v>
      </c>
      <c r="N86" s="31">
        <v>2151</v>
      </c>
      <c r="O86" s="31">
        <v>10755</v>
      </c>
      <c r="P86" s="31">
        <f>VLOOKUP(F86,'[3]1ª PARCELA'!$E$5:$H$889,4,FALSE)</f>
        <v>10755</v>
      </c>
      <c r="Q86" s="31" t="b">
        <f t="shared" si="1"/>
        <v>1</v>
      </c>
      <c r="R86" s="32">
        <v>45793</v>
      </c>
      <c r="S86" s="29">
        <v>9173</v>
      </c>
      <c r="T86" s="29" t="s">
        <v>378</v>
      </c>
      <c r="U86" s="33" t="s">
        <v>379</v>
      </c>
    </row>
    <row r="87" spans="1:21" ht="28.5" customHeight="1" x14ac:dyDescent="0.3">
      <c r="A87" s="27">
        <v>84</v>
      </c>
      <c r="B87" s="28">
        <v>2025</v>
      </c>
      <c r="C87" s="29" t="s">
        <v>272</v>
      </c>
      <c r="D87" s="30" t="s">
        <v>380</v>
      </c>
      <c r="E87" s="29">
        <v>29064120</v>
      </c>
      <c r="F87" s="29">
        <v>1126590</v>
      </c>
      <c r="G87" s="30" t="s">
        <v>381</v>
      </c>
      <c r="H87" s="29">
        <v>1188</v>
      </c>
      <c r="I87" s="29">
        <v>1</v>
      </c>
      <c r="J87" s="29"/>
      <c r="K87" s="30"/>
      <c r="L87" s="29" t="s">
        <v>72</v>
      </c>
      <c r="M87" s="31">
        <v>10244</v>
      </c>
      <c r="N87" s="31">
        <v>2561</v>
      </c>
      <c r="O87" s="31">
        <v>12805</v>
      </c>
      <c r="P87" s="31">
        <f>VLOOKUP(F87,'[3]1ª PARCELA'!$E$5:$H$889,4,FALSE)</f>
        <v>12805</v>
      </c>
      <c r="Q87" s="31" t="b">
        <f t="shared" si="1"/>
        <v>1</v>
      </c>
      <c r="R87" s="32">
        <v>45793</v>
      </c>
      <c r="S87" s="29">
        <v>9173</v>
      </c>
      <c r="T87" s="29" t="s">
        <v>382</v>
      </c>
      <c r="U87" s="33" t="s">
        <v>383</v>
      </c>
    </row>
    <row r="88" spans="1:21" ht="28.5" customHeight="1" x14ac:dyDescent="0.3">
      <c r="A88" s="27">
        <v>85</v>
      </c>
      <c r="B88" s="28">
        <v>2025</v>
      </c>
      <c r="C88" s="29" t="s">
        <v>272</v>
      </c>
      <c r="D88" s="30" t="s">
        <v>380</v>
      </c>
      <c r="E88" s="29">
        <v>29064147</v>
      </c>
      <c r="F88" s="29">
        <v>1126611</v>
      </c>
      <c r="G88" s="30" t="s">
        <v>384</v>
      </c>
      <c r="H88" s="29">
        <v>1010</v>
      </c>
      <c r="I88" s="29">
        <v>1</v>
      </c>
      <c r="J88" s="29"/>
      <c r="K88" s="30"/>
      <c r="L88" s="29" t="s">
        <v>72</v>
      </c>
      <c r="M88" s="31">
        <v>8820</v>
      </c>
      <c r="N88" s="31">
        <v>2205</v>
      </c>
      <c r="O88" s="31">
        <v>11025</v>
      </c>
      <c r="P88" s="31">
        <f>VLOOKUP(F88,'[3]1ª PARCELA'!$E$5:$H$889,4,FALSE)</f>
        <v>11025</v>
      </c>
      <c r="Q88" s="31" t="b">
        <f t="shared" si="1"/>
        <v>1</v>
      </c>
      <c r="R88" s="32">
        <v>45793</v>
      </c>
      <c r="S88" s="29">
        <v>9173</v>
      </c>
      <c r="T88" s="29" t="s">
        <v>385</v>
      </c>
      <c r="U88" s="33" t="s">
        <v>386</v>
      </c>
    </row>
    <row r="89" spans="1:21" ht="28.5" customHeight="1" x14ac:dyDescent="0.3">
      <c r="A89" s="27">
        <v>86</v>
      </c>
      <c r="B89" s="28">
        <v>2025</v>
      </c>
      <c r="C89" s="29" t="s">
        <v>272</v>
      </c>
      <c r="D89" s="30" t="s">
        <v>387</v>
      </c>
      <c r="E89" s="29">
        <v>29064392</v>
      </c>
      <c r="F89" s="29">
        <v>1162502</v>
      </c>
      <c r="G89" s="30" t="s">
        <v>388</v>
      </c>
      <c r="H89" s="29">
        <v>963</v>
      </c>
      <c r="I89" s="29">
        <v>1</v>
      </c>
      <c r="J89" s="29"/>
      <c r="K89" s="30"/>
      <c r="L89" s="29" t="s">
        <v>72</v>
      </c>
      <c r="M89" s="31">
        <v>7388.5</v>
      </c>
      <c r="N89" s="31">
        <v>3166.5</v>
      </c>
      <c r="O89" s="31">
        <v>10555</v>
      </c>
      <c r="P89" s="31">
        <f>VLOOKUP(F89,'[3]1ª PARCELA'!$E$5:$H$889,4,FALSE)</f>
        <v>10555</v>
      </c>
      <c r="Q89" s="31" t="b">
        <f t="shared" si="1"/>
        <v>1</v>
      </c>
      <c r="R89" s="32">
        <v>45793</v>
      </c>
      <c r="S89" s="29">
        <v>9173</v>
      </c>
      <c r="T89" s="29" t="s">
        <v>389</v>
      </c>
      <c r="U89" s="33" t="s">
        <v>390</v>
      </c>
    </row>
    <row r="90" spans="1:21" ht="28.5" customHeight="1" x14ac:dyDescent="0.3">
      <c r="A90" s="27">
        <v>87</v>
      </c>
      <c r="B90" s="28">
        <v>2025</v>
      </c>
      <c r="C90" s="29" t="s">
        <v>272</v>
      </c>
      <c r="D90" s="30" t="s">
        <v>391</v>
      </c>
      <c r="E90" s="29">
        <v>29065356</v>
      </c>
      <c r="F90" s="29">
        <v>1162480</v>
      </c>
      <c r="G90" s="30" t="s">
        <v>392</v>
      </c>
      <c r="H90" s="29">
        <v>756</v>
      </c>
      <c r="I90" s="29">
        <v>1</v>
      </c>
      <c r="J90" s="29"/>
      <c r="K90" s="30"/>
      <c r="L90" s="29" t="s">
        <v>72</v>
      </c>
      <c r="M90" s="31">
        <v>6788</v>
      </c>
      <c r="N90" s="31">
        <v>1697</v>
      </c>
      <c r="O90" s="31">
        <v>8485</v>
      </c>
      <c r="P90" s="31">
        <f>VLOOKUP(F90,'[3]1ª PARCELA'!$E$5:$H$889,4,FALSE)</f>
        <v>8485</v>
      </c>
      <c r="Q90" s="31" t="b">
        <f t="shared" si="1"/>
        <v>1</v>
      </c>
      <c r="R90" s="32">
        <v>45793</v>
      </c>
      <c r="S90" s="29">
        <v>9173</v>
      </c>
      <c r="T90" s="29" t="s">
        <v>393</v>
      </c>
      <c r="U90" s="33" t="s">
        <v>394</v>
      </c>
    </row>
    <row r="91" spans="1:21" ht="28.5" customHeight="1" x14ac:dyDescent="0.3">
      <c r="A91" s="27">
        <v>88</v>
      </c>
      <c r="B91" s="28">
        <v>2025</v>
      </c>
      <c r="C91" s="29" t="s">
        <v>272</v>
      </c>
      <c r="D91" s="30" t="s">
        <v>395</v>
      </c>
      <c r="E91" s="29">
        <v>29066395</v>
      </c>
      <c r="F91" s="29">
        <v>1127154</v>
      </c>
      <c r="G91" s="30" t="s">
        <v>396</v>
      </c>
      <c r="H91" s="29">
        <v>583</v>
      </c>
      <c r="I91" s="29">
        <v>1</v>
      </c>
      <c r="J91" s="29"/>
      <c r="K91" s="30"/>
      <c r="L91" s="29" t="s">
        <v>72</v>
      </c>
      <c r="M91" s="31">
        <v>4728.5</v>
      </c>
      <c r="N91" s="31">
        <v>2026.5</v>
      </c>
      <c r="O91" s="31">
        <v>6755</v>
      </c>
      <c r="P91" s="31">
        <f>VLOOKUP(F91,'[3]1ª PARCELA'!$E$5:$H$889,4,FALSE)</f>
        <v>6755</v>
      </c>
      <c r="Q91" s="31" t="b">
        <f t="shared" si="1"/>
        <v>1</v>
      </c>
      <c r="R91" s="32">
        <v>45793</v>
      </c>
      <c r="S91" s="29">
        <v>9173</v>
      </c>
      <c r="T91" s="29" t="s">
        <v>397</v>
      </c>
      <c r="U91" s="33" t="s">
        <v>398</v>
      </c>
    </row>
    <row r="92" spans="1:21" ht="28.5" customHeight="1" x14ac:dyDescent="0.3">
      <c r="A92" s="27">
        <v>89</v>
      </c>
      <c r="B92" s="28">
        <v>2025</v>
      </c>
      <c r="C92" s="29" t="s">
        <v>272</v>
      </c>
      <c r="D92" s="30" t="s">
        <v>399</v>
      </c>
      <c r="E92" s="29">
        <v>29067332</v>
      </c>
      <c r="F92" s="29">
        <v>1162618</v>
      </c>
      <c r="G92" s="30" t="s">
        <v>400</v>
      </c>
      <c r="H92" s="29">
        <v>454</v>
      </c>
      <c r="I92" s="29">
        <v>1</v>
      </c>
      <c r="J92" s="29"/>
      <c r="K92" s="30"/>
      <c r="L92" s="29" t="s">
        <v>72</v>
      </c>
      <c r="M92" s="31">
        <v>4372</v>
      </c>
      <c r="N92" s="31">
        <v>1093</v>
      </c>
      <c r="O92" s="31">
        <v>5465</v>
      </c>
      <c r="P92" s="31">
        <f>VLOOKUP(F92,'[3]1ª PARCELA'!$E$5:$H$889,4,FALSE)</f>
        <v>5465</v>
      </c>
      <c r="Q92" s="31" t="b">
        <f t="shared" si="1"/>
        <v>1</v>
      </c>
      <c r="R92" s="32">
        <v>45793</v>
      </c>
      <c r="S92" s="29">
        <v>9173</v>
      </c>
      <c r="T92" s="29" t="s">
        <v>401</v>
      </c>
      <c r="U92" s="33" t="s">
        <v>402</v>
      </c>
    </row>
    <row r="93" spans="1:21" ht="28.5" customHeight="1" x14ac:dyDescent="0.3">
      <c r="A93" s="27">
        <v>90</v>
      </c>
      <c r="B93" s="28">
        <v>2025</v>
      </c>
      <c r="C93" s="29" t="s">
        <v>375</v>
      </c>
      <c r="D93" s="30" t="s">
        <v>403</v>
      </c>
      <c r="E93" s="29">
        <v>29067391</v>
      </c>
      <c r="F93" s="29">
        <v>1133235</v>
      </c>
      <c r="G93" s="30" t="s">
        <v>404</v>
      </c>
      <c r="H93" s="29">
        <v>816</v>
      </c>
      <c r="I93" s="29">
        <v>1</v>
      </c>
      <c r="J93" s="29"/>
      <c r="K93" s="30"/>
      <c r="L93" s="29" t="s">
        <v>72</v>
      </c>
      <c r="M93" s="31">
        <v>5451</v>
      </c>
      <c r="N93" s="31">
        <v>3634</v>
      </c>
      <c r="O93" s="31">
        <v>9085</v>
      </c>
      <c r="P93" s="31">
        <f>VLOOKUP(F93,'[3]1ª PARCELA'!$E$5:$H$889,4,FALSE)</f>
        <v>9085</v>
      </c>
      <c r="Q93" s="31" t="b">
        <f t="shared" si="1"/>
        <v>1</v>
      </c>
      <c r="R93" s="32">
        <v>45793</v>
      </c>
      <c r="S93" s="29">
        <v>9173</v>
      </c>
      <c r="T93" s="29" t="s">
        <v>405</v>
      </c>
      <c r="U93" s="33" t="s">
        <v>406</v>
      </c>
    </row>
    <row r="94" spans="1:21" ht="28.5" customHeight="1" x14ac:dyDescent="0.3">
      <c r="A94" s="27">
        <v>91</v>
      </c>
      <c r="B94" s="28">
        <v>2025</v>
      </c>
      <c r="C94" s="29" t="s">
        <v>407</v>
      </c>
      <c r="D94" s="30" t="s">
        <v>408</v>
      </c>
      <c r="E94" s="29">
        <v>29068320</v>
      </c>
      <c r="F94" s="29">
        <v>1178027</v>
      </c>
      <c r="G94" s="30" t="s">
        <v>409</v>
      </c>
      <c r="H94" s="29">
        <v>485</v>
      </c>
      <c r="I94" s="29">
        <v>1</v>
      </c>
      <c r="J94" s="29"/>
      <c r="K94" s="30"/>
      <c r="L94" s="29" t="s">
        <v>72</v>
      </c>
      <c r="M94" s="31">
        <v>4042.5</v>
      </c>
      <c r="N94" s="31">
        <v>1732.5</v>
      </c>
      <c r="O94" s="31">
        <v>5775</v>
      </c>
      <c r="P94" s="31">
        <f>VLOOKUP(F94,'[3]1ª PARCELA'!$E$5:$H$889,4,FALSE)</f>
        <v>5775</v>
      </c>
      <c r="Q94" s="31" t="b">
        <f t="shared" si="1"/>
        <v>1</v>
      </c>
      <c r="R94" s="32">
        <v>45800</v>
      </c>
      <c r="S94" s="29">
        <v>9563</v>
      </c>
      <c r="T94" s="29" t="s">
        <v>410</v>
      </c>
      <c r="U94" s="33" t="s">
        <v>411</v>
      </c>
    </row>
    <row r="95" spans="1:21" ht="28.5" customHeight="1" x14ac:dyDescent="0.3">
      <c r="A95" s="27">
        <v>92</v>
      </c>
      <c r="B95" s="28">
        <v>2025</v>
      </c>
      <c r="C95" s="29" t="s">
        <v>292</v>
      </c>
      <c r="D95" s="30" t="s">
        <v>412</v>
      </c>
      <c r="E95" s="29">
        <v>29069106</v>
      </c>
      <c r="F95" s="29">
        <v>1122020</v>
      </c>
      <c r="G95" s="30" t="s">
        <v>413</v>
      </c>
      <c r="H95" s="29">
        <v>674</v>
      </c>
      <c r="I95" s="29">
        <v>1</v>
      </c>
      <c r="J95" s="29"/>
      <c r="K95" s="30"/>
      <c r="L95" s="29" t="s">
        <v>72</v>
      </c>
      <c r="M95" s="31">
        <v>6132</v>
      </c>
      <c r="N95" s="31">
        <v>1533</v>
      </c>
      <c r="O95" s="31">
        <v>7665</v>
      </c>
      <c r="P95" s="31">
        <f>VLOOKUP(F95,'[3]1ª PARCELA'!$E$5:$H$889,4,FALSE)</f>
        <v>7665</v>
      </c>
      <c r="Q95" s="31" t="b">
        <f t="shared" si="1"/>
        <v>1</v>
      </c>
      <c r="R95" s="32">
        <v>45833</v>
      </c>
      <c r="S95" s="29">
        <v>13120</v>
      </c>
      <c r="T95" s="29" t="s">
        <v>414</v>
      </c>
      <c r="U95" s="33" t="s">
        <v>415</v>
      </c>
    </row>
    <row r="96" spans="1:21" ht="28.5" customHeight="1" x14ac:dyDescent="0.3">
      <c r="A96" s="27">
        <v>93</v>
      </c>
      <c r="B96" s="28">
        <v>2025</v>
      </c>
      <c r="C96" s="29" t="s">
        <v>416</v>
      </c>
      <c r="D96" s="30" t="s">
        <v>417</v>
      </c>
      <c r="E96" s="29">
        <v>29069580</v>
      </c>
      <c r="F96" s="29">
        <v>1162243</v>
      </c>
      <c r="G96" s="30" t="s">
        <v>418</v>
      </c>
      <c r="H96" s="29">
        <v>1872</v>
      </c>
      <c r="I96" s="29">
        <v>1</v>
      </c>
      <c r="J96" s="29"/>
      <c r="K96" s="30"/>
      <c r="L96" s="29" t="s">
        <v>72</v>
      </c>
      <c r="M96" s="31">
        <v>13751.5</v>
      </c>
      <c r="N96" s="31">
        <v>5893.5</v>
      </c>
      <c r="O96" s="31">
        <v>19645</v>
      </c>
      <c r="P96" s="31">
        <f>VLOOKUP(F96,'[3]1ª PARCELA'!$E$5:$H$889,4,FALSE)</f>
        <v>19645</v>
      </c>
      <c r="Q96" s="31" t="b">
        <f t="shared" si="1"/>
        <v>1</v>
      </c>
      <c r="R96" s="32">
        <v>45895</v>
      </c>
      <c r="S96" s="29">
        <v>19863</v>
      </c>
      <c r="T96" s="29" t="s">
        <v>419</v>
      </c>
      <c r="U96" s="33" t="s">
        <v>420</v>
      </c>
    </row>
    <row r="97" spans="1:21" ht="28.5" customHeight="1" x14ac:dyDescent="0.3">
      <c r="A97" s="27">
        <v>94</v>
      </c>
      <c r="B97" s="28">
        <v>2025</v>
      </c>
      <c r="C97" s="29" t="s">
        <v>407</v>
      </c>
      <c r="D97" s="30" t="s">
        <v>421</v>
      </c>
      <c r="E97" s="29">
        <v>29071275</v>
      </c>
      <c r="F97" s="29">
        <v>1158157</v>
      </c>
      <c r="G97" s="30" t="s">
        <v>422</v>
      </c>
      <c r="H97" s="29">
        <v>291</v>
      </c>
      <c r="I97" s="29">
        <v>1</v>
      </c>
      <c r="J97" s="29"/>
      <c r="K97" s="30"/>
      <c r="L97" s="29" t="s">
        <v>72</v>
      </c>
      <c r="M97" s="31">
        <v>3979.5</v>
      </c>
      <c r="N97" s="31">
        <v>1705.5</v>
      </c>
      <c r="O97" s="31">
        <v>5685</v>
      </c>
      <c r="P97" s="31">
        <f>VLOOKUP(F97,'[3]1ª PARCELA'!$E$5:$H$889,4,FALSE)</f>
        <v>5685</v>
      </c>
      <c r="Q97" s="31" t="b">
        <f t="shared" si="1"/>
        <v>1</v>
      </c>
      <c r="R97" s="32">
        <v>45805</v>
      </c>
      <c r="S97" s="29">
        <v>9678</v>
      </c>
      <c r="T97" s="29" t="s">
        <v>423</v>
      </c>
      <c r="U97" s="33" t="s">
        <v>424</v>
      </c>
    </row>
    <row r="98" spans="1:21" ht="28.5" customHeight="1" x14ac:dyDescent="0.3">
      <c r="A98" s="27">
        <v>95</v>
      </c>
      <c r="B98" s="28">
        <v>2025</v>
      </c>
      <c r="C98" s="29" t="s">
        <v>407</v>
      </c>
      <c r="D98" s="30" t="s">
        <v>425</v>
      </c>
      <c r="E98" s="29">
        <v>29073014</v>
      </c>
      <c r="F98" s="29">
        <v>1122144</v>
      </c>
      <c r="G98" s="30" t="s">
        <v>426</v>
      </c>
      <c r="H98" s="29">
        <v>443</v>
      </c>
      <c r="I98" s="29">
        <v>1</v>
      </c>
      <c r="J98" s="29"/>
      <c r="K98" s="30"/>
      <c r="L98" s="29" t="s">
        <v>72</v>
      </c>
      <c r="M98" s="31">
        <v>2677.5</v>
      </c>
      <c r="N98" s="31">
        <v>2677.5</v>
      </c>
      <c r="O98" s="31">
        <v>5355</v>
      </c>
      <c r="P98" s="31">
        <f>VLOOKUP(F98,'[3]1ª PARCELA'!$E$5:$H$889,4,FALSE)</f>
        <v>5355</v>
      </c>
      <c r="Q98" s="31" t="b">
        <f t="shared" si="1"/>
        <v>1</v>
      </c>
      <c r="R98" s="32">
        <v>45806</v>
      </c>
      <c r="S98" s="29">
        <v>9851</v>
      </c>
      <c r="T98" s="29" t="s">
        <v>427</v>
      </c>
      <c r="U98" s="33" t="s">
        <v>428</v>
      </c>
    </row>
    <row r="99" spans="1:21" ht="28.5" customHeight="1" x14ac:dyDescent="0.3">
      <c r="A99" s="27">
        <v>96</v>
      </c>
      <c r="B99" s="28">
        <v>2025</v>
      </c>
      <c r="C99" s="29" t="s">
        <v>407</v>
      </c>
      <c r="D99" s="30" t="s">
        <v>429</v>
      </c>
      <c r="E99" s="29">
        <v>29073324</v>
      </c>
      <c r="F99" s="29">
        <v>1122365</v>
      </c>
      <c r="G99" s="30" t="s">
        <v>430</v>
      </c>
      <c r="H99" s="29">
        <v>577</v>
      </c>
      <c r="I99" s="29">
        <v>1</v>
      </c>
      <c r="J99" s="29"/>
      <c r="K99" s="30"/>
      <c r="L99" s="29" t="s">
        <v>72</v>
      </c>
      <c r="M99" s="31">
        <v>4017</v>
      </c>
      <c r="N99" s="31">
        <v>2678</v>
      </c>
      <c r="O99" s="31">
        <v>6695</v>
      </c>
      <c r="P99" s="31">
        <f>VLOOKUP(F99,'[3]1ª PARCELA'!$E$5:$H$889,4,FALSE)</f>
        <v>6695</v>
      </c>
      <c r="Q99" s="31" t="b">
        <f t="shared" si="1"/>
        <v>1</v>
      </c>
      <c r="R99" s="32">
        <v>45805</v>
      </c>
      <c r="S99" s="29">
        <v>9678</v>
      </c>
      <c r="T99" s="29" t="s">
        <v>431</v>
      </c>
      <c r="U99" s="33" t="s">
        <v>432</v>
      </c>
    </row>
    <row r="100" spans="1:21" ht="28.5" customHeight="1" x14ac:dyDescent="0.3">
      <c r="A100" s="27">
        <v>97</v>
      </c>
      <c r="B100" s="28">
        <v>2025</v>
      </c>
      <c r="C100" s="29" t="s">
        <v>407</v>
      </c>
      <c r="D100" s="30" t="s">
        <v>433</v>
      </c>
      <c r="E100" s="29">
        <v>29075874</v>
      </c>
      <c r="F100" s="29">
        <v>1172419</v>
      </c>
      <c r="G100" s="30" t="s">
        <v>434</v>
      </c>
      <c r="H100" s="29">
        <v>801</v>
      </c>
      <c r="I100" s="29">
        <v>1</v>
      </c>
      <c r="J100" s="29"/>
      <c r="K100" s="30"/>
      <c r="L100" s="29" t="s">
        <v>72</v>
      </c>
      <c r="M100" s="31">
        <v>7148</v>
      </c>
      <c r="N100" s="31">
        <v>1787</v>
      </c>
      <c r="O100" s="31">
        <v>8935</v>
      </c>
      <c r="P100" s="31">
        <f>VLOOKUP(F100,'[3]1ª PARCELA'!$E$5:$H$889,4,FALSE)</f>
        <v>8935</v>
      </c>
      <c r="Q100" s="31" t="b">
        <f t="shared" si="1"/>
        <v>1</v>
      </c>
      <c r="R100" s="32">
        <v>45793</v>
      </c>
      <c r="S100" s="29">
        <v>9173</v>
      </c>
      <c r="T100" s="29" t="s">
        <v>435</v>
      </c>
      <c r="U100" s="33" t="s">
        <v>436</v>
      </c>
    </row>
    <row r="101" spans="1:21" ht="28.5" customHeight="1" x14ac:dyDescent="0.3">
      <c r="A101" s="27">
        <v>98</v>
      </c>
      <c r="B101" s="28">
        <v>2025</v>
      </c>
      <c r="C101" s="29" t="s">
        <v>292</v>
      </c>
      <c r="D101" s="30" t="s">
        <v>437</v>
      </c>
      <c r="E101" s="29">
        <v>29076846</v>
      </c>
      <c r="F101" s="29">
        <v>1164947</v>
      </c>
      <c r="G101" s="30" t="s">
        <v>438</v>
      </c>
      <c r="H101" s="29">
        <v>715</v>
      </c>
      <c r="I101" s="29">
        <v>1</v>
      </c>
      <c r="J101" s="29"/>
      <c r="K101" s="30"/>
      <c r="L101" s="29" t="s">
        <v>72</v>
      </c>
      <c r="M101" s="31">
        <v>4037.5</v>
      </c>
      <c r="N101" s="31">
        <v>4037.5</v>
      </c>
      <c r="O101" s="31">
        <v>8075</v>
      </c>
      <c r="P101" s="31">
        <f>VLOOKUP(F101,'[3]1ª PARCELA'!$E$5:$H$889,4,FALSE)</f>
        <v>8075</v>
      </c>
      <c r="Q101" s="31" t="b">
        <f t="shared" si="1"/>
        <v>1</v>
      </c>
      <c r="R101" s="32">
        <v>45793</v>
      </c>
      <c r="S101" s="29">
        <v>9173</v>
      </c>
      <c r="T101" s="29" t="s">
        <v>439</v>
      </c>
      <c r="U101" s="33" t="s">
        <v>440</v>
      </c>
    </row>
    <row r="102" spans="1:21" ht="28.5" customHeight="1" x14ac:dyDescent="0.3">
      <c r="A102" s="27">
        <v>99</v>
      </c>
      <c r="B102" s="28">
        <v>2025</v>
      </c>
      <c r="C102" s="29" t="s">
        <v>416</v>
      </c>
      <c r="D102" s="30" t="s">
        <v>441</v>
      </c>
      <c r="E102" s="29">
        <v>29077540</v>
      </c>
      <c r="F102" s="29">
        <v>1122705</v>
      </c>
      <c r="G102" s="30" t="s">
        <v>442</v>
      </c>
      <c r="H102" s="29">
        <v>415</v>
      </c>
      <c r="I102" s="29">
        <v>1</v>
      </c>
      <c r="J102" s="29"/>
      <c r="K102" s="30"/>
      <c r="L102" s="29" t="s">
        <v>72</v>
      </c>
      <c r="M102" s="31">
        <v>3552.5</v>
      </c>
      <c r="N102" s="31">
        <v>1522.5</v>
      </c>
      <c r="O102" s="31">
        <v>5075</v>
      </c>
      <c r="P102" s="31">
        <f>VLOOKUP(F102,'[3]1ª PARCELA'!$E$5:$H$889,4,FALSE)</f>
        <v>5075</v>
      </c>
      <c r="Q102" s="31" t="b">
        <f t="shared" si="1"/>
        <v>1</v>
      </c>
      <c r="R102" s="32">
        <v>45793</v>
      </c>
      <c r="S102" s="29">
        <v>9173</v>
      </c>
      <c r="T102" s="29" t="s">
        <v>443</v>
      </c>
      <c r="U102" s="33" t="s">
        <v>444</v>
      </c>
    </row>
    <row r="103" spans="1:21" ht="28.5" customHeight="1" x14ac:dyDescent="0.3">
      <c r="A103" s="27">
        <v>100</v>
      </c>
      <c r="B103" s="28">
        <v>2025</v>
      </c>
      <c r="C103" s="29" t="s">
        <v>407</v>
      </c>
      <c r="D103" s="30" t="s">
        <v>445</v>
      </c>
      <c r="E103" s="29">
        <v>29079004</v>
      </c>
      <c r="F103" s="29">
        <v>1122233</v>
      </c>
      <c r="G103" s="30" t="s">
        <v>446</v>
      </c>
      <c r="H103" s="29">
        <v>491</v>
      </c>
      <c r="I103" s="29">
        <v>1</v>
      </c>
      <c r="J103" s="29"/>
      <c r="K103" s="30"/>
      <c r="L103" s="29" t="s">
        <v>72</v>
      </c>
      <c r="M103" s="31">
        <v>4084.5</v>
      </c>
      <c r="N103" s="31">
        <v>1750.5</v>
      </c>
      <c r="O103" s="31">
        <v>5835</v>
      </c>
      <c r="P103" s="31">
        <f>VLOOKUP(F103,'[3]1ª PARCELA'!$E$5:$H$889,4,FALSE)</f>
        <v>5835</v>
      </c>
      <c r="Q103" s="31" t="b">
        <f t="shared" si="1"/>
        <v>1</v>
      </c>
      <c r="R103" s="32">
        <v>45833</v>
      </c>
      <c r="S103" s="29">
        <v>13120</v>
      </c>
      <c r="T103" s="29" t="s">
        <v>447</v>
      </c>
      <c r="U103" s="33" t="s">
        <v>448</v>
      </c>
    </row>
    <row r="104" spans="1:21" ht="28.5" customHeight="1" x14ac:dyDescent="0.3">
      <c r="A104" s="27">
        <v>101</v>
      </c>
      <c r="B104" s="28">
        <v>2025</v>
      </c>
      <c r="C104" s="29" t="s">
        <v>407</v>
      </c>
      <c r="D104" s="30" t="s">
        <v>449</v>
      </c>
      <c r="E104" s="29">
        <v>29079055</v>
      </c>
      <c r="F104" s="29">
        <v>1161794</v>
      </c>
      <c r="G104" s="30" t="s">
        <v>450</v>
      </c>
      <c r="H104" s="29">
        <v>538</v>
      </c>
      <c r="I104" s="29">
        <v>1</v>
      </c>
      <c r="J104" s="29"/>
      <c r="K104" s="30"/>
      <c r="L104" s="29" t="s">
        <v>72</v>
      </c>
      <c r="M104" s="31">
        <v>5044</v>
      </c>
      <c r="N104" s="31">
        <v>1261</v>
      </c>
      <c r="O104" s="31">
        <v>6305</v>
      </c>
      <c r="P104" s="31">
        <f>VLOOKUP(F104,'[3]1ª PARCELA'!$E$5:$H$889,4,FALSE)</f>
        <v>6305</v>
      </c>
      <c r="Q104" s="31" t="b">
        <f t="shared" si="1"/>
        <v>1</v>
      </c>
      <c r="R104" s="32">
        <v>45805</v>
      </c>
      <c r="S104" s="29">
        <v>9678</v>
      </c>
      <c r="T104" s="29" t="s">
        <v>451</v>
      </c>
      <c r="U104" s="33" t="s">
        <v>452</v>
      </c>
    </row>
    <row r="105" spans="1:21" ht="28.5" customHeight="1" x14ac:dyDescent="0.3">
      <c r="A105" s="27">
        <v>102</v>
      </c>
      <c r="B105" s="28">
        <v>2025</v>
      </c>
      <c r="C105" s="29" t="s">
        <v>416</v>
      </c>
      <c r="D105" s="30" t="s">
        <v>453</v>
      </c>
      <c r="E105" s="29">
        <v>29079934</v>
      </c>
      <c r="F105" s="29">
        <v>1122306</v>
      </c>
      <c r="G105" s="30" t="s">
        <v>454</v>
      </c>
      <c r="H105" s="29">
        <v>304</v>
      </c>
      <c r="I105" s="29">
        <v>1</v>
      </c>
      <c r="J105" s="29"/>
      <c r="K105" s="30"/>
      <c r="L105" s="29" t="s">
        <v>72</v>
      </c>
      <c r="M105" s="31">
        <v>2775.5</v>
      </c>
      <c r="N105" s="31">
        <v>1189.5</v>
      </c>
      <c r="O105" s="31">
        <v>3965</v>
      </c>
      <c r="P105" s="31">
        <f>VLOOKUP(F105,'[3]1ª PARCELA'!$E$5:$H$889,4,FALSE)</f>
        <v>3965</v>
      </c>
      <c r="Q105" s="31" t="b">
        <f t="shared" si="1"/>
        <v>1</v>
      </c>
      <c r="R105" s="32">
        <v>45833</v>
      </c>
      <c r="S105" s="29">
        <v>13120</v>
      </c>
      <c r="T105" s="29" t="s">
        <v>455</v>
      </c>
      <c r="U105" s="33" t="s">
        <v>456</v>
      </c>
    </row>
    <row r="106" spans="1:21" ht="28.5" customHeight="1" x14ac:dyDescent="0.3">
      <c r="A106" s="27">
        <v>103</v>
      </c>
      <c r="B106" s="28">
        <v>2025</v>
      </c>
      <c r="C106" s="29" t="s">
        <v>416</v>
      </c>
      <c r="D106" s="30" t="s">
        <v>457</v>
      </c>
      <c r="E106" s="29">
        <v>29080533</v>
      </c>
      <c r="F106" s="29">
        <v>1122730</v>
      </c>
      <c r="G106" s="30" t="s">
        <v>458</v>
      </c>
      <c r="H106" s="29">
        <v>933</v>
      </c>
      <c r="I106" s="29">
        <v>1</v>
      </c>
      <c r="J106" s="29"/>
      <c r="K106" s="30"/>
      <c r="L106" s="29" t="s">
        <v>72</v>
      </c>
      <c r="M106" s="31">
        <v>8204</v>
      </c>
      <c r="N106" s="31">
        <v>2051</v>
      </c>
      <c r="O106" s="31">
        <v>10255</v>
      </c>
      <c r="P106" s="31">
        <f>VLOOKUP(F106,'[3]1ª PARCELA'!$E$5:$H$889,4,FALSE)</f>
        <v>10255</v>
      </c>
      <c r="Q106" s="31" t="b">
        <f t="shared" si="1"/>
        <v>1</v>
      </c>
      <c r="R106" s="32">
        <v>45793</v>
      </c>
      <c r="S106" s="29">
        <v>9173</v>
      </c>
      <c r="T106" s="29" t="s">
        <v>459</v>
      </c>
      <c r="U106" s="33" t="s">
        <v>460</v>
      </c>
    </row>
    <row r="107" spans="1:21" ht="28.5" customHeight="1" x14ac:dyDescent="0.3">
      <c r="A107" s="27">
        <v>104</v>
      </c>
      <c r="B107" s="28">
        <v>2025</v>
      </c>
      <c r="C107" s="29" t="s">
        <v>461</v>
      </c>
      <c r="D107" s="30" t="s">
        <v>462</v>
      </c>
      <c r="E107" s="29">
        <v>29081319</v>
      </c>
      <c r="F107" s="29">
        <v>1123159</v>
      </c>
      <c r="G107" s="30" t="s">
        <v>463</v>
      </c>
      <c r="H107" s="29">
        <v>466</v>
      </c>
      <c r="I107" s="29">
        <v>1</v>
      </c>
      <c r="J107" s="29"/>
      <c r="K107" s="30"/>
      <c r="L107" s="29" t="s">
        <v>72</v>
      </c>
      <c r="M107" s="31">
        <v>4468</v>
      </c>
      <c r="N107" s="31">
        <v>1117</v>
      </c>
      <c r="O107" s="31">
        <v>5585</v>
      </c>
      <c r="P107" s="31">
        <f>VLOOKUP(F107,'[3]1ª PARCELA'!$E$5:$H$889,4,FALSE)</f>
        <v>5585</v>
      </c>
      <c r="Q107" s="31" t="b">
        <f t="shared" si="1"/>
        <v>1</v>
      </c>
      <c r="R107" s="32">
        <v>45793</v>
      </c>
      <c r="S107" s="29">
        <v>9173</v>
      </c>
      <c r="T107" s="29" t="s">
        <v>464</v>
      </c>
      <c r="U107" s="33" t="s">
        <v>465</v>
      </c>
    </row>
    <row r="108" spans="1:21" ht="28.5" customHeight="1" x14ac:dyDescent="0.3">
      <c r="A108" s="27">
        <v>105</v>
      </c>
      <c r="B108" s="28">
        <v>2025</v>
      </c>
      <c r="C108" s="29" t="s">
        <v>461</v>
      </c>
      <c r="D108" s="30" t="s">
        <v>462</v>
      </c>
      <c r="E108" s="29">
        <v>29081440</v>
      </c>
      <c r="F108" s="29">
        <v>1164351</v>
      </c>
      <c r="G108" s="30" t="s">
        <v>466</v>
      </c>
      <c r="H108" s="29">
        <v>79</v>
      </c>
      <c r="I108" s="29">
        <v>1</v>
      </c>
      <c r="J108" s="29"/>
      <c r="K108" s="30"/>
      <c r="L108" s="29" t="s">
        <v>72</v>
      </c>
      <c r="M108" s="31">
        <v>1782.5</v>
      </c>
      <c r="N108" s="31">
        <v>1782.5</v>
      </c>
      <c r="O108" s="31">
        <v>3565</v>
      </c>
      <c r="P108" s="31">
        <f>VLOOKUP(F108,'[3]1ª PARCELA'!$E$5:$H$889,4,FALSE)</f>
        <v>3565</v>
      </c>
      <c r="Q108" s="31" t="b">
        <f t="shared" si="1"/>
        <v>1</v>
      </c>
      <c r="R108" s="32">
        <v>45793</v>
      </c>
      <c r="S108" s="29">
        <v>9173</v>
      </c>
      <c r="T108" s="29" t="s">
        <v>467</v>
      </c>
      <c r="U108" s="33" t="s">
        <v>468</v>
      </c>
    </row>
    <row r="109" spans="1:21" ht="28.5" customHeight="1" x14ac:dyDescent="0.3">
      <c r="A109" s="27">
        <v>106</v>
      </c>
      <c r="B109" s="28">
        <v>2025</v>
      </c>
      <c r="C109" s="29" t="s">
        <v>461</v>
      </c>
      <c r="D109" s="30" t="s">
        <v>462</v>
      </c>
      <c r="E109" s="29">
        <v>29081815</v>
      </c>
      <c r="F109" s="29">
        <v>1123183</v>
      </c>
      <c r="G109" s="30" t="s">
        <v>469</v>
      </c>
      <c r="H109" s="29">
        <v>94</v>
      </c>
      <c r="I109" s="29">
        <v>1</v>
      </c>
      <c r="J109" s="29"/>
      <c r="K109" s="30"/>
      <c r="L109" s="29" t="s">
        <v>72</v>
      </c>
      <c r="M109" s="31">
        <v>2972</v>
      </c>
      <c r="N109" s="31">
        <v>743</v>
      </c>
      <c r="O109" s="31">
        <v>3715</v>
      </c>
      <c r="P109" s="31">
        <f>VLOOKUP(F109,'[3]1ª PARCELA'!$E$5:$H$889,4,FALSE)</f>
        <v>3715</v>
      </c>
      <c r="Q109" s="31" t="b">
        <f t="shared" si="1"/>
        <v>1</v>
      </c>
      <c r="R109" s="32">
        <v>45945</v>
      </c>
      <c r="S109" s="29">
        <v>27117</v>
      </c>
      <c r="T109" s="29" t="s">
        <v>470</v>
      </c>
      <c r="U109" s="33" t="s">
        <v>471</v>
      </c>
    </row>
    <row r="110" spans="1:21" ht="28.5" customHeight="1" x14ac:dyDescent="0.3">
      <c r="A110" s="27">
        <v>107</v>
      </c>
      <c r="B110" s="28">
        <v>2025</v>
      </c>
      <c r="C110" s="29" t="s">
        <v>461</v>
      </c>
      <c r="D110" s="30" t="s">
        <v>472</v>
      </c>
      <c r="E110" s="29">
        <v>29083044</v>
      </c>
      <c r="F110" s="29">
        <v>1164343</v>
      </c>
      <c r="G110" s="30" t="s">
        <v>473</v>
      </c>
      <c r="H110" s="29">
        <v>240</v>
      </c>
      <c r="I110" s="29">
        <v>1</v>
      </c>
      <c r="J110" s="29"/>
      <c r="K110" s="30"/>
      <c r="L110" s="29" t="s">
        <v>72</v>
      </c>
      <c r="M110" s="31">
        <v>2660</v>
      </c>
      <c r="N110" s="31">
        <v>665</v>
      </c>
      <c r="O110" s="31">
        <v>3325</v>
      </c>
      <c r="P110" s="31">
        <f>VLOOKUP(F110,'[3]1ª PARCELA'!$E$5:$H$889,4,FALSE)</f>
        <v>3325</v>
      </c>
      <c r="Q110" s="31" t="b">
        <f t="shared" si="1"/>
        <v>1</v>
      </c>
      <c r="R110" s="32">
        <v>45793</v>
      </c>
      <c r="S110" s="29">
        <v>9173</v>
      </c>
      <c r="T110" s="29" t="s">
        <v>474</v>
      </c>
      <c r="U110" s="33" t="s">
        <v>475</v>
      </c>
    </row>
    <row r="111" spans="1:21" ht="28.5" customHeight="1" x14ac:dyDescent="0.3">
      <c r="A111" s="27">
        <v>108</v>
      </c>
      <c r="B111" s="28">
        <v>2025</v>
      </c>
      <c r="C111" s="29" t="s">
        <v>461</v>
      </c>
      <c r="D111" s="30" t="s">
        <v>476</v>
      </c>
      <c r="E111" s="29">
        <v>29083354</v>
      </c>
      <c r="F111" s="29">
        <v>1123434</v>
      </c>
      <c r="G111" s="30" t="s">
        <v>477</v>
      </c>
      <c r="H111" s="29">
        <v>868</v>
      </c>
      <c r="I111" s="29">
        <v>1</v>
      </c>
      <c r="J111" s="29"/>
      <c r="K111" s="30"/>
      <c r="L111" s="29" t="s">
        <v>72</v>
      </c>
      <c r="M111" s="31">
        <v>7684</v>
      </c>
      <c r="N111" s="31">
        <v>1921</v>
      </c>
      <c r="O111" s="31">
        <v>9605</v>
      </c>
      <c r="P111" s="31">
        <f>VLOOKUP(F111,'[3]1ª PARCELA'!$E$5:$H$889,4,FALSE)</f>
        <v>9605</v>
      </c>
      <c r="Q111" s="31" t="b">
        <f t="shared" si="1"/>
        <v>1</v>
      </c>
      <c r="R111" s="32">
        <v>45895</v>
      </c>
      <c r="S111" s="29">
        <v>19863</v>
      </c>
      <c r="T111" s="29" t="s">
        <v>478</v>
      </c>
      <c r="U111" s="33" t="s">
        <v>479</v>
      </c>
    </row>
    <row r="112" spans="1:21" ht="28.5" customHeight="1" x14ac:dyDescent="0.3">
      <c r="A112" s="27">
        <v>109</v>
      </c>
      <c r="B112" s="28">
        <v>2025</v>
      </c>
      <c r="C112" s="29" t="s">
        <v>461</v>
      </c>
      <c r="D112" s="30" t="s">
        <v>476</v>
      </c>
      <c r="E112" s="29">
        <v>29084202</v>
      </c>
      <c r="F112" s="29">
        <v>1123485</v>
      </c>
      <c r="G112" s="30" t="s">
        <v>480</v>
      </c>
      <c r="H112" s="29">
        <v>429</v>
      </c>
      <c r="I112" s="29">
        <v>1</v>
      </c>
      <c r="J112" s="29"/>
      <c r="K112" s="30"/>
      <c r="L112" s="29" t="s">
        <v>72</v>
      </c>
      <c r="M112" s="31">
        <v>4172</v>
      </c>
      <c r="N112" s="31">
        <v>1043</v>
      </c>
      <c r="O112" s="31">
        <v>5215</v>
      </c>
      <c r="P112" s="31">
        <f>VLOOKUP(F112,'[3]1ª PARCELA'!$E$5:$H$889,4,FALSE)</f>
        <v>5215</v>
      </c>
      <c r="Q112" s="31" t="b">
        <f t="shared" si="1"/>
        <v>1</v>
      </c>
      <c r="R112" s="32">
        <v>45954</v>
      </c>
      <c r="S112" s="29">
        <v>28607</v>
      </c>
      <c r="T112" s="29" t="s">
        <v>481</v>
      </c>
      <c r="U112" s="33" t="s">
        <v>482</v>
      </c>
    </row>
    <row r="113" spans="1:21" ht="28.5" customHeight="1" x14ac:dyDescent="0.3">
      <c r="A113" s="27">
        <v>110</v>
      </c>
      <c r="B113" s="28">
        <v>2025</v>
      </c>
      <c r="C113" s="29" t="s">
        <v>461</v>
      </c>
      <c r="D113" s="30" t="s">
        <v>483</v>
      </c>
      <c r="E113" s="29">
        <v>29084784</v>
      </c>
      <c r="F113" s="29">
        <v>1123531</v>
      </c>
      <c r="G113" s="30" t="s">
        <v>484</v>
      </c>
      <c r="H113" s="29">
        <v>161</v>
      </c>
      <c r="I113" s="29">
        <v>1</v>
      </c>
      <c r="J113" s="29"/>
      <c r="K113" s="30"/>
      <c r="L113" s="29" t="s">
        <v>72</v>
      </c>
      <c r="M113" s="31">
        <v>507</v>
      </c>
      <c r="N113" s="31">
        <v>2028</v>
      </c>
      <c r="O113" s="31">
        <v>2535</v>
      </c>
      <c r="P113" s="31">
        <f>VLOOKUP(F113,'[3]1ª PARCELA'!$E$5:$H$889,4,FALSE)</f>
        <v>2535</v>
      </c>
      <c r="Q113" s="31" t="b">
        <f t="shared" si="1"/>
        <v>1</v>
      </c>
      <c r="R113" s="32">
        <v>45833</v>
      </c>
      <c r="S113" s="29">
        <v>13120</v>
      </c>
      <c r="T113" s="29" t="s">
        <v>485</v>
      </c>
      <c r="U113" s="33" t="s">
        <v>486</v>
      </c>
    </row>
    <row r="114" spans="1:21" ht="28.5" customHeight="1" x14ac:dyDescent="0.3">
      <c r="A114" s="27">
        <v>111</v>
      </c>
      <c r="B114" s="28">
        <v>2025</v>
      </c>
      <c r="C114" s="29" t="s">
        <v>416</v>
      </c>
      <c r="D114" s="30" t="s">
        <v>487</v>
      </c>
      <c r="E114" s="29">
        <v>29085500</v>
      </c>
      <c r="F114" s="29">
        <v>1122861</v>
      </c>
      <c r="G114" s="30" t="s">
        <v>488</v>
      </c>
      <c r="H114" s="29">
        <v>604</v>
      </c>
      <c r="I114" s="29">
        <v>1</v>
      </c>
      <c r="J114" s="29"/>
      <c r="K114" s="30"/>
      <c r="L114" s="29" t="s">
        <v>72</v>
      </c>
      <c r="M114" s="31">
        <v>4179</v>
      </c>
      <c r="N114" s="31">
        <v>2786</v>
      </c>
      <c r="O114" s="31">
        <v>6965</v>
      </c>
      <c r="P114" s="31">
        <f>VLOOKUP(F114,'[3]1ª PARCELA'!$E$5:$H$889,4,FALSE)</f>
        <v>6965</v>
      </c>
      <c r="Q114" s="31" t="b">
        <f t="shared" si="1"/>
        <v>1</v>
      </c>
      <c r="R114" s="32">
        <v>45793</v>
      </c>
      <c r="S114" s="29">
        <v>9173</v>
      </c>
      <c r="T114" s="29" t="s">
        <v>489</v>
      </c>
      <c r="U114" s="33" t="s">
        <v>490</v>
      </c>
    </row>
    <row r="115" spans="1:21" ht="28.5" customHeight="1" x14ac:dyDescent="0.3">
      <c r="A115" s="27">
        <v>112</v>
      </c>
      <c r="B115" s="28">
        <v>2025</v>
      </c>
      <c r="C115" s="29" t="s">
        <v>461</v>
      </c>
      <c r="D115" s="30" t="s">
        <v>491</v>
      </c>
      <c r="E115" s="29">
        <v>29086914</v>
      </c>
      <c r="F115" s="29">
        <v>1123000</v>
      </c>
      <c r="G115" s="30" t="s">
        <v>477</v>
      </c>
      <c r="H115" s="29">
        <v>513</v>
      </c>
      <c r="I115" s="29">
        <v>1</v>
      </c>
      <c r="J115" s="29"/>
      <c r="K115" s="30"/>
      <c r="L115" s="29" t="s">
        <v>72</v>
      </c>
      <c r="M115" s="31">
        <v>3633</v>
      </c>
      <c r="N115" s="31">
        <v>2422</v>
      </c>
      <c r="O115" s="31">
        <v>6055</v>
      </c>
      <c r="P115" s="31">
        <f>VLOOKUP(F115,'[3]1ª PARCELA'!$E$5:$H$889,4,FALSE)</f>
        <v>6055</v>
      </c>
      <c r="Q115" s="31" t="b">
        <f t="shared" si="1"/>
        <v>1</v>
      </c>
      <c r="R115" s="32">
        <v>45793</v>
      </c>
      <c r="S115" s="29">
        <v>9173</v>
      </c>
      <c r="T115" s="29" t="s">
        <v>492</v>
      </c>
      <c r="U115" s="33" t="s">
        <v>493</v>
      </c>
    </row>
    <row r="116" spans="1:21" ht="28.5" customHeight="1" x14ac:dyDescent="0.3">
      <c r="A116" s="27">
        <v>113</v>
      </c>
      <c r="B116" s="28">
        <v>2025</v>
      </c>
      <c r="C116" s="29" t="s">
        <v>461</v>
      </c>
      <c r="D116" s="30" t="s">
        <v>494</v>
      </c>
      <c r="E116" s="29">
        <v>29087236</v>
      </c>
      <c r="F116" s="29">
        <v>1123957</v>
      </c>
      <c r="G116" s="30" t="s">
        <v>495</v>
      </c>
      <c r="H116" s="29">
        <v>1205</v>
      </c>
      <c r="I116" s="29">
        <v>1</v>
      </c>
      <c r="J116" s="29"/>
      <c r="K116" s="30"/>
      <c r="L116" s="29" t="s">
        <v>72</v>
      </c>
      <c r="M116" s="31">
        <v>6487.5</v>
      </c>
      <c r="N116" s="31">
        <v>6487.5</v>
      </c>
      <c r="O116" s="31">
        <v>12975</v>
      </c>
      <c r="P116" s="31">
        <f>VLOOKUP(F116,'[3]1ª PARCELA'!$E$5:$H$889,4,FALSE)</f>
        <v>12975</v>
      </c>
      <c r="Q116" s="31" t="b">
        <f t="shared" si="1"/>
        <v>1</v>
      </c>
      <c r="R116" s="32">
        <v>45833</v>
      </c>
      <c r="S116" s="29">
        <v>13120</v>
      </c>
      <c r="T116" s="29" t="s">
        <v>496</v>
      </c>
      <c r="U116" s="33" t="s">
        <v>497</v>
      </c>
    </row>
    <row r="117" spans="1:21" ht="28.5" customHeight="1" x14ac:dyDescent="0.3">
      <c r="A117" s="27">
        <v>114</v>
      </c>
      <c r="B117" s="28">
        <v>2025</v>
      </c>
      <c r="C117" s="29" t="s">
        <v>461</v>
      </c>
      <c r="D117" s="30" t="s">
        <v>498</v>
      </c>
      <c r="E117" s="29">
        <v>29088240</v>
      </c>
      <c r="F117" s="29">
        <v>1123043</v>
      </c>
      <c r="G117" s="30" t="s">
        <v>499</v>
      </c>
      <c r="H117" s="29">
        <v>704</v>
      </c>
      <c r="I117" s="29">
        <v>1</v>
      </c>
      <c r="J117" s="29"/>
      <c r="K117" s="30"/>
      <c r="L117" s="29" t="s">
        <v>72</v>
      </c>
      <c r="M117" s="31">
        <v>5575.5</v>
      </c>
      <c r="N117" s="31">
        <v>2389.5</v>
      </c>
      <c r="O117" s="31">
        <v>7965</v>
      </c>
      <c r="P117" s="31">
        <f>VLOOKUP(F117,'[3]1ª PARCELA'!$E$5:$H$889,4,FALSE)</f>
        <v>7965</v>
      </c>
      <c r="Q117" s="31" t="b">
        <f t="shared" si="1"/>
        <v>1</v>
      </c>
      <c r="R117" s="32">
        <v>45805</v>
      </c>
      <c r="S117" s="29">
        <v>9678</v>
      </c>
      <c r="T117" s="29" t="s">
        <v>500</v>
      </c>
      <c r="U117" s="33" t="s">
        <v>501</v>
      </c>
    </row>
    <row r="118" spans="1:21" ht="28.5" customHeight="1" x14ac:dyDescent="0.3">
      <c r="A118" s="27">
        <v>115</v>
      </c>
      <c r="B118" s="28">
        <v>2025</v>
      </c>
      <c r="C118" s="29" t="s">
        <v>416</v>
      </c>
      <c r="D118" s="30" t="s">
        <v>502</v>
      </c>
      <c r="E118" s="29">
        <v>29088623</v>
      </c>
      <c r="F118" s="29">
        <v>1176069</v>
      </c>
      <c r="G118" s="30" t="s">
        <v>503</v>
      </c>
      <c r="H118" s="29">
        <v>344</v>
      </c>
      <c r="I118" s="29">
        <v>1</v>
      </c>
      <c r="J118" s="29"/>
      <c r="K118" s="30"/>
      <c r="L118" s="29" t="s">
        <v>72</v>
      </c>
      <c r="M118" s="31">
        <v>2619</v>
      </c>
      <c r="N118" s="31">
        <v>1746</v>
      </c>
      <c r="O118" s="31">
        <v>4365</v>
      </c>
      <c r="P118" s="31">
        <f>VLOOKUP(F118,'[3]1ª PARCELA'!$E$5:$H$889,4,FALSE)</f>
        <v>4365</v>
      </c>
      <c r="Q118" s="31" t="b">
        <f t="shared" si="1"/>
        <v>1</v>
      </c>
      <c r="R118" s="32">
        <v>45967</v>
      </c>
      <c r="S118" s="29">
        <v>29630</v>
      </c>
      <c r="T118" s="29" t="s">
        <v>504</v>
      </c>
      <c r="U118" s="33" t="s">
        <v>505</v>
      </c>
    </row>
    <row r="119" spans="1:21" ht="28.5" customHeight="1" x14ac:dyDescent="0.3">
      <c r="A119" s="27">
        <v>116</v>
      </c>
      <c r="B119" s="28">
        <v>2025</v>
      </c>
      <c r="C119" s="29" t="s">
        <v>506</v>
      </c>
      <c r="D119" s="30" t="s">
        <v>507</v>
      </c>
      <c r="E119" s="29">
        <v>29089115</v>
      </c>
      <c r="F119" s="29">
        <v>1105320</v>
      </c>
      <c r="G119" s="30" t="s">
        <v>508</v>
      </c>
      <c r="H119" s="29">
        <v>595</v>
      </c>
      <c r="I119" s="29">
        <v>1</v>
      </c>
      <c r="J119" s="29"/>
      <c r="K119" s="30"/>
      <c r="L119" s="29" t="s">
        <v>72</v>
      </c>
      <c r="M119" s="31">
        <v>3437.5</v>
      </c>
      <c r="N119" s="31">
        <v>3437.5</v>
      </c>
      <c r="O119" s="31">
        <v>6875</v>
      </c>
      <c r="P119" s="31">
        <f>VLOOKUP(F119,'[3]1ª PARCELA'!$E$5:$H$889,4,FALSE)</f>
        <v>6875</v>
      </c>
      <c r="Q119" s="31" t="b">
        <f t="shared" si="1"/>
        <v>1</v>
      </c>
      <c r="R119" s="32">
        <v>45926</v>
      </c>
      <c r="S119" s="29">
        <v>24529</v>
      </c>
      <c r="T119" s="29" t="s">
        <v>509</v>
      </c>
      <c r="U119" s="33" t="s">
        <v>510</v>
      </c>
    </row>
    <row r="120" spans="1:21" ht="28.5" customHeight="1" x14ac:dyDescent="0.3">
      <c r="A120" s="27">
        <v>117</v>
      </c>
      <c r="B120" s="28">
        <v>2025</v>
      </c>
      <c r="C120" s="29" t="s">
        <v>506</v>
      </c>
      <c r="D120" s="30" t="s">
        <v>511</v>
      </c>
      <c r="E120" s="29">
        <v>29089964</v>
      </c>
      <c r="F120" s="29">
        <v>1105584</v>
      </c>
      <c r="G120" s="30" t="s">
        <v>512</v>
      </c>
      <c r="H120" s="29">
        <v>466</v>
      </c>
      <c r="I120" s="29">
        <v>1</v>
      </c>
      <c r="J120" s="29"/>
      <c r="K120" s="30"/>
      <c r="L120" s="29" t="s">
        <v>72</v>
      </c>
      <c r="M120" s="31">
        <v>2234</v>
      </c>
      <c r="N120" s="31">
        <v>3351</v>
      </c>
      <c r="O120" s="31">
        <v>5585</v>
      </c>
      <c r="P120" s="31">
        <f>VLOOKUP(F120,'[3]1ª PARCELA'!$E$5:$H$889,4,FALSE)</f>
        <v>5585</v>
      </c>
      <c r="Q120" s="31" t="b">
        <f t="shared" si="1"/>
        <v>1</v>
      </c>
      <c r="R120" s="32">
        <v>45926</v>
      </c>
      <c r="S120" s="29">
        <v>24529</v>
      </c>
      <c r="T120" s="29" t="s">
        <v>513</v>
      </c>
      <c r="U120" s="33" t="s">
        <v>514</v>
      </c>
    </row>
    <row r="121" spans="1:21" ht="28.5" customHeight="1" x14ac:dyDescent="0.3">
      <c r="A121" s="27">
        <v>118</v>
      </c>
      <c r="B121" s="28">
        <v>2025</v>
      </c>
      <c r="C121" s="29" t="s">
        <v>506</v>
      </c>
      <c r="D121" s="30" t="s">
        <v>515</v>
      </c>
      <c r="E121" s="29">
        <v>29090350</v>
      </c>
      <c r="F121" s="29">
        <v>1105460</v>
      </c>
      <c r="G121" s="30" t="s">
        <v>516</v>
      </c>
      <c r="H121" s="29">
        <v>304</v>
      </c>
      <c r="I121" s="29">
        <v>1</v>
      </c>
      <c r="J121" s="29"/>
      <c r="K121" s="30"/>
      <c r="L121" s="29" t="s">
        <v>72</v>
      </c>
      <c r="M121" s="31">
        <v>4652</v>
      </c>
      <c r="N121" s="31">
        <v>1163</v>
      </c>
      <c r="O121" s="31">
        <v>5815</v>
      </c>
      <c r="P121" s="31">
        <f>VLOOKUP(F121,'[3]1ª PARCELA'!$E$5:$H$889,4,FALSE)</f>
        <v>5815</v>
      </c>
      <c r="Q121" s="31" t="b">
        <f t="shared" si="1"/>
        <v>1</v>
      </c>
      <c r="R121" s="32">
        <v>45793</v>
      </c>
      <c r="S121" s="29">
        <v>9173</v>
      </c>
      <c r="T121" s="29" t="s">
        <v>517</v>
      </c>
      <c r="U121" s="33" t="s">
        <v>518</v>
      </c>
    </row>
    <row r="122" spans="1:21" ht="28.5" customHeight="1" x14ac:dyDescent="0.3">
      <c r="A122" s="27">
        <v>119</v>
      </c>
      <c r="B122" s="28">
        <v>2025</v>
      </c>
      <c r="C122" s="29" t="s">
        <v>506</v>
      </c>
      <c r="D122" s="30" t="s">
        <v>519</v>
      </c>
      <c r="E122" s="29">
        <v>29090865</v>
      </c>
      <c r="F122" s="29">
        <v>1105568</v>
      </c>
      <c r="G122" s="30" t="s">
        <v>520</v>
      </c>
      <c r="H122" s="29">
        <v>950</v>
      </c>
      <c r="I122" s="29">
        <v>1</v>
      </c>
      <c r="J122" s="29"/>
      <c r="K122" s="30"/>
      <c r="L122" s="29" t="s">
        <v>72</v>
      </c>
      <c r="M122" s="31">
        <v>8340</v>
      </c>
      <c r="N122" s="31">
        <v>2085</v>
      </c>
      <c r="O122" s="31">
        <v>10425</v>
      </c>
      <c r="P122" s="31">
        <f>VLOOKUP(F122,'[3]1ª PARCELA'!$E$5:$H$889,4,FALSE)</f>
        <v>10425</v>
      </c>
      <c r="Q122" s="31" t="b">
        <f t="shared" si="1"/>
        <v>1</v>
      </c>
      <c r="R122" s="32">
        <v>45895</v>
      </c>
      <c r="S122" s="29">
        <v>19863</v>
      </c>
      <c r="T122" s="29" t="s">
        <v>521</v>
      </c>
      <c r="U122" s="33" t="s">
        <v>522</v>
      </c>
    </row>
    <row r="123" spans="1:21" ht="28.5" customHeight="1" x14ac:dyDescent="0.3">
      <c r="A123" s="27">
        <v>120</v>
      </c>
      <c r="B123" s="28">
        <v>2025</v>
      </c>
      <c r="C123" s="29" t="s">
        <v>506</v>
      </c>
      <c r="D123" s="30" t="s">
        <v>523</v>
      </c>
      <c r="E123" s="29">
        <v>29091470</v>
      </c>
      <c r="F123" s="29">
        <v>1105266</v>
      </c>
      <c r="G123" s="30" t="s">
        <v>524</v>
      </c>
      <c r="H123" s="29">
        <v>1460</v>
      </c>
      <c r="I123" s="29">
        <v>1</v>
      </c>
      <c r="J123" s="29"/>
      <c r="K123" s="30"/>
      <c r="L123" s="29" t="s">
        <v>72</v>
      </c>
      <c r="M123" s="31">
        <v>12420</v>
      </c>
      <c r="N123" s="31">
        <v>3105</v>
      </c>
      <c r="O123" s="31">
        <v>15525</v>
      </c>
      <c r="P123" s="31">
        <f>VLOOKUP(F123,'[3]1ª PARCELA'!$E$5:$H$889,4,FALSE)</f>
        <v>15525</v>
      </c>
      <c r="Q123" s="31" t="b">
        <f t="shared" si="1"/>
        <v>1</v>
      </c>
      <c r="R123" s="32">
        <v>45895</v>
      </c>
      <c r="S123" s="29">
        <v>19863</v>
      </c>
      <c r="T123" s="29" t="s">
        <v>525</v>
      </c>
      <c r="U123" s="33" t="s">
        <v>526</v>
      </c>
    </row>
    <row r="124" spans="1:21" ht="28.5" customHeight="1" x14ac:dyDescent="0.3">
      <c r="A124" s="27">
        <v>121</v>
      </c>
      <c r="B124" s="28">
        <v>2025</v>
      </c>
      <c r="C124" s="29" t="s">
        <v>506</v>
      </c>
      <c r="D124" s="30" t="s">
        <v>527</v>
      </c>
      <c r="E124" s="29">
        <v>29092191</v>
      </c>
      <c r="F124" s="29">
        <v>1105169</v>
      </c>
      <c r="G124" s="30" t="s">
        <v>528</v>
      </c>
      <c r="H124" s="29">
        <v>885</v>
      </c>
      <c r="I124" s="29">
        <v>1</v>
      </c>
      <c r="J124" s="29"/>
      <c r="K124" s="30"/>
      <c r="L124" s="29" t="s">
        <v>72</v>
      </c>
      <c r="M124" s="31">
        <v>6842.5</v>
      </c>
      <c r="N124" s="31">
        <v>2932.5</v>
      </c>
      <c r="O124" s="31">
        <v>9775</v>
      </c>
      <c r="P124" s="31">
        <f>VLOOKUP(F124,'[3]1ª PARCELA'!$E$5:$H$889,4,FALSE)</f>
        <v>9775</v>
      </c>
      <c r="Q124" s="31" t="b">
        <f t="shared" si="1"/>
        <v>1</v>
      </c>
      <c r="R124" s="32">
        <v>45793</v>
      </c>
      <c r="S124" s="29">
        <v>9173</v>
      </c>
      <c r="T124" s="29" t="s">
        <v>529</v>
      </c>
      <c r="U124" s="33" t="s">
        <v>530</v>
      </c>
    </row>
    <row r="125" spans="1:21" ht="28.5" customHeight="1" x14ac:dyDescent="0.3">
      <c r="A125" s="27">
        <v>122</v>
      </c>
      <c r="B125" s="28">
        <v>2025</v>
      </c>
      <c r="C125" s="29" t="s">
        <v>506</v>
      </c>
      <c r="D125" s="30" t="s">
        <v>527</v>
      </c>
      <c r="E125" s="29">
        <v>29092213</v>
      </c>
      <c r="F125" s="29">
        <v>1105100</v>
      </c>
      <c r="G125" s="30" t="s">
        <v>531</v>
      </c>
      <c r="H125" s="29">
        <v>418</v>
      </c>
      <c r="I125" s="29">
        <v>1</v>
      </c>
      <c r="J125" s="29"/>
      <c r="K125" s="30"/>
      <c r="L125" s="29" t="s">
        <v>72</v>
      </c>
      <c r="M125" s="31">
        <v>4868.5</v>
      </c>
      <c r="N125" s="31">
        <v>2086.5</v>
      </c>
      <c r="O125" s="31">
        <v>6955</v>
      </c>
      <c r="P125" s="31">
        <f>VLOOKUP(F125,'[3]1ª PARCELA'!$E$5:$H$889,4,FALSE)</f>
        <v>6955</v>
      </c>
      <c r="Q125" s="31" t="b">
        <f t="shared" si="1"/>
        <v>1</v>
      </c>
      <c r="R125" s="32">
        <v>45793</v>
      </c>
      <c r="S125" s="29">
        <v>9173</v>
      </c>
      <c r="T125" s="29" t="s">
        <v>532</v>
      </c>
      <c r="U125" s="33" t="s">
        <v>533</v>
      </c>
    </row>
    <row r="126" spans="1:21" ht="28.5" customHeight="1" x14ac:dyDescent="0.3">
      <c r="A126" s="27">
        <v>123</v>
      </c>
      <c r="B126" s="28">
        <v>2025</v>
      </c>
      <c r="C126" s="29" t="s">
        <v>534</v>
      </c>
      <c r="D126" s="30" t="s">
        <v>535</v>
      </c>
      <c r="E126" s="29">
        <v>29092744</v>
      </c>
      <c r="F126" s="29">
        <v>1109423</v>
      </c>
      <c r="G126" s="30" t="s">
        <v>536</v>
      </c>
      <c r="H126" s="29">
        <v>376</v>
      </c>
      <c r="I126" s="29">
        <v>1</v>
      </c>
      <c r="J126" s="29"/>
      <c r="K126" s="30"/>
      <c r="L126" s="29" t="s">
        <v>72</v>
      </c>
      <c r="M126" s="31">
        <v>3748</v>
      </c>
      <c r="N126" s="31">
        <v>937</v>
      </c>
      <c r="O126" s="31">
        <v>4685</v>
      </c>
      <c r="P126" s="31">
        <f>VLOOKUP(F126,'[3]1ª PARCELA'!$E$5:$H$889,4,FALSE)</f>
        <v>4685</v>
      </c>
      <c r="Q126" s="31" t="b">
        <f t="shared" si="1"/>
        <v>1</v>
      </c>
      <c r="R126" s="32">
        <v>45833</v>
      </c>
      <c r="S126" s="29">
        <v>13120</v>
      </c>
      <c r="T126" s="29" t="s">
        <v>537</v>
      </c>
      <c r="U126" s="33" t="s">
        <v>538</v>
      </c>
    </row>
    <row r="127" spans="1:21" ht="28.5" customHeight="1" x14ac:dyDescent="0.3">
      <c r="A127" s="27">
        <v>124</v>
      </c>
      <c r="B127" s="28">
        <v>2025</v>
      </c>
      <c r="C127" s="29" t="s">
        <v>506</v>
      </c>
      <c r="D127" s="30" t="s">
        <v>539</v>
      </c>
      <c r="E127" s="29">
        <v>29093260</v>
      </c>
      <c r="F127" s="29">
        <v>1106335</v>
      </c>
      <c r="G127" s="30" t="s">
        <v>540</v>
      </c>
      <c r="H127" s="29">
        <v>477</v>
      </c>
      <c r="I127" s="29">
        <v>1</v>
      </c>
      <c r="J127" s="29"/>
      <c r="K127" s="30"/>
      <c r="L127" s="29" t="s">
        <v>72</v>
      </c>
      <c r="M127" s="31">
        <v>4556</v>
      </c>
      <c r="N127" s="31">
        <v>1139</v>
      </c>
      <c r="O127" s="31">
        <v>5695</v>
      </c>
      <c r="P127" s="31">
        <f>VLOOKUP(F127,'[3]1ª PARCELA'!$E$5:$H$889,4,FALSE)</f>
        <v>5695</v>
      </c>
      <c r="Q127" s="31" t="b">
        <f t="shared" si="1"/>
        <v>1</v>
      </c>
      <c r="R127" s="32">
        <v>45793</v>
      </c>
      <c r="S127" s="29">
        <v>9173</v>
      </c>
      <c r="T127" s="29" t="s">
        <v>541</v>
      </c>
      <c r="U127" s="33" t="s">
        <v>542</v>
      </c>
    </row>
    <row r="128" spans="1:21" ht="28.5" customHeight="1" x14ac:dyDescent="0.3">
      <c r="A128" s="27">
        <v>125</v>
      </c>
      <c r="B128" s="28">
        <v>2025</v>
      </c>
      <c r="C128" s="29" t="s">
        <v>506</v>
      </c>
      <c r="D128" s="30" t="s">
        <v>539</v>
      </c>
      <c r="E128" s="29">
        <v>29093279</v>
      </c>
      <c r="F128" s="29">
        <v>1106742</v>
      </c>
      <c r="G128" s="30" t="s">
        <v>543</v>
      </c>
      <c r="H128" s="29">
        <v>1478</v>
      </c>
      <c r="I128" s="29">
        <v>1</v>
      </c>
      <c r="J128" s="29"/>
      <c r="K128" s="30"/>
      <c r="L128" s="29" t="s">
        <v>72</v>
      </c>
      <c r="M128" s="31">
        <v>12564</v>
      </c>
      <c r="N128" s="31">
        <v>3141</v>
      </c>
      <c r="O128" s="31">
        <v>15705</v>
      </c>
      <c r="P128" s="31">
        <f>VLOOKUP(F128,'[3]1ª PARCELA'!$E$5:$H$889,4,FALSE)</f>
        <v>15705</v>
      </c>
      <c r="Q128" s="31" t="b">
        <f t="shared" si="1"/>
        <v>1</v>
      </c>
      <c r="R128" s="32">
        <v>45833</v>
      </c>
      <c r="S128" s="29">
        <v>13120</v>
      </c>
      <c r="T128" s="29" t="s">
        <v>544</v>
      </c>
      <c r="U128" s="33" t="s">
        <v>545</v>
      </c>
    </row>
    <row r="129" spans="1:21" ht="28.5" customHeight="1" x14ac:dyDescent="0.3">
      <c r="A129" s="27">
        <v>126</v>
      </c>
      <c r="B129" s="28">
        <v>2025</v>
      </c>
      <c r="C129" s="29" t="s">
        <v>506</v>
      </c>
      <c r="D129" s="30" t="s">
        <v>539</v>
      </c>
      <c r="E129" s="29">
        <v>29093295</v>
      </c>
      <c r="F129" s="29">
        <v>1142994</v>
      </c>
      <c r="G129" s="30" t="s">
        <v>546</v>
      </c>
      <c r="H129" s="29">
        <v>247</v>
      </c>
      <c r="I129" s="29">
        <v>1</v>
      </c>
      <c r="J129" s="29"/>
      <c r="K129" s="30"/>
      <c r="L129" s="29" t="s">
        <v>72</v>
      </c>
      <c r="M129" s="31">
        <v>2716</v>
      </c>
      <c r="N129" s="31">
        <v>679</v>
      </c>
      <c r="O129" s="31">
        <v>3395</v>
      </c>
      <c r="P129" s="31">
        <f>VLOOKUP(F129,'[3]1ª PARCELA'!$E$5:$H$889,4,FALSE)</f>
        <v>3395</v>
      </c>
      <c r="Q129" s="31" t="b">
        <f t="shared" si="1"/>
        <v>1</v>
      </c>
      <c r="R129" s="32">
        <v>45833</v>
      </c>
      <c r="S129" s="29">
        <v>13120</v>
      </c>
      <c r="T129" s="29" t="s">
        <v>547</v>
      </c>
      <c r="U129" s="33" t="s">
        <v>548</v>
      </c>
    </row>
    <row r="130" spans="1:21" ht="28.5" customHeight="1" x14ac:dyDescent="0.3">
      <c r="A130" s="27">
        <v>127</v>
      </c>
      <c r="B130" s="28">
        <v>2025</v>
      </c>
      <c r="C130" s="29" t="s">
        <v>506</v>
      </c>
      <c r="D130" s="30" t="s">
        <v>539</v>
      </c>
      <c r="E130" s="29">
        <v>29093317</v>
      </c>
      <c r="F130" s="29">
        <v>1105878</v>
      </c>
      <c r="G130" s="30" t="s">
        <v>549</v>
      </c>
      <c r="H130" s="29">
        <v>988</v>
      </c>
      <c r="I130" s="29">
        <v>1</v>
      </c>
      <c r="J130" s="29"/>
      <c r="K130" s="30"/>
      <c r="L130" s="29" t="s">
        <v>72</v>
      </c>
      <c r="M130" s="31">
        <v>7563.5</v>
      </c>
      <c r="N130" s="31">
        <v>3241.5</v>
      </c>
      <c r="O130" s="31">
        <v>10805</v>
      </c>
      <c r="P130" s="31">
        <f>VLOOKUP(F130,'[3]1ª PARCELA'!$E$5:$H$889,4,FALSE)</f>
        <v>10805</v>
      </c>
      <c r="Q130" s="31" t="b">
        <f t="shared" si="1"/>
        <v>1</v>
      </c>
      <c r="R130" s="32">
        <v>45793</v>
      </c>
      <c r="S130" s="29">
        <v>9173</v>
      </c>
      <c r="T130" s="29" t="s">
        <v>550</v>
      </c>
      <c r="U130" s="33" t="s">
        <v>551</v>
      </c>
    </row>
    <row r="131" spans="1:21" ht="28.5" customHeight="1" x14ac:dyDescent="0.3">
      <c r="A131" s="27">
        <v>128</v>
      </c>
      <c r="B131" s="28">
        <v>2025</v>
      </c>
      <c r="C131" s="29" t="s">
        <v>506</v>
      </c>
      <c r="D131" s="30" t="s">
        <v>539</v>
      </c>
      <c r="E131" s="29">
        <v>29093341</v>
      </c>
      <c r="F131" s="29">
        <v>1160607</v>
      </c>
      <c r="G131" s="30" t="s">
        <v>552</v>
      </c>
      <c r="H131" s="29">
        <v>372</v>
      </c>
      <c r="I131" s="29">
        <v>1</v>
      </c>
      <c r="J131" s="29"/>
      <c r="K131" s="30"/>
      <c r="L131" s="29" t="s">
        <v>72</v>
      </c>
      <c r="M131" s="31">
        <v>5196</v>
      </c>
      <c r="N131" s="31">
        <v>1299</v>
      </c>
      <c r="O131" s="31">
        <v>6495</v>
      </c>
      <c r="P131" s="31">
        <f>VLOOKUP(F131,'[3]1ª PARCELA'!$E$5:$H$889,4,FALSE)</f>
        <v>6495</v>
      </c>
      <c r="Q131" s="31" t="b">
        <f t="shared" si="1"/>
        <v>1</v>
      </c>
      <c r="R131" s="32">
        <v>45805</v>
      </c>
      <c r="S131" s="29">
        <v>9678</v>
      </c>
      <c r="T131" s="29" t="s">
        <v>553</v>
      </c>
      <c r="U131" s="33" t="s">
        <v>554</v>
      </c>
    </row>
    <row r="132" spans="1:21" ht="28.5" customHeight="1" x14ac:dyDescent="0.3">
      <c r="A132" s="27">
        <v>129</v>
      </c>
      <c r="B132" s="28">
        <v>2025</v>
      </c>
      <c r="C132" s="29" t="s">
        <v>506</v>
      </c>
      <c r="D132" s="30" t="s">
        <v>539</v>
      </c>
      <c r="E132" s="29">
        <v>29093350</v>
      </c>
      <c r="F132" s="29">
        <v>1106289</v>
      </c>
      <c r="G132" s="30" t="s">
        <v>555</v>
      </c>
      <c r="H132" s="29">
        <v>1081</v>
      </c>
      <c r="I132" s="29">
        <v>1</v>
      </c>
      <c r="J132" s="29"/>
      <c r="K132" s="30"/>
      <c r="L132" s="29" t="s">
        <v>72</v>
      </c>
      <c r="M132" s="31">
        <v>5867.5</v>
      </c>
      <c r="N132" s="31">
        <v>5867.5</v>
      </c>
      <c r="O132" s="31">
        <v>11735</v>
      </c>
      <c r="P132" s="31">
        <f>VLOOKUP(F132,'[3]1ª PARCELA'!$E$5:$H$889,4,FALSE)</f>
        <v>11735</v>
      </c>
      <c r="Q132" s="31" t="b">
        <f t="shared" si="1"/>
        <v>1</v>
      </c>
      <c r="R132" s="32">
        <v>45793</v>
      </c>
      <c r="S132" s="29">
        <v>9173</v>
      </c>
      <c r="T132" s="29" t="s">
        <v>556</v>
      </c>
      <c r="U132" s="33" t="s">
        <v>557</v>
      </c>
    </row>
    <row r="133" spans="1:21" ht="28.5" customHeight="1" x14ac:dyDescent="0.3">
      <c r="A133" s="27">
        <v>130</v>
      </c>
      <c r="B133" s="28">
        <v>2025</v>
      </c>
      <c r="C133" s="29" t="s">
        <v>506</v>
      </c>
      <c r="D133" s="30" t="s">
        <v>539</v>
      </c>
      <c r="E133" s="29">
        <v>29093457</v>
      </c>
      <c r="F133" s="29">
        <v>1105754</v>
      </c>
      <c r="G133" s="30" t="s">
        <v>558</v>
      </c>
      <c r="H133" s="29">
        <v>2950</v>
      </c>
      <c r="I133" s="29">
        <v>1</v>
      </c>
      <c r="J133" s="29"/>
      <c r="K133" s="30"/>
      <c r="L133" s="29" t="s">
        <v>72</v>
      </c>
      <c r="M133" s="31">
        <v>24340</v>
      </c>
      <c r="N133" s="31">
        <v>6085</v>
      </c>
      <c r="O133" s="31">
        <v>30425</v>
      </c>
      <c r="P133" s="31">
        <f>VLOOKUP(F133,'[3]1ª PARCELA'!$E$5:$H$889,4,FALSE)</f>
        <v>30425</v>
      </c>
      <c r="Q133" s="31" t="b">
        <f t="shared" ref="Q133:Q196" si="2">O133=P133</f>
        <v>1</v>
      </c>
      <c r="R133" s="32">
        <v>45895</v>
      </c>
      <c r="S133" s="29">
        <v>19863</v>
      </c>
      <c r="T133" s="29" t="s">
        <v>559</v>
      </c>
      <c r="U133" s="33" t="s">
        <v>560</v>
      </c>
    </row>
    <row r="134" spans="1:21" ht="28.5" customHeight="1" x14ac:dyDescent="0.3">
      <c r="A134" s="27">
        <v>131</v>
      </c>
      <c r="B134" s="28">
        <v>2025</v>
      </c>
      <c r="C134" s="29" t="s">
        <v>506</v>
      </c>
      <c r="D134" s="30" t="s">
        <v>539</v>
      </c>
      <c r="E134" s="29">
        <v>29093473</v>
      </c>
      <c r="F134" s="29">
        <v>1176068</v>
      </c>
      <c r="G134" s="30" t="s">
        <v>561</v>
      </c>
      <c r="H134" s="29">
        <v>579</v>
      </c>
      <c r="I134" s="29">
        <v>1</v>
      </c>
      <c r="J134" s="29"/>
      <c r="K134" s="30"/>
      <c r="L134" s="29" t="s">
        <v>72</v>
      </c>
      <c r="M134" s="31">
        <v>5372</v>
      </c>
      <c r="N134" s="31">
        <v>1343</v>
      </c>
      <c r="O134" s="31">
        <v>6715</v>
      </c>
      <c r="P134" s="31">
        <f>VLOOKUP(F134,'[3]1ª PARCELA'!$E$5:$H$889,4,FALSE)</f>
        <v>6715</v>
      </c>
      <c r="Q134" s="31" t="b">
        <f t="shared" si="2"/>
        <v>1</v>
      </c>
      <c r="R134" s="32">
        <v>45833</v>
      </c>
      <c r="S134" s="29">
        <v>13120</v>
      </c>
      <c r="T134" s="29" t="s">
        <v>562</v>
      </c>
      <c r="U134" s="33" t="s">
        <v>563</v>
      </c>
    </row>
    <row r="135" spans="1:21" ht="28.5" customHeight="1" x14ac:dyDescent="0.3">
      <c r="A135" s="27">
        <v>132</v>
      </c>
      <c r="B135" s="28">
        <v>2025</v>
      </c>
      <c r="C135" s="29" t="s">
        <v>506</v>
      </c>
      <c r="D135" s="30" t="s">
        <v>539</v>
      </c>
      <c r="E135" s="29">
        <v>29093511</v>
      </c>
      <c r="F135" s="29">
        <v>1105916</v>
      </c>
      <c r="G135" s="30" t="s">
        <v>564</v>
      </c>
      <c r="H135" s="29">
        <v>1955</v>
      </c>
      <c r="I135" s="29">
        <v>1</v>
      </c>
      <c r="J135" s="29"/>
      <c r="K135" s="30"/>
      <c r="L135" s="29" t="s">
        <v>72</v>
      </c>
      <c r="M135" s="31">
        <v>16380</v>
      </c>
      <c r="N135" s="31">
        <v>4095</v>
      </c>
      <c r="O135" s="31">
        <v>20475</v>
      </c>
      <c r="P135" s="31">
        <f>VLOOKUP(F135,'[3]1ª PARCELA'!$E$5:$H$889,4,FALSE)</f>
        <v>20475</v>
      </c>
      <c r="Q135" s="31" t="b">
        <f t="shared" si="2"/>
        <v>1</v>
      </c>
      <c r="R135" s="32">
        <v>45793</v>
      </c>
      <c r="S135" s="29">
        <v>9173</v>
      </c>
      <c r="T135" s="29" t="s">
        <v>565</v>
      </c>
      <c r="U135" s="33" t="s">
        <v>566</v>
      </c>
    </row>
    <row r="136" spans="1:21" ht="28.5" customHeight="1" x14ac:dyDescent="0.3">
      <c r="A136" s="27">
        <v>133</v>
      </c>
      <c r="B136" s="28">
        <v>2025</v>
      </c>
      <c r="C136" s="29" t="s">
        <v>506</v>
      </c>
      <c r="D136" s="30" t="s">
        <v>539</v>
      </c>
      <c r="E136" s="29">
        <v>29093520</v>
      </c>
      <c r="F136" s="29">
        <v>1105975</v>
      </c>
      <c r="G136" s="30" t="s">
        <v>567</v>
      </c>
      <c r="H136" s="29">
        <v>1425</v>
      </c>
      <c r="I136" s="29">
        <v>1</v>
      </c>
      <c r="J136" s="29"/>
      <c r="K136" s="30"/>
      <c r="L136" s="29" t="s">
        <v>72</v>
      </c>
      <c r="M136" s="31">
        <v>12140</v>
      </c>
      <c r="N136" s="31">
        <v>3035</v>
      </c>
      <c r="O136" s="31">
        <v>15175</v>
      </c>
      <c r="P136" s="31">
        <f>VLOOKUP(F136,'[3]1ª PARCELA'!$E$5:$H$889,4,FALSE)</f>
        <v>15175</v>
      </c>
      <c r="Q136" s="31" t="b">
        <f t="shared" si="2"/>
        <v>1</v>
      </c>
      <c r="R136" s="32">
        <v>45805</v>
      </c>
      <c r="S136" s="29">
        <v>9678</v>
      </c>
      <c r="T136" s="29" t="s">
        <v>568</v>
      </c>
      <c r="U136" s="33" t="s">
        <v>569</v>
      </c>
    </row>
    <row r="137" spans="1:21" ht="28.5" customHeight="1" x14ac:dyDescent="0.3">
      <c r="A137" s="27">
        <v>134</v>
      </c>
      <c r="B137" s="28">
        <v>2025</v>
      </c>
      <c r="C137" s="29" t="s">
        <v>506</v>
      </c>
      <c r="D137" s="30" t="s">
        <v>539</v>
      </c>
      <c r="E137" s="29">
        <v>29093546</v>
      </c>
      <c r="F137" s="29">
        <v>1106467</v>
      </c>
      <c r="G137" s="30" t="s">
        <v>570</v>
      </c>
      <c r="H137" s="29">
        <v>1190</v>
      </c>
      <c r="I137" s="29">
        <v>1</v>
      </c>
      <c r="J137" s="29"/>
      <c r="K137" s="30"/>
      <c r="L137" s="29" t="s">
        <v>72</v>
      </c>
      <c r="M137" s="31">
        <v>10260</v>
      </c>
      <c r="N137" s="31">
        <v>2565</v>
      </c>
      <c r="O137" s="31">
        <v>12825</v>
      </c>
      <c r="P137" s="31">
        <f>VLOOKUP(F137,'[3]1ª PARCELA'!$E$5:$H$889,4,FALSE)</f>
        <v>12825</v>
      </c>
      <c r="Q137" s="31" t="b">
        <f t="shared" si="2"/>
        <v>1</v>
      </c>
      <c r="R137" s="32">
        <v>45849</v>
      </c>
      <c r="S137" s="29">
        <v>15915</v>
      </c>
      <c r="T137" s="29" t="s">
        <v>571</v>
      </c>
      <c r="U137" s="33" t="s">
        <v>572</v>
      </c>
    </row>
    <row r="138" spans="1:21" ht="28.5" customHeight="1" x14ac:dyDescent="0.3">
      <c r="A138" s="27">
        <v>135</v>
      </c>
      <c r="B138" s="28">
        <v>2025</v>
      </c>
      <c r="C138" s="29" t="s">
        <v>506</v>
      </c>
      <c r="D138" s="30" t="s">
        <v>539</v>
      </c>
      <c r="E138" s="29">
        <v>29093554</v>
      </c>
      <c r="F138" s="29">
        <v>1106491</v>
      </c>
      <c r="G138" s="30" t="s">
        <v>573</v>
      </c>
      <c r="H138" s="29">
        <v>477</v>
      </c>
      <c r="I138" s="29">
        <v>1</v>
      </c>
      <c r="J138" s="29"/>
      <c r="K138" s="30"/>
      <c r="L138" s="29" t="s">
        <v>72</v>
      </c>
      <c r="M138" s="31">
        <v>4556</v>
      </c>
      <c r="N138" s="31">
        <v>1139</v>
      </c>
      <c r="O138" s="31">
        <v>5695</v>
      </c>
      <c r="P138" s="31">
        <f>VLOOKUP(F138,'[3]1ª PARCELA'!$E$5:$H$889,4,FALSE)</f>
        <v>5695</v>
      </c>
      <c r="Q138" s="31" t="b">
        <f t="shared" si="2"/>
        <v>1</v>
      </c>
      <c r="R138" s="32">
        <v>45967</v>
      </c>
      <c r="S138" s="29">
        <v>29630</v>
      </c>
      <c r="T138" s="29" t="s">
        <v>574</v>
      </c>
      <c r="U138" s="33" t="s">
        <v>575</v>
      </c>
    </row>
    <row r="139" spans="1:21" ht="28.5" customHeight="1" x14ac:dyDescent="0.3">
      <c r="A139" s="27">
        <v>136</v>
      </c>
      <c r="B139" s="28">
        <v>2025</v>
      </c>
      <c r="C139" s="29" t="s">
        <v>506</v>
      </c>
      <c r="D139" s="30" t="s">
        <v>539</v>
      </c>
      <c r="E139" s="29">
        <v>29093570</v>
      </c>
      <c r="F139" s="29">
        <v>1106238</v>
      </c>
      <c r="G139" s="30" t="s">
        <v>576</v>
      </c>
      <c r="H139" s="29">
        <v>176</v>
      </c>
      <c r="I139" s="29">
        <v>1</v>
      </c>
      <c r="J139" s="29"/>
      <c r="K139" s="30"/>
      <c r="L139" s="29" t="s">
        <v>72</v>
      </c>
      <c r="M139" s="31">
        <v>2148</v>
      </c>
      <c r="N139" s="31">
        <v>537</v>
      </c>
      <c r="O139" s="31">
        <v>2685</v>
      </c>
      <c r="P139" s="31">
        <f>VLOOKUP(F139,'[3]1ª PARCELA'!$E$5:$H$889,4,FALSE)</f>
        <v>2685</v>
      </c>
      <c r="Q139" s="31" t="b">
        <f t="shared" si="2"/>
        <v>1</v>
      </c>
      <c r="R139" s="32">
        <v>45793</v>
      </c>
      <c r="S139" s="29">
        <v>9173</v>
      </c>
      <c r="T139" s="29" t="s">
        <v>577</v>
      </c>
      <c r="U139" s="33" t="s">
        <v>578</v>
      </c>
    </row>
    <row r="140" spans="1:21" ht="28.5" customHeight="1" x14ac:dyDescent="0.3">
      <c r="A140" s="27">
        <v>137</v>
      </c>
      <c r="B140" s="28">
        <v>2025</v>
      </c>
      <c r="C140" s="29" t="s">
        <v>506</v>
      </c>
      <c r="D140" s="30" t="s">
        <v>539</v>
      </c>
      <c r="E140" s="29">
        <v>29093660</v>
      </c>
      <c r="F140" s="29">
        <v>1105886</v>
      </c>
      <c r="G140" s="30" t="s">
        <v>579</v>
      </c>
      <c r="H140" s="29">
        <v>977</v>
      </c>
      <c r="I140" s="29">
        <v>1</v>
      </c>
      <c r="J140" s="29"/>
      <c r="K140" s="30"/>
      <c r="L140" s="29" t="s">
        <v>72</v>
      </c>
      <c r="M140" s="31">
        <v>8556</v>
      </c>
      <c r="N140" s="31">
        <v>2139</v>
      </c>
      <c r="O140" s="31">
        <v>10695</v>
      </c>
      <c r="P140" s="31">
        <f>VLOOKUP(F140,'[3]1ª PARCELA'!$E$5:$H$889,4,FALSE)</f>
        <v>10695</v>
      </c>
      <c r="Q140" s="31" t="b">
        <f t="shared" si="2"/>
        <v>1</v>
      </c>
      <c r="R140" s="32">
        <v>45926</v>
      </c>
      <c r="S140" s="29">
        <v>24529</v>
      </c>
      <c r="T140" s="29" t="s">
        <v>580</v>
      </c>
      <c r="U140" s="33" t="s">
        <v>581</v>
      </c>
    </row>
    <row r="141" spans="1:21" ht="28.5" customHeight="1" x14ac:dyDescent="0.3">
      <c r="A141" s="27">
        <v>138</v>
      </c>
      <c r="B141" s="28">
        <v>2025</v>
      </c>
      <c r="C141" s="29" t="s">
        <v>506</v>
      </c>
      <c r="D141" s="30" t="s">
        <v>539</v>
      </c>
      <c r="E141" s="29">
        <v>29094100</v>
      </c>
      <c r="F141" s="29">
        <v>1106386</v>
      </c>
      <c r="G141" s="30" t="s">
        <v>582</v>
      </c>
      <c r="H141" s="29">
        <v>1660</v>
      </c>
      <c r="I141" s="29">
        <v>1</v>
      </c>
      <c r="J141" s="29"/>
      <c r="K141" s="30"/>
      <c r="L141" s="29" t="s">
        <v>72</v>
      </c>
      <c r="M141" s="31">
        <v>10515</v>
      </c>
      <c r="N141" s="31">
        <v>7010</v>
      </c>
      <c r="O141" s="31">
        <v>17525</v>
      </c>
      <c r="P141" s="31">
        <f>VLOOKUP(F141,'[3]1ª PARCELA'!$E$5:$H$889,4,FALSE)</f>
        <v>17525</v>
      </c>
      <c r="Q141" s="31" t="b">
        <f t="shared" si="2"/>
        <v>1</v>
      </c>
      <c r="R141" s="32">
        <v>45793</v>
      </c>
      <c r="S141" s="29">
        <v>9173</v>
      </c>
      <c r="T141" s="29" t="s">
        <v>583</v>
      </c>
      <c r="U141" s="33" t="s">
        <v>584</v>
      </c>
    </row>
    <row r="142" spans="1:21" ht="28.5" customHeight="1" x14ac:dyDescent="0.3">
      <c r="A142" s="27">
        <v>139</v>
      </c>
      <c r="B142" s="28">
        <v>2025</v>
      </c>
      <c r="C142" s="29" t="s">
        <v>506</v>
      </c>
      <c r="D142" s="30" t="s">
        <v>539</v>
      </c>
      <c r="E142" s="29">
        <v>29094151</v>
      </c>
      <c r="F142" s="29">
        <v>1106297</v>
      </c>
      <c r="G142" s="30" t="s">
        <v>585</v>
      </c>
      <c r="H142" s="29">
        <v>816</v>
      </c>
      <c r="I142" s="29">
        <v>1</v>
      </c>
      <c r="J142" s="29"/>
      <c r="K142" s="30"/>
      <c r="L142" s="29" t="s">
        <v>72</v>
      </c>
      <c r="M142" s="31">
        <v>7268</v>
      </c>
      <c r="N142" s="31">
        <v>1817</v>
      </c>
      <c r="O142" s="31">
        <v>9085</v>
      </c>
      <c r="P142" s="31">
        <f>VLOOKUP(F142,'[3]1ª PARCELA'!$E$5:$H$889,4,FALSE)</f>
        <v>9085</v>
      </c>
      <c r="Q142" s="31" t="b">
        <f t="shared" si="2"/>
        <v>1</v>
      </c>
      <c r="R142" s="32">
        <v>45833</v>
      </c>
      <c r="S142" s="29">
        <v>13120</v>
      </c>
      <c r="T142" s="29" t="s">
        <v>586</v>
      </c>
      <c r="U142" s="33" t="s">
        <v>587</v>
      </c>
    </row>
    <row r="143" spans="1:21" ht="28.5" customHeight="1" x14ac:dyDescent="0.3">
      <c r="A143" s="27">
        <v>140</v>
      </c>
      <c r="B143" s="28">
        <v>2025</v>
      </c>
      <c r="C143" s="29" t="s">
        <v>506</v>
      </c>
      <c r="D143" s="30" t="s">
        <v>539</v>
      </c>
      <c r="E143" s="29">
        <v>29094194</v>
      </c>
      <c r="F143" s="29">
        <v>1105940</v>
      </c>
      <c r="G143" s="30" t="s">
        <v>588</v>
      </c>
      <c r="H143" s="29">
        <v>795</v>
      </c>
      <c r="I143" s="29">
        <v>1</v>
      </c>
      <c r="J143" s="29"/>
      <c r="K143" s="30"/>
      <c r="L143" s="29" t="s">
        <v>72</v>
      </c>
      <c r="M143" s="31">
        <v>7100</v>
      </c>
      <c r="N143" s="31">
        <v>1775</v>
      </c>
      <c r="O143" s="31">
        <v>8875</v>
      </c>
      <c r="P143" s="31">
        <f>VLOOKUP(F143,'[3]1ª PARCELA'!$E$5:$H$889,4,FALSE)</f>
        <v>8875</v>
      </c>
      <c r="Q143" s="31" t="b">
        <f t="shared" si="2"/>
        <v>1</v>
      </c>
      <c r="R143" s="32">
        <v>45793</v>
      </c>
      <c r="S143" s="29">
        <v>9173</v>
      </c>
      <c r="T143" s="29" t="s">
        <v>589</v>
      </c>
      <c r="U143" s="33" t="s">
        <v>590</v>
      </c>
    </row>
    <row r="144" spans="1:21" ht="28.5" customHeight="1" x14ac:dyDescent="0.3">
      <c r="A144" s="27">
        <v>141</v>
      </c>
      <c r="B144" s="28">
        <v>2025</v>
      </c>
      <c r="C144" s="29" t="s">
        <v>506</v>
      </c>
      <c r="D144" s="30" t="s">
        <v>539</v>
      </c>
      <c r="E144" s="29">
        <v>29094216</v>
      </c>
      <c r="F144" s="29">
        <v>1106220</v>
      </c>
      <c r="G144" s="30" t="s">
        <v>591</v>
      </c>
      <c r="H144" s="29">
        <v>1021</v>
      </c>
      <c r="I144" s="29">
        <v>1</v>
      </c>
      <c r="J144" s="29"/>
      <c r="K144" s="30"/>
      <c r="L144" s="29" t="s">
        <v>72</v>
      </c>
      <c r="M144" s="31">
        <v>8908</v>
      </c>
      <c r="N144" s="31">
        <v>2227</v>
      </c>
      <c r="O144" s="31">
        <v>11135</v>
      </c>
      <c r="P144" s="31">
        <f>VLOOKUP(F144,'[3]1ª PARCELA'!$E$5:$H$889,4,FALSE)</f>
        <v>11135</v>
      </c>
      <c r="Q144" s="31" t="b">
        <f t="shared" si="2"/>
        <v>1</v>
      </c>
      <c r="R144" s="32">
        <v>45947</v>
      </c>
      <c r="S144" s="29">
        <v>27225</v>
      </c>
      <c r="T144" s="29" t="s">
        <v>592</v>
      </c>
      <c r="U144" s="33" t="s">
        <v>593</v>
      </c>
    </row>
    <row r="145" spans="1:21" ht="28.5" customHeight="1" x14ac:dyDescent="0.3">
      <c r="A145" s="27">
        <v>142</v>
      </c>
      <c r="B145" s="28">
        <v>2025</v>
      </c>
      <c r="C145" s="29" t="s">
        <v>506</v>
      </c>
      <c r="D145" s="30" t="s">
        <v>539</v>
      </c>
      <c r="E145" s="29">
        <v>29094240</v>
      </c>
      <c r="F145" s="29">
        <v>1179770</v>
      </c>
      <c r="G145" s="30" t="s">
        <v>594</v>
      </c>
      <c r="H145" s="29">
        <v>724</v>
      </c>
      <c r="I145" s="29">
        <v>1</v>
      </c>
      <c r="J145" s="29"/>
      <c r="K145" s="30"/>
      <c r="L145" s="29" t="s">
        <v>72</v>
      </c>
      <c r="M145" s="31">
        <v>6532</v>
      </c>
      <c r="N145" s="31">
        <v>1633</v>
      </c>
      <c r="O145" s="31">
        <v>8165</v>
      </c>
      <c r="P145" s="31">
        <f>VLOOKUP(F145,'[3]1ª PARCELA'!$E$5:$H$889,4,FALSE)</f>
        <v>8165</v>
      </c>
      <c r="Q145" s="31" t="b">
        <f t="shared" si="2"/>
        <v>1</v>
      </c>
      <c r="R145" s="32">
        <v>45967</v>
      </c>
      <c r="S145" s="29">
        <v>29630</v>
      </c>
      <c r="T145" s="29" t="s">
        <v>595</v>
      </c>
      <c r="U145" s="33" t="s">
        <v>596</v>
      </c>
    </row>
    <row r="146" spans="1:21" ht="28.5" customHeight="1" x14ac:dyDescent="0.3">
      <c r="A146" s="27">
        <v>143</v>
      </c>
      <c r="B146" s="28">
        <v>2025</v>
      </c>
      <c r="C146" s="29" t="s">
        <v>506</v>
      </c>
      <c r="D146" s="30" t="s">
        <v>539</v>
      </c>
      <c r="E146" s="29">
        <v>29094682</v>
      </c>
      <c r="F146" s="29">
        <v>1106688</v>
      </c>
      <c r="G146" s="30" t="s">
        <v>597</v>
      </c>
      <c r="H146" s="29">
        <v>141</v>
      </c>
      <c r="I146" s="29">
        <v>1</v>
      </c>
      <c r="J146" s="29"/>
      <c r="K146" s="30"/>
      <c r="L146" s="29" t="s">
        <v>72</v>
      </c>
      <c r="M146" s="31">
        <v>1868</v>
      </c>
      <c r="N146" s="31">
        <v>467</v>
      </c>
      <c r="O146" s="31">
        <v>2335</v>
      </c>
      <c r="P146" s="31">
        <f>VLOOKUP(F146,'[3]1ª PARCELA'!$E$5:$H$889,4,FALSE)</f>
        <v>2335</v>
      </c>
      <c r="Q146" s="31" t="b">
        <f t="shared" si="2"/>
        <v>1</v>
      </c>
      <c r="R146" s="32">
        <v>45793</v>
      </c>
      <c r="S146" s="29">
        <v>9173</v>
      </c>
      <c r="T146" s="29" t="s">
        <v>598</v>
      </c>
      <c r="U146" s="33" t="s">
        <v>599</v>
      </c>
    </row>
    <row r="147" spans="1:21" ht="28.5" customHeight="1" x14ac:dyDescent="0.3">
      <c r="A147" s="27">
        <v>144</v>
      </c>
      <c r="B147" s="28">
        <v>2025</v>
      </c>
      <c r="C147" s="29" t="s">
        <v>506</v>
      </c>
      <c r="D147" s="30" t="s">
        <v>539</v>
      </c>
      <c r="E147" s="29">
        <v>29094712</v>
      </c>
      <c r="F147" s="29">
        <v>1106564</v>
      </c>
      <c r="G147" s="30" t="s">
        <v>600</v>
      </c>
      <c r="H147" s="29">
        <v>1268</v>
      </c>
      <c r="I147" s="29">
        <v>1</v>
      </c>
      <c r="J147" s="29"/>
      <c r="K147" s="30"/>
      <c r="L147" s="29" t="s">
        <v>72</v>
      </c>
      <c r="M147" s="31">
        <v>10884</v>
      </c>
      <c r="N147" s="31">
        <v>2721</v>
      </c>
      <c r="O147" s="31">
        <v>13605</v>
      </c>
      <c r="P147" s="31">
        <f>VLOOKUP(F147,'[3]1ª PARCELA'!$E$5:$H$889,4,FALSE)</f>
        <v>13605</v>
      </c>
      <c r="Q147" s="31" t="b">
        <f t="shared" si="2"/>
        <v>1</v>
      </c>
      <c r="R147" s="32">
        <v>45793</v>
      </c>
      <c r="S147" s="29">
        <v>9173</v>
      </c>
      <c r="T147" s="29" t="s">
        <v>601</v>
      </c>
      <c r="U147" s="33" t="s">
        <v>602</v>
      </c>
    </row>
    <row r="148" spans="1:21" ht="28.5" customHeight="1" x14ac:dyDescent="0.3">
      <c r="A148" s="27">
        <v>145</v>
      </c>
      <c r="B148" s="28">
        <v>2025</v>
      </c>
      <c r="C148" s="29" t="s">
        <v>506</v>
      </c>
      <c r="D148" s="30" t="s">
        <v>539</v>
      </c>
      <c r="E148" s="29">
        <v>29095140</v>
      </c>
      <c r="F148" s="29">
        <v>1106270</v>
      </c>
      <c r="G148" s="30" t="s">
        <v>603</v>
      </c>
      <c r="H148" s="29">
        <v>639</v>
      </c>
      <c r="I148" s="29">
        <v>1</v>
      </c>
      <c r="J148" s="29"/>
      <c r="K148" s="30"/>
      <c r="L148" s="29" t="s">
        <v>72</v>
      </c>
      <c r="M148" s="31">
        <v>5852</v>
      </c>
      <c r="N148" s="31">
        <v>1463</v>
      </c>
      <c r="O148" s="31">
        <v>7315</v>
      </c>
      <c r="P148" s="31">
        <f>VLOOKUP(F148,'[3]1ª PARCELA'!$E$5:$H$889,4,FALSE)</f>
        <v>7315</v>
      </c>
      <c r="Q148" s="31" t="b">
        <f t="shared" si="2"/>
        <v>1</v>
      </c>
      <c r="R148" s="32">
        <v>45800</v>
      </c>
      <c r="S148" s="29">
        <v>9563</v>
      </c>
      <c r="T148" s="29" t="s">
        <v>604</v>
      </c>
      <c r="U148" s="33" t="s">
        <v>605</v>
      </c>
    </row>
    <row r="149" spans="1:21" ht="28.5" customHeight="1" x14ac:dyDescent="0.3">
      <c r="A149" s="27">
        <v>146</v>
      </c>
      <c r="B149" s="28">
        <v>2025</v>
      </c>
      <c r="C149" s="29" t="s">
        <v>506</v>
      </c>
      <c r="D149" s="30" t="s">
        <v>539</v>
      </c>
      <c r="E149" s="29">
        <v>29095158</v>
      </c>
      <c r="F149" s="29">
        <v>1179769</v>
      </c>
      <c r="G149" s="30" t="s">
        <v>606</v>
      </c>
      <c r="H149" s="29">
        <v>919</v>
      </c>
      <c r="I149" s="29">
        <v>1</v>
      </c>
      <c r="J149" s="29"/>
      <c r="K149" s="30"/>
      <c r="L149" s="29" t="s">
        <v>72</v>
      </c>
      <c r="M149" s="31">
        <v>8092</v>
      </c>
      <c r="N149" s="31">
        <v>2023</v>
      </c>
      <c r="O149" s="31">
        <v>10115</v>
      </c>
      <c r="P149" s="31">
        <f>VLOOKUP(F149,'[3]1ª PARCELA'!$E$5:$H$889,4,FALSE)</f>
        <v>10115</v>
      </c>
      <c r="Q149" s="31" t="b">
        <f t="shared" si="2"/>
        <v>1</v>
      </c>
      <c r="R149" s="32">
        <v>45967</v>
      </c>
      <c r="S149" s="29">
        <v>29630</v>
      </c>
      <c r="T149" s="29" t="s">
        <v>607</v>
      </c>
      <c r="U149" s="33" t="s">
        <v>608</v>
      </c>
    </row>
    <row r="150" spans="1:21" ht="28.5" customHeight="1" x14ac:dyDescent="0.3">
      <c r="A150" s="27">
        <v>147</v>
      </c>
      <c r="B150" s="28">
        <v>2025</v>
      </c>
      <c r="C150" s="29" t="s">
        <v>506</v>
      </c>
      <c r="D150" s="30" t="s">
        <v>539</v>
      </c>
      <c r="E150" s="29">
        <v>29095166</v>
      </c>
      <c r="F150" s="29">
        <v>1106645</v>
      </c>
      <c r="G150" s="30" t="s">
        <v>609</v>
      </c>
      <c r="H150" s="29">
        <v>1841</v>
      </c>
      <c r="I150" s="29">
        <v>1</v>
      </c>
      <c r="J150" s="29"/>
      <c r="K150" s="30"/>
      <c r="L150" s="29" t="s">
        <v>72</v>
      </c>
      <c r="M150" s="31">
        <v>13534.5</v>
      </c>
      <c r="N150" s="31">
        <v>5800.5</v>
      </c>
      <c r="O150" s="31">
        <v>19335</v>
      </c>
      <c r="P150" s="31">
        <f>VLOOKUP(F150,'[3]1ª PARCELA'!$E$5:$H$889,4,FALSE)</f>
        <v>19335</v>
      </c>
      <c r="Q150" s="31" t="b">
        <f t="shared" si="2"/>
        <v>1</v>
      </c>
      <c r="R150" s="32">
        <v>45833</v>
      </c>
      <c r="S150" s="29">
        <v>13120</v>
      </c>
      <c r="T150" s="29" t="s">
        <v>610</v>
      </c>
      <c r="U150" s="33" t="s">
        <v>611</v>
      </c>
    </row>
    <row r="151" spans="1:21" ht="28.5" customHeight="1" x14ac:dyDescent="0.3">
      <c r="A151" s="27">
        <v>148</v>
      </c>
      <c r="B151" s="28">
        <v>2025</v>
      </c>
      <c r="C151" s="29" t="s">
        <v>506</v>
      </c>
      <c r="D151" s="30" t="s">
        <v>539</v>
      </c>
      <c r="E151" s="29">
        <v>29095190</v>
      </c>
      <c r="F151" s="29">
        <v>1106084</v>
      </c>
      <c r="G151" s="30" t="s">
        <v>612</v>
      </c>
      <c r="H151" s="29">
        <v>874</v>
      </c>
      <c r="I151" s="29">
        <v>1</v>
      </c>
      <c r="J151" s="29"/>
      <c r="K151" s="30"/>
      <c r="L151" s="29" t="s">
        <v>72</v>
      </c>
      <c r="M151" s="31">
        <v>7732</v>
      </c>
      <c r="N151" s="31">
        <v>1933</v>
      </c>
      <c r="O151" s="31">
        <v>9665</v>
      </c>
      <c r="P151" s="31">
        <f>VLOOKUP(F151,'[3]1ª PARCELA'!$E$5:$H$889,4,FALSE)</f>
        <v>9665</v>
      </c>
      <c r="Q151" s="31" t="b">
        <f t="shared" si="2"/>
        <v>1</v>
      </c>
      <c r="R151" s="32">
        <v>45805</v>
      </c>
      <c r="S151" s="29">
        <v>9678</v>
      </c>
      <c r="T151" s="29" t="s">
        <v>613</v>
      </c>
      <c r="U151" s="33" t="s">
        <v>614</v>
      </c>
    </row>
    <row r="152" spans="1:21" ht="28.5" customHeight="1" x14ac:dyDescent="0.3">
      <c r="A152" s="27">
        <v>149</v>
      </c>
      <c r="B152" s="28">
        <v>2025</v>
      </c>
      <c r="C152" s="29" t="s">
        <v>506</v>
      </c>
      <c r="D152" s="30" t="s">
        <v>539</v>
      </c>
      <c r="E152" s="29">
        <v>29095212</v>
      </c>
      <c r="F152" s="29">
        <v>1106599</v>
      </c>
      <c r="G152" s="30" t="s">
        <v>615</v>
      </c>
      <c r="H152" s="29">
        <v>551</v>
      </c>
      <c r="I152" s="29">
        <v>1</v>
      </c>
      <c r="J152" s="29"/>
      <c r="K152" s="30"/>
      <c r="L152" s="29" t="s">
        <v>72</v>
      </c>
      <c r="M152" s="31">
        <v>5148</v>
      </c>
      <c r="N152" s="31">
        <v>1287</v>
      </c>
      <c r="O152" s="31">
        <v>6435</v>
      </c>
      <c r="P152" s="31">
        <f>VLOOKUP(F152,'[3]1ª PARCELA'!$E$5:$H$889,4,FALSE)</f>
        <v>6435</v>
      </c>
      <c r="Q152" s="31" t="b">
        <f t="shared" si="2"/>
        <v>1</v>
      </c>
      <c r="R152" s="32">
        <v>45793</v>
      </c>
      <c r="S152" s="29">
        <v>9173</v>
      </c>
      <c r="T152" s="29" t="s">
        <v>616</v>
      </c>
      <c r="U152" s="33" t="s">
        <v>617</v>
      </c>
    </row>
    <row r="153" spans="1:21" ht="28.5" customHeight="1" x14ac:dyDescent="0.3">
      <c r="A153" s="27">
        <v>150</v>
      </c>
      <c r="B153" s="28">
        <v>2025</v>
      </c>
      <c r="C153" s="29" t="s">
        <v>506</v>
      </c>
      <c r="D153" s="30" t="s">
        <v>539</v>
      </c>
      <c r="E153" s="29">
        <v>29095239</v>
      </c>
      <c r="F153" s="29">
        <v>1106394</v>
      </c>
      <c r="G153" s="30" t="s">
        <v>618</v>
      </c>
      <c r="H153" s="29">
        <v>483</v>
      </c>
      <c r="I153" s="29">
        <v>1</v>
      </c>
      <c r="J153" s="29"/>
      <c r="K153" s="30"/>
      <c r="L153" s="29" t="s">
        <v>72</v>
      </c>
      <c r="M153" s="31">
        <v>6084</v>
      </c>
      <c r="N153" s="31">
        <v>1521</v>
      </c>
      <c r="O153" s="31">
        <v>7605</v>
      </c>
      <c r="P153" s="31">
        <f>VLOOKUP(F153,'[3]1ª PARCELA'!$E$5:$H$889,4,FALSE)</f>
        <v>7605</v>
      </c>
      <c r="Q153" s="31" t="b">
        <f t="shared" si="2"/>
        <v>1</v>
      </c>
      <c r="R153" s="32">
        <v>45967</v>
      </c>
      <c r="S153" s="29">
        <v>29630</v>
      </c>
      <c r="T153" s="29" t="s">
        <v>619</v>
      </c>
      <c r="U153" s="33" t="s">
        <v>620</v>
      </c>
    </row>
    <row r="154" spans="1:21" ht="28.5" customHeight="1" x14ac:dyDescent="0.3">
      <c r="A154" s="27">
        <v>151</v>
      </c>
      <c r="B154" s="28">
        <v>2025</v>
      </c>
      <c r="C154" s="29" t="s">
        <v>506</v>
      </c>
      <c r="D154" s="30" t="s">
        <v>539</v>
      </c>
      <c r="E154" s="29">
        <v>29095999</v>
      </c>
      <c r="F154" s="29">
        <v>1106637</v>
      </c>
      <c r="G154" s="30" t="s">
        <v>621</v>
      </c>
      <c r="H154" s="29">
        <v>347</v>
      </c>
      <c r="I154" s="29">
        <v>1</v>
      </c>
      <c r="J154" s="29"/>
      <c r="K154" s="30"/>
      <c r="L154" s="29" t="s">
        <v>72</v>
      </c>
      <c r="M154" s="31">
        <v>3076.5</v>
      </c>
      <c r="N154" s="31">
        <v>1318.5</v>
      </c>
      <c r="O154" s="31">
        <v>4395</v>
      </c>
      <c r="P154" s="31">
        <f>VLOOKUP(F154,'[3]1ª PARCELA'!$E$5:$H$889,4,FALSE)</f>
        <v>4395</v>
      </c>
      <c r="Q154" s="31" t="b">
        <f t="shared" si="2"/>
        <v>1</v>
      </c>
      <c r="R154" s="32">
        <v>45833</v>
      </c>
      <c r="S154" s="29">
        <v>13120</v>
      </c>
      <c r="T154" s="29" t="s">
        <v>622</v>
      </c>
      <c r="U154" s="33" t="s">
        <v>623</v>
      </c>
    </row>
    <row r="155" spans="1:21" ht="28.5" customHeight="1" x14ac:dyDescent="0.3">
      <c r="A155" s="27">
        <v>152</v>
      </c>
      <c r="B155" s="28">
        <v>2025</v>
      </c>
      <c r="C155" s="29" t="s">
        <v>506</v>
      </c>
      <c r="D155" s="30" t="s">
        <v>539</v>
      </c>
      <c r="E155" s="29">
        <v>29096243</v>
      </c>
      <c r="F155" s="29">
        <v>1105959</v>
      </c>
      <c r="G155" s="30" t="s">
        <v>624</v>
      </c>
      <c r="H155" s="29">
        <v>1733</v>
      </c>
      <c r="I155" s="29">
        <v>1</v>
      </c>
      <c r="J155" s="29"/>
      <c r="K155" s="30"/>
      <c r="L155" s="29" t="s">
        <v>72</v>
      </c>
      <c r="M155" s="31">
        <v>14604</v>
      </c>
      <c r="N155" s="31">
        <v>3651</v>
      </c>
      <c r="O155" s="31">
        <v>18255</v>
      </c>
      <c r="P155" s="31">
        <f>VLOOKUP(F155,'[3]1ª PARCELA'!$E$5:$H$889,4,FALSE)</f>
        <v>18255</v>
      </c>
      <c r="Q155" s="31" t="b">
        <f t="shared" si="2"/>
        <v>1</v>
      </c>
      <c r="R155" s="32">
        <v>45793</v>
      </c>
      <c r="S155" s="29">
        <v>9173</v>
      </c>
      <c r="T155" s="29" t="s">
        <v>625</v>
      </c>
      <c r="U155" s="33" t="s">
        <v>626</v>
      </c>
    </row>
    <row r="156" spans="1:21" ht="28.5" customHeight="1" x14ac:dyDescent="0.3">
      <c r="A156" s="27">
        <v>153</v>
      </c>
      <c r="B156" s="28">
        <v>2025</v>
      </c>
      <c r="C156" s="29" t="s">
        <v>506</v>
      </c>
      <c r="D156" s="30" t="s">
        <v>539</v>
      </c>
      <c r="E156" s="29">
        <v>29096847</v>
      </c>
      <c r="F156" s="29">
        <v>1105932</v>
      </c>
      <c r="G156" s="30" t="s">
        <v>627</v>
      </c>
      <c r="H156" s="29">
        <v>206</v>
      </c>
      <c r="I156" s="29">
        <v>1</v>
      </c>
      <c r="J156" s="29"/>
      <c r="K156" s="30"/>
      <c r="L156" s="29" t="s">
        <v>72</v>
      </c>
      <c r="M156" s="31">
        <v>3868</v>
      </c>
      <c r="N156" s="31">
        <v>967</v>
      </c>
      <c r="O156" s="31">
        <v>4835</v>
      </c>
      <c r="P156" s="31">
        <f>VLOOKUP(F156,'[3]1ª PARCELA'!$E$5:$H$889,4,FALSE)</f>
        <v>4835</v>
      </c>
      <c r="Q156" s="31" t="b">
        <f t="shared" si="2"/>
        <v>1</v>
      </c>
      <c r="R156" s="32">
        <v>45938</v>
      </c>
      <c r="S156" s="29">
        <v>25952</v>
      </c>
      <c r="T156" s="29" t="s">
        <v>628</v>
      </c>
      <c r="U156" s="33" t="s">
        <v>629</v>
      </c>
    </row>
    <row r="157" spans="1:21" ht="28.5" customHeight="1" x14ac:dyDescent="0.3">
      <c r="A157" s="27">
        <v>154</v>
      </c>
      <c r="B157" s="28">
        <v>2025</v>
      </c>
      <c r="C157" s="29" t="s">
        <v>506</v>
      </c>
      <c r="D157" s="30" t="s">
        <v>539</v>
      </c>
      <c r="E157" s="29">
        <v>29097509</v>
      </c>
      <c r="F157" s="29">
        <v>1163894</v>
      </c>
      <c r="G157" s="30" t="s">
        <v>630</v>
      </c>
      <c r="H157" s="29">
        <v>286</v>
      </c>
      <c r="I157" s="29">
        <v>1</v>
      </c>
      <c r="J157" s="29"/>
      <c r="K157" s="30"/>
      <c r="L157" s="29" t="s">
        <v>72</v>
      </c>
      <c r="M157" s="31">
        <v>4508</v>
      </c>
      <c r="N157" s="31">
        <v>1127</v>
      </c>
      <c r="O157" s="31">
        <v>5635</v>
      </c>
      <c r="P157" s="31">
        <f>VLOOKUP(F157,'[3]1ª PARCELA'!$E$5:$H$889,4,FALSE)</f>
        <v>5635</v>
      </c>
      <c r="Q157" s="31" t="b">
        <f t="shared" si="2"/>
        <v>1</v>
      </c>
      <c r="R157" s="32">
        <v>45800</v>
      </c>
      <c r="S157" s="29">
        <v>9563</v>
      </c>
      <c r="T157" s="29" t="s">
        <v>631</v>
      </c>
      <c r="U157" s="33" t="s">
        <v>632</v>
      </c>
    </row>
    <row r="158" spans="1:21" ht="28.5" customHeight="1" x14ac:dyDescent="0.3">
      <c r="A158" s="27">
        <v>155</v>
      </c>
      <c r="B158" s="28">
        <v>2025</v>
      </c>
      <c r="C158" s="29" t="s">
        <v>506</v>
      </c>
      <c r="D158" s="30" t="s">
        <v>539</v>
      </c>
      <c r="E158" s="29">
        <v>29097541</v>
      </c>
      <c r="F158" s="29">
        <v>1106106</v>
      </c>
      <c r="G158" s="30" t="s">
        <v>633</v>
      </c>
      <c r="H158" s="29">
        <v>508</v>
      </c>
      <c r="I158" s="29">
        <v>1</v>
      </c>
      <c r="J158" s="29"/>
      <c r="K158" s="30"/>
      <c r="L158" s="29" t="s">
        <v>72</v>
      </c>
      <c r="M158" s="31">
        <v>6284</v>
      </c>
      <c r="N158" s="31">
        <v>1571</v>
      </c>
      <c r="O158" s="31">
        <v>7855</v>
      </c>
      <c r="P158" s="31">
        <f>VLOOKUP(F158,'[3]1ª PARCELA'!$E$5:$H$889,4,FALSE)</f>
        <v>7855</v>
      </c>
      <c r="Q158" s="31" t="b">
        <f t="shared" si="2"/>
        <v>1</v>
      </c>
      <c r="R158" s="32">
        <v>45945</v>
      </c>
      <c r="S158" s="29">
        <v>27117</v>
      </c>
      <c r="T158" s="29" t="s">
        <v>634</v>
      </c>
      <c r="U158" s="33" t="s">
        <v>635</v>
      </c>
    </row>
    <row r="159" spans="1:21" ht="28.5" customHeight="1" x14ac:dyDescent="0.3">
      <c r="A159" s="27">
        <v>156</v>
      </c>
      <c r="B159" s="28">
        <v>2025</v>
      </c>
      <c r="C159" s="29" t="s">
        <v>506</v>
      </c>
      <c r="D159" s="30" t="s">
        <v>539</v>
      </c>
      <c r="E159" s="29">
        <v>29097665</v>
      </c>
      <c r="F159" s="29">
        <v>1142242</v>
      </c>
      <c r="G159" s="30" t="s">
        <v>636</v>
      </c>
      <c r="H159" s="29">
        <v>984</v>
      </c>
      <c r="I159" s="29">
        <v>1</v>
      </c>
      <c r="J159" s="29"/>
      <c r="K159" s="30"/>
      <c r="L159" s="29" t="s">
        <v>72</v>
      </c>
      <c r="M159" s="31">
        <v>8612</v>
      </c>
      <c r="N159" s="31">
        <v>2153</v>
      </c>
      <c r="O159" s="31">
        <v>10765</v>
      </c>
      <c r="P159" s="31">
        <f>VLOOKUP(F159,'[3]1ª PARCELA'!$E$5:$H$889,4,FALSE)</f>
        <v>10765</v>
      </c>
      <c r="Q159" s="31" t="b">
        <f t="shared" si="2"/>
        <v>1</v>
      </c>
      <c r="R159" s="32">
        <v>45793</v>
      </c>
      <c r="S159" s="29">
        <v>9173</v>
      </c>
      <c r="T159" s="29" t="s">
        <v>637</v>
      </c>
      <c r="U159" s="33" t="s">
        <v>638</v>
      </c>
    </row>
    <row r="160" spans="1:21" ht="28.5" customHeight="1" x14ac:dyDescent="0.3">
      <c r="A160" s="27">
        <v>157</v>
      </c>
      <c r="B160" s="28">
        <v>2025</v>
      </c>
      <c r="C160" s="29" t="s">
        <v>506</v>
      </c>
      <c r="D160" s="30" t="s">
        <v>539</v>
      </c>
      <c r="E160" s="29">
        <v>29097703</v>
      </c>
      <c r="F160" s="29">
        <v>1106718</v>
      </c>
      <c r="G160" s="30" t="s">
        <v>639</v>
      </c>
      <c r="H160" s="29">
        <v>1173</v>
      </c>
      <c r="I160" s="29">
        <v>1</v>
      </c>
      <c r="J160" s="29"/>
      <c r="K160" s="30"/>
      <c r="L160" s="29" t="s">
        <v>72</v>
      </c>
      <c r="M160" s="31">
        <v>7252.5</v>
      </c>
      <c r="N160" s="31">
        <v>7252.5</v>
      </c>
      <c r="O160" s="31">
        <v>14505</v>
      </c>
      <c r="P160" s="31">
        <f>VLOOKUP(F160,'[3]1ª PARCELA'!$E$5:$H$889,4,FALSE)</f>
        <v>14505</v>
      </c>
      <c r="Q160" s="31" t="b">
        <f t="shared" si="2"/>
        <v>1</v>
      </c>
      <c r="R160" s="32">
        <v>45849</v>
      </c>
      <c r="S160" s="29">
        <v>15915</v>
      </c>
      <c r="T160" s="29" t="s">
        <v>640</v>
      </c>
      <c r="U160" s="33" t="s">
        <v>641</v>
      </c>
    </row>
    <row r="161" spans="1:21" ht="28.5" customHeight="1" x14ac:dyDescent="0.3">
      <c r="A161" s="27">
        <v>158</v>
      </c>
      <c r="B161" s="28">
        <v>2025</v>
      </c>
      <c r="C161" s="29" t="s">
        <v>506</v>
      </c>
      <c r="D161" s="30" t="s">
        <v>642</v>
      </c>
      <c r="E161" s="29">
        <v>29098165</v>
      </c>
      <c r="F161" s="29">
        <v>1160380</v>
      </c>
      <c r="G161" s="30" t="s">
        <v>643</v>
      </c>
      <c r="H161" s="29">
        <v>562</v>
      </c>
      <c r="I161" s="29">
        <v>1</v>
      </c>
      <c r="J161" s="29"/>
      <c r="K161" s="30"/>
      <c r="L161" s="29" t="s">
        <v>72</v>
      </c>
      <c r="M161" s="31">
        <v>4581.5</v>
      </c>
      <c r="N161" s="31">
        <v>1963.5</v>
      </c>
      <c r="O161" s="31">
        <v>6545</v>
      </c>
      <c r="P161" s="31">
        <f>VLOOKUP(F161,'[3]1ª PARCELA'!$E$5:$H$889,4,FALSE)</f>
        <v>6545</v>
      </c>
      <c r="Q161" s="31" t="b">
        <f t="shared" si="2"/>
        <v>1</v>
      </c>
      <c r="R161" s="32">
        <v>45793</v>
      </c>
      <c r="S161" s="29">
        <v>9173</v>
      </c>
      <c r="T161" s="29" t="s">
        <v>644</v>
      </c>
      <c r="U161" s="33" t="s">
        <v>645</v>
      </c>
    </row>
    <row r="162" spans="1:21" ht="28.5" customHeight="1" x14ac:dyDescent="0.3">
      <c r="A162" s="27">
        <v>159</v>
      </c>
      <c r="B162" s="28">
        <v>2025</v>
      </c>
      <c r="C162" s="29" t="s">
        <v>416</v>
      </c>
      <c r="D162" s="30" t="s">
        <v>646</v>
      </c>
      <c r="E162" s="29">
        <v>29101484</v>
      </c>
      <c r="F162" s="29">
        <v>1107323</v>
      </c>
      <c r="G162" s="30" t="s">
        <v>418</v>
      </c>
      <c r="H162" s="29">
        <v>791</v>
      </c>
      <c r="I162" s="29">
        <v>1</v>
      </c>
      <c r="J162" s="29"/>
      <c r="K162" s="30"/>
      <c r="L162" s="29" t="s">
        <v>72</v>
      </c>
      <c r="M162" s="31">
        <v>7068</v>
      </c>
      <c r="N162" s="31">
        <v>1767</v>
      </c>
      <c r="O162" s="31">
        <v>8835</v>
      </c>
      <c r="P162" s="31">
        <f>VLOOKUP(F162,'[3]1ª PARCELA'!$E$5:$H$889,4,FALSE)</f>
        <v>8835</v>
      </c>
      <c r="Q162" s="31" t="b">
        <f t="shared" si="2"/>
        <v>1</v>
      </c>
      <c r="R162" s="32">
        <v>45793</v>
      </c>
      <c r="S162" s="29">
        <v>9173</v>
      </c>
      <c r="T162" s="29" t="s">
        <v>647</v>
      </c>
      <c r="U162" s="33" t="s">
        <v>648</v>
      </c>
    </row>
    <row r="163" spans="1:21" ht="28.5" customHeight="1" x14ac:dyDescent="0.3">
      <c r="A163" s="27">
        <v>160</v>
      </c>
      <c r="B163" s="28">
        <v>2025</v>
      </c>
      <c r="C163" s="29" t="s">
        <v>416</v>
      </c>
      <c r="D163" s="30" t="s">
        <v>646</v>
      </c>
      <c r="E163" s="29">
        <v>29101719</v>
      </c>
      <c r="F163" s="29">
        <v>1160445</v>
      </c>
      <c r="G163" s="30" t="s">
        <v>649</v>
      </c>
      <c r="H163" s="29">
        <v>936</v>
      </c>
      <c r="I163" s="29">
        <v>1</v>
      </c>
      <c r="J163" s="29"/>
      <c r="K163" s="30"/>
      <c r="L163" s="29" t="s">
        <v>72</v>
      </c>
      <c r="M163" s="31">
        <v>8228</v>
      </c>
      <c r="N163" s="31">
        <v>2057</v>
      </c>
      <c r="O163" s="31">
        <v>10285</v>
      </c>
      <c r="P163" s="31">
        <f>VLOOKUP(F163,'[3]1ª PARCELA'!$E$5:$H$889,4,FALSE)</f>
        <v>10285</v>
      </c>
      <c r="Q163" s="31" t="b">
        <f t="shared" si="2"/>
        <v>1</v>
      </c>
      <c r="R163" s="32">
        <v>45793</v>
      </c>
      <c r="S163" s="29">
        <v>9173</v>
      </c>
      <c r="T163" s="29" t="s">
        <v>650</v>
      </c>
      <c r="U163" s="33" t="s">
        <v>651</v>
      </c>
    </row>
    <row r="164" spans="1:21" ht="28.5" customHeight="1" x14ac:dyDescent="0.3">
      <c r="A164" s="27">
        <v>161</v>
      </c>
      <c r="B164" s="28">
        <v>2025</v>
      </c>
      <c r="C164" s="29" t="s">
        <v>416</v>
      </c>
      <c r="D164" s="30" t="s">
        <v>646</v>
      </c>
      <c r="E164" s="29">
        <v>29103037</v>
      </c>
      <c r="F164" s="29">
        <v>1107331</v>
      </c>
      <c r="G164" s="30" t="s">
        <v>652</v>
      </c>
      <c r="H164" s="29">
        <v>652</v>
      </c>
      <c r="I164" s="29">
        <v>1</v>
      </c>
      <c r="J164" s="29"/>
      <c r="K164" s="30"/>
      <c r="L164" s="29" t="s">
        <v>72</v>
      </c>
      <c r="M164" s="31">
        <v>5956</v>
      </c>
      <c r="N164" s="31">
        <v>1489</v>
      </c>
      <c r="O164" s="31">
        <v>7445</v>
      </c>
      <c r="P164" s="31">
        <f>VLOOKUP(F164,'[3]1ª PARCELA'!$E$5:$H$889,4,FALSE)</f>
        <v>7445</v>
      </c>
      <c r="Q164" s="31" t="b">
        <f t="shared" si="2"/>
        <v>1</v>
      </c>
      <c r="R164" s="32">
        <v>45793</v>
      </c>
      <c r="S164" s="29">
        <v>9173</v>
      </c>
      <c r="T164" s="29" t="s">
        <v>653</v>
      </c>
      <c r="U164" s="33" t="s">
        <v>654</v>
      </c>
    </row>
    <row r="165" spans="1:21" ht="28.5" customHeight="1" x14ac:dyDescent="0.3">
      <c r="A165" s="27">
        <v>162</v>
      </c>
      <c r="B165" s="28">
        <v>2025</v>
      </c>
      <c r="C165" s="29" t="s">
        <v>655</v>
      </c>
      <c r="D165" s="30" t="s">
        <v>656</v>
      </c>
      <c r="E165" s="29">
        <v>29104505</v>
      </c>
      <c r="F165" s="29">
        <v>1160186</v>
      </c>
      <c r="G165" s="30" t="s">
        <v>657</v>
      </c>
      <c r="H165" s="29">
        <v>277</v>
      </c>
      <c r="I165" s="29">
        <v>1</v>
      </c>
      <c r="J165" s="29"/>
      <c r="K165" s="30"/>
      <c r="L165" s="29" t="s">
        <v>72</v>
      </c>
      <c r="M165" s="31">
        <v>2956</v>
      </c>
      <c r="N165" s="31">
        <v>739</v>
      </c>
      <c r="O165" s="31">
        <v>3695</v>
      </c>
      <c r="P165" s="31">
        <f>VLOOKUP(F165,'[3]1ª PARCELA'!$E$5:$H$889,4,FALSE)</f>
        <v>3695</v>
      </c>
      <c r="Q165" s="31" t="b">
        <f t="shared" si="2"/>
        <v>1</v>
      </c>
      <c r="R165" s="32">
        <v>45954</v>
      </c>
      <c r="S165" s="29">
        <v>28607</v>
      </c>
      <c r="T165" s="29" t="s">
        <v>658</v>
      </c>
      <c r="U165" s="33" t="s">
        <v>659</v>
      </c>
    </row>
    <row r="166" spans="1:21" ht="28.5" customHeight="1" x14ac:dyDescent="0.3">
      <c r="A166" s="27">
        <v>163</v>
      </c>
      <c r="B166" s="28">
        <v>2025</v>
      </c>
      <c r="C166" s="29" t="s">
        <v>655</v>
      </c>
      <c r="D166" s="30" t="s">
        <v>660</v>
      </c>
      <c r="E166" s="29">
        <v>29104580</v>
      </c>
      <c r="F166" s="29">
        <v>1108222</v>
      </c>
      <c r="G166" s="30" t="s">
        <v>661</v>
      </c>
      <c r="H166" s="29">
        <v>239</v>
      </c>
      <c r="I166" s="29">
        <v>1</v>
      </c>
      <c r="J166" s="29"/>
      <c r="K166" s="30"/>
      <c r="L166" s="29" t="s">
        <v>72</v>
      </c>
      <c r="M166" s="31">
        <v>2652</v>
      </c>
      <c r="N166" s="31">
        <v>663</v>
      </c>
      <c r="O166" s="31">
        <v>3315</v>
      </c>
      <c r="P166" s="31">
        <f>VLOOKUP(F166,'[3]1ª PARCELA'!$E$5:$H$889,4,FALSE)</f>
        <v>3315</v>
      </c>
      <c r="Q166" s="31" t="b">
        <f t="shared" si="2"/>
        <v>1</v>
      </c>
      <c r="R166" s="32">
        <v>45926</v>
      </c>
      <c r="S166" s="29">
        <v>24529</v>
      </c>
      <c r="T166" s="29" t="s">
        <v>662</v>
      </c>
      <c r="U166" s="33" t="s">
        <v>663</v>
      </c>
    </row>
    <row r="167" spans="1:21" ht="28.5" customHeight="1" x14ac:dyDescent="0.3">
      <c r="A167" s="27">
        <v>164</v>
      </c>
      <c r="B167" s="28">
        <v>2025</v>
      </c>
      <c r="C167" s="29" t="s">
        <v>416</v>
      </c>
      <c r="D167" s="30" t="s">
        <v>664</v>
      </c>
      <c r="E167" s="29">
        <v>29105684</v>
      </c>
      <c r="F167" s="29">
        <v>1107234</v>
      </c>
      <c r="G167" s="30" t="s">
        <v>665</v>
      </c>
      <c r="H167" s="29">
        <v>380</v>
      </c>
      <c r="I167" s="29">
        <v>1</v>
      </c>
      <c r="J167" s="29"/>
      <c r="K167" s="30"/>
      <c r="L167" s="29" t="s">
        <v>72</v>
      </c>
      <c r="M167" s="31">
        <v>3780</v>
      </c>
      <c r="N167" s="31">
        <v>945</v>
      </c>
      <c r="O167" s="31">
        <v>4725</v>
      </c>
      <c r="P167" s="31">
        <f>VLOOKUP(F167,'[3]1ª PARCELA'!$E$5:$H$889,4,FALSE)</f>
        <v>4725</v>
      </c>
      <c r="Q167" s="31" t="b">
        <f t="shared" si="2"/>
        <v>1</v>
      </c>
      <c r="R167" s="32">
        <v>45793</v>
      </c>
      <c r="S167" s="29">
        <v>9173</v>
      </c>
      <c r="T167" s="29" t="s">
        <v>666</v>
      </c>
      <c r="U167" s="33" t="s">
        <v>667</v>
      </c>
    </row>
    <row r="168" spans="1:21" ht="28.5" customHeight="1" x14ac:dyDescent="0.3">
      <c r="A168" s="27">
        <v>165</v>
      </c>
      <c r="B168" s="28">
        <v>2025</v>
      </c>
      <c r="C168" s="29" t="s">
        <v>506</v>
      </c>
      <c r="D168" s="30" t="s">
        <v>668</v>
      </c>
      <c r="E168" s="29">
        <v>29107440</v>
      </c>
      <c r="F168" s="29">
        <v>1107404</v>
      </c>
      <c r="G168" s="30" t="s">
        <v>669</v>
      </c>
      <c r="H168" s="29">
        <v>641</v>
      </c>
      <c r="I168" s="29">
        <v>1</v>
      </c>
      <c r="J168" s="29"/>
      <c r="K168" s="30"/>
      <c r="L168" s="29" t="s">
        <v>72</v>
      </c>
      <c r="M168" s="31">
        <v>4401</v>
      </c>
      <c r="N168" s="31">
        <v>2934</v>
      </c>
      <c r="O168" s="31">
        <v>7335</v>
      </c>
      <c r="P168" s="31">
        <f>VLOOKUP(F168,'[3]1ª PARCELA'!$E$5:$H$889,4,FALSE)</f>
        <v>7335</v>
      </c>
      <c r="Q168" s="31" t="b">
        <f t="shared" si="2"/>
        <v>1</v>
      </c>
      <c r="R168" s="32">
        <v>45793</v>
      </c>
      <c r="S168" s="29">
        <v>9173</v>
      </c>
      <c r="T168" s="29" t="s">
        <v>670</v>
      </c>
      <c r="U168" s="33" t="s">
        <v>671</v>
      </c>
    </row>
    <row r="169" spans="1:21" ht="28.5" customHeight="1" x14ac:dyDescent="0.3">
      <c r="A169" s="27">
        <v>166</v>
      </c>
      <c r="B169" s="28">
        <v>2025</v>
      </c>
      <c r="C169" s="29" t="s">
        <v>506</v>
      </c>
      <c r="D169" s="30" t="s">
        <v>668</v>
      </c>
      <c r="E169" s="29">
        <v>29107466</v>
      </c>
      <c r="F169" s="29">
        <v>1107382</v>
      </c>
      <c r="G169" s="30" t="s">
        <v>672</v>
      </c>
      <c r="H169" s="29">
        <v>502</v>
      </c>
      <c r="I169" s="29">
        <v>1</v>
      </c>
      <c r="J169" s="29"/>
      <c r="K169" s="30"/>
      <c r="L169" s="29" t="s">
        <v>72</v>
      </c>
      <c r="M169" s="31">
        <v>4756</v>
      </c>
      <c r="N169" s="31">
        <v>1189</v>
      </c>
      <c r="O169" s="31">
        <v>5945</v>
      </c>
      <c r="P169" s="31">
        <f>VLOOKUP(F169,'[3]1ª PARCELA'!$E$5:$H$889,4,FALSE)</f>
        <v>5945</v>
      </c>
      <c r="Q169" s="31" t="b">
        <f t="shared" si="2"/>
        <v>1</v>
      </c>
      <c r="R169" s="32">
        <v>45800</v>
      </c>
      <c r="S169" s="29">
        <v>9563</v>
      </c>
      <c r="T169" s="29" t="s">
        <v>673</v>
      </c>
      <c r="U169" s="33" t="s">
        <v>674</v>
      </c>
    </row>
    <row r="170" spans="1:21" ht="28.5" customHeight="1" x14ac:dyDescent="0.3">
      <c r="A170" s="27">
        <v>167</v>
      </c>
      <c r="B170" s="28">
        <v>2025</v>
      </c>
      <c r="C170" s="29" t="s">
        <v>506</v>
      </c>
      <c r="D170" s="30" t="s">
        <v>675</v>
      </c>
      <c r="E170" s="29">
        <v>29108047</v>
      </c>
      <c r="F170" s="29">
        <v>1107420</v>
      </c>
      <c r="G170" s="30" t="s">
        <v>676</v>
      </c>
      <c r="H170" s="29">
        <v>461</v>
      </c>
      <c r="I170" s="29">
        <v>1</v>
      </c>
      <c r="J170" s="29"/>
      <c r="K170" s="30"/>
      <c r="L170" s="29" t="s">
        <v>72</v>
      </c>
      <c r="M170" s="31">
        <v>3321</v>
      </c>
      <c r="N170" s="31">
        <v>2214</v>
      </c>
      <c r="O170" s="31">
        <v>5535</v>
      </c>
      <c r="P170" s="31">
        <f>VLOOKUP(F170,'[3]1ª PARCELA'!$E$5:$H$889,4,FALSE)</f>
        <v>5535</v>
      </c>
      <c r="Q170" s="31" t="b">
        <f t="shared" si="2"/>
        <v>1</v>
      </c>
      <c r="R170" s="32">
        <v>45926</v>
      </c>
      <c r="S170" s="29">
        <v>24529</v>
      </c>
      <c r="T170" s="29" t="s">
        <v>677</v>
      </c>
      <c r="U170" s="33" t="s">
        <v>678</v>
      </c>
    </row>
    <row r="171" spans="1:21" ht="28.5" customHeight="1" x14ac:dyDescent="0.3">
      <c r="A171" s="27">
        <v>168</v>
      </c>
      <c r="B171" s="28">
        <v>2025</v>
      </c>
      <c r="C171" s="29" t="s">
        <v>506</v>
      </c>
      <c r="D171" s="30" t="s">
        <v>679</v>
      </c>
      <c r="E171" s="29">
        <v>29108900</v>
      </c>
      <c r="F171" s="29">
        <v>1107455</v>
      </c>
      <c r="G171" s="30" t="s">
        <v>680</v>
      </c>
      <c r="H171" s="29">
        <v>472</v>
      </c>
      <c r="I171" s="29">
        <v>1</v>
      </c>
      <c r="J171" s="29"/>
      <c r="K171" s="30"/>
      <c r="L171" s="29" t="s">
        <v>72</v>
      </c>
      <c r="M171" s="31">
        <v>4516</v>
      </c>
      <c r="N171" s="31">
        <v>1129</v>
      </c>
      <c r="O171" s="31">
        <v>5645</v>
      </c>
      <c r="P171" s="31">
        <f>VLOOKUP(F171,'[3]1ª PARCELA'!$E$5:$H$889,4,FALSE)</f>
        <v>5645</v>
      </c>
      <c r="Q171" s="31" t="b">
        <f t="shared" si="2"/>
        <v>1</v>
      </c>
      <c r="R171" s="32">
        <v>45926</v>
      </c>
      <c r="S171" s="29">
        <v>24529</v>
      </c>
      <c r="T171" s="29" t="s">
        <v>681</v>
      </c>
      <c r="U171" s="33" t="s">
        <v>682</v>
      </c>
    </row>
    <row r="172" spans="1:21" ht="28.5" customHeight="1" x14ac:dyDescent="0.3">
      <c r="A172" s="27">
        <v>169</v>
      </c>
      <c r="B172" s="28">
        <v>2025</v>
      </c>
      <c r="C172" s="29" t="s">
        <v>506</v>
      </c>
      <c r="D172" s="30" t="s">
        <v>679</v>
      </c>
      <c r="E172" s="29">
        <v>29109361</v>
      </c>
      <c r="F172" s="29">
        <v>1107501</v>
      </c>
      <c r="G172" s="30" t="s">
        <v>683</v>
      </c>
      <c r="H172" s="29">
        <v>1928</v>
      </c>
      <c r="I172" s="29">
        <v>1</v>
      </c>
      <c r="J172" s="29"/>
      <c r="K172" s="30"/>
      <c r="L172" s="29" t="s">
        <v>72</v>
      </c>
      <c r="M172" s="31">
        <v>16164</v>
      </c>
      <c r="N172" s="31">
        <v>4041</v>
      </c>
      <c r="O172" s="31">
        <v>20205</v>
      </c>
      <c r="P172" s="31">
        <f>VLOOKUP(F172,'[3]1ª PARCELA'!$E$5:$H$889,4,FALSE)</f>
        <v>20205</v>
      </c>
      <c r="Q172" s="31" t="b">
        <f t="shared" si="2"/>
        <v>1</v>
      </c>
      <c r="R172" s="32">
        <v>45805</v>
      </c>
      <c r="S172" s="29">
        <v>9678</v>
      </c>
      <c r="T172" s="29" t="s">
        <v>684</v>
      </c>
      <c r="U172" s="33" t="s">
        <v>685</v>
      </c>
    </row>
    <row r="173" spans="1:21" ht="28.5" customHeight="1" x14ac:dyDescent="0.3">
      <c r="A173" s="27">
        <v>170</v>
      </c>
      <c r="B173" s="28">
        <v>2025</v>
      </c>
      <c r="C173" s="29" t="s">
        <v>506</v>
      </c>
      <c r="D173" s="30" t="s">
        <v>686</v>
      </c>
      <c r="E173" s="29">
        <v>29110076</v>
      </c>
      <c r="F173" s="29">
        <v>1107536</v>
      </c>
      <c r="G173" s="30" t="s">
        <v>687</v>
      </c>
      <c r="H173" s="29">
        <v>1108</v>
      </c>
      <c r="I173" s="29">
        <v>1</v>
      </c>
      <c r="J173" s="29"/>
      <c r="K173" s="30"/>
      <c r="L173" s="29" t="s">
        <v>72</v>
      </c>
      <c r="M173" s="31">
        <v>9604</v>
      </c>
      <c r="N173" s="31">
        <v>2401</v>
      </c>
      <c r="O173" s="31">
        <v>12005</v>
      </c>
      <c r="P173" s="31">
        <f>VLOOKUP(F173,'[3]1ª PARCELA'!$E$5:$H$889,4,FALSE)</f>
        <v>12005</v>
      </c>
      <c r="Q173" s="31" t="b">
        <f t="shared" si="2"/>
        <v>1</v>
      </c>
      <c r="R173" s="32">
        <v>45800</v>
      </c>
      <c r="S173" s="29">
        <v>9563</v>
      </c>
      <c r="T173" s="29" t="s">
        <v>688</v>
      </c>
      <c r="U173" s="33" t="s">
        <v>689</v>
      </c>
    </row>
    <row r="174" spans="1:21" ht="28.5" customHeight="1" x14ac:dyDescent="0.3">
      <c r="A174" s="27">
        <v>171</v>
      </c>
      <c r="B174" s="28">
        <v>2025</v>
      </c>
      <c r="C174" s="29" t="s">
        <v>416</v>
      </c>
      <c r="D174" s="30" t="s">
        <v>690</v>
      </c>
      <c r="E174" s="29">
        <v>29110866</v>
      </c>
      <c r="F174" s="29">
        <v>1107684</v>
      </c>
      <c r="G174" s="30" t="s">
        <v>691</v>
      </c>
      <c r="H174" s="29">
        <v>515</v>
      </c>
      <c r="I174" s="29">
        <v>1</v>
      </c>
      <c r="J174" s="29"/>
      <c r="K174" s="30"/>
      <c r="L174" s="29" t="s">
        <v>72</v>
      </c>
      <c r="M174" s="31">
        <v>4755</v>
      </c>
      <c r="N174" s="31">
        <v>3170</v>
      </c>
      <c r="O174" s="31">
        <v>7925</v>
      </c>
      <c r="P174" s="31">
        <f>VLOOKUP(F174,'[3]1ª PARCELA'!$E$5:$H$889,4,FALSE)</f>
        <v>7925</v>
      </c>
      <c r="Q174" s="31" t="b">
        <f t="shared" si="2"/>
        <v>1</v>
      </c>
      <c r="R174" s="32">
        <v>45793</v>
      </c>
      <c r="S174" s="29">
        <v>9173</v>
      </c>
      <c r="T174" s="29" t="s">
        <v>692</v>
      </c>
      <c r="U174" s="33" t="s">
        <v>693</v>
      </c>
    </row>
    <row r="175" spans="1:21" ht="28.5" customHeight="1" x14ac:dyDescent="0.3">
      <c r="A175" s="27">
        <v>172</v>
      </c>
      <c r="B175" s="28">
        <v>2025</v>
      </c>
      <c r="C175" s="29" t="s">
        <v>416</v>
      </c>
      <c r="D175" s="30" t="s">
        <v>690</v>
      </c>
      <c r="E175" s="29">
        <v>29111285</v>
      </c>
      <c r="F175" s="29">
        <v>1107650</v>
      </c>
      <c r="G175" s="30" t="s">
        <v>694</v>
      </c>
      <c r="H175" s="29">
        <v>309</v>
      </c>
      <c r="I175" s="29">
        <v>1</v>
      </c>
      <c r="J175" s="29"/>
      <c r="K175" s="30"/>
      <c r="L175" s="29" t="s">
        <v>72</v>
      </c>
      <c r="M175" s="31">
        <v>4105.5</v>
      </c>
      <c r="N175" s="31">
        <v>1759.5</v>
      </c>
      <c r="O175" s="31">
        <v>5865</v>
      </c>
      <c r="P175" s="31">
        <f>VLOOKUP(F175,'[3]1ª PARCELA'!$E$5:$H$889,4,FALSE)</f>
        <v>5865</v>
      </c>
      <c r="Q175" s="31" t="b">
        <f t="shared" si="2"/>
        <v>1</v>
      </c>
      <c r="R175" s="32">
        <v>45793</v>
      </c>
      <c r="S175" s="29">
        <v>9173</v>
      </c>
      <c r="T175" s="29" t="s">
        <v>695</v>
      </c>
      <c r="U175" s="33" t="s">
        <v>696</v>
      </c>
    </row>
    <row r="176" spans="1:21" ht="28.5" customHeight="1" x14ac:dyDescent="0.3">
      <c r="A176" s="27">
        <v>173</v>
      </c>
      <c r="B176" s="28">
        <v>2025</v>
      </c>
      <c r="C176" s="29" t="s">
        <v>506</v>
      </c>
      <c r="D176" s="30" t="s">
        <v>697</v>
      </c>
      <c r="E176" s="29">
        <v>29111730</v>
      </c>
      <c r="F176" s="29">
        <v>1107706</v>
      </c>
      <c r="G176" s="30" t="s">
        <v>698</v>
      </c>
      <c r="H176" s="29">
        <v>314</v>
      </c>
      <c r="I176" s="29">
        <v>1</v>
      </c>
      <c r="J176" s="29"/>
      <c r="K176" s="30"/>
      <c r="L176" s="29" t="s">
        <v>72</v>
      </c>
      <c r="M176" s="31">
        <v>3252</v>
      </c>
      <c r="N176" s="31">
        <v>813</v>
      </c>
      <c r="O176" s="31">
        <v>4065</v>
      </c>
      <c r="P176" s="31">
        <f>VLOOKUP(F176,'[3]1ª PARCELA'!$E$5:$H$889,4,FALSE)</f>
        <v>4065</v>
      </c>
      <c r="Q176" s="31" t="b">
        <f t="shared" si="2"/>
        <v>1</v>
      </c>
      <c r="R176" s="32">
        <v>45793</v>
      </c>
      <c r="S176" s="29">
        <v>9173</v>
      </c>
      <c r="T176" s="29" t="s">
        <v>699</v>
      </c>
      <c r="U176" s="33" t="s">
        <v>700</v>
      </c>
    </row>
    <row r="177" spans="1:21" ht="28.5" customHeight="1" x14ac:dyDescent="0.3">
      <c r="A177" s="27">
        <v>174</v>
      </c>
      <c r="B177" s="28">
        <v>2025</v>
      </c>
      <c r="C177" s="29" t="s">
        <v>701</v>
      </c>
      <c r="D177" s="30" t="s">
        <v>702</v>
      </c>
      <c r="E177" s="29">
        <v>29112699</v>
      </c>
      <c r="F177" s="29">
        <v>1114192</v>
      </c>
      <c r="G177" s="30" t="s">
        <v>703</v>
      </c>
      <c r="H177" s="29">
        <v>666</v>
      </c>
      <c r="I177" s="29">
        <v>1</v>
      </c>
      <c r="J177" s="29"/>
      <c r="K177" s="30"/>
      <c r="L177" s="29" t="s">
        <v>72</v>
      </c>
      <c r="M177" s="31">
        <v>6068</v>
      </c>
      <c r="N177" s="31">
        <v>1517</v>
      </c>
      <c r="O177" s="31">
        <v>7585</v>
      </c>
      <c r="P177" s="31">
        <f>VLOOKUP(F177,'[3]1ª PARCELA'!$E$5:$H$889,4,FALSE)</f>
        <v>7585</v>
      </c>
      <c r="Q177" s="31" t="b">
        <f t="shared" si="2"/>
        <v>1</v>
      </c>
      <c r="R177" s="32">
        <v>45793</v>
      </c>
      <c r="S177" s="29">
        <v>9173</v>
      </c>
      <c r="T177" s="29" t="s">
        <v>704</v>
      </c>
      <c r="U177" s="33" t="s">
        <v>705</v>
      </c>
    </row>
    <row r="178" spans="1:21" ht="28.5" customHeight="1" x14ac:dyDescent="0.3">
      <c r="A178" s="27">
        <v>175</v>
      </c>
      <c r="B178" s="28">
        <v>2025</v>
      </c>
      <c r="C178" s="29" t="s">
        <v>701</v>
      </c>
      <c r="D178" s="30" t="s">
        <v>706</v>
      </c>
      <c r="E178" s="29">
        <v>29113881</v>
      </c>
      <c r="F178" s="29">
        <v>1138539</v>
      </c>
      <c r="G178" s="30" t="s">
        <v>707</v>
      </c>
      <c r="H178" s="29">
        <v>510</v>
      </c>
      <c r="I178" s="29">
        <v>1</v>
      </c>
      <c r="J178" s="29"/>
      <c r="K178" s="30"/>
      <c r="L178" s="29" t="s">
        <v>72</v>
      </c>
      <c r="M178" s="31">
        <v>5512.5</v>
      </c>
      <c r="N178" s="31">
        <v>2362.5</v>
      </c>
      <c r="O178" s="31">
        <v>7875</v>
      </c>
      <c r="P178" s="31">
        <f>VLOOKUP(F178,'[3]1ª PARCELA'!$E$5:$H$889,4,FALSE)</f>
        <v>7875</v>
      </c>
      <c r="Q178" s="31" t="b">
        <f t="shared" si="2"/>
        <v>1</v>
      </c>
      <c r="R178" s="32">
        <v>45793</v>
      </c>
      <c r="S178" s="29">
        <v>9173</v>
      </c>
      <c r="T178" s="29" t="s">
        <v>708</v>
      </c>
      <c r="U178" s="33" t="s">
        <v>709</v>
      </c>
    </row>
    <row r="179" spans="1:21" ht="28.5" customHeight="1" x14ac:dyDescent="0.3">
      <c r="A179" s="27">
        <v>176</v>
      </c>
      <c r="B179" s="28">
        <v>2025</v>
      </c>
      <c r="C179" s="29" t="s">
        <v>701</v>
      </c>
      <c r="D179" s="30" t="s">
        <v>710</v>
      </c>
      <c r="E179" s="29">
        <v>29114500</v>
      </c>
      <c r="F179" s="29">
        <v>1114303</v>
      </c>
      <c r="G179" s="30" t="s">
        <v>711</v>
      </c>
      <c r="H179" s="29">
        <v>627</v>
      </c>
      <c r="I179" s="29">
        <v>1</v>
      </c>
      <c r="J179" s="29"/>
      <c r="K179" s="30"/>
      <c r="L179" s="29" t="s">
        <v>72</v>
      </c>
      <c r="M179" s="31">
        <v>5036.5</v>
      </c>
      <c r="N179" s="31">
        <v>2158.5</v>
      </c>
      <c r="O179" s="31">
        <v>7195</v>
      </c>
      <c r="P179" s="31">
        <f>VLOOKUP(F179,'[3]1ª PARCELA'!$E$5:$H$889,4,FALSE)</f>
        <v>7195</v>
      </c>
      <c r="Q179" s="31" t="b">
        <f t="shared" si="2"/>
        <v>1</v>
      </c>
      <c r="R179" s="32">
        <v>45793</v>
      </c>
      <c r="S179" s="29">
        <v>9173</v>
      </c>
      <c r="T179" s="29" t="s">
        <v>712</v>
      </c>
      <c r="U179" s="33" t="s">
        <v>713</v>
      </c>
    </row>
    <row r="180" spans="1:21" ht="28.5" customHeight="1" x14ac:dyDescent="0.3">
      <c r="A180" s="27">
        <v>177</v>
      </c>
      <c r="B180" s="28">
        <v>2025</v>
      </c>
      <c r="C180" s="29" t="s">
        <v>701</v>
      </c>
      <c r="D180" s="30" t="s">
        <v>714</v>
      </c>
      <c r="E180" s="29">
        <v>29115396</v>
      </c>
      <c r="F180" s="29">
        <v>1171196</v>
      </c>
      <c r="G180" s="30" t="s">
        <v>715</v>
      </c>
      <c r="H180" s="29">
        <v>415</v>
      </c>
      <c r="I180" s="29">
        <v>1</v>
      </c>
      <c r="J180" s="29"/>
      <c r="K180" s="30"/>
      <c r="L180" s="29" t="s">
        <v>72</v>
      </c>
      <c r="M180" s="31">
        <v>3552.5</v>
      </c>
      <c r="N180" s="31">
        <v>1522.5</v>
      </c>
      <c r="O180" s="31">
        <v>5075</v>
      </c>
      <c r="P180" s="31">
        <f>VLOOKUP(F180,'[3]1ª PARCELA'!$E$5:$H$889,4,FALSE)</f>
        <v>5075</v>
      </c>
      <c r="Q180" s="31" t="b">
        <f t="shared" si="2"/>
        <v>1</v>
      </c>
      <c r="R180" s="32">
        <v>45793</v>
      </c>
      <c r="S180" s="29">
        <v>9173</v>
      </c>
      <c r="T180" s="29" t="s">
        <v>716</v>
      </c>
      <c r="U180" s="33" t="s">
        <v>717</v>
      </c>
    </row>
    <row r="181" spans="1:21" ht="28.5" customHeight="1" x14ac:dyDescent="0.3">
      <c r="A181" s="27">
        <v>178</v>
      </c>
      <c r="B181" s="28">
        <v>2025</v>
      </c>
      <c r="C181" s="29" t="s">
        <v>718</v>
      </c>
      <c r="D181" s="30" t="s">
        <v>719</v>
      </c>
      <c r="E181" s="29">
        <v>29115604</v>
      </c>
      <c r="F181" s="29">
        <v>1178245</v>
      </c>
      <c r="G181" s="30" t="s">
        <v>720</v>
      </c>
      <c r="H181" s="29">
        <v>301</v>
      </c>
      <c r="I181" s="29">
        <v>1</v>
      </c>
      <c r="J181" s="29"/>
      <c r="K181" s="30"/>
      <c r="L181" s="29" t="s">
        <v>72</v>
      </c>
      <c r="M181" s="31">
        <v>3148</v>
      </c>
      <c r="N181" s="31">
        <v>787</v>
      </c>
      <c r="O181" s="31">
        <v>3935</v>
      </c>
      <c r="P181" s="31">
        <f>VLOOKUP(F181,'[3]1ª PARCELA'!$E$5:$H$889,4,FALSE)</f>
        <v>3935</v>
      </c>
      <c r="Q181" s="31" t="b">
        <f t="shared" si="2"/>
        <v>1</v>
      </c>
      <c r="R181" s="32">
        <v>45926</v>
      </c>
      <c r="S181" s="29">
        <v>24529</v>
      </c>
      <c r="T181" s="29" t="s">
        <v>721</v>
      </c>
      <c r="U181" s="33" t="s">
        <v>722</v>
      </c>
    </row>
    <row r="182" spans="1:21" ht="28.5" customHeight="1" x14ac:dyDescent="0.3">
      <c r="A182" s="27">
        <v>179</v>
      </c>
      <c r="B182" s="28">
        <v>2025</v>
      </c>
      <c r="C182" s="29" t="s">
        <v>718</v>
      </c>
      <c r="D182" s="30" t="s">
        <v>719</v>
      </c>
      <c r="E182" s="29">
        <v>29116422</v>
      </c>
      <c r="F182" s="29">
        <v>1176868</v>
      </c>
      <c r="G182" s="30" t="s">
        <v>324</v>
      </c>
      <c r="H182" s="29">
        <v>1045</v>
      </c>
      <c r="I182" s="29">
        <v>1</v>
      </c>
      <c r="J182" s="29"/>
      <c r="K182" s="30"/>
      <c r="L182" s="29" t="s">
        <v>72</v>
      </c>
      <c r="M182" s="31">
        <v>7962.5</v>
      </c>
      <c r="N182" s="31">
        <v>3412.5</v>
      </c>
      <c r="O182" s="31">
        <v>11375</v>
      </c>
      <c r="P182" s="31">
        <f>VLOOKUP(F182,'[3]1ª PARCELA'!$E$5:$H$889,4,FALSE)</f>
        <v>11375</v>
      </c>
      <c r="Q182" s="31" t="b">
        <f t="shared" si="2"/>
        <v>1</v>
      </c>
      <c r="R182" s="32">
        <v>45926</v>
      </c>
      <c r="S182" s="29">
        <v>24529</v>
      </c>
      <c r="T182" s="29" t="s">
        <v>723</v>
      </c>
      <c r="U182" s="33" t="s">
        <v>724</v>
      </c>
    </row>
    <row r="183" spans="1:21" ht="28.5" customHeight="1" x14ac:dyDescent="0.3">
      <c r="A183" s="27">
        <v>180</v>
      </c>
      <c r="B183" s="28">
        <v>2025</v>
      </c>
      <c r="C183" s="29" t="s">
        <v>701</v>
      </c>
      <c r="D183" s="30" t="s">
        <v>725</v>
      </c>
      <c r="E183" s="29">
        <v>29117194</v>
      </c>
      <c r="F183" s="29">
        <v>1179120</v>
      </c>
      <c r="G183" s="30" t="s">
        <v>726</v>
      </c>
      <c r="H183" s="29">
        <v>398</v>
      </c>
      <c r="I183" s="29">
        <v>1</v>
      </c>
      <c r="J183" s="29"/>
      <c r="K183" s="30"/>
      <c r="L183" s="29" t="s">
        <v>72</v>
      </c>
      <c r="M183" s="31">
        <v>4728.5</v>
      </c>
      <c r="N183" s="31">
        <v>2026.5</v>
      </c>
      <c r="O183" s="31">
        <v>6755</v>
      </c>
      <c r="P183" s="31">
        <f>VLOOKUP(F183,'[3]1ª PARCELA'!$E$5:$H$889,4,FALSE)</f>
        <v>6755</v>
      </c>
      <c r="Q183" s="31" t="b">
        <f t="shared" si="2"/>
        <v>1</v>
      </c>
      <c r="R183" s="32">
        <v>45793</v>
      </c>
      <c r="S183" s="29">
        <v>9173</v>
      </c>
      <c r="T183" s="29" t="s">
        <v>727</v>
      </c>
      <c r="U183" s="33" t="s">
        <v>728</v>
      </c>
    </row>
    <row r="184" spans="1:21" ht="28.5" customHeight="1" x14ac:dyDescent="0.3">
      <c r="A184" s="27">
        <v>181</v>
      </c>
      <c r="B184" s="28">
        <v>2025</v>
      </c>
      <c r="C184" s="29" t="s">
        <v>701</v>
      </c>
      <c r="D184" s="30" t="s">
        <v>725</v>
      </c>
      <c r="E184" s="29">
        <v>29117240</v>
      </c>
      <c r="F184" s="29">
        <v>1114680</v>
      </c>
      <c r="G184" s="30" t="s">
        <v>729</v>
      </c>
      <c r="H184" s="29">
        <v>1071</v>
      </c>
      <c r="I184" s="29">
        <v>1</v>
      </c>
      <c r="J184" s="29"/>
      <c r="K184" s="30"/>
      <c r="L184" s="29" t="s">
        <v>72</v>
      </c>
      <c r="M184" s="31">
        <v>9308</v>
      </c>
      <c r="N184" s="31">
        <v>2327</v>
      </c>
      <c r="O184" s="31">
        <v>11635</v>
      </c>
      <c r="P184" s="31">
        <f>VLOOKUP(F184,'[3]1ª PARCELA'!$E$5:$H$889,4,FALSE)</f>
        <v>11635</v>
      </c>
      <c r="Q184" s="31" t="b">
        <f t="shared" si="2"/>
        <v>1</v>
      </c>
      <c r="R184" s="32">
        <v>45793</v>
      </c>
      <c r="S184" s="29">
        <v>9173</v>
      </c>
      <c r="T184" s="29" t="s">
        <v>730</v>
      </c>
      <c r="U184" s="33" t="s">
        <v>731</v>
      </c>
    </row>
    <row r="185" spans="1:21" ht="28.5" customHeight="1" x14ac:dyDescent="0.3">
      <c r="A185" s="27">
        <v>182</v>
      </c>
      <c r="B185" s="28">
        <v>2025</v>
      </c>
      <c r="C185" s="29" t="s">
        <v>701</v>
      </c>
      <c r="D185" s="30" t="s">
        <v>725</v>
      </c>
      <c r="E185" s="29">
        <v>29117666</v>
      </c>
      <c r="F185" s="29">
        <v>1114559</v>
      </c>
      <c r="G185" s="30" t="s">
        <v>732</v>
      </c>
      <c r="H185" s="29">
        <v>1286</v>
      </c>
      <c r="I185" s="29">
        <v>1</v>
      </c>
      <c r="J185" s="29"/>
      <c r="K185" s="30"/>
      <c r="L185" s="29" t="s">
        <v>72</v>
      </c>
      <c r="M185" s="31">
        <v>8271</v>
      </c>
      <c r="N185" s="31">
        <v>5514</v>
      </c>
      <c r="O185" s="31">
        <v>13785</v>
      </c>
      <c r="P185" s="31">
        <f>VLOOKUP(F185,'[3]1ª PARCELA'!$E$5:$H$889,4,FALSE)</f>
        <v>13785</v>
      </c>
      <c r="Q185" s="31" t="b">
        <f t="shared" si="2"/>
        <v>1</v>
      </c>
      <c r="R185" s="32">
        <v>45793</v>
      </c>
      <c r="S185" s="29">
        <v>9173</v>
      </c>
      <c r="T185" s="29" t="s">
        <v>733</v>
      </c>
      <c r="U185" s="33" t="s">
        <v>734</v>
      </c>
    </row>
    <row r="186" spans="1:21" ht="28.5" customHeight="1" x14ac:dyDescent="0.3">
      <c r="A186" s="27">
        <v>183</v>
      </c>
      <c r="B186" s="28">
        <v>2025</v>
      </c>
      <c r="C186" s="29" t="s">
        <v>718</v>
      </c>
      <c r="D186" s="30" t="s">
        <v>735</v>
      </c>
      <c r="E186" s="29">
        <v>29121809</v>
      </c>
      <c r="F186" s="29">
        <v>1116039</v>
      </c>
      <c r="G186" s="30" t="s">
        <v>736</v>
      </c>
      <c r="H186" s="29">
        <v>206</v>
      </c>
      <c r="I186" s="29">
        <v>1</v>
      </c>
      <c r="J186" s="29"/>
      <c r="K186" s="30"/>
      <c r="L186" s="29" t="s">
        <v>72</v>
      </c>
      <c r="M186" s="31">
        <v>1791</v>
      </c>
      <c r="N186" s="31">
        <v>1194</v>
      </c>
      <c r="O186" s="31">
        <v>2985</v>
      </c>
      <c r="P186" s="31">
        <f>VLOOKUP(F186,'[3]1ª PARCELA'!$E$5:$H$889,4,FALSE)</f>
        <v>2985</v>
      </c>
      <c r="Q186" s="31" t="b">
        <f t="shared" si="2"/>
        <v>1</v>
      </c>
      <c r="R186" s="32">
        <v>45805</v>
      </c>
      <c r="S186" s="29">
        <v>9678</v>
      </c>
      <c r="T186" s="29" t="s">
        <v>737</v>
      </c>
      <c r="U186" s="33" t="s">
        <v>738</v>
      </c>
    </row>
    <row r="187" spans="1:21" ht="28.5" customHeight="1" x14ac:dyDescent="0.3">
      <c r="A187" s="27">
        <v>184</v>
      </c>
      <c r="B187" s="28">
        <v>2025</v>
      </c>
      <c r="C187" s="29" t="s">
        <v>718</v>
      </c>
      <c r="D187" s="30" t="s">
        <v>739</v>
      </c>
      <c r="E187" s="29">
        <v>29124212</v>
      </c>
      <c r="F187" s="29">
        <v>1115105</v>
      </c>
      <c r="G187" s="30" t="s">
        <v>740</v>
      </c>
      <c r="H187" s="29">
        <v>1379</v>
      </c>
      <c r="I187" s="29">
        <v>1</v>
      </c>
      <c r="J187" s="29"/>
      <c r="K187" s="30"/>
      <c r="L187" s="29" t="s">
        <v>72</v>
      </c>
      <c r="M187" s="31">
        <v>11772</v>
      </c>
      <c r="N187" s="31">
        <v>2943</v>
      </c>
      <c r="O187" s="31">
        <v>14715</v>
      </c>
      <c r="P187" s="31">
        <f>VLOOKUP(F187,'[3]1ª PARCELA'!$E$5:$H$889,4,FALSE)</f>
        <v>14715</v>
      </c>
      <c r="Q187" s="31" t="b">
        <f t="shared" si="2"/>
        <v>1</v>
      </c>
      <c r="R187" s="32">
        <v>45793</v>
      </c>
      <c r="S187" s="29">
        <v>9173</v>
      </c>
      <c r="T187" s="29" t="s">
        <v>741</v>
      </c>
      <c r="U187" s="33" t="s">
        <v>742</v>
      </c>
    </row>
    <row r="188" spans="1:21" ht="28.5" customHeight="1" x14ac:dyDescent="0.3">
      <c r="A188" s="27">
        <v>185</v>
      </c>
      <c r="B188" s="28">
        <v>2025</v>
      </c>
      <c r="C188" s="29" t="s">
        <v>168</v>
      </c>
      <c r="D188" s="30" t="s">
        <v>743</v>
      </c>
      <c r="E188" s="29">
        <v>29124484</v>
      </c>
      <c r="F188" s="29">
        <v>1161336</v>
      </c>
      <c r="G188" s="30" t="s">
        <v>183</v>
      </c>
      <c r="H188" s="29">
        <v>795</v>
      </c>
      <c r="I188" s="29">
        <v>1</v>
      </c>
      <c r="J188" s="29"/>
      <c r="K188" s="30"/>
      <c r="L188" s="29" t="s">
        <v>72</v>
      </c>
      <c r="M188" s="31">
        <v>7100</v>
      </c>
      <c r="N188" s="31">
        <v>1775</v>
      </c>
      <c r="O188" s="31">
        <v>8875</v>
      </c>
      <c r="P188" s="31">
        <f>VLOOKUP(F188,'[3]1ª PARCELA'!$E$5:$H$889,4,FALSE)</f>
        <v>8875</v>
      </c>
      <c r="Q188" s="31" t="b">
        <f t="shared" si="2"/>
        <v>1</v>
      </c>
      <c r="R188" s="32">
        <v>45895</v>
      </c>
      <c r="S188" s="29">
        <v>19863</v>
      </c>
      <c r="T188" s="29" t="s">
        <v>744</v>
      </c>
      <c r="U188" s="33" t="s">
        <v>745</v>
      </c>
    </row>
    <row r="189" spans="1:21" ht="28.5" customHeight="1" x14ac:dyDescent="0.3">
      <c r="A189" s="27">
        <v>186</v>
      </c>
      <c r="B189" s="28">
        <v>2025</v>
      </c>
      <c r="C189" s="29" t="s">
        <v>168</v>
      </c>
      <c r="D189" s="30" t="s">
        <v>743</v>
      </c>
      <c r="E189" s="29">
        <v>29124964</v>
      </c>
      <c r="F189" s="29">
        <v>1121423</v>
      </c>
      <c r="G189" s="30" t="s">
        <v>746</v>
      </c>
      <c r="H189" s="29">
        <v>290</v>
      </c>
      <c r="I189" s="29">
        <v>1</v>
      </c>
      <c r="J189" s="29"/>
      <c r="K189" s="30"/>
      <c r="L189" s="29" t="s">
        <v>72</v>
      </c>
      <c r="M189" s="31">
        <v>4540</v>
      </c>
      <c r="N189" s="31">
        <v>1135</v>
      </c>
      <c r="O189" s="31">
        <v>5675</v>
      </c>
      <c r="P189" s="31">
        <f>VLOOKUP(F189,'[3]1ª PARCELA'!$E$5:$H$889,4,FALSE)</f>
        <v>5675</v>
      </c>
      <c r="Q189" s="31" t="b">
        <f t="shared" si="2"/>
        <v>1</v>
      </c>
      <c r="R189" s="32">
        <v>45895</v>
      </c>
      <c r="S189" s="29">
        <v>19863</v>
      </c>
      <c r="T189" s="29" t="s">
        <v>747</v>
      </c>
      <c r="U189" s="33" t="s">
        <v>748</v>
      </c>
    </row>
    <row r="190" spans="1:21" ht="28.5" customHeight="1" x14ac:dyDescent="0.3">
      <c r="A190" s="27">
        <v>187</v>
      </c>
      <c r="B190" s="28">
        <v>2025</v>
      </c>
      <c r="C190" s="29" t="s">
        <v>701</v>
      </c>
      <c r="D190" s="30" t="s">
        <v>749</v>
      </c>
      <c r="E190" s="29">
        <v>29125898</v>
      </c>
      <c r="F190" s="29">
        <v>1165846</v>
      </c>
      <c r="G190" s="30" t="s">
        <v>750</v>
      </c>
      <c r="H190" s="29">
        <v>520</v>
      </c>
      <c r="I190" s="29">
        <v>1</v>
      </c>
      <c r="J190" s="29"/>
      <c r="K190" s="30"/>
      <c r="L190" s="29" t="s">
        <v>72</v>
      </c>
      <c r="M190" s="31">
        <v>4900</v>
      </c>
      <c r="N190" s="31">
        <v>1225</v>
      </c>
      <c r="O190" s="31">
        <v>6125</v>
      </c>
      <c r="P190" s="31">
        <f>VLOOKUP(F190,'[3]1ª PARCELA'!$E$5:$H$889,4,FALSE)</f>
        <v>6125</v>
      </c>
      <c r="Q190" s="31" t="b">
        <f t="shared" si="2"/>
        <v>1</v>
      </c>
      <c r="R190" s="32">
        <v>45793</v>
      </c>
      <c r="S190" s="29">
        <v>9173</v>
      </c>
      <c r="T190" s="29" t="s">
        <v>751</v>
      </c>
      <c r="U190" s="33" t="s">
        <v>752</v>
      </c>
    </row>
    <row r="191" spans="1:21" ht="28.5" customHeight="1" x14ac:dyDescent="0.3">
      <c r="A191" s="27">
        <v>188</v>
      </c>
      <c r="B191" s="28">
        <v>2025</v>
      </c>
      <c r="C191" s="29" t="s">
        <v>701</v>
      </c>
      <c r="D191" s="30" t="s">
        <v>753</v>
      </c>
      <c r="E191" s="29">
        <v>29126126</v>
      </c>
      <c r="F191" s="29">
        <v>1114893</v>
      </c>
      <c r="G191" s="30" t="s">
        <v>754</v>
      </c>
      <c r="H191" s="29">
        <v>458</v>
      </c>
      <c r="I191" s="29">
        <v>1</v>
      </c>
      <c r="J191" s="29"/>
      <c r="K191" s="30"/>
      <c r="L191" s="29" t="s">
        <v>72</v>
      </c>
      <c r="M191" s="31">
        <v>3303</v>
      </c>
      <c r="N191" s="31">
        <v>2202</v>
      </c>
      <c r="O191" s="31">
        <v>5505</v>
      </c>
      <c r="P191" s="31">
        <f>VLOOKUP(F191,'[3]1ª PARCELA'!$E$5:$H$889,4,FALSE)</f>
        <v>5505</v>
      </c>
      <c r="Q191" s="31" t="b">
        <f t="shared" si="2"/>
        <v>1</v>
      </c>
      <c r="R191" s="32">
        <v>45926</v>
      </c>
      <c r="S191" s="29">
        <v>24529</v>
      </c>
      <c r="T191" s="29" t="s">
        <v>755</v>
      </c>
      <c r="U191" s="33" t="s">
        <v>756</v>
      </c>
    </row>
    <row r="192" spans="1:21" ht="28.5" customHeight="1" x14ac:dyDescent="0.3">
      <c r="A192" s="27">
        <v>189</v>
      </c>
      <c r="B192" s="28">
        <v>2025</v>
      </c>
      <c r="C192" s="29" t="s">
        <v>701</v>
      </c>
      <c r="D192" s="30" t="s">
        <v>757</v>
      </c>
      <c r="E192" s="29">
        <v>29126550</v>
      </c>
      <c r="F192" s="29">
        <v>1179128</v>
      </c>
      <c r="G192" s="30" t="s">
        <v>758</v>
      </c>
      <c r="H192" s="29">
        <v>249</v>
      </c>
      <c r="I192" s="29">
        <v>1</v>
      </c>
      <c r="J192" s="29"/>
      <c r="K192" s="30"/>
      <c r="L192" s="29" t="s">
        <v>72</v>
      </c>
      <c r="M192" s="31">
        <v>4212</v>
      </c>
      <c r="N192" s="31">
        <v>1053</v>
      </c>
      <c r="O192" s="31">
        <v>5265</v>
      </c>
      <c r="P192" s="31">
        <f>VLOOKUP(F192,'[3]1ª PARCELA'!$E$5:$H$889,4,FALSE)</f>
        <v>5265</v>
      </c>
      <c r="Q192" s="31" t="b">
        <f t="shared" si="2"/>
        <v>1</v>
      </c>
      <c r="R192" s="32">
        <v>45793</v>
      </c>
      <c r="S192" s="29">
        <v>9173</v>
      </c>
      <c r="T192" s="29" t="s">
        <v>759</v>
      </c>
      <c r="U192" s="33" t="s">
        <v>760</v>
      </c>
    </row>
    <row r="193" spans="1:21" ht="28.5" customHeight="1" x14ac:dyDescent="0.3">
      <c r="A193" s="27">
        <v>190</v>
      </c>
      <c r="B193" s="28">
        <v>2025</v>
      </c>
      <c r="C193" s="29" t="s">
        <v>701</v>
      </c>
      <c r="D193" s="30" t="s">
        <v>761</v>
      </c>
      <c r="E193" s="29">
        <v>29126991</v>
      </c>
      <c r="F193" s="29">
        <v>1114729</v>
      </c>
      <c r="G193" s="30" t="s">
        <v>762</v>
      </c>
      <c r="H193" s="29">
        <v>447</v>
      </c>
      <c r="I193" s="29">
        <v>1</v>
      </c>
      <c r="J193" s="29"/>
      <c r="K193" s="30"/>
      <c r="L193" s="29" t="s">
        <v>72</v>
      </c>
      <c r="M193" s="31">
        <v>4316</v>
      </c>
      <c r="N193" s="31">
        <v>1079</v>
      </c>
      <c r="O193" s="31">
        <v>5395</v>
      </c>
      <c r="P193" s="31">
        <f>VLOOKUP(F193,'[3]1ª PARCELA'!$E$5:$H$889,4,FALSE)</f>
        <v>5395</v>
      </c>
      <c r="Q193" s="31" t="b">
        <f t="shared" si="2"/>
        <v>1</v>
      </c>
      <c r="R193" s="32">
        <v>45793</v>
      </c>
      <c r="S193" s="29">
        <v>9173</v>
      </c>
      <c r="T193" s="29" t="s">
        <v>763</v>
      </c>
      <c r="U193" s="33" t="s">
        <v>764</v>
      </c>
    </row>
    <row r="194" spans="1:21" ht="28.5" customHeight="1" x14ac:dyDescent="0.3">
      <c r="A194" s="27">
        <v>191</v>
      </c>
      <c r="B194" s="28">
        <v>2025</v>
      </c>
      <c r="C194" s="29" t="s">
        <v>701</v>
      </c>
      <c r="D194" s="30" t="s">
        <v>765</v>
      </c>
      <c r="E194" s="29">
        <v>29128366</v>
      </c>
      <c r="F194" s="29">
        <v>1114478</v>
      </c>
      <c r="G194" s="30" t="s">
        <v>766</v>
      </c>
      <c r="H194" s="29">
        <v>709</v>
      </c>
      <c r="I194" s="29">
        <v>1</v>
      </c>
      <c r="J194" s="29"/>
      <c r="K194" s="30"/>
      <c r="L194" s="29" t="s">
        <v>72</v>
      </c>
      <c r="M194" s="31">
        <v>6412</v>
      </c>
      <c r="N194" s="31">
        <v>1603</v>
      </c>
      <c r="O194" s="31">
        <v>8015</v>
      </c>
      <c r="P194" s="31">
        <f>VLOOKUP(F194,'[3]1ª PARCELA'!$E$5:$H$889,4,FALSE)</f>
        <v>8015</v>
      </c>
      <c r="Q194" s="31" t="b">
        <f t="shared" si="2"/>
        <v>1</v>
      </c>
      <c r="R194" s="32">
        <v>45793</v>
      </c>
      <c r="S194" s="29">
        <v>9173</v>
      </c>
      <c r="T194" s="29" t="s">
        <v>767</v>
      </c>
      <c r="U194" s="33" t="s">
        <v>768</v>
      </c>
    </row>
    <row r="195" spans="1:21" ht="28.5" customHeight="1" x14ac:dyDescent="0.3">
      <c r="A195" s="27">
        <v>192</v>
      </c>
      <c r="B195" s="28">
        <v>2025</v>
      </c>
      <c r="C195" s="29" t="s">
        <v>655</v>
      </c>
      <c r="D195" s="30" t="s">
        <v>769</v>
      </c>
      <c r="E195" s="29">
        <v>29129435</v>
      </c>
      <c r="F195" s="29">
        <v>1143494</v>
      </c>
      <c r="G195" s="30" t="s">
        <v>770</v>
      </c>
      <c r="H195" s="29">
        <v>592</v>
      </c>
      <c r="I195" s="29">
        <v>1</v>
      </c>
      <c r="J195" s="29"/>
      <c r="K195" s="30"/>
      <c r="L195" s="29" t="s">
        <v>72</v>
      </c>
      <c r="M195" s="31">
        <v>4791.5</v>
      </c>
      <c r="N195" s="31">
        <v>2053.5</v>
      </c>
      <c r="O195" s="31">
        <v>6845</v>
      </c>
      <c r="P195" s="31">
        <f>VLOOKUP(F195,'[3]1ª PARCELA'!$E$5:$H$889,4,FALSE)</f>
        <v>6845</v>
      </c>
      <c r="Q195" s="31" t="b">
        <f t="shared" si="2"/>
        <v>1</v>
      </c>
      <c r="R195" s="32">
        <v>45793</v>
      </c>
      <c r="S195" s="29">
        <v>9173</v>
      </c>
      <c r="T195" s="29" t="s">
        <v>771</v>
      </c>
      <c r="U195" s="33" t="s">
        <v>772</v>
      </c>
    </row>
    <row r="196" spans="1:21" ht="28.5" customHeight="1" x14ac:dyDescent="0.3">
      <c r="A196" s="27">
        <v>193</v>
      </c>
      <c r="B196" s="28">
        <v>2025</v>
      </c>
      <c r="C196" s="29" t="s">
        <v>701</v>
      </c>
      <c r="D196" s="30" t="s">
        <v>773</v>
      </c>
      <c r="E196" s="29">
        <v>29131383</v>
      </c>
      <c r="F196" s="29">
        <v>1166133</v>
      </c>
      <c r="G196" s="30" t="s">
        <v>774</v>
      </c>
      <c r="H196" s="29">
        <v>396</v>
      </c>
      <c r="I196" s="29">
        <v>1</v>
      </c>
      <c r="J196" s="29"/>
      <c r="K196" s="30"/>
      <c r="L196" s="29" t="s">
        <v>72</v>
      </c>
      <c r="M196" s="31">
        <v>3908</v>
      </c>
      <c r="N196" s="31">
        <v>977</v>
      </c>
      <c r="O196" s="31">
        <v>4885</v>
      </c>
      <c r="P196" s="31">
        <f>VLOOKUP(F196,'[3]1ª PARCELA'!$E$5:$H$889,4,FALSE)</f>
        <v>4885</v>
      </c>
      <c r="Q196" s="31" t="b">
        <f t="shared" si="2"/>
        <v>1</v>
      </c>
      <c r="R196" s="32">
        <v>45793</v>
      </c>
      <c r="S196" s="29">
        <v>9173</v>
      </c>
      <c r="T196" s="29" t="s">
        <v>775</v>
      </c>
      <c r="U196" s="33" t="s">
        <v>776</v>
      </c>
    </row>
    <row r="197" spans="1:21" ht="28.5" customHeight="1" x14ac:dyDescent="0.3">
      <c r="A197" s="27">
        <v>194</v>
      </c>
      <c r="B197" s="28">
        <v>2025</v>
      </c>
      <c r="C197" s="29" t="s">
        <v>655</v>
      </c>
      <c r="D197" s="30" t="s">
        <v>777</v>
      </c>
      <c r="E197" s="29">
        <v>29131553</v>
      </c>
      <c r="F197" s="29">
        <v>1115229</v>
      </c>
      <c r="G197" s="30" t="s">
        <v>778</v>
      </c>
      <c r="H197" s="29">
        <v>952</v>
      </c>
      <c r="I197" s="29">
        <v>1</v>
      </c>
      <c r="J197" s="29"/>
      <c r="K197" s="30"/>
      <c r="L197" s="29" t="s">
        <v>72</v>
      </c>
      <c r="M197" s="31">
        <v>7311.5</v>
      </c>
      <c r="N197" s="31">
        <v>3133.5</v>
      </c>
      <c r="O197" s="31">
        <v>10445</v>
      </c>
      <c r="P197" s="31">
        <f>VLOOKUP(F197,'[3]1ª PARCELA'!$E$5:$H$889,4,FALSE)</f>
        <v>10445</v>
      </c>
      <c r="Q197" s="31" t="b">
        <f t="shared" ref="Q197:Q260" si="3">O197=P197</f>
        <v>1</v>
      </c>
      <c r="R197" s="32">
        <v>45805</v>
      </c>
      <c r="S197" s="29">
        <v>9678</v>
      </c>
      <c r="T197" s="29" t="s">
        <v>779</v>
      </c>
      <c r="U197" s="33" t="s">
        <v>780</v>
      </c>
    </row>
    <row r="198" spans="1:21" ht="28.5" customHeight="1" x14ac:dyDescent="0.3">
      <c r="A198" s="27">
        <v>195</v>
      </c>
      <c r="B198" s="28">
        <v>2025</v>
      </c>
      <c r="C198" s="29" t="s">
        <v>701</v>
      </c>
      <c r="D198" s="30" t="s">
        <v>781</v>
      </c>
      <c r="E198" s="29">
        <v>29132045</v>
      </c>
      <c r="F198" s="29">
        <v>1115091</v>
      </c>
      <c r="G198" s="30" t="s">
        <v>782</v>
      </c>
      <c r="H198" s="29">
        <v>1086</v>
      </c>
      <c r="I198" s="29">
        <v>1</v>
      </c>
      <c r="J198" s="29"/>
      <c r="K198" s="30"/>
      <c r="L198" s="29" t="s">
        <v>72</v>
      </c>
      <c r="M198" s="31">
        <v>9428</v>
      </c>
      <c r="N198" s="31">
        <v>2357</v>
      </c>
      <c r="O198" s="31">
        <v>11785</v>
      </c>
      <c r="P198" s="31">
        <f>VLOOKUP(F198,'[3]1ª PARCELA'!$E$5:$H$889,4,FALSE)</f>
        <v>11785</v>
      </c>
      <c r="Q198" s="31" t="b">
        <f t="shared" si="3"/>
        <v>1</v>
      </c>
      <c r="R198" s="32">
        <v>45793</v>
      </c>
      <c r="S198" s="29">
        <v>9173</v>
      </c>
      <c r="T198" s="29" t="s">
        <v>783</v>
      </c>
      <c r="U198" s="33" t="s">
        <v>784</v>
      </c>
    </row>
    <row r="199" spans="1:21" ht="28.5" customHeight="1" x14ac:dyDescent="0.3">
      <c r="A199" s="27">
        <v>196</v>
      </c>
      <c r="B199" s="28">
        <v>2025</v>
      </c>
      <c r="C199" s="29" t="s">
        <v>701</v>
      </c>
      <c r="D199" s="30" t="s">
        <v>50</v>
      </c>
      <c r="E199" s="29">
        <v>29132711</v>
      </c>
      <c r="F199" s="29">
        <v>1115342</v>
      </c>
      <c r="G199" s="30" t="s">
        <v>785</v>
      </c>
      <c r="H199" s="29">
        <v>563</v>
      </c>
      <c r="I199" s="29">
        <v>1</v>
      </c>
      <c r="J199" s="29"/>
      <c r="K199" s="30"/>
      <c r="L199" s="29" t="s">
        <v>72</v>
      </c>
      <c r="M199" s="31">
        <v>5244</v>
      </c>
      <c r="N199" s="31">
        <v>1311</v>
      </c>
      <c r="O199" s="31">
        <v>6555</v>
      </c>
      <c r="P199" s="31">
        <f>VLOOKUP(F199,'[3]1ª PARCELA'!$E$5:$H$889,4,FALSE)</f>
        <v>6555</v>
      </c>
      <c r="Q199" s="31" t="b">
        <f t="shared" si="3"/>
        <v>1</v>
      </c>
      <c r="R199" s="32">
        <v>45833</v>
      </c>
      <c r="S199" s="29">
        <v>13120</v>
      </c>
      <c r="T199" s="29" t="s">
        <v>786</v>
      </c>
      <c r="U199" s="33" t="s">
        <v>44</v>
      </c>
    </row>
    <row r="200" spans="1:21" ht="28.5" customHeight="1" x14ac:dyDescent="0.3">
      <c r="A200" s="27">
        <v>197</v>
      </c>
      <c r="B200" s="28">
        <v>2025</v>
      </c>
      <c r="C200" s="29" t="s">
        <v>701</v>
      </c>
      <c r="D200" s="30" t="s">
        <v>787</v>
      </c>
      <c r="E200" s="29">
        <v>29133130</v>
      </c>
      <c r="F200" s="29">
        <v>1115326</v>
      </c>
      <c r="G200" s="30" t="s">
        <v>788</v>
      </c>
      <c r="H200" s="29">
        <v>937</v>
      </c>
      <c r="I200" s="29">
        <v>1</v>
      </c>
      <c r="J200" s="29"/>
      <c r="K200" s="30"/>
      <c r="L200" s="29" t="s">
        <v>72</v>
      </c>
      <c r="M200" s="31">
        <v>8236</v>
      </c>
      <c r="N200" s="31">
        <v>2059</v>
      </c>
      <c r="O200" s="31">
        <v>10295</v>
      </c>
      <c r="P200" s="31">
        <f>VLOOKUP(F200,'[3]1ª PARCELA'!$E$5:$H$889,4,FALSE)</f>
        <v>10295</v>
      </c>
      <c r="Q200" s="31" t="b">
        <f t="shared" si="3"/>
        <v>1</v>
      </c>
      <c r="R200" s="32">
        <v>45793</v>
      </c>
      <c r="S200" s="29">
        <v>9173</v>
      </c>
      <c r="T200" s="29" t="s">
        <v>789</v>
      </c>
      <c r="U200" s="33" t="s">
        <v>790</v>
      </c>
    </row>
    <row r="201" spans="1:21" ht="28.5" customHeight="1" x14ac:dyDescent="0.3">
      <c r="A201" s="27">
        <v>198</v>
      </c>
      <c r="B201" s="28">
        <v>2025</v>
      </c>
      <c r="C201" s="29" t="s">
        <v>701</v>
      </c>
      <c r="D201" s="30" t="s">
        <v>787</v>
      </c>
      <c r="E201" s="29">
        <v>29133955</v>
      </c>
      <c r="F201" s="29">
        <v>1115393</v>
      </c>
      <c r="G201" s="30" t="s">
        <v>791</v>
      </c>
      <c r="H201" s="29">
        <v>506</v>
      </c>
      <c r="I201" s="29">
        <v>1</v>
      </c>
      <c r="J201" s="29"/>
      <c r="K201" s="30"/>
      <c r="L201" s="29" t="s">
        <v>72</v>
      </c>
      <c r="M201" s="31">
        <v>4189.5</v>
      </c>
      <c r="N201" s="31">
        <v>1795.5</v>
      </c>
      <c r="O201" s="31">
        <v>5985</v>
      </c>
      <c r="P201" s="31">
        <f>VLOOKUP(F201,'[3]1ª PARCELA'!$E$5:$H$889,4,FALSE)</f>
        <v>5985</v>
      </c>
      <c r="Q201" s="31" t="b">
        <f t="shared" si="3"/>
        <v>1</v>
      </c>
      <c r="R201" s="32">
        <v>45799</v>
      </c>
      <c r="S201" s="29">
        <v>9461</v>
      </c>
      <c r="T201" s="29" t="s">
        <v>792</v>
      </c>
      <c r="U201" s="33" t="s">
        <v>793</v>
      </c>
    </row>
    <row r="202" spans="1:21" ht="28.5" customHeight="1" x14ac:dyDescent="0.3">
      <c r="A202" s="27">
        <v>199</v>
      </c>
      <c r="B202" s="28">
        <v>2025</v>
      </c>
      <c r="C202" s="29" t="s">
        <v>718</v>
      </c>
      <c r="D202" s="30" t="s">
        <v>794</v>
      </c>
      <c r="E202" s="29">
        <v>29135710</v>
      </c>
      <c r="F202" s="29">
        <v>1115431</v>
      </c>
      <c r="G202" s="30" t="s">
        <v>795</v>
      </c>
      <c r="H202" s="29">
        <v>1689</v>
      </c>
      <c r="I202" s="29">
        <v>1</v>
      </c>
      <c r="J202" s="29"/>
      <c r="K202" s="30"/>
      <c r="L202" s="29" t="s">
        <v>72</v>
      </c>
      <c r="M202" s="31">
        <v>8907.5</v>
      </c>
      <c r="N202" s="31">
        <v>8907.5</v>
      </c>
      <c r="O202" s="31">
        <v>17815</v>
      </c>
      <c r="P202" s="31">
        <f>VLOOKUP(F202,'[3]1ª PARCELA'!$E$5:$H$889,4,FALSE)</f>
        <v>17815</v>
      </c>
      <c r="Q202" s="31" t="b">
        <f t="shared" si="3"/>
        <v>1</v>
      </c>
      <c r="R202" s="32">
        <v>45793</v>
      </c>
      <c r="S202" s="29">
        <v>9173</v>
      </c>
      <c r="T202" s="29" t="s">
        <v>796</v>
      </c>
      <c r="U202" s="33" t="s">
        <v>797</v>
      </c>
    </row>
    <row r="203" spans="1:21" ht="28.5" customHeight="1" x14ac:dyDescent="0.3">
      <c r="A203" s="27">
        <v>200</v>
      </c>
      <c r="B203" s="28">
        <v>2025</v>
      </c>
      <c r="C203" s="29" t="s">
        <v>718</v>
      </c>
      <c r="D203" s="30" t="s">
        <v>798</v>
      </c>
      <c r="E203" s="29">
        <v>29136571</v>
      </c>
      <c r="F203" s="29">
        <v>1105606</v>
      </c>
      <c r="G203" s="30" t="s">
        <v>799</v>
      </c>
      <c r="H203" s="29">
        <v>316</v>
      </c>
      <c r="I203" s="29">
        <v>1</v>
      </c>
      <c r="J203" s="29"/>
      <c r="K203" s="30"/>
      <c r="L203" s="29" t="s">
        <v>72</v>
      </c>
      <c r="M203" s="31">
        <v>3268</v>
      </c>
      <c r="N203" s="31">
        <v>817</v>
      </c>
      <c r="O203" s="31">
        <v>4085</v>
      </c>
      <c r="P203" s="31">
        <f>VLOOKUP(F203,'[3]1ª PARCELA'!$E$5:$H$889,4,FALSE)</f>
        <v>4085</v>
      </c>
      <c r="Q203" s="31" t="b">
        <f t="shared" si="3"/>
        <v>1</v>
      </c>
      <c r="R203" s="32">
        <v>45800</v>
      </c>
      <c r="S203" s="29">
        <v>9563</v>
      </c>
      <c r="T203" s="29" t="s">
        <v>800</v>
      </c>
      <c r="U203" s="33" t="s">
        <v>801</v>
      </c>
    </row>
    <row r="204" spans="1:21" ht="28.5" customHeight="1" x14ac:dyDescent="0.3">
      <c r="A204" s="27">
        <v>201</v>
      </c>
      <c r="B204" s="28">
        <v>2025</v>
      </c>
      <c r="C204" s="29" t="s">
        <v>718</v>
      </c>
      <c r="D204" s="30" t="s">
        <v>802</v>
      </c>
      <c r="E204" s="29">
        <v>29137853</v>
      </c>
      <c r="F204" s="29">
        <v>1115865</v>
      </c>
      <c r="G204" s="30" t="s">
        <v>803</v>
      </c>
      <c r="H204" s="29">
        <v>1425</v>
      </c>
      <c r="I204" s="29">
        <v>1</v>
      </c>
      <c r="J204" s="29"/>
      <c r="K204" s="30"/>
      <c r="L204" s="29" t="s">
        <v>72</v>
      </c>
      <c r="M204" s="31">
        <v>10622.5</v>
      </c>
      <c r="N204" s="31">
        <v>4552.5</v>
      </c>
      <c r="O204" s="31">
        <v>15175</v>
      </c>
      <c r="P204" s="31">
        <f>VLOOKUP(F204,'[3]1ª PARCELA'!$E$5:$H$889,4,FALSE)</f>
        <v>15175</v>
      </c>
      <c r="Q204" s="31" t="b">
        <f t="shared" si="3"/>
        <v>1</v>
      </c>
      <c r="R204" s="32">
        <v>45793</v>
      </c>
      <c r="S204" s="29">
        <v>9173</v>
      </c>
      <c r="T204" s="29" t="s">
        <v>804</v>
      </c>
      <c r="U204" s="33" t="s">
        <v>805</v>
      </c>
    </row>
    <row r="205" spans="1:21" ht="28.5" customHeight="1" x14ac:dyDescent="0.3">
      <c r="A205" s="27">
        <v>202</v>
      </c>
      <c r="B205" s="28">
        <v>2025</v>
      </c>
      <c r="C205" s="29" t="s">
        <v>718</v>
      </c>
      <c r="D205" s="30" t="s">
        <v>802</v>
      </c>
      <c r="E205" s="29">
        <v>29137870</v>
      </c>
      <c r="F205" s="29">
        <v>1115717</v>
      </c>
      <c r="G205" s="30" t="s">
        <v>806</v>
      </c>
      <c r="H205" s="29">
        <v>160</v>
      </c>
      <c r="I205" s="29">
        <v>1</v>
      </c>
      <c r="J205" s="29"/>
      <c r="K205" s="30"/>
      <c r="L205" s="29" t="s">
        <v>72</v>
      </c>
      <c r="M205" s="31">
        <v>3500</v>
      </c>
      <c r="N205" s="31">
        <v>875</v>
      </c>
      <c r="O205" s="31">
        <v>4375</v>
      </c>
      <c r="P205" s="31">
        <f>VLOOKUP(F205,'[3]1ª PARCELA'!$E$5:$H$889,4,FALSE)</f>
        <v>4375</v>
      </c>
      <c r="Q205" s="31" t="b">
        <f t="shared" si="3"/>
        <v>1</v>
      </c>
      <c r="R205" s="32">
        <v>45793</v>
      </c>
      <c r="S205" s="29">
        <v>9173</v>
      </c>
      <c r="T205" s="29" t="s">
        <v>807</v>
      </c>
      <c r="U205" s="33" t="s">
        <v>808</v>
      </c>
    </row>
    <row r="206" spans="1:21" ht="28.5" customHeight="1" x14ac:dyDescent="0.3">
      <c r="A206" s="27">
        <v>203</v>
      </c>
      <c r="B206" s="28">
        <v>2025</v>
      </c>
      <c r="C206" s="29" t="s">
        <v>718</v>
      </c>
      <c r="D206" s="30" t="s">
        <v>802</v>
      </c>
      <c r="E206" s="29">
        <v>29137900</v>
      </c>
      <c r="F206" s="29">
        <v>1115903</v>
      </c>
      <c r="G206" s="30" t="s">
        <v>809</v>
      </c>
      <c r="H206" s="29">
        <v>197</v>
      </c>
      <c r="I206" s="29">
        <v>1</v>
      </c>
      <c r="J206" s="29"/>
      <c r="K206" s="30"/>
      <c r="L206" s="29" t="s">
        <v>72</v>
      </c>
      <c r="M206" s="31">
        <v>3796</v>
      </c>
      <c r="N206" s="31">
        <v>949</v>
      </c>
      <c r="O206" s="31">
        <v>4745</v>
      </c>
      <c r="P206" s="31">
        <f>VLOOKUP(F206,'[3]1ª PARCELA'!$E$5:$H$889,4,FALSE)</f>
        <v>4745</v>
      </c>
      <c r="Q206" s="31" t="b">
        <f t="shared" si="3"/>
        <v>1</v>
      </c>
      <c r="R206" s="32">
        <v>45793</v>
      </c>
      <c r="S206" s="29">
        <v>9173</v>
      </c>
      <c r="T206" s="29" t="s">
        <v>810</v>
      </c>
      <c r="U206" s="33" t="s">
        <v>811</v>
      </c>
    </row>
    <row r="207" spans="1:21" ht="28.5" customHeight="1" x14ac:dyDescent="0.3">
      <c r="A207" s="27">
        <v>204</v>
      </c>
      <c r="B207" s="28">
        <v>2025</v>
      </c>
      <c r="C207" s="29" t="s">
        <v>718</v>
      </c>
      <c r="D207" s="30" t="s">
        <v>802</v>
      </c>
      <c r="E207" s="29">
        <v>29138442</v>
      </c>
      <c r="F207" s="29">
        <v>1115660</v>
      </c>
      <c r="G207" s="30" t="s">
        <v>812</v>
      </c>
      <c r="H207" s="29">
        <v>209</v>
      </c>
      <c r="I207" s="29">
        <v>1</v>
      </c>
      <c r="J207" s="29"/>
      <c r="K207" s="30"/>
      <c r="L207" s="29" t="s">
        <v>72</v>
      </c>
      <c r="M207" s="31">
        <v>2919</v>
      </c>
      <c r="N207" s="31">
        <v>1946</v>
      </c>
      <c r="O207" s="31">
        <v>4865</v>
      </c>
      <c r="P207" s="31">
        <f>VLOOKUP(F207,'[3]1ª PARCELA'!$E$5:$H$889,4,FALSE)</f>
        <v>4865</v>
      </c>
      <c r="Q207" s="31" t="b">
        <f t="shared" si="3"/>
        <v>1</v>
      </c>
      <c r="R207" s="32">
        <v>45793</v>
      </c>
      <c r="S207" s="29">
        <v>9173</v>
      </c>
      <c r="T207" s="29" t="s">
        <v>813</v>
      </c>
      <c r="U207" s="33" t="s">
        <v>814</v>
      </c>
    </row>
    <row r="208" spans="1:21" ht="28.5" customHeight="1" x14ac:dyDescent="0.3">
      <c r="A208" s="27">
        <v>205</v>
      </c>
      <c r="B208" s="28">
        <v>2025</v>
      </c>
      <c r="C208" s="29" t="s">
        <v>718</v>
      </c>
      <c r="D208" s="30" t="s">
        <v>802</v>
      </c>
      <c r="E208" s="29">
        <v>29139155</v>
      </c>
      <c r="F208" s="29">
        <v>1115679</v>
      </c>
      <c r="G208" s="30" t="s">
        <v>815</v>
      </c>
      <c r="H208" s="29">
        <v>243</v>
      </c>
      <c r="I208" s="29">
        <v>1</v>
      </c>
      <c r="J208" s="29"/>
      <c r="K208" s="30"/>
      <c r="L208" s="29" t="s">
        <v>72</v>
      </c>
      <c r="M208" s="31">
        <v>3123</v>
      </c>
      <c r="N208" s="31">
        <v>2082</v>
      </c>
      <c r="O208" s="31">
        <v>5205</v>
      </c>
      <c r="P208" s="31">
        <f>VLOOKUP(F208,'[3]1ª PARCELA'!$E$5:$H$889,4,FALSE)</f>
        <v>5205</v>
      </c>
      <c r="Q208" s="31" t="b">
        <f t="shared" si="3"/>
        <v>1</v>
      </c>
      <c r="R208" s="32">
        <v>45793</v>
      </c>
      <c r="S208" s="29">
        <v>9173</v>
      </c>
      <c r="T208" s="29" t="s">
        <v>816</v>
      </c>
      <c r="U208" s="33" t="s">
        <v>817</v>
      </c>
    </row>
    <row r="209" spans="1:21" ht="28.5" customHeight="1" x14ac:dyDescent="0.3">
      <c r="A209" s="27">
        <v>206</v>
      </c>
      <c r="B209" s="28">
        <v>2025</v>
      </c>
      <c r="C209" s="29" t="s">
        <v>718</v>
      </c>
      <c r="D209" s="30" t="s">
        <v>802</v>
      </c>
      <c r="E209" s="29">
        <v>29139325</v>
      </c>
      <c r="F209" s="29">
        <v>1115806</v>
      </c>
      <c r="G209" s="30" t="s">
        <v>818</v>
      </c>
      <c r="H209" s="29">
        <v>553</v>
      </c>
      <c r="I209" s="29">
        <v>1</v>
      </c>
      <c r="J209" s="29"/>
      <c r="K209" s="30"/>
      <c r="L209" s="29" t="s">
        <v>72</v>
      </c>
      <c r="M209" s="31">
        <v>4983</v>
      </c>
      <c r="N209" s="31">
        <v>3322</v>
      </c>
      <c r="O209" s="31">
        <v>8305</v>
      </c>
      <c r="P209" s="31">
        <f>VLOOKUP(F209,'[3]1ª PARCELA'!$E$5:$H$889,4,FALSE)</f>
        <v>8305</v>
      </c>
      <c r="Q209" s="31" t="b">
        <f t="shared" si="3"/>
        <v>1</v>
      </c>
      <c r="R209" s="32">
        <v>45793</v>
      </c>
      <c r="S209" s="29">
        <v>9173</v>
      </c>
      <c r="T209" s="29" t="s">
        <v>819</v>
      </c>
      <c r="U209" s="33" t="s">
        <v>820</v>
      </c>
    </row>
    <row r="210" spans="1:21" ht="28.5" customHeight="1" x14ac:dyDescent="0.3">
      <c r="A210" s="27">
        <v>207</v>
      </c>
      <c r="B210" s="28">
        <v>2025</v>
      </c>
      <c r="C210" s="29" t="s">
        <v>416</v>
      </c>
      <c r="D210" s="30" t="s">
        <v>821</v>
      </c>
      <c r="E210" s="29">
        <v>29139368</v>
      </c>
      <c r="F210" s="29">
        <v>1106904</v>
      </c>
      <c r="G210" s="30" t="s">
        <v>822</v>
      </c>
      <c r="H210" s="29">
        <v>157</v>
      </c>
      <c r="I210" s="29">
        <v>1</v>
      </c>
      <c r="J210" s="29"/>
      <c r="K210" s="30"/>
      <c r="L210" s="29" t="s">
        <v>72</v>
      </c>
      <c r="M210" s="31">
        <v>1996</v>
      </c>
      <c r="N210" s="31">
        <v>499</v>
      </c>
      <c r="O210" s="31">
        <v>2495</v>
      </c>
      <c r="P210" s="31">
        <f>VLOOKUP(F210,'[3]1ª PARCELA'!$E$5:$H$889,4,FALSE)</f>
        <v>2495</v>
      </c>
      <c r="Q210" s="31" t="b">
        <f t="shared" si="3"/>
        <v>1</v>
      </c>
      <c r="R210" s="32">
        <v>45793</v>
      </c>
      <c r="S210" s="29">
        <v>9173</v>
      </c>
      <c r="T210" s="29" t="s">
        <v>823</v>
      </c>
      <c r="U210" s="33" t="s">
        <v>824</v>
      </c>
    </row>
    <row r="211" spans="1:21" ht="28.5" customHeight="1" x14ac:dyDescent="0.3">
      <c r="A211" s="27">
        <v>208</v>
      </c>
      <c r="B211" s="28">
        <v>2025</v>
      </c>
      <c r="C211" s="29" t="s">
        <v>416</v>
      </c>
      <c r="D211" s="30" t="s">
        <v>825</v>
      </c>
      <c r="E211" s="29">
        <v>29140633</v>
      </c>
      <c r="F211" s="29">
        <v>1160771</v>
      </c>
      <c r="G211" s="30" t="s">
        <v>826</v>
      </c>
      <c r="H211" s="29">
        <v>285</v>
      </c>
      <c r="I211" s="29">
        <v>1</v>
      </c>
      <c r="J211" s="29"/>
      <c r="K211" s="30"/>
      <c r="L211" s="29" t="s">
        <v>72</v>
      </c>
      <c r="M211" s="31">
        <v>3020</v>
      </c>
      <c r="N211" s="31">
        <v>755</v>
      </c>
      <c r="O211" s="31">
        <v>3775</v>
      </c>
      <c r="P211" s="31">
        <f>VLOOKUP(F211,'[3]1ª PARCELA'!$E$5:$H$889,4,FALSE)</f>
        <v>3775</v>
      </c>
      <c r="Q211" s="31" t="b">
        <f t="shared" si="3"/>
        <v>1</v>
      </c>
      <c r="R211" s="32">
        <v>45805</v>
      </c>
      <c r="S211" s="29">
        <v>9678</v>
      </c>
      <c r="T211" s="29" t="s">
        <v>827</v>
      </c>
      <c r="U211" s="33" t="s">
        <v>828</v>
      </c>
    </row>
    <row r="212" spans="1:21" ht="28.5" customHeight="1" x14ac:dyDescent="0.3">
      <c r="A212" s="27">
        <v>209</v>
      </c>
      <c r="B212" s="28">
        <v>2025</v>
      </c>
      <c r="C212" s="29" t="s">
        <v>416</v>
      </c>
      <c r="D212" s="30" t="s">
        <v>829</v>
      </c>
      <c r="E212" s="29">
        <v>29141044</v>
      </c>
      <c r="F212" s="29">
        <v>1106840</v>
      </c>
      <c r="G212" s="30" t="s">
        <v>830</v>
      </c>
      <c r="H212" s="29">
        <v>591</v>
      </c>
      <c r="I212" s="29">
        <v>1</v>
      </c>
      <c r="J212" s="29"/>
      <c r="K212" s="30"/>
      <c r="L212" s="29" t="s">
        <v>72</v>
      </c>
      <c r="M212" s="31">
        <v>4101</v>
      </c>
      <c r="N212" s="31">
        <v>2734</v>
      </c>
      <c r="O212" s="31">
        <v>6835</v>
      </c>
      <c r="P212" s="31">
        <f>VLOOKUP(F212,'[3]1ª PARCELA'!$E$5:$H$889,4,FALSE)</f>
        <v>6835</v>
      </c>
      <c r="Q212" s="31" t="b">
        <f t="shared" si="3"/>
        <v>1</v>
      </c>
      <c r="R212" s="32">
        <v>45793</v>
      </c>
      <c r="S212" s="29">
        <v>9173</v>
      </c>
      <c r="T212" s="29" t="s">
        <v>831</v>
      </c>
      <c r="U212" s="33" t="s">
        <v>832</v>
      </c>
    </row>
    <row r="213" spans="1:21" ht="28.5" customHeight="1" x14ac:dyDescent="0.3">
      <c r="A213" s="27">
        <v>210</v>
      </c>
      <c r="B213" s="28">
        <v>2025</v>
      </c>
      <c r="C213" s="29" t="s">
        <v>718</v>
      </c>
      <c r="D213" s="30" t="s">
        <v>833</v>
      </c>
      <c r="E213" s="29">
        <v>29142229</v>
      </c>
      <c r="F213" s="29">
        <v>1115997</v>
      </c>
      <c r="G213" s="30" t="s">
        <v>834</v>
      </c>
      <c r="H213" s="29">
        <v>618</v>
      </c>
      <c r="I213" s="29">
        <v>1</v>
      </c>
      <c r="J213" s="29"/>
      <c r="K213" s="30"/>
      <c r="L213" s="29" t="s">
        <v>72</v>
      </c>
      <c r="M213" s="31">
        <v>5684</v>
      </c>
      <c r="N213" s="31">
        <v>1421</v>
      </c>
      <c r="O213" s="31">
        <v>7105</v>
      </c>
      <c r="P213" s="31">
        <f>VLOOKUP(F213,'[3]1ª PARCELA'!$E$5:$H$889,4,FALSE)</f>
        <v>7105</v>
      </c>
      <c r="Q213" s="31" t="b">
        <f t="shared" si="3"/>
        <v>1</v>
      </c>
      <c r="R213" s="32">
        <v>45805</v>
      </c>
      <c r="S213" s="29">
        <v>9678</v>
      </c>
      <c r="T213" s="29" t="s">
        <v>835</v>
      </c>
      <c r="U213" s="33" t="s">
        <v>836</v>
      </c>
    </row>
    <row r="214" spans="1:21" ht="28.5" customHeight="1" x14ac:dyDescent="0.3">
      <c r="A214" s="27">
        <v>211</v>
      </c>
      <c r="B214" s="28">
        <v>2025</v>
      </c>
      <c r="C214" s="29" t="s">
        <v>416</v>
      </c>
      <c r="D214" s="30" t="s">
        <v>837</v>
      </c>
      <c r="E214" s="29">
        <v>29142709</v>
      </c>
      <c r="F214" s="29">
        <v>1138172</v>
      </c>
      <c r="G214" s="30" t="s">
        <v>418</v>
      </c>
      <c r="H214" s="29">
        <v>364</v>
      </c>
      <c r="I214" s="29">
        <v>1</v>
      </c>
      <c r="J214" s="29"/>
      <c r="K214" s="30"/>
      <c r="L214" s="29" t="s">
        <v>72</v>
      </c>
      <c r="M214" s="31">
        <v>3652</v>
      </c>
      <c r="N214" s="31">
        <v>913</v>
      </c>
      <c r="O214" s="31">
        <v>4565</v>
      </c>
      <c r="P214" s="31">
        <f>VLOOKUP(F214,'[3]1ª PARCELA'!$E$5:$H$889,4,FALSE)</f>
        <v>4565</v>
      </c>
      <c r="Q214" s="31" t="b">
        <f t="shared" si="3"/>
        <v>1</v>
      </c>
      <c r="R214" s="32">
        <v>45967</v>
      </c>
      <c r="S214" s="29">
        <v>29630</v>
      </c>
      <c r="T214" s="29" t="s">
        <v>838</v>
      </c>
      <c r="U214" s="33" t="s">
        <v>839</v>
      </c>
    </row>
    <row r="215" spans="1:21" ht="28.5" customHeight="1" x14ac:dyDescent="0.3">
      <c r="A215" s="27">
        <v>212</v>
      </c>
      <c r="B215" s="28">
        <v>2025</v>
      </c>
      <c r="C215" s="29" t="s">
        <v>416</v>
      </c>
      <c r="D215" s="30" t="s">
        <v>837</v>
      </c>
      <c r="E215" s="29">
        <v>29142997</v>
      </c>
      <c r="F215" s="29">
        <v>1137982</v>
      </c>
      <c r="G215" s="30" t="s">
        <v>840</v>
      </c>
      <c r="H215" s="29">
        <v>645</v>
      </c>
      <c r="I215" s="29">
        <v>1</v>
      </c>
      <c r="J215" s="29"/>
      <c r="K215" s="30"/>
      <c r="L215" s="29" t="s">
        <v>72</v>
      </c>
      <c r="M215" s="31">
        <v>5162.5</v>
      </c>
      <c r="N215" s="31">
        <v>2212.5</v>
      </c>
      <c r="O215" s="31">
        <v>7375</v>
      </c>
      <c r="P215" s="31">
        <f>VLOOKUP(F215,'[3]1ª PARCELA'!$E$5:$H$889,4,FALSE)</f>
        <v>7375</v>
      </c>
      <c r="Q215" s="31" t="b">
        <f t="shared" si="3"/>
        <v>1</v>
      </c>
      <c r="R215" s="32">
        <v>45954</v>
      </c>
      <c r="S215" s="29">
        <v>28607</v>
      </c>
      <c r="T215" s="29" t="s">
        <v>841</v>
      </c>
      <c r="U215" s="33" t="s">
        <v>842</v>
      </c>
    </row>
    <row r="216" spans="1:21" ht="28.5" customHeight="1" x14ac:dyDescent="0.3">
      <c r="A216" s="27">
        <v>213</v>
      </c>
      <c r="B216" s="28">
        <v>2025</v>
      </c>
      <c r="C216" s="29" t="s">
        <v>416</v>
      </c>
      <c r="D216" s="30" t="s">
        <v>837</v>
      </c>
      <c r="E216" s="29">
        <v>29143365</v>
      </c>
      <c r="F216" s="29">
        <v>1138245</v>
      </c>
      <c r="G216" s="30" t="s">
        <v>843</v>
      </c>
      <c r="H216" s="29">
        <v>147</v>
      </c>
      <c r="I216" s="29">
        <v>1</v>
      </c>
      <c r="J216" s="29"/>
      <c r="K216" s="30"/>
      <c r="L216" s="29" t="s">
        <v>72</v>
      </c>
      <c r="M216" s="31">
        <v>2547</v>
      </c>
      <c r="N216" s="31">
        <v>1698</v>
      </c>
      <c r="O216" s="31">
        <v>4245</v>
      </c>
      <c r="P216" s="31">
        <f>VLOOKUP(F216,'[3]1ª PARCELA'!$E$5:$H$889,4,FALSE)</f>
        <v>4245</v>
      </c>
      <c r="Q216" s="31" t="b">
        <f t="shared" si="3"/>
        <v>1</v>
      </c>
      <c r="R216" s="32">
        <v>45793</v>
      </c>
      <c r="S216" s="29">
        <v>9173</v>
      </c>
      <c r="T216" s="29" t="s">
        <v>844</v>
      </c>
      <c r="U216" s="33" t="s">
        <v>845</v>
      </c>
    </row>
    <row r="217" spans="1:21" ht="28.5" customHeight="1" x14ac:dyDescent="0.3">
      <c r="A217" s="27">
        <v>214</v>
      </c>
      <c r="B217" s="28">
        <v>2025</v>
      </c>
      <c r="C217" s="29" t="s">
        <v>416</v>
      </c>
      <c r="D217" s="30" t="s">
        <v>837</v>
      </c>
      <c r="E217" s="29">
        <v>29143942</v>
      </c>
      <c r="F217" s="29">
        <v>1160828</v>
      </c>
      <c r="G217" s="30" t="s">
        <v>846</v>
      </c>
      <c r="H217" s="29">
        <v>142</v>
      </c>
      <c r="I217" s="29">
        <v>1</v>
      </c>
      <c r="J217" s="29"/>
      <c r="K217" s="30"/>
      <c r="L217" s="29" t="s">
        <v>72</v>
      </c>
      <c r="M217" s="31">
        <v>2517</v>
      </c>
      <c r="N217" s="31">
        <v>1678</v>
      </c>
      <c r="O217" s="31">
        <v>4195</v>
      </c>
      <c r="P217" s="31">
        <f>VLOOKUP(F217,'[3]1ª PARCELA'!$E$5:$H$889,4,FALSE)</f>
        <v>4195</v>
      </c>
      <c r="Q217" s="31" t="b">
        <f t="shared" si="3"/>
        <v>1</v>
      </c>
      <c r="R217" s="32">
        <v>45793</v>
      </c>
      <c r="S217" s="29">
        <v>9173</v>
      </c>
      <c r="T217" s="29" t="s">
        <v>847</v>
      </c>
      <c r="U217" s="33" t="s">
        <v>848</v>
      </c>
    </row>
    <row r="218" spans="1:21" ht="28.5" customHeight="1" x14ac:dyDescent="0.3">
      <c r="A218" s="27">
        <v>215</v>
      </c>
      <c r="B218" s="28">
        <v>2025</v>
      </c>
      <c r="C218" s="29" t="s">
        <v>718</v>
      </c>
      <c r="D218" s="30" t="s">
        <v>849</v>
      </c>
      <c r="E218" s="29">
        <v>29144302</v>
      </c>
      <c r="F218" s="29">
        <v>1115776</v>
      </c>
      <c r="G218" s="30" t="s">
        <v>850</v>
      </c>
      <c r="H218" s="29">
        <v>1061</v>
      </c>
      <c r="I218" s="29">
        <v>1</v>
      </c>
      <c r="J218" s="29"/>
      <c r="K218" s="30"/>
      <c r="L218" s="29" t="s">
        <v>72</v>
      </c>
      <c r="M218" s="31">
        <v>9228</v>
      </c>
      <c r="N218" s="31">
        <v>2307</v>
      </c>
      <c r="O218" s="31">
        <v>11535</v>
      </c>
      <c r="P218" s="31">
        <f>VLOOKUP(F218,'[3]1ª PARCELA'!$E$5:$H$889,4,FALSE)</f>
        <v>11535</v>
      </c>
      <c r="Q218" s="31" t="b">
        <f t="shared" si="3"/>
        <v>1</v>
      </c>
      <c r="R218" s="32">
        <v>45849</v>
      </c>
      <c r="S218" s="29">
        <v>15915</v>
      </c>
      <c r="T218" s="29" t="s">
        <v>851</v>
      </c>
      <c r="U218" s="33" t="s">
        <v>852</v>
      </c>
    </row>
    <row r="219" spans="1:21" ht="28.5" customHeight="1" x14ac:dyDescent="0.3">
      <c r="A219" s="27">
        <v>216</v>
      </c>
      <c r="B219" s="28">
        <v>2025</v>
      </c>
      <c r="C219" s="29" t="s">
        <v>718</v>
      </c>
      <c r="D219" s="30" t="s">
        <v>853</v>
      </c>
      <c r="E219" s="29">
        <v>29145538</v>
      </c>
      <c r="F219" s="29">
        <v>1116209</v>
      </c>
      <c r="G219" s="30" t="s">
        <v>854</v>
      </c>
      <c r="H219" s="29">
        <v>592</v>
      </c>
      <c r="I219" s="29">
        <v>1</v>
      </c>
      <c r="J219" s="29"/>
      <c r="K219" s="30"/>
      <c r="L219" s="29" t="s">
        <v>72</v>
      </c>
      <c r="M219" s="31">
        <v>5476</v>
      </c>
      <c r="N219" s="31">
        <v>1369</v>
      </c>
      <c r="O219" s="31">
        <v>6845</v>
      </c>
      <c r="P219" s="31">
        <f>VLOOKUP(F219,'[3]1ª PARCELA'!$E$5:$H$889,4,FALSE)</f>
        <v>6845</v>
      </c>
      <c r="Q219" s="31" t="b">
        <f t="shared" si="3"/>
        <v>1</v>
      </c>
      <c r="R219" s="32">
        <v>45793</v>
      </c>
      <c r="S219" s="29">
        <v>9173</v>
      </c>
      <c r="T219" s="29" t="s">
        <v>855</v>
      </c>
      <c r="U219" s="33" t="s">
        <v>856</v>
      </c>
    </row>
    <row r="220" spans="1:21" ht="28.5" customHeight="1" x14ac:dyDescent="0.3">
      <c r="A220" s="27">
        <v>217</v>
      </c>
      <c r="B220" s="28">
        <v>2025</v>
      </c>
      <c r="C220" s="29" t="s">
        <v>718</v>
      </c>
      <c r="D220" s="30" t="s">
        <v>853</v>
      </c>
      <c r="E220" s="29">
        <v>29146151</v>
      </c>
      <c r="F220" s="29">
        <v>1116241</v>
      </c>
      <c r="G220" s="30" t="s">
        <v>857</v>
      </c>
      <c r="H220" s="29">
        <v>583</v>
      </c>
      <c r="I220" s="29">
        <v>1</v>
      </c>
      <c r="J220" s="29"/>
      <c r="K220" s="30"/>
      <c r="L220" s="29" t="s">
        <v>72</v>
      </c>
      <c r="M220" s="31">
        <v>5404</v>
      </c>
      <c r="N220" s="31">
        <v>1351</v>
      </c>
      <c r="O220" s="31">
        <v>6755</v>
      </c>
      <c r="P220" s="31">
        <f>VLOOKUP(F220,'[3]1ª PARCELA'!$E$5:$H$889,4,FALSE)</f>
        <v>6755</v>
      </c>
      <c r="Q220" s="31" t="b">
        <f t="shared" si="3"/>
        <v>1</v>
      </c>
      <c r="R220" s="32">
        <v>45926</v>
      </c>
      <c r="S220" s="29">
        <v>24529</v>
      </c>
      <c r="T220" s="29" t="s">
        <v>858</v>
      </c>
      <c r="U220" s="33" t="s">
        <v>859</v>
      </c>
    </row>
    <row r="221" spans="1:21" ht="28.5" customHeight="1" x14ac:dyDescent="0.3">
      <c r="A221" s="27">
        <v>218</v>
      </c>
      <c r="B221" s="28">
        <v>2025</v>
      </c>
      <c r="C221" s="29" t="s">
        <v>718</v>
      </c>
      <c r="D221" s="30" t="s">
        <v>860</v>
      </c>
      <c r="E221" s="29">
        <v>29146631</v>
      </c>
      <c r="F221" s="29">
        <v>1116691</v>
      </c>
      <c r="G221" s="30" t="s">
        <v>861</v>
      </c>
      <c r="H221" s="29">
        <v>119</v>
      </c>
      <c r="I221" s="29">
        <v>1</v>
      </c>
      <c r="J221" s="29"/>
      <c r="K221" s="30"/>
      <c r="L221" s="29" t="s">
        <v>72</v>
      </c>
      <c r="M221" s="31">
        <v>2775.5</v>
      </c>
      <c r="N221" s="31">
        <v>1189.5</v>
      </c>
      <c r="O221" s="31">
        <v>3965</v>
      </c>
      <c r="P221" s="31">
        <f>VLOOKUP(F221,'[3]1ª PARCELA'!$E$5:$H$889,4,FALSE)</f>
        <v>3965</v>
      </c>
      <c r="Q221" s="31" t="b">
        <f t="shared" si="3"/>
        <v>1</v>
      </c>
      <c r="R221" s="32">
        <v>45793</v>
      </c>
      <c r="S221" s="29">
        <v>9173</v>
      </c>
      <c r="T221" s="29" t="s">
        <v>862</v>
      </c>
      <c r="U221" s="33" t="s">
        <v>863</v>
      </c>
    </row>
    <row r="222" spans="1:21" ht="28.5" customHeight="1" x14ac:dyDescent="0.3">
      <c r="A222" s="27">
        <v>219</v>
      </c>
      <c r="B222" s="28">
        <v>2025</v>
      </c>
      <c r="C222" s="29" t="s">
        <v>718</v>
      </c>
      <c r="D222" s="30" t="s">
        <v>864</v>
      </c>
      <c r="E222" s="29">
        <v>29147409</v>
      </c>
      <c r="F222" s="29">
        <v>1115520</v>
      </c>
      <c r="G222" s="30" t="s">
        <v>865</v>
      </c>
      <c r="H222" s="29">
        <v>608</v>
      </c>
      <c r="I222" s="29">
        <v>1</v>
      </c>
      <c r="J222" s="29"/>
      <c r="K222" s="30"/>
      <c r="L222" s="29" t="s">
        <v>72</v>
      </c>
      <c r="M222" s="31">
        <v>4203</v>
      </c>
      <c r="N222" s="31">
        <v>2802</v>
      </c>
      <c r="O222" s="31">
        <v>7005</v>
      </c>
      <c r="P222" s="31">
        <f>VLOOKUP(F222,'[3]1ª PARCELA'!$E$5:$H$889,4,FALSE)</f>
        <v>7005</v>
      </c>
      <c r="Q222" s="31" t="b">
        <f t="shared" si="3"/>
        <v>1</v>
      </c>
      <c r="R222" s="32">
        <v>45793</v>
      </c>
      <c r="S222" s="29">
        <v>9173</v>
      </c>
      <c r="T222" s="29" t="s">
        <v>866</v>
      </c>
      <c r="U222" s="33" t="s">
        <v>867</v>
      </c>
    </row>
    <row r="223" spans="1:21" ht="28.5" customHeight="1" x14ac:dyDescent="0.3">
      <c r="A223" s="27">
        <v>220</v>
      </c>
      <c r="B223" s="28">
        <v>2025</v>
      </c>
      <c r="C223" s="29" t="s">
        <v>718</v>
      </c>
      <c r="D223" s="30" t="s">
        <v>868</v>
      </c>
      <c r="E223" s="29">
        <v>29147913</v>
      </c>
      <c r="F223" s="29">
        <v>1116446</v>
      </c>
      <c r="G223" s="30" t="s">
        <v>869</v>
      </c>
      <c r="H223" s="29">
        <v>656</v>
      </c>
      <c r="I223" s="29">
        <v>1</v>
      </c>
      <c r="J223" s="29"/>
      <c r="K223" s="30"/>
      <c r="L223" s="29" t="s">
        <v>72</v>
      </c>
      <c r="M223" s="31">
        <v>5613.75</v>
      </c>
      <c r="N223" s="31">
        <v>1871.25</v>
      </c>
      <c r="O223" s="31">
        <v>7485</v>
      </c>
      <c r="P223" s="31">
        <f>VLOOKUP(F223,'[3]1ª PARCELA'!$E$5:$H$889,4,FALSE)</f>
        <v>7485</v>
      </c>
      <c r="Q223" s="31" t="b">
        <f t="shared" si="3"/>
        <v>1</v>
      </c>
      <c r="R223" s="32">
        <v>45793</v>
      </c>
      <c r="S223" s="29">
        <v>9173</v>
      </c>
      <c r="T223" s="29" t="s">
        <v>870</v>
      </c>
      <c r="U223" s="33" t="s">
        <v>871</v>
      </c>
    </row>
    <row r="224" spans="1:21" ht="28.5" customHeight="1" x14ac:dyDescent="0.3">
      <c r="A224" s="27">
        <v>221</v>
      </c>
      <c r="B224" s="28">
        <v>2025</v>
      </c>
      <c r="C224" s="29" t="s">
        <v>718</v>
      </c>
      <c r="D224" s="30" t="s">
        <v>872</v>
      </c>
      <c r="E224" s="29">
        <v>29149380</v>
      </c>
      <c r="F224" s="29">
        <v>1116713</v>
      </c>
      <c r="G224" s="30" t="s">
        <v>873</v>
      </c>
      <c r="H224" s="29">
        <v>817</v>
      </c>
      <c r="I224" s="29">
        <v>1</v>
      </c>
      <c r="J224" s="29"/>
      <c r="K224" s="30"/>
      <c r="L224" s="29" t="s">
        <v>72</v>
      </c>
      <c r="M224" s="31">
        <v>7276</v>
      </c>
      <c r="N224" s="31">
        <v>1819</v>
      </c>
      <c r="O224" s="31">
        <v>9095</v>
      </c>
      <c r="P224" s="31">
        <f>VLOOKUP(F224,'[3]1ª PARCELA'!$E$5:$H$889,4,FALSE)</f>
        <v>9095</v>
      </c>
      <c r="Q224" s="31" t="b">
        <f t="shared" si="3"/>
        <v>1</v>
      </c>
      <c r="R224" s="32">
        <v>45793</v>
      </c>
      <c r="S224" s="29">
        <v>9173</v>
      </c>
      <c r="T224" s="29" t="s">
        <v>874</v>
      </c>
      <c r="U224" s="33" t="s">
        <v>875</v>
      </c>
    </row>
    <row r="225" spans="1:21" ht="28.5" customHeight="1" x14ac:dyDescent="0.3">
      <c r="A225" s="27">
        <v>222</v>
      </c>
      <c r="B225" s="28">
        <v>2025</v>
      </c>
      <c r="C225" s="29" t="s">
        <v>655</v>
      </c>
      <c r="D225" s="30" t="s">
        <v>876</v>
      </c>
      <c r="E225" s="29">
        <v>29149835</v>
      </c>
      <c r="F225" s="29">
        <v>1107927</v>
      </c>
      <c r="G225" s="30" t="s">
        <v>877</v>
      </c>
      <c r="H225" s="29">
        <v>1705</v>
      </c>
      <c r="I225" s="29">
        <v>1</v>
      </c>
      <c r="J225" s="29"/>
      <c r="K225" s="30"/>
      <c r="L225" s="29" t="s">
        <v>72</v>
      </c>
      <c r="M225" s="31">
        <v>12582.5</v>
      </c>
      <c r="N225" s="31">
        <v>5392.5</v>
      </c>
      <c r="O225" s="31">
        <v>17975</v>
      </c>
      <c r="P225" s="31">
        <f>VLOOKUP(F225,'[3]1ª PARCELA'!$E$5:$H$889,4,FALSE)</f>
        <v>17975</v>
      </c>
      <c r="Q225" s="31" t="b">
        <f t="shared" si="3"/>
        <v>1</v>
      </c>
      <c r="R225" s="32">
        <v>45793</v>
      </c>
      <c r="S225" s="29">
        <v>9173</v>
      </c>
      <c r="T225" s="29" t="s">
        <v>878</v>
      </c>
      <c r="U225" s="33" t="s">
        <v>879</v>
      </c>
    </row>
    <row r="226" spans="1:21" ht="28.5" customHeight="1" x14ac:dyDescent="0.3">
      <c r="A226" s="27">
        <v>223</v>
      </c>
      <c r="B226" s="28">
        <v>2025</v>
      </c>
      <c r="C226" s="29" t="s">
        <v>655</v>
      </c>
      <c r="D226" s="30" t="s">
        <v>876</v>
      </c>
      <c r="E226" s="29">
        <v>29149878</v>
      </c>
      <c r="F226" s="29">
        <v>1107986</v>
      </c>
      <c r="G226" s="30" t="s">
        <v>880</v>
      </c>
      <c r="H226" s="29">
        <v>207</v>
      </c>
      <c r="I226" s="29">
        <v>1</v>
      </c>
      <c r="J226" s="29"/>
      <c r="K226" s="30"/>
      <c r="L226" s="29" t="s">
        <v>72</v>
      </c>
      <c r="M226" s="31">
        <v>2396</v>
      </c>
      <c r="N226" s="31">
        <v>599</v>
      </c>
      <c r="O226" s="31">
        <v>2995</v>
      </c>
      <c r="P226" s="31">
        <f>VLOOKUP(F226,'[3]1ª PARCELA'!$E$5:$H$889,4,FALSE)</f>
        <v>2995</v>
      </c>
      <c r="Q226" s="31" t="b">
        <f t="shared" si="3"/>
        <v>1</v>
      </c>
      <c r="R226" s="32">
        <v>45805</v>
      </c>
      <c r="S226" s="29">
        <v>9678</v>
      </c>
      <c r="T226" s="29" t="s">
        <v>881</v>
      </c>
      <c r="U226" s="33" t="s">
        <v>882</v>
      </c>
    </row>
    <row r="227" spans="1:21" ht="28.5" customHeight="1" x14ac:dyDescent="0.3">
      <c r="A227" s="27">
        <v>224</v>
      </c>
      <c r="B227" s="28">
        <v>2025</v>
      </c>
      <c r="C227" s="29" t="s">
        <v>655</v>
      </c>
      <c r="D227" s="30" t="s">
        <v>876</v>
      </c>
      <c r="E227" s="29">
        <v>29150191</v>
      </c>
      <c r="F227" s="29">
        <v>1107960</v>
      </c>
      <c r="G227" s="30" t="s">
        <v>883</v>
      </c>
      <c r="H227" s="29">
        <v>544</v>
      </c>
      <c r="I227" s="29">
        <v>1</v>
      </c>
      <c r="J227" s="29"/>
      <c r="K227" s="30"/>
      <c r="L227" s="29" t="s">
        <v>72</v>
      </c>
      <c r="M227" s="31">
        <v>5092</v>
      </c>
      <c r="N227" s="31">
        <v>1273</v>
      </c>
      <c r="O227" s="31">
        <v>6365</v>
      </c>
      <c r="P227" s="31">
        <f>VLOOKUP(F227,'[3]1ª PARCELA'!$E$5:$H$889,4,FALSE)</f>
        <v>6365</v>
      </c>
      <c r="Q227" s="31" t="b">
        <f t="shared" si="3"/>
        <v>1</v>
      </c>
      <c r="R227" s="32">
        <v>45793</v>
      </c>
      <c r="S227" s="29">
        <v>9173</v>
      </c>
      <c r="T227" s="29" t="s">
        <v>884</v>
      </c>
      <c r="U227" s="33" t="s">
        <v>885</v>
      </c>
    </row>
    <row r="228" spans="1:21" ht="28.5" customHeight="1" x14ac:dyDescent="0.3">
      <c r="A228" s="27">
        <v>225</v>
      </c>
      <c r="B228" s="28">
        <v>2025</v>
      </c>
      <c r="C228" s="29" t="s">
        <v>655</v>
      </c>
      <c r="D228" s="30" t="s">
        <v>876</v>
      </c>
      <c r="E228" s="29">
        <v>29150310</v>
      </c>
      <c r="F228" s="29">
        <v>1107773</v>
      </c>
      <c r="G228" s="30" t="s">
        <v>886</v>
      </c>
      <c r="H228" s="29">
        <v>1348</v>
      </c>
      <c r="I228" s="29">
        <v>1</v>
      </c>
      <c r="J228" s="29"/>
      <c r="K228" s="30"/>
      <c r="L228" s="29" t="s">
        <v>72</v>
      </c>
      <c r="M228" s="31">
        <v>10083.5</v>
      </c>
      <c r="N228" s="31">
        <v>4321.5</v>
      </c>
      <c r="O228" s="31">
        <v>14405</v>
      </c>
      <c r="P228" s="31">
        <f>VLOOKUP(F228,'[3]1ª PARCELA'!$E$5:$H$889,4,FALSE)</f>
        <v>14405</v>
      </c>
      <c r="Q228" s="31" t="b">
        <f t="shared" si="3"/>
        <v>1</v>
      </c>
      <c r="R228" s="32">
        <v>45793</v>
      </c>
      <c r="S228" s="29">
        <v>9173</v>
      </c>
      <c r="T228" s="29" t="s">
        <v>887</v>
      </c>
      <c r="U228" s="33" t="s">
        <v>888</v>
      </c>
    </row>
    <row r="229" spans="1:21" ht="28.5" customHeight="1" x14ac:dyDescent="0.3">
      <c r="A229" s="27">
        <v>226</v>
      </c>
      <c r="B229" s="28">
        <v>2025</v>
      </c>
      <c r="C229" s="29" t="s">
        <v>655</v>
      </c>
      <c r="D229" s="30" t="s">
        <v>876</v>
      </c>
      <c r="E229" s="29">
        <v>29150370</v>
      </c>
      <c r="F229" s="29">
        <v>1105207</v>
      </c>
      <c r="G229" s="30" t="s">
        <v>889</v>
      </c>
      <c r="H229" s="29">
        <v>555</v>
      </c>
      <c r="I229" s="29">
        <v>1</v>
      </c>
      <c r="J229" s="29"/>
      <c r="K229" s="30"/>
      <c r="L229" s="29" t="s">
        <v>72</v>
      </c>
      <c r="M229" s="31">
        <v>5180</v>
      </c>
      <c r="N229" s="31">
        <v>1295</v>
      </c>
      <c r="O229" s="31">
        <v>6475</v>
      </c>
      <c r="P229" s="31">
        <f>VLOOKUP(F229,'[3]1ª PARCELA'!$E$5:$H$889,4,FALSE)</f>
        <v>6475</v>
      </c>
      <c r="Q229" s="31" t="b">
        <f t="shared" si="3"/>
        <v>1</v>
      </c>
      <c r="R229" s="32">
        <v>45805</v>
      </c>
      <c r="S229" s="29">
        <v>9678</v>
      </c>
      <c r="T229" s="29" t="s">
        <v>890</v>
      </c>
      <c r="U229" s="33" t="s">
        <v>891</v>
      </c>
    </row>
    <row r="230" spans="1:21" ht="28.5" customHeight="1" x14ac:dyDescent="0.3">
      <c r="A230" s="27">
        <v>227</v>
      </c>
      <c r="B230" s="28">
        <v>2025</v>
      </c>
      <c r="C230" s="29" t="s">
        <v>655</v>
      </c>
      <c r="D230" s="30" t="s">
        <v>876</v>
      </c>
      <c r="E230" s="29">
        <v>29150418</v>
      </c>
      <c r="F230" s="29">
        <v>1135637</v>
      </c>
      <c r="G230" s="30" t="s">
        <v>892</v>
      </c>
      <c r="H230" s="29">
        <v>742</v>
      </c>
      <c r="I230" s="29">
        <v>1</v>
      </c>
      <c r="J230" s="29"/>
      <c r="K230" s="30"/>
      <c r="L230" s="29" t="s">
        <v>72</v>
      </c>
      <c r="M230" s="31">
        <v>6676</v>
      </c>
      <c r="N230" s="31">
        <v>1669</v>
      </c>
      <c r="O230" s="31">
        <v>8345</v>
      </c>
      <c r="P230" s="31">
        <f>VLOOKUP(F230,'[3]1ª PARCELA'!$E$5:$H$889,4,FALSE)</f>
        <v>8345</v>
      </c>
      <c r="Q230" s="31" t="b">
        <f t="shared" si="3"/>
        <v>1</v>
      </c>
      <c r="R230" s="32">
        <v>45793</v>
      </c>
      <c r="S230" s="29">
        <v>9173</v>
      </c>
      <c r="T230" s="29" t="s">
        <v>893</v>
      </c>
      <c r="U230" s="33" t="s">
        <v>894</v>
      </c>
    </row>
    <row r="231" spans="1:21" ht="28.5" customHeight="1" x14ac:dyDescent="0.3">
      <c r="A231" s="27">
        <v>228</v>
      </c>
      <c r="B231" s="28">
        <v>2025</v>
      </c>
      <c r="C231" s="29" t="s">
        <v>655</v>
      </c>
      <c r="D231" s="30" t="s">
        <v>876</v>
      </c>
      <c r="E231" s="29">
        <v>29150442</v>
      </c>
      <c r="F231" s="29">
        <v>1169809</v>
      </c>
      <c r="G231" s="30" t="s">
        <v>895</v>
      </c>
      <c r="H231" s="29">
        <v>862</v>
      </c>
      <c r="I231" s="29">
        <v>1</v>
      </c>
      <c r="J231" s="29"/>
      <c r="K231" s="30"/>
      <c r="L231" s="29" t="s">
        <v>72</v>
      </c>
      <c r="M231" s="31">
        <v>6681.5</v>
      </c>
      <c r="N231" s="31">
        <v>2863.5</v>
      </c>
      <c r="O231" s="31">
        <v>9545</v>
      </c>
      <c r="P231" s="31">
        <f>VLOOKUP(F231,'[3]1ª PARCELA'!$E$5:$H$889,4,FALSE)</f>
        <v>9545</v>
      </c>
      <c r="Q231" s="31" t="b">
        <f t="shared" si="3"/>
        <v>1</v>
      </c>
      <c r="R231" s="32">
        <v>45849</v>
      </c>
      <c r="S231" s="29">
        <v>15915</v>
      </c>
      <c r="T231" s="29" t="s">
        <v>896</v>
      </c>
      <c r="U231" s="33" t="s">
        <v>897</v>
      </c>
    </row>
    <row r="232" spans="1:21" ht="28.5" customHeight="1" x14ac:dyDescent="0.3">
      <c r="A232" s="27">
        <v>229</v>
      </c>
      <c r="B232" s="28">
        <v>2025</v>
      </c>
      <c r="C232" s="29" t="s">
        <v>655</v>
      </c>
      <c r="D232" s="30" t="s">
        <v>876</v>
      </c>
      <c r="E232" s="29">
        <v>29150450</v>
      </c>
      <c r="F232" s="29">
        <v>1176092</v>
      </c>
      <c r="G232" s="30" t="s">
        <v>898</v>
      </c>
      <c r="H232" s="29">
        <v>1159</v>
      </c>
      <c r="I232" s="29">
        <v>1</v>
      </c>
      <c r="J232" s="29"/>
      <c r="K232" s="30"/>
      <c r="L232" s="29" t="s">
        <v>72</v>
      </c>
      <c r="M232" s="31">
        <v>6257.5</v>
      </c>
      <c r="N232" s="31">
        <v>6257.5</v>
      </c>
      <c r="O232" s="31">
        <v>12515</v>
      </c>
      <c r="P232" s="31">
        <f>VLOOKUP(F232,'[3]1ª PARCELA'!$E$5:$H$889,4,FALSE)</f>
        <v>12515</v>
      </c>
      <c r="Q232" s="31" t="b">
        <f t="shared" si="3"/>
        <v>1</v>
      </c>
      <c r="R232" s="32">
        <v>45793</v>
      </c>
      <c r="S232" s="29">
        <v>9173</v>
      </c>
      <c r="T232" s="29" t="s">
        <v>899</v>
      </c>
      <c r="U232" s="33" t="s">
        <v>900</v>
      </c>
    </row>
    <row r="233" spans="1:21" ht="28.5" customHeight="1" x14ac:dyDescent="0.3">
      <c r="A233" s="27">
        <v>230</v>
      </c>
      <c r="B233" s="28">
        <v>2025</v>
      </c>
      <c r="C233" s="29" t="s">
        <v>655</v>
      </c>
      <c r="D233" s="30" t="s">
        <v>876</v>
      </c>
      <c r="E233" s="29">
        <v>29150590</v>
      </c>
      <c r="F233" s="29">
        <v>1107862</v>
      </c>
      <c r="G233" s="30" t="s">
        <v>901</v>
      </c>
      <c r="H233" s="29">
        <v>247</v>
      </c>
      <c r="I233" s="29">
        <v>1</v>
      </c>
      <c r="J233" s="29"/>
      <c r="K233" s="30"/>
      <c r="L233" s="29" t="s">
        <v>72</v>
      </c>
      <c r="M233" s="31">
        <v>2716</v>
      </c>
      <c r="N233" s="31">
        <v>679</v>
      </c>
      <c r="O233" s="31">
        <v>3395</v>
      </c>
      <c r="P233" s="31">
        <f>VLOOKUP(F233,'[3]1ª PARCELA'!$E$5:$H$889,4,FALSE)</f>
        <v>3395</v>
      </c>
      <c r="Q233" s="31" t="b">
        <f t="shared" si="3"/>
        <v>1</v>
      </c>
      <c r="R233" s="32">
        <v>45926</v>
      </c>
      <c r="S233" s="29">
        <v>24529</v>
      </c>
      <c r="T233" s="29" t="s">
        <v>902</v>
      </c>
      <c r="U233" s="33" t="s">
        <v>903</v>
      </c>
    </row>
    <row r="234" spans="1:21" ht="28.5" customHeight="1" x14ac:dyDescent="0.3">
      <c r="A234" s="27">
        <v>231</v>
      </c>
      <c r="B234" s="28">
        <v>2025</v>
      </c>
      <c r="C234" s="29" t="s">
        <v>655</v>
      </c>
      <c r="D234" s="30" t="s">
        <v>876</v>
      </c>
      <c r="E234" s="29">
        <v>29150663</v>
      </c>
      <c r="F234" s="29">
        <v>1108028</v>
      </c>
      <c r="G234" s="30" t="s">
        <v>904</v>
      </c>
      <c r="H234" s="29">
        <v>817</v>
      </c>
      <c r="I234" s="29">
        <v>1</v>
      </c>
      <c r="J234" s="29"/>
      <c r="K234" s="30"/>
      <c r="L234" s="29" t="s">
        <v>72</v>
      </c>
      <c r="M234" s="31">
        <v>7276</v>
      </c>
      <c r="N234" s="31">
        <v>1819</v>
      </c>
      <c r="O234" s="31">
        <v>9095</v>
      </c>
      <c r="P234" s="31">
        <f>VLOOKUP(F234,'[3]1ª PARCELA'!$E$5:$H$889,4,FALSE)</f>
        <v>9095</v>
      </c>
      <c r="Q234" s="31" t="b">
        <f t="shared" si="3"/>
        <v>1</v>
      </c>
      <c r="R234" s="32">
        <v>45805</v>
      </c>
      <c r="S234" s="29">
        <v>9678</v>
      </c>
      <c r="T234" s="29" t="s">
        <v>905</v>
      </c>
      <c r="U234" s="33" t="s">
        <v>906</v>
      </c>
    </row>
    <row r="235" spans="1:21" ht="28.5" customHeight="1" x14ac:dyDescent="0.3">
      <c r="A235" s="27">
        <v>232</v>
      </c>
      <c r="B235" s="28">
        <v>2025</v>
      </c>
      <c r="C235" s="29" t="s">
        <v>655</v>
      </c>
      <c r="D235" s="30" t="s">
        <v>907</v>
      </c>
      <c r="E235" s="29">
        <v>29151554</v>
      </c>
      <c r="F235" s="29">
        <v>1107749</v>
      </c>
      <c r="G235" s="30" t="s">
        <v>908</v>
      </c>
      <c r="H235" s="29">
        <v>318</v>
      </c>
      <c r="I235" s="29">
        <v>1</v>
      </c>
      <c r="J235" s="29"/>
      <c r="K235" s="30"/>
      <c r="L235" s="29" t="s">
        <v>72</v>
      </c>
      <c r="M235" s="31">
        <v>3284</v>
      </c>
      <c r="N235" s="31">
        <v>821</v>
      </c>
      <c r="O235" s="31">
        <v>4105</v>
      </c>
      <c r="P235" s="31">
        <f>VLOOKUP(F235,'[3]1ª PARCELA'!$E$5:$H$889,4,FALSE)</f>
        <v>4105</v>
      </c>
      <c r="Q235" s="31" t="b">
        <f t="shared" si="3"/>
        <v>1</v>
      </c>
      <c r="R235" s="32">
        <v>45805</v>
      </c>
      <c r="S235" s="29">
        <v>9678</v>
      </c>
      <c r="T235" s="29" t="s">
        <v>909</v>
      </c>
      <c r="U235" s="33" t="s">
        <v>910</v>
      </c>
    </row>
    <row r="236" spans="1:21" ht="28.5" customHeight="1" x14ac:dyDescent="0.3">
      <c r="A236" s="27">
        <v>233</v>
      </c>
      <c r="B236" s="28">
        <v>2025</v>
      </c>
      <c r="C236" s="29" t="s">
        <v>655</v>
      </c>
      <c r="D236" s="30" t="s">
        <v>907</v>
      </c>
      <c r="E236" s="29">
        <v>29151651</v>
      </c>
      <c r="F236" s="29">
        <v>1107730</v>
      </c>
      <c r="G236" s="30" t="s">
        <v>911</v>
      </c>
      <c r="H236" s="29">
        <v>402</v>
      </c>
      <c r="I236" s="29">
        <v>1</v>
      </c>
      <c r="J236" s="29"/>
      <c r="K236" s="30"/>
      <c r="L236" s="29" t="s">
        <v>72</v>
      </c>
      <c r="M236" s="31">
        <v>3956</v>
      </c>
      <c r="N236" s="31">
        <v>989</v>
      </c>
      <c r="O236" s="31">
        <v>4945</v>
      </c>
      <c r="P236" s="31">
        <f>VLOOKUP(F236,'[3]1ª PARCELA'!$E$5:$H$889,4,FALSE)</f>
        <v>4945</v>
      </c>
      <c r="Q236" s="31" t="b">
        <f t="shared" si="3"/>
        <v>1</v>
      </c>
      <c r="R236" s="32">
        <v>45833</v>
      </c>
      <c r="S236" s="29">
        <v>13120</v>
      </c>
      <c r="T236" s="29" t="s">
        <v>912</v>
      </c>
      <c r="U236" s="33" t="s">
        <v>913</v>
      </c>
    </row>
    <row r="237" spans="1:21" ht="28.5" customHeight="1" x14ac:dyDescent="0.3">
      <c r="A237" s="27">
        <v>234</v>
      </c>
      <c r="B237" s="28">
        <v>2025</v>
      </c>
      <c r="C237" s="29" t="s">
        <v>655</v>
      </c>
      <c r="D237" s="30" t="s">
        <v>914</v>
      </c>
      <c r="E237" s="29">
        <v>29153190</v>
      </c>
      <c r="F237" s="29">
        <v>1114613</v>
      </c>
      <c r="G237" s="30" t="s">
        <v>915</v>
      </c>
      <c r="H237" s="29">
        <v>839</v>
      </c>
      <c r="I237" s="29">
        <v>1</v>
      </c>
      <c r="J237" s="29"/>
      <c r="K237" s="30"/>
      <c r="L237" s="29" t="s">
        <v>72</v>
      </c>
      <c r="M237" s="31">
        <v>4657.5</v>
      </c>
      <c r="N237" s="31">
        <v>4657.5</v>
      </c>
      <c r="O237" s="31">
        <v>9315</v>
      </c>
      <c r="P237" s="31">
        <f>VLOOKUP(F237,'[3]1ª PARCELA'!$E$5:$H$889,4,FALSE)</f>
        <v>9315</v>
      </c>
      <c r="Q237" s="31" t="b">
        <f t="shared" si="3"/>
        <v>1</v>
      </c>
      <c r="R237" s="32">
        <v>45793</v>
      </c>
      <c r="S237" s="29">
        <v>9173</v>
      </c>
      <c r="T237" s="29" t="s">
        <v>916</v>
      </c>
      <c r="U237" s="33" t="s">
        <v>917</v>
      </c>
    </row>
    <row r="238" spans="1:21" ht="28.5" customHeight="1" x14ac:dyDescent="0.3">
      <c r="A238" s="27">
        <v>235</v>
      </c>
      <c r="B238" s="28">
        <v>2025</v>
      </c>
      <c r="C238" s="29" t="s">
        <v>655</v>
      </c>
      <c r="D238" s="30" t="s">
        <v>918</v>
      </c>
      <c r="E238" s="29">
        <v>29153964</v>
      </c>
      <c r="F238" s="29">
        <v>1108320</v>
      </c>
      <c r="G238" s="30" t="s">
        <v>919</v>
      </c>
      <c r="H238" s="29">
        <v>1120</v>
      </c>
      <c r="I238" s="29">
        <v>1</v>
      </c>
      <c r="J238" s="29"/>
      <c r="K238" s="30"/>
      <c r="L238" s="29" t="s">
        <v>72</v>
      </c>
      <c r="M238" s="31">
        <v>9700</v>
      </c>
      <c r="N238" s="31">
        <v>2425</v>
      </c>
      <c r="O238" s="31">
        <v>12125</v>
      </c>
      <c r="P238" s="31">
        <f>VLOOKUP(F238,'[3]1ª PARCELA'!$E$5:$H$889,4,FALSE)</f>
        <v>12125</v>
      </c>
      <c r="Q238" s="31" t="b">
        <f t="shared" si="3"/>
        <v>1</v>
      </c>
      <c r="R238" s="32">
        <v>45793</v>
      </c>
      <c r="S238" s="29">
        <v>9173</v>
      </c>
      <c r="T238" s="29" t="s">
        <v>920</v>
      </c>
      <c r="U238" s="33" t="s">
        <v>921</v>
      </c>
    </row>
    <row r="239" spans="1:21" ht="28.5" customHeight="1" x14ac:dyDescent="0.3">
      <c r="A239" s="27">
        <v>236</v>
      </c>
      <c r="B239" s="28">
        <v>2025</v>
      </c>
      <c r="C239" s="29" t="s">
        <v>655</v>
      </c>
      <c r="D239" s="30" t="s">
        <v>918</v>
      </c>
      <c r="E239" s="29">
        <v>29154618</v>
      </c>
      <c r="F239" s="29">
        <v>1108311</v>
      </c>
      <c r="G239" s="30" t="s">
        <v>922</v>
      </c>
      <c r="H239" s="29">
        <v>373</v>
      </c>
      <c r="I239" s="29">
        <v>1</v>
      </c>
      <c r="J239" s="29"/>
      <c r="K239" s="30"/>
      <c r="L239" s="29" t="s">
        <v>72</v>
      </c>
      <c r="M239" s="31">
        <v>3724</v>
      </c>
      <c r="N239" s="31">
        <v>931</v>
      </c>
      <c r="O239" s="31">
        <v>4655</v>
      </c>
      <c r="P239" s="31">
        <f>VLOOKUP(F239,'[3]1ª PARCELA'!$E$5:$H$889,4,FALSE)</f>
        <v>4655</v>
      </c>
      <c r="Q239" s="31" t="b">
        <f t="shared" si="3"/>
        <v>1</v>
      </c>
      <c r="R239" s="32">
        <v>45867</v>
      </c>
      <c r="S239" s="29">
        <v>16705</v>
      </c>
      <c r="T239" s="29" t="s">
        <v>923</v>
      </c>
      <c r="U239" s="33" t="s">
        <v>924</v>
      </c>
    </row>
    <row r="240" spans="1:21" ht="28.5" customHeight="1" x14ac:dyDescent="0.3">
      <c r="A240" s="27">
        <v>237</v>
      </c>
      <c r="B240" s="28">
        <v>2025</v>
      </c>
      <c r="C240" s="29" t="s">
        <v>655</v>
      </c>
      <c r="D240" s="30" t="s">
        <v>925</v>
      </c>
      <c r="E240" s="29">
        <v>29154707</v>
      </c>
      <c r="F240" s="29">
        <v>1108273</v>
      </c>
      <c r="G240" s="30" t="s">
        <v>926</v>
      </c>
      <c r="H240" s="29">
        <v>671</v>
      </c>
      <c r="I240" s="29">
        <v>1</v>
      </c>
      <c r="J240" s="29"/>
      <c r="K240" s="30"/>
      <c r="L240" s="29" t="s">
        <v>72</v>
      </c>
      <c r="M240" s="31">
        <v>6108</v>
      </c>
      <c r="N240" s="31">
        <v>1527</v>
      </c>
      <c r="O240" s="31">
        <v>7635</v>
      </c>
      <c r="P240" s="31">
        <f>VLOOKUP(F240,'[3]1ª PARCELA'!$E$5:$H$889,4,FALSE)</f>
        <v>7635</v>
      </c>
      <c r="Q240" s="31" t="b">
        <f t="shared" si="3"/>
        <v>1</v>
      </c>
      <c r="R240" s="32">
        <v>45793</v>
      </c>
      <c r="S240" s="29">
        <v>9173</v>
      </c>
      <c r="T240" s="29" t="s">
        <v>927</v>
      </c>
      <c r="U240" s="33" t="s">
        <v>928</v>
      </c>
    </row>
    <row r="241" spans="1:21" ht="28.5" customHeight="1" x14ac:dyDescent="0.3">
      <c r="A241" s="27">
        <v>238</v>
      </c>
      <c r="B241" s="28">
        <v>2025</v>
      </c>
      <c r="C241" s="29" t="s">
        <v>655</v>
      </c>
      <c r="D241" s="30" t="s">
        <v>929</v>
      </c>
      <c r="E241" s="29">
        <v>29155401</v>
      </c>
      <c r="F241" s="29">
        <v>1108656</v>
      </c>
      <c r="G241" s="30" t="s">
        <v>930</v>
      </c>
      <c r="H241" s="29">
        <v>505</v>
      </c>
      <c r="I241" s="29">
        <v>1</v>
      </c>
      <c r="J241" s="29"/>
      <c r="K241" s="30"/>
      <c r="L241" s="29" t="s">
        <v>72</v>
      </c>
      <c r="M241" s="31">
        <v>4182.5</v>
      </c>
      <c r="N241" s="31">
        <v>1792.5</v>
      </c>
      <c r="O241" s="31">
        <v>5975</v>
      </c>
      <c r="P241" s="31">
        <f>VLOOKUP(F241,'[3]1ª PARCELA'!$E$5:$H$889,4,FALSE)</f>
        <v>5975</v>
      </c>
      <c r="Q241" s="31" t="b">
        <f t="shared" si="3"/>
        <v>1</v>
      </c>
      <c r="R241" s="32">
        <v>45793</v>
      </c>
      <c r="S241" s="29">
        <v>9173</v>
      </c>
      <c r="T241" s="29" t="s">
        <v>931</v>
      </c>
      <c r="U241" s="33" t="s">
        <v>932</v>
      </c>
    </row>
    <row r="242" spans="1:21" ht="28.5" customHeight="1" x14ac:dyDescent="0.3">
      <c r="A242" s="27">
        <v>239</v>
      </c>
      <c r="B242" s="28">
        <v>2025</v>
      </c>
      <c r="C242" s="29" t="s">
        <v>655</v>
      </c>
      <c r="D242" s="30" t="s">
        <v>933</v>
      </c>
      <c r="E242" s="29">
        <v>29155673</v>
      </c>
      <c r="F242" s="29">
        <v>1108524</v>
      </c>
      <c r="G242" s="30" t="s">
        <v>934</v>
      </c>
      <c r="H242" s="29">
        <v>1013</v>
      </c>
      <c r="I242" s="29">
        <v>1</v>
      </c>
      <c r="J242" s="29"/>
      <c r="K242" s="30"/>
      <c r="L242" s="29" t="s">
        <v>72</v>
      </c>
      <c r="M242" s="31">
        <v>8844</v>
      </c>
      <c r="N242" s="31">
        <v>2211</v>
      </c>
      <c r="O242" s="31">
        <v>11055</v>
      </c>
      <c r="P242" s="31">
        <f>VLOOKUP(F242,'[3]1ª PARCELA'!$E$5:$H$889,4,FALSE)</f>
        <v>11055</v>
      </c>
      <c r="Q242" s="31" t="b">
        <f t="shared" si="3"/>
        <v>1</v>
      </c>
      <c r="R242" s="32">
        <v>45926</v>
      </c>
      <c r="S242" s="29">
        <v>24529</v>
      </c>
      <c r="T242" s="29" t="s">
        <v>935</v>
      </c>
      <c r="U242" s="33" t="s">
        <v>936</v>
      </c>
    </row>
    <row r="243" spans="1:21" ht="28.5" customHeight="1" x14ac:dyDescent="0.3">
      <c r="A243" s="27">
        <v>240</v>
      </c>
      <c r="B243" s="28">
        <v>2025</v>
      </c>
      <c r="C243" s="29" t="s">
        <v>655</v>
      </c>
      <c r="D243" s="30" t="s">
        <v>933</v>
      </c>
      <c r="E243" s="29">
        <v>29155894</v>
      </c>
      <c r="F243" s="29">
        <v>1108532</v>
      </c>
      <c r="G243" s="30" t="s">
        <v>937</v>
      </c>
      <c r="H243" s="29">
        <v>215</v>
      </c>
      <c r="I243" s="29">
        <v>1</v>
      </c>
      <c r="J243" s="29"/>
      <c r="K243" s="30"/>
      <c r="L243" s="29" t="s">
        <v>72</v>
      </c>
      <c r="M243" s="31">
        <v>1230</v>
      </c>
      <c r="N243" s="31">
        <v>1845</v>
      </c>
      <c r="O243" s="31">
        <v>3075</v>
      </c>
      <c r="P243" s="31">
        <f>VLOOKUP(F243,'[3]1ª PARCELA'!$E$5:$H$889,4,FALSE)</f>
        <v>3075</v>
      </c>
      <c r="Q243" s="31" t="b">
        <f t="shared" si="3"/>
        <v>1</v>
      </c>
      <c r="R243" s="32">
        <v>45926</v>
      </c>
      <c r="S243" s="29">
        <v>24529</v>
      </c>
      <c r="T243" s="29" t="s">
        <v>938</v>
      </c>
      <c r="U243" s="33" t="s">
        <v>939</v>
      </c>
    </row>
    <row r="244" spans="1:21" ht="28.5" customHeight="1" x14ac:dyDescent="0.3">
      <c r="A244" s="27">
        <v>241</v>
      </c>
      <c r="B244" s="28">
        <v>2025</v>
      </c>
      <c r="C244" s="29" t="s">
        <v>655</v>
      </c>
      <c r="D244" s="30" t="s">
        <v>49</v>
      </c>
      <c r="E244" s="29">
        <v>29156211</v>
      </c>
      <c r="F244" s="29">
        <v>1108753</v>
      </c>
      <c r="G244" s="30" t="s">
        <v>940</v>
      </c>
      <c r="H244" s="29">
        <v>1223</v>
      </c>
      <c r="I244" s="29">
        <v>1</v>
      </c>
      <c r="J244" s="29"/>
      <c r="K244" s="30"/>
      <c r="L244" s="29" t="s">
        <v>72</v>
      </c>
      <c r="M244" s="31">
        <v>10524</v>
      </c>
      <c r="N244" s="31">
        <v>2631</v>
      </c>
      <c r="O244" s="31">
        <v>13155</v>
      </c>
      <c r="P244" s="31">
        <f>VLOOKUP(F244,'[3]1ª PARCELA'!$E$5:$H$889,4,FALSE)</f>
        <v>13155</v>
      </c>
      <c r="Q244" s="31" t="b">
        <f t="shared" si="3"/>
        <v>1</v>
      </c>
      <c r="R244" s="32">
        <v>45793</v>
      </c>
      <c r="S244" s="29">
        <v>9173</v>
      </c>
      <c r="T244" s="29" t="s">
        <v>941</v>
      </c>
      <c r="U244" s="33" t="s">
        <v>942</v>
      </c>
    </row>
    <row r="245" spans="1:21" ht="28.5" customHeight="1" x14ac:dyDescent="0.3">
      <c r="A245" s="27">
        <v>242</v>
      </c>
      <c r="B245" s="28">
        <v>2025</v>
      </c>
      <c r="C245" s="29" t="s">
        <v>655</v>
      </c>
      <c r="D245" s="30" t="s">
        <v>943</v>
      </c>
      <c r="E245" s="29">
        <v>29157536</v>
      </c>
      <c r="F245" s="29">
        <v>1108141</v>
      </c>
      <c r="G245" s="30" t="s">
        <v>944</v>
      </c>
      <c r="H245" s="29">
        <v>437</v>
      </c>
      <c r="I245" s="29">
        <v>1</v>
      </c>
      <c r="J245" s="29"/>
      <c r="K245" s="30"/>
      <c r="L245" s="29" t="s">
        <v>72</v>
      </c>
      <c r="M245" s="31">
        <v>4236</v>
      </c>
      <c r="N245" s="31">
        <v>1059</v>
      </c>
      <c r="O245" s="31">
        <v>5295</v>
      </c>
      <c r="P245" s="31">
        <f>VLOOKUP(F245,'[3]1ª PARCELA'!$E$5:$H$889,4,FALSE)</f>
        <v>5295</v>
      </c>
      <c r="Q245" s="31" t="b">
        <f t="shared" si="3"/>
        <v>1</v>
      </c>
      <c r="R245" s="32">
        <v>45967</v>
      </c>
      <c r="S245" s="29">
        <v>29630</v>
      </c>
      <c r="T245" s="29" t="s">
        <v>945</v>
      </c>
      <c r="U245" s="33" t="s">
        <v>946</v>
      </c>
    </row>
    <row r="246" spans="1:21" ht="28.5" customHeight="1" x14ac:dyDescent="0.3">
      <c r="A246" s="27">
        <v>243</v>
      </c>
      <c r="B246" s="28">
        <v>2025</v>
      </c>
      <c r="C246" s="29" t="s">
        <v>506</v>
      </c>
      <c r="D246" s="30" t="s">
        <v>947</v>
      </c>
      <c r="E246" s="29">
        <v>29157803</v>
      </c>
      <c r="F246" s="29">
        <v>1105436</v>
      </c>
      <c r="G246" s="30" t="s">
        <v>948</v>
      </c>
      <c r="H246" s="29">
        <v>1109</v>
      </c>
      <c r="I246" s="29">
        <v>1</v>
      </c>
      <c r="J246" s="29"/>
      <c r="K246" s="30"/>
      <c r="L246" s="29" t="s">
        <v>72</v>
      </c>
      <c r="M246" s="31">
        <v>9612</v>
      </c>
      <c r="N246" s="31">
        <v>2403</v>
      </c>
      <c r="O246" s="31">
        <v>12015</v>
      </c>
      <c r="P246" s="31">
        <f>VLOOKUP(F246,'[3]1ª PARCELA'!$E$5:$H$889,4,FALSE)</f>
        <v>12015</v>
      </c>
      <c r="Q246" s="31" t="b">
        <f t="shared" si="3"/>
        <v>1</v>
      </c>
      <c r="R246" s="32">
        <v>45793</v>
      </c>
      <c r="S246" s="29">
        <v>9173</v>
      </c>
      <c r="T246" s="29" t="s">
        <v>949</v>
      </c>
      <c r="U246" s="33" t="s">
        <v>950</v>
      </c>
    </row>
    <row r="247" spans="1:21" ht="28.5" customHeight="1" x14ac:dyDescent="0.3">
      <c r="A247" s="27">
        <v>244</v>
      </c>
      <c r="B247" s="28">
        <v>2025</v>
      </c>
      <c r="C247" s="29" t="s">
        <v>655</v>
      </c>
      <c r="D247" s="30" t="s">
        <v>951</v>
      </c>
      <c r="E247" s="29">
        <v>29158605</v>
      </c>
      <c r="F247" s="29">
        <v>1108648</v>
      </c>
      <c r="G247" s="30" t="s">
        <v>952</v>
      </c>
      <c r="H247" s="29">
        <v>945</v>
      </c>
      <c r="I247" s="29">
        <v>1</v>
      </c>
      <c r="J247" s="29"/>
      <c r="K247" s="30"/>
      <c r="L247" s="29" t="s">
        <v>72</v>
      </c>
      <c r="M247" s="31">
        <v>8300</v>
      </c>
      <c r="N247" s="31">
        <v>2075</v>
      </c>
      <c r="O247" s="31">
        <v>10375</v>
      </c>
      <c r="P247" s="31">
        <f>VLOOKUP(F247,'[3]1ª PARCELA'!$E$5:$H$889,4,FALSE)</f>
        <v>10375</v>
      </c>
      <c r="Q247" s="31" t="b">
        <f t="shared" si="3"/>
        <v>1</v>
      </c>
      <c r="R247" s="32">
        <v>45800</v>
      </c>
      <c r="S247" s="29">
        <v>9563</v>
      </c>
      <c r="T247" s="29" t="s">
        <v>953</v>
      </c>
      <c r="U247" s="33" t="s">
        <v>954</v>
      </c>
    </row>
    <row r="248" spans="1:21" ht="28.5" customHeight="1" x14ac:dyDescent="0.3">
      <c r="A248" s="27">
        <v>245</v>
      </c>
      <c r="B248" s="28">
        <v>2025</v>
      </c>
      <c r="C248" s="29" t="s">
        <v>655</v>
      </c>
      <c r="D248" s="30" t="s">
        <v>951</v>
      </c>
      <c r="E248" s="29">
        <v>29158850</v>
      </c>
      <c r="F248" s="29">
        <v>1108729</v>
      </c>
      <c r="G248" s="30" t="s">
        <v>955</v>
      </c>
      <c r="H248" s="29">
        <v>145</v>
      </c>
      <c r="I248" s="29">
        <v>1</v>
      </c>
      <c r="J248" s="29"/>
      <c r="K248" s="30"/>
      <c r="L248" s="29" t="s">
        <v>72</v>
      </c>
      <c r="M248" s="31">
        <v>3380</v>
      </c>
      <c r="N248" s="31">
        <v>845</v>
      </c>
      <c r="O248" s="31">
        <v>4225</v>
      </c>
      <c r="P248" s="31">
        <f>VLOOKUP(F248,'[3]1ª PARCELA'!$E$5:$H$889,4,FALSE)</f>
        <v>4225</v>
      </c>
      <c r="Q248" s="31" t="b">
        <f t="shared" si="3"/>
        <v>1</v>
      </c>
      <c r="R248" s="32">
        <v>45793</v>
      </c>
      <c r="S248" s="29">
        <v>9173</v>
      </c>
      <c r="T248" s="29" t="s">
        <v>956</v>
      </c>
      <c r="U248" s="33" t="s">
        <v>957</v>
      </c>
    </row>
    <row r="249" spans="1:21" ht="28.5" customHeight="1" x14ac:dyDescent="0.3">
      <c r="A249" s="27">
        <v>246</v>
      </c>
      <c r="B249" s="28">
        <v>2025</v>
      </c>
      <c r="C249" s="29" t="s">
        <v>655</v>
      </c>
      <c r="D249" s="30" t="s">
        <v>951</v>
      </c>
      <c r="E249" s="29">
        <v>29158893</v>
      </c>
      <c r="F249" s="29">
        <v>1108591</v>
      </c>
      <c r="G249" s="30" t="s">
        <v>958</v>
      </c>
      <c r="H249" s="29">
        <v>238</v>
      </c>
      <c r="I249" s="29">
        <v>1</v>
      </c>
      <c r="J249" s="29"/>
      <c r="K249" s="30"/>
      <c r="L249" s="29" t="s">
        <v>72</v>
      </c>
      <c r="M249" s="31">
        <v>2313.5</v>
      </c>
      <c r="N249" s="31">
        <v>991.5</v>
      </c>
      <c r="O249" s="31">
        <v>3305</v>
      </c>
      <c r="P249" s="31">
        <f>VLOOKUP(F249,'[3]1ª PARCELA'!$E$5:$H$889,4,FALSE)</f>
        <v>3305</v>
      </c>
      <c r="Q249" s="31" t="b">
        <f t="shared" si="3"/>
        <v>1</v>
      </c>
      <c r="R249" s="32">
        <v>45895</v>
      </c>
      <c r="S249" s="29">
        <v>19863</v>
      </c>
      <c r="T249" s="29" t="s">
        <v>959</v>
      </c>
      <c r="U249" s="33" t="s">
        <v>960</v>
      </c>
    </row>
    <row r="250" spans="1:21" ht="28.5" customHeight="1" x14ac:dyDescent="0.3">
      <c r="A250" s="27">
        <v>247</v>
      </c>
      <c r="B250" s="28">
        <v>2025</v>
      </c>
      <c r="C250" s="29" t="s">
        <v>961</v>
      </c>
      <c r="D250" s="30" t="s">
        <v>962</v>
      </c>
      <c r="E250" s="29">
        <v>29160227</v>
      </c>
      <c r="F250" s="29">
        <v>1176073</v>
      </c>
      <c r="G250" s="30" t="s">
        <v>963</v>
      </c>
      <c r="H250" s="29">
        <v>853</v>
      </c>
      <c r="I250" s="29">
        <v>1</v>
      </c>
      <c r="J250" s="29"/>
      <c r="K250" s="30"/>
      <c r="L250" s="29" t="s">
        <v>72</v>
      </c>
      <c r="M250" s="31">
        <v>7564</v>
      </c>
      <c r="N250" s="31">
        <v>1891</v>
      </c>
      <c r="O250" s="31">
        <v>9455</v>
      </c>
      <c r="P250" s="31">
        <f>VLOOKUP(F250,'[3]1ª PARCELA'!$E$5:$H$889,4,FALSE)</f>
        <v>9455</v>
      </c>
      <c r="Q250" s="31" t="b">
        <f t="shared" si="3"/>
        <v>1</v>
      </c>
      <c r="R250" s="32">
        <v>45967</v>
      </c>
      <c r="S250" s="29">
        <v>29630</v>
      </c>
      <c r="T250" s="29" t="s">
        <v>964</v>
      </c>
      <c r="U250" s="33" t="s">
        <v>965</v>
      </c>
    </row>
    <row r="251" spans="1:21" ht="28.5" customHeight="1" x14ac:dyDescent="0.3">
      <c r="A251" s="27">
        <v>248</v>
      </c>
      <c r="B251" s="28">
        <v>2025</v>
      </c>
      <c r="C251" s="29" t="s">
        <v>961</v>
      </c>
      <c r="D251" s="30" t="s">
        <v>966</v>
      </c>
      <c r="E251" s="29">
        <v>29160502</v>
      </c>
      <c r="F251" s="29">
        <v>1166354</v>
      </c>
      <c r="G251" s="30" t="s">
        <v>967</v>
      </c>
      <c r="H251" s="29">
        <v>854</v>
      </c>
      <c r="I251" s="29">
        <v>1</v>
      </c>
      <c r="J251" s="29"/>
      <c r="K251" s="30"/>
      <c r="L251" s="29" t="s">
        <v>72</v>
      </c>
      <c r="M251" s="31">
        <v>7572</v>
      </c>
      <c r="N251" s="31">
        <v>1893</v>
      </c>
      <c r="O251" s="31">
        <v>9465</v>
      </c>
      <c r="P251" s="31">
        <f>VLOOKUP(F251,'[3]1ª PARCELA'!$E$5:$H$889,4,FALSE)</f>
        <v>9465</v>
      </c>
      <c r="Q251" s="31" t="b">
        <f t="shared" si="3"/>
        <v>1</v>
      </c>
      <c r="R251" s="32">
        <v>45967</v>
      </c>
      <c r="S251" s="29">
        <v>29630</v>
      </c>
      <c r="T251" s="29" t="s">
        <v>968</v>
      </c>
      <c r="U251" s="33" t="s">
        <v>969</v>
      </c>
    </row>
    <row r="252" spans="1:21" ht="28.5" customHeight="1" x14ac:dyDescent="0.3">
      <c r="A252" s="27">
        <v>249</v>
      </c>
      <c r="B252" s="28">
        <v>2025</v>
      </c>
      <c r="C252" s="29" t="s">
        <v>970</v>
      </c>
      <c r="D252" s="30" t="s">
        <v>51</v>
      </c>
      <c r="E252" s="29">
        <v>29161770</v>
      </c>
      <c r="F252" s="29">
        <v>1108966</v>
      </c>
      <c r="G252" s="30" t="s">
        <v>971</v>
      </c>
      <c r="H252" s="29">
        <v>371</v>
      </c>
      <c r="I252" s="29">
        <v>1</v>
      </c>
      <c r="J252" s="29"/>
      <c r="K252" s="30"/>
      <c r="L252" s="29" t="s">
        <v>72</v>
      </c>
      <c r="M252" s="31">
        <v>3708</v>
      </c>
      <c r="N252" s="31">
        <v>927</v>
      </c>
      <c r="O252" s="31">
        <v>4635</v>
      </c>
      <c r="P252" s="31">
        <f>VLOOKUP(F252,'[3]1ª PARCELA'!$E$5:$H$889,4,FALSE)</f>
        <v>4635</v>
      </c>
      <c r="Q252" s="31" t="b">
        <f t="shared" si="3"/>
        <v>1</v>
      </c>
      <c r="R252" s="32">
        <v>45793</v>
      </c>
      <c r="S252" s="29">
        <v>9173</v>
      </c>
      <c r="T252" s="29" t="s">
        <v>972</v>
      </c>
      <c r="U252" s="33" t="s">
        <v>45</v>
      </c>
    </row>
    <row r="253" spans="1:21" ht="28.5" customHeight="1" x14ac:dyDescent="0.3">
      <c r="A253" s="27">
        <v>250</v>
      </c>
      <c r="B253" s="28">
        <v>2025</v>
      </c>
      <c r="C253" s="29" t="s">
        <v>973</v>
      </c>
      <c r="D253" s="30" t="s">
        <v>974</v>
      </c>
      <c r="E253" s="29">
        <v>29162610</v>
      </c>
      <c r="F253" s="29">
        <v>1133715</v>
      </c>
      <c r="G253" s="30" t="s">
        <v>975</v>
      </c>
      <c r="H253" s="29">
        <v>803</v>
      </c>
      <c r="I253" s="29">
        <v>1</v>
      </c>
      <c r="J253" s="29"/>
      <c r="K253" s="30"/>
      <c r="L253" s="29" t="s">
        <v>72</v>
      </c>
      <c r="M253" s="31">
        <v>6268.5</v>
      </c>
      <c r="N253" s="31">
        <v>2686.5</v>
      </c>
      <c r="O253" s="31">
        <v>8955</v>
      </c>
      <c r="P253" s="31">
        <f>VLOOKUP(F253,'[3]1ª PARCELA'!$E$5:$H$889,4,FALSE)</f>
        <v>8955</v>
      </c>
      <c r="Q253" s="31" t="b">
        <f t="shared" si="3"/>
        <v>1</v>
      </c>
      <c r="R253" s="32">
        <v>45805</v>
      </c>
      <c r="S253" s="29">
        <v>9678</v>
      </c>
      <c r="T253" s="29" t="s">
        <v>976</v>
      </c>
      <c r="U253" s="33" t="s">
        <v>977</v>
      </c>
    </row>
    <row r="254" spans="1:21" ht="28.5" customHeight="1" x14ac:dyDescent="0.3">
      <c r="A254" s="27">
        <v>251</v>
      </c>
      <c r="B254" s="28">
        <v>2025</v>
      </c>
      <c r="C254" s="29" t="s">
        <v>973</v>
      </c>
      <c r="D254" s="30" t="s">
        <v>974</v>
      </c>
      <c r="E254" s="29">
        <v>29163234</v>
      </c>
      <c r="F254" s="29">
        <v>1135394</v>
      </c>
      <c r="G254" s="30" t="s">
        <v>978</v>
      </c>
      <c r="H254" s="29">
        <v>200</v>
      </c>
      <c r="I254" s="29">
        <v>1</v>
      </c>
      <c r="J254" s="29"/>
      <c r="K254" s="30"/>
      <c r="L254" s="29" t="s">
        <v>72</v>
      </c>
      <c r="M254" s="31">
        <v>3342.5</v>
      </c>
      <c r="N254" s="31">
        <v>1432.5</v>
      </c>
      <c r="O254" s="31">
        <v>4775</v>
      </c>
      <c r="P254" s="31">
        <f>VLOOKUP(F254,'[3]1ª PARCELA'!$E$5:$H$889,4,FALSE)</f>
        <v>4775</v>
      </c>
      <c r="Q254" s="31" t="b">
        <f t="shared" si="3"/>
        <v>1</v>
      </c>
      <c r="R254" s="32">
        <v>45967</v>
      </c>
      <c r="S254" s="29">
        <v>29630</v>
      </c>
      <c r="T254" s="29" t="s">
        <v>979</v>
      </c>
      <c r="U254" s="33" t="s">
        <v>980</v>
      </c>
    </row>
    <row r="255" spans="1:21" ht="28.5" customHeight="1" x14ac:dyDescent="0.3">
      <c r="A255" s="27">
        <v>252</v>
      </c>
      <c r="B255" s="28">
        <v>2025</v>
      </c>
      <c r="C255" s="29" t="s">
        <v>973</v>
      </c>
      <c r="D255" s="30" t="s">
        <v>981</v>
      </c>
      <c r="E255" s="29">
        <v>29163374</v>
      </c>
      <c r="F255" s="29">
        <v>1109059</v>
      </c>
      <c r="G255" s="30" t="s">
        <v>982</v>
      </c>
      <c r="H255" s="29">
        <v>1121</v>
      </c>
      <c r="I255" s="29">
        <v>1</v>
      </c>
      <c r="J255" s="29"/>
      <c r="K255" s="30"/>
      <c r="L255" s="29" t="s">
        <v>72</v>
      </c>
      <c r="M255" s="31">
        <v>8494.5</v>
      </c>
      <c r="N255" s="31">
        <v>3640.5</v>
      </c>
      <c r="O255" s="31">
        <v>12135</v>
      </c>
      <c r="P255" s="31">
        <f>VLOOKUP(F255,'[3]1ª PARCELA'!$E$5:$H$889,4,FALSE)</f>
        <v>12135</v>
      </c>
      <c r="Q255" s="31" t="b">
        <f t="shared" si="3"/>
        <v>1</v>
      </c>
      <c r="R255" s="32">
        <v>45849</v>
      </c>
      <c r="S255" s="29">
        <v>15915</v>
      </c>
      <c r="T255" s="29" t="s">
        <v>983</v>
      </c>
      <c r="U255" s="33" t="s">
        <v>984</v>
      </c>
    </row>
    <row r="256" spans="1:21" ht="28.5" customHeight="1" x14ac:dyDescent="0.3">
      <c r="A256" s="27">
        <v>253</v>
      </c>
      <c r="B256" s="28">
        <v>2025</v>
      </c>
      <c r="C256" s="29" t="s">
        <v>973</v>
      </c>
      <c r="D256" s="30" t="s">
        <v>985</v>
      </c>
      <c r="E256" s="29">
        <v>29164826</v>
      </c>
      <c r="F256" s="29">
        <v>1108893</v>
      </c>
      <c r="G256" s="30" t="s">
        <v>986</v>
      </c>
      <c r="H256" s="29">
        <v>474</v>
      </c>
      <c r="I256" s="29">
        <v>1</v>
      </c>
      <c r="J256" s="29"/>
      <c r="K256" s="30"/>
      <c r="L256" s="29" t="s">
        <v>72</v>
      </c>
      <c r="M256" s="31">
        <v>4532</v>
      </c>
      <c r="N256" s="31">
        <v>1133</v>
      </c>
      <c r="O256" s="31">
        <v>5665</v>
      </c>
      <c r="P256" s="31">
        <f>VLOOKUP(F256,'[3]1ª PARCELA'!$E$5:$H$889,4,FALSE)</f>
        <v>5665</v>
      </c>
      <c r="Q256" s="31" t="b">
        <f t="shared" si="3"/>
        <v>1</v>
      </c>
      <c r="R256" s="32">
        <v>45926</v>
      </c>
      <c r="S256" s="29">
        <v>24529</v>
      </c>
      <c r="T256" s="29" t="s">
        <v>987</v>
      </c>
      <c r="U256" s="33" t="s">
        <v>988</v>
      </c>
    </row>
    <row r="257" spans="1:21" ht="28.5" customHeight="1" x14ac:dyDescent="0.3">
      <c r="A257" s="27">
        <v>254</v>
      </c>
      <c r="B257" s="28">
        <v>2025</v>
      </c>
      <c r="C257" s="29" t="s">
        <v>973</v>
      </c>
      <c r="D257" s="30" t="s">
        <v>989</v>
      </c>
      <c r="E257" s="29">
        <v>29165253</v>
      </c>
      <c r="F257" s="29">
        <v>1133618</v>
      </c>
      <c r="G257" s="30" t="s">
        <v>990</v>
      </c>
      <c r="H257" s="29">
        <v>870</v>
      </c>
      <c r="I257" s="29">
        <v>1</v>
      </c>
      <c r="J257" s="29"/>
      <c r="K257" s="30"/>
      <c r="L257" s="29" t="s">
        <v>72</v>
      </c>
      <c r="M257" s="31">
        <v>6737.5</v>
      </c>
      <c r="N257" s="31">
        <v>2887.5</v>
      </c>
      <c r="O257" s="31">
        <v>9625</v>
      </c>
      <c r="P257" s="31">
        <f>VLOOKUP(F257,'[3]1ª PARCELA'!$E$5:$H$889,4,FALSE)</f>
        <v>9625</v>
      </c>
      <c r="Q257" s="31" t="b">
        <f t="shared" si="3"/>
        <v>1</v>
      </c>
      <c r="R257" s="32">
        <v>45954</v>
      </c>
      <c r="S257" s="29">
        <v>28607</v>
      </c>
      <c r="T257" s="29" t="s">
        <v>991</v>
      </c>
      <c r="U257" s="33" t="s">
        <v>992</v>
      </c>
    </row>
    <row r="258" spans="1:21" ht="28.5" customHeight="1" x14ac:dyDescent="0.3">
      <c r="A258" s="27">
        <v>255</v>
      </c>
      <c r="B258" s="28">
        <v>2025</v>
      </c>
      <c r="C258" s="29" t="s">
        <v>973</v>
      </c>
      <c r="D258" s="30" t="s">
        <v>989</v>
      </c>
      <c r="E258" s="29">
        <v>29165407</v>
      </c>
      <c r="F258" s="29">
        <v>1133405</v>
      </c>
      <c r="G258" s="30" t="s">
        <v>993</v>
      </c>
      <c r="H258" s="29">
        <v>564</v>
      </c>
      <c r="I258" s="29">
        <v>1</v>
      </c>
      <c r="J258" s="29"/>
      <c r="K258" s="30"/>
      <c r="L258" s="29" t="s">
        <v>72</v>
      </c>
      <c r="M258" s="31">
        <v>4923.75</v>
      </c>
      <c r="N258" s="31">
        <v>1641.25</v>
      </c>
      <c r="O258" s="31">
        <v>6565</v>
      </c>
      <c r="P258" s="31">
        <f>VLOOKUP(F258,'[3]1ª PARCELA'!$E$5:$H$889,4,FALSE)</f>
        <v>6565</v>
      </c>
      <c r="Q258" s="31" t="b">
        <f t="shared" si="3"/>
        <v>1</v>
      </c>
      <c r="R258" s="32">
        <v>45793</v>
      </c>
      <c r="S258" s="29">
        <v>9173</v>
      </c>
      <c r="T258" s="29" t="s">
        <v>994</v>
      </c>
      <c r="U258" s="33" t="s">
        <v>995</v>
      </c>
    </row>
    <row r="259" spans="1:21" ht="28.5" customHeight="1" x14ac:dyDescent="0.3">
      <c r="A259" s="27">
        <v>256</v>
      </c>
      <c r="B259" s="28">
        <v>2025</v>
      </c>
      <c r="C259" s="29" t="s">
        <v>973</v>
      </c>
      <c r="D259" s="30" t="s">
        <v>989</v>
      </c>
      <c r="E259" s="29">
        <v>29165555</v>
      </c>
      <c r="F259" s="29">
        <v>1133502</v>
      </c>
      <c r="G259" s="30" t="s">
        <v>996</v>
      </c>
      <c r="H259" s="29">
        <v>649</v>
      </c>
      <c r="I259" s="29">
        <v>1</v>
      </c>
      <c r="J259" s="29"/>
      <c r="K259" s="30"/>
      <c r="L259" s="29" t="s">
        <v>72</v>
      </c>
      <c r="M259" s="31">
        <v>5932</v>
      </c>
      <c r="N259" s="31">
        <v>1483</v>
      </c>
      <c r="O259" s="31">
        <v>7415</v>
      </c>
      <c r="P259" s="31">
        <f>VLOOKUP(F259,'[3]1ª PARCELA'!$E$5:$H$889,4,FALSE)</f>
        <v>7415</v>
      </c>
      <c r="Q259" s="31" t="b">
        <f t="shared" si="3"/>
        <v>1</v>
      </c>
      <c r="R259" s="32">
        <v>45833</v>
      </c>
      <c r="S259" s="29">
        <v>13120</v>
      </c>
      <c r="T259" s="29" t="s">
        <v>997</v>
      </c>
      <c r="U259" s="33" t="s">
        <v>998</v>
      </c>
    </row>
    <row r="260" spans="1:21" ht="28.5" customHeight="1" x14ac:dyDescent="0.3">
      <c r="A260" s="27">
        <v>257</v>
      </c>
      <c r="B260" s="28">
        <v>2025</v>
      </c>
      <c r="C260" s="29" t="s">
        <v>973</v>
      </c>
      <c r="D260" s="30" t="s">
        <v>999</v>
      </c>
      <c r="E260" s="29">
        <v>29166063</v>
      </c>
      <c r="F260" s="29">
        <v>1109164</v>
      </c>
      <c r="G260" s="30" t="s">
        <v>1000</v>
      </c>
      <c r="H260" s="29">
        <v>214</v>
      </c>
      <c r="I260" s="29">
        <v>1</v>
      </c>
      <c r="J260" s="29"/>
      <c r="K260" s="30"/>
      <c r="L260" s="29" t="s">
        <v>72</v>
      </c>
      <c r="M260" s="31">
        <v>1226</v>
      </c>
      <c r="N260" s="31">
        <v>1839</v>
      </c>
      <c r="O260" s="31">
        <v>3065</v>
      </c>
      <c r="P260" s="31">
        <f>VLOOKUP(F260,'[3]1ª PARCELA'!$E$5:$H$889,4,FALSE)</f>
        <v>3065</v>
      </c>
      <c r="Q260" s="31" t="b">
        <f t="shared" si="3"/>
        <v>1</v>
      </c>
      <c r="R260" s="32">
        <v>45793</v>
      </c>
      <c r="S260" s="29">
        <v>9173</v>
      </c>
      <c r="T260" s="29" t="s">
        <v>1001</v>
      </c>
      <c r="U260" s="33" t="s">
        <v>1002</v>
      </c>
    </row>
    <row r="261" spans="1:21" ht="28.5" customHeight="1" x14ac:dyDescent="0.3">
      <c r="A261" s="27">
        <v>258</v>
      </c>
      <c r="B261" s="28">
        <v>2025</v>
      </c>
      <c r="C261" s="29" t="s">
        <v>973</v>
      </c>
      <c r="D261" s="30" t="s">
        <v>1003</v>
      </c>
      <c r="E261" s="29">
        <v>29166314</v>
      </c>
      <c r="F261" s="29">
        <v>1134029</v>
      </c>
      <c r="G261" s="30" t="s">
        <v>1004</v>
      </c>
      <c r="H261" s="29">
        <v>949</v>
      </c>
      <c r="I261" s="29">
        <v>1</v>
      </c>
      <c r="J261" s="29"/>
      <c r="K261" s="30"/>
      <c r="L261" s="29" t="s">
        <v>72</v>
      </c>
      <c r="M261" s="31">
        <v>7290.5</v>
      </c>
      <c r="N261" s="31">
        <v>3124.5</v>
      </c>
      <c r="O261" s="31">
        <v>10415</v>
      </c>
      <c r="P261" s="31">
        <f>VLOOKUP(F261,'[3]1ª PARCELA'!$E$5:$H$889,4,FALSE)</f>
        <v>10415</v>
      </c>
      <c r="Q261" s="31" t="b">
        <f t="shared" ref="Q261:Q324" si="4">O261=P261</f>
        <v>1</v>
      </c>
      <c r="R261" s="32">
        <v>45805</v>
      </c>
      <c r="S261" s="29">
        <v>9678</v>
      </c>
      <c r="T261" s="29" t="s">
        <v>1005</v>
      </c>
      <c r="U261" s="33" t="s">
        <v>1006</v>
      </c>
    </row>
    <row r="262" spans="1:21" ht="28.5" customHeight="1" x14ac:dyDescent="0.3">
      <c r="A262" s="27">
        <v>259</v>
      </c>
      <c r="B262" s="28">
        <v>2025</v>
      </c>
      <c r="C262" s="29" t="s">
        <v>970</v>
      </c>
      <c r="D262" s="30" t="s">
        <v>1007</v>
      </c>
      <c r="E262" s="29">
        <v>29166829</v>
      </c>
      <c r="F262" s="29">
        <v>1109229</v>
      </c>
      <c r="G262" s="30" t="s">
        <v>1008</v>
      </c>
      <c r="H262" s="29">
        <v>486</v>
      </c>
      <c r="I262" s="29">
        <v>1</v>
      </c>
      <c r="J262" s="29"/>
      <c r="K262" s="30"/>
      <c r="L262" s="29" t="s">
        <v>72</v>
      </c>
      <c r="M262" s="31">
        <v>5344.5</v>
      </c>
      <c r="N262" s="31">
        <v>2290.5</v>
      </c>
      <c r="O262" s="31">
        <v>7635</v>
      </c>
      <c r="P262" s="31">
        <f>VLOOKUP(F262,'[3]1ª PARCELA'!$E$5:$H$889,4,FALSE)</f>
        <v>7635</v>
      </c>
      <c r="Q262" s="31" t="b">
        <f t="shared" si="4"/>
        <v>1</v>
      </c>
      <c r="R262" s="32">
        <v>45793</v>
      </c>
      <c r="S262" s="29">
        <v>9173</v>
      </c>
      <c r="T262" s="29" t="s">
        <v>1009</v>
      </c>
      <c r="U262" s="33" t="s">
        <v>1010</v>
      </c>
    </row>
    <row r="263" spans="1:21" ht="28.5" customHeight="1" x14ac:dyDescent="0.3">
      <c r="A263" s="27">
        <v>260</v>
      </c>
      <c r="B263" s="28">
        <v>2025</v>
      </c>
      <c r="C263" s="29" t="s">
        <v>973</v>
      </c>
      <c r="D263" s="30" t="s">
        <v>1011</v>
      </c>
      <c r="E263" s="29">
        <v>29168775</v>
      </c>
      <c r="F263" s="29">
        <v>1166222</v>
      </c>
      <c r="G263" s="30" t="s">
        <v>1012</v>
      </c>
      <c r="H263" s="29">
        <v>215</v>
      </c>
      <c r="I263" s="29">
        <v>1</v>
      </c>
      <c r="J263" s="29"/>
      <c r="K263" s="30"/>
      <c r="L263" s="29" t="s">
        <v>72</v>
      </c>
      <c r="M263" s="31">
        <v>1970</v>
      </c>
      <c r="N263" s="31">
        <v>2955</v>
      </c>
      <c r="O263" s="31">
        <v>4925</v>
      </c>
      <c r="P263" s="31">
        <f>VLOOKUP(F263,'[3]1ª PARCELA'!$E$5:$H$889,4,FALSE)</f>
        <v>4925</v>
      </c>
      <c r="Q263" s="31" t="b">
        <f t="shared" si="4"/>
        <v>1</v>
      </c>
      <c r="R263" s="32">
        <v>45793</v>
      </c>
      <c r="S263" s="29">
        <v>9173</v>
      </c>
      <c r="T263" s="29" t="s">
        <v>1013</v>
      </c>
      <c r="U263" s="33" t="s">
        <v>1014</v>
      </c>
    </row>
    <row r="264" spans="1:21" ht="28.5" customHeight="1" x14ac:dyDescent="0.3">
      <c r="A264" s="27">
        <v>261</v>
      </c>
      <c r="B264" s="28">
        <v>2025</v>
      </c>
      <c r="C264" s="29" t="s">
        <v>973</v>
      </c>
      <c r="D264" s="30" t="s">
        <v>1015</v>
      </c>
      <c r="E264" s="29">
        <v>29169160</v>
      </c>
      <c r="F264" s="29">
        <v>1135610</v>
      </c>
      <c r="G264" s="30" t="s">
        <v>1016</v>
      </c>
      <c r="H264" s="29">
        <v>465</v>
      </c>
      <c r="I264" s="29">
        <v>1</v>
      </c>
      <c r="J264" s="29"/>
      <c r="K264" s="30"/>
      <c r="L264" s="29" t="s">
        <v>72</v>
      </c>
      <c r="M264" s="31">
        <v>3902.5</v>
      </c>
      <c r="N264" s="31">
        <v>1672.5</v>
      </c>
      <c r="O264" s="31">
        <v>5575</v>
      </c>
      <c r="P264" s="31">
        <f>VLOOKUP(F264,'[3]1ª PARCELA'!$E$5:$H$889,4,FALSE)</f>
        <v>5575</v>
      </c>
      <c r="Q264" s="31" t="b">
        <f t="shared" si="4"/>
        <v>1</v>
      </c>
      <c r="R264" s="32">
        <v>45805</v>
      </c>
      <c r="S264" s="29">
        <v>9678</v>
      </c>
      <c r="T264" s="29" t="s">
        <v>1017</v>
      </c>
      <c r="U264" s="33" t="s">
        <v>1018</v>
      </c>
    </row>
    <row r="265" spans="1:21" ht="28.5" customHeight="1" x14ac:dyDescent="0.3">
      <c r="A265" s="27">
        <v>262</v>
      </c>
      <c r="B265" s="28">
        <v>2025</v>
      </c>
      <c r="C265" s="29" t="s">
        <v>973</v>
      </c>
      <c r="D265" s="30" t="s">
        <v>1019</v>
      </c>
      <c r="E265" s="29">
        <v>29169607</v>
      </c>
      <c r="F265" s="29">
        <v>1145691</v>
      </c>
      <c r="G265" s="30" t="s">
        <v>1020</v>
      </c>
      <c r="H265" s="29">
        <v>978</v>
      </c>
      <c r="I265" s="29">
        <v>1</v>
      </c>
      <c r="J265" s="29"/>
      <c r="K265" s="30"/>
      <c r="L265" s="29" t="s">
        <v>72</v>
      </c>
      <c r="M265" s="31">
        <v>7493.5</v>
      </c>
      <c r="N265" s="31">
        <v>3211.5</v>
      </c>
      <c r="O265" s="31">
        <v>10705</v>
      </c>
      <c r="P265" s="31">
        <f>VLOOKUP(F265,'[3]1ª PARCELA'!$E$5:$H$889,4,FALSE)</f>
        <v>10705</v>
      </c>
      <c r="Q265" s="31" t="b">
        <f t="shared" si="4"/>
        <v>1</v>
      </c>
      <c r="R265" s="32">
        <v>45805</v>
      </c>
      <c r="S265" s="29">
        <v>9678</v>
      </c>
      <c r="T265" s="29" t="s">
        <v>1021</v>
      </c>
      <c r="U265" s="33" t="s">
        <v>1022</v>
      </c>
    </row>
    <row r="266" spans="1:21" ht="28.5" customHeight="1" x14ac:dyDescent="0.3">
      <c r="A266" s="27">
        <v>263</v>
      </c>
      <c r="B266" s="28">
        <v>2025</v>
      </c>
      <c r="C266" s="29" t="s">
        <v>973</v>
      </c>
      <c r="D266" s="30" t="s">
        <v>1019</v>
      </c>
      <c r="E266" s="29">
        <v>29169615</v>
      </c>
      <c r="F266" s="29">
        <v>1109326</v>
      </c>
      <c r="G266" s="30" t="s">
        <v>543</v>
      </c>
      <c r="H266" s="29">
        <v>631</v>
      </c>
      <c r="I266" s="29">
        <v>1</v>
      </c>
      <c r="J266" s="29"/>
      <c r="K266" s="30"/>
      <c r="L266" s="29" t="s">
        <v>72</v>
      </c>
      <c r="M266" s="31">
        <v>5788</v>
      </c>
      <c r="N266" s="31">
        <v>1447</v>
      </c>
      <c r="O266" s="31">
        <v>7235</v>
      </c>
      <c r="P266" s="31">
        <f>VLOOKUP(F266,'[3]1ª PARCELA'!$E$5:$H$889,4,FALSE)</f>
        <v>7235</v>
      </c>
      <c r="Q266" s="31" t="b">
        <f t="shared" si="4"/>
        <v>1</v>
      </c>
      <c r="R266" s="32">
        <v>45833</v>
      </c>
      <c r="S266" s="29">
        <v>13120</v>
      </c>
      <c r="T266" s="29" t="s">
        <v>1023</v>
      </c>
      <c r="U266" s="33" t="s">
        <v>1024</v>
      </c>
    </row>
    <row r="267" spans="1:21" ht="28.5" customHeight="1" x14ac:dyDescent="0.3">
      <c r="A267" s="27">
        <v>264</v>
      </c>
      <c r="B267" s="28">
        <v>2025</v>
      </c>
      <c r="C267" s="29" t="s">
        <v>973</v>
      </c>
      <c r="D267" s="30" t="s">
        <v>1025</v>
      </c>
      <c r="E267" s="29">
        <v>29170583</v>
      </c>
      <c r="F267" s="29">
        <v>1134568</v>
      </c>
      <c r="G267" s="30" t="s">
        <v>1026</v>
      </c>
      <c r="H267" s="29">
        <v>896</v>
      </c>
      <c r="I267" s="29">
        <v>1</v>
      </c>
      <c r="J267" s="29"/>
      <c r="K267" s="30"/>
      <c r="L267" s="29" t="s">
        <v>72</v>
      </c>
      <c r="M267" s="31">
        <v>7908</v>
      </c>
      <c r="N267" s="31">
        <v>1977</v>
      </c>
      <c r="O267" s="31">
        <v>9885</v>
      </c>
      <c r="P267" s="31">
        <f>VLOOKUP(F267,'[3]1ª PARCELA'!$E$5:$H$889,4,FALSE)</f>
        <v>9885</v>
      </c>
      <c r="Q267" s="31" t="b">
        <f t="shared" si="4"/>
        <v>1</v>
      </c>
      <c r="R267" s="32">
        <v>45967</v>
      </c>
      <c r="S267" s="29">
        <v>29630</v>
      </c>
      <c r="T267" s="29" t="s">
        <v>1027</v>
      </c>
      <c r="U267" s="33" t="s">
        <v>1028</v>
      </c>
    </row>
    <row r="268" spans="1:21" ht="28.5" customHeight="1" x14ac:dyDescent="0.3">
      <c r="A268" s="27">
        <v>265</v>
      </c>
      <c r="B268" s="28">
        <v>2025</v>
      </c>
      <c r="C268" s="29" t="s">
        <v>973</v>
      </c>
      <c r="D268" s="30" t="s">
        <v>1029</v>
      </c>
      <c r="E268" s="29">
        <v>29171601</v>
      </c>
      <c r="F268" s="29">
        <v>1109652</v>
      </c>
      <c r="G268" s="30" t="s">
        <v>1030</v>
      </c>
      <c r="H268" s="29">
        <v>1746</v>
      </c>
      <c r="I268" s="29">
        <v>1</v>
      </c>
      <c r="J268" s="29"/>
      <c r="K268" s="30"/>
      <c r="L268" s="29" t="s">
        <v>72</v>
      </c>
      <c r="M268" s="31">
        <v>11031</v>
      </c>
      <c r="N268" s="31">
        <v>7354</v>
      </c>
      <c r="O268" s="31">
        <v>18385</v>
      </c>
      <c r="P268" s="31">
        <f>VLOOKUP(F268,'[3]1ª PARCELA'!$E$5:$H$889,4,FALSE)</f>
        <v>18385</v>
      </c>
      <c r="Q268" s="31" t="b">
        <f t="shared" si="4"/>
        <v>1</v>
      </c>
      <c r="R268" s="32">
        <v>45793</v>
      </c>
      <c r="S268" s="29">
        <v>9173</v>
      </c>
      <c r="T268" s="29" t="s">
        <v>1031</v>
      </c>
      <c r="U268" s="33" t="s">
        <v>1032</v>
      </c>
    </row>
    <row r="269" spans="1:21" ht="28.5" customHeight="1" x14ac:dyDescent="0.3">
      <c r="A269" s="27">
        <v>266</v>
      </c>
      <c r="B269" s="28">
        <v>2025</v>
      </c>
      <c r="C269" s="29" t="s">
        <v>973</v>
      </c>
      <c r="D269" s="30" t="s">
        <v>1029</v>
      </c>
      <c r="E269" s="29">
        <v>29171610</v>
      </c>
      <c r="F269" s="29">
        <v>1164564</v>
      </c>
      <c r="G269" s="30" t="s">
        <v>1033</v>
      </c>
      <c r="H269" s="29">
        <v>1018</v>
      </c>
      <c r="I269" s="29">
        <v>1</v>
      </c>
      <c r="J269" s="29"/>
      <c r="K269" s="30"/>
      <c r="L269" s="29" t="s">
        <v>72</v>
      </c>
      <c r="M269" s="31">
        <v>6663</v>
      </c>
      <c r="N269" s="31">
        <v>4442</v>
      </c>
      <c r="O269" s="31">
        <v>11105</v>
      </c>
      <c r="P269" s="31">
        <f>VLOOKUP(F269,'[3]1ª PARCELA'!$E$5:$H$889,4,FALSE)</f>
        <v>11105</v>
      </c>
      <c r="Q269" s="31" t="b">
        <f t="shared" si="4"/>
        <v>1</v>
      </c>
      <c r="R269" s="32">
        <v>45849</v>
      </c>
      <c r="S269" s="29">
        <v>15915</v>
      </c>
      <c r="T269" s="29" t="s">
        <v>1034</v>
      </c>
      <c r="U269" s="33" t="s">
        <v>1035</v>
      </c>
    </row>
    <row r="270" spans="1:21" ht="28.5" customHeight="1" x14ac:dyDescent="0.3">
      <c r="A270" s="27">
        <v>267</v>
      </c>
      <c r="B270" s="28">
        <v>2025</v>
      </c>
      <c r="C270" s="29" t="s">
        <v>973</v>
      </c>
      <c r="D270" s="30" t="s">
        <v>1036</v>
      </c>
      <c r="E270" s="29">
        <v>29172870</v>
      </c>
      <c r="F270" s="29">
        <v>1134657</v>
      </c>
      <c r="G270" s="30" t="s">
        <v>413</v>
      </c>
      <c r="H270" s="29">
        <v>398</v>
      </c>
      <c r="I270" s="29">
        <v>1</v>
      </c>
      <c r="J270" s="29"/>
      <c r="K270" s="30"/>
      <c r="L270" s="29" t="s">
        <v>72</v>
      </c>
      <c r="M270" s="31">
        <v>3433.5</v>
      </c>
      <c r="N270" s="31">
        <v>1471.5</v>
      </c>
      <c r="O270" s="31">
        <v>4905</v>
      </c>
      <c r="P270" s="31">
        <f>VLOOKUP(F270,'[3]1ª PARCELA'!$E$5:$H$889,4,FALSE)</f>
        <v>4905</v>
      </c>
      <c r="Q270" s="31" t="b">
        <f t="shared" si="4"/>
        <v>1</v>
      </c>
      <c r="R270" s="32">
        <v>45926</v>
      </c>
      <c r="S270" s="29">
        <v>24529</v>
      </c>
      <c r="T270" s="29" t="s">
        <v>1037</v>
      </c>
      <c r="U270" s="33" t="s">
        <v>1038</v>
      </c>
    </row>
    <row r="271" spans="1:21" ht="28.5" customHeight="1" x14ac:dyDescent="0.3">
      <c r="A271" s="27">
        <v>268</v>
      </c>
      <c r="B271" s="28">
        <v>2025</v>
      </c>
      <c r="C271" s="29" t="s">
        <v>973</v>
      </c>
      <c r="D271" s="30" t="s">
        <v>1039</v>
      </c>
      <c r="E271" s="29">
        <v>29173531</v>
      </c>
      <c r="F271" s="29">
        <v>1134509</v>
      </c>
      <c r="G271" s="30" t="s">
        <v>1040</v>
      </c>
      <c r="H271" s="29">
        <v>1063</v>
      </c>
      <c r="I271" s="29">
        <v>1</v>
      </c>
      <c r="J271" s="29"/>
      <c r="K271" s="30"/>
      <c r="L271" s="29" t="s">
        <v>72</v>
      </c>
      <c r="M271" s="31">
        <v>9244</v>
      </c>
      <c r="N271" s="31">
        <v>2311</v>
      </c>
      <c r="O271" s="31">
        <v>11555</v>
      </c>
      <c r="P271" s="31">
        <f>VLOOKUP(F271,'[3]1ª PARCELA'!$E$5:$H$889,4,FALSE)</f>
        <v>11555</v>
      </c>
      <c r="Q271" s="31" t="b">
        <f t="shared" si="4"/>
        <v>1</v>
      </c>
      <c r="R271" s="32">
        <v>45793</v>
      </c>
      <c r="S271" s="29">
        <v>9173</v>
      </c>
      <c r="T271" s="29" t="s">
        <v>1041</v>
      </c>
      <c r="U271" s="33" t="s">
        <v>1042</v>
      </c>
    </row>
    <row r="272" spans="1:21" ht="28.5" customHeight="1" x14ac:dyDescent="0.3">
      <c r="A272" s="27">
        <v>269</v>
      </c>
      <c r="B272" s="28">
        <v>2025</v>
      </c>
      <c r="C272" s="29" t="s">
        <v>973</v>
      </c>
      <c r="D272" s="30" t="s">
        <v>1043</v>
      </c>
      <c r="E272" s="29">
        <v>29174180</v>
      </c>
      <c r="F272" s="29">
        <v>1134932</v>
      </c>
      <c r="G272" s="30" t="s">
        <v>1044</v>
      </c>
      <c r="H272" s="29">
        <v>346</v>
      </c>
      <c r="I272" s="29">
        <v>1</v>
      </c>
      <c r="J272" s="29"/>
      <c r="K272" s="30"/>
      <c r="L272" s="29" t="s">
        <v>72</v>
      </c>
      <c r="M272" s="31">
        <v>2631</v>
      </c>
      <c r="N272" s="31">
        <v>1754</v>
      </c>
      <c r="O272" s="31">
        <v>4385</v>
      </c>
      <c r="P272" s="31">
        <f>VLOOKUP(F272,'[3]1ª PARCELA'!$E$5:$H$889,4,FALSE)</f>
        <v>4385</v>
      </c>
      <c r="Q272" s="31" t="b">
        <f t="shared" si="4"/>
        <v>1</v>
      </c>
      <c r="R272" s="32">
        <v>45926</v>
      </c>
      <c r="S272" s="29">
        <v>24529</v>
      </c>
      <c r="T272" s="29" t="s">
        <v>1045</v>
      </c>
      <c r="U272" s="33" t="s">
        <v>1046</v>
      </c>
    </row>
    <row r="273" spans="1:21" ht="28.5" customHeight="1" x14ac:dyDescent="0.3">
      <c r="A273" s="27">
        <v>270</v>
      </c>
      <c r="B273" s="28">
        <v>2025</v>
      </c>
      <c r="C273" s="29" t="s">
        <v>973</v>
      </c>
      <c r="D273" s="30" t="s">
        <v>1043</v>
      </c>
      <c r="E273" s="29">
        <v>29174546</v>
      </c>
      <c r="F273" s="29">
        <v>1138954</v>
      </c>
      <c r="G273" s="30" t="s">
        <v>1047</v>
      </c>
      <c r="H273" s="29">
        <v>688</v>
      </c>
      <c r="I273" s="29">
        <v>1</v>
      </c>
      <c r="J273" s="29"/>
      <c r="K273" s="30"/>
      <c r="L273" s="29" t="s">
        <v>72</v>
      </c>
      <c r="M273" s="31">
        <v>4683</v>
      </c>
      <c r="N273" s="31">
        <v>3122</v>
      </c>
      <c r="O273" s="31">
        <v>7805</v>
      </c>
      <c r="P273" s="31">
        <f>VLOOKUP(F273,'[3]1ª PARCELA'!$E$5:$H$889,4,FALSE)</f>
        <v>7805</v>
      </c>
      <c r="Q273" s="31" t="b">
        <f t="shared" si="4"/>
        <v>1</v>
      </c>
      <c r="R273" s="32">
        <v>45793</v>
      </c>
      <c r="S273" s="29">
        <v>9173</v>
      </c>
      <c r="T273" s="29" t="s">
        <v>1048</v>
      </c>
      <c r="U273" s="33" t="s">
        <v>1049</v>
      </c>
    </row>
    <row r="274" spans="1:21" ht="28.5" customHeight="1" x14ac:dyDescent="0.3">
      <c r="A274" s="27">
        <v>271</v>
      </c>
      <c r="B274" s="28">
        <v>2025</v>
      </c>
      <c r="C274" s="29" t="s">
        <v>973</v>
      </c>
      <c r="D274" s="30" t="s">
        <v>1050</v>
      </c>
      <c r="E274" s="29">
        <v>29174805</v>
      </c>
      <c r="F274" s="29">
        <v>1178030</v>
      </c>
      <c r="G274" s="30" t="s">
        <v>822</v>
      </c>
      <c r="H274" s="29">
        <v>491</v>
      </c>
      <c r="I274" s="29">
        <v>1</v>
      </c>
      <c r="J274" s="29"/>
      <c r="K274" s="30"/>
      <c r="L274" s="29" t="s">
        <v>72</v>
      </c>
      <c r="M274" s="31">
        <v>4668</v>
      </c>
      <c r="N274" s="31">
        <v>1167</v>
      </c>
      <c r="O274" s="31">
        <v>5835</v>
      </c>
      <c r="P274" s="31">
        <f>VLOOKUP(F274,'[3]1ª PARCELA'!$E$5:$H$889,4,FALSE)</f>
        <v>5835</v>
      </c>
      <c r="Q274" s="31" t="b">
        <f t="shared" si="4"/>
        <v>1</v>
      </c>
      <c r="R274" s="32">
        <v>45867</v>
      </c>
      <c r="S274" s="29">
        <v>16705</v>
      </c>
      <c r="T274" s="29" t="s">
        <v>1051</v>
      </c>
      <c r="U274" s="33" t="s">
        <v>1052</v>
      </c>
    </row>
    <row r="275" spans="1:21" ht="28.5" customHeight="1" x14ac:dyDescent="0.3">
      <c r="A275" s="27">
        <v>272</v>
      </c>
      <c r="B275" s="28">
        <v>2025</v>
      </c>
      <c r="C275" s="29" t="s">
        <v>961</v>
      </c>
      <c r="D275" s="30" t="s">
        <v>1053</v>
      </c>
      <c r="E275" s="29">
        <v>29175518</v>
      </c>
      <c r="F275" s="29">
        <v>1102259</v>
      </c>
      <c r="G275" s="30" t="s">
        <v>1054</v>
      </c>
      <c r="H275" s="29">
        <v>2480</v>
      </c>
      <c r="I275" s="29">
        <v>1</v>
      </c>
      <c r="J275" s="29"/>
      <c r="K275" s="30"/>
      <c r="L275" s="29" t="s">
        <v>72</v>
      </c>
      <c r="M275" s="31">
        <v>20580</v>
      </c>
      <c r="N275" s="31">
        <v>5145</v>
      </c>
      <c r="O275" s="31">
        <v>25725</v>
      </c>
      <c r="P275" s="31">
        <f>VLOOKUP(F275,'[3]1ª PARCELA'!$E$5:$H$889,4,FALSE)</f>
        <v>25725</v>
      </c>
      <c r="Q275" s="31" t="b">
        <f t="shared" si="4"/>
        <v>1</v>
      </c>
      <c r="R275" s="32">
        <v>45833</v>
      </c>
      <c r="S275" s="29">
        <v>13120</v>
      </c>
      <c r="T275" s="29" t="s">
        <v>1055</v>
      </c>
      <c r="U275" s="33" t="s">
        <v>1056</v>
      </c>
    </row>
    <row r="276" spans="1:21" ht="28.5" customHeight="1" x14ac:dyDescent="0.3">
      <c r="A276" s="27">
        <v>273</v>
      </c>
      <c r="B276" s="28">
        <v>2025</v>
      </c>
      <c r="C276" s="29" t="s">
        <v>961</v>
      </c>
      <c r="D276" s="30" t="s">
        <v>1053</v>
      </c>
      <c r="E276" s="29">
        <v>29175771</v>
      </c>
      <c r="F276" s="29">
        <v>1101961</v>
      </c>
      <c r="G276" s="30" t="s">
        <v>1057</v>
      </c>
      <c r="H276" s="29">
        <v>973</v>
      </c>
      <c r="I276" s="29">
        <v>1</v>
      </c>
      <c r="J276" s="29"/>
      <c r="K276" s="30"/>
      <c r="L276" s="29" t="s">
        <v>72</v>
      </c>
      <c r="M276" s="31">
        <v>8524</v>
      </c>
      <c r="N276" s="31">
        <v>2131</v>
      </c>
      <c r="O276" s="31">
        <v>10655</v>
      </c>
      <c r="P276" s="31">
        <f>VLOOKUP(F276,'[3]1ª PARCELA'!$E$5:$H$889,4,FALSE)</f>
        <v>10655</v>
      </c>
      <c r="Q276" s="31" t="b">
        <f t="shared" si="4"/>
        <v>1</v>
      </c>
      <c r="R276" s="32">
        <v>45954</v>
      </c>
      <c r="S276" s="29">
        <v>28607</v>
      </c>
      <c r="T276" s="29" t="s">
        <v>1058</v>
      </c>
      <c r="U276" s="33" t="s">
        <v>1059</v>
      </c>
    </row>
    <row r="277" spans="1:21" ht="28.5" customHeight="1" x14ac:dyDescent="0.3">
      <c r="A277" s="27">
        <v>274</v>
      </c>
      <c r="B277" s="28">
        <v>2025</v>
      </c>
      <c r="C277" s="29" t="s">
        <v>961</v>
      </c>
      <c r="D277" s="30" t="s">
        <v>1053</v>
      </c>
      <c r="E277" s="29">
        <v>29175950</v>
      </c>
      <c r="F277" s="29">
        <v>1104707</v>
      </c>
      <c r="G277" s="30" t="s">
        <v>1060</v>
      </c>
      <c r="H277" s="29">
        <v>1648</v>
      </c>
      <c r="I277" s="29">
        <v>1</v>
      </c>
      <c r="J277" s="29"/>
      <c r="K277" s="30"/>
      <c r="L277" s="29" t="s">
        <v>72</v>
      </c>
      <c r="M277" s="31">
        <v>8702.5</v>
      </c>
      <c r="N277" s="31">
        <v>8702.5</v>
      </c>
      <c r="O277" s="31">
        <v>17405</v>
      </c>
      <c r="P277" s="31">
        <f>VLOOKUP(F277,'[3]1ª PARCELA'!$E$5:$H$889,4,FALSE)</f>
        <v>17405</v>
      </c>
      <c r="Q277" s="31" t="b">
        <f t="shared" si="4"/>
        <v>1</v>
      </c>
      <c r="R277" s="32">
        <v>45833</v>
      </c>
      <c r="S277" s="29">
        <v>13120</v>
      </c>
      <c r="T277" s="29" t="s">
        <v>1061</v>
      </c>
      <c r="U277" s="33" t="s">
        <v>1062</v>
      </c>
    </row>
    <row r="278" spans="1:21" ht="28.5" customHeight="1" x14ac:dyDescent="0.3">
      <c r="A278" s="27">
        <v>275</v>
      </c>
      <c r="B278" s="28">
        <v>2025</v>
      </c>
      <c r="C278" s="29" t="s">
        <v>961</v>
      </c>
      <c r="D278" s="30" t="s">
        <v>1063</v>
      </c>
      <c r="E278" s="29">
        <v>29176409</v>
      </c>
      <c r="F278" s="29">
        <v>1104669</v>
      </c>
      <c r="G278" s="30" t="s">
        <v>1064</v>
      </c>
      <c r="H278" s="29">
        <v>586</v>
      </c>
      <c r="I278" s="29">
        <v>1</v>
      </c>
      <c r="J278" s="29"/>
      <c r="K278" s="30"/>
      <c r="L278" s="29" t="s">
        <v>72</v>
      </c>
      <c r="M278" s="31">
        <v>5428</v>
      </c>
      <c r="N278" s="31">
        <v>1357</v>
      </c>
      <c r="O278" s="31">
        <v>6785</v>
      </c>
      <c r="P278" s="31">
        <f>VLOOKUP(F278,'[3]1ª PARCELA'!$E$5:$H$889,4,FALSE)</f>
        <v>6785</v>
      </c>
      <c r="Q278" s="31" t="b">
        <f t="shared" si="4"/>
        <v>1</v>
      </c>
      <c r="R278" s="32">
        <v>45954</v>
      </c>
      <c r="S278" s="29">
        <v>28607</v>
      </c>
      <c r="T278" s="29" t="s">
        <v>1065</v>
      </c>
      <c r="U278" s="33" t="s">
        <v>1066</v>
      </c>
    </row>
    <row r="279" spans="1:21" ht="28.5" customHeight="1" x14ac:dyDescent="0.3">
      <c r="A279" s="27">
        <v>276</v>
      </c>
      <c r="B279" s="28">
        <v>2025</v>
      </c>
      <c r="C279" s="29" t="s">
        <v>961</v>
      </c>
      <c r="D279" s="30" t="s">
        <v>1063</v>
      </c>
      <c r="E279" s="29">
        <v>29176808</v>
      </c>
      <c r="F279" s="29">
        <v>1104863</v>
      </c>
      <c r="G279" s="30" t="s">
        <v>711</v>
      </c>
      <c r="H279" s="29">
        <v>813</v>
      </c>
      <c r="I279" s="29">
        <v>1</v>
      </c>
      <c r="J279" s="29"/>
      <c r="K279" s="30"/>
      <c r="L279" s="29" t="s">
        <v>72</v>
      </c>
      <c r="M279" s="31">
        <v>7244</v>
      </c>
      <c r="N279" s="31">
        <v>1811</v>
      </c>
      <c r="O279" s="31">
        <v>9055</v>
      </c>
      <c r="P279" s="31">
        <f>VLOOKUP(F279,'[3]1ª PARCELA'!$E$5:$H$889,4,FALSE)</f>
        <v>9055</v>
      </c>
      <c r="Q279" s="31" t="b">
        <f t="shared" si="4"/>
        <v>1</v>
      </c>
      <c r="R279" s="32">
        <v>45947</v>
      </c>
      <c r="S279" s="29">
        <v>27225</v>
      </c>
      <c r="T279" s="29" t="s">
        <v>1067</v>
      </c>
      <c r="U279" s="33" t="s">
        <v>1068</v>
      </c>
    </row>
    <row r="280" spans="1:21" ht="28.5" customHeight="1" x14ac:dyDescent="0.3">
      <c r="A280" s="27">
        <v>277</v>
      </c>
      <c r="B280" s="28">
        <v>2025</v>
      </c>
      <c r="C280" s="29" t="s">
        <v>961</v>
      </c>
      <c r="D280" s="30" t="s">
        <v>1063</v>
      </c>
      <c r="E280" s="29">
        <v>29177090</v>
      </c>
      <c r="F280" s="29">
        <v>1103719</v>
      </c>
      <c r="G280" s="30" t="s">
        <v>1069</v>
      </c>
      <c r="H280" s="29">
        <v>625</v>
      </c>
      <c r="I280" s="29">
        <v>1</v>
      </c>
      <c r="J280" s="29"/>
      <c r="K280" s="30"/>
      <c r="L280" s="29" t="s">
        <v>72</v>
      </c>
      <c r="M280" s="31">
        <v>5022.5</v>
      </c>
      <c r="N280" s="31">
        <v>2152.5</v>
      </c>
      <c r="O280" s="31">
        <v>7175</v>
      </c>
      <c r="P280" s="31">
        <f>VLOOKUP(F280,'[3]1ª PARCELA'!$E$5:$H$889,4,FALSE)</f>
        <v>7175</v>
      </c>
      <c r="Q280" s="31" t="b">
        <f t="shared" si="4"/>
        <v>1</v>
      </c>
      <c r="R280" s="32">
        <v>45926</v>
      </c>
      <c r="S280" s="29">
        <v>24529</v>
      </c>
      <c r="T280" s="29" t="s">
        <v>1070</v>
      </c>
      <c r="U280" s="33" t="s">
        <v>1071</v>
      </c>
    </row>
    <row r="281" spans="1:21" ht="28.5" customHeight="1" x14ac:dyDescent="0.3">
      <c r="A281" s="27">
        <v>278</v>
      </c>
      <c r="B281" s="28">
        <v>2025</v>
      </c>
      <c r="C281" s="29" t="s">
        <v>961</v>
      </c>
      <c r="D281" s="30" t="s">
        <v>1072</v>
      </c>
      <c r="E281" s="29">
        <v>29178231</v>
      </c>
      <c r="F281" s="29">
        <v>1100809</v>
      </c>
      <c r="G281" s="30" t="s">
        <v>1073</v>
      </c>
      <c r="H281" s="29">
        <v>896</v>
      </c>
      <c r="I281" s="29">
        <v>1</v>
      </c>
      <c r="J281" s="29"/>
      <c r="K281" s="30"/>
      <c r="L281" s="29" t="s">
        <v>72</v>
      </c>
      <c r="M281" s="31">
        <v>6919.5</v>
      </c>
      <c r="N281" s="31">
        <v>2965.5</v>
      </c>
      <c r="O281" s="31">
        <v>9885</v>
      </c>
      <c r="P281" s="31">
        <f>VLOOKUP(F281,'[3]1ª PARCELA'!$E$5:$H$889,4,FALSE)</f>
        <v>9885</v>
      </c>
      <c r="Q281" s="31" t="b">
        <f t="shared" si="4"/>
        <v>1</v>
      </c>
      <c r="R281" s="32">
        <v>45833</v>
      </c>
      <c r="S281" s="29">
        <v>13120</v>
      </c>
      <c r="T281" s="29" t="s">
        <v>1074</v>
      </c>
      <c r="U281" s="33" t="s">
        <v>1075</v>
      </c>
    </row>
    <row r="282" spans="1:21" ht="28.5" customHeight="1" x14ac:dyDescent="0.3">
      <c r="A282" s="27">
        <v>279</v>
      </c>
      <c r="B282" s="28">
        <v>2025</v>
      </c>
      <c r="C282" s="29" t="s">
        <v>961</v>
      </c>
      <c r="D282" s="30" t="s">
        <v>1072</v>
      </c>
      <c r="E282" s="29">
        <v>29178320</v>
      </c>
      <c r="F282" s="29">
        <v>1100256</v>
      </c>
      <c r="G282" s="30" t="s">
        <v>1076</v>
      </c>
      <c r="H282" s="29">
        <v>1560</v>
      </c>
      <c r="I282" s="29">
        <v>1</v>
      </c>
      <c r="J282" s="29"/>
      <c r="K282" s="30"/>
      <c r="L282" s="29" t="s">
        <v>72</v>
      </c>
      <c r="M282" s="31">
        <v>13220</v>
      </c>
      <c r="N282" s="31">
        <v>3305</v>
      </c>
      <c r="O282" s="31">
        <v>16525</v>
      </c>
      <c r="P282" s="31">
        <f>VLOOKUP(F282,'[3]1ª PARCELA'!$E$5:$H$889,4,FALSE)</f>
        <v>16525</v>
      </c>
      <c r="Q282" s="31" t="b">
        <f t="shared" si="4"/>
        <v>1</v>
      </c>
      <c r="R282" s="32">
        <v>45805</v>
      </c>
      <c r="S282" s="29">
        <v>9678</v>
      </c>
      <c r="T282" s="29" t="s">
        <v>1077</v>
      </c>
      <c r="U282" s="33" t="s">
        <v>1078</v>
      </c>
    </row>
    <row r="283" spans="1:21" ht="28.5" customHeight="1" x14ac:dyDescent="0.3">
      <c r="A283" s="27">
        <v>280</v>
      </c>
      <c r="B283" s="28">
        <v>2025</v>
      </c>
      <c r="C283" s="29" t="s">
        <v>961</v>
      </c>
      <c r="D283" s="30" t="s">
        <v>1072</v>
      </c>
      <c r="E283" s="29">
        <v>29178487</v>
      </c>
      <c r="F283" s="29">
        <v>1100477</v>
      </c>
      <c r="G283" s="30" t="s">
        <v>1079</v>
      </c>
      <c r="H283" s="29">
        <v>940</v>
      </c>
      <c r="I283" s="29">
        <v>1</v>
      </c>
      <c r="J283" s="29"/>
      <c r="K283" s="30"/>
      <c r="L283" s="29" t="s">
        <v>72</v>
      </c>
      <c r="M283" s="31">
        <v>8260</v>
      </c>
      <c r="N283" s="31">
        <v>2065</v>
      </c>
      <c r="O283" s="31">
        <v>10325</v>
      </c>
      <c r="P283" s="31">
        <f>VLOOKUP(F283,'[3]1ª PARCELA'!$E$5:$H$889,4,FALSE)</f>
        <v>10325</v>
      </c>
      <c r="Q283" s="31" t="b">
        <f t="shared" si="4"/>
        <v>1</v>
      </c>
      <c r="R283" s="32">
        <v>45805</v>
      </c>
      <c r="S283" s="29">
        <v>9678</v>
      </c>
      <c r="T283" s="29" t="s">
        <v>1080</v>
      </c>
      <c r="U283" s="33" t="s">
        <v>1081</v>
      </c>
    </row>
    <row r="284" spans="1:21" ht="28.5" customHeight="1" x14ac:dyDescent="0.3">
      <c r="A284" s="27">
        <v>281</v>
      </c>
      <c r="B284" s="28">
        <v>2025</v>
      </c>
      <c r="C284" s="29" t="s">
        <v>961</v>
      </c>
      <c r="D284" s="30" t="s">
        <v>1072</v>
      </c>
      <c r="E284" s="29">
        <v>29178550</v>
      </c>
      <c r="F284" s="29">
        <v>1102470</v>
      </c>
      <c r="G284" s="30" t="s">
        <v>1082</v>
      </c>
      <c r="H284" s="29">
        <v>790</v>
      </c>
      <c r="I284" s="29">
        <v>1</v>
      </c>
      <c r="J284" s="29"/>
      <c r="K284" s="30"/>
      <c r="L284" s="29" t="s">
        <v>72</v>
      </c>
      <c r="M284" s="31">
        <v>7472.5</v>
      </c>
      <c r="N284" s="31">
        <v>3202.5</v>
      </c>
      <c r="O284" s="31">
        <v>10675</v>
      </c>
      <c r="P284" s="31">
        <f>VLOOKUP(F284,'[3]1ª PARCELA'!$E$5:$H$889,4,FALSE)</f>
        <v>10675</v>
      </c>
      <c r="Q284" s="31" t="b">
        <f t="shared" si="4"/>
        <v>1</v>
      </c>
      <c r="R284" s="32">
        <v>45833</v>
      </c>
      <c r="S284" s="29">
        <v>13120</v>
      </c>
      <c r="T284" s="29" t="s">
        <v>1083</v>
      </c>
      <c r="U284" s="33" t="s">
        <v>1084</v>
      </c>
    </row>
    <row r="285" spans="1:21" ht="28.5" customHeight="1" x14ac:dyDescent="0.3">
      <c r="A285" s="27">
        <v>282</v>
      </c>
      <c r="B285" s="28">
        <v>2025</v>
      </c>
      <c r="C285" s="29" t="s">
        <v>961</v>
      </c>
      <c r="D285" s="30" t="s">
        <v>1072</v>
      </c>
      <c r="E285" s="29">
        <v>29178584</v>
      </c>
      <c r="F285" s="29">
        <v>1110081</v>
      </c>
      <c r="G285" s="30" t="s">
        <v>1085</v>
      </c>
      <c r="H285" s="29">
        <v>842</v>
      </c>
      <c r="I285" s="29">
        <v>1</v>
      </c>
      <c r="J285" s="29"/>
      <c r="K285" s="30"/>
      <c r="L285" s="29" t="s">
        <v>72</v>
      </c>
      <c r="M285" s="31">
        <v>7476</v>
      </c>
      <c r="N285" s="31">
        <v>1869</v>
      </c>
      <c r="O285" s="31">
        <v>9345</v>
      </c>
      <c r="P285" s="31">
        <f>VLOOKUP(F285,'[3]1ª PARCELA'!$E$5:$H$889,4,FALSE)</f>
        <v>9345</v>
      </c>
      <c r="Q285" s="31" t="b">
        <f t="shared" si="4"/>
        <v>1</v>
      </c>
      <c r="R285" s="32">
        <v>45954</v>
      </c>
      <c r="S285" s="29">
        <v>28607</v>
      </c>
      <c r="T285" s="29" t="s">
        <v>1086</v>
      </c>
      <c r="U285" s="33" t="s">
        <v>1087</v>
      </c>
    </row>
    <row r="286" spans="1:21" ht="28.5" customHeight="1" x14ac:dyDescent="0.3">
      <c r="A286" s="27">
        <v>283</v>
      </c>
      <c r="B286" s="28">
        <v>2025</v>
      </c>
      <c r="C286" s="29" t="s">
        <v>961</v>
      </c>
      <c r="D286" s="30" t="s">
        <v>1088</v>
      </c>
      <c r="E286" s="29">
        <v>29179220</v>
      </c>
      <c r="F286" s="29">
        <v>1101147</v>
      </c>
      <c r="G286" s="30" t="s">
        <v>1089</v>
      </c>
      <c r="H286" s="29">
        <v>726</v>
      </c>
      <c r="I286" s="29">
        <v>1</v>
      </c>
      <c r="J286" s="29"/>
      <c r="K286" s="30"/>
      <c r="L286" s="29" t="s">
        <v>72</v>
      </c>
      <c r="M286" s="31">
        <v>6548</v>
      </c>
      <c r="N286" s="31">
        <v>1637</v>
      </c>
      <c r="O286" s="31">
        <v>8185</v>
      </c>
      <c r="P286" s="31">
        <f>VLOOKUP(F286,'[3]1ª PARCELA'!$E$5:$H$889,4,FALSE)</f>
        <v>8185</v>
      </c>
      <c r="Q286" s="31" t="b">
        <f t="shared" si="4"/>
        <v>1</v>
      </c>
      <c r="R286" s="32">
        <v>45867</v>
      </c>
      <c r="S286" s="29">
        <v>16705</v>
      </c>
      <c r="T286" s="29" t="s">
        <v>1090</v>
      </c>
      <c r="U286" s="33" t="s">
        <v>1091</v>
      </c>
    </row>
    <row r="287" spans="1:21" ht="28.5" customHeight="1" x14ac:dyDescent="0.3">
      <c r="A287" s="27">
        <v>284</v>
      </c>
      <c r="B287" s="28">
        <v>2025</v>
      </c>
      <c r="C287" s="29" t="s">
        <v>961</v>
      </c>
      <c r="D287" s="30" t="s">
        <v>1092</v>
      </c>
      <c r="E287" s="29">
        <v>29179491</v>
      </c>
      <c r="F287" s="29">
        <v>1101490</v>
      </c>
      <c r="G287" s="30" t="s">
        <v>1093</v>
      </c>
      <c r="H287" s="29">
        <v>612</v>
      </c>
      <c r="I287" s="29">
        <v>1</v>
      </c>
      <c r="J287" s="29"/>
      <c r="K287" s="30"/>
      <c r="L287" s="29" t="s">
        <v>72</v>
      </c>
      <c r="M287" s="31">
        <v>5636</v>
      </c>
      <c r="N287" s="31">
        <v>1409</v>
      </c>
      <c r="O287" s="31">
        <v>7045</v>
      </c>
      <c r="P287" s="31">
        <f>VLOOKUP(F287,'[3]1ª PARCELA'!$E$5:$H$889,4,FALSE)</f>
        <v>7045</v>
      </c>
      <c r="Q287" s="31" t="b">
        <f t="shared" si="4"/>
        <v>1</v>
      </c>
      <c r="R287" s="32">
        <v>45833</v>
      </c>
      <c r="S287" s="29">
        <v>13120</v>
      </c>
      <c r="T287" s="29" t="s">
        <v>1094</v>
      </c>
      <c r="U287" s="33" t="s">
        <v>1095</v>
      </c>
    </row>
    <row r="288" spans="1:21" ht="28.5" customHeight="1" x14ac:dyDescent="0.3">
      <c r="A288" s="27">
        <v>285</v>
      </c>
      <c r="B288" s="28">
        <v>2025</v>
      </c>
      <c r="C288" s="29" t="s">
        <v>961</v>
      </c>
      <c r="D288" s="30" t="s">
        <v>1092</v>
      </c>
      <c r="E288" s="29">
        <v>29179548</v>
      </c>
      <c r="F288" s="29">
        <v>1101309</v>
      </c>
      <c r="G288" s="30" t="s">
        <v>1096</v>
      </c>
      <c r="H288" s="29">
        <v>495</v>
      </c>
      <c r="I288" s="29">
        <v>1</v>
      </c>
      <c r="J288" s="29"/>
      <c r="K288" s="30"/>
      <c r="L288" s="29" t="s">
        <v>72</v>
      </c>
      <c r="M288" s="31">
        <v>4700</v>
      </c>
      <c r="N288" s="31">
        <v>1175</v>
      </c>
      <c r="O288" s="31">
        <v>5875</v>
      </c>
      <c r="P288" s="31">
        <f>VLOOKUP(F288,'[3]1ª PARCELA'!$E$5:$H$889,4,FALSE)</f>
        <v>5875</v>
      </c>
      <c r="Q288" s="31" t="b">
        <f t="shared" si="4"/>
        <v>1</v>
      </c>
      <c r="R288" s="32">
        <v>45967</v>
      </c>
      <c r="S288" s="29">
        <v>29630</v>
      </c>
      <c r="T288" s="29" t="s">
        <v>1097</v>
      </c>
      <c r="U288" s="33" t="s">
        <v>1098</v>
      </c>
    </row>
    <row r="289" spans="1:21" ht="28.5" customHeight="1" x14ac:dyDescent="0.3">
      <c r="A289" s="27">
        <v>286</v>
      </c>
      <c r="B289" s="28">
        <v>2025</v>
      </c>
      <c r="C289" s="29" t="s">
        <v>961</v>
      </c>
      <c r="D289" s="30" t="s">
        <v>1092</v>
      </c>
      <c r="E289" s="29">
        <v>29179629</v>
      </c>
      <c r="F289" s="29">
        <v>1101430</v>
      </c>
      <c r="G289" s="30" t="s">
        <v>1099</v>
      </c>
      <c r="H289" s="29">
        <v>658</v>
      </c>
      <c r="I289" s="29">
        <v>1</v>
      </c>
      <c r="J289" s="29"/>
      <c r="K289" s="30"/>
      <c r="L289" s="29" t="s">
        <v>72</v>
      </c>
      <c r="M289" s="31">
        <v>4503</v>
      </c>
      <c r="N289" s="31">
        <v>3002</v>
      </c>
      <c r="O289" s="31">
        <v>7505</v>
      </c>
      <c r="P289" s="31">
        <f>VLOOKUP(F289,'[3]1ª PARCELA'!$E$5:$H$889,4,FALSE)</f>
        <v>7505</v>
      </c>
      <c r="Q289" s="31" t="b">
        <f t="shared" si="4"/>
        <v>1</v>
      </c>
      <c r="R289" s="32">
        <v>45833</v>
      </c>
      <c r="S289" s="29">
        <v>13120</v>
      </c>
      <c r="T289" s="29" t="s">
        <v>1100</v>
      </c>
      <c r="U289" s="33" t="s">
        <v>1101</v>
      </c>
    </row>
    <row r="290" spans="1:21" ht="28.5" customHeight="1" x14ac:dyDescent="0.3">
      <c r="A290" s="27">
        <v>287</v>
      </c>
      <c r="B290" s="28">
        <v>2025</v>
      </c>
      <c r="C290" s="29" t="s">
        <v>961</v>
      </c>
      <c r="D290" s="30" t="s">
        <v>1092</v>
      </c>
      <c r="E290" s="29">
        <v>29180104</v>
      </c>
      <c r="F290" s="29">
        <v>1102550</v>
      </c>
      <c r="G290" s="30" t="s">
        <v>1102</v>
      </c>
      <c r="H290" s="29">
        <v>1137</v>
      </c>
      <c r="I290" s="29">
        <v>1</v>
      </c>
      <c r="J290" s="29"/>
      <c r="K290" s="30"/>
      <c r="L290" s="29" t="s">
        <v>72</v>
      </c>
      <c r="M290" s="31">
        <v>9836</v>
      </c>
      <c r="N290" s="31">
        <v>2459</v>
      </c>
      <c r="O290" s="31">
        <v>12295</v>
      </c>
      <c r="P290" s="31">
        <f>VLOOKUP(F290,'[3]1ª PARCELA'!$E$5:$H$889,4,FALSE)</f>
        <v>12295</v>
      </c>
      <c r="Q290" s="31" t="b">
        <f t="shared" si="4"/>
        <v>1</v>
      </c>
      <c r="R290" s="32">
        <v>45895</v>
      </c>
      <c r="S290" s="29">
        <v>19863</v>
      </c>
      <c r="T290" s="29" t="s">
        <v>1103</v>
      </c>
      <c r="U290" s="33" t="s">
        <v>1104</v>
      </c>
    </row>
    <row r="291" spans="1:21" ht="28.5" customHeight="1" x14ac:dyDescent="0.3">
      <c r="A291" s="27">
        <v>288</v>
      </c>
      <c r="B291" s="28">
        <v>2025</v>
      </c>
      <c r="C291" s="29" t="s">
        <v>961</v>
      </c>
      <c r="D291" s="30" t="s">
        <v>1092</v>
      </c>
      <c r="E291" s="29">
        <v>29181143</v>
      </c>
      <c r="F291" s="29">
        <v>1102879</v>
      </c>
      <c r="G291" s="30" t="s">
        <v>1105</v>
      </c>
      <c r="H291" s="29">
        <v>1174</v>
      </c>
      <c r="I291" s="29">
        <v>1</v>
      </c>
      <c r="J291" s="29"/>
      <c r="K291" s="30"/>
      <c r="L291" s="29" t="s">
        <v>72</v>
      </c>
      <c r="M291" s="31">
        <v>10132</v>
      </c>
      <c r="N291" s="31">
        <v>2533</v>
      </c>
      <c r="O291" s="31">
        <v>12665</v>
      </c>
      <c r="P291" s="31">
        <f>VLOOKUP(F291,'[3]1ª PARCELA'!$E$5:$H$889,4,FALSE)</f>
        <v>12665</v>
      </c>
      <c r="Q291" s="31" t="b">
        <f t="shared" si="4"/>
        <v>1</v>
      </c>
      <c r="R291" s="32">
        <v>45800</v>
      </c>
      <c r="S291" s="29">
        <v>9563</v>
      </c>
      <c r="T291" s="29" t="s">
        <v>1106</v>
      </c>
      <c r="U291" s="33" t="s">
        <v>1107</v>
      </c>
    </row>
    <row r="292" spans="1:21" ht="28.5" customHeight="1" x14ac:dyDescent="0.3">
      <c r="A292" s="27">
        <v>289</v>
      </c>
      <c r="B292" s="28">
        <v>2025</v>
      </c>
      <c r="C292" s="29" t="s">
        <v>961</v>
      </c>
      <c r="D292" s="30" t="s">
        <v>1092</v>
      </c>
      <c r="E292" s="29">
        <v>29181151</v>
      </c>
      <c r="F292" s="29">
        <v>1100736</v>
      </c>
      <c r="G292" s="30" t="s">
        <v>1108</v>
      </c>
      <c r="H292" s="29">
        <v>1132</v>
      </c>
      <c r="I292" s="29">
        <v>1</v>
      </c>
      <c r="J292" s="29"/>
      <c r="K292" s="30"/>
      <c r="L292" s="29" t="s">
        <v>72</v>
      </c>
      <c r="M292" s="31">
        <v>7347</v>
      </c>
      <c r="N292" s="31">
        <v>4898</v>
      </c>
      <c r="O292" s="31">
        <v>12245</v>
      </c>
      <c r="P292" s="31">
        <f>VLOOKUP(F292,'[3]1ª PARCELA'!$E$5:$H$889,4,FALSE)</f>
        <v>12245</v>
      </c>
      <c r="Q292" s="31" t="b">
        <f t="shared" si="4"/>
        <v>1</v>
      </c>
      <c r="R292" s="32">
        <v>45833</v>
      </c>
      <c r="S292" s="29">
        <v>13120</v>
      </c>
      <c r="T292" s="29" t="s">
        <v>1109</v>
      </c>
      <c r="U292" s="33" t="s">
        <v>1110</v>
      </c>
    </row>
    <row r="293" spans="1:21" ht="28.5" customHeight="1" x14ac:dyDescent="0.3">
      <c r="A293" s="27">
        <v>290</v>
      </c>
      <c r="B293" s="28">
        <v>2025</v>
      </c>
      <c r="C293" s="29" t="s">
        <v>961</v>
      </c>
      <c r="D293" s="30" t="s">
        <v>1092</v>
      </c>
      <c r="E293" s="29">
        <v>29181470</v>
      </c>
      <c r="F293" s="29">
        <v>1101856</v>
      </c>
      <c r="G293" s="30" t="s">
        <v>1111</v>
      </c>
      <c r="H293" s="29">
        <v>1907</v>
      </c>
      <c r="I293" s="29">
        <v>1</v>
      </c>
      <c r="J293" s="29"/>
      <c r="K293" s="30"/>
      <c r="L293" s="29" t="s">
        <v>72</v>
      </c>
      <c r="M293" s="31">
        <v>15996</v>
      </c>
      <c r="N293" s="31">
        <v>3999</v>
      </c>
      <c r="O293" s="31">
        <v>19995</v>
      </c>
      <c r="P293" s="31">
        <f>VLOOKUP(F293,'[3]1ª PARCELA'!$E$5:$H$889,4,FALSE)</f>
        <v>19995</v>
      </c>
      <c r="Q293" s="31" t="b">
        <f t="shared" si="4"/>
        <v>1</v>
      </c>
      <c r="R293" s="32">
        <v>45806</v>
      </c>
      <c r="S293" s="29">
        <v>9851</v>
      </c>
      <c r="T293" s="29" t="s">
        <v>1112</v>
      </c>
      <c r="U293" s="33" t="s">
        <v>1113</v>
      </c>
    </row>
    <row r="294" spans="1:21" ht="28.5" customHeight="1" x14ac:dyDescent="0.3">
      <c r="A294" s="27">
        <v>291</v>
      </c>
      <c r="B294" s="28">
        <v>2025</v>
      </c>
      <c r="C294" s="29" t="s">
        <v>961</v>
      </c>
      <c r="D294" s="30" t="s">
        <v>1092</v>
      </c>
      <c r="E294" s="29">
        <v>29181488</v>
      </c>
      <c r="F294" s="29">
        <v>1101899</v>
      </c>
      <c r="G294" s="30" t="s">
        <v>1114</v>
      </c>
      <c r="H294" s="29">
        <v>553</v>
      </c>
      <c r="I294" s="29">
        <v>1</v>
      </c>
      <c r="J294" s="29"/>
      <c r="K294" s="30"/>
      <c r="L294" s="29" t="s">
        <v>72</v>
      </c>
      <c r="M294" s="31">
        <v>4518.5</v>
      </c>
      <c r="N294" s="31">
        <v>1936.5</v>
      </c>
      <c r="O294" s="31">
        <v>6455</v>
      </c>
      <c r="P294" s="31">
        <f>VLOOKUP(F294,'[3]1ª PARCELA'!$E$5:$H$889,4,FALSE)</f>
        <v>6455</v>
      </c>
      <c r="Q294" s="31" t="b">
        <f t="shared" si="4"/>
        <v>1</v>
      </c>
      <c r="R294" s="32">
        <v>45967</v>
      </c>
      <c r="S294" s="29">
        <v>29630</v>
      </c>
      <c r="T294" s="29" t="s">
        <v>1115</v>
      </c>
      <c r="U294" s="33" t="s">
        <v>1116</v>
      </c>
    </row>
    <row r="295" spans="1:21" ht="28.5" customHeight="1" x14ac:dyDescent="0.3">
      <c r="A295" s="27">
        <v>292</v>
      </c>
      <c r="B295" s="28">
        <v>2025</v>
      </c>
      <c r="C295" s="29" t="s">
        <v>961</v>
      </c>
      <c r="D295" s="30" t="s">
        <v>1092</v>
      </c>
      <c r="E295" s="29">
        <v>29181496</v>
      </c>
      <c r="F295" s="29">
        <v>1103786</v>
      </c>
      <c r="G295" s="30" t="s">
        <v>1117</v>
      </c>
      <c r="H295" s="29">
        <v>1536</v>
      </c>
      <c r="I295" s="29">
        <v>1</v>
      </c>
      <c r="J295" s="29"/>
      <c r="K295" s="30"/>
      <c r="L295" s="29" t="s">
        <v>72</v>
      </c>
      <c r="M295" s="31">
        <v>16357.5</v>
      </c>
      <c r="N295" s="31">
        <v>1817.5</v>
      </c>
      <c r="O295" s="31">
        <v>18175</v>
      </c>
      <c r="P295" s="31">
        <f>VLOOKUP(F295,'[3]1ª PARCELA'!$E$5:$H$889,4,FALSE)</f>
        <v>18175</v>
      </c>
      <c r="Q295" s="31" t="b">
        <f t="shared" si="4"/>
        <v>1</v>
      </c>
      <c r="R295" s="32">
        <v>45833</v>
      </c>
      <c r="S295" s="29">
        <v>13120</v>
      </c>
      <c r="T295" s="29" t="s">
        <v>1118</v>
      </c>
      <c r="U295" s="33" t="s">
        <v>1119</v>
      </c>
    </row>
    <row r="296" spans="1:21" ht="28.5" customHeight="1" x14ac:dyDescent="0.3">
      <c r="A296" s="27">
        <v>293</v>
      </c>
      <c r="B296" s="28">
        <v>2025</v>
      </c>
      <c r="C296" s="29" t="s">
        <v>961</v>
      </c>
      <c r="D296" s="30" t="s">
        <v>1092</v>
      </c>
      <c r="E296" s="29">
        <v>29181500</v>
      </c>
      <c r="F296" s="29">
        <v>1102666</v>
      </c>
      <c r="G296" s="30" t="s">
        <v>1120</v>
      </c>
      <c r="H296" s="29">
        <v>1443</v>
      </c>
      <c r="I296" s="29">
        <v>1</v>
      </c>
      <c r="J296" s="29"/>
      <c r="K296" s="30"/>
      <c r="L296" s="29" t="s">
        <v>72</v>
      </c>
      <c r="M296" s="31">
        <v>12284</v>
      </c>
      <c r="N296" s="31">
        <v>3071</v>
      </c>
      <c r="O296" s="31">
        <v>15355</v>
      </c>
      <c r="P296" s="31">
        <f>VLOOKUP(F296,'[3]1ª PARCELA'!$E$5:$H$889,4,FALSE)</f>
        <v>15355</v>
      </c>
      <c r="Q296" s="31" t="b">
        <f t="shared" si="4"/>
        <v>1</v>
      </c>
      <c r="R296" s="32">
        <v>45833</v>
      </c>
      <c r="S296" s="29">
        <v>13120</v>
      </c>
      <c r="T296" s="29" t="s">
        <v>1121</v>
      </c>
      <c r="U296" s="33" t="s">
        <v>1122</v>
      </c>
    </row>
    <row r="297" spans="1:21" ht="28.5" customHeight="1" x14ac:dyDescent="0.3">
      <c r="A297" s="27">
        <v>294</v>
      </c>
      <c r="B297" s="28">
        <v>2025</v>
      </c>
      <c r="C297" s="29" t="s">
        <v>961</v>
      </c>
      <c r="D297" s="30" t="s">
        <v>1092</v>
      </c>
      <c r="E297" s="29">
        <v>29181526</v>
      </c>
      <c r="F297" s="29">
        <v>1102232</v>
      </c>
      <c r="G297" s="30" t="s">
        <v>1123</v>
      </c>
      <c r="H297" s="29">
        <v>1680</v>
      </c>
      <c r="I297" s="29">
        <v>1</v>
      </c>
      <c r="J297" s="29"/>
      <c r="K297" s="30"/>
      <c r="L297" s="29" t="s">
        <v>72</v>
      </c>
      <c r="M297" s="31">
        <v>14180</v>
      </c>
      <c r="N297" s="31">
        <v>3545</v>
      </c>
      <c r="O297" s="31">
        <v>17725</v>
      </c>
      <c r="P297" s="31">
        <f>VLOOKUP(F297,'[3]1ª PARCELA'!$E$5:$H$889,4,FALSE)</f>
        <v>17725</v>
      </c>
      <c r="Q297" s="31" t="b">
        <f t="shared" si="4"/>
        <v>1</v>
      </c>
      <c r="R297" s="32">
        <v>45895</v>
      </c>
      <c r="S297" s="29">
        <v>19863</v>
      </c>
      <c r="T297" s="29" t="s">
        <v>1124</v>
      </c>
      <c r="U297" s="33" t="s">
        <v>1125</v>
      </c>
    </row>
    <row r="298" spans="1:21" ht="28.5" customHeight="1" x14ac:dyDescent="0.3">
      <c r="A298" s="27">
        <v>295</v>
      </c>
      <c r="B298" s="28">
        <v>2025</v>
      </c>
      <c r="C298" s="29" t="s">
        <v>961</v>
      </c>
      <c r="D298" s="30" t="s">
        <v>1092</v>
      </c>
      <c r="E298" s="29">
        <v>29181534</v>
      </c>
      <c r="F298" s="29">
        <v>1104596</v>
      </c>
      <c r="G298" s="30" t="s">
        <v>1126</v>
      </c>
      <c r="H298" s="29">
        <v>1759</v>
      </c>
      <c r="I298" s="29">
        <v>1</v>
      </c>
      <c r="J298" s="29"/>
      <c r="K298" s="30"/>
      <c r="L298" s="29" t="s">
        <v>72</v>
      </c>
      <c r="M298" s="31">
        <v>14812</v>
      </c>
      <c r="N298" s="31">
        <v>3703</v>
      </c>
      <c r="O298" s="31">
        <v>18515</v>
      </c>
      <c r="P298" s="31">
        <f>VLOOKUP(F298,'[3]1ª PARCELA'!$E$5:$H$889,4,FALSE)</f>
        <v>18515</v>
      </c>
      <c r="Q298" s="31" t="b">
        <f t="shared" si="4"/>
        <v>1</v>
      </c>
      <c r="R298" s="32">
        <v>45926</v>
      </c>
      <c r="S298" s="29">
        <v>24529</v>
      </c>
      <c r="T298" s="29" t="s">
        <v>1127</v>
      </c>
      <c r="U298" s="33" t="s">
        <v>1128</v>
      </c>
    </row>
    <row r="299" spans="1:21" ht="28.5" customHeight="1" x14ac:dyDescent="0.3">
      <c r="A299" s="27">
        <v>296</v>
      </c>
      <c r="B299" s="28">
        <v>2025</v>
      </c>
      <c r="C299" s="29" t="s">
        <v>961</v>
      </c>
      <c r="D299" s="30" t="s">
        <v>1092</v>
      </c>
      <c r="E299" s="29">
        <v>29181542</v>
      </c>
      <c r="F299" s="29">
        <v>1103514</v>
      </c>
      <c r="G299" s="30" t="s">
        <v>1129</v>
      </c>
      <c r="H299" s="29">
        <v>656</v>
      </c>
      <c r="I299" s="29">
        <v>1</v>
      </c>
      <c r="J299" s="29"/>
      <c r="K299" s="30"/>
      <c r="L299" s="29" t="s">
        <v>72</v>
      </c>
      <c r="M299" s="31">
        <v>3742.5</v>
      </c>
      <c r="N299" s="31">
        <v>3742.5</v>
      </c>
      <c r="O299" s="31">
        <v>7485</v>
      </c>
      <c r="P299" s="31">
        <f>VLOOKUP(F299,'[3]1ª PARCELA'!$E$5:$H$889,4,FALSE)</f>
        <v>7485</v>
      </c>
      <c r="Q299" s="31" t="b">
        <f t="shared" si="4"/>
        <v>1</v>
      </c>
      <c r="R299" s="32">
        <v>45954</v>
      </c>
      <c r="S299" s="29">
        <v>28607</v>
      </c>
      <c r="T299" s="29" t="s">
        <v>1130</v>
      </c>
      <c r="U299" s="33" t="s">
        <v>1131</v>
      </c>
    </row>
    <row r="300" spans="1:21" ht="28.5" customHeight="1" x14ac:dyDescent="0.3">
      <c r="A300" s="27">
        <v>297</v>
      </c>
      <c r="B300" s="28">
        <v>2025</v>
      </c>
      <c r="C300" s="29" t="s">
        <v>961</v>
      </c>
      <c r="D300" s="30" t="s">
        <v>1092</v>
      </c>
      <c r="E300" s="29">
        <v>29182034</v>
      </c>
      <c r="F300" s="29">
        <v>1100612</v>
      </c>
      <c r="G300" s="30" t="s">
        <v>1132</v>
      </c>
      <c r="H300" s="29">
        <v>695</v>
      </c>
      <c r="I300" s="29">
        <v>1</v>
      </c>
      <c r="J300" s="29"/>
      <c r="K300" s="30"/>
      <c r="L300" s="29" t="s">
        <v>72</v>
      </c>
      <c r="M300" s="31">
        <v>6300</v>
      </c>
      <c r="N300" s="31">
        <v>1575</v>
      </c>
      <c r="O300" s="31">
        <v>7875</v>
      </c>
      <c r="P300" s="31">
        <f>VLOOKUP(F300,'[3]1ª PARCELA'!$E$5:$H$889,4,FALSE)</f>
        <v>7875</v>
      </c>
      <c r="Q300" s="31" t="b">
        <f t="shared" si="4"/>
        <v>1</v>
      </c>
      <c r="R300" s="32">
        <v>45793</v>
      </c>
      <c r="S300" s="29">
        <v>9173</v>
      </c>
      <c r="T300" s="29" t="s">
        <v>1133</v>
      </c>
      <c r="U300" s="33" t="s">
        <v>1134</v>
      </c>
    </row>
    <row r="301" spans="1:21" ht="28.5" customHeight="1" x14ac:dyDescent="0.3">
      <c r="A301" s="27">
        <v>298</v>
      </c>
      <c r="B301" s="28">
        <v>2025</v>
      </c>
      <c r="C301" s="29" t="s">
        <v>961</v>
      </c>
      <c r="D301" s="30" t="s">
        <v>1092</v>
      </c>
      <c r="E301" s="29">
        <v>29182050</v>
      </c>
      <c r="F301" s="29">
        <v>1104820</v>
      </c>
      <c r="G301" s="30" t="s">
        <v>1135</v>
      </c>
      <c r="H301" s="29">
        <v>693</v>
      </c>
      <c r="I301" s="29">
        <v>1</v>
      </c>
      <c r="J301" s="29"/>
      <c r="K301" s="30"/>
      <c r="L301" s="29" t="s">
        <v>72</v>
      </c>
      <c r="M301" s="31">
        <v>6284</v>
      </c>
      <c r="N301" s="31">
        <v>1571</v>
      </c>
      <c r="O301" s="31">
        <v>7855</v>
      </c>
      <c r="P301" s="31">
        <f>VLOOKUP(F301,'[3]1ª PARCELA'!$E$5:$H$889,4,FALSE)</f>
        <v>7855</v>
      </c>
      <c r="Q301" s="31" t="b">
        <f t="shared" si="4"/>
        <v>1</v>
      </c>
      <c r="R301" s="32">
        <v>45805</v>
      </c>
      <c r="S301" s="29">
        <v>9678</v>
      </c>
      <c r="T301" s="29" t="s">
        <v>1136</v>
      </c>
      <c r="U301" s="33" t="s">
        <v>1137</v>
      </c>
    </row>
    <row r="302" spans="1:21" ht="28.5" customHeight="1" x14ac:dyDescent="0.3">
      <c r="A302" s="27">
        <v>299</v>
      </c>
      <c r="B302" s="28">
        <v>2025</v>
      </c>
      <c r="C302" s="29" t="s">
        <v>961</v>
      </c>
      <c r="D302" s="30" t="s">
        <v>1092</v>
      </c>
      <c r="E302" s="29">
        <v>29182077</v>
      </c>
      <c r="F302" s="29">
        <v>1100434</v>
      </c>
      <c r="G302" s="30" t="s">
        <v>1138</v>
      </c>
      <c r="H302" s="29">
        <v>1389</v>
      </c>
      <c r="I302" s="29">
        <v>1</v>
      </c>
      <c r="J302" s="29"/>
      <c r="K302" s="30"/>
      <c r="L302" s="29" t="s">
        <v>72</v>
      </c>
      <c r="M302" s="31">
        <v>12592.75</v>
      </c>
      <c r="N302" s="31">
        <v>2222.25</v>
      </c>
      <c r="O302" s="31">
        <v>14815</v>
      </c>
      <c r="P302" s="31">
        <f>VLOOKUP(F302,'[3]1ª PARCELA'!$E$5:$H$889,4,FALSE)</f>
        <v>14815</v>
      </c>
      <c r="Q302" s="31" t="b">
        <f t="shared" si="4"/>
        <v>1</v>
      </c>
      <c r="R302" s="32">
        <v>45926</v>
      </c>
      <c r="S302" s="29">
        <v>24529</v>
      </c>
      <c r="T302" s="29" t="s">
        <v>1139</v>
      </c>
      <c r="U302" s="33" t="s">
        <v>1140</v>
      </c>
    </row>
    <row r="303" spans="1:21" ht="28.5" customHeight="1" x14ac:dyDescent="0.3">
      <c r="A303" s="27">
        <v>300</v>
      </c>
      <c r="B303" s="28">
        <v>2025</v>
      </c>
      <c r="C303" s="29" t="s">
        <v>961</v>
      </c>
      <c r="D303" s="30" t="s">
        <v>1092</v>
      </c>
      <c r="E303" s="29">
        <v>29182093</v>
      </c>
      <c r="F303" s="29">
        <v>1101031</v>
      </c>
      <c r="G303" s="30" t="s">
        <v>1141</v>
      </c>
      <c r="H303" s="29">
        <v>376</v>
      </c>
      <c r="I303" s="29">
        <v>1</v>
      </c>
      <c r="J303" s="29"/>
      <c r="K303" s="30"/>
      <c r="L303" s="29" t="s">
        <v>72</v>
      </c>
      <c r="M303" s="31">
        <v>3279.5</v>
      </c>
      <c r="N303" s="31">
        <v>1405.5</v>
      </c>
      <c r="O303" s="31">
        <v>4685</v>
      </c>
      <c r="P303" s="31">
        <f>VLOOKUP(F303,'[3]1ª PARCELA'!$E$5:$H$889,4,FALSE)</f>
        <v>4685</v>
      </c>
      <c r="Q303" s="31" t="b">
        <f t="shared" si="4"/>
        <v>1</v>
      </c>
      <c r="R303" s="32">
        <v>45867</v>
      </c>
      <c r="S303" s="29">
        <v>16705</v>
      </c>
      <c r="T303" s="29" t="s">
        <v>1142</v>
      </c>
      <c r="U303" s="33" t="s">
        <v>1143</v>
      </c>
    </row>
    <row r="304" spans="1:21" ht="28.5" customHeight="1" x14ac:dyDescent="0.3">
      <c r="A304" s="27">
        <v>301</v>
      </c>
      <c r="B304" s="28">
        <v>2025</v>
      </c>
      <c r="C304" s="29" t="s">
        <v>961</v>
      </c>
      <c r="D304" s="30" t="s">
        <v>1092</v>
      </c>
      <c r="E304" s="29">
        <v>29182115</v>
      </c>
      <c r="F304" s="29">
        <v>1176080</v>
      </c>
      <c r="G304" s="30" t="s">
        <v>1144</v>
      </c>
      <c r="H304" s="29">
        <v>725</v>
      </c>
      <c r="I304" s="29">
        <v>1</v>
      </c>
      <c r="J304" s="29"/>
      <c r="K304" s="30"/>
      <c r="L304" s="29" t="s">
        <v>72</v>
      </c>
      <c r="M304" s="31">
        <v>6540</v>
      </c>
      <c r="N304" s="31">
        <v>1635</v>
      </c>
      <c r="O304" s="31">
        <v>8175</v>
      </c>
      <c r="P304" s="31">
        <f>VLOOKUP(F304,'[3]1ª PARCELA'!$E$5:$H$889,4,FALSE)</f>
        <v>8175</v>
      </c>
      <c r="Q304" s="31" t="b">
        <f t="shared" si="4"/>
        <v>1</v>
      </c>
      <c r="R304" s="32">
        <v>45793</v>
      </c>
      <c r="S304" s="29">
        <v>9173</v>
      </c>
      <c r="T304" s="29" t="s">
        <v>1145</v>
      </c>
      <c r="U304" s="33" t="s">
        <v>1146</v>
      </c>
    </row>
    <row r="305" spans="1:21" ht="28.5" customHeight="1" x14ac:dyDescent="0.3">
      <c r="A305" s="27">
        <v>302</v>
      </c>
      <c r="B305" s="28">
        <v>2025</v>
      </c>
      <c r="C305" s="29" t="s">
        <v>961</v>
      </c>
      <c r="D305" s="30" t="s">
        <v>1092</v>
      </c>
      <c r="E305" s="29">
        <v>29182123</v>
      </c>
      <c r="F305" s="29">
        <v>1100345</v>
      </c>
      <c r="G305" s="30" t="s">
        <v>1147</v>
      </c>
      <c r="H305" s="29">
        <v>965</v>
      </c>
      <c r="I305" s="29">
        <v>1</v>
      </c>
      <c r="J305" s="29"/>
      <c r="K305" s="30"/>
      <c r="L305" s="29" t="s">
        <v>72</v>
      </c>
      <c r="M305" s="31">
        <v>6345</v>
      </c>
      <c r="N305" s="31">
        <v>4230</v>
      </c>
      <c r="O305" s="31">
        <v>10575</v>
      </c>
      <c r="P305" s="31">
        <f>VLOOKUP(F305,'[3]1ª PARCELA'!$E$5:$H$889,4,FALSE)</f>
        <v>10575</v>
      </c>
      <c r="Q305" s="31" t="b">
        <f t="shared" si="4"/>
        <v>1</v>
      </c>
      <c r="R305" s="32">
        <v>45793</v>
      </c>
      <c r="S305" s="29">
        <v>9173</v>
      </c>
      <c r="T305" s="29" t="s">
        <v>1148</v>
      </c>
      <c r="U305" s="33" t="s">
        <v>1149</v>
      </c>
    </row>
    <row r="306" spans="1:21" ht="28.5" customHeight="1" x14ac:dyDescent="0.3">
      <c r="A306" s="27">
        <v>303</v>
      </c>
      <c r="B306" s="28">
        <v>2025</v>
      </c>
      <c r="C306" s="29" t="s">
        <v>961</v>
      </c>
      <c r="D306" s="30" t="s">
        <v>1092</v>
      </c>
      <c r="E306" s="29">
        <v>29182131</v>
      </c>
      <c r="F306" s="29">
        <v>1173946</v>
      </c>
      <c r="G306" s="30" t="s">
        <v>1150</v>
      </c>
      <c r="H306" s="29">
        <v>571</v>
      </c>
      <c r="I306" s="29">
        <v>1</v>
      </c>
      <c r="J306" s="29"/>
      <c r="K306" s="30"/>
      <c r="L306" s="29" t="s">
        <v>72</v>
      </c>
      <c r="M306" s="31">
        <v>5308</v>
      </c>
      <c r="N306" s="31">
        <v>1327</v>
      </c>
      <c r="O306" s="31">
        <v>6635</v>
      </c>
      <c r="P306" s="31">
        <f>VLOOKUP(F306,'[3]1ª PARCELA'!$E$5:$H$889,4,FALSE)</f>
        <v>6635</v>
      </c>
      <c r="Q306" s="31" t="b">
        <f t="shared" si="4"/>
        <v>1</v>
      </c>
      <c r="R306" s="32">
        <v>45793</v>
      </c>
      <c r="S306" s="29">
        <v>9173</v>
      </c>
      <c r="T306" s="29" t="s">
        <v>1151</v>
      </c>
      <c r="U306" s="33" t="s">
        <v>1152</v>
      </c>
    </row>
    <row r="307" spans="1:21" ht="28.5" customHeight="1" x14ac:dyDescent="0.3">
      <c r="A307" s="27">
        <v>304</v>
      </c>
      <c r="B307" s="28">
        <v>2025</v>
      </c>
      <c r="C307" s="29" t="s">
        <v>961</v>
      </c>
      <c r="D307" s="30" t="s">
        <v>1092</v>
      </c>
      <c r="E307" s="29">
        <v>29182158</v>
      </c>
      <c r="F307" s="29">
        <v>1102992</v>
      </c>
      <c r="G307" s="30" t="s">
        <v>1153</v>
      </c>
      <c r="H307" s="29">
        <v>314</v>
      </c>
      <c r="I307" s="29">
        <v>1</v>
      </c>
      <c r="J307" s="29"/>
      <c r="K307" s="30"/>
      <c r="L307" s="29" t="s">
        <v>72</v>
      </c>
      <c r="M307" s="31">
        <v>2439</v>
      </c>
      <c r="N307" s="31">
        <v>1626</v>
      </c>
      <c r="O307" s="31">
        <v>4065</v>
      </c>
      <c r="P307" s="31">
        <f>VLOOKUP(F307,'[3]1ª PARCELA'!$E$5:$H$889,4,FALSE)</f>
        <v>4065</v>
      </c>
      <c r="Q307" s="31" t="b">
        <f t="shared" si="4"/>
        <v>1</v>
      </c>
      <c r="R307" s="32">
        <v>45849</v>
      </c>
      <c r="S307" s="29">
        <v>15915</v>
      </c>
      <c r="T307" s="29" t="s">
        <v>1154</v>
      </c>
      <c r="U307" s="33" t="s">
        <v>1155</v>
      </c>
    </row>
    <row r="308" spans="1:21" ht="28.5" customHeight="1" x14ac:dyDescent="0.3">
      <c r="A308" s="27">
        <v>305</v>
      </c>
      <c r="B308" s="28">
        <v>2025</v>
      </c>
      <c r="C308" s="29" t="s">
        <v>961</v>
      </c>
      <c r="D308" s="30" t="s">
        <v>1092</v>
      </c>
      <c r="E308" s="29">
        <v>29182166</v>
      </c>
      <c r="F308" s="29">
        <v>1101872</v>
      </c>
      <c r="G308" s="30" t="s">
        <v>1156</v>
      </c>
      <c r="H308" s="29">
        <v>764</v>
      </c>
      <c r="I308" s="29">
        <v>1</v>
      </c>
      <c r="J308" s="29"/>
      <c r="K308" s="30"/>
      <c r="L308" s="29" t="s">
        <v>72</v>
      </c>
      <c r="M308" s="31">
        <v>6852</v>
      </c>
      <c r="N308" s="31">
        <v>1713</v>
      </c>
      <c r="O308" s="31">
        <v>8565</v>
      </c>
      <c r="P308" s="31">
        <f>VLOOKUP(F308,'[3]1ª PARCELA'!$E$5:$H$889,4,FALSE)</f>
        <v>8565</v>
      </c>
      <c r="Q308" s="31" t="b">
        <f t="shared" si="4"/>
        <v>1</v>
      </c>
      <c r="R308" s="32">
        <v>45806</v>
      </c>
      <c r="S308" s="29">
        <v>9851</v>
      </c>
      <c r="T308" s="29" t="s">
        <v>1157</v>
      </c>
      <c r="U308" s="33" t="s">
        <v>1158</v>
      </c>
    </row>
    <row r="309" spans="1:21" ht="28.5" customHeight="1" x14ac:dyDescent="0.3">
      <c r="A309" s="27">
        <v>306</v>
      </c>
      <c r="B309" s="28">
        <v>2025</v>
      </c>
      <c r="C309" s="29" t="s">
        <v>961</v>
      </c>
      <c r="D309" s="30" t="s">
        <v>1092</v>
      </c>
      <c r="E309" s="29">
        <v>29182174</v>
      </c>
      <c r="F309" s="29">
        <v>1104600</v>
      </c>
      <c r="G309" s="30" t="s">
        <v>1159</v>
      </c>
      <c r="H309" s="29">
        <v>1749</v>
      </c>
      <c r="I309" s="29">
        <v>1</v>
      </c>
      <c r="J309" s="29"/>
      <c r="K309" s="30"/>
      <c r="L309" s="29" t="s">
        <v>72</v>
      </c>
      <c r="M309" s="31">
        <v>14732</v>
      </c>
      <c r="N309" s="31">
        <v>3683</v>
      </c>
      <c r="O309" s="31">
        <v>18415</v>
      </c>
      <c r="P309" s="31">
        <f>VLOOKUP(F309,'[3]1ª PARCELA'!$E$5:$H$889,4,FALSE)</f>
        <v>18415</v>
      </c>
      <c r="Q309" s="31" t="b">
        <f t="shared" si="4"/>
        <v>1</v>
      </c>
      <c r="R309" s="32">
        <v>45833</v>
      </c>
      <c r="S309" s="29">
        <v>13120</v>
      </c>
      <c r="T309" s="29" t="s">
        <v>1160</v>
      </c>
      <c r="U309" s="33" t="s">
        <v>1161</v>
      </c>
    </row>
    <row r="310" spans="1:21" ht="28.5" customHeight="1" x14ac:dyDescent="0.3">
      <c r="A310" s="27">
        <v>307</v>
      </c>
      <c r="B310" s="28">
        <v>2025</v>
      </c>
      <c r="C310" s="29" t="s">
        <v>961</v>
      </c>
      <c r="D310" s="30" t="s">
        <v>1092</v>
      </c>
      <c r="E310" s="29">
        <v>29182182</v>
      </c>
      <c r="F310" s="29">
        <v>1168837</v>
      </c>
      <c r="G310" s="30" t="s">
        <v>1162</v>
      </c>
      <c r="H310" s="29">
        <v>132</v>
      </c>
      <c r="I310" s="29">
        <v>1</v>
      </c>
      <c r="J310" s="29"/>
      <c r="K310" s="30"/>
      <c r="L310" s="29" t="s">
        <v>72</v>
      </c>
      <c r="M310" s="31">
        <v>1347</v>
      </c>
      <c r="N310" s="31">
        <v>898</v>
      </c>
      <c r="O310" s="31">
        <v>2245</v>
      </c>
      <c r="P310" s="31">
        <f>VLOOKUP(F310,'[3]1ª PARCELA'!$E$5:$H$889,4,FALSE)</f>
        <v>2245</v>
      </c>
      <c r="Q310" s="31" t="b">
        <f t="shared" si="4"/>
        <v>1</v>
      </c>
      <c r="R310" s="32">
        <v>45793</v>
      </c>
      <c r="S310" s="29">
        <v>9173</v>
      </c>
      <c r="T310" s="29" t="s">
        <v>1163</v>
      </c>
      <c r="U310" s="33" t="s">
        <v>1164</v>
      </c>
    </row>
    <row r="311" spans="1:21" ht="28.5" customHeight="1" x14ac:dyDescent="0.3">
      <c r="A311" s="27">
        <v>308</v>
      </c>
      <c r="B311" s="28">
        <v>2025</v>
      </c>
      <c r="C311" s="29" t="s">
        <v>961</v>
      </c>
      <c r="D311" s="30" t="s">
        <v>1092</v>
      </c>
      <c r="E311" s="29">
        <v>29182204</v>
      </c>
      <c r="F311" s="29">
        <v>1102852</v>
      </c>
      <c r="G311" s="30" t="s">
        <v>1165</v>
      </c>
      <c r="H311" s="29">
        <v>101</v>
      </c>
      <c r="I311" s="29">
        <v>1</v>
      </c>
      <c r="J311" s="29"/>
      <c r="K311" s="30"/>
      <c r="L311" s="29" t="s">
        <v>72</v>
      </c>
      <c r="M311" s="31">
        <v>1548</v>
      </c>
      <c r="N311" s="31">
        <v>387</v>
      </c>
      <c r="O311" s="31">
        <v>1935</v>
      </c>
      <c r="P311" s="31">
        <f>VLOOKUP(F311,'[3]1ª PARCELA'!$E$5:$H$889,4,FALSE)</f>
        <v>1935</v>
      </c>
      <c r="Q311" s="31" t="b">
        <f t="shared" si="4"/>
        <v>1</v>
      </c>
      <c r="R311" s="32">
        <v>45849</v>
      </c>
      <c r="S311" s="29">
        <v>15915</v>
      </c>
      <c r="T311" s="29" t="s">
        <v>1166</v>
      </c>
      <c r="U311" s="33" t="s">
        <v>1167</v>
      </c>
    </row>
    <row r="312" spans="1:21" ht="28.5" customHeight="1" x14ac:dyDescent="0.3">
      <c r="A312" s="27">
        <v>309</v>
      </c>
      <c r="B312" s="28">
        <v>2025</v>
      </c>
      <c r="C312" s="29" t="s">
        <v>961</v>
      </c>
      <c r="D312" s="30" t="s">
        <v>1092</v>
      </c>
      <c r="E312" s="29">
        <v>29182247</v>
      </c>
      <c r="F312" s="29">
        <v>1101376</v>
      </c>
      <c r="G312" s="30" t="s">
        <v>1168</v>
      </c>
      <c r="H312" s="29">
        <v>328</v>
      </c>
      <c r="I312" s="29">
        <v>1</v>
      </c>
      <c r="J312" s="29"/>
      <c r="K312" s="30"/>
      <c r="L312" s="29" t="s">
        <v>72</v>
      </c>
      <c r="M312" s="31">
        <v>3364</v>
      </c>
      <c r="N312" s="31">
        <v>841</v>
      </c>
      <c r="O312" s="31">
        <v>4205</v>
      </c>
      <c r="P312" s="31">
        <f>VLOOKUP(F312,'[3]1ª PARCELA'!$E$5:$H$889,4,FALSE)</f>
        <v>4205</v>
      </c>
      <c r="Q312" s="31" t="b">
        <f t="shared" si="4"/>
        <v>1</v>
      </c>
      <c r="R312" s="32">
        <v>45793</v>
      </c>
      <c r="S312" s="29">
        <v>9173</v>
      </c>
      <c r="T312" s="29" t="s">
        <v>1169</v>
      </c>
      <c r="U312" s="33" t="s">
        <v>1170</v>
      </c>
    </row>
    <row r="313" spans="1:21" ht="28.5" customHeight="1" x14ac:dyDescent="0.3">
      <c r="A313" s="27">
        <v>310</v>
      </c>
      <c r="B313" s="28">
        <v>2025</v>
      </c>
      <c r="C313" s="29" t="s">
        <v>961</v>
      </c>
      <c r="D313" s="30" t="s">
        <v>1092</v>
      </c>
      <c r="E313" s="29">
        <v>29182271</v>
      </c>
      <c r="F313" s="29">
        <v>1103336</v>
      </c>
      <c r="G313" s="30" t="s">
        <v>1171</v>
      </c>
      <c r="H313" s="29">
        <v>1396</v>
      </c>
      <c r="I313" s="29">
        <v>1</v>
      </c>
      <c r="J313" s="29"/>
      <c r="K313" s="30"/>
      <c r="L313" s="29" t="s">
        <v>72</v>
      </c>
      <c r="M313" s="31">
        <v>11908</v>
      </c>
      <c r="N313" s="31">
        <v>2977</v>
      </c>
      <c r="O313" s="31">
        <v>14885</v>
      </c>
      <c r="P313" s="31">
        <f>VLOOKUP(F313,'[3]1ª PARCELA'!$E$5:$H$889,4,FALSE)</f>
        <v>14885</v>
      </c>
      <c r="Q313" s="31" t="b">
        <f t="shared" si="4"/>
        <v>1</v>
      </c>
      <c r="R313" s="32">
        <v>45895</v>
      </c>
      <c r="S313" s="29">
        <v>19863</v>
      </c>
      <c r="T313" s="29" t="s">
        <v>1172</v>
      </c>
      <c r="U313" s="33" t="s">
        <v>1173</v>
      </c>
    </row>
    <row r="314" spans="1:21" ht="28.5" customHeight="1" x14ac:dyDescent="0.3">
      <c r="A314" s="27">
        <v>311</v>
      </c>
      <c r="B314" s="28">
        <v>2025</v>
      </c>
      <c r="C314" s="29" t="s">
        <v>961</v>
      </c>
      <c r="D314" s="30" t="s">
        <v>1092</v>
      </c>
      <c r="E314" s="29">
        <v>29182280</v>
      </c>
      <c r="F314" s="29">
        <v>1103751</v>
      </c>
      <c r="G314" s="30" t="s">
        <v>1174</v>
      </c>
      <c r="H314" s="29">
        <v>370</v>
      </c>
      <c r="I314" s="29">
        <v>1</v>
      </c>
      <c r="J314" s="29"/>
      <c r="K314" s="30"/>
      <c r="L314" s="29" t="s">
        <v>72</v>
      </c>
      <c r="M314" s="31">
        <v>3700</v>
      </c>
      <c r="N314" s="31">
        <v>925</v>
      </c>
      <c r="O314" s="31">
        <v>4625</v>
      </c>
      <c r="P314" s="31">
        <f>VLOOKUP(F314,'[3]1ª PARCELA'!$E$5:$H$889,4,FALSE)</f>
        <v>4625</v>
      </c>
      <c r="Q314" s="31" t="b">
        <f t="shared" si="4"/>
        <v>1</v>
      </c>
      <c r="R314" s="32">
        <v>45895</v>
      </c>
      <c r="S314" s="29">
        <v>19863</v>
      </c>
      <c r="T314" s="29" t="s">
        <v>1175</v>
      </c>
      <c r="U314" s="33" t="s">
        <v>1176</v>
      </c>
    </row>
    <row r="315" spans="1:21" ht="28.5" customHeight="1" x14ac:dyDescent="0.3">
      <c r="A315" s="27">
        <v>312</v>
      </c>
      <c r="B315" s="28">
        <v>2025</v>
      </c>
      <c r="C315" s="29" t="s">
        <v>961</v>
      </c>
      <c r="D315" s="30" t="s">
        <v>1092</v>
      </c>
      <c r="E315" s="29">
        <v>29182719</v>
      </c>
      <c r="F315" s="29">
        <v>1103174</v>
      </c>
      <c r="G315" s="30" t="s">
        <v>1177</v>
      </c>
      <c r="H315" s="29">
        <v>569</v>
      </c>
      <c r="I315" s="29">
        <v>1</v>
      </c>
      <c r="J315" s="29"/>
      <c r="K315" s="30"/>
      <c r="L315" s="29" t="s">
        <v>72</v>
      </c>
      <c r="M315" s="31">
        <v>5292</v>
      </c>
      <c r="N315" s="31">
        <v>1323</v>
      </c>
      <c r="O315" s="31">
        <v>6615</v>
      </c>
      <c r="P315" s="31">
        <f>VLOOKUP(F315,'[3]1ª PARCELA'!$E$5:$H$889,4,FALSE)</f>
        <v>6615</v>
      </c>
      <c r="Q315" s="31" t="b">
        <f t="shared" si="4"/>
        <v>1</v>
      </c>
      <c r="R315" s="32">
        <v>45895</v>
      </c>
      <c r="S315" s="29">
        <v>19863</v>
      </c>
      <c r="T315" s="29" t="s">
        <v>1178</v>
      </c>
      <c r="U315" s="33" t="s">
        <v>1179</v>
      </c>
    </row>
    <row r="316" spans="1:21" ht="28.5" customHeight="1" x14ac:dyDescent="0.3">
      <c r="A316" s="27">
        <v>313</v>
      </c>
      <c r="B316" s="28">
        <v>2025</v>
      </c>
      <c r="C316" s="29" t="s">
        <v>961</v>
      </c>
      <c r="D316" s="30" t="s">
        <v>1092</v>
      </c>
      <c r="E316" s="29">
        <v>29182735</v>
      </c>
      <c r="F316" s="29">
        <v>1103905</v>
      </c>
      <c r="G316" s="30" t="s">
        <v>1180</v>
      </c>
      <c r="H316" s="29">
        <v>965</v>
      </c>
      <c r="I316" s="29">
        <v>1</v>
      </c>
      <c r="J316" s="29"/>
      <c r="K316" s="30"/>
      <c r="L316" s="29" t="s">
        <v>72</v>
      </c>
      <c r="M316" s="31">
        <v>8460</v>
      </c>
      <c r="N316" s="31">
        <v>2115</v>
      </c>
      <c r="O316" s="31">
        <v>10575</v>
      </c>
      <c r="P316" s="31">
        <f>VLOOKUP(F316,'[3]1ª PARCELA'!$E$5:$H$889,4,FALSE)</f>
        <v>10575</v>
      </c>
      <c r="Q316" s="31" t="b">
        <f t="shared" si="4"/>
        <v>1</v>
      </c>
      <c r="R316" s="32">
        <v>45967</v>
      </c>
      <c r="S316" s="29">
        <v>29630</v>
      </c>
      <c r="T316" s="29" t="s">
        <v>1181</v>
      </c>
      <c r="U316" s="33" t="s">
        <v>1182</v>
      </c>
    </row>
    <row r="317" spans="1:21" ht="28.5" customHeight="1" x14ac:dyDescent="0.3">
      <c r="A317" s="27">
        <v>314</v>
      </c>
      <c r="B317" s="28">
        <v>2025</v>
      </c>
      <c r="C317" s="29" t="s">
        <v>961</v>
      </c>
      <c r="D317" s="30" t="s">
        <v>1092</v>
      </c>
      <c r="E317" s="29">
        <v>29183987</v>
      </c>
      <c r="F317" s="29">
        <v>1102704</v>
      </c>
      <c r="G317" s="30" t="s">
        <v>1183</v>
      </c>
      <c r="H317" s="29">
        <v>294</v>
      </c>
      <c r="I317" s="29">
        <v>1</v>
      </c>
      <c r="J317" s="29"/>
      <c r="K317" s="30"/>
      <c r="L317" s="29" t="s">
        <v>72</v>
      </c>
      <c r="M317" s="31">
        <v>3092</v>
      </c>
      <c r="N317" s="31">
        <v>773</v>
      </c>
      <c r="O317" s="31">
        <v>3865</v>
      </c>
      <c r="P317" s="31">
        <f>VLOOKUP(F317,'[3]1ª PARCELA'!$E$5:$H$889,4,FALSE)</f>
        <v>3865</v>
      </c>
      <c r="Q317" s="31" t="b">
        <f t="shared" si="4"/>
        <v>1</v>
      </c>
      <c r="R317" s="32">
        <v>45793</v>
      </c>
      <c r="S317" s="29">
        <v>9173</v>
      </c>
      <c r="T317" s="29" t="s">
        <v>1184</v>
      </c>
      <c r="U317" s="33" t="s">
        <v>1185</v>
      </c>
    </row>
    <row r="318" spans="1:21" ht="28.5" customHeight="1" x14ac:dyDescent="0.3">
      <c r="A318" s="27">
        <v>315</v>
      </c>
      <c r="B318" s="28">
        <v>2025</v>
      </c>
      <c r="C318" s="29" t="s">
        <v>961</v>
      </c>
      <c r="D318" s="30" t="s">
        <v>1092</v>
      </c>
      <c r="E318" s="29">
        <v>29184460</v>
      </c>
      <c r="F318" s="29">
        <v>1100981</v>
      </c>
      <c r="G318" s="30" t="s">
        <v>1186</v>
      </c>
      <c r="H318" s="29">
        <v>1401</v>
      </c>
      <c r="I318" s="29">
        <v>1</v>
      </c>
      <c r="J318" s="29"/>
      <c r="K318" s="30"/>
      <c r="L318" s="29" t="s">
        <v>72</v>
      </c>
      <c r="M318" s="31">
        <v>11948</v>
      </c>
      <c r="N318" s="31">
        <v>2987</v>
      </c>
      <c r="O318" s="31">
        <v>14935</v>
      </c>
      <c r="P318" s="31">
        <f>VLOOKUP(F318,'[3]1ª PARCELA'!$E$5:$H$889,4,FALSE)</f>
        <v>14935</v>
      </c>
      <c r="Q318" s="31" t="b">
        <f t="shared" si="4"/>
        <v>1</v>
      </c>
      <c r="R318" s="32">
        <v>45805</v>
      </c>
      <c r="S318" s="29">
        <v>9678</v>
      </c>
      <c r="T318" s="29" t="s">
        <v>1187</v>
      </c>
      <c r="U318" s="33" t="s">
        <v>1188</v>
      </c>
    </row>
    <row r="319" spans="1:21" ht="28.5" customHeight="1" x14ac:dyDescent="0.3">
      <c r="A319" s="27">
        <v>316</v>
      </c>
      <c r="B319" s="28">
        <v>2025</v>
      </c>
      <c r="C319" s="29" t="s">
        <v>961</v>
      </c>
      <c r="D319" s="30" t="s">
        <v>1092</v>
      </c>
      <c r="E319" s="29">
        <v>29184916</v>
      </c>
      <c r="F319" s="29">
        <v>1104642</v>
      </c>
      <c r="G319" s="30" t="s">
        <v>1189</v>
      </c>
      <c r="H319" s="29">
        <v>1212</v>
      </c>
      <c r="I319" s="29">
        <v>1</v>
      </c>
      <c r="J319" s="29"/>
      <c r="K319" s="30"/>
      <c r="L319" s="29" t="s">
        <v>72</v>
      </c>
      <c r="M319" s="31">
        <v>10436</v>
      </c>
      <c r="N319" s="31">
        <v>2609</v>
      </c>
      <c r="O319" s="31">
        <v>13045</v>
      </c>
      <c r="P319" s="31">
        <f>VLOOKUP(F319,'[3]1ª PARCELA'!$E$5:$H$889,4,FALSE)</f>
        <v>13045</v>
      </c>
      <c r="Q319" s="31" t="b">
        <f t="shared" si="4"/>
        <v>1</v>
      </c>
      <c r="R319" s="32">
        <v>45895</v>
      </c>
      <c r="S319" s="29">
        <v>19863</v>
      </c>
      <c r="T319" s="29" t="s">
        <v>1190</v>
      </c>
      <c r="U319" s="33" t="s">
        <v>1191</v>
      </c>
    </row>
    <row r="320" spans="1:21" ht="28.5" customHeight="1" x14ac:dyDescent="0.3">
      <c r="A320" s="27">
        <v>317</v>
      </c>
      <c r="B320" s="28">
        <v>2025</v>
      </c>
      <c r="C320" s="29" t="s">
        <v>961</v>
      </c>
      <c r="D320" s="30" t="s">
        <v>1092</v>
      </c>
      <c r="E320" s="29">
        <v>29184932</v>
      </c>
      <c r="F320" s="29">
        <v>1100833</v>
      </c>
      <c r="G320" s="30" t="s">
        <v>1192</v>
      </c>
      <c r="H320" s="29">
        <v>1126</v>
      </c>
      <c r="I320" s="29">
        <v>1</v>
      </c>
      <c r="J320" s="29"/>
      <c r="K320" s="30"/>
      <c r="L320" s="29" t="s">
        <v>72</v>
      </c>
      <c r="M320" s="31">
        <v>9748</v>
      </c>
      <c r="N320" s="31">
        <v>2437</v>
      </c>
      <c r="O320" s="31">
        <v>12185</v>
      </c>
      <c r="P320" s="31">
        <f>VLOOKUP(F320,'[3]1ª PARCELA'!$E$5:$H$889,4,FALSE)</f>
        <v>12185</v>
      </c>
      <c r="Q320" s="31" t="b">
        <f t="shared" si="4"/>
        <v>1</v>
      </c>
      <c r="R320" s="32">
        <v>45833</v>
      </c>
      <c r="S320" s="29">
        <v>13120</v>
      </c>
      <c r="T320" s="29" t="s">
        <v>1193</v>
      </c>
      <c r="U320" s="33" t="s">
        <v>1194</v>
      </c>
    </row>
    <row r="321" spans="1:21" ht="28.5" customHeight="1" x14ac:dyDescent="0.3">
      <c r="A321" s="27">
        <v>318</v>
      </c>
      <c r="B321" s="28">
        <v>2025</v>
      </c>
      <c r="C321" s="29" t="s">
        <v>961</v>
      </c>
      <c r="D321" s="30" t="s">
        <v>1092</v>
      </c>
      <c r="E321" s="29">
        <v>29184983</v>
      </c>
      <c r="F321" s="29">
        <v>1100884</v>
      </c>
      <c r="G321" s="30" t="s">
        <v>1195</v>
      </c>
      <c r="H321" s="29">
        <v>311</v>
      </c>
      <c r="I321" s="29">
        <v>1</v>
      </c>
      <c r="J321" s="29"/>
      <c r="K321" s="30"/>
      <c r="L321" s="29" t="s">
        <v>72</v>
      </c>
      <c r="M321" s="31">
        <v>3228</v>
      </c>
      <c r="N321" s="31">
        <v>807</v>
      </c>
      <c r="O321" s="31">
        <v>4035</v>
      </c>
      <c r="P321" s="31">
        <f>VLOOKUP(F321,'[3]1ª PARCELA'!$E$5:$H$889,4,FALSE)</f>
        <v>4035</v>
      </c>
      <c r="Q321" s="31" t="b">
        <f t="shared" si="4"/>
        <v>1</v>
      </c>
      <c r="R321" s="32">
        <v>45967</v>
      </c>
      <c r="S321" s="29">
        <v>29630</v>
      </c>
      <c r="T321" s="29" t="s">
        <v>1196</v>
      </c>
      <c r="U321" s="33" t="s">
        <v>1197</v>
      </c>
    </row>
    <row r="322" spans="1:21" ht="28.5" customHeight="1" x14ac:dyDescent="0.3">
      <c r="A322" s="27">
        <v>319</v>
      </c>
      <c r="B322" s="28">
        <v>2025</v>
      </c>
      <c r="C322" s="29" t="s">
        <v>961</v>
      </c>
      <c r="D322" s="30" t="s">
        <v>1092</v>
      </c>
      <c r="E322" s="29">
        <v>29185300</v>
      </c>
      <c r="F322" s="29">
        <v>1176189</v>
      </c>
      <c r="G322" s="30" t="s">
        <v>1198</v>
      </c>
      <c r="H322" s="29">
        <v>1431</v>
      </c>
      <c r="I322" s="29">
        <v>1</v>
      </c>
      <c r="J322" s="29"/>
      <c r="K322" s="30"/>
      <c r="L322" s="29" t="s">
        <v>72</v>
      </c>
      <c r="M322" s="31">
        <v>12188</v>
      </c>
      <c r="N322" s="31">
        <v>3047</v>
      </c>
      <c r="O322" s="31">
        <v>15235</v>
      </c>
      <c r="P322" s="31">
        <f>VLOOKUP(F322,'[3]1ª PARCELA'!$E$5:$H$889,4,FALSE)</f>
        <v>15235</v>
      </c>
      <c r="Q322" s="31" t="b">
        <f t="shared" si="4"/>
        <v>1</v>
      </c>
      <c r="R322" s="32">
        <v>45867</v>
      </c>
      <c r="S322" s="29">
        <v>16705</v>
      </c>
      <c r="T322" s="29" t="s">
        <v>1199</v>
      </c>
      <c r="U322" s="33" t="s">
        <v>1200</v>
      </c>
    </row>
    <row r="323" spans="1:21" ht="28.5" customHeight="1" x14ac:dyDescent="0.3">
      <c r="A323" s="27">
        <v>320</v>
      </c>
      <c r="B323" s="28">
        <v>2025</v>
      </c>
      <c r="C323" s="29" t="s">
        <v>961</v>
      </c>
      <c r="D323" s="30" t="s">
        <v>1092</v>
      </c>
      <c r="E323" s="29">
        <v>29185351</v>
      </c>
      <c r="F323" s="29">
        <v>1101333</v>
      </c>
      <c r="G323" s="30" t="s">
        <v>1201</v>
      </c>
      <c r="H323" s="29">
        <v>212</v>
      </c>
      <c r="I323" s="29">
        <v>1</v>
      </c>
      <c r="J323" s="29"/>
      <c r="K323" s="30"/>
      <c r="L323" s="29" t="s">
        <v>72</v>
      </c>
      <c r="M323" s="31">
        <v>2131.5</v>
      </c>
      <c r="N323" s="31">
        <v>913.5</v>
      </c>
      <c r="O323" s="31">
        <v>3045</v>
      </c>
      <c r="P323" s="31">
        <f>VLOOKUP(F323,'[3]1ª PARCELA'!$E$5:$H$889,4,FALSE)</f>
        <v>3045</v>
      </c>
      <c r="Q323" s="31" t="b">
        <f t="shared" si="4"/>
        <v>1</v>
      </c>
      <c r="R323" s="32">
        <v>45867</v>
      </c>
      <c r="S323" s="29">
        <v>16705</v>
      </c>
      <c r="T323" s="29" t="s">
        <v>1202</v>
      </c>
      <c r="U323" s="33" t="s">
        <v>1203</v>
      </c>
    </row>
    <row r="324" spans="1:21" ht="28.5" customHeight="1" x14ac:dyDescent="0.3">
      <c r="A324" s="27">
        <v>321</v>
      </c>
      <c r="B324" s="28">
        <v>2025</v>
      </c>
      <c r="C324" s="29" t="s">
        <v>961</v>
      </c>
      <c r="D324" s="30" t="s">
        <v>1092</v>
      </c>
      <c r="E324" s="29">
        <v>29185394</v>
      </c>
      <c r="F324" s="29">
        <v>1102844</v>
      </c>
      <c r="G324" s="30" t="s">
        <v>1204</v>
      </c>
      <c r="H324" s="29">
        <v>861</v>
      </c>
      <c r="I324" s="29">
        <v>1</v>
      </c>
      <c r="J324" s="29"/>
      <c r="K324" s="30"/>
      <c r="L324" s="29" t="s">
        <v>72</v>
      </c>
      <c r="M324" s="31">
        <v>7628</v>
      </c>
      <c r="N324" s="31">
        <v>1907</v>
      </c>
      <c r="O324" s="31">
        <v>9535</v>
      </c>
      <c r="P324" s="31">
        <f>VLOOKUP(F324,'[3]1ª PARCELA'!$E$5:$H$889,4,FALSE)</f>
        <v>9535</v>
      </c>
      <c r="Q324" s="31" t="b">
        <f t="shared" si="4"/>
        <v>1</v>
      </c>
      <c r="R324" s="32">
        <v>45849</v>
      </c>
      <c r="S324" s="29">
        <v>15915</v>
      </c>
      <c r="T324" s="29" t="s">
        <v>1205</v>
      </c>
      <c r="U324" s="33" t="s">
        <v>1206</v>
      </c>
    </row>
    <row r="325" spans="1:21" ht="28.5" customHeight="1" x14ac:dyDescent="0.3">
      <c r="A325" s="27">
        <v>322</v>
      </c>
      <c r="B325" s="28">
        <v>2025</v>
      </c>
      <c r="C325" s="29" t="s">
        <v>961</v>
      </c>
      <c r="D325" s="30" t="s">
        <v>1092</v>
      </c>
      <c r="E325" s="29">
        <v>29185408</v>
      </c>
      <c r="F325" s="29">
        <v>1176074</v>
      </c>
      <c r="G325" s="30" t="s">
        <v>1207</v>
      </c>
      <c r="H325" s="29">
        <v>702</v>
      </c>
      <c r="I325" s="29">
        <v>1</v>
      </c>
      <c r="J325" s="29"/>
      <c r="K325" s="30"/>
      <c r="L325" s="29" t="s">
        <v>72</v>
      </c>
      <c r="M325" s="31">
        <v>6356</v>
      </c>
      <c r="N325" s="31">
        <v>1589</v>
      </c>
      <c r="O325" s="31">
        <v>7945</v>
      </c>
      <c r="P325" s="31">
        <f>VLOOKUP(F325,'[3]1ª PARCELA'!$E$5:$H$889,4,FALSE)</f>
        <v>7945</v>
      </c>
      <c r="Q325" s="31" t="b">
        <f t="shared" ref="Q325:Q388" si="5">O325=P325</f>
        <v>1</v>
      </c>
      <c r="R325" s="32">
        <v>45793</v>
      </c>
      <c r="S325" s="29">
        <v>9173</v>
      </c>
      <c r="T325" s="29" t="s">
        <v>1208</v>
      </c>
      <c r="U325" s="33" t="s">
        <v>1209</v>
      </c>
    </row>
    <row r="326" spans="1:21" ht="28.5" customHeight="1" x14ac:dyDescent="0.3">
      <c r="A326" s="27">
        <v>323</v>
      </c>
      <c r="B326" s="28">
        <v>2025</v>
      </c>
      <c r="C326" s="29" t="s">
        <v>961</v>
      </c>
      <c r="D326" s="30" t="s">
        <v>1092</v>
      </c>
      <c r="E326" s="29">
        <v>29186552</v>
      </c>
      <c r="F326" s="29">
        <v>1102917</v>
      </c>
      <c r="G326" s="30" t="s">
        <v>1210</v>
      </c>
      <c r="H326" s="29">
        <v>272</v>
      </c>
      <c r="I326" s="29">
        <v>1</v>
      </c>
      <c r="J326" s="29"/>
      <c r="K326" s="30"/>
      <c r="L326" s="29" t="s">
        <v>72</v>
      </c>
      <c r="M326" s="31">
        <v>2916</v>
      </c>
      <c r="N326" s="31">
        <v>729</v>
      </c>
      <c r="O326" s="31">
        <v>3645</v>
      </c>
      <c r="P326" s="31">
        <f>VLOOKUP(F326,'[3]1ª PARCELA'!$E$5:$H$889,4,FALSE)</f>
        <v>3645</v>
      </c>
      <c r="Q326" s="31" t="b">
        <f t="shared" si="5"/>
        <v>1</v>
      </c>
      <c r="R326" s="32">
        <v>45926</v>
      </c>
      <c r="S326" s="29">
        <v>24529</v>
      </c>
      <c r="T326" s="29" t="s">
        <v>1211</v>
      </c>
      <c r="U326" s="33" t="s">
        <v>1212</v>
      </c>
    </row>
    <row r="327" spans="1:21" ht="28.5" customHeight="1" x14ac:dyDescent="0.3">
      <c r="A327" s="27">
        <v>324</v>
      </c>
      <c r="B327" s="28">
        <v>2025</v>
      </c>
      <c r="C327" s="29" t="s">
        <v>961</v>
      </c>
      <c r="D327" s="30" t="s">
        <v>1092</v>
      </c>
      <c r="E327" s="29">
        <v>29186935</v>
      </c>
      <c r="F327" s="29">
        <v>1102348</v>
      </c>
      <c r="G327" s="30" t="s">
        <v>1213</v>
      </c>
      <c r="H327" s="29">
        <v>936</v>
      </c>
      <c r="I327" s="29">
        <v>1</v>
      </c>
      <c r="J327" s="29"/>
      <c r="K327" s="30"/>
      <c r="L327" s="29" t="s">
        <v>72</v>
      </c>
      <c r="M327" s="31">
        <v>8228</v>
      </c>
      <c r="N327" s="31">
        <v>2057</v>
      </c>
      <c r="O327" s="31">
        <v>10285</v>
      </c>
      <c r="P327" s="31">
        <f>VLOOKUP(F327,'[3]1ª PARCELA'!$E$5:$H$889,4,FALSE)</f>
        <v>10285</v>
      </c>
      <c r="Q327" s="31" t="b">
        <f t="shared" si="5"/>
        <v>1</v>
      </c>
      <c r="R327" s="32">
        <v>45967</v>
      </c>
      <c r="S327" s="29">
        <v>29630</v>
      </c>
      <c r="T327" s="29" t="s">
        <v>1214</v>
      </c>
      <c r="U327" s="33" t="s">
        <v>1215</v>
      </c>
    </row>
    <row r="328" spans="1:21" ht="28.5" customHeight="1" x14ac:dyDescent="0.3">
      <c r="A328" s="27">
        <v>325</v>
      </c>
      <c r="B328" s="28">
        <v>2025</v>
      </c>
      <c r="C328" s="29" t="s">
        <v>961</v>
      </c>
      <c r="D328" s="30" t="s">
        <v>1092</v>
      </c>
      <c r="E328" s="29">
        <v>29187001</v>
      </c>
      <c r="F328" s="29">
        <v>1104731</v>
      </c>
      <c r="G328" s="30" t="s">
        <v>1216</v>
      </c>
      <c r="H328" s="29">
        <v>733</v>
      </c>
      <c r="I328" s="29">
        <v>1</v>
      </c>
      <c r="J328" s="29"/>
      <c r="K328" s="30"/>
      <c r="L328" s="29" t="s">
        <v>72</v>
      </c>
      <c r="M328" s="31">
        <v>6604</v>
      </c>
      <c r="N328" s="31">
        <v>1651</v>
      </c>
      <c r="O328" s="31">
        <v>8255</v>
      </c>
      <c r="P328" s="31">
        <f>VLOOKUP(F328,'[3]1ª PARCELA'!$E$5:$H$889,4,FALSE)</f>
        <v>8255</v>
      </c>
      <c r="Q328" s="31" t="b">
        <f t="shared" si="5"/>
        <v>1</v>
      </c>
      <c r="R328" s="32">
        <v>45833</v>
      </c>
      <c r="S328" s="29">
        <v>13120</v>
      </c>
      <c r="T328" s="29" t="s">
        <v>1217</v>
      </c>
      <c r="U328" s="33" t="s">
        <v>1218</v>
      </c>
    </row>
    <row r="329" spans="1:21" ht="28.5" customHeight="1" x14ac:dyDescent="0.3">
      <c r="A329" s="27">
        <v>326</v>
      </c>
      <c r="B329" s="28">
        <v>2025</v>
      </c>
      <c r="C329" s="29" t="s">
        <v>961</v>
      </c>
      <c r="D329" s="30" t="s">
        <v>1092</v>
      </c>
      <c r="E329" s="29">
        <v>29187010</v>
      </c>
      <c r="F329" s="29">
        <v>1104677</v>
      </c>
      <c r="G329" s="30" t="s">
        <v>1219</v>
      </c>
      <c r="H329" s="29">
        <v>714</v>
      </c>
      <c r="I329" s="29">
        <v>1</v>
      </c>
      <c r="J329" s="29"/>
      <c r="K329" s="30"/>
      <c r="L329" s="29" t="s">
        <v>72</v>
      </c>
      <c r="M329" s="31">
        <v>6452</v>
      </c>
      <c r="N329" s="31">
        <v>1613</v>
      </c>
      <c r="O329" s="31">
        <v>8065</v>
      </c>
      <c r="P329" s="31">
        <f>VLOOKUP(F329,'[3]1ª PARCELA'!$E$5:$H$889,4,FALSE)</f>
        <v>8065</v>
      </c>
      <c r="Q329" s="31" t="b">
        <f t="shared" si="5"/>
        <v>1</v>
      </c>
      <c r="R329" s="32">
        <v>45967</v>
      </c>
      <c r="S329" s="29">
        <v>29630</v>
      </c>
      <c r="T329" s="29" t="s">
        <v>1220</v>
      </c>
      <c r="U329" s="33" t="s">
        <v>1221</v>
      </c>
    </row>
    <row r="330" spans="1:21" ht="28.5" customHeight="1" x14ac:dyDescent="0.3">
      <c r="A330" s="27">
        <v>327</v>
      </c>
      <c r="B330" s="28">
        <v>2025</v>
      </c>
      <c r="C330" s="29" t="s">
        <v>961</v>
      </c>
      <c r="D330" s="30" t="s">
        <v>1092</v>
      </c>
      <c r="E330" s="29">
        <v>29187079</v>
      </c>
      <c r="F330" s="29">
        <v>1104715</v>
      </c>
      <c r="G330" s="30" t="s">
        <v>1222</v>
      </c>
      <c r="H330" s="29">
        <v>773</v>
      </c>
      <c r="I330" s="29">
        <v>1</v>
      </c>
      <c r="J330" s="29"/>
      <c r="K330" s="30"/>
      <c r="L330" s="29" t="s">
        <v>72</v>
      </c>
      <c r="M330" s="31">
        <v>6924</v>
      </c>
      <c r="N330" s="31">
        <v>1731</v>
      </c>
      <c r="O330" s="31">
        <v>8655</v>
      </c>
      <c r="P330" s="31">
        <f>VLOOKUP(F330,'[3]1ª PARCELA'!$E$5:$H$889,4,FALSE)</f>
        <v>8655</v>
      </c>
      <c r="Q330" s="31" t="b">
        <f t="shared" si="5"/>
        <v>1</v>
      </c>
      <c r="R330" s="32">
        <v>45967</v>
      </c>
      <c r="S330" s="29">
        <v>29630</v>
      </c>
      <c r="T330" s="29" t="s">
        <v>1223</v>
      </c>
      <c r="U330" s="33" t="s">
        <v>1224</v>
      </c>
    </row>
    <row r="331" spans="1:21" ht="28.5" customHeight="1" x14ac:dyDescent="0.3">
      <c r="A331" s="27">
        <v>328</v>
      </c>
      <c r="B331" s="28">
        <v>2025</v>
      </c>
      <c r="C331" s="29" t="s">
        <v>961</v>
      </c>
      <c r="D331" s="30" t="s">
        <v>1092</v>
      </c>
      <c r="E331" s="29">
        <v>29187095</v>
      </c>
      <c r="F331" s="29">
        <v>1104219</v>
      </c>
      <c r="G331" s="30" t="s">
        <v>1225</v>
      </c>
      <c r="H331" s="29">
        <v>278</v>
      </c>
      <c r="I331" s="29">
        <v>1</v>
      </c>
      <c r="J331" s="29"/>
      <c r="K331" s="30"/>
      <c r="L331" s="29" t="s">
        <v>72</v>
      </c>
      <c r="M331" s="31">
        <v>2964</v>
      </c>
      <c r="N331" s="31">
        <v>741</v>
      </c>
      <c r="O331" s="31">
        <v>3705</v>
      </c>
      <c r="P331" s="31">
        <f>VLOOKUP(F331,'[3]1ª PARCELA'!$E$5:$H$889,4,FALSE)</f>
        <v>3705</v>
      </c>
      <c r="Q331" s="31" t="b">
        <f t="shared" si="5"/>
        <v>1</v>
      </c>
      <c r="R331" s="32">
        <v>45947</v>
      </c>
      <c r="S331" s="29">
        <v>27225</v>
      </c>
      <c r="T331" s="29" t="s">
        <v>1226</v>
      </c>
      <c r="U331" s="33" t="s">
        <v>1227</v>
      </c>
    </row>
    <row r="332" spans="1:21" ht="28.5" customHeight="1" x14ac:dyDescent="0.3">
      <c r="A332" s="27">
        <v>329</v>
      </c>
      <c r="B332" s="28">
        <v>2025</v>
      </c>
      <c r="C332" s="29" t="s">
        <v>961</v>
      </c>
      <c r="D332" s="30" t="s">
        <v>1092</v>
      </c>
      <c r="E332" s="29">
        <v>29187303</v>
      </c>
      <c r="F332" s="29">
        <v>1104880</v>
      </c>
      <c r="G332" s="30" t="s">
        <v>1228</v>
      </c>
      <c r="H332" s="29">
        <v>391</v>
      </c>
      <c r="I332" s="29">
        <v>1</v>
      </c>
      <c r="J332" s="29"/>
      <c r="K332" s="30"/>
      <c r="L332" s="29" t="s">
        <v>72</v>
      </c>
      <c r="M332" s="31">
        <v>3868</v>
      </c>
      <c r="N332" s="31">
        <v>967</v>
      </c>
      <c r="O332" s="31">
        <v>4835</v>
      </c>
      <c r="P332" s="31">
        <f>VLOOKUP(F332,'[3]1ª PARCELA'!$E$5:$H$889,4,FALSE)</f>
        <v>4835</v>
      </c>
      <c r="Q332" s="31" t="b">
        <f t="shared" si="5"/>
        <v>1</v>
      </c>
      <c r="R332" s="32">
        <v>45793</v>
      </c>
      <c r="S332" s="29">
        <v>9173</v>
      </c>
      <c r="T332" s="29" t="s">
        <v>1229</v>
      </c>
      <c r="U332" s="33" t="s">
        <v>1230</v>
      </c>
    </row>
    <row r="333" spans="1:21" ht="28.5" customHeight="1" x14ac:dyDescent="0.3">
      <c r="A333" s="27">
        <v>330</v>
      </c>
      <c r="B333" s="28">
        <v>2025</v>
      </c>
      <c r="C333" s="29" t="s">
        <v>961</v>
      </c>
      <c r="D333" s="30" t="s">
        <v>1092</v>
      </c>
      <c r="E333" s="29">
        <v>29187320</v>
      </c>
      <c r="F333" s="29">
        <v>1104936</v>
      </c>
      <c r="G333" s="30" t="s">
        <v>1231</v>
      </c>
      <c r="H333" s="29">
        <v>318</v>
      </c>
      <c r="I333" s="29">
        <v>1</v>
      </c>
      <c r="J333" s="29"/>
      <c r="K333" s="30"/>
      <c r="L333" s="29" t="s">
        <v>72</v>
      </c>
      <c r="M333" s="31">
        <v>3284</v>
      </c>
      <c r="N333" s="31">
        <v>821</v>
      </c>
      <c r="O333" s="31">
        <v>4105</v>
      </c>
      <c r="P333" s="31">
        <f>VLOOKUP(F333,'[3]1ª PARCELA'!$E$5:$H$889,4,FALSE)</f>
        <v>4105</v>
      </c>
      <c r="Q333" s="31" t="b">
        <f t="shared" si="5"/>
        <v>1</v>
      </c>
      <c r="R333" s="32">
        <v>45954</v>
      </c>
      <c r="S333" s="29">
        <v>28607</v>
      </c>
      <c r="T333" s="29" t="s">
        <v>1232</v>
      </c>
      <c r="U333" s="33" t="s">
        <v>1233</v>
      </c>
    </row>
    <row r="334" spans="1:21" ht="28.5" customHeight="1" x14ac:dyDescent="0.3">
      <c r="A334" s="27">
        <v>331</v>
      </c>
      <c r="B334" s="28">
        <v>2025</v>
      </c>
      <c r="C334" s="29" t="s">
        <v>961</v>
      </c>
      <c r="D334" s="30" t="s">
        <v>1092</v>
      </c>
      <c r="E334" s="29">
        <v>29187346</v>
      </c>
      <c r="F334" s="29">
        <v>1103506</v>
      </c>
      <c r="G334" s="30" t="s">
        <v>1234</v>
      </c>
      <c r="H334" s="29">
        <v>390</v>
      </c>
      <c r="I334" s="29">
        <v>1</v>
      </c>
      <c r="J334" s="29"/>
      <c r="K334" s="30"/>
      <c r="L334" s="29" t="s">
        <v>72</v>
      </c>
      <c r="M334" s="31">
        <v>3377.5</v>
      </c>
      <c r="N334" s="31">
        <v>1447.5</v>
      </c>
      <c r="O334" s="31">
        <v>4825</v>
      </c>
      <c r="P334" s="31">
        <f>VLOOKUP(F334,'[3]1ª PARCELA'!$E$5:$H$889,4,FALSE)</f>
        <v>4825</v>
      </c>
      <c r="Q334" s="31" t="b">
        <f t="shared" si="5"/>
        <v>1</v>
      </c>
      <c r="R334" s="32">
        <v>45793</v>
      </c>
      <c r="S334" s="29">
        <v>9173</v>
      </c>
      <c r="T334" s="29" t="s">
        <v>1235</v>
      </c>
      <c r="U334" s="33" t="s">
        <v>1236</v>
      </c>
    </row>
    <row r="335" spans="1:21" ht="28.5" customHeight="1" x14ac:dyDescent="0.3">
      <c r="A335" s="27">
        <v>332</v>
      </c>
      <c r="B335" s="28">
        <v>2025</v>
      </c>
      <c r="C335" s="29" t="s">
        <v>961</v>
      </c>
      <c r="D335" s="30" t="s">
        <v>1092</v>
      </c>
      <c r="E335" s="29">
        <v>29187419</v>
      </c>
      <c r="F335" s="29">
        <v>1101120</v>
      </c>
      <c r="G335" s="30" t="s">
        <v>1237</v>
      </c>
      <c r="H335" s="29">
        <v>588</v>
      </c>
      <c r="I335" s="29">
        <v>1</v>
      </c>
      <c r="J335" s="29"/>
      <c r="K335" s="30"/>
      <c r="L335" s="29" t="s">
        <v>72</v>
      </c>
      <c r="M335" s="31">
        <v>6924</v>
      </c>
      <c r="N335" s="31">
        <v>1731</v>
      </c>
      <c r="O335" s="31">
        <v>8655</v>
      </c>
      <c r="P335" s="31">
        <f>VLOOKUP(F335,'[3]1ª PARCELA'!$E$5:$H$889,4,FALSE)</f>
        <v>8655</v>
      </c>
      <c r="Q335" s="31" t="b">
        <f t="shared" si="5"/>
        <v>1</v>
      </c>
      <c r="R335" s="32">
        <v>45833</v>
      </c>
      <c r="S335" s="29">
        <v>13120</v>
      </c>
      <c r="T335" s="29" t="s">
        <v>1238</v>
      </c>
      <c r="U335" s="33" t="s">
        <v>1239</v>
      </c>
    </row>
    <row r="336" spans="1:21" ht="28.5" customHeight="1" x14ac:dyDescent="0.3">
      <c r="A336" s="27">
        <v>333</v>
      </c>
      <c r="B336" s="28">
        <v>2025</v>
      </c>
      <c r="C336" s="29" t="s">
        <v>961</v>
      </c>
      <c r="D336" s="30" t="s">
        <v>1092</v>
      </c>
      <c r="E336" s="29">
        <v>29187583</v>
      </c>
      <c r="F336" s="29">
        <v>1103417</v>
      </c>
      <c r="G336" s="30" t="s">
        <v>1240</v>
      </c>
      <c r="H336" s="29">
        <v>847</v>
      </c>
      <c r="I336" s="29">
        <v>1</v>
      </c>
      <c r="J336" s="29"/>
      <c r="K336" s="30"/>
      <c r="L336" s="29" t="s">
        <v>72</v>
      </c>
      <c r="M336" s="31">
        <v>8996</v>
      </c>
      <c r="N336" s="31">
        <v>2249</v>
      </c>
      <c r="O336" s="31">
        <v>11245</v>
      </c>
      <c r="P336" s="31">
        <f>VLOOKUP(F336,'[3]1ª PARCELA'!$E$5:$H$889,4,FALSE)</f>
        <v>11245</v>
      </c>
      <c r="Q336" s="31" t="b">
        <f t="shared" si="5"/>
        <v>1</v>
      </c>
      <c r="R336" s="32">
        <v>45967</v>
      </c>
      <c r="S336" s="29">
        <v>29630</v>
      </c>
      <c r="T336" s="29" t="s">
        <v>1241</v>
      </c>
      <c r="U336" s="33" t="s">
        <v>1242</v>
      </c>
    </row>
    <row r="337" spans="1:21" ht="28.5" customHeight="1" x14ac:dyDescent="0.3">
      <c r="A337" s="27">
        <v>334</v>
      </c>
      <c r="B337" s="28">
        <v>2025</v>
      </c>
      <c r="C337" s="29" t="s">
        <v>961</v>
      </c>
      <c r="D337" s="30" t="s">
        <v>1092</v>
      </c>
      <c r="E337" s="29">
        <v>29187877</v>
      </c>
      <c r="F337" s="29">
        <v>1101759</v>
      </c>
      <c r="G337" s="30" t="s">
        <v>1243</v>
      </c>
      <c r="H337" s="29">
        <v>524</v>
      </c>
      <c r="I337" s="29">
        <v>1</v>
      </c>
      <c r="J337" s="29"/>
      <c r="K337" s="30"/>
      <c r="L337" s="29" t="s">
        <v>72</v>
      </c>
      <c r="M337" s="31">
        <v>4315.5</v>
      </c>
      <c r="N337" s="31">
        <v>1849.5</v>
      </c>
      <c r="O337" s="31">
        <v>6165</v>
      </c>
      <c r="P337" s="31">
        <f>VLOOKUP(F337,'[3]1ª PARCELA'!$E$5:$H$889,4,FALSE)</f>
        <v>6165</v>
      </c>
      <c r="Q337" s="31" t="b">
        <f t="shared" si="5"/>
        <v>1</v>
      </c>
      <c r="R337" s="32">
        <v>45793</v>
      </c>
      <c r="S337" s="29">
        <v>9173</v>
      </c>
      <c r="T337" s="29" t="s">
        <v>1244</v>
      </c>
      <c r="U337" s="33" t="s">
        <v>1245</v>
      </c>
    </row>
    <row r="338" spans="1:21" ht="28.5" customHeight="1" x14ac:dyDescent="0.3">
      <c r="A338" s="27">
        <v>335</v>
      </c>
      <c r="B338" s="28">
        <v>2025</v>
      </c>
      <c r="C338" s="29" t="s">
        <v>961</v>
      </c>
      <c r="D338" s="30" t="s">
        <v>1092</v>
      </c>
      <c r="E338" s="29">
        <v>29188270</v>
      </c>
      <c r="F338" s="29">
        <v>1101520</v>
      </c>
      <c r="G338" s="30" t="s">
        <v>1246</v>
      </c>
      <c r="H338" s="29">
        <v>730</v>
      </c>
      <c r="I338" s="29">
        <v>1</v>
      </c>
      <c r="J338" s="29"/>
      <c r="K338" s="30"/>
      <c r="L338" s="29" t="s">
        <v>72</v>
      </c>
      <c r="M338" s="31">
        <v>6580</v>
      </c>
      <c r="N338" s="31">
        <v>1645</v>
      </c>
      <c r="O338" s="31">
        <v>8225</v>
      </c>
      <c r="P338" s="31">
        <f>VLOOKUP(F338,'[3]1ª PARCELA'!$E$5:$H$889,4,FALSE)</f>
        <v>8225</v>
      </c>
      <c r="Q338" s="31" t="b">
        <f t="shared" si="5"/>
        <v>1</v>
      </c>
      <c r="R338" s="32">
        <v>45867</v>
      </c>
      <c r="S338" s="29">
        <v>16705</v>
      </c>
      <c r="T338" s="29" t="s">
        <v>1247</v>
      </c>
      <c r="U338" s="33" t="s">
        <v>1248</v>
      </c>
    </row>
    <row r="339" spans="1:21" ht="28.5" customHeight="1" x14ac:dyDescent="0.3">
      <c r="A339" s="27">
        <v>336</v>
      </c>
      <c r="B339" s="28">
        <v>2025</v>
      </c>
      <c r="C339" s="29" t="s">
        <v>961</v>
      </c>
      <c r="D339" s="30" t="s">
        <v>1092</v>
      </c>
      <c r="E339" s="29">
        <v>29188431</v>
      </c>
      <c r="F339" s="29">
        <v>1104022</v>
      </c>
      <c r="G339" s="30" t="s">
        <v>1249</v>
      </c>
      <c r="H339" s="29">
        <v>881</v>
      </c>
      <c r="I339" s="29">
        <v>1</v>
      </c>
      <c r="J339" s="29"/>
      <c r="K339" s="30"/>
      <c r="L339" s="29" t="s">
        <v>72</v>
      </c>
      <c r="M339" s="31">
        <v>7788</v>
      </c>
      <c r="N339" s="31">
        <v>1947</v>
      </c>
      <c r="O339" s="31">
        <v>9735</v>
      </c>
      <c r="P339" s="31">
        <f>VLOOKUP(F339,'[3]1ª PARCELA'!$E$5:$H$889,4,FALSE)</f>
        <v>9735</v>
      </c>
      <c r="Q339" s="31" t="b">
        <f t="shared" si="5"/>
        <v>1</v>
      </c>
      <c r="R339" s="32">
        <v>45833</v>
      </c>
      <c r="S339" s="29">
        <v>13120</v>
      </c>
      <c r="T339" s="29" t="s">
        <v>1250</v>
      </c>
      <c r="U339" s="33" t="s">
        <v>1251</v>
      </c>
    </row>
    <row r="340" spans="1:21" ht="28.5" customHeight="1" x14ac:dyDescent="0.3">
      <c r="A340" s="27">
        <v>337</v>
      </c>
      <c r="B340" s="28">
        <v>2025</v>
      </c>
      <c r="C340" s="29" t="s">
        <v>961</v>
      </c>
      <c r="D340" s="30" t="s">
        <v>1092</v>
      </c>
      <c r="E340" s="29">
        <v>29188458</v>
      </c>
      <c r="F340" s="29">
        <v>1103654</v>
      </c>
      <c r="G340" s="30" t="s">
        <v>1252</v>
      </c>
      <c r="H340" s="29">
        <v>587</v>
      </c>
      <c r="I340" s="29">
        <v>1</v>
      </c>
      <c r="J340" s="29"/>
      <c r="K340" s="30"/>
      <c r="L340" s="29" t="s">
        <v>72</v>
      </c>
      <c r="M340" s="31">
        <v>5436</v>
      </c>
      <c r="N340" s="31">
        <v>1359</v>
      </c>
      <c r="O340" s="31">
        <v>6795</v>
      </c>
      <c r="P340" s="31">
        <f>VLOOKUP(F340,'[3]1ª PARCELA'!$E$5:$H$889,4,FALSE)</f>
        <v>6795</v>
      </c>
      <c r="Q340" s="31" t="b">
        <f t="shared" si="5"/>
        <v>1</v>
      </c>
      <c r="R340" s="32">
        <v>45793</v>
      </c>
      <c r="S340" s="29">
        <v>9173</v>
      </c>
      <c r="T340" s="29" t="s">
        <v>1253</v>
      </c>
      <c r="U340" s="33" t="s">
        <v>1254</v>
      </c>
    </row>
    <row r="341" spans="1:21" ht="28.5" customHeight="1" x14ac:dyDescent="0.3">
      <c r="A341" s="27">
        <v>338</v>
      </c>
      <c r="B341" s="28">
        <v>2025</v>
      </c>
      <c r="C341" s="29" t="s">
        <v>961</v>
      </c>
      <c r="D341" s="30" t="s">
        <v>1092</v>
      </c>
      <c r="E341" s="29">
        <v>29188695</v>
      </c>
      <c r="F341" s="29">
        <v>1103492</v>
      </c>
      <c r="G341" s="30" t="s">
        <v>1255</v>
      </c>
      <c r="H341" s="29">
        <v>724</v>
      </c>
      <c r="I341" s="29">
        <v>1</v>
      </c>
      <c r="J341" s="29"/>
      <c r="K341" s="30"/>
      <c r="L341" s="29" t="s">
        <v>72</v>
      </c>
      <c r="M341" s="31">
        <v>7010.5</v>
      </c>
      <c r="N341" s="31">
        <v>3004.5</v>
      </c>
      <c r="O341" s="31">
        <v>10015</v>
      </c>
      <c r="P341" s="31">
        <f>VLOOKUP(F341,'[3]1ª PARCELA'!$E$5:$H$889,4,FALSE)</f>
        <v>10015</v>
      </c>
      <c r="Q341" s="31" t="b">
        <f t="shared" si="5"/>
        <v>1</v>
      </c>
      <c r="R341" s="32">
        <v>45833</v>
      </c>
      <c r="S341" s="29">
        <v>13120</v>
      </c>
      <c r="T341" s="29" t="s">
        <v>1256</v>
      </c>
      <c r="U341" s="33" t="s">
        <v>1257</v>
      </c>
    </row>
    <row r="342" spans="1:21" ht="28.5" customHeight="1" x14ac:dyDescent="0.3">
      <c r="A342" s="27">
        <v>339</v>
      </c>
      <c r="B342" s="28">
        <v>2025</v>
      </c>
      <c r="C342" s="29" t="s">
        <v>961</v>
      </c>
      <c r="D342" s="30" t="s">
        <v>1092</v>
      </c>
      <c r="E342" s="29">
        <v>29188768</v>
      </c>
      <c r="F342" s="29">
        <v>1102364</v>
      </c>
      <c r="G342" s="30" t="s">
        <v>1258</v>
      </c>
      <c r="H342" s="29">
        <v>526</v>
      </c>
      <c r="I342" s="29">
        <v>1</v>
      </c>
      <c r="J342" s="29"/>
      <c r="K342" s="30"/>
      <c r="L342" s="29" t="s">
        <v>72</v>
      </c>
      <c r="M342" s="31">
        <v>4948</v>
      </c>
      <c r="N342" s="31">
        <v>1237</v>
      </c>
      <c r="O342" s="31">
        <v>6185</v>
      </c>
      <c r="P342" s="31">
        <f>VLOOKUP(F342,'[3]1ª PARCELA'!$E$5:$H$889,4,FALSE)</f>
        <v>6185</v>
      </c>
      <c r="Q342" s="31" t="b">
        <f t="shared" si="5"/>
        <v>1</v>
      </c>
      <c r="R342" s="32">
        <v>45833</v>
      </c>
      <c r="S342" s="29">
        <v>13120</v>
      </c>
      <c r="T342" s="29" t="s">
        <v>1259</v>
      </c>
      <c r="U342" s="33" t="s">
        <v>1260</v>
      </c>
    </row>
    <row r="343" spans="1:21" ht="28.5" customHeight="1" x14ac:dyDescent="0.3">
      <c r="A343" s="27">
        <v>340</v>
      </c>
      <c r="B343" s="28">
        <v>2025</v>
      </c>
      <c r="C343" s="29" t="s">
        <v>961</v>
      </c>
      <c r="D343" s="30" t="s">
        <v>1092</v>
      </c>
      <c r="E343" s="29">
        <v>29188784</v>
      </c>
      <c r="F343" s="29">
        <v>1102909</v>
      </c>
      <c r="G343" s="30" t="s">
        <v>1261</v>
      </c>
      <c r="H343" s="29">
        <v>247</v>
      </c>
      <c r="I343" s="29">
        <v>1</v>
      </c>
      <c r="J343" s="29"/>
      <c r="K343" s="30"/>
      <c r="L343" s="29" t="s">
        <v>72</v>
      </c>
      <c r="M343" s="31">
        <v>2037</v>
      </c>
      <c r="N343" s="31">
        <v>1358</v>
      </c>
      <c r="O343" s="31">
        <v>3395</v>
      </c>
      <c r="P343" s="31">
        <f>VLOOKUP(F343,'[3]1ª PARCELA'!$E$5:$H$889,4,FALSE)</f>
        <v>3395</v>
      </c>
      <c r="Q343" s="31" t="b">
        <f t="shared" si="5"/>
        <v>1</v>
      </c>
      <c r="R343" s="32">
        <v>45867</v>
      </c>
      <c r="S343" s="29">
        <v>16705</v>
      </c>
      <c r="T343" s="29" t="s">
        <v>1262</v>
      </c>
      <c r="U343" s="33" t="s">
        <v>1263</v>
      </c>
    </row>
    <row r="344" spans="1:21" ht="28.5" customHeight="1" x14ac:dyDescent="0.3">
      <c r="A344" s="27">
        <v>341</v>
      </c>
      <c r="B344" s="28">
        <v>2025</v>
      </c>
      <c r="C344" s="29" t="s">
        <v>961</v>
      </c>
      <c r="D344" s="30" t="s">
        <v>1092</v>
      </c>
      <c r="E344" s="29">
        <v>29188792</v>
      </c>
      <c r="F344" s="29">
        <v>1102372</v>
      </c>
      <c r="G344" s="30" t="s">
        <v>1264</v>
      </c>
      <c r="H344" s="29">
        <v>1164</v>
      </c>
      <c r="I344" s="29">
        <v>1</v>
      </c>
      <c r="J344" s="29"/>
      <c r="K344" s="30"/>
      <c r="L344" s="29" t="s">
        <v>72</v>
      </c>
      <c r="M344" s="31">
        <v>10052</v>
      </c>
      <c r="N344" s="31">
        <v>2513</v>
      </c>
      <c r="O344" s="31">
        <v>12565</v>
      </c>
      <c r="P344" s="31">
        <f>VLOOKUP(F344,'[3]1ª PARCELA'!$E$5:$H$889,4,FALSE)</f>
        <v>12565</v>
      </c>
      <c r="Q344" s="31" t="b">
        <f t="shared" si="5"/>
        <v>1</v>
      </c>
      <c r="R344" s="32">
        <v>45926</v>
      </c>
      <c r="S344" s="29">
        <v>24529</v>
      </c>
      <c r="T344" s="29" t="s">
        <v>1265</v>
      </c>
      <c r="U344" s="33" t="s">
        <v>1266</v>
      </c>
    </row>
    <row r="345" spans="1:21" ht="28.5" customHeight="1" x14ac:dyDescent="0.3">
      <c r="A345" s="27">
        <v>342</v>
      </c>
      <c r="B345" s="28">
        <v>2025</v>
      </c>
      <c r="C345" s="29" t="s">
        <v>961</v>
      </c>
      <c r="D345" s="30" t="s">
        <v>1092</v>
      </c>
      <c r="E345" s="29">
        <v>29188903</v>
      </c>
      <c r="F345" s="29">
        <v>1100167</v>
      </c>
      <c r="G345" s="30" t="s">
        <v>1267</v>
      </c>
      <c r="H345" s="29">
        <v>349</v>
      </c>
      <c r="I345" s="29">
        <v>1</v>
      </c>
      <c r="J345" s="29"/>
      <c r="K345" s="30"/>
      <c r="L345" s="29" t="s">
        <v>72</v>
      </c>
      <c r="M345" s="31">
        <v>3532</v>
      </c>
      <c r="N345" s="31">
        <v>883</v>
      </c>
      <c r="O345" s="31">
        <v>4415</v>
      </c>
      <c r="P345" s="31">
        <f>VLOOKUP(F345,'[3]1ª PARCELA'!$E$5:$H$889,4,FALSE)</f>
        <v>4415</v>
      </c>
      <c r="Q345" s="31" t="b">
        <f t="shared" si="5"/>
        <v>1</v>
      </c>
      <c r="R345" s="32">
        <v>45793</v>
      </c>
      <c r="S345" s="29">
        <v>9173</v>
      </c>
      <c r="T345" s="29" t="s">
        <v>1268</v>
      </c>
      <c r="U345" s="33" t="s">
        <v>1269</v>
      </c>
    </row>
    <row r="346" spans="1:21" ht="28.5" customHeight="1" x14ac:dyDescent="0.3">
      <c r="A346" s="27">
        <v>343</v>
      </c>
      <c r="B346" s="28">
        <v>2025</v>
      </c>
      <c r="C346" s="29" t="s">
        <v>961</v>
      </c>
      <c r="D346" s="30" t="s">
        <v>1092</v>
      </c>
      <c r="E346" s="29">
        <v>29189012</v>
      </c>
      <c r="F346" s="29">
        <v>1100337</v>
      </c>
      <c r="G346" s="30" t="s">
        <v>1270</v>
      </c>
      <c r="H346" s="29">
        <v>709</v>
      </c>
      <c r="I346" s="29">
        <v>1</v>
      </c>
      <c r="J346" s="29"/>
      <c r="K346" s="30"/>
      <c r="L346" s="29" t="s">
        <v>72</v>
      </c>
      <c r="M346" s="31">
        <v>4809</v>
      </c>
      <c r="N346" s="31">
        <v>3206</v>
      </c>
      <c r="O346" s="31">
        <v>8015</v>
      </c>
      <c r="P346" s="31">
        <f>VLOOKUP(F346,'[3]1ª PARCELA'!$E$5:$H$889,4,FALSE)</f>
        <v>8015</v>
      </c>
      <c r="Q346" s="31" t="b">
        <f t="shared" si="5"/>
        <v>1</v>
      </c>
      <c r="R346" s="32">
        <v>45967</v>
      </c>
      <c r="S346" s="29">
        <v>29630</v>
      </c>
      <c r="T346" s="29" t="s">
        <v>1271</v>
      </c>
      <c r="U346" s="33" t="s">
        <v>1272</v>
      </c>
    </row>
    <row r="347" spans="1:21" ht="28.5" customHeight="1" x14ac:dyDescent="0.3">
      <c r="A347" s="27">
        <v>344</v>
      </c>
      <c r="B347" s="28">
        <v>2025</v>
      </c>
      <c r="C347" s="29" t="s">
        <v>961</v>
      </c>
      <c r="D347" s="30" t="s">
        <v>1092</v>
      </c>
      <c r="E347" s="29">
        <v>29189047</v>
      </c>
      <c r="F347" s="29">
        <v>1100221</v>
      </c>
      <c r="G347" s="30" t="s">
        <v>1273</v>
      </c>
      <c r="H347" s="29">
        <v>588</v>
      </c>
      <c r="I347" s="29">
        <v>1</v>
      </c>
      <c r="J347" s="29"/>
      <c r="K347" s="30"/>
      <c r="L347" s="29" t="s">
        <v>72</v>
      </c>
      <c r="M347" s="31">
        <v>4083</v>
      </c>
      <c r="N347" s="31">
        <v>2722</v>
      </c>
      <c r="O347" s="31">
        <v>6805</v>
      </c>
      <c r="P347" s="31">
        <f>VLOOKUP(F347,'[3]1ª PARCELA'!$E$5:$H$889,4,FALSE)</f>
        <v>6805</v>
      </c>
      <c r="Q347" s="31" t="b">
        <f t="shared" si="5"/>
        <v>1</v>
      </c>
      <c r="R347" s="32">
        <v>45805</v>
      </c>
      <c r="S347" s="29">
        <v>9678</v>
      </c>
      <c r="T347" s="29" t="s">
        <v>1274</v>
      </c>
      <c r="U347" s="33" t="s">
        <v>1275</v>
      </c>
    </row>
    <row r="348" spans="1:21" ht="28.5" customHeight="1" x14ac:dyDescent="0.3">
      <c r="A348" s="27">
        <v>345</v>
      </c>
      <c r="B348" s="28">
        <v>2025</v>
      </c>
      <c r="C348" s="29" t="s">
        <v>961</v>
      </c>
      <c r="D348" s="30" t="s">
        <v>1092</v>
      </c>
      <c r="E348" s="29">
        <v>29189080</v>
      </c>
      <c r="F348" s="29">
        <v>1100418</v>
      </c>
      <c r="G348" s="30" t="s">
        <v>1276</v>
      </c>
      <c r="H348" s="29">
        <v>279</v>
      </c>
      <c r="I348" s="29">
        <v>1</v>
      </c>
      <c r="J348" s="29"/>
      <c r="K348" s="30"/>
      <c r="L348" s="29" t="s">
        <v>72</v>
      </c>
      <c r="M348" s="31">
        <v>2229</v>
      </c>
      <c r="N348" s="31">
        <v>1486</v>
      </c>
      <c r="O348" s="31">
        <v>3715</v>
      </c>
      <c r="P348" s="31">
        <f>VLOOKUP(F348,'[3]1ª PARCELA'!$E$5:$H$889,4,FALSE)</f>
        <v>3715</v>
      </c>
      <c r="Q348" s="31" t="b">
        <f t="shared" si="5"/>
        <v>1</v>
      </c>
      <c r="R348" s="32">
        <v>45954</v>
      </c>
      <c r="S348" s="29">
        <v>28607</v>
      </c>
      <c r="T348" s="29" t="s">
        <v>1277</v>
      </c>
      <c r="U348" s="33" t="s">
        <v>1278</v>
      </c>
    </row>
    <row r="349" spans="1:21" ht="28.5" customHeight="1" x14ac:dyDescent="0.3">
      <c r="A349" s="27">
        <v>346</v>
      </c>
      <c r="B349" s="28">
        <v>2025</v>
      </c>
      <c r="C349" s="29" t="s">
        <v>961</v>
      </c>
      <c r="D349" s="30" t="s">
        <v>1092</v>
      </c>
      <c r="E349" s="29">
        <v>29189241</v>
      </c>
      <c r="F349" s="29">
        <v>1100540</v>
      </c>
      <c r="G349" s="30" t="s">
        <v>1279</v>
      </c>
      <c r="H349" s="29">
        <v>574</v>
      </c>
      <c r="I349" s="29">
        <v>1</v>
      </c>
      <c r="J349" s="29"/>
      <c r="K349" s="30"/>
      <c r="L349" s="29" t="s">
        <v>72</v>
      </c>
      <c r="M349" s="31">
        <v>4665.5</v>
      </c>
      <c r="N349" s="31">
        <v>1999.5</v>
      </c>
      <c r="O349" s="31">
        <v>6665</v>
      </c>
      <c r="P349" s="31">
        <f>VLOOKUP(F349,'[3]1ª PARCELA'!$E$5:$H$889,4,FALSE)</f>
        <v>6665</v>
      </c>
      <c r="Q349" s="31" t="b">
        <f t="shared" si="5"/>
        <v>1</v>
      </c>
      <c r="R349" s="32">
        <v>45926</v>
      </c>
      <c r="S349" s="29">
        <v>24529</v>
      </c>
      <c r="T349" s="29" t="s">
        <v>1280</v>
      </c>
      <c r="U349" s="33" t="s">
        <v>1281</v>
      </c>
    </row>
    <row r="350" spans="1:21" ht="28.5" customHeight="1" x14ac:dyDescent="0.3">
      <c r="A350" s="27">
        <v>347</v>
      </c>
      <c r="B350" s="28">
        <v>2025</v>
      </c>
      <c r="C350" s="29" t="s">
        <v>961</v>
      </c>
      <c r="D350" s="30" t="s">
        <v>1092</v>
      </c>
      <c r="E350" s="29">
        <v>29189454</v>
      </c>
      <c r="F350" s="29">
        <v>1100388</v>
      </c>
      <c r="G350" s="30" t="s">
        <v>1282</v>
      </c>
      <c r="H350" s="29">
        <v>728</v>
      </c>
      <c r="I350" s="29">
        <v>1</v>
      </c>
      <c r="J350" s="29"/>
      <c r="K350" s="30"/>
      <c r="L350" s="29" t="s">
        <v>72</v>
      </c>
      <c r="M350" s="31">
        <v>6564</v>
      </c>
      <c r="N350" s="31">
        <v>1641</v>
      </c>
      <c r="O350" s="31">
        <v>8205</v>
      </c>
      <c r="P350" s="31">
        <f>VLOOKUP(F350,'[3]1ª PARCELA'!$E$5:$H$889,4,FALSE)</f>
        <v>8205</v>
      </c>
      <c r="Q350" s="31" t="b">
        <f t="shared" si="5"/>
        <v>1</v>
      </c>
      <c r="R350" s="32">
        <v>45926</v>
      </c>
      <c r="S350" s="29">
        <v>24529</v>
      </c>
      <c r="T350" s="29" t="s">
        <v>1283</v>
      </c>
      <c r="U350" s="33" t="s">
        <v>1284</v>
      </c>
    </row>
    <row r="351" spans="1:21" ht="28.5" customHeight="1" x14ac:dyDescent="0.3">
      <c r="A351" s="27">
        <v>348</v>
      </c>
      <c r="B351" s="28">
        <v>2025</v>
      </c>
      <c r="C351" s="29" t="s">
        <v>961</v>
      </c>
      <c r="D351" s="30" t="s">
        <v>1092</v>
      </c>
      <c r="E351" s="29">
        <v>29189950</v>
      </c>
      <c r="F351" s="29">
        <v>1101546</v>
      </c>
      <c r="G351" s="30" t="s">
        <v>1285</v>
      </c>
      <c r="H351" s="29">
        <v>346</v>
      </c>
      <c r="I351" s="29">
        <v>1</v>
      </c>
      <c r="J351" s="29"/>
      <c r="K351" s="30"/>
      <c r="L351" s="29" t="s">
        <v>72</v>
      </c>
      <c r="M351" s="31">
        <v>3508</v>
      </c>
      <c r="N351" s="31">
        <v>877</v>
      </c>
      <c r="O351" s="31">
        <v>4385</v>
      </c>
      <c r="P351" s="31">
        <f>VLOOKUP(F351,'[3]1ª PARCELA'!$E$5:$H$889,4,FALSE)</f>
        <v>4385</v>
      </c>
      <c r="Q351" s="31" t="b">
        <f t="shared" si="5"/>
        <v>1</v>
      </c>
      <c r="R351" s="32">
        <v>45967</v>
      </c>
      <c r="S351" s="29">
        <v>29630</v>
      </c>
      <c r="T351" s="29" t="s">
        <v>1286</v>
      </c>
      <c r="U351" s="33" t="s">
        <v>1287</v>
      </c>
    </row>
    <row r="352" spans="1:21" ht="28.5" customHeight="1" x14ac:dyDescent="0.3">
      <c r="A352" s="27">
        <v>349</v>
      </c>
      <c r="B352" s="28">
        <v>2025</v>
      </c>
      <c r="C352" s="29" t="s">
        <v>961</v>
      </c>
      <c r="D352" s="30" t="s">
        <v>1092</v>
      </c>
      <c r="E352" s="29">
        <v>29190363</v>
      </c>
      <c r="F352" s="29">
        <v>1104260</v>
      </c>
      <c r="G352" s="30" t="s">
        <v>1288</v>
      </c>
      <c r="H352" s="29">
        <v>382</v>
      </c>
      <c r="I352" s="29">
        <v>1</v>
      </c>
      <c r="J352" s="29"/>
      <c r="K352" s="30"/>
      <c r="L352" s="29" t="s">
        <v>72</v>
      </c>
      <c r="M352" s="31">
        <v>3796</v>
      </c>
      <c r="N352" s="31">
        <v>949</v>
      </c>
      <c r="O352" s="31">
        <v>4745</v>
      </c>
      <c r="P352" s="31">
        <f>VLOOKUP(F352,'[3]1ª PARCELA'!$E$5:$H$889,4,FALSE)</f>
        <v>4745</v>
      </c>
      <c r="Q352" s="31" t="b">
        <f t="shared" si="5"/>
        <v>1</v>
      </c>
      <c r="R352" s="32">
        <v>45833</v>
      </c>
      <c r="S352" s="29">
        <v>13120</v>
      </c>
      <c r="T352" s="29" t="s">
        <v>1289</v>
      </c>
      <c r="U352" s="33" t="s">
        <v>1290</v>
      </c>
    </row>
    <row r="353" spans="1:21" ht="28.5" customHeight="1" x14ac:dyDescent="0.3">
      <c r="A353" s="27">
        <v>350</v>
      </c>
      <c r="B353" s="28">
        <v>2025</v>
      </c>
      <c r="C353" s="29" t="s">
        <v>961</v>
      </c>
      <c r="D353" s="30" t="s">
        <v>1092</v>
      </c>
      <c r="E353" s="29">
        <v>29190720</v>
      </c>
      <c r="F353" s="29">
        <v>1100493</v>
      </c>
      <c r="G353" s="30" t="s">
        <v>1291</v>
      </c>
      <c r="H353" s="29">
        <v>704</v>
      </c>
      <c r="I353" s="29">
        <v>1</v>
      </c>
      <c r="J353" s="29"/>
      <c r="K353" s="30"/>
      <c r="L353" s="29" t="s">
        <v>72</v>
      </c>
      <c r="M353" s="31">
        <v>6372</v>
      </c>
      <c r="N353" s="31">
        <v>1593</v>
      </c>
      <c r="O353" s="31">
        <v>7965</v>
      </c>
      <c r="P353" s="31">
        <f>VLOOKUP(F353,'[3]1ª PARCELA'!$E$5:$H$889,4,FALSE)</f>
        <v>7965</v>
      </c>
      <c r="Q353" s="31" t="b">
        <f t="shared" si="5"/>
        <v>1</v>
      </c>
      <c r="R353" s="32">
        <v>45895</v>
      </c>
      <c r="S353" s="29">
        <v>19863</v>
      </c>
      <c r="T353" s="29" t="s">
        <v>1292</v>
      </c>
      <c r="U353" s="33" t="s">
        <v>1293</v>
      </c>
    </row>
    <row r="354" spans="1:21" ht="28.5" customHeight="1" x14ac:dyDescent="0.3">
      <c r="A354" s="27">
        <v>351</v>
      </c>
      <c r="B354" s="28">
        <v>2025</v>
      </c>
      <c r="C354" s="29" t="s">
        <v>961</v>
      </c>
      <c r="D354" s="30" t="s">
        <v>1092</v>
      </c>
      <c r="E354" s="29">
        <v>29190738</v>
      </c>
      <c r="F354" s="29">
        <v>1100523</v>
      </c>
      <c r="G354" s="30" t="s">
        <v>1294</v>
      </c>
      <c r="H354" s="29">
        <v>380</v>
      </c>
      <c r="I354" s="29">
        <v>1</v>
      </c>
      <c r="J354" s="29"/>
      <c r="K354" s="30"/>
      <c r="L354" s="29" t="s">
        <v>72</v>
      </c>
      <c r="M354" s="31">
        <v>3780</v>
      </c>
      <c r="N354" s="31">
        <v>945</v>
      </c>
      <c r="O354" s="31">
        <v>4725</v>
      </c>
      <c r="P354" s="31">
        <f>VLOOKUP(F354,'[3]1ª PARCELA'!$E$5:$H$889,4,FALSE)</f>
        <v>4725</v>
      </c>
      <c r="Q354" s="31" t="b">
        <f t="shared" si="5"/>
        <v>1</v>
      </c>
      <c r="R354" s="32">
        <v>45793</v>
      </c>
      <c r="S354" s="29">
        <v>9173</v>
      </c>
      <c r="T354" s="29" t="s">
        <v>1295</v>
      </c>
      <c r="U354" s="33" t="s">
        <v>1296</v>
      </c>
    </row>
    <row r="355" spans="1:21" ht="28.5" customHeight="1" x14ac:dyDescent="0.3">
      <c r="A355" s="27">
        <v>352</v>
      </c>
      <c r="B355" s="28">
        <v>2025</v>
      </c>
      <c r="C355" s="29" t="s">
        <v>961</v>
      </c>
      <c r="D355" s="30" t="s">
        <v>1092</v>
      </c>
      <c r="E355" s="29">
        <v>29190754</v>
      </c>
      <c r="F355" s="29">
        <v>1102160</v>
      </c>
      <c r="G355" s="30" t="s">
        <v>1297</v>
      </c>
      <c r="H355" s="29">
        <v>1009</v>
      </c>
      <c r="I355" s="29">
        <v>1</v>
      </c>
      <c r="J355" s="29"/>
      <c r="K355" s="30"/>
      <c r="L355" s="29" t="s">
        <v>72</v>
      </c>
      <c r="M355" s="31">
        <v>8812</v>
      </c>
      <c r="N355" s="31">
        <v>2203</v>
      </c>
      <c r="O355" s="31">
        <v>11015</v>
      </c>
      <c r="P355" s="31">
        <f>VLOOKUP(F355,'[3]1ª PARCELA'!$E$5:$H$889,4,FALSE)</f>
        <v>11015</v>
      </c>
      <c r="Q355" s="31" t="b">
        <f t="shared" si="5"/>
        <v>1</v>
      </c>
      <c r="R355" s="32">
        <v>45945</v>
      </c>
      <c r="S355" s="29">
        <v>27117</v>
      </c>
      <c r="T355" s="29" t="s">
        <v>1298</v>
      </c>
      <c r="U355" s="33" t="s">
        <v>1299</v>
      </c>
    </row>
    <row r="356" spans="1:21" ht="28.5" customHeight="1" x14ac:dyDescent="0.3">
      <c r="A356" s="27">
        <v>353</v>
      </c>
      <c r="B356" s="28">
        <v>2025</v>
      </c>
      <c r="C356" s="29" t="s">
        <v>961</v>
      </c>
      <c r="D356" s="30" t="s">
        <v>1092</v>
      </c>
      <c r="E356" s="29">
        <v>29190770</v>
      </c>
      <c r="F356" s="29">
        <v>1101651</v>
      </c>
      <c r="G356" s="30" t="s">
        <v>1300</v>
      </c>
      <c r="H356" s="29">
        <v>940</v>
      </c>
      <c r="I356" s="29">
        <v>1</v>
      </c>
      <c r="J356" s="29"/>
      <c r="K356" s="30"/>
      <c r="L356" s="29" t="s">
        <v>72</v>
      </c>
      <c r="M356" s="31">
        <v>7227.5</v>
      </c>
      <c r="N356" s="31">
        <v>3097.5</v>
      </c>
      <c r="O356" s="31">
        <v>10325</v>
      </c>
      <c r="P356" s="31">
        <f>VLOOKUP(F356,'[3]1ª PARCELA'!$E$5:$H$889,4,FALSE)</f>
        <v>10325</v>
      </c>
      <c r="Q356" s="31" t="b">
        <f t="shared" si="5"/>
        <v>1</v>
      </c>
      <c r="R356" s="32">
        <v>45793</v>
      </c>
      <c r="S356" s="29">
        <v>9173</v>
      </c>
      <c r="T356" s="29" t="s">
        <v>1301</v>
      </c>
      <c r="U356" s="33" t="s">
        <v>1302</v>
      </c>
    </row>
    <row r="357" spans="1:21" ht="28.5" customHeight="1" x14ac:dyDescent="0.3">
      <c r="A357" s="27">
        <v>354</v>
      </c>
      <c r="B357" s="28">
        <v>2025</v>
      </c>
      <c r="C357" s="29" t="s">
        <v>961</v>
      </c>
      <c r="D357" s="30" t="s">
        <v>1092</v>
      </c>
      <c r="E357" s="29">
        <v>29190835</v>
      </c>
      <c r="F357" s="29">
        <v>1101074</v>
      </c>
      <c r="G357" s="30" t="s">
        <v>1303</v>
      </c>
      <c r="H357" s="29">
        <v>861</v>
      </c>
      <c r="I357" s="29">
        <v>1</v>
      </c>
      <c r="J357" s="29"/>
      <c r="K357" s="30"/>
      <c r="L357" s="29" t="s">
        <v>72</v>
      </c>
      <c r="M357" s="31">
        <v>7628</v>
      </c>
      <c r="N357" s="31">
        <v>1907</v>
      </c>
      <c r="O357" s="31">
        <v>9535</v>
      </c>
      <c r="P357" s="31">
        <f>VLOOKUP(F357,'[3]1ª PARCELA'!$E$5:$H$889,4,FALSE)</f>
        <v>9535</v>
      </c>
      <c r="Q357" s="31" t="b">
        <f t="shared" si="5"/>
        <v>1</v>
      </c>
      <c r="R357" s="32">
        <v>45805</v>
      </c>
      <c r="S357" s="29">
        <v>9678</v>
      </c>
      <c r="T357" s="29" t="s">
        <v>1304</v>
      </c>
      <c r="U357" s="33" t="s">
        <v>1305</v>
      </c>
    </row>
    <row r="358" spans="1:21" ht="28.5" customHeight="1" x14ac:dyDescent="0.3">
      <c r="A358" s="27">
        <v>355</v>
      </c>
      <c r="B358" s="28">
        <v>2025</v>
      </c>
      <c r="C358" s="29" t="s">
        <v>961</v>
      </c>
      <c r="D358" s="30" t="s">
        <v>1092</v>
      </c>
      <c r="E358" s="29">
        <v>29190851</v>
      </c>
      <c r="F358" s="29">
        <v>1101937</v>
      </c>
      <c r="G358" s="30" t="s">
        <v>1306</v>
      </c>
      <c r="H358" s="29">
        <v>312</v>
      </c>
      <c r="I358" s="29">
        <v>1</v>
      </c>
      <c r="J358" s="29"/>
      <c r="K358" s="30"/>
      <c r="L358" s="29" t="s">
        <v>72</v>
      </c>
      <c r="M358" s="31">
        <v>3236</v>
      </c>
      <c r="N358" s="31">
        <v>809</v>
      </c>
      <c r="O358" s="31">
        <v>4045</v>
      </c>
      <c r="P358" s="31">
        <f>VLOOKUP(F358,'[3]1ª PARCELA'!$E$5:$H$889,4,FALSE)</f>
        <v>4045</v>
      </c>
      <c r="Q358" s="31" t="b">
        <f t="shared" si="5"/>
        <v>1</v>
      </c>
      <c r="R358" s="32">
        <v>45895</v>
      </c>
      <c r="S358" s="29">
        <v>19863</v>
      </c>
      <c r="T358" s="29" t="s">
        <v>1307</v>
      </c>
      <c r="U358" s="33" t="s">
        <v>1308</v>
      </c>
    </row>
    <row r="359" spans="1:21" ht="28.5" customHeight="1" x14ac:dyDescent="0.3">
      <c r="A359" s="27">
        <v>356</v>
      </c>
      <c r="B359" s="28">
        <v>2025</v>
      </c>
      <c r="C359" s="29" t="s">
        <v>961</v>
      </c>
      <c r="D359" s="30" t="s">
        <v>1092</v>
      </c>
      <c r="E359" s="29">
        <v>29190878</v>
      </c>
      <c r="F359" s="29">
        <v>1102097</v>
      </c>
      <c r="G359" s="30" t="s">
        <v>1309</v>
      </c>
      <c r="H359" s="29">
        <v>1266</v>
      </c>
      <c r="I359" s="29">
        <v>1</v>
      </c>
      <c r="J359" s="29"/>
      <c r="K359" s="30"/>
      <c r="L359" s="29" t="s">
        <v>72</v>
      </c>
      <c r="M359" s="31">
        <v>9509.5</v>
      </c>
      <c r="N359" s="31">
        <v>4075.5</v>
      </c>
      <c r="O359" s="31">
        <v>13585</v>
      </c>
      <c r="P359" s="31">
        <f>VLOOKUP(F359,'[3]1ª PARCELA'!$E$5:$H$889,4,FALSE)</f>
        <v>13585</v>
      </c>
      <c r="Q359" s="31" t="b">
        <f t="shared" si="5"/>
        <v>1</v>
      </c>
      <c r="R359" s="32">
        <v>45967</v>
      </c>
      <c r="S359" s="29">
        <v>29630</v>
      </c>
      <c r="T359" s="29" t="s">
        <v>1310</v>
      </c>
      <c r="U359" s="33" t="s">
        <v>1311</v>
      </c>
    </row>
    <row r="360" spans="1:21" ht="28.5" customHeight="1" x14ac:dyDescent="0.3">
      <c r="A360" s="27">
        <v>357</v>
      </c>
      <c r="B360" s="28">
        <v>2025</v>
      </c>
      <c r="C360" s="29" t="s">
        <v>961</v>
      </c>
      <c r="D360" s="30" t="s">
        <v>1092</v>
      </c>
      <c r="E360" s="29">
        <v>29190894</v>
      </c>
      <c r="F360" s="29">
        <v>1103816</v>
      </c>
      <c r="G360" s="30" t="s">
        <v>1312</v>
      </c>
      <c r="H360" s="29">
        <v>859</v>
      </c>
      <c r="I360" s="29">
        <v>1</v>
      </c>
      <c r="J360" s="29"/>
      <c r="K360" s="30"/>
      <c r="L360" s="29" t="s">
        <v>72</v>
      </c>
      <c r="M360" s="31">
        <v>7612</v>
      </c>
      <c r="N360" s="31">
        <v>1903</v>
      </c>
      <c r="O360" s="31">
        <v>9515</v>
      </c>
      <c r="P360" s="31">
        <f>VLOOKUP(F360,'[3]1ª PARCELA'!$E$5:$H$889,4,FALSE)</f>
        <v>9515</v>
      </c>
      <c r="Q360" s="31" t="b">
        <f t="shared" si="5"/>
        <v>1</v>
      </c>
      <c r="R360" s="32">
        <v>45926</v>
      </c>
      <c r="S360" s="29">
        <v>24529</v>
      </c>
      <c r="T360" s="29" t="s">
        <v>1313</v>
      </c>
      <c r="U360" s="33" t="s">
        <v>1314</v>
      </c>
    </row>
    <row r="361" spans="1:21" ht="28.5" customHeight="1" x14ac:dyDescent="0.3">
      <c r="A361" s="27">
        <v>358</v>
      </c>
      <c r="B361" s="28">
        <v>2025</v>
      </c>
      <c r="C361" s="29" t="s">
        <v>961</v>
      </c>
      <c r="D361" s="30" t="s">
        <v>1092</v>
      </c>
      <c r="E361" s="29">
        <v>29190908</v>
      </c>
      <c r="F361" s="29">
        <v>1102542</v>
      </c>
      <c r="G361" s="30" t="s">
        <v>1315</v>
      </c>
      <c r="H361" s="29">
        <v>524</v>
      </c>
      <c r="I361" s="29">
        <v>1</v>
      </c>
      <c r="J361" s="29"/>
      <c r="K361" s="30"/>
      <c r="L361" s="29" t="s">
        <v>72</v>
      </c>
      <c r="M361" s="31">
        <v>4932</v>
      </c>
      <c r="N361" s="31">
        <v>1233</v>
      </c>
      <c r="O361" s="31">
        <v>6165</v>
      </c>
      <c r="P361" s="31">
        <f>VLOOKUP(F361,'[3]1ª PARCELA'!$E$5:$H$889,4,FALSE)</f>
        <v>6165</v>
      </c>
      <c r="Q361" s="31" t="b">
        <f t="shared" si="5"/>
        <v>1</v>
      </c>
      <c r="R361" s="32">
        <v>45833</v>
      </c>
      <c r="S361" s="29">
        <v>13120</v>
      </c>
      <c r="T361" s="29" t="s">
        <v>1316</v>
      </c>
      <c r="U361" s="33" t="s">
        <v>1317</v>
      </c>
    </row>
    <row r="362" spans="1:21" ht="28.5" customHeight="1" x14ac:dyDescent="0.3">
      <c r="A362" s="27">
        <v>359</v>
      </c>
      <c r="B362" s="28">
        <v>2025</v>
      </c>
      <c r="C362" s="29" t="s">
        <v>961</v>
      </c>
      <c r="D362" s="30" t="s">
        <v>1092</v>
      </c>
      <c r="E362" s="29">
        <v>29190916</v>
      </c>
      <c r="F362" s="29">
        <v>1100957</v>
      </c>
      <c r="G362" s="30" t="s">
        <v>1318</v>
      </c>
      <c r="H362" s="29">
        <v>507</v>
      </c>
      <c r="I362" s="29">
        <v>1</v>
      </c>
      <c r="J362" s="29"/>
      <c r="K362" s="30"/>
      <c r="L362" s="29" t="s">
        <v>72</v>
      </c>
      <c r="M362" s="31">
        <v>2997.5</v>
      </c>
      <c r="N362" s="31">
        <v>2997.5</v>
      </c>
      <c r="O362" s="31">
        <v>5995</v>
      </c>
      <c r="P362" s="31">
        <f>VLOOKUP(F362,'[3]1ª PARCELA'!$E$5:$H$889,4,FALSE)</f>
        <v>5995</v>
      </c>
      <c r="Q362" s="31" t="b">
        <f t="shared" si="5"/>
        <v>1</v>
      </c>
      <c r="R362" s="32">
        <v>45793</v>
      </c>
      <c r="S362" s="29">
        <v>9173</v>
      </c>
      <c r="T362" s="29" t="s">
        <v>1319</v>
      </c>
      <c r="U362" s="33" t="s">
        <v>1320</v>
      </c>
    </row>
    <row r="363" spans="1:21" ht="28.5" customHeight="1" x14ac:dyDescent="0.3">
      <c r="A363" s="27">
        <v>360</v>
      </c>
      <c r="B363" s="28">
        <v>2025</v>
      </c>
      <c r="C363" s="29" t="s">
        <v>961</v>
      </c>
      <c r="D363" s="30" t="s">
        <v>1092</v>
      </c>
      <c r="E363" s="29">
        <v>29190967</v>
      </c>
      <c r="F363" s="29">
        <v>1136498</v>
      </c>
      <c r="G363" s="30" t="s">
        <v>1321</v>
      </c>
      <c r="H363" s="29">
        <v>505</v>
      </c>
      <c r="I363" s="29">
        <v>1</v>
      </c>
      <c r="J363" s="29"/>
      <c r="K363" s="30"/>
      <c r="L363" s="29" t="s">
        <v>72</v>
      </c>
      <c r="M363" s="31">
        <v>5477.5</v>
      </c>
      <c r="N363" s="31">
        <v>2347.5</v>
      </c>
      <c r="O363" s="31">
        <v>7825</v>
      </c>
      <c r="P363" s="31">
        <f>VLOOKUP(F363,'[3]1ª PARCELA'!$E$5:$H$889,4,FALSE)</f>
        <v>7825</v>
      </c>
      <c r="Q363" s="31" t="b">
        <f t="shared" si="5"/>
        <v>1</v>
      </c>
      <c r="R363" s="32">
        <v>45967</v>
      </c>
      <c r="S363" s="29">
        <v>29630</v>
      </c>
      <c r="T363" s="29" t="s">
        <v>1322</v>
      </c>
      <c r="U363" s="33" t="s">
        <v>1323</v>
      </c>
    </row>
    <row r="364" spans="1:21" ht="28.5" customHeight="1" x14ac:dyDescent="0.3">
      <c r="A364" s="27">
        <v>361</v>
      </c>
      <c r="B364" s="28">
        <v>2025</v>
      </c>
      <c r="C364" s="29" t="s">
        <v>961</v>
      </c>
      <c r="D364" s="30" t="s">
        <v>1092</v>
      </c>
      <c r="E364" s="29">
        <v>29190991</v>
      </c>
      <c r="F364" s="29">
        <v>1101988</v>
      </c>
      <c r="G364" s="30" t="s">
        <v>1324</v>
      </c>
      <c r="H364" s="29">
        <v>483</v>
      </c>
      <c r="I364" s="29">
        <v>1</v>
      </c>
      <c r="J364" s="29"/>
      <c r="K364" s="30"/>
      <c r="L364" s="29" t="s">
        <v>72</v>
      </c>
      <c r="M364" s="31">
        <v>4604</v>
      </c>
      <c r="N364" s="31">
        <v>1151</v>
      </c>
      <c r="O364" s="31">
        <v>5755</v>
      </c>
      <c r="P364" s="31">
        <f>VLOOKUP(F364,'[3]1ª PARCELA'!$E$5:$H$889,4,FALSE)</f>
        <v>5755</v>
      </c>
      <c r="Q364" s="31" t="b">
        <f t="shared" si="5"/>
        <v>1</v>
      </c>
      <c r="R364" s="32">
        <v>45867</v>
      </c>
      <c r="S364" s="29">
        <v>16705</v>
      </c>
      <c r="T364" s="29" t="s">
        <v>1325</v>
      </c>
      <c r="U364" s="33" t="s">
        <v>1326</v>
      </c>
    </row>
    <row r="365" spans="1:21" ht="28.5" customHeight="1" x14ac:dyDescent="0.3">
      <c r="A365" s="27">
        <v>362</v>
      </c>
      <c r="B365" s="28">
        <v>2025</v>
      </c>
      <c r="C365" s="29" t="s">
        <v>961</v>
      </c>
      <c r="D365" s="30" t="s">
        <v>1092</v>
      </c>
      <c r="E365" s="29">
        <v>29191041</v>
      </c>
      <c r="F365" s="29">
        <v>1103565</v>
      </c>
      <c r="G365" s="30" t="s">
        <v>1327</v>
      </c>
      <c r="H365" s="29">
        <v>484</v>
      </c>
      <c r="I365" s="29">
        <v>1</v>
      </c>
      <c r="J365" s="29"/>
      <c r="K365" s="30"/>
      <c r="L365" s="29" t="s">
        <v>72</v>
      </c>
      <c r="M365" s="31">
        <v>4612</v>
      </c>
      <c r="N365" s="31">
        <v>1153</v>
      </c>
      <c r="O365" s="31">
        <v>5765</v>
      </c>
      <c r="P365" s="31">
        <f>VLOOKUP(F365,'[3]1ª PARCELA'!$E$5:$H$889,4,FALSE)</f>
        <v>5765</v>
      </c>
      <c r="Q365" s="31" t="b">
        <f t="shared" si="5"/>
        <v>1</v>
      </c>
      <c r="R365" s="32">
        <v>45895</v>
      </c>
      <c r="S365" s="29">
        <v>19863</v>
      </c>
      <c r="T365" s="29" t="s">
        <v>1328</v>
      </c>
      <c r="U365" s="33" t="s">
        <v>1329</v>
      </c>
    </row>
    <row r="366" spans="1:21" ht="28.5" customHeight="1" x14ac:dyDescent="0.3">
      <c r="A366" s="27">
        <v>363</v>
      </c>
      <c r="B366" s="28">
        <v>2025</v>
      </c>
      <c r="C366" s="29" t="s">
        <v>961</v>
      </c>
      <c r="D366" s="30" t="s">
        <v>1092</v>
      </c>
      <c r="E366" s="29">
        <v>29191084</v>
      </c>
      <c r="F366" s="29">
        <v>1102216</v>
      </c>
      <c r="G366" s="30" t="s">
        <v>1330</v>
      </c>
      <c r="H366" s="29">
        <v>317</v>
      </c>
      <c r="I366" s="29">
        <v>1</v>
      </c>
      <c r="J366" s="29"/>
      <c r="K366" s="30"/>
      <c r="L366" s="29" t="s">
        <v>72</v>
      </c>
      <c r="M366" s="31">
        <v>3276</v>
      </c>
      <c r="N366" s="31">
        <v>819</v>
      </c>
      <c r="O366" s="31">
        <v>4095</v>
      </c>
      <c r="P366" s="31">
        <f>VLOOKUP(F366,'[3]1ª PARCELA'!$E$5:$H$889,4,FALSE)</f>
        <v>4095</v>
      </c>
      <c r="Q366" s="31" t="b">
        <f t="shared" si="5"/>
        <v>1</v>
      </c>
      <c r="R366" s="32">
        <v>45926</v>
      </c>
      <c r="S366" s="29">
        <v>24529</v>
      </c>
      <c r="T366" s="29" t="s">
        <v>1331</v>
      </c>
      <c r="U366" s="33" t="s">
        <v>1332</v>
      </c>
    </row>
    <row r="367" spans="1:21" ht="28.5" customHeight="1" x14ac:dyDescent="0.3">
      <c r="A367" s="27">
        <v>364</v>
      </c>
      <c r="B367" s="28">
        <v>2025</v>
      </c>
      <c r="C367" s="29" t="s">
        <v>961</v>
      </c>
      <c r="D367" s="30" t="s">
        <v>1092</v>
      </c>
      <c r="E367" s="29">
        <v>29191106</v>
      </c>
      <c r="F367" s="29">
        <v>1101090</v>
      </c>
      <c r="G367" s="30" t="s">
        <v>1333</v>
      </c>
      <c r="H367" s="29">
        <v>316</v>
      </c>
      <c r="I367" s="29">
        <v>1</v>
      </c>
      <c r="J367" s="29"/>
      <c r="K367" s="30"/>
      <c r="L367" s="29" t="s">
        <v>72</v>
      </c>
      <c r="M367" s="31">
        <v>3268</v>
      </c>
      <c r="N367" s="31">
        <v>817</v>
      </c>
      <c r="O367" s="31">
        <v>4085</v>
      </c>
      <c r="P367" s="31">
        <f>VLOOKUP(F367,'[3]1ª PARCELA'!$E$5:$H$889,4,FALSE)</f>
        <v>4085</v>
      </c>
      <c r="Q367" s="31" t="b">
        <f t="shared" si="5"/>
        <v>1</v>
      </c>
      <c r="R367" s="32">
        <v>45806</v>
      </c>
      <c r="S367" s="29">
        <v>9851</v>
      </c>
      <c r="T367" s="29" t="s">
        <v>1334</v>
      </c>
      <c r="U367" s="33" t="s">
        <v>1335</v>
      </c>
    </row>
    <row r="368" spans="1:21" ht="28.5" customHeight="1" x14ac:dyDescent="0.3">
      <c r="A368" s="27">
        <v>365</v>
      </c>
      <c r="B368" s="28">
        <v>2025</v>
      </c>
      <c r="C368" s="29" t="s">
        <v>961</v>
      </c>
      <c r="D368" s="30" t="s">
        <v>1092</v>
      </c>
      <c r="E368" s="29">
        <v>29191114</v>
      </c>
      <c r="F368" s="29">
        <v>1103972</v>
      </c>
      <c r="G368" s="30" t="s">
        <v>1336</v>
      </c>
      <c r="H368" s="29">
        <v>1046</v>
      </c>
      <c r="I368" s="29">
        <v>1</v>
      </c>
      <c r="J368" s="29"/>
      <c r="K368" s="30"/>
      <c r="L368" s="29" t="s">
        <v>72</v>
      </c>
      <c r="M368" s="31">
        <v>9108</v>
      </c>
      <c r="N368" s="31">
        <v>2277</v>
      </c>
      <c r="O368" s="31">
        <v>11385</v>
      </c>
      <c r="P368" s="31">
        <f>VLOOKUP(F368,'[3]1ª PARCELA'!$E$5:$H$889,4,FALSE)</f>
        <v>11385</v>
      </c>
      <c r="Q368" s="31" t="b">
        <f t="shared" si="5"/>
        <v>1</v>
      </c>
      <c r="R368" s="32">
        <v>45895</v>
      </c>
      <c r="S368" s="29">
        <v>19863</v>
      </c>
      <c r="T368" s="29" t="s">
        <v>1337</v>
      </c>
      <c r="U368" s="33" t="s">
        <v>1338</v>
      </c>
    </row>
    <row r="369" spans="1:21" ht="28.5" customHeight="1" x14ac:dyDescent="0.3">
      <c r="A369" s="27">
        <v>366</v>
      </c>
      <c r="B369" s="28">
        <v>2025</v>
      </c>
      <c r="C369" s="29" t="s">
        <v>961</v>
      </c>
      <c r="D369" s="30" t="s">
        <v>1092</v>
      </c>
      <c r="E369" s="29">
        <v>29191157</v>
      </c>
      <c r="F369" s="29">
        <v>1104243</v>
      </c>
      <c r="G369" s="30" t="s">
        <v>1339</v>
      </c>
      <c r="H369" s="29">
        <v>1142</v>
      </c>
      <c r="I369" s="29">
        <v>1</v>
      </c>
      <c r="J369" s="29"/>
      <c r="K369" s="30"/>
      <c r="L369" s="29" t="s">
        <v>72</v>
      </c>
      <c r="M369" s="31">
        <v>9876</v>
      </c>
      <c r="N369" s="31">
        <v>2469</v>
      </c>
      <c r="O369" s="31">
        <v>12345</v>
      </c>
      <c r="P369" s="31">
        <f>VLOOKUP(F369,'[3]1ª PARCELA'!$E$5:$H$889,4,FALSE)</f>
        <v>12345</v>
      </c>
      <c r="Q369" s="31" t="b">
        <f t="shared" si="5"/>
        <v>1</v>
      </c>
      <c r="R369" s="32">
        <v>45833</v>
      </c>
      <c r="S369" s="29">
        <v>13120</v>
      </c>
      <c r="T369" s="29" t="s">
        <v>1340</v>
      </c>
      <c r="U369" s="33" t="s">
        <v>1341</v>
      </c>
    </row>
    <row r="370" spans="1:21" ht="28.5" customHeight="1" x14ac:dyDescent="0.3">
      <c r="A370" s="27">
        <v>367</v>
      </c>
      <c r="B370" s="28">
        <v>2025</v>
      </c>
      <c r="C370" s="29" t="s">
        <v>961</v>
      </c>
      <c r="D370" s="30" t="s">
        <v>1092</v>
      </c>
      <c r="E370" s="29">
        <v>29191173</v>
      </c>
      <c r="F370" s="29">
        <v>1135998</v>
      </c>
      <c r="G370" s="30" t="s">
        <v>576</v>
      </c>
      <c r="H370" s="29">
        <v>330</v>
      </c>
      <c r="I370" s="29">
        <v>1</v>
      </c>
      <c r="J370" s="29"/>
      <c r="K370" s="30"/>
      <c r="L370" s="29" t="s">
        <v>72</v>
      </c>
      <c r="M370" s="31">
        <v>2535</v>
      </c>
      <c r="N370" s="31">
        <v>1690</v>
      </c>
      <c r="O370" s="31">
        <v>4225</v>
      </c>
      <c r="P370" s="31">
        <f>VLOOKUP(F370,'[3]1ª PARCELA'!$E$5:$H$889,4,FALSE)</f>
        <v>4225</v>
      </c>
      <c r="Q370" s="31" t="b">
        <f t="shared" si="5"/>
        <v>1</v>
      </c>
      <c r="R370" s="32">
        <v>45967</v>
      </c>
      <c r="S370" s="29">
        <v>29630</v>
      </c>
      <c r="T370" s="29" t="s">
        <v>1342</v>
      </c>
      <c r="U370" s="33" t="s">
        <v>1343</v>
      </c>
    </row>
    <row r="371" spans="1:21" ht="28.5" customHeight="1" x14ac:dyDescent="0.3">
      <c r="A371" s="27">
        <v>368</v>
      </c>
      <c r="B371" s="28">
        <v>2025</v>
      </c>
      <c r="C371" s="29" t="s">
        <v>961</v>
      </c>
      <c r="D371" s="30" t="s">
        <v>1092</v>
      </c>
      <c r="E371" s="29">
        <v>29191211</v>
      </c>
      <c r="F371" s="29">
        <v>1174713</v>
      </c>
      <c r="G371" s="30" t="s">
        <v>1344</v>
      </c>
      <c r="H371" s="29">
        <v>1035</v>
      </c>
      <c r="I371" s="29">
        <v>1</v>
      </c>
      <c r="J371" s="29"/>
      <c r="K371" s="30"/>
      <c r="L371" s="29" t="s">
        <v>72</v>
      </c>
      <c r="M371" s="31">
        <v>9020</v>
      </c>
      <c r="N371" s="31">
        <v>2255</v>
      </c>
      <c r="O371" s="31">
        <v>11275</v>
      </c>
      <c r="P371" s="31">
        <f>VLOOKUP(F371,'[3]1ª PARCELA'!$E$5:$H$889,4,FALSE)</f>
        <v>11275</v>
      </c>
      <c r="Q371" s="31" t="b">
        <f t="shared" si="5"/>
        <v>1</v>
      </c>
      <c r="R371" s="32">
        <v>45895</v>
      </c>
      <c r="S371" s="29">
        <v>19863</v>
      </c>
      <c r="T371" s="29" t="s">
        <v>1345</v>
      </c>
      <c r="U371" s="33" t="s">
        <v>1346</v>
      </c>
    </row>
    <row r="372" spans="1:21" ht="28.5" customHeight="1" x14ac:dyDescent="0.3">
      <c r="A372" s="27">
        <v>369</v>
      </c>
      <c r="B372" s="28">
        <v>2025</v>
      </c>
      <c r="C372" s="29" t="s">
        <v>961</v>
      </c>
      <c r="D372" s="30" t="s">
        <v>1092</v>
      </c>
      <c r="E372" s="29">
        <v>29191335</v>
      </c>
      <c r="F372" s="29">
        <v>1142463</v>
      </c>
      <c r="G372" s="30" t="s">
        <v>1347</v>
      </c>
      <c r="H372" s="29">
        <v>351</v>
      </c>
      <c r="I372" s="29">
        <v>1</v>
      </c>
      <c r="J372" s="29"/>
      <c r="K372" s="30"/>
      <c r="L372" s="29" t="s">
        <v>72</v>
      </c>
      <c r="M372" s="31">
        <v>3548</v>
      </c>
      <c r="N372" s="31">
        <v>887</v>
      </c>
      <c r="O372" s="31">
        <v>4435</v>
      </c>
      <c r="P372" s="31">
        <f>VLOOKUP(F372,'[3]1ª PARCELA'!$E$5:$H$889,4,FALSE)</f>
        <v>4435</v>
      </c>
      <c r="Q372" s="31" t="b">
        <f t="shared" si="5"/>
        <v>1</v>
      </c>
      <c r="R372" s="32">
        <v>45895</v>
      </c>
      <c r="S372" s="29">
        <v>19863</v>
      </c>
      <c r="T372" s="29" t="s">
        <v>1348</v>
      </c>
      <c r="U372" s="33" t="s">
        <v>1349</v>
      </c>
    </row>
    <row r="373" spans="1:21" ht="28.5" customHeight="1" x14ac:dyDescent="0.3">
      <c r="A373" s="27">
        <v>370</v>
      </c>
      <c r="B373" s="28">
        <v>2025</v>
      </c>
      <c r="C373" s="29" t="s">
        <v>961</v>
      </c>
      <c r="D373" s="30" t="s">
        <v>1092</v>
      </c>
      <c r="E373" s="29">
        <v>29191343</v>
      </c>
      <c r="F373" s="29">
        <v>1146094</v>
      </c>
      <c r="G373" s="30" t="s">
        <v>1350</v>
      </c>
      <c r="H373" s="29">
        <v>1475</v>
      </c>
      <c r="I373" s="29">
        <v>1</v>
      </c>
      <c r="J373" s="29"/>
      <c r="K373" s="30"/>
      <c r="L373" s="29" t="s">
        <v>72</v>
      </c>
      <c r="M373" s="31">
        <v>12540</v>
      </c>
      <c r="N373" s="31">
        <v>3135</v>
      </c>
      <c r="O373" s="31">
        <v>15675</v>
      </c>
      <c r="P373" s="31">
        <f>VLOOKUP(F373,'[3]1ª PARCELA'!$E$5:$H$889,4,FALSE)</f>
        <v>15675</v>
      </c>
      <c r="Q373" s="31" t="b">
        <f t="shared" si="5"/>
        <v>1</v>
      </c>
      <c r="R373" s="32">
        <v>45895</v>
      </c>
      <c r="S373" s="29">
        <v>19863</v>
      </c>
      <c r="T373" s="29" t="s">
        <v>1351</v>
      </c>
      <c r="U373" s="33" t="s">
        <v>1352</v>
      </c>
    </row>
    <row r="374" spans="1:21" ht="28.5" customHeight="1" x14ac:dyDescent="0.3">
      <c r="A374" s="27">
        <v>371</v>
      </c>
      <c r="B374" s="28">
        <v>2025</v>
      </c>
      <c r="C374" s="29" t="s">
        <v>961</v>
      </c>
      <c r="D374" s="30" t="s">
        <v>1092</v>
      </c>
      <c r="E374" s="29">
        <v>29191360</v>
      </c>
      <c r="F374" s="29">
        <v>1104570</v>
      </c>
      <c r="G374" s="30" t="s">
        <v>1353</v>
      </c>
      <c r="H374" s="29">
        <v>200</v>
      </c>
      <c r="I374" s="29">
        <v>1</v>
      </c>
      <c r="J374" s="29"/>
      <c r="K374" s="30"/>
      <c r="L374" s="29" t="s">
        <v>72</v>
      </c>
      <c r="M374" s="31">
        <v>2340</v>
      </c>
      <c r="N374" s="31">
        <v>585</v>
      </c>
      <c r="O374" s="31">
        <v>2925</v>
      </c>
      <c r="P374" s="31">
        <f>VLOOKUP(F374,'[3]1ª PARCELA'!$E$5:$H$889,4,FALSE)</f>
        <v>2925</v>
      </c>
      <c r="Q374" s="31" t="b">
        <f t="shared" si="5"/>
        <v>1</v>
      </c>
      <c r="R374" s="32">
        <v>45793</v>
      </c>
      <c r="S374" s="29">
        <v>9173</v>
      </c>
      <c r="T374" s="29" t="s">
        <v>1354</v>
      </c>
      <c r="U374" s="33" t="s">
        <v>1355</v>
      </c>
    </row>
    <row r="375" spans="1:21" ht="28.5" customHeight="1" x14ac:dyDescent="0.3">
      <c r="A375" s="27">
        <v>372</v>
      </c>
      <c r="B375" s="28">
        <v>2025</v>
      </c>
      <c r="C375" s="29" t="s">
        <v>961</v>
      </c>
      <c r="D375" s="30" t="s">
        <v>1092</v>
      </c>
      <c r="E375" s="29">
        <v>29191378</v>
      </c>
      <c r="F375" s="29">
        <v>1102534</v>
      </c>
      <c r="G375" s="30" t="s">
        <v>1356</v>
      </c>
      <c r="H375" s="29">
        <v>855</v>
      </c>
      <c r="I375" s="29">
        <v>1</v>
      </c>
      <c r="J375" s="29"/>
      <c r="K375" s="30"/>
      <c r="L375" s="29" t="s">
        <v>72</v>
      </c>
      <c r="M375" s="31">
        <v>9060</v>
      </c>
      <c r="N375" s="31">
        <v>2265</v>
      </c>
      <c r="O375" s="31">
        <v>11325</v>
      </c>
      <c r="P375" s="31">
        <f>VLOOKUP(F375,'[3]1ª PARCELA'!$E$5:$H$889,4,FALSE)</f>
        <v>11325</v>
      </c>
      <c r="Q375" s="31" t="b">
        <f t="shared" si="5"/>
        <v>1</v>
      </c>
      <c r="R375" s="32">
        <v>45967</v>
      </c>
      <c r="S375" s="29">
        <v>29630</v>
      </c>
      <c r="T375" s="29" t="s">
        <v>1357</v>
      </c>
      <c r="U375" s="33" t="s">
        <v>1358</v>
      </c>
    </row>
    <row r="376" spans="1:21" ht="28.5" customHeight="1" x14ac:dyDescent="0.3">
      <c r="A376" s="27">
        <v>373</v>
      </c>
      <c r="B376" s="28">
        <v>2025</v>
      </c>
      <c r="C376" s="29" t="s">
        <v>961</v>
      </c>
      <c r="D376" s="30" t="s">
        <v>1092</v>
      </c>
      <c r="E376" s="29">
        <v>29191572</v>
      </c>
      <c r="F376" s="29">
        <v>1100868</v>
      </c>
      <c r="G376" s="30" t="s">
        <v>1359</v>
      </c>
      <c r="H376" s="29">
        <v>477</v>
      </c>
      <c r="I376" s="29">
        <v>1</v>
      </c>
      <c r="J376" s="29"/>
      <c r="K376" s="30"/>
      <c r="L376" s="29" t="s">
        <v>72</v>
      </c>
      <c r="M376" s="31">
        <v>4556</v>
      </c>
      <c r="N376" s="31">
        <v>1139</v>
      </c>
      <c r="O376" s="31">
        <v>5695</v>
      </c>
      <c r="P376" s="31">
        <f>VLOOKUP(F376,'[3]1ª PARCELA'!$E$5:$H$889,4,FALSE)</f>
        <v>5695</v>
      </c>
      <c r="Q376" s="31" t="b">
        <f t="shared" si="5"/>
        <v>1</v>
      </c>
      <c r="R376" s="32">
        <v>45926</v>
      </c>
      <c r="S376" s="29">
        <v>24529</v>
      </c>
      <c r="T376" s="29" t="s">
        <v>1360</v>
      </c>
      <c r="U376" s="33" t="s">
        <v>1361</v>
      </c>
    </row>
    <row r="377" spans="1:21" ht="28.5" customHeight="1" x14ac:dyDescent="0.3">
      <c r="A377" s="27">
        <v>374</v>
      </c>
      <c r="B377" s="28">
        <v>2025</v>
      </c>
      <c r="C377" s="29" t="s">
        <v>961</v>
      </c>
      <c r="D377" s="30" t="s">
        <v>1092</v>
      </c>
      <c r="E377" s="29">
        <v>29191637</v>
      </c>
      <c r="F377" s="29">
        <v>1101791</v>
      </c>
      <c r="G377" s="30" t="s">
        <v>1362</v>
      </c>
      <c r="H377" s="29">
        <v>617</v>
      </c>
      <c r="I377" s="29">
        <v>1</v>
      </c>
      <c r="J377" s="29"/>
      <c r="K377" s="30"/>
      <c r="L377" s="29" t="s">
        <v>72</v>
      </c>
      <c r="M377" s="31">
        <v>5676</v>
      </c>
      <c r="N377" s="31">
        <v>1419</v>
      </c>
      <c r="O377" s="31">
        <v>7095</v>
      </c>
      <c r="P377" s="31">
        <f>VLOOKUP(F377,'[3]1ª PARCELA'!$E$5:$H$889,4,FALSE)</f>
        <v>7095</v>
      </c>
      <c r="Q377" s="31" t="b">
        <f t="shared" si="5"/>
        <v>1</v>
      </c>
      <c r="R377" s="32">
        <v>45967</v>
      </c>
      <c r="S377" s="29">
        <v>29630</v>
      </c>
      <c r="T377" s="29" t="s">
        <v>1363</v>
      </c>
      <c r="U377" s="33" t="s">
        <v>1364</v>
      </c>
    </row>
    <row r="378" spans="1:21" ht="28.5" customHeight="1" x14ac:dyDescent="0.3">
      <c r="A378" s="27">
        <v>375</v>
      </c>
      <c r="B378" s="28">
        <v>2025</v>
      </c>
      <c r="C378" s="29" t="s">
        <v>961</v>
      </c>
      <c r="D378" s="30" t="s">
        <v>1092</v>
      </c>
      <c r="E378" s="29">
        <v>29191840</v>
      </c>
      <c r="F378" s="29">
        <v>1104588</v>
      </c>
      <c r="G378" s="30" t="s">
        <v>1365</v>
      </c>
      <c r="H378" s="29">
        <v>1357</v>
      </c>
      <c r="I378" s="29">
        <v>1</v>
      </c>
      <c r="J378" s="29"/>
      <c r="K378" s="30"/>
      <c r="L378" s="29" t="s">
        <v>72</v>
      </c>
      <c r="M378" s="31">
        <v>11596</v>
      </c>
      <c r="N378" s="31">
        <v>2899</v>
      </c>
      <c r="O378" s="31">
        <v>14495</v>
      </c>
      <c r="P378" s="31">
        <f>VLOOKUP(F378,'[3]1ª PARCELA'!$E$5:$H$889,4,FALSE)</f>
        <v>14495</v>
      </c>
      <c r="Q378" s="31" t="b">
        <f t="shared" si="5"/>
        <v>1</v>
      </c>
      <c r="R378" s="32">
        <v>45849</v>
      </c>
      <c r="S378" s="29">
        <v>15915</v>
      </c>
      <c r="T378" s="29" t="s">
        <v>1366</v>
      </c>
      <c r="U378" s="33" t="s">
        <v>1367</v>
      </c>
    </row>
    <row r="379" spans="1:21" ht="28.5" customHeight="1" x14ac:dyDescent="0.3">
      <c r="A379" s="27">
        <v>376</v>
      </c>
      <c r="B379" s="28">
        <v>2025</v>
      </c>
      <c r="C379" s="29" t="s">
        <v>961</v>
      </c>
      <c r="D379" s="30" t="s">
        <v>1092</v>
      </c>
      <c r="E379" s="29">
        <v>29192013</v>
      </c>
      <c r="F379" s="29">
        <v>1100485</v>
      </c>
      <c r="G379" s="30" t="s">
        <v>1368</v>
      </c>
      <c r="H379" s="29">
        <v>1251</v>
      </c>
      <c r="I379" s="29">
        <v>1</v>
      </c>
      <c r="J379" s="29"/>
      <c r="K379" s="30"/>
      <c r="L379" s="29" t="s">
        <v>72</v>
      </c>
      <c r="M379" s="31">
        <v>10748</v>
      </c>
      <c r="N379" s="31">
        <v>2687</v>
      </c>
      <c r="O379" s="31">
        <v>13435</v>
      </c>
      <c r="P379" s="31">
        <f>VLOOKUP(F379,'[3]1ª PARCELA'!$E$5:$H$889,4,FALSE)</f>
        <v>13435</v>
      </c>
      <c r="Q379" s="31" t="b">
        <f t="shared" si="5"/>
        <v>1</v>
      </c>
      <c r="R379" s="32">
        <v>45833</v>
      </c>
      <c r="S379" s="29">
        <v>13120</v>
      </c>
      <c r="T379" s="29" t="s">
        <v>1369</v>
      </c>
      <c r="U379" s="33" t="s">
        <v>1370</v>
      </c>
    </row>
    <row r="380" spans="1:21" ht="28.5" customHeight="1" x14ac:dyDescent="0.3">
      <c r="A380" s="27">
        <v>377</v>
      </c>
      <c r="B380" s="28">
        <v>2025</v>
      </c>
      <c r="C380" s="29" t="s">
        <v>961</v>
      </c>
      <c r="D380" s="30" t="s">
        <v>1092</v>
      </c>
      <c r="E380" s="29">
        <v>29192021</v>
      </c>
      <c r="F380" s="29">
        <v>1104898</v>
      </c>
      <c r="G380" s="30" t="s">
        <v>1371</v>
      </c>
      <c r="H380" s="29">
        <v>807</v>
      </c>
      <c r="I380" s="29">
        <v>1</v>
      </c>
      <c r="J380" s="29"/>
      <c r="K380" s="30"/>
      <c r="L380" s="29" t="s">
        <v>72</v>
      </c>
      <c r="M380" s="31">
        <v>7196</v>
      </c>
      <c r="N380" s="31">
        <v>1799</v>
      </c>
      <c r="O380" s="31">
        <v>8995</v>
      </c>
      <c r="P380" s="31">
        <f>VLOOKUP(F380,'[3]1ª PARCELA'!$E$5:$H$889,4,FALSE)</f>
        <v>8995</v>
      </c>
      <c r="Q380" s="31" t="b">
        <f t="shared" si="5"/>
        <v>1</v>
      </c>
      <c r="R380" s="32">
        <v>45793</v>
      </c>
      <c r="S380" s="29">
        <v>9173</v>
      </c>
      <c r="T380" s="29" t="s">
        <v>1372</v>
      </c>
      <c r="U380" s="33" t="s">
        <v>1373</v>
      </c>
    </row>
    <row r="381" spans="1:21" ht="28.5" customHeight="1" x14ac:dyDescent="0.3">
      <c r="A381" s="27">
        <v>378</v>
      </c>
      <c r="B381" s="28">
        <v>2025</v>
      </c>
      <c r="C381" s="29" t="s">
        <v>961</v>
      </c>
      <c r="D381" s="30" t="s">
        <v>1092</v>
      </c>
      <c r="E381" s="29">
        <v>29192030</v>
      </c>
      <c r="F381" s="29">
        <v>1100426</v>
      </c>
      <c r="G381" s="30" t="s">
        <v>1374</v>
      </c>
      <c r="H381" s="29">
        <v>784</v>
      </c>
      <c r="I381" s="29">
        <v>1</v>
      </c>
      <c r="J381" s="29"/>
      <c r="K381" s="30"/>
      <c r="L381" s="29" t="s">
        <v>72</v>
      </c>
      <c r="M381" s="31">
        <v>8492</v>
      </c>
      <c r="N381" s="31">
        <v>2123</v>
      </c>
      <c r="O381" s="31">
        <v>10615</v>
      </c>
      <c r="P381" s="31">
        <f>VLOOKUP(F381,'[3]1ª PARCELA'!$E$5:$H$889,4,FALSE)</f>
        <v>10615</v>
      </c>
      <c r="Q381" s="31" t="b">
        <f t="shared" si="5"/>
        <v>1</v>
      </c>
      <c r="R381" s="32">
        <v>45833</v>
      </c>
      <c r="S381" s="29">
        <v>13120</v>
      </c>
      <c r="T381" s="29" t="s">
        <v>1375</v>
      </c>
      <c r="U381" s="33" t="s">
        <v>1376</v>
      </c>
    </row>
    <row r="382" spans="1:21" ht="28.5" customHeight="1" x14ac:dyDescent="0.3">
      <c r="A382" s="27">
        <v>379</v>
      </c>
      <c r="B382" s="28">
        <v>2025</v>
      </c>
      <c r="C382" s="29" t="s">
        <v>961</v>
      </c>
      <c r="D382" s="30" t="s">
        <v>1092</v>
      </c>
      <c r="E382" s="29">
        <v>29192064</v>
      </c>
      <c r="F382" s="29">
        <v>1100914</v>
      </c>
      <c r="G382" s="30" t="s">
        <v>1377</v>
      </c>
      <c r="H382" s="29">
        <v>1138</v>
      </c>
      <c r="I382" s="29">
        <v>1</v>
      </c>
      <c r="J382" s="29"/>
      <c r="K382" s="30"/>
      <c r="L382" s="29" t="s">
        <v>72</v>
      </c>
      <c r="M382" s="31">
        <v>9844</v>
      </c>
      <c r="N382" s="31">
        <v>2461</v>
      </c>
      <c r="O382" s="31">
        <v>12305</v>
      </c>
      <c r="P382" s="31">
        <f>VLOOKUP(F382,'[3]1ª PARCELA'!$E$5:$H$889,4,FALSE)</f>
        <v>12305</v>
      </c>
      <c r="Q382" s="31" t="b">
        <f t="shared" si="5"/>
        <v>1</v>
      </c>
      <c r="R382" s="32">
        <v>45967</v>
      </c>
      <c r="S382" s="29">
        <v>29630</v>
      </c>
      <c r="T382" s="29" t="s">
        <v>1378</v>
      </c>
      <c r="U382" s="33" t="s">
        <v>1379</v>
      </c>
    </row>
    <row r="383" spans="1:21" ht="28.5" customHeight="1" x14ac:dyDescent="0.3">
      <c r="A383" s="27">
        <v>380</v>
      </c>
      <c r="B383" s="28">
        <v>2025</v>
      </c>
      <c r="C383" s="29" t="s">
        <v>961</v>
      </c>
      <c r="D383" s="30" t="s">
        <v>1092</v>
      </c>
      <c r="E383" s="29">
        <v>29192080</v>
      </c>
      <c r="F383" s="29">
        <v>1174772</v>
      </c>
      <c r="G383" s="30" t="s">
        <v>1380</v>
      </c>
      <c r="H383" s="29">
        <v>999</v>
      </c>
      <c r="I383" s="29">
        <v>1</v>
      </c>
      <c r="J383" s="29"/>
      <c r="K383" s="30"/>
      <c r="L383" s="29" t="s">
        <v>72</v>
      </c>
      <c r="M383" s="31">
        <v>8732</v>
      </c>
      <c r="N383" s="31">
        <v>2183</v>
      </c>
      <c r="O383" s="31">
        <v>10915</v>
      </c>
      <c r="P383" s="31">
        <f>VLOOKUP(F383,'[3]1ª PARCELA'!$E$5:$H$889,4,FALSE)</f>
        <v>10915</v>
      </c>
      <c r="Q383" s="31" t="b">
        <f t="shared" si="5"/>
        <v>1</v>
      </c>
      <c r="R383" s="32">
        <v>45954</v>
      </c>
      <c r="S383" s="29">
        <v>28607</v>
      </c>
      <c r="T383" s="29" t="s">
        <v>1381</v>
      </c>
      <c r="U383" s="33" t="s">
        <v>1382</v>
      </c>
    </row>
    <row r="384" spans="1:21" ht="28.5" customHeight="1" x14ac:dyDescent="0.3">
      <c r="A384" s="27">
        <v>381</v>
      </c>
      <c r="B384" s="28">
        <v>2025</v>
      </c>
      <c r="C384" s="29" t="s">
        <v>961</v>
      </c>
      <c r="D384" s="30" t="s">
        <v>1092</v>
      </c>
      <c r="E384" s="29">
        <v>29192137</v>
      </c>
      <c r="F384" s="29">
        <v>1163967</v>
      </c>
      <c r="G384" s="30" t="s">
        <v>1383</v>
      </c>
      <c r="H384" s="29">
        <v>432</v>
      </c>
      <c r="I384" s="29">
        <v>1</v>
      </c>
      <c r="J384" s="29"/>
      <c r="K384" s="30"/>
      <c r="L384" s="29" t="s">
        <v>72</v>
      </c>
      <c r="M384" s="31">
        <v>4196</v>
      </c>
      <c r="N384" s="31">
        <v>1049</v>
      </c>
      <c r="O384" s="31">
        <v>5245</v>
      </c>
      <c r="P384" s="31">
        <f>VLOOKUP(F384,'[3]1ª PARCELA'!$E$5:$H$889,4,FALSE)</f>
        <v>5245</v>
      </c>
      <c r="Q384" s="31" t="b">
        <f t="shared" si="5"/>
        <v>1</v>
      </c>
      <c r="R384" s="32">
        <v>45793</v>
      </c>
      <c r="S384" s="29">
        <v>9173</v>
      </c>
      <c r="T384" s="29" t="s">
        <v>1384</v>
      </c>
      <c r="U384" s="33" t="s">
        <v>1385</v>
      </c>
    </row>
    <row r="385" spans="1:21" ht="28.5" customHeight="1" x14ac:dyDescent="0.3">
      <c r="A385" s="27">
        <v>382</v>
      </c>
      <c r="B385" s="28">
        <v>2025</v>
      </c>
      <c r="C385" s="29" t="s">
        <v>961</v>
      </c>
      <c r="D385" s="30" t="s">
        <v>1092</v>
      </c>
      <c r="E385" s="29">
        <v>29192170</v>
      </c>
      <c r="F385" s="29">
        <v>1100701</v>
      </c>
      <c r="G385" s="30" t="s">
        <v>1386</v>
      </c>
      <c r="H385" s="29">
        <v>340</v>
      </c>
      <c r="I385" s="29">
        <v>1</v>
      </c>
      <c r="J385" s="29"/>
      <c r="K385" s="30"/>
      <c r="L385" s="29" t="s">
        <v>72</v>
      </c>
      <c r="M385" s="31">
        <v>4940</v>
      </c>
      <c r="N385" s="31">
        <v>1235</v>
      </c>
      <c r="O385" s="31">
        <v>6175</v>
      </c>
      <c r="P385" s="31">
        <f>VLOOKUP(F385,'[3]1ª PARCELA'!$E$5:$H$889,4,FALSE)</f>
        <v>6175</v>
      </c>
      <c r="Q385" s="31" t="b">
        <f t="shared" si="5"/>
        <v>1</v>
      </c>
      <c r="R385" s="32">
        <v>45926</v>
      </c>
      <c r="S385" s="29">
        <v>24529</v>
      </c>
      <c r="T385" s="29" t="s">
        <v>1387</v>
      </c>
      <c r="U385" s="33" t="s">
        <v>1388</v>
      </c>
    </row>
    <row r="386" spans="1:21" ht="28.5" customHeight="1" x14ac:dyDescent="0.3">
      <c r="A386" s="27">
        <v>383</v>
      </c>
      <c r="B386" s="28">
        <v>2025</v>
      </c>
      <c r="C386" s="29" t="s">
        <v>961</v>
      </c>
      <c r="D386" s="30" t="s">
        <v>1092</v>
      </c>
      <c r="E386" s="29">
        <v>29192188</v>
      </c>
      <c r="F386" s="29">
        <v>1176079</v>
      </c>
      <c r="G386" s="30" t="s">
        <v>1389</v>
      </c>
      <c r="H386" s="29">
        <v>330</v>
      </c>
      <c r="I386" s="29">
        <v>1</v>
      </c>
      <c r="J386" s="29"/>
      <c r="K386" s="30"/>
      <c r="L386" s="29" t="s">
        <v>72</v>
      </c>
      <c r="M386" s="31">
        <v>3380</v>
      </c>
      <c r="N386" s="31">
        <v>845</v>
      </c>
      <c r="O386" s="31">
        <v>4225</v>
      </c>
      <c r="P386" s="31">
        <f>VLOOKUP(F386,'[3]1ª PARCELA'!$E$5:$H$889,4,FALSE)</f>
        <v>4225</v>
      </c>
      <c r="Q386" s="31" t="b">
        <f t="shared" si="5"/>
        <v>1</v>
      </c>
      <c r="R386" s="32">
        <v>45945</v>
      </c>
      <c r="S386" s="29">
        <v>27117</v>
      </c>
      <c r="T386" s="29" t="s">
        <v>1390</v>
      </c>
      <c r="U386" s="33" t="s">
        <v>1391</v>
      </c>
    </row>
    <row r="387" spans="1:21" ht="28.5" customHeight="1" x14ac:dyDescent="0.3">
      <c r="A387" s="27">
        <v>384</v>
      </c>
      <c r="B387" s="28">
        <v>2025</v>
      </c>
      <c r="C387" s="29" t="s">
        <v>961</v>
      </c>
      <c r="D387" s="30" t="s">
        <v>1092</v>
      </c>
      <c r="E387" s="29">
        <v>29192218</v>
      </c>
      <c r="F387" s="29">
        <v>1141998</v>
      </c>
      <c r="G387" s="30" t="s">
        <v>1392</v>
      </c>
      <c r="H387" s="29">
        <v>771</v>
      </c>
      <c r="I387" s="29">
        <v>1</v>
      </c>
      <c r="J387" s="29"/>
      <c r="K387" s="30"/>
      <c r="L387" s="29" t="s">
        <v>72</v>
      </c>
      <c r="M387" s="31">
        <v>6908</v>
      </c>
      <c r="N387" s="31">
        <v>1727</v>
      </c>
      <c r="O387" s="31">
        <v>8635</v>
      </c>
      <c r="P387" s="31">
        <f>VLOOKUP(F387,'[3]1ª PARCELA'!$E$5:$H$889,4,FALSE)</f>
        <v>8635</v>
      </c>
      <c r="Q387" s="31" t="b">
        <f t="shared" si="5"/>
        <v>1</v>
      </c>
      <c r="R387" s="32">
        <v>45967</v>
      </c>
      <c r="S387" s="29">
        <v>29630</v>
      </c>
      <c r="T387" s="29" t="s">
        <v>1393</v>
      </c>
      <c r="U387" s="33" t="s">
        <v>1394</v>
      </c>
    </row>
    <row r="388" spans="1:21" ht="28.5" customHeight="1" x14ac:dyDescent="0.3">
      <c r="A388" s="27">
        <v>385</v>
      </c>
      <c r="B388" s="28">
        <v>2025</v>
      </c>
      <c r="C388" s="29" t="s">
        <v>961</v>
      </c>
      <c r="D388" s="30" t="s">
        <v>1092</v>
      </c>
      <c r="E388" s="29">
        <v>29192277</v>
      </c>
      <c r="F388" s="29">
        <v>1163924</v>
      </c>
      <c r="G388" s="30" t="s">
        <v>1395</v>
      </c>
      <c r="H388" s="29">
        <v>1189</v>
      </c>
      <c r="I388" s="29">
        <v>1</v>
      </c>
      <c r="J388" s="29"/>
      <c r="K388" s="30"/>
      <c r="L388" s="29" t="s">
        <v>72</v>
      </c>
      <c r="M388" s="31">
        <v>8970.5</v>
      </c>
      <c r="N388" s="31">
        <v>3844.5</v>
      </c>
      <c r="O388" s="31">
        <v>12815</v>
      </c>
      <c r="P388" s="31">
        <f>VLOOKUP(F388,'[3]1ª PARCELA'!$E$5:$H$889,4,FALSE)</f>
        <v>12815</v>
      </c>
      <c r="Q388" s="31" t="b">
        <f t="shared" si="5"/>
        <v>1</v>
      </c>
      <c r="R388" s="32">
        <v>45954</v>
      </c>
      <c r="S388" s="29">
        <v>28607</v>
      </c>
      <c r="T388" s="29" t="s">
        <v>1396</v>
      </c>
      <c r="U388" s="33" t="s">
        <v>1397</v>
      </c>
    </row>
    <row r="389" spans="1:21" ht="28.5" customHeight="1" x14ac:dyDescent="0.3">
      <c r="A389" s="27">
        <v>386</v>
      </c>
      <c r="B389" s="28">
        <v>2025</v>
      </c>
      <c r="C389" s="29" t="s">
        <v>961</v>
      </c>
      <c r="D389" s="30" t="s">
        <v>1092</v>
      </c>
      <c r="E389" s="29">
        <v>29192307</v>
      </c>
      <c r="F389" s="29">
        <v>1175280</v>
      </c>
      <c r="G389" s="30" t="s">
        <v>1398</v>
      </c>
      <c r="H389" s="29">
        <v>663</v>
      </c>
      <c r="I389" s="29">
        <v>1</v>
      </c>
      <c r="J389" s="29"/>
      <c r="K389" s="30"/>
      <c r="L389" s="29" t="s">
        <v>72</v>
      </c>
      <c r="M389" s="31">
        <v>3022</v>
      </c>
      <c r="N389" s="31">
        <v>4533</v>
      </c>
      <c r="O389" s="31">
        <v>7555</v>
      </c>
      <c r="P389" s="31">
        <f>VLOOKUP(F389,'[3]1ª PARCELA'!$E$5:$H$889,4,FALSE)</f>
        <v>7555</v>
      </c>
      <c r="Q389" s="31" t="b">
        <f t="shared" ref="Q389:Q452" si="6">O389=P389</f>
        <v>1</v>
      </c>
      <c r="R389" s="32">
        <v>45926</v>
      </c>
      <c r="S389" s="29">
        <v>24529</v>
      </c>
      <c r="T389" s="29" t="s">
        <v>1399</v>
      </c>
      <c r="U389" s="33" t="s">
        <v>1400</v>
      </c>
    </row>
    <row r="390" spans="1:21" ht="28.5" customHeight="1" x14ac:dyDescent="0.3">
      <c r="A390" s="27">
        <v>387</v>
      </c>
      <c r="B390" s="28">
        <v>2025</v>
      </c>
      <c r="C390" s="29" t="s">
        <v>961</v>
      </c>
      <c r="D390" s="30" t="s">
        <v>1092</v>
      </c>
      <c r="E390" s="29">
        <v>29192331</v>
      </c>
      <c r="F390" s="29">
        <v>1176071</v>
      </c>
      <c r="G390" s="30" t="s">
        <v>1401</v>
      </c>
      <c r="H390" s="29">
        <v>926</v>
      </c>
      <c r="I390" s="29">
        <v>1</v>
      </c>
      <c r="J390" s="29"/>
      <c r="K390" s="30"/>
      <c r="L390" s="29" t="s">
        <v>72</v>
      </c>
      <c r="M390" s="31">
        <v>9628</v>
      </c>
      <c r="N390" s="31">
        <v>2407</v>
      </c>
      <c r="O390" s="31">
        <v>12035</v>
      </c>
      <c r="P390" s="31">
        <f>VLOOKUP(F390,'[3]1ª PARCELA'!$E$5:$H$889,4,FALSE)</f>
        <v>12035</v>
      </c>
      <c r="Q390" s="31" t="b">
        <f t="shared" si="6"/>
        <v>1</v>
      </c>
      <c r="R390" s="32">
        <v>45926</v>
      </c>
      <c r="S390" s="29">
        <v>24529</v>
      </c>
      <c r="T390" s="29" t="s">
        <v>1402</v>
      </c>
      <c r="U390" s="33" t="s">
        <v>1403</v>
      </c>
    </row>
    <row r="391" spans="1:21" ht="28.5" customHeight="1" x14ac:dyDescent="0.3">
      <c r="A391" s="27">
        <v>388</v>
      </c>
      <c r="B391" s="28">
        <v>2025</v>
      </c>
      <c r="C391" s="29" t="s">
        <v>961</v>
      </c>
      <c r="D391" s="30" t="s">
        <v>1092</v>
      </c>
      <c r="E391" s="29">
        <v>29192617</v>
      </c>
      <c r="F391" s="29">
        <v>1100817</v>
      </c>
      <c r="G391" s="30" t="s">
        <v>1404</v>
      </c>
      <c r="H391" s="29">
        <v>188</v>
      </c>
      <c r="I391" s="29">
        <v>1</v>
      </c>
      <c r="J391" s="29"/>
      <c r="K391" s="30"/>
      <c r="L391" s="29" t="s">
        <v>72</v>
      </c>
      <c r="M391" s="31">
        <v>2244</v>
      </c>
      <c r="N391" s="31">
        <v>561</v>
      </c>
      <c r="O391" s="31">
        <v>2805</v>
      </c>
      <c r="P391" s="31">
        <f>VLOOKUP(F391,'[3]1ª PARCELA'!$E$5:$H$889,4,FALSE)</f>
        <v>2805</v>
      </c>
      <c r="Q391" s="31" t="b">
        <f t="shared" si="6"/>
        <v>1</v>
      </c>
      <c r="R391" s="32">
        <v>45867</v>
      </c>
      <c r="S391" s="29">
        <v>16705</v>
      </c>
      <c r="T391" s="29" t="s">
        <v>1405</v>
      </c>
      <c r="U391" s="33" t="s">
        <v>1406</v>
      </c>
    </row>
    <row r="392" spans="1:21" ht="28.5" customHeight="1" x14ac:dyDescent="0.3">
      <c r="A392" s="27">
        <v>389</v>
      </c>
      <c r="B392" s="28">
        <v>2025</v>
      </c>
      <c r="C392" s="29" t="s">
        <v>961</v>
      </c>
      <c r="D392" s="30" t="s">
        <v>1092</v>
      </c>
      <c r="E392" s="29">
        <v>29192790</v>
      </c>
      <c r="F392" s="29">
        <v>1104413</v>
      </c>
      <c r="G392" s="30" t="s">
        <v>1407</v>
      </c>
      <c r="H392" s="29">
        <v>576</v>
      </c>
      <c r="I392" s="29">
        <v>1</v>
      </c>
      <c r="J392" s="29"/>
      <c r="K392" s="30"/>
      <c r="L392" s="29" t="s">
        <v>72</v>
      </c>
      <c r="M392" s="31">
        <v>5348</v>
      </c>
      <c r="N392" s="31">
        <v>1337</v>
      </c>
      <c r="O392" s="31">
        <v>6685</v>
      </c>
      <c r="P392" s="31">
        <f>VLOOKUP(F392,'[3]1ª PARCELA'!$E$5:$H$889,4,FALSE)</f>
        <v>6685</v>
      </c>
      <c r="Q392" s="31" t="b">
        <f t="shared" si="6"/>
        <v>1</v>
      </c>
      <c r="R392" s="32">
        <v>45867</v>
      </c>
      <c r="S392" s="29">
        <v>16705</v>
      </c>
      <c r="T392" s="29" t="s">
        <v>1408</v>
      </c>
      <c r="U392" s="33" t="s">
        <v>1409</v>
      </c>
    </row>
    <row r="393" spans="1:21" ht="28.5" customHeight="1" x14ac:dyDescent="0.3">
      <c r="A393" s="27">
        <v>390</v>
      </c>
      <c r="B393" s="28">
        <v>2025</v>
      </c>
      <c r="C393" s="29" t="s">
        <v>961</v>
      </c>
      <c r="D393" s="30" t="s">
        <v>1092</v>
      </c>
      <c r="E393" s="29">
        <v>29192889</v>
      </c>
      <c r="F393" s="29">
        <v>1100949</v>
      </c>
      <c r="G393" s="30" t="s">
        <v>1410</v>
      </c>
      <c r="H393" s="29">
        <v>1012</v>
      </c>
      <c r="I393" s="29">
        <v>1</v>
      </c>
      <c r="J393" s="29"/>
      <c r="K393" s="30"/>
      <c r="L393" s="29" t="s">
        <v>72</v>
      </c>
      <c r="M393" s="31">
        <v>8836</v>
      </c>
      <c r="N393" s="31">
        <v>2209</v>
      </c>
      <c r="O393" s="31">
        <v>11045</v>
      </c>
      <c r="P393" s="31">
        <f>VLOOKUP(F393,'[3]1ª PARCELA'!$E$5:$H$889,4,FALSE)</f>
        <v>11045</v>
      </c>
      <c r="Q393" s="31" t="b">
        <f t="shared" si="6"/>
        <v>1</v>
      </c>
      <c r="R393" s="32">
        <v>45895</v>
      </c>
      <c r="S393" s="29">
        <v>19863</v>
      </c>
      <c r="T393" s="29" t="s">
        <v>1411</v>
      </c>
      <c r="U393" s="33" t="s">
        <v>1412</v>
      </c>
    </row>
    <row r="394" spans="1:21" ht="28.5" customHeight="1" x14ac:dyDescent="0.3">
      <c r="A394" s="27">
        <v>391</v>
      </c>
      <c r="B394" s="28">
        <v>2025</v>
      </c>
      <c r="C394" s="29" t="s">
        <v>961</v>
      </c>
      <c r="D394" s="30" t="s">
        <v>1092</v>
      </c>
      <c r="E394" s="29">
        <v>29193095</v>
      </c>
      <c r="F394" s="29">
        <v>1101953</v>
      </c>
      <c r="G394" s="30" t="s">
        <v>1413</v>
      </c>
      <c r="H394" s="29">
        <v>598</v>
      </c>
      <c r="I394" s="29">
        <v>1</v>
      </c>
      <c r="J394" s="29"/>
      <c r="K394" s="30"/>
      <c r="L394" s="29" t="s">
        <v>72</v>
      </c>
      <c r="M394" s="31">
        <v>5524</v>
      </c>
      <c r="N394" s="31">
        <v>1381</v>
      </c>
      <c r="O394" s="31">
        <v>6905</v>
      </c>
      <c r="P394" s="31">
        <f>VLOOKUP(F394,'[3]1ª PARCELA'!$E$5:$H$889,4,FALSE)</f>
        <v>6905</v>
      </c>
      <c r="Q394" s="31" t="b">
        <f t="shared" si="6"/>
        <v>1</v>
      </c>
      <c r="R394" s="32">
        <v>45793</v>
      </c>
      <c r="S394" s="29">
        <v>9173</v>
      </c>
      <c r="T394" s="29" t="s">
        <v>1414</v>
      </c>
      <c r="U394" s="33" t="s">
        <v>1415</v>
      </c>
    </row>
    <row r="395" spans="1:21" ht="28.5" customHeight="1" x14ac:dyDescent="0.3">
      <c r="A395" s="27">
        <v>392</v>
      </c>
      <c r="B395" s="28">
        <v>2025</v>
      </c>
      <c r="C395" s="29" t="s">
        <v>961</v>
      </c>
      <c r="D395" s="30" t="s">
        <v>1092</v>
      </c>
      <c r="E395" s="29">
        <v>29193532</v>
      </c>
      <c r="F395" s="29">
        <v>1103107</v>
      </c>
      <c r="G395" s="30" t="s">
        <v>1416</v>
      </c>
      <c r="H395" s="29">
        <v>853</v>
      </c>
      <c r="I395" s="29">
        <v>1</v>
      </c>
      <c r="J395" s="29"/>
      <c r="K395" s="30"/>
      <c r="L395" s="29" t="s">
        <v>72</v>
      </c>
      <c r="M395" s="31">
        <v>6618.5</v>
      </c>
      <c r="N395" s="31">
        <v>2836.5</v>
      </c>
      <c r="O395" s="31">
        <v>9455</v>
      </c>
      <c r="P395" s="31">
        <f>VLOOKUP(F395,'[3]1ª PARCELA'!$E$5:$H$889,4,FALSE)</f>
        <v>9455</v>
      </c>
      <c r="Q395" s="31" t="b">
        <f t="shared" si="6"/>
        <v>1</v>
      </c>
      <c r="R395" s="32">
        <v>45967</v>
      </c>
      <c r="S395" s="29">
        <v>29630</v>
      </c>
      <c r="T395" s="29" t="s">
        <v>1417</v>
      </c>
      <c r="U395" s="33" t="s">
        <v>1418</v>
      </c>
    </row>
    <row r="396" spans="1:21" ht="28.5" customHeight="1" x14ac:dyDescent="0.3">
      <c r="A396" s="27">
        <v>393</v>
      </c>
      <c r="B396" s="28">
        <v>2025</v>
      </c>
      <c r="C396" s="29" t="s">
        <v>961</v>
      </c>
      <c r="D396" s="30" t="s">
        <v>1092</v>
      </c>
      <c r="E396" s="29">
        <v>29193567</v>
      </c>
      <c r="F396" s="29">
        <v>1102747</v>
      </c>
      <c r="G396" s="30" t="s">
        <v>1419</v>
      </c>
      <c r="H396" s="29">
        <v>746</v>
      </c>
      <c r="I396" s="29">
        <v>1</v>
      </c>
      <c r="J396" s="29"/>
      <c r="K396" s="30"/>
      <c r="L396" s="29" t="s">
        <v>72</v>
      </c>
      <c r="M396" s="31">
        <v>6708</v>
      </c>
      <c r="N396" s="31">
        <v>1677</v>
      </c>
      <c r="O396" s="31">
        <v>8385</v>
      </c>
      <c r="P396" s="31">
        <f>VLOOKUP(F396,'[3]1ª PARCELA'!$E$5:$H$889,4,FALSE)</f>
        <v>8385</v>
      </c>
      <c r="Q396" s="31" t="b">
        <f t="shared" si="6"/>
        <v>1</v>
      </c>
      <c r="R396" s="32">
        <v>45967</v>
      </c>
      <c r="S396" s="29">
        <v>29630</v>
      </c>
      <c r="T396" s="29" t="s">
        <v>1420</v>
      </c>
      <c r="U396" s="33" t="s">
        <v>1421</v>
      </c>
    </row>
    <row r="397" spans="1:21" ht="28.5" customHeight="1" x14ac:dyDescent="0.3">
      <c r="A397" s="27">
        <v>394</v>
      </c>
      <c r="B397" s="28">
        <v>2025</v>
      </c>
      <c r="C397" s="29" t="s">
        <v>961</v>
      </c>
      <c r="D397" s="30" t="s">
        <v>1092</v>
      </c>
      <c r="E397" s="29">
        <v>29193656</v>
      </c>
      <c r="F397" s="29">
        <v>1102836</v>
      </c>
      <c r="G397" s="30" t="s">
        <v>1422</v>
      </c>
      <c r="H397" s="29">
        <v>492</v>
      </c>
      <c r="I397" s="29">
        <v>1</v>
      </c>
      <c r="J397" s="29"/>
      <c r="K397" s="30"/>
      <c r="L397" s="29" t="s">
        <v>72</v>
      </c>
      <c r="M397" s="31">
        <v>4676</v>
      </c>
      <c r="N397" s="31">
        <v>1169</v>
      </c>
      <c r="O397" s="31">
        <v>5845</v>
      </c>
      <c r="P397" s="31">
        <f>VLOOKUP(F397,'[3]1ª PARCELA'!$E$5:$H$889,4,FALSE)</f>
        <v>5845</v>
      </c>
      <c r="Q397" s="31" t="b">
        <f t="shared" si="6"/>
        <v>1</v>
      </c>
      <c r="R397" s="32">
        <v>45926</v>
      </c>
      <c r="S397" s="29">
        <v>24529</v>
      </c>
      <c r="T397" s="29" t="s">
        <v>1423</v>
      </c>
      <c r="U397" s="33" t="s">
        <v>1424</v>
      </c>
    </row>
    <row r="398" spans="1:21" ht="28.5" customHeight="1" x14ac:dyDescent="0.3">
      <c r="A398" s="27">
        <v>395</v>
      </c>
      <c r="B398" s="28">
        <v>2025</v>
      </c>
      <c r="C398" s="29" t="s">
        <v>961</v>
      </c>
      <c r="D398" s="30" t="s">
        <v>1092</v>
      </c>
      <c r="E398" s="29">
        <v>29193966</v>
      </c>
      <c r="F398" s="29">
        <v>1102640</v>
      </c>
      <c r="G398" s="30" t="s">
        <v>1425</v>
      </c>
      <c r="H398" s="29">
        <v>853</v>
      </c>
      <c r="I398" s="29">
        <v>1</v>
      </c>
      <c r="J398" s="29"/>
      <c r="K398" s="30"/>
      <c r="L398" s="29" t="s">
        <v>72</v>
      </c>
      <c r="M398" s="31">
        <v>7564</v>
      </c>
      <c r="N398" s="31">
        <v>1891</v>
      </c>
      <c r="O398" s="31">
        <v>9455</v>
      </c>
      <c r="P398" s="31">
        <f>VLOOKUP(F398,'[3]1ª PARCELA'!$E$5:$H$889,4,FALSE)</f>
        <v>9455</v>
      </c>
      <c r="Q398" s="31" t="b">
        <f t="shared" si="6"/>
        <v>1</v>
      </c>
      <c r="R398" s="32">
        <v>45793</v>
      </c>
      <c r="S398" s="29">
        <v>9173</v>
      </c>
      <c r="T398" s="29" t="s">
        <v>1426</v>
      </c>
      <c r="U398" s="33" t="s">
        <v>1427</v>
      </c>
    </row>
    <row r="399" spans="1:21" ht="28.5" customHeight="1" x14ac:dyDescent="0.3">
      <c r="A399" s="27">
        <v>396</v>
      </c>
      <c r="B399" s="28">
        <v>2025</v>
      </c>
      <c r="C399" s="29" t="s">
        <v>961</v>
      </c>
      <c r="D399" s="30" t="s">
        <v>1092</v>
      </c>
      <c r="E399" s="29">
        <v>29194750</v>
      </c>
      <c r="F399" s="29">
        <v>1104111</v>
      </c>
      <c r="G399" s="30" t="s">
        <v>1428</v>
      </c>
      <c r="H399" s="29">
        <v>605</v>
      </c>
      <c r="I399" s="29">
        <v>1</v>
      </c>
      <c r="J399" s="29"/>
      <c r="K399" s="30"/>
      <c r="L399" s="29" t="s">
        <v>72</v>
      </c>
      <c r="M399" s="31">
        <v>7060</v>
      </c>
      <c r="N399" s="31">
        <v>1765</v>
      </c>
      <c r="O399" s="31">
        <v>8825</v>
      </c>
      <c r="P399" s="31">
        <f>VLOOKUP(F399,'[3]1ª PARCELA'!$E$5:$H$889,4,FALSE)</f>
        <v>8825</v>
      </c>
      <c r="Q399" s="31" t="b">
        <f t="shared" si="6"/>
        <v>1</v>
      </c>
      <c r="R399" s="32">
        <v>45926</v>
      </c>
      <c r="S399" s="29">
        <v>24529</v>
      </c>
      <c r="T399" s="29" t="s">
        <v>1429</v>
      </c>
      <c r="U399" s="33" t="s">
        <v>1430</v>
      </c>
    </row>
    <row r="400" spans="1:21" ht="28.5" customHeight="1" x14ac:dyDescent="0.3">
      <c r="A400" s="27">
        <v>397</v>
      </c>
      <c r="B400" s="28">
        <v>2025</v>
      </c>
      <c r="C400" s="29" t="s">
        <v>961</v>
      </c>
      <c r="D400" s="30" t="s">
        <v>1092</v>
      </c>
      <c r="E400" s="29">
        <v>29194776</v>
      </c>
      <c r="F400" s="29">
        <v>1104103</v>
      </c>
      <c r="G400" s="30" t="s">
        <v>1431</v>
      </c>
      <c r="H400" s="29">
        <v>263</v>
      </c>
      <c r="I400" s="29">
        <v>1</v>
      </c>
      <c r="J400" s="29"/>
      <c r="K400" s="30"/>
      <c r="L400" s="29" t="s">
        <v>72</v>
      </c>
      <c r="M400" s="31">
        <v>2844</v>
      </c>
      <c r="N400" s="31">
        <v>711</v>
      </c>
      <c r="O400" s="31">
        <v>3555</v>
      </c>
      <c r="P400" s="31">
        <f>VLOOKUP(F400,'[3]1ª PARCELA'!$E$5:$H$889,4,FALSE)</f>
        <v>3555</v>
      </c>
      <c r="Q400" s="31" t="b">
        <f t="shared" si="6"/>
        <v>1</v>
      </c>
      <c r="R400" s="32">
        <v>45793</v>
      </c>
      <c r="S400" s="29">
        <v>9173</v>
      </c>
      <c r="T400" s="29" t="s">
        <v>1432</v>
      </c>
      <c r="U400" s="33" t="s">
        <v>1433</v>
      </c>
    </row>
    <row r="401" spans="1:21" ht="28.5" customHeight="1" x14ac:dyDescent="0.3">
      <c r="A401" s="27">
        <v>398</v>
      </c>
      <c r="B401" s="28">
        <v>2025</v>
      </c>
      <c r="C401" s="29" t="s">
        <v>961</v>
      </c>
      <c r="D401" s="30" t="s">
        <v>1092</v>
      </c>
      <c r="E401" s="29">
        <v>29195462</v>
      </c>
      <c r="F401" s="29">
        <v>1174721</v>
      </c>
      <c r="G401" s="30" t="s">
        <v>1434</v>
      </c>
      <c r="H401" s="29">
        <v>200</v>
      </c>
      <c r="I401" s="29">
        <v>1</v>
      </c>
      <c r="J401" s="29"/>
      <c r="K401" s="30"/>
      <c r="L401" s="29" t="s">
        <v>72</v>
      </c>
      <c r="M401" s="31">
        <v>2340</v>
      </c>
      <c r="N401" s="31">
        <v>585</v>
      </c>
      <c r="O401" s="31">
        <v>2925</v>
      </c>
      <c r="P401" s="31">
        <f>VLOOKUP(F401,'[3]1ª PARCELA'!$E$5:$H$889,4,FALSE)</f>
        <v>2925</v>
      </c>
      <c r="Q401" s="31" t="b">
        <f t="shared" si="6"/>
        <v>1</v>
      </c>
      <c r="R401" s="32">
        <v>45833</v>
      </c>
      <c r="S401" s="29">
        <v>13120</v>
      </c>
      <c r="T401" s="29" t="s">
        <v>1435</v>
      </c>
      <c r="U401" s="33" t="s">
        <v>1436</v>
      </c>
    </row>
    <row r="402" spans="1:21" ht="28.5" customHeight="1" x14ac:dyDescent="0.3">
      <c r="A402" s="27">
        <v>399</v>
      </c>
      <c r="B402" s="28">
        <v>2025</v>
      </c>
      <c r="C402" s="29" t="s">
        <v>961</v>
      </c>
      <c r="D402" s="30" t="s">
        <v>1092</v>
      </c>
      <c r="E402" s="29">
        <v>29196434</v>
      </c>
      <c r="F402" s="29">
        <v>1102941</v>
      </c>
      <c r="G402" s="30" t="s">
        <v>1437</v>
      </c>
      <c r="H402" s="29">
        <v>1144</v>
      </c>
      <c r="I402" s="29">
        <v>1</v>
      </c>
      <c r="J402" s="29"/>
      <c r="K402" s="30"/>
      <c r="L402" s="29" t="s">
        <v>72</v>
      </c>
      <c r="M402" s="31">
        <v>9892</v>
      </c>
      <c r="N402" s="31">
        <v>2473</v>
      </c>
      <c r="O402" s="31">
        <v>12365</v>
      </c>
      <c r="P402" s="31">
        <f>VLOOKUP(F402,'[3]1ª PARCELA'!$E$5:$H$889,4,FALSE)</f>
        <v>12365</v>
      </c>
      <c r="Q402" s="31" t="b">
        <f t="shared" si="6"/>
        <v>1</v>
      </c>
      <c r="R402" s="32">
        <v>45926</v>
      </c>
      <c r="S402" s="29">
        <v>24529</v>
      </c>
      <c r="T402" s="29" t="s">
        <v>1438</v>
      </c>
      <c r="U402" s="33" t="s">
        <v>1439</v>
      </c>
    </row>
    <row r="403" spans="1:21" ht="28.5" customHeight="1" x14ac:dyDescent="0.3">
      <c r="A403" s="27">
        <v>400</v>
      </c>
      <c r="B403" s="28">
        <v>2025</v>
      </c>
      <c r="C403" s="29" t="s">
        <v>961</v>
      </c>
      <c r="D403" s="30" t="s">
        <v>1092</v>
      </c>
      <c r="E403" s="29">
        <v>29198780</v>
      </c>
      <c r="F403" s="29">
        <v>1100558</v>
      </c>
      <c r="G403" s="30" t="s">
        <v>1440</v>
      </c>
      <c r="H403" s="29">
        <v>122</v>
      </c>
      <c r="I403" s="29">
        <v>1</v>
      </c>
      <c r="J403" s="29"/>
      <c r="K403" s="30"/>
      <c r="L403" s="29" t="s">
        <v>72</v>
      </c>
      <c r="M403" s="31">
        <v>1716</v>
      </c>
      <c r="N403" s="31">
        <v>429</v>
      </c>
      <c r="O403" s="31">
        <v>2145</v>
      </c>
      <c r="P403" s="31">
        <f>VLOOKUP(F403,'[3]1ª PARCELA'!$E$5:$H$889,4,FALSE)</f>
        <v>2145</v>
      </c>
      <c r="Q403" s="31" t="b">
        <f t="shared" si="6"/>
        <v>1</v>
      </c>
      <c r="R403" s="32">
        <v>45967</v>
      </c>
      <c r="S403" s="29">
        <v>29630</v>
      </c>
      <c r="T403" s="29" t="s">
        <v>1441</v>
      </c>
      <c r="U403" s="33" t="s">
        <v>1442</v>
      </c>
    </row>
    <row r="404" spans="1:21" ht="28.5" customHeight="1" x14ac:dyDescent="0.3">
      <c r="A404" s="27">
        <v>401</v>
      </c>
      <c r="B404" s="28">
        <v>2025</v>
      </c>
      <c r="C404" s="29" t="s">
        <v>961</v>
      </c>
      <c r="D404" s="30" t="s">
        <v>1092</v>
      </c>
      <c r="E404" s="29">
        <v>29199387</v>
      </c>
      <c r="F404" s="29">
        <v>1103778</v>
      </c>
      <c r="G404" s="30" t="s">
        <v>1443</v>
      </c>
      <c r="H404" s="29">
        <v>617</v>
      </c>
      <c r="I404" s="29">
        <v>1</v>
      </c>
      <c r="J404" s="29"/>
      <c r="K404" s="30"/>
      <c r="L404" s="29" t="s">
        <v>72</v>
      </c>
      <c r="M404" s="31">
        <v>5676</v>
      </c>
      <c r="N404" s="31">
        <v>1419</v>
      </c>
      <c r="O404" s="31">
        <v>7095</v>
      </c>
      <c r="P404" s="31">
        <f>VLOOKUP(F404,'[3]1ª PARCELA'!$E$5:$H$889,4,FALSE)</f>
        <v>7095</v>
      </c>
      <c r="Q404" s="31" t="b">
        <f t="shared" si="6"/>
        <v>1</v>
      </c>
      <c r="R404" s="32">
        <v>45800</v>
      </c>
      <c r="S404" s="29">
        <v>9563</v>
      </c>
      <c r="T404" s="29" t="s">
        <v>1444</v>
      </c>
      <c r="U404" s="33" t="s">
        <v>1445</v>
      </c>
    </row>
    <row r="405" spans="1:21" ht="28.5" customHeight="1" x14ac:dyDescent="0.3">
      <c r="A405" s="27">
        <v>402</v>
      </c>
      <c r="B405" s="28">
        <v>2025</v>
      </c>
      <c r="C405" s="29" t="s">
        <v>961</v>
      </c>
      <c r="D405" s="30" t="s">
        <v>1092</v>
      </c>
      <c r="E405" s="29">
        <v>29199930</v>
      </c>
      <c r="F405" s="29">
        <v>1146140</v>
      </c>
      <c r="G405" s="30" t="s">
        <v>1446</v>
      </c>
      <c r="H405" s="29">
        <v>1107</v>
      </c>
      <c r="I405" s="29">
        <v>1</v>
      </c>
      <c r="J405" s="29"/>
      <c r="K405" s="30"/>
      <c r="L405" s="29" t="s">
        <v>72</v>
      </c>
      <c r="M405" s="31">
        <v>8396.5</v>
      </c>
      <c r="N405" s="31">
        <v>3598.5</v>
      </c>
      <c r="O405" s="31">
        <v>11995</v>
      </c>
      <c r="P405" s="31">
        <f>VLOOKUP(F405,'[3]1ª PARCELA'!$E$5:$H$889,4,FALSE)</f>
        <v>11995</v>
      </c>
      <c r="Q405" s="31" t="b">
        <f t="shared" si="6"/>
        <v>1</v>
      </c>
      <c r="R405" s="32">
        <v>45793</v>
      </c>
      <c r="S405" s="29">
        <v>9173</v>
      </c>
      <c r="T405" s="29" t="s">
        <v>1447</v>
      </c>
      <c r="U405" s="33" t="s">
        <v>1448</v>
      </c>
    </row>
    <row r="406" spans="1:21" ht="28.5" customHeight="1" x14ac:dyDescent="0.3">
      <c r="A406" s="27">
        <v>403</v>
      </c>
      <c r="B406" s="28">
        <v>2025</v>
      </c>
      <c r="C406" s="29" t="s">
        <v>961</v>
      </c>
      <c r="D406" s="30" t="s">
        <v>1092</v>
      </c>
      <c r="E406" s="29">
        <v>29200075</v>
      </c>
      <c r="F406" s="29">
        <v>1103212</v>
      </c>
      <c r="G406" s="30" t="s">
        <v>1449</v>
      </c>
      <c r="H406" s="29">
        <v>1246</v>
      </c>
      <c r="I406" s="29">
        <v>1</v>
      </c>
      <c r="J406" s="29"/>
      <c r="K406" s="30"/>
      <c r="L406" s="29" t="s">
        <v>72</v>
      </c>
      <c r="M406" s="31">
        <v>8031</v>
      </c>
      <c r="N406" s="31">
        <v>5354</v>
      </c>
      <c r="O406" s="31">
        <v>13385</v>
      </c>
      <c r="P406" s="31">
        <f>VLOOKUP(F406,'[3]1ª PARCELA'!$E$5:$H$889,4,FALSE)</f>
        <v>13385</v>
      </c>
      <c r="Q406" s="31" t="b">
        <f t="shared" si="6"/>
        <v>1</v>
      </c>
      <c r="R406" s="32">
        <v>45895</v>
      </c>
      <c r="S406" s="29">
        <v>19863</v>
      </c>
      <c r="T406" s="29" t="s">
        <v>1450</v>
      </c>
      <c r="U406" s="33" t="s">
        <v>1451</v>
      </c>
    </row>
    <row r="407" spans="1:21" ht="28.5" customHeight="1" x14ac:dyDescent="0.3">
      <c r="A407" s="27">
        <v>404</v>
      </c>
      <c r="B407" s="28">
        <v>2025</v>
      </c>
      <c r="C407" s="29" t="s">
        <v>961</v>
      </c>
      <c r="D407" s="30" t="s">
        <v>1092</v>
      </c>
      <c r="E407" s="29">
        <v>29200296</v>
      </c>
      <c r="F407" s="29">
        <v>1104367</v>
      </c>
      <c r="G407" s="30" t="s">
        <v>1452</v>
      </c>
      <c r="H407" s="29">
        <v>26</v>
      </c>
      <c r="I407" s="29">
        <v>1</v>
      </c>
      <c r="J407" s="29"/>
      <c r="K407" s="30"/>
      <c r="L407" s="29" t="s">
        <v>72</v>
      </c>
      <c r="M407" s="31">
        <v>829.5</v>
      </c>
      <c r="N407" s="31">
        <v>355.5</v>
      </c>
      <c r="O407" s="31">
        <v>1185</v>
      </c>
      <c r="P407" s="31">
        <f>VLOOKUP(F407,'[3]1ª PARCELA'!$E$5:$H$889,4,FALSE)</f>
        <v>1185</v>
      </c>
      <c r="Q407" s="31" t="b">
        <f t="shared" si="6"/>
        <v>1</v>
      </c>
      <c r="R407" s="32">
        <v>45926</v>
      </c>
      <c r="S407" s="29">
        <v>24529</v>
      </c>
      <c r="T407" s="29" t="s">
        <v>1453</v>
      </c>
      <c r="U407" s="33" t="s">
        <v>1454</v>
      </c>
    </row>
    <row r="408" spans="1:21" ht="28.5" customHeight="1" x14ac:dyDescent="0.3">
      <c r="A408" s="27">
        <v>405</v>
      </c>
      <c r="B408" s="28">
        <v>2025</v>
      </c>
      <c r="C408" s="29" t="s">
        <v>961</v>
      </c>
      <c r="D408" s="30" t="s">
        <v>1455</v>
      </c>
      <c r="E408" s="29">
        <v>29201020</v>
      </c>
      <c r="F408" s="29">
        <v>1144520</v>
      </c>
      <c r="G408" s="30" t="s">
        <v>1456</v>
      </c>
      <c r="H408" s="29">
        <v>500</v>
      </c>
      <c r="I408" s="29">
        <v>1</v>
      </c>
      <c r="J408" s="29"/>
      <c r="K408" s="30"/>
      <c r="L408" s="29" t="s">
        <v>72</v>
      </c>
      <c r="M408" s="31">
        <v>4740</v>
      </c>
      <c r="N408" s="31">
        <v>1185</v>
      </c>
      <c r="O408" s="31">
        <v>5925</v>
      </c>
      <c r="P408" s="31">
        <f>VLOOKUP(F408,'[3]1ª PARCELA'!$E$5:$H$889,4,FALSE)</f>
        <v>5925</v>
      </c>
      <c r="Q408" s="31" t="b">
        <f t="shared" si="6"/>
        <v>1</v>
      </c>
      <c r="R408" s="32">
        <v>45833</v>
      </c>
      <c r="S408" s="29">
        <v>13120</v>
      </c>
      <c r="T408" s="29" t="s">
        <v>1457</v>
      </c>
      <c r="U408" s="33" t="s">
        <v>1458</v>
      </c>
    </row>
    <row r="409" spans="1:21" ht="28.5" customHeight="1" x14ac:dyDescent="0.3">
      <c r="A409" s="27">
        <v>406</v>
      </c>
      <c r="B409" s="28">
        <v>2025</v>
      </c>
      <c r="C409" s="29" t="s">
        <v>961</v>
      </c>
      <c r="D409" s="30" t="s">
        <v>1455</v>
      </c>
      <c r="E409" s="29">
        <v>29201063</v>
      </c>
      <c r="F409" s="29">
        <v>1103000</v>
      </c>
      <c r="G409" s="30" t="s">
        <v>1459</v>
      </c>
      <c r="H409" s="29">
        <v>1130</v>
      </c>
      <c r="I409" s="29">
        <v>1</v>
      </c>
      <c r="J409" s="29"/>
      <c r="K409" s="30"/>
      <c r="L409" s="29" t="s">
        <v>72</v>
      </c>
      <c r="M409" s="31">
        <v>8557.5</v>
      </c>
      <c r="N409" s="31">
        <v>3667.5</v>
      </c>
      <c r="O409" s="31">
        <v>12225</v>
      </c>
      <c r="P409" s="31">
        <f>VLOOKUP(F409,'[3]1ª PARCELA'!$E$5:$H$889,4,FALSE)</f>
        <v>12225</v>
      </c>
      <c r="Q409" s="31" t="b">
        <f t="shared" si="6"/>
        <v>1</v>
      </c>
      <c r="R409" s="32">
        <v>45833</v>
      </c>
      <c r="S409" s="29">
        <v>13120</v>
      </c>
      <c r="T409" s="29" t="s">
        <v>1460</v>
      </c>
      <c r="U409" s="33" t="s">
        <v>1461</v>
      </c>
    </row>
    <row r="410" spans="1:21" ht="28.5" customHeight="1" x14ac:dyDescent="0.3">
      <c r="A410" s="27">
        <v>407</v>
      </c>
      <c r="B410" s="28">
        <v>2025</v>
      </c>
      <c r="C410" s="29" t="s">
        <v>961</v>
      </c>
      <c r="D410" s="30" t="s">
        <v>1455</v>
      </c>
      <c r="E410" s="29">
        <v>29201373</v>
      </c>
      <c r="F410" s="29">
        <v>1104723</v>
      </c>
      <c r="G410" s="30" t="s">
        <v>1462</v>
      </c>
      <c r="H410" s="29">
        <v>833</v>
      </c>
      <c r="I410" s="29">
        <v>1</v>
      </c>
      <c r="J410" s="29"/>
      <c r="K410" s="30"/>
      <c r="L410" s="29" t="s">
        <v>72</v>
      </c>
      <c r="M410" s="31">
        <v>4627.5</v>
      </c>
      <c r="N410" s="31">
        <v>4627.5</v>
      </c>
      <c r="O410" s="31">
        <v>9255</v>
      </c>
      <c r="P410" s="31">
        <f>VLOOKUP(F410,'[3]1ª PARCELA'!$E$5:$H$889,4,FALSE)</f>
        <v>9255</v>
      </c>
      <c r="Q410" s="31" t="b">
        <f t="shared" si="6"/>
        <v>1</v>
      </c>
      <c r="R410" s="32">
        <v>45967</v>
      </c>
      <c r="S410" s="29">
        <v>29630</v>
      </c>
      <c r="T410" s="29" t="s">
        <v>1463</v>
      </c>
      <c r="U410" s="33" t="s">
        <v>1464</v>
      </c>
    </row>
    <row r="411" spans="1:21" ht="28.5" customHeight="1" x14ac:dyDescent="0.3">
      <c r="A411" s="27">
        <v>408</v>
      </c>
      <c r="B411" s="28">
        <v>2025</v>
      </c>
      <c r="C411" s="29" t="s">
        <v>961</v>
      </c>
      <c r="D411" s="30" t="s">
        <v>1455</v>
      </c>
      <c r="E411" s="29">
        <v>29201390</v>
      </c>
      <c r="F411" s="29">
        <v>1100159</v>
      </c>
      <c r="G411" s="30" t="s">
        <v>1465</v>
      </c>
      <c r="H411" s="29">
        <v>1055</v>
      </c>
      <c r="I411" s="29">
        <v>1</v>
      </c>
      <c r="J411" s="29"/>
      <c r="K411" s="30"/>
      <c r="L411" s="29" t="s">
        <v>72</v>
      </c>
      <c r="M411" s="31">
        <v>4590</v>
      </c>
      <c r="N411" s="31">
        <v>6885</v>
      </c>
      <c r="O411" s="31">
        <v>11475</v>
      </c>
      <c r="P411" s="31">
        <f>VLOOKUP(F411,'[3]1ª PARCELA'!$E$5:$H$889,4,FALSE)</f>
        <v>11475</v>
      </c>
      <c r="Q411" s="31" t="b">
        <f t="shared" si="6"/>
        <v>1</v>
      </c>
      <c r="R411" s="32">
        <v>45833</v>
      </c>
      <c r="S411" s="29">
        <v>13120</v>
      </c>
      <c r="T411" s="29" t="s">
        <v>1466</v>
      </c>
      <c r="U411" s="33" t="s">
        <v>1467</v>
      </c>
    </row>
    <row r="412" spans="1:21" ht="28.5" customHeight="1" x14ac:dyDescent="0.3">
      <c r="A412" s="27">
        <v>409</v>
      </c>
      <c r="B412" s="28">
        <v>2025</v>
      </c>
      <c r="C412" s="29" t="s">
        <v>961</v>
      </c>
      <c r="D412" s="30" t="s">
        <v>1455</v>
      </c>
      <c r="E412" s="29">
        <v>29201527</v>
      </c>
      <c r="F412" s="29">
        <v>1100930</v>
      </c>
      <c r="G412" s="30" t="s">
        <v>1468</v>
      </c>
      <c r="H412" s="29">
        <v>442</v>
      </c>
      <c r="I412" s="29">
        <v>1</v>
      </c>
      <c r="J412" s="29"/>
      <c r="K412" s="30"/>
      <c r="L412" s="29" t="s">
        <v>72</v>
      </c>
      <c r="M412" s="31">
        <v>3741.5</v>
      </c>
      <c r="N412" s="31">
        <v>1603.5</v>
      </c>
      <c r="O412" s="31">
        <v>5345</v>
      </c>
      <c r="P412" s="31">
        <f>VLOOKUP(F412,'[3]1ª PARCELA'!$E$5:$H$889,4,FALSE)</f>
        <v>5345</v>
      </c>
      <c r="Q412" s="31" t="b">
        <f t="shared" si="6"/>
        <v>1</v>
      </c>
      <c r="R412" s="32">
        <v>45967</v>
      </c>
      <c r="S412" s="29">
        <v>29630</v>
      </c>
      <c r="T412" s="29" t="s">
        <v>1469</v>
      </c>
      <c r="U412" s="33" t="s">
        <v>1470</v>
      </c>
    </row>
    <row r="413" spans="1:21" ht="28.5" customHeight="1" x14ac:dyDescent="0.3">
      <c r="A413" s="27">
        <v>410</v>
      </c>
      <c r="B413" s="28">
        <v>2025</v>
      </c>
      <c r="C413" s="29" t="s">
        <v>961</v>
      </c>
      <c r="D413" s="30" t="s">
        <v>1455</v>
      </c>
      <c r="E413" s="29">
        <v>29201535</v>
      </c>
      <c r="F413" s="29">
        <v>1104928</v>
      </c>
      <c r="G413" s="30" t="s">
        <v>1471</v>
      </c>
      <c r="H413" s="29">
        <v>332</v>
      </c>
      <c r="I413" s="29">
        <v>1</v>
      </c>
      <c r="J413" s="29"/>
      <c r="K413" s="30"/>
      <c r="L413" s="29" t="s">
        <v>72</v>
      </c>
      <c r="M413" s="31">
        <v>3047.5</v>
      </c>
      <c r="N413" s="31">
        <v>3047.5</v>
      </c>
      <c r="O413" s="31">
        <v>6095</v>
      </c>
      <c r="P413" s="31">
        <f>VLOOKUP(F413,'[3]1ª PARCELA'!$E$5:$H$889,4,FALSE)</f>
        <v>6095</v>
      </c>
      <c r="Q413" s="31" t="b">
        <f t="shared" si="6"/>
        <v>1</v>
      </c>
      <c r="R413" s="32">
        <v>45833</v>
      </c>
      <c r="S413" s="29">
        <v>13120</v>
      </c>
      <c r="T413" s="29" t="s">
        <v>1472</v>
      </c>
      <c r="U413" s="33" t="s">
        <v>1473</v>
      </c>
    </row>
    <row r="414" spans="1:21" ht="28.5" customHeight="1" x14ac:dyDescent="0.3">
      <c r="A414" s="27">
        <v>411</v>
      </c>
      <c r="B414" s="28">
        <v>2025</v>
      </c>
      <c r="C414" s="29" t="s">
        <v>961</v>
      </c>
      <c r="D414" s="30" t="s">
        <v>1455</v>
      </c>
      <c r="E414" s="29">
        <v>29201632</v>
      </c>
      <c r="F414" s="29">
        <v>1176072</v>
      </c>
      <c r="G414" s="30" t="s">
        <v>1474</v>
      </c>
      <c r="H414" s="29">
        <v>661</v>
      </c>
      <c r="I414" s="29">
        <v>1</v>
      </c>
      <c r="J414" s="29"/>
      <c r="K414" s="30"/>
      <c r="L414" s="29" t="s">
        <v>72</v>
      </c>
      <c r="M414" s="31">
        <v>6028</v>
      </c>
      <c r="N414" s="31">
        <v>1507</v>
      </c>
      <c r="O414" s="31">
        <v>7535</v>
      </c>
      <c r="P414" s="31">
        <f>VLOOKUP(F414,'[3]1ª PARCELA'!$E$5:$H$889,4,FALSE)</f>
        <v>7535</v>
      </c>
      <c r="Q414" s="31" t="b">
        <f t="shared" si="6"/>
        <v>1</v>
      </c>
      <c r="R414" s="32">
        <v>45833</v>
      </c>
      <c r="S414" s="29">
        <v>13120</v>
      </c>
      <c r="T414" s="29" t="s">
        <v>1475</v>
      </c>
      <c r="U414" s="33" t="s">
        <v>1476</v>
      </c>
    </row>
    <row r="415" spans="1:21" ht="28.5" customHeight="1" x14ac:dyDescent="0.3">
      <c r="A415" s="27">
        <v>412</v>
      </c>
      <c r="B415" s="28">
        <v>2025</v>
      </c>
      <c r="C415" s="29" t="s">
        <v>961</v>
      </c>
      <c r="D415" s="30" t="s">
        <v>1455</v>
      </c>
      <c r="E415" s="29">
        <v>29201853</v>
      </c>
      <c r="F415" s="29">
        <v>1103395</v>
      </c>
      <c r="G415" s="30" t="s">
        <v>1477</v>
      </c>
      <c r="H415" s="29">
        <v>629</v>
      </c>
      <c r="I415" s="29">
        <v>1</v>
      </c>
      <c r="J415" s="29"/>
      <c r="K415" s="30"/>
      <c r="L415" s="29" t="s">
        <v>72</v>
      </c>
      <c r="M415" s="31">
        <v>4329</v>
      </c>
      <c r="N415" s="31">
        <v>2886</v>
      </c>
      <c r="O415" s="31">
        <v>7215</v>
      </c>
      <c r="P415" s="31">
        <f>VLOOKUP(F415,'[3]1ª PARCELA'!$E$5:$H$889,4,FALSE)</f>
        <v>7215</v>
      </c>
      <c r="Q415" s="31" t="b">
        <f t="shared" si="6"/>
        <v>1</v>
      </c>
      <c r="R415" s="32">
        <v>45833</v>
      </c>
      <c r="S415" s="29">
        <v>13120</v>
      </c>
      <c r="T415" s="29" t="s">
        <v>1478</v>
      </c>
      <c r="U415" s="33" t="s">
        <v>1479</v>
      </c>
    </row>
    <row r="416" spans="1:21" ht="28.5" customHeight="1" x14ac:dyDescent="0.3">
      <c r="A416" s="27">
        <v>413</v>
      </c>
      <c r="B416" s="28">
        <v>2025</v>
      </c>
      <c r="C416" s="29" t="s">
        <v>961</v>
      </c>
      <c r="D416" s="30" t="s">
        <v>1480</v>
      </c>
      <c r="E416" s="29">
        <v>29202493</v>
      </c>
      <c r="F416" s="29">
        <v>1102410</v>
      </c>
      <c r="G416" s="30" t="s">
        <v>1481</v>
      </c>
      <c r="H416" s="29">
        <v>188</v>
      </c>
      <c r="I416" s="29">
        <v>1</v>
      </c>
      <c r="J416" s="29"/>
      <c r="K416" s="30"/>
      <c r="L416" s="29" t="s">
        <v>72</v>
      </c>
      <c r="M416" s="31">
        <v>1402.5</v>
      </c>
      <c r="N416" s="31">
        <v>1402.5</v>
      </c>
      <c r="O416" s="31">
        <v>2805</v>
      </c>
      <c r="P416" s="31">
        <f>VLOOKUP(F416,'[3]1ª PARCELA'!$E$5:$H$889,4,FALSE)</f>
        <v>2805</v>
      </c>
      <c r="Q416" s="31" t="b">
        <f t="shared" si="6"/>
        <v>1</v>
      </c>
      <c r="R416" s="32">
        <v>45895</v>
      </c>
      <c r="S416" s="29">
        <v>19863</v>
      </c>
      <c r="T416" s="29" t="s">
        <v>1482</v>
      </c>
      <c r="U416" s="33" t="s">
        <v>1483</v>
      </c>
    </row>
    <row r="417" spans="1:21" ht="28.5" customHeight="1" x14ac:dyDescent="0.3">
      <c r="A417" s="27">
        <v>414</v>
      </c>
      <c r="B417" s="28">
        <v>2025</v>
      </c>
      <c r="C417" s="29" t="s">
        <v>961</v>
      </c>
      <c r="D417" s="30" t="s">
        <v>1480</v>
      </c>
      <c r="E417" s="29">
        <v>29202604</v>
      </c>
      <c r="F417" s="29">
        <v>1102402</v>
      </c>
      <c r="G417" s="30" t="s">
        <v>1484</v>
      </c>
      <c r="H417" s="29">
        <v>1263</v>
      </c>
      <c r="I417" s="29">
        <v>1</v>
      </c>
      <c r="J417" s="29"/>
      <c r="K417" s="30"/>
      <c r="L417" s="29" t="s">
        <v>72</v>
      </c>
      <c r="M417" s="31">
        <v>10844</v>
      </c>
      <c r="N417" s="31">
        <v>2711</v>
      </c>
      <c r="O417" s="31">
        <v>13555</v>
      </c>
      <c r="P417" s="31">
        <f>VLOOKUP(F417,'[3]1ª PARCELA'!$E$5:$H$889,4,FALSE)</f>
        <v>13555</v>
      </c>
      <c r="Q417" s="31" t="b">
        <f t="shared" si="6"/>
        <v>1</v>
      </c>
      <c r="R417" s="32">
        <v>45833</v>
      </c>
      <c r="S417" s="29">
        <v>13120</v>
      </c>
      <c r="T417" s="29" t="s">
        <v>1485</v>
      </c>
      <c r="U417" s="33" t="s">
        <v>1486</v>
      </c>
    </row>
    <row r="418" spans="1:21" ht="28.5" customHeight="1" x14ac:dyDescent="0.3">
      <c r="A418" s="27">
        <v>415</v>
      </c>
      <c r="B418" s="28">
        <v>2025</v>
      </c>
      <c r="C418" s="29" t="s">
        <v>263</v>
      </c>
      <c r="D418" s="30" t="s">
        <v>1487</v>
      </c>
      <c r="E418" s="29">
        <v>29205000</v>
      </c>
      <c r="F418" s="29">
        <v>1127456</v>
      </c>
      <c r="G418" s="30" t="s">
        <v>1488</v>
      </c>
      <c r="H418" s="29">
        <v>220</v>
      </c>
      <c r="I418" s="29">
        <v>1</v>
      </c>
      <c r="J418" s="29"/>
      <c r="K418" s="30"/>
      <c r="L418" s="29" t="s">
        <v>72</v>
      </c>
      <c r="M418" s="31">
        <v>1875</v>
      </c>
      <c r="N418" s="31">
        <v>1250</v>
      </c>
      <c r="O418" s="31">
        <v>3125</v>
      </c>
      <c r="P418" s="31">
        <f>VLOOKUP(F418,'[3]1ª PARCELA'!$E$5:$H$889,4,FALSE)</f>
        <v>3125</v>
      </c>
      <c r="Q418" s="31" t="b">
        <f t="shared" si="6"/>
        <v>1</v>
      </c>
      <c r="R418" s="32">
        <v>45933</v>
      </c>
      <c r="S418" s="29">
        <v>25397</v>
      </c>
      <c r="T418" s="29" t="s">
        <v>1489</v>
      </c>
      <c r="U418" s="33" t="s">
        <v>1490</v>
      </c>
    </row>
    <row r="419" spans="1:21" ht="28.5" customHeight="1" x14ac:dyDescent="0.3">
      <c r="A419" s="27">
        <v>416</v>
      </c>
      <c r="B419" s="28">
        <v>2025</v>
      </c>
      <c r="C419" s="29" t="s">
        <v>1491</v>
      </c>
      <c r="D419" s="30" t="s">
        <v>1492</v>
      </c>
      <c r="E419" s="29">
        <v>29205387</v>
      </c>
      <c r="F419" s="29">
        <v>1167709</v>
      </c>
      <c r="G419" s="30" t="s">
        <v>1493</v>
      </c>
      <c r="H419" s="29">
        <v>260</v>
      </c>
      <c r="I419" s="29">
        <v>1</v>
      </c>
      <c r="J419" s="29"/>
      <c r="K419" s="30"/>
      <c r="L419" s="29" t="s">
        <v>72</v>
      </c>
      <c r="M419" s="31">
        <v>2115</v>
      </c>
      <c r="N419" s="31">
        <v>1410</v>
      </c>
      <c r="O419" s="31">
        <v>3525</v>
      </c>
      <c r="P419" s="31">
        <f>VLOOKUP(F419,'[3]1ª PARCELA'!$E$5:$H$889,4,FALSE)</f>
        <v>3525</v>
      </c>
      <c r="Q419" s="31" t="b">
        <f t="shared" si="6"/>
        <v>1</v>
      </c>
      <c r="R419" s="32">
        <v>45945</v>
      </c>
      <c r="S419" s="29">
        <v>27117</v>
      </c>
      <c r="T419" s="29" t="s">
        <v>1494</v>
      </c>
      <c r="U419" s="33" t="s">
        <v>1495</v>
      </c>
    </row>
    <row r="420" spans="1:21" ht="28.5" customHeight="1" x14ac:dyDescent="0.3">
      <c r="A420" s="27">
        <v>417</v>
      </c>
      <c r="B420" s="28">
        <v>2025</v>
      </c>
      <c r="C420" s="29" t="s">
        <v>1491</v>
      </c>
      <c r="D420" s="30" t="s">
        <v>1496</v>
      </c>
      <c r="E420" s="29">
        <v>29206545</v>
      </c>
      <c r="F420" s="29">
        <v>1127960</v>
      </c>
      <c r="G420" s="30" t="s">
        <v>1497</v>
      </c>
      <c r="H420" s="29">
        <v>326</v>
      </c>
      <c r="I420" s="29">
        <v>1</v>
      </c>
      <c r="J420" s="29"/>
      <c r="K420" s="30"/>
      <c r="L420" s="29" t="s">
        <v>72</v>
      </c>
      <c r="M420" s="31">
        <v>2511</v>
      </c>
      <c r="N420" s="31">
        <v>1674</v>
      </c>
      <c r="O420" s="31">
        <v>4185</v>
      </c>
      <c r="P420" s="31">
        <f>VLOOKUP(F420,'[3]1ª PARCELA'!$E$5:$H$889,4,FALSE)</f>
        <v>4185</v>
      </c>
      <c r="Q420" s="31" t="b">
        <f t="shared" si="6"/>
        <v>1</v>
      </c>
      <c r="R420" s="32">
        <v>45954</v>
      </c>
      <c r="S420" s="29">
        <v>28607</v>
      </c>
      <c r="T420" s="29" t="s">
        <v>1498</v>
      </c>
      <c r="U420" s="33" t="s">
        <v>1499</v>
      </c>
    </row>
    <row r="421" spans="1:21" ht="28.5" customHeight="1" x14ac:dyDescent="0.3">
      <c r="A421" s="27">
        <v>418</v>
      </c>
      <c r="B421" s="28">
        <v>2025</v>
      </c>
      <c r="C421" s="29" t="s">
        <v>375</v>
      </c>
      <c r="D421" s="30" t="s">
        <v>1500</v>
      </c>
      <c r="E421" s="29">
        <v>29206936</v>
      </c>
      <c r="F421" s="29">
        <v>1132166</v>
      </c>
      <c r="G421" s="30" t="s">
        <v>1501</v>
      </c>
      <c r="H421" s="29">
        <v>189</v>
      </c>
      <c r="I421" s="29">
        <v>1</v>
      </c>
      <c r="J421" s="29"/>
      <c r="K421" s="30"/>
      <c r="L421" s="29" t="s">
        <v>72</v>
      </c>
      <c r="M421" s="31">
        <v>3732</v>
      </c>
      <c r="N421" s="31">
        <v>933</v>
      </c>
      <c r="O421" s="31">
        <v>4665</v>
      </c>
      <c r="P421" s="31">
        <f>VLOOKUP(F421,'[3]1ª PARCELA'!$E$5:$H$889,4,FALSE)</f>
        <v>4665</v>
      </c>
      <c r="Q421" s="31" t="b">
        <f t="shared" si="6"/>
        <v>1</v>
      </c>
      <c r="R421" s="32">
        <v>45793</v>
      </c>
      <c r="S421" s="29">
        <v>9173</v>
      </c>
      <c r="T421" s="29" t="s">
        <v>1502</v>
      </c>
      <c r="U421" s="33" t="s">
        <v>1503</v>
      </c>
    </row>
    <row r="422" spans="1:21" ht="28.5" customHeight="1" x14ac:dyDescent="0.3">
      <c r="A422" s="27">
        <v>419</v>
      </c>
      <c r="B422" s="28">
        <v>2025</v>
      </c>
      <c r="C422" s="29" t="s">
        <v>375</v>
      </c>
      <c r="D422" s="30" t="s">
        <v>1500</v>
      </c>
      <c r="E422" s="29">
        <v>29207770</v>
      </c>
      <c r="F422" s="29">
        <v>1133090</v>
      </c>
      <c r="G422" s="30" t="s">
        <v>1504</v>
      </c>
      <c r="H422" s="29">
        <v>410</v>
      </c>
      <c r="I422" s="29">
        <v>1</v>
      </c>
      <c r="J422" s="29"/>
      <c r="K422" s="30"/>
      <c r="L422" s="29" t="s">
        <v>72</v>
      </c>
      <c r="M422" s="31">
        <v>3517.5</v>
      </c>
      <c r="N422" s="31">
        <v>1507.5</v>
      </c>
      <c r="O422" s="31">
        <v>5025</v>
      </c>
      <c r="P422" s="31">
        <f>VLOOKUP(F422,'[3]1ª PARCELA'!$E$5:$H$889,4,FALSE)</f>
        <v>5025</v>
      </c>
      <c r="Q422" s="31" t="b">
        <f t="shared" si="6"/>
        <v>1</v>
      </c>
      <c r="R422" s="32">
        <v>45895</v>
      </c>
      <c r="S422" s="29">
        <v>19863</v>
      </c>
      <c r="T422" s="29" t="s">
        <v>1505</v>
      </c>
      <c r="U422" s="33" t="s">
        <v>1506</v>
      </c>
    </row>
    <row r="423" spans="1:21" ht="28.5" customHeight="1" x14ac:dyDescent="0.3">
      <c r="A423" s="27">
        <v>420</v>
      </c>
      <c r="B423" s="28">
        <v>2025</v>
      </c>
      <c r="C423" s="29" t="s">
        <v>272</v>
      </c>
      <c r="D423" s="30" t="s">
        <v>1507</v>
      </c>
      <c r="E423" s="29">
        <v>29207843</v>
      </c>
      <c r="F423" s="29">
        <v>1127260</v>
      </c>
      <c r="G423" s="30" t="s">
        <v>1508</v>
      </c>
      <c r="H423" s="29">
        <v>353</v>
      </c>
      <c r="I423" s="29">
        <v>1</v>
      </c>
      <c r="J423" s="29"/>
      <c r="K423" s="30"/>
      <c r="L423" s="29" t="s">
        <v>72</v>
      </c>
      <c r="M423" s="31">
        <v>3564</v>
      </c>
      <c r="N423" s="31">
        <v>891</v>
      </c>
      <c r="O423" s="31">
        <v>4455</v>
      </c>
      <c r="P423" s="31">
        <f>VLOOKUP(F423,'[3]1ª PARCELA'!$E$5:$H$889,4,FALSE)</f>
        <v>4455</v>
      </c>
      <c r="Q423" s="31" t="b">
        <f t="shared" si="6"/>
        <v>1</v>
      </c>
      <c r="R423" s="32">
        <v>45793</v>
      </c>
      <c r="S423" s="29">
        <v>9173</v>
      </c>
      <c r="T423" s="29" t="s">
        <v>1509</v>
      </c>
      <c r="U423" s="33" t="s">
        <v>1510</v>
      </c>
    </row>
    <row r="424" spans="1:21" ht="28.5" customHeight="1" x14ac:dyDescent="0.3">
      <c r="A424" s="27">
        <v>421</v>
      </c>
      <c r="B424" s="28">
        <v>2025</v>
      </c>
      <c r="C424" s="29" t="s">
        <v>1491</v>
      </c>
      <c r="D424" s="30" t="s">
        <v>1511</v>
      </c>
      <c r="E424" s="29">
        <v>29208297</v>
      </c>
      <c r="F424" s="29">
        <v>1128177</v>
      </c>
      <c r="G424" s="30" t="s">
        <v>1512</v>
      </c>
      <c r="H424" s="29">
        <v>1264</v>
      </c>
      <c r="I424" s="29">
        <v>1</v>
      </c>
      <c r="J424" s="29"/>
      <c r="K424" s="30"/>
      <c r="L424" s="29" t="s">
        <v>72</v>
      </c>
      <c r="M424" s="31">
        <v>10852</v>
      </c>
      <c r="N424" s="31">
        <v>2713</v>
      </c>
      <c r="O424" s="31">
        <v>13565</v>
      </c>
      <c r="P424" s="31">
        <f>VLOOKUP(F424,'[3]1ª PARCELA'!$E$5:$H$889,4,FALSE)</f>
        <v>13565</v>
      </c>
      <c r="Q424" s="31" t="b">
        <f t="shared" si="6"/>
        <v>1</v>
      </c>
      <c r="R424" s="32">
        <v>45938</v>
      </c>
      <c r="S424" s="29">
        <v>25952</v>
      </c>
      <c r="T424" s="29" t="s">
        <v>1513</v>
      </c>
      <c r="U424" s="33" t="s">
        <v>1514</v>
      </c>
    </row>
    <row r="425" spans="1:21" ht="28.5" customHeight="1" x14ac:dyDescent="0.3">
      <c r="A425" s="27">
        <v>422</v>
      </c>
      <c r="B425" s="28">
        <v>2025</v>
      </c>
      <c r="C425" s="29" t="s">
        <v>1491</v>
      </c>
      <c r="D425" s="30" t="s">
        <v>1511</v>
      </c>
      <c r="E425" s="29">
        <v>29209439</v>
      </c>
      <c r="F425" s="29">
        <v>1128088</v>
      </c>
      <c r="G425" s="30" t="s">
        <v>1515</v>
      </c>
      <c r="H425" s="29">
        <v>110</v>
      </c>
      <c r="I425" s="29">
        <v>1</v>
      </c>
      <c r="J425" s="29"/>
      <c r="K425" s="30"/>
      <c r="L425" s="29" t="s">
        <v>72</v>
      </c>
      <c r="M425" s="31">
        <v>1620</v>
      </c>
      <c r="N425" s="31">
        <v>405</v>
      </c>
      <c r="O425" s="31">
        <v>2025</v>
      </c>
      <c r="P425" s="31">
        <f>VLOOKUP(F425,'[3]1ª PARCELA'!$E$5:$H$889,4,FALSE)</f>
        <v>2025</v>
      </c>
      <c r="Q425" s="31" t="b">
        <f t="shared" si="6"/>
        <v>1</v>
      </c>
      <c r="R425" s="32">
        <v>45938</v>
      </c>
      <c r="S425" s="29">
        <v>25952</v>
      </c>
      <c r="T425" s="29" t="s">
        <v>1516</v>
      </c>
      <c r="U425" s="33" t="s">
        <v>1517</v>
      </c>
    </row>
    <row r="426" spans="1:21" ht="28.5" customHeight="1" x14ac:dyDescent="0.3">
      <c r="A426" s="27">
        <v>423</v>
      </c>
      <c r="B426" s="28">
        <v>2025</v>
      </c>
      <c r="C426" s="29" t="s">
        <v>375</v>
      </c>
      <c r="D426" s="30" t="s">
        <v>1518</v>
      </c>
      <c r="E426" s="29">
        <v>29209994</v>
      </c>
      <c r="F426" s="29">
        <v>1164491</v>
      </c>
      <c r="G426" s="30" t="s">
        <v>1519</v>
      </c>
      <c r="H426" s="29">
        <v>450</v>
      </c>
      <c r="I426" s="29">
        <v>1</v>
      </c>
      <c r="J426" s="29"/>
      <c r="K426" s="30"/>
      <c r="L426" s="29" t="s">
        <v>72</v>
      </c>
      <c r="M426" s="31">
        <v>1627.5</v>
      </c>
      <c r="N426" s="31">
        <v>3797.5</v>
      </c>
      <c r="O426" s="31">
        <v>5425</v>
      </c>
      <c r="P426" s="31">
        <f>VLOOKUP(F426,'[3]1ª PARCELA'!$E$5:$H$889,4,FALSE)</f>
        <v>5425</v>
      </c>
      <c r="Q426" s="31" t="b">
        <f t="shared" si="6"/>
        <v>1</v>
      </c>
      <c r="R426" s="32">
        <v>45793</v>
      </c>
      <c r="S426" s="29">
        <v>9173</v>
      </c>
      <c r="T426" s="29" t="s">
        <v>1520</v>
      </c>
      <c r="U426" s="33" t="s">
        <v>1521</v>
      </c>
    </row>
    <row r="427" spans="1:21" ht="28.5" customHeight="1" x14ac:dyDescent="0.3">
      <c r="A427" s="27">
        <v>424</v>
      </c>
      <c r="B427" s="28">
        <v>2025</v>
      </c>
      <c r="C427" s="29" t="s">
        <v>263</v>
      </c>
      <c r="D427" s="30" t="s">
        <v>1522</v>
      </c>
      <c r="E427" s="29">
        <v>29210399</v>
      </c>
      <c r="F427" s="29">
        <v>1127855</v>
      </c>
      <c r="G427" s="30" t="s">
        <v>1523</v>
      </c>
      <c r="H427" s="29">
        <v>652</v>
      </c>
      <c r="I427" s="29">
        <v>1</v>
      </c>
      <c r="J427" s="29"/>
      <c r="K427" s="30"/>
      <c r="L427" s="29" t="s">
        <v>72</v>
      </c>
      <c r="M427" s="31">
        <v>5956</v>
      </c>
      <c r="N427" s="31">
        <v>1489</v>
      </c>
      <c r="O427" s="31">
        <v>7445</v>
      </c>
      <c r="P427" s="31">
        <f>VLOOKUP(F427,'[3]1ª PARCELA'!$E$5:$H$889,4,FALSE)</f>
        <v>7445</v>
      </c>
      <c r="Q427" s="31" t="b">
        <f t="shared" si="6"/>
        <v>1</v>
      </c>
      <c r="R427" s="32">
        <v>45793</v>
      </c>
      <c r="S427" s="29">
        <v>9173</v>
      </c>
      <c r="T427" s="29" t="s">
        <v>1524</v>
      </c>
      <c r="U427" s="33" t="s">
        <v>1525</v>
      </c>
    </row>
    <row r="428" spans="1:21" ht="28.5" customHeight="1" x14ac:dyDescent="0.3">
      <c r="A428" s="27">
        <v>425</v>
      </c>
      <c r="B428" s="28">
        <v>2025</v>
      </c>
      <c r="C428" s="29" t="s">
        <v>1526</v>
      </c>
      <c r="D428" s="30" t="s">
        <v>1527</v>
      </c>
      <c r="E428" s="29">
        <v>29210950</v>
      </c>
      <c r="F428" s="29">
        <v>1127910</v>
      </c>
      <c r="G428" s="30" t="s">
        <v>1528</v>
      </c>
      <c r="H428" s="29">
        <v>761</v>
      </c>
      <c r="I428" s="29">
        <v>1</v>
      </c>
      <c r="J428" s="29"/>
      <c r="K428" s="30"/>
      <c r="L428" s="29" t="s">
        <v>72</v>
      </c>
      <c r="M428" s="31">
        <v>8535</v>
      </c>
      <c r="N428" s="31">
        <v>0</v>
      </c>
      <c r="O428" s="31">
        <v>8535</v>
      </c>
      <c r="P428" s="31">
        <f>VLOOKUP(F428,'[3]1ª PARCELA'!$E$5:$H$889,4,FALSE)</f>
        <v>8535</v>
      </c>
      <c r="Q428" s="31" t="b">
        <f t="shared" si="6"/>
        <v>1</v>
      </c>
      <c r="R428" s="32">
        <v>45793</v>
      </c>
      <c r="S428" s="29">
        <v>9173</v>
      </c>
      <c r="T428" s="29" t="s">
        <v>1529</v>
      </c>
      <c r="U428" s="33" t="s">
        <v>1530</v>
      </c>
    </row>
    <row r="429" spans="1:21" ht="28.5" customHeight="1" x14ac:dyDescent="0.3">
      <c r="A429" s="27">
        <v>426</v>
      </c>
      <c r="B429" s="28">
        <v>2025</v>
      </c>
      <c r="C429" s="29" t="s">
        <v>375</v>
      </c>
      <c r="D429" s="30" t="s">
        <v>1531</v>
      </c>
      <c r="E429" s="29">
        <v>29211590</v>
      </c>
      <c r="F429" s="29">
        <v>1168110</v>
      </c>
      <c r="G429" s="30" t="s">
        <v>1532</v>
      </c>
      <c r="H429" s="29">
        <v>247</v>
      </c>
      <c r="I429" s="29">
        <v>1</v>
      </c>
      <c r="J429" s="29"/>
      <c r="K429" s="30"/>
      <c r="L429" s="29" t="s">
        <v>72</v>
      </c>
      <c r="M429" s="31">
        <v>1697.5</v>
      </c>
      <c r="N429" s="31">
        <v>1697.5</v>
      </c>
      <c r="O429" s="31">
        <v>3395</v>
      </c>
      <c r="P429" s="31">
        <f>VLOOKUP(F429,'[3]1ª PARCELA'!$E$5:$H$889,4,FALSE)</f>
        <v>3395</v>
      </c>
      <c r="Q429" s="31" t="b">
        <f t="shared" si="6"/>
        <v>1</v>
      </c>
      <c r="R429" s="32">
        <v>45793</v>
      </c>
      <c r="S429" s="29">
        <v>9173</v>
      </c>
      <c r="T429" s="29" t="s">
        <v>1533</v>
      </c>
      <c r="U429" s="33" t="s">
        <v>1534</v>
      </c>
    </row>
    <row r="430" spans="1:21" ht="28.5" customHeight="1" x14ac:dyDescent="0.3">
      <c r="A430" s="27">
        <v>427</v>
      </c>
      <c r="B430" s="28">
        <v>2025</v>
      </c>
      <c r="C430" s="29" t="s">
        <v>375</v>
      </c>
      <c r="D430" s="30" t="s">
        <v>1535</v>
      </c>
      <c r="E430" s="29">
        <v>29213592</v>
      </c>
      <c r="F430" s="29">
        <v>1123701</v>
      </c>
      <c r="G430" s="30" t="s">
        <v>1536</v>
      </c>
      <c r="H430" s="29">
        <v>320</v>
      </c>
      <c r="I430" s="29">
        <v>1</v>
      </c>
      <c r="J430" s="29"/>
      <c r="K430" s="30"/>
      <c r="L430" s="29" t="s">
        <v>72</v>
      </c>
      <c r="M430" s="31">
        <v>2062.5</v>
      </c>
      <c r="N430" s="31">
        <v>2062.5</v>
      </c>
      <c r="O430" s="31">
        <v>4125</v>
      </c>
      <c r="P430" s="31">
        <f>VLOOKUP(F430,'[3]1ª PARCELA'!$E$5:$H$889,4,FALSE)</f>
        <v>4125</v>
      </c>
      <c r="Q430" s="31" t="b">
        <f t="shared" si="6"/>
        <v>1</v>
      </c>
      <c r="R430" s="32">
        <v>45833</v>
      </c>
      <c r="S430" s="29">
        <v>13120</v>
      </c>
      <c r="T430" s="29" t="s">
        <v>1537</v>
      </c>
      <c r="U430" s="33" t="s">
        <v>1538</v>
      </c>
    </row>
    <row r="431" spans="1:21" ht="28.5" customHeight="1" x14ac:dyDescent="0.3">
      <c r="A431" s="27">
        <v>428</v>
      </c>
      <c r="B431" s="28">
        <v>2025</v>
      </c>
      <c r="C431" s="29" t="s">
        <v>375</v>
      </c>
      <c r="D431" s="30" t="s">
        <v>1539</v>
      </c>
      <c r="E431" s="29">
        <v>29214211</v>
      </c>
      <c r="F431" s="29">
        <v>1133014</v>
      </c>
      <c r="G431" s="30" t="s">
        <v>1540</v>
      </c>
      <c r="H431" s="29">
        <v>562</v>
      </c>
      <c r="I431" s="29">
        <v>1</v>
      </c>
      <c r="J431" s="29"/>
      <c r="K431" s="30"/>
      <c r="L431" s="29" t="s">
        <v>72</v>
      </c>
      <c r="M431" s="31">
        <v>4581.5</v>
      </c>
      <c r="N431" s="31">
        <v>1963.5</v>
      </c>
      <c r="O431" s="31">
        <v>6545</v>
      </c>
      <c r="P431" s="31">
        <f>VLOOKUP(F431,'[3]1ª PARCELA'!$E$5:$H$889,4,FALSE)</f>
        <v>6545</v>
      </c>
      <c r="Q431" s="31" t="b">
        <f t="shared" si="6"/>
        <v>1</v>
      </c>
      <c r="R431" s="32">
        <v>45938</v>
      </c>
      <c r="S431" s="29">
        <v>25952</v>
      </c>
      <c r="T431" s="29" t="s">
        <v>1541</v>
      </c>
      <c r="U431" s="33" t="s">
        <v>1542</v>
      </c>
    </row>
    <row r="432" spans="1:21" ht="28.5" customHeight="1" x14ac:dyDescent="0.3">
      <c r="A432" s="27">
        <v>429</v>
      </c>
      <c r="B432" s="28">
        <v>2025</v>
      </c>
      <c r="C432" s="29" t="s">
        <v>1526</v>
      </c>
      <c r="D432" s="30" t="s">
        <v>1543</v>
      </c>
      <c r="E432" s="29">
        <v>29214866</v>
      </c>
      <c r="F432" s="29">
        <v>1124163</v>
      </c>
      <c r="G432" s="30" t="s">
        <v>1544</v>
      </c>
      <c r="H432" s="29">
        <v>218</v>
      </c>
      <c r="I432" s="29">
        <v>1</v>
      </c>
      <c r="J432" s="29"/>
      <c r="K432" s="30"/>
      <c r="L432" s="29" t="s">
        <v>72</v>
      </c>
      <c r="M432" s="31">
        <v>1863</v>
      </c>
      <c r="N432" s="31">
        <v>1242</v>
      </c>
      <c r="O432" s="31">
        <v>3105</v>
      </c>
      <c r="P432" s="31">
        <f>VLOOKUP(F432,'[3]1ª PARCELA'!$E$5:$H$889,4,FALSE)</f>
        <v>3105</v>
      </c>
      <c r="Q432" s="31" t="b">
        <f t="shared" si="6"/>
        <v>1</v>
      </c>
      <c r="R432" s="32">
        <v>45793</v>
      </c>
      <c r="S432" s="29">
        <v>9173</v>
      </c>
      <c r="T432" s="29" t="s">
        <v>1545</v>
      </c>
      <c r="U432" s="33" t="s">
        <v>1546</v>
      </c>
    </row>
    <row r="433" spans="1:21" ht="28.5" customHeight="1" x14ac:dyDescent="0.3">
      <c r="A433" s="27">
        <v>430</v>
      </c>
      <c r="B433" s="28">
        <v>2025</v>
      </c>
      <c r="C433" s="29" t="s">
        <v>375</v>
      </c>
      <c r="D433" s="30" t="s">
        <v>1547</v>
      </c>
      <c r="E433" s="29">
        <v>29214939</v>
      </c>
      <c r="F433" s="29">
        <v>1168411</v>
      </c>
      <c r="G433" s="30" t="s">
        <v>1548</v>
      </c>
      <c r="H433" s="29">
        <v>450</v>
      </c>
      <c r="I433" s="29">
        <v>1</v>
      </c>
      <c r="J433" s="29"/>
      <c r="K433" s="30"/>
      <c r="L433" s="29" t="s">
        <v>72</v>
      </c>
      <c r="M433" s="31">
        <v>4340</v>
      </c>
      <c r="N433" s="31">
        <v>1085</v>
      </c>
      <c r="O433" s="31">
        <v>5425</v>
      </c>
      <c r="P433" s="31">
        <f>VLOOKUP(F433,'[3]1ª PARCELA'!$E$5:$H$889,4,FALSE)</f>
        <v>5425</v>
      </c>
      <c r="Q433" s="31" t="b">
        <f t="shared" si="6"/>
        <v>1</v>
      </c>
      <c r="R433" s="32">
        <v>45967</v>
      </c>
      <c r="S433" s="29">
        <v>29630</v>
      </c>
      <c r="T433" s="29" t="s">
        <v>1549</v>
      </c>
      <c r="U433" s="33" t="s">
        <v>1550</v>
      </c>
    </row>
    <row r="434" spans="1:21" ht="28.5" customHeight="1" x14ac:dyDescent="0.3">
      <c r="A434" s="27">
        <v>431</v>
      </c>
      <c r="B434" s="28">
        <v>2025</v>
      </c>
      <c r="C434" s="29" t="s">
        <v>375</v>
      </c>
      <c r="D434" s="30" t="s">
        <v>1551</v>
      </c>
      <c r="E434" s="29">
        <v>29215382</v>
      </c>
      <c r="F434" s="29">
        <v>1170360</v>
      </c>
      <c r="G434" s="30" t="s">
        <v>1552</v>
      </c>
      <c r="H434" s="29">
        <v>597</v>
      </c>
      <c r="I434" s="29">
        <v>1</v>
      </c>
      <c r="J434" s="29"/>
      <c r="K434" s="30"/>
      <c r="L434" s="29" t="s">
        <v>72</v>
      </c>
      <c r="M434" s="31">
        <v>5516</v>
      </c>
      <c r="N434" s="31">
        <v>1379</v>
      </c>
      <c r="O434" s="31">
        <v>6895</v>
      </c>
      <c r="P434" s="31">
        <f>VLOOKUP(F434,'[3]1ª PARCELA'!$E$5:$H$889,4,FALSE)</f>
        <v>6895</v>
      </c>
      <c r="Q434" s="31" t="b">
        <f t="shared" si="6"/>
        <v>1</v>
      </c>
      <c r="R434" s="32">
        <v>45954</v>
      </c>
      <c r="S434" s="29">
        <v>28607</v>
      </c>
      <c r="T434" s="29" t="s">
        <v>1553</v>
      </c>
      <c r="U434" s="33" t="s">
        <v>1554</v>
      </c>
    </row>
    <row r="435" spans="1:21" ht="28.5" customHeight="1" x14ac:dyDescent="0.3">
      <c r="A435" s="27">
        <v>432</v>
      </c>
      <c r="B435" s="28">
        <v>2025</v>
      </c>
      <c r="C435" s="29" t="s">
        <v>375</v>
      </c>
      <c r="D435" s="30" t="s">
        <v>1555</v>
      </c>
      <c r="E435" s="29">
        <v>29216206</v>
      </c>
      <c r="F435" s="29">
        <v>1124481</v>
      </c>
      <c r="G435" s="30" t="s">
        <v>1556</v>
      </c>
      <c r="H435" s="29">
        <v>296</v>
      </c>
      <c r="I435" s="29">
        <v>1</v>
      </c>
      <c r="J435" s="29"/>
      <c r="K435" s="30"/>
      <c r="L435" s="29" t="s">
        <v>72</v>
      </c>
      <c r="M435" s="31">
        <v>777</v>
      </c>
      <c r="N435" s="31">
        <v>3108</v>
      </c>
      <c r="O435" s="31">
        <v>3885</v>
      </c>
      <c r="P435" s="31">
        <f>VLOOKUP(F435,'[3]1ª PARCELA'!$E$5:$H$889,4,FALSE)</f>
        <v>3885</v>
      </c>
      <c r="Q435" s="31" t="b">
        <f t="shared" si="6"/>
        <v>1</v>
      </c>
      <c r="R435" s="32">
        <v>45793</v>
      </c>
      <c r="S435" s="29">
        <v>9173</v>
      </c>
      <c r="T435" s="29" t="s">
        <v>1557</v>
      </c>
      <c r="U435" s="33" t="s">
        <v>1558</v>
      </c>
    </row>
    <row r="436" spans="1:21" ht="28.5" customHeight="1" x14ac:dyDescent="0.3">
      <c r="A436" s="27">
        <v>433</v>
      </c>
      <c r="B436" s="28">
        <v>2025</v>
      </c>
      <c r="C436" s="29" t="s">
        <v>375</v>
      </c>
      <c r="D436" s="30" t="s">
        <v>1559</v>
      </c>
      <c r="E436" s="29">
        <v>29216486</v>
      </c>
      <c r="F436" s="29">
        <v>1164149</v>
      </c>
      <c r="G436" s="30" t="s">
        <v>1560</v>
      </c>
      <c r="H436" s="29">
        <v>384</v>
      </c>
      <c r="I436" s="29">
        <v>1</v>
      </c>
      <c r="J436" s="29"/>
      <c r="K436" s="30"/>
      <c r="L436" s="29" t="s">
        <v>72</v>
      </c>
      <c r="M436" s="31">
        <v>3812</v>
      </c>
      <c r="N436" s="31">
        <v>953</v>
      </c>
      <c r="O436" s="31">
        <v>4765</v>
      </c>
      <c r="P436" s="31">
        <f>VLOOKUP(F436,'[3]1ª PARCELA'!$E$5:$H$889,4,FALSE)</f>
        <v>4765</v>
      </c>
      <c r="Q436" s="31" t="b">
        <f t="shared" si="6"/>
        <v>1</v>
      </c>
      <c r="R436" s="32">
        <v>45793</v>
      </c>
      <c r="S436" s="29">
        <v>9173</v>
      </c>
      <c r="T436" s="29" t="s">
        <v>1561</v>
      </c>
      <c r="U436" s="33" t="s">
        <v>1562</v>
      </c>
    </row>
    <row r="437" spans="1:21" ht="28.5" customHeight="1" x14ac:dyDescent="0.3">
      <c r="A437" s="27">
        <v>434</v>
      </c>
      <c r="B437" s="28">
        <v>2025</v>
      </c>
      <c r="C437" s="29" t="s">
        <v>375</v>
      </c>
      <c r="D437" s="30" t="s">
        <v>1563</v>
      </c>
      <c r="E437" s="29">
        <v>29219841</v>
      </c>
      <c r="F437" s="29">
        <v>1167997</v>
      </c>
      <c r="G437" s="30" t="s">
        <v>1564</v>
      </c>
      <c r="H437" s="29">
        <v>128</v>
      </c>
      <c r="I437" s="29">
        <v>1</v>
      </c>
      <c r="J437" s="29"/>
      <c r="K437" s="30"/>
      <c r="L437" s="29" t="s">
        <v>72</v>
      </c>
      <c r="M437" s="31">
        <v>2433</v>
      </c>
      <c r="N437" s="31">
        <v>1622</v>
      </c>
      <c r="O437" s="31">
        <v>4055</v>
      </c>
      <c r="P437" s="31">
        <f>VLOOKUP(F437,'[3]1ª PARCELA'!$E$5:$H$889,4,FALSE)</f>
        <v>4055</v>
      </c>
      <c r="Q437" s="31" t="b">
        <f t="shared" si="6"/>
        <v>1</v>
      </c>
      <c r="R437" s="32">
        <v>45793</v>
      </c>
      <c r="S437" s="29">
        <v>9173</v>
      </c>
      <c r="T437" s="29" t="s">
        <v>1565</v>
      </c>
      <c r="U437" s="33" t="s">
        <v>1566</v>
      </c>
    </row>
    <row r="438" spans="1:21" ht="28.5" customHeight="1" x14ac:dyDescent="0.3">
      <c r="A438" s="27">
        <v>435</v>
      </c>
      <c r="B438" s="28">
        <v>2025</v>
      </c>
      <c r="C438" s="29" t="s">
        <v>375</v>
      </c>
      <c r="D438" s="30" t="s">
        <v>1567</v>
      </c>
      <c r="E438" s="29">
        <v>29220076</v>
      </c>
      <c r="F438" s="29">
        <v>1133138</v>
      </c>
      <c r="G438" s="30" t="s">
        <v>1568</v>
      </c>
      <c r="H438" s="29">
        <v>1209</v>
      </c>
      <c r="I438" s="29">
        <v>1</v>
      </c>
      <c r="J438" s="29"/>
      <c r="K438" s="30"/>
      <c r="L438" s="29" t="s">
        <v>72</v>
      </c>
      <c r="M438" s="31">
        <v>10412</v>
      </c>
      <c r="N438" s="31">
        <v>2603</v>
      </c>
      <c r="O438" s="31">
        <v>13015</v>
      </c>
      <c r="P438" s="31">
        <f>VLOOKUP(F438,'[3]1ª PARCELA'!$E$5:$H$889,4,FALSE)</f>
        <v>13015</v>
      </c>
      <c r="Q438" s="31" t="b">
        <f t="shared" si="6"/>
        <v>1</v>
      </c>
      <c r="R438" s="32">
        <v>45793</v>
      </c>
      <c r="S438" s="29">
        <v>9173</v>
      </c>
      <c r="T438" s="29" t="s">
        <v>1569</v>
      </c>
      <c r="U438" s="33" t="s">
        <v>1570</v>
      </c>
    </row>
    <row r="439" spans="1:21" ht="28.5" customHeight="1" x14ac:dyDescent="0.3">
      <c r="A439" s="27">
        <v>436</v>
      </c>
      <c r="B439" s="28">
        <v>2025</v>
      </c>
      <c r="C439" s="29" t="s">
        <v>375</v>
      </c>
      <c r="D439" s="30" t="s">
        <v>1567</v>
      </c>
      <c r="E439" s="29">
        <v>29221307</v>
      </c>
      <c r="F439" s="29">
        <v>1133022</v>
      </c>
      <c r="G439" s="30" t="s">
        <v>1571</v>
      </c>
      <c r="H439" s="29">
        <v>278</v>
      </c>
      <c r="I439" s="29">
        <v>1</v>
      </c>
      <c r="J439" s="29"/>
      <c r="K439" s="30"/>
      <c r="L439" s="29" t="s">
        <v>72</v>
      </c>
      <c r="M439" s="31">
        <v>2223</v>
      </c>
      <c r="N439" s="31">
        <v>1482</v>
      </c>
      <c r="O439" s="31">
        <v>3705</v>
      </c>
      <c r="P439" s="31">
        <f>VLOOKUP(F439,'[3]1ª PARCELA'!$E$5:$H$889,4,FALSE)</f>
        <v>3705</v>
      </c>
      <c r="Q439" s="31" t="b">
        <f t="shared" si="6"/>
        <v>1</v>
      </c>
      <c r="R439" s="32">
        <v>45793</v>
      </c>
      <c r="S439" s="29">
        <v>9173</v>
      </c>
      <c r="T439" s="29" t="s">
        <v>1572</v>
      </c>
      <c r="U439" s="33" t="s">
        <v>1573</v>
      </c>
    </row>
    <row r="440" spans="1:21" ht="28.5" customHeight="1" x14ac:dyDescent="0.3">
      <c r="A440" s="27">
        <v>437</v>
      </c>
      <c r="B440" s="28">
        <v>2025</v>
      </c>
      <c r="C440" s="29" t="s">
        <v>375</v>
      </c>
      <c r="D440" s="30" t="s">
        <v>1574</v>
      </c>
      <c r="E440" s="29">
        <v>29221935</v>
      </c>
      <c r="F440" s="29">
        <v>1178103</v>
      </c>
      <c r="G440" s="30" t="s">
        <v>1575</v>
      </c>
      <c r="H440" s="29">
        <v>504</v>
      </c>
      <c r="I440" s="29">
        <v>1</v>
      </c>
      <c r="J440" s="29"/>
      <c r="K440" s="30"/>
      <c r="L440" s="29" t="s">
        <v>72</v>
      </c>
      <c r="M440" s="31">
        <v>4772</v>
      </c>
      <c r="N440" s="31">
        <v>1193</v>
      </c>
      <c r="O440" s="31">
        <v>5965</v>
      </c>
      <c r="P440" s="31">
        <f>VLOOKUP(F440,'[3]1ª PARCELA'!$E$5:$H$889,4,FALSE)</f>
        <v>5965</v>
      </c>
      <c r="Q440" s="31" t="b">
        <f t="shared" si="6"/>
        <v>1</v>
      </c>
      <c r="R440" s="32">
        <v>45793</v>
      </c>
      <c r="S440" s="29">
        <v>9173</v>
      </c>
      <c r="T440" s="29" t="s">
        <v>1576</v>
      </c>
      <c r="U440" s="33" t="s">
        <v>1577</v>
      </c>
    </row>
    <row r="441" spans="1:21" ht="28.5" customHeight="1" x14ac:dyDescent="0.3">
      <c r="A441" s="27">
        <v>438</v>
      </c>
      <c r="B441" s="28">
        <v>2025</v>
      </c>
      <c r="C441" s="29" t="s">
        <v>534</v>
      </c>
      <c r="D441" s="30" t="s">
        <v>1578</v>
      </c>
      <c r="E441" s="29">
        <v>29222583</v>
      </c>
      <c r="F441" s="29">
        <v>1109199</v>
      </c>
      <c r="G441" s="30" t="s">
        <v>1579</v>
      </c>
      <c r="H441" s="29">
        <v>597</v>
      </c>
      <c r="I441" s="29">
        <v>1</v>
      </c>
      <c r="J441" s="29"/>
      <c r="K441" s="30"/>
      <c r="L441" s="29" t="s">
        <v>72</v>
      </c>
      <c r="M441" s="31">
        <v>4826.5</v>
      </c>
      <c r="N441" s="31">
        <v>2068.5</v>
      </c>
      <c r="O441" s="31">
        <v>6895</v>
      </c>
      <c r="P441" s="31">
        <f>VLOOKUP(F441,'[3]1ª PARCELA'!$E$5:$H$889,4,FALSE)</f>
        <v>6895</v>
      </c>
      <c r="Q441" s="31" t="b">
        <f t="shared" si="6"/>
        <v>1</v>
      </c>
      <c r="R441" s="32">
        <v>45895</v>
      </c>
      <c r="S441" s="29">
        <v>19863</v>
      </c>
      <c r="T441" s="29" t="s">
        <v>1580</v>
      </c>
      <c r="U441" s="33" t="s">
        <v>1581</v>
      </c>
    </row>
    <row r="442" spans="1:21" ht="28.5" customHeight="1" x14ac:dyDescent="0.3">
      <c r="A442" s="27">
        <v>439</v>
      </c>
      <c r="B442" s="28">
        <v>2025</v>
      </c>
      <c r="C442" s="29" t="s">
        <v>534</v>
      </c>
      <c r="D442" s="30" t="s">
        <v>1578</v>
      </c>
      <c r="E442" s="29">
        <v>29222710</v>
      </c>
      <c r="F442" s="29">
        <v>1145462</v>
      </c>
      <c r="G442" s="30" t="s">
        <v>1582</v>
      </c>
      <c r="H442" s="29">
        <v>1037</v>
      </c>
      <c r="I442" s="29">
        <v>1</v>
      </c>
      <c r="J442" s="29"/>
      <c r="K442" s="30"/>
      <c r="L442" s="29" t="s">
        <v>72</v>
      </c>
      <c r="M442" s="31">
        <v>6777</v>
      </c>
      <c r="N442" s="31">
        <v>4518</v>
      </c>
      <c r="O442" s="31">
        <v>11295</v>
      </c>
      <c r="P442" s="31">
        <f>VLOOKUP(F442,'[3]1ª PARCELA'!$E$5:$H$889,4,FALSE)</f>
        <v>11295</v>
      </c>
      <c r="Q442" s="31" t="b">
        <f t="shared" si="6"/>
        <v>1</v>
      </c>
      <c r="R442" s="32">
        <v>45793</v>
      </c>
      <c r="S442" s="29">
        <v>9173</v>
      </c>
      <c r="T442" s="29" t="s">
        <v>1583</v>
      </c>
      <c r="U442" s="33" t="s">
        <v>1584</v>
      </c>
    </row>
    <row r="443" spans="1:21" ht="28.5" customHeight="1" x14ac:dyDescent="0.3">
      <c r="A443" s="27">
        <v>440</v>
      </c>
      <c r="B443" s="28">
        <v>2025</v>
      </c>
      <c r="C443" s="29" t="s">
        <v>534</v>
      </c>
      <c r="D443" s="30" t="s">
        <v>1578</v>
      </c>
      <c r="E443" s="29">
        <v>29223016</v>
      </c>
      <c r="F443" s="29">
        <v>1167180</v>
      </c>
      <c r="G443" s="30" t="s">
        <v>1585</v>
      </c>
      <c r="H443" s="29">
        <v>370</v>
      </c>
      <c r="I443" s="29">
        <v>1</v>
      </c>
      <c r="J443" s="29"/>
      <c r="K443" s="30"/>
      <c r="L443" s="29" t="s">
        <v>72</v>
      </c>
      <c r="M443" s="31">
        <v>5180</v>
      </c>
      <c r="N443" s="31">
        <v>1295</v>
      </c>
      <c r="O443" s="31">
        <v>6475</v>
      </c>
      <c r="P443" s="31">
        <f>VLOOKUP(F443,'[3]1ª PARCELA'!$E$5:$H$889,4,FALSE)</f>
        <v>6475</v>
      </c>
      <c r="Q443" s="31" t="b">
        <f t="shared" si="6"/>
        <v>1</v>
      </c>
      <c r="R443" s="32">
        <v>45793</v>
      </c>
      <c r="S443" s="29">
        <v>9173</v>
      </c>
      <c r="T443" s="29" t="s">
        <v>1586</v>
      </c>
      <c r="U443" s="33" t="s">
        <v>1587</v>
      </c>
    </row>
    <row r="444" spans="1:21" ht="28.5" customHeight="1" x14ac:dyDescent="0.3">
      <c r="A444" s="27">
        <v>441</v>
      </c>
      <c r="B444" s="28">
        <v>2025</v>
      </c>
      <c r="C444" s="29" t="s">
        <v>1588</v>
      </c>
      <c r="D444" s="30" t="s">
        <v>1589</v>
      </c>
      <c r="E444" s="29">
        <v>29223652</v>
      </c>
      <c r="F444" s="29">
        <v>1110758</v>
      </c>
      <c r="G444" s="30" t="s">
        <v>1590</v>
      </c>
      <c r="H444" s="29">
        <v>274</v>
      </c>
      <c r="I444" s="29">
        <v>1</v>
      </c>
      <c r="J444" s="29"/>
      <c r="K444" s="30"/>
      <c r="L444" s="29" t="s">
        <v>72</v>
      </c>
      <c r="M444" s="31">
        <v>2565.5</v>
      </c>
      <c r="N444" s="31">
        <v>1099.5</v>
      </c>
      <c r="O444" s="31">
        <v>3665</v>
      </c>
      <c r="P444" s="31">
        <f>VLOOKUP(F444,'[3]1ª PARCELA'!$E$5:$H$889,4,FALSE)</f>
        <v>3665</v>
      </c>
      <c r="Q444" s="31" t="b">
        <f t="shared" si="6"/>
        <v>1</v>
      </c>
      <c r="R444" s="32">
        <v>45793</v>
      </c>
      <c r="S444" s="29">
        <v>9173</v>
      </c>
      <c r="T444" s="29" t="s">
        <v>1591</v>
      </c>
      <c r="U444" s="33" t="s">
        <v>1592</v>
      </c>
    </row>
    <row r="445" spans="1:21" ht="28.5" customHeight="1" x14ac:dyDescent="0.3">
      <c r="A445" s="27">
        <v>442</v>
      </c>
      <c r="B445" s="28">
        <v>2025</v>
      </c>
      <c r="C445" s="29" t="s">
        <v>534</v>
      </c>
      <c r="D445" s="30" t="s">
        <v>1593</v>
      </c>
      <c r="E445" s="29">
        <v>29223687</v>
      </c>
      <c r="F445" s="29">
        <v>1117175</v>
      </c>
      <c r="G445" s="30" t="s">
        <v>1594</v>
      </c>
      <c r="H445" s="29">
        <v>493</v>
      </c>
      <c r="I445" s="29">
        <v>1</v>
      </c>
      <c r="J445" s="29"/>
      <c r="K445" s="30"/>
      <c r="L445" s="29" t="s">
        <v>72</v>
      </c>
      <c r="M445" s="31">
        <v>3852.5</v>
      </c>
      <c r="N445" s="31">
        <v>3852.5</v>
      </c>
      <c r="O445" s="31">
        <v>7705</v>
      </c>
      <c r="P445" s="31">
        <f>VLOOKUP(F445,'[3]1ª PARCELA'!$E$5:$H$889,4,FALSE)</f>
        <v>7705</v>
      </c>
      <c r="Q445" s="31" t="b">
        <f t="shared" si="6"/>
        <v>1</v>
      </c>
      <c r="R445" s="32">
        <v>45926</v>
      </c>
      <c r="S445" s="29">
        <v>24529</v>
      </c>
      <c r="T445" s="29" t="s">
        <v>1595</v>
      </c>
      <c r="U445" s="33" t="s">
        <v>1596</v>
      </c>
    </row>
    <row r="446" spans="1:21" ht="28.5" customHeight="1" x14ac:dyDescent="0.3">
      <c r="A446" s="27">
        <v>443</v>
      </c>
      <c r="B446" s="28">
        <v>2025</v>
      </c>
      <c r="C446" s="29" t="s">
        <v>375</v>
      </c>
      <c r="D446" s="30" t="s">
        <v>1597</v>
      </c>
      <c r="E446" s="29">
        <v>29225060</v>
      </c>
      <c r="F446" s="29">
        <v>1124368</v>
      </c>
      <c r="G446" s="30" t="s">
        <v>1598</v>
      </c>
      <c r="H446" s="29">
        <v>234</v>
      </c>
      <c r="I446" s="29">
        <v>1</v>
      </c>
      <c r="J446" s="29"/>
      <c r="K446" s="30"/>
      <c r="L446" s="29" t="s">
        <v>72</v>
      </c>
      <c r="M446" s="31">
        <v>2612</v>
      </c>
      <c r="N446" s="31">
        <v>653</v>
      </c>
      <c r="O446" s="31">
        <v>3265</v>
      </c>
      <c r="P446" s="31">
        <f>VLOOKUP(F446,'[3]1ª PARCELA'!$E$5:$H$889,4,FALSE)</f>
        <v>3265</v>
      </c>
      <c r="Q446" s="31" t="b">
        <f t="shared" si="6"/>
        <v>1</v>
      </c>
      <c r="R446" s="32">
        <v>45926</v>
      </c>
      <c r="S446" s="29">
        <v>24529</v>
      </c>
      <c r="T446" s="29" t="s">
        <v>1599</v>
      </c>
      <c r="U446" s="33" t="s">
        <v>1600</v>
      </c>
    </row>
    <row r="447" spans="1:21" ht="28.5" customHeight="1" x14ac:dyDescent="0.3">
      <c r="A447" s="27">
        <v>444</v>
      </c>
      <c r="B447" s="28">
        <v>2025</v>
      </c>
      <c r="C447" s="29" t="s">
        <v>534</v>
      </c>
      <c r="D447" s="30" t="s">
        <v>1601</v>
      </c>
      <c r="E447" s="29">
        <v>29226040</v>
      </c>
      <c r="F447" s="29">
        <v>1119470</v>
      </c>
      <c r="G447" s="30" t="s">
        <v>1602</v>
      </c>
      <c r="H447" s="29">
        <v>263</v>
      </c>
      <c r="I447" s="29">
        <v>1</v>
      </c>
      <c r="J447" s="29"/>
      <c r="K447" s="30"/>
      <c r="L447" s="29" t="s">
        <v>72</v>
      </c>
      <c r="M447" s="31">
        <v>2488.5</v>
      </c>
      <c r="N447" s="31">
        <v>1066.5</v>
      </c>
      <c r="O447" s="31">
        <v>3555</v>
      </c>
      <c r="P447" s="31">
        <f>VLOOKUP(F447,'[3]1ª PARCELA'!$E$5:$H$889,4,FALSE)</f>
        <v>3555</v>
      </c>
      <c r="Q447" s="31" t="b">
        <f t="shared" si="6"/>
        <v>1</v>
      </c>
      <c r="R447" s="32">
        <v>45833</v>
      </c>
      <c r="S447" s="29">
        <v>13120</v>
      </c>
      <c r="T447" s="29" t="s">
        <v>1603</v>
      </c>
      <c r="U447" s="33" t="s">
        <v>1604</v>
      </c>
    </row>
    <row r="448" spans="1:21" ht="28.5" customHeight="1" x14ac:dyDescent="0.3">
      <c r="A448" s="27">
        <v>445</v>
      </c>
      <c r="B448" s="28">
        <v>2025</v>
      </c>
      <c r="C448" s="29" t="s">
        <v>534</v>
      </c>
      <c r="D448" s="30" t="s">
        <v>1605</v>
      </c>
      <c r="E448" s="29">
        <v>29226147</v>
      </c>
      <c r="F448" s="29">
        <v>1117566</v>
      </c>
      <c r="G448" s="30" t="s">
        <v>1606</v>
      </c>
      <c r="H448" s="29">
        <v>410</v>
      </c>
      <c r="I448" s="29">
        <v>1</v>
      </c>
      <c r="J448" s="29"/>
      <c r="K448" s="30"/>
      <c r="L448" s="29" t="s">
        <v>72</v>
      </c>
      <c r="M448" s="31">
        <v>3015</v>
      </c>
      <c r="N448" s="31">
        <v>2010</v>
      </c>
      <c r="O448" s="31">
        <v>5025</v>
      </c>
      <c r="P448" s="31">
        <f>VLOOKUP(F448,'[3]1ª PARCELA'!$E$5:$H$889,4,FALSE)</f>
        <v>5025</v>
      </c>
      <c r="Q448" s="31" t="b">
        <f t="shared" si="6"/>
        <v>1</v>
      </c>
      <c r="R448" s="32">
        <v>45833</v>
      </c>
      <c r="S448" s="29">
        <v>13120</v>
      </c>
      <c r="T448" s="29" t="s">
        <v>1607</v>
      </c>
      <c r="U448" s="33" t="s">
        <v>1608</v>
      </c>
    </row>
    <row r="449" spans="1:21" ht="28.5" customHeight="1" x14ac:dyDescent="0.3">
      <c r="A449" s="27">
        <v>446</v>
      </c>
      <c r="B449" s="28">
        <v>2025</v>
      </c>
      <c r="C449" s="29" t="s">
        <v>534</v>
      </c>
      <c r="D449" s="30" t="s">
        <v>1609</v>
      </c>
      <c r="E449" s="29">
        <v>29226520</v>
      </c>
      <c r="F449" s="29">
        <v>1119445</v>
      </c>
      <c r="G449" s="30" t="s">
        <v>1610</v>
      </c>
      <c r="H449" s="29">
        <v>1066</v>
      </c>
      <c r="I449" s="29">
        <v>1</v>
      </c>
      <c r="J449" s="29"/>
      <c r="K449" s="30"/>
      <c r="L449" s="29" t="s">
        <v>72</v>
      </c>
      <c r="M449" s="31">
        <v>9268</v>
      </c>
      <c r="N449" s="31">
        <v>2317</v>
      </c>
      <c r="O449" s="31">
        <v>11585</v>
      </c>
      <c r="P449" s="31">
        <f>VLOOKUP(F449,'[3]1ª PARCELA'!$E$5:$H$889,4,FALSE)</f>
        <v>11585</v>
      </c>
      <c r="Q449" s="31" t="b">
        <f t="shared" si="6"/>
        <v>1</v>
      </c>
      <c r="R449" s="32">
        <v>45793</v>
      </c>
      <c r="S449" s="29">
        <v>9173</v>
      </c>
      <c r="T449" s="29" t="s">
        <v>1611</v>
      </c>
      <c r="U449" s="33" t="s">
        <v>1612</v>
      </c>
    </row>
    <row r="450" spans="1:21" ht="28.5" customHeight="1" x14ac:dyDescent="0.3">
      <c r="A450" s="27">
        <v>447</v>
      </c>
      <c r="B450" s="28">
        <v>2025</v>
      </c>
      <c r="C450" s="29" t="s">
        <v>534</v>
      </c>
      <c r="D450" s="30" t="s">
        <v>1609</v>
      </c>
      <c r="E450" s="29">
        <v>29226864</v>
      </c>
      <c r="F450" s="29">
        <v>1118023</v>
      </c>
      <c r="G450" s="30" t="s">
        <v>1613</v>
      </c>
      <c r="H450" s="29">
        <v>436</v>
      </c>
      <c r="I450" s="29">
        <v>1</v>
      </c>
      <c r="J450" s="29"/>
      <c r="K450" s="30"/>
      <c r="L450" s="29" t="s">
        <v>72</v>
      </c>
      <c r="M450" s="31">
        <v>5708</v>
      </c>
      <c r="N450" s="31">
        <v>1427</v>
      </c>
      <c r="O450" s="31">
        <v>7135</v>
      </c>
      <c r="P450" s="31">
        <f>VLOOKUP(F450,'[3]1ª PARCELA'!$E$5:$H$889,4,FALSE)</f>
        <v>7135</v>
      </c>
      <c r="Q450" s="31" t="b">
        <f t="shared" si="6"/>
        <v>1</v>
      </c>
      <c r="R450" s="32">
        <v>45833</v>
      </c>
      <c r="S450" s="29">
        <v>13120</v>
      </c>
      <c r="T450" s="29" t="s">
        <v>1614</v>
      </c>
      <c r="U450" s="33" t="s">
        <v>1615</v>
      </c>
    </row>
    <row r="451" spans="1:21" ht="28.5" customHeight="1" x14ac:dyDescent="0.3">
      <c r="A451" s="27">
        <v>448</v>
      </c>
      <c r="B451" s="28">
        <v>2025</v>
      </c>
      <c r="C451" s="29" t="s">
        <v>534</v>
      </c>
      <c r="D451" s="30" t="s">
        <v>1609</v>
      </c>
      <c r="E451" s="29">
        <v>29227356</v>
      </c>
      <c r="F451" s="29">
        <v>1119461</v>
      </c>
      <c r="G451" s="30" t="s">
        <v>1616</v>
      </c>
      <c r="H451" s="29">
        <v>742</v>
      </c>
      <c r="I451" s="29">
        <v>1</v>
      </c>
      <c r="J451" s="29"/>
      <c r="K451" s="30"/>
      <c r="L451" s="29" t="s">
        <v>72</v>
      </c>
      <c r="M451" s="31">
        <v>4172.5</v>
      </c>
      <c r="N451" s="31">
        <v>4172.5</v>
      </c>
      <c r="O451" s="31">
        <v>8345</v>
      </c>
      <c r="P451" s="31">
        <f>VLOOKUP(F451,'[3]1ª PARCELA'!$E$5:$H$889,4,FALSE)</f>
        <v>8345</v>
      </c>
      <c r="Q451" s="31" t="b">
        <f t="shared" si="6"/>
        <v>1</v>
      </c>
      <c r="R451" s="32">
        <v>45793</v>
      </c>
      <c r="S451" s="29">
        <v>9173</v>
      </c>
      <c r="T451" s="29" t="s">
        <v>1617</v>
      </c>
      <c r="U451" s="33" t="s">
        <v>1618</v>
      </c>
    </row>
    <row r="452" spans="1:21" ht="28.5" customHeight="1" x14ac:dyDescent="0.3">
      <c r="A452" s="27">
        <v>449</v>
      </c>
      <c r="B452" s="28">
        <v>2025</v>
      </c>
      <c r="C452" s="29" t="s">
        <v>1588</v>
      </c>
      <c r="D452" s="30" t="s">
        <v>1619</v>
      </c>
      <c r="E452" s="29">
        <v>29227658</v>
      </c>
      <c r="F452" s="29">
        <v>1117868</v>
      </c>
      <c r="G452" s="30" t="s">
        <v>180</v>
      </c>
      <c r="H452" s="29">
        <v>389</v>
      </c>
      <c r="I452" s="29">
        <v>1</v>
      </c>
      <c r="J452" s="29"/>
      <c r="K452" s="30"/>
      <c r="L452" s="29" t="s">
        <v>72</v>
      </c>
      <c r="M452" s="31">
        <v>2407.5</v>
      </c>
      <c r="N452" s="31">
        <v>2407.5</v>
      </c>
      <c r="O452" s="31">
        <v>4815</v>
      </c>
      <c r="P452" s="31">
        <f>VLOOKUP(F452,'[3]1ª PARCELA'!$E$5:$H$889,4,FALSE)</f>
        <v>4815</v>
      </c>
      <c r="Q452" s="31" t="b">
        <f t="shared" si="6"/>
        <v>1</v>
      </c>
      <c r="R452" s="32">
        <v>45867</v>
      </c>
      <c r="S452" s="29">
        <v>16705</v>
      </c>
      <c r="T452" s="29" t="s">
        <v>1620</v>
      </c>
      <c r="U452" s="33" t="s">
        <v>1621</v>
      </c>
    </row>
    <row r="453" spans="1:21" ht="28.5" customHeight="1" x14ac:dyDescent="0.3">
      <c r="A453" s="27">
        <v>450</v>
      </c>
      <c r="B453" s="28">
        <v>2025</v>
      </c>
      <c r="C453" s="29" t="s">
        <v>1588</v>
      </c>
      <c r="D453" s="30" t="s">
        <v>1619</v>
      </c>
      <c r="E453" s="29">
        <v>29227690</v>
      </c>
      <c r="F453" s="29">
        <v>1176093</v>
      </c>
      <c r="G453" s="30" t="s">
        <v>1622</v>
      </c>
      <c r="H453" s="29">
        <v>1198</v>
      </c>
      <c r="I453" s="29">
        <v>1</v>
      </c>
      <c r="J453" s="29"/>
      <c r="K453" s="30"/>
      <c r="L453" s="29" t="s">
        <v>72</v>
      </c>
      <c r="M453" s="31">
        <v>10324</v>
      </c>
      <c r="N453" s="31">
        <v>2581</v>
      </c>
      <c r="O453" s="31">
        <v>12905</v>
      </c>
      <c r="P453" s="31">
        <f>VLOOKUP(F453,'[3]1ª PARCELA'!$E$5:$H$889,4,FALSE)</f>
        <v>12905</v>
      </c>
      <c r="Q453" s="31" t="b">
        <f t="shared" ref="Q453:Q516" si="7">O453=P453</f>
        <v>1</v>
      </c>
      <c r="R453" s="32">
        <v>45926</v>
      </c>
      <c r="S453" s="29">
        <v>24529</v>
      </c>
      <c r="T453" s="29" t="s">
        <v>1623</v>
      </c>
      <c r="U453" s="33" t="s">
        <v>1624</v>
      </c>
    </row>
    <row r="454" spans="1:21" ht="28.5" customHeight="1" x14ac:dyDescent="0.3">
      <c r="A454" s="27">
        <v>451</v>
      </c>
      <c r="B454" s="28">
        <v>2025</v>
      </c>
      <c r="C454" s="29" t="s">
        <v>1588</v>
      </c>
      <c r="D454" s="30" t="s">
        <v>1619</v>
      </c>
      <c r="E454" s="29">
        <v>29228549</v>
      </c>
      <c r="F454" s="29">
        <v>1117698</v>
      </c>
      <c r="G454" s="30" t="s">
        <v>1625</v>
      </c>
      <c r="H454" s="29">
        <v>1408</v>
      </c>
      <c r="I454" s="29">
        <v>1</v>
      </c>
      <c r="J454" s="29"/>
      <c r="K454" s="30"/>
      <c r="L454" s="29" t="s">
        <v>72</v>
      </c>
      <c r="M454" s="31">
        <v>4501.5</v>
      </c>
      <c r="N454" s="31">
        <v>10503.5</v>
      </c>
      <c r="O454" s="31">
        <v>15005</v>
      </c>
      <c r="P454" s="31">
        <f>VLOOKUP(F454,'[3]1ª PARCELA'!$E$5:$H$889,4,FALSE)</f>
        <v>15005</v>
      </c>
      <c r="Q454" s="31" t="b">
        <f t="shared" si="7"/>
        <v>1</v>
      </c>
      <c r="R454" s="32">
        <v>45849</v>
      </c>
      <c r="S454" s="29">
        <v>15915</v>
      </c>
      <c r="T454" s="29" t="s">
        <v>1626</v>
      </c>
      <c r="U454" s="33" t="s">
        <v>1627</v>
      </c>
    </row>
    <row r="455" spans="1:21" ht="28.5" customHeight="1" x14ac:dyDescent="0.3">
      <c r="A455" s="27">
        <v>452</v>
      </c>
      <c r="B455" s="28">
        <v>2025</v>
      </c>
      <c r="C455" s="29" t="s">
        <v>1588</v>
      </c>
      <c r="D455" s="30" t="s">
        <v>1619</v>
      </c>
      <c r="E455" s="29">
        <v>29229294</v>
      </c>
      <c r="F455" s="29">
        <v>1117663</v>
      </c>
      <c r="G455" s="30" t="s">
        <v>1628</v>
      </c>
      <c r="H455" s="29">
        <v>708</v>
      </c>
      <c r="I455" s="29">
        <v>1</v>
      </c>
      <c r="J455" s="29"/>
      <c r="K455" s="30"/>
      <c r="L455" s="29" t="s">
        <v>72</v>
      </c>
      <c r="M455" s="31">
        <v>7884</v>
      </c>
      <c r="N455" s="31">
        <v>1971</v>
      </c>
      <c r="O455" s="31">
        <v>9855</v>
      </c>
      <c r="P455" s="31">
        <f>VLOOKUP(F455,'[3]1ª PARCELA'!$E$5:$H$889,4,FALSE)</f>
        <v>9855</v>
      </c>
      <c r="Q455" s="31" t="b">
        <f t="shared" si="7"/>
        <v>1</v>
      </c>
      <c r="R455" s="32">
        <v>45967</v>
      </c>
      <c r="S455" s="29">
        <v>29630</v>
      </c>
      <c r="T455" s="29" t="s">
        <v>1629</v>
      </c>
      <c r="U455" s="33" t="s">
        <v>1630</v>
      </c>
    </row>
    <row r="456" spans="1:21" ht="28.5" customHeight="1" x14ac:dyDescent="0.3">
      <c r="A456" s="27">
        <v>453</v>
      </c>
      <c r="B456" s="28">
        <v>2025</v>
      </c>
      <c r="C456" s="29" t="s">
        <v>1588</v>
      </c>
      <c r="D456" s="30" t="s">
        <v>1619</v>
      </c>
      <c r="E456" s="29">
        <v>29229324</v>
      </c>
      <c r="F456" s="29">
        <v>1117701</v>
      </c>
      <c r="G456" s="30" t="s">
        <v>1631</v>
      </c>
      <c r="H456" s="29">
        <v>196</v>
      </c>
      <c r="I456" s="29">
        <v>1</v>
      </c>
      <c r="J456" s="29"/>
      <c r="K456" s="30"/>
      <c r="L456" s="29" t="s">
        <v>72</v>
      </c>
      <c r="M456" s="31">
        <v>2308</v>
      </c>
      <c r="N456" s="31">
        <v>577</v>
      </c>
      <c r="O456" s="31">
        <v>2885</v>
      </c>
      <c r="P456" s="31">
        <f>VLOOKUP(F456,'[3]1ª PARCELA'!$E$5:$H$889,4,FALSE)</f>
        <v>2885</v>
      </c>
      <c r="Q456" s="31" t="b">
        <f t="shared" si="7"/>
        <v>1</v>
      </c>
      <c r="R456" s="32">
        <v>45895</v>
      </c>
      <c r="S456" s="29">
        <v>19863</v>
      </c>
      <c r="T456" s="29" t="s">
        <v>1632</v>
      </c>
      <c r="U456" s="33" t="s">
        <v>1633</v>
      </c>
    </row>
    <row r="457" spans="1:21" ht="28.5" customHeight="1" x14ac:dyDescent="0.3">
      <c r="A457" s="27">
        <v>454</v>
      </c>
      <c r="B457" s="28">
        <v>2025</v>
      </c>
      <c r="C457" s="29" t="s">
        <v>1588</v>
      </c>
      <c r="D457" s="30" t="s">
        <v>1619</v>
      </c>
      <c r="E457" s="29">
        <v>29229421</v>
      </c>
      <c r="F457" s="29">
        <v>1117850</v>
      </c>
      <c r="G457" s="30" t="s">
        <v>1634</v>
      </c>
      <c r="H457" s="29">
        <v>723</v>
      </c>
      <c r="I457" s="29">
        <v>1</v>
      </c>
      <c r="J457" s="29"/>
      <c r="K457" s="30"/>
      <c r="L457" s="29" t="s">
        <v>72</v>
      </c>
      <c r="M457" s="31">
        <v>6524</v>
      </c>
      <c r="N457" s="31">
        <v>1631</v>
      </c>
      <c r="O457" s="31">
        <v>8155</v>
      </c>
      <c r="P457" s="31">
        <f>VLOOKUP(F457,'[3]1ª PARCELA'!$E$5:$H$889,4,FALSE)</f>
        <v>8155</v>
      </c>
      <c r="Q457" s="31" t="b">
        <f t="shared" si="7"/>
        <v>1</v>
      </c>
      <c r="R457" s="32">
        <v>45926</v>
      </c>
      <c r="S457" s="29">
        <v>24529</v>
      </c>
      <c r="T457" s="29" t="s">
        <v>1635</v>
      </c>
      <c r="U457" s="33" t="s">
        <v>1636</v>
      </c>
    </row>
    <row r="458" spans="1:21" ht="28.5" customHeight="1" x14ac:dyDescent="0.3">
      <c r="A458" s="27">
        <v>455</v>
      </c>
      <c r="B458" s="28">
        <v>2025</v>
      </c>
      <c r="C458" s="29" t="s">
        <v>1588</v>
      </c>
      <c r="D458" s="30" t="s">
        <v>1619</v>
      </c>
      <c r="E458" s="29">
        <v>29229529</v>
      </c>
      <c r="F458" s="29">
        <v>1117892</v>
      </c>
      <c r="G458" s="30" t="s">
        <v>1637</v>
      </c>
      <c r="H458" s="29">
        <v>1011</v>
      </c>
      <c r="I458" s="29">
        <v>1</v>
      </c>
      <c r="J458" s="29"/>
      <c r="K458" s="30"/>
      <c r="L458" s="29" t="s">
        <v>72</v>
      </c>
      <c r="M458" s="31">
        <v>7724.5</v>
      </c>
      <c r="N458" s="31">
        <v>3310.5</v>
      </c>
      <c r="O458" s="31">
        <v>11035</v>
      </c>
      <c r="P458" s="31">
        <f>VLOOKUP(F458,'[3]1ª PARCELA'!$E$5:$H$889,4,FALSE)</f>
        <v>11035</v>
      </c>
      <c r="Q458" s="31" t="b">
        <f t="shared" si="7"/>
        <v>1</v>
      </c>
      <c r="R458" s="32">
        <v>45895</v>
      </c>
      <c r="S458" s="29">
        <v>19863</v>
      </c>
      <c r="T458" s="29" t="s">
        <v>1638</v>
      </c>
      <c r="U458" s="33" t="s">
        <v>1639</v>
      </c>
    </row>
    <row r="459" spans="1:21" ht="28.5" customHeight="1" x14ac:dyDescent="0.3">
      <c r="A459" s="27">
        <v>456</v>
      </c>
      <c r="B459" s="28">
        <v>2025</v>
      </c>
      <c r="C459" s="29" t="s">
        <v>534</v>
      </c>
      <c r="D459" s="30" t="s">
        <v>1640</v>
      </c>
      <c r="E459" s="29">
        <v>29229839</v>
      </c>
      <c r="F459" s="29">
        <v>1110308</v>
      </c>
      <c r="G459" s="30" t="s">
        <v>1641</v>
      </c>
      <c r="H459" s="29">
        <v>667</v>
      </c>
      <c r="I459" s="29">
        <v>1</v>
      </c>
      <c r="J459" s="29"/>
      <c r="K459" s="30"/>
      <c r="L459" s="29" t="s">
        <v>72</v>
      </c>
      <c r="M459" s="31">
        <v>6076</v>
      </c>
      <c r="N459" s="31">
        <v>1519</v>
      </c>
      <c r="O459" s="31">
        <v>7595</v>
      </c>
      <c r="P459" s="31">
        <f>VLOOKUP(F459,'[3]1ª PARCELA'!$E$5:$H$889,4,FALSE)</f>
        <v>7595</v>
      </c>
      <c r="Q459" s="31" t="b">
        <f t="shared" si="7"/>
        <v>1</v>
      </c>
      <c r="R459" s="32">
        <v>45895</v>
      </c>
      <c r="S459" s="29">
        <v>19863</v>
      </c>
      <c r="T459" s="29" t="s">
        <v>1642</v>
      </c>
      <c r="U459" s="33" t="s">
        <v>1643</v>
      </c>
    </row>
    <row r="460" spans="1:21" ht="28.5" customHeight="1" x14ac:dyDescent="0.3">
      <c r="A460" s="27">
        <v>457</v>
      </c>
      <c r="B460" s="28">
        <v>2025</v>
      </c>
      <c r="C460" s="29" t="s">
        <v>534</v>
      </c>
      <c r="D460" s="30" t="s">
        <v>1644</v>
      </c>
      <c r="E460" s="29">
        <v>29230985</v>
      </c>
      <c r="F460" s="29">
        <v>1118066</v>
      </c>
      <c r="G460" s="30" t="s">
        <v>1645</v>
      </c>
      <c r="H460" s="29">
        <v>171</v>
      </c>
      <c r="I460" s="29">
        <v>1</v>
      </c>
      <c r="J460" s="29"/>
      <c r="K460" s="30"/>
      <c r="L460" s="29" t="s">
        <v>72</v>
      </c>
      <c r="M460" s="31">
        <v>1054</v>
      </c>
      <c r="N460" s="31">
        <v>1581</v>
      </c>
      <c r="O460" s="31">
        <v>2635</v>
      </c>
      <c r="P460" s="31">
        <f>VLOOKUP(F460,'[3]1ª PARCELA'!$E$5:$H$889,4,FALSE)</f>
        <v>2635</v>
      </c>
      <c r="Q460" s="31" t="b">
        <f t="shared" si="7"/>
        <v>1</v>
      </c>
      <c r="R460" s="32">
        <v>45805</v>
      </c>
      <c r="S460" s="29">
        <v>9678</v>
      </c>
      <c r="T460" s="29" t="s">
        <v>1646</v>
      </c>
      <c r="U460" s="33" t="s">
        <v>1647</v>
      </c>
    </row>
    <row r="461" spans="1:21" ht="28.5" customHeight="1" x14ac:dyDescent="0.3">
      <c r="A461" s="27">
        <v>458</v>
      </c>
      <c r="B461" s="28">
        <v>2025</v>
      </c>
      <c r="C461" s="29" t="s">
        <v>534</v>
      </c>
      <c r="D461" s="30" t="s">
        <v>1648</v>
      </c>
      <c r="E461" s="29">
        <v>29231264</v>
      </c>
      <c r="F461" s="29">
        <v>1110359</v>
      </c>
      <c r="G461" s="30" t="s">
        <v>1649</v>
      </c>
      <c r="H461" s="29">
        <v>169</v>
      </c>
      <c r="I461" s="29">
        <v>1</v>
      </c>
      <c r="J461" s="29"/>
      <c r="K461" s="30"/>
      <c r="L461" s="29" t="s">
        <v>72</v>
      </c>
      <c r="M461" s="31">
        <v>2092</v>
      </c>
      <c r="N461" s="31">
        <v>523</v>
      </c>
      <c r="O461" s="31">
        <v>2615</v>
      </c>
      <c r="P461" s="31">
        <f>VLOOKUP(F461,'[3]1ª PARCELA'!$E$5:$H$889,4,FALSE)</f>
        <v>2615</v>
      </c>
      <c r="Q461" s="31" t="b">
        <f t="shared" si="7"/>
        <v>1</v>
      </c>
      <c r="R461" s="32">
        <v>45793</v>
      </c>
      <c r="S461" s="29">
        <v>9173</v>
      </c>
      <c r="T461" s="29" t="s">
        <v>1650</v>
      </c>
      <c r="U461" s="33" t="s">
        <v>1651</v>
      </c>
    </row>
    <row r="462" spans="1:21" ht="28.5" customHeight="1" x14ac:dyDescent="0.3">
      <c r="A462" s="27">
        <v>459</v>
      </c>
      <c r="B462" s="28">
        <v>2025</v>
      </c>
      <c r="C462" s="29" t="s">
        <v>534</v>
      </c>
      <c r="D462" s="30" t="s">
        <v>1652</v>
      </c>
      <c r="E462" s="29">
        <v>29231868</v>
      </c>
      <c r="F462" s="29">
        <v>1166796</v>
      </c>
      <c r="G462" s="30" t="s">
        <v>1653</v>
      </c>
      <c r="H462" s="29">
        <v>372</v>
      </c>
      <c r="I462" s="29">
        <v>1</v>
      </c>
      <c r="J462" s="29"/>
      <c r="K462" s="30"/>
      <c r="L462" s="29" t="s">
        <v>72</v>
      </c>
      <c r="M462" s="31">
        <v>3251.5</v>
      </c>
      <c r="N462" s="31">
        <v>1393.5</v>
      </c>
      <c r="O462" s="31">
        <v>4645</v>
      </c>
      <c r="P462" s="31">
        <f>VLOOKUP(F462,'[3]1ª PARCELA'!$E$5:$H$889,4,FALSE)</f>
        <v>4645</v>
      </c>
      <c r="Q462" s="31" t="b">
        <f t="shared" si="7"/>
        <v>1</v>
      </c>
      <c r="R462" s="32">
        <v>45793</v>
      </c>
      <c r="S462" s="29">
        <v>9173</v>
      </c>
      <c r="T462" s="29" t="s">
        <v>1654</v>
      </c>
      <c r="U462" s="33" t="s">
        <v>1655</v>
      </c>
    </row>
    <row r="463" spans="1:21" ht="28.5" customHeight="1" x14ac:dyDescent="0.3">
      <c r="A463" s="27">
        <v>460</v>
      </c>
      <c r="B463" s="28">
        <v>2025</v>
      </c>
      <c r="C463" s="29" t="s">
        <v>534</v>
      </c>
      <c r="D463" s="30" t="s">
        <v>1656</v>
      </c>
      <c r="E463" s="29">
        <v>29232341</v>
      </c>
      <c r="F463" s="29">
        <v>1118171</v>
      </c>
      <c r="G463" s="30" t="s">
        <v>1318</v>
      </c>
      <c r="H463" s="29">
        <v>325</v>
      </c>
      <c r="I463" s="29">
        <v>1</v>
      </c>
      <c r="J463" s="29"/>
      <c r="K463" s="30"/>
      <c r="L463" s="29" t="s">
        <v>72</v>
      </c>
      <c r="M463" s="31">
        <v>3340</v>
      </c>
      <c r="N463" s="31">
        <v>835</v>
      </c>
      <c r="O463" s="31">
        <v>4175</v>
      </c>
      <c r="P463" s="31">
        <f>VLOOKUP(F463,'[3]1ª PARCELA'!$E$5:$H$889,4,FALSE)</f>
        <v>4175</v>
      </c>
      <c r="Q463" s="31" t="b">
        <f t="shared" si="7"/>
        <v>1</v>
      </c>
      <c r="R463" s="32">
        <v>45805</v>
      </c>
      <c r="S463" s="29">
        <v>9678</v>
      </c>
      <c r="T463" s="29" t="s">
        <v>1657</v>
      </c>
      <c r="U463" s="33" t="s">
        <v>1658</v>
      </c>
    </row>
    <row r="464" spans="1:21" ht="28.5" customHeight="1" x14ac:dyDescent="0.3">
      <c r="A464" s="27">
        <v>461</v>
      </c>
      <c r="B464" s="28">
        <v>2025</v>
      </c>
      <c r="C464" s="29" t="s">
        <v>375</v>
      </c>
      <c r="D464" s="30" t="s">
        <v>1659</v>
      </c>
      <c r="E464" s="29">
        <v>29232988</v>
      </c>
      <c r="F464" s="29">
        <v>1123647</v>
      </c>
      <c r="G464" s="30" t="s">
        <v>1660</v>
      </c>
      <c r="H464" s="29">
        <v>484</v>
      </c>
      <c r="I464" s="29">
        <v>1</v>
      </c>
      <c r="J464" s="29"/>
      <c r="K464" s="30"/>
      <c r="L464" s="29" t="s">
        <v>72</v>
      </c>
      <c r="M464" s="31">
        <v>4035.5</v>
      </c>
      <c r="N464" s="31">
        <v>1729.5</v>
      </c>
      <c r="O464" s="31">
        <v>5765</v>
      </c>
      <c r="P464" s="31">
        <f>VLOOKUP(F464,'[3]1ª PARCELA'!$E$5:$H$889,4,FALSE)</f>
        <v>5765</v>
      </c>
      <c r="Q464" s="31" t="b">
        <f t="shared" si="7"/>
        <v>1</v>
      </c>
      <c r="R464" s="32">
        <v>45967</v>
      </c>
      <c r="S464" s="29">
        <v>29630</v>
      </c>
      <c r="T464" s="29" t="s">
        <v>1661</v>
      </c>
      <c r="U464" s="33" t="s">
        <v>1662</v>
      </c>
    </row>
    <row r="465" spans="1:21" ht="28.5" customHeight="1" x14ac:dyDescent="0.3">
      <c r="A465" s="27">
        <v>462</v>
      </c>
      <c r="B465" s="28">
        <v>2025</v>
      </c>
      <c r="C465" s="29" t="s">
        <v>534</v>
      </c>
      <c r="D465" s="30" t="s">
        <v>1663</v>
      </c>
      <c r="E465" s="29">
        <v>29234450</v>
      </c>
      <c r="F465" s="29">
        <v>1118414</v>
      </c>
      <c r="G465" s="30" t="s">
        <v>384</v>
      </c>
      <c r="H465" s="29">
        <v>300</v>
      </c>
      <c r="I465" s="29">
        <v>1</v>
      </c>
      <c r="J465" s="29"/>
      <c r="K465" s="30"/>
      <c r="L465" s="29" t="s">
        <v>72</v>
      </c>
      <c r="M465" s="31">
        <v>3140</v>
      </c>
      <c r="N465" s="31">
        <v>785</v>
      </c>
      <c r="O465" s="31">
        <v>3925</v>
      </c>
      <c r="P465" s="31">
        <f>VLOOKUP(F465,'[3]1ª PARCELA'!$E$5:$H$889,4,FALSE)</f>
        <v>3925</v>
      </c>
      <c r="Q465" s="31" t="b">
        <f t="shared" si="7"/>
        <v>1</v>
      </c>
      <c r="R465" s="32">
        <v>45793</v>
      </c>
      <c r="S465" s="29">
        <v>9173</v>
      </c>
      <c r="T465" s="29" t="s">
        <v>1664</v>
      </c>
      <c r="U465" s="33" t="s">
        <v>1665</v>
      </c>
    </row>
    <row r="466" spans="1:21" ht="28.5" customHeight="1" x14ac:dyDescent="0.3">
      <c r="A466" s="27">
        <v>463</v>
      </c>
      <c r="B466" s="28">
        <v>2025</v>
      </c>
      <c r="C466" s="29" t="s">
        <v>534</v>
      </c>
      <c r="D466" s="30" t="s">
        <v>1666</v>
      </c>
      <c r="E466" s="29">
        <v>29234913</v>
      </c>
      <c r="F466" s="29">
        <v>1166877</v>
      </c>
      <c r="G466" s="30" t="s">
        <v>1667</v>
      </c>
      <c r="H466" s="29">
        <v>387</v>
      </c>
      <c r="I466" s="29">
        <v>1</v>
      </c>
      <c r="J466" s="29"/>
      <c r="K466" s="30"/>
      <c r="L466" s="29" t="s">
        <v>72</v>
      </c>
      <c r="M466" s="31">
        <v>3356.5</v>
      </c>
      <c r="N466" s="31">
        <v>1438.5</v>
      </c>
      <c r="O466" s="31">
        <v>4795</v>
      </c>
      <c r="P466" s="31">
        <f>VLOOKUP(F466,'[3]1ª PARCELA'!$E$5:$H$889,4,FALSE)</f>
        <v>4795</v>
      </c>
      <c r="Q466" s="31" t="b">
        <f t="shared" si="7"/>
        <v>1</v>
      </c>
      <c r="R466" s="32">
        <v>45895</v>
      </c>
      <c r="S466" s="29">
        <v>19863</v>
      </c>
      <c r="T466" s="29" t="s">
        <v>1668</v>
      </c>
      <c r="U466" s="33" t="s">
        <v>1669</v>
      </c>
    </row>
    <row r="467" spans="1:21" ht="28.5" customHeight="1" x14ac:dyDescent="0.3">
      <c r="A467" s="27">
        <v>464</v>
      </c>
      <c r="B467" s="28">
        <v>2025</v>
      </c>
      <c r="C467" s="29" t="s">
        <v>534</v>
      </c>
      <c r="D467" s="30" t="s">
        <v>1670</v>
      </c>
      <c r="E467" s="29">
        <v>29235260</v>
      </c>
      <c r="F467" s="29">
        <v>1109563</v>
      </c>
      <c r="G467" s="30" t="s">
        <v>1671</v>
      </c>
      <c r="H467" s="29">
        <v>405</v>
      </c>
      <c r="I467" s="29">
        <v>1</v>
      </c>
      <c r="J467" s="29"/>
      <c r="K467" s="30"/>
      <c r="L467" s="29" t="s">
        <v>72</v>
      </c>
      <c r="M467" s="31">
        <v>2985</v>
      </c>
      <c r="N467" s="31">
        <v>1990</v>
      </c>
      <c r="O467" s="31">
        <v>4975</v>
      </c>
      <c r="P467" s="31">
        <f>VLOOKUP(F467,'[3]1ª PARCELA'!$E$5:$H$889,4,FALSE)</f>
        <v>4975</v>
      </c>
      <c r="Q467" s="31" t="b">
        <f t="shared" si="7"/>
        <v>1</v>
      </c>
      <c r="R467" s="32">
        <v>45800</v>
      </c>
      <c r="S467" s="29">
        <v>9563</v>
      </c>
      <c r="T467" s="29" t="s">
        <v>1672</v>
      </c>
      <c r="U467" s="33" t="s">
        <v>1673</v>
      </c>
    </row>
    <row r="468" spans="1:21" ht="28.5" customHeight="1" x14ac:dyDescent="0.3">
      <c r="A468" s="27">
        <v>465</v>
      </c>
      <c r="B468" s="28">
        <v>2025</v>
      </c>
      <c r="C468" s="29" t="s">
        <v>534</v>
      </c>
      <c r="D468" s="30" t="s">
        <v>1674</v>
      </c>
      <c r="E468" s="29">
        <v>29236550</v>
      </c>
      <c r="F468" s="29">
        <v>1110529</v>
      </c>
      <c r="G468" s="30" t="s">
        <v>1675</v>
      </c>
      <c r="H468" s="29">
        <v>693</v>
      </c>
      <c r="I468" s="29">
        <v>1</v>
      </c>
      <c r="J468" s="29"/>
      <c r="K468" s="30"/>
      <c r="L468" s="29" t="s">
        <v>72</v>
      </c>
      <c r="M468" s="31">
        <v>6284</v>
      </c>
      <c r="N468" s="31">
        <v>1571</v>
      </c>
      <c r="O468" s="31">
        <v>7855</v>
      </c>
      <c r="P468" s="31">
        <f>VLOOKUP(F468,'[3]1ª PARCELA'!$E$5:$H$889,4,FALSE)</f>
        <v>7855</v>
      </c>
      <c r="Q468" s="31" t="b">
        <f t="shared" si="7"/>
        <v>1</v>
      </c>
      <c r="R468" s="32">
        <v>45895</v>
      </c>
      <c r="S468" s="29">
        <v>19863</v>
      </c>
      <c r="T468" s="29" t="s">
        <v>1676</v>
      </c>
      <c r="U468" s="33" t="s">
        <v>1677</v>
      </c>
    </row>
    <row r="469" spans="1:21" ht="28.5" customHeight="1" x14ac:dyDescent="0.3">
      <c r="A469" s="27">
        <v>466</v>
      </c>
      <c r="B469" s="28">
        <v>2025</v>
      </c>
      <c r="C469" s="29" t="s">
        <v>1491</v>
      </c>
      <c r="D469" s="30" t="s">
        <v>1678</v>
      </c>
      <c r="E469" s="29">
        <v>29236606</v>
      </c>
      <c r="F469" s="29">
        <v>1165056</v>
      </c>
      <c r="G469" s="30" t="s">
        <v>1598</v>
      </c>
      <c r="H469" s="29">
        <v>385</v>
      </c>
      <c r="I469" s="29">
        <v>1</v>
      </c>
      <c r="J469" s="29"/>
      <c r="K469" s="30"/>
      <c r="L469" s="29" t="s">
        <v>72</v>
      </c>
      <c r="M469" s="31">
        <v>2865</v>
      </c>
      <c r="N469" s="31">
        <v>1910</v>
      </c>
      <c r="O469" s="31">
        <v>4775</v>
      </c>
      <c r="P469" s="31">
        <f>VLOOKUP(F469,'[3]1ª PARCELA'!$E$5:$H$889,4,FALSE)</f>
        <v>4775</v>
      </c>
      <c r="Q469" s="31" t="b">
        <f t="shared" si="7"/>
        <v>1</v>
      </c>
      <c r="R469" s="32">
        <v>45938</v>
      </c>
      <c r="S469" s="29">
        <v>25952</v>
      </c>
      <c r="T469" s="29" t="s">
        <v>1679</v>
      </c>
      <c r="U469" s="33" t="s">
        <v>1680</v>
      </c>
    </row>
    <row r="470" spans="1:21" ht="28.5" customHeight="1" x14ac:dyDescent="0.3">
      <c r="A470" s="27">
        <v>467</v>
      </c>
      <c r="B470" s="28">
        <v>2025</v>
      </c>
      <c r="C470" s="29" t="s">
        <v>1526</v>
      </c>
      <c r="D470" s="30" t="s">
        <v>1681</v>
      </c>
      <c r="E470" s="29">
        <v>29237629</v>
      </c>
      <c r="F470" s="29">
        <v>1124287</v>
      </c>
      <c r="G470" s="30" t="s">
        <v>1682</v>
      </c>
      <c r="H470" s="29">
        <v>464</v>
      </c>
      <c r="I470" s="29">
        <v>1</v>
      </c>
      <c r="J470" s="29"/>
      <c r="K470" s="30"/>
      <c r="L470" s="29" t="s">
        <v>72</v>
      </c>
      <c r="M470" s="31">
        <v>4452</v>
      </c>
      <c r="N470" s="31">
        <v>1113</v>
      </c>
      <c r="O470" s="31">
        <v>5565</v>
      </c>
      <c r="P470" s="31">
        <f>VLOOKUP(F470,'[3]1ª PARCELA'!$E$5:$H$889,4,FALSE)</f>
        <v>5565</v>
      </c>
      <c r="Q470" s="31" t="b">
        <f t="shared" si="7"/>
        <v>1</v>
      </c>
      <c r="R470" s="32">
        <v>45833</v>
      </c>
      <c r="S470" s="29">
        <v>13120</v>
      </c>
      <c r="T470" s="29" t="s">
        <v>1683</v>
      </c>
      <c r="U470" s="33" t="s">
        <v>1684</v>
      </c>
    </row>
    <row r="471" spans="1:21" ht="28.5" customHeight="1" x14ac:dyDescent="0.3">
      <c r="A471" s="27">
        <v>468</v>
      </c>
      <c r="B471" s="28">
        <v>2025</v>
      </c>
      <c r="C471" s="29" t="s">
        <v>1526</v>
      </c>
      <c r="D471" s="30" t="s">
        <v>1685</v>
      </c>
      <c r="E471" s="29">
        <v>29237645</v>
      </c>
      <c r="F471" s="29">
        <v>1173130</v>
      </c>
      <c r="G471" s="30" t="s">
        <v>1686</v>
      </c>
      <c r="H471" s="29">
        <v>1385</v>
      </c>
      <c r="I471" s="29">
        <v>1</v>
      </c>
      <c r="J471" s="29"/>
      <c r="K471" s="30"/>
      <c r="L471" s="29" t="s">
        <v>72</v>
      </c>
      <c r="M471" s="31">
        <v>13300</v>
      </c>
      <c r="N471" s="31">
        <v>3325</v>
      </c>
      <c r="O471" s="31">
        <v>16625</v>
      </c>
      <c r="P471" s="31">
        <f>VLOOKUP(F471,'[3]1ª PARCELA'!$E$5:$H$889,4,FALSE)</f>
        <v>16625</v>
      </c>
      <c r="Q471" s="31" t="b">
        <f t="shared" si="7"/>
        <v>1</v>
      </c>
      <c r="R471" s="32">
        <v>45967</v>
      </c>
      <c r="S471" s="29">
        <v>29630</v>
      </c>
      <c r="T471" s="29" t="s">
        <v>1687</v>
      </c>
      <c r="U471" s="33" t="s">
        <v>1688</v>
      </c>
    </row>
    <row r="472" spans="1:21" ht="28.5" customHeight="1" x14ac:dyDescent="0.3">
      <c r="A472" s="27">
        <v>469</v>
      </c>
      <c r="B472" s="28">
        <v>2025</v>
      </c>
      <c r="C472" s="29" t="s">
        <v>1491</v>
      </c>
      <c r="D472" s="30" t="s">
        <v>1689</v>
      </c>
      <c r="E472" s="29">
        <v>29239354</v>
      </c>
      <c r="F472" s="29">
        <v>1127731</v>
      </c>
      <c r="G472" s="30" t="s">
        <v>1690</v>
      </c>
      <c r="H472" s="29">
        <v>714</v>
      </c>
      <c r="I472" s="29">
        <v>1</v>
      </c>
      <c r="J472" s="29"/>
      <c r="K472" s="30"/>
      <c r="L472" s="29" t="s">
        <v>72</v>
      </c>
      <c r="M472" s="31">
        <v>4032.5</v>
      </c>
      <c r="N472" s="31">
        <v>4032.5</v>
      </c>
      <c r="O472" s="31">
        <v>8065</v>
      </c>
      <c r="P472" s="31">
        <f>VLOOKUP(F472,'[3]1ª PARCELA'!$E$5:$H$889,4,FALSE)</f>
        <v>8065</v>
      </c>
      <c r="Q472" s="31" t="b">
        <f t="shared" si="7"/>
        <v>1</v>
      </c>
      <c r="R472" s="32">
        <v>45938</v>
      </c>
      <c r="S472" s="29">
        <v>25952</v>
      </c>
      <c r="T472" s="29" t="s">
        <v>1691</v>
      </c>
      <c r="U472" s="33" t="s">
        <v>1692</v>
      </c>
    </row>
    <row r="473" spans="1:21" ht="28.5" customHeight="1" x14ac:dyDescent="0.3">
      <c r="A473" s="27">
        <v>470</v>
      </c>
      <c r="B473" s="28">
        <v>2025</v>
      </c>
      <c r="C473" s="29" t="s">
        <v>1491</v>
      </c>
      <c r="D473" s="30" t="s">
        <v>1693</v>
      </c>
      <c r="E473" s="29">
        <v>29240530</v>
      </c>
      <c r="F473" s="29">
        <v>1127634</v>
      </c>
      <c r="G473" s="30" t="s">
        <v>1694</v>
      </c>
      <c r="H473" s="29">
        <v>167</v>
      </c>
      <c r="I473" s="29">
        <v>1</v>
      </c>
      <c r="J473" s="29"/>
      <c r="K473" s="30"/>
      <c r="L473" s="29" t="s">
        <v>72</v>
      </c>
      <c r="M473" s="31">
        <v>1816.5</v>
      </c>
      <c r="N473" s="31">
        <v>778.5</v>
      </c>
      <c r="O473" s="31">
        <v>2595</v>
      </c>
      <c r="P473" s="31">
        <f>VLOOKUP(F473,'[3]1ª PARCELA'!$E$5:$H$889,4,FALSE)</f>
        <v>2595</v>
      </c>
      <c r="Q473" s="31" t="b">
        <f t="shared" si="7"/>
        <v>1</v>
      </c>
      <c r="R473" s="32">
        <v>45945</v>
      </c>
      <c r="S473" s="29">
        <v>27117</v>
      </c>
      <c r="T473" s="29" t="s">
        <v>1695</v>
      </c>
      <c r="U473" s="33" t="s">
        <v>1696</v>
      </c>
    </row>
    <row r="474" spans="1:21" ht="28.5" customHeight="1" x14ac:dyDescent="0.3">
      <c r="A474" s="27">
        <v>471</v>
      </c>
      <c r="B474" s="28">
        <v>2025</v>
      </c>
      <c r="C474" s="29" t="s">
        <v>1526</v>
      </c>
      <c r="D474" s="30" t="s">
        <v>1697</v>
      </c>
      <c r="E474" s="29">
        <v>29240638</v>
      </c>
      <c r="F474" s="29">
        <v>1128371</v>
      </c>
      <c r="G474" s="30" t="s">
        <v>1698</v>
      </c>
      <c r="H474" s="29">
        <v>879</v>
      </c>
      <c r="I474" s="29">
        <v>1</v>
      </c>
      <c r="J474" s="29"/>
      <c r="K474" s="30"/>
      <c r="L474" s="29" t="s">
        <v>72</v>
      </c>
      <c r="M474" s="31">
        <v>4857.5</v>
      </c>
      <c r="N474" s="31">
        <v>4857.5</v>
      </c>
      <c r="O474" s="31">
        <v>9715</v>
      </c>
      <c r="P474" s="31">
        <f>VLOOKUP(F474,'[3]1ª PARCELA'!$E$5:$H$889,4,FALSE)</f>
        <v>9715</v>
      </c>
      <c r="Q474" s="31" t="b">
        <f t="shared" si="7"/>
        <v>1</v>
      </c>
      <c r="R474" s="32">
        <v>45793</v>
      </c>
      <c r="S474" s="29">
        <v>9173</v>
      </c>
      <c r="T474" s="29" t="s">
        <v>1699</v>
      </c>
      <c r="U474" s="33" t="s">
        <v>1700</v>
      </c>
    </row>
    <row r="475" spans="1:21" ht="28.5" customHeight="1" x14ac:dyDescent="0.3">
      <c r="A475" s="27">
        <v>472</v>
      </c>
      <c r="B475" s="28">
        <v>2025</v>
      </c>
      <c r="C475" s="29" t="s">
        <v>1526</v>
      </c>
      <c r="D475" s="30" t="s">
        <v>1701</v>
      </c>
      <c r="E475" s="29">
        <v>29242231</v>
      </c>
      <c r="F475" s="29">
        <v>1179778</v>
      </c>
      <c r="G475" s="30" t="s">
        <v>180</v>
      </c>
      <c r="H475" s="29">
        <v>2593</v>
      </c>
      <c r="I475" s="29">
        <v>1</v>
      </c>
      <c r="J475" s="29"/>
      <c r="K475" s="30"/>
      <c r="L475" s="29" t="s">
        <v>72</v>
      </c>
      <c r="M475" s="31">
        <v>16113</v>
      </c>
      <c r="N475" s="31">
        <v>10742</v>
      </c>
      <c r="O475" s="31">
        <v>26855</v>
      </c>
      <c r="P475" s="31">
        <f>VLOOKUP(F475,'[3]1ª PARCELA'!$E$5:$H$889,4,FALSE)</f>
        <v>26855</v>
      </c>
      <c r="Q475" s="31" t="b">
        <f t="shared" si="7"/>
        <v>1</v>
      </c>
      <c r="R475" s="32">
        <v>45806</v>
      </c>
      <c r="S475" s="29">
        <v>9851</v>
      </c>
      <c r="T475" s="29" t="s">
        <v>1702</v>
      </c>
      <c r="U475" s="33" t="s">
        <v>1703</v>
      </c>
    </row>
    <row r="476" spans="1:21" ht="28.5" customHeight="1" x14ac:dyDescent="0.3">
      <c r="A476" s="27">
        <v>473</v>
      </c>
      <c r="B476" s="28">
        <v>2025</v>
      </c>
      <c r="C476" s="29" t="s">
        <v>1526</v>
      </c>
      <c r="D476" s="30" t="s">
        <v>1704</v>
      </c>
      <c r="E476" s="29">
        <v>29243882</v>
      </c>
      <c r="F476" s="29">
        <v>1170866</v>
      </c>
      <c r="G476" s="30" t="s">
        <v>1705</v>
      </c>
      <c r="H476" s="29">
        <v>548</v>
      </c>
      <c r="I476" s="29">
        <v>1</v>
      </c>
      <c r="J476" s="29"/>
      <c r="K476" s="30"/>
      <c r="L476" s="29" t="s">
        <v>72</v>
      </c>
      <c r="M476" s="31">
        <v>3202.5</v>
      </c>
      <c r="N476" s="31">
        <v>3202.5</v>
      </c>
      <c r="O476" s="31">
        <v>6405</v>
      </c>
      <c r="P476" s="31">
        <f>VLOOKUP(F476,'[3]1ª PARCELA'!$E$5:$H$889,4,FALSE)</f>
        <v>6405</v>
      </c>
      <c r="Q476" s="31" t="b">
        <f t="shared" si="7"/>
        <v>1</v>
      </c>
      <c r="R476" s="32">
        <v>45793</v>
      </c>
      <c r="S476" s="29">
        <v>9173</v>
      </c>
      <c r="T476" s="29" t="s">
        <v>1706</v>
      </c>
      <c r="U476" s="33" t="s">
        <v>1707</v>
      </c>
    </row>
    <row r="477" spans="1:21" ht="28.5" customHeight="1" x14ac:dyDescent="0.3">
      <c r="A477" s="27">
        <v>474</v>
      </c>
      <c r="B477" s="28">
        <v>2025</v>
      </c>
      <c r="C477" s="29" t="s">
        <v>1526</v>
      </c>
      <c r="D477" s="30" t="s">
        <v>1708</v>
      </c>
      <c r="E477" s="29">
        <v>29243947</v>
      </c>
      <c r="F477" s="29">
        <v>1128606</v>
      </c>
      <c r="G477" s="30" t="s">
        <v>543</v>
      </c>
      <c r="H477" s="29">
        <v>875</v>
      </c>
      <c r="I477" s="29">
        <v>1</v>
      </c>
      <c r="J477" s="29"/>
      <c r="K477" s="30"/>
      <c r="L477" s="29" t="s">
        <v>72</v>
      </c>
      <c r="M477" s="31">
        <v>7740</v>
      </c>
      <c r="N477" s="31">
        <v>1935</v>
      </c>
      <c r="O477" s="31">
        <v>9675</v>
      </c>
      <c r="P477" s="31">
        <f>VLOOKUP(F477,'[3]1ª PARCELA'!$E$5:$H$889,4,FALSE)</f>
        <v>9675</v>
      </c>
      <c r="Q477" s="31" t="b">
        <f t="shared" si="7"/>
        <v>1</v>
      </c>
      <c r="R477" s="32">
        <v>45793</v>
      </c>
      <c r="S477" s="29">
        <v>9173</v>
      </c>
      <c r="T477" s="29" t="s">
        <v>1709</v>
      </c>
      <c r="U477" s="33" t="s">
        <v>1710</v>
      </c>
    </row>
    <row r="478" spans="1:21" ht="28.5" customHeight="1" x14ac:dyDescent="0.3">
      <c r="A478" s="27">
        <v>475</v>
      </c>
      <c r="B478" s="28">
        <v>2025</v>
      </c>
      <c r="C478" s="29" t="s">
        <v>263</v>
      </c>
      <c r="D478" s="30" t="s">
        <v>1711</v>
      </c>
      <c r="E478" s="29">
        <v>29245893</v>
      </c>
      <c r="F478" s="29">
        <v>1131402</v>
      </c>
      <c r="G478" s="30" t="s">
        <v>1712</v>
      </c>
      <c r="H478" s="29">
        <v>559</v>
      </c>
      <c r="I478" s="29">
        <v>1</v>
      </c>
      <c r="J478" s="29"/>
      <c r="K478" s="30"/>
      <c r="L478" s="29" t="s">
        <v>72</v>
      </c>
      <c r="M478" s="31">
        <v>5212</v>
      </c>
      <c r="N478" s="31">
        <v>1303</v>
      </c>
      <c r="O478" s="31">
        <v>6515</v>
      </c>
      <c r="P478" s="31">
        <f>VLOOKUP(F478,'[3]1ª PARCELA'!$E$5:$H$889,4,FALSE)</f>
        <v>6515</v>
      </c>
      <c r="Q478" s="31" t="b">
        <f t="shared" si="7"/>
        <v>1</v>
      </c>
      <c r="R478" s="32">
        <v>45793</v>
      </c>
      <c r="S478" s="29">
        <v>9173</v>
      </c>
      <c r="T478" s="29" t="s">
        <v>1713</v>
      </c>
      <c r="U478" s="33" t="s">
        <v>1714</v>
      </c>
    </row>
    <row r="479" spans="1:21" ht="28.5" customHeight="1" x14ac:dyDescent="0.3">
      <c r="A479" s="27">
        <v>476</v>
      </c>
      <c r="B479" s="28">
        <v>2025</v>
      </c>
      <c r="C479" s="29" t="s">
        <v>1526</v>
      </c>
      <c r="D479" s="30" t="s">
        <v>1715</v>
      </c>
      <c r="E479" s="29">
        <v>29248132</v>
      </c>
      <c r="F479" s="29">
        <v>1140606</v>
      </c>
      <c r="G479" s="30" t="s">
        <v>1716</v>
      </c>
      <c r="H479" s="29">
        <v>507</v>
      </c>
      <c r="I479" s="29">
        <v>1</v>
      </c>
      <c r="J479" s="29"/>
      <c r="K479" s="30"/>
      <c r="L479" s="29" t="s">
        <v>72</v>
      </c>
      <c r="M479" s="31">
        <v>3597</v>
      </c>
      <c r="N479" s="31">
        <v>2398</v>
      </c>
      <c r="O479" s="31">
        <v>5995</v>
      </c>
      <c r="P479" s="31">
        <f>VLOOKUP(F479,'[3]1ª PARCELA'!$E$5:$H$889,4,FALSE)</f>
        <v>5995</v>
      </c>
      <c r="Q479" s="31" t="b">
        <f t="shared" si="7"/>
        <v>1</v>
      </c>
      <c r="R479" s="32">
        <v>45867</v>
      </c>
      <c r="S479" s="29">
        <v>16705</v>
      </c>
      <c r="T479" s="29" t="s">
        <v>1717</v>
      </c>
      <c r="U479" s="33" t="s">
        <v>1718</v>
      </c>
    </row>
    <row r="480" spans="1:21" ht="28.5" customHeight="1" x14ac:dyDescent="0.3">
      <c r="A480" s="27">
        <v>477</v>
      </c>
      <c r="B480" s="28">
        <v>2025</v>
      </c>
      <c r="C480" s="29" t="s">
        <v>1719</v>
      </c>
      <c r="D480" s="30" t="s">
        <v>1720</v>
      </c>
      <c r="E480" s="29">
        <v>29249104</v>
      </c>
      <c r="F480" s="29">
        <v>1128460</v>
      </c>
      <c r="G480" s="30" t="s">
        <v>143</v>
      </c>
      <c r="H480" s="29">
        <v>484</v>
      </c>
      <c r="I480" s="29">
        <v>1</v>
      </c>
      <c r="J480" s="29"/>
      <c r="K480" s="30"/>
      <c r="L480" s="29" t="s">
        <v>72</v>
      </c>
      <c r="M480" s="31">
        <v>2882.5</v>
      </c>
      <c r="N480" s="31">
        <v>2882.5</v>
      </c>
      <c r="O480" s="31">
        <v>5765</v>
      </c>
      <c r="P480" s="31">
        <f>VLOOKUP(F480,'[3]1ª PARCELA'!$E$5:$H$889,4,FALSE)</f>
        <v>5765</v>
      </c>
      <c r="Q480" s="31" t="b">
        <f t="shared" si="7"/>
        <v>1</v>
      </c>
      <c r="R480" s="32">
        <v>45967</v>
      </c>
      <c r="S480" s="29">
        <v>29630</v>
      </c>
      <c r="T480" s="29" t="s">
        <v>1721</v>
      </c>
      <c r="U480" s="33" t="s">
        <v>1722</v>
      </c>
    </row>
    <row r="481" spans="1:21" ht="28.5" customHeight="1" x14ac:dyDescent="0.3">
      <c r="A481" s="27">
        <v>478</v>
      </c>
      <c r="B481" s="28">
        <v>2025</v>
      </c>
      <c r="C481" s="29" t="s">
        <v>1719</v>
      </c>
      <c r="D481" s="30" t="s">
        <v>1723</v>
      </c>
      <c r="E481" s="29">
        <v>29250285</v>
      </c>
      <c r="F481" s="29">
        <v>1129181</v>
      </c>
      <c r="G481" s="30" t="s">
        <v>1724</v>
      </c>
      <c r="H481" s="29">
        <v>449</v>
      </c>
      <c r="I481" s="29">
        <v>1</v>
      </c>
      <c r="J481" s="29"/>
      <c r="K481" s="30"/>
      <c r="L481" s="29" t="s">
        <v>72</v>
      </c>
      <c r="M481" s="31">
        <v>3790.5</v>
      </c>
      <c r="N481" s="31">
        <v>1624.5</v>
      </c>
      <c r="O481" s="31">
        <v>5415</v>
      </c>
      <c r="P481" s="31">
        <f>VLOOKUP(F481,'[3]1ª PARCELA'!$E$5:$H$889,4,FALSE)</f>
        <v>5415</v>
      </c>
      <c r="Q481" s="31" t="b">
        <f t="shared" si="7"/>
        <v>1</v>
      </c>
      <c r="R481" s="32">
        <v>45954</v>
      </c>
      <c r="S481" s="29">
        <v>28607</v>
      </c>
      <c r="T481" s="29" t="s">
        <v>1725</v>
      </c>
      <c r="U481" s="33" t="s">
        <v>1726</v>
      </c>
    </row>
    <row r="482" spans="1:21" ht="28.5" customHeight="1" x14ac:dyDescent="0.3">
      <c r="A482" s="27">
        <v>479</v>
      </c>
      <c r="B482" s="28">
        <v>2025</v>
      </c>
      <c r="C482" s="29" t="s">
        <v>1526</v>
      </c>
      <c r="D482" s="30" t="s">
        <v>1727</v>
      </c>
      <c r="E482" s="29">
        <v>29251648</v>
      </c>
      <c r="F482" s="29">
        <v>1129130</v>
      </c>
      <c r="G482" s="30" t="s">
        <v>1728</v>
      </c>
      <c r="H482" s="29">
        <v>716</v>
      </c>
      <c r="I482" s="29">
        <v>1</v>
      </c>
      <c r="J482" s="29"/>
      <c r="K482" s="30"/>
      <c r="L482" s="29" t="s">
        <v>72</v>
      </c>
      <c r="M482" s="31">
        <v>6468</v>
      </c>
      <c r="N482" s="31">
        <v>1617</v>
      </c>
      <c r="O482" s="31">
        <v>8085</v>
      </c>
      <c r="P482" s="31">
        <f>VLOOKUP(F482,'[3]1ª PARCELA'!$E$5:$H$889,4,FALSE)</f>
        <v>8085</v>
      </c>
      <c r="Q482" s="31" t="b">
        <f t="shared" si="7"/>
        <v>1</v>
      </c>
      <c r="R482" s="32">
        <v>45793</v>
      </c>
      <c r="S482" s="29">
        <v>9173</v>
      </c>
      <c r="T482" s="29" t="s">
        <v>1729</v>
      </c>
      <c r="U482" s="33" t="s">
        <v>1730</v>
      </c>
    </row>
    <row r="483" spans="1:21" ht="28.5" customHeight="1" x14ac:dyDescent="0.3">
      <c r="A483" s="27">
        <v>480</v>
      </c>
      <c r="B483" s="28">
        <v>2025</v>
      </c>
      <c r="C483" s="29" t="s">
        <v>263</v>
      </c>
      <c r="D483" s="30" t="s">
        <v>1731</v>
      </c>
      <c r="E483" s="29">
        <v>29252555</v>
      </c>
      <c r="F483" s="29">
        <v>1164742</v>
      </c>
      <c r="G483" s="30" t="s">
        <v>1732</v>
      </c>
      <c r="H483" s="29">
        <v>1020</v>
      </c>
      <c r="I483" s="29">
        <v>1</v>
      </c>
      <c r="J483" s="29"/>
      <c r="K483" s="30"/>
      <c r="L483" s="29" t="s">
        <v>72</v>
      </c>
      <c r="M483" s="31">
        <v>6675</v>
      </c>
      <c r="N483" s="31">
        <v>4450</v>
      </c>
      <c r="O483" s="31">
        <v>11125</v>
      </c>
      <c r="P483" s="31">
        <f>VLOOKUP(F483,'[3]1ª PARCELA'!$E$5:$H$889,4,FALSE)</f>
        <v>11125</v>
      </c>
      <c r="Q483" s="31" t="b">
        <f t="shared" si="7"/>
        <v>1</v>
      </c>
      <c r="R483" s="32">
        <v>45793</v>
      </c>
      <c r="S483" s="29">
        <v>9173</v>
      </c>
      <c r="T483" s="29" t="s">
        <v>1733</v>
      </c>
      <c r="U483" s="33" t="s">
        <v>1734</v>
      </c>
    </row>
    <row r="484" spans="1:21" ht="28.5" customHeight="1" x14ac:dyDescent="0.3">
      <c r="A484" s="27">
        <v>481</v>
      </c>
      <c r="B484" s="28">
        <v>2025</v>
      </c>
      <c r="C484" s="29" t="s">
        <v>1526</v>
      </c>
      <c r="D484" s="30" t="s">
        <v>1735</v>
      </c>
      <c r="E484" s="29">
        <v>29254396</v>
      </c>
      <c r="F484" s="29">
        <v>1129432</v>
      </c>
      <c r="G484" s="30" t="s">
        <v>1736</v>
      </c>
      <c r="H484" s="29">
        <v>356</v>
      </c>
      <c r="I484" s="29">
        <v>1</v>
      </c>
      <c r="J484" s="29"/>
      <c r="K484" s="30"/>
      <c r="L484" s="29" t="s">
        <v>72</v>
      </c>
      <c r="M484" s="31">
        <v>2242.5</v>
      </c>
      <c r="N484" s="31">
        <v>2242.5</v>
      </c>
      <c r="O484" s="31">
        <v>4485</v>
      </c>
      <c r="P484" s="31">
        <f>VLOOKUP(F484,'[3]1ª PARCELA'!$E$5:$H$889,4,FALSE)</f>
        <v>4485</v>
      </c>
      <c r="Q484" s="31" t="b">
        <f t="shared" si="7"/>
        <v>1</v>
      </c>
      <c r="R484" s="32">
        <v>45793</v>
      </c>
      <c r="S484" s="29">
        <v>9173</v>
      </c>
      <c r="T484" s="29" t="s">
        <v>1737</v>
      </c>
      <c r="U484" s="33" t="s">
        <v>1738</v>
      </c>
    </row>
    <row r="485" spans="1:21" ht="28.5" customHeight="1" x14ac:dyDescent="0.3">
      <c r="A485" s="27">
        <v>482</v>
      </c>
      <c r="B485" s="28">
        <v>2025</v>
      </c>
      <c r="C485" s="29" t="s">
        <v>1526</v>
      </c>
      <c r="D485" s="30" t="s">
        <v>1739</v>
      </c>
      <c r="E485" s="29">
        <v>29254426</v>
      </c>
      <c r="F485" s="29">
        <v>1137346</v>
      </c>
      <c r="G485" s="30" t="s">
        <v>1740</v>
      </c>
      <c r="H485" s="29">
        <v>621</v>
      </c>
      <c r="I485" s="29">
        <v>1</v>
      </c>
      <c r="J485" s="29"/>
      <c r="K485" s="30"/>
      <c r="L485" s="29" t="s">
        <v>72</v>
      </c>
      <c r="M485" s="31">
        <v>3567.5</v>
      </c>
      <c r="N485" s="31">
        <v>3567.5</v>
      </c>
      <c r="O485" s="31">
        <v>7135</v>
      </c>
      <c r="P485" s="31">
        <f>VLOOKUP(F485,'[3]1ª PARCELA'!$E$5:$H$889,4,FALSE)</f>
        <v>7135</v>
      </c>
      <c r="Q485" s="31" t="b">
        <f t="shared" si="7"/>
        <v>1</v>
      </c>
      <c r="R485" s="32">
        <v>45967</v>
      </c>
      <c r="S485" s="29">
        <v>29630</v>
      </c>
      <c r="T485" s="29" t="s">
        <v>1741</v>
      </c>
      <c r="U485" s="33" t="s">
        <v>1742</v>
      </c>
    </row>
    <row r="486" spans="1:21" ht="28.5" customHeight="1" x14ac:dyDescent="0.3">
      <c r="A486" s="27">
        <v>483</v>
      </c>
      <c r="B486" s="28">
        <v>2025</v>
      </c>
      <c r="C486" s="29" t="s">
        <v>1719</v>
      </c>
      <c r="D486" s="30" t="s">
        <v>1743</v>
      </c>
      <c r="E486" s="29">
        <v>29255597</v>
      </c>
      <c r="F486" s="29">
        <v>1123671</v>
      </c>
      <c r="G486" s="30" t="s">
        <v>1744</v>
      </c>
      <c r="H486" s="29">
        <v>424</v>
      </c>
      <c r="I486" s="29">
        <v>1</v>
      </c>
      <c r="J486" s="29"/>
      <c r="K486" s="30"/>
      <c r="L486" s="29" t="s">
        <v>72</v>
      </c>
      <c r="M486" s="31">
        <v>2582.5</v>
      </c>
      <c r="N486" s="31">
        <v>2582.5</v>
      </c>
      <c r="O486" s="31">
        <v>5165</v>
      </c>
      <c r="P486" s="31">
        <f>VLOOKUP(F486,'[3]1ª PARCELA'!$E$5:$H$889,4,FALSE)</f>
        <v>5165</v>
      </c>
      <c r="Q486" s="31" t="b">
        <f t="shared" si="7"/>
        <v>1</v>
      </c>
      <c r="R486" s="32">
        <v>45793</v>
      </c>
      <c r="S486" s="29">
        <v>9173</v>
      </c>
      <c r="T486" s="29" t="s">
        <v>1745</v>
      </c>
      <c r="U486" s="33" t="s">
        <v>1746</v>
      </c>
    </row>
    <row r="487" spans="1:21" ht="28.5" customHeight="1" x14ac:dyDescent="0.3">
      <c r="A487" s="27">
        <v>484</v>
      </c>
      <c r="B487" s="28">
        <v>2025</v>
      </c>
      <c r="C487" s="29" t="s">
        <v>1719</v>
      </c>
      <c r="D487" s="30" t="s">
        <v>1747</v>
      </c>
      <c r="E487" s="29">
        <v>29258324</v>
      </c>
      <c r="F487" s="29">
        <v>1128878</v>
      </c>
      <c r="G487" s="30" t="s">
        <v>1748</v>
      </c>
      <c r="H487" s="29">
        <v>526</v>
      </c>
      <c r="I487" s="29">
        <v>1</v>
      </c>
      <c r="J487" s="29"/>
      <c r="K487" s="30"/>
      <c r="L487" s="29" t="s">
        <v>72</v>
      </c>
      <c r="M487" s="31">
        <v>2474</v>
      </c>
      <c r="N487" s="31">
        <v>3711</v>
      </c>
      <c r="O487" s="31">
        <v>6185</v>
      </c>
      <c r="P487" s="31">
        <f>VLOOKUP(F487,'[3]1ª PARCELA'!$E$5:$H$889,4,FALSE)</f>
        <v>6185</v>
      </c>
      <c r="Q487" s="31" t="b">
        <f t="shared" si="7"/>
        <v>1</v>
      </c>
      <c r="R487" s="32">
        <v>45793</v>
      </c>
      <c r="S487" s="29">
        <v>9173</v>
      </c>
      <c r="T487" s="29" t="s">
        <v>1749</v>
      </c>
      <c r="U487" s="33" t="s">
        <v>1750</v>
      </c>
    </row>
    <row r="488" spans="1:21" ht="28.5" customHeight="1" x14ac:dyDescent="0.3">
      <c r="A488" s="27">
        <v>485</v>
      </c>
      <c r="B488" s="28">
        <v>2025</v>
      </c>
      <c r="C488" s="29" t="s">
        <v>1719</v>
      </c>
      <c r="D488" s="30" t="s">
        <v>1751</v>
      </c>
      <c r="E488" s="29">
        <v>29259630</v>
      </c>
      <c r="F488" s="29">
        <v>1128924</v>
      </c>
      <c r="G488" s="30" t="s">
        <v>1752</v>
      </c>
      <c r="H488" s="29">
        <v>271</v>
      </c>
      <c r="I488" s="29">
        <v>1</v>
      </c>
      <c r="J488" s="29"/>
      <c r="K488" s="30"/>
      <c r="L488" s="29" t="s">
        <v>72</v>
      </c>
      <c r="M488" s="31">
        <v>2908</v>
      </c>
      <c r="N488" s="31">
        <v>727</v>
      </c>
      <c r="O488" s="31">
        <v>3635</v>
      </c>
      <c r="P488" s="31">
        <f>VLOOKUP(F488,'[3]1ª PARCELA'!$E$5:$H$889,4,FALSE)</f>
        <v>3635</v>
      </c>
      <c r="Q488" s="31" t="b">
        <f t="shared" si="7"/>
        <v>1</v>
      </c>
      <c r="R488" s="32">
        <v>45793</v>
      </c>
      <c r="S488" s="29">
        <v>9173</v>
      </c>
      <c r="T488" s="29" t="s">
        <v>1753</v>
      </c>
      <c r="U488" s="33" t="s">
        <v>1754</v>
      </c>
    </row>
    <row r="489" spans="1:21" ht="28.5" customHeight="1" x14ac:dyDescent="0.3">
      <c r="A489" s="27">
        <v>486</v>
      </c>
      <c r="B489" s="28">
        <v>2025</v>
      </c>
      <c r="C489" s="29" t="s">
        <v>1526</v>
      </c>
      <c r="D489" s="30" t="s">
        <v>1755</v>
      </c>
      <c r="E489" s="29">
        <v>29260256</v>
      </c>
      <c r="F489" s="29">
        <v>1168039</v>
      </c>
      <c r="G489" s="30" t="s">
        <v>1756</v>
      </c>
      <c r="H489" s="29">
        <v>744</v>
      </c>
      <c r="I489" s="29">
        <v>1</v>
      </c>
      <c r="J489" s="29"/>
      <c r="K489" s="30"/>
      <c r="L489" s="29" t="s">
        <v>72</v>
      </c>
      <c r="M489" s="31">
        <v>5019</v>
      </c>
      <c r="N489" s="31">
        <v>3346</v>
      </c>
      <c r="O489" s="31">
        <v>8365</v>
      </c>
      <c r="P489" s="31">
        <f>VLOOKUP(F489,'[3]1ª PARCELA'!$E$5:$H$889,4,FALSE)</f>
        <v>8365</v>
      </c>
      <c r="Q489" s="31" t="b">
        <f t="shared" si="7"/>
        <v>1</v>
      </c>
      <c r="R489" s="32">
        <v>45833</v>
      </c>
      <c r="S489" s="29">
        <v>13120</v>
      </c>
      <c r="T489" s="29" t="s">
        <v>1757</v>
      </c>
      <c r="U489" s="33" t="s">
        <v>1758</v>
      </c>
    </row>
    <row r="490" spans="1:21" ht="28.5" customHeight="1" x14ac:dyDescent="0.3">
      <c r="A490" s="27">
        <v>487</v>
      </c>
      <c r="B490" s="28">
        <v>2025</v>
      </c>
      <c r="C490" s="29" t="s">
        <v>1719</v>
      </c>
      <c r="D490" s="30" t="s">
        <v>1759</v>
      </c>
      <c r="E490" s="29">
        <v>29261481</v>
      </c>
      <c r="F490" s="29">
        <v>1141815</v>
      </c>
      <c r="G490" s="30" t="s">
        <v>157</v>
      </c>
      <c r="H490" s="29">
        <v>261</v>
      </c>
      <c r="I490" s="29">
        <v>1</v>
      </c>
      <c r="J490" s="29"/>
      <c r="K490" s="30"/>
      <c r="L490" s="29" t="s">
        <v>72</v>
      </c>
      <c r="M490" s="31">
        <v>2828</v>
      </c>
      <c r="N490" s="31">
        <v>707</v>
      </c>
      <c r="O490" s="31">
        <v>3535</v>
      </c>
      <c r="P490" s="31">
        <f>VLOOKUP(F490,'[3]1ª PARCELA'!$E$5:$H$889,4,FALSE)</f>
        <v>3535</v>
      </c>
      <c r="Q490" s="31" t="b">
        <f t="shared" si="7"/>
        <v>1</v>
      </c>
      <c r="R490" s="32">
        <v>45793</v>
      </c>
      <c r="S490" s="29">
        <v>9173</v>
      </c>
      <c r="T490" s="29" t="s">
        <v>1760</v>
      </c>
      <c r="U490" s="33" t="s">
        <v>1761</v>
      </c>
    </row>
    <row r="491" spans="1:21" ht="28.5" customHeight="1" x14ac:dyDescent="0.3">
      <c r="A491" s="27">
        <v>488</v>
      </c>
      <c r="B491" s="28">
        <v>2025</v>
      </c>
      <c r="C491" s="29" t="s">
        <v>1719</v>
      </c>
      <c r="D491" s="30" t="s">
        <v>1762</v>
      </c>
      <c r="E491" s="29">
        <v>29261953</v>
      </c>
      <c r="F491" s="29">
        <v>1156634</v>
      </c>
      <c r="G491" s="30" t="s">
        <v>1763</v>
      </c>
      <c r="H491" s="29">
        <v>374</v>
      </c>
      <c r="I491" s="29">
        <v>1</v>
      </c>
      <c r="J491" s="29"/>
      <c r="K491" s="30"/>
      <c r="L491" s="29" t="s">
        <v>72</v>
      </c>
      <c r="M491" s="31">
        <v>3732</v>
      </c>
      <c r="N491" s="31">
        <v>933</v>
      </c>
      <c r="O491" s="31">
        <v>4665</v>
      </c>
      <c r="P491" s="31">
        <f>VLOOKUP(F491,'[3]1ª PARCELA'!$E$5:$H$889,4,FALSE)</f>
        <v>4665</v>
      </c>
      <c r="Q491" s="31" t="b">
        <f t="shared" si="7"/>
        <v>1</v>
      </c>
      <c r="R491" s="32">
        <v>45805</v>
      </c>
      <c r="S491" s="29">
        <v>9678</v>
      </c>
      <c r="T491" s="29" t="s">
        <v>1764</v>
      </c>
      <c r="U491" s="33" t="s">
        <v>1765</v>
      </c>
    </row>
    <row r="492" spans="1:21" ht="28.5" customHeight="1" x14ac:dyDescent="0.3">
      <c r="A492" s="27">
        <v>489</v>
      </c>
      <c r="B492" s="28">
        <v>2025</v>
      </c>
      <c r="C492" s="29" t="s">
        <v>1526</v>
      </c>
      <c r="D492" s="30" t="s">
        <v>1766</v>
      </c>
      <c r="E492" s="29">
        <v>29263972</v>
      </c>
      <c r="F492" s="29">
        <v>1176197</v>
      </c>
      <c r="G492" s="30" t="s">
        <v>1767</v>
      </c>
      <c r="H492" s="29">
        <v>206</v>
      </c>
      <c r="I492" s="29">
        <v>1</v>
      </c>
      <c r="J492" s="29"/>
      <c r="K492" s="30"/>
      <c r="L492" s="29" t="s">
        <v>72</v>
      </c>
      <c r="M492" s="31">
        <v>0</v>
      </c>
      <c r="N492" s="31">
        <v>2985</v>
      </c>
      <c r="O492" s="31">
        <v>2985</v>
      </c>
      <c r="P492" s="31">
        <f>VLOOKUP(F492,'[3]1ª PARCELA'!$E$5:$H$889,4,FALSE)</f>
        <v>2985</v>
      </c>
      <c r="Q492" s="31" t="b">
        <f t="shared" si="7"/>
        <v>1</v>
      </c>
      <c r="R492" s="32">
        <v>45793</v>
      </c>
      <c r="S492" s="29">
        <v>9173</v>
      </c>
      <c r="T492" s="29" t="s">
        <v>1768</v>
      </c>
      <c r="U492" s="33" t="s">
        <v>1769</v>
      </c>
    </row>
    <row r="493" spans="1:21" ht="28.5" customHeight="1" x14ac:dyDescent="0.3">
      <c r="A493" s="27">
        <v>490</v>
      </c>
      <c r="B493" s="28">
        <v>2025</v>
      </c>
      <c r="C493" s="29" t="s">
        <v>1526</v>
      </c>
      <c r="D493" s="30" t="s">
        <v>1766</v>
      </c>
      <c r="E493" s="29">
        <v>29264049</v>
      </c>
      <c r="F493" s="29">
        <v>1129416</v>
      </c>
      <c r="G493" s="30" t="s">
        <v>1770</v>
      </c>
      <c r="H493" s="29">
        <v>286</v>
      </c>
      <c r="I493" s="29">
        <v>1</v>
      </c>
      <c r="J493" s="29"/>
      <c r="K493" s="30"/>
      <c r="L493" s="29" t="s">
        <v>72</v>
      </c>
      <c r="M493" s="31">
        <v>3944.5</v>
      </c>
      <c r="N493" s="31">
        <v>1690.5</v>
      </c>
      <c r="O493" s="31">
        <v>5635</v>
      </c>
      <c r="P493" s="31">
        <f>VLOOKUP(F493,'[3]1ª PARCELA'!$E$5:$H$889,4,FALSE)</f>
        <v>5635</v>
      </c>
      <c r="Q493" s="31" t="b">
        <f t="shared" si="7"/>
        <v>1</v>
      </c>
      <c r="R493" s="32">
        <v>45793</v>
      </c>
      <c r="S493" s="29">
        <v>9173</v>
      </c>
      <c r="T493" s="29" t="s">
        <v>1771</v>
      </c>
      <c r="U493" s="33" t="s">
        <v>1772</v>
      </c>
    </row>
    <row r="494" spans="1:21" ht="28.5" customHeight="1" x14ac:dyDescent="0.3">
      <c r="A494" s="27">
        <v>491</v>
      </c>
      <c r="B494" s="28">
        <v>2025</v>
      </c>
      <c r="C494" s="29" t="s">
        <v>1719</v>
      </c>
      <c r="D494" s="30" t="s">
        <v>1773</v>
      </c>
      <c r="E494" s="29">
        <v>29265932</v>
      </c>
      <c r="F494" s="29">
        <v>1178248</v>
      </c>
      <c r="G494" s="30" t="s">
        <v>1774</v>
      </c>
      <c r="H494" s="29">
        <v>590</v>
      </c>
      <c r="I494" s="29">
        <v>1</v>
      </c>
      <c r="J494" s="29"/>
      <c r="K494" s="30"/>
      <c r="L494" s="29" t="s">
        <v>72</v>
      </c>
      <c r="M494" s="31">
        <v>3412.5</v>
      </c>
      <c r="N494" s="31">
        <v>3412.5</v>
      </c>
      <c r="O494" s="31">
        <v>6825</v>
      </c>
      <c r="P494" s="31">
        <f>VLOOKUP(F494,'[3]1ª PARCELA'!$E$5:$H$889,4,FALSE)</f>
        <v>6825</v>
      </c>
      <c r="Q494" s="31" t="b">
        <f t="shared" si="7"/>
        <v>1</v>
      </c>
      <c r="R494" s="32">
        <v>45793</v>
      </c>
      <c r="S494" s="29">
        <v>9173</v>
      </c>
      <c r="T494" s="29" t="s">
        <v>1775</v>
      </c>
      <c r="U494" s="33" t="s">
        <v>1776</v>
      </c>
    </row>
    <row r="495" spans="1:21" ht="28.5" customHeight="1" x14ac:dyDescent="0.3">
      <c r="A495" s="27">
        <v>492</v>
      </c>
      <c r="B495" s="28">
        <v>2025</v>
      </c>
      <c r="C495" s="29" t="s">
        <v>1719</v>
      </c>
      <c r="D495" s="30" t="s">
        <v>1777</v>
      </c>
      <c r="E495" s="29">
        <v>29267420</v>
      </c>
      <c r="F495" s="29">
        <v>1124813</v>
      </c>
      <c r="G495" s="30" t="s">
        <v>1778</v>
      </c>
      <c r="H495" s="29">
        <v>660</v>
      </c>
      <c r="I495" s="29">
        <v>1</v>
      </c>
      <c r="J495" s="29"/>
      <c r="K495" s="30"/>
      <c r="L495" s="29" t="s">
        <v>72</v>
      </c>
      <c r="M495" s="31">
        <v>6020</v>
      </c>
      <c r="N495" s="31">
        <v>1505</v>
      </c>
      <c r="O495" s="31">
        <v>7525</v>
      </c>
      <c r="P495" s="31">
        <f>VLOOKUP(F495,'[3]1ª PARCELA'!$E$5:$H$889,4,FALSE)</f>
        <v>7525</v>
      </c>
      <c r="Q495" s="31" t="b">
        <f t="shared" si="7"/>
        <v>1</v>
      </c>
      <c r="R495" s="32">
        <v>45793</v>
      </c>
      <c r="S495" s="29">
        <v>9173</v>
      </c>
      <c r="T495" s="29" t="s">
        <v>1779</v>
      </c>
      <c r="U495" s="33" t="s">
        <v>1780</v>
      </c>
    </row>
    <row r="496" spans="1:21" ht="28.5" customHeight="1" x14ac:dyDescent="0.3">
      <c r="A496" s="27">
        <v>493</v>
      </c>
      <c r="B496" s="28">
        <v>2025</v>
      </c>
      <c r="C496" s="29" t="s">
        <v>1719</v>
      </c>
      <c r="D496" s="30" t="s">
        <v>1781</v>
      </c>
      <c r="E496" s="29">
        <v>29267480</v>
      </c>
      <c r="F496" s="29">
        <v>1124856</v>
      </c>
      <c r="G496" s="30" t="s">
        <v>1782</v>
      </c>
      <c r="H496" s="29">
        <v>1056</v>
      </c>
      <c r="I496" s="29">
        <v>1</v>
      </c>
      <c r="J496" s="29"/>
      <c r="K496" s="30"/>
      <c r="L496" s="29" t="s">
        <v>72</v>
      </c>
      <c r="M496" s="31">
        <v>8039.5</v>
      </c>
      <c r="N496" s="31">
        <v>3445.5</v>
      </c>
      <c r="O496" s="31">
        <v>11485</v>
      </c>
      <c r="P496" s="31">
        <f>VLOOKUP(F496,'[3]1ª PARCELA'!$E$5:$H$889,4,FALSE)</f>
        <v>11485</v>
      </c>
      <c r="Q496" s="31" t="b">
        <f t="shared" si="7"/>
        <v>1</v>
      </c>
      <c r="R496" s="32">
        <v>45793</v>
      </c>
      <c r="S496" s="29">
        <v>9173</v>
      </c>
      <c r="T496" s="29" t="s">
        <v>1783</v>
      </c>
      <c r="U496" s="33" t="s">
        <v>1784</v>
      </c>
    </row>
    <row r="497" spans="1:21" ht="28.5" customHeight="1" x14ac:dyDescent="0.3">
      <c r="A497" s="27">
        <v>494</v>
      </c>
      <c r="B497" s="28">
        <v>2025</v>
      </c>
      <c r="C497" s="29" t="s">
        <v>1719</v>
      </c>
      <c r="D497" s="30" t="s">
        <v>1785</v>
      </c>
      <c r="E497" s="29">
        <v>29268168</v>
      </c>
      <c r="F497" s="29">
        <v>1124872</v>
      </c>
      <c r="G497" s="30" t="s">
        <v>1786</v>
      </c>
      <c r="H497" s="29">
        <v>914</v>
      </c>
      <c r="I497" s="29">
        <v>1</v>
      </c>
      <c r="J497" s="29"/>
      <c r="K497" s="30"/>
      <c r="L497" s="29" t="s">
        <v>72</v>
      </c>
      <c r="M497" s="31">
        <v>6039</v>
      </c>
      <c r="N497" s="31">
        <v>4026</v>
      </c>
      <c r="O497" s="31">
        <v>10065</v>
      </c>
      <c r="P497" s="31">
        <f>VLOOKUP(F497,'[3]1ª PARCELA'!$E$5:$H$889,4,FALSE)</f>
        <v>10065</v>
      </c>
      <c r="Q497" s="31" t="b">
        <f t="shared" si="7"/>
        <v>1</v>
      </c>
      <c r="R497" s="32">
        <v>45833</v>
      </c>
      <c r="S497" s="29">
        <v>13120</v>
      </c>
      <c r="T497" s="29" t="s">
        <v>1787</v>
      </c>
      <c r="U497" s="33" t="s">
        <v>1788</v>
      </c>
    </row>
    <row r="498" spans="1:21" ht="28.5" customHeight="1" x14ac:dyDescent="0.3">
      <c r="A498" s="27">
        <v>495</v>
      </c>
      <c r="B498" s="28">
        <v>2025</v>
      </c>
      <c r="C498" s="29" t="s">
        <v>1588</v>
      </c>
      <c r="D498" s="30" t="s">
        <v>1789</v>
      </c>
      <c r="E498" s="29">
        <v>29268524</v>
      </c>
      <c r="F498" s="29">
        <v>1117221</v>
      </c>
      <c r="G498" s="30" t="s">
        <v>1790</v>
      </c>
      <c r="H498" s="29">
        <v>478</v>
      </c>
      <c r="I498" s="29">
        <v>1</v>
      </c>
      <c r="J498" s="29"/>
      <c r="K498" s="30"/>
      <c r="L498" s="29" t="s">
        <v>72</v>
      </c>
      <c r="M498" s="31">
        <v>3993.5</v>
      </c>
      <c r="N498" s="31">
        <v>1711.5</v>
      </c>
      <c r="O498" s="31">
        <v>5705</v>
      </c>
      <c r="P498" s="31">
        <f>VLOOKUP(F498,'[3]1ª PARCELA'!$E$5:$H$889,4,FALSE)</f>
        <v>5705</v>
      </c>
      <c r="Q498" s="31" t="b">
        <f t="shared" si="7"/>
        <v>1</v>
      </c>
      <c r="R498" s="32">
        <v>45793</v>
      </c>
      <c r="S498" s="29">
        <v>9173</v>
      </c>
      <c r="T498" s="29" t="s">
        <v>1791</v>
      </c>
      <c r="U498" s="33" t="s">
        <v>1792</v>
      </c>
    </row>
    <row r="499" spans="1:21" ht="28.5" customHeight="1" x14ac:dyDescent="0.3">
      <c r="A499" s="27">
        <v>496</v>
      </c>
      <c r="B499" s="28">
        <v>2025</v>
      </c>
      <c r="C499" s="29" t="s">
        <v>1719</v>
      </c>
      <c r="D499" s="30" t="s">
        <v>1793</v>
      </c>
      <c r="E499" s="29">
        <v>29269806</v>
      </c>
      <c r="F499" s="29">
        <v>1165706</v>
      </c>
      <c r="G499" s="30" t="s">
        <v>1794</v>
      </c>
      <c r="H499" s="29">
        <v>447</v>
      </c>
      <c r="I499" s="29">
        <v>1</v>
      </c>
      <c r="J499" s="29"/>
      <c r="K499" s="30"/>
      <c r="L499" s="29" t="s">
        <v>72</v>
      </c>
      <c r="M499" s="31">
        <v>4316</v>
      </c>
      <c r="N499" s="31">
        <v>1079</v>
      </c>
      <c r="O499" s="31">
        <v>5395</v>
      </c>
      <c r="P499" s="31">
        <f>VLOOKUP(F499,'[3]1ª PARCELA'!$E$5:$H$889,4,FALSE)</f>
        <v>5395</v>
      </c>
      <c r="Q499" s="31" t="b">
        <f t="shared" si="7"/>
        <v>1</v>
      </c>
      <c r="R499" s="32">
        <v>45833</v>
      </c>
      <c r="S499" s="29">
        <v>13120</v>
      </c>
      <c r="T499" s="29" t="s">
        <v>1795</v>
      </c>
      <c r="U499" s="33" t="s">
        <v>1796</v>
      </c>
    </row>
    <row r="500" spans="1:21" ht="28.5" customHeight="1" x14ac:dyDescent="0.3">
      <c r="A500" s="27">
        <v>497</v>
      </c>
      <c r="B500" s="28">
        <v>2025</v>
      </c>
      <c r="C500" s="29" t="s">
        <v>1797</v>
      </c>
      <c r="D500" s="30" t="s">
        <v>1798</v>
      </c>
      <c r="E500" s="29">
        <v>29270545</v>
      </c>
      <c r="F500" s="29">
        <v>1118449</v>
      </c>
      <c r="G500" s="30" t="s">
        <v>1799</v>
      </c>
      <c r="H500" s="29">
        <v>256</v>
      </c>
      <c r="I500" s="29">
        <v>1</v>
      </c>
      <c r="J500" s="29"/>
      <c r="K500" s="30"/>
      <c r="L500" s="29" t="s">
        <v>72</v>
      </c>
      <c r="M500" s="31">
        <v>2788</v>
      </c>
      <c r="N500" s="31">
        <v>697</v>
      </c>
      <c r="O500" s="31">
        <v>3485</v>
      </c>
      <c r="P500" s="31">
        <f>VLOOKUP(F500,'[3]1ª PARCELA'!$E$5:$H$889,4,FALSE)</f>
        <v>3485</v>
      </c>
      <c r="Q500" s="31" t="b">
        <f t="shared" si="7"/>
        <v>1</v>
      </c>
      <c r="R500" s="32">
        <v>45800</v>
      </c>
      <c r="S500" s="29">
        <v>9563</v>
      </c>
      <c r="T500" s="29" t="s">
        <v>1800</v>
      </c>
      <c r="U500" s="33" t="s">
        <v>1801</v>
      </c>
    </row>
    <row r="501" spans="1:21" ht="28.5" customHeight="1" x14ac:dyDescent="0.3">
      <c r="A501" s="27">
        <v>498</v>
      </c>
      <c r="B501" s="28">
        <v>2025</v>
      </c>
      <c r="C501" s="29" t="s">
        <v>1719</v>
      </c>
      <c r="D501" s="30" t="s">
        <v>1802</v>
      </c>
      <c r="E501" s="29">
        <v>29270570</v>
      </c>
      <c r="F501" s="29">
        <v>1165722</v>
      </c>
      <c r="G501" s="30" t="s">
        <v>1803</v>
      </c>
      <c r="H501" s="29">
        <v>510</v>
      </c>
      <c r="I501" s="29">
        <v>1</v>
      </c>
      <c r="J501" s="29"/>
      <c r="K501" s="30"/>
      <c r="L501" s="29" t="s">
        <v>72</v>
      </c>
      <c r="M501" s="31">
        <v>4820</v>
      </c>
      <c r="N501" s="31">
        <v>1205</v>
      </c>
      <c r="O501" s="31">
        <v>6025</v>
      </c>
      <c r="P501" s="31">
        <f>VLOOKUP(F501,'[3]1ª PARCELA'!$E$5:$H$889,4,FALSE)</f>
        <v>6025</v>
      </c>
      <c r="Q501" s="31" t="b">
        <f t="shared" si="7"/>
        <v>1</v>
      </c>
      <c r="R501" s="32">
        <v>45793</v>
      </c>
      <c r="S501" s="29">
        <v>9173</v>
      </c>
      <c r="T501" s="29" t="s">
        <v>1804</v>
      </c>
      <c r="U501" s="33" t="s">
        <v>1805</v>
      </c>
    </row>
    <row r="502" spans="1:21" ht="28.5" customHeight="1" x14ac:dyDescent="0.3">
      <c r="A502" s="27">
        <v>499</v>
      </c>
      <c r="B502" s="28">
        <v>2025</v>
      </c>
      <c r="C502" s="29" t="s">
        <v>1588</v>
      </c>
      <c r="D502" s="30" t="s">
        <v>1806</v>
      </c>
      <c r="E502" s="29">
        <v>29271967</v>
      </c>
      <c r="F502" s="29">
        <v>1116950</v>
      </c>
      <c r="G502" s="30" t="s">
        <v>1807</v>
      </c>
      <c r="H502" s="29">
        <v>392</v>
      </c>
      <c r="I502" s="29">
        <v>1</v>
      </c>
      <c r="J502" s="29"/>
      <c r="K502" s="30"/>
      <c r="L502" s="29" t="s">
        <v>72</v>
      </c>
      <c r="M502" s="31">
        <v>3876</v>
      </c>
      <c r="N502" s="31">
        <v>969</v>
      </c>
      <c r="O502" s="31">
        <v>4845</v>
      </c>
      <c r="P502" s="31">
        <f>VLOOKUP(F502,'[3]1ª PARCELA'!$E$5:$H$889,4,FALSE)</f>
        <v>4845</v>
      </c>
      <c r="Q502" s="31" t="b">
        <f t="shared" si="7"/>
        <v>1</v>
      </c>
      <c r="R502" s="32">
        <v>45833</v>
      </c>
      <c r="S502" s="29">
        <v>13120</v>
      </c>
      <c r="T502" s="29" t="s">
        <v>1808</v>
      </c>
      <c r="U502" s="33" t="s">
        <v>1809</v>
      </c>
    </row>
    <row r="503" spans="1:21" ht="28.5" customHeight="1" x14ac:dyDescent="0.3">
      <c r="A503" s="27">
        <v>500</v>
      </c>
      <c r="B503" s="28">
        <v>2025</v>
      </c>
      <c r="C503" s="29" t="s">
        <v>1797</v>
      </c>
      <c r="D503" s="30" t="s">
        <v>1810</v>
      </c>
      <c r="E503" s="29">
        <v>29272696</v>
      </c>
      <c r="F503" s="29">
        <v>1118546</v>
      </c>
      <c r="G503" s="30" t="s">
        <v>1811</v>
      </c>
      <c r="H503" s="29">
        <v>501</v>
      </c>
      <c r="I503" s="29">
        <v>1</v>
      </c>
      <c r="J503" s="29"/>
      <c r="K503" s="30"/>
      <c r="L503" s="29" t="s">
        <v>72</v>
      </c>
      <c r="M503" s="31">
        <v>4154.5</v>
      </c>
      <c r="N503" s="31">
        <v>1780.5</v>
      </c>
      <c r="O503" s="31">
        <v>5935</v>
      </c>
      <c r="P503" s="31">
        <f>VLOOKUP(F503,'[3]1ª PARCELA'!$E$5:$H$889,4,FALSE)</f>
        <v>5935</v>
      </c>
      <c r="Q503" s="31" t="b">
        <f t="shared" si="7"/>
        <v>1</v>
      </c>
      <c r="R503" s="32">
        <v>45895</v>
      </c>
      <c r="S503" s="29">
        <v>19863</v>
      </c>
      <c r="T503" s="29" t="s">
        <v>1812</v>
      </c>
      <c r="U503" s="33" t="s">
        <v>1813</v>
      </c>
    </row>
    <row r="504" spans="1:21" ht="28.5" customHeight="1" x14ac:dyDescent="0.3">
      <c r="A504" s="27">
        <v>501</v>
      </c>
      <c r="B504" s="28">
        <v>2025</v>
      </c>
      <c r="C504" s="29" t="s">
        <v>1797</v>
      </c>
      <c r="D504" s="30" t="s">
        <v>1814</v>
      </c>
      <c r="E504" s="29">
        <v>29272947</v>
      </c>
      <c r="F504" s="29">
        <v>1118619</v>
      </c>
      <c r="G504" s="30" t="s">
        <v>1111</v>
      </c>
      <c r="H504" s="29">
        <v>820</v>
      </c>
      <c r="I504" s="29">
        <v>1</v>
      </c>
      <c r="J504" s="29"/>
      <c r="K504" s="30"/>
      <c r="L504" s="29" t="s">
        <v>72</v>
      </c>
      <c r="M504" s="31">
        <v>6387.5</v>
      </c>
      <c r="N504" s="31">
        <v>2737.5</v>
      </c>
      <c r="O504" s="31">
        <v>9125</v>
      </c>
      <c r="P504" s="31">
        <f>VLOOKUP(F504,'[3]1ª PARCELA'!$E$5:$H$889,4,FALSE)</f>
        <v>9125</v>
      </c>
      <c r="Q504" s="31" t="b">
        <f t="shared" si="7"/>
        <v>1</v>
      </c>
      <c r="R504" s="32">
        <v>45805</v>
      </c>
      <c r="S504" s="29">
        <v>9678</v>
      </c>
      <c r="T504" s="29" t="s">
        <v>1815</v>
      </c>
      <c r="U504" s="33" t="s">
        <v>1816</v>
      </c>
    </row>
    <row r="505" spans="1:21" ht="28.5" customHeight="1" x14ac:dyDescent="0.3">
      <c r="A505" s="27">
        <v>502</v>
      </c>
      <c r="B505" s="28">
        <v>2025</v>
      </c>
      <c r="C505" s="29" t="s">
        <v>1719</v>
      </c>
      <c r="D505" s="30" t="s">
        <v>1817</v>
      </c>
      <c r="E505" s="29">
        <v>29275474</v>
      </c>
      <c r="F505" s="29">
        <v>1124996</v>
      </c>
      <c r="G505" s="30" t="s">
        <v>1818</v>
      </c>
      <c r="H505" s="29">
        <v>1098</v>
      </c>
      <c r="I505" s="29">
        <v>1</v>
      </c>
      <c r="J505" s="29"/>
      <c r="K505" s="30"/>
      <c r="L505" s="29" t="s">
        <v>72</v>
      </c>
      <c r="M505" s="31">
        <v>9524</v>
      </c>
      <c r="N505" s="31">
        <v>2381</v>
      </c>
      <c r="O505" s="31">
        <v>11905</v>
      </c>
      <c r="P505" s="31">
        <f>VLOOKUP(F505,'[3]1ª PARCELA'!$E$5:$H$889,4,FALSE)</f>
        <v>11905</v>
      </c>
      <c r="Q505" s="31" t="b">
        <f t="shared" si="7"/>
        <v>1</v>
      </c>
      <c r="R505" s="32">
        <v>45833</v>
      </c>
      <c r="S505" s="29">
        <v>13120</v>
      </c>
      <c r="T505" s="29" t="s">
        <v>1819</v>
      </c>
      <c r="U505" s="33" t="s">
        <v>1820</v>
      </c>
    </row>
    <row r="506" spans="1:21" ht="28.5" customHeight="1" x14ac:dyDescent="0.3">
      <c r="A506" s="27">
        <v>503</v>
      </c>
      <c r="B506" s="28">
        <v>2025</v>
      </c>
      <c r="C506" s="29" t="s">
        <v>1719</v>
      </c>
      <c r="D506" s="30" t="s">
        <v>1821</v>
      </c>
      <c r="E506" s="29">
        <v>29276411</v>
      </c>
      <c r="F506" s="29">
        <v>1125186</v>
      </c>
      <c r="G506" s="30" t="s">
        <v>1822</v>
      </c>
      <c r="H506" s="29">
        <v>1173</v>
      </c>
      <c r="I506" s="29">
        <v>1</v>
      </c>
      <c r="J506" s="29"/>
      <c r="K506" s="30"/>
      <c r="L506" s="29" t="s">
        <v>72</v>
      </c>
      <c r="M506" s="31">
        <v>10124</v>
      </c>
      <c r="N506" s="31">
        <v>2531</v>
      </c>
      <c r="O506" s="31">
        <v>12655</v>
      </c>
      <c r="P506" s="31">
        <f>VLOOKUP(F506,'[3]1ª PARCELA'!$E$5:$H$889,4,FALSE)</f>
        <v>12655</v>
      </c>
      <c r="Q506" s="31" t="b">
        <f t="shared" si="7"/>
        <v>1</v>
      </c>
      <c r="R506" s="32">
        <v>45793</v>
      </c>
      <c r="S506" s="29">
        <v>9173</v>
      </c>
      <c r="T506" s="29" t="s">
        <v>1823</v>
      </c>
      <c r="U506" s="33" t="s">
        <v>1824</v>
      </c>
    </row>
    <row r="507" spans="1:21" ht="28.5" customHeight="1" x14ac:dyDescent="0.3">
      <c r="A507" s="27">
        <v>504</v>
      </c>
      <c r="B507" s="28">
        <v>2025</v>
      </c>
      <c r="C507" s="29" t="s">
        <v>1719</v>
      </c>
      <c r="D507" s="30" t="s">
        <v>1821</v>
      </c>
      <c r="E507" s="29">
        <v>29277230</v>
      </c>
      <c r="F507" s="29">
        <v>1125062</v>
      </c>
      <c r="G507" s="30" t="s">
        <v>1825</v>
      </c>
      <c r="H507" s="29">
        <v>552</v>
      </c>
      <c r="I507" s="29">
        <v>1</v>
      </c>
      <c r="J507" s="29"/>
      <c r="K507" s="30"/>
      <c r="L507" s="29" t="s">
        <v>72</v>
      </c>
      <c r="M507" s="31">
        <v>5156</v>
      </c>
      <c r="N507" s="31">
        <v>1289</v>
      </c>
      <c r="O507" s="31">
        <v>6445</v>
      </c>
      <c r="P507" s="31">
        <f>VLOOKUP(F507,'[3]1ª PARCELA'!$E$5:$H$889,4,FALSE)</f>
        <v>6445</v>
      </c>
      <c r="Q507" s="31" t="b">
        <f t="shared" si="7"/>
        <v>1</v>
      </c>
      <c r="R507" s="32">
        <v>45793</v>
      </c>
      <c r="S507" s="29">
        <v>9173</v>
      </c>
      <c r="T507" s="29" t="s">
        <v>1826</v>
      </c>
      <c r="U507" s="33" t="s">
        <v>1827</v>
      </c>
    </row>
    <row r="508" spans="1:21" ht="28.5" customHeight="1" x14ac:dyDescent="0.3">
      <c r="A508" s="27">
        <v>505</v>
      </c>
      <c r="B508" s="28">
        <v>2025</v>
      </c>
      <c r="C508" s="29" t="s">
        <v>1719</v>
      </c>
      <c r="D508" s="30" t="s">
        <v>1821</v>
      </c>
      <c r="E508" s="29">
        <v>29277256</v>
      </c>
      <c r="F508" s="29">
        <v>1125070</v>
      </c>
      <c r="G508" s="30" t="s">
        <v>1828</v>
      </c>
      <c r="H508" s="29">
        <v>429</v>
      </c>
      <c r="I508" s="29">
        <v>1</v>
      </c>
      <c r="J508" s="29"/>
      <c r="K508" s="30"/>
      <c r="L508" s="29" t="s">
        <v>72</v>
      </c>
      <c r="M508" s="31">
        <v>4172</v>
      </c>
      <c r="N508" s="31">
        <v>1043</v>
      </c>
      <c r="O508" s="31">
        <v>5215</v>
      </c>
      <c r="P508" s="31">
        <f>VLOOKUP(F508,'[3]1ª PARCELA'!$E$5:$H$889,4,FALSE)</f>
        <v>5215</v>
      </c>
      <c r="Q508" s="31" t="b">
        <f t="shared" si="7"/>
        <v>1</v>
      </c>
      <c r="R508" s="32">
        <v>45833</v>
      </c>
      <c r="S508" s="29">
        <v>13120</v>
      </c>
      <c r="T508" s="29" t="s">
        <v>1829</v>
      </c>
      <c r="U508" s="33" t="s">
        <v>1830</v>
      </c>
    </row>
    <row r="509" spans="1:21" ht="28.5" customHeight="1" x14ac:dyDescent="0.3">
      <c r="A509" s="27">
        <v>506</v>
      </c>
      <c r="B509" s="28">
        <v>2025</v>
      </c>
      <c r="C509" s="29" t="s">
        <v>1719</v>
      </c>
      <c r="D509" s="30" t="s">
        <v>1831</v>
      </c>
      <c r="E509" s="29">
        <v>29277752</v>
      </c>
      <c r="F509" s="29">
        <v>1125399</v>
      </c>
      <c r="G509" s="30" t="s">
        <v>1832</v>
      </c>
      <c r="H509" s="29">
        <v>249</v>
      </c>
      <c r="I509" s="29">
        <v>1</v>
      </c>
      <c r="J509" s="29"/>
      <c r="K509" s="30"/>
      <c r="L509" s="29" t="s">
        <v>72</v>
      </c>
      <c r="M509" s="31">
        <v>2732</v>
      </c>
      <c r="N509" s="31">
        <v>683</v>
      </c>
      <c r="O509" s="31">
        <v>3415</v>
      </c>
      <c r="P509" s="31">
        <f>VLOOKUP(F509,'[3]1ª PARCELA'!$E$5:$H$889,4,FALSE)</f>
        <v>3415</v>
      </c>
      <c r="Q509" s="31" t="b">
        <f t="shared" si="7"/>
        <v>1</v>
      </c>
      <c r="R509" s="32">
        <v>45793</v>
      </c>
      <c r="S509" s="29">
        <v>9173</v>
      </c>
      <c r="T509" s="29" t="s">
        <v>1833</v>
      </c>
      <c r="U509" s="33" t="s">
        <v>1834</v>
      </c>
    </row>
    <row r="510" spans="1:21" ht="28.5" customHeight="1" x14ac:dyDescent="0.3">
      <c r="A510" s="27">
        <v>507</v>
      </c>
      <c r="B510" s="28">
        <v>2025</v>
      </c>
      <c r="C510" s="29" t="s">
        <v>1719</v>
      </c>
      <c r="D510" s="30" t="s">
        <v>1831</v>
      </c>
      <c r="E510" s="29">
        <v>29277787</v>
      </c>
      <c r="F510" s="29">
        <v>1125640</v>
      </c>
      <c r="G510" s="30" t="s">
        <v>1835</v>
      </c>
      <c r="H510" s="29">
        <v>1024</v>
      </c>
      <c r="I510" s="29">
        <v>1</v>
      </c>
      <c r="J510" s="29"/>
      <c r="K510" s="30"/>
      <c r="L510" s="29" t="s">
        <v>72</v>
      </c>
      <c r="M510" s="31">
        <v>8932</v>
      </c>
      <c r="N510" s="31">
        <v>2233</v>
      </c>
      <c r="O510" s="31">
        <v>11165</v>
      </c>
      <c r="P510" s="31">
        <f>VLOOKUP(F510,'[3]1ª PARCELA'!$E$5:$H$889,4,FALSE)</f>
        <v>11165</v>
      </c>
      <c r="Q510" s="31" t="b">
        <f t="shared" si="7"/>
        <v>1</v>
      </c>
      <c r="R510" s="32">
        <v>45954</v>
      </c>
      <c r="S510" s="29">
        <v>28607</v>
      </c>
      <c r="T510" s="29" t="s">
        <v>1836</v>
      </c>
      <c r="U510" s="33" t="s">
        <v>1837</v>
      </c>
    </row>
    <row r="511" spans="1:21" ht="28.5" customHeight="1" x14ac:dyDescent="0.3">
      <c r="A511" s="27">
        <v>508</v>
      </c>
      <c r="B511" s="28">
        <v>2025</v>
      </c>
      <c r="C511" s="29" t="s">
        <v>1719</v>
      </c>
      <c r="D511" s="30" t="s">
        <v>1831</v>
      </c>
      <c r="E511" s="29">
        <v>29277809</v>
      </c>
      <c r="F511" s="29">
        <v>1125160</v>
      </c>
      <c r="G511" s="30" t="s">
        <v>1838</v>
      </c>
      <c r="H511" s="29">
        <v>1251</v>
      </c>
      <c r="I511" s="29">
        <v>1</v>
      </c>
      <c r="J511" s="29"/>
      <c r="K511" s="30"/>
      <c r="L511" s="29" t="s">
        <v>72</v>
      </c>
      <c r="M511" s="31">
        <v>6717.5</v>
      </c>
      <c r="N511" s="31">
        <v>6717.5</v>
      </c>
      <c r="O511" s="31">
        <v>13435</v>
      </c>
      <c r="P511" s="31">
        <f>VLOOKUP(F511,'[3]1ª PARCELA'!$E$5:$H$889,4,FALSE)</f>
        <v>13435</v>
      </c>
      <c r="Q511" s="31" t="b">
        <f t="shared" si="7"/>
        <v>1</v>
      </c>
      <c r="R511" s="32">
        <v>45793</v>
      </c>
      <c r="S511" s="29">
        <v>9173</v>
      </c>
      <c r="T511" s="29" t="s">
        <v>1839</v>
      </c>
      <c r="U511" s="33" t="s">
        <v>1840</v>
      </c>
    </row>
    <row r="512" spans="1:21" ht="28.5" customHeight="1" x14ac:dyDescent="0.3">
      <c r="A512" s="27">
        <v>509</v>
      </c>
      <c r="B512" s="28">
        <v>2025</v>
      </c>
      <c r="C512" s="29" t="s">
        <v>1719</v>
      </c>
      <c r="D512" s="30" t="s">
        <v>1831</v>
      </c>
      <c r="E512" s="29">
        <v>29277990</v>
      </c>
      <c r="F512" s="29">
        <v>1125429</v>
      </c>
      <c r="G512" s="30" t="s">
        <v>1841</v>
      </c>
      <c r="H512" s="29">
        <v>1003</v>
      </c>
      <c r="I512" s="29">
        <v>1</v>
      </c>
      <c r="J512" s="29"/>
      <c r="K512" s="30"/>
      <c r="L512" s="29" t="s">
        <v>72</v>
      </c>
      <c r="M512" s="31">
        <v>8764</v>
      </c>
      <c r="N512" s="31">
        <v>2191</v>
      </c>
      <c r="O512" s="31">
        <v>10955</v>
      </c>
      <c r="P512" s="31">
        <f>VLOOKUP(F512,'[3]1ª PARCELA'!$E$5:$H$889,4,FALSE)</f>
        <v>10955</v>
      </c>
      <c r="Q512" s="31" t="b">
        <f t="shared" si="7"/>
        <v>1</v>
      </c>
      <c r="R512" s="32">
        <v>45793</v>
      </c>
      <c r="S512" s="29">
        <v>9173</v>
      </c>
      <c r="T512" s="29" t="s">
        <v>1842</v>
      </c>
      <c r="U512" s="33" t="s">
        <v>1843</v>
      </c>
    </row>
    <row r="513" spans="1:21" ht="28.5" customHeight="1" x14ac:dyDescent="0.3">
      <c r="A513" s="27">
        <v>510</v>
      </c>
      <c r="B513" s="28">
        <v>2025</v>
      </c>
      <c r="C513" s="29" t="s">
        <v>1719</v>
      </c>
      <c r="D513" s="30" t="s">
        <v>1831</v>
      </c>
      <c r="E513" s="29">
        <v>29278112</v>
      </c>
      <c r="F513" s="29">
        <v>1125224</v>
      </c>
      <c r="G513" s="30" t="s">
        <v>1844</v>
      </c>
      <c r="H513" s="29">
        <v>243</v>
      </c>
      <c r="I513" s="29">
        <v>1</v>
      </c>
      <c r="J513" s="29"/>
      <c r="K513" s="30"/>
      <c r="L513" s="29" t="s">
        <v>72</v>
      </c>
      <c r="M513" s="31">
        <v>2716</v>
      </c>
      <c r="N513" s="31">
        <v>679</v>
      </c>
      <c r="O513" s="31">
        <v>3395</v>
      </c>
      <c r="P513" s="31">
        <f>VLOOKUP(F513,'[3]1ª PARCELA'!$E$5:$H$889,4,FALSE)</f>
        <v>3395</v>
      </c>
      <c r="Q513" s="31" t="b">
        <f t="shared" si="7"/>
        <v>1</v>
      </c>
      <c r="R513" s="32">
        <v>45867</v>
      </c>
      <c r="S513" s="29">
        <v>16705</v>
      </c>
      <c r="T513" s="29" t="s">
        <v>1845</v>
      </c>
      <c r="U513" s="33" t="s">
        <v>1846</v>
      </c>
    </row>
    <row r="514" spans="1:21" ht="28.5" customHeight="1" x14ac:dyDescent="0.3">
      <c r="A514" s="27">
        <v>511</v>
      </c>
      <c r="B514" s="28">
        <v>2025</v>
      </c>
      <c r="C514" s="29" t="s">
        <v>1719</v>
      </c>
      <c r="D514" s="30" t="s">
        <v>1831</v>
      </c>
      <c r="E514" s="29">
        <v>29279151</v>
      </c>
      <c r="F514" s="29">
        <v>1165358</v>
      </c>
      <c r="G514" s="30" t="s">
        <v>1847</v>
      </c>
      <c r="H514" s="29">
        <v>1368</v>
      </c>
      <c r="I514" s="29">
        <v>1</v>
      </c>
      <c r="J514" s="29"/>
      <c r="K514" s="30"/>
      <c r="L514" s="29" t="s">
        <v>72</v>
      </c>
      <c r="M514" s="31">
        <v>10223.5</v>
      </c>
      <c r="N514" s="31">
        <v>4381.5</v>
      </c>
      <c r="O514" s="31">
        <v>14605</v>
      </c>
      <c r="P514" s="31">
        <f>VLOOKUP(F514,'[3]1ª PARCELA'!$E$5:$H$889,4,FALSE)</f>
        <v>14605</v>
      </c>
      <c r="Q514" s="31" t="b">
        <f t="shared" si="7"/>
        <v>1</v>
      </c>
      <c r="R514" s="32">
        <v>45793</v>
      </c>
      <c r="S514" s="29">
        <v>9173</v>
      </c>
      <c r="T514" s="29" t="s">
        <v>1848</v>
      </c>
      <c r="U514" s="33" t="s">
        <v>1849</v>
      </c>
    </row>
    <row r="515" spans="1:21" ht="28.5" customHeight="1" x14ac:dyDescent="0.3">
      <c r="A515" s="27">
        <v>512</v>
      </c>
      <c r="B515" s="28">
        <v>2025</v>
      </c>
      <c r="C515" s="29" t="s">
        <v>1719</v>
      </c>
      <c r="D515" s="30" t="s">
        <v>1831</v>
      </c>
      <c r="E515" s="29">
        <v>29279178</v>
      </c>
      <c r="F515" s="29">
        <v>1125461</v>
      </c>
      <c r="G515" s="30" t="s">
        <v>1850</v>
      </c>
      <c r="H515" s="29">
        <v>844</v>
      </c>
      <c r="I515" s="29">
        <v>1</v>
      </c>
      <c r="J515" s="29"/>
      <c r="K515" s="30"/>
      <c r="L515" s="29" t="s">
        <v>72</v>
      </c>
      <c r="M515" s="31">
        <v>7492</v>
      </c>
      <c r="N515" s="31">
        <v>1873</v>
      </c>
      <c r="O515" s="31">
        <v>9365</v>
      </c>
      <c r="P515" s="31">
        <f>VLOOKUP(F515,'[3]1ª PARCELA'!$E$5:$H$889,4,FALSE)</f>
        <v>9365</v>
      </c>
      <c r="Q515" s="31" t="b">
        <f t="shared" si="7"/>
        <v>1</v>
      </c>
      <c r="R515" s="32">
        <v>45833</v>
      </c>
      <c r="S515" s="29">
        <v>13120</v>
      </c>
      <c r="T515" s="29" t="s">
        <v>1851</v>
      </c>
      <c r="U515" s="33" t="s">
        <v>1852</v>
      </c>
    </row>
    <row r="516" spans="1:21" ht="28.5" customHeight="1" x14ac:dyDescent="0.3">
      <c r="A516" s="27">
        <v>513</v>
      </c>
      <c r="B516" s="28">
        <v>2025</v>
      </c>
      <c r="C516" s="29" t="s">
        <v>1719</v>
      </c>
      <c r="D516" s="30" t="s">
        <v>1831</v>
      </c>
      <c r="E516" s="29">
        <v>29279640</v>
      </c>
      <c r="F516" s="29">
        <v>1125305</v>
      </c>
      <c r="G516" s="30" t="s">
        <v>180</v>
      </c>
      <c r="H516" s="29">
        <v>2220</v>
      </c>
      <c r="I516" s="29">
        <v>1</v>
      </c>
      <c r="J516" s="29"/>
      <c r="K516" s="30"/>
      <c r="L516" s="29" t="s">
        <v>72</v>
      </c>
      <c r="M516" s="31">
        <v>16187.5</v>
      </c>
      <c r="N516" s="31">
        <v>6937.5</v>
      </c>
      <c r="O516" s="31">
        <v>23125</v>
      </c>
      <c r="P516" s="31">
        <f>VLOOKUP(F516,'[3]1ª PARCELA'!$E$5:$H$889,4,FALSE)</f>
        <v>23125</v>
      </c>
      <c r="Q516" s="31" t="b">
        <f t="shared" si="7"/>
        <v>1</v>
      </c>
      <c r="R516" s="32">
        <v>45833</v>
      </c>
      <c r="S516" s="29">
        <v>13120</v>
      </c>
      <c r="T516" s="29" t="s">
        <v>1853</v>
      </c>
      <c r="U516" s="33" t="s">
        <v>1854</v>
      </c>
    </row>
    <row r="517" spans="1:21" ht="28.5" customHeight="1" x14ac:dyDescent="0.3">
      <c r="A517" s="27">
        <v>514</v>
      </c>
      <c r="B517" s="28">
        <v>2025</v>
      </c>
      <c r="C517" s="29" t="s">
        <v>1719</v>
      </c>
      <c r="D517" s="30" t="s">
        <v>1831</v>
      </c>
      <c r="E517" s="29">
        <v>29279810</v>
      </c>
      <c r="F517" s="29">
        <v>1125496</v>
      </c>
      <c r="G517" s="30" t="s">
        <v>1855</v>
      </c>
      <c r="H517" s="29">
        <v>580</v>
      </c>
      <c r="I517" s="29">
        <v>1</v>
      </c>
      <c r="J517" s="29"/>
      <c r="K517" s="30"/>
      <c r="L517" s="29" t="s">
        <v>72</v>
      </c>
      <c r="M517" s="31">
        <v>5380</v>
      </c>
      <c r="N517" s="31">
        <v>1345</v>
      </c>
      <c r="O517" s="31">
        <v>6725</v>
      </c>
      <c r="P517" s="31">
        <f>VLOOKUP(F517,'[3]1ª PARCELA'!$E$5:$H$889,4,FALSE)</f>
        <v>6725</v>
      </c>
      <c r="Q517" s="31" t="b">
        <f t="shared" ref="Q517:Q580" si="8">O517=P517</f>
        <v>1</v>
      </c>
      <c r="R517" s="32">
        <v>45793</v>
      </c>
      <c r="S517" s="29">
        <v>9173</v>
      </c>
      <c r="T517" s="29" t="s">
        <v>1856</v>
      </c>
      <c r="U517" s="33" t="s">
        <v>1857</v>
      </c>
    </row>
    <row r="518" spans="1:21" ht="28.5" customHeight="1" x14ac:dyDescent="0.3">
      <c r="A518" s="27">
        <v>515</v>
      </c>
      <c r="B518" s="28">
        <v>2025</v>
      </c>
      <c r="C518" s="29" t="s">
        <v>1719</v>
      </c>
      <c r="D518" s="30" t="s">
        <v>1831</v>
      </c>
      <c r="E518" s="29">
        <v>29279887</v>
      </c>
      <c r="F518" s="29">
        <v>1125992</v>
      </c>
      <c r="G518" s="30" t="s">
        <v>1858</v>
      </c>
      <c r="H518" s="29">
        <v>1134</v>
      </c>
      <c r="I518" s="29">
        <v>1</v>
      </c>
      <c r="J518" s="29"/>
      <c r="K518" s="30"/>
      <c r="L518" s="29" t="s">
        <v>72</v>
      </c>
      <c r="M518" s="31">
        <v>7359</v>
      </c>
      <c r="N518" s="31">
        <v>4906</v>
      </c>
      <c r="O518" s="31">
        <v>12265</v>
      </c>
      <c r="P518" s="31">
        <f>VLOOKUP(F518,'[3]1ª PARCELA'!$E$5:$H$889,4,FALSE)</f>
        <v>12265</v>
      </c>
      <c r="Q518" s="31" t="b">
        <f t="shared" si="8"/>
        <v>1</v>
      </c>
      <c r="R518" s="32">
        <v>45805</v>
      </c>
      <c r="S518" s="29">
        <v>9678</v>
      </c>
      <c r="T518" s="29" t="s">
        <v>1859</v>
      </c>
      <c r="U518" s="33" t="s">
        <v>1860</v>
      </c>
    </row>
    <row r="519" spans="1:21" ht="28.5" customHeight="1" x14ac:dyDescent="0.3">
      <c r="A519" s="27">
        <v>516</v>
      </c>
      <c r="B519" s="28">
        <v>2025</v>
      </c>
      <c r="C519" s="29" t="s">
        <v>1719</v>
      </c>
      <c r="D519" s="30" t="s">
        <v>1861</v>
      </c>
      <c r="E519" s="29">
        <v>29281261</v>
      </c>
      <c r="F519" s="29">
        <v>1165277</v>
      </c>
      <c r="G519" s="30" t="s">
        <v>1862</v>
      </c>
      <c r="H519" s="29">
        <v>265</v>
      </c>
      <c r="I519" s="29">
        <v>1</v>
      </c>
      <c r="J519" s="29"/>
      <c r="K519" s="30"/>
      <c r="L519" s="29" t="s">
        <v>72</v>
      </c>
      <c r="M519" s="31">
        <v>2145</v>
      </c>
      <c r="N519" s="31">
        <v>1430</v>
      </c>
      <c r="O519" s="31">
        <v>3575</v>
      </c>
      <c r="P519" s="31">
        <f>VLOOKUP(F519,'[3]1ª PARCELA'!$E$5:$H$889,4,FALSE)</f>
        <v>3575</v>
      </c>
      <c r="Q519" s="31" t="b">
        <f t="shared" si="8"/>
        <v>1</v>
      </c>
      <c r="R519" s="32">
        <v>45793</v>
      </c>
      <c r="S519" s="29">
        <v>9173</v>
      </c>
      <c r="T519" s="29" t="s">
        <v>1863</v>
      </c>
      <c r="U519" s="33" t="s">
        <v>1864</v>
      </c>
    </row>
    <row r="520" spans="1:21" ht="28.5" customHeight="1" x14ac:dyDescent="0.3">
      <c r="A520" s="27">
        <v>517</v>
      </c>
      <c r="B520" s="28">
        <v>2025</v>
      </c>
      <c r="C520" s="29" t="s">
        <v>1797</v>
      </c>
      <c r="D520" s="30" t="s">
        <v>1865</v>
      </c>
      <c r="E520" s="29">
        <v>29282055</v>
      </c>
      <c r="F520" s="29">
        <v>1118791</v>
      </c>
      <c r="G520" s="30" t="s">
        <v>1866</v>
      </c>
      <c r="H520" s="29">
        <v>859</v>
      </c>
      <c r="I520" s="29">
        <v>1</v>
      </c>
      <c r="J520" s="29"/>
      <c r="K520" s="30"/>
      <c r="L520" s="29" t="s">
        <v>72</v>
      </c>
      <c r="M520" s="31">
        <v>7612</v>
      </c>
      <c r="N520" s="31">
        <v>1903</v>
      </c>
      <c r="O520" s="31">
        <v>9515</v>
      </c>
      <c r="P520" s="31">
        <f>VLOOKUP(F520,'[3]1ª PARCELA'!$E$5:$H$889,4,FALSE)</f>
        <v>9515</v>
      </c>
      <c r="Q520" s="31" t="b">
        <f t="shared" si="8"/>
        <v>1</v>
      </c>
      <c r="R520" s="32">
        <v>45967</v>
      </c>
      <c r="S520" s="29">
        <v>29630</v>
      </c>
      <c r="T520" s="29" t="s">
        <v>1867</v>
      </c>
      <c r="U520" s="33" t="s">
        <v>1868</v>
      </c>
    </row>
    <row r="521" spans="1:21" ht="28.5" customHeight="1" x14ac:dyDescent="0.3">
      <c r="A521" s="27">
        <v>518</v>
      </c>
      <c r="B521" s="28">
        <v>2025</v>
      </c>
      <c r="C521" s="29" t="s">
        <v>1797</v>
      </c>
      <c r="D521" s="30" t="s">
        <v>1869</v>
      </c>
      <c r="E521" s="29">
        <v>29282608</v>
      </c>
      <c r="F521" s="29">
        <v>1118899</v>
      </c>
      <c r="G521" s="30" t="s">
        <v>1870</v>
      </c>
      <c r="H521" s="29">
        <v>603</v>
      </c>
      <c r="I521" s="29">
        <v>1</v>
      </c>
      <c r="J521" s="29"/>
      <c r="K521" s="30"/>
      <c r="L521" s="29" t="s">
        <v>72</v>
      </c>
      <c r="M521" s="31">
        <v>1391</v>
      </c>
      <c r="N521" s="31">
        <v>5564</v>
      </c>
      <c r="O521" s="31">
        <v>6955</v>
      </c>
      <c r="P521" s="31">
        <f>VLOOKUP(F521,'[3]1ª PARCELA'!$E$5:$H$889,4,FALSE)</f>
        <v>6955</v>
      </c>
      <c r="Q521" s="31" t="b">
        <f t="shared" si="8"/>
        <v>1</v>
      </c>
      <c r="R521" s="32">
        <v>45793</v>
      </c>
      <c r="S521" s="29">
        <v>9173</v>
      </c>
      <c r="T521" s="29" t="s">
        <v>1871</v>
      </c>
      <c r="U521" s="33" t="s">
        <v>1872</v>
      </c>
    </row>
    <row r="522" spans="1:21" ht="28.5" customHeight="1" x14ac:dyDescent="0.3">
      <c r="A522" s="27">
        <v>519</v>
      </c>
      <c r="B522" s="28">
        <v>2025</v>
      </c>
      <c r="C522" s="29" t="s">
        <v>1797</v>
      </c>
      <c r="D522" s="30" t="s">
        <v>1869</v>
      </c>
      <c r="E522" s="29">
        <v>29282977</v>
      </c>
      <c r="F522" s="29">
        <v>1119119</v>
      </c>
      <c r="G522" s="30" t="s">
        <v>1873</v>
      </c>
      <c r="H522" s="29">
        <v>455</v>
      </c>
      <c r="I522" s="29">
        <v>1</v>
      </c>
      <c r="J522" s="29"/>
      <c r="K522" s="30"/>
      <c r="L522" s="29" t="s">
        <v>72</v>
      </c>
      <c r="M522" s="31">
        <v>3285</v>
      </c>
      <c r="N522" s="31">
        <v>2190</v>
      </c>
      <c r="O522" s="31">
        <v>5475</v>
      </c>
      <c r="P522" s="31">
        <f>VLOOKUP(F522,'[3]1ª PARCELA'!$E$5:$H$889,4,FALSE)</f>
        <v>5475</v>
      </c>
      <c r="Q522" s="31" t="b">
        <f t="shared" si="8"/>
        <v>1</v>
      </c>
      <c r="R522" s="32">
        <v>45967</v>
      </c>
      <c r="S522" s="29">
        <v>29630</v>
      </c>
      <c r="T522" s="29" t="s">
        <v>1874</v>
      </c>
      <c r="U522" s="33" t="s">
        <v>1875</v>
      </c>
    </row>
    <row r="523" spans="1:21" ht="28.5" customHeight="1" x14ac:dyDescent="0.3">
      <c r="A523" s="27">
        <v>520</v>
      </c>
      <c r="B523" s="28">
        <v>2025</v>
      </c>
      <c r="C523" s="29" t="s">
        <v>1797</v>
      </c>
      <c r="D523" s="30" t="s">
        <v>1876</v>
      </c>
      <c r="E523" s="29">
        <v>29283230</v>
      </c>
      <c r="F523" s="29">
        <v>1166613</v>
      </c>
      <c r="G523" s="30" t="s">
        <v>1877</v>
      </c>
      <c r="H523" s="29">
        <v>650</v>
      </c>
      <c r="I523" s="29">
        <v>1</v>
      </c>
      <c r="J523" s="29"/>
      <c r="K523" s="30"/>
      <c r="L523" s="29" t="s">
        <v>72</v>
      </c>
      <c r="M523" s="31">
        <v>5197.5</v>
      </c>
      <c r="N523" s="31">
        <v>2227.5</v>
      </c>
      <c r="O523" s="31">
        <v>7425</v>
      </c>
      <c r="P523" s="31">
        <f>VLOOKUP(F523,'[3]1ª PARCELA'!$E$5:$H$889,4,FALSE)</f>
        <v>7425</v>
      </c>
      <c r="Q523" s="31" t="b">
        <f t="shared" si="8"/>
        <v>1</v>
      </c>
      <c r="R523" s="32">
        <v>45945</v>
      </c>
      <c r="S523" s="29">
        <v>27117</v>
      </c>
      <c r="T523" s="29" t="s">
        <v>1878</v>
      </c>
      <c r="U523" s="33" t="s">
        <v>1879</v>
      </c>
    </row>
    <row r="524" spans="1:21" ht="28.5" customHeight="1" x14ac:dyDescent="0.3">
      <c r="A524" s="27">
        <v>521</v>
      </c>
      <c r="B524" s="28">
        <v>2025</v>
      </c>
      <c r="C524" s="29" t="s">
        <v>1797</v>
      </c>
      <c r="D524" s="30" t="s">
        <v>1880</v>
      </c>
      <c r="E524" s="29">
        <v>29283647</v>
      </c>
      <c r="F524" s="29">
        <v>1119283</v>
      </c>
      <c r="G524" s="30" t="s">
        <v>1881</v>
      </c>
      <c r="H524" s="29">
        <v>756</v>
      </c>
      <c r="I524" s="29">
        <v>1</v>
      </c>
      <c r="J524" s="29"/>
      <c r="K524" s="30"/>
      <c r="L524" s="29" t="s">
        <v>72</v>
      </c>
      <c r="M524" s="31">
        <v>5939.5</v>
      </c>
      <c r="N524" s="31">
        <v>2545.5</v>
      </c>
      <c r="O524" s="31">
        <v>8485</v>
      </c>
      <c r="P524" s="31">
        <f>VLOOKUP(F524,'[3]1ª PARCELA'!$E$5:$H$889,4,FALSE)</f>
        <v>8485</v>
      </c>
      <c r="Q524" s="31" t="b">
        <f t="shared" si="8"/>
        <v>1</v>
      </c>
      <c r="R524" s="32">
        <v>45800</v>
      </c>
      <c r="S524" s="29">
        <v>9563</v>
      </c>
      <c r="T524" s="29" t="s">
        <v>1882</v>
      </c>
      <c r="U524" s="33" t="s">
        <v>1883</v>
      </c>
    </row>
    <row r="525" spans="1:21" ht="28.5" customHeight="1" x14ac:dyDescent="0.3">
      <c r="A525" s="27">
        <v>522</v>
      </c>
      <c r="B525" s="28">
        <v>2025</v>
      </c>
      <c r="C525" s="29" t="s">
        <v>1797</v>
      </c>
      <c r="D525" s="30" t="s">
        <v>1884</v>
      </c>
      <c r="E525" s="29">
        <v>29284104</v>
      </c>
      <c r="F525" s="29">
        <v>1119380</v>
      </c>
      <c r="G525" s="30" t="s">
        <v>1885</v>
      </c>
      <c r="H525" s="29">
        <v>609</v>
      </c>
      <c r="I525" s="29">
        <v>1</v>
      </c>
      <c r="J525" s="29"/>
      <c r="K525" s="30"/>
      <c r="L525" s="29" t="s">
        <v>72</v>
      </c>
      <c r="M525" s="31">
        <v>4910.5</v>
      </c>
      <c r="N525" s="31">
        <v>2104.5</v>
      </c>
      <c r="O525" s="31">
        <v>7015</v>
      </c>
      <c r="P525" s="31">
        <f>VLOOKUP(F525,'[3]1ª PARCELA'!$E$5:$H$889,4,FALSE)</f>
        <v>7015</v>
      </c>
      <c r="Q525" s="31" t="b">
        <f t="shared" si="8"/>
        <v>1</v>
      </c>
      <c r="R525" s="32">
        <v>45967</v>
      </c>
      <c r="S525" s="29">
        <v>29630</v>
      </c>
      <c r="T525" s="29" t="s">
        <v>1886</v>
      </c>
      <c r="U525" s="33" t="s">
        <v>1887</v>
      </c>
    </row>
    <row r="526" spans="1:21" ht="28.5" customHeight="1" x14ac:dyDescent="0.3">
      <c r="A526" s="27">
        <v>523</v>
      </c>
      <c r="B526" s="28">
        <v>2025</v>
      </c>
      <c r="C526" s="29" t="s">
        <v>1797</v>
      </c>
      <c r="D526" s="30" t="s">
        <v>1888</v>
      </c>
      <c r="E526" s="29">
        <v>29284767</v>
      </c>
      <c r="F526" s="29">
        <v>1118872</v>
      </c>
      <c r="G526" s="30" t="s">
        <v>1889</v>
      </c>
      <c r="H526" s="29">
        <v>367</v>
      </c>
      <c r="I526" s="29">
        <v>1</v>
      </c>
      <c r="J526" s="29"/>
      <c r="K526" s="30"/>
      <c r="L526" s="29" t="s">
        <v>72</v>
      </c>
      <c r="M526" s="31">
        <v>2757</v>
      </c>
      <c r="N526" s="31">
        <v>1838</v>
      </c>
      <c r="O526" s="31">
        <v>4595</v>
      </c>
      <c r="P526" s="31">
        <f>VLOOKUP(F526,'[3]1ª PARCELA'!$E$5:$H$889,4,FALSE)</f>
        <v>4595</v>
      </c>
      <c r="Q526" s="31" t="b">
        <f t="shared" si="8"/>
        <v>1</v>
      </c>
      <c r="R526" s="32">
        <v>45800</v>
      </c>
      <c r="S526" s="29">
        <v>9563</v>
      </c>
      <c r="T526" s="29" t="s">
        <v>1890</v>
      </c>
      <c r="U526" s="33" t="s">
        <v>1891</v>
      </c>
    </row>
    <row r="527" spans="1:21" ht="28.5" customHeight="1" x14ac:dyDescent="0.3">
      <c r="A527" s="27">
        <v>524</v>
      </c>
      <c r="B527" s="28">
        <v>2025</v>
      </c>
      <c r="C527" s="29" t="s">
        <v>1719</v>
      </c>
      <c r="D527" s="30" t="s">
        <v>1892</v>
      </c>
      <c r="E527" s="29">
        <v>29285291</v>
      </c>
      <c r="F527" s="29">
        <v>1124929</v>
      </c>
      <c r="G527" s="30" t="s">
        <v>1893</v>
      </c>
      <c r="H527" s="29">
        <v>327</v>
      </c>
      <c r="I527" s="29">
        <v>1</v>
      </c>
      <c r="J527" s="29"/>
      <c r="K527" s="30"/>
      <c r="L527" s="29" t="s">
        <v>72</v>
      </c>
      <c r="M527" s="31">
        <v>2936.5</v>
      </c>
      <c r="N527" s="31">
        <v>1258.5</v>
      </c>
      <c r="O527" s="31">
        <v>4195</v>
      </c>
      <c r="P527" s="31">
        <f>VLOOKUP(F527,'[3]1ª PARCELA'!$E$5:$H$889,4,FALSE)</f>
        <v>4195</v>
      </c>
      <c r="Q527" s="31" t="b">
        <f t="shared" si="8"/>
        <v>1</v>
      </c>
      <c r="R527" s="32">
        <v>45895</v>
      </c>
      <c r="S527" s="29">
        <v>19863</v>
      </c>
      <c r="T527" s="29" t="s">
        <v>1894</v>
      </c>
      <c r="U527" s="33" t="s">
        <v>1895</v>
      </c>
    </row>
    <row r="528" spans="1:21" ht="28.5" customHeight="1" x14ac:dyDescent="0.3">
      <c r="A528" s="27">
        <v>525</v>
      </c>
      <c r="B528" s="28">
        <v>2025</v>
      </c>
      <c r="C528" s="29" t="s">
        <v>970</v>
      </c>
      <c r="D528" s="30" t="s">
        <v>48</v>
      </c>
      <c r="E528" s="29">
        <v>29285534</v>
      </c>
      <c r="F528" s="29">
        <v>1142862</v>
      </c>
      <c r="G528" s="30" t="s">
        <v>1896</v>
      </c>
      <c r="H528" s="29">
        <v>538</v>
      </c>
      <c r="I528" s="29">
        <v>1</v>
      </c>
      <c r="J528" s="29"/>
      <c r="K528" s="30"/>
      <c r="L528" s="29" t="s">
        <v>72</v>
      </c>
      <c r="M528" s="31">
        <v>6524</v>
      </c>
      <c r="N528" s="31">
        <v>1631</v>
      </c>
      <c r="O528" s="31">
        <v>8155</v>
      </c>
      <c r="P528" s="31">
        <f>VLOOKUP(F528,'[3]1ª PARCELA'!$E$5:$H$889,4,FALSE)</f>
        <v>8155</v>
      </c>
      <c r="Q528" s="31" t="b">
        <f t="shared" si="8"/>
        <v>1</v>
      </c>
      <c r="R528" s="32">
        <v>45967</v>
      </c>
      <c r="S528" s="29">
        <v>29630</v>
      </c>
      <c r="T528" s="29" t="s">
        <v>1897</v>
      </c>
      <c r="U528" s="33" t="s">
        <v>42</v>
      </c>
    </row>
    <row r="529" spans="1:21" ht="28.5" customHeight="1" x14ac:dyDescent="0.3">
      <c r="A529" s="27">
        <v>526</v>
      </c>
      <c r="B529" s="28">
        <v>2025</v>
      </c>
      <c r="C529" s="29" t="s">
        <v>970</v>
      </c>
      <c r="D529" s="30" t="s">
        <v>1898</v>
      </c>
      <c r="E529" s="29">
        <v>29285801</v>
      </c>
      <c r="F529" s="29">
        <v>1110049</v>
      </c>
      <c r="G529" s="30" t="s">
        <v>1899</v>
      </c>
      <c r="H529" s="29">
        <v>1430</v>
      </c>
      <c r="I529" s="29">
        <v>1</v>
      </c>
      <c r="J529" s="29"/>
      <c r="K529" s="30"/>
      <c r="L529" s="29" t="s">
        <v>72</v>
      </c>
      <c r="M529" s="31">
        <v>12180</v>
      </c>
      <c r="N529" s="31">
        <v>3045</v>
      </c>
      <c r="O529" s="31">
        <v>15225</v>
      </c>
      <c r="P529" s="31">
        <f>VLOOKUP(F529,'[3]1ª PARCELA'!$E$5:$H$889,4,FALSE)</f>
        <v>15225</v>
      </c>
      <c r="Q529" s="31" t="b">
        <f t="shared" si="8"/>
        <v>1</v>
      </c>
      <c r="R529" s="32">
        <v>45805</v>
      </c>
      <c r="S529" s="29">
        <v>9678</v>
      </c>
      <c r="T529" s="29" t="s">
        <v>1900</v>
      </c>
      <c r="U529" s="33" t="s">
        <v>1901</v>
      </c>
    </row>
    <row r="530" spans="1:21" ht="28.5" customHeight="1" x14ac:dyDescent="0.3">
      <c r="A530" s="27">
        <v>527</v>
      </c>
      <c r="B530" s="28">
        <v>2025</v>
      </c>
      <c r="C530" s="29" t="s">
        <v>970</v>
      </c>
      <c r="D530" s="30" t="s">
        <v>1902</v>
      </c>
      <c r="E530" s="29">
        <v>29287235</v>
      </c>
      <c r="F530" s="29">
        <v>1110251</v>
      </c>
      <c r="G530" s="30" t="s">
        <v>1903</v>
      </c>
      <c r="H530" s="29">
        <v>850</v>
      </c>
      <c r="I530" s="29">
        <v>1</v>
      </c>
      <c r="J530" s="29"/>
      <c r="K530" s="30"/>
      <c r="L530" s="29" t="s">
        <v>72</v>
      </c>
      <c r="M530" s="31">
        <v>5655</v>
      </c>
      <c r="N530" s="31">
        <v>3770</v>
      </c>
      <c r="O530" s="31">
        <v>9425</v>
      </c>
      <c r="P530" s="31">
        <f>VLOOKUP(F530,'[3]1ª PARCELA'!$E$5:$H$889,4,FALSE)</f>
        <v>9425</v>
      </c>
      <c r="Q530" s="31" t="b">
        <f t="shared" si="8"/>
        <v>1</v>
      </c>
      <c r="R530" s="32">
        <v>45805</v>
      </c>
      <c r="S530" s="29">
        <v>9678</v>
      </c>
      <c r="T530" s="29" t="s">
        <v>1904</v>
      </c>
      <c r="U530" s="33" t="s">
        <v>1905</v>
      </c>
    </row>
    <row r="531" spans="1:21" ht="28.5" customHeight="1" x14ac:dyDescent="0.3">
      <c r="A531" s="27">
        <v>528</v>
      </c>
      <c r="B531" s="28">
        <v>2025</v>
      </c>
      <c r="C531" s="29" t="s">
        <v>1906</v>
      </c>
      <c r="D531" s="30" t="s">
        <v>1907</v>
      </c>
      <c r="E531" s="29">
        <v>29288142</v>
      </c>
      <c r="F531" s="29">
        <v>1159668</v>
      </c>
      <c r="G531" s="30" t="s">
        <v>1908</v>
      </c>
      <c r="H531" s="29">
        <v>342</v>
      </c>
      <c r="I531" s="29">
        <v>1</v>
      </c>
      <c r="J531" s="29"/>
      <c r="K531" s="30"/>
      <c r="L531" s="29" t="s">
        <v>72</v>
      </c>
      <c r="M531" s="31">
        <v>4956</v>
      </c>
      <c r="N531" s="31">
        <v>1239</v>
      </c>
      <c r="O531" s="31">
        <v>6195</v>
      </c>
      <c r="P531" s="31">
        <f>VLOOKUP(F531,'[3]1ª PARCELA'!$E$5:$H$889,4,FALSE)</f>
        <v>6195</v>
      </c>
      <c r="Q531" s="31" t="b">
        <f t="shared" si="8"/>
        <v>1</v>
      </c>
      <c r="R531" s="32">
        <v>45926</v>
      </c>
      <c r="S531" s="29">
        <v>24529</v>
      </c>
      <c r="T531" s="29" t="s">
        <v>1909</v>
      </c>
      <c r="U531" s="33" t="s">
        <v>1910</v>
      </c>
    </row>
    <row r="532" spans="1:21" ht="28.5" customHeight="1" x14ac:dyDescent="0.3">
      <c r="A532" s="27">
        <v>529</v>
      </c>
      <c r="B532" s="28">
        <v>2025</v>
      </c>
      <c r="C532" s="29" t="s">
        <v>1906</v>
      </c>
      <c r="D532" s="30" t="s">
        <v>1907</v>
      </c>
      <c r="E532" s="29">
        <v>29288150</v>
      </c>
      <c r="F532" s="29">
        <v>1159641</v>
      </c>
      <c r="G532" s="30" t="s">
        <v>1911</v>
      </c>
      <c r="H532" s="29">
        <v>148</v>
      </c>
      <c r="I532" s="29">
        <v>1</v>
      </c>
      <c r="J532" s="29"/>
      <c r="K532" s="30"/>
      <c r="L532" s="29" t="s">
        <v>72</v>
      </c>
      <c r="M532" s="31">
        <v>2553</v>
      </c>
      <c r="N532" s="31">
        <v>1702</v>
      </c>
      <c r="O532" s="31">
        <v>4255</v>
      </c>
      <c r="P532" s="31">
        <f>VLOOKUP(F532,'[3]1ª PARCELA'!$E$5:$H$889,4,FALSE)</f>
        <v>4255</v>
      </c>
      <c r="Q532" s="31" t="b">
        <f t="shared" si="8"/>
        <v>1</v>
      </c>
      <c r="R532" s="32">
        <v>45967</v>
      </c>
      <c r="S532" s="29">
        <v>29630</v>
      </c>
      <c r="T532" s="29" t="s">
        <v>1912</v>
      </c>
      <c r="U532" s="33" t="s">
        <v>1913</v>
      </c>
    </row>
    <row r="533" spans="1:21" ht="28.5" customHeight="1" x14ac:dyDescent="0.3">
      <c r="A533" s="27">
        <v>530</v>
      </c>
      <c r="B533" s="28">
        <v>2025</v>
      </c>
      <c r="C533" s="29" t="s">
        <v>970</v>
      </c>
      <c r="D533" s="30" t="s">
        <v>1914</v>
      </c>
      <c r="E533" s="29">
        <v>29288339</v>
      </c>
      <c r="F533" s="29">
        <v>1110499</v>
      </c>
      <c r="G533" s="30" t="s">
        <v>1915</v>
      </c>
      <c r="H533" s="29">
        <v>496</v>
      </c>
      <c r="I533" s="29">
        <v>1</v>
      </c>
      <c r="J533" s="29"/>
      <c r="K533" s="30"/>
      <c r="L533" s="29" t="s">
        <v>72</v>
      </c>
      <c r="M533" s="31">
        <v>4708</v>
      </c>
      <c r="N533" s="31">
        <v>1177</v>
      </c>
      <c r="O533" s="31">
        <v>5885</v>
      </c>
      <c r="P533" s="31">
        <f>VLOOKUP(F533,'[3]1ª PARCELA'!$E$5:$H$889,4,FALSE)</f>
        <v>5885</v>
      </c>
      <c r="Q533" s="31" t="b">
        <f t="shared" si="8"/>
        <v>1</v>
      </c>
      <c r="R533" s="32">
        <v>45805</v>
      </c>
      <c r="S533" s="29">
        <v>9678</v>
      </c>
      <c r="T533" s="29" t="s">
        <v>1916</v>
      </c>
      <c r="U533" s="33" t="s">
        <v>1917</v>
      </c>
    </row>
    <row r="534" spans="1:21" ht="28.5" customHeight="1" x14ac:dyDescent="0.3">
      <c r="A534" s="27">
        <v>531</v>
      </c>
      <c r="B534" s="28">
        <v>2025</v>
      </c>
      <c r="C534" s="29" t="s">
        <v>970</v>
      </c>
      <c r="D534" s="30" t="s">
        <v>1918</v>
      </c>
      <c r="E534" s="29">
        <v>29289270</v>
      </c>
      <c r="F534" s="29">
        <v>1158270</v>
      </c>
      <c r="G534" s="30" t="s">
        <v>1919</v>
      </c>
      <c r="H534" s="29">
        <v>368</v>
      </c>
      <c r="I534" s="29">
        <v>1</v>
      </c>
      <c r="J534" s="29"/>
      <c r="K534" s="30"/>
      <c r="L534" s="29" t="s">
        <v>72</v>
      </c>
      <c r="M534" s="31">
        <v>3684</v>
      </c>
      <c r="N534" s="31">
        <v>921</v>
      </c>
      <c r="O534" s="31">
        <v>4605</v>
      </c>
      <c r="P534" s="31">
        <f>VLOOKUP(F534,'[3]1ª PARCELA'!$E$5:$H$889,4,FALSE)</f>
        <v>4605</v>
      </c>
      <c r="Q534" s="31" t="b">
        <f t="shared" si="8"/>
        <v>1</v>
      </c>
      <c r="R534" s="32">
        <v>45805</v>
      </c>
      <c r="S534" s="29">
        <v>9678</v>
      </c>
      <c r="T534" s="29" t="s">
        <v>1920</v>
      </c>
      <c r="U534" s="33" t="s">
        <v>1921</v>
      </c>
    </row>
    <row r="535" spans="1:21" ht="28.5" customHeight="1" x14ac:dyDescent="0.3">
      <c r="A535" s="27">
        <v>532</v>
      </c>
      <c r="B535" s="28">
        <v>2025</v>
      </c>
      <c r="C535" s="29" t="s">
        <v>970</v>
      </c>
      <c r="D535" s="30" t="s">
        <v>1922</v>
      </c>
      <c r="E535" s="29">
        <v>29290678</v>
      </c>
      <c r="F535" s="29">
        <v>1117396</v>
      </c>
      <c r="G535" s="30" t="s">
        <v>1923</v>
      </c>
      <c r="H535" s="29">
        <v>574</v>
      </c>
      <c r="I535" s="29">
        <v>1</v>
      </c>
      <c r="J535" s="29"/>
      <c r="K535" s="30"/>
      <c r="L535" s="29" t="s">
        <v>72</v>
      </c>
      <c r="M535" s="31">
        <v>5332</v>
      </c>
      <c r="N535" s="31">
        <v>1333</v>
      </c>
      <c r="O535" s="31">
        <v>6665</v>
      </c>
      <c r="P535" s="31">
        <f>VLOOKUP(F535,'[3]1ª PARCELA'!$E$5:$H$889,4,FALSE)</f>
        <v>6665</v>
      </c>
      <c r="Q535" s="31" t="b">
        <f t="shared" si="8"/>
        <v>1</v>
      </c>
      <c r="R535" s="32">
        <v>45967</v>
      </c>
      <c r="S535" s="29">
        <v>29630</v>
      </c>
      <c r="T535" s="29" t="s">
        <v>1924</v>
      </c>
      <c r="U535" s="33" t="s">
        <v>1925</v>
      </c>
    </row>
    <row r="536" spans="1:21" ht="28.5" customHeight="1" x14ac:dyDescent="0.3">
      <c r="A536" s="27">
        <v>533</v>
      </c>
      <c r="B536" s="28">
        <v>2025</v>
      </c>
      <c r="C536" s="29" t="s">
        <v>970</v>
      </c>
      <c r="D536" s="30" t="s">
        <v>1926</v>
      </c>
      <c r="E536" s="29">
        <v>29290732</v>
      </c>
      <c r="F536" s="29">
        <v>1111070</v>
      </c>
      <c r="G536" s="30" t="s">
        <v>1927</v>
      </c>
      <c r="H536" s="29">
        <v>1018</v>
      </c>
      <c r="I536" s="29">
        <v>1</v>
      </c>
      <c r="J536" s="29"/>
      <c r="K536" s="30"/>
      <c r="L536" s="29" t="s">
        <v>72</v>
      </c>
      <c r="M536" s="31">
        <v>9994.5</v>
      </c>
      <c r="N536" s="31">
        <v>1110.5</v>
      </c>
      <c r="O536" s="31">
        <v>11105</v>
      </c>
      <c r="P536" s="31">
        <f>VLOOKUP(F536,'[3]1ª PARCELA'!$E$5:$H$889,4,FALSE)</f>
        <v>11105</v>
      </c>
      <c r="Q536" s="31" t="b">
        <f t="shared" si="8"/>
        <v>1</v>
      </c>
      <c r="R536" s="32">
        <v>45793</v>
      </c>
      <c r="S536" s="29">
        <v>9173</v>
      </c>
      <c r="T536" s="29" t="s">
        <v>1928</v>
      </c>
      <c r="U536" s="33" t="s">
        <v>1929</v>
      </c>
    </row>
    <row r="537" spans="1:21" ht="28.5" customHeight="1" x14ac:dyDescent="0.3">
      <c r="A537" s="27">
        <v>534</v>
      </c>
      <c r="B537" s="28">
        <v>2025</v>
      </c>
      <c r="C537" s="29" t="s">
        <v>970</v>
      </c>
      <c r="D537" s="30" t="s">
        <v>1926</v>
      </c>
      <c r="E537" s="29">
        <v>29290791</v>
      </c>
      <c r="F537" s="29">
        <v>1111045</v>
      </c>
      <c r="G537" s="30" t="s">
        <v>1930</v>
      </c>
      <c r="H537" s="29">
        <v>813</v>
      </c>
      <c r="I537" s="29">
        <v>1</v>
      </c>
      <c r="J537" s="29"/>
      <c r="K537" s="30"/>
      <c r="L537" s="29" t="s">
        <v>72</v>
      </c>
      <c r="M537" s="31">
        <v>2716.5</v>
      </c>
      <c r="N537" s="31">
        <v>6338.5</v>
      </c>
      <c r="O537" s="31">
        <v>9055</v>
      </c>
      <c r="P537" s="31">
        <f>VLOOKUP(F537,'[3]1ª PARCELA'!$E$5:$H$889,4,FALSE)</f>
        <v>9055</v>
      </c>
      <c r="Q537" s="31" t="b">
        <f t="shared" si="8"/>
        <v>1</v>
      </c>
      <c r="R537" s="32">
        <v>45793</v>
      </c>
      <c r="S537" s="29">
        <v>9173</v>
      </c>
      <c r="T537" s="29" t="s">
        <v>1931</v>
      </c>
      <c r="U537" s="33" t="s">
        <v>1932</v>
      </c>
    </row>
    <row r="538" spans="1:21" ht="28.5" customHeight="1" x14ac:dyDescent="0.3">
      <c r="A538" s="27">
        <v>535</v>
      </c>
      <c r="B538" s="28">
        <v>2025</v>
      </c>
      <c r="C538" s="29" t="s">
        <v>1906</v>
      </c>
      <c r="D538" s="30" t="s">
        <v>1933</v>
      </c>
      <c r="E538" s="29">
        <v>29292280</v>
      </c>
      <c r="F538" s="29">
        <v>1111495</v>
      </c>
      <c r="G538" s="30" t="s">
        <v>1934</v>
      </c>
      <c r="H538" s="29">
        <v>198</v>
      </c>
      <c r="I538" s="29">
        <v>1</v>
      </c>
      <c r="J538" s="29"/>
      <c r="K538" s="30"/>
      <c r="L538" s="29" t="s">
        <v>72</v>
      </c>
      <c r="M538" s="31">
        <v>2324</v>
      </c>
      <c r="N538" s="31">
        <v>581</v>
      </c>
      <c r="O538" s="31">
        <v>2905</v>
      </c>
      <c r="P538" s="31">
        <f>VLOOKUP(F538,'[3]1ª PARCELA'!$E$5:$H$889,4,FALSE)</f>
        <v>2905</v>
      </c>
      <c r="Q538" s="31" t="b">
        <f t="shared" si="8"/>
        <v>1</v>
      </c>
      <c r="R538" s="32">
        <v>45967</v>
      </c>
      <c r="S538" s="29">
        <v>29630</v>
      </c>
      <c r="T538" s="29" t="s">
        <v>1935</v>
      </c>
      <c r="U538" s="33" t="s">
        <v>1936</v>
      </c>
    </row>
    <row r="539" spans="1:21" ht="28.5" customHeight="1" x14ac:dyDescent="0.3">
      <c r="A539" s="27">
        <v>536</v>
      </c>
      <c r="B539" s="28">
        <v>2025</v>
      </c>
      <c r="C539" s="29" t="s">
        <v>1906</v>
      </c>
      <c r="D539" s="30" t="s">
        <v>1937</v>
      </c>
      <c r="E539" s="29">
        <v>29293197</v>
      </c>
      <c r="F539" s="29">
        <v>1111550</v>
      </c>
      <c r="G539" s="30" t="s">
        <v>1938</v>
      </c>
      <c r="H539" s="29">
        <v>470</v>
      </c>
      <c r="I539" s="29">
        <v>1</v>
      </c>
      <c r="J539" s="29"/>
      <c r="K539" s="30"/>
      <c r="L539" s="29" t="s">
        <v>72</v>
      </c>
      <c r="M539" s="31">
        <v>3937.5</v>
      </c>
      <c r="N539" s="31">
        <v>1687.5</v>
      </c>
      <c r="O539" s="31">
        <v>5625</v>
      </c>
      <c r="P539" s="31">
        <f>VLOOKUP(F539,'[3]1ª PARCELA'!$E$5:$H$889,4,FALSE)</f>
        <v>5625</v>
      </c>
      <c r="Q539" s="31" t="b">
        <f t="shared" si="8"/>
        <v>1</v>
      </c>
      <c r="R539" s="32">
        <v>45793</v>
      </c>
      <c r="S539" s="29">
        <v>9173</v>
      </c>
      <c r="T539" s="29" t="s">
        <v>1939</v>
      </c>
      <c r="U539" s="33" t="s">
        <v>1940</v>
      </c>
    </row>
    <row r="540" spans="1:21" ht="28.5" customHeight="1" x14ac:dyDescent="0.3">
      <c r="A540" s="27">
        <v>537</v>
      </c>
      <c r="B540" s="28">
        <v>2025</v>
      </c>
      <c r="C540" s="29" t="s">
        <v>1588</v>
      </c>
      <c r="D540" s="30" t="s">
        <v>1941</v>
      </c>
      <c r="E540" s="29">
        <v>29293707</v>
      </c>
      <c r="F540" s="29">
        <v>1117310</v>
      </c>
      <c r="G540" s="30" t="s">
        <v>1942</v>
      </c>
      <c r="H540" s="29">
        <v>268</v>
      </c>
      <c r="I540" s="29">
        <v>1</v>
      </c>
      <c r="J540" s="29"/>
      <c r="K540" s="30"/>
      <c r="L540" s="29" t="s">
        <v>72</v>
      </c>
      <c r="M540" s="31">
        <v>1802.5</v>
      </c>
      <c r="N540" s="31">
        <v>1802.5</v>
      </c>
      <c r="O540" s="31">
        <v>3605</v>
      </c>
      <c r="P540" s="31">
        <f>VLOOKUP(F540,'[3]1ª PARCELA'!$E$5:$H$889,4,FALSE)</f>
        <v>3605</v>
      </c>
      <c r="Q540" s="31" t="b">
        <f t="shared" si="8"/>
        <v>1</v>
      </c>
      <c r="R540" s="32">
        <v>45926</v>
      </c>
      <c r="S540" s="29">
        <v>24529</v>
      </c>
      <c r="T540" s="29" t="s">
        <v>1943</v>
      </c>
      <c r="U540" s="33" t="s">
        <v>1944</v>
      </c>
    </row>
    <row r="541" spans="1:21" ht="28.5" customHeight="1" x14ac:dyDescent="0.3">
      <c r="A541" s="27">
        <v>538</v>
      </c>
      <c r="B541" s="28">
        <v>2025</v>
      </c>
      <c r="C541" s="29" t="s">
        <v>1906</v>
      </c>
      <c r="D541" s="30" t="s">
        <v>1945</v>
      </c>
      <c r="E541" s="29">
        <v>29294037</v>
      </c>
      <c r="F541" s="29">
        <v>1112491</v>
      </c>
      <c r="G541" s="30" t="s">
        <v>1946</v>
      </c>
      <c r="H541" s="29">
        <v>227</v>
      </c>
      <c r="I541" s="29">
        <v>1</v>
      </c>
      <c r="J541" s="29"/>
      <c r="K541" s="30"/>
      <c r="L541" s="29" t="s">
        <v>72</v>
      </c>
      <c r="M541" s="31">
        <v>2556</v>
      </c>
      <c r="N541" s="31">
        <v>639</v>
      </c>
      <c r="O541" s="31">
        <v>3195</v>
      </c>
      <c r="P541" s="31">
        <f>VLOOKUP(F541,'[3]1ª PARCELA'!$E$5:$H$889,4,FALSE)</f>
        <v>3195</v>
      </c>
      <c r="Q541" s="31" t="b">
        <f t="shared" si="8"/>
        <v>1</v>
      </c>
      <c r="R541" s="32">
        <v>45793</v>
      </c>
      <c r="S541" s="29">
        <v>9173</v>
      </c>
      <c r="T541" s="29" t="s">
        <v>1947</v>
      </c>
      <c r="U541" s="33" t="s">
        <v>1948</v>
      </c>
    </row>
    <row r="542" spans="1:21" ht="28.5" customHeight="1" x14ac:dyDescent="0.3">
      <c r="A542" s="27">
        <v>539</v>
      </c>
      <c r="B542" s="28">
        <v>2025</v>
      </c>
      <c r="C542" s="29" t="s">
        <v>1949</v>
      </c>
      <c r="D542" s="30" t="s">
        <v>1950</v>
      </c>
      <c r="E542" s="29">
        <v>29294100</v>
      </c>
      <c r="F542" s="29">
        <v>1112998</v>
      </c>
      <c r="G542" s="30" t="s">
        <v>1951</v>
      </c>
      <c r="H542" s="29">
        <v>744</v>
      </c>
      <c r="I542" s="29">
        <v>1</v>
      </c>
      <c r="J542" s="29"/>
      <c r="K542" s="30"/>
      <c r="L542" s="29" t="s">
        <v>72</v>
      </c>
      <c r="M542" s="31">
        <v>4182.5</v>
      </c>
      <c r="N542" s="31">
        <v>4182.5</v>
      </c>
      <c r="O542" s="31">
        <v>8365</v>
      </c>
      <c r="P542" s="31">
        <f>VLOOKUP(F542,'[3]1ª PARCELA'!$E$5:$H$889,4,FALSE)</f>
        <v>8365</v>
      </c>
      <c r="Q542" s="31" t="b">
        <f t="shared" si="8"/>
        <v>1</v>
      </c>
      <c r="R542" s="32">
        <v>45793</v>
      </c>
      <c r="S542" s="29">
        <v>9173</v>
      </c>
      <c r="T542" s="29" t="s">
        <v>1952</v>
      </c>
      <c r="U542" s="33" t="s">
        <v>1953</v>
      </c>
    </row>
    <row r="543" spans="1:21" ht="28.5" customHeight="1" x14ac:dyDescent="0.3">
      <c r="A543" s="27">
        <v>540</v>
      </c>
      <c r="B543" s="28">
        <v>2025</v>
      </c>
      <c r="C543" s="29" t="s">
        <v>1906</v>
      </c>
      <c r="D543" s="30" t="s">
        <v>1954</v>
      </c>
      <c r="E543" s="29">
        <v>29294606</v>
      </c>
      <c r="F543" s="29">
        <v>1111584</v>
      </c>
      <c r="G543" s="30" t="s">
        <v>1955</v>
      </c>
      <c r="H543" s="29">
        <v>542</v>
      </c>
      <c r="I543" s="29">
        <v>1</v>
      </c>
      <c r="J543" s="29"/>
      <c r="K543" s="30"/>
      <c r="L543" s="29" t="s">
        <v>72</v>
      </c>
      <c r="M543" s="31">
        <v>1903.5</v>
      </c>
      <c r="N543" s="31">
        <v>4441.5</v>
      </c>
      <c r="O543" s="31">
        <v>6345</v>
      </c>
      <c r="P543" s="31">
        <f>VLOOKUP(F543,'[3]1ª PARCELA'!$E$5:$H$889,4,FALSE)</f>
        <v>6345</v>
      </c>
      <c r="Q543" s="31" t="b">
        <f t="shared" si="8"/>
        <v>1</v>
      </c>
      <c r="R543" s="32">
        <v>45793</v>
      </c>
      <c r="S543" s="29">
        <v>9173</v>
      </c>
      <c r="T543" s="29" t="s">
        <v>1956</v>
      </c>
      <c r="U543" s="33" t="s">
        <v>1957</v>
      </c>
    </row>
    <row r="544" spans="1:21" ht="28.5" customHeight="1" x14ac:dyDescent="0.3">
      <c r="A544" s="27">
        <v>541</v>
      </c>
      <c r="B544" s="28">
        <v>2025</v>
      </c>
      <c r="C544" s="29" t="s">
        <v>1906</v>
      </c>
      <c r="D544" s="30" t="s">
        <v>1958</v>
      </c>
      <c r="E544" s="29">
        <v>29295866</v>
      </c>
      <c r="F544" s="29">
        <v>1111797</v>
      </c>
      <c r="G544" s="30" t="s">
        <v>1959</v>
      </c>
      <c r="H544" s="29">
        <v>662</v>
      </c>
      <c r="I544" s="29">
        <v>1</v>
      </c>
      <c r="J544" s="29"/>
      <c r="K544" s="30"/>
      <c r="L544" s="29" t="s">
        <v>72</v>
      </c>
      <c r="M544" s="31">
        <v>3772.5</v>
      </c>
      <c r="N544" s="31">
        <v>3772.5</v>
      </c>
      <c r="O544" s="31">
        <v>7545</v>
      </c>
      <c r="P544" s="31">
        <f>VLOOKUP(F544,'[3]1ª PARCELA'!$E$5:$H$889,4,FALSE)</f>
        <v>7545</v>
      </c>
      <c r="Q544" s="31" t="b">
        <f t="shared" si="8"/>
        <v>1</v>
      </c>
      <c r="R544" s="32">
        <v>45967</v>
      </c>
      <c r="S544" s="29">
        <v>29630</v>
      </c>
      <c r="T544" s="29" t="s">
        <v>1960</v>
      </c>
      <c r="U544" s="33" t="s">
        <v>1961</v>
      </c>
    </row>
    <row r="545" spans="1:21" ht="28.5" customHeight="1" x14ac:dyDescent="0.3">
      <c r="A545" s="27">
        <v>542</v>
      </c>
      <c r="B545" s="28">
        <v>2025</v>
      </c>
      <c r="C545" s="29" t="s">
        <v>1797</v>
      </c>
      <c r="D545" s="30" t="s">
        <v>1962</v>
      </c>
      <c r="E545" s="29">
        <v>29297974</v>
      </c>
      <c r="F545" s="29">
        <v>1118511</v>
      </c>
      <c r="G545" s="30" t="s">
        <v>1963</v>
      </c>
      <c r="H545" s="29">
        <v>227</v>
      </c>
      <c r="I545" s="29">
        <v>1</v>
      </c>
      <c r="J545" s="29"/>
      <c r="K545" s="30"/>
      <c r="L545" s="29" t="s">
        <v>72</v>
      </c>
      <c r="M545" s="31">
        <v>2556</v>
      </c>
      <c r="N545" s="31">
        <v>639</v>
      </c>
      <c r="O545" s="31">
        <v>3195</v>
      </c>
      <c r="P545" s="31">
        <f>VLOOKUP(F545,'[3]1ª PARCELA'!$E$5:$H$889,4,FALSE)</f>
        <v>3195</v>
      </c>
      <c r="Q545" s="31" t="b">
        <f t="shared" si="8"/>
        <v>1</v>
      </c>
      <c r="R545" s="32">
        <v>45805</v>
      </c>
      <c r="S545" s="29">
        <v>9678</v>
      </c>
      <c r="T545" s="29" t="s">
        <v>1964</v>
      </c>
      <c r="U545" s="33" t="s">
        <v>1965</v>
      </c>
    </row>
    <row r="546" spans="1:21" ht="28.5" customHeight="1" x14ac:dyDescent="0.3">
      <c r="A546" s="27">
        <v>543</v>
      </c>
      <c r="B546" s="28">
        <v>2025</v>
      </c>
      <c r="C546" s="29" t="s">
        <v>1906</v>
      </c>
      <c r="D546" s="30" t="s">
        <v>1966</v>
      </c>
      <c r="E546" s="29">
        <v>29298520</v>
      </c>
      <c r="F546" s="29">
        <v>1158947</v>
      </c>
      <c r="G546" s="30" t="s">
        <v>1967</v>
      </c>
      <c r="H546" s="29">
        <v>406</v>
      </c>
      <c r="I546" s="29">
        <v>1</v>
      </c>
      <c r="J546" s="29"/>
      <c r="K546" s="30"/>
      <c r="L546" s="29" t="s">
        <v>72</v>
      </c>
      <c r="M546" s="31">
        <v>3988</v>
      </c>
      <c r="N546" s="31">
        <v>997</v>
      </c>
      <c r="O546" s="31">
        <v>4985</v>
      </c>
      <c r="P546" s="31">
        <f>VLOOKUP(F546,'[3]1ª PARCELA'!$E$5:$H$889,4,FALSE)</f>
        <v>4985</v>
      </c>
      <c r="Q546" s="31" t="b">
        <f t="shared" si="8"/>
        <v>1</v>
      </c>
      <c r="R546" s="32">
        <v>45793</v>
      </c>
      <c r="S546" s="29">
        <v>9173</v>
      </c>
      <c r="T546" s="29" t="s">
        <v>1968</v>
      </c>
      <c r="U546" s="33" t="s">
        <v>1969</v>
      </c>
    </row>
    <row r="547" spans="1:21" ht="28.5" customHeight="1" x14ac:dyDescent="0.3">
      <c r="A547" s="27">
        <v>544</v>
      </c>
      <c r="B547" s="28">
        <v>2025</v>
      </c>
      <c r="C547" s="29" t="s">
        <v>970</v>
      </c>
      <c r="D547" s="30" t="s">
        <v>1970</v>
      </c>
      <c r="E547" s="29">
        <v>29298954</v>
      </c>
      <c r="F547" s="29">
        <v>1109814</v>
      </c>
      <c r="G547" s="30" t="s">
        <v>1971</v>
      </c>
      <c r="H547" s="29">
        <v>938</v>
      </c>
      <c r="I547" s="29">
        <v>1</v>
      </c>
      <c r="J547" s="29"/>
      <c r="K547" s="30"/>
      <c r="L547" s="29" t="s">
        <v>72</v>
      </c>
      <c r="M547" s="31">
        <v>8244</v>
      </c>
      <c r="N547" s="31">
        <v>2061</v>
      </c>
      <c r="O547" s="31">
        <v>10305</v>
      </c>
      <c r="P547" s="31">
        <f>VLOOKUP(F547,'[3]1ª PARCELA'!$E$5:$H$889,4,FALSE)</f>
        <v>10305</v>
      </c>
      <c r="Q547" s="31" t="b">
        <f t="shared" si="8"/>
        <v>1</v>
      </c>
      <c r="R547" s="32">
        <v>45805</v>
      </c>
      <c r="S547" s="29">
        <v>9678</v>
      </c>
      <c r="T547" s="29" t="s">
        <v>1972</v>
      </c>
      <c r="U547" s="33" t="s">
        <v>1973</v>
      </c>
    </row>
    <row r="548" spans="1:21" ht="28.5" customHeight="1" x14ac:dyDescent="0.3">
      <c r="A548" s="27">
        <v>545</v>
      </c>
      <c r="B548" s="28">
        <v>2025</v>
      </c>
      <c r="C548" s="29" t="s">
        <v>970</v>
      </c>
      <c r="D548" s="30" t="s">
        <v>1970</v>
      </c>
      <c r="E548" s="29">
        <v>29299063</v>
      </c>
      <c r="F548" s="29">
        <v>1110111</v>
      </c>
      <c r="G548" s="30" t="s">
        <v>1974</v>
      </c>
      <c r="H548" s="29">
        <v>774</v>
      </c>
      <c r="I548" s="29">
        <v>1</v>
      </c>
      <c r="J548" s="29"/>
      <c r="K548" s="30"/>
      <c r="L548" s="29" t="s">
        <v>72</v>
      </c>
      <c r="M548" s="31">
        <v>6932</v>
      </c>
      <c r="N548" s="31">
        <v>1733</v>
      </c>
      <c r="O548" s="31">
        <v>8665</v>
      </c>
      <c r="P548" s="31">
        <f>VLOOKUP(F548,'[3]1ª PARCELA'!$E$5:$H$889,4,FALSE)</f>
        <v>8665</v>
      </c>
      <c r="Q548" s="31" t="b">
        <f t="shared" si="8"/>
        <v>1</v>
      </c>
      <c r="R548" s="32">
        <v>45793</v>
      </c>
      <c r="S548" s="29">
        <v>9173</v>
      </c>
      <c r="T548" s="29" t="s">
        <v>1975</v>
      </c>
      <c r="U548" s="33" t="s">
        <v>1976</v>
      </c>
    </row>
    <row r="549" spans="1:21" ht="28.5" customHeight="1" x14ac:dyDescent="0.3">
      <c r="A549" s="27">
        <v>546</v>
      </c>
      <c r="B549" s="28">
        <v>2025</v>
      </c>
      <c r="C549" s="29" t="s">
        <v>1588</v>
      </c>
      <c r="D549" s="30" t="s">
        <v>1977</v>
      </c>
      <c r="E549" s="29">
        <v>29299268</v>
      </c>
      <c r="F549" s="29">
        <v>1158882</v>
      </c>
      <c r="G549" s="30" t="s">
        <v>1978</v>
      </c>
      <c r="H549" s="29">
        <v>240</v>
      </c>
      <c r="I549" s="29">
        <v>1</v>
      </c>
      <c r="J549" s="29"/>
      <c r="K549" s="30"/>
      <c r="L549" s="29" t="s">
        <v>72</v>
      </c>
      <c r="M549" s="31">
        <v>2660</v>
      </c>
      <c r="N549" s="31">
        <v>665</v>
      </c>
      <c r="O549" s="31">
        <v>3325</v>
      </c>
      <c r="P549" s="31">
        <f>VLOOKUP(F549,'[3]1ª PARCELA'!$E$5:$H$889,4,FALSE)</f>
        <v>3325</v>
      </c>
      <c r="Q549" s="31" t="b">
        <f t="shared" si="8"/>
        <v>1</v>
      </c>
      <c r="R549" s="32">
        <v>45938</v>
      </c>
      <c r="S549" s="29">
        <v>25952</v>
      </c>
      <c r="T549" s="29" t="s">
        <v>1979</v>
      </c>
      <c r="U549" s="33" t="s">
        <v>1980</v>
      </c>
    </row>
    <row r="550" spans="1:21" ht="28.5" customHeight="1" x14ac:dyDescent="0.3">
      <c r="A550" s="27">
        <v>547</v>
      </c>
      <c r="B550" s="28">
        <v>2025</v>
      </c>
      <c r="C550" s="29" t="s">
        <v>1588</v>
      </c>
      <c r="D550" s="30" t="s">
        <v>1981</v>
      </c>
      <c r="E550" s="29">
        <v>29300762</v>
      </c>
      <c r="F550" s="29">
        <v>1117108</v>
      </c>
      <c r="G550" s="30" t="s">
        <v>1982</v>
      </c>
      <c r="H550" s="29">
        <v>560</v>
      </c>
      <c r="I550" s="29">
        <v>1</v>
      </c>
      <c r="J550" s="29"/>
      <c r="K550" s="30"/>
      <c r="L550" s="29" t="s">
        <v>72</v>
      </c>
      <c r="M550" s="31">
        <v>5220</v>
      </c>
      <c r="N550" s="31">
        <v>1305</v>
      </c>
      <c r="O550" s="31">
        <v>6525</v>
      </c>
      <c r="P550" s="31">
        <f>VLOOKUP(F550,'[3]1ª PARCELA'!$E$5:$H$889,4,FALSE)</f>
        <v>6525</v>
      </c>
      <c r="Q550" s="31" t="b">
        <f t="shared" si="8"/>
        <v>1</v>
      </c>
      <c r="R550" s="32">
        <v>45833</v>
      </c>
      <c r="S550" s="29">
        <v>13120</v>
      </c>
      <c r="T550" s="29" t="s">
        <v>1983</v>
      </c>
      <c r="U550" s="33" t="s">
        <v>1984</v>
      </c>
    </row>
    <row r="551" spans="1:21" ht="28.5" customHeight="1" x14ac:dyDescent="0.3">
      <c r="A551" s="27">
        <v>548</v>
      </c>
      <c r="B551" s="28">
        <v>2025</v>
      </c>
      <c r="C551" s="29" t="s">
        <v>1906</v>
      </c>
      <c r="D551" s="30" t="s">
        <v>1985</v>
      </c>
      <c r="E551" s="29">
        <v>29301394</v>
      </c>
      <c r="F551" s="29">
        <v>1111339</v>
      </c>
      <c r="G551" s="30" t="s">
        <v>1637</v>
      </c>
      <c r="H551" s="29">
        <v>833</v>
      </c>
      <c r="I551" s="29">
        <v>1</v>
      </c>
      <c r="J551" s="29"/>
      <c r="K551" s="30"/>
      <c r="L551" s="29" t="s">
        <v>72</v>
      </c>
      <c r="M551" s="31">
        <v>7404</v>
      </c>
      <c r="N551" s="31">
        <v>1851</v>
      </c>
      <c r="O551" s="31">
        <v>9255</v>
      </c>
      <c r="P551" s="31">
        <f>VLOOKUP(F551,'[3]1ª PARCELA'!$E$5:$H$889,4,FALSE)</f>
        <v>9255</v>
      </c>
      <c r="Q551" s="31" t="b">
        <f t="shared" si="8"/>
        <v>1</v>
      </c>
      <c r="R551" s="32">
        <v>45806</v>
      </c>
      <c r="S551" s="29">
        <v>9851</v>
      </c>
      <c r="T551" s="29" t="s">
        <v>1986</v>
      </c>
      <c r="U551" s="33" t="s">
        <v>1987</v>
      </c>
    </row>
    <row r="552" spans="1:21" ht="28.5" customHeight="1" x14ac:dyDescent="0.3">
      <c r="A552" s="27">
        <v>549</v>
      </c>
      <c r="B552" s="28">
        <v>2025</v>
      </c>
      <c r="C552" s="29" t="s">
        <v>1906</v>
      </c>
      <c r="D552" s="30" t="s">
        <v>1985</v>
      </c>
      <c r="E552" s="29">
        <v>29301475</v>
      </c>
      <c r="F552" s="29">
        <v>1159919</v>
      </c>
      <c r="G552" s="30" t="s">
        <v>1988</v>
      </c>
      <c r="H552" s="29">
        <v>1113</v>
      </c>
      <c r="I552" s="29">
        <v>1</v>
      </c>
      <c r="J552" s="29"/>
      <c r="K552" s="30"/>
      <c r="L552" s="29" t="s">
        <v>72</v>
      </c>
      <c r="M552" s="31">
        <v>9644</v>
      </c>
      <c r="N552" s="31">
        <v>2411</v>
      </c>
      <c r="O552" s="31">
        <v>12055</v>
      </c>
      <c r="P552" s="31">
        <f>VLOOKUP(F552,'[3]1ª PARCELA'!$E$5:$H$889,4,FALSE)</f>
        <v>12055</v>
      </c>
      <c r="Q552" s="31" t="b">
        <f t="shared" si="8"/>
        <v>1</v>
      </c>
      <c r="R552" s="32">
        <v>45833</v>
      </c>
      <c r="S552" s="29">
        <v>13120</v>
      </c>
      <c r="T552" s="29" t="s">
        <v>1989</v>
      </c>
      <c r="U552" s="33" t="s">
        <v>1990</v>
      </c>
    </row>
    <row r="553" spans="1:21" ht="28.5" customHeight="1" x14ac:dyDescent="0.3">
      <c r="A553" s="27">
        <v>550</v>
      </c>
      <c r="B553" s="28">
        <v>2025</v>
      </c>
      <c r="C553" s="29" t="s">
        <v>1906</v>
      </c>
      <c r="D553" s="30" t="s">
        <v>1985</v>
      </c>
      <c r="E553" s="29">
        <v>29301483</v>
      </c>
      <c r="F553" s="29">
        <v>1111096</v>
      </c>
      <c r="G553" s="30" t="s">
        <v>1991</v>
      </c>
      <c r="H553" s="29">
        <v>1389</v>
      </c>
      <c r="I553" s="29">
        <v>1</v>
      </c>
      <c r="J553" s="29"/>
      <c r="K553" s="30"/>
      <c r="L553" s="29" t="s">
        <v>72</v>
      </c>
      <c r="M553" s="31">
        <v>10370.5</v>
      </c>
      <c r="N553" s="31">
        <v>4444.5</v>
      </c>
      <c r="O553" s="31">
        <v>14815</v>
      </c>
      <c r="P553" s="31">
        <f>VLOOKUP(F553,'[3]1ª PARCELA'!$E$5:$H$889,4,FALSE)</f>
        <v>14815</v>
      </c>
      <c r="Q553" s="31" t="b">
        <f t="shared" si="8"/>
        <v>1</v>
      </c>
      <c r="R553" s="32">
        <v>45967</v>
      </c>
      <c r="S553" s="29">
        <v>29630</v>
      </c>
      <c r="T553" s="29" t="s">
        <v>1992</v>
      </c>
      <c r="U553" s="33" t="s">
        <v>1993</v>
      </c>
    </row>
    <row r="554" spans="1:21" ht="28.5" customHeight="1" x14ac:dyDescent="0.3">
      <c r="A554" s="27">
        <v>551</v>
      </c>
      <c r="B554" s="28">
        <v>2025</v>
      </c>
      <c r="C554" s="29" t="s">
        <v>1906</v>
      </c>
      <c r="D554" s="30" t="s">
        <v>1985</v>
      </c>
      <c r="E554" s="29">
        <v>29301882</v>
      </c>
      <c r="F554" s="29">
        <v>1169221</v>
      </c>
      <c r="G554" s="30" t="s">
        <v>1994</v>
      </c>
      <c r="H554" s="29">
        <v>754</v>
      </c>
      <c r="I554" s="29">
        <v>1</v>
      </c>
      <c r="J554" s="29"/>
      <c r="K554" s="30"/>
      <c r="L554" s="29" t="s">
        <v>72</v>
      </c>
      <c r="M554" s="31">
        <v>6772</v>
      </c>
      <c r="N554" s="31">
        <v>1693</v>
      </c>
      <c r="O554" s="31">
        <v>8465</v>
      </c>
      <c r="P554" s="31">
        <f>VLOOKUP(F554,'[3]1ª PARCELA'!$E$5:$H$889,4,FALSE)</f>
        <v>8465</v>
      </c>
      <c r="Q554" s="31" t="b">
        <f t="shared" si="8"/>
        <v>1</v>
      </c>
      <c r="R554" s="32">
        <v>45805</v>
      </c>
      <c r="S554" s="29">
        <v>9678</v>
      </c>
      <c r="T554" s="29" t="s">
        <v>1995</v>
      </c>
      <c r="U554" s="33" t="s">
        <v>1996</v>
      </c>
    </row>
    <row r="555" spans="1:21" ht="28.5" customHeight="1" x14ac:dyDescent="0.3">
      <c r="A555" s="27">
        <v>552</v>
      </c>
      <c r="B555" s="28">
        <v>2025</v>
      </c>
      <c r="C555" s="29" t="s">
        <v>1906</v>
      </c>
      <c r="D555" s="30" t="s">
        <v>1985</v>
      </c>
      <c r="E555" s="29">
        <v>29302269</v>
      </c>
      <c r="F555" s="29">
        <v>1111126</v>
      </c>
      <c r="G555" s="30" t="s">
        <v>1997</v>
      </c>
      <c r="H555" s="29">
        <v>455</v>
      </c>
      <c r="I555" s="29">
        <v>1</v>
      </c>
      <c r="J555" s="29"/>
      <c r="K555" s="30"/>
      <c r="L555" s="29" t="s">
        <v>72</v>
      </c>
      <c r="M555" s="31">
        <v>4380</v>
      </c>
      <c r="N555" s="31">
        <v>1095</v>
      </c>
      <c r="O555" s="31">
        <v>5475</v>
      </c>
      <c r="P555" s="31">
        <f>VLOOKUP(F555,'[3]1ª PARCELA'!$E$5:$H$889,4,FALSE)</f>
        <v>5475</v>
      </c>
      <c r="Q555" s="31" t="b">
        <f t="shared" si="8"/>
        <v>1</v>
      </c>
      <c r="R555" s="32">
        <v>45793</v>
      </c>
      <c r="S555" s="29">
        <v>9173</v>
      </c>
      <c r="T555" s="29" t="s">
        <v>1998</v>
      </c>
      <c r="U555" s="33" t="s">
        <v>1999</v>
      </c>
    </row>
    <row r="556" spans="1:21" ht="28.5" customHeight="1" x14ac:dyDescent="0.3">
      <c r="A556" s="27">
        <v>553</v>
      </c>
      <c r="B556" s="28">
        <v>2025</v>
      </c>
      <c r="C556" s="29" t="s">
        <v>1906</v>
      </c>
      <c r="D556" s="30" t="s">
        <v>1985</v>
      </c>
      <c r="E556" s="29">
        <v>29302293</v>
      </c>
      <c r="F556" s="29">
        <v>1159838</v>
      </c>
      <c r="G556" s="30" t="s">
        <v>2000</v>
      </c>
      <c r="H556" s="29">
        <v>903</v>
      </c>
      <c r="I556" s="29">
        <v>1</v>
      </c>
      <c r="J556" s="29"/>
      <c r="K556" s="30"/>
      <c r="L556" s="29" t="s">
        <v>72</v>
      </c>
      <c r="M556" s="31">
        <v>6968.5</v>
      </c>
      <c r="N556" s="31">
        <v>2986.5</v>
      </c>
      <c r="O556" s="31">
        <v>9955</v>
      </c>
      <c r="P556" s="31">
        <f>VLOOKUP(F556,'[3]1ª PARCELA'!$E$5:$H$889,4,FALSE)</f>
        <v>9955</v>
      </c>
      <c r="Q556" s="31" t="b">
        <f t="shared" si="8"/>
        <v>1</v>
      </c>
      <c r="R556" s="32">
        <v>45833</v>
      </c>
      <c r="S556" s="29">
        <v>13120</v>
      </c>
      <c r="T556" s="29" t="s">
        <v>2001</v>
      </c>
      <c r="U556" s="33" t="s">
        <v>2002</v>
      </c>
    </row>
    <row r="557" spans="1:21" ht="28.5" customHeight="1" x14ac:dyDescent="0.3">
      <c r="A557" s="27">
        <v>554</v>
      </c>
      <c r="B557" s="28">
        <v>2025</v>
      </c>
      <c r="C557" s="29" t="s">
        <v>1906</v>
      </c>
      <c r="D557" s="30" t="s">
        <v>1985</v>
      </c>
      <c r="E557" s="29">
        <v>29303125</v>
      </c>
      <c r="F557" s="29">
        <v>1111436</v>
      </c>
      <c r="G557" s="30" t="s">
        <v>2003</v>
      </c>
      <c r="H557" s="29">
        <v>153</v>
      </c>
      <c r="I557" s="29">
        <v>1</v>
      </c>
      <c r="J557" s="29"/>
      <c r="K557" s="30"/>
      <c r="L557" s="29" t="s">
        <v>72</v>
      </c>
      <c r="M557" s="31">
        <v>3013.5</v>
      </c>
      <c r="N557" s="31">
        <v>1291.5</v>
      </c>
      <c r="O557" s="31">
        <v>4305</v>
      </c>
      <c r="P557" s="31">
        <f>VLOOKUP(F557,'[3]1ª PARCELA'!$E$5:$H$889,4,FALSE)</f>
        <v>4305</v>
      </c>
      <c r="Q557" s="31" t="b">
        <f t="shared" si="8"/>
        <v>1</v>
      </c>
      <c r="R557" s="32">
        <v>45793</v>
      </c>
      <c r="S557" s="29">
        <v>9173</v>
      </c>
      <c r="T557" s="29" t="s">
        <v>2004</v>
      </c>
      <c r="U557" s="33" t="s">
        <v>2005</v>
      </c>
    </row>
    <row r="558" spans="1:21" ht="28.5" customHeight="1" x14ac:dyDescent="0.3">
      <c r="A558" s="27">
        <v>555</v>
      </c>
      <c r="B558" s="28">
        <v>2025</v>
      </c>
      <c r="C558" s="29" t="s">
        <v>1588</v>
      </c>
      <c r="D558" s="30" t="s">
        <v>2006</v>
      </c>
      <c r="E558" s="29">
        <v>29303354</v>
      </c>
      <c r="F558" s="29">
        <v>1117035</v>
      </c>
      <c r="G558" s="30" t="s">
        <v>2007</v>
      </c>
      <c r="H558" s="29">
        <v>786</v>
      </c>
      <c r="I558" s="29">
        <v>1</v>
      </c>
      <c r="J558" s="29"/>
      <c r="K558" s="30"/>
      <c r="L558" s="29" t="s">
        <v>72</v>
      </c>
      <c r="M558" s="31">
        <v>6149.5</v>
      </c>
      <c r="N558" s="31">
        <v>2635.5</v>
      </c>
      <c r="O558" s="31">
        <v>8785</v>
      </c>
      <c r="P558" s="31">
        <f>VLOOKUP(F558,'[3]1ª PARCELA'!$E$5:$H$889,4,FALSE)</f>
        <v>8785</v>
      </c>
      <c r="Q558" s="31" t="b">
        <f t="shared" si="8"/>
        <v>1</v>
      </c>
      <c r="R558" s="32">
        <v>45926</v>
      </c>
      <c r="S558" s="29">
        <v>24529</v>
      </c>
      <c r="T558" s="29" t="s">
        <v>2008</v>
      </c>
      <c r="U558" s="33" t="s">
        <v>2009</v>
      </c>
    </row>
    <row r="559" spans="1:21" ht="28.5" customHeight="1" x14ac:dyDescent="0.3">
      <c r="A559" s="27">
        <v>556</v>
      </c>
      <c r="B559" s="28">
        <v>2025</v>
      </c>
      <c r="C559" s="29" t="s">
        <v>1588</v>
      </c>
      <c r="D559" s="30" t="s">
        <v>2006</v>
      </c>
      <c r="E559" s="29">
        <v>29303702</v>
      </c>
      <c r="F559" s="29">
        <v>1166621</v>
      </c>
      <c r="G559" s="30" t="s">
        <v>2010</v>
      </c>
      <c r="H559" s="29">
        <v>516</v>
      </c>
      <c r="I559" s="29">
        <v>1</v>
      </c>
      <c r="J559" s="29"/>
      <c r="K559" s="30"/>
      <c r="L559" s="29" t="s">
        <v>72</v>
      </c>
      <c r="M559" s="31">
        <v>5554.5</v>
      </c>
      <c r="N559" s="31">
        <v>2380.5</v>
      </c>
      <c r="O559" s="31">
        <v>7935</v>
      </c>
      <c r="P559" s="31">
        <f>VLOOKUP(F559,'[3]1ª PARCELA'!$E$5:$H$889,4,FALSE)</f>
        <v>7935</v>
      </c>
      <c r="Q559" s="31" t="b">
        <f t="shared" si="8"/>
        <v>1</v>
      </c>
      <c r="R559" s="32">
        <v>45895</v>
      </c>
      <c r="S559" s="29">
        <v>19863</v>
      </c>
      <c r="T559" s="29" t="s">
        <v>2011</v>
      </c>
      <c r="U559" s="33" t="s">
        <v>2012</v>
      </c>
    </row>
    <row r="560" spans="1:21" ht="28.5" customHeight="1" x14ac:dyDescent="0.3">
      <c r="A560" s="27">
        <v>557</v>
      </c>
      <c r="B560" s="28">
        <v>2025</v>
      </c>
      <c r="C560" s="29" t="s">
        <v>1906</v>
      </c>
      <c r="D560" s="30" t="s">
        <v>2013</v>
      </c>
      <c r="E560" s="29">
        <v>29304237</v>
      </c>
      <c r="F560" s="29">
        <v>1112211</v>
      </c>
      <c r="G560" s="30" t="s">
        <v>2014</v>
      </c>
      <c r="H560" s="29">
        <v>932</v>
      </c>
      <c r="I560" s="29">
        <v>1</v>
      </c>
      <c r="J560" s="29"/>
      <c r="K560" s="30"/>
      <c r="L560" s="29" t="s">
        <v>72</v>
      </c>
      <c r="M560" s="31">
        <v>7171.5</v>
      </c>
      <c r="N560" s="31">
        <v>3073.5</v>
      </c>
      <c r="O560" s="31">
        <v>10245</v>
      </c>
      <c r="P560" s="31">
        <f>VLOOKUP(F560,'[3]1ª PARCELA'!$E$5:$H$889,4,FALSE)</f>
        <v>10245</v>
      </c>
      <c r="Q560" s="31" t="b">
        <f t="shared" si="8"/>
        <v>1</v>
      </c>
      <c r="R560" s="32">
        <v>45967</v>
      </c>
      <c r="S560" s="29">
        <v>29630</v>
      </c>
      <c r="T560" s="29" t="s">
        <v>2015</v>
      </c>
      <c r="U560" s="33" t="s">
        <v>2016</v>
      </c>
    </row>
    <row r="561" spans="1:21" ht="28.5" customHeight="1" x14ac:dyDescent="0.3">
      <c r="A561" s="27">
        <v>558</v>
      </c>
      <c r="B561" s="28">
        <v>2025</v>
      </c>
      <c r="C561" s="29" t="s">
        <v>1906</v>
      </c>
      <c r="D561" s="30" t="s">
        <v>2013</v>
      </c>
      <c r="E561" s="29">
        <v>29304296</v>
      </c>
      <c r="F561" s="29">
        <v>1112149</v>
      </c>
      <c r="G561" s="30" t="s">
        <v>2017</v>
      </c>
      <c r="H561" s="29">
        <v>960</v>
      </c>
      <c r="I561" s="29">
        <v>1</v>
      </c>
      <c r="J561" s="29"/>
      <c r="K561" s="30"/>
      <c r="L561" s="29" t="s">
        <v>72</v>
      </c>
      <c r="M561" s="31">
        <v>7367.5</v>
      </c>
      <c r="N561" s="31">
        <v>3157.5</v>
      </c>
      <c r="O561" s="31">
        <v>10525</v>
      </c>
      <c r="P561" s="31">
        <f>VLOOKUP(F561,'[3]1ª PARCELA'!$E$5:$H$889,4,FALSE)</f>
        <v>10525</v>
      </c>
      <c r="Q561" s="31" t="b">
        <f t="shared" si="8"/>
        <v>1</v>
      </c>
      <c r="R561" s="32">
        <v>45849</v>
      </c>
      <c r="S561" s="29">
        <v>15915</v>
      </c>
      <c r="T561" s="29" t="s">
        <v>2018</v>
      </c>
      <c r="U561" s="33" t="s">
        <v>2019</v>
      </c>
    </row>
    <row r="562" spans="1:21" ht="28.5" customHeight="1" x14ac:dyDescent="0.3">
      <c r="A562" s="27">
        <v>559</v>
      </c>
      <c r="B562" s="28">
        <v>2025</v>
      </c>
      <c r="C562" s="29" t="s">
        <v>1906</v>
      </c>
      <c r="D562" s="30" t="s">
        <v>2013</v>
      </c>
      <c r="E562" s="29">
        <v>29304377</v>
      </c>
      <c r="F562" s="29">
        <v>1112092</v>
      </c>
      <c r="G562" s="30" t="s">
        <v>2020</v>
      </c>
      <c r="H562" s="29">
        <v>751</v>
      </c>
      <c r="I562" s="29">
        <v>1</v>
      </c>
      <c r="J562" s="29"/>
      <c r="K562" s="30"/>
      <c r="L562" s="29" t="s">
        <v>72</v>
      </c>
      <c r="M562" s="31">
        <v>5904.5</v>
      </c>
      <c r="N562" s="31">
        <v>2530.5</v>
      </c>
      <c r="O562" s="31">
        <v>8435</v>
      </c>
      <c r="P562" s="31">
        <f>VLOOKUP(F562,'[3]1ª PARCELA'!$E$5:$H$889,4,FALSE)</f>
        <v>8435</v>
      </c>
      <c r="Q562" s="31" t="b">
        <f t="shared" si="8"/>
        <v>1</v>
      </c>
      <c r="R562" s="32">
        <v>45793</v>
      </c>
      <c r="S562" s="29">
        <v>9173</v>
      </c>
      <c r="T562" s="29" t="s">
        <v>2021</v>
      </c>
      <c r="U562" s="33" t="s">
        <v>2022</v>
      </c>
    </row>
    <row r="563" spans="1:21" ht="28.5" customHeight="1" x14ac:dyDescent="0.3">
      <c r="A563" s="27">
        <v>560</v>
      </c>
      <c r="B563" s="28">
        <v>2025</v>
      </c>
      <c r="C563" s="29" t="s">
        <v>1906</v>
      </c>
      <c r="D563" s="30" t="s">
        <v>2013</v>
      </c>
      <c r="E563" s="29">
        <v>29304776</v>
      </c>
      <c r="F563" s="29">
        <v>1112084</v>
      </c>
      <c r="G563" s="30" t="s">
        <v>2023</v>
      </c>
      <c r="H563" s="29">
        <v>490</v>
      </c>
      <c r="I563" s="29">
        <v>1</v>
      </c>
      <c r="J563" s="29"/>
      <c r="K563" s="30"/>
      <c r="L563" s="29" t="s">
        <v>72</v>
      </c>
      <c r="M563" s="31">
        <v>3495</v>
      </c>
      <c r="N563" s="31">
        <v>2330</v>
      </c>
      <c r="O563" s="31">
        <v>5825</v>
      </c>
      <c r="P563" s="31">
        <f>VLOOKUP(F563,'[3]1ª PARCELA'!$E$5:$H$889,4,FALSE)</f>
        <v>5825</v>
      </c>
      <c r="Q563" s="31" t="b">
        <f t="shared" si="8"/>
        <v>1</v>
      </c>
      <c r="R563" s="32">
        <v>45793</v>
      </c>
      <c r="S563" s="29">
        <v>9173</v>
      </c>
      <c r="T563" s="29" t="s">
        <v>2024</v>
      </c>
      <c r="U563" s="33" t="s">
        <v>2025</v>
      </c>
    </row>
    <row r="564" spans="1:21" ht="28.5" customHeight="1" x14ac:dyDescent="0.3">
      <c r="A564" s="27">
        <v>561</v>
      </c>
      <c r="B564" s="28">
        <v>2025</v>
      </c>
      <c r="C564" s="29" t="s">
        <v>1906</v>
      </c>
      <c r="D564" s="30" t="s">
        <v>2013</v>
      </c>
      <c r="E564" s="29">
        <v>29305390</v>
      </c>
      <c r="F564" s="29">
        <v>1176081</v>
      </c>
      <c r="G564" s="30" t="s">
        <v>180</v>
      </c>
      <c r="H564" s="29">
        <v>872</v>
      </c>
      <c r="I564" s="29">
        <v>1</v>
      </c>
      <c r="J564" s="29"/>
      <c r="K564" s="30"/>
      <c r="L564" s="29" t="s">
        <v>72</v>
      </c>
      <c r="M564" s="31">
        <v>6751.5</v>
      </c>
      <c r="N564" s="31">
        <v>2893.5</v>
      </c>
      <c r="O564" s="31">
        <v>9645</v>
      </c>
      <c r="P564" s="31">
        <f>VLOOKUP(F564,'[3]1ª PARCELA'!$E$5:$H$889,4,FALSE)</f>
        <v>9645</v>
      </c>
      <c r="Q564" s="31" t="b">
        <f t="shared" si="8"/>
        <v>1</v>
      </c>
      <c r="R564" s="32">
        <v>45867</v>
      </c>
      <c r="S564" s="29">
        <v>16705</v>
      </c>
      <c r="T564" s="29" t="s">
        <v>2026</v>
      </c>
      <c r="U564" s="33" t="s">
        <v>2027</v>
      </c>
    </row>
    <row r="565" spans="1:21" ht="28.5" customHeight="1" x14ac:dyDescent="0.3">
      <c r="A565" s="27">
        <v>562</v>
      </c>
      <c r="B565" s="28">
        <v>2025</v>
      </c>
      <c r="C565" s="29" t="s">
        <v>1906</v>
      </c>
      <c r="D565" s="30" t="s">
        <v>2013</v>
      </c>
      <c r="E565" s="29">
        <v>29306230</v>
      </c>
      <c r="F565" s="29">
        <v>1112009</v>
      </c>
      <c r="G565" s="30" t="s">
        <v>2028</v>
      </c>
      <c r="H565" s="29">
        <v>344</v>
      </c>
      <c r="I565" s="29">
        <v>1</v>
      </c>
      <c r="J565" s="29"/>
      <c r="K565" s="30"/>
      <c r="L565" s="29" t="s">
        <v>72</v>
      </c>
      <c r="M565" s="31">
        <v>3492</v>
      </c>
      <c r="N565" s="31">
        <v>873</v>
      </c>
      <c r="O565" s="31">
        <v>4365</v>
      </c>
      <c r="P565" s="31">
        <f>VLOOKUP(F565,'[3]1ª PARCELA'!$E$5:$H$889,4,FALSE)</f>
        <v>4365</v>
      </c>
      <c r="Q565" s="31" t="b">
        <f t="shared" si="8"/>
        <v>1</v>
      </c>
      <c r="R565" s="32">
        <v>45933</v>
      </c>
      <c r="S565" s="29">
        <v>25397</v>
      </c>
      <c r="T565" s="29" t="s">
        <v>2029</v>
      </c>
      <c r="U565" s="33" t="s">
        <v>2030</v>
      </c>
    </row>
    <row r="566" spans="1:21" ht="28.5" customHeight="1" x14ac:dyDescent="0.3">
      <c r="A566" s="27">
        <v>563</v>
      </c>
      <c r="B566" s="28">
        <v>2025</v>
      </c>
      <c r="C566" s="29" t="s">
        <v>1906</v>
      </c>
      <c r="D566" s="30" t="s">
        <v>2013</v>
      </c>
      <c r="E566" s="29">
        <v>29306264</v>
      </c>
      <c r="F566" s="29">
        <v>1111940</v>
      </c>
      <c r="G566" s="30" t="s">
        <v>2031</v>
      </c>
      <c r="H566" s="29">
        <v>729</v>
      </c>
      <c r="I566" s="29">
        <v>1</v>
      </c>
      <c r="J566" s="29"/>
      <c r="K566" s="30"/>
      <c r="L566" s="29" t="s">
        <v>72</v>
      </c>
      <c r="M566" s="31">
        <v>4107.5</v>
      </c>
      <c r="N566" s="31">
        <v>4107.5</v>
      </c>
      <c r="O566" s="31">
        <v>8215</v>
      </c>
      <c r="P566" s="31">
        <f>VLOOKUP(F566,'[3]1ª PARCELA'!$E$5:$H$889,4,FALSE)</f>
        <v>8215</v>
      </c>
      <c r="Q566" s="31" t="b">
        <f t="shared" si="8"/>
        <v>1</v>
      </c>
      <c r="R566" s="32">
        <v>45805</v>
      </c>
      <c r="S566" s="29">
        <v>9678</v>
      </c>
      <c r="T566" s="29" t="s">
        <v>2032</v>
      </c>
      <c r="U566" s="33" t="s">
        <v>2033</v>
      </c>
    </row>
    <row r="567" spans="1:21" ht="28.5" customHeight="1" x14ac:dyDescent="0.3">
      <c r="A567" s="27">
        <v>564</v>
      </c>
      <c r="B567" s="28">
        <v>2025</v>
      </c>
      <c r="C567" s="29" t="s">
        <v>1906</v>
      </c>
      <c r="D567" s="30" t="s">
        <v>2034</v>
      </c>
      <c r="E567" s="29">
        <v>29306760</v>
      </c>
      <c r="F567" s="29">
        <v>1111347</v>
      </c>
      <c r="G567" s="30" t="s">
        <v>2035</v>
      </c>
      <c r="H567" s="29">
        <v>728</v>
      </c>
      <c r="I567" s="29">
        <v>1</v>
      </c>
      <c r="J567" s="29"/>
      <c r="K567" s="30"/>
      <c r="L567" s="29" t="s">
        <v>72</v>
      </c>
      <c r="M567" s="31">
        <v>5743.5</v>
      </c>
      <c r="N567" s="31">
        <v>2461.5</v>
      </c>
      <c r="O567" s="31">
        <v>8205</v>
      </c>
      <c r="P567" s="31">
        <f>VLOOKUP(F567,'[3]1ª PARCELA'!$E$5:$H$889,4,FALSE)</f>
        <v>8205</v>
      </c>
      <c r="Q567" s="31" t="b">
        <f t="shared" si="8"/>
        <v>1</v>
      </c>
      <c r="R567" s="32">
        <v>45833</v>
      </c>
      <c r="S567" s="29">
        <v>13120</v>
      </c>
      <c r="T567" s="29" t="s">
        <v>2036</v>
      </c>
      <c r="U567" s="33" t="s">
        <v>2037</v>
      </c>
    </row>
    <row r="568" spans="1:21" ht="28.5" customHeight="1" x14ac:dyDescent="0.3">
      <c r="A568" s="27">
        <v>565</v>
      </c>
      <c r="B568" s="28">
        <v>2025</v>
      </c>
      <c r="C568" s="29" t="s">
        <v>1588</v>
      </c>
      <c r="D568" s="30" t="s">
        <v>2038</v>
      </c>
      <c r="E568" s="29">
        <v>29307759</v>
      </c>
      <c r="F568" s="29">
        <v>1117434</v>
      </c>
      <c r="G568" s="30" t="s">
        <v>2039</v>
      </c>
      <c r="H568" s="29">
        <v>446</v>
      </c>
      <c r="I568" s="29">
        <v>1</v>
      </c>
      <c r="J568" s="29"/>
      <c r="K568" s="30"/>
      <c r="L568" s="29" t="s">
        <v>72</v>
      </c>
      <c r="M568" s="31">
        <v>4308</v>
      </c>
      <c r="N568" s="31">
        <v>1077</v>
      </c>
      <c r="O568" s="31">
        <v>5385</v>
      </c>
      <c r="P568" s="31">
        <f>VLOOKUP(F568,'[3]1ª PARCELA'!$E$5:$H$889,4,FALSE)</f>
        <v>5385</v>
      </c>
      <c r="Q568" s="31" t="b">
        <f t="shared" si="8"/>
        <v>1</v>
      </c>
      <c r="R568" s="32">
        <v>45926</v>
      </c>
      <c r="S568" s="29">
        <v>24529</v>
      </c>
      <c r="T568" s="29" t="s">
        <v>2040</v>
      </c>
      <c r="U568" s="33" t="s">
        <v>2041</v>
      </c>
    </row>
    <row r="569" spans="1:21" ht="28.5" customHeight="1" x14ac:dyDescent="0.3">
      <c r="A569" s="27">
        <v>566</v>
      </c>
      <c r="B569" s="28">
        <v>2025</v>
      </c>
      <c r="C569" s="29" t="s">
        <v>1906</v>
      </c>
      <c r="D569" s="30" t="s">
        <v>2042</v>
      </c>
      <c r="E569" s="29">
        <v>29308046</v>
      </c>
      <c r="F569" s="29">
        <v>1112262</v>
      </c>
      <c r="G569" s="30" t="s">
        <v>2043</v>
      </c>
      <c r="H569" s="29">
        <v>313</v>
      </c>
      <c r="I569" s="29">
        <v>1</v>
      </c>
      <c r="J569" s="29"/>
      <c r="K569" s="30"/>
      <c r="L569" s="29" t="s">
        <v>72</v>
      </c>
      <c r="M569" s="31">
        <v>3244</v>
      </c>
      <c r="N569" s="31">
        <v>811</v>
      </c>
      <c r="O569" s="31">
        <v>4055</v>
      </c>
      <c r="P569" s="31">
        <f>VLOOKUP(F569,'[3]1ª PARCELA'!$E$5:$H$889,4,FALSE)</f>
        <v>4055</v>
      </c>
      <c r="Q569" s="31" t="b">
        <f t="shared" si="8"/>
        <v>1</v>
      </c>
      <c r="R569" s="32">
        <v>45793</v>
      </c>
      <c r="S569" s="29">
        <v>9173</v>
      </c>
      <c r="T569" s="29" t="s">
        <v>2044</v>
      </c>
      <c r="U569" s="33" t="s">
        <v>2045</v>
      </c>
    </row>
    <row r="570" spans="1:21" ht="28.5" customHeight="1" x14ac:dyDescent="0.3">
      <c r="A570" s="27">
        <v>567</v>
      </c>
      <c r="B570" s="28">
        <v>2025</v>
      </c>
      <c r="C570" s="29" t="s">
        <v>1906</v>
      </c>
      <c r="D570" s="30" t="s">
        <v>2046</v>
      </c>
      <c r="E570" s="29">
        <v>29308747</v>
      </c>
      <c r="F570" s="29">
        <v>1112408</v>
      </c>
      <c r="G570" s="30" t="s">
        <v>2047</v>
      </c>
      <c r="H570" s="29">
        <v>690</v>
      </c>
      <c r="I570" s="29">
        <v>1</v>
      </c>
      <c r="J570" s="29"/>
      <c r="K570" s="30"/>
      <c r="L570" s="29" t="s">
        <v>72</v>
      </c>
      <c r="M570" s="31">
        <v>6260</v>
      </c>
      <c r="N570" s="31">
        <v>1565</v>
      </c>
      <c r="O570" s="31">
        <v>7825</v>
      </c>
      <c r="P570" s="31">
        <f>VLOOKUP(F570,'[3]1ª PARCELA'!$E$5:$H$889,4,FALSE)</f>
        <v>7825</v>
      </c>
      <c r="Q570" s="31" t="b">
        <f t="shared" si="8"/>
        <v>1</v>
      </c>
      <c r="R570" s="32">
        <v>45926</v>
      </c>
      <c r="S570" s="29">
        <v>24529</v>
      </c>
      <c r="T570" s="29" t="s">
        <v>2048</v>
      </c>
      <c r="U570" s="33" t="s">
        <v>2049</v>
      </c>
    </row>
    <row r="571" spans="1:21" ht="28.5" customHeight="1" x14ac:dyDescent="0.3">
      <c r="A571" s="27">
        <v>568</v>
      </c>
      <c r="B571" s="28">
        <v>2025</v>
      </c>
      <c r="C571" s="29" t="s">
        <v>1588</v>
      </c>
      <c r="D571" s="30" t="s">
        <v>2050</v>
      </c>
      <c r="E571" s="29">
        <v>29309034</v>
      </c>
      <c r="F571" s="29">
        <v>1110294</v>
      </c>
      <c r="G571" s="30" t="s">
        <v>2051</v>
      </c>
      <c r="H571" s="29">
        <v>316</v>
      </c>
      <c r="I571" s="29">
        <v>1</v>
      </c>
      <c r="J571" s="29"/>
      <c r="K571" s="30"/>
      <c r="L571" s="29" t="s">
        <v>72</v>
      </c>
      <c r="M571" s="31">
        <v>3063.75</v>
      </c>
      <c r="N571" s="31">
        <v>1021.25</v>
      </c>
      <c r="O571" s="31">
        <v>4085</v>
      </c>
      <c r="P571" s="31">
        <f>VLOOKUP(F571,'[3]1ª PARCELA'!$E$5:$H$889,4,FALSE)</f>
        <v>4085</v>
      </c>
      <c r="Q571" s="31" t="b">
        <f t="shared" si="8"/>
        <v>1</v>
      </c>
      <c r="R571" s="32">
        <v>45926</v>
      </c>
      <c r="S571" s="29">
        <v>24529</v>
      </c>
      <c r="T571" s="29" t="s">
        <v>2052</v>
      </c>
      <c r="U571" s="33" t="s">
        <v>2053</v>
      </c>
    </row>
    <row r="572" spans="1:21" ht="28.5" customHeight="1" x14ac:dyDescent="0.3">
      <c r="A572" s="27">
        <v>569</v>
      </c>
      <c r="B572" s="28">
        <v>2025</v>
      </c>
      <c r="C572" s="29" t="s">
        <v>1906</v>
      </c>
      <c r="D572" s="30" t="s">
        <v>2054</v>
      </c>
      <c r="E572" s="29">
        <v>29309425</v>
      </c>
      <c r="F572" s="29">
        <v>1158688</v>
      </c>
      <c r="G572" s="30" t="s">
        <v>2055</v>
      </c>
      <c r="H572" s="29">
        <v>400</v>
      </c>
      <c r="I572" s="29">
        <v>1</v>
      </c>
      <c r="J572" s="29"/>
      <c r="K572" s="30"/>
      <c r="L572" s="29" t="s">
        <v>72</v>
      </c>
      <c r="M572" s="31">
        <v>3940</v>
      </c>
      <c r="N572" s="31">
        <v>985</v>
      </c>
      <c r="O572" s="31">
        <v>4925</v>
      </c>
      <c r="P572" s="31">
        <f>VLOOKUP(F572,'[3]1ª PARCELA'!$E$5:$H$889,4,FALSE)</f>
        <v>4925</v>
      </c>
      <c r="Q572" s="31" t="b">
        <f t="shared" si="8"/>
        <v>1</v>
      </c>
      <c r="R572" s="32">
        <v>45926</v>
      </c>
      <c r="S572" s="29">
        <v>24529</v>
      </c>
      <c r="T572" s="29" t="s">
        <v>2056</v>
      </c>
      <c r="U572" s="33" t="s">
        <v>2057</v>
      </c>
    </row>
    <row r="573" spans="1:21" ht="28.5" customHeight="1" x14ac:dyDescent="0.3">
      <c r="A573" s="27">
        <v>570</v>
      </c>
      <c r="B573" s="28">
        <v>2025</v>
      </c>
      <c r="C573" s="29" t="s">
        <v>1949</v>
      </c>
      <c r="D573" s="30" t="s">
        <v>2058</v>
      </c>
      <c r="E573" s="29">
        <v>29309638</v>
      </c>
      <c r="F573" s="29">
        <v>1146523</v>
      </c>
      <c r="G573" s="30" t="s">
        <v>2059</v>
      </c>
      <c r="H573" s="29">
        <v>291</v>
      </c>
      <c r="I573" s="29">
        <v>1</v>
      </c>
      <c r="J573" s="29"/>
      <c r="K573" s="30"/>
      <c r="L573" s="29" t="s">
        <v>72</v>
      </c>
      <c r="M573" s="31">
        <v>2301</v>
      </c>
      <c r="N573" s="31">
        <v>1534</v>
      </c>
      <c r="O573" s="31">
        <v>3835</v>
      </c>
      <c r="P573" s="31">
        <f>VLOOKUP(F573,'[3]1ª PARCELA'!$E$5:$H$889,4,FALSE)</f>
        <v>3835</v>
      </c>
      <c r="Q573" s="31" t="b">
        <f t="shared" si="8"/>
        <v>1</v>
      </c>
      <c r="R573" s="32">
        <v>45967</v>
      </c>
      <c r="S573" s="29">
        <v>29630</v>
      </c>
      <c r="T573" s="29" t="s">
        <v>2060</v>
      </c>
      <c r="U573" s="33" t="s">
        <v>2061</v>
      </c>
    </row>
    <row r="574" spans="1:21" ht="28.5" customHeight="1" x14ac:dyDescent="0.3">
      <c r="A574" s="27">
        <v>571</v>
      </c>
      <c r="B574" s="28">
        <v>2025</v>
      </c>
      <c r="C574" s="29" t="s">
        <v>1906</v>
      </c>
      <c r="D574" s="30" t="s">
        <v>2062</v>
      </c>
      <c r="E574" s="29">
        <v>29310660</v>
      </c>
      <c r="F574" s="29">
        <v>1159277</v>
      </c>
      <c r="G574" s="30" t="s">
        <v>2063</v>
      </c>
      <c r="H574" s="29">
        <v>269</v>
      </c>
      <c r="I574" s="29">
        <v>1</v>
      </c>
      <c r="J574" s="29"/>
      <c r="K574" s="30"/>
      <c r="L574" s="29" t="s">
        <v>72</v>
      </c>
      <c r="M574" s="31">
        <v>2892</v>
      </c>
      <c r="N574" s="31">
        <v>723</v>
      </c>
      <c r="O574" s="31">
        <v>3615</v>
      </c>
      <c r="P574" s="31">
        <f>VLOOKUP(F574,'[3]1ª PARCELA'!$E$5:$H$889,4,FALSE)</f>
        <v>3615</v>
      </c>
      <c r="Q574" s="31" t="b">
        <f t="shared" si="8"/>
        <v>1</v>
      </c>
      <c r="R574" s="32">
        <v>45793</v>
      </c>
      <c r="S574" s="29">
        <v>9173</v>
      </c>
      <c r="T574" s="29" t="s">
        <v>2064</v>
      </c>
      <c r="U574" s="33" t="s">
        <v>2065</v>
      </c>
    </row>
    <row r="575" spans="1:21" ht="28.5" customHeight="1" x14ac:dyDescent="0.3">
      <c r="A575" s="27">
        <v>572</v>
      </c>
      <c r="B575" s="28">
        <v>2025</v>
      </c>
      <c r="C575" s="29" t="s">
        <v>1906</v>
      </c>
      <c r="D575" s="30" t="s">
        <v>2066</v>
      </c>
      <c r="E575" s="29">
        <v>29311497</v>
      </c>
      <c r="F575" s="29">
        <v>1159587</v>
      </c>
      <c r="G575" s="30" t="s">
        <v>2067</v>
      </c>
      <c r="H575" s="29">
        <v>134</v>
      </c>
      <c r="I575" s="29">
        <v>1</v>
      </c>
      <c r="J575" s="29"/>
      <c r="K575" s="30"/>
      <c r="L575" s="29" t="s">
        <v>72</v>
      </c>
      <c r="M575" s="31">
        <v>1359</v>
      </c>
      <c r="N575" s="31">
        <v>906</v>
      </c>
      <c r="O575" s="31">
        <v>2265</v>
      </c>
      <c r="P575" s="31">
        <f>VLOOKUP(F575,'[3]1ª PARCELA'!$E$5:$H$889,4,FALSE)</f>
        <v>2265</v>
      </c>
      <c r="Q575" s="31" t="b">
        <f t="shared" si="8"/>
        <v>1</v>
      </c>
      <c r="R575" s="32">
        <v>45793</v>
      </c>
      <c r="S575" s="29">
        <v>9173</v>
      </c>
      <c r="T575" s="29" t="s">
        <v>2068</v>
      </c>
      <c r="U575" s="33" t="s">
        <v>2069</v>
      </c>
    </row>
    <row r="576" spans="1:21" ht="28.5" customHeight="1" x14ac:dyDescent="0.3">
      <c r="A576" s="27">
        <v>573</v>
      </c>
      <c r="B576" s="28">
        <v>2025</v>
      </c>
      <c r="C576" s="29" t="s">
        <v>1906</v>
      </c>
      <c r="D576" s="30" t="s">
        <v>2066</v>
      </c>
      <c r="E576" s="29">
        <v>29311500</v>
      </c>
      <c r="F576" s="29">
        <v>1159617</v>
      </c>
      <c r="G576" s="30" t="s">
        <v>2070</v>
      </c>
      <c r="H576" s="29">
        <v>420</v>
      </c>
      <c r="I576" s="29">
        <v>1</v>
      </c>
      <c r="J576" s="29"/>
      <c r="K576" s="30"/>
      <c r="L576" s="29" t="s">
        <v>72</v>
      </c>
      <c r="M576" s="31">
        <v>4882.5</v>
      </c>
      <c r="N576" s="31">
        <v>2092.5</v>
      </c>
      <c r="O576" s="31">
        <v>6975</v>
      </c>
      <c r="P576" s="31">
        <f>VLOOKUP(F576,'[3]1ª PARCELA'!$E$5:$H$889,4,FALSE)</f>
        <v>6975</v>
      </c>
      <c r="Q576" s="31" t="b">
        <f t="shared" si="8"/>
        <v>1</v>
      </c>
      <c r="R576" s="32">
        <v>45926</v>
      </c>
      <c r="S576" s="29">
        <v>24529</v>
      </c>
      <c r="T576" s="29" t="s">
        <v>2071</v>
      </c>
      <c r="U576" s="33" t="s">
        <v>2072</v>
      </c>
    </row>
    <row r="577" spans="1:21" ht="28.5" customHeight="1" x14ac:dyDescent="0.3">
      <c r="A577" s="27">
        <v>574</v>
      </c>
      <c r="B577" s="28">
        <v>2025</v>
      </c>
      <c r="C577" s="29" t="s">
        <v>1797</v>
      </c>
      <c r="D577" s="30" t="s">
        <v>2073</v>
      </c>
      <c r="E577" s="29">
        <v>29312469</v>
      </c>
      <c r="F577" s="29">
        <v>1112785</v>
      </c>
      <c r="G577" s="30" t="s">
        <v>2074</v>
      </c>
      <c r="H577" s="29">
        <v>232</v>
      </c>
      <c r="I577" s="29">
        <v>1</v>
      </c>
      <c r="J577" s="29"/>
      <c r="K577" s="30"/>
      <c r="L577" s="29" t="s">
        <v>72</v>
      </c>
      <c r="M577" s="31">
        <v>2596</v>
      </c>
      <c r="N577" s="31">
        <v>649</v>
      </c>
      <c r="O577" s="31">
        <v>3245</v>
      </c>
      <c r="P577" s="31">
        <f>VLOOKUP(F577,'[3]1ª PARCELA'!$E$5:$H$889,4,FALSE)</f>
        <v>3245</v>
      </c>
      <c r="Q577" s="31" t="b">
        <f t="shared" si="8"/>
        <v>1</v>
      </c>
      <c r="R577" s="32">
        <v>45793</v>
      </c>
      <c r="S577" s="29">
        <v>9173</v>
      </c>
      <c r="T577" s="29" t="s">
        <v>2075</v>
      </c>
      <c r="U577" s="33" t="s">
        <v>2076</v>
      </c>
    </row>
    <row r="578" spans="1:21" ht="28.5" customHeight="1" x14ac:dyDescent="0.3">
      <c r="A578" s="27">
        <v>575</v>
      </c>
      <c r="B578" s="28">
        <v>2025</v>
      </c>
      <c r="C578" s="29" t="s">
        <v>1906</v>
      </c>
      <c r="D578" s="30" t="s">
        <v>2077</v>
      </c>
      <c r="E578" s="29">
        <v>29313171</v>
      </c>
      <c r="F578" s="29">
        <v>1170912</v>
      </c>
      <c r="G578" s="30" t="s">
        <v>2078</v>
      </c>
      <c r="H578" s="29">
        <v>207</v>
      </c>
      <c r="I578" s="29">
        <v>1</v>
      </c>
      <c r="J578" s="29"/>
      <c r="K578" s="30"/>
      <c r="L578" s="29" t="s">
        <v>72</v>
      </c>
      <c r="M578" s="31">
        <v>2396</v>
      </c>
      <c r="N578" s="31">
        <v>599</v>
      </c>
      <c r="O578" s="31">
        <v>2995</v>
      </c>
      <c r="P578" s="31">
        <f>VLOOKUP(F578,'[3]1ª PARCELA'!$E$5:$H$889,4,FALSE)</f>
        <v>2995</v>
      </c>
      <c r="Q578" s="31" t="b">
        <f t="shared" si="8"/>
        <v>1</v>
      </c>
      <c r="R578" s="32">
        <v>45793</v>
      </c>
      <c r="S578" s="29">
        <v>9173</v>
      </c>
      <c r="T578" s="29" t="s">
        <v>2079</v>
      </c>
      <c r="U578" s="33" t="s">
        <v>2080</v>
      </c>
    </row>
    <row r="579" spans="1:21" ht="28.5" customHeight="1" x14ac:dyDescent="0.3">
      <c r="A579" s="27">
        <v>576</v>
      </c>
      <c r="B579" s="28">
        <v>2025</v>
      </c>
      <c r="C579" s="29" t="s">
        <v>970</v>
      </c>
      <c r="D579" s="30" t="s">
        <v>2081</v>
      </c>
      <c r="E579" s="29">
        <v>29313325</v>
      </c>
      <c r="F579" s="29">
        <v>1110677</v>
      </c>
      <c r="G579" s="30" t="s">
        <v>2082</v>
      </c>
      <c r="H579" s="29">
        <v>465</v>
      </c>
      <c r="I579" s="29">
        <v>1</v>
      </c>
      <c r="J579" s="29"/>
      <c r="K579" s="30"/>
      <c r="L579" s="29" t="s">
        <v>72</v>
      </c>
      <c r="M579" s="31">
        <v>4460</v>
      </c>
      <c r="N579" s="31">
        <v>1115</v>
      </c>
      <c r="O579" s="31">
        <v>5575</v>
      </c>
      <c r="P579" s="31">
        <f>VLOOKUP(F579,'[3]1ª PARCELA'!$E$5:$H$889,4,FALSE)</f>
        <v>5575</v>
      </c>
      <c r="Q579" s="31" t="b">
        <f t="shared" si="8"/>
        <v>1</v>
      </c>
      <c r="R579" s="32">
        <v>45833</v>
      </c>
      <c r="S579" s="29">
        <v>13120</v>
      </c>
      <c r="T579" s="29" t="s">
        <v>2083</v>
      </c>
      <c r="U579" s="33" t="s">
        <v>2084</v>
      </c>
    </row>
    <row r="580" spans="1:21" ht="28.5" customHeight="1" x14ac:dyDescent="0.3">
      <c r="A580" s="27">
        <v>577</v>
      </c>
      <c r="B580" s="28">
        <v>2025</v>
      </c>
      <c r="C580" s="29" t="s">
        <v>1906</v>
      </c>
      <c r="D580" s="30" t="s">
        <v>2085</v>
      </c>
      <c r="E580" s="29">
        <v>29313848</v>
      </c>
      <c r="F580" s="29">
        <v>1112777</v>
      </c>
      <c r="G580" s="30" t="s">
        <v>2086</v>
      </c>
      <c r="H580" s="29">
        <v>785</v>
      </c>
      <c r="I580" s="29">
        <v>1</v>
      </c>
      <c r="J580" s="29"/>
      <c r="K580" s="30"/>
      <c r="L580" s="29" t="s">
        <v>72</v>
      </c>
      <c r="M580" s="31">
        <v>5265</v>
      </c>
      <c r="N580" s="31">
        <v>3510</v>
      </c>
      <c r="O580" s="31">
        <v>8775</v>
      </c>
      <c r="P580" s="31">
        <f>VLOOKUP(F580,'[3]1ª PARCELA'!$E$5:$H$889,4,FALSE)</f>
        <v>8775</v>
      </c>
      <c r="Q580" s="31" t="b">
        <f t="shared" si="8"/>
        <v>1</v>
      </c>
      <c r="R580" s="32">
        <v>45967</v>
      </c>
      <c r="S580" s="29">
        <v>29630</v>
      </c>
      <c r="T580" s="29" t="s">
        <v>2087</v>
      </c>
      <c r="U580" s="33" t="s">
        <v>2088</v>
      </c>
    </row>
    <row r="581" spans="1:21" ht="28.5" customHeight="1" x14ac:dyDescent="0.3">
      <c r="A581" s="27">
        <v>578</v>
      </c>
      <c r="B581" s="28">
        <v>2025</v>
      </c>
      <c r="C581" s="29" t="s">
        <v>1906</v>
      </c>
      <c r="D581" s="30" t="s">
        <v>2089</v>
      </c>
      <c r="E581" s="29">
        <v>29315492</v>
      </c>
      <c r="F581" s="29">
        <v>1139136</v>
      </c>
      <c r="G581" s="30" t="s">
        <v>2090</v>
      </c>
      <c r="H581" s="29">
        <v>866</v>
      </c>
      <c r="I581" s="29">
        <v>1</v>
      </c>
      <c r="J581" s="29"/>
      <c r="K581" s="30"/>
      <c r="L581" s="29" t="s">
        <v>72</v>
      </c>
      <c r="M581" s="31">
        <v>6709.5</v>
      </c>
      <c r="N581" s="31">
        <v>2875.5</v>
      </c>
      <c r="O581" s="31">
        <v>9585</v>
      </c>
      <c r="P581" s="31">
        <f>VLOOKUP(F581,'[3]1ª PARCELA'!$E$5:$H$889,4,FALSE)</f>
        <v>9585</v>
      </c>
      <c r="Q581" s="31" t="b">
        <f t="shared" ref="Q581:Q644" si="9">O581=P581</f>
        <v>1</v>
      </c>
      <c r="R581" s="32">
        <v>45967</v>
      </c>
      <c r="S581" s="29">
        <v>29630</v>
      </c>
      <c r="T581" s="29" t="s">
        <v>2091</v>
      </c>
      <c r="U581" s="33" t="s">
        <v>2092</v>
      </c>
    </row>
    <row r="582" spans="1:21" ht="28.5" customHeight="1" x14ac:dyDescent="0.3">
      <c r="A582" s="27">
        <v>579</v>
      </c>
      <c r="B582" s="28">
        <v>2025</v>
      </c>
      <c r="C582" s="29" t="s">
        <v>1906</v>
      </c>
      <c r="D582" s="30" t="s">
        <v>2093</v>
      </c>
      <c r="E582" s="29">
        <v>29316260</v>
      </c>
      <c r="F582" s="29">
        <v>1159790</v>
      </c>
      <c r="G582" s="30" t="s">
        <v>2094</v>
      </c>
      <c r="H582" s="29">
        <v>593</v>
      </c>
      <c r="I582" s="29">
        <v>1</v>
      </c>
      <c r="J582" s="29"/>
      <c r="K582" s="30"/>
      <c r="L582" s="29" t="s">
        <v>72</v>
      </c>
      <c r="M582" s="31">
        <v>4113</v>
      </c>
      <c r="N582" s="31">
        <v>2742</v>
      </c>
      <c r="O582" s="31">
        <v>6855</v>
      </c>
      <c r="P582" s="31">
        <f>VLOOKUP(F582,'[3]1ª PARCELA'!$E$5:$H$889,4,FALSE)</f>
        <v>6855</v>
      </c>
      <c r="Q582" s="31" t="b">
        <f t="shared" si="9"/>
        <v>1</v>
      </c>
      <c r="R582" s="32">
        <v>45793</v>
      </c>
      <c r="S582" s="29">
        <v>9173</v>
      </c>
      <c r="T582" s="29" t="s">
        <v>2095</v>
      </c>
      <c r="U582" s="33" t="s">
        <v>2096</v>
      </c>
    </row>
    <row r="583" spans="1:21" ht="28.5" customHeight="1" x14ac:dyDescent="0.3">
      <c r="A583" s="27">
        <v>580</v>
      </c>
      <c r="B583" s="28">
        <v>2025</v>
      </c>
      <c r="C583" s="29" t="s">
        <v>970</v>
      </c>
      <c r="D583" s="30" t="s">
        <v>2097</v>
      </c>
      <c r="E583" s="29">
        <v>29317134</v>
      </c>
      <c r="F583" s="29">
        <v>1110685</v>
      </c>
      <c r="G583" s="30" t="s">
        <v>2098</v>
      </c>
      <c r="H583" s="29">
        <v>519</v>
      </c>
      <c r="I583" s="29">
        <v>1</v>
      </c>
      <c r="J583" s="29"/>
      <c r="K583" s="30"/>
      <c r="L583" s="29" t="s">
        <v>72</v>
      </c>
      <c r="M583" s="31">
        <v>4280.5</v>
      </c>
      <c r="N583" s="31">
        <v>1834.5</v>
      </c>
      <c r="O583" s="31">
        <v>6115</v>
      </c>
      <c r="P583" s="31">
        <f>VLOOKUP(F583,'[3]1ª PARCELA'!$E$5:$H$889,4,FALSE)</f>
        <v>6115</v>
      </c>
      <c r="Q583" s="31" t="b">
        <f t="shared" si="9"/>
        <v>1</v>
      </c>
      <c r="R583" s="32">
        <v>45933</v>
      </c>
      <c r="S583" s="29">
        <v>25397</v>
      </c>
      <c r="T583" s="29" t="s">
        <v>2099</v>
      </c>
      <c r="U583" s="33" t="s">
        <v>2100</v>
      </c>
    </row>
    <row r="584" spans="1:21" ht="28.5" customHeight="1" x14ac:dyDescent="0.3">
      <c r="A584" s="27">
        <v>581</v>
      </c>
      <c r="B584" s="28">
        <v>2025</v>
      </c>
      <c r="C584" s="29" t="s">
        <v>2101</v>
      </c>
      <c r="D584" s="30" t="s">
        <v>2102</v>
      </c>
      <c r="E584" s="29">
        <v>29317789</v>
      </c>
      <c r="F584" s="29">
        <v>1113102</v>
      </c>
      <c r="G584" s="30" t="s">
        <v>2103</v>
      </c>
      <c r="H584" s="29">
        <v>857</v>
      </c>
      <c r="I584" s="29">
        <v>1</v>
      </c>
      <c r="J584" s="29"/>
      <c r="K584" s="30"/>
      <c r="L584" s="29" t="s">
        <v>72</v>
      </c>
      <c r="M584" s="31">
        <v>7596</v>
      </c>
      <c r="N584" s="31">
        <v>1899</v>
      </c>
      <c r="O584" s="31">
        <v>9495</v>
      </c>
      <c r="P584" s="31">
        <f>VLOOKUP(F584,'[3]1ª PARCELA'!$E$5:$H$889,4,FALSE)</f>
        <v>9495</v>
      </c>
      <c r="Q584" s="31" t="b">
        <f t="shared" si="9"/>
        <v>1</v>
      </c>
      <c r="R584" s="32">
        <v>45793</v>
      </c>
      <c r="S584" s="29">
        <v>9173</v>
      </c>
      <c r="T584" s="29" t="s">
        <v>2104</v>
      </c>
      <c r="U584" s="33" t="s">
        <v>2105</v>
      </c>
    </row>
    <row r="585" spans="1:21" ht="28.5" customHeight="1" x14ac:dyDescent="0.3">
      <c r="A585" s="27">
        <v>582</v>
      </c>
      <c r="B585" s="28">
        <v>2025</v>
      </c>
      <c r="C585" s="29" t="s">
        <v>1949</v>
      </c>
      <c r="D585" s="30" t="s">
        <v>2106</v>
      </c>
      <c r="E585" s="29">
        <v>29318220</v>
      </c>
      <c r="F585" s="29">
        <v>1146167</v>
      </c>
      <c r="G585" s="30" t="s">
        <v>180</v>
      </c>
      <c r="H585" s="29">
        <v>1084</v>
      </c>
      <c r="I585" s="29">
        <v>1</v>
      </c>
      <c r="J585" s="29"/>
      <c r="K585" s="30"/>
      <c r="L585" s="29" t="s">
        <v>72</v>
      </c>
      <c r="M585" s="31">
        <v>5882.5</v>
      </c>
      <c r="N585" s="31">
        <v>5882.5</v>
      </c>
      <c r="O585" s="31">
        <v>11765</v>
      </c>
      <c r="P585" s="31">
        <f>VLOOKUP(F585,'[3]1ª PARCELA'!$E$5:$H$889,4,FALSE)</f>
        <v>11765</v>
      </c>
      <c r="Q585" s="31" t="b">
        <f t="shared" si="9"/>
        <v>1</v>
      </c>
      <c r="R585" s="32">
        <v>45793</v>
      </c>
      <c r="S585" s="29">
        <v>9173</v>
      </c>
      <c r="T585" s="29" t="s">
        <v>2107</v>
      </c>
      <c r="U585" s="33" t="s">
        <v>2108</v>
      </c>
    </row>
    <row r="586" spans="1:21" ht="28.5" customHeight="1" x14ac:dyDescent="0.3">
      <c r="A586" s="27">
        <v>583</v>
      </c>
      <c r="B586" s="28">
        <v>2025</v>
      </c>
      <c r="C586" s="29" t="s">
        <v>1949</v>
      </c>
      <c r="D586" s="30" t="s">
        <v>2106</v>
      </c>
      <c r="E586" s="29">
        <v>29318378</v>
      </c>
      <c r="F586" s="29">
        <v>1146183</v>
      </c>
      <c r="G586" s="30" t="s">
        <v>2109</v>
      </c>
      <c r="H586" s="29">
        <v>501</v>
      </c>
      <c r="I586" s="29">
        <v>1</v>
      </c>
      <c r="J586" s="29"/>
      <c r="K586" s="30"/>
      <c r="L586" s="29" t="s">
        <v>72</v>
      </c>
      <c r="M586" s="31">
        <v>593.5</v>
      </c>
      <c r="N586" s="31">
        <v>5341.5</v>
      </c>
      <c r="O586" s="31">
        <v>5935</v>
      </c>
      <c r="P586" s="31">
        <f>VLOOKUP(F586,'[3]1ª PARCELA'!$E$5:$H$889,4,FALSE)</f>
        <v>5935</v>
      </c>
      <c r="Q586" s="31" t="b">
        <f t="shared" si="9"/>
        <v>1</v>
      </c>
      <c r="R586" s="32">
        <v>45793</v>
      </c>
      <c r="S586" s="29">
        <v>9173</v>
      </c>
      <c r="T586" s="29" t="s">
        <v>2110</v>
      </c>
      <c r="U586" s="33" t="s">
        <v>2111</v>
      </c>
    </row>
    <row r="587" spans="1:21" ht="28.5" customHeight="1" x14ac:dyDescent="0.3">
      <c r="A587" s="27">
        <v>584</v>
      </c>
      <c r="B587" s="28">
        <v>2025</v>
      </c>
      <c r="C587" s="29" t="s">
        <v>1949</v>
      </c>
      <c r="D587" s="30" t="s">
        <v>2106</v>
      </c>
      <c r="E587" s="29">
        <v>29319218</v>
      </c>
      <c r="F587" s="29">
        <v>1146264</v>
      </c>
      <c r="G587" s="30" t="s">
        <v>2112</v>
      </c>
      <c r="H587" s="29">
        <v>849</v>
      </c>
      <c r="I587" s="29">
        <v>1</v>
      </c>
      <c r="J587" s="29"/>
      <c r="K587" s="30"/>
      <c r="L587" s="29" t="s">
        <v>72</v>
      </c>
      <c r="M587" s="31">
        <v>7532</v>
      </c>
      <c r="N587" s="31">
        <v>1883</v>
      </c>
      <c r="O587" s="31">
        <v>9415</v>
      </c>
      <c r="P587" s="31">
        <f>VLOOKUP(F587,'[3]1ª PARCELA'!$E$5:$H$889,4,FALSE)</f>
        <v>9415</v>
      </c>
      <c r="Q587" s="31" t="b">
        <f t="shared" si="9"/>
        <v>1</v>
      </c>
      <c r="R587" s="32">
        <v>45793</v>
      </c>
      <c r="S587" s="29">
        <v>9173</v>
      </c>
      <c r="T587" s="29" t="s">
        <v>2113</v>
      </c>
      <c r="U587" s="33" t="s">
        <v>2114</v>
      </c>
    </row>
    <row r="588" spans="1:21" ht="28.5" customHeight="1" x14ac:dyDescent="0.3">
      <c r="A588" s="27">
        <v>585</v>
      </c>
      <c r="B588" s="28">
        <v>2025</v>
      </c>
      <c r="C588" s="29" t="s">
        <v>1949</v>
      </c>
      <c r="D588" s="30" t="s">
        <v>2115</v>
      </c>
      <c r="E588" s="29">
        <v>29319358</v>
      </c>
      <c r="F588" s="29">
        <v>1112890</v>
      </c>
      <c r="G588" s="30" t="s">
        <v>2116</v>
      </c>
      <c r="H588" s="29">
        <v>676</v>
      </c>
      <c r="I588" s="29">
        <v>1</v>
      </c>
      <c r="J588" s="29"/>
      <c r="K588" s="30"/>
      <c r="L588" s="29" t="s">
        <v>72</v>
      </c>
      <c r="M588" s="31">
        <v>6148</v>
      </c>
      <c r="N588" s="31">
        <v>1537</v>
      </c>
      <c r="O588" s="31">
        <v>7685</v>
      </c>
      <c r="P588" s="31">
        <f>VLOOKUP(F588,'[3]1ª PARCELA'!$E$5:$H$889,4,FALSE)</f>
        <v>7685</v>
      </c>
      <c r="Q588" s="31" t="b">
        <f t="shared" si="9"/>
        <v>1</v>
      </c>
      <c r="R588" s="32">
        <v>45793</v>
      </c>
      <c r="S588" s="29">
        <v>9173</v>
      </c>
      <c r="T588" s="29" t="s">
        <v>2117</v>
      </c>
      <c r="U588" s="33" t="s">
        <v>2118</v>
      </c>
    </row>
    <row r="589" spans="1:21" ht="28.5" customHeight="1" x14ac:dyDescent="0.3">
      <c r="A589" s="27">
        <v>586</v>
      </c>
      <c r="B589" s="28">
        <v>2025</v>
      </c>
      <c r="C589" s="29" t="s">
        <v>1949</v>
      </c>
      <c r="D589" s="30" t="s">
        <v>2119</v>
      </c>
      <c r="E589" s="29">
        <v>29320623</v>
      </c>
      <c r="F589" s="29">
        <v>1170181</v>
      </c>
      <c r="G589" s="30" t="s">
        <v>2120</v>
      </c>
      <c r="H589" s="29">
        <v>1033</v>
      </c>
      <c r="I589" s="29">
        <v>1</v>
      </c>
      <c r="J589" s="29"/>
      <c r="K589" s="30"/>
      <c r="L589" s="29" t="s">
        <v>72</v>
      </c>
      <c r="M589" s="31">
        <v>6753</v>
      </c>
      <c r="N589" s="31">
        <v>4502</v>
      </c>
      <c r="O589" s="31">
        <v>11255</v>
      </c>
      <c r="P589" s="31">
        <f>VLOOKUP(F589,'[3]1ª PARCELA'!$E$5:$H$889,4,FALSE)</f>
        <v>11255</v>
      </c>
      <c r="Q589" s="31" t="b">
        <f t="shared" si="9"/>
        <v>1</v>
      </c>
      <c r="R589" s="32">
        <v>45805</v>
      </c>
      <c r="S589" s="29">
        <v>9678</v>
      </c>
      <c r="T589" s="29" t="s">
        <v>2121</v>
      </c>
      <c r="U589" s="33" t="s">
        <v>2122</v>
      </c>
    </row>
    <row r="590" spans="1:21" ht="28.5" customHeight="1" x14ac:dyDescent="0.3">
      <c r="A590" s="27">
        <v>587</v>
      </c>
      <c r="B590" s="28">
        <v>2025</v>
      </c>
      <c r="C590" s="29" t="s">
        <v>1949</v>
      </c>
      <c r="D590" s="30" t="s">
        <v>2123</v>
      </c>
      <c r="E590" s="29">
        <v>29321298</v>
      </c>
      <c r="F590" s="29">
        <v>1146493</v>
      </c>
      <c r="G590" s="30" t="s">
        <v>2124</v>
      </c>
      <c r="H590" s="29">
        <v>233</v>
      </c>
      <c r="I590" s="29">
        <v>1</v>
      </c>
      <c r="J590" s="29"/>
      <c r="K590" s="30"/>
      <c r="L590" s="29" t="s">
        <v>72</v>
      </c>
      <c r="M590" s="31">
        <v>2604</v>
      </c>
      <c r="N590" s="31">
        <v>651</v>
      </c>
      <c r="O590" s="31">
        <v>3255</v>
      </c>
      <c r="P590" s="31">
        <f>VLOOKUP(F590,'[3]1ª PARCELA'!$E$5:$H$889,4,FALSE)</f>
        <v>3255</v>
      </c>
      <c r="Q590" s="31" t="b">
        <f t="shared" si="9"/>
        <v>1</v>
      </c>
      <c r="R590" s="32">
        <v>45793</v>
      </c>
      <c r="S590" s="29">
        <v>9173</v>
      </c>
      <c r="T590" s="29" t="s">
        <v>2125</v>
      </c>
      <c r="U590" s="33" t="s">
        <v>2126</v>
      </c>
    </row>
    <row r="591" spans="1:21" ht="28.5" customHeight="1" x14ac:dyDescent="0.3">
      <c r="A591" s="27">
        <v>588</v>
      </c>
      <c r="B591" s="28">
        <v>2025</v>
      </c>
      <c r="C591" s="29" t="s">
        <v>2101</v>
      </c>
      <c r="D591" s="30" t="s">
        <v>2127</v>
      </c>
      <c r="E591" s="29">
        <v>29322480</v>
      </c>
      <c r="F591" s="29">
        <v>1113200</v>
      </c>
      <c r="G591" s="30" t="s">
        <v>2128</v>
      </c>
      <c r="H591" s="29">
        <v>626</v>
      </c>
      <c r="I591" s="29">
        <v>1</v>
      </c>
      <c r="J591" s="29"/>
      <c r="K591" s="30"/>
      <c r="L591" s="29" t="s">
        <v>72</v>
      </c>
      <c r="M591" s="31">
        <v>5029.5</v>
      </c>
      <c r="N591" s="31">
        <v>2155.5</v>
      </c>
      <c r="O591" s="31">
        <v>7185</v>
      </c>
      <c r="P591" s="31">
        <f>VLOOKUP(F591,'[3]1ª PARCELA'!$E$5:$H$889,4,FALSE)</f>
        <v>7185</v>
      </c>
      <c r="Q591" s="31" t="b">
        <f t="shared" si="9"/>
        <v>1</v>
      </c>
      <c r="R591" s="32">
        <v>45793</v>
      </c>
      <c r="S591" s="29">
        <v>9173</v>
      </c>
      <c r="T591" s="29" t="s">
        <v>2129</v>
      </c>
      <c r="U591" s="33" t="s">
        <v>2130</v>
      </c>
    </row>
    <row r="592" spans="1:21" ht="28.5" customHeight="1" x14ac:dyDescent="0.3">
      <c r="A592" s="27">
        <v>589</v>
      </c>
      <c r="B592" s="28">
        <v>2025</v>
      </c>
      <c r="C592" s="29" t="s">
        <v>2101</v>
      </c>
      <c r="D592" s="30" t="s">
        <v>2131</v>
      </c>
      <c r="E592" s="29">
        <v>29323800</v>
      </c>
      <c r="F592" s="29">
        <v>1170157</v>
      </c>
      <c r="G592" s="30" t="s">
        <v>2132</v>
      </c>
      <c r="H592" s="29">
        <v>417</v>
      </c>
      <c r="I592" s="29">
        <v>1</v>
      </c>
      <c r="J592" s="29"/>
      <c r="K592" s="30"/>
      <c r="L592" s="29" t="s">
        <v>72</v>
      </c>
      <c r="M592" s="31">
        <v>3566.5</v>
      </c>
      <c r="N592" s="31">
        <v>1528.5</v>
      </c>
      <c r="O592" s="31">
        <v>5095</v>
      </c>
      <c r="P592" s="31">
        <f>VLOOKUP(F592,'[3]1ª PARCELA'!$E$5:$H$889,4,FALSE)</f>
        <v>5095</v>
      </c>
      <c r="Q592" s="31" t="b">
        <f t="shared" si="9"/>
        <v>1</v>
      </c>
      <c r="R592" s="32">
        <v>45793</v>
      </c>
      <c r="S592" s="29">
        <v>9173</v>
      </c>
      <c r="T592" s="29" t="s">
        <v>2133</v>
      </c>
      <c r="U592" s="33" t="s">
        <v>2134</v>
      </c>
    </row>
    <row r="593" spans="1:21" ht="28.5" customHeight="1" x14ac:dyDescent="0.3">
      <c r="A593" s="27">
        <v>590</v>
      </c>
      <c r="B593" s="28">
        <v>2025</v>
      </c>
      <c r="C593" s="29" t="s">
        <v>2101</v>
      </c>
      <c r="D593" s="30" t="s">
        <v>2135</v>
      </c>
      <c r="E593" s="29">
        <v>29323967</v>
      </c>
      <c r="F593" s="29">
        <v>1157525</v>
      </c>
      <c r="G593" s="30" t="s">
        <v>2136</v>
      </c>
      <c r="H593" s="29">
        <v>171</v>
      </c>
      <c r="I593" s="29">
        <v>1</v>
      </c>
      <c r="J593" s="29"/>
      <c r="K593" s="30"/>
      <c r="L593" s="29" t="s">
        <v>72</v>
      </c>
      <c r="M593" s="31">
        <v>2108</v>
      </c>
      <c r="N593" s="31">
        <v>527</v>
      </c>
      <c r="O593" s="31">
        <v>2635</v>
      </c>
      <c r="P593" s="31">
        <f>VLOOKUP(F593,'[3]1ª PARCELA'!$E$5:$H$889,4,FALSE)</f>
        <v>2635</v>
      </c>
      <c r="Q593" s="31" t="b">
        <f t="shared" si="9"/>
        <v>1</v>
      </c>
      <c r="R593" s="32">
        <v>45833</v>
      </c>
      <c r="S593" s="29">
        <v>13120</v>
      </c>
      <c r="T593" s="29" t="s">
        <v>2137</v>
      </c>
      <c r="U593" s="33" t="s">
        <v>2138</v>
      </c>
    </row>
    <row r="594" spans="1:21" ht="28.5" customHeight="1" x14ac:dyDescent="0.3">
      <c r="A594" s="27">
        <v>591</v>
      </c>
      <c r="B594" s="28">
        <v>2025</v>
      </c>
      <c r="C594" s="29" t="s">
        <v>2101</v>
      </c>
      <c r="D594" s="30" t="s">
        <v>2139</v>
      </c>
      <c r="E594" s="29">
        <v>29325099</v>
      </c>
      <c r="F594" s="29">
        <v>1157746</v>
      </c>
      <c r="G594" s="30" t="s">
        <v>2140</v>
      </c>
      <c r="H594" s="29">
        <v>317</v>
      </c>
      <c r="I594" s="29">
        <v>1</v>
      </c>
      <c r="J594" s="29"/>
      <c r="K594" s="30"/>
      <c r="L594" s="29" t="s">
        <v>72</v>
      </c>
      <c r="M594" s="31">
        <v>3276</v>
      </c>
      <c r="N594" s="31">
        <v>819</v>
      </c>
      <c r="O594" s="31">
        <v>4095</v>
      </c>
      <c r="P594" s="31">
        <f>VLOOKUP(F594,'[3]1ª PARCELA'!$E$5:$H$889,4,FALSE)</f>
        <v>4095</v>
      </c>
      <c r="Q594" s="31" t="b">
        <f t="shared" si="9"/>
        <v>1</v>
      </c>
      <c r="R594" s="32">
        <v>45793</v>
      </c>
      <c r="S594" s="29">
        <v>9173</v>
      </c>
      <c r="T594" s="29" t="s">
        <v>2141</v>
      </c>
      <c r="U594" s="33" t="s">
        <v>2142</v>
      </c>
    </row>
    <row r="595" spans="1:21" ht="28.5" customHeight="1" x14ac:dyDescent="0.3">
      <c r="A595" s="27">
        <v>592</v>
      </c>
      <c r="B595" s="28">
        <v>2025</v>
      </c>
      <c r="C595" s="29" t="s">
        <v>2101</v>
      </c>
      <c r="D595" s="30" t="s">
        <v>2143</v>
      </c>
      <c r="E595" s="29">
        <v>29325803</v>
      </c>
      <c r="F595" s="29">
        <v>1136480</v>
      </c>
      <c r="G595" s="30" t="s">
        <v>2144</v>
      </c>
      <c r="H595" s="29">
        <v>868</v>
      </c>
      <c r="I595" s="29">
        <v>1</v>
      </c>
      <c r="J595" s="29"/>
      <c r="K595" s="30"/>
      <c r="L595" s="29" t="s">
        <v>72</v>
      </c>
      <c r="M595" s="31">
        <v>6243.25</v>
      </c>
      <c r="N595" s="31">
        <v>3361.75</v>
      </c>
      <c r="O595" s="31">
        <v>9605</v>
      </c>
      <c r="P595" s="31">
        <f>VLOOKUP(F595,'[3]1ª PARCELA'!$E$5:$H$889,4,FALSE)</f>
        <v>9605</v>
      </c>
      <c r="Q595" s="31" t="b">
        <f t="shared" si="9"/>
        <v>1</v>
      </c>
      <c r="R595" s="32">
        <v>45793</v>
      </c>
      <c r="S595" s="29">
        <v>9173</v>
      </c>
      <c r="T595" s="29" t="s">
        <v>2145</v>
      </c>
      <c r="U595" s="33" t="s">
        <v>2146</v>
      </c>
    </row>
    <row r="596" spans="1:21" ht="28.5" customHeight="1" x14ac:dyDescent="0.3">
      <c r="A596" s="27">
        <v>593</v>
      </c>
      <c r="B596" s="28">
        <v>2025</v>
      </c>
      <c r="C596" s="29" t="s">
        <v>1949</v>
      </c>
      <c r="D596" s="30" t="s">
        <v>2147</v>
      </c>
      <c r="E596" s="29">
        <v>29326028</v>
      </c>
      <c r="F596" s="29">
        <v>1141149</v>
      </c>
      <c r="G596" s="30" t="s">
        <v>180</v>
      </c>
      <c r="H596" s="29">
        <v>967</v>
      </c>
      <c r="I596" s="29">
        <v>1</v>
      </c>
      <c r="J596" s="29"/>
      <c r="K596" s="30"/>
      <c r="L596" s="29" t="s">
        <v>72</v>
      </c>
      <c r="M596" s="31">
        <v>7416.5</v>
      </c>
      <c r="N596" s="31">
        <v>3178.5</v>
      </c>
      <c r="O596" s="31">
        <v>10595</v>
      </c>
      <c r="P596" s="31">
        <f>VLOOKUP(F596,'[3]1ª PARCELA'!$E$5:$H$889,4,FALSE)</f>
        <v>10595</v>
      </c>
      <c r="Q596" s="31" t="b">
        <f t="shared" si="9"/>
        <v>1</v>
      </c>
      <c r="R596" s="32">
        <v>45793</v>
      </c>
      <c r="S596" s="29">
        <v>9173</v>
      </c>
      <c r="T596" s="29" t="s">
        <v>2148</v>
      </c>
      <c r="U596" s="33" t="s">
        <v>2149</v>
      </c>
    </row>
    <row r="597" spans="1:21" ht="28.5" customHeight="1" x14ac:dyDescent="0.3">
      <c r="A597" s="27">
        <v>594</v>
      </c>
      <c r="B597" s="28">
        <v>2025</v>
      </c>
      <c r="C597" s="29" t="s">
        <v>1949</v>
      </c>
      <c r="D597" s="30" t="s">
        <v>2147</v>
      </c>
      <c r="E597" s="29">
        <v>29326320</v>
      </c>
      <c r="F597" s="29">
        <v>1146434</v>
      </c>
      <c r="G597" s="30" t="s">
        <v>2150</v>
      </c>
      <c r="H597" s="29">
        <v>452</v>
      </c>
      <c r="I597" s="29">
        <v>1</v>
      </c>
      <c r="J597" s="29"/>
      <c r="K597" s="30"/>
      <c r="L597" s="29" t="s">
        <v>72</v>
      </c>
      <c r="M597" s="31">
        <v>3267</v>
      </c>
      <c r="N597" s="31">
        <v>2178</v>
      </c>
      <c r="O597" s="31">
        <v>5445</v>
      </c>
      <c r="P597" s="31">
        <f>VLOOKUP(F597,'[3]1ª PARCELA'!$E$5:$H$889,4,FALSE)</f>
        <v>5445</v>
      </c>
      <c r="Q597" s="31" t="b">
        <f t="shared" si="9"/>
        <v>1</v>
      </c>
      <c r="R597" s="32">
        <v>45793</v>
      </c>
      <c r="S597" s="29">
        <v>9173</v>
      </c>
      <c r="T597" s="29" t="s">
        <v>2151</v>
      </c>
      <c r="U597" s="33" t="s">
        <v>2152</v>
      </c>
    </row>
    <row r="598" spans="1:21" ht="28.5" customHeight="1" x14ac:dyDescent="0.3">
      <c r="A598" s="27">
        <v>595</v>
      </c>
      <c r="B598" s="28">
        <v>2025</v>
      </c>
      <c r="C598" s="29" t="s">
        <v>2101</v>
      </c>
      <c r="D598" s="30" t="s">
        <v>2153</v>
      </c>
      <c r="E598" s="29">
        <v>29327059</v>
      </c>
      <c r="F598" s="29">
        <v>1178127</v>
      </c>
      <c r="G598" s="30" t="s">
        <v>2154</v>
      </c>
      <c r="H598" s="29">
        <v>185</v>
      </c>
      <c r="I598" s="29">
        <v>1</v>
      </c>
      <c r="J598" s="29"/>
      <c r="K598" s="30"/>
      <c r="L598" s="29" t="s">
        <v>72</v>
      </c>
      <c r="M598" s="31">
        <v>4625</v>
      </c>
      <c r="N598" s="31">
        <v>0</v>
      </c>
      <c r="O598" s="31">
        <v>4625</v>
      </c>
      <c r="P598" s="31">
        <f>VLOOKUP(F598,'[3]1ª PARCELA'!$E$5:$H$889,4,FALSE)</f>
        <v>4625</v>
      </c>
      <c r="Q598" s="31" t="b">
        <f t="shared" si="9"/>
        <v>1</v>
      </c>
      <c r="R598" s="32">
        <v>45793</v>
      </c>
      <c r="S598" s="29">
        <v>9173</v>
      </c>
      <c r="T598" s="29" t="s">
        <v>2155</v>
      </c>
      <c r="U598" s="33" t="s">
        <v>2156</v>
      </c>
    </row>
    <row r="599" spans="1:21" ht="28.5" customHeight="1" x14ac:dyDescent="0.3">
      <c r="A599" s="27">
        <v>596</v>
      </c>
      <c r="B599" s="28">
        <v>2025</v>
      </c>
      <c r="C599" s="29" t="s">
        <v>2101</v>
      </c>
      <c r="D599" s="30" t="s">
        <v>2153</v>
      </c>
      <c r="E599" s="29">
        <v>29327229</v>
      </c>
      <c r="F599" s="29">
        <v>1178128</v>
      </c>
      <c r="G599" s="30" t="s">
        <v>2157</v>
      </c>
      <c r="H599" s="29">
        <v>143</v>
      </c>
      <c r="I599" s="29">
        <v>1</v>
      </c>
      <c r="J599" s="29"/>
      <c r="K599" s="30"/>
      <c r="L599" s="29" t="s">
        <v>72</v>
      </c>
      <c r="M599" s="31">
        <v>3364</v>
      </c>
      <c r="N599" s="31">
        <v>841</v>
      </c>
      <c r="O599" s="31">
        <v>4205</v>
      </c>
      <c r="P599" s="31">
        <f>VLOOKUP(F599,'[3]1ª PARCELA'!$E$5:$H$889,4,FALSE)</f>
        <v>4205</v>
      </c>
      <c r="Q599" s="31" t="b">
        <f t="shared" si="9"/>
        <v>1</v>
      </c>
      <c r="R599" s="32">
        <v>45926</v>
      </c>
      <c r="S599" s="29">
        <v>24529</v>
      </c>
      <c r="T599" s="29" t="s">
        <v>2158</v>
      </c>
      <c r="U599" s="33" t="s">
        <v>2159</v>
      </c>
    </row>
    <row r="600" spans="1:21" ht="28.5" customHeight="1" x14ac:dyDescent="0.3">
      <c r="A600" s="27">
        <v>597</v>
      </c>
      <c r="B600" s="28">
        <v>2025</v>
      </c>
      <c r="C600" s="29" t="s">
        <v>2101</v>
      </c>
      <c r="D600" s="30" t="s">
        <v>2160</v>
      </c>
      <c r="E600" s="29">
        <v>29327695</v>
      </c>
      <c r="F600" s="29">
        <v>1176218</v>
      </c>
      <c r="G600" s="30" t="s">
        <v>2161</v>
      </c>
      <c r="H600" s="29">
        <v>491</v>
      </c>
      <c r="I600" s="29">
        <v>1</v>
      </c>
      <c r="J600" s="29"/>
      <c r="K600" s="30"/>
      <c r="L600" s="29" t="s">
        <v>72</v>
      </c>
      <c r="M600" s="31">
        <v>4084.5</v>
      </c>
      <c r="N600" s="31">
        <v>1750.5</v>
      </c>
      <c r="O600" s="31">
        <v>5835</v>
      </c>
      <c r="P600" s="31">
        <f>VLOOKUP(F600,'[3]1ª PARCELA'!$E$5:$H$889,4,FALSE)</f>
        <v>5835</v>
      </c>
      <c r="Q600" s="31" t="b">
        <f t="shared" si="9"/>
        <v>1</v>
      </c>
      <c r="R600" s="32">
        <v>45793</v>
      </c>
      <c r="S600" s="29">
        <v>9173</v>
      </c>
      <c r="T600" s="29" t="s">
        <v>2162</v>
      </c>
      <c r="U600" s="33" t="s">
        <v>2163</v>
      </c>
    </row>
    <row r="601" spans="1:21" ht="28.5" customHeight="1" x14ac:dyDescent="0.3">
      <c r="A601" s="27">
        <v>598</v>
      </c>
      <c r="B601" s="28">
        <v>2025</v>
      </c>
      <c r="C601" s="29" t="s">
        <v>2101</v>
      </c>
      <c r="D601" s="30" t="s">
        <v>2160</v>
      </c>
      <c r="E601" s="29">
        <v>29327792</v>
      </c>
      <c r="F601" s="29">
        <v>1113846</v>
      </c>
      <c r="G601" s="30" t="s">
        <v>2164</v>
      </c>
      <c r="H601" s="29">
        <v>1324</v>
      </c>
      <c r="I601" s="29">
        <v>1</v>
      </c>
      <c r="J601" s="29"/>
      <c r="K601" s="30"/>
      <c r="L601" s="29" t="s">
        <v>72</v>
      </c>
      <c r="M601" s="31">
        <v>11332</v>
      </c>
      <c r="N601" s="31">
        <v>2833</v>
      </c>
      <c r="O601" s="31">
        <v>14165</v>
      </c>
      <c r="P601" s="31">
        <f>VLOOKUP(F601,'[3]1ª PARCELA'!$E$5:$H$889,4,FALSE)</f>
        <v>14165</v>
      </c>
      <c r="Q601" s="31" t="b">
        <f t="shared" si="9"/>
        <v>1</v>
      </c>
      <c r="R601" s="32">
        <v>45793</v>
      </c>
      <c r="S601" s="29">
        <v>9173</v>
      </c>
      <c r="T601" s="29" t="s">
        <v>2165</v>
      </c>
      <c r="U601" s="33" t="s">
        <v>2166</v>
      </c>
    </row>
    <row r="602" spans="1:21" ht="28.5" customHeight="1" x14ac:dyDescent="0.3">
      <c r="A602" s="27">
        <v>599</v>
      </c>
      <c r="B602" s="28">
        <v>2025</v>
      </c>
      <c r="C602" s="29" t="s">
        <v>2101</v>
      </c>
      <c r="D602" s="30" t="s">
        <v>2160</v>
      </c>
      <c r="E602" s="29">
        <v>29328349</v>
      </c>
      <c r="F602" s="29">
        <v>1113803</v>
      </c>
      <c r="G602" s="30" t="s">
        <v>2167</v>
      </c>
      <c r="H602" s="29">
        <v>1158</v>
      </c>
      <c r="I602" s="29">
        <v>1</v>
      </c>
      <c r="J602" s="29"/>
      <c r="K602" s="30"/>
      <c r="L602" s="29" t="s">
        <v>72</v>
      </c>
      <c r="M602" s="31">
        <v>10004</v>
      </c>
      <c r="N602" s="31">
        <v>2501</v>
      </c>
      <c r="O602" s="31">
        <v>12505</v>
      </c>
      <c r="P602" s="31">
        <f>VLOOKUP(F602,'[3]1ª PARCELA'!$E$5:$H$889,4,FALSE)</f>
        <v>12505</v>
      </c>
      <c r="Q602" s="31" t="b">
        <f t="shared" si="9"/>
        <v>1</v>
      </c>
      <c r="R602" s="32">
        <v>45793</v>
      </c>
      <c r="S602" s="29">
        <v>9173</v>
      </c>
      <c r="T602" s="29" t="s">
        <v>2168</v>
      </c>
      <c r="U602" s="33" t="s">
        <v>2169</v>
      </c>
    </row>
    <row r="603" spans="1:21" ht="28.5" customHeight="1" x14ac:dyDescent="0.3">
      <c r="A603" s="27">
        <v>600</v>
      </c>
      <c r="B603" s="28">
        <v>2025</v>
      </c>
      <c r="C603" s="29" t="s">
        <v>2101</v>
      </c>
      <c r="D603" s="30" t="s">
        <v>2170</v>
      </c>
      <c r="E603" s="29">
        <v>29330041</v>
      </c>
      <c r="F603" s="29">
        <v>1176142</v>
      </c>
      <c r="G603" s="30" t="s">
        <v>2171</v>
      </c>
      <c r="H603" s="29">
        <v>105</v>
      </c>
      <c r="I603" s="29">
        <v>1</v>
      </c>
      <c r="J603" s="29"/>
      <c r="K603" s="30"/>
      <c r="L603" s="29" t="s">
        <v>72</v>
      </c>
      <c r="M603" s="31">
        <v>2677.5</v>
      </c>
      <c r="N603" s="31">
        <v>1147.5</v>
      </c>
      <c r="O603" s="31">
        <v>3825</v>
      </c>
      <c r="P603" s="31">
        <f>VLOOKUP(F603,'[3]1ª PARCELA'!$E$5:$H$889,4,FALSE)</f>
        <v>3825</v>
      </c>
      <c r="Q603" s="31" t="b">
        <f t="shared" si="9"/>
        <v>1</v>
      </c>
      <c r="R603" s="32">
        <v>45793</v>
      </c>
      <c r="S603" s="29">
        <v>9173</v>
      </c>
      <c r="T603" s="29" t="s">
        <v>2172</v>
      </c>
      <c r="U603" s="33" t="s">
        <v>2173</v>
      </c>
    </row>
    <row r="604" spans="1:21" ht="28.5" customHeight="1" x14ac:dyDescent="0.3">
      <c r="A604" s="27">
        <v>601</v>
      </c>
      <c r="B604" s="28">
        <v>2025</v>
      </c>
      <c r="C604" s="29" t="s">
        <v>223</v>
      </c>
      <c r="D604" s="30" t="s">
        <v>246</v>
      </c>
      <c r="E604" s="29">
        <v>29332230</v>
      </c>
      <c r="F604" s="29">
        <v>1176143</v>
      </c>
      <c r="G604" s="30" t="s">
        <v>2174</v>
      </c>
      <c r="H604" s="29">
        <v>940</v>
      </c>
      <c r="I604" s="29">
        <v>1</v>
      </c>
      <c r="J604" s="29"/>
      <c r="K604" s="30"/>
      <c r="L604" s="29" t="s">
        <v>72</v>
      </c>
      <c r="M604" s="31">
        <v>6195</v>
      </c>
      <c r="N604" s="31">
        <v>4130</v>
      </c>
      <c r="O604" s="31">
        <v>10325</v>
      </c>
      <c r="P604" s="31">
        <f>VLOOKUP(F604,'[3]1ª PARCELA'!$E$5:$H$889,4,FALSE)</f>
        <v>10325</v>
      </c>
      <c r="Q604" s="31" t="b">
        <f t="shared" si="9"/>
        <v>1</v>
      </c>
      <c r="R604" s="32">
        <v>45793</v>
      </c>
      <c r="S604" s="29">
        <v>9173</v>
      </c>
      <c r="T604" s="29" t="s">
        <v>2175</v>
      </c>
      <c r="U604" s="33" t="s">
        <v>2176</v>
      </c>
    </row>
    <row r="605" spans="1:21" ht="28.5" customHeight="1" x14ac:dyDescent="0.3">
      <c r="A605" s="27">
        <v>602</v>
      </c>
      <c r="B605" s="28">
        <v>2025</v>
      </c>
      <c r="C605" s="29" t="s">
        <v>263</v>
      </c>
      <c r="D605" s="30" t="s">
        <v>2177</v>
      </c>
      <c r="E605" s="29">
        <v>29332400</v>
      </c>
      <c r="F605" s="29">
        <v>1176177</v>
      </c>
      <c r="G605" s="30" t="s">
        <v>2178</v>
      </c>
      <c r="H605" s="29">
        <v>271</v>
      </c>
      <c r="I605" s="29">
        <v>1</v>
      </c>
      <c r="J605" s="29"/>
      <c r="K605" s="30"/>
      <c r="L605" s="29" t="s">
        <v>72</v>
      </c>
      <c r="M605" s="31">
        <v>2908</v>
      </c>
      <c r="N605" s="31">
        <v>727</v>
      </c>
      <c r="O605" s="31">
        <v>3635</v>
      </c>
      <c r="P605" s="31">
        <f>VLOOKUP(F605,'[3]1ª PARCELA'!$E$5:$H$889,4,FALSE)</f>
        <v>3635</v>
      </c>
      <c r="Q605" s="31" t="b">
        <f t="shared" si="9"/>
        <v>1</v>
      </c>
      <c r="R605" s="32">
        <v>45967</v>
      </c>
      <c r="S605" s="29">
        <v>29630</v>
      </c>
      <c r="T605" s="29" t="s">
        <v>2179</v>
      </c>
      <c r="U605" s="33" t="s">
        <v>2180</v>
      </c>
    </row>
    <row r="606" spans="1:21" ht="28.5" customHeight="1" x14ac:dyDescent="0.3">
      <c r="A606" s="27">
        <v>603</v>
      </c>
      <c r="B606" s="28">
        <v>2025</v>
      </c>
      <c r="C606" s="29" t="s">
        <v>1719</v>
      </c>
      <c r="D606" s="30" t="s">
        <v>2181</v>
      </c>
      <c r="E606" s="29">
        <v>29335132</v>
      </c>
      <c r="F606" s="29">
        <v>1176160</v>
      </c>
      <c r="G606" s="30" t="s">
        <v>2182</v>
      </c>
      <c r="H606" s="29">
        <v>487</v>
      </c>
      <c r="I606" s="29">
        <v>1</v>
      </c>
      <c r="J606" s="29"/>
      <c r="K606" s="30"/>
      <c r="L606" s="29" t="s">
        <v>72</v>
      </c>
      <c r="M606" s="31">
        <v>4056.5</v>
      </c>
      <c r="N606" s="31">
        <v>1738.5</v>
      </c>
      <c r="O606" s="31">
        <v>5795</v>
      </c>
      <c r="P606" s="31">
        <f>VLOOKUP(F606,'[3]1ª PARCELA'!$E$5:$H$889,4,FALSE)</f>
        <v>5795</v>
      </c>
      <c r="Q606" s="31" t="b">
        <f t="shared" si="9"/>
        <v>1</v>
      </c>
      <c r="R606" s="32">
        <v>45793</v>
      </c>
      <c r="S606" s="29">
        <v>9173</v>
      </c>
      <c r="T606" s="29" t="s">
        <v>2183</v>
      </c>
      <c r="U606" s="33" t="s">
        <v>2184</v>
      </c>
    </row>
    <row r="607" spans="1:21" ht="28.5" customHeight="1" x14ac:dyDescent="0.3">
      <c r="A607" s="27">
        <v>604</v>
      </c>
      <c r="B607" s="28">
        <v>2025</v>
      </c>
      <c r="C607" s="29" t="s">
        <v>69</v>
      </c>
      <c r="D607" s="30" t="s">
        <v>98</v>
      </c>
      <c r="E607" s="29">
        <v>29336082</v>
      </c>
      <c r="F607" s="29">
        <v>1176129</v>
      </c>
      <c r="G607" s="30" t="s">
        <v>2185</v>
      </c>
      <c r="H607" s="29">
        <v>387</v>
      </c>
      <c r="I607" s="29">
        <v>1</v>
      </c>
      <c r="J607" s="29"/>
      <c r="K607" s="30"/>
      <c r="L607" s="29" t="s">
        <v>72</v>
      </c>
      <c r="M607" s="31">
        <v>1438.5</v>
      </c>
      <c r="N607" s="31">
        <v>3356.5</v>
      </c>
      <c r="O607" s="31">
        <v>4795</v>
      </c>
      <c r="P607" s="31">
        <f>VLOOKUP(F607,'[3]1ª PARCELA'!$E$5:$H$889,4,FALSE)</f>
        <v>4795</v>
      </c>
      <c r="Q607" s="31" t="b">
        <f t="shared" si="9"/>
        <v>1</v>
      </c>
      <c r="R607" s="32">
        <v>45793</v>
      </c>
      <c r="S607" s="29">
        <v>9173</v>
      </c>
      <c r="T607" s="29" t="s">
        <v>2186</v>
      </c>
      <c r="U607" s="33" t="s">
        <v>2187</v>
      </c>
    </row>
    <row r="608" spans="1:21" ht="28.5" customHeight="1" x14ac:dyDescent="0.3">
      <c r="A608" s="27">
        <v>605</v>
      </c>
      <c r="B608" s="28">
        <v>2025</v>
      </c>
      <c r="C608" s="29" t="s">
        <v>69</v>
      </c>
      <c r="D608" s="30" t="s">
        <v>75</v>
      </c>
      <c r="E608" s="29">
        <v>29336325</v>
      </c>
      <c r="F608" s="29">
        <v>1129718</v>
      </c>
      <c r="G608" s="30" t="s">
        <v>143</v>
      </c>
      <c r="H608" s="29">
        <v>946</v>
      </c>
      <c r="I608" s="29">
        <v>1</v>
      </c>
      <c r="J608" s="29"/>
      <c r="K608" s="30"/>
      <c r="L608" s="29" t="s">
        <v>72</v>
      </c>
      <c r="M608" s="31">
        <v>7788.75</v>
      </c>
      <c r="N608" s="31">
        <v>2596.25</v>
      </c>
      <c r="O608" s="31">
        <v>10385</v>
      </c>
      <c r="P608" s="31">
        <f>VLOOKUP(F608,'[3]1ª PARCELA'!$E$5:$H$889,4,FALSE)</f>
        <v>10385</v>
      </c>
      <c r="Q608" s="31" t="b">
        <f t="shared" si="9"/>
        <v>1</v>
      </c>
      <c r="R608" s="32">
        <v>45805</v>
      </c>
      <c r="S608" s="29">
        <v>9678</v>
      </c>
      <c r="T608" s="29" t="s">
        <v>2188</v>
      </c>
      <c r="U608" s="33" t="s">
        <v>2189</v>
      </c>
    </row>
    <row r="609" spans="1:21" ht="28.5" customHeight="1" x14ac:dyDescent="0.3">
      <c r="A609" s="27">
        <v>606</v>
      </c>
      <c r="B609" s="28">
        <v>2025</v>
      </c>
      <c r="C609" s="29" t="s">
        <v>961</v>
      </c>
      <c r="D609" s="30" t="s">
        <v>1092</v>
      </c>
      <c r="E609" s="29">
        <v>29336473</v>
      </c>
      <c r="F609" s="29">
        <v>1176095</v>
      </c>
      <c r="G609" s="30" t="s">
        <v>2190</v>
      </c>
      <c r="H609" s="29">
        <v>1002</v>
      </c>
      <c r="I609" s="29">
        <v>1</v>
      </c>
      <c r="J609" s="29"/>
      <c r="K609" s="30"/>
      <c r="L609" s="29" t="s">
        <v>72</v>
      </c>
      <c r="M609" s="31">
        <v>5472.5</v>
      </c>
      <c r="N609" s="31">
        <v>5472.5</v>
      </c>
      <c r="O609" s="31">
        <v>10945</v>
      </c>
      <c r="P609" s="31">
        <f>VLOOKUP(F609,'[3]1ª PARCELA'!$E$5:$H$889,4,FALSE)</f>
        <v>10945</v>
      </c>
      <c r="Q609" s="31" t="b">
        <f t="shared" si="9"/>
        <v>1</v>
      </c>
      <c r="R609" s="32">
        <v>45793</v>
      </c>
      <c r="S609" s="29">
        <v>9173</v>
      </c>
      <c r="T609" s="29" t="s">
        <v>2191</v>
      </c>
      <c r="U609" s="33" t="s">
        <v>2192</v>
      </c>
    </row>
    <row r="610" spans="1:21" ht="28.5" customHeight="1" x14ac:dyDescent="0.3">
      <c r="A610" s="27">
        <v>607</v>
      </c>
      <c r="B610" s="28">
        <v>2025</v>
      </c>
      <c r="C610" s="29" t="s">
        <v>961</v>
      </c>
      <c r="D610" s="30" t="s">
        <v>1092</v>
      </c>
      <c r="E610" s="29">
        <v>29336627</v>
      </c>
      <c r="F610" s="29">
        <v>1176094</v>
      </c>
      <c r="G610" s="30" t="s">
        <v>2193</v>
      </c>
      <c r="H610" s="29">
        <v>1302</v>
      </c>
      <c r="I610" s="29">
        <v>1</v>
      </c>
      <c r="J610" s="29"/>
      <c r="K610" s="30"/>
      <c r="L610" s="29" t="s">
        <v>72</v>
      </c>
      <c r="M610" s="31">
        <v>11156</v>
      </c>
      <c r="N610" s="31">
        <v>2789</v>
      </c>
      <c r="O610" s="31">
        <v>13945</v>
      </c>
      <c r="P610" s="31">
        <f>VLOOKUP(F610,'[3]1ª PARCELA'!$E$5:$H$889,4,FALSE)</f>
        <v>13945</v>
      </c>
      <c r="Q610" s="31" t="b">
        <f t="shared" si="9"/>
        <v>1</v>
      </c>
      <c r="R610" s="32">
        <v>45895</v>
      </c>
      <c r="S610" s="29">
        <v>19863</v>
      </c>
      <c r="T610" s="29" t="s">
        <v>2194</v>
      </c>
      <c r="U610" s="33" t="s">
        <v>2195</v>
      </c>
    </row>
    <row r="611" spans="1:21" ht="28.5" customHeight="1" x14ac:dyDescent="0.3">
      <c r="A611" s="27">
        <v>608</v>
      </c>
      <c r="B611" s="28">
        <v>2025</v>
      </c>
      <c r="C611" s="29" t="s">
        <v>961</v>
      </c>
      <c r="D611" s="30" t="s">
        <v>1092</v>
      </c>
      <c r="E611" s="29">
        <v>29336708</v>
      </c>
      <c r="F611" s="29">
        <v>1176096</v>
      </c>
      <c r="G611" s="30" t="s">
        <v>2196</v>
      </c>
      <c r="H611" s="29">
        <v>1726</v>
      </c>
      <c r="I611" s="29">
        <v>1</v>
      </c>
      <c r="J611" s="29"/>
      <c r="K611" s="30"/>
      <c r="L611" s="29" t="s">
        <v>72</v>
      </c>
      <c r="M611" s="31">
        <v>14548</v>
      </c>
      <c r="N611" s="31">
        <v>3637</v>
      </c>
      <c r="O611" s="31">
        <v>18185</v>
      </c>
      <c r="P611" s="31">
        <f>VLOOKUP(F611,'[3]1ª PARCELA'!$E$5:$H$889,4,FALSE)</f>
        <v>18185</v>
      </c>
      <c r="Q611" s="31" t="b">
        <f t="shared" si="9"/>
        <v>1</v>
      </c>
      <c r="R611" s="32">
        <v>45793</v>
      </c>
      <c r="S611" s="29">
        <v>9173</v>
      </c>
      <c r="T611" s="29" t="s">
        <v>2197</v>
      </c>
      <c r="U611" s="33" t="s">
        <v>2198</v>
      </c>
    </row>
    <row r="612" spans="1:21" ht="28.5" customHeight="1" x14ac:dyDescent="0.3">
      <c r="A612" s="27">
        <v>609</v>
      </c>
      <c r="B612" s="28">
        <v>2025</v>
      </c>
      <c r="C612" s="29" t="s">
        <v>534</v>
      </c>
      <c r="D612" s="30" t="s">
        <v>2199</v>
      </c>
      <c r="E612" s="29">
        <v>29340080</v>
      </c>
      <c r="F612" s="29">
        <v>1176366</v>
      </c>
      <c r="G612" s="30" t="s">
        <v>2200</v>
      </c>
      <c r="H612" s="29">
        <v>297</v>
      </c>
      <c r="I612" s="29">
        <v>1</v>
      </c>
      <c r="J612" s="29"/>
      <c r="K612" s="30"/>
      <c r="L612" s="29" t="s">
        <v>72</v>
      </c>
      <c r="M612" s="31">
        <v>2726.5</v>
      </c>
      <c r="N612" s="31">
        <v>1168.5</v>
      </c>
      <c r="O612" s="31">
        <v>3895</v>
      </c>
      <c r="P612" s="31">
        <f>VLOOKUP(F612,'[3]1ª PARCELA'!$E$5:$H$889,4,FALSE)</f>
        <v>3895</v>
      </c>
      <c r="Q612" s="31" t="b">
        <f t="shared" si="9"/>
        <v>1</v>
      </c>
      <c r="R612" s="32">
        <v>45833</v>
      </c>
      <c r="S612" s="29">
        <v>13120</v>
      </c>
      <c r="T612" s="29" t="s">
        <v>2201</v>
      </c>
      <c r="U612" s="33" t="s">
        <v>2202</v>
      </c>
    </row>
    <row r="613" spans="1:21" ht="28.5" customHeight="1" x14ac:dyDescent="0.3">
      <c r="A613" s="27">
        <v>610</v>
      </c>
      <c r="B613" s="28">
        <v>2025</v>
      </c>
      <c r="C613" s="29" t="s">
        <v>407</v>
      </c>
      <c r="D613" s="30" t="s">
        <v>2203</v>
      </c>
      <c r="E613" s="29">
        <v>29340330</v>
      </c>
      <c r="F613" s="29">
        <v>1176123</v>
      </c>
      <c r="G613" s="30" t="s">
        <v>2204</v>
      </c>
      <c r="H613" s="29">
        <v>502</v>
      </c>
      <c r="I613" s="29">
        <v>1</v>
      </c>
      <c r="J613" s="29"/>
      <c r="K613" s="30"/>
      <c r="L613" s="29" t="s">
        <v>72</v>
      </c>
      <c r="M613" s="31">
        <v>4756</v>
      </c>
      <c r="N613" s="31">
        <v>1189</v>
      </c>
      <c r="O613" s="31">
        <v>5945</v>
      </c>
      <c r="P613" s="31">
        <f>VLOOKUP(F613,'[3]1ª PARCELA'!$E$5:$H$889,4,FALSE)</f>
        <v>5945</v>
      </c>
      <c r="Q613" s="31" t="b">
        <f t="shared" si="9"/>
        <v>1</v>
      </c>
      <c r="R613" s="32">
        <v>45805</v>
      </c>
      <c r="S613" s="29">
        <v>9678</v>
      </c>
      <c r="T613" s="29" t="s">
        <v>2205</v>
      </c>
      <c r="U613" s="33" t="s">
        <v>2206</v>
      </c>
    </row>
    <row r="614" spans="1:21" ht="28.5" customHeight="1" x14ac:dyDescent="0.3">
      <c r="A614" s="27">
        <v>611</v>
      </c>
      <c r="B614" s="28">
        <v>2025</v>
      </c>
      <c r="C614" s="29" t="s">
        <v>69</v>
      </c>
      <c r="D614" s="30" t="s">
        <v>2207</v>
      </c>
      <c r="E614" s="29">
        <v>29343003</v>
      </c>
      <c r="F614" s="29">
        <v>1130856</v>
      </c>
      <c r="G614" s="30" t="s">
        <v>2208</v>
      </c>
      <c r="H614" s="29">
        <v>402</v>
      </c>
      <c r="I614" s="29">
        <v>1</v>
      </c>
      <c r="J614" s="29"/>
      <c r="K614" s="30"/>
      <c r="L614" s="29" t="s">
        <v>72</v>
      </c>
      <c r="M614" s="31">
        <v>1978</v>
      </c>
      <c r="N614" s="31">
        <v>2967</v>
      </c>
      <c r="O614" s="31">
        <v>4945</v>
      </c>
      <c r="P614" s="31">
        <f>VLOOKUP(F614,'[3]1ª PARCELA'!$E$5:$H$889,4,FALSE)</f>
        <v>4945</v>
      </c>
      <c r="Q614" s="31" t="b">
        <f t="shared" si="9"/>
        <v>1</v>
      </c>
      <c r="R614" s="32">
        <v>45793</v>
      </c>
      <c r="S614" s="29">
        <v>9173</v>
      </c>
      <c r="T614" s="29" t="s">
        <v>2209</v>
      </c>
      <c r="U614" s="33" t="s">
        <v>2210</v>
      </c>
    </row>
    <row r="615" spans="1:21" ht="28.5" customHeight="1" x14ac:dyDescent="0.3">
      <c r="A615" s="27">
        <v>612</v>
      </c>
      <c r="B615" s="28">
        <v>2025</v>
      </c>
      <c r="C615" s="29" t="s">
        <v>961</v>
      </c>
      <c r="D615" s="30" t="s">
        <v>1092</v>
      </c>
      <c r="E615" s="29">
        <v>29343160</v>
      </c>
      <c r="F615" s="29">
        <v>1176109</v>
      </c>
      <c r="G615" s="30" t="s">
        <v>2211</v>
      </c>
      <c r="H615" s="29">
        <v>817</v>
      </c>
      <c r="I615" s="29">
        <v>1</v>
      </c>
      <c r="J615" s="29"/>
      <c r="K615" s="30"/>
      <c r="L615" s="29" t="s">
        <v>72</v>
      </c>
      <c r="M615" s="31">
        <v>7276</v>
      </c>
      <c r="N615" s="31">
        <v>1819</v>
      </c>
      <c r="O615" s="31">
        <v>9095</v>
      </c>
      <c r="P615" s="31">
        <f>VLOOKUP(F615,'[3]1ª PARCELA'!$E$5:$H$889,4,FALSE)</f>
        <v>9095</v>
      </c>
      <c r="Q615" s="31" t="b">
        <f t="shared" si="9"/>
        <v>1</v>
      </c>
      <c r="R615" s="32">
        <v>45793</v>
      </c>
      <c r="S615" s="29">
        <v>9173</v>
      </c>
      <c r="T615" s="29" t="s">
        <v>2212</v>
      </c>
      <c r="U615" s="33" t="s">
        <v>2213</v>
      </c>
    </row>
    <row r="616" spans="1:21" ht="28.5" customHeight="1" x14ac:dyDescent="0.3">
      <c r="A616" s="27">
        <v>613</v>
      </c>
      <c r="B616" s="28">
        <v>2025</v>
      </c>
      <c r="C616" s="29" t="s">
        <v>407</v>
      </c>
      <c r="D616" s="30" t="s">
        <v>421</v>
      </c>
      <c r="E616" s="29">
        <v>29344247</v>
      </c>
      <c r="F616" s="29">
        <v>1176100</v>
      </c>
      <c r="G616" s="30" t="s">
        <v>2214</v>
      </c>
      <c r="H616" s="29">
        <v>1058</v>
      </c>
      <c r="I616" s="29">
        <v>1</v>
      </c>
      <c r="J616" s="29"/>
      <c r="K616" s="30"/>
      <c r="L616" s="29" t="s">
        <v>72</v>
      </c>
      <c r="M616" s="31">
        <v>3451.5</v>
      </c>
      <c r="N616" s="31">
        <v>8053.5</v>
      </c>
      <c r="O616" s="31">
        <v>11505</v>
      </c>
      <c r="P616" s="31">
        <f>VLOOKUP(F616,'[3]1ª PARCELA'!$E$5:$H$889,4,FALSE)</f>
        <v>11505</v>
      </c>
      <c r="Q616" s="31" t="b">
        <f t="shared" si="9"/>
        <v>1</v>
      </c>
      <c r="R616" s="32">
        <v>45805</v>
      </c>
      <c r="S616" s="29">
        <v>9678</v>
      </c>
      <c r="T616" s="29" t="s">
        <v>2215</v>
      </c>
      <c r="U616" s="33" t="s">
        <v>2216</v>
      </c>
    </row>
    <row r="617" spans="1:21" ht="28.5" customHeight="1" x14ac:dyDescent="0.3">
      <c r="A617" s="27">
        <v>614</v>
      </c>
      <c r="B617" s="28">
        <v>2025</v>
      </c>
      <c r="C617" s="29" t="s">
        <v>1906</v>
      </c>
      <c r="D617" s="30" t="s">
        <v>1958</v>
      </c>
      <c r="E617" s="29">
        <v>29351502</v>
      </c>
      <c r="F617" s="29">
        <v>1176394</v>
      </c>
      <c r="G617" s="30" t="s">
        <v>2217</v>
      </c>
      <c r="H617" s="29">
        <v>251</v>
      </c>
      <c r="I617" s="29">
        <v>1</v>
      </c>
      <c r="J617" s="29"/>
      <c r="K617" s="30"/>
      <c r="L617" s="29" t="s">
        <v>72</v>
      </c>
      <c r="M617" s="31">
        <v>1057</v>
      </c>
      <c r="N617" s="31">
        <v>4228</v>
      </c>
      <c r="O617" s="31">
        <v>5285</v>
      </c>
      <c r="P617" s="31">
        <f>VLOOKUP(F617,'[3]1ª PARCELA'!$E$5:$H$889,4,FALSE)</f>
        <v>5285</v>
      </c>
      <c r="Q617" s="31" t="b">
        <f t="shared" si="9"/>
        <v>1</v>
      </c>
      <c r="R617" s="32">
        <v>45833</v>
      </c>
      <c r="S617" s="29">
        <v>13120</v>
      </c>
      <c r="T617" s="29" t="s">
        <v>2218</v>
      </c>
      <c r="U617" s="33" t="s">
        <v>2219</v>
      </c>
    </row>
    <row r="618" spans="1:21" ht="28.5" customHeight="1" x14ac:dyDescent="0.3">
      <c r="A618" s="27">
        <v>615</v>
      </c>
      <c r="B618" s="28">
        <v>2025</v>
      </c>
      <c r="C618" s="29" t="s">
        <v>223</v>
      </c>
      <c r="D618" s="30" t="s">
        <v>235</v>
      </c>
      <c r="E618" s="29">
        <v>29354536</v>
      </c>
      <c r="F618" s="29">
        <v>1179123</v>
      </c>
      <c r="G618" s="30" t="s">
        <v>2220</v>
      </c>
      <c r="H618" s="29">
        <v>306</v>
      </c>
      <c r="I618" s="29">
        <v>1</v>
      </c>
      <c r="J618" s="29"/>
      <c r="K618" s="30"/>
      <c r="L618" s="29" t="s">
        <v>72</v>
      </c>
      <c r="M618" s="31">
        <v>4084.5</v>
      </c>
      <c r="N618" s="31">
        <v>1750.5</v>
      </c>
      <c r="O618" s="31">
        <v>5835</v>
      </c>
      <c r="P618" s="31">
        <f>VLOOKUP(F618,'[3]1ª PARCELA'!$E$5:$H$889,4,FALSE)</f>
        <v>5835</v>
      </c>
      <c r="Q618" s="31" t="b">
        <f t="shared" si="9"/>
        <v>1</v>
      </c>
      <c r="R618" s="32">
        <v>45793</v>
      </c>
      <c r="S618" s="29">
        <v>9173</v>
      </c>
      <c r="T618" s="29" t="s">
        <v>2221</v>
      </c>
      <c r="U618" s="33" t="s">
        <v>2222</v>
      </c>
    </row>
    <row r="619" spans="1:21" ht="28.5" customHeight="1" x14ac:dyDescent="0.3">
      <c r="A619" s="27">
        <v>616</v>
      </c>
      <c r="B619" s="28">
        <v>2025</v>
      </c>
      <c r="C619" s="29" t="s">
        <v>416</v>
      </c>
      <c r="D619" s="30" t="s">
        <v>2223</v>
      </c>
      <c r="E619" s="29">
        <v>29354943</v>
      </c>
      <c r="F619" s="29">
        <v>1176125</v>
      </c>
      <c r="G619" s="30" t="s">
        <v>2224</v>
      </c>
      <c r="H619" s="29">
        <v>502</v>
      </c>
      <c r="I619" s="29">
        <v>1</v>
      </c>
      <c r="J619" s="29"/>
      <c r="K619" s="30"/>
      <c r="L619" s="29" t="s">
        <v>72</v>
      </c>
      <c r="M619" s="31">
        <v>4756</v>
      </c>
      <c r="N619" s="31">
        <v>1189</v>
      </c>
      <c r="O619" s="31">
        <v>5945</v>
      </c>
      <c r="P619" s="31">
        <f>VLOOKUP(F619,'[3]1ª PARCELA'!$E$5:$H$889,4,FALSE)</f>
        <v>5945</v>
      </c>
      <c r="Q619" s="31" t="b">
        <f t="shared" si="9"/>
        <v>1</v>
      </c>
      <c r="R619" s="32">
        <v>45793</v>
      </c>
      <c r="S619" s="29">
        <v>9173</v>
      </c>
      <c r="T619" s="29" t="s">
        <v>2225</v>
      </c>
      <c r="U619" s="33" t="s">
        <v>2226</v>
      </c>
    </row>
    <row r="620" spans="1:21" ht="28.5" customHeight="1" x14ac:dyDescent="0.3">
      <c r="A620" s="27">
        <v>617</v>
      </c>
      <c r="B620" s="28">
        <v>2025</v>
      </c>
      <c r="C620" s="29" t="s">
        <v>961</v>
      </c>
      <c r="D620" s="30" t="s">
        <v>1092</v>
      </c>
      <c r="E620" s="29">
        <v>29357624</v>
      </c>
      <c r="F620" s="29">
        <v>1176202</v>
      </c>
      <c r="G620" s="30" t="s">
        <v>2227</v>
      </c>
      <c r="H620" s="29">
        <v>228</v>
      </c>
      <c r="I620" s="29">
        <v>1</v>
      </c>
      <c r="J620" s="29"/>
      <c r="K620" s="30"/>
      <c r="L620" s="29" t="s">
        <v>72</v>
      </c>
      <c r="M620" s="31">
        <v>2564</v>
      </c>
      <c r="N620" s="31">
        <v>641</v>
      </c>
      <c r="O620" s="31">
        <v>3205</v>
      </c>
      <c r="P620" s="31">
        <f>VLOOKUP(F620,'[3]1ª PARCELA'!$E$5:$H$889,4,FALSE)</f>
        <v>3205</v>
      </c>
      <c r="Q620" s="31" t="b">
        <f t="shared" si="9"/>
        <v>1</v>
      </c>
      <c r="R620" s="32">
        <v>45793</v>
      </c>
      <c r="S620" s="29">
        <v>9173</v>
      </c>
      <c r="T620" s="29" t="s">
        <v>2228</v>
      </c>
      <c r="U620" s="33" t="s">
        <v>2229</v>
      </c>
    </row>
    <row r="621" spans="1:21" ht="28.5" customHeight="1" x14ac:dyDescent="0.3">
      <c r="A621" s="27">
        <v>618</v>
      </c>
      <c r="B621" s="28">
        <v>2025</v>
      </c>
      <c r="C621" s="29" t="s">
        <v>961</v>
      </c>
      <c r="D621" s="30" t="s">
        <v>1092</v>
      </c>
      <c r="E621" s="29">
        <v>29357829</v>
      </c>
      <c r="F621" s="29">
        <v>1176206</v>
      </c>
      <c r="G621" s="30" t="s">
        <v>2230</v>
      </c>
      <c r="H621" s="29">
        <v>253</v>
      </c>
      <c r="I621" s="29">
        <v>1</v>
      </c>
      <c r="J621" s="29"/>
      <c r="K621" s="30"/>
      <c r="L621" s="29" t="s">
        <v>72</v>
      </c>
      <c r="M621" s="31">
        <v>2764</v>
      </c>
      <c r="N621" s="31">
        <v>691</v>
      </c>
      <c r="O621" s="31">
        <v>3455</v>
      </c>
      <c r="P621" s="31">
        <f>VLOOKUP(F621,'[3]1ª PARCELA'!$E$5:$H$889,4,FALSE)</f>
        <v>3455</v>
      </c>
      <c r="Q621" s="31" t="b">
        <f t="shared" si="9"/>
        <v>1</v>
      </c>
      <c r="R621" s="32">
        <v>45793</v>
      </c>
      <c r="S621" s="29">
        <v>9173</v>
      </c>
      <c r="T621" s="29" t="s">
        <v>2231</v>
      </c>
      <c r="U621" s="33" t="s">
        <v>2232</v>
      </c>
    </row>
    <row r="622" spans="1:21" ht="28.5" customHeight="1" x14ac:dyDescent="0.3">
      <c r="A622" s="27">
        <v>619</v>
      </c>
      <c r="B622" s="28">
        <v>2025</v>
      </c>
      <c r="C622" s="29" t="s">
        <v>961</v>
      </c>
      <c r="D622" s="30" t="s">
        <v>1092</v>
      </c>
      <c r="E622" s="29">
        <v>29357861</v>
      </c>
      <c r="F622" s="29">
        <v>1176377</v>
      </c>
      <c r="G622" s="30" t="s">
        <v>2233</v>
      </c>
      <c r="H622" s="29">
        <v>802</v>
      </c>
      <c r="I622" s="29">
        <v>1</v>
      </c>
      <c r="J622" s="29"/>
      <c r="K622" s="30"/>
      <c r="L622" s="29" t="s">
        <v>72</v>
      </c>
      <c r="M622" s="31">
        <v>7156</v>
      </c>
      <c r="N622" s="31">
        <v>1789</v>
      </c>
      <c r="O622" s="31">
        <v>8945</v>
      </c>
      <c r="P622" s="31">
        <f>VLOOKUP(F622,'[3]1ª PARCELA'!$E$5:$H$889,4,FALSE)</f>
        <v>8945</v>
      </c>
      <c r="Q622" s="31" t="b">
        <f t="shared" si="9"/>
        <v>1</v>
      </c>
      <c r="R622" s="32">
        <v>45867</v>
      </c>
      <c r="S622" s="29">
        <v>16705</v>
      </c>
      <c r="T622" s="29" t="s">
        <v>2234</v>
      </c>
      <c r="U622" s="33" t="s">
        <v>2235</v>
      </c>
    </row>
    <row r="623" spans="1:21" ht="28.5" customHeight="1" x14ac:dyDescent="0.3">
      <c r="A623" s="27">
        <v>620</v>
      </c>
      <c r="B623" s="28">
        <v>2025</v>
      </c>
      <c r="C623" s="29" t="s">
        <v>961</v>
      </c>
      <c r="D623" s="30" t="s">
        <v>1092</v>
      </c>
      <c r="E623" s="29">
        <v>29357896</v>
      </c>
      <c r="F623" s="29">
        <v>1176391</v>
      </c>
      <c r="G623" s="30" t="s">
        <v>2236</v>
      </c>
      <c r="H623" s="29">
        <v>885</v>
      </c>
      <c r="I623" s="29">
        <v>1</v>
      </c>
      <c r="J623" s="29"/>
      <c r="K623" s="30"/>
      <c r="L623" s="29" t="s">
        <v>72</v>
      </c>
      <c r="M623" s="31">
        <v>7820</v>
      </c>
      <c r="N623" s="31">
        <v>1955</v>
      </c>
      <c r="O623" s="31">
        <v>9775</v>
      </c>
      <c r="P623" s="31">
        <f>VLOOKUP(F623,'[3]1ª PARCELA'!$E$5:$H$889,4,FALSE)</f>
        <v>9775</v>
      </c>
      <c r="Q623" s="31" t="b">
        <f t="shared" si="9"/>
        <v>1</v>
      </c>
      <c r="R623" s="32">
        <v>45967</v>
      </c>
      <c r="S623" s="29">
        <v>29630</v>
      </c>
      <c r="T623" s="29" t="s">
        <v>2237</v>
      </c>
      <c r="U623" s="33" t="s">
        <v>2238</v>
      </c>
    </row>
    <row r="624" spans="1:21" ht="28.5" customHeight="1" x14ac:dyDescent="0.3">
      <c r="A624" s="27">
        <v>621</v>
      </c>
      <c r="B624" s="28">
        <v>2025</v>
      </c>
      <c r="C624" s="29" t="s">
        <v>961</v>
      </c>
      <c r="D624" s="30" t="s">
        <v>1092</v>
      </c>
      <c r="E624" s="29">
        <v>29358140</v>
      </c>
      <c r="F624" s="29">
        <v>1176390</v>
      </c>
      <c r="G624" s="30" t="s">
        <v>2239</v>
      </c>
      <c r="H624" s="29">
        <v>423</v>
      </c>
      <c r="I624" s="29">
        <v>1</v>
      </c>
      <c r="J624" s="29"/>
      <c r="K624" s="30"/>
      <c r="L624" s="29" t="s">
        <v>72</v>
      </c>
      <c r="M624" s="31">
        <v>4124</v>
      </c>
      <c r="N624" s="31">
        <v>1031</v>
      </c>
      <c r="O624" s="31">
        <v>5155</v>
      </c>
      <c r="P624" s="31">
        <f>VLOOKUP(F624,'[3]1ª PARCELA'!$E$5:$H$889,4,FALSE)</f>
        <v>5155</v>
      </c>
      <c r="Q624" s="31" t="b">
        <f t="shared" si="9"/>
        <v>1</v>
      </c>
      <c r="R624" s="32">
        <v>45926</v>
      </c>
      <c r="S624" s="29">
        <v>24529</v>
      </c>
      <c r="T624" s="29" t="s">
        <v>2240</v>
      </c>
      <c r="U624" s="33" t="s">
        <v>2241</v>
      </c>
    </row>
    <row r="625" spans="1:21" ht="28.5" customHeight="1" x14ac:dyDescent="0.3">
      <c r="A625" s="27">
        <v>622</v>
      </c>
      <c r="B625" s="28">
        <v>2025</v>
      </c>
      <c r="C625" s="29" t="s">
        <v>961</v>
      </c>
      <c r="D625" s="30" t="s">
        <v>1092</v>
      </c>
      <c r="E625" s="29">
        <v>29359597</v>
      </c>
      <c r="F625" s="29">
        <v>1176205</v>
      </c>
      <c r="G625" s="30" t="s">
        <v>1030</v>
      </c>
      <c r="H625" s="29">
        <v>479</v>
      </c>
      <c r="I625" s="29">
        <v>1</v>
      </c>
      <c r="J625" s="29"/>
      <c r="K625" s="30"/>
      <c r="L625" s="29" t="s">
        <v>72</v>
      </c>
      <c r="M625" s="31">
        <v>5295.5</v>
      </c>
      <c r="N625" s="31">
        <v>2269.5</v>
      </c>
      <c r="O625" s="31">
        <v>7565</v>
      </c>
      <c r="P625" s="31">
        <f>VLOOKUP(F625,'[3]1ª PARCELA'!$E$5:$H$889,4,FALSE)</f>
        <v>7565</v>
      </c>
      <c r="Q625" s="31" t="b">
        <f t="shared" si="9"/>
        <v>1</v>
      </c>
      <c r="R625" s="32">
        <v>45793</v>
      </c>
      <c r="S625" s="29">
        <v>9173</v>
      </c>
      <c r="T625" s="29" t="s">
        <v>2242</v>
      </c>
      <c r="U625" s="33" t="s">
        <v>2243</v>
      </c>
    </row>
    <row r="626" spans="1:21" ht="28.5" customHeight="1" x14ac:dyDescent="0.3">
      <c r="A626" s="27">
        <v>623</v>
      </c>
      <c r="B626" s="28">
        <v>2025</v>
      </c>
      <c r="C626" s="29" t="s">
        <v>961</v>
      </c>
      <c r="D626" s="30" t="s">
        <v>1072</v>
      </c>
      <c r="E626" s="29">
        <v>29359635</v>
      </c>
      <c r="F626" s="29">
        <v>1176364</v>
      </c>
      <c r="G626" s="30" t="s">
        <v>2244</v>
      </c>
      <c r="H626" s="29">
        <v>1378</v>
      </c>
      <c r="I626" s="29">
        <v>1</v>
      </c>
      <c r="J626" s="29"/>
      <c r="K626" s="30"/>
      <c r="L626" s="29" t="s">
        <v>72</v>
      </c>
      <c r="M626" s="31">
        <v>11764</v>
      </c>
      <c r="N626" s="31">
        <v>2941</v>
      </c>
      <c r="O626" s="31">
        <v>14705</v>
      </c>
      <c r="P626" s="31">
        <f>VLOOKUP(F626,'[3]1ª PARCELA'!$E$5:$H$889,4,FALSE)</f>
        <v>14705</v>
      </c>
      <c r="Q626" s="31" t="b">
        <f t="shared" si="9"/>
        <v>1</v>
      </c>
      <c r="R626" s="32">
        <v>45833</v>
      </c>
      <c r="S626" s="29">
        <v>13120</v>
      </c>
      <c r="T626" s="29" t="s">
        <v>2245</v>
      </c>
      <c r="U626" s="33" t="s">
        <v>2246</v>
      </c>
    </row>
    <row r="627" spans="1:21" ht="28.5" customHeight="1" x14ac:dyDescent="0.3">
      <c r="A627" s="27">
        <v>624</v>
      </c>
      <c r="B627" s="28">
        <v>2025</v>
      </c>
      <c r="C627" s="29" t="s">
        <v>1526</v>
      </c>
      <c r="D627" s="30" t="s">
        <v>2247</v>
      </c>
      <c r="E627" s="29">
        <v>29359805</v>
      </c>
      <c r="F627" s="29">
        <v>1176379</v>
      </c>
      <c r="G627" s="30" t="s">
        <v>2248</v>
      </c>
      <c r="H627" s="29">
        <v>592</v>
      </c>
      <c r="I627" s="29">
        <v>1</v>
      </c>
      <c r="J627" s="29"/>
      <c r="K627" s="30"/>
      <c r="L627" s="29" t="s">
        <v>72</v>
      </c>
      <c r="M627" s="31">
        <v>5476</v>
      </c>
      <c r="N627" s="31">
        <v>1369</v>
      </c>
      <c r="O627" s="31">
        <v>6845</v>
      </c>
      <c r="P627" s="31">
        <f>VLOOKUP(F627,'[3]1ª PARCELA'!$E$5:$H$889,4,FALSE)</f>
        <v>6845</v>
      </c>
      <c r="Q627" s="31" t="b">
        <f t="shared" si="9"/>
        <v>1</v>
      </c>
      <c r="R627" s="32">
        <v>45793</v>
      </c>
      <c r="S627" s="29">
        <v>9173</v>
      </c>
      <c r="T627" s="29" t="s">
        <v>2249</v>
      </c>
      <c r="U627" s="33" t="s">
        <v>2250</v>
      </c>
    </row>
    <row r="628" spans="1:21" ht="28.5" customHeight="1" x14ac:dyDescent="0.3">
      <c r="A628" s="27">
        <v>625</v>
      </c>
      <c r="B628" s="28">
        <v>2025</v>
      </c>
      <c r="C628" s="29" t="s">
        <v>961</v>
      </c>
      <c r="D628" s="30" t="s">
        <v>1092</v>
      </c>
      <c r="E628" s="29">
        <v>29360960</v>
      </c>
      <c r="F628" s="29">
        <v>1176210</v>
      </c>
      <c r="G628" s="30" t="s">
        <v>2251</v>
      </c>
      <c r="H628" s="29">
        <v>344</v>
      </c>
      <c r="I628" s="29">
        <v>1</v>
      </c>
      <c r="J628" s="29"/>
      <c r="K628" s="30"/>
      <c r="L628" s="29" t="s">
        <v>72</v>
      </c>
      <c r="M628" s="31">
        <v>3492</v>
      </c>
      <c r="N628" s="31">
        <v>873</v>
      </c>
      <c r="O628" s="31">
        <v>4365</v>
      </c>
      <c r="P628" s="31">
        <f>VLOOKUP(F628,'[3]1ª PARCELA'!$E$5:$H$889,4,FALSE)</f>
        <v>4365</v>
      </c>
      <c r="Q628" s="31" t="b">
        <f t="shared" si="9"/>
        <v>1</v>
      </c>
      <c r="R628" s="32">
        <v>45967</v>
      </c>
      <c r="S628" s="29">
        <v>29630</v>
      </c>
      <c r="T628" s="29" t="s">
        <v>2252</v>
      </c>
      <c r="U628" s="33" t="s">
        <v>2253</v>
      </c>
    </row>
    <row r="629" spans="1:21" ht="28.5" customHeight="1" x14ac:dyDescent="0.3">
      <c r="A629" s="27">
        <v>626</v>
      </c>
      <c r="B629" s="28">
        <v>2025</v>
      </c>
      <c r="C629" s="29" t="s">
        <v>961</v>
      </c>
      <c r="D629" s="30" t="s">
        <v>1053</v>
      </c>
      <c r="E629" s="29">
        <v>29362016</v>
      </c>
      <c r="F629" s="29">
        <v>1178399</v>
      </c>
      <c r="G629" s="30" t="s">
        <v>2254</v>
      </c>
      <c r="H629" s="29">
        <v>985</v>
      </c>
      <c r="I629" s="29">
        <v>1</v>
      </c>
      <c r="J629" s="29"/>
      <c r="K629" s="30"/>
      <c r="L629" s="29" t="s">
        <v>72</v>
      </c>
      <c r="M629" s="31">
        <v>6465</v>
      </c>
      <c r="N629" s="31">
        <v>4310</v>
      </c>
      <c r="O629" s="31">
        <v>10775</v>
      </c>
      <c r="P629" s="31">
        <f>VLOOKUP(F629,'[3]1ª PARCELA'!$E$5:$H$889,4,FALSE)</f>
        <v>10775</v>
      </c>
      <c r="Q629" s="31" t="b">
        <f t="shared" si="9"/>
        <v>1</v>
      </c>
      <c r="R629" s="32">
        <v>45867</v>
      </c>
      <c r="S629" s="29">
        <v>16705</v>
      </c>
      <c r="T629" s="29" t="s">
        <v>2255</v>
      </c>
      <c r="U629" s="33" t="s">
        <v>2256</v>
      </c>
    </row>
    <row r="630" spans="1:21" ht="28.5" customHeight="1" x14ac:dyDescent="0.3">
      <c r="A630" s="27">
        <v>627</v>
      </c>
      <c r="B630" s="28">
        <v>2025</v>
      </c>
      <c r="C630" s="29" t="s">
        <v>718</v>
      </c>
      <c r="D630" s="30" t="s">
        <v>853</v>
      </c>
      <c r="E630" s="29">
        <v>29365430</v>
      </c>
      <c r="F630" s="29">
        <v>1166427</v>
      </c>
      <c r="G630" s="30" t="s">
        <v>2257</v>
      </c>
      <c r="H630" s="29">
        <v>169</v>
      </c>
      <c r="I630" s="29">
        <v>1</v>
      </c>
      <c r="J630" s="29"/>
      <c r="K630" s="30"/>
      <c r="L630" s="29" t="s">
        <v>72</v>
      </c>
      <c r="M630" s="31">
        <v>3125.5</v>
      </c>
      <c r="N630" s="31">
        <v>1339.5</v>
      </c>
      <c r="O630" s="31">
        <v>4465</v>
      </c>
      <c r="P630" s="31">
        <f>VLOOKUP(F630,'[3]1ª PARCELA'!$E$5:$H$889,4,FALSE)</f>
        <v>4465</v>
      </c>
      <c r="Q630" s="31" t="b">
        <f t="shared" si="9"/>
        <v>1</v>
      </c>
      <c r="R630" s="32">
        <v>45926</v>
      </c>
      <c r="S630" s="29">
        <v>24529</v>
      </c>
      <c r="T630" s="29" t="s">
        <v>2258</v>
      </c>
      <c r="U630" s="33" t="s">
        <v>2259</v>
      </c>
    </row>
    <row r="631" spans="1:21" ht="28.5" customHeight="1" x14ac:dyDescent="0.3">
      <c r="A631" s="27">
        <v>628</v>
      </c>
      <c r="B631" s="28">
        <v>2025</v>
      </c>
      <c r="C631" s="29" t="s">
        <v>223</v>
      </c>
      <c r="D631" s="30" t="s">
        <v>235</v>
      </c>
      <c r="E631" s="29">
        <v>29366739</v>
      </c>
      <c r="F631" s="29">
        <v>1179204</v>
      </c>
      <c r="G631" s="30" t="s">
        <v>2260</v>
      </c>
      <c r="H631" s="29">
        <v>131</v>
      </c>
      <c r="I631" s="29">
        <v>1</v>
      </c>
      <c r="J631" s="29"/>
      <c r="K631" s="30"/>
      <c r="L631" s="29" t="s">
        <v>72</v>
      </c>
      <c r="M631" s="31">
        <v>2859.5</v>
      </c>
      <c r="N631" s="31">
        <v>1225.5</v>
      </c>
      <c r="O631" s="31">
        <v>4085</v>
      </c>
      <c r="P631" s="31">
        <f>VLOOKUP(F631,'[3]1ª PARCELA'!$E$5:$H$889,4,FALSE)</f>
        <v>4085</v>
      </c>
      <c r="Q631" s="31" t="b">
        <f t="shared" si="9"/>
        <v>1</v>
      </c>
      <c r="R631" s="32">
        <v>45793</v>
      </c>
      <c r="S631" s="29">
        <v>9173</v>
      </c>
      <c r="T631" s="29" t="s">
        <v>2261</v>
      </c>
      <c r="U631" s="33" t="s">
        <v>2262</v>
      </c>
    </row>
    <row r="632" spans="1:21" ht="28.5" customHeight="1" x14ac:dyDescent="0.3">
      <c r="A632" s="27">
        <v>629</v>
      </c>
      <c r="B632" s="28">
        <v>2025</v>
      </c>
      <c r="C632" s="29" t="s">
        <v>2101</v>
      </c>
      <c r="D632" s="30" t="s">
        <v>2160</v>
      </c>
      <c r="E632" s="29">
        <v>29368219</v>
      </c>
      <c r="F632" s="29">
        <v>1176217</v>
      </c>
      <c r="G632" s="30" t="s">
        <v>2263</v>
      </c>
      <c r="H632" s="29">
        <v>1546</v>
      </c>
      <c r="I632" s="29">
        <v>1</v>
      </c>
      <c r="J632" s="29"/>
      <c r="K632" s="30"/>
      <c r="L632" s="29" t="s">
        <v>72</v>
      </c>
      <c r="M632" s="31">
        <v>11469.5</v>
      </c>
      <c r="N632" s="31">
        <v>4915.5</v>
      </c>
      <c r="O632" s="31">
        <v>16385</v>
      </c>
      <c r="P632" s="31">
        <f>VLOOKUP(F632,'[3]1ª PARCELA'!$E$5:$H$889,4,FALSE)</f>
        <v>16385</v>
      </c>
      <c r="Q632" s="31" t="b">
        <f t="shared" si="9"/>
        <v>1</v>
      </c>
      <c r="R632" s="32">
        <v>45793</v>
      </c>
      <c r="S632" s="29">
        <v>9173</v>
      </c>
      <c r="T632" s="29" t="s">
        <v>2264</v>
      </c>
      <c r="U632" s="33" t="s">
        <v>2265</v>
      </c>
    </row>
    <row r="633" spans="1:21" ht="28.5" customHeight="1" x14ac:dyDescent="0.3">
      <c r="A633" s="27">
        <v>630</v>
      </c>
      <c r="B633" s="28">
        <v>2025</v>
      </c>
      <c r="C633" s="29" t="s">
        <v>534</v>
      </c>
      <c r="D633" s="30" t="s">
        <v>1593</v>
      </c>
      <c r="E633" s="29">
        <v>29369053</v>
      </c>
      <c r="F633" s="29">
        <v>1176399</v>
      </c>
      <c r="G633" s="30" t="s">
        <v>2266</v>
      </c>
      <c r="H633" s="29">
        <v>436</v>
      </c>
      <c r="I633" s="29">
        <v>1</v>
      </c>
      <c r="J633" s="29"/>
      <c r="K633" s="30"/>
      <c r="L633" s="29" t="s">
        <v>72</v>
      </c>
      <c r="M633" s="31">
        <v>2114</v>
      </c>
      <c r="N633" s="31">
        <v>3171</v>
      </c>
      <c r="O633" s="31">
        <v>5285</v>
      </c>
      <c r="P633" s="31">
        <f>VLOOKUP(F633,'[3]1ª PARCELA'!$E$5:$H$889,4,FALSE)</f>
        <v>5285</v>
      </c>
      <c r="Q633" s="31" t="b">
        <f t="shared" si="9"/>
        <v>1</v>
      </c>
      <c r="R633" s="32">
        <v>45926</v>
      </c>
      <c r="S633" s="29">
        <v>24529</v>
      </c>
      <c r="T633" s="29" t="s">
        <v>2267</v>
      </c>
      <c r="U633" s="33" t="s">
        <v>2268</v>
      </c>
    </row>
    <row r="634" spans="1:21" ht="28.5" customHeight="1" x14ac:dyDescent="0.3">
      <c r="A634" s="27">
        <v>631</v>
      </c>
      <c r="B634" s="28">
        <v>2025</v>
      </c>
      <c r="C634" s="29" t="s">
        <v>223</v>
      </c>
      <c r="D634" s="30" t="s">
        <v>235</v>
      </c>
      <c r="E634" s="29">
        <v>29373018</v>
      </c>
      <c r="F634" s="29">
        <v>1179203</v>
      </c>
      <c r="G634" s="30" t="s">
        <v>2269</v>
      </c>
      <c r="H634" s="29">
        <v>59</v>
      </c>
      <c r="I634" s="29">
        <v>1</v>
      </c>
      <c r="J634" s="29"/>
      <c r="K634" s="30"/>
      <c r="L634" s="29" t="s">
        <v>72</v>
      </c>
      <c r="M634" s="31">
        <v>1009.5</v>
      </c>
      <c r="N634" s="31">
        <v>2355.5</v>
      </c>
      <c r="O634" s="31">
        <v>3365</v>
      </c>
      <c r="P634" s="31">
        <f>VLOOKUP(F634,'[3]1ª PARCELA'!$E$5:$H$889,4,FALSE)</f>
        <v>3365</v>
      </c>
      <c r="Q634" s="31" t="b">
        <f t="shared" si="9"/>
        <v>1</v>
      </c>
      <c r="R634" s="32">
        <v>45793</v>
      </c>
      <c r="S634" s="29">
        <v>9173</v>
      </c>
      <c r="T634" s="29" t="s">
        <v>2270</v>
      </c>
      <c r="U634" s="33" t="s">
        <v>2271</v>
      </c>
    </row>
    <row r="635" spans="1:21" ht="28.5" customHeight="1" x14ac:dyDescent="0.3">
      <c r="A635" s="27">
        <v>632</v>
      </c>
      <c r="B635" s="28">
        <v>2025</v>
      </c>
      <c r="C635" s="29" t="s">
        <v>961</v>
      </c>
      <c r="D635" s="30" t="s">
        <v>1092</v>
      </c>
      <c r="E635" s="29">
        <v>29374677</v>
      </c>
      <c r="F635" s="29">
        <v>1176392</v>
      </c>
      <c r="G635" s="30" t="s">
        <v>2272</v>
      </c>
      <c r="H635" s="29">
        <v>399</v>
      </c>
      <c r="I635" s="29">
        <v>1</v>
      </c>
      <c r="J635" s="29"/>
      <c r="K635" s="30"/>
      <c r="L635" s="29" t="s">
        <v>72</v>
      </c>
      <c r="M635" s="31">
        <v>3932</v>
      </c>
      <c r="N635" s="31">
        <v>983</v>
      </c>
      <c r="O635" s="31">
        <v>4915</v>
      </c>
      <c r="P635" s="31">
        <f>VLOOKUP(F635,'[3]1ª PARCELA'!$E$5:$H$889,4,FALSE)</f>
        <v>4915</v>
      </c>
      <c r="Q635" s="31" t="b">
        <f t="shared" si="9"/>
        <v>1</v>
      </c>
      <c r="R635" s="32">
        <v>45938</v>
      </c>
      <c r="S635" s="29">
        <v>25952</v>
      </c>
      <c r="T635" s="29" t="s">
        <v>2273</v>
      </c>
      <c r="U635" s="33" t="s">
        <v>2274</v>
      </c>
    </row>
    <row r="636" spans="1:21" ht="28.5" customHeight="1" x14ac:dyDescent="0.3">
      <c r="A636" s="27">
        <v>633</v>
      </c>
      <c r="B636" s="28">
        <v>2025</v>
      </c>
      <c r="C636" s="29" t="s">
        <v>69</v>
      </c>
      <c r="D636" s="30" t="s">
        <v>2275</v>
      </c>
      <c r="E636" s="29">
        <v>29379423</v>
      </c>
      <c r="F636" s="29">
        <v>1171390</v>
      </c>
      <c r="G636" s="30" t="s">
        <v>2276</v>
      </c>
      <c r="H636" s="29">
        <v>1411</v>
      </c>
      <c r="I636" s="29">
        <v>1</v>
      </c>
      <c r="J636" s="29"/>
      <c r="K636" s="30"/>
      <c r="L636" s="29" t="s">
        <v>72</v>
      </c>
      <c r="M636" s="31">
        <v>12028</v>
      </c>
      <c r="N636" s="31">
        <v>3007</v>
      </c>
      <c r="O636" s="31">
        <v>15035</v>
      </c>
      <c r="P636" s="31">
        <f>VLOOKUP(F636,'[3]1ª PARCELA'!$E$5:$H$889,4,FALSE)</f>
        <v>15035</v>
      </c>
      <c r="Q636" s="31" t="b">
        <f t="shared" si="9"/>
        <v>1</v>
      </c>
      <c r="R636" s="32">
        <v>45793</v>
      </c>
      <c r="S636" s="29">
        <v>9173</v>
      </c>
      <c r="T636" s="29" t="s">
        <v>2277</v>
      </c>
      <c r="U636" s="33" t="s">
        <v>2278</v>
      </c>
    </row>
    <row r="637" spans="1:21" ht="28.5" customHeight="1" x14ac:dyDescent="0.3">
      <c r="A637" s="27">
        <v>634</v>
      </c>
      <c r="B637" s="28">
        <v>2025</v>
      </c>
      <c r="C637" s="29" t="s">
        <v>69</v>
      </c>
      <c r="D637" s="30" t="s">
        <v>75</v>
      </c>
      <c r="E637" s="29">
        <v>29383218</v>
      </c>
      <c r="F637" s="29">
        <v>1129939</v>
      </c>
      <c r="G637" s="30" t="s">
        <v>2279</v>
      </c>
      <c r="H637" s="29">
        <v>570</v>
      </c>
      <c r="I637" s="29">
        <v>1</v>
      </c>
      <c r="J637" s="29"/>
      <c r="K637" s="30"/>
      <c r="L637" s="29" t="s">
        <v>72</v>
      </c>
      <c r="M637" s="31">
        <v>5300</v>
      </c>
      <c r="N637" s="31">
        <v>1325</v>
      </c>
      <c r="O637" s="31">
        <v>6625</v>
      </c>
      <c r="P637" s="31">
        <f>VLOOKUP(F637,'[3]1ª PARCELA'!$E$5:$H$889,4,FALSE)</f>
        <v>6625</v>
      </c>
      <c r="Q637" s="31" t="b">
        <f t="shared" si="9"/>
        <v>1</v>
      </c>
      <c r="R637" s="32">
        <v>45793</v>
      </c>
      <c r="S637" s="29">
        <v>9173</v>
      </c>
      <c r="T637" s="29" t="s">
        <v>2280</v>
      </c>
      <c r="U637" s="33" t="s">
        <v>2281</v>
      </c>
    </row>
    <row r="638" spans="1:21" ht="28.5" customHeight="1" x14ac:dyDescent="0.3">
      <c r="A638" s="27">
        <v>635</v>
      </c>
      <c r="B638" s="28">
        <v>2025</v>
      </c>
      <c r="C638" s="29" t="s">
        <v>961</v>
      </c>
      <c r="D638" s="30" t="s">
        <v>1063</v>
      </c>
      <c r="E638" s="29">
        <v>29383234</v>
      </c>
      <c r="F638" s="29">
        <v>1176410</v>
      </c>
      <c r="G638" s="30" t="s">
        <v>2282</v>
      </c>
      <c r="H638" s="29">
        <v>712</v>
      </c>
      <c r="I638" s="29">
        <v>1</v>
      </c>
      <c r="J638" s="29"/>
      <c r="K638" s="30"/>
      <c r="L638" s="29" t="s">
        <v>72</v>
      </c>
      <c r="M638" s="31">
        <v>6436</v>
      </c>
      <c r="N638" s="31">
        <v>1609</v>
      </c>
      <c r="O638" s="31">
        <v>8045</v>
      </c>
      <c r="P638" s="31">
        <f>VLOOKUP(F638,'[3]1ª PARCELA'!$E$5:$H$889,4,FALSE)</f>
        <v>8045</v>
      </c>
      <c r="Q638" s="31" t="b">
        <f t="shared" si="9"/>
        <v>1</v>
      </c>
      <c r="R638" s="32">
        <v>45926</v>
      </c>
      <c r="S638" s="29">
        <v>24529</v>
      </c>
      <c r="T638" s="29" t="s">
        <v>2283</v>
      </c>
      <c r="U638" s="33" t="s">
        <v>2284</v>
      </c>
    </row>
    <row r="639" spans="1:21" ht="28.5" customHeight="1" x14ac:dyDescent="0.3">
      <c r="A639" s="27">
        <v>636</v>
      </c>
      <c r="B639" s="28">
        <v>2025</v>
      </c>
      <c r="C639" s="29" t="s">
        <v>1491</v>
      </c>
      <c r="D639" s="30" t="s">
        <v>2285</v>
      </c>
      <c r="E639" s="29">
        <v>29384389</v>
      </c>
      <c r="F639" s="29">
        <v>1176458</v>
      </c>
      <c r="G639" s="30" t="s">
        <v>2286</v>
      </c>
      <c r="H639" s="29">
        <v>461</v>
      </c>
      <c r="I639" s="29">
        <v>1</v>
      </c>
      <c r="J639" s="29"/>
      <c r="K639" s="30"/>
      <c r="L639" s="29" t="s">
        <v>72</v>
      </c>
      <c r="M639" s="31">
        <v>2767.5</v>
      </c>
      <c r="N639" s="31">
        <v>2767.5</v>
      </c>
      <c r="O639" s="31">
        <v>5535</v>
      </c>
      <c r="P639" s="31">
        <f>VLOOKUP(F639,'[3]1ª PARCELA'!$E$5:$H$889,4,FALSE)</f>
        <v>5535</v>
      </c>
      <c r="Q639" s="31" t="b">
        <f t="shared" si="9"/>
        <v>1</v>
      </c>
      <c r="R639" s="32">
        <v>45954</v>
      </c>
      <c r="S639" s="29">
        <v>28607</v>
      </c>
      <c r="T639" s="29" t="s">
        <v>2287</v>
      </c>
      <c r="U639" s="33" t="s">
        <v>2288</v>
      </c>
    </row>
    <row r="640" spans="1:21" ht="28.5" customHeight="1" x14ac:dyDescent="0.3">
      <c r="A640" s="27">
        <v>637</v>
      </c>
      <c r="B640" s="28">
        <v>2025</v>
      </c>
      <c r="C640" s="29" t="s">
        <v>1491</v>
      </c>
      <c r="D640" s="30" t="s">
        <v>2289</v>
      </c>
      <c r="E640" s="29">
        <v>29384400</v>
      </c>
      <c r="F640" s="29">
        <v>1176443</v>
      </c>
      <c r="G640" s="30" t="s">
        <v>2290</v>
      </c>
      <c r="H640" s="29">
        <v>643</v>
      </c>
      <c r="I640" s="29">
        <v>1</v>
      </c>
      <c r="J640" s="29"/>
      <c r="K640" s="30"/>
      <c r="L640" s="29" t="s">
        <v>72</v>
      </c>
      <c r="M640" s="31">
        <v>5884</v>
      </c>
      <c r="N640" s="31">
        <v>1471</v>
      </c>
      <c r="O640" s="31">
        <v>7355</v>
      </c>
      <c r="P640" s="31">
        <f>VLOOKUP(F640,'[3]1ª PARCELA'!$E$5:$H$889,4,FALSE)</f>
        <v>7355</v>
      </c>
      <c r="Q640" s="31" t="b">
        <f t="shared" si="9"/>
        <v>1</v>
      </c>
      <c r="R640" s="32">
        <v>45945</v>
      </c>
      <c r="S640" s="29">
        <v>27117</v>
      </c>
      <c r="T640" s="29" t="s">
        <v>2291</v>
      </c>
      <c r="U640" s="33" t="s">
        <v>2292</v>
      </c>
    </row>
    <row r="641" spans="1:21" ht="28.5" customHeight="1" x14ac:dyDescent="0.3">
      <c r="A641" s="27">
        <v>638</v>
      </c>
      <c r="B641" s="28">
        <v>2025</v>
      </c>
      <c r="C641" s="29" t="s">
        <v>375</v>
      </c>
      <c r="D641" s="30" t="s">
        <v>1535</v>
      </c>
      <c r="E641" s="29">
        <v>29385253</v>
      </c>
      <c r="F641" s="29">
        <v>1176466</v>
      </c>
      <c r="G641" s="30" t="s">
        <v>2293</v>
      </c>
      <c r="H641" s="29">
        <v>745</v>
      </c>
      <c r="I641" s="29">
        <v>1</v>
      </c>
      <c r="J641" s="29"/>
      <c r="K641" s="30"/>
      <c r="L641" s="29" t="s">
        <v>72</v>
      </c>
      <c r="M641" s="31">
        <v>4606.25</v>
      </c>
      <c r="N641" s="31">
        <v>3768.75</v>
      </c>
      <c r="O641" s="31">
        <v>8375</v>
      </c>
      <c r="P641" s="31">
        <f>VLOOKUP(F641,'[3]1ª PARCELA'!$E$5:$H$889,4,FALSE)</f>
        <v>8375</v>
      </c>
      <c r="Q641" s="31" t="b">
        <f t="shared" si="9"/>
        <v>1</v>
      </c>
      <c r="R641" s="32">
        <v>45967</v>
      </c>
      <c r="S641" s="29">
        <v>29630</v>
      </c>
      <c r="T641" s="29" t="s">
        <v>2294</v>
      </c>
      <c r="U641" s="33" t="s">
        <v>2295</v>
      </c>
    </row>
    <row r="642" spans="1:21" ht="28.5" customHeight="1" x14ac:dyDescent="0.3">
      <c r="A642" s="27">
        <v>639</v>
      </c>
      <c r="B642" s="28">
        <v>2025</v>
      </c>
      <c r="C642" s="29" t="s">
        <v>263</v>
      </c>
      <c r="D642" s="30" t="s">
        <v>277</v>
      </c>
      <c r="E642" s="29">
        <v>29385334</v>
      </c>
      <c r="F642" s="29">
        <v>1176437</v>
      </c>
      <c r="G642" s="30" t="s">
        <v>2296</v>
      </c>
      <c r="H642" s="29">
        <v>1163</v>
      </c>
      <c r="I642" s="29">
        <v>1</v>
      </c>
      <c r="J642" s="29"/>
      <c r="K642" s="30"/>
      <c r="L642" s="29" t="s">
        <v>72</v>
      </c>
      <c r="M642" s="31">
        <v>10044</v>
      </c>
      <c r="N642" s="31">
        <v>2511</v>
      </c>
      <c r="O642" s="31">
        <v>12555</v>
      </c>
      <c r="P642" s="31">
        <f>VLOOKUP(F642,'[3]1ª PARCELA'!$E$5:$H$889,4,FALSE)</f>
        <v>12555</v>
      </c>
      <c r="Q642" s="31" t="b">
        <f t="shared" si="9"/>
        <v>1</v>
      </c>
      <c r="R642" s="32">
        <v>45793</v>
      </c>
      <c r="S642" s="29">
        <v>9173</v>
      </c>
      <c r="T642" s="29" t="s">
        <v>2297</v>
      </c>
      <c r="U642" s="33" t="s">
        <v>2298</v>
      </c>
    </row>
    <row r="643" spans="1:21" ht="28.5" customHeight="1" x14ac:dyDescent="0.3">
      <c r="A643" s="27">
        <v>640</v>
      </c>
      <c r="B643" s="28">
        <v>2025</v>
      </c>
      <c r="C643" s="29" t="s">
        <v>1906</v>
      </c>
      <c r="D643" s="30" t="s">
        <v>1985</v>
      </c>
      <c r="E643" s="29">
        <v>29386284</v>
      </c>
      <c r="F643" s="29">
        <v>1176424</v>
      </c>
      <c r="G643" s="30" t="s">
        <v>2299</v>
      </c>
      <c r="H643" s="29">
        <v>430</v>
      </c>
      <c r="I643" s="29">
        <v>1</v>
      </c>
      <c r="J643" s="29"/>
      <c r="K643" s="30"/>
      <c r="L643" s="29" t="s">
        <v>72</v>
      </c>
      <c r="M643" s="31">
        <v>3657.5</v>
      </c>
      <c r="N643" s="31">
        <v>1567.5</v>
      </c>
      <c r="O643" s="31">
        <v>5225</v>
      </c>
      <c r="P643" s="31">
        <f>VLOOKUP(F643,'[3]1ª PARCELA'!$E$5:$H$889,4,FALSE)</f>
        <v>5225</v>
      </c>
      <c r="Q643" s="31" t="b">
        <f t="shared" si="9"/>
        <v>1</v>
      </c>
      <c r="R643" s="32">
        <v>45833</v>
      </c>
      <c r="S643" s="29">
        <v>13120</v>
      </c>
      <c r="T643" s="29" t="s">
        <v>2300</v>
      </c>
      <c r="U643" s="33" t="s">
        <v>2301</v>
      </c>
    </row>
    <row r="644" spans="1:21" ht="28.5" customHeight="1" x14ac:dyDescent="0.3">
      <c r="A644" s="27">
        <v>641</v>
      </c>
      <c r="B644" s="28">
        <v>2025</v>
      </c>
      <c r="C644" s="29" t="s">
        <v>506</v>
      </c>
      <c r="D644" s="30" t="s">
        <v>539</v>
      </c>
      <c r="E644" s="29">
        <v>29387728</v>
      </c>
      <c r="F644" s="29">
        <v>1176448</v>
      </c>
      <c r="G644" s="30" t="s">
        <v>2302</v>
      </c>
      <c r="H644" s="29">
        <v>364</v>
      </c>
      <c r="I644" s="29">
        <v>1</v>
      </c>
      <c r="J644" s="29"/>
      <c r="K644" s="30"/>
      <c r="L644" s="29" t="s">
        <v>72</v>
      </c>
      <c r="M644" s="31">
        <v>3652</v>
      </c>
      <c r="N644" s="31">
        <v>913</v>
      </c>
      <c r="O644" s="31">
        <v>4565</v>
      </c>
      <c r="P644" s="31">
        <f>VLOOKUP(F644,'[3]1ª PARCELA'!$E$5:$H$889,4,FALSE)</f>
        <v>4565</v>
      </c>
      <c r="Q644" s="31" t="b">
        <f t="shared" si="9"/>
        <v>1</v>
      </c>
      <c r="R644" s="32">
        <v>45793</v>
      </c>
      <c r="S644" s="29">
        <v>9173</v>
      </c>
      <c r="T644" s="29" t="s">
        <v>2303</v>
      </c>
      <c r="U644" s="33" t="s">
        <v>2304</v>
      </c>
    </row>
    <row r="645" spans="1:21" ht="28.5" customHeight="1" x14ac:dyDescent="0.3">
      <c r="A645" s="27">
        <v>642</v>
      </c>
      <c r="B645" s="28">
        <v>2025</v>
      </c>
      <c r="C645" s="29" t="s">
        <v>506</v>
      </c>
      <c r="D645" s="30" t="s">
        <v>539</v>
      </c>
      <c r="E645" s="29">
        <v>29387736</v>
      </c>
      <c r="F645" s="29">
        <v>1176423</v>
      </c>
      <c r="G645" s="30" t="s">
        <v>2305</v>
      </c>
      <c r="H645" s="29">
        <v>1220</v>
      </c>
      <c r="I645" s="29">
        <v>1</v>
      </c>
      <c r="J645" s="29"/>
      <c r="K645" s="30"/>
      <c r="L645" s="29" t="s">
        <v>72</v>
      </c>
      <c r="M645" s="31">
        <v>10500</v>
      </c>
      <c r="N645" s="31">
        <v>2625</v>
      </c>
      <c r="O645" s="31">
        <v>13125</v>
      </c>
      <c r="P645" s="31">
        <f>VLOOKUP(F645,'[3]1ª PARCELA'!$E$5:$H$889,4,FALSE)</f>
        <v>13125</v>
      </c>
      <c r="Q645" s="31" t="b">
        <f t="shared" ref="Q645:Q708" si="10">O645=P645</f>
        <v>1</v>
      </c>
      <c r="R645" s="32">
        <v>45967</v>
      </c>
      <c r="S645" s="29">
        <v>29630</v>
      </c>
      <c r="T645" s="29" t="s">
        <v>2306</v>
      </c>
      <c r="U645" s="33" t="s">
        <v>2307</v>
      </c>
    </row>
    <row r="646" spans="1:21" ht="28.5" customHeight="1" x14ac:dyDescent="0.3">
      <c r="A646" s="27">
        <v>643</v>
      </c>
      <c r="B646" s="28">
        <v>2025</v>
      </c>
      <c r="C646" s="29" t="s">
        <v>2101</v>
      </c>
      <c r="D646" s="30" t="s">
        <v>2160</v>
      </c>
      <c r="E646" s="29">
        <v>29389631</v>
      </c>
      <c r="F646" s="29">
        <v>1176425</v>
      </c>
      <c r="G646" s="30" t="s">
        <v>2308</v>
      </c>
      <c r="H646" s="29">
        <v>693</v>
      </c>
      <c r="I646" s="29">
        <v>1</v>
      </c>
      <c r="J646" s="29"/>
      <c r="K646" s="30"/>
      <c r="L646" s="29" t="s">
        <v>72</v>
      </c>
      <c r="M646" s="31">
        <v>5498.5</v>
      </c>
      <c r="N646" s="31">
        <v>2356.5</v>
      </c>
      <c r="O646" s="31">
        <v>7855</v>
      </c>
      <c r="P646" s="31">
        <f>VLOOKUP(F646,'[3]1ª PARCELA'!$E$5:$H$889,4,FALSE)</f>
        <v>7855</v>
      </c>
      <c r="Q646" s="31" t="b">
        <f t="shared" si="10"/>
        <v>1</v>
      </c>
      <c r="R646" s="32">
        <v>45793</v>
      </c>
      <c r="S646" s="29">
        <v>9173</v>
      </c>
      <c r="T646" s="29" t="s">
        <v>2309</v>
      </c>
      <c r="U646" s="33" t="s">
        <v>2310</v>
      </c>
    </row>
    <row r="647" spans="1:21" ht="28.5" customHeight="1" x14ac:dyDescent="0.3">
      <c r="A647" s="27">
        <v>644</v>
      </c>
      <c r="B647" s="28">
        <v>2025</v>
      </c>
      <c r="C647" s="29" t="s">
        <v>223</v>
      </c>
      <c r="D647" s="30" t="s">
        <v>246</v>
      </c>
      <c r="E647" s="29">
        <v>29389976</v>
      </c>
      <c r="F647" s="29">
        <v>1176426</v>
      </c>
      <c r="G647" s="30" t="s">
        <v>2120</v>
      </c>
      <c r="H647" s="29">
        <v>790</v>
      </c>
      <c r="I647" s="29">
        <v>1</v>
      </c>
      <c r="J647" s="29"/>
      <c r="K647" s="30"/>
      <c r="L647" s="29" t="s">
        <v>72</v>
      </c>
      <c r="M647" s="31">
        <v>7060</v>
      </c>
      <c r="N647" s="31">
        <v>1765</v>
      </c>
      <c r="O647" s="31">
        <v>8825</v>
      </c>
      <c r="P647" s="31">
        <f>VLOOKUP(F647,'[3]1ª PARCELA'!$E$5:$H$889,4,FALSE)</f>
        <v>8825</v>
      </c>
      <c r="Q647" s="31" t="b">
        <f t="shared" si="10"/>
        <v>1</v>
      </c>
      <c r="R647" s="32">
        <v>45793</v>
      </c>
      <c r="S647" s="29">
        <v>9173</v>
      </c>
      <c r="T647" s="29" t="s">
        <v>2311</v>
      </c>
      <c r="U647" s="33" t="s">
        <v>2312</v>
      </c>
    </row>
    <row r="648" spans="1:21" ht="28.5" customHeight="1" x14ac:dyDescent="0.3">
      <c r="A648" s="27">
        <v>645</v>
      </c>
      <c r="B648" s="28">
        <v>2025</v>
      </c>
      <c r="C648" s="29" t="s">
        <v>534</v>
      </c>
      <c r="D648" s="30" t="s">
        <v>1656</v>
      </c>
      <c r="E648" s="29">
        <v>29390109</v>
      </c>
      <c r="F648" s="29">
        <v>1176455</v>
      </c>
      <c r="G648" s="30" t="s">
        <v>2313</v>
      </c>
      <c r="H648" s="29">
        <v>765</v>
      </c>
      <c r="I648" s="29">
        <v>1</v>
      </c>
      <c r="J648" s="29"/>
      <c r="K648" s="30"/>
      <c r="L648" s="29" t="s">
        <v>72</v>
      </c>
      <c r="M648" s="31">
        <v>6002.5</v>
      </c>
      <c r="N648" s="31">
        <v>2572.5</v>
      </c>
      <c r="O648" s="31">
        <v>8575</v>
      </c>
      <c r="P648" s="31">
        <f>VLOOKUP(F648,'[3]1ª PARCELA'!$E$5:$H$889,4,FALSE)</f>
        <v>8575</v>
      </c>
      <c r="Q648" s="31" t="b">
        <f t="shared" si="10"/>
        <v>1</v>
      </c>
      <c r="R648" s="32">
        <v>45805</v>
      </c>
      <c r="S648" s="29">
        <v>9678</v>
      </c>
      <c r="T648" s="29" t="s">
        <v>2314</v>
      </c>
      <c r="U648" s="33" t="s">
        <v>2315</v>
      </c>
    </row>
    <row r="649" spans="1:21" ht="28.5" customHeight="1" x14ac:dyDescent="0.3">
      <c r="A649" s="27">
        <v>646</v>
      </c>
      <c r="B649" s="28">
        <v>2025</v>
      </c>
      <c r="C649" s="29" t="s">
        <v>1588</v>
      </c>
      <c r="D649" s="30" t="s">
        <v>2006</v>
      </c>
      <c r="E649" s="29">
        <v>29390532</v>
      </c>
      <c r="F649" s="29">
        <v>1176433</v>
      </c>
      <c r="G649" s="30" t="s">
        <v>180</v>
      </c>
      <c r="H649" s="29">
        <v>629</v>
      </c>
      <c r="I649" s="29">
        <v>1</v>
      </c>
      <c r="J649" s="29"/>
      <c r="K649" s="30"/>
      <c r="L649" s="29" t="s">
        <v>72</v>
      </c>
      <c r="M649" s="31">
        <v>4329</v>
      </c>
      <c r="N649" s="31">
        <v>2886</v>
      </c>
      <c r="O649" s="31">
        <v>7215</v>
      </c>
      <c r="P649" s="31">
        <f>VLOOKUP(F649,'[3]1ª PARCELA'!$E$5:$H$889,4,FALSE)</f>
        <v>7215</v>
      </c>
      <c r="Q649" s="31" t="b">
        <f t="shared" si="10"/>
        <v>1</v>
      </c>
      <c r="R649" s="32">
        <v>45895</v>
      </c>
      <c r="S649" s="29">
        <v>19863</v>
      </c>
      <c r="T649" s="29" t="s">
        <v>2316</v>
      </c>
      <c r="U649" s="33" t="s">
        <v>2317</v>
      </c>
    </row>
    <row r="650" spans="1:21" ht="28.5" customHeight="1" x14ac:dyDescent="0.3">
      <c r="A650" s="27">
        <v>647</v>
      </c>
      <c r="B650" s="28">
        <v>2025</v>
      </c>
      <c r="C650" s="29" t="s">
        <v>168</v>
      </c>
      <c r="D650" s="30" t="s">
        <v>176</v>
      </c>
      <c r="E650" s="29">
        <v>29390737</v>
      </c>
      <c r="F650" s="29">
        <v>1176428</v>
      </c>
      <c r="G650" s="30" t="s">
        <v>2305</v>
      </c>
      <c r="H650" s="29">
        <v>1197</v>
      </c>
      <c r="I650" s="29">
        <v>1</v>
      </c>
      <c r="J650" s="29"/>
      <c r="K650" s="30"/>
      <c r="L650" s="29" t="s">
        <v>72</v>
      </c>
      <c r="M650" s="31">
        <v>10316</v>
      </c>
      <c r="N650" s="31">
        <v>2579</v>
      </c>
      <c r="O650" s="31">
        <v>12895</v>
      </c>
      <c r="P650" s="31">
        <f>VLOOKUP(F650,'[3]1ª PARCELA'!$E$5:$H$889,4,FALSE)</f>
        <v>12895</v>
      </c>
      <c r="Q650" s="31" t="b">
        <f t="shared" si="10"/>
        <v>1</v>
      </c>
      <c r="R650" s="32">
        <v>45967</v>
      </c>
      <c r="S650" s="29">
        <v>29630</v>
      </c>
      <c r="T650" s="29" t="s">
        <v>2318</v>
      </c>
      <c r="U650" s="33" t="s">
        <v>2319</v>
      </c>
    </row>
    <row r="651" spans="1:21" ht="28.5" customHeight="1" x14ac:dyDescent="0.3">
      <c r="A651" s="27">
        <v>648</v>
      </c>
      <c r="B651" s="28">
        <v>2025</v>
      </c>
      <c r="C651" s="29" t="s">
        <v>375</v>
      </c>
      <c r="D651" s="30" t="s">
        <v>2320</v>
      </c>
      <c r="E651" s="29">
        <v>29390869</v>
      </c>
      <c r="F651" s="29">
        <v>1176457</v>
      </c>
      <c r="G651" s="30" t="s">
        <v>2321</v>
      </c>
      <c r="H651" s="29">
        <v>437</v>
      </c>
      <c r="I651" s="29">
        <v>1</v>
      </c>
      <c r="J651" s="29"/>
      <c r="K651" s="30"/>
      <c r="L651" s="29" t="s">
        <v>72</v>
      </c>
      <c r="M651" s="31">
        <v>4236</v>
      </c>
      <c r="N651" s="31">
        <v>1059</v>
      </c>
      <c r="O651" s="31">
        <v>5295</v>
      </c>
      <c r="P651" s="31">
        <f>VLOOKUP(F651,'[3]1ª PARCELA'!$E$5:$H$889,4,FALSE)</f>
        <v>5295</v>
      </c>
      <c r="Q651" s="31" t="b">
        <f t="shared" si="10"/>
        <v>1</v>
      </c>
      <c r="R651" s="32">
        <v>45793</v>
      </c>
      <c r="S651" s="29">
        <v>9173</v>
      </c>
      <c r="T651" s="29" t="s">
        <v>2322</v>
      </c>
      <c r="U651" s="33" t="s">
        <v>2323</v>
      </c>
    </row>
    <row r="652" spans="1:21" ht="28.5" customHeight="1" x14ac:dyDescent="0.3">
      <c r="A652" s="27">
        <v>649</v>
      </c>
      <c r="B652" s="28">
        <v>2025</v>
      </c>
      <c r="C652" s="29" t="s">
        <v>961</v>
      </c>
      <c r="D652" s="30" t="s">
        <v>966</v>
      </c>
      <c r="E652" s="29">
        <v>29391253</v>
      </c>
      <c r="F652" s="29">
        <v>1176461</v>
      </c>
      <c r="G652" s="30" t="s">
        <v>2324</v>
      </c>
      <c r="H652" s="29">
        <v>478</v>
      </c>
      <c r="I652" s="29">
        <v>1</v>
      </c>
      <c r="J652" s="29"/>
      <c r="K652" s="30"/>
      <c r="L652" s="29" t="s">
        <v>72</v>
      </c>
      <c r="M652" s="31">
        <v>5134.5</v>
      </c>
      <c r="N652" s="31">
        <v>570.5</v>
      </c>
      <c r="O652" s="31">
        <v>5705</v>
      </c>
      <c r="P652" s="31">
        <f>VLOOKUP(F652,'[3]1ª PARCELA'!$E$5:$H$889,4,FALSE)</f>
        <v>5705</v>
      </c>
      <c r="Q652" s="31" t="b">
        <f t="shared" si="10"/>
        <v>1</v>
      </c>
      <c r="R652" s="32">
        <v>45926</v>
      </c>
      <c r="S652" s="29">
        <v>24529</v>
      </c>
      <c r="T652" s="29" t="s">
        <v>2325</v>
      </c>
      <c r="U652" s="33" t="s">
        <v>2326</v>
      </c>
    </row>
    <row r="653" spans="1:21" ht="28.5" customHeight="1" x14ac:dyDescent="0.3">
      <c r="A653" s="27">
        <v>650</v>
      </c>
      <c r="B653" s="28">
        <v>2025</v>
      </c>
      <c r="C653" s="29" t="s">
        <v>973</v>
      </c>
      <c r="D653" s="30" t="s">
        <v>989</v>
      </c>
      <c r="E653" s="29">
        <v>29391466</v>
      </c>
      <c r="F653" s="29">
        <v>1176464</v>
      </c>
      <c r="G653" s="30" t="s">
        <v>2327</v>
      </c>
      <c r="H653" s="29">
        <v>689</v>
      </c>
      <c r="I653" s="29">
        <v>1</v>
      </c>
      <c r="J653" s="29"/>
      <c r="K653" s="30"/>
      <c r="L653" s="29" t="s">
        <v>72</v>
      </c>
      <c r="M653" s="31">
        <v>5470.5</v>
      </c>
      <c r="N653" s="31">
        <v>2344.5</v>
      </c>
      <c r="O653" s="31">
        <v>7815</v>
      </c>
      <c r="P653" s="31">
        <f>VLOOKUP(F653,'[3]1ª PARCELA'!$E$5:$H$889,4,FALSE)</f>
        <v>7815</v>
      </c>
      <c r="Q653" s="31" t="b">
        <f t="shared" si="10"/>
        <v>1</v>
      </c>
      <c r="R653" s="32">
        <v>45805</v>
      </c>
      <c r="S653" s="29">
        <v>9678</v>
      </c>
      <c r="T653" s="29" t="s">
        <v>2328</v>
      </c>
      <c r="U653" s="33" t="s">
        <v>2329</v>
      </c>
    </row>
    <row r="654" spans="1:21" ht="28.5" customHeight="1" x14ac:dyDescent="0.3">
      <c r="A654" s="27">
        <v>651</v>
      </c>
      <c r="B654" s="28">
        <v>2025</v>
      </c>
      <c r="C654" s="29" t="s">
        <v>263</v>
      </c>
      <c r="D654" s="30" t="s">
        <v>268</v>
      </c>
      <c r="E654" s="29">
        <v>29391512</v>
      </c>
      <c r="F654" s="29">
        <v>1176434</v>
      </c>
      <c r="G654" s="30" t="s">
        <v>2330</v>
      </c>
      <c r="H654" s="29">
        <v>393</v>
      </c>
      <c r="I654" s="29">
        <v>1</v>
      </c>
      <c r="J654" s="29"/>
      <c r="K654" s="30"/>
      <c r="L654" s="29" t="s">
        <v>72</v>
      </c>
      <c r="M654" s="31">
        <v>3398.5</v>
      </c>
      <c r="N654" s="31">
        <v>1456.5</v>
      </c>
      <c r="O654" s="31">
        <v>4855</v>
      </c>
      <c r="P654" s="31">
        <f>VLOOKUP(F654,'[3]1ª PARCELA'!$E$5:$H$889,4,FALSE)</f>
        <v>4855</v>
      </c>
      <c r="Q654" s="31" t="b">
        <f t="shared" si="10"/>
        <v>1</v>
      </c>
      <c r="R654" s="32">
        <v>45954</v>
      </c>
      <c r="S654" s="29">
        <v>28607</v>
      </c>
      <c r="T654" s="29" t="s">
        <v>2331</v>
      </c>
      <c r="U654" s="33" t="s">
        <v>2332</v>
      </c>
    </row>
    <row r="655" spans="1:21" ht="28.5" customHeight="1" x14ac:dyDescent="0.3">
      <c r="A655" s="27">
        <v>652</v>
      </c>
      <c r="B655" s="28">
        <v>2025</v>
      </c>
      <c r="C655" s="29" t="s">
        <v>1526</v>
      </c>
      <c r="D655" s="30" t="s">
        <v>2333</v>
      </c>
      <c r="E655" s="29">
        <v>29392365</v>
      </c>
      <c r="F655" s="29">
        <v>1176430</v>
      </c>
      <c r="G655" s="30" t="s">
        <v>2334</v>
      </c>
      <c r="H655" s="29">
        <v>1075</v>
      </c>
      <c r="I655" s="29">
        <v>1</v>
      </c>
      <c r="J655" s="29"/>
      <c r="K655" s="30"/>
      <c r="L655" s="29" t="s">
        <v>72</v>
      </c>
      <c r="M655" s="31">
        <v>9340</v>
      </c>
      <c r="N655" s="31">
        <v>2335</v>
      </c>
      <c r="O655" s="31">
        <v>11675</v>
      </c>
      <c r="P655" s="31">
        <f>VLOOKUP(F655,'[3]1ª PARCELA'!$E$5:$H$889,4,FALSE)</f>
        <v>11675</v>
      </c>
      <c r="Q655" s="31" t="b">
        <f t="shared" si="10"/>
        <v>1</v>
      </c>
      <c r="R655" s="32">
        <v>45793</v>
      </c>
      <c r="S655" s="29">
        <v>9173</v>
      </c>
      <c r="T655" s="29" t="s">
        <v>2335</v>
      </c>
      <c r="U655" s="33" t="s">
        <v>2336</v>
      </c>
    </row>
    <row r="656" spans="1:21" ht="28.5" customHeight="1" x14ac:dyDescent="0.3">
      <c r="A656" s="27">
        <v>653</v>
      </c>
      <c r="B656" s="28">
        <v>2025</v>
      </c>
      <c r="C656" s="29" t="s">
        <v>961</v>
      </c>
      <c r="D656" s="30" t="s">
        <v>1092</v>
      </c>
      <c r="E656" s="29">
        <v>29392861</v>
      </c>
      <c r="F656" s="29">
        <v>1176422</v>
      </c>
      <c r="G656" s="30" t="s">
        <v>2337</v>
      </c>
      <c r="H656" s="29">
        <v>1031</v>
      </c>
      <c r="I656" s="29">
        <v>1</v>
      </c>
      <c r="J656" s="29"/>
      <c r="K656" s="30"/>
      <c r="L656" s="29" t="s">
        <v>72</v>
      </c>
      <c r="M656" s="31">
        <v>7864.5</v>
      </c>
      <c r="N656" s="31">
        <v>3370.5</v>
      </c>
      <c r="O656" s="31">
        <v>11235</v>
      </c>
      <c r="P656" s="31">
        <f>VLOOKUP(F656,'[3]1ª PARCELA'!$E$5:$H$889,4,FALSE)</f>
        <v>11235</v>
      </c>
      <c r="Q656" s="31" t="b">
        <f t="shared" si="10"/>
        <v>1</v>
      </c>
      <c r="R656" s="32">
        <v>45800</v>
      </c>
      <c r="S656" s="29">
        <v>9563</v>
      </c>
      <c r="T656" s="29" t="s">
        <v>2338</v>
      </c>
      <c r="U656" s="33" t="s">
        <v>2339</v>
      </c>
    </row>
    <row r="657" spans="1:21" ht="28.5" customHeight="1" x14ac:dyDescent="0.3">
      <c r="A657" s="27">
        <v>654</v>
      </c>
      <c r="B657" s="28">
        <v>2025</v>
      </c>
      <c r="C657" s="29" t="s">
        <v>1797</v>
      </c>
      <c r="D657" s="30" t="s">
        <v>1869</v>
      </c>
      <c r="E657" s="29">
        <v>29394341</v>
      </c>
      <c r="F657" s="29">
        <v>1176427</v>
      </c>
      <c r="G657" s="30" t="s">
        <v>2337</v>
      </c>
      <c r="H657" s="29">
        <v>1135</v>
      </c>
      <c r="I657" s="29">
        <v>1</v>
      </c>
      <c r="J657" s="29"/>
      <c r="K657" s="30"/>
      <c r="L657" s="29" t="s">
        <v>72</v>
      </c>
      <c r="M657" s="31">
        <v>9820</v>
      </c>
      <c r="N657" s="31">
        <v>2455</v>
      </c>
      <c r="O657" s="31">
        <v>12275</v>
      </c>
      <c r="P657" s="31">
        <f>VLOOKUP(F657,'[3]1ª PARCELA'!$E$5:$H$889,4,FALSE)</f>
        <v>12275</v>
      </c>
      <c r="Q657" s="31" t="b">
        <f t="shared" si="10"/>
        <v>1</v>
      </c>
      <c r="R657" s="32">
        <v>45793</v>
      </c>
      <c r="S657" s="29">
        <v>9173</v>
      </c>
      <c r="T657" s="29" t="s">
        <v>2340</v>
      </c>
      <c r="U657" s="33" t="s">
        <v>2341</v>
      </c>
    </row>
    <row r="658" spans="1:21" ht="28.5" customHeight="1" x14ac:dyDescent="0.3">
      <c r="A658" s="27">
        <v>655</v>
      </c>
      <c r="B658" s="28">
        <v>2025</v>
      </c>
      <c r="C658" s="29" t="s">
        <v>1526</v>
      </c>
      <c r="D658" s="30" t="s">
        <v>1708</v>
      </c>
      <c r="E658" s="29">
        <v>29394414</v>
      </c>
      <c r="F658" s="29">
        <v>1176438</v>
      </c>
      <c r="G658" s="30" t="s">
        <v>2337</v>
      </c>
      <c r="H658" s="29">
        <v>1133</v>
      </c>
      <c r="I658" s="29">
        <v>1</v>
      </c>
      <c r="J658" s="29"/>
      <c r="K658" s="30"/>
      <c r="L658" s="29" t="s">
        <v>72</v>
      </c>
      <c r="M658" s="31">
        <v>9804</v>
      </c>
      <c r="N658" s="31">
        <v>2451</v>
      </c>
      <c r="O658" s="31">
        <v>12255</v>
      </c>
      <c r="P658" s="31">
        <f>VLOOKUP(F658,'[3]1ª PARCELA'!$E$5:$H$889,4,FALSE)</f>
        <v>12255</v>
      </c>
      <c r="Q658" s="31" t="b">
        <f t="shared" si="10"/>
        <v>1</v>
      </c>
      <c r="R658" s="32">
        <v>45793</v>
      </c>
      <c r="S658" s="29">
        <v>9173</v>
      </c>
      <c r="T658" s="29" t="s">
        <v>2342</v>
      </c>
      <c r="U658" s="33" t="s">
        <v>2343</v>
      </c>
    </row>
    <row r="659" spans="1:21" ht="28.5" customHeight="1" x14ac:dyDescent="0.3">
      <c r="A659" s="27">
        <v>656</v>
      </c>
      <c r="B659" s="28">
        <v>2025</v>
      </c>
      <c r="C659" s="29" t="s">
        <v>272</v>
      </c>
      <c r="D659" s="30" t="s">
        <v>273</v>
      </c>
      <c r="E659" s="29">
        <v>29395321</v>
      </c>
      <c r="F659" s="29">
        <v>1176432</v>
      </c>
      <c r="G659" s="30" t="s">
        <v>2344</v>
      </c>
      <c r="H659" s="29">
        <v>720</v>
      </c>
      <c r="I659" s="29">
        <v>1</v>
      </c>
      <c r="J659" s="29"/>
      <c r="K659" s="30"/>
      <c r="L659" s="29" t="s">
        <v>72</v>
      </c>
      <c r="M659" s="31">
        <v>5687.5</v>
      </c>
      <c r="N659" s="31">
        <v>2437.5</v>
      </c>
      <c r="O659" s="31">
        <v>8125</v>
      </c>
      <c r="P659" s="31">
        <f>VLOOKUP(F659,'[3]1ª PARCELA'!$E$5:$H$889,4,FALSE)</f>
        <v>8125</v>
      </c>
      <c r="Q659" s="31" t="b">
        <f t="shared" si="10"/>
        <v>1</v>
      </c>
      <c r="R659" s="32">
        <v>45793</v>
      </c>
      <c r="S659" s="29">
        <v>9173</v>
      </c>
      <c r="T659" s="29" t="s">
        <v>2345</v>
      </c>
      <c r="U659" s="33" t="s">
        <v>2346</v>
      </c>
    </row>
    <row r="660" spans="1:21" ht="28.5" customHeight="1" x14ac:dyDescent="0.3">
      <c r="A660" s="27">
        <v>657</v>
      </c>
      <c r="B660" s="28">
        <v>2025</v>
      </c>
      <c r="C660" s="29" t="s">
        <v>655</v>
      </c>
      <c r="D660" s="30" t="s">
        <v>876</v>
      </c>
      <c r="E660" s="29">
        <v>29395712</v>
      </c>
      <c r="F660" s="29">
        <v>1176465</v>
      </c>
      <c r="G660" s="30" t="s">
        <v>1356</v>
      </c>
      <c r="H660" s="29">
        <v>435</v>
      </c>
      <c r="I660" s="29">
        <v>1</v>
      </c>
      <c r="J660" s="29"/>
      <c r="K660" s="30"/>
      <c r="L660" s="29" t="s">
        <v>72</v>
      </c>
      <c r="M660" s="31">
        <v>4220</v>
      </c>
      <c r="N660" s="31">
        <v>1055</v>
      </c>
      <c r="O660" s="31">
        <v>5275</v>
      </c>
      <c r="P660" s="31">
        <f>VLOOKUP(F660,'[3]1ª PARCELA'!$E$5:$H$889,4,FALSE)</f>
        <v>5275</v>
      </c>
      <c r="Q660" s="31" t="b">
        <f t="shared" si="10"/>
        <v>1</v>
      </c>
      <c r="R660" s="32">
        <v>45895</v>
      </c>
      <c r="S660" s="29">
        <v>19863</v>
      </c>
      <c r="T660" s="29" t="s">
        <v>2347</v>
      </c>
      <c r="U660" s="33" t="s">
        <v>2348</v>
      </c>
    </row>
    <row r="661" spans="1:21" ht="28.5" customHeight="1" x14ac:dyDescent="0.3">
      <c r="A661" s="27">
        <v>658</v>
      </c>
      <c r="B661" s="28">
        <v>2025</v>
      </c>
      <c r="C661" s="29" t="s">
        <v>1719</v>
      </c>
      <c r="D661" s="30" t="s">
        <v>1781</v>
      </c>
      <c r="E661" s="29">
        <v>29395860</v>
      </c>
      <c r="F661" s="29">
        <v>1178404</v>
      </c>
      <c r="G661" s="30" t="s">
        <v>2349</v>
      </c>
      <c r="H661" s="29">
        <v>274</v>
      </c>
      <c r="I661" s="29">
        <v>1</v>
      </c>
      <c r="J661" s="29"/>
      <c r="K661" s="30"/>
      <c r="L661" s="29" t="s">
        <v>72</v>
      </c>
      <c r="M661" s="31">
        <v>4412</v>
      </c>
      <c r="N661" s="31">
        <v>1103</v>
      </c>
      <c r="O661" s="31">
        <v>5515</v>
      </c>
      <c r="P661" s="31">
        <f>VLOOKUP(F661,'[3]1ª PARCELA'!$E$5:$H$889,4,FALSE)</f>
        <v>5515</v>
      </c>
      <c r="Q661" s="31" t="b">
        <f t="shared" si="10"/>
        <v>1</v>
      </c>
      <c r="R661" s="32">
        <v>45793</v>
      </c>
      <c r="S661" s="29">
        <v>9173</v>
      </c>
      <c r="T661" s="29" t="s">
        <v>2350</v>
      </c>
      <c r="U661" s="33" t="s">
        <v>2351</v>
      </c>
    </row>
    <row r="662" spans="1:21" ht="28.5" customHeight="1" x14ac:dyDescent="0.3">
      <c r="A662" s="27">
        <v>659</v>
      </c>
      <c r="B662" s="28">
        <v>2025</v>
      </c>
      <c r="C662" s="29" t="s">
        <v>1719</v>
      </c>
      <c r="D662" s="30" t="s">
        <v>1777</v>
      </c>
      <c r="E662" s="29">
        <v>29395950</v>
      </c>
      <c r="F662" s="29">
        <v>1178405</v>
      </c>
      <c r="G662" s="30" t="s">
        <v>2352</v>
      </c>
      <c r="H662" s="29">
        <v>136</v>
      </c>
      <c r="I662" s="29">
        <v>1</v>
      </c>
      <c r="J662" s="29"/>
      <c r="K662" s="30"/>
      <c r="L662" s="29" t="s">
        <v>72</v>
      </c>
      <c r="M662" s="31">
        <v>2894.5</v>
      </c>
      <c r="N662" s="31">
        <v>1240.5</v>
      </c>
      <c r="O662" s="31">
        <v>4135</v>
      </c>
      <c r="P662" s="31">
        <f>VLOOKUP(F662,'[3]1ª PARCELA'!$E$5:$H$889,4,FALSE)</f>
        <v>4135</v>
      </c>
      <c r="Q662" s="31" t="b">
        <f t="shared" si="10"/>
        <v>1</v>
      </c>
      <c r="R662" s="32">
        <v>45945</v>
      </c>
      <c r="S662" s="29">
        <v>27117</v>
      </c>
      <c r="T662" s="29" t="s">
        <v>2353</v>
      </c>
      <c r="U662" s="33" t="s">
        <v>2354</v>
      </c>
    </row>
    <row r="663" spans="1:21" ht="28.5" customHeight="1" x14ac:dyDescent="0.3">
      <c r="A663" s="27">
        <v>660</v>
      </c>
      <c r="B663" s="28">
        <v>2025</v>
      </c>
      <c r="C663" s="29" t="s">
        <v>718</v>
      </c>
      <c r="D663" s="30" t="s">
        <v>849</v>
      </c>
      <c r="E663" s="29">
        <v>29397693</v>
      </c>
      <c r="F663" s="29">
        <v>1178326</v>
      </c>
      <c r="G663" s="30" t="s">
        <v>2355</v>
      </c>
      <c r="H663" s="29">
        <v>636</v>
      </c>
      <c r="I663" s="29">
        <v>1</v>
      </c>
      <c r="J663" s="29"/>
      <c r="K663" s="30"/>
      <c r="L663" s="29" t="s">
        <v>72</v>
      </c>
      <c r="M663" s="31">
        <v>5828</v>
      </c>
      <c r="N663" s="31">
        <v>1457</v>
      </c>
      <c r="O663" s="31">
        <v>7285</v>
      </c>
      <c r="P663" s="31">
        <f>VLOOKUP(F663,'[3]1ª PARCELA'!$E$5:$H$889,4,FALSE)</f>
        <v>7285</v>
      </c>
      <c r="Q663" s="31" t="b">
        <f t="shared" si="10"/>
        <v>1</v>
      </c>
      <c r="R663" s="32">
        <v>45805</v>
      </c>
      <c r="S663" s="29">
        <v>9678</v>
      </c>
      <c r="T663" s="29" t="s">
        <v>2356</v>
      </c>
      <c r="U663" s="33" t="s">
        <v>2357</v>
      </c>
    </row>
    <row r="664" spans="1:21" ht="28.5" customHeight="1" x14ac:dyDescent="0.3">
      <c r="A664" s="27">
        <v>661</v>
      </c>
      <c r="B664" s="28">
        <v>2025</v>
      </c>
      <c r="C664" s="29" t="s">
        <v>1949</v>
      </c>
      <c r="D664" s="30" t="s">
        <v>2358</v>
      </c>
      <c r="E664" s="29">
        <v>29397707</v>
      </c>
      <c r="F664" s="29">
        <v>1178401</v>
      </c>
      <c r="G664" s="30" t="s">
        <v>2359</v>
      </c>
      <c r="H664" s="29">
        <v>592</v>
      </c>
      <c r="I664" s="29">
        <v>1</v>
      </c>
      <c r="J664" s="29"/>
      <c r="K664" s="30"/>
      <c r="L664" s="29" t="s">
        <v>72</v>
      </c>
      <c r="M664" s="31">
        <v>6086.5</v>
      </c>
      <c r="N664" s="31">
        <v>2608.5</v>
      </c>
      <c r="O664" s="31">
        <v>8695</v>
      </c>
      <c r="P664" s="31">
        <f>VLOOKUP(F664,'[3]1ª PARCELA'!$E$5:$H$889,4,FALSE)</f>
        <v>8695</v>
      </c>
      <c r="Q664" s="31" t="b">
        <f t="shared" si="10"/>
        <v>1</v>
      </c>
      <c r="R664" s="32">
        <v>45793</v>
      </c>
      <c r="S664" s="29">
        <v>9173</v>
      </c>
      <c r="T664" s="29" t="s">
        <v>2360</v>
      </c>
      <c r="U664" s="33" t="s">
        <v>2361</v>
      </c>
    </row>
    <row r="665" spans="1:21" ht="28.5" customHeight="1" x14ac:dyDescent="0.3">
      <c r="A665" s="27">
        <v>662</v>
      </c>
      <c r="B665" s="28">
        <v>2025</v>
      </c>
      <c r="C665" s="29" t="s">
        <v>263</v>
      </c>
      <c r="D665" s="30" t="s">
        <v>2177</v>
      </c>
      <c r="E665" s="29">
        <v>29397758</v>
      </c>
      <c r="F665" s="29">
        <v>1178407</v>
      </c>
      <c r="G665" s="30" t="s">
        <v>2362</v>
      </c>
      <c r="H665" s="29">
        <v>148</v>
      </c>
      <c r="I665" s="29">
        <v>1</v>
      </c>
      <c r="J665" s="29"/>
      <c r="K665" s="30"/>
      <c r="L665" s="29" t="s">
        <v>72</v>
      </c>
      <c r="M665" s="31">
        <v>3404</v>
      </c>
      <c r="N665" s="31">
        <v>851</v>
      </c>
      <c r="O665" s="31">
        <v>4255</v>
      </c>
      <c r="P665" s="31">
        <f>VLOOKUP(F665,'[3]1ª PARCELA'!$E$5:$H$889,4,FALSE)</f>
        <v>4255</v>
      </c>
      <c r="Q665" s="31" t="b">
        <f t="shared" si="10"/>
        <v>1</v>
      </c>
      <c r="R665" s="32">
        <v>45793</v>
      </c>
      <c r="S665" s="29">
        <v>9173</v>
      </c>
      <c r="T665" s="29" t="s">
        <v>2363</v>
      </c>
      <c r="U665" s="33" t="s">
        <v>2364</v>
      </c>
    </row>
    <row r="666" spans="1:21" ht="28.5" customHeight="1" x14ac:dyDescent="0.3">
      <c r="A666" s="27">
        <v>663</v>
      </c>
      <c r="B666" s="28">
        <v>2025</v>
      </c>
      <c r="C666" s="29" t="s">
        <v>961</v>
      </c>
      <c r="D666" s="30" t="s">
        <v>1053</v>
      </c>
      <c r="E666" s="29">
        <v>29397863</v>
      </c>
      <c r="F666" s="29">
        <v>1178420</v>
      </c>
      <c r="G666" s="30" t="s">
        <v>2365</v>
      </c>
      <c r="H666" s="29">
        <v>1117</v>
      </c>
      <c r="I666" s="29">
        <v>1</v>
      </c>
      <c r="J666" s="29"/>
      <c r="K666" s="30"/>
      <c r="L666" s="29" t="s">
        <v>72</v>
      </c>
      <c r="M666" s="31">
        <v>9676</v>
      </c>
      <c r="N666" s="31">
        <v>2419</v>
      </c>
      <c r="O666" s="31">
        <v>12095</v>
      </c>
      <c r="P666" s="31">
        <f>VLOOKUP(F666,'[3]1ª PARCELA'!$E$5:$H$889,4,FALSE)</f>
        <v>12095</v>
      </c>
      <c r="Q666" s="31" t="b">
        <f t="shared" si="10"/>
        <v>1</v>
      </c>
      <c r="R666" s="32">
        <v>45833</v>
      </c>
      <c r="S666" s="29">
        <v>13120</v>
      </c>
      <c r="T666" s="29" t="s">
        <v>2366</v>
      </c>
      <c r="U666" s="33" t="s">
        <v>2367</v>
      </c>
    </row>
    <row r="667" spans="1:21" ht="28.5" customHeight="1" x14ac:dyDescent="0.3">
      <c r="A667" s="27">
        <v>664</v>
      </c>
      <c r="B667" s="28">
        <v>2025</v>
      </c>
      <c r="C667" s="29" t="s">
        <v>416</v>
      </c>
      <c r="D667" s="30" t="s">
        <v>2368</v>
      </c>
      <c r="E667" s="29">
        <v>29398282</v>
      </c>
      <c r="F667" s="29">
        <v>1179030</v>
      </c>
      <c r="G667" s="30" t="s">
        <v>2369</v>
      </c>
      <c r="H667" s="29">
        <v>394</v>
      </c>
      <c r="I667" s="29">
        <v>1</v>
      </c>
      <c r="J667" s="29"/>
      <c r="K667" s="30"/>
      <c r="L667" s="29" t="s">
        <v>72</v>
      </c>
      <c r="M667" s="31">
        <v>3892</v>
      </c>
      <c r="N667" s="31">
        <v>973</v>
      </c>
      <c r="O667" s="31">
        <v>4865</v>
      </c>
      <c r="P667" s="31">
        <f>VLOOKUP(F667,'[3]1ª PARCELA'!$E$5:$H$889,4,FALSE)</f>
        <v>4865</v>
      </c>
      <c r="Q667" s="31" t="b">
        <f t="shared" si="10"/>
        <v>1</v>
      </c>
      <c r="R667" s="32">
        <v>45793</v>
      </c>
      <c r="S667" s="29">
        <v>9173</v>
      </c>
      <c r="T667" s="29" t="s">
        <v>2370</v>
      </c>
      <c r="U667" s="33" t="s">
        <v>2371</v>
      </c>
    </row>
    <row r="668" spans="1:21" ht="28.5" customHeight="1" x14ac:dyDescent="0.3">
      <c r="A668" s="27">
        <v>665</v>
      </c>
      <c r="B668" s="28">
        <v>2025</v>
      </c>
      <c r="C668" s="29" t="s">
        <v>961</v>
      </c>
      <c r="D668" s="30" t="s">
        <v>1072</v>
      </c>
      <c r="E668" s="29">
        <v>29398673</v>
      </c>
      <c r="F668" s="29">
        <v>1178431</v>
      </c>
      <c r="G668" s="30" t="s">
        <v>2372</v>
      </c>
      <c r="H668" s="29">
        <v>1601</v>
      </c>
      <c r="I668" s="29">
        <v>1</v>
      </c>
      <c r="J668" s="29"/>
      <c r="K668" s="30"/>
      <c r="L668" s="29" t="s">
        <v>72</v>
      </c>
      <c r="M668" s="31">
        <v>13548</v>
      </c>
      <c r="N668" s="31">
        <v>3387</v>
      </c>
      <c r="O668" s="31">
        <v>16935</v>
      </c>
      <c r="P668" s="31">
        <f>VLOOKUP(F668,'[3]1ª PARCELA'!$E$5:$H$889,4,FALSE)</f>
        <v>16935</v>
      </c>
      <c r="Q668" s="31" t="b">
        <f t="shared" si="10"/>
        <v>1</v>
      </c>
      <c r="R668" s="32">
        <v>45833</v>
      </c>
      <c r="S668" s="29">
        <v>13120</v>
      </c>
      <c r="T668" s="29" t="s">
        <v>2373</v>
      </c>
      <c r="U668" s="33" t="s">
        <v>2374</v>
      </c>
    </row>
    <row r="669" spans="1:21" ht="28.5" customHeight="1" x14ac:dyDescent="0.3">
      <c r="A669" s="27">
        <v>666</v>
      </c>
      <c r="B669" s="28">
        <v>2025</v>
      </c>
      <c r="C669" s="29" t="s">
        <v>701</v>
      </c>
      <c r="D669" s="30" t="s">
        <v>787</v>
      </c>
      <c r="E669" s="29">
        <v>29398940</v>
      </c>
      <c r="F669" s="29">
        <v>1178429</v>
      </c>
      <c r="G669" s="30" t="s">
        <v>2375</v>
      </c>
      <c r="H669" s="29">
        <v>316</v>
      </c>
      <c r="I669" s="29">
        <v>1</v>
      </c>
      <c r="J669" s="29"/>
      <c r="K669" s="30"/>
      <c r="L669" s="29" t="s">
        <v>72</v>
      </c>
      <c r="M669" s="31">
        <v>4748</v>
      </c>
      <c r="N669" s="31">
        <v>1187</v>
      </c>
      <c r="O669" s="31">
        <v>5935</v>
      </c>
      <c r="P669" s="31">
        <f>VLOOKUP(F669,'[3]1ª PARCELA'!$E$5:$H$889,4,FALSE)</f>
        <v>5935</v>
      </c>
      <c r="Q669" s="31" t="b">
        <f t="shared" si="10"/>
        <v>1</v>
      </c>
      <c r="R669" s="32">
        <v>45938</v>
      </c>
      <c r="S669" s="29">
        <v>25952</v>
      </c>
      <c r="T669" s="29" t="s">
        <v>2376</v>
      </c>
      <c r="U669" s="33" t="s">
        <v>2377</v>
      </c>
    </row>
    <row r="670" spans="1:21" ht="28.5" customHeight="1" x14ac:dyDescent="0.3">
      <c r="A670" s="27">
        <v>667</v>
      </c>
      <c r="B670" s="28">
        <v>2025</v>
      </c>
      <c r="C670" s="29" t="s">
        <v>375</v>
      </c>
      <c r="D670" s="30" t="s">
        <v>2320</v>
      </c>
      <c r="E670" s="29">
        <v>29399220</v>
      </c>
      <c r="F670" s="29">
        <v>1178439</v>
      </c>
      <c r="G670" s="30" t="s">
        <v>2378</v>
      </c>
      <c r="H670" s="29">
        <v>106</v>
      </c>
      <c r="I670" s="29">
        <v>1</v>
      </c>
      <c r="J670" s="29"/>
      <c r="K670" s="30"/>
      <c r="L670" s="29" t="s">
        <v>72</v>
      </c>
      <c r="M670" s="31">
        <v>3068</v>
      </c>
      <c r="N670" s="31">
        <v>767</v>
      </c>
      <c r="O670" s="31">
        <v>3835</v>
      </c>
      <c r="P670" s="31">
        <f>VLOOKUP(F670,'[3]1ª PARCELA'!$E$5:$H$889,4,FALSE)</f>
        <v>3835</v>
      </c>
      <c r="Q670" s="31" t="b">
        <f t="shared" si="10"/>
        <v>1</v>
      </c>
      <c r="R670" s="32">
        <v>45793</v>
      </c>
      <c r="S670" s="29">
        <v>9173</v>
      </c>
      <c r="T670" s="29" t="s">
        <v>2379</v>
      </c>
      <c r="U670" s="33" t="s">
        <v>2380</v>
      </c>
    </row>
    <row r="671" spans="1:21" ht="28.5" customHeight="1" x14ac:dyDescent="0.3">
      <c r="A671" s="27">
        <v>668</v>
      </c>
      <c r="B671" s="28">
        <v>2025</v>
      </c>
      <c r="C671" s="29" t="s">
        <v>718</v>
      </c>
      <c r="D671" s="30" t="s">
        <v>2381</v>
      </c>
      <c r="E671" s="29">
        <v>29399238</v>
      </c>
      <c r="F671" s="29">
        <v>1179117</v>
      </c>
      <c r="G671" s="30" t="s">
        <v>2382</v>
      </c>
      <c r="H671" s="29">
        <v>447</v>
      </c>
      <c r="I671" s="29">
        <v>1</v>
      </c>
      <c r="J671" s="29"/>
      <c r="K671" s="30"/>
      <c r="L671" s="29" t="s">
        <v>72</v>
      </c>
      <c r="M671" s="31">
        <v>5796</v>
      </c>
      <c r="N671" s="31">
        <v>1449</v>
      </c>
      <c r="O671" s="31">
        <v>7245</v>
      </c>
      <c r="P671" s="31">
        <f>VLOOKUP(F671,'[3]1ª PARCELA'!$E$5:$H$889,4,FALSE)</f>
        <v>7245</v>
      </c>
      <c r="Q671" s="31" t="b">
        <f t="shared" si="10"/>
        <v>1</v>
      </c>
      <c r="R671" s="32">
        <v>45967</v>
      </c>
      <c r="S671" s="29">
        <v>29630</v>
      </c>
      <c r="T671" s="29" t="s">
        <v>2383</v>
      </c>
      <c r="U671" s="33" t="s">
        <v>2384</v>
      </c>
    </row>
    <row r="672" spans="1:21" ht="28.5" customHeight="1" x14ac:dyDescent="0.3">
      <c r="A672" s="27">
        <v>669</v>
      </c>
      <c r="B672" s="28">
        <v>2025</v>
      </c>
      <c r="C672" s="29" t="s">
        <v>2101</v>
      </c>
      <c r="D672" s="30" t="s">
        <v>2139</v>
      </c>
      <c r="E672" s="29">
        <v>29399246</v>
      </c>
      <c r="F672" s="29">
        <v>1178427</v>
      </c>
      <c r="G672" s="30" t="s">
        <v>2385</v>
      </c>
      <c r="H672" s="29">
        <v>40</v>
      </c>
      <c r="I672" s="29">
        <v>1</v>
      </c>
      <c r="J672" s="29"/>
      <c r="K672" s="30"/>
      <c r="L672" s="29" t="s">
        <v>72</v>
      </c>
      <c r="M672" s="31">
        <v>952.5</v>
      </c>
      <c r="N672" s="31">
        <v>2222.5</v>
      </c>
      <c r="O672" s="31">
        <v>3175</v>
      </c>
      <c r="P672" s="31">
        <f>VLOOKUP(F672,'[3]1ª PARCELA'!$E$5:$H$889,4,FALSE)</f>
        <v>3175</v>
      </c>
      <c r="Q672" s="31" t="b">
        <f t="shared" si="10"/>
        <v>1</v>
      </c>
      <c r="R672" s="32">
        <v>45793</v>
      </c>
      <c r="S672" s="29">
        <v>9173</v>
      </c>
      <c r="T672" s="29" t="s">
        <v>2386</v>
      </c>
      <c r="U672" s="33" t="s">
        <v>2387</v>
      </c>
    </row>
    <row r="673" spans="1:21" ht="28.5" customHeight="1" x14ac:dyDescent="0.3">
      <c r="A673" s="27">
        <v>670</v>
      </c>
      <c r="B673" s="28">
        <v>2025</v>
      </c>
      <c r="C673" s="29" t="s">
        <v>973</v>
      </c>
      <c r="D673" s="30" t="s">
        <v>2388</v>
      </c>
      <c r="E673" s="29">
        <v>29400220</v>
      </c>
      <c r="F673" s="29">
        <v>1176467</v>
      </c>
      <c r="G673" s="30" t="s">
        <v>2389</v>
      </c>
      <c r="H673" s="29">
        <v>945</v>
      </c>
      <c r="I673" s="29">
        <v>1</v>
      </c>
      <c r="J673" s="29"/>
      <c r="K673" s="30"/>
      <c r="L673" s="29" t="s">
        <v>72</v>
      </c>
      <c r="M673" s="31">
        <v>6225</v>
      </c>
      <c r="N673" s="31">
        <v>4150</v>
      </c>
      <c r="O673" s="31">
        <v>10375</v>
      </c>
      <c r="P673" s="31">
        <f>VLOOKUP(F673,'[3]1ª PARCELA'!$E$5:$H$889,4,FALSE)</f>
        <v>10375</v>
      </c>
      <c r="Q673" s="31" t="b">
        <f t="shared" si="10"/>
        <v>1</v>
      </c>
      <c r="R673" s="32">
        <v>45967</v>
      </c>
      <c r="S673" s="29">
        <v>29630</v>
      </c>
      <c r="T673" s="29" t="s">
        <v>2390</v>
      </c>
      <c r="U673" s="33" t="s">
        <v>2391</v>
      </c>
    </row>
    <row r="674" spans="1:21" ht="28.5" customHeight="1" x14ac:dyDescent="0.3">
      <c r="A674" s="27">
        <v>671</v>
      </c>
      <c r="B674" s="28">
        <v>2025</v>
      </c>
      <c r="C674" s="29" t="s">
        <v>1719</v>
      </c>
      <c r="D674" s="30" t="s">
        <v>1831</v>
      </c>
      <c r="E674" s="29">
        <v>29402830</v>
      </c>
      <c r="F674" s="29">
        <v>1176435</v>
      </c>
      <c r="G674" s="30" t="s">
        <v>2392</v>
      </c>
      <c r="H674" s="29">
        <v>671</v>
      </c>
      <c r="I674" s="29">
        <v>1</v>
      </c>
      <c r="J674" s="29"/>
      <c r="K674" s="30"/>
      <c r="L674" s="29" t="s">
        <v>72</v>
      </c>
      <c r="M674" s="31">
        <v>7635</v>
      </c>
      <c r="N674" s="31">
        <v>0</v>
      </c>
      <c r="O674" s="31">
        <v>7635</v>
      </c>
      <c r="P674" s="31">
        <f>VLOOKUP(F674,'[3]1ª PARCELA'!$E$5:$H$889,4,FALSE)</f>
        <v>7635</v>
      </c>
      <c r="Q674" s="31" t="b">
        <f t="shared" si="10"/>
        <v>1</v>
      </c>
      <c r="R674" s="32">
        <v>45833</v>
      </c>
      <c r="S674" s="29">
        <v>13120</v>
      </c>
      <c r="T674" s="29" t="s">
        <v>2393</v>
      </c>
      <c r="U674" s="33" t="s">
        <v>2394</v>
      </c>
    </row>
    <row r="675" spans="1:21" ht="28.5" customHeight="1" x14ac:dyDescent="0.3">
      <c r="A675" s="27">
        <v>672</v>
      </c>
      <c r="B675" s="28">
        <v>2025</v>
      </c>
      <c r="C675" s="29" t="s">
        <v>272</v>
      </c>
      <c r="D675" s="30" t="s">
        <v>380</v>
      </c>
      <c r="E675" s="29">
        <v>29403230</v>
      </c>
      <c r="F675" s="29">
        <v>1176431</v>
      </c>
      <c r="G675" s="30" t="s">
        <v>2395</v>
      </c>
      <c r="H675" s="29">
        <v>1026</v>
      </c>
      <c r="I675" s="29">
        <v>1</v>
      </c>
      <c r="J675" s="29"/>
      <c r="K675" s="30"/>
      <c r="L675" s="29" t="s">
        <v>72</v>
      </c>
      <c r="M675" s="31">
        <v>8948</v>
      </c>
      <c r="N675" s="31">
        <v>2237</v>
      </c>
      <c r="O675" s="31">
        <v>11185</v>
      </c>
      <c r="P675" s="31">
        <f>VLOOKUP(F675,'[3]1ª PARCELA'!$E$5:$H$889,4,FALSE)</f>
        <v>11185</v>
      </c>
      <c r="Q675" s="31" t="b">
        <f t="shared" si="10"/>
        <v>1</v>
      </c>
      <c r="R675" s="32">
        <v>45793</v>
      </c>
      <c r="S675" s="29">
        <v>9173</v>
      </c>
      <c r="T675" s="29" t="s">
        <v>2396</v>
      </c>
      <c r="U675" s="33" t="s">
        <v>2397</v>
      </c>
    </row>
    <row r="676" spans="1:21" ht="28.5" customHeight="1" x14ac:dyDescent="0.3">
      <c r="A676" s="27">
        <v>673</v>
      </c>
      <c r="B676" s="28">
        <v>2025</v>
      </c>
      <c r="C676" s="29" t="s">
        <v>961</v>
      </c>
      <c r="D676" s="30" t="s">
        <v>1092</v>
      </c>
      <c r="E676" s="29">
        <v>29404240</v>
      </c>
      <c r="F676" s="29">
        <v>1176765</v>
      </c>
      <c r="G676" s="30" t="s">
        <v>2398</v>
      </c>
      <c r="H676" s="29">
        <v>737</v>
      </c>
      <c r="I676" s="29">
        <v>1</v>
      </c>
      <c r="J676" s="29"/>
      <c r="K676" s="30"/>
      <c r="L676" s="29" t="s">
        <v>72</v>
      </c>
      <c r="M676" s="31">
        <v>6636</v>
      </c>
      <c r="N676" s="31">
        <v>1659</v>
      </c>
      <c r="O676" s="31">
        <v>8295</v>
      </c>
      <c r="P676" s="31">
        <f>VLOOKUP(F676,'[3]1ª PARCELA'!$E$5:$H$889,4,FALSE)</f>
        <v>8295</v>
      </c>
      <c r="Q676" s="31" t="b">
        <f t="shared" si="10"/>
        <v>1</v>
      </c>
      <c r="R676" s="32">
        <v>45954</v>
      </c>
      <c r="S676" s="29">
        <v>28607</v>
      </c>
      <c r="T676" s="29" t="s">
        <v>2399</v>
      </c>
      <c r="U676" s="33" t="s">
        <v>2400</v>
      </c>
    </row>
    <row r="677" spans="1:21" ht="28.5" customHeight="1" x14ac:dyDescent="0.3">
      <c r="A677" s="27">
        <v>674</v>
      </c>
      <c r="B677" s="28">
        <v>2025</v>
      </c>
      <c r="C677" s="29" t="s">
        <v>961</v>
      </c>
      <c r="D677" s="30" t="s">
        <v>1092</v>
      </c>
      <c r="E677" s="29">
        <v>29404266</v>
      </c>
      <c r="F677" s="29">
        <v>1176610</v>
      </c>
      <c r="G677" s="30" t="s">
        <v>213</v>
      </c>
      <c r="H677" s="29">
        <v>690</v>
      </c>
      <c r="I677" s="29">
        <v>1</v>
      </c>
      <c r="J677" s="29"/>
      <c r="K677" s="30"/>
      <c r="L677" s="29" t="s">
        <v>72</v>
      </c>
      <c r="M677" s="31">
        <v>6260</v>
      </c>
      <c r="N677" s="31">
        <v>1565</v>
      </c>
      <c r="O677" s="31">
        <v>7825</v>
      </c>
      <c r="P677" s="31">
        <f>VLOOKUP(F677,'[3]1ª PARCELA'!$E$5:$H$889,4,FALSE)</f>
        <v>7825</v>
      </c>
      <c r="Q677" s="31" t="b">
        <f t="shared" si="10"/>
        <v>1</v>
      </c>
      <c r="R677" s="32">
        <v>45793</v>
      </c>
      <c r="S677" s="29">
        <v>9173</v>
      </c>
      <c r="T677" s="29" t="s">
        <v>2401</v>
      </c>
      <c r="U677" s="33" t="s">
        <v>2402</v>
      </c>
    </row>
    <row r="678" spans="1:21" ht="28.5" customHeight="1" x14ac:dyDescent="0.3">
      <c r="A678" s="27">
        <v>675</v>
      </c>
      <c r="B678" s="28">
        <v>2025</v>
      </c>
      <c r="C678" s="29" t="s">
        <v>961</v>
      </c>
      <c r="D678" s="30" t="s">
        <v>1092</v>
      </c>
      <c r="E678" s="29">
        <v>29404274</v>
      </c>
      <c r="F678" s="29">
        <v>1176660</v>
      </c>
      <c r="G678" s="30" t="s">
        <v>2403</v>
      </c>
      <c r="H678" s="29">
        <v>1824</v>
      </c>
      <c r="I678" s="29">
        <v>1</v>
      </c>
      <c r="J678" s="29"/>
      <c r="K678" s="30"/>
      <c r="L678" s="29" t="s">
        <v>72</v>
      </c>
      <c r="M678" s="31">
        <v>15332</v>
      </c>
      <c r="N678" s="31">
        <v>3833</v>
      </c>
      <c r="O678" s="31">
        <v>19165</v>
      </c>
      <c r="P678" s="31">
        <f>VLOOKUP(F678,'[3]1ª PARCELA'!$E$5:$H$889,4,FALSE)</f>
        <v>19165</v>
      </c>
      <c r="Q678" s="31" t="b">
        <f t="shared" si="10"/>
        <v>1</v>
      </c>
      <c r="R678" s="32">
        <v>45833</v>
      </c>
      <c r="S678" s="29">
        <v>13120</v>
      </c>
      <c r="T678" s="29" t="s">
        <v>2404</v>
      </c>
      <c r="U678" s="33" t="s">
        <v>2405</v>
      </c>
    </row>
    <row r="679" spans="1:21" ht="28.5" customHeight="1" x14ac:dyDescent="0.3">
      <c r="A679" s="27">
        <v>676</v>
      </c>
      <c r="B679" s="28">
        <v>2025</v>
      </c>
      <c r="C679" s="29" t="s">
        <v>961</v>
      </c>
      <c r="D679" s="30" t="s">
        <v>1092</v>
      </c>
      <c r="E679" s="29">
        <v>29404282</v>
      </c>
      <c r="F679" s="29">
        <v>1176795</v>
      </c>
      <c r="G679" s="30" t="s">
        <v>2406</v>
      </c>
      <c r="H679" s="29">
        <v>1325</v>
      </c>
      <c r="I679" s="29">
        <v>1</v>
      </c>
      <c r="J679" s="29"/>
      <c r="K679" s="30"/>
      <c r="L679" s="29" t="s">
        <v>72</v>
      </c>
      <c r="M679" s="31">
        <v>11340</v>
      </c>
      <c r="N679" s="31">
        <v>2835</v>
      </c>
      <c r="O679" s="31">
        <v>14175</v>
      </c>
      <c r="P679" s="31">
        <f>VLOOKUP(F679,'[3]1ª PARCELA'!$E$5:$H$889,4,FALSE)</f>
        <v>14175</v>
      </c>
      <c r="Q679" s="31" t="b">
        <f t="shared" si="10"/>
        <v>1</v>
      </c>
      <c r="R679" s="32">
        <v>45849</v>
      </c>
      <c r="S679" s="29">
        <v>15915</v>
      </c>
      <c r="T679" s="29" t="s">
        <v>2407</v>
      </c>
      <c r="U679" s="33" t="s">
        <v>2408</v>
      </c>
    </row>
    <row r="680" spans="1:21" ht="28.5" customHeight="1" x14ac:dyDescent="0.3">
      <c r="A680" s="27">
        <v>677</v>
      </c>
      <c r="B680" s="28">
        <v>2025</v>
      </c>
      <c r="C680" s="29" t="s">
        <v>961</v>
      </c>
      <c r="D680" s="30" t="s">
        <v>1092</v>
      </c>
      <c r="E680" s="29">
        <v>29404290</v>
      </c>
      <c r="F680" s="29">
        <v>1176661</v>
      </c>
      <c r="G680" s="30" t="s">
        <v>2409</v>
      </c>
      <c r="H680" s="29">
        <v>440</v>
      </c>
      <c r="I680" s="29">
        <v>1</v>
      </c>
      <c r="J680" s="29"/>
      <c r="K680" s="30"/>
      <c r="L680" s="29" t="s">
        <v>72</v>
      </c>
      <c r="M680" s="31">
        <v>4260</v>
      </c>
      <c r="N680" s="31">
        <v>1065</v>
      </c>
      <c r="O680" s="31">
        <v>5325</v>
      </c>
      <c r="P680" s="31">
        <f>VLOOKUP(F680,'[3]1ª PARCELA'!$E$5:$H$889,4,FALSE)</f>
        <v>5325</v>
      </c>
      <c r="Q680" s="31" t="b">
        <f t="shared" si="10"/>
        <v>1</v>
      </c>
      <c r="R680" s="32">
        <v>45849</v>
      </c>
      <c r="S680" s="29">
        <v>15915</v>
      </c>
      <c r="T680" s="29" t="s">
        <v>2410</v>
      </c>
      <c r="U680" s="33" t="s">
        <v>2411</v>
      </c>
    </row>
    <row r="681" spans="1:21" ht="28.5" customHeight="1" x14ac:dyDescent="0.3">
      <c r="A681" s="27">
        <v>678</v>
      </c>
      <c r="B681" s="28">
        <v>2025</v>
      </c>
      <c r="C681" s="29" t="s">
        <v>961</v>
      </c>
      <c r="D681" s="30" t="s">
        <v>1092</v>
      </c>
      <c r="E681" s="29">
        <v>29404312</v>
      </c>
      <c r="F681" s="29">
        <v>1176800</v>
      </c>
      <c r="G681" s="30" t="s">
        <v>2412</v>
      </c>
      <c r="H681" s="29">
        <v>384</v>
      </c>
      <c r="I681" s="29">
        <v>1</v>
      </c>
      <c r="J681" s="29"/>
      <c r="K681" s="30"/>
      <c r="L681" s="29" t="s">
        <v>72</v>
      </c>
      <c r="M681" s="31">
        <v>3812</v>
      </c>
      <c r="N681" s="31">
        <v>953</v>
      </c>
      <c r="O681" s="31">
        <v>4765</v>
      </c>
      <c r="P681" s="31">
        <f>VLOOKUP(F681,'[3]1ª PARCELA'!$E$5:$H$889,4,FALSE)</f>
        <v>4765</v>
      </c>
      <c r="Q681" s="31" t="b">
        <f t="shared" si="10"/>
        <v>1</v>
      </c>
      <c r="R681" s="32">
        <v>45967</v>
      </c>
      <c r="S681" s="29">
        <v>29630</v>
      </c>
      <c r="T681" s="29" t="s">
        <v>2413</v>
      </c>
      <c r="U681" s="33" t="s">
        <v>2414</v>
      </c>
    </row>
    <row r="682" spans="1:21" ht="28.5" customHeight="1" x14ac:dyDescent="0.3">
      <c r="A682" s="27">
        <v>679</v>
      </c>
      <c r="B682" s="28">
        <v>2025</v>
      </c>
      <c r="C682" s="29" t="s">
        <v>961</v>
      </c>
      <c r="D682" s="30" t="s">
        <v>1092</v>
      </c>
      <c r="E682" s="29">
        <v>29404339</v>
      </c>
      <c r="F682" s="29">
        <v>1176880</v>
      </c>
      <c r="G682" s="30" t="s">
        <v>2415</v>
      </c>
      <c r="H682" s="29">
        <v>1203</v>
      </c>
      <c r="I682" s="29">
        <v>1</v>
      </c>
      <c r="J682" s="29"/>
      <c r="K682" s="30"/>
      <c r="L682" s="29" t="s">
        <v>72</v>
      </c>
      <c r="M682" s="31">
        <v>9068.5</v>
      </c>
      <c r="N682" s="31">
        <v>3886.5</v>
      </c>
      <c r="O682" s="31">
        <v>12955</v>
      </c>
      <c r="P682" s="31">
        <f>VLOOKUP(F682,'[3]1ª PARCELA'!$E$5:$H$889,4,FALSE)</f>
        <v>12955</v>
      </c>
      <c r="Q682" s="31" t="b">
        <f t="shared" si="10"/>
        <v>1</v>
      </c>
      <c r="R682" s="32">
        <v>45867</v>
      </c>
      <c r="S682" s="29">
        <v>16705</v>
      </c>
      <c r="T682" s="29" t="s">
        <v>2416</v>
      </c>
      <c r="U682" s="33" t="s">
        <v>2417</v>
      </c>
    </row>
    <row r="683" spans="1:21" ht="28.5" customHeight="1" x14ac:dyDescent="0.3">
      <c r="A683" s="27">
        <v>680</v>
      </c>
      <c r="B683" s="28">
        <v>2025</v>
      </c>
      <c r="C683" s="29" t="s">
        <v>961</v>
      </c>
      <c r="D683" s="30" t="s">
        <v>1455</v>
      </c>
      <c r="E683" s="29">
        <v>29404460</v>
      </c>
      <c r="F683" s="29">
        <v>1177009</v>
      </c>
      <c r="G683" s="30" t="s">
        <v>2418</v>
      </c>
      <c r="H683" s="29">
        <v>796</v>
      </c>
      <c r="I683" s="29">
        <v>1</v>
      </c>
      <c r="J683" s="29"/>
      <c r="K683" s="30"/>
      <c r="L683" s="29" t="s">
        <v>72</v>
      </c>
      <c r="M683" s="31">
        <v>7996.5</v>
      </c>
      <c r="N683" s="31">
        <v>888.5</v>
      </c>
      <c r="O683" s="31">
        <v>8885</v>
      </c>
      <c r="P683" s="31">
        <f>VLOOKUP(F683,'[3]1ª PARCELA'!$E$5:$H$889,4,FALSE)</f>
        <v>8885</v>
      </c>
      <c r="Q683" s="31" t="b">
        <f t="shared" si="10"/>
        <v>1</v>
      </c>
      <c r="R683" s="32">
        <v>45867</v>
      </c>
      <c r="S683" s="29">
        <v>16705</v>
      </c>
      <c r="T683" s="29" t="s">
        <v>2419</v>
      </c>
      <c r="U683" s="33" t="s">
        <v>2420</v>
      </c>
    </row>
    <row r="684" spans="1:21" ht="28.5" customHeight="1" x14ac:dyDescent="0.3">
      <c r="A684" s="27">
        <v>681</v>
      </c>
      <c r="B684" s="28">
        <v>2025</v>
      </c>
      <c r="C684" s="29" t="s">
        <v>1906</v>
      </c>
      <c r="D684" s="30" t="s">
        <v>2421</v>
      </c>
      <c r="E684" s="29">
        <v>29406668</v>
      </c>
      <c r="F684" s="29">
        <v>1177004</v>
      </c>
      <c r="G684" s="30" t="s">
        <v>2422</v>
      </c>
      <c r="H684" s="29">
        <v>426</v>
      </c>
      <c r="I684" s="29">
        <v>1</v>
      </c>
      <c r="J684" s="29"/>
      <c r="K684" s="30"/>
      <c r="L684" s="29" t="s">
        <v>72</v>
      </c>
      <c r="M684" s="31">
        <v>2074</v>
      </c>
      <c r="N684" s="31">
        <v>3111</v>
      </c>
      <c r="O684" s="31">
        <v>5185</v>
      </c>
      <c r="P684" s="31">
        <f>VLOOKUP(F684,'[3]1ª PARCELA'!$E$5:$H$889,4,FALSE)</f>
        <v>5185</v>
      </c>
      <c r="Q684" s="31" t="b">
        <f t="shared" si="10"/>
        <v>1</v>
      </c>
      <c r="R684" s="32">
        <v>45793</v>
      </c>
      <c r="S684" s="29">
        <v>9173</v>
      </c>
      <c r="T684" s="29" t="s">
        <v>2423</v>
      </c>
      <c r="U684" s="33" t="s">
        <v>2424</v>
      </c>
    </row>
    <row r="685" spans="1:21" ht="28.5" customHeight="1" x14ac:dyDescent="0.3">
      <c r="A685" s="27">
        <v>682</v>
      </c>
      <c r="B685" s="28">
        <v>2025</v>
      </c>
      <c r="C685" s="29" t="s">
        <v>1906</v>
      </c>
      <c r="D685" s="30" t="s">
        <v>1985</v>
      </c>
      <c r="E685" s="29">
        <v>29406889</v>
      </c>
      <c r="F685" s="29">
        <v>1176675</v>
      </c>
      <c r="G685" s="30" t="s">
        <v>2425</v>
      </c>
      <c r="H685" s="29">
        <v>340</v>
      </c>
      <c r="I685" s="29">
        <v>1</v>
      </c>
      <c r="J685" s="29"/>
      <c r="K685" s="30"/>
      <c r="L685" s="29" t="s">
        <v>72</v>
      </c>
      <c r="M685" s="31">
        <v>3460</v>
      </c>
      <c r="N685" s="31">
        <v>865</v>
      </c>
      <c r="O685" s="31">
        <v>4325</v>
      </c>
      <c r="P685" s="31">
        <f>VLOOKUP(F685,'[3]1ª PARCELA'!$E$5:$H$889,4,FALSE)</f>
        <v>4325</v>
      </c>
      <c r="Q685" s="31" t="b">
        <f t="shared" si="10"/>
        <v>1</v>
      </c>
      <c r="R685" s="32">
        <v>45926</v>
      </c>
      <c r="S685" s="29">
        <v>24529</v>
      </c>
      <c r="T685" s="29" t="s">
        <v>2426</v>
      </c>
      <c r="U685" s="33" t="s">
        <v>2427</v>
      </c>
    </row>
    <row r="686" spans="1:21" ht="28.5" customHeight="1" x14ac:dyDescent="0.3">
      <c r="A686" s="27">
        <v>683</v>
      </c>
      <c r="B686" s="28">
        <v>2025</v>
      </c>
      <c r="C686" s="29" t="s">
        <v>1906</v>
      </c>
      <c r="D686" s="30" t="s">
        <v>2428</v>
      </c>
      <c r="E686" s="29">
        <v>29407044</v>
      </c>
      <c r="F686" s="29">
        <v>1177011</v>
      </c>
      <c r="G686" s="30" t="s">
        <v>2429</v>
      </c>
      <c r="H686" s="29">
        <v>448</v>
      </c>
      <c r="I686" s="29">
        <v>1</v>
      </c>
      <c r="J686" s="29"/>
      <c r="K686" s="30"/>
      <c r="L686" s="29" t="s">
        <v>72</v>
      </c>
      <c r="M686" s="31">
        <v>4353</v>
      </c>
      <c r="N686" s="31">
        <v>2902</v>
      </c>
      <c r="O686" s="31">
        <v>7255</v>
      </c>
      <c r="P686" s="31">
        <f>VLOOKUP(F686,'[3]1ª PARCELA'!$E$5:$H$889,4,FALSE)</f>
        <v>7255</v>
      </c>
      <c r="Q686" s="31" t="b">
        <f t="shared" si="10"/>
        <v>1</v>
      </c>
      <c r="R686" s="32">
        <v>45967</v>
      </c>
      <c r="S686" s="29">
        <v>29630</v>
      </c>
      <c r="T686" s="29" t="s">
        <v>2430</v>
      </c>
      <c r="U686" s="33" t="s">
        <v>2431</v>
      </c>
    </row>
    <row r="687" spans="1:21" ht="28.5" customHeight="1" x14ac:dyDescent="0.3">
      <c r="A687" s="27">
        <v>684</v>
      </c>
      <c r="B687" s="28">
        <v>2025</v>
      </c>
      <c r="C687" s="29" t="s">
        <v>701</v>
      </c>
      <c r="D687" s="30" t="s">
        <v>2432</v>
      </c>
      <c r="E687" s="29">
        <v>29407834</v>
      </c>
      <c r="F687" s="29">
        <v>1177006</v>
      </c>
      <c r="G687" s="30" t="s">
        <v>2433</v>
      </c>
      <c r="H687" s="29">
        <v>1139</v>
      </c>
      <c r="I687" s="29">
        <v>1</v>
      </c>
      <c r="J687" s="29"/>
      <c r="K687" s="30"/>
      <c r="L687" s="29" t="s">
        <v>72</v>
      </c>
      <c r="M687" s="31">
        <v>8620.5</v>
      </c>
      <c r="N687" s="31">
        <v>3694.5</v>
      </c>
      <c r="O687" s="31">
        <v>12315</v>
      </c>
      <c r="P687" s="31">
        <f>VLOOKUP(F687,'[3]1ª PARCELA'!$E$5:$H$889,4,FALSE)</f>
        <v>12315</v>
      </c>
      <c r="Q687" s="31" t="b">
        <f t="shared" si="10"/>
        <v>1</v>
      </c>
      <c r="R687" s="32">
        <v>45793</v>
      </c>
      <c r="S687" s="29">
        <v>9173</v>
      </c>
      <c r="T687" s="29" t="s">
        <v>2434</v>
      </c>
      <c r="U687" s="33" t="s">
        <v>2435</v>
      </c>
    </row>
    <row r="688" spans="1:21" ht="28.5" customHeight="1" x14ac:dyDescent="0.3">
      <c r="A688" s="27">
        <v>685</v>
      </c>
      <c r="B688" s="28">
        <v>2025</v>
      </c>
      <c r="C688" s="29" t="s">
        <v>1588</v>
      </c>
      <c r="D688" s="30" t="s">
        <v>1619</v>
      </c>
      <c r="E688" s="29">
        <v>29408172</v>
      </c>
      <c r="F688" s="29">
        <v>1176664</v>
      </c>
      <c r="G688" s="30" t="s">
        <v>2436</v>
      </c>
      <c r="H688" s="29">
        <v>433</v>
      </c>
      <c r="I688" s="29">
        <v>1</v>
      </c>
      <c r="J688" s="29"/>
      <c r="K688" s="30"/>
      <c r="L688" s="29" t="s">
        <v>72</v>
      </c>
      <c r="M688" s="31">
        <v>4204</v>
      </c>
      <c r="N688" s="31">
        <v>1051</v>
      </c>
      <c r="O688" s="31">
        <v>5255</v>
      </c>
      <c r="P688" s="31">
        <f>VLOOKUP(F688,'[3]1ª PARCELA'!$E$5:$H$889,4,FALSE)</f>
        <v>5255</v>
      </c>
      <c r="Q688" s="31" t="b">
        <f t="shared" si="10"/>
        <v>1</v>
      </c>
      <c r="R688" s="32">
        <v>45793</v>
      </c>
      <c r="S688" s="29">
        <v>9173</v>
      </c>
      <c r="T688" s="29" t="s">
        <v>2437</v>
      </c>
      <c r="U688" s="33" t="s">
        <v>2438</v>
      </c>
    </row>
    <row r="689" spans="1:21" ht="28.5" customHeight="1" x14ac:dyDescent="0.3">
      <c r="A689" s="27">
        <v>686</v>
      </c>
      <c r="B689" s="28">
        <v>2025</v>
      </c>
      <c r="C689" s="29" t="s">
        <v>1719</v>
      </c>
      <c r="D689" s="30" t="s">
        <v>2439</v>
      </c>
      <c r="E689" s="29">
        <v>29409535</v>
      </c>
      <c r="F689" s="29">
        <v>1177071</v>
      </c>
      <c r="G689" s="30" t="s">
        <v>2440</v>
      </c>
      <c r="H689" s="29">
        <v>330</v>
      </c>
      <c r="I689" s="29">
        <v>1</v>
      </c>
      <c r="J689" s="29"/>
      <c r="K689" s="30"/>
      <c r="L689" s="29" t="s">
        <v>72</v>
      </c>
      <c r="M689" s="31">
        <v>1690</v>
      </c>
      <c r="N689" s="31">
        <v>2535</v>
      </c>
      <c r="O689" s="31">
        <v>4225</v>
      </c>
      <c r="P689" s="31">
        <f>VLOOKUP(F689,'[3]1ª PARCELA'!$E$5:$H$889,4,FALSE)</f>
        <v>4225</v>
      </c>
      <c r="Q689" s="31" t="b">
        <f t="shared" si="10"/>
        <v>1</v>
      </c>
      <c r="R689" s="32">
        <v>45793</v>
      </c>
      <c r="S689" s="29">
        <v>9173</v>
      </c>
      <c r="T689" s="29" t="s">
        <v>2441</v>
      </c>
      <c r="U689" s="33" t="s">
        <v>2442</v>
      </c>
    </row>
    <row r="690" spans="1:21" ht="28.5" customHeight="1" x14ac:dyDescent="0.3">
      <c r="A690" s="27">
        <v>687</v>
      </c>
      <c r="B690" s="28">
        <v>2025</v>
      </c>
      <c r="C690" s="29" t="s">
        <v>534</v>
      </c>
      <c r="D690" s="30" t="s">
        <v>2443</v>
      </c>
      <c r="E690" s="29">
        <v>29410452</v>
      </c>
      <c r="F690" s="29">
        <v>1177069</v>
      </c>
      <c r="G690" s="30" t="s">
        <v>2444</v>
      </c>
      <c r="H690" s="29">
        <v>827</v>
      </c>
      <c r="I690" s="29">
        <v>1</v>
      </c>
      <c r="J690" s="29"/>
      <c r="K690" s="30"/>
      <c r="L690" s="29" t="s">
        <v>72</v>
      </c>
      <c r="M690" s="31">
        <v>6436.5</v>
      </c>
      <c r="N690" s="31">
        <v>2758.5</v>
      </c>
      <c r="O690" s="31">
        <v>9195</v>
      </c>
      <c r="P690" s="31">
        <f>VLOOKUP(F690,'[3]1ª PARCELA'!$E$5:$H$889,4,FALSE)</f>
        <v>9195</v>
      </c>
      <c r="Q690" s="31" t="b">
        <f t="shared" si="10"/>
        <v>1</v>
      </c>
      <c r="R690" s="32">
        <v>45805</v>
      </c>
      <c r="S690" s="29">
        <v>9678</v>
      </c>
      <c r="T690" s="29" t="s">
        <v>2445</v>
      </c>
      <c r="U690" s="33" t="s">
        <v>2446</v>
      </c>
    </row>
    <row r="691" spans="1:21" ht="28.5" customHeight="1" x14ac:dyDescent="0.3">
      <c r="A691" s="27">
        <v>688</v>
      </c>
      <c r="B691" s="28">
        <v>2025</v>
      </c>
      <c r="C691" s="29" t="s">
        <v>718</v>
      </c>
      <c r="D691" s="30" t="s">
        <v>2447</v>
      </c>
      <c r="E691" s="29">
        <v>29410975</v>
      </c>
      <c r="F691" s="29">
        <v>1177070</v>
      </c>
      <c r="G691" s="30" t="s">
        <v>2448</v>
      </c>
      <c r="H691" s="29">
        <v>286</v>
      </c>
      <c r="I691" s="29">
        <v>1</v>
      </c>
      <c r="J691" s="29"/>
      <c r="K691" s="30"/>
      <c r="L691" s="29" t="s">
        <v>72</v>
      </c>
      <c r="M691" s="31">
        <v>2271</v>
      </c>
      <c r="N691" s="31">
        <v>1514</v>
      </c>
      <c r="O691" s="31">
        <v>3785</v>
      </c>
      <c r="P691" s="31">
        <f>VLOOKUP(F691,'[3]1ª PARCELA'!$E$5:$H$889,4,FALSE)</f>
        <v>3785</v>
      </c>
      <c r="Q691" s="31" t="b">
        <f t="shared" si="10"/>
        <v>1</v>
      </c>
      <c r="R691" s="32">
        <v>45926</v>
      </c>
      <c r="S691" s="29">
        <v>24529</v>
      </c>
      <c r="T691" s="29" t="s">
        <v>2449</v>
      </c>
      <c r="U691" s="33" t="s">
        <v>2450</v>
      </c>
    </row>
    <row r="692" spans="1:21" ht="28.5" customHeight="1" x14ac:dyDescent="0.3">
      <c r="A692" s="27">
        <v>689</v>
      </c>
      <c r="B692" s="28">
        <v>2025</v>
      </c>
      <c r="C692" s="29" t="s">
        <v>961</v>
      </c>
      <c r="D692" s="30" t="s">
        <v>1092</v>
      </c>
      <c r="E692" s="29">
        <v>29411491</v>
      </c>
      <c r="F692" s="29">
        <v>1176810</v>
      </c>
      <c r="G692" s="30" t="s">
        <v>2451</v>
      </c>
      <c r="H692" s="29">
        <v>1600</v>
      </c>
      <c r="I692" s="29">
        <v>1</v>
      </c>
      <c r="J692" s="29"/>
      <c r="K692" s="30"/>
      <c r="L692" s="29" t="s">
        <v>72</v>
      </c>
      <c r="M692" s="31">
        <v>13540</v>
      </c>
      <c r="N692" s="31">
        <v>3385</v>
      </c>
      <c r="O692" s="31">
        <v>16925</v>
      </c>
      <c r="P692" s="31">
        <f>VLOOKUP(F692,'[3]1ª PARCELA'!$E$5:$H$889,4,FALSE)</f>
        <v>16925</v>
      </c>
      <c r="Q692" s="31" t="b">
        <f t="shared" si="10"/>
        <v>1</v>
      </c>
      <c r="R692" s="32">
        <v>45833</v>
      </c>
      <c r="S692" s="29">
        <v>13120</v>
      </c>
      <c r="T692" s="29" t="s">
        <v>2452</v>
      </c>
      <c r="U692" s="33" t="s">
        <v>2453</v>
      </c>
    </row>
    <row r="693" spans="1:21" ht="28.5" customHeight="1" x14ac:dyDescent="0.3">
      <c r="A693" s="27">
        <v>690</v>
      </c>
      <c r="B693" s="28">
        <v>2025</v>
      </c>
      <c r="C693" s="29" t="s">
        <v>718</v>
      </c>
      <c r="D693" s="30" t="s">
        <v>2454</v>
      </c>
      <c r="E693" s="29">
        <v>29411947</v>
      </c>
      <c r="F693" s="29">
        <v>1177073</v>
      </c>
      <c r="G693" s="30" t="s">
        <v>2455</v>
      </c>
      <c r="H693" s="29">
        <v>1435</v>
      </c>
      <c r="I693" s="29">
        <v>1</v>
      </c>
      <c r="J693" s="29"/>
      <c r="K693" s="30"/>
      <c r="L693" s="29" t="s">
        <v>72</v>
      </c>
      <c r="M693" s="31">
        <v>12220</v>
      </c>
      <c r="N693" s="31">
        <v>3055</v>
      </c>
      <c r="O693" s="31">
        <v>15275</v>
      </c>
      <c r="P693" s="31">
        <f>VLOOKUP(F693,'[3]1ª PARCELA'!$E$5:$H$889,4,FALSE)</f>
        <v>15275</v>
      </c>
      <c r="Q693" s="31" t="b">
        <f t="shared" si="10"/>
        <v>1</v>
      </c>
      <c r="R693" s="32">
        <v>45954</v>
      </c>
      <c r="S693" s="29">
        <v>28607</v>
      </c>
      <c r="T693" s="29" t="s">
        <v>2456</v>
      </c>
      <c r="U693" s="33" t="s">
        <v>2457</v>
      </c>
    </row>
    <row r="694" spans="1:21" ht="28.5" customHeight="1" x14ac:dyDescent="0.3">
      <c r="A694" s="27">
        <v>691</v>
      </c>
      <c r="B694" s="28">
        <v>2025</v>
      </c>
      <c r="C694" s="29" t="s">
        <v>961</v>
      </c>
      <c r="D694" s="30" t="s">
        <v>1053</v>
      </c>
      <c r="E694" s="29">
        <v>29413680</v>
      </c>
      <c r="F694" s="29">
        <v>1177090</v>
      </c>
      <c r="G694" s="30" t="s">
        <v>2337</v>
      </c>
      <c r="H694" s="29">
        <v>1823</v>
      </c>
      <c r="I694" s="29">
        <v>1</v>
      </c>
      <c r="J694" s="29"/>
      <c r="K694" s="30"/>
      <c r="L694" s="29" t="s">
        <v>72</v>
      </c>
      <c r="M694" s="31">
        <v>9577.5</v>
      </c>
      <c r="N694" s="31">
        <v>9577.5</v>
      </c>
      <c r="O694" s="31">
        <v>19155</v>
      </c>
      <c r="P694" s="31">
        <f>VLOOKUP(F694,'[3]1ª PARCELA'!$E$5:$H$889,4,FALSE)</f>
        <v>19155</v>
      </c>
      <c r="Q694" s="31" t="b">
        <f t="shared" si="10"/>
        <v>1</v>
      </c>
      <c r="R694" s="32">
        <v>45793</v>
      </c>
      <c r="S694" s="29">
        <v>9173</v>
      </c>
      <c r="T694" s="29" t="s">
        <v>2458</v>
      </c>
      <c r="U694" s="33" t="s">
        <v>2459</v>
      </c>
    </row>
    <row r="695" spans="1:21" ht="28.5" customHeight="1" x14ac:dyDescent="0.3">
      <c r="A695" s="27">
        <v>692</v>
      </c>
      <c r="B695" s="28">
        <v>2025</v>
      </c>
      <c r="C695" s="29" t="s">
        <v>961</v>
      </c>
      <c r="D695" s="30" t="s">
        <v>1092</v>
      </c>
      <c r="E695" s="29">
        <v>29414903</v>
      </c>
      <c r="F695" s="29">
        <v>1177094</v>
      </c>
      <c r="G695" s="30" t="s">
        <v>2460</v>
      </c>
      <c r="H695" s="29">
        <v>358</v>
      </c>
      <c r="I695" s="29">
        <v>1</v>
      </c>
      <c r="J695" s="29"/>
      <c r="K695" s="30"/>
      <c r="L695" s="29" t="s">
        <v>72</v>
      </c>
      <c r="M695" s="31">
        <v>3604</v>
      </c>
      <c r="N695" s="31">
        <v>901</v>
      </c>
      <c r="O695" s="31">
        <v>4505</v>
      </c>
      <c r="P695" s="31">
        <f>VLOOKUP(F695,'[3]1ª PARCELA'!$E$5:$H$889,4,FALSE)</f>
        <v>4505</v>
      </c>
      <c r="Q695" s="31" t="b">
        <f t="shared" si="10"/>
        <v>1</v>
      </c>
      <c r="R695" s="32">
        <v>45895</v>
      </c>
      <c r="S695" s="29">
        <v>19863</v>
      </c>
      <c r="T695" s="29" t="s">
        <v>2461</v>
      </c>
      <c r="U695" s="33" t="s">
        <v>2462</v>
      </c>
    </row>
    <row r="696" spans="1:21" ht="28.5" customHeight="1" x14ac:dyDescent="0.3">
      <c r="A696" s="27">
        <v>693</v>
      </c>
      <c r="B696" s="28">
        <v>2025</v>
      </c>
      <c r="C696" s="29" t="s">
        <v>961</v>
      </c>
      <c r="D696" s="30" t="s">
        <v>1063</v>
      </c>
      <c r="E696" s="29">
        <v>29415969</v>
      </c>
      <c r="F696" s="29">
        <v>1177099</v>
      </c>
      <c r="G696" s="30" t="s">
        <v>2463</v>
      </c>
      <c r="H696" s="29">
        <v>724</v>
      </c>
      <c r="I696" s="29">
        <v>1</v>
      </c>
      <c r="J696" s="29"/>
      <c r="K696" s="30"/>
      <c r="L696" s="29" t="s">
        <v>72</v>
      </c>
      <c r="M696" s="31">
        <v>6532</v>
      </c>
      <c r="N696" s="31">
        <v>1633</v>
      </c>
      <c r="O696" s="31">
        <v>8165</v>
      </c>
      <c r="P696" s="31">
        <f>VLOOKUP(F696,'[3]1ª PARCELA'!$E$5:$H$889,4,FALSE)</f>
        <v>8165</v>
      </c>
      <c r="Q696" s="31" t="b">
        <f t="shared" si="10"/>
        <v>1</v>
      </c>
      <c r="R696" s="32">
        <v>45967</v>
      </c>
      <c r="S696" s="29">
        <v>29630</v>
      </c>
      <c r="T696" s="29" t="s">
        <v>2464</v>
      </c>
      <c r="U696" s="33" t="s">
        <v>2465</v>
      </c>
    </row>
    <row r="697" spans="1:21" ht="28.5" customHeight="1" x14ac:dyDescent="0.3">
      <c r="A697" s="27">
        <v>694</v>
      </c>
      <c r="B697" s="28">
        <v>2025</v>
      </c>
      <c r="C697" s="29" t="s">
        <v>1588</v>
      </c>
      <c r="D697" s="30" t="s">
        <v>1619</v>
      </c>
      <c r="E697" s="29">
        <v>29416604</v>
      </c>
      <c r="F697" s="29">
        <v>1177092</v>
      </c>
      <c r="G697" s="30" t="s">
        <v>2120</v>
      </c>
      <c r="H697" s="29">
        <v>907</v>
      </c>
      <c r="I697" s="29">
        <v>1</v>
      </c>
      <c r="J697" s="29"/>
      <c r="K697" s="30"/>
      <c r="L697" s="29" t="s">
        <v>72</v>
      </c>
      <c r="M697" s="31">
        <v>6996.5</v>
      </c>
      <c r="N697" s="31">
        <v>2998.5</v>
      </c>
      <c r="O697" s="31">
        <v>9995</v>
      </c>
      <c r="P697" s="31">
        <f>VLOOKUP(F697,'[3]1ª PARCELA'!$E$5:$H$889,4,FALSE)</f>
        <v>9995</v>
      </c>
      <c r="Q697" s="31" t="b">
        <f t="shared" si="10"/>
        <v>1</v>
      </c>
      <c r="R697" s="32">
        <v>45895</v>
      </c>
      <c r="S697" s="29">
        <v>19863</v>
      </c>
      <c r="T697" s="29" t="s">
        <v>2466</v>
      </c>
      <c r="U697" s="33" t="s">
        <v>2467</v>
      </c>
    </row>
    <row r="698" spans="1:21" ht="28.5" customHeight="1" x14ac:dyDescent="0.3">
      <c r="A698" s="27">
        <v>695</v>
      </c>
      <c r="B698" s="28">
        <v>2025</v>
      </c>
      <c r="C698" s="29" t="s">
        <v>655</v>
      </c>
      <c r="D698" s="30" t="s">
        <v>876</v>
      </c>
      <c r="E698" s="29">
        <v>29417163</v>
      </c>
      <c r="F698" s="29">
        <v>1177089</v>
      </c>
      <c r="G698" s="30" t="s">
        <v>2337</v>
      </c>
      <c r="H698" s="29">
        <v>1007</v>
      </c>
      <c r="I698" s="29">
        <v>1</v>
      </c>
      <c r="J698" s="29"/>
      <c r="K698" s="30"/>
      <c r="L698" s="29" t="s">
        <v>72</v>
      </c>
      <c r="M698" s="31">
        <v>7696.5</v>
      </c>
      <c r="N698" s="31">
        <v>3298.5</v>
      </c>
      <c r="O698" s="31">
        <v>10995</v>
      </c>
      <c r="P698" s="31">
        <f>VLOOKUP(F698,'[3]1ª PARCELA'!$E$5:$H$889,4,FALSE)</f>
        <v>10995</v>
      </c>
      <c r="Q698" s="31" t="b">
        <f t="shared" si="10"/>
        <v>1</v>
      </c>
      <c r="R698" s="32">
        <v>45833</v>
      </c>
      <c r="S698" s="29">
        <v>13120</v>
      </c>
      <c r="T698" s="29" t="s">
        <v>2468</v>
      </c>
      <c r="U698" s="33" t="s">
        <v>2469</v>
      </c>
    </row>
    <row r="699" spans="1:21" ht="28.5" customHeight="1" x14ac:dyDescent="0.3">
      <c r="A699" s="27">
        <v>696</v>
      </c>
      <c r="B699" s="28">
        <v>2025</v>
      </c>
      <c r="C699" s="29" t="s">
        <v>973</v>
      </c>
      <c r="D699" s="30" t="s">
        <v>1015</v>
      </c>
      <c r="E699" s="29">
        <v>29417287</v>
      </c>
      <c r="F699" s="29">
        <v>1178001</v>
      </c>
      <c r="G699" s="30" t="s">
        <v>2470</v>
      </c>
      <c r="H699" s="29">
        <v>470</v>
      </c>
      <c r="I699" s="29">
        <v>1</v>
      </c>
      <c r="J699" s="29"/>
      <c r="K699" s="30"/>
      <c r="L699" s="29" t="s">
        <v>72</v>
      </c>
      <c r="M699" s="31">
        <v>5232.5</v>
      </c>
      <c r="N699" s="31">
        <v>2242.5</v>
      </c>
      <c r="O699" s="31">
        <v>7475</v>
      </c>
      <c r="P699" s="31">
        <f>VLOOKUP(F699,'[3]1ª PARCELA'!$E$5:$H$889,4,FALSE)</f>
        <v>7475</v>
      </c>
      <c r="Q699" s="31" t="b">
        <f t="shared" si="10"/>
        <v>1</v>
      </c>
      <c r="R699" s="32">
        <v>45793</v>
      </c>
      <c r="S699" s="29">
        <v>9173</v>
      </c>
      <c r="T699" s="29" t="s">
        <v>2471</v>
      </c>
      <c r="U699" s="33" t="s">
        <v>2472</v>
      </c>
    </row>
    <row r="700" spans="1:21" ht="28.5" customHeight="1" x14ac:dyDescent="0.3">
      <c r="A700" s="27">
        <v>697</v>
      </c>
      <c r="B700" s="28">
        <v>2025</v>
      </c>
      <c r="C700" s="29" t="s">
        <v>69</v>
      </c>
      <c r="D700" s="30" t="s">
        <v>2473</v>
      </c>
      <c r="E700" s="29">
        <v>29418690</v>
      </c>
      <c r="F700" s="29">
        <v>1178003</v>
      </c>
      <c r="G700" s="30" t="s">
        <v>2474</v>
      </c>
      <c r="H700" s="29">
        <v>614</v>
      </c>
      <c r="I700" s="29">
        <v>1</v>
      </c>
      <c r="J700" s="29"/>
      <c r="K700" s="30"/>
      <c r="L700" s="29" t="s">
        <v>72</v>
      </c>
      <c r="M700" s="31">
        <v>4239</v>
      </c>
      <c r="N700" s="31">
        <v>2826</v>
      </c>
      <c r="O700" s="31">
        <v>7065</v>
      </c>
      <c r="P700" s="31">
        <f>VLOOKUP(F700,'[3]1ª PARCELA'!$E$5:$H$889,4,FALSE)</f>
        <v>7065</v>
      </c>
      <c r="Q700" s="31" t="b">
        <f t="shared" si="10"/>
        <v>1</v>
      </c>
      <c r="R700" s="32">
        <v>45793</v>
      </c>
      <c r="S700" s="29">
        <v>9173</v>
      </c>
      <c r="T700" s="29" t="s">
        <v>2475</v>
      </c>
      <c r="U700" s="33" t="s">
        <v>2476</v>
      </c>
    </row>
    <row r="701" spans="1:21" ht="28.5" customHeight="1" x14ac:dyDescent="0.3">
      <c r="A701" s="27">
        <v>698</v>
      </c>
      <c r="B701" s="28">
        <v>2025</v>
      </c>
      <c r="C701" s="29" t="s">
        <v>292</v>
      </c>
      <c r="D701" s="30" t="s">
        <v>309</v>
      </c>
      <c r="E701" s="29">
        <v>29419468</v>
      </c>
      <c r="F701" s="29">
        <v>1176700</v>
      </c>
      <c r="G701" s="30" t="s">
        <v>2477</v>
      </c>
      <c r="H701" s="29">
        <v>835</v>
      </c>
      <c r="I701" s="29">
        <v>1</v>
      </c>
      <c r="J701" s="29"/>
      <c r="K701" s="30"/>
      <c r="L701" s="29" t="s">
        <v>72</v>
      </c>
      <c r="M701" s="31">
        <v>5565</v>
      </c>
      <c r="N701" s="31">
        <v>3710</v>
      </c>
      <c r="O701" s="31">
        <v>9275</v>
      </c>
      <c r="P701" s="31">
        <f>VLOOKUP(F701,'[3]1ª PARCELA'!$E$5:$H$889,4,FALSE)</f>
        <v>9275</v>
      </c>
      <c r="Q701" s="31" t="b">
        <f t="shared" si="10"/>
        <v>1</v>
      </c>
      <c r="R701" s="32">
        <v>45793</v>
      </c>
      <c r="S701" s="29">
        <v>9173</v>
      </c>
      <c r="T701" s="29" t="s">
        <v>2478</v>
      </c>
      <c r="U701" s="33" t="s">
        <v>2479</v>
      </c>
    </row>
    <row r="702" spans="1:21" ht="28.5" customHeight="1" x14ac:dyDescent="0.3">
      <c r="A702" s="27">
        <v>699</v>
      </c>
      <c r="B702" s="28">
        <v>2025</v>
      </c>
      <c r="C702" s="29" t="s">
        <v>1526</v>
      </c>
      <c r="D702" s="30" t="s">
        <v>2480</v>
      </c>
      <c r="E702" s="29">
        <v>29422167</v>
      </c>
      <c r="F702" s="29">
        <v>1177101</v>
      </c>
      <c r="G702" s="30" t="s">
        <v>2481</v>
      </c>
      <c r="H702" s="29">
        <v>471</v>
      </c>
      <c r="I702" s="29">
        <v>1</v>
      </c>
      <c r="J702" s="29"/>
      <c r="K702" s="30"/>
      <c r="L702" s="29" t="s">
        <v>72</v>
      </c>
      <c r="M702" s="31">
        <v>4508</v>
      </c>
      <c r="N702" s="31">
        <v>1127</v>
      </c>
      <c r="O702" s="31">
        <v>5635</v>
      </c>
      <c r="P702" s="31">
        <f>VLOOKUP(F702,'[3]1ª PARCELA'!$E$5:$H$889,4,FALSE)</f>
        <v>5635</v>
      </c>
      <c r="Q702" s="31" t="b">
        <f t="shared" si="10"/>
        <v>1</v>
      </c>
      <c r="R702" s="32">
        <v>45793</v>
      </c>
      <c r="S702" s="29">
        <v>9173</v>
      </c>
      <c r="T702" s="29" t="s">
        <v>2482</v>
      </c>
      <c r="U702" s="33" t="s">
        <v>2483</v>
      </c>
    </row>
    <row r="703" spans="1:21" ht="28.5" customHeight="1" x14ac:dyDescent="0.3">
      <c r="A703" s="27">
        <v>700</v>
      </c>
      <c r="B703" s="28">
        <v>2025</v>
      </c>
      <c r="C703" s="29" t="s">
        <v>1949</v>
      </c>
      <c r="D703" s="30" t="s">
        <v>2147</v>
      </c>
      <c r="E703" s="29">
        <v>29422345</v>
      </c>
      <c r="F703" s="29">
        <v>1177093</v>
      </c>
      <c r="G703" s="30" t="s">
        <v>2484</v>
      </c>
      <c r="H703" s="29">
        <v>2027</v>
      </c>
      <c r="I703" s="29">
        <v>1</v>
      </c>
      <c r="J703" s="29"/>
      <c r="K703" s="30"/>
      <c r="L703" s="29" t="s">
        <v>72</v>
      </c>
      <c r="M703" s="31">
        <v>12717</v>
      </c>
      <c r="N703" s="31">
        <v>8478</v>
      </c>
      <c r="O703" s="31">
        <v>21195</v>
      </c>
      <c r="P703" s="31">
        <f>VLOOKUP(F703,'[3]1ª PARCELA'!$E$5:$H$889,4,FALSE)</f>
        <v>21195</v>
      </c>
      <c r="Q703" s="31" t="b">
        <f t="shared" si="10"/>
        <v>1</v>
      </c>
      <c r="R703" s="32">
        <v>45805</v>
      </c>
      <c r="S703" s="29">
        <v>9678</v>
      </c>
      <c r="T703" s="29" t="s">
        <v>2485</v>
      </c>
      <c r="U703" s="33" t="s">
        <v>2486</v>
      </c>
    </row>
    <row r="704" spans="1:21" ht="28.5" customHeight="1" x14ac:dyDescent="0.3">
      <c r="A704" s="27">
        <v>701</v>
      </c>
      <c r="B704" s="28">
        <v>2025</v>
      </c>
      <c r="C704" s="29" t="s">
        <v>970</v>
      </c>
      <c r="D704" s="30" t="s">
        <v>2487</v>
      </c>
      <c r="E704" s="29">
        <v>29423503</v>
      </c>
      <c r="F704" s="29">
        <v>1178010</v>
      </c>
      <c r="G704" s="30" t="s">
        <v>2488</v>
      </c>
      <c r="H704" s="29">
        <v>457</v>
      </c>
      <c r="I704" s="29">
        <v>1</v>
      </c>
      <c r="J704" s="29"/>
      <c r="K704" s="30"/>
      <c r="L704" s="29" t="s">
        <v>72</v>
      </c>
      <c r="M704" s="31">
        <v>3846.5</v>
      </c>
      <c r="N704" s="31">
        <v>1648.5</v>
      </c>
      <c r="O704" s="31">
        <v>5495</v>
      </c>
      <c r="P704" s="31">
        <f>VLOOKUP(F704,'[3]1ª PARCELA'!$E$5:$H$889,4,FALSE)</f>
        <v>5495</v>
      </c>
      <c r="Q704" s="31" t="b">
        <f t="shared" si="10"/>
        <v>1</v>
      </c>
      <c r="R704" s="32">
        <v>45895</v>
      </c>
      <c r="S704" s="29">
        <v>19863</v>
      </c>
      <c r="T704" s="29" t="s">
        <v>2489</v>
      </c>
      <c r="U704" s="33" t="s">
        <v>2490</v>
      </c>
    </row>
    <row r="705" spans="1:21" ht="28.5" customHeight="1" x14ac:dyDescent="0.3">
      <c r="A705" s="27">
        <v>702</v>
      </c>
      <c r="B705" s="28">
        <v>2025</v>
      </c>
      <c r="C705" s="29" t="s">
        <v>223</v>
      </c>
      <c r="D705" s="30" t="s">
        <v>259</v>
      </c>
      <c r="E705" s="29">
        <v>29423708</v>
      </c>
      <c r="F705" s="29">
        <v>1178006</v>
      </c>
      <c r="G705" s="30" t="s">
        <v>2491</v>
      </c>
      <c r="H705" s="29">
        <v>258</v>
      </c>
      <c r="I705" s="29">
        <v>1</v>
      </c>
      <c r="J705" s="29"/>
      <c r="K705" s="30"/>
      <c r="L705" s="29" t="s">
        <v>72</v>
      </c>
      <c r="M705" s="31">
        <v>4284</v>
      </c>
      <c r="N705" s="31">
        <v>1071</v>
      </c>
      <c r="O705" s="31">
        <v>5355</v>
      </c>
      <c r="P705" s="31">
        <f>VLOOKUP(F705,'[3]1ª PARCELA'!$E$5:$H$889,4,FALSE)</f>
        <v>5355</v>
      </c>
      <c r="Q705" s="31" t="b">
        <f t="shared" si="10"/>
        <v>1</v>
      </c>
      <c r="R705" s="32">
        <v>45793</v>
      </c>
      <c r="S705" s="29">
        <v>9173</v>
      </c>
      <c r="T705" s="29" t="s">
        <v>2492</v>
      </c>
      <c r="U705" s="33" t="s">
        <v>2493</v>
      </c>
    </row>
    <row r="706" spans="1:21" ht="28.5" customHeight="1" x14ac:dyDescent="0.3">
      <c r="A706" s="27">
        <v>703</v>
      </c>
      <c r="B706" s="28">
        <v>2025</v>
      </c>
      <c r="C706" s="29" t="s">
        <v>701</v>
      </c>
      <c r="D706" s="30" t="s">
        <v>702</v>
      </c>
      <c r="E706" s="29">
        <v>29423732</v>
      </c>
      <c r="F706" s="29">
        <v>1178014</v>
      </c>
      <c r="G706" s="30" t="s">
        <v>2494</v>
      </c>
      <c r="H706" s="29">
        <v>707</v>
      </c>
      <c r="I706" s="29">
        <v>1</v>
      </c>
      <c r="J706" s="29"/>
      <c r="K706" s="30"/>
      <c r="L706" s="29" t="s">
        <v>72</v>
      </c>
      <c r="M706" s="31">
        <v>6396</v>
      </c>
      <c r="N706" s="31">
        <v>1599</v>
      </c>
      <c r="O706" s="31">
        <v>7995</v>
      </c>
      <c r="P706" s="31">
        <f>VLOOKUP(F706,'[3]1ª PARCELA'!$E$5:$H$889,4,FALSE)</f>
        <v>7995</v>
      </c>
      <c r="Q706" s="31" t="b">
        <f t="shared" si="10"/>
        <v>1</v>
      </c>
      <c r="R706" s="32">
        <v>45793</v>
      </c>
      <c r="S706" s="29">
        <v>9173</v>
      </c>
      <c r="T706" s="29" t="s">
        <v>2495</v>
      </c>
      <c r="U706" s="33" t="s">
        <v>2496</v>
      </c>
    </row>
    <row r="707" spans="1:21" ht="28.5" customHeight="1" x14ac:dyDescent="0.3">
      <c r="A707" s="27">
        <v>704</v>
      </c>
      <c r="B707" s="28">
        <v>2025</v>
      </c>
      <c r="C707" s="29" t="s">
        <v>701</v>
      </c>
      <c r="D707" s="30" t="s">
        <v>2497</v>
      </c>
      <c r="E707" s="29">
        <v>29423805</v>
      </c>
      <c r="F707" s="29">
        <v>1178049</v>
      </c>
      <c r="G707" s="30" t="s">
        <v>591</v>
      </c>
      <c r="H707" s="29">
        <v>781</v>
      </c>
      <c r="I707" s="29">
        <v>1</v>
      </c>
      <c r="J707" s="29"/>
      <c r="K707" s="30"/>
      <c r="L707" s="29" t="s">
        <v>72</v>
      </c>
      <c r="M707" s="31">
        <v>6114.5</v>
      </c>
      <c r="N707" s="31">
        <v>2620.5</v>
      </c>
      <c r="O707" s="31">
        <v>8735</v>
      </c>
      <c r="P707" s="31">
        <f>VLOOKUP(F707,'[3]1ª PARCELA'!$E$5:$H$889,4,FALSE)</f>
        <v>8735</v>
      </c>
      <c r="Q707" s="31" t="b">
        <f t="shared" si="10"/>
        <v>1</v>
      </c>
      <c r="R707" s="32">
        <v>45793</v>
      </c>
      <c r="S707" s="29">
        <v>9173</v>
      </c>
      <c r="T707" s="29" t="s">
        <v>2498</v>
      </c>
      <c r="U707" s="33" t="s">
        <v>2499</v>
      </c>
    </row>
    <row r="708" spans="1:21" ht="28.5" customHeight="1" x14ac:dyDescent="0.3">
      <c r="A708" s="27">
        <v>705</v>
      </c>
      <c r="B708" s="28">
        <v>2025</v>
      </c>
      <c r="C708" s="29" t="s">
        <v>1906</v>
      </c>
      <c r="D708" s="30" t="s">
        <v>2013</v>
      </c>
      <c r="E708" s="29">
        <v>29424020</v>
      </c>
      <c r="F708" s="29">
        <v>1177091</v>
      </c>
      <c r="G708" s="30" t="s">
        <v>2305</v>
      </c>
      <c r="H708" s="29">
        <v>914</v>
      </c>
      <c r="I708" s="29">
        <v>1</v>
      </c>
      <c r="J708" s="29"/>
      <c r="K708" s="30"/>
      <c r="L708" s="29" t="s">
        <v>72</v>
      </c>
      <c r="M708" s="31">
        <v>6542.25</v>
      </c>
      <c r="N708" s="31">
        <v>3522.75</v>
      </c>
      <c r="O708" s="31">
        <v>10065</v>
      </c>
      <c r="P708" s="31">
        <f>VLOOKUP(F708,'[3]1ª PARCELA'!$E$5:$H$889,4,FALSE)</f>
        <v>10065</v>
      </c>
      <c r="Q708" s="31" t="b">
        <f t="shared" si="10"/>
        <v>1</v>
      </c>
      <c r="R708" s="32">
        <v>45793</v>
      </c>
      <c r="S708" s="29">
        <v>9173</v>
      </c>
      <c r="T708" s="29" t="s">
        <v>2500</v>
      </c>
      <c r="U708" s="33" t="s">
        <v>2501</v>
      </c>
    </row>
    <row r="709" spans="1:21" ht="28.5" customHeight="1" x14ac:dyDescent="0.3">
      <c r="A709" s="27">
        <v>706</v>
      </c>
      <c r="B709" s="28">
        <v>2025</v>
      </c>
      <c r="C709" s="29" t="s">
        <v>461</v>
      </c>
      <c r="D709" s="30" t="s">
        <v>2502</v>
      </c>
      <c r="E709" s="29">
        <v>29424038</v>
      </c>
      <c r="F709" s="29">
        <v>1178044</v>
      </c>
      <c r="G709" s="30" t="s">
        <v>2503</v>
      </c>
      <c r="H709" s="29">
        <v>488</v>
      </c>
      <c r="I709" s="29">
        <v>1</v>
      </c>
      <c r="J709" s="29"/>
      <c r="K709" s="30"/>
      <c r="L709" s="29" t="s">
        <v>72</v>
      </c>
      <c r="M709" s="31">
        <v>4063.5</v>
      </c>
      <c r="N709" s="31">
        <v>1741.5</v>
      </c>
      <c r="O709" s="31">
        <v>5805</v>
      </c>
      <c r="P709" s="31">
        <f>VLOOKUP(F709,'[3]1ª PARCELA'!$E$5:$H$889,4,FALSE)</f>
        <v>5805</v>
      </c>
      <c r="Q709" s="31" t="b">
        <f t="shared" ref="Q709:Q772" si="11">O709=P709</f>
        <v>1</v>
      </c>
      <c r="R709" s="32">
        <v>45793</v>
      </c>
      <c r="S709" s="29">
        <v>9173</v>
      </c>
      <c r="T709" s="29" t="s">
        <v>2504</v>
      </c>
      <c r="U709" s="33" t="s">
        <v>2505</v>
      </c>
    </row>
    <row r="710" spans="1:21" ht="28.5" customHeight="1" x14ac:dyDescent="0.3">
      <c r="A710" s="27">
        <v>707</v>
      </c>
      <c r="B710" s="28">
        <v>2025</v>
      </c>
      <c r="C710" s="29" t="s">
        <v>1526</v>
      </c>
      <c r="D710" s="30" t="s">
        <v>2506</v>
      </c>
      <c r="E710" s="29">
        <v>29424348</v>
      </c>
      <c r="F710" s="29">
        <v>1178031</v>
      </c>
      <c r="G710" s="30" t="s">
        <v>2507</v>
      </c>
      <c r="H710" s="29">
        <v>371</v>
      </c>
      <c r="I710" s="29">
        <v>1</v>
      </c>
      <c r="J710" s="29"/>
      <c r="K710" s="30"/>
      <c r="L710" s="29" t="s">
        <v>72</v>
      </c>
      <c r="M710" s="31">
        <v>3708</v>
      </c>
      <c r="N710" s="31">
        <v>927</v>
      </c>
      <c r="O710" s="31">
        <v>4635</v>
      </c>
      <c r="P710" s="31">
        <f>VLOOKUP(F710,'[3]1ª PARCELA'!$E$5:$H$889,4,FALSE)</f>
        <v>4635</v>
      </c>
      <c r="Q710" s="31" t="b">
        <f t="shared" si="11"/>
        <v>1</v>
      </c>
      <c r="R710" s="32">
        <v>45793</v>
      </c>
      <c r="S710" s="29">
        <v>9173</v>
      </c>
      <c r="T710" s="29" t="s">
        <v>2508</v>
      </c>
      <c r="U710" s="33" t="s">
        <v>2509</v>
      </c>
    </row>
    <row r="711" spans="1:21" ht="28.5" customHeight="1" x14ac:dyDescent="0.3">
      <c r="A711" s="27">
        <v>708</v>
      </c>
      <c r="B711" s="28">
        <v>2025</v>
      </c>
      <c r="C711" s="29" t="s">
        <v>223</v>
      </c>
      <c r="D711" s="30" t="s">
        <v>231</v>
      </c>
      <c r="E711" s="29">
        <v>29424526</v>
      </c>
      <c r="F711" s="29">
        <v>1178070</v>
      </c>
      <c r="G711" s="30" t="s">
        <v>2510</v>
      </c>
      <c r="H711" s="29">
        <v>264</v>
      </c>
      <c r="I711" s="29">
        <v>1</v>
      </c>
      <c r="J711" s="29"/>
      <c r="K711" s="30"/>
      <c r="L711" s="29" t="s">
        <v>72</v>
      </c>
      <c r="M711" s="31">
        <v>2852</v>
      </c>
      <c r="N711" s="31">
        <v>713</v>
      </c>
      <c r="O711" s="31">
        <v>3565</v>
      </c>
      <c r="P711" s="31">
        <f>VLOOKUP(F711,'[3]1ª PARCELA'!$E$5:$H$889,4,FALSE)</f>
        <v>3565</v>
      </c>
      <c r="Q711" s="31" t="b">
        <f t="shared" si="11"/>
        <v>1</v>
      </c>
      <c r="R711" s="32">
        <v>45793</v>
      </c>
      <c r="S711" s="29">
        <v>9173</v>
      </c>
      <c r="T711" s="29" t="s">
        <v>2511</v>
      </c>
      <c r="U711" s="33" t="s">
        <v>2512</v>
      </c>
    </row>
    <row r="712" spans="1:21" ht="28.5" customHeight="1" x14ac:dyDescent="0.3">
      <c r="A712" s="27">
        <v>709</v>
      </c>
      <c r="B712" s="28">
        <v>2025</v>
      </c>
      <c r="C712" s="29" t="s">
        <v>375</v>
      </c>
      <c r="D712" s="30" t="s">
        <v>2513</v>
      </c>
      <c r="E712" s="29">
        <v>29425123</v>
      </c>
      <c r="F712" s="29">
        <v>1178029</v>
      </c>
      <c r="G712" s="30" t="s">
        <v>2514</v>
      </c>
      <c r="H712" s="29">
        <v>431</v>
      </c>
      <c r="I712" s="29">
        <v>1</v>
      </c>
      <c r="J712" s="29"/>
      <c r="K712" s="30"/>
      <c r="L712" s="29" t="s">
        <v>72</v>
      </c>
      <c r="M712" s="31">
        <v>4188</v>
      </c>
      <c r="N712" s="31">
        <v>1047</v>
      </c>
      <c r="O712" s="31">
        <v>5235</v>
      </c>
      <c r="P712" s="31">
        <f>VLOOKUP(F712,'[3]1ª PARCELA'!$E$5:$H$889,4,FALSE)</f>
        <v>5235</v>
      </c>
      <c r="Q712" s="31" t="b">
        <f t="shared" si="11"/>
        <v>1</v>
      </c>
      <c r="R712" s="32">
        <v>45967</v>
      </c>
      <c r="S712" s="29">
        <v>29630</v>
      </c>
      <c r="T712" s="29" t="s">
        <v>2515</v>
      </c>
      <c r="U712" s="33" t="s">
        <v>2516</v>
      </c>
    </row>
    <row r="713" spans="1:21" ht="28.5" customHeight="1" x14ac:dyDescent="0.3">
      <c r="A713" s="27">
        <v>710</v>
      </c>
      <c r="B713" s="28">
        <v>2025</v>
      </c>
      <c r="C713" s="29" t="s">
        <v>375</v>
      </c>
      <c r="D713" s="30" t="s">
        <v>2517</v>
      </c>
      <c r="E713" s="29">
        <v>29425166</v>
      </c>
      <c r="F713" s="29">
        <v>1178017</v>
      </c>
      <c r="G713" s="30" t="s">
        <v>2518</v>
      </c>
      <c r="H713" s="29">
        <v>541</v>
      </c>
      <c r="I713" s="29">
        <v>1</v>
      </c>
      <c r="J713" s="29"/>
      <c r="K713" s="30"/>
      <c r="L713" s="29" t="s">
        <v>72</v>
      </c>
      <c r="M713" s="31">
        <v>5068</v>
      </c>
      <c r="N713" s="31">
        <v>1267</v>
      </c>
      <c r="O713" s="31">
        <v>6335</v>
      </c>
      <c r="P713" s="31">
        <f>VLOOKUP(F713,'[3]1ª PARCELA'!$E$5:$H$889,4,FALSE)</f>
        <v>6335</v>
      </c>
      <c r="Q713" s="31" t="b">
        <f t="shared" si="11"/>
        <v>1</v>
      </c>
      <c r="R713" s="32">
        <v>45926</v>
      </c>
      <c r="S713" s="29">
        <v>24529</v>
      </c>
      <c r="T713" s="29" t="s">
        <v>2519</v>
      </c>
      <c r="U713" s="33" t="s">
        <v>2520</v>
      </c>
    </row>
    <row r="714" spans="1:21" ht="28.5" customHeight="1" x14ac:dyDescent="0.3">
      <c r="A714" s="27">
        <v>711</v>
      </c>
      <c r="B714" s="28">
        <v>2025</v>
      </c>
      <c r="C714" s="29" t="s">
        <v>272</v>
      </c>
      <c r="D714" s="30" t="s">
        <v>2521</v>
      </c>
      <c r="E714" s="29">
        <v>29425328</v>
      </c>
      <c r="F714" s="29">
        <v>1178038</v>
      </c>
      <c r="G714" s="30" t="s">
        <v>2522</v>
      </c>
      <c r="H714" s="29">
        <v>433</v>
      </c>
      <c r="I714" s="29">
        <v>1</v>
      </c>
      <c r="J714" s="29"/>
      <c r="K714" s="30"/>
      <c r="L714" s="29" t="s">
        <v>72</v>
      </c>
      <c r="M714" s="31">
        <v>2627.5</v>
      </c>
      <c r="N714" s="31">
        <v>2627.5</v>
      </c>
      <c r="O714" s="31">
        <v>5255</v>
      </c>
      <c r="P714" s="31">
        <f>VLOOKUP(F714,'[3]1ª PARCELA'!$E$5:$H$889,4,FALSE)</f>
        <v>5255</v>
      </c>
      <c r="Q714" s="31" t="b">
        <f t="shared" si="11"/>
        <v>1</v>
      </c>
      <c r="R714" s="32">
        <v>45805</v>
      </c>
      <c r="S714" s="29">
        <v>9678</v>
      </c>
      <c r="T714" s="29" t="s">
        <v>2523</v>
      </c>
      <c r="U714" s="33" t="s">
        <v>2524</v>
      </c>
    </row>
    <row r="715" spans="1:21" ht="28.5" customHeight="1" x14ac:dyDescent="0.3">
      <c r="A715" s="27">
        <v>712</v>
      </c>
      <c r="B715" s="28">
        <v>2025</v>
      </c>
      <c r="C715" s="29" t="s">
        <v>263</v>
      </c>
      <c r="D715" s="30" t="s">
        <v>2525</v>
      </c>
      <c r="E715" s="29">
        <v>29425395</v>
      </c>
      <c r="F715" s="29">
        <v>1178009</v>
      </c>
      <c r="G715" s="30" t="s">
        <v>2526</v>
      </c>
      <c r="H715" s="29">
        <v>1606</v>
      </c>
      <c r="I715" s="29">
        <v>1</v>
      </c>
      <c r="J715" s="29"/>
      <c r="K715" s="30"/>
      <c r="L715" s="29" t="s">
        <v>72</v>
      </c>
      <c r="M715" s="31">
        <v>11889.5</v>
      </c>
      <c r="N715" s="31">
        <v>5095.5</v>
      </c>
      <c r="O715" s="31">
        <v>16985</v>
      </c>
      <c r="P715" s="31">
        <f>VLOOKUP(F715,'[3]1ª PARCELA'!$E$5:$H$889,4,FALSE)</f>
        <v>16985</v>
      </c>
      <c r="Q715" s="31" t="b">
        <f t="shared" si="11"/>
        <v>1</v>
      </c>
      <c r="R715" s="32">
        <v>45793</v>
      </c>
      <c r="S715" s="29">
        <v>9173</v>
      </c>
      <c r="T715" s="29" t="s">
        <v>2527</v>
      </c>
      <c r="U715" s="33" t="s">
        <v>2528</v>
      </c>
    </row>
    <row r="716" spans="1:21" ht="28.5" customHeight="1" x14ac:dyDescent="0.3">
      <c r="A716" s="27">
        <v>713</v>
      </c>
      <c r="B716" s="28">
        <v>2025</v>
      </c>
      <c r="C716" s="29" t="s">
        <v>1588</v>
      </c>
      <c r="D716" s="30" t="s">
        <v>2529</v>
      </c>
      <c r="E716" s="29">
        <v>29425417</v>
      </c>
      <c r="F716" s="29">
        <v>1178051</v>
      </c>
      <c r="G716" s="30" t="s">
        <v>2530</v>
      </c>
      <c r="H716" s="29">
        <v>180</v>
      </c>
      <c r="I716" s="29">
        <v>1</v>
      </c>
      <c r="J716" s="29"/>
      <c r="K716" s="30"/>
      <c r="L716" s="29" t="s">
        <v>72</v>
      </c>
      <c r="M716" s="31">
        <v>2180</v>
      </c>
      <c r="N716" s="31">
        <v>545</v>
      </c>
      <c r="O716" s="31">
        <v>2725</v>
      </c>
      <c r="P716" s="31">
        <f>VLOOKUP(F716,'[3]1ª PARCELA'!$E$5:$H$889,4,FALSE)</f>
        <v>2725</v>
      </c>
      <c r="Q716" s="31" t="b">
        <f t="shared" si="11"/>
        <v>1</v>
      </c>
      <c r="R716" s="32">
        <v>45947</v>
      </c>
      <c r="S716" s="29">
        <v>27225</v>
      </c>
      <c r="T716" s="29" t="s">
        <v>2531</v>
      </c>
      <c r="U716" s="33" t="s">
        <v>2532</v>
      </c>
    </row>
    <row r="717" spans="1:21" ht="28.5" customHeight="1" x14ac:dyDescent="0.3">
      <c r="A717" s="27">
        <v>714</v>
      </c>
      <c r="B717" s="28">
        <v>2025</v>
      </c>
      <c r="C717" s="29" t="s">
        <v>407</v>
      </c>
      <c r="D717" s="30" t="s">
        <v>425</v>
      </c>
      <c r="E717" s="29">
        <v>29425530</v>
      </c>
      <c r="F717" s="29">
        <v>1178026</v>
      </c>
      <c r="G717" s="30" t="s">
        <v>2533</v>
      </c>
      <c r="H717" s="29">
        <v>440</v>
      </c>
      <c r="I717" s="29">
        <v>1</v>
      </c>
      <c r="J717" s="29"/>
      <c r="K717" s="30"/>
      <c r="L717" s="29" t="s">
        <v>72</v>
      </c>
      <c r="M717" s="31">
        <v>4260</v>
      </c>
      <c r="N717" s="31">
        <v>1065</v>
      </c>
      <c r="O717" s="31">
        <v>5325</v>
      </c>
      <c r="P717" s="31">
        <f>VLOOKUP(F717,'[3]1ª PARCELA'!$E$5:$H$889,4,FALSE)</f>
        <v>5325</v>
      </c>
      <c r="Q717" s="31" t="b">
        <f t="shared" si="11"/>
        <v>1</v>
      </c>
      <c r="R717" s="32">
        <v>45793</v>
      </c>
      <c r="S717" s="29">
        <v>9173</v>
      </c>
      <c r="T717" s="29" t="s">
        <v>2534</v>
      </c>
      <c r="U717" s="33" t="s">
        <v>2535</v>
      </c>
    </row>
    <row r="718" spans="1:21" ht="28.5" customHeight="1" x14ac:dyDescent="0.3">
      <c r="A718" s="27">
        <v>715</v>
      </c>
      <c r="B718" s="28">
        <v>2025</v>
      </c>
      <c r="C718" s="29" t="s">
        <v>2101</v>
      </c>
      <c r="D718" s="30" t="s">
        <v>2143</v>
      </c>
      <c r="E718" s="29">
        <v>29425719</v>
      </c>
      <c r="F718" s="29">
        <v>1178036</v>
      </c>
      <c r="G718" s="30" t="s">
        <v>180</v>
      </c>
      <c r="H718" s="29">
        <v>272</v>
      </c>
      <c r="I718" s="29">
        <v>1</v>
      </c>
      <c r="J718" s="29"/>
      <c r="K718" s="30"/>
      <c r="L718" s="29" t="s">
        <v>72</v>
      </c>
      <c r="M718" s="31">
        <v>3846.5</v>
      </c>
      <c r="N718" s="31">
        <v>1648.5</v>
      </c>
      <c r="O718" s="31">
        <v>5495</v>
      </c>
      <c r="P718" s="31">
        <f>VLOOKUP(F718,'[3]1ª PARCELA'!$E$5:$H$889,4,FALSE)</f>
        <v>5495</v>
      </c>
      <c r="Q718" s="31" t="b">
        <f t="shared" si="11"/>
        <v>1</v>
      </c>
      <c r="R718" s="32">
        <v>45926</v>
      </c>
      <c r="S718" s="29">
        <v>24529</v>
      </c>
      <c r="T718" s="29" t="s">
        <v>2536</v>
      </c>
      <c r="U718" s="33" t="s">
        <v>2537</v>
      </c>
    </row>
    <row r="719" spans="1:21" ht="28.5" customHeight="1" x14ac:dyDescent="0.3">
      <c r="A719" s="27">
        <v>716</v>
      </c>
      <c r="B719" s="28">
        <v>2025</v>
      </c>
      <c r="C719" s="29" t="s">
        <v>973</v>
      </c>
      <c r="D719" s="30" t="s">
        <v>1025</v>
      </c>
      <c r="E719" s="29">
        <v>29426383</v>
      </c>
      <c r="F719" s="29">
        <v>1178052</v>
      </c>
      <c r="G719" s="30" t="s">
        <v>2538</v>
      </c>
      <c r="H719" s="29">
        <v>303</v>
      </c>
      <c r="I719" s="29">
        <v>1</v>
      </c>
      <c r="J719" s="29"/>
      <c r="K719" s="30"/>
      <c r="L719" s="29" t="s">
        <v>72</v>
      </c>
      <c r="M719" s="31">
        <v>4644</v>
      </c>
      <c r="N719" s="31">
        <v>1161</v>
      </c>
      <c r="O719" s="31">
        <v>5805</v>
      </c>
      <c r="P719" s="31">
        <f>VLOOKUP(F719,'[3]1ª PARCELA'!$E$5:$H$889,4,FALSE)</f>
        <v>5805</v>
      </c>
      <c r="Q719" s="31" t="b">
        <f t="shared" si="11"/>
        <v>1</v>
      </c>
      <c r="R719" s="32">
        <v>45833</v>
      </c>
      <c r="S719" s="29">
        <v>13120</v>
      </c>
      <c r="T719" s="29" t="s">
        <v>2539</v>
      </c>
      <c r="U719" s="33" t="s">
        <v>2540</v>
      </c>
    </row>
    <row r="720" spans="1:21" ht="28.5" customHeight="1" x14ac:dyDescent="0.3">
      <c r="A720" s="27">
        <v>717</v>
      </c>
      <c r="B720" s="28">
        <v>2025</v>
      </c>
      <c r="C720" s="29" t="s">
        <v>970</v>
      </c>
      <c r="D720" s="30" t="s">
        <v>1926</v>
      </c>
      <c r="E720" s="29">
        <v>29426502</v>
      </c>
      <c r="F720" s="29">
        <v>1178011</v>
      </c>
      <c r="G720" s="30" t="s">
        <v>2541</v>
      </c>
      <c r="H720" s="29">
        <v>325</v>
      </c>
      <c r="I720" s="29">
        <v>1</v>
      </c>
      <c r="J720" s="29"/>
      <c r="K720" s="30"/>
      <c r="L720" s="29" t="s">
        <v>72</v>
      </c>
      <c r="M720" s="31">
        <v>3340</v>
      </c>
      <c r="N720" s="31">
        <v>835</v>
      </c>
      <c r="O720" s="31">
        <v>4175</v>
      </c>
      <c r="P720" s="31">
        <f>VLOOKUP(F720,'[3]1ª PARCELA'!$E$5:$H$889,4,FALSE)</f>
        <v>4175</v>
      </c>
      <c r="Q720" s="31" t="b">
        <f t="shared" si="11"/>
        <v>1</v>
      </c>
      <c r="R720" s="32">
        <v>45938</v>
      </c>
      <c r="S720" s="29">
        <v>25952</v>
      </c>
      <c r="T720" s="29" t="s">
        <v>2542</v>
      </c>
      <c r="U720" s="33" t="s">
        <v>2543</v>
      </c>
    </row>
    <row r="721" spans="1:21" ht="28.5" customHeight="1" x14ac:dyDescent="0.3">
      <c r="A721" s="27">
        <v>718</v>
      </c>
      <c r="B721" s="28">
        <v>2025</v>
      </c>
      <c r="C721" s="29" t="s">
        <v>718</v>
      </c>
      <c r="D721" s="30" t="s">
        <v>735</v>
      </c>
      <c r="E721" s="29">
        <v>29426537</v>
      </c>
      <c r="F721" s="29">
        <v>1178050</v>
      </c>
      <c r="G721" s="30" t="s">
        <v>2544</v>
      </c>
      <c r="H721" s="29">
        <v>825</v>
      </c>
      <c r="I721" s="29">
        <v>1</v>
      </c>
      <c r="J721" s="29"/>
      <c r="K721" s="30"/>
      <c r="L721" s="29" t="s">
        <v>72</v>
      </c>
      <c r="M721" s="31">
        <v>7340</v>
      </c>
      <c r="N721" s="31">
        <v>1835</v>
      </c>
      <c r="O721" s="31">
        <v>9175</v>
      </c>
      <c r="P721" s="31">
        <f>VLOOKUP(F721,'[3]1ª PARCELA'!$E$5:$H$889,4,FALSE)</f>
        <v>9175</v>
      </c>
      <c r="Q721" s="31" t="b">
        <f t="shared" si="11"/>
        <v>1</v>
      </c>
      <c r="R721" s="32">
        <v>45933</v>
      </c>
      <c r="S721" s="29">
        <v>25397</v>
      </c>
      <c r="T721" s="29" t="s">
        <v>2545</v>
      </c>
      <c r="U721" s="33" t="s">
        <v>2546</v>
      </c>
    </row>
    <row r="722" spans="1:21" ht="28.5" customHeight="1" x14ac:dyDescent="0.3">
      <c r="A722" s="27">
        <v>719</v>
      </c>
      <c r="B722" s="28">
        <v>2025</v>
      </c>
      <c r="C722" s="29" t="s">
        <v>461</v>
      </c>
      <c r="D722" s="30" t="s">
        <v>2547</v>
      </c>
      <c r="E722" s="29">
        <v>29426960</v>
      </c>
      <c r="F722" s="29">
        <v>1178016</v>
      </c>
      <c r="G722" s="30" t="s">
        <v>2548</v>
      </c>
      <c r="H722" s="29">
        <v>802</v>
      </c>
      <c r="I722" s="29">
        <v>1</v>
      </c>
      <c r="J722" s="29"/>
      <c r="K722" s="30"/>
      <c r="L722" s="29" t="s">
        <v>72</v>
      </c>
      <c r="M722" s="31">
        <v>7156</v>
      </c>
      <c r="N722" s="31">
        <v>1789</v>
      </c>
      <c r="O722" s="31">
        <v>8945</v>
      </c>
      <c r="P722" s="31">
        <f>VLOOKUP(F722,'[3]1ª PARCELA'!$E$5:$H$889,4,FALSE)</f>
        <v>8945</v>
      </c>
      <c r="Q722" s="31" t="b">
        <f t="shared" si="11"/>
        <v>1</v>
      </c>
      <c r="R722" s="32">
        <v>45793</v>
      </c>
      <c r="S722" s="29">
        <v>9173</v>
      </c>
      <c r="T722" s="29" t="s">
        <v>2549</v>
      </c>
      <c r="U722" s="33" t="s">
        <v>2550</v>
      </c>
    </row>
    <row r="723" spans="1:21" ht="28.5" customHeight="1" x14ac:dyDescent="0.3">
      <c r="A723" s="27">
        <v>720</v>
      </c>
      <c r="B723" s="28">
        <v>2025</v>
      </c>
      <c r="C723" s="29" t="s">
        <v>121</v>
      </c>
      <c r="D723" s="30" t="s">
        <v>2551</v>
      </c>
      <c r="E723" s="29">
        <v>29427541</v>
      </c>
      <c r="F723" s="29">
        <v>1178048</v>
      </c>
      <c r="G723" s="30" t="s">
        <v>2552</v>
      </c>
      <c r="H723" s="29">
        <v>351</v>
      </c>
      <c r="I723" s="29">
        <v>1</v>
      </c>
      <c r="J723" s="29"/>
      <c r="K723" s="30"/>
      <c r="L723" s="29" t="s">
        <v>72</v>
      </c>
      <c r="M723" s="31">
        <v>3548</v>
      </c>
      <c r="N723" s="31">
        <v>887</v>
      </c>
      <c r="O723" s="31">
        <v>4435</v>
      </c>
      <c r="P723" s="31">
        <f>VLOOKUP(F723,'[3]1ª PARCELA'!$E$5:$H$889,4,FALSE)</f>
        <v>4435</v>
      </c>
      <c r="Q723" s="31" t="b">
        <f t="shared" si="11"/>
        <v>1</v>
      </c>
      <c r="R723" s="32">
        <v>45793</v>
      </c>
      <c r="S723" s="29">
        <v>9173</v>
      </c>
      <c r="T723" s="29" t="s">
        <v>2553</v>
      </c>
      <c r="U723" s="33" t="s">
        <v>2554</v>
      </c>
    </row>
    <row r="724" spans="1:21" ht="28.5" customHeight="1" x14ac:dyDescent="0.3">
      <c r="A724" s="27">
        <v>721</v>
      </c>
      <c r="B724" s="28">
        <v>2025</v>
      </c>
      <c r="C724" s="29" t="s">
        <v>69</v>
      </c>
      <c r="D724" s="30" t="s">
        <v>2275</v>
      </c>
      <c r="E724" s="29">
        <v>29427550</v>
      </c>
      <c r="F724" s="29">
        <v>1177102</v>
      </c>
      <c r="G724" s="30" t="s">
        <v>2555</v>
      </c>
      <c r="H724" s="29">
        <v>1223</v>
      </c>
      <c r="I724" s="29">
        <v>1</v>
      </c>
      <c r="J724" s="29"/>
      <c r="K724" s="30"/>
      <c r="L724" s="29" t="s">
        <v>72</v>
      </c>
      <c r="M724" s="31">
        <v>10524</v>
      </c>
      <c r="N724" s="31">
        <v>2631</v>
      </c>
      <c r="O724" s="31">
        <v>13155</v>
      </c>
      <c r="P724" s="31">
        <f>VLOOKUP(F724,'[3]1ª PARCELA'!$E$5:$H$889,4,FALSE)</f>
        <v>13155</v>
      </c>
      <c r="Q724" s="31" t="b">
        <f t="shared" si="11"/>
        <v>1</v>
      </c>
      <c r="R724" s="32">
        <v>45793</v>
      </c>
      <c r="S724" s="29">
        <v>9173</v>
      </c>
      <c r="T724" s="29" t="s">
        <v>2556</v>
      </c>
      <c r="U724" s="33" t="s">
        <v>2557</v>
      </c>
    </row>
    <row r="725" spans="1:21" ht="28.5" customHeight="1" x14ac:dyDescent="0.3">
      <c r="A725" s="27">
        <v>722</v>
      </c>
      <c r="B725" s="28">
        <v>2025</v>
      </c>
      <c r="C725" s="29" t="s">
        <v>263</v>
      </c>
      <c r="D725" s="30" t="s">
        <v>277</v>
      </c>
      <c r="E725" s="29">
        <v>29427940</v>
      </c>
      <c r="F725" s="29">
        <v>1178018</v>
      </c>
      <c r="G725" s="30" t="s">
        <v>2558</v>
      </c>
      <c r="H725" s="29">
        <v>240</v>
      </c>
      <c r="I725" s="29">
        <v>1</v>
      </c>
      <c r="J725" s="29"/>
      <c r="K725" s="30"/>
      <c r="L725" s="29" t="s">
        <v>72</v>
      </c>
      <c r="M725" s="31">
        <v>4140</v>
      </c>
      <c r="N725" s="31">
        <v>1035</v>
      </c>
      <c r="O725" s="31">
        <v>5175</v>
      </c>
      <c r="P725" s="31">
        <f>VLOOKUP(F725,'[3]1ª PARCELA'!$E$5:$H$889,4,FALSE)</f>
        <v>5175</v>
      </c>
      <c r="Q725" s="31" t="b">
        <f t="shared" si="11"/>
        <v>1</v>
      </c>
      <c r="R725" s="32">
        <v>45793</v>
      </c>
      <c r="S725" s="29">
        <v>9173</v>
      </c>
      <c r="T725" s="29" t="s">
        <v>2559</v>
      </c>
      <c r="U725" s="33" t="s">
        <v>2560</v>
      </c>
    </row>
    <row r="726" spans="1:21" ht="28.5" customHeight="1" x14ac:dyDescent="0.3">
      <c r="A726" s="27">
        <v>723</v>
      </c>
      <c r="B726" s="28">
        <v>2025</v>
      </c>
      <c r="C726" s="29" t="s">
        <v>961</v>
      </c>
      <c r="D726" s="30" t="s">
        <v>2561</v>
      </c>
      <c r="E726" s="29">
        <v>29427959</v>
      </c>
      <c r="F726" s="29">
        <v>1178035</v>
      </c>
      <c r="G726" s="30" t="s">
        <v>2562</v>
      </c>
      <c r="H726" s="29">
        <v>1114</v>
      </c>
      <c r="I726" s="29">
        <v>1</v>
      </c>
      <c r="J726" s="29"/>
      <c r="K726" s="30"/>
      <c r="L726" s="29" t="s">
        <v>72</v>
      </c>
      <c r="M726" s="31">
        <v>9652</v>
      </c>
      <c r="N726" s="31">
        <v>2413</v>
      </c>
      <c r="O726" s="31">
        <v>12065</v>
      </c>
      <c r="P726" s="31">
        <f>VLOOKUP(F726,'[3]1ª PARCELA'!$E$5:$H$889,4,FALSE)</f>
        <v>12065</v>
      </c>
      <c r="Q726" s="31" t="b">
        <f t="shared" si="11"/>
        <v>1</v>
      </c>
      <c r="R726" s="32">
        <v>45833</v>
      </c>
      <c r="S726" s="29">
        <v>13120</v>
      </c>
      <c r="T726" s="29" t="s">
        <v>2563</v>
      </c>
      <c r="U726" s="33" t="s">
        <v>2564</v>
      </c>
    </row>
    <row r="727" spans="1:21" ht="28.5" customHeight="1" x14ac:dyDescent="0.3">
      <c r="A727" s="27">
        <v>724</v>
      </c>
      <c r="B727" s="28">
        <v>2025</v>
      </c>
      <c r="C727" s="29" t="s">
        <v>1949</v>
      </c>
      <c r="D727" s="30" t="s">
        <v>2147</v>
      </c>
      <c r="E727" s="29">
        <v>29428084</v>
      </c>
      <c r="F727" s="29">
        <v>1178067</v>
      </c>
      <c r="G727" s="30" t="s">
        <v>2565</v>
      </c>
      <c r="H727" s="29">
        <v>809</v>
      </c>
      <c r="I727" s="29">
        <v>1</v>
      </c>
      <c r="J727" s="29"/>
      <c r="K727" s="30"/>
      <c r="L727" s="29" t="s">
        <v>72</v>
      </c>
      <c r="M727" s="31">
        <v>3606</v>
      </c>
      <c r="N727" s="31">
        <v>5409</v>
      </c>
      <c r="O727" s="31">
        <v>9015</v>
      </c>
      <c r="P727" s="31">
        <f>VLOOKUP(F727,'[3]1ª PARCELA'!$E$5:$H$889,4,FALSE)</f>
        <v>9015</v>
      </c>
      <c r="Q727" s="31" t="b">
        <f t="shared" si="11"/>
        <v>1</v>
      </c>
      <c r="R727" s="32">
        <v>45867</v>
      </c>
      <c r="S727" s="29">
        <v>16705</v>
      </c>
      <c r="T727" s="29" t="s">
        <v>2566</v>
      </c>
      <c r="U727" s="33" t="s">
        <v>2567</v>
      </c>
    </row>
    <row r="728" spans="1:21" ht="28.5" customHeight="1" x14ac:dyDescent="0.3">
      <c r="A728" s="27">
        <v>725</v>
      </c>
      <c r="B728" s="28">
        <v>2025</v>
      </c>
      <c r="C728" s="29" t="s">
        <v>1949</v>
      </c>
      <c r="D728" s="30" t="s">
        <v>2358</v>
      </c>
      <c r="E728" s="29">
        <v>29428092</v>
      </c>
      <c r="F728" s="29">
        <v>1178037</v>
      </c>
      <c r="G728" s="30" t="s">
        <v>2568</v>
      </c>
      <c r="H728" s="29">
        <v>670</v>
      </c>
      <c r="I728" s="29">
        <v>1</v>
      </c>
      <c r="J728" s="29"/>
      <c r="K728" s="30"/>
      <c r="L728" s="29" t="s">
        <v>72</v>
      </c>
      <c r="M728" s="31">
        <v>762.5</v>
      </c>
      <c r="N728" s="31">
        <v>6862.5</v>
      </c>
      <c r="O728" s="31">
        <v>7625</v>
      </c>
      <c r="P728" s="31">
        <f>VLOOKUP(F728,'[3]1ª PARCELA'!$E$5:$H$889,4,FALSE)</f>
        <v>7625</v>
      </c>
      <c r="Q728" s="31" t="b">
        <f t="shared" si="11"/>
        <v>1</v>
      </c>
      <c r="R728" s="32">
        <v>45793</v>
      </c>
      <c r="S728" s="29">
        <v>9173</v>
      </c>
      <c r="T728" s="29" t="s">
        <v>2569</v>
      </c>
      <c r="U728" s="33" t="s">
        <v>2570</v>
      </c>
    </row>
    <row r="729" spans="1:21" ht="28.5" customHeight="1" x14ac:dyDescent="0.3">
      <c r="A729" s="27">
        <v>726</v>
      </c>
      <c r="B729" s="28">
        <v>2025</v>
      </c>
      <c r="C729" s="29" t="s">
        <v>1949</v>
      </c>
      <c r="D729" s="30" t="s">
        <v>2106</v>
      </c>
      <c r="E729" s="29">
        <v>29428203</v>
      </c>
      <c r="F729" s="29">
        <v>1178012</v>
      </c>
      <c r="G729" s="30" t="s">
        <v>2571</v>
      </c>
      <c r="H729" s="29">
        <v>907</v>
      </c>
      <c r="I729" s="29">
        <v>1</v>
      </c>
      <c r="J729" s="29"/>
      <c r="K729" s="30"/>
      <c r="L729" s="29" t="s">
        <v>72</v>
      </c>
      <c r="M729" s="31">
        <v>7996</v>
      </c>
      <c r="N729" s="31">
        <v>1999</v>
      </c>
      <c r="O729" s="31">
        <v>9995</v>
      </c>
      <c r="P729" s="31">
        <f>VLOOKUP(F729,'[3]1ª PARCELA'!$E$5:$H$889,4,FALSE)</f>
        <v>9995</v>
      </c>
      <c r="Q729" s="31" t="b">
        <f t="shared" si="11"/>
        <v>1</v>
      </c>
      <c r="R729" s="32">
        <v>45793</v>
      </c>
      <c r="S729" s="29">
        <v>9173</v>
      </c>
      <c r="T729" s="29" t="s">
        <v>2572</v>
      </c>
      <c r="U729" s="33" t="s">
        <v>2573</v>
      </c>
    </row>
    <row r="730" spans="1:21" ht="28.5" customHeight="1" x14ac:dyDescent="0.3">
      <c r="A730" s="27">
        <v>727</v>
      </c>
      <c r="B730" s="28">
        <v>2025</v>
      </c>
      <c r="C730" s="29" t="s">
        <v>1949</v>
      </c>
      <c r="D730" s="30" t="s">
        <v>2147</v>
      </c>
      <c r="E730" s="29">
        <v>29428254</v>
      </c>
      <c r="F730" s="29">
        <v>1178042</v>
      </c>
      <c r="G730" s="30" t="s">
        <v>2574</v>
      </c>
      <c r="H730" s="29">
        <v>394</v>
      </c>
      <c r="I730" s="29">
        <v>1</v>
      </c>
      <c r="J730" s="29"/>
      <c r="K730" s="30"/>
      <c r="L730" s="29" t="s">
        <v>72</v>
      </c>
      <c r="M730" s="31">
        <v>4029</v>
      </c>
      <c r="N730" s="31">
        <v>2686</v>
      </c>
      <c r="O730" s="31">
        <v>6715</v>
      </c>
      <c r="P730" s="31">
        <f>VLOOKUP(F730,'[3]1ª PARCELA'!$E$5:$H$889,4,FALSE)</f>
        <v>6715</v>
      </c>
      <c r="Q730" s="31" t="b">
        <f t="shared" si="11"/>
        <v>1</v>
      </c>
      <c r="R730" s="32">
        <v>45793</v>
      </c>
      <c r="S730" s="29">
        <v>9173</v>
      </c>
      <c r="T730" s="29" t="s">
        <v>2575</v>
      </c>
      <c r="U730" s="33" t="s">
        <v>2576</v>
      </c>
    </row>
    <row r="731" spans="1:21" ht="28.5" customHeight="1" x14ac:dyDescent="0.3">
      <c r="A731" s="27">
        <v>728</v>
      </c>
      <c r="B731" s="28">
        <v>2025</v>
      </c>
      <c r="C731" s="29" t="s">
        <v>701</v>
      </c>
      <c r="D731" s="30" t="s">
        <v>787</v>
      </c>
      <c r="E731" s="29">
        <v>29428530</v>
      </c>
      <c r="F731" s="29">
        <v>1178084</v>
      </c>
      <c r="G731" s="30" t="s">
        <v>2577</v>
      </c>
      <c r="H731" s="29">
        <v>671</v>
      </c>
      <c r="I731" s="29">
        <v>1</v>
      </c>
      <c r="J731" s="29"/>
      <c r="K731" s="30"/>
      <c r="L731" s="29" t="s">
        <v>72</v>
      </c>
      <c r="M731" s="31">
        <v>4581</v>
      </c>
      <c r="N731" s="31">
        <v>3054</v>
      </c>
      <c r="O731" s="31">
        <v>7635</v>
      </c>
      <c r="P731" s="31">
        <f>VLOOKUP(F731,'[3]1ª PARCELA'!$E$5:$H$889,4,FALSE)</f>
        <v>7635</v>
      </c>
      <c r="Q731" s="31" t="b">
        <f t="shared" si="11"/>
        <v>1</v>
      </c>
      <c r="R731" s="32">
        <v>45793</v>
      </c>
      <c r="S731" s="29">
        <v>9173</v>
      </c>
      <c r="T731" s="29" t="s">
        <v>2578</v>
      </c>
      <c r="U731" s="33" t="s">
        <v>2579</v>
      </c>
    </row>
    <row r="732" spans="1:21" ht="28.5" customHeight="1" x14ac:dyDescent="0.3">
      <c r="A732" s="27">
        <v>729</v>
      </c>
      <c r="B732" s="28">
        <v>2025</v>
      </c>
      <c r="C732" s="29" t="s">
        <v>1719</v>
      </c>
      <c r="D732" s="30" t="s">
        <v>2580</v>
      </c>
      <c r="E732" s="29">
        <v>29428556</v>
      </c>
      <c r="F732" s="29">
        <v>1178071</v>
      </c>
      <c r="G732" s="30" t="s">
        <v>2581</v>
      </c>
      <c r="H732" s="29">
        <v>417</v>
      </c>
      <c r="I732" s="29">
        <v>1</v>
      </c>
      <c r="J732" s="29"/>
      <c r="K732" s="30"/>
      <c r="L732" s="29" t="s">
        <v>72</v>
      </c>
      <c r="M732" s="31">
        <v>2547.5</v>
      </c>
      <c r="N732" s="31">
        <v>2547.5</v>
      </c>
      <c r="O732" s="31">
        <v>5095</v>
      </c>
      <c r="P732" s="31">
        <f>VLOOKUP(F732,'[3]1ª PARCELA'!$E$5:$H$889,4,FALSE)</f>
        <v>5095</v>
      </c>
      <c r="Q732" s="31" t="b">
        <f t="shared" si="11"/>
        <v>1</v>
      </c>
      <c r="R732" s="32">
        <v>45799</v>
      </c>
      <c r="S732" s="29">
        <v>9461</v>
      </c>
      <c r="T732" s="29" t="s">
        <v>2582</v>
      </c>
      <c r="U732" s="33" t="s">
        <v>2583</v>
      </c>
    </row>
    <row r="733" spans="1:21" ht="28.5" customHeight="1" x14ac:dyDescent="0.3">
      <c r="A733" s="27">
        <v>730</v>
      </c>
      <c r="B733" s="28">
        <v>2025</v>
      </c>
      <c r="C733" s="29" t="s">
        <v>272</v>
      </c>
      <c r="D733" s="30" t="s">
        <v>2584</v>
      </c>
      <c r="E733" s="29">
        <v>29428726</v>
      </c>
      <c r="F733" s="29">
        <v>1178040</v>
      </c>
      <c r="G733" s="30" t="s">
        <v>2585</v>
      </c>
      <c r="H733" s="29">
        <v>686</v>
      </c>
      <c r="I733" s="29">
        <v>1</v>
      </c>
      <c r="J733" s="29"/>
      <c r="K733" s="30"/>
      <c r="L733" s="29" t="s">
        <v>72</v>
      </c>
      <c r="M733" s="31">
        <v>3114</v>
      </c>
      <c r="N733" s="31">
        <v>4671</v>
      </c>
      <c r="O733" s="31">
        <v>7785</v>
      </c>
      <c r="P733" s="31">
        <f>VLOOKUP(F733,'[3]1ª PARCELA'!$E$5:$H$889,4,FALSE)</f>
        <v>7785</v>
      </c>
      <c r="Q733" s="31" t="b">
        <f t="shared" si="11"/>
        <v>1</v>
      </c>
      <c r="R733" s="32">
        <v>45793</v>
      </c>
      <c r="S733" s="29">
        <v>9173</v>
      </c>
      <c r="T733" s="29" t="s">
        <v>2586</v>
      </c>
      <c r="U733" s="33" t="s">
        <v>2587</v>
      </c>
    </row>
    <row r="734" spans="1:21" ht="28.5" customHeight="1" x14ac:dyDescent="0.3">
      <c r="A734" s="27">
        <v>731</v>
      </c>
      <c r="B734" s="28">
        <v>2025</v>
      </c>
      <c r="C734" s="29" t="s">
        <v>375</v>
      </c>
      <c r="D734" s="30" t="s">
        <v>2588</v>
      </c>
      <c r="E734" s="29">
        <v>29428742</v>
      </c>
      <c r="F734" s="29">
        <v>1178095</v>
      </c>
      <c r="G734" s="30" t="s">
        <v>2589</v>
      </c>
      <c r="H734" s="29">
        <v>623</v>
      </c>
      <c r="I734" s="29">
        <v>1</v>
      </c>
      <c r="J734" s="29"/>
      <c r="K734" s="30"/>
      <c r="L734" s="29" t="s">
        <v>72</v>
      </c>
      <c r="M734" s="31">
        <v>5724</v>
      </c>
      <c r="N734" s="31">
        <v>1431</v>
      </c>
      <c r="O734" s="31">
        <v>7155</v>
      </c>
      <c r="P734" s="31">
        <f>VLOOKUP(F734,'[3]1ª PARCELA'!$E$5:$H$889,4,FALSE)</f>
        <v>7155</v>
      </c>
      <c r="Q734" s="31" t="b">
        <f t="shared" si="11"/>
        <v>1</v>
      </c>
      <c r="R734" s="32">
        <v>45793</v>
      </c>
      <c r="S734" s="29">
        <v>9173</v>
      </c>
      <c r="T734" s="29" t="s">
        <v>2590</v>
      </c>
      <c r="U734" s="33" t="s">
        <v>2591</v>
      </c>
    </row>
    <row r="735" spans="1:21" ht="28.5" customHeight="1" x14ac:dyDescent="0.3">
      <c r="A735" s="27">
        <v>732</v>
      </c>
      <c r="B735" s="28">
        <v>2025</v>
      </c>
      <c r="C735" s="29" t="s">
        <v>1588</v>
      </c>
      <c r="D735" s="30" t="s">
        <v>2592</v>
      </c>
      <c r="E735" s="29">
        <v>29429005</v>
      </c>
      <c r="F735" s="29">
        <v>1178015</v>
      </c>
      <c r="G735" s="30" t="s">
        <v>2593</v>
      </c>
      <c r="H735" s="29">
        <v>541</v>
      </c>
      <c r="I735" s="29">
        <v>1</v>
      </c>
      <c r="J735" s="29"/>
      <c r="K735" s="30"/>
      <c r="L735" s="29" t="s">
        <v>72</v>
      </c>
      <c r="M735" s="31">
        <v>5068</v>
      </c>
      <c r="N735" s="31">
        <v>1267</v>
      </c>
      <c r="O735" s="31">
        <v>6335</v>
      </c>
      <c r="P735" s="31">
        <f>VLOOKUP(F735,'[3]1ª PARCELA'!$E$5:$H$889,4,FALSE)</f>
        <v>6335</v>
      </c>
      <c r="Q735" s="31" t="b">
        <f t="shared" si="11"/>
        <v>1</v>
      </c>
      <c r="R735" s="32">
        <v>45895</v>
      </c>
      <c r="S735" s="29">
        <v>19863</v>
      </c>
      <c r="T735" s="29" t="s">
        <v>2594</v>
      </c>
      <c r="U735" s="33" t="s">
        <v>2595</v>
      </c>
    </row>
    <row r="736" spans="1:21" ht="28.5" customHeight="1" x14ac:dyDescent="0.3">
      <c r="A736" s="27">
        <v>733</v>
      </c>
      <c r="B736" s="28">
        <v>2025</v>
      </c>
      <c r="C736" s="29" t="s">
        <v>534</v>
      </c>
      <c r="D736" s="30" t="s">
        <v>2596</v>
      </c>
      <c r="E736" s="29">
        <v>29429129</v>
      </c>
      <c r="F736" s="29">
        <v>1178045</v>
      </c>
      <c r="G736" s="30" t="s">
        <v>2597</v>
      </c>
      <c r="H736" s="29">
        <v>257</v>
      </c>
      <c r="I736" s="29">
        <v>1</v>
      </c>
      <c r="J736" s="29"/>
      <c r="K736" s="30"/>
      <c r="L736" s="29" t="s">
        <v>72</v>
      </c>
      <c r="M736" s="31">
        <v>2796</v>
      </c>
      <c r="N736" s="31">
        <v>699</v>
      </c>
      <c r="O736" s="31">
        <v>3495</v>
      </c>
      <c r="P736" s="31">
        <f>VLOOKUP(F736,'[3]1ª PARCELA'!$E$5:$H$889,4,FALSE)</f>
        <v>3495</v>
      </c>
      <c r="Q736" s="31" t="b">
        <f t="shared" si="11"/>
        <v>1</v>
      </c>
      <c r="R736" s="32">
        <v>45805</v>
      </c>
      <c r="S736" s="29">
        <v>9678</v>
      </c>
      <c r="T736" s="29" t="s">
        <v>2598</v>
      </c>
      <c r="U736" s="33" t="s">
        <v>2599</v>
      </c>
    </row>
    <row r="737" spans="1:21" ht="28.5" customHeight="1" x14ac:dyDescent="0.3">
      <c r="A737" s="27">
        <v>734</v>
      </c>
      <c r="B737" s="28">
        <v>2025</v>
      </c>
      <c r="C737" s="29" t="s">
        <v>970</v>
      </c>
      <c r="D737" s="30" t="s">
        <v>2600</v>
      </c>
      <c r="E737" s="29">
        <v>29429269</v>
      </c>
      <c r="F737" s="29">
        <v>1178082</v>
      </c>
      <c r="G737" s="30" t="s">
        <v>2601</v>
      </c>
      <c r="H737" s="29">
        <v>313</v>
      </c>
      <c r="I737" s="29">
        <v>1</v>
      </c>
      <c r="J737" s="29"/>
      <c r="K737" s="30"/>
      <c r="L737" s="29" t="s">
        <v>72</v>
      </c>
      <c r="M737" s="31">
        <v>3649.5</v>
      </c>
      <c r="N737" s="31">
        <v>405.5</v>
      </c>
      <c r="O737" s="31">
        <v>4055</v>
      </c>
      <c r="P737" s="31">
        <f>VLOOKUP(F737,'[3]1ª PARCELA'!$E$5:$H$889,4,FALSE)</f>
        <v>4055</v>
      </c>
      <c r="Q737" s="31" t="b">
        <f t="shared" si="11"/>
        <v>1</v>
      </c>
      <c r="R737" s="32">
        <v>45849</v>
      </c>
      <c r="S737" s="29">
        <v>15915</v>
      </c>
      <c r="T737" s="29" t="s">
        <v>2602</v>
      </c>
      <c r="U737" s="33" t="s">
        <v>2603</v>
      </c>
    </row>
    <row r="738" spans="1:21" ht="28.5" customHeight="1" x14ac:dyDescent="0.3">
      <c r="A738" s="27">
        <v>735</v>
      </c>
      <c r="B738" s="28">
        <v>2025</v>
      </c>
      <c r="C738" s="29" t="s">
        <v>1588</v>
      </c>
      <c r="D738" s="30" t="s">
        <v>2604</v>
      </c>
      <c r="E738" s="29">
        <v>29429498</v>
      </c>
      <c r="F738" s="29">
        <v>1178083</v>
      </c>
      <c r="G738" s="30" t="s">
        <v>2605</v>
      </c>
      <c r="H738" s="29">
        <v>243</v>
      </c>
      <c r="I738" s="29">
        <v>1</v>
      </c>
      <c r="J738" s="29"/>
      <c r="K738" s="30"/>
      <c r="L738" s="29" t="s">
        <v>72</v>
      </c>
      <c r="M738" s="31">
        <v>2684</v>
      </c>
      <c r="N738" s="31">
        <v>671</v>
      </c>
      <c r="O738" s="31">
        <v>3355</v>
      </c>
      <c r="P738" s="31">
        <f>VLOOKUP(F738,'[3]1ª PARCELA'!$E$5:$H$889,4,FALSE)</f>
        <v>3355</v>
      </c>
      <c r="Q738" s="31" t="b">
        <f t="shared" si="11"/>
        <v>1</v>
      </c>
      <c r="R738" s="32">
        <v>45926</v>
      </c>
      <c r="S738" s="29">
        <v>24529</v>
      </c>
      <c r="T738" s="29" t="s">
        <v>2606</v>
      </c>
      <c r="U738" s="33" t="s">
        <v>2607</v>
      </c>
    </row>
    <row r="739" spans="1:21" ht="28.5" customHeight="1" x14ac:dyDescent="0.3">
      <c r="A739" s="27">
        <v>736</v>
      </c>
      <c r="B739" s="28">
        <v>2025</v>
      </c>
      <c r="C739" s="29" t="s">
        <v>1588</v>
      </c>
      <c r="D739" s="30" t="s">
        <v>1981</v>
      </c>
      <c r="E739" s="29">
        <v>29429781</v>
      </c>
      <c r="F739" s="29">
        <v>1178097</v>
      </c>
      <c r="G739" s="30" t="s">
        <v>2608</v>
      </c>
      <c r="H739" s="29">
        <v>124</v>
      </c>
      <c r="I739" s="29">
        <v>1</v>
      </c>
      <c r="J739" s="29"/>
      <c r="K739" s="30"/>
      <c r="L739" s="29" t="s">
        <v>72</v>
      </c>
      <c r="M739" s="31">
        <v>3212</v>
      </c>
      <c r="N739" s="31">
        <v>803</v>
      </c>
      <c r="O739" s="31">
        <v>4015</v>
      </c>
      <c r="P739" s="31">
        <f>VLOOKUP(F739,'[3]1ª PARCELA'!$E$5:$H$889,4,FALSE)</f>
        <v>4015</v>
      </c>
      <c r="Q739" s="31" t="b">
        <f t="shared" si="11"/>
        <v>1</v>
      </c>
      <c r="R739" s="32">
        <v>45833</v>
      </c>
      <c r="S739" s="29">
        <v>13120</v>
      </c>
      <c r="T739" s="29" t="s">
        <v>2609</v>
      </c>
      <c r="U739" s="33" t="s">
        <v>2610</v>
      </c>
    </row>
    <row r="740" spans="1:21" ht="28.5" customHeight="1" x14ac:dyDescent="0.3">
      <c r="A740" s="27">
        <v>737</v>
      </c>
      <c r="B740" s="28">
        <v>2025</v>
      </c>
      <c r="C740" s="29" t="s">
        <v>701</v>
      </c>
      <c r="D740" s="30" t="s">
        <v>757</v>
      </c>
      <c r="E740" s="29">
        <v>29429889</v>
      </c>
      <c r="F740" s="29">
        <v>1178096</v>
      </c>
      <c r="G740" s="30" t="s">
        <v>2611</v>
      </c>
      <c r="H740" s="29">
        <v>403</v>
      </c>
      <c r="I740" s="29">
        <v>1</v>
      </c>
      <c r="J740" s="29"/>
      <c r="K740" s="30"/>
      <c r="L740" s="29" t="s">
        <v>72</v>
      </c>
      <c r="M740" s="31">
        <v>2973</v>
      </c>
      <c r="N740" s="31">
        <v>1982</v>
      </c>
      <c r="O740" s="31">
        <v>4955</v>
      </c>
      <c r="P740" s="31">
        <f>VLOOKUP(F740,'[3]1ª PARCELA'!$E$5:$H$889,4,FALSE)</f>
        <v>4955</v>
      </c>
      <c r="Q740" s="31" t="b">
        <f t="shared" si="11"/>
        <v>1</v>
      </c>
      <c r="R740" s="32">
        <v>45793</v>
      </c>
      <c r="S740" s="29">
        <v>9173</v>
      </c>
      <c r="T740" s="29" t="s">
        <v>2612</v>
      </c>
      <c r="U740" s="33" t="s">
        <v>2613</v>
      </c>
    </row>
    <row r="741" spans="1:21" ht="28.5" customHeight="1" x14ac:dyDescent="0.3">
      <c r="A741" s="27">
        <v>738</v>
      </c>
      <c r="B741" s="28">
        <v>2025</v>
      </c>
      <c r="C741" s="29" t="s">
        <v>263</v>
      </c>
      <c r="D741" s="30" t="s">
        <v>2614</v>
      </c>
      <c r="E741" s="29">
        <v>29430259</v>
      </c>
      <c r="F741" s="29">
        <v>1178021</v>
      </c>
      <c r="G741" s="30" t="s">
        <v>2615</v>
      </c>
      <c r="H741" s="29">
        <v>279</v>
      </c>
      <c r="I741" s="29">
        <v>1</v>
      </c>
      <c r="J741" s="29"/>
      <c r="K741" s="30"/>
      <c r="L741" s="29" t="s">
        <v>72</v>
      </c>
      <c r="M741" s="31">
        <v>2972</v>
      </c>
      <c r="N741" s="31">
        <v>743</v>
      </c>
      <c r="O741" s="31">
        <v>3715</v>
      </c>
      <c r="P741" s="31">
        <f>VLOOKUP(F741,'[3]1ª PARCELA'!$E$5:$H$889,4,FALSE)</f>
        <v>3715</v>
      </c>
      <c r="Q741" s="31" t="b">
        <f t="shared" si="11"/>
        <v>1</v>
      </c>
      <c r="R741" s="32">
        <v>45793</v>
      </c>
      <c r="S741" s="29">
        <v>9173</v>
      </c>
      <c r="T741" s="29" t="s">
        <v>2616</v>
      </c>
      <c r="U741" s="33" t="s">
        <v>2617</v>
      </c>
    </row>
    <row r="742" spans="1:21" ht="28.5" customHeight="1" x14ac:dyDescent="0.3">
      <c r="A742" s="27">
        <v>739</v>
      </c>
      <c r="B742" s="28">
        <v>2025</v>
      </c>
      <c r="C742" s="29" t="s">
        <v>655</v>
      </c>
      <c r="D742" s="30" t="s">
        <v>2618</v>
      </c>
      <c r="E742" s="29">
        <v>29430305</v>
      </c>
      <c r="F742" s="29">
        <v>1178078</v>
      </c>
      <c r="G742" s="30" t="s">
        <v>2619</v>
      </c>
      <c r="H742" s="29">
        <v>1330</v>
      </c>
      <c r="I742" s="29">
        <v>1</v>
      </c>
      <c r="J742" s="29"/>
      <c r="K742" s="30"/>
      <c r="L742" s="29" t="s">
        <v>72</v>
      </c>
      <c r="M742" s="31">
        <v>11380</v>
      </c>
      <c r="N742" s="31">
        <v>2845</v>
      </c>
      <c r="O742" s="31">
        <v>14225</v>
      </c>
      <c r="P742" s="31">
        <f>VLOOKUP(F742,'[3]1ª PARCELA'!$E$5:$H$889,4,FALSE)</f>
        <v>14225</v>
      </c>
      <c r="Q742" s="31" t="b">
        <f t="shared" si="11"/>
        <v>1</v>
      </c>
      <c r="R742" s="32">
        <v>45800</v>
      </c>
      <c r="S742" s="29">
        <v>9563</v>
      </c>
      <c r="T742" s="29" t="s">
        <v>2620</v>
      </c>
      <c r="U742" s="33" t="s">
        <v>2621</v>
      </c>
    </row>
    <row r="743" spans="1:21" ht="28.5" customHeight="1" x14ac:dyDescent="0.3">
      <c r="A743" s="27">
        <v>740</v>
      </c>
      <c r="B743" s="28">
        <v>2025</v>
      </c>
      <c r="C743" s="29" t="s">
        <v>263</v>
      </c>
      <c r="D743" s="30" t="s">
        <v>2622</v>
      </c>
      <c r="E743" s="29">
        <v>29430534</v>
      </c>
      <c r="F743" s="29">
        <v>1178023</v>
      </c>
      <c r="G743" s="30" t="s">
        <v>2623</v>
      </c>
      <c r="H743" s="29">
        <v>1222</v>
      </c>
      <c r="I743" s="29">
        <v>1</v>
      </c>
      <c r="J743" s="29"/>
      <c r="K743" s="30"/>
      <c r="L743" s="29" t="s">
        <v>72</v>
      </c>
      <c r="M743" s="31">
        <v>10516</v>
      </c>
      <c r="N743" s="31">
        <v>2629</v>
      </c>
      <c r="O743" s="31">
        <v>13145</v>
      </c>
      <c r="P743" s="31">
        <f>VLOOKUP(F743,'[3]1ª PARCELA'!$E$5:$H$889,4,FALSE)</f>
        <v>13145</v>
      </c>
      <c r="Q743" s="31" t="b">
        <f t="shared" si="11"/>
        <v>1</v>
      </c>
      <c r="R743" s="32">
        <v>45793</v>
      </c>
      <c r="S743" s="29">
        <v>9173</v>
      </c>
      <c r="T743" s="29" t="s">
        <v>2624</v>
      </c>
      <c r="U743" s="33" t="s">
        <v>2625</v>
      </c>
    </row>
    <row r="744" spans="1:21" ht="28.5" customHeight="1" x14ac:dyDescent="0.3">
      <c r="A744" s="27">
        <v>741</v>
      </c>
      <c r="B744" s="28">
        <v>2025</v>
      </c>
      <c r="C744" s="29" t="s">
        <v>1949</v>
      </c>
      <c r="D744" s="30" t="s">
        <v>2147</v>
      </c>
      <c r="E744" s="29">
        <v>29431450</v>
      </c>
      <c r="F744" s="29">
        <v>1178043</v>
      </c>
      <c r="G744" s="30" t="s">
        <v>2626</v>
      </c>
      <c r="H744" s="29">
        <v>830</v>
      </c>
      <c r="I744" s="29">
        <v>1</v>
      </c>
      <c r="J744" s="29"/>
      <c r="K744" s="30"/>
      <c r="L744" s="29" t="s">
        <v>72</v>
      </c>
      <c r="M744" s="31">
        <v>7380</v>
      </c>
      <c r="N744" s="31">
        <v>1845</v>
      </c>
      <c r="O744" s="31">
        <v>9225</v>
      </c>
      <c r="P744" s="31">
        <f>VLOOKUP(F744,'[3]1ª PARCELA'!$E$5:$H$889,4,FALSE)</f>
        <v>9225</v>
      </c>
      <c r="Q744" s="31" t="b">
        <f t="shared" si="11"/>
        <v>1</v>
      </c>
      <c r="R744" s="32">
        <v>45793</v>
      </c>
      <c r="S744" s="29">
        <v>9173</v>
      </c>
      <c r="T744" s="29" t="s">
        <v>2627</v>
      </c>
      <c r="U744" s="33" t="s">
        <v>2628</v>
      </c>
    </row>
    <row r="745" spans="1:21" ht="28.5" customHeight="1" x14ac:dyDescent="0.3">
      <c r="A745" s="27">
        <v>742</v>
      </c>
      <c r="B745" s="28">
        <v>2025</v>
      </c>
      <c r="C745" s="29" t="s">
        <v>655</v>
      </c>
      <c r="D745" s="30" t="s">
        <v>876</v>
      </c>
      <c r="E745" s="29">
        <v>29431530</v>
      </c>
      <c r="F745" s="29">
        <v>1178077</v>
      </c>
      <c r="G745" s="30" t="s">
        <v>2629</v>
      </c>
      <c r="H745" s="29">
        <v>657</v>
      </c>
      <c r="I745" s="29">
        <v>1</v>
      </c>
      <c r="J745" s="29"/>
      <c r="K745" s="30"/>
      <c r="L745" s="29" t="s">
        <v>72</v>
      </c>
      <c r="M745" s="31">
        <v>4497</v>
      </c>
      <c r="N745" s="31">
        <v>2998</v>
      </c>
      <c r="O745" s="31">
        <v>7495</v>
      </c>
      <c r="P745" s="31">
        <f>VLOOKUP(F745,'[3]1ª PARCELA'!$E$5:$H$889,4,FALSE)</f>
        <v>7495</v>
      </c>
      <c r="Q745" s="31" t="b">
        <f t="shared" si="11"/>
        <v>1</v>
      </c>
      <c r="R745" s="32">
        <v>45793</v>
      </c>
      <c r="S745" s="29">
        <v>9173</v>
      </c>
      <c r="T745" s="29" t="s">
        <v>2630</v>
      </c>
      <c r="U745" s="33" t="s">
        <v>2631</v>
      </c>
    </row>
    <row r="746" spans="1:21" ht="28.5" customHeight="1" x14ac:dyDescent="0.3">
      <c r="A746" s="27">
        <v>743</v>
      </c>
      <c r="B746" s="28">
        <v>2025</v>
      </c>
      <c r="C746" s="29" t="s">
        <v>718</v>
      </c>
      <c r="D746" s="30" t="s">
        <v>2632</v>
      </c>
      <c r="E746" s="29">
        <v>29431573</v>
      </c>
      <c r="F746" s="29">
        <v>1178099</v>
      </c>
      <c r="G746" s="30" t="s">
        <v>2633</v>
      </c>
      <c r="H746" s="29">
        <v>1265</v>
      </c>
      <c r="I746" s="29">
        <v>1</v>
      </c>
      <c r="J746" s="29"/>
      <c r="K746" s="30"/>
      <c r="L746" s="29" t="s">
        <v>72</v>
      </c>
      <c r="M746" s="31">
        <v>10860</v>
      </c>
      <c r="N746" s="31">
        <v>2715</v>
      </c>
      <c r="O746" s="31">
        <v>13575</v>
      </c>
      <c r="P746" s="31">
        <f>VLOOKUP(F746,'[3]1ª PARCELA'!$E$5:$H$889,4,FALSE)</f>
        <v>13575</v>
      </c>
      <c r="Q746" s="31" t="b">
        <f t="shared" si="11"/>
        <v>1</v>
      </c>
      <c r="R746" s="32">
        <v>45926</v>
      </c>
      <c r="S746" s="29">
        <v>24529</v>
      </c>
      <c r="T746" s="29" t="s">
        <v>2634</v>
      </c>
      <c r="U746" s="33" t="s">
        <v>2635</v>
      </c>
    </row>
    <row r="747" spans="1:21" ht="28.5" customHeight="1" x14ac:dyDescent="0.3">
      <c r="A747" s="27">
        <v>744</v>
      </c>
      <c r="B747" s="28">
        <v>2025</v>
      </c>
      <c r="C747" s="29" t="s">
        <v>69</v>
      </c>
      <c r="D747" s="30" t="s">
        <v>2636</v>
      </c>
      <c r="E747" s="29">
        <v>29431662</v>
      </c>
      <c r="F747" s="29">
        <v>1178086</v>
      </c>
      <c r="G747" s="30" t="s">
        <v>2637</v>
      </c>
      <c r="H747" s="29">
        <v>470</v>
      </c>
      <c r="I747" s="29">
        <v>1</v>
      </c>
      <c r="J747" s="29"/>
      <c r="K747" s="30"/>
      <c r="L747" s="29" t="s">
        <v>72</v>
      </c>
      <c r="M747" s="31">
        <v>4500</v>
      </c>
      <c r="N747" s="31">
        <v>1125</v>
      </c>
      <c r="O747" s="31">
        <v>5625</v>
      </c>
      <c r="P747" s="31">
        <f>VLOOKUP(F747,'[3]1ª PARCELA'!$E$5:$H$889,4,FALSE)</f>
        <v>5625</v>
      </c>
      <c r="Q747" s="31" t="b">
        <f t="shared" si="11"/>
        <v>1</v>
      </c>
      <c r="R747" s="32">
        <v>45793</v>
      </c>
      <c r="S747" s="29">
        <v>9173</v>
      </c>
      <c r="T747" s="29" t="s">
        <v>2638</v>
      </c>
      <c r="U747" s="33" t="s">
        <v>2639</v>
      </c>
    </row>
    <row r="748" spans="1:21" ht="28.5" customHeight="1" x14ac:dyDescent="0.3">
      <c r="A748" s="27">
        <v>745</v>
      </c>
      <c r="B748" s="28">
        <v>2025</v>
      </c>
      <c r="C748" s="29" t="s">
        <v>263</v>
      </c>
      <c r="D748" s="30" t="s">
        <v>2640</v>
      </c>
      <c r="E748" s="29">
        <v>29431670</v>
      </c>
      <c r="F748" s="29">
        <v>1178100</v>
      </c>
      <c r="G748" s="30" t="s">
        <v>2641</v>
      </c>
      <c r="H748" s="29">
        <v>510</v>
      </c>
      <c r="I748" s="29">
        <v>1</v>
      </c>
      <c r="J748" s="29"/>
      <c r="K748" s="30"/>
      <c r="L748" s="29" t="s">
        <v>72</v>
      </c>
      <c r="M748" s="31">
        <v>3615</v>
      </c>
      <c r="N748" s="31">
        <v>2410</v>
      </c>
      <c r="O748" s="31">
        <v>6025</v>
      </c>
      <c r="P748" s="31">
        <f>VLOOKUP(F748,'[3]1ª PARCELA'!$E$5:$H$889,4,FALSE)</f>
        <v>6025</v>
      </c>
      <c r="Q748" s="31" t="b">
        <f t="shared" si="11"/>
        <v>1</v>
      </c>
      <c r="R748" s="32">
        <v>45793</v>
      </c>
      <c r="S748" s="29">
        <v>9173</v>
      </c>
      <c r="T748" s="29" t="s">
        <v>2642</v>
      </c>
      <c r="U748" s="33" t="s">
        <v>2643</v>
      </c>
    </row>
    <row r="749" spans="1:21" ht="28.5" customHeight="1" x14ac:dyDescent="0.3">
      <c r="A749" s="27">
        <v>746</v>
      </c>
      <c r="B749" s="28">
        <v>2025</v>
      </c>
      <c r="C749" s="29" t="s">
        <v>970</v>
      </c>
      <c r="D749" s="30" t="s">
        <v>2644</v>
      </c>
      <c r="E749" s="29">
        <v>29431719</v>
      </c>
      <c r="F749" s="29">
        <v>1178081</v>
      </c>
      <c r="G749" s="30" t="s">
        <v>2645</v>
      </c>
      <c r="H749" s="29">
        <v>1192</v>
      </c>
      <c r="I749" s="29">
        <v>1</v>
      </c>
      <c r="J749" s="29"/>
      <c r="K749" s="30"/>
      <c r="L749" s="29" t="s">
        <v>72</v>
      </c>
      <c r="M749" s="31">
        <v>8991.5</v>
      </c>
      <c r="N749" s="31">
        <v>3853.5</v>
      </c>
      <c r="O749" s="31">
        <v>12845</v>
      </c>
      <c r="P749" s="31">
        <f>VLOOKUP(F749,'[3]1ª PARCELA'!$E$5:$H$889,4,FALSE)</f>
        <v>12845</v>
      </c>
      <c r="Q749" s="31" t="b">
        <f t="shared" si="11"/>
        <v>1</v>
      </c>
      <c r="R749" s="32">
        <v>45938</v>
      </c>
      <c r="S749" s="29">
        <v>25952</v>
      </c>
      <c r="T749" s="29" t="s">
        <v>2646</v>
      </c>
      <c r="U749" s="33" t="s">
        <v>2647</v>
      </c>
    </row>
    <row r="750" spans="1:21" ht="28.5" customHeight="1" x14ac:dyDescent="0.3">
      <c r="A750" s="27">
        <v>747</v>
      </c>
      <c r="B750" s="28">
        <v>2025</v>
      </c>
      <c r="C750" s="29" t="s">
        <v>718</v>
      </c>
      <c r="D750" s="30" t="s">
        <v>2648</v>
      </c>
      <c r="E750" s="29">
        <v>29432022</v>
      </c>
      <c r="F750" s="29">
        <v>1178091</v>
      </c>
      <c r="G750" s="30" t="s">
        <v>2649</v>
      </c>
      <c r="H750" s="29">
        <v>436</v>
      </c>
      <c r="I750" s="29">
        <v>1</v>
      </c>
      <c r="J750" s="29"/>
      <c r="K750" s="30"/>
      <c r="L750" s="29" t="s">
        <v>72</v>
      </c>
      <c r="M750" s="31">
        <v>2642.5</v>
      </c>
      <c r="N750" s="31">
        <v>2642.5</v>
      </c>
      <c r="O750" s="31">
        <v>5285</v>
      </c>
      <c r="P750" s="31">
        <f>VLOOKUP(F750,'[3]1ª PARCELA'!$E$5:$H$889,4,FALSE)</f>
        <v>5285</v>
      </c>
      <c r="Q750" s="31" t="b">
        <f t="shared" si="11"/>
        <v>1</v>
      </c>
      <c r="R750" s="32">
        <v>45967</v>
      </c>
      <c r="S750" s="29">
        <v>29630</v>
      </c>
      <c r="T750" s="29" t="s">
        <v>2650</v>
      </c>
      <c r="U750" s="33" t="s">
        <v>2651</v>
      </c>
    </row>
    <row r="751" spans="1:21" ht="28.5" customHeight="1" x14ac:dyDescent="0.3">
      <c r="A751" s="27">
        <v>748</v>
      </c>
      <c r="B751" s="28">
        <v>2025</v>
      </c>
      <c r="C751" s="29" t="s">
        <v>718</v>
      </c>
      <c r="D751" s="30" t="s">
        <v>872</v>
      </c>
      <c r="E751" s="29">
        <v>29432120</v>
      </c>
      <c r="F751" s="29">
        <v>1178102</v>
      </c>
      <c r="G751" s="30" t="s">
        <v>2652</v>
      </c>
      <c r="H751" s="29">
        <v>251</v>
      </c>
      <c r="I751" s="29">
        <v>1</v>
      </c>
      <c r="J751" s="29"/>
      <c r="K751" s="30"/>
      <c r="L751" s="29" t="s">
        <v>72</v>
      </c>
      <c r="M751" s="31">
        <v>1030.5</v>
      </c>
      <c r="N751" s="31">
        <v>2404.5</v>
      </c>
      <c r="O751" s="31">
        <v>3435</v>
      </c>
      <c r="P751" s="31">
        <f>VLOOKUP(F751,'[3]1ª PARCELA'!$E$5:$H$889,4,FALSE)</f>
        <v>3435</v>
      </c>
      <c r="Q751" s="31" t="b">
        <f t="shared" si="11"/>
        <v>1</v>
      </c>
      <c r="R751" s="32">
        <v>45833</v>
      </c>
      <c r="S751" s="29">
        <v>13120</v>
      </c>
      <c r="T751" s="29" t="s">
        <v>2653</v>
      </c>
      <c r="U751" s="33" t="s">
        <v>2654</v>
      </c>
    </row>
    <row r="752" spans="1:21" ht="28.5" customHeight="1" x14ac:dyDescent="0.3">
      <c r="A752" s="27">
        <v>749</v>
      </c>
      <c r="B752" s="28">
        <v>2025</v>
      </c>
      <c r="C752" s="29" t="s">
        <v>718</v>
      </c>
      <c r="D752" s="30" t="s">
        <v>802</v>
      </c>
      <c r="E752" s="29">
        <v>29432200</v>
      </c>
      <c r="F752" s="29">
        <v>1178073</v>
      </c>
      <c r="G752" s="30" t="s">
        <v>2655</v>
      </c>
      <c r="H752" s="29">
        <v>343</v>
      </c>
      <c r="I752" s="29">
        <v>1</v>
      </c>
      <c r="J752" s="29"/>
      <c r="K752" s="30"/>
      <c r="L752" s="29" t="s">
        <v>72</v>
      </c>
      <c r="M752" s="31">
        <v>2177.5</v>
      </c>
      <c r="N752" s="31">
        <v>2177.5</v>
      </c>
      <c r="O752" s="31">
        <v>4355</v>
      </c>
      <c r="P752" s="31">
        <f>VLOOKUP(F752,'[3]1ª PARCELA'!$E$5:$H$889,4,FALSE)</f>
        <v>4355</v>
      </c>
      <c r="Q752" s="31" t="b">
        <f t="shared" si="11"/>
        <v>1</v>
      </c>
      <c r="R752" s="32">
        <v>45805</v>
      </c>
      <c r="S752" s="29">
        <v>9678</v>
      </c>
      <c r="T752" s="29" t="s">
        <v>2656</v>
      </c>
      <c r="U752" s="33" t="s">
        <v>2657</v>
      </c>
    </row>
    <row r="753" spans="1:21" ht="28.5" customHeight="1" x14ac:dyDescent="0.3">
      <c r="A753" s="27">
        <v>750</v>
      </c>
      <c r="B753" s="28">
        <v>2025</v>
      </c>
      <c r="C753" s="29" t="s">
        <v>718</v>
      </c>
      <c r="D753" s="30" t="s">
        <v>853</v>
      </c>
      <c r="E753" s="29">
        <v>29432235</v>
      </c>
      <c r="F753" s="29">
        <v>1178088</v>
      </c>
      <c r="G753" s="30" t="s">
        <v>2658</v>
      </c>
      <c r="H753" s="29">
        <v>1644</v>
      </c>
      <c r="I753" s="29">
        <v>1</v>
      </c>
      <c r="J753" s="29"/>
      <c r="K753" s="30"/>
      <c r="L753" s="29" t="s">
        <v>72</v>
      </c>
      <c r="M753" s="31">
        <v>13892</v>
      </c>
      <c r="N753" s="31">
        <v>3473</v>
      </c>
      <c r="O753" s="31">
        <v>17365</v>
      </c>
      <c r="P753" s="31">
        <f>VLOOKUP(F753,'[3]1ª PARCELA'!$E$5:$H$889,4,FALSE)</f>
        <v>17365</v>
      </c>
      <c r="Q753" s="31" t="b">
        <f t="shared" si="11"/>
        <v>1</v>
      </c>
      <c r="R753" s="32">
        <v>45926</v>
      </c>
      <c r="S753" s="29">
        <v>24529</v>
      </c>
      <c r="T753" s="29" t="s">
        <v>2659</v>
      </c>
      <c r="U753" s="33" t="s">
        <v>2660</v>
      </c>
    </row>
    <row r="754" spans="1:21" ht="28.5" customHeight="1" x14ac:dyDescent="0.3">
      <c r="A754" s="27">
        <v>751</v>
      </c>
      <c r="B754" s="28">
        <v>2025</v>
      </c>
      <c r="C754" s="29" t="s">
        <v>506</v>
      </c>
      <c r="D754" s="30" t="s">
        <v>2661</v>
      </c>
      <c r="E754" s="29">
        <v>29432510</v>
      </c>
      <c r="F754" s="29">
        <v>1178047</v>
      </c>
      <c r="G754" s="30" t="s">
        <v>2662</v>
      </c>
      <c r="H754" s="29">
        <v>454</v>
      </c>
      <c r="I754" s="29">
        <v>1</v>
      </c>
      <c r="J754" s="29"/>
      <c r="K754" s="30"/>
      <c r="L754" s="29" t="s">
        <v>72</v>
      </c>
      <c r="M754" s="31">
        <v>4372</v>
      </c>
      <c r="N754" s="31">
        <v>1093</v>
      </c>
      <c r="O754" s="31">
        <v>5465</v>
      </c>
      <c r="P754" s="31">
        <f>VLOOKUP(F754,'[3]1ª PARCELA'!$E$5:$H$889,4,FALSE)</f>
        <v>5465</v>
      </c>
      <c r="Q754" s="31" t="b">
        <f t="shared" si="11"/>
        <v>1</v>
      </c>
      <c r="R754" s="32">
        <v>45805</v>
      </c>
      <c r="S754" s="29">
        <v>9678</v>
      </c>
      <c r="T754" s="29" t="s">
        <v>2663</v>
      </c>
      <c r="U754" s="33" t="s">
        <v>2664</v>
      </c>
    </row>
    <row r="755" spans="1:21" ht="28.5" customHeight="1" x14ac:dyDescent="0.3">
      <c r="A755" s="27">
        <v>752</v>
      </c>
      <c r="B755" s="28">
        <v>2025</v>
      </c>
      <c r="C755" s="29" t="s">
        <v>973</v>
      </c>
      <c r="D755" s="30" t="s">
        <v>2665</v>
      </c>
      <c r="E755" s="29">
        <v>29432529</v>
      </c>
      <c r="F755" s="29">
        <v>1178053</v>
      </c>
      <c r="G755" s="30" t="s">
        <v>2666</v>
      </c>
      <c r="H755" s="29">
        <v>486</v>
      </c>
      <c r="I755" s="29">
        <v>1</v>
      </c>
      <c r="J755" s="29"/>
      <c r="K755" s="30"/>
      <c r="L755" s="29" t="s">
        <v>72</v>
      </c>
      <c r="M755" s="31">
        <v>1157</v>
      </c>
      <c r="N755" s="31">
        <v>4628</v>
      </c>
      <c r="O755" s="31">
        <v>5785</v>
      </c>
      <c r="P755" s="31">
        <f>VLOOKUP(F755,'[3]1ª PARCELA'!$E$5:$H$889,4,FALSE)</f>
        <v>5785</v>
      </c>
      <c r="Q755" s="31" t="b">
        <f t="shared" si="11"/>
        <v>1</v>
      </c>
      <c r="R755" s="32">
        <v>45967</v>
      </c>
      <c r="S755" s="29">
        <v>29630</v>
      </c>
      <c r="T755" s="29" t="s">
        <v>2667</v>
      </c>
      <c r="U755" s="33" t="s">
        <v>2668</v>
      </c>
    </row>
    <row r="756" spans="1:21" ht="28.5" customHeight="1" x14ac:dyDescent="0.3">
      <c r="A756" s="27">
        <v>753</v>
      </c>
      <c r="B756" s="28">
        <v>2025</v>
      </c>
      <c r="C756" s="29" t="s">
        <v>973</v>
      </c>
      <c r="D756" s="30" t="s">
        <v>1025</v>
      </c>
      <c r="E756" s="29">
        <v>29432537</v>
      </c>
      <c r="F756" s="29">
        <v>1178262</v>
      </c>
      <c r="G756" s="30" t="s">
        <v>2669</v>
      </c>
      <c r="H756" s="29">
        <v>174</v>
      </c>
      <c r="I756" s="29">
        <v>1</v>
      </c>
      <c r="J756" s="29"/>
      <c r="K756" s="30"/>
      <c r="L756" s="29" t="s">
        <v>72</v>
      </c>
      <c r="M756" s="31">
        <v>3612</v>
      </c>
      <c r="N756" s="31">
        <v>903</v>
      </c>
      <c r="O756" s="31">
        <v>4515</v>
      </c>
      <c r="P756" s="31">
        <f>VLOOKUP(F756,'[3]1ª PARCELA'!$E$5:$H$889,4,FALSE)</f>
        <v>4515</v>
      </c>
      <c r="Q756" s="31" t="b">
        <f t="shared" si="11"/>
        <v>1</v>
      </c>
      <c r="R756" s="32">
        <v>45926</v>
      </c>
      <c r="S756" s="29">
        <v>24529</v>
      </c>
      <c r="T756" s="29" t="s">
        <v>2670</v>
      </c>
      <c r="U756" s="33" t="s">
        <v>2671</v>
      </c>
    </row>
    <row r="757" spans="1:21" ht="28.5" customHeight="1" x14ac:dyDescent="0.3">
      <c r="A757" s="27">
        <v>754</v>
      </c>
      <c r="B757" s="28">
        <v>2025</v>
      </c>
      <c r="C757" s="29" t="s">
        <v>973</v>
      </c>
      <c r="D757" s="30" t="s">
        <v>1029</v>
      </c>
      <c r="E757" s="29">
        <v>29432626</v>
      </c>
      <c r="F757" s="29">
        <v>1178087</v>
      </c>
      <c r="G757" s="30" t="s">
        <v>2672</v>
      </c>
      <c r="H757" s="29">
        <v>1100</v>
      </c>
      <c r="I757" s="29">
        <v>1</v>
      </c>
      <c r="J757" s="29"/>
      <c r="K757" s="30"/>
      <c r="L757" s="29" t="s">
        <v>72</v>
      </c>
      <c r="M757" s="31">
        <v>11925</v>
      </c>
      <c r="N757" s="31">
        <v>0</v>
      </c>
      <c r="O757" s="31">
        <v>11925</v>
      </c>
      <c r="P757" s="31">
        <f>VLOOKUP(F757,'[3]1ª PARCELA'!$E$5:$H$889,4,FALSE)</f>
        <v>11925</v>
      </c>
      <c r="Q757" s="31" t="b">
        <f t="shared" si="11"/>
        <v>1</v>
      </c>
      <c r="R757" s="32">
        <v>45938</v>
      </c>
      <c r="S757" s="29">
        <v>25952</v>
      </c>
      <c r="T757" s="29" t="s">
        <v>2673</v>
      </c>
      <c r="U757" s="33" t="s">
        <v>2674</v>
      </c>
    </row>
    <row r="758" spans="1:21" ht="28.5" customHeight="1" x14ac:dyDescent="0.3">
      <c r="A758" s="27">
        <v>755</v>
      </c>
      <c r="B758" s="28">
        <v>2025</v>
      </c>
      <c r="C758" s="29" t="s">
        <v>506</v>
      </c>
      <c r="D758" s="30" t="s">
        <v>539</v>
      </c>
      <c r="E758" s="29">
        <v>29432960</v>
      </c>
      <c r="F758" s="29">
        <v>1105797</v>
      </c>
      <c r="G758" s="30" t="s">
        <v>2675</v>
      </c>
      <c r="H758" s="29">
        <v>441</v>
      </c>
      <c r="I758" s="29">
        <v>1</v>
      </c>
      <c r="J758" s="29"/>
      <c r="K758" s="30"/>
      <c r="L758" s="29" t="s">
        <v>72</v>
      </c>
      <c r="M758" s="31">
        <v>3734.5</v>
      </c>
      <c r="N758" s="31">
        <v>1600.5</v>
      </c>
      <c r="O758" s="31">
        <v>5335</v>
      </c>
      <c r="P758" s="31">
        <f>VLOOKUP(F758,'[3]1ª PARCELA'!$E$5:$H$889,4,FALSE)</f>
        <v>5335</v>
      </c>
      <c r="Q758" s="31" t="b">
        <f t="shared" si="11"/>
        <v>1</v>
      </c>
      <c r="R758" s="32">
        <v>45799</v>
      </c>
      <c r="S758" s="29">
        <v>9461</v>
      </c>
      <c r="T758" s="29" t="s">
        <v>2676</v>
      </c>
      <c r="U758" s="33" t="s">
        <v>2677</v>
      </c>
    </row>
    <row r="759" spans="1:21" ht="28.5" customHeight="1" x14ac:dyDescent="0.3">
      <c r="A759" s="27">
        <v>756</v>
      </c>
      <c r="B759" s="28">
        <v>2025</v>
      </c>
      <c r="C759" s="29" t="s">
        <v>1719</v>
      </c>
      <c r="D759" s="30" t="s">
        <v>1831</v>
      </c>
      <c r="E759" s="29">
        <v>29433410</v>
      </c>
      <c r="F759" s="29">
        <v>1178119</v>
      </c>
      <c r="G759" s="30" t="s">
        <v>2678</v>
      </c>
      <c r="H759" s="29">
        <v>712</v>
      </c>
      <c r="I759" s="29">
        <v>1</v>
      </c>
      <c r="J759" s="29"/>
      <c r="K759" s="30"/>
      <c r="L759" s="29" t="s">
        <v>72</v>
      </c>
      <c r="M759" s="31">
        <v>6436</v>
      </c>
      <c r="N759" s="31">
        <v>1609</v>
      </c>
      <c r="O759" s="31">
        <v>8045</v>
      </c>
      <c r="P759" s="31">
        <f>VLOOKUP(F759,'[3]1ª PARCELA'!$E$5:$H$889,4,FALSE)</f>
        <v>8045</v>
      </c>
      <c r="Q759" s="31" t="b">
        <f t="shared" si="11"/>
        <v>1</v>
      </c>
      <c r="R759" s="32">
        <v>45793</v>
      </c>
      <c r="S759" s="29">
        <v>9173</v>
      </c>
      <c r="T759" s="29" t="s">
        <v>2679</v>
      </c>
      <c r="U759" s="33" t="s">
        <v>2680</v>
      </c>
    </row>
    <row r="760" spans="1:21" ht="28.5" customHeight="1" x14ac:dyDescent="0.3">
      <c r="A760" s="27">
        <v>757</v>
      </c>
      <c r="B760" s="28">
        <v>2025</v>
      </c>
      <c r="C760" s="29" t="s">
        <v>292</v>
      </c>
      <c r="D760" s="30" t="s">
        <v>320</v>
      </c>
      <c r="E760" s="29">
        <v>29433517</v>
      </c>
      <c r="F760" s="29">
        <v>1178104</v>
      </c>
      <c r="G760" s="30" t="s">
        <v>2305</v>
      </c>
      <c r="H760" s="29">
        <v>513</v>
      </c>
      <c r="I760" s="29">
        <v>1</v>
      </c>
      <c r="J760" s="29"/>
      <c r="K760" s="30"/>
      <c r="L760" s="29" t="s">
        <v>72</v>
      </c>
      <c r="M760" s="31">
        <v>4844</v>
      </c>
      <c r="N760" s="31">
        <v>1211</v>
      </c>
      <c r="O760" s="31">
        <v>6055</v>
      </c>
      <c r="P760" s="31">
        <f>VLOOKUP(F760,'[3]1ª PARCELA'!$E$5:$H$889,4,FALSE)</f>
        <v>6055</v>
      </c>
      <c r="Q760" s="31" t="b">
        <f t="shared" si="11"/>
        <v>1</v>
      </c>
      <c r="R760" s="32">
        <v>45793</v>
      </c>
      <c r="S760" s="29">
        <v>9173</v>
      </c>
      <c r="T760" s="29" t="s">
        <v>2681</v>
      </c>
      <c r="U760" s="33" t="s">
        <v>2682</v>
      </c>
    </row>
    <row r="761" spans="1:21" ht="28.5" customHeight="1" x14ac:dyDescent="0.3">
      <c r="A761" s="27">
        <v>758</v>
      </c>
      <c r="B761" s="28">
        <v>2025</v>
      </c>
      <c r="C761" s="29" t="s">
        <v>1526</v>
      </c>
      <c r="D761" s="30" t="s">
        <v>1701</v>
      </c>
      <c r="E761" s="29">
        <v>29433568</v>
      </c>
      <c r="F761" s="29">
        <v>1178115</v>
      </c>
      <c r="G761" s="30" t="s">
        <v>2683</v>
      </c>
      <c r="H761" s="29">
        <v>315</v>
      </c>
      <c r="I761" s="29">
        <v>1</v>
      </c>
      <c r="J761" s="29"/>
      <c r="K761" s="30"/>
      <c r="L761" s="29" t="s">
        <v>72</v>
      </c>
      <c r="M761" s="31">
        <v>1185</v>
      </c>
      <c r="N761" s="31">
        <v>4740</v>
      </c>
      <c r="O761" s="31">
        <v>5925</v>
      </c>
      <c r="P761" s="31">
        <f>VLOOKUP(F761,'[3]1ª PARCELA'!$E$5:$H$889,4,FALSE)</f>
        <v>5925</v>
      </c>
      <c r="Q761" s="31" t="b">
        <f t="shared" si="11"/>
        <v>1</v>
      </c>
      <c r="R761" s="32">
        <v>45833</v>
      </c>
      <c r="S761" s="29">
        <v>13120</v>
      </c>
      <c r="T761" s="29" t="s">
        <v>2684</v>
      </c>
      <c r="U761" s="33" t="s">
        <v>2685</v>
      </c>
    </row>
    <row r="762" spans="1:21" ht="28.5" customHeight="1" x14ac:dyDescent="0.3">
      <c r="A762" s="27">
        <v>759</v>
      </c>
      <c r="B762" s="28">
        <v>2025</v>
      </c>
      <c r="C762" s="29" t="s">
        <v>2101</v>
      </c>
      <c r="D762" s="30" t="s">
        <v>2686</v>
      </c>
      <c r="E762" s="29">
        <v>29433746</v>
      </c>
      <c r="F762" s="29">
        <v>1178090</v>
      </c>
      <c r="G762" s="30" t="s">
        <v>2687</v>
      </c>
      <c r="H762" s="29">
        <v>450</v>
      </c>
      <c r="I762" s="29">
        <v>1</v>
      </c>
      <c r="J762" s="29"/>
      <c r="K762" s="30"/>
      <c r="L762" s="29" t="s">
        <v>72</v>
      </c>
      <c r="M762" s="31">
        <v>3797.5</v>
      </c>
      <c r="N762" s="31">
        <v>1627.5</v>
      </c>
      <c r="O762" s="31">
        <v>5425</v>
      </c>
      <c r="P762" s="31">
        <f>VLOOKUP(F762,'[3]1ª PARCELA'!$E$5:$H$889,4,FALSE)</f>
        <v>5425</v>
      </c>
      <c r="Q762" s="31" t="b">
        <f t="shared" si="11"/>
        <v>1</v>
      </c>
      <c r="R762" s="32">
        <v>45793</v>
      </c>
      <c r="S762" s="29">
        <v>9173</v>
      </c>
      <c r="T762" s="29" t="s">
        <v>2688</v>
      </c>
      <c r="U762" s="33" t="s">
        <v>2689</v>
      </c>
    </row>
    <row r="763" spans="1:21" ht="28.5" customHeight="1" x14ac:dyDescent="0.3">
      <c r="A763" s="27">
        <v>760</v>
      </c>
      <c r="B763" s="28">
        <v>2025</v>
      </c>
      <c r="C763" s="29" t="s">
        <v>2101</v>
      </c>
      <c r="D763" s="30" t="s">
        <v>2139</v>
      </c>
      <c r="E763" s="29">
        <v>29433843</v>
      </c>
      <c r="F763" s="29">
        <v>1178093</v>
      </c>
      <c r="G763" s="30" t="s">
        <v>2690</v>
      </c>
      <c r="H763" s="29">
        <v>1041</v>
      </c>
      <c r="I763" s="29">
        <v>1</v>
      </c>
      <c r="J763" s="29"/>
      <c r="K763" s="30"/>
      <c r="L763" s="29" t="s">
        <v>72</v>
      </c>
      <c r="M763" s="31">
        <v>5274</v>
      </c>
      <c r="N763" s="31">
        <v>7911</v>
      </c>
      <c r="O763" s="31">
        <v>13185</v>
      </c>
      <c r="P763" s="31">
        <f>VLOOKUP(F763,'[3]1ª PARCELA'!$E$5:$H$889,4,FALSE)</f>
        <v>13185</v>
      </c>
      <c r="Q763" s="31" t="b">
        <f t="shared" si="11"/>
        <v>1</v>
      </c>
      <c r="R763" s="32">
        <v>45793</v>
      </c>
      <c r="S763" s="29">
        <v>9173</v>
      </c>
      <c r="T763" s="29" t="s">
        <v>2691</v>
      </c>
      <c r="U763" s="33" t="s">
        <v>2692</v>
      </c>
    </row>
    <row r="764" spans="1:21" ht="28.5" customHeight="1" x14ac:dyDescent="0.3">
      <c r="A764" s="27">
        <v>761</v>
      </c>
      <c r="B764" s="28">
        <v>2025</v>
      </c>
      <c r="C764" s="29" t="s">
        <v>1906</v>
      </c>
      <c r="D764" s="30" t="s">
        <v>2693</v>
      </c>
      <c r="E764" s="29">
        <v>29433886</v>
      </c>
      <c r="F764" s="29">
        <v>1178110</v>
      </c>
      <c r="G764" s="30" t="s">
        <v>2324</v>
      </c>
      <c r="H764" s="29">
        <v>726</v>
      </c>
      <c r="I764" s="29">
        <v>1</v>
      </c>
      <c r="J764" s="29"/>
      <c r="K764" s="30"/>
      <c r="L764" s="29" t="s">
        <v>72</v>
      </c>
      <c r="M764" s="31">
        <v>5729.5</v>
      </c>
      <c r="N764" s="31">
        <v>2455.5</v>
      </c>
      <c r="O764" s="31">
        <v>8185</v>
      </c>
      <c r="P764" s="31">
        <f>VLOOKUP(F764,'[3]1ª PARCELA'!$E$5:$H$889,4,FALSE)</f>
        <v>8185</v>
      </c>
      <c r="Q764" s="31" t="b">
        <f t="shared" si="11"/>
        <v>1</v>
      </c>
      <c r="R764" s="32">
        <v>45793</v>
      </c>
      <c r="S764" s="29">
        <v>9173</v>
      </c>
      <c r="T764" s="29" t="s">
        <v>2694</v>
      </c>
      <c r="U764" s="33" t="s">
        <v>2695</v>
      </c>
    </row>
    <row r="765" spans="1:21" ht="28.5" customHeight="1" x14ac:dyDescent="0.3">
      <c r="A765" s="27">
        <v>762</v>
      </c>
      <c r="B765" s="28">
        <v>2025</v>
      </c>
      <c r="C765" s="29" t="s">
        <v>1906</v>
      </c>
      <c r="D765" s="30" t="s">
        <v>2696</v>
      </c>
      <c r="E765" s="29">
        <v>29434017</v>
      </c>
      <c r="F765" s="29">
        <v>1178112</v>
      </c>
      <c r="G765" s="30" t="s">
        <v>2697</v>
      </c>
      <c r="H765" s="29">
        <v>654</v>
      </c>
      <c r="I765" s="29">
        <v>1</v>
      </c>
      <c r="J765" s="29"/>
      <c r="K765" s="30"/>
      <c r="L765" s="29" t="s">
        <v>72</v>
      </c>
      <c r="M765" s="31">
        <v>5972</v>
      </c>
      <c r="N765" s="31">
        <v>1493</v>
      </c>
      <c r="O765" s="31">
        <v>7465</v>
      </c>
      <c r="P765" s="31">
        <f>VLOOKUP(F765,'[3]1ª PARCELA'!$E$5:$H$889,4,FALSE)</f>
        <v>7465</v>
      </c>
      <c r="Q765" s="31" t="b">
        <f t="shared" si="11"/>
        <v>1</v>
      </c>
      <c r="R765" s="32">
        <v>45805</v>
      </c>
      <c r="S765" s="29">
        <v>9678</v>
      </c>
      <c r="T765" s="29" t="s">
        <v>2698</v>
      </c>
      <c r="U765" s="33" t="s">
        <v>2699</v>
      </c>
    </row>
    <row r="766" spans="1:21" ht="28.5" customHeight="1" x14ac:dyDescent="0.3">
      <c r="A766" s="27">
        <v>763</v>
      </c>
      <c r="B766" s="28">
        <v>2025</v>
      </c>
      <c r="C766" s="29" t="s">
        <v>701</v>
      </c>
      <c r="D766" s="30" t="s">
        <v>2700</v>
      </c>
      <c r="E766" s="29">
        <v>29434530</v>
      </c>
      <c r="F766" s="29">
        <v>1178118</v>
      </c>
      <c r="G766" s="30" t="s">
        <v>2701</v>
      </c>
      <c r="H766" s="29">
        <v>514</v>
      </c>
      <c r="I766" s="29">
        <v>1</v>
      </c>
      <c r="J766" s="29"/>
      <c r="K766" s="30"/>
      <c r="L766" s="29" t="s">
        <v>72</v>
      </c>
      <c r="M766" s="31">
        <v>4245.5</v>
      </c>
      <c r="N766" s="31">
        <v>1819.5</v>
      </c>
      <c r="O766" s="31">
        <v>6065</v>
      </c>
      <c r="P766" s="31">
        <f>VLOOKUP(F766,'[3]1ª PARCELA'!$E$5:$H$889,4,FALSE)</f>
        <v>6065</v>
      </c>
      <c r="Q766" s="31" t="b">
        <f t="shared" si="11"/>
        <v>1</v>
      </c>
      <c r="R766" s="32">
        <v>45793</v>
      </c>
      <c r="S766" s="29">
        <v>9173</v>
      </c>
      <c r="T766" s="29" t="s">
        <v>2702</v>
      </c>
      <c r="U766" s="33" t="s">
        <v>2703</v>
      </c>
    </row>
    <row r="767" spans="1:21" ht="28.5" customHeight="1" x14ac:dyDescent="0.3">
      <c r="A767" s="27">
        <v>764</v>
      </c>
      <c r="B767" s="28">
        <v>2025</v>
      </c>
      <c r="C767" s="29" t="s">
        <v>1719</v>
      </c>
      <c r="D767" s="30" t="s">
        <v>2704</v>
      </c>
      <c r="E767" s="29">
        <v>29434726</v>
      </c>
      <c r="F767" s="29">
        <v>1178113</v>
      </c>
      <c r="G767" s="30" t="s">
        <v>2705</v>
      </c>
      <c r="H767" s="29">
        <v>263</v>
      </c>
      <c r="I767" s="29">
        <v>1</v>
      </c>
      <c r="J767" s="29"/>
      <c r="K767" s="30"/>
      <c r="L767" s="29" t="s">
        <v>72</v>
      </c>
      <c r="M767" s="31">
        <v>2844</v>
      </c>
      <c r="N767" s="31">
        <v>711</v>
      </c>
      <c r="O767" s="31">
        <v>3555</v>
      </c>
      <c r="P767" s="31">
        <f>VLOOKUP(F767,'[3]1ª PARCELA'!$E$5:$H$889,4,FALSE)</f>
        <v>3555</v>
      </c>
      <c r="Q767" s="31" t="b">
        <f t="shared" si="11"/>
        <v>1</v>
      </c>
      <c r="R767" s="32">
        <v>45833</v>
      </c>
      <c r="S767" s="29">
        <v>13120</v>
      </c>
      <c r="T767" s="29" t="s">
        <v>2706</v>
      </c>
      <c r="U767" s="33" t="s">
        <v>2707</v>
      </c>
    </row>
    <row r="768" spans="1:21" ht="28.5" customHeight="1" x14ac:dyDescent="0.3">
      <c r="A768" s="27">
        <v>765</v>
      </c>
      <c r="B768" s="28">
        <v>2025</v>
      </c>
      <c r="C768" s="29" t="s">
        <v>1719</v>
      </c>
      <c r="D768" s="30" t="s">
        <v>2708</v>
      </c>
      <c r="E768" s="29">
        <v>29434734</v>
      </c>
      <c r="F768" s="29">
        <v>1178438</v>
      </c>
      <c r="G768" s="30" t="s">
        <v>2709</v>
      </c>
      <c r="H768" s="29">
        <v>675</v>
      </c>
      <c r="I768" s="29">
        <v>1</v>
      </c>
      <c r="J768" s="29"/>
      <c r="K768" s="30"/>
      <c r="L768" s="29" t="s">
        <v>72</v>
      </c>
      <c r="M768" s="31">
        <v>5372.5</v>
      </c>
      <c r="N768" s="31">
        <v>2302.5</v>
      </c>
      <c r="O768" s="31">
        <v>7675</v>
      </c>
      <c r="P768" s="31">
        <f>VLOOKUP(F768,'[3]1ª PARCELA'!$E$5:$H$889,4,FALSE)</f>
        <v>7675</v>
      </c>
      <c r="Q768" s="31" t="b">
        <f t="shared" si="11"/>
        <v>1</v>
      </c>
      <c r="R768" s="32">
        <v>45793</v>
      </c>
      <c r="S768" s="29">
        <v>9173</v>
      </c>
      <c r="T768" s="29" t="s">
        <v>2710</v>
      </c>
      <c r="U768" s="33" t="s">
        <v>2711</v>
      </c>
    </row>
    <row r="769" spans="1:21" ht="28.5" customHeight="1" x14ac:dyDescent="0.3">
      <c r="A769" s="27">
        <v>766</v>
      </c>
      <c r="B769" s="28">
        <v>2025</v>
      </c>
      <c r="C769" s="29" t="s">
        <v>1906</v>
      </c>
      <c r="D769" s="30" t="s">
        <v>2712</v>
      </c>
      <c r="E769" s="29">
        <v>29436184</v>
      </c>
      <c r="F769" s="29">
        <v>1178107</v>
      </c>
      <c r="G769" s="30" t="s">
        <v>2305</v>
      </c>
      <c r="H769" s="29">
        <v>1093</v>
      </c>
      <c r="I769" s="29">
        <v>1</v>
      </c>
      <c r="J769" s="29"/>
      <c r="K769" s="30"/>
      <c r="L769" s="29" t="s">
        <v>72</v>
      </c>
      <c r="M769" s="31">
        <v>8298.5</v>
      </c>
      <c r="N769" s="31">
        <v>3556.5</v>
      </c>
      <c r="O769" s="31">
        <v>11855</v>
      </c>
      <c r="P769" s="31">
        <f>VLOOKUP(F769,'[3]1ª PARCELA'!$E$5:$H$889,4,FALSE)</f>
        <v>11855</v>
      </c>
      <c r="Q769" s="31" t="b">
        <f t="shared" si="11"/>
        <v>1</v>
      </c>
      <c r="R769" s="32">
        <v>45805</v>
      </c>
      <c r="S769" s="29">
        <v>9678</v>
      </c>
      <c r="T769" s="29" t="s">
        <v>2713</v>
      </c>
      <c r="U769" s="33" t="s">
        <v>2714</v>
      </c>
    </row>
    <row r="770" spans="1:21" ht="28.5" customHeight="1" x14ac:dyDescent="0.3">
      <c r="A770" s="27">
        <v>767</v>
      </c>
      <c r="B770" s="28">
        <v>2025</v>
      </c>
      <c r="C770" s="29" t="s">
        <v>701</v>
      </c>
      <c r="D770" s="30" t="s">
        <v>702</v>
      </c>
      <c r="E770" s="29">
        <v>29436931</v>
      </c>
      <c r="F770" s="29">
        <v>1178136</v>
      </c>
      <c r="G770" s="30" t="s">
        <v>2715</v>
      </c>
      <c r="H770" s="29">
        <v>69</v>
      </c>
      <c r="I770" s="29">
        <v>1</v>
      </c>
      <c r="J770" s="29"/>
      <c r="K770" s="30"/>
      <c r="L770" s="29" t="s">
        <v>72</v>
      </c>
      <c r="M770" s="31">
        <v>2772</v>
      </c>
      <c r="N770" s="31">
        <v>693</v>
      </c>
      <c r="O770" s="31">
        <v>3465</v>
      </c>
      <c r="P770" s="31">
        <f>VLOOKUP(F770,'[3]1ª PARCELA'!$E$5:$H$889,4,FALSE)</f>
        <v>3465</v>
      </c>
      <c r="Q770" s="31" t="b">
        <f t="shared" si="11"/>
        <v>1</v>
      </c>
      <c r="R770" s="32">
        <v>45926</v>
      </c>
      <c r="S770" s="29">
        <v>24529</v>
      </c>
      <c r="T770" s="29" t="s">
        <v>2716</v>
      </c>
      <c r="U770" s="33" t="s">
        <v>2717</v>
      </c>
    </row>
    <row r="771" spans="1:21" ht="28.5" customHeight="1" x14ac:dyDescent="0.3">
      <c r="A771" s="27">
        <v>768</v>
      </c>
      <c r="B771" s="28">
        <v>2025</v>
      </c>
      <c r="C771" s="29" t="s">
        <v>718</v>
      </c>
      <c r="D771" s="30" t="s">
        <v>719</v>
      </c>
      <c r="E771" s="29">
        <v>29437164</v>
      </c>
      <c r="F771" s="29">
        <v>1178125</v>
      </c>
      <c r="G771" s="30" t="s">
        <v>2718</v>
      </c>
      <c r="H771" s="29">
        <v>173</v>
      </c>
      <c r="I771" s="29">
        <v>1</v>
      </c>
      <c r="J771" s="29"/>
      <c r="K771" s="30"/>
      <c r="L771" s="29" t="s">
        <v>72</v>
      </c>
      <c r="M771" s="31">
        <v>901</v>
      </c>
      <c r="N771" s="31">
        <v>3604</v>
      </c>
      <c r="O771" s="31">
        <v>4505</v>
      </c>
      <c r="P771" s="31">
        <f>VLOOKUP(F771,'[3]1ª PARCELA'!$E$5:$H$889,4,FALSE)</f>
        <v>4505</v>
      </c>
      <c r="Q771" s="31" t="b">
        <f t="shared" si="11"/>
        <v>1</v>
      </c>
      <c r="R771" s="32">
        <v>45793</v>
      </c>
      <c r="S771" s="29">
        <v>9173</v>
      </c>
      <c r="T771" s="29" t="s">
        <v>2719</v>
      </c>
      <c r="U771" s="33" t="s">
        <v>2720</v>
      </c>
    </row>
    <row r="772" spans="1:21" ht="28.5" customHeight="1" x14ac:dyDescent="0.3">
      <c r="A772" s="27">
        <v>769</v>
      </c>
      <c r="B772" s="28">
        <v>2025</v>
      </c>
      <c r="C772" s="29" t="s">
        <v>1797</v>
      </c>
      <c r="D772" s="30" t="s">
        <v>1880</v>
      </c>
      <c r="E772" s="29">
        <v>29437172</v>
      </c>
      <c r="F772" s="29">
        <v>1178120</v>
      </c>
      <c r="G772" s="30" t="s">
        <v>2721</v>
      </c>
      <c r="H772" s="29">
        <v>204</v>
      </c>
      <c r="I772" s="29">
        <v>1</v>
      </c>
      <c r="J772" s="29"/>
      <c r="K772" s="30"/>
      <c r="L772" s="29" t="s">
        <v>72</v>
      </c>
      <c r="M772" s="31">
        <v>3852</v>
      </c>
      <c r="N772" s="31">
        <v>963</v>
      </c>
      <c r="O772" s="31">
        <v>4815</v>
      </c>
      <c r="P772" s="31">
        <f>VLOOKUP(F772,'[3]1ª PARCELA'!$E$5:$H$889,4,FALSE)</f>
        <v>4815</v>
      </c>
      <c r="Q772" s="31" t="b">
        <f t="shared" si="11"/>
        <v>1</v>
      </c>
      <c r="R772" s="32">
        <v>45805</v>
      </c>
      <c r="S772" s="29">
        <v>9678</v>
      </c>
      <c r="T772" s="29" t="s">
        <v>2722</v>
      </c>
      <c r="U772" s="33" t="s">
        <v>2723</v>
      </c>
    </row>
    <row r="773" spans="1:21" ht="28.5" customHeight="1" x14ac:dyDescent="0.3">
      <c r="A773" s="27">
        <v>770</v>
      </c>
      <c r="B773" s="28">
        <v>2025</v>
      </c>
      <c r="C773" s="29" t="s">
        <v>961</v>
      </c>
      <c r="D773" s="30" t="s">
        <v>1092</v>
      </c>
      <c r="E773" s="29">
        <v>29437377</v>
      </c>
      <c r="F773" s="29">
        <v>1176389</v>
      </c>
      <c r="G773" s="30" t="s">
        <v>2724</v>
      </c>
      <c r="H773" s="29">
        <v>1224</v>
      </c>
      <c r="I773" s="29">
        <v>1</v>
      </c>
      <c r="J773" s="29"/>
      <c r="K773" s="30"/>
      <c r="L773" s="29" t="s">
        <v>72</v>
      </c>
      <c r="M773" s="31">
        <v>10532</v>
      </c>
      <c r="N773" s="31">
        <v>2633</v>
      </c>
      <c r="O773" s="31">
        <v>13165</v>
      </c>
      <c r="P773" s="31">
        <f>VLOOKUP(F773,'[3]1ª PARCELA'!$E$5:$H$889,4,FALSE)</f>
        <v>13165</v>
      </c>
      <c r="Q773" s="31" t="b">
        <f t="shared" ref="Q773:Q836" si="12">O773=P773</f>
        <v>1</v>
      </c>
      <c r="R773" s="32">
        <v>45793</v>
      </c>
      <c r="S773" s="29">
        <v>9173</v>
      </c>
      <c r="T773" s="29" t="s">
        <v>2725</v>
      </c>
      <c r="U773" s="33" t="s">
        <v>2726</v>
      </c>
    </row>
    <row r="774" spans="1:21" ht="28.5" customHeight="1" x14ac:dyDescent="0.3">
      <c r="A774" s="27">
        <v>771</v>
      </c>
      <c r="B774" s="28">
        <v>2025</v>
      </c>
      <c r="C774" s="29" t="s">
        <v>1526</v>
      </c>
      <c r="D774" s="30" t="s">
        <v>1708</v>
      </c>
      <c r="E774" s="29">
        <v>29437814</v>
      </c>
      <c r="F774" s="29">
        <v>1178149</v>
      </c>
      <c r="G774" s="30" t="s">
        <v>2727</v>
      </c>
      <c r="H774" s="29">
        <v>179</v>
      </c>
      <c r="I774" s="29">
        <v>1</v>
      </c>
      <c r="J774" s="29"/>
      <c r="K774" s="30"/>
      <c r="L774" s="29" t="s">
        <v>72</v>
      </c>
      <c r="M774" s="31">
        <v>3652</v>
      </c>
      <c r="N774" s="31">
        <v>913</v>
      </c>
      <c r="O774" s="31">
        <v>4565</v>
      </c>
      <c r="P774" s="31">
        <f>VLOOKUP(F774,'[3]1ª PARCELA'!$E$5:$H$889,4,FALSE)</f>
        <v>4565</v>
      </c>
      <c r="Q774" s="31" t="b">
        <f t="shared" si="12"/>
        <v>1</v>
      </c>
      <c r="R774" s="32">
        <v>45793</v>
      </c>
      <c r="S774" s="29">
        <v>9173</v>
      </c>
      <c r="T774" s="29" t="s">
        <v>2728</v>
      </c>
      <c r="U774" s="33" t="s">
        <v>2729</v>
      </c>
    </row>
    <row r="775" spans="1:21" ht="28.5" customHeight="1" x14ac:dyDescent="0.3">
      <c r="A775" s="27">
        <v>772</v>
      </c>
      <c r="B775" s="28">
        <v>2025</v>
      </c>
      <c r="C775" s="29" t="s">
        <v>1797</v>
      </c>
      <c r="D775" s="30" t="s">
        <v>2730</v>
      </c>
      <c r="E775" s="29">
        <v>29437830</v>
      </c>
      <c r="F775" s="29">
        <v>1118830</v>
      </c>
      <c r="G775" s="30" t="s">
        <v>2731</v>
      </c>
      <c r="H775" s="29">
        <v>547</v>
      </c>
      <c r="I775" s="29">
        <v>1</v>
      </c>
      <c r="J775" s="29"/>
      <c r="K775" s="30"/>
      <c r="L775" s="29" t="s">
        <v>72</v>
      </c>
      <c r="M775" s="31">
        <v>4476.5</v>
      </c>
      <c r="N775" s="31">
        <v>1918.5</v>
      </c>
      <c r="O775" s="31">
        <v>6395</v>
      </c>
      <c r="P775" s="31">
        <f>VLOOKUP(F775,'[3]1ª PARCELA'!$E$5:$H$889,4,FALSE)</f>
        <v>6395</v>
      </c>
      <c r="Q775" s="31" t="b">
        <f t="shared" si="12"/>
        <v>1</v>
      </c>
      <c r="R775" s="32">
        <v>45805</v>
      </c>
      <c r="S775" s="29">
        <v>9678</v>
      </c>
      <c r="T775" s="29" t="s">
        <v>2732</v>
      </c>
      <c r="U775" s="33" t="s">
        <v>2733</v>
      </c>
    </row>
    <row r="776" spans="1:21" ht="28.5" customHeight="1" x14ac:dyDescent="0.3">
      <c r="A776" s="27">
        <v>773</v>
      </c>
      <c r="B776" s="28">
        <v>2025</v>
      </c>
      <c r="C776" s="29" t="s">
        <v>69</v>
      </c>
      <c r="D776" s="30" t="s">
        <v>75</v>
      </c>
      <c r="E776" s="29">
        <v>29437881</v>
      </c>
      <c r="F776" s="29">
        <v>1178162</v>
      </c>
      <c r="G776" s="30" t="s">
        <v>2734</v>
      </c>
      <c r="H776" s="29">
        <v>480</v>
      </c>
      <c r="I776" s="29">
        <v>1</v>
      </c>
      <c r="J776" s="29"/>
      <c r="K776" s="30"/>
      <c r="L776" s="29" t="s">
        <v>72</v>
      </c>
      <c r="M776" s="31">
        <v>4580</v>
      </c>
      <c r="N776" s="31">
        <v>1145</v>
      </c>
      <c r="O776" s="31">
        <v>5725</v>
      </c>
      <c r="P776" s="31">
        <f>VLOOKUP(F776,'[3]1ª PARCELA'!$E$5:$H$889,4,FALSE)</f>
        <v>5725</v>
      </c>
      <c r="Q776" s="31" t="b">
        <f t="shared" si="12"/>
        <v>1</v>
      </c>
      <c r="R776" s="32">
        <v>45967</v>
      </c>
      <c r="S776" s="29">
        <v>29630</v>
      </c>
      <c r="T776" s="29" t="s">
        <v>2735</v>
      </c>
      <c r="U776" s="33" t="s">
        <v>2736</v>
      </c>
    </row>
    <row r="777" spans="1:21" ht="28.5" customHeight="1" x14ac:dyDescent="0.3">
      <c r="A777" s="27">
        <v>774</v>
      </c>
      <c r="B777" s="28">
        <v>2025</v>
      </c>
      <c r="C777" s="29" t="s">
        <v>263</v>
      </c>
      <c r="D777" s="30" t="s">
        <v>2737</v>
      </c>
      <c r="E777" s="29">
        <v>29437911</v>
      </c>
      <c r="F777" s="29">
        <v>1178150</v>
      </c>
      <c r="G777" s="30" t="s">
        <v>2738</v>
      </c>
      <c r="H777" s="29">
        <v>658</v>
      </c>
      <c r="I777" s="29">
        <v>1</v>
      </c>
      <c r="J777" s="29"/>
      <c r="K777" s="30"/>
      <c r="L777" s="29" t="s">
        <v>72</v>
      </c>
      <c r="M777" s="31">
        <v>4503</v>
      </c>
      <c r="N777" s="31">
        <v>3002</v>
      </c>
      <c r="O777" s="31">
        <v>7505</v>
      </c>
      <c r="P777" s="31">
        <f>VLOOKUP(F777,'[3]1ª PARCELA'!$E$5:$H$889,4,FALSE)</f>
        <v>7505</v>
      </c>
      <c r="Q777" s="31" t="b">
        <f t="shared" si="12"/>
        <v>1</v>
      </c>
      <c r="R777" s="32">
        <v>45967</v>
      </c>
      <c r="S777" s="29">
        <v>29630</v>
      </c>
      <c r="T777" s="29" t="s">
        <v>2739</v>
      </c>
      <c r="U777" s="33" t="s">
        <v>2740</v>
      </c>
    </row>
    <row r="778" spans="1:21" ht="28.5" customHeight="1" x14ac:dyDescent="0.3">
      <c r="A778" s="27">
        <v>775</v>
      </c>
      <c r="B778" s="28">
        <v>2025</v>
      </c>
      <c r="C778" s="29" t="s">
        <v>961</v>
      </c>
      <c r="D778" s="30" t="s">
        <v>1092</v>
      </c>
      <c r="E778" s="29">
        <v>29438934</v>
      </c>
      <c r="F778" s="29">
        <v>1178138</v>
      </c>
      <c r="G778" s="30" t="s">
        <v>2741</v>
      </c>
      <c r="H778" s="29">
        <v>1360</v>
      </c>
      <c r="I778" s="29">
        <v>1</v>
      </c>
      <c r="J778" s="29"/>
      <c r="K778" s="30"/>
      <c r="L778" s="29" t="s">
        <v>72</v>
      </c>
      <c r="M778" s="31">
        <v>11620</v>
      </c>
      <c r="N778" s="31">
        <v>2905</v>
      </c>
      <c r="O778" s="31">
        <v>14525</v>
      </c>
      <c r="P778" s="31">
        <f>VLOOKUP(F778,'[3]1ª PARCELA'!$E$5:$H$889,4,FALSE)</f>
        <v>14525</v>
      </c>
      <c r="Q778" s="31" t="b">
        <f t="shared" si="12"/>
        <v>1</v>
      </c>
      <c r="R778" s="32">
        <v>45867</v>
      </c>
      <c r="S778" s="29">
        <v>16705</v>
      </c>
      <c r="T778" s="29" t="s">
        <v>2742</v>
      </c>
      <c r="U778" s="33" t="s">
        <v>2743</v>
      </c>
    </row>
    <row r="779" spans="1:21" ht="28.5" customHeight="1" x14ac:dyDescent="0.3">
      <c r="A779" s="27">
        <v>776</v>
      </c>
      <c r="B779" s="28">
        <v>2025</v>
      </c>
      <c r="C779" s="29" t="s">
        <v>973</v>
      </c>
      <c r="D779" s="30" t="s">
        <v>2744</v>
      </c>
      <c r="E779" s="29">
        <v>29440173</v>
      </c>
      <c r="F779" s="29">
        <v>1178152</v>
      </c>
      <c r="G779" s="30" t="s">
        <v>2745</v>
      </c>
      <c r="H779" s="29">
        <v>892</v>
      </c>
      <c r="I779" s="29">
        <v>1</v>
      </c>
      <c r="J779" s="29"/>
      <c r="K779" s="30"/>
      <c r="L779" s="29" t="s">
        <v>72</v>
      </c>
      <c r="M779" s="31">
        <v>7876</v>
      </c>
      <c r="N779" s="31">
        <v>1969</v>
      </c>
      <c r="O779" s="31">
        <v>9845</v>
      </c>
      <c r="P779" s="31">
        <f>VLOOKUP(F779,'[3]1ª PARCELA'!$E$5:$H$889,4,FALSE)</f>
        <v>9845</v>
      </c>
      <c r="Q779" s="31" t="b">
        <f t="shared" si="12"/>
        <v>1</v>
      </c>
      <c r="R779" s="32">
        <v>45793</v>
      </c>
      <c r="S779" s="29">
        <v>9173</v>
      </c>
      <c r="T779" s="29" t="s">
        <v>2746</v>
      </c>
      <c r="U779" s="33" t="s">
        <v>2747</v>
      </c>
    </row>
    <row r="780" spans="1:21" ht="28.5" customHeight="1" x14ac:dyDescent="0.3">
      <c r="A780" s="27">
        <v>777</v>
      </c>
      <c r="B780" s="28">
        <v>2025</v>
      </c>
      <c r="C780" s="29" t="s">
        <v>407</v>
      </c>
      <c r="D780" s="30" t="s">
        <v>421</v>
      </c>
      <c r="E780" s="29">
        <v>29440211</v>
      </c>
      <c r="F780" s="29">
        <v>1178094</v>
      </c>
      <c r="G780" s="30" t="s">
        <v>2748</v>
      </c>
      <c r="H780" s="29">
        <v>420</v>
      </c>
      <c r="I780" s="29">
        <v>1</v>
      </c>
      <c r="J780" s="29"/>
      <c r="K780" s="30"/>
      <c r="L780" s="29" t="s">
        <v>72</v>
      </c>
      <c r="M780" s="31">
        <v>4100</v>
      </c>
      <c r="N780" s="31">
        <v>1025</v>
      </c>
      <c r="O780" s="31">
        <v>5125</v>
      </c>
      <c r="P780" s="31">
        <f>VLOOKUP(F780,'[3]1ª PARCELA'!$E$5:$H$889,4,FALSE)</f>
        <v>5125</v>
      </c>
      <c r="Q780" s="31" t="b">
        <f t="shared" si="12"/>
        <v>1</v>
      </c>
      <c r="R780" s="32">
        <v>45926</v>
      </c>
      <c r="S780" s="29">
        <v>24529</v>
      </c>
      <c r="T780" s="29" t="s">
        <v>2749</v>
      </c>
      <c r="U780" s="33" t="s">
        <v>2750</v>
      </c>
    </row>
    <row r="781" spans="1:21" ht="28.5" customHeight="1" x14ac:dyDescent="0.3">
      <c r="A781" s="27">
        <v>778</v>
      </c>
      <c r="B781" s="28">
        <v>2025</v>
      </c>
      <c r="C781" s="29" t="s">
        <v>2101</v>
      </c>
      <c r="D781" s="30" t="s">
        <v>2153</v>
      </c>
      <c r="E781" s="29">
        <v>29440530</v>
      </c>
      <c r="F781" s="29">
        <v>1178182</v>
      </c>
      <c r="G781" s="30" t="s">
        <v>2751</v>
      </c>
      <c r="H781" s="29">
        <v>107</v>
      </c>
      <c r="I781" s="29">
        <v>1</v>
      </c>
      <c r="J781" s="29"/>
      <c r="K781" s="30"/>
      <c r="L781" s="29" t="s">
        <v>72</v>
      </c>
      <c r="M781" s="31">
        <v>2691.5</v>
      </c>
      <c r="N781" s="31">
        <v>1153.5</v>
      </c>
      <c r="O781" s="31">
        <v>3845</v>
      </c>
      <c r="P781" s="31">
        <f>VLOOKUP(F781,'[3]1ª PARCELA'!$E$5:$H$889,4,FALSE)</f>
        <v>3845</v>
      </c>
      <c r="Q781" s="31" t="b">
        <f t="shared" si="12"/>
        <v>1</v>
      </c>
      <c r="R781" s="32">
        <v>45793</v>
      </c>
      <c r="S781" s="29">
        <v>9173</v>
      </c>
      <c r="T781" s="29" t="s">
        <v>2752</v>
      </c>
      <c r="U781" s="33" t="s">
        <v>2753</v>
      </c>
    </row>
    <row r="782" spans="1:21" ht="28.5" customHeight="1" x14ac:dyDescent="0.3">
      <c r="A782" s="27">
        <v>779</v>
      </c>
      <c r="B782" s="28">
        <v>2025</v>
      </c>
      <c r="C782" s="29" t="s">
        <v>407</v>
      </c>
      <c r="D782" s="30" t="s">
        <v>2754</v>
      </c>
      <c r="E782" s="29">
        <v>29441609</v>
      </c>
      <c r="F782" s="29">
        <v>1179205</v>
      </c>
      <c r="G782" s="30" t="s">
        <v>2755</v>
      </c>
      <c r="H782" s="29">
        <v>593</v>
      </c>
      <c r="I782" s="29">
        <v>1</v>
      </c>
      <c r="J782" s="29"/>
      <c r="K782" s="30"/>
      <c r="L782" s="29" t="s">
        <v>72</v>
      </c>
      <c r="M782" s="31">
        <v>4798.5</v>
      </c>
      <c r="N782" s="31">
        <v>2056.5</v>
      </c>
      <c r="O782" s="31">
        <v>6855</v>
      </c>
      <c r="P782" s="31">
        <f>VLOOKUP(F782,'[3]1ª PARCELA'!$E$5:$H$889,4,FALSE)</f>
        <v>6855</v>
      </c>
      <c r="Q782" s="31" t="b">
        <f t="shared" si="12"/>
        <v>1</v>
      </c>
      <c r="R782" s="32">
        <v>45805</v>
      </c>
      <c r="S782" s="29">
        <v>9678</v>
      </c>
      <c r="T782" s="29" t="s">
        <v>2756</v>
      </c>
      <c r="U782" s="33" t="s">
        <v>2757</v>
      </c>
    </row>
    <row r="783" spans="1:21" ht="28.5" customHeight="1" x14ac:dyDescent="0.3">
      <c r="A783" s="27">
        <v>780</v>
      </c>
      <c r="B783" s="28">
        <v>2025</v>
      </c>
      <c r="C783" s="29" t="s">
        <v>506</v>
      </c>
      <c r="D783" s="30" t="s">
        <v>539</v>
      </c>
      <c r="E783" s="29">
        <v>29441633</v>
      </c>
      <c r="F783" s="29">
        <v>1178137</v>
      </c>
      <c r="G783" s="30" t="s">
        <v>2758</v>
      </c>
      <c r="H783" s="29">
        <v>159</v>
      </c>
      <c r="I783" s="29">
        <v>1</v>
      </c>
      <c r="J783" s="29"/>
      <c r="K783" s="30"/>
      <c r="L783" s="29" t="s">
        <v>72</v>
      </c>
      <c r="M783" s="31">
        <v>3492</v>
      </c>
      <c r="N783" s="31">
        <v>873</v>
      </c>
      <c r="O783" s="31">
        <v>4365</v>
      </c>
      <c r="P783" s="31">
        <f>VLOOKUP(F783,'[3]1ª PARCELA'!$E$5:$H$889,4,FALSE)</f>
        <v>4365</v>
      </c>
      <c r="Q783" s="31" t="b">
        <f t="shared" si="12"/>
        <v>1</v>
      </c>
      <c r="R783" s="32">
        <v>45967</v>
      </c>
      <c r="S783" s="29">
        <v>29630</v>
      </c>
      <c r="T783" s="29" t="s">
        <v>2759</v>
      </c>
      <c r="U783" s="33" t="s">
        <v>2760</v>
      </c>
    </row>
    <row r="784" spans="1:21" ht="28.5" customHeight="1" x14ac:dyDescent="0.3">
      <c r="A784" s="27">
        <v>781</v>
      </c>
      <c r="B784" s="28">
        <v>2025</v>
      </c>
      <c r="C784" s="29" t="s">
        <v>973</v>
      </c>
      <c r="D784" s="30" t="s">
        <v>2761</v>
      </c>
      <c r="E784" s="29">
        <v>29441641</v>
      </c>
      <c r="F784" s="29">
        <v>1178143</v>
      </c>
      <c r="G784" s="30" t="s">
        <v>2552</v>
      </c>
      <c r="H784" s="29">
        <v>300</v>
      </c>
      <c r="I784" s="29">
        <v>1</v>
      </c>
      <c r="J784" s="29"/>
      <c r="K784" s="30"/>
      <c r="L784" s="29" t="s">
        <v>72</v>
      </c>
      <c r="M784" s="31">
        <v>785</v>
      </c>
      <c r="N784" s="31">
        <v>3140</v>
      </c>
      <c r="O784" s="31">
        <v>3925</v>
      </c>
      <c r="P784" s="31">
        <f>VLOOKUP(F784,'[3]1ª PARCELA'!$E$5:$H$889,4,FALSE)</f>
        <v>3925</v>
      </c>
      <c r="Q784" s="31" t="b">
        <f t="shared" si="12"/>
        <v>1</v>
      </c>
      <c r="R784" s="32">
        <v>45954</v>
      </c>
      <c r="S784" s="29">
        <v>28607</v>
      </c>
      <c r="T784" s="29" t="s">
        <v>2762</v>
      </c>
      <c r="U784" s="33" t="s">
        <v>2763</v>
      </c>
    </row>
    <row r="785" spans="1:21" ht="28.5" customHeight="1" x14ac:dyDescent="0.3">
      <c r="A785" s="27">
        <v>782</v>
      </c>
      <c r="B785" s="28">
        <v>2025</v>
      </c>
      <c r="C785" s="29" t="s">
        <v>461</v>
      </c>
      <c r="D785" s="30" t="s">
        <v>2502</v>
      </c>
      <c r="E785" s="29">
        <v>29441919</v>
      </c>
      <c r="F785" s="29">
        <v>1178426</v>
      </c>
      <c r="G785" s="30" t="s">
        <v>2764</v>
      </c>
      <c r="H785" s="29">
        <v>451</v>
      </c>
      <c r="I785" s="29">
        <v>1</v>
      </c>
      <c r="J785" s="29"/>
      <c r="K785" s="30"/>
      <c r="L785" s="29" t="s">
        <v>72</v>
      </c>
      <c r="M785" s="31">
        <v>5099.5</v>
      </c>
      <c r="N785" s="31">
        <v>2185.5</v>
      </c>
      <c r="O785" s="31">
        <v>7285</v>
      </c>
      <c r="P785" s="31">
        <f>VLOOKUP(F785,'[3]1ª PARCELA'!$E$5:$H$889,4,FALSE)</f>
        <v>7285</v>
      </c>
      <c r="Q785" s="31" t="b">
        <f t="shared" si="12"/>
        <v>1</v>
      </c>
      <c r="R785" s="32">
        <v>45926</v>
      </c>
      <c r="S785" s="29">
        <v>24529</v>
      </c>
      <c r="T785" s="29" t="s">
        <v>2765</v>
      </c>
      <c r="U785" s="33" t="s">
        <v>2766</v>
      </c>
    </row>
    <row r="786" spans="1:21" ht="28.5" customHeight="1" x14ac:dyDescent="0.3">
      <c r="A786" s="27">
        <v>783</v>
      </c>
      <c r="B786" s="28">
        <v>2025</v>
      </c>
      <c r="C786" s="29" t="s">
        <v>1526</v>
      </c>
      <c r="D786" s="30" t="s">
        <v>2480</v>
      </c>
      <c r="E786" s="29">
        <v>29442095</v>
      </c>
      <c r="F786" s="29">
        <v>1178173</v>
      </c>
      <c r="G786" s="30" t="s">
        <v>2767</v>
      </c>
      <c r="H786" s="29">
        <v>327</v>
      </c>
      <c r="I786" s="29">
        <v>1</v>
      </c>
      <c r="J786" s="29"/>
      <c r="K786" s="30"/>
      <c r="L786" s="29" t="s">
        <v>72</v>
      </c>
      <c r="M786" s="31">
        <v>4231.5</v>
      </c>
      <c r="N786" s="31">
        <v>1813.5</v>
      </c>
      <c r="O786" s="31">
        <v>6045</v>
      </c>
      <c r="P786" s="31">
        <f>VLOOKUP(F786,'[3]1ª PARCELA'!$E$5:$H$889,4,FALSE)</f>
        <v>6045</v>
      </c>
      <c r="Q786" s="31" t="b">
        <f t="shared" si="12"/>
        <v>1</v>
      </c>
      <c r="R786" s="32">
        <v>45793</v>
      </c>
      <c r="S786" s="29">
        <v>9173</v>
      </c>
      <c r="T786" s="29" t="s">
        <v>2768</v>
      </c>
      <c r="U786" s="33" t="s">
        <v>2769</v>
      </c>
    </row>
    <row r="787" spans="1:21" ht="28.5" customHeight="1" x14ac:dyDescent="0.3">
      <c r="A787" s="27">
        <v>784</v>
      </c>
      <c r="B787" s="28">
        <v>2025</v>
      </c>
      <c r="C787" s="29" t="s">
        <v>461</v>
      </c>
      <c r="D787" s="30" t="s">
        <v>2770</v>
      </c>
      <c r="E787" s="29">
        <v>29443113</v>
      </c>
      <c r="F787" s="29">
        <v>1178106</v>
      </c>
      <c r="G787" s="30" t="s">
        <v>2552</v>
      </c>
      <c r="H787" s="29">
        <v>509</v>
      </c>
      <c r="I787" s="29">
        <v>1</v>
      </c>
      <c r="J787" s="29"/>
      <c r="K787" s="30"/>
      <c r="L787" s="29" t="s">
        <v>72</v>
      </c>
      <c r="M787" s="31">
        <v>4812</v>
      </c>
      <c r="N787" s="31">
        <v>1203</v>
      </c>
      <c r="O787" s="31">
        <v>6015</v>
      </c>
      <c r="P787" s="31">
        <f>VLOOKUP(F787,'[3]1ª PARCELA'!$E$5:$H$889,4,FALSE)</f>
        <v>6015</v>
      </c>
      <c r="Q787" s="31" t="b">
        <f t="shared" si="12"/>
        <v>1</v>
      </c>
      <c r="R787" s="32">
        <v>45793</v>
      </c>
      <c r="S787" s="29">
        <v>9173</v>
      </c>
      <c r="T787" s="29" t="s">
        <v>2771</v>
      </c>
      <c r="U787" s="33" t="s">
        <v>2772</v>
      </c>
    </row>
    <row r="788" spans="1:21" ht="28.5" customHeight="1" x14ac:dyDescent="0.3">
      <c r="A788" s="27">
        <v>785</v>
      </c>
      <c r="B788" s="28">
        <v>2025</v>
      </c>
      <c r="C788" s="29" t="s">
        <v>718</v>
      </c>
      <c r="D788" s="30" t="s">
        <v>860</v>
      </c>
      <c r="E788" s="29">
        <v>29443296</v>
      </c>
      <c r="F788" s="29">
        <v>1178222</v>
      </c>
      <c r="G788" s="30" t="s">
        <v>2773</v>
      </c>
      <c r="H788" s="29">
        <v>238</v>
      </c>
      <c r="I788" s="29">
        <v>1</v>
      </c>
      <c r="J788" s="29"/>
      <c r="K788" s="30"/>
      <c r="L788" s="29" t="s">
        <v>72</v>
      </c>
      <c r="M788" s="31">
        <v>2644</v>
      </c>
      <c r="N788" s="31">
        <v>661</v>
      </c>
      <c r="O788" s="31">
        <v>3305</v>
      </c>
      <c r="P788" s="31">
        <f>VLOOKUP(F788,'[3]1ª PARCELA'!$E$5:$H$889,4,FALSE)</f>
        <v>3305</v>
      </c>
      <c r="Q788" s="31" t="b">
        <f t="shared" si="12"/>
        <v>1</v>
      </c>
      <c r="R788" s="32">
        <v>45926</v>
      </c>
      <c r="S788" s="29">
        <v>24529</v>
      </c>
      <c r="T788" s="29" t="s">
        <v>2774</v>
      </c>
      <c r="U788" s="33" t="s">
        <v>2775</v>
      </c>
    </row>
    <row r="789" spans="1:21" ht="28.5" customHeight="1" x14ac:dyDescent="0.3">
      <c r="A789" s="27">
        <v>786</v>
      </c>
      <c r="B789" s="28">
        <v>2025</v>
      </c>
      <c r="C789" s="29" t="s">
        <v>506</v>
      </c>
      <c r="D789" s="30" t="s">
        <v>539</v>
      </c>
      <c r="E789" s="29">
        <v>29443768</v>
      </c>
      <c r="F789" s="29">
        <v>1178219</v>
      </c>
      <c r="G789" s="30" t="s">
        <v>2776</v>
      </c>
      <c r="H789" s="29">
        <v>399</v>
      </c>
      <c r="I789" s="29">
        <v>1</v>
      </c>
      <c r="J789" s="29"/>
      <c r="K789" s="30"/>
      <c r="L789" s="29" t="s">
        <v>72</v>
      </c>
      <c r="M789" s="31">
        <v>3440.5</v>
      </c>
      <c r="N789" s="31">
        <v>1474.5</v>
      </c>
      <c r="O789" s="31">
        <v>4915</v>
      </c>
      <c r="P789" s="31">
        <f>VLOOKUP(F789,'[3]1ª PARCELA'!$E$5:$H$889,4,FALSE)</f>
        <v>4915</v>
      </c>
      <c r="Q789" s="31" t="b">
        <f t="shared" si="12"/>
        <v>1</v>
      </c>
      <c r="R789" s="32">
        <v>45806</v>
      </c>
      <c r="S789" s="29">
        <v>9851</v>
      </c>
      <c r="T789" s="29" t="s">
        <v>2777</v>
      </c>
      <c r="U789" s="33" t="s">
        <v>2778</v>
      </c>
    </row>
    <row r="790" spans="1:21" ht="28.5" customHeight="1" x14ac:dyDescent="0.3">
      <c r="A790" s="27">
        <v>787</v>
      </c>
      <c r="B790" s="28">
        <v>2025</v>
      </c>
      <c r="C790" s="29" t="s">
        <v>973</v>
      </c>
      <c r="D790" s="30" t="s">
        <v>1011</v>
      </c>
      <c r="E790" s="29">
        <v>29444896</v>
      </c>
      <c r="F790" s="29">
        <v>1178153</v>
      </c>
      <c r="G790" s="30" t="s">
        <v>2779</v>
      </c>
      <c r="H790" s="29">
        <v>259</v>
      </c>
      <c r="I790" s="29">
        <v>1</v>
      </c>
      <c r="J790" s="29"/>
      <c r="K790" s="30"/>
      <c r="L790" s="29" t="s">
        <v>72</v>
      </c>
      <c r="M790" s="31">
        <v>4292</v>
      </c>
      <c r="N790" s="31">
        <v>1073</v>
      </c>
      <c r="O790" s="31">
        <v>5365</v>
      </c>
      <c r="P790" s="31">
        <f>VLOOKUP(F790,'[3]1ª PARCELA'!$E$5:$H$889,4,FALSE)</f>
        <v>5365</v>
      </c>
      <c r="Q790" s="31" t="b">
        <f t="shared" si="12"/>
        <v>1</v>
      </c>
      <c r="R790" s="32">
        <v>45793</v>
      </c>
      <c r="S790" s="29">
        <v>9173</v>
      </c>
      <c r="T790" s="29" t="s">
        <v>2780</v>
      </c>
      <c r="U790" s="33" t="s">
        <v>2781</v>
      </c>
    </row>
    <row r="791" spans="1:21" ht="28.5" customHeight="1" x14ac:dyDescent="0.3">
      <c r="A791" s="27">
        <v>788</v>
      </c>
      <c r="B791" s="28">
        <v>2025</v>
      </c>
      <c r="C791" s="29" t="s">
        <v>2101</v>
      </c>
      <c r="D791" s="30" t="s">
        <v>2782</v>
      </c>
      <c r="E791" s="29">
        <v>29444993</v>
      </c>
      <c r="F791" s="29">
        <v>1178216</v>
      </c>
      <c r="G791" s="30" t="s">
        <v>2783</v>
      </c>
      <c r="H791" s="29">
        <v>346</v>
      </c>
      <c r="I791" s="29">
        <v>1</v>
      </c>
      <c r="J791" s="29"/>
      <c r="K791" s="30"/>
      <c r="L791" s="29" t="s">
        <v>72</v>
      </c>
      <c r="M791" s="31">
        <v>4385</v>
      </c>
      <c r="N791" s="31">
        <v>0</v>
      </c>
      <c r="O791" s="31">
        <v>4385</v>
      </c>
      <c r="P791" s="31">
        <f>VLOOKUP(F791,'[3]1ª PARCELA'!$E$5:$H$889,4,FALSE)</f>
        <v>4385</v>
      </c>
      <c r="Q791" s="31" t="b">
        <f t="shared" si="12"/>
        <v>1</v>
      </c>
      <c r="R791" s="32">
        <v>45793</v>
      </c>
      <c r="S791" s="29">
        <v>9173</v>
      </c>
      <c r="T791" s="29" t="s">
        <v>2784</v>
      </c>
      <c r="U791" s="33" t="s">
        <v>2785</v>
      </c>
    </row>
    <row r="792" spans="1:21" ht="28.5" customHeight="1" x14ac:dyDescent="0.3">
      <c r="A792" s="27">
        <v>789</v>
      </c>
      <c r="B792" s="28">
        <v>2025</v>
      </c>
      <c r="C792" s="29" t="s">
        <v>2101</v>
      </c>
      <c r="D792" s="30" t="s">
        <v>2153</v>
      </c>
      <c r="E792" s="29">
        <v>29445213</v>
      </c>
      <c r="F792" s="29">
        <v>1178223</v>
      </c>
      <c r="G792" s="30" t="s">
        <v>2786</v>
      </c>
      <c r="H792" s="29">
        <v>374</v>
      </c>
      <c r="I792" s="29">
        <v>1</v>
      </c>
      <c r="J792" s="29"/>
      <c r="K792" s="30"/>
      <c r="L792" s="29" t="s">
        <v>72</v>
      </c>
      <c r="M792" s="31">
        <v>5212</v>
      </c>
      <c r="N792" s="31">
        <v>1303</v>
      </c>
      <c r="O792" s="31">
        <v>6515</v>
      </c>
      <c r="P792" s="31">
        <f>VLOOKUP(F792,'[3]1ª PARCELA'!$E$5:$H$889,4,FALSE)</f>
        <v>6515</v>
      </c>
      <c r="Q792" s="31" t="b">
        <f t="shared" si="12"/>
        <v>1</v>
      </c>
      <c r="R792" s="32">
        <v>45793</v>
      </c>
      <c r="S792" s="29">
        <v>9173</v>
      </c>
      <c r="T792" s="29" t="s">
        <v>2787</v>
      </c>
      <c r="U792" s="33" t="s">
        <v>2788</v>
      </c>
    </row>
    <row r="793" spans="1:21" ht="28.5" customHeight="1" x14ac:dyDescent="0.3">
      <c r="A793" s="27">
        <v>790</v>
      </c>
      <c r="B793" s="28">
        <v>2025</v>
      </c>
      <c r="C793" s="29" t="s">
        <v>272</v>
      </c>
      <c r="D793" s="30" t="s">
        <v>2789</v>
      </c>
      <c r="E793" s="29">
        <v>29445400</v>
      </c>
      <c r="F793" s="29">
        <v>1178146</v>
      </c>
      <c r="G793" s="30" t="s">
        <v>2790</v>
      </c>
      <c r="H793" s="29">
        <v>519</v>
      </c>
      <c r="I793" s="29">
        <v>1</v>
      </c>
      <c r="J793" s="29"/>
      <c r="K793" s="30"/>
      <c r="L793" s="29" t="s">
        <v>72</v>
      </c>
      <c r="M793" s="31">
        <v>4280.5</v>
      </c>
      <c r="N793" s="31">
        <v>1834.5</v>
      </c>
      <c r="O793" s="31">
        <v>6115</v>
      </c>
      <c r="P793" s="31">
        <f>VLOOKUP(F793,'[3]1ª PARCELA'!$E$5:$H$889,4,FALSE)</f>
        <v>6115</v>
      </c>
      <c r="Q793" s="31" t="b">
        <f t="shared" si="12"/>
        <v>1</v>
      </c>
      <c r="R793" s="32">
        <v>45793</v>
      </c>
      <c r="S793" s="29">
        <v>9173</v>
      </c>
      <c r="T793" s="29" t="s">
        <v>2791</v>
      </c>
      <c r="U793" s="33" t="s">
        <v>2792</v>
      </c>
    </row>
    <row r="794" spans="1:21" ht="28.5" customHeight="1" x14ac:dyDescent="0.3">
      <c r="A794" s="27">
        <v>791</v>
      </c>
      <c r="B794" s="28">
        <v>2025</v>
      </c>
      <c r="C794" s="29" t="s">
        <v>1906</v>
      </c>
      <c r="D794" s="30" t="s">
        <v>1954</v>
      </c>
      <c r="E794" s="29">
        <v>29446570</v>
      </c>
      <c r="F794" s="29">
        <v>1178186</v>
      </c>
      <c r="G794" s="30" t="s">
        <v>2793</v>
      </c>
      <c r="H794" s="29">
        <v>201</v>
      </c>
      <c r="I794" s="29">
        <v>1</v>
      </c>
      <c r="J794" s="29"/>
      <c r="K794" s="30"/>
      <c r="L794" s="29" t="s">
        <v>72</v>
      </c>
      <c r="M794" s="31">
        <v>3828</v>
      </c>
      <c r="N794" s="31">
        <v>957</v>
      </c>
      <c r="O794" s="31">
        <v>4785</v>
      </c>
      <c r="P794" s="31">
        <f>VLOOKUP(F794,'[3]1ª PARCELA'!$E$5:$H$889,4,FALSE)</f>
        <v>4785</v>
      </c>
      <c r="Q794" s="31" t="b">
        <f t="shared" si="12"/>
        <v>1</v>
      </c>
      <c r="R794" s="32">
        <v>45805</v>
      </c>
      <c r="S794" s="29">
        <v>9678</v>
      </c>
      <c r="T794" s="29" t="s">
        <v>2794</v>
      </c>
      <c r="U794" s="33" t="s">
        <v>2795</v>
      </c>
    </row>
    <row r="795" spans="1:21" ht="28.5" customHeight="1" x14ac:dyDescent="0.3">
      <c r="A795" s="27">
        <v>792</v>
      </c>
      <c r="B795" s="28">
        <v>2025</v>
      </c>
      <c r="C795" s="29" t="s">
        <v>2101</v>
      </c>
      <c r="D795" s="30" t="s">
        <v>2796</v>
      </c>
      <c r="E795" s="29">
        <v>29446651</v>
      </c>
      <c r="F795" s="29">
        <v>1178109</v>
      </c>
      <c r="G795" s="30" t="s">
        <v>2797</v>
      </c>
      <c r="H795" s="29">
        <v>875</v>
      </c>
      <c r="I795" s="29">
        <v>1</v>
      </c>
      <c r="J795" s="29"/>
      <c r="K795" s="30"/>
      <c r="L795" s="29" t="s">
        <v>72</v>
      </c>
      <c r="M795" s="31">
        <v>7740</v>
      </c>
      <c r="N795" s="31">
        <v>1935</v>
      </c>
      <c r="O795" s="31">
        <v>9675</v>
      </c>
      <c r="P795" s="31">
        <f>VLOOKUP(F795,'[3]1ª PARCELA'!$E$5:$H$889,4,FALSE)</f>
        <v>9675</v>
      </c>
      <c r="Q795" s="31" t="b">
        <f t="shared" si="12"/>
        <v>1</v>
      </c>
      <c r="R795" s="32">
        <v>45793</v>
      </c>
      <c r="S795" s="29">
        <v>9173</v>
      </c>
      <c r="T795" s="29" t="s">
        <v>2798</v>
      </c>
      <c r="U795" s="33" t="s">
        <v>2799</v>
      </c>
    </row>
    <row r="796" spans="1:21" ht="28.5" customHeight="1" x14ac:dyDescent="0.3">
      <c r="A796" s="27">
        <v>793</v>
      </c>
      <c r="B796" s="28">
        <v>2025</v>
      </c>
      <c r="C796" s="29" t="s">
        <v>655</v>
      </c>
      <c r="D796" s="30" t="s">
        <v>2800</v>
      </c>
      <c r="E796" s="29">
        <v>29446740</v>
      </c>
      <c r="F796" s="29">
        <v>1178221</v>
      </c>
      <c r="G796" s="30" t="s">
        <v>2801</v>
      </c>
      <c r="H796" s="29">
        <v>679</v>
      </c>
      <c r="I796" s="29">
        <v>1</v>
      </c>
      <c r="J796" s="29"/>
      <c r="K796" s="30"/>
      <c r="L796" s="29" t="s">
        <v>72</v>
      </c>
      <c r="M796" s="31">
        <v>6172</v>
      </c>
      <c r="N796" s="31">
        <v>1543</v>
      </c>
      <c r="O796" s="31">
        <v>7715</v>
      </c>
      <c r="P796" s="31">
        <f>VLOOKUP(F796,'[3]1ª PARCELA'!$E$5:$H$889,4,FALSE)</f>
        <v>7715</v>
      </c>
      <c r="Q796" s="31" t="b">
        <f t="shared" si="12"/>
        <v>1</v>
      </c>
      <c r="R796" s="32">
        <v>45793</v>
      </c>
      <c r="S796" s="29">
        <v>9173</v>
      </c>
      <c r="T796" s="29" t="s">
        <v>2802</v>
      </c>
      <c r="U796" s="33" t="s">
        <v>2803</v>
      </c>
    </row>
    <row r="797" spans="1:21" ht="28.5" customHeight="1" x14ac:dyDescent="0.3">
      <c r="A797" s="27">
        <v>794</v>
      </c>
      <c r="B797" s="28">
        <v>2025</v>
      </c>
      <c r="C797" s="29" t="s">
        <v>961</v>
      </c>
      <c r="D797" s="30" t="s">
        <v>1053</v>
      </c>
      <c r="E797" s="29">
        <v>29447348</v>
      </c>
      <c r="F797" s="29">
        <v>1176611</v>
      </c>
      <c r="G797" s="30" t="s">
        <v>2804</v>
      </c>
      <c r="H797" s="29">
        <v>1082</v>
      </c>
      <c r="I797" s="29">
        <v>1</v>
      </c>
      <c r="J797" s="29"/>
      <c r="K797" s="30"/>
      <c r="L797" s="29" t="s">
        <v>72</v>
      </c>
      <c r="M797" s="31">
        <v>9396</v>
      </c>
      <c r="N797" s="31">
        <v>2349</v>
      </c>
      <c r="O797" s="31">
        <v>11745</v>
      </c>
      <c r="P797" s="31">
        <f>VLOOKUP(F797,'[3]1ª PARCELA'!$E$5:$H$889,4,FALSE)</f>
        <v>11745</v>
      </c>
      <c r="Q797" s="31" t="b">
        <f t="shared" si="12"/>
        <v>1</v>
      </c>
      <c r="R797" s="32">
        <v>45806</v>
      </c>
      <c r="S797" s="29">
        <v>9851</v>
      </c>
      <c r="T797" s="29" t="s">
        <v>2805</v>
      </c>
      <c r="U797" s="33" t="s">
        <v>2806</v>
      </c>
    </row>
    <row r="798" spans="1:21" ht="28.5" customHeight="1" x14ac:dyDescent="0.3">
      <c r="A798" s="27">
        <v>795</v>
      </c>
      <c r="B798" s="28">
        <v>2025</v>
      </c>
      <c r="C798" s="29" t="s">
        <v>534</v>
      </c>
      <c r="D798" s="30" t="s">
        <v>1648</v>
      </c>
      <c r="E798" s="29">
        <v>29447690</v>
      </c>
      <c r="F798" s="29">
        <v>1178269</v>
      </c>
      <c r="G798" s="30" t="s">
        <v>2807</v>
      </c>
      <c r="H798" s="29">
        <v>1034</v>
      </c>
      <c r="I798" s="29">
        <v>1</v>
      </c>
      <c r="J798" s="29"/>
      <c r="K798" s="30"/>
      <c r="L798" s="29" t="s">
        <v>72</v>
      </c>
      <c r="M798" s="31">
        <v>6759</v>
      </c>
      <c r="N798" s="31">
        <v>4506</v>
      </c>
      <c r="O798" s="31">
        <v>11265</v>
      </c>
      <c r="P798" s="31">
        <f>VLOOKUP(F798,'[3]1ª PARCELA'!$E$5:$H$889,4,FALSE)</f>
        <v>11265</v>
      </c>
      <c r="Q798" s="31" t="b">
        <f t="shared" si="12"/>
        <v>1</v>
      </c>
      <c r="R798" s="32">
        <v>45793</v>
      </c>
      <c r="S798" s="29">
        <v>9173</v>
      </c>
      <c r="T798" s="29" t="s">
        <v>2808</v>
      </c>
      <c r="U798" s="33" t="s">
        <v>2809</v>
      </c>
    </row>
    <row r="799" spans="1:21" ht="28.5" customHeight="1" x14ac:dyDescent="0.3">
      <c r="A799" s="27">
        <v>796</v>
      </c>
      <c r="B799" s="28">
        <v>2025</v>
      </c>
      <c r="C799" s="29" t="s">
        <v>272</v>
      </c>
      <c r="D799" s="30" t="s">
        <v>2810</v>
      </c>
      <c r="E799" s="29">
        <v>29447755</v>
      </c>
      <c r="F799" s="29">
        <v>1178258</v>
      </c>
      <c r="G799" s="30" t="s">
        <v>2811</v>
      </c>
      <c r="H799" s="29">
        <v>301</v>
      </c>
      <c r="I799" s="29">
        <v>1</v>
      </c>
      <c r="J799" s="29"/>
      <c r="K799" s="30"/>
      <c r="L799" s="29" t="s">
        <v>72</v>
      </c>
      <c r="M799" s="31">
        <v>2164.25</v>
      </c>
      <c r="N799" s="31">
        <v>1770.75</v>
      </c>
      <c r="O799" s="31">
        <v>3935</v>
      </c>
      <c r="P799" s="31">
        <f>VLOOKUP(F799,'[3]1ª PARCELA'!$E$5:$H$889,4,FALSE)</f>
        <v>3935</v>
      </c>
      <c r="Q799" s="31" t="b">
        <f t="shared" si="12"/>
        <v>1</v>
      </c>
      <c r="R799" s="32">
        <v>45793</v>
      </c>
      <c r="S799" s="29">
        <v>9173</v>
      </c>
      <c r="T799" s="29" t="s">
        <v>2812</v>
      </c>
      <c r="U799" s="33" t="s">
        <v>2813</v>
      </c>
    </row>
    <row r="800" spans="1:21" ht="28.5" customHeight="1" x14ac:dyDescent="0.3">
      <c r="A800" s="27">
        <v>797</v>
      </c>
      <c r="B800" s="28">
        <v>2025</v>
      </c>
      <c r="C800" s="29" t="s">
        <v>718</v>
      </c>
      <c r="D800" s="30" t="s">
        <v>2632</v>
      </c>
      <c r="E800" s="29">
        <v>29447763</v>
      </c>
      <c r="F800" s="29">
        <v>1178273</v>
      </c>
      <c r="G800" s="30" t="s">
        <v>2814</v>
      </c>
      <c r="H800" s="29">
        <v>210</v>
      </c>
      <c r="I800" s="29">
        <v>1</v>
      </c>
      <c r="J800" s="29"/>
      <c r="K800" s="30"/>
      <c r="L800" s="29" t="s">
        <v>72</v>
      </c>
      <c r="M800" s="31">
        <v>3900</v>
      </c>
      <c r="N800" s="31">
        <v>975</v>
      </c>
      <c r="O800" s="31">
        <v>4875</v>
      </c>
      <c r="P800" s="31">
        <f>VLOOKUP(F800,'[3]1ª PARCELA'!$E$5:$H$889,4,FALSE)</f>
        <v>4875</v>
      </c>
      <c r="Q800" s="31" t="b">
        <f t="shared" si="12"/>
        <v>1</v>
      </c>
      <c r="R800" s="32">
        <v>45833</v>
      </c>
      <c r="S800" s="29">
        <v>13120</v>
      </c>
      <c r="T800" s="29" t="s">
        <v>2815</v>
      </c>
      <c r="U800" s="33" t="s">
        <v>2816</v>
      </c>
    </row>
    <row r="801" spans="1:21" ht="28.5" customHeight="1" x14ac:dyDescent="0.3">
      <c r="A801" s="27">
        <v>798</v>
      </c>
      <c r="B801" s="28">
        <v>2025</v>
      </c>
      <c r="C801" s="29" t="s">
        <v>961</v>
      </c>
      <c r="D801" s="30" t="s">
        <v>1053</v>
      </c>
      <c r="E801" s="29">
        <v>29448018</v>
      </c>
      <c r="F801" s="29">
        <v>1178445</v>
      </c>
      <c r="G801" s="30" t="s">
        <v>2817</v>
      </c>
      <c r="H801" s="29">
        <v>776</v>
      </c>
      <c r="I801" s="29">
        <v>1</v>
      </c>
      <c r="J801" s="29"/>
      <c r="K801" s="30"/>
      <c r="L801" s="29" t="s">
        <v>72</v>
      </c>
      <c r="M801" s="31">
        <v>4342.5</v>
      </c>
      <c r="N801" s="31">
        <v>4342.5</v>
      </c>
      <c r="O801" s="31">
        <v>8685</v>
      </c>
      <c r="P801" s="31">
        <f>VLOOKUP(F801,'[3]1ª PARCELA'!$E$5:$H$889,4,FALSE)</f>
        <v>8685</v>
      </c>
      <c r="Q801" s="31" t="b">
        <f t="shared" si="12"/>
        <v>1</v>
      </c>
      <c r="R801" s="32">
        <v>45867</v>
      </c>
      <c r="S801" s="29">
        <v>16705</v>
      </c>
      <c r="T801" s="29" t="s">
        <v>2818</v>
      </c>
      <c r="U801" s="33" t="s">
        <v>2819</v>
      </c>
    </row>
    <row r="802" spans="1:21" ht="28.5" customHeight="1" x14ac:dyDescent="0.3">
      <c r="A802" s="27">
        <v>799</v>
      </c>
      <c r="B802" s="28">
        <v>2025</v>
      </c>
      <c r="C802" s="29" t="s">
        <v>970</v>
      </c>
      <c r="D802" s="30" t="s">
        <v>2487</v>
      </c>
      <c r="E802" s="29">
        <v>29448816</v>
      </c>
      <c r="F802" s="29">
        <v>1179138</v>
      </c>
      <c r="G802" s="30" t="s">
        <v>2820</v>
      </c>
      <c r="H802" s="29">
        <v>378</v>
      </c>
      <c r="I802" s="29">
        <v>1</v>
      </c>
      <c r="J802" s="29"/>
      <c r="K802" s="30"/>
      <c r="L802" s="29" t="s">
        <v>72</v>
      </c>
      <c r="M802" s="31">
        <v>5244</v>
      </c>
      <c r="N802" s="31">
        <v>1311</v>
      </c>
      <c r="O802" s="31">
        <v>6555</v>
      </c>
      <c r="P802" s="31">
        <f>VLOOKUP(F802,'[3]1ª PARCELA'!$E$5:$H$889,4,FALSE)</f>
        <v>6555</v>
      </c>
      <c r="Q802" s="31" t="b">
        <f t="shared" si="12"/>
        <v>1</v>
      </c>
      <c r="R802" s="32">
        <v>45793</v>
      </c>
      <c r="S802" s="29">
        <v>9173</v>
      </c>
      <c r="T802" s="29" t="s">
        <v>2821</v>
      </c>
      <c r="U802" s="33" t="s">
        <v>2822</v>
      </c>
    </row>
    <row r="803" spans="1:21" ht="28.5" customHeight="1" x14ac:dyDescent="0.3">
      <c r="A803" s="27">
        <v>800</v>
      </c>
      <c r="B803" s="28">
        <v>2025</v>
      </c>
      <c r="C803" s="29" t="s">
        <v>1719</v>
      </c>
      <c r="D803" s="30" t="s">
        <v>1781</v>
      </c>
      <c r="E803" s="29">
        <v>29449332</v>
      </c>
      <c r="F803" s="29">
        <v>1179113</v>
      </c>
      <c r="G803" s="30" t="s">
        <v>2823</v>
      </c>
      <c r="H803" s="29">
        <v>255</v>
      </c>
      <c r="I803" s="29">
        <v>1</v>
      </c>
      <c r="J803" s="29"/>
      <c r="K803" s="30"/>
      <c r="L803" s="29" t="s">
        <v>72</v>
      </c>
      <c r="M803" s="31">
        <v>3727.5</v>
      </c>
      <c r="N803" s="31">
        <v>1597.5</v>
      </c>
      <c r="O803" s="31">
        <v>5325</v>
      </c>
      <c r="P803" s="31">
        <f>VLOOKUP(F803,'[3]1ª PARCELA'!$E$5:$H$889,4,FALSE)</f>
        <v>5325</v>
      </c>
      <c r="Q803" s="31" t="b">
        <f t="shared" si="12"/>
        <v>1</v>
      </c>
      <c r="R803" s="32">
        <v>45833</v>
      </c>
      <c r="S803" s="29">
        <v>13120</v>
      </c>
      <c r="T803" s="29" t="s">
        <v>2824</v>
      </c>
      <c r="U803" s="33" t="s">
        <v>2825</v>
      </c>
    </row>
    <row r="804" spans="1:21" ht="28.5" customHeight="1" x14ac:dyDescent="0.3">
      <c r="A804" s="27">
        <v>801</v>
      </c>
      <c r="B804" s="28">
        <v>2025</v>
      </c>
      <c r="C804" s="29" t="s">
        <v>701</v>
      </c>
      <c r="D804" s="30" t="s">
        <v>757</v>
      </c>
      <c r="E804" s="29">
        <v>29449340</v>
      </c>
      <c r="F804" s="29">
        <v>1178443</v>
      </c>
      <c r="G804" s="30" t="s">
        <v>2826</v>
      </c>
      <c r="H804" s="29">
        <v>331</v>
      </c>
      <c r="I804" s="29">
        <v>1</v>
      </c>
      <c r="J804" s="29"/>
      <c r="K804" s="30"/>
      <c r="L804" s="29" t="s">
        <v>72</v>
      </c>
      <c r="M804" s="31">
        <v>4868</v>
      </c>
      <c r="N804" s="31">
        <v>1217</v>
      </c>
      <c r="O804" s="31">
        <v>6085</v>
      </c>
      <c r="P804" s="31">
        <f>VLOOKUP(F804,'[3]1ª PARCELA'!$E$5:$H$889,4,FALSE)</f>
        <v>6085</v>
      </c>
      <c r="Q804" s="31" t="b">
        <f t="shared" si="12"/>
        <v>1</v>
      </c>
      <c r="R804" s="32">
        <v>45793</v>
      </c>
      <c r="S804" s="29">
        <v>9173</v>
      </c>
      <c r="T804" s="29" t="s">
        <v>2827</v>
      </c>
      <c r="U804" s="33" t="s">
        <v>2828</v>
      </c>
    </row>
    <row r="805" spans="1:21" ht="28.5" customHeight="1" x14ac:dyDescent="0.3">
      <c r="A805" s="27">
        <v>802</v>
      </c>
      <c r="B805" s="28">
        <v>2025</v>
      </c>
      <c r="C805" s="29" t="s">
        <v>1719</v>
      </c>
      <c r="D805" s="30" t="s">
        <v>2708</v>
      </c>
      <c r="E805" s="29">
        <v>29449456</v>
      </c>
      <c r="F805" s="29">
        <v>1179137</v>
      </c>
      <c r="G805" s="30" t="s">
        <v>2829</v>
      </c>
      <c r="H805" s="29">
        <v>188</v>
      </c>
      <c r="I805" s="29">
        <v>1</v>
      </c>
      <c r="J805" s="29"/>
      <c r="K805" s="30"/>
      <c r="L805" s="29" t="s">
        <v>72</v>
      </c>
      <c r="M805" s="31">
        <v>3724</v>
      </c>
      <c r="N805" s="31">
        <v>931</v>
      </c>
      <c r="O805" s="31">
        <v>4655</v>
      </c>
      <c r="P805" s="31">
        <f>VLOOKUP(F805,'[3]1ª PARCELA'!$E$5:$H$889,4,FALSE)</f>
        <v>4655</v>
      </c>
      <c r="Q805" s="31" t="b">
        <f t="shared" si="12"/>
        <v>1</v>
      </c>
      <c r="R805" s="32">
        <v>45793</v>
      </c>
      <c r="S805" s="29">
        <v>9173</v>
      </c>
      <c r="T805" s="29" t="s">
        <v>2830</v>
      </c>
      <c r="U805" s="33" t="s">
        <v>2831</v>
      </c>
    </row>
    <row r="806" spans="1:21" ht="28.5" customHeight="1" x14ac:dyDescent="0.3">
      <c r="A806" s="27">
        <v>803</v>
      </c>
      <c r="B806" s="28">
        <v>2025</v>
      </c>
      <c r="C806" s="29" t="s">
        <v>1719</v>
      </c>
      <c r="D806" s="30" t="s">
        <v>2708</v>
      </c>
      <c r="E806" s="29">
        <v>29449545</v>
      </c>
      <c r="F806" s="29">
        <v>1179136</v>
      </c>
      <c r="G806" s="30" t="s">
        <v>2832</v>
      </c>
      <c r="H806" s="29">
        <v>181</v>
      </c>
      <c r="I806" s="29">
        <v>1</v>
      </c>
      <c r="J806" s="29"/>
      <c r="K806" s="30"/>
      <c r="L806" s="29" t="s">
        <v>72</v>
      </c>
      <c r="M806" s="31">
        <v>3209.5</v>
      </c>
      <c r="N806" s="31">
        <v>1375.5</v>
      </c>
      <c r="O806" s="31">
        <v>4585</v>
      </c>
      <c r="P806" s="31">
        <f>VLOOKUP(F806,'[3]1ª PARCELA'!$E$5:$H$889,4,FALSE)</f>
        <v>4585</v>
      </c>
      <c r="Q806" s="31" t="b">
        <f t="shared" si="12"/>
        <v>1</v>
      </c>
      <c r="R806" s="32">
        <v>45793</v>
      </c>
      <c r="S806" s="29">
        <v>9173</v>
      </c>
      <c r="T806" s="29" t="s">
        <v>2833</v>
      </c>
      <c r="U806" s="33" t="s">
        <v>2834</v>
      </c>
    </row>
    <row r="807" spans="1:21" ht="28.5" customHeight="1" x14ac:dyDescent="0.3">
      <c r="A807" s="27">
        <v>804</v>
      </c>
      <c r="B807" s="28">
        <v>2025</v>
      </c>
      <c r="C807" s="29" t="s">
        <v>461</v>
      </c>
      <c r="D807" s="30" t="s">
        <v>462</v>
      </c>
      <c r="E807" s="29">
        <v>29450837</v>
      </c>
      <c r="F807" s="29">
        <v>1179112</v>
      </c>
      <c r="G807" s="30" t="s">
        <v>2835</v>
      </c>
      <c r="H807" s="29">
        <v>98</v>
      </c>
      <c r="I807" s="29">
        <v>1</v>
      </c>
      <c r="J807" s="29"/>
      <c r="K807" s="30"/>
      <c r="L807" s="29" t="s">
        <v>72</v>
      </c>
      <c r="M807" s="31">
        <v>3004</v>
      </c>
      <c r="N807" s="31">
        <v>751</v>
      </c>
      <c r="O807" s="31">
        <v>3755</v>
      </c>
      <c r="P807" s="31">
        <f>VLOOKUP(F807,'[3]1ª PARCELA'!$E$5:$H$889,4,FALSE)</f>
        <v>3755</v>
      </c>
      <c r="Q807" s="31" t="b">
        <f t="shared" si="12"/>
        <v>1</v>
      </c>
      <c r="R807" s="32">
        <v>45926</v>
      </c>
      <c r="S807" s="29">
        <v>24529</v>
      </c>
      <c r="T807" s="29" t="s">
        <v>2836</v>
      </c>
      <c r="U807" s="33" t="s">
        <v>2837</v>
      </c>
    </row>
    <row r="808" spans="1:21" ht="28.5" customHeight="1" x14ac:dyDescent="0.3">
      <c r="A808" s="27">
        <v>805</v>
      </c>
      <c r="B808" s="28">
        <v>2025</v>
      </c>
      <c r="C808" s="29" t="s">
        <v>263</v>
      </c>
      <c r="D808" s="30" t="s">
        <v>2838</v>
      </c>
      <c r="E808" s="29">
        <v>29455405</v>
      </c>
      <c r="F808" s="29">
        <v>1178280</v>
      </c>
      <c r="G808" s="30" t="s">
        <v>2839</v>
      </c>
      <c r="H808" s="29">
        <v>202</v>
      </c>
      <c r="I808" s="29">
        <v>1</v>
      </c>
      <c r="J808" s="29"/>
      <c r="K808" s="30"/>
      <c r="L808" s="29" t="s">
        <v>72</v>
      </c>
      <c r="M808" s="31">
        <v>2356</v>
      </c>
      <c r="N808" s="31">
        <v>589</v>
      </c>
      <c r="O808" s="31">
        <v>2945</v>
      </c>
      <c r="P808" s="31">
        <f>VLOOKUP(F808,'[3]1ª PARCELA'!$E$5:$H$889,4,FALSE)</f>
        <v>2945</v>
      </c>
      <c r="Q808" s="31" t="b">
        <f t="shared" si="12"/>
        <v>1</v>
      </c>
      <c r="R808" s="32">
        <v>45793</v>
      </c>
      <c r="S808" s="29">
        <v>9173</v>
      </c>
      <c r="T808" s="29" t="s">
        <v>2840</v>
      </c>
      <c r="U808" s="33" t="s">
        <v>2841</v>
      </c>
    </row>
    <row r="809" spans="1:21" ht="28.5" customHeight="1" x14ac:dyDescent="0.3">
      <c r="A809" s="27">
        <v>806</v>
      </c>
      <c r="B809" s="28">
        <v>2025</v>
      </c>
      <c r="C809" s="29" t="s">
        <v>970</v>
      </c>
      <c r="D809" s="30" t="s">
        <v>1926</v>
      </c>
      <c r="E809" s="29">
        <v>29456460</v>
      </c>
      <c r="F809" s="29">
        <v>1179139</v>
      </c>
      <c r="G809" s="30" t="s">
        <v>2842</v>
      </c>
      <c r="H809" s="29">
        <v>349</v>
      </c>
      <c r="I809" s="29">
        <v>1</v>
      </c>
      <c r="J809" s="29"/>
      <c r="K809" s="30"/>
      <c r="L809" s="29" t="s">
        <v>72</v>
      </c>
      <c r="M809" s="31">
        <v>4385.5</v>
      </c>
      <c r="N809" s="31">
        <v>1879.5</v>
      </c>
      <c r="O809" s="31">
        <v>6265</v>
      </c>
      <c r="P809" s="31">
        <f>VLOOKUP(F809,'[3]1ª PARCELA'!$E$5:$H$889,4,FALSE)</f>
        <v>6265</v>
      </c>
      <c r="Q809" s="31" t="b">
        <f t="shared" si="12"/>
        <v>1</v>
      </c>
      <c r="R809" s="32">
        <v>45793</v>
      </c>
      <c r="S809" s="29">
        <v>9173</v>
      </c>
      <c r="T809" s="29" t="s">
        <v>2843</v>
      </c>
      <c r="U809" s="33" t="s">
        <v>2844</v>
      </c>
    </row>
    <row r="810" spans="1:21" ht="28.5" customHeight="1" x14ac:dyDescent="0.3">
      <c r="A810" s="27">
        <v>807</v>
      </c>
      <c r="B810" s="28">
        <v>2025</v>
      </c>
      <c r="C810" s="29" t="s">
        <v>1719</v>
      </c>
      <c r="D810" s="30" t="s">
        <v>1831</v>
      </c>
      <c r="E810" s="29">
        <v>29456479</v>
      </c>
      <c r="F810" s="29">
        <v>1179223</v>
      </c>
      <c r="G810" s="30" t="s">
        <v>2845</v>
      </c>
      <c r="H810" s="29">
        <v>1004</v>
      </c>
      <c r="I810" s="29">
        <v>1</v>
      </c>
      <c r="J810" s="29"/>
      <c r="K810" s="30"/>
      <c r="L810" s="29" t="s">
        <v>72</v>
      </c>
      <c r="M810" s="31">
        <v>7675.5</v>
      </c>
      <c r="N810" s="31">
        <v>3289.5</v>
      </c>
      <c r="O810" s="31">
        <v>10965</v>
      </c>
      <c r="P810" s="31">
        <f>VLOOKUP(F810,'[3]1ª PARCELA'!$E$5:$H$889,4,FALSE)</f>
        <v>10965</v>
      </c>
      <c r="Q810" s="31" t="b">
        <f t="shared" si="12"/>
        <v>1</v>
      </c>
      <c r="R810" s="32">
        <v>45793</v>
      </c>
      <c r="S810" s="29">
        <v>9173</v>
      </c>
      <c r="T810" s="29" t="s">
        <v>2846</v>
      </c>
      <c r="U810" s="33" t="s">
        <v>2847</v>
      </c>
    </row>
    <row r="811" spans="1:21" ht="28.5" customHeight="1" x14ac:dyDescent="0.3">
      <c r="A811" s="27">
        <v>808</v>
      </c>
      <c r="B811" s="28">
        <v>2025</v>
      </c>
      <c r="C811" s="29" t="s">
        <v>1719</v>
      </c>
      <c r="D811" s="30" t="s">
        <v>1831</v>
      </c>
      <c r="E811" s="29">
        <v>29456487</v>
      </c>
      <c r="F811" s="29">
        <v>1179224</v>
      </c>
      <c r="G811" s="30" t="s">
        <v>2848</v>
      </c>
      <c r="H811" s="29">
        <v>325</v>
      </c>
      <c r="I811" s="29">
        <v>1</v>
      </c>
      <c r="J811" s="29"/>
      <c r="K811" s="30"/>
      <c r="L811" s="29" t="s">
        <v>72</v>
      </c>
      <c r="M811" s="31">
        <v>4217.5</v>
      </c>
      <c r="N811" s="31">
        <v>1807.5</v>
      </c>
      <c r="O811" s="31">
        <v>6025</v>
      </c>
      <c r="P811" s="31">
        <f>VLOOKUP(F811,'[3]1ª PARCELA'!$E$5:$H$889,4,FALSE)</f>
        <v>6025</v>
      </c>
      <c r="Q811" s="31" t="b">
        <f t="shared" si="12"/>
        <v>1</v>
      </c>
      <c r="R811" s="32">
        <v>45833</v>
      </c>
      <c r="S811" s="29">
        <v>13120</v>
      </c>
      <c r="T811" s="29" t="s">
        <v>2849</v>
      </c>
      <c r="U811" s="33" t="s">
        <v>2850</v>
      </c>
    </row>
    <row r="812" spans="1:21" ht="28.5" customHeight="1" x14ac:dyDescent="0.3">
      <c r="A812" s="27">
        <v>809</v>
      </c>
      <c r="B812" s="28">
        <v>2025</v>
      </c>
      <c r="C812" s="29" t="s">
        <v>655</v>
      </c>
      <c r="D812" s="30" t="s">
        <v>49</v>
      </c>
      <c r="E812" s="29">
        <v>29456495</v>
      </c>
      <c r="F812" s="29">
        <v>1179222</v>
      </c>
      <c r="G812" s="30" t="s">
        <v>2851</v>
      </c>
      <c r="H812" s="29">
        <v>474</v>
      </c>
      <c r="I812" s="29">
        <v>1</v>
      </c>
      <c r="J812" s="29"/>
      <c r="K812" s="30"/>
      <c r="L812" s="29" t="s">
        <v>72</v>
      </c>
      <c r="M812" s="31">
        <v>3757.5</v>
      </c>
      <c r="N812" s="31">
        <v>3757.5</v>
      </c>
      <c r="O812" s="31">
        <v>7515</v>
      </c>
      <c r="P812" s="31">
        <f>VLOOKUP(F812,'[3]1ª PARCELA'!$E$5:$H$889,4,FALSE)</f>
        <v>7515</v>
      </c>
      <c r="Q812" s="31" t="b">
        <f t="shared" si="12"/>
        <v>1</v>
      </c>
      <c r="R812" s="32">
        <v>45800</v>
      </c>
      <c r="S812" s="29">
        <v>9563</v>
      </c>
      <c r="T812" s="29" t="s">
        <v>2852</v>
      </c>
      <c r="U812" s="33" t="s">
        <v>43</v>
      </c>
    </row>
    <row r="813" spans="1:21" ht="28.5" customHeight="1" x14ac:dyDescent="0.3">
      <c r="A813" s="27">
        <v>810</v>
      </c>
      <c r="B813" s="28">
        <v>2025</v>
      </c>
      <c r="C813" s="29" t="s">
        <v>168</v>
      </c>
      <c r="D813" s="30" t="s">
        <v>176</v>
      </c>
      <c r="E813" s="29">
        <v>29456509</v>
      </c>
      <c r="F813" s="29">
        <v>1179111</v>
      </c>
      <c r="G813" s="30" t="s">
        <v>2853</v>
      </c>
      <c r="H813" s="29">
        <v>1275</v>
      </c>
      <c r="I813" s="29">
        <v>1</v>
      </c>
      <c r="J813" s="29"/>
      <c r="K813" s="30"/>
      <c r="L813" s="29" t="s">
        <v>72</v>
      </c>
      <c r="M813" s="31">
        <v>7762.5</v>
      </c>
      <c r="N813" s="31">
        <v>7762.5</v>
      </c>
      <c r="O813" s="31">
        <v>15525</v>
      </c>
      <c r="P813" s="31">
        <f>VLOOKUP(F813,'[3]1ª PARCELA'!$E$5:$H$889,4,FALSE)</f>
        <v>15525</v>
      </c>
      <c r="Q813" s="31" t="b">
        <f t="shared" si="12"/>
        <v>1</v>
      </c>
      <c r="R813" s="32">
        <v>45805</v>
      </c>
      <c r="S813" s="29">
        <v>9678</v>
      </c>
      <c r="T813" s="29" t="s">
        <v>2854</v>
      </c>
      <c r="U813" s="33" t="s">
        <v>2855</v>
      </c>
    </row>
    <row r="814" spans="1:21" ht="28.5" customHeight="1" x14ac:dyDescent="0.3">
      <c r="A814" s="27">
        <v>811</v>
      </c>
      <c r="B814" s="28">
        <v>2025</v>
      </c>
      <c r="C814" s="29" t="s">
        <v>655</v>
      </c>
      <c r="D814" s="30" t="s">
        <v>2618</v>
      </c>
      <c r="E814" s="29">
        <v>29456606</v>
      </c>
      <c r="F814" s="29">
        <v>1178251</v>
      </c>
      <c r="G814" s="30" t="s">
        <v>2856</v>
      </c>
      <c r="H814" s="29">
        <v>161</v>
      </c>
      <c r="I814" s="29">
        <v>1</v>
      </c>
      <c r="J814" s="29"/>
      <c r="K814" s="30"/>
      <c r="L814" s="29" t="s">
        <v>72</v>
      </c>
      <c r="M814" s="31">
        <v>2631</v>
      </c>
      <c r="N814" s="31">
        <v>1754</v>
      </c>
      <c r="O814" s="31">
        <v>4385</v>
      </c>
      <c r="P814" s="31">
        <f>VLOOKUP(F814,'[3]1ª PARCELA'!$E$5:$H$889,4,FALSE)</f>
        <v>4385</v>
      </c>
      <c r="Q814" s="31" t="b">
        <f t="shared" si="12"/>
        <v>1</v>
      </c>
      <c r="R814" s="32">
        <v>45895</v>
      </c>
      <c r="S814" s="29">
        <v>19863</v>
      </c>
      <c r="T814" s="29" t="s">
        <v>2857</v>
      </c>
      <c r="U814" s="33" t="s">
        <v>2858</v>
      </c>
    </row>
    <row r="815" spans="1:21" ht="28.5" customHeight="1" x14ac:dyDescent="0.3">
      <c r="A815" s="27">
        <v>812</v>
      </c>
      <c r="B815" s="28">
        <v>2025</v>
      </c>
      <c r="C815" s="29" t="s">
        <v>655</v>
      </c>
      <c r="D815" s="30" t="s">
        <v>876</v>
      </c>
      <c r="E815" s="29">
        <v>29456800</v>
      </c>
      <c r="F815" s="29">
        <v>1178266</v>
      </c>
      <c r="G815" s="30" t="s">
        <v>2859</v>
      </c>
      <c r="H815" s="29">
        <v>267</v>
      </c>
      <c r="I815" s="29">
        <v>1</v>
      </c>
      <c r="J815" s="29"/>
      <c r="K815" s="30"/>
      <c r="L815" s="29" t="s">
        <v>72</v>
      </c>
      <c r="M815" s="31">
        <v>5445</v>
      </c>
      <c r="N815" s="31">
        <v>0</v>
      </c>
      <c r="O815" s="31">
        <v>5445</v>
      </c>
      <c r="P815" s="31">
        <f>VLOOKUP(F815,'[3]1ª PARCELA'!$E$5:$H$889,4,FALSE)</f>
        <v>5445</v>
      </c>
      <c r="Q815" s="31" t="b">
        <f t="shared" si="12"/>
        <v>1</v>
      </c>
      <c r="R815" s="32">
        <v>45800</v>
      </c>
      <c r="S815" s="29">
        <v>9563</v>
      </c>
      <c r="T815" s="29" t="s">
        <v>2860</v>
      </c>
      <c r="U815" s="33" t="s">
        <v>2861</v>
      </c>
    </row>
    <row r="816" spans="1:21" ht="28.5" customHeight="1" x14ac:dyDescent="0.3">
      <c r="A816" s="27">
        <v>813</v>
      </c>
      <c r="B816" s="28">
        <v>2025</v>
      </c>
      <c r="C816" s="29" t="s">
        <v>223</v>
      </c>
      <c r="D816" s="30" t="s">
        <v>224</v>
      </c>
      <c r="E816" s="29">
        <v>29456886</v>
      </c>
      <c r="F816" s="29">
        <v>1179245</v>
      </c>
      <c r="G816" s="30" t="s">
        <v>2862</v>
      </c>
      <c r="H816" s="29">
        <v>87</v>
      </c>
      <c r="I816" s="29">
        <v>1</v>
      </c>
      <c r="J816" s="29"/>
      <c r="K816" s="30"/>
      <c r="L816" s="29" t="s">
        <v>72</v>
      </c>
      <c r="M816" s="31">
        <v>2916</v>
      </c>
      <c r="N816" s="31">
        <v>729</v>
      </c>
      <c r="O816" s="31">
        <v>3645</v>
      </c>
      <c r="P816" s="31">
        <f>VLOOKUP(F816,'[3]1ª PARCELA'!$E$5:$H$889,4,FALSE)</f>
        <v>3645</v>
      </c>
      <c r="Q816" s="31" t="b">
        <f t="shared" si="12"/>
        <v>1</v>
      </c>
      <c r="R816" s="32">
        <v>45793</v>
      </c>
      <c r="S816" s="29">
        <v>9173</v>
      </c>
      <c r="T816" s="29" t="s">
        <v>2863</v>
      </c>
      <c r="U816" s="33" t="s">
        <v>2864</v>
      </c>
    </row>
    <row r="817" spans="1:21" ht="28.5" customHeight="1" x14ac:dyDescent="0.3">
      <c r="A817" s="27">
        <v>814</v>
      </c>
      <c r="B817" s="28">
        <v>2025</v>
      </c>
      <c r="C817" s="29" t="s">
        <v>1719</v>
      </c>
      <c r="D817" s="30" t="s">
        <v>1831</v>
      </c>
      <c r="E817" s="29">
        <v>29457491</v>
      </c>
      <c r="F817" s="29">
        <v>1179246</v>
      </c>
      <c r="G817" s="30" t="s">
        <v>2865</v>
      </c>
      <c r="H817" s="29">
        <v>199</v>
      </c>
      <c r="I817" s="29">
        <v>1</v>
      </c>
      <c r="J817" s="29"/>
      <c r="K817" s="30"/>
      <c r="L817" s="29" t="s">
        <v>72</v>
      </c>
      <c r="M817" s="31">
        <v>2859</v>
      </c>
      <c r="N817" s="31">
        <v>1906</v>
      </c>
      <c r="O817" s="31">
        <v>4765</v>
      </c>
      <c r="P817" s="31">
        <f>VLOOKUP(F817,'[3]1ª PARCELA'!$E$5:$H$889,4,FALSE)</f>
        <v>4765</v>
      </c>
      <c r="Q817" s="31" t="b">
        <f t="shared" si="12"/>
        <v>1</v>
      </c>
      <c r="R817" s="32">
        <v>45954</v>
      </c>
      <c r="S817" s="29">
        <v>28607</v>
      </c>
      <c r="T817" s="29" t="s">
        <v>2866</v>
      </c>
      <c r="U817" s="33" t="s">
        <v>2867</v>
      </c>
    </row>
    <row r="818" spans="1:21" ht="28.5" customHeight="1" x14ac:dyDescent="0.3">
      <c r="A818" s="27">
        <v>815</v>
      </c>
      <c r="B818" s="28">
        <v>2025</v>
      </c>
      <c r="C818" s="29" t="s">
        <v>1588</v>
      </c>
      <c r="D818" s="30" t="s">
        <v>2868</v>
      </c>
      <c r="E818" s="29">
        <v>29457602</v>
      </c>
      <c r="F818" s="29">
        <v>1178260</v>
      </c>
      <c r="G818" s="30" t="s">
        <v>2869</v>
      </c>
      <c r="H818" s="29">
        <v>682</v>
      </c>
      <c r="I818" s="29">
        <v>1</v>
      </c>
      <c r="J818" s="29"/>
      <c r="K818" s="30"/>
      <c r="L818" s="29" t="s">
        <v>72</v>
      </c>
      <c r="M818" s="31">
        <v>6196</v>
      </c>
      <c r="N818" s="31">
        <v>1549</v>
      </c>
      <c r="O818" s="31">
        <v>7745</v>
      </c>
      <c r="P818" s="31">
        <f>VLOOKUP(F818,'[3]1ª PARCELA'!$E$5:$H$889,4,FALSE)</f>
        <v>7745</v>
      </c>
      <c r="Q818" s="31" t="b">
        <f t="shared" si="12"/>
        <v>1</v>
      </c>
      <c r="R818" s="32">
        <v>45793</v>
      </c>
      <c r="S818" s="29">
        <v>9173</v>
      </c>
      <c r="T818" s="29" t="s">
        <v>2870</v>
      </c>
      <c r="U818" s="33" t="s">
        <v>2871</v>
      </c>
    </row>
    <row r="819" spans="1:21" ht="28.5" customHeight="1" x14ac:dyDescent="0.3">
      <c r="A819" s="27">
        <v>816</v>
      </c>
      <c r="B819" s="28">
        <v>2025</v>
      </c>
      <c r="C819" s="29" t="s">
        <v>1588</v>
      </c>
      <c r="D819" s="30" t="s">
        <v>1619</v>
      </c>
      <c r="E819" s="29">
        <v>29458994</v>
      </c>
      <c r="F819" s="29">
        <v>1179277</v>
      </c>
      <c r="G819" s="30" t="s">
        <v>2853</v>
      </c>
      <c r="H819" s="29">
        <v>381</v>
      </c>
      <c r="I819" s="29">
        <v>1</v>
      </c>
      <c r="J819" s="29"/>
      <c r="K819" s="30"/>
      <c r="L819" s="29" t="s">
        <v>72</v>
      </c>
      <c r="M819" s="31">
        <v>2367.5</v>
      </c>
      <c r="N819" s="31">
        <v>2367.5</v>
      </c>
      <c r="O819" s="31">
        <v>4735</v>
      </c>
      <c r="P819" s="31">
        <f>VLOOKUP(F819,'[3]1ª PARCELA'!$E$5:$H$889,4,FALSE)</f>
        <v>4735</v>
      </c>
      <c r="Q819" s="31" t="b">
        <f t="shared" si="12"/>
        <v>1</v>
      </c>
      <c r="R819" s="32">
        <v>45793</v>
      </c>
      <c r="S819" s="29">
        <v>9173</v>
      </c>
      <c r="T819" s="29" t="s">
        <v>2872</v>
      </c>
      <c r="U819" s="33" t="s">
        <v>2873</v>
      </c>
    </row>
    <row r="820" spans="1:21" ht="28.5" customHeight="1" x14ac:dyDescent="0.3">
      <c r="A820" s="27">
        <v>817</v>
      </c>
      <c r="B820" s="28">
        <v>2025</v>
      </c>
      <c r="C820" s="29" t="s">
        <v>2101</v>
      </c>
      <c r="D820" s="30" t="s">
        <v>2686</v>
      </c>
      <c r="E820" s="29">
        <v>29459010</v>
      </c>
      <c r="F820" s="29">
        <v>1179279</v>
      </c>
      <c r="G820" s="30" t="s">
        <v>2874</v>
      </c>
      <c r="H820" s="29">
        <v>251</v>
      </c>
      <c r="I820" s="29">
        <v>1</v>
      </c>
      <c r="J820" s="29"/>
      <c r="K820" s="30"/>
      <c r="L820" s="29" t="s">
        <v>72</v>
      </c>
      <c r="M820" s="31">
        <v>4228</v>
      </c>
      <c r="N820" s="31">
        <v>1057</v>
      </c>
      <c r="O820" s="31">
        <v>5285</v>
      </c>
      <c r="P820" s="31">
        <f>VLOOKUP(F820,'[3]1ª PARCELA'!$E$5:$H$889,4,FALSE)</f>
        <v>5285</v>
      </c>
      <c r="Q820" s="31" t="b">
        <f t="shared" si="12"/>
        <v>1</v>
      </c>
      <c r="R820" s="32">
        <v>45793</v>
      </c>
      <c r="S820" s="29">
        <v>9173</v>
      </c>
      <c r="T820" s="29" t="s">
        <v>2875</v>
      </c>
      <c r="U820" s="33" t="s">
        <v>2876</v>
      </c>
    </row>
    <row r="821" spans="1:21" ht="28.5" customHeight="1" x14ac:dyDescent="0.3">
      <c r="A821" s="27">
        <v>818</v>
      </c>
      <c r="B821" s="28">
        <v>2025</v>
      </c>
      <c r="C821" s="29" t="s">
        <v>1719</v>
      </c>
      <c r="D821" s="30" t="s">
        <v>1861</v>
      </c>
      <c r="E821" s="29">
        <v>29459028</v>
      </c>
      <c r="F821" s="29">
        <v>1179271</v>
      </c>
      <c r="G821" s="30" t="s">
        <v>2877</v>
      </c>
      <c r="H821" s="29">
        <v>305</v>
      </c>
      <c r="I821" s="29">
        <v>1</v>
      </c>
      <c r="J821" s="29"/>
      <c r="K821" s="30"/>
      <c r="L821" s="29" t="s">
        <v>72</v>
      </c>
      <c r="M821" s="31">
        <v>4660</v>
      </c>
      <c r="N821" s="31">
        <v>1165</v>
      </c>
      <c r="O821" s="31">
        <v>5825</v>
      </c>
      <c r="P821" s="31">
        <f>VLOOKUP(F821,'[3]1ª PARCELA'!$E$5:$H$889,4,FALSE)</f>
        <v>5825</v>
      </c>
      <c r="Q821" s="31" t="b">
        <f t="shared" si="12"/>
        <v>1</v>
      </c>
      <c r="R821" s="32">
        <v>45793</v>
      </c>
      <c r="S821" s="29">
        <v>9173</v>
      </c>
      <c r="T821" s="29" t="s">
        <v>2878</v>
      </c>
      <c r="U821" s="33" t="s">
        <v>2879</v>
      </c>
    </row>
    <row r="822" spans="1:21" ht="28.5" customHeight="1" x14ac:dyDescent="0.3">
      <c r="A822" s="27">
        <v>819</v>
      </c>
      <c r="B822" s="28">
        <v>2025</v>
      </c>
      <c r="C822" s="29" t="s">
        <v>272</v>
      </c>
      <c r="D822" s="30" t="s">
        <v>380</v>
      </c>
      <c r="E822" s="29">
        <v>29459141</v>
      </c>
      <c r="F822" s="29">
        <v>1179281</v>
      </c>
      <c r="G822" s="30" t="s">
        <v>2853</v>
      </c>
      <c r="H822" s="29">
        <v>1299</v>
      </c>
      <c r="I822" s="29">
        <v>1</v>
      </c>
      <c r="J822" s="29"/>
      <c r="K822" s="30"/>
      <c r="L822" s="29" t="s">
        <v>72</v>
      </c>
      <c r="M822" s="31">
        <v>11132</v>
      </c>
      <c r="N822" s="31">
        <v>2783</v>
      </c>
      <c r="O822" s="31">
        <v>13915</v>
      </c>
      <c r="P822" s="31">
        <f>VLOOKUP(F822,'[3]1ª PARCELA'!$E$5:$H$889,4,FALSE)</f>
        <v>13915</v>
      </c>
      <c r="Q822" s="31" t="b">
        <f t="shared" si="12"/>
        <v>1</v>
      </c>
      <c r="R822" s="32">
        <v>45793</v>
      </c>
      <c r="S822" s="29">
        <v>9173</v>
      </c>
      <c r="T822" s="29" t="s">
        <v>2880</v>
      </c>
      <c r="U822" s="33" t="s">
        <v>2881</v>
      </c>
    </row>
    <row r="823" spans="1:21" ht="28.5" customHeight="1" x14ac:dyDescent="0.3">
      <c r="A823" s="27">
        <v>820</v>
      </c>
      <c r="B823" s="28">
        <v>2025</v>
      </c>
      <c r="C823" s="29" t="s">
        <v>375</v>
      </c>
      <c r="D823" s="30" t="s">
        <v>2517</v>
      </c>
      <c r="E823" s="29">
        <v>29459621</v>
      </c>
      <c r="F823" s="29">
        <v>1179291</v>
      </c>
      <c r="G823" s="30" t="s">
        <v>2882</v>
      </c>
      <c r="H823" s="29">
        <v>124</v>
      </c>
      <c r="I823" s="29">
        <v>1</v>
      </c>
      <c r="J823" s="29"/>
      <c r="K823" s="30"/>
      <c r="L823" s="29" t="s">
        <v>72</v>
      </c>
      <c r="M823" s="31">
        <v>3212</v>
      </c>
      <c r="N823" s="31">
        <v>803</v>
      </c>
      <c r="O823" s="31">
        <v>4015</v>
      </c>
      <c r="P823" s="31">
        <f>VLOOKUP(F823,'[3]1ª PARCELA'!$E$5:$H$889,4,FALSE)</f>
        <v>4015</v>
      </c>
      <c r="Q823" s="31" t="b">
        <f t="shared" si="12"/>
        <v>1</v>
      </c>
      <c r="R823" s="32">
        <v>45926</v>
      </c>
      <c r="S823" s="29">
        <v>24529</v>
      </c>
      <c r="T823" s="29" t="s">
        <v>2883</v>
      </c>
      <c r="U823" s="33" t="s">
        <v>2884</v>
      </c>
    </row>
    <row r="824" spans="1:21" ht="28.5" customHeight="1" x14ac:dyDescent="0.3">
      <c r="A824" s="27">
        <v>821</v>
      </c>
      <c r="B824" s="28">
        <v>2025</v>
      </c>
      <c r="C824" s="29" t="s">
        <v>655</v>
      </c>
      <c r="D824" s="30" t="s">
        <v>769</v>
      </c>
      <c r="E824" s="29">
        <v>29459915</v>
      </c>
      <c r="F824" s="29">
        <v>1179315</v>
      </c>
      <c r="G824" s="30" t="s">
        <v>2885</v>
      </c>
      <c r="H824" s="29">
        <v>780</v>
      </c>
      <c r="I824" s="29">
        <v>1</v>
      </c>
      <c r="J824" s="29"/>
      <c r="K824" s="30"/>
      <c r="L824" s="29" t="s">
        <v>72</v>
      </c>
      <c r="M824" s="31">
        <v>6345</v>
      </c>
      <c r="N824" s="31">
        <v>4230</v>
      </c>
      <c r="O824" s="31">
        <v>10575</v>
      </c>
      <c r="P824" s="31">
        <f>VLOOKUP(F824,'[3]1ª PARCELA'!$E$5:$H$889,4,FALSE)</f>
        <v>10575</v>
      </c>
      <c r="Q824" s="31" t="b">
        <f t="shared" si="12"/>
        <v>1</v>
      </c>
      <c r="R824" s="32">
        <v>45793</v>
      </c>
      <c r="S824" s="29">
        <v>9173</v>
      </c>
      <c r="T824" s="29" t="s">
        <v>2886</v>
      </c>
      <c r="U824" s="33" t="s">
        <v>2887</v>
      </c>
    </row>
    <row r="825" spans="1:21" ht="28.5" customHeight="1" x14ac:dyDescent="0.3">
      <c r="A825" s="27">
        <v>822</v>
      </c>
      <c r="B825" s="28">
        <v>2025</v>
      </c>
      <c r="C825" s="29" t="s">
        <v>970</v>
      </c>
      <c r="D825" s="30" t="s">
        <v>1926</v>
      </c>
      <c r="E825" s="29">
        <v>29460549</v>
      </c>
      <c r="F825" s="29">
        <v>1179116</v>
      </c>
      <c r="G825" s="30" t="s">
        <v>2888</v>
      </c>
      <c r="H825" s="29">
        <v>157</v>
      </c>
      <c r="I825" s="29">
        <v>1</v>
      </c>
      <c r="J825" s="29"/>
      <c r="K825" s="30"/>
      <c r="L825" s="29" t="s">
        <v>72</v>
      </c>
      <c r="M825" s="31">
        <v>2172.5</v>
      </c>
      <c r="N825" s="31">
        <v>2172.5</v>
      </c>
      <c r="O825" s="31">
        <v>4345</v>
      </c>
      <c r="P825" s="31">
        <f>VLOOKUP(F825,'[3]1ª PARCELA'!$E$5:$H$889,4,FALSE)</f>
        <v>4345</v>
      </c>
      <c r="Q825" s="31" t="b">
        <f t="shared" si="12"/>
        <v>1</v>
      </c>
      <c r="R825" s="32">
        <v>45805</v>
      </c>
      <c r="S825" s="29">
        <v>9678</v>
      </c>
      <c r="T825" s="29" t="s">
        <v>2889</v>
      </c>
      <c r="U825" s="33" t="s">
        <v>2890</v>
      </c>
    </row>
    <row r="826" spans="1:21" ht="28.5" customHeight="1" x14ac:dyDescent="0.3">
      <c r="A826" s="27">
        <v>823</v>
      </c>
      <c r="B826" s="28">
        <v>2025</v>
      </c>
      <c r="C826" s="29" t="s">
        <v>970</v>
      </c>
      <c r="D826" s="30" t="s">
        <v>1926</v>
      </c>
      <c r="E826" s="29">
        <v>29460646</v>
      </c>
      <c r="F826" s="29">
        <v>1179311</v>
      </c>
      <c r="G826" s="30" t="s">
        <v>2891</v>
      </c>
      <c r="H826" s="29">
        <v>57</v>
      </c>
      <c r="I826" s="29">
        <v>1</v>
      </c>
      <c r="J826" s="29"/>
      <c r="K826" s="30"/>
      <c r="L826" s="29" t="s">
        <v>72</v>
      </c>
      <c r="M826" s="31">
        <v>2007</v>
      </c>
      <c r="N826" s="31">
        <v>1338</v>
      </c>
      <c r="O826" s="31">
        <v>3345</v>
      </c>
      <c r="P826" s="31">
        <f>VLOOKUP(F826,'[3]1ª PARCELA'!$E$5:$H$889,4,FALSE)</f>
        <v>3345</v>
      </c>
      <c r="Q826" s="31" t="b">
        <f t="shared" si="12"/>
        <v>1</v>
      </c>
      <c r="R826" s="32">
        <v>45793</v>
      </c>
      <c r="S826" s="29">
        <v>9173</v>
      </c>
      <c r="T826" s="29" t="s">
        <v>2892</v>
      </c>
      <c r="U826" s="33" t="s">
        <v>2893</v>
      </c>
    </row>
    <row r="827" spans="1:21" ht="28.5" customHeight="1" x14ac:dyDescent="0.3">
      <c r="A827" s="27">
        <v>824</v>
      </c>
      <c r="B827" s="28">
        <v>2025</v>
      </c>
      <c r="C827" s="29" t="s">
        <v>263</v>
      </c>
      <c r="D827" s="30" t="s">
        <v>2177</v>
      </c>
      <c r="E827" s="29">
        <v>29460794</v>
      </c>
      <c r="F827" s="29">
        <v>1179304</v>
      </c>
      <c r="G827" s="30" t="s">
        <v>2894</v>
      </c>
      <c r="H827" s="29">
        <v>12</v>
      </c>
      <c r="I827" s="29">
        <v>1</v>
      </c>
      <c r="J827" s="29"/>
      <c r="K827" s="30"/>
      <c r="L827" s="29" t="s">
        <v>72</v>
      </c>
      <c r="M827" s="31">
        <v>360</v>
      </c>
      <c r="N827" s="31">
        <v>0</v>
      </c>
      <c r="O827" s="31">
        <v>360</v>
      </c>
      <c r="P827" s="31">
        <f>VLOOKUP(F827,'[3]1ª PARCELA'!$E$5:$H$889,4,FALSE)</f>
        <v>360</v>
      </c>
      <c r="Q827" s="31" t="b">
        <f t="shared" si="12"/>
        <v>1</v>
      </c>
      <c r="R827" s="32">
        <v>45793</v>
      </c>
      <c r="S827" s="29">
        <v>9173</v>
      </c>
      <c r="T827" s="29" t="s">
        <v>2895</v>
      </c>
      <c r="U827" s="33" t="s">
        <v>2896</v>
      </c>
    </row>
    <row r="828" spans="1:21" ht="28.5" customHeight="1" x14ac:dyDescent="0.3">
      <c r="A828" s="27">
        <v>825</v>
      </c>
      <c r="B828" s="28">
        <v>2025</v>
      </c>
      <c r="C828" s="29" t="s">
        <v>970</v>
      </c>
      <c r="D828" s="30" t="s">
        <v>1926</v>
      </c>
      <c r="E828" s="29">
        <v>29460930</v>
      </c>
      <c r="F828" s="29">
        <v>1179284</v>
      </c>
      <c r="G828" s="30" t="s">
        <v>2897</v>
      </c>
      <c r="H828" s="29">
        <v>681</v>
      </c>
      <c r="I828" s="29">
        <v>1</v>
      </c>
      <c r="J828" s="29"/>
      <c r="K828" s="30"/>
      <c r="L828" s="29" t="s">
        <v>72</v>
      </c>
      <c r="M828" s="31">
        <v>1547</v>
      </c>
      <c r="N828" s="31">
        <v>6188</v>
      </c>
      <c r="O828" s="31">
        <v>7735</v>
      </c>
      <c r="P828" s="31">
        <f>VLOOKUP(F828,'[3]1ª PARCELA'!$E$5:$H$889,4,FALSE)</f>
        <v>7735</v>
      </c>
      <c r="Q828" s="31" t="b">
        <f t="shared" si="12"/>
        <v>1</v>
      </c>
      <c r="R828" s="32">
        <v>45793</v>
      </c>
      <c r="S828" s="29">
        <v>9173</v>
      </c>
      <c r="T828" s="29" t="s">
        <v>2898</v>
      </c>
      <c r="U828" s="33" t="s">
        <v>2899</v>
      </c>
    </row>
    <row r="829" spans="1:21" ht="28.5" customHeight="1" x14ac:dyDescent="0.3">
      <c r="A829" s="27">
        <v>826</v>
      </c>
      <c r="B829" s="28">
        <v>2025</v>
      </c>
      <c r="C829" s="29" t="s">
        <v>655</v>
      </c>
      <c r="D829" s="30" t="s">
        <v>2900</v>
      </c>
      <c r="E829" s="29">
        <v>29461464</v>
      </c>
      <c r="F829" s="29">
        <v>1179312</v>
      </c>
      <c r="G829" s="30" t="s">
        <v>2901</v>
      </c>
      <c r="H829" s="29">
        <v>702</v>
      </c>
      <c r="I829" s="29">
        <v>1</v>
      </c>
      <c r="J829" s="29"/>
      <c r="K829" s="30"/>
      <c r="L829" s="29" t="s">
        <v>72</v>
      </c>
      <c r="M829" s="31">
        <v>5561.5</v>
      </c>
      <c r="N829" s="31">
        <v>2383.5</v>
      </c>
      <c r="O829" s="31">
        <v>7945</v>
      </c>
      <c r="P829" s="31">
        <f>VLOOKUP(F829,'[3]1ª PARCELA'!$E$5:$H$889,4,FALSE)</f>
        <v>7945</v>
      </c>
      <c r="Q829" s="31" t="b">
        <f t="shared" si="12"/>
        <v>1</v>
      </c>
      <c r="R829" s="32">
        <v>45967</v>
      </c>
      <c r="S829" s="29">
        <v>29630</v>
      </c>
      <c r="T829" s="29" t="s">
        <v>2902</v>
      </c>
      <c r="U829" s="33" t="s">
        <v>2903</v>
      </c>
    </row>
    <row r="830" spans="1:21" ht="28.5" customHeight="1" x14ac:dyDescent="0.3">
      <c r="A830" s="27">
        <v>827</v>
      </c>
      <c r="B830" s="28">
        <v>2025</v>
      </c>
      <c r="C830" s="29" t="s">
        <v>1719</v>
      </c>
      <c r="D830" s="30" t="s">
        <v>1831</v>
      </c>
      <c r="E830" s="29">
        <v>29461472</v>
      </c>
      <c r="F830" s="29">
        <v>1179285</v>
      </c>
      <c r="G830" s="30" t="s">
        <v>2904</v>
      </c>
      <c r="H830" s="29">
        <v>219</v>
      </c>
      <c r="I830" s="29">
        <v>1</v>
      </c>
      <c r="J830" s="29"/>
      <c r="K830" s="30"/>
      <c r="L830" s="29" t="s">
        <v>72</v>
      </c>
      <c r="M830" s="31">
        <v>2492</v>
      </c>
      <c r="N830" s="31">
        <v>623</v>
      </c>
      <c r="O830" s="31">
        <v>3115</v>
      </c>
      <c r="P830" s="31">
        <f>VLOOKUP(F830,'[3]1ª PARCELA'!$E$5:$H$889,4,FALSE)</f>
        <v>3115</v>
      </c>
      <c r="Q830" s="31" t="b">
        <f t="shared" si="12"/>
        <v>1</v>
      </c>
      <c r="R830" s="32">
        <v>45833</v>
      </c>
      <c r="S830" s="29">
        <v>13120</v>
      </c>
      <c r="T830" s="29" t="s">
        <v>2905</v>
      </c>
      <c r="U830" s="33" t="s">
        <v>2906</v>
      </c>
    </row>
    <row r="831" spans="1:21" ht="28.5" customHeight="1" x14ac:dyDescent="0.3">
      <c r="A831" s="27">
        <v>828</v>
      </c>
      <c r="B831" s="28">
        <v>2025</v>
      </c>
      <c r="C831" s="29" t="s">
        <v>69</v>
      </c>
      <c r="D831" s="30" t="s">
        <v>75</v>
      </c>
      <c r="E831" s="29">
        <v>29461480</v>
      </c>
      <c r="F831" s="29">
        <v>1179339</v>
      </c>
      <c r="G831" s="30" t="s">
        <v>2853</v>
      </c>
      <c r="H831" s="29">
        <v>1073</v>
      </c>
      <c r="I831" s="29">
        <v>1</v>
      </c>
      <c r="J831" s="29"/>
      <c r="K831" s="30"/>
      <c r="L831" s="29" t="s">
        <v>72</v>
      </c>
      <c r="M831" s="31">
        <v>9324</v>
      </c>
      <c r="N831" s="31">
        <v>2331</v>
      </c>
      <c r="O831" s="31">
        <v>11655</v>
      </c>
      <c r="P831" s="31">
        <f>VLOOKUP(F831,'[3]1ª PARCELA'!$E$5:$H$889,4,FALSE)</f>
        <v>11655</v>
      </c>
      <c r="Q831" s="31" t="b">
        <f t="shared" si="12"/>
        <v>1</v>
      </c>
      <c r="R831" s="32">
        <v>45833</v>
      </c>
      <c r="S831" s="29">
        <v>13120</v>
      </c>
      <c r="T831" s="29" t="s">
        <v>2907</v>
      </c>
      <c r="U831" s="33" t="s">
        <v>2908</v>
      </c>
    </row>
    <row r="832" spans="1:21" ht="28.5" customHeight="1" x14ac:dyDescent="0.3">
      <c r="A832" s="27">
        <v>829</v>
      </c>
      <c r="B832" s="28">
        <v>2025</v>
      </c>
      <c r="C832" s="29" t="s">
        <v>263</v>
      </c>
      <c r="D832" s="30" t="s">
        <v>277</v>
      </c>
      <c r="E832" s="29">
        <v>29461499</v>
      </c>
      <c r="F832" s="29">
        <v>1179282</v>
      </c>
      <c r="G832" s="30" t="s">
        <v>2909</v>
      </c>
      <c r="H832" s="29">
        <v>1738</v>
      </c>
      <c r="I832" s="29">
        <v>1</v>
      </c>
      <c r="J832" s="29"/>
      <c r="K832" s="30"/>
      <c r="L832" s="29" t="s">
        <v>72</v>
      </c>
      <c r="M832" s="31">
        <v>14644</v>
      </c>
      <c r="N832" s="31">
        <v>3661</v>
      </c>
      <c r="O832" s="31">
        <v>18305</v>
      </c>
      <c r="P832" s="31">
        <f>VLOOKUP(F832,'[3]1ª PARCELA'!$E$5:$H$889,4,FALSE)</f>
        <v>18305</v>
      </c>
      <c r="Q832" s="31" t="b">
        <f t="shared" si="12"/>
        <v>1</v>
      </c>
      <c r="R832" s="32">
        <v>45793</v>
      </c>
      <c r="S832" s="29">
        <v>9173</v>
      </c>
      <c r="T832" s="29" t="s">
        <v>2910</v>
      </c>
      <c r="U832" s="33" t="s">
        <v>2911</v>
      </c>
    </row>
    <row r="833" spans="1:21" ht="28.5" customHeight="1" x14ac:dyDescent="0.3">
      <c r="A833" s="27">
        <v>830</v>
      </c>
      <c r="B833" s="28">
        <v>2025</v>
      </c>
      <c r="C833" s="29" t="s">
        <v>375</v>
      </c>
      <c r="D833" s="30" t="s">
        <v>1567</v>
      </c>
      <c r="E833" s="29">
        <v>29461502</v>
      </c>
      <c r="F833" s="29">
        <v>1179283</v>
      </c>
      <c r="G833" s="30" t="s">
        <v>2853</v>
      </c>
      <c r="H833" s="29">
        <v>789</v>
      </c>
      <c r="I833" s="29">
        <v>1</v>
      </c>
      <c r="J833" s="29"/>
      <c r="K833" s="30"/>
      <c r="L833" s="29" t="s">
        <v>72</v>
      </c>
      <c r="M833" s="31">
        <v>7052</v>
      </c>
      <c r="N833" s="31">
        <v>1763</v>
      </c>
      <c r="O833" s="31">
        <v>8815</v>
      </c>
      <c r="P833" s="31">
        <f>VLOOKUP(F833,'[3]1ª PARCELA'!$E$5:$H$889,4,FALSE)</f>
        <v>8815</v>
      </c>
      <c r="Q833" s="31" t="b">
        <f t="shared" si="12"/>
        <v>1</v>
      </c>
      <c r="R833" s="32">
        <v>45793</v>
      </c>
      <c r="S833" s="29">
        <v>9173</v>
      </c>
      <c r="T833" s="29" t="s">
        <v>2912</v>
      </c>
      <c r="U833" s="33" t="s">
        <v>2913</v>
      </c>
    </row>
    <row r="834" spans="1:21" ht="28.5" customHeight="1" x14ac:dyDescent="0.3">
      <c r="A834" s="27">
        <v>831</v>
      </c>
      <c r="B834" s="28">
        <v>2025</v>
      </c>
      <c r="C834" s="29" t="s">
        <v>292</v>
      </c>
      <c r="D834" s="30" t="s">
        <v>301</v>
      </c>
      <c r="E834" s="29">
        <v>29461510</v>
      </c>
      <c r="F834" s="29">
        <v>1179314</v>
      </c>
      <c r="G834" s="30" t="s">
        <v>2914</v>
      </c>
      <c r="H834" s="29">
        <v>308</v>
      </c>
      <c r="I834" s="29">
        <v>1</v>
      </c>
      <c r="J834" s="29"/>
      <c r="K834" s="30"/>
      <c r="L834" s="29" t="s">
        <v>72</v>
      </c>
      <c r="M834" s="31">
        <v>2927.5</v>
      </c>
      <c r="N834" s="31">
        <v>2927.5</v>
      </c>
      <c r="O834" s="31">
        <v>5855</v>
      </c>
      <c r="P834" s="31">
        <f>VLOOKUP(F834,'[3]1ª PARCELA'!$E$5:$H$889,4,FALSE)</f>
        <v>5855</v>
      </c>
      <c r="Q834" s="31" t="b">
        <f t="shared" si="12"/>
        <v>1</v>
      </c>
      <c r="R834" s="32">
        <v>45793</v>
      </c>
      <c r="S834" s="29">
        <v>9173</v>
      </c>
      <c r="T834" s="29" t="s">
        <v>2915</v>
      </c>
      <c r="U834" s="33" t="s">
        <v>2916</v>
      </c>
    </row>
    <row r="835" spans="1:21" ht="28.5" customHeight="1" x14ac:dyDescent="0.3">
      <c r="A835" s="27">
        <v>832</v>
      </c>
      <c r="B835" s="28">
        <v>2025</v>
      </c>
      <c r="C835" s="29" t="s">
        <v>292</v>
      </c>
      <c r="D835" s="30" t="s">
        <v>320</v>
      </c>
      <c r="E835" s="29">
        <v>29461529</v>
      </c>
      <c r="F835" s="29">
        <v>1179286</v>
      </c>
      <c r="G835" s="30" t="s">
        <v>2917</v>
      </c>
      <c r="H835" s="29">
        <v>317</v>
      </c>
      <c r="I835" s="29">
        <v>1</v>
      </c>
      <c r="J835" s="29"/>
      <c r="K835" s="30"/>
      <c r="L835" s="29" t="s">
        <v>72</v>
      </c>
      <c r="M835" s="31">
        <v>3276</v>
      </c>
      <c r="N835" s="31">
        <v>819</v>
      </c>
      <c r="O835" s="31">
        <v>4095</v>
      </c>
      <c r="P835" s="31">
        <f>VLOOKUP(F835,'[3]1ª PARCELA'!$E$5:$H$889,4,FALSE)</f>
        <v>4095</v>
      </c>
      <c r="Q835" s="31" t="b">
        <f t="shared" si="12"/>
        <v>1</v>
      </c>
      <c r="R835" s="32">
        <v>45793</v>
      </c>
      <c r="S835" s="29">
        <v>9173</v>
      </c>
      <c r="T835" s="29" t="s">
        <v>2918</v>
      </c>
      <c r="U835" s="33" t="s">
        <v>2919</v>
      </c>
    </row>
    <row r="836" spans="1:21" ht="28.5" customHeight="1" x14ac:dyDescent="0.3">
      <c r="A836" s="27">
        <v>833</v>
      </c>
      <c r="B836" s="28">
        <v>2025</v>
      </c>
      <c r="C836" s="29" t="s">
        <v>701</v>
      </c>
      <c r="D836" s="30" t="s">
        <v>757</v>
      </c>
      <c r="E836" s="29">
        <v>29463980</v>
      </c>
      <c r="F836" s="29">
        <v>1179131</v>
      </c>
      <c r="G836" s="30" t="s">
        <v>2920</v>
      </c>
      <c r="H836" s="29">
        <v>272</v>
      </c>
      <c r="I836" s="29">
        <v>1</v>
      </c>
      <c r="J836" s="29"/>
      <c r="K836" s="30"/>
      <c r="L836" s="29" t="s">
        <v>72</v>
      </c>
      <c r="M836" s="31">
        <v>4396</v>
      </c>
      <c r="N836" s="31">
        <v>1099</v>
      </c>
      <c r="O836" s="31">
        <v>5495</v>
      </c>
      <c r="P836" s="31">
        <f>VLOOKUP(F836,'[3]1ª PARCELA'!$E$5:$H$889,4,FALSE)</f>
        <v>5495</v>
      </c>
      <c r="Q836" s="31" t="b">
        <f t="shared" si="12"/>
        <v>1</v>
      </c>
      <c r="R836" s="32">
        <v>45938</v>
      </c>
      <c r="S836" s="29">
        <v>25952</v>
      </c>
      <c r="T836" s="29" t="s">
        <v>2921</v>
      </c>
      <c r="U836" s="33" t="s">
        <v>2922</v>
      </c>
    </row>
    <row r="837" spans="1:21" ht="28.5" customHeight="1" x14ac:dyDescent="0.3">
      <c r="A837" s="27">
        <v>834</v>
      </c>
      <c r="B837" s="28">
        <v>2025</v>
      </c>
      <c r="C837" s="29" t="s">
        <v>263</v>
      </c>
      <c r="D837" s="30" t="s">
        <v>264</v>
      </c>
      <c r="E837" s="29">
        <v>29464374</v>
      </c>
      <c r="F837" s="29">
        <v>1179431</v>
      </c>
      <c r="G837" s="30" t="s">
        <v>2923</v>
      </c>
      <c r="H837" s="29">
        <v>1015</v>
      </c>
      <c r="I837" s="29">
        <v>1</v>
      </c>
      <c r="J837" s="29"/>
      <c r="K837" s="30"/>
      <c r="L837" s="29" t="s">
        <v>72</v>
      </c>
      <c r="M837" s="31">
        <v>6645</v>
      </c>
      <c r="N837" s="31">
        <v>4430</v>
      </c>
      <c r="O837" s="31">
        <v>11075</v>
      </c>
      <c r="P837" s="31">
        <f>VLOOKUP(F837,'[3]1ª PARCELA'!$E$5:$H$889,4,FALSE)</f>
        <v>11075</v>
      </c>
      <c r="Q837" s="31" t="b">
        <f t="shared" ref="Q837:Q888" si="13">O837=P837</f>
        <v>1</v>
      </c>
      <c r="R837" s="32">
        <v>45793</v>
      </c>
      <c r="S837" s="29">
        <v>9173</v>
      </c>
      <c r="T837" s="29" t="s">
        <v>2924</v>
      </c>
      <c r="U837" s="33" t="s">
        <v>2925</v>
      </c>
    </row>
    <row r="838" spans="1:21" ht="28.5" customHeight="1" x14ac:dyDescent="0.3">
      <c r="A838" s="27">
        <v>835</v>
      </c>
      <c r="B838" s="28">
        <v>2025</v>
      </c>
      <c r="C838" s="29" t="s">
        <v>718</v>
      </c>
      <c r="D838" s="30" t="s">
        <v>2454</v>
      </c>
      <c r="E838" s="29">
        <v>29464382</v>
      </c>
      <c r="F838" s="29">
        <v>1179389</v>
      </c>
      <c r="G838" s="30" t="s">
        <v>2926</v>
      </c>
      <c r="H838" s="29">
        <v>429</v>
      </c>
      <c r="I838" s="29">
        <v>1</v>
      </c>
      <c r="J838" s="29"/>
      <c r="K838" s="30"/>
      <c r="L838" s="29" t="s">
        <v>72</v>
      </c>
      <c r="M838" s="31">
        <v>5652</v>
      </c>
      <c r="N838" s="31">
        <v>1413</v>
      </c>
      <c r="O838" s="31">
        <v>7065</v>
      </c>
      <c r="P838" s="31">
        <f>VLOOKUP(F838,'[3]1ª PARCELA'!$E$5:$H$889,4,FALSE)</f>
        <v>7065</v>
      </c>
      <c r="Q838" s="31" t="b">
        <f t="shared" si="13"/>
        <v>1</v>
      </c>
      <c r="R838" s="32">
        <v>45926</v>
      </c>
      <c r="S838" s="29">
        <v>24529</v>
      </c>
      <c r="T838" s="29" t="s">
        <v>2927</v>
      </c>
      <c r="U838" s="33" t="s">
        <v>2928</v>
      </c>
    </row>
    <row r="839" spans="1:21" ht="28.5" customHeight="1" x14ac:dyDescent="0.3">
      <c r="A839" s="27">
        <v>836</v>
      </c>
      <c r="B839" s="28">
        <v>2025</v>
      </c>
      <c r="C839" s="29" t="s">
        <v>2101</v>
      </c>
      <c r="D839" s="30" t="s">
        <v>2153</v>
      </c>
      <c r="E839" s="29">
        <v>29464390</v>
      </c>
      <c r="F839" s="29">
        <v>1179368</v>
      </c>
      <c r="G839" s="30" t="s">
        <v>2929</v>
      </c>
      <c r="H839" s="29">
        <v>251</v>
      </c>
      <c r="I839" s="29">
        <v>1</v>
      </c>
      <c r="J839" s="29"/>
      <c r="K839" s="30"/>
      <c r="L839" s="29" t="s">
        <v>72</v>
      </c>
      <c r="M839" s="31">
        <v>4228</v>
      </c>
      <c r="N839" s="31">
        <v>1057</v>
      </c>
      <c r="O839" s="31">
        <v>5285</v>
      </c>
      <c r="P839" s="31">
        <f>VLOOKUP(F839,'[3]1ª PARCELA'!$E$5:$H$889,4,FALSE)</f>
        <v>5285</v>
      </c>
      <c r="Q839" s="31" t="b">
        <f t="shared" si="13"/>
        <v>1</v>
      </c>
      <c r="R839" s="32">
        <v>45793</v>
      </c>
      <c r="S839" s="29">
        <v>9173</v>
      </c>
      <c r="T839" s="29" t="s">
        <v>2930</v>
      </c>
      <c r="U839" s="33" t="s">
        <v>2931</v>
      </c>
    </row>
    <row r="840" spans="1:21" ht="28.5" customHeight="1" x14ac:dyDescent="0.3">
      <c r="A840" s="27">
        <v>837</v>
      </c>
      <c r="B840" s="28">
        <v>2025</v>
      </c>
      <c r="C840" s="29" t="s">
        <v>69</v>
      </c>
      <c r="D840" s="30" t="s">
        <v>70</v>
      </c>
      <c r="E840" s="29">
        <v>29464765</v>
      </c>
      <c r="F840" s="29">
        <v>1179377</v>
      </c>
      <c r="G840" s="30" t="s">
        <v>2932</v>
      </c>
      <c r="H840" s="29">
        <v>151</v>
      </c>
      <c r="I840" s="29">
        <v>1</v>
      </c>
      <c r="J840" s="29"/>
      <c r="K840" s="30"/>
      <c r="L840" s="29" t="s">
        <v>72</v>
      </c>
      <c r="M840" s="31">
        <v>857</v>
      </c>
      <c r="N840" s="31">
        <v>3428</v>
      </c>
      <c r="O840" s="31">
        <v>4285</v>
      </c>
      <c r="P840" s="31">
        <f>VLOOKUP(F840,'[3]1ª PARCELA'!$E$5:$H$889,4,FALSE)</f>
        <v>4285</v>
      </c>
      <c r="Q840" s="31" t="b">
        <f t="shared" si="13"/>
        <v>1</v>
      </c>
      <c r="R840" s="32">
        <v>45793</v>
      </c>
      <c r="S840" s="29">
        <v>9173</v>
      </c>
      <c r="T840" s="29" t="s">
        <v>2933</v>
      </c>
      <c r="U840" s="33" t="s">
        <v>2934</v>
      </c>
    </row>
    <row r="841" spans="1:21" ht="28.5" customHeight="1" x14ac:dyDescent="0.3">
      <c r="A841" s="27">
        <v>838</v>
      </c>
      <c r="B841" s="28">
        <v>2025</v>
      </c>
      <c r="C841" s="29" t="s">
        <v>69</v>
      </c>
      <c r="D841" s="30" t="s">
        <v>2275</v>
      </c>
      <c r="E841" s="29">
        <v>29464773</v>
      </c>
      <c r="F841" s="29">
        <v>1179440</v>
      </c>
      <c r="G841" s="30" t="s">
        <v>2935</v>
      </c>
      <c r="H841" s="29">
        <v>1184</v>
      </c>
      <c r="I841" s="29">
        <v>1</v>
      </c>
      <c r="J841" s="29"/>
      <c r="K841" s="30"/>
      <c r="L841" s="29" t="s">
        <v>72</v>
      </c>
      <c r="M841" s="31">
        <v>6382.5</v>
      </c>
      <c r="N841" s="31">
        <v>6382.5</v>
      </c>
      <c r="O841" s="31">
        <v>12765</v>
      </c>
      <c r="P841" s="31">
        <f>VLOOKUP(F841,'[3]1ª PARCELA'!$E$5:$H$889,4,FALSE)</f>
        <v>12765</v>
      </c>
      <c r="Q841" s="31" t="b">
        <f t="shared" si="13"/>
        <v>1</v>
      </c>
      <c r="R841" s="32">
        <v>45926</v>
      </c>
      <c r="S841" s="29">
        <v>24529</v>
      </c>
      <c r="T841" s="29" t="s">
        <v>2936</v>
      </c>
      <c r="U841" s="33" t="s">
        <v>2937</v>
      </c>
    </row>
    <row r="842" spans="1:21" ht="28.5" customHeight="1" x14ac:dyDescent="0.3">
      <c r="A842" s="27">
        <v>839</v>
      </c>
      <c r="B842" s="28">
        <v>2025</v>
      </c>
      <c r="C842" s="29" t="s">
        <v>655</v>
      </c>
      <c r="D842" s="30" t="s">
        <v>2938</v>
      </c>
      <c r="E842" s="29">
        <v>29465400</v>
      </c>
      <c r="F842" s="29">
        <v>1179439</v>
      </c>
      <c r="G842" s="30" t="s">
        <v>2939</v>
      </c>
      <c r="H842" s="29">
        <v>491</v>
      </c>
      <c r="I842" s="29">
        <v>1</v>
      </c>
      <c r="J842" s="29"/>
      <c r="K842" s="30"/>
      <c r="L842" s="29" t="s">
        <v>72</v>
      </c>
      <c r="M842" s="31">
        <v>3501</v>
      </c>
      <c r="N842" s="31">
        <v>2334</v>
      </c>
      <c r="O842" s="31">
        <v>5835</v>
      </c>
      <c r="P842" s="31">
        <f>VLOOKUP(F842,'[3]1ª PARCELA'!$E$5:$H$889,4,FALSE)</f>
        <v>5835</v>
      </c>
      <c r="Q842" s="31" t="b">
        <f t="shared" si="13"/>
        <v>1</v>
      </c>
      <c r="R842" s="32">
        <v>45895</v>
      </c>
      <c r="S842" s="29">
        <v>19863</v>
      </c>
      <c r="T842" s="29" t="s">
        <v>2940</v>
      </c>
      <c r="U842" s="33" t="s">
        <v>2941</v>
      </c>
    </row>
    <row r="843" spans="1:21" ht="28.5" customHeight="1" x14ac:dyDescent="0.3">
      <c r="A843" s="27">
        <v>840</v>
      </c>
      <c r="B843" s="28">
        <v>2025</v>
      </c>
      <c r="C843" s="29" t="s">
        <v>1797</v>
      </c>
      <c r="D843" s="30" t="s">
        <v>2942</v>
      </c>
      <c r="E843" s="29">
        <v>29466008</v>
      </c>
      <c r="F843" s="29">
        <v>1178270</v>
      </c>
      <c r="G843" s="30" t="s">
        <v>2943</v>
      </c>
      <c r="H843" s="29">
        <v>312</v>
      </c>
      <c r="I843" s="29">
        <v>1</v>
      </c>
      <c r="J843" s="29"/>
      <c r="K843" s="30"/>
      <c r="L843" s="29" t="s">
        <v>72</v>
      </c>
      <c r="M843" s="31">
        <v>2831.5</v>
      </c>
      <c r="N843" s="31">
        <v>1213.5</v>
      </c>
      <c r="O843" s="31">
        <v>4045</v>
      </c>
      <c r="P843" s="31">
        <f>VLOOKUP(F843,'[3]1ª PARCELA'!$E$5:$H$889,4,FALSE)</f>
        <v>4045</v>
      </c>
      <c r="Q843" s="31" t="b">
        <f t="shared" si="13"/>
        <v>1</v>
      </c>
      <c r="R843" s="32">
        <v>45947</v>
      </c>
      <c r="S843" s="29">
        <v>27225</v>
      </c>
      <c r="T843" s="29" t="s">
        <v>2944</v>
      </c>
      <c r="U843" s="33" t="s">
        <v>2945</v>
      </c>
    </row>
    <row r="844" spans="1:21" ht="28.5" customHeight="1" x14ac:dyDescent="0.3">
      <c r="A844" s="27">
        <v>841</v>
      </c>
      <c r="B844" s="28">
        <v>2025</v>
      </c>
      <c r="C844" s="29" t="s">
        <v>168</v>
      </c>
      <c r="D844" s="30" t="s">
        <v>176</v>
      </c>
      <c r="E844" s="29">
        <v>29467004</v>
      </c>
      <c r="F844" s="29">
        <v>1178255</v>
      </c>
      <c r="G844" s="30" t="s">
        <v>2946</v>
      </c>
      <c r="H844" s="29">
        <v>748</v>
      </c>
      <c r="I844" s="29">
        <v>1</v>
      </c>
      <c r="J844" s="29"/>
      <c r="K844" s="30"/>
      <c r="L844" s="29" t="s">
        <v>72</v>
      </c>
      <c r="M844" s="31">
        <v>6724</v>
      </c>
      <c r="N844" s="31">
        <v>1681</v>
      </c>
      <c r="O844" s="31">
        <v>8405</v>
      </c>
      <c r="P844" s="31">
        <f>VLOOKUP(F844,'[3]1ª PARCELA'!$E$5:$H$889,4,FALSE)</f>
        <v>8405</v>
      </c>
      <c r="Q844" s="31" t="b">
        <f t="shared" si="13"/>
        <v>1</v>
      </c>
      <c r="R844" s="32">
        <v>45793</v>
      </c>
      <c r="S844" s="29">
        <v>9173</v>
      </c>
      <c r="T844" s="29" t="s">
        <v>2947</v>
      </c>
      <c r="U844" s="33" t="s">
        <v>2948</v>
      </c>
    </row>
    <row r="845" spans="1:21" ht="28.5" customHeight="1" x14ac:dyDescent="0.3">
      <c r="A845" s="27">
        <v>842</v>
      </c>
      <c r="B845" s="28">
        <v>2025</v>
      </c>
      <c r="C845" s="29" t="s">
        <v>375</v>
      </c>
      <c r="D845" s="30" t="s">
        <v>1563</v>
      </c>
      <c r="E845" s="29">
        <v>29467403</v>
      </c>
      <c r="F845" s="29">
        <v>1178261</v>
      </c>
      <c r="G845" s="30" t="s">
        <v>2949</v>
      </c>
      <c r="H845" s="29">
        <v>199</v>
      </c>
      <c r="I845" s="29">
        <v>1</v>
      </c>
      <c r="J845" s="29"/>
      <c r="K845" s="30"/>
      <c r="L845" s="29" t="s">
        <v>72</v>
      </c>
      <c r="M845" s="31">
        <v>2332</v>
      </c>
      <c r="N845" s="31">
        <v>583</v>
      </c>
      <c r="O845" s="31">
        <v>2915</v>
      </c>
      <c r="P845" s="31">
        <f>VLOOKUP(F845,'[3]1ª PARCELA'!$E$5:$H$889,4,FALSE)</f>
        <v>2915</v>
      </c>
      <c r="Q845" s="31" t="b">
        <f t="shared" si="13"/>
        <v>1</v>
      </c>
      <c r="R845" s="32">
        <v>45793</v>
      </c>
      <c r="S845" s="29">
        <v>9173</v>
      </c>
      <c r="T845" s="29" t="s">
        <v>2950</v>
      </c>
      <c r="U845" s="33" t="s">
        <v>2951</v>
      </c>
    </row>
    <row r="846" spans="1:21" ht="28.5" customHeight="1" x14ac:dyDescent="0.3">
      <c r="A846" s="27">
        <v>843</v>
      </c>
      <c r="B846" s="28">
        <v>2025</v>
      </c>
      <c r="C846" s="29" t="s">
        <v>2101</v>
      </c>
      <c r="D846" s="30" t="s">
        <v>2153</v>
      </c>
      <c r="E846" s="29">
        <v>29467551</v>
      </c>
      <c r="F846" s="29">
        <v>1179452</v>
      </c>
      <c r="G846" s="30" t="s">
        <v>2952</v>
      </c>
      <c r="H846" s="29">
        <v>132</v>
      </c>
      <c r="I846" s="29">
        <v>1</v>
      </c>
      <c r="J846" s="29"/>
      <c r="K846" s="30"/>
      <c r="L846" s="29" t="s">
        <v>72</v>
      </c>
      <c r="M846" s="31">
        <v>3276</v>
      </c>
      <c r="N846" s="31">
        <v>819</v>
      </c>
      <c r="O846" s="31">
        <v>4095</v>
      </c>
      <c r="P846" s="31">
        <f>VLOOKUP(F846,'[3]1ª PARCELA'!$E$5:$H$889,4,FALSE)</f>
        <v>4095</v>
      </c>
      <c r="Q846" s="31" t="b">
        <f t="shared" si="13"/>
        <v>1</v>
      </c>
      <c r="R846" s="32">
        <v>45793</v>
      </c>
      <c r="S846" s="29">
        <v>9173</v>
      </c>
      <c r="T846" s="29" t="s">
        <v>2953</v>
      </c>
      <c r="U846" s="33" t="s">
        <v>2954</v>
      </c>
    </row>
    <row r="847" spans="1:21" ht="28.5" customHeight="1" x14ac:dyDescent="0.3">
      <c r="A847" s="27">
        <v>844</v>
      </c>
      <c r="B847" s="28">
        <v>2025</v>
      </c>
      <c r="C847" s="29" t="s">
        <v>2101</v>
      </c>
      <c r="D847" s="30" t="s">
        <v>2153</v>
      </c>
      <c r="E847" s="29">
        <v>29467624</v>
      </c>
      <c r="F847" s="29">
        <v>1179453</v>
      </c>
      <c r="G847" s="30" t="s">
        <v>2955</v>
      </c>
      <c r="H847" s="29">
        <v>371</v>
      </c>
      <c r="I847" s="29">
        <v>1</v>
      </c>
      <c r="J847" s="29"/>
      <c r="K847" s="30"/>
      <c r="L847" s="29" t="s">
        <v>72</v>
      </c>
      <c r="M847" s="31">
        <v>4539.5</v>
      </c>
      <c r="N847" s="31">
        <v>1945.5</v>
      </c>
      <c r="O847" s="31">
        <v>6485</v>
      </c>
      <c r="P847" s="31">
        <f>VLOOKUP(F847,'[3]1ª PARCELA'!$E$5:$H$889,4,FALSE)</f>
        <v>6485</v>
      </c>
      <c r="Q847" s="31" t="b">
        <f t="shared" si="13"/>
        <v>1</v>
      </c>
      <c r="R847" s="32">
        <v>45895</v>
      </c>
      <c r="S847" s="29">
        <v>19863</v>
      </c>
      <c r="T847" s="29" t="s">
        <v>2956</v>
      </c>
      <c r="U847" s="33" t="s">
        <v>2957</v>
      </c>
    </row>
    <row r="848" spans="1:21" ht="28.5" customHeight="1" x14ac:dyDescent="0.3">
      <c r="A848" s="27">
        <v>845</v>
      </c>
      <c r="B848" s="28">
        <v>2025</v>
      </c>
      <c r="C848" s="29" t="s">
        <v>375</v>
      </c>
      <c r="D848" s="30" t="s">
        <v>2958</v>
      </c>
      <c r="E848" s="29">
        <v>29467870</v>
      </c>
      <c r="F848" s="29">
        <v>1179483</v>
      </c>
      <c r="G848" s="30" t="s">
        <v>2959</v>
      </c>
      <c r="H848" s="29">
        <v>167</v>
      </c>
      <c r="I848" s="29">
        <v>1</v>
      </c>
      <c r="J848" s="29"/>
      <c r="K848" s="30"/>
      <c r="L848" s="29" t="s">
        <v>72</v>
      </c>
      <c r="M848" s="31">
        <v>2222.5</v>
      </c>
      <c r="N848" s="31">
        <v>2222.5</v>
      </c>
      <c r="O848" s="31">
        <v>4445</v>
      </c>
      <c r="P848" s="31">
        <f>VLOOKUP(F848,'[3]1ª PARCELA'!$E$5:$H$889,4,FALSE)</f>
        <v>4445</v>
      </c>
      <c r="Q848" s="31" t="b">
        <f t="shared" si="13"/>
        <v>1</v>
      </c>
      <c r="R848" s="32">
        <v>45895</v>
      </c>
      <c r="S848" s="29">
        <v>19863</v>
      </c>
      <c r="T848" s="29" t="s">
        <v>2960</v>
      </c>
      <c r="U848" s="33" t="s">
        <v>2961</v>
      </c>
    </row>
    <row r="849" spans="1:21" ht="28.5" customHeight="1" x14ac:dyDescent="0.3">
      <c r="A849" s="27">
        <v>846</v>
      </c>
      <c r="B849" s="28">
        <v>2025</v>
      </c>
      <c r="C849" s="29" t="s">
        <v>701</v>
      </c>
      <c r="D849" s="30" t="s">
        <v>761</v>
      </c>
      <c r="E849" s="29">
        <v>29468000</v>
      </c>
      <c r="F849" s="29">
        <v>1178254</v>
      </c>
      <c r="G849" s="30" t="s">
        <v>2962</v>
      </c>
      <c r="H849" s="29">
        <v>943</v>
      </c>
      <c r="I849" s="29">
        <v>1</v>
      </c>
      <c r="J849" s="29"/>
      <c r="K849" s="30"/>
      <c r="L849" s="29" t="s">
        <v>72</v>
      </c>
      <c r="M849" s="31">
        <v>8284</v>
      </c>
      <c r="N849" s="31">
        <v>2071</v>
      </c>
      <c r="O849" s="31">
        <v>10355</v>
      </c>
      <c r="P849" s="31">
        <f>VLOOKUP(F849,'[3]1ª PARCELA'!$E$5:$H$889,4,FALSE)</f>
        <v>10355</v>
      </c>
      <c r="Q849" s="31" t="b">
        <f t="shared" si="13"/>
        <v>1</v>
      </c>
      <c r="R849" s="32">
        <v>45793</v>
      </c>
      <c r="S849" s="29">
        <v>9173</v>
      </c>
      <c r="T849" s="29" t="s">
        <v>2963</v>
      </c>
      <c r="U849" s="33" t="s">
        <v>2964</v>
      </c>
    </row>
    <row r="850" spans="1:21" ht="28.5" customHeight="1" x14ac:dyDescent="0.3">
      <c r="A850" s="27">
        <v>847</v>
      </c>
      <c r="B850" s="28">
        <v>2025</v>
      </c>
      <c r="C850" s="29" t="s">
        <v>2101</v>
      </c>
      <c r="D850" s="30" t="s">
        <v>2796</v>
      </c>
      <c r="E850" s="29">
        <v>29469066</v>
      </c>
      <c r="F850" s="29">
        <v>1179481</v>
      </c>
      <c r="G850" s="30" t="s">
        <v>180</v>
      </c>
      <c r="H850" s="29">
        <v>803</v>
      </c>
      <c r="I850" s="29">
        <v>1</v>
      </c>
      <c r="J850" s="29"/>
      <c r="K850" s="30"/>
      <c r="L850" s="29" t="s">
        <v>72</v>
      </c>
      <c r="M850" s="31">
        <v>6268.5</v>
      </c>
      <c r="N850" s="31">
        <v>2686.5</v>
      </c>
      <c r="O850" s="31">
        <v>8955</v>
      </c>
      <c r="P850" s="31">
        <f>VLOOKUP(F850,'[3]1ª PARCELA'!$E$5:$H$889,4,FALSE)</f>
        <v>8955</v>
      </c>
      <c r="Q850" s="31" t="b">
        <f t="shared" si="13"/>
        <v>1</v>
      </c>
      <c r="R850" s="32">
        <v>45967</v>
      </c>
      <c r="S850" s="29">
        <v>29630</v>
      </c>
      <c r="T850" s="29" t="s">
        <v>2965</v>
      </c>
      <c r="U850" s="33" t="s">
        <v>2966</v>
      </c>
    </row>
    <row r="851" spans="1:21" ht="28.5" customHeight="1" x14ac:dyDescent="0.3">
      <c r="A851" s="27">
        <v>848</v>
      </c>
      <c r="B851" s="28">
        <v>2025</v>
      </c>
      <c r="C851" s="29" t="s">
        <v>69</v>
      </c>
      <c r="D851" s="30" t="s">
        <v>98</v>
      </c>
      <c r="E851" s="29">
        <v>29470501</v>
      </c>
      <c r="F851" s="29">
        <v>1179619</v>
      </c>
      <c r="G851" s="30" t="s">
        <v>2967</v>
      </c>
      <c r="H851" s="29">
        <v>382</v>
      </c>
      <c r="I851" s="29">
        <v>1</v>
      </c>
      <c r="J851" s="29"/>
      <c r="K851" s="30"/>
      <c r="L851" s="29" t="s">
        <v>72</v>
      </c>
      <c r="M851" s="31">
        <v>5276</v>
      </c>
      <c r="N851" s="31">
        <v>1319</v>
      </c>
      <c r="O851" s="31">
        <v>6595</v>
      </c>
      <c r="P851" s="31">
        <f>VLOOKUP(F851,'[3]1ª PARCELA'!$E$5:$H$889,4,FALSE)</f>
        <v>6595</v>
      </c>
      <c r="Q851" s="31" t="b">
        <f t="shared" si="13"/>
        <v>1</v>
      </c>
      <c r="R851" s="32">
        <v>45967</v>
      </c>
      <c r="S851" s="29">
        <v>29630</v>
      </c>
      <c r="T851" s="29" t="s">
        <v>2968</v>
      </c>
      <c r="U851" s="33" t="s">
        <v>2969</v>
      </c>
    </row>
    <row r="852" spans="1:21" ht="28.5" customHeight="1" x14ac:dyDescent="0.3">
      <c r="A852" s="27">
        <v>849</v>
      </c>
      <c r="B852" s="28">
        <v>2025</v>
      </c>
      <c r="C852" s="29" t="s">
        <v>292</v>
      </c>
      <c r="D852" s="30" t="s">
        <v>301</v>
      </c>
      <c r="E852" s="29">
        <v>29470579</v>
      </c>
      <c r="F852" s="29">
        <v>1179606</v>
      </c>
      <c r="G852" s="30" t="s">
        <v>2970</v>
      </c>
      <c r="H852" s="29">
        <v>755</v>
      </c>
      <c r="I852" s="29">
        <v>1</v>
      </c>
      <c r="J852" s="29"/>
      <c r="K852" s="30"/>
      <c r="L852" s="29" t="s">
        <v>72</v>
      </c>
      <c r="M852" s="31">
        <v>8260</v>
      </c>
      <c r="N852" s="31">
        <v>2065</v>
      </c>
      <c r="O852" s="31">
        <v>10325</v>
      </c>
      <c r="P852" s="31">
        <f>VLOOKUP(F852,'[3]1ª PARCELA'!$E$5:$H$889,4,FALSE)</f>
        <v>10325</v>
      </c>
      <c r="Q852" s="31" t="b">
        <f t="shared" si="13"/>
        <v>1</v>
      </c>
      <c r="R852" s="32">
        <v>45793</v>
      </c>
      <c r="S852" s="29">
        <v>9173</v>
      </c>
      <c r="T852" s="29" t="s">
        <v>2971</v>
      </c>
      <c r="U852" s="33" t="s">
        <v>2972</v>
      </c>
    </row>
    <row r="853" spans="1:21" ht="28.5" customHeight="1" x14ac:dyDescent="0.3">
      <c r="A853" s="27">
        <v>850</v>
      </c>
      <c r="B853" s="28">
        <v>2025</v>
      </c>
      <c r="C853" s="29" t="s">
        <v>1906</v>
      </c>
      <c r="D853" s="30" t="s">
        <v>1985</v>
      </c>
      <c r="E853" s="29">
        <v>29473101</v>
      </c>
      <c r="F853" s="29">
        <v>1179628</v>
      </c>
      <c r="G853" s="30" t="s">
        <v>2973</v>
      </c>
      <c r="H853" s="29">
        <v>565</v>
      </c>
      <c r="I853" s="29">
        <v>1</v>
      </c>
      <c r="J853" s="29"/>
      <c r="K853" s="30"/>
      <c r="L853" s="29" t="s">
        <v>72</v>
      </c>
      <c r="M853" s="31">
        <v>5897.5</v>
      </c>
      <c r="N853" s="31">
        <v>2527.5</v>
      </c>
      <c r="O853" s="31">
        <v>8425</v>
      </c>
      <c r="P853" s="31">
        <f>VLOOKUP(F853,'[3]1ª PARCELA'!$E$5:$H$889,4,FALSE)</f>
        <v>8425</v>
      </c>
      <c r="Q853" s="31" t="b">
        <f t="shared" si="13"/>
        <v>1</v>
      </c>
      <c r="R853" s="32">
        <v>45967</v>
      </c>
      <c r="S853" s="29">
        <v>29630</v>
      </c>
      <c r="T853" s="29" t="s">
        <v>2974</v>
      </c>
      <c r="U853" s="33" t="s">
        <v>2975</v>
      </c>
    </row>
    <row r="854" spans="1:21" ht="28.5" customHeight="1" x14ac:dyDescent="0.3">
      <c r="A854" s="27">
        <v>851</v>
      </c>
      <c r="B854" s="28">
        <v>2025</v>
      </c>
      <c r="C854" s="29" t="s">
        <v>272</v>
      </c>
      <c r="D854" s="30" t="s">
        <v>399</v>
      </c>
      <c r="E854" s="29">
        <v>29473365</v>
      </c>
      <c r="F854" s="29">
        <v>1179655</v>
      </c>
      <c r="G854" s="30" t="s">
        <v>2976</v>
      </c>
      <c r="H854" s="29">
        <v>292</v>
      </c>
      <c r="I854" s="29">
        <v>1</v>
      </c>
      <c r="J854" s="29"/>
      <c r="K854" s="30"/>
      <c r="L854" s="29" t="s">
        <v>72</v>
      </c>
      <c r="M854" s="31">
        <v>3417</v>
      </c>
      <c r="N854" s="31">
        <v>2278</v>
      </c>
      <c r="O854" s="31">
        <v>5695</v>
      </c>
      <c r="P854" s="31">
        <f>VLOOKUP(F854,'[3]1ª PARCELA'!$E$5:$H$889,4,FALSE)</f>
        <v>5695</v>
      </c>
      <c r="Q854" s="31" t="b">
        <f t="shared" si="13"/>
        <v>1</v>
      </c>
      <c r="R854" s="32">
        <v>45793</v>
      </c>
      <c r="S854" s="29">
        <v>9173</v>
      </c>
      <c r="T854" s="29" t="s">
        <v>2977</v>
      </c>
      <c r="U854" s="33" t="s">
        <v>2978</v>
      </c>
    </row>
    <row r="855" spans="1:21" ht="28.5" customHeight="1" x14ac:dyDescent="0.3">
      <c r="A855" s="27">
        <v>852</v>
      </c>
      <c r="B855" s="28">
        <v>2025</v>
      </c>
      <c r="C855" s="29" t="s">
        <v>2101</v>
      </c>
      <c r="D855" s="30" t="s">
        <v>2979</v>
      </c>
      <c r="E855" s="29">
        <v>29474272</v>
      </c>
      <c r="F855" s="29">
        <v>1179661</v>
      </c>
      <c r="G855" s="30" t="s">
        <v>2980</v>
      </c>
      <c r="H855" s="29">
        <v>692</v>
      </c>
      <c r="I855" s="29">
        <v>1</v>
      </c>
      <c r="J855" s="29"/>
      <c r="K855" s="30"/>
      <c r="L855" s="29" t="s">
        <v>72</v>
      </c>
      <c r="M855" s="31">
        <v>5817</v>
      </c>
      <c r="N855" s="31">
        <v>3878</v>
      </c>
      <c r="O855" s="31">
        <v>9695</v>
      </c>
      <c r="P855" s="31">
        <f>VLOOKUP(F855,'[3]1ª PARCELA'!$E$5:$H$889,4,FALSE)</f>
        <v>9695</v>
      </c>
      <c r="Q855" s="31" t="b">
        <f t="shared" si="13"/>
        <v>1</v>
      </c>
      <c r="R855" s="32">
        <v>45793</v>
      </c>
      <c r="S855" s="29">
        <v>9173</v>
      </c>
      <c r="T855" s="29" t="s">
        <v>2981</v>
      </c>
      <c r="U855" s="33" t="s">
        <v>2982</v>
      </c>
    </row>
    <row r="856" spans="1:21" ht="28.5" customHeight="1" x14ac:dyDescent="0.3">
      <c r="A856" s="27">
        <v>853</v>
      </c>
      <c r="B856" s="28">
        <v>2025</v>
      </c>
      <c r="C856" s="29" t="s">
        <v>263</v>
      </c>
      <c r="D856" s="30" t="s">
        <v>277</v>
      </c>
      <c r="E856" s="29">
        <v>29474892</v>
      </c>
      <c r="F856" s="29">
        <v>1179668</v>
      </c>
      <c r="G856" s="30" t="s">
        <v>2983</v>
      </c>
      <c r="H856" s="29">
        <v>312</v>
      </c>
      <c r="I856" s="29">
        <v>1</v>
      </c>
      <c r="J856" s="29"/>
      <c r="K856" s="30"/>
      <c r="L856" s="29" t="s">
        <v>72</v>
      </c>
      <c r="M856" s="31">
        <v>2427</v>
      </c>
      <c r="N856" s="31">
        <v>1618</v>
      </c>
      <c r="O856" s="31">
        <v>4045</v>
      </c>
      <c r="P856" s="31">
        <f>VLOOKUP(F856,'[3]1ª PARCELA'!$E$5:$H$889,4,FALSE)</f>
        <v>4045</v>
      </c>
      <c r="Q856" s="31" t="b">
        <f t="shared" si="13"/>
        <v>1</v>
      </c>
      <c r="R856" s="32">
        <v>45800</v>
      </c>
      <c r="S856" s="29">
        <v>9563</v>
      </c>
      <c r="T856" s="29" t="s">
        <v>2984</v>
      </c>
      <c r="U856" s="33" t="s">
        <v>2985</v>
      </c>
    </row>
    <row r="857" spans="1:21" ht="28.5" customHeight="1" x14ac:dyDescent="0.3">
      <c r="A857" s="27">
        <v>854</v>
      </c>
      <c r="B857" s="28">
        <v>2025</v>
      </c>
      <c r="C857" s="29" t="s">
        <v>69</v>
      </c>
      <c r="D857" s="30" t="s">
        <v>2986</v>
      </c>
      <c r="E857" s="29">
        <v>29474914</v>
      </c>
      <c r="F857" s="29">
        <v>1179662</v>
      </c>
      <c r="G857" s="30" t="s">
        <v>2987</v>
      </c>
      <c r="H857" s="29">
        <v>1203</v>
      </c>
      <c r="I857" s="29">
        <v>1</v>
      </c>
      <c r="J857" s="29"/>
      <c r="K857" s="30"/>
      <c r="L857" s="29" t="s">
        <v>72</v>
      </c>
      <c r="M857" s="31">
        <v>10364</v>
      </c>
      <c r="N857" s="31">
        <v>2591</v>
      </c>
      <c r="O857" s="31">
        <v>12955</v>
      </c>
      <c r="P857" s="31">
        <f>VLOOKUP(F857,'[3]1ª PARCELA'!$E$5:$H$889,4,FALSE)</f>
        <v>12955</v>
      </c>
      <c r="Q857" s="31" t="b">
        <f t="shared" si="13"/>
        <v>1</v>
      </c>
      <c r="R857" s="32">
        <v>45926</v>
      </c>
      <c r="S857" s="29">
        <v>24529</v>
      </c>
      <c r="T857" s="29" t="s">
        <v>2988</v>
      </c>
      <c r="U857" s="33" t="s">
        <v>2989</v>
      </c>
    </row>
    <row r="858" spans="1:21" ht="28.5" customHeight="1" x14ac:dyDescent="0.3">
      <c r="A858" s="27">
        <v>855</v>
      </c>
      <c r="B858" s="28">
        <v>2025</v>
      </c>
      <c r="C858" s="29" t="s">
        <v>961</v>
      </c>
      <c r="D858" s="30" t="s">
        <v>2561</v>
      </c>
      <c r="E858" s="29">
        <v>29475082</v>
      </c>
      <c r="F858" s="29">
        <v>1179670</v>
      </c>
      <c r="G858" s="30" t="s">
        <v>2990</v>
      </c>
      <c r="H858" s="29">
        <v>2023</v>
      </c>
      <c r="I858" s="29">
        <v>1</v>
      </c>
      <c r="J858" s="29"/>
      <c r="K858" s="30"/>
      <c r="L858" s="29" t="s">
        <v>72</v>
      </c>
      <c r="M858" s="31">
        <v>16924</v>
      </c>
      <c r="N858" s="31">
        <v>4231</v>
      </c>
      <c r="O858" s="31">
        <v>21155</v>
      </c>
      <c r="P858" s="31">
        <f>VLOOKUP(F858,'[3]1ª PARCELA'!$E$5:$H$889,4,FALSE)</f>
        <v>21155</v>
      </c>
      <c r="Q858" s="31" t="b">
        <f t="shared" si="13"/>
        <v>1</v>
      </c>
      <c r="R858" s="32">
        <v>45833</v>
      </c>
      <c r="S858" s="29">
        <v>13120</v>
      </c>
      <c r="T858" s="29" t="s">
        <v>2991</v>
      </c>
      <c r="U858" s="33" t="s">
        <v>2992</v>
      </c>
    </row>
    <row r="859" spans="1:21" ht="28.5" customHeight="1" x14ac:dyDescent="0.3">
      <c r="A859" s="27">
        <v>856</v>
      </c>
      <c r="B859" s="28">
        <v>2025</v>
      </c>
      <c r="C859" s="29" t="s">
        <v>2101</v>
      </c>
      <c r="D859" s="30" t="s">
        <v>2153</v>
      </c>
      <c r="E859" s="29">
        <v>29477220</v>
      </c>
      <c r="F859" s="29">
        <v>1179686</v>
      </c>
      <c r="G859" s="30" t="s">
        <v>2993</v>
      </c>
      <c r="H859" s="29">
        <v>111</v>
      </c>
      <c r="I859" s="29">
        <v>1</v>
      </c>
      <c r="J859" s="29"/>
      <c r="K859" s="30"/>
      <c r="L859" s="29" t="s">
        <v>72</v>
      </c>
      <c r="M859" s="31">
        <v>1942.5</v>
      </c>
      <c r="N859" s="31">
        <v>1942.5</v>
      </c>
      <c r="O859" s="31">
        <v>3885</v>
      </c>
      <c r="P859" s="31">
        <f>VLOOKUP(F859,'[3]1ª PARCELA'!$E$5:$H$889,4,FALSE)</f>
        <v>3885</v>
      </c>
      <c r="Q859" s="31" t="b">
        <f t="shared" si="13"/>
        <v>1</v>
      </c>
      <c r="R859" s="32">
        <v>45793</v>
      </c>
      <c r="S859" s="29">
        <v>9173</v>
      </c>
      <c r="T859" s="29" t="s">
        <v>2994</v>
      </c>
      <c r="U859" s="33" t="s">
        <v>2995</v>
      </c>
    </row>
    <row r="860" spans="1:21" ht="28.5" customHeight="1" x14ac:dyDescent="0.3">
      <c r="A860" s="27">
        <v>857</v>
      </c>
      <c r="B860" s="28">
        <v>2025</v>
      </c>
      <c r="C860" s="29" t="s">
        <v>168</v>
      </c>
      <c r="D860" s="30" t="s">
        <v>2996</v>
      </c>
      <c r="E860" s="29">
        <v>29477441</v>
      </c>
      <c r="F860" s="29">
        <v>1179687</v>
      </c>
      <c r="G860" s="30" t="s">
        <v>2997</v>
      </c>
      <c r="H860" s="29">
        <v>2034</v>
      </c>
      <c r="I860" s="29">
        <v>1</v>
      </c>
      <c r="J860" s="29"/>
      <c r="K860" s="30"/>
      <c r="L860" s="29" t="s">
        <v>72</v>
      </c>
      <c r="M860" s="31">
        <v>17012</v>
      </c>
      <c r="N860" s="31">
        <v>4253</v>
      </c>
      <c r="O860" s="31">
        <v>21265</v>
      </c>
      <c r="P860" s="31">
        <f>VLOOKUP(F860,'[3]1ª PARCELA'!$E$5:$H$889,4,FALSE)</f>
        <v>21265</v>
      </c>
      <c r="Q860" s="31" t="b">
        <f t="shared" si="13"/>
        <v>1</v>
      </c>
      <c r="R860" s="32">
        <v>45833</v>
      </c>
      <c r="S860" s="29">
        <v>13120</v>
      </c>
      <c r="T860" s="29" t="s">
        <v>2998</v>
      </c>
      <c r="U860" s="33" t="s">
        <v>2999</v>
      </c>
    </row>
    <row r="861" spans="1:21" ht="28.5" customHeight="1" x14ac:dyDescent="0.3">
      <c r="A861" s="27">
        <v>858</v>
      </c>
      <c r="B861" s="28">
        <v>2025</v>
      </c>
      <c r="C861" s="29" t="s">
        <v>1906</v>
      </c>
      <c r="D861" s="30" t="s">
        <v>1907</v>
      </c>
      <c r="E861" s="29">
        <v>29477492</v>
      </c>
      <c r="F861" s="29">
        <v>1179678</v>
      </c>
      <c r="G861" s="30" t="s">
        <v>3000</v>
      </c>
      <c r="H861" s="29">
        <v>322</v>
      </c>
      <c r="I861" s="29">
        <v>1</v>
      </c>
      <c r="J861" s="29"/>
      <c r="K861" s="30"/>
      <c r="L861" s="29" t="s">
        <v>72</v>
      </c>
      <c r="M861" s="31">
        <v>4796</v>
      </c>
      <c r="N861" s="31">
        <v>1199</v>
      </c>
      <c r="O861" s="31">
        <v>5995</v>
      </c>
      <c r="P861" s="31">
        <f>VLOOKUP(F861,'[3]1ª PARCELA'!$E$5:$H$889,4,FALSE)</f>
        <v>5995</v>
      </c>
      <c r="Q861" s="31" t="b">
        <f t="shared" si="13"/>
        <v>1</v>
      </c>
      <c r="R861" s="32">
        <v>45793</v>
      </c>
      <c r="S861" s="29">
        <v>9173</v>
      </c>
      <c r="T861" s="29" t="s">
        <v>3001</v>
      </c>
      <c r="U861" s="33" t="s">
        <v>3002</v>
      </c>
    </row>
    <row r="862" spans="1:21" ht="28.5" customHeight="1" x14ac:dyDescent="0.3">
      <c r="A862" s="27">
        <v>859</v>
      </c>
      <c r="B862" s="28">
        <v>2025</v>
      </c>
      <c r="C862" s="29" t="s">
        <v>534</v>
      </c>
      <c r="D862" s="30" t="s">
        <v>3003</v>
      </c>
      <c r="E862" s="29">
        <v>29479169</v>
      </c>
      <c r="F862" s="29">
        <v>1179694</v>
      </c>
      <c r="G862" s="30" t="s">
        <v>3004</v>
      </c>
      <c r="H862" s="29">
        <v>431</v>
      </c>
      <c r="I862" s="29">
        <v>1</v>
      </c>
      <c r="J862" s="29"/>
      <c r="K862" s="30"/>
      <c r="L862" s="29" t="s">
        <v>72</v>
      </c>
      <c r="M862" s="31">
        <v>4188</v>
      </c>
      <c r="N862" s="31">
        <v>1047</v>
      </c>
      <c r="O862" s="31">
        <v>5235</v>
      </c>
      <c r="P862" s="31">
        <f>VLOOKUP(F862,'[3]1ª PARCELA'!$E$5:$H$889,4,FALSE)</f>
        <v>5235</v>
      </c>
      <c r="Q862" s="31" t="b">
        <f t="shared" si="13"/>
        <v>1</v>
      </c>
      <c r="R862" s="32">
        <v>45800</v>
      </c>
      <c r="S862" s="29">
        <v>9563</v>
      </c>
      <c r="T862" s="29" t="s">
        <v>3005</v>
      </c>
      <c r="U862" s="33" t="s">
        <v>3006</v>
      </c>
    </row>
    <row r="863" spans="1:21" ht="28.5" customHeight="1" x14ac:dyDescent="0.3">
      <c r="A863" s="27">
        <v>860</v>
      </c>
      <c r="B863" s="28">
        <v>2025</v>
      </c>
      <c r="C863" s="29" t="s">
        <v>263</v>
      </c>
      <c r="D863" s="30" t="s">
        <v>277</v>
      </c>
      <c r="E863" s="29">
        <v>29481325</v>
      </c>
      <c r="F863" s="29">
        <v>1179704</v>
      </c>
      <c r="G863" s="30" t="s">
        <v>3007</v>
      </c>
      <c r="H863" s="29">
        <v>732</v>
      </c>
      <c r="I863" s="29">
        <v>1</v>
      </c>
      <c r="J863" s="29"/>
      <c r="K863" s="30"/>
      <c r="L863" s="29" t="s">
        <v>72</v>
      </c>
      <c r="M863" s="31">
        <v>4122.5</v>
      </c>
      <c r="N863" s="31">
        <v>4122.5</v>
      </c>
      <c r="O863" s="31">
        <v>8245</v>
      </c>
      <c r="P863" s="31">
        <f>VLOOKUP(F863,'[3]1ª PARCELA'!$E$5:$H$889,4,FALSE)</f>
        <v>8245</v>
      </c>
      <c r="Q863" s="31" t="b">
        <f t="shared" si="13"/>
        <v>1</v>
      </c>
      <c r="R863" s="32">
        <v>45967</v>
      </c>
      <c r="S863" s="29">
        <v>29630</v>
      </c>
      <c r="T863" s="29" t="s">
        <v>3008</v>
      </c>
      <c r="U863" s="33" t="s">
        <v>3009</v>
      </c>
    </row>
    <row r="864" spans="1:21" ht="28.5" customHeight="1" x14ac:dyDescent="0.3">
      <c r="A864" s="27">
        <v>861</v>
      </c>
      <c r="B864" s="28">
        <v>2025</v>
      </c>
      <c r="C864" s="29" t="s">
        <v>1906</v>
      </c>
      <c r="D864" s="30" t="s">
        <v>1985</v>
      </c>
      <c r="E864" s="29">
        <v>29482267</v>
      </c>
      <c r="F864" s="29">
        <v>1179701</v>
      </c>
      <c r="G864" s="30" t="s">
        <v>3010</v>
      </c>
      <c r="H864" s="29">
        <v>501</v>
      </c>
      <c r="I864" s="29">
        <v>1</v>
      </c>
      <c r="J864" s="29"/>
      <c r="K864" s="30"/>
      <c r="L864" s="29" t="s">
        <v>72</v>
      </c>
      <c r="M864" s="31">
        <v>2967.5</v>
      </c>
      <c r="N864" s="31">
        <v>2967.5</v>
      </c>
      <c r="O864" s="31">
        <v>5935</v>
      </c>
      <c r="P864" s="31">
        <f>VLOOKUP(F864,'[3]1ª PARCELA'!$E$5:$H$889,4,FALSE)</f>
        <v>5935</v>
      </c>
      <c r="Q864" s="31" t="b">
        <f t="shared" si="13"/>
        <v>1</v>
      </c>
      <c r="R864" s="32">
        <v>45793</v>
      </c>
      <c r="S864" s="29">
        <v>9173</v>
      </c>
      <c r="T864" s="29" t="s">
        <v>3011</v>
      </c>
      <c r="U864" s="33" t="s">
        <v>3012</v>
      </c>
    </row>
    <row r="865" spans="1:21" ht="28.5" customHeight="1" x14ac:dyDescent="0.3">
      <c r="A865" s="27">
        <v>862</v>
      </c>
      <c r="B865" s="28">
        <v>2025</v>
      </c>
      <c r="C865" s="29" t="s">
        <v>1491</v>
      </c>
      <c r="D865" s="30" t="s">
        <v>1511</v>
      </c>
      <c r="E865" s="29">
        <v>29483395</v>
      </c>
      <c r="F865" s="29">
        <v>1179717</v>
      </c>
      <c r="G865" s="30" t="s">
        <v>2853</v>
      </c>
      <c r="H865" s="29">
        <v>530</v>
      </c>
      <c r="I865" s="29">
        <v>1</v>
      </c>
      <c r="J865" s="29"/>
      <c r="K865" s="30"/>
      <c r="L865" s="29" t="s">
        <v>72</v>
      </c>
      <c r="M865" s="31">
        <v>4980</v>
      </c>
      <c r="N865" s="31">
        <v>1245</v>
      </c>
      <c r="O865" s="31">
        <v>6225</v>
      </c>
      <c r="P865" s="31">
        <f>VLOOKUP(F865,'[3]1ª PARCELA'!$E$5:$H$889,4,FALSE)</f>
        <v>6225</v>
      </c>
      <c r="Q865" s="31" t="b">
        <f t="shared" si="13"/>
        <v>1</v>
      </c>
      <c r="R865" s="32">
        <v>45833</v>
      </c>
      <c r="S865" s="29">
        <v>13120</v>
      </c>
      <c r="T865" s="29" t="s">
        <v>3013</v>
      </c>
      <c r="U865" s="33" t="s">
        <v>3014</v>
      </c>
    </row>
    <row r="866" spans="1:21" ht="28.5" customHeight="1" x14ac:dyDescent="0.3">
      <c r="A866" s="27">
        <v>863</v>
      </c>
      <c r="B866" s="28">
        <v>2025</v>
      </c>
      <c r="C866" s="29" t="s">
        <v>375</v>
      </c>
      <c r="D866" s="30" t="s">
        <v>2958</v>
      </c>
      <c r="E866" s="29">
        <v>29483891</v>
      </c>
      <c r="F866" s="29">
        <v>1179708</v>
      </c>
      <c r="G866" s="30" t="s">
        <v>3015</v>
      </c>
      <c r="H866" s="29">
        <v>214</v>
      </c>
      <c r="I866" s="29">
        <v>1</v>
      </c>
      <c r="J866" s="29"/>
      <c r="K866" s="30"/>
      <c r="L866" s="29" t="s">
        <v>72</v>
      </c>
      <c r="M866" s="31">
        <v>2457.5</v>
      </c>
      <c r="N866" s="31">
        <v>2457.5</v>
      </c>
      <c r="O866" s="31">
        <v>4915</v>
      </c>
      <c r="P866" s="31">
        <f>VLOOKUP(F866,'[3]1ª PARCELA'!$E$5:$H$889,4,FALSE)</f>
        <v>4915</v>
      </c>
      <c r="Q866" s="31" t="b">
        <f t="shared" si="13"/>
        <v>1</v>
      </c>
      <c r="R866" s="32">
        <v>45793</v>
      </c>
      <c r="S866" s="29">
        <v>9173</v>
      </c>
      <c r="T866" s="29" t="s">
        <v>3016</v>
      </c>
      <c r="U866" s="33" t="s">
        <v>3017</v>
      </c>
    </row>
    <row r="867" spans="1:21" ht="28.5" customHeight="1" x14ac:dyDescent="0.3">
      <c r="A867" s="27">
        <v>864</v>
      </c>
      <c r="B867" s="28">
        <v>2025</v>
      </c>
      <c r="C867" s="29" t="s">
        <v>168</v>
      </c>
      <c r="D867" s="30" t="s">
        <v>2996</v>
      </c>
      <c r="E867" s="29">
        <v>29485100</v>
      </c>
      <c r="F867" s="29">
        <v>1179712</v>
      </c>
      <c r="G867" s="30" t="s">
        <v>3018</v>
      </c>
      <c r="H867" s="29">
        <v>391</v>
      </c>
      <c r="I867" s="29">
        <v>1</v>
      </c>
      <c r="J867" s="29"/>
      <c r="K867" s="30"/>
      <c r="L867" s="29" t="s">
        <v>72</v>
      </c>
      <c r="M867" s="31">
        <v>5348</v>
      </c>
      <c r="N867" s="31">
        <v>1337</v>
      </c>
      <c r="O867" s="31">
        <v>6685</v>
      </c>
      <c r="P867" s="31">
        <f>VLOOKUP(F867,'[3]1ª PARCELA'!$E$5:$H$889,4,FALSE)</f>
        <v>6685</v>
      </c>
      <c r="Q867" s="31" t="b">
        <f t="shared" si="13"/>
        <v>1</v>
      </c>
      <c r="R867" s="32">
        <v>45793</v>
      </c>
      <c r="S867" s="29">
        <v>9173</v>
      </c>
      <c r="T867" s="29" t="s">
        <v>3019</v>
      </c>
      <c r="U867" s="33" t="s">
        <v>3020</v>
      </c>
    </row>
    <row r="868" spans="1:21" ht="28.5" customHeight="1" x14ac:dyDescent="0.3">
      <c r="A868" s="27">
        <v>865</v>
      </c>
      <c r="B868" s="28">
        <v>2025</v>
      </c>
      <c r="C868" s="29" t="s">
        <v>407</v>
      </c>
      <c r="D868" s="30" t="s">
        <v>421</v>
      </c>
      <c r="E868" s="29">
        <v>29486327</v>
      </c>
      <c r="F868" s="29">
        <v>1179765</v>
      </c>
      <c r="G868" s="30" t="s">
        <v>3021</v>
      </c>
      <c r="H868" s="29">
        <v>226</v>
      </c>
      <c r="I868" s="29">
        <v>1</v>
      </c>
      <c r="J868" s="29"/>
      <c r="K868" s="30"/>
      <c r="L868" s="29" t="s">
        <v>72</v>
      </c>
      <c r="M868" s="31">
        <v>2548</v>
      </c>
      <c r="N868" s="31">
        <v>637</v>
      </c>
      <c r="O868" s="31">
        <v>3185</v>
      </c>
      <c r="P868" s="31">
        <f>VLOOKUP(F868,'[3]1ª PARCELA'!$E$5:$H$889,4,FALSE)</f>
        <v>3185</v>
      </c>
      <c r="Q868" s="31" t="b">
        <f t="shared" si="13"/>
        <v>1</v>
      </c>
      <c r="R868" s="32">
        <v>45895</v>
      </c>
      <c r="S868" s="29">
        <v>19863</v>
      </c>
      <c r="T868" s="29" t="s">
        <v>3022</v>
      </c>
      <c r="U868" s="33" t="s">
        <v>3023</v>
      </c>
    </row>
    <row r="869" spans="1:21" ht="28.5" customHeight="1" x14ac:dyDescent="0.3">
      <c r="A869" s="27">
        <v>866</v>
      </c>
      <c r="B869" s="28">
        <v>2025</v>
      </c>
      <c r="C869" s="29" t="s">
        <v>263</v>
      </c>
      <c r="D869" s="30" t="s">
        <v>2622</v>
      </c>
      <c r="E869" s="29">
        <v>29487110</v>
      </c>
      <c r="F869" s="29">
        <v>1179772</v>
      </c>
      <c r="G869" s="30" t="s">
        <v>3024</v>
      </c>
      <c r="H869" s="29">
        <v>210</v>
      </c>
      <c r="I869" s="29">
        <v>1</v>
      </c>
      <c r="J869" s="29"/>
      <c r="K869" s="30"/>
      <c r="L869" s="29" t="s">
        <v>72</v>
      </c>
      <c r="M869" s="31">
        <v>3900</v>
      </c>
      <c r="N869" s="31">
        <v>975</v>
      </c>
      <c r="O869" s="31">
        <v>4875</v>
      </c>
      <c r="P869" s="31">
        <f>VLOOKUP(F869,'[3]1ª PARCELA'!$E$5:$H$889,4,FALSE)</f>
        <v>4875</v>
      </c>
      <c r="Q869" s="31" t="b">
        <f t="shared" si="13"/>
        <v>1</v>
      </c>
      <c r="R869" s="32">
        <v>45833</v>
      </c>
      <c r="S869" s="29">
        <v>13120</v>
      </c>
      <c r="T869" s="29" t="s">
        <v>3025</v>
      </c>
      <c r="U869" s="33" t="s">
        <v>3026</v>
      </c>
    </row>
    <row r="870" spans="1:21" ht="28.5" customHeight="1" x14ac:dyDescent="0.3">
      <c r="A870" s="27">
        <v>867</v>
      </c>
      <c r="B870" s="28">
        <v>2025</v>
      </c>
      <c r="C870" s="29" t="s">
        <v>69</v>
      </c>
      <c r="D870" s="30" t="s">
        <v>2207</v>
      </c>
      <c r="E870" s="29">
        <v>29526809</v>
      </c>
      <c r="F870" s="29">
        <v>1178288</v>
      </c>
      <c r="G870" s="30" t="s">
        <v>3027</v>
      </c>
      <c r="H870" s="29">
        <v>400</v>
      </c>
      <c r="I870" s="29">
        <v>1</v>
      </c>
      <c r="J870" s="29"/>
      <c r="K870" s="30"/>
      <c r="L870" s="29" t="s">
        <v>72</v>
      </c>
      <c r="M870" s="31">
        <v>5420</v>
      </c>
      <c r="N870" s="31">
        <v>1355</v>
      </c>
      <c r="O870" s="31">
        <v>6775</v>
      </c>
      <c r="P870" s="31">
        <f>VLOOKUP(F870,'[3]1ª PARCELA'!$E$5:$H$889,4,FALSE)</f>
        <v>6775</v>
      </c>
      <c r="Q870" s="31" t="b">
        <f t="shared" si="13"/>
        <v>1</v>
      </c>
      <c r="R870" s="32">
        <v>45793</v>
      </c>
      <c r="S870" s="29">
        <v>9173</v>
      </c>
      <c r="T870" s="29" t="s">
        <v>3028</v>
      </c>
      <c r="U870" s="33" t="s">
        <v>3029</v>
      </c>
    </row>
    <row r="871" spans="1:21" ht="28.5" customHeight="1" x14ac:dyDescent="0.3">
      <c r="A871" s="27">
        <v>868</v>
      </c>
      <c r="B871" s="28">
        <v>2025</v>
      </c>
      <c r="C871" s="29" t="s">
        <v>168</v>
      </c>
      <c r="D871" s="30" t="s">
        <v>3030</v>
      </c>
      <c r="E871" s="29">
        <v>29535808</v>
      </c>
      <c r="F871" s="29">
        <v>1178278</v>
      </c>
      <c r="G871" s="30" t="s">
        <v>3031</v>
      </c>
      <c r="H871" s="29">
        <v>603</v>
      </c>
      <c r="I871" s="29">
        <v>1</v>
      </c>
      <c r="J871" s="29"/>
      <c r="K871" s="30"/>
      <c r="L871" s="29" t="s">
        <v>72</v>
      </c>
      <c r="M871" s="31">
        <v>5564</v>
      </c>
      <c r="N871" s="31">
        <v>1391</v>
      </c>
      <c r="O871" s="31">
        <v>6955</v>
      </c>
      <c r="P871" s="31">
        <f>VLOOKUP(F871,'[3]1ª PARCELA'!$E$5:$H$889,4,FALSE)</f>
        <v>6955</v>
      </c>
      <c r="Q871" s="31" t="b">
        <f t="shared" si="13"/>
        <v>1</v>
      </c>
      <c r="R871" s="32">
        <v>45954</v>
      </c>
      <c r="S871" s="29">
        <v>28607</v>
      </c>
      <c r="T871" s="29" t="s">
        <v>3032</v>
      </c>
      <c r="U871" s="33" t="s">
        <v>3033</v>
      </c>
    </row>
    <row r="872" spans="1:21" ht="28.5" customHeight="1" x14ac:dyDescent="0.3">
      <c r="A872" s="27">
        <v>869</v>
      </c>
      <c r="B872" s="28">
        <v>2025</v>
      </c>
      <c r="C872" s="29" t="s">
        <v>1719</v>
      </c>
      <c r="D872" s="30" t="s">
        <v>3034</v>
      </c>
      <c r="E872" s="29">
        <v>29535816</v>
      </c>
      <c r="F872" s="29">
        <v>1178271</v>
      </c>
      <c r="G872" s="30" t="s">
        <v>3035</v>
      </c>
      <c r="H872" s="29">
        <v>300</v>
      </c>
      <c r="I872" s="29">
        <v>1</v>
      </c>
      <c r="J872" s="29"/>
      <c r="K872" s="30"/>
      <c r="L872" s="29" t="s">
        <v>72</v>
      </c>
      <c r="M872" s="31">
        <v>392.5</v>
      </c>
      <c r="N872" s="31">
        <v>3532.5</v>
      </c>
      <c r="O872" s="31">
        <v>3925</v>
      </c>
      <c r="P872" s="31">
        <f>VLOOKUP(F872,'[3]1ª PARCELA'!$E$5:$H$889,4,FALSE)</f>
        <v>3925</v>
      </c>
      <c r="Q872" s="31" t="b">
        <f t="shared" si="13"/>
        <v>1</v>
      </c>
      <c r="R872" s="32">
        <v>45793</v>
      </c>
      <c r="S872" s="29">
        <v>9173</v>
      </c>
      <c r="T872" s="29" t="s">
        <v>3036</v>
      </c>
      <c r="U872" s="33" t="s">
        <v>3037</v>
      </c>
    </row>
    <row r="873" spans="1:21" ht="28.5" customHeight="1" x14ac:dyDescent="0.3">
      <c r="A873" s="27">
        <v>870</v>
      </c>
      <c r="B873" s="28">
        <v>2025</v>
      </c>
      <c r="C873" s="29" t="s">
        <v>272</v>
      </c>
      <c r="D873" s="30" t="s">
        <v>391</v>
      </c>
      <c r="E873" s="29">
        <v>29536200</v>
      </c>
      <c r="F873" s="29">
        <v>1178257</v>
      </c>
      <c r="G873" s="30" t="s">
        <v>3038</v>
      </c>
      <c r="H873" s="29">
        <v>440</v>
      </c>
      <c r="I873" s="29">
        <v>1</v>
      </c>
      <c r="J873" s="29"/>
      <c r="K873" s="30"/>
      <c r="L873" s="29" t="s">
        <v>72</v>
      </c>
      <c r="M873" s="31">
        <v>5022.5</v>
      </c>
      <c r="N873" s="31">
        <v>2152.5</v>
      </c>
      <c r="O873" s="31">
        <v>7175</v>
      </c>
      <c r="P873" s="31">
        <f>VLOOKUP(F873,'[3]1ª PARCELA'!$E$5:$H$889,4,FALSE)</f>
        <v>7175</v>
      </c>
      <c r="Q873" s="31" t="b">
        <f t="shared" si="13"/>
        <v>1</v>
      </c>
      <c r="R873" s="32">
        <v>45793</v>
      </c>
      <c r="S873" s="29">
        <v>9173</v>
      </c>
      <c r="T873" s="29" t="s">
        <v>3039</v>
      </c>
      <c r="U873" s="33" t="s">
        <v>3040</v>
      </c>
    </row>
    <row r="874" spans="1:21" ht="28.5" customHeight="1" x14ac:dyDescent="0.3">
      <c r="A874" s="27">
        <v>871</v>
      </c>
      <c r="B874" s="28">
        <v>2025</v>
      </c>
      <c r="C874" s="29" t="s">
        <v>461</v>
      </c>
      <c r="D874" s="30" t="s">
        <v>3041</v>
      </c>
      <c r="E874" s="29">
        <v>29581605</v>
      </c>
      <c r="F874" s="29">
        <v>1178268</v>
      </c>
      <c r="G874" s="30" t="s">
        <v>3042</v>
      </c>
      <c r="H874" s="29">
        <v>957</v>
      </c>
      <c r="I874" s="29">
        <v>1</v>
      </c>
      <c r="J874" s="29"/>
      <c r="K874" s="30"/>
      <c r="L874" s="29" t="s">
        <v>72</v>
      </c>
      <c r="M874" s="31">
        <v>8396</v>
      </c>
      <c r="N874" s="31">
        <v>2099</v>
      </c>
      <c r="O874" s="31">
        <v>10495</v>
      </c>
      <c r="P874" s="31">
        <f>VLOOKUP(F874,'[3]1ª PARCELA'!$E$5:$H$889,4,FALSE)</f>
        <v>10495</v>
      </c>
      <c r="Q874" s="31" t="b">
        <f t="shared" si="13"/>
        <v>1</v>
      </c>
      <c r="R874" s="32">
        <v>45793</v>
      </c>
      <c r="S874" s="29">
        <v>9173</v>
      </c>
      <c r="T874" s="29" t="s">
        <v>3043</v>
      </c>
      <c r="U874" s="33" t="s">
        <v>3044</v>
      </c>
    </row>
    <row r="875" spans="1:21" ht="28.5" customHeight="1" x14ac:dyDescent="0.3">
      <c r="A875" s="27">
        <v>872</v>
      </c>
      <c r="B875" s="28">
        <v>2025</v>
      </c>
      <c r="C875" s="29" t="s">
        <v>701</v>
      </c>
      <c r="D875" s="30" t="s">
        <v>757</v>
      </c>
      <c r="E875" s="29">
        <v>29599601</v>
      </c>
      <c r="F875" s="29">
        <v>1178319</v>
      </c>
      <c r="G875" s="30" t="s">
        <v>3045</v>
      </c>
      <c r="H875" s="29">
        <v>503</v>
      </c>
      <c r="I875" s="29">
        <v>1</v>
      </c>
      <c r="J875" s="29"/>
      <c r="K875" s="30"/>
      <c r="L875" s="29" t="s">
        <v>72</v>
      </c>
      <c r="M875" s="31">
        <v>4683</v>
      </c>
      <c r="N875" s="31">
        <v>3122</v>
      </c>
      <c r="O875" s="31">
        <v>7805</v>
      </c>
      <c r="P875" s="31">
        <f>VLOOKUP(F875,'[3]1ª PARCELA'!$E$5:$H$889,4,FALSE)</f>
        <v>7805</v>
      </c>
      <c r="Q875" s="31" t="b">
        <f t="shared" si="13"/>
        <v>1</v>
      </c>
      <c r="R875" s="32">
        <v>45793</v>
      </c>
      <c r="S875" s="29">
        <v>9173</v>
      </c>
      <c r="T875" s="29" t="s">
        <v>3046</v>
      </c>
      <c r="U875" s="33" t="s">
        <v>3047</v>
      </c>
    </row>
    <row r="876" spans="1:21" ht="28.5" customHeight="1" x14ac:dyDescent="0.3">
      <c r="A876" s="27">
        <v>873</v>
      </c>
      <c r="B876" s="28">
        <v>2025</v>
      </c>
      <c r="C876" s="29" t="s">
        <v>2101</v>
      </c>
      <c r="D876" s="30" t="s">
        <v>2143</v>
      </c>
      <c r="E876" s="29">
        <v>29628610</v>
      </c>
      <c r="F876" s="29">
        <v>1113579</v>
      </c>
      <c r="G876" s="30" t="s">
        <v>2074</v>
      </c>
      <c r="H876" s="29">
        <v>478</v>
      </c>
      <c r="I876" s="29">
        <v>1</v>
      </c>
      <c r="J876" s="29"/>
      <c r="K876" s="30"/>
      <c r="L876" s="29" t="s">
        <v>72</v>
      </c>
      <c r="M876" s="31">
        <v>3423</v>
      </c>
      <c r="N876" s="31">
        <v>2282</v>
      </c>
      <c r="O876" s="31">
        <v>5705</v>
      </c>
      <c r="P876" s="31">
        <f>VLOOKUP(F876,'[3]1ª PARCELA'!$E$5:$H$889,4,FALSE)</f>
        <v>5705</v>
      </c>
      <c r="Q876" s="31" t="b">
        <f t="shared" si="13"/>
        <v>1</v>
      </c>
      <c r="R876" s="32">
        <v>45796</v>
      </c>
      <c r="S876" s="29">
        <v>9288</v>
      </c>
      <c r="T876" s="29" t="s">
        <v>3048</v>
      </c>
      <c r="U876" s="33" t="s">
        <v>3049</v>
      </c>
    </row>
    <row r="877" spans="1:21" ht="28.5" customHeight="1" x14ac:dyDescent="0.3">
      <c r="A877" s="27">
        <v>874</v>
      </c>
      <c r="B877" s="28">
        <v>2025</v>
      </c>
      <c r="C877" s="29" t="s">
        <v>223</v>
      </c>
      <c r="D877" s="30" t="s">
        <v>235</v>
      </c>
      <c r="E877" s="29">
        <v>29739624</v>
      </c>
      <c r="F877" s="29">
        <v>1179479</v>
      </c>
      <c r="G877" s="30" t="s">
        <v>3050</v>
      </c>
      <c r="H877" s="29">
        <v>58</v>
      </c>
      <c r="I877" s="29">
        <v>1</v>
      </c>
      <c r="J877" s="29"/>
      <c r="K877" s="30"/>
      <c r="L877" s="29" t="s">
        <v>72</v>
      </c>
      <c r="M877" s="31">
        <v>2013</v>
      </c>
      <c r="N877" s="31">
        <v>1342</v>
      </c>
      <c r="O877" s="31">
        <v>3355</v>
      </c>
      <c r="P877" s="31">
        <f>VLOOKUP(F877,'[3]1ª PARCELA'!$E$5:$H$889,4,FALSE)</f>
        <v>3355</v>
      </c>
      <c r="Q877" s="31" t="b">
        <f t="shared" si="13"/>
        <v>1</v>
      </c>
      <c r="R877" s="32">
        <v>45793</v>
      </c>
      <c r="S877" s="29">
        <v>9173</v>
      </c>
      <c r="T877" s="29" t="s">
        <v>3051</v>
      </c>
      <c r="U877" s="33" t="s">
        <v>3052</v>
      </c>
    </row>
    <row r="878" spans="1:21" ht="28.5" customHeight="1" x14ac:dyDescent="0.3">
      <c r="A878" s="27">
        <v>875</v>
      </c>
      <c r="B878" s="28">
        <v>2025</v>
      </c>
      <c r="C878" s="29" t="s">
        <v>961</v>
      </c>
      <c r="D878" s="30" t="s">
        <v>1092</v>
      </c>
      <c r="E878" s="29">
        <v>29842727</v>
      </c>
      <c r="F878" s="29">
        <v>1178325</v>
      </c>
      <c r="G878" s="30" t="s">
        <v>3053</v>
      </c>
      <c r="H878" s="29">
        <v>2319</v>
      </c>
      <c r="I878" s="29">
        <v>1</v>
      </c>
      <c r="J878" s="29"/>
      <c r="K878" s="30"/>
      <c r="L878" s="29" t="s">
        <v>72</v>
      </c>
      <c r="M878" s="31">
        <v>15579</v>
      </c>
      <c r="N878" s="31">
        <v>10386</v>
      </c>
      <c r="O878" s="31">
        <v>25965</v>
      </c>
      <c r="P878" s="31">
        <f>VLOOKUP(F878,'[3]1ª PARCELA'!$E$5:$H$889,4,FALSE)</f>
        <v>25965</v>
      </c>
      <c r="Q878" s="31" t="b">
        <f t="shared" si="13"/>
        <v>1</v>
      </c>
      <c r="R878" s="32">
        <v>45833</v>
      </c>
      <c r="S878" s="29">
        <v>13120</v>
      </c>
      <c r="T878" s="29" t="s">
        <v>3054</v>
      </c>
      <c r="U878" s="33" t="s">
        <v>3055</v>
      </c>
    </row>
    <row r="879" spans="1:21" ht="28.5" customHeight="1" x14ac:dyDescent="0.3">
      <c r="A879" s="27">
        <v>876</v>
      </c>
      <c r="B879" s="28">
        <v>2025</v>
      </c>
      <c r="C879" s="29" t="s">
        <v>655</v>
      </c>
      <c r="D879" s="30" t="s">
        <v>777</v>
      </c>
      <c r="E879" s="29">
        <v>29848873</v>
      </c>
      <c r="F879" s="29">
        <v>1178259</v>
      </c>
      <c r="G879" s="30" t="s">
        <v>3056</v>
      </c>
      <c r="H879" s="29">
        <v>276</v>
      </c>
      <c r="I879" s="29">
        <v>1</v>
      </c>
      <c r="J879" s="29"/>
      <c r="K879" s="30"/>
      <c r="L879" s="29" t="s">
        <v>72</v>
      </c>
      <c r="M879" s="31">
        <v>3321</v>
      </c>
      <c r="N879" s="31">
        <v>2214</v>
      </c>
      <c r="O879" s="31">
        <v>5535</v>
      </c>
      <c r="P879" s="31">
        <f>VLOOKUP(F879,'[3]1ª PARCELA'!$E$5:$H$889,4,FALSE)</f>
        <v>5535</v>
      </c>
      <c r="Q879" s="31" t="b">
        <f t="shared" si="13"/>
        <v>1</v>
      </c>
      <c r="R879" s="32">
        <v>45926</v>
      </c>
      <c r="S879" s="29">
        <v>24529</v>
      </c>
      <c r="T879" s="29" t="s">
        <v>3057</v>
      </c>
      <c r="U879" s="33" t="s">
        <v>3058</v>
      </c>
    </row>
    <row r="880" spans="1:21" ht="28.5" customHeight="1" x14ac:dyDescent="0.3">
      <c r="A880" s="27">
        <v>877</v>
      </c>
      <c r="B880" s="28">
        <v>2025</v>
      </c>
      <c r="C880" s="29" t="s">
        <v>701</v>
      </c>
      <c r="D880" s="30" t="s">
        <v>3059</v>
      </c>
      <c r="E880" s="29">
        <v>29850843</v>
      </c>
      <c r="F880" s="29">
        <v>1178322</v>
      </c>
      <c r="G880" s="30" t="s">
        <v>3060</v>
      </c>
      <c r="H880" s="29">
        <v>910</v>
      </c>
      <c r="I880" s="29">
        <v>1</v>
      </c>
      <c r="J880" s="29"/>
      <c r="K880" s="30"/>
      <c r="L880" s="29" t="s">
        <v>72</v>
      </c>
      <c r="M880" s="31">
        <v>7017.5</v>
      </c>
      <c r="N880" s="31">
        <v>3007.5</v>
      </c>
      <c r="O880" s="31">
        <v>10025</v>
      </c>
      <c r="P880" s="31">
        <f>VLOOKUP(F880,'[3]1ª PARCELA'!$E$5:$H$889,4,FALSE)</f>
        <v>10025</v>
      </c>
      <c r="Q880" s="31" t="b">
        <f t="shared" si="13"/>
        <v>1</v>
      </c>
      <c r="R880" s="32">
        <v>45805</v>
      </c>
      <c r="S880" s="29">
        <v>9678</v>
      </c>
      <c r="T880" s="29" t="s">
        <v>3061</v>
      </c>
      <c r="U880" s="33" t="s">
        <v>3062</v>
      </c>
    </row>
    <row r="881" spans="1:21" ht="28.5" customHeight="1" x14ac:dyDescent="0.3">
      <c r="A881" s="27">
        <v>878</v>
      </c>
      <c r="B881" s="28">
        <v>2025</v>
      </c>
      <c r="C881" s="29" t="s">
        <v>961</v>
      </c>
      <c r="D881" s="30" t="s">
        <v>1480</v>
      </c>
      <c r="E881" s="29">
        <v>29862728</v>
      </c>
      <c r="F881" s="29">
        <v>1178430</v>
      </c>
      <c r="G881" s="30" t="s">
        <v>3063</v>
      </c>
      <c r="H881" s="29">
        <v>293</v>
      </c>
      <c r="I881" s="29">
        <v>1</v>
      </c>
      <c r="J881" s="29"/>
      <c r="K881" s="30"/>
      <c r="L881" s="29" t="s">
        <v>72</v>
      </c>
      <c r="M881" s="31">
        <v>3084</v>
      </c>
      <c r="N881" s="31">
        <v>771</v>
      </c>
      <c r="O881" s="31">
        <v>3855</v>
      </c>
      <c r="P881" s="31">
        <f>VLOOKUP(F881,'[3]1ª PARCELA'!$E$5:$H$889,4,FALSE)</f>
        <v>3855</v>
      </c>
      <c r="Q881" s="31" t="b">
        <f t="shared" si="13"/>
        <v>1</v>
      </c>
      <c r="R881" s="32">
        <v>45895</v>
      </c>
      <c r="S881" s="29">
        <v>19863</v>
      </c>
      <c r="T881" s="29" t="s">
        <v>3064</v>
      </c>
      <c r="U881" s="33" t="s">
        <v>3065</v>
      </c>
    </row>
    <row r="882" spans="1:21" ht="28.5" customHeight="1" x14ac:dyDescent="0.3">
      <c r="A882" s="27">
        <v>879</v>
      </c>
      <c r="B882" s="28">
        <v>2025</v>
      </c>
      <c r="C882" s="29" t="s">
        <v>263</v>
      </c>
      <c r="D882" s="30" t="s">
        <v>264</v>
      </c>
      <c r="E882" s="29">
        <v>29863724</v>
      </c>
      <c r="F882" s="29">
        <v>1178324</v>
      </c>
      <c r="G882" s="30" t="s">
        <v>3066</v>
      </c>
      <c r="H882" s="29">
        <v>263</v>
      </c>
      <c r="I882" s="29">
        <v>1</v>
      </c>
      <c r="J882" s="29"/>
      <c r="K882" s="30"/>
      <c r="L882" s="29" t="s">
        <v>72</v>
      </c>
      <c r="M882" s="31">
        <v>2844</v>
      </c>
      <c r="N882" s="31">
        <v>711</v>
      </c>
      <c r="O882" s="31">
        <v>3555</v>
      </c>
      <c r="P882" s="31">
        <f>VLOOKUP(F882,'[3]1ª PARCELA'!$E$5:$H$889,4,FALSE)</f>
        <v>3555</v>
      </c>
      <c r="Q882" s="31" t="b">
        <f t="shared" si="13"/>
        <v>1</v>
      </c>
      <c r="R882" s="32">
        <v>45793</v>
      </c>
      <c r="S882" s="29">
        <v>9173</v>
      </c>
      <c r="T882" s="29" t="s">
        <v>3067</v>
      </c>
      <c r="U882" s="33" t="s">
        <v>3068</v>
      </c>
    </row>
    <row r="883" spans="1:21" ht="28.5" customHeight="1" x14ac:dyDescent="0.3">
      <c r="A883" s="27">
        <v>880</v>
      </c>
      <c r="B883" s="28">
        <v>2025</v>
      </c>
      <c r="C883" s="29" t="s">
        <v>1906</v>
      </c>
      <c r="D883" s="30" t="s">
        <v>3069</v>
      </c>
      <c r="E883" s="29">
        <v>29886732</v>
      </c>
      <c r="F883" s="29">
        <v>1178142</v>
      </c>
      <c r="G883" s="30" t="s">
        <v>3070</v>
      </c>
      <c r="H883" s="29">
        <v>284</v>
      </c>
      <c r="I883" s="29">
        <v>1</v>
      </c>
      <c r="J883" s="29"/>
      <c r="K883" s="30"/>
      <c r="L883" s="29" t="s">
        <v>72</v>
      </c>
      <c r="M883" s="31">
        <v>4492</v>
      </c>
      <c r="N883" s="31">
        <v>1123</v>
      </c>
      <c r="O883" s="31">
        <v>5615</v>
      </c>
      <c r="P883" s="31">
        <f>VLOOKUP(F883,'[3]1ª PARCELA'!$E$5:$H$889,4,FALSE)</f>
        <v>5615</v>
      </c>
      <c r="Q883" s="31" t="b">
        <f t="shared" si="13"/>
        <v>1</v>
      </c>
      <c r="R883" s="32">
        <v>45805</v>
      </c>
      <c r="S883" s="29">
        <v>9678</v>
      </c>
      <c r="T883" s="29" t="s">
        <v>3071</v>
      </c>
      <c r="U883" s="33" t="s">
        <v>3072</v>
      </c>
    </row>
    <row r="884" spans="1:21" ht="28.5" customHeight="1" x14ac:dyDescent="0.3">
      <c r="A884" s="27">
        <v>881</v>
      </c>
      <c r="B884" s="28">
        <v>2025</v>
      </c>
      <c r="C884" s="29" t="s">
        <v>718</v>
      </c>
      <c r="D884" s="30" t="s">
        <v>872</v>
      </c>
      <c r="E884" s="29">
        <v>29915783</v>
      </c>
      <c r="F884" s="29">
        <v>1178275</v>
      </c>
      <c r="G884" s="30" t="s">
        <v>3073</v>
      </c>
      <c r="H884" s="29">
        <v>88</v>
      </c>
      <c r="I884" s="29">
        <v>1</v>
      </c>
      <c r="J884" s="29"/>
      <c r="K884" s="30"/>
      <c r="L884" s="29" t="s">
        <v>72</v>
      </c>
      <c r="M884" s="31">
        <v>2924</v>
      </c>
      <c r="N884" s="31">
        <v>731</v>
      </c>
      <c r="O884" s="31">
        <v>3655</v>
      </c>
      <c r="P884" s="31">
        <f>VLOOKUP(F884,'[3]1ª PARCELA'!$E$5:$H$889,4,FALSE)</f>
        <v>3655</v>
      </c>
      <c r="Q884" s="31" t="b">
        <f t="shared" si="13"/>
        <v>1</v>
      </c>
      <c r="R884" s="32">
        <v>45849</v>
      </c>
      <c r="S884" s="29">
        <v>15915</v>
      </c>
      <c r="T884" s="29" t="s">
        <v>3074</v>
      </c>
      <c r="U884" s="33" t="s">
        <v>3075</v>
      </c>
    </row>
    <row r="885" spans="1:21" ht="28.5" customHeight="1" x14ac:dyDescent="0.3">
      <c r="A885" s="27">
        <v>882</v>
      </c>
      <c r="B885" s="28">
        <v>2025</v>
      </c>
      <c r="C885" s="29" t="s">
        <v>461</v>
      </c>
      <c r="D885" s="30" t="s">
        <v>3076</v>
      </c>
      <c r="E885" s="29">
        <v>29980720</v>
      </c>
      <c r="F885" s="29">
        <v>1178398</v>
      </c>
      <c r="G885" s="30" t="s">
        <v>3077</v>
      </c>
      <c r="H885" s="29">
        <v>730</v>
      </c>
      <c r="I885" s="29">
        <v>1</v>
      </c>
      <c r="J885" s="29"/>
      <c r="K885" s="30"/>
      <c r="L885" s="29" t="s">
        <v>72</v>
      </c>
      <c r="M885" s="31">
        <v>6580</v>
      </c>
      <c r="N885" s="31">
        <v>1645</v>
      </c>
      <c r="O885" s="31">
        <v>8225</v>
      </c>
      <c r="P885" s="31">
        <f>VLOOKUP(F885,'[3]1ª PARCELA'!$E$5:$H$889,4,FALSE)</f>
        <v>8225</v>
      </c>
      <c r="Q885" s="31" t="b">
        <f t="shared" si="13"/>
        <v>1</v>
      </c>
      <c r="R885" s="32">
        <v>45833</v>
      </c>
      <c r="S885" s="29">
        <v>13120</v>
      </c>
      <c r="T885" s="29" t="s">
        <v>3078</v>
      </c>
      <c r="U885" s="33" t="s">
        <v>3079</v>
      </c>
    </row>
    <row r="886" spans="1:21" ht="28.5" customHeight="1" x14ac:dyDescent="0.3">
      <c r="A886" s="27">
        <v>883</v>
      </c>
      <c r="B886" s="28">
        <v>2025</v>
      </c>
      <c r="C886" s="29" t="s">
        <v>973</v>
      </c>
      <c r="D886" s="30" t="s">
        <v>1043</v>
      </c>
      <c r="E886" s="29">
        <v>29981760</v>
      </c>
      <c r="F886" s="29">
        <v>1178265</v>
      </c>
      <c r="G886" s="30" t="s">
        <v>3080</v>
      </c>
      <c r="H886" s="29">
        <v>131</v>
      </c>
      <c r="I886" s="29">
        <v>1</v>
      </c>
      <c r="J886" s="29"/>
      <c r="K886" s="30"/>
      <c r="L886" s="29" t="s">
        <v>72</v>
      </c>
      <c r="M886" s="31">
        <v>2859.5</v>
      </c>
      <c r="N886" s="31">
        <v>1225.5</v>
      </c>
      <c r="O886" s="31">
        <v>4085</v>
      </c>
      <c r="P886" s="31">
        <f>VLOOKUP(F886,'[3]1ª PARCELA'!$E$5:$H$889,4,FALSE)</f>
        <v>4085</v>
      </c>
      <c r="Q886" s="31" t="b">
        <f t="shared" si="13"/>
        <v>1</v>
      </c>
      <c r="R886" s="32">
        <v>45793</v>
      </c>
      <c r="S886" s="29">
        <v>9173</v>
      </c>
      <c r="T886" s="29" t="s">
        <v>3081</v>
      </c>
      <c r="U886" s="33" t="s">
        <v>3082</v>
      </c>
    </row>
    <row r="887" spans="1:21" ht="28.5" customHeight="1" x14ac:dyDescent="0.3">
      <c r="A887" s="27">
        <v>884</v>
      </c>
      <c r="B887" s="28">
        <v>2025</v>
      </c>
      <c r="C887" s="29" t="s">
        <v>961</v>
      </c>
      <c r="D887" s="30" t="s">
        <v>1053</v>
      </c>
      <c r="E887" s="29">
        <v>29982758</v>
      </c>
      <c r="F887" s="29">
        <v>1178400</v>
      </c>
      <c r="G887" s="30" t="s">
        <v>3083</v>
      </c>
      <c r="H887" s="29">
        <v>1815</v>
      </c>
      <c r="I887" s="29">
        <v>1</v>
      </c>
      <c r="J887" s="29"/>
      <c r="K887" s="30"/>
      <c r="L887" s="29" t="s">
        <v>72</v>
      </c>
      <c r="M887" s="31">
        <v>15260</v>
      </c>
      <c r="N887" s="31">
        <v>3815</v>
      </c>
      <c r="O887" s="31">
        <v>19075</v>
      </c>
      <c r="P887" s="31">
        <f>VLOOKUP(F887,'[3]1ª PARCELA'!$E$5:$H$889,4,FALSE)</f>
        <v>19075</v>
      </c>
      <c r="Q887" s="31" t="b">
        <f t="shared" si="13"/>
        <v>1</v>
      </c>
      <c r="R887" s="32">
        <v>45947</v>
      </c>
      <c r="S887" s="29">
        <v>27225</v>
      </c>
      <c r="T887" s="29" t="s">
        <v>3084</v>
      </c>
      <c r="U887" s="33" t="s">
        <v>3085</v>
      </c>
    </row>
    <row r="888" spans="1:21" ht="28.5" customHeight="1" x14ac:dyDescent="0.3">
      <c r="A888" s="34">
        <v>885</v>
      </c>
      <c r="B888" s="35">
        <v>2025</v>
      </c>
      <c r="C888" s="36" t="s">
        <v>655</v>
      </c>
      <c r="D888" s="37" t="s">
        <v>876</v>
      </c>
      <c r="E888" s="36">
        <v>29999812</v>
      </c>
      <c r="F888" s="36">
        <v>1178440</v>
      </c>
      <c r="G888" s="37" t="s">
        <v>3086</v>
      </c>
      <c r="H888" s="36">
        <v>210</v>
      </c>
      <c r="I888" s="36">
        <v>1</v>
      </c>
      <c r="J888" s="36"/>
      <c r="K888" s="37"/>
      <c r="L888" s="36" t="s">
        <v>72</v>
      </c>
      <c r="M888" s="38">
        <v>3900</v>
      </c>
      <c r="N888" s="38">
        <v>975</v>
      </c>
      <c r="O888" s="38">
        <v>4875</v>
      </c>
      <c r="P888" s="38">
        <f>VLOOKUP(F888,'[3]1ª PARCELA'!$E$5:$H$889,4,FALSE)</f>
        <v>4875</v>
      </c>
      <c r="Q888" s="38" t="b">
        <f t="shared" si="13"/>
        <v>1</v>
      </c>
      <c r="R888" s="39">
        <v>45793</v>
      </c>
      <c r="S888" s="36">
        <v>9173</v>
      </c>
      <c r="T888" s="36" t="s">
        <v>3087</v>
      </c>
      <c r="U888" s="40" t="s">
        <v>3088</v>
      </c>
    </row>
    <row r="889" spans="1:21" s="44" customFormat="1" ht="49.5" customHeight="1" x14ac:dyDescent="0.4">
      <c r="A889" s="41">
        <v>885</v>
      </c>
      <c r="B889" s="41"/>
      <c r="C889" s="41"/>
      <c r="D889" s="42"/>
      <c r="E889" s="41"/>
      <c r="F889" s="42"/>
      <c r="G889" s="42"/>
      <c r="H889" s="41"/>
      <c r="I889" s="41"/>
      <c r="J889" s="41"/>
      <c r="K889" s="42"/>
      <c r="L889" s="41"/>
      <c r="M889" s="42"/>
      <c r="N889" s="42"/>
      <c r="O889" s="43">
        <f>SUM(O4:O888)</f>
        <v>6896800</v>
      </c>
      <c r="P889" s="42"/>
      <c r="Q889" s="42"/>
      <c r="R889" s="41"/>
      <c r="S889" s="41"/>
      <c r="T889" s="41"/>
      <c r="U889" s="42"/>
    </row>
  </sheetData>
  <autoFilter ref="A3:U3" xr:uid="{00000000-0009-0000-0000-000000000000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1402-6A52-4B9D-8CE2-B1F072858817}">
  <sheetPr codeName="Planilha6"/>
  <dimension ref="A1:AR1195"/>
  <sheetViews>
    <sheetView view="pageBreakPreview" zoomScaleNormal="100" zoomScaleSheetLayoutView="100" workbookViewId="0">
      <pane ySplit="3" topLeftCell="A1175" activePane="bottomLeft" state="frozen"/>
      <selection activeCell="O11" sqref="O11"/>
      <selection pane="bottomLeft" activeCell="D9" sqref="D9"/>
    </sheetView>
  </sheetViews>
  <sheetFormatPr defaultColWidth="8.88671875" defaultRowHeight="13.2" x14ac:dyDescent="0.25"/>
  <cols>
    <col min="1" max="1" width="8.88671875" style="177"/>
    <col min="2" max="2" width="16.5546875" style="48" customWidth="1"/>
    <col min="3" max="3" width="8.88671875" style="49"/>
    <col min="4" max="4" width="11.5546875" style="49" customWidth="1"/>
    <col min="5" max="5" width="10.44140625" style="49" customWidth="1"/>
    <col min="6" max="6" width="64.109375" style="50" customWidth="1"/>
    <col min="7" max="7" width="12.109375" style="49" customWidth="1"/>
    <col min="8" max="8" width="14.6640625" style="49" customWidth="1"/>
    <col min="9" max="9" width="20.88671875" style="49" customWidth="1"/>
    <col min="10" max="10" width="31.5546875" style="48" customWidth="1"/>
    <col min="11" max="11" width="16.33203125" style="49" customWidth="1"/>
    <col min="12" max="12" width="31.109375" style="49" customWidth="1"/>
    <col min="13" max="13" width="25.109375" style="49" customWidth="1"/>
    <col min="14" max="14" width="67.109375" style="50" bestFit="1" customWidth="1"/>
    <col min="15" max="15" width="12.88671875" style="50" customWidth="1"/>
    <col min="16" max="16" width="8.88671875" style="50" customWidth="1"/>
    <col min="17" max="17" width="24" style="50" customWidth="1"/>
    <col min="18" max="18" width="6.6640625" style="50" customWidth="1"/>
    <col min="19" max="19" width="29.88671875" style="49" customWidth="1"/>
    <col min="20" max="20" width="25.44140625" style="77" customWidth="1"/>
    <col min="21" max="21" width="25.44140625" style="49" customWidth="1"/>
    <col min="22" max="22" width="13.33203125" style="52" customWidth="1"/>
    <col min="23" max="23" width="17.5546875" style="49" customWidth="1"/>
    <col min="24" max="24" width="14.5546875" style="53" customWidth="1"/>
    <col min="25" max="25" width="26" style="54" customWidth="1"/>
    <col min="26" max="28" width="16.109375" style="53" customWidth="1"/>
    <col min="29" max="29" width="15.109375" style="50" customWidth="1"/>
    <col min="30" max="30" width="10" style="50" customWidth="1"/>
    <col min="31" max="31" width="19.44140625" style="50" customWidth="1"/>
    <col min="32" max="32" width="9.6640625" style="55" customWidth="1"/>
    <col min="33" max="33" width="8.88671875" style="50"/>
    <col min="34" max="34" width="6.6640625" style="49" customWidth="1"/>
    <col min="35" max="37" width="8.88671875" style="50"/>
    <col min="38" max="38" width="18.88671875" style="50" customWidth="1"/>
    <col min="39" max="39" width="8.88671875" style="50"/>
    <col min="40" max="40" width="8.88671875" style="56"/>
    <col min="41" max="41" width="20" style="50" customWidth="1"/>
    <col min="42" max="42" width="34.109375" style="50" customWidth="1"/>
    <col min="43" max="16384" width="8.88671875" style="50"/>
  </cols>
  <sheetData>
    <row r="1" spans="1:44" ht="32.4" customHeight="1" x14ac:dyDescent="0.3">
      <c r="A1" s="45"/>
      <c r="B1" s="46"/>
      <c r="C1" s="47"/>
      <c r="D1" s="47"/>
      <c r="E1" s="47"/>
      <c r="F1" s="47" t="s">
        <v>3089</v>
      </c>
      <c r="G1" s="47"/>
      <c r="H1" s="47"/>
      <c r="I1" s="47"/>
      <c r="T1" s="51"/>
      <c r="U1" s="51"/>
    </row>
    <row r="2" spans="1:44" ht="28.2" customHeight="1" x14ac:dyDescent="0.3">
      <c r="A2" s="57" t="s">
        <v>11</v>
      </c>
      <c r="B2" s="58" t="s">
        <v>3090</v>
      </c>
      <c r="C2" s="59" t="s">
        <v>3091</v>
      </c>
      <c r="D2" s="60" t="s">
        <v>3092</v>
      </c>
      <c r="E2" s="58" t="s">
        <v>3093</v>
      </c>
      <c r="F2" s="58" t="s">
        <v>3094</v>
      </c>
      <c r="G2" s="58" t="s">
        <v>3095</v>
      </c>
      <c r="H2" s="58" t="s">
        <v>3096</v>
      </c>
      <c r="I2" s="61" t="s">
        <v>3097</v>
      </c>
      <c r="J2" s="62" t="s">
        <v>3098</v>
      </c>
      <c r="K2" s="63"/>
      <c r="L2" s="63" t="s">
        <v>3099</v>
      </c>
      <c r="M2" s="64"/>
      <c r="S2" s="65"/>
      <c r="T2" s="66"/>
      <c r="U2" s="63"/>
      <c r="V2" s="67"/>
      <c r="W2" s="63"/>
      <c r="X2" s="68"/>
      <c r="Y2" s="68"/>
      <c r="Z2" s="68"/>
      <c r="AA2" s="68"/>
      <c r="AB2" s="68"/>
      <c r="AC2" s="69"/>
      <c r="AD2" s="69"/>
      <c r="AE2" s="69"/>
      <c r="AF2" s="54"/>
      <c r="AL2" s="49"/>
    </row>
    <row r="3" spans="1:44" ht="18.75" customHeight="1" x14ac:dyDescent="0.35">
      <c r="A3" s="70"/>
      <c r="B3" s="71"/>
      <c r="C3" s="72"/>
      <c r="D3" s="72"/>
      <c r="E3" s="73"/>
      <c r="F3" s="73"/>
      <c r="G3" s="73"/>
      <c r="H3" s="73"/>
      <c r="I3" s="74">
        <f>COUNTIFS($I$4:$I$1978,"APTA")</f>
        <v>714</v>
      </c>
      <c r="J3" s="75">
        <f>COUNTIF(I:I,"INADIMPLENTE")</f>
        <v>314</v>
      </c>
      <c r="K3" s="76"/>
    </row>
    <row r="4" spans="1:44" s="84" customFormat="1" ht="24" customHeight="1" x14ac:dyDescent="0.3">
      <c r="A4" s="78" t="s">
        <v>3100</v>
      </c>
      <c r="B4" s="79" t="s">
        <v>333</v>
      </c>
      <c r="C4" s="80">
        <v>1125747</v>
      </c>
      <c r="D4" s="80">
        <v>1102920</v>
      </c>
      <c r="E4" s="80">
        <v>29057809</v>
      </c>
      <c r="F4" s="81" t="s">
        <v>334</v>
      </c>
      <c r="G4" s="82" t="s">
        <v>3101</v>
      </c>
      <c r="H4" s="82" t="s">
        <v>3102</v>
      </c>
      <c r="I4" s="82" t="s">
        <v>3103</v>
      </c>
      <c r="J4" s="83" t="e">
        <f>VLOOKUP($C4,CHOOSE({1,2},'[4]Prestações de Conta inadimplent'!$D$9:$D$2000,'[4]Prestações de Conta inadimplent'!$C$9:$C$2000),2,0)</f>
        <v>#N/A</v>
      </c>
      <c r="L4" s="85"/>
      <c r="M4" s="85" t="e">
        <v>#REF!</v>
      </c>
      <c r="T4" s="86"/>
      <c r="U4" s="85"/>
      <c r="V4" s="87"/>
      <c r="W4" s="85"/>
      <c r="X4" s="88"/>
      <c r="Y4" s="89"/>
      <c r="Z4" s="88"/>
      <c r="AA4" s="88"/>
      <c r="AB4" s="88"/>
      <c r="AF4" s="90"/>
      <c r="AK4" s="91"/>
      <c r="AM4" s="92"/>
      <c r="AN4" s="92"/>
      <c r="AO4" s="92"/>
      <c r="AP4" s="92"/>
      <c r="AQ4" s="92"/>
      <c r="AR4" s="92"/>
    </row>
    <row r="5" spans="1:44" s="84" customFormat="1" ht="24" customHeight="1" x14ac:dyDescent="0.3">
      <c r="A5" s="78" t="s">
        <v>3100</v>
      </c>
      <c r="B5" s="79" t="s">
        <v>333</v>
      </c>
      <c r="C5" s="93">
        <v>1179795</v>
      </c>
      <c r="D5" s="94">
        <v>9999999</v>
      </c>
      <c r="E5" s="93">
        <v>29488974</v>
      </c>
      <c r="F5" s="81" t="s">
        <v>3104</v>
      </c>
      <c r="G5" s="94" t="s">
        <v>3101</v>
      </c>
      <c r="H5" s="94" t="s">
        <v>3105</v>
      </c>
      <c r="I5" s="82" t="s">
        <v>3103</v>
      </c>
      <c r="J5" s="83" t="e">
        <f>VLOOKUP($C5,CHOOSE({1,2},'[4]Prestações de Conta inadimplent'!$D$9:$D$2000,'[4]Prestações de Conta inadimplent'!$C$9:$C$2000),2,0)</f>
        <v>#N/A</v>
      </c>
      <c r="L5" s="85"/>
      <c r="M5" s="85" t="e">
        <v>#REF!</v>
      </c>
      <c r="T5" s="86"/>
      <c r="U5" s="85"/>
      <c r="V5" s="87"/>
      <c r="W5" s="85"/>
      <c r="X5" s="88"/>
      <c r="Y5" s="89"/>
      <c r="Z5" s="88"/>
      <c r="AA5" s="88"/>
      <c r="AB5" s="88"/>
      <c r="AF5" s="90"/>
      <c r="AK5" s="91"/>
      <c r="AM5" s="92"/>
      <c r="AN5" s="92"/>
      <c r="AO5" s="92"/>
      <c r="AP5" s="92"/>
      <c r="AQ5" s="92"/>
      <c r="AR5" s="92"/>
    </row>
    <row r="6" spans="1:44" s="84" customFormat="1" ht="24" customHeight="1" x14ac:dyDescent="0.3">
      <c r="A6" s="78" t="s">
        <v>3100</v>
      </c>
      <c r="B6" s="79" t="s">
        <v>337</v>
      </c>
      <c r="C6" s="80">
        <v>1125925</v>
      </c>
      <c r="D6" s="80">
        <v>1102929</v>
      </c>
      <c r="E6" s="80">
        <v>29058244</v>
      </c>
      <c r="F6" s="81" t="s">
        <v>3106</v>
      </c>
      <c r="G6" s="82" t="s">
        <v>3107</v>
      </c>
      <c r="H6" s="82" t="s">
        <v>3108</v>
      </c>
      <c r="I6" s="82" t="s">
        <v>3103</v>
      </c>
      <c r="J6" s="83" t="e">
        <f>VLOOKUP($C6,CHOOSE({1,2},'[4]Prestações de Conta inadimplent'!$D$9:$D$2000,'[4]Prestações de Conta inadimplent'!$C$9:$C$2000),2,0)</f>
        <v>#N/A</v>
      </c>
      <c r="L6" s="85"/>
      <c r="M6" s="85" t="e">
        <v>#REF!</v>
      </c>
      <c r="T6" s="86"/>
      <c r="U6" s="85"/>
      <c r="V6" s="87"/>
      <c r="W6" s="85"/>
      <c r="X6" s="88"/>
      <c r="Y6" s="89"/>
      <c r="Z6" s="88"/>
      <c r="AA6" s="88"/>
      <c r="AB6" s="88"/>
      <c r="AF6" s="90"/>
      <c r="AK6" s="91"/>
      <c r="AM6" s="92"/>
      <c r="AN6" s="92"/>
      <c r="AO6" s="92"/>
      <c r="AP6" s="92"/>
      <c r="AQ6" s="92"/>
      <c r="AR6" s="92"/>
    </row>
    <row r="7" spans="1:44" s="84" customFormat="1" ht="24" customHeight="1" x14ac:dyDescent="0.3">
      <c r="A7" s="78" t="s">
        <v>3100</v>
      </c>
      <c r="B7" s="79" t="s">
        <v>341</v>
      </c>
      <c r="C7" s="80">
        <v>1126212</v>
      </c>
      <c r="D7" s="80">
        <v>1102935</v>
      </c>
      <c r="E7" s="80">
        <v>29059380</v>
      </c>
      <c r="F7" s="81" t="s">
        <v>3109</v>
      </c>
      <c r="G7" s="82" t="s">
        <v>3101</v>
      </c>
      <c r="H7" s="82" t="s">
        <v>3110</v>
      </c>
      <c r="I7" s="82" t="s">
        <v>3103</v>
      </c>
      <c r="J7" s="83" t="e">
        <f>VLOOKUP($C7,CHOOSE({1,2},'[4]Prestações de Conta inadimplent'!$D$9:$D$2000,'[4]Prestações de Conta inadimplent'!$C$9:$C$2000),2,0)</f>
        <v>#N/A</v>
      </c>
      <c r="L7" s="85"/>
      <c r="M7" s="85" t="e">
        <v>#REF!</v>
      </c>
      <c r="T7" s="86"/>
      <c r="U7" s="85"/>
      <c r="V7" s="87"/>
      <c r="W7" s="85"/>
      <c r="X7" s="88"/>
      <c r="Y7" s="89"/>
      <c r="Z7" s="88"/>
      <c r="AA7" s="88"/>
      <c r="AB7" s="88"/>
      <c r="AF7" s="90"/>
      <c r="AK7" s="91"/>
      <c r="AM7" s="92"/>
      <c r="AN7" s="92"/>
      <c r="AO7" s="92"/>
      <c r="AP7" s="92"/>
      <c r="AQ7" s="92"/>
      <c r="AR7" s="92"/>
    </row>
    <row r="8" spans="1:44" s="84" customFormat="1" ht="24" customHeight="1" x14ac:dyDescent="0.3">
      <c r="A8" s="78" t="s">
        <v>3100</v>
      </c>
      <c r="B8" s="79" t="s">
        <v>345</v>
      </c>
      <c r="C8" s="80">
        <v>1126247</v>
      </c>
      <c r="D8" s="80">
        <v>1102939</v>
      </c>
      <c r="E8" s="80">
        <v>29060001</v>
      </c>
      <c r="F8" s="81" t="s">
        <v>3111</v>
      </c>
      <c r="G8" s="82" t="s">
        <v>3112</v>
      </c>
      <c r="H8" s="82" t="s">
        <v>3113</v>
      </c>
      <c r="I8" s="82" t="s">
        <v>3103</v>
      </c>
      <c r="J8" s="83" t="e">
        <f>VLOOKUP($C8,CHOOSE({1,2},'[4]Prestações de Conta inadimplent'!$D$9:$D$2000,'[4]Prestações de Conta inadimplent'!$C$9:$C$2000),2,0)</f>
        <v>#N/A</v>
      </c>
      <c r="L8" s="85"/>
      <c r="M8" s="85" t="e">
        <v>#REF!</v>
      </c>
      <c r="T8" s="86"/>
      <c r="U8" s="85"/>
      <c r="V8" s="87"/>
      <c r="W8" s="85"/>
      <c r="X8" s="88"/>
      <c r="Y8" s="89"/>
      <c r="Z8" s="89"/>
      <c r="AA8" s="88"/>
      <c r="AB8" s="88"/>
      <c r="AF8" s="90"/>
      <c r="AK8" s="91"/>
      <c r="AM8" s="92"/>
      <c r="AN8" s="92"/>
      <c r="AO8" s="92"/>
      <c r="AP8" s="92"/>
      <c r="AQ8" s="92"/>
      <c r="AR8" s="92"/>
    </row>
    <row r="9" spans="1:44" s="84" customFormat="1" ht="24" customHeight="1" x14ac:dyDescent="0.3">
      <c r="A9" s="78" t="s">
        <v>3100</v>
      </c>
      <c r="B9" s="79" t="s">
        <v>349</v>
      </c>
      <c r="C9" s="80">
        <v>1137583</v>
      </c>
      <c r="D9" s="80">
        <v>1102945</v>
      </c>
      <c r="E9" s="80">
        <v>29060206</v>
      </c>
      <c r="F9" s="81" t="s">
        <v>3114</v>
      </c>
      <c r="G9" s="82" t="s">
        <v>3101</v>
      </c>
      <c r="H9" s="82" t="s">
        <v>3115</v>
      </c>
      <c r="I9" s="82" t="s">
        <v>3103</v>
      </c>
      <c r="J9" s="83" t="e">
        <f>VLOOKUP($C9,CHOOSE({1,2},'[4]Prestações de Conta inadimplent'!$D$9:$D$2000,'[4]Prestações de Conta inadimplent'!$C$9:$C$2000),2,0)</f>
        <v>#N/A</v>
      </c>
      <c r="K9" s="95"/>
      <c r="L9" s="85"/>
      <c r="M9" s="85" t="e">
        <v>#REF!</v>
      </c>
      <c r="T9" s="86"/>
      <c r="U9" s="85"/>
      <c r="V9" s="87"/>
      <c r="W9" s="85"/>
      <c r="X9" s="88"/>
      <c r="Y9" s="89"/>
      <c r="Z9" s="89"/>
      <c r="AA9" s="88"/>
      <c r="AB9" s="88"/>
      <c r="AF9" s="90"/>
      <c r="AK9" s="91"/>
      <c r="AM9" s="92"/>
      <c r="AN9" s="92"/>
      <c r="AO9" s="92"/>
      <c r="AP9" s="92"/>
      <c r="AQ9" s="92"/>
      <c r="AR9" s="92"/>
    </row>
    <row r="10" spans="1:44" s="84" customFormat="1" ht="24" customHeight="1" x14ac:dyDescent="0.3">
      <c r="A10" s="78" t="s">
        <v>3100</v>
      </c>
      <c r="B10" s="79" t="s">
        <v>349</v>
      </c>
      <c r="C10" s="80">
        <v>1163100</v>
      </c>
      <c r="D10" s="80">
        <v>1102947</v>
      </c>
      <c r="E10" s="80">
        <v>29060214</v>
      </c>
      <c r="F10" s="81" t="s">
        <v>3116</v>
      </c>
      <c r="G10" s="82" t="s">
        <v>3101</v>
      </c>
      <c r="H10" s="82" t="s">
        <v>3117</v>
      </c>
      <c r="I10" s="82" t="s">
        <v>3103</v>
      </c>
      <c r="J10" s="83" t="e">
        <f>VLOOKUP($C10,CHOOSE({1,2},'[4]Prestações de Conta inadimplent'!$D$9:$D$2000,'[4]Prestações de Conta inadimplent'!$C$9:$C$2000),2,0)</f>
        <v>#N/A</v>
      </c>
      <c r="L10" s="85"/>
      <c r="M10" s="85" t="e">
        <v>#REF!</v>
      </c>
      <c r="T10" s="86"/>
      <c r="U10" s="85"/>
      <c r="V10" s="87"/>
      <c r="W10" s="85"/>
      <c r="X10" s="88"/>
      <c r="Y10" s="89"/>
      <c r="Z10" s="89"/>
      <c r="AA10" s="88"/>
      <c r="AB10" s="88"/>
      <c r="AF10" s="90"/>
      <c r="AK10" s="91"/>
      <c r="AM10" s="92"/>
      <c r="AN10" s="92"/>
      <c r="AO10" s="92"/>
      <c r="AP10" s="92"/>
      <c r="AQ10" s="92"/>
      <c r="AR10" s="92"/>
    </row>
    <row r="11" spans="1:44" s="84" customFormat="1" ht="24" customHeight="1" x14ac:dyDescent="0.3">
      <c r="A11" s="78" t="s">
        <v>3100</v>
      </c>
      <c r="B11" s="79" t="s">
        <v>356</v>
      </c>
      <c r="C11" s="80">
        <v>1163088</v>
      </c>
      <c r="D11" s="80">
        <v>1102954</v>
      </c>
      <c r="E11" s="80">
        <v>29061016</v>
      </c>
      <c r="F11" s="81" t="s">
        <v>357</v>
      </c>
      <c r="G11" s="82" t="s">
        <v>3101</v>
      </c>
      <c r="H11" s="82" t="s">
        <v>3118</v>
      </c>
      <c r="I11" s="82" t="s">
        <v>3103</v>
      </c>
      <c r="J11" s="83" t="e">
        <f>VLOOKUP($C11,CHOOSE({1,2},'[4]Prestações de Conta inadimplent'!$D$9:$D$2000,'[4]Prestações de Conta inadimplent'!$C$9:$C$2000),2,0)</f>
        <v>#N/A</v>
      </c>
      <c r="L11" s="85"/>
      <c r="M11" s="85" t="e">
        <v>#REF!</v>
      </c>
      <c r="T11" s="86"/>
      <c r="U11" s="85"/>
      <c r="V11" s="87"/>
      <c r="W11" s="85"/>
      <c r="X11" s="88"/>
      <c r="Y11" s="89"/>
      <c r="Z11" s="88"/>
      <c r="AA11" s="88"/>
      <c r="AB11" s="88"/>
      <c r="AF11" s="90"/>
      <c r="AK11" s="91"/>
      <c r="AM11" s="92"/>
      <c r="AN11" s="92"/>
      <c r="AO11" s="92"/>
      <c r="AP11" s="92"/>
      <c r="AQ11" s="92"/>
      <c r="AR11" s="92"/>
    </row>
    <row r="12" spans="1:44" s="84" customFormat="1" ht="24" customHeight="1" x14ac:dyDescent="0.3">
      <c r="A12" s="78" t="s">
        <v>3100</v>
      </c>
      <c r="B12" s="79" t="s">
        <v>360</v>
      </c>
      <c r="C12" s="80">
        <v>1125887</v>
      </c>
      <c r="D12" s="80">
        <v>1102959</v>
      </c>
      <c r="E12" s="80">
        <v>29061628</v>
      </c>
      <c r="F12" s="81" t="s">
        <v>3119</v>
      </c>
      <c r="G12" s="82" t="s">
        <v>3120</v>
      </c>
      <c r="H12" s="82" t="s">
        <v>3121</v>
      </c>
      <c r="I12" s="82" t="s">
        <v>3122</v>
      </c>
      <c r="J12" s="83" t="str">
        <f>VLOOKUP($C12,CHOOSE({1,2},'[4]Prestações de Conta inadimplent'!$D$9:$D$2000,'[4]Prestações de Conta inadimplent'!$C$9:$C$2000),2,0)</f>
        <v>Colegio Estadual Maria Quiteria</v>
      </c>
      <c r="L12" s="85"/>
      <c r="M12" s="85" t="e">
        <v>#REF!</v>
      </c>
      <c r="T12" s="86"/>
      <c r="U12" s="85"/>
      <c r="V12" s="87"/>
      <c r="W12" s="85"/>
      <c r="X12" s="88"/>
      <c r="Y12" s="89"/>
      <c r="Z12" s="89"/>
      <c r="AA12" s="88"/>
      <c r="AB12" s="88"/>
      <c r="AF12" s="90"/>
      <c r="AK12" s="91"/>
      <c r="AM12" s="92"/>
      <c r="AN12" s="92"/>
      <c r="AO12" s="92"/>
      <c r="AP12" s="92"/>
      <c r="AQ12" s="92"/>
      <c r="AR12" s="92"/>
    </row>
    <row r="13" spans="1:44" s="84" customFormat="1" ht="24" customHeight="1" x14ac:dyDescent="0.3">
      <c r="A13" s="78" t="s">
        <v>3100</v>
      </c>
      <c r="B13" s="79" t="s">
        <v>364</v>
      </c>
      <c r="C13" s="80">
        <v>1126050</v>
      </c>
      <c r="D13" s="80">
        <v>1102965</v>
      </c>
      <c r="E13" s="80">
        <v>29062519</v>
      </c>
      <c r="F13" s="81" t="s">
        <v>3123</v>
      </c>
      <c r="G13" s="82" t="s">
        <v>3101</v>
      </c>
      <c r="H13" s="82" t="s">
        <v>3124</v>
      </c>
      <c r="I13" s="82" t="s">
        <v>3103</v>
      </c>
      <c r="J13" s="83" t="e">
        <f>VLOOKUP($C13,CHOOSE({1,2},'[4]Prestações de Conta inadimplent'!$D$9:$D$2000,'[4]Prestações de Conta inadimplent'!$C$9:$C$2000),2,0)</f>
        <v>#N/A</v>
      </c>
      <c r="L13" s="85"/>
      <c r="M13" s="85" t="e">
        <v>#REF!</v>
      </c>
      <c r="T13" s="86"/>
      <c r="U13" s="85"/>
      <c r="V13" s="87"/>
      <c r="W13" s="85"/>
      <c r="X13" s="88"/>
      <c r="Y13" s="89"/>
      <c r="Z13" s="88"/>
      <c r="AA13" s="88"/>
      <c r="AB13" s="88"/>
      <c r="AF13" s="90"/>
      <c r="AK13" s="91"/>
      <c r="AM13" s="92"/>
      <c r="AN13" s="92"/>
      <c r="AO13" s="92"/>
      <c r="AP13" s="92"/>
      <c r="AQ13" s="92"/>
      <c r="AR13" s="92"/>
    </row>
    <row r="14" spans="1:44" s="84" customFormat="1" ht="24" customHeight="1" x14ac:dyDescent="0.3">
      <c r="A14" s="78" t="s">
        <v>3100</v>
      </c>
      <c r="B14" s="79" t="s">
        <v>364</v>
      </c>
      <c r="C14" s="80">
        <v>1125968</v>
      </c>
      <c r="D14" s="80">
        <v>1102962</v>
      </c>
      <c r="E14" s="80">
        <v>29062250</v>
      </c>
      <c r="F14" s="81" t="s">
        <v>3125</v>
      </c>
      <c r="G14" s="82" t="s">
        <v>3101</v>
      </c>
      <c r="H14" s="82" t="s">
        <v>3126</v>
      </c>
      <c r="I14" s="82" t="s">
        <v>3103</v>
      </c>
      <c r="J14" s="83" t="e">
        <f>VLOOKUP($C14,CHOOSE({1,2},'[4]Prestações de Conta inadimplent'!$D$9:$D$2000,'[4]Prestações de Conta inadimplent'!$C$9:$C$2000),2,0)</f>
        <v>#N/A</v>
      </c>
      <c r="L14" s="85"/>
      <c r="M14" s="85" t="e">
        <v>#REF!</v>
      </c>
      <c r="T14" s="86"/>
      <c r="U14" s="85"/>
      <c r="V14" s="87"/>
      <c r="W14" s="85"/>
      <c r="X14" s="88"/>
      <c r="Y14" s="89"/>
      <c r="Z14" s="88"/>
      <c r="AA14" s="88"/>
      <c r="AB14" s="88"/>
      <c r="AF14" s="90"/>
      <c r="AK14" s="91"/>
      <c r="AM14" s="92"/>
      <c r="AN14" s="92"/>
      <c r="AO14" s="92"/>
      <c r="AP14" s="92"/>
      <c r="AQ14" s="92"/>
      <c r="AR14" s="92"/>
    </row>
    <row r="15" spans="1:44" s="84" customFormat="1" ht="24" customHeight="1" x14ac:dyDescent="0.3">
      <c r="A15" s="78" t="s">
        <v>3100</v>
      </c>
      <c r="B15" s="79" t="s">
        <v>371</v>
      </c>
      <c r="C15" s="80">
        <v>1162774</v>
      </c>
      <c r="D15" s="80">
        <v>1102976</v>
      </c>
      <c r="E15" s="80">
        <v>29062632</v>
      </c>
      <c r="F15" s="81" t="s">
        <v>3127</v>
      </c>
      <c r="G15" s="82" t="s">
        <v>3128</v>
      </c>
      <c r="H15" s="82" t="s">
        <v>3129</v>
      </c>
      <c r="I15" s="82" t="s">
        <v>3103</v>
      </c>
      <c r="J15" s="83" t="e">
        <f>VLOOKUP($C15,CHOOSE({1,2},'[4]Prestações de Conta inadimplent'!$D$9:$D$2000,'[4]Prestações de Conta inadimplent'!$C$9:$C$2000),2,0)</f>
        <v>#N/A</v>
      </c>
      <c r="L15" s="85"/>
      <c r="M15" s="85" t="e">
        <v>#REF!</v>
      </c>
      <c r="T15" s="86"/>
      <c r="U15" s="85"/>
      <c r="V15" s="87"/>
      <c r="W15" s="85"/>
      <c r="X15" s="88"/>
      <c r="Y15" s="89"/>
      <c r="Z15" s="88"/>
      <c r="AA15" s="88"/>
      <c r="AB15" s="88"/>
      <c r="AF15" s="90"/>
      <c r="AK15" s="91"/>
      <c r="AM15" s="92"/>
      <c r="AN15" s="92"/>
      <c r="AO15" s="92"/>
      <c r="AP15" s="92"/>
      <c r="AQ15" s="92"/>
      <c r="AR15" s="92"/>
    </row>
    <row r="16" spans="1:44" s="84" customFormat="1" ht="24" customHeight="1" x14ac:dyDescent="0.3">
      <c r="A16" s="78" t="s">
        <v>3100</v>
      </c>
      <c r="B16" s="79" t="s">
        <v>1507</v>
      </c>
      <c r="C16" s="80">
        <v>1127260</v>
      </c>
      <c r="D16" s="80">
        <v>1103080</v>
      </c>
      <c r="E16" s="80">
        <v>29207843</v>
      </c>
      <c r="F16" s="81" t="s">
        <v>3130</v>
      </c>
      <c r="G16" s="82" t="s">
        <v>3131</v>
      </c>
      <c r="H16" s="82" t="s">
        <v>3132</v>
      </c>
      <c r="I16" s="82" t="s">
        <v>3103</v>
      </c>
      <c r="J16" s="83" t="e">
        <f>VLOOKUP($C16,CHOOSE({1,2},'[4]Prestações de Conta inadimplent'!$D$9:$D$2000,'[4]Prestações de Conta inadimplent'!$C$9:$C$2000),2,0)</f>
        <v>#N/A</v>
      </c>
      <c r="L16" s="85"/>
      <c r="M16" s="85" t="e">
        <v>#REF!</v>
      </c>
      <c r="T16" s="86"/>
      <c r="U16" s="85"/>
      <c r="V16" s="87"/>
      <c r="W16" s="85"/>
      <c r="X16" s="88"/>
      <c r="Y16" s="89"/>
      <c r="Z16" s="89"/>
      <c r="AA16" s="88"/>
      <c r="AB16" s="88"/>
      <c r="AF16" s="90"/>
      <c r="AK16" s="91"/>
      <c r="AM16" s="92"/>
      <c r="AN16" s="92"/>
      <c r="AO16" s="92"/>
      <c r="AP16" s="92"/>
      <c r="AQ16" s="92"/>
      <c r="AR16" s="92"/>
    </row>
    <row r="17" spans="1:44" s="84" customFormat="1" ht="24" customHeight="1" x14ac:dyDescent="0.3">
      <c r="A17" s="78" t="s">
        <v>3100</v>
      </c>
      <c r="B17" s="79" t="s">
        <v>380</v>
      </c>
      <c r="C17" s="80">
        <v>1179658</v>
      </c>
      <c r="D17" s="80">
        <v>9999999</v>
      </c>
      <c r="E17" s="80">
        <v>29474310</v>
      </c>
      <c r="F17" s="81" t="s">
        <v>3133</v>
      </c>
      <c r="G17" s="82" t="s">
        <v>3101</v>
      </c>
      <c r="H17" s="82" t="s">
        <v>3134</v>
      </c>
      <c r="I17" s="82" t="s">
        <v>3103</v>
      </c>
      <c r="J17" s="83" t="e">
        <f>VLOOKUP($C17,CHOOSE({1,2},'[4]Prestações de Conta inadimplent'!$D$9:$D$2000,'[4]Prestações de Conta inadimplent'!$C$9:$C$2000),2,0)</f>
        <v>#N/A</v>
      </c>
      <c r="L17" s="85"/>
      <c r="M17" s="85" t="e">
        <v>#REF!</v>
      </c>
      <c r="T17" s="86"/>
      <c r="U17" s="85"/>
      <c r="V17" s="85"/>
      <c r="W17" s="85"/>
      <c r="X17" s="85"/>
      <c r="Y17" s="89"/>
      <c r="Z17" s="89"/>
      <c r="AA17" s="88"/>
      <c r="AB17" s="88"/>
      <c r="AF17" s="90"/>
      <c r="AK17" s="91"/>
      <c r="AM17" s="92"/>
      <c r="AN17" s="92"/>
      <c r="AO17" s="92"/>
      <c r="AP17" s="92"/>
      <c r="AQ17" s="92"/>
      <c r="AR17" s="92"/>
    </row>
    <row r="18" spans="1:44" s="84" customFormat="1" ht="24" customHeight="1" x14ac:dyDescent="0.3">
      <c r="A18" s="78" t="s">
        <v>3100</v>
      </c>
      <c r="B18" s="79" t="s">
        <v>380</v>
      </c>
      <c r="C18" s="80">
        <v>1126611</v>
      </c>
      <c r="D18" s="80">
        <v>1103993</v>
      </c>
      <c r="E18" s="80">
        <v>29064147</v>
      </c>
      <c r="F18" s="81" t="s">
        <v>3135</v>
      </c>
      <c r="G18" s="82" t="s">
        <v>3101</v>
      </c>
      <c r="H18" s="82" t="s">
        <v>3136</v>
      </c>
      <c r="I18" s="82" t="s">
        <v>3103</v>
      </c>
      <c r="J18" s="83" t="e">
        <f>VLOOKUP($C18,CHOOSE({1,2},'[4]Prestações de Conta inadimplent'!$D$9:$D$2000,'[4]Prestações de Conta inadimplent'!$C$9:$C$2000),2,0)</f>
        <v>#N/A</v>
      </c>
      <c r="L18" s="85"/>
      <c r="M18" s="85" t="e">
        <v>#REF!</v>
      </c>
      <c r="T18" s="86"/>
      <c r="U18" s="85"/>
      <c r="V18" s="87"/>
      <c r="W18" s="85"/>
      <c r="X18" s="88"/>
      <c r="Y18" s="89"/>
      <c r="Z18" s="89"/>
      <c r="AA18" s="88"/>
      <c r="AB18" s="88"/>
      <c r="AF18" s="90"/>
      <c r="AK18" s="91"/>
      <c r="AM18" s="92"/>
      <c r="AN18" s="92"/>
      <c r="AO18" s="92"/>
      <c r="AP18" s="92"/>
      <c r="AQ18" s="92"/>
      <c r="AR18" s="92"/>
    </row>
    <row r="19" spans="1:44" s="84" customFormat="1" ht="24" customHeight="1" x14ac:dyDescent="0.3">
      <c r="A19" s="78" t="s">
        <v>3100</v>
      </c>
      <c r="B19" s="79" t="s">
        <v>380</v>
      </c>
      <c r="C19" s="80">
        <v>1126590</v>
      </c>
      <c r="D19" s="80">
        <v>1104546</v>
      </c>
      <c r="E19" s="80">
        <v>29064120</v>
      </c>
      <c r="F19" s="81" t="s">
        <v>381</v>
      </c>
      <c r="G19" s="82" t="s">
        <v>3101</v>
      </c>
      <c r="H19" s="82" t="s">
        <v>3137</v>
      </c>
      <c r="I19" s="82" t="s">
        <v>3103</v>
      </c>
      <c r="J19" s="83" t="e">
        <f>VLOOKUP($C19,CHOOSE({1,2},'[4]Prestações de Conta inadimplent'!$D$9:$D$2000,'[4]Prestações de Conta inadimplent'!$C$9:$C$2000),2,0)</f>
        <v>#N/A</v>
      </c>
      <c r="L19" s="85"/>
      <c r="M19" s="85" t="e">
        <v>#REF!</v>
      </c>
      <c r="T19" s="86"/>
      <c r="U19" s="85"/>
      <c r="V19" s="87"/>
      <c r="W19" s="85"/>
      <c r="X19" s="88"/>
      <c r="Y19" s="89"/>
      <c r="Z19" s="88"/>
      <c r="AA19" s="88"/>
      <c r="AB19" s="88"/>
      <c r="AF19" s="90"/>
      <c r="AH19" s="85"/>
      <c r="AK19" s="91"/>
      <c r="AM19" s="92"/>
      <c r="AN19" s="92"/>
      <c r="AO19" s="92"/>
      <c r="AP19" s="92"/>
      <c r="AQ19" s="92"/>
      <c r="AR19" s="92"/>
    </row>
    <row r="20" spans="1:44" s="84" customFormat="1" ht="24" customHeight="1" x14ac:dyDescent="0.3">
      <c r="A20" s="78" t="s">
        <v>3100</v>
      </c>
      <c r="B20" s="79" t="s">
        <v>380</v>
      </c>
      <c r="C20" s="80">
        <v>1179281</v>
      </c>
      <c r="D20" s="80">
        <v>9999999</v>
      </c>
      <c r="E20" s="80">
        <v>29459141</v>
      </c>
      <c r="F20" s="81" t="s">
        <v>3138</v>
      </c>
      <c r="G20" s="82" t="s">
        <v>3101</v>
      </c>
      <c r="H20" s="82" t="s">
        <v>3139</v>
      </c>
      <c r="I20" s="82" t="s">
        <v>3103</v>
      </c>
      <c r="J20" s="83" t="e">
        <f>VLOOKUP($C20,CHOOSE({1,2},'[4]Prestações de Conta inadimplent'!$D$9:$D$2000,'[4]Prestações de Conta inadimplent'!$C$9:$C$2000),2,0)</f>
        <v>#N/A</v>
      </c>
      <c r="L20" s="85"/>
      <c r="M20" s="85" t="e">
        <v>#REF!</v>
      </c>
      <c r="T20" s="86"/>
      <c r="U20" s="85"/>
      <c r="V20" s="85"/>
      <c r="W20" s="85"/>
      <c r="X20" s="88"/>
      <c r="Y20" s="89"/>
      <c r="Z20" s="88"/>
      <c r="AA20" s="88"/>
      <c r="AB20" s="88"/>
      <c r="AF20" s="90"/>
      <c r="AK20" s="91"/>
      <c r="AM20" s="92"/>
      <c r="AN20" s="92"/>
      <c r="AO20" s="92"/>
      <c r="AP20" s="92"/>
      <c r="AQ20" s="92"/>
      <c r="AR20" s="92"/>
    </row>
    <row r="21" spans="1:44" s="84" customFormat="1" ht="24" customHeight="1" x14ac:dyDescent="0.3">
      <c r="A21" s="78" t="s">
        <v>3100</v>
      </c>
      <c r="B21" s="79" t="s">
        <v>380</v>
      </c>
      <c r="C21" s="80">
        <v>1176431</v>
      </c>
      <c r="D21" s="80">
        <v>1102989</v>
      </c>
      <c r="E21" s="80">
        <v>29403230</v>
      </c>
      <c r="F21" s="81" t="s">
        <v>3140</v>
      </c>
      <c r="G21" s="82" t="s">
        <v>3101</v>
      </c>
      <c r="H21" s="82" t="s">
        <v>3141</v>
      </c>
      <c r="I21" s="82" t="s">
        <v>3103</v>
      </c>
      <c r="J21" s="83" t="e">
        <f>VLOOKUP($C21,CHOOSE({1,2},'[4]Prestações de Conta inadimplent'!$D$9:$D$2000,'[4]Prestações de Conta inadimplent'!$C$9:$C$2000),2,0)</f>
        <v>#N/A</v>
      </c>
      <c r="L21" s="85"/>
      <c r="M21" s="85" t="e">
        <v>#REF!</v>
      </c>
      <c r="T21" s="86"/>
      <c r="U21" s="85"/>
      <c r="V21" s="87"/>
      <c r="W21" s="85"/>
      <c r="X21" s="88"/>
      <c r="Y21" s="89"/>
      <c r="Z21" s="88"/>
      <c r="AA21" s="88"/>
      <c r="AB21" s="88"/>
      <c r="AF21" s="90"/>
      <c r="AK21" s="91"/>
      <c r="AM21" s="92"/>
      <c r="AN21" s="92"/>
      <c r="AO21" s="92"/>
      <c r="AP21" s="92"/>
      <c r="AQ21" s="92"/>
      <c r="AR21" s="92"/>
    </row>
    <row r="22" spans="1:44" s="84" customFormat="1" ht="24" customHeight="1" x14ac:dyDescent="0.3">
      <c r="A22" s="78" t="s">
        <v>3100</v>
      </c>
      <c r="B22" s="79" t="s">
        <v>2810</v>
      </c>
      <c r="C22" s="80">
        <v>1178258</v>
      </c>
      <c r="D22" s="80">
        <v>1105498</v>
      </c>
      <c r="E22" s="80">
        <v>29447755</v>
      </c>
      <c r="F22" s="81" t="s">
        <v>3142</v>
      </c>
      <c r="G22" s="82" t="s">
        <v>3101</v>
      </c>
      <c r="H22" s="82" t="s">
        <v>3143</v>
      </c>
      <c r="I22" s="82" t="s">
        <v>3103</v>
      </c>
      <c r="J22" s="83" t="e">
        <f>VLOOKUP($C22,CHOOSE({1,2},'[4]Prestações de Conta inadimplent'!$D$9:$D$2000,'[4]Prestações de Conta inadimplent'!$C$9:$C$2000),2,0)</f>
        <v>#N/A</v>
      </c>
      <c r="L22" s="85"/>
      <c r="M22" s="85" t="e">
        <v>#REF!</v>
      </c>
      <c r="T22" s="86"/>
      <c r="U22" s="85"/>
      <c r="V22" s="87"/>
      <c r="W22" s="85"/>
      <c r="X22" s="88"/>
      <c r="Y22" s="89"/>
      <c r="Z22" s="88"/>
      <c r="AA22" s="88"/>
      <c r="AB22" s="88"/>
      <c r="AF22" s="90"/>
      <c r="AK22" s="91"/>
      <c r="AM22" s="92"/>
      <c r="AN22" s="92"/>
      <c r="AO22" s="92"/>
      <c r="AP22" s="92"/>
      <c r="AQ22" s="92"/>
      <c r="AR22" s="92"/>
    </row>
    <row r="23" spans="1:44" s="84" customFormat="1" ht="24" customHeight="1" x14ac:dyDescent="0.3">
      <c r="A23" s="78" t="s">
        <v>3100</v>
      </c>
      <c r="B23" s="79" t="s">
        <v>387</v>
      </c>
      <c r="C23" s="80">
        <v>1162502</v>
      </c>
      <c r="D23" s="80">
        <v>1102995</v>
      </c>
      <c r="E23" s="80">
        <v>29064392</v>
      </c>
      <c r="F23" s="81" t="s">
        <v>3144</v>
      </c>
      <c r="G23" s="82" t="s">
        <v>3101</v>
      </c>
      <c r="H23" s="82" t="s">
        <v>3145</v>
      </c>
      <c r="I23" s="82" t="s">
        <v>3122</v>
      </c>
      <c r="J23" s="83" t="str">
        <f>VLOOKUP($C23,CHOOSE({1,2},'[4]Prestações de Conta inadimplent'!$D$9:$D$2000,'[4]Prestações de Conta inadimplent'!$C$9:$C$2000),2,0)</f>
        <v>Colegio Estadual Idalina Da Silva Dourado</v>
      </c>
      <c r="L23" s="85"/>
      <c r="M23" s="85" t="e">
        <v>#REF!</v>
      </c>
      <c r="T23" s="86"/>
      <c r="U23" s="85"/>
      <c r="V23" s="87"/>
      <c r="W23" s="85"/>
      <c r="X23" s="88"/>
      <c r="Y23" s="89"/>
      <c r="Z23" s="88"/>
      <c r="AA23" s="88"/>
      <c r="AB23" s="88"/>
      <c r="AF23" s="90"/>
      <c r="AK23" s="91"/>
      <c r="AM23" s="92"/>
      <c r="AN23" s="92"/>
      <c r="AO23" s="92"/>
      <c r="AP23" s="92"/>
      <c r="AQ23" s="92"/>
      <c r="AR23" s="92"/>
    </row>
    <row r="24" spans="1:44" s="84" customFormat="1" ht="24" customHeight="1" x14ac:dyDescent="0.3">
      <c r="A24" s="78" t="s">
        <v>3100</v>
      </c>
      <c r="B24" s="79" t="s">
        <v>2584</v>
      </c>
      <c r="C24" s="80">
        <v>1178040</v>
      </c>
      <c r="D24" s="80">
        <v>1104572</v>
      </c>
      <c r="E24" s="80">
        <v>29428726</v>
      </c>
      <c r="F24" s="81" t="s">
        <v>3146</v>
      </c>
      <c r="G24" s="82" t="s">
        <v>3147</v>
      </c>
      <c r="H24" s="82" t="s">
        <v>3148</v>
      </c>
      <c r="I24" s="82" t="s">
        <v>3103</v>
      </c>
      <c r="J24" s="83" t="e">
        <f>VLOOKUP($C24,CHOOSE({1,2},'[4]Prestações de Conta inadimplent'!$D$9:$D$2000,'[4]Prestações de Conta inadimplent'!$C$9:$C$2000),2,0)</f>
        <v>#N/A</v>
      </c>
      <c r="K24" s="95"/>
      <c r="L24" s="85"/>
      <c r="M24" s="85" t="e">
        <v>#REF!</v>
      </c>
      <c r="T24" s="86"/>
      <c r="U24" s="85"/>
      <c r="V24" s="87"/>
      <c r="W24" s="85"/>
      <c r="X24" s="88"/>
      <c r="Y24" s="89"/>
      <c r="Z24" s="89"/>
      <c r="AA24" s="88"/>
      <c r="AB24" s="88"/>
      <c r="AF24" s="90"/>
      <c r="AK24" s="91"/>
      <c r="AM24" s="92"/>
      <c r="AN24" s="92"/>
      <c r="AO24" s="92"/>
      <c r="AP24" s="92"/>
      <c r="AQ24" s="92"/>
      <c r="AR24" s="92"/>
    </row>
    <row r="25" spans="1:44" s="84" customFormat="1" ht="24" customHeight="1" x14ac:dyDescent="0.3">
      <c r="A25" s="78" t="s">
        <v>3100</v>
      </c>
      <c r="B25" s="79" t="s">
        <v>391</v>
      </c>
      <c r="C25" s="80">
        <v>1162480</v>
      </c>
      <c r="D25" s="80">
        <v>1103006</v>
      </c>
      <c r="E25" s="80">
        <v>29065356</v>
      </c>
      <c r="F25" s="81" t="s">
        <v>3149</v>
      </c>
      <c r="G25" s="82" t="s">
        <v>3101</v>
      </c>
      <c r="H25" s="82" t="s">
        <v>3150</v>
      </c>
      <c r="I25" s="82" t="s">
        <v>3103</v>
      </c>
      <c r="J25" s="83" t="e">
        <f>VLOOKUP($C25,CHOOSE({1,2},'[4]Prestações de Conta inadimplent'!$D$9:$D$2000,'[4]Prestações de Conta inadimplent'!$C$9:$C$2000),2,0)</f>
        <v>#N/A</v>
      </c>
      <c r="L25" s="85"/>
      <c r="M25" s="85" t="e">
        <v>#REF!</v>
      </c>
      <c r="T25" s="86"/>
      <c r="U25" s="85"/>
      <c r="V25" s="87"/>
      <c r="W25" s="85"/>
      <c r="X25" s="88"/>
      <c r="Y25" s="89"/>
      <c r="Z25" s="88"/>
      <c r="AA25" s="88"/>
      <c r="AB25" s="88"/>
      <c r="AF25" s="90"/>
      <c r="AK25" s="91"/>
      <c r="AM25" s="92"/>
      <c r="AN25" s="92"/>
      <c r="AO25" s="92"/>
      <c r="AP25" s="92"/>
      <c r="AQ25" s="92"/>
      <c r="AR25" s="92"/>
    </row>
    <row r="26" spans="1:44" s="84" customFormat="1" ht="24" customHeight="1" x14ac:dyDescent="0.3">
      <c r="A26" s="78" t="s">
        <v>3100</v>
      </c>
      <c r="B26" s="79" t="s">
        <v>391</v>
      </c>
      <c r="C26" s="80">
        <v>1178257</v>
      </c>
      <c r="D26" s="80">
        <v>1105497</v>
      </c>
      <c r="E26" s="80">
        <v>29536200</v>
      </c>
      <c r="F26" s="81" t="s">
        <v>3151</v>
      </c>
      <c r="G26" s="82" t="s">
        <v>3101</v>
      </c>
      <c r="H26" s="82" t="s">
        <v>3152</v>
      </c>
      <c r="I26" s="82" t="s">
        <v>3103</v>
      </c>
      <c r="J26" s="83" t="e">
        <f>VLOOKUP($C26,CHOOSE({1,2},'[4]Prestações de Conta inadimplent'!$D$9:$D$2000,'[4]Prestações de Conta inadimplent'!$C$9:$C$2000),2,0)</f>
        <v>#N/A</v>
      </c>
      <c r="L26" s="85"/>
      <c r="M26" s="85" t="e">
        <v>#REF!</v>
      </c>
      <c r="T26" s="86"/>
      <c r="U26" s="85"/>
      <c r="V26" s="87"/>
      <c r="W26" s="85"/>
      <c r="X26" s="88"/>
      <c r="Y26" s="89"/>
      <c r="Z26" s="89"/>
      <c r="AA26" s="88"/>
      <c r="AB26" s="88"/>
      <c r="AF26" s="90"/>
      <c r="AK26" s="91"/>
      <c r="AM26" s="92"/>
      <c r="AN26" s="92"/>
      <c r="AO26" s="92"/>
      <c r="AP26" s="92"/>
      <c r="AQ26" s="92"/>
      <c r="AR26" s="92"/>
    </row>
    <row r="27" spans="1:44" s="84" customFormat="1" ht="24" customHeight="1" x14ac:dyDescent="0.3">
      <c r="A27" s="78" t="s">
        <v>3100</v>
      </c>
      <c r="B27" s="79" t="s">
        <v>2789</v>
      </c>
      <c r="C27" s="80">
        <v>1178146</v>
      </c>
      <c r="D27" s="80">
        <v>1105452</v>
      </c>
      <c r="E27" s="80">
        <v>29445400</v>
      </c>
      <c r="F27" s="81" t="s">
        <v>3153</v>
      </c>
      <c r="G27" s="82" t="s">
        <v>3101</v>
      </c>
      <c r="H27" s="82" t="s">
        <v>3154</v>
      </c>
      <c r="I27" s="82" t="s">
        <v>3103</v>
      </c>
      <c r="J27" s="83" t="e">
        <f>VLOOKUP($C27,CHOOSE({1,2},'[4]Prestações de Conta inadimplent'!$D$9:$D$2000,'[4]Prestações de Conta inadimplent'!$C$9:$C$2000),2,0)</f>
        <v>#N/A</v>
      </c>
      <c r="L27" s="85"/>
      <c r="M27" s="85" t="e">
        <v>#REF!</v>
      </c>
      <c r="T27" s="86"/>
      <c r="U27" s="85"/>
      <c r="V27" s="87"/>
      <c r="W27" s="85"/>
      <c r="X27" s="88"/>
      <c r="Y27" s="89"/>
      <c r="Z27" s="89"/>
      <c r="AA27" s="88"/>
      <c r="AB27" s="88"/>
      <c r="AF27" s="90"/>
      <c r="AK27" s="91"/>
      <c r="AM27" s="92"/>
      <c r="AN27" s="92"/>
      <c r="AO27" s="92"/>
      <c r="AP27" s="92"/>
      <c r="AQ27" s="92"/>
      <c r="AR27" s="92"/>
    </row>
    <row r="28" spans="1:44" s="84" customFormat="1" ht="24" customHeight="1" x14ac:dyDescent="0.3">
      <c r="A28" s="78" t="s">
        <v>3100</v>
      </c>
      <c r="B28" s="79" t="s">
        <v>395</v>
      </c>
      <c r="C28" s="80">
        <v>1127154</v>
      </c>
      <c r="D28" s="80">
        <v>1103016</v>
      </c>
      <c r="E28" s="80">
        <v>29066395</v>
      </c>
      <c r="F28" s="81" t="s">
        <v>3155</v>
      </c>
      <c r="G28" s="82" t="s">
        <v>3156</v>
      </c>
      <c r="H28" s="82" t="s">
        <v>3157</v>
      </c>
      <c r="I28" s="82" t="s">
        <v>3103</v>
      </c>
      <c r="J28" s="83" t="e">
        <f>VLOOKUP($C28,CHOOSE({1,2},'[4]Prestações de Conta inadimplent'!$D$9:$D$2000,'[4]Prestações de Conta inadimplent'!$C$9:$C$2000),2,0)</f>
        <v>#N/A</v>
      </c>
      <c r="L28" s="85"/>
      <c r="M28" s="85" t="e">
        <v>#REF!</v>
      </c>
      <c r="T28" s="86"/>
      <c r="U28" s="85"/>
      <c r="V28" s="87"/>
      <c r="W28" s="85"/>
      <c r="X28" s="88"/>
      <c r="Y28" s="89"/>
      <c r="Z28" s="88"/>
      <c r="AA28" s="88"/>
      <c r="AB28" s="88"/>
      <c r="AF28" s="90"/>
      <c r="AK28" s="91"/>
      <c r="AM28" s="92"/>
      <c r="AN28" s="92"/>
      <c r="AO28" s="92"/>
      <c r="AP28" s="92"/>
      <c r="AQ28" s="92"/>
      <c r="AR28" s="92"/>
    </row>
    <row r="29" spans="1:44" s="84" customFormat="1" ht="24" customHeight="1" x14ac:dyDescent="0.3">
      <c r="A29" s="78" t="s">
        <v>3100</v>
      </c>
      <c r="B29" s="79" t="s">
        <v>399</v>
      </c>
      <c r="C29" s="80">
        <v>1162618</v>
      </c>
      <c r="D29" s="80">
        <v>1103020</v>
      </c>
      <c r="E29" s="80">
        <v>29067332</v>
      </c>
      <c r="F29" s="81" t="s">
        <v>3158</v>
      </c>
      <c r="G29" s="82" t="s">
        <v>3101</v>
      </c>
      <c r="H29" s="82" t="s">
        <v>3159</v>
      </c>
      <c r="I29" s="82" t="s">
        <v>3103</v>
      </c>
      <c r="J29" s="83" t="e">
        <f>VLOOKUP($C29,CHOOSE({1,2},'[4]Prestações de Conta inadimplent'!$D$9:$D$2000,'[4]Prestações de Conta inadimplent'!$C$9:$C$2000),2,0)</f>
        <v>#N/A</v>
      </c>
      <c r="L29" s="85"/>
      <c r="M29" s="85" t="e">
        <v>#REF!</v>
      </c>
      <c r="T29" s="86"/>
      <c r="U29" s="85"/>
      <c r="V29" s="87"/>
      <c r="W29" s="85"/>
      <c r="X29" s="88"/>
      <c r="Y29" s="89"/>
      <c r="Z29" s="89"/>
      <c r="AA29" s="88"/>
      <c r="AB29" s="88"/>
      <c r="AF29" s="90"/>
      <c r="AK29" s="91"/>
      <c r="AM29" s="92"/>
      <c r="AN29" s="92"/>
      <c r="AO29" s="92"/>
      <c r="AP29" s="92"/>
      <c r="AQ29" s="92"/>
      <c r="AR29" s="92"/>
    </row>
    <row r="30" spans="1:44" s="84" customFormat="1" ht="24" customHeight="1" x14ac:dyDescent="0.3">
      <c r="A30" s="78" t="s">
        <v>3100</v>
      </c>
      <c r="B30" s="79" t="s">
        <v>399</v>
      </c>
      <c r="C30" s="80">
        <v>1179655</v>
      </c>
      <c r="D30" s="80">
        <v>9999999</v>
      </c>
      <c r="E30" s="80">
        <v>29473365</v>
      </c>
      <c r="F30" s="81" t="s">
        <v>3160</v>
      </c>
      <c r="G30" s="82" t="s">
        <v>3101</v>
      </c>
      <c r="H30" s="82" t="s">
        <v>3161</v>
      </c>
      <c r="I30" s="82" t="s">
        <v>3103</v>
      </c>
      <c r="J30" s="83" t="e">
        <f>VLOOKUP($C30,CHOOSE({1,2},'[4]Prestações de Conta inadimplent'!$D$9:$D$2000,'[4]Prestações de Conta inadimplent'!$C$9:$C$2000),2,0)</f>
        <v>#N/A</v>
      </c>
      <c r="L30" s="85"/>
      <c r="M30" s="85" t="e">
        <v>#REF!</v>
      </c>
      <c r="T30" s="86"/>
      <c r="U30" s="85"/>
      <c r="V30" s="87"/>
      <c r="W30" s="85"/>
      <c r="X30" s="88"/>
      <c r="Y30" s="89"/>
      <c r="Z30" s="88"/>
      <c r="AA30" s="88"/>
      <c r="AB30" s="88"/>
      <c r="AF30" s="90"/>
      <c r="AK30" s="91"/>
      <c r="AM30" s="92"/>
      <c r="AN30" s="92"/>
      <c r="AO30" s="92"/>
      <c r="AP30" s="92"/>
      <c r="AQ30" s="92"/>
      <c r="AR30" s="92"/>
    </row>
    <row r="31" spans="1:44" s="84" customFormat="1" ht="24" customHeight="1" x14ac:dyDescent="0.3">
      <c r="A31" s="78" t="s">
        <v>3100</v>
      </c>
      <c r="B31" s="79" t="s">
        <v>2521</v>
      </c>
      <c r="C31" s="80">
        <v>1178038</v>
      </c>
      <c r="D31" s="80">
        <v>1103029</v>
      </c>
      <c r="E31" s="80">
        <v>29425328</v>
      </c>
      <c r="F31" s="81" t="s">
        <v>3162</v>
      </c>
      <c r="G31" s="82" t="s">
        <v>3163</v>
      </c>
      <c r="H31" s="82" t="s">
        <v>3164</v>
      </c>
      <c r="I31" s="82" t="s">
        <v>3103</v>
      </c>
      <c r="J31" s="83" t="e">
        <f>VLOOKUP($C31,CHOOSE({1,2},'[4]Prestações de Conta inadimplent'!$D$9:$D$2000,'[4]Prestações de Conta inadimplent'!$C$9:$C$2000),2,0)</f>
        <v>#N/A</v>
      </c>
      <c r="L31" s="85"/>
      <c r="M31" s="85" t="e">
        <v>#REF!</v>
      </c>
      <c r="T31" s="86"/>
      <c r="U31" s="85"/>
      <c r="V31" s="87"/>
      <c r="W31" s="85"/>
      <c r="X31" s="88"/>
      <c r="Y31" s="89"/>
      <c r="Z31" s="89"/>
      <c r="AA31" s="88"/>
      <c r="AB31" s="88"/>
      <c r="AF31" s="90"/>
      <c r="AK31" s="91"/>
      <c r="AM31" s="92"/>
      <c r="AN31" s="92"/>
      <c r="AO31" s="92"/>
      <c r="AP31" s="92"/>
      <c r="AQ31" s="92"/>
      <c r="AR31" s="92"/>
    </row>
    <row r="32" spans="1:44" s="84" customFormat="1" ht="24" customHeight="1" x14ac:dyDescent="0.3">
      <c r="A32" s="78" t="s">
        <v>3100</v>
      </c>
      <c r="B32" s="79" t="s">
        <v>273</v>
      </c>
      <c r="C32" s="80">
        <v>1176432</v>
      </c>
      <c r="D32" s="80">
        <v>1103048</v>
      </c>
      <c r="E32" s="80">
        <v>29395321</v>
      </c>
      <c r="F32" s="81" t="s">
        <v>2344</v>
      </c>
      <c r="G32" s="82" t="s">
        <v>3165</v>
      </c>
      <c r="H32" s="82" t="s">
        <v>3166</v>
      </c>
      <c r="I32" s="82" t="s">
        <v>3103</v>
      </c>
      <c r="J32" s="83" t="e">
        <f>VLOOKUP($C32,CHOOSE({1,2},'[4]Prestações de Conta inadimplent'!$D$9:$D$2000,'[4]Prestações de Conta inadimplent'!$C$9:$C$2000),2,0)</f>
        <v>#N/A</v>
      </c>
      <c r="K32" s="96"/>
      <c r="L32" s="85"/>
      <c r="M32" s="85" t="e">
        <v>#REF!</v>
      </c>
      <c r="T32" s="86"/>
      <c r="U32" s="85"/>
      <c r="V32" s="87"/>
      <c r="W32" s="85"/>
      <c r="X32" s="88"/>
      <c r="Y32" s="89"/>
      <c r="Z32" s="89"/>
      <c r="AA32" s="88"/>
      <c r="AB32" s="88"/>
      <c r="AF32" s="90"/>
      <c r="AK32" s="91"/>
      <c r="AM32" s="92"/>
      <c r="AN32" s="92"/>
      <c r="AO32" s="92"/>
      <c r="AP32" s="92"/>
      <c r="AQ32" s="92"/>
      <c r="AR32" s="92"/>
    </row>
    <row r="33" spans="1:44" s="84" customFormat="1" ht="24" customHeight="1" x14ac:dyDescent="0.3">
      <c r="A33" s="78" t="s">
        <v>3100</v>
      </c>
      <c r="B33" s="79" t="s">
        <v>273</v>
      </c>
      <c r="C33" s="80">
        <v>1126808</v>
      </c>
      <c r="D33" s="80">
        <v>1103030</v>
      </c>
      <c r="E33" s="80">
        <v>29041333</v>
      </c>
      <c r="F33" s="81" t="s">
        <v>3167</v>
      </c>
      <c r="G33" s="82" t="s">
        <v>3165</v>
      </c>
      <c r="H33" s="82" t="s">
        <v>3168</v>
      </c>
      <c r="I33" s="82" t="s">
        <v>3103</v>
      </c>
      <c r="J33" s="83" t="e">
        <f>VLOOKUP($C33,CHOOSE({1,2},'[4]Prestações de Conta inadimplent'!$D$9:$D$2000,'[4]Prestações de Conta inadimplent'!$C$9:$C$2000),2,0)</f>
        <v>#N/A</v>
      </c>
      <c r="K33" s="96"/>
      <c r="L33" s="85"/>
      <c r="M33" s="85" t="e">
        <v>#REF!</v>
      </c>
      <c r="T33" s="86"/>
      <c r="U33" s="85"/>
      <c r="V33" s="87"/>
      <c r="W33" s="85"/>
      <c r="X33" s="88"/>
      <c r="Y33" s="89"/>
      <c r="Z33" s="88"/>
      <c r="AA33" s="88"/>
      <c r="AB33" s="88"/>
      <c r="AF33" s="90"/>
      <c r="AH33" s="85"/>
      <c r="AK33" s="91"/>
      <c r="AM33" s="92"/>
      <c r="AN33" s="92"/>
      <c r="AO33" s="92"/>
      <c r="AP33" s="92"/>
      <c r="AQ33" s="92"/>
      <c r="AR33" s="92"/>
    </row>
    <row r="34" spans="1:44" s="84" customFormat="1" ht="24" customHeight="1" x14ac:dyDescent="0.3">
      <c r="A34" s="78" t="s">
        <v>3169</v>
      </c>
      <c r="B34" s="79" t="s">
        <v>264</v>
      </c>
      <c r="C34" s="80">
        <v>1178324</v>
      </c>
      <c r="D34" s="80">
        <v>1105547</v>
      </c>
      <c r="E34" s="80">
        <v>29863724</v>
      </c>
      <c r="F34" s="81" t="s">
        <v>3170</v>
      </c>
      <c r="G34" s="82" t="s">
        <v>3171</v>
      </c>
      <c r="H34" s="82" t="s">
        <v>3172</v>
      </c>
      <c r="I34" s="82" t="s">
        <v>3103</v>
      </c>
      <c r="J34" s="83" t="e">
        <f>VLOOKUP($C34,CHOOSE({1,2},'[4]Prestações de Conta inadimplent'!$D$9:$D$2000,'[4]Prestações de Conta inadimplent'!$C$9:$C$2000),2,0)</f>
        <v>#N/A</v>
      </c>
      <c r="L34" s="85"/>
      <c r="M34" s="85" t="e">
        <v>#REF!</v>
      </c>
      <c r="T34" s="86"/>
      <c r="U34" s="85"/>
      <c r="V34" s="87"/>
      <c r="W34" s="85"/>
      <c r="X34" s="88"/>
      <c r="Y34" s="89"/>
      <c r="Z34" s="89"/>
      <c r="AA34" s="88"/>
      <c r="AB34" s="88"/>
      <c r="AF34" s="90"/>
      <c r="AK34" s="91"/>
      <c r="AM34" s="92"/>
      <c r="AN34" s="92"/>
      <c r="AO34" s="92"/>
      <c r="AP34" s="92"/>
      <c r="AQ34" s="92"/>
      <c r="AR34" s="92"/>
    </row>
    <row r="35" spans="1:44" s="84" customFormat="1" ht="24" customHeight="1" x14ac:dyDescent="0.3">
      <c r="A35" s="78" t="s">
        <v>3169</v>
      </c>
      <c r="B35" s="79" t="s">
        <v>264</v>
      </c>
      <c r="C35" s="80">
        <v>1127502</v>
      </c>
      <c r="D35" s="80">
        <v>1103051</v>
      </c>
      <c r="E35" s="80">
        <v>29036143</v>
      </c>
      <c r="F35" s="81" t="s">
        <v>3173</v>
      </c>
      <c r="G35" s="82" t="s">
        <v>3171</v>
      </c>
      <c r="H35" s="82" t="s">
        <v>3174</v>
      </c>
      <c r="I35" s="82" t="s">
        <v>3103</v>
      </c>
      <c r="J35" s="83" t="e">
        <f>VLOOKUP($C35,CHOOSE({1,2},'[4]Prestações de Conta inadimplent'!$D$9:$D$2000,'[4]Prestações de Conta inadimplent'!$C$9:$C$2000),2,0)</f>
        <v>#N/A</v>
      </c>
      <c r="L35" s="85"/>
      <c r="M35" s="85" t="e">
        <v>#REF!</v>
      </c>
      <c r="T35" s="86"/>
      <c r="U35" s="85"/>
      <c r="V35" s="87"/>
      <c r="W35" s="85"/>
      <c r="X35" s="88"/>
      <c r="Y35" s="89"/>
      <c r="Z35" s="89"/>
      <c r="AA35" s="88"/>
      <c r="AB35" s="88"/>
      <c r="AF35" s="90"/>
      <c r="AK35" s="91"/>
      <c r="AM35" s="92"/>
      <c r="AN35" s="92"/>
      <c r="AO35" s="92"/>
      <c r="AP35" s="92"/>
      <c r="AQ35" s="92"/>
      <c r="AR35" s="92"/>
    </row>
    <row r="36" spans="1:44" s="84" customFormat="1" ht="24" customHeight="1" x14ac:dyDescent="0.3">
      <c r="A36" s="78" t="s">
        <v>3169</v>
      </c>
      <c r="B36" s="79" t="s">
        <v>264</v>
      </c>
      <c r="C36" s="80">
        <v>1179431</v>
      </c>
      <c r="D36" s="80">
        <v>9999999</v>
      </c>
      <c r="E36" s="80">
        <v>29464374</v>
      </c>
      <c r="F36" s="81" t="s">
        <v>3175</v>
      </c>
      <c r="G36" s="82" t="s">
        <v>3171</v>
      </c>
      <c r="H36" s="82" t="s">
        <v>3176</v>
      </c>
      <c r="I36" s="82" t="s">
        <v>3103</v>
      </c>
      <c r="J36" s="83" t="e">
        <f>VLOOKUP($C36,CHOOSE({1,2},'[4]Prestações de Conta inadimplent'!$D$9:$D$2000,'[4]Prestações de Conta inadimplent'!$C$9:$C$2000),2,0)</f>
        <v>#N/A</v>
      </c>
      <c r="L36" s="85"/>
      <c r="M36" s="85" t="e">
        <v>#REF!</v>
      </c>
      <c r="T36" s="86"/>
      <c r="U36" s="85"/>
      <c r="V36" s="85"/>
      <c r="W36" s="85"/>
      <c r="X36" s="88"/>
      <c r="Y36" s="89"/>
      <c r="Z36" s="89"/>
      <c r="AA36" s="88"/>
      <c r="AB36" s="88"/>
      <c r="AF36" s="90"/>
      <c r="AK36" s="91"/>
      <c r="AM36" s="92"/>
      <c r="AN36" s="92"/>
      <c r="AO36" s="92"/>
      <c r="AP36" s="92"/>
      <c r="AQ36" s="92"/>
      <c r="AR36" s="92"/>
    </row>
    <row r="37" spans="1:44" s="84" customFormat="1" ht="24" customHeight="1" x14ac:dyDescent="0.3">
      <c r="A37" s="78" t="s">
        <v>3169</v>
      </c>
      <c r="B37" s="79" t="s">
        <v>277</v>
      </c>
      <c r="C37" s="80">
        <v>1179282</v>
      </c>
      <c r="D37" s="80">
        <v>9999999</v>
      </c>
      <c r="E37" s="80">
        <v>29461499</v>
      </c>
      <c r="F37" s="81" t="s">
        <v>3177</v>
      </c>
      <c r="G37" s="82" t="s">
        <v>3178</v>
      </c>
      <c r="H37" s="82" t="s">
        <v>3179</v>
      </c>
      <c r="I37" s="82" t="s">
        <v>3103</v>
      </c>
      <c r="J37" s="83" t="e">
        <f>VLOOKUP($C37,CHOOSE({1,2},'[4]Prestações de Conta inadimplent'!$D$9:$D$2000,'[4]Prestações de Conta inadimplent'!$C$9:$C$2000),2,0)</f>
        <v>#N/A</v>
      </c>
      <c r="L37" s="85"/>
      <c r="M37" s="85" t="e">
        <v>#REF!</v>
      </c>
      <c r="T37" s="86"/>
      <c r="U37" s="85"/>
      <c r="V37" s="85"/>
      <c r="W37" s="85"/>
      <c r="X37" s="88"/>
      <c r="Y37" s="89"/>
      <c r="Z37" s="88"/>
      <c r="AA37" s="88"/>
      <c r="AB37" s="88"/>
      <c r="AF37" s="90"/>
      <c r="AK37" s="91"/>
      <c r="AM37" s="92"/>
      <c r="AN37" s="92"/>
      <c r="AO37" s="92"/>
      <c r="AP37" s="92"/>
      <c r="AQ37" s="92"/>
      <c r="AR37" s="92"/>
    </row>
    <row r="38" spans="1:44" s="84" customFormat="1" ht="24" customHeight="1" x14ac:dyDescent="0.3">
      <c r="A38" s="78" t="s">
        <v>3169</v>
      </c>
      <c r="B38" s="79" t="s">
        <v>277</v>
      </c>
      <c r="C38" s="80">
        <v>1178018</v>
      </c>
      <c r="D38" s="80">
        <v>1103393</v>
      </c>
      <c r="E38" s="80">
        <v>29427940</v>
      </c>
      <c r="F38" s="81" t="s">
        <v>2558</v>
      </c>
      <c r="G38" s="82" t="s">
        <v>3178</v>
      </c>
      <c r="H38" s="82" t="s">
        <v>3180</v>
      </c>
      <c r="I38" s="82" t="s">
        <v>3122</v>
      </c>
      <c r="J38" s="83" t="str">
        <f>VLOOKUP($C38,CHOOSE({1,2},'[4]Prestações de Conta inadimplent'!$D$9:$D$2000,'[4]Prestações de Conta inadimplent'!$C$9:$C$2000),2,0)</f>
        <v>Colegio Estadual Do Campo Projeto Formoso</v>
      </c>
      <c r="L38" s="85"/>
      <c r="M38" s="85" t="e">
        <v>#REF!</v>
      </c>
      <c r="T38" s="86"/>
      <c r="U38" s="85"/>
      <c r="V38" s="87"/>
      <c r="W38" s="85"/>
      <c r="X38" s="88"/>
      <c r="Y38" s="89"/>
      <c r="Z38" s="88"/>
      <c r="AA38" s="88"/>
      <c r="AB38" s="88"/>
      <c r="AF38" s="90"/>
      <c r="AK38" s="91"/>
      <c r="AM38" s="92"/>
      <c r="AN38" s="92"/>
      <c r="AO38" s="92"/>
      <c r="AP38" s="92"/>
      <c r="AQ38" s="92"/>
      <c r="AR38" s="92"/>
    </row>
    <row r="39" spans="1:44" s="84" customFormat="1" ht="24" customHeight="1" x14ac:dyDescent="0.3">
      <c r="A39" s="78" t="s">
        <v>3169</v>
      </c>
      <c r="B39" s="79" t="s">
        <v>277</v>
      </c>
      <c r="C39" s="80">
        <v>1131720</v>
      </c>
      <c r="D39" s="80">
        <v>1103387</v>
      </c>
      <c r="E39" s="80">
        <v>29043085</v>
      </c>
      <c r="F39" s="81" t="s">
        <v>3181</v>
      </c>
      <c r="G39" s="82" t="s">
        <v>3178</v>
      </c>
      <c r="H39" s="82" t="s">
        <v>3182</v>
      </c>
      <c r="I39" s="82" t="s">
        <v>3103</v>
      </c>
      <c r="J39" s="83" t="e">
        <f>VLOOKUP($C39,CHOOSE({1,2},'[4]Prestações de Conta inadimplent'!$D$9:$D$2000,'[4]Prestações de Conta inadimplent'!$C$9:$C$2000),2,0)</f>
        <v>#N/A</v>
      </c>
      <c r="L39" s="85"/>
      <c r="M39" s="85" t="e">
        <v>#REF!</v>
      </c>
      <c r="T39" s="86"/>
      <c r="U39" s="85"/>
      <c r="V39" s="87"/>
      <c r="W39" s="85"/>
      <c r="X39" s="88"/>
      <c r="Y39" s="89"/>
      <c r="Z39" s="88"/>
      <c r="AA39" s="88"/>
      <c r="AB39" s="88"/>
      <c r="AF39" s="90"/>
      <c r="AK39" s="91"/>
      <c r="AM39" s="92"/>
      <c r="AN39" s="92"/>
      <c r="AO39" s="92"/>
      <c r="AP39" s="92"/>
      <c r="AQ39" s="92"/>
      <c r="AR39" s="92"/>
    </row>
    <row r="40" spans="1:44" s="84" customFormat="1" ht="24" customHeight="1" x14ac:dyDescent="0.3">
      <c r="A40" s="78" t="s">
        <v>3169</v>
      </c>
      <c r="B40" s="79" t="s">
        <v>277</v>
      </c>
      <c r="C40" s="80">
        <v>1179704</v>
      </c>
      <c r="D40" s="80">
        <v>9999999</v>
      </c>
      <c r="E40" s="80">
        <v>29481325</v>
      </c>
      <c r="F40" s="81" t="s">
        <v>3183</v>
      </c>
      <c r="G40" s="82" t="s">
        <v>3178</v>
      </c>
      <c r="H40" s="82" t="s">
        <v>3184</v>
      </c>
      <c r="I40" s="82" t="s">
        <v>3103</v>
      </c>
      <c r="J40" s="83" t="e">
        <f>VLOOKUP($C40,CHOOSE({1,2},'[4]Prestações de Conta inadimplent'!$D$9:$D$2000,'[4]Prestações de Conta inadimplent'!$C$9:$C$2000),2,0)</f>
        <v>#N/A</v>
      </c>
      <c r="L40" s="85"/>
      <c r="M40" s="85" t="e">
        <v>#REF!</v>
      </c>
      <c r="T40" s="86"/>
      <c r="U40" s="85"/>
      <c r="V40" s="85"/>
      <c r="W40" s="85"/>
      <c r="X40" s="88"/>
      <c r="Y40" s="89"/>
      <c r="Z40" s="88"/>
      <c r="AA40" s="88"/>
      <c r="AB40" s="88"/>
      <c r="AF40" s="90"/>
      <c r="AK40" s="91"/>
      <c r="AM40" s="92"/>
      <c r="AN40" s="92"/>
      <c r="AO40" s="92"/>
      <c r="AP40" s="92"/>
      <c r="AQ40" s="92"/>
      <c r="AR40" s="92"/>
    </row>
    <row r="41" spans="1:44" s="84" customFormat="1" ht="24" customHeight="1" x14ac:dyDescent="0.3">
      <c r="A41" s="78" t="s">
        <v>3169</v>
      </c>
      <c r="B41" s="79" t="s">
        <v>277</v>
      </c>
      <c r="C41" s="80">
        <v>1179668</v>
      </c>
      <c r="D41" s="80">
        <v>9999999</v>
      </c>
      <c r="E41" s="80">
        <v>29474892</v>
      </c>
      <c r="F41" s="81" t="s">
        <v>3185</v>
      </c>
      <c r="G41" s="82" t="s">
        <v>3178</v>
      </c>
      <c r="H41" s="82" t="s">
        <v>3186</v>
      </c>
      <c r="I41" s="82" t="s">
        <v>3122</v>
      </c>
      <c r="J41" s="83" t="str">
        <f>VLOOKUP($C41,CHOOSE({1,2},'[4]Prestações de Conta inadimplent'!$D$9:$D$2000,'[4]Prestações de Conta inadimplent'!$C$9:$C$2000),2,0)</f>
        <v>Colegio Estadual Everton Oliveira De Santana</v>
      </c>
      <c r="L41" s="85"/>
      <c r="M41" s="85" t="e">
        <v>#REF!</v>
      </c>
      <c r="T41" s="86"/>
      <c r="U41" s="85"/>
      <c r="V41" s="87"/>
      <c r="W41" s="85"/>
      <c r="X41" s="88"/>
      <c r="Y41" s="89"/>
      <c r="Z41" s="89"/>
      <c r="AA41" s="88"/>
      <c r="AB41" s="88"/>
      <c r="AF41" s="90"/>
      <c r="AH41" s="85"/>
      <c r="AK41" s="91"/>
      <c r="AM41" s="92"/>
      <c r="AN41" s="92"/>
      <c r="AO41" s="92"/>
      <c r="AP41" s="92"/>
      <c r="AQ41" s="92"/>
      <c r="AR41" s="92"/>
    </row>
    <row r="42" spans="1:44" s="84" customFormat="1" ht="24" customHeight="1" x14ac:dyDescent="0.3">
      <c r="A42" s="78" t="s">
        <v>3169</v>
      </c>
      <c r="B42" s="79" t="s">
        <v>277</v>
      </c>
      <c r="C42" s="80">
        <v>1176437</v>
      </c>
      <c r="D42" s="80">
        <v>1103391</v>
      </c>
      <c r="E42" s="80">
        <v>29385334</v>
      </c>
      <c r="F42" s="81" t="s">
        <v>3187</v>
      </c>
      <c r="G42" s="82" t="s">
        <v>3178</v>
      </c>
      <c r="H42" s="82" t="s">
        <v>3188</v>
      </c>
      <c r="I42" s="82" t="s">
        <v>3103</v>
      </c>
      <c r="J42" s="83" t="e">
        <f>VLOOKUP($C42,CHOOSE({1,2},'[4]Prestações de Conta inadimplent'!$D$9:$D$2000,'[4]Prestações de Conta inadimplent'!$C$9:$C$2000),2,0)</f>
        <v>#N/A</v>
      </c>
      <c r="L42" s="85"/>
      <c r="M42" s="85" t="e">
        <v>#REF!</v>
      </c>
      <c r="T42" s="86"/>
      <c r="U42" s="85"/>
      <c r="V42" s="87"/>
      <c r="W42" s="85"/>
      <c r="X42" s="88"/>
      <c r="Y42" s="89"/>
      <c r="Z42" s="88"/>
      <c r="AA42" s="88"/>
      <c r="AB42" s="88"/>
      <c r="AF42" s="90"/>
      <c r="AK42" s="91"/>
      <c r="AM42" s="92"/>
      <c r="AN42" s="92"/>
      <c r="AO42" s="92"/>
      <c r="AP42" s="92"/>
      <c r="AQ42" s="92"/>
      <c r="AR42" s="92"/>
    </row>
    <row r="43" spans="1:44" s="84" customFormat="1" ht="24" customHeight="1" x14ac:dyDescent="0.3">
      <c r="A43" s="78" t="s">
        <v>3169</v>
      </c>
      <c r="B43" s="79" t="s">
        <v>1487</v>
      </c>
      <c r="C43" s="80">
        <v>1127456</v>
      </c>
      <c r="D43" s="80">
        <v>1103060</v>
      </c>
      <c r="E43" s="80">
        <v>29205000</v>
      </c>
      <c r="F43" s="81" t="s">
        <v>3189</v>
      </c>
      <c r="G43" s="82" t="s">
        <v>3131</v>
      </c>
      <c r="H43" s="82" t="s">
        <v>3190</v>
      </c>
      <c r="I43" s="82" t="s">
        <v>3103</v>
      </c>
      <c r="J43" s="83" t="e">
        <f>VLOOKUP($C43,CHOOSE({1,2},'[4]Prestações de Conta inadimplent'!$D$9:$D$2000,'[4]Prestações de Conta inadimplent'!$C$9:$C$2000),2,0)</f>
        <v>#N/A</v>
      </c>
      <c r="L43" s="85"/>
      <c r="M43" s="85" t="e">
        <v>#REF!</v>
      </c>
      <c r="T43" s="86"/>
      <c r="U43" s="85"/>
      <c r="V43" s="87"/>
      <c r="W43" s="85"/>
      <c r="X43" s="88"/>
      <c r="Y43" s="89"/>
      <c r="Z43" s="89"/>
      <c r="AA43" s="88"/>
      <c r="AB43" s="88"/>
      <c r="AF43" s="90"/>
      <c r="AK43" s="91"/>
      <c r="AM43" s="92"/>
      <c r="AN43" s="92"/>
      <c r="AO43" s="92"/>
      <c r="AP43" s="92"/>
      <c r="AQ43" s="92"/>
      <c r="AR43" s="92"/>
    </row>
    <row r="44" spans="1:44" s="84" customFormat="1" ht="24" customHeight="1" x14ac:dyDescent="0.3">
      <c r="A44" s="78" t="s">
        <v>3169</v>
      </c>
      <c r="B44" s="79" t="s">
        <v>1487</v>
      </c>
      <c r="C44" s="80">
        <v>1179813</v>
      </c>
      <c r="D44" s="80">
        <v>9999999</v>
      </c>
      <c r="E44" s="80">
        <v>29489466</v>
      </c>
      <c r="F44" s="81" t="s">
        <v>3191</v>
      </c>
      <c r="G44" s="82" t="s">
        <v>3192</v>
      </c>
      <c r="H44" s="82" t="s">
        <v>3192</v>
      </c>
      <c r="I44" s="82" t="s">
        <v>3122</v>
      </c>
      <c r="J44" s="83" t="str">
        <f>VLOOKUP($C44,CHOOSE({1,2},'[4]Prestações de Conta inadimplent'!$D$9:$D$2000,'[4]Prestações de Conta inadimplent'!$C$9:$C$2000),2,0)</f>
        <v>Colegio Estadual Do Campo Rita De Oliveira Barauna</v>
      </c>
      <c r="L44" s="85"/>
      <c r="M44" s="85"/>
      <c r="T44" s="86"/>
      <c r="U44" s="85"/>
      <c r="V44" s="87"/>
      <c r="W44" s="85"/>
      <c r="X44" s="88"/>
      <c r="Y44" s="89"/>
      <c r="Z44" s="89"/>
      <c r="AA44" s="88"/>
      <c r="AB44" s="88"/>
      <c r="AF44" s="90"/>
      <c r="AK44" s="91"/>
      <c r="AM44" s="92"/>
      <c r="AN44" s="92"/>
      <c r="AO44" s="92"/>
      <c r="AP44" s="92"/>
      <c r="AQ44" s="92"/>
      <c r="AR44" s="92"/>
    </row>
    <row r="45" spans="1:44" s="84" customFormat="1" ht="24" customHeight="1" x14ac:dyDescent="0.3">
      <c r="A45" s="78" t="s">
        <v>3169</v>
      </c>
      <c r="B45" s="79" t="s">
        <v>281</v>
      </c>
      <c r="C45" s="80">
        <v>1128762</v>
      </c>
      <c r="D45" s="80">
        <v>1103712</v>
      </c>
      <c r="E45" s="80">
        <v>29044570</v>
      </c>
      <c r="F45" s="81" t="s">
        <v>3193</v>
      </c>
      <c r="G45" s="82" t="s">
        <v>3194</v>
      </c>
      <c r="H45" s="82" t="s">
        <v>3195</v>
      </c>
      <c r="I45" s="82" t="s">
        <v>3103</v>
      </c>
      <c r="J45" s="83" t="e">
        <f>VLOOKUP($C45,CHOOSE({1,2},'[4]Prestações de Conta inadimplent'!$D$9:$D$2000,'[4]Prestações de Conta inadimplent'!$C$9:$C$2000),2,0)</f>
        <v>#N/A</v>
      </c>
      <c r="L45" s="85"/>
      <c r="M45" s="85" t="e">
        <v>#REF!</v>
      </c>
      <c r="T45" s="86"/>
      <c r="U45" s="85"/>
      <c r="V45" s="87"/>
      <c r="W45" s="85"/>
      <c r="X45" s="88"/>
      <c r="Y45" s="89"/>
      <c r="Z45" s="89"/>
      <c r="AA45" s="88"/>
      <c r="AB45" s="88"/>
      <c r="AF45" s="90"/>
      <c r="AK45" s="91"/>
      <c r="AM45" s="92"/>
      <c r="AN45" s="92"/>
      <c r="AO45" s="92"/>
      <c r="AP45" s="92"/>
      <c r="AQ45" s="92"/>
      <c r="AR45" s="92"/>
    </row>
    <row r="46" spans="1:44" s="84" customFormat="1" ht="24" customHeight="1" x14ac:dyDescent="0.3">
      <c r="A46" s="78" t="s">
        <v>3169</v>
      </c>
      <c r="B46" s="79" t="s">
        <v>2838</v>
      </c>
      <c r="C46" s="80">
        <v>1178280</v>
      </c>
      <c r="D46" s="80">
        <v>1105521</v>
      </c>
      <c r="E46" s="80">
        <v>29455405</v>
      </c>
      <c r="F46" s="81" t="s">
        <v>3196</v>
      </c>
      <c r="G46" s="82" t="s">
        <v>3197</v>
      </c>
      <c r="H46" s="82" t="s">
        <v>3198</v>
      </c>
      <c r="I46" s="82" t="s">
        <v>3122</v>
      </c>
      <c r="J46" s="83" t="str">
        <f>VLOOKUP($C46,CHOOSE({1,2},'[4]Prestações de Conta inadimplent'!$D$9:$D$2000,'[4]Prestações de Conta inadimplent'!$C$9:$C$2000),2,0)</f>
        <v>Colegio Estadual Filomena Pereira Rodrigues</v>
      </c>
      <c r="L46" s="85"/>
      <c r="M46" s="85" t="e">
        <v>#REF!</v>
      </c>
      <c r="T46" s="86"/>
      <c r="U46" s="85"/>
      <c r="V46" s="87"/>
      <c r="W46" s="85"/>
      <c r="X46" s="88"/>
      <c r="Y46" s="89"/>
      <c r="Z46" s="89"/>
      <c r="AA46" s="88"/>
      <c r="AB46" s="88"/>
      <c r="AF46" s="90"/>
      <c r="AK46" s="91"/>
      <c r="AM46" s="92"/>
      <c r="AN46" s="92"/>
      <c r="AO46" s="92"/>
      <c r="AP46" s="92"/>
      <c r="AQ46" s="92"/>
      <c r="AR46" s="92"/>
    </row>
    <row r="47" spans="1:44" s="84" customFormat="1" ht="24" customHeight="1" x14ac:dyDescent="0.3">
      <c r="A47" s="78" t="s">
        <v>3169</v>
      </c>
      <c r="B47" s="79" t="s">
        <v>268</v>
      </c>
      <c r="C47" s="80">
        <v>1178432</v>
      </c>
      <c r="D47" s="80">
        <v>1105582</v>
      </c>
      <c r="E47" s="80">
        <v>29345936</v>
      </c>
      <c r="F47" s="81" t="s">
        <v>3199</v>
      </c>
      <c r="G47" s="82" t="s">
        <v>3200</v>
      </c>
      <c r="H47" s="82" t="s">
        <v>3201</v>
      </c>
      <c r="I47" s="82" t="s">
        <v>3103</v>
      </c>
      <c r="J47" s="83" t="e">
        <f>VLOOKUP($C47,CHOOSE({1,2},'[4]Prestações de Conta inadimplent'!$D$9:$D$2000,'[4]Prestações de Conta inadimplent'!$C$9:$C$2000),2,0)</f>
        <v>#N/A</v>
      </c>
      <c r="L47" s="85"/>
      <c r="M47" s="85" t="e">
        <v>#REF!</v>
      </c>
      <c r="T47" s="86"/>
      <c r="U47" s="85"/>
      <c r="V47" s="87"/>
      <c r="W47" s="85"/>
      <c r="X47" s="88"/>
      <c r="Y47" s="89"/>
      <c r="Z47" s="89"/>
      <c r="AA47" s="88"/>
      <c r="AB47" s="88"/>
      <c r="AF47" s="90"/>
      <c r="AK47" s="91"/>
      <c r="AM47" s="92"/>
      <c r="AN47" s="92"/>
      <c r="AO47" s="92"/>
      <c r="AP47" s="92"/>
      <c r="AQ47" s="92"/>
      <c r="AR47" s="92"/>
    </row>
    <row r="48" spans="1:44" s="84" customFormat="1" ht="24" customHeight="1" x14ac:dyDescent="0.3">
      <c r="A48" s="78" t="s">
        <v>3169</v>
      </c>
      <c r="B48" s="79" t="s">
        <v>268</v>
      </c>
      <c r="C48" s="80">
        <v>1127324</v>
      </c>
      <c r="D48" s="80">
        <v>1103069</v>
      </c>
      <c r="E48" s="80">
        <v>29038820</v>
      </c>
      <c r="F48" s="81" t="s">
        <v>3202</v>
      </c>
      <c r="G48" s="82" t="s">
        <v>3200</v>
      </c>
      <c r="H48" s="82" t="s">
        <v>3203</v>
      </c>
      <c r="I48" s="82" t="s">
        <v>3103</v>
      </c>
      <c r="J48" s="83" t="e">
        <f>VLOOKUP($C48,CHOOSE({1,2},'[4]Prestações de Conta inadimplent'!$D$9:$D$2000,'[4]Prestações de Conta inadimplent'!$C$9:$C$2000),2,0)</f>
        <v>#N/A</v>
      </c>
      <c r="K48" s="95"/>
      <c r="L48" s="85"/>
      <c r="M48" s="85" t="e">
        <v>#REF!</v>
      </c>
      <c r="T48" s="86"/>
      <c r="U48" s="85"/>
      <c r="V48" s="87"/>
      <c r="W48" s="85"/>
      <c r="X48" s="88"/>
      <c r="Y48" s="89"/>
      <c r="Z48" s="89"/>
      <c r="AA48" s="88"/>
      <c r="AB48" s="88"/>
      <c r="AF48" s="90"/>
      <c r="AK48" s="91"/>
      <c r="AM48" s="92"/>
      <c r="AN48" s="92"/>
      <c r="AO48" s="92"/>
      <c r="AP48" s="92"/>
      <c r="AQ48" s="92"/>
      <c r="AR48" s="92"/>
    </row>
    <row r="49" spans="1:44" s="84" customFormat="1" ht="24" customHeight="1" x14ac:dyDescent="0.3">
      <c r="A49" s="78" t="s">
        <v>3169</v>
      </c>
      <c r="B49" s="79" t="s">
        <v>268</v>
      </c>
      <c r="C49" s="80">
        <v>1176434</v>
      </c>
      <c r="D49" s="80">
        <v>1103079</v>
      </c>
      <c r="E49" s="80">
        <v>29391512</v>
      </c>
      <c r="F49" s="81" t="s">
        <v>2330</v>
      </c>
      <c r="G49" s="82" t="s">
        <v>3200</v>
      </c>
      <c r="H49" s="82" t="s">
        <v>3204</v>
      </c>
      <c r="I49" s="82" t="s">
        <v>3103</v>
      </c>
      <c r="J49" s="83" t="e">
        <f>VLOOKUP($C49,CHOOSE({1,2},'[4]Prestações de Conta inadimplent'!$D$9:$D$2000,'[4]Prestações de Conta inadimplent'!$C$9:$C$2000),2,0)</f>
        <v>#N/A</v>
      </c>
      <c r="L49" s="85"/>
      <c r="M49" s="85" t="e">
        <v>#REF!</v>
      </c>
      <c r="T49" s="86"/>
      <c r="U49" s="85"/>
      <c r="V49" s="87"/>
      <c r="W49" s="85"/>
      <c r="X49" s="88"/>
      <c r="Y49" s="89"/>
      <c r="Z49" s="89"/>
      <c r="AA49" s="88"/>
      <c r="AB49" s="88"/>
      <c r="AF49" s="90"/>
      <c r="AK49" s="91"/>
      <c r="AM49" s="92"/>
      <c r="AN49" s="92"/>
      <c r="AO49" s="92"/>
      <c r="AP49" s="92"/>
      <c r="AQ49" s="92"/>
      <c r="AR49" s="92"/>
    </row>
    <row r="50" spans="1:44" s="84" customFormat="1" ht="24" customHeight="1" x14ac:dyDescent="0.3">
      <c r="A50" s="78" t="s">
        <v>3169</v>
      </c>
      <c r="B50" s="79" t="s">
        <v>1711</v>
      </c>
      <c r="C50" s="80">
        <v>1131402</v>
      </c>
      <c r="D50" s="80">
        <v>1103198</v>
      </c>
      <c r="E50" s="80">
        <v>29245893</v>
      </c>
      <c r="F50" s="81" t="s">
        <v>1712</v>
      </c>
      <c r="G50" s="82" t="s">
        <v>3205</v>
      </c>
      <c r="H50" s="82" t="s">
        <v>3206</v>
      </c>
      <c r="I50" s="82" t="s">
        <v>3103</v>
      </c>
      <c r="J50" s="83" t="e">
        <f>VLOOKUP($C50,CHOOSE({1,2},'[4]Prestações de Conta inadimplent'!$D$9:$D$2000,'[4]Prestações de Conta inadimplent'!$C$9:$C$2000),2,0)</f>
        <v>#N/A</v>
      </c>
      <c r="L50" s="85"/>
      <c r="M50" s="85" t="e">
        <v>#REF!</v>
      </c>
      <c r="T50" s="86"/>
      <c r="U50" s="85"/>
      <c r="V50" s="87"/>
      <c r="W50" s="85"/>
      <c r="X50" s="88"/>
      <c r="Y50" s="89"/>
      <c r="Z50" s="88"/>
      <c r="AA50" s="88"/>
      <c r="AB50" s="88"/>
      <c r="AF50" s="90"/>
      <c r="AK50" s="91"/>
      <c r="AM50" s="92"/>
      <c r="AN50" s="92"/>
      <c r="AO50" s="92"/>
      <c r="AP50" s="92"/>
      <c r="AQ50" s="92"/>
      <c r="AR50" s="92"/>
    </row>
    <row r="51" spans="1:44" s="84" customFormat="1" ht="24" customHeight="1" x14ac:dyDescent="0.3">
      <c r="A51" s="78" t="s">
        <v>3169</v>
      </c>
      <c r="B51" s="79" t="s">
        <v>2737</v>
      </c>
      <c r="C51" s="80">
        <v>1178150</v>
      </c>
      <c r="D51" s="80">
        <v>1105429</v>
      </c>
      <c r="E51" s="80">
        <v>29437911</v>
      </c>
      <c r="F51" s="81" t="s">
        <v>2738</v>
      </c>
      <c r="G51" s="82" t="s">
        <v>3207</v>
      </c>
      <c r="H51" s="82" t="s">
        <v>3208</v>
      </c>
      <c r="I51" s="82" t="s">
        <v>3103</v>
      </c>
      <c r="J51" s="83" t="e">
        <f>VLOOKUP($C51,CHOOSE({1,2},'[4]Prestações de Conta inadimplent'!$D$9:$D$2000,'[4]Prestações de Conta inadimplent'!$C$9:$C$2000),2,0)</f>
        <v>#N/A</v>
      </c>
      <c r="L51" s="85"/>
      <c r="M51" s="85" t="e">
        <v>#REF!</v>
      </c>
      <c r="T51" s="86"/>
      <c r="U51" s="85"/>
      <c r="V51" s="87"/>
      <c r="W51" s="85"/>
      <c r="X51" s="88"/>
      <c r="Y51" s="89"/>
      <c r="Z51" s="89"/>
      <c r="AA51" s="88"/>
      <c r="AB51" s="88"/>
      <c r="AF51" s="90"/>
      <c r="AK51" s="91"/>
      <c r="AM51" s="92"/>
      <c r="AN51" s="92"/>
      <c r="AO51" s="92"/>
      <c r="AP51" s="92"/>
      <c r="AQ51" s="92"/>
      <c r="AR51" s="92"/>
    </row>
    <row r="52" spans="1:44" s="84" customFormat="1" ht="24" customHeight="1" x14ac:dyDescent="0.3">
      <c r="A52" s="78" t="s">
        <v>3169</v>
      </c>
      <c r="B52" s="79" t="s">
        <v>2640</v>
      </c>
      <c r="C52" s="80">
        <v>1178100</v>
      </c>
      <c r="D52" s="80">
        <v>1104567</v>
      </c>
      <c r="E52" s="80">
        <v>29431670</v>
      </c>
      <c r="F52" s="81" t="s">
        <v>3209</v>
      </c>
      <c r="G52" s="82" t="s">
        <v>3197</v>
      </c>
      <c r="H52" s="82" t="s">
        <v>3210</v>
      </c>
      <c r="I52" s="82" t="s">
        <v>3103</v>
      </c>
      <c r="J52" s="83" t="e">
        <f>VLOOKUP($C52,CHOOSE({1,2},'[4]Prestações de Conta inadimplent'!$D$9:$D$2000,'[4]Prestações de Conta inadimplent'!$C$9:$C$2000),2,0)</f>
        <v>#N/A</v>
      </c>
      <c r="L52" s="85"/>
      <c r="M52" s="85" t="e">
        <v>#REF!</v>
      </c>
      <c r="T52" s="86"/>
      <c r="U52" s="85"/>
      <c r="V52" s="87"/>
      <c r="W52" s="85"/>
      <c r="X52" s="88"/>
      <c r="Y52" s="89"/>
      <c r="Z52" s="88"/>
      <c r="AA52" s="88"/>
      <c r="AB52" s="88"/>
      <c r="AF52" s="90"/>
      <c r="AK52" s="91"/>
      <c r="AM52" s="92"/>
      <c r="AN52" s="92"/>
      <c r="AO52" s="92"/>
      <c r="AP52" s="92"/>
      <c r="AQ52" s="92"/>
      <c r="AR52" s="92"/>
    </row>
    <row r="53" spans="1:44" s="84" customFormat="1" ht="24" customHeight="1" x14ac:dyDescent="0.3">
      <c r="A53" s="78" t="s">
        <v>3169</v>
      </c>
      <c r="B53" s="79" t="s">
        <v>2614</v>
      </c>
      <c r="C53" s="80">
        <v>1178021</v>
      </c>
      <c r="D53" s="80">
        <v>1103088</v>
      </c>
      <c r="E53" s="80">
        <v>29430259</v>
      </c>
      <c r="F53" s="81" t="s">
        <v>3211</v>
      </c>
      <c r="G53" s="82" t="s">
        <v>3200</v>
      </c>
      <c r="H53" s="82" t="s">
        <v>3212</v>
      </c>
      <c r="I53" s="82" t="s">
        <v>3103</v>
      </c>
      <c r="J53" s="83" t="e">
        <f>VLOOKUP($C53,CHOOSE({1,2},'[4]Prestações de Conta inadimplent'!$D$9:$D$2000,'[4]Prestações de Conta inadimplent'!$C$9:$C$2000),2,0)</f>
        <v>#N/A</v>
      </c>
      <c r="L53" s="85"/>
      <c r="M53" s="85" t="e">
        <v>#REF!</v>
      </c>
      <c r="T53" s="86"/>
      <c r="U53" s="85"/>
      <c r="V53" s="87"/>
      <c r="W53" s="85"/>
      <c r="X53" s="88"/>
      <c r="Y53" s="89"/>
      <c r="Z53" s="89"/>
      <c r="AA53" s="88"/>
      <c r="AB53" s="88"/>
      <c r="AF53" s="90"/>
      <c r="AK53" s="91"/>
      <c r="AM53" s="92"/>
      <c r="AN53" s="92"/>
      <c r="AO53" s="92"/>
      <c r="AP53" s="92"/>
      <c r="AQ53" s="92"/>
      <c r="AR53" s="92"/>
    </row>
    <row r="54" spans="1:44" s="84" customFormat="1" ht="24" customHeight="1" x14ac:dyDescent="0.3">
      <c r="A54" s="78" t="s">
        <v>3169</v>
      </c>
      <c r="B54" s="79" t="s">
        <v>2177</v>
      </c>
      <c r="C54" s="80">
        <v>1179304</v>
      </c>
      <c r="D54" s="80">
        <v>9999999</v>
      </c>
      <c r="E54" s="80">
        <v>29460794</v>
      </c>
      <c r="F54" s="81" t="s">
        <v>3213</v>
      </c>
      <c r="G54" s="82" t="s">
        <v>3200</v>
      </c>
      <c r="H54" s="82" t="s">
        <v>3214</v>
      </c>
      <c r="I54" s="82" t="s">
        <v>3122</v>
      </c>
      <c r="J54" s="83" t="str">
        <f>VLOOKUP($C54,CHOOSE({1,2},'[4]Prestações de Conta inadimplent'!$D$9:$D$2000,'[4]Prestações de Conta inadimplent'!$C$9:$C$2000),2,0)</f>
        <v>Colegio Estadual Indigena Paje Roque Moises Da Silva</v>
      </c>
      <c r="L54" s="85"/>
      <c r="M54" s="85" t="e">
        <v>#REF!</v>
      </c>
      <c r="T54" s="86"/>
      <c r="U54" s="85"/>
      <c r="V54" s="87"/>
      <c r="W54" s="85"/>
      <c r="X54" s="85"/>
      <c r="Y54" s="89"/>
      <c r="Z54" s="89"/>
      <c r="AA54" s="88"/>
      <c r="AB54" s="88"/>
      <c r="AF54" s="90"/>
      <c r="AK54" s="91"/>
      <c r="AM54" s="92"/>
      <c r="AN54" s="92"/>
      <c r="AO54" s="92"/>
      <c r="AP54" s="92"/>
      <c r="AQ54" s="92"/>
      <c r="AR54" s="92"/>
    </row>
    <row r="55" spans="1:44" s="84" customFormat="1" ht="24" customHeight="1" x14ac:dyDescent="0.3">
      <c r="A55" s="78" t="s">
        <v>3169</v>
      </c>
      <c r="B55" s="79" t="s">
        <v>2177</v>
      </c>
      <c r="C55" s="80">
        <v>1178407</v>
      </c>
      <c r="D55" s="80">
        <v>1105564</v>
      </c>
      <c r="E55" s="80">
        <v>29397758</v>
      </c>
      <c r="F55" s="81" t="s">
        <v>3215</v>
      </c>
      <c r="G55" s="82" t="s">
        <v>3200</v>
      </c>
      <c r="H55" s="82" t="s">
        <v>3216</v>
      </c>
      <c r="I55" s="82" t="s">
        <v>3103</v>
      </c>
      <c r="J55" s="83" t="e">
        <f>VLOOKUP($C55,CHOOSE({1,2},'[4]Prestações de Conta inadimplent'!$D$9:$D$2000,'[4]Prestações de Conta inadimplent'!$C$9:$C$2000),2,0)</f>
        <v>#N/A</v>
      </c>
      <c r="L55" s="85"/>
      <c r="M55" s="85" t="e">
        <v>#REF!</v>
      </c>
      <c r="T55" s="86"/>
      <c r="U55" s="85"/>
      <c r="V55" s="87"/>
      <c r="W55" s="85"/>
      <c r="X55" s="88"/>
      <c r="Y55" s="89"/>
      <c r="Z55" s="88"/>
      <c r="AA55" s="88"/>
      <c r="AB55" s="88"/>
      <c r="AF55" s="90"/>
      <c r="AK55" s="91"/>
      <c r="AM55" s="92"/>
      <c r="AN55" s="92"/>
      <c r="AO55" s="92"/>
      <c r="AP55" s="92"/>
      <c r="AQ55" s="92"/>
      <c r="AR55" s="92"/>
    </row>
    <row r="56" spans="1:44" s="84" customFormat="1" ht="24" customHeight="1" x14ac:dyDescent="0.3">
      <c r="A56" s="78" t="s">
        <v>3169</v>
      </c>
      <c r="B56" s="79" t="s">
        <v>2177</v>
      </c>
      <c r="C56" s="80">
        <v>1176177</v>
      </c>
      <c r="D56" s="80">
        <v>1103089</v>
      </c>
      <c r="E56" s="80">
        <v>29332400</v>
      </c>
      <c r="F56" s="81" t="s">
        <v>3217</v>
      </c>
      <c r="G56" s="82" t="s">
        <v>3200</v>
      </c>
      <c r="H56" s="82" t="s">
        <v>3218</v>
      </c>
      <c r="I56" s="82" t="s">
        <v>3122</v>
      </c>
      <c r="J56" s="83" t="str">
        <f>VLOOKUP($C56,CHOOSE({1,2},'[4]Prestações de Conta inadimplent'!$D$9:$D$2000,'[4]Prestações de Conta inadimplent'!$C$9:$C$2000),2,0)</f>
        <v>Colegio Estadual Suzana De Araujo Bomfim</v>
      </c>
      <c r="L56" s="85"/>
      <c r="M56" s="85" t="e">
        <v>#REF!</v>
      </c>
      <c r="T56" s="86"/>
      <c r="U56" s="85"/>
      <c r="V56" s="87"/>
      <c r="W56" s="85"/>
      <c r="X56" s="88"/>
      <c r="Y56" s="89"/>
      <c r="Z56" s="88"/>
      <c r="AA56" s="88"/>
      <c r="AB56" s="88"/>
      <c r="AF56" s="90"/>
      <c r="AK56" s="91"/>
      <c r="AM56" s="92"/>
      <c r="AN56" s="92"/>
      <c r="AO56" s="92"/>
      <c r="AP56" s="92"/>
      <c r="AQ56" s="92"/>
      <c r="AR56" s="92"/>
    </row>
    <row r="57" spans="1:44" s="84" customFormat="1" ht="24" customHeight="1" x14ac:dyDescent="0.3">
      <c r="A57" s="78" t="s">
        <v>3169</v>
      </c>
      <c r="B57" s="79" t="s">
        <v>1522</v>
      </c>
      <c r="C57" s="80">
        <v>1127855</v>
      </c>
      <c r="D57" s="80">
        <v>1103093</v>
      </c>
      <c r="E57" s="80">
        <v>29210399</v>
      </c>
      <c r="F57" s="81" t="s">
        <v>3219</v>
      </c>
      <c r="G57" s="82" t="s">
        <v>3220</v>
      </c>
      <c r="H57" s="82" t="s">
        <v>3221</v>
      </c>
      <c r="I57" s="82" t="s">
        <v>3103</v>
      </c>
      <c r="J57" s="83" t="e">
        <f>VLOOKUP($C57,CHOOSE({1,2},'[4]Prestações de Conta inadimplent'!$D$9:$D$2000,'[4]Prestações de Conta inadimplent'!$C$9:$C$2000),2,0)</f>
        <v>#N/A</v>
      </c>
      <c r="L57" s="85"/>
      <c r="M57" s="85" t="e">
        <v>#REF!</v>
      </c>
      <c r="T57" s="86"/>
      <c r="U57" s="85"/>
      <c r="V57" s="87"/>
      <c r="W57" s="85"/>
      <c r="X57" s="88"/>
      <c r="Y57" s="89"/>
      <c r="Z57" s="89"/>
      <c r="AA57" s="88"/>
      <c r="AB57" s="88"/>
      <c r="AF57" s="90"/>
      <c r="AK57" s="91"/>
      <c r="AM57" s="92"/>
      <c r="AN57" s="92"/>
      <c r="AO57" s="92"/>
      <c r="AP57" s="92"/>
      <c r="AQ57" s="92"/>
      <c r="AR57" s="92"/>
    </row>
    <row r="58" spans="1:44" s="84" customFormat="1" ht="24" customHeight="1" x14ac:dyDescent="0.3">
      <c r="A58" s="78" t="s">
        <v>3169</v>
      </c>
      <c r="B58" s="79" t="s">
        <v>2525</v>
      </c>
      <c r="C58" s="80">
        <v>1178009</v>
      </c>
      <c r="D58" s="80">
        <v>1103100</v>
      </c>
      <c r="E58" s="80">
        <v>29425395</v>
      </c>
      <c r="F58" s="81" t="s">
        <v>3222</v>
      </c>
      <c r="G58" s="82" t="s">
        <v>3223</v>
      </c>
      <c r="H58" s="82" t="s">
        <v>3224</v>
      </c>
      <c r="I58" s="82" t="s">
        <v>3122</v>
      </c>
      <c r="J58" s="83" t="str">
        <f>VLOOKUP($C58,CHOOSE({1,2},'[4]Prestações de Conta inadimplent'!$D$9:$D$2000,'[4]Prestações de Conta inadimplent'!$C$9:$C$2000),2,0)</f>
        <v>Colegio Estadual De Tempo Integral Evandro Brandao</v>
      </c>
      <c r="L58" s="85"/>
      <c r="M58" s="85" t="e">
        <v>#REF!</v>
      </c>
      <c r="T58" s="86"/>
      <c r="U58" s="85"/>
      <c r="V58" s="87"/>
      <c r="W58" s="85"/>
      <c r="X58" s="88"/>
      <c r="Y58" s="89"/>
      <c r="Z58" s="89"/>
      <c r="AA58" s="88"/>
      <c r="AB58" s="88"/>
      <c r="AF58" s="90"/>
      <c r="AK58" s="91"/>
      <c r="AM58" s="92"/>
      <c r="AN58" s="92"/>
      <c r="AO58" s="92"/>
      <c r="AP58" s="92"/>
      <c r="AQ58" s="92"/>
      <c r="AR58" s="92"/>
    </row>
    <row r="59" spans="1:44" s="84" customFormat="1" ht="24" customHeight="1" x14ac:dyDescent="0.3">
      <c r="A59" s="78" t="s">
        <v>3169</v>
      </c>
      <c r="B59" s="79" t="s">
        <v>1731</v>
      </c>
      <c r="C59" s="80">
        <v>1164742</v>
      </c>
      <c r="D59" s="80">
        <v>1103430</v>
      </c>
      <c r="E59" s="80">
        <v>29252555</v>
      </c>
      <c r="F59" s="81" t="s">
        <v>3225</v>
      </c>
      <c r="G59" s="82" t="s">
        <v>3226</v>
      </c>
      <c r="H59" s="82" t="s">
        <v>3227</v>
      </c>
      <c r="I59" s="82" t="s">
        <v>3103</v>
      </c>
      <c r="J59" s="83" t="e">
        <f>VLOOKUP($C59,CHOOSE({1,2},'[4]Prestações de Conta inadimplent'!$D$9:$D$2000,'[4]Prestações de Conta inadimplent'!$C$9:$C$2000),2,0)</f>
        <v>#N/A</v>
      </c>
      <c r="L59" s="85"/>
      <c r="M59" s="85" t="e">
        <v>#REF!</v>
      </c>
      <c r="T59" s="86"/>
      <c r="U59" s="85"/>
      <c r="V59" s="87"/>
      <c r="W59" s="85"/>
      <c r="X59" s="88"/>
      <c r="Y59" s="89"/>
      <c r="Z59" s="88"/>
      <c r="AA59" s="88"/>
      <c r="AB59" s="88"/>
      <c r="AF59" s="90"/>
      <c r="AK59" s="91"/>
      <c r="AM59" s="92"/>
      <c r="AN59" s="92"/>
      <c r="AO59" s="92"/>
      <c r="AP59" s="92"/>
      <c r="AQ59" s="92"/>
      <c r="AR59" s="92"/>
    </row>
    <row r="60" spans="1:44" s="84" customFormat="1" ht="24" customHeight="1" x14ac:dyDescent="0.3">
      <c r="A60" s="78" t="s">
        <v>3169</v>
      </c>
      <c r="B60" s="79" t="s">
        <v>2622</v>
      </c>
      <c r="C60" s="80">
        <v>1178023</v>
      </c>
      <c r="D60" s="80">
        <v>1103454</v>
      </c>
      <c r="E60" s="80">
        <v>29430534</v>
      </c>
      <c r="F60" s="81" t="s">
        <v>3228</v>
      </c>
      <c r="G60" s="82" t="s">
        <v>3229</v>
      </c>
      <c r="H60" s="82" t="s">
        <v>3230</v>
      </c>
      <c r="I60" s="82" t="s">
        <v>3103</v>
      </c>
      <c r="J60" s="83" t="e">
        <f>VLOOKUP($C60,CHOOSE({1,2},'[4]Prestações de Conta inadimplent'!$D$9:$D$2000,'[4]Prestações de Conta inadimplent'!$C$9:$C$2000),2,0)</f>
        <v>#N/A</v>
      </c>
      <c r="L60" s="85"/>
      <c r="M60" s="85" t="e">
        <v>#REF!</v>
      </c>
      <c r="T60" s="86"/>
      <c r="U60" s="85"/>
      <c r="V60" s="87"/>
      <c r="W60" s="85"/>
      <c r="X60" s="88"/>
      <c r="Y60" s="89"/>
      <c r="Z60" s="89"/>
      <c r="AA60" s="88"/>
      <c r="AB60" s="88"/>
      <c r="AF60" s="90"/>
      <c r="AK60" s="91"/>
      <c r="AM60" s="92"/>
      <c r="AN60" s="92"/>
      <c r="AO60" s="92"/>
      <c r="AP60" s="92"/>
      <c r="AQ60" s="92"/>
      <c r="AR60" s="92"/>
    </row>
    <row r="61" spans="1:44" s="84" customFormat="1" ht="24" customHeight="1" x14ac:dyDescent="0.3">
      <c r="A61" s="94" t="s">
        <v>3169</v>
      </c>
      <c r="B61" s="97" t="s">
        <v>2622</v>
      </c>
      <c r="C61" s="94">
        <v>1179772</v>
      </c>
      <c r="D61" s="94">
        <v>9999999</v>
      </c>
      <c r="E61" s="94">
        <v>29487110</v>
      </c>
      <c r="F61" s="81" t="s">
        <v>3231</v>
      </c>
      <c r="G61" s="82" t="s">
        <v>3229</v>
      </c>
      <c r="H61" s="82" t="s">
        <v>3232</v>
      </c>
      <c r="I61" s="82" t="s">
        <v>3122</v>
      </c>
      <c r="J61" s="83" t="str">
        <f>VLOOKUP($C61,CHOOSE({1,2},'[4]Prestações de Conta inadimplent'!$D$9:$D$2000,'[4]Prestações de Conta inadimplent'!$C$9:$C$2000),2,0)</f>
        <v>Colegio Estadual De Tempo Integral Cleonice Olegario Dos Santos</v>
      </c>
      <c r="L61" s="85"/>
      <c r="M61" s="85" t="e">
        <v>#REF!</v>
      </c>
      <c r="T61" s="86"/>
      <c r="U61" s="85"/>
      <c r="V61" s="87"/>
      <c r="W61" s="85"/>
      <c r="X61" s="88"/>
      <c r="Y61" s="89"/>
      <c r="Z61" s="89"/>
      <c r="AA61" s="88"/>
      <c r="AB61" s="88"/>
      <c r="AF61" s="90"/>
      <c r="AK61" s="91"/>
      <c r="AM61" s="92"/>
      <c r="AN61" s="92"/>
      <c r="AO61" s="92"/>
      <c r="AP61" s="92"/>
      <c r="AQ61" s="92"/>
      <c r="AR61" s="92"/>
    </row>
    <row r="62" spans="1:44" s="84" customFormat="1" ht="24" customHeight="1" x14ac:dyDescent="0.3">
      <c r="A62" s="78" t="s">
        <v>3169</v>
      </c>
      <c r="B62" s="79" t="s">
        <v>285</v>
      </c>
      <c r="C62" s="80">
        <v>1176059</v>
      </c>
      <c r="D62" s="80">
        <v>1103462</v>
      </c>
      <c r="E62" s="80">
        <v>29047455</v>
      </c>
      <c r="F62" s="81" t="s">
        <v>3233</v>
      </c>
      <c r="G62" s="82" t="s">
        <v>3178</v>
      </c>
      <c r="H62" s="82" t="s">
        <v>3234</v>
      </c>
      <c r="I62" s="82" t="s">
        <v>3103</v>
      </c>
      <c r="J62" s="83" t="e">
        <f>VLOOKUP($C62,CHOOSE({1,2},'[4]Prestações de Conta inadimplent'!$D$9:$D$2000,'[4]Prestações de Conta inadimplent'!$C$9:$C$2000),2,0)</f>
        <v>#N/A</v>
      </c>
      <c r="L62" s="85"/>
      <c r="M62" s="85" t="e">
        <v>#REF!</v>
      </c>
      <c r="T62" s="86"/>
      <c r="U62" s="85"/>
      <c r="V62" s="87"/>
      <c r="W62" s="85"/>
      <c r="X62" s="88"/>
      <c r="Y62" s="89"/>
      <c r="Z62" s="89"/>
      <c r="AA62" s="88"/>
      <c r="AB62" s="88"/>
      <c r="AF62" s="90"/>
      <c r="AK62" s="91"/>
      <c r="AM62" s="92"/>
      <c r="AN62" s="92"/>
      <c r="AO62" s="92"/>
      <c r="AP62" s="92"/>
      <c r="AQ62" s="92"/>
      <c r="AR62" s="92"/>
    </row>
    <row r="63" spans="1:44" s="84" customFormat="1" ht="24" customHeight="1" x14ac:dyDescent="0.3">
      <c r="A63" s="78" t="s">
        <v>3169</v>
      </c>
      <c r="B63" s="79" t="s">
        <v>285</v>
      </c>
      <c r="C63" s="80">
        <v>1164890</v>
      </c>
      <c r="D63" s="80">
        <v>1103460</v>
      </c>
      <c r="E63" s="80">
        <v>29047250</v>
      </c>
      <c r="F63" s="81" t="s">
        <v>3235</v>
      </c>
      <c r="G63" s="82" t="s">
        <v>3178</v>
      </c>
      <c r="H63" s="82" t="s">
        <v>3236</v>
      </c>
      <c r="I63" s="82" t="s">
        <v>3103</v>
      </c>
      <c r="J63" s="83" t="e">
        <f>VLOOKUP($C63,CHOOSE({1,2},'[4]Prestações de Conta inadimplent'!$D$9:$D$2000,'[4]Prestações de Conta inadimplent'!$C$9:$C$2000),2,0)</f>
        <v>#N/A</v>
      </c>
      <c r="L63" s="85"/>
      <c r="M63" s="85" t="e">
        <v>#REF!</v>
      </c>
      <c r="T63" s="86"/>
      <c r="U63" s="85"/>
      <c r="V63" s="87"/>
      <c r="W63" s="85"/>
      <c r="X63" s="88"/>
      <c r="Y63" s="89"/>
      <c r="Z63" s="89"/>
      <c r="AA63" s="88"/>
      <c r="AB63" s="88"/>
      <c r="AF63" s="90"/>
      <c r="AK63" s="91"/>
      <c r="AM63" s="92"/>
      <c r="AN63" s="92"/>
      <c r="AO63" s="92"/>
      <c r="AP63" s="92"/>
      <c r="AQ63" s="92"/>
      <c r="AR63" s="92"/>
    </row>
    <row r="64" spans="1:44" s="84" customFormat="1" ht="24" customHeight="1" x14ac:dyDescent="0.3">
      <c r="A64" s="78" t="s">
        <v>3237</v>
      </c>
      <c r="B64" s="79" t="s">
        <v>1531</v>
      </c>
      <c r="C64" s="80">
        <v>1168110</v>
      </c>
      <c r="D64" s="80">
        <v>1105031</v>
      </c>
      <c r="E64" s="80">
        <v>29211590</v>
      </c>
      <c r="F64" s="81" t="s">
        <v>3238</v>
      </c>
      <c r="G64" s="82" t="s">
        <v>3239</v>
      </c>
      <c r="H64" s="82" t="s">
        <v>3240</v>
      </c>
      <c r="I64" s="82" t="s">
        <v>3103</v>
      </c>
      <c r="J64" s="83" t="e">
        <f>VLOOKUP($C64,CHOOSE({1,2},'[4]Prestações de Conta inadimplent'!$D$9:$D$2000,'[4]Prestações de Conta inadimplent'!$C$9:$C$2000),2,0)</f>
        <v>#N/A</v>
      </c>
      <c r="L64" s="85"/>
      <c r="M64" s="85" t="e">
        <v>#REF!</v>
      </c>
      <c r="T64" s="86"/>
      <c r="U64" s="85"/>
      <c r="V64" s="87"/>
      <c r="W64" s="85"/>
      <c r="X64" s="88"/>
      <c r="Y64" s="89"/>
      <c r="Z64" s="89"/>
      <c r="AA64" s="88"/>
      <c r="AB64" s="88"/>
      <c r="AF64" s="90"/>
      <c r="AK64" s="91"/>
      <c r="AM64" s="92"/>
      <c r="AN64" s="92"/>
      <c r="AO64" s="92"/>
      <c r="AP64" s="92"/>
      <c r="AQ64" s="92"/>
      <c r="AR64" s="92"/>
    </row>
    <row r="65" spans="1:44" s="84" customFormat="1" ht="24" customHeight="1" x14ac:dyDescent="0.3">
      <c r="A65" s="78" t="s">
        <v>3237</v>
      </c>
      <c r="B65" s="79" t="s">
        <v>2517</v>
      </c>
      <c r="C65" s="80">
        <v>1178017</v>
      </c>
      <c r="D65" s="80">
        <v>1104540</v>
      </c>
      <c r="E65" s="80">
        <v>29425166</v>
      </c>
      <c r="F65" s="81" t="s">
        <v>3241</v>
      </c>
      <c r="G65" s="82" t="s">
        <v>3242</v>
      </c>
      <c r="H65" s="82" t="s">
        <v>3243</v>
      </c>
      <c r="I65" s="82" t="s">
        <v>3122</v>
      </c>
      <c r="J65" s="83" t="str">
        <f>VLOOKUP($C65,CHOOSE({1,2},'[4]Prestações de Conta inadimplent'!$D$9:$D$2000,'[4]Prestações de Conta inadimplent'!$C$9:$C$2000),2,0)</f>
        <v>Colegio Estadual De Tempo Integral Edgar Silva</v>
      </c>
      <c r="L65" s="85"/>
      <c r="M65" s="85" t="e">
        <v>#REF!</v>
      </c>
      <c r="T65" s="86"/>
      <c r="U65" s="85"/>
      <c r="V65" s="87"/>
      <c r="W65" s="85"/>
      <c r="X65" s="88"/>
      <c r="Y65" s="89"/>
      <c r="Z65" s="88"/>
      <c r="AA65" s="88"/>
      <c r="AB65" s="88"/>
      <c r="AF65" s="90"/>
      <c r="AH65" s="85"/>
      <c r="AK65" s="91"/>
      <c r="AM65" s="92"/>
      <c r="AN65" s="92"/>
      <c r="AO65" s="92"/>
      <c r="AP65" s="92"/>
      <c r="AQ65" s="92"/>
      <c r="AR65" s="92"/>
    </row>
    <row r="66" spans="1:44" s="84" customFormat="1" ht="24" customHeight="1" x14ac:dyDescent="0.3">
      <c r="A66" s="78" t="s">
        <v>3237</v>
      </c>
      <c r="B66" s="79" t="s">
        <v>2517</v>
      </c>
      <c r="C66" s="80">
        <v>1179291</v>
      </c>
      <c r="D66" s="80">
        <v>9999999</v>
      </c>
      <c r="E66" s="80">
        <v>29459621</v>
      </c>
      <c r="F66" s="81" t="s">
        <v>3244</v>
      </c>
      <c r="G66" s="82" t="s">
        <v>3242</v>
      </c>
      <c r="H66" s="82" t="s">
        <v>3245</v>
      </c>
      <c r="I66" s="82" t="s">
        <v>3122</v>
      </c>
      <c r="J66" s="83" t="str">
        <f>VLOOKUP($C66,CHOOSE({1,2},'[4]Prestações de Conta inadimplent'!$D$9:$D$2000,'[4]Prestações de Conta inadimplent'!$C$9:$C$2000),2,0)</f>
        <v>Colegio Estadual Professora Carmenilza De Araujo Lima De Matos</v>
      </c>
      <c r="L66" s="85"/>
      <c r="M66" s="85" t="e">
        <v>#REF!</v>
      </c>
      <c r="T66" s="86"/>
      <c r="U66" s="85"/>
      <c r="V66" s="87"/>
      <c r="W66" s="85"/>
      <c r="X66" s="88"/>
      <c r="Y66" s="89"/>
      <c r="Z66" s="89"/>
      <c r="AA66" s="88"/>
      <c r="AB66" s="88"/>
      <c r="AF66" s="90"/>
      <c r="AH66" s="85"/>
      <c r="AK66" s="91"/>
      <c r="AM66" s="92"/>
      <c r="AN66" s="92"/>
      <c r="AO66" s="92"/>
      <c r="AP66" s="92"/>
      <c r="AQ66" s="92"/>
      <c r="AR66" s="92"/>
    </row>
    <row r="67" spans="1:44" s="84" customFormat="1" ht="24" customHeight="1" x14ac:dyDescent="0.3">
      <c r="A67" s="78" t="s">
        <v>3237</v>
      </c>
      <c r="B67" s="79" t="s">
        <v>1535</v>
      </c>
      <c r="C67" s="80">
        <v>1176466</v>
      </c>
      <c r="D67" s="80">
        <v>1102749</v>
      </c>
      <c r="E67" s="80">
        <v>29385253</v>
      </c>
      <c r="F67" s="81" t="s">
        <v>3246</v>
      </c>
      <c r="G67" s="82" t="s">
        <v>3239</v>
      </c>
      <c r="H67" s="82" t="s">
        <v>3247</v>
      </c>
      <c r="I67" s="82" t="s">
        <v>3103</v>
      </c>
      <c r="J67" s="83" t="e">
        <f>VLOOKUP($C67,CHOOSE({1,2},'[4]Prestações de Conta inadimplent'!$D$9:$D$2000,'[4]Prestações de Conta inadimplent'!$C$9:$C$2000),2,0)</f>
        <v>#N/A</v>
      </c>
      <c r="L67" s="85"/>
      <c r="M67" s="85" t="e">
        <v>#REF!</v>
      </c>
      <c r="T67" s="86"/>
      <c r="U67" s="85"/>
      <c r="V67" s="87"/>
      <c r="W67" s="85"/>
      <c r="X67" s="88"/>
      <c r="Y67" s="89"/>
      <c r="Z67" s="89"/>
      <c r="AA67" s="88"/>
      <c r="AB67" s="88"/>
      <c r="AF67" s="90"/>
      <c r="AK67" s="91"/>
      <c r="AM67" s="92"/>
      <c r="AN67" s="92"/>
      <c r="AO67" s="92"/>
      <c r="AP67" s="92"/>
      <c r="AQ67" s="92"/>
      <c r="AR67" s="92"/>
    </row>
    <row r="68" spans="1:44" s="84" customFormat="1" ht="24" customHeight="1" x14ac:dyDescent="0.3">
      <c r="A68" s="78" t="s">
        <v>3237</v>
      </c>
      <c r="B68" s="79" t="s">
        <v>1539</v>
      </c>
      <c r="C68" s="80">
        <v>1133014</v>
      </c>
      <c r="D68" s="80">
        <v>1103466</v>
      </c>
      <c r="E68" s="80">
        <v>29214211</v>
      </c>
      <c r="F68" s="81" t="s">
        <v>1540</v>
      </c>
      <c r="G68" s="82" t="s">
        <v>3248</v>
      </c>
      <c r="H68" s="82" t="s">
        <v>3249</v>
      </c>
      <c r="I68" s="82" t="s">
        <v>3103</v>
      </c>
      <c r="J68" s="83" t="e">
        <f>VLOOKUP($C68,CHOOSE({1,2},'[4]Prestações de Conta inadimplent'!$D$9:$D$2000,'[4]Prestações de Conta inadimplent'!$C$9:$C$2000),2,0)</f>
        <v>#N/A</v>
      </c>
      <c r="L68" s="85"/>
      <c r="M68" s="85" t="e">
        <v>#REF!</v>
      </c>
      <c r="T68" s="86"/>
      <c r="U68" s="85"/>
      <c r="V68" s="87"/>
      <c r="W68" s="85"/>
      <c r="X68" s="88"/>
      <c r="Y68" s="89"/>
      <c r="Z68" s="89"/>
      <c r="AA68" s="88"/>
      <c r="AB68" s="88"/>
      <c r="AF68" s="90"/>
      <c r="AK68" s="91"/>
      <c r="AM68" s="92"/>
      <c r="AN68" s="92"/>
      <c r="AO68" s="92"/>
      <c r="AP68" s="92"/>
      <c r="AQ68" s="92"/>
      <c r="AR68" s="92"/>
    </row>
    <row r="69" spans="1:44" s="84" customFormat="1" ht="24" customHeight="1" x14ac:dyDescent="0.3">
      <c r="A69" s="78" t="s">
        <v>3237</v>
      </c>
      <c r="B69" s="79" t="s">
        <v>1574</v>
      </c>
      <c r="C69" s="80">
        <v>1178103</v>
      </c>
      <c r="D69" s="80">
        <v>1104569</v>
      </c>
      <c r="E69" s="80">
        <v>29221935</v>
      </c>
      <c r="F69" s="81" t="s">
        <v>3250</v>
      </c>
      <c r="G69" s="82" t="s">
        <v>3242</v>
      </c>
      <c r="H69" s="82" t="s">
        <v>3251</v>
      </c>
      <c r="I69" s="82" t="s">
        <v>3122</v>
      </c>
      <c r="J69" s="83" t="str">
        <f>VLOOKUP($C69,CHOOSE({1,2},'[4]Prestações de Conta inadimplent'!$D$9:$D$2000,'[4]Prestações de Conta inadimplent'!$C$9:$C$2000),2,0)</f>
        <v>Colegio Estadual De Tempo Integral De Bonito</v>
      </c>
      <c r="L69" s="85"/>
      <c r="M69" s="85" t="e">
        <v>#REF!</v>
      </c>
      <c r="T69" s="86"/>
      <c r="U69" s="85"/>
      <c r="V69" s="87"/>
      <c r="W69" s="85"/>
      <c r="X69" s="88"/>
      <c r="Y69" s="89"/>
      <c r="Z69" s="88"/>
      <c r="AA69" s="88"/>
      <c r="AB69" s="88"/>
      <c r="AF69" s="90"/>
      <c r="AK69" s="91"/>
      <c r="AM69" s="92"/>
      <c r="AN69" s="92"/>
      <c r="AO69" s="92"/>
      <c r="AP69" s="92"/>
      <c r="AQ69" s="92"/>
      <c r="AR69" s="92"/>
    </row>
    <row r="70" spans="1:44" s="84" customFormat="1" ht="24" customHeight="1" x14ac:dyDescent="0.3">
      <c r="A70" s="78" t="s">
        <v>3237</v>
      </c>
      <c r="B70" s="79" t="s">
        <v>1547</v>
      </c>
      <c r="C70" s="80">
        <v>1178403</v>
      </c>
      <c r="D70" s="80">
        <v>1105560</v>
      </c>
      <c r="E70" s="80">
        <v>29397740</v>
      </c>
      <c r="F70" s="81" t="s">
        <v>3252</v>
      </c>
      <c r="G70" s="82" t="s">
        <v>3239</v>
      </c>
      <c r="H70" s="82" t="s">
        <v>3253</v>
      </c>
      <c r="I70" s="82" t="s">
        <v>3103</v>
      </c>
      <c r="J70" s="83" t="e">
        <f>VLOOKUP($C70,CHOOSE({1,2},'[4]Prestações de Conta inadimplent'!$D$9:$D$2000,'[4]Prestações de Conta inadimplent'!$C$9:$C$2000),2,0)</f>
        <v>#N/A</v>
      </c>
      <c r="K70" s="95" t="s">
        <v>3254</v>
      </c>
      <c r="L70" s="85"/>
      <c r="M70" s="85" t="e">
        <v>#REF!</v>
      </c>
      <c r="T70" s="86"/>
      <c r="U70" s="85"/>
      <c r="V70" s="87"/>
      <c r="W70" s="85"/>
      <c r="X70" s="88"/>
      <c r="Y70" s="89"/>
      <c r="Z70" s="89"/>
      <c r="AA70" s="88"/>
      <c r="AB70" s="88"/>
      <c r="AF70" s="90"/>
      <c r="AK70" s="91"/>
      <c r="AM70" s="92"/>
      <c r="AN70" s="92"/>
      <c r="AO70" s="92"/>
      <c r="AP70" s="92"/>
      <c r="AQ70" s="92"/>
      <c r="AR70" s="92"/>
    </row>
    <row r="71" spans="1:44" s="84" customFormat="1" ht="24" customHeight="1" x14ac:dyDescent="0.3">
      <c r="A71" s="78" t="s">
        <v>3237</v>
      </c>
      <c r="B71" s="79" t="s">
        <v>1547</v>
      </c>
      <c r="C71" s="80">
        <v>1168411</v>
      </c>
      <c r="D71" s="80">
        <v>1102780</v>
      </c>
      <c r="E71" s="80">
        <v>29214939</v>
      </c>
      <c r="F71" s="81" t="s">
        <v>1548</v>
      </c>
      <c r="G71" s="82" t="s">
        <v>3239</v>
      </c>
      <c r="H71" s="82" t="s">
        <v>3255</v>
      </c>
      <c r="I71" s="82" t="s">
        <v>3122</v>
      </c>
      <c r="J71" s="83" t="str">
        <f>VLOOKUP($C71,CHOOSE({1,2},'[4]Prestações de Conta inadimplent'!$D$9:$D$2000,'[4]Prestações de Conta inadimplent'!$C$9:$C$2000),2,0)</f>
        <v>Colegio Estadual De Tempo Integral De Ibicoara</v>
      </c>
      <c r="L71" s="85"/>
      <c r="M71" s="85" t="e">
        <v>#REF!</v>
      </c>
      <c r="T71" s="86"/>
      <c r="U71" s="85"/>
      <c r="V71" s="87"/>
      <c r="W71" s="85"/>
      <c r="X71" s="88"/>
      <c r="Y71" s="89"/>
      <c r="Z71" s="88"/>
      <c r="AA71" s="88"/>
      <c r="AB71" s="88"/>
      <c r="AF71" s="90"/>
      <c r="AH71" s="85"/>
      <c r="AK71" s="91"/>
      <c r="AM71" s="92"/>
      <c r="AN71" s="92"/>
      <c r="AO71" s="92"/>
      <c r="AP71" s="92"/>
      <c r="AQ71" s="92"/>
      <c r="AR71" s="92"/>
    </row>
    <row r="72" spans="1:44" s="84" customFormat="1" ht="24" customHeight="1" x14ac:dyDescent="0.3">
      <c r="A72" s="78" t="s">
        <v>3237</v>
      </c>
      <c r="B72" s="79" t="s">
        <v>1500</v>
      </c>
      <c r="C72" s="80">
        <v>1132166</v>
      </c>
      <c r="D72" s="80">
        <v>1103472</v>
      </c>
      <c r="E72" s="80">
        <v>29206936</v>
      </c>
      <c r="F72" s="81" t="s">
        <v>3256</v>
      </c>
      <c r="G72" s="82" t="s">
        <v>3257</v>
      </c>
      <c r="H72" s="82" t="s">
        <v>3258</v>
      </c>
      <c r="I72" s="82" t="s">
        <v>3103</v>
      </c>
      <c r="J72" s="83" t="e">
        <f>VLOOKUP($C72,CHOOSE({1,2},'[4]Prestações de Conta inadimplent'!$D$9:$D$2000,'[4]Prestações de Conta inadimplent'!$C$9:$C$2000),2,0)</f>
        <v>#N/A</v>
      </c>
      <c r="L72" s="85"/>
      <c r="M72" s="85" t="e">
        <v>#REF!</v>
      </c>
      <c r="T72" s="86"/>
      <c r="U72" s="85"/>
      <c r="V72" s="87"/>
      <c r="W72" s="85"/>
      <c r="X72" s="88"/>
      <c r="Y72" s="89"/>
      <c r="Z72" s="89"/>
      <c r="AA72" s="88"/>
      <c r="AB72" s="88"/>
      <c r="AF72" s="90"/>
      <c r="AK72" s="91"/>
      <c r="AM72" s="92"/>
      <c r="AN72" s="92"/>
      <c r="AO72" s="92"/>
      <c r="AP72" s="92"/>
      <c r="AQ72" s="92"/>
      <c r="AR72" s="92"/>
    </row>
    <row r="73" spans="1:44" s="84" customFormat="1" ht="24" customHeight="1" x14ac:dyDescent="0.3">
      <c r="A73" s="78" t="s">
        <v>3237</v>
      </c>
      <c r="B73" s="79" t="s">
        <v>1500</v>
      </c>
      <c r="C73" s="80">
        <v>1133090</v>
      </c>
      <c r="D73" s="80">
        <v>1103478</v>
      </c>
      <c r="E73" s="80">
        <v>29207770</v>
      </c>
      <c r="F73" s="81" t="s">
        <v>3259</v>
      </c>
      <c r="G73" s="82" t="s">
        <v>3257</v>
      </c>
      <c r="H73" s="82" t="s">
        <v>3260</v>
      </c>
      <c r="I73" s="82" t="s">
        <v>3103</v>
      </c>
      <c r="J73" s="83" t="e">
        <f>VLOOKUP($C73,CHOOSE({1,2},'[4]Prestações de Conta inadimplent'!$D$9:$D$2000,'[4]Prestações de Conta inadimplent'!$C$9:$C$2000),2,0)</f>
        <v>#N/A</v>
      </c>
      <c r="L73" s="85"/>
      <c r="M73" s="85" t="e">
        <v>#REF!</v>
      </c>
      <c r="T73" s="86"/>
      <c r="U73" s="85"/>
      <c r="V73" s="87"/>
      <c r="W73" s="85"/>
      <c r="X73" s="88"/>
      <c r="Y73" s="89"/>
      <c r="Z73" s="89"/>
      <c r="AA73" s="88"/>
      <c r="AB73" s="88"/>
      <c r="AF73" s="90"/>
      <c r="AK73" s="91"/>
      <c r="AM73" s="92"/>
      <c r="AN73" s="92"/>
      <c r="AO73" s="92"/>
      <c r="AP73" s="92"/>
      <c r="AQ73" s="92"/>
      <c r="AR73" s="92"/>
    </row>
    <row r="74" spans="1:44" s="84" customFormat="1" ht="24" customHeight="1" x14ac:dyDescent="0.3">
      <c r="A74" s="78" t="s">
        <v>3237</v>
      </c>
      <c r="B74" s="79" t="s">
        <v>1597</v>
      </c>
      <c r="C74" s="80">
        <v>1124368</v>
      </c>
      <c r="D74" s="80">
        <v>1102231</v>
      </c>
      <c r="E74" s="80">
        <v>29225060</v>
      </c>
      <c r="F74" s="81" t="s">
        <v>3261</v>
      </c>
      <c r="G74" s="82" t="s">
        <v>3262</v>
      </c>
      <c r="H74" s="82" t="s">
        <v>3263</v>
      </c>
      <c r="I74" s="82" t="s">
        <v>3103</v>
      </c>
      <c r="J74" s="83" t="e">
        <f>VLOOKUP($C74,CHOOSE({1,2},'[4]Prestações de Conta inadimplent'!$D$9:$D$2000,'[4]Prestações de Conta inadimplent'!$C$9:$C$2000),2,0)</f>
        <v>#N/A</v>
      </c>
      <c r="L74" s="85"/>
      <c r="M74" s="85" t="e">
        <v>#REF!</v>
      </c>
      <c r="T74" s="86"/>
      <c r="U74" s="85"/>
      <c r="V74" s="87"/>
      <c r="W74" s="85"/>
      <c r="X74" s="88"/>
      <c r="Y74" s="89"/>
      <c r="Z74" s="88"/>
      <c r="AA74" s="88"/>
      <c r="AB74" s="88"/>
      <c r="AF74" s="90"/>
      <c r="AK74" s="91"/>
      <c r="AM74" s="92"/>
      <c r="AN74" s="92"/>
      <c r="AO74" s="92"/>
      <c r="AP74" s="92"/>
      <c r="AQ74" s="92"/>
      <c r="AR74" s="92"/>
    </row>
    <row r="75" spans="1:44" s="84" customFormat="1" ht="24" customHeight="1" x14ac:dyDescent="0.3">
      <c r="A75" s="78" t="s">
        <v>3237</v>
      </c>
      <c r="B75" s="79" t="s">
        <v>376</v>
      </c>
      <c r="C75" s="80">
        <v>1133278</v>
      </c>
      <c r="D75" s="80">
        <v>1103484</v>
      </c>
      <c r="E75" s="80">
        <v>29063299</v>
      </c>
      <c r="F75" s="81" t="s">
        <v>377</v>
      </c>
      <c r="G75" s="82" t="s">
        <v>3264</v>
      </c>
      <c r="H75" s="82" t="s">
        <v>3265</v>
      </c>
      <c r="I75" s="82" t="s">
        <v>3122</v>
      </c>
      <c r="J75" s="83" t="str">
        <f>VLOOKUP($C75,CHOOSE({1,2},'[4]Prestações de Conta inadimplent'!$D$9:$D$2000,'[4]Prestações de Conta inadimplent'!$C$9:$C$2000),2,0)</f>
        <v>Colegio Estadual De Tempo Integral De Iraquara</v>
      </c>
      <c r="L75" s="85"/>
      <c r="M75" s="85" t="e">
        <v>#REF!</v>
      </c>
      <c r="T75" s="86"/>
      <c r="U75" s="85"/>
      <c r="V75" s="87"/>
      <c r="W75" s="85"/>
      <c r="X75" s="88"/>
      <c r="Y75" s="89"/>
      <c r="Z75" s="89"/>
      <c r="AA75" s="88"/>
      <c r="AB75" s="88"/>
      <c r="AF75" s="90"/>
      <c r="AK75" s="91"/>
      <c r="AM75" s="92"/>
      <c r="AN75" s="92"/>
      <c r="AO75" s="92"/>
      <c r="AP75" s="92"/>
      <c r="AQ75" s="92"/>
      <c r="AR75" s="92"/>
    </row>
    <row r="76" spans="1:44" s="84" customFormat="1" ht="24" customHeight="1" x14ac:dyDescent="0.3">
      <c r="A76" s="78" t="s">
        <v>3237</v>
      </c>
      <c r="B76" s="79" t="s">
        <v>376</v>
      </c>
      <c r="C76" s="80">
        <v>1179607</v>
      </c>
      <c r="D76" s="80">
        <v>9999999</v>
      </c>
      <c r="E76" s="80">
        <v>29470552</v>
      </c>
      <c r="F76" s="81" t="s">
        <v>3266</v>
      </c>
      <c r="G76" s="82" t="s">
        <v>3264</v>
      </c>
      <c r="H76" s="82" t="s">
        <v>3267</v>
      </c>
      <c r="I76" s="82" t="s">
        <v>3103</v>
      </c>
      <c r="J76" s="83" t="e">
        <f>VLOOKUP($C76,CHOOSE({1,2},'[4]Prestações de Conta inadimplent'!$D$9:$D$2000,'[4]Prestações de Conta inadimplent'!$C$9:$C$2000),2,0)</f>
        <v>#N/A</v>
      </c>
      <c r="L76" s="85"/>
      <c r="M76" s="85" t="e">
        <v>#REF!</v>
      </c>
      <c r="T76" s="86"/>
      <c r="U76" s="85"/>
      <c r="V76" s="87"/>
      <c r="W76" s="85"/>
      <c r="X76" s="88"/>
      <c r="Y76" s="89"/>
      <c r="Z76" s="89"/>
      <c r="AA76" s="88"/>
      <c r="AB76" s="88"/>
      <c r="AF76" s="90"/>
      <c r="AK76" s="91"/>
      <c r="AM76" s="92"/>
      <c r="AN76" s="92"/>
      <c r="AO76" s="92"/>
      <c r="AP76" s="92"/>
      <c r="AQ76" s="92"/>
      <c r="AR76" s="92"/>
    </row>
    <row r="77" spans="1:44" s="84" customFormat="1" ht="24" customHeight="1" x14ac:dyDescent="0.3">
      <c r="A77" s="78" t="s">
        <v>3237</v>
      </c>
      <c r="B77" s="79" t="s">
        <v>1551</v>
      </c>
      <c r="C77" s="80">
        <v>1170360</v>
      </c>
      <c r="D77" s="80">
        <v>1102700</v>
      </c>
      <c r="E77" s="80">
        <v>29215382</v>
      </c>
      <c r="F77" s="81" t="s">
        <v>3268</v>
      </c>
      <c r="G77" s="82" t="s">
        <v>3269</v>
      </c>
      <c r="H77" s="82" t="s">
        <v>3270</v>
      </c>
      <c r="I77" s="82" t="s">
        <v>3103</v>
      </c>
      <c r="J77" s="83" t="e">
        <f>VLOOKUP($C77,CHOOSE({1,2},'[4]Prestações de Conta inadimplent'!$D$9:$D$2000,'[4]Prestações de Conta inadimplent'!$C$9:$C$2000),2,0)</f>
        <v>#N/A</v>
      </c>
      <c r="L77" s="85"/>
      <c r="M77" s="85" t="e">
        <v>#REF!</v>
      </c>
      <c r="T77" s="86"/>
      <c r="U77" s="85"/>
      <c r="V77" s="87"/>
      <c r="W77" s="85"/>
      <c r="X77" s="88"/>
      <c r="Y77" s="89"/>
      <c r="Z77" s="88"/>
      <c r="AA77" s="88"/>
      <c r="AB77" s="88"/>
      <c r="AF77" s="90"/>
      <c r="AK77" s="91"/>
      <c r="AM77" s="92"/>
      <c r="AN77" s="92"/>
      <c r="AO77" s="92"/>
      <c r="AP77" s="92"/>
      <c r="AQ77" s="92"/>
      <c r="AR77" s="92"/>
    </row>
    <row r="78" spans="1:44" s="84" customFormat="1" ht="24" customHeight="1" x14ac:dyDescent="0.3">
      <c r="A78" s="78" t="s">
        <v>3237</v>
      </c>
      <c r="B78" s="79" t="s">
        <v>1555</v>
      </c>
      <c r="C78" s="80">
        <v>1124481</v>
      </c>
      <c r="D78" s="80">
        <v>1102790</v>
      </c>
      <c r="E78" s="80">
        <v>29216206</v>
      </c>
      <c r="F78" s="81" t="s">
        <v>1556</v>
      </c>
      <c r="G78" s="82" t="s">
        <v>3271</v>
      </c>
      <c r="H78" s="82" t="s">
        <v>3272</v>
      </c>
      <c r="I78" s="82" t="s">
        <v>3103</v>
      </c>
      <c r="J78" s="83" t="e">
        <f>VLOOKUP($C78,CHOOSE({1,2},'[4]Prestações de Conta inadimplent'!$D$9:$D$2000,'[4]Prestações de Conta inadimplent'!$C$9:$C$2000),2,0)</f>
        <v>#N/A</v>
      </c>
      <c r="L78" s="85"/>
      <c r="M78" s="85" t="e">
        <v>#REF!</v>
      </c>
      <c r="T78" s="86"/>
      <c r="U78" s="85"/>
      <c r="V78" s="87"/>
      <c r="W78" s="85"/>
      <c r="X78" s="88"/>
      <c r="Y78" s="89"/>
      <c r="Z78" s="88"/>
      <c r="AA78" s="88"/>
      <c r="AB78" s="88"/>
      <c r="AF78" s="90"/>
      <c r="AK78" s="91"/>
      <c r="AM78" s="92"/>
      <c r="AN78" s="92"/>
      <c r="AO78" s="92"/>
      <c r="AP78" s="92"/>
      <c r="AQ78" s="92"/>
      <c r="AR78" s="92"/>
    </row>
    <row r="79" spans="1:44" s="84" customFormat="1" ht="24" customHeight="1" x14ac:dyDescent="0.3">
      <c r="A79" s="98">
        <v>3</v>
      </c>
      <c r="B79" s="99" t="s">
        <v>1555</v>
      </c>
      <c r="C79" s="100">
        <v>1124511</v>
      </c>
      <c r="D79" s="100">
        <v>1102793</v>
      </c>
      <c r="E79" s="100">
        <v>29216265</v>
      </c>
      <c r="F79" s="81" t="s">
        <v>3273</v>
      </c>
      <c r="G79" s="101" t="s">
        <v>3274</v>
      </c>
      <c r="H79" s="101" t="s">
        <v>3274</v>
      </c>
      <c r="I79" s="82" t="s">
        <v>3103</v>
      </c>
      <c r="J79" s="83" t="e">
        <f>VLOOKUP($C79,CHOOSE({1,2},'[4]Prestações de Conta inadimplent'!$D$9:$D$2000,'[4]Prestações de Conta inadimplent'!$C$9:$C$2000),2,0)</f>
        <v>#N/A</v>
      </c>
      <c r="L79" s="85"/>
      <c r="M79" s="85"/>
      <c r="T79" s="86"/>
      <c r="U79" s="85"/>
      <c r="V79" s="87"/>
      <c r="W79" s="85"/>
      <c r="X79" s="88"/>
      <c r="Y79" s="89"/>
      <c r="Z79" s="88"/>
      <c r="AA79" s="88"/>
      <c r="AB79" s="88"/>
      <c r="AF79" s="90"/>
      <c r="AK79" s="91"/>
      <c r="AM79" s="92"/>
      <c r="AN79" s="92"/>
      <c r="AO79" s="92"/>
      <c r="AP79" s="92"/>
      <c r="AQ79" s="92"/>
      <c r="AR79" s="92"/>
    </row>
    <row r="80" spans="1:44" s="84" customFormat="1" ht="24" customHeight="1" x14ac:dyDescent="0.3">
      <c r="A80" s="78" t="s">
        <v>3237</v>
      </c>
      <c r="B80" s="79" t="s">
        <v>1559</v>
      </c>
      <c r="C80" s="80">
        <v>1164149</v>
      </c>
      <c r="D80" s="80">
        <v>1103492</v>
      </c>
      <c r="E80" s="80">
        <v>29216486</v>
      </c>
      <c r="F80" s="81" t="s">
        <v>1560</v>
      </c>
      <c r="G80" s="82" t="s">
        <v>3275</v>
      </c>
      <c r="H80" s="82" t="s">
        <v>3276</v>
      </c>
      <c r="I80" s="82" t="s">
        <v>3103</v>
      </c>
      <c r="J80" s="83" t="e">
        <f>VLOOKUP($C80,CHOOSE({1,2},'[4]Prestações de Conta inadimplent'!$D$9:$D$2000,'[4]Prestações de Conta inadimplent'!$C$9:$C$2000),2,0)</f>
        <v>#N/A</v>
      </c>
      <c r="L80" s="85"/>
      <c r="M80" s="85" t="e">
        <v>#REF!</v>
      </c>
      <c r="T80" s="86"/>
      <c r="U80" s="85"/>
      <c r="V80" s="87"/>
      <c r="W80" s="85"/>
      <c r="X80" s="88"/>
      <c r="Y80" s="89"/>
      <c r="Z80" s="88"/>
      <c r="AA80" s="88"/>
      <c r="AB80" s="88"/>
      <c r="AF80" s="90"/>
      <c r="AK80" s="91"/>
      <c r="AM80" s="92"/>
      <c r="AN80" s="92"/>
      <c r="AO80" s="92"/>
      <c r="AP80" s="92"/>
      <c r="AQ80" s="92"/>
      <c r="AR80" s="92"/>
    </row>
    <row r="81" spans="1:44" s="84" customFormat="1" ht="24" customHeight="1" x14ac:dyDescent="0.3">
      <c r="A81" s="78" t="s">
        <v>3237</v>
      </c>
      <c r="B81" s="79" t="s">
        <v>1659</v>
      </c>
      <c r="C81" s="80">
        <v>1123647</v>
      </c>
      <c r="D81" s="80">
        <v>1102703</v>
      </c>
      <c r="E81" s="80">
        <v>29232988</v>
      </c>
      <c r="F81" s="81" t="s">
        <v>3277</v>
      </c>
      <c r="G81" s="82" t="s">
        <v>3242</v>
      </c>
      <c r="H81" s="82" t="s">
        <v>3278</v>
      </c>
      <c r="I81" s="82" t="s">
        <v>3103</v>
      </c>
      <c r="J81" s="83" t="e">
        <f>VLOOKUP($C81,CHOOSE({1,2},'[4]Prestações de Conta inadimplent'!$D$9:$D$2000,'[4]Prestações de Conta inadimplent'!$C$9:$C$2000),2,0)</f>
        <v>#N/A</v>
      </c>
      <c r="L81" s="85"/>
      <c r="M81" s="85" t="e">
        <v>#REF!</v>
      </c>
      <c r="T81" s="86"/>
      <c r="U81" s="85"/>
      <c r="V81" s="87"/>
      <c r="W81" s="85"/>
      <c r="X81" s="88"/>
      <c r="Y81" s="89"/>
      <c r="Z81" s="88"/>
      <c r="AA81" s="88"/>
      <c r="AB81" s="88"/>
      <c r="AF81" s="90"/>
      <c r="AK81" s="91"/>
      <c r="AM81" s="92"/>
      <c r="AN81" s="92"/>
      <c r="AO81" s="92"/>
      <c r="AP81" s="92"/>
      <c r="AQ81" s="92"/>
      <c r="AR81" s="92"/>
    </row>
    <row r="82" spans="1:44" s="84" customFormat="1" ht="24" customHeight="1" x14ac:dyDescent="0.3">
      <c r="A82" s="78" t="s">
        <v>3237</v>
      </c>
      <c r="B82" s="79" t="s">
        <v>2320</v>
      </c>
      <c r="C82" s="80">
        <v>1178439</v>
      </c>
      <c r="D82" s="80">
        <v>1105590</v>
      </c>
      <c r="E82" s="80">
        <v>29399220</v>
      </c>
      <c r="F82" s="81" t="s">
        <v>3279</v>
      </c>
      <c r="G82" s="82" t="s">
        <v>3280</v>
      </c>
      <c r="H82" s="82" t="s">
        <v>3281</v>
      </c>
      <c r="I82" s="82" t="s">
        <v>3103</v>
      </c>
      <c r="J82" s="83" t="e">
        <f>VLOOKUP($C82,CHOOSE({1,2},'[4]Prestações de Conta inadimplent'!$D$9:$D$2000,'[4]Prestações de Conta inadimplent'!$C$9:$C$2000),2,0)</f>
        <v>#N/A</v>
      </c>
      <c r="L82" s="85"/>
      <c r="M82" s="85" t="e">
        <v>#REF!</v>
      </c>
      <c r="T82" s="86"/>
      <c r="U82" s="85"/>
      <c r="V82" s="87"/>
      <c r="W82" s="85"/>
      <c r="X82" s="88"/>
      <c r="Y82" s="89"/>
      <c r="Z82" s="89"/>
      <c r="AA82" s="88"/>
      <c r="AB82" s="88"/>
      <c r="AF82" s="90"/>
      <c r="AK82" s="91"/>
      <c r="AM82" s="92"/>
      <c r="AN82" s="92"/>
      <c r="AO82" s="92"/>
      <c r="AP82" s="92"/>
      <c r="AQ82" s="92"/>
      <c r="AR82" s="92"/>
    </row>
    <row r="83" spans="1:44" s="84" customFormat="1" ht="24" customHeight="1" x14ac:dyDescent="0.3">
      <c r="A83" s="78" t="s">
        <v>3237</v>
      </c>
      <c r="B83" s="79" t="s">
        <v>2320</v>
      </c>
      <c r="C83" s="80">
        <v>1178028</v>
      </c>
      <c r="D83" s="80">
        <v>1102595</v>
      </c>
      <c r="E83" s="80">
        <v>29425557</v>
      </c>
      <c r="F83" s="81" t="s">
        <v>3282</v>
      </c>
      <c r="G83" s="82" t="s">
        <v>3280</v>
      </c>
      <c r="H83" s="82" t="s">
        <v>3283</v>
      </c>
      <c r="I83" s="82" t="s">
        <v>3103</v>
      </c>
      <c r="J83" s="83" t="e">
        <f>VLOOKUP($C83,CHOOSE({1,2},'[4]Prestações de Conta inadimplent'!$D$9:$D$2000,'[4]Prestações de Conta inadimplent'!$C$9:$C$2000),2,0)</f>
        <v>#N/A</v>
      </c>
      <c r="L83" s="85" t="s">
        <v>3099</v>
      </c>
      <c r="M83" s="85" t="e">
        <v>#REF!</v>
      </c>
      <c r="T83" s="86"/>
      <c r="U83" s="85"/>
      <c r="V83" s="87"/>
      <c r="W83" s="85"/>
      <c r="X83" s="88"/>
      <c r="Y83" s="89"/>
      <c r="Z83" s="89"/>
      <c r="AA83" s="88"/>
      <c r="AB83" s="88"/>
      <c r="AF83" s="90"/>
      <c r="AH83" s="85"/>
      <c r="AK83" s="91"/>
      <c r="AM83" s="92"/>
      <c r="AN83" s="92"/>
      <c r="AO83" s="92"/>
      <c r="AP83" s="92"/>
      <c r="AQ83" s="92"/>
      <c r="AR83" s="92"/>
    </row>
    <row r="84" spans="1:44" s="84" customFormat="1" ht="24" customHeight="1" x14ac:dyDescent="0.3">
      <c r="A84" s="78" t="s">
        <v>3237</v>
      </c>
      <c r="B84" s="79" t="s">
        <v>2320</v>
      </c>
      <c r="C84" s="80">
        <v>1176457</v>
      </c>
      <c r="D84" s="80">
        <v>1102593</v>
      </c>
      <c r="E84" s="80">
        <v>29390869</v>
      </c>
      <c r="F84" s="81" t="s">
        <v>3284</v>
      </c>
      <c r="G84" s="82" t="s">
        <v>3280</v>
      </c>
      <c r="H84" s="82" t="s">
        <v>3285</v>
      </c>
      <c r="I84" s="82" t="s">
        <v>3103</v>
      </c>
      <c r="J84" s="83" t="e">
        <f>VLOOKUP($C84,CHOOSE({1,2},'[4]Prestações de Conta inadimplent'!$D$9:$D$2000,'[4]Prestações de Conta inadimplent'!$C$9:$C$2000),2,0)</f>
        <v>#N/A</v>
      </c>
      <c r="L84" s="85"/>
      <c r="M84" s="85" t="e">
        <v>#REF!</v>
      </c>
      <c r="T84" s="86"/>
      <c r="U84" s="85"/>
      <c r="V84" s="87"/>
      <c r="W84" s="85"/>
      <c r="X84" s="88"/>
      <c r="Y84" s="89"/>
      <c r="Z84" s="88"/>
      <c r="AA84" s="88"/>
      <c r="AB84" s="88"/>
      <c r="AF84" s="90"/>
      <c r="AK84" s="91"/>
      <c r="AM84" s="92"/>
      <c r="AN84" s="92"/>
      <c r="AO84" s="92"/>
      <c r="AP84" s="92"/>
      <c r="AQ84" s="92"/>
      <c r="AR84" s="92"/>
    </row>
    <row r="85" spans="1:44" s="84" customFormat="1" ht="24" customHeight="1" x14ac:dyDescent="0.3">
      <c r="A85" s="78" t="s">
        <v>3237</v>
      </c>
      <c r="B85" s="79" t="s">
        <v>3286</v>
      </c>
      <c r="C85" s="80">
        <v>1132468</v>
      </c>
      <c r="D85" s="80">
        <v>1103493</v>
      </c>
      <c r="E85" s="80">
        <v>29216818</v>
      </c>
      <c r="F85" s="81" t="s">
        <v>3287</v>
      </c>
      <c r="G85" s="82" t="s">
        <v>3288</v>
      </c>
      <c r="H85" s="82" t="s">
        <v>3289</v>
      </c>
      <c r="I85" s="82" t="s">
        <v>3103</v>
      </c>
      <c r="J85" s="83" t="e">
        <f>VLOOKUP($C85,CHOOSE({1,2},'[4]Prestações de Conta inadimplent'!$D$9:$D$2000,'[4]Prestações de Conta inadimplent'!$C$9:$C$2000),2,0)</f>
        <v>#N/A</v>
      </c>
      <c r="L85" s="85" t="s">
        <v>3099</v>
      </c>
      <c r="M85" s="85" t="e">
        <v>#REF!</v>
      </c>
      <c r="T85" s="86"/>
      <c r="U85" s="85"/>
      <c r="V85" s="87"/>
      <c r="W85" s="85"/>
      <c r="X85" s="88"/>
      <c r="Y85" s="89"/>
      <c r="Z85" s="89"/>
      <c r="AA85" s="88"/>
      <c r="AB85" s="88"/>
      <c r="AF85" s="90"/>
      <c r="AK85" s="91"/>
      <c r="AM85" s="92"/>
      <c r="AN85" s="92"/>
      <c r="AO85" s="92"/>
      <c r="AP85" s="92"/>
      <c r="AQ85" s="92"/>
      <c r="AR85" s="92"/>
    </row>
    <row r="86" spans="1:44" s="84" customFormat="1" ht="24" customHeight="1" x14ac:dyDescent="0.3">
      <c r="A86" s="78" t="s">
        <v>3237</v>
      </c>
      <c r="B86" s="79" t="s">
        <v>2513</v>
      </c>
      <c r="C86" s="80">
        <v>1178029</v>
      </c>
      <c r="D86" s="80">
        <v>1102707</v>
      </c>
      <c r="E86" s="80">
        <v>29425123</v>
      </c>
      <c r="F86" s="81" t="s">
        <v>3290</v>
      </c>
      <c r="G86" s="82" t="s">
        <v>3242</v>
      </c>
      <c r="H86" s="82" t="s">
        <v>3291</v>
      </c>
      <c r="I86" s="82" t="s">
        <v>3122</v>
      </c>
      <c r="J86" s="83" t="str">
        <f>VLOOKUP($C86,CHOOSE({1,2},'[4]Prestações de Conta inadimplent'!$D$9:$D$2000,'[4]Prestações de Conta inadimplent'!$C$9:$C$2000),2,0)</f>
        <v>Colegio Estadual Edilson Joaquim Dos Santos</v>
      </c>
      <c r="L86" s="85"/>
      <c r="M86" s="85" t="e">
        <v>#REF!</v>
      </c>
      <c r="T86" s="86"/>
      <c r="U86" s="85"/>
      <c r="V86" s="87"/>
      <c r="W86" s="85"/>
      <c r="X86" s="88"/>
      <c r="Y86" s="89"/>
      <c r="Z86" s="88"/>
      <c r="AA86" s="88"/>
      <c r="AB86" s="88"/>
      <c r="AF86" s="90"/>
      <c r="AK86" s="91"/>
      <c r="AM86" s="92"/>
      <c r="AN86" s="92"/>
      <c r="AO86" s="92"/>
      <c r="AP86" s="92"/>
      <c r="AQ86" s="92"/>
      <c r="AR86" s="92"/>
    </row>
    <row r="87" spans="1:44" s="84" customFormat="1" ht="24" customHeight="1" x14ac:dyDescent="0.3">
      <c r="A87" s="78" t="s">
        <v>3237</v>
      </c>
      <c r="B87" s="79" t="s">
        <v>1518</v>
      </c>
      <c r="C87" s="80">
        <v>1164491</v>
      </c>
      <c r="D87" s="80">
        <v>1103501</v>
      </c>
      <c r="E87" s="80">
        <v>29209994</v>
      </c>
      <c r="F87" s="81" t="s">
        <v>1519</v>
      </c>
      <c r="G87" s="82" t="s">
        <v>3257</v>
      </c>
      <c r="H87" s="82" t="s">
        <v>3292</v>
      </c>
      <c r="I87" s="82" t="s">
        <v>3103</v>
      </c>
      <c r="J87" s="83" t="e">
        <f>VLOOKUP($C87,CHOOSE({1,2},'[4]Prestações de Conta inadimplent'!$D$9:$D$2000,'[4]Prestações de Conta inadimplent'!$C$9:$C$2000),2,0)</f>
        <v>#N/A</v>
      </c>
      <c r="L87" s="85"/>
      <c r="M87" s="85" t="e">
        <v>#REF!</v>
      </c>
      <c r="T87" s="86"/>
      <c r="U87" s="85"/>
      <c r="V87" s="87"/>
      <c r="W87" s="85"/>
      <c r="X87" s="88"/>
      <c r="Y87" s="89"/>
      <c r="Z87" s="88"/>
      <c r="AA87" s="88"/>
      <c r="AB87" s="88"/>
      <c r="AF87" s="90"/>
      <c r="AK87" s="91"/>
      <c r="AM87" s="92"/>
      <c r="AN87" s="92"/>
      <c r="AO87" s="92"/>
      <c r="AP87" s="92"/>
      <c r="AQ87" s="92"/>
      <c r="AR87" s="92"/>
    </row>
    <row r="88" spans="1:44" s="84" customFormat="1" ht="24" customHeight="1" x14ac:dyDescent="0.3">
      <c r="A88" s="78" t="s">
        <v>3237</v>
      </c>
      <c r="B88" s="79" t="s">
        <v>3293</v>
      </c>
      <c r="C88" s="80">
        <v>1132565</v>
      </c>
      <c r="D88" s="80">
        <v>1103504</v>
      </c>
      <c r="E88" s="80">
        <v>29217768</v>
      </c>
      <c r="F88" s="81" t="s">
        <v>3294</v>
      </c>
      <c r="G88" s="82" t="s">
        <v>3257</v>
      </c>
      <c r="H88" s="82" t="s">
        <v>3295</v>
      </c>
      <c r="I88" s="82" t="s">
        <v>3122</v>
      </c>
      <c r="J88" s="83" t="str">
        <f>VLOOKUP($C88,CHOOSE({1,2},'[4]Prestações de Conta inadimplent'!$D$9:$D$2000,'[4]Prestações de Conta inadimplent'!$C$9:$C$2000),2,0)</f>
        <v>Colegio Estadual Professora Nilde Maria Monteiro Xavier</v>
      </c>
      <c r="K88" s="96"/>
      <c r="L88" s="85"/>
      <c r="M88" s="85" t="e">
        <v>#REF!</v>
      </c>
      <c r="T88" s="86"/>
      <c r="U88" s="85"/>
      <c r="V88" s="87"/>
      <c r="W88" s="85"/>
      <c r="X88" s="88"/>
      <c r="Y88" s="89"/>
      <c r="Z88" s="88"/>
      <c r="AA88" s="88"/>
      <c r="AB88" s="88"/>
      <c r="AF88" s="90"/>
      <c r="AK88" s="91"/>
      <c r="AM88" s="92"/>
      <c r="AN88" s="92"/>
      <c r="AO88" s="92"/>
      <c r="AP88" s="92"/>
      <c r="AQ88" s="92"/>
      <c r="AR88" s="92"/>
    </row>
    <row r="89" spans="1:44" s="84" customFormat="1" ht="24" customHeight="1" x14ac:dyDescent="0.3">
      <c r="A89" s="78" t="s">
        <v>3237</v>
      </c>
      <c r="B89" s="79" t="s">
        <v>2958</v>
      </c>
      <c r="C89" s="80">
        <v>1179483</v>
      </c>
      <c r="D89" s="80">
        <v>9999999</v>
      </c>
      <c r="E89" s="80">
        <v>29467870</v>
      </c>
      <c r="F89" s="81" t="s">
        <v>3296</v>
      </c>
      <c r="G89" s="82" t="s">
        <v>3297</v>
      </c>
      <c r="H89" s="82" t="s">
        <v>3298</v>
      </c>
      <c r="I89" s="82" t="s">
        <v>3103</v>
      </c>
      <c r="J89" s="83" t="e">
        <f>VLOOKUP($C89,CHOOSE({1,2},'[4]Prestações de Conta inadimplent'!$D$9:$D$2000,'[4]Prestações de Conta inadimplent'!$C$9:$C$2000),2,0)</f>
        <v>#N/A</v>
      </c>
      <c r="L89" s="85"/>
      <c r="M89" s="85" t="e">
        <v>#REF!</v>
      </c>
      <c r="T89" s="86"/>
      <c r="U89" s="85"/>
      <c r="V89" s="87"/>
      <c r="W89" s="85"/>
      <c r="X89" s="88"/>
      <c r="Y89" s="89"/>
      <c r="Z89" s="89"/>
      <c r="AA89" s="88"/>
      <c r="AB89" s="88"/>
      <c r="AF89" s="90"/>
      <c r="AK89" s="91"/>
      <c r="AM89" s="92"/>
      <c r="AN89" s="92"/>
      <c r="AO89" s="92"/>
      <c r="AP89" s="92"/>
      <c r="AQ89" s="92"/>
      <c r="AR89" s="92"/>
    </row>
    <row r="90" spans="1:44" s="84" customFormat="1" ht="24" customHeight="1" x14ac:dyDescent="0.3">
      <c r="A90" s="78" t="s">
        <v>3237</v>
      </c>
      <c r="B90" s="79" t="s">
        <v>2958</v>
      </c>
      <c r="C90" s="80">
        <v>1132794</v>
      </c>
      <c r="D90" s="80">
        <v>1103514</v>
      </c>
      <c r="E90" s="80">
        <v>29218489</v>
      </c>
      <c r="F90" s="81" t="s">
        <v>3299</v>
      </c>
      <c r="G90" s="82" t="s">
        <v>3257</v>
      </c>
      <c r="H90" s="82" t="s">
        <v>3300</v>
      </c>
      <c r="I90" s="82" t="s">
        <v>3103</v>
      </c>
      <c r="J90" s="83" t="e">
        <f>VLOOKUP($C90,CHOOSE({1,2},'[4]Prestações de Conta inadimplent'!$D$9:$D$2000,'[4]Prestações de Conta inadimplent'!$C$9:$C$2000),2,0)</f>
        <v>#N/A</v>
      </c>
      <c r="L90" s="85"/>
      <c r="M90" s="85" t="e">
        <v>#REF!</v>
      </c>
      <c r="T90" s="86"/>
      <c r="U90" s="85"/>
      <c r="V90" s="87"/>
      <c r="W90" s="85"/>
      <c r="X90" s="88"/>
      <c r="Y90" s="89"/>
      <c r="Z90" s="89"/>
      <c r="AA90" s="88"/>
      <c r="AB90" s="88"/>
      <c r="AF90" s="90"/>
      <c r="AH90" s="85"/>
      <c r="AK90" s="91"/>
      <c r="AM90" s="92"/>
      <c r="AN90" s="92"/>
      <c r="AO90" s="92"/>
      <c r="AP90" s="92"/>
      <c r="AQ90" s="92"/>
      <c r="AR90" s="92"/>
    </row>
    <row r="91" spans="1:44" s="84" customFormat="1" ht="24" customHeight="1" x14ac:dyDescent="0.3">
      <c r="A91" s="102" t="s">
        <v>3237</v>
      </c>
      <c r="B91" s="99" t="s">
        <v>2958</v>
      </c>
      <c r="C91" s="94">
        <v>1179708</v>
      </c>
      <c r="D91" s="94">
        <v>9999999</v>
      </c>
      <c r="E91" s="94">
        <v>29483891</v>
      </c>
      <c r="F91" s="81" t="s">
        <v>3301</v>
      </c>
      <c r="G91" s="82" t="s">
        <v>3257</v>
      </c>
      <c r="H91" s="82" t="s">
        <v>3302</v>
      </c>
      <c r="I91" s="82" t="s">
        <v>3103</v>
      </c>
      <c r="J91" s="83" t="e">
        <f>VLOOKUP($C91,CHOOSE({1,2},'[4]Prestações de Conta inadimplent'!$D$9:$D$2000,'[4]Prestações de Conta inadimplent'!$C$9:$C$2000),2,0)</f>
        <v>#N/A</v>
      </c>
      <c r="L91" s="85" t="s">
        <v>3099</v>
      </c>
      <c r="M91" s="85" t="e">
        <v>#REF!</v>
      </c>
      <c r="T91" s="86"/>
      <c r="U91" s="85"/>
      <c r="V91" s="87"/>
      <c r="W91" s="85"/>
      <c r="X91" s="88"/>
      <c r="Y91" s="89"/>
      <c r="Z91" s="88"/>
      <c r="AA91" s="88"/>
      <c r="AB91" s="88"/>
      <c r="AF91" s="90"/>
      <c r="AK91" s="91"/>
      <c r="AM91" s="92"/>
      <c r="AN91" s="92"/>
      <c r="AO91" s="92"/>
      <c r="AP91" s="92"/>
      <c r="AQ91" s="92"/>
      <c r="AR91" s="92"/>
    </row>
    <row r="92" spans="1:44" s="84" customFormat="1" ht="24" customHeight="1" x14ac:dyDescent="0.3">
      <c r="A92" s="78" t="s">
        <v>3237</v>
      </c>
      <c r="B92" s="79" t="s">
        <v>1563</v>
      </c>
      <c r="C92" s="80">
        <v>1178261</v>
      </c>
      <c r="D92" s="80">
        <v>1105502</v>
      </c>
      <c r="E92" s="80">
        <v>29467403</v>
      </c>
      <c r="F92" s="81" t="s">
        <v>3303</v>
      </c>
      <c r="G92" s="82" t="s">
        <v>3297</v>
      </c>
      <c r="H92" s="82" t="s">
        <v>3304</v>
      </c>
      <c r="I92" s="82" t="s">
        <v>3122</v>
      </c>
      <c r="J92" s="83" t="str">
        <f>VLOOKUP($C92,CHOOSE({1,2},'[4]Prestações de Conta inadimplent'!$D$9:$D$2000,'[4]Prestações de Conta inadimplent'!$C$9:$C$2000),2,0)</f>
        <v>Colegio Estadual Carlos Souto - Tempo Integral</v>
      </c>
      <c r="L92" s="85"/>
      <c r="M92" s="85" t="e">
        <v>#REF!</v>
      </c>
      <c r="T92" s="86"/>
      <c r="U92" s="85"/>
      <c r="V92" s="87"/>
      <c r="W92" s="85"/>
      <c r="X92" s="88"/>
      <c r="Y92" s="89"/>
      <c r="Z92" s="88"/>
      <c r="AA92" s="88"/>
      <c r="AB92" s="88"/>
      <c r="AF92" s="90"/>
      <c r="AH92" s="85"/>
      <c r="AK92" s="91"/>
      <c r="AM92" s="92"/>
      <c r="AN92" s="92"/>
      <c r="AO92" s="92"/>
      <c r="AP92" s="92"/>
      <c r="AQ92" s="92"/>
      <c r="AR92" s="92"/>
    </row>
    <row r="93" spans="1:44" s="84" customFormat="1" ht="24" customHeight="1" x14ac:dyDescent="0.3">
      <c r="A93" s="78" t="s">
        <v>3237</v>
      </c>
      <c r="B93" s="79" t="s">
        <v>1563</v>
      </c>
      <c r="C93" s="80">
        <v>1167997</v>
      </c>
      <c r="D93" s="80">
        <v>1102829</v>
      </c>
      <c r="E93" s="80">
        <v>29219841</v>
      </c>
      <c r="F93" s="81" t="s">
        <v>3305</v>
      </c>
      <c r="G93" s="82" t="s">
        <v>3297</v>
      </c>
      <c r="H93" s="82" t="s">
        <v>3306</v>
      </c>
      <c r="I93" s="82" t="s">
        <v>3103</v>
      </c>
      <c r="J93" s="83" t="e">
        <f>VLOOKUP($C93,CHOOSE({1,2},'[4]Prestações de Conta inadimplent'!$D$9:$D$2000,'[4]Prestações de Conta inadimplent'!$C$9:$C$2000),2,0)</f>
        <v>#N/A</v>
      </c>
      <c r="L93" s="85"/>
      <c r="M93" s="85" t="e">
        <v>#REF!</v>
      </c>
      <c r="T93" s="86"/>
      <c r="U93" s="85"/>
      <c r="V93" s="87"/>
      <c r="W93" s="85"/>
      <c r="X93" s="88"/>
      <c r="Y93" s="89"/>
      <c r="Z93" s="88"/>
      <c r="AA93" s="88"/>
      <c r="AB93" s="88"/>
      <c r="AF93" s="90"/>
      <c r="AK93" s="91"/>
      <c r="AM93" s="92"/>
      <c r="AN93" s="92"/>
      <c r="AO93" s="92"/>
      <c r="AP93" s="92"/>
      <c r="AQ93" s="92"/>
      <c r="AR93" s="92"/>
    </row>
    <row r="94" spans="1:44" s="84" customFormat="1" ht="24" customHeight="1" x14ac:dyDescent="0.3">
      <c r="A94" s="78" t="s">
        <v>3237</v>
      </c>
      <c r="B94" s="79" t="s">
        <v>1567</v>
      </c>
      <c r="C94" s="80">
        <v>1133138</v>
      </c>
      <c r="D94" s="80">
        <v>1103532</v>
      </c>
      <c r="E94" s="80">
        <v>29220076</v>
      </c>
      <c r="F94" s="81" t="s">
        <v>3307</v>
      </c>
      <c r="G94" s="82" t="s">
        <v>3257</v>
      </c>
      <c r="H94" s="82" t="s">
        <v>3308</v>
      </c>
      <c r="I94" s="82" t="s">
        <v>3103</v>
      </c>
      <c r="J94" s="83" t="e">
        <f>VLOOKUP($C94,CHOOSE({1,2},'[4]Prestações de Conta inadimplent'!$D$9:$D$2000,'[4]Prestações de Conta inadimplent'!$C$9:$C$2000),2,0)</f>
        <v>#N/A</v>
      </c>
      <c r="L94" s="85"/>
      <c r="M94" s="85" t="e">
        <v>#REF!</v>
      </c>
      <c r="T94" s="86"/>
      <c r="U94" s="85"/>
      <c r="V94" s="87"/>
      <c r="W94" s="85"/>
      <c r="X94" s="88"/>
      <c r="Y94" s="89"/>
      <c r="Z94" s="89"/>
      <c r="AA94" s="88"/>
      <c r="AB94" s="88"/>
      <c r="AF94" s="90"/>
      <c r="AK94" s="91"/>
      <c r="AM94" s="92"/>
      <c r="AN94" s="92"/>
      <c r="AO94" s="92"/>
      <c r="AP94" s="92"/>
      <c r="AQ94" s="92"/>
      <c r="AR94" s="92"/>
    </row>
    <row r="95" spans="1:44" s="84" customFormat="1" ht="24" customHeight="1" x14ac:dyDescent="0.3">
      <c r="A95" s="78" t="s">
        <v>3237</v>
      </c>
      <c r="B95" s="79" t="s">
        <v>1567</v>
      </c>
      <c r="C95" s="80">
        <v>1179283</v>
      </c>
      <c r="D95" s="80">
        <v>9999999</v>
      </c>
      <c r="E95" s="80">
        <v>29461502</v>
      </c>
      <c r="F95" s="81" t="s">
        <v>3309</v>
      </c>
      <c r="G95" s="82" t="s">
        <v>3257</v>
      </c>
      <c r="H95" s="82" t="s">
        <v>3310</v>
      </c>
      <c r="I95" s="82" t="s">
        <v>3103</v>
      </c>
      <c r="J95" s="83" t="e">
        <f>VLOOKUP($C95,CHOOSE({1,2},'[4]Prestações de Conta inadimplent'!$D$9:$D$2000,'[4]Prestações de Conta inadimplent'!$C$9:$C$2000),2,0)</f>
        <v>#N/A</v>
      </c>
      <c r="L95" s="85"/>
      <c r="M95" s="85" t="e">
        <v>#REF!</v>
      </c>
      <c r="T95" s="86"/>
      <c r="U95" s="85"/>
      <c r="V95" s="85"/>
      <c r="W95" s="85"/>
      <c r="X95" s="88"/>
      <c r="Y95" s="89"/>
      <c r="Z95" s="88"/>
      <c r="AA95" s="88"/>
      <c r="AB95" s="88"/>
      <c r="AF95" s="90"/>
      <c r="AK95" s="91"/>
      <c r="AM95" s="92"/>
      <c r="AN95" s="92"/>
      <c r="AO95" s="92"/>
      <c r="AP95" s="92"/>
      <c r="AQ95" s="92"/>
      <c r="AR95" s="92"/>
    </row>
    <row r="96" spans="1:44" s="84" customFormat="1" ht="24" customHeight="1" x14ac:dyDescent="0.3">
      <c r="A96" s="102" t="s">
        <v>3237</v>
      </c>
      <c r="B96" s="99" t="s">
        <v>1567</v>
      </c>
      <c r="C96" s="103">
        <v>1133022</v>
      </c>
      <c r="D96" s="103">
        <v>1103528</v>
      </c>
      <c r="E96" s="103">
        <v>29221307</v>
      </c>
      <c r="F96" s="81" t="s">
        <v>1571</v>
      </c>
      <c r="G96" s="94" t="s">
        <v>3257</v>
      </c>
      <c r="H96" s="94" t="s">
        <v>3311</v>
      </c>
      <c r="I96" s="82" t="s">
        <v>3103</v>
      </c>
      <c r="J96" s="83" t="e">
        <f>VLOOKUP($C96,CHOOSE({1,2},'[4]Prestações de Conta inadimplent'!$D$9:$D$2000,'[4]Prestações de Conta inadimplent'!$C$9:$C$2000),2,0)</f>
        <v>#N/A</v>
      </c>
      <c r="L96" s="85"/>
      <c r="M96" s="85" t="e">
        <v>#REF!</v>
      </c>
      <c r="T96" s="86"/>
      <c r="U96" s="85"/>
      <c r="V96" s="85"/>
      <c r="W96" s="85"/>
      <c r="X96" s="88"/>
      <c r="Y96" s="89"/>
      <c r="Z96" s="88"/>
      <c r="AA96" s="88"/>
      <c r="AB96" s="88"/>
      <c r="AF96" s="90"/>
      <c r="AK96" s="91"/>
      <c r="AM96" s="92"/>
      <c r="AN96" s="92"/>
      <c r="AO96" s="92"/>
      <c r="AP96" s="92"/>
      <c r="AQ96" s="92"/>
      <c r="AR96" s="92"/>
    </row>
    <row r="97" spans="1:44" s="84" customFormat="1" ht="24" customHeight="1" x14ac:dyDescent="0.3">
      <c r="A97" s="78" t="s">
        <v>3237</v>
      </c>
      <c r="B97" s="79" t="s">
        <v>403</v>
      </c>
      <c r="C97" s="80">
        <v>1133235</v>
      </c>
      <c r="D97" s="80">
        <v>1103536</v>
      </c>
      <c r="E97" s="80">
        <v>29067391</v>
      </c>
      <c r="F97" s="81" t="s">
        <v>404</v>
      </c>
      <c r="G97" s="82" t="s">
        <v>3264</v>
      </c>
      <c r="H97" s="82" t="s">
        <v>3312</v>
      </c>
      <c r="I97" s="82" t="s">
        <v>3103</v>
      </c>
      <c r="J97" s="83" t="e">
        <f>VLOOKUP($C97,CHOOSE({1,2},'[4]Prestações de Conta inadimplent'!$D$9:$D$2000,'[4]Prestações de Conta inadimplent'!$C$9:$C$2000),2,0)</f>
        <v>#N/A</v>
      </c>
      <c r="L97" s="85"/>
      <c r="M97" s="85" t="e">
        <v>#REF!</v>
      </c>
      <c r="T97" s="86"/>
      <c r="U97" s="85"/>
      <c r="V97" s="87"/>
      <c r="W97" s="85"/>
      <c r="X97" s="88"/>
      <c r="Y97" s="89"/>
      <c r="Z97" s="89"/>
      <c r="AA97" s="88"/>
      <c r="AB97" s="88"/>
      <c r="AF97" s="90"/>
      <c r="AK97" s="91"/>
      <c r="AM97" s="92"/>
      <c r="AN97" s="92"/>
      <c r="AO97" s="92"/>
      <c r="AP97" s="92"/>
      <c r="AQ97" s="92"/>
      <c r="AR97" s="92"/>
    </row>
    <row r="98" spans="1:44" s="84" customFormat="1" ht="24" customHeight="1" x14ac:dyDescent="0.3">
      <c r="A98" s="104">
        <v>3</v>
      </c>
      <c r="B98" s="97" t="s">
        <v>403</v>
      </c>
      <c r="C98" s="105">
        <v>1179793</v>
      </c>
      <c r="D98" s="94">
        <v>9999999</v>
      </c>
      <c r="E98" s="93">
        <v>29493854</v>
      </c>
      <c r="F98" s="81" t="s">
        <v>3313</v>
      </c>
      <c r="G98" s="82" t="s">
        <v>3264</v>
      </c>
      <c r="H98" s="82" t="s">
        <v>3314</v>
      </c>
      <c r="I98" s="82" t="s">
        <v>3103</v>
      </c>
      <c r="J98" s="83" t="e">
        <f>VLOOKUP($C98,CHOOSE({1,2},'[4]Prestações de Conta inadimplent'!$D$9:$D$2000,'[4]Prestações de Conta inadimplent'!$C$9:$C$2000),2,0)</f>
        <v>#N/A</v>
      </c>
      <c r="L98" s="85"/>
      <c r="M98" s="85" t="e">
        <v>#REF!</v>
      </c>
      <c r="T98" s="86"/>
      <c r="U98" s="85"/>
      <c r="V98" s="87"/>
      <c r="W98" s="85"/>
      <c r="X98" s="88"/>
      <c r="Y98" s="89"/>
      <c r="Z98" s="89"/>
      <c r="AA98" s="88"/>
      <c r="AB98" s="88"/>
      <c r="AF98" s="90"/>
      <c r="AK98" s="91"/>
      <c r="AM98" s="92"/>
      <c r="AN98" s="92"/>
      <c r="AO98" s="92"/>
      <c r="AP98" s="92"/>
      <c r="AQ98" s="92"/>
      <c r="AR98" s="92"/>
    </row>
    <row r="99" spans="1:44" s="84" customFormat="1" ht="24" customHeight="1" x14ac:dyDescent="0.3">
      <c r="A99" s="78" t="s">
        <v>3237</v>
      </c>
      <c r="B99" s="79" t="s">
        <v>2588</v>
      </c>
      <c r="C99" s="80">
        <v>1178095</v>
      </c>
      <c r="D99" s="80">
        <v>1104563</v>
      </c>
      <c r="E99" s="80">
        <v>29428742</v>
      </c>
      <c r="F99" s="81" t="s">
        <v>2589</v>
      </c>
      <c r="G99" s="82" t="s">
        <v>3315</v>
      </c>
      <c r="H99" s="82" t="s">
        <v>3316</v>
      </c>
      <c r="I99" s="82" t="s">
        <v>3103</v>
      </c>
      <c r="J99" s="83" t="e">
        <f>VLOOKUP($C99,CHOOSE({1,2},'[4]Prestações de Conta inadimplent'!$D$9:$D$2000,'[4]Prestações de Conta inadimplent'!$C$9:$C$2000),2,0)</f>
        <v>#N/A</v>
      </c>
      <c r="L99" s="85"/>
      <c r="M99" s="85" t="e">
        <v>#REF!</v>
      </c>
      <c r="T99" s="86"/>
      <c r="U99" s="85"/>
      <c r="V99" s="87"/>
      <c r="W99" s="85"/>
      <c r="X99" s="88"/>
      <c r="Y99" s="89"/>
      <c r="Z99" s="88"/>
      <c r="AA99" s="88"/>
      <c r="AB99" s="88"/>
      <c r="AF99" s="90"/>
      <c r="AK99" s="91"/>
      <c r="AM99" s="92"/>
      <c r="AN99" s="92"/>
      <c r="AO99" s="92"/>
      <c r="AP99" s="92"/>
      <c r="AQ99" s="92"/>
      <c r="AR99" s="92"/>
    </row>
    <row r="100" spans="1:44" s="84" customFormat="1" ht="24" customHeight="1" x14ac:dyDescent="0.3">
      <c r="A100" s="78" t="s">
        <v>3237</v>
      </c>
      <c r="B100" s="79" t="s">
        <v>3317</v>
      </c>
      <c r="C100" s="80">
        <v>1123876</v>
      </c>
      <c r="D100" s="80">
        <v>1102727</v>
      </c>
      <c r="E100" s="80">
        <v>29221943</v>
      </c>
      <c r="F100" s="81" t="s">
        <v>3318</v>
      </c>
      <c r="G100" s="82" t="s">
        <v>3315</v>
      </c>
      <c r="H100" s="82" t="s">
        <v>3319</v>
      </c>
      <c r="I100" s="82" t="s">
        <v>3122</v>
      </c>
      <c r="J100" s="83" t="str">
        <f>VLOOKUP($C100,CHOOSE({1,2},'[4]Prestações de Conta inadimplent'!$D$9:$D$2000,'[4]Prestações de Conta inadimplent'!$C$9:$C$2000),2,0)</f>
        <v>Centro Territorial De Educacao Profissional Da Chapada Diamantina</v>
      </c>
      <c r="L100" s="85"/>
      <c r="M100" s="85" t="e">
        <v>#REF!</v>
      </c>
      <c r="T100" s="86"/>
      <c r="U100" s="85"/>
      <c r="V100" s="87"/>
      <c r="W100" s="85"/>
      <c r="X100" s="88"/>
      <c r="Y100" s="89"/>
      <c r="Z100" s="88"/>
      <c r="AA100" s="88"/>
      <c r="AB100" s="88"/>
      <c r="AF100" s="90"/>
      <c r="AK100" s="91"/>
      <c r="AM100" s="92"/>
      <c r="AN100" s="92"/>
      <c r="AO100" s="92"/>
      <c r="AP100" s="92"/>
      <c r="AQ100" s="92"/>
      <c r="AR100" s="92"/>
    </row>
    <row r="101" spans="1:44" s="84" customFormat="1" ht="24" customHeight="1" x14ac:dyDescent="0.3">
      <c r="A101" s="78" t="s">
        <v>3320</v>
      </c>
      <c r="B101" s="79" t="s">
        <v>794</v>
      </c>
      <c r="C101" s="80">
        <v>1115431</v>
      </c>
      <c r="D101" s="80">
        <v>1101949</v>
      </c>
      <c r="E101" s="80">
        <v>29135710</v>
      </c>
      <c r="F101" s="81" t="s">
        <v>3321</v>
      </c>
      <c r="G101" s="82" t="s">
        <v>3322</v>
      </c>
      <c r="H101" s="82" t="s">
        <v>3323</v>
      </c>
      <c r="I101" s="82" t="s">
        <v>3103</v>
      </c>
      <c r="J101" s="83" t="e">
        <f>VLOOKUP($C101,CHOOSE({1,2},'[4]Prestações de Conta inadimplent'!$D$9:$D$2000,'[4]Prestações de Conta inadimplent'!$C$9:$C$2000),2,0)</f>
        <v>#N/A</v>
      </c>
      <c r="L101" s="85"/>
      <c r="M101" s="85" t="e">
        <v>#REF!</v>
      </c>
      <c r="T101" s="86"/>
      <c r="U101" s="85"/>
      <c r="V101" s="87"/>
      <c r="W101" s="85"/>
      <c r="X101" s="88"/>
      <c r="Y101" s="89"/>
      <c r="Z101" s="89"/>
      <c r="AA101" s="88"/>
      <c r="AB101" s="88"/>
      <c r="AF101" s="90"/>
      <c r="AK101" s="91"/>
      <c r="AM101" s="92"/>
      <c r="AN101" s="92"/>
      <c r="AO101" s="92"/>
      <c r="AP101" s="92"/>
      <c r="AQ101" s="92"/>
      <c r="AR101" s="92"/>
    </row>
    <row r="102" spans="1:44" s="84" customFormat="1" ht="24" customHeight="1" x14ac:dyDescent="0.3">
      <c r="A102" s="78" t="s">
        <v>3320</v>
      </c>
      <c r="B102" s="79" t="s">
        <v>864</v>
      </c>
      <c r="C102" s="80">
        <v>1115520</v>
      </c>
      <c r="D102" s="80">
        <v>1102099</v>
      </c>
      <c r="E102" s="80">
        <v>29147409</v>
      </c>
      <c r="F102" s="81" t="s">
        <v>865</v>
      </c>
      <c r="G102" s="82" t="s">
        <v>3324</v>
      </c>
      <c r="H102" s="82" t="s">
        <v>3325</v>
      </c>
      <c r="I102" s="82" t="s">
        <v>3103</v>
      </c>
      <c r="J102" s="83" t="e">
        <f>VLOOKUP($C102,CHOOSE({1,2},'[4]Prestações de Conta inadimplent'!$D$9:$D$2000,'[4]Prestações de Conta inadimplent'!$C$9:$C$2000),2,0)</f>
        <v>#N/A</v>
      </c>
      <c r="L102" s="85"/>
      <c r="M102" s="85" t="e">
        <v>#REF!</v>
      </c>
      <c r="T102" s="86"/>
      <c r="U102" s="85"/>
      <c r="V102" s="87"/>
      <c r="W102" s="85"/>
      <c r="X102" s="88"/>
      <c r="Y102" s="89"/>
      <c r="Z102" s="89"/>
      <c r="AA102" s="88"/>
      <c r="AB102" s="88"/>
      <c r="AF102" s="90"/>
      <c r="AK102" s="91"/>
      <c r="AM102" s="92"/>
      <c r="AN102" s="92"/>
      <c r="AO102" s="92"/>
      <c r="AP102" s="92"/>
      <c r="AQ102" s="92"/>
      <c r="AR102" s="92"/>
    </row>
    <row r="103" spans="1:44" s="84" customFormat="1" ht="24" customHeight="1" x14ac:dyDescent="0.3">
      <c r="A103" s="78" t="s">
        <v>3320</v>
      </c>
      <c r="B103" s="79" t="s">
        <v>3326</v>
      </c>
      <c r="C103" s="80">
        <v>1115547</v>
      </c>
      <c r="D103" s="80">
        <v>1101955</v>
      </c>
      <c r="E103" s="80">
        <v>29136385</v>
      </c>
      <c r="F103" s="81" t="s">
        <v>3327</v>
      </c>
      <c r="G103" s="82" t="s">
        <v>3324</v>
      </c>
      <c r="H103" s="82" t="s">
        <v>3328</v>
      </c>
      <c r="I103" s="82" t="s">
        <v>3122</v>
      </c>
      <c r="J103" s="83" t="str">
        <f>VLOOKUP($C103,CHOOSE({1,2},'[4]Prestações de Conta inadimplent'!$D$9:$D$2000,'[4]Prestações de Conta inadimplent'!$C$9:$C$2000),2,0)</f>
        <v>Colegio Estadual De Biritinga</v>
      </c>
      <c r="L103" s="85" t="s">
        <v>3099</v>
      </c>
      <c r="M103" s="85" t="e">
        <v>#REF!</v>
      </c>
      <c r="T103" s="86"/>
      <c r="U103" s="85"/>
      <c r="V103" s="87"/>
      <c r="W103" s="85"/>
      <c r="X103" s="88"/>
      <c r="Y103" s="89"/>
      <c r="Z103" s="89"/>
      <c r="AA103" s="88"/>
      <c r="AB103" s="88"/>
      <c r="AF103" s="90"/>
      <c r="AK103" s="91"/>
      <c r="AM103" s="92"/>
      <c r="AN103" s="92"/>
      <c r="AO103" s="92"/>
      <c r="AP103" s="92"/>
      <c r="AQ103" s="92"/>
      <c r="AR103" s="92"/>
    </row>
    <row r="104" spans="1:44" s="84" customFormat="1" ht="24" customHeight="1" x14ac:dyDescent="0.3">
      <c r="A104" s="78" t="s">
        <v>3320</v>
      </c>
      <c r="B104" s="79" t="s">
        <v>798</v>
      </c>
      <c r="C104" s="80">
        <v>1105606</v>
      </c>
      <c r="D104" s="80">
        <v>1100816</v>
      </c>
      <c r="E104" s="80">
        <v>29136571</v>
      </c>
      <c r="F104" s="81" t="s">
        <v>3329</v>
      </c>
      <c r="G104" s="82" t="s">
        <v>3330</v>
      </c>
      <c r="H104" s="82" t="s">
        <v>3331</v>
      </c>
      <c r="I104" s="82" t="s">
        <v>3122</v>
      </c>
      <c r="J104" s="83" t="str">
        <f>VLOOKUP($C104,CHOOSE({1,2},'[4]Prestações de Conta inadimplent'!$D$9:$D$2000,'[4]Prestações de Conta inadimplent'!$C$9:$C$2000),2,0)</f>
        <v>Colegio Estadual Jose Rufino</v>
      </c>
      <c r="L104" s="85"/>
      <c r="M104" s="85" t="e">
        <v>#REF!</v>
      </c>
      <c r="T104" s="86"/>
      <c r="U104" s="85"/>
      <c r="V104" s="87"/>
      <c r="W104" s="85"/>
      <c r="X104" s="88"/>
      <c r="Y104" s="89"/>
      <c r="Z104" s="89"/>
      <c r="AA104" s="88"/>
      <c r="AB104" s="88"/>
      <c r="AF104" s="90"/>
      <c r="AK104" s="91"/>
      <c r="AM104" s="92"/>
      <c r="AN104" s="92"/>
      <c r="AO104" s="92"/>
      <c r="AP104" s="92"/>
      <c r="AQ104" s="92"/>
      <c r="AR104" s="92"/>
    </row>
    <row r="105" spans="1:44" s="84" customFormat="1" ht="24" customHeight="1" x14ac:dyDescent="0.3">
      <c r="A105" s="78" t="s">
        <v>3320</v>
      </c>
      <c r="B105" s="79" t="s">
        <v>719</v>
      </c>
      <c r="C105" s="80">
        <v>1178245</v>
      </c>
      <c r="D105" s="80">
        <v>1101961</v>
      </c>
      <c r="E105" s="80">
        <v>29115604</v>
      </c>
      <c r="F105" s="81" t="s">
        <v>720</v>
      </c>
      <c r="G105" s="82" t="s">
        <v>3324</v>
      </c>
      <c r="H105" s="82" t="s">
        <v>3332</v>
      </c>
      <c r="I105" s="82" t="s">
        <v>3122</v>
      </c>
      <c r="J105" s="83" t="str">
        <f>VLOOKUP($C105,CHOOSE({1,2},'[4]Prestações de Conta inadimplent'!$D$9:$D$2000,'[4]Prestações de Conta inadimplent'!$C$9:$C$2000),2,0)</f>
        <v>Colegio Estadual Osmilton Batista Souza</v>
      </c>
      <c r="L105" s="85"/>
      <c r="M105" s="85" t="e">
        <v>#REF!</v>
      </c>
      <c r="T105" s="86"/>
      <c r="U105" s="85"/>
      <c r="V105" s="87"/>
      <c r="W105" s="85"/>
      <c r="X105" s="88"/>
      <c r="Y105" s="89"/>
      <c r="Z105" s="89"/>
      <c r="AA105" s="88"/>
      <c r="AB105" s="88"/>
      <c r="AF105" s="90"/>
      <c r="AK105" s="91"/>
      <c r="AM105" s="92"/>
      <c r="AN105" s="92"/>
      <c r="AO105" s="92"/>
      <c r="AP105" s="92"/>
      <c r="AQ105" s="92"/>
      <c r="AR105" s="92"/>
    </row>
    <row r="106" spans="1:44" s="84" customFormat="1" ht="24" customHeight="1" x14ac:dyDescent="0.3">
      <c r="A106" s="78" t="s">
        <v>3320</v>
      </c>
      <c r="B106" s="79" t="s">
        <v>719</v>
      </c>
      <c r="C106" s="80">
        <v>1176868</v>
      </c>
      <c r="D106" s="80">
        <v>1101962</v>
      </c>
      <c r="E106" s="80">
        <v>29116422</v>
      </c>
      <c r="F106" s="81" t="s">
        <v>3333</v>
      </c>
      <c r="G106" s="82" t="s">
        <v>3324</v>
      </c>
      <c r="H106" s="82" t="s">
        <v>3334</v>
      </c>
      <c r="I106" s="82" t="s">
        <v>3122</v>
      </c>
      <c r="J106" s="83" t="str">
        <f>VLOOKUP($C106,CHOOSE({1,2},'[4]Prestações de Conta inadimplent'!$D$9:$D$2000,'[4]Prestações de Conta inadimplent'!$C$9:$C$2000),2,0)</f>
        <v>Colegio Estadual Senhor Do Bonfim</v>
      </c>
      <c r="L106" s="85"/>
      <c r="M106" s="85" t="e">
        <v>#REF!</v>
      </c>
      <c r="T106" s="86"/>
      <c r="U106" s="85"/>
      <c r="V106" s="87"/>
      <c r="W106" s="85"/>
      <c r="X106" s="88"/>
      <c r="Y106" s="89"/>
      <c r="Z106" s="89"/>
      <c r="AA106" s="88"/>
      <c r="AB106" s="88"/>
      <c r="AF106" s="90"/>
      <c r="AH106" s="85"/>
      <c r="AK106" s="91"/>
      <c r="AM106" s="92"/>
      <c r="AN106" s="92"/>
      <c r="AO106" s="92"/>
      <c r="AP106" s="92"/>
      <c r="AQ106" s="92"/>
      <c r="AR106" s="92"/>
    </row>
    <row r="107" spans="1:44" s="84" customFormat="1" ht="24" customHeight="1" x14ac:dyDescent="0.3">
      <c r="A107" s="78" t="s">
        <v>3320</v>
      </c>
      <c r="B107" s="79" t="s">
        <v>719</v>
      </c>
      <c r="C107" s="80">
        <v>1178125</v>
      </c>
      <c r="D107" s="80">
        <v>1105053</v>
      </c>
      <c r="E107" s="80">
        <v>29437164</v>
      </c>
      <c r="F107" s="81" t="s">
        <v>3335</v>
      </c>
      <c r="G107" s="82" t="s">
        <v>3336</v>
      </c>
      <c r="H107" s="82" t="s">
        <v>3337</v>
      </c>
      <c r="I107" s="82" t="s">
        <v>3103</v>
      </c>
      <c r="J107" s="83" t="e">
        <f>VLOOKUP($C107,CHOOSE({1,2},'[4]Prestações de Conta inadimplent'!$D$9:$D$2000,'[4]Prestações de Conta inadimplent'!$C$9:$C$2000),2,0)</f>
        <v>#N/A</v>
      </c>
      <c r="L107" s="85"/>
      <c r="M107" s="85" t="e">
        <v>#REF!</v>
      </c>
      <c r="T107" s="86"/>
      <c r="U107" s="85"/>
      <c r="V107" s="87"/>
      <c r="W107" s="85"/>
      <c r="X107" s="88"/>
      <c r="Y107" s="89"/>
      <c r="Z107" s="89"/>
      <c r="AA107" s="88"/>
      <c r="AB107" s="88"/>
      <c r="AF107" s="90"/>
      <c r="AK107" s="91"/>
      <c r="AM107" s="92"/>
      <c r="AN107" s="92"/>
      <c r="AO107" s="92"/>
      <c r="AP107" s="92"/>
      <c r="AQ107" s="92"/>
      <c r="AR107" s="92"/>
    </row>
    <row r="108" spans="1:44" s="84" customFormat="1" ht="24" customHeight="1" x14ac:dyDescent="0.3">
      <c r="A108" s="78" t="s">
        <v>3320</v>
      </c>
      <c r="B108" s="79" t="s">
        <v>802</v>
      </c>
      <c r="C108" s="80">
        <v>1115903</v>
      </c>
      <c r="D108" s="80">
        <v>1101990</v>
      </c>
      <c r="E108" s="80">
        <v>29137900</v>
      </c>
      <c r="F108" s="81" t="s">
        <v>809</v>
      </c>
      <c r="G108" s="82" t="s">
        <v>3338</v>
      </c>
      <c r="H108" s="82" t="s">
        <v>3339</v>
      </c>
      <c r="I108" s="82" t="s">
        <v>3103</v>
      </c>
      <c r="J108" s="83" t="e">
        <f>VLOOKUP($C108,CHOOSE({1,2},'[4]Prestações de Conta inadimplent'!$D$9:$D$2000,'[4]Prestações de Conta inadimplent'!$C$9:$C$2000),2,0)</f>
        <v>#N/A</v>
      </c>
      <c r="L108" s="85"/>
      <c r="M108" s="85" t="e">
        <v>#REF!</v>
      </c>
      <c r="T108" s="86"/>
      <c r="U108" s="85"/>
      <c r="V108" s="87"/>
      <c r="W108" s="85"/>
      <c r="X108" s="88"/>
      <c r="Y108" s="89"/>
      <c r="Z108" s="89"/>
      <c r="AA108" s="88"/>
      <c r="AB108" s="88"/>
      <c r="AF108" s="90"/>
      <c r="AK108" s="91"/>
      <c r="AM108" s="92"/>
      <c r="AN108" s="92"/>
      <c r="AO108" s="92"/>
      <c r="AP108" s="92"/>
      <c r="AQ108" s="92"/>
      <c r="AR108" s="92"/>
    </row>
    <row r="109" spans="1:44" s="84" customFormat="1" ht="24" customHeight="1" x14ac:dyDescent="0.3">
      <c r="A109" s="78" t="s">
        <v>3320</v>
      </c>
      <c r="B109" s="79" t="s">
        <v>802</v>
      </c>
      <c r="C109" s="80">
        <v>1115733</v>
      </c>
      <c r="D109" s="80">
        <v>1101980</v>
      </c>
      <c r="E109" s="80">
        <v>29137845</v>
      </c>
      <c r="F109" s="81" t="s">
        <v>3340</v>
      </c>
      <c r="G109" s="82" t="s">
        <v>3338</v>
      </c>
      <c r="H109" s="82" t="s">
        <v>3341</v>
      </c>
      <c r="I109" s="82" t="s">
        <v>3103</v>
      </c>
      <c r="J109" s="83" t="e">
        <f>VLOOKUP($C109,CHOOSE({1,2},'[4]Prestações de Conta inadimplent'!$D$9:$D$2000,'[4]Prestações de Conta inadimplent'!$C$9:$C$2000),2,0)</f>
        <v>#N/A</v>
      </c>
      <c r="L109" s="85"/>
      <c r="M109" s="85" t="e">
        <v>#REF!</v>
      </c>
      <c r="T109" s="86"/>
      <c r="U109" s="85"/>
      <c r="V109" s="87"/>
      <c r="W109" s="85"/>
      <c r="X109" s="88"/>
      <c r="Y109" s="89"/>
      <c r="Z109" s="89"/>
      <c r="AA109" s="88"/>
      <c r="AB109" s="88"/>
      <c r="AF109" s="90"/>
      <c r="AK109" s="91"/>
      <c r="AM109" s="92"/>
      <c r="AN109" s="92"/>
      <c r="AO109" s="92"/>
      <c r="AP109" s="92"/>
      <c r="AQ109" s="92"/>
      <c r="AR109" s="92"/>
    </row>
    <row r="110" spans="1:44" s="84" customFormat="1" ht="24" customHeight="1" x14ac:dyDescent="0.3">
      <c r="A110" s="78" t="s">
        <v>3320</v>
      </c>
      <c r="B110" s="79" t="s">
        <v>802</v>
      </c>
      <c r="C110" s="80">
        <v>1115717</v>
      </c>
      <c r="D110" s="80">
        <v>1101978</v>
      </c>
      <c r="E110" s="80">
        <v>29137870</v>
      </c>
      <c r="F110" s="81" t="s">
        <v>806</v>
      </c>
      <c r="G110" s="82" t="s">
        <v>3338</v>
      </c>
      <c r="H110" s="82" t="s">
        <v>3342</v>
      </c>
      <c r="I110" s="82" t="s">
        <v>3103</v>
      </c>
      <c r="J110" s="83" t="e">
        <f>VLOOKUP($C110,CHOOSE({1,2},'[4]Prestações de Conta inadimplent'!$D$9:$D$2000,'[4]Prestações de Conta inadimplent'!$C$9:$C$2000),2,0)</f>
        <v>#N/A</v>
      </c>
      <c r="L110" s="85"/>
      <c r="M110" s="85" t="e">
        <v>#REF!</v>
      </c>
      <c r="T110" s="86"/>
      <c r="U110" s="85"/>
      <c r="V110" s="87"/>
      <c r="W110" s="85"/>
      <c r="X110" s="88"/>
      <c r="Y110" s="89"/>
      <c r="Z110" s="88"/>
      <c r="AA110" s="88"/>
      <c r="AB110" s="88"/>
      <c r="AF110" s="90"/>
      <c r="AK110" s="91"/>
      <c r="AM110" s="92"/>
      <c r="AN110" s="92"/>
      <c r="AO110" s="92"/>
      <c r="AP110" s="92"/>
      <c r="AQ110" s="92"/>
      <c r="AR110" s="92"/>
    </row>
    <row r="111" spans="1:44" s="84" customFormat="1" ht="24" customHeight="1" x14ac:dyDescent="0.3">
      <c r="A111" s="78" t="s">
        <v>3320</v>
      </c>
      <c r="B111" s="79" t="s">
        <v>802</v>
      </c>
      <c r="C111" s="80">
        <v>1115660</v>
      </c>
      <c r="D111" s="80">
        <v>1101973</v>
      </c>
      <c r="E111" s="80">
        <v>29138442</v>
      </c>
      <c r="F111" s="81" t="s">
        <v>812</v>
      </c>
      <c r="G111" s="82" t="s">
        <v>3338</v>
      </c>
      <c r="H111" s="82" t="s">
        <v>3343</v>
      </c>
      <c r="I111" s="82" t="s">
        <v>3103</v>
      </c>
      <c r="J111" s="83" t="e">
        <f>VLOOKUP($C111,CHOOSE({1,2},'[4]Prestações de Conta inadimplent'!$D$9:$D$2000,'[4]Prestações de Conta inadimplent'!$C$9:$C$2000),2,0)</f>
        <v>#N/A</v>
      </c>
      <c r="L111" s="85"/>
      <c r="M111" s="85" t="e">
        <v>#REF!</v>
      </c>
      <c r="T111" s="86"/>
      <c r="U111" s="85"/>
      <c r="V111" s="87"/>
      <c r="W111" s="85"/>
      <c r="X111" s="88"/>
      <c r="Y111" s="89"/>
      <c r="Z111" s="88"/>
      <c r="AA111" s="88"/>
      <c r="AB111" s="88"/>
      <c r="AF111" s="90"/>
      <c r="AK111" s="91"/>
      <c r="AM111" s="92"/>
      <c r="AN111" s="92"/>
      <c r="AO111" s="92"/>
      <c r="AP111" s="92"/>
      <c r="AQ111" s="92"/>
      <c r="AR111" s="92"/>
    </row>
    <row r="112" spans="1:44" s="84" customFormat="1" ht="24" customHeight="1" x14ac:dyDescent="0.3">
      <c r="A112" s="78" t="s">
        <v>3320</v>
      </c>
      <c r="B112" s="79" t="s">
        <v>802</v>
      </c>
      <c r="C112" s="80">
        <v>1115679</v>
      </c>
      <c r="D112" s="80">
        <v>1101974</v>
      </c>
      <c r="E112" s="80">
        <v>29139155</v>
      </c>
      <c r="F112" s="81" t="s">
        <v>815</v>
      </c>
      <c r="G112" s="82" t="s">
        <v>3338</v>
      </c>
      <c r="H112" s="82" t="s">
        <v>3344</v>
      </c>
      <c r="I112" s="82" t="s">
        <v>3103</v>
      </c>
      <c r="J112" s="83" t="e">
        <f>VLOOKUP($C112,CHOOSE({1,2},'[4]Prestações de Conta inadimplent'!$D$9:$D$2000,'[4]Prestações de Conta inadimplent'!$C$9:$C$2000),2,0)</f>
        <v>#N/A</v>
      </c>
      <c r="L112" s="85"/>
      <c r="M112" s="85" t="e">
        <v>#REF!</v>
      </c>
      <c r="T112" s="86"/>
      <c r="U112" s="85"/>
      <c r="V112" s="87"/>
      <c r="W112" s="85"/>
      <c r="X112" s="88"/>
      <c r="Y112" s="89"/>
      <c r="Z112" s="88"/>
      <c r="AA112" s="88"/>
      <c r="AB112" s="88"/>
      <c r="AF112" s="90"/>
      <c r="AK112" s="91"/>
      <c r="AM112" s="92"/>
      <c r="AN112" s="92"/>
      <c r="AO112" s="92"/>
      <c r="AP112" s="92"/>
      <c r="AQ112" s="92"/>
      <c r="AR112" s="92"/>
    </row>
    <row r="113" spans="1:44" s="84" customFormat="1" ht="24" customHeight="1" x14ac:dyDescent="0.3">
      <c r="A113" s="78" t="s">
        <v>3320</v>
      </c>
      <c r="B113" s="79" t="s">
        <v>802</v>
      </c>
      <c r="C113" s="80">
        <v>1115865</v>
      </c>
      <c r="D113" s="80">
        <v>1101985</v>
      </c>
      <c r="E113" s="80">
        <v>29137853</v>
      </c>
      <c r="F113" s="81" t="s">
        <v>3345</v>
      </c>
      <c r="G113" s="82" t="s">
        <v>3338</v>
      </c>
      <c r="H113" s="82" t="s">
        <v>3346</v>
      </c>
      <c r="I113" s="82" t="s">
        <v>3103</v>
      </c>
      <c r="J113" s="83" t="e">
        <f>VLOOKUP($C113,CHOOSE({1,2},'[4]Prestações de Conta inadimplent'!$D$9:$D$2000,'[4]Prestações de Conta inadimplent'!$C$9:$C$2000),2,0)</f>
        <v>#N/A</v>
      </c>
      <c r="L113" s="85"/>
      <c r="M113" s="85" t="e">
        <v>#REF!</v>
      </c>
      <c r="T113" s="86"/>
      <c r="U113" s="85"/>
      <c r="V113" s="87"/>
      <c r="W113" s="85"/>
      <c r="X113" s="88"/>
      <c r="Y113" s="89"/>
      <c r="Z113" s="89"/>
      <c r="AA113" s="88"/>
      <c r="AB113" s="88"/>
      <c r="AF113" s="90"/>
      <c r="AK113" s="91"/>
      <c r="AM113" s="92"/>
      <c r="AN113" s="92"/>
      <c r="AO113" s="92"/>
      <c r="AP113" s="92"/>
      <c r="AQ113" s="92"/>
      <c r="AR113" s="92"/>
    </row>
    <row r="114" spans="1:44" s="84" customFormat="1" ht="24" customHeight="1" x14ac:dyDescent="0.3">
      <c r="A114" s="78" t="s">
        <v>3320</v>
      </c>
      <c r="B114" s="79" t="s">
        <v>802</v>
      </c>
      <c r="C114" s="80">
        <v>1115806</v>
      </c>
      <c r="D114" s="80">
        <v>1101983</v>
      </c>
      <c r="E114" s="80">
        <v>29139325</v>
      </c>
      <c r="F114" s="81" t="s">
        <v>818</v>
      </c>
      <c r="G114" s="82" t="s">
        <v>3338</v>
      </c>
      <c r="H114" s="82" t="s">
        <v>3347</v>
      </c>
      <c r="I114" s="82" t="s">
        <v>3103</v>
      </c>
      <c r="J114" s="83" t="e">
        <f>VLOOKUP($C114,CHOOSE({1,2},'[4]Prestações de Conta inadimplent'!$D$9:$D$2000,'[4]Prestações de Conta inadimplent'!$C$9:$C$2000),2,0)</f>
        <v>#N/A</v>
      </c>
      <c r="L114" s="85"/>
      <c r="M114" s="85" t="e">
        <v>#REF!</v>
      </c>
      <c r="T114" s="86"/>
      <c r="U114" s="85"/>
      <c r="V114" s="87"/>
      <c r="W114" s="85"/>
      <c r="X114" s="88"/>
      <c r="Y114" s="89"/>
      <c r="Z114" s="89"/>
      <c r="AA114" s="88"/>
      <c r="AB114" s="88"/>
      <c r="AF114" s="90"/>
      <c r="AK114" s="91"/>
      <c r="AM114" s="92"/>
      <c r="AN114" s="92"/>
      <c r="AO114" s="92"/>
      <c r="AP114" s="92"/>
      <c r="AQ114" s="92"/>
      <c r="AR114" s="92"/>
    </row>
    <row r="115" spans="1:44" s="84" customFormat="1" ht="24" customHeight="1" x14ac:dyDescent="0.3">
      <c r="A115" s="78" t="s">
        <v>3320</v>
      </c>
      <c r="B115" s="79" t="s">
        <v>802</v>
      </c>
      <c r="C115" s="80">
        <v>1178073</v>
      </c>
      <c r="D115" s="80">
        <v>1104526</v>
      </c>
      <c r="E115" s="80">
        <v>29432200</v>
      </c>
      <c r="F115" s="81" t="s">
        <v>3348</v>
      </c>
      <c r="G115" s="82" t="s">
        <v>3338</v>
      </c>
      <c r="H115" s="82" t="s">
        <v>3349</v>
      </c>
      <c r="I115" s="82" t="s">
        <v>3103</v>
      </c>
      <c r="J115" s="83" t="e">
        <f>VLOOKUP($C115,CHOOSE({1,2},'[4]Prestações de Conta inadimplent'!$D$9:$D$2000,'[4]Prestações de Conta inadimplent'!$C$9:$C$2000),2,0)</f>
        <v>#N/A</v>
      </c>
      <c r="L115" s="85"/>
      <c r="M115" s="85" t="e">
        <v>#REF!</v>
      </c>
      <c r="T115" s="86"/>
      <c r="U115" s="85"/>
      <c r="V115" s="87"/>
      <c r="W115" s="85"/>
      <c r="X115" s="88"/>
      <c r="Y115" s="89"/>
      <c r="Z115" s="89"/>
      <c r="AA115" s="88"/>
      <c r="AB115" s="88"/>
      <c r="AF115" s="90"/>
      <c r="AK115" s="91"/>
      <c r="AM115" s="92"/>
      <c r="AN115" s="92"/>
      <c r="AO115" s="92"/>
      <c r="AP115" s="92"/>
      <c r="AQ115" s="92"/>
      <c r="AR115" s="92"/>
    </row>
    <row r="116" spans="1:44" s="84" customFormat="1" ht="24" customHeight="1" x14ac:dyDescent="0.3">
      <c r="A116" s="78" t="s">
        <v>3320</v>
      </c>
      <c r="B116" s="79" t="s">
        <v>2447</v>
      </c>
      <c r="C116" s="80">
        <v>1177070</v>
      </c>
      <c r="D116" s="80">
        <v>1100851</v>
      </c>
      <c r="E116" s="80">
        <v>29410975</v>
      </c>
      <c r="F116" s="81" t="s">
        <v>3350</v>
      </c>
      <c r="G116" s="82" t="s">
        <v>3330</v>
      </c>
      <c r="H116" s="82" t="s">
        <v>3351</v>
      </c>
      <c r="I116" s="82" t="s">
        <v>3103</v>
      </c>
      <c r="J116" s="83" t="e">
        <f>VLOOKUP($C116,CHOOSE({1,2},'[4]Prestações de Conta inadimplent'!$D$9:$D$2000,'[4]Prestações de Conta inadimplent'!$C$9:$C$2000),2,0)</f>
        <v>#N/A</v>
      </c>
      <c r="L116" s="85"/>
      <c r="M116" s="85" t="e">
        <v>#REF!</v>
      </c>
      <c r="T116" s="86"/>
      <c r="U116" s="85"/>
      <c r="V116" s="87"/>
      <c r="W116" s="85"/>
      <c r="X116" s="88"/>
      <c r="Y116" s="89"/>
      <c r="Z116" s="89"/>
      <c r="AA116" s="88"/>
      <c r="AB116" s="88"/>
      <c r="AF116" s="90"/>
      <c r="AK116" s="91"/>
      <c r="AM116" s="92"/>
      <c r="AN116" s="92"/>
      <c r="AO116" s="92"/>
      <c r="AP116" s="92"/>
      <c r="AQ116" s="92"/>
      <c r="AR116" s="92"/>
    </row>
    <row r="117" spans="1:44" s="84" customFormat="1" ht="24" customHeight="1" x14ac:dyDescent="0.3">
      <c r="A117" s="78" t="s">
        <v>3320</v>
      </c>
      <c r="B117" s="79" t="s">
        <v>2632</v>
      </c>
      <c r="C117" s="80">
        <v>1178273</v>
      </c>
      <c r="D117" s="80">
        <v>1105513</v>
      </c>
      <c r="E117" s="80">
        <v>29447763</v>
      </c>
      <c r="F117" s="81" t="s">
        <v>3352</v>
      </c>
      <c r="G117" s="82" t="s">
        <v>3336</v>
      </c>
      <c r="H117" s="82" t="s">
        <v>3353</v>
      </c>
      <c r="I117" s="82" t="s">
        <v>3103</v>
      </c>
      <c r="J117" s="83" t="e">
        <f>VLOOKUP($C117,CHOOSE({1,2},'[4]Prestações de Conta inadimplent'!$D$9:$D$2000,'[4]Prestações de Conta inadimplent'!$C$9:$C$2000),2,0)</f>
        <v>#N/A</v>
      </c>
      <c r="L117" s="85"/>
      <c r="M117" s="85" t="e">
        <v>#REF!</v>
      </c>
      <c r="T117" s="86"/>
      <c r="U117" s="85"/>
      <c r="V117" s="87"/>
      <c r="W117" s="85"/>
      <c r="X117" s="88"/>
      <c r="Y117" s="89"/>
      <c r="Z117" s="89"/>
      <c r="AA117" s="88"/>
      <c r="AB117" s="88"/>
      <c r="AF117" s="90"/>
      <c r="AK117" s="91"/>
      <c r="AM117" s="92"/>
      <c r="AN117" s="92"/>
      <c r="AO117" s="92"/>
      <c r="AP117" s="92"/>
      <c r="AQ117" s="92"/>
      <c r="AR117" s="92"/>
    </row>
    <row r="118" spans="1:44" s="84" customFormat="1" ht="24" customHeight="1" x14ac:dyDescent="0.3">
      <c r="A118" s="78" t="s">
        <v>3320</v>
      </c>
      <c r="B118" s="79" t="s">
        <v>2632</v>
      </c>
      <c r="C118" s="80">
        <v>1178099</v>
      </c>
      <c r="D118" s="80">
        <v>1104566</v>
      </c>
      <c r="E118" s="80">
        <v>29431573</v>
      </c>
      <c r="F118" s="81" t="s">
        <v>3354</v>
      </c>
      <c r="G118" s="82" t="s">
        <v>3336</v>
      </c>
      <c r="H118" s="82" t="s">
        <v>3355</v>
      </c>
      <c r="I118" s="82" t="s">
        <v>3103</v>
      </c>
      <c r="J118" s="83" t="e">
        <f>VLOOKUP($C118,CHOOSE({1,2},'[4]Prestações de Conta inadimplent'!$D$9:$D$2000,'[4]Prestações de Conta inadimplent'!$C$9:$C$2000),2,0)</f>
        <v>#N/A</v>
      </c>
      <c r="L118" s="85"/>
      <c r="M118" s="85" t="e">
        <v>#REF!</v>
      </c>
      <c r="T118" s="86"/>
      <c r="U118" s="85"/>
      <c r="V118" s="87"/>
      <c r="W118" s="85"/>
      <c r="X118" s="88"/>
      <c r="Y118" s="89"/>
      <c r="Z118" s="89"/>
      <c r="AA118" s="88"/>
      <c r="AB118" s="88"/>
      <c r="AF118" s="90"/>
      <c r="AK118" s="91"/>
      <c r="AM118" s="92"/>
      <c r="AN118" s="92"/>
      <c r="AO118" s="92"/>
      <c r="AP118" s="92"/>
      <c r="AQ118" s="92"/>
      <c r="AR118" s="92"/>
    </row>
    <row r="119" spans="1:44" s="84" customFormat="1" ht="24" customHeight="1" x14ac:dyDescent="0.3">
      <c r="A119" s="78" t="s">
        <v>3320</v>
      </c>
      <c r="B119" s="79" t="s">
        <v>860</v>
      </c>
      <c r="C119" s="80">
        <v>1116691</v>
      </c>
      <c r="D119" s="80">
        <v>1102117</v>
      </c>
      <c r="E119" s="80">
        <v>29146631</v>
      </c>
      <c r="F119" s="81" t="s">
        <v>3356</v>
      </c>
      <c r="G119" s="82" t="s">
        <v>3324</v>
      </c>
      <c r="H119" s="82" t="s">
        <v>3357</v>
      </c>
      <c r="I119" s="82" t="s">
        <v>3103</v>
      </c>
      <c r="J119" s="83" t="e">
        <f>VLOOKUP($C119,CHOOSE({1,2},'[4]Prestações de Conta inadimplent'!$D$9:$D$2000,'[4]Prestações de Conta inadimplent'!$C$9:$C$2000),2,0)</f>
        <v>#N/A</v>
      </c>
      <c r="L119" s="85"/>
      <c r="M119" s="85" t="e">
        <v>#REF!</v>
      </c>
      <c r="T119" s="86"/>
      <c r="U119" s="85"/>
      <c r="V119" s="87"/>
      <c r="W119" s="85"/>
      <c r="X119" s="88"/>
      <c r="Y119" s="89"/>
      <c r="Z119" s="89"/>
      <c r="AA119" s="88"/>
      <c r="AB119" s="88"/>
      <c r="AF119" s="90"/>
      <c r="AK119" s="91"/>
      <c r="AM119" s="92"/>
      <c r="AN119" s="92"/>
      <c r="AO119" s="92"/>
      <c r="AP119" s="92"/>
      <c r="AQ119" s="92"/>
      <c r="AR119" s="92"/>
    </row>
    <row r="120" spans="1:44" s="84" customFormat="1" ht="24" customHeight="1" x14ac:dyDescent="0.3">
      <c r="A120" s="78" t="s">
        <v>3320</v>
      </c>
      <c r="B120" s="79" t="s">
        <v>860</v>
      </c>
      <c r="C120" s="80">
        <v>1178222</v>
      </c>
      <c r="D120" s="80">
        <v>1105473</v>
      </c>
      <c r="E120" s="80">
        <v>29443296</v>
      </c>
      <c r="F120" s="81" t="s">
        <v>3358</v>
      </c>
      <c r="G120" s="82" t="s">
        <v>3324</v>
      </c>
      <c r="H120" s="82" t="s">
        <v>3359</v>
      </c>
      <c r="I120" s="82" t="s">
        <v>3103</v>
      </c>
      <c r="J120" s="83" t="e">
        <f>VLOOKUP($C120,CHOOSE({1,2},'[4]Prestações de Conta inadimplent'!$D$9:$D$2000,'[4]Prestações de Conta inadimplent'!$C$9:$C$2000),2,0)</f>
        <v>#N/A</v>
      </c>
      <c r="L120" s="85"/>
      <c r="M120" s="85" t="e">
        <v>#REF!</v>
      </c>
      <c r="T120" s="86"/>
      <c r="U120" s="85"/>
      <c r="V120" s="87"/>
      <c r="W120" s="85"/>
      <c r="X120" s="88"/>
      <c r="Y120" s="89"/>
      <c r="Z120" s="89"/>
      <c r="AA120" s="88"/>
      <c r="AB120" s="88"/>
      <c r="AF120" s="90"/>
      <c r="AK120" s="91"/>
      <c r="AM120" s="92"/>
      <c r="AN120" s="92"/>
      <c r="AO120" s="92"/>
      <c r="AP120" s="92"/>
      <c r="AQ120" s="92"/>
      <c r="AR120" s="92"/>
    </row>
    <row r="121" spans="1:44" s="84" customFormat="1" ht="24" customHeight="1" x14ac:dyDescent="0.3">
      <c r="A121" s="78" t="s">
        <v>3320</v>
      </c>
      <c r="B121" s="79" t="s">
        <v>2454</v>
      </c>
      <c r="C121" s="80">
        <v>1177073</v>
      </c>
      <c r="D121" s="80">
        <v>1102066</v>
      </c>
      <c r="E121" s="80">
        <v>29411947</v>
      </c>
      <c r="F121" s="81" t="s">
        <v>3360</v>
      </c>
      <c r="G121" s="82" t="s">
        <v>3361</v>
      </c>
      <c r="H121" s="82" t="s">
        <v>3362</v>
      </c>
      <c r="I121" s="82" t="s">
        <v>3103</v>
      </c>
      <c r="J121" s="83" t="e">
        <f>VLOOKUP($C121,CHOOSE({1,2},'[4]Prestações de Conta inadimplent'!$D$9:$D$2000,'[4]Prestações de Conta inadimplent'!$C$9:$C$2000),2,0)</f>
        <v>#N/A</v>
      </c>
      <c r="L121" s="85"/>
      <c r="M121" s="85" t="e">
        <v>#REF!</v>
      </c>
      <c r="T121" s="86"/>
      <c r="U121" s="85"/>
      <c r="V121" s="87"/>
      <c r="W121" s="85"/>
      <c r="X121" s="88"/>
      <c r="Y121" s="89"/>
      <c r="Z121" s="89"/>
      <c r="AA121" s="88"/>
      <c r="AB121" s="88"/>
      <c r="AF121" s="90"/>
      <c r="AK121" s="91"/>
      <c r="AM121" s="92"/>
      <c r="AN121" s="92"/>
      <c r="AO121" s="92"/>
      <c r="AP121" s="92"/>
      <c r="AQ121" s="92"/>
      <c r="AR121" s="92"/>
    </row>
    <row r="122" spans="1:44" s="84" customFormat="1" ht="24" customHeight="1" x14ac:dyDescent="0.3">
      <c r="A122" s="78" t="s">
        <v>3320</v>
      </c>
      <c r="B122" s="79" t="s">
        <v>2454</v>
      </c>
      <c r="C122" s="80">
        <v>1179389</v>
      </c>
      <c r="D122" s="80">
        <v>9999999</v>
      </c>
      <c r="E122" s="80">
        <v>29464382</v>
      </c>
      <c r="F122" s="81" t="s">
        <v>3363</v>
      </c>
      <c r="G122" s="82" t="s">
        <v>3361</v>
      </c>
      <c r="H122" s="82" t="s">
        <v>3364</v>
      </c>
      <c r="I122" s="82" t="s">
        <v>3122</v>
      </c>
      <c r="J122" s="83" t="str">
        <f>VLOOKUP($C122,CHOOSE({1,2},'[4]Prestações de Conta inadimplent'!$D$9:$D$2000,'[4]Prestações de Conta inadimplent'!$C$9:$C$2000),2,0)</f>
        <v>Colegio Estadual Do Campo De Pedra Vermelha</v>
      </c>
      <c r="L122" s="85"/>
      <c r="M122" s="85" t="e">
        <v>#REF!</v>
      </c>
      <c r="T122" s="86"/>
      <c r="U122" s="85"/>
      <c r="V122" s="87"/>
      <c r="W122" s="85"/>
      <c r="X122" s="88"/>
      <c r="Y122" s="89"/>
      <c r="Z122" s="89"/>
      <c r="AA122" s="88"/>
      <c r="AB122" s="88"/>
      <c r="AF122" s="90"/>
      <c r="AH122" s="85"/>
      <c r="AK122" s="91"/>
      <c r="AM122" s="92"/>
      <c r="AN122" s="92"/>
      <c r="AO122" s="92"/>
      <c r="AP122" s="92"/>
      <c r="AQ122" s="92"/>
      <c r="AR122" s="92"/>
    </row>
    <row r="123" spans="1:44" s="84" customFormat="1" ht="24" customHeight="1" x14ac:dyDescent="0.3">
      <c r="A123" s="78" t="s">
        <v>3320</v>
      </c>
      <c r="B123" s="79" t="s">
        <v>2648</v>
      </c>
      <c r="C123" s="80">
        <v>1178091</v>
      </c>
      <c r="D123" s="80">
        <v>1105526</v>
      </c>
      <c r="E123" s="80">
        <v>29432022</v>
      </c>
      <c r="F123" s="81" t="s">
        <v>3365</v>
      </c>
      <c r="G123" s="82" t="s">
        <v>3366</v>
      </c>
      <c r="H123" s="82" t="s">
        <v>3367</v>
      </c>
      <c r="I123" s="82" t="s">
        <v>3122</v>
      </c>
      <c r="J123" s="83" t="str">
        <f>VLOOKUP($C123,CHOOSE({1,2},'[4]Prestações de Conta inadimplent'!$D$9:$D$2000,'[4]Prestações de Conta inadimplent'!$C$9:$C$2000),2,0)</f>
        <v>Colegio Estadual Manoel Guimaraes Santana</v>
      </c>
      <c r="L123" s="85"/>
      <c r="M123" s="85" t="e">
        <v>#REF!</v>
      </c>
      <c r="T123" s="86"/>
      <c r="U123" s="85"/>
      <c r="V123" s="87"/>
      <c r="W123" s="85"/>
      <c r="X123" s="88"/>
      <c r="Y123" s="89"/>
      <c r="Z123" s="89"/>
      <c r="AA123" s="88"/>
      <c r="AB123" s="88"/>
      <c r="AF123" s="90"/>
      <c r="AK123" s="91"/>
      <c r="AM123" s="92"/>
      <c r="AN123" s="92"/>
      <c r="AO123" s="92"/>
      <c r="AP123" s="92"/>
      <c r="AQ123" s="92"/>
      <c r="AR123" s="92"/>
    </row>
    <row r="124" spans="1:44" s="84" customFormat="1" ht="24" customHeight="1" x14ac:dyDescent="0.3">
      <c r="A124" s="78" t="s">
        <v>3320</v>
      </c>
      <c r="B124" s="79" t="s">
        <v>735</v>
      </c>
      <c r="C124" s="80">
        <v>1178050</v>
      </c>
      <c r="D124" s="80">
        <v>1102077</v>
      </c>
      <c r="E124" s="80">
        <v>29426537</v>
      </c>
      <c r="F124" s="81" t="s">
        <v>3368</v>
      </c>
      <c r="G124" s="82" t="s">
        <v>3369</v>
      </c>
      <c r="H124" s="82" t="s">
        <v>3370</v>
      </c>
      <c r="I124" s="82" t="s">
        <v>3122</v>
      </c>
      <c r="J124" s="83" t="str">
        <f>VLOOKUP($C124,CHOOSE({1,2},'[4]Prestações de Conta inadimplent'!$D$9:$D$2000,'[4]Prestações de Conta inadimplent'!$C$9:$C$2000),2,0)</f>
        <v>Colegio Estadual Santo Antonio Das Queimadas</v>
      </c>
      <c r="L124" s="85"/>
      <c r="M124" s="85" t="e">
        <v>#REF!</v>
      </c>
      <c r="T124" s="86"/>
      <c r="U124" s="85"/>
      <c r="V124" s="87"/>
      <c r="W124" s="85"/>
      <c r="X124" s="88"/>
      <c r="Y124" s="89"/>
      <c r="Z124" s="89"/>
      <c r="AA124" s="88"/>
      <c r="AB124" s="88"/>
      <c r="AF124" s="90"/>
      <c r="AK124" s="91"/>
      <c r="AM124" s="92"/>
      <c r="AN124" s="92"/>
      <c r="AO124" s="92"/>
      <c r="AP124" s="92"/>
      <c r="AQ124" s="92"/>
      <c r="AR124" s="92"/>
    </row>
    <row r="125" spans="1:44" s="84" customFormat="1" ht="24" customHeight="1" x14ac:dyDescent="0.3">
      <c r="A125" s="78" t="s">
        <v>3320</v>
      </c>
      <c r="B125" s="79" t="s">
        <v>2381</v>
      </c>
      <c r="C125" s="80">
        <v>1179117</v>
      </c>
      <c r="D125" s="80">
        <v>1105569</v>
      </c>
      <c r="E125" s="80">
        <v>29399238</v>
      </c>
      <c r="F125" s="81" t="s">
        <v>3371</v>
      </c>
      <c r="G125" s="82" t="s">
        <v>3324</v>
      </c>
      <c r="H125" s="82" t="s">
        <v>3372</v>
      </c>
      <c r="I125" s="82" t="s">
        <v>3103</v>
      </c>
      <c r="J125" s="83" t="e">
        <f>VLOOKUP($C125,CHOOSE({1,2},'[4]Prestações de Conta inadimplent'!$D$9:$D$2000,'[4]Prestações de Conta inadimplent'!$C$9:$C$2000),2,0)</f>
        <v>#N/A</v>
      </c>
      <c r="L125" s="85"/>
      <c r="M125" s="85" t="e">
        <v>#REF!</v>
      </c>
      <c r="T125" s="86"/>
      <c r="U125" s="85"/>
      <c r="V125" s="87"/>
      <c r="W125" s="85"/>
      <c r="X125" s="88"/>
      <c r="Y125" s="89"/>
      <c r="Z125" s="89"/>
      <c r="AA125" s="88"/>
      <c r="AB125" s="88"/>
      <c r="AF125" s="90"/>
      <c r="AK125" s="91"/>
      <c r="AM125" s="92"/>
      <c r="AN125" s="92"/>
      <c r="AO125" s="92"/>
      <c r="AP125" s="92"/>
      <c r="AQ125" s="92"/>
      <c r="AR125" s="92"/>
    </row>
    <row r="126" spans="1:44" s="84" customFormat="1" ht="24" customHeight="1" x14ac:dyDescent="0.3">
      <c r="A126" s="78" t="s">
        <v>3320</v>
      </c>
      <c r="B126" s="79" t="s">
        <v>2381</v>
      </c>
      <c r="C126" s="80">
        <v>1178079</v>
      </c>
      <c r="D126" s="80">
        <v>1104529</v>
      </c>
      <c r="E126" s="80">
        <v>29432154</v>
      </c>
      <c r="F126" s="81" t="s">
        <v>3373</v>
      </c>
      <c r="G126" s="82" t="s">
        <v>3324</v>
      </c>
      <c r="H126" s="82" t="s">
        <v>3374</v>
      </c>
      <c r="I126" s="82" t="s">
        <v>3103</v>
      </c>
      <c r="J126" s="83" t="e">
        <f>VLOOKUP($C126,CHOOSE({1,2},'[4]Prestações de Conta inadimplent'!$D$9:$D$2000,'[4]Prestações de Conta inadimplent'!$C$9:$C$2000),2,0)</f>
        <v>#N/A</v>
      </c>
      <c r="L126" s="85"/>
      <c r="M126" s="85" t="e">
        <v>#REF!</v>
      </c>
      <c r="T126" s="86"/>
      <c r="U126" s="85"/>
      <c r="V126" s="87"/>
      <c r="W126" s="85"/>
      <c r="X126" s="88"/>
      <c r="Y126" s="89"/>
      <c r="Z126" s="88"/>
      <c r="AA126" s="88"/>
      <c r="AB126" s="88"/>
      <c r="AF126" s="90"/>
      <c r="AK126" s="91"/>
      <c r="AM126" s="92"/>
      <c r="AN126" s="92"/>
      <c r="AO126" s="92"/>
      <c r="AP126" s="92"/>
      <c r="AQ126" s="92"/>
      <c r="AR126" s="92"/>
    </row>
    <row r="127" spans="1:44" s="84" customFormat="1" ht="24" customHeight="1" x14ac:dyDescent="0.3">
      <c r="A127" s="78" t="s">
        <v>3320</v>
      </c>
      <c r="B127" s="79" t="s">
        <v>833</v>
      </c>
      <c r="C127" s="80">
        <v>1115997</v>
      </c>
      <c r="D127" s="80">
        <v>1102086</v>
      </c>
      <c r="E127" s="80">
        <v>29142229</v>
      </c>
      <c r="F127" s="81" t="s">
        <v>834</v>
      </c>
      <c r="G127" s="82" t="s">
        <v>3375</v>
      </c>
      <c r="H127" s="82" t="s">
        <v>3376</v>
      </c>
      <c r="I127" s="82" t="s">
        <v>3103</v>
      </c>
      <c r="J127" s="83" t="e">
        <f>VLOOKUP($C127,CHOOSE({1,2},'[4]Prestações de Conta inadimplent'!$D$9:$D$2000,'[4]Prestações de Conta inadimplent'!$C$9:$C$2000),2,0)</f>
        <v>#N/A</v>
      </c>
      <c r="L127" s="85"/>
      <c r="M127" s="85" t="e">
        <v>#REF!</v>
      </c>
      <c r="T127" s="86"/>
      <c r="U127" s="85"/>
      <c r="V127" s="87"/>
      <c r="W127" s="85"/>
      <c r="X127" s="88"/>
      <c r="Y127" s="89"/>
      <c r="Z127" s="89"/>
      <c r="AA127" s="88"/>
      <c r="AB127" s="88"/>
      <c r="AF127" s="90"/>
      <c r="AK127" s="91"/>
      <c r="AM127" s="92"/>
      <c r="AN127" s="92"/>
      <c r="AO127" s="92"/>
      <c r="AP127" s="92"/>
      <c r="AQ127" s="92"/>
      <c r="AR127" s="92"/>
    </row>
    <row r="128" spans="1:44" s="84" customFormat="1" ht="24" customHeight="1" x14ac:dyDescent="0.3">
      <c r="A128" s="78" t="s">
        <v>3320</v>
      </c>
      <c r="B128" s="79" t="s">
        <v>849</v>
      </c>
      <c r="C128" s="80">
        <v>1178326</v>
      </c>
      <c r="D128" s="80">
        <v>1105545</v>
      </c>
      <c r="E128" s="80">
        <v>29397693</v>
      </c>
      <c r="F128" s="81" t="s">
        <v>3377</v>
      </c>
      <c r="G128" s="82" t="s">
        <v>3378</v>
      </c>
      <c r="H128" s="82" t="s">
        <v>3379</v>
      </c>
      <c r="I128" s="82" t="s">
        <v>3103</v>
      </c>
      <c r="J128" s="83" t="e">
        <f>VLOOKUP($C128,CHOOSE({1,2},'[4]Prestações de Conta inadimplent'!$D$9:$D$2000,'[4]Prestações de Conta inadimplent'!$C$9:$C$2000),2,0)</f>
        <v>#N/A</v>
      </c>
      <c r="L128" s="85"/>
      <c r="M128" s="85" t="e">
        <v>#REF!</v>
      </c>
      <c r="T128" s="86"/>
      <c r="U128" s="85"/>
      <c r="V128" s="87"/>
      <c r="W128" s="85"/>
      <c r="X128" s="88"/>
      <c r="Y128" s="89"/>
      <c r="Z128" s="89"/>
      <c r="AA128" s="88"/>
      <c r="AB128" s="88"/>
      <c r="AF128" s="90"/>
      <c r="AK128" s="91"/>
      <c r="AM128" s="92"/>
      <c r="AN128" s="92"/>
      <c r="AO128" s="92"/>
      <c r="AP128" s="92"/>
      <c r="AQ128" s="92"/>
      <c r="AR128" s="92"/>
    </row>
    <row r="129" spans="1:44" s="84" customFormat="1" ht="24" customHeight="1" x14ac:dyDescent="0.3">
      <c r="A129" s="78" t="s">
        <v>3320</v>
      </c>
      <c r="B129" s="79" t="s">
        <v>849</v>
      </c>
      <c r="C129" s="80">
        <v>1115776</v>
      </c>
      <c r="D129" s="80">
        <v>1102088</v>
      </c>
      <c r="E129" s="80">
        <v>29144302</v>
      </c>
      <c r="F129" s="81" t="s">
        <v>3380</v>
      </c>
      <c r="G129" s="82" t="s">
        <v>3378</v>
      </c>
      <c r="H129" s="82" t="s">
        <v>3381</v>
      </c>
      <c r="I129" s="82" t="s">
        <v>3122</v>
      </c>
      <c r="J129" s="83" t="str">
        <f>VLOOKUP($C129,CHOOSE({1,2},'[4]Prestações de Conta inadimplent'!$D$9:$D$2000,'[4]Prestações de Conta inadimplent'!$C$9:$C$2000),2,0)</f>
        <v>Colegio Estadual Jose Leitao</v>
      </c>
      <c r="L129" s="85"/>
      <c r="M129" s="85" t="e">
        <v>#REF!</v>
      </c>
      <c r="T129" s="86"/>
      <c r="U129" s="85"/>
      <c r="V129" s="87"/>
      <c r="W129" s="85"/>
      <c r="X129" s="88"/>
      <c r="Y129" s="89"/>
      <c r="Z129" s="89"/>
      <c r="AA129" s="88"/>
      <c r="AB129" s="88"/>
      <c r="AF129" s="90"/>
      <c r="AH129" s="85"/>
      <c r="AK129" s="91"/>
      <c r="AM129" s="92"/>
      <c r="AN129" s="92"/>
      <c r="AO129" s="92"/>
      <c r="AP129" s="92"/>
      <c r="AQ129" s="92"/>
      <c r="AR129" s="92"/>
    </row>
    <row r="130" spans="1:44" s="84" customFormat="1" ht="24" customHeight="1" x14ac:dyDescent="0.3">
      <c r="A130" s="78" t="s">
        <v>3320</v>
      </c>
      <c r="B130" s="79" t="s">
        <v>849</v>
      </c>
      <c r="C130" s="80">
        <v>1115814</v>
      </c>
      <c r="D130" s="80">
        <v>1102089</v>
      </c>
      <c r="E130" s="80">
        <v>29145120</v>
      </c>
      <c r="F130" s="81" t="s">
        <v>3382</v>
      </c>
      <c r="G130" s="82" t="s">
        <v>3378</v>
      </c>
      <c r="H130" s="82" t="s">
        <v>3383</v>
      </c>
      <c r="I130" s="82" t="s">
        <v>3122</v>
      </c>
      <c r="J130" s="83" t="str">
        <f>VLOOKUP($C130,CHOOSE({1,2},'[4]Prestações de Conta inadimplent'!$D$9:$D$2000,'[4]Prestações de Conta inadimplent'!$C$9:$C$2000),2,0)</f>
        <v>Colegio Estadual Necy Novaes</v>
      </c>
      <c r="L130" s="85"/>
      <c r="M130" s="85" t="e">
        <v>#REF!</v>
      </c>
      <c r="T130" s="86"/>
      <c r="U130" s="85"/>
      <c r="V130" s="87"/>
      <c r="W130" s="85"/>
      <c r="X130" s="88"/>
      <c r="Y130" s="89"/>
      <c r="Z130" s="89"/>
      <c r="AA130" s="88"/>
      <c r="AB130" s="88"/>
      <c r="AF130" s="90"/>
      <c r="AK130" s="91"/>
      <c r="AM130" s="92"/>
      <c r="AN130" s="92"/>
      <c r="AO130" s="92"/>
      <c r="AP130" s="92"/>
      <c r="AQ130" s="92"/>
      <c r="AR130" s="92"/>
    </row>
    <row r="131" spans="1:44" s="84" customFormat="1" ht="24" customHeight="1" x14ac:dyDescent="0.3">
      <c r="A131" s="78" t="s">
        <v>3320</v>
      </c>
      <c r="B131" s="79" t="s">
        <v>3384</v>
      </c>
      <c r="C131" s="80">
        <v>1116365</v>
      </c>
      <c r="D131" s="80">
        <v>1102093</v>
      </c>
      <c r="E131" s="80">
        <v>29145287</v>
      </c>
      <c r="F131" s="81" t="s">
        <v>3385</v>
      </c>
      <c r="G131" s="82" t="s">
        <v>3386</v>
      </c>
      <c r="H131" s="82" t="s">
        <v>3387</v>
      </c>
      <c r="I131" s="82" t="s">
        <v>3103</v>
      </c>
      <c r="J131" s="83" t="e">
        <f>VLOOKUP($C131,CHOOSE({1,2},'[4]Prestações de Conta inadimplent'!$D$9:$D$2000,'[4]Prestações de Conta inadimplent'!$C$9:$C$2000),2,0)</f>
        <v>#N/A</v>
      </c>
      <c r="L131" s="85"/>
      <c r="M131" s="85" t="e">
        <v>#REF!</v>
      </c>
      <c r="T131" s="86"/>
      <c r="U131" s="85"/>
      <c r="V131" s="87"/>
      <c r="W131" s="85"/>
      <c r="X131" s="88"/>
      <c r="Y131" s="89"/>
      <c r="Z131" s="89"/>
      <c r="AA131" s="88"/>
      <c r="AB131" s="88"/>
      <c r="AF131" s="90"/>
      <c r="AK131" s="91"/>
      <c r="AM131" s="92"/>
      <c r="AN131" s="92"/>
      <c r="AO131" s="92"/>
      <c r="AP131" s="92"/>
      <c r="AQ131" s="92"/>
      <c r="AR131" s="92"/>
    </row>
    <row r="132" spans="1:44" s="84" customFormat="1" ht="24" customHeight="1" x14ac:dyDescent="0.3">
      <c r="A132" s="78" t="s">
        <v>3320</v>
      </c>
      <c r="B132" s="79" t="s">
        <v>853</v>
      </c>
      <c r="C132" s="80">
        <v>1116209</v>
      </c>
      <c r="D132" s="80">
        <v>1104525</v>
      </c>
      <c r="E132" s="80">
        <v>29145538</v>
      </c>
      <c r="F132" s="81" t="s">
        <v>3388</v>
      </c>
      <c r="G132" s="82" t="s">
        <v>3324</v>
      </c>
      <c r="H132" s="82" t="s">
        <v>3389</v>
      </c>
      <c r="I132" s="82" t="s">
        <v>3103</v>
      </c>
      <c r="J132" s="83" t="e">
        <f>VLOOKUP($C132,CHOOSE({1,2},'[4]Prestações de Conta inadimplent'!$D$9:$D$2000,'[4]Prestações de Conta inadimplent'!$C$9:$C$2000),2,0)</f>
        <v>#N/A</v>
      </c>
      <c r="L132" s="85"/>
      <c r="M132" s="85" t="e">
        <v>#REF!</v>
      </c>
      <c r="T132" s="86"/>
      <c r="U132" s="85"/>
      <c r="V132" s="87"/>
      <c r="W132" s="85"/>
      <c r="X132" s="88"/>
      <c r="Y132" s="89"/>
      <c r="Z132" s="88"/>
      <c r="AA132" s="88"/>
      <c r="AB132" s="88"/>
      <c r="AF132" s="90"/>
      <c r="AK132" s="91"/>
      <c r="AM132" s="92"/>
      <c r="AN132" s="92"/>
      <c r="AO132" s="92"/>
      <c r="AP132" s="92"/>
      <c r="AQ132" s="92"/>
      <c r="AR132" s="92"/>
    </row>
    <row r="133" spans="1:44" s="84" customFormat="1" ht="24" customHeight="1" x14ac:dyDescent="0.3">
      <c r="A133" s="78" t="s">
        <v>3320</v>
      </c>
      <c r="B133" s="79" t="s">
        <v>853</v>
      </c>
      <c r="C133" s="80">
        <v>1178088</v>
      </c>
      <c r="D133" s="80">
        <v>1104533</v>
      </c>
      <c r="E133" s="80">
        <v>29432235</v>
      </c>
      <c r="F133" s="81" t="s">
        <v>2658</v>
      </c>
      <c r="G133" s="82" t="s">
        <v>3324</v>
      </c>
      <c r="H133" s="82" t="s">
        <v>3390</v>
      </c>
      <c r="I133" s="82" t="s">
        <v>3103</v>
      </c>
      <c r="J133" s="83" t="e">
        <f>VLOOKUP($C133,CHOOSE({1,2},'[4]Prestações de Conta inadimplent'!$D$9:$D$2000,'[4]Prestações de Conta inadimplent'!$C$9:$C$2000),2,0)</f>
        <v>#N/A</v>
      </c>
      <c r="L133" s="85"/>
      <c r="M133" s="85" t="e">
        <v>#REF!</v>
      </c>
      <c r="T133" s="86"/>
      <c r="U133" s="85"/>
      <c r="V133" s="87"/>
      <c r="W133" s="85"/>
      <c r="X133" s="88"/>
      <c r="Y133" s="89"/>
      <c r="Z133" s="88"/>
      <c r="AA133" s="88"/>
      <c r="AB133" s="88"/>
      <c r="AF133" s="90"/>
      <c r="AK133" s="91"/>
      <c r="AM133" s="92"/>
      <c r="AN133" s="92"/>
      <c r="AO133" s="92"/>
      <c r="AP133" s="92"/>
      <c r="AQ133" s="92"/>
      <c r="AR133" s="92"/>
    </row>
    <row r="134" spans="1:44" s="84" customFormat="1" ht="24" customHeight="1" x14ac:dyDescent="0.3">
      <c r="A134" s="78" t="s">
        <v>3320</v>
      </c>
      <c r="B134" s="79" t="s">
        <v>853</v>
      </c>
      <c r="C134" s="80">
        <v>1166427</v>
      </c>
      <c r="D134" s="80">
        <v>1102125</v>
      </c>
      <c r="E134" s="80">
        <v>29365430</v>
      </c>
      <c r="F134" s="81" t="s">
        <v>2257</v>
      </c>
      <c r="G134" s="82" t="s">
        <v>3324</v>
      </c>
      <c r="H134" s="82" t="s">
        <v>3391</v>
      </c>
      <c r="I134" s="82" t="s">
        <v>3122</v>
      </c>
      <c r="J134" s="83" t="str">
        <f>VLOOKUP($C134,CHOOSE({1,2},'[4]Prestações de Conta inadimplent'!$D$9:$D$2000,'[4]Prestações de Conta inadimplent'!$C$9:$C$2000),2,0)</f>
        <v>Colegio Estadual Do Campo Aluizio Carneiro Da Silva</v>
      </c>
      <c r="L134" s="85"/>
      <c r="M134" s="85" t="e">
        <v>#REF!</v>
      </c>
      <c r="T134" s="86"/>
      <c r="U134" s="85"/>
      <c r="V134" s="87"/>
      <c r="W134" s="85"/>
      <c r="X134" s="88"/>
      <c r="Y134" s="89"/>
      <c r="Z134" s="89"/>
      <c r="AA134" s="88"/>
      <c r="AB134" s="88"/>
      <c r="AF134" s="90"/>
      <c r="AK134" s="91"/>
      <c r="AM134" s="92"/>
      <c r="AN134" s="92"/>
      <c r="AO134" s="92"/>
      <c r="AP134" s="92"/>
      <c r="AQ134" s="92"/>
      <c r="AR134" s="92"/>
    </row>
    <row r="135" spans="1:44" s="84" customFormat="1" ht="24" customHeight="1" x14ac:dyDescent="0.3">
      <c r="A135" s="78" t="s">
        <v>3320</v>
      </c>
      <c r="B135" s="79" t="s">
        <v>853</v>
      </c>
      <c r="C135" s="80">
        <v>1178235</v>
      </c>
      <c r="D135" s="80">
        <v>1102128</v>
      </c>
      <c r="E135" s="80">
        <v>29372895</v>
      </c>
      <c r="F135" s="81" t="s">
        <v>3392</v>
      </c>
      <c r="G135" s="82" t="s">
        <v>3324</v>
      </c>
      <c r="H135" s="82" t="s">
        <v>3393</v>
      </c>
      <c r="I135" s="82" t="s">
        <v>3122</v>
      </c>
      <c r="J135" s="83" t="str">
        <f>VLOOKUP($C135,CHOOSE({1,2},'[4]Prestações de Conta inadimplent'!$D$9:$D$2000,'[4]Prestações de Conta inadimplent'!$C$9:$C$2000),2,0)</f>
        <v>Colegio Estadual Do Campo De Santana</v>
      </c>
      <c r="L135" s="85"/>
      <c r="M135" s="85" t="e">
        <v>#REF!</v>
      </c>
      <c r="T135" s="86"/>
      <c r="U135" s="85"/>
      <c r="V135" s="87"/>
      <c r="W135" s="85"/>
      <c r="X135" s="88"/>
      <c r="Y135" s="89"/>
      <c r="Z135" s="89"/>
      <c r="AA135" s="88"/>
      <c r="AB135" s="88"/>
      <c r="AF135" s="90"/>
      <c r="AK135" s="91"/>
      <c r="AM135" s="92"/>
      <c r="AN135" s="92"/>
      <c r="AO135" s="92"/>
      <c r="AP135" s="92"/>
      <c r="AQ135" s="92"/>
      <c r="AR135" s="92"/>
    </row>
    <row r="136" spans="1:44" s="84" customFormat="1" ht="24" customHeight="1" x14ac:dyDescent="0.3">
      <c r="A136" s="78" t="s">
        <v>3320</v>
      </c>
      <c r="B136" s="79" t="s">
        <v>853</v>
      </c>
      <c r="C136" s="80">
        <v>1179292</v>
      </c>
      <c r="D136" s="80">
        <v>9999999</v>
      </c>
      <c r="E136" s="80">
        <v>29460816</v>
      </c>
      <c r="F136" s="81" t="s">
        <v>3394</v>
      </c>
      <c r="G136" s="82" t="s">
        <v>3324</v>
      </c>
      <c r="H136" s="82" t="s">
        <v>3395</v>
      </c>
      <c r="I136" s="82" t="s">
        <v>3103</v>
      </c>
      <c r="J136" s="83" t="e">
        <f>VLOOKUP($C136,CHOOSE({1,2},'[4]Prestações de Conta inadimplent'!$D$9:$D$2000,'[4]Prestações de Conta inadimplent'!$C$9:$C$2000),2,0)</f>
        <v>#N/A</v>
      </c>
      <c r="L136" s="85"/>
      <c r="M136" s="85" t="e">
        <v>#REF!</v>
      </c>
      <c r="T136" s="86"/>
      <c r="U136" s="85"/>
      <c r="V136" s="85"/>
      <c r="W136" s="85"/>
      <c r="X136" s="88"/>
      <c r="Y136" s="89"/>
      <c r="Z136" s="89"/>
      <c r="AA136" s="88"/>
      <c r="AB136" s="88"/>
      <c r="AF136" s="90"/>
      <c r="AK136" s="91"/>
      <c r="AM136" s="92"/>
      <c r="AN136" s="92"/>
      <c r="AO136" s="92"/>
      <c r="AP136" s="92"/>
      <c r="AQ136" s="92"/>
      <c r="AR136" s="92"/>
    </row>
    <row r="137" spans="1:44" s="84" customFormat="1" ht="24" customHeight="1" x14ac:dyDescent="0.3">
      <c r="A137" s="78" t="s">
        <v>3320</v>
      </c>
      <c r="B137" s="79" t="s">
        <v>853</v>
      </c>
      <c r="C137" s="80">
        <v>1116241</v>
      </c>
      <c r="D137" s="80">
        <v>1102103</v>
      </c>
      <c r="E137" s="80">
        <v>29146151</v>
      </c>
      <c r="F137" s="81" t="s">
        <v>3396</v>
      </c>
      <c r="G137" s="82" t="s">
        <v>3324</v>
      </c>
      <c r="H137" s="82" t="s">
        <v>3397</v>
      </c>
      <c r="I137" s="82" t="s">
        <v>3103</v>
      </c>
      <c r="J137" s="83" t="e">
        <f>VLOOKUP($C137,CHOOSE({1,2},'[4]Prestações de Conta inadimplent'!$D$9:$D$2000,'[4]Prestações de Conta inadimplent'!$C$9:$C$2000),2,0)</f>
        <v>#N/A</v>
      </c>
      <c r="L137" s="85"/>
      <c r="M137" s="85" t="e">
        <v>#REF!</v>
      </c>
      <c r="T137" s="86"/>
      <c r="U137" s="85"/>
      <c r="V137" s="87"/>
      <c r="W137" s="85"/>
      <c r="X137" s="88"/>
      <c r="Y137" s="89"/>
      <c r="Z137" s="89"/>
      <c r="AA137" s="88"/>
      <c r="AB137" s="88"/>
      <c r="AF137" s="90"/>
      <c r="AK137" s="91"/>
      <c r="AM137" s="92"/>
      <c r="AN137" s="92"/>
      <c r="AO137" s="92"/>
      <c r="AP137" s="92"/>
      <c r="AQ137" s="92"/>
      <c r="AR137" s="92"/>
    </row>
    <row r="138" spans="1:44" s="84" customFormat="1" ht="24" customHeight="1" x14ac:dyDescent="0.3">
      <c r="A138" s="78" t="s">
        <v>3320</v>
      </c>
      <c r="B138" s="79" t="s">
        <v>853</v>
      </c>
      <c r="C138" s="80">
        <v>1179664</v>
      </c>
      <c r="D138" s="80">
        <v>9999999</v>
      </c>
      <c r="E138" s="80">
        <v>29474698</v>
      </c>
      <c r="F138" s="81" t="s">
        <v>3398</v>
      </c>
      <c r="G138" s="82" t="s">
        <v>3324</v>
      </c>
      <c r="H138" s="82" t="s">
        <v>3399</v>
      </c>
      <c r="I138" s="82" t="s">
        <v>3103</v>
      </c>
      <c r="J138" s="83" t="e">
        <f>VLOOKUP($C138,CHOOSE({1,2},'[4]Prestações de Conta inadimplent'!$D$9:$D$2000,'[4]Prestações de Conta inadimplent'!$C$9:$C$2000),2,0)</f>
        <v>#N/A</v>
      </c>
      <c r="L138" s="85"/>
      <c r="M138" s="85" t="e">
        <v>#REF!</v>
      </c>
      <c r="T138" s="86"/>
      <c r="U138" s="85"/>
      <c r="V138" s="85"/>
      <c r="W138" s="85"/>
      <c r="X138" s="85"/>
      <c r="Y138" s="89"/>
      <c r="Z138" s="89"/>
      <c r="AA138" s="88"/>
      <c r="AB138" s="88"/>
      <c r="AF138" s="90"/>
      <c r="AK138" s="91"/>
      <c r="AM138" s="92"/>
      <c r="AN138" s="92"/>
      <c r="AO138" s="92"/>
      <c r="AP138" s="92"/>
      <c r="AQ138" s="92"/>
      <c r="AR138" s="92"/>
    </row>
    <row r="139" spans="1:44" s="84" customFormat="1" ht="24" customHeight="1" x14ac:dyDescent="0.3">
      <c r="A139" s="78" t="s">
        <v>3320</v>
      </c>
      <c r="B139" s="79" t="s">
        <v>868</v>
      </c>
      <c r="C139" s="80">
        <v>1116446</v>
      </c>
      <c r="D139" s="80">
        <v>1102133</v>
      </c>
      <c r="E139" s="80">
        <v>29147913</v>
      </c>
      <c r="F139" s="81" t="s">
        <v>869</v>
      </c>
      <c r="G139" s="82" t="s">
        <v>3400</v>
      </c>
      <c r="H139" s="82" t="s">
        <v>3401</v>
      </c>
      <c r="I139" s="82" t="s">
        <v>3103</v>
      </c>
      <c r="J139" s="83" t="e">
        <f>VLOOKUP($C139,CHOOSE({1,2},'[4]Prestações de Conta inadimplent'!$D$9:$D$2000,'[4]Prestações de Conta inadimplent'!$C$9:$C$2000),2,0)</f>
        <v>#N/A</v>
      </c>
      <c r="L139" s="85"/>
      <c r="M139" s="85" t="e">
        <v>#REF!</v>
      </c>
      <c r="T139" s="86"/>
      <c r="U139" s="85"/>
      <c r="V139" s="87"/>
      <c r="W139" s="85"/>
      <c r="X139" s="88"/>
      <c r="Y139" s="89"/>
      <c r="Z139" s="89"/>
      <c r="AA139" s="88"/>
      <c r="AB139" s="88"/>
      <c r="AF139" s="90"/>
      <c r="AK139" s="91"/>
      <c r="AM139" s="92"/>
      <c r="AN139" s="92"/>
      <c r="AO139" s="92"/>
      <c r="AP139" s="92"/>
      <c r="AQ139" s="92"/>
      <c r="AR139" s="92"/>
    </row>
    <row r="140" spans="1:44" s="84" customFormat="1" ht="24" customHeight="1" x14ac:dyDescent="0.3">
      <c r="A140" s="78" t="s">
        <v>3320</v>
      </c>
      <c r="B140" s="79" t="s">
        <v>739</v>
      </c>
      <c r="C140" s="80">
        <v>1114958</v>
      </c>
      <c r="D140" s="80">
        <v>1102140</v>
      </c>
      <c r="E140" s="80">
        <v>29123143</v>
      </c>
      <c r="F140" s="81" t="s">
        <v>3402</v>
      </c>
      <c r="G140" s="82" t="s">
        <v>3403</v>
      </c>
      <c r="H140" s="82" t="s">
        <v>3404</v>
      </c>
      <c r="I140" s="82" t="s">
        <v>3122</v>
      </c>
      <c r="J140" s="83" t="str">
        <f>VLOOKUP($C140,CHOOSE({1,2},'[4]Prestações de Conta inadimplent'!$D$9:$D$2000,'[4]Prestações de Conta inadimplent'!$C$9:$C$2000),2,0)</f>
        <v>Colegio Estadual Romulo Galvao</v>
      </c>
      <c r="L140" s="85"/>
      <c r="M140" s="85" t="e">
        <v>#REF!</v>
      </c>
      <c r="T140" s="86"/>
      <c r="U140" s="85"/>
      <c r="V140" s="87"/>
      <c r="W140" s="85"/>
      <c r="X140" s="88"/>
      <c r="Y140" s="89"/>
      <c r="Z140" s="89"/>
      <c r="AA140" s="88"/>
      <c r="AB140" s="88"/>
      <c r="AF140" s="90"/>
      <c r="AH140" s="85"/>
      <c r="AK140" s="91"/>
      <c r="AM140" s="92"/>
      <c r="AN140" s="92"/>
      <c r="AO140" s="92"/>
      <c r="AP140" s="92"/>
      <c r="AQ140" s="92"/>
      <c r="AR140" s="92"/>
    </row>
    <row r="141" spans="1:44" s="84" customFormat="1" ht="24" customHeight="1" x14ac:dyDescent="0.3">
      <c r="A141" s="78" t="s">
        <v>3320</v>
      </c>
      <c r="B141" s="79" t="s">
        <v>739</v>
      </c>
      <c r="C141" s="80">
        <v>1115105</v>
      </c>
      <c r="D141" s="80">
        <v>1102144</v>
      </c>
      <c r="E141" s="80">
        <v>29124212</v>
      </c>
      <c r="F141" s="81" t="s">
        <v>740</v>
      </c>
      <c r="G141" s="82" t="s">
        <v>3403</v>
      </c>
      <c r="H141" s="82" t="s">
        <v>3405</v>
      </c>
      <c r="I141" s="82" t="s">
        <v>3103</v>
      </c>
      <c r="J141" s="83" t="e">
        <f>VLOOKUP($C141,CHOOSE({1,2},'[4]Prestações de Conta inadimplent'!$D$9:$D$2000,'[4]Prestações de Conta inadimplent'!$C$9:$C$2000),2,0)</f>
        <v>#N/A</v>
      </c>
      <c r="L141" s="85"/>
      <c r="M141" s="85" t="e">
        <v>#REF!</v>
      </c>
      <c r="T141" s="86"/>
      <c r="U141" s="85"/>
      <c r="V141" s="87"/>
      <c r="W141" s="85"/>
      <c r="X141" s="88"/>
      <c r="Y141" s="89"/>
      <c r="Z141" s="89"/>
      <c r="AA141" s="88"/>
      <c r="AB141" s="88"/>
      <c r="AF141" s="90"/>
      <c r="AK141" s="91"/>
      <c r="AM141" s="92"/>
      <c r="AN141" s="92"/>
      <c r="AO141" s="92"/>
      <c r="AP141" s="92"/>
      <c r="AQ141" s="92"/>
      <c r="AR141" s="92"/>
    </row>
    <row r="142" spans="1:44" s="84" customFormat="1" ht="24" customHeight="1" x14ac:dyDescent="0.3">
      <c r="A142" s="78" t="s">
        <v>3320</v>
      </c>
      <c r="B142" s="79" t="s">
        <v>872</v>
      </c>
      <c r="C142" s="80">
        <v>1178102</v>
      </c>
      <c r="D142" s="80">
        <v>1104528</v>
      </c>
      <c r="E142" s="80">
        <v>29432120</v>
      </c>
      <c r="F142" s="81" t="s">
        <v>2652</v>
      </c>
      <c r="G142" s="82" t="s">
        <v>3406</v>
      </c>
      <c r="H142" s="82" t="s">
        <v>3407</v>
      </c>
      <c r="I142" s="82" t="s">
        <v>3122</v>
      </c>
      <c r="J142" s="83" t="str">
        <f>VLOOKUP($C142,CHOOSE({1,2},'[4]Prestações de Conta inadimplent'!$D$9:$D$2000,'[4]Prestações de Conta inadimplent'!$C$9:$C$2000),2,0)</f>
        <v>Colegio Estadual De Valente</v>
      </c>
      <c r="L142" s="85"/>
      <c r="M142" s="85" t="e">
        <v>#REF!</v>
      </c>
      <c r="T142" s="86"/>
      <c r="U142" s="85"/>
      <c r="V142" s="87"/>
      <c r="W142" s="85"/>
      <c r="X142" s="88"/>
      <c r="Y142" s="89"/>
      <c r="Z142" s="89"/>
      <c r="AA142" s="88"/>
      <c r="AB142" s="88"/>
      <c r="AF142" s="90"/>
      <c r="AK142" s="91"/>
      <c r="AM142" s="92"/>
      <c r="AN142" s="92"/>
      <c r="AO142" s="92"/>
      <c r="AP142" s="92"/>
      <c r="AQ142" s="92"/>
      <c r="AR142" s="92"/>
    </row>
    <row r="143" spans="1:44" s="84" customFormat="1" ht="24" customHeight="1" x14ac:dyDescent="0.3">
      <c r="A143" s="78" t="s">
        <v>3320</v>
      </c>
      <c r="B143" s="79" t="s">
        <v>872</v>
      </c>
      <c r="C143" s="80">
        <v>1116713</v>
      </c>
      <c r="D143" s="80">
        <v>1102156</v>
      </c>
      <c r="E143" s="80">
        <v>29149380</v>
      </c>
      <c r="F143" s="81" t="s">
        <v>3408</v>
      </c>
      <c r="G143" s="82" t="s">
        <v>3406</v>
      </c>
      <c r="H143" s="82" t="s">
        <v>3409</v>
      </c>
      <c r="I143" s="82" t="s">
        <v>3103</v>
      </c>
      <c r="J143" s="83" t="e">
        <f>VLOOKUP($C143,CHOOSE({1,2},'[4]Prestações de Conta inadimplent'!$D$9:$D$2000,'[4]Prestações de Conta inadimplent'!$C$9:$C$2000),2,0)</f>
        <v>#N/A</v>
      </c>
      <c r="L143" s="85"/>
      <c r="M143" s="85" t="e">
        <v>#REF!</v>
      </c>
      <c r="T143" s="86"/>
      <c r="U143" s="85"/>
      <c r="V143" s="87"/>
      <c r="W143" s="85"/>
      <c r="X143" s="88"/>
      <c r="Y143" s="89"/>
      <c r="Z143" s="89"/>
      <c r="AA143" s="88"/>
      <c r="AB143" s="88"/>
      <c r="AF143" s="90"/>
      <c r="AK143" s="91"/>
      <c r="AM143" s="92"/>
      <c r="AN143" s="92"/>
      <c r="AO143" s="92"/>
      <c r="AP143" s="92"/>
      <c r="AQ143" s="92"/>
      <c r="AR143" s="92"/>
    </row>
    <row r="144" spans="1:44" s="84" customFormat="1" ht="24" customHeight="1" x14ac:dyDescent="0.3">
      <c r="A144" s="78" t="s">
        <v>3320</v>
      </c>
      <c r="B144" s="79" t="s">
        <v>872</v>
      </c>
      <c r="C144" s="80">
        <v>1178275</v>
      </c>
      <c r="D144" s="80">
        <v>1105514</v>
      </c>
      <c r="E144" s="80">
        <v>29915783</v>
      </c>
      <c r="F144" s="81" t="s">
        <v>3073</v>
      </c>
      <c r="G144" s="82" t="s">
        <v>3406</v>
      </c>
      <c r="H144" s="82" t="s">
        <v>3410</v>
      </c>
      <c r="I144" s="82" t="s">
        <v>3103</v>
      </c>
      <c r="J144" s="83" t="e">
        <f>VLOOKUP($C144,CHOOSE({1,2},'[4]Prestações de Conta inadimplent'!$D$9:$D$2000,'[4]Prestações de Conta inadimplent'!$C$9:$C$2000),2,0)</f>
        <v>#N/A</v>
      </c>
      <c r="L144" s="85"/>
      <c r="M144" s="85" t="e">
        <v>#REF!</v>
      </c>
      <c r="T144" s="86"/>
      <c r="U144" s="85"/>
      <c r="V144" s="87"/>
      <c r="W144" s="85"/>
      <c r="X144" s="88"/>
      <c r="Y144" s="89"/>
      <c r="Z144" s="88"/>
      <c r="AA144" s="88"/>
      <c r="AB144" s="88"/>
      <c r="AF144" s="90"/>
      <c r="AK144" s="91"/>
      <c r="AM144" s="92"/>
      <c r="AN144" s="92"/>
      <c r="AO144" s="92"/>
      <c r="AP144" s="92"/>
      <c r="AQ144" s="92"/>
      <c r="AR144" s="92"/>
    </row>
    <row r="145" spans="1:44" s="84" customFormat="1" ht="24" customHeight="1" x14ac:dyDescent="0.3">
      <c r="A145" s="78" t="s">
        <v>3411</v>
      </c>
      <c r="B145" s="79" t="s">
        <v>1933</v>
      </c>
      <c r="C145" s="80">
        <v>1111495</v>
      </c>
      <c r="D145" s="80">
        <v>1101575</v>
      </c>
      <c r="E145" s="80">
        <v>29292280</v>
      </c>
      <c r="F145" s="81" t="s">
        <v>3412</v>
      </c>
      <c r="G145" s="82" t="s">
        <v>3413</v>
      </c>
      <c r="H145" s="82" t="s">
        <v>3414</v>
      </c>
      <c r="I145" s="82" t="s">
        <v>3122</v>
      </c>
      <c r="J145" s="83" t="str">
        <f>VLOOKUP($C145,CHOOSE({1,2},'[4]Prestações de Conta inadimplent'!$D$9:$D$2000,'[4]Prestações de Conta inadimplent'!$C$9:$C$2000),2,0)</f>
        <v>Colegio Estadual Senador Luiz Viana Filho</v>
      </c>
      <c r="L145" s="85"/>
      <c r="M145" s="85" t="e">
        <v>#REF!</v>
      </c>
      <c r="T145" s="86"/>
      <c r="U145" s="85"/>
      <c r="V145" s="87"/>
      <c r="W145" s="85"/>
      <c r="X145" s="88"/>
      <c r="Y145" s="89"/>
      <c r="Z145" s="89"/>
      <c r="AA145" s="88"/>
      <c r="AB145" s="88"/>
      <c r="AF145" s="90"/>
      <c r="AK145" s="91"/>
      <c r="AM145" s="92"/>
      <c r="AN145" s="92"/>
      <c r="AO145" s="92"/>
      <c r="AP145" s="92"/>
      <c r="AQ145" s="92"/>
      <c r="AR145" s="92"/>
    </row>
    <row r="146" spans="1:44" s="84" customFormat="1" ht="24" customHeight="1" x14ac:dyDescent="0.3">
      <c r="A146" s="78" t="s">
        <v>3411</v>
      </c>
      <c r="B146" s="79" t="s">
        <v>3069</v>
      </c>
      <c r="C146" s="80">
        <v>1178142</v>
      </c>
      <c r="D146" s="80">
        <v>1105472</v>
      </c>
      <c r="E146" s="80">
        <v>29886732</v>
      </c>
      <c r="F146" s="81" t="s">
        <v>3415</v>
      </c>
      <c r="G146" s="82" t="s">
        <v>3416</v>
      </c>
      <c r="H146" s="82" t="s">
        <v>3417</v>
      </c>
      <c r="I146" s="82" t="s">
        <v>3122</v>
      </c>
      <c r="J146" s="83" t="str">
        <f>VLOOKUP($C146,CHOOSE({1,2},'[4]Prestações de Conta inadimplent'!$D$9:$D$2000,'[4]Prestações de Conta inadimplent'!$C$9:$C$2000),2,0)</f>
        <v>Centro Est De Educ Prof Da Floresta Do Cacau E Do Chocol Milton Santos</v>
      </c>
      <c r="L146" s="85"/>
      <c r="M146" s="85" t="e">
        <v>#REF!</v>
      </c>
      <c r="T146" s="86"/>
      <c r="U146" s="85"/>
      <c r="V146" s="87"/>
      <c r="W146" s="85"/>
      <c r="X146" s="88"/>
      <c r="Y146" s="89"/>
      <c r="Z146" s="89"/>
      <c r="AA146" s="88"/>
      <c r="AB146" s="88"/>
      <c r="AF146" s="90"/>
      <c r="AH146" s="85"/>
      <c r="AK146" s="91"/>
      <c r="AM146" s="92"/>
      <c r="AN146" s="92"/>
      <c r="AO146" s="92"/>
      <c r="AP146" s="92"/>
      <c r="AQ146" s="92"/>
      <c r="AR146" s="92"/>
    </row>
    <row r="147" spans="1:44" s="84" customFormat="1" ht="24" customHeight="1" x14ac:dyDescent="0.3">
      <c r="A147" s="78" t="s">
        <v>3411</v>
      </c>
      <c r="B147" s="79" t="s">
        <v>3069</v>
      </c>
      <c r="C147" s="80">
        <v>1161093</v>
      </c>
      <c r="D147" s="80">
        <v>1101443</v>
      </c>
      <c r="E147" s="80">
        <v>29292808</v>
      </c>
      <c r="F147" s="81" t="s">
        <v>3418</v>
      </c>
      <c r="G147" s="82" t="s">
        <v>3419</v>
      </c>
      <c r="H147" s="82" t="s">
        <v>3420</v>
      </c>
      <c r="I147" s="82" t="s">
        <v>3122</v>
      </c>
      <c r="J147" s="83" t="str">
        <f>VLOOKUP($C147,CHOOSE({1,2},'[4]Prestações de Conta inadimplent'!$D$9:$D$2000,'[4]Prestações de Conta inadimplent'!$C$9:$C$2000),2,0)</f>
        <v>Colegio Estadual Braulio Xavier</v>
      </c>
      <c r="L147" s="85"/>
      <c r="M147" s="85" t="e">
        <v>#REF!</v>
      </c>
      <c r="T147" s="86"/>
      <c r="U147" s="85"/>
      <c r="V147" s="87"/>
      <c r="W147" s="85"/>
      <c r="X147" s="88"/>
      <c r="Y147" s="89"/>
      <c r="Z147" s="89"/>
      <c r="AA147" s="88"/>
      <c r="AB147" s="88"/>
      <c r="AF147" s="90"/>
      <c r="AK147" s="91"/>
      <c r="AM147" s="92"/>
      <c r="AN147" s="92"/>
      <c r="AO147" s="92"/>
      <c r="AP147" s="92"/>
      <c r="AQ147" s="92"/>
      <c r="AR147" s="92"/>
    </row>
    <row r="148" spans="1:44" s="84" customFormat="1" ht="24" customHeight="1" x14ac:dyDescent="0.3">
      <c r="A148" s="78" t="s">
        <v>3411</v>
      </c>
      <c r="B148" s="79" t="s">
        <v>1937</v>
      </c>
      <c r="C148" s="80">
        <v>1111550</v>
      </c>
      <c r="D148" s="80">
        <v>1101578</v>
      </c>
      <c r="E148" s="80">
        <v>29293197</v>
      </c>
      <c r="F148" s="81" t="s">
        <v>1938</v>
      </c>
      <c r="G148" s="82" t="s">
        <v>3421</v>
      </c>
      <c r="H148" s="82" t="s">
        <v>3422</v>
      </c>
      <c r="I148" s="82" t="s">
        <v>3103</v>
      </c>
      <c r="J148" s="83" t="e">
        <f>VLOOKUP($C148,CHOOSE({1,2},'[4]Prestações de Conta inadimplent'!$D$9:$D$2000,'[4]Prestações de Conta inadimplent'!$C$9:$C$2000),2,0)</f>
        <v>#N/A</v>
      </c>
      <c r="L148" s="85"/>
      <c r="M148" s="85" t="e">
        <v>#REF!</v>
      </c>
      <c r="T148" s="86"/>
      <c r="U148" s="85"/>
      <c r="V148" s="87"/>
      <c r="W148" s="85"/>
      <c r="X148" s="88"/>
      <c r="Y148" s="89"/>
      <c r="Z148" s="89"/>
      <c r="AA148" s="88"/>
      <c r="AB148" s="88"/>
      <c r="AF148" s="90"/>
      <c r="AK148" s="91"/>
      <c r="AM148" s="92"/>
      <c r="AN148" s="92"/>
      <c r="AO148" s="92"/>
      <c r="AP148" s="92"/>
      <c r="AQ148" s="92"/>
      <c r="AR148" s="92"/>
    </row>
    <row r="149" spans="1:44" s="84" customFormat="1" ht="24" customHeight="1" x14ac:dyDescent="0.3">
      <c r="A149" s="78" t="s">
        <v>3411</v>
      </c>
      <c r="B149" s="79" t="s">
        <v>1945</v>
      </c>
      <c r="C149" s="80">
        <v>1112491</v>
      </c>
      <c r="D149" s="80">
        <v>1101583</v>
      </c>
      <c r="E149" s="80">
        <v>29294037</v>
      </c>
      <c r="F149" s="81" t="s">
        <v>3423</v>
      </c>
      <c r="G149" s="82" t="s">
        <v>3424</v>
      </c>
      <c r="H149" s="82" t="s">
        <v>3425</v>
      </c>
      <c r="I149" s="82" t="s">
        <v>3122</v>
      </c>
      <c r="J149" s="83" t="str">
        <f>VLOOKUP($C149,CHOOSE({1,2},'[4]Prestações de Conta inadimplent'!$D$9:$D$2000,'[4]Prestações de Conta inadimplent'!$C$9:$C$2000),2,0)</f>
        <v>Colegio Estadual Lomanto Junior</v>
      </c>
      <c r="L149" s="85"/>
      <c r="M149" s="85" t="e">
        <v>#REF!</v>
      </c>
      <c r="T149" s="86"/>
      <c r="U149" s="85"/>
      <c r="V149" s="87"/>
      <c r="W149" s="85"/>
      <c r="X149" s="88"/>
      <c r="Y149" s="89"/>
      <c r="Z149" s="88"/>
      <c r="AA149" s="88"/>
      <c r="AB149" s="88"/>
      <c r="AF149" s="90"/>
      <c r="AK149" s="91"/>
      <c r="AM149" s="92"/>
      <c r="AN149" s="92"/>
      <c r="AO149" s="92"/>
      <c r="AP149" s="92"/>
      <c r="AQ149" s="92"/>
      <c r="AR149" s="92"/>
    </row>
    <row r="150" spans="1:44" s="84" customFormat="1" ht="24" customHeight="1" x14ac:dyDescent="0.3">
      <c r="A150" s="78" t="s">
        <v>3411</v>
      </c>
      <c r="B150" s="79" t="s">
        <v>1954</v>
      </c>
      <c r="C150" s="80">
        <v>1111584</v>
      </c>
      <c r="D150" s="80">
        <v>1101587</v>
      </c>
      <c r="E150" s="80">
        <v>29294606</v>
      </c>
      <c r="F150" s="81" t="s">
        <v>3426</v>
      </c>
      <c r="G150" s="82" t="s">
        <v>3427</v>
      </c>
      <c r="H150" s="82" t="s">
        <v>3428</v>
      </c>
      <c r="I150" s="82" t="s">
        <v>3103</v>
      </c>
      <c r="J150" s="83" t="e">
        <f>VLOOKUP($C150,CHOOSE({1,2},'[4]Prestações de Conta inadimplent'!$D$9:$D$2000,'[4]Prestações de Conta inadimplent'!$C$9:$C$2000),2,0)</f>
        <v>#N/A</v>
      </c>
      <c r="L150" s="85"/>
      <c r="M150" s="85" t="e">
        <v>#REF!</v>
      </c>
      <c r="T150" s="86"/>
      <c r="U150" s="85"/>
      <c r="V150" s="87"/>
      <c r="W150" s="85"/>
      <c r="X150" s="88"/>
      <c r="Y150" s="89"/>
      <c r="Z150" s="89"/>
      <c r="AA150" s="88"/>
      <c r="AB150" s="88"/>
      <c r="AF150" s="90"/>
      <c r="AK150" s="91"/>
      <c r="AM150" s="92"/>
      <c r="AN150" s="92"/>
      <c r="AO150" s="92"/>
      <c r="AP150" s="92"/>
      <c r="AQ150" s="92"/>
      <c r="AR150" s="92"/>
    </row>
    <row r="151" spans="1:44" s="84" customFormat="1" ht="24" customHeight="1" x14ac:dyDescent="0.3">
      <c r="A151" s="78" t="s">
        <v>3411</v>
      </c>
      <c r="B151" s="79" t="s">
        <v>1954</v>
      </c>
      <c r="C151" s="80">
        <v>1178186</v>
      </c>
      <c r="D151" s="80">
        <v>1105444</v>
      </c>
      <c r="E151" s="80">
        <v>29446570</v>
      </c>
      <c r="F151" s="81" t="s">
        <v>3429</v>
      </c>
      <c r="G151" s="82" t="s">
        <v>3427</v>
      </c>
      <c r="H151" s="82" t="s">
        <v>3430</v>
      </c>
      <c r="I151" s="82" t="s">
        <v>3122</v>
      </c>
      <c r="J151" s="83" t="str">
        <f>VLOOKUP($C151,CHOOSE({1,2},'[4]Prestações de Conta inadimplent'!$D$9:$D$2000,'[4]Prestações de Conta inadimplent'!$C$9:$C$2000),2,0)</f>
        <v>Colegio Estadual Indigena Tupinamba Serra Do Padeiro</v>
      </c>
      <c r="L151" s="85"/>
      <c r="M151" s="85" t="e">
        <v>#REF!</v>
      </c>
      <c r="T151" s="86"/>
      <c r="U151" s="85"/>
      <c r="V151" s="87"/>
      <c r="W151" s="85"/>
      <c r="X151" s="88"/>
      <c r="Y151" s="89"/>
      <c r="Z151" s="89"/>
      <c r="AA151" s="88"/>
      <c r="AB151" s="88"/>
      <c r="AF151" s="90"/>
      <c r="AK151" s="91"/>
      <c r="AM151" s="92"/>
      <c r="AN151" s="92"/>
      <c r="AO151" s="92"/>
      <c r="AP151" s="92"/>
      <c r="AQ151" s="92"/>
      <c r="AR151" s="92"/>
    </row>
    <row r="152" spans="1:44" s="84" customFormat="1" ht="24" customHeight="1" x14ac:dyDescent="0.3">
      <c r="A152" s="78" t="s">
        <v>3411</v>
      </c>
      <c r="B152" s="79" t="s">
        <v>1958</v>
      </c>
      <c r="C152" s="80">
        <v>1111797</v>
      </c>
      <c r="D152" s="80">
        <v>1101602</v>
      </c>
      <c r="E152" s="80">
        <v>29295866</v>
      </c>
      <c r="F152" s="81" t="s">
        <v>3431</v>
      </c>
      <c r="G152" s="82" t="s">
        <v>3416</v>
      </c>
      <c r="H152" s="82" t="s">
        <v>3432</v>
      </c>
      <c r="I152" s="82" t="s">
        <v>3103</v>
      </c>
      <c r="J152" s="83" t="e">
        <f>VLOOKUP($C152,CHOOSE({1,2},'[4]Prestações de Conta inadimplent'!$D$9:$D$2000,'[4]Prestações de Conta inadimplent'!$C$9:$C$2000),2,0)</f>
        <v>#N/A</v>
      </c>
      <c r="L152" s="85"/>
      <c r="M152" s="85" t="e">
        <v>#REF!</v>
      </c>
      <c r="T152" s="86"/>
      <c r="U152" s="85"/>
      <c r="V152" s="87"/>
      <c r="W152" s="85"/>
      <c r="X152" s="88"/>
      <c r="Y152" s="89"/>
      <c r="Z152" s="89"/>
      <c r="AA152" s="88"/>
      <c r="AB152" s="88"/>
      <c r="AF152" s="90"/>
      <c r="AK152" s="91"/>
      <c r="AM152" s="92"/>
      <c r="AN152" s="92"/>
      <c r="AO152" s="92"/>
      <c r="AP152" s="92"/>
      <c r="AQ152" s="92"/>
      <c r="AR152" s="92"/>
    </row>
    <row r="153" spans="1:44" s="84" customFormat="1" ht="24" customHeight="1" x14ac:dyDescent="0.3">
      <c r="A153" s="78" t="s">
        <v>3411</v>
      </c>
      <c r="B153" s="79" t="s">
        <v>1958</v>
      </c>
      <c r="C153" s="80">
        <v>1176394</v>
      </c>
      <c r="D153" s="80">
        <v>1101604</v>
      </c>
      <c r="E153" s="80">
        <v>29351502</v>
      </c>
      <c r="F153" s="81" t="s">
        <v>3433</v>
      </c>
      <c r="G153" s="82" t="s">
        <v>3416</v>
      </c>
      <c r="H153" s="82" t="s">
        <v>3434</v>
      </c>
      <c r="I153" s="82" t="s">
        <v>3103</v>
      </c>
      <c r="J153" s="83" t="e">
        <f>VLOOKUP($C153,CHOOSE({1,2},'[4]Prestações de Conta inadimplent'!$D$9:$D$2000,'[4]Prestações de Conta inadimplent'!$C$9:$C$2000),2,0)</f>
        <v>#N/A</v>
      </c>
      <c r="L153" s="85"/>
      <c r="M153" s="85" t="e">
        <v>#REF!</v>
      </c>
      <c r="T153" s="86"/>
      <c r="U153" s="85"/>
      <c r="V153" s="87"/>
      <c r="W153" s="85"/>
      <c r="X153" s="88"/>
      <c r="Y153" s="89"/>
      <c r="Z153" s="88"/>
      <c r="AA153" s="88"/>
      <c r="AB153" s="88"/>
      <c r="AF153" s="90"/>
      <c r="AK153" s="91"/>
      <c r="AM153" s="92"/>
      <c r="AN153" s="92"/>
      <c r="AO153" s="92"/>
      <c r="AP153" s="92"/>
      <c r="AQ153" s="92"/>
      <c r="AR153" s="92"/>
    </row>
    <row r="154" spans="1:44" s="84" customFormat="1" ht="24" customHeight="1" x14ac:dyDescent="0.3">
      <c r="A154" s="78" t="s">
        <v>3411</v>
      </c>
      <c r="B154" s="79" t="s">
        <v>2712</v>
      </c>
      <c r="C154" s="80">
        <v>1178107</v>
      </c>
      <c r="D154" s="80">
        <v>1104592</v>
      </c>
      <c r="E154" s="80">
        <v>29436184</v>
      </c>
      <c r="F154" s="81" t="s">
        <v>3435</v>
      </c>
      <c r="G154" s="82" t="s">
        <v>3436</v>
      </c>
      <c r="H154" s="82" t="s">
        <v>3437</v>
      </c>
      <c r="I154" s="82" t="s">
        <v>3122</v>
      </c>
      <c r="J154" s="83" t="str">
        <f>VLOOKUP($C154,CHOOSE({1,2},'[4]Prestações de Conta inadimplent'!$D$9:$D$2000,'[4]Prestações de Conta inadimplent'!$C$9:$C$2000),2,0)</f>
        <v>Colegio Estadual De Tempo Integral De Canavieiras</v>
      </c>
      <c r="L154" s="85"/>
      <c r="M154" s="85" t="e">
        <v>#REF!</v>
      </c>
      <c r="T154" s="86"/>
      <c r="U154" s="85"/>
      <c r="V154" s="87"/>
      <c r="W154" s="85"/>
      <c r="X154" s="88"/>
      <c r="Y154" s="89"/>
      <c r="Z154" s="89"/>
      <c r="AA154" s="88"/>
      <c r="AB154" s="88"/>
      <c r="AF154" s="90"/>
      <c r="AK154" s="91"/>
      <c r="AM154" s="92"/>
      <c r="AN154" s="92"/>
      <c r="AO154" s="92"/>
      <c r="AP154" s="92"/>
      <c r="AQ154" s="92"/>
      <c r="AR154" s="92"/>
    </row>
    <row r="155" spans="1:44" s="84" customFormat="1" ht="24" customHeight="1" x14ac:dyDescent="0.3">
      <c r="A155" s="78" t="s">
        <v>3411</v>
      </c>
      <c r="B155" s="79" t="s">
        <v>2696</v>
      </c>
      <c r="C155" s="80">
        <v>1178112</v>
      </c>
      <c r="D155" s="80">
        <v>1104598</v>
      </c>
      <c r="E155" s="80">
        <v>29434017</v>
      </c>
      <c r="F155" s="81" t="s">
        <v>3438</v>
      </c>
      <c r="G155" s="82" t="s">
        <v>3413</v>
      </c>
      <c r="H155" s="82" t="s">
        <v>3439</v>
      </c>
      <c r="I155" s="82" t="s">
        <v>3103</v>
      </c>
      <c r="J155" s="83" t="e">
        <f>VLOOKUP($C155,CHOOSE({1,2},'[4]Prestações de Conta inadimplent'!$D$9:$D$2000,'[4]Prestações de Conta inadimplent'!$C$9:$C$2000),2,0)</f>
        <v>#N/A</v>
      </c>
      <c r="L155" s="85"/>
      <c r="M155" s="85" t="e">
        <v>#REF!</v>
      </c>
      <c r="T155" s="86"/>
      <c r="U155" s="85"/>
      <c r="V155" s="87"/>
      <c r="W155" s="85"/>
      <c r="X155" s="88"/>
      <c r="Y155" s="89"/>
      <c r="Z155" s="88"/>
      <c r="AA155" s="88"/>
      <c r="AB155" s="88"/>
      <c r="AF155" s="90"/>
      <c r="AK155" s="91"/>
      <c r="AM155" s="92"/>
      <c r="AN155" s="92"/>
      <c r="AO155" s="92"/>
      <c r="AP155" s="92"/>
      <c r="AQ155" s="92"/>
      <c r="AR155" s="92"/>
    </row>
    <row r="156" spans="1:44" s="84" customFormat="1" ht="24" customHeight="1" x14ac:dyDescent="0.3">
      <c r="A156" s="78" t="s">
        <v>3411</v>
      </c>
      <c r="B156" s="79" t="s">
        <v>1966</v>
      </c>
      <c r="C156" s="80">
        <v>1158947</v>
      </c>
      <c r="D156" s="80">
        <v>1101614</v>
      </c>
      <c r="E156" s="80">
        <v>29298520</v>
      </c>
      <c r="F156" s="81" t="s">
        <v>1967</v>
      </c>
      <c r="G156" s="82" t="s">
        <v>3440</v>
      </c>
      <c r="H156" s="82" t="s">
        <v>3441</v>
      </c>
      <c r="I156" s="82" t="s">
        <v>3122</v>
      </c>
      <c r="J156" s="83" t="str">
        <f>VLOOKUP($C156,CHOOSE({1,2},'[4]Prestações de Conta inadimplent'!$D$9:$D$2000,'[4]Prestações de Conta inadimplent'!$C$9:$C$2000),2,0)</f>
        <v>Colegio Estadual De Tempo Integral Fred Gedeon</v>
      </c>
      <c r="L156" s="85"/>
      <c r="M156" s="85" t="e">
        <v>#REF!</v>
      </c>
      <c r="T156" s="86"/>
      <c r="U156" s="85"/>
      <c r="V156" s="87"/>
      <c r="W156" s="85"/>
      <c r="X156" s="88"/>
      <c r="Y156" s="89"/>
      <c r="Z156" s="89"/>
      <c r="AA156" s="88"/>
      <c r="AB156" s="88"/>
      <c r="AF156" s="90"/>
      <c r="AK156" s="91"/>
      <c r="AM156" s="92"/>
      <c r="AN156" s="92"/>
      <c r="AO156" s="92"/>
      <c r="AP156" s="92"/>
      <c r="AQ156" s="92"/>
      <c r="AR156" s="92"/>
    </row>
    <row r="157" spans="1:44" s="84" customFormat="1" ht="24" customHeight="1" x14ac:dyDescent="0.3">
      <c r="A157" s="78" t="s">
        <v>3411</v>
      </c>
      <c r="B157" s="79" t="s">
        <v>2693</v>
      </c>
      <c r="C157" s="80">
        <v>1176103</v>
      </c>
      <c r="D157" s="80">
        <v>1101631</v>
      </c>
      <c r="E157" s="80">
        <v>29299802</v>
      </c>
      <c r="F157" s="81" t="s">
        <v>3442</v>
      </c>
      <c r="G157" s="82" t="s">
        <v>3440</v>
      </c>
      <c r="H157" s="82" t="s">
        <v>3443</v>
      </c>
      <c r="I157" s="82" t="s">
        <v>3103</v>
      </c>
      <c r="J157" s="83" t="e">
        <f>VLOOKUP($C157,CHOOSE({1,2},'[4]Prestações de Conta inadimplent'!$D$9:$D$2000,'[4]Prestações de Conta inadimplent'!$C$9:$C$2000),2,0)</f>
        <v>#N/A</v>
      </c>
      <c r="L157" s="85"/>
      <c r="M157" s="85" t="e">
        <v>#REF!</v>
      </c>
      <c r="T157" s="86"/>
      <c r="U157" s="85"/>
      <c r="V157" s="87"/>
      <c r="W157" s="85"/>
      <c r="X157" s="85"/>
      <c r="Y157" s="89"/>
      <c r="Z157" s="89"/>
      <c r="AA157" s="88"/>
      <c r="AB157" s="88"/>
      <c r="AF157" s="90"/>
      <c r="AK157" s="91"/>
      <c r="AM157" s="92"/>
      <c r="AN157" s="92"/>
      <c r="AO157" s="92"/>
      <c r="AP157" s="92"/>
      <c r="AQ157" s="92"/>
      <c r="AR157" s="92"/>
    </row>
    <row r="158" spans="1:44" s="84" customFormat="1" ht="24" customHeight="1" x14ac:dyDescent="0.3">
      <c r="A158" s="78" t="s">
        <v>3411</v>
      </c>
      <c r="B158" s="79" t="s">
        <v>2693</v>
      </c>
      <c r="C158" s="80">
        <v>1178110</v>
      </c>
      <c r="D158" s="80">
        <v>1104595</v>
      </c>
      <c r="E158" s="80">
        <v>29433886</v>
      </c>
      <c r="F158" s="81" t="s">
        <v>3444</v>
      </c>
      <c r="G158" s="82" t="s">
        <v>3440</v>
      </c>
      <c r="H158" s="82" t="s">
        <v>3445</v>
      </c>
      <c r="I158" s="82" t="s">
        <v>3103</v>
      </c>
      <c r="J158" s="83" t="e">
        <f>VLOOKUP($C158,CHOOSE({1,2},'[4]Prestações de Conta inadimplent'!$D$9:$D$2000,'[4]Prestações de Conta inadimplent'!$C$9:$C$2000),2,0)</f>
        <v>#N/A</v>
      </c>
      <c r="L158" s="85"/>
      <c r="M158" s="85" t="e">
        <v>#REF!</v>
      </c>
      <c r="T158" s="86"/>
      <c r="U158" s="85"/>
      <c r="V158" s="87"/>
      <c r="W158" s="85"/>
      <c r="X158" s="88"/>
      <c r="Y158" s="89"/>
      <c r="Z158" s="88"/>
      <c r="AA158" s="88"/>
      <c r="AB158" s="88"/>
      <c r="AF158" s="90"/>
      <c r="AH158" s="85"/>
      <c r="AK158" s="91"/>
      <c r="AM158" s="92"/>
      <c r="AN158" s="92"/>
      <c r="AO158" s="92"/>
      <c r="AP158" s="92"/>
      <c r="AQ158" s="92"/>
      <c r="AR158" s="92"/>
    </row>
    <row r="159" spans="1:44" s="84" customFormat="1" ht="24" customHeight="1" x14ac:dyDescent="0.3">
      <c r="A159" s="78" t="s">
        <v>3411</v>
      </c>
      <c r="B159" s="79" t="s">
        <v>1985</v>
      </c>
      <c r="C159" s="80">
        <v>1179275</v>
      </c>
      <c r="D159" s="80">
        <v>9999999</v>
      </c>
      <c r="E159" s="80">
        <v>29462266</v>
      </c>
      <c r="F159" s="81" t="s">
        <v>3446</v>
      </c>
      <c r="G159" s="82" t="s">
        <v>3419</v>
      </c>
      <c r="H159" s="82" t="s">
        <v>3447</v>
      </c>
      <c r="I159" s="82" t="s">
        <v>3122</v>
      </c>
      <c r="J159" s="83" t="str">
        <f>VLOOKUP($C159,CHOOSE({1,2},'[4]Prestações de Conta inadimplent'!$D$9:$D$2000,'[4]Prestações de Conta inadimplent'!$C$9:$C$2000),2,0)</f>
        <v>Colegio Estadual Indigena Tupinamba De Acuipe De Baixo</v>
      </c>
      <c r="L159" s="85"/>
      <c r="M159" s="85" t="e">
        <v>#REF!</v>
      </c>
      <c r="T159" s="86"/>
      <c r="U159" s="85"/>
      <c r="V159" s="87"/>
      <c r="W159" s="85"/>
      <c r="X159" s="88"/>
      <c r="Y159" s="89"/>
      <c r="Z159" s="89"/>
      <c r="AA159" s="88"/>
      <c r="AB159" s="88"/>
      <c r="AF159" s="90"/>
      <c r="AH159" s="85"/>
      <c r="AK159" s="91"/>
      <c r="AM159" s="92"/>
      <c r="AN159" s="92"/>
      <c r="AO159" s="92"/>
      <c r="AP159" s="92"/>
      <c r="AQ159" s="92"/>
      <c r="AR159" s="92"/>
    </row>
    <row r="160" spans="1:44" s="84" customFormat="1" ht="24" customHeight="1" x14ac:dyDescent="0.3">
      <c r="A160" s="78" t="s">
        <v>3411</v>
      </c>
      <c r="B160" s="79" t="s">
        <v>1985</v>
      </c>
      <c r="C160" s="80">
        <v>1178075</v>
      </c>
      <c r="D160" s="80">
        <v>1105062</v>
      </c>
      <c r="E160" s="80">
        <v>29431298</v>
      </c>
      <c r="F160" s="81" t="s">
        <v>3448</v>
      </c>
      <c r="G160" s="82" t="s">
        <v>3419</v>
      </c>
      <c r="H160" s="82" t="s">
        <v>3449</v>
      </c>
      <c r="I160" s="82" t="s">
        <v>3122</v>
      </c>
      <c r="J160" s="83" t="str">
        <f>VLOOKUP($C160,CHOOSE({1,2},'[4]Prestações de Conta inadimplent'!$D$9:$D$2000,'[4]Prestações de Conta inadimplent'!$C$9:$C$2000),2,0)</f>
        <v>Colegio Estadual Indigena Tupinamba De Olivenca</v>
      </c>
      <c r="L160" s="85"/>
      <c r="M160" s="85" t="e">
        <v>#REF!</v>
      </c>
      <c r="T160" s="86"/>
      <c r="U160" s="85"/>
      <c r="V160" s="87"/>
      <c r="W160" s="85"/>
      <c r="X160" s="88"/>
      <c r="Y160" s="89"/>
      <c r="Z160" s="89"/>
      <c r="AA160" s="88"/>
      <c r="AB160" s="88"/>
      <c r="AF160" s="90"/>
      <c r="AK160" s="91"/>
      <c r="AM160" s="92"/>
      <c r="AN160" s="92"/>
      <c r="AO160" s="92"/>
      <c r="AP160" s="92"/>
      <c r="AQ160" s="92"/>
      <c r="AR160" s="92"/>
    </row>
    <row r="161" spans="1:44" s="84" customFormat="1" ht="24" customHeight="1" x14ac:dyDescent="0.3">
      <c r="A161" s="78" t="s">
        <v>3411</v>
      </c>
      <c r="B161" s="79" t="s">
        <v>1985</v>
      </c>
      <c r="C161" s="80">
        <v>1179622</v>
      </c>
      <c r="D161" s="80">
        <v>9999999</v>
      </c>
      <c r="E161" s="80">
        <v>29473160</v>
      </c>
      <c r="F161" s="81" t="s">
        <v>3450</v>
      </c>
      <c r="G161" s="82" t="s">
        <v>3451</v>
      </c>
      <c r="H161" s="82" t="s">
        <v>3452</v>
      </c>
      <c r="I161" s="82" t="s">
        <v>3122</v>
      </c>
      <c r="J161" s="83" t="str">
        <f>VLOOKUP($C161,CHOOSE({1,2},'[4]Prestações de Conta inadimplent'!$D$9:$D$2000,'[4]Prestações de Conta inadimplent'!$C$9:$C$2000),2,0)</f>
        <v>Escola Estadual Indigena Tupinamba De Abaete</v>
      </c>
      <c r="L161" s="85"/>
      <c r="M161" s="85" t="e">
        <v>#REF!</v>
      </c>
      <c r="T161" s="86"/>
      <c r="U161" s="85"/>
      <c r="V161" s="87"/>
      <c r="W161" s="85"/>
      <c r="X161" s="88"/>
      <c r="Y161" s="89"/>
      <c r="Z161" s="89"/>
      <c r="AA161" s="88"/>
      <c r="AB161" s="88"/>
      <c r="AF161" s="90"/>
      <c r="AK161" s="91"/>
      <c r="AM161" s="92"/>
      <c r="AN161" s="92"/>
      <c r="AO161" s="92"/>
      <c r="AP161" s="92"/>
      <c r="AQ161" s="92"/>
      <c r="AR161" s="92"/>
    </row>
    <row r="162" spans="1:44" s="84" customFormat="1" ht="24" customHeight="1" x14ac:dyDescent="0.3">
      <c r="A162" s="78" t="s">
        <v>3411</v>
      </c>
      <c r="B162" s="79" t="s">
        <v>1985</v>
      </c>
      <c r="C162" s="80">
        <v>1111096</v>
      </c>
      <c r="D162" s="80">
        <v>1101458</v>
      </c>
      <c r="E162" s="80">
        <v>29301483</v>
      </c>
      <c r="F162" s="81" t="s">
        <v>3453</v>
      </c>
      <c r="G162" s="82" t="s">
        <v>3419</v>
      </c>
      <c r="H162" s="82" t="s">
        <v>3454</v>
      </c>
      <c r="I162" s="82" t="s">
        <v>3122</v>
      </c>
      <c r="J162" s="83" t="str">
        <f>VLOOKUP($C162,CHOOSE({1,2},'[4]Prestações de Conta inadimplent'!$D$9:$D$2000,'[4]Prestações de Conta inadimplent'!$C$9:$C$2000),2,0)</f>
        <v>Centro Estadual De Educacao Profissional Do Chocolate Nelson Schaun</v>
      </c>
      <c r="L162" s="85"/>
      <c r="M162" s="85" t="e">
        <v>#REF!</v>
      </c>
      <c r="T162" s="86"/>
      <c r="U162" s="85"/>
      <c r="V162" s="87"/>
      <c r="W162" s="85"/>
      <c r="X162" s="88"/>
      <c r="Y162" s="89"/>
      <c r="Z162" s="89"/>
      <c r="AA162" s="88"/>
      <c r="AB162" s="88"/>
      <c r="AF162" s="90"/>
      <c r="AH162" s="85"/>
      <c r="AK162" s="91"/>
      <c r="AM162" s="92"/>
      <c r="AN162" s="92"/>
      <c r="AO162" s="92"/>
      <c r="AP162" s="92"/>
      <c r="AQ162" s="92"/>
      <c r="AR162" s="92"/>
    </row>
    <row r="163" spans="1:44" s="84" customFormat="1" ht="24" customHeight="1" x14ac:dyDescent="0.3">
      <c r="A163" s="78" t="s">
        <v>3411</v>
      </c>
      <c r="B163" s="79" t="s">
        <v>1985</v>
      </c>
      <c r="C163" s="80">
        <v>1111436</v>
      </c>
      <c r="D163" s="80">
        <v>1101487</v>
      </c>
      <c r="E163" s="80">
        <v>29303125</v>
      </c>
      <c r="F163" s="81" t="s">
        <v>3455</v>
      </c>
      <c r="G163" s="82" t="s">
        <v>3419</v>
      </c>
      <c r="H163" s="82" t="s">
        <v>3456</v>
      </c>
      <c r="I163" s="82" t="s">
        <v>3122</v>
      </c>
      <c r="J163" s="83" t="str">
        <f>VLOOKUP($C163,CHOOSE({1,2},'[4]Prestações de Conta inadimplent'!$D$9:$D$2000,'[4]Prestações de Conta inadimplent'!$C$9:$C$2000),2,0)</f>
        <v>Colegio Estadual Do Campo Jorge Calmon</v>
      </c>
      <c r="L163" s="85"/>
      <c r="M163" s="85" t="e">
        <v>#REF!</v>
      </c>
      <c r="T163" s="86"/>
      <c r="U163" s="85"/>
      <c r="V163" s="87"/>
      <c r="W163" s="85"/>
      <c r="X163" s="88"/>
      <c r="Y163" s="89"/>
      <c r="Z163" s="89"/>
      <c r="AA163" s="88"/>
      <c r="AB163" s="88"/>
      <c r="AF163" s="90"/>
      <c r="AK163" s="91"/>
      <c r="AM163" s="92"/>
      <c r="AN163" s="92"/>
      <c r="AO163" s="92"/>
      <c r="AP163" s="92"/>
      <c r="AQ163" s="92"/>
      <c r="AR163" s="92"/>
    </row>
    <row r="164" spans="1:44" s="84" customFormat="1" ht="24" customHeight="1" x14ac:dyDescent="0.3">
      <c r="A164" s="78" t="s">
        <v>3411</v>
      </c>
      <c r="B164" s="79" t="s">
        <v>1985</v>
      </c>
      <c r="C164" s="80">
        <v>1176424</v>
      </c>
      <c r="D164" s="80">
        <v>1101499</v>
      </c>
      <c r="E164" s="80">
        <v>29386284</v>
      </c>
      <c r="F164" s="81" t="s">
        <v>2299</v>
      </c>
      <c r="G164" s="82" t="s">
        <v>3419</v>
      </c>
      <c r="H164" s="82" t="s">
        <v>3457</v>
      </c>
      <c r="I164" s="82" t="s">
        <v>3122</v>
      </c>
      <c r="J164" s="83" t="str">
        <f>VLOOKUP($C164,CHOOSE({1,2},'[4]Prestações de Conta inadimplent'!$D$9:$D$2000,'[4]Prestações de Conta inadimplent'!$C$9:$C$2000),2,0)</f>
        <v>Colegio Estadual De Tempo Integral Jorge Amado</v>
      </c>
      <c r="L164" s="85"/>
      <c r="M164" s="85" t="e">
        <v>#REF!</v>
      </c>
      <c r="T164" s="86"/>
      <c r="U164" s="85"/>
      <c r="V164" s="87"/>
      <c r="W164" s="85"/>
      <c r="X164" s="88"/>
      <c r="Y164" s="89"/>
      <c r="Z164" s="89"/>
      <c r="AA164" s="88"/>
      <c r="AB164" s="88"/>
      <c r="AF164" s="90"/>
      <c r="AK164" s="91"/>
      <c r="AM164" s="92"/>
      <c r="AN164" s="92"/>
      <c r="AO164" s="92"/>
      <c r="AP164" s="92"/>
      <c r="AQ164" s="92"/>
      <c r="AR164" s="92"/>
    </row>
    <row r="165" spans="1:44" s="84" customFormat="1" ht="24" customHeight="1" x14ac:dyDescent="0.3">
      <c r="A165" s="78" t="s">
        <v>3411</v>
      </c>
      <c r="B165" s="79" t="s">
        <v>1985</v>
      </c>
      <c r="C165" s="80">
        <v>1179628</v>
      </c>
      <c r="D165" s="80">
        <v>9999999</v>
      </c>
      <c r="E165" s="80">
        <v>29473101</v>
      </c>
      <c r="F165" s="81" t="s">
        <v>3458</v>
      </c>
      <c r="G165" s="82" t="s">
        <v>3419</v>
      </c>
      <c r="H165" s="82" t="s">
        <v>3459</v>
      </c>
      <c r="I165" s="82" t="s">
        <v>3103</v>
      </c>
      <c r="J165" s="83" t="e">
        <f>VLOOKUP($C165,CHOOSE({1,2},'[4]Prestações de Conta inadimplent'!$D$9:$D$2000,'[4]Prestações de Conta inadimplent'!$C$9:$C$2000),2,0)</f>
        <v>#N/A</v>
      </c>
      <c r="K165" s="95"/>
      <c r="L165" s="85"/>
      <c r="M165" s="85" t="e">
        <v>#REF!</v>
      </c>
      <c r="T165" s="86"/>
      <c r="U165" s="85"/>
      <c r="V165" s="87"/>
      <c r="W165" s="85"/>
      <c r="X165" s="88"/>
      <c r="Y165" s="89"/>
      <c r="Z165" s="89"/>
      <c r="AA165" s="88"/>
      <c r="AB165" s="88"/>
      <c r="AF165" s="90"/>
      <c r="AK165" s="91"/>
      <c r="AM165" s="92"/>
      <c r="AN165" s="92"/>
      <c r="AO165" s="92"/>
      <c r="AP165" s="92"/>
      <c r="AQ165" s="92"/>
      <c r="AR165" s="92"/>
    </row>
    <row r="166" spans="1:44" s="84" customFormat="1" ht="24" customHeight="1" x14ac:dyDescent="0.3">
      <c r="A166" s="78" t="s">
        <v>3411</v>
      </c>
      <c r="B166" s="79" t="s">
        <v>1985</v>
      </c>
      <c r="C166" s="80">
        <v>1169221</v>
      </c>
      <c r="D166" s="80">
        <v>1101498</v>
      </c>
      <c r="E166" s="80">
        <v>29301882</v>
      </c>
      <c r="F166" s="81" t="s">
        <v>3460</v>
      </c>
      <c r="G166" s="82" t="s">
        <v>3419</v>
      </c>
      <c r="H166" s="82" t="s">
        <v>3461</v>
      </c>
      <c r="I166" s="82" t="s">
        <v>3122</v>
      </c>
      <c r="J166" s="83" t="str">
        <f>VLOOKUP($C166,CHOOSE({1,2},'[4]Prestações de Conta inadimplent'!$D$9:$D$2000,'[4]Prestações de Conta inadimplent'!$C$9:$C$2000),2,0)</f>
        <v>Colegio Estadual Moyses Bohana</v>
      </c>
      <c r="L166" s="85"/>
      <c r="M166" s="85" t="e">
        <v>#REF!</v>
      </c>
      <c r="T166" s="86"/>
      <c r="U166" s="85"/>
      <c r="V166" s="87"/>
      <c r="W166" s="85"/>
      <c r="X166" s="88"/>
      <c r="Y166" s="89"/>
      <c r="Z166" s="89"/>
      <c r="AA166" s="88"/>
      <c r="AB166" s="88"/>
      <c r="AF166" s="90"/>
      <c r="AK166" s="91"/>
      <c r="AM166" s="92"/>
      <c r="AN166" s="92"/>
      <c r="AO166" s="92"/>
      <c r="AP166" s="92"/>
      <c r="AQ166" s="92"/>
      <c r="AR166" s="92"/>
    </row>
    <row r="167" spans="1:44" s="84" customFormat="1" ht="24" customHeight="1" x14ac:dyDescent="0.3">
      <c r="A167" s="78" t="s">
        <v>3411</v>
      </c>
      <c r="B167" s="79" t="s">
        <v>1985</v>
      </c>
      <c r="C167" s="80">
        <v>1111126</v>
      </c>
      <c r="D167" s="80">
        <v>1101461</v>
      </c>
      <c r="E167" s="103">
        <v>29302269</v>
      </c>
      <c r="F167" s="81" t="s">
        <v>3462</v>
      </c>
      <c r="G167" s="82" t="s">
        <v>3419</v>
      </c>
      <c r="H167" s="82" t="s">
        <v>3463</v>
      </c>
      <c r="I167" s="82" t="s">
        <v>3122</v>
      </c>
      <c r="J167" s="83" t="str">
        <f>VLOOKUP($C167,CHOOSE({1,2},'[4]Prestações de Conta inadimplent'!$D$9:$D$2000,'[4]Prestações de Conta inadimplent'!$C$9:$C$2000),2,0)</f>
        <v>Colegio Estadual Do Iguape</v>
      </c>
      <c r="L167" s="85"/>
      <c r="M167" s="85" t="e">
        <v>#REF!</v>
      </c>
      <c r="T167" s="86"/>
      <c r="U167" s="85"/>
      <c r="V167" s="87"/>
      <c r="W167" s="85"/>
      <c r="X167" s="88"/>
      <c r="Y167" s="89"/>
      <c r="Z167" s="89"/>
      <c r="AA167" s="88"/>
      <c r="AB167" s="88"/>
      <c r="AF167" s="90"/>
      <c r="AK167" s="91"/>
      <c r="AM167" s="92"/>
      <c r="AN167" s="92"/>
      <c r="AO167" s="92"/>
      <c r="AP167" s="92"/>
      <c r="AQ167" s="92"/>
      <c r="AR167" s="92"/>
    </row>
    <row r="168" spans="1:44" s="84" customFormat="1" ht="24" customHeight="1" x14ac:dyDescent="0.3">
      <c r="A168" s="78" t="s">
        <v>3411</v>
      </c>
      <c r="B168" s="79" t="s">
        <v>1985</v>
      </c>
      <c r="C168" s="80">
        <v>1176675</v>
      </c>
      <c r="D168" s="80">
        <v>1101500</v>
      </c>
      <c r="E168" s="80">
        <v>29406889</v>
      </c>
      <c r="F168" s="81" t="s">
        <v>3464</v>
      </c>
      <c r="G168" s="82" t="s">
        <v>3419</v>
      </c>
      <c r="H168" s="82" t="s">
        <v>3465</v>
      </c>
      <c r="I168" s="82" t="s">
        <v>3122</v>
      </c>
      <c r="J168" s="83" t="str">
        <f>VLOOKUP($C168,CHOOSE({1,2},'[4]Prestações de Conta inadimplent'!$D$9:$D$2000,'[4]Prestações de Conta inadimplent'!$C$9:$C$2000),2,0)</f>
        <v>Colegio Estadual Professor Fabio Araripe Goulart</v>
      </c>
      <c r="K168" s="95"/>
      <c r="L168" s="85"/>
      <c r="M168" s="85" t="e">
        <v>#REF!</v>
      </c>
      <c r="T168" s="86"/>
      <c r="U168" s="85"/>
      <c r="V168" s="87"/>
      <c r="W168" s="85"/>
      <c r="X168" s="88"/>
      <c r="Y168" s="89"/>
      <c r="Z168" s="89"/>
      <c r="AA168" s="88"/>
      <c r="AB168" s="88"/>
      <c r="AF168" s="90"/>
      <c r="AK168" s="91"/>
      <c r="AM168" s="92"/>
      <c r="AN168" s="92"/>
      <c r="AO168" s="92"/>
      <c r="AP168" s="92"/>
      <c r="AQ168" s="92"/>
      <c r="AR168" s="92"/>
    </row>
    <row r="169" spans="1:44" s="84" customFormat="1" ht="24" customHeight="1" x14ac:dyDescent="0.3">
      <c r="A169" s="78" t="s">
        <v>3411</v>
      </c>
      <c r="B169" s="79" t="s">
        <v>1985</v>
      </c>
      <c r="C169" s="80">
        <v>1159919</v>
      </c>
      <c r="D169" s="80">
        <v>1101497</v>
      </c>
      <c r="E169" s="80">
        <v>29301475</v>
      </c>
      <c r="F169" s="81" t="s">
        <v>3466</v>
      </c>
      <c r="G169" s="82" t="s">
        <v>3419</v>
      </c>
      <c r="H169" s="82" t="s">
        <v>3467</v>
      </c>
      <c r="I169" s="82" t="s">
        <v>3103</v>
      </c>
      <c r="J169" s="83" t="e">
        <f>VLOOKUP($C169,CHOOSE({1,2},'[4]Prestações de Conta inadimplent'!$D$9:$D$2000,'[4]Prestações de Conta inadimplent'!$C$9:$C$2000),2,0)</f>
        <v>#N/A</v>
      </c>
      <c r="L169" s="85"/>
      <c r="M169" s="85" t="e">
        <v>#REF!</v>
      </c>
      <c r="T169" s="86"/>
      <c r="U169" s="85"/>
      <c r="V169" s="85"/>
      <c r="W169" s="85"/>
      <c r="X169" s="88"/>
      <c r="Y169" s="89"/>
      <c r="Z169" s="89"/>
      <c r="AA169" s="88"/>
      <c r="AB169" s="88"/>
      <c r="AF169" s="90"/>
      <c r="AK169" s="91"/>
      <c r="AM169" s="92"/>
      <c r="AN169" s="92"/>
      <c r="AO169" s="92"/>
      <c r="AP169" s="92"/>
      <c r="AQ169" s="92"/>
      <c r="AR169" s="92"/>
    </row>
    <row r="170" spans="1:44" s="84" customFormat="1" ht="24" customHeight="1" x14ac:dyDescent="0.3">
      <c r="A170" s="78" t="s">
        <v>3411</v>
      </c>
      <c r="B170" s="79" t="s">
        <v>1985</v>
      </c>
      <c r="C170" s="80">
        <v>1178145</v>
      </c>
      <c r="D170" s="80">
        <v>1105461</v>
      </c>
      <c r="E170" s="80">
        <v>29442079</v>
      </c>
      <c r="F170" s="81" t="s">
        <v>3468</v>
      </c>
      <c r="G170" s="82" t="s">
        <v>3419</v>
      </c>
      <c r="H170" s="82" t="s">
        <v>3469</v>
      </c>
      <c r="I170" s="82" t="s">
        <v>3122</v>
      </c>
      <c r="J170" s="83" t="str">
        <f>VLOOKUP($C170,CHOOSE({1,2},'[4]Prestações de Conta inadimplent'!$D$9:$D$2000,'[4]Prestações de Conta inadimplent'!$C$9:$C$2000),2,0)</f>
        <v>Colegio Estadual De Salobrinho</v>
      </c>
      <c r="K170" s="95"/>
      <c r="L170" s="106" t="s">
        <v>3470</v>
      </c>
      <c r="M170" s="85" t="e">
        <v>#REF!</v>
      </c>
      <c r="T170" s="86"/>
      <c r="U170" s="85"/>
      <c r="V170" s="87"/>
      <c r="W170" s="85"/>
      <c r="X170" s="88"/>
      <c r="Y170" s="89"/>
      <c r="Z170" s="89"/>
      <c r="AA170" s="88"/>
      <c r="AB170" s="88"/>
      <c r="AF170" s="90"/>
      <c r="AK170" s="91"/>
      <c r="AM170" s="92"/>
      <c r="AN170" s="92"/>
      <c r="AO170" s="92"/>
      <c r="AP170" s="92"/>
      <c r="AQ170" s="92"/>
      <c r="AR170" s="92"/>
    </row>
    <row r="171" spans="1:44" s="84" customFormat="1" ht="24" customHeight="1" x14ac:dyDescent="0.3">
      <c r="A171" s="78" t="s">
        <v>3411</v>
      </c>
      <c r="B171" s="79" t="s">
        <v>1985</v>
      </c>
      <c r="C171" s="80">
        <v>1159838</v>
      </c>
      <c r="D171" s="80">
        <v>1101494</v>
      </c>
      <c r="E171" s="80">
        <v>29302293</v>
      </c>
      <c r="F171" s="81" t="s">
        <v>3471</v>
      </c>
      <c r="G171" s="82" t="s">
        <v>3419</v>
      </c>
      <c r="H171" s="82" t="s">
        <v>3472</v>
      </c>
      <c r="I171" s="82" t="s">
        <v>3103</v>
      </c>
      <c r="J171" s="83" t="e">
        <f>VLOOKUP($C171,CHOOSE({1,2},'[4]Prestações de Conta inadimplent'!$D$9:$D$2000,'[4]Prestações de Conta inadimplent'!$C$9:$C$2000),2,0)</f>
        <v>#N/A</v>
      </c>
      <c r="L171" s="85"/>
      <c r="M171" s="85" t="e">
        <v>#REF!</v>
      </c>
      <c r="T171" s="86"/>
      <c r="U171" s="85"/>
      <c r="V171" s="87"/>
      <c r="W171" s="85"/>
      <c r="X171" s="88"/>
      <c r="Y171" s="89"/>
      <c r="Z171" s="89"/>
      <c r="AA171" s="88"/>
      <c r="AB171" s="88"/>
      <c r="AF171" s="90"/>
      <c r="AK171" s="91"/>
      <c r="AM171" s="92"/>
      <c r="AN171" s="92"/>
      <c r="AO171" s="92"/>
      <c r="AP171" s="92"/>
      <c r="AQ171" s="92"/>
      <c r="AR171" s="92"/>
    </row>
    <row r="172" spans="1:44" s="84" customFormat="1" ht="24" customHeight="1" x14ac:dyDescent="0.3">
      <c r="A172" s="78" t="s">
        <v>3411</v>
      </c>
      <c r="B172" s="79" t="s">
        <v>1985</v>
      </c>
      <c r="C172" s="80">
        <v>1179701</v>
      </c>
      <c r="D172" s="80">
        <v>9999999</v>
      </c>
      <c r="E172" s="80">
        <v>29482267</v>
      </c>
      <c r="F172" s="81" t="s">
        <v>3473</v>
      </c>
      <c r="G172" s="82" t="s">
        <v>3451</v>
      </c>
      <c r="H172" s="82" t="s">
        <v>3474</v>
      </c>
      <c r="I172" s="82" t="s">
        <v>3103</v>
      </c>
      <c r="J172" s="83" t="e">
        <f>VLOOKUP($C172,CHOOSE({1,2},'[4]Prestações de Conta inadimplent'!$D$9:$D$2000,'[4]Prestações de Conta inadimplent'!$C$9:$C$2000),2,0)</f>
        <v>#N/A</v>
      </c>
      <c r="L172" s="85"/>
      <c r="M172" s="85" t="e">
        <v>#REF!</v>
      </c>
      <c r="T172" s="86"/>
      <c r="U172" s="85"/>
      <c r="V172" s="85"/>
      <c r="W172" s="85"/>
      <c r="X172" s="88"/>
      <c r="Y172" s="89"/>
      <c r="Z172" s="89"/>
      <c r="AA172" s="88"/>
      <c r="AB172" s="88"/>
      <c r="AF172" s="90"/>
      <c r="AK172" s="91"/>
      <c r="AM172" s="92"/>
      <c r="AN172" s="92"/>
      <c r="AO172" s="92"/>
      <c r="AP172" s="92"/>
      <c r="AQ172" s="92"/>
      <c r="AR172" s="92"/>
    </row>
    <row r="173" spans="1:44" s="84" customFormat="1" ht="24" customHeight="1" x14ac:dyDescent="0.3">
      <c r="A173" s="102" t="s">
        <v>3411</v>
      </c>
      <c r="B173" s="99" t="s">
        <v>1985</v>
      </c>
      <c r="C173" s="103">
        <v>1111339</v>
      </c>
      <c r="D173" s="103">
        <v>1101474</v>
      </c>
      <c r="E173" s="103">
        <v>29301394</v>
      </c>
      <c r="F173" s="81" t="s">
        <v>3475</v>
      </c>
      <c r="G173" s="107" t="s">
        <v>3419</v>
      </c>
      <c r="H173" s="107" t="s">
        <v>3476</v>
      </c>
      <c r="I173" s="82" t="s">
        <v>3103</v>
      </c>
      <c r="J173" s="83" t="e">
        <f>VLOOKUP($C173,CHOOSE({1,2},'[4]Prestações de Conta inadimplent'!$D$9:$D$2000,'[4]Prestações de Conta inadimplent'!$C$9:$C$2000),2,0)</f>
        <v>#N/A</v>
      </c>
      <c r="L173" s="85"/>
      <c r="M173" s="85" t="e">
        <v>#REF!</v>
      </c>
      <c r="T173" s="86"/>
      <c r="U173" s="85"/>
      <c r="V173" s="85"/>
      <c r="W173" s="85"/>
      <c r="X173" s="88"/>
      <c r="Y173" s="89"/>
      <c r="Z173" s="89"/>
      <c r="AA173" s="88"/>
      <c r="AB173" s="88"/>
      <c r="AF173" s="90"/>
      <c r="AK173" s="91"/>
      <c r="AM173" s="92"/>
      <c r="AN173" s="92"/>
      <c r="AO173" s="92"/>
      <c r="AP173" s="92"/>
      <c r="AQ173" s="92"/>
      <c r="AR173" s="92"/>
    </row>
    <row r="174" spans="1:44" s="84" customFormat="1" ht="24" customHeight="1" x14ac:dyDescent="0.3">
      <c r="A174" s="78" t="s">
        <v>3411</v>
      </c>
      <c r="B174" s="79" t="s">
        <v>2013</v>
      </c>
      <c r="C174" s="80">
        <v>1177091</v>
      </c>
      <c r="D174" s="80">
        <v>1101687</v>
      </c>
      <c r="E174" s="80">
        <v>29424020</v>
      </c>
      <c r="F174" s="81" t="s">
        <v>2337</v>
      </c>
      <c r="G174" s="82" t="s">
        <v>3477</v>
      </c>
      <c r="H174" s="82" t="s">
        <v>3478</v>
      </c>
      <c r="I174" s="82" t="s">
        <v>3103</v>
      </c>
      <c r="J174" s="83" t="e">
        <f>VLOOKUP($C174,CHOOSE({1,2},'[4]Prestações de Conta inadimplent'!$D$9:$D$2000,'[4]Prestações de Conta inadimplent'!$C$9:$C$2000),2,0)</f>
        <v>#N/A</v>
      </c>
      <c r="L174" s="85"/>
      <c r="M174" s="85" t="e">
        <v>#REF!</v>
      </c>
      <c r="T174" s="86"/>
      <c r="U174" s="85"/>
      <c r="V174" s="87"/>
      <c r="W174" s="85"/>
      <c r="X174" s="88"/>
      <c r="Y174" s="89"/>
      <c r="Z174" s="88"/>
      <c r="AA174" s="88"/>
      <c r="AB174" s="88"/>
      <c r="AF174" s="90"/>
      <c r="AK174" s="91"/>
      <c r="AM174" s="92"/>
      <c r="AN174" s="92"/>
      <c r="AO174" s="92"/>
      <c r="AP174" s="92"/>
      <c r="AQ174" s="92"/>
      <c r="AR174" s="92"/>
    </row>
    <row r="175" spans="1:44" s="84" customFormat="1" ht="24" customHeight="1" x14ac:dyDescent="0.3">
      <c r="A175" s="78" t="s">
        <v>3411</v>
      </c>
      <c r="B175" s="79" t="s">
        <v>2013</v>
      </c>
      <c r="C175" s="80">
        <v>1176081</v>
      </c>
      <c r="D175" s="80">
        <v>1101684</v>
      </c>
      <c r="E175" s="80">
        <v>29305390</v>
      </c>
      <c r="F175" s="81" t="s">
        <v>3479</v>
      </c>
      <c r="G175" s="82" t="s">
        <v>3477</v>
      </c>
      <c r="H175" s="82" t="s">
        <v>3480</v>
      </c>
      <c r="I175" s="82" t="s">
        <v>3122</v>
      </c>
      <c r="J175" s="83" t="str">
        <f>VLOOKUP($C175,CHOOSE({1,2},'[4]Prestações de Conta inadimplent'!$D$9:$D$2000,'[4]Prestações de Conta inadimplent'!$C$9:$C$2000),2,0)</f>
        <v>Complexo Integrado De Educ Basica Profis E Tecnologica De Itabuna</v>
      </c>
      <c r="L175" s="85"/>
      <c r="M175" s="85" t="e">
        <v>#REF!</v>
      </c>
      <c r="T175" s="86"/>
      <c r="U175" s="85"/>
      <c r="V175" s="87"/>
      <c r="W175" s="85"/>
      <c r="X175" s="88"/>
      <c r="Y175" s="89"/>
      <c r="Z175" s="89"/>
      <c r="AA175" s="88"/>
      <c r="AB175" s="88"/>
      <c r="AF175" s="90"/>
      <c r="AK175" s="91"/>
      <c r="AM175" s="92"/>
      <c r="AN175" s="92"/>
      <c r="AO175" s="92"/>
      <c r="AP175" s="92"/>
      <c r="AQ175" s="92"/>
      <c r="AR175" s="92"/>
    </row>
    <row r="176" spans="1:44" s="84" customFormat="1" ht="24" customHeight="1" x14ac:dyDescent="0.3">
      <c r="A176" s="78" t="s">
        <v>3411</v>
      </c>
      <c r="B176" s="79" t="s">
        <v>2013</v>
      </c>
      <c r="C176" s="80">
        <v>1112211</v>
      </c>
      <c r="D176" s="80">
        <v>1101668</v>
      </c>
      <c r="E176" s="80">
        <v>29304237</v>
      </c>
      <c r="F176" s="81" t="s">
        <v>3481</v>
      </c>
      <c r="G176" s="82" t="s">
        <v>3477</v>
      </c>
      <c r="H176" s="82" t="s">
        <v>3482</v>
      </c>
      <c r="I176" s="82" t="s">
        <v>3103</v>
      </c>
      <c r="J176" s="83" t="e">
        <f>VLOOKUP($C176,CHOOSE({1,2},'[4]Prestações de Conta inadimplent'!$D$9:$D$2000,'[4]Prestações de Conta inadimplent'!$C$9:$C$2000),2,0)</f>
        <v>#N/A</v>
      </c>
      <c r="L176" s="85"/>
      <c r="M176" s="85" t="e">
        <v>#REF!</v>
      </c>
      <c r="T176" s="86"/>
      <c r="U176" s="85"/>
      <c r="V176" s="85"/>
      <c r="W176" s="85"/>
      <c r="X176" s="88"/>
      <c r="Y176" s="89"/>
      <c r="Z176" s="89"/>
      <c r="AA176" s="88"/>
      <c r="AB176" s="88"/>
      <c r="AF176" s="90"/>
      <c r="AK176" s="91"/>
      <c r="AM176" s="92"/>
      <c r="AN176" s="92"/>
      <c r="AO176" s="92"/>
      <c r="AP176" s="92"/>
      <c r="AQ176" s="92"/>
      <c r="AR176" s="92"/>
    </row>
    <row r="177" spans="1:44" s="84" customFormat="1" ht="24" customHeight="1" x14ac:dyDescent="0.3">
      <c r="A177" s="78" t="s">
        <v>3411</v>
      </c>
      <c r="B177" s="79" t="s">
        <v>2013</v>
      </c>
      <c r="C177" s="80">
        <v>1112149</v>
      </c>
      <c r="D177" s="80">
        <v>1101666</v>
      </c>
      <c r="E177" s="80">
        <v>29304296</v>
      </c>
      <c r="F177" s="81" t="s">
        <v>3483</v>
      </c>
      <c r="G177" s="82" t="s">
        <v>3477</v>
      </c>
      <c r="H177" s="82" t="s">
        <v>3484</v>
      </c>
      <c r="I177" s="82" t="s">
        <v>3103</v>
      </c>
      <c r="J177" s="83" t="e">
        <f>VLOOKUP($C177,CHOOSE({1,2},'[4]Prestações de Conta inadimplent'!$D$9:$D$2000,'[4]Prestações de Conta inadimplent'!$C$9:$C$2000),2,0)</f>
        <v>#N/A</v>
      </c>
      <c r="L177" s="85"/>
      <c r="M177" s="85" t="e">
        <v>#REF!</v>
      </c>
      <c r="T177" s="86"/>
      <c r="U177" s="85"/>
      <c r="V177" s="87"/>
      <c r="W177" s="85"/>
      <c r="X177" s="88"/>
      <c r="Y177" s="89"/>
      <c r="Z177" s="88"/>
      <c r="AA177" s="88"/>
      <c r="AB177" s="88"/>
      <c r="AF177" s="90"/>
      <c r="AK177" s="91"/>
      <c r="AM177" s="92"/>
      <c r="AN177" s="92"/>
      <c r="AO177" s="92"/>
      <c r="AP177" s="92"/>
      <c r="AQ177" s="92"/>
      <c r="AR177" s="92"/>
    </row>
    <row r="178" spans="1:44" s="84" customFormat="1" ht="24" customHeight="1" x14ac:dyDescent="0.3">
      <c r="A178" s="78" t="s">
        <v>3411</v>
      </c>
      <c r="B178" s="79" t="s">
        <v>2013</v>
      </c>
      <c r="C178" s="80">
        <v>1146698</v>
      </c>
      <c r="D178" s="80">
        <v>1101674</v>
      </c>
      <c r="E178" s="80">
        <v>29305373</v>
      </c>
      <c r="F178" s="81" t="s">
        <v>3485</v>
      </c>
      <c r="G178" s="82" t="s">
        <v>3477</v>
      </c>
      <c r="H178" s="82" t="s">
        <v>3486</v>
      </c>
      <c r="I178" s="82" t="s">
        <v>3103</v>
      </c>
      <c r="J178" s="83" t="e">
        <f>VLOOKUP($C178,CHOOSE({1,2},'[4]Prestações de Conta inadimplent'!$D$9:$D$2000,'[4]Prestações de Conta inadimplent'!$C$9:$C$2000),2,0)</f>
        <v>#N/A</v>
      </c>
      <c r="L178" s="85"/>
      <c r="M178" s="85" t="e">
        <v>#REF!</v>
      </c>
      <c r="T178" s="86"/>
      <c r="U178" s="85"/>
      <c r="V178" s="85"/>
      <c r="W178" s="85"/>
      <c r="X178" s="85"/>
      <c r="Y178" s="89"/>
      <c r="Z178" s="89"/>
      <c r="AA178" s="88"/>
      <c r="AB178" s="88"/>
      <c r="AF178" s="90"/>
      <c r="AK178" s="91"/>
      <c r="AM178" s="92"/>
      <c r="AN178" s="92"/>
      <c r="AO178" s="92"/>
      <c r="AP178" s="92"/>
      <c r="AQ178" s="92"/>
      <c r="AR178" s="92"/>
    </row>
    <row r="179" spans="1:44" s="84" customFormat="1" ht="24" customHeight="1" x14ac:dyDescent="0.3">
      <c r="A179" s="78" t="s">
        <v>3411</v>
      </c>
      <c r="B179" s="79" t="s">
        <v>2013</v>
      </c>
      <c r="C179" s="80">
        <v>1112092</v>
      </c>
      <c r="D179" s="80">
        <v>1101662</v>
      </c>
      <c r="E179" s="80">
        <v>29304377</v>
      </c>
      <c r="F179" s="81" t="s">
        <v>3487</v>
      </c>
      <c r="G179" s="82" t="s">
        <v>3488</v>
      </c>
      <c r="H179" s="82" t="s">
        <v>3489</v>
      </c>
      <c r="I179" s="82" t="s">
        <v>3103</v>
      </c>
      <c r="J179" s="83" t="e">
        <f>VLOOKUP($C179,CHOOSE({1,2},'[4]Prestações de Conta inadimplent'!$D$9:$D$2000,'[4]Prestações de Conta inadimplent'!$C$9:$C$2000),2,0)</f>
        <v>#N/A</v>
      </c>
      <c r="L179" s="85"/>
      <c r="M179" s="85" t="e">
        <v>#REF!</v>
      </c>
      <c r="T179" s="86"/>
      <c r="U179" s="85"/>
      <c r="V179" s="87"/>
      <c r="W179" s="85"/>
      <c r="X179" s="88"/>
      <c r="Y179" s="89"/>
      <c r="Z179" s="89"/>
      <c r="AA179" s="88"/>
      <c r="AB179" s="88"/>
      <c r="AF179" s="90"/>
      <c r="AK179" s="91"/>
      <c r="AM179" s="92"/>
      <c r="AN179" s="92"/>
      <c r="AO179" s="92"/>
      <c r="AP179" s="92"/>
      <c r="AQ179" s="92"/>
      <c r="AR179" s="92"/>
    </row>
    <row r="180" spans="1:44" s="84" customFormat="1" ht="24" customHeight="1" x14ac:dyDescent="0.3">
      <c r="A180" s="78" t="s">
        <v>3411</v>
      </c>
      <c r="B180" s="79" t="s">
        <v>2013</v>
      </c>
      <c r="C180" s="80">
        <v>1112009</v>
      </c>
      <c r="D180" s="80">
        <v>1101658</v>
      </c>
      <c r="E180" s="80">
        <v>29306230</v>
      </c>
      <c r="F180" s="81" t="s">
        <v>3490</v>
      </c>
      <c r="G180" s="82" t="s">
        <v>3477</v>
      </c>
      <c r="H180" s="82" t="s">
        <v>3491</v>
      </c>
      <c r="I180" s="82" t="s">
        <v>3122</v>
      </c>
      <c r="J180" s="83" t="str">
        <f>VLOOKUP($C180,CHOOSE({1,2},'[4]Prestações de Conta inadimplent'!$D$9:$D$2000,'[4]Prestações de Conta inadimplent'!$C$9:$C$2000),2,0)</f>
        <v>Colegio Estadual Adonias Filho</v>
      </c>
      <c r="K180" s="95"/>
      <c r="L180" s="85"/>
      <c r="M180" s="85" t="e">
        <v>#REF!</v>
      </c>
      <c r="T180" s="86"/>
      <c r="U180" s="85"/>
      <c r="V180" s="87"/>
      <c r="W180" s="85"/>
      <c r="X180" s="88"/>
      <c r="Y180" s="89"/>
      <c r="Z180" s="88"/>
      <c r="AA180" s="88"/>
      <c r="AB180" s="88"/>
      <c r="AF180" s="90"/>
      <c r="AK180" s="91"/>
      <c r="AM180" s="92"/>
      <c r="AN180" s="92"/>
      <c r="AO180" s="92"/>
      <c r="AP180" s="92"/>
      <c r="AQ180" s="92"/>
      <c r="AR180" s="92"/>
    </row>
    <row r="181" spans="1:44" s="84" customFormat="1" ht="24" customHeight="1" x14ac:dyDescent="0.3">
      <c r="A181" s="78" t="s">
        <v>3411</v>
      </c>
      <c r="B181" s="79" t="s">
        <v>2013</v>
      </c>
      <c r="C181" s="80">
        <v>1111940</v>
      </c>
      <c r="D181" s="80">
        <v>1101656</v>
      </c>
      <c r="E181" s="80">
        <v>29306264</v>
      </c>
      <c r="F181" s="81" t="s">
        <v>3492</v>
      </c>
      <c r="G181" s="82" t="s">
        <v>3477</v>
      </c>
      <c r="H181" s="82" t="s">
        <v>3493</v>
      </c>
      <c r="I181" s="82" t="s">
        <v>3122</v>
      </c>
      <c r="J181" s="83" t="str">
        <f>VLOOKUP($C181,CHOOSE({1,2},'[4]Prestações de Conta inadimplent'!$D$9:$D$2000,'[4]Prestações de Conta inadimplent'!$C$9:$C$2000),2,0)</f>
        <v>Colegio Estadual Inacio Tosta Filho</v>
      </c>
      <c r="L181" s="85"/>
      <c r="M181" s="85" t="e">
        <v>#REF!</v>
      </c>
      <c r="T181" s="86"/>
      <c r="U181" s="85"/>
      <c r="V181" s="87"/>
      <c r="W181" s="85"/>
      <c r="X181" s="88"/>
      <c r="Y181" s="89"/>
      <c r="Z181" s="89"/>
      <c r="AA181" s="88"/>
      <c r="AB181" s="88"/>
      <c r="AF181" s="90"/>
      <c r="AK181" s="91"/>
      <c r="AM181" s="92"/>
      <c r="AN181" s="92"/>
      <c r="AO181" s="92"/>
      <c r="AP181" s="92"/>
      <c r="AQ181" s="92"/>
      <c r="AR181" s="92"/>
    </row>
    <row r="182" spans="1:44" s="84" customFormat="1" ht="24" customHeight="1" x14ac:dyDescent="0.3">
      <c r="A182" s="78" t="s">
        <v>3411</v>
      </c>
      <c r="B182" s="79" t="s">
        <v>2013</v>
      </c>
      <c r="C182" s="80">
        <v>1112084</v>
      </c>
      <c r="D182" s="80">
        <v>1101660</v>
      </c>
      <c r="E182" s="80">
        <v>29304776</v>
      </c>
      <c r="F182" s="81" t="s">
        <v>3494</v>
      </c>
      <c r="G182" s="82" t="s">
        <v>3477</v>
      </c>
      <c r="H182" s="82" t="s">
        <v>3495</v>
      </c>
      <c r="I182" s="82" t="s">
        <v>3103</v>
      </c>
      <c r="J182" s="83" t="e">
        <f>VLOOKUP($C182,CHOOSE({1,2},'[4]Prestações de Conta inadimplent'!$D$9:$D$2000,'[4]Prestações de Conta inadimplent'!$C$9:$C$2000),2,0)</f>
        <v>#N/A</v>
      </c>
      <c r="L182" s="85"/>
      <c r="M182" s="85" t="e">
        <v>#REF!</v>
      </c>
      <c r="T182" s="86"/>
      <c r="U182" s="85"/>
      <c r="V182" s="87"/>
      <c r="W182" s="85"/>
      <c r="X182" s="88"/>
      <c r="Y182" s="89"/>
      <c r="Z182" s="89"/>
      <c r="AA182" s="88"/>
      <c r="AB182" s="88"/>
      <c r="AF182" s="90"/>
      <c r="AH182" s="85"/>
      <c r="AK182" s="91"/>
      <c r="AM182" s="92"/>
      <c r="AN182" s="92"/>
      <c r="AO182" s="92"/>
      <c r="AP182" s="92"/>
      <c r="AQ182" s="92"/>
      <c r="AR182" s="92"/>
    </row>
    <row r="183" spans="1:44" s="84" customFormat="1" ht="24" customHeight="1" x14ac:dyDescent="0.3">
      <c r="A183" s="104" t="s">
        <v>3411</v>
      </c>
      <c r="B183" s="97" t="s">
        <v>2013</v>
      </c>
      <c r="C183" s="108">
        <v>1111738</v>
      </c>
      <c r="D183" s="108">
        <v>1101641</v>
      </c>
      <c r="E183" s="108">
        <v>29306205</v>
      </c>
      <c r="F183" s="81" t="s">
        <v>3496</v>
      </c>
      <c r="G183" s="82" t="s">
        <v>3477</v>
      </c>
      <c r="H183" s="82" t="s">
        <v>3497</v>
      </c>
      <c r="I183" s="82" t="s">
        <v>3103</v>
      </c>
      <c r="J183" s="83" t="e">
        <f>VLOOKUP($C183,CHOOSE({1,2},'[4]Prestações de Conta inadimplent'!$D$9:$D$2000,'[4]Prestações de Conta inadimplent'!$C$9:$C$2000),2,0)</f>
        <v>#N/A</v>
      </c>
      <c r="L183" s="85"/>
      <c r="M183" s="85" t="e">
        <v>#REF!</v>
      </c>
      <c r="T183" s="86"/>
      <c r="U183" s="85"/>
      <c r="V183" s="87"/>
      <c r="W183" s="85"/>
      <c r="X183" s="88"/>
      <c r="Y183" s="89"/>
      <c r="Z183" s="89"/>
      <c r="AA183" s="88"/>
      <c r="AB183" s="88"/>
      <c r="AF183" s="90"/>
      <c r="AK183" s="91"/>
      <c r="AM183" s="92"/>
      <c r="AN183" s="92"/>
      <c r="AO183" s="92"/>
      <c r="AP183" s="92"/>
      <c r="AQ183" s="92"/>
      <c r="AR183" s="92"/>
    </row>
    <row r="184" spans="1:44" s="84" customFormat="1" ht="24" customHeight="1" x14ac:dyDescent="0.3">
      <c r="A184" s="78" t="s">
        <v>3411</v>
      </c>
      <c r="B184" s="79" t="s">
        <v>2034</v>
      </c>
      <c r="C184" s="80">
        <v>1178751</v>
      </c>
      <c r="D184" s="80">
        <v>1105605</v>
      </c>
      <c r="E184" s="80">
        <v>29449219</v>
      </c>
      <c r="F184" s="81" t="s">
        <v>3498</v>
      </c>
      <c r="G184" s="82" t="s">
        <v>3499</v>
      </c>
      <c r="H184" s="82" t="s">
        <v>3500</v>
      </c>
      <c r="I184" s="82" t="s">
        <v>3122</v>
      </c>
      <c r="J184" s="83" t="str">
        <f>VLOOKUP($C184,CHOOSE({1,2},'[4]Prestações de Conta inadimplent'!$D$9:$D$2000,'[4]Prestações de Conta inadimplent'!$C$9:$C$2000),2,0)</f>
        <v>Colegio Estadual Do Campo Professora Lucia Maria Batista Da Silva</v>
      </c>
      <c r="L184" s="85"/>
      <c r="M184" s="85" t="e">
        <v>#REF!</v>
      </c>
      <c r="T184" s="86"/>
      <c r="U184" s="85"/>
      <c r="V184" s="87"/>
      <c r="W184" s="85"/>
      <c r="X184" s="88"/>
      <c r="Y184" s="89"/>
      <c r="Z184" s="89"/>
      <c r="AA184" s="88"/>
      <c r="AB184" s="88"/>
      <c r="AF184" s="90"/>
      <c r="AK184" s="91"/>
      <c r="AM184" s="92"/>
      <c r="AN184" s="92"/>
      <c r="AO184" s="92"/>
      <c r="AP184" s="92"/>
      <c r="AQ184" s="92"/>
      <c r="AR184" s="92"/>
    </row>
    <row r="185" spans="1:44" s="84" customFormat="1" ht="24" customHeight="1" x14ac:dyDescent="0.3">
      <c r="A185" s="78" t="s">
        <v>3411</v>
      </c>
      <c r="B185" s="79" t="s">
        <v>2034</v>
      </c>
      <c r="C185" s="80">
        <v>1111347</v>
      </c>
      <c r="D185" s="80">
        <v>1101504</v>
      </c>
      <c r="E185" s="80">
        <v>29306760</v>
      </c>
      <c r="F185" s="81" t="s">
        <v>3501</v>
      </c>
      <c r="G185" s="82" t="s">
        <v>3499</v>
      </c>
      <c r="H185" s="82" t="s">
        <v>3502</v>
      </c>
      <c r="I185" s="82" t="s">
        <v>3122</v>
      </c>
      <c r="J185" s="83" t="str">
        <f>VLOOKUP($C185,CHOOSE({1,2},'[4]Prestações de Conta inadimplent'!$D$9:$D$2000,'[4]Prestações de Conta inadimplent'!$C$9:$C$2000),2,0)</f>
        <v>Colegio Estadual Aurelino Leal</v>
      </c>
      <c r="L185" s="85"/>
      <c r="M185" s="85" t="e">
        <v>#REF!</v>
      </c>
      <c r="T185" s="86"/>
      <c r="U185" s="85"/>
      <c r="V185" s="87"/>
      <c r="W185" s="85"/>
      <c r="X185" s="88"/>
      <c r="Y185" s="89"/>
      <c r="Z185" s="89"/>
      <c r="AA185" s="88"/>
      <c r="AB185" s="88"/>
      <c r="AF185" s="90"/>
      <c r="AK185" s="91"/>
      <c r="AM185" s="92"/>
      <c r="AN185" s="92"/>
      <c r="AO185" s="92"/>
      <c r="AP185" s="92"/>
      <c r="AQ185" s="92"/>
      <c r="AR185" s="92"/>
    </row>
    <row r="186" spans="1:44" s="84" customFormat="1" ht="24" customHeight="1" x14ac:dyDescent="0.3">
      <c r="A186" s="78" t="s">
        <v>3411</v>
      </c>
      <c r="B186" s="79" t="s">
        <v>2042</v>
      </c>
      <c r="C186" s="80">
        <v>1112262</v>
      </c>
      <c r="D186" s="80">
        <v>1101689</v>
      </c>
      <c r="E186" s="80">
        <v>29308046</v>
      </c>
      <c r="F186" s="81" t="s">
        <v>3503</v>
      </c>
      <c r="G186" s="82" t="s">
        <v>3488</v>
      </c>
      <c r="H186" s="82" t="s">
        <v>3504</v>
      </c>
      <c r="I186" s="82" t="s">
        <v>3103</v>
      </c>
      <c r="J186" s="83" t="e">
        <f>VLOOKUP($C186,CHOOSE({1,2},'[4]Prestações de Conta inadimplent'!$D$9:$D$2000,'[4]Prestações de Conta inadimplent'!$C$9:$C$2000),2,0)</f>
        <v>#N/A</v>
      </c>
      <c r="L186" s="85"/>
      <c r="M186" s="85" t="e">
        <v>#REF!</v>
      </c>
      <c r="T186" s="86"/>
      <c r="U186" s="85"/>
      <c r="V186" s="87"/>
      <c r="W186" s="85"/>
      <c r="X186" s="88"/>
      <c r="Y186" s="89"/>
      <c r="Z186" s="88"/>
      <c r="AA186" s="88"/>
      <c r="AB186" s="88"/>
      <c r="AF186" s="90"/>
      <c r="AK186" s="91"/>
      <c r="AM186" s="92"/>
      <c r="AN186" s="92"/>
      <c r="AO186" s="92"/>
      <c r="AP186" s="92"/>
      <c r="AQ186" s="92"/>
      <c r="AR186" s="92"/>
    </row>
    <row r="187" spans="1:44" s="84" customFormat="1" ht="24" customHeight="1" x14ac:dyDescent="0.3">
      <c r="A187" s="78" t="s">
        <v>3411</v>
      </c>
      <c r="B187" s="79" t="s">
        <v>2046</v>
      </c>
      <c r="C187" s="80">
        <v>1112408</v>
      </c>
      <c r="D187" s="80">
        <v>1101694</v>
      </c>
      <c r="E187" s="80">
        <v>29308747</v>
      </c>
      <c r="F187" s="81" t="s">
        <v>3505</v>
      </c>
      <c r="G187" s="82" t="s">
        <v>3506</v>
      </c>
      <c r="H187" s="82" t="s">
        <v>3507</v>
      </c>
      <c r="I187" s="82" t="s">
        <v>3103</v>
      </c>
      <c r="J187" s="83" t="e">
        <f>VLOOKUP($C187,CHOOSE({1,2},'[4]Prestações de Conta inadimplent'!$D$9:$D$2000,'[4]Prestações de Conta inadimplent'!$C$9:$C$2000),2,0)</f>
        <v>#N/A</v>
      </c>
      <c r="L187" s="85"/>
      <c r="M187" s="85" t="e">
        <v>#REF!</v>
      </c>
      <c r="T187" s="86"/>
      <c r="U187" s="85"/>
      <c r="V187" s="87"/>
      <c r="W187" s="85"/>
      <c r="X187" s="88"/>
      <c r="Y187" s="89"/>
      <c r="Z187" s="89"/>
      <c r="AA187" s="88"/>
      <c r="AB187" s="88"/>
      <c r="AF187" s="90"/>
      <c r="AK187" s="91"/>
      <c r="AM187" s="92"/>
      <c r="AN187" s="92"/>
      <c r="AO187" s="92"/>
      <c r="AP187" s="92"/>
      <c r="AQ187" s="92"/>
      <c r="AR187" s="92"/>
    </row>
    <row r="188" spans="1:44" s="84" customFormat="1" ht="24" customHeight="1" x14ac:dyDescent="0.3">
      <c r="A188" s="78" t="s">
        <v>3411</v>
      </c>
      <c r="B188" s="79" t="s">
        <v>2054</v>
      </c>
      <c r="C188" s="80">
        <v>1158688</v>
      </c>
      <c r="D188" s="80">
        <v>1101698</v>
      </c>
      <c r="E188" s="80">
        <v>29309425</v>
      </c>
      <c r="F188" s="81" t="s">
        <v>2055</v>
      </c>
      <c r="G188" s="82" t="s">
        <v>3424</v>
      </c>
      <c r="H188" s="82" t="s">
        <v>3508</v>
      </c>
      <c r="I188" s="82" t="s">
        <v>3103</v>
      </c>
      <c r="J188" s="83" t="e">
        <f>VLOOKUP($C188,CHOOSE({1,2},'[4]Prestações de Conta inadimplent'!$D$9:$D$2000,'[4]Prestações de Conta inadimplent'!$C$9:$C$2000),2,0)</f>
        <v>#N/A</v>
      </c>
      <c r="L188" s="85"/>
      <c r="M188" s="85" t="e">
        <v>#REF!</v>
      </c>
      <c r="T188" s="86"/>
      <c r="U188" s="85"/>
      <c r="V188" s="87"/>
      <c r="W188" s="85"/>
      <c r="X188" s="88"/>
      <c r="Y188" s="89"/>
      <c r="Z188" s="89"/>
      <c r="AA188" s="88"/>
      <c r="AB188" s="88"/>
      <c r="AF188" s="90"/>
      <c r="AK188" s="91"/>
      <c r="AM188" s="92"/>
      <c r="AN188" s="92"/>
      <c r="AO188" s="92"/>
      <c r="AP188" s="92"/>
      <c r="AQ188" s="92"/>
      <c r="AR188" s="92"/>
    </row>
    <row r="189" spans="1:44" s="84" customFormat="1" ht="24" customHeight="1" x14ac:dyDescent="0.3">
      <c r="A189" s="78" t="s">
        <v>3411</v>
      </c>
      <c r="B189" s="79" t="s">
        <v>3509</v>
      </c>
      <c r="C189" s="80">
        <v>1112602</v>
      </c>
      <c r="D189" s="80">
        <v>1101703</v>
      </c>
      <c r="E189" s="80">
        <v>29310512</v>
      </c>
      <c r="F189" s="81" t="s">
        <v>3510</v>
      </c>
      <c r="G189" s="82" t="s">
        <v>3511</v>
      </c>
      <c r="H189" s="82" t="s">
        <v>3512</v>
      </c>
      <c r="I189" s="82" t="s">
        <v>3103</v>
      </c>
      <c r="J189" s="83" t="e">
        <f>VLOOKUP($C189,CHOOSE({1,2},'[4]Prestações de Conta inadimplent'!$D$9:$D$2000,'[4]Prestações de Conta inadimplent'!$C$9:$C$2000),2,0)</f>
        <v>#N/A</v>
      </c>
      <c r="L189" s="85"/>
      <c r="M189" s="85" t="e">
        <v>#REF!</v>
      </c>
      <c r="T189" s="86"/>
      <c r="U189" s="85"/>
      <c r="V189" s="87"/>
      <c r="W189" s="85"/>
      <c r="X189" s="88"/>
      <c r="Y189" s="89"/>
      <c r="Z189" s="89"/>
      <c r="AA189" s="88"/>
      <c r="AB189" s="88"/>
      <c r="AF189" s="90"/>
      <c r="AH189" s="85"/>
      <c r="AK189" s="91"/>
      <c r="AM189" s="92"/>
      <c r="AN189" s="92"/>
      <c r="AO189" s="92"/>
      <c r="AP189" s="92"/>
      <c r="AQ189" s="92"/>
      <c r="AR189" s="92"/>
    </row>
    <row r="190" spans="1:44" s="84" customFormat="1" ht="24" customHeight="1" x14ac:dyDescent="0.3">
      <c r="A190" s="78" t="s">
        <v>3411</v>
      </c>
      <c r="B190" s="79" t="s">
        <v>2062</v>
      </c>
      <c r="C190" s="80">
        <v>1159277</v>
      </c>
      <c r="D190" s="80">
        <v>1101704</v>
      </c>
      <c r="E190" s="80">
        <v>29310660</v>
      </c>
      <c r="F190" s="81" t="s">
        <v>3513</v>
      </c>
      <c r="G190" s="82" t="s">
        <v>3477</v>
      </c>
      <c r="H190" s="82" t="s">
        <v>3514</v>
      </c>
      <c r="I190" s="82" t="s">
        <v>3122</v>
      </c>
      <c r="J190" s="83" t="str">
        <f>VLOOKUP($C190,CHOOSE({1,2},'[4]Prestações de Conta inadimplent'!$D$9:$D$2000,'[4]Prestações de Conta inadimplent'!$C$9:$C$2000),2,0)</f>
        <v>Colegio Estadual Amelia Amado</v>
      </c>
      <c r="L190" s="85"/>
      <c r="M190" s="85" t="e">
        <v>#REF!</v>
      </c>
      <c r="T190" s="86"/>
      <c r="U190" s="85"/>
      <c r="V190" s="87"/>
      <c r="W190" s="85"/>
      <c r="X190" s="88"/>
      <c r="Y190" s="89"/>
      <c r="Z190" s="89"/>
      <c r="AA190" s="88"/>
      <c r="AB190" s="88"/>
      <c r="AF190" s="90"/>
      <c r="AK190" s="91"/>
      <c r="AM190" s="92"/>
      <c r="AN190" s="92"/>
      <c r="AO190" s="92"/>
      <c r="AP190" s="92"/>
      <c r="AQ190" s="92"/>
      <c r="AR190" s="92"/>
    </row>
    <row r="191" spans="1:44" s="84" customFormat="1" ht="24" customHeight="1" x14ac:dyDescent="0.3">
      <c r="A191" s="78" t="s">
        <v>3411</v>
      </c>
      <c r="B191" s="79" t="s">
        <v>1907</v>
      </c>
      <c r="C191" s="80">
        <v>1159641</v>
      </c>
      <c r="D191" s="80">
        <v>1101507</v>
      </c>
      <c r="E191" s="80">
        <v>29288150</v>
      </c>
      <c r="F191" s="81" t="s">
        <v>3515</v>
      </c>
      <c r="G191" s="82" t="s">
        <v>3421</v>
      </c>
      <c r="H191" s="82" t="s">
        <v>3516</v>
      </c>
      <c r="I191" s="82" t="s">
        <v>3122</v>
      </c>
      <c r="J191" s="83" t="str">
        <f>VLOOKUP($C191,CHOOSE({1,2},'[4]Prestações de Conta inadimplent'!$D$9:$D$2000,'[4]Prestações de Conta inadimplent'!$C$9:$C$2000),2,0)</f>
        <v>Colegio Estadual Do Campo Clemente Mariani</v>
      </c>
      <c r="L191" s="85"/>
      <c r="M191" s="85" t="e">
        <v>#REF!</v>
      </c>
      <c r="T191" s="86"/>
      <c r="U191" s="85"/>
      <c r="V191" s="87"/>
      <c r="W191" s="85"/>
      <c r="X191" s="88"/>
      <c r="Y191" s="89"/>
      <c r="Z191" s="89"/>
      <c r="AA191" s="88"/>
      <c r="AB191" s="88"/>
      <c r="AF191" s="90"/>
      <c r="AK191" s="91"/>
      <c r="AM191" s="92"/>
      <c r="AN191" s="92"/>
      <c r="AO191" s="92"/>
      <c r="AP191" s="92"/>
      <c r="AQ191" s="92"/>
      <c r="AR191" s="92"/>
    </row>
    <row r="192" spans="1:44" s="84" customFormat="1" ht="24" customHeight="1" x14ac:dyDescent="0.3">
      <c r="A192" s="78" t="s">
        <v>3411</v>
      </c>
      <c r="B192" s="79" t="s">
        <v>1907</v>
      </c>
      <c r="C192" s="80">
        <v>1179678</v>
      </c>
      <c r="D192" s="80">
        <v>9999999</v>
      </c>
      <c r="E192" s="80">
        <v>29477492</v>
      </c>
      <c r="F192" s="81" t="s">
        <v>3517</v>
      </c>
      <c r="G192" s="82" t="s">
        <v>3421</v>
      </c>
      <c r="H192" s="82" t="s">
        <v>3518</v>
      </c>
      <c r="I192" s="82" t="s">
        <v>3103</v>
      </c>
      <c r="J192" s="83" t="e">
        <f>VLOOKUP($C192,CHOOSE({1,2},'[4]Prestações de Conta inadimplent'!$D$9:$D$2000,'[4]Prestações de Conta inadimplent'!$C$9:$C$2000),2,0)</f>
        <v>#N/A</v>
      </c>
      <c r="L192" s="85"/>
      <c r="M192" s="85" t="e">
        <v>#REF!</v>
      </c>
      <c r="T192" s="86"/>
      <c r="U192" s="85"/>
      <c r="V192" s="87"/>
      <c r="W192" s="85"/>
      <c r="X192" s="88"/>
      <c r="Y192" s="89"/>
      <c r="Z192" s="89"/>
      <c r="AA192" s="88"/>
      <c r="AB192" s="88"/>
      <c r="AF192" s="90"/>
      <c r="AK192" s="91"/>
      <c r="AM192" s="92"/>
      <c r="AN192" s="92"/>
      <c r="AO192" s="92"/>
      <c r="AP192" s="92"/>
      <c r="AQ192" s="92"/>
      <c r="AR192" s="92"/>
    </row>
    <row r="193" spans="1:44" s="84" customFormat="1" ht="24" customHeight="1" x14ac:dyDescent="0.3">
      <c r="A193" s="78" t="s">
        <v>3411</v>
      </c>
      <c r="B193" s="79" t="s">
        <v>1907</v>
      </c>
      <c r="C193" s="80">
        <v>1159668</v>
      </c>
      <c r="D193" s="80">
        <v>1101509</v>
      </c>
      <c r="E193" s="80">
        <v>29288142</v>
      </c>
      <c r="F193" s="81" t="s">
        <v>3519</v>
      </c>
      <c r="G193" s="82" t="s">
        <v>3499</v>
      </c>
      <c r="H193" s="82" t="s">
        <v>3520</v>
      </c>
      <c r="I193" s="82" t="s">
        <v>3122</v>
      </c>
      <c r="J193" s="83" t="str">
        <f>VLOOKUP($C193,CHOOSE({1,2},'[4]Prestações de Conta inadimplent'!$D$9:$D$2000,'[4]Prestações de Conta inadimplent'!$C$9:$C$2000),2,0)</f>
        <v>Centro Territorial De Educacao Profissional Do Litoral Sul</v>
      </c>
      <c r="L193" s="85"/>
      <c r="M193" s="85" t="e">
        <v>#REF!</v>
      </c>
      <c r="T193" s="86"/>
      <c r="U193" s="85"/>
      <c r="V193" s="87"/>
      <c r="W193" s="85"/>
      <c r="X193" s="88"/>
      <c r="Y193" s="89"/>
      <c r="Z193" s="89"/>
      <c r="AA193" s="88"/>
      <c r="AB193" s="88"/>
      <c r="AF193" s="90"/>
      <c r="AK193" s="91"/>
      <c r="AM193" s="92"/>
      <c r="AN193" s="92"/>
      <c r="AO193" s="92"/>
      <c r="AP193" s="92"/>
      <c r="AQ193" s="92"/>
      <c r="AR193" s="92"/>
    </row>
    <row r="194" spans="1:44" s="84" customFormat="1" ht="24" customHeight="1" x14ac:dyDescent="0.3">
      <c r="A194" s="78" t="s">
        <v>3411</v>
      </c>
      <c r="B194" s="79" t="s">
        <v>2066</v>
      </c>
      <c r="C194" s="80">
        <v>1159617</v>
      </c>
      <c r="D194" s="80">
        <v>1101511</v>
      </c>
      <c r="E194" s="80">
        <v>29311500</v>
      </c>
      <c r="F194" s="81" t="s">
        <v>3521</v>
      </c>
      <c r="G194" s="82" t="s">
        <v>3419</v>
      </c>
      <c r="H194" s="82" t="s">
        <v>3522</v>
      </c>
      <c r="I194" s="82" t="s">
        <v>3103</v>
      </c>
      <c r="J194" s="83" t="e">
        <f>VLOOKUP($C194,CHOOSE({1,2},'[4]Prestações de Conta inadimplent'!$D$9:$D$2000,'[4]Prestações de Conta inadimplent'!$C$9:$C$2000),2,0)</f>
        <v>#N/A</v>
      </c>
      <c r="L194" s="85"/>
      <c r="M194" s="85" t="e">
        <v>#REF!</v>
      </c>
      <c r="T194" s="86"/>
      <c r="U194" s="85"/>
      <c r="V194" s="87"/>
      <c r="W194" s="85"/>
      <c r="X194" s="88"/>
      <c r="Y194" s="89"/>
      <c r="Z194" s="88"/>
      <c r="AA194" s="88"/>
      <c r="AB194" s="88"/>
      <c r="AF194" s="90"/>
      <c r="AK194" s="91"/>
      <c r="AL194" s="80"/>
      <c r="AM194" s="92"/>
      <c r="AN194" s="92"/>
      <c r="AO194" s="92"/>
      <c r="AP194" s="92"/>
      <c r="AQ194" s="92"/>
      <c r="AR194" s="92"/>
    </row>
    <row r="195" spans="1:44" s="84" customFormat="1" ht="24" customHeight="1" x14ac:dyDescent="0.3">
      <c r="A195" s="78" t="s">
        <v>3411</v>
      </c>
      <c r="B195" s="79" t="s">
        <v>2066</v>
      </c>
      <c r="C195" s="80">
        <v>1159587</v>
      </c>
      <c r="D195" s="80">
        <v>1101510</v>
      </c>
      <c r="E195" s="80">
        <v>29311497</v>
      </c>
      <c r="F195" s="81" t="s">
        <v>3523</v>
      </c>
      <c r="G195" s="82" t="s">
        <v>3419</v>
      </c>
      <c r="H195" s="82" t="s">
        <v>3524</v>
      </c>
      <c r="I195" s="82" t="s">
        <v>3122</v>
      </c>
      <c r="J195" s="83" t="str">
        <f>VLOOKUP($C195,CHOOSE({1,2},'[4]Prestações de Conta inadimplent'!$D$9:$D$2000,'[4]Prestações de Conta inadimplent'!$C$9:$C$2000),2,0)</f>
        <v>Colegio Estadual Carolina Severiano Ribeiro</v>
      </c>
      <c r="L195" s="85"/>
      <c r="M195" s="85" t="e">
        <v>#REF!</v>
      </c>
      <c r="T195" s="86"/>
      <c r="U195" s="85"/>
      <c r="V195" s="87"/>
      <c r="W195" s="85"/>
      <c r="X195" s="88"/>
      <c r="Y195" s="89"/>
      <c r="Z195" s="89"/>
      <c r="AA195" s="88"/>
      <c r="AB195" s="88"/>
      <c r="AF195" s="90"/>
      <c r="AH195" s="85"/>
      <c r="AK195" s="91"/>
      <c r="AM195" s="92"/>
      <c r="AN195" s="92"/>
      <c r="AO195" s="92"/>
      <c r="AP195" s="92"/>
      <c r="AQ195" s="92"/>
      <c r="AR195" s="92"/>
    </row>
    <row r="196" spans="1:44" s="84" customFormat="1" ht="24" customHeight="1" x14ac:dyDescent="0.3">
      <c r="A196" s="78" t="s">
        <v>3411</v>
      </c>
      <c r="B196" s="79" t="s">
        <v>2428</v>
      </c>
      <c r="C196" s="80">
        <v>1177011</v>
      </c>
      <c r="D196" s="80">
        <v>1101708</v>
      </c>
      <c r="E196" s="80">
        <v>29407044</v>
      </c>
      <c r="F196" s="81" t="s">
        <v>3525</v>
      </c>
      <c r="G196" s="82" t="s">
        <v>3416</v>
      </c>
      <c r="H196" s="82" t="s">
        <v>3526</v>
      </c>
      <c r="I196" s="82" t="s">
        <v>3122</v>
      </c>
      <c r="J196" s="83" t="str">
        <f>VLOOKUP($C196,CHOOSE({1,2},'[4]Prestações de Conta inadimplent'!$D$9:$D$2000,'[4]Prestações de Conta inadimplent'!$C$9:$C$2000),2,0)</f>
        <v>Colegio Estadual Da Aldeia Indigena Caramuru Paraguacu</v>
      </c>
      <c r="L196" s="85"/>
      <c r="M196" s="85" t="e">
        <v>#REF!</v>
      </c>
      <c r="T196" s="86"/>
      <c r="U196" s="85"/>
      <c r="V196" s="87"/>
      <c r="W196" s="85"/>
      <c r="X196" s="88"/>
      <c r="Y196" s="89"/>
      <c r="Z196" s="89"/>
      <c r="AA196" s="88"/>
      <c r="AB196" s="88"/>
      <c r="AF196" s="90"/>
      <c r="AH196" s="85"/>
      <c r="AK196" s="91"/>
      <c r="AM196" s="92"/>
      <c r="AN196" s="92"/>
      <c r="AO196" s="92"/>
      <c r="AP196" s="92"/>
      <c r="AQ196" s="92"/>
      <c r="AR196" s="92"/>
    </row>
    <row r="197" spans="1:44" s="84" customFormat="1" ht="24" customHeight="1" x14ac:dyDescent="0.3">
      <c r="A197" s="78" t="s">
        <v>3411</v>
      </c>
      <c r="B197" s="79" t="s">
        <v>2428</v>
      </c>
      <c r="C197" s="80">
        <v>1177077</v>
      </c>
      <c r="D197" s="80">
        <v>1101709</v>
      </c>
      <c r="E197" s="80">
        <v>29406897</v>
      </c>
      <c r="F197" s="81" t="s">
        <v>3527</v>
      </c>
      <c r="G197" s="82" t="s">
        <v>3416</v>
      </c>
      <c r="H197" s="82" t="s">
        <v>3528</v>
      </c>
      <c r="I197" s="82" t="s">
        <v>3122</v>
      </c>
      <c r="J197" s="83" t="str">
        <f>VLOOKUP($C197,CHOOSE({1,2},'[4]Prestações de Conta inadimplent'!$D$9:$D$2000,'[4]Prestações de Conta inadimplent'!$C$9:$C$2000),2,0)</f>
        <v>Colegio Estadual Gerson De Souza Melo Pataxo</v>
      </c>
      <c r="K197" s="85"/>
      <c r="L197" s="85"/>
      <c r="M197" s="85" t="e">
        <v>#REF!</v>
      </c>
      <c r="T197" s="86"/>
      <c r="U197" s="85"/>
      <c r="V197" s="87"/>
      <c r="W197" s="85"/>
      <c r="X197" s="88"/>
      <c r="Y197" s="89"/>
      <c r="Z197" s="88"/>
      <c r="AA197" s="88"/>
      <c r="AB197" s="88"/>
      <c r="AF197" s="90"/>
      <c r="AK197" s="91"/>
      <c r="AM197" s="92"/>
      <c r="AN197" s="92"/>
      <c r="AO197" s="92"/>
      <c r="AP197" s="92"/>
      <c r="AQ197" s="92"/>
      <c r="AR197" s="92"/>
    </row>
    <row r="198" spans="1:44" s="84" customFormat="1" ht="24" customHeight="1" x14ac:dyDescent="0.3">
      <c r="A198" s="78" t="s">
        <v>3411</v>
      </c>
      <c r="B198" s="79" t="s">
        <v>2421</v>
      </c>
      <c r="C198" s="80">
        <v>1177004</v>
      </c>
      <c r="D198" s="80">
        <v>1101517</v>
      </c>
      <c r="E198" s="80">
        <v>29406668</v>
      </c>
      <c r="F198" s="81" t="s">
        <v>2422</v>
      </c>
      <c r="G198" s="82" t="s">
        <v>3419</v>
      </c>
      <c r="H198" s="82" t="s">
        <v>3529</v>
      </c>
      <c r="I198" s="82" t="s">
        <v>3122</v>
      </c>
      <c r="J198" s="83" t="str">
        <f>VLOOKUP($C198,CHOOSE({1,2},'[4]Prestações de Conta inadimplent'!$D$9:$D$2000,'[4]Prestações de Conta inadimplent'!$C$9:$C$2000),2,0)</f>
        <v>Colegio Estadual Jorge Amado</v>
      </c>
      <c r="L198" s="85"/>
      <c r="M198" s="85" t="e">
        <v>#REF!</v>
      </c>
      <c r="T198" s="86"/>
      <c r="U198" s="85"/>
      <c r="V198" s="87"/>
      <c r="W198" s="85"/>
      <c r="X198" s="88"/>
      <c r="Y198" s="89"/>
      <c r="Z198" s="89"/>
      <c r="AA198" s="88"/>
      <c r="AB198" s="88"/>
      <c r="AF198" s="90"/>
      <c r="AK198" s="91"/>
      <c r="AM198" s="92"/>
      <c r="AN198" s="92"/>
      <c r="AO198" s="92"/>
      <c r="AP198" s="92"/>
      <c r="AQ198" s="92"/>
      <c r="AR198" s="92"/>
    </row>
    <row r="199" spans="1:44" s="84" customFormat="1" ht="24" customHeight="1" x14ac:dyDescent="0.3">
      <c r="A199" s="78" t="s">
        <v>3411</v>
      </c>
      <c r="B199" s="79" t="s">
        <v>2077</v>
      </c>
      <c r="C199" s="80">
        <v>1170912</v>
      </c>
      <c r="D199" s="80">
        <v>1101714</v>
      </c>
      <c r="E199" s="80">
        <v>29313171</v>
      </c>
      <c r="F199" s="81" t="s">
        <v>3530</v>
      </c>
      <c r="G199" s="82" t="s">
        <v>3427</v>
      </c>
      <c r="H199" s="82" t="s">
        <v>3531</v>
      </c>
      <c r="I199" s="82" t="s">
        <v>3122</v>
      </c>
      <c r="J199" s="83" t="str">
        <f>VLOOKUP($C199,CHOOSE({1,2},'[4]Prestações de Conta inadimplent'!$D$9:$D$2000,'[4]Prestações de Conta inadimplent'!$C$9:$C$2000),2,0)</f>
        <v>Colegio Estadual 13 De Junho</v>
      </c>
      <c r="L199" s="85"/>
      <c r="M199" s="85" t="e">
        <v>#REF!</v>
      </c>
      <c r="T199" s="86"/>
      <c r="U199" s="85"/>
      <c r="V199" s="87"/>
      <c r="W199" s="85"/>
      <c r="X199" s="88"/>
      <c r="Y199" s="89"/>
      <c r="Z199" s="88"/>
      <c r="AA199" s="88"/>
      <c r="AB199" s="88"/>
      <c r="AF199" s="90"/>
      <c r="AK199" s="91"/>
      <c r="AM199" s="92"/>
      <c r="AN199" s="92"/>
      <c r="AO199" s="92"/>
      <c r="AP199" s="92"/>
      <c r="AQ199" s="92"/>
      <c r="AR199" s="92"/>
    </row>
    <row r="200" spans="1:44" s="84" customFormat="1" ht="24" customHeight="1" x14ac:dyDescent="0.3">
      <c r="A200" s="78" t="s">
        <v>3411</v>
      </c>
      <c r="B200" s="79" t="s">
        <v>2085</v>
      </c>
      <c r="C200" s="80">
        <v>1112777</v>
      </c>
      <c r="D200" s="80">
        <v>1101718</v>
      </c>
      <c r="E200" s="80">
        <v>29313848</v>
      </c>
      <c r="F200" s="81" t="s">
        <v>3532</v>
      </c>
      <c r="G200" s="82" t="s">
        <v>3421</v>
      </c>
      <c r="H200" s="82" t="s">
        <v>3533</v>
      </c>
      <c r="I200" s="82" t="s">
        <v>3103</v>
      </c>
      <c r="J200" s="83" t="e">
        <f>VLOOKUP($C200,CHOOSE({1,2},'[4]Prestações de Conta inadimplent'!$D$9:$D$2000,'[4]Prestações de Conta inadimplent'!$C$9:$C$2000),2,0)</f>
        <v>#N/A</v>
      </c>
      <c r="K200" s="96"/>
      <c r="L200" s="85"/>
      <c r="M200" s="85" t="e">
        <v>#REF!</v>
      </c>
      <c r="T200" s="86"/>
      <c r="U200" s="85"/>
      <c r="V200" s="87"/>
      <c r="W200" s="85"/>
      <c r="X200" s="88"/>
      <c r="Y200" s="89"/>
      <c r="Z200" s="89"/>
      <c r="AA200" s="88"/>
      <c r="AB200" s="88"/>
      <c r="AF200" s="90"/>
      <c r="AK200" s="91"/>
      <c r="AM200" s="92"/>
      <c r="AN200" s="92"/>
      <c r="AO200" s="92"/>
      <c r="AP200" s="92"/>
      <c r="AQ200" s="92"/>
      <c r="AR200" s="92"/>
    </row>
    <row r="201" spans="1:44" s="84" customFormat="1" ht="24" customHeight="1" x14ac:dyDescent="0.3">
      <c r="A201" s="78" t="s">
        <v>3411</v>
      </c>
      <c r="B201" s="79" t="s">
        <v>2089</v>
      </c>
      <c r="C201" s="80">
        <v>1139136</v>
      </c>
      <c r="D201" s="80">
        <v>1101518</v>
      </c>
      <c r="E201" s="80">
        <v>29315492</v>
      </c>
      <c r="F201" s="81" t="s">
        <v>3534</v>
      </c>
      <c r="G201" s="82" t="s">
        <v>3535</v>
      </c>
      <c r="H201" s="82" t="s">
        <v>3536</v>
      </c>
      <c r="I201" s="82" t="s">
        <v>3122</v>
      </c>
      <c r="J201" s="83" t="str">
        <f>VLOOKUP($C201,CHOOSE({1,2},'[4]Prestações de Conta inadimplent'!$D$9:$D$2000,'[4]Prestações de Conta inadimplent'!$C$9:$C$2000),2,0)</f>
        <v>Colegio Estadual Menandro Minahim</v>
      </c>
      <c r="L201" s="85"/>
      <c r="M201" s="85" t="e">
        <v>#REF!</v>
      </c>
      <c r="T201" s="86"/>
      <c r="U201" s="85"/>
      <c r="V201" s="87"/>
      <c r="W201" s="85"/>
      <c r="X201" s="88"/>
      <c r="Y201" s="89"/>
      <c r="Z201" s="89"/>
      <c r="AA201" s="88"/>
      <c r="AB201" s="88"/>
      <c r="AF201" s="90"/>
      <c r="AK201" s="91"/>
      <c r="AM201" s="92"/>
      <c r="AN201" s="92"/>
      <c r="AO201" s="92"/>
      <c r="AP201" s="92"/>
      <c r="AQ201" s="92"/>
      <c r="AR201" s="92"/>
    </row>
    <row r="202" spans="1:44" s="84" customFormat="1" ht="24" customHeight="1" x14ac:dyDescent="0.3">
      <c r="A202" s="78" t="s">
        <v>3411</v>
      </c>
      <c r="B202" s="79" t="s">
        <v>2093</v>
      </c>
      <c r="C202" s="80">
        <v>1159790</v>
      </c>
      <c r="D202" s="80">
        <v>1101523</v>
      </c>
      <c r="E202" s="80">
        <v>29316260</v>
      </c>
      <c r="F202" s="81" t="s">
        <v>3537</v>
      </c>
      <c r="G202" s="82" t="s">
        <v>3419</v>
      </c>
      <c r="H202" s="82" t="s">
        <v>3538</v>
      </c>
      <c r="I202" s="82" t="s">
        <v>3122</v>
      </c>
      <c r="J202" s="83" t="str">
        <f>VLOOKUP($C202,CHOOSE({1,2},'[4]Prestações de Conta inadimplent'!$D$9:$D$2000,'[4]Prestações de Conta inadimplent'!$C$9:$C$2000),2,0)</f>
        <v>Colegio Estadual Carneiro Ribeiro</v>
      </c>
      <c r="L202" s="85"/>
      <c r="M202" s="85" t="e">
        <v>#REF!</v>
      </c>
      <c r="T202" s="86"/>
      <c r="U202" s="85"/>
      <c r="V202" s="87"/>
      <c r="W202" s="85"/>
      <c r="X202" s="88"/>
      <c r="Y202" s="89"/>
      <c r="Z202" s="89"/>
      <c r="AA202" s="88"/>
      <c r="AB202" s="88"/>
      <c r="AF202" s="90"/>
      <c r="AK202" s="91"/>
      <c r="AM202" s="92"/>
      <c r="AN202" s="92"/>
      <c r="AO202" s="92"/>
      <c r="AP202" s="92"/>
      <c r="AQ202" s="92"/>
      <c r="AR202" s="92"/>
    </row>
    <row r="203" spans="1:44" s="84" customFormat="1" ht="24" customHeight="1" x14ac:dyDescent="0.3">
      <c r="A203" s="78" t="s">
        <v>3411</v>
      </c>
      <c r="B203" s="79" t="s">
        <v>2093</v>
      </c>
      <c r="C203" s="80">
        <v>1179595</v>
      </c>
      <c r="D203" s="80">
        <v>9999999</v>
      </c>
      <c r="E203" s="80">
        <v>29470358</v>
      </c>
      <c r="F203" s="81" t="s">
        <v>3539</v>
      </c>
      <c r="G203" s="82" t="s">
        <v>3419</v>
      </c>
      <c r="H203" s="82" t="s">
        <v>3540</v>
      </c>
      <c r="I203" s="82" t="s">
        <v>3122</v>
      </c>
      <c r="J203" s="83" t="str">
        <f>VLOOKUP($C203,CHOOSE({1,2},'[4]Prestações de Conta inadimplent'!$D$9:$D$2000,'[4]Prestações de Conta inadimplent'!$C$9:$C$2000),2,0)</f>
        <v>Colegio Estadual Do Campo De Serra Grande</v>
      </c>
      <c r="L203" s="85"/>
      <c r="M203" s="85" t="e">
        <v>#REF!</v>
      </c>
      <c r="T203" s="86"/>
      <c r="U203" s="85"/>
      <c r="V203" s="87"/>
      <c r="W203" s="85"/>
      <c r="X203" s="88"/>
      <c r="Y203" s="89"/>
      <c r="Z203" s="89"/>
      <c r="AA203" s="88"/>
      <c r="AB203" s="88"/>
      <c r="AF203" s="90"/>
      <c r="AK203" s="91"/>
      <c r="AM203" s="92"/>
      <c r="AN203" s="92"/>
      <c r="AO203" s="92"/>
      <c r="AP203" s="92"/>
      <c r="AQ203" s="92"/>
      <c r="AR203" s="92"/>
    </row>
    <row r="204" spans="1:44" s="84" customFormat="1" ht="24" customHeight="1" x14ac:dyDescent="0.3">
      <c r="A204" s="78" t="s">
        <v>3541</v>
      </c>
      <c r="B204" s="79" t="s">
        <v>51</v>
      </c>
      <c r="C204" s="80">
        <v>1108966</v>
      </c>
      <c r="D204" s="80">
        <v>1101292</v>
      </c>
      <c r="E204" s="80">
        <v>29161770</v>
      </c>
      <c r="F204" s="81" t="s">
        <v>3542</v>
      </c>
      <c r="G204" s="82" t="s">
        <v>3543</v>
      </c>
      <c r="H204" s="82" t="s">
        <v>3544</v>
      </c>
      <c r="I204" s="82" t="s">
        <v>3103</v>
      </c>
      <c r="J204" s="83" t="e">
        <f>VLOOKUP($C204,CHOOSE({1,2},'[4]Prestações de Conta inadimplent'!$D$9:$D$2000,'[4]Prestações de Conta inadimplent'!$C$9:$C$2000),2,0)</f>
        <v>#N/A</v>
      </c>
      <c r="L204" s="85"/>
      <c r="M204" s="85" t="e">
        <v>#REF!</v>
      </c>
      <c r="T204" s="86"/>
      <c r="U204" s="85"/>
      <c r="V204" s="87"/>
      <c r="W204" s="85"/>
      <c r="X204" s="88"/>
      <c r="Y204" s="89"/>
      <c r="Z204" s="88"/>
      <c r="AA204" s="88"/>
      <c r="AB204" s="88"/>
      <c r="AF204" s="90"/>
      <c r="AK204" s="91"/>
      <c r="AM204" s="92"/>
      <c r="AN204" s="92"/>
      <c r="AO204" s="92"/>
      <c r="AP204" s="92"/>
      <c r="AQ204" s="92"/>
      <c r="AR204" s="92"/>
    </row>
    <row r="205" spans="1:44" s="84" customFormat="1" ht="24" customHeight="1" x14ac:dyDescent="0.3">
      <c r="A205" s="78" t="s">
        <v>3541</v>
      </c>
      <c r="B205" s="79" t="s">
        <v>48</v>
      </c>
      <c r="C205" s="80">
        <v>1142862</v>
      </c>
      <c r="D205" s="80">
        <v>1101296</v>
      </c>
      <c r="E205" s="80">
        <v>29285534</v>
      </c>
      <c r="F205" s="81" t="s">
        <v>3545</v>
      </c>
      <c r="G205" s="82" t="s">
        <v>3546</v>
      </c>
      <c r="H205" s="82" t="s">
        <v>3547</v>
      </c>
      <c r="I205" s="82" t="s">
        <v>3122</v>
      </c>
      <c r="J205" s="83" t="str">
        <f>VLOOKUP($C205,CHOOSE({1,2},'[4]Prestações de Conta inadimplent'!$D$9:$D$2000,'[4]Prestações de Conta inadimplent'!$C$9:$C$2000),2,0)</f>
        <v>Colegio Estadual Candido Meireles</v>
      </c>
      <c r="L205" s="85"/>
      <c r="M205" s="85" t="e">
        <v>#REF!</v>
      </c>
      <c r="T205" s="86"/>
      <c r="U205" s="85"/>
      <c r="V205" s="87"/>
      <c r="W205" s="85"/>
      <c r="X205" s="88"/>
      <c r="Y205" s="89"/>
      <c r="Z205" s="88"/>
      <c r="AA205" s="88"/>
      <c r="AB205" s="88"/>
      <c r="AF205" s="90"/>
      <c r="AK205" s="91"/>
      <c r="AM205" s="92"/>
      <c r="AN205" s="92"/>
      <c r="AO205" s="92"/>
      <c r="AP205" s="92"/>
      <c r="AQ205" s="92"/>
      <c r="AR205" s="92"/>
    </row>
    <row r="206" spans="1:44" s="84" customFormat="1" ht="24" customHeight="1" x14ac:dyDescent="0.3">
      <c r="A206" s="78" t="s">
        <v>3541</v>
      </c>
      <c r="B206" s="79" t="s">
        <v>1898</v>
      </c>
      <c r="C206" s="80">
        <v>1110049</v>
      </c>
      <c r="D206" s="80">
        <v>1101307</v>
      </c>
      <c r="E206" s="80">
        <v>29285801</v>
      </c>
      <c r="F206" s="81" t="s">
        <v>3548</v>
      </c>
      <c r="G206" s="82" t="s">
        <v>3549</v>
      </c>
      <c r="H206" s="82" t="s">
        <v>3550</v>
      </c>
      <c r="I206" s="82" t="s">
        <v>3103</v>
      </c>
      <c r="J206" s="83" t="e">
        <f>VLOOKUP($C206,CHOOSE({1,2},'[4]Prestações de Conta inadimplent'!$D$9:$D$2000,'[4]Prestações de Conta inadimplent'!$C$9:$C$2000),2,0)</f>
        <v>#N/A</v>
      </c>
      <c r="L206" s="85"/>
      <c r="M206" s="85" t="e">
        <v>#REF!</v>
      </c>
      <c r="T206" s="86"/>
      <c r="U206" s="85"/>
      <c r="V206" s="87"/>
      <c r="W206" s="85"/>
      <c r="X206" s="88"/>
      <c r="Y206" s="89"/>
      <c r="Z206" s="88"/>
      <c r="AA206" s="88"/>
      <c r="AB206" s="88"/>
      <c r="AF206" s="90"/>
      <c r="AK206" s="91"/>
      <c r="AM206" s="92"/>
      <c r="AN206" s="92"/>
      <c r="AO206" s="92"/>
      <c r="AP206" s="92"/>
      <c r="AQ206" s="92"/>
      <c r="AR206" s="92"/>
    </row>
    <row r="207" spans="1:44" s="84" customFormat="1" ht="24" customHeight="1" x14ac:dyDescent="0.3">
      <c r="A207" s="78" t="s">
        <v>3541</v>
      </c>
      <c r="B207" s="79" t="s">
        <v>1970</v>
      </c>
      <c r="C207" s="80">
        <v>1110111</v>
      </c>
      <c r="D207" s="80">
        <v>1101318</v>
      </c>
      <c r="E207" s="80">
        <v>29299063</v>
      </c>
      <c r="F207" s="81" t="s">
        <v>3551</v>
      </c>
      <c r="G207" s="82" t="s">
        <v>3552</v>
      </c>
      <c r="H207" s="82" t="s">
        <v>3553</v>
      </c>
      <c r="I207" s="82" t="s">
        <v>3103</v>
      </c>
      <c r="J207" s="83" t="e">
        <f>VLOOKUP($C207,CHOOSE({1,2},'[4]Prestações de Conta inadimplent'!$D$9:$D$2000,'[4]Prestações de Conta inadimplent'!$C$9:$C$2000),2,0)</f>
        <v>#N/A</v>
      </c>
      <c r="L207" s="85"/>
      <c r="M207" s="85" t="e">
        <v>#REF!</v>
      </c>
      <c r="T207" s="86"/>
      <c r="U207" s="85"/>
      <c r="V207" s="87"/>
      <c r="W207" s="85"/>
      <c r="X207" s="88"/>
      <c r="Y207" s="89"/>
      <c r="Z207" s="88"/>
      <c r="AA207" s="88"/>
      <c r="AB207" s="88"/>
      <c r="AF207" s="90"/>
      <c r="AH207" s="85"/>
      <c r="AK207" s="91"/>
      <c r="AM207" s="92"/>
      <c r="AN207" s="92"/>
      <c r="AO207" s="92"/>
      <c r="AP207" s="92"/>
      <c r="AQ207" s="92"/>
      <c r="AR207" s="92"/>
    </row>
    <row r="208" spans="1:44" s="84" customFormat="1" ht="24" customHeight="1" x14ac:dyDescent="0.3">
      <c r="A208" s="78" t="s">
        <v>3541</v>
      </c>
      <c r="B208" s="79" t="s">
        <v>1970</v>
      </c>
      <c r="C208" s="80">
        <v>1109814</v>
      </c>
      <c r="D208" s="80">
        <v>1101315</v>
      </c>
      <c r="E208" s="80">
        <v>29298954</v>
      </c>
      <c r="F208" s="81" t="s">
        <v>3554</v>
      </c>
      <c r="G208" s="82" t="s">
        <v>3552</v>
      </c>
      <c r="H208" s="82" t="s">
        <v>3555</v>
      </c>
      <c r="I208" s="82" t="s">
        <v>3103</v>
      </c>
      <c r="J208" s="83" t="e">
        <f>VLOOKUP($C208,CHOOSE({1,2},'[4]Prestações de Conta inadimplent'!$D$9:$D$2000,'[4]Prestações de Conta inadimplent'!$C$9:$C$2000),2,0)</f>
        <v>#N/A</v>
      </c>
      <c r="L208" s="85"/>
      <c r="M208" s="85" t="e">
        <v>#REF!</v>
      </c>
      <c r="T208" s="86"/>
      <c r="U208" s="85"/>
      <c r="V208" s="87"/>
      <c r="W208" s="85"/>
      <c r="X208" s="88"/>
      <c r="Y208" s="89"/>
      <c r="Z208" s="89"/>
      <c r="AA208" s="88"/>
      <c r="AB208" s="88"/>
      <c r="AF208" s="90"/>
      <c r="AK208" s="91"/>
      <c r="AM208" s="92"/>
      <c r="AN208" s="92"/>
      <c r="AO208" s="92"/>
      <c r="AP208" s="92"/>
      <c r="AQ208" s="92"/>
      <c r="AR208" s="92"/>
    </row>
    <row r="209" spans="1:44" s="84" customFormat="1" ht="24" customHeight="1" x14ac:dyDescent="0.3">
      <c r="A209" s="78" t="s">
        <v>3541</v>
      </c>
      <c r="B209" s="79" t="s">
        <v>2487</v>
      </c>
      <c r="C209" s="80">
        <v>1179138</v>
      </c>
      <c r="D209" s="80">
        <v>1105571</v>
      </c>
      <c r="E209" s="80">
        <v>29448816</v>
      </c>
      <c r="F209" s="81" t="s">
        <v>3556</v>
      </c>
      <c r="G209" s="82" t="s">
        <v>3557</v>
      </c>
      <c r="H209" s="82" t="s">
        <v>3558</v>
      </c>
      <c r="I209" s="82" t="s">
        <v>3103</v>
      </c>
      <c r="J209" s="83" t="e">
        <f>VLOOKUP($C209,CHOOSE({1,2},'[4]Prestações de Conta inadimplent'!$D$9:$D$2000,'[4]Prestações de Conta inadimplent'!$C$9:$C$2000),2,0)</f>
        <v>#N/A</v>
      </c>
      <c r="L209" s="85"/>
      <c r="M209" s="85" t="e">
        <v>#REF!</v>
      </c>
      <c r="T209" s="86"/>
      <c r="U209" s="85"/>
      <c r="V209" s="87"/>
      <c r="W209" s="85"/>
      <c r="X209" s="88"/>
      <c r="Y209" s="89"/>
      <c r="Z209" s="89"/>
      <c r="AA209" s="88"/>
      <c r="AB209" s="88"/>
      <c r="AF209" s="90"/>
      <c r="AK209" s="91"/>
      <c r="AM209" s="92"/>
      <c r="AN209" s="92"/>
      <c r="AO209" s="92"/>
      <c r="AP209" s="92"/>
      <c r="AQ209" s="92"/>
      <c r="AR209" s="92"/>
    </row>
    <row r="210" spans="1:44" s="84" customFormat="1" ht="24" customHeight="1" x14ac:dyDescent="0.3">
      <c r="A210" s="78" t="s">
        <v>3541</v>
      </c>
      <c r="B210" s="79" t="s">
        <v>2487</v>
      </c>
      <c r="C210" s="80">
        <v>1178010</v>
      </c>
      <c r="D210" s="80">
        <v>1101327</v>
      </c>
      <c r="E210" s="80">
        <v>29423503</v>
      </c>
      <c r="F210" s="81" t="s">
        <v>3559</v>
      </c>
      <c r="G210" s="82" t="s">
        <v>3557</v>
      </c>
      <c r="H210" s="82" t="s">
        <v>3560</v>
      </c>
      <c r="I210" s="82" t="s">
        <v>3103</v>
      </c>
      <c r="J210" s="83" t="e">
        <f>VLOOKUP($C210,CHOOSE({1,2},'[4]Prestações de Conta inadimplent'!$D$9:$D$2000,'[4]Prestações de Conta inadimplent'!$C$9:$C$2000),2,0)</f>
        <v>#N/A</v>
      </c>
      <c r="L210" s="85"/>
      <c r="M210" s="85" t="e">
        <v>#REF!</v>
      </c>
      <c r="T210" s="86"/>
      <c r="U210" s="85"/>
      <c r="V210" s="87"/>
      <c r="W210" s="85"/>
      <c r="X210" s="88"/>
      <c r="Y210" s="89"/>
      <c r="Z210" s="88"/>
      <c r="AA210" s="88"/>
      <c r="AB210" s="88"/>
      <c r="AF210" s="90"/>
      <c r="AK210" s="91"/>
      <c r="AM210" s="92"/>
      <c r="AN210" s="92"/>
      <c r="AO210" s="92"/>
      <c r="AP210" s="92"/>
      <c r="AQ210" s="92"/>
      <c r="AR210" s="92"/>
    </row>
    <row r="211" spans="1:44" s="84" customFormat="1" ht="24" customHeight="1" x14ac:dyDescent="0.3">
      <c r="A211" s="78" t="s">
        <v>3541</v>
      </c>
      <c r="B211" s="79" t="s">
        <v>2600</v>
      </c>
      <c r="C211" s="80">
        <v>1178082</v>
      </c>
      <c r="D211" s="80">
        <v>1104570</v>
      </c>
      <c r="E211" s="80">
        <v>29429269</v>
      </c>
      <c r="F211" s="81" t="s">
        <v>3561</v>
      </c>
      <c r="G211" s="82" t="s">
        <v>3562</v>
      </c>
      <c r="H211" s="82" t="s">
        <v>3563</v>
      </c>
      <c r="I211" s="82" t="s">
        <v>3103</v>
      </c>
      <c r="J211" s="83" t="e">
        <f>VLOOKUP($C211,CHOOSE({1,2},'[4]Prestações de Conta inadimplent'!$D$9:$D$2000,'[4]Prestações de Conta inadimplent'!$C$9:$C$2000),2,0)</f>
        <v>#N/A</v>
      </c>
      <c r="L211" s="85"/>
      <c r="M211" s="85" t="e">
        <v>#REF!</v>
      </c>
      <c r="T211" s="86"/>
      <c r="U211" s="85"/>
      <c r="V211" s="87"/>
      <c r="W211" s="85"/>
      <c r="X211" s="88"/>
      <c r="Y211" s="89"/>
      <c r="Z211" s="88"/>
      <c r="AA211" s="88"/>
      <c r="AB211" s="88"/>
      <c r="AF211" s="90"/>
      <c r="AK211" s="91"/>
      <c r="AM211" s="92"/>
      <c r="AN211" s="92"/>
      <c r="AO211" s="92"/>
      <c r="AP211" s="92"/>
      <c r="AQ211" s="92"/>
      <c r="AR211" s="92"/>
    </row>
    <row r="212" spans="1:44" s="84" customFormat="1" ht="24" customHeight="1" x14ac:dyDescent="0.3">
      <c r="A212" s="78" t="s">
        <v>3541</v>
      </c>
      <c r="B212" s="79" t="s">
        <v>1902</v>
      </c>
      <c r="C212" s="80">
        <v>1110251</v>
      </c>
      <c r="D212" s="80">
        <v>1101333</v>
      </c>
      <c r="E212" s="80">
        <v>29287235</v>
      </c>
      <c r="F212" s="81" t="s">
        <v>1903</v>
      </c>
      <c r="G212" s="82" t="s">
        <v>3562</v>
      </c>
      <c r="H212" s="82" t="s">
        <v>3564</v>
      </c>
      <c r="I212" s="82" t="s">
        <v>3103</v>
      </c>
      <c r="J212" s="83" t="e">
        <f>VLOOKUP($C212,CHOOSE({1,2},'[4]Prestações de Conta inadimplent'!$D$9:$D$2000,'[4]Prestações de Conta inadimplent'!$C$9:$C$2000),2,0)</f>
        <v>#N/A</v>
      </c>
      <c r="L212" s="85"/>
      <c r="M212" s="85" t="e">
        <v>#REF!</v>
      </c>
      <c r="T212" s="86"/>
      <c r="U212" s="85"/>
      <c r="V212" s="87"/>
      <c r="W212" s="85"/>
      <c r="X212" s="88"/>
      <c r="Y212" s="89"/>
      <c r="Z212" s="89"/>
      <c r="AA212" s="88"/>
      <c r="AB212" s="88"/>
      <c r="AF212" s="90"/>
      <c r="AK212" s="91"/>
      <c r="AM212" s="92"/>
      <c r="AN212" s="92"/>
      <c r="AO212" s="92"/>
      <c r="AP212" s="92"/>
      <c r="AQ212" s="92"/>
      <c r="AR212" s="92"/>
    </row>
    <row r="213" spans="1:44" s="84" customFormat="1" ht="24" customHeight="1" x14ac:dyDescent="0.3">
      <c r="A213" s="78" t="s">
        <v>3541</v>
      </c>
      <c r="B213" s="79" t="s">
        <v>1007</v>
      </c>
      <c r="C213" s="80">
        <v>1109229</v>
      </c>
      <c r="D213" s="80">
        <v>1101391</v>
      </c>
      <c r="E213" s="80">
        <v>29166829</v>
      </c>
      <c r="F213" s="81" t="s">
        <v>1008</v>
      </c>
      <c r="G213" s="82" t="s">
        <v>3565</v>
      </c>
      <c r="H213" s="82" t="s">
        <v>3566</v>
      </c>
      <c r="I213" s="82" t="s">
        <v>3103</v>
      </c>
      <c r="J213" s="83" t="e">
        <f>VLOOKUP($C213,CHOOSE({1,2},'[4]Prestações de Conta inadimplent'!$D$9:$D$2000,'[4]Prestações de Conta inadimplent'!$C$9:$C$2000),2,0)</f>
        <v>#N/A</v>
      </c>
      <c r="L213" s="85"/>
      <c r="M213" s="85" t="e">
        <v>#REF!</v>
      </c>
      <c r="T213" s="86"/>
      <c r="U213" s="85"/>
      <c r="V213" s="87"/>
      <c r="W213" s="85"/>
      <c r="X213" s="88"/>
      <c r="Y213" s="89"/>
      <c r="Z213" s="88"/>
      <c r="AA213" s="88"/>
      <c r="AB213" s="88"/>
      <c r="AF213" s="90"/>
      <c r="AK213" s="91"/>
      <c r="AM213" s="92"/>
      <c r="AN213" s="92"/>
      <c r="AO213" s="92"/>
      <c r="AP213" s="92"/>
      <c r="AQ213" s="92"/>
      <c r="AR213" s="92"/>
    </row>
    <row r="214" spans="1:44" s="84" customFormat="1" ht="24" customHeight="1" x14ac:dyDescent="0.3">
      <c r="A214" s="78" t="s">
        <v>3541</v>
      </c>
      <c r="B214" s="79" t="s">
        <v>1914</v>
      </c>
      <c r="C214" s="80">
        <v>1110499</v>
      </c>
      <c r="D214" s="80">
        <v>1101342</v>
      </c>
      <c r="E214" s="80">
        <v>29288339</v>
      </c>
      <c r="F214" s="81" t="s">
        <v>3567</v>
      </c>
      <c r="G214" s="82" t="s">
        <v>3546</v>
      </c>
      <c r="H214" s="82" t="s">
        <v>3568</v>
      </c>
      <c r="I214" s="82" t="s">
        <v>3103</v>
      </c>
      <c r="J214" s="83" t="e">
        <f>VLOOKUP($C214,CHOOSE({1,2},'[4]Prestações de Conta inadimplent'!$D$9:$D$2000,'[4]Prestações de Conta inadimplent'!$C$9:$C$2000),2,0)</f>
        <v>#N/A</v>
      </c>
      <c r="L214" s="85"/>
      <c r="M214" s="85" t="e">
        <v>#REF!</v>
      </c>
      <c r="T214" s="86"/>
      <c r="U214" s="85"/>
      <c r="V214" s="87"/>
      <c r="W214" s="85"/>
      <c r="X214" s="88"/>
      <c r="Y214" s="89"/>
      <c r="Z214" s="88"/>
      <c r="AA214" s="88"/>
      <c r="AB214" s="88"/>
      <c r="AF214" s="90"/>
      <c r="AK214" s="91"/>
      <c r="AM214" s="92"/>
      <c r="AN214" s="92"/>
      <c r="AO214" s="92"/>
      <c r="AP214" s="92"/>
      <c r="AQ214" s="92"/>
      <c r="AR214" s="92"/>
    </row>
    <row r="215" spans="1:44" s="84" customFormat="1" ht="24" customHeight="1" x14ac:dyDescent="0.3">
      <c r="A215" s="78" t="s">
        <v>3541</v>
      </c>
      <c r="B215" s="79" t="s">
        <v>1918</v>
      </c>
      <c r="C215" s="80">
        <v>1158270</v>
      </c>
      <c r="D215" s="80">
        <v>1101348</v>
      </c>
      <c r="E215" s="80">
        <v>29289270</v>
      </c>
      <c r="F215" s="81" t="s">
        <v>3569</v>
      </c>
      <c r="G215" s="82" t="s">
        <v>3552</v>
      </c>
      <c r="H215" s="82" t="s">
        <v>3570</v>
      </c>
      <c r="I215" s="82" t="s">
        <v>3103</v>
      </c>
      <c r="J215" s="83" t="e">
        <f>VLOOKUP($C215,CHOOSE({1,2},'[4]Prestações de Conta inadimplent'!$D$9:$D$2000,'[4]Prestações de Conta inadimplent'!$C$9:$C$2000),2,0)</f>
        <v>#N/A</v>
      </c>
      <c r="L215" s="85"/>
      <c r="M215" s="85" t="e">
        <v>#REF!</v>
      </c>
      <c r="T215" s="86"/>
      <c r="U215" s="85"/>
      <c r="V215" s="87"/>
      <c r="W215" s="85"/>
      <c r="X215" s="88"/>
      <c r="Y215" s="89"/>
      <c r="Z215" s="89"/>
      <c r="AA215" s="88"/>
      <c r="AB215" s="88"/>
      <c r="AF215" s="90"/>
      <c r="AK215" s="91"/>
      <c r="AM215" s="92"/>
      <c r="AN215" s="92"/>
      <c r="AO215" s="92"/>
      <c r="AP215" s="92"/>
      <c r="AQ215" s="92"/>
      <c r="AR215" s="92"/>
    </row>
    <row r="216" spans="1:44" s="84" customFormat="1" ht="24" customHeight="1" x14ac:dyDescent="0.3">
      <c r="A216" s="78" t="s">
        <v>3541</v>
      </c>
      <c r="B216" s="79" t="s">
        <v>2644</v>
      </c>
      <c r="C216" s="80">
        <v>1178081</v>
      </c>
      <c r="D216" s="80">
        <v>1104559</v>
      </c>
      <c r="E216" s="80">
        <v>29431719</v>
      </c>
      <c r="F216" s="81" t="s">
        <v>3571</v>
      </c>
      <c r="G216" s="82" t="s">
        <v>3546</v>
      </c>
      <c r="H216" s="82" t="s">
        <v>3572</v>
      </c>
      <c r="I216" s="82" t="s">
        <v>3103</v>
      </c>
      <c r="J216" s="83" t="e">
        <f>VLOOKUP($C216,CHOOSE({1,2},'[4]Prestações de Conta inadimplent'!$D$9:$D$2000,'[4]Prestações de Conta inadimplent'!$C$9:$C$2000),2,0)</f>
        <v>#N/A</v>
      </c>
      <c r="L216" s="85"/>
      <c r="M216" s="85" t="e">
        <v>#REF!</v>
      </c>
      <c r="T216" s="86"/>
      <c r="U216" s="85"/>
      <c r="V216" s="87"/>
      <c r="W216" s="85"/>
      <c r="X216" s="88"/>
      <c r="Y216" s="89"/>
      <c r="Z216" s="89"/>
      <c r="AA216" s="88"/>
      <c r="AB216" s="88"/>
      <c r="AF216" s="90"/>
      <c r="AK216" s="91"/>
      <c r="AM216" s="92"/>
      <c r="AN216" s="92"/>
      <c r="AO216" s="92"/>
      <c r="AP216" s="92"/>
      <c r="AQ216" s="92"/>
      <c r="AR216" s="92"/>
    </row>
    <row r="217" spans="1:44" s="84" customFormat="1" ht="24" customHeight="1" x14ac:dyDescent="0.3">
      <c r="A217" s="78" t="s">
        <v>3541</v>
      </c>
      <c r="B217" s="79" t="s">
        <v>1922</v>
      </c>
      <c r="C217" s="80">
        <v>1117396</v>
      </c>
      <c r="D217" s="80">
        <v>1101353</v>
      </c>
      <c r="E217" s="80">
        <v>29290678</v>
      </c>
      <c r="F217" s="81" t="s">
        <v>1923</v>
      </c>
      <c r="G217" s="82" t="s">
        <v>3573</v>
      </c>
      <c r="H217" s="82" t="s">
        <v>3574</v>
      </c>
      <c r="I217" s="82" t="s">
        <v>3103</v>
      </c>
      <c r="J217" s="83" t="e">
        <f>VLOOKUP($C217,CHOOSE({1,2},'[4]Prestações de Conta inadimplent'!$D$9:$D$2000,'[4]Prestações de Conta inadimplent'!$C$9:$C$2000),2,0)</f>
        <v>#N/A</v>
      </c>
      <c r="L217" s="85"/>
      <c r="M217" s="85" t="e">
        <v>#REF!</v>
      </c>
      <c r="T217" s="86"/>
      <c r="U217" s="85"/>
      <c r="V217" s="87"/>
      <c r="W217" s="85"/>
      <c r="X217" s="88"/>
      <c r="Y217" s="89"/>
      <c r="Z217" s="88"/>
      <c r="AA217" s="88"/>
      <c r="AB217" s="88"/>
      <c r="AF217" s="90"/>
      <c r="AK217" s="91"/>
      <c r="AM217" s="92"/>
      <c r="AN217" s="92"/>
      <c r="AO217" s="92"/>
      <c r="AP217" s="92"/>
      <c r="AQ217" s="92"/>
      <c r="AR217" s="92"/>
    </row>
    <row r="218" spans="1:44" s="84" customFormat="1" ht="24" customHeight="1" x14ac:dyDescent="0.3">
      <c r="A218" s="78" t="s">
        <v>3541</v>
      </c>
      <c r="B218" s="79" t="s">
        <v>2081</v>
      </c>
      <c r="C218" s="80">
        <v>1110677</v>
      </c>
      <c r="D218" s="80">
        <v>1101355</v>
      </c>
      <c r="E218" s="80">
        <v>29313325</v>
      </c>
      <c r="F218" s="81" t="s">
        <v>3575</v>
      </c>
      <c r="G218" s="82" t="s">
        <v>3576</v>
      </c>
      <c r="H218" s="82" t="s">
        <v>3577</v>
      </c>
      <c r="I218" s="82" t="s">
        <v>3103</v>
      </c>
      <c r="J218" s="83" t="e">
        <f>VLOOKUP($C218,CHOOSE({1,2},'[4]Prestações de Conta inadimplent'!$D$9:$D$2000,'[4]Prestações de Conta inadimplent'!$C$9:$C$2000),2,0)</f>
        <v>#N/A</v>
      </c>
      <c r="L218" s="85"/>
      <c r="M218" s="85" t="e">
        <v>#REF!</v>
      </c>
      <c r="T218" s="86"/>
      <c r="U218" s="85"/>
      <c r="V218" s="87"/>
      <c r="W218" s="85"/>
      <c r="X218" s="88"/>
      <c r="Y218" s="89"/>
      <c r="Z218" s="89"/>
      <c r="AA218" s="88"/>
      <c r="AB218" s="88"/>
      <c r="AF218" s="90"/>
      <c r="AK218" s="91"/>
      <c r="AM218" s="92"/>
      <c r="AN218" s="92"/>
      <c r="AO218" s="92"/>
      <c r="AP218" s="92"/>
      <c r="AQ218" s="92"/>
      <c r="AR218" s="92"/>
    </row>
    <row r="219" spans="1:44" s="84" customFormat="1" ht="24" customHeight="1" x14ac:dyDescent="0.3">
      <c r="A219" s="78" t="s">
        <v>3541</v>
      </c>
      <c r="B219" s="79" t="s">
        <v>1926</v>
      </c>
      <c r="C219" s="80">
        <v>1178011</v>
      </c>
      <c r="D219" s="80">
        <v>1101413</v>
      </c>
      <c r="E219" s="80">
        <v>29426502</v>
      </c>
      <c r="F219" s="81" t="s">
        <v>3578</v>
      </c>
      <c r="G219" s="82" t="s">
        <v>3546</v>
      </c>
      <c r="H219" s="82" t="s">
        <v>3579</v>
      </c>
      <c r="I219" s="82" t="s">
        <v>3103</v>
      </c>
      <c r="J219" s="83" t="e">
        <f>VLOOKUP($C219,CHOOSE({1,2},'[4]Prestações de Conta inadimplent'!$D$9:$D$2000,'[4]Prestações de Conta inadimplent'!$C$9:$C$2000),2,0)</f>
        <v>#N/A</v>
      </c>
      <c r="L219" s="85"/>
      <c r="M219" s="85" t="e">
        <v>#REF!</v>
      </c>
      <c r="T219" s="86"/>
      <c r="U219" s="85"/>
      <c r="V219" s="87"/>
      <c r="W219" s="85"/>
      <c r="X219" s="88"/>
      <c r="Y219" s="89"/>
      <c r="Z219" s="89"/>
      <c r="AA219" s="88"/>
      <c r="AB219" s="88"/>
      <c r="AF219" s="90"/>
      <c r="AK219" s="91"/>
      <c r="AM219" s="92"/>
      <c r="AN219" s="92"/>
      <c r="AO219" s="92"/>
      <c r="AP219" s="92"/>
      <c r="AQ219" s="92"/>
      <c r="AR219" s="92"/>
    </row>
    <row r="220" spans="1:44" s="84" customFormat="1" ht="24" customHeight="1" x14ac:dyDescent="0.3">
      <c r="A220" s="78" t="s">
        <v>3541</v>
      </c>
      <c r="B220" s="79" t="s">
        <v>1926</v>
      </c>
      <c r="C220" s="80">
        <v>1179139</v>
      </c>
      <c r="D220" s="80">
        <v>9999999</v>
      </c>
      <c r="E220" s="80">
        <v>29456460</v>
      </c>
      <c r="F220" s="81" t="s">
        <v>3580</v>
      </c>
      <c r="G220" s="82" t="s">
        <v>3546</v>
      </c>
      <c r="H220" s="82" t="s">
        <v>3581</v>
      </c>
      <c r="I220" s="82" t="s">
        <v>3122</v>
      </c>
      <c r="J220" s="83" t="str">
        <f>VLOOKUP($C220,CHOOSE({1,2},'[4]Prestações de Conta inadimplent'!$D$9:$D$2000,'[4]Prestações de Conta inadimplent'!$C$9:$C$2000),2,0)</f>
        <v>Colegio Estadual Do Campo Herminio Manoel De Jesus</v>
      </c>
      <c r="L220" s="85"/>
      <c r="M220" s="85" t="e">
        <v>#REF!</v>
      </c>
      <c r="T220" s="86"/>
      <c r="U220" s="85"/>
      <c r="V220" s="87"/>
      <c r="W220" s="85"/>
      <c r="X220" s="88"/>
      <c r="Y220" s="89"/>
      <c r="Z220" s="89"/>
      <c r="AA220" s="88"/>
      <c r="AB220" s="88"/>
      <c r="AF220" s="90"/>
      <c r="AK220" s="91"/>
      <c r="AM220" s="92"/>
      <c r="AN220" s="92"/>
      <c r="AO220" s="92"/>
      <c r="AP220" s="92"/>
      <c r="AQ220" s="92"/>
      <c r="AR220" s="92"/>
    </row>
    <row r="221" spans="1:44" s="84" customFormat="1" ht="24" customHeight="1" x14ac:dyDescent="0.3">
      <c r="A221" s="78" t="s">
        <v>3541</v>
      </c>
      <c r="B221" s="79" t="s">
        <v>1926</v>
      </c>
      <c r="C221" s="80">
        <v>1179311</v>
      </c>
      <c r="D221" s="80">
        <v>9999999</v>
      </c>
      <c r="E221" s="80">
        <v>29460646</v>
      </c>
      <c r="F221" s="81" t="s">
        <v>3582</v>
      </c>
      <c r="G221" s="82" t="s">
        <v>3546</v>
      </c>
      <c r="H221" s="82" t="s">
        <v>3583</v>
      </c>
      <c r="I221" s="82" t="s">
        <v>3103</v>
      </c>
      <c r="J221" s="83" t="e">
        <f>VLOOKUP($C221,CHOOSE({1,2},'[4]Prestações de Conta inadimplent'!$D$9:$D$2000,'[4]Prestações de Conta inadimplent'!$C$9:$C$2000),2,0)</f>
        <v>#N/A</v>
      </c>
      <c r="L221" s="85"/>
      <c r="M221" s="85" t="e">
        <v>#REF!</v>
      </c>
      <c r="T221" s="86"/>
      <c r="U221" s="85"/>
      <c r="V221" s="87"/>
      <c r="W221" s="85"/>
      <c r="X221" s="88"/>
      <c r="Y221" s="89"/>
      <c r="Z221" s="89"/>
      <c r="AA221" s="88"/>
      <c r="AB221" s="88"/>
      <c r="AF221" s="90"/>
      <c r="AK221" s="91"/>
      <c r="AM221" s="92"/>
      <c r="AN221" s="92"/>
      <c r="AO221" s="92"/>
      <c r="AP221" s="92"/>
      <c r="AQ221" s="92"/>
      <c r="AR221" s="92"/>
    </row>
    <row r="222" spans="1:44" s="84" customFormat="1" ht="24" customHeight="1" x14ac:dyDescent="0.3">
      <c r="A222" s="78" t="s">
        <v>3541</v>
      </c>
      <c r="B222" s="79" t="s">
        <v>1926</v>
      </c>
      <c r="C222" s="80">
        <v>1179284</v>
      </c>
      <c r="D222" s="80">
        <v>9999999</v>
      </c>
      <c r="E222" s="80">
        <v>29460930</v>
      </c>
      <c r="F222" s="81" t="s">
        <v>3584</v>
      </c>
      <c r="G222" s="82" t="s">
        <v>3546</v>
      </c>
      <c r="H222" s="82" t="s">
        <v>3585</v>
      </c>
      <c r="I222" s="82" t="s">
        <v>3103</v>
      </c>
      <c r="J222" s="83" t="e">
        <f>VLOOKUP($C222,CHOOSE({1,2},'[4]Prestações de Conta inadimplent'!$D$9:$D$2000,'[4]Prestações de Conta inadimplent'!$C$9:$C$2000),2,0)</f>
        <v>#N/A</v>
      </c>
      <c r="L222" s="85"/>
      <c r="M222" s="85" t="e">
        <v>#REF!</v>
      </c>
      <c r="T222" s="86"/>
      <c r="U222" s="85"/>
      <c r="V222" s="85"/>
      <c r="W222" s="85"/>
      <c r="X222" s="88"/>
      <c r="Y222" s="89"/>
      <c r="Z222" s="88"/>
      <c r="AA222" s="88"/>
      <c r="AB222" s="88"/>
      <c r="AF222" s="90"/>
      <c r="AK222" s="91"/>
      <c r="AM222" s="92"/>
      <c r="AN222" s="92"/>
      <c r="AO222" s="92"/>
      <c r="AP222" s="92"/>
      <c r="AQ222" s="92"/>
      <c r="AR222" s="92"/>
    </row>
    <row r="223" spans="1:44" s="84" customFormat="1" ht="24" customHeight="1" x14ac:dyDescent="0.3">
      <c r="A223" s="78" t="s">
        <v>3541</v>
      </c>
      <c r="B223" s="79" t="s">
        <v>1926</v>
      </c>
      <c r="C223" s="80">
        <v>1111070</v>
      </c>
      <c r="D223" s="80">
        <v>1101402</v>
      </c>
      <c r="E223" s="80">
        <v>29290732</v>
      </c>
      <c r="F223" s="81" t="s">
        <v>3586</v>
      </c>
      <c r="G223" s="82" t="s">
        <v>3546</v>
      </c>
      <c r="H223" s="82" t="s">
        <v>3587</v>
      </c>
      <c r="I223" s="82" t="s">
        <v>3103</v>
      </c>
      <c r="J223" s="83" t="e">
        <f>VLOOKUP($C223,CHOOSE({1,2},'[4]Prestações de Conta inadimplent'!$D$9:$D$2000,'[4]Prestações de Conta inadimplent'!$C$9:$C$2000),2,0)</f>
        <v>#N/A</v>
      </c>
      <c r="L223" s="85"/>
      <c r="M223" s="85" t="e">
        <v>#REF!</v>
      </c>
      <c r="T223" s="86"/>
      <c r="U223" s="85"/>
      <c r="V223" s="87"/>
      <c r="W223" s="85"/>
      <c r="X223" s="88"/>
      <c r="Y223" s="89"/>
      <c r="Z223" s="88"/>
      <c r="AA223" s="88"/>
      <c r="AB223" s="88"/>
      <c r="AF223" s="90"/>
      <c r="AK223" s="91"/>
      <c r="AM223" s="92"/>
      <c r="AN223" s="92"/>
      <c r="AO223" s="92"/>
      <c r="AP223" s="92"/>
      <c r="AQ223" s="92"/>
      <c r="AR223" s="92"/>
    </row>
    <row r="224" spans="1:44" s="84" customFormat="1" ht="24" customHeight="1" x14ac:dyDescent="0.3">
      <c r="A224" s="78" t="s">
        <v>3541</v>
      </c>
      <c r="B224" s="79" t="s">
        <v>1926</v>
      </c>
      <c r="C224" s="80">
        <v>1111045</v>
      </c>
      <c r="D224" s="80">
        <v>1101399</v>
      </c>
      <c r="E224" s="80">
        <v>29290791</v>
      </c>
      <c r="F224" s="81" t="s">
        <v>3588</v>
      </c>
      <c r="G224" s="82" t="s">
        <v>3546</v>
      </c>
      <c r="H224" s="82" t="s">
        <v>3589</v>
      </c>
      <c r="I224" s="82" t="s">
        <v>3103</v>
      </c>
      <c r="J224" s="83" t="e">
        <f>VLOOKUP($C224,CHOOSE({1,2},'[4]Prestações de Conta inadimplent'!$D$9:$D$2000,'[4]Prestações de Conta inadimplent'!$C$9:$C$2000),2,0)</f>
        <v>#N/A</v>
      </c>
      <c r="L224" s="85"/>
      <c r="M224" s="85" t="e">
        <v>#REF!</v>
      </c>
      <c r="T224" s="86"/>
      <c r="U224" s="85"/>
      <c r="V224" s="87"/>
      <c r="W224" s="85"/>
      <c r="X224" s="88"/>
      <c r="Y224" s="89"/>
      <c r="Z224" s="89"/>
      <c r="AA224" s="88"/>
      <c r="AB224" s="88"/>
      <c r="AF224" s="90"/>
      <c r="AK224" s="91"/>
      <c r="AM224" s="92"/>
      <c r="AN224" s="92"/>
      <c r="AO224" s="92"/>
      <c r="AP224" s="92"/>
      <c r="AQ224" s="92"/>
      <c r="AR224" s="92"/>
    </row>
    <row r="225" spans="1:44" s="84" customFormat="1" ht="24" customHeight="1" x14ac:dyDescent="0.3">
      <c r="A225" s="78" t="s">
        <v>3541</v>
      </c>
      <c r="B225" s="79" t="s">
        <v>1926</v>
      </c>
      <c r="C225" s="80">
        <v>1179116</v>
      </c>
      <c r="D225" s="80">
        <v>9999999</v>
      </c>
      <c r="E225" s="80">
        <v>29460549</v>
      </c>
      <c r="F225" s="81" t="s">
        <v>3590</v>
      </c>
      <c r="G225" s="82" t="s">
        <v>3546</v>
      </c>
      <c r="H225" s="82" t="s">
        <v>3591</v>
      </c>
      <c r="I225" s="82" t="s">
        <v>3103</v>
      </c>
      <c r="J225" s="83" t="e">
        <f>VLOOKUP($C225,CHOOSE({1,2},'[4]Prestações de Conta inadimplent'!$D$9:$D$2000,'[4]Prestações de Conta inadimplent'!$C$9:$C$2000),2,0)</f>
        <v>#N/A</v>
      </c>
      <c r="L225" s="85"/>
      <c r="M225" s="85" t="e">
        <v>#REF!</v>
      </c>
      <c r="T225" s="86"/>
      <c r="U225" s="85"/>
      <c r="V225" s="87"/>
      <c r="W225" s="85"/>
      <c r="X225" s="88"/>
      <c r="Y225" s="89"/>
      <c r="Z225" s="89"/>
      <c r="AA225" s="88"/>
      <c r="AB225" s="88"/>
      <c r="AF225" s="90"/>
      <c r="AK225" s="91"/>
      <c r="AM225" s="92"/>
      <c r="AN225" s="92"/>
      <c r="AO225" s="92"/>
      <c r="AP225" s="92"/>
      <c r="AQ225" s="92"/>
      <c r="AR225" s="92"/>
    </row>
    <row r="226" spans="1:44" s="84" customFormat="1" ht="24" customHeight="1" x14ac:dyDescent="0.3">
      <c r="A226" s="109">
        <v>6</v>
      </c>
      <c r="B226" s="110" t="s">
        <v>1926</v>
      </c>
      <c r="C226" s="111">
        <v>1179786</v>
      </c>
      <c r="D226" s="111">
        <v>9999999</v>
      </c>
      <c r="E226" s="111">
        <v>44173</v>
      </c>
      <c r="F226" s="110" t="s">
        <v>3592</v>
      </c>
      <c r="G226" s="82" t="s">
        <v>3192</v>
      </c>
      <c r="H226" s="82" t="s">
        <v>3192</v>
      </c>
      <c r="I226" s="82" t="s">
        <v>3122</v>
      </c>
      <c r="J226" s="83" t="str">
        <f>VLOOKUP($C226,CHOOSE({1,2},'[4]Prestações de Conta inadimplent'!$D$9:$D$2000,'[4]Prestações de Conta inadimplent'!$C$9:$C$2000),2,0)</f>
        <v>Centro De Apoio Pedagogico Especializado - Cape Valenca</v>
      </c>
      <c r="L226" s="85"/>
      <c r="M226" s="85"/>
      <c r="T226" s="86"/>
      <c r="U226" s="85"/>
      <c r="V226" s="87"/>
      <c r="W226" s="85"/>
      <c r="X226" s="88"/>
      <c r="Y226" s="89"/>
      <c r="Z226" s="89"/>
      <c r="AA226" s="88"/>
      <c r="AB226" s="88"/>
      <c r="AF226" s="90"/>
      <c r="AK226" s="91"/>
      <c r="AM226" s="92"/>
      <c r="AN226" s="92"/>
      <c r="AO226" s="92"/>
      <c r="AP226" s="92"/>
      <c r="AQ226" s="92"/>
      <c r="AR226" s="92"/>
    </row>
    <row r="227" spans="1:44" s="84" customFormat="1" ht="24" customHeight="1" x14ac:dyDescent="0.3">
      <c r="A227" s="78" t="s">
        <v>3541</v>
      </c>
      <c r="B227" s="79" t="s">
        <v>2097</v>
      </c>
      <c r="C227" s="80">
        <v>1110685</v>
      </c>
      <c r="D227" s="80">
        <v>1101433</v>
      </c>
      <c r="E227" s="80">
        <v>29317134</v>
      </c>
      <c r="F227" s="81" t="s">
        <v>3593</v>
      </c>
      <c r="G227" s="82" t="s">
        <v>3576</v>
      </c>
      <c r="H227" s="82" t="s">
        <v>3594</v>
      </c>
      <c r="I227" s="82" t="s">
        <v>3103</v>
      </c>
      <c r="J227" s="83" t="e">
        <f>VLOOKUP($C227,CHOOSE({1,2},'[4]Prestações de Conta inadimplent'!$D$9:$D$2000,'[4]Prestações de Conta inadimplent'!$C$9:$C$2000),2,0)</f>
        <v>#N/A</v>
      </c>
      <c r="L227" s="85"/>
      <c r="M227" s="85" t="e">
        <v>#REF!</v>
      </c>
      <c r="T227" s="86"/>
      <c r="U227" s="85"/>
      <c r="V227" s="87"/>
      <c r="W227" s="85"/>
      <c r="X227" s="88"/>
      <c r="Y227" s="89"/>
      <c r="Z227" s="89"/>
      <c r="AA227" s="88"/>
      <c r="AB227" s="88"/>
      <c r="AF227" s="90"/>
      <c r="AK227" s="91"/>
      <c r="AM227" s="92"/>
      <c r="AN227" s="92"/>
      <c r="AO227" s="92"/>
      <c r="AP227" s="92"/>
      <c r="AQ227" s="92"/>
      <c r="AR227" s="92"/>
    </row>
    <row r="228" spans="1:44" s="84" customFormat="1" ht="24" customHeight="1" x14ac:dyDescent="0.3">
      <c r="A228" s="78" t="s">
        <v>3595</v>
      </c>
      <c r="B228" s="79" t="s">
        <v>2686</v>
      </c>
      <c r="C228" s="80">
        <v>1178090</v>
      </c>
      <c r="D228" s="80">
        <v>1104561</v>
      </c>
      <c r="E228" s="80">
        <v>29433746</v>
      </c>
      <c r="F228" s="81" t="s">
        <v>3596</v>
      </c>
      <c r="G228" s="82" t="s">
        <v>3597</v>
      </c>
      <c r="H228" s="82" t="s">
        <v>3598</v>
      </c>
      <c r="I228" s="82" t="s">
        <v>3103</v>
      </c>
      <c r="J228" s="83" t="e">
        <f>VLOOKUP($C228,CHOOSE({1,2},'[4]Prestações de Conta inadimplent'!$D$9:$D$2000,'[4]Prestações de Conta inadimplent'!$C$9:$C$2000),2,0)</f>
        <v>#N/A</v>
      </c>
      <c r="L228" s="85"/>
      <c r="M228" s="85" t="e">
        <v>#REF!</v>
      </c>
      <c r="T228" s="86"/>
      <c r="U228" s="85"/>
      <c r="V228" s="87"/>
      <c r="W228" s="85"/>
      <c r="X228" s="88"/>
      <c r="Y228" s="89"/>
      <c r="Z228" s="89"/>
      <c r="AA228" s="88"/>
      <c r="AB228" s="88"/>
      <c r="AF228" s="90"/>
      <c r="AK228" s="91"/>
      <c r="AM228" s="92"/>
      <c r="AN228" s="92"/>
      <c r="AO228" s="92"/>
      <c r="AP228" s="92"/>
      <c r="AQ228" s="92"/>
      <c r="AR228" s="92"/>
    </row>
    <row r="229" spans="1:44" s="84" customFormat="1" ht="24" customHeight="1" x14ac:dyDescent="0.3">
      <c r="A229" s="78" t="s">
        <v>3595</v>
      </c>
      <c r="B229" s="79" t="s">
        <v>2686</v>
      </c>
      <c r="C229" s="80">
        <v>1179279</v>
      </c>
      <c r="D229" s="80">
        <v>9999999</v>
      </c>
      <c r="E229" s="80">
        <v>29459010</v>
      </c>
      <c r="F229" s="81" t="s">
        <v>3599</v>
      </c>
      <c r="G229" s="82" t="s">
        <v>3597</v>
      </c>
      <c r="H229" s="82" t="s">
        <v>3600</v>
      </c>
      <c r="I229" s="82" t="s">
        <v>3103</v>
      </c>
      <c r="J229" s="83" t="e">
        <f>VLOOKUP($C229,CHOOSE({1,2},'[4]Prestações de Conta inadimplent'!$D$9:$D$2000,'[4]Prestações de Conta inadimplent'!$C$9:$C$2000),2,0)</f>
        <v>#N/A</v>
      </c>
      <c r="L229" s="85"/>
      <c r="M229" s="85" t="e">
        <v>#REF!</v>
      </c>
      <c r="T229" s="86"/>
      <c r="U229" s="85"/>
      <c r="V229" s="87"/>
      <c r="W229" s="85"/>
      <c r="X229" s="88"/>
      <c r="Y229" s="89"/>
      <c r="Z229" s="89"/>
      <c r="AA229" s="88"/>
      <c r="AB229" s="88"/>
      <c r="AF229" s="90"/>
      <c r="AK229" s="91"/>
      <c r="AM229" s="92"/>
      <c r="AN229" s="92"/>
      <c r="AO229" s="92"/>
      <c r="AP229" s="92"/>
      <c r="AQ229" s="92"/>
      <c r="AR229" s="92"/>
    </row>
    <row r="230" spans="1:44" s="84" customFormat="1" ht="24" customHeight="1" x14ac:dyDescent="0.3">
      <c r="A230" s="78" t="s">
        <v>3595</v>
      </c>
      <c r="B230" s="79" t="s">
        <v>2102</v>
      </c>
      <c r="C230" s="80">
        <v>1113102</v>
      </c>
      <c r="D230" s="80">
        <v>1101588</v>
      </c>
      <c r="E230" s="80">
        <v>29317789</v>
      </c>
      <c r="F230" s="81" t="s">
        <v>3601</v>
      </c>
      <c r="G230" s="82" t="s">
        <v>3602</v>
      </c>
      <c r="H230" s="82" t="s">
        <v>3603</v>
      </c>
      <c r="I230" s="82" t="s">
        <v>3103</v>
      </c>
      <c r="J230" s="83" t="e">
        <f>VLOOKUP($C230,CHOOSE({1,2},'[4]Prestações de Conta inadimplent'!$D$9:$D$2000,'[4]Prestações de Conta inadimplent'!$C$9:$C$2000),2,0)</f>
        <v>#N/A</v>
      </c>
      <c r="L230" s="85"/>
      <c r="M230" s="85" t="e">
        <v>#REF!</v>
      </c>
      <c r="T230" s="86"/>
      <c r="U230" s="85"/>
      <c r="V230" s="87"/>
      <c r="W230" s="85"/>
      <c r="X230" s="88"/>
      <c r="Y230" s="89"/>
      <c r="Z230" s="88"/>
      <c r="AA230" s="88"/>
      <c r="AB230" s="88"/>
      <c r="AF230" s="90"/>
      <c r="AK230" s="91"/>
      <c r="AM230" s="92"/>
      <c r="AN230" s="92"/>
      <c r="AO230" s="92"/>
      <c r="AP230" s="92"/>
      <c r="AQ230" s="92"/>
      <c r="AR230" s="92"/>
    </row>
    <row r="231" spans="1:44" s="84" customFormat="1" ht="24" customHeight="1" x14ac:dyDescent="0.3">
      <c r="A231" s="78" t="s">
        <v>3595</v>
      </c>
      <c r="B231" s="79" t="s">
        <v>2782</v>
      </c>
      <c r="C231" s="80">
        <v>1178216</v>
      </c>
      <c r="D231" s="80">
        <v>1105446</v>
      </c>
      <c r="E231" s="80">
        <v>29444993</v>
      </c>
      <c r="F231" s="81" t="s">
        <v>2783</v>
      </c>
      <c r="G231" s="82" t="s">
        <v>3604</v>
      </c>
      <c r="H231" s="82" t="s">
        <v>3605</v>
      </c>
      <c r="I231" s="82" t="s">
        <v>3122</v>
      </c>
      <c r="J231" s="83" t="str">
        <f>VLOOKUP($C231,CHOOSE({1,2},'[4]Prestações de Conta inadimplent'!$D$9:$D$2000,'[4]Prestações de Conta inadimplent'!$C$9:$C$2000),2,0)</f>
        <v>Colegio Estadual Professor Paulo Freire</v>
      </c>
      <c r="L231" s="85"/>
      <c r="M231" s="85" t="e">
        <v>#REF!</v>
      </c>
      <c r="T231" s="86"/>
      <c r="U231" s="85"/>
      <c r="V231" s="87"/>
      <c r="W231" s="85"/>
      <c r="X231" s="88"/>
      <c r="Y231" s="89"/>
      <c r="Z231" s="89"/>
      <c r="AA231" s="88"/>
      <c r="AB231" s="88"/>
      <c r="AF231" s="90"/>
      <c r="AK231" s="91"/>
      <c r="AM231" s="92"/>
      <c r="AN231" s="92"/>
      <c r="AO231" s="92"/>
      <c r="AP231" s="92"/>
      <c r="AQ231" s="92"/>
      <c r="AR231" s="92"/>
    </row>
    <row r="232" spans="1:44" s="84" customFormat="1" ht="24" customHeight="1" x14ac:dyDescent="0.3">
      <c r="A232" s="78" t="s">
        <v>3595</v>
      </c>
      <c r="B232" s="79" t="s">
        <v>2796</v>
      </c>
      <c r="C232" s="80">
        <v>1176400</v>
      </c>
      <c r="D232" s="80">
        <v>1101559</v>
      </c>
      <c r="E232" s="80">
        <v>29370485</v>
      </c>
      <c r="F232" s="81" t="s">
        <v>3606</v>
      </c>
      <c r="G232" s="82" t="s">
        <v>3607</v>
      </c>
      <c r="H232" s="82" t="s">
        <v>3608</v>
      </c>
      <c r="I232" s="82" t="s">
        <v>3103</v>
      </c>
      <c r="J232" s="83" t="e">
        <f>VLOOKUP($C232,CHOOSE({1,2},'[4]Prestações de Conta inadimplent'!$D$9:$D$2000,'[4]Prestações de Conta inadimplent'!$C$9:$C$2000),2,0)</f>
        <v>#N/A</v>
      </c>
      <c r="L232" s="85" t="s">
        <v>3099</v>
      </c>
      <c r="M232" s="85" t="e">
        <v>#REF!</v>
      </c>
      <c r="T232" s="86"/>
      <c r="U232" s="85"/>
      <c r="V232" s="87"/>
      <c r="W232" s="85"/>
      <c r="X232" s="88"/>
      <c r="Y232" s="89"/>
      <c r="Z232" s="89"/>
      <c r="AA232" s="88"/>
      <c r="AB232" s="88"/>
      <c r="AF232" s="90"/>
      <c r="AK232" s="91"/>
      <c r="AM232" s="92"/>
      <c r="AN232" s="92"/>
      <c r="AO232" s="92"/>
      <c r="AP232" s="92"/>
      <c r="AQ232" s="92"/>
      <c r="AR232" s="92"/>
    </row>
    <row r="233" spans="1:44" s="84" customFormat="1" ht="24" customHeight="1" x14ac:dyDescent="0.3">
      <c r="A233" s="78" t="s">
        <v>3595</v>
      </c>
      <c r="B233" s="79" t="s">
        <v>2796</v>
      </c>
      <c r="C233" s="80">
        <v>1179481</v>
      </c>
      <c r="D233" s="80">
        <v>9999999</v>
      </c>
      <c r="E233" s="80">
        <v>29469066</v>
      </c>
      <c r="F233" s="81" t="s">
        <v>3609</v>
      </c>
      <c r="G233" s="82" t="s">
        <v>3607</v>
      </c>
      <c r="H233" s="82" t="s">
        <v>3610</v>
      </c>
      <c r="I233" s="82" t="s">
        <v>3103</v>
      </c>
      <c r="J233" s="83" t="e">
        <f>VLOOKUP($C233,CHOOSE({1,2},'[4]Prestações de Conta inadimplent'!$D$9:$D$2000,'[4]Prestações de Conta inadimplent'!$C$9:$C$2000),2,0)</f>
        <v>#N/A</v>
      </c>
      <c r="L233" s="85"/>
      <c r="M233" s="85" t="e">
        <v>#REF!</v>
      </c>
      <c r="T233" s="86"/>
      <c r="U233" s="85"/>
      <c r="V233" s="87"/>
      <c r="W233" s="85"/>
      <c r="X233" s="88"/>
      <c r="Y233" s="89"/>
      <c r="Z233" s="89"/>
      <c r="AA233" s="88"/>
      <c r="AB233" s="88"/>
      <c r="AF233" s="90"/>
      <c r="AK233" s="91"/>
      <c r="AM233" s="92"/>
      <c r="AN233" s="92"/>
      <c r="AO233" s="92"/>
      <c r="AP233" s="92"/>
      <c r="AQ233" s="92"/>
      <c r="AR233" s="92"/>
    </row>
    <row r="234" spans="1:44" s="84" customFormat="1" ht="24" customHeight="1" x14ac:dyDescent="0.3">
      <c r="A234" s="78" t="s">
        <v>3595</v>
      </c>
      <c r="B234" s="79" t="s">
        <v>2796</v>
      </c>
      <c r="C234" s="80">
        <v>1178109</v>
      </c>
      <c r="D234" s="80">
        <v>1104594</v>
      </c>
      <c r="E234" s="80">
        <v>29446651</v>
      </c>
      <c r="F234" s="81" t="s">
        <v>3611</v>
      </c>
      <c r="G234" s="82" t="s">
        <v>3607</v>
      </c>
      <c r="H234" s="82" t="s">
        <v>3612</v>
      </c>
      <c r="I234" s="82" t="s">
        <v>3103</v>
      </c>
      <c r="J234" s="83" t="e">
        <f>VLOOKUP($C234,CHOOSE({1,2},'[4]Prestações de Conta inadimplent'!$D$9:$D$2000,'[4]Prestações de Conta inadimplent'!$C$9:$C$2000),2,0)</f>
        <v>#N/A</v>
      </c>
      <c r="L234" s="85"/>
      <c r="M234" s="85" t="e">
        <v>#REF!</v>
      </c>
      <c r="T234" s="86"/>
      <c r="U234" s="85"/>
      <c r="V234" s="87"/>
      <c r="W234" s="85"/>
      <c r="X234" s="88"/>
      <c r="Y234" s="89"/>
      <c r="Z234" s="89"/>
      <c r="AA234" s="88"/>
      <c r="AB234" s="88"/>
      <c r="AF234" s="90"/>
      <c r="AK234" s="91"/>
      <c r="AM234" s="92"/>
      <c r="AN234" s="92"/>
      <c r="AO234" s="92"/>
      <c r="AP234" s="92"/>
      <c r="AQ234" s="92"/>
      <c r="AR234" s="92"/>
    </row>
    <row r="235" spans="1:44" s="84" customFormat="1" ht="24" customHeight="1" x14ac:dyDescent="0.3">
      <c r="A235" s="78" t="s">
        <v>3595</v>
      </c>
      <c r="B235" s="79" t="s">
        <v>2127</v>
      </c>
      <c r="C235" s="80">
        <v>1113200</v>
      </c>
      <c r="D235" s="80">
        <v>1101640</v>
      </c>
      <c r="E235" s="80">
        <v>29322480</v>
      </c>
      <c r="F235" s="81" t="s">
        <v>3613</v>
      </c>
      <c r="G235" s="82" t="s">
        <v>3614</v>
      </c>
      <c r="H235" s="82" t="s">
        <v>3615</v>
      </c>
      <c r="I235" s="82" t="s">
        <v>3103</v>
      </c>
      <c r="J235" s="83" t="e">
        <f>VLOOKUP($C235,CHOOSE({1,2},'[4]Prestações de Conta inadimplent'!$D$9:$D$2000,'[4]Prestações de Conta inadimplent'!$C$9:$C$2000),2,0)</f>
        <v>#N/A</v>
      </c>
      <c r="L235" s="85"/>
      <c r="M235" s="85" t="e">
        <v>#REF!</v>
      </c>
      <c r="T235" s="86"/>
      <c r="U235" s="85"/>
      <c r="V235" s="87"/>
      <c r="W235" s="85"/>
      <c r="X235" s="88"/>
      <c r="Y235" s="89"/>
      <c r="Z235" s="88"/>
      <c r="AA235" s="88"/>
      <c r="AB235" s="88"/>
      <c r="AF235" s="90"/>
      <c r="AK235" s="91"/>
      <c r="AM235" s="92"/>
      <c r="AN235" s="92"/>
      <c r="AO235" s="92"/>
      <c r="AP235" s="92"/>
      <c r="AQ235" s="92"/>
      <c r="AR235" s="92"/>
    </row>
    <row r="236" spans="1:44" s="84" customFormat="1" ht="24" customHeight="1" x14ac:dyDescent="0.3">
      <c r="A236" s="78" t="s">
        <v>3595</v>
      </c>
      <c r="B236" s="79" t="s">
        <v>2131</v>
      </c>
      <c r="C236" s="80">
        <v>1170157</v>
      </c>
      <c r="D236" s="80">
        <v>1101563</v>
      </c>
      <c r="E236" s="80">
        <v>29323800</v>
      </c>
      <c r="F236" s="81" t="s">
        <v>3616</v>
      </c>
      <c r="G236" s="82" t="s">
        <v>3607</v>
      </c>
      <c r="H236" s="82" t="s">
        <v>3617</v>
      </c>
      <c r="I236" s="82" t="s">
        <v>3103</v>
      </c>
      <c r="J236" s="83" t="e">
        <f>VLOOKUP($C236,CHOOSE({1,2},'[4]Prestações de Conta inadimplent'!$D$9:$D$2000,'[4]Prestações de Conta inadimplent'!$C$9:$C$2000),2,0)</f>
        <v>#N/A</v>
      </c>
      <c r="L236" s="85"/>
      <c r="M236" s="85" t="e">
        <v>#REF!</v>
      </c>
      <c r="T236" s="86"/>
      <c r="U236" s="85"/>
      <c r="V236" s="87"/>
      <c r="W236" s="85"/>
      <c r="X236" s="88"/>
      <c r="Y236" s="89"/>
      <c r="Z236" s="89"/>
      <c r="AA236" s="88"/>
      <c r="AB236" s="88"/>
      <c r="AF236" s="90"/>
      <c r="AK236" s="91"/>
      <c r="AM236" s="92"/>
      <c r="AN236" s="92"/>
      <c r="AO236" s="92"/>
      <c r="AP236" s="92"/>
      <c r="AQ236" s="92"/>
      <c r="AR236" s="92"/>
    </row>
    <row r="237" spans="1:44" s="84" customFormat="1" ht="24" customHeight="1" x14ac:dyDescent="0.3">
      <c r="A237" s="78" t="s">
        <v>3595</v>
      </c>
      <c r="B237" s="79" t="s">
        <v>2135</v>
      </c>
      <c r="C237" s="80">
        <v>1157525</v>
      </c>
      <c r="D237" s="80">
        <v>1101667</v>
      </c>
      <c r="E237" s="80">
        <v>29323967</v>
      </c>
      <c r="F237" s="81" t="s">
        <v>2136</v>
      </c>
      <c r="G237" s="82" t="s">
        <v>3618</v>
      </c>
      <c r="H237" s="82" t="s">
        <v>3619</v>
      </c>
      <c r="I237" s="82" t="s">
        <v>3103</v>
      </c>
      <c r="J237" s="83" t="e">
        <f>VLOOKUP($C237,CHOOSE({1,2},'[4]Prestações de Conta inadimplent'!$D$9:$D$2000,'[4]Prestações de Conta inadimplent'!$C$9:$C$2000),2,0)</f>
        <v>#N/A</v>
      </c>
      <c r="L237" s="85"/>
      <c r="M237" s="85" t="e">
        <v>#REF!</v>
      </c>
      <c r="T237" s="86"/>
      <c r="U237" s="85"/>
      <c r="V237" s="87"/>
      <c r="W237" s="85"/>
      <c r="X237" s="88"/>
      <c r="Y237" s="89"/>
      <c r="Z237" s="89"/>
      <c r="AA237" s="88"/>
      <c r="AB237" s="88"/>
      <c r="AF237" s="90"/>
      <c r="AK237" s="91"/>
      <c r="AM237" s="92"/>
      <c r="AN237" s="92"/>
      <c r="AO237" s="92"/>
      <c r="AP237" s="92"/>
      <c r="AQ237" s="92"/>
      <c r="AR237" s="92"/>
    </row>
    <row r="238" spans="1:44" s="84" customFormat="1" ht="24" customHeight="1" x14ac:dyDescent="0.3">
      <c r="A238" s="78" t="s">
        <v>3595</v>
      </c>
      <c r="B238" s="79" t="s">
        <v>2979</v>
      </c>
      <c r="C238" s="80">
        <v>1179661</v>
      </c>
      <c r="D238" s="80">
        <v>9999999</v>
      </c>
      <c r="E238" s="80">
        <v>29474272</v>
      </c>
      <c r="F238" s="81" t="s">
        <v>2980</v>
      </c>
      <c r="G238" s="82" t="s">
        <v>3618</v>
      </c>
      <c r="H238" s="82" t="s">
        <v>3620</v>
      </c>
      <c r="I238" s="82" t="s">
        <v>3103</v>
      </c>
      <c r="J238" s="83" t="e">
        <f>VLOOKUP($C238,CHOOSE({1,2},'[4]Prestações de Conta inadimplent'!$D$9:$D$2000,'[4]Prestações de Conta inadimplent'!$C$9:$C$2000),2,0)</f>
        <v>#N/A</v>
      </c>
      <c r="L238" s="85"/>
      <c r="M238" s="85" t="e">
        <v>#REF!</v>
      </c>
      <c r="T238" s="86"/>
      <c r="U238" s="85"/>
      <c r="V238" s="87"/>
      <c r="W238" s="85"/>
      <c r="X238" s="88"/>
      <c r="Y238" s="89"/>
      <c r="Z238" s="89"/>
      <c r="AA238" s="88"/>
      <c r="AB238" s="88"/>
      <c r="AF238" s="90"/>
      <c r="AK238" s="91"/>
      <c r="AM238" s="92"/>
      <c r="AN238" s="92"/>
      <c r="AO238" s="92"/>
      <c r="AP238" s="92"/>
      <c r="AQ238" s="92"/>
      <c r="AR238" s="92"/>
    </row>
    <row r="239" spans="1:44" s="84" customFormat="1" ht="24" customHeight="1" x14ac:dyDescent="0.3">
      <c r="A239" s="78" t="s">
        <v>3595</v>
      </c>
      <c r="B239" s="79" t="s">
        <v>2139</v>
      </c>
      <c r="C239" s="80">
        <v>1178093</v>
      </c>
      <c r="D239" s="80">
        <v>1104562</v>
      </c>
      <c r="E239" s="80">
        <v>29433843</v>
      </c>
      <c r="F239" s="81" t="s">
        <v>3621</v>
      </c>
      <c r="G239" s="82" t="s">
        <v>3622</v>
      </c>
      <c r="H239" s="82" t="s">
        <v>3623</v>
      </c>
      <c r="I239" s="82" t="s">
        <v>3103</v>
      </c>
      <c r="J239" s="83" t="e">
        <f>VLOOKUP($C239,CHOOSE({1,2},'[4]Prestações de Conta inadimplent'!$D$9:$D$2000,'[4]Prestações de Conta inadimplent'!$C$9:$C$2000),2,0)</f>
        <v>#N/A</v>
      </c>
      <c r="L239" s="85"/>
      <c r="M239" s="85" t="e">
        <v>#REF!</v>
      </c>
      <c r="T239" s="86"/>
      <c r="U239" s="85"/>
      <c r="V239" s="87"/>
      <c r="W239" s="85"/>
      <c r="X239" s="88"/>
      <c r="Y239" s="89"/>
      <c r="Z239" s="88"/>
      <c r="AA239" s="88"/>
      <c r="AB239" s="88"/>
      <c r="AF239" s="90"/>
      <c r="AK239" s="91"/>
      <c r="AM239" s="92"/>
      <c r="AN239" s="92"/>
      <c r="AO239" s="92"/>
      <c r="AP239" s="92"/>
      <c r="AQ239" s="92"/>
      <c r="AR239" s="92"/>
    </row>
    <row r="240" spans="1:44" s="84" customFormat="1" ht="24" customHeight="1" x14ac:dyDescent="0.3">
      <c r="A240" s="78" t="s">
        <v>3595</v>
      </c>
      <c r="B240" s="79" t="s">
        <v>2139</v>
      </c>
      <c r="C240" s="80">
        <v>1157746</v>
      </c>
      <c r="D240" s="80">
        <v>1101778</v>
      </c>
      <c r="E240" s="80">
        <v>29325099</v>
      </c>
      <c r="F240" s="81" t="s">
        <v>3624</v>
      </c>
      <c r="G240" s="82" t="s">
        <v>3622</v>
      </c>
      <c r="H240" s="82" t="s">
        <v>3625</v>
      </c>
      <c r="I240" s="82" t="s">
        <v>3103</v>
      </c>
      <c r="J240" s="83" t="e">
        <f>VLOOKUP($C240,CHOOSE({1,2},'[4]Prestações de Conta inadimplent'!$D$9:$D$2000,'[4]Prestações de Conta inadimplent'!$C$9:$C$2000),2,0)</f>
        <v>#N/A</v>
      </c>
      <c r="L240" s="85"/>
      <c r="M240" s="85" t="e">
        <v>#REF!</v>
      </c>
      <c r="T240" s="86"/>
      <c r="U240" s="85"/>
      <c r="V240" s="87"/>
      <c r="W240" s="85"/>
      <c r="X240" s="88"/>
      <c r="Y240" s="89"/>
      <c r="Z240" s="88"/>
      <c r="AA240" s="88"/>
      <c r="AB240" s="88"/>
      <c r="AF240" s="90"/>
      <c r="AK240" s="91"/>
      <c r="AM240" s="92"/>
      <c r="AN240" s="92"/>
      <c r="AO240" s="92"/>
      <c r="AP240" s="92"/>
      <c r="AQ240" s="92"/>
      <c r="AR240" s="92"/>
    </row>
    <row r="241" spans="1:44" s="84" customFormat="1" ht="24" customHeight="1" x14ac:dyDescent="0.3">
      <c r="A241" s="78" t="s">
        <v>3595</v>
      </c>
      <c r="B241" s="79" t="s">
        <v>2139</v>
      </c>
      <c r="C241" s="80">
        <v>1178427</v>
      </c>
      <c r="D241" s="80">
        <v>1105588</v>
      </c>
      <c r="E241" s="80">
        <v>29399246</v>
      </c>
      <c r="F241" s="81" t="s">
        <v>3626</v>
      </c>
      <c r="G241" s="82" t="s">
        <v>3622</v>
      </c>
      <c r="H241" s="82" t="s">
        <v>3627</v>
      </c>
      <c r="I241" s="82" t="s">
        <v>3103</v>
      </c>
      <c r="J241" s="83" t="e">
        <f>VLOOKUP($C241,CHOOSE({1,2},'[4]Prestações de Conta inadimplent'!$D$9:$D$2000,'[4]Prestações de Conta inadimplent'!$C$9:$C$2000),2,0)</f>
        <v>#N/A</v>
      </c>
      <c r="L241" s="85"/>
      <c r="M241" s="85" t="e">
        <v>#REF!</v>
      </c>
      <c r="T241" s="86"/>
      <c r="U241" s="85"/>
      <c r="V241" s="87"/>
      <c r="W241" s="85"/>
      <c r="X241" s="88"/>
      <c r="Y241" s="89"/>
      <c r="Z241" s="89"/>
      <c r="AA241" s="88"/>
      <c r="AB241" s="88"/>
      <c r="AF241" s="90"/>
      <c r="AK241" s="91"/>
      <c r="AM241" s="92"/>
      <c r="AN241" s="92"/>
      <c r="AO241" s="92"/>
      <c r="AP241" s="92"/>
      <c r="AQ241" s="92"/>
      <c r="AR241" s="92"/>
    </row>
    <row r="242" spans="1:44" s="84" customFormat="1" ht="24" customHeight="1" x14ac:dyDescent="0.3">
      <c r="A242" s="78" t="s">
        <v>3595</v>
      </c>
      <c r="B242" s="79" t="s">
        <v>2143</v>
      </c>
      <c r="C242" s="80">
        <v>1178036</v>
      </c>
      <c r="D242" s="80">
        <v>1101831</v>
      </c>
      <c r="E242" s="80">
        <v>29425719</v>
      </c>
      <c r="F242" s="81" t="s">
        <v>3628</v>
      </c>
      <c r="G242" s="82" t="s">
        <v>3629</v>
      </c>
      <c r="H242" s="82" t="s">
        <v>3630</v>
      </c>
      <c r="I242" s="82" t="s">
        <v>3103</v>
      </c>
      <c r="J242" s="83" t="e">
        <f>VLOOKUP($C242,CHOOSE({1,2},'[4]Prestações de Conta inadimplent'!$D$9:$D$2000,'[4]Prestações de Conta inadimplent'!$C$9:$C$2000),2,0)</f>
        <v>#N/A</v>
      </c>
      <c r="L242" s="85"/>
      <c r="M242" s="85" t="e">
        <v>#REF!</v>
      </c>
      <c r="T242" s="86"/>
      <c r="U242" s="85"/>
      <c r="V242" s="87"/>
      <c r="W242" s="85"/>
      <c r="X242" s="88"/>
      <c r="Y242" s="89"/>
      <c r="Z242" s="88"/>
      <c r="AA242" s="88"/>
      <c r="AB242" s="88"/>
      <c r="AF242" s="90"/>
      <c r="AK242" s="91"/>
      <c r="AM242" s="92"/>
      <c r="AN242" s="92"/>
      <c r="AO242" s="92"/>
      <c r="AP242" s="92"/>
      <c r="AQ242" s="92"/>
      <c r="AR242" s="92"/>
    </row>
    <row r="243" spans="1:44" s="84" customFormat="1" ht="24" customHeight="1" x14ac:dyDescent="0.3">
      <c r="A243" s="78" t="s">
        <v>3595</v>
      </c>
      <c r="B243" s="79" t="s">
        <v>2143</v>
      </c>
      <c r="C243" s="80">
        <v>1136480</v>
      </c>
      <c r="D243" s="80">
        <v>1101828</v>
      </c>
      <c r="E243" s="80">
        <v>29325803</v>
      </c>
      <c r="F243" s="81" t="s">
        <v>3631</v>
      </c>
      <c r="G243" s="82" t="s">
        <v>3629</v>
      </c>
      <c r="H243" s="82" t="s">
        <v>3632</v>
      </c>
      <c r="I243" s="82" t="s">
        <v>3103</v>
      </c>
      <c r="J243" s="83" t="e">
        <f>VLOOKUP($C243,CHOOSE({1,2},'[4]Prestações de Conta inadimplent'!$D$9:$D$2000,'[4]Prestações de Conta inadimplent'!$C$9:$C$2000),2,0)</f>
        <v>#N/A</v>
      </c>
      <c r="L243" s="85"/>
      <c r="M243" s="85" t="e">
        <v>#REF!</v>
      </c>
      <c r="T243" s="86"/>
      <c r="U243" s="85"/>
      <c r="V243" s="87"/>
      <c r="W243" s="85"/>
      <c r="X243" s="88"/>
      <c r="Y243" s="89"/>
      <c r="Z243" s="89"/>
      <c r="AA243" s="88"/>
      <c r="AB243" s="88"/>
      <c r="AF243" s="90"/>
      <c r="AK243" s="91"/>
      <c r="AM243" s="92"/>
      <c r="AN243" s="92"/>
      <c r="AO243" s="92"/>
      <c r="AP243" s="92"/>
      <c r="AQ243" s="92"/>
      <c r="AR243" s="92"/>
    </row>
    <row r="244" spans="1:44" s="84" customFormat="1" ht="24" customHeight="1" x14ac:dyDescent="0.3">
      <c r="A244" s="78" t="s">
        <v>3595</v>
      </c>
      <c r="B244" s="79" t="s">
        <v>2143</v>
      </c>
      <c r="C244" s="80">
        <v>1113579</v>
      </c>
      <c r="D244" s="80">
        <v>1101825</v>
      </c>
      <c r="E244" s="80">
        <v>29628610</v>
      </c>
      <c r="F244" s="81" t="s">
        <v>3633</v>
      </c>
      <c r="G244" s="82" t="s">
        <v>3629</v>
      </c>
      <c r="H244" s="82" t="s">
        <v>3634</v>
      </c>
      <c r="I244" s="82" t="s">
        <v>3103</v>
      </c>
      <c r="J244" s="83" t="e">
        <f>VLOOKUP($C244,CHOOSE({1,2},'[4]Prestações de Conta inadimplent'!$D$9:$D$2000,'[4]Prestações de Conta inadimplent'!$C$9:$C$2000),2,0)</f>
        <v>#N/A</v>
      </c>
      <c r="L244" s="85"/>
      <c r="M244" s="85" t="e">
        <v>#REF!</v>
      </c>
      <c r="T244" s="86"/>
      <c r="U244" s="85"/>
      <c r="V244" s="87"/>
      <c r="W244" s="85"/>
      <c r="X244" s="88"/>
      <c r="Y244" s="89"/>
      <c r="Z244" s="89"/>
      <c r="AA244" s="88"/>
      <c r="AB244" s="88"/>
      <c r="AF244" s="90"/>
      <c r="AK244" s="91"/>
      <c r="AM244" s="92"/>
      <c r="AN244" s="92"/>
      <c r="AO244" s="92"/>
      <c r="AP244" s="92"/>
      <c r="AQ244" s="92"/>
      <c r="AR244" s="92"/>
    </row>
    <row r="245" spans="1:44" s="84" customFormat="1" ht="24" customHeight="1" x14ac:dyDescent="0.3">
      <c r="A245" s="78" t="s">
        <v>3595</v>
      </c>
      <c r="B245" s="79" t="s">
        <v>2153</v>
      </c>
      <c r="C245" s="80">
        <v>1179452</v>
      </c>
      <c r="D245" s="80">
        <v>9999999</v>
      </c>
      <c r="E245" s="80">
        <v>29467551</v>
      </c>
      <c r="F245" s="81" t="s">
        <v>3635</v>
      </c>
      <c r="G245" s="82" t="s">
        <v>3629</v>
      </c>
      <c r="H245" s="82" t="s">
        <v>3636</v>
      </c>
      <c r="I245" s="82" t="s">
        <v>3103</v>
      </c>
      <c r="J245" s="83" t="e">
        <f>VLOOKUP($C245,CHOOSE({1,2},'[4]Prestações de Conta inadimplent'!$D$9:$D$2000,'[4]Prestações de Conta inadimplent'!$C$9:$C$2000),2,0)</f>
        <v>#N/A</v>
      </c>
      <c r="L245" s="85"/>
      <c r="M245" s="85" t="e">
        <v>#REF!</v>
      </c>
      <c r="T245" s="86"/>
      <c r="U245" s="85"/>
      <c r="V245" s="87"/>
      <c r="W245" s="85"/>
      <c r="X245" s="88"/>
      <c r="Y245" s="89"/>
      <c r="Z245" s="89"/>
      <c r="AA245" s="88"/>
      <c r="AB245" s="88"/>
      <c r="AF245" s="90"/>
      <c r="AK245" s="91"/>
      <c r="AM245" s="92"/>
      <c r="AN245" s="92"/>
      <c r="AO245" s="92"/>
      <c r="AP245" s="92"/>
      <c r="AQ245" s="92"/>
      <c r="AR245" s="92"/>
    </row>
    <row r="246" spans="1:44" s="84" customFormat="1" ht="24" customHeight="1" x14ac:dyDescent="0.3">
      <c r="A246" s="78" t="s">
        <v>3595</v>
      </c>
      <c r="B246" s="79" t="s">
        <v>2153</v>
      </c>
      <c r="C246" s="112">
        <v>1178128</v>
      </c>
      <c r="D246" s="112">
        <v>1105055</v>
      </c>
      <c r="E246" s="112">
        <v>29327229</v>
      </c>
      <c r="F246" s="81" t="s">
        <v>3637</v>
      </c>
      <c r="G246" s="82" t="s">
        <v>3629</v>
      </c>
      <c r="H246" s="82" t="s">
        <v>3638</v>
      </c>
      <c r="I246" s="82" t="s">
        <v>3103</v>
      </c>
      <c r="J246" s="83" t="e">
        <f>VLOOKUP($C246,CHOOSE({1,2},'[4]Prestações de Conta inadimplent'!$D$9:$D$2000,'[4]Prestações de Conta inadimplent'!$C$9:$C$2000),2,0)</f>
        <v>#N/A</v>
      </c>
      <c r="L246" s="85"/>
      <c r="M246" s="85" t="e">
        <v>#REF!</v>
      </c>
      <c r="T246" s="86"/>
      <c r="U246" s="85"/>
      <c r="V246" s="87"/>
      <c r="W246" s="85"/>
      <c r="X246" s="88"/>
      <c r="Y246" s="89"/>
      <c r="Z246" s="89"/>
      <c r="AA246" s="88"/>
      <c r="AB246" s="88"/>
      <c r="AF246" s="90"/>
      <c r="AK246" s="91"/>
      <c r="AM246" s="92"/>
      <c r="AN246" s="92"/>
      <c r="AO246" s="92"/>
      <c r="AP246" s="92"/>
      <c r="AQ246" s="92"/>
      <c r="AR246" s="92"/>
    </row>
    <row r="247" spans="1:44" s="84" customFormat="1" ht="24" customHeight="1" x14ac:dyDescent="0.3">
      <c r="A247" s="78" t="s">
        <v>3595</v>
      </c>
      <c r="B247" s="79" t="s">
        <v>2153</v>
      </c>
      <c r="C247" s="112">
        <v>1178127</v>
      </c>
      <c r="D247" s="112">
        <v>1105054</v>
      </c>
      <c r="E247" s="112">
        <v>29327059</v>
      </c>
      <c r="F247" s="81" t="s">
        <v>3639</v>
      </c>
      <c r="G247" s="82" t="s">
        <v>3629</v>
      </c>
      <c r="H247" s="82" t="s">
        <v>3640</v>
      </c>
      <c r="I247" s="82" t="s">
        <v>3103</v>
      </c>
      <c r="J247" s="83" t="e">
        <f>VLOOKUP($C247,CHOOSE({1,2},'[4]Prestações de Conta inadimplent'!$D$9:$D$2000,'[4]Prestações de Conta inadimplent'!$C$9:$C$2000),2,0)</f>
        <v>#N/A</v>
      </c>
      <c r="L247" s="85"/>
      <c r="M247" s="85" t="e">
        <v>#REF!</v>
      </c>
      <c r="T247" s="86"/>
      <c r="U247" s="85"/>
      <c r="V247" s="87"/>
      <c r="W247" s="85"/>
      <c r="X247" s="88"/>
      <c r="Y247" s="89"/>
      <c r="Z247" s="89"/>
      <c r="AA247" s="88"/>
      <c r="AB247" s="88"/>
      <c r="AF247" s="90"/>
      <c r="AK247" s="91"/>
      <c r="AM247" s="92"/>
      <c r="AN247" s="92"/>
      <c r="AO247" s="92"/>
      <c r="AP247" s="92"/>
      <c r="AQ247" s="92"/>
      <c r="AR247" s="92"/>
    </row>
    <row r="248" spans="1:44" s="84" customFormat="1" ht="24" customHeight="1" x14ac:dyDescent="0.3">
      <c r="A248" s="78" t="s">
        <v>3595</v>
      </c>
      <c r="B248" s="79" t="s">
        <v>2153</v>
      </c>
      <c r="C248" s="112">
        <v>1179368</v>
      </c>
      <c r="D248" s="112">
        <v>9999999</v>
      </c>
      <c r="E248" s="112">
        <v>29464390</v>
      </c>
      <c r="F248" s="81" t="s">
        <v>3641</v>
      </c>
      <c r="G248" s="82" t="s">
        <v>3642</v>
      </c>
      <c r="H248" s="82" t="s">
        <v>3643</v>
      </c>
      <c r="I248" s="82" t="s">
        <v>3122</v>
      </c>
      <c r="J248" s="83" t="str">
        <f>VLOOKUP($C248,CHOOSE({1,2},'[4]Prestações de Conta inadimplent'!$D$9:$D$2000,'[4]Prestações de Conta inadimplent'!$C$9:$C$2000),2,0)</f>
        <v>Colegio Estadual Indigena Tanara Pataxo Pequi/gurita</v>
      </c>
      <c r="L248" s="85"/>
      <c r="M248" s="85" t="e">
        <v>#REF!</v>
      </c>
      <c r="T248" s="86"/>
      <c r="U248" s="85"/>
      <c r="V248" s="87"/>
      <c r="W248" s="85"/>
      <c r="X248" s="88"/>
      <c r="Y248" s="89"/>
      <c r="Z248" s="89"/>
      <c r="AA248" s="88"/>
      <c r="AB248" s="88"/>
      <c r="AF248" s="90"/>
      <c r="AK248" s="91"/>
      <c r="AM248" s="92"/>
      <c r="AN248" s="92"/>
      <c r="AO248" s="92"/>
      <c r="AP248" s="92"/>
      <c r="AQ248" s="92"/>
      <c r="AR248" s="92"/>
    </row>
    <row r="249" spans="1:44" s="84" customFormat="1" ht="24" customHeight="1" x14ac:dyDescent="0.3">
      <c r="A249" s="78" t="s">
        <v>3595</v>
      </c>
      <c r="B249" s="79" t="s">
        <v>2153</v>
      </c>
      <c r="C249" s="112">
        <v>1179453</v>
      </c>
      <c r="D249" s="112">
        <v>9999999</v>
      </c>
      <c r="E249" s="112">
        <v>29467624</v>
      </c>
      <c r="F249" s="81" t="s">
        <v>3644</v>
      </c>
      <c r="G249" s="82" t="s">
        <v>3642</v>
      </c>
      <c r="H249" s="82" t="s">
        <v>3645</v>
      </c>
      <c r="I249" s="82" t="s">
        <v>3103</v>
      </c>
      <c r="J249" s="83" t="e">
        <f>VLOOKUP($C249,CHOOSE({1,2},'[4]Prestações de Conta inadimplent'!$D$9:$D$2000,'[4]Prestações de Conta inadimplent'!$C$9:$C$2000),2,0)</f>
        <v>#N/A</v>
      </c>
      <c r="L249" s="85"/>
      <c r="M249" s="85" t="e">
        <v>#REF!</v>
      </c>
      <c r="T249" s="86"/>
      <c r="U249" s="85"/>
      <c r="V249" s="87"/>
      <c r="W249" s="85"/>
      <c r="X249" s="88"/>
      <c r="Y249" s="89"/>
      <c r="Z249" s="89"/>
      <c r="AA249" s="88"/>
      <c r="AB249" s="88"/>
      <c r="AF249" s="90"/>
      <c r="AK249" s="91"/>
      <c r="AM249" s="92"/>
      <c r="AN249" s="92"/>
      <c r="AO249" s="92"/>
      <c r="AP249" s="92"/>
      <c r="AQ249" s="92"/>
      <c r="AR249" s="92"/>
    </row>
    <row r="250" spans="1:44" s="84" customFormat="1" ht="24" customHeight="1" x14ac:dyDescent="0.3">
      <c r="A250" s="78" t="s">
        <v>3595</v>
      </c>
      <c r="B250" s="79" t="s">
        <v>2153</v>
      </c>
      <c r="C250" s="112">
        <v>1179686</v>
      </c>
      <c r="D250" s="112">
        <v>9999999</v>
      </c>
      <c r="E250" s="112">
        <v>29477220</v>
      </c>
      <c r="F250" s="81" t="s">
        <v>3646</v>
      </c>
      <c r="G250" s="82" t="s">
        <v>3607</v>
      </c>
      <c r="H250" s="82" t="s">
        <v>3647</v>
      </c>
      <c r="I250" s="82" t="s">
        <v>3103</v>
      </c>
      <c r="J250" s="83" t="e">
        <f>VLOOKUP($C250,CHOOSE({1,2},'[4]Prestações de Conta inadimplent'!$D$9:$D$2000,'[4]Prestações de Conta inadimplent'!$C$9:$C$2000),2,0)</f>
        <v>#N/A</v>
      </c>
      <c r="L250" s="85"/>
      <c r="M250" s="85" t="e">
        <v>#REF!</v>
      </c>
      <c r="T250" s="86"/>
      <c r="U250" s="85"/>
      <c r="V250" s="87"/>
      <c r="W250" s="85"/>
      <c r="X250" s="88"/>
      <c r="Y250" s="89"/>
      <c r="Z250" s="89"/>
      <c r="AA250" s="88"/>
      <c r="AB250" s="88"/>
      <c r="AF250" s="90"/>
      <c r="AK250" s="91"/>
      <c r="AM250" s="92"/>
      <c r="AN250" s="92"/>
      <c r="AO250" s="92"/>
      <c r="AP250" s="92"/>
      <c r="AQ250" s="92"/>
      <c r="AR250" s="92"/>
    </row>
    <row r="251" spans="1:44" s="84" customFormat="1" ht="24" customHeight="1" x14ac:dyDescent="0.3">
      <c r="A251" s="78" t="s">
        <v>3595</v>
      </c>
      <c r="B251" s="79" t="s">
        <v>2153</v>
      </c>
      <c r="C251" s="112">
        <v>1178182</v>
      </c>
      <c r="D251" s="112">
        <v>1105462</v>
      </c>
      <c r="E251" s="112">
        <v>29440530</v>
      </c>
      <c r="F251" s="81" t="s">
        <v>3648</v>
      </c>
      <c r="G251" s="82" t="s">
        <v>3642</v>
      </c>
      <c r="H251" s="82" t="s">
        <v>3649</v>
      </c>
      <c r="I251" s="82" t="s">
        <v>3103</v>
      </c>
      <c r="J251" s="83" t="e">
        <f>VLOOKUP($C251,CHOOSE({1,2},'[4]Prestações de Conta inadimplent'!$D$9:$D$2000,'[4]Prestações de Conta inadimplent'!$C$9:$C$2000),2,0)</f>
        <v>#N/A</v>
      </c>
      <c r="L251" s="85"/>
      <c r="M251" s="85" t="e">
        <v>#REF!</v>
      </c>
      <c r="T251" s="86"/>
      <c r="U251" s="85"/>
      <c r="V251" s="87"/>
      <c r="W251" s="85"/>
      <c r="X251" s="88"/>
      <c r="Y251" s="89"/>
      <c r="Z251" s="89"/>
      <c r="AA251" s="88"/>
      <c r="AB251" s="88"/>
      <c r="AF251" s="90"/>
      <c r="AK251" s="91"/>
      <c r="AM251" s="92"/>
      <c r="AN251" s="92"/>
      <c r="AO251" s="92"/>
      <c r="AP251" s="92"/>
      <c r="AQ251" s="92"/>
      <c r="AR251" s="92"/>
    </row>
    <row r="252" spans="1:44" s="84" customFormat="1" ht="24" customHeight="1" x14ac:dyDescent="0.3">
      <c r="A252" s="78" t="s">
        <v>3595</v>
      </c>
      <c r="B252" s="79" t="s">
        <v>2153</v>
      </c>
      <c r="C252" s="112">
        <v>1178223</v>
      </c>
      <c r="D252" s="112">
        <v>1105474</v>
      </c>
      <c r="E252" s="112">
        <v>29445213</v>
      </c>
      <c r="F252" s="81" t="s">
        <v>3650</v>
      </c>
      <c r="G252" s="82" t="s">
        <v>3629</v>
      </c>
      <c r="H252" s="82" t="s">
        <v>3651</v>
      </c>
      <c r="I252" s="82" t="s">
        <v>3103</v>
      </c>
      <c r="J252" s="83" t="e">
        <f>VLOOKUP($C252,CHOOSE({1,2},'[4]Prestações de Conta inadimplent'!$D$9:$D$2000,'[4]Prestações de Conta inadimplent'!$C$9:$C$2000),2,0)</f>
        <v>#N/A</v>
      </c>
      <c r="L252" s="85"/>
      <c r="M252" s="85" t="e">
        <v>#REF!</v>
      </c>
      <c r="T252" s="86"/>
      <c r="U252" s="85"/>
      <c r="V252" s="85"/>
      <c r="W252" s="85"/>
      <c r="X252" s="88"/>
      <c r="Y252" s="89"/>
      <c r="Z252" s="89"/>
      <c r="AA252" s="88"/>
      <c r="AB252" s="88"/>
      <c r="AF252" s="90"/>
      <c r="AK252" s="91"/>
      <c r="AM252" s="92"/>
      <c r="AN252" s="92"/>
      <c r="AO252" s="92"/>
      <c r="AP252" s="92"/>
      <c r="AQ252" s="92"/>
      <c r="AR252" s="92"/>
    </row>
    <row r="253" spans="1:44" s="84" customFormat="1" ht="24" customHeight="1" x14ac:dyDescent="0.3">
      <c r="A253" s="78" t="s">
        <v>3595</v>
      </c>
      <c r="B253" s="79" t="s">
        <v>2153</v>
      </c>
      <c r="C253" s="112">
        <v>1113749</v>
      </c>
      <c r="D253" s="112">
        <v>1101836</v>
      </c>
      <c r="E253" s="112">
        <v>29327202</v>
      </c>
      <c r="F253" s="81" t="s">
        <v>3652</v>
      </c>
      <c r="G253" s="82" t="s">
        <v>3642</v>
      </c>
      <c r="H253" s="82" t="s">
        <v>3653</v>
      </c>
      <c r="I253" s="82" t="s">
        <v>3103</v>
      </c>
      <c r="J253" s="83" t="e">
        <f>VLOOKUP($C253,CHOOSE({1,2},'[4]Prestações de Conta inadimplent'!$D$9:$D$2000,'[4]Prestações de Conta inadimplent'!$C$9:$C$2000),2,0)</f>
        <v>#N/A</v>
      </c>
      <c r="L253" s="85"/>
      <c r="M253" s="85" t="e">
        <v>#REF!</v>
      </c>
      <c r="T253" s="86"/>
      <c r="U253" s="85"/>
      <c r="V253" s="87"/>
      <c r="W253" s="85"/>
      <c r="X253" s="88"/>
      <c r="Y253" s="89"/>
      <c r="Z253" s="88"/>
      <c r="AA253" s="88"/>
      <c r="AB253" s="88"/>
      <c r="AF253" s="90"/>
      <c r="AK253" s="91"/>
      <c r="AM253" s="92"/>
      <c r="AN253" s="92"/>
      <c r="AO253" s="92"/>
      <c r="AP253" s="92"/>
      <c r="AQ253" s="92"/>
      <c r="AR253" s="92"/>
    </row>
    <row r="254" spans="1:44" s="84" customFormat="1" ht="24" customHeight="1" x14ac:dyDescent="0.3">
      <c r="A254" s="78" t="s">
        <v>3595</v>
      </c>
      <c r="B254" s="79" t="s">
        <v>2160</v>
      </c>
      <c r="C254" s="112">
        <v>1176425</v>
      </c>
      <c r="D254" s="112">
        <v>1101855</v>
      </c>
      <c r="E254" s="112">
        <v>29389631</v>
      </c>
      <c r="F254" s="81" t="s">
        <v>2308</v>
      </c>
      <c r="G254" s="82" t="s">
        <v>3629</v>
      </c>
      <c r="H254" s="82" t="s">
        <v>3654</v>
      </c>
      <c r="I254" s="82" t="s">
        <v>3103</v>
      </c>
      <c r="J254" s="83" t="e">
        <f>VLOOKUP($C254,CHOOSE({1,2},'[4]Prestações de Conta inadimplent'!$D$9:$D$2000,'[4]Prestações de Conta inadimplent'!$C$9:$C$2000),2,0)</f>
        <v>#N/A</v>
      </c>
      <c r="L254" s="85"/>
      <c r="M254" s="85" t="e">
        <v>#REF!</v>
      </c>
      <c r="T254" s="86"/>
      <c r="U254" s="85"/>
      <c r="V254" s="87"/>
      <c r="W254" s="85"/>
      <c r="X254" s="88"/>
      <c r="Y254" s="89"/>
      <c r="Z254" s="88"/>
      <c r="AA254" s="88"/>
      <c r="AB254" s="88"/>
      <c r="AF254" s="90"/>
      <c r="AK254" s="91"/>
      <c r="AM254" s="92"/>
      <c r="AN254" s="92"/>
      <c r="AO254" s="92"/>
      <c r="AP254" s="92"/>
      <c r="AQ254" s="92"/>
      <c r="AR254" s="92"/>
    </row>
    <row r="255" spans="1:44" s="84" customFormat="1" ht="24" customHeight="1" x14ac:dyDescent="0.3">
      <c r="A255" s="78" t="s">
        <v>3595</v>
      </c>
      <c r="B255" s="79" t="s">
        <v>2160</v>
      </c>
      <c r="C255" s="112">
        <v>1179713</v>
      </c>
      <c r="D255" s="112">
        <v>9999999</v>
      </c>
      <c r="E255" s="112">
        <v>29483247</v>
      </c>
      <c r="F255" s="81" t="s">
        <v>3655</v>
      </c>
      <c r="G255" s="82" t="s">
        <v>3629</v>
      </c>
      <c r="H255" s="82" t="s">
        <v>3656</v>
      </c>
      <c r="I255" s="82" t="s">
        <v>3122</v>
      </c>
      <c r="J255" s="83" t="str">
        <f>VLOOKUP($C255,CHOOSE({1,2},'[4]Prestações de Conta inadimplent'!$D$9:$D$2000,'[4]Prestações de Conta inadimplent'!$C$9:$C$2000),2,0)</f>
        <v>Centro Regional De Ens Medio Com Interm Tecnologica -cemit Extremo Sul</v>
      </c>
      <c r="L255" s="85"/>
      <c r="M255" s="85" t="e">
        <v>#REF!</v>
      </c>
      <c r="T255" s="86"/>
      <c r="U255" s="85"/>
      <c r="V255" s="85"/>
      <c r="W255" s="85"/>
      <c r="X255" s="88"/>
      <c r="Y255" s="89"/>
      <c r="Z255" s="88"/>
      <c r="AA255" s="88"/>
      <c r="AB255" s="88"/>
      <c r="AF255" s="90"/>
      <c r="AK255" s="91"/>
      <c r="AM255" s="92"/>
      <c r="AN255" s="92"/>
      <c r="AO255" s="92"/>
      <c r="AP255" s="92"/>
      <c r="AQ255" s="92"/>
      <c r="AR255" s="92"/>
    </row>
    <row r="256" spans="1:44" s="84" customFormat="1" ht="24" customHeight="1" x14ac:dyDescent="0.3">
      <c r="A256" s="78" t="s">
        <v>3595</v>
      </c>
      <c r="B256" s="79" t="s">
        <v>2160</v>
      </c>
      <c r="C256" s="112">
        <v>1113803</v>
      </c>
      <c r="D256" s="112">
        <v>1101845</v>
      </c>
      <c r="E256" s="112">
        <v>29328349</v>
      </c>
      <c r="F256" s="81" t="s">
        <v>3657</v>
      </c>
      <c r="G256" s="82" t="s">
        <v>3629</v>
      </c>
      <c r="H256" s="82" t="s">
        <v>3658</v>
      </c>
      <c r="I256" s="82" t="s">
        <v>3103</v>
      </c>
      <c r="J256" s="83" t="e">
        <f>VLOOKUP($C256,CHOOSE({1,2},'[4]Prestações de Conta inadimplent'!$D$9:$D$2000,'[4]Prestações de Conta inadimplent'!$C$9:$C$2000),2,0)</f>
        <v>#N/A</v>
      </c>
      <c r="L256" s="85"/>
      <c r="M256" s="85" t="e">
        <v>#REF!</v>
      </c>
      <c r="T256" s="86"/>
      <c r="U256" s="85"/>
      <c r="V256" s="85"/>
      <c r="W256" s="85"/>
      <c r="X256" s="88"/>
      <c r="Y256" s="89"/>
      <c r="Z256" s="88"/>
      <c r="AA256" s="88"/>
      <c r="AB256" s="88"/>
      <c r="AF256" s="90"/>
      <c r="AK256" s="91"/>
      <c r="AM256" s="92"/>
      <c r="AN256" s="92"/>
      <c r="AO256" s="92"/>
      <c r="AP256" s="92"/>
      <c r="AQ256" s="92"/>
      <c r="AR256" s="92"/>
    </row>
    <row r="257" spans="1:44" s="84" customFormat="1" ht="24" customHeight="1" x14ac:dyDescent="0.3">
      <c r="A257" s="78" t="s">
        <v>3595</v>
      </c>
      <c r="B257" s="79" t="s">
        <v>2160</v>
      </c>
      <c r="C257" s="112">
        <v>1176217</v>
      </c>
      <c r="D257" s="112">
        <v>1101852</v>
      </c>
      <c r="E257" s="112">
        <v>29368219</v>
      </c>
      <c r="F257" s="81" t="s">
        <v>3659</v>
      </c>
      <c r="G257" s="82" t="s">
        <v>3629</v>
      </c>
      <c r="H257" s="82" t="s">
        <v>3660</v>
      </c>
      <c r="I257" s="82" t="s">
        <v>3103</v>
      </c>
      <c r="J257" s="83" t="e">
        <f>VLOOKUP($C257,CHOOSE({1,2},'[4]Prestações de Conta inadimplent'!$D$9:$D$2000,'[4]Prestações de Conta inadimplent'!$C$9:$C$2000),2,0)</f>
        <v>#N/A</v>
      </c>
      <c r="L257" s="85"/>
      <c r="M257" s="85" t="e">
        <v>#REF!</v>
      </c>
      <c r="T257" s="86"/>
      <c r="U257" s="85"/>
      <c r="V257" s="87"/>
      <c r="W257" s="85"/>
      <c r="X257" s="88"/>
      <c r="Y257" s="89"/>
      <c r="Z257" s="88"/>
      <c r="AA257" s="88"/>
      <c r="AB257" s="88"/>
      <c r="AF257" s="90"/>
      <c r="AK257" s="91"/>
      <c r="AM257" s="92"/>
      <c r="AN257" s="92"/>
      <c r="AO257" s="92"/>
      <c r="AP257" s="92"/>
      <c r="AQ257" s="92"/>
      <c r="AR257" s="92"/>
    </row>
    <row r="258" spans="1:44" s="84" customFormat="1" ht="24" customHeight="1" x14ac:dyDescent="0.3">
      <c r="A258" s="78" t="s">
        <v>3595</v>
      </c>
      <c r="B258" s="79" t="s">
        <v>2160</v>
      </c>
      <c r="C258" s="112">
        <v>1113846</v>
      </c>
      <c r="D258" s="112">
        <v>1101847</v>
      </c>
      <c r="E258" s="112">
        <v>29327792</v>
      </c>
      <c r="F258" s="81" t="s">
        <v>3661</v>
      </c>
      <c r="G258" s="82" t="s">
        <v>3629</v>
      </c>
      <c r="H258" s="82" t="s">
        <v>3662</v>
      </c>
      <c r="I258" s="82" t="s">
        <v>3103</v>
      </c>
      <c r="J258" s="83" t="e">
        <f>VLOOKUP($C258,CHOOSE({1,2},'[4]Prestações de Conta inadimplent'!$D$9:$D$2000,'[4]Prestações de Conta inadimplent'!$C$9:$C$2000),2,0)</f>
        <v>#N/A</v>
      </c>
      <c r="L258" s="85"/>
      <c r="M258" s="85" t="e">
        <v>#REF!</v>
      </c>
      <c r="T258" s="86"/>
      <c r="U258" s="85"/>
      <c r="V258" s="87"/>
      <c r="W258" s="85"/>
      <c r="X258" s="88"/>
      <c r="Y258" s="89"/>
      <c r="Z258" s="88"/>
      <c r="AA258" s="88"/>
      <c r="AB258" s="88"/>
      <c r="AF258" s="90"/>
      <c r="AK258" s="91"/>
      <c r="AM258" s="92"/>
      <c r="AN258" s="92"/>
      <c r="AO258" s="92"/>
      <c r="AP258" s="92"/>
      <c r="AQ258" s="92"/>
      <c r="AR258" s="92"/>
    </row>
    <row r="259" spans="1:44" s="84" customFormat="1" ht="24" customHeight="1" x14ac:dyDescent="0.3">
      <c r="A259" s="78" t="s">
        <v>3595</v>
      </c>
      <c r="B259" s="79" t="s">
        <v>2160</v>
      </c>
      <c r="C259" s="112">
        <v>1113684</v>
      </c>
      <c r="D259" s="112">
        <v>1101841</v>
      </c>
      <c r="E259" s="112">
        <v>29327911</v>
      </c>
      <c r="F259" s="81" t="s">
        <v>3663</v>
      </c>
      <c r="G259" s="82" t="s">
        <v>3629</v>
      </c>
      <c r="H259" s="82" t="s">
        <v>3664</v>
      </c>
      <c r="I259" s="82" t="s">
        <v>3103</v>
      </c>
      <c r="J259" s="83" t="e">
        <f>VLOOKUP($C259,CHOOSE({1,2},'[4]Prestações de Conta inadimplent'!$D$9:$D$2000,'[4]Prestações de Conta inadimplent'!$C$9:$C$2000),2,0)</f>
        <v>#N/A</v>
      </c>
      <c r="L259" s="85"/>
      <c r="M259" s="85" t="e">
        <v>#REF!</v>
      </c>
      <c r="T259" s="86"/>
      <c r="U259" s="85"/>
      <c r="V259" s="87"/>
      <c r="W259" s="85"/>
      <c r="X259" s="88"/>
      <c r="Y259" s="89"/>
      <c r="Z259" s="89"/>
      <c r="AA259" s="88"/>
      <c r="AB259" s="88"/>
      <c r="AF259" s="90"/>
      <c r="AH259" s="85"/>
      <c r="AK259" s="91"/>
      <c r="AM259" s="92"/>
      <c r="AN259" s="92"/>
      <c r="AO259" s="92"/>
      <c r="AP259" s="92"/>
      <c r="AQ259" s="92"/>
      <c r="AR259" s="92"/>
    </row>
    <row r="260" spans="1:44" s="84" customFormat="1" ht="24" customHeight="1" x14ac:dyDescent="0.3">
      <c r="A260" s="104" t="s">
        <v>3595</v>
      </c>
      <c r="B260" s="97" t="s">
        <v>2160</v>
      </c>
      <c r="C260" s="94">
        <v>1176218</v>
      </c>
      <c r="D260" s="94">
        <v>1101843</v>
      </c>
      <c r="E260" s="94">
        <v>29327695</v>
      </c>
      <c r="F260" s="81" t="s">
        <v>3665</v>
      </c>
      <c r="G260" s="82" t="s">
        <v>3629</v>
      </c>
      <c r="H260" s="82" t="s">
        <v>3666</v>
      </c>
      <c r="I260" s="82" t="s">
        <v>3103</v>
      </c>
      <c r="J260" s="83" t="e">
        <f>VLOOKUP($C260,CHOOSE({1,2},'[4]Prestações de Conta inadimplent'!$D$9:$D$2000,'[4]Prestações de Conta inadimplent'!$C$9:$C$2000),2,0)</f>
        <v>#N/A</v>
      </c>
      <c r="L260" s="85"/>
      <c r="M260" s="85" t="e">
        <v>#REF!</v>
      </c>
      <c r="T260" s="86"/>
      <c r="U260" s="85"/>
      <c r="V260" s="87"/>
      <c r="W260" s="85"/>
      <c r="X260" s="88"/>
      <c r="Y260" s="89"/>
      <c r="Z260" s="89"/>
      <c r="AA260" s="88"/>
      <c r="AB260" s="88"/>
      <c r="AF260" s="90"/>
      <c r="AK260" s="91"/>
      <c r="AM260" s="92"/>
      <c r="AN260" s="92"/>
      <c r="AO260" s="92"/>
      <c r="AP260" s="92"/>
      <c r="AQ260" s="92"/>
      <c r="AR260" s="92"/>
    </row>
    <row r="261" spans="1:44" s="84" customFormat="1" ht="24" customHeight="1" x14ac:dyDescent="0.3">
      <c r="A261" s="78" t="s">
        <v>3595</v>
      </c>
      <c r="B261" s="79" t="s">
        <v>2170</v>
      </c>
      <c r="C261" s="112">
        <v>1176142</v>
      </c>
      <c r="D261" s="112">
        <v>1101860</v>
      </c>
      <c r="E261" s="112">
        <v>29330041</v>
      </c>
      <c r="F261" s="81" t="s">
        <v>3667</v>
      </c>
      <c r="G261" s="82" t="s">
        <v>3614</v>
      </c>
      <c r="H261" s="82" t="s">
        <v>3668</v>
      </c>
      <c r="I261" s="82" t="s">
        <v>3122</v>
      </c>
      <c r="J261" s="83" t="str">
        <f>VLOOKUP($C261,CHOOSE({1,2},'[4]Prestações de Conta inadimplent'!$D$9:$D$2000,'[4]Prestações de Conta inadimplent'!$C$9:$C$2000),2,0)</f>
        <v>Colegio Estadual Francisco Silva Passos</v>
      </c>
      <c r="L261" s="85"/>
      <c r="M261" s="85" t="e">
        <v>#REF!</v>
      </c>
      <c r="T261" s="86"/>
      <c r="U261" s="85"/>
      <c r="V261" s="87"/>
      <c r="W261" s="85"/>
      <c r="X261" s="88"/>
      <c r="Y261" s="89"/>
      <c r="Z261" s="89"/>
      <c r="AA261" s="88"/>
      <c r="AB261" s="88"/>
      <c r="AF261" s="90"/>
      <c r="AK261" s="91"/>
      <c r="AM261" s="92"/>
      <c r="AN261" s="92"/>
      <c r="AO261" s="92"/>
      <c r="AP261" s="92"/>
      <c r="AQ261" s="92"/>
      <c r="AR261" s="92"/>
    </row>
    <row r="262" spans="1:44" s="84" customFormat="1" ht="24" customHeight="1" x14ac:dyDescent="0.3">
      <c r="A262" s="78" t="s">
        <v>3595</v>
      </c>
      <c r="B262" s="79" t="s">
        <v>2170</v>
      </c>
      <c r="C262" s="112">
        <v>1178272</v>
      </c>
      <c r="D262" s="112">
        <v>1105512</v>
      </c>
      <c r="E262" s="112">
        <v>29903726</v>
      </c>
      <c r="F262" s="81" t="s">
        <v>3669</v>
      </c>
      <c r="G262" s="82" t="s">
        <v>3618</v>
      </c>
      <c r="H262" s="82" t="s">
        <v>3670</v>
      </c>
      <c r="I262" s="82" t="s">
        <v>3103</v>
      </c>
      <c r="J262" s="83" t="e">
        <f>VLOOKUP($C262,CHOOSE({1,2},'[4]Prestações de Conta inadimplent'!$D$9:$D$2000,'[4]Prestações de Conta inadimplent'!$C$9:$C$2000),2,0)</f>
        <v>#N/A</v>
      </c>
      <c r="K262" s="84" t="s">
        <v>3671</v>
      </c>
      <c r="L262" s="85"/>
      <c r="M262" s="85" t="e">
        <v>#REF!</v>
      </c>
      <c r="T262" s="86"/>
      <c r="U262" s="85"/>
      <c r="V262" s="87"/>
      <c r="W262" s="85"/>
      <c r="X262" s="88"/>
      <c r="Y262" s="89"/>
      <c r="Z262" s="89"/>
      <c r="AA262" s="88"/>
      <c r="AB262" s="88"/>
      <c r="AF262" s="90"/>
      <c r="AK262" s="91"/>
      <c r="AM262" s="92"/>
      <c r="AN262" s="92"/>
      <c r="AO262" s="92"/>
      <c r="AP262" s="92"/>
      <c r="AQ262" s="92"/>
      <c r="AR262" s="92"/>
    </row>
    <row r="263" spans="1:44" s="84" customFormat="1" ht="24" customHeight="1" x14ac:dyDescent="0.3">
      <c r="A263" s="78" t="s">
        <v>3672</v>
      </c>
      <c r="B263" s="79" t="s">
        <v>1798</v>
      </c>
      <c r="C263" s="112">
        <v>1118449</v>
      </c>
      <c r="D263" s="112">
        <v>1102159</v>
      </c>
      <c r="E263" s="112">
        <v>29270545</v>
      </c>
      <c r="F263" s="81" t="s">
        <v>1799</v>
      </c>
      <c r="G263" s="82" t="s">
        <v>3673</v>
      </c>
      <c r="H263" s="82" t="s">
        <v>3674</v>
      </c>
      <c r="I263" s="82" t="s">
        <v>3103</v>
      </c>
      <c r="J263" s="83" t="e">
        <f>VLOOKUP($C263,CHOOSE({1,2},'[4]Prestações de Conta inadimplent'!$D$9:$D$2000,'[4]Prestações de Conta inadimplent'!$C$9:$C$2000),2,0)</f>
        <v>#N/A</v>
      </c>
      <c r="L263" s="85"/>
      <c r="M263" s="85" t="e">
        <v>#REF!</v>
      </c>
      <c r="T263" s="86"/>
      <c r="U263" s="85"/>
      <c r="V263" s="87"/>
      <c r="W263" s="85"/>
      <c r="X263" s="88"/>
      <c r="Y263" s="89"/>
      <c r="Z263" s="89"/>
      <c r="AA263" s="88"/>
      <c r="AB263" s="88"/>
      <c r="AF263" s="90"/>
      <c r="AK263" s="91"/>
      <c r="AM263" s="92"/>
      <c r="AN263" s="92"/>
      <c r="AO263" s="92"/>
      <c r="AP263" s="92"/>
      <c r="AQ263" s="92"/>
      <c r="AR263" s="92"/>
    </row>
    <row r="264" spans="1:44" s="84" customFormat="1" ht="24" customHeight="1" x14ac:dyDescent="0.3">
      <c r="A264" s="78" t="s">
        <v>3672</v>
      </c>
      <c r="B264" s="79" t="s">
        <v>1962</v>
      </c>
      <c r="C264" s="112">
        <v>1118511</v>
      </c>
      <c r="D264" s="112">
        <v>1102166</v>
      </c>
      <c r="E264" s="112">
        <v>29297974</v>
      </c>
      <c r="F264" s="81" t="s">
        <v>3675</v>
      </c>
      <c r="G264" s="82" t="s">
        <v>3673</v>
      </c>
      <c r="H264" s="82" t="s">
        <v>3676</v>
      </c>
      <c r="I264" s="82" t="s">
        <v>3103</v>
      </c>
      <c r="J264" s="83" t="e">
        <f>VLOOKUP($C264,CHOOSE({1,2},'[4]Prestações de Conta inadimplent'!$D$9:$D$2000,'[4]Prestações de Conta inadimplent'!$C$9:$C$2000),2,0)</f>
        <v>#N/A</v>
      </c>
      <c r="L264" s="85"/>
      <c r="M264" s="85" t="e">
        <v>#REF!</v>
      </c>
      <c r="T264" s="86"/>
      <c r="U264" s="85"/>
      <c r="V264" s="87"/>
      <c r="W264" s="85"/>
      <c r="X264" s="88"/>
      <c r="Y264" s="89"/>
      <c r="Z264" s="88"/>
      <c r="AA264" s="88"/>
      <c r="AB264" s="88"/>
      <c r="AF264" s="90"/>
      <c r="AK264" s="91"/>
      <c r="AM264" s="92"/>
      <c r="AN264" s="92"/>
      <c r="AO264" s="92"/>
      <c r="AP264" s="92"/>
      <c r="AQ264" s="92"/>
      <c r="AR264" s="92"/>
    </row>
    <row r="265" spans="1:44" s="84" customFormat="1" ht="24" customHeight="1" x14ac:dyDescent="0.3">
      <c r="A265" s="78" t="s">
        <v>3672</v>
      </c>
      <c r="B265" s="79" t="s">
        <v>1810</v>
      </c>
      <c r="C265" s="112">
        <v>1118546</v>
      </c>
      <c r="D265" s="112">
        <v>1102168</v>
      </c>
      <c r="E265" s="112">
        <v>29272696</v>
      </c>
      <c r="F265" s="81" t="s">
        <v>1811</v>
      </c>
      <c r="G265" s="82" t="s">
        <v>3677</v>
      </c>
      <c r="H265" s="82" t="s">
        <v>3678</v>
      </c>
      <c r="I265" s="82" t="s">
        <v>3103</v>
      </c>
      <c r="J265" s="83" t="e">
        <f>VLOOKUP($C265,CHOOSE({1,2},'[4]Prestações de Conta inadimplent'!$D$9:$D$2000,'[4]Prestações de Conta inadimplent'!$C$9:$C$2000),2,0)</f>
        <v>#N/A</v>
      </c>
      <c r="L265" s="85"/>
      <c r="M265" s="85" t="e">
        <v>#REF!</v>
      </c>
      <c r="T265" s="86"/>
      <c r="U265" s="85"/>
      <c r="V265" s="87"/>
      <c r="W265" s="85"/>
      <c r="X265" s="88"/>
      <c r="Y265" s="89"/>
      <c r="Z265" s="89"/>
      <c r="AA265" s="88"/>
      <c r="AB265" s="88"/>
      <c r="AF265" s="90"/>
      <c r="AK265" s="91"/>
      <c r="AM265" s="92"/>
      <c r="AN265" s="92"/>
      <c r="AO265" s="92"/>
      <c r="AP265" s="92"/>
      <c r="AQ265" s="92"/>
      <c r="AR265" s="92"/>
    </row>
    <row r="266" spans="1:44" s="84" customFormat="1" ht="24" customHeight="1" x14ac:dyDescent="0.3">
      <c r="A266" s="78" t="s">
        <v>3672</v>
      </c>
      <c r="B266" s="79" t="s">
        <v>1814</v>
      </c>
      <c r="C266" s="112">
        <v>1118619</v>
      </c>
      <c r="D266" s="112">
        <v>1102176</v>
      </c>
      <c r="E266" s="112">
        <v>29272947</v>
      </c>
      <c r="F266" s="81" t="s">
        <v>3679</v>
      </c>
      <c r="G266" s="82" t="s">
        <v>3673</v>
      </c>
      <c r="H266" s="82" t="s">
        <v>3680</v>
      </c>
      <c r="I266" s="82" t="s">
        <v>3103</v>
      </c>
      <c r="J266" s="83" t="e">
        <f>VLOOKUP($C266,CHOOSE({1,2},'[4]Prestações de Conta inadimplent'!$D$9:$D$2000,'[4]Prestações de Conta inadimplent'!$C$9:$C$2000),2,0)</f>
        <v>#N/A</v>
      </c>
      <c r="L266" s="85"/>
      <c r="M266" s="85" t="e">
        <v>#REF!</v>
      </c>
      <c r="T266" s="86"/>
      <c r="U266" s="85"/>
      <c r="V266" s="87"/>
      <c r="W266" s="85"/>
      <c r="X266" s="88"/>
      <c r="Y266" s="89"/>
      <c r="Z266" s="89"/>
      <c r="AA266" s="88"/>
      <c r="AB266" s="88"/>
      <c r="AF266" s="90"/>
      <c r="AK266" s="91"/>
      <c r="AM266" s="92"/>
      <c r="AN266" s="92"/>
      <c r="AO266" s="92"/>
      <c r="AP266" s="92"/>
      <c r="AQ266" s="92"/>
      <c r="AR266" s="92"/>
    </row>
    <row r="267" spans="1:44" s="84" customFormat="1" ht="24" customHeight="1" x14ac:dyDescent="0.3">
      <c r="A267" s="78" t="s">
        <v>3672</v>
      </c>
      <c r="B267" s="79" t="s">
        <v>1865</v>
      </c>
      <c r="C267" s="112">
        <v>1118791</v>
      </c>
      <c r="D267" s="112">
        <v>1102189</v>
      </c>
      <c r="E267" s="112">
        <v>29282055</v>
      </c>
      <c r="F267" s="81" t="s">
        <v>1866</v>
      </c>
      <c r="G267" s="82" t="s">
        <v>3681</v>
      </c>
      <c r="H267" s="82" t="s">
        <v>3682</v>
      </c>
      <c r="I267" s="82" t="s">
        <v>3103</v>
      </c>
      <c r="J267" s="83" t="e">
        <f>VLOOKUP($C267,CHOOSE({1,2},'[4]Prestações de Conta inadimplent'!$D$9:$D$2000,'[4]Prestações de Conta inadimplent'!$C$9:$C$2000),2,0)</f>
        <v>#N/A</v>
      </c>
      <c r="L267" s="85"/>
      <c r="M267" s="85" t="e">
        <v>#REF!</v>
      </c>
      <c r="T267" s="86"/>
      <c r="U267" s="85"/>
      <c r="V267" s="87"/>
      <c r="W267" s="85"/>
      <c r="X267" s="88"/>
      <c r="Y267" s="89"/>
      <c r="Z267" s="89"/>
      <c r="AA267" s="88"/>
      <c r="AB267" s="88"/>
      <c r="AF267" s="90"/>
      <c r="AK267" s="91"/>
      <c r="AM267" s="92"/>
      <c r="AN267" s="92"/>
      <c r="AO267" s="92"/>
      <c r="AP267" s="92"/>
      <c r="AQ267" s="92"/>
      <c r="AR267" s="92"/>
    </row>
    <row r="268" spans="1:44" s="84" customFormat="1" ht="24" customHeight="1" x14ac:dyDescent="0.3">
      <c r="A268" s="78" t="s">
        <v>3672</v>
      </c>
      <c r="B268" s="79" t="s">
        <v>1869</v>
      </c>
      <c r="C268" s="112">
        <v>1118899</v>
      </c>
      <c r="D268" s="112">
        <v>1102196</v>
      </c>
      <c r="E268" s="112">
        <v>29282608</v>
      </c>
      <c r="F268" s="81" t="s">
        <v>3683</v>
      </c>
      <c r="G268" s="82" t="s">
        <v>3673</v>
      </c>
      <c r="H268" s="82" t="s">
        <v>3684</v>
      </c>
      <c r="I268" s="82" t="s">
        <v>3103</v>
      </c>
      <c r="J268" s="83" t="e">
        <f>VLOOKUP($C268,CHOOSE({1,2},'[4]Prestações de Conta inadimplent'!$D$9:$D$2000,'[4]Prestações de Conta inadimplent'!$C$9:$C$2000),2,0)</f>
        <v>#N/A</v>
      </c>
      <c r="L268" s="85"/>
      <c r="M268" s="85" t="e">
        <v>#REF!</v>
      </c>
      <c r="T268" s="86"/>
      <c r="U268" s="85"/>
      <c r="V268" s="87"/>
      <c r="W268" s="85"/>
      <c r="X268" s="88"/>
      <c r="Y268" s="89"/>
      <c r="Z268" s="89"/>
      <c r="AA268" s="88"/>
      <c r="AB268" s="88"/>
      <c r="AF268" s="90"/>
      <c r="AK268" s="91"/>
      <c r="AM268" s="92"/>
      <c r="AN268" s="92"/>
      <c r="AO268" s="92"/>
      <c r="AP268" s="92"/>
      <c r="AQ268" s="92"/>
      <c r="AR268" s="92"/>
    </row>
    <row r="269" spans="1:44" s="84" customFormat="1" ht="24" customHeight="1" x14ac:dyDescent="0.3">
      <c r="A269" s="78" t="s">
        <v>3672</v>
      </c>
      <c r="B269" s="79" t="s">
        <v>1869</v>
      </c>
      <c r="C269" s="112">
        <v>1176427</v>
      </c>
      <c r="D269" s="112">
        <v>1102208</v>
      </c>
      <c r="E269" s="112">
        <v>29394341</v>
      </c>
      <c r="F269" s="81" t="s">
        <v>2337</v>
      </c>
      <c r="G269" s="82" t="s">
        <v>3673</v>
      </c>
      <c r="H269" s="82" t="s">
        <v>3685</v>
      </c>
      <c r="I269" s="82" t="s">
        <v>3103</v>
      </c>
      <c r="J269" s="83" t="e">
        <f>VLOOKUP($C269,CHOOSE({1,2},'[4]Prestações de Conta inadimplent'!$D$9:$D$2000,'[4]Prestações de Conta inadimplent'!$C$9:$C$2000),2,0)</f>
        <v>#N/A</v>
      </c>
      <c r="L269" s="85"/>
      <c r="M269" s="85" t="e">
        <v>#REF!</v>
      </c>
      <c r="T269" s="86"/>
      <c r="U269" s="85"/>
      <c r="V269" s="87"/>
      <c r="W269" s="85"/>
      <c r="X269" s="88"/>
      <c r="Y269" s="89"/>
      <c r="Z269" s="89"/>
      <c r="AA269" s="88"/>
      <c r="AB269" s="88"/>
      <c r="AF269" s="90"/>
      <c r="AH269" s="85"/>
      <c r="AK269" s="91"/>
      <c r="AM269" s="92"/>
      <c r="AN269" s="92"/>
      <c r="AO269" s="92"/>
      <c r="AP269" s="92"/>
      <c r="AQ269" s="92"/>
      <c r="AR269" s="92"/>
    </row>
    <row r="270" spans="1:44" s="84" customFormat="1" ht="24" customHeight="1" x14ac:dyDescent="0.3">
      <c r="A270" s="78" t="s">
        <v>3672</v>
      </c>
      <c r="B270" s="79" t="s">
        <v>1869</v>
      </c>
      <c r="C270" s="112">
        <v>1119119</v>
      </c>
      <c r="D270" s="112">
        <v>1102205</v>
      </c>
      <c r="E270" s="112">
        <v>29282977</v>
      </c>
      <c r="F270" s="81" t="s">
        <v>1873</v>
      </c>
      <c r="G270" s="82" t="s">
        <v>3673</v>
      </c>
      <c r="H270" s="82" t="s">
        <v>3686</v>
      </c>
      <c r="I270" s="82" t="s">
        <v>3103</v>
      </c>
      <c r="J270" s="83" t="e">
        <f>VLOOKUP($C270,CHOOSE({1,2},'[4]Prestações de Conta inadimplent'!$D$9:$D$2000,'[4]Prestações de Conta inadimplent'!$C$9:$C$2000),2,0)</f>
        <v>#N/A</v>
      </c>
      <c r="K270" s="84" t="s">
        <v>3687</v>
      </c>
      <c r="L270" s="85"/>
      <c r="M270" s="85" t="e">
        <v>#REF!</v>
      </c>
      <c r="T270" s="86"/>
      <c r="U270" s="85"/>
      <c r="V270" s="87"/>
      <c r="W270" s="85"/>
      <c r="X270" s="88"/>
      <c r="Y270" s="89"/>
      <c r="Z270" s="89"/>
      <c r="AA270" s="88"/>
      <c r="AB270" s="88"/>
      <c r="AF270" s="90"/>
      <c r="AH270" s="85"/>
      <c r="AK270" s="91"/>
      <c r="AM270" s="92"/>
      <c r="AN270" s="92"/>
      <c r="AO270" s="92"/>
      <c r="AP270" s="92"/>
      <c r="AQ270" s="92"/>
      <c r="AR270" s="92"/>
    </row>
    <row r="271" spans="1:44" s="84" customFormat="1" ht="24" customHeight="1" x14ac:dyDescent="0.3">
      <c r="A271" s="78" t="s">
        <v>3672</v>
      </c>
      <c r="B271" s="79" t="s">
        <v>1876</v>
      </c>
      <c r="C271" s="112">
        <v>1166613</v>
      </c>
      <c r="D271" s="112">
        <v>1102216</v>
      </c>
      <c r="E271" s="112">
        <v>29283230</v>
      </c>
      <c r="F271" s="81" t="s">
        <v>3688</v>
      </c>
      <c r="G271" s="82" t="s">
        <v>3689</v>
      </c>
      <c r="H271" s="82" t="s">
        <v>3690</v>
      </c>
      <c r="I271" s="82" t="s">
        <v>3103</v>
      </c>
      <c r="J271" s="83" t="e">
        <f>VLOOKUP($C271,CHOOSE({1,2},'[4]Prestações de Conta inadimplent'!$D$9:$D$2000,'[4]Prestações de Conta inadimplent'!$C$9:$C$2000),2,0)</f>
        <v>#N/A</v>
      </c>
      <c r="L271" s="85"/>
      <c r="M271" s="85" t="e">
        <v>#REF!</v>
      </c>
      <c r="T271" s="86"/>
      <c r="U271" s="85"/>
      <c r="V271" s="87"/>
      <c r="W271" s="85"/>
      <c r="X271" s="88"/>
      <c r="Y271" s="89"/>
      <c r="Z271" s="89"/>
      <c r="AA271" s="88"/>
      <c r="AB271" s="88"/>
      <c r="AF271" s="90"/>
      <c r="AK271" s="91"/>
      <c r="AM271" s="92"/>
      <c r="AN271" s="92"/>
      <c r="AO271" s="92"/>
      <c r="AP271" s="92"/>
      <c r="AQ271" s="92"/>
      <c r="AR271" s="92"/>
    </row>
    <row r="272" spans="1:44" s="84" customFormat="1" ht="24" customHeight="1" x14ac:dyDescent="0.3">
      <c r="A272" s="78" t="s">
        <v>3672</v>
      </c>
      <c r="B272" s="79" t="s">
        <v>1880</v>
      </c>
      <c r="C272" s="112">
        <v>1178120</v>
      </c>
      <c r="D272" s="112">
        <v>1102224</v>
      </c>
      <c r="E272" s="112">
        <v>29437172</v>
      </c>
      <c r="F272" s="81" t="s">
        <v>3691</v>
      </c>
      <c r="G272" s="82" t="s">
        <v>3692</v>
      </c>
      <c r="H272" s="82" t="s">
        <v>3693</v>
      </c>
      <c r="I272" s="82" t="s">
        <v>3103</v>
      </c>
      <c r="J272" s="83" t="e">
        <f>VLOOKUP($C272,CHOOSE({1,2},'[4]Prestações de Conta inadimplent'!$D$9:$D$2000,'[4]Prestações de Conta inadimplent'!$C$9:$C$2000),2,0)</f>
        <v>#N/A</v>
      </c>
      <c r="L272" s="85"/>
      <c r="M272" s="85" t="e">
        <v>#REF!</v>
      </c>
      <c r="T272" s="86"/>
      <c r="U272" s="85"/>
      <c r="V272" s="87"/>
      <c r="W272" s="85"/>
      <c r="X272" s="88"/>
      <c r="Y272" s="89"/>
      <c r="Z272" s="88"/>
      <c r="AA272" s="88"/>
      <c r="AB272" s="88"/>
      <c r="AF272" s="90"/>
      <c r="AK272" s="91"/>
      <c r="AM272" s="92"/>
      <c r="AN272" s="92"/>
      <c r="AO272" s="92"/>
      <c r="AP272" s="92"/>
      <c r="AQ272" s="92"/>
      <c r="AR272" s="92"/>
    </row>
    <row r="273" spans="1:44" s="84" customFormat="1" ht="24" customHeight="1" x14ac:dyDescent="0.3">
      <c r="A273" s="78" t="s">
        <v>3672</v>
      </c>
      <c r="B273" s="79" t="s">
        <v>1880</v>
      </c>
      <c r="C273" s="112">
        <v>1119283</v>
      </c>
      <c r="D273" s="112">
        <v>1102219</v>
      </c>
      <c r="E273" s="112">
        <v>29283647</v>
      </c>
      <c r="F273" s="81" t="s">
        <v>3694</v>
      </c>
      <c r="G273" s="82" t="s">
        <v>3692</v>
      </c>
      <c r="H273" s="82" t="s">
        <v>3695</v>
      </c>
      <c r="I273" s="82" t="s">
        <v>3103</v>
      </c>
      <c r="J273" s="83" t="e">
        <f>VLOOKUP($C273,CHOOSE({1,2},'[4]Prestações de Conta inadimplent'!$D$9:$D$2000,'[4]Prestações de Conta inadimplent'!$C$9:$C$2000),2,0)</f>
        <v>#N/A</v>
      </c>
      <c r="L273" s="85"/>
      <c r="M273" s="85" t="e">
        <v>#REF!</v>
      </c>
      <c r="T273" s="86"/>
      <c r="U273" s="85"/>
      <c r="V273" s="87"/>
      <c r="W273" s="85"/>
      <c r="X273" s="88"/>
      <c r="Y273" s="89"/>
      <c r="Z273" s="88"/>
      <c r="AA273" s="88"/>
      <c r="AB273" s="88"/>
      <c r="AF273" s="90"/>
      <c r="AH273" s="85"/>
      <c r="AK273" s="91"/>
      <c r="AM273" s="92"/>
      <c r="AN273" s="92"/>
      <c r="AO273" s="92"/>
      <c r="AP273" s="92"/>
      <c r="AQ273" s="92"/>
      <c r="AR273" s="92"/>
    </row>
    <row r="274" spans="1:44" s="84" customFormat="1" ht="24" customHeight="1" x14ac:dyDescent="0.3">
      <c r="A274" s="78" t="s">
        <v>3672</v>
      </c>
      <c r="B274" s="79" t="s">
        <v>1884</v>
      </c>
      <c r="C274" s="112">
        <v>1119380</v>
      </c>
      <c r="D274" s="112">
        <v>1102344</v>
      </c>
      <c r="E274" s="112">
        <v>29284104</v>
      </c>
      <c r="F274" s="81" t="s">
        <v>3696</v>
      </c>
      <c r="G274" s="82" t="s">
        <v>3697</v>
      </c>
      <c r="H274" s="82" t="s">
        <v>3698</v>
      </c>
      <c r="I274" s="82" t="s">
        <v>3103</v>
      </c>
      <c r="J274" s="83" t="e">
        <f>VLOOKUP($C274,CHOOSE({1,2},'[4]Prestações de Conta inadimplent'!$D$9:$D$2000,'[4]Prestações de Conta inadimplent'!$C$9:$C$2000),2,0)</f>
        <v>#N/A</v>
      </c>
      <c r="K274" s="95" t="s">
        <v>3254</v>
      </c>
      <c r="L274" s="85"/>
      <c r="M274" s="85" t="e">
        <v>#REF!</v>
      </c>
      <c r="T274" s="86"/>
      <c r="U274" s="85"/>
      <c r="V274" s="87"/>
      <c r="W274" s="85"/>
      <c r="X274" s="88"/>
      <c r="Y274" s="89"/>
      <c r="Z274" s="89"/>
      <c r="AA274" s="88"/>
      <c r="AB274" s="88"/>
      <c r="AF274" s="90"/>
      <c r="AK274" s="91"/>
      <c r="AM274" s="92"/>
      <c r="AN274" s="92"/>
      <c r="AO274" s="92"/>
      <c r="AP274" s="92"/>
      <c r="AQ274" s="92"/>
      <c r="AR274" s="92"/>
    </row>
    <row r="275" spans="1:44" s="84" customFormat="1" ht="24" customHeight="1" x14ac:dyDescent="0.3">
      <c r="A275" s="78" t="s">
        <v>3672</v>
      </c>
      <c r="B275" s="79" t="s">
        <v>2942</v>
      </c>
      <c r="C275" s="112">
        <v>1178270</v>
      </c>
      <c r="D275" s="112">
        <v>1105494</v>
      </c>
      <c r="E275" s="112">
        <v>29466008</v>
      </c>
      <c r="F275" s="81" t="s">
        <v>2943</v>
      </c>
      <c r="G275" s="82" t="s">
        <v>3673</v>
      </c>
      <c r="H275" s="82" t="s">
        <v>3699</v>
      </c>
      <c r="I275" s="82" t="s">
        <v>3122</v>
      </c>
      <c r="J275" s="83" t="str">
        <f>VLOOKUP($C275,CHOOSE({1,2},'[4]Prestações de Conta inadimplent'!$D$9:$D$2000,'[4]Prestações de Conta inadimplent'!$C$9:$C$2000),2,0)</f>
        <v>Colegio Estadual Altair Almeida Meira</v>
      </c>
      <c r="L275" s="85"/>
      <c r="M275" s="85" t="e">
        <v>#REF!</v>
      </c>
      <c r="T275" s="86"/>
      <c r="U275" s="85"/>
      <c r="V275" s="87"/>
      <c r="W275" s="85"/>
      <c r="X275" s="88"/>
      <c r="Y275" s="89"/>
      <c r="Z275" s="89"/>
      <c r="AA275" s="88"/>
      <c r="AB275" s="88"/>
      <c r="AF275" s="90"/>
      <c r="AK275" s="91"/>
      <c r="AM275" s="92"/>
      <c r="AN275" s="92"/>
      <c r="AO275" s="92"/>
      <c r="AP275" s="92"/>
      <c r="AQ275" s="92"/>
      <c r="AR275" s="92"/>
    </row>
    <row r="276" spans="1:44" s="84" customFormat="1" ht="24" customHeight="1" x14ac:dyDescent="0.3">
      <c r="A276" s="78" t="s">
        <v>3672</v>
      </c>
      <c r="B276" s="79" t="s">
        <v>2730</v>
      </c>
      <c r="C276" s="112">
        <v>1118830</v>
      </c>
      <c r="D276" s="112">
        <v>1102354</v>
      </c>
      <c r="E276" s="112">
        <v>29437830</v>
      </c>
      <c r="F276" s="81" t="s">
        <v>3700</v>
      </c>
      <c r="G276" s="82" t="s">
        <v>3701</v>
      </c>
      <c r="H276" s="82" t="s">
        <v>3702</v>
      </c>
      <c r="I276" s="82" t="s">
        <v>3122</v>
      </c>
      <c r="J276" s="83" t="str">
        <f>VLOOKUP($C276,CHOOSE({1,2},'[4]Prestações de Conta inadimplent'!$D$9:$D$2000,'[4]Prestações de Conta inadimplent'!$C$9:$C$2000),2,0)</f>
        <v>Colegio Estadual Florestal</v>
      </c>
      <c r="L276" s="85"/>
      <c r="M276" s="85" t="e">
        <v>#REF!</v>
      </c>
      <c r="T276" s="86"/>
      <c r="U276" s="85"/>
      <c r="V276" s="87"/>
      <c r="W276" s="85"/>
      <c r="X276" s="88"/>
      <c r="Y276" s="89"/>
      <c r="Z276" s="88"/>
      <c r="AA276" s="88"/>
      <c r="AB276" s="88"/>
      <c r="AF276" s="90"/>
      <c r="AK276" s="91"/>
      <c r="AM276" s="92"/>
      <c r="AN276" s="92"/>
      <c r="AO276" s="92"/>
      <c r="AP276" s="92"/>
      <c r="AQ276" s="92"/>
      <c r="AR276" s="92"/>
    </row>
    <row r="277" spans="1:44" s="84" customFormat="1" ht="24" customHeight="1" x14ac:dyDescent="0.3">
      <c r="A277" s="78" t="s">
        <v>3672</v>
      </c>
      <c r="B277" s="79" t="s">
        <v>1888</v>
      </c>
      <c r="C277" s="112">
        <v>1118872</v>
      </c>
      <c r="D277" s="112">
        <v>1102358</v>
      </c>
      <c r="E277" s="112">
        <v>29284767</v>
      </c>
      <c r="F277" s="81" t="s">
        <v>3703</v>
      </c>
      <c r="G277" s="82" t="s">
        <v>3673</v>
      </c>
      <c r="H277" s="82" t="s">
        <v>3704</v>
      </c>
      <c r="I277" s="82" t="s">
        <v>3103</v>
      </c>
      <c r="J277" s="83" t="e">
        <f>VLOOKUP($C277,CHOOSE({1,2},'[4]Prestações de Conta inadimplent'!$D$9:$D$2000,'[4]Prestações de Conta inadimplent'!$C$9:$C$2000),2,0)</f>
        <v>#N/A</v>
      </c>
      <c r="L277" s="85"/>
      <c r="M277" s="85" t="e">
        <v>#REF!</v>
      </c>
      <c r="T277" s="86"/>
      <c r="U277" s="85"/>
      <c r="V277" s="87"/>
      <c r="W277" s="85"/>
      <c r="X277" s="88"/>
      <c r="Y277" s="89"/>
      <c r="Z277" s="88"/>
      <c r="AA277" s="88"/>
      <c r="AB277" s="88"/>
      <c r="AF277" s="90"/>
      <c r="AK277" s="91"/>
      <c r="AM277" s="92"/>
      <c r="AN277" s="92"/>
      <c r="AO277" s="92"/>
      <c r="AP277" s="92"/>
      <c r="AQ277" s="92"/>
      <c r="AR277" s="92"/>
    </row>
    <row r="278" spans="1:44" s="84" customFormat="1" ht="24" customHeight="1" x14ac:dyDescent="0.3">
      <c r="A278" s="78" t="s">
        <v>3672</v>
      </c>
      <c r="B278" s="79" t="s">
        <v>2073</v>
      </c>
      <c r="C278" s="112">
        <v>1112785</v>
      </c>
      <c r="D278" s="112">
        <v>1101712</v>
      </c>
      <c r="E278" s="112">
        <v>29312469</v>
      </c>
      <c r="F278" s="81" t="s">
        <v>2074</v>
      </c>
      <c r="G278" s="82" t="s">
        <v>3440</v>
      </c>
      <c r="H278" s="82" t="s">
        <v>3705</v>
      </c>
      <c r="I278" s="82" t="s">
        <v>3103</v>
      </c>
      <c r="J278" s="83" t="e">
        <f>VLOOKUP($C278,CHOOSE({1,2},'[4]Prestações de Conta inadimplent'!$D$9:$D$2000,'[4]Prestações de Conta inadimplent'!$C$9:$C$2000),2,0)</f>
        <v>#N/A</v>
      </c>
      <c r="L278" s="85"/>
      <c r="M278" s="85" t="e">
        <v>#REF!</v>
      </c>
      <c r="T278" s="86"/>
      <c r="U278" s="85"/>
      <c r="V278" s="87"/>
      <c r="W278" s="85"/>
      <c r="X278" s="88"/>
      <c r="Y278" s="89"/>
      <c r="Z278" s="88"/>
      <c r="AA278" s="88"/>
      <c r="AB278" s="88"/>
      <c r="AF278" s="90"/>
      <c r="AK278" s="91"/>
      <c r="AM278" s="92"/>
      <c r="AN278" s="92"/>
      <c r="AO278" s="92"/>
      <c r="AP278" s="92"/>
      <c r="AQ278" s="92"/>
      <c r="AR278" s="92"/>
    </row>
    <row r="279" spans="1:44" s="84" customFormat="1" ht="24" customHeight="1" x14ac:dyDescent="0.3">
      <c r="A279" s="78" t="s">
        <v>3706</v>
      </c>
      <c r="B279" s="79" t="s">
        <v>1578</v>
      </c>
      <c r="C279" s="112">
        <v>1145462</v>
      </c>
      <c r="D279" s="112">
        <v>1103651</v>
      </c>
      <c r="E279" s="112">
        <v>29222710</v>
      </c>
      <c r="F279" s="81" t="s">
        <v>3707</v>
      </c>
      <c r="G279" s="82" t="s">
        <v>3708</v>
      </c>
      <c r="H279" s="82" t="s">
        <v>3709</v>
      </c>
      <c r="I279" s="82" t="s">
        <v>3122</v>
      </c>
      <c r="J279" s="83" t="str">
        <f>VLOOKUP($C279,CHOOSE({1,2},'[4]Prestações de Conta inadimplent'!$D$9:$D$2000,'[4]Prestações de Conta inadimplent'!$C$9:$C$2000),2,0)</f>
        <v>Colegio Estadual Santa Bernadete</v>
      </c>
      <c r="K279" s="96"/>
      <c r="L279" s="85"/>
      <c r="M279" s="85" t="e">
        <v>#REF!</v>
      </c>
      <c r="T279" s="86"/>
      <c r="U279" s="85"/>
      <c r="V279" s="87"/>
      <c r="W279" s="85"/>
      <c r="X279" s="88"/>
      <c r="Y279" s="89"/>
      <c r="Z279" s="89"/>
      <c r="AA279" s="88"/>
      <c r="AB279" s="88"/>
      <c r="AF279" s="90"/>
      <c r="AK279" s="91"/>
      <c r="AM279" s="92"/>
      <c r="AN279" s="92"/>
      <c r="AO279" s="92"/>
      <c r="AP279" s="92"/>
      <c r="AQ279" s="92"/>
      <c r="AR279" s="92"/>
    </row>
    <row r="280" spans="1:44" s="84" customFormat="1" ht="24" customHeight="1" x14ac:dyDescent="0.3">
      <c r="A280" s="78" t="s">
        <v>3706</v>
      </c>
      <c r="B280" s="79" t="s">
        <v>1578</v>
      </c>
      <c r="C280" s="112">
        <v>1109199</v>
      </c>
      <c r="D280" s="112">
        <v>1103650</v>
      </c>
      <c r="E280" s="112">
        <v>29222583</v>
      </c>
      <c r="F280" s="81" t="s">
        <v>3710</v>
      </c>
      <c r="G280" s="82" t="s">
        <v>3708</v>
      </c>
      <c r="H280" s="82" t="s">
        <v>3711</v>
      </c>
      <c r="I280" s="82" t="s">
        <v>3103</v>
      </c>
      <c r="J280" s="83" t="e">
        <f>VLOOKUP($C280,CHOOSE({1,2},'[4]Prestações de Conta inadimplent'!$D$9:$D$2000,'[4]Prestações de Conta inadimplent'!$C$9:$C$2000),2,0)</f>
        <v>#N/A</v>
      </c>
      <c r="L280" s="85"/>
      <c r="M280" s="85" t="e">
        <v>#REF!</v>
      </c>
      <c r="T280" s="86"/>
      <c r="U280" s="85"/>
      <c r="V280" s="87"/>
      <c r="W280" s="85"/>
      <c r="X280" s="88"/>
      <c r="Y280" s="89"/>
      <c r="Z280" s="89"/>
      <c r="AA280" s="88"/>
      <c r="AB280" s="88"/>
      <c r="AF280" s="90"/>
      <c r="AK280" s="91"/>
      <c r="AM280" s="92"/>
      <c r="AN280" s="92"/>
      <c r="AO280" s="92"/>
      <c r="AP280" s="92"/>
      <c r="AQ280" s="92"/>
      <c r="AR280" s="92"/>
    </row>
    <row r="281" spans="1:44" s="84" customFormat="1" ht="24" customHeight="1" x14ac:dyDescent="0.3">
      <c r="A281" s="78" t="s">
        <v>3706</v>
      </c>
      <c r="B281" s="79" t="s">
        <v>1578</v>
      </c>
      <c r="C281" s="112">
        <v>1167180</v>
      </c>
      <c r="D281" s="112">
        <v>1103654</v>
      </c>
      <c r="E281" s="112">
        <v>29223016</v>
      </c>
      <c r="F281" s="81" t="s">
        <v>3712</v>
      </c>
      <c r="G281" s="82" t="s">
        <v>3708</v>
      </c>
      <c r="H281" s="82" t="s">
        <v>3713</v>
      </c>
      <c r="I281" s="82" t="s">
        <v>3103</v>
      </c>
      <c r="J281" s="83" t="e">
        <f>VLOOKUP($C281,CHOOSE({1,2},'[4]Prestações de Conta inadimplent'!$D$9:$D$2000,'[4]Prestações de Conta inadimplent'!$C$9:$C$2000),2,0)</f>
        <v>#N/A</v>
      </c>
      <c r="L281" s="85"/>
      <c r="M281" s="85" t="e">
        <v>#REF!</v>
      </c>
      <c r="T281" s="86"/>
      <c r="U281" s="85"/>
      <c r="V281" s="87"/>
      <c r="W281" s="85"/>
      <c r="X281" s="88"/>
      <c r="Y281" s="89"/>
      <c r="Z281" s="88"/>
      <c r="AA281" s="88"/>
      <c r="AB281" s="88"/>
      <c r="AF281" s="90"/>
      <c r="AK281" s="91"/>
      <c r="AM281" s="92"/>
      <c r="AN281" s="92"/>
      <c r="AO281" s="92"/>
      <c r="AP281" s="92"/>
      <c r="AQ281" s="92"/>
      <c r="AR281" s="92"/>
    </row>
    <row r="282" spans="1:44" s="84" customFormat="1" ht="24" customHeight="1" x14ac:dyDescent="0.3">
      <c r="A282" s="104">
        <v>9</v>
      </c>
      <c r="B282" s="113" t="s">
        <v>1578</v>
      </c>
      <c r="C282" s="94">
        <v>1179787</v>
      </c>
      <c r="D282" s="94">
        <v>9999999</v>
      </c>
      <c r="E282" s="94">
        <v>44174</v>
      </c>
      <c r="F282" s="81" t="s">
        <v>3714</v>
      </c>
      <c r="G282" s="82" t="s">
        <v>3192</v>
      </c>
      <c r="H282" s="82" t="s">
        <v>3192</v>
      </c>
      <c r="I282" s="82" t="s">
        <v>3103</v>
      </c>
      <c r="J282" s="83" t="e">
        <f>VLOOKUP($C282,CHOOSE({1,2},'[4]Prestações de Conta inadimplent'!$D$9:$D$2000,'[4]Prestações de Conta inadimplent'!$C$9:$C$2000),2,0)</f>
        <v>#N/A</v>
      </c>
      <c r="L282" s="85"/>
      <c r="M282" s="85"/>
      <c r="T282" s="86"/>
      <c r="U282" s="85"/>
      <c r="V282" s="87"/>
      <c r="W282" s="85"/>
      <c r="X282" s="88"/>
      <c r="Y282" s="89"/>
      <c r="Z282" s="88"/>
      <c r="AA282" s="88"/>
      <c r="AB282" s="88"/>
      <c r="AF282" s="90"/>
      <c r="AK282" s="91"/>
      <c r="AM282" s="92"/>
      <c r="AN282" s="92"/>
      <c r="AO282" s="92"/>
      <c r="AP282" s="92"/>
      <c r="AQ282" s="92"/>
      <c r="AR282" s="92"/>
    </row>
    <row r="283" spans="1:44" s="84" customFormat="1" ht="24" customHeight="1" x14ac:dyDescent="0.3">
      <c r="A283" s="104">
        <v>9</v>
      </c>
      <c r="B283" s="113" t="s">
        <v>1578</v>
      </c>
      <c r="C283" s="94">
        <v>1179832</v>
      </c>
      <c r="D283" s="94">
        <v>9999999</v>
      </c>
      <c r="E283" s="94">
        <v>29222583</v>
      </c>
      <c r="F283" s="81" t="s">
        <v>3715</v>
      </c>
      <c r="G283" s="82" t="s">
        <v>3192</v>
      </c>
      <c r="H283" s="82" t="s">
        <v>3192</v>
      </c>
      <c r="I283" s="82" t="s">
        <v>3103</v>
      </c>
      <c r="J283" s="83" t="e">
        <f>VLOOKUP($C283,CHOOSE({1,2},'[4]Prestações de Conta inadimplent'!$D$9:$D$2000,'[4]Prestações de Conta inadimplent'!$C$9:$C$2000),2,0)</f>
        <v>#N/A</v>
      </c>
      <c r="L283" s="85"/>
      <c r="M283" s="85"/>
      <c r="T283" s="86"/>
      <c r="U283" s="85"/>
      <c r="V283" s="87"/>
      <c r="W283" s="85"/>
      <c r="X283" s="88"/>
      <c r="Y283" s="89"/>
      <c r="Z283" s="88"/>
      <c r="AA283" s="88"/>
      <c r="AB283" s="88"/>
      <c r="AF283" s="90"/>
      <c r="AK283" s="91"/>
      <c r="AM283" s="92"/>
      <c r="AN283" s="92"/>
      <c r="AO283" s="92"/>
      <c r="AP283" s="92"/>
      <c r="AQ283" s="92"/>
      <c r="AR283" s="92"/>
    </row>
    <row r="284" spans="1:44" s="84" customFormat="1" ht="24" customHeight="1" x14ac:dyDescent="0.3">
      <c r="A284" s="78" t="s">
        <v>3706</v>
      </c>
      <c r="B284" s="79" t="s">
        <v>1593</v>
      </c>
      <c r="C284" s="112">
        <v>1176399</v>
      </c>
      <c r="D284" s="112">
        <v>1103659</v>
      </c>
      <c r="E284" s="112">
        <v>29369053</v>
      </c>
      <c r="F284" s="81" t="s">
        <v>3716</v>
      </c>
      <c r="G284" s="82" t="s">
        <v>3708</v>
      </c>
      <c r="H284" s="82" t="s">
        <v>3717</v>
      </c>
      <c r="I284" s="82" t="s">
        <v>3103</v>
      </c>
      <c r="J284" s="83" t="e">
        <f>VLOOKUP($C284,CHOOSE({1,2},'[4]Prestações de Conta inadimplent'!$D$9:$D$2000,'[4]Prestações de Conta inadimplent'!$C$9:$C$2000),2,0)</f>
        <v>#N/A</v>
      </c>
      <c r="L284" s="85"/>
      <c r="M284" s="85" t="e">
        <v>#REF!</v>
      </c>
      <c r="T284" s="86"/>
      <c r="U284" s="85"/>
      <c r="V284" s="87"/>
      <c r="W284" s="85"/>
      <c r="X284" s="88"/>
      <c r="Y284" s="89"/>
      <c r="Z284" s="88"/>
      <c r="AA284" s="88"/>
      <c r="AB284" s="88"/>
      <c r="AF284" s="90"/>
      <c r="AK284" s="91"/>
      <c r="AM284" s="92"/>
      <c r="AN284" s="92"/>
      <c r="AO284" s="92"/>
      <c r="AP284" s="92"/>
      <c r="AQ284" s="92"/>
      <c r="AR284" s="92"/>
    </row>
    <row r="285" spans="1:44" s="84" customFormat="1" ht="24" customHeight="1" x14ac:dyDescent="0.3">
      <c r="A285" s="102">
        <v>9</v>
      </c>
      <c r="B285" s="99" t="s">
        <v>1593</v>
      </c>
      <c r="C285" s="100">
        <v>1117175</v>
      </c>
      <c r="D285" s="100">
        <v>1103657</v>
      </c>
      <c r="E285" s="100">
        <v>29223687</v>
      </c>
      <c r="F285" s="81" t="s">
        <v>3718</v>
      </c>
      <c r="G285" s="94" t="s">
        <v>3708</v>
      </c>
      <c r="H285" s="94" t="s">
        <v>3719</v>
      </c>
      <c r="I285" s="82" t="s">
        <v>3103</v>
      </c>
      <c r="J285" s="83" t="e">
        <f>VLOOKUP($C285,CHOOSE({1,2},'[4]Prestações de Conta inadimplent'!$D$9:$D$2000,'[4]Prestações de Conta inadimplent'!$C$9:$C$2000),2,0)</f>
        <v>#N/A</v>
      </c>
      <c r="L285" s="85"/>
      <c r="M285" s="85" t="e">
        <v>#REF!</v>
      </c>
      <c r="T285" s="86"/>
      <c r="U285" s="85"/>
      <c r="V285" s="87"/>
      <c r="W285" s="85"/>
      <c r="X285" s="88"/>
      <c r="Y285" s="89"/>
      <c r="Z285" s="88"/>
      <c r="AA285" s="88"/>
      <c r="AB285" s="88"/>
      <c r="AF285" s="90"/>
      <c r="AK285" s="91"/>
      <c r="AM285" s="92"/>
      <c r="AN285" s="92"/>
      <c r="AO285" s="92"/>
      <c r="AP285" s="92"/>
      <c r="AQ285" s="92"/>
      <c r="AR285" s="92"/>
    </row>
    <row r="286" spans="1:44" s="84" customFormat="1" ht="24" customHeight="1" x14ac:dyDescent="0.3">
      <c r="A286" s="78" t="s">
        <v>3706</v>
      </c>
      <c r="B286" s="79" t="s">
        <v>2596</v>
      </c>
      <c r="C286" s="112">
        <v>1178045</v>
      </c>
      <c r="D286" s="112">
        <v>1104531</v>
      </c>
      <c r="E286" s="112">
        <v>29429129</v>
      </c>
      <c r="F286" s="81" t="s">
        <v>3720</v>
      </c>
      <c r="G286" s="82" t="s">
        <v>3721</v>
      </c>
      <c r="H286" s="82" t="s">
        <v>3722</v>
      </c>
      <c r="I286" s="82" t="s">
        <v>3103</v>
      </c>
      <c r="J286" s="83" t="e">
        <f>VLOOKUP($C286,CHOOSE({1,2},'[4]Prestações de Conta inadimplent'!$D$9:$D$2000,'[4]Prestações de Conta inadimplent'!$C$9:$C$2000),2,0)</f>
        <v>#N/A</v>
      </c>
      <c r="L286" s="85"/>
      <c r="M286" s="85" t="e">
        <v>#REF!</v>
      </c>
      <c r="T286" s="86"/>
      <c r="U286" s="85"/>
      <c r="V286" s="87"/>
      <c r="W286" s="85"/>
      <c r="X286" s="88"/>
      <c r="Y286" s="89"/>
      <c r="Z286" s="88"/>
      <c r="AA286" s="88"/>
      <c r="AB286" s="88"/>
      <c r="AF286" s="90"/>
      <c r="AK286" s="91"/>
      <c r="AM286" s="92"/>
      <c r="AN286" s="92"/>
      <c r="AO286" s="92"/>
      <c r="AP286" s="92"/>
      <c r="AQ286" s="92"/>
      <c r="AR286" s="92"/>
    </row>
    <row r="287" spans="1:44" s="84" customFormat="1" ht="24" customHeight="1" x14ac:dyDescent="0.3">
      <c r="A287" s="78" t="s">
        <v>3706</v>
      </c>
      <c r="B287" s="79" t="s">
        <v>535</v>
      </c>
      <c r="C287" s="112">
        <v>1109423</v>
      </c>
      <c r="D287" s="112">
        <v>1103661</v>
      </c>
      <c r="E287" s="112">
        <v>29092744</v>
      </c>
      <c r="F287" s="81" t="s">
        <v>3723</v>
      </c>
      <c r="G287" s="82" t="s">
        <v>3708</v>
      </c>
      <c r="H287" s="82" t="s">
        <v>3724</v>
      </c>
      <c r="I287" s="82" t="s">
        <v>3103</v>
      </c>
      <c r="J287" s="83" t="e">
        <f>VLOOKUP($C287,CHOOSE({1,2},'[4]Prestações de Conta inadimplent'!$D$9:$D$2000,'[4]Prestações de Conta inadimplent'!$C$9:$C$2000),2,0)</f>
        <v>#N/A</v>
      </c>
      <c r="L287" s="85"/>
      <c r="M287" s="85" t="e">
        <v>#REF!</v>
      </c>
      <c r="T287" s="86"/>
      <c r="U287" s="85"/>
      <c r="V287" s="87"/>
      <c r="W287" s="85"/>
      <c r="X287" s="88"/>
      <c r="Y287" s="89"/>
      <c r="Z287" s="88"/>
      <c r="AA287" s="88"/>
      <c r="AB287" s="88"/>
      <c r="AF287" s="90"/>
      <c r="AH287" s="85"/>
      <c r="AK287" s="91"/>
      <c r="AM287" s="92"/>
      <c r="AN287" s="92"/>
      <c r="AO287" s="92"/>
      <c r="AP287" s="92"/>
      <c r="AQ287" s="92"/>
      <c r="AR287" s="92"/>
    </row>
    <row r="288" spans="1:44" s="84" customFormat="1" ht="24" customHeight="1" x14ac:dyDescent="0.3">
      <c r="A288" s="78" t="s">
        <v>3706</v>
      </c>
      <c r="B288" s="79" t="s">
        <v>2199</v>
      </c>
      <c r="C288" s="112">
        <v>1176366</v>
      </c>
      <c r="D288" s="112">
        <v>1102230</v>
      </c>
      <c r="E288" s="112">
        <v>29340080</v>
      </c>
      <c r="F288" s="81" t="s">
        <v>2200</v>
      </c>
      <c r="G288" s="82" t="s">
        <v>3721</v>
      </c>
      <c r="H288" s="82" t="s">
        <v>3725</v>
      </c>
      <c r="I288" s="82" t="s">
        <v>3103</v>
      </c>
      <c r="J288" s="83" t="e">
        <f>VLOOKUP($C288,CHOOSE({1,2},'[4]Prestações de Conta inadimplent'!$D$9:$D$2000,'[4]Prestações de Conta inadimplent'!$C$9:$C$2000),2,0)</f>
        <v>#N/A</v>
      </c>
      <c r="L288" s="85"/>
      <c r="M288" s="85" t="e">
        <v>#REF!</v>
      </c>
      <c r="T288" s="86"/>
      <c r="U288" s="85"/>
      <c r="V288" s="87"/>
      <c r="W288" s="85"/>
      <c r="X288" s="88"/>
      <c r="Y288" s="89"/>
      <c r="Z288" s="88"/>
      <c r="AA288" s="88"/>
      <c r="AB288" s="88"/>
      <c r="AF288" s="90"/>
      <c r="AK288" s="91"/>
      <c r="AM288" s="92"/>
      <c r="AN288" s="92"/>
      <c r="AO288" s="92"/>
      <c r="AP288" s="92"/>
      <c r="AQ288" s="92"/>
      <c r="AR288" s="92"/>
    </row>
    <row r="289" spans="1:44" s="84" customFormat="1" ht="24" customHeight="1" x14ac:dyDescent="0.3">
      <c r="A289" s="78" t="s">
        <v>3706</v>
      </c>
      <c r="B289" s="79" t="s">
        <v>1601</v>
      </c>
      <c r="C289" s="112">
        <v>1119470</v>
      </c>
      <c r="D289" s="112">
        <v>1102251</v>
      </c>
      <c r="E289" s="112">
        <v>29226040</v>
      </c>
      <c r="F289" s="81" t="s">
        <v>1602</v>
      </c>
      <c r="G289" s="82" t="s">
        <v>3726</v>
      </c>
      <c r="H289" s="82" t="s">
        <v>3727</v>
      </c>
      <c r="I289" s="82" t="s">
        <v>3103</v>
      </c>
      <c r="J289" s="83" t="e">
        <f>VLOOKUP($C289,CHOOSE({1,2},'[4]Prestações de Conta inadimplent'!$D$9:$D$2000,'[4]Prestações de Conta inadimplent'!$C$9:$C$2000),2,0)</f>
        <v>#N/A</v>
      </c>
      <c r="L289" s="85"/>
      <c r="M289" s="85" t="e">
        <v>#REF!</v>
      </c>
      <c r="T289" s="86"/>
      <c r="U289" s="85"/>
      <c r="V289" s="87"/>
      <c r="W289" s="85"/>
      <c r="X289" s="88"/>
      <c r="Y289" s="89"/>
      <c r="Z289" s="88"/>
      <c r="AA289" s="88"/>
      <c r="AB289" s="88"/>
      <c r="AF289" s="90"/>
      <c r="AK289" s="91"/>
      <c r="AM289" s="92"/>
      <c r="AN289" s="92"/>
      <c r="AO289" s="92"/>
      <c r="AP289" s="92"/>
      <c r="AQ289" s="92"/>
      <c r="AR289" s="92"/>
    </row>
    <row r="290" spans="1:44" s="84" customFormat="1" ht="24" customHeight="1" x14ac:dyDescent="0.3">
      <c r="A290" s="78" t="s">
        <v>3706</v>
      </c>
      <c r="B290" s="79" t="s">
        <v>1605</v>
      </c>
      <c r="C290" s="112">
        <v>1117566</v>
      </c>
      <c r="D290" s="112">
        <v>1102256</v>
      </c>
      <c r="E290" s="112">
        <v>29226147</v>
      </c>
      <c r="F290" s="81" t="s">
        <v>3728</v>
      </c>
      <c r="G290" s="82" t="s">
        <v>3721</v>
      </c>
      <c r="H290" s="82" t="s">
        <v>3729</v>
      </c>
      <c r="I290" s="82" t="s">
        <v>3103</v>
      </c>
      <c r="J290" s="83" t="e">
        <f>VLOOKUP($C290,CHOOSE({1,2},'[4]Prestações de Conta inadimplent'!$D$9:$D$2000,'[4]Prestações de Conta inadimplent'!$C$9:$C$2000),2,0)</f>
        <v>#N/A</v>
      </c>
      <c r="L290" s="85"/>
      <c r="M290" s="85" t="e">
        <v>#REF!</v>
      </c>
      <c r="T290" s="86"/>
      <c r="U290" s="85"/>
      <c r="V290" s="87"/>
      <c r="W290" s="85"/>
      <c r="X290" s="88"/>
      <c r="Y290" s="89"/>
      <c r="Z290" s="88"/>
      <c r="AA290" s="88"/>
      <c r="AB290" s="88"/>
      <c r="AF290" s="90"/>
      <c r="AK290" s="91"/>
      <c r="AM290" s="92"/>
      <c r="AN290" s="92"/>
      <c r="AO290" s="92"/>
      <c r="AP290" s="92"/>
      <c r="AQ290" s="92"/>
      <c r="AR290" s="92"/>
    </row>
    <row r="291" spans="1:44" s="84" customFormat="1" ht="24" customHeight="1" x14ac:dyDescent="0.3">
      <c r="A291" s="78" t="s">
        <v>3706</v>
      </c>
      <c r="B291" s="79" t="s">
        <v>1609</v>
      </c>
      <c r="C291" s="112">
        <v>1119445</v>
      </c>
      <c r="D291" s="112">
        <v>1102272</v>
      </c>
      <c r="E291" s="112">
        <v>29226520</v>
      </c>
      <c r="F291" s="81" t="s">
        <v>3730</v>
      </c>
      <c r="G291" s="82" t="s">
        <v>3726</v>
      </c>
      <c r="H291" s="82" t="s">
        <v>3731</v>
      </c>
      <c r="I291" s="82" t="s">
        <v>3103</v>
      </c>
      <c r="J291" s="83" t="e">
        <f>VLOOKUP($C291,CHOOSE({1,2},'[4]Prestações de Conta inadimplent'!$D$9:$D$2000,'[4]Prestações de Conta inadimplent'!$C$9:$C$2000),2,0)</f>
        <v>#N/A</v>
      </c>
      <c r="L291" s="85"/>
      <c r="M291" s="85" t="e">
        <v>#REF!</v>
      </c>
      <c r="T291" s="86"/>
      <c r="U291" s="85"/>
      <c r="V291" s="87"/>
      <c r="W291" s="85"/>
      <c r="X291" s="88"/>
      <c r="Y291" s="89"/>
      <c r="Z291" s="88"/>
      <c r="AA291" s="88"/>
      <c r="AB291" s="88"/>
      <c r="AF291" s="90"/>
      <c r="AK291" s="91"/>
      <c r="AM291" s="92"/>
      <c r="AN291" s="92"/>
      <c r="AO291" s="92"/>
      <c r="AP291" s="92"/>
      <c r="AQ291" s="92"/>
      <c r="AR291" s="92"/>
    </row>
    <row r="292" spans="1:44" s="84" customFormat="1" ht="24" customHeight="1" x14ac:dyDescent="0.3">
      <c r="A292" s="78" t="s">
        <v>3706</v>
      </c>
      <c r="B292" s="79" t="s">
        <v>1609</v>
      </c>
      <c r="C292" s="112">
        <v>1118023</v>
      </c>
      <c r="D292" s="112">
        <v>1102271</v>
      </c>
      <c r="E292" s="112">
        <v>29226864</v>
      </c>
      <c r="F292" s="81" t="s">
        <v>3732</v>
      </c>
      <c r="G292" s="82" t="s">
        <v>3726</v>
      </c>
      <c r="H292" s="82" t="s">
        <v>3733</v>
      </c>
      <c r="I292" s="82" t="s">
        <v>3103</v>
      </c>
      <c r="J292" s="83" t="e">
        <f>VLOOKUP($C292,CHOOSE({1,2},'[4]Prestações de Conta inadimplent'!$D$9:$D$2000,'[4]Prestações de Conta inadimplent'!$C$9:$C$2000),2,0)</f>
        <v>#N/A</v>
      </c>
      <c r="L292" s="85"/>
      <c r="M292" s="85" t="e">
        <v>#REF!</v>
      </c>
      <c r="T292" s="86"/>
      <c r="U292" s="85"/>
      <c r="V292" s="87"/>
      <c r="W292" s="85"/>
      <c r="X292" s="88"/>
      <c r="Y292" s="89"/>
      <c r="Z292" s="89"/>
      <c r="AA292" s="88"/>
      <c r="AB292" s="88"/>
      <c r="AF292" s="90"/>
      <c r="AK292" s="91"/>
      <c r="AM292" s="92"/>
      <c r="AN292" s="92"/>
      <c r="AO292" s="92"/>
      <c r="AP292" s="92"/>
      <c r="AQ292" s="92"/>
      <c r="AR292" s="92"/>
    </row>
    <row r="293" spans="1:44" s="84" customFormat="1" ht="24" customHeight="1" x14ac:dyDescent="0.3">
      <c r="A293" s="104">
        <v>9</v>
      </c>
      <c r="B293" s="97" t="s">
        <v>1609</v>
      </c>
      <c r="C293" s="94">
        <v>1119461</v>
      </c>
      <c r="D293" s="94">
        <v>1102274</v>
      </c>
      <c r="E293" s="94">
        <v>29227356</v>
      </c>
      <c r="F293" s="81" t="s">
        <v>3734</v>
      </c>
      <c r="G293" s="94" t="s">
        <v>3726</v>
      </c>
      <c r="H293" s="94" t="s">
        <v>3735</v>
      </c>
      <c r="I293" s="82" t="s">
        <v>3103</v>
      </c>
      <c r="J293" s="83" t="e">
        <f>VLOOKUP($C293,CHOOSE({1,2},'[4]Prestações de Conta inadimplent'!$D$9:$D$2000,'[4]Prestações de Conta inadimplent'!$C$9:$C$2000),2,0)</f>
        <v>#N/A</v>
      </c>
      <c r="L293" s="85"/>
      <c r="M293" s="85" t="e">
        <v>#REF!</v>
      </c>
      <c r="T293" s="86"/>
      <c r="U293" s="85"/>
      <c r="V293" s="87"/>
      <c r="W293" s="85"/>
      <c r="X293" s="85"/>
      <c r="Y293" s="89"/>
      <c r="Z293" s="89"/>
      <c r="AA293" s="88"/>
      <c r="AB293" s="88"/>
      <c r="AF293" s="90"/>
      <c r="AK293" s="91"/>
      <c r="AM293" s="92"/>
      <c r="AN293" s="92"/>
      <c r="AO293" s="92"/>
      <c r="AP293" s="92"/>
      <c r="AQ293" s="92"/>
      <c r="AR293" s="92"/>
    </row>
    <row r="294" spans="1:44" s="84" customFormat="1" ht="24" customHeight="1" x14ac:dyDescent="0.3">
      <c r="A294" s="78" t="s">
        <v>3706</v>
      </c>
      <c r="B294" s="79" t="s">
        <v>1640</v>
      </c>
      <c r="C294" s="112">
        <v>1110308</v>
      </c>
      <c r="D294" s="112">
        <v>1103668</v>
      </c>
      <c r="E294" s="112">
        <v>29229839</v>
      </c>
      <c r="F294" s="81" t="s">
        <v>1641</v>
      </c>
      <c r="G294" s="82" t="s">
        <v>3736</v>
      </c>
      <c r="H294" s="82" t="s">
        <v>3737</v>
      </c>
      <c r="I294" s="82" t="s">
        <v>3103</v>
      </c>
      <c r="J294" s="83" t="e">
        <f>VLOOKUP($C294,CHOOSE({1,2},'[4]Prestações de Conta inadimplent'!$D$9:$D$2000,'[4]Prestações de Conta inadimplent'!$C$9:$C$2000),2,0)</f>
        <v>#N/A</v>
      </c>
      <c r="L294" s="85"/>
      <c r="M294" s="85" t="e">
        <v>#REF!</v>
      </c>
      <c r="T294" s="86"/>
      <c r="U294" s="85"/>
      <c r="V294" s="87"/>
      <c r="W294" s="85"/>
      <c r="X294" s="88"/>
      <c r="Y294" s="89"/>
      <c r="Z294" s="88"/>
      <c r="AA294" s="88"/>
      <c r="AB294" s="88"/>
      <c r="AF294" s="90"/>
      <c r="AK294" s="91"/>
      <c r="AM294" s="92"/>
      <c r="AN294" s="92"/>
      <c r="AO294" s="92"/>
      <c r="AP294" s="92"/>
      <c r="AQ294" s="92"/>
      <c r="AR294" s="92"/>
    </row>
    <row r="295" spans="1:44" s="84" customFormat="1" ht="24" customHeight="1" x14ac:dyDescent="0.3">
      <c r="A295" s="78" t="s">
        <v>3706</v>
      </c>
      <c r="B295" s="79" t="s">
        <v>1644</v>
      </c>
      <c r="C295" s="112">
        <v>1118066</v>
      </c>
      <c r="D295" s="112">
        <v>1102313</v>
      </c>
      <c r="E295" s="112">
        <v>29230985</v>
      </c>
      <c r="F295" s="81" t="s">
        <v>3738</v>
      </c>
      <c r="G295" s="82" t="s">
        <v>3721</v>
      </c>
      <c r="H295" s="82" t="s">
        <v>3739</v>
      </c>
      <c r="I295" s="82" t="s">
        <v>3122</v>
      </c>
      <c r="J295" s="83" t="str">
        <f>VLOOKUP($C295,CHOOSE({1,2},'[4]Prestações de Conta inadimplent'!$D$9:$D$2000,'[4]Prestações de Conta inadimplent'!$C$9:$C$2000),2,0)</f>
        <v>Colegio Estadual Professor Eraldo Tinoco</v>
      </c>
      <c r="K295" s="96"/>
      <c r="L295" s="85"/>
      <c r="M295" s="85" t="e">
        <v>#REF!</v>
      </c>
      <c r="T295" s="86"/>
      <c r="U295" s="85"/>
      <c r="V295" s="87"/>
      <c r="W295" s="85"/>
      <c r="X295" s="88"/>
      <c r="Y295" s="89"/>
      <c r="Z295" s="88"/>
      <c r="AA295" s="88"/>
      <c r="AB295" s="88"/>
      <c r="AF295" s="90"/>
      <c r="AK295" s="91"/>
      <c r="AM295" s="92"/>
      <c r="AN295" s="92"/>
      <c r="AO295" s="92"/>
      <c r="AP295" s="92"/>
      <c r="AQ295" s="92"/>
      <c r="AR295" s="92"/>
    </row>
    <row r="296" spans="1:44" s="84" customFormat="1" ht="24" customHeight="1" x14ac:dyDescent="0.3">
      <c r="A296" s="78" t="s">
        <v>3706</v>
      </c>
      <c r="B296" s="79" t="s">
        <v>1648</v>
      </c>
      <c r="C296" s="112">
        <v>1178269</v>
      </c>
      <c r="D296" s="112">
        <v>1105510</v>
      </c>
      <c r="E296" s="112">
        <v>29447690</v>
      </c>
      <c r="F296" s="81" t="s">
        <v>2807</v>
      </c>
      <c r="G296" s="82" t="s">
        <v>3740</v>
      </c>
      <c r="H296" s="82" t="s">
        <v>3741</v>
      </c>
      <c r="I296" s="82" t="s">
        <v>3103</v>
      </c>
      <c r="J296" s="83" t="e">
        <f>VLOOKUP($C296,CHOOSE({1,2},'[4]Prestações de Conta inadimplent'!$D$9:$D$2000,'[4]Prestações de Conta inadimplent'!$C$9:$C$2000),2,0)</f>
        <v>#N/A</v>
      </c>
      <c r="L296" s="85"/>
      <c r="M296" s="85" t="e">
        <v>#REF!</v>
      </c>
      <c r="T296" s="86"/>
      <c r="U296" s="85"/>
      <c r="V296" s="87"/>
      <c r="W296" s="85"/>
      <c r="X296" s="88"/>
      <c r="Y296" s="89"/>
      <c r="Z296" s="89"/>
      <c r="AA296" s="88"/>
      <c r="AB296" s="88"/>
      <c r="AF296" s="90"/>
      <c r="AK296" s="91"/>
      <c r="AM296" s="92"/>
      <c r="AN296" s="92"/>
      <c r="AO296" s="92"/>
      <c r="AP296" s="92"/>
      <c r="AQ296" s="92"/>
      <c r="AR296" s="92"/>
    </row>
    <row r="297" spans="1:44" s="84" customFormat="1" ht="24" customHeight="1" x14ac:dyDescent="0.3">
      <c r="A297" s="78" t="s">
        <v>3706</v>
      </c>
      <c r="B297" s="79" t="s">
        <v>1652</v>
      </c>
      <c r="C297" s="112">
        <v>1166796</v>
      </c>
      <c r="D297" s="112">
        <v>1102315</v>
      </c>
      <c r="E297" s="112">
        <v>29231868</v>
      </c>
      <c r="F297" s="81" t="s">
        <v>1653</v>
      </c>
      <c r="G297" s="82" t="s">
        <v>3742</v>
      </c>
      <c r="H297" s="82" t="s">
        <v>3743</v>
      </c>
      <c r="I297" s="82" t="s">
        <v>3103</v>
      </c>
      <c r="J297" s="83" t="e">
        <f>VLOOKUP($C297,CHOOSE({1,2},'[4]Prestações de Conta inadimplent'!$D$9:$D$2000,'[4]Prestações de Conta inadimplent'!$C$9:$C$2000),2,0)</f>
        <v>#N/A</v>
      </c>
      <c r="L297" s="85"/>
      <c r="M297" s="85" t="e">
        <v>#REF!</v>
      </c>
      <c r="T297" s="86"/>
      <c r="U297" s="85"/>
      <c r="V297" s="87"/>
      <c r="W297" s="85"/>
      <c r="X297" s="88"/>
      <c r="Y297" s="89"/>
      <c r="Z297" s="89"/>
      <c r="AA297" s="88"/>
      <c r="AB297" s="88"/>
      <c r="AF297" s="90"/>
      <c r="AK297" s="91"/>
      <c r="AM297" s="92"/>
      <c r="AN297" s="92"/>
      <c r="AO297" s="92"/>
      <c r="AP297" s="92"/>
      <c r="AQ297" s="92"/>
      <c r="AR297" s="92"/>
    </row>
    <row r="298" spans="1:44" s="84" customFormat="1" ht="24" customHeight="1" x14ac:dyDescent="0.3">
      <c r="A298" s="78" t="s">
        <v>3706</v>
      </c>
      <c r="B298" s="79" t="s">
        <v>1656</v>
      </c>
      <c r="C298" s="112">
        <v>1176455</v>
      </c>
      <c r="D298" s="112">
        <v>1102325</v>
      </c>
      <c r="E298" s="112">
        <v>29390109</v>
      </c>
      <c r="F298" s="81" t="s">
        <v>3744</v>
      </c>
      <c r="G298" s="82" t="s">
        <v>3742</v>
      </c>
      <c r="H298" s="82" t="s">
        <v>3745</v>
      </c>
      <c r="I298" s="82" t="s">
        <v>3103</v>
      </c>
      <c r="J298" s="83" t="e">
        <f>VLOOKUP($C298,CHOOSE({1,2},'[4]Prestações de Conta inadimplent'!$D$9:$D$2000,'[4]Prestações de Conta inadimplent'!$C$9:$C$2000),2,0)</f>
        <v>#N/A</v>
      </c>
      <c r="L298" s="85"/>
      <c r="M298" s="85" t="e">
        <v>#REF!</v>
      </c>
      <c r="T298" s="86"/>
      <c r="U298" s="85"/>
      <c r="V298" s="87"/>
      <c r="W298" s="85"/>
      <c r="X298" s="88"/>
      <c r="Y298" s="89"/>
      <c r="Z298" s="88"/>
      <c r="AA298" s="88"/>
      <c r="AB298" s="88"/>
      <c r="AF298" s="90"/>
      <c r="AK298" s="91"/>
      <c r="AM298" s="92"/>
      <c r="AN298" s="92"/>
      <c r="AO298" s="92"/>
      <c r="AP298" s="92"/>
      <c r="AQ298" s="92"/>
      <c r="AR298" s="92"/>
    </row>
    <row r="299" spans="1:44" s="84" customFormat="1" ht="24" customHeight="1" x14ac:dyDescent="0.3">
      <c r="A299" s="78" t="s">
        <v>3706</v>
      </c>
      <c r="B299" s="79" t="s">
        <v>3003</v>
      </c>
      <c r="C299" s="112">
        <v>1179694</v>
      </c>
      <c r="D299" s="112">
        <v>9999999</v>
      </c>
      <c r="E299" s="112">
        <v>29479169</v>
      </c>
      <c r="F299" s="81" t="s">
        <v>3746</v>
      </c>
      <c r="G299" s="82" t="s">
        <v>3708</v>
      </c>
      <c r="H299" s="82" t="s">
        <v>3747</v>
      </c>
      <c r="I299" s="82" t="s">
        <v>3103</v>
      </c>
      <c r="J299" s="83" t="e">
        <f>VLOOKUP($C299,CHOOSE({1,2},'[4]Prestações de Conta inadimplent'!$D$9:$D$2000,'[4]Prestações de Conta inadimplent'!$C$9:$C$2000),2,0)</f>
        <v>#N/A</v>
      </c>
      <c r="L299" s="85"/>
      <c r="M299" s="85" t="e">
        <v>#REF!</v>
      </c>
      <c r="T299" s="86"/>
      <c r="U299" s="85"/>
      <c r="V299" s="87"/>
      <c r="W299" s="85"/>
      <c r="X299" s="88"/>
      <c r="Y299" s="89"/>
      <c r="Z299" s="88"/>
      <c r="AA299" s="88"/>
      <c r="AB299" s="88"/>
      <c r="AF299" s="90"/>
      <c r="AK299" s="91"/>
      <c r="AM299" s="92"/>
      <c r="AN299" s="92"/>
      <c r="AO299" s="92"/>
      <c r="AP299" s="92"/>
      <c r="AQ299" s="92"/>
      <c r="AR299" s="92"/>
    </row>
    <row r="300" spans="1:44" s="84" customFormat="1" ht="24" customHeight="1" x14ac:dyDescent="0.3">
      <c r="A300" s="78" t="s">
        <v>3706</v>
      </c>
      <c r="B300" s="79" t="s">
        <v>2443</v>
      </c>
      <c r="C300" s="112">
        <v>1177069</v>
      </c>
      <c r="D300" s="112">
        <v>1103692</v>
      </c>
      <c r="E300" s="112">
        <v>29410452</v>
      </c>
      <c r="F300" s="81" t="s">
        <v>3748</v>
      </c>
      <c r="G300" s="82" t="s">
        <v>3749</v>
      </c>
      <c r="H300" s="82" t="s">
        <v>3750</v>
      </c>
      <c r="I300" s="82" t="s">
        <v>3103</v>
      </c>
      <c r="J300" s="83" t="e">
        <f>VLOOKUP($C300,CHOOSE({1,2},'[4]Prestações de Conta inadimplent'!$D$9:$D$2000,'[4]Prestações de Conta inadimplent'!$C$9:$C$2000),2,0)</f>
        <v>#N/A</v>
      </c>
      <c r="L300" s="85"/>
      <c r="M300" s="85" t="e">
        <v>#REF!</v>
      </c>
      <c r="T300" s="86"/>
      <c r="U300" s="85"/>
      <c r="V300" s="87"/>
      <c r="W300" s="85"/>
      <c r="X300" s="88"/>
      <c r="Y300" s="89"/>
      <c r="Z300" s="89"/>
      <c r="AA300" s="88"/>
      <c r="AB300" s="88"/>
      <c r="AF300" s="90"/>
      <c r="AK300" s="91"/>
      <c r="AM300" s="92"/>
      <c r="AN300" s="92"/>
      <c r="AO300" s="92"/>
      <c r="AP300" s="92"/>
      <c r="AQ300" s="92"/>
      <c r="AR300" s="92"/>
    </row>
    <row r="301" spans="1:44" s="84" customFormat="1" ht="24" customHeight="1" x14ac:dyDescent="0.3">
      <c r="A301" s="78" t="s">
        <v>3706</v>
      </c>
      <c r="B301" s="79" t="s">
        <v>1663</v>
      </c>
      <c r="C301" s="112">
        <v>1118414</v>
      </c>
      <c r="D301" s="112">
        <v>1103693</v>
      </c>
      <c r="E301" s="112">
        <v>29234450</v>
      </c>
      <c r="F301" s="81" t="s">
        <v>3751</v>
      </c>
      <c r="G301" s="82" t="s">
        <v>3708</v>
      </c>
      <c r="H301" s="82" t="s">
        <v>3752</v>
      </c>
      <c r="I301" s="82" t="s">
        <v>3103</v>
      </c>
      <c r="J301" s="83" t="e">
        <f>VLOOKUP($C301,CHOOSE({1,2},'[4]Prestações de Conta inadimplent'!$D$9:$D$2000,'[4]Prestações de Conta inadimplent'!$C$9:$C$2000),2,0)</f>
        <v>#N/A</v>
      </c>
      <c r="L301" s="85"/>
      <c r="M301" s="85" t="e">
        <v>#REF!</v>
      </c>
      <c r="T301" s="86"/>
      <c r="U301" s="85"/>
      <c r="V301" s="87"/>
      <c r="W301" s="85"/>
      <c r="X301" s="88"/>
      <c r="Y301" s="89"/>
      <c r="Z301" s="89"/>
      <c r="AA301" s="88"/>
      <c r="AB301" s="88"/>
      <c r="AF301" s="90"/>
      <c r="AK301" s="91"/>
      <c r="AM301" s="92"/>
      <c r="AN301" s="92"/>
      <c r="AO301" s="92"/>
      <c r="AP301" s="92"/>
      <c r="AQ301" s="92"/>
      <c r="AR301" s="92"/>
    </row>
    <row r="302" spans="1:44" s="84" customFormat="1" ht="24" customHeight="1" x14ac:dyDescent="0.3">
      <c r="A302" s="78" t="s">
        <v>3706</v>
      </c>
      <c r="B302" s="79" t="s">
        <v>1666</v>
      </c>
      <c r="C302" s="112">
        <v>1166877</v>
      </c>
      <c r="D302" s="112">
        <v>1102328</v>
      </c>
      <c r="E302" s="112">
        <v>29234913</v>
      </c>
      <c r="F302" s="81" t="s">
        <v>3753</v>
      </c>
      <c r="G302" s="82" t="s">
        <v>3742</v>
      </c>
      <c r="H302" s="82" t="s">
        <v>3754</v>
      </c>
      <c r="I302" s="82" t="s">
        <v>3103</v>
      </c>
      <c r="J302" s="83" t="e">
        <f>VLOOKUP($C302,CHOOSE({1,2},'[4]Prestações de Conta inadimplent'!$D$9:$D$2000,'[4]Prestações de Conta inadimplent'!$C$9:$C$2000),2,0)</f>
        <v>#N/A</v>
      </c>
      <c r="L302" s="85"/>
      <c r="M302" s="85" t="e">
        <v>#REF!</v>
      </c>
      <c r="T302" s="86"/>
      <c r="U302" s="85"/>
      <c r="V302" s="87"/>
      <c r="W302" s="85"/>
      <c r="X302" s="88"/>
      <c r="Y302" s="89"/>
      <c r="Z302" s="89"/>
      <c r="AA302" s="88"/>
      <c r="AB302" s="88"/>
      <c r="AF302" s="90"/>
      <c r="AK302" s="91"/>
      <c r="AM302" s="92"/>
      <c r="AN302" s="92"/>
      <c r="AO302" s="92"/>
      <c r="AP302" s="92"/>
      <c r="AQ302" s="92"/>
      <c r="AR302" s="92"/>
    </row>
    <row r="303" spans="1:44" s="84" customFormat="1" ht="24" customHeight="1" x14ac:dyDescent="0.3">
      <c r="A303" s="78" t="s">
        <v>3706</v>
      </c>
      <c r="B303" s="79" t="s">
        <v>3755</v>
      </c>
      <c r="C303" s="112">
        <v>1118287</v>
      </c>
      <c r="D303" s="112">
        <v>1102329</v>
      </c>
      <c r="E303" s="112">
        <v>29235138</v>
      </c>
      <c r="F303" s="81" t="s">
        <v>3756</v>
      </c>
      <c r="G303" s="82" t="s">
        <v>3726</v>
      </c>
      <c r="H303" s="82" t="s">
        <v>3757</v>
      </c>
      <c r="I303" s="82" t="s">
        <v>3103</v>
      </c>
      <c r="J303" s="83" t="e">
        <f>VLOOKUP($C303,CHOOSE({1,2},'[4]Prestações de Conta inadimplent'!$D$9:$D$2000,'[4]Prestações de Conta inadimplent'!$C$9:$C$2000),2,0)</f>
        <v>#N/A</v>
      </c>
      <c r="L303" s="85"/>
      <c r="M303" s="85" t="e">
        <v>#REF!</v>
      </c>
      <c r="T303" s="86"/>
      <c r="U303" s="85"/>
      <c r="V303" s="87"/>
      <c r="W303" s="85"/>
      <c r="X303" s="88"/>
      <c r="Y303" s="89"/>
      <c r="Z303" s="89"/>
      <c r="AA303" s="88"/>
      <c r="AB303" s="88"/>
      <c r="AF303" s="90"/>
      <c r="AK303" s="91"/>
      <c r="AM303" s="92"/>
      <c r="AN303" s="92"/>
      <c r="AO303" s="92"/>
      <c r="AP303" s="92"/>
      <c r="AQ303" s="92"/>
      <c r="AR303" s="92"/>
    </row>
    <row r="304" spans="1:44" s="84" customFormat="1" ht="24" customHeight="1" x14ac:dyDescent="0.3">
      <c r="A304" s="78" t="s">
        <v>3706</v>
      </c>
      <c r="B304" s="79" t="s">
        <v>1670</v>
      </c>
      <c r="C304" s="112">
        <v>1109563</v>
      </c>
      <c r="D304" s="112">
        <v>1103697</v>
      </c>
      <c r="E304" s="112">
        <v>29235260</v>
      </c>
      <c r="F304" s="81" t="s">
        <v>3758</v>
      </c>
      <c r="G304" s="82" t="s">
        <v>3759</v>
      </c>
      <c r="H304" s="82" t="s">
        <v>3760</v>
      </c>
      <c r="I304" s="82" t="s">
        <v>3103</v>
      </c>
      <c r="J304" s="83" t="e">
        <f>VLOOKUP($C304,CHOOSE({1,2},'[4]Prestações de Conta inadimplent'!$D$9:$D$2000,'[4]Prestações de Conta inadimplent'!$C$9:$C$2000),2,0)</f>
        <v>#N/A</v>
      </c>
      <c r="L304" s="85"/>
      <c r="M304" s="85" t="e">
        <v>#REF!</v>
      </c>
      <c r="T304" s="86"/>
      <c r="U304" s="85"/>
      <c r="V304" s="87"/>
      <c r="W304" s="85"/>
      <c r="X304" s="88"/>
      <c r="Y304" s="89"/>
      <c r="Z304" s="89"/>
      <c r="AA304" s="88"/>
      <c r="AB304" s="88"/>
      <c r="AF304" s="90"/>
      <c r="AK304" s="91"/>
      <c r="AM304" s="92"/>
      <c r="AN304" s="92"/>
      <c r="AO304" s="92"/>
      <c r="AP304" s="92"/>
      <c r="AQ304" s="92"/>
      <c r="AR304" s="92"/>
    </row>
    <row r="305" spans="1:44" s="84" customFormat="1" ht="24" customHeight="1" x14ac:dyDescent="0.3">
      <c r="A305" s="78" t="s">
        <v>3706</v>
      </c>
      <c r="B305" s="79" t="s">
        <v>1674</v>
      </c>
      <c r="C305" s="112">
        <v>1110529</v>
      </c>
      <c r="D305" s="112">
        <v>1103698</v>
      </c>
      <c r="E305" s="112">
        <v>29236550</v>
      </c>
      <c r="F305" s="81" t="s">
        <v>3761</v>
      </c>
      <c r="G305" s="82" t="s">
        <v>3762</v>
      </c>
      <c r="H305" s="82" t="s">
        <v>3763</v>
      </c>
      <c r="I305" s="82" t="s">
        <v>3103</v>
      </c>
      <c r="J305" s="83" t="e">
        <f>VLOOKUP($C305,CHOOSE({1,2},'[4]Prestações de Conta inadimplent'!$D$9:$D$2000,'[4]Prestações de Conta inadimplent'!$C$9:$C$2000),2,0)</f>
        <v>#N/A</v>
      </c>
      <c r="L305" s="85"/>
      <c r="M305" s="85" t="e">
        <v>#REF!</v>
      </c>
      <c r="T305" s="86"/>
      <c r="U305" s="85"/>
      <c r="V305" s="87"/>
      <c r="W305" s="85"/>
      <c r="X305" s="88"/>
      <c r="Y305" s="89"/>
      <c r="Z305" s="89"/>
      <c r="AA305" s="88"/>
      <c r="AB305" s="88"/>
      <c r="AF305" s="90"/>
      <c r="AK305" s="91"/>
      <c r="AM305" s="92"/>
      <c r="AN305" s="92"/>
      <c r="AO305" s="92"/>
      <c r="AP305" s="92"/>
      <c r="AQ305" s="92"/>
      <c r="AR305" s="92"/>
    </row>
    <row r="306" spans="1:44" s="84" customFormat="1" ht="24" customHeight="1" x14ac:dyDescent="0.3">
      <c r="A306" s="78" t="s">
        <v>3764</v>
      </c>
      <c r="B306" s="79" t="s">
        <v>3030</v>
      </c>
      <c r="C306" s="112">
        <v>1178278</v>
      </c>
      <c r="D306" s="112">
        <v>1105520</v>
      </c>
      <c r="E306" s="112">
        <v>29535808</v>
      </c>
      <c r="F306" s="81" t="s">
        <v>3765</v>
      </c>
      <c r="G306" s="82" t="s">
        <v>3766</v>
      </c>
      <c r="H306" s="82" t="s">
        <v>3767</v>
      </c>
      <c r="I306" s="82" t="s">
        <v>3103</v>
      </c>
      <c r="J306" s="83" t="e">
        <f>VLOOKUP($C306,CHOOSE({1,2},'[4]Prestações de Conta inadimplent'!$D$9:$D$2000,'[4]Prestações de Conta inadimplent'!$C$9:$C$2000),2,0)</f>
        <v>#N/A</v>
      </c>
      <c r="L306" s="85"/>
      <c r="M306" s="85" t="e">
        <v>#REF!</v>
      </c>
      <c r="T306" s="86"/>
      <c r="U306" s="85"/>
      <c r="V306" s="87"/>
      <c r="W306" s="85"/>
      <c r="X306" s="88"/>
      <c r="Y306" s="89"/>
      <c r="Z306" s="89"/>
      <c r="AA306" s="88"/>
      <c r="AB306" s="88"/>
      <c r="AF306" s="90"/>
      <c r="AK306" s="91"/>
      <c r="AM306" s="92"/>
      <c r="AN306" s="92"/>
      <c r="AO306" s="92"/>
      <c r="AP306" s="92"/>
      <c r="AQ306" s="92"/>
      <c r="AR306" s="92"/>
    </row>
    <row r="307" spans="1:44" s="84" customFormat="1" ht="24" customHeight="1" x14ac:dyDescent="0.3">
      <c r="A307" s="78" t="s">
        <v>3764</v>
      </c>
      <c r="B307" s="79" t="s">
        <v>3768</v>
      </c>
      <c r="C307" s="112">
        <v>1176454</v>
      </c>
      <c r="D307" s="112">
        <v>1101968</v>
      </c>
      <c r="E307" s="112">
        <v>29393353</v>
      </c>
      <c r="F307" s="81" t="s">
        <v>3769</v>
      </c>
      <c r="G307" s="82" t="s">
        <v>3324</v>
      </c>
      <c r="H307" s="82" t="s">
        <v>3770</v>
      </c>
      <c r="I307" s="82" t="s">
        <v>3103</v>
      </c>
      <c r="J307" s="83" t="e">
        <f>VLOOKUP($C307,CHOOSE({1,2},'[4]Prestações de Conta inadimplent'!$D$9:$D$2000,'[4]Prestações de Conta inadimplent'!$C$9:$C$2000),2,0)</f>
        <v>#N/A</v>
      </c>
      <c r="L307" s="85"/>
      <c r="M307" s="85" t="e">
        <v>#REF!</v>
      </c>
      <c r="T307" s="86"/>
      <c r="U307" s="85"/>
      <c r="V307" s="87"/>
      <c r="W307" s="85"/>
      <c r="X307" s="88"/>
      <c r="Y307" s="89"/>
      <c r="Z307" s="89"/>
      <c r="AA307" s="88"/>
      <c r="AB307" s="88"/>
      <c r="AF307" s="90"/>
      <c r="AK307" s="91"/>
      <c r="AM307" s="92"/>
      <c r="AN307" s="92"/>
      <c r="AO307" s="92"/>
      <c r="AP307" s="92"/>
      <c r="AQ307" s="92"/>
      <c r="AR307" s="92"/>
    </row>
    <row r="308" spans="1:44" s="84" customFormat="1" ht="24" customHeight="1" x14ac:dyDescent="0.3">
      <c r="A308" s="78" t="s">
        <v>3764</v>
      </c>
      <c r="B308" s="79" t="s">
        <v>2996</v>
      </c>
      <c r="C308" s="112">
        <v>1179687</v>
      </c>
      <c r="D308" s="112">
        <v>9999999</v>
      </c>
      <c r="E308" s="112">
        <v>29477441</v>
      </c>
      <c r="F308" s="81" t="s">
        <v>2997</v>
      </c>
      <c r="G308" s="82" t="s">
        <v>3771</v>
      </c>
      <c r="H308" s="82" t="s">
        <v>3772</v>
      </c>
      <c r="I308" s="82" t="s">
        <v>3103</v>
      </c>
      <c r="J308" s="83" t="e">
        <f>VLOOKUP($C308,CHOOSE({1,2},'[4]Prestações de Conta inadimplent'!$D$9:$D$2000,'[4]Prestações de Conta inadimplent'!$C$9:$C$2000),2,0)</f>
        <v>#N/A</v>
      </c>
      <c r="L308" s="85"/>
      <c r="M308" s="85" t="e">
        <v>#REF!</v>
      </c>
      <c r="T308" s="86"/>
      <c r="U308" s="85"/>
      <c r="V308" s="87"/>
      <c r="W308" s="85"/>
      <c r="X308" s="88"/>
      <c r="Y308" s="89"/>
      <c r="Z308" s="88"/>
      <c r="AA308" s="88"/>
      <c r="AB308" s="88"/>
      <c r="AF308" s="90"/>
      <c r="AK308" s="91"/>
      <c r="AM308" s="92"/>
      <c r="AN308" s="92"/>
      <c r="AO308" s="92"/>
      <c r="AP308" s="92"/>
      <c r="AQ308" s="92"/>
      <c r="AR308" s="92"/>
    </row>
    <row r="309" spans="1:44" s="84" customFormat="1" ht="24" customHeight="1" x14ac:dyDescent="0.3">
      <c r="A309" s="78" t="s">
        <v>3764</v>
      </c>
      <c r="B309" s="79" t="s">
        <v>2996</v>
      </c>
      <c r="C309" s="112">
        <v>1179712</v>
      </c>
      <c r="D309" s="112">
        <v>9999999</v>
      </c>
      <c r="E309" s="112">
        <v>29485100</v>
      </c>
      <c r="F309" s="81" t="s">
        <v>3773</v>
      </c>
      <c r="G309" s="82" t="s">
        <v>3771</v>
      </c>
      <c r="H309" s="82" t="s">
        <v>3774</v>
      </c>
      <c r="I309" s="82" t="s">
        <v>3103</v>
      </c>
      <c r="J309" s="83" t="e">
        <f>VLOOKUP($C309,CHOOSE({1,2},'[4]Prestações de Conta inadimplent'!$D$9:$D$2000,'[4]Prestações de Conta inadimplent'!$C$9:$C$2000),2,0)</f>
        <v>#N/A</v>
      </c>
      <c r="L309" s="85"/>
      <c r="M309" s="85" t="e">
        <v>#REF!</v>
      </c>
      <c r="T309" s="86"/>
      <c r="U309" s="85"/>
      <c r="V309" s="87"/>
      <c r="W309" s="85"/>
      <c r="X309" s="88"/>
      <c r="Y309" s="89"/>
      <c r="Z309" s="88"/>
      <c r="AA309" s="88"/>
      <c r="AB309" s="88"/>
      <c r="AF309" s="90"/>
      <c r="AK309" s="91"/>
      <c r="AM309" s="92"/>
      <c r="AN309" s="92"/>
      <c r="AO309" s="92"/>
      <c r="AP309" s="92"/>
      <c r="AQ309" s="92"/>
      <c r="AR309" s="92"/>
    </row>
    <row r="310" spans="1:44" s="84" customFormat="1" ht="24" customHeight="1" x14ac:dyDescent="0.3">
      <c r="A310" s="94" t="s">
        <v>3764</v>
      </c>
      <c r="B310" s="97" t="s">
        <v>2996</v>
      </c>
      <c r="C310" s="94">
        <v>1179592</v>
      </c>
      <c r="D310" s="94">
        <v>9999999</v>
      </c>
      <c r="E310" s="94">
        <v>29470560</v>
      </c>
      <c r="F310" s="81" t="s">
        <v>3775</v>
      </c>
      <c r="G310" s="82" t="s">
        <v>3771</v>
      </c>
      <c r="H310" s="82" t="s">
        <v>3776</v>
      </c>
      <c r="I310" s="82" t="s">
        <v>3103</v>
      </c>
      <c r="J310" s="83" t="e">
        <f>VLOOKUP($C310,CHOOSE({1,2},'[4]Prestações de Conta inadimplent'!$D$9:$D$2000,'[4]Prestações de Conta inadimplent'!$C$9:$C$2000),2,0)</f>
        <v>#N/A</v>
      </c>
      <c r="L310" s="85"/>
      <c r="M310" s="85" t="e">
        <v>#REF!</v>
      </c>
      <c r="T310" s="86"/>
      <c r="U310" s="85"/>
      <c r="V310" s="87"/>
      <c r="W310" s="85"/>
      <c r="X310" s="88"/>
      <c r="Y310" s="89"/>
      <c r="Z310" s="88"/>
      <c r="AA310" s="88"/>
      <c r="AB310" s="88"/>
      <c r="AF310" s="90"/>
      <c r="AH310" s="85"/>
      <c r="AK310" s="91"/>
      <c r="AM310" s="92"/>
      <c r="AN310" s="92"/>
      <c r="AO310" s="92"/>
      <c r="AP310" s="92"/>
      <c r="AQ310" s="92"/>
      <c r="AR310" s="92"/>
    </row>
    <row r="311" spans="1:44" s="84" customFormat="1" ht="24" customHeight="1" x14ac:dyDescent="0.3">
      <c r="A311" s="78" t="s">
        <v>3764</v>
      </c>
      <c r="B311" s="79" t="s">
        <v>169</v>
      </c>
      <c r="C311" s="112">
        <v>1170823</v>
      </c>
      <c r="D311" s="112">
        <v>1102394</v>
      </c>
      <c r="E311" s="112">
        <v>29024323</v>
      </c>
      <c r="F311" s="81" t="s">
        <v>3777</v>
      </c>
      <c r="G311" s="82" t="s">
        <v>3778</v>
      </c>
      <c r="H311" s="82" t="s">
        <v>3779</v>
      </c>
      <c r="I311" s="82" t="s">
        <v>3103</v>
      </c>
      <c r="J311" s="83" t="e">
        <f>VLOOKUP($C311,CHOOSE({1,2},'[4]Prestações de Conta inadimplent'!$D$9:$D$2000,'[4]Prestações de Conta inadimplent'!$C$9:$C$2000),2,0)</f>
        <v>#N/A</v>
      </c>
      <c r="L311" s="85"/>
      <c r="M311" s="85" t="e">
        <v>#REF!</v>
      </c>
      <c r="T311" s="86"/>
      <c r="U311" s="85"/>
      <c r="V311" s="87"/>
      <c r="W311" s="85"/>
      <c r="X311" s="88"/>
      <c r="Y311" s="89"/>
      <c r="Z311" s="89"/>
      <c r="AA311" s="88"/>
      <c r="AB311" s="88"/>
      <c r="AF311" s="90"/>
      <c r="AK311" s="91"/>
      <c r="AM311" s="92"/>
      <c r="AN311" s="92"/>
      <c r="AO311" s="92"/>
      <c r="AP311" s="92"/>
      <c r="AQ311" s="92"/>
      <c r="AR311" s="92"/>
    </row>
    <row r="312" spans="1:44" s="84" customFormat="1" ht="24" customHeight="1" x14ac:dyDescent="0.3">
      <c r="A312" s="78" t="s">
        <v>3764</v>
      </c>
      <c r="B312" s="79" t="s">
        <v>169</v>
      </c>
      <c r="C312" s="112">
        <v>1161654</v>
      </c>
      <c r="D312" s="112">
        <v>1102386</v>
      </c>
      <c r="E312" s="112">
        <v>29024129</v>
      </c>
      <c r="F312" s="81" t="s">
        <v>3780</v>
      </c>
      <c r="G312" s="82" t="s">
        <v>3778</v>
      </c>
      <c r="H312" s="82" t="s">
        <v>3781</v>
      </c>
      <c r="I312" s="82" t="s">
        <v>3122</v>
      </c>
      <c r="J312" s="83" t="str">
        <f>VLOOKUP($C312,CHOOSE({1,2},'[4]Prestações de Conta inadimplent'!$D$9:$D$2000,'[4]Prestações de Conta inadimplent'!$C$9:$C$2000),2,0)</f>
        <v>Colegio Estadual Ananias Carlos Do Nascimento</v>
      </c>
      <c r="K312" s="85"/>
      <c r="L312" s="85"/>
      <c r="M312" s="85" t="e">
        <v>#REF!</v>
      </c>
      <c r="T312" s="86"/>
      <c r="U312" s="85"/>
      <c r="V312" s="87"/>
      <c r="W312" s="85"/>
      <c r="X312" s="88"/>
      <c r="Y312" s="89"/>
      <c r="Z312" s="89"/>
      <c r="AA312" s="88"/>
      <c r="AB312" s="88"/>
      <c r="AF312" s="90"/>
      <c r="AH312" s="85"/>
      <c r="AK312" s="91"/>
      <c r="AM312" s="92"/>
      <c r="AN312" s="92"/>
      <c r="AO312" s="92"/>
      <c r="AP312" s="92"/>
      <c r="AQ312" s="92"/>
      <c r="AR312" s="92"/>
    </row>
    <row r="313" spans="1:44" s="84" customFormat="1" ht="24" customHeight="1" x14ac:dyDescent="0.3">
      <c r="A313" s="78" t="s">
        <v>3764</v>
      </c>
      <c r="B313" s="79" t="s">
        <v>169</v>
      </c>
      <c r="C313" s="112">
        <v>1161638</v>
      </c>
      <c r="D313" s="112">
        <v>1102384</v>
      </c>
      <c r="E313" s="112">
        <v>29023688</v>
      </c>
      <c r="F313" s="81" t="s">
        <v>3782</v>
      </c>
      <c r="G313" s="82" t="s">
        <v>3778</v>
      </c>
      <c r="H313" s="82" t="s">
        <v>3783</v>
      </c>
      <c r="I313" s="82" t="s">
        <v>3103</v>
      </c>
      <c r="J313" s="83" t="e">
        <f>VLOOKUP($C313,CHOOSE({1,2},'[4]Prestações de Conta inadimplent'!$D$9:$D$2000,'[4]Prestações de Conta inadimplent'!$C$9:$C$2000),2,0)</f>
        <v>#N/A</v>
      </c>
      <c r="L313" s="85"/>
      <c r="M313" s="85" t="e">
        <v>#REF!</v>
      </c>
      <c r="T313" s="86"/>
      <c r="U313" s="85"/>
      <c r="V313" s="87"/>
      <c r="W313" s="85"/>
      <c r="X313" s="88"/>
      <c r="Y313" s="89"/>
      <c r="Z313" s="89"/>
      <c r="AA313" s="88"/>
      <c r="AB313" s="88"/>
      <c r="AF313" s="90"/>
      <c r="AK313" s="91"/>
      <c r="AM313" s="92"/>
      <c r="AN313" s="92"/>
      <c r="AO313" s="92"/>
      <c r="AP313" s="92"/>
      <c r="AQ313" s="92"/>
      <c r="AR313" s="92"/>
    </row>
    <row r="314" spans="1:44" s="84" customFormat="1" ht="24" customHeight="1" x14ac:dyDescent="0.3">
      <c r="A314" s="104">
        <v>10</v>
      </c>
      <c r="B314" s="114" t="s">
        <v>169</v>
      </c>
      <c r="C314" s="115">
        <v>1179779</v>
      </c>
      <c r="D314" s="116">
        <v>9999999</v>
      </c>
      <c r="E314" s="105">
        <v>29360463</v>
      </c>
      <c r="F314" s="81" t="s">
        <v>3784</v>
      </c>
      <c r="G314" s="94" t="s">
        <v>3785</v>
      </c>
      <c r="H314" s="94" t="s">
        <v>3786</v>
      </c>
      <c r="I314" s="82" t="s">
        <v>3122</v>
      </c>
      <c r="J314" s="83" t="str">
        <f>VLOOKUP($C314,CHOOSE({1,2},'[4]Prestações de Conta inadimplent'!$D$9:$D$2000,'[4]Prestações de Conta inadimplent'!$C$9:$C$2000),2,0)</f>
        <v>Escola Estadual Indigena Nossa Senhora De Lourdes</v>
      </c>
      <c r="L314" s="85"/>
      <c r="M314" s="85" t="e">
        <v>#REF!</v>
      </c>
      <c r="T314" s="86"/>
      <c r="U314" s="85"/>
      <c r="V314" s="87"/>
      <c r="W314" s="85"/>
      <c r="X314" s="88"/>
      <c r="Y314" s="89"/>
      <c r="Z314" s="89"/>
      <c r="AA314" s="88"/>
      <c r="AB314" s="88"/>
      <c r="AF314" s="90"/>
      <c r="AK314" s="91"/>
      <c r="AM314" s="92"/>
      <c r="AN314" s="92"/>
      <c r="AO314" s="92"/>
      <c r="AP314" s="92"/>
      <c r="AQ314" s="92"/>
      <c r="AR314" s="92"/>
    </row>
    <row r="315" spans="1:44" s="84" customFormat="1" ht="24" customHeight="1" x14ac:dyDescent="0.3">
      <c r="A315" s="78" t="s">
        <v>3764</v>
      </c>
      <c r="B315" s="79" t="s">
        <v>176</v>
      </c>
      <c r="C315" s="112">
        <v>1120915</v>
      </c>
      <c r="D315" s="112">
        <v>1102425</v>
      </c>
      <c r="E315" s="112">
        <v>29024579</v>
      </c>
      <c r="F315" s="81" t="s">
        <v>3787</v>
      </c>
      <c r="G315" s="82" t="s">
        <v>3785</v>
      </c>
      <c r="H315" s="82" t="s">
        <v>3788</v>
      </c>
      <c r="I315" s="82" t="s">
        <v>3103</v>
      </c>
      <c r="J315" s="83" t="e">
        <f>VLOOKUP($C315,CHOOSE({1,2},'[4]Prestações de Conta inadimplent'!$D$9:$D$2000,'[4]Prestações de Conta inadimplent'!$C$9:$C$2000),2,0)</f>
        <v>#N/A</v>
      </c>
      <c r="K315" s="96"/>
      <c r="L315" s="85"/>
      <c r="M315" s="85" t="e">
        <v>#REF!</v>
      </c>
      <c r="T315" s="86"/>
      <c r="U315" s="85"/>
      <c r="V315" s="87"/>
      <c r="W315" s="85"/>
      <c r="X315" s="88"/>
      <c r="Y315" s="89"/>
      <c r="Z315" s="88"/>
      <c r="AA315" s="88"/>
      <c r="AB315" s="88"/>
      <c r="AF315" s="90"/>
      <c r="AK315" s="91"/>
      <c r="AM315" s="92"/>
      <c r="AN315" s="92"/>
      <c r="AO315" s="92"/>
      <c r="AP315" s="92"/>
      <c r="AQ315" s="92"/>
      <c r="AR315" s="92"/>
    </row>
    <row r="316" spans="1:44" s="84" customFormat="1" ht="24" customHeight="1" x14ac:dyDescent="0.3">
      <c r="A316" s="78" t="s">
        <v>3764</v>
      </c>
      <c r="B316" s="79" t="s">
        <v>176</v>
      </c>
      <c r="C316" s="112">
        <v>1161085</v>
      </c>
      <c r="D316" s="112">
        <v>1102438</v>
      </c>
      <c r="E316" s="112">
        <v>29024641</v>
      </c>
      <c r="F316" s="81" t="s">
        <v>3789</v>
      </c>
      <c r="G316" s="82" t="s">
        <v>3785</v>
      </c>
      <c r="H316" s="82" t="s">
        <v>3790</v>
      </c>
      <c r="I316" s="82" t="s">
        <v>3122</v>
      </c>
      <c r="J316" s="83" t="str">
        <f>VLOOKUP($C316,CHOOSE({1,2},'[4]Prestações de Conta inadimplent'!$D$9:$D$2000,'[4]Prestações de Conta inadimplent'!$C$9:$C$2000),2,0)</f>
        <v>Centro Territorial De Educacao Profissional Do Sertao Do Sao Francisco</v>
      </c>
      <c r="K316" s="96" t="s">
        <v>3791</v>
      </c>
      <c r="L316" s="85"/>
      <c r="M316" s="85" t="e">
        <v>#REF!</v>
      </c>
      <c r="T316" s="86"/>
      <c r="U316" s="85"/>
      <c r="V316" s="87"/>
      <c r="W316" s="85"/>
      <c r="X316" s="88"/>
      <c r="Y316" s="89"/>
      <c r="Z316" s="88"/>
      <c r="AA316" s="88"/>
      <c r="AB316" s="88"/>
      <c r="AF316" s="90"/>
      <c r="AH316" s="85"/>
      <c r="AK316" s="91"/>
      <c r="AM316" s="92"/>
      <c r="AN316" s="92"/>
      <c r="AO316" s="92"/>
      <c r="AP316" s="92"/>
      <c r="AQ316" s="92"/>
      <c r="AR316" s="92"/>
    </row>
    <row r="317" spans="1:44" s="84" customFormat="1" ht="24" customHeight="1" x14ac:dyDescent="0.3">
      <c r="A317" s="78" t="s">
        <v>3764</v>
      </c>
      <c r="B317" s="79" t="s">
        <v>176</v>
      </c>
      <c r="C317" s="112">
        <v>1120338</v>
      </c>
      <c r="D317" s="112">
        <v>1102397</v>
      </c>
      <c r="E317" s="112">
        <v>29024765</v>
      </c>
      <c r="F317" s="81" t="s">
        <v>186</v>
      </c>
      <c r="G317" s="82" t="s">
        <v>3785</v>
      </c>
      <c r="H317" s="82" t="s">
        <v>3792</v>
      </c>
      <c r="I317" s="82" t="s">
        <v>3122</v>
      </c>
      <c r="J317" s="83" t="str">
        <f>VLOOKUP($C317,CHOOSE({1,2},'[4]Prestações de Conta inadimplent'!$D$9:$D$2000,'[4]Prestações de Conta inadimplent'!$C$9:$C$2000),2,0)</f>
        <v>Colegio Estadual Antonilio Da Franca Cardoso</v>
      </c>
      <c r="L317" s="85"/>
      <c r="M317" s="85" t="e">
        <v>#REF!</v>
      </c>
      <c r="T317" s="86"/>
      <c r="U317" s="85"/>
      <c r="V317" s="87"/>
      <c r="W317" s="85"/>
      <c r="X317" s="88"/>
      <c r="Y317" s="89"/>
      <c r="Z317" s="88"/>
      <c r="AA317" s="88"/>
      <c r="AB317" s="88"/>
      <c r="AF317" s="90"/>
      <c r="AK317" s="91"/>
      <c r="AM317" s="92"/>
      <c r="AN317" s="92"/>
      <c r="AO317" s="92"/>
      <c r="AP317" s="92"/>
      <c r="AQ317" s="92"/>
      <c r="AR317" s="92"/>
    </row>
    <row r="318" spans="1:44" s="84" customFormat="1" ht="24" customHeight="1" x14ac:dyDescent="0.3">
      <c r="A318" s="78" t="s">
        <v>3764</v>
      </c>
      <c r="B318" s="79" t="s">
        <v>176</v>
      </c>
      <c r="C318" s="112">
        <v>1120761</v>
      </c>
      <c r="D318" s="112">
        <v>1102416</v>
      </c>
      <c r="E318" s="112">
        <v>29024722</v>
      </c>
      <c r="F318" s="81" t="s">
        <v>3793</v>
      </c>
      <c r="G318" s="82" t="s">
        <v>3785</v>
      </c>
      <c r="H318" s="82" t="s">
        <v>3794</v>
      </c>
      <c r="I318" s="82" t="s">
        <v>3122</v>
      </c>
      <c r="J318" s="83" t="str">
        <f>VLOOKUP($C318,CHOOSE({1,2},'[4]Prestações de Conta inadimplent'!$D$9:$D$2000,'[4]Prestações de Conta inadimplent'!$C$9:$C$2000),2,0)</f>
        <v>Colegio Estadual Pedro Raymundo Moreira Rego</v>
      </c>
      <c r="L318" s="85"/>
      <c r="M318" s="85" t="e">
        <v>#REF!</v>
      </c>
      <c r="T318" s="86"/>
      <c r="U318" s="85"/>
      <c r="V318" s="87"/>
      <c r="W318" s="85"/>
      <c r="X318" s="88"/>
      <c r="Y318" s="89"/>
      <c r="Z318" s="88"/>
      <c r="AA318" s="88"/>
      <c r="AB318" s="88"/>
      <c r="AF318" s="90"/>
      <c r="AK318" s="91"/>
      <c r="AM318" s="92"/>
      <c r="AN318" s="92"/>
      <c r="AO318" s="92"/>
      <c r="AP318" s="92"/>
      <c r="AQ318" s="92"/>
      <c r="AR318" s="92"/>
    </row>
    <row r="319" spans="1:44" s="84" customFormat="1" ht="24" customHeight="1" x14ac:dyDescent="0.3">
      <c r="A319" s="78" t="s">
        <v>3764</v>
      </c>
      <c r="B319" s="79" t="s">
        <v>176</v>
      </c>
      <c r="C319" s="112">
        <v>1176428</v>
      </c>
      <c r="D319" s="112">
        <v>1102450</v>
      </c>
      <c r="E319" s="112">
        <v>29390737</v>
      </c>
      <c r="F319" s="81" t="s">
        <v>2337</v>
      </c>
      <c r="G319" s="82" t="s">
        <v>3785</v>
      </c>
      <c r="H319" s="82" t="s">
        <v>3795</v>
      </c>
      <c r="I319" s="82" t="s">
        <v>3103</v>
      </c>
      <c r="J319" s="83" t="e">
        <f>VLOOKUP($C319,CHOOSE({1,2},'[4]Prestações de Conta inadimplent'!$D$9:$D$2000,'[4]Prestações de Conta inadimplent'!$C$9:$C$2000),2,0)</f>
        <v>#N/A</v>
      </c>
      <c r="K319" s="95"/>
      <c r="L319" s="85"/>
      <c r="M319" s="85" t="e">
        <v>#REF!</v>
      </c>
      <c r="T319" s="86"/>
      <c r="U319" s="85"/>
      <c r="V319" s="87"/>
      <c r="W319" s="85"/>
      <c r="X319" s="88"/>
      <c r="Y319" s="89"/>
      <c r="Z319" s="88"/>
      <c r="AA319" s="88"/>
      <c r="AB319" s="88"/>
      <c r="AF319" s="90"/>
      <c r="AH319" s="85"/>
      <c r="AK319" s="91"/>
      <c r="AM319" s="92"/>
      <c r="AN319" s="92"/>
      <c r="AO319" s="92"/>
      <c r="AP319" s="92"/>
      <c r="AQ319" s="92"/>
      <c r="AR319" s="92"/>
    </row>
    <row r="320" spans="1:44" s="84" customFormat="1" ht="24" customHeight="1" x14ac:dyDescent="0.3">
      <c r="A320" s="78" t="s">
        <v>3764</v>
      </c>
      <c r="B320" s="79" t="s">
        <v>176</v>
      </c>
      <c r="C320" s="112">
        <v>1179111</v>
      </c>
      <c r="D320" s="112">
        <v>9999999</v>
      </c>
      <c r="E320" s="112">
        <v>29456509</v>
      </c>
      <c r="F320" s="81" t="s">
        <v>3796</v>
      </c>
      <c r="G320" s="82" t="s">
        <v>3785</v>
      </c>
      <c r="H320" s="82" t="s">
        <v>3797</v>
      </c>
      <c r="I320" s="82" t="s">
        <v>3103</v>
      </c>
      <c r="J320" s="83" t="e">
        <f>VLOOKUP($C320,CHOOSE({1,2},'[4]Prestações de Conta inadimplent'!$D$9:$D$2000,'[4]Prestações de Conta inadimplent'!$C$9:$C$2000),2,0)</f>
        <v>#N/A</v>
      </c>
      <c r="L320" s="85"/>
      <c r="M320" s="85" t="e">
        <v>#REF!</v>
      </c>
      <c r="T320" s="86"/>
      <c r="U320" s="85"/>
      <c r="V320" s="85"/>
      <c r="W320" s="85"/>
      <c r="X320" s="88"/>
      <c r="Y320" s="89"/>
      <c r="Z320" s="89"/>
      <c r="AA320" s="88"/>
      <c r="AB320" s="88"/>
      <c r="AF320" s="90"/>
      <c r="AK320" s="91"/>
      <c r="AM320" s="92"/>
      <c r="AN320" s="92"/>
      <c r="AO320" s="92"/>
      <c r="AP320" s="92"/>
      <c r="AQ320" s="92"/>
      <c r="AR320" s="92"/>
    </row>
    <row r="321" spans="1:44" s="84" customFormat="1" ht="24" customHeight="1" x14ac:dyDescent="0.3">
      <c r="A321" s="78" t="s">
        <v>3764</v>
      </c>
      <c r="B321" s="79" t="s">
        <v>176</v>
      </c>
      <c r="C321" s="112">
        <v>1178378</v>
      </c>
      <c r="D321" s="112">
        <v>1105553</v>
      </c>
      <c r="E321" s="112">
        <v>29859808</v>
      </c>
      <c r="F321" s="81" t="s">
        <v>3798</v>
      </c>
      <c r="G321" s="82" t="s">
        <v>3785</v>
      </c>
      <c r="H321" s="82" t="s">
        <v>3799</v>
      </c>
      <c r="I321" s="82" t="s">
        <v>3103</v>
      </c>
      <c r="J321" s="83" t="e">
        <f>VLOOKUP($C321,CHOOSE({1,2},'[4]Prestações de Conta inadimplent'!$D$9:$D$2000,'[4]Prestações de Conta inadimplent'!$C$9:$C$2000),2,0)</f>
        <v>#N/A</v>
      </c>
      <c r="L321" s="85"/>
      <c r="M321" s="85" t="e">
        <v>#REF!</v>
      </c>
      <c r="T321" s="86"/>
      <c r="U321" s="85"/>
      <c r="V321" s="87"/>
      <c r="W321" s="85"/>
      <c r="X321" s="88"/>
      <c r="Y321" s="89"/>
      <c r="Z321" s="89"/>
      <c r="AA321" s="88"/>
      <c r="AB321" s="88"/>
      <c r="AF321" s="90"/>
      <c r="AK321" s="91"/>
      <c r="AM321" s="92"/>
      <c r="AN321" s="92"/>
      <c r="AO321" s="92"/>
      <c r="AP321" s="92"/>
      <c r="AQ321" s="92"/>
      <c r="AR321" s="92"/>
    </row>
    <row r="322" spans="1:44" s="84" customFormat="1" ht="24" customHeight="1" x14ac:dyDescent="0.3">
      <c r="A322" s="78" t="s">
        <v>3764</v>
      </c>
      <c r="B322" s="79" t="s">
        <v>176</v>
      </c>
      <c r="C322" s="112">
        <v>1120311</v>
      </c>
      <c r="D322" s="112">
        <v>1102396</v>
      </c>
      <c r="E322" s="112">
        <v>29025028</v>
      </c>
      <c r="F322" s="81" t="s">
        <v>3800</v>
      </c>
      <c r="G322" s="82" t="s">
        <v>3785</v>
      </c>
      <c r="H322" s="82" t="s">
        <v>3801</v>
      </c>
      <c r="I322" s="82" t="s">
        <v>3103</v>
      </c>
      <c r="J322" s="83" t="e">
        <f>VLOOKUP($C322,CHOOSE({1,2},'[4]Prestações de Conta inadimplent'!$D$9:$D$2000,'[4]Prestações de Conta inadimplent'!$C$9:$C$2000),2,0)</f>
        <v>#N/A</v>
      </c>
      <c r="L322" s="85"/>
      <c r="M322" s="85" t="e">
        <v>#REF!</v>
      </c>
      <c r="T322" s="86"/>
      <c r="U322" s="85"/>
      <c r="V322" s="85"/>
      <c r="W322" s="85"/>
      <c r="X322" s="88"/>
      <c r="Y322" s="89"/>
      <c r="Z322" s="89"/>
      <c r="AA322" s="88"/>
      <c r="AB322" s="88"/>
      <c r="AF322" s="90"/>
      <c r="AK322" s="91"/>
      <c r="AM322" s="92"/>
      <c r="AN322" s="92"/>
      <c r="AO322" s="92"/>
      <c r="AP322" s="92"/>
      <c r="AQ322" s="92"/>
      <c r="AR322" s="92"/>
    </row>
    <row r="323" spans="1:44" s="84" customFormat="1" ht="24" customHeight="1" x14ac:dyDescent="0.3">
      <c r="A323" s="78" t="s">
        <v>3764</v>
      </c>
      <c r="B323" s="79" t="s">
        <v>176</v>
      </c>
      <c r="C323" s="112">
        <v>1176930</v>
      </c>
      <c r="D323" s="112">
        <v>1102451</v>
      </c>
      <c r="E323" s="112">
        <v>29408628</v>
      </c>
      <c r="F323" s="81" t="s">
        <v>3802</v>
      </c>
      <c r="G323" s="82" t="s">
        <v>3785</v>
      </c>
      <c r="H323" s="82" t="s">
        <v>3803</v>
      </c>
      <c r="I323" s="82" t="s">
        <v>3103</v>
      </c>
      <c r="J323" s="83" t="e">
        <f>VLOOKUP($C323,CHOOSE({1,2},'[4]Prestações de Conta inadimplent'!$D$9:$D$2000,'[4]Prestações de Conta inadimplent'!$C$9:$C$2000),2,0)</f>
        <v>#N/A</v>
      </c>
      <c r="L323" s="85"/>
      <c r="M323" s="85" t="e">
        <v>#REF!</v>
      </c>
      <c r="T323" s="86"/>
      <c r="U323" s="85"/>
      <c r="V323" s="87"/>
      <c r="W323" s="85"/>
      <c r="X323" s="88"/>
      <c r="Y323" s="89"/>
      <c r="Z323" s="89"/>
      <c r="AA323" s="88"/>
      <c r="AB323" s="88"/>
      <c r="AF323" s="90"/>
      <c r="AK323" s="91"/>
      <c r="AM323" s="92"/>
      <c r="AN323" s="92"/>
      <c r="AO323" s="92"/>
      <c r="AP323" s="92"/>
      <c r="AQ323" s="92"/>
      <c r="AR323" s="92"/>
    </row>
    <row r="324" spans="1:44" s="84" customFormat="1" ht="24" customHeight="1" x14ac:dyDescent="0.3">
      <c r="A324" s="78" t="s">
        <v>3764</v>
      </c>
      <c r="B324" s="79" t="s">
        <v>176</v>
      </c>
      <c r="C324" s="112">
        <v>1176091</v>
      </c>
      <c r="D324" s="112">
        <v>1102449</v>
      </c>
      <c r="E324" s="112">
        <v>29025117</v>
      </c>
      <c r="F324" s="81" t="s">
        <v>201</v>
      </c>
      <c r="G324" s="82" t="s">
        <v>3785</v>
      </c>
      <c r="H324" s="82" t="s">
        <v>3804</v>
      </c>
      <c r="I324" s="82" t="s">
        <v>3103</v>
      </c>
      <c r="J324" s="83" t="e">
        <f>VLOOKUP($C324,CHOOSE({1,2},'[4]Prestações de Conta inadimplent'!$D$9:$D$2000,'[4]Prestações de Conta inadimplent'!$C$9:$C$2000),2,0)</f>
        <v>#N/A</v>
      </c>
      <c r="L324" s="85"/>
      <c r="M324" s="85" t="e">
        <v>#REF!</v>
      </c>
      <c r="T324" s="86"/>
      <c r="U324" s="85"/>
      <c r="V324" s="87"/>
      <c r="W324" s="85"/>
      <c r="X324" s="88"/>
      <c r="Y324" s="89"/>
      <c r="Z324" s="88"/>
      <c r="AA324" s="88"/>
      <c r="AB324" s="88"/>
      <c r="AF324" s="90"/>
      <c r="AK324" s="91"/>
      <c r="AM324" s="92"/>
      <c r="AN324" s="92"/>
      <c r="AO324" s="92"/>
      <c r="AP324" s="92"/>
      <c r="AQ324" s="92"/>
      <c r="AR324" s="92"/>
    </row>
    <row r="325" spans="1:44" s="84" customFormat="1" ht="24" customHeight="1" x14ac:dyDescent="0.3">
      <c r="A325" s="78" t="s">
        <v>3764</v>
      </c>
      <c r="B325" s="79" t="s">
        <v>176</v>
      </c>
      <c r="C325" s="112">
        <v>1120613</v>
      </c>
      <c r="D325" s="112">
        <v>1102411</v>
      </c>
      <c r="E325" s="112">
        <v>29025060</v>
      </c>
      <c r="F325" s="81" t="s">
        <v>3805</v>
      </c>
      <c r="G325" s="82" t="s">
        <v>3785</v>
      </c>
      <c r="H325" s="82" t="s">
        <v>3806</v>
      </c>
      <c r="I325" s="82" t="s">
        <v>3103</v>
      </c>
      <c r="J325" s="83" t="e">
        <f>VLOOKUP($C325,CHOOSE({1,2},'[4]Prestações de Conta inadimplent'!$D$9:$D$2000,'[4]Prestações de Conta inadimplent'!$C$9:$C$2000),2,0)</f>
        <v>#N/A</v>
      </c>
      <c r="K325" s="96"/>
      <c r="L325" s="85"/>
      <c r="M325" s="85" t="e">
        <v>#REF!</v>
      </c>
      <c r="T325" s="86"/>
      <c r="U325" s="85"/>
      <c r="V325" s="87"/>
      <c r="W325" s="85"/>
      <c r="X325" s="88"/>
      <c r="Y325" s="89"/>
      <c r="Z325" s="88"/>
      <c r="AA325" s="88"/>
      <c r="AB325" s="88"/>
      <c r="AF325" s="90"/>
      <c r="AK325" s="91"/>
      <c r="AM325" s="92"/>
      <c r="AN325" s="92"/>
      <c r="AO325" s="92"/>
      <c r="AP325" s="92"/>
      <c r="AQ325" s="92"/>
      <c r="AR325" s="92"/>
    </row>
    <row r="326" spans="1:44" s="84" customFormat="1" ht="24" customHeight="1" x14ac:dyDescent="0.3">
      <c r="A326" s="78" t="s">
        <v>3764</v>
      </c>
      <c r="B326" s="79" t="s">
        <v>176</v>
      </c>
      <c r="C326" s="112">
        <v>1161034</v>
      </c>
      <c r="D326" s="112">
        <v>1102434</v>
      </c>
      <c r="E326" s="112">
        <v>29024528</v>
      </c>
      <c r="F326" s="81" t="s">
        <v>3807</v>
      </c>
      <c r="G326" s="82" t="s">
        <v>3785</v>
      </c>
      <c r="H326" s="82" t="s">
        <v>3808</v>
      </c>
      <c r="I326" s="82" t="s">
        <v>3122</v>
      </c>
      <c r="J326" s="83" t="str">
        <f>VLOOKUP($C326,CHOOSE({1,2},'[4]Prestações de Conta inadimplent'!$D$9:$D$2000,'[4]Prestações de Conta inadimplent'!$C$9:$C$2000),2,0)</f>
        <v>Colegio Estadual De Tempo Integral Prof Florentina Alves Dos Santos</v>
      </c>
      <c r="K326" s="85"/>
      <c r="L326" s="85"/>
      <c r="M326" s="85" t="e">
        <v>#REF!</v>
      </c>
      <c r="T326" s="86"/>
      <c r="U326" s="85"/>
      <c r="V326" s="87"/>
      <c r="W326" s="85"/>
      <c r="X326" s="88"/>
      <c r="Y326" s="89"/>
      <c r="Z326" s="88"/>
      <c r="AA326" s="88"/>
      <c r="AB326" s="88"/>
      <c r="AF326" s="90"/>
      <c r="AH326" s="85"/>
      <c r="AK326" s="91"/>
      <c r="AM326" s="92"/>
      <c r="AN326" s="92"/>
      <c r="AO326" s="92"/>
      <c r="AP326" s="92"/>
      <c r="AQ326" s="92"/>
      <c r="AR326" s="92"/>
    </row>
    <row r="327" spans="1:44" s="84" customFormat="1" ht="24" customHeight="1" x14ac:dyDescent="0.3">
      <c r="A327" s="78" t="s">
        <v>3764</v>
      </c>
      <c r="B327" s="79" t="s">
        <v>176</v>
      </c>
      <c r="C327" s="112">
        <v>1120664</v>
      </c>
      <c r="D327" s="112">
        <v>1102413</v>
      </c>
      <c r="E327" s="112">
        <v>29024536</v>
      </c>
      <c r="F327" s="81" t="s">
        <v>3809</v>
      </c>
      <c r="G327" s="82" t="s">
        <v>3785</v>
      </c>
      <c r="H327" s="82" t="s">
        <v>3810</v>
      </c>
      <c r="I327" s="82" t="s">
        <v>3103</v>
      </c>
      <c r="J327" s="83" t="e">
        <f>VLOOKUP($C327,CHOOSE({1,2},'[4]Prestações de Conta inadimplent'!$D$9:$D$2000,'[4]Prestações de Conta inadimplent'!$C$9:$C$2000),2,0)</f>
        <v>#N/A</v>
      </c>
      <c r="K327" s="84" t="s">
        <v>3687</v>
      </c>
      <c r="L327" s="85"/>
      <c r="M327" s="85" t="e">
        <v>#REF!</v>
      </c>
      <c r="T327" s="86"/>
      <c r="U327" s="85"/>
      <c r="V327" s="87"/>
      <c r="W327" s="85"/>
      <c r="X327" s="88"/>
      <c r="Y327" s="89"/>
      <c r="Z327" s="89"/>
      <c r="AA327" s="88"/>
      <c r="AB327" s="88"/>
      <c r="AF327" s="90"/>
      <c r="AH327" s="85"/>
      <c r="AK327" s="91"/>
      <c r="AM327" s="92"/>
      <c r="AN327" s="92"/>
      <c r="AO327" s="92"/>
      <c r="AP327" s="92"/>
      <c r="AQ327" s="92"/>
      <c r="AR327" s="92"/>
    </row>
    <row r="328" spans="1:44" s="84" customFormat="1" ht="24" customHeight="1" x14ac:dyDescent="0.3">
      <c r="A328" s="78" t="s">
        <v>3764</v>
      </c>
      <c r="B328" s="79" t="s">
        <v>176</v>
      </c>
      <c r="C328" s="112">
        <v>1120494</v>
      </c>
      <c r="D328" s="112">
        <v>1102403</v>
      </c>
      <c r="E328" s="112">
        <v>29024803</v>
      </c>
      <c r="F328" s="81" t="s">
        <v>3811</v>
      </c>
      <c r="G328" s="82" t="s">
        <v>3785</v>
      </c>
      <c r="H328" s="82" t="s">
        <v>3812</v>
      </c>
      <c r="I328" s="82" t="s">
        <v>3103</v>
      </c>
      <c r="J328" s="83" t="e">
        <f>VLOOKUP($C328,CHOOSE({1,2},'[4]Prestações de Conta inadimplent'!$D$9:$D$2000,'[4]Prestações de Conta inadimplent'!$C$9:$C$2000),2,0)</f>
        <v>#N/A</v>
      </c>
      <c r="L328" s="85"/>
      <c r="M328" s="85" t="e">
        <v>#REF!</v>
      </c>
      <c r="T328" s="86"/>
      <c r="U328" s="85"/>
      <c r="V328" s="87"/>
      <c r="W328" s="85"/>
      <c r="X328" s="88"/>
      <c r="Y328" s="89"/>
      <c r="Z328" s="89"/>
      <c r="AA328" s="88"/>
      <c r="AB328" s="88"/>
      <c r="AF328" s="90"/>
      <c r="AK328" s="91"/>
      <c r="AM328" s="92"/>
      <c r="AN328" s="92"/>
      <c r="AO328" s="92"/>
      <c r="AP328" s="92"/>
      <c r="AQ328" s="92"/>
      <c r="AR328" s="92"/>
    </row>
    <row r="329" spans="1:44" s="84" customFormat="1" ht="24" customHeight="1" x14ac:dyDescent="0.3">
      <c r="A329" s="78" t="s">
        <v>3764</v>
      </c>
      <c r="B329" s="79" t="s">
        <v>176</v>
      </c>
      <c r="C329" s="112">
        <v>1120524</v>
      </c>
      <c r="D329" s="112">
        <v>1102404</v>
      </c>
      <c r="E329" s="112">
        <v>29025052</v>
      </c>
      <c r="F329" s="81" t="s">
        <v>198</v>
      </c>
      <c r="G329" s="82" t="s">
        <v>3785</v>
      </c>
      <c r="H329" s="82" t="s">
        <v>3813</v>
      </c>
      <c r="I329" s="82" t="s">
        <v>3103</v>
      </c>
      <c r="J329" s="83" t="e">
        <f>VLOOKUP($C329,CHOOSE({1,2},'[4]Prestações de Conta inadimplent'!$D$9:$D$2000,'[4]Prestações de Conta inadimplent'!$C$9:$C$2000),2,0)</f>
        <v>#N/A</v>
      </c>
      <c r="K329" s="96"/>
      <c r="L329" s="85"/>
      <c r="M329" s="85" t="e">
        <v>#REF!</v>
      </c>
      <c r="T329" s="86"/>
      <c r="U329" s="85"/>
      <c r="V329" s="87"/>
      <c r="W329" s="85"/>
      <c r="X329" s="88"/>
      <c r="Y329" s="89"/>
      <c r="Z329" s="89"/>
      <c r="AA329" s="88"/>
      <c r="AB329" s="88"/>
      <c r="AF329" s="90"/>
      <c r="AK329" s="91"/>
      <c r="AM329" s="92"/>
      <c r="AN329" s="92"/>
      <c r="AO329" s="92"/>
      <c r="AP329" s="92"/>
      <c r="AQ329" s="92"/>
      <c r="AR329" s="92"/>
    </row>
    <row r="330" spans="1:44" s="84" customFormat="1" ht="24" customHeight="1" x14ac:dyDescent="0.3">
      <c r="A330" s="78" t="s">
        <v>3764</v>
      </c>
      <c r="B330" s="79" t="s">
        <v>176</v>
      </c>
      <c r="C330" s="112">
        <v>1120893</v>
      </c>
      <c r="D330" s="112">
        <v>1102424</v>
      </c>
      <c r="E330" s="112">
        <v>29025001</v>
      </c>
      <c r="F330" s="81" t="s">
        <v>192</v>
      </c>
      <c r="G330" s="82" t="s">
        <v>3785</v>
      </c>
      <c r="H330" s="82" t="s">
        <v>3814</v>
      </c>
      <c r="I330" s="82" t="s">
        <v>3103</v>
      </c>
      <c r="J330" s="83" t="e">
        <f>VLOOKUP($C330,CHOOSE({1,2},'[4]Prestações de Conta inadimplent'!$D$9:$D$2000,'[4]Prestações de Conta inadimplent'!$C$9:$C$2000),2,0)</f>
        <v>#N/A</v>
      </c>
      <c r="L330" s="85"/>
      <c r="M330" s="85" t="e">
        <v>#REF!</v>
      </c>
      <c r="T330" s="86"/>
      <c r="U330" s="85"/>
      <c r="V330" s="87"/>
      <c r="W330" s="85"/>
      <c r="X330" s="88"/>
      <c r="Y330" s="89"/>
      <c r="Z330" s="89"/>
      <c r="AA330" s="88"/>
      <c r="AB330" s="88"/>
      <c r="AF330" s="90"/>
      <c r="AK330" s="91"/>
      <c r="AM330" s="92"/>
      <c r="AN330" s="92"/>
      <c r="AO330" s="92"/>
      <c r="AP330" s="92"/>
      <c r="AQ330" s="92"/>
      <c r="AR330" s="92"/>
    </row>
    <row r="331" spans="1:44" s="84" customFormat="1" ht="24" customHeight="1" x14ac:dyDescent="0.3">
      <c r="A331" s="78" t="s">
        <v>3764</v>
      </c>
      <c r="B331" s="79" t="s">
        <v>176</v>
      </c>
      <c r="C331" s="112">
        <v>1120389</v>
      </c>
      <c r="D331" s="112">
        <v>1102400</v>
      </c>
      <c r="E331" s="112">
        <v>29024862</v>
      </c>
      <c r="F331" s="81" t="s">
        <v>3815</v>
      </c>
      <c r="G331" s="82" t="s">
        <v>3785</v>
      </c>
      <c r="H331" s="82" t="s">
        <v>3816</v>
      </c>
      <c r="I331" s="82" t="s">
        <v>3122</v>
      </c>
      <c r="J331" s="83" t="str">
        <f>VLOOKUP($C331,CHOOSE({1,2},'[4]Prestações de Conta inadimplent'!$D$9:$D$2000,'[4]Prestações de Conta inadimplent'!$C$9:$C$2000),2,0)</f>
        <v>Colegio Estadual Cecilio Mattos</v>
      </c>
      <c r="K331" s="84" t="s">
        <v>3671</v>
      </c>
      <c r="L331" s="85"/>
      <c r="M331" s="85" t="e">
        <v>#REF!</v>
      </c>
      <c r="T331" s="86"/>
      <c r="U331" s="85"/>
      <c r="V331" s="87"/>
      <c r="W331" s="85"/>
      <c r="X331" s="88"/>
      <c r="Y331" s="89"/>
      <c r="Z331" s="89"/>
      <c r="AA331" s="88"/>
      <c r="AB331" s="88"/>
      <c r="AF331" s="90"/>
      <c r="AK331" s="91"/>
      <c r="AM331" s="92"/>
      <c r="AN331" s="92"/>
      <c r="AO331" s="92"/>
      <c r="AP331" s="92"/>
      <c r="AQ331" s="92"/>
      <c r="AR331" s="92"/>
    </row>
    <row r="332" spans="1:44" s="84" customFormat="1" ht="24" customHeight="1" x14ac:dyDescent="0.3">
      <c r="A332" s="78" t="s">
        <v>3764</v>
      </c>
      <c r="B332" s="79" t="s">
        <v>176</v>
      </c>
      <c r="C332" s="112">
        <v>1160950</v>
      </c>
      <c r="D332" s="112">
        <v>1102430</v>
      </c>
      <c r="E332" s="112">
        <v>29024846</v>
      </c>
      <c r="F332" s="81" t="s">
        <v>3817</v>
      </c>
      <c r="G332" s="82" t="s">
        <v>3785</v>
      </c>
      <c r="H332" s="82" t="s">
        <v>3818</v>
      </c>
      <c r="I332" s="82" t="s">
        <v>3122</v>
      </c>
      <c r="J332" s="83" t="str">
        <f>VLOOKUP($C332,CHOOSE({1,2},'[4]Prestações de Conta inadimplent'!$D$9:$D$2000,'[4]Prestações de Conta inadimplent'!$C$9:$C$2000),2,0)</f>
        <v>Colegio Estadual Agostinho Muniz</v>
      </c>
      <c r="K332" s="96" t="s">
        <v>3671</v>
      </c>
      <c r="L332" s="85"/>
      <c r="M332" s="85" t="e">
        <v>#REF!</v>
      </c>
      <c r="T332" s="86"/>
      <c r="U332" s="85"/>
      <c r="V332" s="87"/>
      <c r="W332" s="85"/>
      <c r="X332" s="88"/>
      <c r="Y332" s="89"/>
      <c r="Z332" s="89"/>
      <c r="AA332" s="88"/>
      <c r="AB332" s="88"/>
      <c r="AF332" s="90"/>
      <c r="AK332" s="91"/>
      <c r="AM332" s="92"/>
      <c r="AN332" s="92"/>
      <c r="AO332" s="92"/>
      <c r="AP332" s="92"/>
      <c r="AQ332" s="92"/>
      <c r="AR332" s="92"/>
    </row>
    <row r="333" spans="1:44" s="84" customFormat="1" ht="24" customHeight="1" x14ac:dyDescent="0.3">
      <c r="A333" s="78" t="s">
        <v>3764</v>
      </c>
      <c r="B333" s="79" t="s">
        <v>176</v>
      </c>
      <c r="C333" s="94">
        <v>1178255</v>
      </c>
      <c r="D333" s="94">
        <v>9999999</v>
      </c>
      <c r="E333" s="94">
        <v>29467004</v>
      </c>
      <c r="F333" s="81" t="s">
        <v>2946</v>
      </c>
      <c r="G333" s="82" t="s">
        <v>3785</v>
      </c>
      <c r="H333" s="82" t="s">
        <v>3819</v>
      </c>
      <c r="I333" s="82" t="s">
        <v>3103</v>
      </c>
      <c r="J333" s="83" t="e">
        <f>VLOOKUP($C333,CHOOSE({1,2},'[4]Prestações de Conta inadimplent'!$D$9:$D$2000,'[4]Prestações de Conta inadimplent'!$C$9:$C$2000),2,0)</f>
        <v>#N/A</v>
      </c>
      <c r="K333" s="96"/>
      <c r="L333" s="85" t="s">
        <v>3099</v>
      </c>
      <c r="M333" s="85" t="e">
        <v>#REF!</v>
      </c>
      <c r="T333" s="86"/>
      <c r="U333" s="85"/>
      <c r="V333" s="87"/>
      <c r="W333" s="85"/>
      <c r="X333" s="88"/>
      <c r="Y333" s="89"/>
      <c r="Z333" s="89"/>
      <c r="AA333" s="88"/>
      <c r="AB333" s="88"/>
      <c r="AF333" s="90"/>
      <c r="AK333" s="91"/>
      <c r="AM333" s="92"/>
      <c r="AN333" s="92"/>
      <c r="AO333" s="92"/>
      <c r="AP333" s="92"/>
      <c r="AQ333" s="92"/>
      <c r="AR333" s="92"/>
    </row>
    <row r="334" spans="1:44" s="84" customFormat="1" ht="24" customHeight="1" x14ac:dyDescent="0.3">
      <c r="A334" s="78" t="s">
        <v>3764</v>
      </c>
      <c r="B334" s="79" t="s">
        <v>204</v>
      </c>
      <c r="C334" s="112">
        <v>1121520</v>
      </c>
      <c r="D334" s="112">
        <v>9999999</v>
      </c>
      <c r="E334" s="112">
        <v>29029732</v>
      </c>
      <c r="F334" s="81" t="s">
        <v>3820</v>
      </c>
      <c r="G334" s="82" t="s">
        <v>3821</v>
      </c>
      <c r="H334" s="82" t="s">
        <v>3822</v>
      </c>
      <c r="I334" s="82" t="s">
        <v>3103</v>
      </c>
      <c r="J334" s="83" t="e">
        <f>VLOOKUP($C334,CHOOSE({1,2},'[4]Prestações de Conta inadimplent'!$D$9:$D$2000,'[4]Prestações de Conta inadimplent'!$C$9:$C$2000),2,0)</f>
        <v>#N/A</v>
      </c>
      <c r="L334" s="85"/>
      <c r="M334" s="85" t="e">
        <v>#REF!</v>
      </c>
      <c r="T334" s="86"/>
      <c r="U334" s="85"/>
      <c r="V334" s="87"/>
      <c r="W334" s="85"/>
      <c r="X334" s="88"/>
      <c r="Y334" s="89"/>
      <c r="Z334" s="89"/>
      <c r="AA334" s="88"/>
      <c r="AB334" s="88"/>
      <c r="AF334" s="90"/>
      <c r="AK334" s="91"/>
      <c r="AM334" s="92"/>
      <c r="AN334" s="92"/>
      <c r="AO334" s="92"/>
      <c r="AP334" s="92"/>
      <c r="AQ334" s="92"/>
      <c r="AR334" s="92"/>
    </row>
    <row r="335" spans="1:44" s="84" customFormat="1" ht="24" customHeight="1" x14ac:dyDescent="0.3">
      <c r="A335" s="78" t="s">
        <v>3764</v>
      </c>
      <c r="B335" s="79" t="s">
        <v>208</v>
      </c>
      <c r="C335" s="112">
        <v>1121342</v>
      </c>
      <c r="D335" s="112">
        <v>1102459</v>
      </c>
      <c r="E335" s="112">
        <v>29031265</v>
      </c>
      <c r="F335" s="81" t="s">
        <v>3823</v>
      </c>
      <c r="G335" s="82" t="s">
        <v>3824</v>
      </c>
      <c r="H335" s="82" t="s">
        <v>3825</v>
      </c>
      <c r="I335" s="82" t="s">
        <v>3103</v>
      </c>
      <c r="J335" s="83" t="e">
        <f>VLOOKUP($C335,CHOOSE({1,2},'[4]Prestações de Conta inadimplent'!$D$9:$D$2000,'[4]Prestações de Conta inadimplent'!$C$9:$C$2000),2,0)</f>
        <v>#N/A</v>
      </c>
      <c r="L335" s="85"/>
      <c r="M335" s="85" t="e">
        <v>#REF!</v>
      </c>
      <c r="T335" s="86"/>
      <c r="U335" s="85"/>
      <c r="V335" s="87"/>
      <c r="W335" s="85"/>
      <c r="X335" s="88"/>
      <c r="Y335" s="89"/>
      <c r="Z335" s="89"/>
      <c r="AA335" s="88"/>
      <c r="AB335" s="88"/>
      <c r="AF335" s="90"/>
      <c r="AK335" s="91"/>
      <c r="AM335" s="92"/>
      <c r="AN335" s="92"/>
      <c r="AO335" s="92"/>
      <c r="AP335" s="92"/>
      <c r="AQ335" s="92"/>
      <c r="AR335" s="92"/>
    </row>
    <row r="336" spans="1:44" s="84" customFormat="1" ht="24" customHeight="1" x14ac:dyDescent="0.3">
      <c r="A336" s="78" t="s">
        <v>3764</v>
      </c>
      <c r="B336" s="79" t="s">
        <v>208</v>
      </c>
      <c r="C336" s="112">
        <v>1121326</v>
      </c>
      <c r="D336" s="112">
        <v>1102457</v>
      </c>
      <c r="E336" s="112">
        <v>29030137</v>
      </c>
      <c r="F336" s="81" t="s">
        <v>3826</v>
      </c>
      <c r="G336" s="82" t="s">
        <v>3824</v>
      </c>
      <c r="H336" s="82" t="s">
        <v>3827</v>
      </c>
      <c r="I336" s="82" t="s">
        <v>3122</v>
      </c>
      <c r="J336" s="83" t="str">
        <f>VLOOKUP($C336,CHOOSE({1,2},'[4]Prestações de Conta inadimplent'!$D$9:$D$2000,'[4]Prestações de Conta inadimplent'!$C$9:$C$2000),2,0)</f>
        <v>Colegio Estadual Reitor Edgard Santos</v>
      </c>
      <c r="K336" s="96"/>
      <c r="L336" s="85"/>
      <c r="M336" s="85" t="e">
        <v>#REF!</v>
      </c>
      <c r="T336" s="86"/>
      <c r="U336" s="85"/>
      <c r="V336" s="87"/>
      <c r="W336" s="85"/>
      <c r="X336" s="88"/>
      <c r="Y336" s="89"/>
      <c r="Z336" s="89"/>
      <c r="AA336" s="88"/>
      <c r="AB336" s="88"/>
      <c r="AF336" s="90"/>
      <c r="AK336" s="91"/>
      <c r="AM336" s="92"/>
      <c r="AN336" s="92"/>
      <c r="AO336" s="92"/>
      <c r="AP336" s="92"/>
      <c r="AQ336" s="92"/>
      <c r="AR336" s="92"/>
    </row>
    <row r="337" spans="1:44" s="84" customFormat="1" ht="24" customHeight="1" x14ac:dyDescent="0.3">
      <c r="A337" s="78" t="s">
        <v>3764</v>
      </c>
      <c r="B337" s="79" t="s">
        <v>212</v>
      </c>
      <c r="C337" s="112">
        <v>1144156</v>
      </c>
      <c r="D337" s="112">
        <v>1102472</v>
      </c>
      <c r="E337" s="112">
        <v>29031630</v>
      </c>
      <c r="F337" s="81" t="s">
        <v>3828</v>
      </c>
      <c r="G337" s="82" t="s">
        <v>3829</v>
      </c>
      <c r="H337" s="82" t="s">
        <v>3830</v>
      </c>
      <c r="I337" s="82" t="s">
        <v>3103</v>
      </c>
      <c r="J337" s="83" t="e">
        <f>VLOOKUP($C337,CHOOSE({1,2},'[4]Prestações de Conta inadimplent'!$D$9:$D$2000,'[4]Prestações de Conta inadimplent'!$C$9:$C$2000),2,0)</f>
        <v>#N/A</v>
      </c>
      <c r="L337" s="85"/>
      <c r="M337" s="85" t="e">
        <v>#REF!</v>
      </c>
      <c r="T337" s="86"/>
      <c r="U337" s="85"/>
      <c r="V337" s="87"/>
      <c r="W337" s="85"/>
      <c r="X337" s="88"/>
      <c r="Y337" s="89"/>
      <c r="Z337" s="89"/>
      <c r="AA337" s="88"/>
      <c r="AB337" s="88"/>
      <c r="AF337" s="90"/>
      <c r="AK337" s="91"/>
      <c r="AM337" s="92"/>
      <c r="AN337" s="92"/>
      <c r="AO337" s="92"/>
      <c r="AP337" s="92"/>
      <c r="AQ337" s="92"/>
      <c r="AR337" s="92"/>
    </row>
    <row r="338" spans="1:44" s="84" customFormat="1" ht="24" customHeight="1" x14ac:dyDescent="0.3">
      <c r="A338" s="78" t="s">
        <v>3764</v>
      </c>
      <c r="B338" s="79" t="s">
        <v>219</v>
      </c>
      <c r="C338" s="112">
        <v>1120508</v>
      </c>
      <c r="D338" s="112">
        <v>1102476</v>
      </c>
      <c r="E338" s="112">
        <v>29032300</v>
      </c>
      <c r="F338" s="81" t="s">
        <v>3831</v>
      </c>
      <c r="G338" s="82" t="s">
        <v>3832</v>
      </c>
      <c r="H338" s="82" t="s">
        <v>3833</v>
      </c>
      <c r="I338" s="82" t="s">
        <v>3122</v>
      </c>
      <c r="J338" s="83" t="str">
        <f>VLOOKUP($C338,CHOOSE({1,2},'[4]Prestações de Conta inadimplent'!$D$9:$D$2000,'[4]Prestações de Conta inadimplent'!$C$9:$C$2000),2,0)</f>
        <v>Colegio Estadual Jorge Khoury</v>
      </c>
      <c r="K338" s="95" t="s">
        <v>3834</v>
      </c>
      <c r="L338" s="85"/>
      <c r="M338" s="85" t="e">
        <v>#REF!</v>
      </c>
      <c r="T338" s="86"/>
      <c r="U338" s="85"/>
      <c r="V338" s="87"/>
      <c r="W338" s="85"/>
      <c r="X338" s="88"/>
      <c r="Y338" s="89"/>
      <c r="Z338" s="89"/>
      <c r="AA338" s="88"/>
      <c r="AB338" s="88"/>
      <c r="AF338" s="90"/>
      <c r="AK338" s="91"/>
      <c r="AM338" s="92"/>
      <c r="AN338" s="92"/>
      <c r="AO338" s="92"/>
      <c r="AP338" s="92"/>
      <c r="AQ338" s="92"/>
      <c r="AR338" s="92"/>
    </row>
    <row r="339" spans="1:44" s="84" customFormat="1" ht="24" customHeight="1" x14ac:dyDescent="0.3">
      <c r="A339" s="78" t="s">
        <v>3764</v>
      </c>
      <c r="B339" s="79" t="s">
        <v>219</v>
      </c>
      <c r="C339" s="112">
        <v>1120907</v>
      </c>
      <c r="D339" s="112">
        <v>1102478</v>
      </c>
      <c r="E339" s="112">
        <v>29032334</v>
      </c>
      <c r="F339" s="81" t="s">
        <v>3835</v>
      </c>
      <c r="G339" s="82" t="s">
        <v>3832</v>
      </c>
      <c r="H339" s="82" t="s">
        <v>3836</v>
      </c>
      <c r="I339" s="82" t="s">
        <v>3122</v>
      </c>
      <c r="J339" s="83" t="str">
        <f>VLOOKUP($C339,CHOOSE({1,2},'[4]Prestações de Conta inadimplent'!$D$9:$D$2000,'[4]Prestações de Conta inadimplent'!$C$9:$C$2000),2,0)</f>
        <v>Colegio Estadual Vila Sao Joaquim</v>
      </c>
      <c r="L339" s="85"/>
      <c r="M339" s="85" t="e">
        <v>#REF!</v>
      </c>
      <c r="T339" s="86"/>
      <c r="U339" s="85"/>
      <c r="V339" s="87"/>
      <c r="W339" s="85"/>
      <c r="X339" s="88"/>
      <c r="Y339" s="89"/>
      <c r="Z339" s="89"/>
      <c r="AA339" s="88"/>
      <c r="AB339" s="88"/>
      <c r="AF339" s="90"/>
      <c r="AK339" s="91"/>
      <c r="AM339" s="92"/>
      <c r="AN339" s="92"/>
      <c r="AO339" s="92"/>
      <c r="AP339" s="92"/>
      <c r="AQ339" s="92"/>
      <c r="AR339" s="92"/>
    </row>
    <row r="340" spans="1:44" s="84" customFormat="1" ht="24" customHeight="1" x14ac:dyDescent="0.3">
      <c r="A340" s="78" t="s">
        <v>3764</v>
      </c>
      <c r="B340" s="79" t="s">
        <v>743</v>
      </c>
      <c r="C340" s="112">
        <v>1161336</v>
      </c>
      <c r="D340" s="112">
        <v>1102492</v>
      </c>
      <c r="E340" s="112">
        <v>29124484</v>
      </c>
      <c r="F340" s="81" t="s">
        <v>3837</v>
      </c>
      <c r="G340" s="82" t="s">
        <v>3838</v>
      </c>
      <c r="H340" s="82" t="s">
        <v>3839</v>
      </c>
      <c r="I340" s="82" t="s">
        <v>3103</v>
      </c>
      <c r="J340" s="83" t="e">
        <f>VLOOKUP($C340,CHOOSE({1,2},'[4]Prestações de Conta inadimplent'!$D$9:$D$2000,'[4]Prestações de Conta inadimplent'!$C$9:$C$2000),2,0)</f>
        <v>#N/A</v>
      </c>
      <c r="L340" s="85"/>
      <c r="M340" s="85" t="e">
        <v>#REF!</v>
      </c>
      <c r="T340" s="86"/>
      <c r="U340" s="85"/>
      <c r="V340" s="87"/>
      <c r="W340" s="85"/>
      <c r="X340" s="88"/>
      <c r="Y340" s="89"/>
      <c r="Z340" s="88"/>
      <c r="AA340" s="88"/>
      <c r="AB340" s="88"/>
      <c r="AF340" s="90"/>
      <c r="AK340" s="91"/>
      <c r="AM340" s="92"/>
      <c r="AN340" s="92"/>
      <c r="AO340" s="92"/>
      <c r="AP340" s="92"/>
      <c r="AQ340" s="92"/>
      <c r="AR340" s="92"/>
    </row>
    <row r="341" spans="1:44" s="84" customFormat="1" ht="24" customHeight="1" x14ac:dyDescent="0.3">
      <c r="A341" s="78" t="s">
        <v>3764</v>
      </c>
      <c r="B341" s="79" t="s">
        <v>743</v>
      </c>
      <c r="C341" s="112">
        <v>1161271</v>
      </c>
      <c r="D341" s="112">
        <v>1102490</v>
      </c>
      <c r="E341" s="112">
        <v>29125537</v>
      </c>
      <c r="F341" s="81" t="s">
        <v>3840</v>
      </c>
      <c r="G341" s="82" t="s">
        <v>3838</v>
      </c>
      <c r="H341" s="82" t="s">
        <v>3841</v>
      </c>
      <c r="I341" s="82" t="s">
        <v>3122</v>
      </c>
      <c r="J341" s="83" t="str">
        <f>VLOOKUP($C341,CHOOSE({1,2},'[4]Prestações de Conta inadimplent'!$D$9:$D$2000,'[4]Prestações de Conta inadimplent'!$C$9:$C$2000),2,0)</f>
        <v>Colegio Estadual Do Campo Professor Edivaldo Machado Boaventura</v>
      </c>
      <c r="L341" s="85"/>
      <c r="M341" s="85" t="e">
        <v>#REF!</v>
      </c>
      <c r="T341" s="86"/>
      <c r="U341" s="85"/>
      <c r="V341" s="87"/>
      <c r="W341" s="85"/>
      <c r="X341" s="88"/>
      <c r="Y341" s="89"/>
      <c r="Z341" s="89"/>
      <c r="AA341" s="88"/>
      <c r="AB341" s="88"/>
      <c r="AF341" s="90"/>
      <c r="AK341" s="91"/>
      <c r="AM341" s="92"/>
      <c r="AN341" s="92"/>
      <c r="AO341" s="92"/>
      <c r="AP341" s="92"/>
      <c r="AQ341" s="92"/>
      <c r="AR341" s="92"/>
    </row>
    <row r="342" spans="1:44" s="84" customFormat="1" ht="24" customHeight="1" x14ac:dyDescent="0.3">
      <c r="A342" s="78" t="s">
        <v>3764</v>
      </c>
      <c r="B342" s="79" t="s">
        <v>743</v>
      </c>
      <c r="C342" s="112">
        <v>1121423</v>
      </c>
      <c r="D342" s="112">
        <v>1102482</v>
      </c>
      <c r="E342" s="112">
        <v>29124964</v>
      </c>
      <c r="F342" s="81" t="s">
        <v>3842</v>
      </c>
      <c r="G342" s="82" t="s">
        <v>3838</v>
      </c>
      <c r="H342" s="82" t="s">
        <v>3843</v>
      </c>
      <c r="I342" s="82" t="s">
        <v>3103</v>
      </c>
      <c r="J342" s="83" t="e">
        <f>VLOOKUP($C342,CHOOSE({1,2},'[4]Prestações de Conta inadimplent'!$D$9:$D$2000,'[4]Prestações de Conta inadimplent'!$C$9:$C$2000),2,0)</f>
        <v>#N/A</v>
      </c>
      <c r="L342" s="85"/>
      <c r="M342" s="85" t="e">
        <v>#REF!</v>
      </c>
      <c r="T342" s="86"/>
      <c r="U342" s="85"/>
      <c r="V342" s="87"/>
      <c r="W342" s="85"/>
      <c r="X342" s="88"/>
      <c r="Y342" s="89"/>
      <c r="Z342" s="89"/>
      <c r="AA342" s="88"/>
      <c r="AB342" s="88"/>
      <c r="AF342" s="90"/>
      <c r="AK342" s="91"/>
      <c r="AM342" s="92"/>
      <c r="AN342" s="92"/>
      <c r="AO342" s="92"/>
      <c r="AP342" s="92"/>
      <c r="AQ342" s="92"/>
      <c r="AR342" s="92"/>
    </row>
    <row r="343" spans="1:44" s="84" customFormat="1" ht="24" customHeight="1" x14ac:dyDescent="0.3">
      <c r="A343" s="78" t="s">
        <v>3764</v>
      </c>
      <c r="B343" s="79" t="s">
        <v>743</v>
      </c>
      <c r="C343" s="112">
        <v>1121474</v>
      </c>
      <c r="D343" s="112">
        <v>1102485</v>
      </c>
      <c r="E343" s="112">
        <v>29124506</v>
      </c>
      <c r="F343" s="81" t="s">
        <v>3844</v>
      </c>
      <c r="G343" s="82" t="s">
        <v>3838</v>
      </c>
      <c r="H343" s="82" t="s">
        <v>3845</v>
      </c>
      <c r="I343" s="82" t="s">
        <v>3103</v>
      </c>
      <c r="J343" s="83" t="e">
        <f>VLOOKUP($C343,CHOOSE({1,2},'[4]Prestações de Conta inadimplent'!$D$9:$D$2000,'[4]Prestações de Conta inadimplent'!$C$9:$C$2000),2,0)</f>
        <v>#N/A</v>
      </c>
      <c r="K343" s="95"/>
      <c r="L343" s="85"/>
      <c r="M343" s="85" t="e">
        <v>#REF!</v>
      </c>
      <c r="T343" s="86"/>
      <c r="U343" s="85"/>
      <c r="V343" s="87"/>
      <c r="W343" s="85"/>
      <c r="X343" s="88"/>
      <c r="Y343" s="89"/>
      <c r="Z343" s="89"/>
      <c r="AA343" s="88"/>
      <c r="AB343" s="88"/>
      <c r="AF343" s="90"/>
      <c r="AK343" s="91"/>
      <c r="AM343" s="92"/>
      <c r="AN343" s="92"/>
      <c r="AO343" s="92"/>
      <c r="AP343" s="92"/>
      <c r="AQ343" s="92"/>
      <c r="AR343" s="92"/>
    </row>
    <row r="344" spans="1:44" s="84" customFormat="1" ht="24" customHeight="1" x14ac:dyDescent="0.3">
      <c r="A344" s="78" t="s">
        <v>3846</v>
      </c>
      <c r="B344" s="79" t="s">
        <v>102</v>
      </c>
      <c r="C344" s="112">
        <v>1129521</v>
      </c>
      <c r="D344" s="112">
        <v>1103233</v>
      </c>
      <c r="E344" s="112">
        <v>29005752</v>
      </c>
      <c r="F344" s="81" t="s">
        <v>3847</v>
      </c>
      <c r="G344" s="82" t="s">
        <v>3848</v>
      </c>
      <c r="H344" s="82" t="s">
        <v>3849</v>
      </c>
      <c r="I344" s="82" t="s">
        <v>3103</v>
      </c>
      <c r="J344" s="83" t="e">
        <f>VLOOKUP($C344,CHOOSE({1,2},'[4]Prestações de Conta inadimplent'!$D$9:$D$2000,'[4]Prestações de Conta inadimplent'!$C$9:$C$2000),2,0)</f>
        <v>#N/A</v>
      </c>
      <c r="L344" s="85"/>
      <c r="M344" s="85" t="e">
        <v>#REF!</v>
      </c>
      <c r="T344" s="86"/>
      <c r="U344" s="85"/>
      <c r="V344" s="87"/>
      <c r="W344" s="85"/>
      <c r="X344" s="88"/>
      <c r="Y344" s="89"/>
      <c r="Z344" s="88"/>
      <c r="AA344" s="88"/>
      <c r="AB344" s="88"/>
      <c r="AF344" s="90"/>
      <c r="AK344" s="91"/>
      <c r="AM344" s="92"/>
      <c r="AN344" s="92"/>
      <c r="AO344" s="92"/>
      <c r="AP344" s="92"/>
      <c r="AQ344" s="92"/>
      <c r="AR344" s="92"/>
    </row>
    <row r="345" spans="1:44" s="84" customFormat="1" ht="24" customHeight="1" x14ac:dyDescent="0.3">
      <c r="A345" s="78" t="s">
        <v>3846</v>
      </c>
      <c r="B345" s="79" t="s">
        <v>70</v>
      </c>
      <c r="C345" s="112">
        <v>1179377</v>
      </c>
      <c r="D345" s="112">
        <v>9999999</v>
      </c>
      <c r="E345" s="112">
        <v>29464765</v>
      </c>
      <c r="F345" s="81" t="s">
        <v>3850</v>
      </c>
      <c r="G345" s="82" t="s">
        <v>3851</v>
      </c>
      <c r="H345" s="82" t="s">
        <v>3852</v>
      </c>
      <c r="I345" s="82" t="s">
        <v>3103</v>
      </c>
      <c r="J345" s="83" t="e">
        <f>VLOOKUP($C345,CHOOSE({1,2},'[4]Prestações de Conta inadimplent'!$D$9:$D$2000,'[4]Prestações de Conta inadimplent'!$C$9:$C$2000),2,0)</f>
        <v>#N/A</v>
      </c>
      <c r="L345" s="85"/>
      <c r="M345" s="85" t="e">
        <v>#REF!</v>
      </c>
      <c r="T345" s="86"/>
      <c r="U345" s="85"/>
      <c r="V345" s="87"/>
      <c r="W345" s="85"/>
      <c r="X345" s="88"/>
      <c r="Y345" s="89"/>
      <c r="Z345" s="88"/>
      <c r="AA345" s="88"/>
      <c r="AB345" s="88"/>
      <c r="AF345" s="90"/>
      <c r="AK345" s="91"/>
      <c r="AM345" s="92"/>
      <c r="AN345" s="92"/>
      <c r="AO345" s="92"/>
      <c r="AP345" s="92"/>
      <c r="AQ345" s="92"/>
      <c r="AR345" s="92"/>
    </row>
    <row r="346" spans="1:44" s="84" customFormat="1" ht="24" customHeight="1" x14ac:dyDescent="0.3">
      <c r="A346" s="78" t="s">
        <v>3846</v>
      </c>
      <c r="B346" s="79" t="s">
        <v>70</v>
      </c>
      <c r="C346" s="112">
        <v>1129637</v>
      </c>
      <c r="D346" s="112">
        <v>1103243</v>
      </c>
      <c r="E346" s="112">
        <v>29000599</v>
      </c>
      <c r="F346" s="81" t="s">
        <v>3853</v>
      </c>
      <c r="G346" s="82" t="s">
        <v>3851</v>
      </c>
      <c r="H346" s="82" t="s">
        <v>3854</v>
      </c>
      <c r="I346" s="82" t="s">
        <v>3103</v>
      </c>
      <c r="J346" s="83" t="e">
        <f>VLOOKUP($C346,CHOOSE({1,2},'[4]Prestações de Conta inadimplent'!$D$9:$D$2000,'[4]Prestações de Conta inadimplent'!$C$9:$C$2000),2,0)</f>
        <v>#N/A</v>
      </c>
      <c r="L346" s="85"/>
      <c r="M346" s="85" t="e">
        <v>#REF!</v>
      </c>
      <c r="T346" s="86"/>
      <c r="U346" s="85"/>
      <c r="V346" s="87"/>
      <c r="W346" s="85"/>
      <c r="X346" s="88"/>
      <c r="Y346" s="89"/>
      <c r="Z346" s="89"/>
      <c r="AA346" s="88"/>
      <c r="AB346" s="88"/>
      <c r="AF346" s="90"/>
      <c r="AK346" s="91"/>
      <c r="AM346" s="92"/>
      <c r="AN346" s="92"/>
      <c r="AO346" s="92"/>
      <c r="AP346" s="92"/>
      <c r="AQ346" s="92"/>
      <c r="AR346" s="92"/>
    </row>
    <row r="347" spans="1:44" s="84" customFormat="1" ht="24" customHeight="1" x14ac:dyDescent="0.3">
      <c r="A347" s="78" t="s">
        <v>3846</v>
      </c>
      <c r="B347" s="79" t="s">
        <v>75</v>
      </c>
      <c r="C347" s="112">
        <v>1129718</v>
      </c>
      <c r="D347" s="112">
        <v>1103249</v>
      </c>
      <c r="E347" s="112">
        <v>29336325</v>
      </c>
      <c r="F347" s="81" t="s">
        <v>1111</v>
      </c>
      <c r="G347" s="82" t="s">
        <v>3855</v>
      </c>
      <c r="H347" s="82" t="s">
        <v>3856</v>
      </c>
      <c r="I347" s="82" t="s">
        <v>3103</v>
      </c>
      <c r="J347" s="83" t="e">
        <f>VLOOKUP($C347,CHOOSE({1,2},'[4]Prestações de Conta inadimplent'!$D$9:$D$2000,'[4]Prestações de Conta inadimplent'!$C$9:$C$2000),2,0)</f>
        <v>#N/A</v>
      </c>
      <c r="K347" s="84">
        <v>2</v>
      </c>
      <c r="L347" s="85"/>
      <c r="M347" s="85" t="e">
        <v>#REF!</v>
      </c>
      <c r="T347" s="86"/>
      <c r="U347" s="85"/>
      <c r="V347" s="87"/>
      <c r="W347" s="85"/>
      <c r="X347" s="88"/>
      <c r="Y347" s="89"/>
      <c r="Z347" s="88"/>
      <c r="AA347" s="88"/>
      <c r="AB347" s="88"/>
      <c r="AF347" s="90"/>
      <c r="AK347" s="91"/>
      <c r="AM347" s="92"/>
      <c r="AN347" s="92"/>
      <c r="AO347" s="92"/>
      <c r="AP347" s="92"/>
      <c r="AQ347" s="92"/>
      <c r="AR347" s="92"/>
    </row>
    <row r="348" spans="1:44" s="84" customFormat="1" ht="24" customHeight="1" x14ac:dyDescent="0.3">
      <c r="A348" s="78" t="s">
        <v>3846</v>
      </c>
      <c r="B348" s="79" t="s">
        <v>75</v>
      </c>
      <c r="C348" s="112">
        <v>1129742</v>
      </c>
      <c r="D348" s="112">
        <v>1103251</v>
      </c>
      <c r="E348" s="112">
        <v>29000971</v>
      </c>
      <c r="F348" s="81" t="s">
        <v>3857</v>
      </c>
      <c r="G348" s="82" t="s">
        <v>3855</v>
      </c>
      <c r="H348" s="82" t="s">
        <v>3858</v>
      </c>
      <c r="I348" s="82" t="s">
        <v>3103</v>
      </c>
      <c r="J348" s="83" t="e">
        <f>VLOOKUP($C348,CHOOSE({1,2},'[4]Prestações de Conta inadimplent'!$D$9:$D$2000,'[4]Prestações de Conta inadimplent'!$C$9:$C$2000),2,0)</f>
        <v>#N/A</v>
      </c>
      <c r="K348" s="84">
        <v>2</v>
      </c>
      <c r="L348" s="85"/>
      <c r="M348" s="85" t="e">
        <v>#REF!</v>
      </c>
      <c r="T348" s="86"/>
      <c r="U348" s="85"/>
      <c r="V348" s="87"/>
      <c r="W348" s="85"/>
      <c r="X348" s="88"/>
      <c r="Y348" s="89"/>
      <c r="Z348" s="89"/>
      <c r="AA348" s="88"/>
      <c r="AB348" s="88"/>
      <c r="AF348" s="90"/>
      <c r="AK348" s="91"/>
      <c r="AM348" s="92"/>
      <c r="AN348" s="92"/>
      <c r="AO348" s="92"/>
      <c r="AP348" s="92"/>
      <c r="AQ348" s="92"/>
      <c r="AR348" s="92"/>
    </row>
    <row r="349" spans="1:44" s="84" customFormat="1" ht="24" customHeight="1" x14ac:dyDescent="0.3">
      <c r="A349" s="78" t="s">
        <v>3846</v>
      </c>
      <c r="B349" s="79" t="s">
        <v>75</v>
      </c>
      <c r="C349" s="112">
        <v>1179458</v>
      </c>
      <c r="D349" s="112">
        <v>9999999</v>
      </c>
      <c r="E349" s="112">
        <v>29468396</v>
      </c>
      <c r="F349" s="81" t="s">
        <v>3859</v>
      </c>
      <c r="G349" s="82" t="s">
        <v>3855</v>
      </c>
      <c r="H349" s="82" t="s">
        <v>3860</v>
      </c>
      <c r="I349" s="82" t="s">
        <v>3122</v>
      </c>
      <c r="J349" s="83" t="str">
        <f>VLOOKUP($C349,CHOOSE({1,2},'[4]Prestações de Conta inadimplent'!$D$9:$D$2000,'[4]Prestações de Conta inadimplent'!$C$9:$C$2000),2,0)</f>
        <v>Centro Juvenil De Ciencia E Cultura- Cjcc Barreiras</v>
      </c>
      <c r="K349" s="84">
        <v>2</v>
      </c>
      <c r="L349" s="85"/>
      <c r="M349" s="85" t="e">
        <v>#REF!</v>
      </c>
      <c r="T349" s="86"/>
      <c r="U349" s="85"/>
      <c r="V349" s="85"/>
      <c r="W349" s="85"/>
      <c r="X349" s="85"/>
      <c r="Y349" s="89"/>
      <c r="Z349" s="89"/>
      <c r="AA349" s="88"/>
      <c r="AB349" s="88"/>
      <c r="AF349" s="90"/>
      <c r="AK349" s="91"/>
      <c r="AM349" s="92"/>
      <c r="AN349" s="92"/>
      <c r="AO349" s="92"/>
      <c r="AP349" s="92"/>
      <c r="AQ349" s="92"/>
      <c r="AR349" s="92"/>
    </row>
    <row r="350" spans="1:44" s="84" customFormat="1" ht="24" customHeight="1" x14ac:dyDescent="0.3">
      <c r="A350" s="78" t="s">
        <v>3846</v>
      </c>
      <c r="B350" s="79" t="s">
        <v>75</v>
      </c>
      <c r="C350" s="112">
        <v>1179339</v>
      </c>
      <c r="D350" s="112">
        <v>9999999</v>
      </c>
      <c r="E350" s="112">
        <v>29461480</v>
      </c>
      <c r="F350" s="81" t="s">
        <v>3861</v>
      </c>
      <c r="G350" s="82" t="s">
        <v>3855</v>
      </c>
      <c r="H350" s="82" t="s">
        <v>3862</v>
      </c>
      <c r="I350" s="82" t="s">
        <v>3122</v>
      </c>
      <c r="J350" s="83" t="str">
        <f>VLOOKUP($C350,CHOOSE({1,2},'[4]Prestações de Conta inadimplent'!$D$9:$D$2000,'[4]Prestações de Conta inadimplent'!$C$9:$C$2000),2,0)</f>
        <v>Cent Reg De Ens Medio Com Intermediacao Tec.cemit Bacia Do Rio Grande</v>
      </c>
      <c r="K350" s="84">
        <v>2</v>
      </c>
      <c r="L350" s="85"/>
      <c r="M350" s="85" t="e">
        <v>#REF!</v>
      </c>
      <c r="T350" s="86"/>
      <c r="U350" s="85"/>
      <c r="V350" s="85"/>
      <c r="W350" s="85"/>
      <c r="X350" s="88"/>
      <c r="Y350" s="89"/>
      <c r="Z350" s="88"/>
      <c r="AA350" s="88"/>
      <c r="AB350" s="88"/>
      <c r="AF350" s="90"/>
      <c r="AK350" s="91"/>
      <c r="AM350" s="92"/>
      <c r="AN350" s="92"/>
      <c r="AO350" s="92"/>
      <c r="AP350" s="92"/>
      <c r="AQ350" s="92"/>
      <c r="AR350" s="92"/>
    </row>
    <row r="351" spans="1:44" s="84" customFormat="1" ht="24" customHeight="1" x14ac:dyDescent="0.3">
      <c r="A351" s="78" t="s">
        <v>3846</v>
      </c>
      <c r="B351" s="79" t="s">
        <v>75</v>
      </c>
      <c r="C351" s="112">
        <v>1129696</v>
      </c>
      <c r="D351" s="112">
        <v>1103248</v>
      </c>
      <c r="E351" s="112">
        <v>29001064</v>
      </c>
      <c r="F351" s="81" t="s">
        <v>3863</v>
      </c>
      <c r="G351" s="82" t="s">
        <v>3855</v>
      </c>
      <c r="H351" s="82" t="s">
        <v>3864</v>
      </c>
      <c r="I351" s="82" t="s">
        <v>3122</v>
      </c>
      <c r="J351" s="83" t="str">
        <f>VLOOKUP($C351,CHOOSE({1,2},'[4]Prestações de Conta inadimplent'!$D$9:$D$2000,'[4]Prestações de Conta inadimplent'!$C$9:$C$2000),2,0)</f>
        <v>Colegio Estadual De Barreirinhas</v>
      </c>
      <c r="K351" s="84">
        <v>2</v>
      </c>
      <c r="L351" s="85"/>
      <c r="M351" s="85" t="e">
        <v>#REF!</v>
      </c>
      <c r="T351" s="86"/>
      <c r="U351" s="85"/>
      <c r="V351" s="87"/>
      <c r="W351" s="85"/>
      <c r="X351" s="88"/>
      <c r="Y351" s="89"/>
      <c r="Z351" s="88"/>
      <c r="AA351" s="88"/>
      <c r="AB351" s="88"/>
      <c r="AF351" s="90"/>
      <c r="AK351" s="91"/>
      <c r="AM351" s="92"/>
      <c r="AN351" s="92"/>
      <c r="AO351" s="92"/>
      <c r="AP351" s="92"/>
      <c r="AQ351" s="92"/>
      <c r="AR351" s="92"/>
    </row>
    <row r="352" spans="1:44" s="84" customFormat="1" ht="24" customHeight="1" x14ac:dyDescent="0.3">
      <c r="A352" s="78" t="s">
        <v>3846</v>
      </c>
      <c r="B352" s="79" t="s">
        <v>75</v>
      </c>
      <c r="C352" s="112">
        <v>1129831</v>
      </c>
      <c r="D352" s="112">
        <v>1103257</v>
      </c>
      <c r="E352" s="112">
        <v>29001498</v>
      </c>
      <c r="F352" s="81" t="s">
        <v>3865</v>
      </c>
      <c r="G352" s="82" t="s">
        <v>3855</v>
      </c>
      <c r="H352" s="82" t="s">
        <v>3866</v>
      </c>
      <c r="I352" s="82" t="s">
        <v>3103</v>
      </c>
      <c r="J352" s="83" t="e">
        <f>VLOOKUP($C352,CHOOSE({1,2},'[4]Prestações de Conta inadimplent'!$D$9:$D$2000,'[4]Prestações de Conta inadimplent'!$C$9:$C$2000),2,0)</f>
        <v>#N/A</v>
      </c>
      <c r="K352" s="84">
        <v>2</v>
      </c>
      <c r="L352" s="85"/>
      <c r="M352" s="85" t="e">
        <v>#REF!</v>
      </c>
      <c r="T352" s="86"/>
      <c r="U352" s="85"/>
      <c r="V352" s="85"/>
      <c r="W352" s="85"/>
      <c r="X352" s="88"/>
      <c r="Y352" s="89"/>
      <c r="Z352" s="88"/>
      <c r="AA352" s="88"/>
      <c r="AB352" s="88"/>
      <c r="AF352" s="90"/>
      <c r="AK352" s="91"/>
      <c r="AM352" s="92"/>
      <c r="AN352" s="92"/>
      <c r="AO352" s="92"/>
      <c r="AP352" s="92"/>
      <c r="AQ352" s="92"/>
      <c r="AR352" s="92"/>
    </row>
    <row r="353" spans="1:44" s="84" customFormat="1" ht="24" customHeight="1" x14ac:dyDescent="0.3">
      <c r="A353" s="78" t="s">
        <v>3846</v>
      </c>
      <c r="B353" s="79" t="s">
        <v>75</v>
      </c>
      <c r="C353" s="112">
        <v>1165382</v>
      </c>
      <c r="D353" s="112">
        <v>1103270</v>
      </c>
      <c r="E353" s="112">
        <v>29000831</v>
      </c>
      <c r="F353" s="81" t="s">
        <v>3867</v>
      </c>
      <c r="G353" s="82" t="s">
        <v>3855</v>
      </c>
      <c r="H353" s="82" t="s">
        <v>3868</v>
      </c>
      <c r="I353" s="82" t="s">
        <v>3103</v>
      </c>
      <c r="J353" s="83" t="e">
        <f>VLOOKUP($C353,CHOOSE({1,2},'[4]Prestações de Conta inadimplent'!$D$9:$D$2000,'[4]Prestações de Conta inadimplent'!$C$9:$C$2000),2,0)</f>
        <v>#N/A</v>
      </c>
      <c r="K353" s="84">
        <v>2</v>
      </c>
      <c r="L353" s="85"/>
      <c r="M353" s="85" t="e">
        <v>#REF!</v>
      </c>
      <c r="T353" s="86"/>
      <c r="U353" s="85"/>
      <c r="V353" s="87"/>
      <c r="W353" s="85"/>
      <c r="X353" s="88"/>
      <c r="Y353" s="89"/>
      <c r="Z353" s="88"/>
      <c r="AA353" s="88"/>
      <c r="AB353" s="88"/>
      <c r="AF353" s="90"/>
      <c r="AK353" s="91"/>
      <c r="AM353" s="92"/>
      <c r="AN353" s="92"/>
      <c r="AO353" s="92"/>
      <c r="AP353" s="92"/>
      <c r="AQ353" s="92"/>
      <c r="AR353" s="92"/>
    </row>
    <row r="354" spans="1:44" s="84" customFormat="1" ht="24" customHeight="1" x14ac:dyDescent="0.3">
      <c r="A354" s="78" t="s">
        <v>3846</v>
      </c>
      <c r="B354" s="79" t="s">
        <v>75</v>
      </c>
      <c r="C354" s="112">
        <v>1129939</v>
      </c>
      <c r="D354" s="112">
        <v>1103263</v>
      </c>
      <c r="E354" s="112">
        <v>29383218</v>
      </c>
      <c r="F354" s="81" t="s">
        <v>2279</v>
      </c>
      <c r="G354" s="82" t="s">
        <v>3855</v>
      </c>
      <c r="H354" s="82" t="s">
        <v>3869</v>
      </c>
      <c r="I354" s="82" t="s">
        <v>3103</v>
      </c>
      <c r="J354" s="83" t="e">
        <f>VLOOKUP($C354,CHOOSE({1,2},'[4]Prestações de Conta inadimplent'!$D$9:$D$2000,'[4]Prestações de Conta inadimplent'!$C$9:$C$2000),2,0)</f>
        <v>#N/A</v>
      </c>
      <c r="K354" s="84">
        <v>2</v>
      </c>
      <c r="L354" s="85"/>
      <c r="M354" s="85" t="e">
        <v>#REF!</v>
      </c>
      <c r="T354" s="86"/>
      <c r="U354" s="85"/>
      <c r="V354" s="87"/>
      <c r="W354" s="85"/>
      <c r="X354" s="88"/>
      <c r="Y354" s="89"/>
      <c r="Z354" s="88"/>
      <c r="AA354" s="88"/>
      <c r="AB354" s="88"/>
      <c r="AF354" s="90"/>
      <c r="AK354" s="91"/>
      <c r="AM354" s="92"/>
      <c r="AN354" s="92"/>
      <c r="AO354" s="92"/>
      <c r="AP354" s="92"/>
      <c r="AQ354" s="92"/>
      <c r="AR354" s="92"/>
    </row>
    <row r="355" spans="1:44" s="84" customFormat="1" ht="24" customHeight="1" x14ac:dyDescent="0.3">
      <c r="A355" s="78" t="s">
        <v>3846</v>
      </c>
      <c r="B355" s="79" t="s">
        <v>75</v>
      </c>
      <c r="C355" s="112">
        <v>1178162</v>
      </c>
      <c r="D355" s="112">
        <v>1105454</v>
      </c>
      <c r="E355" s="112">
        <v>29437881</v>
      </c>
      <c r="F355" s="81" t="s">
        <v>3870</v>
      </c>
      <c r="G355" s="82" t="s">
        <v>3855</v>
      </c>
      <c r="H355" s="82" t="s">
        <v>3871</v>
      </c>
      <c r="I355" s="82" t="s">
        <v>3122</v>
      </c>
      <c r="J355" s="83" t="str">
        <f>VLOOKUP($C355,CHOOSE({1,2},'[4]Prestações de Conta inadimplent'!$D$9:$D$2000,'[4]Prestações de Conta inadimplent'!$C$9:$C$2000),2,0)</f>
        <v>Colegio Estadual De Tempo Integral Professora Kelly Magalhaes</v>
      </c>
      <c r="K355" s="84">
        <v>2</v>
      </c>
      <c r="L355" s="85"/>
      <c r="M355" s="85" t="e">
        <v>#REF!</v>
      </c>
      <c r="T355" s="86"/>
      <c r="U355" s="85"/>
      <c r="V355" s="87"/>
      <c r="W355" s="85"/>
      <c r="X355" s="88"/>
      <c r="Y355" s="89"/>
      <c r="Z355" s="88"/>
      <c r="AA355" s="88"/>
      <c r="AB355" s="88"/>
      <c r="AF355" s="90"/>
      <c r="AH355" s="85"/>
      <c r="AK355" s="91"/>
      <c r="AM355" s="92"/>
      <c r="AN355" s="92"/>
      <c r="AO355" s="92"/>
      <c r="AP355" s="92"/>
      <c r="AQ355" s="92"/>
      <c r="AR355" s="92"/>
    </row>
    <row r="356" spans="1:44" s="84" customFormat="1" ht="24" customHeight="1" x14ac:dyDescent="0.3">
      <c r="A356" s="78" t="s">
        <v>3846</v>
      </c>
      <c r="B356" s="79" t="s">
        <v>75</v>
      </c>
      <c r="C356" s="112">
        <v>1139896</v>
      </c>
      <c r="D356" s="112">
        <v>1103268</v>
      </c>
      <c r="E356" s="112">
        <v>29000840</v>
      </c>
      <c r="F356" s="81" t="s">
        <v>79</v>
      </c>
      <c r="G356" s="82" t="s">
        <v>3855</v>
      </c>
      <c r="H356" s="82" t="s">
        <v>3872</v>
      </c>
      <c r="I356" s="82" t="s">
        <v>3122</v>
      </c>
      <c r="J356" s="83" t="str">
        <f>VLOOKUP($C356,CHOOSE({1,2},'[4]Prestações de Conta inadimplent'!$D$9:$D$2000,'[4]Prestações de Conta inadimplent'!$C$9:$C$2000),2,0)</f>
        <v>Colegio Estadual Antonio Geraldo</v>
      </c>
      <c r="K356" s="84">
        <v>2</v>
      </c>
      <c r="L356" s="85"/>
      <c r="M356" s="85" t="e">
        <v>#REF!</v>
      </c>
      <c r="T356" s="86"/>
      <c r="U356" s="85"/>
      <c r="V356" s="87"/>
      <c r="W356" s="85"/>
      <c r="X356" s="88"/>
      <c r="Y356" s="89"/>
      <c r="Z356" s="89"/>
      <c r="AA356" s="88"/>
      <c r="AB356" s="88"/>
      <c r="AF356" s="90"/>
      <c r="AK356" s="91"/>
      <c r="AM356" s="92"/>
      <c r="AN356" s="92"/>
      <c r="AO356" s="92"/>
      <c r="AP356" s="92"/>
      <c r="AQ356" s="92"/>
      <c r="AR356" s="92"/>
    </row>
    <row r="357" spans="1:44" s="84" customFormat="1" ht="24" customHeight="1" x14ac:dyDescent="0.3">
      <c r="A357" s="78" t="s">
        <v>3846</v>
      </c>
      <c r="B357" s="79" t="s">
        <v>75</v>
      </c>
      <c r="C357" s="112">
        <v>1129858</v>
      </c>
      <c r="D357" s="112">
        <v>1103259</v>
      </c>
      <c r="E357" s="112">
        <v>29001773</v>
      </c>
      <c r="F357" s="81" t="s">
        <v>3873</v>
      </c>
      <c r="G357" s="82" t="s">
        <v>3855</v>
      </c>
      <c r="H357" s="82" t="s">
        <v>3874</v>
      </c>
      <c r="I357" s="82" t="s">
        <v>3103</v>
      </c>
      <c r="J357" s="83" t="e">
        <f>VLOOKUP($C357,CHOOSE({1,2},'[4]Prestações de Conta inadimplent'!$D$9:$D$2000,'[4]Prestações de Conta inadimplent'!$C$9:$C$2000),2,0)</f>
        <v>#N/A</v>
      </c>
      <c r="K357" s="84">
        <v>2</v>
      </c>
      <c r="L357" s="85"/>
      <c r="M357" s="85" t="e">
        <v>#REF!</v>
      </c>
      <c r="T357" s="86"/>
      <c r="U357" s="85"/>
      <c r="V357" s="87"/>
      <c r="W357" s="85"/>
      <c r="X357" s="88"/>
      <c r="Y357" s="89"/>
      <c r="Z357" s="89"/>
      <c r="AA357" s="88"/>
      <c r="AB357" s="88"/>
      <c r="AF357" s="90"/>
      <c r="AK357" s="91"/>
      <c r="AM357" s="92"/>
      <c r="AN357" s="92"/>
      <c r="AO357" s="92"/>
      <c r="AP357" s="92"/>
      <c r="AQ357" s="92"/>
      <c r="AR357" s="92"/>
    </row>
    <row r="358" spans="1:44" s="84" customFormat="1" ht="24" customHeight="1" x14ac:dyDescent="0.3">
      <c r="A358" s="78" t="s">
        <v>3846</v>
      </c>
      <c r="B358" s="79" t="s">
        <v>2473</v>
      </c>
      <c r="C358" s="112">
        <v>1178003</v>
      </c>
      <c r="D358" s="112">
        <v>1103066</v>
      </c>
      <c r="E358" s="112">
        <v>29418690</v>
      </c>
      <c r="F358" s="81" t="s">
        <v>3875</v>
      </c>
      <c r="G358" s="82" t="s">
        <v>3171</v>
      </c>
      <c r="H358" s="82" t="s">
        <v>3876</v>
      </c>
      <c r="I358" s="82" t="s">
        <v>3103</v>
      </c>
      <c r="J358" s="83" t="e">
        <f>VLOOKUP($C358,CHOOSE({1,2},'[4]Prestações de Conta inadimplent'!$D$9:$D$2000,'[4]Prestações de Conta inadimplent'!$C$9:$C$2000),2,0)</f>
        <v>#N/A</v>
      </c>
      <c r="L358" s="85"/>
      <c r="M358" s="85" t="e">
        <v>#REF!</v>
      </c>
      <c r="T358" s="86"/>
      <c r="U358" s="85"/>
      <c r="V358" s="87"/>
      <c r="W358" s="85"/>
      <c r="X358" s="88"/>
      <c r="Y358" s="89"/>
      <c r="Z358" s="89"/>
      <c r="AA358" s="88"/>
      <c r="AB358" s="88"/>
      <c r="AF358" s="90"/>
      <c r="AK358" s="91"/>
      <c r="AM358" s="92"/>
      <c r="AN358" s="92"/>
      <c r="AO358" s="92"/>
      <c r="AP358" s="92"/>
      <c r="AQ358" s="92"/>
      <c r="AR358" s="92"/>
    </row>
    <row r="359" spans="1:44" s="84" customFormat="1" ht="24" customHeight="1" x14ac:dyDescent="0.3">
      <c r="A359" s="78" t="s">
        <v>3846</v>
      </c>
      <c r="B359" s="79" t="s">
        <v>94</v>
      </c>
      <c r="C359" s="112">
        <v>1129980</v>
      </c>
      <c r="D359" s="112">
        <v>1103279</v>
      </c>
      <c r="E359" s="112">
        <v>29002427</v>
      </c>
      <c r="F359" s="81" t="s">
        <v>3877</v>
      </c>
      <c r="G359" s="82" t="s">
        <v>3855</v>
      </c>
      <c r="H359" s="82" t="s">
        <v>3878</v>
      </c>
      <c r="I359" s="82" t="s">
        <v>3103</v>
      </c>
      <c r="J359" s="83" t="e">
        <f>VLOOKUP($C359,CHOOSE({1,2},'[4]Prestações de Conta inadimplent'!$D$9:$D$2000,'[4]Prestações de Conta inadimplent'!$C$9:$C$2000),2,0)</f>
        <v>#N/A</v>
      </c>
      <c r="K359" s="96"/>
      <c r="L359" s="85"/>
      <c r="M359" s="85" t="e">
        <v>#REF!</v>
      </c>
      <c r="T359" s="86"/>
      <c r="U359" s="85"/>
      <c r="V359" s="87"/>
      <c r="W359" s="85"/>
      <c r="X359" s="88"/>
      <c r="Y359" s="89"/>
      <c r="Z359" s="89"/>
      <c r="AA359" s="88"/>
      <c r="AB359" s="88"/>
      <c r="AF359" s="90"/>
      <c r="AH359" s="85"/>
      <c r="AK359" s="91"/>
      <c r="AM359" s="92"/>
      <c r="AN359" s="92"/>
      <c r="AO359" s="92"/>
      <c r="AP359" s="92"/>
      <c r="AQ359" s="92"/>
      <c r="AR359" s="92"/>
    </row>
    <row r="360" spans="1:44" s="84" customFormat="1" ht="24" customHeight="1" x14ac:dyDescent="0.3">
      <c r="A360" s="78" t="s">
        <v>3846</v>
      </c>
      <c r="B360" s="79" t="s">
        <v>106</v>
      </c>
      <c r="C360" s="112">
        <v>1130260</v>
      </c>
      <c r="D360" s="112">
        <v>1103282</v>
      </c>
      <c r="E360" s="112">
        <v>29007100</v>
      </c>
      <c r="F360" s="81" t="s">
        <v>3879</v>
      </c>
      <c r="G360" s="82" t="s">
        <v>3855</v>
      </c>
      <c r="H360" s="82" t="s">
        <v>3880</v>
      </c>
      <c r="I360" s="82" t="s">
        <v>3122</v>
      </c>
      <c r="J360" s="83" t="str">
        <f>VLOOKUP($C360,CHOOSE({1,2},'[4]Prestações de Conta inadimplent'!$D$9:$D$2000,'[4]Prestações de Conta inadimplent'!$C$9:$C$2000),2,0)</f>
        <v>Colegio Estadual De Tempo Integral Jose Marcelo Silveira Mariani</v>
      </c>
      <c r="K360" s="90">
        <v>0.02</v>
      </c>
      <c r="L360" s="85"/>
      <c r="M360" s="85" t="e">
        <v>#REF!</v>
      </c>
      <c r="T360" s="86"/>
      <c r="U360" s="85"/>
      <c r="V360" s="87"/>
      <c r="W360" s="85"/>
      <c r="X360" s="88"/>
      <c r="Y360" s="89"/>
      <c r="Z360" s="89"/>
      <c r="AA360" s="88"/>
      <c r="AB360" s="88"/>
      <c r="AF360" s="90"/>
      <c r="AH360" s="85"/>
      <c r="AK360" s="91"/>
      <c r="AM360" s="92"/>
      <c r="AN360" s="92"/>
      <c r="AO360" s="92"/>
      <c r="AP360" s="92"/>
      <c r="AQ360" s="92"/>
      <c r="AR360" s="92"/>
    </row>
    <row r="361" spans="1:44" s="84" customFormat="1" ht="24" customHeight="1" x14ac:dyDescent="0.3">
      <c r="A361" s="78" t="s">
        <v>3846</v>
      </c>
      <c r="B361" s="79" t="s">
        <v>110</v>
      </c>
      <c r="C361" s="112">
        <v>1169558</v>
      </c>
      <c r="D361" s="112">
        <v>1103289</v>
      </c>
      <c r="E361" s="112">
        <v>29007887</v>
      </c>
      <c r="F361" s="81" t="s">
        <v>3881</v>
      </c>
      <c r="G361" s="82" t="s">
        <v>3855</v>
      </c>
      <c r="H361" s="82" t="s">
        <v>3882</v>
      </c>
      <c r="I361" s="82" t="s">
        <v>3122</v>
      </c>
      <c r="J361" s="83" t="str">
        <f>VLOOKUP($C361,CHOOSE({1,2},'[4]Prestações de Conta inadimplent'!$D$9:$D$2000,'[4]Prestações de Conta inadimplent'!$C$9:$C$2000),2,0)</f>
        <v>Colegio Estadual De Cristopolis</v>
      </c>
      <c r="L361" s="85"/>
      <c r="M361" s="85" t="e">
        <v>#REF!</v>
      </c>
      <c r="T361" s="86"/>
      <c r="U361" s="85"/>
      <c r="V361" s="87"/>
      <c r="W361" s="85"/>
      <c r="X361" s="88"/>
      <c r="Y361" s="89"/>
      <c r="Z361" s="88"/>
      <c r="AA361" s="88"/>
      <c r="AB361" s="88"/>
      <c r="AF361" s="90"/>
      <c r="AK361" s="91"/>
      <c r="AM361" s="92"/>
      <c r="AN361" s="92"/>
      <c r="AO361" s="92"/>
      <c r="AP361" s="92"/>
      <c r="AQ361" s="92"/>
      <c r="AR361" s="92"/>
    </row>
    <row r="362" spans="1:44" s="84" customFormat="1" ht="24" customHeight="1" x14ac:dyDescent="0.3">
      <c r="A362" s="78" t="s">
        <v>3846</v>
      </c>
      <c r="B362" s="79" t="s">
        <v>2986</v>
      </c>
      <c r="C362" s="112">
        <v>1179662</v>
      </c>
      <c r="D362" s="112">
        <v>9999999</v>
      </c>
      <c r="E362" s="112">
        <v>29474914</v>
      </c>
      <c r="F362" s="81" t="s">
        <v>3883</v>
      </c>
      <c r="G362" s="82" t="s">
        <v>3884</v>
      </c>
      <c r="H362" s="82" t="s">
        <v>3885</v>
      </c>
      <c r="I362" s="82" t="s">
        <v>3103</v>
      </c>
      <c r="J362" s="83" t="e">
        <f>VLOOKUP($C362,CHOOSE({1,2},'[4]Prestações de Conta inadimplent'!$D$9:$D$2000,'[4]Prestações de Conta inadimplent'!$C$9:$C$2000),2,0)</f>
        <v>#N/A</v>
      </c>
      <c r="L362" s="85"/>
      <c r="M362" s="85" t="e">
        <v>#REF!</v>
      </c>
      <c r="T362" s="86"/>
      <c r="U362" s="85"/>
      <c r="V362" s="87"/>
      <c r="W362" s="85"/>
      <c r="X362" s="88"/>
      <c r="Y362" s="89"/>
      <c r="Z362" s="88"/>
      <c r="AA362" s="88"/>
      <c r="AB362" s="88"/>
      <c r="AF362" s="90"/>
      <c r="AK362" s="91"/>
      <c r="AM362" s="92"/>
      <c r="AN362" s="92"/>
      <c r="AO362" s="92"/>
      <c r="AP362" s="92"/>
      <c r="AQ362" s="92"/>
      <c r="AR362" s="92"/>
    </row>
    <row r="363" spans="1:44" s="84" customFormat="1" ht="24" customHeight="1" x14ac:dyDescent="0.3">
      <c r="A363" s="78" t="s">
        <v>3846</v>
      </c>
      <c r="B363" s="79" t="s">
        <v>2275</v>
      </c>
      <c r="C363" s="112">
        <v>1179440</v>
      </c>
      <c r="D363" s="112">
        <v>9999999</v>
      </c>
      <c r="E363" s="112">
        <v>29464773</v>
      </c>
      <c r="F363" s="81" t="s">
        <v>3886</v>
      </c>
      <c r="G363" s="82" t="s">
        <v>3887</v>
      </c>
      <c r="H363" s="82" t="s">
        <v>3888</v>
      </c>
      <c r="I363" s="82" t="s">
        <v>3103</v>
      </c>
      <c r="J363" s="83" t="e">
        <f>VLOOKUP($C363,CHOOSE({1,2},'[4]Prestações de Conta inadimplent'!$D$9:$D$2000,'[4]Prestações de Conta inadimplent'!$C$9:$C$2000),2,0)</f>
        <v>#N/A</v>
      </c>
      <c r="L363" s="85"/>
      <c r="M363" s="85" t="e">
        <v>#REF!</v>
      </c>
      <c r="T363" s="86"/>
      <c r="U363" s="85"/>
      <c r="V363" s="87"/>
      <c r="W363" s="85"/>
      <c r="X363" s="88"/>
      <c r="Y363" s="89"/>
      <c r="Z363" s="88"/>
      <c r="AA363" s="88"/>
      <c r="AB363" s="88"/>
      <c r="AF363" s="90"/>
      <c r="AK363" s="91"/>
      <c r="AM363" s="92"/>
      <c r="AN363" s="92"/>
      <c r="AO363" s="92"/>
      <c r="AP363" s="92"/>
      <c r="AQ363" s="92"/>
      <c r="AR363" s="92"/>
    </row>
    <row r="364" spans="1:44" s="84" customFormat="1" ht="24" customHeight="1" x14ac:dyDescent="0.3">
      <c r="A364" s="78" t="s">
        <v>3846</v>
      </c>
      <c r="B364" s="79" t="s">
        <v>2275</v>
      </c>
      <c r="C364" s="112">
        <v>1171390</v>
      </c>
      <c r="D364" s="112">
        <v>1103271</v>
      </c>
      <c r="E364" s="112">
        <v>29379423</v>
      </c>
      <c r="F364" s="81" t="s">
        <v>3889</v>
      </c>
      <c r="G364" s="82" t="s">
        <v>3887</v>
      </c>
      <c r="H364" s="82" t="s">
        <v>3890</v>
      </c>
      <c r="I364" s="82" t="s">
        <v>3103</v>
      </c>
      <c r="J364" s="83" t="e">
        <f>VLOOKUP($C364,CHOOSE({1,2},'[4]Prestações de Conta inadimplent'!$D$9:$D$2000,'[4]Prestações de Conta inadimplent'!$C$9:$C$2000),2,0)</f>
        <v>#N/A</v>
      </c>
      <c r="L364" s="85"/>
      <c r="M364" s="85" t="e">
        <v>#REF!</v>
      </c>
      <c r="T364" s="86"/>
      <c r="U364" s="85"/>
      <c r="V364" s="87"/>
      <c r="W364" s="85"/>
      <c r="X364" s="88"/>
      <c r="Y364" s="89"/>
      <c r="Z364" s="89"/>
      <c r="AA364" s="88"/>
      <c r="AB364" s="88"/>
      <c r="AF364" s="90"/>
      <c r="AK364" s="91"/>
      <c r="AM364" s="92"/>
      <c r="AN364" s="92"/>
      <c r="AO364" s="92"/>
      <c r="AP364" s="92"/>
      <c r="AQ364" s="92"/>
      <c r="AR364" s="92"/>
    </row>
    <row r="365" spans="1:44" s="84" customFormat="1" ht="24" customHeight="1" x14ac:dyDescent="0.3">
      <c r="A365" s="78" t="s">
        <v>3846</v>
      </c>
      <c r="B365" s="79" t="s">
        <v>2275</v>
      </c>
      <c r="C365" s="112">
        <v>1177102</v>
      </c>
      <c r="D365" s="112">
        <v>1103274</v>
      </c>
      <c r="E365" s="112">
        <v>29427550</v>
      </c>
      <c r="F365" s="81" t="s">
        <v>2555</v>
      </c>
      <c r="G365" s="82" t="s">
        <v>3887</v>
      </c>
      <c r="H365" s="82" t="s">
        <v>3891</v>
      </c>
      <c r="I365" s="82" t="s">
        <v>3103</v>
      </c>
      <c r="J365" s="83" t="e">
        <f>VLOOKUP($C365,CHOOSE({1,2},'[4]Prestações de Conta inadimplent'!$D$9:$D$2000,'[4]Prestações de Conta inadimplent'!$C$9:$C$2000),2,0)</f>
        <v>#N/A</v>
      </c>
      <c r="L365" s="85"/>
      <c r="M365" s="85" t="e">
        <v>#REF!</v>
      </c>
      <c r="T365" s="86"/>
      <c r="U365" s="85"/>
      <c r="V365" s="87"/>
      <c r="W365" s="85"/>
      <c r="X365" s="88"/>
      <c r="Y365" s="89"/>
      <c r="Z365" s="89"/>
      <c r="AA365" s="88"/>
      <c r="AB365" s="88"/>
      <c r="AF365" s="90"/>
      <c r="AK365" s="91"/>
      <c r="AM365" s="92"/>
      <c r="AN365" s="92"/>
      <c r="AO365" s="92"/>
      <c r="AP365" s="92"/>
      <c r="AQ365" s="92"/>
      <c r="AR365" s="92"/>
    </row>
    <row r="366" spans="1:44" s="84" customFormat="1" ht="24" customHeight="1" x14ac:dyDescent="0.3">
      <c r="A366" s="78" t="s">
        <v>3846</v>
      </c>
      <c r="B366" s="79" t="s">
        <v>2636</v>
      </c>
      <c r="C366" s="112">
        <v>1178086</v>
      </c>
      <c r="D366" s="112">
        <v>1105063</v>
      </c>
      <c r="E366" s="112">
        <v>29431662</v>
      </c>
      <c r="F366" s="81" t="s">
        <v>3892</v>
      </c>
      <c r="G366" s="82" t="s">
        <v>3855</v>
      </c>
      <c r="H366" s="82" t="s">
        <v>3893</v>
      </c>
      <c r="I366" s="82" t="s">
        <v>3122</v>
      </c>
      <c r="J366" s="83" t="str">
        <f>VLOOKUP($C366,CHOOSE({1,2},'[4]Prestações de Conta inadimplent'!$D$9:$D$2000,'[4]Prestações de Conta inadimplent'!$C$9:$C$2000),2,0)</f>
        <v>Colegio Estadual Professora Maria Helena Oliveira</v>
      </c>
      <c r="K366" s="84">
        <v>2</v>
      </c>
      <c r="L366" s="85"/>
      <c r="M366" s="85" t="e">
        <v>#REF!</v>
      </c>
      <c r="T366" s="86"/>
      <c r="U366" s="85"/>
      <c r="V366" s="87"/>
      <c r="W366" s="85"/>
      <c r="X366" s="88"/>
      <c r="Y366" s="89"/>
      <c r="Z366" s="88"/>
      <c r="AA366" s="88"/>
      <c r="AB366" s="88"/>
      <c r="AF366" s="90"/>
      <c r="AK366" s="91"/>
      <c r="AM366" s="92"/>
      <c r="AN366" s="92"/>
      <c r="AO366" s="92"/>
      <c r="AP366" s="92"/>
      <c r="AQ366" s="92"/>
      <c r="AR366" s="92"/>
    </row>
    <row r="367" spans="1:44" s="84" customFormat="1" ht="24" customHeight="1" x14ac:dyDescent="0.3">
      <c r="A367" s="78" t="s">
        <v>3846</v>
      </c>
      <c r="B367" s="79" t="s">
        <v>2207</v>
      </c>
      <c r="C367" s="112">
        <v>1178288</v>
      </c>
      <c r="D367" s="112">
        <v>1105535</v>
      </c>
      <c r="E367" s="112">
        <v>29526809</v>
      </c>
      <c r="F367" s="81" t="s">
        <v>3894</v>
      </c>
      <c r="G367" s="82" t="s">
        <v>3895</v>
      </c>
      <c r="H367" s="82" t="s">
        <v>3896</v>
      </c>
      <c r="I367" s="82" t="s">
        <v>3103</v>
      </c>
      <c r="J367" s="83" t="e">
        <f>VLOOKUP($C367,CHOOSE({1,2},'[4]Prestações de Conta inadimplent'!$D$9:$D$2000,'[4]Prestações de Conta inadimplent'!$C$9:$C$2000),2,0)</f>
        <v>#N/A</v>
      </c>
      <c r="L367" s="85"/>
      <c r="M367" s="85" t="e">
        <v>#REF!</v>
      </c>
      <c r="T367" s="86"/>
      <c r="U367" s="85"/>
      <c r="V367" s="87"/>
      <c r="W367" s="85"/>
      <c r="X367" s="88"/>
      <c r="Y367" s="89"/>
      <c r="Z367" s="89"/>
      <c r="AA367" s="88"/>
      <c r="AB367" s="88"/>
      <c r="AF367" s="90"/>
      <c r="AK367" s="91"/>
      <c r="AM367" s="92"/>
      <c r="AN367" s="92"/>
      <c r="AO367" s="92"/>
      <c r="AP367" s="92"/>
      <c r="AQ367" s="92"/>
      <c r="AR367" s="92"/>
    </row>
    <row r="368" spans="1:44" s="84" customFormat="1" ht="24" customHeight="1" x14ac:dyDescent="0.3">
      <c r="A368" s="78" t="s">
        <v>3846</v>
      </c>
      <c r="B368" s="79" t="s">
        <v>2207</v>
      </c>
      <c r="C368" s="112">
        <v>1130856</v>
      </c>
      <c r="D368" s="112">
        <v>1103342</v>
      </c>
      <c r="E368" s="112">
        <v>29343003</v>
      </c>
      <c r="F368" s="81" t="s">
        <v>3897</v>
      </c>
      <c r="G368" s="82" t="s">
        <v>3895</v>
      </c>
      <c r="H368" s="82" t="s">
        <v>3898</v>
      </c>
      <c r="I368" s="82" t="s">
        <v>3103</v>
      </c>
      <c r="J368" s="83" t="e">
        <f>VLOOKUP($C368,CHOOSE({1,2},'[4]Prestações de Conta inadimplent'!$D$9:$D$2000,'[4]Prestações de Conta inadimplent'!$C$9:$C$2000),2,0)</f>
        <v>#N/A</v>
      </c>
      <c r="L368" s="85"/>
      <c r="M368" s="85" t="e">
        <v>#REF!</v>
      </c>
      <c r="T368" s="86"/>
      <c r="U368" s="85"/>
      <c r="V368" s="87"/>
      <c r="W368" s="85"/>
      <c r="X368" s="88"/>
      <c r="Y368" s="89"/>
      <c r="Z368" s="88"/>
      <c r="AA368" s="88"/>
      <c r="AB368" s="88"/>
      <c r="AF368" s="90"/>
      <c r="AK368" s="91"/>
      <c r="AM368" s="92"/>
      <c r="AN368" s="92"/>
      <c r="AO368" s="92"/>
      <c r="AP368" s="92"/>
      <c r="AQ368" s="92"/>
      <c r="AR368" s="92"/>
    </row>
    <row r="369" spans="1:44" s="84" customFormat="1" ht="24" customHeight="1" x14ac:dyDescent="0.3">
      <c r="A369" s="78" t="s">
        <v>3846</v>
      </c>
      <c r="B369" s="79" t="s">
        <v>114</v>
      </c>
      <c r="C369" s="112">
        <v>1130929</v>
      </c>
      <c r="D369" s="112">
        <v>1103345</v>
      </c>
      <c r="E369" s="112">
        <v>29009197</v>
      </c>
      <c r="F369" s="81" t="s">
        <v>3899</v>
      </c>
      <c r="G369" s="82" t="s">
        <v>3900</v>
      </c>
      <c r="H369" s="82" t="s">
        <v>3901</v>
      </c>
      <c r="I369" s="82" t="s">
        <v>3103</v>
      </c>
      <c r="J369" s="83" t="e">
        <f>VLOOKUP($C369,CHOOSE({1,2},'[4]Prestações de Conta inadimplent'!$D$9:$D$2000,'[4]Prestações de Conta inadimplent'!$C$9:$C$2000),2,0)</f>
        <v>#N/A</v>
      </c>
      <c r="K369" s="84">
        <v>2</v>
      </c>
      <c r="L369" s="85"/>
      <c r="M369" s="85" t="e">
        <v>#REF!</v>
      </c>
      <c r="T369" s="86"/>
      <c r="U369" s="85"/>
      <c r="V369" s="87"/>
      <c r="W369" s="85"/>
      <c r="X369" s="88"/>
      <c r="Y369" s="89"/>
      <c r="Z369" s="88"/>
      <c r="AA369" s="88"/>
      <c r="AB369" s="88"/>
      <c r="AF369" s="90"/>
      <c r="AK369" s="91"/>
      <c r="AM369" s="92"/>
      <c r="AN369" s="92"/>
      <c r="AO369" s="92"/>
      <c r="AP369" s="92"/>
      <c r="AQ369" s="92"/>
      <c r="AR369" s="92"/>
    </row>
    <row r="370" spans="1:44" s="84" customFormat="1" ht="24" customHeight="1" x14ac:dyDescent="0.3">
      <c r="A370" s="78" t="s">
        <v>3846</v>
      </c>
      <c r="B370" s="79" t="s">
        <v>98</v>
      </c>
      <c r="C370" s="112">
        <v>1179619</v>
      </c>
      <c r="D370" s="112">
        <v>9999999</v>
      </c>
      <c r="E370" s="112">
        <v>29470501</v>
      </c>
      <c r="F370" s="81" t="s">
        <v>3902</v>
      </c>
      <c r="G370" s="82" t="s">
        <v>3903</v>
      </c>
      <c r="H370" s="82" t="s">
        <v>3904</v>
      </c>
      <c r="I370" s="82" t="s">
        <v>3122</v>
      </c>
      <c r="J370" s="83" t="str">
        <f>VLOOKUP($C370,CHOOSE({1,2},'[4]Prestações de Conta inadimplent'!$D$9:$D$2000,'[4]Prestações de Conta inadimplent'!$C$9:$C$2000),2,0)</f>
        <v>Colegio Estadual Do Campo Miguel Moreira De Carvalho</v>
      </c>
      <c r="K370" s="84">
        <v>2</v>
      </c>
      <c r="L370" s="85"/>
      <c r="M370" s="85" t="e">
        <v>#REF!</v>
      </c>
      <c r="T370" s="86"/>
      <c r="U370" s="85"/>
      <c r="V370" s="87"/>
      <c r="W370" s="85"/>
      <c r="X370" s="88"/>
      <c r="Y370" s="89"/>
      <c r="Z370" s="89"/>
      <c r="AA370" s="88"/>
      <c r="AB370" s="88"/>
      <c r="AF370" s="90"/>
      <c r="AK370" s="91"/>
      <c r="AM370" s="92"/>
      <c r="AN370" s="92"/>
      <c r="AO370" s="92"/>
      <c r="AP370" s="92"/>
      <c r="AQ370" s="92"/>
      <c r="AR370" s="92"/>
    </row>
    <row r="371" spans="1:44" s="84" customFormat="1" ht="24" customHeight="1" x14ac:dyDescent="0.3">
      <c r="A371" s="78" t="s">
        <v>3846</v>
      </c>
      <c r="B371" s="79" t="s">
        <v>98</v>
      </c>
      <c r="C371" s="112">
        <v>1176129</v>
      </c>
      <c r="D371" s="112">
        <v>1103359</v>
      </c>
      <c r="E371" s="112">
        <v>29336082</v>
      </c>
      <c r="F371" s="81" t="s">
        <v>2185</v>
      </c>
      <c r="G371" s="82" t="s">
        <v>3905</v>
      </c>
      <c r="H371" s="82" t="s">
        <v>3906</v>
      </c>
      <c r="I371" s="82" t="s">
        <v>3122</v>
      </c>
      <c r="J371" s="83" t="str">
        <f>VLOOKUP($C371,CHOOSE({1,2},'[4]Prestações de Conta inadimplent'!$D$9:$D$2000,'[4]Prestações de Conta inadimplent'!$C$9:$C$2000),2,0)</f>
        <v>Colegio Estadual Bento Alves Das Neves</v>
      </c>
      <c r="K371" s="84">
        <v>2</v>
      </c>
      <c r="L371" s="85"/>
      <c r="M371" s="85" t="e">
        <v>#REF!</v>
      </c>
      <c r="T371" s="86"/>
      <c r="U371" s="85"/>
      <c r="V371" s="87"/>
      <c r="W371" s="85"/>
      <c r="X371" s="88"/>
      <c r="Y371" s="89"/>
      <c r="Z371" s="88"/>
      <c r="AA371" s="88"/>
      <c r="AB371" s="88"/>
      <c r="AF371" s="90"/>
      <c r="AK371" s="91"/>
      <c r="AM371" s="92"/>
      <c r="AN371" s="92"/>
      <c r="AO371" s="92"/>
      <c r="AP371" s="92"/>
      <c r="AQ371" s="92"/>
      <c r="AR371" s="92"/>
    </row>
    <row r="372" spans="1:44" s="84" customFormat="1" ht="24" customHeight="1" x14ac:dyDescent="0.3">
      <c r="A372" s="78" t="s">
        <v>3846</v>
      </c>
      <c r="B372" s="79" t="s">
        <v>126</v>
      </c>
      <c r="C372" s="112">
        <v>1165455</v>
      </c>
      <c r="D372" s="112">
        <v>1103368</v>
      </c>
      <c r="E372" s="112">
        <v>29010438</v>
      </c>
      <c r="F372" s="81" t="s">
        <v>3907</v>
      </c>
      <c r="G372" s="82" t="s">
        <v>3908</v>
      </c>
      <c r="H372" s="82" t="s">
        <v>3909</v>
      </c>
      <c r="I372" s="82" t="s">
        <v>3103</v>
      </c>
      <c r="J372" s="83" t="e">
        <f>VLOOKUP($C372,CHOOSE({1,2},'[4]Prestações de Conta inadimplent'!$D$9:$D$2000,'[4]Prestações de Conta inadimplent'!$C$9:$C$2000),2,0)</f>
        <v>#N/A</v>
      </c>
      <c r="L372" s="85"/>
      <c r="M372" s="85" t="e">
        <v>#REF!</v>
      </c>
      <c r="T372" s="86"/>
      <c r="U372" s="85"/>
      <c r="V372" s="87"/>
      <c r="W372" s="85"/>
      <c r="X372" s="88"/>
      <c r="Y372" s="89"/>
      <c r="Z372" s="88"/>
      <c r="AA372" s="88"/>
      <c r="AB372" s="88"/>
      <c r="AF372" s="90"/>
      <c r="AK372" s="91"/>
      <c r="AM372" s="92"/>
      <c r="AN372" s="92"/>
      <c r="AO372" s="92"/>
      <c r="AP372" s="92"/>
      <c r="AQ372" s="92"/>
      <c r="AR372" s="92"/>
    </row>
    <row r="373" spans="1:44" s="84" customFormat="1" ht="24" customHeight="1" x14ac:dyDescent="0.3">
      <c r="A373" s="78" t="s">
        <v>3910</v>
      </c>
      <c r="B373" s="79" t="s">
        <v>2289</v>
      </c>
      <c r="C373" s="112">
        <v>1176443</v>
      </c>
      <c r="D373" s="112">
        <v>1103105</v>
      </c>
      <c r="E373" s="112">
        <v>29384400</v>
      </c>
      <c r="F373" s="81" t="s">
        <v>3911</v>
      </c>
      <c r="G373" s="82" t="s">
        <v>3912</v>
      </c>
      <c r="H373" s="82" t="s">
        <v>3913</v>
      </c>
      <c r="I373" s="82" t="s">
        <v>3103</v>
      </c>
      <c r="J373" s="83" t="e">
        <f>VLOOKUP($C373,CHOOSE({1,2},'[4]Prestações de Conta inadimplent'!$D$9:$D$2000,'[4]Prestações de Conta inadimplent'!$C$9:$C$2000),2,0)</f>
        <v>#N/A</v>
      </c>
      <c r="L373" s="85"/>
      <c r="M373" s="85" t="e">
        <v>#REF!</v>
      </c>
      <c r="T373" s="86"/>
      <c r="U373" s="85"/>
      <c r="V373" s="87"/>
      <c r="W373" s="85"/>
      <c r="X373" s="88"/>
      <c r="Y373" s="89"/>
      <c r="Z373" s="89"/>
      <c r="AA373" s="88"/>
      <c r="AB373" s="88"/>
      <c r="AF373" s="90"/>
      <c r="AK373" s="91"/>
      <c r="AM373" s="92"/>
      <c r="AN373" s="92"/>
      <c r="AO373" s="92"/>
      <c r="AP373" s="92"/>
      <c r="AQ373" s="92"/>
      <c r="AR373" s="92"/>
    </row>
    <row r="374" spans="1:44" s="84" customFormat="1" ht="24" customHeight="1" x14ac:dyDescent="0.3">
      <c r="A374" s="78" t="s">
        <v>3910</v>
      </c>
      <c r="B374" s="79" t="s">
        <v>2285</v>
      </c>
      <c r="C374" s="112">
        <v>1176458</v>
      </c>
      <c r="D374" s="112">
        <v>1103111</v>
      </c>
      <c r="E374" s="112">
        <v>29384389</v>
      </c>
      <c r="F374" s="81" t="s">
        <v>3914</v>
      </c>
      <c r="G374" s="82" t="s">
        <v>3915</v>
      </c>
      <c r="H374" s="82" t="s">
        <v>3916</v>
      </c>
      <c r="I374" s="82" t="s">
        <v>3103</v>
      </c>
      <c r="J374" s="83" t="e">
        <f>VLOOKUP($C374,CHOOSE({1,2},'[4]Prestações de Conta inadimplent'!$D$9:$D$2000,'[4]Prestações de Conta inadimplent'!$C$9:$C$2000),2,0)</f>
        <v>#N/A</v>
      </c>
      <c r="L374" s="85"/>
      <c r="M374" s="85" t="e">
        <v>#REF!</v>
      </c>
      <c r="T374" s="86"/>
      <c r="U374" s="85"/>
      <c r="V374" s="87"/>
      <c r="W374" s="85"/>
      <c r="X374" s="88"/>
      <c r="Y374" s="89"/>
      <c r="Z374" s="89"/>
      <c r="AA374" s="88"/>
      <c r="AB374" s="88"/>
      <c r="AF374" s="90"/>
      <c r="AK374" s="91"/>
      <c r="AM374" s="92"/>
      <c r="AN374" s="92"/>
      <c r="AO374" s="92"/>
      <c r="AP374" s="92"/>
      <c r="AQ374" s="92"/>
      <c r="AR374" s="92"/>
    </row>
    <row r="375" spans="1:44" s="84" customFormat="1" ht="24" customHeight="1" x14ac:dyDescent="0.3">
      <c r="A375" s="78" t="s">
        <v>3910</v>
      </c>
      <c r="B375" s="79" t="s">
        <v>1492</v>
      </c>
      <c r="C375" s="112">
        <v>1167709</v>
      </c>
      <c r="D375" s="112">
        <v>1103112</v>
      </c>
      <c r="E375" s="112">
        <v>29205387</v>
      </c>
      <c r="F375" s="81" t="s">
        <v>334</v>
      </c>
      <c r="G375" s="82" t="s">
        <v>3912</v>
      </c>
      <c r="H375" s="82" t="s">
        <v>3917</v>
      </c>
      <c r="I375" s="82" t="s">
        <v>3103</v>
      </c>
      <c r="J375" s="83" t="e">
        <f>VLOOKUP($C375,CHOOSE({1,2},'[4]Prestações de Conta inadimplent'!$D$9:$D$2000,'[4]Prestações de Conta inadimplent'!$C$9:$C$2000),2,0)</f>
        <v>#N/A</v>
      </c>
      <c r="L375" s="85"/>
      <c r="M375" s="85" t="e">
        <v>#REF!</v>
      </c>
      <c r="T375" s="86"/>
      <c r="U375" s="85"/>
      <c r="V375" s="87"/>
      <c r="W375" s="85"/>
      <c r="X375" s="88"/>
      <c r="Y375" s="89"/>
      <c r="Z375" s="88"/>
      <c r="AA375" s="88"/>
      <c r="AB375" s="88"/>
      <c r="AF375" s="90"/>
      <c r="AK375" s="91"/>
      <c r="AM375" s="92"/>
      <c r="AN375" s="92"/>
      <c r="AO375" s="92"/>
      <c r="AP375" s="92"/>
      <c r="AQ375" s="92"/>
      <c r="AR375" s="92"/>
    </row>
    <row r="376" spans="1:44" s="84" customFormat="1" ht="24" customHeight="1" x14ac:dyDescent="0.3">
      <c r="A376" s="78" t="s">
        <v>3910</v>
      </c>
      <c r="B376" s="79" t="s">
        <v>1678</v>
      </c>
      <c r="C376" s="112">
        <v>1165056</v>
      </c>
      <c r="D376" s="112">
        <v>1103116</v>
      </c>
      <c r="E376" s="112">
        <v>29236606</v>
      </c>
      <c r="F376" s="81" t="s">
        <v>3918</v>
      </c>
      <c r="G376" s="82" t="s">
        <v>3919</v>
      </c>
      <c r="H376" s="82" t="s">
        <v>3920</v>
      </c>
      <c r="I376" s="82" t="s">
        <v>3103</v>
      </c>
      <c r="J376" s="83" t="e">
        <f>VLOOKUP($C376,CHOOSE({1,2},'[4]Prestações de Conta inadimplent'!$D$9:$D$2000,'[4]Prestações de Conta inadimplent'!$C$9:$C$2000),2,0)</f>
        <v>#N/A</v>
      </c>
      <c r="L376" s="85"/>
      <c r="M376" s="85" t="e">
        <v>#REF!</v>
      </c>
      <c r="T376" s="86"/>
      <c r="U376" s="85"/>
      <c r="V376" s="87"/>
      <c r="W376" s="85"/>
      <c r="X376" s="88"/>
      <c r="Y376" s="89"/>
      <c r="Z376" s="88"/>
      <c r="AA376" s="88"/>
      <c r="AB376" s="88"/>
      <c r="AF376" s="90"/>
      <c r="AK376" s="91"/>
      <c r="AM376" s="92"/>
      <c r="AN376" s="92"/>
      <c r="AO376" s="92"/>
      <c r="AP376" s="92"/>
      <c r="AQ376" s="92"/>
      <c r="AR376" s="92"/>
    </row>
    <row r="377" spans="1:44" s="84" customFormat="1" ht="24" customHeight="1" x14ac:dyDescent="0.3">
      <c r="A377" s="78" t="s">
        <v>3910</v>
      </c>
      <c r="B377" s="79" t="s">
        <v>1496</v>
      </c>
      <c r="C377" s="112">
        <v>1127960</v>
      </c>
      <c r="D377" s="112">
        <v>1103123</v>
      </c>
      <c r="E377" s="112">
        <v>29206545</v>
      </c>
      <c r="F377" s="81" t="s">
        <v>3921</v>
      </c>
      <c r="G377" s="82" t="s">
        <v>3912</v>
      </c>
      <c r="H377" s="82" t="s">
        <v>3922</v>
      </c>
      <c r="I377" s="82" t="s">
        <v>3103</v>
      </c>
      <c r="J377" s="83" t="e">
        <f>VLOOKUP($C377,CHOOSE({1,2},'[4]Prestações de Conta inadimplent'!$D$9:$D$2000,'[4]Prestações de Conta inadimplent'!$C$9:$C$2000),2,0)</f>
        <v>#N/A</v>
      </c>
      <c r="L377" s="85"/>
      <c r="M377" s="85" t="e">
        <v>#REF!</v>
      </c>
      <c r="T377" s="86"/>
      <c r="U377" s="85"/>
      <c r="V377" s="87"/>
      <c r="W377" s="85"/>
      <c r="X377" s="88"/>
      <c r="Y377" s="89"/>
      <c r="Z377" s="89"/>
      <c r="AA377" s="88"/>
      <c r="AB377" s="88"/>
      <c r="AF377" s="90"/>
      <c r="AK377" s="91"/>
      <c r="AM377" s="92"/>
      <c r="AN377" s="92"/>
      <c r="AO377" s="92"/>
      <c r="AP377" s="92"/>
      <c r="AQ377" s="92"/>
      <c r="AR377" s="92"/>
    </row>
    <row r="378" spans="1:44" s="84" customFormat="1" ht="24" customHeight="1" x14ac:dyDescent="0.3">
      <c r="A378" s="78" t="s">
        <v>3910</v>
      </c>
      <c r="B378" s="79" t="s">
        <v>1511</v>
      </c>
      <c r="C378" s="112">
        <v>1179717</v>
      </c>
      <c r="D378" s="112">
        <v>9999999</v>
      </c>
      <c r="E378" s="112">
        <v>29483395</v>
      </c>
      <c r="F378" s="81" t="s">
        <v>3923</v>
      </c>
      <c r="G378" s="82" t="s">
        <v>3912</v>
      </c>
      <c r="H378" s="82" t="s">
        <v>3924</v>
      </c>
      <c r="I378" s="82" t="s">
        <v>3103</v>
      </c>
      <c r="J378" s="83" t="e">
        <f>VLOOKUP($C378,CHOOSE({1,2},'[4]Prestações de Conta inadimplent'!$D$9:$D$2000,'[4]Prestações de Conta inadimplent'!$C$9:$C$2000),2,0)</f>
        <v>#N/A</v>
      </c>
      <c r="L378" s="85"/>
      <c r="M378" s="85" t="e">
        <v>#REF!</v>
      </c>
      <c r="T378" s="86"/>
      <c r="U378" s="85"/>
      <c r="V378" s="85"/>
      <c r="W378" s="85"/>
      <c r="X378" s="88"/>
      <c r="Y378" s="89"/>
      <c r="Z378" s="89"/>
      <c r="AA378" s="88"/>
      <c r="AB378" s="88"/>
      <c r="AF378" s="90"/>
      <c r="AK378" s="91"/>
      <c r="AM378" s="92"/>
      <c r="AN378" s="92"/>
      <c r="AO378" s="92"/>
      <c r="AP378" s="92"/>
      <c r="AQ378" s="92"/>
      <c r="AR378" s="92"/>
    </row>
    <row r="379" spans="1:44" s="84" customFormat="1" ht="24" customHeight="1" x14ac:dyDescent="0.3">
      <c r="A379" s="78" t="s">
        <v>3910</v>
      </c>
      <c r="B379" s="79" t="s">
        <v>1511</v>
      </c>
      <c r="C379" s="112">
        <v>1128088</v>
      </c>
      <c r="D379" s="112">
        <v>1103129</v>
      </c>
      <c r="E379" s="112">
        <v>29209439</v>
      </c>
      <c r="F379" s="81" t="s">
        <v>3925</v>
      </c>
      <c r="G379" s="82" t="s">
        <v>3912</v>
      </c>
      <c r="H379" s="82" t="s">
        <v>3926</v>
      </c>
      <c r="I379" s="82" t="s">
        <v>3103</v>
      </c>
      <c r="J379" s="83" t="e">
        <f>VLOOKUP($C379,CHOOSE({1,2},'[4]Prestações de Conta inadimplent'!$D$9:$D$2000,'[4]Prestações de Conta inadimplent'!$C$9:$C$2000),2,0)</f>
        <v>#N/A</v>
      </c>
      <c r="L379" s="85"/>
      <c r="M379" s="85" t="e">
        <v>#REF!</v>
      </c>
      <c r="T379" s="86"/>
      <c r="U379" s="85"/>
      <c r="V379" s="87"/>
      <c r="W379" s="85"/>
      <c r="X379" s="88"/>
      <c r="Y379" s="89"/>
      <c r="Z379" s="89"/>
      <c r="AA379" s="88"/>
      <c r="AB379" s="88"/>
      <c r="AF379" s="90"/>
      <c r="AK379" s="91"/>
      <c r="AM379" s="92"/>
      <c r="AN379" s="92"/>
      <c r="AO379" s="92"/>
      <c r="AP379" s="92"/>
      <c r="AQ379" s="92"/>
      <c r="AR379" s="92"/>
    </row>
    <row r="380" spans="1:44" s="117" customFormat="1" ht="24" customHeight="1" x14ac:dyDescent="0.3">
      <c r="A380" s="102" t="s">
        <v>3910</v>
      </c>
      <c r="B380" s="99" t="s">
        <v>1511</v>
      </c>
      <c r="C380" s="94">
        <v>1128177</v>
      </c>
      <c r="D380" s="94">
        <v>1103130</v>
      </c>
      <c r="E380" s="94">
        <v>29208297</v>
      </c>
      <c r="F380" s="81" t="s">
        <v>3927</v>
      </c>
      <c r="G380" s="82" t="s">
        <v>3912</v>
      </c>
      <c r="H380" s="82" t="s">
        <v>3928</v>
      </c>
      <c r="I380" s="82" t="s">
        <v>3103</v>
      </c>
      <c r="J380" s="83" t="e">
        <f>VLOOKUP($C380,CHOOSE({1,2},'[4]Prestações de Conta inadimplent'!$D$9:$D$2000,'[4]Prestações de Conta inadimplent'!$C$9:$C$2000),2,0)</f>
        <v>#N/A</v>
      </c>
      <c r="L380" s="85"/>
      <c r="M380" s="85" t="e">
        <v>#REF!</v>
      </c>
      <c r="N380" s="84"/>
      <c r="O380" s="84"/>
      <c r="Q380" s="84"/>
      <c r="S380" s="84"/>
      <c r="T380" s="86"/>
      <c r="U380" s="85"/>
      <c r="V380" s="87"/>
      <c r="W380" s="85"/>
      <c r="X380" s="88"/>
      <c r="Y380" s="89"/>
      <c r="Z380" s="89"/>
      <c r="AA380" s="88"/>
      <c r="AB380" s="88"/>
      <c r="AC380" s="84"/>
      <c r="AD380" s="84"/>
      <c r="AE380" s="84"/>
      <c r="AF380" s="90"/>
      <c r="AH380" s="84"/>
      <c r="AI380" s="84"/>
      <c r="AJ380" s="84"/>
      <c r="AK380" s="91"/>
      <c r="AL380" s="84"/>
      <c r="AM380" s="92"/>
      <c r="AN380" s="92"/>
      <c r="AO380" s="92"/>
      <c r="AP380" s="92"/>
      <c r="AQ380" s="92"/>
      <c r="AR380" s="92"/>
    </row>
    <row r="381" spans="1:44" s="84" customFormat="1" ht="24" customHeight="1" x14ac:dyDescent="0.3">
      <c r="A381" s="78" t="s">
        <v>3910</v>
      </c>
      <c r="B381" s="79" t="s">
        <v>1689</v>
      </c>
      <c r="C381" s="112">
        <v>1127731</v>
      </c>
      <c r="D381" s="112">
        <v>1103135</v>
      </c>
      <c r="E381" s="112">
        <v>29239354</v>
      </c>
      <c r="F381" s="81" t="s">
        <v>3929</v>
      </c>
      <c r="G381" s="82" t="s">
        <v>3919</v>
      </c>
      <c r="H381" s="82" t="s">
        <v>3930</v>
      </c>
      <c r="I381" s="82" t="s">
        <v>3103</v>
      </c>
      <c r="J381" s="83" t="e">
        <f>VLOOKUP($C381,CHOOSE({1,2},'[4]Prestações de Conta inadimplent'!$D$9:$D$2000,'[4]Prestações de Conta inadimplent'!$C$9:$C$2000),2,0)</f>
        <v>#N/A</v>
      </c>
      <c r="L381" s="85"/>
      <c r="M381" s="85" t="e">
        <v>#REF!</v>
      </c>
      <c r="T381" s="86"/>
      <c r="U381" s="85"/>
      <c r="V381" s="87"/>
      <c r="W381" s="85"/>
      <c r="X381" s="88"/>
      <c r="Y381" s="89"/>
      <c r="Z381" s="88"/>
      <c r="AA381" s="88"/>
      <c r="AB381" s="88"/>
      <c r="AF381" s="90"/>
      <c r="AH381" s="85"/>
      <c r="AK381" s="91"/>
      <c r="AM381" s="92"/>
      <c r="AN381" s="92"/>
      <c r="AO381" s="92"/>
      <c r="AP381" s="92"/>
      <c r="AQ381" s="92"/>
      <c r="AR381" s="92"/>
    </row>
    <row r="382" spans="1:44" s="84" customFormat="1" ht="24" customHeight="1" x14ac:dyDescent="0.3">
      <c r="A382" s="78" t="s">
        <v>3910</v>
      </c>
      <c r="B382" s="79" t="s">
        <v>1693</v>
      </c>
      <c r="C382" s="112">
        <v>1127707</v>
      </c>
      <c r="D382" s="112">
        <v>1103155</v>
      </c>
      <c r="E382" s="112">
        <v>29240131</v>
      </c>
      <c r="F382" s="81" t="s">
        <v>3931</v>
      </c>
      <c r="G382" s="82" t="s">
        <v>3912</v>
      </c>
      <c r="H382" s="82" t="s">
        <v>3932</v>
      </c>
      <c r="I382" s="82" t="s">
        <v>3103</v>
      </c>
      <c r="J382" s="83" t="e">
        <f>VLOOKUP($C382,CHOOSE({1,2},'[4]Prestações de Conta inadimplent'!$D$9:$D$2000,'[4]Prestações de Conta inadimplent'!$C$9:$C$2000),2,0)</f>
        <v>#N/A</v>
      </c>
      <c r="L382" s="85"/>
      <c r="M382" s="85" t="e">
        <v>#REF!</v>
      </c>
      <c r="T382" s="86"/>
      <c r="U382" s="85"/>
      <c r="V382" s="87"/>
      <c r="W382" s="85"/>
      <c r="X382" s="88"/>
      <c r="Y382" s="89"/>
      <c r="Z382" s="89"/>
      <c r="AA382" s="88"/>
      <c r="AB382" s="88"/>
      <c r="AF382" s="90"/>
      <c r="AK382" s="91"/>
      <c r="AM382" s="92"/>
      <c r="AN382" s="92"/>
      <c r="AO382" s="92"/>
      <c r="AP382" s="92"/>
      <c r="AQ382" s="92"/>
      <c r="AR382" s="92"/>
    </row>
    <row r="383" spans="1:44" s="84" customFormat="1" ht="24" customHeight="1" x14ac:dyDescent="0.3">
      <c r="A383" s="78" t="s">
        <v>3910</v>
      </c>
      <c r="B383" s="79" t="s">
        <v>1693</v>
      </c>
      <c r="C383" s="112">
        <v>1127634</v>
      </c>
      <c r="D383" s="112">
        <v>1103148</v>
      </c>
      <c r="E383" s="112">
        <v>29240530</v>
      </c>
      <c r="F383" s="81" t="s">
        <v>3933</v>
      </c>
      <c r="G383" s="82" t="s">
        <v>3919</v>
      </c>
      <c r="H383" s="82" t="s">
        <v>3934</v>
      </c>
      <c r="I383" s="82" t="s">
        <v>3103</v>
      </c>
      <c r="J383" s="83" t="e">
        <f>VLOOKUP($C383,CHOOSE({1,2},'[4]Prestações de Conta inadimplent'!$D$9:$D$2000,'[4]Prestações de Conta inadimplent'!$C$9:$C$2000),2,0)</f>
        <v>#N/A</v>
      </c>
      <c r="L383" s="85"/>
      <c r="M383" s="85" t="e">
        <v>#REF!</v>
      </c>
      <c r="T383" s="86"/>
      <c r="U383" s="85"/>
      <c r="V383" s="87"/>
      <c r="W383" s="85"/>
      <c r="X383" s="88"/>
      <c r="Y383" s="89"/>
      <c r="Z383" s="89"/>
      <c r="AA383" s="88"/>
      <c r="AB383" s="88"/>
      <c r="AF383" s="90"/>
      <c r="AK383" s="91"/>
      <c r="AM383" s="92"/>
      <c r="AN383" s="92"/>
      <c r="AO383" s="92"/>
      <c r="AP383" s="92"/>
      <c r="AQ383" s="92"/>
      <c r="AR383" s="92"/>
    </row>
    <row r="384" spans="1:44" s="84" customFormat="1" ht="24" customHeight="1" x14ac:dyDescent="0.3">
      <c r="A384" s="78" t="s">
        <v>3935</v>
      </c>
      <c r="B384" s="79" t="s">
        <v>2333</v>
      </c>
      <c r="C384" s="112">
        <v>1123817</v>
      </c>
      <c r="D384" s="112">
        <v>1102752</v>
      </c>
      <c r="E384" s="112">
        <v>29256089</v>
      </c>
      <c r="F384" s="81" t="s">
        <v>3936</v>
      </c>
      <c r="G384" s="82" t="s">
        <v>3937</v>
      </c>
      <c r="H384" s="82" t="s">
        <v>3938</v>
      </c>
      <c r="I384" s="82" t="s">
        <v>3103</v>
      </c>
      <c r="J384" s="83" t="e">
        <f>VLOOKUP($C384,CHOOSE({1,2},'[4]Prestações de Conta inadimplent'!$D$9:$D$2000,'[4]Prestações de Conta inadimplent'!$C$9:$C$2000),2,0)</f>
        <v>#N/A</v>
      </c>
      <c r="L384" s="85"/>
      <c r="M384" s="85" t="e">
        <v>#REF!</v>
      </c>
      <c r="T384" s="86"/>
      <c r="U384" s="85"/>
      <c r="V384" s="87"/>
      <c r="W384" s="85"/>
      <c r="X384" s="88"/>
      <c r="Y384" s="89"/>
      <c r="Z384" s="88"/>
      <c r="AA384" s="88"/>
      <c r="AB384" s="88"/>
      <c r="AF384" s="90"/>
      <c r="AH384" s="85"/>
      <c r="AK384" s="91"/>
      <c r="AM384" s="92"/>
      <c r="AN384" s="92"/>
      <c r="AO384" s="92"/>
      <c r="AP384" s="92"/>
      <c r="AQ384" s="92"/>
      <c r="AR384" s="92"/>
    </row>
    <row r="385" spans="1:44" s="84" customFormat="1" ht="24" customHeight="1" x14ac:dyDescent="0.3">
      <c r="A385" s="78" t="s">
        <v>3935</v>
      </c>
      <c r="B385" s="79" t="s">
        <v>2333</v>
      </c>
      <c r="C385" s="112">
        <v>1176430</v>
      </c>
      <c r="D385" s="112">
        <v>1102765</v>
      </c>
      <c r="E385" s="112">
        <v>29392365</v>
      </c>
      <c r="F385" s="81" t="s">
        <v>3939</v>
      </c>
      <c r="G385" s="82" t="s">
        <v>3937</v>
      </c>
      <c r="H385" s="82" t="s">
        <v>3940</v>
      </c>
      <c r="I385" s="82" t="s">
        <v>3103</v>
      </c>
      <c r="J385" s="83" t="e">
        <f>VLOOKUP($C385,CHOOSE({1,2},'[4]Prestações de Conta inadimplent'!$D$9:$D$2000,'[4]Prestações de Conta inadimplent'!$C$9:$C$2000),2,0)</f>
        <v>#N/A</v>
      </c>
      <c r="L385" s="85"/>
      <c r="M385" s="85" t="e">
        <v>#REF!</v>
      </c>
      <c r="T385" s="86"/>
      <c r="U385" s="85"/>
      <c r="V385" s="87"/>
      <c r="W385" s="85"/>
      <c r="X385" s="88"/>
      <c r="Y385" s="89"/>
      <c r="Z385" s="89"/>
      <c r="AA385" s="88"/>
      <c r="AB385" s="88"/>
      <c r="AF385" s="90"/>
      <c r="AK385" s="91"/>
      <c r="AM385" s="92"/>
      <c r="AN385" s="92"/>
      <c r="AO385" s="92"/>
      <c r="AP385" s="92"/>
      <c r="AQ385" s="92"/>
      <c r="AR385" s="92"/>
    </row>
    <row r="386" spans="1:44" s="84" customFormat="1" ht="24" customHeight="1" x14ac:dyDescent="0.3">
      <c r="A386" s="78" t="s">
        <v>3935</v>
      </c>
      <c r="B386" s="79" t="s">
        <v>1697</v>
      </c>
      <c r="C386" s="112">
        <v>1128371</v>
      </c>
      <c r="D386" s="112">
        <v>1103166</v>
      </c>
      <c r="E386" s="112">
        <v>29240638</v>
      </c>
      <c r="F386" s="81" t="s">
        <v>1698</v>
      </c>
      <c r="G386" s="82" t="s">
        <v>3205</v>
      </c>
      <c r="H386" s="82" t="s">
        <v>3941</v>
      </c>
      <c r="I386" s="82" t="s">
        <v>3122</v>
      </c>
      <c r="J386" s="83" t="str">
        <f>VLOOKUP($C386,CHOOSE({1,2},'[4]Prestações de Conta inadimplent'!$D$9:$D$2000,'[4]Prestações de Conta inadimplent'!$C$9:$C$2000),2,0)</f>
        <v>Colegio Estadual De Tempo Integral Norberto Fernandes</v>
      </c>
      <c r="L386" s="85"/>
      <c r="M386" s="85" t="e">
        <v>#REF!</v>
      </c>
      <c r="T386" s="86"/>
      <c r="U386" s="85"/>
      <c r="V386" s="87"/>
      <c r="W386" s="85"/>
      <c r="X386" s="88"/>
      <c r="Y386" s="89"/>
      <c r="Z386" s="88"/>
      <c r="AA386" s="88"/>
      <c r="AB386" s="88"/>
      <c r="AF386" s="90"/>
      <c r="AK386" s="91"/>
      <c r="AM386" s="92"/>
      <c r="AN386" s="92"/>
      <c r="AO386" s="92"/>
      <c r="AP386" s="92"/>
      <c r="AQ386" s="92"/>
      <c r="AR386" s="92"/>
    </row>
    <row r="387" spans="1:44" s="84" customFormat="1" ht="24" customHeight="1" x14ac:dyDescent="0.3">
      <c r="A387" s="78" t="s">
        <v>3935</v>
      </c>
      <c r="B387" s="79" t="s">
        <v>1701</v>
      </c>
      <c r="C387" s="112">
        <v>1179778</v>
      </c>
      <c r="D387" s="112">
        <v>1103178</v>
      </c>
      <c r="E387" s="112">
        <v>29242231</v>
      </c>
      <c r="F387" s="81" t="s">
        <v>3942</v>
      </c>
      <c r="G387" s="82" t="s">
        <v>3205</v>
      </c>
      <c r="H387" s="82" t="s">
        <v>3943</v>
      </c>
      <c r="I387" s="82" t="s">
        <v>3122</v>
      </c>
      <c r="J387" s="83" t="str">
        <f>VLOOKUP($C387,CHOOSE({1,2},'[4]Prestações de Conta inadimplent'!$D$9:$D$2000,'[4]Prestações de Conta inadimplent'!$C$9:$C$2000),2,0)</f>
        <v>Complexo Integrado De Educ Basica Profis E Tecnologica-ciebtec</v>
      </c>
      <c r="K387" s="95" t="s">
        <v>3834</v>
      </c>
      <c r="L387" s="85"/>
      <c r="M387" s="85" t="e">
        <v>#REF!</v>
      </c>
      <c r="T387" s="86"/>
      <c r="U387" s="85"/>
      <c r="V387" s="87"/>
      <c r="W387" s="85"/>
      <c r="X387" s="88"/>
      <c r="Y387" s="89"/>
      <c r="Z387" s="88"/>
      <c r="AA387" s="88"/>
      <c r="AB387" s="88"/>
      <c r="AF387" s="90"/>
      <c r="AK387" s="91"/>
      <c r="AM387" s="92"/>
      <c r="AN387" s="92"/>
      <c r="AO387" s="92"/>
      <c r="AP387" s="92"/>
      <c r="AQ387" s="92"/>
      <c r="AR387" s="92"/>
    </row>
    <row r="388" spans="1:44" s="84" customFormat="1" ht="24" customHeight="1" x14ac:dyDescent="0.3">
      <c r="A388" s="78" t="s">
        <v>3935</v>
      </c>
      <c r="B388" s="79" t="s">
        <v>1701</v>
      </c>
      <c r="C388" s="112">
        <v>1178115</v>
      </c>
      <c r="D388" s="112">
        <v>1104989</v>
      </c>
      <c r="E388" s="112">
        <v>29433568</v>
      </c>
      <c r="F388" s="81" t="s">
        <v>3944</v>
      </c>
      <c r="G388" s="82" t="s">
        <v>3205</v>
      </c>
      <c r="H388" s="82" t="s">
        <v>3945</v>
      </c>
      <c r="I388" s="82" t="s">
        <v>3103</v>
      </c>
      <c r="J388" s="83" t="e">
        <f>VLOOKUP($C388,CHOOSE({1,2},'[4]Prestações de Conta inadimplent'!$D$9:$D$2000,'[4]Prestações de Conta inadimplent'!$C$9:$C$2000),2,0)</f>
        <v>#N/A</v>
      </c>
      <c r="L388" s="85"/>
      <c r="M388" s="85" t="e">
        <v>#REF!</v>
      </c>
      <c r="T388" s="86"/>
      <c r="U388" s="85"/>
      <c r="V388" s="87"/>
      <c r="W388" s="85"/>
      <c r="X388" s="88"/>
      <c r="Y388" s="89"/>
      <c r="Z388" s="88"/>
      <c r="AA388" s="88"/>
      <c r="AB388" s="88"/>
      <c r="AF388" s="90"/>
      <c r="AK388" s="91"/>
      <c r="AM388" s="92"/>
      <c r="AN388" s="92"/>
      <c r="AO388" s="92"/>
      <c r="AP388" s="92"/>
      <c r="AQ388" s="92"/>
      <c r="AR388" s="92"/>
    </row>
    <row r="389" spans="1:44" s="84" customFormat="1" ht="24" customHeight="1" x14ac:dyDescent="0.3">
      <c r="A389" s="78" t="s">
        <v>3935</v>
      </c>
      <c r="B389" s="79" t="s">
        <v>1701</v>
      </c>
      <c r="C389" s="112">
        <v>1176710</v>
      </c>
      <c r="D389" s="112">
        <v>1103180</v>
      </c>
      <c r="E389" s="112">
        <v>29410134</v>
      </c>
      <c r="F389" s="81" t="s">
        <v>3946</v>
      </c>
      <c r="G389" s="82" t="s">
        <v>3205</v>
      </c>
      <c r="H389" s="82" t="s">
        <v>3947</v>
      </c>
      <c r="I389" s="82" t="s">
        <v>3103</v>
      </c>
      <c r="J389" s="83" t="e">
        <f>VLOOKUP($C389,CHOOSE({1,2},'[4]Prestações de Conta inadimplent'!$D$9:$D$2000,'[4]Prestações de Conta inadimplent'!$C$9:$C$2000),2,0)</f>
        <v>#N/A</v>
      </c>
      <c r="L389" s="85"/>
      <c r="M389" s="85" t="e">
        <v>#REF!</v>
      </c>
      <c r="T389" s="86"/>
      <c r="U389" s="85"/>
      <c r="V389" s="85"/>
      <c r="W389" s="85"/>
      <c r="X389" s="85"/>
      <c r="Y389" s="89"/>
      <c r="Z389" s="89"/>
      <c r="AA389" s="88"/>
      <c r="AB389" s="88"/>
      <c r="AF389" s="90"/>
      <c r="AK389" s="91"/>
      <c r="AM389" s="92"/>
      <c r="AN389" s="92"/>
      <c r="AO389" s="92"/>
      <c r="AP389" s="92"/>
      <c r="AQ389" s="92"/>
      <c r="AR389" s="92"/>
    </row>
    <row r="390" spans="1:44" s="84" customFormat="1" ht="24" customHeight="1" x14ac:dyDescent="0.3">
      <c r="A390" s="78" t="s">
        <v>3935</v>
      </c>
      <c r="B390" s="79" t="s">
        <v>1704</v>
      </c>
      <c r="C390" s="112">
        <v>1170866</v>
      </c>
      <c r="D390" s="112">
        <v>1103707</v>
      </c>
      <c r="E390" s="112">
        <v>29243882</v>
      </c>
      <c r="F390" s="81" t="s">
        <v>3948</v>
      </c>
      <c r="G390" s="82" t="s">
        <v>3949</v>
      </c>
      <c r="H390" s="82" t="s">
        <v>3950</v>
      </c>
      <c r="I390" s="82" t="s">
        <v>3103</v>
      </c>
      <c r="J390" s="83" t="e">
        <f>VLOOKUP($C390,CHOOSE({1,2},'[4]Prestações de Conta inadimplent'!$D$9:$D$2000,'[4]Prestações de Conta inadimplent'!$C$9:$C$2000),2,0)</f>
        <v>#N/A</v>
      </c>
      <c r="L390" s="85"/>
      <c r="M390" s="85" t="e">
        <v>#REF!</v>
      </c>
      <c r="T390" s="86"/>
      <c r="U390" s="85"/>
      <c r="V390" s="87"/>
      <c r="W390" s="85"/>
      <c r="X390" s="88"/>
      <c r="Y390" s="89"/>
      <c r="Z390" s="88"/>
      <c r="AA390" s="88"/>
      <c r="AB390" s="88"/>
      <c r="AF390" s="90"/>
      <c r="AK390" s="91"/>
      <c r="AM390" s="92"/>
      <c r="AN390" s="92"/>
      <c r="AO390" s="92"/>
      <c r="AP390" s="92"/>
      <c r="AQ390" s="92"/>
      <c r="AR390" s="92"/>
    </row>
    <row r="391" spans="1:44" s="84" customFormat="1" ht="24" customHeight="1" x14ac:dyDescent="0.3">
      <c r="A391" s="78" t="s">
        <v>3935</v>
      </c>
      <c r="B391" s="79" t="s">
        <v>1543</v>
      </c>
      <c r="C391" s="112">
        <v>1124163</v>
      </c>
      <c r="D391" s="112">
        <v>1102767</v>
      </c>
      <c r="E391" s="112">
        <v>29214866</v>
      </c>
      <c r="F391" s="81" t="s">
        <v>3951</v>
      </c>
      <c r="G391" s="82" t="s">
        <v>3952</v>
      </c>
      <c r="H391" s="82" t="s">
        <v>3953</v>
      </c>
      <c r="I391" s="82" t="s">
        <v>3103</v>
      </c>
      <c r="J391" s="83" t="e">
        <f>VLOOKUP($C391,CHOOSE({1,2},'[4]Prestações de Conta inadimplent'!$D$9:$D$2000,'[4]Prestações de Conta inadimplent'!$C$9:$C$2000),2,0)</f>
        <v>#N/A</v>
      </c>
      <c r="L391" s="85"/>
      <c r="M391" s="85" t="e">
        <v>#REF!</v>
      </c>
      <c r="T391" s="86"/>
      <c r="U391" s="85"/>
      <c r="V391" s="87"/>
      <c r="W391" s="85"/>
      <c r="X391" s="88"/>
      <c r="Y391" s="89"/>
      <c r="Z391" s="88"/>
      <c r="AA391" s="88"/>
      <c r="AB391" s="88"/>
      <c r="AF391" s="90"/>
      <c r="AK391" s="91"/>
      <c r="AM391" s="92"/>
      <c r="AN391" s="92"/>
      <c r="AO391" s="92"/>
      <c r="AP391" s="92"/>
      <c r="AQ391" s="92"/>
      <c r="AR391" s="92"/>
    </row>
    <row r="392" spans="1:44" s="84" customFormat="1" ht="24" customHeight="1" x14ac:dyDescent="0.3">
      <c r="A392" s="78" t="s">
        <v>3935</v>
      </c>
      <c r="B392" s="79" t="s">
        <v>1681</v>
      </c>
      <c r="C392" s="112">
        <v>1124287</v>
      </c>
      <c r="D392" s="112">
        <v>1102776</v>
      </c>
      <c r="E392" s="112">
        <v>29237629</v>
      </c>
      <c r="F392" s="81" t="s">
        <v>1682</v>
      </c>
      <c r="G392" s="82" t="s">
        <v>3954</v>
      </c>
      <c r="H392" s="82" t="s">
        <v>3955</v>
      </c>
      <c r="I392" s="82" t="s">
        <v>3122</v>
      </c>
      <c r="J392" s="83" t="str">
        <f>VLOOKUP($C392,CHOOSE({1,2},'[4]Prestações de Conta inadimplent'!$D$9:$D$2000,'[4]Prestações de Conta inadimplent'!$C$9:$C$2000),2,0)</f>
        <v>Colegio Estadual De Tempo Integral Jose Caires Araujo</v>
      </c>
      <c r="L392" s="85"/>
      <c r="M392" s="85" t="e">
        <v>#REF!</v>
      </c>
      <c r="T392" s="86"/>
      <c r="U392" s="85"/>
      <c r="V392" s="87"/>
      <c r="W392" s="85"/>
      <c r="X392" s="88"/>
      <c r="Y392" s="89"/>
      <c r="Z392" s="89"/>
      <c r="AA392" s="88"/>
      <c r="AB392" s="88"/>
      <c r="AF392" s="90"/>
      <c r="AK392" s="91"/>
      <c r="AM392" s="92"/>
      <c r="AN392" s="92"/>
      <c r="AO392" s="92"/>
      <c r="AP392" s="92"/>
      <c r="AQ392" s="92"/>
      <c r="AR392" s="92"/>
    </row>
    <row r="393" spans="1:44" s="84" customFormat="1" ht="24" customHeight="1" x14ac:dyDescent="0.3">
      <c r="A393" s="78" t="s">
        <v>3935</v>
      </c>
      <c r="B393" s="79" t="s">
        <v>1708</v>
      </c>
      <c r="C393" s="112">
        <v>1176438</v>
      </c>
      <c r="D393" s="112">
        <v>1103738</v>
      </c>
      <c r="E393" s="112">
        <v>29394414</v>
      </c>
      <c r="F393" s="81" t="s">
        <v>3956</v>
      </c>
      <c r="G393" s="82" t="s">
        <v>3197</v>
      </c>
      <c r="H393" s="82" t="s">
        <v>3957</v>
      </c>
      <c r="I393" s="82" t="s">
        <v>3103</v>
      </c>
      <c r="J393" s="83" t="e">
        <f>VLOOKUP($C393,CHOOSE({1,2},'[4]Prestações de Conta inadimplent'!$D$9:$D$2000,'[4]Prestações de Conta inadimplent'!$C$9:$C$2000),2,0)</f>
        <v>#N/A</v>
      </c>
      <c r="L393" s="85"/>
      <c r="M393" s="85" t="e">
        <v>#REF!</v>
      </c>
      <c r="T393" s="86"/>
      <c r="U393" s="85"/>
      <c r="V393" s="87"/>
      <c r="W393" s="85"/>
      <c r="X393" s="88"/>
      <c r="Y393" s="89"/>
      <c r="Z393" s="89"/>
      <c r="AA393" s="88"/>
      <c r="AB393" s="88"/>
      <c r="AF393" s="90"/>
      <c r="AK393" s="91"/>
      <c r="AM393" s="92"/>
      <c r="AN393" s="92"/>
      <c r="AO393" s="92"/>
      <c r="AP393" s="92"/>
      <c r="AQ393" s="92"/>
      <c r="AR393" s="92"/>
    </row>
    <row r="394" spans="1:44" s="84" customFormat="1" ht="24" customHeight="1" x14ac:dyDescent="0.3">
      <c r="A394" s="78" t="s">
        <v>3935</v>
      </c>
      <c r="B394" s="79" t="s">
        <v>1708</v>
      </c>
      <c r="C394" s="112">
        <v>1129319</v>
      </c>
      <c r="D394" s="112">
        <v>1103734</v>
      </c>
      <c r="E394" s="112">
        <v>29243920</v>
      </c>
      <c r="F394" s="81" t="s">
        <v>3958</v>
      </c>
      <c r="G394" s="82" t="s">
        <v>3197</v>
      </c>
      <c r="H394" s="82" t="s">
        <v>3959</v>
      </c>
      <c r="I394" s="82" t="s">
        <v>3103</v>
      </c>
      <c r="J394" s="83" t="e">
        <f>VLOOKUP($C394,CHOOSE({1,2},'[4]Prestações de Conta inadimplent'!$D$9:$D$2000,'[4]Prestações de Conta inadimplent'!$C$9:$C$2000),2,0)</f>
        <v>#N/A</v>
      </c>
      <c r="L394" s="85"/>
      <c r="M394" s="85" t="e">
        <v>#REF!</v>
      </c>
      <c r="T394" s="86"/>
      <c r="U394" s="85"/>
      <c r="V394" s="87"/>
      <c r="W394" s="85"/>
      <c r="X394" s="88"/>
      <c r="Y394" s="89"/>
      <c r="Z394" s="89"/>
      <c r="AA394" s="88"/>
      <c r="AB394" s="88"/>
      <c r="AF394" s="90"/>
      <c r="AK394" s="91"/>
      <c r="AM394" s="92"/>
      <c r="AN394" s="92"/>
      <c r="AO394" s="92"/>
      <c r="AP394" s="92"/>
      <c r="AQ394" s="92"/>
      <c r="AR394" s="92"/>
    </row>
    <row r="395" spans="1:44" s="84" customFormat="1" ht="24" customHeight="1" x14ac:dyDescent="0.3">
      <c r="A395" s="78" t="s">
        <v>3935</v>
      </c>
      <c r="B395" s="79" t="s">
        <v>1708</v>
      </c>
      <c r="C395" s="112">
        <v>1128606</v>
      </c>
      <c r="D395" s="112">
        <v>1103721</v>
      </c>
      <c r="E395" s="112">
        <v>29243947</v>
      </c>
      <c r="F395" s="81" t="s">
        <v>3960</v>
      </c>
      <c r="G395" s="82" t="s">
        <v>3197</v>
      </c>
      <c r="H395" s="82" t="s">
        <v>3961</v>
      </c>
      <c r="I395" s="82" t="s">
        <v>3103</v>
      </c>
      <c r="J395" s="83" t="e">
        <f>VLOOKUP($C395,CHOOSE({1,2},'[4]Prestações de Conta inadimplent'!$D$9:$D$2000,'[4]Prestações de Conta inadimplent'!$C$9:$C$2000),2,0)</f>
        <v>#N/A</v>
      </c>
      <c r="L395" s="85"/>
      <c r="M395" s="85" t="e">
        <v>#REF!</v>
      </c>
      <c r="T395" s="86"/>
      <c r="U395" s="85"/>
      <c r="V395" s="87"/>
      <c r="W395" s="85"/>
      <c r="X395" s="88"/>
      <c r="Y395" s="89"/>
      <c r="Z395" s="88"/>
      <c r="AA395" s="88"/>
      <c r="AB395" s="88"/>
      <c r="AF395" s="90"/>
      <c r="AK395" s="91"/>
      <c r="AM395" s="92"/>
      <c r="AN395" s="92"/>
      <c r="AO395" s="92"/>
      <c r="AP395" s="92"/>
      <c r="AQ395" s="92"/>
      <c r="AR395" s="92"/>
    </row>
    <row r="396" spans="1:44" s="84" customFormat="1" ht="24" customHeight="1" x14ac:dyDescent="0.3">
      <c r="A396" s="78" t="s">
        <v>3935</v>
      </c>
      <c r="B396" s="79" t="s">
        <v>1708</v>
      </c>
      <c r="C396" s="112">
        <v>1178149</v>
      </c>
      <c r="D396" s="112">
        <v>1105428</v>
      </c>
      <c r="E396" s="112">
        <v>29437814</v>
      </c>
      <c r="F396" s="81" t="s">
        <v>3962</v>
      </c>
      <c r="G396" s="82" t="s">
        <v>3197</v>
      </c>
      <c r="H396" s="82" t="s">
        <v>3963</v>
      </c>
      <c r="I396" s="82" t="s">
        <v>3103</v>
      </c>
      <c r="J396" s="83" t="e">
        <f>VLOOKUP($C396,CHOOSE({1,2},'[4]Prestações de Conta inadimplent'!$D$9:$D$2000,'[4]Prestações de Conta inadimplent'!$C$9:$C$2000),2,0)</f>
        <v>#N/A</v>
      </c>
      <c r="L396" s="85"/>
      <c r="M396" s="85" t="e">
        <v>#REF!</v>
      </c>
      <c r="T396" s="86"/>
      <c r="U396" s="85"/>
      <c r="V396" s="87"/>
      <c r="W396" s="85"/>
      <c r="X396" s="88"/>
      <c r="Y396" s="89"/>
      <c r="Z396" s="89"/>
      <c r="AA396" s="88"/>
      <c r="AB396" s="88"/>
      <c r="AF396" s="90"/>
      <c r="AK396" s="91"/>
      <c r="AM396" s="92"/>
      <c r="AN396" s="92"/>
      <c r="AO396" s="92"/>
      <c r="AP396" s="92"/>
      <c r="AQ396" s="92"/>
      <c r="AR396" s="92"/>
    </row>
    <row r="397" spans="1:44" s="84" customFormat="1" ht="24" customHeight="1" x14ac:dyDescent="0.3">
      <c r="A397" s="78" t="s">
        <v>3935</v>
      </c>
      <c r="B397" s="79" t="s">
        <v>2506</v>
      </c>
      <c r="C397" s="112">
        <v>1178031</v>
      </c>
      <c r="D397" s="112">
        <v>1104303</v>
      </c>
      <c r="E397" s="112">
        <v>29424348</v>
      </c>
      <c r="F397" s="81" t="s">
        <v>3964</v>
      </c>
      <c r="G397" s="82" t="s">
        <v>3965</v>
      </c>
      <c r="H397" s="82" t="s">
        <v>3966</v>
      </c>
      <c r="I397" s="82" t="s">
        <v>3122</v>
      </c>
      <c r="J397" s="83" t="str">
        <f>VLOOKUP($C397,CHOOSE({1,2},'[4]Prestações de Conta inadimplent'!$D$9:$D$2000,'[4]Prestações de Conta inadimplent'!$C$9:$C$2000),2,0)</f>
        <v>Colegio Estadual Antonio Figueiredo</v>
      </c>
      <c r="L397" s="85"/>
      <c r="M397" s="85" t="e">
        <v>#REF!</v>
      </c>
      <c r="T397" s="86"/>
      <c r="U397" s="85"/>
      <c r="V397" s="87"/>
      <c r="W397" s="85"/>
      <c r="X397" s="88"/>
      <c r="Y397" s="89"/>
      <c r="Z397" s="89"/>
      <c r="AA397" s="88"/>
      <c r="AB397" s="88"/>
      <c r="AF397" s="90"/>
      <c r="AH397" s="85"/>
      <c r="AK397" s="91"/>
      <c r="AM397" s="92"/>
      <c r="AN397" s="92"/>
      <c r="AO397" s="92"/>
      <c r="AP397" s="92"/>
      <c r="AQ397" s="92"/>
      <c r="AR397" s="92"/>
    </row>
    <row r="398" spans="1:44" s="84" customFormat="1" ht="24" customHeight="1" x14ac:dyDescent="0.3">
      <c r="A398" s="78" t="s">
        <v>3935</v>
      </c>
      <c r="B398" s="79" t="s">
        <v>1755</v>
      </c>
      <c r="C398" s="112">
        <v>1168039</v>
      </c>
      <c r="D398" s="112">
        <v>1102787</v>
      </c>
      <c r="E398" s="112">
        <v>29260256</v>
      </c>
      <c r="F398" s="81" t="s">
        <v>1756</v>
      </c>
      <c r="G398" s="82" t="s">
        <v>3952</v>
      </c>
      <c r="H398" s="82" t="s">
        <v>3967</v>
      </c>
      <c r="I398" s="82" t="s">
        <v>3103</v>
      </c>
      <c r="J398" s="83" t="e">
        <f>VLOOKUP($C398,CHOOSE({1,2},'[4]Prestações de Conta inadimplent'!$D$9:$D$2000,'[4]Prestações de Conta inadimplent'!$C$9:$C$2000),2,0)</f>
        <v>#N/A</v>
      </c>
      <c r="L398" s="85"/>
      <c r="M398" s="85" t="e">
        <v>#REF!</v>
      </c>
      <c r="T398" s="86"/>
      <c r="U398" s="85"/>
      <c r="V398" s="87"/>
      <c r="W398" s="85"/>
      <c r="X398" s="88"/>
      <c r="Y398" s="89"/>
      <c r="Z398" s="88"/>
      <c r="AA398" s="88"/>
      <c r="AB398" s="88"/>
      <c r="AF398" s="90"/>
      <c r="AK398" s="91"/>
      <c r="AM398" s="92"/>
      <c r="AN398" s="92"/>
      <c r="AO398" s="92"/>
      <c r="AP398" s="92"/>
      <c r="AQ398" s="92"/>
      <c r="AR398" s="92"/>
    </row>
    <row r="399" spans="1:44" s="84" customFormat="1" ht="24" customHeight="1" x14ac:dyDescent="0.3">
      <c r="A399" s="78" t="s">
        <v>3935</v>
      </c>
      <c r="B399" s="79" t="s">
        <v>3968</v>
      </c>
      <c r="C399" s="112">
        <v>1178218</v>
      </c>
      <c r="D399" s="112">
        <v>1105447</v>
      </c>
      <c r="E399" s="112">
        <v>29443334</v>
      </c>
      <c r="F399" s="81" t="s">
        <v>2299</v>
      </c>
      <c r="G399" s="82" t="s">
        <v>3969</v>
      </c>
      <c r="H399" s="82" t="s">
        <v>3970</v>
      </c>
      <c r="I399" s="82" t="s">
        <v>3122</v>
      </c>
      <c r="J399" s="83" t="str">
        <f>VLOOKUP($C399,CHOOSE({1,2},'[4]Prestações de Conta inadimplent'!$D$9:$D$2000,'[4]Prestações de Conta inadimplent'!$C$9:$C$2000),2,0)</f>
        <v>Colegio Estadual Jorge Amado</v>
      </c>
      <c r="K399" s="95" t="s">
        <v>3834</v>
      </c>
      <c r="L399" s="85" t="s">
        <v>3971</v>
      </c>
      <c r="M399" s="85" t="e">
        <v>#REF!</v>
      </c>
      <c r="T399" s="86"/>
      <c r="U399" s="85"/>
      <c r="V399" s="87"/>
      <c r="W399" s="85"/>
      <c r="X399" s="88"/>
      <c r="Y399" s="89"/>
      <c r="Z399" s="89"/>
      <c r="AA399" s="88"/>
      <c r="AB399" s="88"/>
      <c r="AF399" s="90"/>
      <c r="AH399" s="85"/>
      <c r="AK399" s="91"/>
      <c r="AM399" s="92"/>
      <c r="AN399" s="92"/>
      <c r="AO399" s="92"/>
      <c r="AP399" s="92"/>
      <c r="AQ399" s="92"/>
      <c r="AR399" s="92"/>
    </row>
    <row r="400" spans="1:44" s="84" customFormat="1" ht="24" customHeight="1" x14ac:dyDescent="0.3">
      <c r="A400" s="78" t="s">
        <v>3935</v>
      </c>
      <c r="B400" s="79" t="s">
        <v>1715</v>
      </c>
      <c r="C400" s="112">
        <v>1140606</v>
      </c>
      <c r="D400" s="112">
        <v>1103206</v>
      </c>
      <c r="E400" s="112">
        <v>29248132</v>
      </c>
      <c r="F400" s="81" t="s">
        <v>3972</v>
      </c>
      <c r="G400" s="82" t="s">
        <v>3205</v>
      </c>
      <c r="H400" s="82" t="s">
        <v>3973</v>
      </c>
      <c r="I400" s="82" t="s">
        <v>3103</v>
      </c>
      <c r="J400" s="83" t="e">
        <f>VLOOKUP($C400,CHOOSE({1,2},'[4]Prestações de Conta inadimplent'!$D$9:$D$2000,'[4]Prestações de Conta inadimplent'!$C$9:$C$2000),2,0)</f>
        <v>#N/A</v>
      </c>
      <c r="L400" s="85"/>
      <c r="M400" s="85" t="e">
        <v>#REF!</v>
      </c>
      <c r="T400" s="86"/>
      <c r="U400" s="85"/>
      <c r="V400" s="87"/>
      <c r="W400" s="85"/>
      <c r="X400" s="88"/>
      <c r="Y400" s="89"/>
      <c r="Z400" s="89"/>
      <c r="AA400" s="88"/>
      <c r="AB400" s="88"/>
      <c r="AF400" s="90"/>
      <c r="AK400" s="91"/>
      <c r="AM400" s="92"/>
      <c r="AN400" s="92"/>
      <c r="AO400" s="92"/>
      <c r="AP400" s="92"/>
      <c r="AQ400" s="92"/>
      <c r="AR400" s="92"/>
    </row>
    <row r="401" spans="1:44" s="84" customFormat="1" ht="24" customHeight="1" x14ac:dyDescent="0.3">
      <c r="A401" s="78" t="s">
        <v>3935</v>
      </c>
      <c r="B401" s="79" t="s">
        <v>1685</v>
      </c>
      <c r="C401" s="112">
        <v>1173130</v>
      </c>
      <c r="D401" s="112">
        <v>1102815</v>
      </c>
      <c r="E401" s="112">
        <v>29237645</v>
      </c>
      <c r="F401" s="81" t="s">
        <v>3974</v>
      </c>
      <c r="G401" s="82" t="s">
        <v>3975</v>
      </c>
      <c r="H401" s="82" t="s">
        <v>3976</v>
      </c>
      <c r="I401" s="82" t="s">
        <v>3103</v>
      </c>
      <c r="J401" s="83" t="e">
        <f>VLOOKUP($C401,CHOOSE({1,2},'[4]Prestações de Conta inadimplent'!$D$9:$D$2000,'[4]Prestações de Conta inadimplent'!$C$9:$C$2000),2,0)</f>
        <v>#N/A</v>
      </c>
      <c r="L401" s="85"/>
      <c r="M401" s="85" t="e">
        <v>#REF!</v>
      </c>
      <c r="T401" s="86"/>
      <c r="U401" s="85"/>
      <c r="V401" s="87"/>
      <c r="W401" s="85"/>
      <c r="X401" s="88"/>
      <c r="Y401" s="89"/>
      <c r="Z401" s="89"/>
      <c r="AA401" s="88"/>
      <c r="AB401" s="88"/>
      <c r="AF401" s="90"/>
      <c r="AH401" s="85"/>
      <c r="AK401" s="91"/>
      <c r="AM401" s="92"/>
      <c r="AN401" s="92"/>
      <c r="AO401" s="92"/>
      <c r="AP401" s="92"/>
      <c r="AQ401" s="92"/>
      <c r="AR401" s="92"/>
    </row>
    <row r="402" spans="1:44" s="84" customFormat="1" ht="24" customHeight="1" x14ac:dyDescent="0.3">
      <c r="A402" s="78" t="s">
        <v>3935</v>
      </c>
      <c r="B402" s="79" t="s">
        <v>3977</v>
      </c>
      <c r="C402" s="112">
        <v>1124635</v>
      </c>
      <c r="D402" s="112">
        <v>1102818</v>
      </c>
      <c r="E402" s="112">
        <v>29261660</v>
      </c>
      <c r="F402" s="81" t="s">
        <v>3978</v>
      </c>
      <c r="G402" s="82" t="s">
        <v>3937</v>
      </c>
      <c r="H402" s="82" t="s">
        <v>3979</v>
      </c>
      <c r="I402" s="82" t="s">
        <v>3122</v>
      </c>
      <c r="J402" s="83" t="str">
        <f>VLOOKUP($C402,CHOOSE({1,2},'[4]Prestações de Conta inadimplent'!$D$9:$D$2000,'[4]Prestações de Conta inadimplent'!$C$9:$C$2000),2,0)</f>
        <v>Colegio Estadual De Malhada De Pedras</v>
      </c>
      <c r="L402" s="85"/>
      <c r="M402" s="85" t="e">
        <v>#REF!</v>
      </c>
      <c r="T402" s="86"/>
      <c r="U402" s="85"/>
      <c r="V402" s="87"/>
      <c r="W402" s="85"/>
      <c r="X402" s="88"/>
      <c r="Y402" s="89"/>
      <c r="Z402" s="89"/>
      <c r="AA402" s="88"/>
      <c r="AB402" s="88"/>
      <c r="AF402" s="90"/>
      <c r="AK402" s="91"/>
      <c r="AM402" s="92"/>
      <c r="AN402" s="92"/>
      <c r="AO402" s="92"/>
      <c r="AP402" s="92"/>
      <c r="AQ402" s="92"/>
      <c r="AR402" s="92"/>
    </row>
    <row r="403" spans="1:44" s="84" customFormat="1" ht="24" customHeight="1" x14ac:dyDescent="0.3">
      <c r="A403" s="78" t="s">
        <v>3935</v>
      </c>
      <c r="B403" s="79" t="s">
        <v>1727</v>
      </c>
      <c r="C403" s="112">
        <v>1129130</v>
      </c>
      <c r="D403" s="112">
        <v>1103745</v>
      </c>
      <c r="E403" s="112">
        <v>29251648</v>
      </c>
      <c r="F403" s="81" t="s">
        <v>3980</v>
      </c>
      <c r="G403" s="82" t="s">
        <v>3197</v>
      </c>
      <c r="H403" s="82" t="s">
        <v>3981</v>
      </c>
      <c r="I403" s="82" t="s">
        <v>3122</v>
      </c>
      <c r="J403" s="83" t="str">
        <f>VLOOKUP($C403,CHOOSE({1,2},'[4]Prestações de Conta inadimplent'!$D$9:$D$2000,'[4]Prestações de Conta inadimplent'!$C$9:$C$2000),2,0)</f>
        <v>Colegio Estadual Anisio Teixeira</v>
      </c>
      <c r="L403" s="85"/>
      <c r="M403" s="85" t="e">
        <v>#REF!</v>
      </c>
      <c r="T403" s="86"/>
      <c r="U403" s="85"/>
      <c r="V403" s="87"/>
      <c r="W403" s="85"/>
      <c r="X403" s="88"/>
      <c r="Y403" s="89"/>
      <c r="Z403" s="88"/>
      <c r="AA403" s="88"/>
      <c r="AB403" s="88"/>
      <c r="AF403" s="90"/>
      <c r="AK403" s="91"/>
      <c r="AM403" s="92"/>
      <c r="AN403" s="92"/>
      <c r="AO403" s="92"/>
      <c r="AP403" s="92"/>
      <c r="AQ403" s="92"/>
      <c r="AR403" s="92"/>
    </row>
    <row r="404" spans="1:44" s="84" customFormat="1" ht="24" customHeight="1" x14ac:dyDescent="0.3">
      <c r="A404" s="78" t="s">
        <v>3935</v>
      </c>
      <c r="B404" s="79" t="s">
        <v>2247</v>
      </c>
      <c r="C404" s="112">
        <v>1176379</v>
      </c>
      <c r="D404" s="112">
        <v>1103752</v>
      </c>
      <c r="E404" s="112">
        <v>29359805</v>
      </c>
      <c r="F404" s="81" t="s">
        <v>3982</v>
      </c>
      <c r="G404" s="82" t="s">
        <v>3197</v>
      </c>
      <c r="H404" s="82" t="s">
        <v>3983</v>
      </c>
      <c r="I404" s="82" t="s">
        <v>3103</v>
      </c>
      <c r="J404" s="83" t="e">
        <f>VLOOKUP($C404,CHOOSE({1,2},'[4]Prestações de Conta inadimplent'!$D$9:$D$2000,'[4]Prestações de Conta inadimplent'!$C$9:$C$2000),2,0)</f>
        <v>#N/A</v>
      </c>
      <c r="L404" s="85"/>
      <c r="M404" s="85" t="e">
        <v>#REF!</v>
      </c>
      <c r="T404" s="86"/>
      <c r="U404" s="85"/>
      <c r="V404" s="87"/>
      <c r="W404" s="85"/>
      <c r="X404" s="88"/>
      <c r="Y404" s="89"/>
      <c r="Z404" s="89"/>
      <c r="AA404" s="88"/>
      <c r="AB404" s="88"/>
      <c r="AF404" s="90"/>
      <c r="AK404" s="91"/>
      <c r="AM404" s="92"/>
      <c r="AN404" s="92"/>
      <c r="AO404" s="92"/>
      <c r="AP404" s="92"/>
      <c r="AQ404" s="92"/>
      <c r="AR404" s="92"/>
    </row>
    <row r="405" spans="1:44" s="84" customFormat="1" ht="24" customHeight="1" x14ac:dyDescent="0.3">
      <c r="A405" s="78" t="s">
        <v>3935</v>
      </c>
      <c r="B405" s="79" t="s">
        <v>1766</v>
      </c>
      <c r="C405" s="112">
        <v>1129416</v>
      </c>
      <c r="D405" s="112">
        <v>1103229</v>
      </c>
      <c r="E405" s="112">
        <v>29264049</v>
      </c>
      <c r="F405" s="81" t="s">
        <v>3984</v>
      </c>
      <c r="G405" s="82" t="s">
        <v>3205</v>
      </c>
      <c r="H405" s="82" t="s">
        <v>3985</v>
      </c>
      <c r="I405" s="82" t="s">
        <v>3122</v>
      </c>
      <c r="J405" s="83" t="str">
        <f>VLOOKUP($C405,CHOOSE({1,2},'[4]Prestações de Conta inadimplent'!$D$9:$D$2000,'[4]Prestações de Conta inadimplent'!$C$9:$C$2000),2,0)</f>
        <v>Colegio Estadual Professora Lia Publio De Castro</v>
      </c>
      <c r="L405" s="85"/>
      <c r="M405" s="85" t="e">
        <v>#REF!</v>
      </c>
      <c r="T405" s="86"/>
      <c r="U405" s="85"/>
      <c r="V405" s="87"/>
      <c r="W405" s="85"/>
      <c r="X405" s="88"/>
      <c r="Y405" s="89"/>
      <c r="Z405" s="89"/>
      <c r="AA405" s="88"/>
      <c r="AB405" s="88"/>
      <c r="AF405" s="90"/>
      <c r="AH405" s="85"/>
      <c r="AK405" s="91"/>
      <c r="AM405" s="92"/>
      <c r="AN405" s="92"/>
      <c r="AO405" s="92"/>
      <c r="AP405" s="92"/>
      <c r="AQ405" s="92"/>
      <c r="AR405" s="92"/>
    </row>
    <row r="406" spans="1:44" s="84" customFormat="1" ht="24" customHeight="1" x14ac:dyDescent="0.3">
      <c r="A406" s="78" t="s">
        <v>3935</v>
      </c>
      <c r="B406" s="79" t="s">
        <v>1766</v>
      </c>
      <c r="C406" s="112">
        <v>1176197</v>
      </c>
      <c r="D406" s="112">
        <v>1103232</v>
      </c>
      <c r="E406" s="112">
        <v>29263972</v>
      </c>
      <c r="F406" s="81" t="s">
        <v>3986</v>
      </c>
      <c r="G406" s="82" t="s">
        <v>3205</v>
      </c>
      <c r="H406" s="82" t="s">
        <v>3987</v>
      </c>
      <c r="I406" s="82" t="s">
        <v>3103</v>
      </c>
      <c r="J406" s="83" t="e">
        <f>VLOOKUP($C406,CHOOSE({1,2},'[4]Prestações de Conta inadimplent'!$D$9:$D$2000,'[4]Prestações de Conta inadimplent'!$C$9:$C$2000),2,0)</f>
        <v>#N/A</v>
      </c>
      <c r="L406" s="85"/>
      <c r="M406" s="85" t="e">
        <v>#REF!</v>
      </c>
      <c r="T406" s="86"/>
      <c r="U406" s="85"/>
      <c r="V406" s="87"/>
      <c r="W406" s="85"/>
      <c r="X406" s="88"/>
      <c r="Y406" s="89"/>
      <c r="Z406" s="89"/>
      <c r="AA406" s="88"/>
      <c r="AB406" s="88"/>
      <c r="AF406" s="90"/>
      <c r="AK406" s="91"/>
      <c r="AM406" s="92"/>
      <c r="AN406" s="92"/>
      <c r="AO406" s="92"/>
      <c r="AP406" s="92"/>
      <c r="AQ406" s="92"/>
      <c r="AR406" s="92"/>
    </row>
    <row r="407" spans="1:44" s="84" customFormat="1" ht="24" customHeight="1" x14ac:dyDescent="0.3">
      <c r="A407" s="78" t="s">
        <v>3935</v>
      </c>
      <c r="B407" s="79" t="s">
        <v>1735</v>
      </c>
      <c r="C407" s="112">
        <v>1129432</v>
      </c>
      <c r="D407" s="112">
        <v>1103753</v>
      </c>
      <c r="E407" s="112">
        <v>29254396</v>
      </c>
      <c r="F407" s="81" t="s">
        <v>3988</v>
      </c>
      <c r="G407" s="82" t="s">
        <v>3197</v>
      </c>
      <c r="H407" s="82" t="s">
        <v>3989</v>
      </c>
      <c r="I407" s="82" t="s">
        <v>3103</v>
      </c>
      <c r="J407" s="83" t="e">
        <f>VLOOKUP($C407,CHOOSE({1,2},'[4]Prestações de Conta inadimplent'!$D$9:$D$2000,'[4]Prestações de Conta inadimplent'!$C$9:$C$2000),2,0)</f>
        <v>#N/A</v>
      </c>
      <c r="L407" s="85"/>
      <c r="M407" s="85" t="e">
        <v>#REF!</v>
      </c>
      <c r="T407" s="86"/>
      <c r="U407" s="85"/>
      <c r="V407" s="87"/>
      <c r="W407" s="85"/>
      <c r="X407" s="88"/>
      <c r="Y407" s="89"/>
      <c r="Z407" s="88"/>
      <c r="AA407" s="88"/>
      <c r="AB407" s="88"/>
      <c r="AF407" s="90"/>
      <c r="AK407" s="91"/>
      <c r="AM407" s="92"/>
      <c r="AN407" s="92"/>
      <c r="AO407" s="92"/>
      <c r="AP407" s="92"/>
      <c r="AQ407" s="92"/>
      <c r="AR407" s="92"/>
    </row>
    <row r="408" spans="1:44" s="84" customFormat="1" ht="24" customHeight="1" x14ac:dyDescent="0.3">
      <c r="A408" s="78" t="s">
        <v>3935</v>
      </c>
      <c r="B408" s="79" t="s">
        <v>2480</v>
      </c>
      <c r="C408" s="112">
        <v>1178173</v>
      </c>
      <c r="D408" s="112">
        <v>1102830</v>
      </c>
      <c r="E408" s="112">
        <v>29442095</v>
      </c>
      <c r="F408" s="81" t="s">
        <v>3990</v>
      </c>
      <c r="G408" s="82" t="s">
        <v>3952</v>
      </c>
      <c r="H408" s="82" t="s">
        <v>3991</v>
      </c>
      <c r="I408" s="82" t="s">
        <v>3103</v>
      </c>
      <c r="J408" s="83" t="e">
        <f>VLOOKUP($C408,CHOOSE({1,2},'[4]Prestações de Conta inadimplent'!$D$9:$D$2000,'[4]Prestações de Conta inadimplent'!$C$9:$C$2000),2,0)</f>
        <v>#N/A</v>
      </c>
      <c r="L408" s="85"/>
      <c r="M408" s="85" t="e">
        <v>#REF!</v>
      </c>
      <c r="T408" s="86"/>
      <c r="U408" s="85"/>
      <c r="V408" s="87"/>
      <c r="W408" s="85"/>
      <c r="X408" s="88"/>
      <c r="Y408" s="89"/>
      <c r="Z408" s="89"/>
      <c r="AA408" s="88"/>
      <c r="AB408" s="88"/>
      <c r="AF408" s="90"/>
      <c r="AK408" s="91"/>
      <c r="AM408" s="92"/>
      <c r="AN408" s="92"/>
      <c r="AO408" s="92"/>
      <c r="AP408" s="92"/>
      <c r="AQ408" s="92"/>
      <c r="AR408" s="92"/>
    </row>
    <row r="409" spans="1:44" s="84" customFormat="1" ht="24" customHeight="1" x14ac:dyDescent="0.3">
      <c r="A409" s="78" t="s">
        <v>3935</v>
      </c>
      <c r="B409" s="79" t="s">
        <v>2480</v>
      </c>
      <c r="C409" s="112">
        <v>1177101</v>
      </c>
      <c r="D409" s="112">
        <v>1102836</v>
      </c>
      <c r="E409" s="112">
        <v>29422167</v>
      </c>
      <c r="F409" s="81" t="s">
        <v>2481</v>
      </c>
      <c r="G409" s="82" t="s">
        <v>3952</v>
      </c>
      <c r="H409" s="82" t="s">
        <v>3992</v>
      </c>
      <c r="I409" s="82" t="s">
        <v>3103</v>
      </c>
      <c r="J409" s="83" t="e">
        <f>VLOOKUP($C409,CHOOSE({1,2},'[4]Prestações de Conta inadimplent'!$D$9:$D$2000,'[4]Prestações de Conta inadimplent'!$C$9:$C$2000),2,0)</f>
        <v>#N/A</v>
      </c>
      <c r="L409" s="85"/>
      <c r="M409" s="85" t="e">
        <v>#REF!</v>
      </c>
      <c r="T409" s="86"/>
      <c r="U409" s="85"/>
      <c r="V409" s="87"/>
      <c r="W409" s="85"/>
      <c r="X409" s="88"/>
      <c r="Y409" s="89"/>
      <c r="Z409" s="88"/>
      <c r="AA409" s="88"/>
      <c r="AB409" s="88"/>
      <c r="AF409" s="90"/>
      <c r="AH409" s="85"/>
      <c r="AK409" s="91"/>
      <c r="AM409" s="92"/>
      <c r="AN409" s="92"/>
      <c r="AO409" s="92"/>
      <c r="AP409" s="92"/>
      <c r="AQ409" s="92"/>
      <c r="AR409" s="92"/>
    </row>
    <row r="410" spans="1:44" s="84" customFormat="1" ht="24" customHeight="1" x14ac:dyDescent="0.3">
      <c r="A410" s="78" t="s">
        <v>3935</v>
      </c>
      <c r="B410" s="79" t="s">
        <v>1527</v>
      </c>
      <c r="C410" s="112">
        <v>1127910</v>
      </c>
      <c r="D410" s="112">
        <v>1103159</v>
      </c>
      <c r="E410" s="112">
        <v>29210950</v>
      </c>
      <c r="F410" s="81" t="s">
        <v>3993</v>
      </c>
      <c r="G410" s="82" t="s">
        <v>3994</v>
      </c>
      <c r="H410" s="82" t="s">
        <v>3995</v>
      </c>
      <c r="I410" s="82" t="s">
        <v>3103</v>
      </c>
      <c r="J410" s="83" t="e">
        <f>VLOOKUP($C410,CHOOSE({1,2},'[4]Prestações de Conta inadimplent'!$D$9:$D$2000,'[4]Prestações de Conta inadimplent'!$C$9:$C$2000),2,0)</f>
        <v>#N/A</v>
      </c>
      <c r="L410" s="85"/>
      <c r="M410" s="85" t="e">
        <v>#REF!</v>
      </c>
      <c r="T410" s="86"/>
      <c r="U410" s="85"/>
      <c r="V410" s="87"/>
      <c r="W410" s="85"/>
      <c r="X410" s="88"/>
      <c r="Y410" s="89"/>
      <c r="Z410" s="88"/>
      <c r="AA410" s="88"/>
      <c r="AB410" s="88"/>
      <c r="AF410" s="90"/>
      <c r="AK410" s="91"/>
      <c r="AM410" s="92"/>
      <c r="AN410" s="92"/>
      <c r="AO410" s="92"/>
      <c r="AP410" s="92"/>
      <c r="AQ410" s="92"/>
      <c r="AR410" s="92"/>
    </row>
    <row r="411" spans="1:44" s="84" customFormat="1" ht="24" customHeight="1" x14ac:dyDescent="0.3">
      <c r="A411" s="78" t="s">
        <v>3935</v>
      </c>
      <c r="B411" s="79" t="s">
        <v>1739</v>
      </c>
      <c r="C411" s="112">
        <v>1137346</v>
      </c>
      <c r="D411" s="112">
        <v>1103762</v>
      </c>
      <c r="E411" s="112">
        <v>29254426</v>
      </c>
      <c r="F411" s="81" t="s">
        <v>3996</v>
      </c>
      <c r="G411" s="82" t="s">
        <v>3997</v>
      </c>
      <c r="H411" s="82" t="s">
        <v>3998</v>
      </c>
      <c r="I411" s="82" t="s">
        <v>3103</v>
      </c>
      <c r="J411" s="83" t="e">
        <f>VLOOKUP($C411,CHOOSE({1,2},'[4]Prestações de Conta inadimplent'!$D$9:$D$2000,'[4]Prestações de Conta inadimplent'!$C$9:$C$2000),2,0)</f>
        <v>#N/A</v>
      </c>
      <c r="L411" s="85"/>
      <c r="M411" s="85" t="e">
        <v>#REF!</v>
      </c>
      <c r="T411" s="86"/>
      <c r="U411" s="85"/>
      <c r="V411" s="87"/>
      <c r="W411" s="85"/>
      <c r="X411" s="88"/>
      <c r="Y411" s="89"/>
      <c r="Z411" s="89"/>
      <c r="AA411" s="88"/>
      <c r="AB411" s="88"/>
      <c r="AF411" s="90"/>
      <c r="AK411" s="91"/>
      <c r="AM411" s="92"/>
      <c r="AN411" s="92"/>
      <c r="AO411" s="92"/>
      <c r="AP411" s="92"/>
      <c r="AQ411" s="92"/>
      <c r="AR411" s="92"/>
    </row>
    <row r="412" spans="1:44" s="84" customFormat="1" ht="24" customHeight="1" x14ac:dyDescent="0.3">
      <c r="A412" s="78" t="s">
        <v>3999</v>
      </c>
      <c r="B412" s="79" t="s">
        <v>462</v>
      </c>
      <c r="C412" s="112">
        <v>1179112</v>
      </c>
      <c r="D412" s="112">
        <v>1105599</v>
      </c>
      <c r="E412" s="112">
        <v>29450837</v>
      </c>
      <c r="F412" s="81" t="s">
        <v>4000</v>
      </c>
      <c r="G412" s="82" t="s">
        <v>4001</v>
      </c>
      <c r="H412" s="82" t="s">
        <v>4002</v>
      </c>
      <c r="I412" s="82" t="s">
        <v>3122</v>
      </c>
      <c r="J412" s="83" t="str">
        <f>VLOOKUP($C412,CHOOSE({1,2},'[4]Prestações de Conta inadimplent'!$D$9:$D$2000,'[4]Prestações de Conta inadimplent'!$C$9:$C$2000),2,0)</f>
        <v>Colegio Estadual Do Campo Aloisio Damasceno De Jesus</v>
      </c>
      <c r="L412" s="85"/>
      <c r="M412" s="85" t="e">
        <v>#REF!</v>
      </c>
      <c r="T412" s="86"/>
      <c r="U412" s="85"/>
      <c r="V412" s="87"/>
      <c r="W412" s="85"/>
      <c r="X412" s="88"/>
      <c r="Y412" s="89"/>
      <c r="Z412" s="89"/>
      <c r="AA412" s="88"/>
      <c r="AB412" s="88"/>
      <c r="AF412" s="90"/>
      <c r="AK412" s="91"/>
      <c r="AM412" s="92"/>
      <c r="AN412" s="92"/>
      <c r="AO412" s="92"/>
      <c r="AP412" s="92"/>
      <c r="AQ412" s="92"/>
      <c r="AR412" s="92"/>
    </row>
    <row r="413" spans="1:44" s="84" customFormat="1" ht="24" customHeight="1" x14ac:dyDescent="0.3">
      <c r="A413" s="78" t="s">
        <v>3999</v>
      </c>
      <c r="B413" s="79" t="s">
        <v>462</v>
      </c>
      <c r="C413" s="112">
        <v>1123183</v>
      </c>
      <c r="D413" s="112">
        <v>1102666</v>
      </c>
      <c r="E413" s="112">
        <v>29081815</v>
      </c>
      <c r="F413" s="81" t="s">
        <v>4003</v>
      </c>
      <c r="G413" s="82" t="s">
        <v>4001</v>
      </c>
      <c r="H413" s="82" t="s">
        <v>4004</v>
      </c>
      <c r="I413" s="82" t="s">
        <v>3103</v>
      </c>
      <c r="J413" s="83" t="e">
        <f>VLOOKUP($C413,CHOOSE({1,2},'[4]Prestações de Conta inadimplent'!$D$9:$D$2000,'[4]Prestações de Conta inadimplent'!$C$9:$C$2000),2,0)</f>
        <v>#N/A</v>
      </c>
      <c r="L413" s="85"/>
      <c r="M413" s="85" t="e">
        <v>#REF!</v>
      </c>
      <c r="T413" s="86"/>
      <c r="U413" s="85"/>
      <c r="V413" s="87"/>
      <c r="W413" s="85"/>
      <c r="X413" s="88"/>
      <c r="Y413" s="89"/>
      <c r="Z413" s="89"/>
      <c r="AA413" s="88"/>
      <c r="AB413" s="88"/>
      <c r="AF413" s="90"/>
      <c r="AK413" s="91"/>
      <c r="AM413" s="92"/>
      <c r="AN413" s="92"/>
      <c r="AO413" s="92"/>
      <c r="AP413" s="92"/>
      <c r="AQ413" s="92"/>
      <c r="AR413" s="92"/>
    </row>
    <row r="414" spans="1:44" s="84" customFormat="1" ht="24" customHeight="1" x14ac:dyDescent="0.3">
      <c r="A414" s="78" t="s">
        <v>3999</v>
      </c>
      <c r="B414" s="79" t="s">
        <v>462</v>
      </c>
      <c r="C414" s="112">
        <v>1123159</v>
      </c>
      <c r="D414" s="112">
        <v>1102662</v>
      </c>
      <c r="E414" s="112">
        <v>29081319</v>
      </c>
      <c r="F414" s="81" t="s">
        <v>4005</v>
      </c>
      <c r="G414" s="82" t="s">
        <v>4001</v>
      </c>
      <c r="H414" s="82" t="s">
        <v>4006</v>
      </c>
      <c r="I414" s="82" t="s">
        <v>3122</v>
      </c>
      <c r="J414" s="83" t="str">
        <f>VLOOKUP($C414,CHOOSE({1,2},'[4]Prestações de Conta inadimplent'!$D$9:$D$2000,'[4]Prestações de Conta inadimplent'!$C$9:$C$2000),2,0)</f>
        <v>Colegio Estadual Boa Vista Do Tupim</v>
      </c>
      <c r="L414" s="85"/>
      <c r="M414" s="85" t="e">
        <v>#REF!</v>
      </c>
      <c r="T414" s="86"/>
      <c r="U414" s="85"/>
      <c r="V414" s="87"/>
      <c r="W414" s="85"/>
      <c r="X414" s="88"/>
      <c r="Y414" s="89"/>
      <c r="Z414" s="89"/>
      <c r="AA414" s="88"/>
      <c r="AB414" s="88"/>
      <c r="AF414" s="90"/>
      <c r="AK414" s="91"/>
      <c r="AM414" s="92"/>
      <c r="AN414" s="92"/>
      <c r="AO414" s="92"/>
      <c r="AP414" s="92"/>
      <c r="AQ414" s="92"/>
      <c r="AR414" s="92"/>
    </row>
    <row r="415" spans="1:44" s="84" customFormat="1" ht="24" customHeight="1" x14ac:dyDescent="0.3">
      <c r="A415" s="78" t="s">
        <v>3999</v>
      </c>
      <c r="B415" s="79" t="s">
        <v>462</v>
      </c>
      <c r="C415" s="112">
        <v>1164351</v>
      </c>
      <c r="D415" s="112">
        <v>1102668</v>
      </c>
      <c r="E415" s="112">
        <v>29081440</v>
      </c>
      <c r="F415" s="81" t="s">
        <v>4007</v>
      </c>
      <c r="G415" s="82" t="s">
        <v>4001</v>
      </c>
      <c r="H415" s="82" t="s">
        <v>4008</v>
      </c>
      <c r="I415" s="82" t="s">
        <v>3103</v>
      </c>
      <c r="J415" s="83" t="e">
        <f>VLOOKUP($C415,CHOOSE({1,2},'[4]Prestações de Conta inadimplent'!$D$9:$D$2000,'[4]Prestações de Conta inadimplent'!$C$9:$C$2000),2,0)</f>
        <v>#N/A</v>
      </c>
      <c r="L415" s="85"/>
      <c r="M415" s="85" t="e">
        <v>#REF!</v>
      </c>
      <c r="T415" s="86"/>
      <c r="U415" s="85"/>
      <c r="V415" s="87"/>
      <c r="W415" s="85"/>
      <c r="X415" s="88"/>
      <c r="Y415" s="89"/>
      <c r="Z415" s="88"/>
      <c r="AA415" s="88"/>
      <c r="AB415" s="88"/>
      <c r="AF415" s="90"/>
      <c r="AH415" s="85"/>
      <c r="AK415" s="91"/>
      <c r="AM415" s="92"/>
      <c r="AN415" s="92"/>
      <c r="AO415" s="92"/>
      <c r="AP415" s="92"/>
      <c r="AQ415" s="92"/>
      <c r="AR415" s="92"/>
    </row>
    <row r="416" spans="1:44" s="84" customFormat="1" ht="24" customHeight="1" x14ac:dyDescent="0.3">
      <c r="A416" s="78" t="s">
        <v>3999</v>
      </c>
      <c r="B416" s="79" t="s">
        <v>4009</v>
      </c>
      <c r="C416" s="112">
        <v>1123310</v>
      </c>
      <c r="D416" s="112">
        <v>1102677</v>
      </c>
      <c r="E416" s="112">
        <v>29082234</v>
      </c>
      <c r="F416" s="81" t="s">
        <v>4010</v>
      </c>
      <c r="G416" s="82" t="s">
        <v>4011</v>
      </c>
      <c r="H416" s="82" t="s">
        <v>4012</v>
      </c>
      <c r="I416" s="82" t="s">
        <v>3103</v>
      </c>
      <c r="J416" s="83" t="e">
        <f>VLOOKUP($C416,CHOOSE({1,2},'[4]Prestações de Conta inadimplent'!$D$9:$D$2000,'[4]Prestações de Conta inadimplent'!$C$9:$C$2000),2,0)</f>
        <v>#N/A</v>
      </c>
      <c r="L416" s="85"/>
      <c r="M416" s="85" t="e">
        <v>#REF!</v>
      </c>
      <c r="T416" s="86"/>
      <c r="U416" s="85"/>
      <c r="V416" s="87"/>
      <c r="W416" s="85"/>
      <c r="X416" s="88"/>
      <c r="Y416" s="89"/>
      <c r="Z416" s="89"/>
      <c r="AA416" s="88"/>
      <c r="AB416" s="88"/>
      <c r="AF416" s="90"/>
      <c r="AH416" s="85"/>
      <c r="AK416" s="91"/>
      <c r="AM416" s="92"/>
      <c r="AN416" s="92"/>
      <c r="AO416" s="92"/>
      <c r="AP416" s="92"/>
      <c r="AQ416" s="92"/>
      <c r="AR416" s="92"/>
    </row>
    <row r="417" spans="1:44" s="84" customFormat="1" ht="24" customHeight="1" x14ac:dyDescent="0.3">
      <c r="A417" s="78" t="s">
        <v>3999</v>
      </c>
      <c r="B417" s="79" t="s">
        <v>472</v>
      </c>
      <c r="C417" s="112">
        <v>1164343</v>
      </c>
      <c r="D417" s="112">
        <v>1102684</v>
      </c>
      <c r="E417" s="112">
        <v>29083044</v>
      </c>
      <c r="F417" s="81" t="s">
        <v>4013</v>
      </c>
      <c r="G417" s="82" t="s">
        <v>3242</v>
      </c>
      <c r="H417" s="82" t="s">
        <v>4014</v>
      </c>
      <c r="I417" s="82" t="s">
        <v>3103</v>
      </c>
      <c r="J417" s="83" t="e">
        <f>VLOOKUP($C417,CHOOSE({1,2},'[4]Prestações de Conta inadimplent'!$D$9:$D$2000,'[4]Prestações de Conta inadimplent'!$C$9:$C$2000),2,0)</f>
        <v>#N/A</v>
      </c>
      <c r="L417" s="85"/>
      <c r="M417" s="85" t="e">
        <v>#REF!</v>
      </c>
      <c r="T417" s="86"/>
      <c r="U417" s="85"/>
      <c r="V417" s="87"/>
      <c r="W417" s="85"/>
      <c r="X417" s="88"/>
      <c r="Y417" s="89"/>
      <c r="Z417" s="88"/>
      <c r="AA417" s="88"/>
      <c r="AB417" s="88"/>
      <c r="AF417" s="90"/>
      <c r="AK417" s="91"/>
      <c r="AM417" s="92"/>
      <c r="AN417" s="92"/>
      <c r="AO417" s="92"/>
      <c r="AP417" s="92"/>
      <c r="AQ417" s="92"/>
      <c r="AR417" s="92"/>
    </row>
    <row r="418" spans="1:44" s="84" customFormat="1" ht="24" customHeight="1" x14ac:dyDescent="0.3">
      <c r="A418" s="78" t="s">
        <v>3999</v>
      </c>
      <c r="B418" s="79" t="s">
        <v>476</v>
      </c>
      <c r="C418" s="112">
        <v>1176429</v>
      </c>
      <c r="D418" s="112">
        <v>1102696</v>
      </c>
      <c r="E418" s="112">
        <v>29393949</v>
      </c>
      <c r="F418" s="81" t="s">
        <v>2337</v>
      </c>
      <c r="G418" s="82" t="s">
        <v>3242</v>
      </c>
      <c r="H418" s="82" t="s">
        <v>4015</v>
      </c>
      <c r="I418" s="82" t="s">
        <v>3122</v>
      </c>
      <c r="J418" s="83" t="str">
        <f>VLOOKUP($C418,CHOOSE({1,2},'[4]Prestações de Conta inadimplent'!$D$9:$D$2000,'[4]Prestações de Conta inadimplent'!$C$9:$C$2000),2,0)</f>
        <v>Colegio Modelo Luis Eduardo Magalhaes</v>
      </c>
      <c r="K418" s="96"/>
      <c r="L418" s="85"/>
      <c r="M418" s="85" t="e">
        <v>#REF!</v>
      </c>
      <c r="T418" s="86"/>
      <c r="U418" s="85"/>
      <c r="V418" s="87"/>
      <c r="W418" s="85"/>
      <c r="X418" s="88"/>
      <c r="Y418" s="89"/>
      <c r="Z418" s="89"/>
      <c r="AA418" s="88"/>
      <c r="AB418" s="88"/>
      <c r="AF418" s="90"/>
      <c r="AK418" s="91"/>
      <c r="AM418" s="92"/>
      <c r="AN418" s="92"/>
      <c r="AO418" s="92"/>
      <c r="AP418" s="92"/>
      <c r="AQ418" s="92"/>
      <c r="AR418" s="92"/>
    </row>
    <row r="419" spans="1:44" s="84" customFormat="1" ht="24" customHeight="1" x14ac:dyDescent="0.3">
      <c r="A419" s="78" t="s">
        <v>3999</v>
      </c>
      <c r="B419" s="79" t="s">
        <v>476</v>
      </c>
      <c r="C419" s="112">
        <v>1123485</v>
      </c>
      <c r="D419" s="112">
        <v>1102693</v>
      </c>
      <c r="E419" s="112">
        <v>29084202</v>
      </c>
      <c r="F419" s="81" t="s">
        <v>4016</v>
      </c>
      <c r="G419" s="82" t="s">
        <v>3242</v>
      </c>
      <c r="H419" s="82" t="s">
        <v>4017</v>
      </c>
      <c r="I419" s="82" t="s">
        <v>3122</v>
      </c>
      <c r="J419" s="83" t="str">
        <f>VLOOKUP($C419,CHOOSE({1,2},'[4]Prestações de Conta inadimplent'!$D$9:$D$2000,'[4]Prestações de Conta inadimplent'!$C$9:$C$2000),2,0)</f>
        <v>Colegio Estadual Centenario</v>
      </c>
      <c r="L419" s="85"/>
      <c r="M419" s="85" t="e">
        <v>#REF!</v>
      </c>
      <c r="T419" s="86"/>
      <c r="U419" s="85"/>
      <c r="V419" s="87"/>
      <c r="W419" s="85"/>
      <c r="X419" s="88"/>
      <c r="Y419" s="89"/>
      <c r="Z419" s="89"/>
      <c r="AA419" s="88"/>
      <c r="AB419" s="88"/>
      <c r="AF419" s="90"/>
      <c r="AK419" s="91"/>
      <c r="AM419" s="92"/>
      <c r="AN419" s="92"/>
      <c r="AO419" s="92"/>
      <c r="AP419" s="92"/>
      <c r="AQ419" s="92"/>
      <c r="AR419" s="92"/>
    </row>
    <row r="420" spans="1:44" s="84" customFormat="1" ht="24" customHeight="1" x14ac:dyDescent="0.3">
      <c r="A420" s="78" t="s">
        <v>3999</v>
      </c>
      <c r="B420" s="79" t="s">
        <v>476</v>
      </c>
      <c r="C420" s="112">
        <v>1123434</v>
      </c>
      <c r="D420" s="112">
        <v>1102689</v>
      </c>
      <c r="E420" s="112">
        <v>29083354</v>
      </c>
      <c r="F420" s="81" t="s">
        <v>4018</v>
      </c>
      <c r="G420" s="82" t="s">
        <v>3242</v>
      </c>
      <c r="H420" s="82" t="s">
        <v>4019</v>
      </c>
      <c r="I420" s="82" t="s">
        <v>3103</v>
      </c>
      <c r="J420" s="83" t="e">
        <f>VLOOKUP($C420,CHOOSE({1,2},'[4]Prestações de Conta inadimplent'!$D$9:$D$2000,'[4]Prestações de Conta inadimplent'!$C$9:$C$2000),2,0)</f>
        <v>#N/A</v>
      </c>
      <c r="L420" s="85"/>
      <c r="M420" s="85" t="e">
        <v>#REF!</v>
      </c>
      <c r="T420" s="86"/>
      <c r="U420" s="85"/>
      <c r="V420" s="87"/>
      <c r="W420" s="85"/>
      <c r="X420" s="88"/>
      <c r="Y420" s="89"/>
      <c r="Z420" s="89"/>
      <c r="AA420" s="88"/>
      <c r="AB420" s="88"/>
      <c r="AF420" s="90"/>
      <c r="AK420" s="91"/>
      <c r="AM420" s="92"/>
      <c r="AN420" s="92"/>
      <c r="AO420" s="92"/>
      <c r="AP420" s="92"/>
      <c r="AQ420" s="92"/>
      <c r="AR420" s="92"/>
    </row>
    <row r="421" spans="1:44" s="84" customFormat="1" ht="24" customHeight="1" x14ac:dyDescent="0.3">
      <c r="A421" s="78" t="s">
        <v>3999</v>
      </c>
      <c r="B421" s="79" t="s">
        <v>3041</v>
      </c>
      <c r="C421" s="112">
        <v>1178268</v>
      </c>
      <c r="D421" s="112">
        <v>1105509</v>
      </c>
      <c r="E421" s="112">
        <v>29581605</v>
      </c>
      <c r="F421" s="81" t="s">
        <v>4020</v>
      </c>
      <c r="G421" s="82" t="s">
        <v>4021</v>
      </c>
      <c r="H421" s="82" t="s">
        <v>4022</v>
      </c>
      <c r="I421" s="82" t="s">
        <v>3122</v>
      </c>
      <c r="J421" s="83" t="str">
        <f>VLOOKUP($C421,CHOOSE({1,2},'[4]Prestações de Conta inadimplent'!$D$9:$D$2000,'[4]Prestações de Conta inadimplent'!$C$9:$C$2000),2,0)</f>
        <v>Colegio Estadual Geovania Nogueira Nunes</v>
      </c>
      <c r="L421" s="85"/>
      <c r="M421" s="85" t="e">
        <v>#REF!</v>
      </c>
      <c r="T421" s="86"/>
      <c r="U421" s="85"/>
      <c r="V421" s="87"/>
      <c r="W421" s="85"/>
      <c r="X421" s="88"/>
      <c r="Y421" s="89"/>
      <c r="Z421" s="89"/>
      <c r="AA421" s="88"/>
      <c r="AB421" s="88"/>
      <c r="AF421" s="90"/>
      <c r="AK421" s="91"/>
      <c r="AM421" s="92"/>
      <c r="AN421" s="92"/>
      <c r="AO421" s="92"/>
      <c r="AP421" s="92"/>
      <c r="AQ421" s="92"/>
      <c r="AR421" s="92"/>
    </row>
    <row r="422" spans="1:44" s="84" customFormat="1" ht="24" customHeight="1" x14ac:dyDescent="0.3">
      <c r="A422" s="78" t="s">
        <v>3999</v>
      </c>
      <c r="B422" s="79" t="s">
        <v>483</v>
      </c>
      <c r="C422" s="112">
        <v>1123531</v>
      </c>
      <c r="D422" s="112">
        <v>1102701</v>
      </c>
      <c r="E422" s="112">
        <v>29084784</v>
      </c>
      <c r="F422" s="81" t="s">
        <v>4023</v>
      </c>
      <c r="G422" s="82" t="s">
        <v>3242</v>
      </c>
      <c r="H422" s="82" t="s">
        <v>4024</v>
      </c>
      <c r="I422" s="82" t="s">
        <v>3103</v>
      </c>
      <c r="J422" s="83" t="e">
        <f>VLOOKUP($C422,CHOOSE({1,2},'[4]Prestações de Conta inadimplent'!$D$9:$D$2000,'[4]Prestações de Conta inadimplent'!$C$9:$C$2000),2,0)</f>
        <v>#N/A</v>
      </c>
      <c r="L422" s="85"/>
      <c r="M422" s="85" t="e">
        <v>#REF!</v>
      </c>
      <c r="T422" s="86"/>
      <c r="U422" s="85"/>
      <c r="V422" s="87"/>
      <c r="W422" s="85"/>
      <c r="X422" s="88"/>
      <c r="Y422" s="89"/>
      <c r="Z422" s="89"/>
      <c r="AA422" s="88"/>
      <c r="AB422" s="88"/>
      <c r="AF422" s="90"/>
      <c r="AK422" s="91"/>
      <c r="AM422" s="92"/>
      <c r="AN422" s="92"/>
      <c r="AO422" s="92"/>
      <c r="AP422" s="92"/>
      <c r="AQ422" s="92"/>
      <c r="AR422" s="92"/>
    </row>
    <row r="423" spans="1:44" s="84" customFormat="1" ht="24" customHeight="1" x14ac:dyDescent="0.3">
      <c r="A423" s="78" t="s">
        <v>3999</v>
      </c>
      <c r="B423" s="79" t="s">
        <v>3076</v>
      </c>
      <c r="C423" s="112">
        <v>1178398</v>
      </c>
      <c r="D423" s="112">
        <v>1105562</v>
      </c>
      <c r="E423" s="112">
        <v>29980720</v>
      </c>
      <c r="F423" s="81" t="s">
        <v>4025</v>
      </c>
      <c r="G423" s="82" t="s">
        <v>4026</v>
      </c>
      <c r="H423" s="82" t="s">
        <v>4027</v>
      </c>
      <c r="I423" s="82" t="s">
        <v>3122</v>
      </c>
      <c r="J423" s="83" t="str">
        <f>VLOOKUP($C423,CHOOSE({1,2},'[4]Prestações de Conta inadimplent'!$D$9:$D$2000,'[4]Prestações de Conta inadimplent'!$C$9:$C$2000),2,0)</f>
        <v>Colegio Estadual Carlito De Carvalho</v>
      </c>
      <c r="L423" s="85"/>
      <c r="M423" s="85" t="e">
        <v>#REF!</v>
      </c>
      <c r="T423" s="86"/>
      <c r="U423" s="85"/>
      <c r="V423" s="87"/>
      <c r="W423" s="85"/>
      <c r="X423" s="88"/>
      <c r="Y423" s="89"/>
      <c r="Z423" s="88"/>
      <c r="AA423" s="88"/>
      <c r="AB423" s="88"/>
      <c r="AF423" s="90"/>
      <c r="AK423" s="91"/>
      <c r="AM423" s="92"/>
      <c r="AN423" s="92"/>
      <c r="AO423" s="92"/>
      <c r="AP423" s="92"/>
      <c r="AQ423" s="92"/>
      <c r="AR423" s="92"/>
    </row>
    <row r="424" spans="1:44" s="84" customFormat="1" ht="24" customHeight="1" x14ac:dyDescent="0.3">
      <c r="A424" s="78" t="s">
        <v>3999</v>
      </c>
      <c r="B424" s="79" t="s">
        <v>491</v>
      </c>
      <c r="C424" s="112">
        <v>1123000</v>
      </c>
      <c r="D424" s="112">
        <v>1102607</v>
      </c>
      <c r="E424" s="112">
        <v>29086914</v>
      </c>
      <c r="F424" s="81" t="s">
        <v>4028</v>
      </c>
      <c r="G424" s="82" t="s">
        <v>4029</v>
      </c>
      <c r="H424" s="82" t="s">
        <v>4030</v>
      </c>
      <c r="I424" s="82" t="s">
        <v>3103</v>
      </c>
      <c r="J424" s="83" t="e">
        <f>VLOOKUP($C424,CHOOSE({1,2},'[4]Prestações de Conta inadimplent'!$D$9:$D$2000,'[4]Prestações de Conta inadimplent'!$C$9:$C$2000),2,0)</f>
        <v>#N/A</v>
      </c>
      <c r="L424" s="85"/>
      <c r="M424" s="85" t="e">
        <v>#REF!</v>
      </c>
      <c r="T424" s="86"/>
      <c r="U424" s="85"/>
      <c r="V424" s="87"/>
      <c r="W424" s="85"/>
      <c r="X424" s="88"/>
      <c r="Y424" s="89"/>
      <c r="Z424" s="88"/>
      <c r="AA424" s="88"/>
      <c r="AB424" s="88"/>
      <c r="AF424" s="90"/>
      <c r="AK424" s="91"/>
      <c r="AM424" s="92"/>
      <c r="AN424" s="92"/>
      <c r="AO424" s="92"/>
      <c r="AP424" s="92"/>
      <c r="AQ424" s="92"/>
      <c r="AR424" s="92"/>
    </row>
    <row r="425" spans="1:44" s="84" customFormat="1" ht="24" customHeight="1" x14ac:dyDescent="0.3">
      <c r="A425" s="78" t="s">
        <v>3999</v>
      </c>
      <c r="B425" s="79" t="s">
        <v>2547</v>
      </c>
      <c r="C425" s="112">
        <v>1178016</v>
      </c>
      <c r="D425" s="112">
        <v>1102647</v>
      </c>
      <c r="E425" s="112">
        <v>29426960</v>
      </c>
      <c r="F425" s="81" t="s">
        <v>4031</v>
      </c>
      <c r="G425" s="82" t="s">
        <v>4032</v>
      </c>
      <c r="H425" s="82" t="s">
        <v>4033</v>
      </c>
      <c r="I425" s="82" t="s">
        <v>3122</v>
      </c>
      <c r="J425" s="83" t="str">
        <f>VLOOKUP($C425,CHOOSE({1,2},'[4]Prestações de Conta inadimplent'!$D$9:$D$2000,'[4]Prestações de Conta inadimplent'!$C$9:$C$2000),2,0)</f>
        <v>Colegio Estadual Professora Aydil Lima Dos Santos</v>
      </c>
      <c r="K425" s="96"/>
      <c r="L425" s="85"/>
      <c r="M425" s="85" t="e">
        <v>#REF!</v>
      </c>
      <c r="T425" s="86"/>
      <c r="U425" s="85"/>
      <c r="V425" s="87"/>
      <c r="W425" s="85"/>
      <c r="X425" s="88"/>
      <c r="Y425" s="89"/>
      <c r="Z425" s="89"/>
      <c r="AA425" s="88"/>
      <c r="AB425" s="88"/>
      <c r="AF425" s="90"/>
      <c r="AK425" s="91"/>
      <c r="AM425" s="92"/>
      <c r="AN425" s="92"/>
      <c r="AO425" s="92"/>
      <c r="AP425" s="92"/>
      <c r="AQ425" s="92"/>
      <c r="AR425" s="92"/>
    </row>
    <row r="426" spans="1:44" s="84" customFormat="1" ht="24" customHeight="1" x14ac:dyDescent="0.3">
      <c r="A426" s="78" t="s">
        <v>3999</v>
      </c>
      <c r="B426" s="79" t="s">
        <v>2502</v>
      </c>
      <c r="C426" s="112">
        <v>1178044</v>
      </c>
      <c r="D426" s="112">
        <v>1101176</v>
      </c>
      <c r="E426" s="112">
        <v>29424038</v>
      </c>
      <c r="F426" s="81" t="s">
        <v>2503</v>
      </c>
      <c r="G426" s="82" t="s">
        <v>4034</v>
      </c>
      <c r="H426" s="82" t="s">
        <v>4035</v>
      </c>
      <c r="I426" s="82" t="s">
        <v>3122</v>
      </c>
      <c r="J426" s="83" t="str">
        <f>VLOOKUP($C426,CHOOSE({1,2},'[4]Prestações de Conta inadimplent'!$D$9:$D$2000,'[4]Prestações de Conta inadimplent'!$C$9:$C$2000),2,0)</f>
        <v>Colegio Estadual Ana Lucia Magalhaes</v>
      </c>
      <c r="L426" s="85"/>
      <c r="M426" s="85" t="e">
        <v>#REF!</v>
      </c>
      <c r="T426" s="86"/>
      <c r="U426" s="85"/>
      <c r="V426" s="87"/>
      <c r="W426" s="85"/>
      <c r="X426" s="88"/>
      <c r="Y426" s="89"/>
      <c r="Z426" s="88"/>
      <c r="AA426" s="88"/>
      <c r="AB426" s="88"/>
      <c r="AF426" s="90"/>
      <c r="AK426" s="91"/>
      <c r="AM426" s="92"/>
      <c r="AN426" s="92"/>
      <c r="AO426" s="92"/>
      <c r="AP426" s="92"/>
      <c r="AQ426" s="92"/>
      <c r="AR426" s="92"/>
    </row>
    <row r="427" spans="1:44" s="84" customFormat="1" ht="24" customHeight="1" x14ac:dyDescent="0.3">
      <c r="A427" s="78" t="s">
        <v>3999</v>
      </c>
      <c r="B427" s="79" t="s">
        <v>2502</v>
      </c>
      <c r="C427" s="112">
        <v>1178426</v>
      </c>
      <c r="D427" s="112">
        <v>1105449</v>
      </c>
      <c r="E427" s="112">
        <v>29441919</v>
      </c>
      <c r="F427" s="81" t="s">
        <v>4036</v>
      </c>
      <c r="G427" s="82" t="s">
        <v>4037</v>
      </c>
      <c r="H427" s="82" t="s">
        <v>4038</v>
      </c>
      <c r="I427" s="82" t="s">
        <v>3122</v>
      </c>
      <c r="J427" s="83" t="str">
        <f>VLOOKUP($C427,CHOOSE({1,2},'[4]Prestações de Conta inadimplent'!$D$9:$D$2000,'[4]Prestações de Conta inadimplent'!$C$9:$C$2000),2,0)</f>
        <v>Colegio Estadual Do Campo Santo Antonio Do Argoim</v>
      </c>
      <c r="L427" s="85"/>
      <c r="M427" s="85" t="e">
        <v>#REF!</v>
      </c>
      <c r="T427" s="86"/>
      <c r="U427" s="85"/>
      <c r="V427" s="87"/>
      <c r="W427" s="85"/>
      <c r="X427" s="88"/>
      <c r="Y427" s="89"/>
      <c r="Z427" s="89"/>
      <c r="AA427" s="88"/>
      <c r="AB427" s="88"/>
      <c r="AF427" s="90"/>
      <c r="AK427" s="91"/>
      <c r="AM427" s="92"/>
      <c r="AN427" s="92"/>
      <c r="AO427" s="92"/>
      <c r="AP427" s="92"/>
      <c r="AQ427" s="92"/>
      <c r="AR427" s="92"/>
    </row>
    <row r="428" spans="1:44" s="84" customFormat="1" ht="24" customHeight="1" x14ac:dyDescent="0.3">
      <c r="A428" s="78" t="s">
        <v>3999</v>
      </c>
      <c r="B428" s="79" t="s">
        <v>494</v>
      </c>
      <c r="C428" s="112">
        <v>1123957</v>
      </c>
      <c r="D428" s="112">
        <v>1102715</v>
      </c>
      <c r="E428" s="112">
        <v>29087236</v>
      </c>
      <c r="F428" s="81" t="s">
        <v>4039</v>
      </c>
      <c r="G428" s="82" t="s">
        <v>4040</v>
      </c>
      <c r="H428" s="82" t="s">
        <v>4041</v>
      </c>
      <c r="I428" s="82" t="s">
        <v>3103</v>
      </c>
      <c r="J428" s="83" t="e">
        <f>VLOOKUP($C428,CHOOSE({1,2},'[4]Prestações de Conta inadimplent'!$D$9:$D$2000,'[4]Prestações de Conta inadimplent'!$C$9:$C$2000),2,0)</f>
        <v>#N/A</v>
      </c>
      <c r="K428" s="96"/>
      <c r="L428" s="85"/>
      <c r="M428" s="85" t="e">
        <v>#REF!</v>
      </c>
      <c r="T428" s="86"/>
      <c r="U428" s="85"/>
      <c r="V428" s="87"/>
      <c r="W428" s="85"/>
      <c r="X428" s="88"/>
      <c r="Y428" s="89"/>
      <c r="Z428" s="89"/>
      <c r="AA428" s="88"/>
      <c r="AB428" s="88"/>
      <c r="AF428" s="90"/>
      <c r="AK428" s="91"/>
      <c r="AM428" s="92"/>
      <c r="AN428" s="92"/>
      <c r="AO428" s="92"/>
      <c r="AP428" s="92"/>
      <c r="AQ428" s="92"/>
      <c r="AR428" s="92"/>
    </row>
    <row r="429" spans="1:44" s="84" customFormat="1" ht="24" customHeight="1" x14ac:dyDescent="0.3">
      <c r="A429" s="78" t="s">
        <v>3999</v>
      </c>
      <c r="B429" s="79" t="s">
        <v>4042</v>
      </c>
      <c r="C429" s="112">
        <v>1178106</v>
      </c>
      <c r="D429" s="112">
        <v>1104591</v>
      </c>
      <c r="E429" s="112">
        <v>29443113</v>
      </c>
      <c r="F429" s="81" t="s">
        <v>2552</v>
      </c>
      <c r="G429" s="82" t="s">
        <v>4021</v>
      </c>
      <c r="H429" s="82" t="s">
        <v>4043</v>
      </c>
      <c r="I429" s="82" t="s">
        <v>3103</v>
      </c>
      <c r="J429" s="83" t="e">
        <f>VLOOKUP($C429,CHOOSE({1,2},'[4]Prestações de Conta inadimplent'!$D$9:$D$2000,'[4]Prestações de Conta inadimplent'!$C$9:$C$2000),2,0)</f>
        <v>#N/A</v>
      </c>
      <c r="L429" s="85"/>
      <c r="M429" s="85" t="e">
        <v>#REF!</v>
      </c>
      <c r="T429" s="86"/>
      <c r="U429" s="85"/>
      <c r="V429" s="87"/>
      <c r="W429" s="85"/>
      <c r="X429" s="88"/>
      <c r="Y429" s="89"/>
      <c r="Z429" s="88"/>
      <c r="AA429" s="88"/>
      <c r="AB429" s="88"/>
      <c r="AF429" s="90"/>
      <c r="AK429" s="91"/>
      <c r="AM429" s="92"/>
      <c r="AN429" s="92"/>
      <c r="AO429" s="92"/>
      <c r="AP429" s="92"/>
      <c r="AQ429" s="92"/>
      <c r="AR429" s="92"/>
    </row>
    <row r="430" spans="1:44" s="84" customFormat="1" ht="24" customHeight="1" x14ac:dyDescent="0.3">
      <c r="A430" s="78" t="s">
        <v>3999</v>
      </c>
      <c r="B430" s="79" t="s">
        <v>498</v>
      </c>
      <c r="C430" s="112">
        <v>1123043</v>
      </c>
      <c r="D430" s="112">
        <v>1102648</v>
      </c>
      <c r="E430" s="112">
        <v>29088240</v>
      </c>
      <c r="F430" s="81" t="s">
        <v>4044</v>
      </c>
      <c r="G430" s="82" t="s">
        <v>4032</v>
      </c>
      <c r="H430" s="82" t="s">
        <v>4045</v>
      </c>
      <c r="I430" s="82" t="s">
        <v>3103</v>
      </c>
      <c r="J430" s="83" t="e">
        <f>VLOOKUP($C430,CHOOSE({1,2},'[4]Prestações de Conta inadimplent'!$D$9:$D$2000,'[4]Prestações de Conta inadimplent'!$C$9:$C$2000),2,0)</f>
        <v>#N/A</v>
      </c>
      <c r="L430" s="85"/>
      <c r="M430" s="85" t="e">
        <v>#REF!</v>
      </c>
      <c r="T430" s="86"/>
      <c r="U430" s="85"/>
      <c r="V430" s="87"/>
      <c r="W430" s="85"/>
      <c r="X430" s="88"/>
      <c r="Y430" s="89"/>
      <c r="Z430" s="88"/>
      <c r="AA430" s="88"/>
      <c r="AB430" s="88"/>
      <c r="AF430" s="90"/>
      <c r="AK430" s="91"/>
      <c r="AM430" s="92"/>
      <c r="AN430" s="92"/>
      <c r="AO430" s="92"/>
      <c r="AP430" s="92"/>
      <c r="AQ430" s="92"/>
      <c r="AR430" s="92"/>
    </row>
    <row r="431" spans="1:44" s="84" customFormat="1" ht="24" customHeight="1" x14ac:dyDescent="0.3">
      <c r="A431" s="78" t="s">
        <v>4046</v>
      </c>
      <c r="B431" s="79" t="s">
        <v>457</v>
      </c>
      <c r="C431" s="112">
        <v>1122730</v>
      </c>
      <c r="D431" s="112">
        <v>1102573</v>
      </c>
      <c r="E431" s="112">
        <v>29080533</v>
      </c>
      <c r="F431" s="81" t="s">
        <v>458</v>
      </c>
      <c r="G431" s="82" t="s">
        <v>4047</v>
      </c>
      <c r="H431" s="82" t="s">
        <v>4048</v>
      </c>
      <c r="I431" s="82" t="s">
        <v>3103</v>
      </c>
      <c r="J431" s="83" t="e">
        <f>VLOOKUP($C431,CHOOSE({1,2},'[4]Prestações de Conta inadimplent'!$D$9:$D$2000,'[4]Prestações de Conta inadimplent'!$C$9:$C$2000),2,0)</f>
        <v>#N/A</v>
      </c>
      <c r="L431" s="85"/>
      <c r="M431" s="85" t="e">
        <v>#REF!</v>
      </c>
      <c r="T431" s="86"/>
      <c r="U431" s="85"/>
      <c r="V431" s="87"/>
      <c r="W431" s="85"/>
      <c r="X431" s="88"/>
      <c r="Y431" s="89"/>
      <c r="Z431" s="89"/>
      <c r="AA431" s="88"/>
      <c r="AB431" s="88"/>
      <c r="AF431" s="90"/>
      <c r="AK431" s="91"/>
      <c r="AM431" s="92"/>
      <c r="AN431" s="92"/>
      <c r="AO431" s="92"/>
      <c r="AP431" s="92"/>
      <c r="AQ431" s="92"/>
      <c r="AR431" s="92"/>
    </row>
    <row r="432" spans="1:44" s="84" customFormat="1" ht="24" customHeight="1" x14ac:dyDescent="0.3">
      <c r="A432" s="78" t="s">
        <v>4046</v>
      </c>
      <c r="B432" s="79" t="s">
        <v>2368</v>
      </c>
      <c r="C432" s="112">
        <v>1179030</v>
      </c>
      <c r="D432" s="112">
        <v>1105587</v>
      </c>
      <c r="E432" s="112">
        <v>29398282</v>
      </c>
      <c r="F432" s="81" t="s">
        <v>4049</v>
      </c>
      <c r="G432" s="82" t="s">
        <v>4050</v>
      </c>
      <c r="H432" s="82" t="s">
        <v>4051</v>
      </c>
      <c r="I432" s="82" t="s">
        <v>3103</v>
      </c>
      <c r="J432" s="83" t="e">
        <f>VLOOKUP($C432,CHOOSE({1,2},'[4]Prestações de Conta inadimplent'!$D$9:$D$2000,'[4]Prestações de Conta inadimplent'!$C$9:$C$2000),2,0)</f>
        <v>#N/A</v>
      </c>
      <c r="L432" s="85"/>
      <c r="M432" s="85" t="e">
        <v>#REF!</v>
      </c>
      <c r="T432" s="86"/>
      <c r="U432" s="85"/>
      <c r="V432" s="87"/>
      <c r="W432" s="85"/>
      <c r="X432" s="88"/>
      <c r="Y432" s="89"/>
      <c r="Z432" s="89"/>
      <c r="AA432" s="88"/>
      <c r="AB432" s="88"/>
      <c r="AF432" s="90"/>
      <c r="AK432" s="91"/>
      <c r="AM432" s="92"/>
      <c r="AN432" s="92"/>
      <c r="AO432" s="92"/>
      <c r="AP432" s="92"/>
      <c r="AQ432" s="92"/>
      <c r="AR432" s="92"/>
    </row>
    <row r="433" spans="1:44" s="84" customFormat="1" ht="24" customHeight="1" x14ac:dyDescent="0.3">
      <c r="A433" s="78" t="s">
        <v>4046</v>
      </c>
      <c r="B433" s="79" t="s">
        <v>417</v>
      </c>
      <c r="C433" s="112">
        <v>1162243</v>
      </c>
      <c r="D433" s="112">
        <v>1102532</v>
      </c>
      <c r="E433" s="112">
        <v>29069580</v>
      </c>
      <c r="F433" s="81" t="s">
        <v>4052</v>
      </c>
      <c r="G433" s="82" t="s">
        <v>4053</v>
      </c>
      <c r="H433" s="82" t="s">
        <v>4054</v>
      </c>
      <c r="I433" s="82" t="s">
        <v>3122</v>
      </c>
      <c r="J433" s="83" t="str">
        <f>VLOOKUP($C433,CHOOSE({1,2},'[4]Prestações de Conta inadimplent'!$D$9:$D$2000,'[4]Prestações de Conta inadimplent'!$C$9:$C$2000),2,0)</f>
        <v>Centro Territorial De Educ Profi Da Bacia Do Jacuipe Iii-edna Daltro</v>
      </c>
      <c r="L433" s="85"/>
      <c r="M433" s="85" t="e">
        <v>#REF!</v>
      </c>
      <c r="T433" s="86"/>
      <c r="U433" s="85"/>
      <c r="V433" s="87"/>
      <c r="W433" s="85"/>
      <c r="X433" s="88"/>
      <c r="Y433" s="89"/>
      <c r="Z433" s="89"/>
      <c r="AA433" s="88"/>
      <c r="AB433" s="88"/>
      <c r="AF433" s="90"/>
      <c r="AK433" s="91"/>
      <c r="AM433" s="92"/>
      <c r="AN433" s="92"/>
      <c r="AO433" s="92"/>
      <c r="AP433" s="92"/>
      <c r="AQ433" s="92"/>
      <c r="AR433" s="92"/>
    </row>
    <row r="434" spans="1:44" s="84" customFormat="1" ht="24" customHeight="1" x14ac:dyDescent="0.3">
      <c r="A434" s="104">
        <v>15</v>
      </c>
      <c r="B434" s="113" t="s">
        <v>417</v>
      </c>
      <c r="C434" s="94">
        <v>1179806</v>
      </c>
      <c r="D434" s="94">
        <v>9999999</v>
      </c>
      <c r="E434" s="94">
        <v>44316</v>
      </c>
      <c r="F434" s="81" t="s">
        <v>4055</v>
      </c>
      <c r="G434" s="82" t="s">
        <v>4053</v>
      </c>
      <c r="H434" s="82" t="s">
        <v>4056</v>
      </c>
      <c r="I434" s="82" t="s">
        <v>3103</v>
      </c>
      <c r="J434" s="83" t="e">
        <f>VLOOKUP($C434,CHOOSE({1,2},'[4]Prestações de Conta inadimplent'!$D$9:$D$2000,'[4]Prestações de Conta inadimplent'!$C$9:$C$2000),2,0)</f>
        <v>#N/A</v>
      </c>
      <c r="L434" s="85"/>
      <c r="M434" s="85"/>
      <c r="T434" s="86"/>
      <c r="U434" s="85"/>
      <c r="V434" s="87"/>
      <c r="W434" s="85"/>
      <c r="X434" s="88"/>
      <c r="Y434" s="89"/>
      <c r="Z434" s="89"/>
      <c r="AA434" s="88"/>
      <c r="AB434" s="88"/>
      <c r="AF434" s="90"/>
      <c r="AK434" s="91"/>
      <c r="AM434" s="92"/>
      <c r="AN434" s="92"/>
      <c r="AO434" s="92"/>
      <c r="AP434" s="92"/>
      <c r="AQ434" s="92"/>
      <c r="AR434" s="92"/>
    </row>
    <row r="435" spans="1:44" s="84" customFormat="1" ht="24" customHeight="1" x14ac:dyDescent="0.3">
      <c r="A435" s="78" t="s">
        <v>4046</v>
      </c>
      <c r="B435" s="79" t="s">
        <v>821</v>
      </c>
      <c r="C435" s="112">
        <v>1106904</v>
      </c>
      <c r="D435" s="112">
        <v>1100849</v>
      </c>
      <c r="E435" s="112">
        <v>29139368</v>
      </c>
      <c r="F435" s="81" t="s">
        <v>822</v>
      </c>
      <c r="G435" s="82" t="s">
        <v>4057</v>
      </c>
      <c r="H435" s="82" t="s">
        <v>4058</v>
      </c>
      <c r="I435" s="82" t="s">
        <v>3103</v>
      </c>
      <c r="J435" s="83" t="e">
        <f>VLOOKUP($C435,CHOOSE({1,2},'[4]Prestações de Conta inadimplent'!$D$9:$D$2000,'[4]Prestações de Conta inadimplent'!$C$9:$C$2000),2,0)</f>
        <v>#N/A</v>
      </c>
      <c r="L435" s="85"/>
      <c r="M435" s="85" t="e">
        <v>#REF!</v>
      </c>
      <c r="T435" s="86"/>
      <c r="U435" s="85"/>
      <c r="V435" s="87"/>
      <c r="W435" s="85"/>
      <c r="X435" s="88"/>
      <c r="Y435" s="89"/>
      <c r="Z435" s="89"/>
      <c r="AA435" s="88"/>
      <c r="AB435" s="88"/>
      <c r="AF435" s="90"/>
      <c r="AK435" s="91"/>
      <c r="AM435" s="92"/>
      <c r="AN435" s="92"/>
      <c r="AO435" s="92"/>
      <c r="AP435" s="92"/>
      <c r="AQ435" s="92"/>
      <c r="AR435" s="92"/>
    </row>
    <row r="436" spans="1:44" s="84" customFormat="1" ht="24" customHeight="1" x14ac:dyDescent="0.3">
      <c r="A436" s="78" t="s">
        <v>4046</v>
      </c>
      <c r="B436" s="79" t="s">
        <v>646</v>
      </c>
      <c r="C436" s="112">
        <v>1160445</v>
      </c>
      <c r="D436" s="112">
        <v>1101070</v>
      </c>
      <c r="E436" s="112">
        <v>29101719</v>
      </c>
      <c r="F436" s="81" t="s">
        <v>4059</v>
      </c>
      <c r="G436" s="82" t="s">
        <v>4060</v>
      </c>
      <c r="H436" s="82" t="s">
        <v>4061</v>
      </c>
      <c r="I436" s="82" t="s">
        <v>3103</v>
      </c>
      <c r="J436" s="83" t="e">
        <f>VLOOKUP($C436,CHOOSE({1,2},'[4]Prestações de Conta inadimplent'!$D$9:$D$2000,'[4]Prestações de Conta inadimplent'!$C$9:$C$2000),2,0)</f>
        <v>#N/A</v>
      </c>
      <c r="L436" s="85"/>
      <c r="M436" s="85" t="e">
        <v>#REF!</v>
      </c>
      <c r="T436" s="86"/>
      <c r="U436" s="85"/>
      <c r="V436" s="87"/>
      <c r="W436" s="85"/>
      <c r="X436" s="88"/>
      <c r="Y436" s="89"/>
      <c r="Z436" s="88"/>
      <c r="AA436" s="88"/>
      <c r="AB436" s="88"/>
      <c r="AF436" s="90"/>
      <c r="AK436" s="91"/>
      <c r="AM436" s="92"/>
      <c r="AN436" s="92"/>
      <c r="AO436" s="92"/>
      <c r="AP436" s="92"/>
      <c r="AQ436" s="92"/>
      <c r="AR436" s="92"/>
    </row>
    <row r="437" spans="1:44" s="84" customFormat="1" ht="24" customHeight="1" x14ac:dyDescent="0.3">
      <c r="A437" s="78" t="s">
        <v>4046</v>
      </c>
      <c r="B437" s="79" t="s">
        <v>646</v>
      </c>
      <c r="C437" s="112">
        <v>1107323</v>
      </c>
      <c r="D437" s="112">
        <v>1101074</v>
      </c>
      <c r="E437" s="112">
        <v>29101484</v>
      </c>
      <c r="F437" s="81" t="s">
        <v>4062</v>
      </c>
      <c r="G437" s="82" t="s">
        <v>4060</v>
      </c>
      <c r="H437" s="82" t="s">
        <v>4063</v>
      </c>
      <c r="I437" s="82" t="s">
        <v>3103</v>
      </c>
      <c r="J437" s="83" t="e">
        <f>VLOOKUP($C437,CHOOSE({1,2},'[4]Prestações de Conta inadimplent'!$D$9:$D$2000,'[4]Prestações de Conta inadimplent'!$C$9:$C$2000),2,0)</f>
        <v>#N/A</v>
      </c>
      <c r="L437" s="85"/>
      <c r="M437" s="85" t="e">
        <v>#REF!</v>
      </c>
      <c r="T437" s="86"/>
      <c r="U437" s="85"/>
      <c r="V437" s="87"/>
      <c r="W437" s="85"/>
      <c r="X437" s="88"/>
      <c r="Y437" s="89"/>
      <c r="Z437" s="88"/>
      <c r="AA437" s="88"/>
      <c r="AB437" s="88"/>
      <c r="AF437" s="90"/>
      <c r="AK437" s="91"/>
      <c r="AM437" s="92"/>
      <c r="AN437" s="92"/>
      <c r="AO437" s="92"/>
      <c r="AP437" s="92"/>
      <c r="AQ437" s="92"/>
      <c r="AR437" s="92"/>
    </row>
    <row r="438" spans="1:44" s="84" customFormat="1" ht="24" customHeight="1" x14ac:dyDescent="0.3">
      <c r="A438" s="78" t="s">
        <v>4046</v>
      </c>
      <c r="B438" s="79" t="s">
        <v>646</v>
      </c>
      <c r="C438" s="94">
        <v>1179812</v>
      </c>
      <c r="D438" s="94">
        <v>9999999</v>
      </c>
      <c r="E438" s="94">
        <v>29488575</v>
      </c>
      <c r="F438" s="118" t="s">
        <v>4064</v>
      </c>
      <c r="G438" s="82" t="s">
        <v>3192</v>
      </c>
      <c r="H438" s="82" t="s">
        <v>3192</v>
      </c>
      <c r="I438" s="82" t="s">
        <v>3103</v>
      </c>
      <c r="J438" s="83" t="e">
        <f>VLOOKUP($C438,CHOOSE({1,2},'[4]Prestações de Conta inadimplent'!$D$9:$D$2000,'[4]Prestações de Conta inadimplent'!$C$9:$C$2000),2,0)</f>
        <v>#N/A</v>
      </c>
      <c r="L438" s="85"/>
      <c r="M438" s="85"/>
      <c r="T438" s="86"/>
      <c r="U438" s="85"/>
      <c r="V438" s="87"/>
      <c r="W438" s="85"/>
      <c r="X438" s="88"/>
      <c r="Y438" s="89"/>
      <c r="Z438" s="88"/>
      <c r="AA438" s="88"/>
      <c r="AB438" s="88"/>
      <c r="AF438" s="90"/>
      <c r="AK438" s="91"/>
      <c r="AM438" s="92"/>
      <c r="AN438" s="92"/>
      <c r="AO438" s="92"/>
      <c r="AP438" s="92"/>
      <c r="AQ438" s="92"/>
      <c r="AR438" s="92"/>
    </row>
    <row r="439" spans="1:44" s="84" customFormat="1" ht="24" customHeight="1" x14ac:dyDescent="0.3">
      <c r="A439" s="78" t="s">
        <v>4046</v>
      </c>
      <c r="B439" s="79" t="s">
        <v>487</v>
      </c>
      <c r="C439" s="112">
        <v>1122861</v>
      </c>
      <c r="D439" s="112">
        <v>1102596</v>
      </c>
      <c r="E439" s="112">
        <v>29085500</v>
      </c>
      <c r="F439" s="81" t="s">
        <v>488</v>
      </c>
      <c r="G439" s="82" t="s">
        <v>4065</v>
      </c>
      <c r="H439" s="82" t="s">
        <v>4066</v>
      </c>
      <c r="I439" s="82" t="s">
        <v>3103</v>
      </c>
      <c r="J439" s="83" t="e">
        <f>VLOOKUP($C439,CHOOSE({1,2},'[4]Prestações de Conta inadimplent'!$D$9:$D$2000,'[4]Prestações de Conta inadimplent'!$C$9:$C$2000),2,0)</f>
        <v>#N/A</v>
      </c>
      <c r="L439" s="85"/>
      <c r="M439" s="85" t="e">
        <v>#REF!</v>
      </c>
      <c r="T439" s="86"/>
      <c r="U439" s="85"/>
      <c r="V439" s="87"/>
      <c r="W439" s="85"/>
      <c r="X439" s="88"/>
      <c r="Y439" s="89"/>
      <c r="Z439" s="88"/>
      <c r="AA439" s="88"/>
      <c r="AB439" s="88"/>
      <c r="AF439" s="90"/>
      <c r="AK439" s="91"/>
      <c r="AM439" s="92"/>
      <c r="AN439" s="92"/>
      <c r="AO439" s="92"/>
      <c r="AP439" s="92"/>
      <c r="AQ439" s="92"/>
      <c r="AR439" s="92"/>
    </row>
    <row r="440" spans="1:44" s="84" customFormat="1" ht="24" customHeight="1" x14ac:dyDescent="0.3">
      <c r="A440" s="78" t="s">
        <v>4046</v>
      </c>
      <c r="B440" s="79" t="s">
        <v>825</v>
      </c>
      <c r="C440" s="112">
        <v>1160771</v>
      </c>
      <c r="D440" s="112">
        <v>1101171</v>
      </c>
      <c r="E440" s="112">
        <v>29140633</v>
      </c>
      <c r="F440" s="81" t="s">
        <v>4067</v>
      </c>
      <c r="G440" s="82" t="s">
        <v>4057</v>
      </c>
      <c r="H440" s="82" t="s">
        <v>4068</v>
      </c>
      <c r="I440" s="82" t="s">
        <v>3103</v>
      </c>
      <c r="J440" s="83" t="e">
        <f>VLOOKUP($C440,CHOOSE({1,2},'[4]Prestações de Conta inadimplent'!$D$9:$D$2000,'[4]Prestações de Conta inadimplent'!$C$9:$C$2000),2,0)</f>
        <v>#N/A</v>
      </c>
      <c r="L440" s="85"/>
      <c r="M440" s="85" t="e">
        <v>#REF!</v>
      </c>
      <c r="T440" s="86"/>
      <c r="U440" s="85"/>
      <c r="V440" s="87"/>
      <c r="W440" s="85"/>
      <c r="X440" s="88"/>
      <c r="Y440" s="89"/>
      <c r="Z440" s="89"/>
      <c r="AA440" s="88"/>
      <c r="AB440" s="88"/>
      <c r="AF440" s="90"/>
      <c r="AK440" s="91"/>
      <c r="AM440" s="92"/>
      <c r="AN440" s="92"/>
      <c r="AO440" s="92"/>
      <c r="AP440" s="92"/>
      <c r="AQ440" s="92"/>
      <c r="AR440" s="92"/>
    </row>
    <row r="441" spans="1:44" s="84" customFormat="1" ht="24" customHeight="1" x14ac:dyDescent="0.3">
      <c r="A441" s="78" t="s">
        <v>4046</v>
      </c>
      <c r="B441" s="79" t="s">
        <v>829</v>
      </c>
      <c r="C441" s="112">
        <v>1106840</v>
      </c>
      <c r="D441" s="112">
        <v>1101172</v>
      </c>
      <c r="E441" s="112">
        <v>29141044</v>
      </c>
      <c r="F441" s="81" t="s">
        <v>830</v>
      </c>
      <c r="G441" s="82" t="s">
        <v>4057</v>
      </c>
      <c r="H441" s="82" t="s">
        <v>4069</v>
      </c>
      <c r="I441" s="82" t="s">
        <v>3103</v>
      </c>
      <c r="J441" s="83" t="e">
        <f>VLOOKUP($C441,CHOOSE({1,2},'[4]Prestações de Conta inadimplent'!$D$9:$D$2000,'[4]Prestações de Conta inadimplent'!$C$9:$C$2000),2,0)</f>
        <v>#N/A</v>
      </c>
      <c r="L441" s="85"/>
      <c r="M441" s="85" t="e">
        <v>#REF!</v>
      </c>
      <c r="T441" s="86"/>
      <c r="U441" s="85"/>
      <c r="V441" s="87"/>
      <c r="W441" s="85"/>
      <c r="X441" s="88"/>
      <c r="Y441" s="89"/>
      <c r="Z441" s="88"/>
      <c r="AA441" s="88"/>
      <c r="AB441" s="88"/>
      <c r="AF441" s="90"/>
      <c r="AK441" s="91"/>
      <c r="AM441" s="92"/>
      <c r="AN441" s="92"/>
      <c r="AO441" s="92"/>
      <c r="AP441" s="92"/>
      <c r="AQ441" s="92"/>
      <c r="AR441" s="92"/>
    </row>
    <row r="442" spans="1:44" s="84" customFormat="1" ht="24" customHeight="1" x14ac:dyDescent="0.3">
      <c r="A442" s="78" t="s">
        <v>4046</v>
      </c>
      <c r="B442" s="79" t="s">
        <v>664</v>
      </c>
      <c r="C442" s="112">
        <v>1107234</v>
      </c>
      <c r="D442" s="112">
        <v>1101173</v>
      </c>
      <c r="E442" s="112">
        <v>29105684</v>
      </c>
      <c r="F442" s="81" t="s">
        <v>4070</v>
      </c>
      <c r="G442" s="82" t="s">
        <v>4060</v>
      </c>
      <c r="H442" s="82" t="s">
        <v>4071</v>
      </c>
      <c r="I442" s="82" t="s">
        <v>3103</v>
      </c>
      <c r="J442" s="83" t="e">
        <f>VLOOKUP($C442,CHOOSE({1,2},'[4]Prestações de Conta inadimplent'!$D$9:$D$2000,'[4]Prestações de Conta inadimplent'!$C$9:$C$2000),2,0)</f>
        <v>#N/A</v>
      </c>
      <c r="L442" s="85"/>
      <c r="M442" s="85" t="e">
        <v>#REF!</v>
      </c>
      <c r="T442" s="86"/>
      <c r="U442" s="85"/>
      <c r="V442" s="87"/>
      <c r="W442" s="85"/>
      <c r="X442" s="88"/>
      <c r="Y442" s="89"/>
      <c r="Z442" s="89"/>
      <c r="AA442" s="88"/>
      <c r="AB442" s="88"/>
      <c r="AF442" s="90"/>
      <c r="AK442" s="91"/>
      <c r="AM442" s="92"/>
      <c r="AN442" s="92"/>
      <c r="AO442" s="92"/>
      <c r="AP442" s="92"/>
      <c r="AQ442" s="92"/>
      <c r="AR442" s="92"/>
    </row>
    <row r="443" spans="1:44" s="84" customFormat="1" ht="24" customHeight="1" x14ac:dyDescent="0.3">
      <c r="A443" s="78" t="s">
        <v>4046</v>
      </c>
      <c r="B443" s="79" t="s">
        <v>441</v>
      </c>
      <c r="C443" s="112">
        <v>1122705</v>
      </c>
      <c r="D443" s="112">
        <v>1102612</v>
      </c>
      <c r="E443" s="112">
        <v>29077540</v>
      </c>
      <c r="F443" s="81" t="s">
        <v>4072</v>
      </c>
      <c r="G443" s="82" t="s">
        <v>4073</v>
      </c>
      <c r="H443" s="82" t="s">
        <v>4074</v>
      </c>
      <c r="I443" s="82" t="s">
        <v>3103</v>
      </c>
      <c r="J443" s="83" t="e">
        <f>VLOOKUP($C443,CHOOSE({1,2},'[4]Prestações de Conta inadimplent'!$D$9:$D$2000,'[4]Prestações de Conta inadimplent'!$C$9:$C$2000),2,0)</f>
        <v>#N/A</v>
      </c>
      <c r="L443" s="85"/>
      <c r="M443" s="85" t="e">
        <v>#REF!</v>
      </c>
      <c r="T443" s="86"/>
      <c r="U443" s="85"/>
      <c r="V443" s="87"/>
      <c r="W443" s="85"/>
      <c r="X443" s="88"/>
      <c r="Y443" s="89"/>
      <c r="Z443" s="89"/>
      <c r="AA443" s="88"/>
      <c r="AB443" s="88"/>
      <c r="AF443" s="90"/>
      <c r="AK443" s="91"/>
      <c r="AM443" s="92"/>
      <c r="AN443" s="92"/>
      <c r="AO443" s="92"/>
      <c r="AP443" s="92"/>
      <c r="AQ443" s="92"/>
      <c r="AR443" s="92"/>
    </row>
    <row r="444" spans="1:44" s="84" customFormat="1" ht="24" customHeight="1" x14ac:dyDescent="0.3">
      <c r="A444" s="78" t="s">
        <v>4046</v>
      </c>
      <c r="B444" s="79" t="s">
        <v>837</v>
      </c>
      <c r="C444" s="112">
        <v>1137982</v>
      </c>
      <c r="D444" s="112">
        <v>1101185</v>
      </c>
      <c r="E444" s="112">
        <v>29142997</v>
      </c>
      <c r="F444" s="81" t="s">
        <v>840</v>
      </c>
      <c r="G444" s="82" t="s">
        <v>4057</v>
      </c>
      <c r="H444" s="82" t="s">
        <v>4075</v>
      </c>
      <c r="I444" s="82" t="s">
        <v>3103</v>
      </c>
      <c r="J444" s="83" t="e">
        <f>VLOOKUP($C444,CHOOSE({1,2},'[4]Prestações de Conta inadimplent'!$D$9:$D$2000,'[4]Prestações de Conta inadimplent'!$C$9:$C$2000),2,0)</f>
        <v>#N/A</v>
      </c>
      <c r="L444" s="85"/>
      <c r="M444" s="85" t="e">
        <v>#REF!</v>
      </c>
      <c r="T444" s="86"/>
      <c r="U444" s="85"/>
      <c r="V444" s="87"/>
      <c r="W444" s="85"/>
      <c r="X444" s="88"/>
      <c r="Y444" s="89"/>
      <c r="Z444" s="89"/>
      <c r="AA444" s="88"/>
      <c r="AB444" s="88"/>
      <c r="AF444" s="90"/>
      <c r="AK444" s="91"/>
      <c r="AM444" s="92"/>
      <c r="AN444" s="92"/>
      <c r="AO444" s="92"/>
      <c r="AP444" s="92"/>
      <c r="AQ444" s="92"/>
      <c r="AR444" s="92"/>
    </row>
    <row r="445" spans="1:44" s="84" customFormat="1" ht="24" customHeight="1" x14ac:dyDescent="0.3">
      <c r="A445" s="78" t="s">
        <v>4046</v>
      </c>
      <c r="B445" s="79" t="s">
        <v>837</v>
      </c>
      <c r="C445" s="112">
        <v>1160828</v>
      </c>
      <c r="D445" s="112">
        <v>1101181</v>
      </c>
      <c r="E445" s="112">
        <v>29143942</v>
      </c>
      <c r="F445" s="81" t="s">
        <v>846</v>
      </c>
      <c r="G445" s="82" t="s">
        <v>4057</v>
      </c>
      <c r="H445" s="82" t="s">
        <v>4076</v>
      </c>
      <c r="I445" s="82" t="s">
        <v>3103</v>
      </c>
      <c r="J445" s="83" t="e">
        <f>VLOOKUP($C445,CHOOSE({1,2},'[4]Prestações de Conta inadimplent'!$D$9:$D$2000,'[4]Prestações de Conta inadimplent'!$C$9:$C$2000),2,0)</f>
        <v>#N/A</v>
      </c>
      <c r="L445" s="85"/>
      <c r="M445" s="85" t="e">
        <v>#REF!</v>
      </c>
      <c r="T445" s="86"/>
      <c r="U445" s="85"/>
      <c r="V445" s="87"/>
      <c r="W445" s="85"/>
      <c r="X445" s="88"/>
      <c r="Y445" s="89"/>
      <c r="Z445" s="89"/>
      <c r="AA445" s="88"/>
      <c r="AB445" s="88"/>
      <c r="AF445" s="90"/>
      <c r="AK445" s="91"/>
      <c r="AM445" s="92"/>
      <c r="AN445" s="92"/>
      <c r="AO445" s="92"/>
      <c r="AP445" s="92"/>
      <c r="AQ445" s="92"/>
      <c r="AR445" s="92"/>
    </row>
    <row r="446" spans="1:44" s="84" customFormat="1" ht="24" customHeight="1" x14ac:dyDescent="0.3">
      <c r="A446" s="78" t="s">
        <v>4046</v>
      </c>
      <c r="B446" s="79" t="s">
        <v>837</v>
      </c>
      <c r="C446" s="112">
        <v>1138245</v>
      </c>
      <c r="D446" s="112">
        <v>1105572</v>
      </c>
      <c r="E446" s="112">
        <v>29143365</v>
      </c>
      <c r="F446" s="81" t="s">
        <v>4077</v>
      </c>
      <c r="G446" s="82" t="s">
        <v>4057</v>
      </c>
      <c r="H446" s="82" t="s">
        <v>4078</v>
      </c>
      <c r="I446" s="82" t="s">
        <v>3103</v>
      </c>
      <c r="J446" s="83" t="e">
        <f>VLOOKUP($C446,CHOOSE({1,2},'[4]Prestações de Conta inadimplent'!$D$9:$D$2000,'[4]Prestações de Conta inadimplent'!$C$9:$C$2000),2,0)</f>
        <v>#N/A</v>
      </c>
      <c r="L446" s="85"/>
      <c r="M446" s="85" t="e">
        <v>#REF!</v>
      </c>
      <c r="T446" s="86"/>
      <c r="U446" s="85"/>
      <c r="V446" s="87"/>
      <c r="W446" s="85"/>
      <c r="X446" s="88"/>
      <c r="Y446" s="89"/>
      <c r="Z446" s="89"/>
      <c r="AA446" s="88"/>
      <c r="AB446" s="88"/>
      <c r="AF446" s="90"/>
      <c r="AK446" s="91"/>
      <c r="AM446" s="92"/>
      <c r="AN446" s="92"/>
      <c r="AO446" s="92"/>
      <c r="AP446" s="92"/>
      <c r="AQ446" s="92"/>
      <c r="AR446" s="92"/>
    </row>
    <row r="447" spans="1:44" s="84" customFormat="1" ht="24" customHeight="1" x14ac:dyDescent="0.3">
      <c r="A447" s="78" t="s">
        <v>4046</v>
      </c>
      <c r="B447" s="79" t="s">
        <v>837</v>
      </c>
      <c r="C447" s="112">
        <v>1138172</v>
      </c>
      <c r="D447" s="112">
        <v>1101182</v>
      </c>
      <c r="E447" s="112">
        <v>29142709</v>
      </c>
      <c r="F447" s="81" t="s">
        <v>4079</v>
      </c>
      <c r="G447" s="82" t="s">
        <v>4057</v>
      </c>
      <c r="H447" s="82" t="s">
        <v>4080</v>
      </c>
      <c r="I447" s="82" t="s">
        <v>3103</v>
      </c>
      <c r="J447" s="83" t="e">
        <f>VLOOKUP($C447,CHOOSE({1,2},'[4]Prestações de Conta inadimplent'!$D$9:$D$2000,'[4]Prestações de Conta inadimplent'!$C$9:$C$2000),2,0)</f>
        <v>#N/A</v>
      </c>
      <c r="L447" s="85"/>
      <c r="M447" s="85" t="e">
        <v>#REF!</v>
      </c>
      <c r="T447" s="86"/>
      <c r="U447" s="85"/>
      <c r="V447" s="87"/>
      <c r="W447" s="85"/>
      <c r="X447" s="88"/>
      <c r="Y447" s="89"/>
      <c r="Z447" s="88"/>
      <c r="AA447" s="88"/>
      <c r="AB447" s="88"/>
      <c r="AF447" s="90"/>
      <c r="AK447" s="91"/>
      <c r="AM447" s="92"/>
      <c r="AN447" s="92"/>
      <c r="AO447" s="92"/>
      <c r="AP447" s="92"/>
      <c r="AQ447" s="92"/>
      <c r="AR447" s="92"/>
    </row>
    <row r="448" spans="1:44" s="84" customFormat="1" ht="24" customHeight="1" x14ac:dyDescent="0.3">
      <c r="A448" s="78" t="s">
        <v>4046</v>
      </c>
      <c r="B448" s="79" t="s">
        <v>2223</v>
      </c>
      <c r="C448" s="112">
        <v>1176125</v>
      </c>
      <c r="D448" s="112">
        <v>1102616</v>
      </c>
      <c r="E448" s="112">
        <v>29354943</v>
      </c>
      <c r="F448" s="81" t="s">
        <v>2224</v>
      </c>
      <c r="G448" s="82" t="s">
        <v>4073</v>
      </c>
      <c r="H448" s="82" t="s">
        <v>4081</v>
      </c>
      <c r="I448" s="82" t="s">
        <v>3103</v>
      </c>
      <c r="J448" s="83" t="e">
        <f>VLOOKUP($C448,CHOOSE({1,2},'[4]Prestações de Conta inadimplent'!$D$9:$D$2000,'[4]Prestações de Conta inadimplent'!$C$9:$C$2000),2,0)</f>
        <v>#N/A</v>
      </c>
      <c r="L448" s="85"/>
      <c r="M448" s="85" t="e">
        <v>#REF!</v>
      </c>
      <c r="T448" s="86"/>
      <c r="U448" s="85"/>
      <c r="V448" s="87"/>
      <c r="W448" s="85"/>
      <c r="X448" s="88"/>
      <c r="Y448" s="89"/>
      <c r="Z448" s="89"/>
      <c r="AA448" s="88"/>
      <c r="AB448" s="88"/>
      <c r="AF448" s="90"/>
      <c r="AK448" s="91"/>
      <c r="AM448" s="92"/>
      <c r="AN448" s="92"/>
      <c r="AO448" s="92"/>
      <c r="AP448" s="92"/>
      <c r="AQ448" s="92"/>
      <c r="AR448" s="92"/>
    </row>
    <row r="449" spans="1:44" s="84" customFormat="1" ht="24" customHeight="1" x14ac:dyDescent="0.3">
      <c r="A449" s="104">
        <v>15</v>
      </c>
      <c r="B449" s="97" t="s">
        <v>2223</v>
      </c>
      <c r="C449" s="94">
        <v>1179792</v>
      </c>
      <c r="D449" s="94">
        <v>9999999</v>
      </c>
      <c r="E449" s="93">
        <v>29488192</v>
      </c>
      <c r="F449" s="81" t="s">
        <v>4082</v>
      </c>
      <c r="G449" s="82" t="s">
        <v>4053</v>
      </c>
      <c r="H449" s="82" t="s">
        <v>4083</v>
      </c>
      <c r="I449" s="82" t="s">
        <v>3103</v>
      </c>
      <c r="J449" s="83" t="e">
        <f>VLOOKUP($C449,CHOOSE({1,2},'[4]Prestações de Conta inadimplent'!$D$9:$D$2000,'[4]Prestações de Conta inadimplent'!$C$9:$C$2000),2,0)</f>
        <v>#N/A</v>
      </c>
      <c r="L449" s="85"/>
      <c r="M449" s="85" t="e">
        <v>#REF!</v>
      </c>
      <c r="T449" s="86"/>
      <c r="U449" s="85"/>
      <c r="V449" s="87"/>
      <c r="W449" s="85"/>
      <c r="X449" s="88"/>
      <c r="Y449" s="89"/>
      <c r="Z449" s="89"/>
      <c r="AA449" s="88"/>
      <c r="AB449" s="88"/>
      <c r="AF449" s="90"/>
      <c r="AK449" s="91"/>
      <c r="AM449" s="92"/>
      <c r="AN449" s="92"/>
      <c r="AO449" s="92"/>
      <c r="AP449" s="92"/>
      <c r="AQ449" s="92"/>
      <c r="AR449" s="92"/>
    </row>
    <row r="450" spans="1:44" s="84" customFormat="1" ht="24" customHeight="1" x14ac:dyDescent="0.3">
      <c r="A450" s="78" t="s">
        <v>4046</v>
      </c>
      <c r="B450" s="79" t="s">
        <v>690</v>
      </c>
      <c r="C450" s="112">
        <v>1107684</v>
      </c>
      <c r="D450" s="112">
        <v>1101282</v>
      </c>
      <c r="E450" s="112">
        <v>29110866</v>
      </c>
      <c r="F450" s="81" t="s">
        <v>691</v>
      </c>
      <c r="G450" s="82" t="s">
        <v>4034</v>
      </c>
      <c r="H450" s="82" t="s">
        <v>4084</v>
      </c>
      <c r="I450" s="82" t="s">
        <v>3103</v>
      </c>
      <c r="J450" s="83" t="e">
        <f>VLOOKUP($C450,CHOOSE({1,2},'[4]Prestações de Conta inadimplent'!$D$9:$D$2000,'[4]Prestações de Conta inadimplent'!$C$9:$C$2000),2,0)</f>
        <v>#N/A</v>
      </c>
      <c r="L450" s="85"/>
      <c r="M450" s="85" t="e">
        <v>#REF!</v>
      </c>
      <c r="T450" s="86"/>
      <c r="U450" s="85"/>
      <c r="V450" s="87"/>
      <c r="W450" s="85"/>
      <c r="X450" s="88"/>
      <c r="Y450" s="89"/>
      <c r="Z450" s="89"/>
      <c r="AA450" s="88"/>
      <c r="AB450" s="88"/>
      <c r="AF450" s="90"/>
      <c r="AK450" s="91"/>
      <c r="AM450" s="92"/>
      <c r="AN450" s="92"/>
      <c r="AO450" s="92"/>
      <c r="AP450" s="92"/>
      <c r="AQ450" s="92"/>
      <c r="AR450" s="92"/>
    </row>
    <row r="451" spans="1:44" s="84" customFormat="1" ht="24" customHeight="1" x14ac:dyDescent="0.3">
      <c r="A451" s="78" t="s">
        <v>4046</v>
      </c>
      <c r="B451" s="79" t="s">
        <v>690</v>
      </c>
      <c r="C451" s="112">
        <v>1107650</v>
      </c>
      <c r="D451" s="112">
        <v>1101284</v>
      </c>
      <c r="E451" s="112">
        <v>29111285</v>
      </c>
      <c r="F451" s="81" t="s">
        <v>694</v>
      </c>
      <c r="G451" s="82" t="s">
        <v>4034</v>
      </c>
      <c r="H451" s="82" t="s">
        <v>4085</v>
      </c>
      <c r="I451" s="82" t="s">
        <v>3103</v>
      </c>
      <c r="J451" s="83" t="e">
        <f>VLOOKUP($C451,CHOOSE({1,2},'[4]Prestações de Conta inadimplent'!$D$9:$D$2000,'[4]Prestações de Conta inadimplent'!$C$9:$C$2000),2,0)</f>
        <v>#N/A</v>
      </c>
      <c r="L451" s="85"/>
      <c r="M451" s="85" t="e">
        <v>#REF!</v>
      </c>
      <c r="T451" s="86"/>
      <c r="U451" s="85"/>
      <c r="V451" s="87"/>
      <c r="W451" s="85"/>
      <c r="X451" s="88"/>
      <c r="Y451" s="89"/>
      <c r="Z451" s="89"/>
      <c r="AA451" s="88"/>
      <c r="AB451" s="88"/>
      <c r="AF451" s="90"/>
      <c r="AK451" s="91"/>
      <c r="AM451" s="92"/>
      <c r="AN451" s="92"/>
      <c r="AO451" s="92"/>
      <c r="AP451" s="92"/>
      <c r="AQ451" s="92"/>
      <c r="AR451" s="92"/>
    </row>
    <row r="452" spans="1:44" s="84" customFormat="1" ht="24" customHeight="1" x14ac:dyDescent="0.3">
      <c r="A452" s="78" t="s">
        <v>4046</v>
      </c>
      <c r="B452" s="79" t="s">
        <v>502</v>
      </c>
      <c r="C452" s="112">
        <v>1176069</v>
      </c>
      <c r="D452" s="112">
        <v>1102651</v>
      </c>
      <c r="E452" s="112">
        <v>29088623</v>
      </c>
      <c r="F452" s="81" t="s">
        <v>503</v>
      </c>
      <c r="G452" s="82" t="s">
        <v>4086</v>
      </c>
      <c r="H452" s="82" t="s">
        <v>4087</v>
      </c>
      <c r="I452" s="82" t="s">
        <v>3103</v>
      </c>
      <c r="J452" s="83" t="e">
        <f>VLOOKUP($C452,CHOOSE({1,2},'[4]Prestações de Conta inadimplent'!$D$9:$D$2000,'[4]Prestações de Conta inadimplent'!$C$9:$C$2000),2,0)</f>
        <v>#N/A</v>
      </c>
      <c r="L452" s="85"/>
      <c r="M452" s="85" t="e">
        <v>#REF!</v>
      </c>
      <c r="T452" s="86"/>
      <c r="U452" s="85"/>
      <c r="V452" s="87"/>
      <c r="W452" s="85"/>
      <c r="X452" s="88"/>
      <c r="Y452" s="89"/>
      <c r="Z452" s="88"/>
      <c r="AA452" s="88"/>
      <c r="AB452" s="88"/>
      <c r="AF452" s="90"/>
      <c r="AK452" s="91"/>
      <c r="AM452" s="92"/>
      <c r="AN452" s="92"/>
      <c r="AO452" s="92"/>
      <c r="AP452" s="92"/>
      <c r="AQ452" s="92"/>
      <c r="AR452" s="92"/>
    </row>
    <row r="453" spans="1:44" s="84" customFormat="1" ht="24" customHeight="1" x14ac:dyDescent="0.3">
      <c r="A453" s="78" t="s">
        <v>4046</v>
      </c>
      <c r="B453" s="79" t="s">
        <v>453</v>
      </c>
      <c r="C453" s="112">
        <v>1122306</v>
      </c>
      <c r="D453" s="112">
        <v>1102634</v>
      </c>
      <c r="E453" s="112">
        <v>29079934</v>
      </c>
      <c r="F453" s="81" t="s">
        <v>454</v>
      </c>
      <c r="G453" s="82" t="s">
        <v>4073</v>
      </c>
      <c r="H453" s="82" t="s">
        <v>4088</v>
      </c>
      <c r="I453" s="82" t="s">
        <v>3103</v>
      </c>
      <c r="J453" s="83" t="e">
        <f>VLOOKUP($C453,CHOOSE({1,2},'[4]Prestações de Conta inadimplent'!$D$9:$D$2000,'[4]Prestações de Conta inadimplent'!$C$9:$C$2000),2,0)</f>
        <v>#N/A</v>
      </c>
      <c r="L453" s="85"/>
      <c r="M453" s="85" t="e">
        <v>#REF!</v>
      </c>
      <c r="T453" s="86"/>
      <c r="U453" s="85"/>
      <c r="V453" s="87"/>
      <c r="W453" s="85"/>
      <c r="X453" s="88"/>
      <c r="Y453" s="89"/>
      <c r="Z453" s="89"/>
      <c r="AA453" s="88"/>
      <c r="AB453" s="88"/>
      <c r="AF453" s="90"/>
      <c r="AK453" s="91"/>
      <c r="AM453" s="92"/>
      <c r="AN453" s="92"/>
      <c r="AO453" s="92"/>
      <c r="AP453" s="92"/>
      <c r="AQ453" s="92"/>
      <c r="AR453" s="92"/>
    </row>
    <row r="454" spans="1:44" s="84" customFormat="1" ht="24" customHeight="1" x14ac:dyDescent="0.3">
      <c r="A454" s="78" t="s">
        <v>4089</v>
      </c>
      <c r="B454" s="79" t="s">
        <v>408</v>
      </c>
      <c r="C454" s="112">
        <v>1178027</v>
      </c>
      <c r="D454" s="112">
        <v>1102516</v>
      </c>
      <c r="E454" s="112">
        <v>29068320</v>
      </c>
      <c r="F454" s="81" t="s">
        <v>4090</v>
      </c>
      <c r="G454" s="82" t="s">
        <v>4073</v>
      </c>
      <c r="H454" s="82" t="s">
        <v>4091</v>
      </c>
      <c r="I454" s="82" t="s">
        <v>3103</v>
      </c>
      <c r="J454" s="83" t="e">
        <f>VLOOKUP($C454,CHOOSE({1,2},'[4]Prestações de Conta inadimplent'!$D$9:$D$2000,'[4]Prestações de Conta inadimplent'!$C$9:$C$2000),2,0)</f>
        <v>#N/A</v>
      </c>
      <c r="L454" s="85"/>
      <c r="M454" s="85" t="e">
        <v>#REF!</v>
      </c>
      <c r="T454" s="86"/>
      <c r="U454" s="85"/>
      <c r="V454" s="87"/>
      <c r="W454" s="85"/>
      <c r="X454" s="88"/>
      <c r="Y454" s="89"/>
      <c r="Z454" s="88"/>
      <c r="AA454" s="88"/>
      <c r="AB454" s="88"/>
      <c r="AF454" s="90"/>
      <c r="AK454" s="91"/>
      <c r="AM454" s="92"/>
      <c r="AN454" s="92"/>
      <c r="AO454" s="92"/>
      <c r="AP454" s="92"/>
      <c r="AQ454" s="92"/>
      <c r="AR454" s="92"/>
    </row>
    <row r="455" spans="1:44" s="84" customFormat="1" ht="24" customHeight="1" x14ac:dyDescent="0.3">
      <c r="A455" s="78" t="s">
        <v>4089</v>
      </c>
      <c r="B455" s="79" t="s">
        <v>421</v>
      </c>
      <c r="C455" s="112">
        <v>1176100</v>
      </c>
      <c r="D455" s="112">
        <v>1102554</v>
      </c>
      <c r="E455" s="112">
        <v>29344247</v>
      </c>
      <c r="F455" s="81" t="s">
        <v>4092</v>
      </c>
      <c r="G455" s="82" t="s">
        <v>4073</v>
      </c>
      <c r="H455" s="82" t="s">
        <v>4093</v>
      </c>
      <c r="I455" s="82" t="s">
        <v>3103</v>
      </c>
      <c r="J455" s="83" t="e">
        <f>VLOOKUP($C455,CHOOSE({1,2},'[4]Prestações de Conta inadimplent'!$D$9:$D$2000,'[4]Prestações de Conta inadimplent'!$C$9:$C$2000),2,0)</f>
        <v>#N/A</v>
      </c>
      <c r="L455" s="85"/>
      <c r="M455" s="85" t="e">
        <v>#REF!</v>
      </c>
      <c r="T455" s="86"/>
      <c r="U455" s="85"/>
      <c r="V455" s="87"/>
      <c r="W455" s="85"/>
      <c r="X455" s="88"/>
      <c r="Y455" s="89"/>
      <c r="Z455" s="89"/>
      <c r="AA455" s="88"/>
      <c r="AB455" s="88"/>
      <c r="AF455" s="90"/>
      <c r="AK455" s="91"/>
      <c r="AM455" s="92"/>
      <c r="AN455" s="92"/>
      <c r="AO455" s="92"/>
      <c r="AP455" s="92"/>
      <c r="AQ455" s="92"/>
      <c r="AR455" s="92"/>
    </row>
    <row r="456" spans="1:44" s="84" customFormat="1" ht="24" customHeight="1" x14ac:dyDescent="0.3">
      <c r="A456" s="78" t="s">
        <v>4089</v>
      </c>
      <c r="B456" s="79" t="s">
        <v>421</v>
      </c>
      <c r="C456" s="112">
        <v>1158157</v>
      </c>
      <c r="D456" s="112">
        <v>1102550</v>
      </c>
      <c r="E456" s="112">
        <v>29071275</v>
      </c>
      <c r="F456" s="81" t="s">
        <v>4094</v>
      </c>
      <c r="G456" s="82" t="s">
        <v>4073</v>
      </c>
      <c r="H456" s="82" t="s">
        <v>4095</v>
      </c>
      <c r="I456" s="82" t="s">
        <v>3103</v>
      </c>
      <c r="J456" s="83" t="e">
        <f>VLOOKUP($C456,CHOOSE({1,2},'[4]Prestações de Conta inadimplent'!$D$9:$D$2000,'[4]Prestações de Conta inadimplent'!$C$9:$C$2000),2,0)</f>
        <v>#N/A</v>
      </c>
      <c r="L456" s="85"/>
      <c r="M456" s="85" t="e">
        <v>#REF!</v>
      </c>
      <c r="T456" s="86"/>
      <c r="U456" s="85"/>
      <c r="V456" s="87"/>
      <c r="W456" s="85"/>
      <c r="X456" s="88"/>
      <c r="Y456" s="89"/>
      <c r="Z456" s="88"/>
      <c r="AA456" s="88"/>
      <c r="AB456" s="88"/>
      <c r="AF456" s="90"/>
      <c r="AK456" s="91"/>
      <c r="AM456" s="92"/>
      <c r="AN456" s="92"/>
      <c r="AO456" s="92"/>
      <c r="AP456" s="92"/>
      <c r="AQ456" s="92"/>
      <c r="AR456" s="92"/>
    </row>
    <row r="457" spans="1:44" s="84" customFormat="1" ht="24" customHeight="1" x14ac:dyDescent="0.3">
      <c r="A457" s="78" t="s">
        <v>4089</v>
      </c>
      <c r="B457" s="79" t="s">
        <v>421</v>
      </c>
      <c r="C457" s="112">
        <v>1178094</v>
      </c>
      <c r="D457" s="112">
        <v>1105066</v>
      </c>
      <c r="E457" s="112">
        <v>29440211</v>
      </c>
      <c r="F457" s="81" t="s">
        <v>4096</v>
      </c>
      <c r="G457" s="82" t="s">
        <v>4073</v>
      </c>
      <c r="H457" s="82" t="s">
        <v>4097</v>
      </c>
      <c r="I457" s="82" t="s">
        <v>3103</v>
      </c>
      <c r="J457" s="83" t="e">
        <f>VLOOKUP($C457,CHOOSE({1,2},'[4]Prestações de Conta inadimplent'!$D$9:$D$2000,'[4]Prestações de Conta inadimplent'!$C$9:$C$2000),2,0)</f>
        <v>#N/A</v>
      </c>
      <c r="L457" s="85"/>
      <c r="M457" s="85" t="e">
        <v>#REF!</v>
      </c>
      <c r="T457" s="86"/>
      <c r="U457" s="85"/>
      <c r="V457" s="87"/>
      <c r="W457" s="85"/>
      <c r="X457" s="88"/>
      <c r="Y457" s="89"/>
      <c r="Z457" s="89"/>
      <c r="AA457" s="88"/>
      <c r="AB457" s="88"/>
      <c r="AF457" s="90"/>
      <c r="AK457" s="91"/>
      <c r="AM457" s="92"/>
      <c r="AN457" s="92"/>
      <c r="AO457" s="92"/>
      <c r="AP457" s="92"/>
      <c r="AQ457" s="92"/>
      <c r="AR457" s="92"/>
    </row>
    <row r="458" spans="1:44" s="84" customFormat="1" ht="24" customHeight="1" x14ac:dyDescent="0.3">
      <c r="A458" s="78" t="s">
        <v>4089</v>
      </c>
      <c r="B458" s="79" t="s">
        <v>421</v>
      </c>
      <c r="C458" s="112">
        <v>1121962</v>
      </c>
      <c r="D458" s="112">
        <v>1102539</v>
      </c>
      <c r="E458" s="112">
        <v>29070350</v>
      </c>
      <c r="F458" s="81" t="s">
        <v>4098</v>
      </c>
      <c r="G458" s="82" t="s">
        <v>4073</v>
      </c>
      <c r="H458" s="82" t="s">
        <v>4099</v>
      </c>
      <c r="I458" s="82" t="s">
        <v>3103</v>
      </c>
      <c r="J458" s="83" t="e">
        <f>VLOOKUP($C458,CHOOSE({1,2},'[4]Prestações de Conta inadimplent'!$D$9:$D$2000,'[4]Prestações de Conta inadimplent'!$C$9:$C$2000),2,0)</f>
        <v>#N/A</v>
      </c>
      <c r="L458" s="85"/>
      <c r="M458" s="85" t="e">
        <v>#REF!</v>
      </c>
      <c r="T458" s="86"/>
      <c r="U458" s="85"/>
      <c r="V458" s="87"/>
      <c r="W458" s="85"/>
      <c r="X458" s="88"/>
      <c r="Y458" s="89"/>
      <c r="Z458" s="89"/>
      <c r="AA458" s="88"/>
      <c r="AB458" s="88"/>
      <c r="AF458" s="90"/>
      <c r="AK458" s="91"/>
      <c r="AM458" s="92"/>
      <c r="AN458" s="92"/>
      <c r="AO458" s="92"/>
      <c r="AP458" s="92"/>
      <c r="AQ458" s="92"/>
      <c r="AR458" s="92"/>
    </row>
    <row r="459" spans="1:44" s="84" customFormat="1" ht="24" customHeight="1" x14ac:dyDescent="0.3">
      <c r="A459" s="78" t="s">
        <v>4089</v>
      </c>
      <c r="B459" s="79" t="s">
        <v>421</v>
      </c>
      <c r="C459" s="94">
        <v>1179765</v>
      </c>
      <c r="D459" s="94">
        <v>9999999</v>
      </c>
      <c r="E459" s="94">
        <v>29486327</v>
      </c>
      <c r="F459" s="81" t="s">
        <v>4100</v>
      </c>
      <c r="G459" s="82" t="s">
        <v>4073</v>
      </c>
      <c r="H459" s="82" t="s">
        <v>4101</v>
      </c>
      <c r="I459" s="82" t="s">
        <v>3122</v>
      </c>
      <c r="J459" s="83" t="str">
        <f>VLOOKUP($C459,CHOOSE({1,2},'[4]Prestações de Conta inadimplent'!$D$9:$D$2000,'[4]Prestações de Conta inadimplent'!$C$9:$C$2000),2,0)</f>
        <v>Colegio Estadual Professora Maria Izabel De Oliveira</v>
      </c>
      <c r="L459" s="85"/>
      <c r="M459" s="85" t="e">
        <v>#REF!</v>
      </c>
      <c r="T459" s="86"/>
      <c r="U459" s="85"/>
      <c r="V459" s="87"/>
      <c r="W459" s="85"/>
      <c r="X459" s="88"/>
      <c r="Y459" s="89"/>
      <c r="Z459" s="89"/>
      <c r="AA459" s="88"/>
      <c r="AB459" s="88"/>
      <c r="AF459" s="90"/>
      <c r="AK459" s="91"/>
      <c r="AM459" s="92"/>
      <c r="AN459" s="92"/>
      <c r="AO459" s="92"/>
      <c r="AP459" s="92"/>
      <c r="AQ459" s="92"/>
      <c r="AR459" s="92"/>
    </row>
    <row r="460" spans="1:44" s="84" customFormat="1" ht="24" customHeight="1" x14ac:dyDescent="0.3">
      <c r="A460" s="78" t="s">
        <v>4089</v>
      </c>
      <c r="B460" s="79" t="s">
        <v>425</v>
      </c>
      <c r="C460" s="112">
        <v>1178026</v>
      </c>
      <c r="D460" s="112">
        <v>1102564</v>
      </c>
      <c r="E460" s="112">
        <v>29425530</v>
      </c>
      <c r="F460" s="81" t="s">
        <v>4102</v>
      </c>
      <c r="G460" s="82" t="s">
        <v>4103</v>
      </c>
      <c r="H460" s="82" t="s">
        <v>4104</v>
      </c>
      <c r="I460" s="82" t="s">
        <v>3103</v>
      </c>
      <c r="J460" s="83" t="e">
        <f>VLOOKUP($C460,CHOOSE({1,2},'[4]Prestações de Conta inadimplent'!$D$9:$D$2000,'[4]Prestações de Conta inadimplent'!$C$9:$C$2000),2,0)</f>
        <v>#N/A</v>
      </c>
      <c r="L460" s="85"/>
      <c r="M460" s="85" t="e">
        <v>#REF!</v>
      </c>
      <c r="T460" s="86"/>
      <c r="U460" s="85"/>
      <c r="V460" s="87"/>
      <c r="W460" s="85"/>
      <c r="X460" s="88"/>
      <c r="Y460" s="89"/>
      <c r="Z460" s="88"/>
      <c r="AA460" s="88"/>
      <c r="AB460" s="88"/>
      <c r="AF460" s="90"/>
      <c r="AK460" s="91"/>
      <c r="AM460" s="92"/>
      <c r="AN460" s="92"/>
      <c r="AO460" s="92"/>
      <c r="AP460" s="92"/>
      <c r="AQ460" s="92"/>
      <c r="AR460" s="92"/>
    </row>
    <row r="461" spans="1:44" s="84" customFormat="1" ht="24" customHeight="1" x14ac:dyDescent="0.3">
      <c r="A461" s="78" t="s">
        <v>4089</v>
      </c>
      <c r="B461" s="79" t="s">
        <v>425</v>
      </c>
      <c r="C461" s="112">
        <v>1122144</v>
      </c>
      <c r="D461" s="112">
        <v>1102561</v>
      </c>
      <c r="E461" s="112">
        <v>29073014</v>
      </c>
      <c r="F461" s="81" t="s">
        <v>4105</v>
      </c>
      <c r="G461" s="82" t="s">
        <v>4103</v>
      </c>
      <c r="H461" s="82" t="s">
        <v>4106</v>
      </c>
      <c r="I461" s="82" t="s">
        <v>3103</v>
      </c>
      <c r="J461" s="83" t="e">
        <f>VLOOKUP($C461,CHOOSE({1,2},'[4]Prestações de Conta inadimplent'!$D$9:$D$2000,'[4]Prestações de Conta inadimplent'!$C$9:$C$2000),2,0)</f>
        <v>#N/A</v>
      </c>
      <c r="L461" s="85"/>
      <c r="M461" s="85" t="e">
        <v>#REF!</v>
      </c>
      <c r="T461" s="86"/>
      <c r="U461" s="85"/>
      <c r="V461" s="87"/>
      <c r="W461" s="85"/>
      <c r="X461" s="88"/>
      <c r="Y461" s="89"/>
      <c r="Z461" s="88"/>
      <c r="AA461" s="88"/>
      <c r="AB461" s="88"/>
      <c r="AF461" s="90"/>
      <c r="AK461" s="91"/>
      <c r="AM461" s="92"/>
      <c r="AN461" s="92"/>
      <c r="AO461" s="92"/>
      <c r="AP461" s="92"/>
      <c r="AQ461" s="92"/>
      <c r="AR461" s="92"/>
    </row>
    <row r="462" spans="1:44" s="84" customFormat="1" ht="24" customHeight="1" x14ac:dyDescent="0.3">
      <c r="A462" s="78" t="s">
        <v>4089</v>
      </c>
      <c r="B462" s="79" t="s">
        <v>429</v>
      </c>
      <c r="C462" s="112">
        <v>1122365</v>
      </c>
      <c r="D462" s="112">
        <v>1102568</v>
      </c>
      <c r="E462" s="112">
        <v>29073324</v>
      </c>
      <c r="F462" s="81" t="s">
        <v>4107</v>
      </c>
      <c r="G462" s="82" t="s">
        <v>4108</v>
      </c>
      <c r="H462" s="82" t="s">
        <v>4109</v>
      </c>
      <c r="I462" s="82" t="s">
        <v>3103</v>
      </c>
      <c r="J462" s="83" t="e">
        <f>VLOOKUP($C462,CHOOSE({1,2},'[4]Prestações de Conta inadimplent'!$D$9:$D$2000,'[4]Prestações de Conta inadimplent'!$C$9:$C$2000),2,0)</f>
        <v>#N/A</v>
      </c>
      <c r="L462" s="85"/>
      <c r="M462" s="85" t="e">
        <v>#REF!</v>
      </c>
      <c r="T462" s="86"/>
      <c r="U462" s="85"/>
      <c r="V462" s="87"/>
      <c r="W462" s="85"/>
      <c r="X462" s="88"/>
      <c r="Y462" s="89"/>
      <c r="Z462" s="89"/>
      <c r="AA462" s="88"/>
      <c r="AB462" s="88"/>
      <c r="AF462" s="90"/>
      <c r="AK462" s="91"/>
      <c r="AM462" s="92"/>
      <c r="AN462" s="92"/>
      <c r="AO462" s="92"/>
      <c r="AP462" s="92"/>
      <c r="AQ462" s="92"/>
      <c r="AR462" s="92"/>
    </row>
    <row r="463" spans="1:44" s="84" customFormat="1" ht="24" customHeight="1" x14ac:dyDescent="0.3">
      <c r="A463" s="78" t="s">
        <v>4089</v>
      </c>
      <c r="B463" s="79" t="s">
        <v>433</v>
      </c>
      <c r="C463" s="112">
        <v>1172419</v>
      </c>
      <c r="D463" s="112">
        <v>1105505</v>
      </c>
      <c r="E463" s="112">
        <v>29075874</v>
      </c>
      <c r="F463" s="81" t="s">
        <v>4110</v>
      </c>
      <c r="G463" s="82" t="s">
        <v>4073</v>
      </c>
      <c r="H463" s="82" t="s">
        <v>4111</v>
      </c>
      <c r="I463" s="82" t="s">
        <v>3103</v>
      </c>
      <c r="J463" s="83" t="e">
        <f>VLOOKUP($C463,CHOOSE({1,2},'[4]Prestações de Conta inadimplent'!$D$9:$D$2000,'[4]Prestações de Conta inadimplent'!$C$9:$C$2000),2,0)</f>
        <v>#N/A</v>
      </c>
      <c r="L463" s="85"/>
      <c r="M463" s="85" t="e">
        <v>#REF!</v>
      </c>
      <c r="T463" s="86"/>
      <c r="U463" s="85"/>
      <c r="V463" s="87"/>
      <c r="W463" s="85"/>
      <c r="X463" s="88"/>
      <c r="Y463" s="89"/>
      <c r="Z463" s="88"/>
      <c r="AA463" s="88"/>
      <c r="AB463" s="88"/>
      <c r="AF463" s="90"/>
      <c r="AK463" s="91"/>
      <c r="AM463" s="92"/>
      <c r="AN463" s="92"/>
      <c r="AO463" s="92"/>
      <c r="AP463" s="92"/>
      <c r="AQ463" s="92"/>
      <c r="AR463" s="92"/>
    </row>
    <row r="464" spans="1:44" s="84" customFormat="1" ht="24" customHeight="1" x14ac:dyDescent="0.3">
      <c r="A464" s="104">
        <v>16</v>
      </c>
      <c r="B464" s="113" t="s">
        <v>433</v>
      </c>
      <c r="C464" s="94">
        <v>1179811</v>
      </c>
      <c r="D464" s="94">
        <v>9999999</v>
      </c>
      <c r="E464" s="93">
        <v>29489563</v>
      </c>
      <c r="F464" s="81" t="s">
        <v>4112</v>
      </c>
      <c r="G464" s="82" t="s">
        <v>3192</v>
      </c>
      <c r="H464" s="82" t="s">
        <v>3192</v>
      </c>
      <c r="I464" s="82" t="s">
        <v>3103</v>
      </c>
      <c r="J464" s="83" t="e">
        <f>VLOOKUP($C464,CHOOSE({1,2},'[4]Prestações de Conta inadimplent'!$D$9:$D$2000,'[4]Prestações de Conta inadimplent'!$C$9:$C$2000),2,0)</f>
        <v>#N/A</v>
      </c>
      <c r="L464" s="85"/>
      <c r="M464" s="85"/>
      <c r="T464" s="86"/>
      <c r="U464" s="85"/>
      <c r="V464" s="87"/>
      <c r="W464" s="85"/>
      <c r="X464" s="88"/>
      <c r="Y464" s="89"/>
      <c r="Z464" s="88"/>
      <c r="AA464" s="88"/>
      <c r="AB464" s="88"/>
      <c r="AF464" s="90"/>
      <c r="AK464" s="91"/>
      <c r="AM464" s="92"/>
      <c r="AN464" s="92"/>
      <c r="AO464" s="92"/>
      <c r="AP464" s="92"/>
      <c r="AQ464" s="92"/>
      <c r="AR464" s="92"/>
    </row>
    <row r="465" spans="1:44" s="84" customFormat="1" ht="24" customHeight="1" x14ac:dyDescent="0.3">
      <c r="A465" s="78" t="s">
        <v>4089</v>
      </c>
      <c r="B465" s="79" t="s">
        <v>445</v>
      </c>
      <c r="C465" s="112">
        <v>1122233</v>
      </c>
      <c r="D465" s="112">
        <v>1102620</v>
      </c>
      <c r="E465" s="112">
        <v>29079004</v>
      </c>
      <c r="F465" s="81" t="s">
        <v>4113</v>
      </c>
      <c r="G465" s="82" t="s">
        <v>4073</v>
      </c>
      <c r="H465" s="82" t="s">
        <v>4114</v>
      </c>
      <c r="I465" s="82" t="s">
        <v>3103</v>
      </c>
      <c r="J465" s="83" t="e">
        <f>VLOOKUP($C465,CHOOSE({1,2},'[4]Prestações de Conta inadimplent'!$D$9:$D$2000,'[4]Prestações de Conta inadimplent'!$C$9:$C$2000),2,0)</f>
        <v>#N/A</v>
      </c>
      <c r="L465" s="85"/>
      <c r="M465" s="85" t="e">
        <v>#REF!</v>
      </c>
      <c r="T465" s="86"/>
      <c r="U465" s="85"/>
      <c r="V465" s="87"/>
      <c r="W465" s="85"/>
      <c r="X465" s="88"/>
      <c r="Y465" s="89"/>
      <c r="Z465" s="88"/>
      <c r="AA465" s="88"/>
      <c r="AB465" s="88"/>
      <c r="AF465" s="90"/>
      <c r="AK465" s="91"/>
      <c r="AM465" s="92"/>
      <c r="AN465" s="92"/>
      <c r="AO465" s="92"/>
      <c r="AP465" s="92"/>
      <c r="AQ465" s="92"/>
      <c r="AR465" s="92"/>
    </row>
    <row r="466" spans="1:44" s="84" customFormat="1" ht="24" customHeight="1" x14ac:dyDescent="0.3">
      <c r="A466" s="78" t="s">
        <v>4089</v>
      </c>
      <c r="B466" s="79" t="s">
        <v>449</v>
      </c>
      <c r="C466" s="112">
        <v>1161794</v>
      </c>
      <c r="D466" s="112">
        <v>1102631</v>
      </c>
      <c r="E466" s="112">
        <v>29079055</v>
      </c>
      <c r="F466" s="81" t="s">
        <v>450</v>
      </c>
      <c r="G466" s="82" t="s">
        <v>4115</v>
      </c>
      <c r="H466" s="82" t="s">
        <v>4116</v>
      </c>
      <c r="I466" s="82" t="s">
        <v>3103</v>
      </c>
      <c r="J466" s="83" t="e">
        <f>VLOOKUP($C466,CHOOSE({1,2},'[4]Prestações de Conta inadimplent'!$D$9:$D$2000,'[4]Prestações de Conta inadimplent'!$C$9:$C$2000),2,0)</f>
        <v>#N/A</v>
      </c>
      <c r="L466" s="85"/>
      <c r="M466" s="85" t="e">
        <v>#REF!</v>
      </c>
      <c r="T466" s="86"/>
      <c r="U466" s="85"/>
      <c r="V466" s="87"/>
      <c r="W466" s="85"/>
      <c r="X466" s="88"/>
      <c r="Y466" s="89"/>
      <c r="Z466" s="88"/>
      <c r="AA466" s="88"/>
      <c r="AB466" s="88"/>
      <c r="AF466" s="90"/>
      <c r="AK466" s="91"/>
      <c r="AM466" s="92"/>
      <c r="AN466" s="92"/>
      <c r="AO466" s="92"/>
      <c r="AP466" s="92"/>
      <c r="AQ466" s="92"/>
      <c r="AR466" s="92"/>
    </row>
    <row r="467" spans="1:44" s="84" customFormat="1" ht="24" customHeight="1" x14ac:dyDescent="0.3">
      <c r="A467" s="78" t="s">
        <v>4089</v>
      </c>
      <c r="B467" s="79" t="s">
        <v>2754</v>
      </c>
      <c r="C467" s="112">
        <v>1179205</v>
      </c>
      <c r="D467" s="112">
        <v>1105454</v>
      </c>
      <c r="E467" s="112">
        <v>29441609</v>
      </c>
      <c r="F467" s="81" t="s">
        <v>4117</v>
      </c>
      <c r="G467" s="82" t="s">
        <v>4073</v>
      </c>
      <c r="H467" s="82" t="s">
        <v>4118</v>
      </c>
      <c r="I467" s="82" t="s">
        <v>3103</v>
      </c>
      <c r="J467" s="83" t="e">
        <f>VLOOKUP($C467,CHOOSE({1,2},'[4]Prestações de Conta inadimplent'!$D$9:$D$2000,'[4]Prestações de Conta inadimplent'!$C$9:$C$2000),2,0)</f>
        <v>#N/A</v>
      </c>
      <c r="L467" s="85"/>
      <c r="M467" s="85" t="e">
        <v>#REF!</v>
      </c>
      <c r="T467" s="86"/>
      <c r="U467" s="85"/>
      <c r="V467" s="87"/>
      <c r="W467" s="85"/>
      <c r="X467" s="88"/>
      <c r="Y467" s="89"/>
      <c r="Z467" s="89"/>
      <c r="AA467" s="88"/>
      <c r="AB467" s="88"/>
      <c r="AF467" s="90"/>
      <c r="AK467" s="91"/>
      <c r="AM467" s="92"/>
      <c r="AN467" s="92"/>
      <c r="AO467" s="92"/>
      <c r="AP467" s="92"/>
      <c r="AQ467" s="92"/>
      <c r="AR467" s="92"/>
    </row>
    <row r="468" spans="1:44" s="84" customFormat="1" ht="24" customHeight="1" x14ac:dyDescent="0.3">
      <c r="A468" s="78" t="s">
        <v>4089</v>
      </c>
      <c r="B468" s="79" t="s">
        <v>2203</v>
      </c>
      <c r="C468" s="112">
        <v>1176123</v>
      </c>
      <c r="D468" s="112">
        <v>1102645</v>
      </c>
      <c r="E468" s="112">
        <v>29340330</v>
      </c>
      <c r="F468" s="81" t="s">
        <v>4119</v>
      </c>
      <c r="G468" s="82" t="s">
        <v>4073</v>
      </c>
      <c r="H468" s="82" t="s">
        <v>4120</v>
      </c>
      <c r="I468" s="82" t="s">
        <v>3122</v>
      </c>
      <c r="J468" s="83" t="str">
        <f>VLOOKUP($C468,CHOOSE({1,2},'[4]Prestações de Conta inadimplent'!$D$9:$D$2000,'[4]Prestações de Conta inadimplent'!$C$9:$C$2000),2,0)</f>
        <v>Colegio Estadual Professora Adjaci Martins Durans</v>
      </c>
      <c r="L468" s="85"/>
      <c r="M468" s="85" t="e">
        <v>#REF!</v>
      </c>
      <c r="T468" s="86"/>
      <c r="U468" s="85"/>
      <c r="V468" s="87"/>
      <c r="W468" s="85"/>
      <c r="X468" s="88"/>
      <c r="Y468" s="89"/>
      <c r="Z468" s="89"/>
      <c r="AA468" s="88"/>
      <c r="AB468" s="88"/>
      <c r="AF468" s="90"/>
      <c r="AK468" s="91"/>
      <c r="AM468" s="92"/>
      <c r="AN468" s="92"/>
      <c r="AO468" s="92"/>
      <c r="AP468" s="92"/>
      <c r="AQ468" s="92"/>
      <c r="AR468" s="92"/>
    </row>
    <row r="469" spans="1:44" s="84" customFormat="1" ht="24" customHeight="1" x14ac:dyDescent="0.3">
      <c r="A469" s="78" t="s">
        <v>4121</v>
      </c>
      <c r="B469" s="79" t="s">
        <v>749</v>
      </c>
      <c r="C469" s="112">
        <v>1165846</v>
      </c>
      <c r="D469" s="112">
        <v>1101861</v>
      </c>
      <c r="E469" s="112">
        <v>29125898</v>
      </c>
      <c r="F469" s="81" t="s">
        <v>3130</v>
      </c>
      <c r="G469" s="82" t="s">
        <v>4122</v>
      </c>
      <c r="H469" s="82" t="s">
        <v>4123</v>
      </c>
      <c r="I469" s="82" t="s">
        <v>3122</v>
      </c>
      <c r="J469" s="83" t="str">
        <f>VLOOKUP($C469,CHOOSE({1,2},'[4]Prestações de Conta inadimplent'!$D$9:$D$2000,'[4]Prestações de Conta inadimplent'!$C$9:$C$2000),2,0)</f>
        <v>Colegio Estadual Castro Alves</v>
      </c>
      <c r="L469" s="85"/>
      <c r="M469" s="85" t="e">
        <v>#REF!</v>
      </c>
      <c r="T469" s="86"/>
      <c r="U469" s="85"/>
      <c r="V469" s="87"/>
      <c r="W469" s="85"/>
      <c r="X469" s="88"/>
      <c r="Y469" s="89"/>
      <c r="Z469" s="88"/>
      <c r="AA469" s="88"/>
      <c r="AB469" s="88"/>
      <c r="AF469" s="90"/>
      <c r="AK469" s="91"/>
      <c r="AM469" s="92"/>
      <c r="AN469" s="92"/>
      <c r="AO469" s="92"/>
      <c r="AP469" s="92"/>
      <c r="AQ469" s="92"/>
      <c r="AR469" s="92"/>
    </row>
    <row r="470" spans="1:44" s="84" customFormat="1" ht="24" customHeight="1" x14ac:dyDescent="0.3">
      <c r="A470" s="78" t="s">
        <v>4121</v>
      </c>
      <c r="B470" s="79" t="s">
        <v>753</v>
      </c>
      <c r="C470" s="112">
        <v>1114893</v>
      </c>
      <c r="D470" s="112">
        <v>1101866</v>
      </c>
      <c r="E470" s="112">
        <v>29126126</v>
      </c>
      <c r="F470" s="81" t="s">
        <v>4124</v>
      </c>
      <c r="G470" s="82" t="s">
        <v>4125</v>
      </c>
      <c r="H470" s="82" t="s">
        <v>4126</v>
      </c>
      <c r="I470" s="82" t="s">
        <v>3103</v>
      </c>
      <c r="J470" s="83" t="e">
        <f>VLOOKUP($C470,CHOOSE({1,2},'[4]Prestações de Conta inadimplent'!$D$9:$D$2000,'[4]Prestações de Conta inadimplent'!$C$9:$C$2000),2,0)</f>
        <v>#N/A</v>
      </c>
      <c r="L470" s="85"/>
      <c r="M470" s="85" t="e">
        <v>#REF!</v>
      </c>
      <c r="T470" s="86"/>
      <c r="U470" s="85"/>
      <c r="V470" s="87"/>
      <c r="W470" s="85"/>
      <c r="X470" s="88"/>
      <c r="Y470" s="89"/>
      <c r="Z470" s="88"/>
      <c r="AA470" s="88"/>
      <c r="AB470" s="88"/>
      <c r="AF470" s="90"/>
      <c r="AK470" s="91"/>
      <c r="AM470" s="92"/>
      <c r="AN470" s="92"/>
      <c r="AO470" s="92"/>
      <c r="AP470" s="92"/>
      <c r="AQ470" s="92"/>
      <c r="AR470" s="92"/>
    </row>
    <row r="471" spans="1:44" s="84" customFormat="1" ht="24" customHeight="1" x14ac:dyDescent="0.3">
      <c r="A471" s="78" t="s">
        <v>4121</v>
      </c>
      <c r="B471" s="79" t="s">
        <v>757</v>
      </c>
      <c r="C471" s="112">
        <v>1179131</v>
      </c>
      <c r="D471" s="112">
        <v>9999999</v>
      </c>
      <c r="E471" s="112">
        <v>29463980</v>
      </c>
      <c r="F471" s="81" t="s">
        <v>4127</v>
      </c>
      <c r="G471" s="82" t="s">
        <v>4128</v>
      </c>
      <c r="H471" s="82" t="s">
        <v>4129</v>
      </c>
      <c r="I471" s="82" t="s">
        <v>3103</v>
      </c>
      <c r="J471" s="83" t="e">
        <f>VLOOKUP($C471,CHOOSE({1,2},'[4]Prestações de Conta inadimplent'!$D$9:$D$2000,'[4]Prestações de Conta inadimplent'!$C$9:$C$2000),2,0)</f>
        <v>#N/A</v>
      </c>
      <c r="L471" s="85"/>
      <c r="M471" s="85" t="e">
        <v>#REF!</v>
      </c>
      <c r="T471" s="86"/>
      <c r="U471" s="85"/>
      <c r="V471" s="87"/>
      <c r="W471" s="85"/>
      <c r="X471" s="88"/>
      <c r="Y471" s="89"/>
      <c r="Z471" s="89"/>
      <c r="AA471" s="88"/>
      <c r="AB471" s="88"/>
      <c r="AF471" s="90"/>
      <c r="AK471" s="91"/>
      <c r="AM471" s="92"/>
      <c r="AN471" s="92"/>
      <c r="AO471" s="92"/>
      <c r="AP471" s="92"/>
      <c r="AQ471" s="92"/>
      <c r="AR471" s="92"/>
    </row>
    <row r="472" spans="1:44" s="84" customFormat="1" ht="24" customHeight="1" x14ac:dyDescent="0.3">
      <c r="A472" s="78" t="s">
        <v>4121</v>
      </c>
      <c r="B472" s="79" t="s">
        <v>757</v>
      </c>
      <c r="C472" s="112">
        <v>1178319</v>
      </c>
      <c r="D472" s="112">
        <v>1105544</v>
      </c>
      <c r="E472" s="112">
        <v>29599601</v>
      </c>
      <c r="F472" s="81" t="s">
        <v>4130</v>
      </c>
      <c r="G472" s="82" t="s">
        <v>4128</v>
      </c>
      <c r="H472" s="82" t="s">
        <v>4131</v>
      </c>
      <c r="I472" s="82" t="s">
        <v>3103</v>
      </c>
      <c r="J472" s="83" t="e">
        <f>VLOOKUP($C472,CHOOSE({1,2},'[4]Prestações de Conta inadimplent'!$D$9:$D$2000,'[4]Prestações de Conta inadimplent'!$C$9:$C$2000),2,0)</f>
        <v>#N/A</v>
      </c>
      <c r="L472" s="85"/>
      <c r="M472" s="85" t="e">
        <v>#REF!</v>
      </c>
      <c r="T472" s="86"/>
      <c r="U472" s="85"/>
      <c r="V472" s="87"/>
      <c r="W472" s="85"/>
      <c r="X472" s="88"/>
      <c r="Y472" s="89"/>
      <c r="Z472" s="89"/>
      <c r="AA472" s="88"/>
      <c r="AB472" s="88"/>
      <c r="AF472" s="90"/>
      <c r="AK472" s="91"/>
      <c r="AM472" s="92"/>
      <c r="AN472" s="92"/>
      <c r="AO472" s="92"/>
      <c r="AP472" s="92"/>
      <c r="AQ472" s="92"/>
      <c r="AR472" s="92"/>
    </row>
    <row r="473" spans="1:44" s="84" customFormat="1" ht="24" customHeight="1" x14ac:dyDescent="0.3">
      <c r="A473" s="78" t="s">
        <v>4121</v>
      </c>
      <c r="B473" s="79" t="s">
        <v>757</v>
      </c>
      <c r="C473" s="112">
        <v>1178443</v>
      </c>
      <c r="D473" s="112">
        <v>1105604</v>
      </c>
      <c r="E473" s="112">
        <v>29449340</v>
      </c>
      <c r="F473" s="81" t="s">
        <v>4132</v>
      </c>
      <c r="G473" s="82" t="s">
        <v>4128</v>
      </c>
      <c r="H473" s="82" t="s">
        <v>4133</v>
      </c>
      <c r="I473" s="82" t="s">
        <v>3103</v>
      </c>
      <c r="J473" s="83" t="e">
        <f>VLOOKUP($C473,CHOOSE({1,2},'[4]Prestações de Conta inadimplent'!$D$9:$D$2000,'[4]Prestações de Conta inadimplent'!$C$9:$C$2000),2,0)</f>
        <v>#N/A</v>
      </c>
      <c r="L473" s="85"/>
      <c r="M473" s="85" t="e">
        <v>#REF!</v>
      </c>
      <c r="T473" s="86"/>
      <c r="U473" s="85"/>
      <c r="V473" s="87"/>
      <c r="W473" s="85"/>
      <c r="X473" s="88"/>
      <c r="Y473" s="89"/>
      <c r="Z473" s="89"/>
      <c r="AA473" s="88"/>
      <c r="AB473" s="88"/>
      <c r="AF473" s="90"/>
      <c r="AK473" s="91"/>
      <c r="AM473" s="92"/>
      <c r="AN473" s="92"/>
      <c r="AO473" s="92"/>
      <c r="AP473" s="92"/>
      <c r="AQ473" s="92"/>
      <c r="AR473" s="92"/>
    </row>
    <row r="474" spans="1:44" s="84" customFormat="1" ht="24" customHeight="1" x14ac:dyDescent="0.3">
      <c r="A474" s="78" t="s">
        <v>4121</v>
      </c>
      <c r="B474" s="79" t="s">
        <v>757</v>
      </c>
      <c r="C474" s="112">
        <v>1179128</v>
      </c>
      <c r="D474" s="112">
        <v>1105575</v>
      </c>
      <c r="E474" s="112">
        <v>29126550</v>
      </c>
      <c r="F474" s="81" t="s">
        <v>758</v>
      </c>
      <c r="G474" s="82" t="s">
        <v>4128</v>
      </c>
      <c r="H474" s="82" t="s">
        <v>4134</v>
      </c>
      <c r="I474" s="82" t="s">
        <v>3103</v>
      </c>
      <c r="J474" s="83" t="e">
        <f>VLOOKUP($C474,CHOOSE({1,2},'[4]Prestações de Conta inadimplent'!$D$9:$D$2000,'[4]Prestações de Conta inadimplent'!$C$9:$C$2000),2,0)</f>
        <v>#N/A</v>
      </c>
      <c r="L474" s="85"/>
      <c r="M474" s="85" t="e">
        <v>#REF!</v>
      </c>
      <c r="T474" s="86"/>
      <c r="U474" s="85"/>
      <c r="V474" s="87"/>
      <c r="W474" s="85"/>
      <c r="X474" s="88"/>
      <c r="Y474" s="89"/>
      <c r="Z474" s="89"/>
      <c r="AA474" s="88"/>
      <c r="AB474" s="88"/>
      <c r="AF474" s="90"/>
      <c r="AK474" s="91"/>
      <c r="AM474" s="92"/>
      <c r="AN474" s="92"/>
      <c r="AO474" s="92"/>
      <c r="AP474" s="92"/>
      <c r="AQ474" s="92"/>
      <c r="AR474" s="92"/>
    </row>
    <row r="475" spans="1:44" s="84" customFormat="1" ht="24" customHeight="1" x14ac:dyDescent="0.3">
      <c r="A475" s="78" t="s">
        <v>4121</v>
      </c>
      <c r="B475" s="79" t="s">
        <v>757</v>
      </c>
      <c r="C475" s="112">
        <v>1178096</v>
      </c>
      <c r="D475" s="112">
        <v>1104564</v>
      </c>
      <c r="E475" s="112">
        <v>29429889</v>
      </c>
      <c r="F475" s="81" t="s">
        <v>4135</v>
      </c>
      <c r="G475" s="82" t="s">
        <v>4128</v>
      </c>
      <c r="H475" s="82" t="s">
        <v>4136</v>
      </c>
      <c r="I475" s="82" t="s">
        <v>3103</v>
      </c>
      <c r="J475" s="83" t="e">
        <f>VLOOKUP($C475,CHOOSE({1,2},'[4]Prestações de Conta inadimplent'!$D$9:$D$2000,'[4]Prestações de Conta inadimplent'!$C$9:$C$2000),2,0)</f>
        <v>#N/A</v>
      </c>
      <c r="L475" s="85"/>
      <c r="M475" s="85" t="e">
        <v>#REF!</v>
      </c>
      <c r="T475" s="86"/>
      <c r="U475" s="85"/>
      <c r="V475" s="87"/>
      <c r="W475" s="85"/>
      <c r="X475" s="88"/>
      <c r="Y475" s="89"/>
      <c r="Z475" s="88"/>
      <c r="AA475" s="88"/>
      <c r="AB475" s="88"/>
      <c r="AF475" s="90"/>
      <c r="AK475" s="91"/>
      <c r="AM475" s="92"/>
      <c r="AN475" s="92"/>
      <c r="AO475" s="92"/>
      <c r="AP475" s="92"/>
      <c r="AQ475" s="92"/>
      <c r="AR475" s="92"/>
    </row>
    <row r="476" spans="1:44" s="84" customFormat="1" ht="24" customHeight="1" x14ac:dyDescent="0.3">
      <c r="A476" s="78" t="s">
        <v>4121</v>
      </c>
      <c r="B476" s="79" t="s">
        <v>761</v>
      </c>
      <c r="C476" s="112">
        <v>1114729</v>
      </c>
      <c r="D476" s="112">
        <v>1101872</v>
      </c>
      <c r="E476" s="112">
        <v>29126991</v>
      </c>
      <c r="F476" s="81" t="s">
        <v>4137</v>
      </c>
      <c r="G476" s="82" t="s">
        <v>4138</v>
      </c>
      <c r="H476" s="82" t="s">
        <v>4139</v>
      </c>
      <c r="I476" s="82" t="s">
        <v>3103</v>
      </c>
      <c r="J476" s="83" t="e">
        <f>VLOOKUP($C476,CHOOSE({1,2},'[4]Prestações de Conta inadimplent'!$D$9:$D$2000,'[4]Prestações de Conta inadimplent'!$C$9:$C$2000),2,0)</f>
        <v>#N/A</v>
      </c>
      <c r="L476" s="85"/>
      <c r="M476" s="85" t="e">
        <v>#REF!</v>
      </c>
      <c r="T476" s="86"/>
      <c r="U476" s="85"/>
      <c r="V476" s="87"/>
      <c r="W476" s="85"/>
      <c r="X476" s="88"/>
      <c r="Y476" s="89"/>
      <c r="Z476" s="88"/>
      <c r="AA476" s="88"/>
      <c r="AB476" s="88"/>
      <c r="AF476" s="90"/>
      <c r="AK476" s="91"/>
      <c r="AM476" s="92"/>
      <c r="AN476" s="92"/>
      <c r="AO476" s="92"/>
      <c r="AP476" s="92"/>
      <c r="AQ476" s="92"/>
      <c r="AR476" s="92"/>
    </row>
    <row r="477" spans="1:44" s="84" customFormat="1" ht="24" customHeight="1" x14ac:dyDescent="0.3">
      <c r="A477" s="78" t="s">
        <v>4121</v>
      </c>
      <c r="B477" s="79" t="s">
        <v>761</v>
      </c>
      <c r="C477" s="112">
        <v>1178254</v>
      </c>
      <c r="D477" s="112">
        <v>1105495</v>
      </c>
      <c r="E477" s="112">
        <v>29468000</v>
      </c>
      <c r="F477" s="81" t="s">
        <v>4140</v>
      </c>
      <c r="G477" s="82" t="s">
        <v>4138</v>
      </c>
      <c r="H477" s="82" t="s">
        <v>4141</v>
      </c>
      <c r="I477" s="82" t="s">
        <v>3103</v>
      </c>
      <c r="J477" s="83" t="e">
        <f>VLOOKUP($C477,CHOOSE({1,2},'[4]Prestações de Conta inadimplent'!$D$9:$D$2000,'[4]Prestações de Conta inadimplent'!$C$9:$C$2000),2,0)</f>
        <v>#N/A</v>
      </c>
      <c r="L477" s="85"/>
      <c r="M477" s="85" t="e">
        <v>#REF!</v>
      </c>
      <c r="T477" s="86"/>
      <c r="U477" s="85"/>
      <c r="V477" s="87"/>
      <c r="W477" s="85"/>
      <c r="X477" s="88"/>
      <c r="Y477" s="89"/>
      <c r="Z477" s="89"/>
      <c r="AA477" s="88"/>
      <c r="AB477" s="88"/>
      <c r="AF477" s="90"/>
      <c r="AK477" s="91"/>
      <c r="AM477" s="92"/>
      <c r="AN477" s="92"/>
      <c r="AO477" s="92"/>
      <c r="AP477" s="92"/>
      <c r="AQ477" s="92"/>
      <c r="AR477" s="92"/>
    </row>
    <row r="478" spans="1:44" s="84" customFormat="1" ht="24" customHeight="1" x14ac:dyDescent="0.3">
      <c r="A478" s="78" t="s">
        <v>4121</v>
      </c>
      <c r="B478" s="79" t="s">
        <v>3059</v>
      </c>
      <c r="C478" s="112">
        <v>1178322</v>
      </c>
      <c r="D478" s="112">
        <v>1105548</v>
      </c>
      <c r="E478" s="112">
        <v>29850843</v>
      </c>
      <c r="F478" s="81" t="s">
        <v>3060</v>
      </c>
      <c r="G478" s="82" t="s">
        <v>4142</v>
      </c>
      <c r="H478" s="82" t="s">
        <v>4143</v>
      </c>
      <c r="I478" s="82" t="s">
        <v>3103</v>
      </c>
      <c r="J478" s="83" t="e">
        <f>VLOOKUP($C478,CHOOSE({1,2},'[4]Prestações de Conta inadimplent'!$D$9:$D$2000,'[4]Prestações de Conta inadimplent'!$C$9:$C$2000),2,0)</f>
        <v>#N/A</v>
      </c>
      <c r="L478" s="85"/>
      <c r="M478" s="85" t="e">
        <v>#REF!</v>
      </c>
      <c r="T478" s="86"/>
      <c r="U478" s="85"/>
      <c r="V478" s="87"/>
      <c r="W478" s="85"/>
      <c r="X478" s="88"/>
      <c r="Y478" s="89"/>
      <c r="Z478" s="88"/>
      <c r="AA478" s="88"/>
      <c r="AB478" s="88"/>
      <c r="AF478" s="90"/>
      <c r="AK478" s="91"/>
      <c r="AM478" s="92"/>
      <c r="AN478" s="92"/>
      <c r="AO478" s="92"/>
      <c r="AP478" s="92"/>
      <c r="AQ478" s="92"/>
      <c r="AR478" s="92"/>
    </row>
    <row r="479" spans="1:44" s="84" customFormat="1" ht="24" customHeight="1" x14ac:dyDescent="0.3">
      <c r="A479" s="78" t="s">
        <v>4121</v>
      </c>
      <c r="B479" s="79" t="s">
        <v>2497</v>
      </c>
      <c r="C479" s="112">
        <v>1178049</v>
      </c>
      <c r="D479" s="112">
        <v>1101759</v>
      </c>
      <c r="E479" s="112">
        <v>29423805</v>
      </c>
      <c r="F479" s="81" t="s">
        <v>4144</v>
      </c>
      <c r="G479" s="82" t="s">
        <v>4145</v>
      </c>
      <c r="H479" s="82" t="s">
        <v>4146</v>
      </c>
      <c r="I479" s="82" t="s">
        <v>3103</v>
      </c>
      <c r="J479" s="83" t="e">
        <f>VLOOKUP($C479,CHOOSE({1,2},'[4]Prestações de Conta inadimplent'!$D$9:$D$2000,'[4]Prestações de Conta inadimplent'!$C$9:$C$2000),2,0)</f>
        <v>#N/A</v>
      </c>
      <c r="L479" s="85"/>
      <c r="M479" s="85" t="e">
        <v>#REF!</v>
      </c>
      <c r="T479" s="86"/>
      <c r="U479" s="85"/>
      <c r="V479" s="87"/>
      <c r="W479" s="85"/>
      <c r="X479" s="88"/>
      <c r="Y479" s="89"/>
      <c r="Z479" s="88"/>
      <c r="AA479" s="88"/>
      <c r="AB479" s="88"/>
      <c r="AF479" s="90"/>
      <c r="AK479" s="91"/>
      <c r="AM479" s="92"/>
      <c r="AN479" s="92"/>
      <c r="AO479" s="92"/>
      <c r="AP479" s="92"/>
      <c r="AQ479" s="92"/>
      <c r="AR479" s="92"/>
    </row>
    <row r="480" spans="1:44" s="84" customFormat="1" ht="24" customHeight="1" x14ac:dyDescent="0.3">
      <c r="A480" s="78" t="s">
        <v>4121</v>
      </c>
      <c r="B480" s="79" t="s">
        <v>725</v>
      </c>
      <c r="C480" s="112">
        <v>1114559</v>
      </c>
      <c r="D480" s="112">
        <v>1101993</v>
      </c>
      <c r="E480" s="112">
        <v>29117666</v>
      </c>
      <c r="F480" s="81" t="s">
        <v>732</v>
      </c>
      <c r="G480" s="82" t="s">
        <v>4147</v>
      </c>
      <c r="H480" s="82" t="s">
        <v>4148</v>
      </c>
      <c r="I480" s="82" t="s">
        <v>3103</v>
      </c>
      <c r="J480" s="83" t="e">
        <f>VLOOKUP($C480,CHOOSE({1,2},'[4]Prestações de Conta inadimplent'!$D$9:$D$2000,'[4]Prestações de Conta inadimplent'!$C$9:$C$2000),2,0)</f>
        <v>#N/A</v>
      </c>
      <c r="L480" s="85"/>
      <c r="M480" s="85" t="e">
        <v>#REF!</v>
      </c>
      <c r="T480" s="86"/>
      <c r="U480" s="85"/>
      <c r="V480" s="87"/>
      <c r="W480" s="85"/>
      <c r="X480" s="88"/>
      <c r="Y480" s="89"/>
      <c r="Z480" s="88"/>
      <c r="AA480" s="88"/>
      <c r="AB480" s="88"/>
      <c r="AF480" s="90"/>
      <c r="AK480" s="91"/>
      <c r="AM480" s="92"/>
      <c r="AN480" s="92"/>
      <c r="AO480" s="92"/>
      <c r="AP480" s="92"/>
      <c r="AQ480" s="92"/>
      <c r="AR480" s="92"/>
    </row>
    <row r="481" spans="1:44" s="84" customFormat="1" ht="24" customHeight="1" x14ac:dyDescent="0.3">
      <c r="A481" s="78" t="s">
        <v>4121</v>
      </c>
      <c r="B481" s="79" t="s">
        <v>725</v>
      </c>
      <c r="C481" s="112">
        <v>1114680</v>
      </c>
      <c r="D481" s="112">
        <v>1101998</v>
      </c>
      <c r="E481" s="112">
        <v>29117240</v>
      </c>
      <c r="F481" s="81" t="s">
        <v>729</v>
      </c>
      <c r="G481" s="82" t="s">
        <v>4147</v>
      </c>
      <c r="H481" s="82" t="s">
        <v>4149</v>
      </c>
      <c r="I481" s="82" t="s">
        <v>3103</v>
      </c>
      <c r="J481" s="83" t="e">
        <f>VLOOKUP($C481,CHOOSE({1,2},'[4]Prestações de Conta inadimplent'!$D$9:$D$2000,'[4]Prestações de Conta inadimplent'!$C$9:$C$2000),2,0)</f>
        <v>#N/A</v>
      </c>
      <c r="L481" s="85"/>
      <c r="M481" s="85" t="e">
        <v>#REF!</v>
      </c>
      <c r="T481" s="86"/>
      <c r="U481" s="85"/>
      <c r="V481" s="87"/>
      <c r="W481" s="85"/>
      <c r="X481" s="88"/>
      <c r="Y481" s="89"/>
      <c r="Z481" s="88"/>
      <c r="AA481" s="88"/>
      <c r="AB481" s="88"/>
      <c r="AF481" s="90"/>
      <c r="AK481" s="91"/>
      <c r="AM481" s="92"/>
      <c r="AN481" s="92"/>
      <c r="AO481" s="92"/>
      <c r="AP481" s="92"/>
      <c r="AQ481" s="92"/>
      <c r="AR481" s="92"/>
    </row>
    <row r="482" spans="1:44" s="84" customFormat="1" ht="24" customHeight="1" x14ac:dyDescent="0.3">
      <c r="A482" s="78" t="s">
        <v>4121</v>
      </c>
      <c r="B482" s="79" t="s">
        <v>725</v>
      </c>
      <c r="C482" s="112">
        <v>1179120</v>
      </c>
      <c r="D482" s="112">
        <v>1105581</v>
      </c>
      <c r="E482" s="112">
        <v>29117194</v>
      </c>
      <c r="F482" s="81" t="s">
        <v>4150</v>
      </c>
      <c r="G482" s="82" t="s">
        <v>4147</v>
      </c>
      <c r="H482" s="82" t="s">
        <v>4151</v>
      </c>
      <c r="I482" s="82" t="s">
        <v>3103</v>
      </c>
      <c r="J482" s="83" t="e">
        <f>VLOOKUP($C482,CHOOSE({1,2},'[4]Prestações de Conta inadimplent'!$D$9:$D$2000,'[4]Prestações de Conta inadimplent'!$C$9:$C$2000),2,0)</f>
        <v>#N/A</v>
      </c>
      <c r="L482" s="85"/>
      <c r="M482" s="85" t="e">
        <v>#REF!</v>
      </c>
      <c r="T482" s="86"/>
      <c r="U482" s="85"/>
      <c r="V482" s="87"/>
      <c r="W482" s="85"/>
      <c r="X482" s="88"/>
      <c r="Y482" s="89"/>
      <c r="Z482" s="89"/>
      <c r="AA482" s="88"/>
      <c r="AB482" s="88"/>
      <c r="AF482" s="90"/>
      <c r="AK482" s="91"/>
      <c r="AM482" s="92"/>
      <c r="AN482" s="92"/>
      <c r="AO482" s="92"/>
      <c r="AP482" s="92"/>
      <c r="AQ482" s="92"/>
      <c r="AR482" s="92"/>
    </row>
    <row r="483" spans="1:44" s="84" customFormat="1" ht="24" customHeight="1" x14ac:dyDescent="0.3">
      <c r="A483" s="78" t="s">
        <v>4121</v>
      </c>
      <c r="B483" s="79" t="s">
        <v>765</v>
      </c>
      <c r="C483" s="112">
        <v>1114478</v>
      </c>
      <c r="D483" s="112">
        <v>1101891</v>
      </c>
      <c r="E483" s="112">
        <v>29128366</v>
      </c>
      <c r="F483" s="81" t="s">
        <v>4152</v>
      </c>
      <c r="G483" s="82" t="s">
        <v>4138</v>
      </c>
      <c r="H483" s="82" t="s">
        <v>4153</v>
      </c>
      <c r="I483" s="82" t="s">
        <v>3103</v>
      </c>
      <c r="J483" s="83" t="e">
        <f>VLOOKUP($C483,CHOOSE({1,2},'[4]Prestações de Conta inadimplent'!$D$9:$D$2000,'[4]Prestações de Conta inadimplent'!$C$9:$C$2000),2,0)</f>
        <v>#N/A</v>
      </c>
      <c r="L483" s="85"/>
      <c r="M483" s="85" t="e">
        <v>#REF!</v>
      </c>
      <c r="T483" s="86"/>
      <c r="U483" s="85"/>
      <c r="V483" s="87"/>
      <c r="W483" s="85"/>
      <c r="X483" s="88"/>
      <c r="Y483" s="89"/>
      <c r="Z483" s="88"/>
      <c r="AA483" s="88"/>
      <c r="AB483" s="88"/>
      <c r="AF483" s="90"/>
      <c r="AK483" s="91"/>
      <c r="AM483" s="92"/>
      <c r="AN483" s="92"/>
      <c r="AO483" s="92"/>
      <c r="AP483" s="92"/>
      <c r="AQ483" s="92"/>
      <c r="AR483" s="92"/>
    </row>
    <row r="484" spans="1:44" s="84" customFormat="1" ht="24" customHeight="1" x14ac:dyDescent="0.3">
      <c r="A484" s="78" t="s">
        <v>4121</v>
      </c>
      <c r="B484" s="79" t="s">
        <v>2700</v>
      </c>
      <c r="C484" s="112">
        <v>1178118</v>
      </c>
      <c r="D484" s="112">
        <v>1105039</v>
      </c>
      <c r="E484" s="112">
        <v>29434530</v>
      </c>
      <c r="F484" s="81" t="s">
        <v>4154</v>
      </c>
      <c r="G484" s="82" t="s">
        <v>4155</v>
      </c>
      <c r="H484" s="82" t="s">
        <v>4156</v>
      </c>
      <c r="I484" s="82" t="s">
        <v>3103</v>
      </c>
      <c r="J484" s="83" t="e">
        <f>VLOOKUP($C484,CHOOSE({1,2},'[4]Prestações de Conta inadimplent'!$D$9:$D$2000,'[4]Prestações de Conta inadimplent'!$C$9:$C$2000),2,0)</f>
        <v>#N/A</v>
      </c>
      <c r="L484" s="85"/>
      <c r="M484" s="85" t="e">
        <v>#REF!</v>
      </c>
      <c r="T484" s="86"/>
      <c r="U484" s="85"/>
      <c r="V484" s="87"/>
      <c r="W484" s="85"/>
      <c r="X484" s="88"/>
      <c r="Y484" s="89"/>
      <c r="Z484" s="88"/>
      <c r="AA484" s="88"/>
      <c r="AB484" s="88"/>
      <c r="AF484" s="90"/>
      <c r="AK484" s="91"/>
      <c r="AM484" s="92"/>
      <c r="AN484" s="92"/>
      <c r="AO484" s="92"/>
      <c r="AP484" s="92"/>
      <c r="AQ484" s="92"/>
      <c r="AR484" s="92"/>
    </row>
    <row r="485" spans="1:44" s="84" customFormat="1" ht="24" customHeight="1" x14ac:dyDescent="0.3">
      <c r="A485" s="78" t="s">
        <v>4121</v>
      </c>
      <c r="B485" s="79" t="s">
        <v>702</v>
      </c>
      <c r="C485" s="112">
        <v>1178136</v>
      </c>
      <c r="D485" s="112">
        <v>1105057</v>
      </c>
      <c r="E485" s="112">
        <v>29436931</v>
      </c>
      <c r="F485" s="81" t="s">
        <v>4157</v>
      </c>
      <c r="G485" s="82" t="s">
        <v>4158</v>
      </c>
      <c r="H485" s="82" t="s">
        <v>4159</v>
      </c>
      <c r="I485" s="82" t="s">
        <v>3103</v>
      </c>
      <c r="J485" s="83" t="e">
        <f>VLOOKUP($C485,CHOOSE({1,2},'[4]Prestações de Conta inadimplent'!$D$9:$D$2000,'[4]Prestações de Conta inadimplent'!$C$9:$C$2000),2,0)</f>
        <v>#N/A</v>
      </c>
      <c r="L485" s="85"/>
      <c r="M485" s="85" t="e">
        <v>#REF!</v>
      </c>
      <c r="T485" s="86"/>
      <c r="U485" s="85"/>
      <c r="V485" s="87"/>
      <c r="W485" s="85"/>
      <c r="X485" s="88"/>
      <c r="Y485" s="89"/>
      <c r="Z485" s="89"/>
      <c r="AA485" s="88"/>
      <c r="AB485" s="88"/>
      <c r="AF485" s="90"/>
      <c r="AK485" s="91"/>
      <c r="AM485" s="92"/>
      <c r="AN485" s="92"/>
      <c r="AO485" s="92"/>
      <c r="AP485" s="92"/>
      <c r="AQ485" s="92"/>
      <c r="AR485" s="92"/>
    </row>
    <row r="486" spans="1:44" s="84" customFormat="1" ht="24" customHeight="1" x14ac:dyDescent="0.3">
      <c r="A486" s="78" t="s">
        <v>4121</v>
      </c>
      <c r="B486" s="79" t="s">
        <v>2432</v>
      </c>
      <c r="C486" s="112">
        <v>1177006</v>
      </c>
      <c r="D486" s="112">
        <v>1101905</v>
      </c>
      <c r="E486" s="112">
        <v>29407834</v>
      </c>
      <c r="F486" s="81" t="s">
        <v>4160</v>
      </c>
      <c r="G486" s="82" t="s">
        <v>4161</v>
      </c>
      <c r="H486" s="82" t="s">
        <v>4162</v>
      </c>
      <c r="I486" s="82" t="s">
        <v>3103</v>
      </c>
      <c r="J486" s="83" t="e">
        <f>VLOOKUP($C486,CHOOSE({1,2},'[4]Prestações de Conta inadimplent'!$D$9:$D$2000,'[4]Prestações de Conta inadimplent'!$C$9:$C$2000),2,0)</f>
        <v>#N/A</v>
      </c>
      <c r="L486" s="85"/>
      <c r="M486" s="85" t="e">
        <v>#REF!</v>
      </c>
      <c r="T486" s="86"/>
      <c r="U486" s="85"/>
      <c r="V486" s="87"/>
      <c r="W486" s="85"/>
      <c r="X486" s="88"/>
      <c r="Y486" s="89"/>
      <c r="Z486" s="89"/>
      <c r="AA486" s="88"/>
      <c r="AB486" s="88"/>
      <c r="AF486" s="90"/>
      <c r="AK486" s="91"/>
      <c r="AM486" s="92"/>
      <c r="AN486" s="92"/>
      <c r="AO486" s="92"/>
      <c r="AP486" s="92"/>
      <c r="AQ486" s="92"/>
      <c r="AR486" s="92"/>
    </row>
    <row r="487" spans="1:44" s="84" customFormat="1" ht="24" customHeight="1" x14ac:dyDescent="0.3">
      <c r="A487" s="78" t="s">
        <v>4121</v>
      </c>
      <c r="B487" s="79" t="s">
        <v>773</v>
      </c>
      <c r="C487" s="112">
        <v>1166133</v>
      </c>
      <c r="D487" s="112">
        <v>1101906</v>
      </c>
      <c r="E487" s="112">
        <v>29131383</v>
      </c>
      <c r="F487" s="81" t="s">
        <v>4163</v>
      </c>
      <c r="G487" s="82" t="s">
        <v>4125</v>
      </c>
      <c r="H487" s="82" t="s">
        <v>4164</v>
      </c>
      <c r="I487" s="82" t="s">
        <v>3103</v>
      </c>
      <c r="J487" s="83" t="e">
        <f>VLOOKUP($C487,CHOOSE({1,2},'[4]Prestações de Conta inadimplent'!$D$9:$D$2000,'[4]Prestações de Conta inadimplent'!$C$9:$C$2000),2,0)</f>
        <v>#N/A</v>
      </c>
      <c r="L487" s="85"/>
      <c r="M487" s="85" t="e">
        <v>#REF!</v>
      </c>
      <c r="T487" s="86"/>
      <c r="U487" s="85"/>
      <c r="V487" s="87"/>
      <c r="W487" s="85"/>
      <c r="X487" s="88"/>
      <c r="Y487" s="89"/>
      <c r="Z487" s="89"/>
      <c r="AA487" s="88"/>
      <c r="AB487" s="88"/>
      <c r="AF487" s="90"/>
      <c r="AK487" s="91"/>
      <c r="AM487" s="92"/>
      <c r="AN487" s="92"/>
      <c r="AO487" s="92"/>
      <c r="AP487" s="92"/>
      <c r="AQ487" s="92"/>
      <c r="AR487" s="92"/>
    </row>
    <row r="488" spans="1:44" s="84" customFormat="1" ht="24" customHeight="1" x14ac:dyDescent="0.3">
      <c r="A488" s="78" t="s">
        <v>4121</v>
      </c>
      <c r="B488" s="79" t="s">
        <v>781</v>
      </c>
      <c r="C488" s="112">
        <v>1115091</v>
      </c>
      <c r="D488" s="112">
        <v>1101918</v>
      </c>
      <c r="E488" s="112">
        <v>29132045</v>
      </c>
      <c r="F488" s="81" t="s">
        <v>4165</v>
      </c>
      <c r="G488" s="82" t="s">
        <v>4166</v>
      </c>
      <c r="H488" s="82" t="s">
        <v>4167</v>
      </c>
      <c r="I488" s="82" t="s">
        <v>3103</v>
      </c>
      <c r="J488" s="83" t="e">
        <f>VLOOKUP($C488,CHOOSE({1,2},'[4]Prestações de Conta inadimplent'!$D$9:$D$2000,'[4]Prestações de Conta inadimplent'!$C$9:$C$2000),2,0)</f>
        <v>#N/A</v>
      </c>
      <c r="L488" s="85"/>
      <c r="M488" s="85" t="e">
        <v>#REF!</v>
      </c>
      <c r="T488" s="86"/>
      <c r="U488" s="85"/>
      <c r="V488" s="87"/>
      <c r="W488" s="85"/>
      <c r="X488" s="88"/>
      <c r="Y488" s="89"/>
      <c r="Z488" s="89"/>
      <c r="AA488" s="88"/>
      <c r="AB488" s="88"/>
      <c r="AF488" s="90"/>
      <c r="AH488" s="85"/>
      <c r="AK488" s="91"/>
      <c r="AM488" s="92"/>
      <c r="AN488" s="92"/>
      <c r="AO488" s="92"/>
      <c r="AP488" s="92"/>
      <c r="AQ488" s="92"/>
      <c r="AR488" s="92"/>
    </row>
    <row r="489" spans="1:44" s="84" customFormat="1" ht="24" customHeight="1" x14ac:dyDescent="0.3">
      <c r="A489" s="78" t="s">
        <v>4121</v>
      </c>
      <c r="B489" s="79" t="s">
        <v>706</v>
      </c>
      <c r="C489" s="112">
        <v>1138539</v>
      </c>
      <c r="D489" s="112">
        <v>1101927</v>
      </c>
      <c r="E489" s="112">
        <v>29113881</v>
      </c>
      <c r="F489" s="81" t="s">
        <v>4168</v>
      </c>
      <c r="G489" s="82" t="s">
        <v>4158</v>
      </c>
      <c r="H489" s="82" t="s">
        <v>4169</v>
      </c>
      <c r="I489" s="82" t="s">
        <v>3103</v>
      </c>
      <c r="J489" s="83" t="e">
        <f>VLOOKUP($C489,CHOOSE({1,2},'[4]Prestações de Conta inadimplent'!$D$9:$D$2000,'[4]Prestações de Conta inadimplent'!$C$9:$C$2000),2,0)</f>
        <v>#N/A</v>
      </c>
      <c r="L489" s="85"/>
      <c r="M489" s="85" t="e">
        <v>#REF!</v>
      </c>
      <c r="T489" s="86"/>
      <c r="U489" s="85"/>
      <c r="V489" s="87"/>
      <c r="W489" s="85"/>
      <c r="X489" s="88"/>
      <c r="Y489" s="89"/>
      <c r="Z489" s="89"/>
      <c r="AA489" s="88"/>
      <c r="AB489" s="88"/>
      <c r="AF489" s="90"/>
      <c r="AK489" s="91"/>
      <c r="AM489" s="92"/>
      <c r="AN489" s="92"/>
      <c r="AO489" s="92"/>
      <c r="AP489" s="92"/>
      <c r="AQ489" s="92"/>
      <c r="AR489" s="92"/>
    </row>
    <row r="490" spans="1:44" s="84" customFormat="1" ht="24" customHeight="1" x14ac:dyDescent="0.3">
      <c r="A490" s="78" t="s">
        <v>4121</v>
      </c>
      <c r="B490" s="79" t="s">
        <v>50</v>
      </c>
      <c r="C490" s="112">
        <v>1115342</v>
      </c>
      <c r="D490" s="112">
        <v>1101922</v>
      </c>
      <c r="E490" s="112">
        <v>29132711</v>
      </c>
      <c r="F490" s="81" t="s">
        <v>785</v>
      </c>
      <c r="G490" s="82" t="s">
        <v>4155</v>
      </c>
      <c r="H490" s="82" t="s">
        <v>4170</v>
      </c>
      <c r="I490" s="82" t="s">
        <v>3103</v>
      </c>
      <c r="J490" s="83" t="e">
        <f>VLOOKUP($C490,CHOOSE({1,2},'[4]Prestações de Conta inadimplent'!$D$9:$D$2000,'[4]Prestações de Conta inadimplent'!$C$9:$C$2000),2,0)</f>
        <v>#N/A</v>
      </c>
      <c r="L490" s="85"/>
      <c r="M490" s="85" t="e">
        <v>#REF!</v>
      </c>
      <c r="T490" s="86"/>
      <c r="U490" s="85"/>
      <c r="V490" s="87"/>
      <c r="W490" s="85"/>
      <c r="X490" s="88"/>
      <c r="Y490" s="89"/>
      <c r="Z490" s="88"/>
      <c r="AA490" s="88"/>
      <c r="AB490" s="88"/>
      <c r="AF490" s="90"/>
      <c r="AK490" s="91"/>
      <c r="AM490" s="92"/>
      <c r="AN490" s="92"/>
      <c r="AO490" s="92"/>
      <c r="AP490" s="92"/>
      <c r="AQ490" s="92"/>
      <c r="AR490" s="92"/>
    </row>
    <row r="491" spans="1:44" s="84" customFormat="1" ht="24" customHeight="1" x14ac:dyDescent="0.3">
      <c r="A491" s="78" t="s">
        <v>4121</v>
      </c>
      <c r="B491" s="79" t="s">
        <v>787</v>
      </c>
      <c r="C491" s="112">
        <v>1178084</v>
      </c>
      <c r="D491" s="112">
        <v>1104530</v>
      </c>
      <c r="E491" s="112">
        <v>29428530</v>
      </c>
      <c r="F491" s="81" t="s">
        <v>2577</v>
      </c>
      <c r="G491" s="82" t="s">
        <v>4155</v>
      </c>
      <c r="H491" s="82" t="s">
        <v>4171</v>
      </c>
      <c r="I491" s="82" t="s">
        <v>3103</v>
      </c>
      <c r="J491" s="83" t="e">
        <f>VLOOKUP($C491,CHOOSE({1,2},'[4]Prestações de Conta inadimplent'!$D$9:$D$2000,'[4]Prestações de Conta inadimplent'!$C$9:$C$2000),2,0)</f>
        <v>#N/A</v>
      </c>
      <c r="L491" s="85"/>
      <c r="M491" s="85" t="e">
        <v>#REF!</v>
      </c>
      <c r="T491" s="86"/>
      <c r="U491" s="85"/>
      <c r="V491" s="87"/>
      <c r="W491" s="85"/>
      <c r="X491" s="88"/>
      <c r="Y491" s="89"/>
      <c r="Z491" s="89"/>
      <c r="AA491" s="88"/>
      <c r="AB491" s="88"/>
      <c r="AF491" s="90"/>
      <c r="AK491" s="91"/>
      <c r="AM491" s="92"/>
      <c r="AN491" s="92"/>
      <c r="AO491" s="92"/>
      <c r="AP491" s="92"/>
      <c r="AQ491" s="92"/>
      <c r="AR491" s="92"/>
    </row>
    <row r="492" spans="1:44" s="84" customFormat="1" ht="24" customHeight="1" x14ac:dyDescent="0.3">
      <c r="A492" s="78" t="s">
        <v>4121</v>
      </c>
      <c r="B492" s="79" t="s">
        <v>787</v>
      </c>
      <c r="C492" s="112">
        <v>1178429</v>
      </c>
      <c r="D492" s="112">
        <v>1105589</v>
      </c>
      <c r="E492" s="112">
        <v>29398940</v>
      </c>
      <c r="F492" s="81" t="s">
        <v>4172</v>
      </c>
      <c r="G492" s="82" t="s">
        <v>4155</v>
      </c>
      <c r="H492" s="82" t="s">
        <v>3251</v>
      </c>
      <c r="I492" s="82" t="s">
        <v>3103</v>
      </c>
      <c r="J492" s="83" t="e">
        <f>VLOOKUP($C492,CHOOSE({1,2},'[4]Prestações de Conta inadimplent'!$D$9:$D$2000,'[4]Prestações de Conta inadimplent'!$C$9:$C$2000),2,0)</f>
        <v>#N/A</v>
      </c>
      <c r="L492" s="85"/>
      <c r="M492" s="85" t="e">
        <v>#REF!</v>
      </c>
      <c r="T492" s="86"/>
      <c r="U492" s="85"/>
      <c r="V492" s="87"/>
      <c r="W492" s="85"/>
      <c r="X492" s="88"/>
      <c r="Y492" s="89"/>
      <c r="Z492" s="89"/>
      <c r="AA492" s="88"/>
      <c r="AB492" s="88"/>
      <c r="AF492" s="90"/>
      <c r="AH492" s="85"/>
      <c r="AK492" s="91"/>
      <c r="AM492" s="92"/>
      <c r="AN492" s="92"/>
      <c r="AO492" s="92"/>
      <c r="AP492" s="92"/>
      <c r="AQ492" s="92"/>
      <c r="AR492" s="92"/>
    </row>
    <row r="493" spans="1:44" s="84" customFormat="1" ht="24" customHeight="1" x14ac:dyDescent="0.3">
      <c r="A493" s="78" t="s">
        <v>4121</v>
      </c>
      <c r="B493" s="79" t="s">
        <v>787</v>
      </c>
      <c r="C493" s="112">
        <v>1115393</v>
      </c>
      <c r="D493" s="112">
        <v>1102016</v>
      </c>
      <c r="E493" s="112">
        <v>29133955</v>
      </c>
      <c r="F493" s="81" t="s">
        <v>4173</v>
      </c>
      <c r="G493" s="82" t="s">
        <v>4155</v>
      </c>
      <c r="H493" s="82" t="s">
        <v>4174</v>
      </c>
      <c r="I493" s="82" t="s">
        <v>3103</v>
      </c>
      <c r="J493" s="83" t="e">
        <f>VLOOKUP($C493,CHOOSE({1,2},'[4]Prestações de Conta inadimplent'!$D$9:$D$2000,'[4]Prestações de Conta inadimplent'!$C$9:$C$2000),2,0)</f>
        <v>#N/A</v>
      </c>
      <c r="L493" s="85"/>
      <c r="M493" s="85" t="e">
        <v>#REF!</v>
      </c>
      <c r="T493" s="86"/>
      <c r="U493" s="85"/>
      <c r="V493" s="87"/>
      <c r="W493" s="85"/>
      <c r="X493" s="88"/>
      <c r="Y493" s="89"/>
      <c r="Z493" s="89"/>
      <c r="AA493" s="88"/>
      <c r="AB493" s="88"/>
      <c r="AF493" s="90"/>
      <c r="AK493" s="91"/>
      <c r="AM493" s="92"/>
      <c r="AN493" s="92"/>
      <c r="AO493" s="92"/>
      <c r="AP493" s="92"/>
      <c r="AQ493" s="92"/>
      <c r="AR493" s="92"/>
    </row>
    <row r="494" spans="1:44" s="84" customFormat="1" ht="24" customHeight="1" x14ac:dyDescent="0.3">
      <c r="A494" s="78" t="s">
        <v>4121</v>
      </c>
      <c r="B494" s="79" t="s">
        <v>787</v>
      </c>
      <c r="C494" s="112">
        <v>1115326</v>
      </c>
      <c r="D494" s="112">
        <v>1102014</v>
      </c>
      <c r="E494" s="112">
        <v>29133130</v>
      </c>
      <c r="F494" s="81" t="s">
        <v>4175</v>
      </c>
      <c r="G494" s="82" t="s">
        <v>4155</v>
      </c>
      <c r="H494" s="82" t="s">
        <v>4176</v>
      </c>
      <c r="I494" s="82" t="s">
        <v>3103</v>
      </c>
      <c r="J494" s="83" t="e">
        <f>VLOOKUP($C494,CHOOSE({1,2},'[4]Prestações de Conta inadimplent'!$D$9:$D$2000,'[4]Prestações de Conta inadimplent'!$C$9:$C$2000),2,0)</f>
        <v>#N/A</v>
      </c>
      <c r="L494" s="85"/>
      <c r="M494" s="85" t="e">
        <v>#REF!</v>
      </c>
      <c r="T494" s="86"/>
      <c r="U494" s="85"/>
      <c r="V494" s="87"/>
      <c r="W494" s="85"/>
      <c r="X494" s="88"/>
      <c r="Y494" s="89"/>
      <c r="Z494" s="89"/>
      <c r="AA494" s="88"/>
      <c r="AB494" s="88"/>
      <c r="AF494" s="90"/>
      <c r="AK494" s="91"/>
      <c r="AM494" s="92"/>
      <c r="AN494" s="92"/>
      <c r="AO494" s="92"/>
      <c r="AP494" s="92"/>
      <c r="AQ494" s="92"/>
      <c r="AR494" s="92"/>
    </row>
    <row r="495" spans="1:44" s="84" customFormat="1" ht="24" customHeight="1" x14ac:dyDescent="0.3">
      <c r="A495" s="78" t="s">
        <v>4121</v>
      </c>
      <c r="B495" s="79" t="s">
        <v>710</v>
      </c>
      <c r="C495" s="112">
        <v>1114303</v>
      </c>
      <c r="D495" s="112">
        <v>1101939</v>
      </c>
      <c r="E495" s="112">
        <v>29114500</v>
      </c>
      <c r="F495" s="81" t="s">
        <v>4177</v>
      </c>
      <c r="G495" s="82" t="s">
        <v>4178</v>
      </c>
      <c r="H495" s="82" t="s">
        <v>4179</v>
      </c>
      <c r="I495" s="82" t="s">
        <v>3103</v>
      </c>
      <c r="J495" s="83" t="e">
        <f>VLOOKUP($C495,CHOOSE({1,2},'[4]Prestações de Conta inadimplent'!$D$9:$D$2000,'[4]Prestações de Conta inadimplent'!$C$9:$C$2000),2,0)</f>
        <v>#N/A</v>
      </c>
      <c r="L495" s="85"/>
      <c r="M495" s="85" t="e">
        <v>#REF!</v>
      </c>
      <c r="T495" s="86"/>
      <c r="U495" s="85"/>
      <c r="V495" s="87"/>
      <c r="W495" s="85"/>
      <c r="X495" s="88"/>
      <c r="Y495" s="89"/>
      <c r="Z495" s="89"/>
      <c r="AA495" s="88"/>
      <c r="AB495" s="88"/>
      <c r="AF495" s="90"/>
      <c r="AK495" s="91"/>
      <c r="AM495" s="92"/>
      <c r="AN495" s="92"/>
      <c r="AO495" s="92"/>
      <c r="AP495" s="92"/>
      <c r="AQ495" s="92"/>
      <c r="AR495" s="92"/>
    </row>
    <row r="496" spans="1:44" s="84" customFormat="1" ht="24" customHeight="1" x14ac:dyDescent="0.3">
      <c r="A496" s="78" t="s">
        <v>4121</v>
      </c>
      <c r="B496" s="79" t="s">
        <v>714</v>
      </c>
      <c r="C496" s="112">
        <v>1171196</v>
      </c>
      <c r="D496" s="112">
        <v>1101941</v>
      </c>
      <c r="E496" s="112">
        <v>29115396</v>
      </c>
      <c r="F496" s="81" t="s">
        <v>715</v>
      </c>
      <c r="G496" s="82" t="s">
        <v>4125</v>
      </c>
      <c r="H496" s="82" t="s">
        <v>4180</v>
      </c>
      <c r="I496" s="82" t="s">
        <v>3122</v>
      </c>
      <c r="J496" s="83" t="str">
        <f>VLOOKUP($C496,CHOOSE({1,2},'[4]Prestações de Conta inadimplent'!$D$9:$D$2000,'[4]Prestações de Conta inadimplent'!$C$9:$C$2000),2,0)</f>
        <v>Colegio Estadual De Tempo Integral Joao Francisco Da Silva</v>
      </c>
      <c r="L496" s="85"/>
      <c r="M496" s="85" t="e">
        <v>#REF!</v>
      </c>
      <c r="T496" s="86"/>
      <c r="U496" s="85"/>
      <c r="V496" s="87"/>
      <c r="W496" s="85"/>
      <c r="X496" s="88"/>
      <c r="Y496" s="89"/>
      <c r="Z496" s="88"/>
      <c r="AA496" s="88"/>
      <c r="AB496" s="88"/>
      <c r="AF496" s="90"/>
      <c r="AK496" s="91"/>
      <c r="AM496" s="92"/>
      <c r="AN496" s="92"/>
      <c r="AO496" s="92"/>
      <c r="AP496" s="92"/>
      <c r="AQ496" s="92"/>
      <c r="AR496" s="92"/>
    </row>
    <row r="497" spans="1:44" s="84" customFormat="1" ht="24" customHeight="1" x14ac:dyDescent="0.3">
      <c r="A497" s="78" t="s">
        <v>4181</v>
      </c>
      <c r="B497" s="79" t="s">
        <v>2800</v>
      </c>
      <c r="C497" s="112">
        <v>1178221</v>
      </c>
      <c r="D497" s="112">
        <v>1105533</v>
      </c>
      <c r="E497" s="112">
        <v>29446740</v>
      </c>
      <c r="F497" s="81" t="s">
        <v>4182</v>
      </c>
      <c r="G497" s="82" t="s">
        <v>4183</v>
      </c>
      <c r="H497" s="82" t="s">
        <v>4184</v>
      </c>
      <c r="I497" s="82" t="s">
        <v>3103</v>
      </c>
      <c r="J497" s="83" t="e">
        <f>VLOOKUP($C497,CHOOSE({1,2},'[4]Prestações de Conta inadimplent'!$D$9:$D$2000,'[4]Prestações de Conta inadimplent'!$C$9:$C$2000),2,0)</f>
        <v>#N/A</v>
      </c>
      <c r="L497" s="85"/>
      <c r="M497" s="85" t="e">
        <v>#REF!</v>
      </c>
      <c r="T497" s="86"/>
      <c r="U497" s="85"/>
      <c r="V497" s="87"/>
      <c r="W497" s="85"/>
      <c r="X497" s="88"/>
      <c r="Y497" s="89"/>
      <c r="Z497" s="89"/>
      <c r="AA497" s="88"/>
      <c r="AB497" s="88"/>
      <c r="AF497" s="90"/>
      <c r="AK497" s="91"/>
      <c r="AM497" s="92"/>
      <c r="AN497" s="92"/>
      <c r="AO497" s="92"/>
      <c r="AP497" s="92"/>
      <c r="AQ497" s="92"/>
      <c r="AR497" s="92"/>
    </row>
    <row r="498" spans="1:44" s="84" customFormat="1" ht="24" customHeight="1" x14ac:dyDescent="0.3">
      <c r="A498" s="78" t="s">
        <v>4181</v>
      </c>
      <c r="B498" s="79" t="s">
        <v>876</v>
      </c>
      <c r="C498" s="112">
        <v>1135637</v>
      </c>
      <c r="D498" s="112">
        <v>1101121</v>
      </c>
      <c r="E498" s="112">
        <v>29150418</v>
      </c>
      <c r="F498" s="81" t="s">
        <v>892</v>
      </c>
      <c r="G498" s="82" t="s">
        <v>4185</v>
      </c>
      <c r="H498" s="82" t="s">
        <v>4186</v>
      </c>
      <c r="I498" s="82" t="s">
        <v>3103</v>
      </c>
      <c r="J498" s="83" t="e">
        <f>VLOOKUP($C498,CHOOSE({1,2},'[4]Prestações de Conta inadimplent'!$D$9:$D$2000,'[4]Prestações de Conta inadimplent'!$C$9:$C$2000),2,0)</f>
        <v>#N/A</v>
      </c>
      <c r="L498" s="85"/>
      <c r="M498" s="85" t="e">
        <v>#REF!</v>
      </c>
      <c r="T498" s="86"/>
      <c r="U498" s="85"/>
      <c r="V498" s="87"/>
      <c r="W498" s="85"/>
      <c r="X498" s="88"/>
      <c r="Y498" s="89"/>
      <c r="Z498" s="89"/>
      <c r="AA498" s="88"/>
      <c r="AB498" s="88"/>
      <c r="AF498" s="90"/>
      <c r="AH498" s="85"/>
      <c r="AK498" s="91"/>
      <c r="AM498" s="92"/>
      <c r="AN498" s="92"/>
      <c r="AO498" s="92"/>
      <c r="AP498" s="92"/>
      <c r="AQ498" s="92"/>
      <c r="AR498" s="92"/>
    </row>
    <row r="499" spans="1:44" s="84" customFormat="1" ht="24" customHeight="1" x14ac:dyDescent="0.3">
      <c r="A499" s="78" t="s">
        <v>4181</v>
      </c>
      <c r="B499" s="79" t="s">
        <v>876</v>
      </c>
      <c r="C499" s="112">
        <v>1107862</v>
      </c>
      <c r="D499" s="112">
        <v>1101105</v>
      </c>
      <c r="E499" s="112">
        <v>29150590</v>
      </c>
      <c r="F499" s="81" t="s">
        <v>901</v>
      </c>
      <c r="G499" s="82" t="s">
        <v>4185</v>
      </c>
      <c r="H499" s="82" t="s">
        <v>4187</v>
      </c>
      <c r="I499" s="82" t="s">
        <v>3103</v>
      </c>
      <c r="J499" s="83" t="e">
        <f>VLOOKUP($C499,CHOOSE({1,2},'[4]Prestações de Conta inadimplent'!$D$9:$D$2000,'[4]Prestações de Conta inadimplent'!$C$9:$C$2000),2,0)</f>
        <v>#N/A</v>
      </c>
      <c r="L499" s="85"/>
      <c r="M499" s="85" t="e">
        <v>#REF!</v>
      </c>
      <c r="T499" s="86"/>
      <c r="U499" s="85"/>
      <c r="V499" s="87"/>
      <c r="W499" s="85"/>
      <c r="X499" s="85"/>
      <c r="Y499" s="89"/>
      <c r="Z499" s="89"/>
      <c r="AA499" s="88"/>
      <c r="AB499" s="88"/>
      <c r="AF499" s="90"/>
      <c r="AK499" s="91"/>
      <c r="AM499" s="92"/>
      <c r="AN499" s="92"/>
      <c r="AO499" s="92"/>
      <c r="AP499" s="92"/>
      <c r="AQ499" s="92"/>
      <c r="AR499" s="92"/>
    </row>
    <row r="500" spans="1:44" s="84" customFormat="1" ht="24" customHeight="1" x14ac:dyDescent="0.3">
      <c r="A500" s="78" t="s">
        <v>4181</v>
      </c>
      <c r="B500" s="79" t="s">
        <v>876</v>
      </c>
      <c r="C500" s="112">
        <v>1105207</v>
      </c>
      <c r="D500" s="112">
        <v>1101095</v>
      </c>
      <c r="E500" s="112">
        <v>29150370</v>
      </c>
      <c r="F500" s="81" t="s">
        <v>889</v>
      </c>
      <c r="G500" s="82" t="s">
        <v>4185</v>
      </c>
      <c r="H500" s="82" t="s">
        <v>4188</v>
      </c>
      <c r="I500" s="82" t="s">
        <v>3103</v>
      </c>
      <c r="J500" s="83" t="e">
        <f>VLOOKUP($C500,CHOOSE({1,2},'[4]Prestações de Conta inadimplent'!$D$9:$D$2000,'[4]Prestações de Conta inadimplent'!$C$9:$C$2000),2,0)</f>
        <v>#N/A</v>
      </c>
      <c r="L500" s="85"/>
      <c r="M500" s="85" t="e">
        <v>#REF!</v>
      </c>
      <c r="T500" s="86"/>
      <c r="U500" s="85"/>
      <c r="V500" s="87"/>
      <c r="W500" s="85"/>
      <c r="X500" s="85"/>
      <c r="Y500" s="89"/>
      <c r="Z500" s="89"/>
      <c r="AA500" s="88"/>
      <c r="AB500" s="88"/>
      <c r="AF500" s="90"/>
      <c r="AK500" s="91"/>
      <c r="AM500" s="92"/>
      <c r="AN500" s="92"/>
      <c r="AO500" s="92"/>
      <c r="AP500" s="92"/>
      <c r="AQ500" s="92"/>
      <c r="AR500" s="92"/>
    </row>
    <row r="501" spans="1:44" s="84" customFormat="1" ht="24" customHeight="1" x14ac:dyDescent="0.3">
      <c r="A501" s="78" t="s">
        <v>4181</v>
      </c>
      <c r="B501" s="79" t="s">
        <v>876</v>
      </c>
      <c r="C501" s="112">
        <v>1178440</v>
      </c>
      <c r="D501" s="112">
        <v>1105591</v>
      </c>
      <c r="E501" s="112">
        <v>29999812</v>
      </c>
      <c r="F501" s="81" t="s">
        <v>4189</v>
      </c>
      <c r="G501" s="82" t="s">
        <v>4185</v>
      </c>
      <c r="H501" s="82" t="s">
        <v>4190</v>
      </c>
      <c r="I501" s="82" t="s">
        <v>3103</v>
      </c>
      <c r="J501" s="83" t="e">
        <f>VLOOKUP($C501,CHOOSE({1,2},'[4]Prestações de Conta inadimplent'!$D$9:$D$2000,'[4]Prestações de Conta inadimplent'!$C$9:$C$2000),2,0)</f>
        <v>#N/A</v>
      </c>
      <c r="L501" s="85"/>
      <c r="M501" s="85" t="e">
        <v>#REF!</v>
      </c>
      <c r="T501" s="86"/>
      <c r="U501" s="85"/>
      <c r="V501" s="87"/>
      <c r="W501" s="85"/>
      <c r="X501" s="88"/>
      <c r="Y501" s="89"/>
      <c r="Z501" s="89"/>
      <c r="AA501" s="88"/>
      <c r="AB501" s="88"/>
      <c r="AF501" s="90"/>
      <c r="AK501" s="91"/>
      <c r="AM501" s="92"/>
      <c r="AN501" s="92"/>
      <c r="AO501" s="92"/>
      <c r="AP501" s="92"/>
      <c r="AQ501" s="92"/>
      <c r="AR501" s="92"/>
    </row>
    <row r="502" spans="1:44" s="84" customFormat="1" ht="24" customHeight="1" x14ac:dyDescent="0.3">
      <c r="A502" s="78" t="s">
        <v>4181</v>
      </c>
      <c r="B502" s="79" t="s">
        <v>876</v>
      </c>
      <c r="C502" s="112">
        <v>1177089</v>
      </c>
      <c r="D502" s="112">
        <v>1101143</v>
      </c>
      <c r="E502" s="112">
        <v>29417163</v>
      </c>
      <c r="F502" s="81" t="s">
        <v>2337</v>
      </c>
      <c r="G502" s="82" t="s">
        <v>4185</v>
      </c>
      <c r="H502" s="82" t="s">
        <v>4191</v>
      </c>
      <c r="I502" s="82" t="s">
        <v>3103</v>
      </c>
      <c r="J502" s="83" t="e">
        <f>VLOOKUP($C502,CHOOSE({1,2},'[4]Prestações de Conta inadimplent'!$D$9:$D$2000,'[4]Prestações de Conta inadimplent'!$C$9:$C$2000),2,0)</f>
        <v>#N/A</v>
      </c>
      <c r="L502" s="85"/>
      <c r="M502" s="85" t="e">
        <v>#REF!</v>
      </c>
      <c r="T502" s="86"/>
      <c r="U502" s="85"/>
      <c r="V502" s="87"/>
      <c r="W502" s="85"/>
      <c r="X502" s="88"/>
      <c r="Y502" s="89"/>
      <c r="Z502" s="89"/>
      <c r="AA502" s="88"/>
      <c r="AB502" s="88"/>
      <c r="AF502" s="90"/>
      <c r="AK502" s="91"/>
      <c r="AM502" s="92"/>
      <c r="AN502" s="92"/>
      <c r="AO502" s="92"/>
      <c r="AP502" s="92"/>
      <c r="AQ502" s="92"/>
      <c r="AR502" s="92"/>
    </row>
    <row r="503" spans="1:44" s="84" customFormat="1" ht="24" customHeight="1" x14ac:dyDescent="0.3">
      <c r="A503" s="78" t="s">
        <v>4181</v>
      </c>
      <c r="B503" s="79" t="s">
        <v>876</v>
      </c>
      <c r="C503" s="112">
        <v>1107960</v>
      </c>
      <c r="D503" s="112">
        <v>1101114</v>
      </c>
      <c r="E503" s="112">
        <v>29150191</v>
      </c>
      <c r="F503" s="81" t="s">
        <v>883</v>
      </c>
      <c r="G503" s="82" t="s">
        <v>4185</v>
      </c>
      <c r="H503" s="82" t="s">
        <v>4192</v>
      </c>
      <c r="I503" s="82" t="s">
        <v>3103</v>
      </c>
      <c r="J503" s="83" t="e">
        <f>VLOOKUP($C503,CHOOSE({1,2},'[4]Prestações de Conta inadimplent'!$D$9:$D$2000,'[4]Prestações de Conta inadimplent'!$C$9:$C$2000),2,0)</f>
        <v>#N/A</v>
      </c>
      <c r="L503" s="85"/>
      <c r="M503" s="85" t="e">
        <v>#REF!</v>
      </c>
      <c r="T503" s="86"/>
      <c r="U503" s="85"/>
      <c r="V503" s="87"/>
      <c r="W503" s="85"/>
      <c r="X503" s="85"/>
      <c r="Y503" s="89"/>
      <c r="Z503" s="89"/>
      <c r="AA503" s="88"/>
      <c r="AB503" s="88"/>
      <c r="AF503" s="90"/>
      <c r="AK503" s="91"/>
      <c r="AM503" s="92"/>
      <c r="AN503" s="92"/>
      <c r="AO503" s="92"/>
      <c r="AP503" s="92"/>
      <c r="AQ503" s="92"/>
      <c r="AR503" s="92"/>
    </row>
    <row r="504" spans="1:44" s="84" customFormat="1" ht="24" customHeight="1" x14ac:dyDescent="0.3">
      <c r="A504" s="78" t="s">
        <v>4181</v>
      </c>
      <c r="B504" s="79" t="s">
        <v>876</v>
      </c>
      <c r="C504" s="112">
        <v>1169809</v>
      </c>
      <c r="D504" s="112">
        <v>1101134</v>
      </c>
      <c r="E504" s="112">
        <v>29150442</v>
      </c>
      <c r="F504" s="81" t="s">
        <v>895</v>
      </c>
      <c r="G504" s="82" t="s">
        <v>4185</v>
      </c>
      <c r="H504" s="82" t="s">
        <v>4193</v>
      </c>
      <c r="I504" s="82" t="s">
        <v>3103</v>
      </c>
      <c r="J504" s="83" t="e">
        <f>VLOOKUP($C504,CHOOSE({1,2},'[4]Prestações de Conta inadimplent'!$D$9:$D$2000,'[4]Prestações de Conta inadimplent'!$C$9:$C$2000),2,0)</f>
        <v>#N/A</v>
      </c>
      <c r="L504" s="85"/>
      <c r="M504" s="85" t="e">
        <v>#REF!</v>
      </c>
      <c r="T504" s="86"/>
      <c r="U504" s="85"/>
      <c r="V504" s="87"/>
      <c r="W504" s="85"/>
      <c r="X504" s="88"/>
      <c r="Y504" s="89"/>
      <c r="Z504" s="88"/>
      <c r="AA504" s="88"/>
      <c r="AB504" s="88"/>
      <c r="AF504" s="90"/>
      <c r="AK504" s="91"/>
      <c r="AM504" s="92"/>
      <c r="AN504" s="92"/>
      <c r="AO504" s="92"/>
      <c r="AP504" s="92"/>
      <c r="AQ504" s="92"/>
      <c r="AR504" s="92"/>
    </row>
    <row r="505" spans="1:44" s="84" customFormat="1" ht="24" customHeight="1" x14ac:dyDescent="0.3">
      <c r="A505" s="78" t="s">
        <v>4181</v>
      </c>
      <c r="B505" s="79" t="s">
        <v>876</v>
      </c>
      <c r="C505" s="112">
        <v>1107773</v>
      </c>
      <c r="D505" s="112">
        <v>1101098</v>
      </c>
      <c r="E505" s="112">
        <v>29150310</v>
      </c>
      <c r="F505" s="81" t="s">
        <v>886</v>
      </c>
      <c r="G505" s="82" t="s">
        <v>4185</v>
      </c>
      <c r="H505" s="82" t="s">
        <v>4194</v>
      </c>
      <c r="I505" s="82" t="s">
        <v>3103</v>
      </c>
      <c r="J505" s="83" t="e">
        <f>VLOOKUP($C505,CHOOSE({1,2},'[4]Prestações de Conta inadimplent'!$D$9:$D$2000,'[4]Prestações de Conta inadimplent'!$C$9:$C$2000),2,0)</f>
        <v>#N/A</v>
      </c>
      <c r="L505" s="85"/>
      <c r="M505" s="85" t="e">
        <v>#REF!</v>
      </c>
      <c r="T505" s="86"/>
      <c r="U505" s="85"/>
      <c r="V505" s="87"/>
      <c r="W505" s="85"/>
      <c r="X505" s="88"/>
      <c r="Y505" s="89"/>
      <c r="Z505" s="88"/>
      <c r="AA505" s="88"/>
      <c r="AB505" s="88"/>
      <c r="AF505" s="90"/>
      <c r="AH505" s="85"/>
      <c r="AK505" s="91"/>
      <c r="AM505" s="92"/>
      <c r="AN505" s="92"/>
      <c r="AO505" s="92"/>
      <c r="AP505" s="92"/>
      <c r="AQ505" s="92"/>
      <c r="AR505" s="92"/>
    </row>
    <row r="506" spans="1:44" s="84" customFormat="1" ht="24" customHeight="1" x14ac:dyDescent="0.3">
      <c r="A506" s="78" t="s">
        <v>4181</v>
      </c>
      <c r="B506" s="79" t="s">
        <v>876</v>
      </c>
      <c r="C506" s="112">
        <v>1176465</v>
      </c>
      <c r="D506" s="112">
        <v>1101142</v>
      </c>
      <c r="E506" s="112">
        <v>29395712</v>
      </c>
      <c r="F506" s="81" t="s">
        <v>1356</v>
      </c>
      <c r="G506" s="82" t="s">
        <v>4185</v>
      </c>
      <c r="H506" s="82" t="s">
        <v>4195</v>
      </c>
      <c r="I506" s="82" t="s">
        <v>3103</v>
      </c>
      <c r="J506" s="83" t="e">
        <f>VLOOKUP($C506,CHOOSE({1,2},'[4]Prestações de Conta inadimplent'!$D$9:$D$2000,'[4]Prestações de Conta inadimplent'!$C$9:$C$2000),2,0)</f>
        <v>#N/A</v>
      </c>
      <c r="L506" s="85"/>
      <c r="M506" s="85" t="e">
        <v>#REF!</v>
      </c>
      <c r="T506" s="86"/>
      <c r="U506" s="85"/>
      <c r="V506" s="87"/>
      <c r="W506" s="85"/>
      <c r="X506" s="88"/>
      <c r="Y506" s="89"/>
      <c r="Z506" s="89"/>
      <c r="AA506" s="88"/>
      <c r="AB506" s="88"/>
      <c r="AF506" s="90"/>
      <c r="AH506" s="85"/>
      <c r="AK506" s="91"/>
      <c r="AM506" s="92"/>
      <c r="AN506" s="92"/>
      <c r="AO506" s="92"/>
      <c r="AP506" s="92"/>
      <c r="AQ506" s="92"/>
      <c r="AR506" s="92"/>
    </row>
    <row r="507" spans="1:44" s="84" customFormat="1" ht="24" customHeight="1" x14ac:dyDescent="0.3">
      <c r="A507" s="78" t="s">
        <v>4181</v>
      </c>
      <c r="B507" s="79" t="s">
        <v>876</v>
      </c>
      <c r="C507" s="112">
        <v>1176092</v>
      </c>
      <c r="D507" s="112">
        <v>1101139</v>
      </c>
      <c r="E507" s="112">
        <v>29150450</v>
      </c>
      <c r="F507" s="81" t="s">
        <v>4196</v>
      </c>
      <c r="G507" s="82" t="s">
        <v>4185</v>
      </c>
      <c r="H507" s="82" t="s">
        <v>4197</v>
      </c>
      <c r="I507" s="82" t="s">
        <v>3103</v>
      </c>
      <c r="J507" s="83" t="e">
        <f>VLOOKUP($C507,CHOOSE({1,2},'[4]Prestações de Conta inadimplent'!$D$9:$D$2000,'[4]Prestações de Conta inadimplent'!$C$9:$C$2000),2,0)</f>
        <v>#N/A</v>
      </c>
      <c r="L507" s="85"/>
      <c r="M507" s="85" t="e">
        <v>#REF!</v>
      </c>
      <c r="T507" s="86"/>
      <c r="U507" s="85"/>
      <c r="V507" s="85"/>
      <c r="W507" s="85"/>
      <c r="X507" s="88"/>
      <c r="Y507" s="89"/>
      <c r="Z507" s="89"/>
      <c r="AA507" s="88"/>
      <c r="AB507" s="88"/>
      <c r="AF507" s="90"/>
      <c r="AK507" s="91"/>
      <c r="AM507" s="92"/>
      <c r="AN507" s="92"/>
      <c r="AO507" s="92"/>
      <c r="AP507" s="92"/>
      <c r="AQ507" s="92"/>
      <c r="AR507" s="92"/>
    </row>
    <row r="508" spans="1:44" s="84" customFormat="1" ht="24" customHeight="1" x14ac:dyDescent="0.3">
      <c r="A508" s="78" t="s">
        <v>4181</v>
      </c>
      <c r="B508" s="79" t="s">
        <v>876</v>
      </c>
      <c r="C508" s="112">
        <v>1178266</v>
      </c>
      <c r="D508" s="112">
        <v>1105507</v>
      </c>
      <c r="E508" s="112">
        <v>29456800</v>
      </c>
      <c r="F508" s="81" t="s">
        <v>4198</v>
      </c>
      <c r="G508" s="82" t="s">
        <v>4185</v>
      </c>
      <c r="H508" s="82" t="s">
        <v>4199</v>
      </c>
      <c r="I508" s="82" t="s">
        <v>3103</v>
      </c>
      <c r="J508" s="83" t="e">
        <f>VLOOKUP($C508,CHOOSE({1,2},'[4]Prestações de Conta inadimplent'!$D$9:$D$2000,'[4]Prestações de Conta inadimplent'!$C$9:$C$2000),2,0)</f>
        <v>#N/A</v>
      </c>
      <c r="L508" s="85"/>
      <c r="M508" s="85" t="e">
        <v>#REF!</v>
      </c>
      <c r="T508" s="86"/>
      <c r="U508" s="85"/>
      <c r="V508" s="87"/>
      <c r="W508" s="85"/>
      <c r="X508" s="88"/>
      <c r="Y508" s="89"/>
      <c r="Z508" s="89"/>
      <c r="AA508" s="88"/>
      <c r="AB508" s="88"/>
      <c r="AF508" s="90"/>
      <c r="AK508" s="91"/>
      <c r="AM508" s="92"/>
      <c r="AN508" s="92"/>
      <c r="AO508" s="92"/>
      <c r="AP508" s="92"/>
      <c r="AQ508" s="92"/>
      <c r="AR508" s="92"/>
    </row>
    <row r="509" spans="1:44" s="84" customFormat="1" ht="24" customHeight="1" x14ac:dyDescent="0.3">
      <c r="A509" s="78" t="s">
        <v>4181</v>
      </c>
      <c r="B509" s="79" t="s">
        <v>876</v>
      </c>
      <c r="C509" s="112">
        <v>1178077</v>
      </c>
      <c r="D509" s="112">
        <v>1104557</v>
      </c>
      <c r="E509" s="112">
        <v>29431530</v>
      </c>
      <c r="F509" s="81" t="s">
        <v>2629</v>
      </c>
      <c r="G509" s="82" t="s">
        <v>4185</v>
      </c>
      <c r="H509" s="82" t="s">
        <v>4200</v>
      </c>
      <c r="I509" s="82" t="s">
        <v>3103</v>
      </c>
      <c r="J509" s="83" t="e">
        <f>VLOOKUP($C509,CHOOSE({1,2},'[4]Prestações de Conta inadimplent'!$D$9:$D$2000,'[4]Prestações de Conta inadimplent'!$C$9:$C$2000),2,0)</f>
        <v>#N/A</v>
      </c>
      <c r="L509" s="85"/>
      <c r="M509" s="85" t="e">
        <v>#REF!</v>
      </c>
      <c r="T509" s="86"/>
      <c r="U509" s="85"/>
      <c r="V509" s="87"/>
      <c r="W509" s="85"/>
      <c r="X509" s="88"/>
      <c r="Y509" s="89"/>
      <c r="Z509" s="89"/>
      <c r="AA509" s="88"/>
      <c r="AB509" s="88"/>
      <c r="AF509" s="90"/>
      <c r="AK509" s="91"/>
      <c r="AM509" s="92"/>
      <c r="AN509" s="92"/>
      <c r="AO509" s="92"/>
      <c r="AP509" s="92"/>
      <c r="AQ509" s="92"/>
      <c r="AR509" s="92"/>
    </row>
    <row r="510" spans="1:44" s="84" customFormat="1" ht="24" customHeight="1" x14ac:dyDescent="0.3">
      <c r="A510" s="78" t="s">
        <v>4181</v>
      </c>
      <c r="B510" s="79" t="s">
        <v>876</v>
      </c>
      <c r="C510" s="112">
        <v>1107927</v>
      </c>
      <c r="D510" s="112">
        <v>1101111</v>
      </c>
      <c r="E510" s="112">
        <v>29149835</v>
      </c>
      <c r="F510" s="81" t="s">
        <v>4201</v>
      </c>
      <c r="G510" s="82" t="s">
        <v>4185</v>
      </c>
      <c r="H510" s="82" t="s">
        <v>4202</v>
      </c>
      <c r="I510" s="82" t="s">
        <v>3103</v>
      </c>
      <c r="J510" s="83" t="e">
        <f>VLOOKUP($C510,CHOOSE({1,2},'[4]Prestações de Conta inadimplent'!$D$9:$D$2000,'[4]Prestações de Conta inadimplent'!$C$9:$C$2000),2,0)</f>
        <v>#N/A</v>
      </c>
      <c r="L510" s="85"/>
      <c r="M510" s="85" t="e">
        <v>#REF!</v>
      </c>
      <c r="T510" s="86"/>
      <c r="U510" s="85"/>
      <c r="V510" s="87"/>
      <c r="W510" s="85"/>
      <c r="X510" s="88"/>
      <c r="Y510" s="89"/>
      <c r="Z510" s="89"/>
      <c r="AA510" s="88"/>
      <c r="AB510" s="88"/>
      <c r="AF510" s="90"/>
      <c r="AK510" s="91"/>
      <c r="AM510" s="92"/>
      <c r="AN510" s="92"/>
      <c r="AO510" s="92"/>
      <c r="AP510" s="92"/>
      <c r="AQ510" s="92"/>
      <c r="AR510" s="92"/>
    </row>
    <row r="511" spans="1:44" s="84" customFormat="1" ht="24" customHeight="1" x14ac:dyDescent="0.3">
      <c r="A511" s="78" t="s">
        <v>4181</v>
      </c>
      <c r="B511" s="79" t="s">
        <v>876</v>
      </c>
      <c r="C511" s="112">
        <v>1108028</v>
      </c>
      <c r="D511" s="112">
        <v>1101120</v>
      </c>
      <c r="E511" s="112">
        <v>29150663</v>
      </c>
      <c r="F511" s="81" t="s">
        <v>904</v>
      </c>
      <c r="G511" s="82" t="s">
        <v>4185</v>
      </c>
      <c r="H511" s="82" t="s">
        <v>4203</v>
      </c>
      <c r="I511" s="82" t="s">
        <v>3122</v>
      </c>
      <c r="J511" s="83" t="str">
        <f>VLOOKUP($C511,CHOOSE({1,2},'[4]Prestações de Conta inadimplent'!$D$9:$D$2000,'[4]Prestações de Conta inadimplent'!$C$9:$C$2000),2,0)</f>
        <v>Colegio Estadual Maria Jose Bastos Silva</v>
      </c>
      <c r="L511" s="85"/>
      <c r="M511" s="85" t="e">
        <v>#REF!</v>
      </c>
      <c r="T511" s="86"/>
      <c r="U511" s="85"/>
      <c r="V511" s="87"/>
      <c r="W511" s="85"/>
      <c r="X511" s="85"/>
      <c r="Y511" s="89"/>
      <c r="Z511" s="89"/>
      <c r="AA511" s="88"/>
      <c r="AB511" s="88"/>
      <c r="AF511" s="90"/>
      <c r="AK511" s="91"/>
      <c r="AM511" s="92"/>
      <c r="AN511" s="92"/>
      <c r="AO511" s="92"/>
      <c r="AP511" s="92"/>
      <c r="AQ511" s="92"/>
      <c r="AR511" s="92"/>
    </row>
    <row r="512" spans="1:44" s="84" customFormat="1" ht="24" customHeight="1" x14ac:dyDescent="0.3">
      <c r="A512" s="78" t="s">
        <v>4181</v>
      </c>
      <c r="B512" s="79" t="s">
        <v>907</v>
      </c>
      <c r="C512" s="112">
        <v>1107749</v>
      </c>
      <c r="D512" s="112">
        <v>1101145</v>
      </c>
      <c r="E512" s="112">
        <v>29151554</v>
      </c>
      <c r="F512" s="81" t="s">
        <v>4204</v>
      </c>
      <c r="G512" s="82" t="s">
        <v>4205</v>
      </c>
      <c r="H512" s="82" t="s">
        <v>4206</v>
      </c>
      <c r="I512" s="82" t="s">
        <v>3103</v>
      </c>
      <c r="J512" s="83" t="e">
        <f>VLOOKUP($C512,CHOOSE({1,2},'[4]Prestações de Conta inadimplent'!$D$9:$D$2000,'[4]Prestações de Conta inadimplent'!$C$9:$C$2000),2,0)</f>
        <v>#N/A</v>
      </c>
      <c r="L512" s="85"/>
      <c r="M512" s="85" t="e">
        <v>#REF!</v>
      </c>
      <c r="T512" s="86"/>
      <c r="U512" s="85"/>
      <c r="V512" s="87"/>
      <c r="W512" s="85"/>
      <c r="X512" s="88"/>
      <c r="Y512" s="89"/>
      <c r="Z512" s="89"/>
      <c r="AA512" s="88"/>
      <c r="AB512" s="88"/>
      <c r="AF512" s="90"/>
      <c r="AK512" s="91"/>
      <c r="AM512" s="92"/>
      <c r="AN512" s="92"/>
      <c r="AO512" s="92"/>
      <c r="AP512" s="92"/>
      <c r="AQ512" s="92"/>
      <c r="AR512" s="92"/>
    </row>
    <row r="513" spans="1:44" s="84" customFormat="1" ht="24" customHeight="1" x14ac:dyDescent="0.3">
      <c r="A513" s="78" t="s">
        <v>4181</v>
      </c>
      <c r="B513" s="79" t="s">
        <v>907</v>
      </c>
      <c r="C513" s="112">
        <v>1107730</v>
      </c>
      <c r="D513" s="112">
        <v>1101144</v>
      </c>
      <c r="E513" s="112">
        <v>29151651</v>
      </c>
      <c r="F513" s="81" t="s">
        <v>4207</v>
      </c>
      <c r="G513" s="82" t="s">
        <v>4205</v>
      </c>
      <c r="H513" s="82" t="s">
        <v>4208</v>
      </c>
      <c r="I513" s="82" t="s">
        <v>3103</v>
      </c>
      <c r="J513" s="83" t="e">
        <f>VLOOKUP($C513,CHOOSE({1,2},'[4]Prestações de Conta inadimplent'!$D$9:$D$2000,'[4]Prestações de Conta inadimplent'!$C$9:$C$2000),2,0)</f>
        <v>#N/A</v>
      </c>
      <c r="L513" s="85"/>
      <c r="M513" s="85" t="e">
        <v>#REF!</v>
      </c>
      <c r="T513" s="86"/>
      <c r="U513" s="85"/>
      <c r="V513" s="87"/>
      <c r="W513" s="85"/>
      <c r="X513" s="88"/>
      <c r="Y513" s="89"/>
      <c r="Z513" s="89"/>
      <c r="AA513" s="88"/>
      <c r="AB513" s="88"/>
      <c r="AF513" s="90"/>
      <c r="AK513" s="91"/>
      <c r="AM513" s="92"/>
      <c r="AN513" s="92"/>
      <c r="AO513" s="92"/>
      <c r="AP513" s="92"/>
      <c r="AQ513" s="92"/>
      <c r="AR513" s="92"/>
    </row>
    <row r="514" spans="1:44" s="84" customFormat="1" ht="24" customHeight="1" x14ac:dyDescent="0.3">
      <c r="A514" s="78" t="s">
        <v>4181</v>
      </c>
      <c r="B514" s="79" t="s">
        <v>2900</v>
      </c>
      <c r="C514" s="112">
        <v>1179312</v>
      </c>
      <c r="D514" s="112">
        <v>9999999</v>
      </c>
      <c r="E514" s="112">
        <v>29461464</v>
      </c>
      <c r="F514" s="81" t="s">
        <v>4209</v>
      </c>
      <c r="G514" s="82" t="s">
        <v>4185</v>
      </c>
      <c r="H514" s="82" t="s">
        <v>4210</v>
      </c>
      <c r="I514" s="82" t="s">
        <v>3103</v>
      </c>
      <c r="J514" s="83" t="e">
        <f>VLOOKUP($C514,CHOOSE({1,2},'[4]Prestações de Conta inadimplent'!$D$9:$D$2000,'[4]Prestações de Conta inadimplent'!$C$9:$C$2000),2,0)</f>
        <v>#N/A</v>
      </c>
      <c r="L514" s="85"/>
      <c r="M514" s="85" t="e">
        <v>#REF!</v>
      </c>
      <c r="T514" s="86"/>
      <c r="U514" s="85"/>
      <c r="V514" s="87"/>
      <c r="W514" s="85"/>
      <c r="X514" s="88"/>
      <c r="Y514" s="89"/>
      <c r="Z514" s="88"/>
      <c r="AA514" s="88"/>
      <c r="AB514" s="88"/>
      <c r="AF514" s="90"/>
      <c r="AK514" s="91"/>
      <c r="AM514" s="92"/>
      <c r="AN514" s="92"/>
      <c r="AO514" s="92"/>
      <c r="AP514" s="92"/>
      <c r="AQ514" s="92"/>
      <c r="AR514" s="92"/>
    </row>
    <row r="515" spans="1:44" s="84" customFormat="1" ht="24" customHeight="1" x14ac:dyDescent="0.3">
      <c r="A515" s="78" t="s">
        <v>4181</v>
      </c>
      <c r="B515" s="79" t="s">
        <v>2938</v>
      </c>
      <c r="C515" s="112">
        <v>1179439</v>
      </c>
      <c r="D515" s="112">
        <v>9999999</v>
      </c>
      <c r="E515" s="112">
        <v>29465400</v>
      </c>
      <c r="F515" s="81" t="s">
        <v>4211</v>
      </c>
      <c r="G515" s="82" t="s">
        <v>4185</v>
      </c>
      <c r="H515" s="82" t="s">
        <v>4212</v>
      </c>
      <c r="I515" s="82" t="s">
        <v>3103</v>
      </c>
      <c r="J515" s="83" t="e">
        <f>VLOOKUP($C515,CHOOSE({1,2},'[4]Prestações de Conta inadimplent'!$D$9:$D$2000,'[4]Prestações de Conta inadimplent'!$C$9:$C$2000),2,0)</f>
        <v>#N/A</v>
      </c>
      <c r="L515" s="85"/>
      <c r="M515" s="85" t="e">
        <v>#REF!</v>
      </c>
      <c r="T515" s="86"/>
      <c r="U515" s="85"/>
      <c r="V515" s="87"/>
      <c r="W515" s="85"/>
      <c r="X515" s="88"/>
      <c r="Y515" s="89"/>
      <c r="Z515" s="89"/>
      <c r="AA515" s="88"/>
      <c r="AB515" s="88"/>
      <c r="AF515" s="90"/>
      <c r="AK515" s="91"/>
      <c r="AM515" s="92"/>
      <c r="AN515" s="92"/>
      <c r="AO515" s="92"/>
      <c r="AP515" s="92"/>
      <c r="AQ515" s="92"/>
      <c r="AR515" s="92"/>
    </row>
    <row r="516" spans="1:44" s="84" customFormat="1" ht="24" customHeight="1" x14ac:dyDescent="0.3">
      <c r="A516" s="78" t="s">
        <v>4181</v>
      </c>
      <c r="B516" s="79" t="s">
        <v>929</v>
      </c>
      <c r="C516" s="112">
        <v>1108656</v>
      </c>
      <c r="D516" s="112">
        <v>1101155</v>
      </c>
      <c r="E516" s="112">
        <v>29155401</v>
      </c>
      <c r="F516" s="81" t="s">
        <v>4213</v>
      </c>
      <c r="G516" s="82" t="s">
        <v>4214</v>
      </c>
      <c r="H516" s="82" t="s">
        <v>4215</v>
      </c>
      <c r="I516" s="82" t="s">
        <v>3103</v>
      </c>
      <c r="J516" s="83" t="e">
        <f>VLOOKUP($C516,CHOOSE({1,2},'[4]Prestações de Conta inadimplent'!$D$9:$D$2000,'[4]Prestações de Conta inadimplent'!$C$9:$C$2000),2,0)</f>
        <v>#N/A</v>
      </c>
      <c r="L516" s="85"/>
      <c r="M516" s="85" t="e">
        <v>#REF!</v>
      </c>
      <c r="T516" s="86"/>
      <c r="U516" s="85"/>
      <c r="V516" s="87"/>
      <c r="W516" s="85"/>
      <c r="X516" s="88"/>
      <c r="Y516" s="89"/>
      <c r="Z516" s="89"/>
      <c r="AA516" s="88"/>
      <c r="AB516" s="88"/>
      <c r="AF516" s="90"/>
      <c r="AK516" s="91"/>
      <c r="AM516" s="92"/>
      <c r="AN516" s="92"/>
      <c r="AO516" s="92"/>
      <c r="AP516" s="92"/>
      <c r="AQ516" s="92"/>
      <c r="AR516" s="92"/>
    </row>
    <row r="517" spans="1:44" s="84" customFormat="1" ht="24" customHeight="1" x14ac:dyDescent="0.3">
      <c r="A517" s="78" t="s">
        <v>4181</v>
      </c>
      <c r="B517" s="79" t="s">
        <v>951</v>
      </c>
      <c r="C517" s="112">
        <v>1108648</v>
      </c>
      <c r="D517" s="112">
        <v>1101159</v>
      </c>
      <c r="E517" s="112">
        <v>29158605</v>
      </c>
      <c r="F517" s="81" t="s">
        <v>4216</v>
      </c>
      <c r="G517" s="82" t="s">
        <v>4217</v>
      </c>
      <c r="H517" s="82" t="s">
        <v>4218</v>
      </c>
      <c r="I517" s="82" t="s">
        <v>3103</v>
      </c>
      <c r="J517" s="83" t="e">
        <f>VLOOKUP($C517,CHOOSE({1,2},'[4]Prestações de Conta inadimplent'!$D$9:$D$2000,'[4]Prestações de Conta inadimplent'!$C$9:$C$2000),2,0)</f>
        <v>#N/A</v>
      </c>
      <c r="L517" s="85"/>
      <c r="M517" s="85" t="e">
        <v>#REF!</v>
      </c>
      <c r="T517" s="86"/>
      <c r="U517" s="85"/>
      <c r="V517" s="87"/>
      <c r="W517" s="85"/>
      <c r="X517" s="88"/>
      <c r="Y517" s="89"/>
      <c r="Z517" s="88"/>
      <c r="AA517" s="88"/>
      <c r="AB517" s="88"/>
      <c r="AF517" s="90"/>
      <c r="AK517" s="91"/>
      <c r="AM517" s="92"/>
      <c r="AN517" s="92"/>
      <c r="AO517" s="92"/>
      <c r="AP517" s="92"/>
      <c r="AQ517" s="92"/>
      <c r="AR517" s="92"/>
    </row>
    <row r="518" spans="1:44" s="84" customFormat="1" ht="24" customHeight="1" x14ac:dyDescent="0.3">
      <c r="A518" s="78" t="s">
        <v>4181</v>
      </c>
      <c r="B518" s="79" t="s">
        <v>951</v>
      </c>
      <c r="C518" s="112">
        <v>1108729</v>
      </c>
      <c r="D518" s="112">
        <v>1101163</v>
      </c>
      <c r="E518" s="112">
        <v>29158850</v>
      </c>
      <c r="F518" s="81" t="s">
        <v>4219</v>
      </c>
      <c r="G518" s="82" t="s">
        <v>4217</v>
      </c>
      <c r="H518" s="82" t="s">
        <v>4220</v>
      </c>
      <c r="I518" s="82" t="s">
        <v>3103</v>
      </c>
      <c r="J518" s="83" t="e">
        <f>VLOOKUP($C518,CHOOSE({1,2},'[4]Prestações de Conta inadimplent'!$D$9:$D$2000,'[4]Prestações de Conta inadimplent'!$C$9:$C$2000),2,0)</f>
        <v>#N/A</v>
      </c>
      <c r="L518" s="85"/>
      <c r="M518" s="85" t="e">
        <v>#REF!</v>
      </c>
      <c r="T518" s="86"/>
      <c r="U518" s="85"/>
      <c r="V518" s="87"/>
      <c r="W518" s="85"/>
      <c r="X518" s="88"/>
      <c r="Y518" s="89"/>
      <c r="Z518" s="89"/>
      <c r="AA518" s="88"/>
      <c r="AB518" s="88"/>
      <c r="AF518" s="90"/>
      <c r="AK518" s="91"/>
      <c r="AM518" s="92"/>
      <c r="AN518" s="92"/>
      <c r="AO518" s="92"/>
      <c r="AP518" s="92"/>
      <c r="AQ518" s="92"/>
      <c r="AR518" s="92"/>
    </row>
    <row r="519" spans="1:44" s="84" customFormat="1" ht="24" customHeight="1" x14ac:dyDescent="0.3">
      <c r="A519" s="78" t="s">
        <v>4181</v>
      </c>
      <c r="B519" s="79" t="s">
        <v>951</v>
      </c>
      <c r="C519" s="112">
        <v>1108591</v>
      </c>
      <c r="D519" s="112">
        <v>1101157</v>
      </c>
      <c r="E519" s="112">
        <v>29158893</v>
      </c>
      <c r="F519" s="81" t="s">
        <v>4221</v>
      </c>
      <c r="G519" s="82" t="s">
        <v>4217</v>
      </c>
      <c r="H519" s="82" t="s">
        <v>4222</v>
      </c>
      <c r="I519" s="82" t="s">
        <v>3122</v>
      </c>
      <c r="J519" s="83" t="str">
        <f>VLOOKUP($C519,CHOOSE({1,2},'[4]Prestações de Conta inadimplent'!$D$9:$D$2000,'[4]Prestações de Conta inadimplent'!$C$9:$C$2000),2,0)</f>
        <v>Colegio Estadual Antonio De Deus Seixas</v>
      </c>
      <c r="L519" s="85"/>
      <c r="M519" s="85" t="e">
        <v>#REF!</v>
      </c>
      <c r="T519" s="86"/>
      <c r="U519" s="85"/>
      <c r="V519" s="87"/>
      <c r="W519" s="85"/>
      <c r="X519" s="88"/>
      <c r="Y519" s="89"/>
      <c r="Z519" s="89"/>
      <c r="AA519" s="88"/>
      <c r="AB519" s="88"/>
      <c r="AF519" s="90"/>
      <c r="AH519" s="85"/>
      <c r="AK519" s="91"/>
      <c r="AM519" s="92"/>
      <c r="AN519" s="92"/>
      <c r="AO519" s="92"/>
      <c r="AP519" s="92"/>
      <c r="AQ519" s="92"/>
      <c r="AR519" s="92"/>
    </row>
    <row r="520" spans="1:44" s="84" customFormat="1" ht="24" customHeight="1" x14ac:dyDescent="0.3">
      <c r="A520" s="78" t="s">
        <v>4181</v>
      </c>
      <c r="B520" s="79" t="s">
        <v>933</v>
      </c>
      <c r="C520" s="112">
        <v>1108524</v>
      </c>
      <c r="D520" s="112">
        <v>1101201</v>
      </c>
      <c r="E520" s="112">
        <v>29155673</v>
      </c>
      <c r="F520" s="81" t="s">
        <v>934</v>
      </c>
      <c r="G520" s="82" t="s">
        <v>4223</v>
      </c>
      <c r="H520" s="82" t="s">
        <v>4224</v>
      </c>
      <c r="I520" s="82" t="s">
        <v>3103</v>
      </c>
      <c r="J520" s="83" t="e">
        <f>VLOOKUP($C520,CHOOSE({1,2},'[4]Prestações de Conta inadimplent'!$D$9:$D$2000,'[4]Prestações de Conta inadimplent'!$C$9:$C$2000),2,0)</f>
        <v>#N/A</v>
      </c>
      <c r="L520" s="85"/>
      <c r="M520" s="85" t="e">
        <v>#REF!</v>
      </c>
      <c r="T520" s="86"/>
      <c r="U520" s="85"/>
      <c r="V520" s="87"/>
      <c r="W520" s="85"/>
      <c r="X520" s="88"/>
      <c r="Y520" s="89"/>
      <c r="Z520" s="89"/>
      <c r="AA520" s="88"/>
      <c r="AB520" s="88"/>
      <c r="AF520" s="90"/>
      <c r="AK520" s="91"/>
      <c r="AM520" s="92"/>
      <c r="AN520" s="92"/>
      <c r="AO520" s="92"/>
      <c r="AP520" s="92"/>
      <c r="AQ520" s="92"/>
      <c r="AR520" s="92"/>
    </row>
    <row r="521" spans="1:44" s="84" customFormat="1" ht="24" customHeight="1" x14ac:dyDescent="0.3">
      <c r="A521" s="78" t="s">
        <v>4181</v>
      </c>
      <c r="B521" s="79" t="s">
        <v>933</v>
      </c>
      <c r="C521" s="112">
        <v>1108532</v>
      </c>
      <c r="D521" s="112">
        <v>1101202</v>
      </c>
      <c r="E521" s="112">
        <v>29155894</v>
      </c>
      <c r="F521" s="81" t="s">
        <v>4225</v>
      </c>
      <c r="G521" s="82" t="s">
        <v>4223</v>
      </c>
      <c r="H521" s="82" t="s">
        <v>4226</v>
      </c>
      <c r="I521" s="82" t="s">
        <v>3122</v>
      </c>
      <c r="J521" s="83" t="str">
        <f>VLOOKUP($C521,CHOOSE({1,2},'[4]Prestações de Conta inadimplent'!$D$9:$D$2000,'[4]Prestações de Conta inadimplent'!$C$9:$C$2000),2,0)</f>
        <v>Colegio Estadual Celso Mendes De Lima</v>
      </c>
      <c r="K521" s="95"/>
      <c r="L521" s="85"/>
      <c r="M521" s="85" t="e">
        <v>#REF!</v>
      </c>
      <c r="T521" s="86"/>
      <c r="U521" s="85"/>
      <c r="V521" s="87"/>
      <c r="W521" s="85"/>
      <c r="X521" s="88"/>
      <c r="Y521" s="89"/>
      <c r="Z521" s="89"/>
      <c r="AA521" s="88"/>
      <c r="AB521" s="88"/>
      <c r="AF521" s="90"/>
      <c r="AK521" s="91"/>
      <c r="AM521" s="92"/>
      <c r="AN521" s="92"/>
      <c r="AO521" s="92"/>
      <c r="AP521" s="92"/>
      <c r="AQ521" s="92"/>
      <c r="AR521" s="92"/>
    </row>
    <row r="522" spans="1:44" s="84" customFormat="1" ht="24" customHeight="1" x14ac:dyDescent="0.3">
      <c r="A522" s="78" t="s">
        <v>4181</v>
      </c>
      <c r="B522" s="79" t="s">
        <v>914</v>
      </c>
      <c r="C522" s="112">
        <v>1114613</v>
      </c>
      <c r="D522" s="112">
        <v>1101888</v>
      </c>
      <c r="E522" s="112">
        <v>29153190</v>
      </c>
      <c r="F522" s="81" t="s">
        <v>915</v>
      </c>
      <c r="G522" s="82" t="s">
        <v>4227</v>
      </c>
      <c r="H522" s="82" t="s">
        <v>4228</v>
      </c>
      <c r="I522" s="82" t="s">
        <v>3103</v>
      </c>
      <c r="J522" s="83" t="e">
        <f>VLOOKUP($C522,CHOOSE({1,2},'[4]Prestações de Conta inadimplent'!$D$9:$D$2000,'[4]Prestações de Conta inadimplent'!$C$9:$C$2000),2,0)</f>
        <v>#N/A</v>
      </c>
      <c r="L522" s="85"/>
      <c r="M522" s="85" t="e">
        <v>#REF!</v>
      </c>
      <c r="T522" s="86"/>
      <c r="U522" s="85"/>
      <c r="V522" s="87"/>
      <c r="W522" s="85"/>
      <c r="X522" s="88"/>
      <c r="Y522" s="89"/>
      <c r="Z522" s="88"/>
      <c r="AA522" s="88"/>
      <c r="AB522" s="88"/>
      <c r="AF522" s="90"/>
      <c r="AK522" s="91"/>
      <c r="AM522" s="92"/>
      <c r="AN522" s="92"/>
      <c r="AO522" s="92"/>
      <c r="AP522" s="92"/>
      <c r="AQ522" s="92"/>
      <c r="AR522" s="92"/>
    </row>
    <row r="523" spans="1:44" s="84" customFormat="1" ht="24" customHeight="1" x14ac:dyDescent="0.3">
      <c r="A523" s="78" t="s">
        <v>4181</v>
      </c>
      <c r="B523" s="79" t="s">
        <v>49</v>
      </c>
      <c r="C523" s="112">
        <v>1108753</v>
      </c>
      <c r="D523" s="112">
        <v>1101207</v>
      </c>
      <c r="E523" s="112">
        <v>29156211</v>
      </c>
      <c r="F523" s="81" t="s">
        <v>940</v>
      </c>
      <c r="G523" s="82" t="s">
        <v>4229</v>
      </c>
      <c r="H523" s="82" t="s">
        <v>4230</v>
      </c>
      <c r="I523" s="82" t="s">
        <v>3103</v>
      </c>
      <c r="J523" s="83" t="e">
        <f>VLOOKUP($C523,CHOOSE({1,2},'[4]Prestações de Conta inadimplent'!$D$9:$D$2000,'[4]Prestações de Conta inadimplent'!$C$9:$C$2000),2,0)</f>
        <v>#N/A</v>
      </c>
      <c r="L523" s="85"/>
      <c r="M523" s="85" t="e">
        <v>#REF!</v>
      </c>
      <c r="T523" s="86"/>
      <c r="U523" s="85"/>
      <c r="V523" s="87"/>
      <c r="W523" s="85"/>
      <c r="X523" s="88"/>
      <c r="Y523" s="89"/>
      <c r="Z523" s="89"/>
      <c r="AA523" s="88"/>
      <c r="AB523" s="88"/>
      <c r="AF523" s="90"/>
      <c r="AK523" s="91"/>
      <c r="AM523" s="92"/>
      <c r="AN523" s="92"/>
      <c r="AO523" s="92"/>
      <c r="AP523" s="92"/>
      <c r="AQ523" s="92"/>
      <c r="AR523" s="92"/>
    </row>
    <row r="524" spans="1:44" s="84" customFormat="1" ht="24" customHeight="1" x14ac:dyDescent="0.3">
      <c r="A524" s="78" t="s">
        <v>4181</v>
      </c>
      <c r="B524" s="79" t="s">
        <v>49</v>
      </c>
      <c r="C524" s="112">
        <v>1179222</v>
      </c>
      <c r="D524" s="112">
        <v>9999999</v>
      </c>
      <c r="E524" s="112">
        <v>29456495</v>
      </c>
      <c r="F524" s="81" t="s">
        <v>4231</v>
      </c>
      <c r="G524" s="82" t="s">
        <v>4232</v>
      </c>
      <c r="H524" s="82" t="s">
        <v>4233</v>
      </c>
      <c r="I524" s="82" t="s">
        <v>3103</v>
      </c>
      <c r="J524" s="83" t="e">
        <f>VLOOKUP($C524,CHOOSE({1,2},'[4]Prestações de Conta inadimplent'!$D$9:$D$2000,'[4]Prestações de Conta inadimplent'!$C$9:$C$2000),2,0)</f>
        <v>#N/A</v>
      </c>
      <c r="L524" s="85"/>
      <c r="M524" s="85" t="e">
        <v>#REF!</v>
      </c>
      <c r="T524" s="86"/>
      <c r="U524" s="85"/>
      <c r="V524" s="87"/>
      <c r="W524" s="85"/>
      <c r="X524" s="88"/>
      <c r="Y524" s="89"/>
      <c r="Z524" s="88"/>
      <c r="AA524" s="88"/>
      <c r="AB524" s="88"/>
      <c r="AF524" s="90"/>
      <c r="AK524" s="91"/>
      <c r="AM524" s="92"/>
      <c r="AN524" s="92"/>
      <c r="AO524" s="92"/>
      <c r="AP524" s="92"/>
      <c r="AQ524" s="92"/>
      <c r="AR524" s="92"/>
    </row>
    <row r="525" spans="1:44" s="84" customFormat="1" ht="24" customHeight="1" x14ac:dyDescent="0.3">
      <c r="A525" s="78" t="s">
        <v>4181</v>
      </c>
      <c r="B525" s="79" t="s">
        <v>4234</v>
      </c>
      <c r="C525" s="112">
        <v>1176401</v>
      </c>
      <c r="D525" s="112">
        <v>1101214</v>
      </c>
      <c r="E525" s="112">
        <v>29373280</v>
      </c>
      <c r="F525" s="81" t="s">
        <v>4235</v>
      </c>
      <c r="G525" s="82" t="s">
        <v>4205</v>
      </c>
      <c r="H525" s="82" t="s">
        <v>4236</v>
      </c>
      <c r="I525" s="82" t="s">
        <v>3122</v>
      </c>
      <c r="J525" s="83" t="str">
        <f>VLOOKUP($C525,CHOOSE({1,2},'[4]Prestações de Conta inadimplent'!$D$9:$D$2000,'[4]Prestações de Conta inadimplent'!$C$9:$C$2000),2,0)</f>
        <v>Colegio Estadual De Tempo Integral Celina Saraiva</v>
      </c>
      <c r="L525" s="85"/>
      <c r="M525" s="85" t="e">
        <v>#REF!</v>
      </c>
      <c r="T525" s="86"/>
      <c r="U525" s="85"/>
      <c r="V525" s="87"/>
      <c r="W525" s="85"/>
      <c r="X525" s="88"/>
      <c r="Y525" s="89"/>
      <c r="Z525" s="89"/>
      <c r="AA525" s="88"/>
      <c r="AB525" s="88"/>
      <c r="AF525" s="90"/>
      <c r="AK525" s="91"/>
      <c r="AM525" s="92"/>
      <c r="AN525" s="92"/>
      <c r="AO525" s="92"/>
      <c r="AP525" s="92"/>
      <c r="AQ525" s="92"/>
      <c r="AR525" s="92"/>
    </row>
    <row r="526" spans="1:44" s="84" customFormat="1" ht="24" customHeight="1" x14ac:dyDescent="0.3">
      <c r="A526" s="78" t="s">
        <v>4181</v>
      </c>
      <c r="B526" s="79" t="s">
        <v>2618</v>
      </c>
      <c r="C526" s="112">
        <v>1178251</v>
      </c>
      <c r="D526" s="112">
        <v>1105490</v>
      </c>
      <c r="E526" s="112">
        <v>29456606</v>
      </c>
      <c r="F526" s="81" t="s">
        <v>4237</v>
      </c>
      <c r="G526" s="82" t="s">
        <v>4238</v>
      </c>
      <c r="H526" s="82" t="s">
        <v>4239</v>
      </c>
      <c r="I526" s="82" t="s">
        <v>3103</v>
      </c>
      <c r="J526" s="83" t="e">
        <f>VLOOKUP($C526,CHOOSE({1,2},'[4]Prestações de Conta inadimplent'!$D$9:$D$2000,'[4]Prestações de Conta inadimplent'!$C$9:$C$2000),2,0)</f>
        <v>#N/A</v>
      </c>
      <c r="L526" s="85"/>
      <c r="M526" s="85" t="e">
        <v>#REF!</v>
      </c>
      <c r="T526" s="86"/>
      <c r="U526" s="85"/>
      <c r="V526" s="87"/>
      <c r="W526" s="85"/>
      <c r="X526" s="85"/>
      <c r="Y526" s="89"/>
      <c r="Z526" s="88"/>
      <c r="AA526" s="88"/>
      <c r="AB526" s="88"/>
      <c r="AF526" s="90"/>
      <c r="AH526" s="85"/>
      <c r="AK526" s="91"/>
      <c r="AM526" s="92"/>
      <c r="AN526" s="92"/>
      <c r="AO526" s="92"/>
      <c r="AP526" s="92"/>
      <c r="AQ526" s="92"/>
      <c r="AR526" s="92"/>
    </row>
    <row r="527" spans="1:44" s="84" customFormat="1" ht="24" customHeight="1" x14ac:dyDescent="0.3">
      <c r="A527" s="78" t="s">
        <v>4181</v>
      </c>
      <c r="B527" s="79" t="s">
        <v>2618</v>
      </c>
      <c r="C527" s="112">
        <v>1178078</v>
      </c>
      <c r="D527" s="112">
        <v>1104509</v>
      </c>
      <c r="E527" s="112">
        <v>29430305</v>
      </c>
      <c r="F527" s="81" t="s">
        <v>4240</v>
      </c>
      <c r="G527" s="82" t="s">
        <v>4238</v>
      </c>
      <c r="H527" s="82" t="s">
        <v>4241</v>
      </c>
      <c r="I527" s="82" t="s">
        <v>3103</v>
      </c>
      <c r="J527" s="83" t="e">
        <f>VLOOKUP($C527,CHOOSE({1,2},'[4]Prestações de Conta inadimplent'!$D$9:$D$2000,'[4]Prestações de Conta inadimplent'!$C$9:$C$2000),2,0)</f>
        <v>#N/A</v>
      </c>
      <c r="L527" s="85"/>
      <c r="M527" s="85" t="e">
        <v>#REF!</v>
      </c>
      <c r="T527" s="86"/>
      <c r="U527" s="85"/>
      <c r="V527" s="87"/>
      <c r="W527" s="85"/>
      <c r="X527" s="88"/>
      <c r="Y527" s="89"/>
      <c r="Z527" s="89"/>
      <c r="AA527" s="88"/>
      <c r="AB527" s="88"/>
      <c r="AF527" s="90"/>
      <c r="AK527" s="91"/>
      <c r="AM527" s="92"/>
      <c r="AN527" s="92"/>
      <c r="AO527" s="92"/>
      <c r="AP527" s="92"/>
      <c r="AQ527" s="92"/>
      <c r="AR527" s="92"/>
    </row>
    <row r="528" spans="1:44" s="84" customFormat="1" ht="24" customHeight="1" x14ac:dyDescent="0.3">
      <c r="A528" s="104">
        <v>18</v>
      </c>
      <c r="B528" s="97" t="s">
        <v>2618</v>
      </c>
      <c r="C528" s="94">
        <v>1179754</v>
      </c>
      <c r="D528" s="94">
        <v>9999999</v>
      </c>
      <c r="E528" s="94">
        <v>29487900</v>
      </c>
      <c r="F528" s="81" t="s">
        <v>4242</v>
      </c>
      <c r="G528" s="82" t="s">
        <v>4238</v>
      </c>
      <c r="H528" s="82" t="s">
        <v>4243</v>
      </c>
      <c r="I528" s="82" t="s">
        <v>3103</v>
      </c>
      <c r="J528" s="83" t="e">
        <f>VLOOKUP($C528,CHOOSE({1,2},'[4]Prestações de Conta inadimplent'!$D$9:$D$2000,'[4]Prestações de Conta inadimplent'!$C$9:$C$2000),2,0)</f>
        <v>#N/A</v>
      </c>
      <c r="L528" s="85"/>
      <c r="M528" s="85" t="e">
        <v>#REF!</v>
      </c>
      <c r="T528" s="86"/>
      <c r="U528" s="85"/>
      <c r="V528" s="87"/>
      <c r="W528" s="85"/>
      <c r="X528" s="88"/>
      <c r="Y528" s="89"/>
      <c r="Z528" s="89"/>
      <c r="AA528" s="88"/>
      <c r="AB528" s="88"/>
      <c r="AF528" s="90"/>
      <c r="AK528" s="91"/>
      <c r="AM528" s="92"/>
      <c r="AN528" s="92"/>
      <c r="AO528" s="92"/>
      <c r="AP528" s="92"/>
      <c r="AQ528" s="92"/>
      <c r="AR528" s="92"/>
    </row>
    <row r="529" spans="1:44" s="84" customFormat="1" ht="24" customHeight="1" x14ac:dyDescent="0.3">
      <c r="A529" s="78" t="s">
        <v>4181</v>
      </c>
      <c r="B529" s="79" t="s">
        <v>4244</v>
      </c>
      <c r="C529" s="112">
        <v>1133936</v>
      </c>
      <c r="D529" s="112">
        <v>1103804</v>
      </c>
      <c r="E529" s="112">
        <v>29159318</v>
      </c>
      <c r="F529" s="81" t="s">
        <v>4245</v>
      </c>
      <c r="G529" s="82" t="s">
        <v>4246</v>
      </c>
      <c r="H529" s="82" t="s">
        <v>4247</v>
      </c>
      <c r="I529" s="82" t="s">
        <v>3122</v>
      </c>
      <c r="J529" s="83" t="str">
        <f>VLOOKUP($C529,CHOOSE({1,2},'[4]Prestações de Conta inadimplent'!$D$9:$D$2000,'[4]Prestações de Conta inadimplent'!$C$9:$C$2000),2,0)</f>
        <v>Colegio Estadual Professor Carlos Santana</v>
      </c>
      <c r="L529" s="85"/>
      <c r="M529" s="85" t="e">
        <v>#REF!</v>
      </c>
      <c r="T529" s="86"/>
      <c r="U529" s="85"/>
      <c r="V529" s="87"/>
      <c r="W529" s="85"/>
      <c r="X529" s="88"/>
      <c r="Y529" s="89"/>
      <c r="Z529" s="89"/>
      <c r="AA529" s="88"/>
      <c r="AB529" s="88"/>
      <c r="AF529" s="90"/>
      <c r="AH529" s="85"/>
      <c r="AK529" s="91"/>
      <c r="AM529" s="92"/>
      <c r="AN529" s="92"/>
      <c r="AO529" s="92"/>
      <c r="AP529" s="92"/>
      <c r="AQ529" s="92"/>
      <c r="AR529" s="92"/>
    </row>
    <row r="530" spans="1:44" s="84" customFormat="1" ht="24" customHeight="1" x14ac:dyDescent="0.3">
      <c r="A530" s="78" t="s">
        <v>4181</v>
      </c>
      <c r="B530" s="79" t="s">
        <v>769</v>
      </c>
      <c r="C530" s="112">
        <v>1143494</v>
      </c>
      <c r="D530" s="112">
        <v>1101897</v>
      </c>
      <c r="E530" s="112">
        <v>29129435</v>
      </c>
      <c r="F530" s="81" t="s">
        <v>770</v>
      </c>
      <c r="G530" s="82" t="s">
        <v>4248</v>
      </c>
      <c r="H530" s="82" t="s">
        <v>4249</v>
      </c>
      <c r="I530" s="82" t="s">
        <v>3103</v>
      </c>
      <c r="J530" s="83" t="e">
        <f>VLOOKUP($C530,CHOOSE({1,2},'[4]Prestações de Conta inadimplent'!$D$9:$D$2000,'[4]Prestações de Conta inadimplent'!$C$9:$C$2000),2,0)</f>
        <v>#N/A</v>
      </c>
      <c r="L530" s="85"/>
      <c r="M530" s="85" t="e">
        <v>#REF!</v>
      </c>
      <c r="T530" s="86"/>
      <c r="U530" s="85"/>
      <c r="V530" s="87"/>
      <c r="W530" s="85"/>
      <c r="X530" s="88"/>
      <c r="Y530" s="89"/>
      <c r="Z530" s="88"/>
      <c r="AA530" s="88"/>
      <c r="AB530" s="88"/>
      <c r="AF530" s="90"/>
      <c r="AK530" s="91"/>
      <c r="AM530" s="92"/>
      <c r="AN530" s="92"/>
      <c r="AO530" s="92"/>
      <c r="AP530" s="92"/>
      <c r="AQ530" s="92"/>
      <c r="AR530" s="92"/>
    </row>
    <row r="531" spans="1:44" s="84" customFormat="1" ht="24" customHeight="1" x14ac:dyDescent="0.3">
      <c r="A531" s="78" t="s">
        <v>4181</v>
      </c>
      <c r="B531" s="79" t="s">
        <v>769</v>
      </c>
      <c r="C531" s="112">
        <v>1179315</v>
      </c>
      <c r="D531" s="112">
        <v>9999999</v>
      </c>
      <c r="E531" s="112">
        <v>29459915</v>
      </c>
      <c r="F531" s="81" t="s">
        <v>4250</v>
      </c>
      <c r="G531" s="82" t="s">
        <v>4248</v>
      </c>
      <c r="H531" s="82" t="s">
        <v>4251</v>
      </c>
      <c r="I531" s="82" t="s">
        <v>3103</v>
      </c>
      <c r="J531" s="83" t="e">
        <f>VLOOKUP($C531,CHOOSE({1,2},'[4]Prestações de Conta inadimplent'!$D$9:$D$2000,'[4]Prestações de Conta inadimplent'!$C$9:$C$2000),2,0)</f>
        <v>#N/A</v>
      </c>
      <c r="L531" s="85"/>
      <c r="M531" s="85" t="e">
        <v>#REF!</v>
      </c>
      <c r="T531" s="86"/>
      <c r="U531" s="85"/>
      <c r="V531" s="87"/>
      <c r="W531" s="85"/>
      <c r="X531" s="88"/>
      <c r="Y531" s="89"/>
      <c r="Z531" s="89"/>
      <c r="AA531" s="88"/>
      <c r="AB531" s="88"/>
      <c r="AF531" s="90"/>
      <c r="AK531" s="91"/>
      <c r="AM531" s="92"/>
      <c r="AN531" s="92"/>
      <c r="AO531" s="92"/>
      <c r="AP531" s="92"/>
      <c r="AQ531" s="92"/>
      <c r="AR531" s="92"/>
    </row>
    <row r="532" spans="1:44" s="84" customFormat="1" ht="24" customHeight="1" x14ac:dyDescent="0.3">
      <c r="A532" s="78" t="s">
        <v>4181</v>
      </c>
      <c r="B532" s="79" t="s">
        <v>943</v>
      </c>
      <c r="C532" s="112">
        <v>1108141</v>
      </c>
      <c r="D532" s="112">
        <v>1101222</v>
      </c>
      <c r="E532" s="112">
        <v>29157536</v>
      </c>
      <c r="F532" s="81" t="s">
        <v>1471</v>
      </c>
      <c r="G532" s="82" t="s">
        <v>4252</v>
      </c>
      <c r="H532" s="82" t="s">
        <v>4253</v>
      </c>
      <c r="I532" s="82" t="s">
        <v>3122</v>
      </c>
      <c r="J532" s="83" t="str">
        <f>VLOOKUP($C532,CHOOSE({1,2},'[4]Prestações de Conta inadimplent'!$D$9:$D$2000,'[4]Prestações de Conta inadimplent'!$C$9:$C$2000),2,0)</f>
        <v>Colegio Estadual Doutor Luiz Viana Filho</v>
      </c>
      <c r="K532" s="84" t="s">
        <v>3687</v>
      </c>
      <c r="L532" s="85"/>
      <c r="M532" s="85" t="e">
        <v>#REF!</v>
      </c>
      <c r="T532" s="86"/>
      <c r="U532" s="85"/>
      <c r="V532" s="87"/>
      <c r="W532" s="85"/>
      <c r="X532" s="88"/>
      <c r="Y532" s="89"/>
      <c r="Z532" s="88"/>
      <c r="AA532" s="88"/>
      <c r="AB532" s="88"/>
      <c r="AF532" s="90"/>
      <c r="AK532" s="91"/>
      <c r="AM532" s="92"/>
      <c r="AN532" s="92"/>
      <c r="AO532" s="92"/>
      <c r="AP532" s="92"/>
      <c r="AQ532" s="92"/>
      <c r="AR532" s="92"/>
    </row>
    <row r="533" spans="1:44" s="84" customFormat="1" ht="24" customHeight="1" x14ac:dyDescent="0.3">
      <c r="A533" s="78" t="s">
        <v>4181</v>
      </c>
      <c r="B533" s="79" t="s">
        <v>777</v>
      </c>
      <c r="C533" s="112">
        <v>1178259</v>
      </c>
      <c r="D533" s="112">
        <v>1105500</v>
      </c>
      <c r="E533" s="112">
        <v>29848873</v>
      </c>
      <c r="F533" s="81" t="s">
        <v>4254</v>
      </c>
      <c r="G533" s="82" t="s">
        <v>4248</v>
      </c>
      <c r="H533" s="82" t="s">
        <v>4255</v>
      </c>
      <c r="I533" s="82" t="s">
        <v>3103</v>
      </c>
      <c r="J533" s="83" t="e">
        <f>VLOOKUP($C533,CHOOSE({1,2},'[4]Prestações de Conta inadimplent'!$D$9:$D$2000,'[4]Prestações de Conta inadimplent'!$C$9:$C$2000),2,0)</f>
        <v>#N/A</v>
      </c>
      <c r="L533" s="85"/>
      <c r="M533" s="85" t="e">
        <v>#REF!</v>
      </c>
      <c r="T533" s="86"/>
      <c r="U533" s="85"/>
      <c r="V533" s="87"/>
      <c r="W533" s="85"/>
      <c r="X533" s="88"/>
      <c r="Y533" s="89"/>
      <c r="Z533" s="89"/>
      <c r="AA533" s="88"/>
      <c r="AB533" s="88"/>
      <c r="AF533" s="90"/>
      <c r="AK533" s="91"/>
      <c r="AM533" s="92"/>
      <c r="AN533" s="92"/>
      <c r="AO533" s="92"/>
      <c r="AP533" s="92"/>
      <c r="AQ533" s="92"/>
      <c r="AR533" s="92"/>
    </row>
    <row r="534" spans="1:44" s="84" customFormat="1" ht="24" customHeight="1" x14ac:dyDescent="0.3">
      <c r="A534" s="78" t="s">
        <v>4181</v>
      </c>
      <c r="B534" s="79" t="s">
        <v>777</v>
      </c>
      <c r="C534" s="112">
        <v>1115229</v>
      </c>
      <c r="D534" s="112">
        <v>1101910</v>
      </c>
      <c r="E534" s="112">
        <v>29131553</v>
      </c>
      <c r="F534" s="81" t="s">
        <v>4256</v>
      </c>
      <c r="G534" s="82" t="s">
        <v>4257</v>
      </c>
      <c r="H534" s="82" t="s">
        <v>4258</v>
      </c>
      <c r="I534" s="82" t="s">
        <v>3103</v>
      </c>
      <c r="J534" s="83" t="e">
        <f>VLOOKUP($C534,CHOOSE({1,2},'[4]Prestações de Conta inadimplent'!$D$9:$D$2000,'[4]Prestações de Conta inadimplent'!$C$9:$C$2000),2,0)</f>
        <v>#N/A</v>
      </c>
      <c r="L534" s="85"/>
      <c r="M534" s="85" t="e">
        <v>#REF!</v>
      </c>
      <c r="T534" s="86"/>
      <c r="U534" s="85"/>
      <c r="V534" s="87"/>
      <c r="W534" s="85"/>
      <c r="X534" s="88"/>
      <c r="Y534" s="89"/>
      <c r="Z534" s="89"/>
      <c r="AA534" s="88"/>
      <c r="AB534" s="88"/>
      <c r="AF534" s="90"/>
      <c r="AK534" s="91"/>
      <c r="AM534" s="92"/>
      <c r="AN534" s="92"/>
      <c r="AO534" s="92"/>
      <c r="AP534" s="92"/>
      <c r="AQ534" s="92"/>
      <c r="AR534" s="92"/>
    </row>
    <row r="535" spans="1:44" s="84" customFormat="1" ht="24" customHeight="1" x14ac:dyDescent="0.3">
      <c r="A535" s="78" t="s">
        <v>4181</v>
      </c>
      <c r="B535" s="79" t="s">
        <v>656</v>
      </c>
      <c r="C535" s="112">
        <v>1160186</v>
      </c>
      <c r="D535" s="112">
        <v>1101251</v>
      </c>
      <c r="E535" s="112">
        <v>29104505</v>
      </c>
      <c r="F535" s="81" t="s">
        <v>4259</v>
      </c>
      <c r="G535" s="82" t="s">
        <v>4185</v>
      </c>
      <c r="H535" s="82" t="s">
        <v>4260</v>
      </c>
      <c r="I535" s="82" t="s">
        <v>3122</v>
      </c>
      <c r="J535" s="83" t="str">
        <f>VLOOKUP($C535,CHOOSE({1,2},'[4]Prestações de Conta inadimplent'!$D$9:$D$2000,'[4]Prestações de Conta inadimplent'!$C$9:$C$2000),2,0)</f>
        <v>Colegio Estadual Eliel Martins</v>
      </c>
      <c r="L535" s="85"/>
      <c r="M535" s="85" t="e">
        <v>#REF!</v>
      </c>
      <c r="T535" s="86"/>
      <c r="U535" s="85"/>
      <c r="V535" s="87"/>
      <c r="W535" s="85"/>
      <c r="X535" s="88"/>
      <c r="Y535" s="89"/>
      <c r="Z535" s="89"/>
      <c r="AA535" s="88"/>
      <c r="AB535" s="88"/>
      <c r="AF535" s="90"/>
      <c r="AK535" s="91"/>
      <c r="AM535" s="92"/>
      <c r="AN535" s="92"/>
      <c r="AO535" s="92"/>
      <c r="AP535" s="92"/>
      <c r="AQ535" s="92"/>
      <c r="AR535" s="92"/>
    </row>
    <row r="536" spans="1:44" s="84" customFormat="1" ht="24" customHeight="1" x14ac:dyDescent="0.3">
      <c r="A536" s="78" t="s">
        <v>4181</v>
      </c>
      <c r="B536" s="79" t="s">
        <v>660</v>
      </c>
      <c r="C536" s="112">
        <v>1108222</v>
      </c>
      <c r="D536" s="112">
        <v>1101255</v>
      </c>
      <c r="E536" s="112">
        <v>29104580</v>
      </c>
      <c r="F536" s="81" t="s">
        <v>4261</v>
      </c>
      <c r="G536" s="82" t="s">
        <v>4185</v>
      </c>
      <c r="H536" s="82" t="s">
        <v>4262</v>
      </c>
      <c r="I536" s="82" t="s">
        <v>3103</v>
      </c>
      <c r="J536" s="83" t="e">
        <f>VLOOKUP($C536,CHOOSE({1,2},'[4]Prestações de Conta inadimplent'!$D$9:$D$2000,'[4]Prestações de Conta inadimplent'!$C$9:$C$2000),2,0)</f>
        <v>#N/A</v>
      </c>
      <c r="L536" s="85"/>
      <c r="M536" s="85" t="e">
        <v>#REF!</v>
      </c>
      <c r="T536" s="86"/>
      <c r="U536" s="85"/>
      <c r="V536" s="87"/>
      <c r="W536" s="85"/>
      <c r="X536" s="88"/>
      <c r="Y536" s="89"/>
      <c r="Z536" s="89"/>
      <c r="AA536" s="88"/>
      <c r="AB536" s="88"/>
      <c r="AF536" s="90"/>
      <c r="AK536" s="91"/>
      <c r="AM536" s="92"/>
      <c r="AN536" s="92"/>
      <c r="AO536" s="92"/>
      <c r="AP536" s="92"/>
      <c r="AQ536" s="92"/>
      <c r="AR536" s="92"/>
    </row>
    <row r="537" spans="1:44" s="84" customFormat="1" ht="24" customHeight="1" x14ac:dyDescent="0.3">
      <c r="A537" s="78" t="s">
        <v>4181</v>
      </c>
      <c r="B537" s="79" t="s">
        <v>918</v>
      </c>
      <c r="C537" s="112">
        <v>1108311</v>
      </c>
      <c r="D537" s="112">
        <v>1101262</v>
      </c>
      <c r="E537" s="112">
        <v>29154618</v>
      </c>
      <c r="F537" s="81" t="s">
        <v>922</v>
      </c>
      <c r="G537" s="82" t="s">
        <v>4252</v>
      </c>
      <c r="H537" s="82" t="s">
        <v>4263</v>
      </c>
      <c r="I537" s="82" t="s">
        <v>3103</v>
      </c>
      <c r="J537" s="83" t="e">
        <f>VLOOKUP($C537,CHOOSE({1,2},'[4]Prestações de Conta inadimplent'!$D$9:$D$2000,'[4]Prestações de Conta inadimplent'!$C$9:$C$2000),2,0)</f>
        <v>#N/A</v>
      </c>
      <c r="L537" s="85"/>
      <c r="M537" s="85" t="e">
        <v>#REF!</v>
      </c>
      <c r="T537" s="86"/>
      <c r="U537" s="85"/>
      <c r="V537" s="87"/>
      <c r="W537" s="85"/>
      <c r="X537" s="88"/>
      <c r="Y537" s="89"/>
      <c r="Z537" s="89"/>
      <c r="AA537" s="88"/>
      <c r="AB537" s="88"/>
      <c r="AF537" s="90"/>
      <c r="AK537" s="91"/>
      <c r="AM537" s="92"/>
      <c r="AN537" s="92"/>
      <c r="AO537" s="92"/>
      <c r="AP537" s="92"/>
      <c r="AQ537" s="92"/>
      <c r="AR537" s="92"/>
    </row>
    <row r="538" spans="1:44" s="84" customFormat="1" ht="24" customHeight="1" x14ac:dyDescent="0.3">
      <c r="A538" s="78" t="s">
        <v>4181</v>
      </c>
      <c r="B538" s="79" t="s">
        <v>918</v>
      </c>
      <c r="C538" s="112">
        <v>1108320</v>
      </c>
      <c r="D538" s="112">
        <v>1101263</v>
      </c>
      <c r="E538" s="112">
        <v>29153964</v>
      </c>
      <c r="F538" s="81" t="s">
        <v>919</v>
      </c>
      <c r="G538" s="82" t="s">
        <v>4252</v>
      </c>
      <c r="H538" s="82" t="s">
        <v>4264</v>
      </c>
      <c r="I538" s="82" t="s">
        <v>3103</v>
      </c>
      <c r="J538" s="83" t="e">
        <f>VLOOKUP($C538,CHOOSE({1,2},'[4]Prestações de Conta inadimplent'!$D$9:$D$2000,'[4]Prestações de Conta inadimplent'!$C$9:$C$2000),2,0)</f>
        <v>#N/A</v>
      </c>
      <c r="L538" s="85"/>
      <c r="M538" s="85" t="e">
        <v>#REF!</v>
      </c>
      <c r="T538" s="86"/>
      <c r="U538" s="85"/>
      <c r="V538" s="87"/>
      <c r="W538" s="85"/>
      <c r="X538" s="88"/>
      <c r="Y538" s="89"/>
      <c r="Z538" s="89"/>
      <c r="AA538" s="88"/>
      <c r="AB538" s="88"/>
      <c r="AF538" s="90"/>
      <c r="AK538" s="91"/>
      <c r="AM538" s="92"/>
      <c r="AN538" s="92"/>
      <c r="AO538" s="92"/>
      <c r="AP538" s="92"/>
      <c r="AQ538" s="92"/>
      <c r="AR538" s="92"/>
    </row>
    <row r="539" spans="1:44" s="84" customFormat="1" ht="24" customHeight="1" x14ac:dyDescent="0.3">
      <c r="A539" s="78" t="s">
        <v>4181</v>
      </c>
      <c r="B539" s="79" t="s">
        <v>925</v>
      </c>
      <c r="C539" s="112">
        <v>1108273</v>
      </c>
      <c r="D539" s="112">
        <v>1101270</v>
      </c>
      <c r="E539" s="112">
        <v>29154707</v>
      </c>
      <c r="F539" s="81" t="s">
        <v>4265</v>
      </c>
      <c r="G539" s="82" t="s">
        <v>4266</v>
      </c>
      <c r="H539" s="82" t="s">
        <v>4267</v>
      </c>
      <c r="I539" s="82" t="s">
        <v>3103</v>
      </c>
      <c r="J539" s="83" t="e">
        <f>VLOOKUP($C539,CHOOSE({1,2},'[4]Prestações de Conta inadimplent'!$D$9:$D$2000,'[4]Prestações de Conta inadimplent'!$C$9:$C$2000),2,0)</f>
        <v>#N/A</v>
      </c>
      <c r="L539" s="85"/>
      <c r="M539" s="85" t="e">
        <v>#REF!</v>
      </c>
      <c r="T539" s="86"/>
      <c r="U539" s="85"/>
      <c r="V539" s="87"/>
      <c r="W539" s="85"/>
      <c r="X539" s="88"/>
      <c r="Y539" s="89"/>
      <c r="Z539" s="89"/>
      <c r="AA539" s="88"/>
      <c r="AB539" s="88"/>
      <c r="AF539" s="90"/>
      <c r="AK539" s="91"/>
      <c r="AM539" s="92"/>
      <c r="AN539" s="92"/>
      <c r="AO539" s="92"/>
      <c r="AP539" s="92"/>
      <c r="AQ539" s="92"/>
      <c r="AR539" s="92"/>
    </row>
    <row r="540" spans="1:44" s="84" customFormat="1" ht="24" customHeight="1" x14ac:dyDescent="0.3">
      <c r="A540" s="78" t="s">
        <v>4268</v>
      </c>
      <c r="B540" s="79" t="s">
        <v>507</v>
      </c>
      <c r="C540" s="112">
        <v>1105320</v>
      </c>
      <c r="D540" s="112">
        <v>1101945</v>
      </c>
      <c r="E540" s="112">
        <v>29089115</v>
      </c>
      <c r="F540" s="81" t="s">
        <v>4269</v>
      </c>
      <c r="G540" s="82" t="s">
        <v>4270</v>
      </c>
      <c r="H540" s="82" t="s">
        <v>4271</v>
      </c>
      <c r="I540" s="82" t="s">
        <v>3103</v>
      </c>
      <c r="J540" s="83" t="e">
        <f>VLOOKUP($C540,CHOOSE({1,2},'[4]Prestações de Conta inadimplent'!$D$9:$D$2000,'[4]Prestações de Conta inadimplent'!$C$9:$C$2000),2,0)</f>
        <v>#N/A</v>
      </c>
      <c r="L540" s="85"/>
      <c r="M540" s="85" t="e">
        <v>#REF!</v>
      </c>
      <c r="T540" s="86"/>
      <c r="U540" s="85"/>
      <c r="V540" s="87"/>
      <c r="W540" s="85"/>
      <c r="X540" s="88"/>
      <c r="Y540" s="89"/>
      <c r="Z540" s="88"/>
      <c r="AA540" s="88"/>
      <c r="AB540" s="88"/>
      <c r="AF540" s="90"/>
      <c r="AK540" s="91"/>
      <c r="AM540" s="92"/>
      <c r="AN540" s="92"/>
      <c r="AO540" s="92"/>
      <c r="AP540" s="92"/>
      <c r="AQ540" s="92"/>
      <c r="AR540" s="92"/>
    </row>
    <row r="541" spans="1:44" s="84" customFormat="1" ht="24" customHeight="1" x14ac:dyDescent="0.3">
      <c r="A541" s="78" t="s">
        <v>4268</v>
      </c>
      <c r="B541" s="79" t="s">
        <v>947</v>
      </c>
      <c r="C541" s="112">
        <v>1105436</v>
      </c>
      <c r="D541" s="112">
        <v>1100743</v>
      </c>
      <c r="E541" s="112">
        <v>29157803</v>
      </c>
      <c r="F541" s="81" t="s">
        <v>948</v>
      </c>
      <c r="G541" s="82" t="s">
        <v>4272</v>
      </c>
      <c r="H541" s="82" t="s">
        <v>4273</v>
      </c>
      <c r="I541" s="82" t="s">
        <v>3103</v>
      </c>
      <c r="J541" s="83" t="e">
        <f>VLOOKUP($C541,CHOOSE({1,2},'[4]Prestações de Conta inadimplent'!$D$9:$D$2000,'[4]Prestações de Conta inadimplent'!$C$9:$C$2000),2,0)</f>
        <v>#N/A</v>
      </c>
      <c r="L541" s="85"/>
      <c r="M541" s="85" t="e">
        <v>#REF!</v>
      </c>
      <c r="T541" s="86"/>
      <c r="U541" s="85"/>
      <c r="V541" s="87"/>
      <c r="W541" s="85"/>
      <c r="X541" s="88"/>
      <c r="Y541" s="89"/>
      <c r="Z541" s="88"/>
      <c r="AA541" s="88"/>
      <c r="AB541" s="88"/>
      <c r="AF541" s="90"/>
      <c r="AK541" s="91"/>
      <c r="AM541" s="92"/>
      <c r="AN541" s="92"/>
      <c r="AO541" s="92"/>
      <c r="AP541" s="92"/>
      <c r="AQ541" s="92"/>
      <c r="AR541" s="92"/>
    </row>
    <row r="542" spans="1:44" s="84" customFormat="1" ht="24" customHeight="1" x14ac:dyDescent="0.3">
      <c r="A542" s="78" t="s">
        <v>4268</v>
      </c>
      <c r="B542" s="79" t="s">
        <v>511</v>
      </c>
      <c r="C542" s="112">
        <v>1105584</v>
      </c>
      <c r="D542" s="112">
        <v>1100756</v>
      </c>
      <c r="E542" s="112">
        <v>29089964</v>
      </c>
      <c r="F542" s="81" t="s">
        <v>4274</v>
      </c>
      <c r="G542" s="82" t="s">
        <v>4034</v>
      </c>
      <c r="H542" s="82" t="s">
        <v>4275</v>
      </c>
      <c r="I542" s="82" t="s">
        <v>3122</v>
      </c>
      <c r="J542" s="83" t="str">
        <f>VLOOKUP($C542,CHOOSE({1,2},'[4]Prestações de Conta inadimplent'!$D$9:$D$2000,'[4]Prestações de Conta inadimplent'!$C$9:$C$2000),2,0)</f>
        <v>Colegio Estadual Arthur Vieira De Oliveira</v>
      </c>
      <c r="L542" s="85"/>
      <c r="M542" s="85" t="e">
        <v>#REF!</v>
      </c>
      <c r="T542" s="86"/>
      <c r="U542" s="85"/>
      <c r="V542" s="87"/>
      <c r="W542" s="85"/>
      <c r="X542" s="88"/>
      <c r="Y542" s="89"/>
      <c r="Z542" s="89"/>
      <c r="AA542" s="88"/>
      <c r="AB542" s="88"/>
      <c r="AF542" s="90"/>
      <c r="AK542" s="91"/>
      <c r="AM542" s="92"/>
      <c r="AN542" s="92"/>
      <c r="AO542" s="92"/>
      <c r="AP542" s="92"/>
      <c r="AQ542" s="92"/>
      <c r="AR542" s="92"/>
    </row>
    <row r="543" spans="1:44" s="84" customFormat="1" ht="24" customHeight="1" x14ac:dyDescent="0.3">
      <c r="A543" s="78" t="s">
        <v>4268</v>
      </c>
      <c r="B543" s="79" t="s">
        <v>515</v>
      </c>
      <c r="C543" s="112">
        <v>1105460</v>
      </c>
      <c r="D543" s="112">
        <v>1100767</v>
      </c>
      <c r="E543" s="112">
        <v>29090350</v>
      </c>
      <c r="F543" s="81" t="s">
        <v>4276</v>
      </c>
      <c r="G543" s="82" t="s">
        <v>4034</v>
      </c>
      <c r="H543" s="82" t="s">
        <v>4277</v>
      </c>
      <c r="I543" s="82" t="s">
        <v>3103</v>
      </c>
      <c r="J543" s="83" t="e">
        <f>VLOOKUP($C543,CHOOSE({1,2},'[4]Prestações de Conta inadimplent'!$D$9:$D$2000,'[4]Prestações de Conta inadimplent'!$C$9:$C$2000),2,0)</f>
        <v>#N/A</v>
      </c>
      <c r="L543" s="85"/>
      <c r="M543" s="85" t="e">
        <v>#REF!</v>
      </c>
      <c r="T543" s="86"/>
      <c r="U543" s="85"/>
      <c r="V543" s="87"/>
      <c r="W543" s="85"/>
      <c r="X543" s="88"/>
      <c r="Y543" s="89"/>
      <c r="Z543" s="88"/>
      <c r="AA543" s="88"/>
      <c r="AB543" s="88"/>
      <c r="AF543" s="90"/>
      <c r="AK543" s="91"/>
      <c r="AM543" s="92"/>
      <c r="AN543" s="92"/>
      <c r="AO543" s="92"/>
      <c r="AP543" s="92"/>
      <c r="AQ543" s="92"/>
      <c r="AR543" s="92"/>
    </row>
    <row r="544" spans="1:44" s="84" customFormat="1" ht="24" customHeight="1" x14ac:dyDescent="0.3">
      <c r="A544" s="78" t="s">
        <v>4268</v>
      </c>
      <c r="B544" s="79" t="s">
        <v>519</v>
      </c>
      <c r="C544" s="112">
        <v>1105568</v>
      </c>
      <c r="D544" s="112">
        <v>1100822</v>
      </c>
      <c r="E544" s="112">
        <v>29090865</v>
      </c>
      <c r="F544" s="81" t="s">
        <v>4278</v>
      </c>
      <c r="G544" s="82" t="s">
        <v>4279</v>
      </c>
      <c r="H544" s="82" t="s">
        <v>4280</v>
      </c>
      <c r="I544" s="82" t="s">
        <v>3103</v>
      </c>
      <c r="J544" s="83" t="e">
        <f>VLOOKUP($C544,CHOOSE({1,2},'[4]Prestações de Conta inadimplent'!$D$9:$D$2000,'[4]Prestações de Conta inadimplent'!$C$9:$C$2000),2,0)</f>
        <v>#N/A</v>
      </c>
      <c r="L544" s="85"/>
      <c r="M544" s="85" t="e">
        <v>#REF!</v>
      </c>
      <c r="T544" s="86"/>
      <c r="U544" s="85"/>
      <c r="V544" s="87"/>
      <c r="W544" s="85"/>
      <c r="X544" s="88"/>
      <c r="Y544" s="89"/>
      <c r="Z544" s="88"/>
      <c r="AA544" s="88"/>
      <c r="AB544" s="88"/>
      <c r="AF544" s="90"/>
      <c r="AK544" s="91"/>
      <c r="AM544" s="92"/>
      <c r="AN544" s="92"/>
      <c r="AO544" s="92"/>
      <c r="AP544" s="92"/>
      <c r="AQ544" s="92"/>
      <c r="AR544" s="92"/>
    </row>
    <row r="545" spans="1:44" s="84" customFormat="1" ht="24" customHeight="1" x14ac:dyDescent="0.3">
      <c r="A545" s="78" t="s">
        <v>4268</v>
      </c>
      <c r="B545" s="79" t="s">
        <v>523</v>
      </c>
      <c r="C545" s="112">
        <v>1105266</v>
      </c>
      <c r="D545" s="112">
        <v>1100830</v>
      </c>
      <c r="E545" s="112">
        <v>29091470</v>
      </c>
      <c r="F545" s="81" t="s">
        <v>4281</v>
      </c>
      <c r="G545" s="82" t="s">
        <v>4034</v>
      </c>
      <c r="H545" s="82" t="s">
        <v>4282</v>
      </c>
      <c r="I545" s="82" t="s">
        <v>3103</v>
      </c>
      <c r="J545" s="83" t="e">
        <f>VLOOKUP($C545,CHOOSE({1,2},'[4]Prestações de Conta inadimplent'!$D$9:$D$2000,'[4]Prestações de Conta inadimplent'!$C$9:$C$2000),2,0)</f>
        <v>#N/A</v>
      </c>
      <c r="L545" s="85"/>
      <c r="M545" s="85" t="e">
        <v>#REF!</v>
      </c>
      <c r="T545" s="86"/>
      <c r="U545" s="85"/>
      <c r="V545" s="87"/>
      <c r="W545" s="85"/>
      <c r="X545" s="88"/>
      <c r="Y545" s="89"/>
      <c r="Z545" s="89"/>
      <c r="AA545" s="88"/>
      <c r="AB545" s="88"/>
      <c r="AF545" s="90"/>
      <c r="AK545" s="91"/>
      <c r="AM545" s="92"/>
      <c r="AN545" s="92"/>
      <c r="AO545" s="92"/>
      <c r="AP545" s="92"/>
      <c r="AQ545" s="92"/>
      <c r="AR545" s="92"/>
    </row>
    <row r="546" spans="1:44" s="84" customFormat="1" ht="24" customHeight="1" x14ac:dyDescent="0.3">
      <c r="A546" s="78" t="s">
        <v>4268</v>
      </c>
      <c r="B546" s="79" t="s">
        <v>527</v>
      </c>
      <c r="C546" s="112">
        <v>1105169</v>
      </c>
      <c r="D546" s="112">
        <v>1100842</v>
      </c>
      <c r="E546" s="112">
        <v>29092191</v>
      </c>
      <c r="F546" s="81" t="s">
        <v>528</v>
      </c>
      <c r="G546" s="82" t="s">
        <v>4283</v>
      </c>
      <c r="H546" s="82" t="s">
        <v>4284</v>
      </c>
      <c r="I546" s="82" t="s">
        <v>3103</v>
      </c>
      <c r="J546" s="83" t="e">
        <f>VLOOKUP($C546,CHOOSE({1,2},'[4]Prestações de Conta inadimplent'!$D$9:$D$2000,'[4]Prestações de Conta inadimplent'!$C$9:$C$2000),2,0)</f>
        <v>#N/A</v>
      </c>
      <c r="L546" s="85"/>
      <c r="M546" s="85" t="e">
        <v>#REF!</v>
      </c>
      <c r="T546" s="86"/>
      <c r="U546" s="85"/>
      <c r="V546" s="87"/>
      <c r="W546" s="85"/>
      <c r="X546" s="88"/>
      <c r="Y546" s="89"/>
      <c r="Z546" s="89"/>
      <c r="AA546" s="88"/>
      <c r="AB546" s="88"/>
      <c r="AF546" s="90"/>
      <c r="AK546" s="91"/>
      <c r="AM546" s="92"/>
      <c r="AN546" s="92"/>
      <c r="AO546" s="92"/>
      <c r="AP546" s="92"/>
      <c r="AQ546" s="92"/>
      <c r="AR546" s="92"/>
    </row>
    <row r="547" spans="1:44" s="84" customFormat="1" ht="24" customHeight="1" x14ac:dyDescent="0.3">
      <c r="A547" s="78" t="s">
        <v>4268</v>
      </c>
      <c r="B547" s="79" t="s">
        <v>527</v>
      </c>
      <c r="C547" s="112">
        <v>1105100</v>
      </c>
      <c r="D547" s="112">
        <v>1100844</v>
      </c>
      <c r="E547" s="112">
        <v>29092213</v>
      </c>
      <c r="F547" s="81" t="s">
        <v>4285</v>
      </c>
      <c r="G547" s="82" t="s">
        <v>4286</v>
      </c>
      <c r="H547" s="82" t="s">
        <v>4287</v>
      </c>
      <c r="I547" s="82" t="s">
        <v>3103</v>
      </c>
      <c r="J547" s="83" t="e">
        <f>VLOOKUP($C547,CHOOSE({1,2},'[4]Prestações de Conta inadimplent'!$D$9:$D$2000,'[4]Prestações de Conta inadimplent'!$C$9:$C$2000),2,0)</f>
        <v>#N/A</v>
      </c>
      <c r="L547" s="85"/>
      <c r="M547" s="85" t="e">
        <v>#REF!</v>
      </c>
      <c r="T547" s="86"/>
      <c r="U547" s="85"/>
      <c r="V547" s="87"/>
      <c r="W547" s="85"/>
      <c r="X547" s="88"/>
      <c r="Y547" s="89"/>
      <c r="Z547" s="89"/>
      <c r="AA547" s="88"/>
      <c r="AB547" s="88"/>
      <c r="AF547" s="90"/>
      <c r="AK547" s="91"/>
      <c r="AM547" s="92"/>
      <c r="AN547" s="92"/>
      <c r="AO547" s="92"/>
      <c r="AP547" s="92"/>
      <c r="AQ547" s="92"/>
      <c r="AR547" s="92"/>
    </row>
    <row r="548" spans="1:44" s="84" customFormat="1" ht="24" customHeight="1" x14ac:dyDescent="0.3">
      <c r="A548" s="78" t="s">
        <v>4268</v>
      </c>
      <c r="B548" s="79" t="s">
        <v>539</v>
      </c>
      <c r="C548" s="112">
        <v>1106637</v>
      </c>
      <c r="D548" s="112">
        <v>1100727</v>
      </c>
      <c r="E548" s="112">
        <v>29095999</v>
      </c>
      <c r="F548" s="81" t="s">
        <v>621</v>
      </c>
      <c r="G548" s="82" t="s">
        <v>4034</v>
      </c>
      <c r="H548" s="82" t="s">
        <v>4288</v>
      </c>
      <c r="I548" s="82" t="s">
        <v>3103</v>
      </c>
      <c r="J548" s="83" t="e">
        <f>VLOOKUP($C548,CHOOSE({1,2},'[4]Prestações de Conta inadimplent'!$D$9:$D$2000,'[4]Prestações de Conta inadimplent'!$C$9:$C$2000),2,0)</f>
        <v>#N/A</v>
      </c>
      <c r="L548" s="85"/>
      <c r="M548" s="85" t="e">
        <v>#REF!</v>
      </c>
      <c r="T548" s="86"/>
      <c r="U548" s="85"/>
      <c r="V548" s="87"/>
      <c r="W548" s="85"/>
      <c r="X548" s="88"/>
      <c r="Y548" s="89"/>
      <c r="Z548" s="89"/>
      <c r="AA548" s="88"/>
      <c r="AB548" s="88"/>
      <c r="AF548" s="90"/>
      <c r="AK548" s="91"/>
      <c r="AM548" s="92"/>
      <c r="AN548" s="92"/>
      <c r="AO548" s="92"/>
      <c r="AP548" s="92"/>
      <c r="AQ548" s="92"/>
      <c r="AR548" s="92"/>
    </row>
    <row r="549" spans="1:44" s="84" customFormat="1" ht="24" customHeight="1" x14ac:dyDescent="0.3">
      <c r="A549" s="78" t="s">
        <v>4268</v>
      </c>
      <c r="B549" s="79" t="s">
        <v>539</v>
      </c>
      <c r="C549" s="112">
        <v>1178163</v>
      </c>
      <c r="D549" s="112">
        <v>1105458</v>
      </c>
      <c r="E549" s="112">
        <v>29380375</v>
      </c>
      <c r="F549" s="81" t="s">
        <v>4289</v>
      </c>
      <c r="G549" s="82" t="s">
        <v>4034</v>
      </c>
      <c r="H549" s="82" t="s">
        <v>4290</v>
      </c>
      <c r="I549" s="82" t="s">
        <v>3103</v>
      </c>
      <c r="J549" s="83" t="e">
        <f>VLOOKUP($C549,CHOOSE({1,2},'[4]Prestações de Conta inadimplent'!$D$9:$D$2000,'[4]Prestações de Conta inadimplent'!$C$9:$C$2000),2,0)</f>
        <v>#N/A</v>
      </c>
      <c r="L549" s="85"/>
      <c r="M549" s="85" t="e">
        <v>#REF!</v>
      </c>
      <c r="T549" s="86"/>
      <c r="U549" s="85"/>
      <c r="V549" s="85"/>
      <c r="W549" s="85"/>
      <c r="X549" s="85"/>
      <c r="Y549" s="89"/>
      <c r="Z549" s="89"/>
      <c r="AA549" s="88"/>
      <c r="AB549" s="88"/>
      <c r="AF549" s="90"/>
      <c r="AH549" s="85"/>
      <c r="AK549" s="91"/>
      <c r="AM549" s="92"/>
      <c r="AN549" s="92"/>
      <c r="AO549" s="92"/>
      <c r="AP549" s="92"/>
      <c r="AQ549" s="92"/>
      <c r="AR549" s="92"/>
    </row>
    <row r="550" spans="1:44" s="84" customFormat="1" ht="24" customHeight="1" x14ac:dyDescent="0.3">
      <c r="A550" s="78" t="s">
        <v>4268</v>
      </c>
      <c r="B550" s="79" t="s">
        <v>539</v>
      </c>
      <c r="C550" s="112">
        <v>1106564</v>
      </c>
      <c r="D550" s="112">
        <v>1100721</v>
      </c>
      <c r="E550" s="112">
        <v>29094712</v>
      </c>
      <c r="F550" s="81" t="s">
        <v>4291</v>
      </c>
      <c r="G550" s="82" t="s">
        <v>4034</v>
      </c>
      <c r="H550" s="82" t="s">
        <v>4292</v>
      </c>
      <c r="I550" s="82" t="s">
        <v>3122</v>
      </c>
      <c r="J550" s="83" t="str">
        <f>VLOOKUP($C550,CHOOSE({1,2},'[4]Prestações de Conta inadimplent'!$D$9:$D$2000,'[4]Prestações de Conta inadimplent'!$C$9:$C$2000),2,0)</f>
        <v>Colegio Estadual De Tempo Integral Prof Ana Alice Figueredo Dos Santos</v>
      </c>
      <c r="L550" s="85"/>
      <c r="M550" s="85" t="e">
        <v>#REF!</v>
      </c>
      <c r="T550" s="86"/>
      <c r="U550" s="85"/>
      <c r="V550" s="87"/>
      <c r="W550" s="85"/>
      <c r="X550" s="88"/>
      <c r="Y550" s="89"/>
      <c r="Z550" s="89"/>
      <c r="AA550" s="88"/>
      <c r="AB550" s="88"/>
      <c r="AF550" s="90"/>
      <c r="AK550" s="91"/>
      <c r="AM550" s="92"/>
      <c r="AN550" s="92"/>
      <c r="AO550" s="92"/>
      <c r="AP550" s="92"/>
      <c r="AQ550" s="92"/>
      <c r="AR550" s="92"/>
    </row>
    <row r="551" spans="1:44" s="84" customFormat="1" ht="24" customHeight="1" x14ac:dyDescent="0.3">
      <c r="A551" s="78" t="s">
        <v>4268</v>
      </c>
      <c r="B551" s="79" t="s">
        <v>539</v>
      </c>
      <c r="C551" s="112">
        <v>1179657</v>
      </c>
      <c r="D551" s="112">
        <v>9999999</v>
      </c>
      <c r="E551" s="112">
        <v>29474264</v>
      </c>
      <c r="F551" s="81" t="s">
        <v>4293</v>
      </c>
      <c r="G551" s="82" t="s">
        <v>4294</v>
      </c>
      <c r="H551" s="82" t="s">
        <v>4295</v>
      </c>
      <c r="I551" s="82" t="s">
        <v>3103</v>
      </c>
      <c r="J551" s="83" t="e">
        <f>VLOOKUP($C551,CHOOSE({1,2},'[4]Prestações de Conta inadimplent'!$D$9:$D$2000,'[4]Prestações de Conta inadimplent'!$C$9:$C$2000),2,0)</f>
        <v>#N/A</v>
      </c>
      <c r="L551" s="85"/>
      <c r="M551" s="85" t="e">
        <v>#REF!</v>
      </c>
      <c r="T551" s="86"/>
      <c r="U551" s="85"/>
      <c r="V551" s="85"/>
      <c r="W551" s="85"/>
      <c r="X551" s="85"/>
      <c r="Y551" s="89"/>
      <c r="Z551" s="89"/>
      <c r="AA551" s="88"/>
      <c r="AB551" s="88"/>
      <c r="AF551" s="90"/>
      <c r="AK551" s="91"/>
      <c r="AM551" s="92"/>
      <c r="AN551" s="92"/>
      <c r="AO551" s="92"/>
      <c r="AP551" s="92"/>
      <c r="AQ551" s="92"/>
      <c r="AR551" s="92"/>
    </row>
    <row r="552" spans="1:44" s="84" customFormat="1" ht="24" customHeight="1" x14ac:dyDescent="0.3">
      <c r="A552" s="78" t="s">
        <v>4268</v>
      </c>
      <c r="B552" s="79" t="s">
        <v>539</v>
      </c>
      <c r="C552" s="112">
        <v>1105959</v>
      </c>
      <c r="D552" s="112">
        <v>1100734</v>
      </c>
      <c r="E552" s="112">
        <v>29096243</v>
      </c>
      <c r="F552" s="81" t="s">
        <v>624</v>
      </c>
      <c r="G552" s="82" t="s">
        <v>4034</v>
      </c>
      <c r="H552" s="82" t="s">
        <v>4296</v>
      </c>
      <c r="I552" s="82" t="s">
        <v>3103</v>
      </c>
      <c r="J552" s="83" t="e">
        <f>VLOOKUP($C552,CHOOSE({1,2},'[4]Prestações de Conta inadimplent'!$D$9:$D$2000,'[4]Prestações de Conta inadimplent'!$C$9:$C$2000),2,0)</f>
        <v>#N/A</v>
      </c>
      <c r="L552" s="85"/>
      <c r="M552" s="85" t="e">
        <v>#REF!</v>
      </c>
      <c r="T552" s="86"/>
      <c r="U552" s="85"/>
      <c r="V552" s="87"/>
      <c r="W552" s="85"/>
      <c r="X552" s="88"/>
      <c r="Y552" s="89"/>
      <c r="Z552" s="88"/>
      <c r="AA552" s="88"/>
      <c r="AB552" s="88"/>
      <c r="AF552" s="90"/>
      <c r="AK552" s="91"/>
      <c r="AM552" s="92"/>
      <c r="AN552" s="92"/>
      <c r="AO552" s="92"/>
      <c r="AP552" s="92"/>
      <c r="AQ552" s="92"/>
      <c r="AR552" s="92"/>
    </row>
    <row r="553" spans="1:44" s="84" customFormat="1" ht="24" customHeight="1" x14ac:dyDescent="0.3">
      <c r="A553" s="78" t="s">
        <v>4268</v>
      </c>
      <c r="B553" s="79" t="s">
        <v>539</v>
      </c>
      <c r="C553" s="112">
        <v>1178101</v>
      </c>
      <c r="D553" s="112">
        <v>1104568</v>
      </c>
      <c r="E553" s="112">
        <v>29436842</v>
      </c>
      <c r="F553" s="81" t="s">
        <v>4297</v>
      </c>
      <c r="G553" s="82" t="s">
        <v>4034</v>
      </c>
      <c r="H553" s="82" t="s">
        <v>4298</v>
      </c>
      <c r="I553" s="82" t="s">
        <v>3122</v>
      </c>
      <c r="J553" s="83" t="str">
        <f>VLOOKUP($C553,CHOOSE({1,2},'[4]Prestações de Conta inadimplent'!$D$9:$D$2000,'[4]Prestações de Conta inadimplent'!$C$9:$C$2000),2,0)</f>
        <v>Centro De Apoio Pedagogico Especializado De Feira De Santana</v>
      </c>
      <c r="L553" s="85"/>
      <c r="M553" s="85" t="e">
        <v>#REF!</v>
      </c>
      <c r="T553" s="86"/>
      <c r="U553" s="85"/>
      <c r="V553" s="85"/>
      <c r="W553" s="85"/>
      <c r="X553" s="85"/>
      <c r="Y553" s="89"/>
      <c r="Z553" s="89"/>
      <c r="AA553" s="88"/>
      <c r="AB553" s="88"/>
      <c r="AF553" s="90"/>
      <c r="AK553" s="91"/>
      <c r="AM553" s="92"/>
      <c r="AN553" s="92"/>
      <c r="AO553" s="92"/>
      <c r="AP553" s="92"/>
      <c r="AQ553" s="92"/>
      <c r="AR553" s="92"/>
    </row>
    <row r="554" spans="1:44" s="84" customFormat="1" ht="24" customHeight="1" x14ac:dyDescent="0.3">
      <c r="A554" s="78" t="s">
        <v>4268</v>
      </c>
      <c r="B554" s="79" t="s">
        <v>539</v>
      </c>
      <c r="C554" s="112">
        <v>1106718</v>
      </c>
      <c r="D554" s="112">
        <v>1100652</v>
      </c>
      <c r="E554" s="112">
        <v>29097703</v>
      </c>
      <c r="F554" s="81" t="s">
        <v>4299</v>
      </c>
      <c r="G554" s="82" t="s">
        <v>4034</v>
      </c>
      <c r="H554" s="82" t="s">
        <v>4300</v>
      </c>
      <c r="I554" s="82" t="s">
        <v>3122</v>
      </c>
      <c r="J554" s="83" t="str">
        <f>VLOOKUP($C554,CHOOSE({1,2},'[4]Prestações de Conta inadimplent'!$D$9:$D$2000,'[4]Prestações de Conta inadimplent'!$C$9:$C$2000),2,0)</f>
        <v>Colegio Estadual Do Campo Maria Quiteria</v>
      </c>
      <c r="L554" s="85"/>
      <c r="M554" s="85" t="e">
        <v>#REF!</v>
      </c>
      <c r="T554" s="86"/>
      <c r="U554" s="85"/>
      <c r="V554" s="87"/>
      <c r="W554" s="85"/>
      <c r="X554" s="88"/>
      <c r="Y554" s="89"/>
      <c r="Z554" s="89"/>
      <c r="AA554" s="88"/>
      <c r="AB554" s="88"/>
      <c r="AF554" s="90"/>
      <c r="AK554" s="91"/>
      <c r="AM554" s="92"/>
      <c r="AN554" s="92"/>
      <c r="AO554" s="92"/>
      <c r="AP554" s="92"/>
      <c r="AQ554" s="92"/>
      <c r="AR554" s="92"/>
    </row>
    <row r="555" spans="1:44" s="84" customFormat="1" ht="24" customHeight="1" x14ac:dyDescent="0.3">
      <c r="A555" s="78" t="s">
        <v>4268</v>
      </c>
      <c r="B555" s="79" t="s">
        <v>539</v>
      </c>
      <c r="C555" s="112">
        <v>1163894</v>
      </c>
      <c r="D555" s="112">
        <v>1100683</v>
      </c>
      <c r="E555" s="112">
        <v>29097509</v>
      </c>
      <c r="F555" s="81" t="s">
        <v>4301</v>
      </c>
      <c r="G555" s="82" t="s">
        <v>4034</v>
      </c>
      <c r="H555" s="82" t="s">
        <v>4302</v>
      </c>
      <c r="I555" s="82" t="s">
        <v>3103</v>
      </c>
      <c r="J555" s="83" t="e">
        <f>VLOOKUP($C555,CHOOSE({1,2},'[4]Prestações de Conta inadimplent'!$D$9:$D$2000,'[4]Prestações de Conta inadimplent'!$C$9:$C$2000),2,0)</f>
        <v>#N/A</v>
      </c>
      <c r="L555" s="85"/>
      <c r="M555" s="85" t="e">
        <v>#REF!</v>
      </c>
      <c r="T555" s="86"/>
      <c r="U555" s="85"/>
      <c r="V555" s="87"/>
      <c r="W555" s="85"/>
      <c r="X555" s="88"/>
      <c r="Y555" s="89"/>
      <c r="Z555" s="88"/>
      <c r="AA555" s="88"/>
      <c r="AB555" s="88"/>
      <c r="AF555" s="90"/>
      <c r="AK555" s="91"/>
      <c r="AM555" s="92"/>
      <c r="AN555" s="92"/>
      <c r="AO555" s="92"/>
      <c r="AP555" s="92"/>
      <c r="AQ555" s="92"/>
      <c r="AR555" s="92"/>
    </row>
    <row r="556" spans="1:44" s="84" customFormat="1" ht="24" customHeight="1" x14ac:dyDescent="0.3">
      <c r="A556" s="78" t="s">
        <v>4268</v>
      </c>
      <c r="B556" s="79" t="s">
        <v>539</v>
      </c>
      <c r="C556" s="112">
        <v>1106394</v>
      </c>
      <c r="D556" s="112">
        <v>1100715</v>
      </c>
      <c r="E556" s="112">
        <v>29095239</v>
      </c>
      <c r="F556" s="81" t="s">
        <v>4303</v>
      </c>
      <c r="G556" s="82" t="s">
        <v>4034</v>
      </c>
      <c r="H556" s="82" t="s">
        <v>4304</v>
      </c>
      <c r="I556" s="82" t="s">
        <v>3122</v>
      </c>
      <c r="J556" s="83" t="str">
        <f>VLOOKUP($C556,CHOOSE({1,2},'[4]Prestações de Conta inadimplent'!$D$9:$D$2000,'[4]Prestações de Conta inadimplent'!$C$9:$C$2000),2,0)</f>
        <v>Colegio Estadual Do Campo Joao Baptista Carneiro</v>
      </c>
      <c r="L556" s="85"/>
      <c r="M556" s="85" t="e">
        <v>#REF!</v>
      </c>
      <c r="T556" s="86"/>
      <c r="U556" s="85"/>
      <c r="V556" s="87"/>
      <c r="W556" s="85"/>
      <c r="X556" s="88"/>
      <c r="Y556" s="89"/>
      <c r="Z556" s="89"/>
      <c r="AA556" s="88"/>
      <c r="AB556" s="88"/>
      <c r="AF556" s="90"/>
      <c r="AK556" s="91"/>
      <c r="AM556" s="92"/>
      <c r="AN556" s="92"/>
      <c r="AO556" s="92"/>
      <c r="AP556" s="92"/>
      <c r="AQ556" s="92"/>
      <c r="AR556" s="92"/>
    </row>
    <row r="557" spans="1:44" s="84" customFormat="1" ht="24" customHeight="1" x14ac:dyDescent="0.3">
      <c r="A557" s="78" t="s">
        <v>4268</v>
      </c>
      <c r="B557" s="79" t="s">
        <v>539</v>
      </c>
      <c r="C557" s="112">
        <v>1106491</v>
      </c>
      <c r="D557" s="112">
        <v>1100651</v>
      </c>
      <c r="E557" s="112">
        <v>29093554</v>
      </c>
      <c r="F557" s="81" t="s">
        <v>4305</v>
      </c>
      <c r="G557" s="82" t="s">
        <v>4034</v>
      </c>
      <c r="H557" s="82" t="s">
        <v>4306</v>
      </c>
      <c r="I557" s="82" t="s">
        <v>3103</v>
      </c>
      <c r="J557" s="83" t="e">
        <f>VLOOKUP($C557,CHOOSE({1,2},'[4]Prestações de Conta inadimplent'!$D$9:$D$2000,'[4]Prestações de Conta inadimplent'!$C$9:$C$2000),2,0)</f>
        <v>#N/A</v>
      </c>
      <c r="L557" s="85"/>
      <c r="M557" s="85" t="e">
        <v>#REF!</v>
      </c>
      <c r="T557" s="86"/>
      <c r="U557" s="85"/>
      <c r="V557" s="87"/>
      <c r="W557" s="85"/>
      <c r="X557" s="88"/>
      <c r="Y557" s="89"/>
      <c r="Z557" s="89"/>
      <c r="AA557" s="88"/>
      <c r="AB557" s="88"/>
      <c r="AF557" s="90"/>
      <c r="AK557" s="91"/>
      <c r="AM557" s="92"/>
      <c r="AN557" s="92"/>
      <c r="AO557" s="92"/>
      <c r="AP557" s="92"/>
      <c r="AQ557" s="92"/>
      <c r="AR557" s="92"/>
    </row>
    <row r="558" spans="1:44" s="84" customFormat="1" ht="24" customHeight="1" x14ac:dyDescent="0.3">
      <c r="A558" s="78" t="s">
        <v>4268</v>
      </c>
      <c r="B558" s="79" t="s">
        <v>539</v>
      </c>
      <c r="C558" s="112">
        <v>1106106</v>
      </c>
      <c r="D558" s="112">
        <v>1100694</v>
      </c>
      <c r="E558" s="112">
        <v>29097541</v>
      </c>
      <c r="F558" s="81" t="s">
        <v>4307</v>
      </c>
      <c r="G558" s="82" t="s">
        <v>4034</v>
      </c>
      <c r="H558" s="82" t="s">
        <v>4308</v>
      </c>
      <c r="I558" s="82" t="s">
        <v>3103</v>
      </c>
      <c r="J558" s="83" t="e">
        <f>VLOOKUP($C558,CHOOSE({1,2},'[4]Prestações de Conta inadimplent'!$D$9:$D$2000,'[4]Prestações de Conta inadimplent'!$C$9:$C$2000),2,0)</f>
        <v>#N/A</v>
      </c>
      <c r="L558" s="85"/>
      <c r="M558" s="85" t="e">
        <v>#REF!</v>
      </c>
      <c r="T558" s="86"/>
      <c r="U558" s="85"/>
      <c r="V558" s="87"/>
      <c r="W558" s="85"/>
      <c r="X558" s="88"/>
      <c r="Y558" s="89"/>
      <c r="Z558" s="89"/>
      <c r="AA558" s="88"/>
      <c r="AB558" s="88"/>
      <c r="AF558" s="90"/>
      <c r="AK558" s="91"/>
      <c r="AM558" s="92"/>
      <c r="AN558" s="92"/>
      <c r="AO558" s="92"/>
      <c r="AP558" s="92"/>
      <c r="AQ558" s="92"/>
      <c r="AR558" s="92"/>
    </row>
    <row r="559" spans="1:44" s="84" customFormat="1" ht="24" customHeight="1" x14ac:dyDescent="0.3">
      <c r="A559" s="78" t="s">
        <v>4268</v>
      </c>
      <c r="B559" s="79" t="s">
        <v>539</v>
      </c>
      <c r="C559" s="112">
        <v>1178137</v>
      </c>
      <c r="D559" s="112">
        <v>1105426</v>
      </c>
      <c r="E559" s="112">
        <v>29441633</v>
      </c>
      <c r="F559" s="81" t="s">
        <v>4309</v>
      </c>
      <c r="G559" s="82" t="s">
        <v>4034</v>
      </c>
      <c r="H559" s="82" t="s">
        <v>4310</v>
      </c>
      <c r="I559" s="82" t="s">
        <v>3122</v>
      </c>
      <c r="J559" s="83" t="str">
        <f>VLOOKUP($C559,CHOOSE({1,2},'[4]Prestações de Conta inadimplent'!$D$9:$D$2000,'[4]Prestações de Conta inadimplent'!$C$9:$C$2000),2,0)</f>
        <v>Colegio Estadual Do Campo De Jaguara</v>
      </c>
      <c r="K559" s="96"/>
      <c r="L559" s="85"/>
      <c r="M559" s="85" t="e">
        <v>#REF!</v>
      </c>
      <c r="T559" s="86"/>
      <c r="U559" s="85"/>
      <c r="V559" s="87"/>
      <c r="W559" s="85"/>
      <c r="X559" s="88"/>
      <c r="Y559" s="89"/>
      <c r="Z559" s="89"/>
      <c r="AA559" s="88"/>
      <c r="AB559" s="88"/>
      <c r="AF559" s="90"/>
      <c r="AK559" s="91"/>
      <c r="AM559" s="92"/>
      <c r="AN559" s="92"/>
      <c r="AO559" s="92"/>
      <c r="AP559" s="92"/>
      <c r="AQ559" s="92"/>
      <c r="AR559" s="92"/>
    </row>
    <row r="560" spans="1:44" s="84" customFormat="1" ht="24" customHeight="1" x14ac:dyDescent="0.3">
      <c r="A560" s="78" t="s">
        <v>4268</v>
      </c>
      <c r="B560" s="79" t="s">
        <v>539</v>
      </c>
      <c r="C560" s="112">
        <v>1106742</v>
      </c>
      <c r="D560" s="112">
        <v>1100665</v>
      </c>
      <c r="E560" s="112">
        <v>29093279</v>
      </c>
      <c r="F560" s="81" t="s">
        <v>3960</v>
      </c>
      <c r="G560" s="82" t="s">
        <v>4034</v>
      </c>
      <c r="H560" s="82" t="s">
        <v>4311</v>
      </c>
      <c r="I560" s="82" t="s">
        <v>3122</v>
      </c>
      <c r="J560" s="83" t="str">
        <f>VLOOKUP($C560,CHOOSE({1,2},'[4]Prestações de Conta inadimplent'!$D$9:$D$2000,'[4]Prestações de Conta inadimplent'!$C$9:$C$2000),2,0)</f>
        <v>Colegio Estadual Governador Luiz Viana Filho</v>
      </c>
      <c r="L560" s="85"/>
      <c r="M560" s="85" t="e">
        <v>#REF!</v>
      </c>
      <c r="T560" s="86"/>
      <c r="U560" s="85"/>
      <c r="V560" s="87"/>
      <c r="W560" s="85"/>
      <c r="X560" s="88"/>
      <c r="Y560" s="89"/>
      <c r="Z560" s="89"/>
      <c r="AA560" s="88"/>
      <c r="AB560" s="88"/>
      <c r="AF560" s="90"/>
      <c r="AK560" s="91"/>
      <c r="AM560" s="92"/>
      <c r="AN560" s="92"/>
      <c r="AO560" s="92"/>
      <c r="AP560" s="92"/>
      <c r="AQ560" s="92"/>
      <c r="AR560" s="92"/>
    </row>
    <row r="561" spans="1:44" s="84" customFormat="1" ht="24" customHeight="1" x14ac:dyDescent="0.3">
      <c r="A561" s="78" t="s">
        <v>4268</v>
      </c>
      <c r="B561" s="79" t="s">
        <v>539</v>
      </c>
      <c r="C561" s="112">
        <v>1105940</v>
      </c>
      <c r="D561" s="112">
        <v>1100660</v>
      </c>
      <c r="E561" s="112">
        <v>29094194</v>
      </c>
      <c r="F561" s="81" t="s">
        <v>588</v>
      </c>
      <c r="G561" s="82" t="s">
        <v>4034</v>
      </c>
      <c r="H561" s="82" t="s">
        <v>4312</v>
      </c>
      <c r="I561" s="82" t="s">
        <v>3103</v>
      </c>
      <c r="J561" s="83" t="e">
        <f>VLOOKUP($C561,CHOOSE({1,2},'[4]Prestações de Conta inadimplent'!$D$9:$D$2000,'[4]Prestações de Conta inadimplent'!$C$9:$C$2000),2,0)</f>
        <v>#N/A</v>
      </c>
      <c r="L561" s="85"/>
      <c r="M561" s="85" t="e">
        <v>#REF!</v>
      </c>
      <c r="T561" s="86"/>
      <c r="U561" s="85"/>
      <c r="V561" s="87"/>
      <c r="W561" s="85"/>
      <c r="X561" s="88"/>
      <c r="Y561" s="89"/>
      <c r="Z561" s="89"/>
      <c r="AA561" s="88"/>
      <c r="AB561" s="88"/>
      <c r="AF561" s="90"/>
      <c r="AK561" s="91"/>
      <c r="AM561" s="92"/>
      <c r="AN561" s="92"/>
      <c r="AO561" s="92"/>
      <c r="AP561" s="92"/>
      <c r="AQ561" s="92"/>
      <c r="AR561" s="92"/>
    </row>
    <row r="562" spans="1:44" s="84" customFormat="1" ht="24" customHeight="1" x14ac:dyDescent="0.3">
      <c r="A562" s="78" t="s">
        <v>4268</v>
      </c>
      <c r="B562" s="79" t="s">
        <v>539</v>
      </c>
      <c r="C562" s="112">
        <v>1106270</v>
      </c>
      <c r="D562" s="112">
        <v>1100666</v>
      </c>
      <c r="E562" s="112">
        <v>29095140</v>
      </c>
      <c r="F562" s="81" t="s">
        <v>603</v>
      </c>
      <c r="G562" s="82" t="s">
        <v>4034</v>
      </c>
      <c r="H562" s="82" t="s">
        <v>4313</v>
      </c>
      <c r="I562" s="82" t="s">
        <v>3122</v>
      </c>
      <c r="J562" s="83" t="str">
        <f>VLOOKUP($C562,CHOOSE({1,2},'[4]Prestações de Conta inadimplent'!$D$9:$D$2000,'[4]Prestações de Conta inadimplent'!$C$9:$C$2000),2,0)</f>
        <v>Colegio Estadual Hilda Carneiro</v>
      </c>
      <c r="L562" s="85"/>
      <c r="M562" s="85" t="e">
        <v>#REF!</v>
      </c>
      <c r="T562" s="86"/>
      <c r="U562" s="85"/>
      <c r="V562" s="87"/>
      <c r="W562" s="85"/>
      <c r="X562" s="88"/>
      <c r="Y562" s="89"/>
      <c r="Z562" s="88"/>
      <c r="AA562" s="88"/>
      <c r="AB562" s="88"/>
      <c r="AF562" s="90"/>
      <c r="AK562" s="91"/>
      <c r="AM562" s="92"/>
      <c r="AN562" s="92"/>
      <c r="AO562" s="92"/>
      <c r="AP562" s="92"/>
      <c r="AQ562" s="92"/>
      <c r="AR562" s="92"/>
    </row>
    <row r="563" spans="1:44" s="84" customFormat="1" ht="24" customHeight="1" x14ac:dyDescent="0.3">
      <c r="A563" s="78" t="s">
        <v>4268</v>
      </c>
      <c r="B563" s="79" t="s">
        <v>539</v>
      </c>
      <c r="C563" s="112">
        <v>1176068</v>
      </c>
      <c r="D563" s="112">
        <v>1100706</v>
      </c>
      <c r="E563" s="112">
        <v>29093473</v>
      </c>
      <c r="F563" s="81" t="s">
        <v>4314</v>
      </c>
      <c r="G563" s="82" t="s">
        <v>4034</v>
      </c>
      <c r="H563" s="82" t="s">
        <v>4315</v>
      </c>
      <c r="I563" s="82" t="s">
        <v>3103</v>
      </c>
      <c r="J563" s="83" t="e">
        <f>VLOOKUP($C563,CHOOSE({1,2},'[4]Prestações de Conta inadimplent'!$D$9:$D$2000,'[4]Prestações de Conta inadimplent'!$C$9:$C$2000),2,0)</f>
        <v>#N/A</v>
      </c>
      <c r="L563" s="85"/>
      <c r="M563" s="85" t="e">
        <v>#REF!</v>
      </c>
      <c r="T563" s="86"/>
      <c r="U563" s="85"/>
      <c r="V563" s="87"/>
      <c r="W563" s="85"/>
      <c r="X563" s="88"/>
      <c r="Y563" s="89"/>
      <c r="Z563" s="89"/>
      <c r="AA563" s="88"/>
      <c r="AB563" s="88"/>
      <c r="AF563" s="90"/>
      <c r="AK563" s="91"/>
      <c r="AM563" s="92"/>
      <c r="AN563" s="92"/>
      <c r="AO563" s="92"/>
      <c r="AP563" s="92"/>
      <c r="AQ563" s="92"/>
      <c r="AR563" s="92"/>
    </row>
    <row r="564" spans="1:44" s="84" customFormat="1" ht="24" customHeight="1" x14ac:dyDescent="0.3">
      <c r="A564" s="78" t="s">
        <v>4268</v>
      </c>
      <c r="B564" s="79" t="s">
        <v>539</v>
      </c>
      <c r="C564" s="112">
        <v>1106467</v>
      </c>
      <c r="D564" s="112">
        <v>1100650</v>
      </c>
      <c r="E564" s="112">
        <v>29093546</v>
      </c>
      <c r="F564" s="81" t="s">
        <v>4316</v>
      </c>
      <c r="G564" s="82" t="s">
        <v>4034</v>
      </c>
      <c r="H564" s="82" t="s">
        <v>4317</v>
      </c>
      <c r="I564" s="82" t="s">
        <v>3122</v>
      </c>
      <c r="J564" s="83" t="str">
        <f>VLOOKUP($C564,CHOOSE({1,2},'[4]Prestações de Conta inadimplent'!$D$9:$D$2000,'[4]Prestações de Conta inadimplent'!$C$9:$C$2000),2,0)</f>
        <v>Colegio Est De Tempo Integral Prof Ana Angelica Vergne De Morais</v>
      </c>
      <c r="L564" s="85"/>
      <c r="M564" s="85" t="e">
        <v>#REF!</v>
      </c>
      <c r="T564" s="86"/>
      <c r="U564" s="85"/>
      <c r="V564" s="87"/>
      <c r="W564" s="85"/>
      <c r="X564" s="88"/>
      <c r="Y564" s="89"/>
      <c r="Z564" s="89"/>
      <c r="AA564" s="88"/>
      <c r="AB564" s="88"/>
      <c r="AF564" s="90"/>
      <c r="AK564" s="91"/>
      <c r="AM564" s="92"/>
      <c r="AN564" s="92"/>
      <c r="AO564" s="92"/>
      <c r="AP564" s="92"/>
      <c r="AQ564" s="92"/>
      <c r="AR564" s="92"/>
    </row>
    <row r="565" spans="1:44" s="84" customFormat="1" ht="24" customHeight="1" x14ac:dyDescent="0.3">
      <c r="A565" s="78" t="s">
        <v>4268</v>
      </c>
      <c r="B565" s="79" t="s">
        <v>539</v>
      </c>
      <c r="C565" s="112">
        <v>1105797</v>
      </c>
      <c r="D565" s="112">
        <v>9999999</v>
      </c>
      <c r="E565" s="112">
        <v>29432960</v>
      </c>
      <c r="F565" s="81" t="s">
        <v>4318</v>
      </c>
      <c r="G565" s="82" t="s">
        <v>4034</v>
      </c>
      <c r="H565" s="82" t="s">
        <v>4319</v>
      </c>
      <c r="I565" s="82" t="s">
        <v>3103</v>
      </c>
      <c r="J565" s="83" t="e">
        <f>VLOOKUP($C565,CHOOSE({1,2},'[4]Prestações de Conta inadimplent'!$D$9:$D$2000,'[4]Prestações de Conta inadimplent'!$C$9:$C$2000),2,0)</f>
        <v>#N/A</v>
      </c>
      <c r="L565" s="85"/>
      <c r="M565" s="85" t="e">
        <v>#REF!</v>
      </c>
      <c r="T565" s="86"/>
      <c r="U565" s="85"/>
      <c r="V565" s="87"/>
      <c r="W565" s="85"/>
      <c r="X565" s="88"/>
      <c r="Y565" s="89"/>
      <c r="Z565" s="89"/>
      <c r="AA565" s="88"/>
      <c r="AB565" s="88"/>
      <c r="AF565" s="90"/>
      <c r="AH565" s="85"/>
      <c r="AK565" s="91"/>
      <c r="AM565" s="92"/>
      <c r="AN565" s="92"/>
      <c r="AO565" s="92"/>
      <c r="AP565" s="92"/>
      <c r="AQ565" s="92"/>
      <c r="AR565" s="92"/>
    </row>
    <row r="566" spans="1:44" s="84" customFormat="1" ht="24" customHeight="1" x14ac:dyDescent="0.3">
      <c r="A566" s="78" t="s">
        <v>4268</v>
      </c>
      <c r="B566" s="79" t="s">
        <v>539</v>
      </c>
      <c r="C566" s="112">
        <v>1106297</v>
      </c>
      <c r="D566" s="112">
        <v>1100736</v>
      </c>
      <c r="E566" s="112">
        <v>29094151</v>
      </c>
      <c r="F566" s="81" t="s">
        <v>585</v>
      </c>
      <c r="G566" s="82" t="s">
        <v>4034</v>
      </c>
      <c r="H566" s="82" t="s">
        <v>4320</v>
      </c>
      <c r="I566" s="82" t="s">
        <v>3122</v>
      </c>
      <c r="J566" s="83" t="str">
        <f>VLOOKUP($C566,CHOOSE({1,2},'[4]Prestações de Conta inadimplent'!$D$9:$D$2000,'[4]Prestações de Conta inadimplent'!$C$9:$C$2000),2,0)</f>
        <v>Colegio Estadual Imaculada Conceicao</v>
      </c>
      <c r="L566" s="85"/>
      <c r="M566" s="85" t="e">
        <v>#REF!</v>
      </c>
      <c r="T566" s="86"/>
      <c r="U566" s="85"/>
      <c r="V566" s="87"/>
      <c r="W566" s="85"/>
      <c r="X566" s="88"/>
      <c r="Y566" s="89"/>
      <c r="Z566" s="89"/>
      <c r="AA566" s="88"/>
      <c r="AB566" s="88"/>
      <c r="AF566" s="90"/>
      <c r="AK566" s="91"/>
      <c r="AM566" s="92"/>
      <c r="AN566" s="92"/>
      <c r="AO566" s="92"/>
      <c r="AP566" s="92"/>
      <c r="AQ566" s="92"/>
      <c r="AR566" s="92"/>
    </row>
    <row r="567" spans="1:44" s="84" customFormat="1" ht="24" customHeight="1" x14ac:dyDescent="0.3">
      <c r="A567" s="78" t="s">
        <v>4268</v>
      </c>
      <c r="B567" s="79" t="s">
        <v>539</v>
      </c>
      <c r="C567" s="112">
        <v>1106335</v>
      </c>
      <c r="D567" s="112">
        <v>1100661</v>
      </c>
      <c r="E567" s="112">
        <v>29093260</v>
      </c>
      <c r="F567" s="81" t="s">
        <v>4321</v>
      </c>
      <c r="G567" s="82" t="s">
        <v>4034</v>
      </c>
      <c r="H567" s="82" t="s">
        <v>4322</v>
      </c>
      <c r="I567" s="82" t="s">
        <v>3122</v>
      </c>
      <c r="J567" s="83" t="str">
        <f>VLOOKUP($C567,CHOOSE({1,2},'[4]Prestações de Conta inadimplent'!$D$9:$D$2000,'[4]Prestações de Conta inadimplent'!$C$9:$C$2000),2,0)</f>
        <v>Colegio Estadual Professora Carminda Mascarenhas Vieira</v>
      </c>
      <c r="L567" s="85"/>
      <c r="M567" s="85" t="e">
        <v>#REF!</v>
      </c>
      <c r="T567" s="86"/>
      <c r="U567" s="85"/>
      <c r="V567" s="87"/>
      <c r="W567" s="85"/>
      <c r="X567" s="88"/>
      <c r="Y567" s="89"/>
      <c r="Z567" s="89"/>
      <c r="AA567" s="88"/>
      <c r="AB567" s="88"/>
      <c r="AF567" s="90"/>
      <c r="AK567" s="91"/>
      <c r="AM567" s="92"/>
      <c r="AN567" s="92"/>
      <c r="AO567" s="92"/>
      <c r="AP567" s="92"/>
      <c r="AQ567" s="92"/>
      <c r="AR567" s="92"/>
    </row>
    <row r="568" spans="1:44" s="84" customFormat="1" ht="24" customHeight="1" x14ac:dyDescent="0.3">
      <c r="A568" s="78" t="s">
        <v>4268</v>
      </c>
      <c r="B568" s="79" t="s">
        <v>539</v>
      </c>
      <c r="C568" s="112">
        <v>1106220</v>
      </c>
      <c r="D568" s="112">
        <v>1100735</v>
      </c>
      <c r="E568" s="112">
        <v>29094216</v>
      </c>
      <c r="F568" s="81" t="s">
        <v>591</v>
      </c>
      <c r="G568" s="82" t="s">
        <v>4034</v>
      </c>
      <c r="H568" s="82" t="s">
        <v>4323</v>
      </c>
      <c r="I568" s="82" t="s">
        <v>3122</v>
      </c>
      <c r="J568" s="83" t="str">
        <f>VLOOKUP($C568,CHOOSE({1,2},'[4]Prestações de Conta inadimplent'!$D$9:$D$2000,'[4]Prestações de Conta inadimplent'!$C$9:$C$2000),2,0)</f>
        <v>Colegio Estadual Santo Antonio</v>
      </c>
      <c r="K568" s="95" t="s">
        <v>3254</v>
      </c>
      <c r="L568" s="85"/>
      <c r="M568" s="85" t="e">
        <v>#REF!</v>
      </c>
      <c r="T568" s="86"/>
      <c r="U568" s="85"/>
      <c r="V568" s="87"/>
      <c r="W568" s="85"/>
      <c r="X568" s="88"/>
      <c r="Y568" s="89"/>
      <c r="Z568" s="88"/>
      <c r="AA568" s="88"/>
      <c r="AB568" s="88"/>
      <c r="AF568" s="90"/>
      <c r="AK568" s="91"/>
      <c r="AM568" s="92"/>
      <c r="AN568" s="92"/>
      <c r="AO568" s="92"/>
      <c r="AP568" s="92"/>
      <c r="AQ568" s="92"/>
      <c r="AR568" s="92"/>
    </row>
    <row r="569" spans="1:44" s="84" customFormat="1" ht="24" customHeight="1" x14ac:dyDescent="0.3">
      <c r="A569" s="78" t="s">
        <v>4268</v>
      </c>
      <c r="B569" s="79" t="s">
        <v>539</v>
      </c>
      <c r="C569" s="112">
        <v>1106211</v>
      </c>
      <c r="D569" s="112">
        <v>1100672</v>
      </c>
      <c r="E569" s="112">
        <v>29096596</v>
      </c>
      <c r="F569" s="81" t="s">
        <v>4324</v>
      </c>
      <c r="G569" s="82" t="s">
        <v>4034</v>
      </c>
      <c r="H569" s="82" t="s">
        <v>4325</v>
      </c>
      <c r="I569" s="82" t="s">
        <v>3122</v>
      </c>
      <c r="J569" s="83" t="str">
        <f>VLOOKUP($C569,CHOOSE({1,2},'[4]Prestações de Conta inadimplent'!$D$9:$D$2000,'[4]Prestações de Conta inadimplent'!$C$9:$C$2000),2,0)</f>
        <v>Colegio Estadual Do Campo Padre Henrique Alves Borges</v>
      </c>
      <c r="L569" s="85"/>
      <c r="M569" s="85" t="e">
        <v>#REF!</v>
      </c>
      <c r="T569" s="86"/>
      <c r="U569" s="85"/>
      <c r="V569" s="87"/>
      <c r="W569" s="85"/>
      <c r="X569" s="88"/>
      <c r="Y569" s="89"/>
      <c r="Z569" s="89"/>
      <c r="AA569" s="88"/>
      <c r="AB569" s="88"/>
      <c r="AF569" s="90"/>
      <c r="AK569" s="91"/>
      <c r="AM569" s="92"/>
      <c r="AN569" s="92"/>
      <c r="AO569" s="92"/>
      <c r="AP569" s="92"/>
      <c r="AQ569" s="92"/>
      <c r="AR569" s="92"/>
    </row>
    <row r="570" spans="1:44" s="84" customFormat="1" ht="24" customHeight="1" x14ac:dyDescent="0.3">
      <c r="A570" s="78" t="s">
        <v>4268</v>
      </c>
      <c r="B570" s="79" t="s">
        <v>539</v>
      </c>
      <c r="C570" s="112">
        <v>1105916</v>
      </c>
      <c r="D570" s="112">
        <v>1100645</v>
      </c>
      <c r="E570" s="112">
        <v>29093511</v>
      </c>
      <c r="F570" s="81" t="s">
        <v>564</v>
      </c>
      <c r="G570" s="82" t="s">
        <v>4034</v>
      </c>
      <c r="H570" s="82" t="s">
        <v>4326</v>
      </c>
      <c r="I570" s="82" t="s">
        <v>3103</v>
      </c>
      <c r="J570" s="83" t="e">
        <f>VLOOKUP($C570,CHOOSE({1,2},'[4]Prestações de Conta inadimplent'!$D$9:$D$2000,'[4]Prestações de Conta inadimplent'!$C$9:$C$2000),2,0)</f>
        <v>#N/A</v>
      </c>
      <c r="L570" s="85"/>
      <c r="M570" s="85" t="e">
        <v>#REF!</v>
      </c>
      <c r="T570" s="86"/>
      <c r="U570" s="85"/>
      <c r="V570" s="87"/>
      <c r="W570" s="85"/>
      <c r="X570" s="88"/>
      <c r="Y570" s="89"/>
      <c r="Z570" s="89"/>
      <c r="AA570" s="88"/>
      <c r="AB570" s="88"/>
      <c r="AF570" s="90"/>
      <c r="AK570" s="91"/>
      <c r="AM570" s="92"/>
      <c r="AN570" s="92"/>
      <c r="AO570" s="92"/>
      <c r="AP570" s="92"/>
      <c r="AQ570" s="92"/>
      <c r="AR570" s="92"/>
    </row>
    <row r="571" spans="1:44" s="84" customFormat="1" ht="24" customHeight="1" x14ac:dyDescent="0.3">
      <c r="A571" s="78" t="s">
        <v>4268</v>
      </c>
      <c r="B571" s="79" t="s">
        <v>539</v>
      </c>
      <c r="C571" s="112">
        <v>1105932</v>
      </c>
      <c r="D571" s="112">
        <v>1100681</v>
      </c>
      <c r="E571" s="112">
        <v>29096847</v>
      </c>
      <c r="F571" s="81" t="s">
        <v>4327</v>
      </c>
      <c r="G571" s="82" t="s">
        <v>4034</v>
      </c>
      <c r="H571" s="82" t="s">
        <v>4328</v>
      </c>
      <c r="I571" s="82" t="s">
        <v>3122</v>
      </c>
      <c r="J571" s="83" t="str">
        <f>VLOOKUP($C571,CHOOSE({1,2},'[4]Prestações de Conta inadimplent'!$D$9:$D$2000,'[4]Prestações de Conta inadimplent'!$C$9:$C$2000),2,0)</f>
        <v>Colegio Estadual Do Campo Edivaldo Machado Boaventura</v>
      </c>
      <c r="L571" s="85"/>
      <c r="M571" s="85" t="e">
        <v>#REF!</v>
      </c>
      <c r="T571" s="86"/>
      <c r="U571" s="85"/>
      <c r="V571" s="87"/>
      <c r="W571" s="85"/>
      <c r="X571" s="88"/>
      <c r="Y571" s="89"/>
      <c r="Z571" s="89"/>
      <c r="AA571" s="88"/>
      <c r="AB571" s="88"/>
      <c r="AF571" s="90"/>
      <c r="AH571" s="85"/>
      <c r="AK571" s="91"/>
      <c r="AM571" s="92"/>
      <c r="AN571" s="92"/>
      <c r="AO571" s="92"/>
      <c r="AP571" s="92"/>
      <c r="AQ571" s="92"/>
      <c r="AR571" s="92"/>
    </row>
    <row r="572" spans="1:44" s="84" customFormat="1" ht="24" customHeight="1" x14ac:dyDescent="0.3">
      <c r="A572" s="78" t="s">
        <v>4268</v>
      </c>
      <c r="B572" s="79" t="s">
        <v>539</v>
      </c>
      <c r="C572" s="112">
        <v>1106084</v>
      </c>
      <c r="D572" s="112">
        <v>1100712</v>
      </c>
      <c r="E572" s="112">
        <v>29095190</v>
      </c>
      <c r="F572" s="81" t="s">
        <v>612</v>
      </c>
      <c r="G572" s="82" t="s">
        <v>4034</v>
      </c>
      <c r="H572" s="82" t="s">
        <v>4329</v>
      </c>
      <c r="I572" s="82" t="s">
        <v>3122</v>
      </c>
      <c r="J572" s="83" t="str">
        <f>VLOOKUP($C572,CHOOSE({1,2},'[4]Prestações de Conta inadimplent'!$D$9:$D$2000,'[4]Prestações de Conta inadimplent'!$C$9:$C$2000),2,0)</f>
        <v>Colegio Georgina Soares Nascimento</v>
      </c>
      <c r="L572" s="85"/>
      <c r="M572" s="85" t="e">
        <v>#REF!</v>
      </c>
      <c r="T572" s="86"/>
      <c r="U572" s="85"/>
      <c r="V572" s="87"/>
      <c r="W572" s="85"/>
      <c r="X572" s="88"/>
      <c r="Y572" s="89"/>
      <c r="Z572" s="88"/>
      <c r="AA572" s="88"/>
      <c r="AB572" s="88"/>
      <c r="AF572" s="90"/>
      <c r="AK572" s="91"/>
      <c r="AM572" s="92"/>
      <c r="AN572" s="92"/>
      <c r="AO572" s="92"/>
      <c r="AP572" s="92"/>
      <c r="AQ572" s="92"/>
      <c r="AR572" s="92"/>
    </row>
    <row r="573" spans="1:44" s="84" customFormat="1" ht="24" customHeight="1" x14ac:dyDescent="0.3">
      <c r="A573" s="78" t="s">
        <v>4268</v>
      </c>
      <c r="B573" s="79" t="s">
        <v>539</v>
      </c>
      <c r="C573" s="112">
        <v>1179770</v>
      </c>
      <c r="D573" s="112">
        <v>1100724</v>
      </c>
      <c r="E573" s="112">
        <v>29094240</v>
      </c>
      <c r="F573" s="81" t="s">
        <v>594</v>
      </c>
      <c r="G573" s="82" t="s">
        <v>4034</v>
      </c>
      <c r="H573" s="82" t="s">
        <v>4330</v>
      </c>
      <c r="I573" s="82" t="s">
        <v>3122</v>
      </c>
      <c r="J573" s="83" t="str">
        <f>VLOOKUP($C573,CHOOSE({1,2},'[4]Prestações de Conta inadimplent'!$D$9:$D$2000,'[4]Prestações de Conta inadimplent'!$C$9:$C$2000),2,0)</f>
        <v>Colegio Estadual De Tempo Integral Georgina De Melo Erismann</v>
      </c>
      <c r="K573" s="96"/>
      <c r="L573" s="85"/>
      <c r="M573" s="85" t="e">
        <v>#REF!</v>
      </c>
      <c r="T573" s="86"/>
      <c r="U573" s="85"/>
      <c r="V573" s="87"/>
      <c r="W573" s="85"/>
      <c r="X573" s="88"/>
      <c r="Y573" s="89"/>
      <c r="Z573" s="88"/>
      <c r="AA573" s="88"/>
      <c r="AB573" s="88"/>
      <c r="AF573" s="90"/>
      <c r="AK573" s="91"/>
      <c r="AM573" s="92"/>
      <c r="AN573" s="92"/>
      <c r="AO573" s="92"/>
      <c r="AP573" s="92"/>
      <c r="AQ573" s="92"/>
      <c r="AR573" s="92"/>
    </row>
    <row r="574" spans="1:44" s="84" customFormat="1" ht="24" customHeight="1" x14ac:dyDescent="0.3">
      <c r="A574" s="78" t="s">
        <v>4268</v>
      </c>
      <c r="B574" s="79" t="s">
        <v>539</v>
      </c>
      <c r="C574" s="112">
        <v>1105754</v>
      </c>
      <c r="D574" s="112">
        <v>1100654</v>
      </c>
      <c r="E574" s="112">
        <v>29093457</v>
      </c>
      <c r="F574" s="81" t="s">
        <v>4331</v>
      </c>
      <c r="G574" s="82" t="s">
        <v>4034</v>
      </c>
      <c r="H574" s="82" t="s">
        <v>4332</v>
      </c>
      <c r="I574" s="82" t="s">
        <v>3122</v>
      </c>
      <c r="J574" s="83" t="str">
        <f>VLOOKUP($C574,CHOOSE({1,2},'[4]Prestações de Conta inadimplent'!$D$9:$D$2000,'[4]Prestações de Conta inadimplent'!$C$9:$C$2000),2,0)</f>
        <v>Centro Integrado De Educacao Assis Chateaubriand</v>
      </c>
      <c r="L574" s="85"/>
      <c r="M574" s="85" t="e">
        <v>#REF!</v>
      </c>
      <c r="T574" s="86"/>
      <c r="U574" s="85"/>
      <c r="V574" s="87"/>
      <c r="W574" s="85"/>
      <c r="X574" s="88"/>
      <c r="Y574" s="89"/>
      <c r="Z574" s="89"/>
      <c r="AA574" s="88"/>
      <c r="AB574" s="88"/>
      <c r="AF574" s="90"/>
      <c r="AK574" s="91"/>
      <c r="AM574" s="92"/>
      <c r="AN574" s="92"/>
      <c r="AO574" s="92"/>
      <c r="AP574" s="92"/>
      <c r="AQ574" s="92"/>
      <c r="AR574" s="92"/>
    </row>
    <row r="575" spans="1:44" s="84" customFormat="1" ht="24" customHeight="1" x14ac:dyDescent="0.3">
      <c r="A575" s="78" t="s">
        <v>4268</v>
      </c>
      <c r="B575" s="79" t="s">
        <v>539</v>
      </c>
      <c r="C575" s="112">
        <v>1106289</v>
      </c>
      <c r="D575" s="112">
        <v>1100669</v>
      </c>
      <c r="E575" s="112">
        <v>29093350</v>
      </c>
      <c r="F575" s="81" t="s">
        <v>555</v>
      </c>
      <c r="G575" s="82" t="s">
        <v>4034</v>
      </c>
      <c r="H575" s="82" t="s">
        <v>4333</v>
      </c>
      <c r="I575" s="82" t="s">
        <v>3103</v>
      </c>
      <c r="J575" s="83" t="e">
        <f>VLOOKUP($C575,CHOOSE({1,2},'[4]Prestações de Conta inadimplent'!$D$9:$D$2000,'[4]Prestações de Conta inadimplent'!$C$9:$C$2000),2,0)</f>
        <v>#N/A</v>
      </c>
      <c r="L575" s="85"/>
      <c r="M575" s="85" t="e">
        <v>#REF!</v>
      </c>
      <c r="T575" s="86"/>
      <c r="U575" s="85"/>
      <c r="V575" s="87"/>
      <c r="W575" s="85"/>
      <c r="X575" s="88"/>
      <c r="Y575" s="89"/>
      <c r="Z575" s="89"/>
      <c r="AA575" s="88"/>
      <c r="AB575" s="88"/>
      <c r="AF575" s="90"/>
      <c r="AK575" s="91"/>
      <c r="AM575" s="92"/>
      <c r="AN575" s="92"/>
      <c r="AO575" s="92"/>
      <c r="AP575" s="92"/>
      <c r="AQ575" s="92"/>
      <c r="AR575" s="92"/>
    </row>
    <row r="576" spans="1:44" s="84" customFormat="1" ht="24" customHeight="1" x14ac:dyDescent="0.3">
      <c r="A576" s="78" t="s">
        <v>4268</v>
      </c>
      <c r="B576" s="79" t="s">
        <v>539</v>
      </c>
      <c r="C576" s="112">
        <v>1106556</v>
      </c>
      <c r="D576" s="112">
        <v>1100733</v>
      </c>
      <c r="E576" s="112">
        <v>29094798</v>
      </c>
      <c r="F576" s="81" t="s">
        <v>4334</v>
      </c>
      <c r="G576" s="82" t="s">
        <v>4034</v>
      </c>
      <c r="H576" s="82" t="s">
        <v>4335</v>
      </c>
      <c r="I576" s="82" t="s">
        <v>3122</v>
      </c>
      <c r="J576" s="83" t="str">
        <f>VLOOKUP($C576,CHOOSE({1,2},'[4]Prestações de Conta inadimplent'!$D$9:$D$2000,'[4]Prestações de Conta inadimplent'!$C$9:$C$2000),2,0)</f>
        <v>Colegio Estadual Rotary</v>
      </c>
      <c r="K576" s="95"/>
      <c r="L576" s="85"/>
      <c r="M576" s="85" t="e">
        <v>#REF!</v>
      </c>
      <c r="T576" s="86"/>
      <c r="U576" s="85"/>
      <c r="V576" s="87"/>
      <c r="W576" s="85"/>
      <c r="X576" s="88"/>
      <c r="Y576" s="89"/>
      <c r="Z576" s="88"/>
      <c r="AA576" s="88"/>
      <c r="AB576" s="88"/>
      <c r="AF576" s="90"/>
      <c r="AK576" s="91"/>
      <c r="AM576" s="92"/>
      <c r="AN576" s="92"/>
      <c r="AO576" s="92"/>
      <c r="AP576" s="92"/>
      <c r="AQ576" s="92"/>
      <c r="AR576" s="92"/>
    </row>
    <row r="577" spans="1:44" s="84" customFormat="1" ht="24" customHeight="1" x14ac:dyDescent="0.3">
      <c r="A577" s="78" t="s">
        <v>4268</v>
      </c>
      <c r="B577" s="79" t="s">
        <v>539</v>
      </c>
      <c r="C577" s="112">
        <v>1105975</v>
      </c>
      <c r="D577" s="112">
        <v>1100658</v>
      </c>
      <c r="E577" s="112">
        <v>29093520</v>
      </c>
      <c r="F577" s="81" t="s">
        <v>4336</v>
      </c>
      <c r="G577" s="82" t="s">
        <v>4034</v>
      </c>
      <c r="H577" s="82" t="s">
        <v>4337</v>
      </c>
      <c r="I577" s="82" t="s">
        <v>3122</v>
      </c>
      <c r="J577" s="83" t="str">
        <f>VLOOKUP($C577,CHOOSE({1,2},'[4]Prestações de Conta inadimplent'!$D$9:$D$2000,'[4]Prestações de Conta inadimplent'!$C$9:$C$2000),2,0)</f>
        <v>Centro Est De Educacao Profissional Em Saude Do Centro Baiano</v>
      </c>
      <c r="L577" s="85"/>
      <c r="M577" s="85" t="e">
        <v>#REF!</v>
      </c>
      <c r="T577" s="86"/>
      <c r="U577" s="85"/>
      <c r="V577" s="87"/>
      <c r="W577" s="85"/>
      <c r="X577" s="88"/>
      <c r="Y577" s="89"/>
      <c r="Z577" s="89"/>
      <c r="AA577" s="88"/>
      <c r="AB577" s="88"/>
      <c r="AF577" s="90"/>
      <c r="AK577" s="91"/>
      <c r="AM577" s="92"/>
      <c r="AN577" s="92"/>
      <c r="AO577" s="92"/>
      <c r="AP577" s="92"/>
      <c r="AQ577" s="92"/>
      <c r="AR577" s="92"/>
    </row>
    <row r="578" spans="1:44" s="84" customFormat="1" ht="24" customHeight="1" x14ac:dyDescent="0.3">
      <c r="A578" s="78" t="s">
        <v>4268</v>
      </c>
      <c r="B578" s="79" t="s">
        <v>539</v>
      </c>
      <c r="C578" s="112">
        <v>1176448</v>
      </c>
      <c r="D578" s="112">
        <v>1100710</v>
      </c>
      <c r="E578" s="112">
        <v>29387728</v>
      </c>
      <c r="F578" s="81" t="s">
        <v>2302</v>
      </c>
      <c r="G578" s="82" t="s">
        <v>4034</v>
      </c>
      <c r="H578" s="82" t="s">
        <v>4338</v>
      </c>
      <c r="I578" s="82" t="s">
        <v>3103</v>
      </c>
      <c r="J578" s="83" t="e">
        <f>VLOOKUP($C578,CHOOSE({1,2},'[4]Prestações de Conta inadimplent'!$D$9:$D$2000,'[4]Prestações de Conta inadimplent'!$C$9:$C$2000),2,0)</f>
        <v>#N/A</v>
      </c>
      <c r="L578" s="85"/>
      <c r="M578" s="85" t="e">
        <v>#REF!</v>
      </c>
      <c r="T578" s="86"/>
      <c r="U578" s="85"/>
      <c r="V578" s="87"/>
      <c r="W578" s="85"/>
      <c r="X578" s="88"/>
      <c r="Y578" s="89"/>
      <c r="Z578" s="89"/>
      <c r="AA578" s="88"/>
      <c r="AB578" s="88"/>
      <c r="AF578" s="90"/>
      <c r="AK578" s="91"/>
      <c r="AM578" s="92"/>
      <c r="AN578" s="92"/>
      <c r="AO578" s="92"/>
      <c r="AP578" s="92"/>
      <c r="AQ578" s="92"/>
      <c r="AR578" s="92"/>
    </row>
    <row r="579" spans="1:44" s="84" customFormat="1" ht="24" customHeight="1" x14ac:dyDescent="0.3">
      <c r="A579" s="78" t="s">
        <v>4268</v>
      </c>
      <c r="B579" s="79" t="s">
        <v>539</v>
      </c>
      <c r="C579" s="112">
        <v>1105878</v>
      </c>
      <c r="D579" s="112">
        <v>1100678</v>
      </c>
      <c r="E579" s="112">
        <v>29093317</v>
      </c>
      <c r="F579" s="81" t="s">
        <v>549</v>
      </c>
      <c r="G579" s="82" t="s">
        <v>4034</v>
      </c>
      <c r="H579" s="82" t="s">
        <v>4339</v>
      </c>
      <c r="I579" s="82" t="s">
        <v>3122</v>
      </c>
      <c r="J579" s="83" t="str">
        <f>VLOOKUP($C579,CHOOSE({1,2},'[4]Prestações de Conta inadimplent'!$D$9:$D$2000,'[4]Prestações de Conta inadimplent'!$C$9:$C$2000),2,0)</f>
        <v>Colegio Da Policia Militar Cpm Diva Portela</v>
      </c>
      <c r="K579" s="95"/>
      <c r="L579" s="85"/>
      <c r="M579" s="85" t="e">
        <v>#REF!</v>
      </c>
      <c r="T579" s="86"/>
      <c r="U579" s="85"/>
      <c r="V579" s="85"/>
      <c r="W579" s="85"/>
      <c r="X579" s="88"/>
      <c r="Y579" s="89"/>
      <c r="Z579" s="88"/>
      <c r="AA579" s="88"/>
      <c r="AB579" s="88"/>
      <c r="AF579" s="90"/>
      <c r="AK579" s="91"/>
      <c r="AM579" s="92"/>
      <c r="AN579" s="92"/>
      <c r="AO579" s="92"/>
      <c r="AP579" s="92"/>
      <c r="AQ579" s="92"/>
      <c r="AR579" s="92"/>
    </row>
    <row r="580" spans="1:44" s="84" customFormat="1" ht="24" customHeight="1" x14ac:dyDescent="0.3">
      <c r="A580" s="78" t="s">
        <v>4268</v>
      </c>
      <c r="B580" s="79" t="s">
        <v>539</v>
      </c>
      <c r="C580" s="112">
        <v>1142242</v>
      </c>
      <c r="D580" s="112">
        <v>1100709</v>
      </c>
      <c r="E580" s="112">
        <v>29097665</v>
      </c>
      <c r="F580" s="81" t="s">
        <v>4340</v>
      </c>
      <c r="G580" s="82" t="s">
        <v>4034</v>
      </c>
      <c r="H580" s="82" t="s">
        <v>4341</v>
      </c>
      <c r="I580" s="82" t="s">
        <v>3122</v>
      </c>
      <c r="J580" s="83" t="str">
        <f>VLOOKUP($C580,CHOOSE({1,2},'[4]Prestações de Conta inadimplent'!$D$9:$D$2000,'[4]Prestações de Conta inadimplent'!$C$9:$C$2000),2,0)</f>
        <v>Colegio Estadual Teotonio Vilela</v>
      </c>
      <c r="L580" s="85"/>
      <c r="M580" s="85" t="e">
        <v>#REF!</v>
      </c>
      <c r="T580" s="86"/>
      <c r="U580" s="85"/>
      <c r="V580" s="87"/>
      <c r="W580" s="85"/>
      <c r="X580" s="88"/>
      <c r="Y580" s="89"/>
      <c r="Z580" s="88"/>
      <c r="AA580" s="88"/>
      <c r="AB580" s="88"/>
      <c r="AF580" s="90"/>
      <c r="AK580" s="91"/>
      <c r="AM580" s="92"/>
      <c r="AN580" s="92"/>
      <c r="AO580" s="92"/>
      <c r="AP580" s="92"/>
      <c r="AQ580" s="92"/>
      <c r="AR580" s="92"/>
    </row>
    <row r="581" spans="1:44" s="84" customFormat="1" ht="24" customHeight="1" x14ac:dyDescent="0.3">
      <c r="A581" s="78" t="s">
        <v>4268</v>
      </c>
      <c r="B581" s="79" t="s">
        <v>539</v>
      </c>
      <c r="C581" s="112">
        <v>1106386</v>
      </c>
      <c r="D581" s="112">
        <v>1100671</v>
      </c>
      <c r="E581" s="112">
        <v>29094100</v>
      </c>
      <c r="F581" s="81" t="s">
        <v>582</v>
      </c>
      <c r="G581" s="82" t="s">
        <v>4034</v>
      </c>
      <c r="H581" s="82" t="s">
        <v>4342</v>
      </c>
      <c r="I581" s="82" t="s">
        <v>3103</v>
      </c>
      <c r="J581" s="83" t="e">
        <f>VLOOKUP($C581,CHOOSE({1,2},'[4]Prestações de Conta inadimplent'!$D$9:$D$2000,'[4]Prestações de Conta inadimplent'!$C$9:$C$2000),2,0)</f>
        <v>#N/A</v>
      </c>
      <c r="L581" s="85"/>
      <c r="M581" s="85" t="e">
        <v>#REF!</v>
      </c>
      <c r="T581" s="86"/>
      <c r="U581" s="85"/>
      <c r="V581" s="87"/>
      <c r="W581" s="85"/>
      <c r="X581" s="88"/>
      <c r="Y581" s="89"/>
      <c r="Z581" s="89"/>
      <c r="AA581" s="88"/>
      <c r="AB581" s="88"/>
      <c r="AF581" s="90"/>
      <c r="AK581" s="91"/>
      <c r="AM581" s="92"/>
      <c r="AN581" s="92"/>
      <c r="AO581" s="92"/>
      <c r="AP581" s="92"/>
      <c r="AQ581" s="92"/>
      <c r="AR581" s="92"/>
    </row>
    <row r="582" spans="1:44" s="84" customFormat="1" ht="24" customHeight="1" x14ac:dyDescent="0.3">
      <c r="A582" s="78" t="s">
        <v>4268</v>
      </c>
      <c r="B582" s="79" t="s">
        <v>539</v>
      </c>
      <c r="C582" s="112">
        <v>1160607</v>
      </c>
      <c r="D582" s="112">
        <v>1100677</v>
      </c>
      <c r="E582" s="112">
        <v>29093341</v>
      </c>
      <c r="F582" s="81" t="s">
        <v>4343</v>
      </c>
      <c r="G582" s="82" t="s">
        <v>4034</v>
      </c>
      <c r="H582" s="82" t="s">
        <v>4344</v>
      </c>
      <c r="I582" s="82" t="s">
        <v>3122</v>
      </c>
      <c r="J582" s="83" t="str">
        <f>VLOOKUP($C582,CHOOSE({1,2},'[4]Prestações de Conta inadimplent'!$D$9:$D$2000,'[4]Prestações de Conta inadimplent'!$C$9:$C$2000),2,0)</f>
        <v>Centro Educacional Cenecista Do Campo Conego Cupertino De Lacerda</v>
      </c>
      <c r="L582" s="85"/>
      <c r="M582" s="85" t="e">
        <v>#REF!</v>
      </c>
      <c r="T582" s="86"/>
      <c r="U582" s="85"/>
      <c r="V582" s="87"/>
      <c r="W582" s="85"/>
      <c r="X582" s="88"/>
      <c r="Y582" s="89"/>
      <c r="Z582" s="89"/>
      <c r="AA582" s="88"/>
      <c r="AB582" s="88"/>
      <c r="AF582" s="90"/>
      <c r="AK582" s="91"/>
      <c r="AM582" s="92"/>
      <c r="AN582" s="92"/>
      <c r="AO582" s="92"/>
      <c r="AP582" s="92"/>
      <c r="AQ582" s="92"/>
      <c r="AR582" s="92"/>
    </row>
    <row r="583" spans="1:44" s="84" customFormat="1" ht="24" customHeight="1" x14ac:dyDescent="0.3">
      <c r="A583" s="78" t="s">
        <v>4268</v>
      </c>
      <c r="B583" s="79" t="s">
        <v>539</v>
      </c>
      <c r="C583" s="112">
        <v>1178219</v>
      </c>
      <c r="D583" s="112">
        <v>1105442</v>
      </c>
      <c r="E583" s="112">
        <v>29443768</v>
      </c>
      <c r="F583" s="81" t="s">
        <v>4345</v>
      </c>
      <c r="G583" s="82" t="s">
        <v>4034</v>
      </c>
      <c r="H583" s="82" t="s">
        <v>4346</v>
      </c>
      <c r="I583" s="82" t="s">
        <v>3122</v>
      </c>
      <c r="J583" s="83" t="str">
        <f>VLOOKUP($C583,CHOOSE({1,2},'[4]Prestações de Conta inadimplent'!$D$9:$D$2000,'[4]Prestações de Conta inadimplent'!$C$9:$C$2000),2,0)</f>
        <v>Colegio Estadual Doutor Jair Santos Silva</v>
      </c>
      <c r="L583" s="85"/>
      <c r="M583" s="85" t="e">
        <v>#REF!</v>
      </c>
      <c r="T583" s="86"/>
      <c r="U583" s="85"/>
      <c r="V583" s="87"/>
      <c r="W583" s="85"/>
      <c r="X583" s="88"/>
      <c r="Y583" s="89"/>
      <c r="Z583" s="89"/>
      <c r="AA583" s="88"/>
      <c r="AB583" s="88"/>
      <c r="AF583" s="90"/>
      <c r="AK583" s="91"/>
      <c r="AM583" s="92"/>
      <c r="AN583" s="92"/>
      <c r="AO583" s="92"/>
      <c r="AP583" s="92"/>
      <c r="AQ583" s="92"/>
      <c r="AR583" s="92"/>
    </row>
    <row r="584" spans="1:44" s="84" customFormat="1" ht="24" customHeight="1" x14ac:dyDescent="0.3">
      <c r="A584" s="78" t="s">
        <v>4268</v>
      </c>
      <c r="B584" s="79" t="s">
        <v>539</v>
      </c>
      <c r="C584" s="112">
        <v>1105886</v>
      </c>
      <c r="D584" s="112">
        <v>1100664</v>
      </c>
      <c r="E584" s="112">
        <v>29093660</v>
      </c>
      <c r="F584" s="81" t="s">
        <v>579</v>
      </c>
      <c r="G584" s="82" t="s">
        <v>4034</v>
      </c>
      <c r="H584" s="82" t="s">
        <v>4347</v>
      </c>
      <c r="I584" s="82" t="s">
        <v>3122</v>
      </c>
      <c r="J584" s="83" t="str">
        <f>VLOOKUP($C584,CHOOSE({1,2},'[4]Prestações de Conta inadimplent'!$D$9:$D$2000,'[4]Prestações de Conta inadimplent'!$C$9:$C$2000),2,0)</f>
        <v>Colegio Estadual Durvalina Carneiro</v>
      </c>
      <c r="K584" s="96"/>
      <c r="L584" s="85"/>
      <c r="M584" s="85" t="e">
        <v>#REF!</v>
      </c>
      <c r="T584" s="86"/>
      <c r="U584" s="85"/>
      <c r="V584" s="87"/>
      <c r="W584" s="85"/>
      <c r="X584" s="88"/>
      <c r="Y584" s="89"/>
      <c r="Z584" s="89"/>
      <c r="AA584" s="88"/>
      <c r="AB584" s="88"/>
      <c r="AF584" s="90"/>
      <c r="AK584" s="91"/>
      <c r="AM584" s="92"/>
      <c r="AN584" s="92"/>
      <c r="AO584" s="92"/>
      <c r="AP584" s="92"/>
      <c r="AQ584" s="92"/>
      <c r="AR584" s="92"/>
    </row>
    <row r="585" spans="1:44" s="84" customFormat="1" ht="24" customHeight="1" x14ac:dyDescent="0.3">
      <c r="A585" s="78" t="s">
        <v>4268</v>
      </c>
      <c r="B585" s="79" t="s">
        <v>539</v>
      </c>
      <c r="C585" s="112">
        <v>1176423</v>
      </c>
      <c r="D585" s="112">
        <v>1100676</v>
      </c>
      <c r="E585" s="112">
        <v>29387736</v>
      </c>
      <c r="F585" s="81" t="s">
        <v>2337</v>
      </c>
      <c r="G585" s="82" t="s">
        <v>4034</v>
      </c>
      <c r="H585" s="82" t="s">
        <v>4348</v>
      </c>
      <c r="I585" s="82" t="s">
        <v>3122</v>
      </c>
      <c r="J585" s="83" t="str">
        <f>VLOOKUP($C585,CHOOSE({1,2},'[4]Prestações de Conta inadimplent'!$D$9:$D$2000,'[4]Prestações de Conta inadimplent'!$C$9:$C$2000),2,0)</f>
        <v>Colegio Modelo Luis Eduardo Magalhaes</v>
      </c>
      <c r="L585" s="85"/>
      <c r="M585" s="85" t="e">
        <v>#REF!</v>
      </c>
      <c r="T585" s="86"/>
      <c r="U585" s="85"/>
      <c r="V585" s="87"/>
      <c r="W585" s="85"/>
      <c r="X585" s="88"/>
      <c r="Y585" s="89"/>
      <c r="Z585" s="88"/>
      <c r="AA585" s="88"/>
      <c r="AB585" s="88"/>
      <c r="AF585" s="90"/>
      <c r="AK585" s="91"/>
      <c r="AM585" s="92"/>
      <c r="AN585" s="92"/>
      <c r="AO585" s="92"/>
      <c r="AP585" s="92"/>
      <c r="AQ585" s="92"/>
      <c r="AR585" s="92"/>
    </row>
    <row r="586" spans="1:44" s="84" customFormat="1" ht="24" customHeight="1" x14ac:dyDescent="0.3">
      <c r="A586" s="78" t="s">
        <v>4268</v>
      </c>
      <c r="B586" s="79" t="s">
        <v>539</v>
      </c>
      <c r="C586" s="112">
        <v>1106599</v>
      </c>
      <c r="D586" s="112">
        <v>1100714</v>
      </c>
      <c r="E586" s="112">
        <v>29095212</v>
      </c>
      <c r="F586" s="81" t="s">
        <v>615</v>
      </c>
      <c r="G586" s="82" t="s">
        <v>4034</v>
      </c>
      <c r="H586" s="82" t="s">
        <v>4349</v>
      </c>
      <c r="I586" s="82" t="s">
        <v>3103</v>
      </c>
      <c r="J586" s="83" t="e">
        <f>VLOOKUP($C586,CHOOSE({1,2},'[4]Prestações de Conta inadimplent'!$D$9:$D$2000,'[4]Prestações de Conta inadimplent'!$C$9:$C$2000),2,0)</f>
        <v>#N/A</v>
      </c>
      <c r="K586" s="85"/>
      <c r="L586" s="85"/>
      <c r="M586" s="85" t="e">
        <v>#REF!</v>
      </c>
      <c r="T586" s="86"/>
      <c r="U586" s="85"/>
      <c r="V586" s="87"/>
      <c r="W586" s="85"/>
      <c r="X586" s="88"/>
      <c r="Y586" s="89"/>
      <c r="Z586" s="89"/>
      <c r="AA586" s="88"/>
      <c r="AB586" s="88"/>
      <c r="AF586" s="90"/>
      <c r="AK586" s="91"/>
      <c r="AM586" s="92"/>
      <c r="AN586" s="92"/>
      <c r="AO586" s="92"/>
      <c r="AP586" s="92"/>
      <c r="AQ586" s="92"/>
      <c r="AR586" s="92"/>
    </row>
    <row r="587" spans="1:44" s="84" customFormat="1" ht="24" customHeight="1" x14ac:dyDescent="0.3">
      <c r="A587" s="78" t="s">
        <v>4268</v>
      </c>
      <c r="B587" s="79" t="s">
        <v>539</v>
      </c>
      <c r="C587" s="112">
        <v>1106645</v>
      </c>
      <c r="D587" s="112">
        <v>1100674</v>
      </c>
      <c r="E587" s="112">
        <v>29095166</v>
      </c>
      <c r="F587" s="81" t="s">
        <v>609</v>
      </c>
      <c r="G587" s="82" t="s">
        <v>4034</v>
      </c>
      <c r="H587" s="82" t="s">
        <v>4350</v>
      </c>
      <c r="I587" s="82" t="s">
        <v>3103</v>
      </c>
      <c r="J587" s="83" t="e">
        <f>VLOOKUP($C587,CHOOSE({1,2},'[4]Prestações de Conta inadimplent'!$D$9:$D$2000,'[4]Prestações de Conta inadimplent'!$C$9:$C$2000),2,0)</f>
        <v>#N/A</v>
      </c>
      <c r="L587" s="85"/>
      <c r="M587" s="85" t="e">
        <v>#REF!</v>
      </c>
      <c r="T587" s="86"/>
      <c r="U587" s="85"/>
      <c r="V587" s="87"/>
      <c r="W587" s="85"/>
      <c r="X587" s="88"/>
      <c r="Y587" s="89"/>
      <c r="Z587" s="89"/>
      <c r="AA587" s="88"/>
      <c r="AB587" s="88"/>
      <c r="AF587" s="90"/>
      <c r="AK587" s="91"/>
      <c r="AM587" s="92"/>
      <c r="AN587" s="92"/>
      <c r="AO587" s="92"/>
      <c r="AP587" s="92"/>
      <c r="AQ587" s="92"/>
      <c r="AR587" s="92"/>
    </row>
    <row r="588" spans="1:44" s="84" customFormat="1" ht="24" customHeight="1" x14ac:dyDescent="0.3">
      <c r="A588" s="94" t="s">
        <v>4268</v>
      </c>
      <c r="B588" s="97" t="s">
        <v>539</v>
      </c>
      <c r="C588" s="94">
        <v>1179769</v>
      </c>
      <c r="D588" s="94">
        <v>9999999</v>
      </c>
      <c r="E588" s="94">
        <v>29095158</v>
      </c>
      <c r="F588" s="81" t="s">
        <v>4351</v>
      </c>
      <c r="G588" s="82" t="s">
        <v>4294</v>
      </c>
      <c r="H588" s="82" t="s">
        <v>4352</v>
      </c>
      <c r="I588" s="82" t="s">
        <v>3103</v>
      </c>
      <c r="J588" s="83" t="e">
        <f>VLOOKUP($C588,CHOOSE({1,2},'[4]Prestações de Conta inadimplent'!$D$9:$D$2000,'[4]Prestações de Conta inadimplent'!$C$9:$C$2000),2,0)</f>
        <v>#N/A</v>
      </c>
      <c r="L588" s="85"/>
      <c r="M588" s="85" t="e">
        <v>#REF!</v>
      </c>
      <c r="T588" s="86"/>
      <c r="U588" s="85"/>
      <c r="V588" s="87"/>
      <c r="W588" s="85"/>
      <c r="X588" s="88"/>
      <c r="Y588" s="89"/>
      <c r="Z588" s="89"/>
      <c r="AA588" s="88"/>
      <c r="AB588" s="88"/>
      <c r="AF588" s="90"/>
      <c r="AK588" s="91"/>
      <c r="AM588" s="92"/>
      <c r="AN588" s="92"/>
      <c r="AO588" s="92"/>
      <c r="AP588" s="92"/>
      <c r="AQ588" s="92"/>
      <c r="AR588" s="92"/>
    </row>
    <row r="589" spans="1:44" s="84" customFormat="1" ht="24" customHeight="1" x14ac:dyDescent="0.3">
      <c r="A589" s="94" t="s">
        <v>4268</v>
      </c>
      <c r="B589" s="97" t="s">
        <v>539</v>
      </c>
      <c r="C589" s="94">
        <v>1179826</v>
      </c>
      <c r="D589" s="94">
        <v>9999999</v>
      </c>
      <c r="E589" s="94">
        <v>44449</v>
      </c>
      <c r="F589" s="81" t="s">
        <v>4353</v>
      </c>
      <c r="G589" s="82" t="s">
        <v>3192</v>
      </c>
      <c r="H589" s="82" t="s">
        <v>3192</v>
      </c>
      <c r="I589" s="82" t="s">
        <v>3103</v>
      </c>
      <c r="J589" s="83" t="e">
        <f>VLOOKUP($C589,CHOOSE({1,2},'[4]Prestações de Conta inadimplent'!$D$9:$D$2000,'[4]Prestações de Conta inadimplent'!$C$9:$C$2000),2,0)</f>
        <v>#N/A</v>
      </c>
      <c r="L589" s="85"/>
      <c r="M589" s="85"/>
      <c r="T589" s="86"/>
      <c r="U589" s="85"/>
      <c r="V589" s="87"/>
      <c r="W589" s="85"/>
      <c r="X589" s="88"/>
      <c r="Y589" s="89"/>
      <c r="Z589" s="89"/>
      <c r="AA589" s="88"/>
      <c r="AB589" s="88"/>
      <c r="AF589" s="90"/>
      <c r="AK589" s="91"/>
      <c r="AM589" s="92"/>
      <c r="AN589" s="92"/>
      <c r="AO589" s="92"/>
      <c r="AP589" s="92"/>
      <c r="AQ589" s="92"/>
      <c r="AR589" s="92"/>
    </row>
    <row r="590" spans="1:44" s="84" customFormat="1" ht="24" customHeight="1" x14ac:dyDescent="0.3">
      <c r="A590" s="78" t="s">
        <v>4268</v>
      </c>
      <c r="B590" s="79" t="s">
        <v>642</v>
      </c>
      <c r="C590" s="112">
        <v>1160380</v>
      </c>
      <c r="D590" s="112">
        <v>1100861</v>
      </c>
      <c r="E590" s="112">
        <v>29098165</v>
      </c>
      <c r="F590" s="81" t="s">
        <v>643</v>
      </c>
      <c r="G590" s="82" t="s">
        <v>4034</v>
      </c>
      <c r="H590" s="82" t="s">
        <v>4354</v>
      </c>
      <c r="I590" s="82" t="s">
        <v>3122</v>
      </c>
      <c r="J590" s="83" t="str">
        <f>VLOOKUP($C590,CHOOSE({1,2},'[4]Prestações de Conta inadimplent'!$D$9:$D$2000,'[4]Prestações de Conta inadimplent'!$C$9:$C$2000),2,0)</f>
        <v>Colegio Estadual De Tempo Integral Aureo Filho</v>
      </c>
      <c r="L590" s="85"/>
      <c r="M590" s="85" t="e">
        <v>#REF!</v>
      </c>
      <c r="T590" s="86"/>
      <c r="U590" s="85"/>
      <c r="V590" s="87"/>
      <c r="W590" s="85"/>
      <c r="X590" s="88"/>
      <c r="Y590" s="89"/>
      <c r="Z590" s="89"/>
      <c r="AA590" s="88"/>
      <c r="AB590" s="88"/>
      <c r="AF590" s="90"/>
      <c r="AK590" s="91"/>
      <c r="AM590" s="92"/>
      <c r="AN590" s="92"/>
      <c r="AO590" s="92"/>
      <c r="AP590" s="92"/>
      <c r="AQ590" s="92"/>
      <c r="AR590" s="92"/>
    </row>
    <row r="591" spans="1:44" s="84" customFormat="1" ht="24" customHeight="1" x14ac:dyDescent="0.3">
      <c r="A591" s="78" t="s">
        <v>4268</v>
      </c>
      <c r="B591" s="79" t="s">
        <v>4355</v>
      </c>
      <c r="C591" s="112">
        <v>1107129</v>
      </c>
      <c r="D591" s="112">
        <v>1101081</v>
      </c>
      <c r="E591" s="112">
        <v>29103290</v>
      </c>
      <c r="F591" s="81" t="s">
        <v>4356</v>
      </c>
      <c r="G591" s="82" t="s">
        <v>4357</v>
      </c>
      <c r="H591" s="82" t="s">
        <v>4358</v>
      </c>
      <c r="I591" s="82" t="s">
        <v>3103</v>
      </c>
      <c r="J591" s="83" t="e">
        <f>VLOOKUP($C591,CHOOSE({1,2},'[4]Prestações de Conta inadimplent'!$D$9:$D$2000,'[4]Prestações de Conta inadimplent'!$C$9:$C$2000),2,0)</f>
        <v>#N/A</v>
      </c>
      <c r="L591" s="85"/>
      <c r="M591" s="85" t="e">
        <v>#REF!</v>
      </c>
      <c r="T591" s="86"/>
      <c r="U591" s="85"/>
      <c r="V591" s="87"/>
      <c r="W591" s="85"/>
      <c r="X591" s="88"/>
      <c r="Y591" s="89"/>
      <c r="Z591" s="89"/>
      <c r="AA591" s="88"/>
      <c r="AB591" s="88"/>
      <c r="AF591" s="90"/>
      <c r="AK591" s="91"/>
      <c r="AM591" s="92"/>
      <c r="AN591" s="92"/>
      <c r="AO591" s="92"/>
      <c r="AP591" s="92"/>
      <c r="AQ591" s="92"/>
      <c r="AR591" s="92"/>
    </row>
    <row r="592" spans="1:44" s="84" customFormat="1" ht="24" customHeight="1" x14ac:dyDescent="0.3">
      <c r="A592" s="78" t="s">
        <v>4268</v>
      </c>
      <c r="B592" s="79" t="s">
        <v>668</v>
      </c>
      <c r="C592" s="112">
        <v>1107404</v>
      </c>
      <c r="D592" s="112">
        <v>1101227</v>
      </c>
      <c r="E592" s="112">
        <v>29107440</v>
      </c>
      <c r="F592" s="81" t="s">
        <v>2510</v>
      </c>
      <c r="G592" s="82" t="s">
        <v>4359</v>
      </c>
      <c r="H592" s="82" t="s">
        <v>4360</v>
      </c>
      <c r="I592" s="82" t="s">
        <v>3103</v>
      </c>
      <c r="J592" s="83" t="e">
        <f>VLOOKUP($C592,CHOOSE({1,2},'[4]Prestações de Conta inadimplent'!$D$9:$D$2000,'[4]Prestações de Conta inadimplent'!$C$9:$C$2000),2,0)</f>
        <v>#N/A</v>
      </c>
      <c r="L592" s="85"/>
      <c r="M592" s="85" t="e">
        <v>#REF!</v>
      </c>
      <c r="T592" s="86"/>
      <c r="U592" s="85"/>
      <c r="V592" s="87"/>
      <c r="W592" s="85"/>
      <c r="X592" s="88"/>
      <c r="Y592" s="89"/>
      <c r="Z592" s="89"/>
      <c r="AA592" s="88"/>
      <c r="AB592" s="88"/>
      <c r="AF592" s="90"/>
      <c r="AK592" s="91"/>
      <c r="AM592" s="92"/>
      <c r="AN592" s="92"/>
      <c r="AO592" s="92"/>
      <c r="AP592" s="92"/>
      <c r="AQ592" s="92"/>
      <c r="AR592" s="92"/>
    </row>
    <row r="593" spans="1:44" s="84" customFormat="1" ht="24" customHeight="1" x14ac:dyDescent="0.3">
      <c r="A593" s="102" t="s">
        <v>4268</v>
      </c>
      <c r="B593" s="99" t="s">
        <v>668</v>
      </c>
      <c r="C593" s="100">
        <v>1107382</v>
      </c>
      <c r="D593" s="100">
        <v>1101217</v>
      </c>
      <c r="E593" s="100">
        <v>29107466</v>
      </c>
      <c r="F593" s="81" t="s">
        <v>672</v>
      </c>
      <c r="G593" s="107" t="s">
        <v>4359</v>
      </c>
      <c r="H593" s="107" t="s">
        <v>4361</v>
      </c>
      <c r="I593" s="82" t="s">
        <v>3122</v>
      </c>
      <c r="J593" s="83" t="str">
        <f>VLOOKUP($C593,CHOOSE({1,2},'[4]Prestações de Conta inadimplent'!$D$9:$D$2000,'[4]Prestações de Conta inadimplent'!$C$9:$C$2000),2,0)</f>
        <v>Colegio Estadual Professor Carlos Valadares</v>
      </c>
      <c r="L593" s="85"/>
      <c r="M593" s="85" t="e">
        <v>#REF!</v>
      </c>
      <c r="T593" s="86"/>
      <c r="U593" s="85"/>
      <c r="V593" s="87"/>
      <c r="W593" s="85"/>
      <c r="X593" s="88"/>
      <c r="Y593" s="89"/>
      <c r="Z593" s="89"/>
      <c r="AA593" s="88"/>
      <c r="AB593" s="88"/>
      <c r="AF593" s="90"/>
      <c r="AK593" s="91"/>
      <c r="AM593" s="92"/>
      <c r="AN593" s="92"/>
      <c r="AO593" s="92"/>
      <c r="AP593" s="92"/>
      <c r="AQ593" s="92"/>
      <c r="AR593" s="92"/>
    </row>
    <row r="594" spans="1:44" s="84" customFormat="1" ht="24" customHeight="1" x14ac:dyDescent="0.3">
      <c r="A594" s="78" t="s">
        <v>4268</v>
      </c>
      <c r="B594" s="79" t="s">
        <v>675</v>
      </c>
      <c r="C594" s="112">
        <v>1107420</v>
      </c>
      <c r="D594" s="112">
        <v>1101232</v>
      </c>
      <c r="E594" s="112">
        <v>29108047</v>
      </c>
      <c r="F594" s="81" t="s">
        <v>4362</v>
      </c>
      <c r="G594" s="82" t="s">
        <v>4034</v>
      </c>
      <c r="H594" s="82" t="s">
        <v>4363</v>
      </c>
      <c r="I594" s="82" t="s">
        <v>3103</v>
      </c>
      <c r="J594" s="83" t="e">
        <f>VLOOKUP($C594,CHOOSE({1,2},'[4]Prestações de Conta inadimplent'!$D$9:$D$2000,'[4]Prestações de Conta inadimplent'!$C$9:$C$2000),2,0)</f>
        <v>#N/A</v>
      </c>
      <c r="L594" s="85"/>
      <c r="M594" s="85" t="e">
        <v>#REF!</v>
      </c>
      <c r="T594" s="86"/>
      <c r="U594" s="85"/>
      <c r="V594" s="87"/>
      <c r="W594" s="85"/>
      <c r="X594" s="88"/>
      <c r="Y594" s="89"/>
      <c r="Z594" s="89"/>
      <c r="AA594" s="88"/>
      <c r="AB594" s="88"/>
      <c r="AF594" s="90"/>
      <c r="AK594" s="91"/>
      <c r="AM594" s="92"/>
      <c r="AN594" s="92"/>
      <c r="AO594" s="92"/>
      <c r="AP594" s="92"/>
      <c r="AQ594" s="92"/>
      <c r="AR594" s="92"/>
    </row>
    <row r="595" spans="1:44" s="84" customFormat="1" ht="24" customHeight="1" x14ac:dyDescent="0.3">
      <c r="A595" s="78" t="s">
        <v>4268</v>
      </c>
      <c r="B595" s="79" t="s">
        <v>679</v>
      </c>
      <c r="C595" s="112">
        <v>1107455</v>
      </c>
      <c r="D595" s="112">
        <v>1101237</v>
      </c>
      <c r="E595" s="112">
        <v>29108900</v>
      </c>
      <c r="F595" s="81" t="s">
        <v>4364</v>
      </c>
      <c r="G595" s="82" t="s">
        <v>4037</v>
      </c>
      <c r="H595" s="82" t="s">
        <v>4365</v>
      </c>
      <c r="I595" s="82" t="s">
        <v>3103</v>
      </c>
      <c r="J595" s="83" t="e">
        <f>VLOOKUP($C595,CHOOSE({1,2},'[4]Prestações de Conta inadimplent'!$D$9:$D$2000,'[4]Prestações de Conta inadimplent'!$C$9:$C$2000),2,0)</f>
        <v>#N/A</v>
      </c>
      <c r="L595" s="85"/>
      <c r="M595" s="85" t="e">
        <v>#REF!</v>
      </c>
      <c r="T595" s="86"/>
      <c r="U595" s="85"/>
      <c r="V595" s="87"/>
      <c r="W595" s="85"/>
      <c r="X595" s="88"/>
      <c r="Y595" s="89"/>
      <c r="Z595" s="89"/>
      <c r="AA595" s="88"/>
      <c r="AB595" s="88"/>
      <c r="AF595" s="90"/>
      <c r="AH595" s="85"/>
      <c r="AK595" s="91"/>
      <c r="AM595" s="92"/>
      <c r="AN595" s="92"/>
      <c r="AO595" s="92"/>
      <c r="AP595" s="92"/>
      <c r="AQ595" s="92"/>
      <c r="AR595" s="92"/>
    </row>
    <row r="596" spans="1:44" s="84" customFormat="1" ht="24" customHeight="1" x14ac:dyDescent="0.3">
      <c r="A596" s="78" t="s">
        <v>4268</v>
      </c>
      <c r="B596" s="79" t="s">
        <v>679</v>
      </c>
      <c r="C596" s="112">
        <v>1107501</v>
      </c>
      <c r="D596" s="112">
        <v>1101244</v>
      </c>
      <c r="E596" s="112">
        <v>29109361</v>
      </c>
      <c r="F596" s="81" t="s">
        <v>683</v>
      </c>
      <c r="G596" s="82" t="s">
        <v>4037</v>
      </c>
      <c r="H596" s="82" t="s">
        <v>4366</v>
      </c>
      <c r="I596" s="82" t="s">
        <v>3103</v>
      </c>
      <c r="J596" s="83" t="e">
        <f>VLOOKUP($C596,CHOOSE({1,2},'[4]Prestações de Conta inadimplent'!$D$9:$D$2000,'[4]Prestações de Conta inadimplent'!$C$9:$C$2000),2,0)</f>
        <v>#N/A</v>
      </c>
      <c r="L596" s="85"/>
      <c r="M596" s="85" t="e">
        <v>#REF!</v>
      </c>
      <c r="T596" s="86"/>
      <c r="U596" s="85"/>
      <c r="V596" s="87"/>
      <c r="W596" s="85"/>
      <c r="X596" s="88"/>
      <c r="Y596" s="89"/>
      <c r="Z596" s="88"/>
      <c r="AA596" s="88"/>
      <c r="AB596" s="88"/>
      <c r="AF596" s="90"/>
      <c r="AK596" s="91"/>
      <c r="AM596" s="92"/>
      <c r="AN596" s="92"/>
      <c r="AO596" s="92"/>
      <c r="AP596" s="92"/>
      <c r="AQ596" s="92"/>
      <c r="AR596" s="92"/>
    </row>
    <row r="597" spans="1:44" s="84" customFormat="1" ht="24" customHeight="1" x14ac:dyDescent="0.3">
      <c r="A597" s="78" t="s">
        <v>4268</v>
      </c>
      <c r="B597" s="79" t="s">
        <v>686</v>
      </c>
      <c r="C597" s="112">
        <v>1107536</v>
      </c>
      <c r="D597" s="112">
        <v>1101279</v>
      </c>
      <c r="E597" s="112">
        <v>29110076</v>
      </c>
      <c r="F597" s="81" t="s">
        <v>687</v>
      </c>
      <c r="G597" s="82" t="s">
        <v>4034</v>
      </c>
      <c r="H597" s="82" t="s">
        <v>4367</v>
      </c>
      <c r="I597" s="82" t="s">
        <v>3103</v>
      </c>
      <c r="J597" s="83" t="e">
        <f>VLOOKUP($C597,CHOOSE({1,2},'[4]Prestações de Conta inadimplent'!$D$9:$D$2000,'[4]Prestações de Conta inadimplent'!$C$9:$C$2000),2,0)</f>
        <v>#N/A</v>
      </c>
      <c r="L597" s="85"/>
      <c r="M597" s="85" t="e">
        <v>#REF!</v>
      </c>
      <c r="T597" s="86"/>
      <c r="U597" s="85"/>
      <c r="V597" s="87"/>
      <c r="W597" s="85"/>
      <c r="X597" s="88"/>
      <c r="Y597" s="89"/>
      <c r="Z597" s="88"/>
      <c r="AA597" s="88"/>
      <c r="AB597" s="88"/>
      <c r="AF597" s="90"/>
      <c r="AK597" s="91"/>
      <c r="AM597" s="92"/>
      <c r="AN597" s="92"/>
      <c r="AO597" s="92"/>
      <c r="AP597" s="92"/>
      <c r="AQ597" s="92"/>
      <c r="AR597" s="92"/>
    </row>
    <row r="598" spans="1:44" s="84" customFormat="1" ht="24" customHeight="1" x14ac:dyDescent="0.3">
      <c r="A598" s="78" t="s">
        <v>4268</v>
      </c>
      <c r="B598" s="79" t="s">
        <v>697</v>
      </c>
      <c r="C598" s="112">
        <v>1107706</v>
      </c>
      <c r="D598" s="112">
        <v>1101287</v>
      </c>
      <c r="E598" s="112">
        <v>29111730</v>
      </c>
      <c r="F598" s="81" t="s">
        <v>698</v>
      </c>
      <c r="G598" s="82" t="s">
        <v>4034</v>
      </c>
      <c r="H598" s="82" t="s">
        <v>4368</v>
      </c>
      <c r="I598" s="82" t="s">
        <v>3122</v>
      </c>
      <c r="J598" s="83" t="str">
        <f>VLOOKUP($C598,CHOOSE({1,2},'[4]Prestações de Conta inadimplent'!$D$9:$D$2000,'[4]Prestações de Conta inadimplent'!$C$9:$C$2000),2,0)</f>
        <v>Colegio Estadual De Tempo Integral Novis Filho</v>
      </c>
      <c r="L598" s="85"/>
      <c r="M598" s="85" t="e">
        <v>#REF!</v>
      </c>
      <c r="T598" s="86"/>
      <c r="U598" s="85"/>
      <c r="V598" s="87"/>
      <c r="W598" s="85"/>
      <c r="X598" s="88"/>
      <c r="Y598" s="89"/>
      <c r="Z598" s="88"/>
      <c r="AA598" s="88"/>
      <c r="AB598" s="88"/>
      <c r="AF598" s="90"/>
      <c r="AK598" s="91"/>
      <c r="AM598" s="92"/>
      <c r="AN598" s="92"/>
      <c r="AO598" s="92"/>
      <c r="AP598" s="92"/>
      <c r="AQ598" s="92"/>
      <c r="AR598" s="92"/>
    </row>
    <row r="599" spans="1:44" s="84" customFormat="1" ht="24" customHeight="1" x14ac:dyDescent="0.3">
      <c r="A599" s="78" t="s">
        <v>4268</v>
      </c>
      <c r="B599" s="79" t="s">
        <v>4369</v>
      </c>
      <c r="C599" s="112">
        <v>1178202</v>
      </c>
      <c r="D599" s="112">
        <v>1105445</v>
      </c>
      <c r="E599" s="112">
        <v>29443288</v>
      </c>
      <c r="F599" s="81" t="s">
        <v>4370</v>
      </c>
      <c r="G599" s="82" t="s">
        <v>4286</v>
      </c>
      <c r="H599" s="82" t="s">
        <v>4371</v>
      </c>
      <c r="I599" s="82" t="s">
        <v>3122</v>
      </c>
      <c r="J599" s="83" t="str">
        <f>VLOOKUP($C599,CHOOSE({1,2},'[4]Prestações de Conta inadimplent'!$D$9:$D$2000,'[4]Prestações de Conta inadimplent'!$C$9:$C$2000),2,0)</f>
        <v>Colegio Estadual Assis Valente</v>
      </c>
      <c r="L599" s="85"/>
      <c r="M599" s="85" t="e">
        <v>#REF!</v>
      </c>
      <c r="T599" s="86"/>
      <c r="U599" s="85"/>
      <c r="V599" s="87"/>
      <c r="W599" s="85"/>
      <c r="X599" s="88"/>
      <c r="Y599" s="89"/>
      <c r="Z599" s="89"/>
      <c r="AA599" s="88"/>
      <c r="AB599" s="88"/>
      <c r="AF599" s="90"/>
      <c r="AK599" s="91"/>
      <c r="AM599" s="92"/>
      <c r="AN599" s="92"/>
      <c r="AO599" s="92"/>
      <c r="AP599" s="92"/>
      <c r="AQ599" s="92"/>
      <c r="AR599" s="92"/>
    </row>
    <row r="600" spans="1:44" s="84" customFormat="1" ht="24" customHeight="1" x14ac:dyDescent="0.3">
      <c r="A600" s="78" t="s">
        <v>4268</v>
      </c>
      <c r="B600" s="79" t="s">
        <v>2661</v>
      </c>
      <c r="C600" s="112">
        <v>1178047</v>
      </c>
      <c r="D600" s="112">
        <v>1103913</v>
      </c>
      <c r="E600" s="112">
        <v>29432510</v>
      </c>
      <c r="F600" s="81" t="s">
        <v>2662</v>
      </c>
      <c r="G600" s="82" t="s">
        <v>4372</v>
      </c>
      <c r="H600" s="82" t="s">
        <v>4373</v>
      </c>
      <c r="I600" s="82" t="s">
        <v>3122</v>
      </c>
      <c r="J600" s="83" t="str">
        <f>VLOOKUP($C600,CHOOSE({1,2},'[4]Prestações de Conta inadimplent'!$D$9:$D$2000,'[4]Prestações de Conta inadimplent'!$C$9:$C$2000),2,0)</f>
        <v>Colegio Estadual Terra Nova</v>
      </c>
      <c r="L600" s="85"/>
      <c r="M600" s="85" t="e">
        <v>#REF!</v>
      </c>
      <c r="T600" s="86"/>
      <c r="U600" s="85"/>
      <c r="V600" s="87"/>
      <c r="W600" s="85"/>
      <c r="X600" s="88"/>
      <c r="Y600" s="89"/>
      <c r="Z600" s="89"/>
      <c r="AA600" s="88"/>
      <c r="AB600" s="88"/>
      <c r="AF600" s="90"/>
      <c r="AK600" s="91"/>
      <c r="AM600" s="92"/>
      <c r="AN600" s="92"/>
      <c r="AO600" s="92"/>
      <c r="AP600" s="92"/>
      <c r="AQ600" s="92"/>
      <c r="AR600" s="92"/>
    </row>
    <row r="601" spans="1:44" s="84" customFormat="1" ht="24" customHeight="1" x14ac:dyDescent="0.3">
      <c r="A601" s="78" t="s">
        <v>4374</v>
      </c>
      <c r="B601" s="79" t="s">
        <v>1777</v>
      </c>
      <c r="C601" s="112">
        <v>1178405</v>
      </c>
      <c r="D601" s="112">
        <v>1105565</v>
      </c>
      <c r="E601" s="112">
        <v>29395950</v>
      </c>
      <c r="F601" s="81" t="s">
        <v>4375</v>
      </c>
      <c r="G601" s="82" t="s">
        <v>4376</v>
      </c>
      <c r="H601" s="82" t="s">
        <v>4377</v>
      </c>
      <c r="I601" s="82" t="s">
        <v>3103</v>
      </c>
      <c r="J601" s="83" t="e">
        <f>VLOOKUP($C601,CHOOSE({1,2},'[4]Prestações de Conta inadimplent'!$D$9:$D$2000,'[4]Prestações de Conta inadimplent'!$C$9:$C$2000),2,0)</f>
        <v>#N/A</v>
      </c>
      <c r="L601" s="85"/>
      <c r="M601" s="85" t="e">
        <v>#REF!</v>
      </c>
      <c r="T601" s="86"/>
      <c r="U601" s="85"/>
      <c r="V601" s="87"/>
      <c r="W601" s="85"/>
      <c r="X601" s="88"/>
      <c r="Y601" s="89"/>
      <c r="Z601" s="88"/>
      <c r="AA601" s="88"/>
      <c r="AB601" s="88"/>
      <c r="AF601" s="90"/>
      <c r="AK601" s="91"/>
      <c r="AM601" s="92"/>
      <c r="AN601" s="92"/>
      <c r="AO601" s="92"/>
      <c r="AP601" s="92"/>
      <c r="AQ601" s="92"/>
      <c r="AR601" s="92"/>
    </row>
    <row r="602" spans="1:44" s="84" customFormat="1" ht="24" customHeight="1" x14ac:dyDescent="0.3">
      <c r="A602" s="78" t="s">
        <v>4374</v>
      </c>
      <c r="B602" s="79" t="s">
        <v>1777</v>
      </c>
      <c r="C602" s="112">
        <v>1124813</v>
      </c>
      <c r="D602" s="112">
        <v>1102837</v>
      </c>
      <c r="E602" s="112">
        <v>29267420</v>
      </c>
      <c r="F602" s="81" t="s">
        <v>4378</v>
      </c>
      <c r="G602" s="82" t="s">
        <v>4376</v>
      </c>
      <c r="H602" s="82" t="s">
        <v>4379</v>
      </c>
      <c r="I602" s="82" t="s">
        <v>3103</v>
      </c>
      <c r="J602" s="83" t="e">
        <f>VLOOKUP($C602,CHOOSE({1,2},'[4]Prestações de Conta inadimplent'!$D$9:$D$2000,'[4]Prestações de Conta inadimplent'!$C$9:$C$2000),2,0)</f>
        <v>#N/A</v>
      </c>
      <c r="L602" s="85"/>
      <c r="M602" s="85" t="e">
        <v>#REF!</v>
      </c>
      <c r="T602" s="86"/>
      <c r="U602" s="85"/>
      <c r="V602" s="87"/>
      <c r="W602" s="85"/>
      <c r="X602" s="88"/>
      <c r="Y602" s="89"/>
      <c r="Z602" s="88"/>
      <c r="AA602" s="88"/>
      <c r="AB602" s="88"/>
      <c r="AF602" s="90"/>
      <c r="AK602" s="91"/>
      <c r="AM602" s="92"/>
      <c r="AN602" s="92"/>
      <c r="AO602" s="92"/>
      <c r="AP602" s="92"/>
      <c r="AQ602" s="92"/>
      <c r="AR602" s="92"/>
    </row>
    <row r="603" spans="1:44" s="84" customFormat="1" ht="24" customHeight="1" x14ac:dyDescent="0.3">
      <c r="A603" s="78" t="s">
        <v>4374</v>
      </c>
      <c r="B603" s="79" t="s">
        <v>1743</v>
      </c>
      <c r="C603" s="112">
        <v>1123671</v>
      </c>
      <c r="D603" s="112">
        <v>1102738</v>
      </c>
      <c r="E603" s="112">
        <v>29255597</v>
      </c>
      <c r="F603" s="81" t="s">
        <v>1744</v>
      </c>
      <c r="G603" s="82" t="s">
        <v>3937</v>
      </c>
      <c r="H603" s="82" t="s">
        <v>4069</v>
      </c>
      <c r="I603" s="82" t="s">
        <v>3103</v>
      </c>
      <c r="J603" s="83" t="e">
        <f>VLOOKUP($C603,CHOOSE({1,2},'[4]Prestações de Conta inadimplent'!$D$9:$D$2000,'[4]Prestações de Conta inadimplent'!$C$9:$C$2000),2,0)</f>
        <v>#N/A</v>
      </c>
      <c r="L603" s="85"/>
      <c r="M603" s="85" t="e">
        <v>#REF!</v>
      </c>
      <c r="T603" s="86"/>
      <c r="U603" s="85"/>
      <c r="V603" s="87"/>
      <c r="W603" s="85"/>
      <c r="X603" s="88"/>
      <c r="Y603" s="89"/>
      <c r="Z603" s="89"/>
      <c r="AA603" s="88"/>
      <c r="AB603" s="88"/>
      <c r="AF603" s="90"/>
      <c r="AK603" s="91"/>
      <c r="AM603" s="92"/>
      <c r="AN603" s="92"/>
      <c r="AO603" s="92"/>
      <c r="AP603" s="92"/>
      <c r="AQ603" s="92"/>
      <c r="AR603" s="92"/>
    </row>
    <row r="604" spans="1:44" s="84" customFormat="1" ht="24" customHeight="1" x14ac:dyDescent="0.3">
      <c r="A604" s="78" t="s">
        <v>4374</v>
      </c>
      <c r="B604" s="79" t="s">
        <v>1781</v>
      </c>
      <c r="C604" s="112">
        <v>1124856</v>
      </c>
      <c r="D604" s="112">
        <v>1102840</v>
      </c>
      <c r="E604" s="112">
        <v>29267480</v>
      </c>
      <c r="F604" s="81" t="s">
        <v>1782</v>
      </c>
      <c r="G604" s="82" t="s">
        <v>4380</v>
      </c>
      <c r="H604" s="82" t="s">
        <v>4381</v>
      </c>
      <c r="I604" s="82" t="s">
        <v>3103</v>
      </c>
      <c r="J604" s="83" t="e">
        <f>VLOOKUP($C604,CHOOSE({1,2},'[4]Prestações de Conta inadimplent'!$D$9:$D$2000,'[4]Prestações de Conta inadimplent'!$C$9:$C$2000),2,0)</f>
        <v>#N/A</v>
      </c>
      <c r="L604" s="85"/>
      <c r="M604" s="85" t="e">
        <v>#REF!</v>
      </c>
      <c r="T604" s="86"/>
      <c r="U604" s="85"/>
      <c r="V604" s="87"/>
      <c r="W604" s="85"/>
      <c r="X604" s="88"/>
      <c r="Y604" s="89"/>
      <c r="Z604" s="89"/>
      <c r="AA604" s="88"/>
      <c r="AB604" s="88"/>
      <c r="AF604" s="90"/>
      <c r="AK604" s="91"/>
      <c r="AM604" s="92"/>
      <c r="AN604" s="92"/>
      <c r="AO604" s="92"/>
      <c r="AP604" s="92"/>
      <c r="AQ604" s="92"/>
      <c r="AR604" s="92"/>
    </row>
    <row r="605" spans="1:44" s="84" customFormat="1" ht="24" customHeight="1" x14ac:dyDescent="0.3">
      <c r="A605" s="78" t="s">
        <v>4374</v>
      </c>
      <c r="B605" s="79" t="s">
        <v>1781</v>
      </c>
      <c r="C605" s="112">
        <v>1178404</v>
      </c>
      <c r="D605" s="112">
        <v>1105563</v>
      </c>
      <c r="E605" s="112">
        <v>29395860</v>
      </c>
      <c r="F605" s="81" t="s">
        <v>4382</v>
      </c>
      <c r="G605" s="82" t="s">
        <v>4383</v>
      </c>
      <c r="H605" s="82" t="s">
        <v>4384</v>
      </c>
      <c r="I605" s="82" t="s">
        <v>3103</v>
      </c>
      <c r="J605" s="83" t="e">
        <f>VLOOKUP($C605,CHOOSE({1,2},'[4]Prestações de Conta inadimplent'!$D$9:$D$2000,'[4]Prestações de Conta inadimplent'!$C$9:$C$2000),2,0)</f>
        <v>#N/A</v>
      </c>
      <c r="L605" s="85"/>
      <c r="M605" s="85" t="e">
        <v>#REF!</v>
      </c>
      <c r="T605" s="86"/>
      <c r="U605" s="85"/>
      <c r="V605" s="87"/>
      <c r="W605" s="85"/>
      <c r="X605" s="88"/>
      <c r="Y605" s="89"/>
      <c r="Z605" s="89"/>
      <c r="AA605" s="88"/>
      <c r="AB605" s="88"/>
      <c r="AF605" s="90"/>
      <c r="AH605" s="85"/>
      <c r="AK605" s="91"/>
      <c r="AM605" s="92"/>
      <c r="AN605" s="92"/>
      <c r="AO605" s="92"/>
      <c r="AP605" s="92"/>
      <c r="AQ605" s="92"/>
      <c r="AR605" s="92"/>
    </row>
    <row r="606" spans="1:44" s="84" customFormat="1" ht="24" customHeight="1" x14ac:dyDescent="0.3">
      <c r="A606" s="78" t="s">
        <v>4374</v>
      </c>
      <c r="B606" s="79" t="s">
        <v>1781</v>
      </c>
      <c r="C606" s="112">
        <v>1179113</v>
      </c>
      <c r="D606" s="112">
        <v>1105600</v>
      </c>
      <c r="E606" s="112">
        <v>29449332</v>
      </c>
      <c r="F606" s="81" t="s">
        <v>4385</v>
      </c>
      <c r="G606" s="82" t="s">
        <v>4383</v>
      </c>
      <c r="H606" s="82" t="s">
        <v>4386</v>
      </c>
      <c r="I606" s="82" t="s">
        <v>3103</v>
      </c>
      <c r="J606" s="83" t="e">
        <f>VLOOKUP($C606,CHOOSE({1,2},'[4]Prestações de Conta inadimplent'!$D$9:$D$2000,'[4]Prestações de Conta inadimplent'!$C$9:$C$2000),2,0)</f>
        <v>#N/A</v>
      </c>
      <c r="L606" s="85"/>
      <c r="M606" s="85" t="e">
        <v>#REF!</v>
      </c>
      <c r="T606" s="86"/>
      <c r="U606" s="85"/>
      <c r="V606" s="87"/>
      <c r="W606" s="85"/>
      <c r="X606" s="88"/>
      <c r="Y606" s="89"/>
      <c r="Z606" s="88"/>
      <c r="AA606" s="88"/>
      <c r="AB606" s="88"/>
      <c r="AF606" s="90"/>
      <c r="AK606" s="91"/>
      <c r="AM606" s="92"/>
      <c r="AN606" s="92"/>
      <c r="AO606" s="92"/>
      <c r="AP606" s="92"/>
      <c r="AQ606" s="92"/>
      <c r="AR606" s="92"/>
    </row>
    <row r="607" spans="1:44" s="84" customFormat="1" ht="24" customHeight="1" x14ac:dyDescent="0.3">
      <c r="A607" s="78" t="s">
        <v>4374</v>
      </c>
      <c r="B607" s="79" t="s">
        <v>1785</v>
      </c>
      <c r="C607" s="112">
        <v>1124872</v>
      </c>
      <c r="D607" s="112">
        <v>1102842</v>
      </c>
      <c r="E607" s="112">
        <v>29268168</v>
      </c>
      <c r="F607" s="81" t="s">
        <v>4387</v>
      </c>
      <c r="G607" s="82" t="s">
        <v>4388</v>
      </c>
      <c r="H607" s="82" t="s">
        <v>4389</v>
      </c>
      <c r="I607" s="82" t="s">
        <v>3103</v>
      </c>
      <c r="J607" s="83" t="e">
        <f>VLOOKUP($C607,CHOOSE({1,2},'[4]Prestações de Conta inadimplent'!$D$9:$D$2000,'[4]Prestações de Conta inadimplent'!$C$9:$C$2000),2,0)</f>
        <v>#N/A</v>
      </c>
      <c r="L607" s="85"/>
      <c r="M607" s="85" t="e">
        <v>#REF!</v>
      </c>
      <c r="T607" s="86"/>
      <c r="U607" s="85"/>
      <c r="V607" s="87"/>
      <c r="W607" s="85"/>
      <c r="X607" s="88"/>
      <c r="Y607" s="89"/>
      <c r="Z607" s="88"/>
      <c r="AA607" s="88"/>
      <c r="AB607" s="88"/>
      <c r="AF607" s="90"/>
      <c r="AK607" s="91"/>
      <c r="AM607" s="92"/>
      <c r="AN607" s="92"/>
      <c r="AO607" s="92"/>
      <c r="AP607" s="92"/>
      <c r="AQ607" s="92"/>
      <c r="AR607" s="92"/>
    </row>
    <row r="608" spans="1:44" s="84" customFormat="1" ht="24" customHeight="1" x14ac:dyDescent="0.3">
      <c r="A608" s="78" t="s">
        <v>4374</v>
      </c>
      <c r="B608" s="79" t="s">
        <v>1793</v>
      </c>
      <c r="C608" s="112">
        <v>1165706</v>
      </c>
      <c r="D608" s="112">
        <v>1102846</v>
      </c>
      <c r="E608" s="112">
        <v>29269806</v>
      </c>
      <c r="F608" s="81" t="s">
        <v>1794</v>
      </c>
      <c r="G608" s="82" t="s">
        <v>4390</v>
      </c>
      <c r="H608" s="82" t="s">
        <v>4391</v>
      </c>
      <c r="I608" s="82" t="s">
        <v>3103</v>
      </c>
      <c r="J608" s="83" t="e">
        <f>VLOOKUP($C608,CHOOSE({1,2},'[4]Prestações de Conta inadimplent'!$D$9:$D$2000,'[4]Prestações de Conta inadimplent'!$C$9:$C$2000),2,0)</f>
        <v>#N/A</v>
      </c>
      <c r="L608" s="85"/>
      <c r="M608" s="85" t="e">
        <v>#REF!</v>
      </c>
      <c r="T608" s="86"/>
      <c r="U608" s="85"/>
      <c r="V608" s="87"/>
      <c r="W608" s="85"/>
      <c r="X608" s="88"/>
      <c r="Y608" s="89"/>
      <c r="Z608" s="88"/>
      <c r="AA608" s="88"/>
      <c r="AB608" s="88"/>
      <c r="AF608" s="90"/>
      <c r="AK608" s="91"/>
      <c r="AM608" s="92"/>
      <c r="AN608" s="92"/>
      <c r="AO608" s="92"/>
      <c r="AP608" s="92"/>
      <c r="AQ608" s="92"/>
      <c r="AR608" s="92"/>
    </row>
    <row r="609" spans="1:44" s="84" customFormat="1" ht="24" customHeight="1" x14ac:dyDescent="0.3">
      <c r="A609" s="78" t="s">
        <v>4374</v>
      </c>
      <c r="B609" s="79" t="s">
        <v>1802</v>
      </c>
      <c r="C609" s="112">
        <v>1165722</v>
      </c>
      <c r="D609" s="112">
        <v>1102848</v>
      </c>
      <c r="E609" s="112">
        <v>29270570</v>
      </c>
      <c r="F609" s="81" t="s">
        <v>4392</v>
      </c>
      <c r="G609" s="82" t="s">
        <v>4380</v>
      </c>
      <c r="H609" s="82" t="s">
        <v>4393</v>
      </c>
      <c r="I609" s="82" t="s">
        <v>3103</v>
      </c>
      <c r="J609" s="83" t="e">
        <f>VLOOKUP($C609,CHOOSE({1,2},'[4]Prestações de Conta inadimplent'!$D$9:$D$2000,'[4]Prestações de Conta inadimplent'!$C$9:$C$2000),2,0)</f>
        <v>#N/A</v>
      </c>
      <c r="L609" s="85"/>
      <c r="M609" s="85" t="e">
        <v>#REF!</v>
      </c>
      <c r="T609" s="86"/>
      <c r="U609" s="85"/>
      <c r="V609" s="87"/>
      <c r="W609" s="85"/>
      <c r="X609" s="88"/>
      <c r="Y609" s="89"/>
      <c r="Z609" s="88"/>
      <c r="AA609" s="88"/>
      <c r="AB609" s="88"/>
      <c r="AF609" s="90"/>
      <c r="AK609" s="91"/>
      <c r="AM609" s="92"/>
      <c r="AN609" s="92"/>
      <c r="AO609" s="92"/>
      <c r="AP609" s="92"/>
      <c r="AQ609" s="92"/>
      <c r="AR609" s="92"/>
    </row>
    <row r="610" spans="1:44" s="84" customFormat="1" ht="24" customHeight="1" x14ac:dyDescent="0.3">
      <c r="A610" s="78" t="s">
        <v>4374</v>
      </c>
      <c r="B610" s="79" t="s">
        <v>2708</v>
      </c>
      <c r="C610" s="112">
        <v>1179136</v>
      </c>
      <c r="D610" s="112">
        <v>1105586</v>
      </c>
      <c r="E610" s="112">
        <v>29449545</v>
      </c>
      <c r="F610" s="81" t="s">
        <v>4394</v>
      </c>
      <c r="G610" s="82" t="s">
        <v>4395</v>
      </c>
      <c r="H610" s="82" t="s">
        <v>4396</v>
      </c>
      <c r="I610" s="82" t="s">
        <v>3103</v>
      </c>
      <c r="J610" s="83" t="e">
        <f>VLOOKUP($C610,CHOOSE({1,2},'[4]Prestações de Conta inadimplent'!$D$9:$D$2000,'[4]Prestações de Conta inadimplent'!$C$9:$C$2000),2,0)</f>
        <v>#N/A</v>
      </c>
      <c r="L610" s="85"/>
      <c r="M610" s="85" t="e">
        <v>#REF!</v>
      </c>
      <c r="T610" s="86"/>
      <c r="U610" s="85"/>
      <c r="V610" s="87"/>
      <c r="W610" s="85"/>
      <c r="X610" s="88"/>
      <c r="Y610" s="89"/>
      <c r="Z610" s="89"/>
      <c r="AA610" s="88"/>
      <c r="AB610" s="88"/>
      <c r="AF610" s="90"/>
      <c r="AH610" s="85"/>
      <c r="AK610" s="91"/>
      <c r="AM610" s="92"/>
      <c r="AN610" s="92"/>
      <c r="AO610" s="92"/>
      <c r="AP610" s="92"/>
      <c r="AQ610" s="92"/>
      <c r="AR610" s="92"/>
    </row>
    <row r="611" spans="1:44" s="84" customFormat="1" ht="24" customHeight="1" x14ac:dyDescent="0.3">
      <c r="A611" s="78" t="s">
        <v>4374</v>
      </c>
      <c r="B611" s="79" t="s">
        <v>2708</v>
      </c>
      <c r="C611" s="112">
        <v>1179137</v>
      </c>
      <c r="D611" s="112">
        <v>1105570</v>
      </c>
      <c r="E611" s="112">
        <v>29449456</v>
      </c>
      <c r="F611" s="81" t="s">
        <v>4397</v>
      </c>
      <c r="G611" s="82" t="s">
        <v>4395</v>
      </c>
      <c r="H611" s="82" t="s">
        <v>4398</v>
      </c>
      <c r="I611" s="82" t="s">
        <v>3103</v>
      </c>
      <c r="J611" s="83" t="e">
        <f>VLOOKUP($C611,CHOOSE({1,2},'[4]Prestações de Conta inadimplent'!$D$9:$D$2000,'[4]Prestações de Conta inadimplent'!$C$9:$C$2000),2,0)</f>
        <v>#N/A</v>
      </c>
      <c r="L611" s="85"/>
      <c r="M611" s="85" t="e">
        <v>#REF!</v>
      </c>
      <c r="T611" s="86"/>
      <c r="U611" s="85"/>
      <c r="V611" s="87"/>
      <c r="W611" s="85"/>
      <c r="X611" s="88"/>
      <c r="Y611" s="89"/>
      <c r="Z611" s="89"/>
      <c r="AA611" s="88"/>
      <c r="AB611" s="88"/>
      <c r="AF611" s="90"/>
      <c r="AK611" s="91"/>
      <c r="AM611" s="92"/>
      <c r="AN611" s="92"/>
      <c r="AO611" s="92"/>
      <c r="AP611" s="92"/>
      <c r="AQ611" s="92"/>
      <c r="AR611" s="92"/>
    </row>
    <row r="612" spans="1:44" s="84" customFormat="1" ht="24" customHeight="1" x14ac:dyDescent="0.3">
      <c r="A612" s="78" t="s">
        <v>4374</v>
      </c>
      <c r="B612" s="79" t="s">
        <v>2708</v>
      </c>
      <c r="C612" s="112">
        <v>1178438</v>
      </c>
      <c r="D612" s="112">
        <v>1105056</v>
      </c>
      <c r="E612" s="112">
        <v>29434734</v>
      </c>
      <c r="F612" s="81" t="s">
        <v>4399</v>
      </c>
      <c r="G612" s="82" t="s">
        <v>4395</v>
      </c>
      <c r="H612" s="82" t="s">
        <v>4400</v>
      </c>
      <c r="I612" s="82" t="s">
        <v>3122</v>
      </c>
      <c r="J612" s="83" t="str">
        <f>VLOOKUP($C612,CHOOSE({1,2},'[4]Prestações de Conta inadimplent'!$D$9:$D$2000,'[4]Prestações de Conta inadimplent'!$C$9:$C$2000),2,0)</f>
        <v>Colegio Estadual De Tempo Integral De Candido Sales</v>
      </c>
      <c r="L612" s="85"/>
      <c r="M612" s="85" t="e">
        <v>#REF!</v>
      </c>
      <c r="T612" s="86"/>
      <c r="U612" s="85"/>
      <c r="V612" s="87"/>
      <c r="W612" s="85"/>
      <c r="X612" s="88"/>
      <c r="Y612" s="89"/>
      <c r="Z612" s="89"/>
      <c r="AA612" s="88"/>
      <c r="AB612" s="88"/>
      <c r="AF612" s="90"/>
      <c r="AK612" s="91"/>
      <c r="AM612" s="92"/>
      <c r="AN612" s="92"/>
      <c r="AO612" s="92"/>
      <c r="AP612" s="92"/>
      <c r="AQ612" s="92"/>
      <c r="AR612" s="92"/>
    </row>
    <row r="613" spans="1:44" s="84" customFormat="1" ht="24" customHeight="1" x14ac:dyDescent="0.3">
      <c r="A613" s="78" t="s">
        <v>4374</v>
      </c>
      <c r="B613" s="79" t="s">
        <v>2439</v>
      </c>
      <c r="C613" s="112">
        <v>1177071</v>
      </c>
      <c r="D613" s="112">
        <v>1102852</v>
      </c>
      <c r="E613" s="112">
        <v>29409535</v>
      </c>
      <c r="F613" s="81" t="s">
        <v>4401</v>
      </c>
      <c r="G613" s="82" t="s">
        <v>4380</v>
      </c>
      <c r="H613" s="82" t="s">
        <v>4402</v>
      </c>
      <c r="I613" s="82" t="s">
        <v>3103</v>
      </c>
      <c r="J613" s="83" t="e">
        <f>VLOOKUP($C613,CHOOSE({1,2},'[4]Prestações de Conta inadimplent'!$D$9:$D$2000,'[4]Prestações de Conta inadimplent'!$C$9:$C$2000),2,0)</f>
        <v>#N/A</v>
      </c>
      <c r="L613" s="85"/>
      <c r="M613" s="85" t="e">
        <v>#REF!</v>
      </c>
      <c r="T613" s="86"/>
      <c r="U613" s="85"/>
      <c r="V613" s="87"/>
      <c r="W613" s="85"/>
      <c r="X613" s="88"/>
      <c r="Y613" s="89"/>
      <c r="Z613" s="88"/>
      <c r="AA613" s="88"/>
      <c r="AB613" s="88"/>
      <c r="AF613" s="90"/>
      <c r="AK613" s="91"/>
      <c r="AM613" s="92"/>
      <c r="AN613" s="92"/>
      <c r="AO613" s="92"/>
      <c r="AP613" s="92"/>
      <c r="AQ613" s="92"/>
      <c r="AR613" s="92"/>
    </row>
    <row r="614" spans="1:44" s="84" customFormat="1" ht="24" customHeight="1" x14ac:dyDescent="0.3">
      <c r="A614" s="78" t="s">
        <v>4374</v>
      </c>
      <c r="B614" s="79" t="s">
        <v>1747</v>
      </c>
      <c r="C614" s="112">
        <v>1128878</v>
      </c>
      <c r="D614" s="112">
        <v>1104603</v>
      </c>
      <c r="E614" s="112">
        <v>29258324</v>
      </c>
      <c r="F614" s="81" t="s">
        <v>4403</v>
      </c>
      <c r="G614" s="82" t="s">
        <v>4404</v>
      </c>
      <c r="H614" s="82" t="s">
        <v>4405</v>
      </c>
      <c r="I614" s="82" t="s">
        <v>3103</v>
      </c>
      <c r="J614" s="83" t="e">
        <f>VLOOKUP($C614,CHOOSE({1,2},'[4]Prestações de Conta inadimplent'!$D$9:$D$2000,'[4]Prestações de Conta inadimplent'!$C$9:$C$2000),2,0)</f>
        <v>#N/A</v>
      </c>
      <c r="L614" s="85"/>
      <c r="M614" s="85" t="e">
        <v>#REF!</v>
      </c>
      <c r="T614" s="86"/>
      <c r="U614" s="85"/>
      <c r="V614" s="87"/>
      <c r="W614" s="85"/>
      <c r="X614" s="88"/>
      <c r="Y614" s="89"/>
      <c r="Z614" s="88"/>
      <c r="AA614" s="88"/>
      <c r="AB614" s="88"/>
      <c r="AF614" s="90"/>
      <c r="AK614" s="91"/>
      <c r="AM614" s="92"/>
      <c r="AN614" s="92"/>
      <c r="AO614" s="92"/>
      <c r="AP614" s="92"/>
      <c r="AQ614" s="92"/>
      <c r="AR614" s="92"/>
    </row>
    <row r="615" spans="1:44" s="84" customFormat="1" ht="24" customHeight="1" x14ac:dyDescent="0.3">
      <c r="A615" s="78" t="s">
        <v>4374</v>
      </c>
      <c r="B615" s="79" t="s">
        <v>1751</v>
      </c>
      <c r="C615" s="112">
        <v>1128924</v>
      </c>
      <c r="D615" s="112">
        <v>1104606</v>
      </c>
      <c r="E615" s="112">
        <v>29259630</v>
      </c>
      <c r="F615" s="81" t="s">
        <v>4406</v>
      </c>
      <c r="G615" s="82" t="s">
        <v>4404</v>
      </c>
      <c r="H615" s="82" t="s">
        <v>4407</v>
      </c>
      <c r="I615" s="82" t="s">
        <v>3103</v>
      </c>
      <c r="J615" s="83" t="e">
        <f>VLOOKUP($C615,CHOOSE({1,2},'[4]Prestações de Conta inadimplent'!$D$9:$D$2000,'[4]Prestações de Conta inadimplent'!$C$9:$C$2000),2,0)</f>
        <v>#N/A</v>
      </c>
      <c r="L615" s="85"/>
      <c r="M615" s="85" t="e">
        <v>#REF!</v>
      </c>
      <c r="T615" s="86"/>
      <c r="U615" s="85"/>
      <c r="V615" s="87"/>
      <c r="W615" s="85"/>
      <c r="X615" s="88"/>
      <c r="Y615" s="89"/>
      <c r="Z615" s="89"/>
      <c r="AA615" s="88"/>
      <c r="AB615" s="88"/>
      <c r="AF615" s="90"/>
      <c r="AK615" s="91"/>
      <c r="AM615" s="92"/>
      <c r="AN615" s="92"/>
      <c r="AO615" s="92"/>
      <c r="AP615" s="92"/>
      <c r="AQ615" s="92"/>
      <c r="AR615" s="92"/>
    </row>
    <row r="616" spans="1:44" s="84" customFormat="1" ht="24" customHeight="1" x14ac:dyDescent="0.3">
      <c r="A616" s="78" t="s">
        <v>4374</v>
      </c>
      <c r="B616" s="79" t="s">
        <v>1861</v>
      </c>
      <c r="C616" s="112">
        <v>1179271</v>
      </c>
      <c r="D616" s="112">
        <v>9999999</v>
      </c>
      <c r="E616" s="112">
        <v>29459028</v>
      </c>
      <c r="F616" s="81" t="s">
        <v>4408</v>
      </c>
      <c r="G616" s="82" t="s">
        <v>4380</v>
      </c>
      <c r="H616" s="82" t="s">
        <v>4409</v>
      </c>
      <c r="I616" s="82" t="s">
        <v>3103</v>
      </c>
      <c r="J616" s="83" t="e">
        <f>VLOOKUP($C616,CHOOSE({1,2},'[4]Prestações de Conta inadimplent'!$D$9:$D$2000,'[4]Prestações de Conta inadimplent'!$C$9:$C$2000),2,0)</f>
        <v>#N/A</v>
      </c>
      <c r="L616" s="85"/>
      <c r="M616" s="85" t="e">
        <v>#REF!</v>
      </c>
      <c r="T616" s="86"/>
      <c r="U616" s="85"/>
      <c r="V616" s="87"/>
      <c r="W616" s="85"/>
      <c r="X616" s="88"/>
      <c r="Y616" s="89"/>
      <c r="Z616" s="89"/>
      <c r="AA616" s="88"/>
      <c r="AB616" s="88"/>
      <c r="AF616" s="90"/>
      <c r="AK616" s="91"/>
      <c r="AM616" s="92"/>
      <c r="AN616" s="92"/>
      <c r="AO616" s="92"/>
      <c r="AP616" s="92"/>
      <c r="AQ616" s="92"/>
      <c r="AR616" s="92"/>
    </row>
    <row r="617" spans="1:44" s="84" customFormat="1" ht="24" customHeight="1" x14ac:dyDescent="0.3">
      <c r="A617" s="78" t="s">
        <v>4374</v>
      </c>
      <c r="B617" s="79" t="s">
        <v>1861</v>
      </c>
      <c r="C617" s="112">
        <v>1165277</v>
      </c>
      <c r="D617" s="112">
        <v>1102856</v>
      </c>
      <c r="E617" s="112">
        <v>29281261</v>
      </c>
      <c r="F617" s="81" t="s">
        <v>4410</v>
      </c>
      <c r="G617" s="82" t="s">
        <v>4380</v>
      </c>
      <c r="H617" s="82" t="s">
        <v>4411</v>
      </c>
      <c r="I617" s="82" t="s">
        <v>3103</v>
      </c>
      <c r="J617" s="83" t="e">
        <f>VLOOKUP($C617,CHOOSE({1,2},'[4]Prestações de Conta inadimplent'!$D$9:$D$2000,'[4]Prestações de Conta inadimplent'!$C$9:$C$2000),2,0)</f>
        <v>#N/A</v>
      </c>
      <c r="L617" s="85"/>
      <c r="M617" s="85" t="e">
        <v>#REF!</v>
      </c>
      <c r="T617" s="86"/>
      <c r="U617" s="85"/>
      <c r="V617" s="87"/>
      <c r="W617" s="85"/>
      <c r="X617" s="88"/>
      <c r="Y617" s="89"/>
      <c r="Z617" s="88"/>
      <c r="AA617" s="88"/>
      <c r="AB617" s="88"/>
      <c r="AF617" s="90"/>
      <c r="AK617" s="91"/>
      <c r="AM617" s="92"/>
      <c r="AN617" s="92"/>
      <c r="AO617" s="92"/>
      <c r="AP617" s="92"/>
      <c r="AQ617" s="92"/>
      <c r="AR617" s="92"/>
    </row>
    <row r="618" spans="1:44" s="84" customFormat="1" ht="24" customHeight="1" x14ac:dyDescent="0.3">
      <c r="A618" s="78" t="s">
        <v>4374</v>
      </c>
      <c r="B618" s="79" t="s">
        <v>3034</v>
      </c>
      <c r="C618" s="112">
        <v>1178271</v>
      </c>
      <c r="D618" s="112">
        <v>1105511</v>
      </c>
      <c r="E618" s="112">
        <v>29535816</v>
      </c>
      <c r="F618" s="81" t="s">
        <v>2422</v>
      </c>
      <c r="G618" s="82" t="s">
        <v>3205</v>
      </c>
      <c r="H618" s="82" t="s">
        <v>4412</v>
      </c>
      <c r="I618" s="82" t="s">
        <v>3103</v>
      </c>
      <c r="J618" s="83" t="e">
        <f>VLOOKUP($C618,CHOOSE({1,2},'[4]Prestações de Conta inadimplent'!$D$9:$D$2000,'[4]Prestações de Conta inadimplent'!$C$9:$C$2000),2,0)</f>
        <v>#N/A</v>
      </c>
      <c r="L618" s="85"/>
      <c r="M618" s="85" t="e">
        <v>#REF!</v>
      </c>
      <c r="T618" s="86"/>
      <c r="U618" s="85"/>
      <c r="V618" s="87"/>
      <c r="W618" s="85"/>
      <c r="X618" s="88"/>
      <c r="Y618" s="89"/>
      <c r="Z618" s="88"/>
      <c r="AA618" s="88"/>
      <c r="AB618" s="88"/>
      <c r="AF618" s="90"/>
      <c r="AK618" s="91"/>
      <c r="AM618" s="92"/>
      <c r="AN618" s="92"/>
      <c r="AO618" s="92"/>
      <c r="AP618" s="92"/>
      <c r="AQ618" s="92"/>
      <c r="AR618" s="92"/>
    </row>
    <row r="619" spans="1:44" s="84" customFormat="1" ht="24" customHeight="1" x14ac:dyDescent="0.3">
      <c r="A619" s="78" t="s">
        <v>4374</v>
      </c>
      <c r="B619" s="79" t="s">
        <v>2181</v>
      </c>
      <c r="C619" s="112">
        <v>1176160</v>
      </c>
      <c r="D619" s="112">
        <v>1103205</v>
      </c>
      <c r="E619" s="112">
        <v>29335132</v>
      </c>
      <c r="F619" s="81" t="s">
        <v>4413</v>
      </c>
      <c r="G619" s="82" t="s">
        <v>4414</v>
      </c>
      <c r="H619" s="82" t="s">
        <v>4415</v>
      </c>
      <c r="I619" s="82" t="s">
        <v>3103</v>
      </c>
      <c r="J619" s="83" t="e">
        <f>VLOOKUP($C619,CHOOSE({1,2},'[4]Prestações de Conta inadimplent'!$D$9:$D$2000,'[4]Prestações de Conta inadimplent'!$C$9:$C$2000),2,0)</f>
        <v>#N/A</v>
      </c>
      <c r="L619" s="85"/>
      <c r="M619" s="85" t="e">
        <v>#REF!</v>
      </c>
      <c r="T619" s="86"/>
      <c r="U619" s="85"/>
      <c r="V619" s="87"/>
      <c r="W619" s="85"/>
      <c r="X619" s="88"/>
      <c r="Y619" s="89"/>
      <c r="Z619" s="89"/>
      <c r="AA619" s="88"/>
      <c r="AB619" s="88"/>
      <c r="AF619" s="90"/>
      <c r="AK619" s="91"/>
      <c r="AM619" s="92"/>
      <c r="AN619" s="92"/>
      <c r="AO619" s="92"/>
      <c r="AP619" s="92"/>
      <c r="AQ619" s="92"/>
      <c r="AR619" s="92"/>
    </row>
    <row r="620" spans="1:44" s="84" customFormat="1" ht="24" customHeight="1" x14ac:dyDescent="0.3">
      <c r="A620" s="78" t="s">
        <v>4374</v>
      </c>
      <c r="B620" s="79" t="s">
        <v>1720</v>
      </c>
      <c r="C620" s="112">
        <v>1128460</v>
      </c>
      <c r="D620" s="112">
        <v>1103209</v>
      </c>
      <c r="E620" s="112">
        <v>29249104</v>
      </c>
      <c r="F620" s="81" t="s">
        <v>4416</v>
      </c>
      <c r="G620" s="82" t="s">
        <v>4417</v>
      </c>
      <c r="H620" s="82" t="s">
        <v>4418</v>
      </c>
      <c r="I620" s="82" t="s">
        <v>3103</v>
      </c>
      <c r="J620" s="83" t="e">
        <f>VLOOKUP($C620,CHOOSE({1,2},'[4]Prestações de Conta inadimplent'!$D$9:$D$2000,'[4]Prestações de Conta inadimplent'!$C$9:$C$2000),2,0)</f>
        <v>#N/A</v>
      </c>
      <c r="L620" s="85"/>
      <c r="M620" s="85" t="e">
        <v>#REF!</v>
      </c>
      <c r="T620" s="86"/>
      <c r="U620" s="85"/>
      <c r="V620" s="87"/>
      <c r="W620" s="85"/>
      <c r="X620" s="88"/>
      <c r="Y620" s="89"/>
      <c r="Z620" s="88"/>
      <c r="AA620" s="88"/>
      <c r="AB620" s="88"/>
      <c r="AF620" s="90"/>
      <c r="AK620" s="91"/>
      <c r="AM620" s="92"/>
      <c r="AN620" s="92"/>
      <c r="AO620" s="92"/>
      <c r="AP620" s="92"/>
      <c r="AQ620" s="92"/>
      <c r="AR620" s="92"/>
    </row>
    <row r="621" spans="1:44" s="84" customFormat="1" ht="24" customHeight="1" x14ac:dyDescent="0.3">
      <c r="A621" s="78" t="s">
        <v>4374</v>
      </c>
      <c r="B621" s="79" t="s">
        <v>1759</v>
      </c>
      <c r="C621" s="112">
        <v>1141815</v>
      </c>
      <c r="D621" s="112">
        <v>1104611</v>
      </c>
      <c r="E621" s="112">
        <v>29261481</v>
      </c>
      <c r="F621" s="81" t="s">
        <v>4419</v>
      </c>
      <c r="G621" s="82" t="s">
        <v>4380</v>
      </c>
      <c r="H621" s="82" t="s">
        <v>4420</v>
      </c>
      <c r="I621" s="82" t="s">
        <v>3103</v>
      </c>
      <c r="J621" s="83" t="e">
        <f>VLOOKUP($C621,CHOOSE({1,2},'[4]Prestações de Conta inadimplent'!$D$9:$D$2000,'[4]Prestações de Conta inadimplent'!$C$9:$C$2000),2,0)</f>
        <v>#N/A</v>
      </c>
      <c r="L621" s="85"/>
      <c r="M621" s="85" t="e">
        <v>#REF!</v>
      </c>
      <c r="T621" s="86"/>
      <c r="U621" s="85"/>
      <c r="V621" s="87"/>
      <c r="W621" s="85"/>
      <c r="X621" s="88"/>
      <c r="Y621" s="89"/>
      <c r="Z621" s="89"/>
      <c r="AA621" s="88"/>
      <c r="AB621" s="88"/>
      <c r="AF621" s="90"/>
      <c r="AK621" s="91"/>
      <c r="AM621" s="92"/>
      <c r="AN621" s="92"/>
      <c r="AO621" s="92"/>
      <c r="AP621" s="92"/>
      <c r="AQ621" s="92"/>
      <c r="AR621" s="92"/>
    </row>
    <row r="622" spans="1:44" s="84" customFormat="1" ht="24" customHeight="1" x14ac:dyDescent="0.3">
      <c r="A622" s="78" t="s">
        <v>4374</v>
      </c>
      <c r="B622" s="79" t="s">
        <v>2704</v>
      </c>
      <c r="C622" s="112">
        <v>1178113</v>
      </c>
      <c r="D622" s="112">
        <v>1105068</v>
      </c>
      <c r="E622" s="112">
        <v>29434726</v>
      </c>
      <c r="F622" s="81" t="s">
        <v>4421</v>
      </c>
      <c r="G622" s="82" t="s">
        <v>4390</v>
      </c>
      <c r="H622" s="82" t="s">
        <v>4422</v>
      </c>
      <c r="I622" s="82" t="s">
        <v>3103</v>
      </c>
      <c r="J622" s="83" t="e">
        <f>VLOOKUP($C622,CHOOSE({1,2},'[4]Prestações de Conta inadimplent'!$D$9:$D$2000,'[4]Prestações de Conta inadimplent'!$C$9:$C$2000),2,0)</f>
        <v>#N/A</v>
      </c>
      <c r="L622" s="85"/>
      <c r="M622" s="85" t="e">
        <v>#REF!</v>
      </c>
      <c r="T622" s="86"/>
      <c r="U622" s="85"/>
      <c r="V622" s="87"/>
      <c r="W622" s="85"/>
      <c r="X622" s="88"/>
      <c r="Y622" s="89"/>
      <c r="Z622" s="89"/>
      <c r="AA622" s="88"/>
      <c r="AB622" s="88"/>
      <c r="AF622" s="90"/>
      <c r="AK622" s="91"/>
      <c r="AM622" s="92"/>
      <c r="AN622" s="92"/>
      <c r="AO622" s="92"/>
      <c r="AP622" s="92"/>
      <c r="AQ622" s="92"/>
      <c r="AR622" s="92"/>
    </row>
    <row r="623" spans="1:44" s="84" customFormat="1" ht="24" customHeight="1" x14ac:dyDescent="0.3">
      <c r="A623" s="78" t="s">
        <v>4374</v>
      </c>
      <c r="B623" s="79" t="s">
        <v>1723</v>
      </c>
      <c r="C623" s="112">
        <v>1129181</v>
      </c>
      <c r="D623" s="112">
        <v>1103219</v>
      </c>
      <c r="E623" s="112">
        <v>29250285</v>
      </c>
      <c r="F623" s="81" t="s">
        <v>4423</v>
      </c>
      <c r="G623" s="82" t="s">
        <v>4424</v>
      </c>
      <c r="H623" s="82" t="s">
        <v>4425</v>
      </c>
      <c r="I623" s="82" t="s">
        <v>3103</v>
      </c>
      <c r="J623" s="83" t="e">
        <f>VLOOKUP($C623,CHOOSE({1,2},'[4]Prestações de Conta inadimplent'!$D$9:$D$2000,'[4]Prestações de Conta inadimplent'!$C$9:$C$2000),2,0)</f>
        <v>#N/A</v>
      </c>
      <c r="L623" s="85"/>
      <c r="M623" s="85" t="e">
        <v>#REF!</v>
      </c>
      <c r="T623" s="86"/>
      <c r="U623" s="85"/>
      <c r="V623" s="87"/>
      <c r="W623" s="85"/>
      <c r="X623" s="88"/>
      <c r="Y623" s="89"/>
      <c r="Z623" s="89"/>
      <c r="AA623" s="88"/>
      <c r="AB623" s="88"/>
      <c r="AF623" s="90"/>
      <c r="AK623" s="91"/>
      <c r="AM623" s="92"/>
      <c r="AN623" s="92"/>
      <c r="AO623" s="92"/>
      <c r="AP623" s="92"/>
      <c r="AQ623" s="92"/>
      <c r="AR623" s="92"/>
    </row>
    <row r="624" spans="1:44" s="84" customFormat="1" ht="24" customHeight="1" x14ac:dyDescent="0.3">
      <c r="A624" s="78" t="s">
        <v>4374</v>
      </c>
      <c r="B624" s="79" t="s">
        <v>1762</v>
      </c>
      <c r="C624" s="112">
        <v>1156634</v>
      </c>
      <c r="D624" s="112">
        <v>1104614</v>
      </c>
      <c r="E624" s="112">
        <v>29261953</v>
      </c>
      <c r="F624" s="81" t="s">
        <v>4426</v>
      </c>
      <c r="G624" s="82" t="s">
        <v>4404</v>
      </c>
      <c r="H624" s="82" t="s">
        <v>4427</v>
      </c>
      <c r="I624" s="82" t="s">
        <v>3103</v>
      </c>
      <c r="J624" s="83" t="e">
        <f>VLOOKUP($C624,CHOOSE({1,2},'[4]Prestações de Conta inadimplent'!$D$9:$D$2000,'[4]Prestações de Conta inadimplent'!$C$9:$C$2000),2,0)</f>
        <v>#N/A</v>
      </c>
      <c r="L624" s="85"/>
      <c r="M624" s="85" t="e">
        <v>#REF!</v>
      </c>
      <c r="T624" s="86"/>
      <c r="U624" s="85"/>
      <c r="V624" s="87"/>
      <c r="W624" s="85"/>
      <c r="X624" s="88"/>
      <c r="Y624" s="89"/>
      <c r="Z624" s="88"/>
      <c r="AA624" s="88"/>
      <c r="AB624" s="88"/>
      <c r="AF624" s="90"/>
      <c r="AH624" s="85"/>
      <c r="AK624" s="91"/>
      <c r="AM624" s="92"/>
      <c r="AN624" s="92"/>
      <c r="AO624" s="92"/>
      <c r="AP624" s="92"/>
      <c r="AQ624" s="92"/>
      <c r="AR624" s="92"/>
    </row>
    <row r="625" spans="1:44" s="84" customFormat="1" ht="24" customHeight="1" x14ac:dyDescent="0.3">
      <c r="A625" s="78" t="s">
        <v>4374</v>
      </c>
      <c r="B625" s="79" t="s">
        <v>1817</v>
      </c>
      <c r="C625" s="112">
        <v>1124996</v>
      </c>
      <c r="D625" s="112">
        <v>1102858</v>
      </c>
      <c r="E625" s="112">
        <v>29275474</v>
      </c>
      <c r="F625" s="81" t="s">
        <v>4428</v>
      </c>
      <c r="G625" s="82" t="s">
        <v>4429</v>
      </c>
      <c r="H625" s="82" t="s">
        <v>4430</v>
      </c>
      <c r="I625" s="82" t="s">
        <v>3103</v>
      </c>
      <c r="J625" s="83" t="e">
        <f>VLOOKUP($C625,CHOOSE({1,2},'[4]Prestações de Conta inadimplent'!$D$9:$D$2000,'[4]Prestações de Conta inadimplent'!$C$9:$C$2000),2,0)</f>
        <v>#N/A</v>
      </c>
      <c r="L625" s="85"/>
      <c r="M625" s="85" t="e">
        <v>#REF!</v>
      </c>
      <c r="T625" s="86"/>
      <c r="U625" s="85"/>
      <c r="V625" s="87"/>
      <c r="W625" s="85"/>
      <c r="X625" s="88"/>
      <c r="Y625" s="89"/>
      <c r="Z625" s="88"/>
      <c r="AA625" s="88"/>
      <c r="AB625" s="88"/>
      <c r="AF625" s="90"/>
      <c r="AK625" s="91"/>
      <c r="AM625" s="92"/>
      <c r="AN625" s="92"/>
      <c r="AO625" s="92"/>
      <c r="AP625" s="92"/>
      <c r="AQ625" s="92"/>
      <c r="AR625" s="92"/>
    </row>
    <row r="626" spans="1:44" s="84" customFormat="1" ht="24" customHeight="1" x14ac:dyDescent="0.3">
      <c r="A626" s="78" t="s">
        <v>4374</v>
      </c>
      <c r="B626" s="79" t="s">
        <v>1821</v>
      </c>
      <c r="C626" s="112">
        <v>1125062</v>
      </c>
      <c r="D626" s="112">
        <v>1102865</v>
      </c>
      <c r="E626" s="112">
        <v>29277230</v>
      </c>
      <c r="F626" s="81" t="s">
        <v>4431</v>
      </c>
      <c r="G626" s="82" t="s">
        <v>4390</v>
      </c>
      <c r="H626" s="82" t="s">
        <v>4432</v>
      </c>
      <c r="I626" s="82" t="s">
        <v>3103</v>
      </c>
      <c r="J626" s="83" t="e">
        <f>VLOOKUP($C626,CHOOSE({1,2},'[4]Prestações de Conta inadimplent'!$D$9:$D$2000,'[4]Prestações de Conta inadimplent'!$C$9:$C$2000),2,0)</f>
        <v>#N/A</v>
      </c>
      <c r="L626" s="85"/>
      <c r="M626" s="85" t="e">
        <v>#REF!</v>
      </c>
      <c r="T626" s="86"/>
      <c r="U626" s="85"/>
      <c r="V626" s="87"/>
      <c r="W626" s="85"/>
      <c r="X626" s="88"/>
      <c r="Y626" s="89"/>
      <c r="Z626" s="88"/>
      <c r="AA626" s="88"/>
      <c r="AB626" s="88"/>
      <c r="AF626" s="90"/>
      <c r="AK626" s="91"/>
      <c r="AM626" s="92"/>
      <c r="AN626" s="92"/>
      <c r="AO626" s="92"/>
      <c r="AP626" s="92"/>
      <c r="AQ626" s="92"/>
      <c r="AR626" s="92"/>
    </row>
    <row r="627" spans="1:44" s="84" customFormat="1" ht="24" customHeight="1" x14ac:dyDescent="0.3">
      <c r="A627" s="78" t="s">
        <v>4374</v>
      </c>
      <c r="B627" s="79" t="s">
        <v>1821</v>
      </c>
      <c r="C627" s="112">
        <v>1125186</v>
      </c>
      <c r="D627" s="112">
        <v>1102868</v>
      </c>
      <c r="E627" s="112">
        <v>29276411</v>
      </c>
      <c r="F627" s="81" t="s">
        <v>4433</v>
      </c>
      <c r="G627" s="82" t="s">
        <v>4390</v>
      </c>
      <c r="H627" s="82" t="s">
        <v>4434</v>
      </c>
      <c r="I627" s="82" t="s">
        <v>3103</v>
      </c>
      <c r="J627" s="83" t="e">
        <f>VLOOKUP($C627,CHOOSE({1,2},'[4]Prestações de Conta inadimplent'!$D$9:$D$2000,'[4]Prestações de Conta inadimplent'!$C$9:$C$2000),2,0)</f>
        <v>#N/A</v>
      </c>
      <c r="L627" s="85"/>
      <c r="M627" s="85" t="e">
        <v>#REF!</v>
      </c>
      <c r="T627" s="86"/>
      <c r="U627" s="85"/>
      <c r="V627" s="87"/>
      <c r="W627" s="85"/>
      <c r="X627" s="88"/>
      <c r="Y627" s="89"/>
      <c r="Z627" s="88"/>
      <c r="AA627" s="88"/>
      <c r="AB627" s="88"/>
      <c r="AF627" s="90"/>
      <c r="AK627" s="91"/>
      <c r="AM627" s="92"/>
      <c r="AN627" s="92"/>
      <c r="AO627" s="92"/>
      <c r="AP627" s="92"/>
      <c r="AQ627" s="92"/>
      <c r="AR627" s="92"/>
    </row>
    <row r="628" spans="1:44" s="84" customFormat="1" ht="24" customHeight="1" x14ac:dyDescent="0.3">
      <c r="A628" s="78" t="s">
        <v>4374</v>
      </c>
      <c r="B628" s="79" t="s">
        <v>2580</v>
      </c>
      <c r="C628" s="112">
        <v>1178071</v>
      </c>
      <c r="D628" s="112">
        <v>1104556</v>
      </c>
      <c r="E628" s="112">
        <v>29428556</v>
      </c>
      <c r="F628" s="81" t="s">
        <v>4435</v>
      </c>
      <c r="G628" s="82" t="s">
        <v>3205</v>
      </c>
      <c r="H628" s="82" t="s">
        <v>4436</v>
      </c>
      <c r="I628" s="82" t="s">
        <v>3103</v>
      </c>
      <c r="J628" s="83" t="e">
        <f>VLOOKUP($C628,CHOOSE({1,2},'[4]Prestações de Conta inadimplent'!$D$9:$D$2000,'[4]Prestações de Conta inadimplent'!$C$9:$C$2000),2,0)</f>
        <v>#N/A</v>
      </c>
      <c r="L628" s="85"/>
      <c r="M628" s="85" t="e">
        <v>#REF!</v>
      </c>
      <c r="T628" s="86"/>
      <c r="U628" s="85"/>
      <c r="V628" s="87"/>
      <c r="W628" s="85"/>
      <c r="X628" s="88"/>
      <c r="Y628" s="89"/>
      <c r="Z628" s="89"/>
      <c r="AA628" s="88"/>
      <c r="AB628" s="88"/>
      <c r="AF628" s="90"/>
      <c r="AH628" s="85"/>
      <c r="AK628" s="91"/>
      <c r="AM628" s="92"/>
      <c r="AN628" s="92"/>
      <c r="AO628" s="92"/>
      <c r="AP628" s="92"/>
      <c r="AQ628" s="92"/>
      <c r="AR628" s="92"/>
    </row>
    <row r="629" spans="1:44" s="84" customFormat="1" ht="24" customHeight="1" x14ac:dyDescent="0.3">
      <c r="A629" s="78" t="s">
        <v>4374</v>
      </c>
      <c r="B629" s="79" t="s">
        <v>1892</v>
      </c>
      <c r="C629" s="112">
        <v>1124929</v>
      </c>
      <c r="D629" s="112">
        <v>1105592</v>
      </c>
      <c r="E629" s="112">
        <v>29285291</v>
      </c>
      <c r="F629" s="81" t="s">
        <v>4437</v>
      </c>
      <c r="G629" s="82" t="s">
        <v>4380</v>
      </c>
      <c r="H629" s="82" t="s">
        <v>4438</v>
      </c>
      <c r="I629" s="82" t="s">
        <v>3103</v>
      </c>
      <c r="J629" s="83" t="e">
        <f>VLOOKUP($C629,CHOOSE({1,2},'[4]Prestações de Conta inadimplent'!$D$9:$D$2000,'[4]Prestações de Conta inadimplent'!$C$9:$C$2000),2,0)</f>
        <v>#N/A</v>
      </c>
      <c r="L629" s="85"/>
      <c r="M629" s="85" t="e">
        <v>#REF!</v>
      </c>
      <c r="T629" s="86"/>
      <c r="U629" s="85"/>
      <c r="V629" s="87"/>
      <c r="W629" s="85"/>
      <c r="X629" s="88"/>
      <c r="Y629" s="89"/>
      <c r="Z629" s="88"/>
      <c r="AA629" s="88"/>
      <c r="AB629" s="88"/>
      <c r="AF629" s="90"/>
      <c r="AK629" s="91"/>
      <c r="AM629" s="92"/>
      <c r="AN629" s="92"/>
      <c r="AO629" s="92"/>
      <c r="AP629" s="92"/>
      <c r="AQ629" s="92"/>
      <c r="AR629" s="92"/>
    </row>
    <row r="630" spans="1:44" s="84" customFormat="1" ht="24" customHeight="1" x14ac:dyDescent="0.3">
      <c r="A630" s="78" t="s">
        <v>4374</v>
      </c>
      <c r="B630" s="79" t="s">
        <v>1773</v>
      </c>
      <c r="C630" s="112">
        <v>1178248</v>
      </c>
      <c r="D630" s="112">
        <v>1105488</v>
      </c>
      <c r="E630" s="112">
        <v>29265932</v>
      </c>
      <c r="F630" s="81" t="s">
        <v>4439</v>
      </c>
      <c r="G630" s="82" t="s">
        <v>4388</v>
      </c>
      <c r="H630" s="82" t="s">
        <v>4440</v>
      </c>
      <c r="I630" s="82" t="s">
        <v>3103</v>
      </c>
      <c r="J630" s="83" t="e">
        <f>VLOOKUP($C630,CHOOSE({1,2},'[4]Prestações de Conta inadimplent'!$D$9:$D$2000,'[4]Prestações de Conta inadimplent'!$C$9:$C$2000),2,0)</f>
        <v>#N/A</v>
      </c>
      <c r="K630" s="96"/>
      <c r="L630" s="85"/>
      <c r="M630" s="85" t="e">
        <v>#REF!</v>
      </c>
      <c r="T630" s="86"/>
      <c r="U630" s="85"/>
      <c r="V630" s="87"/>
      <c r="W630" s="85"/>
      <c r="X630" s="88"/>
      <c r="Y630" s="89"/>
      <c r="Z630" s="88"/>
      <c r="AA630" s="88"/>
      <c r="AB630" s="88"/>
      <c r="AF630" s="90"/>
      <c r="AK630" s="91"/>
      <c r="AM630" s="92"/>
      <c r="AN630" s="92"/>
      <c r="AO630" s="92"/>
      <c r="AP630" s="92"/>
      <c r="AQ630" s="92"/>
      <c r="AR630" s="92"/>
    </row>
    <row r="631" spans="1:44" s="84" customFormat="1" ht="24" customHeight="1" x14ac:dyDescent="0.3">
      <c r="A631" s="78" t="s">
        <v>4374</v>
      </c>
      <c r="B631" s="79" t="s">
        <v>1831</v>
      </c>
      <c r="C631" s="112">
        <v>1125305</v>
      </c>
      <c r="D631" s="112">
        <v>1102879</v>
      </c>
      <c r="E631" s="112">
        <v>29279640</v>
      </c>
      <c r="F631" s="81" t="s">
        <v>4441</v>
      </c>
      <c r="G631" s="82" t="s">
        <v>4380</v>
      </c>
      <c r="H631" s="82" t="s">
        <v>4442</v>
      </c>
      <c r="I631" s="82" t="s">
        <v>3103</v>
      </c>
      <c r="J631" s="83" t="e">
        <f>VLOOKUP($C631,CHOOSE({1,2},'[4]Prestações de Conta inadimplent'!$D$9:$D$2000,'[4]Prestações de Conta inadimplent'!$C$9:$C$2000),2,0)</f>
        <v>#N/A</v>
      </c>
      <c r="L631" s="85"/>
      <c r="M631" s="85" t="e">
        <v>#REF!</v>
      </c>
      <c r="T631" s="86"/>
      <c r="U631" s="85"/>
      <c r="V631" s="87"/>
      <c r="W631" s="85"/>
      <c r="X631" s="88"/>
      <c r="Y631" s="89"/>
      <c r="Z631" s="89"/>
      <c r="AA631" s="88"/>
      <c r="AB631" s="88"/>
      <c r="AF631" s="90"/>
      <c r="AK631" s="91"/>
      <c r="AM631" s="92"/>
      <c r="AN631" s="92"/>
      <c r="AO631" s="92"/>
      <c r="AP631" s="92"/>
      <c r="AQ631" s="92"/>
      <c r="AR631" s="92"/>
    </row>
    <row r="632" spans="1:44" s="84" customFormat="1" ht="24" customHeight="1" x14ac:dyDescent="0.3">
      <c r="A632" s="78">
        <v>20</v>
      </c>
      <c r="B632" s="79" t="s">
        <v>1831</v>
      </c>
      <c r="C632" s="112">
        <v>1125399</v>
      </c>
      <c r="D632" s="112">
        <v>1102886</v>
      </c>
      <c r="E632" s="112">
        <v>29277752</v>
      </c>
      <c r="F632" s="81" t="s">
        <v>1832</v>
      </c>
      <c r="G632" s="82" t="s">
        <v>4380</v>
      </c>
      <c r="H632" s="82" t="s">
        <v>4443</v>
      </c>
      <c r="I632" s="82" t="s">
        <v>3103</v>
      </c>
      <c r="J632" s="83" t="e">
        <f>VLOOKUP($C632,CHOOSE({1,2},'[4]Prestações de Conta inadimplent'!$D$9:$D$2000,'[4]Prestações de Conta inadimplent'!$C$9:$C$2000),2,0)</f>
        <v>#N/A</v>
      </c>
      <c r="L632" s="85"/>
      <c r="M632" s="85" t="e">
        <v>#REF!</v>
      </c>
      <c r="T632" s="86"/>
      <c r="U632" s="85"/>
      <c r="V632" s="85"/>
      <c r="W632" s="85"/>
      <c r="X632" s="88"/>
      <c r="Y632" s="89"/>
      <c r="Z632" s="89"/>
      <c r="AA632" s="88"/>
      <c r="AB632" s="88"/>
      <c r="AF632" s="90"/>
      <c r="AK632" s="91"/>
      <c r="AM632" s="92"/>
      <c r="AN632" s="92"/>
      <c r="AO632" s="92"/>
      <c r="AP632" s="92"/>
      <c r="AQ632" s="92"/>
      <c r="AR632" s="92"/>
    </row>
    <row r="633" spans="1:44" s="84" customFormat="1" ht="24" customHeight="1" x14ac:dyDescent="0.3">
      <c r="A633" s="78" t="s">
        <v>4374</v>
      </c>
      <c r="B633" s="79" t="s">
        <v>1831</v>
      </c>
      <c r="C633" s="112">
        <v>1176435</v>
      </c>
      <c r="D633" s="112">
        <v>1102911</v>
      </c>
      <c r="E633" s="112">
        <v>29402830</v>
      </c>
      <c r="F633" s="81" t="s">
        <v>4444</v>
      </c>
      <c r="G633" s="82" t="s">
        <v>4380</v>
      </c>
      <c r="H633" s="82" t="s">
        <v>4445</v>
      </c>
      <c r="I633" s="82" t="s">
        <v>3103</v>
      </c>
      <c r="J633" s="83" t="e">
        <f>VLOOKUP($C633,CHOOSE({1,2},'[4]Prestações de Conta inadimplent'!$D$9:$D$2000,'[4]Prestações de Conta inadimplent'!$C$9:$C$2000),2,0)</f>
        <v>#N/A</v>
      </c>
      <c r="L633" s="85"/>
      <c r="M633" s="85" t="e">
        <v>#REF!</v>
      </c>
      <c r="T633" s="86"/>
      <c r="U633" s="85"/>
      <c r="V633" s="87"/>
      <c r="W633" s="85"/>
      <c r="X633" s="88"/>
      <c r="Y633" s="89"/>
      <c r="Z633" s="88"/>
      <c r="AA633" s="88"/>
      <c r="AB633" s="88"/>
      <c r="AF633" s="90"/>
      <c r="AK633" s="91"/>
      <c r="AM633" s="92"/>
      <c r="AN633" s="92"/>
      <c r="AO633" s="92"/>
      <c r="AP633" s="92"/>
      <c r="AQ633" s="92"/>
      <c r="AR633" s="92"/>
    </row>
    <row r="634" spans="1:44" s="84" customFormat="1" ht="24" customHeight="1" x14ac:dyDescent="0.3">
      <c r="A634" s="78" t="s">
        <v>4374</v>
      </c>
      <c r="B634" s="79" t="s">
        <v>1831</v>
      </c>
      <c r="C634" s="112">
        <v>1125429</v>
      </c>
      <c r="D634" s="112">
        <v>1102888</v>
      </c>
      <c r="E634" s="112">
        <v>29277990</v>
      </c>
      <c r="F634" s="81" t="s">
        <v>4446</v>
      </c>
      <c r="G634" s="82" t="s">
        <v>4380</v>
      </c>
      <c r="H634" s="82" t="s">
        <v>4447</v>
      </c>
      <c r="I634" s="82" t="s">
        <v>3103</v>
      </c>
      <c r="J634" s="83" t="e">
        <f>VLOOKUP($C634,CHOOSE({1,2},'[4]Prestações de Conta inadimplent'!$D$9:$D$2000,'[4]Prestações de Conta inadimplent'!$C$9:$C$2000),2,0)</f>
        <v>#N/A</v>
      </c>
      <c r="L634" s="85"/>
      <c r="M634" s="85" t="e">
        <v>#REF!</v>
      </c>
      <c r="T634" s="86"/>
      <c r="U634" s="85"/>
      <c r="V634" s="87"/>
      <c r="W634" s="85"/>
      <c r="X634" s="88"/>
      <c r="Y634" s="89"/>
      <c r="Z634" s="88"/>
      <c r="AA634" s="88"/>
      <c r="AB634" s="88"/>
      <c r="AF634" s="90"/>
      <c r="AK634" s="91"/>
      <c r="AM634" s="92"/>
      <c r="AN634" s="92"/>
      <c r="AO634" s="92"/>
      <c r="AP634" s="92"/>
      <c r="AQ634" s="92"/>
      <c r="AR634" s="92"/>
    </row>
    <row r="635" spans="1:44" s="84" customFormat="1" ht="24" customHeight="1" x14ac:dyDescent="0.3">
      <c r="A635" s="78" t="s">
        <v>4374</v>
      </c>
      <c r="B635" s="79" t="s">
        <v>1831</v>
      </c>
      <c r="C635" s="112">
        <v>1125640</v>
      </c>
      <c r="D635" s="112">
        <v>1102897</v>
      </c>
      <c r="E635" s="112">
        <v>29277787</v>
      </c>
      <c r="F635" s="81" t="s">
        <v>4448</v>
      </c>
      <c r="G635" s="82" t="s">
        <v>4380</v>
      </c>
      <c r="H635" s="82" t="s">
        <v>4449</v>
      </c>
      <c r="I635" s="82" t="s">
        <v>3103</v>
      </c>
      <c r="J635" s="83" t="e">
        <f>VLOOKUP($C635,CHOOSE({1,2},'[4]Prestações de Conta inadimplent'!$D$9:$D$2000,'[4]Prestações de Conta inadimplent'!$C$9:$C$2000),2,0)</f>
        <v>#N/A</v>
      </c>
      <c r="L635" s="85"/>
      <c r="M635" s="85" t="e">
        <v>#REF!</v>
      </c>
      <c r="T635" s="86"/>
      <c r="U635" s="85"/>
      <c r="V635" s="85"/>
      <c r="W635" s="85"/>
      <c r="X635" s="88"/>
      <c r="Y635" s="89"/>
      <c r="Z635" s="88"/>
      <c r="AA635" s="88"/>
      <c r="AB635" s="88"/>
      <c r="AF635" s="90"/>
      <c r="AK635" s="91"/>
      <c r="AM635" s="92"/>
      <c r="AN635" s="92"/>
      <c r="AO635" s="92"/>
      <c r="AP635" s="92"/>
      <c r="AQ635" s="92"/>
      <c r="AR635" s="92"/>
    </row>
    <row r="636" spans="1:44" s="84" customFormat="1" ht="24" customHeight="1" x14ac:dyDescent="0.3">
      <c r="A636" s="78" t="s">
        <v>4374</v>
      </c>
      <c r="B636" s="79" t="s">
        <v>1831</v>
      </c>
      <c r="C636" s="112">
        <v>1179246</v>
      </c>
      <c r="D636" s="112">
        <v>9999999</v>
      </c>
      <c r="E636" s="112">
        <v>29457491</v>
      </c>
      <c r="F636" s="81" t="s">
        <v>4450</v>
      </c>
      <c r="G636" s="82" t="s">
        <v>4380</v>
      </c>
      <c r="H636" s="82" t="s">
        <v>4451</v>
      </c>
      <c r="I636" s="82" t="s">
        <v>3103</v>
      </c>
      <c r="J636" s="83" t="e">
        <f>VLOOKUP($C636,CHOOSE({1,2},'[4]Prestações de Conta inadimplent'!$D$9:$D$2000,'[4]Prestações de Conta inadimplent'!$C$9:$C$2000),2,0)</f>
        <v>#N/A</v>
      </c>
      <c r="L636" s="85"/>
      <c r="M636" s="85" t="e">
        <v>#REF!</v>
      </c>
      <c r="T636" s="86"/>
      <c r="U636" s="85"/>
      <c r="V636" s="87"/>
      <c r="W636" s="85"/>
      <c r="X636" s="88"/>
      <c r="Y636" s="89"/>
      <c r="Z636" s="89"/>
      <c r="AA636" s="88"/>
      <c r="AB636" s="88"/>
      <c r="AF636" s="90"/>
      <c r="AK636" s="91"/>
      <c r="AM636" s="92"/>
      <c r="AN636" s="92"/>
      <c r="AO636" s="92"/>
      <c r="AP636" s="92"/>
      <c r="AQ636" s="92"/>
      <c r="AR636" s="92"/>
    </row>
    <row r="637" spans="1:44" s="84" customFormat="1" ht="24" customHeight="1" x14ac:dyDescent="0.3">
      <c r="A637" s="78" t="s">
        <v>4374</v>
      </c>
      <c r="B637" s="79" t="s">
        <v>1831</v>
      </c>
      <c r="C637" s="112">
        <v>1178119</v>
      </c>
      <c r="D637" s="112">
        <v>1105040</v>
      </c>
      <c r="E637" s="112">
        <v>29433410</v>
      </c>
      <c r="F637" s="81" t="s">
        <v>4452</v>
      </c>
      <c r="G637" s="82" t="s">
        <v>4380</v>
      </c>
      <c r="H637" s="82" t="s">
        <v>4453</v>
      </c>
      <c r="I637" s="82" t="s">
        <v>3103</v>
      </c>
      <c r="J637" s="83" t="e">
        <f>VLOOKUP($C637,CHOOSE({1,2},'[4]Prestações de Conta inadimplent'!$D$9:$D$2000,'[4]Prestações de Conta inadimplent'!$C$9:$C$2000),2,0)</f>
        <v>#N/A</v>
      </c>
      <c r="L637" s="85"/>
      <c r="M637" s="85" t="e">
        <v>#REF!</v>
      </c>
      <c r="T637" s="86"/>
      <c r="U637" s="85"/>
      <c r="V637" s="87"/>
      <c r="W637" s="85"/>
      <c r="X637" s="88"/>
      <c r="Y637" s="89"/>
      <c r="Z637" s="88"/>
      <c r="AA637" s="88"/>
      <c r="AB637" s="88"/>
      <c r="AF637" s="90"/>
      <c r="AK637" s="91"/>
      <c r="AM637" s="92"/>
      <c r="AN637" s="92"/>
      <c r="AO637" s="92"/>
      <c r="AP637" s="92"/>
      <c r="AQ637" s="92"/>
      <c r="AR637" s="92"/>
    </row>
    <row r="638" spans="1:44" s="84" customFormat="1" ht="24" customHeight="1" x14ac:dyDescent="0.3">
      <c r="A638" s="78" t="s">
        <v>4374</v>
      </c>
      <c r="B638" s="79" t="s">
        <v>1831</v>
      </c>
      <c r="C638" s="112">
        <v>1179448</v>
      </c>
      <c r="D638" s="112">
        <v>9999999</v>
      </c>
      <c r="E638" s="112">
        <v>29467861</v>
      </c>
      <c r="F638" s="81" t="s">
        <v>4454</v>
      </c>
      <c r="G638" s="82" t="s">
        <v>4380</v>
      </c>
      <c r="H638" s="82" t="s">
        <v>4455</v>
      </c>
      <c r="I638" s="82" t="s">
        <v>3103</v>
      </c>
      <c r="J638" s="83" t="e">
        <f>VLOOKUP($C638,CHOOSE({1,2},'[4]Prestações de Conta inadimplent'!$D$9:$D$2000,'[4]Prestações de Conta inadimplent'!$C$9:$C$2000),2,0)</f>
        <v>#N/A</v>
      </c>
      <c r="L638" s="85"/>
      <c r="M638" s="85" t="e">
        <v>#REF!</v>
      </c>
      <c r="T638" s="86"/>
      <c r="U638" s="85"/>
      <c r="V638" s="85"/>
      <c r="W638" s="85"/>
      <c r="X638" s="85"/>
      <c r="Y638" s="89"/>
      <c r="Z638" s="89"/>
      <c r="AA638" s="88"/>
      <c r="AB638" s="88"/>
      <c r="AF638" s="90"/>
      <c r="AK638" s="91"/>
      <c r="AM638" s="92"/>
      <c r="AN638" s="92"/>
      <c r="AO638" s="92"/>
      <c r="AP638" s="92"/>
      <c r="AQ638" s="92"/>
      <c r="AR638" s="92"/>
    </row>
    <row r="639" spans="1:44" s="84" customFormat="1" ht="24" customHeight="1" x14ac:dyDescent="0.3">
      <c r="A639" s="78" t="s">
        <v>4374</v>
      </c>
      <c r="B639" s="79" t="s">
        <v>1831</v>
      </c>
      <c r="C639" s="112">
        <v>1179223</v>
      </c>
      <c r="D639" s="112">
        <v>9999999</v>
      </c>
      <c r="E639" s="112">
        <v>29456479</v>
      </c>
      <c r="F639" s="81" t="s">
        <v>2845</v>
      </c>
      <c r="G639" s="82" t="s">
        <v>4380</v>
      </c>
      <c r="H639" s="82" t="s">
        <v>4456</v>
      </c>
      <c r="I639" s="82" t="s">
        <v>3103</v>
      </c>
      <c r="J639" s="83" t="e">
        <f>VLOOKUP($C639,CHOOSE({1,2},'[4]Prestações de Conta inadimplent'!$D$9:$D$2000,'[4]Prestações de Conta inadimplent'!$C$9:$C$2000),2,0)</f>
        <v>#N/A</v>
      </c>
      <c r="L639" s="85"/>
      <c r="M639" s="85" t="e">
        <v>#REF!</v>
      </c>
      <c r="T639" s="86"/>
      <c r="U639" s="85"/>
      <c r="V639" s="87"/>
      <c r="W639" s="85"/>
      <c r="X639" s="88"/>
      <c r="Y639" s="89"/>
      <c r="Z639" s="88"/>
      <c r="AA639" s="88"/>
      <c r="AB639" s="88"/>
      <c r="AF639" s="90"/>
      <c r="AK639" s="91"/>
      <c r="AM639" s="92"/>
      <c r="AN639" s="92"/>
      <c r="AO639" s="92"/>
      <c r="AP639" s="92"/>
      <c r="AQ639" s="92"/>
      <c r="AR639" s="92"/>
    </row>
    <row r="640" spans="1:44" s="84" customFormat="1" ht="24" customHeight="1" x14ac:dyDescent="0.3">
      <c r="A640" s="78" t="s">
        <v>4374</v>
      </c>
      <c r="B640" s="79" t="s">
        <v>1831</v>
      </c>
      <c r="C640" s="112">
        <v>1179285</v>
      </c>
      <c r="D640" s="112">
        <v>9999999</v>
      </c>
      <c r="E640" s="112">
        <v>29461472</v>
      </c>
      <c r="F640" s="81" t="s">
        <v>4457</v>
      </c>
      <c r="G640" s="82" t="s">
        <v>4380</v>
      </c>
      <c r="H640" s="82" t="s">
        <v>4458</v>
      </c>
      <c r="I640" s="82" t="s">
        <v>3103</v>
      </c>
      <c r="J640" s="83" t="e">
        <f>VLOOKUP($C640,CHOOSE({1,2},'[4]Prestações de Conta inadimplent'!$D$9:$D$2000,'[4]Prestações de Conta inadimplent'!$C$9:$C$2000),2,0)</f>
        <v>#N/A</v>
      </c>
      <c r="L640" s="85"/>
      <c r="M640" s="85" t="e">
        <v>#REF!</v>
      </c>
      <c r="T640" s="86"/>
      <c r="U640" s="85"/>
      <c r="V640" s="85"/>
      <c r="W640" s="85"/>
      <c r="X640" s="88"/>
      <c r="Y640" s="89"/>
      <c r="Z640" s="88"/>
      <c r="AA640" s="88"/>
      <c r="AB640" s="88"/>
      <c r="AF640" s="90"/>
      <c r="AK640" s="91"/>
      <c r="AM640" s="92"/>
      <c r="AN640" s="92"/>
      <c r="AO640" s="92"/>
      <c r="AP640" s="92"/>
      <c r="AQ640" s="92"/>
      <c r="AR640" s="92"/>
    </row>
    <row r="641" spans="1:44" s="84" customFormat="1" ht="24" customHeight="1" x14ac:dyDescent="0.3">
      <c r="A641" s="78" t="s">
        <v>4374</v>
      </c>
      <c r="B641" s="79" t="s">
        <v>1831</v>
      </c>
      <c r="C641" s="112">
        <v>1125496</v>
      </c>
      <c r="D641" s="112">
        <v>1102893</v>
      </c>
      <c r="E641" s="112">
        <v>29279810</v>
      </c>
      <c r="F641" s="81" t="s">
        <v>1855</v>
      </c>
      <c r="G641" s="82" t="s">
        <v>4380</v>
      </c>
      <c r="H641" s="82" t="s">
        <v>4459</v>
      </c>
      <c r="I641" s="82" t="s">
        <v>3103</v>
      </c>
      <c r="J641" s="83" t="e">
        <f>VLOOKUP($C641,CHOOSE({1,2},'[4]Prestações de Conta inadimplent'!$D$9:$D$2000,'[4]Prestações de Conta inadimplent'!$C$9:$C$2000),2,0)</f>
        <v>#N/A</v>
      </c>
      <c r="L641" s="85"/>
      <c r="M641" s="85" t="e">
        <v>#REF!</v>
      </c>
      <c r="T641" s="86"/>
      <c r="U641" s="85"/>
      <c r="V641" s="87"/>
      <c r="W641" s="85"/>
      <c r="X641" s="88"/>
      <c r="Y641" s="89"/>
      <c r="Z641" s="89"/>
      <c r="AA641" s="88"/>
      <c r="AB641" s="88"/>
      <c r="AF641" s="90"/>
      <c r="AH641" s="85"/>
      <c r="AK641" s="91"/>
      <c r="AM641" s="92"/>
      <c r="AN641" s="92"/>
      <c r="AO641" s="92"/>
      <c r="AP641" s="92"/>
      <c r="AQ641" s="92"/>
      <c r="AR641" s="92"/>
    </row>
    <row r="642" spans="1:44" s="84" customFormat="1" ht="24" customHeight="1" x14ac:dyDescent="0.3">
      <c r="A642" s="78" t="s">
        <v>4374</v>
      </c>
      <c r="B642" s="79" t="s">
        <v>1831</v>
      </c>
      <c r="C642" s="112">
        <v>1125160</v>
      </c>
      <c r="D642" s="112">
        <v>1102872</v>
      </c>
      <c r="E642" s="112">
        <v>29277809</v>
      </c>
      <c r="F642" s="81" t="s">
        <v>4460</v>
      </c>
      <c r="G642" s="82" t="s">
        <v>4380</v>
      </c>
      <c r="H642" s="82" t="s">
        <v>4461</v>
      </c>
      <c r="I642" s="82" t="s">
        <v>3103</v>
      </c>
      <c r="J642" s="83" t="e">
        <f>VLOOKUP($C642,CHOOSE({1,2},'[4]Prestações de Conta inadimplent'!$D$9:$D$2000,'[4]Prestações de Conta inadimplent'!$C$9:$C$2000),2,0)</f>
        <v>#N/A</v>
      </c>
      <c r="L642" s="85"/>
      <c r="M642" s="85" t="e">
        <v>#REF!</v>
      </c>
      <c r="T642" s="86"/>
      <c r="U642" s="85"/>
      <c r="V642" s="87"/>
      <c r="W642" s="85"/>
      <c r="X642" s="88"/>
      <c r="Y642" s="89"/>
      <c r="Z642" s="88"/>
      <c r="AA642" s="88"/>
      <c r="AB642" s="88"/>
      <c r="AF642" s="90"/>
      <c r="AK642" s="91"/>
      <c r="AM642" s="92"/>
      <c r="AN642" s="92"/>
      <c r="AO642" s="92"/>
      <c r="AP642" s="92"/>
      <c r="AQ642" s="92"/>
      <c r="AR642" s="92"/>
    </row>
    <row r="643" spans="1:44" s="84" customFormat="1" ht="24" customHeight="1" x14ac:dyDescent="0.3">
      <c r="A643" s="78" t="s">
        <v>4374</v>
      </c>
      <c r="B643" s="79" t="s">
        <v>1831</v>
      </c>
      <c r="C643" s="112">
        <v>1125224</v>
      </c>
      <c r="D643" s="112">
        <v>1102873</v>
      </c>
      <c r="E643" s="112">
        <v>29278112</v>
      </c>
      <c r="F643" s="81" t="s">
        <v>4462</v>
      </c>
      <c r="G643" s="82" t="s">
        <v>4380</v>
      </c>
      <c r="H643" s="82" t="s">
        <v>4463</v>
      </c>
      <c r="I643" s="82" t="s">
        <v>3103</v>
      </c>
      <c r="J643" s="83" t="e">
        <f>VLOOKUP($C643,CHOOSE({1,2},'[4]Prestações de Conta inadimplent'!$D$9:$D$2000,'[4]Prestações de Conta inadimplent'!$C$9:$C$2000),2,0)</f>
        <v>#N/A</v>
      </c>
      <c r="L643" s="85"/>
      <c r="M643" s="85" t="e">
        <v>#REF!</v>
      </c>
      <c r="T643" s="86"/>
      <c r="U643" s="85"/>
      <c r="V643" s="85"/>
      <c r="W643" s="85"/>
      <c r="X643" s="88"/>
      <c r="Y643" s="89"/>
      <c r="Z643" s="89"/>
      <c r="AA643" s="88"/>
      <c r="AB643" s="88"/>
      <c r="AF643" s="90"/>
      <c r="AK643" s="91"/>
      <c r="AM643" s="92"/>
      <c r="AN643" s="92"/>
      <c r="AO643" s="92"/>
      <c r="AP643" s="92"/>
      <c r="AQ643" s="92"/>
      <c r="AR643" s="92"/>
    </row>
    <row r="644" spans="1:44" s="84" customFormat="1" ht="24" customHeight="1" x14ac:dyDescent="0.3">
      <c r="A644" s="78" t="s">
        <v>4374</v>
      </c>
      <c r="B644" s="79" t="s">
        <v>1831</v>
      </c>
      <c r="C644" s="112">
        <v>1165358</v>
      </c>
      <c r="D644" s="112">
        <v>1102907</v>
      </c>
      <c r="E644" s="112">
        <v>29279151</v>
      </c>
      <c r="F644" s="81" t="s">
        <v>4464</v>
      </c>
      <c r="G644" s="82" t="s">
        <v>4380</v>
      </c>
      <c r="H644" s="82" t="s">
        <v>4465</v>
      </c>
      <c r="I644" s="82" t="s">
        <v>3103</v>
      </c>
      <c r="J644" s="83" t="e">
        <f>VLOOKUP($C644,CHOOSE({1,2},'[4]Prestações de Conta inadimplent'!$D$9:$D$2000,'[4]Prestações de Conta inadimplent'!$C$9:$C$2000),2,0)</f>
        <v>#N/A</v>
      </c>
      <c r="L644" s="85"/>
      <c r="M644" s="85" t="e">
        <v>#REF!</v>
      </c>
      <c r="T644" s="86"/>
      <c r="U644" s="85"/>
      <c r="V644" s="87"/>
      <c r="W644" s="85"/>
      <c r="X644" s="88"/>
      <c r="Y644" s="89"/>
      <c r="Z644" s="89"/>
      <c r="AA644" s="88"/>
      <c r="AB644" s="88"/>
      <c r="AF644" s="90"/>
      <c r="AK644" s="91"/>
      <c r="AM644" s="92"/>
      <c r="AN644" s="92"/>
      <c r="AO644" s="92"/>
      <c r="AP644" s="92"/>
      <c r="AQ644" s="92"/>
      <c r="AR644" s="92"/>
    </row>
    <row r="645" spans="1:44" s="84" customFormat="1" ht="24" customHeight="1" x14ac:dyDescent="0.3">
      <c r="A645" s="78" t="s">
        <v>4374</v>
      </c>
      <c r="B645" s="79" t="s">
        <v>1831</v>
      </c>
      <c r="C645" s="112">
        <v>1125461</v>
      </c>
      <c r="D645" s="112">
        <v>1102890</v>
      </c>
      <c r="E645" s="112">
        <v>29279178</v>
      </c>
      <c r="F645" s="81" t="s">
        <v>4466</v>
      </c>
      <c r="G645" s="82" t="s">
        <v>4380</v>
      </c>
      <c r="H645" s="82" t="s">
        <v>4467</v>
      </c>
      <c r="I645" s="82" t="s">
        <v>3103</v>
      </c>
      <c r="J645" s="83" t="e">
        <f>VLOOKUP($C645,CHOOSE({1,2},'[4]Prestações de Conta inadimplent'!$D$9:$D$2000,'[4]Prestações de Conta inadimplent'!$C$9:$C$2000),2,0)</f>
        <v>#N/A</v>
      </c>
      <c r="L645" s="85"/>
      <c r="M645" s="85" t="e">
        <v>#REF!</v>
      </c>
      <c r="T645" s="86"/>
      <c r="U645" s="85"/>
      <c r="V645" s="87"/>
      <c r="W645" s="85"/>
      <c r="X645" s="88"/>
      <c r="Y645" s="89"/>
      <c r="Z645" s="88"/>
      <c r="AA645" s="88"/>
      <c r="AB645" s="88"/>
      <c r="AF645" s="90"/>
      <c r="AK645" s="91"/>
      <c r="AM645" s="92"/>
      <c r="AN645" s="92"/>
      <c r="AO645" s="92"/>
      <c r="AP645" s="92"/>
      <c r="AQ645" s="92"/>
      <c r="AR645" s="92"/>
    </row>
    <row r="646" spans="1:44" s="84" customFormat="1" ht="24" customHeight="1" x14ac:dyDescent="0.3">
      <c r="A646" s="78" t="s">
        <v>4374</v>
      </c>
      <c r="B646" s="79" t="s">
        <v>1831</v>
      </c>
      <c r="C646" s="112">
        <v>1179224</v>
      </c>
      <c r="D646" s="112">
        <v>9999999</v>
      </c>
      <c r="E646" s="112">
        <v>29456487</v>
      </c>
      <c r="F646" s="81" t="s">
        <v>4468</v>
      </c>
      <c r="G646" s="82" t="s">
        <v>4380</v>
      </c>
      <c r="H646" s="82" t="s">
        <v>4469</v>
      </c>
      <c r="I646" s="82" t="s">
        <v>3103</v>
      </c>
      <c r="J646" s="83" t="e">
        <f>VLOOKUP($C646,CHOOSE({1,2},'[4]Prestações de Conta inadimplent'!$D$9:$D$2000,'[4]Prestações de Conta inadimplent'!$C$9:$C$2000),2,0)</f>
        <v>#N/A</v>
      </c>
      <c r="L646" s="85"/>
      <c r="M646" s="85" t="e">
        <v>#REF!</v>
      </c>
      <c r="T646" s="86"/>
      <c r="U646" s="85"/>
      <c r="V646" s="87"/>
      <c r="W646" s="85"/>
      <c r="X646" s="88"/>
      <c r="Y646" s="89"/>
      <c r="Z646" s="88"/>
      <c r="AA646" s="88"/>
      <c r="AB646" s="88"/>
      <c r="AF646" s="90"/>
      <c r="AK646" s="91"/>
      <c r="AM646" s="92"/>
      <c r="AN646" s="92"/>
      <c r="AO646" s="92"/>
      <c r="AP646" s="92"/>
      <c r="AQ646" s="92"/>
      <c r="AR646" s="92"/>
    </row>
    <row r="647" spans="1:44" s="84" customFormat="1" ht="24" customHeight="1" x14ac:dyDescent="0.3">
      <c r="A647" s="78" t="s">
        <v>4374</v>
      </c>
      <c r="B647" s="79" t="s">
        <v>1831</v>
      </c>
      <c r="C647" s="112">
        <v>1125992</v>
      </c>
      <c r="D647" s="112">
        <v>1102901</v>
      </c>
      <c r="E647" s="112">
        <v>29279887</v>
      </c>
      <c r="F647" s="81" t="s">
        <v>4470</v>
      </c>
      <c r="G647" s="82" t="s">
        <v>4380</v>
      </c>
      <c r="H647" s="82" t="s">
        <v>4471</v>
      </c>
      <c r="I647" s="82" t="s">
        <v>3103</v>
      </c>
      <c r="J647" s="83" t="e">
        <f>VLOOKUP($C647,CHOOSE({1,2},'[4]Prestações de Conta inadimplent'!$D$9:$D$2000,'[4]Prestações de Conta inadimplent'!$C$9:$C$2000),2,0)</f>
        <v>#N/A</v>
      </c>
      <c r="L647" s="85"/>
      <c r="M647" s="85" t="e">
        <v>#REF!</v>
      </c>
      <c r="T647" s="86"/>
      <c r="U647" s="85"/>
      <c r="V647" s="87"/>
      <c r="W647" s="85"/>
      <c r="X647" s="88"/>
      <c r="Y647" s="89"/>
      <c r="Z647" s="88"/>
      <c r="AA647" s="88"/>
      <c r="AB647" s="88"/>
      <c r="AF647" s="90"/>
      <c r="AK647" s="91"/>
      <c r="AM647" s="92"/>
      <c r="AN647" s="92"/>
      <c r="AO647" s="92"/>
      <c r="AP647" s="92"/>
      <c r="AQ647" s="92"/>
      <c r="AR647" s="92"/>
    </row>
    <row r="648" spans="1:44" s="84" customFormat="1" ht="24" customHeight="1" x14ac:dyDescent="0.3">
      <c r="A648" s="100">
        <v>20</v>
      </c>
      <c r="B648" s="99" t="s">
        <v>1831</v>
      </c>
      <c r="C648" s="100">
        <v>1179790</v>
      </c>
      <c r="D648" s="100">
        <v>9999999</v>
      </c>
      <c r="E648" s="100">
        <v>44177</v>
      </c>
      <c r="F648" s="81" t="s">
        <v>4472</v>
      </c>
      <c r="G648" s="119" t="s">
        <v>4380</v>
      </c>
      <c r="H648" s="119" t="s">
        <v>4473</v>
      </c>
      <c r="I648" s="82" t="s">
        <v>3103</v>
      </c>
      <c r="J648" s="83" t="e">
        <f>VLOOKUP($C648,CHOOSE({1,2},'[4]Prestações de Conta inadimplent'!$D$9:$D$2000,'[4]Prestações de Conta inadimplent'!$C$9:$C$2000),2,0)</f>
        <v>#N/A</v>
      </c>
      <c r="L648" s="85"/>
      <c r="M648" s="85"/>
      <c r="T648" s="86"/>
      <c r="U648" s="85"/>
      <c r="V648" s="87"/>
      <c r="W648" s="85"/>
      <c r="X648" s="88"/>
      <c r="Y648" s="89"/>
      <c r="Z648" s="88"/>
      <c r="AA648" s="88"/>
      <c r="AB648" s="88"/>
      <c r="AF648" s="90"/>
      <c r="AK648" s="91"/>
      <c r="AM648" s="92"/>
      <c r="AN648" s="92"/>
      <c r="AO648" s="92"/>
      <c r="AP648" s="92"/>
      <c r="AQ648" s="92"/>
      <c r="AR648" s="92"/>
    </row>
    <row r="649" spans="1:44" s="84" customFormat="1" ht="24" customHeight="1" x14ac:dyDescent="0.3">
      <c r="A649" s="100">
        <v>20</v>
      </c>
      <c r="B649" s="99" t="s">
        <v>1831</v>
      </c>
      <c r="C649" s="100">
        <v>1179822</v>
      </c>
      <c r="D649" s="100">
        <v>9999999</v>
      </c>
      <c r="E649" s="100">
        <v>44414</v>
      </c>
      <c r="F649" s="120" t="s">
        <v>4474</v>
      </c>
      <c r="G649" s="119" t="s">
        <v>3192</v>
      </c>
      <c r="H649" s="119" t="s">
        <v>3192</v>
      </c>
      <c r="I649" s="82" t="s">
        <v>3103</v>
      </c>
      <c r="J649" s="83" t="e">
        <f>VLOOKUP($C649,CHOOSE({1,2},'[4]Prestações de Conta inadimplent'!$D$9:$D$2000,'[4]Prestações de Conta inadimplent'!$C$9:$C$2000),2,0)</f>
        <v>#N/A</v>
      </c>
      <c r="L649" s="85"/>
      <c r="M649" s="85"/>
      <c r="T649" s="86"/>
      <c r="U649" s="85"/>
      <c r="V649" s="87"/>
      <c r="W649" s="85"/>
      <c r="X649" s="88"/>
      <c r="Y649" s="89"/>
      <c r="Z649" s="88"/>
      <c r="AA649" s="88"/>
      <c r="AB649" s="88"/>
      <c r="AF649" s="90"/>
      <c r="AK649" s="91"/>
      <c r="AM649" s="92"/>
      <c r="AN649" s="92"/>
      <c r="AO649" s="92"/>
      <c r="AP649" s="92"/>
      <c r="AQ649" s="92"/>
      <c r="AR649" s="92"/>
    </row>
    <row r="650" spans="1:44" s="84" customFormat="1" ht="24" customHeight="1" x14ac:dyDescent="0.3">
      <c r="A650" s="78" t="s">
        <v>4475</v>
      </c>
      <c r="B650" s="79" t="s">
        <v>2744</v>
      </c>
      <c r="C650" s="112">
        <v>1178152</v>
      </c>
      <c r="D650" s="112">
        <v>1105457</v>
      </c>
      <c r="E650" s="112">
        <v>29440173</v>
      </c>
      <c r="F650" s="81" t="s">
        <v>2745</v>
      </c>
      <c r="G650" s="82" t="s">
        <v>4476</v>
      </c>
      <c r="H650" s="82" t="s">
        <v>3452</v>
      </c>
      <c r="I650" s="82" t="s">
        <v>3122</v>
      </c>
      <c r="J650" s="83" t="str">
        <f>VLOOKUP($C650,CHOOSE({1,2},'[4]Prestações de Conta inadimplent'!$D$9:$D$2000,'[4]Prestações de Conta inadimplent'!$C$9:$C$2000),2,0)</f>
        <v>Colegio Estadual Alberico Gomes Santana</v>
      </c>
      <c r="L650" s="85"/>
      <c r="M650" s="85" t="e">
        <v>#REF!</v>
      </c>
      <c r="T650" s="86"/>
      <c r="U650" s="85"/>
      <c r="V650" s="87"/>
      <c r="W650" s="85"/>
      <c r="X650" s="88"/>
      <c r="Y650" s="89"/>
      <c r="Z650" s="89"/>
      <c r="AA650" s="88"/>
      <c r="AB650" s="88"/>
      <c r="AF650" s="90"/>
      <c r="AK650" s="91"/>
      <c r="AM650" s="92"/>
      <c r="AN650" s="92"/>
      <c r="AO650" s="92"/>
      <c r="AP650" s="92"/>
      <c r="AQ650" s="92"/>
      <c r="AR650" s="92"/>
    </row>
    <row r="651" spans="1:44" s="84" customFormat="1" ht="24" customHeight="1" x14ac:dyDescent="0.3">
      <c r="A651" s="78" t="s">
        <v>4475</v>
      </c>
      <c r="B651" s="79" t="s">
        <v>974</v>
      </c>
      <c r="C651" s="112">
        <v>1135394</v>
      </c>
      <c r="D651" s="112">
        <v>1104629</v>
      </c>
      <c r="E651" s="112">
        <v>29163234</v>
      </c>
      <c r="F651" s="81" t="s">
        <v>4477</v>
      </c>
      <c r="G651" s="82" t="s">
        <v>4478</v>
      </c>
      <c r="H651" s="82" t="s">
        <v>4479</v>
      </c>
      <c r="I651" s="82" t="s">
        <v>3122</v>
      </c>
      <c r="J651" s="83" t="str">
        <f>VLOOKUP($C651,CHOOSE({1,2},'[4]Prestações de Conta inadimplent'!$D$9:$D$2000,'[4]Prestações de Conta inadimplent'!$C$9:$C$2000),2,0)</f>
        <v>Colegio Est Quilombola De Tempo Integral Da Bacia Do Iguape</v>
      </c>
      <c r="L651" s="85"/>
      <c r="M651" s="85" t="e">
        <v>#REF!</v>
      </c>
      <c r="T651" s="86"/>
      <c r="U651" s="85"/>
      <c r="V651" s="87"/>
      <c r="W651" s="85"/>
      <c r="X651" s="88"/>
      <c r="Y651" s="89"/>
      <c r="Z651" s="89"/>
      <c r="AA651" s="88"/>
      <c r="AB651" s="88"/>
      <c r="AF651" s="90"/>
      <c r="AK651" s="91"/>
      <c r="AM651" s="92"/>
      <c r="AN651" s="92"/>
      <c r="AO651" s="92"/>
      <c r="AP651" s="92"/>
      <c r="AQ651" s="92"/>
      <c r="AR651" s="92"/>
    </row>
    <row r="652" spans="1:44" s="84" customFormat="1" ht="24" customHeight="1" x14ac:dyDescent="0.3">
      <c r="A652" s="78" t="s">
        <v>4475</v>
      </c>
      <c r="B652" s="79" t="s">
        <v>974</v>
      </c>
      <c r="C652" s="112">
        <v>1133715</v>
      </c>
      <c r="D652" s="112">
        <v>1104628</v>
      </c>
      <c r="E652" s="112">
        <v>29162610</v>
      </c>
      <c r="F652" s="81" t="s">
        <v>4480</v>
      </c>
      <c r="G652" s="82" t="s">
        <v>4481</v>
      </c>
      <c r="H652" s="82" t="s">
        <v>4482</v>
      </c>
      <c r="I652" s="82" t="s">
        <v>3103</v>
      </c>
      <c r="J652" s="83" t="e">
        <f>VLOOKUP($C652,CHOOSE({1,2},'[4]Prestações de Conta inadimplent'!$D$9:$D$2000,'[4]Prestações de Conta inadimplent'!$C$9:$C$2000),2,0)</f>
        <v>#N/A</v>
      </c>
      <c r="L652" s="85"/>
      <c r="M652" s="85" t="e">
        <v>#REF!</v>
      </c>
      <c r="T652" s="86"/>
      <c r="U652" s="85"/>
      <c r="V652" s="87"/>
      <c r="W652" s="85"/>
      <c r="X652" s="88"/>
      <c r="Y652" s="89"/>
      <c r="Z652" s="89"/>
      <c r="AA652" s="88"/>
      <c r="AB652" s="88"/>
      <c r="AF652" s="90"/>
      <c r="AK652" s="91"/>
      <c r="AM652" s="92"/>
      <c r="AN652" s="92"/>
      <c r="AO652" s="92"/>
      <c r="AP652" s="92"/>
      <c r="AQ652" s="92"/>
      <c r="AR652" s="92"/>
    </row>
    <row r="653" spans="1:44" s="84" customFormat="1" ht="24" customHeight="1" x14ac:dyDescent="0.3">
      <c r="A653" s="78" t="s">
        <v>4475</v>
      </c>
      <c r="B653" s="79" t="s">
        <v>981</v>
      </c>
      <c r="C653" s="112">
        <v>1109059</v>
      </c>
      <c r="D653" s="112">
        <v>1101362</v>
      </c>
      <c r="E653" s="112">
        <v>29163374</v>
      </c>
      <c r="F653" s="81" t="s">
        <v>4483</v>
      </c>
      <c r="G653" s="82" t="s">
        <v>4021</v>
      </c>
      <c r="H653" s="82" t="s">
        <v>4484</v>
      </c>
      <c r="I653" s="82" t="s">
        <v>3122</v>
      </c>
      <c r="J653" s="83" t="str">
        <f>VLOOKUP($C653,CHOOSE({1,2},'[4]Prestações de Conta inadimplent'!$D$9:$D$2000,'[4]Prestações de Conta inadimplent'!$C$9:$C$2000),2,0)</f>
        <v>Colegio Estadual Do Campo De Castro Alves</v>
      </c>
      <c r="L653" s="85"/>
      <c r="M653" s="85" t="e">
        <v>#REF!</v>
      </c>
      <c r="T653" s="86"/>
      <c r="U653" s="85"/>
      <c r="V653" s="87"/>
      <c r="W653" s="85"/>
      <c r="X653" s="88"/>
      <c r="Y653" s="89"/>
      <c r="Z653" s="89"/>
      <c r="AA653" s="88"/>
      <c r="AB653" s="88"/>
      <c r="AF653" s="90"/>
      <c r="AK653" s="91"/>
      <c r="AM653" s="92"/>
      <c r="AN653" s="92"/>
      <c r="AO653" s="92"/>
      <c r="AP653" s="92"/>
      <c r="AQ653" s="92"/>
      <c r="AR653" s="92"/>
    </row>
    <row r="654" spans="1:44" s="84" customFormat="1" ht="24" customHeight="1" x14ac:dyDescent="0.3">
      <c r="A654" s="78" t="s">
        <v>4475</v>
      </c>
      <c r="B654" s="79" t="s">
        <v>985</v>
      </c>
      <c r="C654" s="112">
        <v>1108893</v>
      </c>
      <c r="D654" s="112">
        <v>1101370</v>
      </c>
      <c r="E654" s="112">
        <v>29164826</v>
      </c>
      <c r="F654" s="81" t="s">
        <v>4485</v>
      </c>
      <c r="G654" s="82" t="s">
        <v>3565</v>
      </c>
      <c r="H654" s="82" t="s">
        <v>4486</v>
      </c>
      <c r="I654" s="82" t="s">
        <v>3103</v>
      </c>
      <c r="J654" s="83" t="e">
        <f>VLOOKUP($C654,CHOOSE({1,2},'[4]Prestações de Conta inadimplent'!$D$9:$D$2000,'[4]Prestações de Conta inadimplent'!$C$9:$C$2000),2,0)</f>
        <v>#N/A</v>
      </c>
      <c r="L654" s="85"/>
      <c r="M654" s="85" t="e">
        <v>#REF!</v>
      </c>
      <c r="T654" s="86"/>
      <c r="U654" s="85"/>
      <c r="V654" s="87"/>
      <c r="W654" s="85"/>
      <c r="X654" s="88"/>
      <c r="Y654" s="89"/>
      <c r="Z654" s="89"/>
      <c r="AA654" s="88"/>
      <c r="AB654" s="88"/>
      <c r="AF654" s="90"/>
      <c r="AK654" s="91"/>
      <c r="AM654" s="92"/>
      <c r="AN654" s="92"/>
      <c r="AO654" s="92"/>
      <c r="AP654" s="92"/>
      <c r="AQ654" s="92"/>
      <c r="AR654" s="92"/>
    </row>
    <row r="655" spans="1:44" s="84" customFormat="1" ht="24" customHeight="1" x14ac:dyDescent="0.3">
      <c r="A655" s="78" t="s">
        <v>4475</v>
      </c>
      <c r="B655" s="79" t="s">
        <v>989</v>
      </c>
      <c r="C655" s="112">
        <v>1133405</v>
      </c>
      <c r="D655" s="112">
        <v>1104631</v>
      </c>
      <c r="E655" s="112">
        <v>29165407</v>
      </c>
      <c r="F655" s="81" t="s">
        <v>993</v>
      </c>
      <c r="G655" s="82" t="s">
        <v>4476</v>
      </c>
      <c r="H655" s="82" t="s">
        <v>4487</v>
      </c>
      <c r="I655" s="82" t="s">
        <v>3103</v>
      </c>
      <c r="J655" s="83" t="e">
        <f>VLOOKUP($C655,CHOOSE({1,2},'[4]Prestações de Conta inadimplent'!$D$9:$D$2000,'[4]Prestações de Conta inadimplent'!$C$9:$C$2000),2,0)</f>
        <v>#N/A</v>
      </c>
      <c r="L655" s="85"/>
      <c r="M655" s="85" t="e">
        <v>#REF!</v>
      </c>
      <c r="T655" s="86"/>
      <c r="U655" s="85"/>
      <c r="V655" s="87"/>
      <c r="W655" s="85"/>
      <c r="X655" s="88"/>
      <c r="Y655" s="89"/>
      <c r="Z655" s="88"/>
      <c r="AA655" s="88"/>
      <c r="AB655" s="88"/>
      <c r="AF655" s="90"/>
      <c r="AH655" s="85"/>
      <c r="AK655" s="91"/>
      <c r="AM655" s="92"/>
      <c r="AN655" s="92"/>
      <c r="AO655" s="92"/>
      <c r="AP655" s="92"/>
      <c r="AQ655" s="92"/>
      <c r="AR655" s="92"/>
    </row>
    <row r="656" spans="1:44" s="84" customFormat="1" ht="24" customHeight="1" x14ac:dyDescent="0.3">
      <c r="A656" s="78" t="s">
        <v>4475</v>
      </c>
      <c r="B656" s="79" t="s">
        <v>989</v>
      </c>
      <c r="C656" s="112">
        <v>1133502</v>
      </c>
      <c r="D656" s="112">
        <v>1104635</v>
      </c>
      <c r="E656" s="112">
        <v>29165555</v>
      </c>
      <c r="F656" s="81" t="s">
        <v>996</v>
      </c>
      <c r="G656" s="82" t="s">
        <v>4476</v>
      </c>
      <c r="H656" s="82" t="s">
        <v>4488</v>
      </c>
      <c r="I656" s="82" t="s">
        <v>3103</v>
      </c>
      <c r="J656" s="83" t="e">
        <f>VLOOKUP($C656,CHOOSE({1,2},'[4]Prestações de Conta inadimplent'!$D$9:$D$2000,'[4]Prestações de Conta inadimplent'!$C$9:$C$2000),2,0)</f>
        <v>#N/A</v>
      </c>
      <c r="L656" s="85"/>
      <c r="M656" s="85" t="e">
        <v>#REF!</v>
      </c>
      <c r="T656" s="86"/>
      <c r="U656" s="85"/>
      <c r="V656" s="87"/>
      <c r="W656" s="85"/>
      <c r="X656" s="88"/>
      <c r="Y656" s="89"/>
      <c r="Z656" s="89"/>
      <c r="AA656" s="88"/>
      <c r="AB656" s="88"/>
      <c r="AF656" s="90"/>
      <c r="AK656" s="91"/>
      <c r="AM656" s="92"/>
      <c r="AN656" s="92"/>
      <c r="AO656" s="92"/>
      <c r="AP656" s="92"/>
      <c r="AQ656" s="92"/>
      <c r="AR656" s="92"/>
    </row>
    <row r="657" spans="1:44" s="84" customFormat="1" ht="24" customHeight="1" x14ac:dyDescent="0.3">
      <c r="A657" s="78" t="s">
        <v>4475</v>
      </c>
      <c r="B657" s="79" t="s">
        <v>989</v>
      </c>
      <c r="C657" s="112">
        <v>1176464</v>
      </c>
      <c r="D657" s="112">
        <v>1104647</v>
      </c>
      <c r="E657" s="112">
        <v>29391466</v>
      </c>
      <c r="F657" s="81" t="s">
        <v>2327</v>
      </c>
      <c r="G657" s="82" t="s">
        <v>4476</v>
      </c>
      <c r="H657" s="82" t="s">
        <v>4489</v>
      </c>
      <c r="I657" s="82" t="s">
        <v>3103</v>
      </c>
      <c r="J657" s="83" t="e">
        <f>VLOOKUP($C657,CHOOSE({1,2},'[4]Prestações de Conta inadimplent'!$D$9:$D$2000,'[4]Prestações de Conta inadimplent'!$C$9:$C$2000),2,0)</f>
        <v>#N/A</v>
      </c>
      <c r="L657" s="85"/>
      <c r="M657" s="85" t="e">
        <v>#REF!</v>
      </c>
      <c r="T657" s="86"/>
      <c r="U657" s="85"/>
      <c r="V657" s="87"/>
      <c r="W657" s="85"/>
      <c r="X657" s="88"/>
      <c r="Y657" s="89"/>
      <c r="Z657" s="89"/>
      <c r="AA657" s="88"/>
      <c r="AB657" s="88"/>
      <c r="AF657" s="90"/>
      <c r="AK657" s="91"/>
      <c r="AM657" s="92"/>
      <c r="AN657" s="92"/>
      <c r="AO657" s="92"/>
      <c r="AP657" s="92"/>
      <c r="AQ657" s="92"/>
      <c r="AR657" s="92"/>
    </row>
    <row r="658" spans="1:44" s="84" customFormat="1" ht="24" customHeight="1" x14ac:dyDescent="0.3">
      <c r="A658" s="78" t="s">
        <v>4475</v>
      </c>
      <c r="B658" s="79" t="s">
        <v>989</v>
      </c>
      <c r="C658" s="112">
        <v>1133618</v>
      </c>
      <c r="D658" s="112">
        <v>1104641</v>
      </c>
      <c r="E658" s="112">
        <v>29165253</v>
      </c>
      <c r="F658" s="81" t="s">
        <v>4490</v>
      </c>
      <c r="G658" s="82" t="s">
        <v>4476</v>
      </c>
      <c r="H658" s="82" t="s">
        <v>4491</v>
      </c>
      <c r="I658" s="82" t="s">
        <v>3103</v>
      </c>
      <c r="J658" s="83" t="e">
        <f>VLOOKUP($C658,CHOOSE({1,2},'[4]Prestações de Conta inadimplent'!$D$9:$D$2000,'[4]Prestações de Conta inadimplent'!$C$9:$C$2000),2,0)</f>
        <v>#N/A</v>
      </c>
      <c r="L658" s="85"/>
      <c r="M658" s="85" t="e">
        <v>#REF!</v>
      </c>
      <c r="T658" s="86"/>
      <c r="U658" s="85"/>
      <c r="V658" s="87"/>
      <c r="W658" s="85"/>
      <c r="X658" s="88"/>
      <c r="Y658" s="89"/>
      <c r="Z658" s="89"/>
      <c r="AA658" s="88"/>
      <c r="AB658" s="88"/>
      <c r="AF658" s="90"/>
      <c r="AK658" s="91"/>
      <c r="AM658" s="92"/>
      <c r="AN658" s="92"/>
      <c r="AO658" s="92"/>
      <c r="AP658" s="92"/>
      <c r="AQ658" s="92"/>
      <c r="AR658" s="92"/>
    </row>
    <row r="659" spans="1:44" s="84" customFormat="1" ht="24" customHeight="1" x14ac:dyDescent="0.3">
      <c r="A659" s="78" t="s">
        <v>4475</v>
      </c>
      <c r="B659" s="79" t="s">
        <v>999</v>
      </c>
      <c r="C659" s="112">
        <v>1109164</v>
      </c>
      <c r="D659" s="112">
        <v>1101382</v>
      </c>
      <c r="E659" s="112">
        <v>29166063</v>
      </c>
      <c r="F659" s="81" t="s">
        <v>4492</v>
      </c>
      <c r="G659" s="82" t="s">
        <v>3565</v>
      </c>
      <c r="H659" s="82" t="s">
        <v>4493</v>
      </c>
      <c r="I659" s="82" t="s">
        <v>3103</v>
      </c>
      <c r="J659" s="83" t="e">
        <f>VLOOKUP($C659,CHOOSE({1,2},'[4]Prestações de Conta inadimplent'!$D$9:$D$2000,'[4]Prestações de Conta inadimplent'!$C$9:$C$2000),2,0)</f>
        <v>#N/A</v>
      </c>
      <c r="L659" s="85"/>
      <c r="M659" s="85" t="e">
        <v>#REF!</v>
      </c>
      <c r="T659" s="86"/>
      <c r="U659" s="85"/>
      <c r="V659" s="87"/>
      <c r="W659" s="85"/>
      <c r="X659" s="88"/>
      <c r="Y659" s="89"/>
      <c r="Z659" s="89"/>
      <c r="AA659" s="88"/>
      <c r="AB659" s="88"/>
      <c r="AF659" s="90"/>
      <c r="AK659" s="91"/>
      <c r="AM659" s="92"/>
      <c r="AN659" s="92"/>
      <c r="AO659" s="92"/>
      <c r="AP659" s="92"/>
      <c r="AQ659" s="92"/>
      <c r="AR659" s="92"/>
    </row>
    <row r="660" spans="1:44" s="84" customFormat="1" ht="24" customHeight="1" x14ac:dyDescent="0.3">
      <c r="A660" s="78" t="s">
        <v>4475</v>
      </c>
      <c r="B660" s="79" t="s">
        <v>1003</v>
      </c>
      <c r="C660" s="112">
        <v>1134029</v>
      </c>
      <c r="D660" s="112">
        <v>1104650</v>
      </c>
      <c r="E660" s="112">
        <v>29166314</v>
      </c>
      <c r="F660" s="81" t="s">
        <v>4494</v>
      </c>
      <c r="G660" s="82" t="s">
        <v>4495</v>
      </c>
      <c r="H660" s="82" t="s">
        <v>4496</v>
      </c>
      <c r="I660" s="82" t="s">
        <v>3103</v>
      </c>
      <c r="J660" s="83" t="e">
        <f>VLOOKUP($C660,CHOOSE({1,2},'[4]Prestações de Conta inadimplent'!$D$9:$D$2000,'[4]Prestações de Conta inadimplent'!$C$9:$C$2000),2,0)</f>
        <v>#N/A</v>
      </c>
      <c r="L660" s="85"/>
      <c r="M660" s="85" t="e">
        <v>#REF!</v>
      </c>
      <c r="T660" s="86"/>
      <c r="U660" s="85"/>
      <c r="V660" s="87"/>
      <c r="W660" s="85"/>
      <c r="X660" s="88"/>
      <c r="Y660" s="89"/>
      <c r="Z660" s="89"/>
      <c r="AA660" s="88"/>
      <c r="AB660" s="88"/>
      <c r="AF660" s="90"/>
      <c r="AK660" s="91"/>
      <c r="AM660" s="92"/>
      <c r="AN660" s="92"/>
      <c r="AO660" s="92"/>
      <c r="AP660" s="92"/>
      <c r="AQ660" s="92"/>
      <c r="AR660" s="92"/>
    </row>
    <row r="661" spans="1:44" s="84" customFormat="1" ht="24" customHeight="1" x14ac:dyDescent="0.3">
      <c r="A661" s="78" t="s">
        <v>4475</v>
      </c>
      <c r="B661" s="79" t="s">
        <v>1011</v>
      </c>
      <c r="C661" s="112">
        <v>1178153</v>
      </c>
      <c r="D661" s="112">
        <v>1105453</v>
      </c>
      <c r="E661" s="112">
        <v>29444896</v>
      </c>
      <c r="F661" s="81" t="s">
        <v>4497</v>
      </c>
      <c r="G661" s="82" t="s">
        <v>4498</v>
      </c>
      <c r="H661" s="82" t="s">
        <v>4499</v>
      </c>
      <c r="I661" s="82" t="s">
        <v>3122</v>
      </c>
      <c r="J661" s="83" t="str">
        <f>VLOOKUP($C661,CHOOSE({1,2},'[4]Prestações de Conta inadimplent'!$D$9:$D$2000,'[4]Prestações de Conta inadimplent'!$C$9:$C$2000),2,0)</f>
        <v>Colegio Estadual Do Campo Nossa Senhora Da Conceicao</v>
      </c>
      <c r="L661" s="85"/>
      <c r="M661" s="85" t="e">
        <v>#REF!</v>
      </c>
      <c r="T661" s="86"/>
      <c r="U661" s="85"/>
      <c r="V661" s="87"/>
      <c r="W661" s="85"/>
      <c r="X661" s="88"/>
      <c r="Y661" s="89"/>
      <c r="Z661" s="89"/>
      <c r="AA661" s="88"/>
      <c r="AB661" s="88"/>
      <c r="AF661" s="90"/>
      <c r="AK661" s="91"/>
      <c r="AM661" s="92"/>
      <c r="AN661" s="92"/>
      <c r="AO661" s="92"/>
      <c r="AP661" s="92"/>
      <c r="AQ661" s="92"/>
      <c r="AR661" s="92"/>
    </row>
    <row r="662" spans="1:44" s="84" customFormat="1" ht="24" customHeight="1" x14ac:dyDescent="0.3">
      <c r="A662" s="78" t="s">
        <v>4475</v>
      </c>
      <c r="B662" s="79" t="s">
        <v>1011</v>
      </c>
      <c r="C662" s="112">
        <v>1133863</v>
      </c>
      <c r="D662" s="112">
        <v>1104662</v>
      </c>
      <c r="E662" s="112">
        <v>29167388</v>
      </c>
      <c r="F662" s="81" t="s">
        <v>4500</v>
      </c>
      <c r="G662" s="82" t="s">
        <v>4498</v>
      </c>
      <c r="H662" s="82" t="s">
        <v>4501</v>
      </c>
      <c r="I662" s="82" t="s">
        <v>3122</v>
      </c>
      <c r="J662" s="83" t="str">
        <f>VLOOKUP($C662,CHOOSE({1,2},'[4]Prestações de Conta inadimplent'!$D$9:$D$2000,'[4]Prestações de Conta inadimplent'!$C$9:$C$2000),2,0)</f>
        <v>Colegio Estadual De Tempo Integral De Maragogipe - Cetim (antigo Gerhard Meyer Suerdieck)</v>
      </c>
      <c r="L662" s="85"/>
      <c r="M662" s="85" t="e">
        <v>#REF!</v>
      </c>
      <c r="T662" s="86"/>
      <c r="U662" s="85"/>
      <c r="V662" s="87"/>
      <c r="W662" s="85"/>
      <c r="X662" s="88"/>
      <c r="Y662" s="89"/>
      <c r="Z662" s="89"/>
      <c r="AA662" s="88"/>
      <c r="AB662" s="88"/>
      <c r="AF662" s="90"/>
      <c r="AK662" s="91"/>
      <c r="AM662" s="92"/>
      <c r="AN662" s="92"/>
      <c r="AO662" s="92"/>
      <c r="AP662" s="92"/>
      <c r="AQ662" s="92"/>
      <c r="AR662" s="92"/>
    </row>
    <row r="663" spans="1:44" s="84" customFormat="1" ht="24" customHeight="1" x14ac:dyDescent="0.3">
      <c r="A663" s="78" t="s">
        <v>4475</v>
      </c>
      <c r="B663" s="79" t="s">
        <v>1011</v>
      </c>
      <c r="C663" s="112">
        <v>1166222</v>
      </c>
      <c r="D663" s="112">
        <v>1104665</v>
      </c>
      <c r="E663" s="112">
        <v>29168775</v>
      </c>
      <c r="F663" s="81" t="s">
        <v>4502</v>
      </c>
      <c r="G663" s="82" t="s">
        <v>4498</v>
      </c>
      <c r="H663" s="82" t="s">
        <v>4503</v>
      </c>
      <c r="I663" s="82" t="s">
        <v>3103</v>
      </c>
      <c r="J663" s="83" t="e">
        <f>VLOOKUP($C663,CHOOSE({1,2},'[4]Prestações de Conta inadimplent'!$D$9:$D$2000,'[4]Prestações de Conta inadimplent'!$C$9:$C$2000),2,0)</f>
        <v>#N/A</v>
      </c>
      <c r="L663" s="85"/>
      <c r="M663" s="85" t="e">
        <v>#REF!</v>
      </c>
      <c r="T663" s="86"/>
      <c r="U663" s="85"/>
      <c r="V663" s="87"/>
      <c r="W663" s="85"/>
      <c r="X663" s="88"/>
      <c r="Y663" s="89"/>
      <c r="Z663" s="89"/>
      <c r="AA663" s="88"/>
      <c r="AB663" s="88"/>
      <c r="AF663" s="90"/>
      <c r="AK663" s="91"/>
      <c r="AM663" s="92"/>
      <c r="AN663" s="92"/>
      <c r="AO663" s="92"/>
      <c r="AP663" s="92"/>
      <c r="AQ663" s="92"/>
      <c r="AR663" s="92"/>
    </row>
    <row r="664" spans="1:44" s="84" customFormat="1" ht="24" customHeight="1" x14ac:dyDescent="0.3">
      <c r="A664" s="78" t="s">
        <v>4475</v>
      </c>
      <c r="B664" s="79" t="s">
        <v>1011</v>
      </c>
      <c r="C664" s="112">
        <v>1176201</v>
      </c>
      <c r="D664" s="112">
        <v>1104668</v>
      </c>
      <c r="E664" s="112">
        <v>29375983</v>
      </c>
      <c r="F664" s="81" t="s">
        <v>4504</v>
      </c>
      <c r="G664" s="82" t="s">
        <v>4498</v>
      </c>
      <c r="H664" s="82" t="s">
        <v>4505</v>
      </c>
      <c r="I664" s="82" t="s">
        <v>3122</v>
      </c>
      <c r="J664" s="83" t="str">
        <f>VLOOKUP($C664,CHOOSE({1,2},'[4]Prestações de Conta inadimplent'!$D$9:$D$2000,'[4]Prestações de Conta inadimplent'!$C$9:$C$2000),2,0)</f>
        <v>Centro Estadual De Educacao Profissional Do Vale Do Paraguacu</v>
      </c>
      <c r="L664" s="85"/>
      <c r="M664" s="85" t="e">
        <v>#REF!</v>
      </c>
      <c r="T664" s="86"/>
      <c r="U664" s="85"/>
      <c r="V664" s="87"/>
      <c r="W664" s="85"/>
      <c r="X664" s="88"/>
      <c r="Y664" s="89"/>
      <c r="Z664" s="89"/>
      <c r="AA664" s="88"/>
      <c r="AB664" s="88"/>
      <c r="AF664" s="90"/>
      <c r="AK664" s="91"/>
      <c r="AM664" s="92"/>
      <c r="AN664" s="92"/>
      <c r="AO664" s="92"/>
      <c r="AP664" s="92"/>
      <c r="AQ664" s="92"/>
      <c r="AR664" s="92"/>
    </row>
    <row r="665" spans="1:44" s="84" customFormat="1" ht="24" customHeight="1" x14ac:dyDescent="0.3">
      <c r="A665" s="78" t="s">
        <v>4475</v>
      </c>
      <c r="B665" s="79" t="s">
        <v>2761</v>
      </c>
      <c r="C665" s="112">
        <v>1178143</v>
      </c>
      <c r="D665" s="112">
        <v>1105463</v>
      </c>
      <c r="E665" s="112">
        <v>29441641</v>
      </c>
      <c r="F665" s="81" t="s">
        <v>4506</v>
      </c>
      <c r="G665" s="82" t="s">
        <v>3565</v>
      </c>
      <c r="H665" s="82" t="s">
        <v>4507</v>
      </c>
      <c r="I665" s="82" t="s">
        <v>3103</v>
      </c>
      <c r="J665" s="83" t="e">
        <f>VLOOKUP($C665,CHOOSE({1,2},'[4]Prestações de Conta inadimplent'!$D$9:$D$2000,'[4]Prestações de Conta inadimplent'!$C$9:$C$2000),2,0)</f>
        <v>#N/A</v>
      </c>
      <c r="L665" s="85"/>
      <c r="M665" s="85" t="e">
        <v>#REF!</v>
      </c>
      <c r="T665" s="86"/>
      <c r="U665" s="85"/>
      <c r="V665" s="87"/>
      <c r="W665" s="85"/>
      <c r="X665" s="88"/>
      <c r="Y665" s="89"/>
      <c r="Z665" s="89"/>
      <c r="AA665" s="88"/>
      <c r="AB665" s="88"/>
      <c r="AF665" s="90"/>
      <c r="AK665" s="91"/>
      <c r="AM665" s="92"/>
      <c r="AN665" s="92"/>
      <c r="AO665" s="92"/>
      <c r="AP665" s="92"/>
      <c r="AQ665" s="92"/>
      <c r="AR665" s="92"/>
    </row>
    <row r="666" spans="1:44" s="84" customFormat="1" ht="24" customHeight="1" x14ac:dyDescent="0.3">
      <c r="A666" s="78" t="s">
        <v>4475</v>
      </c>
      <c r="B666" s="79" t="s">
        <v>1015</v>
      </c>
      <c r="C666" s="112">
        <v>1178001</v>
      </c>
      <c r="D666" s="112">
        <v>1104681</v>
      </c>
      <c r="E666" s="112">
        <v>29417287</v>
      </c>
      <c r="F666" s="81" t="s">
        <v>2470</v>
      </c>
      <c r="G666" s="82" t="s">
        <v>4508</v>
      </c>
      <c r="H666" s="82" t="s">
        <v>4509</v>
      </c>
      <c r="I666" s="82" t="s">
        <v>3122</v>
      </c>
      <c r="J666" s="83" t="str">
        <f>VLOOKUP($C666,CHOOSE({1,2},'[4]Prestações de Conta inadimplent'!$D$9:$D$2000,'[4]Prestações de Conta inadimplent'!$C$9:$C$2000),2,0)</f>
        <v>Colegio Estadual Do Campo Manoel Benedito Mascarenhas</v>
      </c>
      <c r="L666" s="85"/>
      <c r="M666" s="85" t="e">
        <v>#REF!</v>
      </c>
      <c r="T666" s="86"/>
      <c r="U666" s="85"/>
      <c r="V666" s="87"/>
      <c r="W666" s="85"/>
      <c r="X666" s="88"/>
      <c r="Y666" s="89"/>
      <c r="Z666" s="88"/>
      <c r="AA666" s="88"/>
      <c r="AB666" s="88"/>
      <c r="AF666" s="90"/>
      <c r="AK666" s="91"/>
      <c r="AM666" s="92"/>
      <c r="AN666" s="92"/>
      <c r="AO666" s="92"/>
      <c r="AP666" s="92"/>
      <c r="AQ666" s="92"/>
      <c r="AR666" s="92"/>
    </row>
    <row r="667" spans="1:44" s="84" customFormat="1" ht="24" customHeight="1" x14ac:dyDescent="0.3">
      <c r="A667" s="78" t="s">
        <v>4475</v>
      </c>
      <c r="B667" s="79" t="s">
        <v>1015</v>
      </c>
      <c r="C667" s="112">
        <v>1135610</v>
      </c>
      <c r="D667" s="112">
        <v>1104680</v>
      </c>
      <c r="E667" s="112">
        <v>29169160</v>
      </c>
      <c r="F667" s="81" t="s">
        <v>1016</v>
      </c>
      <c r="G667" s="82" t="s">
        <v>4508</v>
      </c>
      <c r="H667" s="82" t="s">
        <v>4510</v>
      </c>
      <c r="I667" s="82" t="s">
        <v>3103</v>
      </c>
      <c r="J667" s="83" t="e">
        <f>VLOOKUP($C667,CHOOSE({1,2},'[4]Prestações de Conta inadimplent'!$D$9:$D$2000,'[4]Prestações de Conta inadimplent'!$C$9:$C$2000),2,0)</f>
        <v>#N/A</v>
      </c>
      <c r="L667" s="85"/>
      <c r="M667" s="85" t="e">
        <v>#REF!</v>
      </c>
      <c r="T667" s="86"/>
      <c r="U667" s="85"/>
      <c r="V667" s="87"/>
      <c r="W667" s="85"/>
      <c r="X667" s="88"/>
      <c r="Y667" s="89"/>
      <c r="Z667" s="89"/>
      <c r="AA667" s="88"/>
      <c r="AB667" s="88"/>
      <c r="AF667" s="90"/>
      <c r="AK667" s="91"/>
      <c r="AM667" s="92"/>
      <c r="AN667" s="92"/>
      <c r="AO667" s="92"/>
      <c r="AP667" s="92"/>
      <c r="AQ667" s="92"/>
      <c r="AR667" s="92"/>
    </row>
    <row r="668" spans="1:44" s="84" customFormat="1" ht="24" customHeight="1" x14ac:dyDescent="0.3">
      <c r="A668" s="78" t="s">
        <v>4475</v>
      </c>
      <c r="B668" s="79" t="s">
        <v>1019</v>
      </c>
      <c r="C668" s="112">
        <v>1145691</v>
      </c>
      <c r="D668" s="112">
        <v>1101426</v>
      </c>
      <c r="E668" s="112">
        <v>29169607</v>
      </c>
      <c r="F668" s="81" t="s">
        <v>1020</v>
      </c>
      <c r="G668" s="82" t="s">
        <v>3543</v>
      </c>
      <c r="H668" s="82" t="s">
        <v>3620</v>
      </c>
      <c r="I668" s="82" t="s">
        <v>3122</v>
      </c>
      <c r="J668" s="83" t="str">
        <f>VLOOKUP($C668,CHOOSE({1,2},'[4]Prestações de Conta inadimplent'!$D$9:$D$2000,'[4]Prestações de Conta inadimplent'!$C$9:$C$2000),2,0)</f>
        <v>Colegio Estadual Doutor Jose Marcelino De Souza</v>
      </c>
      <c r="L668" s="85"/>
      <c r="M668" s="85" t="e">
        <v>#REF!</v>
      </c>
      <c r="T668" s="86"/>
      <c r="U668" s="85"/>
      <c r="V668" s="87"/>
      <c r="W668" s="85"/>
      <c r="X668" s="88"/>
      <c r="Y668" s="89"/>
      <c r="Z668" s="89"/>
      <c r="AA668" s="88"/>
      <c r="AB668" s="88"/>
      <c r="AF668" s="90"/>
      <c r="AK668" s="91"/>
      <c r="AM668" s="92"/>
      <c r="AN668" s="92"/>
      <c r="AO668" s="92"/>
      <c r="AP668" s="92"/>
      <c r="AQ668" s="92"/>
      <c r="AR668" s="92"/>
    </row>
    <row r="669" spans="1:44" s="84" customFormat="1" ht="24" customHeight="1" x14ac:dyDescent="0.3">
      <c r="A669" s="78" t="s">
        <v>4475</v>
      </c>
      <c r="B669" s="79" t="s">
        <v>1019</v>
      </c>
      <c r="C669" s="112">
        <v>1109326</v>
      </c>
      <c r="D669" s="112">
        <v>1101423</v>
      </c>
      <c r="E669" s="112">
        <v>29169615</v>
      </c>
      <c r="F669" s="81" t="s">
        <v>3960</v>
      </c>
      <c r="G669" s="82" t="s">
        <v>3543</v>
      </c>
      <c r="H669" s="82" t="s">
        <v>4511</v>
      </c>
      <c r="I669" s="82" t="s">
        <v>3122</v>
      </c>
      <c r="J669" s="83" t="str">
        <f>VLOOKUP($C669,CHOOSE({1,2},'[4]Prestações de Conta inadimplent'!$D$9:$D$2000,'[4]Prestações de Conta inadimplent'!$C$9:$C$2000),2,0)</f>
        <v>Colegio Estadual Governador Luiz Viana Filho</v>
      </c>
      <c r="L669" s="85"/>
      <c r="M669" s="85" t="e">
        <v>#REF!</v>
      </c>
      <c r="T669" s="86"/>
      <c r="U669" s="85"/>
      <c r="V669" s="87"/>
      <c r="W669" s="85"/>
      <c r="X669" s="88"/>
      <c r="Y669" s="89"/>
      <c r="Z669" s="89"/>
      <c r="AA669" s="88"/>
      <c r="AB669" s="88"/>
      <c r="AF669" s="90"/>
      <c r="AK669" s="91"/>
      <c r="AM669" s="92"/>
      <c r="AN669" s="92"/>
      <c r="AO669" s="92"/>
      <c r="AP669" s="92"/>
      <c r="AQ669" s="92"/>
      <c r="AR669" s="92"/>
    </row>
    <row r="670" spans="1:44" s="84" customFormat="1" ht="24" customHeight="1" x14ac:dyDescent="0.3">
      <c r="A670" s="78" t="s">
        <v>4475</v>
      </c>
      <c r="B670" s="79" t="s">
        <v>2388</v>
      </c>
      <c r="C670" s="112">
        <v>1176467</v>
      </c>
      <c r="D670" s="112">
        <v>1101439</v>
      </c>
      <c r="E670" s="112">
        <v>29400220</v>
      </c>
      <c r="F670" s="81" t="s">
        <v>2389</v>
      </c>
      <c r="G670" s="82" t="s">
        <v>4512</v>
      </c>
      <c r="H670" s="82" t="s">
        <v>4513</v>
      </c>
      <c r="I670" s="82" t="s">
        <v>3122</v>
      </c>
      <c r="J670" s="83" t="str">
        <f>VLOOKUP($C670,CHOOSE({1,2},'[4]Prestações de Conta inadimplent'!$D$9:$D$2000,'[4]Prestações de Conta inadimplent'!$C$9:$C$2000),2,0)</f>
        <v>Colegio Estadual De Tempo Integral De Salinas Da Margarida</v>
      </c>
      <c r="K670" s="96"/>
      <c r="L670" s="85"/>
      <c r="M670" s="85" t="e">
        <v>#REF!</v>
      </c>
      <c r="T670" s="86"/>
      <c r="U670" s="85"/>
      <c r="V670" s="87"/>
      <c r="W670" s="85"/>
      <c r="X670" s="88"/>
      <c r="Y670" s="89"/>
      <c r="Z670" s="89"/>
      <c r="AA670" s="88"/>
      <c r="AB670" s="88"/>
      <c r="AF670" s="90"/>
      <c r="AK670" s="91"/>
      <c r="AM670" s="92"/>
      <c r="AN670" s="92"/>
      <c r="AO670" s="92"/>
      <c r="AP670" s="92"/>
      <c r="AQ670" s="92"/>
      <c r="AR670" s="92"/>
    </row>
    <row r="671" spans="1:44" s="84" customFormat="1" ht="24" customHeight="1" x14ac:dyDescent="0.3">
      <c r="A671" s="78" t="s">
        <v>4475</v>
      </c>
      <c r="B671" s="79" t="s">
        <v>1025</v>
      </c>
      <c r="C671" s="112">
        <v>1134665</v>
      </c>
      <c r="D671" s="112">
        <v>1103852</v>
      </c>
      <c r="E671" s="112">
        <v>29170877</v>
      </c>
      <c r="F671" s="81" t="s">
        <v>4514</v>
      </c>
      <c r="G671" s="82" t="s">
        <v>4515</v>
      </c>
      <c r="H671" s="82" t="s">
        <v>4516</v>
      </c>
      <c r="I671" s="82" t="s">
        <v>3122</v>
      </c>
      <c r="J671" s="83" t="str">
        <f>VLOOKUP($C671,CHOOSE({1,2},'[4]Prestações de Conta inadimplent'!$D$9:$D$2000,'[4]Prestações de Conta inadimplent'!$C$9:$C$2000),2,0)</f>
        <v>Centro Est De Educ Profissional Em Turismo Do Leste Baiano</v>
      </c>
      <c r="L671" s="85"/>
      <c r="M671" s="85" t="e">
        <v>#REF!</v>
      </c>
      <c r="T671" s="86"/>
      <c r="U671" s="85"/>
      <c r="V671" s="87"/>
      <c r="W671" s="85"/>
      <c r="X671" s="88"/>
      <c r="Y671" s="89"/>
      <c r="Z671" s="89"/>
      <c r="AA671" s="88"/>
      <c r="AB671" s="88"/>
      <c r="AF671" s="90"/>
      <c r="AK671" s="91"/>
      <c r="AM671" s="92"/>
      <c r="AN671" s="92"/>
      <c r="AO671" s="92"/>
      <c r="AP671" s="92"/>
      <c r="AQ671" s="92"/>
      <c r="AR671" s="92"/>
    </row>
    <row r="672" spans="1:44" s="84" customFormat="1" ht="24" customHeight="1" x14ac:dyDescent="0.3">
      <c r="A672" s="78" t="s">
        <v>4475</v>
      </c>
      <c r="B672" s="79" t="s">
        <v>1025</v>
      </c>
      <c r="C672" s="112">
        <v>1134568</v>
      </c>
      <c r="D672" s="112">
        <v>1103851</v>
      </c>
      <c r="E672" s="112">
        <v>29170583</v>
      </c>
      <c r="F672" s="81" t="s">
        <v>4517</v>
      </c>
      <c r="G672" s="82" t="s">
        <v>4515</v>
      </c>
      <c r="H672" s="82" t="s">
        <v>4518</v>
      </c>
      <c r="I672" s="82" t="s">
        <v>3122</v>
      </c>
      <c r="J672" s="83" t="str">
        <f>VLOOKUP($C672,CHOOSE({1,2},'[4]Prestações de Conta inadimplent'!$D$9:$D$2000,'[4]Prestações de Conta inadimplent'!$C$9:$C$2000),2,0)</f>
        <v>Colegio Estadual De Tempo Integral Teodoro Sampaio</v>
      </c>
      <c r="L672" s="85"/>
      <c r="M672" s="85" t="e">
        <v>#REF!</v>
      </c>
      <c r="T672" s="86"/>
      <c r="U672" s="85"/>
      <c r="V672" s="87"/>
      <c r="W672" s="85"/>
      <c r="X672" s="88"/>
      <c r="Y672" s="89"/>
      <c r="Z672" s="89"/>
      <c r="AA672" s="88"/>
      <c r="AB672" s="88"/>
      <c r="AF672" s="90"/>
      <c r="AK672" s="91"/>
      <c r="AM672" s="92"/>
      <c r="AN672" s="92"/>
      <c r="AO672" s="92"/>
      <c r="AP672" s="92"/>
      <c r="AQ672" s="92"/>
      <c r="AR672" s="92"/>
    </row>
    <row r="673" spans="1:44" s="84" customFormat="1" ht="24" customHeight="1" x14ac:dyDescent="0.3">
      <c r="A673" s="78" t="s">
        <v>4475</v>
      </c>
      <c r="B673" s="79" t="s">
        <v>1025</v>
      </c>
      <c r="C673" s="112">
        <v>1178052</v>
      </c>
      <c r="D673" s="112">
        <v>1103856</v>
      </c>
      <c r="E673" s="112">
        <v>29426383</v>
      </c>
      <c r="F673" s="81" t="s">
        <v>1519</v>
      </c>
      <c r="G673" s="82" t="s">
        <v>4515</v>
      </c>
      <c r="H673" s="82" t="s">
        <v>4519</v>
      </c>
      <c r="I673" s="82" t="s">
        <v>3103</v>
      </c>
      <c r="J673" s="83" t="e">
        <f>VLOOKUP($C673,CHOOSE({1,2},'[4]Prestações de Conta inadimplent'!$D$9:$D$2000,'[4]Prestações de Conta inadimplent'!$C$9:$C$2000),2,0)</f>
        <v>#N/A</v>
      </c>
      <c r="L673" s="85"/>
      <c r="M673" s="85" t="e">
        <v>#REF!</v>
      </c>
      <c r="T673" s="86"/>
      <c r="U673" s="85"/>
      <c r="V673" s="87"/>
      <c r="W673" s="85"/>
      <c r="X673" s="88"/>
      <c r="Y673" s="89"/>
      <c r="Z673" s="89"/>
      <c r="AA673" s="88"/>
      <c r="AB673" s="88"/>
      <c r="AF673" s="90"/>
      <c r="AH673" s="85"/>
      <c r="AK673" s="91"/>
      <c r="AM673" s="92"/>
      <c r="AN673" s="92"/>
      <c r="AO673" s="92"/>
      <c r="AP673" s="92"/>
      <c r="AQ673" s="92"/>
      <c r="AR673" s="92"/>
    </row>
    <row r="674" spans="1:44" s="84" customFormat="1" ht="24" customHeight="1" x14ac:dyDescent="0.3">
      <c r="A674" s="78" t="s">
        <v>4475</v>
      </c>
      <c r="B674" s="79" t="s">
        <v>1025</v>
      </c>
      <c r="C674" s="112">
        <v>1178262</v>
      </c>
      <c r="D674" s="112">
        <v>1105503</v>
      </c>
      <c r="E674" s="112">
        <v>29432537</v>
      </c>
      <c r="F674" s="81" t="s">
        <v>4520</v>
      </c>
      <c r="G674" s="82" t="s">
        <v>4515</v>
      </c>
      <c r="H674" s="82" t="s">
        <v>4521</v>
      </c>
      <c r="I674" s="82" t="s">
        <v>3103</v>
      </c>
      <c r="J674" s="83" t="e">
        <f>VLOOKUP($C674,CHOOSE({1,2},'[4]Prestações de Conta inadimplent'!$D$9:$D$2000,'[4]Prestações de Conta inadimplent'!$C$9:$C$2000),2,0)</f>
        <v>#N/A</v>
      </c>
      <c r="L674" s="85"/>
      <c r="M674" s="85" t="e">
        <v>#REF!</v>
      </c>
      <c r="T674" s="86"/>
      <c r="U674" s="85"/>
      <c r="V674" s="87"/>
      <c r="W674" s="85"/>
      <c r="X674" s="88"/>
      <c r="Y674" s="89"/>
      <c r="Z674" s="89"/>
      <c r="AA674" s="88"/>
      <c r="AB674" s="88"/>
      <c r="AF674" s="90"/>
      <c r="AH674" s="85"/>
      <c r="AK674" s="91"/>
      <c r="AM674" s="92"/>
      <c r="AN674" s="92"/>
      <c r="AO674" s="92"/>
      <c r="AP674" s="92"/>
      <c r="AQ674" s="92"/>
      <c r="AR674" s="92"/>
    </row>
    <row r="675" spans="1:44" s="84" customFormat="1" ht="24" customHeight="1" x14ac:dyDescent="0.3">
      <c r="A675" s="78" t="s">
        <v>4475</v>
      </c>
      <c r="B675" s="79" t="s">
        <v>1029</v>
      </c>
      <c r="C675" s="112">
        <v>1109652</v>
      </c>
      <c r="D675" s="112">
        <v>1101457</v>
      </c>
      <c r="E675" s="112">
        <v>29171601</v>
      </c>
      <c r="F675" s="81" t="s">
        <v>1030</v>
      </c>
      <c r="G675" s="82" t="s">
        <v>3565</v>
      </c>
      <c r="H675" s="82" t="s">
        <v>4522</v>
      </c>
      <c r="I675" s="82" t="s">
        <v>3103</v>
      </c>
      <c r="J675" s="83" t="e">
        <f>VLOOKUP($C675,CHOOSE({1,2},'[4]Prestações de Conta inadimplent'!$D$9:$D$2000,'[4]Prestações de Conta inadimplent'!$C$9:$C$2000),2,0)</f>
        <v>#N/A</v>
      </c>
      <c r="L675" s="85"/>
      <c r="M675" s="85" t="e">
        <v>#REF!</v>
      </c>
      <c r="T675" s="86"/>
      <c r="U675" s="85"/>
      <c r="V675" s="87"/>
      <c r="W675" s="85"/>
      <c r="X675" s="88"/>
      <c r="Y675" s="89"/>
      <c r="Z675" s="89"/>
      <c r="AA675" s="88"/>
      <c r="AB675" s="88"/>
      <c r="AF675" s="90"/>
      <c r="AK675" s="91"/>
      <c r="AM675" s="92"/>
      <c r="AN675" s="92"/>
      <c r="AO675" s="92"/>
      <c r="AP675" s="92"/>
      <c r="AQ675" s="92"/>
      <c r="AR675" s="92"/>
    </row>
    <row r="676" spans="1:44" s="84" customFormat="1" ht="24" customHeight="1" x14ac:dyDescent="0.3">
      <c r="A676" s="78" t="s">
        <v>4475</v>
      </c>
      <c r="B676" s="79" t="s">
        <v>1029</v>
      </c>
      <c r="C676" s="112">
        <v>1164564</v>
      </c>
      <c r="D676" s="112">
        <v>1101476</v>
      </c>
      <c r="E676" s="112">
        <v>29171610</v>
      </c>
      <c r="F676" s="81" t="s">
        <v>4523</v>
      </c>
      <c r="G676" s="82" t="s">
        <v>3565</v>
      </c>
      <c r="H676" s="82" t="s">
        <v>4524</v>
      </c>
      <c r="I676" s="82" t="s">
        <v>3122</v>
      </c>
      <c r="J676" s="83" t="str">
        <f>VLOOKUP($C676,CHOOSE({1,2},'[4]Prestações de Conta inadimplent'!$D$9:$D$2000,'[4]Prestações de Conta inadimplent'!$C$9:$C$2000),2,0)</f>
        <v>Colegio Estadual Democratico Dr. Romulo Almeida</v>
      </c>
      <c r="L676" s="85"/>
      <c r="M676" s="85" t="e">
        <v>#REF!</v>
      </c>
      <c r="T676" s="86"/>
      <c r="U676" s="85"/>
      <c r="V676" s="87"/>
      <c r="W676" s="85"/>
      <c r="X676" s="88"/>
      <c r="Y676" s="89"/>
      <c r="Z676" s="89"/>
      <c r="AA676" s="88"/>
      <c r="AB676" s="88"/>
      <c r="AF676" s="90"/>
      <c r="AK676" s="91"/>
      <c r="AM676" s="92"/>
      <c r="AN676" s="92"/>
      <c r="AO676" s="92"/>
      <c r="AP676" s="92"/>
      <c r="AQ676" s="92"/>
      <c r="AR676" s="92"/>
    </row>
    <row r="677" spans="1:44" s="84" customFormat="1" ht="24" customHeight="1" x14ac:dyDescent="0.3">
      <c r="A677" s="78" t="s">
        <v>4475</v>
      </c>
      <c r="B677" s="79" t="s">
        <v>1029</v>
      </c>
      <c r="C677" s="112">
        <v>1178087</v>
      </c>
      <c r="D677" s="112">
        <v>1104512</v>
      </c>
      <c r="E677" s="112">
        <v>29432626</v>
      </c>
      <c r="F677" s="81" t="s">
        <v>2672</v>
      </c>
      <c r="G677" s="82" t="s">
        <v>3565</v>
      </c>
      <c r="H677" s="82" t="s">
        <v>4525</v>
      </c>
      <c r="I677" s="82" t="s">
        <v>3122</v>
      </c>
      <c r="J677" s="83" t="str">
        <f>VLOOKUP($C677,CHOOSE({1,2},'[4]Prestações de Conta inadimplent'!$D$9:$D$2000,'[4]Prestações de Conta inadimplent'!$C$9:$C$2000),2,0)</f>
        <v>Centro Territorial De Educacao Profissional Do Reconcavo</v>
      </c>
      <c r="L677" s="85"/>
      <c r="M677" s="85" t="e">
        <v>#REF!</v>
      </c>
      <c r="T677" s="86"/>
      <c r="U677" s="85"/>
      <c r="V677" s="87"/>
      <c r="W677" s="85"/>
      <c r="X677" s="88"/>
      <c r="Y677" s="89"/>
      <c r="Z677" s="89"/>
      <c r="AA677" s="88"/>
      <c r="AB677" s="88"/>
      <c r="AF677" s="90"/>
      <c r="AK677" s="91"/>
      <c r="AM677" s="92"/>
      <c r="AN677" s="92"/>
      <c r="AO677" s="92"/>
      <c r="AP677" s="92"/>
      <c r="AQ677" s="92"/>
      <c r="AR677" s="92"/>
    </row>
    <row r="678" spans="1:44" s="84" customFormat="1" ht="24" customHeight="1" x14ac:dyDescent="0.3">
      <c r="A678" s="78" t="s">
        <v>4475</v>
      </c>
      <c r="B678" s="79" t="s">
        <v>1029</v>
      </c>
      <c r="C678" s="112">
        <v>1176152</v>
      </c>
      <c r="D678" s="112">
        <v>1101483</v>
      </c>
      <c r="E678" s="112">
        <v>29337534</v>
      </c>
      <c r="F678" s="81" t="s">
        <v>4526</v>
      </c>
      <c r="G678" s="82" t="s">
        <v>3565</v>
      </c>
      <c r="H678" s="82" t="s">
        <v>4527</v>
      </c>
      <c r="I678" s="82" t="s">
        <v>3103</v>
      </c>
      <c r="J678" s="83" t="e">
        <f>VLOOKUP($C678,CHOOSE({1,2},'[4]Prestações de Conta inadimplent'!$D$9:$D$2000,'[4]Prestações de Conta inadimplent'!$C$9:$C$2000),2,0)</f>
        <v>#N/A</v>
      </c>
      <c r="L678" s="85"/>
      <c r="M678" s="85" t="e">
        <v>#REF!</v>
      </c>
      <c r="T678" s="86"/>
      <c r="U678" s="85"/>
      <c r="V678" s="85"/>
      <c r="W678" s="85"/>
      <c r="X678" s="85"/>
      <c r="Y678" s="89"/>
      <c r="Z678" s="89"/>
      <c r="AA678" s="88"/>
      <c r="AB678" s="88"/>
      <c r="AF678" s="90"/>
      <c r="AK678" s="91"/>
      <c r="AM678" s="92"/>
      <c r="AN678" s="92"/>
      <c r="AO678" s="92"/>
      <c r="AP678" s="92"/>
      <c r="AQ678" s="92"/>
      <c r="AR678" s="92"/>
    </row>
    <row r="679" spans="1:44" s="84" customFormat="1" ht="24" customHeight="1" x14ac:dyDescent="0.3">
      <c r="A679" s="78" t="s">
        <v>4475</v>
      </c>
      <c r="B679" s="79" t="s">
        <v>1039</v>
      </c>
      <c r="C679" s="112">
        <v>1134509</v>
      </c>
      <c r="D679" s="112">
        <v>1104682</v>
      </c>
      <c r="E679" s="112">
        <v>29173531</v>
      </c>
      <c r="F679" s="81" t="s">
        <v>4528</v>
      </c>
      <c r="G679" s="82" t="s">
        <v>4529</v>
      </c>
      <c r="H679" s="82" t="s">
        <v>4530</v>
      </c>
      <c r="I679" s="82" t="s">
        <v>3103</v>
      </c>
      <c r="J679" s="83" t="e">
        <f>VLOOKUP($C679,CHOOSE({1,2},'[4]Prestações de Conta inadimplent'!$D$9:$D$2000,'[4]Prestações de Conta inadimplent'!$C$9:$C$2000),2,0)</f>
        <v>#N/A</v>
      </c>
      <c r="L679" s="85"/>
      <c r="M679" s="85" t="e">
        <v>#REF!</v>
      </c>
      <c r="T679" s="86"/>
      <c r="U679" s="85"/>
      <c r="V679" s="87"/>
      <c r="W679" s="85"/>
      <c r="X679" s="88"/>
      <c r="Y679" s="89"/>
      <c r="Z679" s="89"/>
      <c r="AA679" s="88"/>
      <c r="AB679" s="88"/>
      <c r="AF679" s="90"/>
      <c r="AK679" s="91"/>
      <c r="AM679" s="92"/>
      <c r="AN679" s="92"/>
      <c r="AO679" s="92"/>
      <c r="AP679" s="92"/>
      <c r="AQ679" s="92"/>
      <c r="AR679" s="92"/>
    </row>
    <row r="680" spans="1:44" s="84" customFormat="1" ht="24" customHeight="1" x14ac:dyDescent="0.3">
      <c r="A680" s="78" t="s">
        <v>4475</v>
      </c>
      <c r="B680" s="79" t="s">
        <v>1036</v>
      </c>
      <c r="C680" s="112">
        <v>1134657</v>
      </c>
      <c r="D680" s="112">
        <v>1104690</v>
      </c>
      <c r="E680" s="112">
        <v>29172870</v>
      </c>
      <c r="F680" s="81" t="s">
        <v>3402</v>
      </c>
      <c r="G680" s="82" t="s">
        <v>4481</v>
      </c>
      <c r="H680" s="82" t="s">
        <v>4531</v>
      </c>
      <c r="I680" s="82" t="s">
        <v>3103</v>
      </c>
      <c r="J680" s="83" t="e">
        <f>VLOOKUP($C680,CHOOSE({1,2},'[4]Prestações de Conta inadimplent'!$D$9:$D$2000,'[4]Prestações de Conta inadimplent'!$C$9:$C$2000),2,0)</f>
        <v>#N/A</v>
      </c>
      <c r="L680" s="85"/>
      <c r="M680" s="85" t="e">
        <v>#REF!</v>
      </c>
      <c r="T680" s="86"/>
      <c r="U680" s="85"/>
      <c r="V680" s="87"/>
      <c r="W680" s="85"/>
      <c r="X680" s="88"/>
      <c r="Y680" s="89"/>
      <c r="Z680" s="88"/>
      <c r="AA680" s="88"/>
      <c r="AB680" s="88"/>
      <c r="AF680" s="90"/>
      <c r="AK680" s="91"/>
      <c r="AM680" s="92"/>
      <c r="AN680" s="92"/>
      <c r="AO680" s="92"/>
      <c r="AP680" s="92"/>
      <c r="AQ680" s="92"/>
      <c r="AR680" s="92"/>
    </row>
    <row r="681" spans="1:44" s="84" customFormat="1" ht="24" customHeight="1" x14ac:dyDescent="0.3">
      <c r="A681" s="78" t="s">
        <v>4475</v>
      </c>
      <c r="B681" s="79" t="s">
        <v>1043</v>
      </c>
      <c r="C681" s="112">
        <v>1134932</v>
      </c>
      <c r="D681" s="112">
        <v>1104697</v>
      </c>
      <c r="E681" s="112">
        <v>29174180</v>
      </c>
      <c r="F681" s="81" t="s">
        <v>4532</v>
      </c>
      <c r="G681" s="82" t="s">
        <v>4533</v>
      </c>
      <c r="H681" s="82" t="s">
        <v>4534</v>
      </c>
      <c r="I681" s="82" t="s">
        <v>3103</v>
      </c>
      <c r="J681" s="83" t="e">
        <f>VLOOKUP($C681,CHOOSE({1,2},'[4]Prestações de Conta inadimplent'!$D$9:$D$2000,'[4]Prestações de Conta inadimplent'!$C$9:$C$2000),2,0)</f>
        <v>#N/A</v>
      </c>
      <c r="L681" s="85"/>
      <c r="M681" s="85" t="e">
        <v>#REF!</v>
      </c>
      <c r="T681" s="86"/>
      <c r="U681" s="85"/>
      <c r="V681" s="87"/>
      <c r="W681" s="85"/>
      <c r="X681" s="88"/>
      <c r="Y681" s="89"/>
      <c r="Z681" s="89"/>
      <c r="AA681" s="88"/>
      <c r="AB681" s="88"/>
      <c r="AF681" s="90"/>
      <c r="AK681" s="91"/>
      <c r="AM681" s="92"/>
      <c r="AN681" s="92"/>
      <c r="AO681" s="92"/>
      <c r="AP681" s="92"/>
      <c r="AQ681" s="92"/>
      <c r="AR681" s="92"/>
    </row>
    <row r="682" spans="1:44" s="84" customFormat="1" ht="24" customHeight="1" x14ac:dyDescent="0.3">
      <c r="A682" s="78" t="s">
        <v>4475</v>
      </c>
      <c r="B682" s="79" t="s">
        <v>1043</v>
      </c>
      <c r="C682" s="112">
        <v>1178265</v>
      </c>
      <c r="D682" s="112">
        <v>1105506</v>
      </c>
      <c r="E682" s="112">
        <v>29981760</v>
      </c>
      <c r="F682" s="81" t="s">
        <v>4535</v>
      </c>
      <c r="G682" s="82" t="s">
        <v>4533</v>
      </c>
      <c r="H682" s="82" t="s">
        <v>4536</v>
      </c>
      <c r="I682" s="82" t="s">
        <v>3122</v>
      </c>
      <c r="J682" s="83" t="str">
        <f>VLOOKUP($C682,CHOOSE({1,2},'[4]Prestações de Conta inadimplent'!$D$9:$D$2000,'[4]Prestações de Conta inadimplent'!$C$9:$C$2000),2,0)</f>
        <v>Colegio Estadual Do Campo Anativo Do Sacramento</v>
      </c>
      <c r="L682" s="85"/>
      <c r="M682" s="85" t="e">
        <v>#REF!</v>
      </c>
      <c r="T682" s="86"/>
      <c r="U682" s="85"/>
      <c r="V682" s="87"/>
      <c r="W682" s="85"/>
      <c r="X682" s="88"/>
      <c r="Y682" s="89"/>
      <c r="Z682" s="89"/>
      <c r="AA682" s="88"/>
      <c r="AB682" s="88"/>
      <c r="AF682" s="90"/>
      <c r="AK682" s="91"/>
      <c r="AM682" s="92"/>
      <c r="AN682" s="92"/>
      <c r="AO682" s="92"/>
      <c r="AP682" s="92"/>
      <c r="AQ682" s="92"/>
      <c r="AR682" s="92"/>
    </row>
    <row r="683" spans="1:44" s="84" customFormat="1" ht="24" customHeight="1" x14ac:dyDescent="0.3">
      <c r="A683" s="78" t="s">
        <v>4475</v>
      </c>
      <c r="B683" s="79" t="s">
        <v>1043</v>
      </c>
      <c r="C683" s="112">
        <v>1138954</v>
      </c>
      <c r="D683" s="112">
        <v>1104700</v>
      </c>
      <c r="E683" s="112">
        <v>29174546</v>
      </c>
      <c r="F683" s="81" t="s">
        <v>4537</v>
      </c>
      <c r="G683" s="82" t="s">
        <v>4533</v>
      </c>
      <c r="H683" s="82" t="s">
        <v>4538</v>
      </c>
      <c r="I683" s="82" t="s">
        <v>3103</v>
      </c>
      <c r="J683" s="83" t="e">
        <f>VLOOKUP($C683,CHOOSE({1,2},'[4]Prestações de Conta inadimplent'!$D$9:$D$2000,'[4]Prestações de Conta inadimplent'!$C$9:$C$2000),2,0)</f>
        <v>#N/A</v>
      </c>
      <c r="L683" s="85"/>
      <c r="M683" s="85" t="e">
        <v>#REF!</v>
      </c>
      <c r="T683" s="86"/>
      <c r="U683" s="85"/>
      <c r="V683" s="87"/>
      <c r="W683" s="85"/>
      <c r="X683" s="88"/>
      <c r="Y683" s="89"/>
      <c r="Z683" s="89"/>
      <c r="AA683" s="88"/>
      <c r="AB683" s="88"/>
      <c r="AF683" s="90"/>
      <c r="AK683" s="91"/>
      <c r="AM683" s="92"/>
      <c r="AN683" s="92"/>
      <c r="AO683" s="92"/>
      <c r="AP683" s="92"/>
      <c r="AQ683" s="92"/>
      <c r="AR683" s="92"/>
    </row>
    <row r="684" spans="1:44" s="84" customFormat="1" ht="24" customHeight="1" x14ac:dyDescent="0.3">
      <c r="A684" s="78" t="s">
        <v>4475</v>
      </c>
      <c r="B684" s="79" t="s">
        <v>2665</v>
      </c>
      <c r="C684" s="112">
        <v>1178053</v>
      </c>
      <c r="D684" s="112">
        <v>1104541</v>
      </c>
      <c r="E684" s="112">
        <v>29432529</v>
      </c>
      <c r="F684" s="81" t="s">
        <v>4539</v>
      </c>
      <c r="G684" s="82" t="s">
        <v>4515</v>
      </c>
      <c r="H684" s="82" t="s">
        <v>4540</v>
      </c>
      <c r="I684" s="82" t="s">
        <v>3103</v>
      </c>
      <c r="J684" s="83" t="e">
        <f>VLOOKUP($C684,CHOOSE({1,2},'[4]Prestações de Conta inadimplent'!$D$9:$D$2000,'[4]Prestações de Conta inadimplent'!$C$9:$C$2000),2,0)</f>
        <v>#N/A</v>
      </c>
      <c r="L684" s="85"/>
      <c r="M684" s="85" t="e">
        <v>#REF!</v>
      </c>
      <c r="T684" s="86"/>
      <c r="U684" s="85"/>
      <c r="V684" s="87"/>
      <c r="W684" s="85"/>
      <c r="X684" s="88"/>
      <c r="Y684" s="89"/>
      <c r="Z684" s="89"/>
      <c r="AA684" s="88"/>
      <c r="AB684" s="88"/>
      <c r="AF684" s="90"/>
      <c r="AK684" s="91"/>
      <c r="AM684" s="92"/>
      <c r="AN684" s="92"/>
      <c r="AO684" s="92"/>
      <c r="AP684" s="92"/>
      <c r="AQ684" s="92"/>
      <c r="AR684" s="92"/>
    </row>
    <row r="685" spans="1:44" s="84" customFormat="1" ht="24" customHeight="1" x14ac:dyDescent="0.3">
      <c r="A685" s="78" t="s">
        <v>4475</v>
      </c>
      <c r="B685" s="79" t="s">
        <v>1050</v>
      </c>
      <c r="C685" s="112">
        <v>1178030</v>
      </c>
      <c r="D685" s="112">
        <v>1101488</v>
      </c>
      <c r="E685" s="112">
        <v>29174805</v>
      </c>
      <c r="F685" s="81" t="s">
        <v>822</v>
      </c>
      <c r="G685" s="82" t="s">
        <v>3565</v>
      </c>
      <c r="H685" s="82" t="s">
        <v>4541</v>
      </c>
      <c r="I685" s="82" t="s">
        <v>3122</v>
      </c>
      <c r="J685" s="83" t="str">
        <f>VLOOKUP($C685,CHOOSE({1,2},'[4]Prestações de Conta inadimplent'!$D$9:$D$2000,'[4]Prestações de Conta inadimplent'!$C$9:$C$2000),2,0)</f>
        <v>Colegio Estadual Nossa Senhora Da Conceicao</v>
      </c>
      <c r="L685" s="85"/>
      <c r="M685" s="85" t="e">
        <v>#REF!</v>
      </c>
      <c r="T685" s="86"/>
      <c r="U685" s="85"/>
      <c r="V685" s="87"/>
      <c r="W685" s="85"/>
      <c r="X685" s="88"/>
      <c r="Y685" s="89"/>
      <c r="Z685" s="89"/>
      <c r="AA685" s="88"/>
      <c r="AB685" s="88"/>
      <c r="AF685" s="90"/>
      <c r="AK685" s="91"/>
      <c r="AM685" s="92"/>
      <c r="AN685" s="92"/>
      <c r="AO685" s="92"/>
      <c r="AP685" s="92"/>
      <c r="AQ685" s="92"/>
      <c r="AR685" s="92"/>
    </row>
    <row r="686" spans="1:44" s="84" customFormat="1" ht="24" customHeight="1" x14ac:dyDescent="0.3">
      <c r="A686" s="78" t="s">
        <v>4542</v>
      </c>
      <c r="B686" s="79" t="s">
        <v>2529</v>
      </c>
      <c r="C686" s="112">
        <v>1178051</v>
      </c>
      <c r="D686" s="112">
        <v>1102020</v>
      </c>
      <c r="E686" s="112">
        <v>29425417</v>
      </c>
      <c r="F686" s="81" t="s">
        <v>4543</v>
      </c>
      <c r="G686" s="82" t="s">
        <v>3721</v>
      </c>
      <c r="H686" s="82" t="s">
        <v>4544</v>
      </c>
      <c r="I686" s="82" t="s">
        <v>3103</v>
      </c>
      <c r="J686" s="83" t="e">
        <f>VLOOKUP($C686,CHOOSE({1,2},'[4]Prestações de Conta inadimplent'!$D$9:$D$2000,'[4]Prestações de Conta inadimplent'!$C$9:$C$2000),2,0)</f>
        <v>#N/A</v>
      </c>
      <c r="L686" s="85"/>
      <c r="M686" s="85" t="e">
        <v>#REF!</v>
      </c>
      <c r="T686" s="86"/>
      <c r="U686" s="85"/>
      <c r="V686" s="87"/>
      <c r="W686" s="85"/>
      <c r="X686" s="88"/>
      <c r="Y686" s="89"/>
      <c r="Z686" s="88"/>
      <c r="AA686" s="88"/>
      <c r="AB686" s="88"/>
      <c r="AF686" s="90"/>
      <c r="AK686" s="91"/>
      <c r="AM686" s="92"/>
      <c r="AN686" s="92"/>
      <c r="AO686" s="92"/>
      <c r="AP686" s="92"/>
      <c r="AQ686" s="92"/>
      <c r="AR686" s="92"/>
    </row>
    <row r="687" spans="1:44" s="84" customFormat="1" ht="24" customHeight="1" x14ac:dyDescent="0.3">
      <c r="A687" s="78" t="s">
        <v>4542</v>
      </c>
      <c r="B687" s="79" t="s">
        <v>1589</v>
      </c>
      <c r="C687" s="112">
        <v>1110758</v>
      </c>
      <c r="D687" s="112">
        <v>1102021</v>
      </c>
      <c r="E687" s="112">
        <v>29223652</v>
      </c>
      <c r="F687" s="81" t="s">
        <v>4545</v>
      </c>
      <c r="G687" s="82" t="s">
        <v>3721</v>
      </c>
      <c r="H687" s="82" t="s">
        <v>4546</v>
      </c>
      <c r="I687" s="82" t="s">
        <v>3103</v>
      </c>
      <c r="J687" s="83" t="e">
        <f>VLOOKUP($C687,CHOOSE({1,2},'[4]Prestações de Conta inadimplent'!$D$9:$D$2000,'[4]Prestações de Conta inadimplent'!$C$9:$C$2000),2,0)</f>
        <v>#N/A</v>
      </c>
      <c r="L687" s="85"/>
      <c r="M687" s="85" t="e">
        <v>#REF!</v>
      </c>
      <c r="T687" s="86"/>
      <c r="U687" s="85"/>
      <c r="V687" s="87"/>
      <c r="W687" s="85"/>
      <c r="X687" s="88"/>
      <c r="Y687" s="89"/>
      <c r="Z687" s="88"/>
      <c r="AA687" s="88"/>
      <c r="AB687" s="88"/>
      <c r="AF687" s="90"/>
      <c r="AK687" s="91"/>
      <c r="AM687" s="92"/>
      <c r="AN687" s="92"/>
      <c r="AO687" s="92"/>
      <c r="AP687" s="92"/>
      <c r="AQ687" s="92"/>
      <c r="AR687" s="92"/>
    </row>
    <row r="688" spans="1:44" s="84" customFormat="1" ht="24" customHeight="1" x14ac:dyDescent="0.3">
      <c r="A688" s="78" t="s">
        <v>4542</v>
      </c>
      <c r="B688" s="79" t="s">
        <v>1941</v>
      </c>
      <c r="C688" s="112">
        <v>1117310</v>
      </c>
      <c r="D688" s="112">
        <v>1102022</v>
      </c>
      <c r="E688" s="112">
        <v>29293707</v>
      </c>
      <c r="F688" s="81" t="s">
        <v>4547</v>
      </c>
      <c r="G688" s="82" t="s">
        <v>4548</v>
      </c>
      <c r="H688" s="82" t="s">
        <v>4549</v>
      </c>
      <c r="I688" s="82" t="s">
        <v>3103</v>
      </c>
      <c r="J688" s="83" t="e">
        <f>VLOOKUP($C688,CHOOSE({1,2},'[4]Prestações de Conta inadimplent'!$D$9:$D$2000,'[4]Prestações de Conta inadimplent'!$C$9:$C$2000),2,0)</f>
        <v>#N/A</v>
      </c>
      <c r="L688" s="85"/>
      <c r="M688" s="85" t="e">
        <v>#REF!</v>
      </c>
      <c r="T688" s="86"/>
      <c r="U688" s="85"/>
      <c r="V688" s="87"/>
      <c r="W688" s="85"/>
      <c r="X688" s="88"/>
      <c r="Y688" s="89"/>
      <c r="Z688" s="89"/>
      <c r="AA688" s="88"/>
      <c r="AB688" s="88"/>
      <c r="AF688" s="90"/>
      <c r="AK688" s="91"/>
      <c r="AM688" s="92"/>
      <c r="AN688" s="92"/>
      <c r="AO688" s="92"/>
      <c r="AP688" s="92"/>
      <c r="AQ688" s="92"/>
      <c r="AR688" s="92"/>
    </row>
    <row r="689" spans="1:44" s="84" customFormat="1" ht="24" customHeight="1" x14ac:dyDescent="0.3">
      <c r="A689" s="78" t="s">
        <v>4542</v>
      </c>
      <c r="B689" s="79" t="s">
        <v>1789</v>
      </c>
      <c r="C689" s="112">
        <v>1117221</v>
      </c>
      <c r="D689" s="112">
        <v>1102026</v>
      </c>
      <c r="E689" s="112">
        <v>29268524</v>
      </c>
      <c r="F689" s="81" t="s">
        <v>4550</v>
      </c>
      <c r="G689" s="82" t="s">
        <v>4390</v>
      </c>
      <c r="H689" s="82" t="s">
        <v>4551</v>
      </c>
      <c r="I689" s="82" t="s">
        <v>3103</v>
      </c>
      <c r="J689" s="83" t="e">
        <f>VLOOKUP($C689,CHOOSE({1,2},'[4]Prestações de Conta inadimplent'!$D$9:$D$2000,'[4]Prestações de Conta inadimplent'!$C$9:$C$2000),2,0)</f>
        <v>#N/A</v>
      </c>
      <c r="L689" s="85"/>
      <c r="M689" s="85" t="e">
        <v>#REF!</v>
      </c>
      <c r="T689" s="86"/>
      <c r="U689" s="85"/>
      <c r="V689" s="87"/>
      <c r="W689" s="85"/>
      <c r="X689" s="88"/>
      <c r="Y689" s="89"/>
      <c r="Z689" s="89"/>
      <c r="AA689" s="88"/>
      <c r="AB689" s="88"/>
      <c r="AF689" s="90"/>
      <c r="AK689" s="91"/>
      <c r="AM689" s="92"/>
      <c r="AN689" s="92"/>
      <c r="AO689" s="92"/>
      <c r="AP689" s="92"/>
      <c r="AQ689" s="92"/>
      <c r="AR689" s="92"/>
    </row>
    <row r="690" spans="1:44" s="84" customFormat="1" ht="24" customHeight="1" x14ac:dyDescent="0.3">
      <c r="A690" s="78" t="s">
        <v>4542</v>
      </c>
      <c r="B690" s="79" t="s">
        <v>1806</v>
      </c>
      <c r="C690" s="112">
        <v>1116950</v>
      </c>
      <c r="D690" s="112">
        <v>1102035</v>
      </c>
      <c r="E690" s="112">
        <v>29271967</v>
      </c>
      <c r="F690" s="81" t="s">
        <v>4552</v>
      </c>
      <c r="G690" s="82" t="s">
        <v>4553</v>
      </c>
      <c r="H690" s="82" t="s">
        <v>4554</v>
      </c>
      <c r="I690" s="82" t="s">
        <v>3103</v>
      </c>
      <c r="J690" s="83" t="e">
        <f>VLOOKUP($C690,CHOOSE({1,2},'[4]Prestações de Conta inadimplent'!$D$9:$D$2000,'[4]Prestações de Conta inadimplent'!$C$9:$C$2000),2,0)</f>
        <v>#N/A</v>
      </c>
      <c r="L690" s="85"/>
      <c r="M690" s="85" t="e">
        <v>#REF!</v>
      </c>
      <c r="T690" s="86"/>
      <c r="U690" s="85"/>
      <c r="V690" s="87"/>
      <c r="W690" s="85"/>
      <c r="X690" s="88"/>
      <c r="Y690" s="89"/>
      <c r="Z690" s="89"/>
      <c r="AA690" s="88"/>
      <c r="AB690" s="88"/>
      <c r="AF690" s="90"/>
      <c r="AK690" s="91"/>
      <c r="AM690" s="92"/>
      <c r="AN690" s="92"/>
      <c r="AO690" s="92"/>
      <c r="AP690" s="92"/>
      <c r="AQ690" s="92"/>
      <c r="AR690" s="92"/>
    </row>
    <row r="691" spans="1:44" s="84" customFormat="1" ht="24" customHeight="1" x14ac:dyDescent="0.3">
      <c r="A691" s="78" t="s">
        <v>4542</v>
      </c>
      <c r="B691" s="79" t="s">
        <v>1977</v>
      </c>
      <c r="C691" s="112">
        <v>1158882</v>
      </c>
      <c r="D691" s="112">
        <v>1101618</v>
      </c>
      <c r="E691" s="112">
        <v>29299268</v>
      </c>
      <c r="F691" s="81" t="s">
        <v>4555</v>
      </c>
      <c r="G691" s="82" t="s">
        <v>3557</v>
      </c>
      <c r="H691" s="82" t="s">
        <v>4556</v>
      </c>
      <c r="I691" s="82" t="s">
        <v>3103</v>
      </c>
      <c r="J691" s="83" t="e">
        <f>VLOOKUP($C691,CHOOSE({1,2},'[4]Prestações de Conta inadimplent'!$D$9:$D$2000,'[4]Prestações de Conta inadimplent'!$C$9:$C$2000),2,0)</f>
        <v>#N/A</v>
      </c>
      <c r="L691" s="85"/>
      <c r="M691" s="85" t="e">
        <v>#REF!</v>
      </c>
      <c r="T691" s="86"/>
      <c r="U691" s="85"/>
      <c r="V691" s="87"/>
      <c r="W691" s="85"/>
      <c r="X691" s="88"/>
      <c r="Y691" s="89"/>
      <c r="Z691" s="89"/>
      <c r="AA691" s="88"/>
      <c r="AB691" s="88"/>
      <c r="AF691" s="90"/>
      <c r="AK691" s="91"/>
      <c r="AM691" s="92"/>
      <c r="AN691" s="92"/>
      <c r="AO691" s="92"/>
      <c r="AP691" s="92"/>
      <c r="AQ691" s="92"/>
      <c r="AR691" s="92"/>
    </row>
    <row r="692" spans="1:44" s="84" customFormat="1" ht="24" customHeight="1" x14ac:dyDescent="0.3">
      <c r="A692" s="78" t="s">
        <v>4542</v>
      </c>
      <c r="B692" s="79" t="s">
        <v>1981</v>
      </c>
      <c r="C692" s="112">
        <v>1117108</v>
      </c>
      <c r="D692" s="112">
        <v>1102043</v>
      </c>
      <c r="E692" s="112">
        <v>29300762</v>
      </c>
      <c r="F692" s="81" t="s">
        <v>4557</v>
      </c>
      <c r="G692" s="82" t="s">
        <v>4558</v>
      </c>
      <c r="H692" s="82" t="s">
        <v>4559</v>
      </c>
      <c r="I692" s="82" t="s">
        <v>3103</v>
      </c>
      <c r="J692" s="83" t="e">
        <f>VLOOKUP($C692,CHOOSE({1,2},'[4]Prestações de Conta inadimplent'!$D$9:$D$2000,'[4]Prestações de Conta inadimplent'!$C$9:$C$2000),2,0)</f>
        <v>#N/A</v>
      </c>
      <c r="L692" s="85"/>
      <c r="M692" s="85" t="e">
        <v>#REF!</v>
      </c>
      <c r="T692" s="86"/>
      <c r="U692" s="85"/>
      <c r="V692" s="87"/>
      <c r="W692" s="85"/>
      <c r="X692" s="88"/>
      <c r="Y692" s="89"/>
      <c r="Z692" s="88"/>
      <c r="AA692" s="88"/>
      <c r="AB692" s="88"/>
      <c r="AF692" s="90"/>
      <c r="AK692" s="91"/>
      <c r="AM692" s="92"/>
      <c r="AN692" s="92"/>
      <c r="AO692" s="92"/>
      <c r="AP692" s="92"/>
      <c r="AQ692" s="92"/>
      <c r="AR692" s="92"/>
    </row>
    <row r="693" spans="1:44" s="84" customFormat="1" ht="24" customHeight="1" x14ac:dyDescent="0.3">
      <c r="A693" s="78" t="s">
        <v>4542</v>
      </c>
      <c r="B693" s="79" t="s">
        <v>1981</v>
      </c>
      <c r="C693" s="112">
        <v>1178097</v>
      </c>
      <c r="D693" s="112">
        <v>1104565</v>
      </c>
      <c r="E693" s="112">
        <v>29429781</v>
      </c>
      <c r="F693" s="81" t="s">
        <v>4560</v>
      </c>
      <c r="G693" s="82" t="s">
        <v>4558</v>
      </c>
      <c r="H693" s="82" t="s">
        <v>4561</v>
      </c>
      <c r="I693" s="82" t="s">
        <v>3103</v>
      </c>
      <c r="J693" s="83" t="e">
        <f>VLOOKUP($C693,CHOOSE({1,2},'[4]Prestações de Conta inadimplent'!$D$9:$D$2000,'[4]Prestações de Conta inadimplent'!$C$9:$C$2000),2,0)</f>
        <v>#N/A</v>
      </c>
      <c r="L693" s="85"/>
      <c r="M693" s="85" t="e">
        <v>#REF!</v>
      </c>
      <c r="T693" s="86"/>
      <c r="U693" s="85"/>
      <c r="V693" s="87"/>
      <c r="W693" s="85"/>
      <c r="X693" s="88"/>
      <c r="Y693" s="89"/>
      <c r="Z693" s="89"/>
      <c r="AA693" s="88"/>
      <c r="AB693" s="88"/>
      <c r="AF693" s="90"/>
      <c r="AH693" s="85"/>
      <c r="AK693" s="91"/>
      <c r="AM693" s="92"/>
      <c r="AN693" s="92"/>
      <c r="AO693" s="92"/>
      <c r="AP693" s="92"/>
      <c r="AQ693" s="92"/>
      <c r="AR693" s="92"/>
    </row>
    <row r="694" spans="1:44" s="84" customFormat="1" ht="24" customHeight="1" x14ac:dyDescent="0.3">
      <c r="A694" s="78" t="s">
        <v>4542</v>
      </c>
      <c r="B694" s="79" t="s">
        <v>2006</v>
      </c>
      <c r="C694" s="112">
        <v>1178377</v>
      </c>
      <c r="D694" s="112">
        <v>1105554</v>
      </c>
      <c r="E694" s="112">
        <v>29848792</v>
      </c>
      <c r="F694" s="81" t="s">
        <v>4562</v>
      </c>
      <c r="G694" s="82" t="s">
        <v>4548</v>
      </c>
      <c r="H694" s="82" t="s">
        <v>4563</v>
      </c>
      <c r="I694" s="82" t="s">
        <v>3103</v>
      </c>
      <c r="J694" s="83" t="e">
        <f>VLOOKUP($C694,CHOOSE({1,2},'[4]Prestações de Conta inadimplent'!$D$9:$D$2000,'[4]Prestações de Conta inadimplent'!$C$9:$C$2000),2,0)</f>
        <v>#N/A</v>
      </c>
      <c r="L694" s="85"/>
      <c r="M694" s="85" t="e">
        <v>#REF!</v>
      </c>
      <c r="T694" s="86"/>
      <c r="U694" s="85"/>
      <c r="V694" s="85"/>
      <c r="W694" s="85"/>
      <c r="X694" s="85"/>
      <c r="Y694" s="89"/>
      <c r="Z694" s="89"/>
      <c r="AA694" s="88"/>
      <c r="AB694" s="88"/>
      <c r="AF694" s="90"/>
      <c r="AK694" s="91"/>
      <c r="AM694" s="92"/>
      <c r="AN694" s="92"/>
      <c r="AO694" s="92"/>
      <c r="AP694" s="92"/>
      <c r="AQ694" s="92"/>
      <c r="AR694" s="92"/>
    </row>
    <row r="695" spans="1:44" s="84" customFormat="1" ht="24" customHeight="1" x14ac:dyDescent="0.3">
      <c r="A695" s="78" t="s">
        <v>4542</v>
      </c>
      <c r="B695" s="79" t="s">
        <v>2006</v>
      </c>
      <c r="C695" s="112">
        <v>1117035</v>
      </c>
      <c r="D695" s="112">
        <v>1102054</v>
      </c>
      <c r="E695" s="112">
        <v>29303354</v>
      </c>
      <c r="F695" s="81" t="s">
        <v>4564</v>
      </c>
      <c r="G695" s="82" t="s">
        <v>4548</v>
      </c>
      <c r="H695" s="82" t="s">
        <v>4565</v>
      </c>
      <c r="I695" s="82" t="s">
        <v>3103</v>
      </c>
      <c r="J695" s="83" t="e">
        <f>VLOOKUP($C695,CHOOSE({1,2},'[4]Prestações de Conta inadimplent'!$D$9:$D$2000,'[4]Prestações de Conta inadimplent'!$C$9:$C$2000),2,0)</f>
        <v>#N/A</v>
      </c>
      <c r="L695" s="85"/>
      <c r="M695" s="85" t="e">
        <v>#REF!</v>
      </c>
      <c r="T695" s="86"/>
      <c r="U695" s="85"/>
      <c r="V695" s="87"/>
      <c r="W695" s="85"/>
      <c r="X695" s="88"/>
      <c r="Y695" s="89"/>
      <c r="Z695" s="89"/>
      <c r="AA695" s="88"/>
      <c r="AB695" s="88"/>
      <c r="AF695" s="90"/>
      <c r="AK695" s="91"/>
      <c r="AM695" s="92"/>
      <c r="AN695" s="92"/>
      <c r="AO695" s="92"/>
      <c r="AP695" s="92"/>
      <c r="AQ695" s="92"/>
      <c r="AR695" s="92"/>
    </row>
    <row r="696" spans="1:44" s="84" customFormat="1" ht="24" customHeight="1" x14ac:dyDescent="0.3">
      <c r="A696" s="78" t="s">
        <v>4542</v>
      </c>
      <c r="B696" s="79" t="s">
        <v>2006</v>
      </c>
      <c r="C696" s="112">
        <v>1166621</v>
      </c>
      <c r="D696" s="112">
        <v>1102059</v>
      </c>
      <c r="E696" s="112">
        <v>29303702</v>
      </c>
      <c r="F696" s="81" t="s">
        <v>4566</v>
      </c>
      <c r="G696" s="82" t="s">
        <v>4548</v>
      </c>
      <c r="H696" s="82" t="s">
        <v>4567</v>
      </c>
      <c r="I696" s="82" t="s">
        <v>3122</v>
      </c>
      <c r="J696" s="83" t="str">
        <f>VLOOKUP($C696,CHOOSE({1,2},'[4]Prestações de Conta inadimplent'!$D$9:$D$2000,'[4]Prestações de Conta inadimplent'!$C$9:$C$2000),2,0)</f>
        <v>Centro Territorial De Educacao Profissional Do Medio Rio Das Contas</v>
      </c>
      <c r="L696" s="85"/>
      <c r="M696" s="85" t="e">
        <v>#REF!</v>
      </c>
      <c r="T696" s="86"/>
      <c r="U696" s="85"/>
      <c r="V696" s="87"/>
      <c r="W696" s="85"/>
      <c r="X696" s="88"/>
      <c r="Y696" s="89"/>
      <c r="Z696" s="89"/>
      <c r="AA696" s="88"/>
      <c r="AB696" s="88"/>
      <c r="AF696" s="90"/>
      <c r="AH696" s="85"/>
      <c r="AK696" s="91"/>
      <c r="AM696" s="92"/>
      <c r="AN696" s="92"/>
      <c r="AO696" s="92"/>
      <c r="AP696" s="92"/>
      <c r="AQ696" s="92"/>
      <c r="AR696" s="92"/>
    </row>
    <row r="697" spans="1:44" s="84" customFormat="1" ht="24" customHeight="1" x14ac:dyDescent="0.3">
      <c r="A697" s="78" t="s">
        <v>4542</v>
      </c>
      <c r="B697" s="79" t="s">
        <v>2006</v>
      </c>
      <c r="C697" s="112">
        <v>1176433</v>
      </c>
      <c r="D697" s="112">
        <v>1102060</v>
      </c>
      <c r="E697" s="112">
        <v>29390532</v>
      </c>
      <c r="F697" s="81" t="s">
        <v>4568</v>
      </c>
      <c r="G697" s="82" t="s">
        <v>4548</v>
      </c>
      <c r="H697" s="82" t="s">
        <v>4569</v>
      </c>
      <c r="I697" s="82" t="s">
        <v>3103</v>
      </c>
      <c r="J697" s="83" t="e">
        <f>VLOOKUP($C697,CHOOSE({1,2},'[4]Prestações de Conta inadimplent'!$D$9:$D$2000,'[4]Prestações de Conta inadimplent'!$C$9:$C$2000),2,0)</f>
        <v>#N/A</v>
      </c>
      <c r="L697" s="85"/>
      <c r="M697" s="85" t="e">
        <v>#REF!</v>
      </c>
      <c r="T697" s="86"/>
      <c r="U697" s="85"/>
      <c r="V697" s="87"/>
      <c r="W697" s="85"/>
      <c r="X697" s="88"/>
      <c r="Y697" s="89"/>
      <c r="Z697" s="88"/>
      <c r="AA697" s="88"/>
      <c r="AB697" s="88"/>
      <c r="AF697" s="90"/>
      <c r="AK697" s="91"/>
      <c r="AM697" s="92"/>
      <c r="AN697" s="92"/>
      <c r="AO697" s="92"/>
      <c r="AP697" s="92"/>
      <c r="AQ697" s="92"/>
      <c r="AR697" s="92"/>
    </row>
    <row r="698" spans="1:44" s="84" customFormat="1" ht="24" customHeight="1" x14ac:dyDescent="0.3">
      <c r="A698" s="78" t="s">
        <v>4542</v>
      </c>
      <c r="B698" s="79" t="s">
        <v>2592</v>
      </c>
      <c r="C698" s="112">
        <v>1178015</v>
      </c>
      <c r="D698" s="112">
        <v>1104532</v>
      </c>
      <c r="E698" s="112">
        <v>29429005</v>
      </c>
      <c r="F698" s="81" t="s">
        <v>4570</v>
      </c>
      <c r="G698" s="82" t="s">
        <v>3721</v>
      </c>
      <c r="H698" s="82" t="s">
        <v>4571</v>
      </c>
      <c r="I698" s="82" t="s">
        <v>3103</v>
      </c>
      <c r="J698" s="83" t="e">
        <f>VLOOKUP($C698,CHOOSE({1,2},'[4]Prestações de Conta inadimplent'!$D$9:$D$2000,'[4]Prestações de Conta inadimplent'!$C$9:$C$2000),2,0)</f>
        <v>#N/A</v>
      </c>
      <c r="L698" s="85"/>
      <c r="M698" s="85" t="e">
        <v>#REF!</v>
      </c>
      <c r="T698" s="86"/>
      <c r="U698" s="85"/>
      <c r="V698" s="87"/>
      <c r="W698" s="85"/>
      <c r="X698" s="88"/>
      <c r="Y698" s="89"/>
      <c r="Z698" s="89"/>
      <c r="AA698" s="88"/>
      <c r="AB698" s="88"/>
      <c r="AF698" s="90"/>
      <c r="AK698" s="91"/>
      <c r="AM698" s="92"/>
      <c r="AN698" s="92"/>
      <c r="AO698" s="92"/>
      <c r="AP698" s="92"/>
      <c r="AQ698" s="92"/>
      <c r="AR698" s="92"/>
    </row>
    <row r="699" spans="1:44" s="84" customFormat="1" ht="24" customHeight="1" x14ac:dyDescent="0.3">
      <c r="A699" s="78" t="s">
        <v>4542</v>
      </c>
      <c r="B699" s="79" t="s">
        <v>2038</v>
      </c>
      <c r="C699" s="112">
        <v>1117434</v>
      </c>
      <c r="D699" s="112">
        <v>1102243</v>
      </c>
      <c r="E699" s="112">
        <v>29307759</v>
      </c>
      <c r="F699" s="81" t="s">
        <v>4572</v>
      </c>
      <c r="G699" s="82" t="s">
        <v>4553</v>
      </c>
      <c r="H699" s="82" t="s">
        <v>4573</v>
      </c>
      <c r="I699" s="82" t="s">
        <v>3103</v>
      </c>
      <c r="J699" s="83" t="e">
        <f>VLOOKUP($C699,CHOOSE({1,2},'[4]Prestações de Conta inadimplent'!$D$9:$D$2000,'[4]Prestações de Conta inadimplent'!$C$9:$C$2000),2,0)</f>
        <v>#N/A</v>
      </c>
      <c r="L699" s="85"/>
      <c r="M699" s="85" t="e">
        <v>#REF!</v>
      </c>
      <c r="T699" s="86"/>
      <c r="U699" s="85"/>
      <c r="V699" s="87"/>
      <c r="W699" s="85"/>
      <c r="X699" s="88"/>
      <c r="Y699" s="89"/>
      <c r="Z699" s="88"/>
      <c r="AA699" s="88"/>
      <c r="AB699" s="88"/>
      <c r="AF699" s="90"/>
      <c r="AK699" s="91"/>
      <c r="AM699" s="92"/>
      <c r="AN699" s="92"/>
      <c r="AO699" s="92"/>
      <c r="AP699" s="92"/>
      <c r="AQ699" s="92"/>
      <c r="AR699" s="92"/>
    </row>
    <row r="700" spans="1:44" s="84" customFormat="1" ht="24" customHeight="1" x14ac:dyDescent="0.3">
      <c r="A700" s="78" t="s">
        <v>4542</v>
      </c>
      <c r="B700" s="79" t="s">
        <v>2050</v>
      </c>
      <c r="C700" s="112">
        <v>1110294</v>
      </c>
      <c r="D700" s="112">
        <v>1101330</v>
      </c>
      <c r="E700" s="112">
        <v>29309034</v>
      </c>
      <c r="F700" s="81" t="s">
        <v>4574</v>
      </c>
      <c r="G700" s="82" t="s">
        <v>3552</v>
      </c>
      <c r="H700" s="82" t="s">
        <v>4575</v>
      </c>
      <c r="I700" s="82" t="s">
        <v>3103</v>
      </c>
      <c r="J700" s="83" t="e">
        <f>VLOOKUP($C700,CHOOSE({1,2},'[4]Prestações de Conta inadimplent'!$D$9:$D$2000,'[4]Prestações de Conta inadimplent'!$C$9:$C$2000),2,0)</f>
        <v>#N/A</v>
      </c>
      <c r="L700" s="85"/>
      <c r="M700" s="85" t="e">
        <v>#REF!</v>
      </c>
      <c r="T700" s="86"/>
      <c r="U700" s="85"/>
      <c r="V700" s="87"/>
      <c r="W700" s="85"/>
      <c r="X700" s="88"/>
      <c r="Y700" s="89"/>
      <c r="Z700" s="89"/>
      <c r="AA700" s="88"/>
      <c r="AB700" s="88"/>
      <c r="AF700" s="90"/>
      <c r="AK700" s="91"/>
      <c r="AM700" s="92"/>
      <c r="AN700" s="92"/>
      <c r="AO700" s="92"/>
      <c r="AP700" s="92"/>
      <c r="AQ700" s="92"/>
      <c r="AR700" s="92"/>
    </row>
    <row r="701" spans="1:44" s="84" customFormat="1" ht="24" customHeight="1" x14ac:dyDescent="0.3">
      <c r="A701" s="78" t="s">
        <v>4542</v>
      </c>
      <c r="B701" s="79" t="s">
        <v>1619</v>
      </c>
      <c r="C701" s="112">
        <v>1179659</v>
      </c>
      <c r="D701" s="112">
        <v>9999999</v>
      </c>
      <c r="E701" s="112">
        <v>29473900</v>
      </c>
      <c r="F701" s="81" t="s">
        <v>4576</v>
      </c>
      <c r="G701" s="82" t="s">
        <v>3721</v>
      </c>
      <c r="H701" s="82" t="s">
        <v>4577</v>
      </c>
      <c r="I701" s="82" t="s">
        <v>3103</v>
      </c>
      <c r="J701" s="83" t="e">
        <f>VLOOKUP($C701,CHOOSE({1,2},'[4]Prestações de Conta inadimplent'!$D$9:$D$2000,'[4]Prestações de Conta inadimplent'!$C$9:$C$2000),2,0)</f>
        <v>#N/A</v>
      </c>
      <c r="L701" s="85"/>
      <c r="M701" s="85" t="e">
        <v>#REF!</v>
      </c>
      <c r="T701" s="86"/>
      <c r="U701" s="85"/>
      <c r="V701" s="85"/>
      <c r="W701" s="85"/>
      <c r="X701" s="85"/>
      <c r="Y701" s="89"/>
      <c r="Z701" s="89"/>
      <c r="AA701" s="88"/>
      <c r="AB701" s="88"/>
      <c r="AF701" s="90"/>
      <c r="AK701" s="91"/>
      <c r="AM701" s="92"/>
      <c r="AN701" s="92"/>
      <c r="AO701" s="92"/>
      <c r="AP701" s="92"/>
      <c r="AQ701" s="92"/>
      <c r="AR701" s="92"/>
    </row>
    <row r="702" spans="1:44" s="84" customFormat="1" ht="24" customHeight="1" x14ac:dyDescent="0.3">
      <c r="A702" s="78" t="s">
        <v>4542</v>
      </c>
      <c r="B702" s="79" t="s">
        <v>1619</v>
      </c>
      <c r="C702" s="112">
        <v>1177092</v>
      </c>
      <c r="D702" s="112">
        <v>1102307</v>
      </c>
      <c r="E702" s="112">
        <v>29416604</v>
      </c>
      <c r="F702" s="81" t="s">
        <v>2120</v>
      </c>
      <c r="G702" s="82" t="s">
        <v>3721</v>
      </c>
      <c r="H702" s="82" t="s">
        <v>4578</v>
      </c>
      <c r="I702" s="82" t="s">
        <v>3103</v>
      </c>
      <c r="J702" s="83" t="e">
        <f>VLOOKUP($C702,CHOOSE({1,2},'[4]Prestações de Conta inadimplent'!$D$9:$D$2000,'[4]Prestações de Conta inadimplent'!$C$9:$C$2000),2,0)</f>
        <v>#N/A</v>
      </c>
      <c r="L702" s="85"/>
      <c r="M702" s="85" t="e">
        <v>#REF!</v>
      </c>
      <c r="T702" s="86"/>
      <c r="U702" s="85"/>
      <c r="V702" s="87"/>
      <c r="W702" s="85"/>
      <c r="X702" s="88"/>
      <c r="Y702" s="89"/>
      <c r="Z702" s="89"/>
      <c r="AA702" s="88"/>
      <c r="AB702" s="88"/>
      <c r="AF702" s="90"/>
      <c r="AK702" s="91"/>
      <c r="AM702" s="92"/>
      <c r="AN702" s="92"/>
      <c r="AO702" s="92"/>
      <c r="AP702" s="92"/>
      <c r="AQ702" s="92"/>
      <c r="AR702" s="92"/>
    </row>
    <row r="703" spans="1:44" s="84" customFormat="1" ht="24" customHeight="1" x14ac:dyDescent="0.3">
      <c r="A703" s="78" t="s">
        <v>4542</v>
      </c>
      <c r="B703" s="79" t="s">
        <v>1619</v>
      </c>
      <c r="C703" s="112">
        <v>1117698</v>
      </c>
      <c r="D703" s="112">
        <v>1102284</v>
      </c>
      <c r="E703" s="112">
        <v>29228549</v>
      </c>
      <c r="F703" s="81" t="s">
        <v>4579</v>
      </c>
      <c r="G703" s="82" t="s">
        <v>3721</v>
      </c>
      <c r="H703" s="82" t="s">
        <v>4580</v>
      </c>
      <c r="I703" s="82" t="s">
        <v>3103</v>
      </c>
      <c r="J703" s="83" t="e">
        <f>VLOOKUP($C703,CHOOSE({1,2},'[4]Prestações de Conta inadimplent'!$D$9:$D$2000,'[4]Prestações de Conta inadimplent'!$C$9:$C$2000),2,0)</f>
        <v>#N/A</v>
      </c>
      <c r="L703" s="85"/>
      <c r="M703" s="85" t="e">
        <v>#REF!</v>
      </c>
      <c r="T703" s="86"/>
      <c r="U703" s="85"/>
      <c r="V703" s="87"/>
      <c r="W703" s="85"/>
      <c r="X703" s="88"/>
      <c r="Y703" s="89"/>
      <c r="Z703" s="89"/>
      <c r="AA703" s="88"/>
      <c r="AB703" s="88"/>
      <c r="AF703" s="90"/>
      <c r="AK703" s="91"/>
      <c r="AM703" s="92"/>
      <c r="AN703" s="92"/>
      <c r="AO703" s="92"/>
      <c r="AP703" s="92"/>
      <c r="AQ703" s="92"/>
      <c r="AR703" s="92"/>
    </row>
    <row r="704" spans="1:44" s="84" customFormat="1" ht="24" customHeight="1" x14ac:dyDescent="0.3">
      <c r="A704" s="78" t="s">
        <v>4542</v>
      </c>
      <c r="B704" s="79" t="s">
        <v>1619</v>
      </c>
      <c r="C704" s="112">
        <v>1179277</v>
      </c>
      <c r="D704" s="112">
        <v>9999999</v>
      </c>
      <c r="E704" s="112">
        <v>29458994</v>
      </c>
      <c r="F704" s="81" t="s">
        <v>4581</v>
      </c>
      <c r="G704" s="82" t="s">
        <v>3721</v>
      </c>
      <c r="H704" s="82" t="s">
        <v>4582</v>
      </c>
      <c r="I704" s="82" t="s">
        <v>3103</v>
      </c>
      <c r="J704" s="83" t="e">
        <f>VLOOKUP($C704,CHOOSE({1,2},'[4]Prestações de Conta inadimplent'!$D$9:$D$2000,'[4]Prestações de Conta inadimplent'!$C$9:$C$2000),2,0)</f>
        <v>#N/A</v>
      </c>
      <c r="L704" s="85"/>
      <c r="M704" s="85" t="e">
        <v>#REF!</v>
      </c>
      <c r="T704" s="86"/>
      <c r="U704" s="85"/>
      <c r="V704" s="85"/>
      <c r="W704" s="85"/>
      <c r="X704" s="88"/>
      <c r="Y704" s="89"/>
      <c r="Z704" s="89"/>
      <c r="AA704" s="88"/>
      <c r="AB704" s="88"/>
      <c r="AF704" s="90"/>
      <c r="AK704" s="91"/>
      <c r="AM704" s="92"/>
      <c r="AN704" s="92"/>
      <c r="AO704" s="92"/>
      <c r="AP704" s="92"/>
      <c r="AQ704" s="92"/>
      <c r="AR704" s="92"/>
    </row>
    <row r="705" spans="1:44" s="84" customFormat="1" ht="24" customHeight="1" x14ac:dyDescent="0.3">
      <c r="A705" s="78" t="s">
        <v>4542</v>
      </c>
      <c r="B705" s="79" t="s">
        <v>1619</v>
      </c>
      <c r="C705" s="112">
        <v>1117663</v>
      </c>
      <c r="D705" s="112">
        <v>1102282</v>
      </c>
      <c r="E705" s="112">
        <v>29229294</v>
      </c>
      <c r="F705" s="81" t="s">
        <v>4583</v>
      </c>
      <c r="G705" s="82" t="s">
        <v>3721</v>
      </c>
      <c r="H705" s="82" t="s">
        <v>4584</v>
      </c>
      <c r="I705" s="82" t="s">
        <v>3103</v>
      </c>
      <c r="J705" s="83" t="e">
        <f>VLOOKUP($C705,CHOOSE({1,2},'[4]Prestações de Conta inadimplent'!$D$9:$D$2000,'[4]Prestações de Conta inadimplent'!$C$9:$C$2000),2,0)</f>
        <v>#N/A</v>
      </c>
      <c r="L705" s="85"/>
      <c r="M705" s="85" t="e">
        <v>#REF!</v>
      </c>
      <c r="T705" s="86"/>
      <c r="U705" s="85"/>
      <c r="V705" s="87"/>
      <c r="W705" s="85"/>
      <c r="X705" s="88"/>
      <c r="Y705" s="89"/>
      <c r="Z705" s="89"/>
      <c r="AA705" s="88"/>
      <c r="AB705" s="88"/>
      <c r="AF705" s="90"/>
      <c r="AK705" s="91"/>
      <c r="AM705" s="92"/>
      <c r="AN705" s="92"/>
      <c r="AO705" s="92"/>
      <c r="AP705" s="92"/>
      <c r="AQ705" s="92"/>
      <c r="AR705" s="92"/>
    </row>
    <row r="706" spans="1:44" s="84" customFormat="1" ht="24" customHeight="1" x14ac:dyDescent="0.3">
      <c r="A706" s="78" t="s">
        <v>4542</v>
      </c>
      <c r="B706" s="79" t="s">
        <v>1619</v>
      </c>
      <c r="C706" s="112">
        <v>1178421</v>
      </c>
      <c r="D706" s="112">
        <v>1105566</v>
      </c>
      <c r="E706" s="112">
        <v>29397324</v>
      </c>
      <c r="F706" s="81" t="s">
        <v>4585</v>
      </c>
      <c r="G706" s="82" t="s">
        <v>3721</v>
      </c>
      <c r="H706" s="82" t="s">
        <v>4586</v>
      </c>
      <c r="I706" s="82" t="s">
        <v>3103</v>
      </c>
      <c r="J706" s="83" t="e">
        <f>VLOOKUP($C706,CHOOSE({1,2},'[4]Prestações de Conta inadimplent'!$D$9:$D$2000,'[4]Prestações de Conta inadimplent'!$C$9:$C$2000),2,0)</f>
        <v>#N/A</v>
      </c>
      <c r="L706" s="85"/>
      <c r="M706" s="85" t="e">
        <v>#REF!</v>
      </c>
      <c r="T706" s="86"/>
      <c r="U706" s="85"/>
      <c r="V706" s="85"/>
      <c r="W706" s="85"/>
      <c r="X706" s="85"/>
      <c r="Y706" s="89"/>
      <c r="Z706" s="89"/>
      <c r="AA706" s="88"/>
      <c r="AB706" s="88"/>
      <c r="AF706" s="90"/>
      <c r="AK706" s="91"/>
      <c r="AM706" s="92"/>
      <c r="AN706" s="92"/>
      <c r="AO706" s="92"/>
      <c r="AP706" s="92"/>
      <c r="AQ706" s="92"/>
      <c r="AR706" s="92"/>
    </row>
    <row r="707" spans="1:44" s="84" customFormat="1" ht="24" customHeight="1" x14ac:dyDescent="0.3">
      <c r="A707" s="78" t="s">
        <v>4542</v>
      </c>
      <c r="B707" s="79" t="s">
        <v>1619</v>
      </c>
      <c r="C707" s="112">
        <v>1117736</v>
      </c>
      <c r="D707" s="112">
        <v>1102287</v>
      </c>
      <c r="E707" s="112">
        <v>29229464</v>
      </c>
      <c r="F707" s="81" t="s">
        <v>4587</v>
      </c>
      <c r="G707" s="82" t="s">
        <v>3721</v>
      </c>
      <c r="H707" s="82" t="s">
        <v>4588</v>
      </c>
      <c r="I707" s="82" t="s">
        <v>3103</v>
      </c>
      <c r="J707" s="83" t="e">
        <f>VLOOKUP($C707,CHOOSE({1,2},'[4]Prestações de Conta inadimplent'!$D$9:$D$2000,'[4]Prestações de Conta inadimplent'!$C$9:$C$2000),2,0)</f>
        <v>#N/A</v>
      </c>
      <c r="L707" s="85"/>
      <c r="M707" s="85" t="e">
        <v>#REF!</v>
      </c>
      <c r="T707" s="86"/>
      <c r="U707" s="85"/>
      <c r="V707" s="87"/>
      <c r="W707" s="85"/>
      <c r="X707" s="88"/>
      <c r="Y707" s="89"/>
      <c r="Z707" s="89"/>
      <c r="AA707" s="88"/>
      <c r="AB707" s="88"/>
      <c r="AF707" s="90"/>
      <c r="AK707" s="91"/>
      <c r="AM707" s="92"/>
      <c r="AN707" s="92"/>
      <c r="AO707" s="92"/>
      <c r="AP707" s="92"/>
      <c r="AQ707" s="92"/>
      <c r="AR707" s="92"/>
    </row>
    <row r="708" spans="1:44" s="84" customFormat="1" ht="24" customHeight="1" x14ac:dyDescent="0.3">
      <c r="A708" s="78" t="s">
        <v>4542</v>
      </c>
      <c r="B708" s="79" t="s">
        <v>1619</v>
      </c>
      <c r="C708" s="112">
        <v>1117701</v>
      </c>
      <c r="D708" s="112">
        <v>1102285</v>
      </c>
      <c r="E708" s="112">
        <v>29229324</v>
      </c>
      <c r="F708" s="81" t="s">
        <v>4589</v>
      </c>
      <c r="G708" s="82" t="s">
        <v>3721</v>
      </c>
      <c r="H708" s="82" t="s">
        <v>4590</v>
      </c>
      <c r="I708" s="82" t="s">
        <v>3103</v>
      </c>
      <c r="J708" s="83" t="e">
        <f>VLOOKUP($C708,CHOOSE({1,2},'[4]Prestações de Conta inadimplent'!$D$9:$D$2000,'[4]Prestações de Conta inadimplent'!$C$9:$C$2000),2,0)</f>
        <v>#N/A</v>
      </c>
      <c r="L708" s="85"/>
      <c r="M708" s="85" t="e">
        <v>#REF!</v>
      </c>
      <c r="T708" s="86"/>
      <c r="U708" s="85"/>
      <c r="V708" s="87"/>
      <c r="W708" s="85"/>
      <c r="X708" s="88"/>
      <c r="Y708" s="89"/>
      <c r="Z708" s="89"/>
      <c r="AA708" s="88"/>
      <c r="AB708" s="88"/>
      <c r="AF708" s="90"/>
      <c r="AK708" s="91"/>
      <c r="AM708" s="92"/>
      <c r="AN708" s="92"/>
      <c r="AO708" s="92"/>
      <c r="AP708" s="92"/>
      <c r="AQ708" s="92"/>
      <c r="AR708" s="92"/>
    </row>
    <row r="709" spans="1:44" s="84" customFormat="1" ht="24" customHeight="1" x14ac:dyDescent="0.3">
      <c r="A709" s="78" t="s">
        <v>4542</v>
      </c>
      <c r="B709" s="79" t="s">
        <v>1619</v>
      </c>
      <c r="C709" s="112">
        <v>1117868</v>
      </c>
      <c r="D709" s="112">
        <v>1102294</v>
      </c>
      <c r="E709" s="112">
        <v>29227658</v>
      </c>
      <c r="F709" s="81" t="s">
        <v>4591</v>
      </c>
      <c r="G709" s="82" t="s">
        <v>3721</v>
      </c>
      <c r="H709" s="82" t="s">
        <v>4592</v>
      </c>
      <c r="I709" s="82" t="s">
        <v>3103</v>
      </c>
      <c r="J709" s="83" t="e">
        <f>VLOOKUP($C709,CHOOSE({1,2},'[4]Prestações de Conta inadimplent'!$D$9:$D$2000,'[4]Prestações de Conta inadimplent'!$C$9:$C$2000),2,0)</f>
        <v>#N/A</v>
      </c>
      <c r="L709" s="85"/>
      <c r="M709" s="85" t="e">
        <v>#REF!</v>
      </c>
      <c r="T709" s="86"/>
      <c r="U709" s="85"/>
      <c r="V709" s="87"/>
      <c r="W709" s="85"/>
      <c r="X709" s="88"/>
      <c r="Y709" s="89"/>
      <c r="Z709" s="88"/>
      <c r="AA709" s="88"/>
      <c r="AB709" s="88"/>
      <c r="AF709" s="90"/>
      <c r="AK709" s="91"/>
      <c r="AM709" s="92"/>
      <c r="AN709" s="92"/>
      <c r="AO709" s="92"/>
      <c r="AP709" s="92"/>
      <c r="AQ709" s="92"/>
      <c r="AR709" s="92"/>
    </row>
    <row r="710" spans="1:44" s="84" customFormat="1" ht="24" customHeight="1" x14ac:dyDescent="0.3">
      <c r="A710" s="78" t="s">
        <v>4542</v>
      </c>
      <c r="B710" s="79" t="s">
        <v>1619</v>
      </c>
      <c r="C710" s="112">
        <v>1176093</v>
      </c>
      <c r="D710" s="112">
        <v>1102303</v>
      </c>
      <c r="E710" s="112">
        <v>29227690</v>
      </c>
      <c r="F710" s="81" t="s">
        <v>4593</v>
      </c>
      <c r="G710" s="82" t="s">
        <v>3721</v>
      </c>
      <c r="H710" s="82" t="s">
        <v>4594</v>
      </c>
      <c r="I710" s="82" t="s">
        <v>3103</v>
      </c>
      <c r="J710" s="83" t="e">
        <f>VLOOKUP($C710,CHOOSE({1,2},'[4]Prestações de Conta inadimplent'!$D$9:$D$2000,'[4]Prestações de Conta inadimplent'!$C$9:$C$2000),2,0)</f>
        <v>#N/A</v>
      </c>
      <c r="L710" s="85"/>
      <c r="M710" s="85" t="e">
        <v>#REF!</v>
      </c>
      <c r="T710" s="86"/>
      <c r="U710" s="85"/>
      <c r="V710" s="85"/>
      <c r="W710" s="85"/>
      <c r="X710" s="88"/>
      <c r="Y710" s="89"/>
      <c r="Z710" s="89"/>
      <c r="AA710" s="88"/>
      <c r="AB710" s="88"/>
      <c r="AF710" s="90"/>
      <c r="AK710" s="91"/>
      <c r="AM710" s="92"/>
      <c r="AN710" s="92"/>
      <c r="AO710" s="92"/>
      <c r="AP710" s="92"/>
      <c r="AQ710" s="92"/>
      <c r="AR710" s="92"/>
    </row>
    <row r="711" spans="1:44" s="84" customFormat="1" ht="24" customHeight="1" x14ac:dyDescent="0.3">
      <c r="A711" s="78" t="s">
        <v>4542</v>
      </c>
      <c r="B711" s="79" t="s">
        <v>1619</v>
      </c>
      <c r="C711" s="112">
        <v>1117850</v>
      </c>
      <c r="D711" s="112">
        <v>1102293</v>
      </c>
      <c r="E711" s="112">
        <v>29229421</v>
      </c>
      <c r="F711" s="81" t="s">
        <v>4595</v>
      </c>
      <c r="G711" s="82" t="s">
        <v>3721</v>
      </c>
      <c r="H711" s="82" t="s">
        <v>4596</v>
      </c>
      <c r="I711" s="82" t="s">
        <v>3103</v>
      </c>
      <c r="J711" s="83" t="e">
        <f>VLOOKUP($C711,CHOOSE({1,2},'[4]Prestações de Conta inadimplent'!$D$9:$D$2000,'[4]Prestações de Conta inadimplent'!$C$9:$C$2000),2,0)</f>
        <v>#N/A</v>
      </c>
      <c r="L711" s="85"/>
      <c r="M711" s="85" t="e">
        <v>#REF!</v>
      </c>
      <c r="T711" s="86"/>
      <c r="U711" s="85"/>
      <c r="V711" s="87"/>
      <c r="W711" s="85"/>
      <c r="X711" s="88"/>
      <c r="Y711" s="89"/>
      <c r="Z711" s="88"/>
      <c r="AA711" s="88"/>
      <c r="AB711" s="88"/>
      <c r="AF711" s="90"/>
      <c r="AK711" s="91"/>
      <c r="AM711" s="92"/>
      <c r="AN711" s="92"/>
      <c r="AO711" s="92"/>
      <c r="AP711" s="92"/>
      <c r="AQ711" s="92"/>
      <c r="AR711" s="92"/>
    </row>
    <row r="712" spans="1:44" s="84" customFormat="1" ht="24" customHeight="1" x14ac:dyDescent="0.3">
      <c r="A712" s="78" t="s">
        <v>4542</v>
      </c>
      <c r="B712" s="79" t="s">
        <v>1619</v>
      </c>
      <c r="C712" s="112">
        <v>1176664</v>
      </c>
      <c r="D712" s="112">
        <v>1102305</v>
      </c>
      <c r="E712" s="112">
        <v>29408172</v>
      </c>
      <c r="F712" s="81" t="s">
        <v>4597</v>
      </c>
      <c r="G712" s="82" t="s">
        <v>3721</v>
      </c>
      <c r="H712" s="82" t="s">
        <v>4598</v>
      </c>
      <c r="I712" s="82" t="s">
        <v>3103</v>
      </c>
      <c r="J712" s="83" t="e">
        <f>VLOOKUP($C712,CHOOSE({1,2},'[4]Prestações de Conta inadimplent'!$D$9:$D$2000,'[4]Prestações de Conta inadimplent'!$C$9:$C$2000),2,0)</f>
        <v>#N/A</v>
      </c>
      <c r="L712" s="85"/>
      <c r="M712" s="85" t="e">
        <v>#REF!</v>
      </c>
      <c r="T712" s="86"/>
      <c r="U712" s="85"/>
      <c r="V712" s="87"/>
      <c r="W712" s="85"/>
      <c r="X712" s="88"/>
      <c r="Y712" s="89"/>
      <c r="Z712" s="89"/>
      <c r="AA712" s="88"/>
      <c r="AB712" s="88"/>
      <c r="AF712" s="90"/>
      <c r="AK712" s="91"/>
      <c r="AM712" s="92"/>
      <c r="AN712" s="92"/>
      <c r="AO712" s="92"/>
      <c r="AP712" s="92"/>
      <c r="AQ712" s="92"/>
      <c r="AR712" s="92"/>
    </row>
    <row r="713" spans="1:44" s="84" customFormat="1" ht="24" customHeight="1" x14ac:dyDescent="0.3">
      <c r="A713" s="78" t="s">
        <v>4542</v>
      </c>
      <c r="B713" s="79" t="s">
        <v>1619</v>
      </c>
      <c r="C713" s="112">
        <v>1117892</v>
      </c>
      <c r="D713" s="112">
        <v>1102296</v>
      </c>
      <c r="E713" s="112">
        <v>29229529</v>
      </c>
      <c r="F713" s="81" t="s">
        <v>4599</v>
      </c>
      <c r="G713" s="82" t="s">
        <v>3721</v>
      </c>
      <c r="H713" s="82" t="s">
        <v>4600</v>
      </c>
      <c r="I713" s="82" t="s">
        <v>3103</v>
      </c>
      <c r="J713" s="83" t="e">
        <f>VLOOKUP($C713,CHOOSE({1,2},'[4]Prestações de Conta inadimplent'!$D$9:$D$2000,'[4]Prestações de Conta inadimplent'!$C$9:$C$2000),2,0)</f>
        <v>#N/A</v>
      </c>
      <c r="L713" s="85"/>
      <c r="M713" s="85" t="e">
        <v>#REF!</v>
      </c>
      <c r="T713" s="86"/>
      <c r="U713" s="85"/>
      <c r="V713" s="87"/>
      <c r="W713" s="85"/>
      <c r="X713" s="88"/>
      <c r="Y713" s="89"/>
      <c r="Z713" s="89"/>
      <c r="AA713" s="88"/>
      <c r="AB713" s="88"/>
      <c r="AF713" s="90"/>
      <c r="AK713" s="91"/>
      <c r="AM713" s="92"/>
      <c r="AN713" s="92"/>
      <c r="AO713" s="92"/>
      <c r="AP713" s="92"/>
      <c r="AQ713" s="92"/>
      <c r="AR713" s="92"/>
    </row>
    <row r="714" spans="1:44" s="84" customFormat="1" ht="24" customHeight="1" x14ac:dyDescent="0.3">
      <c r="A714" s="78" t="s">
        <v>4542</v>
      </c>
      <c r="B714" s="79" t="s">
        <v>2868</v>
      </c>
      <c r="C714" s="112">
        <v>1178260</v>
      </c>
      <c r="D714" s="112">
        <v>1105501</v>
      </c>
      <c r="E714" s="112">
        <v>29457602</v>
      </c>
      <c r="F714" s="81" t="s">
        <v>4601</v>
      </c>
      <c r="G714" s="82" t="s">
        <v>4602</v>
      </c>
      <c r="H714" s="82" t="s">
        <v>4603</v>
      </c>
      <c r="I714" s="82" t="s">
        <v>3103</v>
      </c>
      <c r="J714" s="83" t="e">
        <f>VLOOKUP($C714,CHOOSE({1,2},'[4]Prestações de Conta inadimplent'!$D$9:$D$2000,'[4]Prestações de Conta inadimplent'!$C$9:$C$2000),2,0)</f>
        <v>#N/A</v>
      </c>
      <c r="L714" s="85"/>
      <c r="M714" s="85" t="e">
        <v>#REF!</v>
      </c>
      <c r="T714" s="86"/>
      <c r="U714" s="85"/>
      <c r="V714" s="87"/>
      <c r="W714" s="85"/>
      <c r="X714" s="88"/>
      <c r="Y714" s="89"/>
      <c r="Z714" s="89"/>
      <c r="AA714" s="88"/>
      <c r="AB714" s="88"/>
      <c r="AF714" s="90"/>
      <c r="AK714" s="91"/>
      <c r="AM714" s="92"/>
      <c r="AN714" s="92"/>
      <c r="AO714" s="92"/>
      <c r="AP714" s="92"/>
      <c r="AQ714" s="92"/>
      <c r="AR714" s="92"/>
    </row>
    <row r="715" spans="1:44" s="84" customFormat="1" ht="24" customHeight="1" x14ac:dyDescent="0.3">
      <c r="A715" s="78" t="s">
        <v>4542</v>
      </c>
      <c r="B715" s="79" t="s">
        <v>4604</v>
      </c>
      <c r="C715" s="112">
        <v>1118147</v>
      </c>
      <c r="D715" s="112">
        <v>1102316</v>
      </c>
      <c r="E715" s="112">
        <v>29273790</v>
      </c>
      <c r="F715" s="81" t="s">
        <v>4605</v>
      </c>
      <c r="G715" s="82" t="s">
        <v>3721</v>
      </c>
      <c r="H715" s="82" t="s">
        <v>4606</v>
      </c>
      <c r="I715" s="82" t="s">
        <v>3103</v>
      </c>
      <c r="J715" s="83" t="e">
        <f>VLOOKUP($C715,CHOOSE({1,2},'[4]Prestações de Conta inadimplent'!$D$9:$D$2000,'[4]Prestações de Conta inadimplent'!$C$9:$C$2000),2,0)</f>
        <v>#N/A</v>
      </c>
      <c r="L715" s="85"/>
      <c r="M715" s="85" t="e">
        <v>#REF!</v>
      </c>
      <c r="T715" s="86"/>
      <c r="U715" s="85"/>
      <c r="V715" s="87"/>
      <c r="W715" s="85"/>
      <c r="X715" s="88"/>
      <c r="Y715" s="89"/>
      <c r="Z715" s="89"/>
      <c r="AA715" s="88"/>
      <c r="AB715" s="88"/>
      <c r="AF715" s="90"/>
      <c r="AK715" s="91"/>
      <c r="AM715" s="92"/>
      <c r="AN715" s="92"/>
      <c r="AO715" s="92"/>
      <c r="AP715" s="92"/>
      <c r="AQ715" s="92"/>
      <c r="AR715" s="92"/>
    </row>
    <row r="716" spans="1:44" s="84" customFormat="1" ht="24" customHeight="1" x14ac:dyDescent="0.3">
      <c r="A716" s="78" t="s">
        <v>4542</v>
      </c>
      <c r="B716" s="79" t="s">
        <v>2604</v>
      </c>
      <c r="C716" s="112">
        <v>1178083</v>
      </c>
      <c r="D716" s="112">
        <v>1104560</v>
      </c>
      <c r="E716" s="112">
        <v>29429498</v>
      </c>
      <c r="F716" s="81" t="s">
        <v>4607</v>
      </c>
      <c r="G716" s="82" t="s">
        <v>3576</v>
      </c>
      <c r="H716" s="82" t="s">
        <v>4608</v>
      </c>
      <c r="I716" s="82" t="s">
        <v>3103</v>
      </c>
      <c r="J716" s="83" t="e">
        <f>VLOOKUP($C716,CHOOSE({1,2},'[4]Prestações de Conta inadimplent'!$D$9:$D$2000,'[4]Prestações de Conta inadimplent'!$C$9:$C$2000),2,0)</f>
        <v>#N/A</v>
      </c>
      <c r="L716" s="85"/>
      <c r="M716" s="85" t="e">
        <v>#REF!</v>
      </c>
      <c r="T716" s="86"/>
      <c r="U716" s="85"/>
      <c r="V716" s="87"/>
      <c r="W716" s="85"/>
      <c r="X716" s="88"/>
      <c r="Y716" s="89"/>
      <c r="Z716" s="88"/>
      <c r="AA716" s="88"/>
      <c r="AB716" s="88"/>
      <c r="AF716" s="90"/>
      <c r="AK716" s="91"/>
      <c r="AM716" s="92"/>
      <c r="AN716" s="92"/>
      <c r="AO716" s="92"/>
      <c r="AP716" s="92"/>
      <c r="AQ716" s="92"/>
      <c r="AR716" s="92"/>
    </row>
    <row r="717" spans="1:44" s="84" customFormat="1" ht="24" customHeight="1" x14ac:dyDescent="0.3">
      <c r="A717" s="78" t="s">
        <v>4542</v>
      </c>
      <c r="B717" s="79" t="s">
        <v>4609</v>
      </c>
      <c r="C717" s="112">
        <v>1118406</v>
      </c>
      <c r="D717" s="112">
        <v>1102339</v>
      </c>
      <c r="E717" s="112">
        <v>29314348</v>
      </c>
      <c r="F717" s="81" t="s">
        <v>4610</v>
      </c>
      <c r="G717" s="82" t="s">
        <v>3557</v>
      </c>
      <c r="H717" s="82" t="s">
        <v>4611</v>
      </c>
      <c r="I717" s="82" t="s">
        <v>3122</v>
      </c>
      <c r="J717" s="83" t="str">
        <f>VLOOKUP($C717,CHOOSE({1,2},'[4]Prestações de Conta inadimplent'!$D$9:$D$2000,'[4]Prestações de Conta inadimplent'!$C$9:$C$2000),2,0)</f>
        <v>Colegio Estadual De Ubata</v>
      </c>
      <c r="L717" s="85"/>
      <c r="M717" s="85" t="e">
        <v>#REF!</v>
      </c>
      <c r="T717" s="86"/>
      <c r="U717" s="85"/>
      <c r="V717" s="87"/>
      <c r="W717" s="85"/>
      <c r="X717" s="88"/>
      <c r="Y717" s="89"/>
      <c r="Z717" s="89"/>
      <c r="AA717" s="88"/>
      <c r="AB717" s="88"/>
      <c r="AF717" s="90"/>
      <c r="AH717" s="85"/>
      <c r="AK717" s="91"/>
      <c r="AM717" s="92"/>
      <c r="AN717" s="92"/>
      <c r="AO717" s="92"/>
      <c r="AP717" s="92"/>
      <c r="AQ717" s="92"/>
      <c r="AR717" s="92"/>
    </row>
    <row r="718" spans="1:44" s="84" customFormat="1" ht="24" customHeight="1" x14ac:dyDescent="0.3">
      <c r="A718" s="78" t="s">
        <v>4612</v>
      </c>
      <c r="B718" s="79" t="s">
        <v>2551</v>
      </c>
      <c r="C718" s="112">
        <v>1178048</v>
      </c>
      <c r="D718" s="112">
        <v>1103273</v>
      </c>
      <c r="E718" s="112">
        <v>29427541</v>
      </c>
      <c r="F718" s="81" t="s">
        <v>4613</v>
      </c>
      <c r="G718" s="82" t="s">
        <v>4614</v>
      </c>
      <c r="H718" s="82" t="s">
        <v>4615</v>
      </c>
      <c r="I718" s="82" t="s">
        <v>3103</v>
      </c>
      <c r="J718" s="83" t="e">
        <f>VLOOKUP($C718,CHOOSE({1,2},'[4]Prestações de Conta inadimplent'!$D$9:$D$2000,'[4]Prestações de Conta inadimplent'!$C$9:$C$2000),2,0)</f>
        <v>#N/A</v>
      </c>
      <c r="L718" s="85"/>
      <c r="M718" s="85" t="e">
        <v>#REF!</v>
      </c>
      <c r="T718" s="86"/>
      <c r="U718" s="85"/>
      <c r="V718" s="87"/>
      <c r="W718" s="85"/>
      <c r="X718" s="88"/>
      <c r="Y718" s="89"/>
      <c r="Z718" s="89"/>
      <c r="AA718" s="88"/>
      <c r="AB718" s="88"/>
      <c r="AF718" s="90"/>
      <c r="AK718" s="91"/>
      <c r="AM718" s="92"/>
      <c r="AN718" s="92"/>
      <c r="AO718" s="92"/>
      <c r="AP718" s="92"/>
      <c r="AQ718" s="92"/>
      <c r="AR718" s="92"/>
    </row>
    <row r="719" spans="1:44" s="84" customFormat="1" ht="24" customHeight="1" x14ac:dyDescent="0.3">
      <c r="A719" s="78" t="s">
        <v>4612</v>
      </c>
      <c r="B719" s="79" t="s">
        <v>130</v>
      </c>
      <c r="C719" s="112">
        <v>1131674</v>
      </c>
      <c r="D719" s="112">
        <v>1103397</v>
      </c>
      <c r="E719" s="112">
        <v>29011507</v>
      </c>
      <c r="F719" s="81" t="s">
        <v>3661</v>
      </c>
      <c r="G719" s="82" t="s">
        <v>4616</v>
      </c>
      <c r="H719" s="82" t="s">
        <v>4617</v>
      </c>
      <c r="I719" s="82" t="s">
        <v>3103</v>
      </c>
      <c r="J719" s="83" t="e">
        <f>VLOOKUP($C719,CHOOSE({1,2},'[4]Prestações de Conta inadimplent'!$D$9:$D$2000,'[4]Prestações de Conta inadimplent'!$C$9:$C$2000),2,0)</f>
        <v>#N/A</v>
      </c>
      <c r="L719" s="85"/>
      <c r="M719" s="85" t="e">
        <v>#REF!</v>
      </c>
      <c r="T719" s="86"/>
      <c r="U719" s="85"/>
      <c r="V719" s="87"/>
      <c r="W719" s="85"/>
      <c r="X719" s="88"/>
      <c r="Y719" s="89"/>
      <c r="Z719" s="88"/>
      <c r="AA719" s="88"/>
      <c r="AB719" s="88"/>
      <c r="AF719" s="90"/>
      <c r="AK719" s="91"/>
      <c r="AM719" s="92"/>
      <c r="AN719" s="92"/>
      <c r="AO719" s="92"/>
      <c r="AP719" s="92"/>
      <c r="AQ719" s="92"/>
      <c r="AR719" s="92"/>
    </row>
    <row r="720" spans="1:44" s="84" customFormat="1" ht="24" customHeight="1" x14ac:dyDescent="0.3">
      <c r="A720" s="78" t="s">
        <v>4612</v>
      </c>
      <c r="B720" s="79" t="s">
        <v>134</v>
      </c>
      <c r="C720" s="112">
        <v>1131607</v>
      </c>
      <c r="D720" s="112">
        <v>1103404</v>
      </c>
      <c r="E720" s="112">
        <v>29011604</v>
      </c>
      <c r="F720" s="81" t="s">
        <v>4618</v>
      </c>
      <c r="G720" s="82" t="s">
        <v>4619</v>
      </c>
      <c r="H720" s="82" t="s">
        <v>4620</v>
      </c>
      <c r="I720" s="82" t="s">
        <v>3103</v>
      </c>
      <c r="J720" s="83" t="e">
        <f>VLOOKUP($C720,CHOOSE({1,2},'[4]Prestações de Conta inadimplent'!$D$9:$D$2000,'[4]Prestações de Conta inadimplent'!$C$9:$C$2000),2,0)</f>
        <v>#N/A</v>
      </c>
      <c r="L720" s="85"/>
      <c r="M720" s="85" t="e">
        <v>#REF!</v>
      </c>
      <c r="T720" s="86"/>
      <c r="U720" s="85"/>
      <c r="V720" s="87"/>
      <c r="W720" s="85"/>
      <c r="X720" s="88"/>
      <c r="Y720" s="89"/>
      <c r="Z720" s="89"/>
      <c r="AA720" s="88"/>
      <c r="AB720" s="88"/>
      <c r="AF720" s="90"/>
      <c r="AK720" s="91"/>
      <c r="AM720" s="92"/>
      <c r="AN720" s="92"/>
      <c r="AO720" s="92"/>
      <c r="AP720" s="92"/>
      <c r="AQ720" s="92"/>
      <c r="AR720" s="92"/>
    </row>
    <row r="721" spans="1:44" s="84" customFormat="1" ht="24" customHeight="1" x14ac:dyDescent="0.3">
      <c r="A721" s="78" t="s">
        <v>4612</v>
      </c>
      <c r="B721" s="79" t="s">
        <v>138</v>
      </c>
      <c r="C721" s="112">
        <v>1131534</v>
      </c>
      <c r="D721" s="112">
        <v>1103413</v>
      </c>
      <c r="E721" s="112">
        <v>29012465</v>
      </c>
      <c r="F721" s="81" t="s">
        <v>4621</v>
      </c>
      <c r="G721" s="82" t="s">
        <v>4622</v>
      </c>
      <c r="H721" s="82" t="s">
        <v>4623</v>
      </c>
      <c r="I721" s="82" t="s">
        <v>3103</v>
      </c>
      <c r="J721" s="83" t="e">
        <f>VLOOKUP($C721,CHOOSE({1,2},'[4]Prestações de Conta inadimplent'!$D$9:$D$2000,'[4]Prestações de Conta inadimplent'!$C$9:$C$2000),2,0)</f>
        <v>#N/A</v>
      </c>
      <c r="L721" s="85"/>
      <c r="M721" s="85" t="e">
        <v>#REF!</v>
      </c>
      <c r="T721" s="86"/>
      <c r="U721" s="85"/>
      <c r="V721" s="87"/>
      <c r="W721" s="85"/>
      <c r="X721" s="88"/>
      <c r="Y721" s="89"/>
      <c r="Z721" s="89"/>
      <c r="AA721" s="88"/>
      <c r="AB721" s="88"/>
      <c r="AF721" s="90"/>
      <c r="AK721" s="91"/>
      <c r="AM721" s="92"/>
      <c r="AN721" s="92"/>
      <c r="AO721" s="92"/>
      <c r="AP721" s="92"/>
      <c r="AQ721" s="92"/>
      <c r="AR721" s="92"/>
    </row>
    <row r="722" spans="1:44" s="84" customFormat="1" ht="24" customHeight="1" x14ac:dyDescent="0.3">
      <c r="A722" s="78" t="s">
        <v>4612</v>
      </c>
      <c r="B722" s="79" t="s">
        <v>142</v>
      </c>
      <c r="C722" s="112">
        <v>1131453</v>
      </c>
      <c r="D722" s="112">
        <v>1103418</v>
      </c>
      <c r="E722" s="112">
        <v>29013275</v>
      </c>
      <c r="F722" s="81" t="s">
        <v>4624</v>
      </c>
      <c r="G722" s="82" t="s">
        <v>4625</v>
      </c>
      <c r="H722" s="82" t="s">
        <v>4626</v>
      </c>
      <c r="I722" s="82" t="s">
        <v>3103</v>
      </c>
      <c r="J722" s="83" t="e">
        <f>VLOOKUP($C722,CHOOSE({1,2},'[4]Prestações de Conta inadimplent'!$D$9:$D$2000,'[4]Prestações de Conta inadimplent'!$C$9:$C$2000),2,0)</f>
        <v>#N/A</v>
      </c>
      <c r="L722" s="85"/>
      <c r="M722" s="85" t="e">
        <v>#REF!</v>
      </c>
      <c r="T722" s="86"/>
      <c r="U722" s="85"/>
      <c r="V722" s="87"/>
      <c r="W722" s="85"/>
      <c r="X722" s="88"/>
      <c r="Y722" s="89"/>
      <c r="Z722" s="89"/>
      <c r="AA722" s="88"/>
      <c r="AB722" s="88"/>
      <c r="AF722" s="90"/>
      <c r="AK722" s="91"/>
      <c r="AM722" s="92"/>
      <c r="AN722" s="92"/>
      <c r="AO722" s="92"/>
      <c r="AP722" s="92"/>
      <c r="AQ722" s="92"/>
      <c r="AR722" s="92"/>
    </row>
    <row r="723" spans="1:44" s="84" customFormat="1" ht="24" customHeight="1" x14ac:dyDescent="0.3">
      <c r="A723" s="78" t="s">
        <v>4612</v>
      </c>
      <c r="B723" s="79" t="s">
        <v>146</v>
      </c>
      <c r="C723" s="112">
        <v>1141726</v>
      </c>
      <c r="D723" s="112">
        <v>1103421</v>
      </c>
      <c r="E723" s="112">
        <v>29013887</v>
      </c>
      <c r="F723" s="81" t="s">
        <v>4627</v>
      </c>
      <c r="G723" s="82" t="s">
        <v>4622</v>
      </c>
      <c r="H723" s="82" t="s">
        <v>4628</v>
      </c>
      <c r="I723" s="82" t="s">
        <v>3103</v>
      </c>
      <c r="J723" s="83" t="e">
        <f>VLOOKUP($C723,CHOOSE({1,2},'[4]Prestações de Conta inadimplent'!$D$9:$D$2000,'[4]Prestações de Conta inadimplent'!$C$9:$C$2000),2,0)</f>
        <v>#N/A</v>
      </c>
      <c r="L723" s="85"/>
      <c r="M723" s="85" t="e">
        <v>#REF!</v>
      </c>
      <c r="T723" s="86"/>
      <c r="U723" s="85"/>
      <c r="V723" s="87"/>
      <c r="W723" s="85"/>
      <c r="X723" s="88"/>
      <c r="Y723" s="89"/>
      <c r="Z723" s="88"/>
      <c r="AA723" s="88"/>
      <c r="AB723" s="88"/>
      <c r="AF723" s="90"/>
      <c r="AK723" s="91"/>
      <c r="AM723" s="92"/>
      <c r="AN723" s="92"/>
      <c r="AO723" s="92"/>
      <c r="AP723" s="92"/>
      <c r="AQ723" s="92"/>
      <c r="AR723" s="92"/>
    </row>
    <row r="724" spans="1:44" s="84" customFormat="1" ht="24" customHeight="1" x14ac:dyDescent="0.3">
      <c r="A724" s="78" t="s">
        <v>4612</v>
      </c>
      <c r="B724" s="79" t="s">
        <v>150</v>
      </c>
      <c r="C724" s="112">
        <v>1132000</v>
      </c>
      <c r="D724" s="112">
        <v>1103438</v>
      </c>
      <c r="E724" s="112">
        <v>29014433</v>
      </c>
      <c r="F724" s="81" t="s">
        <v>4629</v>
      </c>
      <c r="G724" s="82" t="s">
        <v>4622</v>
      </c>
      <c r="H724" s="82" t="s">
        <v>4630</v>
      </c>
      <c r="I724" s="82" t="s">
        <v>3103</v>
      </c>
      <c r="J724" s="83" t="e">
        <f>VLOOKUP($C724,CHOOSE({1,2},'[4]Prestações de Conta inadimplent'!$D$9:$D$2000,'[4]Prestações de Conta inadimplent'!$C$9:$C$2000),2,0)</f>
        <v>#N/A</v>
      </c>
      <c r="L724" s="85"/>
      <c r="M724" s="85" t="e">
        <v>#REF!</v>
      </c>
      <c r="T724" s="86"/>
      <c r="U724" s="85"/>
      <c r="V724" s="87"/>
      <c r="W724" s="85"/>
      <c r="X724" s="88"/>
      <c r="Y724" s="89"/>
      <c r="Z724" s="89"/>
      <c r="AA724" s="88"/>
      <c r="AB724" s="88"/>
      <c r="AF724" s="90"/>
      <c r="AK724" s="91"/>
      <c r="AM724" s="92"/>
      <c r="AN724" s="92"/>
      <c r="AO724" s="92"/>
      <c r="AP724" s="92"/>
      <c r="AQ724" s="92"/>
      <c r="AR724" s="92"/>
    </row>
    <row r="725" spans="1:44" s="84" customFormat="1" ht="24" customHeight="1" x14ac:dyDescent="0.3">
      <c r="A725" s="78" t="s">
        <v>4612</v>
      </c>
      <c r="B725" s="79" t="s">
        <v>150</v>
      </c>
      <c r="C725" s="112">
        <v>1131860</v>
      </c>
      <c r="D725" s="112">
        <v>1104305</v>
      </c>
      <c r="E725" s="112">
        <v>29015227</v>
      </c>
      <c r="F725" s="81" t="s">
        <v>153</v>
      </c>
      <c r="G725" s="82" t="s">
        <v>4622</v>
      </c>
      <c r="H725" s="82" t="s">
        <v>4631</v>
      </c>
      <c r="I725" s="82" t="s">
        <v>3103</v>
      </c>
      <c r="J725" s="83" t="e">
        <f>VLOOKUP($C725,CHOOSE({1,2},'[4]Prestações de Conta inadimplent'!$D$9:$D$2000,'[4]Prestações de Conta inadimplent'!$C$9:$C$2000),2,0)</f>
        <v>#N/A</v>
      </c>
      <c r="L725" s="85"/>
      <c r="M725" s="85" t="e">
        <v>#REF!</v>
      </c>
      <c r="T725" s="86"/>
      <c r="U725" s="85"/>
      <c r="V725" s="87"/>
      <c r="W725" s="85"/>
      <c r="X725" s="88"/>
      <c r="Y725" s="89"/>
      <c r="Z725" s="89"/>
      <c r="AA725" s="88"/>
      <c r="AB725" s="88"/>
      <c r="AF725" s="90"/>
      <c r="AK725" s="91"/>
      <c r="AM725" s="92"/>
      <c r="AN725" s="92"/>
      <c r="AO725" s="92"/>
      <c r="AP725" s="92"/>
      <c r="AQ725" s="92"/>
      <c r="AR725" s="92"/>
    </row>
    <row r="726" spans="1:44" s="84" customFormat="1" ht="24" customHeight="1" x14ac:dyDescent="0.3">
      <c r="A726" s="78" t="s">
        <v>4612</v>
      </c>
      <c r="B726" s="79" t="s">
        <v>156</v>
      </c>
      <c r="C726" s="112">
        <v>1132158</v>
      </c>
      <c r="D726" s="112">
        <v>1103445</v>
      </c>
      <c r="E726" s="112">
        <v>29015413</v>
      </c>
      <c r="F726" s="81" t="s">
        <v>4632</v>
      </c>
      <c r="G726" s="82" t="s">
        <v>4616</v>
      </c>
      <c r="H726" s="82" t="s">
        <v>4633</v>
      </c>
      <c r="I726" s="82" t="s">
        <v>3103</v>
      </c>
      <c r="J726" s="83" t="e">
        <f>VLOOKUP($C726,CHOOSE({1,2},'[4]Prestações de Conta inadimplent'!$D$9:$D$2000,'[4]Prestações de Conta inadimplent'!$C$9:$C$2000),2,0)</f>
        <v>#N/A</v>
      </c>
      <c r="L726" s="85"/>
      <c r="M726" s="85" t="e">
        <v>#REF!</v>
      </c>
      <c r="T726" s="86"/>
      <c r="U726" s="85"/>
      <c r="V726" s="87"/>
      <c r="W726" s="85"/>
      <c r="X726" s="88"/>
      <c r="Y726" s="89"/>
      <c r="Z726" s="88"/>
      <c r="AA726" s="88"/>
      <c r="AB726" s="88"/>
      <c r="AF726" s="90"/>
      <c r="AK726" s="91"/>
      <c r="AM726" s="92"/>
      <c r="AN726" s="92"/>
      <c r="AO726" s="92"/>
      <c r="AP726" s="92"/>
      <c r="AQ726" s="92"/>
      <c r="AR726" s="92"/>
    </row>
    <row r="727" spans="1:44" s="84" customFormat="1" ht="24" customHeight="1" x14ac:dyDescent="0.3">
      <c r="A727" s="78" t="s">
        <v>4612</v>
      </c>
      <c r="B727" s="79" t="s">
        <v>160</v>
      </c>
      <c r="C727" s="112">
        <v>1167741</v>
      </c>
      <c r="D727" s="112">
        <v>1103452</v>
      </c>
      <c r="E727" s="112">
        <v>29016339</v>
      </c>
      <c r="F727" s="81" t="s">
        <v>4634</v>
      </c>
      <c r="G727" s="82" t="s">
        <v>4622</v>
      </c>
      <c r="H727" s="82" t="s">
        <v>4635</v>
      </c>
      <c r="I727" s="82" t="s">
        <v>3103</v>
      </c>
      <c r="J727" s="83" t="e">
        <f>VLOOKUP($C727,CHOOSE({1,2},'[4]Prestações de Conta inadimplent'!$D$9:$D$2000,'[4]Prestações de Conta inadimplent'!$C$9:$C$2000),2,0)</f>
        <v>#N/A</v>
      </c>
      <c r="L727" s="85"/>
      <c r="M727" s="85" t="e">
        <v>#REF!</v>
      </c>
      <c r="T727" s="86"/>
      <c r="U727" s="85"/>
      <c r="V727" s="87"/>
      <c r="W727" s="85"/>
      <c r="X727" s="88"/>
      <c r="Y727" s="89"/>
      <c r="Z727" s="89"/>
      <c r="AA727" s="88"/>
      <c r="AB727" s="88"/>
      <c r="AF727" s="90"/>
      <c r="AK727" s="91"/>
      <c r="AM727" s="92"/>
      <c r="AN727" s="92"/>
      <c r="AO727" s="92"/>
      <c r="AP727" s="92"/>
      <c r="AQ727" s="92"/>
      <c r="AR727" s="92"/>
    </row>
    <row r="728" spans="1:44" s="84" customFormat="1" ht="24" customHeight="1" x14ac:dyDescent="0.3">
      <c r="A728" s="78" t="s">
        <v>4612</v>
      </c>
      <c r="B728" s="79" t="s">
        <v>164</v>
      </c>
      <c r="C728" s="112">
        <v>1131798</v>
      </c>
      <c r="D728" s="112">
        <v>1103455</v>
      </c>
      <c r="E728" s="112">
        <v>29016916</v>
      </c>
      <c r="F728" s="81" t="s">
        <v>4636</v>
      </c>
      <c r="G728" s="82" t="s">
        <v>4614</v>
      </c>
      <c r="H728" s="82" t="s">
        <v>4637</v>
      </c>
      <c r="I728" s="82" t="s">
        <v>3103</v>
      </c>
      <c r="J728" s="83" t="e">
        <f>VLOOKUP($C728,CHOOSE({1,2},'[4]Prestações de Conta inadimplent'!$D$9:$D$2000,'[4]Prestações de Conta inadimplent'!$C$9:$C$2000),2,0)</f>
        <v>#N/A</v>
      </c>
      <c r="L728" s="85"/>
      <c r="M728" s="85" t="e">
        <v>#REF!</v>
      </c>
      <c r="T728" s="86"/>
      <c r="U728" s="85"/>
      <c r="V728" s="87"/>
      <c r="W728" s="85"/>
      <c r="X728" s="88"/>
      <c r="Y728" s="89"/>
      <c r="Z728" s="89"/>
      <c r="AA728" s="88"/>
      <c r="AB728" s="88"/>
      <c r="AF728" s="90"/>
      <c r="AK728" s="91"/>
      <c r="AM728" s="92"/>
      <c r="AN728" s="92"/>
      <c r="AO728" s="92"/>
      <c r="AP728" s="92"/>
      <c r="AQ728" s="92"/>
      <c r="AR728" s="92"/>
    </row>
    <row r="729" spans="1:44" s="84" customFormat="1" ht="24" customHeight="1" x14ac:dyDescent="0.3">
      <c r="A729" s="78" t="s">
        <v>4612</v>
      </c>
      <c r="B729" s="79" t="s">
        <v>122</v>
      </c>
      <c r="C729" s="112">
        <v>1131739</v>
      </c>
      <c r="D729" s="112">
        <v>1103361</v>
      </c>
      <c r="E729" s="112">
        <v>29009880</v>
      </c>
      <c r="F729" s="81" t="s">
        <v>123</v>
      </c>
      <c r="G729" s="82" t="s">
        <v>4614</v>
      </c>
      <c r="H729" s="82" t="s">
        <v>4638</v>
      </c>
      <c r="I729" s="82" t="s">
        <v>3103</v>
      </c>
      <c r="J729" s="83" t="e">
        <f>VLOOKUP($C729,CHOOSE({1,2},'[4]Prestações de Conta inadimplent'!$D$9:$D$2000,'[4]Prestações de Conta inadimplent'!$C$9:$C$2000),2,0)</f>
        <v>#N/A</v>
      </c>
      <c r="L729" s="85"/>
      <c r="M729" s="85" t="e">
        <v>#REF!</v>
      </c>
      <c r="T729" s="86"/>
      <c r="U729" s="85"/>
      <c r="V729" s="87"/>
      <c r="W729" s="85"/>
      <c r="X729" s="88"/>
      <c r="Y729" s="89"/>
      <c r="Z729" s="89"/>
      <c r="AA729" s="88"/>
      <c r="AB729" s="88"/>
      <c r="AF729" s="90"/>
      <c r="AH729" s="85"/>
      <c r="AK729" s="91"/>
      <c r="AM729" s="92"/>
      <c r="AN729" s="92"/>
      <c r="AO729" s="92"/>
      <c r="AP729" s="92"/>
      <c r="AQ729" s="92"/>
      <c r="AR729" s="92"/>
    </row>
    <row r="730" spans="1:44" s="84" customFormat="1" ht="24" customHeight="1" x14ac:dyDescent="0.3">
      <c r="A730" s="78" t="s">
        <v>4639</v>
      </c>
      <c r="B730" s="79" t="s">
        <v>224</v>
      </c>
      <c r="C730" s="112">
        <v>1179245</v>
      </c>
      <c r="D730" s="112">
        <v>9999999</v>
      </c>
      <c r="E730" s="112">
        <v>29456886</v>
      </c>
      <c r="F730" s="81" t="s">
        <v>4640</v>
      </c>
      <c r="G730" s="82" t="s">
        <v>4178</v>
      </c>
      <c r="H730" s="82" t="s">
        <v>4641</v>
      </c>
      <c r="I730" s="82" t="s">
        <v>3103</v>
      </c>
      <c r="J730" s="83" t="e">
        <f>VLOOKUP($C730,CHOOSE({1,2},'[4]Prestações de Conta inadimplent'!$D$9:$D$2000,'[4]Prestações de Conta inadimplent'!$C$9:$C$2000),2,0)</f>
        <v>#N/A</v>
      </c>
      <c r="L730" s="85"/>
      <c r="M730" s="85" t="e">
        <v>#REF!</v>
      </c>
      <c r="T730" s="86"/>
      <c r="U730" s="85"/>
      <c r="V730" s="87"/>
      <c r="W730" s="85"/>
      <c r="X730" s="88"/>
      <c r="Y730" s="89"/>
      <c r="Z730" s="89"/>
      <c r="AA730" s="88"/>
      <c r="AB730" s="88"/>
      <c r="AF730" s="90"/>
      <c r="AK730" s="91"/>
      <c r="AM730" s="92"/>
      <c r="AN730" s="92"/>
      <c r="AO730" s="92"/>
      <c r="AP730" s="92"/>
      <c r="AQ730" s="92"/>
      <c r="AR730" s="92"/>
    </row>
    <row r="731" spans="1:44" s="84" customFormat="1" ht="24" customHeight="1" x14ac:dyDescent="0.3">
      <c r="A731" s="78" t="s">
        <v>4639</v>
      </c>
      <c r="B731" s="79" t="s">
        <v>224</v>
      </c>
      <c r="C731" s="112">
        <v>1113960</v>
      </c>
      <c r="D731" s="112">
        <v>1101736</v>
      </c>
      <c r="E731" s="112">
        <v>29032539</v>
      </c>
      <c r="F731" s="81" t="s">
        <v>4642</v>
      </c>
      <c r="G731" s="82" t="s">
        <v>4178</v>
      </c>
      <c r="H731" s="82" t="s">
        <v>4643</v>
      </c>
      <c r="I731" s="82" t="s">
        <v>3103</v>
      </c>
      <c r="J731" s="83" t="e">
        <f>VLOOKUP($C731,CHOOSE({1,2},'[4]Prestações de Conta inadimplent'!$D$9:$D$2000,'[4]Prestações de Conta inadimplent'!$C$9:$C$2000),2,0)</f>
        <v>#N/A</v>
      </c>
      <c r="L731" s="85"/>
      <c r="M731" s="85" t="e">
        <v>#REF!</v>
      </c>
      <c r="T731" s="86"/>
      <c r="U731" s="85"/>
      <c r="V731" s="87"/>
      <c r="W731" s="85"/>
      <c r="X731" s="88"/>
      <c r="Y731" s="89"/>
      <c r="Z731" s="89"/>
      <c r="AA731" s="88"/>
      <c r="AB731" s="88"/>
      <c r="AF731" s="90"/>
      <c r="AK731" s="91"/>
      <c r="AM731" s="92"/>
      <c r="AN731" s="92"/>
      <c r="AO731" s="92"/>
      <c r="AP731" s="92"/>
      <c r="AQ731" s="92"/>
      <c r="AR731" s="92"/>
    </row>
    <row r="732" spans="1:44" s="84" customFormat="1" ht="24" customHeight="1" x14ac:dyDescent="0.3">
      <c r="A732" s="78" t="s">
        <v>4639</v>
      </c>
      <c r="B732" s="79" t="s">
        <v>224</v>
      </c>
      <c r="C732" s="112">
        <v>1113927</v>
      </c>
      <c r="D732" s="112">
        <v>1101732</v>
      </c>
      <c r="E732" s="112">
        <v>29033047</v>
      </c>
      <c r="F732" s="81" t="s">
        <v>4644</v>
      </c>
      <c r="G732" s="82" t="s">
        <v>4178</v>
      </c>
      <c r="H732" s="82" t="s">
        <v>4645</v>
      </c>
      <c r="I732" s="82" t="s">
        <v>3103</v>
      </c>
      <c r="J732" s="83" t="e">
        <f>VLOOKUP($C732,CHOOSE({1,2},'[4]Prestações de Conta inadimplent'!$D$9:$D$2000,'[4]Prestações de Conta inadimplent'!$C$9:$C$2000),2,0)</f>
        <v>#N/A</v>
      </c>
      <c r="L732" s="85"/>
      <c r="M732" s="85" t="e">
        <v>#REF!</v>
      </c>
      <c r="T732" s="86"/>
      <c r="U732" s="85"/>
      <c r="V732" s="87"/>
      <c r="W732" s="85"/>
      <c r="X732" s="88"/>
      <c r="Y732" s="89"/>
      <c r="Z732" s="89"/>
      <c r="AA732" s="88"/>
      <c r="AB732" s="88"/>
      <c r="AF732" s="90"/>
      <c r="AK732" s="91"/>
      <c r="AM732" s="92"/>
      <c r="AN732" s="92"/>
      <c r="AO732" s="92"/>
      <c r="AP732" s="92"/>
      <c r="AQ732" s="92"/>
      <c r="AR732" s="92"/>
    </row>
    <row r="733" spans="1:44" s="84" customFormat="1" ht="24" customHeight="1" x14ac:dyDescent="0.3">
      <c r="A733" s="78" t="s">
        <v>4639</v>
      </c>
      <c r="B733" s="79" t="s">
        <v>231</v>
      </c>
      <c r="C733" s="112">
        <v>1178070</v>
      </c>
      <c r="D733" s="112">
        <v>1101750</v>
      </c>
      <c r="E733" s="112">
        <v>29424526</v>
      </c>
      <c r="F733" s="81" t="s">
        <v>2510</v>
      </c>
      <c r="G733" s="82" t="s">
        <v>4178</v>
      </c>
      <c r="H733" s="82" t="s">
        <v>4646</v>
      </c>
      <c r="I733" s="82" t="s">
        <v>3103</v>
      </c>
      <c r="J733" s="83" t="e">
        <f>VLOOKUP($C733,CHOOSE({1,2},'[4]Prestações de Conta inadimplent'!$D$9:$D$2000,'[4]Prestações de Conta inadimplent'!$C$9:$C$2000),2,0)</f>
        <v>#N/A</v>
      </c>
      <c r="L733" s="85"/>
      <c r="M733" s="85" t="e">
        <v>#REF!</v>
      </c>
      <c r="T733" s="86"/>
      <c r="U733" s="85"/>
      <c r="V733" s="87"/>
      <c r="W733" s="85"/>
      <c r="X733" s="88"/>
      <c r="Y733" s="89"/>
      <c r="Z733" s="88"/>
      <c r="AA733" s="88"/>
      <c r="AB733" s="88"/>
      <c r="AF733" s="90"/>
      <c r="AH733" s="85"/>
      <c r="AK733" s="91"/>
      <c r="AM733" s="92"/>
      <c r="AN733" s="92"/>
      <c r="AO733" s="92"/>
      <c r="AP733" s="92"/>
      <c r="AQ733" s="92"/>
      <c r="AR733" s="92"/>
    </row>
    <row r="734" spans="1:44" s="84" customFormat="1" ht="24" customHeight="1" x14ac:dyDescent="0.3">
      <c r="A734" s="78" t="s">
        <v>4639</v>
      </c>
      <c r="B734" s="79" t="s">
        <v>231</v>
      </c>
      <c r="C734" s="112">
        <v>1113994</v>
      </c>
      <c r="D734" s="112">
        <v>1101744</v>
      </c>
      <c r="E734" s="112">
        <v>29033187</v>
      </c>
      <c r="F734" s="81" t="s">
        <v>4647</v>
      </c>
      <c r="G734" s="82" t="s">
        <v>4178</v>
      </c>
      <c r="H734" s="82" t="s">
        <v>4588</v>
      </c>
      <c r="I734" s="82" t="s">
        <v>3103</v>
      </c>
      <c r="J734" s="83" t="e">
        <f>VLOOKUP($C734,CHOOSE({1,2},'[4]Prestações de Conta inadimplent'!$D$9:$D$2000,'[4]Prestações de Conta inadimplent'!$C$9:$C$2000),2,0)</f>
        <v>#N/A</v>
      </c>
      <c r="L734" s="85"/>
      <c r="M734" s="85" t="e">
        <v>#REF!</v>
      </c>
      <c r="T734" s="86"/>
      <c r="U734" s="85"/>
      <c r="V734" s="87"/>
      <c r="W734" s="85"/>
      <c r="X734" s="88"/>
      <c r="Y734" s="89"/>
      <c r="Z734" s="88"/>
      <c r="AA734" s="88"/>
      <c r="AB734" s="88"/>
      <c r="AF734" s="90"/>
      <c r="AK734" s="91"/>
      <c r="AM734" s="92"/>
      <c r="AN734" s="92"/>
      <c r="AO734" s="92"/>
      <c r="AP734" s="92"/>
      <c r="AQ734" s="92"/>
      <c r="AR734" s="92"/>
    </row>
    <row r="735" spans="1:44" s="84" customFormat="1" ht="24" customHeight="1" x14ac:dyDescent="0.3">
      <c r="A735" s="78" t="s">
        <v>4639</v>
      </c>
      <c r="B735" s="79" t="s">
        <v>235</v>
      </c>
      <c r="C735" s="112">
        <v>1179479</v>
      </c>
      <c r="D735" s="112">
        <v>9999999</v>
      </c>
      <c r="E735" s="112">
        <v>29739624</v>
      </c>
      <c r="F735" s="81" t="s">
        <v>3050</v>
      </c>
      <c r="G735" s="82" t="s">
        <v>4178</v>
      </c>
      <c r="H735" s="82" t="s">
        <v>4648</v>
      </c>
      <c r="I735" s="82" t="s">
        <v>3103</v>
      </c>
      <c r="J735" s="83" t="e">
        <f>VLOOKUP($C735,CHOOSE({1,2},'[4]Prestações de Conta inadimplent'!$D$9:$D$2000,'[4]Prestações de Conta inadimplent'!$C$9:$C$2000),2,0)</f>
        <v>#N/A</v>
      </c>
      <c r="L735" s="85"/>
      <c r="M735" s="85" t="e">
        <v>#REF!</v>
      </c>
      <c r="T735" s="86"/>
      <c r="U735" s="85"/>
      <c r="V735" s="87"/>
      <c r="W735" s="85"/>
      <c r="X735" s="85"/>
      <c r="Y735" s="89"/>
      <c r="Z735" s="89"/>
      <c r="AA735" s="88"/>
      <c r="AB735" s="88"/>
      <c r="AF735" s="90"/>
      <c r="AK735" s="91"/>
      <c r="AM735" s="92"/>
      <c r="AN735" s="92"/>
      <c r="AO735" s="92"/>
      <c r="AP735" s="92"/>
      <c r="AQ735" s="92"/>
      <c r="AR735" s="92"/>
    </row>
    <row r="736" spans="1:44" s="84" customFormat="1" ht="24" customHeight="1" x14ac:dyDescent="0.3">
      <c r="A736" s="78" t="s">
        <v>4639</v>
      </c>
      <c r="B736" s="79" t="s">
        <v>235</v>
      </c>
      <c r="C736" s="112">
        <v>1179204</v>
      </c>
      <c r="D736" s="112">
        <v>9999999</v>
      </c>
      <c r="E736" s="112">
        <v>29366739</v>
      </c>
      <c r="F736" s="81" t="s">
        <v>4649</v>
      </c>
      <c r="G736" s="82" t="s">
        <v>4178</v>
      </c>
      <c r="H736" s="82" t="s">
        <v>4650</v>
      </c>
      <c r="I736" s="82" t="s">
        <v>3103</v>
      </c>
      <c r="J736" s="83" t="e">
        <f>VLOOKUP($C736,CHOOSE({1,2},'[4]Prestações de Conta inadimplent'!$D$9:$D$2000,'[4]Prestações de Conta inadimplent'!$C$9:$C$2000),2,0)</f>
        <v>#N/A</v>
      </c>
      <c r="L736" s="85"/>
      <c r="M736" s="85" t="e">
        <v>#REF!</v>
      </c>
      <c r="T736" s="86"/>
      <c r="U736" s="85"/>
      <c r="V736" s="87"/>
      <c r="W736" s="85"/>
      <c r="X736" s="88"/>
      <c r="Y736" s="89"/>
      <c r="Z736" s="89"/>
      <c r="AA736" s="88"/>
      <c r="AB736" s="88"/>
      <c r="AF736" s="90"/>
      <c r="AK736" s="91"/>
      <c r="AM736" s="92"/>
      <c r="AN736" s="92"/>
      <c r="AO736" s="92"/>
      <c r="AP736" s="92"/>
      <c r="AQ736" s="92"/>
      <c r="AR736" s="92"/>
    </row>
    <row r="737" spans="1:44" s="84" customFormat="1" ht="24" customHeight="1" x14ac:dyDescent="0.3">
      <c r="A737" s="78" t="s">
        <v>4639</v>
      </c>
      <c r="B737" s="79" t="s">
        <v>235</v>
      </c>
      <c r="C737" s="112">
        <v>1179203</v>
      </c>
      <c r="D737" s="112">
        <v>9999999</v>
      </c>
      <c r="E737" s="112">
        <v>29373018</v>
      </c>
      <c r="F737" s="81" t="s">
        <v>4651</v>
      </c>
      <c r="G737" s="82" t="s">
        <v>4178</v>
      </c>
      <c r="H737" s="82" t="s">
        <v>4652</v>
      </c>
      <c r="I737" s="82" t="s">
        <v>3103</v>
      </c>
      <c r="J737" s="83" t="e">
        <f>VLOOKUP($C737,CHOOSE({1,2},'[4]Prestações de Conta inadimplent'!$D$9:$D$2000,'[4]Prestações de Conta inadimplent'!$C$9:$C$2000),2,0)</f>
        <v>#N/A</v>
      </c>
      <c r="L737" s="85"/>
      <c r="M737" s="85" t="e">
        <v>#REF!</v>
      </c>
      <c r="T737" s="86"/>
      <c r="U737" s="85"/>
      <c r="V737" s="87"/>
      <c r="W737" s="85"/>
      <c r="X737" s="88"/>
      <c r="Y737" s="89"/>
      <c r="Z737" s="89"/>
      <c r="AA737" s="88"/>
      <c r="AB737" s="88"/>
      <c r="AF737" s="90"/>
      <c r="AH737" s="85"/>
      <c r="AK737" s="91"/>
      <c r="AM737" s="92"/>
      <c r="AN737" s="92"/>
      <c r="AO737" s="92"/>
      <c r="AP737" s="92"/>
      <c r="AQ737" s="92"/>
      <c r="AR737" s="92"/>
    </row>
    <row r="738" spans="1:44" s="84" customFormat="1" ht="24" customHeight="1" x14ac:dyDescent="0.3">
      <c r="A738" s="78" t="s">
        <v>4639</v>
      </c>
      <c r="B738" s="79" t="s">
        <v>235</v>
      </c>
      <c r="C738" s="112">
        <v>1179202</v>
      </c>
      <c r="D738" s="112">
        <v>9999999</v>
      </c>
      <c r="E738" s="112">
        <v>29033950</v>
      </c>
      <c r="F738" s="81" t="s">
        <v>236</v>
      </c>
      <c r="G738" s="82" t="s">
        <v>4178</v>
      </c>
      <c r="H738" s="82" t="s">
        <v>4653</v>
      </c>
      <c r="I738" s="82" t="s">
        <v>3103</v>
      </c>
      <c r="J738" s="83" t="e">
        <f>VLOOKUP($C738,CHOOSE({1,2},'[4]Prestações de Conta inadimplent'!$D$9:$D$2000,'[4]Prestações de Conta inadimplent'!$C$9:$C$2000),2,0)</f>
        <v>#N/A</v>
      </c>
      <c r="L738" s="85"/>
      <c r="M738" s="85" t="e">
        <v>#REF!</v>
      </c>
      <c r="T738" s="86"/>
      <c r="U738" s="85"/>
      <c r="V738" s="87"/>
      <c r="W738" s="85"/>
      <c r="X738" s="85"/>
      <c r="Y738" s="89"/>
      <c r="Z738" s="89"/>
      <c r="AA738" s="88"/>
      <c r="AB738" s="88"/>
      <c r="AF738" s="90"/>
      <c r="AK738" s="91"/>
      <c r="AM738" s="92"/>
      <c r="AN738" s="92"/>
      <c r="AO738" s="92"/>
      <c r="AP738" s="92"/>
      <c r="AQ738" s="92"/>
      <c r="AR738" s="92"/>
    </row>
    <row r="739" spans="1:44" s="84" customFormat="1" ht="24" customHeight="1" x14ac:dyDescent="0.3">
      <c r="A739" s="78" t="s">
        <v>4639</v>
      </c>
      <c r="B739" s="79" t="s">
        <v>235</v>
      </c>
      <c r="C739" s="112">
        <v>1138504</v>
      </c>
      <c r="D739" s="112">
        <v>1101766</v>
      </c>
      <c r="E739" s="112">
        <v>29034205</v>
      </c>
      <c r="F739" s="81" t="s">
        <v>4654</v>
      </c>
      <c r="G739" s="82" t="s">
        <v>4178</v>
      </c>
      <c r="H739" s="82" t="s">
        <v>4598</v>
      </c>
      <c r="I739" s="82" t="s">
        <v>3103</v>
      </c>
      <c r="J739" s="83" t="e">
        <f>VLOOKUP($C739,CHOOSE({1,2},'[4]Prestações de Conta inadimplent'!$D$9:$D$2000,'[4]Prestações de Conta inadimplent'!$C$9:$C$2000),2,0)</f>
        <v>#N/A</v>
      </c>
      <c r="L739" s="85"/>
      <c r="M739" s="85" t="e">
        <v>#REF!</v>
      </c>
      <c r="T739" s="86"/>
      <c r="U739" s="85"/>
      <c r="V739" s="87"/>
      <c r="W739" s="85"/>
      <c r="X739" s="88"/>
      <c r="Y739" s="89"/>
      <c r="Z739" s="89"/>
      <c r="AA739" s="88"/>
      <c r="AB739" s="88"/>
      <c r="AF739" s="90"/>
      <c r="AK739" s="91"/>
      <c r="AM739" s="92"/>
      <c r="AN739" s="92"/>
      <c r="AO739" s="92"/>
      <c r="AP739" s="92"/>
      <c r="AQ739" s="92"/>
      <c r="AR739" s="92"/>
    </row>
    <row r="740" spans="1:44" s="84" customFormat="1" ht="24" customHeight="1" x14ac:dyDescent="0.3">
      <c r="A740" s="78" t="s">
        <v>4639</v>
      </c>
      <c r="B740" s="79" t="s">
        <v>235</v>
      </c>
      <c r="C740" s="112">
        <v>1179123</v>
      </c>
      <c r="D740" s="112">
        <v>1105601</v>
      </c>
      <c r="E740" s="112">
        <v>29354536</v>
      </c>
      <c r="F740" s="81" t="s">
        <v>2220</v>
      </c>
      <c r="G740" s="82" t="s">
        <v>4178</v>
      </c>
      <c r="H740" s="82" t="s">
        <v>4655</v>
      </c>
      <c r="I740" s="82" t="s">
        <v>3103</v>
      </c>
      <c r="J740" s="83" t="e">
        <f>VLOOKUP($C740,CHOOSE({1,2},'[4]Prestações de Conta inadimplent'!$D$9:$D$2000,'[4]Prestações de Conta inadimplent'!$C$9:$C$2000),2,0)</f>
        <v>#N/A</v>
      </c>
      <c r="L740" s="85"/>
      <c r="M740" s="85" t="e">
        <v>#REF!</v>
      </c>
      <c r="T740" s="86"/>
      <c r="U740" s="85"/>
      <c r="V740" s="87"/>
      <c r="W740" s="85"/>
      <c r="X740" s="88"/>
      <c r="Y740" s="89"/>
      <c r="Z740" s="89"/>
      <c r="AA740" s="88"/>
      <c r="AB740" s="88"/>
      <c r="AF740" s="90"/>
      <c r="AK740" s="91"/>
      <c r="AM740" s="92"/>
      <c r="AN740" s="92"/>
      <c r="AO740" s="92"/>
      <c r="AP740" s="92"/>
      <c r="AQ740" s="92"/>
      <c r="AR740" s="92"/>
    </row>
    <row r="741" spans="1:44" s="84" customFormat="1" ht="24" customHeight="1" x14ac:dyDescent="0.3">
      <c r="A741" s="104">
        <v>24</v>
      </c>
      <c r="B741" s="97" t="s">
        <v>235</v>
      </c>
      <c r="C741" s="94">
        <v>1179669</v>
      </c>
      <c r="D741" s="94">
        <v>9999999</v>
      </c>
      <c r="E741" s="94">
        <v>29493773</v>
      </c>
      <c r="F741" s="121" t="s">
        <v>4656</v>
      </c>
      <c r="G741" s="82" t="s">
        <v>3192</v>
      </c>
      <c r="H741" s="82" t="s">
        <v>3192</v>
      </c>
      <c r="I741" s="82" t="s">
        <v>3103</v>
      </c>
      <c r="J741" s="83" t="e">
        <f>VLOOKUP($C741,CHOOSE({1,2},'[4]Prestações de Conta inadimplent'!$D$9:$D$2000,'[4]Prestações de Conta inadimplent'!$C$9:$C$2000),2,0)</f>
        <v>#N/A</v>
      </c>
      <c r="L741" s="85"/>
      <c r="M741" s="85"/>
      <c r="T741" s="86"/>
      <c r="U741" s="85"/>
      <c r="V741" s="87"/>
      <c r="W741" s="85"/>
      <c r="X741" s="88"/>
      <c r="Y741" s="89"/>
      <c r="Z741" s="89"/>
      <c r="AA741" s="88"/>
      <c r="AB741" s="88"/>
      <c r="AF741" s="90"/>
      <c r="AK741" s="91"/>
      <c r="AM741" s="92"/>
      <c r="AN741" s="92"/>
      <c r="AO741" s="92"/>
      <c r="AP741" s="92"/>
      <c r="AQ741" s="92"/>
      <c r="AR741" s="92"/>
    </row>
    <row r="742" spans="1:44" s="84" customFormat="1" ht="24" customHeight="1" x14ac:dyDescent="0.3">
      <c r="A742" s="78" t="s">
        <v>4639</v>
      </c>
      <c r="B742" s="79" t="s">
        <v>242</v>
      </c>
      <c r="C742" s="112">
        <v>1114265</v>
      </c>
      <c r="D742" s="112">
        <v>1101797</v>
      </c>
      <c r="E742" s="112">
        <v>29034280</v>
      </c>
      <c r="F742" s="81" t="s">
        <v>4657</v>
      </c>
      <c r="G742" s="82" t="s">
        <v>4178</v>
      </c>
      <c r="H742" s="82" t="s">
        <v>4658</v>
      </c>
      <c r="I742" s="82" t="s">
        <v>3103</v>
      </c>
      <c r="J742" s="83" t="e">
        <f>VLOOKUP($C742,CHOOSE({1,2},'[4]Prestações de Conta inadimplent'!$D$9:$D$2000,'[4]Prestações de Conta inadimplent'!$C$9:$C$2000),2,0)</f>
        <v>#N/A</v>
      </c>
      <c r="L742" s="85"/>
      <c r="M742" s="85" t="e">
        <v>#REF!</v>
      </c>
      <c r="T742" s="86"/>
      <c r="U742" s="85"/>
      <c r="V742" s="87"/>
      <c r="W742" s="85"/>
      <c r="X742" s="88"/>
      <c r="Y742" s="89"/>
      <c r="Z742" s="88"/>
      <c r="AA742" s="88"/>
      <c r="AB742" s="88"/>
      <c r="AF742" s="90"/>
      <c r="AK742" s="91"/>
      <c r="AM742" s="92"/>
      <c r="AN742" s="92"/>
      <c r="AO742" s="92"/>
      <c r="AP742" s="92"/>
      <c r="AQ742" s="92"/>
      <c r="AR742" s="92"/>
    </row>
    <row r="743" spans="1:44" s="84" customFormat="1" ht="24" customHeight="1" x14ac:dyDescent="0.3">
      <c r="A743" s="78" t="s">
        <v>4639</v>
      </c>
      <c r="B743" s="79" t="s">
        <v>246</v>
      </c>
      <c r="C743" s="112">
        <v>1118040</v>
      </c>
      <c r="D743" s="112">
        <v>1101817</v>
      </c>
      <c r="E743" s="112">
        <v>29034990</v>
      </c>
      <c r="F743" s="81" t="s">
        <v>4659</v>
      </c>
      <c r="G743" s="82" t="s">
        <v>4178</v>
      </c>
      <c r="H743" s="82" t="s">
        <v>4660</v>
      </c>
      <c r="I743" s="82" t="s">
        <v>3103</v>
      </c>
      <c r="J743" s="83" t="e">
        <f>VLOOKUP($C743,CHOOSE({1,2},'[4]Prestações de Conta inadimplent'!$D$9:$D$2000,'[4]Prestações de Conta inadimplent'!$C$9:$C$2000),2,0)</f>
        <v>#N/A</v>
      </c>
      <c r="L743" s="85"/>
      <c r="M743" s="85" t="e">
        <v>#REF!</v>
      </c>
      <c r="T743" s="86"/>
      <c r="U743" s="85"/>
      <c r="V743" s="87"/>
      <c r="W743" s="85"/>
      <c r="X743" s="88"/>
      <c r="Y743" s="89"/>
      <c r="Z743" s="89"/>
      <c r="AA743" s="88"/>
      <c r="AB743" s="88"/>
      <c r="AF743" s="90"/>
      <c r="AK743" s="91"/>
      <c r="AM743" s="92"/>
      <c r="AN743" s="92"/>
      <c r="AO743" s="92"/>
      <c r="AP743" s="92"/>
      <c r="AQ743" s="92"/>
      <c r="AR743" s="92"/>
    </row>
    <row r="744" spans="1:44" s="84" customFormat="1" ht="24" customHeight="1" x14ac:dyDescent="0.3">
      <c r="A744" s="78" t="s">
        <v>4639</v>
      </c>
      <c r="B744" s="79" t="s">
        <v>246</v>
      </c>
      <c r="C744" s="112">
        <v>1114257</v>
      </c>
      <c r="D744" s="112">
        <v>1101807</v>
      </c>
      <c r="E744" s="112">
        <v>29034922</v>
      </c>
      <c r="F744" s="81" t="s">
        <v>247</v>
      </c>
      <c r="G744" s="82" t="s">
        <v>4178</v>
      </c>
      <c r="H744" s="82" t="s">
        <v>4661</v>
      </c>
      <c r="I744" s="82" t="s">
        <v>3103</v>
      </c>
      <c r="J744" s="83" t="e">
        <f>VLOOKUP($C744,CHOOSE({1,2},'[4]Prestações de Conta inadimplent'!$D$9:$D$2000,'[4]Prestações de Conta inadimplent'!$C$9:$C$2000),2,0)</f>
        <v>#N/A</v>
      </c>
      <c r="L744" s="85"/>
      <c r="M744" s="85" t="e">
        <v>#REF!</v>
      </c>
      <c r="T744" s="86"/>
      <c r="U744" s="85"/>
      <c r="V744" s="87"/>
      <c r="W744" s="85"/>
      <c r="X744" s="88"/>
      <c r="Y744" s="89"/>
      <c r="Z744" s="89"/>
      <c r="AA744" s="88"/>
      <c r="AB744" s="88"/>
      <c r="AF744" s="90"/>
      <c r="AK744" s="91"/>
      <c r="AM744" s="92"/>
      <c r="AN744" s="92"/>
      <c r="AO744" s="92"/>
      <c r="AP744" s="92"/>
      <c r="AQ744" s="92"/>
      <c r="AR744" s="92"/>
    </row>
    <row r="745" spans="1:44" s="84" customFormat="1" ht="24" customHeight="1" x14ac:dyDescent="0.3">
      <c r="A745" s="78" t="s">
        <v>4639</v>
      </c>
      <c r="B745" s="79" t="s">
        <v>246</v>
      </c>
      <c r="C745" s="112">
        <v>1176426</v>
      </c>
      <c r="D745" s="112">
        <v>1101823</v>
      </c>
      <c r="E745" s="112">
        <v>29389976</v>
      </c>
      <c r="F745" s="81" t="s">
        <v>2120</v>
      </c>
      <c r="G745" s="82" t="s">
        <v>4178</v>
      </c>
      <c r="H745" s="82" t="s">
        <v>4662</v>
      </c>
      <c r="I745" s="82" t="s">
        <v>3103</v>
      </c>
      <c r="J745" s="83" t="e">
        <f>VLOOKUP($C745,CHOOSE({1,2},'[4]Prestações de Conta inadimplent'!$D$9:$D$2000,'[4]Prestações de Conta inadimplent'!$C$9:$C$2000),2,0)</f>
        <v>#N/A</v>
      </c>
      <c r="L745" s="85"/>
      <c r="M745" s="85" t="e">
        <v>#REF!</v>
      </c>
      <c r="T745" s="86"/>
      <c r="U745" s="85"/>
      <c r="V745" s="87"/>
      <c r="W745" s="85"/>
      <c r="X745" s="88"/>
      <c r="Y745" s="89"/>
      <c r="Z745" s="89"/>
      <c r="AA745" s="88"/>
      <c r="AB745" s="88"/>
      <c r="AF745" s="90"/>
      <c r="AH745" s="85"/>
      <c r="AK745" s="91"/>
      <c r="AM745" s="92"/>
      <c r="AN745" s="92"/>
      <c r="AO745" s="92"/>
      <c r="AP745" s="92"/>
      <c r="AQ745" s="92"/>
      <c r="AR745" s="92"/>
    </row>
    <row r="746" spans="1:44" s="84" customFormat="1" ht="24" customHeight="1" x14ac:dyDescent="0.3">
      <c r="A746" s="78" t="s">
        <v>4639</v>
      </c>
      <c r="B746" s="79" t="s">
        <v>246</v>
      </c>
      <c r="C746" s="112">
        <v>1117779</v>
      </c>
      <c r="D746" s="112">
        <v>1101816</v>
      </c>
      <c r="E746" s="112">
        <v>29035007</v>
      </c>
      <c r="F746" s="81" t="s">
        <v>256</v>
      </c>
      <c r="G746" s="82" t="s">
        <v>4178</v>
      </c>
      <c r="H746" s="82" t="s">
        <v>4594</v>
      </c>
      <c r="I746" s="82" t="s">
        <v>3103</v>
      </c>
      <c r="J746" s="83" t="e">
        <f>VLOOKUP($C746,CHOOSE({1,2},'[4]Prestações de Conta inadimplent'!$D$9:$D$2000,'[4]Prestações de Conta inadimplent'!$C$9:$C$2000),2,0)</f>
        <v>#N/A</v>
      </c>
      <c r="L746" s="85"/>
      <c r="M746" s="85" t="e">
        <v>#REF!</v>
      </c>
      <c r="T746" s="86"/>
      <c r="U746" s="85"/>
      <c r="V746" s="87"/>
      <c r="W746" s="85"/>
      <c r="X746" s="88"/>
      <c r="Y746" s="89"/>
      <c r="Z746" s="89"/>
      <c r="AA746" s="88"/>
      <c r="AB746" s="88"/>
      <c r="AF746" s="90"/>
      <c r="AK746" s="91"/>
      <c r="AM746" s="92"/>
      <c r="AN746" s="92"/>
      <c r="AO746" s="92"/>
      <c r="AP746" s="92"/>
      <c r="AQ746" s="92"/>
      <c r="AR746" s="92"/>
    </row>
    <row r="747" spans="1:44" s="84" customFormat="1" ht="24" customHeight="1" x14ac:dyDescent="0.3">
      <c r="A747" s="78" t="s">
        <v>4639</v>
      </c>
      <c r="B747" s="79" t="s">
        <v>246</v>
      </c>
      <c r="C747" s="112">
        <v>1174292</v>
      </c>
      <c r="D747" s="112">
        <v>1101820</v>
      </c>
      <c r="E747" s="112">
        <v>29034965</v>
      </c>
      <c r="F747" s="81" t="s">
        <v>250</v>
      </c>
      <c r="G747" s="82" t="s">
        <v>4178</v>
      </c>
      <c r="H747" s="82" t="s">
        <v>4663</v>
      </c>
      <c r="I747" s="82" t="s">
        <v>3103</v>
      </c>
      <c r="J747" s="83" t="e">
        <f>VLOOKUP($C747,CHOOSE({1,2},'[4]Prestações de Conta inadimplent'!$D$9:$D$2000,'[4]Prestações de Conta inadimplent'!$C$9:$C$2000),2,0)</f>
        <v>#N/A</v>
      </c>
      <c r="L747" s="85"/>
      <c r="M747" s="85" t="e">
        <v>#REF!</v>
      </c>
      <c r="T747" s="86"/>
      <c r="U747" s="85"/>
      <c r="V747" s="87"/>
      <c r="W747" s="85"/>
      <c r="X747" s="88"/>
      <c r="Y747" s="89"/>
      <c r="Z747" s="88"/>
      <c r="AA747" s="88"/>
      <c r="AB747" s="88"/>
      <c r="AF747" s="90"/>
      <c r="AK747" s="91"/>
      <c r="AM747" s="92"/>
      <c r="AN747" s="92"/>
      <c r="AO747" s="92"/>
      <c r="AP747" s="92"/>
      <c r="AQ747" s="92"/>
      <c r="AR747" s="92"/>
    </row>
    <row r="748" spans="1:44" s="84" customFormat="1" ht="24" customHeight="1" x14ac:dyDescent="0.3">
      <c r="A748" s="78" t="s">
        <v>4639</v>
      </c>
      <c r="B748" s="79" t="s">
        <v>246</v>
      </c>
      <c r="C748" s="112">
        <v>1176143</v>
      </c>
      <c r="D748" s="112">
        <v>1101821</v>
      </c>
      <c r="E748" s="112">
        <v>29332230</v>
      </c>
      <c r="F748" s="81" t="s">
        <v>4664</v>
      </c>
      <c r="G748" s="82" t="s">
        <v>4178</v>
      </c>
      <c r="H748" s="82" t="s">
        <v>4596</v>
      </c>
      <c r="I748" s="82" t="s">
        <v>3103</v>
      </c>
      <c r="J748" s="83" t="e">
        <f>VLOOKUP($C748,CHOOSE({1,2},'[4]Prestações de Conta inadimplent'!$D$9:$D$2000,'[4]Prestações de Conta inadimplent'!$C$9:$C$2000),2,0)</f>
        <v>#N/A</v>
      </c>
      <c r="L748" s="85"/>
      <c r="M748" s="85" t="e">
        <v>#REF!</v>
      </c>
      <c r="T748" s="86"/>
      <c r="U748" s="85"/>
      <c r="V748" s="87"/>
      <c r="W748" s="85"/>
      <c r="X748" s="88"/>
      <c r="Y748" s="89"/>
      <c r="Z748" s="89"/>
      <c r="AA748" s="88"/>
      <c r="AB748" s="88"/>
      <c r="AF748" s="90"/>
      <c r="AK748" s="91"/>
      <c r="AM748" s="92"/>
      <c r="AN748" s="92"/>
      <c r="AO748" s="92"/>
      <c r="AP748" s="92"/>
      <c r="AQ748" s="92"/>
      <c r="AR748" s="92"/>
    </row>
    <row r="749" spans="1:44" s="84" customFormat="1" ht="24" customHeight="1" x14ac:dyDescent="0.3">
      <c r="A749" s="78" t="s">
        <v>4639</v>
      </c>
      <c r="B749" s="79" t="s">
        <v>259</v>
      </c>
      <c r="C749" s="112">
        <v>1114133</v>
      </c>
      <c r="D749" s="112">
        <v>1101931</v>
      </c>
      <c r="E749" s="112">
        <v>29036046</v>
      </c>
      <c r="F749" s="81" t="s">
        <v>260</v>
      </c>
      <c r="G749" s="82" t="s">
        <v>4178</v>
      </c>
      <c r="H749" s="82" t="s">
        <v>4665</v>
      </c>
      <c r="I749" s="82" t="s">
        <v>3103</v>
      </c>
      <c r="J749" s="83" t="e">
        <f>VLOOKUP($C749,CHOOSE({1,2},'[4]Prestações de Conta inadimplent'!$D$9:$D$2000,'[4]Prestações de Conta inadimplent'!$C$9:$C$2000),2,0)</f>
        <v>#N/A</v>
      </c>
      <c r="L749" s="85"/>
      <c r="M749" s="85" t="e">
        <v>#REF!</v>
      </c>
      <c r="T749" s="86"/>
      <c r="U749" s="85"/>
      <c r="V749" s="87"/>
      <c r="W749" s="85"/>
      <c r="X749" s="88"/>
      <c r="Y749" s="89"/>
      <c r="Z749" s="89"/>
      <c r="AA749" s="88"/>
      <c r="AB749" s="88"/>
      <c r="AF749" s="90"/>
      <c r="AK749" s="91"/>
      <c r="AM749" s="92"/>
      <c r="AN749" s="92"/>
      <c r="AO749" s="92"/>
      <c r="AP749" s="92"/>
      <c r="AQ749" s="92"/>
      <c r="AR749" s="92"/>
    </row>
    <row r="750" spans="1:44" s="84" customFormat="1" ht="24" customHeight="1" x14ac:dyDescent="0.3">
      <c r="A750" s="78" t="s">
        <v>4639</v>
      </c>
      <c r="B750" s="79" t="s">
        <v>259</v>
      </c>
      <c r="C750" s="112">
        <v>1178006</v>
      </c>
      <c r="D750" s="112">
        <v>1101824</v>
      </c>
      <c r="E750" s="112">
        <v>29423708</v>
      </c>
      <c r="F750" s="81" t="s">
        <v>4666</v>
      </c>
      <c r="G750" s="82" t="s">
        <v>4178</v>
      </c>
      <c r="H750" s="82" t="s">
        <v>4580</v>
      </c>
      <c r="I750" s="82" t="s">
        <v>3103</v>
      </c>
      <c r="J750" s="83" t="e">
        <f>VLOOKUP($C750,CHOOSE({1,2},'[4]Prestações de Conta inadimplent'!$D$9:$D$2000,'[4]Prestações de Conta inadimplent'!$C$9:$C$2000),2,0)</f>
        <v>#N/A</v>
      </c>
      <c r="L750" s="85"/>
      <c r="M750" s="85" t="e">
        <v>#REF!</v>
      </c>
      <c r="T750" s="86"/>
      <c r="U750" s="85"/>
      <c r="V750" s="87"/>
      <c r="W750" s="85"/>
      <c r="X750" s="88"/>
      <c r="Y750" s="89"/>
      <c r="Z750" s="89"/>
      <c r="AA750" s="88"/>
      <c r="AB750" s="88"/>
      <c r="AF750" s="90"/>
      <c r="AK750" s="91"/>
      <c r="AM750" s="92"/>
      <c r="AN750" s="92"/>
      <c r="AO750" s="92"/>
      <c r="AP750" s="92"/>
      <c r="AQ750" s="92"/>
      <c r="AR750" s="92"/>
    </row>
    <row r="751" spans="1:44" s="84" customFormat="1" ht="24" customHeight="1" x14ac:dyDescent="0.3">
      <c r="A751" s="78" t="s">
        <v>4667</v>
      </c>
      <c r="B751" s="79" t="s">
        <v>293</v>
      </c>
      <c r="C751" s="112">
        <v>1164998</v>
      </c>
      <c r="D751" s="112">
        <v>1103539</v>
      </c>
      <c r="E751" s="112">
        <v>29047501</v>
      </c>
      <c r="F751" s="81" t="s">
        <v>294</v>
      </c>
      <c r="G751" s="82" t="s">
        <v>4668</v>
      </c>
      <c r="H751" s="82" t="s">
        <v>4669</v>
      </c>
      <c r="I751" s="82" t="s">
        <v>3103</v>
      </c>
      <c r="J751" s="83" t="e">
        <f>VLOOKUP($C751,CHOOSE({1,2},'[4]Prestações de Conta inadimplent'!$D$9:$D$2000,'[4]Prestações de Conta inadimplent'!$C$9:$C$2000),2,0)</f>
        <v>#N/A</v>
      </c>
      <c r="L751" s="85"/>
      <c r="M751" s="85" t="e">
        <v>#REF!</v>
      </c>
      <c r="T751" s="86"/>
      <c r="U751" s="85"/>
      <c r="V751" s="87"/>
      <c r="W751" s="85"/>
      <c r="X751" s="88"/>
      <c r="Y751" s="89"/>
      <c r="Z751" s="89"/>
      <c r="AA751" s="88"/>
      <c r="AB751" s="88"/>
      <c r="AF751" s="90"/>
      <c r="AK751" s="91"/>
      <c r="AM751" s="92"/>
      <c r="AN751" s="92"/>
      <c r="AO751" s="92"/>
      <c r="AP751" s="92"/>
      <c r="AQ751" s="92"/>
      <c r="AR751" s="92"/>
    </row>
    <row r="752" spans="1:44" s="84" customFormat="1" ht="24" customHeight="1" x14ac:dyDescent="0.3">
      <c r="A752" s="78" t="s">
        <v>4667</v>
      </c>
      <c r="B752" s="79" t="s">
        <v>297</v>
      </c>
      <c r="C752" s="112">
        <v>1119577</v>
      </c>
      <c r="D752" s="112">
        <v>1103541</v>
      </c>
      <c r="E752" s="112">
        <v>29048184</v>
      </c>
      <c r="F752" s="81" t="s">
        <v>298</v>
      </c>
      <c r="G752" s="82" t="s">
        <v>4668</v>
      </c>
      <c r="H752" s="82" t="s">
        <v>4670</v>
      </c>
      <c r="I752" s="82" t="s">
        <v>3103</v>
      </c>
      <c r="J752" s="83" t="e">
        <f>VLOOKUP($C752,CHOOSE({1,2},'[4]Prestações de Conta inadimplent'!$D$9:$D$2000,'[4]Prestações de Conta inadimplent'!$C$9:$C$2000),2,0)</f>
        <v>#N/A</v>
      </c>
      <c r="L752" s="85"/>
      <c r="M752" s="85" t="e">
        <v>#REF!</v>
      </c>
      <c r="T752" s="86"/>
      <c r="U752" s="85"/>
      <c r="V752" s="87"/>
      <c r="W752" s="85"/>
      <c r="X752" s="88"/>
      <c r="Y752" s="89"/>
      <c r="Z752" s="88"/>
      <c r="AA752" s="88"/>
      <c r="AB752" s="88"/>
      <c r="AF752" s="90"/>
      <c r="AK752" s="91"/>
      <c r="AM752" s="92"/>
      <c r="AN752" s="92"/>
      <c r="AO752" s="92"/>
      <c r="AP752" s="92"/>
      <c r="AQ752" s="92"/>
      <c r="AR752" s="92"/>
    </row>
    <row r="753" spans="1:44" s="84" customFormat="1" ht="24" customHeight="1" x14ac:dyDescent="0.3">
      <c r="A753" s="78" t="s">
        <v>4667</v>
      </c>
      <c r="B753" s="79" t="s">
        <v>412</v>
      </c>
      <c r="C753" s="112">
        <v>1122020</v>
      </c>
      <c r="D753" s="112">
        <v>1102526</v>
      </c>
      <c r="E753" s="112">
        <v>29069106</v>
      </c>
      <c r="F753" s="81" t="s">
        <v>4671</v>
      </c>
      <c r="G753" s="82" t="s">
        <v>4672</v>
      </c>
      <c r="H753" s="82" t="s">
        <v>4673</v>
      </c>
      <c r="I753" s="82" t="s">
        <v>3103</v>
      </c>
      <c r="J753" s="83" t="e">
        <f>VLOOKUP($C753,CHOOSE({1,2},'[4]Prestações de Conta inadimplent'!$D$9:$D$2000,'[4]Prestações de Conta inadimplent'!$C$9:$C$2000),2,0)</f>
        <v>#N/A</v>
      </c>
      <c r="L753" s="85"/>
      <c r="M753" s="85" t="e">
        <v>#REF!</v>
      </c>
      <c r="T753" s="86"/>
      <c r="U753" s="85"/>
      <c r="V753" s="87"/>
      <c r="W753" s="85"/>
      <c r="X753" s="88"/>
      <c r="Y753" s="89"/>
      <c r="Z753" s="88"/>
      <c r="AA753" s="88"/>
      <c r="AB753" s="88"/>
      <c r="AF753" s="90"/>
      <c r="AK753" s="91"/>
      <c r="AM753" s="92"/>
      <c r="AN753" s="92"/>
      <c r="AO753" s="92"/>
      <c r="AP753" s="92"/>
      <c r="AQ753" s="92"/>
      <c r="AR753" s="92"/>
    </row>
    <row r="754" spans="1:44" s="84" customFormat="1" ht="24" customHeight="1" x14ac:dyDescent="0.3">
      <c r="A754" s="78" t="s">
        <v>4667</v>
      </c>
      <c r="B754" s="79" t="s">
        <v>301</v>
      </c>
      <c r="C754" s="112">
        <v>1179314</v>
      </c>
      <c r="D754" s="112">
        <v>9999999</v>
      </c>
      <c r="E754" s="112">
        <v>29461510</v>
      </c>
      <c r="F754" s="81" t="s">
        <v>4674</v>
      </c>
      <c r="G754" s="82" t="s">
        <v>4675</v>
      </c>
      <c r="H754" s="82" t="s">
        <v>4676</v>
      </c>
      <c r="I754" s="82" t="s">
        <v>3103</v>
      </c>
      <c r="J754" s="83" t="e">
        <f>VLOOKUP($C754,CHOOSE({1,2},'[4]Prestações de Conta inadimplent'!$D$9:$D$2000,'[4]Prestações de Conta inadimplent'!$C$9:$C$2000),2,0)</f>
        <v>#N/A</v>
      </c>
      <c r="L754" s="85"/>
      <c r="M754" s="85" t="e">
        <v>#REF!</v>
      </c>
      <c r="T754" s="86"/>
      <c r="U754" s="85"/>
      <c r="V754" s="87"/>
      <c r="W754" s="85"/>
      <c r="X754" s="88"/>
      <c r="Y754" s="89"/>
      <c r="Z754" s="88"/>
      <c r="AA754" s="88"/>
      <c r="AB754" s="88"/>
      <c r="AF754" s="90"/>
      <c r="AK754" s="91"/>
      <c r="AM754" s="92"/>
      <c r="AN754" s="92"/>
      <c r="AO754" s="92"/>
      <c r="AP754" s="92"/>
      <c r="AQ754" s="92"/>
      <c r="AR754" s="92"/>
    </row>
    <row r="755" spans="1:44" s="84" customFormat="1" ht="24" customHeight="1" x14ac:dyDescent="0.3">
      <c r="A755" s="78" t="s">
        <v>4667</v>
      </c>
      <c r="B755" s="79" t="s">
        <v>301</v>
      </c>
      <c r="C755" s="112">
        <v>1179606</v>
      </c>
      <c r="D755" s="112">
        <v>9999999</v>
      </c>
      <c r="E755" s="112">
        <v>29470579</v>
      </c>
      <c r="F755" s="81" t="s">
        <v>4677</v>
      </c>
      <c r="G755" s="82" t="s">
        <v>4675</v>
      </c>
      <c r="H755" s="82" t="s">
        <v>4678</v>
      </c>
      <c r="I755" s="82" t="s">
        <v>3122</v>
      </c>
      <c r="J755" s="83" t="str">
        <f>VLOOKUP($C755,CHOOSE({1,2},'[4]Prestações de Conta inadimplent'!$D$9:$D$2000,'[4]Prestações de Conta inadimplent'!$C$9:$C$2000),2,0)</f>
        <v>Colegio Estadual Quilombola Luis Jose Dos Santos</v>
      </c>
      <c r="L755" s="85"/>
      <c r="M755" s="85" t="e">
        <v>#REF!</v>
      </c>
      <c r="T755" s="86"/>
      <c r="U755" s="85"/>
      <c r="V755" s="87"/>
      <c r="W755" s="85"/>
      <c r="X755" s="88"/>
      <c r="Y755" s="89"/>
      <c r="Z755" s="88"/>
      <c r="AA755" s="88"/>
      <c r="AB755" s="88"/>
      <c r="AF755" s="90"/>
      <c r="AK755" s="91"/>
      <c r="AM755" s="92"/>
      <c r="AN755" s="92"/>
      <c r="AO755" s="92"/>
      <c r="AP755" s="92"/>
      <c r="AQ755" s="92"/>
      <c r="AR755" s="92"/>
    </row>
    <row r="756" spans="1:44" s="84" customFormat="1" ht="24" customHeight="1" x14ac:dyDescent="0.3">
      <c r="A756" s="78" t="s">
        <v>4667</v>
      </c>
      <c r="B756" s="79" t="s">
        <v>301</v>
      </c>
      <c r="C756" s="112">
        <v>1119828</v>
      </c>
      <c r="D756" s="112">
        <v>1103559</v>
      </c>
      <c r="E756" s="112">
        <v>29050057</v>
      </c>
      <c r="F756" s="81" t="s">
        <v>4679</v>
      </c>
      <c r="G756" s="82" t="s">
        <v>4675</v>
      </c>
      <c r="H756" s="82" t="s">
        <v>4680</v>
      </c>
      <c r="I756" s="82" t="s">
        <v>3103</v>
      </c>
      <c r="J756" s="83" t="e">
        <f>VLOOKUP($C756,CHOOSE({1,2},'[4]Prestações de Conta inadimplent'!$D$9:$D$2000,'[4]Prestações de Conta inadimplent'!$C$9:$C$2000),2,0)</f>
        <v>#N/A</v>
      </c>
      <c r="L756" s="85"/>
      <c r="M756" s="85" t="e">
        <v>#REF!</v>
      </c>
      <c r="T756" s="86"/>
      <c r="U756" s="85"/>
      <c r="V756" s="87"/>
      <c r="W756" s="85"/>
      <c r="X756" s="88"/>
      <c r="Y756" s="89"/>
      <c r="Z756" s="89"/>
      <c r="AA756" s="88"/>
      <c r="AB756" s="88"/>
      <c r="AF756" s="90"/>
      <c r="AK756" s="91"/>
      <c r="AM756" s="92"/>
      <c r="AN756" s="92"/>
      <c r="AO756" s="92"/>
      <c r="AP756" s="92"/>
      <c r="AQ756" s="92"/>
      <c r="AR756" s="92"/>
    </row>
    <row r="757" spans="1:44" s="84" customFormat="1" ht="24" customHeight="1" x14ac:dyDescent="0.3">
      <c r="A757" s="78" t="s">
        <v>4667</v>
      </c>
      <c r="B757" s="79" t="s">
        <v>305</v>
      </c>
      <c r="C757" s="112">
        <v>1121172</v>
      </c>
      <c r="D757" s="112">
        <v>1103568</v>
      </c>
      <c r="E757" s="112">
        <v>29050910</v>
      </c>
      <c r="F757" s="81" t="s">
        <v>4681</v>
      </c>
      <c r="G757" s="82" t="s">
        <v>3336</v>
      </c>
      <c r="H757" s="82" t="s">
        <v>4682</v>
      </c>
      <c r="I757" s="82" t="s">
        <v>3103</v>
      </c>
      <c r="J757" s="83" t="e">
        <f>VLOOKUP($C757,CHOOSE({1,2},'[4]Prestações de Conta inadimplent'!$D$9:$D$2000,'[4]Prestações de Conta inadimplent'!$C$9:$C$2000),2,0)</f>
        <v>#N/A</v>
      </c>
      <c r="L757" s="85"/>
      <c r="M757" s="85" t="e">
        <v>#REF!</v>
      </c>
      <c r="T757" s="86"/>
      <c r="U757" s="85"/>
      <c r="V757" s="87"/>
      <c r="W757" s="85"/>
      <c r="X757" s="88"/>
      <c r="Y757" s="89"/>
      <c r="Z757" s="88"/>
      <c r="AA757" s="88"/>
      <c r="AB757" s="88"/>
      <c r="AF757" s="90"/>
      <c r="AK757" s="91"/>
      <c r="AM757" s="92"/>
      <c r="AN757" s="92"/>
      <c r="AO757" s="92"/>
      <c r="AP757" s="92"/>
      <c r="AQ757" s="92"/>
      <c r="AR757" s="92"/>
    </row>
    <row r="758" spans="1:44" s="84" customFormat="1" ht="24" customHeight="1" x14ac:dyDescent="0.3">
      <c r="A758" s="78" t="s">
        <v>4667</v>
      </c>
      <c r="B758" s="79" t="s">
        <v>309</v>
      </c>
      <c r="C758" s="112">
        <v>1176700</v>
      </c>
      <c r="D758" s="112">
        <v>1103595</v>
      </c>
      <c r="E758" s="112">
        <v>29419468</v>
      </c>
      <c r="F758" s="81" t="s">
        <v>4683</v>
      </c>
      <c r="G758" s="82" t="s">
        <v>4684</v>
      </c>
      <c r="H758" s="82" t="s">
        <v>4685</v>
      </c>
      <c r="I758" s="82" t="s">
        <v>3103</v>
      </c>
      <c r="J758" s="83" t="e">
        <f>VLOOKUP($C758,CHOOSE({1,2},'[4]Prestações de Conta inadimplent'!$D$9:$D$2000,'[4]Prestações de Conta inadimplent'!$C$9:$C$2000),2,0)</f>
        <v>#N/A</v>
      </c>
      <c r="L758" s="85"/>
      <c r="M758" s="85" t="e">
        <v>#REF!</v>
      </c>
      <c r="T758" s="86"/>
      <c r="U758" s="85"/>
      <c r="V758" s="87"/>
      <c r="W758" s="85"/>
      <c r="X758" s="88"/>
      <c r="Y758" s="89"/>
      <c r="Z758" s="89"/>
      <c r="AA758" s="88"/>
      <c r="AB758" s="88"/>
      <c r="AF758" s="90"/>
      <c r="AK758" s="91"/>
      <c r="AM758" s="92"/>
      <c r="AN758" s="92"/>
      <c r="AO758" s="92"/>
      <c r="AP758" s="92"/>
      <c r="AQ758" s="92"/>
      <c r="AR758" s="92"/>
    </row>
    <row r="759" spans="1:44" s="84" customFormat="1" ht="24" customHeight="1" x14ac:dyDescent="0.3">
      <c r="A759" s="78" t="s">
        <v>4667</v>
      </c>
      <c r="B759" s="79" t="s">
        <v>309</v>
      </c>
      <c r="C759" s="112">
        <v>1120257</v>
      </c>
      <c r="D759" s="112">
        <v>1103586</v>
      </c>
      <c r="E759" s="112">
        <v>29053544</v>
      </c>
      <c r="F759" s="81" t="s">
        <v>4686</v>
      </c>
      <c r="G759" s="82" t="s">
        <v>4684</v>
      </c>
      <c r="H759" s="82" t="s">
        <v>4687</v>
      </c>
      <c r="I759" s="82" t="s">
        <v>3103</v>
      </c>
      <c r="J759" s="83" t="e">
        <f>VLOOKUP($C759,CHOOSE({1,2},'[4]Prestações de Conta inadimplent'!$D$9:$D$2000,'[4]Prestações de Conta inadimplent'!$C$9:$C$2000),2,0)</f>
        <v>#N/A</v>
      </c>
      <c r="L759" s="85"/>
      <c r="M759" s="85" t="e">
        <v>#REF!</v>
      </c>
      <c r="T759" s="86"/>
      <c r="U759" s="85"/>
      <c r="V759" s="87"/>
      <c r="W759" s="85"/>
      <c r="X759" s="88"/>
      <c r="Y759" s="89"/>
      <c r="Z759" s="88"/>
      <c r="AA759" s="88"/>
      <c r="AB759" s="88"/>
      <c r="AF759" s="90"/>
      <c r="AH759" s="85"/>
      <c r="AK759" s="91"/>
      <c r="AM759" s="92"/>
      <c r="AN759" s="92"/>
      <c r="AO759" s="92"/>
      <c r="AP759" s="92"/>
      <c r="AQ759" s="92"/>
      <c r="AR759" s="92"/>
    </row>
    <row r="760" spans="1:44" s="84" customFormat="1" ht="24" customHeight="1" x14ac:dyDescent="0.3">
      <c r="A760" s="78" t="s">
        <v>4667</v>
      </c>
      <c r="B760" s="79" t="s">
        <v>313</v>
      </c>
      <c r="C760" s="112">
        <v>1144032</v>
      </c>
      <c r="D760" s="112">
        <v>1103601</v>
      </c>
      <c r="E760" s="112">
        <v>29055067</v>
      </c>
      <c r="F760" s="81" t="s">
        <v>4688</v>
      </c>
      <c r="G760" s="82" t="s">
        <v>4689</v>
      </c>
      <c r="H760" s="82" t="s">
        <v>4690</v>
      </c>
      <c r="I760" s="82" t="s">
        <v>3122</v>
      </c>
      <c r="J760" s="83" t="str">
        <f>VLOOKUP($C760,CHOOSE({1,2},'[4]Prestações de Conta inadimplent'!$D$9:$D$2000,'[4]Prestações de Conta inadimplent'!$C$9:$C$2000),2,0)</f>
        <v>Colegio Estadual De Tempo Integral De Pindobacu</v>
      </c>
      <c r="L760" s="85"/>
      <c r="M760" s="85" t="e">
        <v>#REF!</v>
      </c>
      <c r="T760" s="86"/>
      <c r="U760" s="85"/>
      <c r="V760" s="87"/>
      <c r="W760" s="85"/>
      <c r="X760" s="88"/>
      <c r="Y760" s="89"/>
      <c r="Z760" s="88"/>
      <c r="AA760" s="88"/>
      <c r="AB760" s="88"/>
      <c r="AF760" s="90"/>
      <c r="AK760" s="91"/>
      <c r="AM760" s="92"/>
      <c r="AN760" s="92"/>
      <c r="AO760" s="92"/>
      <c r="AP760" s="92"/>
      <c r="AQ760" s="92"/>
      <c r="AR760" s="92"/>
    </row>
    <row r="761" spans="1:44" s="84" customFormat="1" ht="24" customHeight="1" x14ac:dyDescent="0.3">
      <c r="A761" s="78" t="s">
        <v>4667</v>
      </c>
      <c r="B761" s="79" t="s">
        <v>313</v>
      </c>
      <c r="C761" s="112">
        <v>1140452</v>
      </c>
      <c r="D761" s="112">
        <v>1103599</v>
      </c>
      <c r="E761" s="112">
        <v>29055075</v>
      </c>
      <c r="F761" s="81" t="s">
        <v>4691</v>
      </c>
      <c r="G761" s="82" t="s">
        <v>4689</v>
      </c>
      <c r="H761" s="82" t="s">
        <v>4692</v>
      </c>
      <c r="I761" s="82" t="s">
        <v>3103</v>
      </c>
      <c r="J761" s="83" t="e">
        <f>VLOOKUP($C761,CHOOSE({1,2},'[4]Prestações de Conta inadimplent'!$D$9:$D$2000,'[4]Prestações de Conta inadimplent'!$C$9:$C$2000),2,0)</f>
        <v>#N/A</v>
      </c>
      <c r="L761" s="85"/>
      <c r="M761" s="85" t="e">
        <v>#REF!</v>
      </c>
      <c r="T761" s="86"/>
      <c r="U761" s="85"/>
      <c r="V761" s="87"/>
      <c r="W761" s="85"/>
      <c r="X761" s="88"/>
      <c r="Y761" s="89"/>
      <c r="Z761" s="89"/>
      <c r="AA761" s="88"/>
      <c r="AB761" s="88"/>
      <c r="AF761" s="90"/>
      <c r="AK761" s="91"/>
      <c r="AM761" s="92"/>
      <c r="AN761" s="92"/>
      <c r="AO761" s="92"/>
      <c r="AP761" s="92"/>
      <c r="AQ761" s="92"/>
      <c r="AR761" s="92"/>
    </row>
    <row r="762" spans="1:44" s="84" customFormat="1" ht="24" customHeight="1" x14ac:dyDescent="0.3">
      <c r="A762" s="78" t="s">
        <v>4667</v>
      </c>
      <c r="B762" s="79" t="s">
        <v>437</v>
      </c>
      <c r="C762" s="112">
        <v>1164947</v>
      </c>
      <c r="D762" s="112">
        <v>1103602</v>
      </c>
      <c r="E762" s="112">
        <v>29076846</v>
      </c>
      <c r="F762" s="81" t="s">
        <v>4693</v>
      </c>
      <c r="G762" s="82" t="s">
        <v>4668</v>
      </c>
      <c r="H762" s="82" t="s">
        <v>4694</v>
      </c>
      <c r="I762" s="82" t="s">
        <v>3103</v>
      </c>
      <c r="J762" s="83" t="e">
        <f>VLOOKUP($C762,CHOOSE({1,2},'[4]Prestações de Conta inadimplent'!$D$9:$D$2000,'[4]Prestações de Conta inadimplent'!$C$9:$C$2000),2,0)</f>
        <v>#N/A</v>
      </c>
      <c r="L762" s="85"/>
      <c r="M762" s="85" t="e">
        <v>#REF!</v>
      </c>
      <c r="T762" s="86"/>
      <c r="U762" s="85"/>
      <c r="V762" s="87"/>
      <c r="W762" s="85"/>
      <c r="X762" s="88"/>
      <c r="Y762" s="89"/>
      <c r="Z762" s="88"/>
      <c r="AA762" s="88"/>
      <c r="AB762" s="88"/>
      <c r="AF762" s="90"/>
      <c r="AK762" s="91"/>
      <c r="AM762" s="92"/>
      <c r="AN762" s="92"/>
      <c r="AO762" s="92"/>
      <c r="AP762" s="92"/>
      <c r="AQ762" s="92"/>
      <c r="AR762" s="92"/>
    </row>
    <row r="763" spans="1:44" s="84" customFormat="1" ht="24" customHeight="1" x14ac:dyDescent="0.3">
      <c r="A763" s="78" t="s">
        <v>4667</v>
      </c>
      <c r="B763" s="79" t="s">
        <v>320</v>
      </c>
      <c r="C763" s="112">
        <v>1179286</v>
      </c>
      <c r="D763" s="112">
        <v>9999999</v>
      </c>
      <c r="E763" s="112">
        <v>29461529</v>
      </c>
      <c r="F763" s="81" t="s">
        <v>4695</v>
      </c>
      <c r="G763" s="82" t="s">
        <v>4668</v>
      </c>
      <c r="H763" s="82" t="s">
        <v>4696</v>
      </c>
      <c r="I763" s="82" t="s">
        <v>3103</v>
      </c>
      <c r="J763" s="83" t="e">
        <f>VLOOKUP($C763,CHOOSE({1,2},'[4]Prestações de Conta inadimplent'!$D$9:$D$2000,'[4]Prestações de Conta inadimplent'!$C$9:$C$2000),2,0)</f>
        <v>#N/A</v>
      </c>
      <c r="L763" s="85"/>
      <c r="M763" s="85" t="e">
        <v>#REF!</v>
      </c>
      <c r="T763" s="86"/>
      <c r="U763" s="85"/>
      <c r="V763" s="85"/>
      <c r="W763" s="85"/>
      <c r="X763" s="88"/>
      <c r="Y763" s="89"/>
      <c r="Z763" s="89"/>
      <c r="AA763" s="88"/>
      <c r="AB763" s="88"/>
      <c r="AF763" s="90"/>
      <c r="AK763" s="91"/>
      <c r="AM763" s="92"/>
      <c r="AN763" s="92"/>
      <c r="AO763" s="92"/>
      <c r="AP763" s="92"/>
      <c r="AQ763" s="92"/>
      <c r="AR763" s="92"/>
    </row>
    <row r="764" spans="1:44" s="84" customFormat="1" ht="24" customHeight="1" x14ac:dyDescent="0.3">
      <c r="A764" s="78" t="s">
        <v>4667</v>
      </c>
      <c r="B764" s="79" t="s">
        <v>320</v>
      </c>
      <c r="C764" s="112">
        <v>1178104</v>
      </c>
      <c r="D764" s="112">
        <v>1105067</v>
      </c>
      <c r="E764" s="112">
        <v>29433517</v>
      </c>
      <c r="F764" s="81" t="s">
        <v>2337</v>
      </c>
      <c r="G764" s="82" t="s">
        <v>4668</v>
      </c>
      <c r="H764" s="82" t="s">
        <v>4697</v>
      </c>
      <c r="I764" s="82" t="s">
        <v>3103</v>
      </c>
      <c r="J764" s="83" t="e">
        <f>VLOOKUP($C764,CHOOSE({1,2},'[4]Prestações de Conta inadimplent'!$D$9:$D$2000,'[4]Prestações de Conta inadimplent'!$C$9:$C$2000),2,0)</f>
        <v>#N/A</v>
      </c>
      <c r="L764" s="85"/>
      <c r="M764" s="85" t="e">
        <v>#REF!</v>
      </c>
      <c r="T764" s="86"/>
      <c r="U764" s="85"/>
      <c r="V764" s="87"/>
      <c r="W764" s="85"/>
      <c r="X764" s="88"/>
      <c r="Y764" s="89"/>
      <c r="Z764" s="88"/>
      <c r="AA764" s="88"/>
      <c r="AB764" s="88"/>
      <c r="AF764" s="90"/>
      <c r="AK764" s="91"/>
      <c r="AM764" s="92"/>
      <c r="AN764" s="92"/>
      <c r="AO764" s="92"/>
      <c r="AP764" s="92"/>
      <c r="AQ764" s="92"/>
      <c r="AR764" s="92"/>
    </row>
    <row r="765" spans="1:44" s="84" customFormat="1" ht="24" customHeight="1" x14ac:dyDescent="0.3">
      <c r="A765" s="78" t="s">
        <v>4667</v>
      </c>
      <c r="B765" s="79" t="s">
        <v>320</v>
      </c>
      <c r="C765" s="112">
        <v>1179287</v>
      </c>
      <c r="D765" s="112">
        <v>9999999</v>
      </c>
      <c r="E765" s="112">
        <v>29461871</v>
      </c>
      <c r="F765" s="81" t="s">
        <v>4698</v>
      </c>
      <c r="G765" s="82" t="s">
        <v>4668</v>
      </c>
      <c r="H765" s="82" t="s">
        <v>4699</v>
      </c>
      <c r="I765" s="82" t="s">
        <v>3103</v>
      </c>
      <c r="J765" s="83" t="e">
        <f>VLOOKUP($C765,CHOOSE({1,2},'[4]Prestações de Conta inadimplent'!$D$9:$D$2000,'[4]Prestações de Conta inadimplent'!$C$9:$C$2000),2,0)</f>
        <v>#N/A</v>
      </c>
      <c r="L765" s="85"/>
      <c r="M765" s="85" t="e">
        <v>#REF!</v>
      </c>
      <c r="T765" s="86"/>
      <c r="U765" s="85"/>
      <c r="V765" s="85"/>
      <c r="W765" s="85"/>
      <c r="X765" s="85"/>
      <c r="Y765" s="89"/>
      <c r="Z765" s="89"/>
      <c r="AA765" s="88"/>
      <c r="AB765" s="88"/>
      <c r="AF765" s="90"/>
      <c r="AK765" s="91"/>
      <c r="AM765" s="92"/>
      <c r="AN765" s="92"/>
      <c r="AO765" s="92"/>
      <c r="AP765" s="92"/>
      <c r="AQ765" s="92"/>
      <c r="AR765" s="92"/>
    </row>
    <row r="766" spans="1:44" s="84" customFormat="1" ht="24" customHeight="1" x14ac:dyDescent="0.3">
      <c r="A766" s="78" t="s">
        <v>4667</v>
      </c>
      <c r="B766" s="79" t="s">
        <v>320</v>
      </c>
      <c r="C766" s="112">
        <v>1120923</v>
      </c>
      <c r="D766" s="112">
        <v>1103618</v>
      </c>
      <c r="E766" s="112">
        <v>29056144</v>
      </c>
      <c r="F766" s="81" t="s">
        <v>4700</v>
      </c>
      <c r="G766" s="82" t="s">
        <v>4668</v>
      </c>
      <c r="H766" s="82" t="s">
        <v>4701</v>
      </c>
      <c r="I766" s="82" t="s">
        <v>3103</v>
      </c>
      <c r="J766" s="83" t="e">
        <f>VLOOKUP($C766,CHOOSE({1,2},'[4]Prestações de Conta inadimplent'!$D$9:$D$2000,'[4]Prestações de Conta inadimplent'!$C$9:$C$2000),2,0)</f>
        <v>#N/A</v>
      </c>
      <c r="L766" s="85"/>
      <c r="M766" s="85" t="e">
        <v>#REF!</v>
      </c>
      <c r="T766" s="86"/>
      <c r="U766" s="85"/>
      <c r="V766" s="87"/>
      <c r="W766" s="85"/>
      <c r="X766" s="88"/>
      <c r="Y766" s="89"/>
      <c r="Z766" s="89"/>
      <c r="AA766" s="88"/>
      <c r="AB766" s="88"/>
      <c r="AF766" s="90"/>
      <c r="AK766" s="91"/>
      <c r="AM766" s="92"/>
      <c r="AN766" s="92"/>
      <c r="AO766" s="92"/>
      <c r="AP766" s="92"/>
      <c r="AQ766" s="92"/>
      <c r="AR766" s="92"/>
    </row>
    <row r="767" spans="1:44" s="84" customFormat="1" ht="24" customHeight="1" x14ac:dyDescent="0.3">
      <c r="A767" s="78" t="s">
        <v>4667</v>
      </c>
      <c r="B767" s="79" t="s">
        <v>320</v>
      </c>
      <c r="C767" s="112">
        <v>1121261</v>
      </c>
      <c r="D767" s="112">
        <v>1103629</v>
      </c>
      <c r="E767" s="112">
        <v>29055393</v>
      </c>
      <c r="F767" s="81" t="s">
        <v>3333</v>
      </c>
      <c r="G767" s="82" t="s">
        <v>4668</v>
      </c>
      <c r="H767" s="82" t="s">
        <v>4702</v>
      </c>
      <c r="I767" s="82" t="s">
        <v>3103</v>
      </c>
      <c r="J767" s="83" t="e">
        <f>VLOOKUP($C767,CHOOSE({1,2},'[4]Prestações de Conta inadimplent'!$D$9:$D$2000,'[4]Prestações de Conta inadimplent'!$C$9:$C$2000),2,0)</f>
        <v>#N/A</v>
      </c>
      <c r="L767" s="85"/>
      <c r="M767" s="85" t="e">
        <v>#REF!</v>
      </c>
      <c r="T767" s="86"/>
      <c r="U767" s="85"/>
      <c r="V767" s="87"/>
      <c r="W767" s="85"/>
      <c r="X767" s="88"/>
      <c r="Y767" s="89"/>
      <c r="Z767" s="89"/>
      <c r="AA767" s="88"/>
      <c r="AB767" s="88"/>
      <c r="AF767" s="90"/>
      <c r="AK767" s="91"/>
      <c r="AM767" s="92"/>
      <c r="AN767" s="92"/>
      <c r="AO767" s="92"/>
      <c r="AP767" s="92"/>
      <c r="AQ767" s="92"/>
      <c r="AR767" s="92"/>
    </row>
    <row r="768" spans="1:44" s="84" customFormat="1" ht="24" customHeight="1" x14ac:dyDescent="0.3">
      <c r="A768" s="78" t="s">
        <v>4667</v>
      </c>
      <c r="B768" s="79" t="s">
        <v>320</v>
      </c>
      <c r="C768" s="112">
        <v>1164602</v>
      </c>
      <c r="D768" s="112">
        <v>1103637</v>
      </c>
      <c r="E768" s="112">
        <v>29055385</v>
      </c>
      <c r="F768" s="81" t="s">
        <v>4703</v>
      </c>
      <c r="G768" s="82" t="s">
        <v>4668</v>
      </c>
      <c r="H768" s="82" t="s">
        <v>4704</v>
      </c>
      <c r="I768" s="82" t="s">
        <v>3103</v>
      </c>
      <c r="J768" s="83" t="e">
        <f>VLOOKUP($C768,CHOOSE({1,2},'[4]Prestações de Conta inadimplent'!$D$9:$D$2000,'[4]Prestações de Conta inadimplent'!$C$9:$C$2000),2,0)</f>
        <v>#N/A</v>
      </c>
      <c r="L768" s="85"/>
      <c r="M768" s="85" t="e">
        <v>#REF!</v>
      </c>
      <c r="T768" s="86"/>
      <c r="U768" s="85"/>
      <c r="V768" s="87"/>
      <c r="W768" s="85"/>
      <c r="X768" s="88"/>
      <c r="Y768" s="89"/>
      <c r="Z768" s="88"/>
      <c r="AA768" s="88"/>
      <c r="AB768" s="88"/>
      <c r="AF768" s="90"/>
      <c r="AK768" s="91"/>
      <c r="AM768" s="92"/>
      <c r="AN768" s="92"/>
      <c r="AO768" s="92"/>
      <c r="AP768" s="92"/>
      <c r="AQ768" s="92"/>
      <c r="AR768" s="92"/>
    </row>
    <row r="769" spans="1:44" s="84" customFormat="1" ht="24" customHeight="1" x14ac:dyDescent="0.3">
      <c r="A769" s="78" t="s">
        <v>4667</v>
      </c>
      <c r="B769" s="79" t="s">
        <v>320</v>
      </c>
      <c r="C769" s="112">
        <v>1121156</v>
      </c>
      <c r="D769" s="112">
        <v>1103639</v>
      </c>
      <c r="E769" s="112">
        <v>29056780</v>
      </c>
      <c r="F769" s="81" t="s">
        <v>4705</v>
      </c>
      <c r="G769" s="82" t="s">
        <v>4668</v>
      </c>
      <c r="H769" s="82" t="s">
        <v>4706</v>
      </c>
      <c r="I769" s="82" t="s">
        <v>3103</v>
      </c>
      <c r="J769" s="83" t="e">
        <f>VLOOKUP($C769,CHOOSE({1,2},'[4]Prestações de Conta inadimplent'!$D$9:$D$2000,'[4]Prestações de Conta inadimplent'!$C$9:$C$2000),2,0)</f>
        <v>#N/A</v>
      </c>
      <c r="L769" s="85"/>
      <c r="M769" s="85" t="e">
        <v>#REF!</v>
      </c>
      <c r="T769" s="86"/>
      <c r="U769" s="85"/>
      <c r="V769" s="87"/>
      <c r="W769" s="85"/>
      <c r="X769" s="88"/>
      <c r="Y769" s="89"/>
      <c r="Z769" s="89"/>
      <c r="AA769" s="88"/>
      <c r="AB769" s="88"/>
      <c r="AF769" s="90"/>
      <c r="AK769" s="91"/>
      <c r="AM769" s="92"/>
      <c r="AN769" s="92"/>
      <c r="AO769" s="92"/>
      <c r="AP769" s="92"/>
      <c r="AQ769" s="92"/>
      <c r="AR769" s="92"/>
    </row>
    <row r="770" spans="1:44" s="84" customFormat="1" ht="24" customHeight="1" x14ac:dyDescent="0.3">
      <c r="A770" s="78" t="s">
        <v>4667</v>
      </c>
      <c r="B770" s="79" t="s">
        <v>320</v>
      </c>
      <c r="C770" s="112">
        <v>1144261</v>
      </c>
      <c r="D770" s="112">
        <v>1103636</v>
      </c>
      <c r="E770" s="112">
        <v>29056616</v>
      </c>
      <c r="F770" s="81" t="s">
        <v>4707</v>
      </c>
      <c r="G770" s="82" t="s">
        <v>4668</v>
      </c>
      <c r="H770" s="82" t="s">
        <v>4708</v>
      </c>
      <c r="I770" s="82" t="s">
        <v>3103</v>
      </c>
      <c r="J770" s="83" t="e">
        <f>VLOOKUP($C770,CHOOSE({1,2},'[4]Prestações de Conta inadimplent'!$D$9:$D$2000,'[4]Prestações de Conta inadimplent'!$C$9:$C$2000),2,0)</f>
        <v>#N/A</v>
      </c>
      <c r="L770" s="85"/>
      <c r="M770" s="85" t="e">
        <v>#REF!</v>
      </c>
      <c r="T770" s="86"/>
      <c r="U770" s="85"/>
      <c r="V770" s="85"/>
      <c r="W770" s="85"/>
      <c r="X770" s="85"/>
      <c r="Y770" s="89"/>
      <c r="Z770" s="89"/>
      <c r="AA770" s="88"/>
      <c r="AB770" s="88"/>
      <c r="AF770" s="90"/>
      <c r="AK770" s="91"/>
      <c r="AM770" s="92"/>
      <c r="AN770" s="92"/>
      <c r="AO770" s="92"/>
      <c r="AP770" s="92"/>
      <c r="AQ770" s="92"/>
      <c r="AR770" s="92"/>
    </row>
    <row r="771" spans="1:44" s="84" customFormat="1" ht="24" customHeight="1" x14ac:dyDescent="0.3">
      <c r="A771" s="78" t="s">
        <v>4709</v>
      </c>
      <c r="B771" s="79" t="s">
        <v>1053</v>
      </c>
      <c r="C771" s="112">
        <v>1177090</v>
      </c>
      <c r="D771" s="112">
        <v>1100757</v>
      </c>
      <c r="E771" s="112">
        <v>29413680</v>
      </c>
      <c r="F771" s="81" t="s">
        <v>4710</v>
      </c>
      <c r="G771" s="82" t="s">
        <v>4711</v>
      </c>
      <c r="H771" s="82" t="s">
        <v>4712</v>
      </c>
      <c r="I771" s="82" t="s">
        <v>3122</v>
      </c>
      <c r="J771" s="83" t="str">
        <f>VLOOKUP($C771,CHOOSE({1,2},'[4]Prestações de Conta inadimplent'!$D$9:$D$2000,'[4]Prestações de Conta inadimplent'!$C$9:$C$2000),2,0)</f>
        <v>Colegio Estadual Camacari</v>
      </c>
      <c r="L771" s="85"/>
      <c r="M771" s="85" t="e">
        <v>#REF!</v>
      </c>
      <c r="T771" s="86"/>
      <c r="U771" s="85"/>
      <c r="V771" s="87"/>
      <c r="W771" s="85"/>
      <c r="X771" s="88"/>
      <c r="Y771" s="89"/>
      <c r="Z771" s="89"/>
      <c r="AA771" s="88"/>
      <c r="AB771" s="88"/>
      <c r="AF771" s="90"/>
      <c r="AK771" s="91"/>
      <c r="AM771" s="92"/>
      <c r="AN771" s="92"/>
      <c r="AO771" s="92"/>
      <c r="AP771" s="92"/>
      <c r="AQ771" s="92"/>
      <c r="AR771" s="92"/>
    </row>
    <row r="772" spans="1:44" s="84" customFormat="1" ht="24" customHeight="1" x14ac:dyDescent="0.3">
      <c r="A772" s="78" t="s">
        <v>4709</v>
      </c>
      <c r="B772" s="79" t="s">
        <v>1053</v>
      </c>
      <c r="C772" s="112">
        <v>1102259</v>
      </c>
      <c r="D772" s="112">
        <v>1100747</v>
      </c>
      <c r="E772" s="112">
        <v>29175518</v>
      </c>
      <c r="F772" s="81" t="s">
        <v>4713</v>
      </c>
      <c r="G772" s="82" t="s">
        <v>4711</v>
      </c>
      <c r="H772" s="82" t="s">
        <v>4714</v>
      </c>
      <c r="I772" s="82" t="s">
        <v>3122</v>
      </c>
      <c r="J772" s="83" t="str">
        <f>VLOOKUP($C772,CHOOSE({1,2},'[4]Prestações de Conta inadimplent'!$D$9:$D$2000,'[4]Prestações de Conta inadimplent'!$C$9:$C$2000),2,0)</f>
        <v>Colegio Estadual Jose De Freitas Mascarenhas</v>
      </c>
      <c r="L772" s="85"/>
      <c r="M772" s="85" t="e">
        <v>#REF!</v>
      </c>
      <c r="T772" s="86"/>
      <c r="U772" s="85"/>
      <c r="V772" s="87"/>
      <c r="W772" s="85"/>
      <c r="X772" s="88"/>
      <c r="Y772" s="89"/>
      <c r="Z772" s="89"/>
      <c r="AA772" s="88"/>
      <c r="AB772" s="88"/>
      <c r="AF772" s="90"/>
      <c r="AK772" s="91"/>
      <c r="AM772" s="92"/>
      <c r="AN772" s="92"/>
      <c r="AO772" s="92"/>
      <c r="AP772" s="92"/>
      <c r="AQ772" s="92"/>
      <c r="AR772" s="92"/>
    </row>
    <row r="773" spans="1:44" s="84" customFormat="1" ht="24" customHeight="1" x14ac:dyDescent="0.3">
      <c r="A773" s="78" t="s">
        <v>4709</v>
      </c>
      <c r="B773" s="79" t="s">
        <v>1053</v>
      </c>
      <c r="C773" s="112">
        <v>1178400</v>
      </c>
      <c r="D773" s="112">
        <v>1105559</v>
      </c>
      <c r="E773" s="112">
        <v>29982758</v>
      </c>
      <c r="F773" s="81" t="s">
        <v>4715</v>
      </c>
      <c r="G773" s="82" t="s">
        <v>4711</v>
      </c>
      <c r="H773" s="82" t="s">
        <v>4716</v>
      </c>
      <c r="I773" s="82" t="s">
        <v>3122</v>
      </c>
      <c r="J773" s="83" t="str">
        <f>VLOOKUP($C773,CHOOSE({1,2},'[4]Prestações de Conta inadimplent'!$D$9:$D$2000,'[4]Prestações de Conta inadimplent'!$C$9:$C$2000),2,0)</f>
        <v>Colegio Estadual De Vilas De Abrantes</v>
      </c>
      <c r="L773" s="85"/>
      <c r="M773" s="85" t="e">
        <v>#REF!</v>
      </c>
      <c r="T773" s="86"/>
      <c r="U773" s="85"/>
      <c r="V773" s="87"/>
      <c r="W773" s="85"/>
      <c r="X773" s="88"/>
      <c r="Y773" s="89"/>
      <c r="Z773" s="89"/>
      <c r="AA773" s="88"/>
      <c r="AB773" s="88"/>
      <c r="AF773" s="90"/>
      <c r="AK773" s="91"/>
      <c r="AM773" s="92"/>
      <c r="AN773" s="92"/>
      <c r="AO773" s="92"/>
      <c r="AP773" s="92"/>
      <c r="AQ773" s="92"/>
      <c r="AR773" s="92"/>
    </row>
    <row r="774" spans="1:44" s="84" customFormat="1" ht="24" customHeight="1" x14ac:dyDescent="0.3">
      <c r="A774" s="78" t="s">
        <v>4709</v>
      </c>
      <c r="B774" s="79" t="s">
        <v>1053</v>
      </c>
      <c r="C774" s="112">
        <v>1176611</v>
      </c>
      <c r="D774" s="112">
        <v>1100754</v>
      </c>
      <c r="E774" s="112">
        <v>29447348</v>
      </c>
      <c r="F774" s="81" t="s">
        <v>4717</v>
      </c>
      <c r="G774" s="82" t="s">
        <v>4711</v>
      </c>
      <c r="H774" s="82" t="s">
        <v>4718</v>
      </c>
      <c r="I774" s="82" t="s">
        <v>3122</v>
      </c>
      <c r="J774" s="83" t="str">
        <f>VLOOKUP($C774,CHOOSE({1,2},'[4]Prestações de Conta inadimplent'!$D$9:$D$2000,'[4]Prestações de Conta inadimplent'!$C$9:$C$2000),2,0)</f>
        <v>Centro Territorial De Educacao Profissional Da Regiao Metropolitana</v>
      </c>
      <c r="K774" s="96"/>
      <c r="L774" s="85"/>
      <c r="M774" s="85" t="e">
        <v>#REF!</v>
      </c>
      <c r="T774" s="86"/>
      <c r="U774" s="85"/>
      <c r="V774" s="87"/>
      <c r="W774" s="85"/>
      <c r="X774" s="88"/>
      <c r="Y774" s="89"/>
      <c r="Z774" s="88"/>
      <c r="AA774" s="88"/>
      <c r="AB774" s="88"/>
      <c r="AF774" s="90"/>
      <c r="AK774" s="91"/>
      <c r="AM774" s="92"/>
      <c r="AN774" s="92"/>
      <c r="AO774" s="92"/>
      <c r="AP774" s="92"/>
      <c r="AQ774" s="92"/>
      <c r="AR774" s="92"/>
    </row>
    <row r="775" spans="1:44" s="84" customFormat="1" ht="24" customHeight="1" x14ac:dyDescent="0.3">
      <c r="A775" s="78" t="s">
        <v>4709</v>
      </c>
      <c r="B775" s="79" t="s">
        <v>1053</v>
      </c>
      <c r="C775" s="112">
        <v>1178445</v>
      </c>
      <c r="D775" s="112">
        <v>1105578</v>
      </c>
      <c r="E775" s="112">
        <v>29448018</v>
      </c>
      <c r="F775" s="81" t="s">
        <v>4719</v>
      </c>
      <c r="G775" s="82" t="s">
        <v>4232</v>
      </c>
      <c r="H775" s="82" t="s">
        <v>4720</v>
      </c>
      <c r="I775" s="82" t="s">
        <v>3122</v>
      </c>
      <c r="J775" s="83" t="str">
        <f>VLOOKUP($C775,CHOOSE({1,2},'[4]Prestações de Conta inadimplent'!$D$9:$D$2000,'[4]Prestações de Conta inadimplent'!$C$9:$C$2000),2,0)</f>
        <v>Colegio Estadual De Barra De Pojuca</v>
      </c>
      <c r="L775" s="85"/>
      <c r="M775" s="85" t="e">
        <v>#REF!</v>
      </c>
      <c r="T775" s="86"/>
      <c r="U775" s="85"/>
      <c r="V775" s="87"/>
      <c r="W775" s="85"/>
      <c r="X775" s="88"/>
      <c r="Y775" s="89"/>
      <c r="Z775" s="89"/>
      <c r="AA775" s="88"/>
      <c r="AB775" s="88"/>
      <c r="AF775" s="90"/>
      <c r="AK775" s="91"/>
      <c r="AM775" s="92"/>
      <c r="AN775" s="92"/>
      <c r="AO775" s="92"/>
      <c r="AP775" s="92"/>
      <c r="AQ775" s="92"/>
      <c r="AR775" s="92"/>
    </row>
    <row r="776" spans="1:44" s="84" customFormat="1" ht="24" customHeight="1" x14ac:dyDescent="0.3">
      <c r="A776" s="78" t="s">
        <v>4709</v>
      </c>
      <c r="B776" s="79" t="s">
        <v>1053</v>
      </c>
      <c r="C776" s="112">
        <v>1178399</v>
      </c>
      <c r="D776" s="112">
        <v>1105558</v>
      </c>
      <c r="E776" s="112">
        <v>29362016</v>
      </c>
      <c r="F776" s="81" t="s">
        <v>4721</v>
      </c>
      <c r="G776" s="82" t="s">
        <v>4232</v>
      </c>
      <c r="H776" s="82" t="s">
        <v>4722</v>
      </c>
      <c r="I776" s="82" t="s">
        <v>3122</v>
      </c>
      <c r="J776" s="83" t="str">
        <f>VLOOKUP($C776,CHOOSE({1,2},'[4]Prestações de Conta inadimplent'!$D$9:$D$2000,'[4]Prestações de Conta inadimplent'!$C$9:$C$2000),2,0)</f>
        <v>Colegio Estadual De Monte Gordo</v>
      </c>
      <c r="L776" s="85"/>
      <c r="M776" s="85" t="e">
        <v>#REF!</v>
      </c>
      <c r="T776" s="86"/>
      <c r="U776" s="85"/>
      <c r="V776" s="87"/>
      <c r="W776" s="85"/>
      <c r="X776" s="88"/>
      <c r="Y776" s="89"/>
      <c r="Z776" s="89"/>
      <c r="AA776" s="88"/>
      <c r="AB776" s="88"/>
      <c r="AF776" s="90"/>
      <c r="AK776" s="91"/>
      <c r="AM776" s="92"/>
      <c r="AN776" s="92"/>
      <c r="AO776" s="92"/>
      <c r="AP776" s="92"/>
      <c r="AQ776" s="92"/>
      <c r="AR776" s="92"/>
    </row>
    <row r="777" spans="1:44" s="84" customFormat="1" ht="24" customHeight="1" x14ac:dyDescent="0.3">
      <c r="A777" s="78" t="s">
        <v>4709</v>
      </c>
      <c r="B777" s="79" t="s">
        <v>1053</v>
      </c>
      <c r="C777" s="112">
        <v>1101961</v>
      </c>
      <c r="D777" s="112">
        <v>1100746</v>
      </c>
      <c r="E777" s="112">
        <v>29175771</v>
      </c>
      <c r="F777" s="81" t="s">
        <v>4723</v>
      </c>
      <c r="G777" s="82" t="s">
        <v>4711</v>
      </c>
      <c r="H777" s="82" t="s">
        <v>4724</v>
      </c>
      <c r="I777" s="82" t="s">
        <v>3103</v>
      </c>
      <c r="J777" s="83" t="e">
        <f>VLOOKUP($C777,CHOOSE({1,2},'[4]Prestações de Conta inadimplent'!$D$9:$D$2000,'[4]Prestações de Conta inadimplent'!$C$9:$C$2000),2,0)</f>
        <v>#N/A</v>
      </c>
      <c r="L777" s="85"/>
      <c r="M777" s="85" t="e">
        <v>#REF!</v>
      </c>
      <c r="T777" s="86"/>
      <c r="U777" s="85"/>
      <c r="V777" s="87"/>
      <c r="W777" s="85"/>
      <c r="X777" s="88"/>
      <c r="Y777" s="89"/>
      <c r="Z777" s="89"/>
      <c r="AA777" s="88"/>
      <c r="AB777" s="88"/>
      <c r="AF777" s="90"/>
      <c r="AK777" s="91"/>
      <c r="AM777" s="92"/>
      <c r="AN777" s="92"/>
      <c r="AO777" s="92"/>
      <c r="AP777" s="92"/>
      <c r="AQ777" s="92"/>
      <c r="AR777" s="92"/>
    </row>
    <row r="778" spans="1:44" s="84" customFormat="1" ht="24" customHeight="1" x14ac:dyDescent="0.3">
      <c r="A778" s="78" t="s">
        <v>4709</v>
      </c>
      <c r="B778" s="79" t="s">
        <v>1053</v>
      </c>
      <c r="C778" s="112">
        <v>1178420</v>
      </c>
      <c r="D778" s="112">
        <v>1105576</v>
      </c>
      <c r="E778" s="112">
        <v>29397863</v>
      </c>
      <c r="F778" s="81" t="s">
        <v>4725</v>
      </c>
      <c r="G778" s="82" t="s">
        <v>4232</v>
      </c>
      <c r="H778" s="82" t="s">
        <v>4726</v>
      </c>
      <c r="I778" s="82" t="s">
        <v>3122</v>
      </c>
      <c r="J778" s="83" t="str">
        <f>VLOOKUP($C778,CHOOSE({1,2},'[4]Prestações de Conta inadimplent'!$D$9:$D$2000,'[4]Prestações de Conta inadimplent'!$C$9:$C$2000),2,0)</f>
        <v>Colegio Estadual Professora Nadir Araujo Copque</v>
      </c>
      <c r="L778" s="85"/>
      <c r="M778" s="85" t="e">
        <v>#REF!</v>
      </c>
      <c r="T778" s="86"/>
      <c r="U778" s="85"/>
      <c r="V778" s="87"/>
      <c r="W778" s="85"/>
      <c r="X778" s="88"/>
      <c r="Y778" s="89"/>
      <c r="Z778" s="89"/>
      <c r="AA778" s="88"/>
      <c r="AB778" s="88"/>
      <c r="AF778" s="90"/>
      <c r="AK778" s="91"/>
      <c r="AM778" s="92"/>
      <c r="AN778" s="92"/>
      <c r="AO778" s="92"/>
      <c r="AP778" s="92"/>
      <c r="AQ778" s="92"/>
      <c r="AR778" s="92"/>
    </row>
    <row r="779" spans="1:44" s="84" customFormat="1" ht="24" customHeight="1" x14ac:dyDescent="0.3">
      <c r="A779" s="78" t="s">
        <v>4709</v>
      </c>
      <c r="B779" s="79" t="s">
        <v>1053</v>
      </c>
      <c r="C779" s="112">
        <v>1104707</v>
      </c>
      <c r="D779" s="112">
        <v>1100749</v>
      </c>
      <c r="E779" s="112">
        <v>29175950</v>
      </c>
      <c r="F779" s="81" t="s">
        <v>1060</v>
      </c>
      <c r="G779" s="82" t="s">
        <v>4711</v>
      </c>
      <c r="H779" s="82" t="s">
        <v>4727</v>
      </c>
      <c r="I779" s="82" t="s">
        <v>3122</v>
      </c>
      <c r="J779" s="83" t="str">
        <f>VLOOKUP($C779,CHOOSE({1,2},'[4]Prestações de Conta inadimplent'!$D$9:$D$2000,'[4]Prestações de Conta inadimplent'!$C$9:$C$2000),2,0)</f>
        <v>Colegio Estadual Polivalente De Camacari</v>
      </c>
      <c r="L779" s="85"/>
      <c r="M779" s="85" t="e">
        <v>#REF!</v>
      </c>
      <c r="T779" s="86"/>
      <c r="U779" s="85"/>
      <c r="V779" s="87"/>
      <c r="W779" s="85"/>
      <c r="X779" s="88"/>
      <c r="Y779" s="89"/>
      <c r="Z779" s="89"/>
      <c r="AA779" s="88"/>
      <c r="AB779" s="88"/>
      <c r="AF779" s="90"/>
      <c r="AK779" s="91"/>
      <c r="AM779" s="92"/>
      <c r="AN779" s="92"/>
      <c r="AO779" s="92"/>
      <c r="AP779" s="92"/>
      <c r="AQ779" s="92"/>
      <c r="AR779" s="92"/>
    </row>
    <row r="780" spans="1:44" s="84" customFormat="1" ht="24" customHeight="1" x14ac:dyDescent="0.3">
      <c r="A780" s="78" t="s">
        <v>4709</v>
      </c>
      <c r="B780" s="79" t="s">
        <v>1063</v>
      </c>
      <c r="C780" s="112">
        <v>1177099</v>
      </c>
      <c r="D780" s="112">
        <v>1100765</v>
      </c>
      <c r="E780" s="112">
        <v>29415969</v>
      </c>
      <c r="F780" s="81" t="s">
        <v>2463</v>
      </c>
      <c r="G780" s="82" t="s">
        <v>4728</v>
      </c>
      <c r="H780" s="82" t="s">
        <v>4729</v>
      </c>
      <c r="I780" s="82" t="s">
        <v>3122</v>
      </c>
      <c r="J780" s="83" t="str">
        <f>VLOOKUP($C780,CHOOSE({1,2},'[4]Prestações de Conta inadimplent'!$D$9:$D$2000,'[4]Prestações de Conta inadimplent'!$C$9:$C$2000),2,0)</f>
        <v>Colegio Estadual Cidade De Candeias</v>
      </c>
      <c r="L780" s="85"/>
      <c r="M780" s="85" t="e">
        <v>#REF!</v>
      </c>
      <c r="T780" s="86"/>
      <c r="U780" s="85"/>
      <c r="V780" s="87"/>
      <c r="W780" s="85"/>
      <c r="X780" s="88"/>
      <c r="Y780" s="89"/>
      <c r="Z780" s="89"/>
      <c r="AA780" s="88"/>
      <c r="AB780" s="88"/>
      <c r="AF780" s="90"/>
      <c r="AK780" s="91"/>
      <c r="AM780" s="92"/>
      <c r="AN780" s="92"/>
      <c r="AO780" s="92"/>
      <c r="AP780" s="92"/>
      <c r="AQ780" s="92"/>
      <c r="AR780" s="92"/>
    </row>
    <row r="781" spans="1:44" s="84" customFormat="1" ht="24" customHeight="1" x14ac:dyDescent="0.3">
      <c r="A781" s="78" t="s">
        <v>4709</v>
      </c>
      <c r="B781" s="79" t="s">
        <v>1063</v>
      </c>
      <c r="C781" s="112">
        <v>1104863</v>
      </c>
      <c r="D781" s="112">
        <v>1100762</v>
      </c>
      <c r="E781" s="112">
        <v>29176808</v>
      </c>
      <c r="F781" s="81" t="s">
        <v>711</v>
      </c>
      <c r="G781" s="82" t="s">
        <v>4728</v>
      </c>
      <c r="H781" s="82" t="s">
        <v>4730</v>
      </c>
      <c r="I781" s="82" t="s">
        <v>3122</v>
      </c>
      <c r="J781" s="83" t="str">
        <f>VLOOKUP($C781,CHOOSE({1,2},'[4]Prestações de Conta inadimplent'!$D$9:$D$2000,'[4]Prestações de Conta inadimplent'!$C$9:$C$2000),2,0)</f>
        <v>Colegio Estadual Luiz Viana Filho</v>
      </c>
      <c r="L781" s="85"/>
      <c r="M781" s="85" t="e">
        <v>#REF!</v>
      </c>
      <c r="T781" s="86"/>
      <c r="U781" s="85"/>
      <c r="V781" s="87"/>
      <c r="W781" s="85"/>
      <c r="X781" s="88"/>
      <c r="Y781" s="89"/>
      <c r="Z781" s="89"/>
      <c r="AA781" s="88"/>
      <c r="AB781" s="88"/>
      <c r="AF781" s="90"/>
      <c r="AK781" s="91"/>
      <c r="AM781" s="92"/>
      <c r="AN781" s="92"/>
      <c r="AO781" s="92"/>
      <c r="AP781" s="92"/>
      <c r="AQ781" s="92"/>
      <c r="AR781" s="92"/>
    </row>
    <row r="782" spans="1:44" s="84" customFormat="1" ht="24" customHeight="1" x14ac:dyDescent="0.3">
      <c r="A782" s="78" t="s">
        <v>4709</v>
      </c>
      <c r="B782" s="79" t="s">
        <v>1063</v>
      </c>
      <c r="C782" s="112">
        <v>1103719</v>
      </c>
      <c r="D782" s="112">
        <v>1100759</v>
      </c>
      <c r="E782" s="112">
        <v>29177090</v>
      </c>
      <c r="F782" s="81" t="s">
        <v>1069</v>
      </c>
      <c r="G782" s="82" t="s">
        <v>4728</v>
      </c>
      <c r="H782" s="82" t="s">
        <v>4731</v>
      </c>
      <c r="I782" s="82" t="s">
        <v>3122</v>
      </c>
      <c r="J782" s="83" t="str">
        <f>VLOOKUP($C782,CHOOSE({1,2},'[4]Prestações de Conta inadimplent'!$D$9:$D$2000,'[4]Prestações de Conta inadimplent'!$C$9:$C$2000),2,0)</f>
        <v>Colegio Estadual Ouro Negro</v>
      </c>
      <c r="L782" s="85"/>
      <c r="M782" s="85" t="e">
        <v>#REF!</v>
      </c>
      <c r="T782" s="86"/>
      <c r="U782" s="85"/>
      <c r="V782" s="87"/>
      <c r="W782" s="85"/>
      <c r="X782" s="88"/>
      <c r="Y782" s="89"/>
      <c r="Z782" s="89"/>
      <c r="AA782" s="88"/>
      <c r="AB782" s="88"/>
      <c r="AF782" s="90"/>
      <c r="AK782" s="91"/>
      <c r="AM782" s="92"/>
      <c r="AN782" s="92"/>
      <c r="AO782" s="92"/>
      <c r="AP782" s="92"/>
      <c r="AQ782" s="92"/>
      <c r="AR782" s="92"/>
    </row>
    <row r="783" spans="1:44" s="84" customFormat="1" ht="24" customHeight="1" x14ac:dyDescent="0.3">
      <c r="A783" s="78" t="s">
        <v>4709</v>
      </c>
      <c r="B783" s="79" t="s">
        <v>1063</v>
      </c>
      <c r="C783" s="112">
        <v>1176410</v>
      </c>
      <c r="D783" s="112">
        <v>1100764</v>
      </c>
      <c r="E783" s="112">
        <v>29383234</v>
      </c>
      <c r="F783" s="81" t="s">
        <v>4732</v>
      </c>
      <c r="G783" s="82" t="s">
        <v>4728</v>
      </c>
      <c r="H783" s="82" t="s">
        <v>4733</v>
      </c>
      <c r="I783" s="82" t="s">
        <v>3103</v>
      </c>
      <c r="J783" s="83" t="e">
        <f>VLOOKUP($C783,CHOOSE({1,2},'[4]Prestações de Conta inadimplent'!$D$9:$D$2000,'[4]Prestações de Conta inadimplent'!$C$9:$C$2000),2,0)</f>
        <v>#N/A</v>
      </c>
      <c r="L783" s="85"/>
      <c r="M783" s="85" t="e">
        <v>#REF!</v>
      </c>
      <c r="T783" s="86"/>
      <c r="U783" s="85"/>
      <c r="V783" s="85"/>
      <c r="W783" s="85"/>
      <c r="X783" s="88"/>
      <c r="Y783" s="89"/>
      <c r="Z783" s="89"/>
      <c r="AA783" s="88"/>
      <c r="AB783" s="88"/>
      <c r="AF783" s="90"/>
      <c r="AK783" s="91"/>
      <c r="AM783" s="92"/>
      <c r="AN783" s="92"/>
      <c r="AO783" s="92"/>
      <c r="AP783" s="92"/>
      <c r="AQ783" s="92"/>
      <c r="AR783" s="92"/>
    </row>
    <row r="784" spans="1:44" s="84" customFormat="1" ht="24" customHeight="1" x14ac:dyDescent="0.3">
      <c r="A784" s="78" t="s">
        <v>4709</v>
      </c>
      <c r="B784" s="79" t="s">
        <v>1063</v>
      </c>
      <c r="C784" s="112">
        <v>1104669</v>
      </c>
      <c r="D784" s="112">
        <v>1100761</v>
      </c>
      <c r="E784" s="112">
        <v>29176409</v>
      </c>
      <c r="F784" s="81" t="s">
        <v>1064</v>
      </c>
      <c r="G784" s="82" t="s">
        <v>4728</v>
      </c>
      <c r="H784" s="82" t="s">
        <v>4734</v>
      </c>
      <c r="I784" s="82" t="s">
        <v>3103</v>
      </c>
      <c r="J784" s="83" t="e">
        <f>VLOOKUP($C784,CHOOSE({1,2},'[4]Prestações de Conta inadimplent'!$D$9:$D$2000,'[4]Prestações de Conta inadimplent'!$C$9:$C$2000),2,0)</f>
        <v>#N/A</v>
      </c>
      <c r="L784" s="85"/>
      <c r="M784" s="85" t="e">
        <v>#REF!</v>
      </c>
      <c r="T784" s="86"/>
      <c r="U784" s="85"/>
      <c r="V784" s="87"/>
      <c r="W784" s="85"/>
      <c r="X784" s="88"/>
      <c r="Y784" s="89"/>
      <c r="Z784" s="89"/>
      <c r="AA784" s="88"/>
      <c r="AB784" s="88"/>
      <c r="AF784" s="90"/>
      <c r="AK784" s="91"/>
      <c r="AM784" s="92"/>
      <c r="AN784" s="92"/>
      <c r="AO784" s="92"/>
      <c r="AP784" s="92"/>
      <c r="AQ784" s="92"/>
      <c r="AR784" s="92"/>
    </row>
    <row r="785" spans="1:44" s="84" customFormat="1" ht="24" customHeight="1" x14ac:dyDescent="0.3">
      <c r="A785" s="78" t="s">
        <v>4709</v>
      </c>
      <c r="B785" s="79" t="s">
        <v>4735</v>
      </c>
      <c r="C785" s="112">
        <v>1179670</v>
      </c>
      <c r="D785" s="112">
        <v>9999999</v>
      </c>
      <c r="E785" s="112">
        <v>29475082</v>
      </c>
      <c r="F785" s="81" t="s">
        <v>4736</v>
      </c>
      <c r="G785" s="82" t="s">
        <v>4737</v>
      </c>
      <c r="H785" s="82" t="s">
        <v>4738</v>
      </c>
      <c r="I785" s="82" t="s">
        <v>3122</v>
      </c>
      <c r="J785" s="83" t="str">
        <f>VLOOKUP($C785,CHOOSE({1,2},'[4]Prestações de Conta inadimplent'!$D$9:$D$2000,'[4]Prestações de Conta inadimplent'!$C$9:$C$2000),2,0)</f>
        <v>Centro Territo. De Educ. Profis. De Dias D Avila-cetep De Dias D Avila</v>
      </c>
      <c r="L785" s="85"/>
      <c r="M785" s="85" t="e">
        <v>#REF!</v>
      </c>
      <c r="T785" s="86"/>
      <c r="U785" s="85"/>
      <c r="V785" s="87"/>
      <c r="W785" s="85"/>
      <c r="X785" s="88"/>
      <c r="Y785" s="89"/>
      <c r="Z785" s="89"/>
      <c r="AA785" s="88"/>
      <c r="AB785" s="88"/>
      <c r="AF785" s="90"/>
      <c r="AK785" s="91"/>
      <c r="AM785" s="92"/>
      <c r="AN785" s="92"/>
      <c r="AO785" s="92"/>
      <c r="AP785" s="92"/>
      <c r="AQ785" s="92"/>
      <c r="AR785" s="92"/>
    </row>
    <row r="786" spans="1:44" s="84" customFormat="1" ht="24" customHeight="1" x14ac:dyDescent="0.3">
      <c r="A786" s="78" t="s">
        <v>4709</v>
      </c>
      <c r="B786" s="79" t="s">
        <v>4735</v>
      </c>
      <c r="C786" s="112">
        <v>1178035</v>
      </c>
      <c r="D786" s="112">
        <v>1105317</v>
      </c>
      <c r="E786" s="112">
        <v>29427959</v>
      </c>
      <c r="F786" s="81" t="s">
        <v>2562</v>
      </c>
      <c r="G786" s="82" t="s">
        <v>4737</v>
      </c>
      <c r="H786" s="82" t="s">
        <v>4739</v>
      </c>
      <c r="I786" s="82" t="s">
        <v>3122</v>
      </c>
      <c r="J786" s="83" t="str">
        <f>VLOOKUP($C786,CHOOSE({1,2},'[4]Prestações de Conta inadimplent'!$D$9:$D$2000,'[4]Prestações de Conta inadimplent'!$C$9:$C$2000),2,0)</f>
        <v>Colegio Estadual Professor Edilson Souto Freire</v>
      </c>
      <c r="L786" s="85"/>
      <c r="M786" s="85" t="e">
        <v>#REF!</v>
      </c>
      <c r="T786" s="86"/>
      <c r="U786" s="85"/>
      <c r="V786" s="87"/>
      <c r="W786" s="85"/>
      <c r="X786" s="88"/>
      <c r="Y786" s="89"/>
      <c r="Z786" s="89"/>
      <c r="AA786" s="88"/>
      <c r="AB786" s="88"/>
      <c r="AF786" s="90"/>
      <c r="AK786" s="91"/>
      <c r="AM786" s="92"/>
      <c r="AN786" s="92"/>
      <c r="AO786" s="92"/>
      <c r="AP786" s="92"/>
      <c r="AQ786" s="92"/>
      <c r="AR786" s="92"/>
    </row>
    <row r="787" spans="1:44" s="84" customFormat="1" ht="24" customHeight="1" x14ac:dyDescent="0.3">
      <c r="A787" s="78" t="s">
        <v>4709</v>
      </c>
      <c r="B787" s="79" t="s">
        <v>4740</v>
      </c>
      <c r="C787" s="112">
        <v>1102453</v>
      </c>
      <c r="D787" s="112">
        <v>1100778</v>
      </c>
      <c r="E787" s="112">
        <v>29177812</v>
      </c>
      <c r="F787" s="81" t="s">
        <v>4113</v>
      </c>
      <c r="G787" s="82" t="s">
        <v>4741</v>
      </c>
      <c r="H787" s="82" t="s">
        <v>4742</v>
      </c>
      <c r="I787" s="82" t="s">
        <v>3103</v>
      </c>
      <c r="J787" s="83" t="e">
        <f>VLOOKUP($C787,CHOOSE({1,2},'[4]Prestações de Conta inadimplent'!$D$9:$D$2000,'[4]Prestações de Conta inadimplent'!$C$9:$C$2000),2,0)</f>
        <v>#N/A</v>
      </c>
      <c r="L787" s="85"/>
      <c r="M787" s="85" t="e">
        <v>#REF!</v>
      </c>
      <c r="T787" s="86"/>
      <c r="U787" s="85"/>
      <c r="V787" s="87"/>
      <c r="W787" s="85"/>
      <c r="X787" s="88"/>
      <c r="Y787" s="89"/>
      <c r="Z787" s="89"/>
      <c r="AA787" s="88"/>
      <c r="AB787" s="88"/>
      <c r="AF787" s="90"/>
      <c r="AK787" s="91"/>
      <c r="AM787" s="92"/>
      <c r="AN787" s="92"/>
      <c r="AO787" s="92"/>
      <c r="AP787" s="92"/>
      <c r="AQ787" s="92"/>
      <c r="AR787" s="92"/>
    </row>
    <row r="788" spans="1:44" s="84" customFormat="1" ht="24" customHeight="1" x14ac:dyDescent="0.3">
      <c r="A788" s="78" t="s">
        <v>4709</v>
      </c>
      <c r="B788" s="79" t="s">
        <v>1072</v>
      </c>
      <c r="C788" s="112">
        <v>1100256</v>
      </c>
      <c r="D788" s="112">
        <v>1100793</v>
      </c>
      <c r="E788" s="112">
        <v>29178320</v>
      </c>
      <c r="F788" s="81" t="s">
        <v>1076</v>
      </c>
      <c r="G788" s="82" t="s">
        <v>4743</v>
      </c>
      <c r="H788" s="82" t="s">
        <v>4744</v>
      </c>
      <c r="I788" s="82" t="s">
        <v>3122</v>
      </c>
      <c r="J788" s="83" t="str">
        <f>VLOOKUP($C788,CHOOSE({1,2},'[4]Prestações de Conta inadimplent'!$D$9:$D$2000,'[4]Prestações de Conta inadimplent'!$C$9:$C$2000),2,0)</f>
        <v>Colegio Estadual Alfredo Agostinho De Deus</v>
      </c>
      <c r="L788" s="85"/>
      <c r="M788" s="85" t="e">
        <v>#REF!</v>
      </c>
      <c r="T788" s="86"/>
      <c r="U788" s="85"/>
      <c r="V788" s="87"/>
      <c r="W788" s="85"/>
      <c r="X788" s="88"/>
      <c r="Y788" s="89"/>
      <c r="Z788" s="89"/>
      <c r="AA788" s="88"/>
      <c r="AB788" s="88"/>
      <c r="AF788" s="90"/>
      <c r="AK788" s="91"/>
      <c r="AM788" s="92"/>
      <c r="AN788" s="92"/>
      <c r="AO788" s="92"/>
      <c r="AP788" s="92"/>
      <c r="AQ788" s="92"/>
      <c r="AR788" s="92"/>
    </row>
    <row r="789" spans="1:44" s="84" customFormat="1" ht="24" customHeight="1" x14ac:dyDescent="0.3">
      <c r="A789" s="78" t="s">
        <v>4709</v>
      </c>
      <c r="B789" s="79" t="s">
        <v>1072</v>
      </c>
      <c r="C789" s="112">
        <v>1100809</v>
      </c>
      <c r="D789" s="112">
        <v>1100795</v>
      </c>
      <c r="E789" s="112">
        <v>29178231</v>
      </c>
      <c r="F789" s="81" t="s">
        <v>1073</v>
      </c>
      <c r="G789" s="82" t="s">
        <v>4743</v>
      </c>
      <c r="H789" s="82" t="s">
        <v>4745</v>
      </c>
      <c r="I789" s="82" t="s">
        <v>3103</v>
      </c>
      <c r="J789" s="83" t="e">
        <f>VLOOKUP($C789,CHOOSE({1,2},'[4]Prestações de Conta inadimplent'!$D$9:$D$2000,'[4]Prestações de Conta inadimplent'!$C$9:$C$2000),2,0)</f>
        <v>#N/A</v>
      </c>
      <c r="L789" s="85"/>
      <c r="M789" s="85" t="e">
        <v>#REF!</v>
      </c>
      <c r="T789" s="86"/>
      <c r="U789" s="85"/>
      <c r="V789" s="87"/>
      <c r="W789" s="85"/>
      <c r="X789" s="88"/>
      <c r="Y789" s="89"/>
      <c r="Z789" s="89"/>
      <c r="AA789" s="88"/>
      <c r="AB789" s="88"/>
      <c r="AF789" s="90"/>
      <c r="AK789" s="91"/>
      <c r="AM789" s="92"/>
      <c r="AN789" s="92"/>
      <c r="AO789" s="92"/>
      <c r="AP789" s="92"/>
      <c r="AQ789" s="92"/>
      <c r="AR789" s="92"/>
    </row>
    <row r="790" spans="1:44" s="84" customFormat="1" ht="24" customHeight="1" x14ac:dyDescent="0.3">
      <c r="A790" s="78" t="s">
        <v>4709</v>
      </c>
      <c r="B790" s="79" t="s">
        <v>1072</v>
      </c>
      <c r="C790" s="112">
        <v>1110081</v>
      </c>
      <c r="D790" s="112">
        <v>1100798</v>
      </c>
      <c r="E790" s="112">
        <v>29178584</v>
      </c>
      <c r="F790" s="81" t="s">
        <v>1085</v>
      </c>
      <c r="G790" s="82" t="s">
        <v>4743</v>
      </c>
      <c r="H790" s="82" t="s">
        <v>4746</v>
      </c>
      <c r="I790" s="82" t="s">
        <v>3122</v>
      </c>
      <c r="J790" s="83" t="str">
        <f>VLOOKUP($C790,CHOOSE({1,2},'[4]Prestações de Conta inadimplent'!$D$9:$D$2000,'[4]Prestações de Conta inadimplent'!$C$9:$C$2000),2,0)</f>
        <v>Colegio Estadual Francisco Pereira Franco</v>
      </c>
      <c r="L790" s="85"/>
      <c r="M790" s="85" t="e">
        <v>#REF!</v>
      </c>
      <c r="T790" s="86"/>
      <c r="U790" s="85"/>
      <c r="V790" s="87"/>
      <c r="W790" s="85"/>
      <c r="X790" s="88"/>
      <c r="Y790" s="89"/>
      <c r="Z790" s="89"/>
      <c r="AA790" s="88"/>
      <c r="AB790" s="88"/>
      <c r="AF790" s="90"/>
      <c r="AK790" s="91"/>
      <c r="AM790" s="92"/>
      <c r="AN790" s="92"/>
      <c r="AO790" s="92"/>
      <c r="AP790" s="92"/>
      <c r="AQ790" s="92"/>
      <c r="AR790" s="92"/>
    </row>
    <row r="791" spans="1:44" s="84" customFormat="1" ht="24" customHeight="1" x14ac:dyDescent="0.3">
      <c r="A791" s="78" t="s">
        <v>4709</v>
      </c>
      <c r="B791" s="79" t="s">
        <v>1072</v>
      </c>
      <c r="C791" s="112">
        <v>1178431</v>
      </c>
      <c r="D791" s="112">
        <v>1105579</v>
      </c>
      <c r="E791" s="112">
        <v>29398673</v>
      </c>
      <c r="F791" s="81" t="s">
        <v>4747</v>
      </c>
      <c r="G791" s="82" t="s">
        <v>4743</v>
      </c>
      <c r="H791" s="82" t="s">
        <v>4748</v>
      </c>
      <c r="I791" s="82" t="s">
        <v>3122</v>
      </c>
      <c r="J791" s="83" t="str">
        <f>VLOOKUP($C791,CHOOSE({1,2},'[4]Prestações de Conta inadimplent'!$D$9:$D$2000,'[4]Prestações de Conta inadimplent'!$C$9:$C$2000),2,0)</f>
        <v>Centro Est De Educacao Profis Em Tecnologia Informacao E Comunicacao</v>
      </c>
      <c r="L791" s="85"/>
      <c r="M791" s="85" t="e">
        <v>#REF!</v>
      </c>
      <c r="T791" s="86"/>
      <c r="U791" s="85"/>
      <c r="V791" s="87"/>
      <c r="W791" s="85"/>
      <c r="X791" s="88"/>
      <c r="Y791" s="89"/>
      <c r="Z791" s="89"/>
      <c r="AA791" s="88"/>
      <c r="AB791" s="88"/>
      <c r="AF791" s="90"/>
      <c r="AK791" s="91"/>
      <c r="AM791" s="92"/>
      <c r="AN791" s="92"/>
      <c r="AO791" s="92"/>
      <c r="AP791" s="92"/>
      <c r="AQ791" s="92"/>
      <c r="AR791" s="92"/>
    </row>
    <row r="792" spans="1:44" s="84" customFormat="1" ht="24" customHeight="1" x14ac:dyDescent="0.3">
      <c r="A792" s="78" t="s">
        <v>4709</v>
      </c>
      <c r="B792" s="79" t="s">
        <v>1072</v>
      </c>
      <c r="C792" s="112">
        <v>1176364</v>
      </c>
      <c r="D792" s="112">
        <v>1100800</v>
      </c>
      <c r="E792" s="112">
        <v>29359635</v>
      </c>
      <c r="F792" s="81" t="s">
        <v>2244</v>
      </c>
      <c r="G792" s="82" t="s">
        <v>4743</v>
      </c>
      <c r="H792" s="82" t="s">
        <v>4749</v>
      </c>
      <c r="I792" s="82" t="s">
        <v>3122</v>
      </c>
      <c r="J792" s="83" t="str">
        <f>VLOOKUP($C792,CHOOSE({1,2},'[4]Prestações de Conta inadimplent'!$D$9:$D$2000,'[4]Prestações de Conta inadimplent'!$C$9:$C$2000),2,0)</f>
        <v>Colegio Estadual Hermano Gouveia Neto</v>
      </c>
      <c r="L792" s="85"/>
      <c r="M792" s="85" t="e">
        <v>#REF!</v>
      </c>
      <c r="T792" s="86"/>
      <c r="U792" s="85"/>
      <c r="V792" s="87"/>
      <c r="W792" s="85"/>
      <c r="X792" s="88"/>
      <c r="Y792" s="89"/>
      <c r="Z792" s="89"/>
      <c r="AA792" s="88"/>
      <c r="AB792" s="88"/>
      <c r="AF792" s="90"/>
      <c r="AK792" s="91"/>
      <c r="AM792" s="92"/>
      <c r="AN792" s="92"/>
      <c r="AO792" s="92"/>
      <c r="AP792" s="92"/>
      <c r="AQ792" s="92"/>
      <c r="AR792" s="92"/>
    </row>
    <row r="793" spans="1:44" s="84" customFormat="1" ht="24" customHeight="1" x14ac:dyDescent="0.3">
      <c r="A793" s="78" t="s">
        <v>4709</v>
      </c>
      <c r="B793" s="79" t="s">
        <v>1072</v>
      </c>
      <c r="C793" s="112">
        <v>1100477</v>
      </c>
      <c r="D793" s="112">
        <v>1100794</v>
      </c>
      <c r="E793" s="112">
        <v>29178487</v>
      </c>
      <c r="F793" s="81" t="s">
        <v>1079</v>
      </c>
      <c r="G793" s="82" t="s">
        <v>4743</v>
      </c>
      <c r="H793" s="82" t="s">
        <v>4750</v>
      </c>
      <c r="I793" s="82" t="s">
        <v>3122</v>
      </c>
      <c r="J793" s="83" t="str">
        <f>VLOOKUP($C793,CHOOSE({1,2},'[4]Prestações de Conta inadimplent'!$D$9:$D$2000,'[4]Prestações de Conta inadimplent'!$C$9:$C$2000),2,0)</f>
        <v>Colegio Estadual Americo Simas</v>
      </c>
      <c r="L793" s="85"/>
      <c r="M793" s="85" t="e">
        <v>#REF!</v>
      </c>
      <c r="T793" s="86"/>
      <c r="U793" s="85"/>
      <c r="V793" s="87"/>
      <c r="W793" s="85"/>
      <c r="X793" s="88"/>
      <c r="Y793" s="89"/>
      <c r="Z793" s="89"/>
      <c r="AA793" s="88"/>
      <c r="AB793" s="88"/>
      <c r="AF793" s="90"/>
      <c r="AK793" s="91"/>
      <c r="AM793" s="92"/>
      <c r="AN793" s="92"/>
      <c r="AO793" s="92"/>
      <c r="AP793" s="92"/>
      <c r="AQ793" s="92"/>
      <c r="AR793" s="92"/>
    </row>
    <row r="794" spans="1:44" s="84" customFormat="1" ht="24" customHeight="1" x14ac:dyDescent="0.3">
      <c r="A794" s="78" t="s">
        <v>4709</v>
      </c>
      <c r="B794" s="79" t="s">
        <v>1072</v>
      </c>
      <c r="C794" s="112">
        <v>1102470</v>
      </c>
      <c r="D794" s="112">
        <v>1100797</v>
      </c>
      <c r="E794" s="112">
        <v>29178550</v>
      </c>
      <c r="F794" s="81" t="s">
        <v>1082</v>
      </c>
      <c r="G794" s="82" t="s">
        <v>4743</v>
      </c>
      <c r="H794" s="82" t="s">
        <v>4751</v>
      </c>
      <c r="I794" s="82" t="s">
        <v>3122</v>
      </c>
      <c r="J794" s="83" t="str">
        <f>VLOOKUP($C794,CHOOSE({1,2},'[4]Prestações de Conta inadimplent'!$D$9:$D$2000,'[4]Prestações de Conta inadimplent'!$C$9:$C$2000),2,0)</f>
        <v>Colegio Estadual De Tempo Integral De Portao</v>
      </c>
      <c r="L794" s="85"/>
      <c r="M794" s="85" t="e">
        <v>#REF!</v>
      </c>
      <c r="T794" s="86"/>
      <c r="U794" s="85"/>
      <c r="V794" s="87"/>
      <c r="W794" s="85"/>
      <c r="X794" s="88"/>
      <c r="Y794" s="89"/>
      <c r="Z794" s="89"/>
      <c r="AA794" s="88"/>
      <c r="AB794" s="88"/>
      <c r="AF794" s="90"/>
      <c r="AK794" s="91"/>
      <c r="AM794" s="92"/>
      <c r="AN794" s="92"/>
      <c r="AO794" s="92"/>
      <c r="AP794" s="92"/>
      <c r="AQ794" s="92"/>
      <c r="AR794" s="92"/>
    </row>
    <row r="795" spans="1:44" s="84" customFormat="1" ht="24" customHeight="1" x14ac:dyDescent="0.3">
      <c r="A795" s="78" t="s">
        <v>4709</v>
      </c>
      <c r="B795" s="79" t="s">
        <v>1088</v>
      </c>
      <c r="C795" s="112">
        <v>1101147</v>
      </c>
      <c r="D795" s="112">
        <v>1100802</v>
      </c>
      <c r="E795" s="112">
        <v>29179220</v>
      </c>
      <c r="F795" s="81" t="s">
        <v>4752</v>
      </c>
      <c r="G795" s="82" t="s">
        <v>4753</v>
      </c>
      <c r="H795" s="82" t="s">
        <v>4754</v>
      </c>
      <c r="I795" s="82" t="s">
        <v>3103</v>
      </c>
      <c r="J795" s="83" t="e">
        <f>VLOOKUP($C795,CHOOSE({1,2},'[4]Prestações de Conta inadimplent'!$D$9:$D$2000,'[4]Prestações de Conta inadimplent'!$C$9:$C$2000),2,0)</f>
        <v>#N/A</v>
      </c>
      <c r="L795" s="85"/>
      <c r="M795" s="85" t="e">
        <v>#REF!</v>
      </c>
      <c r="T795" s="86"/>
      <c r="U795" s="85"/>
      <c r="V795" s="87"/>
      <c r="W795" s="85"/>
      <c r="X795" s="88"/>
      <c r="Y795" s="89"/>
      <c r="Z795" s="89"/>
      <c r="AA795" s="88"/>
      <c r="AB795" s="88"/>
      <c r="AF795" s="90"/>
      <c r="AK795" s="91"/>
      <c r="AM795" s="92"/>
      <c r="AN795" s="92"/>
      <c r="AO795" s="92"/>
      <c r="AP795" s="92"/>
      <c r="AQ795" s="92"/>
      <c r="AR795" s="92"/>
    </row>
    <row r="796" spans="1:44" s="84" customFormat="1" ht="24" customHeight="1" x14ac:dyDescent="0.3">
      <c r="A796" s="78" t="s">
        <v>4709</v>
      </c>
      <c r="B796" s="79" t="s">
        <v>962</v>
      </c>
      <c r="C796" s="112">
        <v>1176073</v>
      </c>
      <c r="D796" s="112">
        <v>1103825</v>
      </c>
      <c r="E796" s="112">
        <v>29160227</v>
      </c>
      <c r="F796" s="81" t="s">
        <v>4755</v>
      </c>
      <c r="G796" s="82" t="s">
        <v>4756</v>
      </c>
      <c r="H796" s="82" t="s">
        <v>4757</v>
      </c>
      <c r="I796" s="82" t="s">
        <v>3122</v>
      </c>
      <c r="J796" s="83" t="str">
        <f>VLOOKUP($C796,CHOOSE({1,2},'[4]Prestações de Conta inadimplent'!$D$9:$D$2000,'[4]Prestações de Conta inadimplent'!$C$9:$C$2000),2,0)</f>
        <v>Colegio Estadual Alaor Coutinho</v>
      </c>
      <c r="K796" s="96"/>
      <c r="L796" s="85"/>
      <c r="M796" s="85" t="e">
        <v>#REF!</v>
      </c>
      <c r="T796" s="86"/>
      <c r="U796" s="85"/>
      <c r="V796" s="87"/>
      <c r="W796" s="85"/>
      <c r="X796" s="88"/>
      <c r="Y796" s="89"/>
      <c r="Z796" s="89"/>
      <c r="AA796" s="88"/>
      <c r="AB796" s="88"/>
      <c r="AF796" s="90"/>
      <c r="AK796" s="91"/>
      <c r="AM796" s="92"/>
      <c r="AN796" s="92"/>
      <c r="AO796" s="92"/>
      <c r="AP796" s="92"/>
      <c r="AQ796" s="92"/>
      <c r="AR796" s="92"/>
    </row>
    <row r="797" spans="1:44" s="84" customFormat="1" ht="24" customHeight="1" x14ac:dyDescent="0.3">
      <c r="A797" s="78" t="s">
        <v>4709</v>
      </c>
      <c r="B797" s="79" t="s">
        <v>962</v>
      </c>
      <c r="C797" s="112">
        <v>1134134</v>
      </c>
      <c r="D797" s="112">
        <v>1103819</v>
      </c>
      <c r="E797" s="112">
        <v>29159539</v>
      </c>
      <c r="F797" s="81" t="s">
        <v>4758</v>
      </c>
      <c r="G797" s="82" t="s">
        <v>4756</v>
      </c>
      <c r="H797" s="82" t="s">
        <v>4759</v>
      </c>
      <c r="I797" s="82" t="s">
        <v>3122</v>
      </c>
      <c r="J797" s="83" t="str">
        <f>VLOOKUP($C797,CHOOSE({1,2},'[4]Prestações de Conta inadimplent'!$D$9:$D$2000,'[4]Prestações de Conta inadimplent'!$C$9:$C$2000),2,0)</f>
        <v>Colegio Estadual De Tempo Integral De Mata De Sao Joao</v>
      </c>
      <c r="L797" s="85"/>
      <c r="M797" s="85" t="e">
        <v>#REF!</v>
      </c>
      <c r="T797" s="86"/>
      <c r="U797" s="85"/>
      <c r="V797" s="87"/>
      <c r="W797" s="85"/>
      <c r="X797" s="88"/>
      <c r="Y797" s="89"/>
      <c r="Z797" s="89"/>
      <c r="AA797" s="88"/>
      <c r="AB797" s="88"/>
      <c r="AF797" s="90"/>
      <c r="AK797" s="91"/>
      <c r="AM797" s="92"/>
      <c r="AN797" s="92"/>
      <c r="AO797" s="92"/>
      <c r="AP797" s="92"/>
      <c r="AQ797" s="92"/>
      <c r="AR797" s="92"/>
    </row>
    <row r="798" spans="1:44" s="84" customFormat="1" ht="24" customHeight="1" x14ac:dyDescent="0.3">
      <c r="A798" s="78" t="s">
        <v>4709</v>
      </c>
      <c r="B798" s="79" t="s">
        <v>966</v>
      </c>
      <c r="C798" s="112">
        <v>1166354</v>
      </c>
      <c r="D798" s="112">
        <v>1103839</v>
      </c>
      <c r="E798" s="112">
        <v>29160502</v>
      </c>
      <c r="F798" s="81" t="s">
        <v>967</v>
      </c>
      <c r="G798" s="82" t="s">
        <v>4246</v>
      </c>
      <c r="H798" s="82" t="s">
        <v>4760</v>
      </c>
      <c r="I798" s="82" t="s">
        <v>3103</v>
      </c>
      <c r="J798" s="83" t="e">
        <f>VLOOKUP($C798,CHOOSE({1,2},'[4]Prestações de Conta inadimplent'!$D$9:$D$2000,'[4]Prestações de Conta inadimplent'!$C$9:$C$2000),2,0)</f>
        <v>#N/A</v>
      </c>
      <c r="L798" s="85"/>
      <c r="M798" s="85" t="e">
        <v>#REF!</v>
      </c>
      <c r="T798" s="86"/>
      <c r="U798" s="85"/>
      <c r="V798" s="87"/>
      <c r="W798" s="85"/>
      <c r="X798" s="88"/>
      <c r="Y798" s="89"/>
      <c r="Z798" s="89"/>
      <c r="AA798" s="88"/>
      <c r="AB798" s="88"/>
      <c r="AF798" s="90"/>
      <c r="AK798" s="91"/>
      <c r="AM798" s="92"/>
      <c r="AN798" s="92"/>
      <c r="AO798" s="92"/>
      <c r="AP798" s="92"/>
      <c r="AQ798" s="92"/>
      <c r="AR798" s="92"/>
    </row>
    <row r="799" spans="1:44" s="84" customFormat="1" ht="24" customHeight="1" x14ac:dyDescent="0.3">
      <c r="A799" s="78" t="s">
        <v>4709</v>
      </c>
      <c r="B799" s="79" t="s">
        <v>966</v>
      </c>
      <c r="C799" s="112">
        <v>1176461</v>
      </c>
      <c r="D799" s="112">
        <v>1103841</v>
      </c>
      <c r="E799" s="112">
        <v>29391253</v>
      </c>
      <c r="F799" s="81" t="s">
        <v>2552</v>
      </c>
      <c r="G799" s="82" t="s">
        <v>4246</v>
      </c>
      <c r="H799" s="82" t="s">
        <v>4761</v>
      </c>
      <c r="I799" s="82" t="s">
        <v>3122</v>
      </c>
      <c r="J799" s="83" t="str">
        <f>VLOOKUP($C799,CHOOSE({1,2},'[4]Prestações de Conta inadimplent'!$D$9:$D$2000,'[4]Prestações de Conta inadimplent'!$C$9:$C$2000),2,0)</f>
        <v>Colegio Estadual Luis Eduardo Magalhaes</v>
      </c>
      <c r="L799" s="85"/>
      <c r="M799" s="85" t="e">
        <v>#REF!</v>
      </c>
      <c r="T799" s="86"/>
      <c r="U799" s="85"/>
      <c r="V799" s="87"/>
      <c r="W799" s="85"/>
      <c r="X799" s="88"/>
      <c r="Y799" s="89"/>
      <c r="Z799" s="89"/>
      <c r="AA799" s="88"/>
      <c r="AB799" s="88"/>
      <c r="AF799" s="90"/>
      <c r="AK799" s="91"/>
      <c r="AM799" s="92"/>
      <c r="AN799" s="92"/>
      <c r="AO799" s="92"/>
      <c r="AP799" s="92"/>
      <c r="AQ799" s="92"/>
      <c r="AR799" s="92"/>
    </row>
    <row r="800" spans="1:44" s="84" customFormat="1" ht="24" customHeight="1" x14ac:dyDescent="0.3">
      <c r="A800" s="78" t="s">
        <v>4709</v>
      </c>
      <c r="B800" s="79" t="s">
        <v>1092</v>
      </c>
      <c r="C800" s="112">
        <v>1178325</v>
      </c>
      <c r="D800" s="112">
        <v>1105549</v>
      </c>
      <c r="E800" s="112">
        <v>29842727</v>
      </c>
      <c r="F800" s="81" t="s">
        <v>3053</v>
      </c>
      <c r="G800" s="82" t="s">
        <v>4762</v>
      </c>
      <c r="H800" s="82" t="s">
        <v>4763</v>
      </c>
      <c r="I800" s="82" t="s">
        <v>3122</v>
      </c>
      <c r="J800" s="83" t="str">
        <f>VLOOKUP($C800,CHOOSE({1,2},'[4]Prestações de Conta inadimplent'!$D$9:$D$2000,'[4]Prestações de Conta inadimplent'!$C$9:$C$2000),2,0)</f>
        <v>Colegio Estadual De Tempo Integral Sao Daniel Comboni</v>
      </c>
      <c r="L800" s="85"/>
      <c r="M800" s="85" t="e">
        <v>#REF!</v>
      </c>
      <c r="T800" s="86"/>
      <c r="U800" s="85"/>
      <c r="V800" s="87"/>
      <c r="W800" s="85"/>
      <c r="X800" s="88"/>
      <c r="Y800" s="89"/>
      <c r="Z800" s="89"/>
      <c r="AA800" s="88"/>
      <c r="AB800" s="88"/>
      <c r="AF800" s="90"/>
      <c r="AK800" s="91"/>
      <c r="AM800" s="92"/>
      <c r="AN800" s="92"/>
      <c r="AO800" s="92"/>
      <c r="AP800" s="92"/>
      <c r="AQ800" s="92"/>
      <c r="AR800" s="92"/>
    </row>
    <row r="801" spans="1:44" s="84" customFormat="1" ht="24" customHeight="1" x14ac:dyDescent="0.3">
      <c r="A801" s="78" t="s">
        <v>4709</v>
      </c>
      <c r="B801" s="79" t="s">
        <v>1092</v>
      </c>
      <c r="C801" s="112">
        <v>1103506</v>
      </c>
      <c r="D801" s="112">
        <v>1100415</v>
      </c>
      <c r="E801" s="112">
        <v>29187346</v>
      </c>
      <c r="F801" s="81" t="s">
        <v>1234</v>
      </c>
      <c r="G801" s="82" t="s">
        <v>4762</v>
      </c>
      <c r="H801" s="82" t="s">
        <v>4764</v>
      </c>
      <c r="I801" s="82" t="s">
        <v>3122</v>
      </c>
      <c r="J801" s="83" t="str">
        <f>VLOOKUP($C801,CHOOSE({1,2},'[4]Prestações de Conta inadimplent'!$D$9:$D$2000,'[4]Prestações de Conta inadimplent'!$C$9:$C$2000),2,0)</f>
        <v>Escola Professor Roberto Santos</v>
      </c>
      <c r="L801" s="85"/>
      <c r="M801" s="85" t="e">
        <v>#REF!</v>
      </c>
      <c r="T801" s="86"/>
      <c r="U801" s="85"/>
      <c r="V801" s="87"/>
      <c r="W801" s="85"/>
      <c r="X801" s="85"/>
      <c r="Y801" s="89"/>
      <c r="Z801" s="88"/>
      <c r="AA801" s="88"/>
      <c r="AB801" s="88"/>
      <c r="AF801" s="90"/>
      <c r="AK801" s="91"/>
      <c r="AM801" s="92"/>
      <c r="AN801" s="92"/>
      <c r="AO801" s="92"/>
      <c r="AP801" s="92"/>
      <c r="AQ801" s="92"/>
      <c r="AR801" s="92"/>
    </row>
    <row r="802" spans="1:44" s="84" customFormat="1" ht="24" customHeight="1" x14ac:dyDescent="0.3">
      <c r="A802" s="78" t="s">
        <v>4709</v>
      </c>
      <c r="B802" s="79" t="s">
        <v>1092</v>
      </c>
      <c r="C802" s="112">
        <v>1176377</v>
      </c>
      <c r="D802" s="112">
        <v>1100262</v>
      </c>
      <c r="E802" s="112">
        <v>29357861</v>
      </c>
      <c r="F802" s="81" t="s">
        <v>2233</v>
      </c>
      <c r="G802" s="82" t="s">
        <v>4762</v>
      </c>
      <c r="H802" s="82" t="s">
        <v>4690</v>
      </c>
      <c r="I802" s="82" t="s">
        <v>3122</v>
      </c>
      <c r="J802" s="83" t="str">
        <f>VLOOKUP($C802,CHOOSE({1,2},'[4]Prestações de Conta inadimplent'!$D$9:$D$2000,'[4]Prestações de Conta inadimplent'!$C$9:$C$2000),2,0)</f>
        <v>Colegio Estadual Thales De Azevedo</v>
      </c>
      <c r="K802" s="96"/>
      <c r="L802" s="85"/>
      <c r="M802" s="85" t="e">
        <v>#REF!</v>
      </c>
      <c r="T802" s="86"/>
      <c r="U802" s="85"/>
      <c r="V802" s="87"/>
      <c r="W802" s="85"/>
      <c r="X802" s="88"/>
      <c r="Y802" s="89"/>
      <c r="Z802" s="89"/>
      <c r="AA802" s="88"/>
      <c r="AB802" s="88"/>
      <c r="AF802" s="90"/>
      <c r="AK802" s="91"/>
      <c r="AM802" s="92"/>
      <c r="AN802" s="92"/>
      <c r="AO802" s="92"/>
      <c r="AP802" s="92"/>
      <c r="AQ802" s="92"/>
      <c r="AR802" s="92"/>
    </row>
    <row r="803" spans="1:44" s="84" customFormat="1" ht="24" customHeight="1" x14ac:dyDescent="0.3">
      <c r="A803" s="78" t="s">
        <v>4709</v>
      </c>
      <c r="B803" s="79" t="s">
        <v>1092</v>
      </c>
      <c r="C803" s="112">
        <v>1103565</v>
      </c>
      <c r="D803" s="112">
        <v>1100408</v>
      </c>
      <c r="E803" s="112">
        <v>29191041</v>
      </c>
      <c r="F803" s="81" t="s">
        <v>1327</v>
      </c>
      <c r="G803" s="82" t="s">
        <v>4762</v>
      </c>
      <c r="H803" s="82" t="s">
        <v>4765</v>
      </c>
      <c r="I803" s="82" t="s">
        <v>3122</v>
      </c>
      <c r="J803" s="83" t="str">
        <f>VLOOKUP($C803,CHOOSE({1,2},'[4]Prestações de Conta inadimplent'!$D$9:$D$2000,'[4]Prestações de Conta inadimplent'!$C$9:$C$2000),2,0)</f>
        <v>Colegio Estadual Padre Palmeira</v>
      </c>
      <c r="L803" s="85"/>
      <c r="M803" s="85" t="e">
        <v>#REF!</v>
      </c>
      <c r="T803" s="86"/>
      <c r="U803" s="85"/>
      <c r="V803" s="87"/>
      <c r="W803" s="85"/>
      <c r="X803" s="88"/>
      <c r="Y803" s="89"/>
      <c r="Z803" s="89"/>
      <c r="AA803" s="88"/>
      <c r="AB803" s="88"/>
      <c r="AF803" s="90"/>
      <c r="AK803" s="91"/>
      <c r="AM803" s="92"/>
      <c r="AN803" s="92"/>
      <c r="AO803" s="92"/>
      <c r="AP803" s="92"/>
      <c r="AQ803" s="92"/>
      <c r="AR803" s="92"/>
    </row>
    <row r="804" spans="1:44" s="84" customFormat="1" ht="24" customHeight="1" x14ac:dyDescent="0.3">
      <c r="A804" s="78" t="s">
        <v>4709</v>
      </c>
      <c r="B804" s="79" t="s">
        <v>1092</v>
      </c>
      <c r="C804" s="112">
        <v>1101333</v>
      </c>
      <c r="D804" s="112">
        <v>1100609</v>
      </c>
      <c r="E804" s="112">
        <v>29185351</v>
      </c>
      <c r="F804" s="81" t="s">
        <v>4766</v>
      </c>
      <c r="G804" s="82" t="s">
        <v>4762</v>
      </c>
      <c r="H804" s="82" t="s">
        <v>4767</v>
      </c>
      <c r="I804" s="82" t="s">
        <v>3103</v>
      </c>
      <c r="J804" s="83" t="e">
        <f>VLOOKUP($C804,CHOOSE({1,2},'[4]Prestações de Conta inadimplent'!$D$9:$D$2000,'[4]Prestações de Conta inadimplent'!$C$9:$C$2000),2,0)</f>
        <v>#N/A</v>
      </c>
      <c r="L804" s="85"/>
      <c r="M804" s="85" t="e">
        <v>#REF!</v>
      </c>
      <c r="T804" s="86"/>
      <c r="U804" s="85"/>
      <c r="V804" s="87"/>
      <c r="W804" s="85"/>
      <c r="X804" s="85"/>
      <c r="Y804" s="89"/>
      <c r="Z804" s="89"/>
      <c r="AA804" s="88"/>
      <c r="AB804" s="88"/>
      <c r="AF804" s="90"/>
      <c r="AK804" s="91"/>
      <c r="AM804" s="92"/>
      <c r="AN804" s="92"/>
      <c r="AO804" s="92"/>
      <c r="AP804" s="92"/>
      <c r="AQ804" s="92"/>
      <c r="AR804" s="92"/>
    </row>
    <row r="805" spans="1:44" s="84" customFormat="1" ht="24" customHeight="1" x14ac:dyDescent="0.3">
      <c r="A805" s="78" t="s">
        <v>4709</v>
      </c>
      <c r="B805" s="79" t="s">
        <v>1092</v>
      </c>
      <c r="C805" s="112">
        <v>1100914</v>
      </c>
      <c r="D805" s="112">
        <v>1100267</v>
      </c>
      <c r="E805" s="112">
        <v>29192064</v>
      </c>
      <c r="F805" s="81" t="s">
        <v>1377</v>
      </c>
      <c r="G805" s="82" t="s">
        <v>4762</v>
      </c>
      <c r="H805" s="82" t="s">
        <v>4768</v>
      </c>
      <c r="I805" s="82" t="s">
        <v>3122</v>
      </c>
      <c r="J805" s="83" t="str">
        <f>VLOOKUP($C805,CHOOSE({1,2},'[4]Prestações de Conta inadimplent'!$D$9:$D$2000,'[4]Prestações de Conta inadimplent'!$C$9:$C$2000),2,0)</f>
        <v>Colegio Estadual Edson Tenorio De Albuquerque</v>
      </c>
      <c r="L805" s="85"/>
      <c r="M805" s="85" t="e">
        <v>#REF!</v>
      </c>
      <c r="T805" s="86"/>
      <c r="U805" s="85"/>
      <c r="V805" s="87"/>
      <c r="W805" s="85"/>
      <c r="X805" s="88"/>
      <c r="Y805" s="89"/>
      <c r="Z805" s="89"/>
      <c r="AA805" s="88"/>
      <c r="AB805" s="88"/>
      <c r="AF805" s="90"/>
      <c r="AK805" s="91"/>
      <c r="AM805" s="92"/>
      <c r="AN805" s="92"/>
      <c r="AO805" s="92"/>
      <c r="AP805" s="92"/>
      <c r="AQ805" s="92"/>
      <c r="AR805" s="92"/>
    </row>
    <row r="806" spans="1:44" s="84" customFormat="1" ht="24" customHeight="1" x14ac:dyDescent="0.3">
      <c r="A806" s="78" t="s">
        <v>4709</v>
      </c>
      <c r="B806" s="79" t="s">
        <v>1092</v>
      </c>
      <c r="C806" s="112">
        <v>1100400</v>
      </c>
      <c r="D806" s="112">
        <v>1100245</v>
      </c>
      <c r="E806" s="112">
        <v>29182689</v>
      </c>
      <c r="F806" s="81" t="s">
        <v>4769</v>
      </c>
      <c r="G806" s="82" t="s">
        <v>4762</v>
      </c>
      <c r="H806" s="82" t="s">
        <v>4770</v>
      </c>
      <c r="I806" s="82" t="s">
        <v>3122</v>
      </c>
      <c r="J806" s="83" t="str">
        <f>VLOOKUP($C806,CHOOSE({1,2},'[4]Prestações de Conta inadimplent'!$D$9:$D$2000,'[4]Prestações de Conta inadimplent'!$C$9:$C$2000),2,0)</f>
        <v>Colegio Estadual Almirante Barroso</v>
      </c>
      <c r="L806" s="85"/>
      <c r="M806" s="85" t="e">
        <v>#REF!</v>
      </c>
      <c r="T806" s="86"/>
      <c r="U806" s="85"/>
      <c r="V806" s="87"/>
      <c r="W806" s="85"/>
      <c r="X806" s="88"/>
      <c r="Y806" s="89"/>
      <c r="Z806" s="89"/>
      <c r="AA806" s="88"/>
      <c r="AB806" s="88"/>
      <c r="AF806" s="90"/>
      <c r="AK806" s="91"/>
      <c r="AM806" s="92"/>
      <c r="AN806" s="92"/>
      <c r="AO806" s="92"/>
      <c r="AP806" s="92"/>
      <c r="AQ806" s="92"/>
      <c r="AR806" s="92"/>
    </row>
    <row r="807" spans="1:44" s="84" customFormat="1" ht="24" customHeight="1" x14ac:dyDescent="0.3">
      <c r="A807" s="78" t="s">
        <v>4709</v>
      </c>
      <c r="B807" s="79" t="s">
        <v>1092</v>
      </c>
      <c r="C807" s="112">
        <v>1176095</v>
      </c>
      <c r="D807" s="112">
        <v>1100535</v>
      </c>
      <c r="E807" s="112">
        <v>29336473</v>
      </c>
      <c r="F807" s="81" t="s">
        <v>2190</v>
      </c>
      <c r="G807" s="82" t="s">
        <v>4762</v>
      </c>
      <c r="H807" s="82" t="s">
        <v>4771</v>
      </c>
      <c r="I807" s="82" t="s">
        <v>3103</v>
      </c>
      <c r="J807" s="83" t="e">
        <f>VLOOKUP($C807,CHOOSE({1,2},'[4]Prestações de Conta inadimplent'!$D$9:$D$2000,'[4]Prestações de Conta inadimplent'!$C$9:$C$2000),2,0)</f>
        <v>#N/A</v>
      </c>
      <c r="L807" s="85"/>
      <c r="M807" s="85" t="e">
        <v>#REF!</v>
      </c>
      <c r="T807" s="86"/>
      <c r="U807" s="85"/>
      <c r="V807" s="87"/>
      <c r="W807" s="85"/>
      <c r="X807" s="88"/>
      <c r="Y807" s="89"/>
      <c r="Z807" s="89"/>
      <c r="AA807" s="88"/>
      <c r="AB807" s="88"/>
      <c r="AD807" s="122"/>
      <c r="AF807" s="90"/>
      <c r="AK807" s="91"/>
      <c r="AM807" s="92"/>
      <c r="AN807" s="92"/>
      <c r="AO807" s="92"/>
      <c r="AP807" s="92"/>
      <c r="AQ807" s="92"/>
      <c r="AR807" s="92"/>
    </row>
    <row r="808" spans="1:44" s="84" customFormat="1" ht="24" customHeight="1" x14ac:dyDescent="0.3">
      <c r="A808" s="78" t="s">
        <v>4709</v>
      </c>
      <c r="B808" s="79" t="s">
        <v>1092</v>
      </c>
      <c r="C808" s="112">
        <v>1102747</v>
      </c>
      <c r="D808" s="112">
        <v>1100344</v>
      </c>
      <c r="E808" s="112">
        <v>29193567</v>
      </c>
      <c r="F808" s="81" t="s">
        <v>1419</v>
      </c>
      <c r="G808" s="82" t="s">
        <v>4762</v>
      </c>
      <c r="H808" s="82" t="s">
        <v>4772</v>
      </c>
      <c r="I808" s="82" t="s">
        <v>3122</v>
      </c>
      <c r="J808" s="83" t="str">
        <f>VLOOKUP($C808,CHOOSE({1,2},'[4]Prestações de Conta inadimplent'!$D$9:$D$2000,'[4]Prestações de Conta inadimplent'!$C$9:$C$2000),2,0)</f>
        <v>Colegio Estadual Maria Amelia Santos</v>
      </c>
      <c r="K808" s="96"/>
      <c r="L808" s="85"/>
      <c r="M808" s="85" t="e">
        <v>#REF!</v>
      </c>
      <c r="T808" s="86"/>
      <c r="U808" s="85"/>
      <c r="V808" s="87"/>
      <c r="W808" s="85"/>
      <c r="X808" s="88"/>
      <c r="Y808" s="89"/>
      <c r="Z808" s="89"/>
      <c r="AA808" s="88"/>
      <c r="AB808" s="88"/>
      <c r="AF808" s="90"/>
      <c r="AK808" s="91"/>
      <c r="AM808" s="92"/>
      <c r="AN808" s="92"/>
      <c r="AO808" s="92"/>
      <c r="AP808" s="92"/>
      <c r="AQ808" s="92"/>
      <c r="AR808" s="92"/>
    </row>
    <row r="809" spans="1:44" s="84" customFormat="1" ht="24" customHeight="1" x14ac:dyDescent="0.3">
      <c r="A809" s="78" t="s">
        <v>4709</v>
      </c>
      <c r="B809" s="79" t="s">
        <v>1092</v>
      </c>
      <c r="C809" s="112">
        <v>1100493</v>
      </c>
      <c r="D809" s="112">
        <v>1100249</v>
      </c>
      <c r="E809" s="112">
        <v>29190720</v>
      </c>
      <c r="F809" s="81" t="s">
        <v>1291</v>
      </c>
      <c r="G809" s="82" t="s">
        <v>4762</v>
      </c>
      <c r="H809" s="82" t="s">
        <v>4773</v>
      </c>
      <c r="I809" s="82" t="s">
        <v>3103</v>
      </c>
      <c r="J809" s="83" t="e">
        <f>VLOOKUP($C809,CHOOSE({1,2},'[4]Prestações de Conta inadimplent'!$D$9:$D$2000,'[4]Prestações de Conta inadimplent'!$C$9:$C$2000),2,0)</f>
        <v>#N/A</v>
      </c>
      <c r="L809" s="85"/>
      <c r="M809" s="85" t="e">
        <v>#REF!</v>
      </c>
      <c r="T809" s="86"/>
      <c r="U809" s="85"/>
      <c r="V809" s="87"/>
      <c r="W809" s="85"/>
      <c r="X809" s="88"/>
      <c r="Y809" s="89"/>
      <c r="Z809" s="89"/>
      <c r="AA809" s="88"/>
      <c r="AB809" s="88"/>
      <c r="AF809" s="90"/>
      <c r="AK809" s="91"/>
      <c r="AM809" s="92"/>
      <c r="AN809" s="92"/>
      <c r="AO809" s="92"/>
      <c r="AP809" s="92"/>
      <c r="AQ809" s="92"/>
      <c r="AR809" s="92"/>
    </row>
    <row r="810" spans="1:44" s="84" customFormat="1" ht="24" customHeight="1" x14ac:dyDescent="0.3">
      <c r="A810" s="78" t="s">
        <v>4709</v>
      </c>
      <c r="B810" s="79" t="s">
        <v>1092</v>
      </c>
      <c r="C810" s="112">
        <v>1100337</v>
      </c>
      <c r="D810" s="112">
        <v>1100241</v>
      </c>
      <c r="E810" s="112">
        <v>29189012</v>
      </c>
      <c r="F810" s="81" t="s">
        <v>1270</v>
      </c>
      <c r="G810" s="82" t="s">
        <v>4762</v>
      </c>
      <c r="H810" s="82" t="s">
        <v>4774</v>
      </c>
      <c r="I810" s="82" t="s">
        <v>3122</v>
      </c>
      <c r="J810" s="83" t="str">
        <f>VLOOKUP($C810,CHOOSE({1,2},'[4]Prestações de Conta inadimplent'!$D$9:$D$2000,'[4]Prestações de Conta inadimplent'!$C$9:$C$2000),2,0)</f>
        <v>Colegio Estadual Doutor Ailton Pinto De Andrade</v>
      </c>
      <c r="L810" s="85"/>
      <c r="M810" s="85" t="e">
        <v>#REF!</v>
      </c>
      <c r="T810" s="86"/>
      <c r="U810" s="85"/>
      <c r="V810" s="87"/>
      <c r="W810" s="85"/>
      <c r="X810" s="88"/>
      <c r="Y810" s="89"/>
      <c r="Z810" s="89"/>
      <c r="AA810" s="88"/>
      <c r="AB810" s="88"/>
      <c r="AF810" s="90"/>
      <c r="AK810" s="91"/>
      <c r="AM810" s="92"/>
      <c r="AN810" s="92"/>
      <c r="AO810" s="92"/>
      <c r="AP810" s="92"/>
      <c r="AQ810" s="92"/>
      <c r="AR810" s="92"/>
    </row>
    <row r="811" spans="1:44" s="84" customFormat="1" ht="24" customHeight="1" x14ac:dyDescent="0.3">
      <c r="A811" s="78" t="s">
        <v>4709</v>
      </c>
      <c r="B811" s="79" t="s">
        <v>1092</v>
      </c>
      <c r="C811" s="112">
        <v>1176206</v>
      </c>
      <c r="D811" s="112">
        <v>1100545</v>
      </c>
      <c r="E811" s="112">
        <v>29357829</v>
      </c>
      <c r="F811" s="81" t="s">
        <v>4775</v>
      </c>
      <c r="G811" s="82" t="s">
        <v>4762</v>
      </c>
      <c r="H811" s="82" t="s">
        <v>4776</v>
      </c>
      <c r="I811" s="82" t="s">
        <v>3103</v>
      </c>
      <c r="J811" s="83" t="e">
        <f>VLOOKUP($C811,CHOOSE({1,2},'[4]Prestações de Conta inadimplent'!$D$9:$D$2000,'[4]Prestações de Conta inadimplent'!$C$9:$C$2000),2,0)</f>
        <v>#N/A</v>
      </c>
      <c r="L811" s="85"/>
      <c r="M811" s="85" t="e">
        <v>#REF!</v>
      </c>
      <c r="T811" s="86"/>
      <c r="U811" s="85"/>
      <c r="V811" s="87"/>
      <c r="W811" s="85"/>
      <c r="X811" s="85"/>
      <c r="Y811" s="89"/>
      <c r="Z811" s="89"/>
      <c r="AA811" s="88"/>
      <c r="AB811" s="88"/>
      <c r="AF811" s="90"/>
      <c r="AK811" s="91"/>
      <c r="AM811" s="92"/>
      <c r="AN811" s="92"/>
      <c r="AO811" s="92"/>
      <c r="AP811" s="92"/>
      <c r="AQ811" s="92"/>
      <c r="AR811" s="92"/>
    </row>
    <row r="812" spans="1:44" s="84" customFormat="1" ht="24" customHeight="1" x14ac:dyDescent="0.3">
      <c r="A812" s="78" t="s">
        <v>4709</v>
      </c>
      <c r="B812" s="79" t="s">
        <v>1092</v>
      </c>
      <c r="C812" s="112">
        <v>1100434</v>
      </c>
      <c r="D812" s="112">
        <v>1100246</v>
      </c>
      <c r="E812" s="112">
        <v>29182077</v>
      </c>
      <c r="F812" s="81" t="s">
        <v>1138</v>
      </c>
      <c r="G812" s="82" t="s">
        <v>4762</v>
      </c>
      <c r="H812" s="82" t="s">
        <v>4777</v>
      </c>
      <c r="I812" s="82" t="s">
        <v>3122</v>
      </c>
      <c r="J812" s="83" t="str">
        <f>VLOOKUP($C812,CHOOSE({1,2},'[4]Prestações de Conta inadimplent'!$D$9:$D$2000,'[4]Prestações de Conta inadimplent'!$C$9:$C$2000),2,0)</f>
        <v>Colegio Estadual Alipio Franca</v>
      </c>
      <c r="L812" s="85"/>
      <c r="M812" s="85" t="e">
        <v>#REF!</v>
      </c>
      <c r="T812" s="86"/>
      <c r="U812" s="85"/>
      <c r="V812" s="87"/>
      <c r="W812" s="85"/>
      <c r="X812" s="88"/>
      <c r="Y812" s="89"/>
      <c r="Z812" s="89"/>
      <c r="AA812" s="88"/>
      <c r="AB812" s="88"/>
      <c r="AF812" s="90"/>
      <c r="AK812" s="91"/>
      <c r="AM812" s="92"/>
      <c r="AN812" s="92"/>
      <c r="AO812" s="92"/>
      <c r="AP812" s="92"/>
      <c r="AQ812" s="92"/>
      <c r="AR812" s="92"/>
    </row>
    <row r="813" spans="1:44" s="84" customFormat="1" ht="24" customHeight="1" x14ac:dyDescent="0.3">
      <c r="A813" s="78" t="s">
        <v>4709</v>
      </c>
      <c r="B813" s="79" t="s">
        <v>1092</v>
      </c>
      <c r="C813" s="112">
        <v>1100540</v>
      </c>
      <c r="D813" s="112">
        <v>1100253</v>
      </c>
      <c r="E813" s="112">
        <v>29189241</v>
      </c>
      <c r="F813" s="81" t="s">
        <v>4778</v>
      </c>
      <c r="G813" s="82" t="s">
        <v>4762</v>
      </c>
      <c r="H813" s="82" t="s">
        <v>4779</v>
      </c>
      <c r="I813" s="82" t="s">
        <v>3122</v>
      </c>
      <c r="J813" s="83" t="str">
        <f>VLOOKUP($C813,CHOOSE({1,2},'[4]Prestações de Conta inadimplent'!$D$9:$D$2000,'[4]Prestações de Conta inadimplent'!$C$9:$C$2000),2,0)</f>
        <v>Colegio Estadual Anfrisia Santiago</v>
      </c>
      <c r="L813" s="85"/>
      <c r="M813" s="85" t="e">
        <v>#REF!</v>
      </c>
      <c r="T813" s="86"/>
      <c r="U813" s="85"/>
      <c r="V813" s="87"/>
      <c r="W813" s="85"/>
      <c r="X813" s="88"/>
      <c r="Y813" s="89"/>
      <c r="Z813" s="89"/>
      <c r="AA813" s="88"/>
      <c r="AB813" s="88"/>
      <c r="AF813" s="90"/>
      <c r="AK813" s="91"/>
      <c r="AM813" s="92"/>
      <c r="AN813" s="92"/>
      <c r="AO813" s="92"/>
      <c r="AP813" s="92"/>
      <c r="AQ813" s="92"/>
      <c r="AR813" s="92"/>
    </row>
    <row r="814" spans="1:44" s="84" customFormat="1" ht="24" customHeight="1" x14ac:dyDescent="0.3">
      <c r="A814" s="78" t="s">
        <v>4709</v>
      </c>
      <c r="B814" s="79" t="s">
        <v>1092</v>
      </c>
      <c r="C814" s="112">
        <v>1102046</v>
      </c>
      <c r="D814" s="112">
        <v>1100315</v>
      </c>
      <c r="E814" s="112">
        <v>29182190</v>
      </c>
      <c r="F814" s="81" t="s">
        <v>4780</v>
      </c>
      <c r="G814" s="82" t="s">
        <v>4762</v>
      </c>
      <c r="H814" s="82" t="s">
        <v>4781</v>
      </c>
      <c r="I814" s="82" t="s">
        <v>3122</v>
      </c>
      <c r="J814" s="83" t="str">
        <f>VLOOKUP($C814,CHOOSE({1,2},'[4]Prestações de Conta inadimplent'!$D$9:$D$2000,'[4]Prestações de Conta inadimplent'!$C$9:$C$2000),2,0)</f>
        <v>Colegio Da Policia Militar - Cpm Joao Florencio Gomes</v>
      </c>
      <c r="L814" s="85"/>
      <c r="M814" s="85" t="e">
        <v>#REF!</v>
      </c>
      <c r="T814" s="86"/>
      <c r="U814" s="85"/>
      <c r="V814" s="85"/>
      <c r="W814" s="85"/>
      <c r="X814" s="88"/>
      <c r="Y814" s="89"/>
      <c r="Z814" s="89"/>
      <c r="AA814" s="88"/>
      <c r="AB814" s="88"/>
      <c r="AF814" s="90"/>
      <c r="AK814" s="91"/>
      <c r="AM814" s="92"/>
      <c r="AN814" s="92"/>
      <c r="AO814" s="92"/>
      <c r="AP814" s="92"/>
      <c r="AQ814" s="92"/>
      <c r="AR814" s="92"/>
    </row>
    <row r="815" spans="1:44" s="84" customFormat="1" ht="24" customHeight="1" x14ac:dyDescent="0.3">
      <c r="A815" s="78" t="s">
        <v>4709</v>
      </c>
      <c r="B815" s="79" t="s">
        <v>1092</v>
      </c>
      <c r="C815" s="112">
        <v>1104650</v>
      </c>
      <c r="D815" s="112">
        <v>1100474</v>
      </c>
      <c r="E815" s="112">
        <v>29181429</v>
      </c>
      <c r="F815" s="81" t="s">
        <v>4782</v>
      </c>
      <c r="G815" s="82" t="s">
        <v>4762</v>
      </c>
      <c r="H815" s="82" t="s">
        <v>4783</v>
      </c>
      <c r="I815" s="82" t="s">
        <v>3122</v>
      </c>
      <c r="J815" s="83" t="str">
        <f>VLOOKUP($C815,CHOOSE({1,2},'[4]Prestações de Conta inadimplent'!$D$9:$D$2000,'[4]Prestações de Conta inadimplent'!$C$9:$C$2000),2,0)</f>
        <v>Colegio Da Policia Militar - Unidade I Cpm Dendezeiros</v>
      </c>
      <c r="L815" s="85"/>
      <c r="M815" s="85" t="e">
        <v>#REF!</v>
      </c>
      <c r="T815" s="86"/>
      <c r="U815" s="85"/>
      <c r="V815" s="85"/>
      <c r="W815" s="85"/>
      <c r="X815" s="88"/>
      <c r="Y815" s="89"/>
      <c r="Z815" s="89"/>
      <c r="AA815" s="88"/>
      <c r="AB815" s="88"/>
      <c r="AF815" s="90"/>
      <c r="AK815" s="91"/>
      <c r="AM815" s="92"/>
      <c r="AN815" s="92"/>
      <c r="AO815" s="92"/>
      <c r="AP815" s="92"/>
      <c r="AQ815" s="92"/>
      <c r="AR815" s="92"/>
    </row>
    <row r="816" spans="1:44" s="84" customFormat="1" ht="24" customHeight="1" x14ac:dyDescent="0.3">
      <c r="A816" s="78" t="s">
        <v>4709</v>
      </c>
      <c r="B816" s="79" t="s">
        <v>1092</v>
      </c>
      <c r="C816" s="112">
        <v>1101872</v>
      </c>
      <c r="D816" s="112">
        <v>1100493</v>
      </c>
      <c r="E816" s="112">
        <v>29182166</v>
      </c>
      <c r="F816" s="81" t="s">
        <v>1156</v>
      </c>
      <c r="G816" s="82" t="s">
        <v>4762</v>
      </c>
      <c r="H816" s="82" t="s">
        <v>3594</v>
      </c>
      <c r="I816" s="82" t="s">
        <v>3103</v>
      </c>
      <c r="J816" s="83" t="e">
        <f>VLOOKUP($C816,CHOOSE({1,2},'[4]Prestações de Conta inadimplent'!$D$9:$D$2000,'[4]Prestações de Conta inadimplent'!$C$9:$C$2000),2,0)</f>
        <v>#N/A</v>
      </c>
      <c r="L816" s="85"/>
      <c r="M816" s="85" t="e">
        <v>#REF!</v>
      </c>
      <c r="T816" s="86"/>
      <c r="U816" s="85"/>
      <c r="V816" s="87"/>
      <c r="W816" s="85"/>
      <c r="X816" s="88"/>
      <c r="Y816" s="89"/>
      <c r="Z816" s="88"/>
      <c r="AA816" s="88"/>
      <c r="AB816" s="88"/>
      <c r="AF816" s="90"/>
      <c r="AK816" s="91"/>
      <c r="AM816" s="92"/>
      <c r="AN816" s="92"/>
      <c r="AO816" s="92"/>
      <c r="AP816" s="92"/>
      <c r="AQ816" s="92"/>
      <c r="AR816" s="92"/>
    </row>
    <row r="817" spans="1:44" s="84" customFormat="1" ht="24" customHeight="1" x14ac:dyDescent="0.3">
      <c r="A817" s="78" t="s">
        <v>4709</v>
      </c>
      <c r="B817" s="79" t="s">
        <v>1092</v>
      </c>
      <c r="C817" s="112">
        <v>1103107</v>
      </c>
      <c r="D817" s="112">
        <v>1100393</v>
      </c>
      <c r="E817" s="112">
        <v>29193532</v>
      </c>
      <c r="F817" s="81" t="s">
        <v>1416</v>
      </c>
      <c r="G817" s="82" t="s">
        <v>4762</v>
      </c>
      <c r="H817" s="82" t="s">
        <v>4784</v>
      </c>
      <c r="I817" s="82" t="s">
        <v>3122</v>
      </c>
      <c r="J817" s="83" t="str">
        <f>VLOOKUP($C817,CHOOSE({1,2},'[4]Prestações de Conta inadimplent'!$D$9:$D$2000,'[4]Prestações de Conta inadimplent'!$C$9:$C$2000),2,0)</f>
        <v>Colegio Estadual Marechal Mascarenhas De Morais</v>
      </c>
      <c r="L817" s="85"/>
      <c r="M817" s="85" t="e">
        <v>#REF!</v>
      </c>
      <c r="T817" s="86"/>
      <c r="U817" s="85"/>
      <c r="V817" s="87"/>
      <c r="W817" s="85"/>
      <c r="X817" s="85"/>
      <c r="Y817" s="89"/>
      <c r="Z817" s="88"/>
      <c r="AA817" s="88"/>
      <c r="AB817" s="88"/>
      <c r="AF817" s="90"/>
      <c r="AK817" s="91"/>
      <c r="AM817" s="92"/>
      <c r="AN817" s="92"/>
      <c r="AO817" s="92"/>
      <c r="AP817" s="92"/>
      <c r="AQ817" s="92"/>
      <c r="AR817" s="92"/>
    </row>
    <row r="818" spans="1:44" s="84" customFormat="1" ht="24" customHeight="1" x14ac:dyDescent="0.3">
      <c r="A818" s="78" t="s">
        <v>4709</v>
      </c>
      <c r="B818" s="79" t="s">
        <v>1092</v>
      </c>
      <c r="C818" s="112">
        <v>1178076</v>
      </c>
      <c r="D818" s="112">
        <v>1104550</v>
      </c>
      <c r="E818" s="112">
        <v>29436877</v>
      </c>
      <c r="F818" s="81" t="s">
        <v>4785</v>
      </c>
      <c r="G818" s="82" t="s">
        <v>4762</v>
      </c>
      <c r="H818" s="82" t="s">
        <v>4786</v>
      </c>
      <c r="I818" s="82" t="s">
        <v>3122</v>
      </c>
      <c r="J818" s="83" t="str">
        <f>VLOOKUP($C818,CHOOSE({1,2},'[4]Prestações de Conta inadimplent'!$D$9:$D$2000,'[4]Prestações de Conta inadimplent'!$C$9:$C$2000),2,0)</f>
        <v>Colegio Estadual Satelite</v>
      </c>
      <c r="L818" s="85"/>
      <c r="M818" s="85" t="e">
        <v>#REF!</v>
      </c>
      <c r="T818" s="86"/>
      <c r="U818" s="85"/>
      <c r="V818" s="87"/>
      <c r="W818" s="85"/>
      <c r="X818" s="88"/>
      <c r="Y818" s="89"/>
      <c r="Z818" s="89"/>
      <c r="AA818" s="88"/>
      <c r="AB818" s="88"/>
      <c r="AF818" s="90"/>
      <c r="AK818" s="91"/>
      <c r="AM818" s="92"/>
      <c r="AN818" s="92"/>
      <c r="AO818" s="92"/>
      <c r="AP818" s="92"/>
      <c r="AQ818" s="92"/>
      <c r="AR818" s="92"/>
    </row>
    <row r="819" spans="1:44" s="84" customFormat="1" ht="24" customHeight="1" x14ac:dyDescent="0.3">
      <c r="A819" s="78" t="s">
        <v>4709</v>
      </c>
      <c r="B819" s="79" t="s">
        <v>1092</v>
      </c>
      <c r="C819" s="112">
        <v>1178323</v>
      </c>
      <c r="D819" s="112">
        <v>1105546</v>
      </c>
      <c r="E819" s="112">
        <v>29882729</v>
      </c>
      <c r="F819" s="81" t="s">
        <v>4787</v>
      </c>
      <c r="G819" s="82" t="s">
        <v>4762</v>
      </c>
      <c r="H819" s="82" t="s">
        <v>4788</v>
      </c>
      <c r="I819" s="82" t="s">
        <v>3103</v>
      </c>
      <c r="J819" s="83" t="e">
        <f>VLOOKUP($C819,CHOOSE({1,2},'[4]Prestações de Conta inadimplent'!$D$9:$D$2000,'[4]Prestações de Conta inadimplent'!$C$9:$C$2000),2,0)</f>
        <v>#N/A</v>
      </c>
      <c r="L819" s="85"/>
      <c r="M819" s="85" t="e">
        <v>#REF!</v>
      </c>
      <c r="T819" s="86"/>
      <c r="U819" s="85"/>
      <c r="V819" s="87"/>
      <c r="W819" s="85"/>
      <c r="X819" s="88"/>
      <c r="Y819" s="89"/>
      <c r="Z819" s="89"/>
      <c r="AA819" s="88"/>
      <c r="AB819" s="88"/>
      <c r="AF819" s="90"/>
      <c r="AK819" s="91"/>
      <c r="AM819" s="92"/>
      <c r="AN819" s="92"/>
      <c r="AO819" s="92"/>
      <c r="AP819" s="92"/>
      <c r="AQ819" s="92"/>
      <c r="AR819" s="92"/>
    </row>
    <row r="820" spans="1:44" s="84" customFormat="1" ht="24" customHeight="1" x14ac:dyDescent="0.3">
      <c r="A820" s="78" t="s">
        <v>4709</v>
      </c>
      <c r="B820" s="79" t="s">
        <v>1092</v>
      </c>
      <c r="C820" s="112">
        <v>1176389</v>
      </c>
      <c r="D820" s="112">
        <v>1100555</v>
      </c>
      <c r="E820" s="112">
        <v>29437377</v>
      </c>
      <c r="F820" s="81" t="s">
        <v>4789</v>
      </c>
      <c r="G820" s="82" t="s">
        <v>4762</v>
      </c>
      <c r="H820" s="82" t="s">
        <v>4790</v>
      </c>
      <c r="I820" s="82" t="s">
        <v>3103</v>
      </c>
      <c r="J820" s="83" t="e">
        <f>VLOOKUP($C820,CHOOSE({1,2},'[4]Prestações de Conta inadimplent'!$D$9:$D$2000,'[4]Prestações de Conta inadimplent'!$C$9:$C$2000),2,0)</f>
        <v>#N/A</v>
      </c>
      <c r="L820" s="85"/>
      <c r="M820" s="85" t="e">
        <v>#REF!</v>
      </c>
      <c r="T820" s="86"/>
      <c r="U820" s="85"/>
      <c r="V820" s="85"/>
      <c r="W820" s="85"/>
      <c r="X820" s="88"/>
      <c r="Y820" s="89"/>
      <c r="Z820" s="89"/>
      <c r="AA820" s="88"/>
      <c r="AB820" s="88"/>
      <c r="AF820" s="90"/>
      <c r="AK820" s="91"/>
      <c r="AM820" s="92"/>
      <c r="AN820" s="92"/>
      <c r="AO820" s="92"/>
      <c r="AP820" s="92"/>
      <c r="AQ820" s="92"/>
      <c r="AR820" s="92"/>
    </row>
    <row r="821" spans="1:44" s="84" customFormat="1" ht="24" customHeight="1" x14ac:dyDescent="0.3">
      <c r="A821" s="78" t="s">
        <v>4709</v>
      </c>
      <c r="B821" s="79" t="s">
        <v>1092</v>
      </c>
      <c r="C821" s="112">
        <v>1103905</v>
      </c>
      <c r="D821" s="112">
        <v>1104580</v>
      </c>
      <c r="E821" s="112">
        <v>29182735</v>
      </c>
      <c r="F821" s="81" t="s">
        <v>4791</v>
      </c>
      <c r="G821" s="82" t="s">
        <v>4762</v>
      </c>
      <c r="H821" s="82" t="s">
        <v>4792</v>
      </c>
      <c r="I821" s="82" t="s">
        <v>3103</v>
      </c>
      <c r="J821" s="83" t="e">
        <f>VLOOKUP($C821,CHOOSE({1,2},'[4]Prestações de Conta inadimplent'!$D$9:$D$2000,'[4]Prestações de Conta inadimplent'!$C$9:$C$2000),2,0)</f>
        <v>#N/A</v>
      </c>
      <c r="L821" s="85"/>
      <c r="M821" s="85" t="e">
        <v>#REF!</v>
      </c>
      <c r="T821" s="86"/>
      <c r="U821" s="85"/>
      <c r="V821" s="87"/>
      <c r="W821" s="85"/>
      <c r="X821" s="88"/>
      <c r="Y821" s="89"/>
      <c r="Z821" s="89"/>
      <c r="AA821" s="88"/>
      <c r="AB821" s="88"/>
      <c r="AF821" s="90"/>
      <c r="AK821" s="91"/>
      <c r="AM821" s="92"/>
      <c r="AN821" s="92"/>
      <c r="AO821" s="92"/>
      <c r="AP821" s="92"/>
      <c r="AQ821" s="92"/>
      <c r="AR821" s="92"/>
    </row>
    <row r="822" spans="1:44" s="84" customFormat="1" ht="24" customHeight="1" x14ac:dyDescent="0.3">
      <c r="A822" s="78" t="s">
        <v>4709</v>
      </c>
      <c r="B822" s="79" t="s">
        <v>1092</v>
      </c>
      <c r="C822" s="112">
        <v>1104600</v>
      </c>
      <c r="D822" s="112">
        <v>1100331</v>
      </c>
      <c r="E822" s="112">
        <v>29182174</v>
      </c>
      <c r="F822" s="81" t="s">
        <v>4793</v>
      </c>
      <c r="G822" s="82" t="s">
        <v>4762</v>
      </c>
      <c r="H822" s="82" t="s">
        <v>4794</v>
      </c>
      <c r="I822" s="82" t="s">
        <v>3122</v>
      </c>
      <c r="J822" s="83" t="str">
        <f>VLOOKUP($C822,CHOOSE({1,2},'[4]Prestações de Conta inadimplent'!$D$9:$D$2000,'[4]Prestações de Conta inadimplent'!$C$9:$C$2000),2,0)</f>
        <v>Colegio Estadual De Tempo Integral Prof Pedro Paulo Marques E Marques</v>
      </c>
      <c r="L822" s="85"/>
      <c r="M822" s="85" t="e">
        <v>#REF!</v>
      </c>
      <c r="T822" s="86"/>
      <c r="U822" s="85"/>
      <c r="V822" s="87"/>
      <c r="W822" s="85"/>
      <c r="X822" s="88"/>
      <c r="Y822" s="89"/>
      <c r="Z822" s="89"/>
      <c r="AA822" s="88"/>
      <c r="AB822" s="88"/>
      <c r="AF822" s="90"/>
      <c r="AK822" s="91"/>
      <c r="AM822" s="92"/>
      <c r="AN822" s="92"/>
      <c r="AO822" s="92"/>
      <c r="AP822" s="92"/>
      <c r="AQ822" s="92"/>
      <c r="AR822" s="92"/>
    </row>
    <row r="823" spans="1:44" s="84" customFormat="1" ht="24" customHeight="1" x14ac:dyDescent="0.3">
      <c r="A823" s="78" t="s">
        <v>4709</v>
      </c>
      <c r="B823" s="79" t="s">
        <v>1092</v>
      </c>
      <c r="C823" s="112">
        <v>1176392</v>
      </c>
      <c r="D823" s="112">
        <v>1100263</v>
      </c>
      <c r="E823" s="112">
        <v>29374677</v>
      </c>
      <c r="F823" s="81" t="s">
        <v>4795</v>
      </c>
      <c r="G823" s="82" t="s">
        <v>4762</v>
      </c>
      <c r="H823" s="82" t="s">
        <v>4796</v>
      </c>
      <c r="I823" s="82" t="s">
        <v>3103</v>
      </c>
      <c r="J823" s="83" t="e">
        <f>VLOOKUP($C823,CHOOSE({1,2},'[4]Prestações de Conta inadimplent'!$D$9:$D$2000,'[4]Prestações de Conta inadimplent'!$C$9:$C$2000),2,0)</f>
        <v>#N/A</v>
      </c>
      <c r="L823" s="85"/>
      <c r="M823" s="85" t="e">
        <v>#REF!</v>
      </c>
      <c r="T823" s="86"/>
      <c r="U823" s="85"/>
      <c r="V823" s="87"/>
      <c r="W823" s="85"/>
      <c r="X823" s="85"/>
      <c r="Y823" s="89"/>
      <c r="Z823" s="89"/>
      <c r="AA823" s="88"/>
      <c r="AB823" s="88"/>
      <c r="AF823" s="90"/>
      <c r="AK823" s="91"/>
      <c r="AM823" s="92"/>
      <c r="AN823" s="92"/>
      <c r="AO823" s="92"/>
      <c r="AP823" s="92"/>
      <c r="AQ823" s="92"/>
      <c r="AR823" s="92"/>
    </row>
    <row r="824" spans="1:44" s="84" customFormat="1" ht="24" customHeight="1" x14ac:dyDescent="0.3">
      <c r="A824" s="78" t="s">
        <v>4709</v>
      </c>
      <c r="B824" s="79" t="s">
        <v>1092</v>
      </c>
      <c r="C824" s="112">
        <v>1176210</v>
      </c>
      <c r="D824" s="112">
        <v>1100551</v>
      </c>
      <c r="E824" s="112">
        <v>29360960</v>
      </c>
      <c r="F824" s="81" t="s">
        <v>2251</v>
      </c>
      <c r="G824" s="82" t="s">
        <v>4762</v>
      </c>
      <c r="H824" s="82" t="s">
        <v>4797</v>
      </c>
      <c r="I824" s="82" t="s">
        <v>3103</v>
      </c>
      <c r="J824" s="83" t="e">
        <f>VLOOKUP($C824,CHOOSE({1,2},'[4]Prestações de Conta inadimplent'!$D$9:$D$2000,'[4]Prestações de Conta inadimplent'!$C$9:$C$2000),2,0)</f>
        <v>#N/A</v>
      </c>
      <c r="L824" s="85"/>
      <c r="M824" s="85" t="e">
        <v>#REF!</v>
      </c>
      <c r="T824" s="86"/>
      <c r="U824" s="85"/>
      <c r="V824" s="87"/>
      <c r="W824" s="85"/>
      <c r="X824" s="88"/>
      <c r="Y824" s="89"/>
      <c r="Z824" s="89"/>
      <c r="AA824" s="88"/>
      <c r="AB824" s="88"/>
      <c r="AF824" s="90"/>
      <c r="AK824" s="91"/>
      <c r="AM824" s="92"/>
      <c r="AN824" s="92"/>
      <c r="AO824" s="92"/>
      <c r="AP824" s="92"/>
      <c r="AQ824" s="92"/>
      <c r="AR824" s="92"/>
    </row>
    <row r="825" spans="1:44" s="84" customFormat="1" ht="24" customHeight="1" x14ac:dyDescent="0.3">
      <c r="A825" s="78" t="s">
        <v>4709</v>
      </c>
      <c r="B825" s="79" t="s">
        <v>1092</v>
      </c>
      <c r="C825" s="112">
        <v>1104626</v>
      </c>
      <c r="D825" s="112">
        <v>1100472</v>
      </c>
      <c r="E825" s="112">
        <v>29199026</v>
      </c>
      <c r="F825" s="81" t="s">
        <v>4798</v>
      </c>
      <c r="G825" s="82" t="s">
        <v>4762</v>
      </c>
      <c r="H825" s="82" t="s">
        <v>4799</v>
      </c>
      <c r="I825" s="82" t="s">
        <v>3103</v>
      </c>
      <c r="J825" s="83" t="e">
        <f>VLOOKUP($C825,CHOOSE({1,2},'[4]Prestações de Conta inadimplent'!$D$9:$D$2000,'[4]Prestações de Conta inadimplent'!$C$9:$C$2000),2,0)</f>
        <v>#N/A</v>
      </c>
      <c r="L825" s="85"/>
      <c r="M825" s="85" t="e">
        <v>#REF!</v>
      </c>
      <c r="T825" s="86"/>
      <c r="U825" s="85"/>
      <c r="V825" s="87"/>
      <c r="W825" s="85"/>
      <c r="X825" s="88"/>
      <c r="Y825" s="89"/>
      <c r="Z825" s="89"/>
      <c r="AA825" s="88"/>
      <c r="AB825" s="88"/>
      <c r="AF825" s="90"/>
      <c r="AK825" s="91"/>
      <c r="AM825" s="92"/>
      <c r="AN825" s="92"/>
      <c r="AO825" s="92"/>
      <c r="AP825" s="92"/>
      <c r="AQ825" s="92"/>
      <c r="AR825" s="92"/>
    </row>
    <row r="826" spans="1:44" s="84" customFormat="1" ht="24" customHeight="1" x14ac:dyDescent="0.3">
      <c r="A826" s="78" t="s">
        <v>4709</v>
      </c>
      <c r="B826" s="79" t="s">
        <v>1092</v>
      </c>
      <c r="C826" s="112">
        <v>1102704</v>
      </c>
      <c r="D826" s="112">
        <v>1100341</v>
      </c>
      <c r="E826" s="112">
        <v>29183987</v>
      </c>
      <c r="F826" s="81" t="s">
        <v>4800</v>
      </c>
      <c r="G826" s="82" t="s">
        <v>4762</v>
      </c>
      <c r="H826" s="82" t="s">
        <v>4801</v>
      </c>
      <c r="I826" s="82" t="s">
        <v>3122</v>
      </c>
      <c r="J826" s="83" t="str">
        <f>VLOOKUP($C826,CHOOSE({1,2},'[4]Prestações de Conta inadimplent'!$D$9:$D$2000,'[4]Prestações de Conta inadimplent'!$C$9:$C$2000),2,0)</f>
        <v>Colegio Estadual Marcilio Dias</v>
      </c>
      <c r="L826" s="85"/>
      <c r="M826" s="85" t="e">
        <v>#REF!</v>
      </c>
      <c r="T826" s="86"/>
      <c r="U826" s="85"/>
      <c r="V826" s="87"/>
      <c r="W826" s="85"/>
      <c r="X826" s="88"/>
      <c r="Y826" s="89"/>
      <c r="Z826" s="89"/>
      <c r="AA826" s="88"/>
      <c r="AB826" s="88"/>
      <c r="AF826" s="90"/>
      <c r="AK826" s="91"/>
      <c r="AM826" s="92"/>
      <c r="AN826" s="92"/>
      <c r="AO826" s="92"/>
      <c r="AP826" s="92"/>
      <c r="AQ826" s="92"/>
      <c r="AR826" s="92"/>
    </row>
    <row r="827" spans="1:44" s="84" customFormat="1" ht="24" customHeight="1" x14ac:dyDescent="0.3">
      <c r="A827" s="78" t="s">
        <v>4709</v>
      </c>
      <c r="B827" s="79" t="s">
        <v>1092</v>
      </c>
      <c r="C827" s="112">
        <v>1135998</v>
      </c>
      <c r="D827" s="112">
        <v>1100371</v>
      </c>
      <c r="E827" s="112">
        <v>29191173</v>
      </c>
      <c r="F827" s="81" t="s">
        <v>4802</v>
      </c>
      <c r="G827" s="82" t="s">
        <v>4762</v>
      </c>
      <c r="H827" s="82" t="s">
        <v>4803</v>
      </c>
      <c r="I827" s="82" t="s">
        <v>3122</v>
      </c>
      <c r="J827" s="83" t="str">
        <f>VLOOKUP($C827,CHOOSE({1,2},'[4]Prestações de Conta inadimplent'!$D$9:$D$2000,'[4]Prestações de Conta inadimplent'!$C$9:$C$2000),2,0)</f>
        <v>Colegio Estadual Yeda Barradas Carneiro</v>
      </c>
      <c r="K827" s="85"/>
      <c r="L827" s="85"/>
      <c r="M827" s="85" t="e">
        <v>#REF!</v>
      </c>
      <c r="T827" s="86"/>
      <c r="U827" s="85"/>
      <c r="V827" s="87"/>
      <c r="W827" s="85"/>
      <c r="X827" s="88"/>
      <c r="Y827" s="89"/>
      <c r="Z827" s="89"/>
      <c r="AA827" s="88"/>
      <c r="AB827" s="88"/>
      <c r="AF827" s="90"/>
      <c r="AK827" s="91"/>
      <c r="AM827" s="92"/>
      <c r="AN827" s="92"/>
      <c r="AO827" s="92"/>
      <c r="AP827" s="92"/>
      <c r="AQ827" s="92"/>
      <c r="AR827" s="92"/>
    </row>
    <row r="828" spans="1:44" s="84" customFormat="1" ht="24" customHeight="1" x14ac:dyDescent="0.3">
      <c r="A828" s="78" t="s">
        <v>4709</v>
      </c>
      <c r="B828" s="79" t="s">
        <v>1092</v>
      </c>
      <c r="C828" s="112">
        <v>1104375</v>
      </c>
      <c r="D828" s="112">
        <v>1100464</v>
      </c>
      <c r="E828" s="112">
        <v>29183839</v>
      </c>
      <c r="F828" s="81" t="s">
        <v>4804</v>
      </c>
      <c r="G828" s="82" t="s">
        <v>4762</v>
      </c>
      <c r="H828" s="82" t="s">
        <v>4805</v>
      </c>
      <c r="I828" s="82" t="s">
        <v>3122</v>
      </c>
      <c r="J828" s="83" t="str">
        <f>VLOOKUP($C828,CHOOSE({1,2},'[4]Prestações de Conta inadimplent'!$D$9:$D$2000,'[4]Prestações de Conta inadimplent'!$C$9:$C$2000),2,0)</f>
        <v>Escola Estadual Professora Armandina Marques</v>
      </c>
      <c r="K828" s="96"/>
      <c r="L828" s="85"/>
      <c r="M828" s="85" t="e">
        <v>#REF!</v>
      </c>
      <c r="T828" s="86"/>
      <c r="U828" s="85"/>
      <c r="V828" s="87"/>
      <c r="W828" s="85"/>
      <c r="X828" s="85"/>
      <c r="Y828" s="89"/>
      <c r="Z828" s="89"/>
      <c r="AA828" s="88"/>
      <c r="AB828" s="88"/>
      <c r="AF828" s="90"/>
      <c r="AK828" s="91"/>
      <c r="AM828" s="92"/>
      <c r="AN828" s="92"/>
      <c r="AO828" s="92"/>
      <c r="AP828" s="92"/>
      <c r="AQ828" s="92"/>
      <c r="AR828" s="92"/>
    </row>
    <row r="829" spans="1:44" s="84" customFormat="1" ht="24" customHeight="1" x14ac:dyDescent="0.3">
      <c r="A829" s="78" t="s">
        <v>4709</v>
      </c>
      <c r="B829" s="79" t="s">
        <v>1092</v>
      </c>
      <c r="C829" s="112">
        <v>1100558</v>
      </c>
      <c r="D829" s="112">
        <v>1100576</v>
      </c>
      <c r="E829" s="112">
        <v>29198780</v>
      </c>
      <c r="F829" s="81" t="s">
        <v>4806</v>
      </c>
      <c r="G829" s="82" t="s">
        <v>4762</v>
      </c>
      <c r="H829" s="82" t="s">
        <v>4807</v>
      </c>
      <c r="I829" s="82" t="s">
        <v>3122</v>
      </c>
      <c r="J829" s="83" t="str">
        <f>VLOOKUP($C829,CHOOSE({1,2},'[4]Prestações de Conta inadimplent'!$D$9:$D$2000,'[4]Prestações de Conta inadimplent'!$C$9:$C$2000),2,0)</f>
        <v>Colegio Estadual Professor Dorival Passos</v>
      </c>
      <c r="L829" s="85"/>
      <c r="M829" s="85" t="e">
        <v>#REF!</v>
      </c>
      <c r="T829" s="86"/>
      <c r="U829" s="85"/>
      <c r="V829" s="87"/>
      <c r="W829" s="85"/>
      <c r="X829" s="88"/>
      <c r="Y829" s="89"/>
      <c r="Z829" s="89"/>
      <c r="AA829" s="88"/>
      <c r="AB829" s="88"/>
      <c r="AF829" s="90"/>
      <c r="AK829" s="91"/>
      <c r="AM829" s="92"/>
      <c r="AN829" s="92"/>
      <c r="AO829" s="92"/>
      <c r="AP829" s="92"/>
      <c r="AQ829" s="92"/>
      <c r="AR829" s="92"/>
    </row>
    <row r="830" spans="1:44" s="84" customFormat="1" ht="24" customHeight="1" x14ac:dyDescent="0.3">
      <c r="A830" s="78" t="s">
        <v>4709</v>
      </c>
      <c r="B830" s="79" t="s">
        <v>1092</v>
      </c>
      <c r="C830" s="112">
        <v>1174772</v>
      </c>
      <c r="D830" s="112">
        <v>1100527</v>
      </c>
      <c r="E830" s="112">
        <v>29192080</v>
      </c>
      <c r="F830" s="81" t="s">
        <v>1380</v>
      </c>
      <c r="G830" s="82" t="s">
        <v>4762</v>
      </c>
      <c r="H830" s="82" t="s">
        <v>4808</v>
      </c>
      <c r="I830" s="82" t="s">
        <v>3122</v>
      </c>
      <c r="J830" s="83" t="str">
        <f>VLOOKUP($C830,CHOOSE({1,2},'[4]Prestações de Conta inadimplent'!$D$9:$D$2000,'[4]Prestações de Conta inadimplent'!$C$9:$C$2000),2,0)</f>
        <v>Colegio Estadual Professora Maria Anita</v>
      </c>
      <c r="L830" s="85"/>
      <c r="M830" s="85" t="e">
        <v>#REF!</v>
      </c>
      <c r="T830" s="86"/>
      <c r="U830" s="85"/>
      <c r="V830" s="87"/>
      <c r="W830" s="85"/>
      <c r="X830" s="88"/>
      <c r="Y830" s="89"/>
      <c r="Z830" s="89"/>
      <c r="AA830" s="88"/>
      <c r="AB830" s="88"/>
      <c r="AF830" s="90"/>
      <c r="AK830" s="91"/>
      <c r="AM830" s="92"/>
      <c r="AN830" s="92"/>
      <c r="AO830" s="92"/>
      <c r="AP830" s="92"/>
      <c r="AQ830" s="92"/>
      <c r="AR830" s="92"/>
    </row>
    <row r="831" spans="1:44" s="84" customFormat="1" ht="24" customHeight="1" x14ac:dyDescent="0.3">
      <c r="A831" s="78" t="s">
        <v>4709</v>
      </c>
      <c r="B831" s="79" t="s">
        <v>1092</v>
      </c>
      <c r="C831" s="112">
        <v>1176094</v>
      </c>
      <c r="D831" s="112">
        <v>1100534</v>
      </c>
      <c r="E831" s="112">
        <v>29336627</v>
      </c>
      <c r="F831" s="81" t="s">
        <v>2193</v>
      </c>
      <c r="G831" s="82" t="s">
        <v>4762</v>
      </c>
      <c r="H831" s="82" t="s">
        <v>4809</v>
      </c>
      <c r="I831" s="82" t="s">
        <v>3103</v>
      </c>
      <c r="J831" s="83" t="e">
        <f>VLOOKUP($C831,CHOOSE({1,2},'[4]Prestações de Conta inadimplent'!$D$9:$D$2000,'[4]Prestações de Conta inadimplent'!$C$9:$C$2000),2,0)</f>
        <v>#N/A</v>
      </c>
      <c r="L831" s="85"/>
      <c r="M831" s="85" t="e">
        <v>#REF!</v>
      </c>
      <c r="T831" s="86"/>
      <c r="U831" s="85"/>
      <c r="V831" s="87"/>
      <c r="W831" s="85"/>
      <c r="X831" s="88"/>
      <c r="Y831" s="89"/>
      <c r="Z831" s="89"/>
      <c r="AA831" s="88"/>
      <c r="AB831" s="88"/>
      <c r="AF831" s="90"/>
      <c r="AK831" s="91"/>
      <c r="AM831" s="92"/>
      <c r="AN831" s="92"/>
      <c r="AO831" s="92"/>
      <c r="AP831" s="92"/>
      <c r="AQ831" s="92"/>
      <c r="AR831" s="92"/>
    </row>
    <row r="832" spans="1:44" s="84" customFormat="1" ht="24" customHeight="1" x14ac:dyDescent="0.3">
      <c r="A832" s="78" t="s">
        <v>4709</v>
      </c>
      <c r="B832" s="79" t="s">
        <v>1092</v>
      </c>
      <c r="C832" s="112">
        <v>1176080</v>
      </c>
      <c r="D832" s="112">
        <v>1100533</v>
      </c>
      <c r="E832" s="112">
        <v>29182115</v>
      </c>
      <c r="F832" s="81" t="s">
        <v>4810</v>
      </c>
      <c r="G832" s="82" t="s">
        <v>4762</v>
      </c>
      <c r="H832" s="82" t="s">
        <v>4811</v>
      </c>
      <c r="I832" s="82" t="s">
        <v>3122</v>
      </c>
      <c r="J832" s="83" t="str">
        <f>VLOOKUP($C832,CHOOSE({1,2},'[4]Prestações de Conta inadimplent'!$D$9:$D$2000,'[4]Prestações de Conta inadimplent'!$C$9:$C$2000),2,0)</f>
        <v>Colegio Da Policia Militar - Cpm Dona Leonor Calmon</v>
      </c>
      <c r="L832" s="85"/>
      <c r="M832" s="85" t="e">
        <v>#REF!</v>
      </c>
      <c r="T832" s="86"/>
      <c r="U832" s="85"/>
      <c r="V832" s="85"/>
      <c r="W832" s="85"/>
      <c r="X832" s="88"/>
      <c r="Y832" s="89"/>
      <c r="Z832" s="88"/>
      <c r="AA832" s="88"/>
      <c r="AB832" s="88"/>
      <c r="AF832" s="90"/>
      <c r="AK832" s="91"/>
      <c r="AM832" s="92"/>
      <c r="AN832" s="92"/>
      <c r="AO832" s="92"/>
      <c r="AP832" s="92"/>
      <c r="AQ832" s="92"/>
      <c r="AR832" s="92"/>
    </row>
    <row r="833" spans="1:44" s="84" customFormat="1" ht="24" customHeight="1" x14ac:dyDescent="0.3">
      <c r="A833" s="78" t="s">
        <v>4709</v>
      </c>
      <c r="B833" s="79" t="s">
        <v>1092</v>
      </c>
      <c r="C833" s="112">
        <v>1176387</v>
      </c>
      <c r="D833" s="112">
        <v>1100554</v>
      </c>
      <c r="E833" s="112">
        <v>29382017</v>
      </c>
      <c r="F833" s="81" t="s">
        <v>4812</v>
      </c>
      <c r="G833" s="82" t="s">
        <v>4762</v>
      </c>
      <c r="H833" s="82" t="s">
        <v>4813</v>
      </c>
      <c r="I833" s="82" t="s">
        <v>3122</v>
      </c>
      <c r="J833" s="83" t="str">
        <f>VLOOKUP($C833,CHOOSE({1,2},'[4]Prestações de Conta inadimplent'!$D$9:$D$2000,'[4]Prestações de Conta inadimplent'!$C$9:$C$2000),2,0)</f>
        <v>Colegio Estadual Oliveira Brito</v>
      </c>
      <c r="K833" s="96"/>
      <c r="L833" s="85"/>
      <c r="M833" s="85" t="e">
        <v>#REF!</v>
      </c>
      <c r="T833" s="86"/>
      <c r="U833" s="85"/>
      <c r="V833" s="87"/>
      <c r="W833" s="85"/>
      <c r="X833" s="88"/>
      <c r="Y833" s="89"/>
      <c r="Z833" s="89"/>
      <c r="AA833" s="88"/>
      <c r="AB833" s="88"/>
      <c r="AF833" s="90"/>
      <c r="AK833" s="91"/>
      <c r="AM833" s="92"/>
      <c r="AN833" s="92"/>
      <c r="AO833" s="92"/>
      <c r="AP833" s="92"/>
      <c r="AQ833" s="92"/>
      <c r="AR833" s="92"/>
    </row>
    <row r="834" spans="1:44" s="84" customFormat="1" ht="24" customHeight="1" x14ac:dyDescent="0.3">
      <c r="A834" s="78" t="s">
        <v>4709</v>
      </c>
      <c r="B834" s="79" t="s">
        <v>1092</v>
      </c>
      <c r="C834" s="112">
        <v>1100957</v>
      </c>
      <c r="D834" s="112">
        <v>1100594</v>
      </c>
      <c r="E834" s="112">
        <v>29190916</v>
      </c>
      <c r="F834" s="81" t="s">
        <v>1318</v>
      </c>
      <c r="G834" s="82" t="s">
        <v>4762</v>
      </c>
      <c r="H834" s="82" t="s">
        <v>4814</v>
      </c>
      <c r="I834" s="82" t="s">
        <v>3122</v>
      </c>
      <c r="J834" s="83" t="str">
        <f>VLOOKUP($C834,CHOOSE({1,2},'[4]Prestações de Conta inadimplent'!$D$9:$D$2000,'[4]Prestações de Conta inadimplent'!$C$9:$C$2000),2,0)</f>
        <v>Colegio Estadual Edivaldo Boaventura</v>
      </c>
      <c r="L834" s="85"/>
      <c r="M834" s="85" t="e">
        <v>#REF!</v>
      </c>
      <c r="T834" s="86"/>
      <c r="U834" s="85"/>
      <c r="V834" s="87"/>
      <c r="W834" s="85"/>
      <c r="X834" s="85"/>
      <c r="Y834" s="89"/>
      <c r="Z834" s="89"/>
      <c r="AA834" s="88"/>
      <c r="AB834" s="88"/>
      <c r="AF834" s="90"/>
      <c r="AK834" s="91"/>
      <c r="AM834" s="92"/>
      <c r="AN834" s="92"/>
      <c r="AO834" s="92"/>
      <c r="AP834" s="92"/>
      <c r="AQ834" s="92"/>
      <c r="AR834" s="92"/>
    </row>
    <row r="835" spans="1:44" s="84" customFormat="1" ht="24" customHeight="1" x14ac:dyDescent="0.3">
      <c r="A835" s="78" t="s">
        <v>4709</v>
      </c>
      <c r="B835" s="79" t="s">
        <v>1092</v>
      </c>
      <c r="C835" s="112">
        <v>1146140</v>
      </c>
      <c r="D835" s="112">
        <v>1100503</v>
      </c>
      <c r="E835" s="112">
        <v>29199930</v>
      </c>
      <c r="F835" s="81" t="s">
        <v>1446</v>
      </c>
      <c r="G835" s="82" t="s">
        <v>4762</v>
      </c>
      <c r="H835" s="82" t="s">
        <v>4815</v>
      </c>
      <c r="I835" s="82" t="s">
        <v>3103</v>
      </c>
      <c r="J835" s="83" t="e">
        <f>VLOOKUP($C835,CHOOSE({1,2},'[4]Prestações de Conta inadimplent'!$D$9:$D$2000,'[4]Prestações de Conta inadimplent'!$C$9:$C$2000),2,0)</f>
        <v>#N/A</v>
      </c>
      <c r="L835" s="85"/>
      <c r="M835" s="85" t="e">
        <v>#REF!</v>
      </c>
      <c r="T835" s="86"/>
      <c r="U835" s="85"/>
      <c r="V835" s="87"/>
      <c r="W835" s="85"/>
      <c r="X835" s="88"/>
      <c r="Y835" s="89"/>
      <c r="Z835" s="89"/>
      <c r="AA835" s="88"/>
      <c r="AB835" s="88"/>
      <c r="AF835" s="90"/>
      <c r="AK835" s="91"/>
      <c r="AM835" s="92"/>
      <c r="AN835" s="92"/>
      <c r="AO835" s="92"/>
      <c r="AP835" s="92"/>
      <c r="AQ835" s="92"/>
      <c r="AR835" s="92"/>
    </row>
    <row r="836" spans="1:44" s="84" customFormat="1" ht="24" customHeight="1" x14ac:dyDescent="0.3">
      <c r="A836" s="78" t="s">
        <v>4709</v>
      </c>
      <c r="B836" s="79" t="s">
        <v>1092</v>
      </c>
      <c r="C836" s="112">
        <v>1102909</v>
      </c>
      <c r="D836" s="112">
        <v>1100351</v>
      </c>
      <c r="E836" s="112">
        <v>29188784</v>
      </c>
      <c r="F836" s="81" t="s">
        <v>4816</v>
      </c>
      <c r="G836" s="82" t="s">
        <v>4762</v>
      </c>
      <c r="H836" s="82" t="s">
        <v>4817</v>
      </c>
      <c r="I836" s="82" t="s">
        <v>3103</v>
      </c>
      <c r="J836" s="83" t="e">
        <f>VLOOKUP($C836,CHOOSE({1,2},'[4]Prestações de Conta inadimplent'!$D$9:$D$2000,'[4]Prestações de Conta inadimplent'!$C$9:$C$2000),2,0)</f>
        <v>#N/A</v>
      </c>
      <c r="L836" s="85"/>
      <c r="M836" s="85" t="e">
        <v>#REF!</v>
      </c>
      <c r="T836" s="86"/>
      <c r="U836" s="85"/>
      <c r="V836" s="87"/>
      <c r="W836" s="85"/>
      <c r="X836" s="85"/>
      <c r="Y836" s="89"/>
      <c r="Z836" s="89"/>
      <c r="AA836" s="88"/>
      <c r="AB836" s="88"/>
      <c r="AF836" s="90"/>
      <c r="AK836" s="91"/>
      <c r="AM836" s="92"/>
      <c r="AN836" s="92"/>
      <c r="AO836" s="92"/>
      <c r="AP836" s="92"/>
      <c r="AQ836" s="92"/>
      <c r="AR836" s="92"/>
    </row>
    <row r="837" spans="1:44" s="84" customFormat="1" ht="24" customHeight="1" x14ac:dyDescent="0.3">
      <c r="A837" s="78" t="s">
        <v>4709</v>
      </c>
      <c r="B837" s="79" t="s">
        <v>1092</v>
      </c>
      <c r="C837" s="112">
        <v>1136072</v>
      </c>
      <c r="D837" s="112">
        <v>1100484</v>
      </c>
      <c r="E837" s="112">
        <v>29192226</v>
      </c>
      <c r="F837" s="81" t="s">
        <v>4818</v>
      </c>
      <c r="G837" s="82" t="s">
        <v>4762</v>
      </c>
      <c r="H837" s="82" t="s">
        <v>4819</v>
      </c>
      <c r="I837" s="82" t="s">
        <v>3122</v>
      </c>
      <c r="J837" s="83" t="str">
        <f>VLOOKUP($C837,CHOOSE({1,2},'[4]Prestações de Conta inadimplent'!$D$9:$D$2000,'[4]Prestações de Conta inadimplent'!$C$9:$C$2000),2,0)</f>
        <v>Colegio Estadual Vale Dos Lagos</v>
      </c>
      <c r="L837" s="85"/>
      <c r="M837" s="85" t="e">
        <v>#REF!</v>
      </c>
      <c r="T837" s="86"/>
      <c r="U837" s="85"/>
      <c r="V837" s="87"/>
      <c r="W837" s="85"/>
      <c r="X837" s="88"/>
      <c r="Y837" s="89"/>
      <c r="Z837" s="89"/>
      <c r="AA837" s="88"/>
      <c r="AB837" s="88"/>
      <c r="AF837" s="90"/>
      <c r="AK837" s="91"/>
      <c r="AM837" s="92"/>
      <c r="AN837" s="92"/>
      <c r="AO837" s="92"/>
      <c r="AP837" s="92"/>
      <c r="AQ837" s="92"/>
      <c r="AR837" s="92"/>
    </row>
    <row r="838" spans="1:44" s="84" customFormat="1" ht="24" customHeight="1" x14ac:dyDescent="0.3">
      <c r="A838" s="78" t="s">
        <v>4709</v>
      </c>
      <c r="B838" s="79" t="s">
        <v>1092</v>
      </c>
      <c r="C838" s="112">
        <v>1102640</v>
      </c>
      <c r="D838" s="112">
        <v>1100519</v>
      </c>
      <c r="E838" s="112">
        <v>29193966</v>
      </c>
      <c r="F838" s="81" t="s">
        <v>1425</v>
      </c>
      <c r="G838" s="82" t="s">
        <v>4762</v>
      </c>
      <c r="H838" s="82" t="s">
        <v>3364</v>
      </c>
      <c r="I838" s="82" t="s">
        <v>3103</v>
      </c>
      <c r="J838" s="83" t="e">
        <f>VLOOKUP($C838,CHOOSE({1,2},'[4]Prestações de Conta inadimplent'!$D$9:$D$2000,'[4]Prestações de Conta inadimplent'!$C$9:$C$2000),2,0)</f>
        <v>#N/A</v>
      </c>
      <c r="L838" s="85"/>
      <c r="M838" s="85" t="e">
        <v>#REF!</v>
      </c>
      <c r="T838" s="86"/>
      <c r="U838" s="85"/>
      <c r="V838" s="87"/>
      <c r="W838" s="85"/>
      <c r="X838" s="88"/>
      <c r="Y838" s="89"/>
      <c r="Z838" s="89"/>
      <c r="AA838" s="88"/>
      <c r="AB838" s="88"/>
      <c r="AF838" s="90"/>
      <c r="AK838" s="91"/>
      <c r="AM838" s="92"/>
      <c r="AN838" s="92"/>
      <c r="AO838" s="92"/>
      <c r="AP838" s="92"/>
      <c r="AQ838" s="92"/>
      <c r="AR838" s="92"/>
    </row>
    <row r="839" spans="1:44" s="84" customFormat="1" ht="24" customHeight="1" x14ac:dyDescent="0.3">
      <c r="A839" s="78" t="s">
        <v>4709</v>
      </c>
      <c r="B839" s="79" t="s">
        <v>1092</v>
      </c>
      <c r="C839" s="112">
        <v>1101759</v>
      </c>
      <c r="D839" s="112">
        <v>1100437</v>
      </c>
      <c r="E839" s="112">
        <v>29187877</v>
      </c>
      <c r="F839" s="81" t="s">
        <v>1243</v>
      </c>
      <c r="G839" s="82" t="s">
        <v>4762</v>
      </c>
      <c r="H839" s="82" t="s">
        <v>4820</v>
      </c>
      <c r="I839" s="82" t="s">
        <v>3122</v>
      </c>
      <c r="J839" s="83" t="str">
        <f>VLOOKUP($C839,CHOOSE({1,2},'[4]Prestações de Conta inadimplent'!$D$9:$D$2000,'[4]Prestações de Conta inadimplent'!$C$9:$C$2000),2,0)</f>
        <v>Escola Estadual Pierre Verger</v>
      </c>
      <c r="L839" s="85"/>
      <c r="M839" s="85" t="e">
        <v>#REF!</v>
      </c>
      <c r="T839" s="86"/>
      <c r="U839" s="85"/>
      <c r="V839" s="87"/>
      <c r="W839" s="85"/>
      <c r="X839" s="85"/>
      <c r="Y839" s="89"/>
      <c r="Z839" s="89"/>
      <c r="AA839" s="88"/>
      <c r="AB839" s="88"/>
      <c r="AF839" s="90"/>
      <c r="AK839" s="91"/>
      <c r="AM839" s="92"/>
      <c r="AN839" s="92"/>
      <c r="AO839" s="92"/>
      <c r="AP839" s="92"/>
      <c r="AQ839" s="92"/>
      <c r="AR839" s="92"/>
    </row>
    <row r="840" spans="1:44" s="84" customFormat="1" ht="24" customHeight="1" x14ac:dyDescent="0.3">
      <c r="A840" s="78" t="s">
        <v>4709</v>
      </c>
      <c r="B840" s="79" t="s">
        <v>1092</v>
      </c>
      <c r="C840" s="112">
        <v>1102232</v>
      </c>
      <c r="D840" s="112">
        <v>1100321</v>
      </c>
      <c r="E840" s="112">
        <v>29181526</v>
      </c>
      <c r="F840" s="81" t="s">
        <v>4821</v>
      </c>
      <c r="G840" s="82" t="s">
        <v>4762</v>
      </c>
      <c r="H840" s="82" t="s">
        <v>4822</v>
      </c>
      <c r="I840" s="82" t="s">
        <v>3103</v>
      </c>
      <c r="J840" s="83" t="e">
        <f>VLOOKUP($C840,CHOOSE({1,2},'[4]Prestações de Conta inadimplent'!$D$9:$D$2000,'[4]Prestações de Conta inadimplent'!$C$9:$C$2000),2,0)</f>
        <v>#N/A</v>
      </c>
      <c r="L840" s="85"/>
      <c r="M840" s="85" t="e">
        <v>#REF!</v>
      </c>
      <c r="T840" s="86"/>
      <c r="U840" s="85"/>
      <c r="V840" s="87"/>
      <c r="W840" s="85"/>
      <c r="X840" s="88"/>
      <c r="Y840" s="89"/>
      <c r="Z840" s="88"/>
      <c r="AA840" s="88"/>
      <c r="AB840" s="88"/>
      <c r="AF840" s="90"/>
      <c r="AK840" s="91"/>
      <c r="AM840" s="92"/>
      <c r="AN840" s="92"/>
      <c r="AO840" s="92"/>
      <c r="AP840" s="92"/>
      <c r="AQ840" s="92"/>
      <c r="AR840" s="92"/>
    </row>
    <row r="841" spans="1:44" s="84" customFormat="1" ht="24" customHeight="1" x14ac:dyDescent="0.3">
      <c r="A841" s="78" t="s">
        <v>4709</v>
      </c>
      <c r="B841" s="79" t="s">
        <v>1092</v>
      </c>
      <c r="C841" s="112">
        <v>1102844</v>
      </c>
      <c r="D841" s="112">
        <v>1100539</v>
      </c>
      <c r="E841" s="112">
        <v>29185394</v>
      </c>
      <c r="F841" s="81" t="s">
        <v>4823</v>
      </c>
      <c r="G841" s="82" t="s">
        <v>4762</v>
      </c>
      <c r="H841" s="82" t="s">
        <v>4824</v>
      </c>
      <c r="I841" s="82" t="s">
        <v>3103</v>
      </c>
      <c r="J841" s="83" t="e">
        <f>VLOOKUP($C841,CHOOSE({1,2},'[4]Prestações de Conta inadimplent'!$D$9:$D$2000,'[4]Prestações de Conta inadimplent'!$C$9:$C$2000),2,0)</f>
        <v>#N/A</v>
      </c>
      <c r="L841" s="85"/>
      <c r="M841" s="85" t="e">
        <v>#REF!</v>
      </c>
      <c r="T841" s="86"/>
      <c r="U841" s="85"/>
      <c r="V841" s="87"/>
      <c r="W841" s="85"/>
      <c r="X841" s="88"/>
      <c r="Y841" s="89"/>
      <c r="Z841" s="89"/>
      <c r="AA841" s="88"/>
      <c r="AB841" s="88"/>
      <c r="AF841" s="90"/>
      <c r="AK841" s="91"/>
      <c r="AM841" s="92"/>
      <c r="AN841" s="92"/>
      <c r="AO841" s="92"/>
      <c r="AP841" s="92"/>
      <c r="AQ841" s="92"/>
      <c r="AR841" s="92"/>
    </row>
    <row r="842" spans="1:44" s="84" customFormat="1" ht="24" customHeight="1" x14ac:dyDescent="0.3">
      <c r="A842" s="78" t="s">
        <v>4709</v>
      </c>
      <c r="B842" s="79" t="s">
        <v>1092</v>
      </c>
      <c r="C842" s="112">
        <v>1174713</v>
      </c>
      <c r="D842" s="112">
        <v>1100523</v>
      </c>
      <c r="E842" s="112">
        <v>29191211</v>
      </c>
      <c r="F842" s="81" t="s">
        <v>1344</v>
      </c>
      <c r="G842" s="82" t="s">
        <v>4762</v>
      </c>
      <c r="H842" s="82" t="s">
        <v>4825</v>
      </c>
      <c r="I842" s="82" t="s">
        <v>3103</v>
      </c>
      <c r="J842" s="83" t="e">
        <f>VLOOKUP($C842,CHOOSE({1,2},'[4]Prestações de Conta inadimplent'!$D$9:$D$2000,'[4]Prestações de Conta inadimplent'!$C$9:$C$2000),2,0)</f>
        <v>#N/A</v>
      </c>
      <c r="L842" s="85"/>
      <c r="M842" s="85" t="e">
        <v>#REF!</v>
      </c>
      <c r="T842" s="86"/>
      <c r="U842" s="85"/>
      <c r="V842" s="87"/>
      <c r="W842" s="85"/>
      <c r="X842" s="88"/>
      <c r="Y842" s="89"/>
      <c r="Z842" s="88"/>
      <c r="AA842" s="88"/>
      <c r="AB842" s="88"/>
      <c r="AF842" s="90"/>
      <c r="AK842" s="91"/>
      <c r="AM842" s="92"/>
      <c r="AN842" s="92"/>
      <c r="AO842" s="92"/>
      <c r="AP842" s="92"/>
      <c r="AQ842" s="92"/>
      <c r="AR842" s="92"/>
    </row>
    <row r="843" spans="1:44" s="84" customFormat="1" ht="24" customHeight="1" x14ac:dyDescent="0.3">
      <c r="A843" s="78" t="s">
        <v>4709</v>
      </c>
      <c r="B843" s="79" t="s">
        <v>1092</v>
      </c>
      <c r="C843" s="112">
        <v>1146094</v>
      </c>
      <c r="D843" s="112">
        <v>1100632</v>
      </c>
      <c r="E843" s="112">
        <v>29191343</v>
      </c>
      <c r="F843" s="81" t="s">
        <v>4826</v>
      </c>
      <c r="G843" s="82" t="s">
        <v>4762</v>
      </c>
      <c r="H843" s="82" t="s">
        <v>4827</v>
      </c>
      <c r="I843" s="82" t="s">
        <v>3122</v>
      </c>
      <c r="J843" s="83" t="str">
        <f>VLOOKUP($C843,CHOOSE({1,2},'[4]Prestações de Conta inadimplent'!$D$9:$D$2000,'[4]Prestações de Conta inadimplent'!$C$9:$C$2000),2,0)</f>
        <v>Colegio Estadual Professor Romulo Almeida</v>
      </c>
      <c r="L843" s="85"/>
      <c r="M843" s="85" t="e">
        <v>#REF!</v>
      </c>
      <c r="T843" s="86"/>
      <c r="U843" s="85"/>
      <c r="V843" s="87"/>
      <c r="W843" s="85"/>
      <c r="X843" s="88"/>
      <c r="Y843" s="89"/>
      <c r="Z843" s="89"/>
      <c r="AA843" s="88"/>
      <c r="AB843" s="88"/>
      <c r="AF843" s="90"/>
      <c r="AK843" s="91"/>
      <c r="AM843" s="92"/>
      <c r="AN843" s="92"/>
      <c r="AO843" s="92"/>
      <c r="AP843" s="92"/>
      <c r="AQ843" s="92"/>
      <c r="AR843" s="92"/>
    </row>
    <row r="844" spans="1:44" s="84" customFormat="1" ht="24" customHeight="1" x14ac:dyDescent="0.3">
      <c r="A844" s="78" t="s">
        <v>4709</v>
      </c>
      <c r="B844" s="79" t="s">
        <v>1092</v>
      </c>
      <c r="C844" s="112">
        <v>1179485</v>
      </c>
      <c r="D844" s="112">
        <v>9999999</v>
      </c>
      <c r="E844" s="112">
        <v>29467934</v>
      </c>
      <c r="F844" s="81" t="s">
        <v>4828</v>
      </c>
      <c r="G844" s="82" t="s">
        <v>4829</v>
      </c>
      <c r="H844" s="82" t="s">
        <v>4830</v>
      </c>
      <c r="I844" s="82" t="s">
        <v>3122</v>
      </c>
      <c r="J844" s="83" t="str">
        <f>VLOOKUP($C844,CHOOSE({1,2},'[4]Prestações de Conta inadimplent'!$D$9:$D$2000,'[4]Prestações de Conta inadimplent'!$C$9:$C$2000),2,0)</f>
        <v>Colegio Estadual De Nova Esperanca</v>
      </c>
      <c r="L844" s="85"/>
      <c r="M844" s="85" t="e">
        <v>#REF!</v>
      </c>
      <c r="T844" s="86"/>
      <c r="U844" s="85"/>
      <c r="V844" s="87"/>
      <c r="W844" s="85"/>
      <c r="X844" s="88"/>
      <c r="Y844" s="89"/>
      <c r="Z844" s="89"/>
      <c r="AA844" s="88"/>
      <c r="AB844" s="88"/>
      <c r="AF844" s="90"/>
      <c r="AK844" s="91"/>
      <c r="AM844" s="92"/>
      <c r="AN844" s="92"/>
      <c r="AO844" s="92"/>
      <c r="AP844" s="92"/>
      <c r="AQ844" s="92"/>
      <c r="AR844" s="92"/>
    </row>
    <row r="845" spans="1:44" s="84" customFormat="1" ht="24" customHeight="1" x14ac:dyDescent="0.3">
      <c r="A845" s="78" t="s">
        <v>4709</v>
      </c>
      <c r="B845" s="79" t="s">
        <v>1092</v>
      </c>
      <c r="C845" s="112">
        <v>1102372</v>
      </c>
      <c r="D845" s="112">
        <v>1100325</v>
      </c>
      <c r="E845" s="112">
        <v>29188792</v>
      </c>
      <c r="F845" s="81" t="s">
        <v>1264</v>
      </c>
      <c r="G845" s="82" t="s">
        <v>4762</v>
      </c>
      <c r="H845" s="82" t="s">
        <v>4831</v>
      </c>
      <c r="I845" s="82" t="s">
        <v>3122</v>
      </c>
      <c r="J845" s="83" t="str">
        <f>VLOOKUP($C845,CHOOSE({1,2},'[4]Prestações de Conta inadimplent'!$D$9:$D$2000,'[4]Prestações de Conta inadimplent'!$C$9:$C$2000),2,0)</f>
        <v>Colegio Estadual Artur De Sales</v>
      </c>
      <c r="K845" s="96"/>
      <c r="L845" s="85"/>
      <c r="M845" s="85" t="e">
        <v>#REF!</v>
      </c>
      <c r="T845" s="86"/>
      <c r="U845" s="85"/>
      <c r="V845" s="87"/>
      <c r="W845" s="85"/>
      <c r="X845" s="88"/>
      <c r="Y845" s="89"/>
      <c r="Z845" s="89"/>
      <c r="AA845" s="88"/>
      <c r="AB845" s="88"/>
      <c r="AF845" s="90"/>
      <c r="AK845" s="91"/>
      <c r="AM845" s="92"/>
      <c r="AN845" s="92"/>
      <c r="AO845" s="92"/>
      <c r="AP845" s="92"/>
      <c r="AQ845" s="92"/>
      <c r="AR845" s="92"/>
    </row>
    <row r="846" spans="1:44" s="84" customFormat="1" ht="24" customHeight="1" x14ac:dyDescent="0.3">
      <c r="A846" s="78" t="s">
        <v>4709</v>
      </c>
      <c r="B846" s="79" t="s">
        <v>1092</v>
      </c>
      <c r="C846" s="112">
        <v>1102542</v>
      </c>
      <c r="D846" s="112">
        <v>1100327</v>
      </c>
      <c r="E846" s="112">
        <v>29190908</v>
      </c>
      <c r="F846" s="81" t="s">
        <v>1315</v>
      </c>
      <c r="G846" s="82" t="s">
        <v>4762</v>
      </c>
      <c r="H846" s="82" t="s">
        <v>4832</v>
      </c>
      <c r="I846" s="82" t="s">
        <v>3122</v>
      </c>
      <c r="J846" s="83" t="str">
        <f>VLOOKUP($C846,CHOOSE({1,2},'[4]Prestações de Conta inadimplent'!$D$9:$D$2000,'[4]Prestações de Conta inadimplent'!$C$9:$C$2000),2,0)</f>
        <v>Colegio Estadual Luis Rogerio De Souza</v>
      </c>
      <c r="K846" s="95"/>
      <c r="L846" s="85"/>
      <c r="M846" s="85" t="e">
        <v>#REF!</v>
      </c>
      <c r="T846" s="86"/>
      <c r="U846" s="85"/>
      <c r="V846" s="87"/>
      <c r="W846" s="85"/>
      <c r="X846" s="88"/>
      <c r="Y846" s="89"/>
      <c r="Z846" s="89"/>
      <c r="AA846" s="88"/>
      <c r="AB846" s="88"/>
      <c r="AF846" s="90"/>
      <c r="AK846" s="91"/>
      <c r="AM846" s="92"/>
      <c r="AN846" s="92"/>
      <c r="AO846" s="92"/>
      <c r="AP846" s="92"/>
      <c r="AQ846" s="92"/>
      <c r="AR846" s="92"/>
    </row>
    <row r="847" spans="1:44" s="84" customFormat="1" ht="24" customHeight="1" x14ac:dyDescent="0.3">
      <c r="A847" s="78" t="s">
        <v>4709</v>
      </c>
      <c r="B847" s="79" t="s">
        <v>1092</v>
      </c>
      <c r="C847" s="112">
        <v>1103220</v>
      </c>
      <c r="D847" s="112">
        <v>1100397</v>
      </c>
      <c r="E847" s="112">
        <v>29182042</v>
      </c>
      <c r="F847" s="81" t="s">
        <v>4833</v>
      </c>
      <c r="G847" s="82" t="s">
        <v>4762</v>
      </c>
      <c r="H847" s="82" t="s">
        <v>4834</v>
      </c>
      <c r="I847" s="82" t="s">
        <v>3122</v>
      </c>
      <c r="J847" s="83" t="str">
        <f>VLOOKUP($C847,CHOOSE({1,2},'[4]Prestações de Conta inadimplent'!$D$9:$D$2000,'[4]Prestações de Conta inadimplent'!$C$9:$C$2000),2,0)</f>
        <v>Colegio Estadual Helena Celestino Magalhaes</v>
      </c>
      <c r="L847" s="85"/>
      <c r="M847" s="85" t="e">
        <v>#REF!</v>
      </c>
      <c r="T847" s="86"/>
      <c r="U847" s="85"/>
      <c r="V847" s="87"/>
      <c r="W847" s="85"/>
      <c r="X847" s="88"/>
      <c r="Y847" s="89"/>
      <c r="Z847" s="89"/>
      <c r="AA847" s="88"/>
      <c r="AB847" s="88"/>
      <c r="AF847" s="90"/>
      <c r="AK847" s="91"/>
      <c r="AM847" s="92"/>
      <c r="AN847" s="92"/>
      <c r="AO847" s="92"/>
      <c r="AP847" s="92"/>
      <c r="AQ847" s="92"/>
      <c r="AR847" s="92"/>
    </row>
    <row r="848" spans="1:44" s="84" customFormat="1" ht="24" customHeight="1" x14ac:dyDescent="0.3">
      <c r="A848" s="78" t="s">
        <v>4709</v>
      </c>
      <c r="B848" s="79" t="s">
        <v>1092</v>
      </c>
      <c r="C848" s="112">
        <v>1104642</v>
      </c>
      <c r="D848" s="112">
        <v>1100473</v>
      </c>
      <c r="E848" s="112">
        <v>29184916</v>
      </c>
      <c r="F848" s="81" t="s">
        <v>1189</v>
      </c>
      <c r="G848" s="82" t="s">
        <v>4762</v>
      </c>
      <c r="H848" s="82" t="s">
        <v>4835</v>
      </c>
      <c r="I848" s="82" t="s">
        <v>3103</v>
      </c>
      <c r="J848" s="83" t="e">
        <f>VLOOKUP($C848,CHOOSE({1,2},'[4]Prestações de Conta inadimplent'!$D$9:$D$2000,'[4]Prestações de Conta inadimplent'!$C$9:$C$2000),2,0)</f>
        <v>#N/A</v>
      </c>
      <c r="K848" s="95"/>
      <c r="L848" s="85"/>
      <c r="M848" s="85" t="e">
        <v>#REF!</v>
      </c>
      <c r="T848" s="86"/>
      <c r="U848" s="85"/>
      <c r="V848" s="87"/>
      <c r="W848" s="85"/>
      <c r="X848" s="88"/>
      <c r="Y848" s="89"/>
      <c r="Z848" s="89"/>
      <c r="AA848" s="88"/>
      <c r="AB848" s="88"/>
      <c r="AF848" s="90"/>
      <c r="AK848" s="91"/>
      <c r="AM848" s="92"/>
      <c r="AN848" s="92"/>
      <c r="AO848" s="92"/>
      <c r="AP848" s="92"/>
      <c r="AQ848" s="92"/>
      <c r="AR848" s="92"/>
    </row>
    <row r="849" spans="1:44" s="84" customFormat="1" ht="24" customHeight="1" x14ac:dyDescent="0.3">
      <c r="A849" s="78" t="s">
        <v>4709</v>
      </c>
      <c r="B849" s="79" t="s">
        <v>1092</v>
      </c>
      <c r="C849" s="112">
        <v>1175280</v>
      </c>
      <c r="D849" s="112">
        <v>1100224</v>
      </c>
      <c r="E849" s="112">
        <v>29192307</v>
      </c>
      <c r="F849" s="81" t="s">
        <v>4836</v>
      </c>
      <c r="G849" s="82" t="s">
        <v>4762</v>
      </c>
      <c r="H849" s="82" t="s">
        <v>4837</v>
      </c>
      <c r="I849" s="82" t="s">
        <v>3122</v>
      </c>
      <c r="J849" s="83" t="str">
        <f>VLOOKUP($C849,CHOOSE({1,2},'[4]Prestações de Conta inadimplent'!$D$9:$D$2000,'[4]Prestações de Conta inadimplent'!$C$9:$C$2000),2,0)</f>
        <v>Colegio Estadual Helena Magalhaes</v>
      </c>
      <c r="K849" s="96"/>
      <c r="L849" s="85"/>
      <c r="M849" s="85" t="e">
        <v>#REF!</v>
      </c>
      <c r="T849" s="86"/>
      <c r="U849" s="85"/>
      <c r="V849" s="87"/>
      <c r="W849" s="85"/>
      <c r="X849" s="88"/>
      <c r="Y849" s="89"/>
      <c r="Z849" s="89"/>
      <c r="AA849" s="88"/>
      <c r="AB849" s="88"/>
      <c r="AF849" s="90"/>
      <c r="AK849" s="91"/>
      <c r="AM849" s="92"/>
      <c r="AN849" s="92"/>
      <c r="AO849" s="92"/>
      <c r="AP849" s="92"/>
      <c r="AQ849" s="92"/>
      <c r="AR849" s="92"/>
    </row>
    <row r="850" spans="1:44" s="84" customFormat="1" ht="24" customHeight="1" x14ac:dyDescent="0.3">
      <c r="A850" s="78" t="s">
        <v>4709</v>
      </c>
      <c r="B850" s="79" t="s">
        <v>1092</v>
      </c>
      <c r="C850" s="112">
        <v>1103654</v>
      </c>
      <c r="D850" s="112">
        <v>1100445</v>
      </c>
      <c r="E850" s="112">
        <v>29188458</v>
      </c>
      <c r="F850" s="81" t="s">
        <v>1252</v>
      </c>
      <c r="G850" s="82" t="s">
        <v>4762</v>
      </c>
      <c r="H850" s="82" t="s">
        <v>4022</v>
      </c>
      <c r="I850" s="82" t="s">
        <v>3122</v>
      </c>
      <c r="J850" s="83" t="str">
        <f>VLOOKUP($C850,CHOOSE({1,2},'[4]Prestações de Conta inadimplent'!$D$9:$D$2000,'[4]Prestações de Conta inadimplent'!$C$9:$C$2000),2,0)</f>
        <v>Colegio Estadual Tereza Helena Mata Pires</v>
      </c>
      <c r="L850" s="85"/>
      <c r="M850" s="85" t="e">
        <v>#REF!</v>
      </c>
      <c r="T850" s="86"/>
      <c r="U850" s="85"/>
      <c r="V850" s="87"/>
      <c r="W850" s="85"/>
      <c r="X850" s="88"/>
      <c r="Y850" s="89"/>
      <c r="Z850" s="89"/>
      <c r="AA850" s="88"/>
      <c r="AB850" s="88"/>
      <c r="AF850" s="90"/>
      <c r="AK850" s="91"/>
      <c r="AM850" s="92"/>
      <c r="AN850" s="92"/>
      <c r="AO850" s="92"/>
      <c r="AP850" s="92"/>
      <c r="AQ850" s="92"/>
      <c r="AR850" s="92"/>
    </row>
    <row r="851" spans="1:44" s="84" customFormat="1" ht="24" customHeight="1" x14ac:dyDescent="0.3">
      <c r="A851" s="78" t="s">
        <v>4709</v>
      </c>
      <c r="B851" s="79" t="s">
        <v>1092</v>
      </c>
      <c r="C851" s="112">
        <v>1104715</v>
      </c>
      <c r="D851" s="112">
        <v>1100476</v>
      </c>
      <c r="E851" s="112">
        <v>29187079</v>
      </c>
      <c r="F851" s="81" t="s">
        <v>4838</v>
      </c>
      <c r="G851" s="82" t="s">
        <v>4762</v>
      </c>
      <c r="H851" s="82" t="s">
        <v>4839</v>
      </c>
      <c r="I851" s="82" t="s">
        <v>3122</v>
      </c>
      <c r="J851" s="83" t="str">
        <f>VLOOKUP($C851,CHOOSE({1,2},'[4]Prestações de Conta inadimplent'!$D$9:$D$2000,'[4]Prestações de Conta inadimplent'!$C$9:$C$2000),2,0)</f>
        <v>Escola Estadual Presciliano Silva</v>
      </c>
      <c r="L851" s="85"/>
      <c r="M851" s="85" t="e">
        <v>#REF!</v>
      </c>
      <c r="T851" s="86"/>
      <c r="U851" s="85"/>
      <c r="V851" s="87"/>
      <c r="W851" s="85"/>
      <c r="X851" s="85"/>
      <c r="Y851" s="89"/>
      <c r="Z851" s="89"/>
      <c r="AA851" s="88"/>
      <c r="AB851" s="88"/>
      <c r="AF851" s="90"/>
      <c r="AK851" s="91"/>
      <c r="AM851" s="92"/>
      <c r="AN851" s="92"/>
      <c r="AO851" s="92"/>
      <c r="AP851" s="92"/>
      <c r="AQ851" s="92"/>
      <c r="AR851" s="92"/>
    </row>
    <row r="852" spans="1:44" s="84" customFormat="1" ht="24" customHeight="1" x14ac:dyDescent="0.3">
      <c r="A852" s="78" t="s">
        <v>4709</v>
      </c>
      <c r="B852" s="79" t="s">
        <v>1092</v>
      </c>
      <c r="C852" s="112">
        <v>1168837</v>
      </c>
      <c r="D852" s="112">
        <v>1100211</v>
      </c>
      <c r="E852" s="112">
        <v>29182182</v>
      </c>
      <c r="F852" s="81" t="s">
        <v>4840</v>
      </c>
      <c r="G852" s="82" t="s">
        <v>4762</v>
      </c>
      <c r="H852" s="82" t="s">
        <v>4841</v>
      </c>
      <c r="I852" s="82" t="s">
        <v>3122</v>
      </c>
      <c r="J852" s="83" t="str">
        <f>VLOOKUP($C852,CHOOSE({1,2},'[4]Prestações de Conta inadimplent'!$D$9:$D$2000,'[4]Prestações de Conta inadimplent'!$C$9:$C$2000),2,0)</f>
        <v>Colegio Estadual Ypiranga</v>
      </c>
      <c r="L852" s="85"/>
      <c r="M852" s="85" t="e">
        <v>#REF!</v>
      </c>
      <c r="T852" s="86"/>
      <c r="U852" s="85"/>
      <c r="V852" s="87"/>
      <c r="W852" s="85"/>
      <c r="X852" s="88"/>
      <c r="Y852" s="89"/>
      <c r="Z852" s="89"/>
      <c r="AA852" s="88"/>
      <c r="AB852" s="88"/>
      <c r="AF852" s="90"/>
      <c r="AK852" s="91"/>
      <c r="AM852" s="92"/>
      <c r="AN852" s="92"/>
      <c r="AO852" s="92"/>
      <c r="AP852" s="92"/>
      <c r="AQ852" s="92"/>
      <c r="AR852" s="92"/>
    </row>
    <row r="853" spans="1:44" s="84" customFormat="1" ht="24" customHeight="1" x14ac:dyDescent="0.3">
      <c r="A853" s="78" t="s">
        <v>4709</v>
      </c>
      <c r="B853" s="79" t="s">
        <v>1092</v>
      </c>
      <c r="C853" s="112">
        <v>1141998</v>
      </c>
      <c r="D853" s="112">
        <v>1100634</v>
      </c>
      <c r="E853" s="112">
        <v>29192218</v>
      </c>
      <c r="F853" s="81" t="s">
        <v>1392</v>
      </c>
      <c r="G853" s="82" t="s">
        <v>4762</v>
      </c>
      <c r="H853" s="82" t="s">
        <v>4842</v>
      </c>
      <c r="I853" s="82" t="s">
        <v>3122</v>
      </c>
      <c r="J853" s="83" t="str">
        <f>VLOOKUP($C853,CHOOSE({1,2},'[4]Prestações de Conta inadimplent'!$D$9:$D$2000,'[4]Prestações de Conta inadimplent'!$C$9:$C$2000),2,0)</f>
        <v>Escola Estadual Raul Sa</v>
      </c>
      <c r="L853" s="85"/>
      <c r="M853" s="85" t="e">
        <v>#REF!</v>
      </c>
      <c r="T853" s="86"/>
      <c r="U853" s="85"/>
      <c r="V853" s="87"/>
      <c r="W853" s="85"/>
      <c r="X853" s="85"/>
      <c r="Y853" s="89"/>
      <c r="Z853" s="89"/>
      <c r="AA853" s="88"/>
      <c r="AB853" s="88"/>
      <c r="AF853" s="90"/>
      <c r="AK853" s="91"/>
      <c r="AM853" s="92"/>
      <c r="AN853" s="92"/>
      <c r="AO853" s="92"/>
      <c r="AP853" s="92"/>
      <c r="AQ853" s="92"/>
      <c r="AR853" s="92"/>
    </row>
    <row r="854" spans="1:44" s="84" customFormat="1" ht="24" customHeight="1" x14ac:dyDescent="0.3">
      <c r="A854" s="78" t="s">
        <v>4709</v>
      </c>
      <c r="B854" s="79" t="s">
        <v>1092</v>
      </c>
      <c r="C854" s="112">
        <v>1104057</v>
      </c>
      <c r="D854" s="112">
        <v>1100426</v>
      </c>
      <c r="E854" s="112">
        <v>29191068</v>
      </c>
      <c r="F854" s="81" t="s">
        <v>4843</v>
      </c>
      <c r="G854" s="82" t="s">
        <v>4762</v>
      </c>
      <c r="H854" s="82" t="s">
        <v>4844</v>
      </c>
      <c r="I854" s="82" t="s">
        <v>3122</v>
      </c>
      <c r="J854" s="83" t="str">
        <f>VLOOKUP($C854,CHOOSE({1,2},'[4]Prestações de Conta inadimplent'!$D$9:$D$2000,'[4]Prestações de Conta inadimplent'!$C$9:$C$2000),2,0)</f>
        <v>Colegio Estadual Pinto De Aguiar</v>
      </c>
      <c r="L854" s="85"/>
      <c r="M854" s="85" t="e">
        <v>#REF!</v>
      </c>
      <c r="T854" s="86"/>
      <c r="U854" s="85"/>
      <c r="V854" s="87"/>
      <c r="W854" s="85"/>
      <c r="X854" s="88"/>
      <c r="Y854" s="89"/>
      <c r="Z854" s="89"/>
      <c r="AA854" s="88"/>
      <c r="AB854" s="88"/>
      <c r="AF854" s="90"/>
      <c r="AK854" s="91"/>
      <c r="AM854" s="92"/>
      <c r="AN854" s="92"/>
      <c r="AO854" s="92"/>
      <c r="AP854" s="92"/>
      <c r="AQ854" s="92"/>
      <c r="AR854" s="92"/>
    </row>
    <row r="855" spans="1:44" s="84" customFormat="1" ht="24" customHeight="1" x14ac:dyDescent="0.3">
      <c r="A855" s="78" t="s">
        <v>4709</v>
      </c>
      <c r="B855" s="79" t="s">
        <v>1092</v>
      </c>
      <c r="C855" s="112">
        <v>1163967</v>
      </c>
      <c r="D855" s="112">
        <v>1100520</v>
      </c>
      <c r="E855" s="112">
        <v>29192137</v>
      </c>
      <c r="F855" s="81" t="s">
        <v>4845</v>
      </c>
      <c r="G855" s="82" t="s">
        <v>4762</v>
      </c>
      <c r="H855" s="82" t="s">
        <v>4846</v>
      </c>
      <c r="I855" s="82" t="s">
        <v>3103</v>
      </c>
      <c r="J855" s="83" t="e">
        <f>VLOOKUP($C855,CHOOSE({1,2},'[4]Prestações de Conta inadimplent'!$D$9:$D$2000,'[4]Prestações de Conta inadimplent'!$C$9:$C$2000),2,0)</f>
        <v>#N/A</v>
      </c>
      <c r="L855" s="85"/>
      <c r="M855" s="85" t="e">
        <v>#REF!</v>
      </c>
      <c r="T855" s="86"/>
      <c r="U855" s="85"/>
      <c r="V855" s="87"/>
      <c r="W855" s="85"/>
      <c r="X855" s="88"/>
      <c r="Y855" s="89"/>
      <c r="Z855" s="89"/>
      <c r="AA855" s="88"/>
      <c r="AB855" s="88"/>
      <c r="AF855" s="90"/>
      <c r="AK855" s="91"/>
      <c r="AM855" s="92"/>
      <c r="AN855" s="92"/>
      <c r="AO855" s="92"/>
      <c r="AP855" s="92"/>
      <c r="AQ855" s="92"/>
      <c r="AR855" s="92"/>
    </row>
    <row r="856" spans="1:44" s="84" customFormat="1" ht="24" customHeight="1" x14ac:dyDescent="0.3">
      <c r="A856" s="78" t="s">
        <v>4709</v>
      </c>
      <c r="B856" s="79" t="s">
        <v>1092</v>
      </c>
      <c r="C856" s="112">
        <v>1102984</v>
      </c>
      <c r="D856" s="112">
        <v>1100549</v>
      </c>
      <c r="E856" s="112">
        <v>29193699</v>
      </c>
      <c r="F856" s="81" t="s">
        <v>4847</v>
      </c>
      <c r="G856" s="82" t="s">
        <v>4762</v>
      </c>
      <c r="H856" s="82" t="s">
        <v>4848</v>
      </c>
      <c r="I856" s="82" t="s">
        <v>3122</v>
      </c>
      <c r="J856" s="83" t="str">
        <f>VLOOKUP($C856,CHOOSE({1,2},'[4]Prestações de Conta inadimplent'!$D$9:$D$2000,'[4]Prestações de Conta inadimplent'!$C$9:$C$2000),2,0)</f>
        <v>Colegio Estadual Mario Costa Neto</v>
      </c>
      <c r="L856" s="85"/>
      <c r="M856" s="85" t="e">
        <v>#REF!</v>
      </c>
      <c r="T856" s="86"/>
      <c r="U856" s="85"/>
      <c r="V856" s="87"/>
      <c r="W856" s="85"/>
      <c r="X856" s="88"/>
      <c r="Y856" s="89"/>
      <c r="Z856" s="89"/>
      <c r="AA856" s="88"/>
      <c r="AB856" s="88"/>
      <c r="AF856" s="90"/>
      <c r="AK856" s="91"/>
      <c r="AM856" s="92"/>
      <c r="AN856" s="92"/>
      <c r="AO856" s="92"/>
      <c r="AP856" s="92"/>
      <c r="AQ856" s="92"/>
      <c r="AR856" s="92"/>
    </row>
    <row r="857" spans="1:44" s="84" customFormat="1" ht="24" customHeight="1" x14ac:dyDescent="0.3">
      <c r="A857" s="78" t="s">
        <v>4709</v>
      </c>
      <c r="B857" s="79" t="s">
        <v>1092</v>
      </c>
      <c r="C857" s="112">
        <v>1176189</v>
      </c>
      <c r="D857" s="112">
        <v>1100233</v>
      </c>
      <c r="E857" s="112">
        <v>29185300</v>
      </c>
      <c r="F857" s="81" t="s">
        <v>4849</v>
      </c>
      <c r="G857" s="82" t="s">
        <v>4762</v>
      </c>
      <c r="H857" s="82" t="s">
        <v>4850</v>
      </c>
      <c r="I857" s="82" t="s">
        <v>3103</v>
      </c>
      <c r="J857" s="83" t="e">
        <f>VLOOKUP($C857,CHOOSE({1,2},'[4]Prestações de Conta inadimplent'!$D$9:$D$2000,'[4]Prestações de Conta inadimplent'!$C$9:$C$2000),2,0)</f>
        <v>#N/A</v>
      </c>
      <c r="L857" s="85"/>
      <c r="M857" s="85" t="e">
        <v>#REF!</v>
      </c>
      <c r="T857" s="86"/>
      <c r="U857" s="85"/>
      <c r="V857" s="85"/>
      <c r="W857" s="85"/>
      <c r="X857" s="88"/>
      <c r="Y857" s="89"/>
      <c r="Z857" s="89"/>
      <c r="AA857" s="88"/>
      <c r="AB857" s="88"/>
      <c r="AF857" s="90"/>
      <c r="AK857" s="91"/>
      <c r="AM857" s="92"/>
      <c r="AN857" s="92"/>
      <c r="AO857" s="92"/>
      <c r="AP857" s="92"/>
      <c r="AQ857" s="92"/>
      <c r="AR857" s="92"/>
    </row>
    <row r="858" spans="1:44" s="84" customFormat="1" ht="24" customHeight="1" x14ac:dyDescent="0.3">
      <c r="A858" s="78" t="s">
        <v>4709</v>
      </c>
      <c r="B858" s="79" t="s">
        <v>1092</v>
      </c>
      <c r="C858" s="112">
        <v>1176096</v>
      </c>
      <c r="D858" s="112">
        <v>1100536</v>
      </c>
      <c r="E858" s="112">
        <v>29336708</v>
      </c>
      <c r="F858" s="81" t="s">
        <v>2196</v>
      </c>
      <c r="G858" s="82" t="s">
        <v>4762</v>
      </c>
      <c r="H858" s="82" t="s">
        <v>4851</v>
      </c>
      <c r="I858" s="82" t="s">
        <v>3103</v>
      </c>
      <c r="J858" s="83" t="e">
        <f>VLOOKUP($C858,CHOOSE({1,2},'[4]Prestações de Conta inadimplent'!$D$9:$D$2000,'[4]Prestações de Conta inadimplent'!$C$9:$C$2000),2,0)</f>
        <v>#N/A</v>
      </c>
      <c r="L858" s="85"/>
      <c r="M858" s="85" t="e">
        <v>#REF!</v>
      </c>
      <c r="T858" s="86"/>
      <c r="U858" s="85"/>
      <c r="V858" s="87"/>
      <c r="W858" s="85"/>
      <c r="X858" s="88"/>
      <c r="Y858" s="89"/>
      <c r="Z858" s="89"/>
      <c r="AA858" s="88"/>
      <c r="AB858" s="88"/>
      <c r="AF858" s="90"/>
      <c r="AK858" s="91"/>
      <c r="AM858" s="92"/>
      <c r="AN858" s="92"/>
      <c r="AO858" s="92"/>
      <c r="AP858" s="92"/>
      <c r="AQ858" s="92"/>
      <c r="AR858" s="92"/>
    </row>
    <row r="859" spans="1:44" s="84" customFormat="1" ht="24" customHeight="1" x14ac:dyDescent="0.3">
      <c r="A859" s="78" t="s">
        <v>4709</v>
      </c>
      <c r="B859" s="79" t="s">
        <v>1092</v>
      </c>
      <c r="C859" s="112">
        <v>1163924</v>
      </c>
      <c r="D859" s="112">
        <v>1100506</v>
      </c>
      <c r="E859" s="112">
        <v>29192277</v>
      </c>
      <c r="F859" s="81" t="s">
        <v>1395</v>
      </c>
      <c r="G859" s="82" t="s">
        <v>4762</v>
      </c>
      <c r="H859" s="82" t="s">
        <v>4852</v>
      </c>
      <c r="I859" s="82" t="s">
        <v>3103</v>
      </c>
      <c r="J859" s="83" t="e">
        <f>VLOOKUP($C859,CHOOSE({1,2},'[4]Prestações de Conta inadimplent'!$D$9:$D$2000,'[4]Prestações de Conta inadimplent'!$C$9:$C$2000),2,0)</f>
        <v>#N/A</v>
      </c>
      <c r="L859" s="85"/>
      <c r="M859" s="85" t="e">
        <v>#REF!</v>
      </c>
      <c r="T859" s="86"/>
      <c r="U859" s="85"/>
      <c r="V859" s="87"/>
      <c r="W859" s="85"/>
      <c r="X859" s="88"/>
      <c r="Y859" s="89"/>
      <c r="Z859" s="89"/>
      <c r="AA859" s="88"/>
      <c r="AB859" s="88"/>
      <c r="AF859" s="90"/>
      <c r="AK859" s="91"/>
      <c r="AM859" s="92"/>
      <c r="AN859" s="92"/>
      <c r="AO859" s="92"/>
      <c r="AP859" s="92"/>
      <c r="AQ859" s="92"/>
      <c r="AR859" s="92"/>
    </row>
    <row r="860" spans="1:44" s="84" customFormat="1" ht="24" customHeight="1" x14ac:dyDescent="0.3">
      <c r="A860" s="78" t="s">
        <v>4709</v>
      </c>
      <c r="B860" s="79" t="s">
        <v>1092</v>
      </c>
      <c r="C860" s="112">
        <v>1176202</v>
      </c>
      <c r="D860" s="112">
        <v>1100540</v>
      </c>
      <c r="E860" s="112">
        <v>29357624</v>
      </c>
      <c r="F860" s="81" t="s">
        <v>4853</v>
      </c>
      <c r="G860" s="82" t="s">
        <v>4762</v>
      </c>
      <c r="H860" s="82" t="s">
        <v>4854</v>
      </c>
      <c r="I860" s="82" t="s">
        <v>3103</v>
      </c>
      <c r="J860" s="83" t="e">
        <f>VLOOKUP($C860,CHOOSE({1,2},'[4]Prestações de Conta inadimplent'!$D$9:$D$2000,'[4]Prestações de Conta inadimplent'!$C$9:$C$2000),2,0)</f>
        <v>#N/A</v>
      </c>
      <c r="L860" s="85"/>
      <c r="M860" s="85" t="e">
        <v>#REF!</v>
      </c>
      <c r="T860" s="86"/>
      <c r="U860" s="85"/>
      <c r="V860" s="87"/>
      <c r="W860" s="85"/>
      <c r="X860" s="85"/>
      <c r="Y860" s="89"/>
      <c r="Z860" s="89"/>
      <c r="AA860" s="88"/>
      <c r="AB860" s="88"/>
      <c r="AF860" s="90"/>
      <c r="AK860" s="91"/>
      <c r="AM860" s="92"/>
      <c r="AN860" s="92"/>
      <c r="AO860" s="92"/>
      <c r="AP860" s="92"/>
      <c r="AQ860" s="92"/>
      <c r="AR860" s="92"/>
    </row>
    <row r="861" spans="1:44" s="84" customFormat="1" ht="24" customHeight="1" x14ac:dyDescent="0.3">
      <c r="A861" s="78" t="s">
        <v>4709</v>
      </c>
      <c r="B861" s="79" t="s">
        <v>1092</v>
      </c>
      <c r="C861" s="112">
        <v>1103662</v>
      </c>
      <c r="D861" s="112">
        <v>1100409</v>
      </c>
      <c r="E861" s="112">
        <v>29182239</v>
      </c>
      <c r="F861" s="81" t="s">
        <v>3710</v>
      </c>
      <c r="G861" s="82" t="s">
        <v>4762</v>
      </c>
      <c r="H861" s="82" t="s">
        <v>4855</v>
      </c>
      <c r="I861" s="82" t="s">
        <v>3122</v>
      </c>
      <c r="J861" s="83" t="str">
        <f>VLOOKUP($C861,CHOOSE({1,2},'[4]Prestações de Conta inadimplent'!$D$9:$D$2000,'[4]Prestações de Conta inadimplent'!$C$9:$C$2000),2,0)</f>
        <v>Colegio Estadual Pedro Calmon</v>
      </c>
      <c r="L861" s="85"/>
      <c r="M861" s="85" t="e">
        <v>#REF!</v>
      </c>
      <c r="T861" s="86"/>
      <c r="U861" s="85"/>
      <c r="V861" s="87"/>
      <c r="W861" s="85"/>
      <c r="X861" s="88"/>
      <c r="Y861" s="89"/>
      <c r="Z861" s="89"/>
      <c r="AA861" s="88"/>
      <c r="AB861" s="88"/>
      <c r="AF861" s="90"/>
      <c r="AK861" s="91"/>
      <c r="AM861" s="92"/>
      <c r="AN861" s="92"/>
      <c r="AO861" s="92"/>
      <c r="AP861" s="92"/>
      <c r="AQ861" s="92"/>
      <c r="AR861" s="92"/>
    </row>
    <row r="862" spans="1:44" s="84" customFormat="1" ht="24" customHeight="1" x14ac:dyDescent="0.3">
      <c r="A862" s="78" t="s">
        <v>4709</v>
      </c>
      <c r="B862" s="79" t="s">
        <v>1092</v>
      </c>
      <c r="C862" s="112">
        <v>1100388</v>
      </c>
      <c r="D862" s="112">
        <v>1100244</v>
      </c>
      <c r="E862" s="112">
        <v>29189454</v>
      </c>
      <c r="F862" s="81" t="s">
        <v>1282</v>
      </c>
      <c r="G862" s="82" t="s">
        <v>4762</v>
      </c>
      <c r="H862" s="82" t="s">
        <v>4856</v>
      </c>
      <c r="I862" s="82" t="s">
        <v>3122</v>
      </c>
      <c r="J862" s="83" t="str">
        <f>VLOOKUP($C862,CHOOSE({1,2},'[4]Prestações de Conta inadimplent'!$D$9:$D$2000,'[4]Prestações de Conta inadimplent'!$C$9:$C$2000),2,0)</f>
        <v>Colegio Estadual Assis Chateaubriand</v>
      </c>
      <c r="L862" s="85"/>
      <c r="M862" s="85" t="e">
        <v>#REF!</v>
      </c>
      <c r="T862" s="86"/>
      <c r="U862" s="85"/>
      <c r="V862" s="87"/>
      <c r="W862" s="85"/>
      <c r="X862" s="88"/>
      <c r="Y862" s="89"/>
      <c r="Z862" s="89"/>
      <c r="AA862" s="88"/>
      <c r="AB862" s="88"/>
      <c r="AF862" s="90"/>
      <c r="AK862" s="91"/>
      <c r="AM862" s="92"/>
      <c r="AN862" s="92"/>
      <c r="AO862" s="92"/>
      <c r="AP862" s="92"/>
      <c r="AQ862" s="92"/>
      <c r="AR862" s="92"/>
    </row>
    <row r="863" spans="1:44" s="84" customFormat="1" ht="24" customHeight="1" x14ac:dyDescent="0.3">
      <c r="A863" s="78" t="s">
        <v>4709</v>
      </c>
      <c r="B863" s="79" t="s">
        <v>1092</v>
      </c>
      <c r="C863" s="112">
        <v>1100701</v>
      </c>
      <c r="D863" s="112">
        <v>1100586</v>
      </c>
      <c r="E863" s="112">
        <v>29192170</v>
      </c>
      <c r="F863" s="81" t="s">
        <v>4857</v>
      </c>
      <c r="G863" s="82" t="s">
        <v>4762</v>
      </c>
      <c r="H863" s="82" t="s">
        <v>4692</v>
      </c>
      <c r="I863" s="82" t="s">
        <v>3122</v>
      </c>
      <c r="J863" s="83" t="str">
        <f>VLOOKUP($C863,CHOOSE({1,2},'[4]Prestações de Conta inadimplent'!$D$9:$D$2000,'[4]Prestações de Conta inadimplent'!$C$9:$C$2000),2,0)</f>
        <v>Colegio Estadual Norma Ribeiro</v>
      </c>
      <c r="L863" s="85"/>
      <c r="M863" s="85" t="e">
        <v>#REF!</v>
      </c>
      <c r="T863" s="86"/>
      <c r="U863" s="85"/>
      <c r="V863" s="87"/>
      <c r="W863" s="85"/>
      <c r="X863" s="88"/>
      <c r="Y863" s="89"/>
      <c r="Z863" s="89"/>
      <c r="AA863" s="88"/>
      <c r="AB863" s="88"/>
      <c r="AF863" s="90"/>
      <c r="AK863" s="91"/>
      <c r="AM863" s="92"/>
      <c r="AN863" s="92"/>
      <c r="AO863" s="92"/>
      <c r="AP863" s="92"/>
      <c r="AQ863" s="92"/>
      <c r="AR863" s="92"/>
    </row>
    <row r="864" spans="1:44" s="84" customFormat="1" ht="24" customHeight="1" x14ac:dyDescent="0.3">
      <c r="A864" s="78" t="s">
        <v>4709</v>
      </c>
      <c r="B864" s="79" t="s">
        <v>1092</v>
      </c>
      <c r="C864" s="112">
        <v>1103336</v>
      </c>
      <c r="D864" s="112">
        <v>1100401</v>
      </c>
      <c r="E864" s="112">
        <v>29182271</v>
      </c>
      <c r="F864" s="81" t="s">
        <v>1171</v>
      </c>
      <c r="G864" s="82" t="s">
        <v>4762</v>
      </c>
      <c r="H864" s="82" t="s">
        <v>4858</v>
      </c>
      <c r="I864" s="82" t="s">
        <v>3103</v>
      </c>
      <c r="J864" s="83" t="e">
        <f>VLOOKUP($C864,CHOOSE({1,2},'[4]Prestações de Conta inadimplent'!$D$9:$D$2000,'[4]Prestações de Conta inadimplent'!$C$9:$C$2000),2,0)</f>
        <v>#N/A</v>
      </c>
      <c r="L864" s="85"/>
      <c r="M864" s="85" t="e">
        <v>#REF!</v>
      </c>
      <c r="T864" s="86"/>
      <c r="U864" s="85"/>
      <c r="V864" s="87"/>
      <c r="W864" s="85"/>
      <c r="X864" s="88"/>
      <c r="Y864" s="89"/>
      <c r="Z864" s="89"/>
      <c r="AA864" s="88"/>
      <c r="AB864" s="88"/>
      <c r="AF864" s="90"/>
      <c r="AK864" s="91"/>
      <c r="AM864" s="92"/>
      <c r="AN864" s="92"/>
      <c r="AO864" s="92"/>
      <c r="AP864" s="92"/>
      <c r="AQ864" s="92"/>
      <c r="AR864" s="92"/>
    </row>
    <row r="865" spans="1:44" s="84" customFormat="1" ht="24" customHeight="1" x14ac:dyDescent="0.3">
      <c r="A865" s="78" t="s">
        <v>4709</v>
      </c>
      <c r="B865" s="79" t="s">
        <v>1092</v>
      </c>
      <c r="C865" s="112">
        <v>1102992</v>
      </c>
      <c r="D865" s="112">
        <v>1100550</v>
      </c>
      <c r="E865" s="112">
        <v>29182158</v>
      </c>
      <c r="F865" s="81" t="s">
        <v>4859</v>
      </c>
      <c r="G865" s="82" t="s">
        <v>4762</v>
      </c>
      <c r="H865" s="82" t="s">
        <v>4860</v>
      </c>
      <c r="I865" s="82" t="s">
        <v>3122</v>
      </c>
      <c r="J865" s="83" t="str">
        <f>VLOOKUP($C865,CHOOSE({1,2},'[4]Prestações de Conta inadimplent'!$D$9:$D$2000,'[4]Prestações de Conta inadimplent'!$C$9:$C$2000),2,0)</f>
        <v>Colegio Estadual Evaristo Da Veiga</v>
      </c>
      <c r="L865" s="85"/>
      <c r="M865" s="85" t="e">
        <v>#REF!</v>
      </c>
      <c r="T865" s="86"/>
      <c r="U865" s="85"/>
      <c r="V865" s="87"/>
      <c r="W865" s="85"/>
      <c r="X865" s="88"/>
      <c r="Y865" s="89"/>
      <c r="Z865" s="89"/>
      <c r="AA865" s="88"/>
      <c r="AB865" s="88"/>
      <c r="AF865" s="90"/>
      <c r="AK865" s="91"/>
      <c r="AM865" s="92"/>
      <c r="AN865" s="92"/>
      <c r="AO865" s="92"/>
      <c r="AP865" s="92"/>
      <c r="AQ865" s="92"/>
      <c r="AR865" s="92"/>
    </row>
    <row r="866" spans="1:44" s="84" customFormat="1" ht="24" customHeight="1" x14ac:dyDescent="0.3">
      <c r="A866" s="78" t="s">
        <v>4709</v>
      </c>
      <c r="B866" s="79" t="s">
        <v>1092</v>
      </c>
      <c r="C866" s="112">
        <v>1103514</v>
      </c>
      <c r="D866" s="112">
        <v>9999999</v>
      </c>
      <c r="E866" s="112">
        <v>29181542</v>
      </c>
      <c r="F866" s="81" t="s">
        <v>4861</v>
      </c>
      <c r="G866" s="82" t="s">
        <v>4762</v>
      </c>
      <c r="H866" s="82" t="s">
        <v>4862</v>
      </c>
      <c r="I866" s="82" t="s">
        <v>3103</v>
      </c>
      <c r="J866" s="83" t="e">
        <f>VLOOKUP($C866,CHOOSE({1,2},'[4]Prestações de Conta inadimplent'!$D$9:$D$2000,'[4]Prestações de Conta inadimplent'!$C$9:$C$2000),2,0)</f>
        <v>#N/A</v>
      </c>
      <c r="L866" s="85"/>
      <c r="M866" s="85" t="e">
        <v>#REF!</v>
      </c>
      <c r="T866" s="86"/>
      <c r="U866" s="85"/>
      <c r="V866" s="87"/>
      <c r="W866" s="85"/>
      <c r="X866" s="88"/>
      <c r="Y866" s="89"/>
      <c r="Z866" s="89"/>
      <c r="AA866" s="88"/>
      <c r="AB866" s="88"/>
      <c r="AF866" s="90"/>
      <c r="AK866" s="91"/>
      <c r="AM866" s="92"/>
      <c r="AN866" s="92"/>
      <c r="AO866" s="92"/>
      <c r="AP866" s="92"/>
      <c r="AQ866" s="92"/>
      <c r="AR866" s="92"/>
    </row>
    <row r="867" spans="1:44" s="84" customFormat="1" ht="24" customHeight="1" x14ac:dyDescent="0.3">
      <c r="A867" s="78" t="s">
        <v>4709</v>
      </c>
      <c r="B867" s="79" t="s">
        <v>1092</v>
      </c>
      <c r="C867" s="112">
        <v>1179208</v>
      </c>
      <c r="D867" s="112">
        <v>9999999</v>
      </c>
      <c r="E867" s="112">
        <v>29460026</v>
      </c>
      <c r="F867" s="81" t="s">
        <v>4863</v>
      </c>
      <c r="G867" s="82" t="s">
        <v>4762</v>
      </c>
      <c r="H867" s="82" t="s">
        <v>4864</v>
      </c>
      <c r="I867" s="82" t="s">
        <v>3122</v>
      </c>
      <c r="J867" s="83" t="str">
        <f>VLOOKUP($C867,CHOOSE({1,2},'[4]Prestações de Conta inadimplent'!$D$9:$D$2000,'[4]Prestações de Conta inadimplent'!$C$9:$C$2000),2,0)</f>
        <v>Centro Juvenil De Ciencia E Cultura-cjcc Central</v>
      </c>
      <c r="L867" s="85"/>
      <c r="M867" s="85" t="e">
        <v>#REF!</v>
      </c>
      <c r="T867" s="86"/>
      <c r="U867" s="85"/>
      <c r="V867" s="85"/>
      <c r="W867" s="85"/>
      <c r="X867" s="85"/>
      <c r="Y867" s="89"/>
      <c r="Z867" s="89"/>
      <c r="AA867" s="88"/>
      <c r="AB867" s="88"/>
      <c r="AF867" s="90"/>
      <c r="AK867" s="91"/>
      <c r="AM867" s="92"/>
      <c r="AN867" s="92"/>
      <c r="AO867" s="92"/>
      <c r="AP867" s="92"/>
      <c r="AQ867" s="92"/>
      <c r="AR867" s="92"/>
    </row>
    <row r="868" spans="1:44" s="84" customFormat="1" ht="24" customHeight="1" x14ac:dyDescent="0.3">
      <c r="A868" s="78" t="s">
        <v>4709</v>
      </c>
      <c r="B868" s="79" t="s">
        <v>1092</v>
      </c>
      <c r="C868" s="112">
        <v>1102364</v>
      </c>
      <c r="D868" s="112">
        <v>1100324</v>
      </c>
      <c r="E868" s="112">
        <v>29188768</v>
      </c>
      <c r="F868" s="81" t="s">
        <v>1258</v>
      </c>
      <c r="G868" s="82" t="s">
        <v>4762</v>
      </c>
      <c r="H868" s="82" t="s">
        <v>4865</v>
      </c>
      <c r="I868" s="82" t="s">
        <v>3103</v>
      </c>
      <c r="J868" s="83" t="e">
        <f>VLOOKUP($C868,CHOOSE({1,2},'[4]Prestações de Conta inadimplent'!$D$9:$D$2000,'[4]Prestações de Conta inadimplent'!$C$9:$C$2000),2,0)</f>
        <v>#N/A</v>
      </c>
      <c r="K868" s="85"/>
      <c r="L868" s="85"/>
      <c r="M868" s="85" t="e">
        <v>#REF!</v>
      </c>
      <c r="T868" s="86"/>
      <c r="U868" s="85"/>
      <c r="V868" s="87"/>
      <c r="W868" s="85"/>
      <c r="X868" s="85"/>
      <c r="Y868" s="89"/>
      <c r="Z868" s="89"/>
      <c r="AA868" s="88"/>
      <c r="AB868" s="88"/>
      <c r="AF868" s="90"/>
      <c r="AK868" s="91"/>
      <c r="AM868" s="92"/>
      <c r="AN868" s="92"/>
      <c r="AO868" s="92"/>
      <c r="AP868" s="92"/>
      <c r="AQ868" s="92"/>
      <c r="AR868" s="92"/>
    </row>
    <row r="869" spans="1:44" s="84" customFormat="1" ht="24" customHeight="1" x14ac:dyDescent="0.3">
      <c r="A869" s="78" t="s">
        <v>4709</v>
      </c>
      <c r="B869" s="79" t="s">
        <v>1092</v>
      </c>
      <c r="C869" s="112">
        <v>1103859</v>
      </c>
      <c r="D869" s="112">
        <v>1100417</v>
      </c>
      <c r="E869" s="112">
        <v>29182565</v>
      </c>
      <c r="F869" s="81" t="s">
        <v>4334</v>
      </c>
      <c r="G869" s="82" t="s">
        <v>4762</v>
      </c>
      <c r="H869" s="82" t="s">
        <v>4866</v>
      </c>
      <c r="I869" s="82" t="s">
        <v>3103</v>
      </c>
      <c r="J869" s="83" t="e">
        <f>VLOOKUP($C869,CHOOSE({1,2},'[4]Prestações de Conta inadimplent'!$D$9:$D$2000,'[4]Prestações de Conta inadimplent'!$C$9:$C$2000),2,0)</f>
        <v>#N/A</v>
      </c>
      <c r="L869" s="85"/>
      <c r="M869" s="85" t="e">
        <v>#REF!</v>
      </c>
      <c r="T869" s="86"/>
      <c r="U869" s="85"/>
      <c r="V869" s="87"/>
      <c r="W869" s="85"/>
      <c r="X869" s="88"/>
      <c r="Y869" s="89"/>
      <c r="Z869" s="89"/>
      <c r="AA869" s="88"/>
      <c r="AB869" s="88"/>
      <c r="AF869" s="90"/>
      <c r="AK869" s="91"/>
      <c r="AM869" s="92"/>
      <c r="AN869" s="92"/>
      <c r="AO869" s="92"/>
      <c r="AP869" s="92"/>
      <c r="AQ869" s="92"/>
      <c r="AR869" s="92"/>
    </row>
    <row r="870" spans="1:44" s="84" customFormat="1" ht="24" customHeight="1" x14ac:dyDescent="0.3">
      <c r="A870" s="78" t="s">
        <v>4709</v>
      </c>
      <c r="B870" s="79" t="s">
        <v>1092</v>
      </c>
      <c r="C870" s="112">
        <v>1100736</v>
      </c>
      <c r="D870" s="112">
        <v>1100587</v>
      </c>
      <c r="E870" s="112">
        <v>29181151</v>
      </c>
      <c r="F870" s="81" t="s">
        <v>4867</v>
      </c>
      <c r="G870" s="82" t="s">
        <v>4762</v>
      </c>
      <c r="H870" s="82" t="s">
        <v>4868</v>
      </c>
      <c r="I870" s="82" t="s">
        <v>3103</v>
      </c>
      <c r="J870" s="83" t="e">
        <f>VLOOKUP($C870,CHOOSE({1,2},'[4]Prestações de Conta inadimplent'!$D$9:$D$2000,'[4]Prestações de Conta inadimplent'!$C$9:$C$2000),2,0)</f>
        <v>#N/A</v>
      </c>
      <c r="L870" s="85"/>
      <c r="M870" s="85" t="e">
        <v>#REF!</v>
      </c>
      <c r="T870" s="86"/>
      <c r="U870" s="85"/>
      <c r="V870" s="87"/>
      <c r="W870" s="85"/>
      <c r="X870" s="88"/>
      <c r="Y870" s="89"/>
      <c r="Z870" s="89"/>
      <c r="AA870" s="88"/>
      <c r="AB870" s="88"/>
      <c r="AF870" s="90"/>
      <c r="AK870" s="91"/>
      <c r="AM870" s="92"/>
      <c r="AN870" s="92"/>
      <c r="AO870" s="92"/>
      <c r="AP870" s="92"/>
      <c r="AQ870" s="92"/>
      <c r="AR870" s="92"/>
    </row>
    <row r="871" spans="1:44" s="84" customFormat="1" ht="24" customHeight="1" x14ac:dyDescent="0.3">
      <c r="A871" s="78" t="s">
        <v>4709</v>
      </c>
      <c r="B871" s="79" t="s">
        <v>1092</v>
      </c>
      <c r="C871" s="112">
        <v>1176390</v>
      </c>
      <c r="D871" s="112">
        <v>1100260</v>
      </c>
      <c r="E871" s="112">
        <v>29358140</v>
      </c>
      <c r="F871" s="81" t="s">
        <v>4869</v>
      </c>
      <c r="G871" s="82" t="s">
        <v>4762</v>
      </c>
      <c r="H871" s="82" t="s">
        <v>4870</v>
      </c>
      <c r="I871" s="82" t="s">
        <v>3103</v>
      </c>
      <c r="J871" s="83" t="e">
        <f>VLOOKUP($C871,CHOOSE({1,2},'[4]Prestações de Conta inadimplent'!$D$9:$D$2000,'[4]Prestações de Conta inadimplent'!$C$9:$C$2000),2,0)</f>
        <v>#N/A</v>
      </c>
      <c r="L871" s="85"/>
      <c r="M871" s="85" t="e">
        <v>#REF!</v>
      </c>
      <c r="T871" s="86"/>
      <c r="U871" s="85"/>
      <c r="V871" s="87"/>
      <c r="W871" s="85"/>
      <c r="X871" s="85"/>
      <c r="Y871" s="89"/>
      <c r="Z871" s="89"/>
      <c r="AA871" s="88"/>
      <c r="AB871" s="88"/>
      <c r="AF871" s="90"/>
      <c r="AK871" s="91"/>
      <c r="AM871" s="92"/>
      <c r="AN871" s="92"/>
      <c r="AO871" s="92"/>
      <c r="AP871" s="92"/>
      <c r="AQ871" s="92"/>
      <c r="AR871" s="92"/>
    </row>
    <row r="872" spans="1:44" s="84" customFormat="1" ht="24" customHeight="1" x14ac:dyDescent="0.3">
      <c r="A872" s="78" t="s">
        <v>4709</v>
      </c>
      <c r="B872" s="79" t="s">
        <v>1092</v>
      </c>
      <c r="C872" s="112">
        <v>1100523</v>
      </c>
      <c r="D872" s="112">
        <v>1100251</v>
      </c>
      <c r="E872" s="112">
        <v>29190738</v>
      </c>
      <c r="F872" s="81" t="s">
        <v>1294</v>
      </c>
      <c r="G872" s="82" t="s">
        <v>4762</v>
      </c>
      <c r="H872" s="82" t="s">
        <v>4871</v>
      </c>
      <c r="I872" s="82" t="s">
        <v>3103</v>
      </c>
      <c r="J872" s="83" t="e">
        <f>VLOOKUP($C872,CHOOSE({1,2},'[4]Prestações de Conta inadimplent'!$D$9:$D$2000,'[4]Prestações de Conta inadimplent'!$C$9:$C$2000),2,0)</f>
        <v>#N/A</v>
      </c>
      <c r="L872" s="85"/>
      <c r="M872" s="85" t="e">
        <v>#REF!</v>
      </c>
      <c r="T872" s="86"/>
      <c r="U872" s="85"/>
      <c r="V872" s="87"/>
      <c r="W872" s="85"/>
      <c r="X872" s="88"/>
      <c r="Y872" s="89"/>
      <c r="Z872" s="89"/>
      <c r="AA872" s="88"/>
      <c r="AB872" s="88"/>
      <c r="AF872" s="90"/>
      <c r="AK872" s="91"/>
      <c r="AM872" s="92"/>
      <c r="AN872" s="92"/>
      <c r="AO872" s="92"/>
      <c r="AP872" s="92"/>
      <c r="AQ872" s="92"/>
      <c r="AR872" s="92"/>
    </row>
    <row r="873" spans="1:44" s="84" customFormat="1" ht="24" customHeight="1" x14ac:dyDescent="0.3">
      <c r="A873" s="78" t="s">
        <v>4709</v>
      </c>
      <c r="B873" s="79" t="s">
        <v>1092</v>
      </c>
      <c r="C873" s="112">
        <v>1104111</v>
      </c>
      <c r="D873" s="112">
        <v>1100458</v>
      </c>
      <c r="E873" s="112">
        <v>29194750</v>
      </c>
      <c r="F873" s="81" t="s">
        <v>1428</v>
      </c>
      <c r="G873" s="82" t="s">
        <v>4762</v>
      </c>
      <c r="H873" s="82" t="s">
        <v>4872</v>
      </c>
      <c r="I873" s="82" t="s">
        <v>3103</v>
      </c>
      <c r="J873" s="83" t="e">
        <f>VLOOKUP($C873,CHOOSE({1,2},'[4]Prestações de Conta inadimplent'!$D$9:$D$2000,'[4]Prestações de Conta inadimplent'!$C$9:$C$2000),2,0)</f>
        <v>#N/A</v>
      </c>
      <c r="L873" s="85"/>
      <c r="M873" s="85" t="e">
        <v>#REF!</v>
      </c>
      <c r="T873" s="86"/>
      <c r="U873" s="85"/>
      <c r="V873" s="87"/>
      <c r="W873" s="85"/>
      <c r="X873" s="88"/>
      <c r="Y873" s="89"/>
      <c r="Z873" s="89"/>
      <c r="AA873" s="88"/>
      <c r="AB873" s="88"/>
      <c r="AF873" s="90"/>
      <c r="AK873" s="91"/>
      <c r="AM873" s="92"/>
      <c r="AN873" s="92"/>
      <c r="AO873" s="92"/>
      <c r="AP873" s="92"/>
      <c r="AQ873" s="92"/>
      <c r="AR873" s="92"/>
    </row>
    <row r="874" spans="1:44" s="84" customFormat="1" ht="24" customHeight="1" x14ac:dyDescent="0.3">
      <c r="A874" s="78" t="s">
        <v>4709</v>
      </c>
      <c r="B874" s="79" t="s">
        <v>1092</v>
      </c>
      <c r="C874" s="112">
        <v>1103417</v>
      </c>
      <c r="D874" s="112">
        <v>1100375</v>
      </c>
      <c r="E874" s="112">
        <v>29187583</v>
      </c>
      <c r="F874" s="81" t="s">
        <v>1240</v>
      </c>
      <c r="G874" s="82" t="s">
        <v>4762</v>
      </c>
      <c r="H874" s="82" t="s">
        <v>4873</v>
      </c>
      <c r="I874" s="82" t="s">
        <v>3103</v>
      </c>
      <c r="J874" s="83" t="e">
        <f>VLOOKUP($C874,CHOOSE({1,2},'[4]Prestações de Conta inadimplent'!$D$9:$D$2000,'[4]Prestações de Conta inadimplent'!$C$9:$C$2000),2,0)</f>
        <v>#N/A</v>
      </c>
      <c r="L874" s="85"/>
      <c r="M874" s="85" t="e">
        <v>#REF!</v>
      </c>
      <c r="T874" s="86"/>
      <c r="U874" s="85"/>
      <c r="V874" s="87"/>
      <c r="W874" s="85"/>
      <c r="X874" s="88"/>
      <c r="Y874" s="89"/>
      <c r="Z874" s="89"/>
      <c r="AA874" s="88"/>
      <c r="AB874" s="88"/>
      <c r="AF874" s="90"/>
      <c r="AK874" s="91"/>
      <c r="AM874" s="92"/>
      <c r="AN874" s="92"/>
      <c r="AO874" s="92"/>
      <c r="AP874" s="92"/>
      <c r="AQ874" s="92"/>
      <c r="AR874" s="92"/>
    </row>
    <row r="875" spans="1:44" s="84" customFormat="1" ht="24" customHeight="1" x14ac:dyDescent="0.3">
      <c r="A875" s="78" t="s">
        <v>4709</v>
      </c>
      <c r="B875" s="79" t="s">
        <v>1092</v>
      </c>
      <c r="C875" s="112">
        <v>1100167</v>
      </c>
      <c r="D875" s="112">
        <v>1100225</v>
      </c>
      <c r="E875" s="112">
        <v>29188903</v>
      </c>
      <c r="F875" s="81" t="s">
        <v>4874</v>
      </c>
      <c r="G875" s="82" t="s">
        <v>4762</v>
      </c>
      <c r="H875" s="82" t="s">
        <v>4875</v>
      </c>
      <c r="I875" s="82" t="s">
        <v>3122</v>
      </c>
      <c r="J875" s="83" t="str">
        <f>VLOOKUP($C875,CHOOSE({1,2},'[4]Prestações de Conta inadimplent'!$D$9:$D$2000,'[4]Prestações de Conta inadimplent'!$C$9:$C$2000),2,0)</f>
        <v>Colegio Estadual Abilio Cesar Borges</v>
      </c>
      <c r="K875" s="95"/>
      <c r="L875" s="85"/>
      <c r="M875" s="85" t="e">
        <v>#REF!</v>
      </c>
      <c r="T875" s="86"/>
      <c r="U875" s="85"/>
      <c r="V875" s="87"/>
      <c r="W875" s="85"/>
      <c r="X875" s="85"/>
      <c r="Y875" s="89"/>
      <c r="Z875" s="89"/>
      <c r="AA875" s="88"/>
      <c r="AB875" s="88"/>
      <c r="AF875" s="90"/>
      <c r="AK875" s="91"/>
      <c r="AM875" s="92"/>
      <c r="AN875" s="92"/>
      <c r="AO875" s="92"/>
      <c r="AP875" s="92"/>
      <c r="AQ875" s="92"/>
      <c r="AR875" s="92"/>
    </row>
    <row r="876" spans="1:44" s="84" customFormat="1" ht="24" customHeight="1" x14ac:dyDescent="0.3">
      <c r="A876" s="78" t="s">
        <v>4709</v>
      </c>
      <c r="B876" s="79" t="s">
        <v>1092</v>
      </c>
      <c r="C876" s="112">
        <v>1102852</v>
      </c>
      <c r="D876" s="112">
        <v>1100541</v>
      </c>
      <c r="E876" s="112">
        <v>29182204</v>
      </c>
      <c r="F876" s="81" t="s">
        <v>4876</v>
      </c>
      <c r="G876" s="82" t="s">
        <v>4762</v>
      </c>
      <c r="H876" s="82" t="s">
        <v>4877</v>
      </c>
      <c r="I876" s="82" t="s">
        <v>3103</v>
      </c>
      <c r="J876" s="83" t="e">
        <f>VLOOKUP($C876,CHOOSE({1,2},'[4]Prestações de Conta inadimplent'!$D$9:$D$2000,'[4]Prestações de Conta inadimplent'!$C$9:$C$2000),2,0)</f>
        <v>#N/A</v>
      </c>
      <c r="L876" s="85"/>
      <c r="M876" s="85" t="e">
        <v>#REF!</v>
      </c>
      <c r="T876" s="86"/>
      <c r="U876" s="85"/>
      <c r="V876" s="87"/>
      <c r="W876" s="85"/>
      <c r="X876" s="88"/>
      <c r="Y876" s="89"/>
      <c r="Z876" s="89"/>
      <c r="AA876" s="88"/>
      <c r="AB876" s="88"/>
      <c r="AF876" s="90"/>
      <c r="AK876" s="91"/>
      <c r="AM876" s="92"/>
      <c r="AN876" s="92"/>
      <c r="AO876" s="92"/>
      <c r="AP876" s="92"/>
      <c r="AQ876" s="92"/>
      <c r="AR876" s="92"/>
    </row>
    <row r="877" spans="1:44" s="84" customFormat="1" ht="24" customHeight="1" x14ac:dyDescent="0.3">
      <c r="A877" s="78" t="s">
        <v>4709</v>
      </c>
      <c r="B877" s="79" t="s">
        <v>1092</v>
      </c>
      <c r="C877" s="112">
        <v>1100949</v>
      </c>
      <c r="D877" s="112">
        <v>1100269</v>
      </c>
      <c r="E877" s="112">
        <v>29192889</v>
      </c>
      <c r="F877" s="81" t="s">
        <v>1410</v>
      </c>
      <c r="G877" s="82" t="s">
        <v>4762</v>
      </c>
      <c r="H877" s="82" t="s">
        <v>4878</v>
      </c>
      <c r="I877" s="82" t="s">
        <v>3122</v>
      </c>
      <c r="J877" s="83" t="str">
        <f>VLOOKUP($C877,CHOOSE({1,2},'[4]Prestações de Conta inadimplent'!$D$9:$D$2000,'[4]Prestações de Conta inadimplent'!$C$9:$C$2000),2,0)</f>
        <v>Colegio Estadual Dois De Julho</v>
      </c>
      <c r="L877" s="85"/>
      <c r="M877" s="85" t="e">
        <v>#REF!</v>
      </c>
      <c r="T877" s="86"/>
      <c r="U877" s="85"/>
      <c r="V877" s="87"/>
      <c r="W877" s="85"/>
      <c r="X877" s="88"/>
      <c r="Y877" s="89"/>
      <c r="Z877" s="89"/>
      <c r="AA877" s="88"/>
      <c r="AB877" s="88"/>
      <c r="AF877" s="90"/>
      <c r="AK877" s="91"/>
      <c r="AM877" s="92"/>
      <c r="AN877" s="92"/>
      <c r="AO877" s="92"/>
      <c r="AP877" s="92"/>
      <c r="AQ877" s="92"/>
      <c r="AR877" s="92"/>
    </row>
    <row r="878" spans="1:44" s="84" customFormat="1" ht="24" customHeight="1" x14ac:dyDescent="0.3">
      <c r="A878" s="78" t="s">
        <v>4709</v>
      </c>
      <c r="B878" s="79" t="s">
        <v>1092</v>
      </c>
      <c r="C878" s="112">
        <v>1101988</v>
      </c>
      <c r="D878" s="112">
        <v>1100497</v>
      </c>
      <c r="E878" s="112">
        <v>29190991</v>
      </c>
      <c r="F878" s="81" t="s">
        <v>1324</v>
      </c>
      <c r="G878" s="82" t="s">
        <v>4762</v>
      </c>
      <c r="H878" s="82" t="s">
        <v>4879</v>
      </c>
      <c r="I878" s="82" t="s">
        <v>3103</v>
      </c>
      <c r="J878" s="83" t="e">
        <f>VLOOKUP($C878,CHOOSE({1,2},'[4]Prestações de Conta inadimplent'!$D$9:$D$2000,'[4]Prestações de Conta inadimplent'!$C$9:$C$2000),2,0)</f>
        <v>#N/A</v>
      </c>
      <c r="L878" s="85"/>
      <c r="M878" s="85" t="e">
        <v>#REF!</v>
      </c>
      <c r="T878" s="86"/>
      <c r="U878" s="85"/>
      <c r="V878" s="87"/>
      <c r="W878" s="85"/>
      <c r="X878" s="88"/>
      <c r="Y878" s="89"/>
      <c r="Z878" s="89"/>
      <c r="AA878" s="88"/>
      <c r="AB878" s="88"/>
      <c r="AF878" s="90"/>
      <c r="AK878" s="91"/>
      <c r="AM878" s="92"/>
      <c r="AN878" s="92"/>
      <c r="AO878" s="92"/>
      <c r="AP878" s="92"/>
      <c r="AQ878" s="92"/>
      <c r="AR878" s="92"/>
    </row>
    <row r="879" spans="1:44" s="84" customFormat="1" ht="24" customHeight="1" x14ac:dyDescent="0.3">
      <c r="A879" s="78" t="s">
        <v>4709</v>
      </c>
      <c r="B879" s="79" t="s">
        <v>1092</v>
      </c>
      <c r="C879" s="112">
        <v>1102445</v>
      </c>
      <c r="D879" s="112">
        <v>1100513</v>
      </c>
      <c r="E879" s="112">
        <v>29191009</v>
      </c>
      <c r="F879" s="81" t="s">
        <v>4880</v>
      </c>
      <c r="G879" s="82" t="s">
        <v>4762</v>
      </c>
      <c r="H879" s="82" t="s">
        <v>4881</v>
      </c>
      <c r="I879" s="82" t="s">
        <v>3122</v>
      </c>
      <c r="J879" s="83" t="str">
        <f>VLOOKUP($C879,CHOOSE({1,2},'[4]Prestações de Conta inadimplent'!$D$9:$D$2000,'[4]Prestações de Conta inadimplent'!$C$9:$C$2000),2,0)</f>
        <v>Colegio Estadual Kleber Pacheco</v>
      </c>
      <c r="K879" s="95"/>
      <c r="L879" s="85"/>
      <c r="M879" s="85" t="e">
        <v>#REF!</v>
      </c>
      <c r="T879" s="86"/>
      <c r="U879" s="85"/>
      <c r="V879" s="87"/>
      <c r="W879" s="85"/>
      <c r="X879" s="88"/>
      <c r="Y879" s="89"/>
      <c r="Z879" s="89"/>
      <c r="AA879" s="88"/>
      <c r="AB879" s="88"/>
      <c r="AF879" s="90"/>
      <c r="AK879" s="91"/>
      <c r="AM879" s="92"/>
      <c r="AN879" s="92"/>
      <c r="AO879" s="92"/>
      <c r="AP879" s="92"/>
      <c r="AQ879" s="92"/>
      <c r="AR879" s="92"/>
    </row>
    <row r="880" spans="1:44" s="84" customFormat="1" ht="24" customHeight="1" x14ac:dyDescent="0.3">
      <c r="A880" s="78" t="s">
        <v>4709</v>
      </c>
      <c r="B880" s="79" t="s">
        <v>1092</v>
      </c>
      <c r="C880" s="112">
        <v>1101651</v>
      </c>
      <c r="D880" s="112">
        <v>1100293</v>
      </c>
      <c r="E880" s="112">
        <v>29190770</v>
      </c>
      <c r="F880" s="81" t="s">
        <v>1300</v>
      </c>
      <c r="G880" s="82" t="s">
        <v>4762</v>
      </c>
      <c r="H880" s="82" t="s">
        <v>4882</v>
      </c>
      <c r="I880" s="82" t="s">
        <v>3103</v>
      </c>
      <c r="J880" s="83" t="e">
        <f>VLOOKUP($C880,CHOOSE({1,2},'[4]Prestações de Conta inadimplent'!$D$9:$D$2000,'[4]Prestações de Conta inadimplent'!$C$9:$C$2000),2,0)</f>
        <v>#N/A</v>
      </c>
      <c r="L880" s="85"/>
      <c r="M880" s="85" t="e">
        <v>#REF!</v>
      </c>
      <c r="T880" s="86"/>
      <c r="U880" s="85"/>
      <c r="V880" s="87"/>
      <c r="W880" s="85"/>
      <c r="X880" s="88"/>
      <c r="Y880" s="89"/>
      <c r="Z880" s="89"/>
      <c r="AA880" s="88"/>
      <c r="AB880" s="88"/>
      <c r="AF880" s="90"/>
      <c r="AK880" s="91"/>
      <c r="AM880" s="92"/>
      <c r="AN880" s="92"/>
      <c r="AO880" s="92"/>
      <c r="AP880" s="92"/>
      <c r="AQ880" s="92"/>
      <c r="AR880" s="92"/>
    </row>
    <row r="881" spans="1:44" s="84" customFormat="1" ht="24" customHeight="1" x14ac:dyDescent="0.3">
      <c r="A881" s="78" t="s">
        <v>4709</v>
      </c>
      <c r="B881" s="79" t="s">
        <v>1092</v>
      </c>
      <c r="C881" s="112">
        <v>1102666</v>
      </c>
      <c r="D881" s="112">
        <v>1100524</v>
      </c>
      <c r="E881" s="112">
        <v>29181500</v>
      </c>
      <c r="F881" s="81" t="s">
        <v>1120</v>
      </c>
      <c r="G881" s="82" t="s">
        <v>4762</v>
      </c>
      <c r="H881" s="82" t="s">
        <v>4883</v>
      </c>
      <c r="I881" s="82" t="s">
        <v>3103</v>
      </c>
      <c r="J881" s="83" t="e">
        <f>VLOOKUP($C881,CHOOSE({1,2},'[4]Prestações de Conta inadimplent'!$D$9:$D$2000,'[4]Prestações de Conta inadimplent'!$C$9:$C$2000),2,0)</f>
        <v>#N/A</v>
      </c>
      <c r="L881" s="85"/>
      <c r="M881" s="85" t="e">
        <v>#REF!</v>
      </c>
      <c r="T881" s="86"/>
      <c r="U881" s="85"/>
      <c r="V881" s="87"/>
      <c r="W881" s="85"/>
      <c r="X881" s="88"/>
      <c r="Y881" s="89"/>
      <c r="Z881" s="89"/>
      <c r="AA881" s="88"/>
      <c r="AB881" s="88"/>
      <c r="AF881" s="90"/>
      <c r="AK881" s="91"/>
      <c r="AM881" s="92"/>
      <c r="AN881" s="92"/>
      <c r="AO881" s="92"/>
      <c r="AP881" s="92"/>
      <c r="AQ881" s="92"/>
      <c r="AR881" s="92"/>
    </row>
    <row r="882" spans="1:44" s="84" customFormat="1" ht="24" customHeight="1" x14ac:dyDescent="0.3">
      <c r="A882" s="78" t="s">
        <v>4709</v>
      </c>
      <c r="B882" s="79" t="s">
        <v>1092</v>
      </c>
      <c r="C882" s="112">
        <v>1100973</v>
      </c>
      <c r="D882" s="112">
        <v>1100595</v>
      </c>
      <c r="E882" s="112">
        <v>29191092</v>
      </c>
      <c r="F882" s="81" t="s">
        <v>4884</v>
      </c>
      <c r="G882" s="82" t="s">
        <v>4762</v>
      </c>
      <c r="H882" s="82" t="s">
        <v>4885</v>
      </c>
      <c r="I882" s="82" t="s">
        <v>3122</v>
      </c>
      <c r="J882" s="83" t="str">
        <f>VLOOKUP($C882,CHOOSE({1,2},'[4]Prestações de Conta inadimplent'!$D$9:$D$2000,'[4]Prestações de Conta inadimplent'!$C$9:$C$2000),2,0)</f>
        <v>Colegio Estadual De Tempo Integral Zumbi Dos Palmares</v>
      </c>
      <c r="L882" s="85"/>
      <c r="M882" s="85" t="e">
        <v>#REF!</v>
      </c>
      <c r="T882" s="86"/>
      <c r="U882" s="85"/>
      <c r="V882" s="87"/>
      <c r="W882" s="85"/>
      <c r="X882" s="88"/>
      <c r="Y882" s="89"/>
      <c r="Z882" s="89"/>
      <c r="AA882" s="88"/>
      <c r="AB882" s="88"/>
      <c r="AF882" s="90"/>
      <c r="AK882" s="91"/>
      <c r="AM882" s="92"/>
      <c r="AN882" s="92"/>
      <c r="AO882" s="92"/>
      <c r="AP882" s="92"/>
      <c r="AQ882" s="92"/>
      <c r="AR882" s="92"/>
    </row>
    <row r="883" spans="1:44" s="84" customFormat="1" ht="24" customHeight="1" x14ac:dyDescent="0.3">
      <c r="A883" s="78" t="s">
        <v>4709</v>
      </c>
      <c r="B883" s="79" t="s">
        <v>1092</v>
      </c>
      <c r="C883" s="112">
        <v>1102186</v>
      </c>
      <c r="D883" s="112">
        <v>1100641</v>
      </c>
      <c r="E883" s="112">
        <v>29191190</v>
      </c>
      <c r="F883" s="81" t="s">
        <v>4886</v>
      </c>
      <c r="G883" s="82" t="s">
        <v>4762</v>
      </c>
      <c r="H883" s="82" t="s">
        <v>4887</v>
      </c>
      <c r="I883" s="82" t="s">
        <v>3122</v>
      </c>
      <c r="J883" s="83" t="str">
        <f>VLOOKUP($C883,CHOOSE({1,2},'[4]Prestações de Conta inadimplent'!$D$9:$D$2000,'[4]Prestações de Conta inadimplent'!$C$9:$C$2000),2,0)</f>
        <v>Centro Est Prof Em Saude E Tecn Da Inf Carlos Corr De Menezes Santanna</v>
      </c>
      <c r="L883" s="85"/>
      <c r="M883" s="85" t="e">
        <v>#REF!</v>
      </c>
      <c r="T883" s="86"/>
      <c r="U883" s="85"/>
      <c r="V883" s="87"/>
      <c r="W883" s="85"/>
      <c r="X883" s="88"/>
      <c r="Y883" s="89"/>
      <c r="Z883" s="89"/>
      <c r="AA883" s="88"/>
      <c r="AB883" s="88"/>
      <c r="AF883" s="90"/>
      <c r="AK883" s="91"/>
      <c r="AM883" s="92"/>
      <c r="AN883" s="92"/>
      <c r="AO883" s="92"/>
      <c r="AP883" s="92"/>
      <c r="AQ883" s="92"/>
      <c r="AR883" s="92"/>
    </row>
    <row r="884" spans="1:44" s="84" customFormat="1" ht="24" customHeight="1" x14ac:dyDescent="0.3">
      <c r="A884" s="78" t="s">
        <v>4709</v>
      </c>
      <c r="B884" s="79" t="s">
        <v>1092</v>
      </c>
      <c r="C884" s="112">
        <v>1103239</v>
      </c>
      <c r="D884" s="112">
        <v>1100398</v>
      </c>
      <c r="E884" s="112">
        <v>29191130</v>
      </c>
      <c r="F884" s="81" t="s">
        <v>4888</v>
      </c>
      <c r="G884" s="82" t="s">
        <v>4762</v>
      </c>
      <c r="H884" s="82" t="s">
        <v>4889</v>
      </c>
      <c r="I884" s="82" t="s">
        <v>3122</v>
      </c>
      <c r="J884" s="83" t="str">
        <f>VLOOKUP($C884,CHOOSE({1,2},'[4]Prestações de Conta inadimplent'!$D$9:$D$2000,'[4]Prestações de Conta inadimplent'!$C$9:$C$2000),2,0)</f>
        <v>Colegio Estadual Satiro Dias</v>
      </c>
      <c r="K884" s="95"/>
      <c r="L884" s="85"/>
      <c r="M884" s="85" t="e">
        <v>#REF!</v>
      </c>
      <c r="T884" s="86"/>
      <c r="U884" s="85"/>
      <c r="V884" s="87"/>
      <c r="W884" s="85"/>
      <c r="X884" s="88"/>
      <c r="Y884" s="89"/>
      <c r="Z884" s="89"/>
      <c r="AA884" s="88"/>
      <c r="AB884" s="88"/>
      <c r="AF884" s="90"/>
      <c r="AK884" s="91"/>
      <c r="AM884" s="92"/>
      <c r="AN884" s="92"/>
      <c r="AO884" s="92"/>
      <c r="AP884" s="92"/>
      <c r="AQ884" s="92"/>
      <c r="AR884" s="92"/>
    </row>
    <row r="885" spans="1:44" s="84" customFormat="1" ht="24" customHeight="1" x14ac:dyDescent="0.3">
      <c r="A885" s="78" t="s">
        <v>4709</v>
      </c>
      <c r="B885" s="79" t="s">
        <v>1092</v>
      </c>
      <c r="C885" s="112">
        <v>1101937</v>
      </c>
      <c r="D885" s="112">
        <v>1100311</v>
      </c>
      <c r="E885" s="112">
        <v>29190851</v>
      </c>
      <c r="F885" s="81" t="s">
        <v>4890</v>
      </c>
      <c r="G885" s="82" t="s">
        <v>4762</v>
      </c>
      <c r="H885" s="82" t="s">
        <v>4891</v>
      </c>
      <c r="I885" s="82" t="s">
        <v>3122</v>
      </c>
      <c r="J885" s="83" t="str">
        <f>VLOOKUP($C885,CHOOSE({1,2},'[4]Prestações de Conta inadimplent'!$D$9:$D$2000,'[4]Prestações de Conta inadimplent'!$C$9:$C$2000),2,0)</f>
        <v>Colegio Estadual Cesare Casali</v>
      </c>
      <c r="L885" s="85"/>
      <c r="M885" s="85" t="e">
        <v>#REF!</v>
      </c>
      <c r="T885" s="86"/>
      <c r="U885" s="85"/>
      <c r="V885" s="87"/>
      <c r="W885" s="85"/>
      <c r="X885" s="88"/>
      <c r="Y885" s="89"/>
      <c r="Z885" s="89"/>
      <c r="AA885" s="88"/>
      <c r="AB885" s="88"/>
      <c r="AF885" s="90"/>
      <c r="AK885" s="91"/>
      <c r="AM885" s="92"/>
      <c r="AN885" s="92"/>
      <c r="AO885" s="92"/>
      <c r="AP885" s="92"/>
      <c r="AQ885" s="92"/>
      <c r="AR885" s="92"/>
    </row>
    <row r="886" spans="1:44" s="84" customFormat="1" ht="24" customHeight="1" x14ac:dyDescent="0.3">
      <c r="A886" s="78" t="s">
        <v>4709</v>
      </c>
      <c r="B886" s="79" t="s">
        <v>1092</v>
      </c>
      <c r="C886" s="112">
        <v>1102550</v>
      </c>
      <c r="D886" s="112">
        <v>1100336</v>
      </c>
      <c r="E886" s="112">
        <v>29180104</v>
      </c>
      <c r="F886" s="81" t="s">
        <v>4892</v>
      </c>
      <c r="G886" s="82" t="s">
        <v>4762</v>
      </c>
      <c r="H886" s="82" t="s">
        <v>4893</v>
      </c>
      <c r="I886" s="82" t="s">
        <v>3103</v>
      </c>
      <c r="J886" s="83" t="e">
        <f>VLOOKUP($C886,CHOOSE({1,2},'[4]Prestações de Conta inadimplent'!$D$9:$D$2000,'[4]Prestações de Conta inadimplent'!$C$9:$C$2000),2,0)</f>
        <v>#N/A</v>
      </c>
      <c r="L886" s="85"/>
      <c r="M886" s="85" t="e">
        <v>#REF!</v>
      </c>
      <c r="T886" s="86"/>
      <c r="U886" s="85"/>
      <c r="V886" s="87"/>
      <c r="W886" s="85"/>
      <c r="X886" s="88"/>
      <c r="Y886" s="89"/>
      <c r="Z886" s="89"/>
      <c r="AA886" s="88"/>
      <c r="AB886" s="88"/>
      <c r="AF886" s="90"/>
      <c r="AK886" s="91"/>
      <c r="AM886" s="92"/>
      <c r="AN886" s="92"/>
      <c r="AO886" s="92"/>
      <c r="AP886" s="92"/>
      <c r="AQ886" s="92"/>
      <c r="AR886" s="92"/>
    </row>
    <row r="887" spans="1:44" s="84" customFormat="1" ht="24" customHeight="1" x14ac:dyDescent="0.3">
      <c r="A887" s="78" t="s">
        <v>4709</v>
      </c>
      <c r="B887" s="79" t="s">
        <v>1092</v>
      </c>
      <c r="C887" s="112">
        <v>1100345</v>
      </c>
      <c r="D887" s="112">
        <v>1100414</v>
      </c>
      <c r="E887" s="112">
        <v>29182123</v>
      </c>
      <c r="F887" s="81" t="s">
        <v>1147</v>
      </c>
      <c r="G887" s="82" t="s">
        <v>4762</v>
      </c>
      <c r="H887" s="82" t="s">
        <v>4894</v>
      </c>
      <c r="I887" s="82" t="s">
        <v>3103</v>
      </c>
      <c r="J887" s="83" t="e">
        <f>VLOOKUP($C887,CHOOSE({1,2},'[4]Prestações de Conta inadimplent'!$D$9:$D$2000,'[4]Prestações de Conta inadimplent'!$C$9:$C$2000),2,0)</f>
        <v>#N/A</v>
      </c>
      <c r="L887" s="85"/>
      <c r="M887" s="85" t="e">
        <v>#REF!</v>
      </c>
      <c r="T887" s="86"/>
      <c r="U887" s="85"/>
      <c r="V887" s="87"/>
      <c r="W887" s="85"/>
      <c r="X887" s="88"/>
      <c r="Y887" s="89"/>
      <c r="Z887" s="89"/>
      <c r="AA887" s="88"/>
      <c r="AB887" s="88"/>
      <c r="AF887" s="90"/>
      <c r="AK887" s="91"/>
      <c r="AM887" s="92"/>
      <c r="AN887" s="92"/>
      <c r="AO887" s="92"/>
      <c r="AP887" s="92"/>
      <c r="AQ887" s="92"/>
      <c r="AR887" s="92"/>
    </row>
    <row r="888" spans="1:44" s="84" customFormat="1" ht="24" customHeight="1" x14ac:dyDescent="0.3">
      <c r="A888" s="78" t="s">
        <v>4709</v>
      </c>
      <c r="B888" s="79" t="s">
        <v>1092</v>
      </c>
      <c r="C888" s="112">
        <v>1101619</v>
      </c>
      <c r="D888" s="112">
        <v>1100434</v>
      </c>
      <c r="E888" s="112">
        <v>29192650</v>
      </c>
      <c r="F888" s="81" t="s">
        <v>4895</v>
      </c>
      <c r="G888" s="82" t="s">
        <v>4762</v>
      </c>
      <c r="H888" s="82" t="s">
        <v>4896</v>
      </c>
      <c r="I888" s="82" t="s">
        <v>3122</v>
      </c>
      <c r="J888" s="83" t="str">
        <f>VLOOKUP($C888,CHOOSE({1,2},'[4]Prestações de Conta inadimplent'!$D$9:$D$2000,'[4]Prestações de Conta inadimplent'!$C$9:$C$2000),2,0)</f>
        <v>Colegio Estadual Professora Georgina Ramos Da Silva</v>
      </c>
      <c r="L888" s="85"/>
      <c r="M888" s="85" t="e">
        <v>#REF!</v>
      </c>
      <c r="T888" s="86"/>
      <c r="U888" s="85"/>
      <c r="V888" s="87"/>
      <c r="W888" s="85"/>
      <c r="X888" s="88"/>
      <c r="Y888" s="89"/>
      <c r="Z888" s="89"/>
      <c r="AA888" s="88"/>
      <c r="AB888" s="88"/>
      <c r="AF888" s="90"/>
      <c r="AK888" s="91"/>
      <c r="AM888" s="92"/>
      <c r="AN888" s="92"/>
      <c r="AO888" s="92"/>
      <c r="AP888" s="92"/>
      <c r="AQ888" s="92"/>
      <c r="AR888" s="92"/>
    </row>
    <row r="889" spans="1:44" s="84" customFormat="1" ht="24" customHeight="1" x14ac:dyDescent="0.3">
      <c r="A889" s="78" t="s">
        <v>4709</v>
      </c>
      <c r="B889" s="79" t="s">
        <v>1092</v>
      </c>
      <c r="C889" s="112">
        <v>1178175</v>
      </c>
      <c r="D889" s="112">
        <v>1105460</v>
      </c>
      <c r="E889" s="112">
        <v>29447151</v>
      </c>
      <c r="F889" s="81" t="s">
        <v>4897</v>
      </c>
      <c r="G889" s="82" t="s">
        <v>4762</v>
      </c>
      <c r="H889" s="82" t="s">
        <v>4898</v>
      </c>
      <c r="I889" s="82" t="s">
        <v>3103</v>
      </c>
      <c r="J889" s="83" t="e">
        <f>VLOOKUP($C889,CHOOSE({1,2},'[4]Prestações de Conta inadimplent'!$D$9:$D$2000,'[4]Prestações de Conta inadimplent'!$C$9:$C$2000),2,0)</f>
        <v>#N/A</v>
      </c>
      <c r="L889" s="85"/>
      <c r="M889" s="85" t="e">
        <v>#REF!</v>
      </c>
      <c r="T889" s="86"/>
      <c r="U889" s="85"/>
      <c r="V889" s="87"/>
      <c r="W889" s="85"/>
      <c r="X889" s="85"/>
      <c r="Y889" s="89"/>
      <c r="Z889" s="89"/>
      <c r="AA889" s="88"/>
      <c r="AB889" s="88"/>
      <c r="AF889" s="90"/>
      <c r="AK889" s="91"/>
      <c r="AM889" s="92"/>
      <c r="AN889" s="92"/>
      <c r="AO889" s="92"/>
      <c r="AP889" s="92"/>
      <c r="AQ889" s="92"/>
      <c r="AR889" s="92"/>
    </row>
    <row r="890" spans="1:44" s="84" customFormat="1" ht="24" customHeight="1" x14ac:dyDescent="0.3">
      <c r="A890" s="78" t="s">
        <v>4709</v>
      </c>
      <c r="B890" s="79" t="s">
        <v>1092</v>
      </c>
      <c r="C890" s="112">
        <v>1103778</v>
      </c>
      <c r="D890" s="112">
        <v>1100411</v>
      </c>
      <c r="E890" s="112">
        <v>29199387</v>
      </c>
      <c r="F890" s="81" t="s">
        <v>4899</v>
      </c>
      <c r="G890" s="82" t="s">
        <v>4762</v>
      </c>
      <c r="H890" s="82" t="s">
        <v>4900</v>
      </c>
      <c r="I890" s="82" t="s">
        <v>3103</v>
      </c>
      <c r="J890" s="83" t="e">
        <f>VLOOKUP($C890,CHOOSE({1,2},'[4]Prestações de Conta inadimplent'!$D$9:$D$2000,'[4]Prestações de Conta inadimplent'!$C$9:$C$2000),2,0)</f>
        <v>#N/A</v>
      </c>
      <c r="L890" s="85"/>
      <c r="M890" s="85" t="e">
        <v>#REF!</v>
      </c>
      <c r="T890" s="86"/>
      <c r="U890" s="85"/>
      <c r="V890" s="87"/>
      <c r="W890" s="85"/>
      <c r="X890" s="88"/>
      <c r="Y890" s="89"/>
      <c r="Z890" s="89"/>
      <c r="AA890" s="88"/>
      <c r="AB890" s="88"/>
      <c r="AF890" s="90"/>
      <c r="AK890" s="91"/>
      <c r="AM890" s="92"/>
      <c r="AN890" s="92"/>
      <c r="AO890" s="92"/>
      <c r="AP890" s="92"/>
      <c r="AQ890" s="92"/>
      <c r="AR890" s="92"/>
    </row>
    <row r="891" spans="1:44" s="84" customFormat="1" ht="24" customHeight="1" x14ac:dyDescent="0.3">
      <c r="A891" s="78" t="s">
        <v>4709</v>
      </c>
      <c r="B891" s="79" t="s">
        <v>1092</v>
      </c>
      <c r="C891" s="112">
        <v>1101031</v>
      </c>
      <c r="D891" s="112">
        <v>1100597</v>
      </c>
      <c r="E891" s="112">
        <v>29182093</v>
      </c>
      <c r="F891" s="81" t="s">
        <v>1141</v>
      </c>
      <c r="G891" s="82" t="s">
        <v>4762</v>
      </c>
      <c r="H891" s="82" t="s">
        <v>4901</v>
      </c>
      <c r="I891" s="82" t="s">
        <v>3122</v>
      </c>
      <c r="J891" s="83" t="str">
        <f>VLOOKUP($C891,CHOOSE({1,2},'[4]Prestações de Conta inadimplent'!$D$9:$D$2000,'[4]Prestações de Conta inadimplent'!$C$9:$C$2000),2,0)</f>
        <v>Colegio Estadual Azevedo Fernandes</v>
      </c>
      <c r="L891" s="85"/>
      <c r="M891" s="85" t="e">
        <v>#REF!</v>
      </c>
      <c r="T891" s="86"/>
      <c r="U891" s="85"/>
      <c r="V891" s="87"/>
      <c r="W891" s="85"/>
      <c r="X891" s="88"/>
      <c r="Y891" s="89"/>
      <c r="Z891" s="89"/>
      <c r="AA891" s="88"/>
      <c r="AB891" s="88"/>
      <c r="AD891" s="122"/>
      <c r="AF891" s="90"/>
      <c r="AK891" s="91"/>
      <c r="AM891" s="92"/>
      <c r="AN891" s="92"/>
      <c r="AO891" s="92"/>
      <c r="AP891" s="92"/>
      <c r="AQ891" s="92"/>
      <c r="AR891" s="92"/>
    </row>
    <row r="892" spans="1:44" s="84" customFormat="1" ht="24" customHeight="1" x14ac:dyDescent="0.3">
      <c r="A892" s="78" t="s">
        <v>4709</v>
      </c>
      <c r="B892" s="79" t="s">
        <v>1092</v>
      </c>
      <c r="C892" s="112">
        <v>1104219</v>
      </c>
      <c r="D892" s="112">
        <v>1100429</v>
      </c>
      <c r="E892" s="112">
        <v>29187095</v>
      </c>
      <c r="F892" s="81" t="s">
        <v>1225</v>
      </c>
      <c r="G892" s="82" t="s">
        <v>4762</v>
      </c>
      <c r="H892" s="82" t="s">
        <v>4902</v>
      </c>
      <c r="I892" s="82" t="s">
        <v>3122</v>
      </c>
      <c r="J892" s="83" t="str">
        <f>VLOOKUP($C892,CHOOSE({1,2},'[4]Prestações de Conta inadimplent'!$D$9:$D$2000,'[4]Prestações de Conta inadimplent'!$C$9:$C$2000),2,0)</f>
        <v>Colegio Estadual Princesa Izabel</v>
      </c>
      <c r="K892" s="96"/>
      <c r="L892" s="85"/>
      <c r="M892" s="85" t="e">
        <v>#REF!</v>
      </c>
      <c r="T892" s="86"/>
      <c r="U892" s="85"/>
      <c r="V892" s="87"/>
      <c r="W892" s="85"/>
      <c r="X892" s="88"/>
      <c r="Y892" s="89"/>
      <c r="Z892" s="89"/>
      <c r="AA892" s="88"/>
      <c r="AB892" s="88"/>
      <c r="AF892" s="90"/>
      <c r="AK892" s="91"/>
      <c r="AM892" s="92"/>
      <c r="AN892" s="92"/>
      <c r="AO892" s="92"/>
      <c r="AP892" s="92"/>
      <c r="AQ892" s="92"/>
      <c r="AR892" s="92"/>
    </row>
    <row r="893" spans="1:44" s="84" customFormat="1" ht="24" customHeight="1" x14ac:dyDescent="0.3">
      <c r="A893" s="78" t="s">
        <v>4709</v>
      </c>
      <c r="B893" s="79" t="s">
        <v>1092</v>
      </c>
      <c r="C893" s="112">
        <v>1104588</v>
      </c>
      <c r="D893" s="112">
        <v>1100470</v>
      </c>
      <c r="E893" s="112">
        <v>29191840</v>
      </c>
      <c r="F893" s="81" t="s">
        <v>4903</v>
      </c>
      <c r="G893" s="82" t="s">
        <v>4762</v>
      </c>
      <c r="H893" s="82" t="s">
        <v>4904</v>
      </c>
      <c r="I893" s="82" t="s">
        <v>3122</v>
      </c>
      <c r="J893" s="83" t="str">
        <f>VLOOKUP($C893,CHOOSE({1,2},'[4]Prestações de Conta inadimplent'!$D$9:$D$2000,'[4]Prestações de Conta inadimplent'!$C$9:$C$2000),2,0)</f>
        <v>Colegio Estadual Edvaldo Brandao Correia</v>
      </c>
      <c r="K893" s="95"/>
      <c r="L893" s="85"/>
      <c r="M893" s="85" t="e">
        <v>#REF!</v>
      </c>
      <c r="T893" s="86"/>
      <c r="U893" s="85"/>
      <c r="V893" s="87"/>
      <c r="W893" s="85"/>
      <c r="X893" s="88"/>
      <c r="Y893" s="89"/>
      <c r="Z893" s="89"/>
      <c r="AA893" s="88"/>
      <c r="AB893" s="88"/>
      <c r="AF893" s="90"/>
      <c r="AK893" s="91"/>
      <c r="AM893" s="92"/>
      <c r="AN893" s="92"/>
      <c r="AO893" s="92"/>
      <c r="AP893" s="92"/>
      <c r="AQ893" s="92"/>
      <c r="AR893" s="92"/>
    </row>
    <row r="894" spans="1:44" s="84" customFormat="1" ht="24" customHeight="1" x14ac:dyDescent="0.3">
      <c r="A894" s="78" t="s">
        <v>4709</v>
      </c>
      <c r="B894" s="79" t="s">
        <v>1092</v>
      </c>
      <c r="C894" s="112">
        <v>1142463</v>
      </c>
      <c r="D894" s="112">
        <v>1100487</v>
      </c>
      <c r="E894" s="112">
        <v>29191335</v>
      </c>
      <c r="F894" s="81" t="s">
        <v>4905</v>
      </c>
      <c r="G894" s="82" t="s">
        <v>4762</v>
      </c>
      <c r="H894" s="82" t="s">
        <v>4906</v>
      </c>
      <c r="I894" s="82" t="s">
        <v>3103</v>
      </c>
      <c r="J894" s="83" t="e">
        <f>VLOOKUP($C894,CHOOSE({1,2},'[4]Prestações de Conta inadimplent'!$D$9:$D$2000,'[4]Prestações de Conta inadimplent'!$C$9:$C$2000),2,0)</f>
        <v>#N/A</v>
      </c>
      <c r="L894" s="85"/>
      <c r="M894" s="85" t="e">
        <v>#REF!</v>
      </c>
      <c r="T894" s="86"/>
      <c r="U894" s="85"/>
      <c r="V894" s="87"/>
      <c r="W894" s="85"/>
      <c r="X894" s="85"/>
      <c r="Y894" s="89"/>
      <c r="Z894" s="89"/>
      <c r="AA894" s="88"/>
      <c r="AB894" s="88"/>
      <c r="AF894" s="90"/>
      <c r="AK894" s="91"/>
      <c r="AM894" s="92"/>
      <c r="AN894" s="92"/>
      <c r="AO894" s="92"/>
      <c r="AP894" s="92"/>
      <c r="AQ894" s="92"/>
      <c r="AR894" s="92"/>
    </row>
    <row r="895" spans="1:44" s="84" customFormat="1" ht="24" customHeight="1" x14ac:dyDescent="0.3">
      <c r="A895" s="78" t="s">
        <v>4709</v>
      </c>
      <c r="B895" s="79" t="s">
        <v>1092</v>
      </c>
      <c r="C895" s="112">
        <v>1174500</v>
      </c>
      <c r="D895" s="112">
        <v>1100218</v>
      </c>
      <c r="E895" s="112">
        <v>29179815</v>
      </c>
      <c r="F895" s="81" t="s">
        <v>4907</v>
      </c>
      <c r="G895" s="82" t="s">
        <v>4762</v>
      </c>
      <c r="H895" s="82" t="s">
        <v>4908</v>
      </c>
      <c r="I895" s="82" t="s">
        <v>3103</v>
      </c>
      <c r="J895" s="83" t="e">
        <f>VLOOKUP($C895,CHOOSE({1,2},'[4]Prestações de Conta inadimplent'!$D$9:$D$2000,'[4]Prestações de Conta inadimplent'!$C$9:$C$2000),2,0)</f>
        <v>#N/A</v>
      </c>
      <c r="L895" s="85"/>
      <c r="M895" s="85" t="e">
        <v>#REF!</v>
      </c>
      <c r="T895" s="86"/>
      <c r="U895" s="85"/>
      <c r="V895" s="85"/>
      <c r="W895" s="85"/>
      <c r="X895" s="85"/>
      <c r="Y895" s="89"/>
      <c r="Z895" s="89"/>
      <c r="AA895" s="88"/>
      <c r="AB895" s="88"/>
      <c r="AF895" s="90"/>
      <c r="AK895" s="91"/>
      <c r="AM895" s="92"/>
      <c r="AN895" s="92"/>
      <c r="AO895" s="92"/>
      <c r="AP895" s="92"/>
      <c r="AQ895" s="92"/>
      <c r="AR895" s="92"/>
    </row>
    <row r="896" spans="1:44" s="84" customFormat="1" ht="24" customHeight="1" x14ac:dyDescent="0.3">
      <c r="A896" s="78" t="s">
        <v>4709</v>
      </c>
      <c r="B896" s="79" t="s">
        <v>1092</v>
      </c>
      <c r="C896" s="112">
        <v>1101449</v>
      </c>
      <c r="D896" s="112">
        <v>1100286</v>
      </c>
      <c r="E896" s="112">
        <v>29191920</v>
      </c>
      <c r="F896" s="81" t="s">
        <v>3596</v>
      </c>
      <c r="G896" s="82" t="s">
        <v>4762</v>
      </c>
      <c r="H896" s="82" t="s">
        <v>4909</v>
      </c>
      <c r="I896" s="82" t="s">
        <v>3122</v>
      </c>
      <c r="J896" s="83" t="str">
        <f>VLOOKUP($C896,CHOOSE({1,2},'[4]Prestações de Conta inadimplent'!$D$9:$D$2000,'[4]Prestações de Conta inadimplent'!$C$9:$C$2000),2,0)</f>
        <v>Colegio Estadual Eraldo Tinoco</v>
      </c>
      <c r="L896" s="85"/>
      <c r="M896" s="85" t="e">
        <v>#REF!</v>
      </c>
      <c r="T896" s="86"/>
      <c r="U896" s="85"/>
      <c r="V896" s="87"/>
      <c r="W896" s="85"/>
      <c r="X896" s="88"/>
      <c r="Y896" s="89"/>
      <c r="Z896" s="89"/>
      <c r="AA896" s="88"/>
      <c r="AB896" s="88"/>
      <c r="AF896" s="90"/>
      <c r="AK896" s="91"/>
      <c r="AM896" s="92"/>
      <c r="AN896" s="92"/>
      <c r="AO896" s="92"/>
      <c r="AP896" s="92"/>
      <c r="AQ896" s="92"/>
      <c r="AR896" s="92"/>
    </row>
    <row r="897" spans="1:44" s="84" customFormat="1" ht="24" customHeight="1" x14ac:dyDescent="0.3">
      <c r="A897" s="78" t="s">
        <v>4709</v>
      </c>
      <c r="B897" s="79" t="s">
        <v>1092</v>
      </c>
      <c r="C897" s="112">
        <v>1176610</v>
      </c>
      <c r="D897" s="112">
        <v>1100563</v>
      </c>
      <c r="E897" s="112">
        <v>29404266</v>
      </c>
      <c r="F897" s="81" t="s">
        <v>213</v>
      </c>
      <c r="G897" s="82" t="s">
        <v>4762</v>
      </c>
      <c r="H897" s="82" t="s">
        <v>4910</v>
      </c>
      <c r="I897" s="82" t="s">
        <v>3122</v>
      </c>
      <c r="J897" s="83" t="str">
        <f>VLOOKUP($C897,CHOOSE({1,2},'[4]Prestações de Conta inadimplent'!$D$9:$D$2000,'[4]Prestações de Conta inadimplent'!$C$9:$C$2000),2,0)</f>
        <v>Colegio Estadual Sete De Setembro</v>
      </c>
      <c r="L897" s="85"/>
      <c r="M897" s="85" t="e">
        <v>#REF!</v>
      </c>
      <c r="T897" s="86"/>
      <c r="U897" s="85"/>
      <c r="V897" s="87"/>
      <c r="W897" s="85"/>
      <c r="X897" s="88"/>
      <c r="Y897" s="89"/>
      <c r="Z897" s="89"/>
      <c r="AA897" s="88"/>
      <c r="AB897" s="88"/>
      <c r="AF897" s="90"/>
      <c r="AK897" s="91"/>
      <c r="AM897" s="92"/>
      <c r="AN897" s="92"/>
      <c r="AO897" s="92"/>
      <c r="AP897" s="92"/>
      <c r="AQ897" s="92"/>
      <c r="AR897" s="92"/>
    </row>
    <row r="898" spans="1:44" s="84" customFormat="1" ht="24" customHeight="1" x14ac:dyDescent="0.3">
      <c r="A898" s="78" t="s">
        <v>4709</v>
      </c>
      <c r="B898" s="79" t="s">
        <v>1092</v>
      </c>
      <c r="C898" s="112">
        <v>1104022</v>
      </c>
      <c r="D898" s="112">
        <v>1100455</v>
      </c>
      <c r="E898" s="112">
        <v>29188431</v>
      </c>
      <c r="F898" s="81" t="s">
        <v>1249</v>
      </c>
      <c r="G898" s="82" t="s">
        <v>4762</v>
      </c>
      <c r="H898" s="82" t="s">
        <v>4911</v>
      </c>
      <c r="I898" s="82" t="s">
        <v>3103</v>
      </c>
      <c r="J898" s="83" t="e">
        <f>VLOOKUP($C898,CHOOSE({1,2},'[4]Prestações de Conta inadimplent'!$D$9:$D$2000,'[4]Prestações de Conta inadimplent'!$C$9:$C$2000),2,0)</f>
        <v>#N/A</v>
      </c>
      <c r="L898" s="85"/>
      <c r="M898" s="85" t="e">
        <v>#REF!</v>
      </c>
      <c r="T898" s="86"/>
      <c r="U898" s="85"/>
      <c r="V898" s="87"/>
      <c r="W898" s="85"/>
      <c r="X898" s="85"/>
      <c r="Y898" s="89"/>
      <c r="Z898" s="88"/>
      <c r="AA898" s="88"/>
      <c r="AB898" s="88"/>
      <c r="AF898" s="90"/>
      <c r="AK898" s="91"/>
      <c r="AM898" s="92"/>
      <c r="AN898" s="92"/>
      <c r="AO898" s="92"/>
      <c r="AP898" s="92"/>
      <c r="AQ898" s="92"/>
      <c r="AR898" s="92"/>
    </row>
    <row r="899" spans="1:44" s="84" customFormat="1" ht="24" customHeight="1" x14ac:dyDescent="0.3">
      <c r="A899" s="78" t="s">
        <v>4709</v>
      </c>
      <c r="B899" s="79" t="s">
        <v>1092</v>
      </c>
      <c r="C899" s="112">
        <v>1104049</v>
      </c>
      <c r="D899" s="112">
        <v>1100425</v>
      </c>
      <c r="E899" s="112">
        <v>29200342</v>
      </c>
      <c r="F899" s="81" t="s">
        <v>4912</v>
      </c>
      <c r="G899" s="82" t="s">
        <v>4762</v>
      </c>
      <c r="H899" s="82" t="s">
        <v>4913</v>
      </c>
      <c r="I899" s="82" t="s">
        <v>3103</v>
      </c>
      <c r="J899" s="83" t="e">
        <f>VLOOKUP($C899,CHOOSE({1,2},'[4]Prestações de Conta inadimplent'!$D$9:$D$2000,'[4]Prestações de Conta inadimplent'!$C$9:$C$2000),2,0)</f>
        <v>#N/A</v>
      </c>
      <c r="L899" s="85"/>
      <c r="M899" s="85" t="e">
        <v>#REF!</v>
      </c>
      <c r="T899" s="86"/>
      <c r="U899" s="85"/>
      <c r="V899" s="85"/>
      <c r="W899" s="85"/>
      <c r="X899" s="85"/>
      <c r="Y899" s="89"/>
      <c r="Z899" s="89"/>
      <c r="AA899" s="88"/>
      <c r="AB899" s="88"/>
      <c r="AF899" s="90"/>
      <c r="AK899" s="91"/>
      <c r="AM899" s="92"/>
      <c r="AN899" s="92"/>
      <c r="AO899" s="92"/>
      <c r="AP899" s="92"/>
      <c r="AQ899" s="92"/>
      <c r="AR899" s="92"/>
    </row>
    <row r="900" spans="1:44" s="84" customFormat="1" ht="24" customHeight="1" x14ac:dyDescent="0.3">
      <c r="A900" s="78" t="s">
        <v>4709</v>
      </c>
      <c r="B900" s="79" t="s">
        <v>1092</v>
      </c>
      <c r="C900" s="112">
        <v>1102836</v>
      </c>
      <c r="D900" s="112">
        <v>1100532</v>
      </c>
      <c r="E900" s="112">
        <v>29193656</v>
      </c>
      <c r="F900" s="81" t="s">
        <v>1422</v>
      </c>
      <c r="G900" s="82" t="s">
        <v>4762</v>
      </c>
      <c r="H900" s="82" t="s">
        <v>4914</v>
      </c>
      <c r="I900" s="82" t="s">
        <v>3103</v>
      </c>
      <c r="J900" s="83" t="e">
        <f>VLOOKUP($C900,CHOOSE({1,2},'[4]Prestações de Conta inadimplent'!$D$9:$D$2000,'[4]Prestações de Conta inadimplent'!$C$9:$C$2000),2,0)</f>
        <v>#N/A</v>
      </c>
      <c r="L900" s="85"/>
      <c r="M900" s="85" t="e">
        <v>#REF!</v>
      </c>
      <c r="T900" s="86"/>
      <c r="U900" s="85"/>
      <c r="V900" s="87"/>
      <c r="W900" s="85"/>
      <c r="X900" s="85"/>
      <c r="Y900" s="89"/>
      <c r="Z900" s="89"/>
      <c r="AA900" s="88"/>
      <c r="AB900" s="88"/>
      <c r="AF900" s="90"/>
      <c r="AK900" s="91"/>
      <c r="AM900" s="92"/>
      <c r="AN900" s="92"/>
      <c r="AO900" s="92"/>
      <c r="AP900" s="92"/>
      <c r="AQ900" s="92"/>
      <c r="AR900" s="92"/>
    </row>
    <row r="901" spans="1:44" s="84" customFormat="1" ht="24" customHeight="1" x14ac:dyDescent="0.3">
      <c r="A901" s="78" t="s">
        <v>4709</v>
      </c>
      <c r="B901" s="79" t="s">
        <v>1092</v>
      </c>
      <c r="C901" s="112">
        <v>1102216</v>
      </c>
      <c r="D901" s="112">
        <v>1100642</v>
      </c>
      <c r="E901" s="112">
        <v>29191084</v>
      </c>
      <c r="F901" s="81" t="s">
        <v>4915</v>
      </c>
      <c r="G901" s="82" t="s">
        <v>4762</v>
      </c>
      <c r="H901" s="82" t="s">
        <v>4916</v>
      </c>
      <c r="I901" s="82" t="s">
        <v>3103</v>
      </c>
      <c r="J901" s="83" t="e">
        <f>VLOOKUP($C901,CHOOSE({1,2},'[4]Prestações de Conta inadimplent'!$D$9:$D$2000,'[4]Prestações de Conta inadimplent'!$C$9:$C$2000),2,0)</f>
        <v>#N/A</v>
      </c>
      <c r="L901" s="85"/>
      <c r="M901" s="85" t="e">
        <v>#REF!</v>
      </c>
      <c r="T901" s="86"/>
      <c r="U901" s="85"/>
      <c r="V901" s="87"/>
      <c r="W901" s="85"/>
      <c r="X901" s="85"/>
      <c r="Y901" s="89"/>
      <c r="Z901" s="89"/>
      <c r="AA901" s="88"/>
      <c r="AB901" s="88"/>
      <c r="AF901" s="90"/>
      <c r="AK901" s="91"/>
      <c r="AM901" s="92"/>
      <c r="AN901" s="92"/>
      <c r="AO901" s="92"/>
      <c r="AP901" s="92"/>
      <c r="AQ901" s="92"/>
      <c r="AR901" s="92"/>
    </row>
    <row r="902" spans="1:44" s="84" customFormat="1" ht="24" customHeight="1" x14ac:dyDescent="0.3">
      <c r="A902" s="78" t="s">
        <v>4709</v>
      </c>
      <c r="B902" s="79" t="s">
        <v>1092</v>
      </c>
      <c r="C902" s="112">
        <v>1173946</v>
      </c>
      <c r="D902" s="112">
        <v>1100217</v>
      </c>
      <c r="E902" s="112">
        <v>29182131</v>
      </c>
      <c r="F902" s="81" t="s">
        <v>1150</v>
      </c>
      <c r="G902" s="82" t="s">
        <v>4762</v>
      </c>
      <c r="H902" s="82" t="s">
        <v>4917</v>
      </c>
      <c r="I902" s="82" t="s">
        <v>3103</v>
      </c>
      <c r="J902" s="83" t="e">
        <f>VLOOKUP($C902,CHOOSE({1,2},'[4]Prestações de Conta inadimplent'!$D$9:$D$2000,'[4]Prestações de Conta inadimplent'!$C$9:$C$2000),2,0)</f>
        <v>#N/A</v>
      </c>
      <c r="L902" s="85"/>
      <c r="M902" s="85" t="e">
        <v>#REF!</v>
      </c>
      <c r="T902" s="86"/>
      <c r="U902" s="85"/>
      <c r="V902" s="87"/>
      <c r="W902" s="85"/>
      <c r="X902" s="88"/>
      <c r="Y902" s="89"/>
      <c r="Z902" s="89"/>
      <c r="AA902" s="88"/>
      <c r="AB902" s="88"/>
      <c r="AF902" s="90"/>
      <c r="AK902" s="91"/>
      <c r="AM902" s="92"/>
      <c r="AN902" s="92"/>
      <c r="AO902" s="92"/>
      <c r="AP902" s="92"/>
      <c r="AQ902" s="92"/>
      <c r="AR902" s="92"/>
    </row>
    <row r="903" spans="1:44" s="84" customFormat="1" ht="24" customHeight="1" x14ac:dyDescent="0.3">
      <c r="A903" s="78" t="s">
        <v>4709</v>
      </c>
      <c r="B903" s="79" t="s">
        <v>1092</v>
      </c>
      <c r="C903" s="112">
        <v>1103344</v>
      </c>
      <c r="D903" s="112">
        <v>1100372</v>
      </c>
      <c r="E903" s="112">
        <v>29200024</v>
      </c>
      <c r="F903" s="81" t="s">
        <v>4918</v>
      </c>
      <c r="G903" s="82" t="s">
        <v>4762</v>
      </c>
      <c r="H903" s="82" t="s">
        <v>4919</v>
      </c>
      <c r="I903" s="82" t="s">
        <v>3122</v>
      </c>
      <c r="J903" s="83" t="str">
        <f>VLOOKUP($C903,CHOOSE({1,2},'[4]Prestações de Conta inadimplent'!$D$9:$D$2000,'[4]Prestações de Conta inadimplent'!$C$9:$C$2000),2,0)</f>
        <v>Colegio Estadual Raymundo De Almeida Gouveia</v>
      </c>
      <c r="L903" s="85"/>
      <c r="M903" s="85" t="e">
        <v>#REF!</v>
      </c>
      <c r="T903" s="86"/>
      <c r="U903" s="85"/>
      <c r="V903" s="87"/>
      <c r="W903" s="85"/>
      <c r="X903" s="88"/>
      <c r="Y903" s="89"/>
      <c r="Z903" s="89"/>
      <c r="AA903" s="88"/>
      <c r="AB903" s="88"/>
      <c r="AF903" s="90"/>
      <c r="AK903" s="91"/>
      <c r="AM903" s="92"/>
      <c r="AN903" s="92"/>
      <c r="AO903" s="92"/>
      <c r="AP903" s="92"/>
      <c r="AQ903" s="92"/>
      <c r="AR903" s="92"/>
    </row>
    <row r="904" spans="1:44" s="84" customFormat="1" ht="24" customHeight="1" x14ac:dyDescent="0.3">
      <c r="A904" s="78" t="s">
        <v>4709</v>
      </c>
      <c r="B904" s="79" t="s">
        <v>1092</v>
      </c>
      <c r="C904" s="112">
        <v>1101546</v>
      </c>
      <c r="D904" s="112">
        <v>1100289</v>
      </c>
      <c r="E904" s="112">
        <v>29189950</v>
      </c>
      <c r="F904" s="81" t="s">
        <v>1285</v>
      </c>
      <c r="G904" s="82" t="s">
        <v>4762</v>
      </c>
      <c r="H904" s="82" t="s">
        <v>4920</v>
      </c>
      <c r="I904" s="82" t="s">
        <v>3122</v>
      </c>
      <c r="J904" s="83" t="str">
        <f>VLOOKUP($C904,CHOOSE({1,2},'[4]Prestações de Conta inadimplent'!$D$9:$D$2000,'[4]Prestações de Conta inadimplent'!$C$9:$C$2000),2,0)</f>
        <v>Escola Estadual Castro Alves</v>
      </c>
      <c r="L904" s="85"/>
      <c r="M904" s="85" t="e">
        <v>#REF!</v>
      </c>
      <c r="T904" s="86"/>
      <c r="U904" s="85"/>
      <c r="V904" s="87"/>
      <c r="W904" s="85"/>
      <c r="X904" s="85"/>
      <c r="Y904" s="89"/>
      <c r="Z904" s="89"/>
      <c r="AA904" s="88"/>
      <c r="AB904" s="88"/>
      <c r="AF904" s="90"/>
      <c r="AK904" s="91"/>
      <c r="AM904" s="92"/>
      <c r="AN904" s="92"/>
      <c r="AO904" s="92"/>
      <c r="AP904" s="92"/>
      <c r="AQ904" s="92"/>
      <c r="AR904" s="92"/>
    </row>
    <row r="905" spans="1:44" s="84" customFormat="1" ht="24" customHeight="1" x14ac:dyDescent="0.3">
      <c r="A905" s="78" t="s">
        <v>4709</v>
      </c>
      <c r="B905" s="79" t="s">
        <v>1092</v>
      </c>
      <c r="C905" s="112">
        <v>1176071</v>
      </c>
      <c r="D905" s="112">
        <v>1100229</v>
      </c>
      <c r="E905" s="112">
        <v>29192331</v>
      </c>
      <c r="F905" s="81" t="s">
        <v>1401</v>
      </c>
      <c r="G905" s="82" t="s">
        <v>4762</v>
      </c>
      <c r="H905" s="82" t="s">
        <v>3441</v>
      </c>
      <c r="I905" s="82" t="s">
        <v>3122</v>
      </c>
      <c r="J905" s="83" t="str">
        <f>VLOOKUP($C905,CHOOSE({1,2},'[4]Prestações de Conta inadimplent'!$D$9:$D$2000,'[4]Prestações de Conta inadimplent'!$C$9:$C$2000),2,0)</f>
        <v>Colegio Estadual Professora Marileine Da Silva</v>
      </c>
      <c r="K905" s="96"/>
      <c r="L905" s="85"/>
      <c r="M905" s="85" t="e">
        <v>#REF!</v>
      </c>
      <c r="T905" s="86"/>
      <c r="U905" s="85"/>
      <c r="V905" s="87"/>
      <c r="W905" s="85"/>
      <c r="X905" s="88"/>
      <c r="Y905" s="89"/>
      <c r="Z905" s="89"/>
      <c r="AA905" s="88"/>
      <c r="AB905" s="88"/>
      <c r="AF905" s="90"/>
      <c r="AK905" s="91"/>
      <c r="AM905" s="92"/>
      <c r="AN905" s="92"/>
      <c r="AO905" s="92"/>
      <c r="AP905" s="92"/>
      <c r="AQ905" s="92"/>
      <c r="AR905" s="92"/>
    </row>
    <row r="906" spans="1:44" s="84" customFormat="1" ht="24" customHeight="1" x14ac:dyDescent="0.3">
      <c r="A906" s="78" t="s">
        <v>4709</v>
      </c>
      <c r="B906" s="79" t="s">
        <v>1092</v>
      </c>
      <c r="C906" s="112">
        <v>1103174</v>
      </c>
      <c r="D906" s="112">
        <v>1100395</v>
      </c>
      <c r="E906" s="112">
        <v>29182719</v>
      </c>
      <c r="F906" s="81" t="s">
        <v>1177</v>
      </c>
      <c r="G906" s="82" t="s">
        <v>4762</v>
      </c>
      <c r="H906" s="82" t="s">
        <v>4921</v>
      </c>
      <c r="I906" s="82" t="s">
        <v>3122</v>
      </c>
      <c r="J906" s="83" t="str">
        <f>VLOOKUP($C906,CHOOSE({1,2},'[4]Prestações de Conta inadimplent'!$D$9:$D$2000,'[4]Prestações de Conta inadimplent'!$C$9:$C$2000),2,0)</f>
        <v>Colegio Estadual Frederico Costa</v>
      </c>
      <c r="L906" s="85"/>
      <c r="M906" s="85" t="e">
        <v>#REF!</v>
      </c>
      <c r="T906" s="86"/>
      <c r="U906" s="85"/>
      <c r="V906" s="87"/>
      <c r="W906" s="85"/>
      <c r="X906" s="88"/>
      <c r="Y906" s="89"/>
      <c r="Z906" s="89"/>
      <c r="AA906" s="88"/>
      <c r="AB906" s="88"/>
      <c r="AF906" s="90"/>
      <c r="AK906" s="91"/>
      <c r="AM906" s="92"/>
      <c r="AN906" s="92"/>
      <c r="AO906" s="92"/>
      <c r="AP906" s="92"/>
      <c r="AQ906" s="92"/>
      <c r="AR906" s="92"/>
    </row>
    <row r="907" spans="1:44" s="84" customFormat="1" ht="24" customHeight="1" x14ac:dyDescent="0.3">
      <c r="A907" s="78" t="s">
        <v>4709</v>
      </c>
      <c r="B907" s="79" t="s">
        <v>1092</v>
      </c>
      <c r="C907" s="112">
        <v>1176660</v>
      </c>
      <c r="D907" s="112">
        <v>1100568</v>
      </c>
      <c r="E907" s="112">
        <v>29404274</v>
      </c>
      <c r="F907" s="81" t="s">
        <v>4922</v>
      </c>
      <c r="G907" s="82" t="s">
        <v>4762</v>
      </c>
      <c r="H907" s="82" t="s">
        <v>4923</v>
      </c>
      <c r="I907" s="82" t="s">
        <v>3103</v>
      </c>
      <c r="J907" s="83" t="e">
        <f>VLOOKUP($C907,CHOOSE({1,2},'[4]Prestações de Conta inadimplent'!$D$9:$D$2000,'[4]Prestações de Conta inadimplent'!$C$9:$C$2000),2,0)</f>
        <v>#N/A</v>
      </c>
      <c r="L907" s="85"/>
      <c r="M907" s="85" t="e">
        <v>#REF!</v>
      </c>
      <c r="T907" s="86"/>
      <c r="U907" s="85"/>
      <c r="V907" s="87"/>
      <c r="W907" s="85"/>
      <c r="X907" s="88"/>
      <c r="Y907" s="89"/>
      <c r="Z907" s="89"/>
      <c r="AA907" s="88"/>
      <c r="AB907" s="88"/>
      <c r="AF907" s="90"/>
      <c r="AK907" s="91"/>
      <c r="AM907" s="92"/>
      <c r="AN907" s="92"/>
      <c r="AO907" s="92"/>
      <c r="AP907" s="92"/>
      <c r="AQ907" s="92"/>
      <c r="AR907" s="92"/>
    </row>
    <row r="908" spans="1:44" s="84" customFormat="1" ht="24" customHeight="1" x14ac:dyDescent="0.3">
      <c r="A908" s="78" t="s">
        <v>4709</v>
      </c>
      <c r="B908" s="79" t="s">
        <v>1092</v>
      </c>
      <c r="C908" s="112">
        <v>1178157</v>
      </c>
      <c r="D908" s="112">
        <v>1105443</v>
      </c>
      <c r="E908" s="112">
        <v>29444667</v>
      </c>
      <c r="F908" s="81" t="s">
        <v>4924</v>
      </c>
      <c r="G908" s="82" t="s">
        <v>4762</v>
      </c>
      <c r="H908" s="82" t="s">
        <v>4925</v>
      </c>
      <c r="I908" s="82" t="s">
        <v>3122</v>
      </c>
      <c r="J908" s="83" t="str">
        <f>VLOOKUP($C908,CHOOSE({1,2},'[4]Prestações de Conta inadimplent'!$D$9:$D$2000,'[4]Prestações de Conta inadimplent'!$C$9:$C$2000),2,0)</f>
        <v>Colegio Estadual Ana Cristina Prazeres Mata Pires</v>
      </c>
      <c r="L908" s="85"/>
      <c r="M908" s="85" t="e">
        <v>#REF!</v>
      </c>
      <c r="T908" s="86"/>
      <c r="U908" s="85"/>
      <c r="V908" s="87"/>
      <c r="W908" s="85"/>
      <c r="X908" s="88"/>
      <c r="Y908" s="89"/>
      <c r="Z908" s="89"/>
      <c r="AA908" s="88"/>
      <c r="AB908" s="88"/>
      <c r="AF908" s="90"/>
      <c r="AK908" s="91"/>
      <c r="AM908" s="92"/>
      <c r="AN908" s="92"/>
      <c r="AO908" s="92"/>
      <c r="AP908" s="92"/>
      <c r="AQ908" s="92"/>
      <c r="AR908" s="92"/>
    </row>
    <row r="909" spans="1:44" s="84" customFormat="1" ht="24" customHeight="1" x14ac:dyDescent="0.3">
      <c r="A909" s="78" t="s">
        <v>4709</v>
      </c>
      <c r="B909" s="79" t="s">
        <v>1092</v>
      </c>
      <c r="C909" s="112">
        <v>1102925</v>
      </c>
      <c r="D909" s="112">
        <v>1100354</v>
      </c>
      <c r="E909" s="112">
        <v>29192153</v>
      </c>
      <c r="F909" s="81" t="s">
        <v>4926</v>
      </c>
      <c r="G909" s="82" t="s">
        <v>4762</v>
      </c>
      <c r="H909" s="82" t="s">
        <v>4927</v>
      </c>
      <c r="I909" s="82" t="s">
        <v>3122</v>
      </c>
      <c r="J909" s="83" t="str">
        <f>VLOOKUP($C909,CHOOSE({1,2},'[4]Prestações de Conta inadimplent'!$D$9:$D$2000,'[4]Prestações de Conta inadimplent'!$C$9:$C$2000),2,0)</f>
        <v>Colegio Estadual Professor Nelson Barros</v>
      </c>
      <c r="K909" s="96"/>
      <c r="L909" s="85"/>
      <c r="M909" s="85" t="e">
        <v>#REF!</v>
      </c>
      <c r="T909" s="86"/>
      <c r="U909" s="85"/>
      <c r="V909" s="87"/>
      <c r="W909" s="85"/>
      <c r="X909" s="88"/>
      <c r="Y909" s="89"/>
      <c r="Z909" s="89"/>
      <c r="AA909" s="88"/>
      <c r="AB909" s="88"/>
      <c r="AF909" s="90"/>
      <c r="AK909" s="91"/>
      <c r="AM909" s="92"/>
      <c r="AN909" s="92"/>
      <c r="AO909" s="92"/>
      <c r="AP909" s="92"/>
      <c r="AQ909" s="92"/>
      <c r="AR909" s="92"/>
    </row>
    <row r="910" spans="1:44" s="84" customFormat="1" ht="24" customHeight="1" x14ac:dyDescent="0.3">
      <c r="A910" s="78" t="s">
        <v>4709</v>
      </c>
      <c r="B910" s="79" t="s">
        <v>1092</v>
      </c>
      <c r="C910" s="112">
        <v>1103085</v>
      </c>
      <c r="D910" s="112">
        <v>1100558</v>
      </c>
      <c r="E910" s="112">
        <v>29191165</v>
      </c>
      <c r="F910" s="81" t="s">
        <v>4928</v>
      </c>
      <c r="G910" s="82" t="s">
        <v>4762</v>
      </c>
      <c r="H910" s="82" t="s">
        <v>4929</v>
      </c>
      <c r="I910" s="82" t="s">
        <v>3103</v>
      </c>
      <c r="J910" s="83" t="e">
        <f>VLOOKUP($C910,CHOOSE({1,2},'[4]Prestações de Conta inadimplent'!$D$9:$D$2000,'[4]Prestações de Conta inadimplent'!$C$9:$C$2000),2,0)</f>
        <v>#N/A</v>
      </c>
      <c r="L910" s="85"/>
      <c r="M910" s="85" t="e">
        <v>#REF!</v>
      </c>
      <c r="T910" s="86"/>
      <c r="U910" s="85"/>
      <c r="V910" s="87"/>
      <c r="W910" s="85"/>
      <c r="X910" s="85"/>
      <c r="Y910" s="89"/>
      <c r="Z910" s="89"/>
      <c r="AA910" s="88"/>
      <c r="AB910" s="88"/>
      <c r="AF910" s="90"/>
      <c r="AK910" s="91"/>
      <c r="AM910" s="92"/>
      <c r="AN910" s="92"/>
      <c r="AO910" s="92"/>
      <c r="AP910" s="92"/>
      <c r="AQ910" s="92"/>
      <c r="AR910" s="92"/>
    </row>
    <row r="911" spans="1:44" s="84" customFormat="1" ht="24" customHeight="1" x14ac:dyDescent="0.3">
      <c r="A911" s="78" t="s">
        <v>4709</v>
      </c>
      <c r="B911" s="79" t="s">
        <v>1092</v>
      </c>
      <c r="C911" s="112">
        <v>1100370</v>
      </c>
      <c r="D911" s="112">
        <v>1100243</v>
      </c>
      <c r="E911" s="112">
        <v>29191661</v>
      </c>
      <c r="F911" s="81" t="s">
        <v>4930</v>
      </c>
      <c r="G911" s="82" t="s">
        <v>4762</v>
      </c>
      <c r="H911" s="82" t="s">
        <v>4931</v>
      </c>
      <c r="I911" s="82" t="s">
        <v>3122</v>
      </c>
      <c r="J911" s="83" t="str">
        <f>VLOOKUP($C911,CHOOSE({1,2},'[4]Prestações de Conta inadimplent'!$D$9:$D$2000,'[4]Prestações de Conta inadimplent'!$C$9:$C$2000),2,0)</f>
        <v>Colegio Estadual Barros Barreto</v>
      </c>
      <c r="L911" s="85"/>
      <c r="M911" s="85" t="e">
        <v>#REF!</v>
      </c>
      <c r="T911" s="86"/>
      <c r="U911" s="85"/>
      <c r="V911" s="87"/>
      <c r="W911" s="85"/>
      <c r="X911" s="88"/>
      <c r="Y911" s="89"/>
      <c r="Z911" s="89"/>
      <c r="AA911" s="88"/>
      <c r="AB911" s="88"/>
      <c r="AF911" s="90"/>
      <c r="AK911" s="91"/>
      <c r="AM911" s="92"/>
      <c r="AN911" s="92"/>
      <c r="AO911" s="92"/>
      <c r="AP911" s="92"/>
      <c r="AQ911" s="92"/>
      <c r="AR911" s="92"/>
    </row>
    <row r="912" spans="1:44" s="84" customFormat="1" ht="24" customHeight="1" x14ac:dyDescent="0.3">
      <c r="A912" s="78" t="s">
        <v>4709</v>
      </c>
      <c r="B912" s="79" t="s">
        <v>1092</v>
      </c>
      <c r="C912" s="112">
        <v>1176765</v>
      </c>
      <c r="D912" s="112">
        <v>1100619</v>
      </c>
      <c r="E912" s="112">
        <v>29404240</v>
      </c>
      <c r="F912" s="81" t="s">
        <v>2398</v>
      </c>
      <c r="G912" s="82" t="s">
        <v>4762</v>
      </c>
      <c r="H912" s="82" t="s">
        <v>4932</v>
      </c>
      <c r="I912" s="82" t="s">
        <v>3122</v>
      </c>
      <c r="J912" s="83" t="str">
        <f>VLOOKUP($C912,CHOOSE({1,2},'[4]Prestações de Conta inadimplent'!$D$9:$D$2000,'[4]Prestações de Conta inadimplent'!$C$9:$C$2000),2,0)</f>
        <v>Colegio Estadual Professora Maria Odette Pithon Raynal</v>
      </c>
      <c r="L912" s="85"/>
      <c r="M912" s="85" t="e">
        <v>#REF!</v>
      </c>
      <c r="T912" s="86"/>
      <c r="U912" s="85"/>
      <c r="V912" s="87"/>
      <c r="W912" s="85"/>
      <c r="X912" s="88"/>
      <c r="Y912" s="89"/>
      <c r="Z912" s="89"/>
      <c r="AA912" s="88"/>
      <c r="AB912" s="88"/>
      <c r="AF912" s="90"/>
      <c r="AK912" s="91"/>
      <c r="AM912" s="92"/>
      <c r="AN912" s="92"/>
      <c r="AO912" s="92"/>
      <c r="AP912" s="92"/>
      <c r="AQ912" s="92"/>
      <c r="AR912" s="92"/>
    </row>
    <row r="913" spans="1:44" s="84" customFormat="1" ht="24" customHeight="1" x14ac:dyDescent="0.3">
      <c r="A913" s="78" t="s">
        <v>4709</v>
      </c>
      <c r="B913" s="79" t="s">
        <v>1092</v>
      </c>
      <c r="C913" s="112">
        <v>1176420</v>
      </c>
      <c r="D913" s="112">
        <v>1100266</v>
      </c>
      <c r="E913" s="112">
        <v>29386632</v>
      </c>
      <c r="F913" s="81" t="s">
        <v>4933</v>
      </c>
      <c r="G913" s="82" t="s">
        <v>4762</v>
      </c>
      <c r="H913" s="82" t="s">
        <v>4934</v>
      </c>
      <c r="I913" s="82" t="s">
        <v>3103</v>
      </c>
      <c r="J913" s="83" t="e">
        <f>VLOOKUP($C913,CHOOSE({1,2},'[4]Prestações de Conta inadimplent'!$D$9:$D$2000,'[4]Prestações de Conta inadimplent'!$C$9:$C$2000),2,0)</f>
        <v>#N/A</v>
      </c>
      <c r="L913" s="85"/>
      <c r="M913" s="85" t="e">
        <v>#REF!</v>
      </c>
      <c r="T913" s="86"/>
      <c r="U913" s="85"/>
      <c r="V913" s="85"/>
      <c r="W913" s="85"/>
      <c r="X913" s="85"/>
      <c r="Y913" s="89"/>
      <c r="Z913" s="89"/>
      <c r="AA913" s="88"/>
      <c r="AB913" s="88"/>
      <c r="AF913" s="90"/>
      <c r="AK913" s="91"/>
      <c r="AM913" s="92"/>
      <c r="AN913" s="92"/>
      <c r="AO913" s="92"/>
      <c r="AP913" s="92"/>
      <c r="AQ913" s="92"/>
      <c r="AR913" s="92"/>
    </row>
    <row r="914" spans="1:44" s="84" customFormat="1" ht="24" customHeight="1" x14ac:dyDescent="0.3">
      <c r="A914" s="78" t="s">
        <v>4709</v>
      </c>
      <c r="B914" s="79" t="s">
        <v>1092</v>
      </c>
      <c r="C914" s="112">
        <v>1104260</v>
      </c>
      <c r="D914" s="112">
        <v>1100462</v>
      </c>
      <c r="E914" s="112">
        <v>29190363</v>
      </c>
      <c r="F914" s="81" t="s">
        <v>4935</v>
      </c>
      <c r="G914" s="82" t="s">
        <v>4762</v>
      </c>
      <c r="H914" s="82" t="s">
        <v>4936</v>
      </c>
      <c r="I914" s="82" t="s">
        <v>3122</v>
      </c>
      <c r="J914" s="83" t="str">
        <f>VLOOKUP($C914,CHOOSE({1,2},'[4]Prestações de Conta inadimplent'!$D$9:$D$2000,'[4]Prestações de Conta inadimplent'!$C$9:$C$2000),2,0)</f>
        <v>Colegio Estadual Conselheiro Vicente Pacheco De Oliveira</v>
      </c>
      <c r="L914" s="85"/>
      <c r="M914" s="85" t="e">
        <v>#REF!</v>
      </c>
      <c r="T914" s="86"/>
      <c r="U914" s="85"/>
      <c r="V914" s="87"/>
      <c r="W914" s="85"/>
      <c r="X914" s="88"/>
      <c r="Y914" s="89"/>
      <c r="Z914" s="88"/>
      <c r="AA914" s="88"/>
      <c r="AB914" s="88"/>
      <c r="AF914" s="90"/>
      <c r="AK914" s="91"/>
      <c r="AM914" s="92"/>
      <c r="AN914" s="92"/>
      <c r="AO914" s="92"/>
      <c r="AP914" s="92"/>
      <c r="AQ914" s="92"/>
      <c r="AR914" s="92"/>
    </row>
    <row r="915" spans="1:44" s="84" customFormat="1" ht="24" customHeight="1" x14ac:dyDescent="0.3">
      <c r="A915" s="78" t="s">
        <v>4709</v>
      </c>
      <c r="B915" s="79" t="s">
        <v>1092</v>
      </c>
      <c r="C915" s="112">
        <v>1174721</v>
      </c>
      <c r="D915" s="112">
        <v>1100219</v>
      </c>
      <c r="E915" s="112">
        <v>29195462</v>
      </c>
      <c r="F915" s="81" t="s">
        <v>4937</v>
      </c>
      <c r="G915" s="82" t="s">
        <v>4762</v>
      </c>
      <c r="H915" s="82" t="s">
        <v>4938</v>
      </c>
      <c r="I915" s="82" t="s">
        <v>3103</v>
      </c>
      <c r="J915" s="83" t="e">
        <f>VLOOKUP($C915,CHOOSE({1,2},'[4]Prestações de Conta inadimplent'!$D$9:$D$2000,'[4]Prestações de Conta inadimplent'!$C$9:$C$2000),2,0)</f>
        <v>#N/A</v>
      </c>
      <c r="L915" s="85"/>
      <c r="M915" s="85" t="e">
        <v>#REF!</v>
      </c>
      <c r="T915" s="86"/>
      <c r="U915" s="85"/>
      <c r="V915" s="87"/>
      <c r="W915" s="85"/>
      <c r="X915" s="85"/>
      <c r="Y915" s="89"/>
      <c r="Z915" s="89"/>
      <c r="AA915" s="88"/>
      <c r="AB915" s="88"/>
      <c r="AF915" s="90"/>
      <c r="AK915" s="91"/>
      <c r="AM915" s="92"/>
      <c r="AN915" s="92"/>
      <c r="AO915" s="92"/>
      <c r="AP915" s="92"/>
      <c r="AQ915" s="92"/>
      <c r="AR915" s="92"/>
    </row>
    <row r="916" spans="1:44" s="84" customFormat="1" ht="24" customHeight="1" x14ac:dyDescent="0.3">
      <c r="A916" s="78" t="s">
        <v>4709</v>
      </c>
      <c r="B916" s="79" t="s">
        <v>1092</v>
      </c>
      <c r="C916" s="112">
        <v>1172320</v>
      </c>
      <c r="D916" s="112">
        <v>1100214</v>
      </c>
      <c r="E916" s="112">
        <v>29192242</v>
      </c>
      <c r="F916" s="81" t="s">
        <v>4939</v>
      </c>
      <c r="G916" s="82" t="s">
        <v>4762</v>
      </c>
      <c r="H916" s="82" t="s">
        <v>4940</v>
      </c>
      <c r="I916" s="82" t="s">
        <v>3122</v>
      </c>
      <c r="J916" s="83" t="str">
        <f>VLOOKUP($C916,CHOOSE({1,2},'[4]Prestações de Conta inadimplent'!$D$9:$D$2000,'[4]Prestações de Conta inadimplent'!$C$9:$C$2000),2,0)</f>
        <v>Colegio Estadual Mestre Moa Do Katende</v>
      </c>
      <c r="L916" s="85"/>
      <c r="M916" s="85" t="e">
        <v>#REF!</v>
      </c>
      <c r="T916" s="86"/>
      <c r="U916" s="85"/>
      <c r="V916" s="87"/>
      <c r="W916" s="85"/>
      <c r="X916" s="88"/>
      <c r="Y916" s="89"/>
      <c r="Z916" s="89"/>
      <c r="AA916" s="88"/>
      <c r="AB916" s="88"/>
      <c r="AF916" s="90"/>
      <c r="AK916" s="91"/>
      <c r="AM916" s="92"/>
      <c r="AN916" s="92"/>
      <c r="AO916" s="92"/>
      <c r="AP916" s="92"/>
      <c r="AQ916" s="92"/>
      <c r="AR916" s="92"/>
    </row>
    <row r="917" spans="1:44" s="84" customFormat="1" ht="24" customHeight="1" x14ac:dyDescent="0.3">
      <c r="A917" s="78" t="s">
        <v>4709</v>
      </c>
      <c r="B917" s="79" t="s">
        <v>1092</v>
      </c>
      <c r="C917" s="112">
        <v>1104537</v>
      </c>
      <c r="D917" s="112">
        <v>1100468</v>
      </c>
      <c r="E917" s="112">
        <v>29191149</v>
      </c>
      <c r="F917" s="81" t="s">
        <v>4941</v>
      </c>
      <c r="G917" s="82" t="s">
        <v>4762</v>
      </c>
      <c r="H917" s="82" t="s">
        <v>4942</v>
      </c>
      <c r="I917" s="82" t="s">
        <v>3122</v>
      </c>
      <c r="J917" s="83" t="str">
        <f>VLOOKUP($C917,CHOOSE({1,2},'[4]Prestações de Conta inadimplent'!$D$9:$D$2000,'[4]Prestações de Conta inadimplent'!$C$9:$C$2000),2,0)</f>
        <v>Colegio Estadual Solange Hortelio Franco</v>
      </c>
      <c r="K917" s="95"/>
      <c r="L917" s="85"/>
      <c r="M917" s="85" t="e">
        <v>#REF!</v>
      </c>
      <c r="T917" s="86"/>
      <c r="U917" s="85"/>
      <c r="V917" s="87"/>
      <c r="W917" s="85"/>
      <c r="X917" s="88"/>
      <c r="Y917" s="89"/>
      <c r="Z917" s="89"/>
      <c r="AA917" s="88"/>
      <c r="AB917" s="88"/>
      <c r="AF917" s="90"/>
      <c r="AK917" s="91"/>
      <c r="AM917" s="92"/>
      <c r="AN917" s="92"/>
      <c r="AO917" s="92"/>
      <c r="AP917" s="92"/>
      <c r="AQ917" s="92"/>
      <c r="AR917" s="92"/>
    </row>
    <row r="918" spans="1:44" s="84" customFormat="1" ht="24" customHeight="1" x14ac:dyDescent="0.3">
      <c r="A918" s="78" t="s">
        <v>4709</v>
      </c>
      <c r="B918" s="79" t="s">
        <v>1092</v>
      </c>
      <c r="C918" s="112">
        <v>1176079</v>
      </c>
      <c r="D918" s="112">
        <v>1100231</v>
      </c>
      <c r="E918" s="112">
        <v>29192188</v>
      </c>
      <c r="F918" s="81" t="s">
        <v>4943</v>
      </c>
      <c r="G918" s="82" t="s">
        <v>4762</v>
      </c>
      <c r="H918" s="82" t="s">
        <v>4944</v>
      </c>
      <c r="I918" s="82" t="s">
        <v>3103</v>
      </c>
      <c r="J918" s="83" t="e">
        <f>VLOOKUP($C918,CHOOSE({1,2},'[4]Prestações de Conta inadimplent'!$D$9:$D$2000,'[4]Prestações de Conta inadimplent'!$C$9:$C$2000),2,0)</f>
        <v>#N/A</v>
      </c>
      <c r="L918" s="85"/>
      <c r="M918" s="85" t="e">
        <v>#REF!</v>
      </c>
      <c r="T918" s="86"/>
      <c r="U918" s="85"/>
      <c r="V918" s="87"/>
      <c r="W918" s="85"/>
      <c r="X918" s="88"/>
      <c r="Y918" s="89"/>
      <c r="Z918" s="89"/>
      <c r="AA918" s="88"/>
      <c r="AB918" s="88"/>
      <c r="AF918" s="90"/>
      <c r="AK918" s="91"/>
      <c r="AM918" s="92"/>
      <c r="AN918" s="92"/>
      <c r="AO918" s="92"/>
      <c r="AP918" s="92"/>
      <c r="AQ918" s="92"/>
      <c r="AR918" s="92"/>
    </row>
    <row r="919" spans="1:44" s="84" customFormat="1" ht="24" customHeight="1" x14ac:dyDescent="0.3">
      <c r="A919" s="78" t="s">
        <v>4709</v>
      </c>
      <c r="B919" s="79" t="s">
        <v>1092</v>
      </c>
      <c r="C919" s="112">
        <v>1176760</v>
      </c>
      <c r="D919" s="112">
        <v>1100580</v>
      </c>
      <c r="E919" s="112">
        <v>29404304</v>
      </c>
      <c r="F919" s="81" t="s">
        <v>4945</v>
      </c>
      <c r="G919" s="82" t="s">
        <v>4762</v>
      </c>
      <c r="H919" s="82" t="s">
        <v>4946</v>
      </c>
      <c r="I919" s="82" t="s">
        <v>3122</v>
      </c>
      <c r="J919" s="83" t="str">
        <f>VLOOKUP($C919,CHOOSE({1,2},'[4]Prestações de Conta inadimplent'!$D$9:$D$2000,'[4]Prestações de Conta inadimplent'!$C$9:$C$2000),2,0)</f>
        <v>Colegio Estadual Vila Canaria</v>
      </c>
      <c r="L919" s="85"/>
      <c r="M919" s="85" t="e">
        <v>#REF!</v>
      </c>
      <c r="T919" s="86"/>
      <c r="U919" s="85"/>
      <c r="V919" s="87"/>
      <c r="W919" s="85"/>
      <c r="X919" s="88"/>
      <c r="Y919" s="89"/>
      <c r="Z919" s="89"/>
      <c r="AA919" s="88"/>
      <c r="AB919" s="88"/>
      <c r="AF919" s="90"/>
      <c r="AK919" s="91"/>
      <c r="AM919" s="92"/>
      <c r="AN919" s="92"/>
      <c r="AO919" s="92"/>
      <c r="AP919" s="92"/>
      <c r="AQ919" s="92"/>
      <c r="AR919" s="92"/>
    </row>
    <row r="920" spans="1:44" s="84" customFormat="1" ht="24" customHeight="1" x14ac:dyDescent="0.3">
      <c r="A920" s="78" t="s">
        <v>4709</v>
      </c>
      <c r="B920" s="79" t="s">
        <v>1092</v>
      </c>
      <c r="C920" s="112">
        <v>1102917</v>
      </c>
      <c r="D920" s="112">
        <v>1100353</v>
      </c>
      <c r="E920" s="112">
        <v>29186552</v>
      </c>
      <c r="F920" s="81" t="s">
        <v>4947</v>
      </c>
      <c r="G920" s="82" t="s">
        <v>4762</v>
      </c>
      <c r="H920" s="82" t="s">
        <v>4948</v>
      </c>
      <c r="I920" s="82" t="s">
        <v>3122</v>
      </c>
      <c r="J920" s="83" t="str">
        <f>VLOOKUP($C920,CHOOSE({1,2},'[4]Prestações de Conta inadimplent'!$D$9:$D$2000,'[4]Prestações de Conta inadimplent'!$C$9:$C$2000),2,0)</f>
        <v>Escola Estadual Professora Natalia Vinhaes</v>
      </c>
      <c r="L920" s="85"/>
      <c r="M920" s="85" t="e">
        <v>#REF!</v>
      </c>
      <c r="T920" s="86"/>
      <c r="U920" s="85"/>
      <c r="V920" s="87"/>
      <c r="W920" s="85"/>
      <c r="X920" s="85"/>
      <c r="Y920" s="89"/>
      <c r="Z920" s="89"/>
      <c r="AA920" s="88"/>
      <c r="AB920" s="88"/>
      <c r="AF920" s="90"/>
      <c r="AK920" s="91"/>
      <c r="AM920" s="92"/>
      <c r="AN920" s="92"/>
      <c r="AO920" s="92"/>
      <c r="AP920" s="92"/>
      <c r="AQ920" s="92"/>
      <c r="AR920" s="92"/>
    </row>
    <row r="921" spans="1:44" s="84" customFormat="1" ht="24" customHeight="1" x14ac:dyDescent="0.3">
      <c r="A921" s="78" t="s">
        <v>4709</v>
      </c>
      <c r="B921" s="79" t="s">
        <v>1092</v>
      </c>
      <c r="C921" s="112">
        <v>1176661</v>
      </c>
      <c r="D921" s="112">
        <v>1100572</v>
      </c>
      <c r="E921" s="112">
        <v>29404290</v>
      </c>
      <c r="F921" s="81" t="s">
        <v>4949</v>
      </c>
      <c r="G921" s="82" t="s">
        <v>4762</v>
      </c>
      <c r="H921" s="82" t="s">
        <v>4950</v>
      </c>
      <c r="I921" s="82" t="s">
        <v>3122</v>
      </c>
      <c r="J921" s="83" t="str">
        <f>VLOOKUP($C921,CHOOSE({1,2},'[4]Prestações de Conta inadimplent'!$D$9:$D$2000,'[4]Prestações de Conta inadimplent'!$C$9:$C$2000),2,0)</f>
        <v>Colegio Estadual Professor Jose Barreto De Araujo Bastos</v>
      </c>
      <c r="L921" s="85"/>
      <c r="M921" s="85" t="e">
        <v>#REF!</v>
      </c>
      <c r="T921" s="86"/>
      <c r="U921" s="85"/>
      <c r="V921" s="87"/>
      <c r="W921" s="85"/>
      <c r="X921" s="88"/>
      <c r="Y921" s="89"/>
      <c r="Z921" s="89"/>
      <c r="AA921" s="88"/>
      <c r="AB921" s="88"/>
      <c r="AF921" s="90"/>
      <c r="AK921" s="91"/>
      <c r="AM921" s="92"/>
      <c r="AN921" s="92"/>
      <c r="AO921" s="92"/>
      <c r="AP921" s="92"/>
      <c r="AQ921" s="92"/>
      <c r="AR921" s="92"/>
    </row>
    <row r="922" spans="1:44" s="84" customFormat="1" ht="24" customHeight="1" x14ac:dyDescent="0.3">
      <c r="A922" s="78" t="s">
        <v>4709</v>
      </c>
      <c r="B922" s="79" t="s">
        <v>1092</v>
      </c>
      <c r="C922" s="112">
        <v>1104820</v>
      </c>
      <c r="D922" s="112">
        <v>1100342</v>
      </c>
      <c r="E922" s="112">
        <v>29182050</v>
      </c>
      <c r="F922" s="81" t="s">
        <v>1135</v>
      </c>
      <c r="G922" s="82" t="s">
        <v>4762</v>
      </c>
      <c r="H922" s="82" t="s">
        <v>4951</v>
      </c>
      <c r="I922" s="82" t="s">
        <v>3103</v>
      </c>
      <c r="J922" s="83" t="e">
        <f>VLOOKUP($C922,CHOOSE({1,2},'[4]Prestações de Conta inadimplent'!$D$9:$D$2000,'[4]Prestações de Conta inadimplent'!$C$9:$C$2000),2,0)</f>
        <v>#N/A</v>
      </c>
      <c r="L922" s="85"/>
      <c r="M922" s="85" t="e">
        <v>#REF!</v>
      </c>
      <c r="T922" s="86"/>
      <c r="U922" s="85"/>
      <c r="V922" s="87"/>
      <c r="W922" s="85"/>
      <c r="X922" s="88"/>
      <c r="Y922" s="89"/>
      <c r="Z922" s="89"/>
      <c r="AA922" s="88"/>
      <c r="AB922" s="88"/>
      <c r="AF922" s="90"/>
      <c r="AK922" s="91"/>
      <c r="AM922" s="92"/>
      <c r="AN922" s="92"/>
      <c r="AO922" s="92"/>
      <c r="AP922" s="92"/>
      <c r="AQ922" s="92"/>
      <c r="AR922" s="92"/>
    </row>
    <row r="923" spans="1:44" s="84" customFormat="1" ht="24" customHeight="1" x14ac:dyDescent="0.3">
      <c r="A923" s="78" t="s">
        <v>4709</v>
      </c>
      <c r="B923" s="79" t="s">
        <v>1092</v>
      </c>
      <c r="C923" s="112">
        <v>1100817</v>
      </c>
      <c r="D923" s="112">
        <v>1100589</v>
      </c>
      <c r="E923" s="112">
        <v>29192617</v>
      </c>
      <c r="F923" s="81" t="s">
        <v>4952</v>
      </c>
      <c r="G923" s="82" t="s">
        <v>4762</v>
      </c>
      <c r="H923" s="82" t="s">
        <v>4953</v>
      </c>
      <c r="I923" s="82" t="s">
        <v>3103</v>
      </c>
      <c r="J923" s="83" t="e">
        <f>VLOOKUP($C923,CHOOSE({1,2},'[4]Prestações de Conta inadimplent'!$D$9:$D$2000,'[4]Prestações de Conta inadimplent'!$C$9:$C$2000),2,0)</f>
        <v>#N/A</v>
      </c>
      <c r="L923" s="85"/>
      <c r="M923" s="85" t="e">
        <v>#REF!</v>
      </c>
      <c r="T923" s="86"/>
      <c r="U923" s="85"/>
      <c r="V923" s="87"/>
      <c r="W923" s="85"/>
      <c r="X923" s="88"/>
      <c r="Y923" s="89"/>
      <c r="Z923" s="89"/>
      <c r="AA923" s="88"/>
      <c r="AB923" s="88"/>
      <c r="AF923" s="90"/>
      <c r="AK923" s="91"/>
      <c r="AM923" s="92"/>
      <c r="AN923" s="92"/>
      <c r="AO923" s="92"/>
      <c r="AP923" s="92"/>
      <c r="AQ923" s="92"/>
      <c r="AR923" s="92"/>
    </row>
    <row r="924" spans="1:44" s="84" customFormat="1" ht="24" customHeight="1" x14ac:dyDescent="0.3">
      <c r="A924" s="78" t="s">
        <v>4709</v>
      </c>
      <c r="B924" s="79" t="s">
        <v>1092</v>
      </c>
      <c r="C924" s="112">
        <v>1104936</v>
      </c>
      <c r="D924" s="112">
        <v>1100348</v>
      </c>
      <c r="E924" s="112">
        <v>29187320</v>
      </c>
      <c r="F924" s="81" t="s">
        <v>4954</v>
      </c>
      <c r="G924" s="82" t="s">
        <v>4762</v>
      </c>
      <c r="H924" s="82" t="s">
        <v>4955</v>
      </c>
      <c r="I924" s="82" t="s">
        <v>3122</v>
      </c>
      <c r="J924" s="83" t="str">
        <f>VLOOKUP($C924,CHOOSE({1,2},'[4]Prestações de Conta inadimplent'!$D$9:$D$2000,'[4]Prestações de Conta inadimplent'!$C$9:$C$2000),2,0)</f>
        <v>Centro Est Educ Prof Gestao Negocios Turismo Luiz Navarro De Brito</v>
      </c>
      <c r="K924" s="96"/>
      <c r="L924" s="85"/>
      <c r="M924" s="85" t="e">
        <v>#REF!</v>
      </c>
      <c r="T924" s="86"/>
      <c r="U924" s="85"/>
      <c r="V924" s="87"/>
      <c r="W924" s="85"/>
      <c r="X924" s="88"/>
      <c r="Y924" s="89"/>
      <c r="Z924" s="89"/>
      <c r="AA924" s="88"/>
      <c r="AB924" s="88"/>
      <c r="AF924" s="90"/>
      <c r="AK924" s="91"/>
      <c r="AM924" s="92"/>
      <c r="AN924" s="92"/>
      <c r="AO924" s="92"/>
      <c r="AP924" s="92"/>
      <c r="AQ924" s="92"/>
      <c r="AR924" s="92"/>
    </row>
    <row r="925" spans="1:44" s="84" customFormat="1" ht="24" customHeight="1" x14ac:dyDescent="0.3">
      <c r="A925" s="78" t="s">
        <v>4709</v>
      </c>
      <c r="B925" s="79" t="s">
        <v>1092</v>
      </c>
      <c r="C925" s="112">
        <v>1176720</v>
      </c>
      <c r="D925" s="112">
        <v>1100578</v>
      </c>
      <c r="E925" s="112">
        <v>29404371</v>
      </c>
      <c r="F925" s="81" t="s">
        <v>4956</v>
      </c>
      <c r="G925" s="82" t="s">
        <v>4762</v>
      </c>
      <c r="H925" s="82" t="s">
        <v>4957</v>
      </c>
      <c r="I925" s="82" t="s">
        <v>3122</v>
      </c>
      <c r="J925" s="83" t="str">
        <f>VLOOKUP($C925,CHOOSE({1,2},'[4]Prestações de Conta inadimplent'!$D$9:$D$2000,'[4]Prestações de Conta inadimplent'!$C$9:$C$2000),2,0)</f>
        <v>Colegio Estadual Professor Aristides De Souza Oliveira</v>
      </c>
      <c r="L925" s="85"/>
      <c r="M925" s="85" t="e">
        <v>#REF!</v>
      </c>
      <c r="T925" s="86"/>
      <c r="U925" s="85"/>
      <c r="V925" s="87"/>
      <c r="W925" s="85"/>
      <c r="X925" s="88"/>
      <c r="Y925" s="89"/>
      <c r="Z925" s="89"/>
      <c r="AA925" s="88"/>
      <c r="AB925" s="88"/>
      <c r="AF925" s="90"/>
      <c r="AK925" s="91"/>
      <c r="AM925" s="92"/>
      <c r="AN925" s="92"/>
      <c r="AO925" s="92"/>
      <c r="AP925" s="92"/>
      <c r="AQ925" s="92"/>
      <c r="AR925" s="92"/>
    </row>
    <row r="926" spans="1:44" s="84" customFormat="1" ht="24" customHeight="1" x14ac:dyDescent="0.3">
      <c r="A926" s="78" t="s">
        <v>4709</v>
      </c>
      <c r="B926" s="79" t="s">
        <v>1092</v>
      </c>
      <c r="C926" s="112">
        <v>1104596</v>
      </c>
      <c r="D926" s="112">
        <v>1100471</v>
      </c>
      <c r="E926" s="112">
        <v>29181534</v>
      </c>
      <c r="F926" s="81" t="s">
        <v>4958</v>
      </c>
      <c r="G926" s="82" t="s">
        <v>4762</v>
      </c>
      <c r="H926" s="82" t="s">
        <v>4959</v>
      </c>
      <c r="I926" s="82" t="s">
        <v>3122</v>
      </c>
      <c r="J926" s="83" t="str">
        <f>VLOOKUP($C926,CHOOSE({1,2},'[4]Prestações de Conta inadimplent'!$D$9:$D$2000,'[4]Prestações de Conta inadimplent'!$C$9:$C$2000),2,0)</f>
        <v>Colegio Estadual Nelson Mandela</v>
      </c>
      <c r="L926" s="85"/>
      <c r="M926" s="85" t="e">
        <v>#REF!</v>
      </c>
      <c r="T926" s="86"/>
      <c r="U926" s="85"/>
      <c r="V926" s="87"/>
      <c r="W926" s="85"/>
      <c r="X926" s="88"/>
      <c r="Y926" s="89"/>
      <c r="Z926" s="89"/>
      <c r="AA926" s="88"/>
      <c r="AB926" s="88"/>
      <c r="AF926" s="90"/>
      <c r="AK926" s="91"/>
      <c r="AM926" s="92"/>
      <c r="AN926" s="92"/>
      <c r="AO926" s="92"/>
      <c r="AP926" s="92"/>
      <c r="AQ926" s="92"/>
      <c r="AR926" s="92"/>
    </row>
    <row r="927" spans="1:44" s="84" customFormat="1" ht="24" customHeight="1" x14ac:dyDescent="0.3">
      <c r="A927" s="78" t="s">
        <v>4709</v>
      </c>
      <c r="B927" s="79" t="s">
        <v>1092</v>
      </c>
      <c r="C927" s="112">
        <v>1100833</v>
      </c>
      <c r="D927" s="112">
        <v>1100259</v>
      </c>
      <c r="E927" s="112">
        <v>29184932</v>
      </c>
      <c r="F927" s="81" t="s">
        <v>1192</v>
      </c>
      <c r="G927" s="82" t="s">
        <v>4762</v>
      </c>
      <c r="H927" s="82" t="s">
        <v>4960</v>
      </c>
      <c r="I927" s="82" t="s">
        <v>3103</v>
      </c>
      <c r="J927" s="83" t="e">
        <f>VLOOKUP($C927,CHOOSE({1,2},'[4]Prestações de Conta inadimplent'!$D$9:$D$2000,'[4]Prestações de Conta inadimplent'!$C$9:$C$2000),2,0)</f>
        <v>#N/A</v>
      </c>
      <c r="L927" s="85"/>
      <c r="M927" s="85" t="e">
        <v>#REF!</v>
      </c>
      <c r="T927" s="86"/>
      <c r="U927" s="85"/>
      <c r="V927" s="87"/>
      <c r="W927" s="85"/>
      <c r="X927" s="88"/>
      <c r="Y927" s="89"/>
      <c r="Z927" s="88"/>
      <c r="AA927" s="88"/>
      <c r="AB927" s="88"/>
      <c r="AF927" s="90"/>
      <c r="AK927" s="91"/>
      <c r="AM927" s="92"/>
      <c r="AN927" s="92"/>
      <c r="AO927" s="92"/>
      <c r="AP927" s="92"/>
      <c r="AQ927" s="92"/>
      <c r="AR927" s="92"/>
    </row>
    <row r="928" spans="1:44" s="84" customFormat="1" ht="24" customHeight="1" x14ac:dyDescent="0.3">
      <c r="A928" s="78" t="s">
        <v>4709</v>
      </c>
      <c r="B928" s="79" t="s">
        <v>1092</v>
      </c>
      <c r="C928" s="112">
        <v>1104570</v>
      </c>
      <c r="D928" s="112">
        <v>1100330</v>
      </c>
      <c r="E928" s="112">
        <v>29191360</v>
      </c>
      <c r="F928" s="81" t="s">
        <v>4961</v>
      </c>
      <c r="G928" s="82" t="s">
        <v>4762</v>
      </c>
      <c r="H928" s="82" t="s">
        <v>4962</v>
      </c>
      <c r="I928" s="82" t="s">
        <v>3103</v>
      </c>
      <c r="J928" s="83" t="e">
        <f>VLOOKUP($C928,CHOOSE({1,2},'[4]Prestações de Conta inadimplent'!$D$9:$D$2000,'[4]Prestações de Conta inadimplent'!$C$9:$C$2000),2,0)</f>
        <v>#N/A</v>
      </c>
      <c r="L928" s="85"/>
      <c r="M928" s="85" t="e">
        <v>#REF!</v>
      </c>
      <c r="T928" s="86"/>
      <c r="U928" s="85"/>
      <c r="V928" s="87"/>
      <c r="W928" s="85"/>
      <c r="X928" s="85"/>
      <c r="Y928" s="89"/>
      <c r="Z928" s="89"/>
      <c r="AA928" s="88"/>
      <c r="AB928" s="88"/>
      <c r="AF928" s="90"/>
      <c r="AK928" s="91"/>
      <c r="AM928" s="92"/>
      <c r="AN928" s="92"/>
      <c r="AO928" s="92"/>
      <c r="AP928" s="92"/>
      <c r="AQ928" s="92"/>
      <c r="AR928" s="92"/>
    </row>
    <row r="929" spans="1:44" s="84" customFormat="1" ht="24" customHeight="1" x14ac:dyDescent="0.3">
      <c r="A929" s="78" t="s">
        <v>4709</v>
      </c>
      <c r="B929" s="79" t="s">
        <v>1092</v>
      </c>
      <c r="C929" s="112">
        <v>1100884</v>
      </c>
      <c r="D929" s="112">
        <v>1100592</v>
      </c>
      <c r="E929" s="112">
        <v>29184983</v>
      </c>
      <c r="F929" s="81" t="s">
        <v>1195</v>
      </c>
      <c r="G929" s="82" t="s">
        <v>4762</v>
      </c>
      <c r="H929" s="82" t="s">
        <v>4963</v>
      </c>
      <c r="I929" s="82" t="s">
        <v>3122</v>
      </c>
      <c r="J929" s="83" t="str">
        <f>VLOOKUP($C929,CHOOSE({1,2},'[4]Prestações de Conta inadimplent'!$D$9:$D$2000,'[4]Prestações de Conta inadimplent'!$C$9:$C$2000),2,0)</f>
        <v>Colegio Estadual Professora Leila Rubens Fonseca</v>
      </c>
      <c r="L929" s="85"/>
      <c r="M929" s="85" t="e">
        <v>#REF!</v>
      </c>
      <c r="T929" s="86"/>
      <c r="U929" s="85"/>
      <c r="V929" s="87"/>
      <c r="W929" s="85"/>
      <c r="X929" s="85"/>
      <c r="Y929" s="89"/>
      <c r="Z929" s="89"/>
      <c r="AA929" s="88"/>
      <c r="AB929" s="88"/>
      <c r="AF929" s="90"/>
      <c r="AK929" s="91"/>
      <c r="AM929" s="92"/>
      <c r="AN929" s="92"/>
      <c r="AO929" s="92"/>
      <c r="AP929" s="92"/>
      <c r="AQ929" s="92"/>
      <c r="AR929" s="92"/>
    </row>
    <row r="930" spans="1:44" s="84" customFormat="1" ht="24" customHeight="1" x14ac:dyDescent="0.3">
      <c r="A930" s="78" t="s">
        <v>4709</v>
      </c>
      <c r="B930" s="79" t="s">
        <v>1092</v>
      </c>
      <c r="C930" s="112">
        <v>1100981</v>
      </c>
      <c r="D930" s="112">
        <v>1100270</v>
      </c>
      <c r="E930" s="112">
        <v>29184460</v>
      </c>
      <c r="F930" s="81" t="s">
        <v>1186</v>
      </c>
      <c r="G930" s="82" t="s">
        <v>4762</v>
      </c>
      <c r="H930" s="82" t="s">
        <v>4964</v>
      </c>
      <c r="I930" s="82" t="s">
        <v>3122</v>
      </c>
      <c r="J930" s="83" t="str">
        <f>VLOOKUP($C930,CHOOSE({1,2},'[4]Prestações de Conta inadimplent'!$D$9:$D$2000,'[4]Prestações de Conta inadimplent'!$C$9:$C$2000),2,0)</f>
        <v>Colegio Estadual Democratico Bertholdo Cirilo Dos Reis</v>
      </c>
      <c r="L930" s="85"/>
      <c r="M930" s="85" t="e">
        <v>#REF!</v>
      </c>
      <c r="T930" s="86"/>
      <c r="U930" s="85"/>
      <c r="V930" s="87"/>
      <c r="W930" s="85"/>
      <c r="X930" s="88"/>
      <c r="Y930" s="89"/>
      <c r="Z930" s="89"/>
      <c r="AA930" s="88"/>
      <c r="AB930" s="88"/>
      <c r="AF930" s="90"/>
      <c r="AK930" s="91"/>
      <c r="AM930" s="92"/>
      <c r="AN930" s="92"/>
      <c r="AO930" s="92"/>
      <c r="AP930" s="92"/>
      <c r="AQ930" s="92"/>
      <c r="AR930" s="92"/>
    </row>
    <row r="931" spans="1:44" s="84" customFormat="1" ht="24" customHeight="1" x14ac:dyDescent="0.3">
      <c r="A931" s="78" t="s">
        <v>4709</v>
      </c>
      <c r="B931" s="79" t="s">
        <v>1092</v>
      </c>
      <c r="C931" s="112">
        <v>1104880</v>
      </c>
      <c r="D931" s="112">
        <v>1100479</v>
      </c>
      <c r="E931" s="112">
        <v>29187303</v>
      </c>
      <c r="F931" s="81" t="s">
        <v>4965</v>
      </c>
      <c r="G931" s="82" t="s">
        <v>4762</v>
      </c>
      <c r="H931" s="82" t="s">
        <v>4966</v>
      </c>
      <c r="I931" s="82" t="s">
        <v>3103</v>
      </c>
      <c r="J931" s="83" t="e">
        <f>VLOOKUP($C931,CHOOSE({1,2},'[4]Prestações de Conta inadimplent'!$D$9:$D$2000,'[4]Prestações de Conta inadimplent'!$C$9:$C$2000),2,0)</f>
        <v>#N/A</v>
      </c>
      <c r="L931" s="85"/>
      <c r="M931" s="85" t="e">
        <v>#REF!</v>
      </c>
      <c r="T931" s="86"/>
      <c r="U931" s="85"/>
      <c r="V931" s="87"/>
      <c r="W931" s="85"/>
      <c r="X931" s="88"/>
      <c r="Y931" s="89"/>
      <c r="Z931" s="89"/>
      <c r="AA931" s="88"/>
      <c r="AB931" s="88"/>
      <c r="AF931" s="90"/>
      <c r="AK931" s="91"/>
      <c r="AM931" s="92"/>
      <c r="AN931" s="92"/>
      <c r="AO931" s="92"/>
      <c r="AP931" s="92"/>
      <c r="AQ931" s="92"/>
      <c r="AR931" s="92"/>
    </row>
    <row r="932" spans="1:44" s="84" customFormat="1" ht="24" customHeight="1" x14ac:dyDescent="0.3">
      <c r="A932" s="78" t="s">
        <v>4709</v>
      </c>
      <c r="B932" s="79" t="s">
        <v>1092</v>
      </c>
      <c r="C932" s="112">
        <v>1103387</v>
      </c>
      <c r="D932" s="112">
        <v>1100403</v>
      </c>
      <c r="E932" s="112">
        <v>29181550</v>
      </c>
      <c r="F932" s="81" t="s">
        <v>4967</v>
      </c>
      <c r="G932" s="82" t="s">
        <v>4762</v>
      </c>
      <c r="H932" s="82" t="s">
        <v>4968</v>
      </c>
      <c r="I932" s="82" t="s">
        <v>3122</v>
      </c>
      <c r="J932" s="83" t="str">
        <f>VLOOKUP($C932,CHOOSE({1,2},'[4]Prestações de Conta inadimplent'!$D$9:$D$2000,'[4]Prestações de Conta inadimplent'!$C$9:$C$2000),2,0)</f>
        <v>Colegio Estadual Senhor Do Bonfim</v>
      </c>
      <c r="L932" s="85"/>
      <c r="M932" s="85" t="e">
        <v>#REF!</v>
      </c>
      <c r="T932" s="86"/>
      <c r="U932" s="85"/>
      <c r="V932" s="87"/>
      <c r="W932" s="85"/>
      <c r="X932" s="88"/>
      <c r="Y932" s="89"/>
      <c r="Z932" s="89"/>
      <c r="AA932" s="88"/>
      <c r="AB932" s="88"/>
      <c r="AF932" s="90"/>
      <c r="AK932" s="91"/>
      <c r="AM932" s="92"/>
      <c r="AN932" s="92"/>
      <c r="AO932" s="92"/>
      <c r="AP932" s="92"/>
      <c r="AQ932" s="92"/>
      <c r="AR932" s="92"/>
    </row>
    <row r="933" spans="1:44" s="84" customFormat="1" ht="24" customHeight="1" x14ac:dyDescent="0.3">
      <c r="A933" s="78" t="s">
        <v>4709</v>
      </c>
      <c r="B933" s="79" t="s">
        <v>1092</v>
      </c>
      <c r="C933" s="112">
        <v>1103212</v>
      </c>
      <c r="D933" s="112">
        <v>1100366</v>
      </c>
      <c r="E933" s="112">
        <v>29200075</v>
      </c>
      <c r="F933" s="81" t="s">
        <v>1449</v>
      </c>
      <c r="G933" s="82" t="s">
        <v>4762</v>
      </c>
      <c r="H933" s="82" t="s">
        <v>4969</v>
      </c>
      <c r="I933" s="82" t="s">
        <v>3103</v>
      </c>
      <c r="J933" s="83" t="e">
        <f>VLOOKUP($C933,CHOOSE({1,2},'[4]Prestações de Conta inadimplent'!$D$9:$D$2000,'[4]Prestações de Conta inadimplent'!$C$9:$C$2000),2,0)</f>
        <v>#N/A</v>
      </c>
      <c r="L933" s="85"/>
      <c r="M933" s="85" t="e">
        <v>#REF!</v>
      </c>
      <c r="T933" s="86"/>
      <c r="U933" s="85"/>
      <c r="V933" s="87"/>
      <c r="W933" s="85"/>
      <c r="X933" s="88"/>
      <c r="Y933" s="89"/>
      <c r="Z933" s="89"/>
      <c r="AA933" s="88"/>
      <c r="AB933" s="88"/>
      <c r="AF933" s="90"/>
      <c r="AK933" s="91"/>
      <c r="AM933" s="92"/>
      <c r="AN933" s="92"/>
      <c r="AO933" s="92"/>
      <c r="AP933" s="92"/>
      <c r="AQ933" s="92"/>
      <c r="AR933" s="92"/>
    </row>
    <row r="934" spans="1:44" s="84" customFormat="1" ht="24" customHeight="1" x14ac:dyDescent="0.3">
      <c r="A934" s="78" t="s">
        <v>4709</v>
      </c>
      <c r="B934" s="79" t="s">
        <v>1092</v>
      </c>
      <c r="C934" s="112">
        <v>1104413</v>
      </c>
      <c r="D934" s="112">
        <v>1100305</v>
      </c>
      <c r="E934" s="112">
        <v>29192790</v>
      </c>
      <c r="F934" s="81" t="s">
        <v>4970</v>
      </c>
      <c r="G934" s="82" t="s">
        <v>4762</v>
      </c>
      <c r="H934" s="82" t="s">
        <v>4971</v>
      </c>
      <c r="I934" s="82" t="s">
        <v>3122</v>
      </c>
      <c r="J934" s="83" t="str">
        <f>VLOOKUP($C934,CHOOSE({1,2},'[4]Prestações de Conta inadimplent'!$D$9:$D$2000,'[4]Prestações de Conta inadimplent'!$C$9:$C$2000),2,0)</f>
        <v>Colegio Estadual Henriqueta Martins Catharino</v>
      </c>
      <c r="L934" s="85"/>
      <c r="M934" s="85" t="e">
        <v>#REF!</v>
      </c>
      <c r="T934" s="86"/>
      <c r="U934" s="85"/>
      <c r="V934" s="87"/>
      <c r="W934" s="85"/>
      <c r="X934" s="88"/>
      <c r="Y934" s="89"/>
      <c r="Z934" s="89"/>
      <c r="AA934" s="88"/>
      <c r="AB934" s="88"/>
      <c r="AF934" s="90"/>
      <c r="AK934" s="91"/>
      <c r="AM934" s="92"/>
      <c r="AN934" s="92"/>
      <c r="AO934" s="92"/>
      <c r="AP934" s="92"/>
      <c r="AQ934" s="92"/>
      <c r="AR934" s="92"/>
    </row>
    <row r="935" spans="1:44" s="84" customFormat="1" ht="24" customHeight="1" x14ac:dyDescent="0.3">
      <c r="A935" s="78" t="s">
        <v>4709</v>
      </c>
      <c r="B935" s="79" t="s">
        <v>1092</v>
      </c>
      <c r="C935" s="112">
        <v>1104898</v>
      </c>
      <c r="D935" s="112">
        <v>1100480</v>
      </c>
      <c r="E935" s="112">
        <v>29192021</v>
      </c>
      <c r="F935" s="81" t="s">
        <v>1371</v>
      </c>
      <c r="G935" s="82" t="s">
        <v>4762</v>
      </c>
      <c r="H935" s="82" t="s">
        <v>4972</v>
      </c>
      <c r="I935" s="82" t="s">
        <v>3103</v>
      </c>
      <c r="J935" s="83" t="e">
        <f>VLOOKUP($C935,CHOOSE({1,2},'[4]Prestações de Conta inadimplent'!$D$9:$D$2000,'[4]Prestações de Conta inadimplent'!$C$9:$C$2000),2,0)</f>
        <v>#N/A</v>
      </c>
      <c r="L935" s="85"/>
      <c r="M935" s="85" t="e">
        <v>#REF!</v>
      </c>
      <c r="T935" s="86"/>
      <c r="U935" s="85"/>
      <c r="V935" s="87"/>
      <c r="W935" s="85"/>
      <c r="X935" s="88"/>
      <c r="Y935" s="89"/>
      <c r="Z935" s="89"/>
      <c r="AA935" s="88"/>
      <c r="AB935" s="88"/>
      <c r="AF935" s="90"/>
      <c r="AK935" s="91"/>
      <c r="AM935" s="92"/>
      <c r="AN935" s="92"/>
      <c r="AO935" s="92"/>
      <c r="AP935" s="92"/>
      <c r="AQ935" s="92"/>
      <c r="AR935" s="92"/>
    </row>
    <row r="936" spans="1:44" s="84" customFormat="1" ht="24" customHeight="1" x14ac:dyDescent="0.3">
      <c r="A936" s="78" t="s">
        <v>4709</v>
      </c>
      <c r="B936" s="79" t="s">
        <v>1092</v>
      </c>
      <c r="C936" s="112">
        <v>1100418</v>
      </c>
      <c r="D936" s="112">
        <v>1100570</v>
      </c>
      <c r="E936" s="112">
        <v>29189080</v>
      </c>
      <c r="F936" s="81" t="s">
        <v>4973</v>
      </c>
      <c r="G936" s="82" t="s">
        <v>4762</v>
      </c>
      <c r="H936" s="82" t="s">
        <v>4974</v>
      </c>
      <c r="I936" s="82" t="s">
        <v>3122</v>
      </c>
      <c r="J936" s="83" t="str">
        <f>VLOOKUP($C936,CHOOSE({1,2},'[4]Prestações de Conta inadimplent'!$D$9:$D$2000,'[4]Prestações de Conta inadimplent'!$C$9:$C$2000),2,0)</f>
        <v>Colegio Estadual Alfredo Magalhaes</v>
      </c>
      <c r="L936" s="85"/>
      <c r="M936" s="85" t="e">
        <v>#REF!</v>
      </c>
      <c r="T936" s="86"/>
      <c r="U936" s="85"/>
      <c r="V936" s="87"/>
      <c r="W936" s="85"/>
      <c r="X936" s="85"/>
      <c r="Y936" s="89"/>
      <c r="Z936" s="89"/>
      <c r="AA936" s="88"/>
      <c r="AB936" s="88"/>
      <c r="AF936" s="90"/>
      <c r="AK936" s="91"/>
      <c r="AM936" s="92"/>
      <c r="AN936" s="92"/>
      <c r="AO936" s="92"/>
      <c r="AP936" s="92"/>
      <c r="AQ936" s="92"/>
      <c r="AR936" s="92"/>
    </row>
    <row r="937" spans="1:44" s="84" customFormat="1" ht="24" customHeight="1" x14ac:dyDescent="0.3">
      <c r="A937" s="78" t="s">
        <v>4709</v>
      </c>
      <c r="B937" s="79" t="s">
        <v>1092</v>
      </c>
      <c r="C937" s="112">
        <v>1176446</v>
      </c>
      <c r="D937" s="112">
        <v>1100561</v>
      </c>
      <c r="E937" s="112">
        <v>29386535</v>
      </c>
      <c r="F937" s="81" t="s">
        <v>4975</v>
      </c>
      <c r="G937" s="82" t="s">
        <v>4762</v>
      </c>
      <c r="H937" s="82" t="s">
        <v>4976</v>
      </c>
      <c r="I937" s="82" t="s">
        <v>3122</v>
      </c>
      <c r="J937" s="83" t="str">
        <f>VLOOKUP($C937,CHOOSE({1,2},'[4]Prestações de Conta inadimplent'!$D$9:$D$2000,'[4]Prestações de Conta inadimplent'!$C$9:$C$2000),2,0)</f>
        <v>Colegio Estadual Lindembergue Cardoso</v>
      </c>
      <c r="L937" s="85"/>
      <c r="M937" s="85" t="e">
        <v>#REF!</v>
      </c>
      <c r="T937" s="86"/>
      <c r="U937" s="85"/>
      <c r="V937" s="87"/>
      <c r="W937" s="85"/>
      <c r="X937" s="85"/>
      <c r="Y937" s="89"/>
      <c r="Z937" s="89"/>
      <c r="AA937" s="88"/>
      <c r="AB937" s="88"/>
      <c r="AF937" s="90"/>
      <c r="AK937" s="91"/>
      <c r="AM937" s="92"/>
      <c r="AN937" s="92"/>
      <c r="AO937" s="92"/>
      <c r="AP937" s="92"/>
      <c r="AQ937" s="92"/>
      <c r="AR937" s="92"/>
    </row>
    <row r="938" spans="1:44" s="84" customFormat="1" ht="24" customHeight="1" x14ac:dyDescent="0.3">
      <c r="A938" s="78" t="s">
        <v>4709</v>
      </c>
      <c r="B938" s="79" t="s">
        <v>1092</v>
      </c>
      <c r="C938" s="112">
        <v>1101376</v>
      </c>
      <c r="D938" s="112">
        <v>1100611</v>
      </c>
      <c r="E938" s="112">
        <v>29182247</v>
      </c>
      <c r="F938" s="81" t="s">
        <v>4977</v>
      </c>
      <c r="G938" s="82" t="s">
        <v>4762</v>
      </c>
      <c r="H938" s="82" t="s">
        <v>4978</v>
      </c>
      <c r="I938" s="82" t="s">
        <v>3103</v>
      </c>
      <c r="J938" s="83" t="e">
        <f>VLOOKUP($C938,CHOOSE({1,2},'[4]Prestações de Conta inadimplent'!$D$9:$D$2000,'[4]Prestações de Conta inadimplent'!$C$9:$C$2000),2,0)</f>
        <v>#N/A</v>
      </c>
      <c r="L938" s="85"/>
      <c r="M938" s="85" t="e">
        <v>#REF!</v>
      </c>
      <c r="T938" s="86"/>
      <c r="U938" s="85"/>
      <c r="V938" s="87"/>
      <c r="W938" s="85"/>
      <c r="X938" s="88"/>
      <c r="Y938" s="89"/>
      <c r="Z938" s="89"/>
      <c r="AA938" s="88"/>
      <c r="AB938" s="88"/>
      <c r="AF938" s="90"/>
      <c r="AK938" s="91"/>
      <c r="AM938" s="92"/>
      <c r="AN938" s="92"/>
      <c r="AO938" s="92"/>
      <c r="AP938" s="92"/>
      <c r="AQ938" s="92"/>
      <c r="AR938" s="92"/>
    </row>
    <row r="939" spans="1:44" s="84" customFormat="1" ht="24" customHeight="1" x14ac:dyDescent="0.3">
      <c r="A939" s="78" t="s">
        <v>4709</v>
      </c>
      <c r="B939" s="79" t="s">
        <v>1092</v>
      </c>
      <c r="C939" s="112">
        <v>1101856</v>
      </c>
      <c r="D939" s="112">
        <v>1100492</v>
      </c>
      <c r="E939" s="112">
        <v>29181470</v>
      </c>
      <c r="F939" s="81" t="s">
        <v>1111</v>
      </c>
      <c r="G939" s="82" t="s">
        <v>4762</v>
      </c>
      <c r="H939" s="82" t="s">
        <v>4979</v>
      </c>
      <c r="I939" s="82" t="s">
        <v>3122</v>
      </c>
      <c r="J939" s="83" t="str">
        <f>VLOOKUP($C939,CHOOSE({1,2},'[4]Prestações de Conta inadimplent'!$D$9:$D$2000,'[4]Prestações de Conta inadimplent'!$C$9:$C$2000),2,0)</f>
        <v>Colegio Estadual Duque De Caxias</v>
      </c>
      <c r="L939" s="85"/>
      <c r="M939" s="85" t="e">
        <v>#REF!</v>
      </c>
      <c r="T939" s="86"/>
      <c r="U939" s="85"/>
      <c r="V939" s="87"/>
      <c r="W939" s="85"/>
      <c r="X939" s="88"/>
      <c r="Y939" s="89"/>
      <c r="Z939" s="89"/>
      <c r="AA939" s="88"/>
      <c r="AB939" s="88"/>
      <c r="AF939" s="90"/>
      <c r="AK939" s="91"/>
      <c r="AM939" s="92"/>
      <c r="AN939" s="92"/>
      <c r="AO939" s="92"/>
      <c r="AP939" s="92"/>
      <c r="AQ939" s="92"/>
      <c r="AR939" s="92"/>
    </row>
    <row r="940" spans="1:44" s="84" customFormat="1" ht="24" customHeight="1" x14ac:dyDescent="0.3">
      <c r="A940" s="78" t="s">
        <v>4709</v>
      </c>
      <c r="B940" s="79" t="s">
        <v>1092</v>
      </c>
      <c r="C940" s="112">
        <v>1103557</v>
      </c>
      <c r="D940" s="112">
        <v>1100442</v>
      </c>
      <c r="E940" s="112">
        <v>29186749</v>
      </c>
      <c r="F940" s="81" t="s">
        <v>4980</v>
      </c>
      <c r="G940" s="82" t="s">
        <v>4762</v>
      </c>
      <c r="H940" s="82" t="s">
        <v>4981</v>
      </c>
      <c r="I940" s="82" t="s">
        <v>3122</v>
      </c>
      <c r="J940" s="83" t="str">
        <f>VLOOKUP($C940,CHOOSE({1,2},'[4]Prestações de Conta inadimplent'!$D$9:$D$2000,'[4]Prestações de Conta inadimplent'!$C$9:$C$2000),2,0)</f>
        <v>Escola Estadual Ocridalina Madureira</v>
      </c>
      <c r="L940" s="85"/>
      <c r="M940" s="85" t="e">
        <v>#REF!</v>
      </c>
      <c r="T940" s="86"/>
      <c r="U940" s="85"/>
      <c r="V940" s="87"/>
      <c r="W940" s="85"/>
      <c r="X940" s="85"/>
      <c r="Y940" s="89"/>
      <c r="Z940" s="89"/>
      <c r="AA940" s="88"/>
      <c r="AB940" s="88"/>
      <c r="AF940" s="90"/>
      <c r="AK940" s="91"/>
      <c r="AM940" s="92"/>
      <c r="AN940" s="92"/>
      <c r="AO940" s="92"/>
      <c r="AP940" s="92"/>
      <c r="AQ940" s="92"/>
      <c r="AR940" s="92"/>
    </row>
    <row r="941" spans="1:44" s="84" customFormat="1" ht="24" customHeight="1" x14ac:dyDescent="0.3">
      <c r="A941" s="78" t="s">
        <v>4709</v>
      </c>
      <c r="B941" s="79" t="s">
        <v>1092</v>
      </c>
      <c r="C941" s="112">
        <v>1103816</v>
      </c>
      <c r="D941" s="112">
        <v>1100449</v>
      </c>
      <c r="E941" s="112">
        <v>29190894</v>
      </c>
      <c r="F941" s="81" t="s">
        <v>1312</v>
      </c>
      <c r="G941" s="82" t="s">
        <v>4762</v>
      </c>
      <c r="H941" s="82" t="s">
        <v>4982</v>
      </c>
      <c r="I941" s="82" t="s">
        <v>3122</v>
      </c>
      <c r="J941" s="83" t="str">
        <f>VLOOKUP($C941,CHOOSE({1,2},'[4]Prestações de Conta inadimplent'!$D$9:$D$2000,'[4]Prestações de Conta inadimplent'!$C$9:$C$2000),2,0)</f>
        <v>Colegio Estadual De Tempo Integral Jose Dias De Sales</v>
      </c>
      <c r="L941" s="85"/>
      <c r="M941" s="85" t="e">
        <v>#REF!</v>
      </c>
      <c r="T941" s="86"/>
      <c r="U941" s="85"/>
      <c r="V941" s="87"/>
      <c r="W941" s="85"/>
      <c r="X941" s="88"/>
      <c r="Y941" s="89"/>
      <c r="Z941" s="89"/>
      <c r="AA941" s="88"/>
      <c r="AB941" s="88"/>
      <c r="AF941" s="90"/>
      <c r="AK941" s="91"/>
      <c r="AM941" s="92"/>
      <c r="AN941" s="92"/>
      <c r="AO941" s="92"/>
      <c r="AP941" s="92"/>
      <c r="AQ941" s="92"/>
      <c r="AR941" s="92"/>
    </row>
    <row r="942" spans="1:44" s="84" customFormat="1" ht="24" customHeight="1" x14ac:dyDescent="0.3">
      <c r="A942" s="78" t="s">
        <v>4709</v>
      </c>
      <c r="B942" s="79" t="s">
        <v>1092</v>
      </c>
      <c r="C942" s="112">
        <v>1104677</v>
      </c>
      <c r="D942" s="112">
        <v>1100475</v>
      </c>
      <c r="E942" s="112">
        <v>29187010</v>
      </c>
      <c r="F942" s="81" t="s">
        <v>1219</v>
      </c>
      <c r="G942" s="82" t="s">
        <v>4762</v>
      </c>
      <c r="H942" s="82" t="s">
        <v>3998</v>
      </c>
      <c r="I942" s="82" t="s">
        <v>3103</v>
      </c>
      <c r="J942" s="83" t="e">
        <f>VLOOKUP($C942,CHOOSE({1,2},'[4]Prestações de Conta inadimplent'!$D$9:$D$2000,'[4]Prestações de Conta inadimplent'!$C$9:$C$2000),2,0)</f>
        <v>#N/A</v>
      </c>
      <c r="L942" s="85"/>
      <c r="M942" s="85" t="e">
        <v>#REF!</v>
      </c>
      <c r="T942" s="86"/>
      <c r="U942" s="85"/>
      <c r="V942" s="87"/>
      <c r="W942" s="85"/>
      <c r="X942" s="85"/>
      <c r="Y942" s="89"/>
      <c r="Z942" s="89"/>
      <c r="AA942" s="88"/>
      <c r="AB942" s="88"/>
      <c r="AF942" s="90"/>
      <c r="AK942" s="91"/>
      <c r="AM942" s="92"/>
      <c r="AN942" s="92"/>
      <c r="AO942" s="92"/>
      <c r="AP942" s="92"/>
      <c r="AQ942" s="92"/>
      <c r="AR942" s="92"/>
    </row>
    <row r="943" spans="1:44" s="84" customFormat="1" ht="24" customHeight="1" x14ac:dyDescent="0.3">
      <c r="A943" s="78" t="s">
        <v>4709</v>
      </c>
      <c r="B943" s="79" t="s">
        <v>1092</v>
      </c>
      <c r="C943" s="112">
        <v>1102534</v>
      </c>
      <c r="D943" s="112">
        <v>1100515</v>
      </c>
      <c r="E943" s="112">
        <v>29191378</v>
      </c>
      <c r="F943" s="81" t="s">
        <v>4983</v>
      </c>
      <c r="G943" s="82" t="s">
        <v>4762</v>
      </c>
      <c r="H943" s="82" t="s">
        <v>4984</v>
      </c>
      <c r="I943" s="82" t="s">
        <v>3122</v>
      </c>
      <c r="J943" s="83" t="str">
        <f>VLOOKUP($C943,CHOOSE({1,2},'[4]Prestações de Conta inadimplent'!$D$9:$D$2000,'[4]Prestações de Conta inadimplent'!$C$9:$C$2000),2,0)</f>
        <v>Colegio Estadual Clarice Santiago Dos Santos</v>
      </c>
      <c r="L943" s="85" t="s">
        <v>3099</v>
      </c>
      <c r="M943" s="85" t="e">
        <v>#REF!</v>
      </c>
      <c r="T943" s="86"/>
      <c r="U943" s="85"/>
      <c r="V943" s="87"/>
      <c r="W943" s="85"/>
      <c r="X943" s="88"/>
      <c r="Y943" s="89"/>
      <c r="Z943" s="89"/>
      <c r="AA943" s="88"/>
      <c r="AB943" s="88"/>
      <c r="AF943" s="90"/>
      <c r="AK943" s="91"/>
      <c r="AM943" s="92"/>
      <c r="AN943" s="92"/>
      <c r="AO943" s="92"/>
      <c r="AP943" s="92"/>
      <c r="AQ943" s="92"/>
      <c r="AR943" s="92"/>
    </row>
    <row r="944" spans="1:44" s="84" customFormat="1" ht="24" customHeight="1" x14ac:dyDescent="0.3">
      <c r="A944" s="78" t="s">
        <v>4709</v>
      </c>
      <c r="B944" s="79" t="s">
        <v>1092</v>
      </c>
      <c r="C944" s="112">
        <v>1176880</v>
      </c>
      <c r="D944" s="112">
        <v>1100624</v>
      </c>
      <c r="E944" s="112">
        <v>29404339</v>
      </c>
      <c r="F944" s="81" t="s">
        <v>2415</v>
      </c>
      <c r="G944" s="82" t="s">
        <v>4762</v>
      </c>
      <c r="H944" s="82" t="s">
        <v>4985</v>
      </c>
      <c r="I944" s="82" t="s">
        <v>3103</v>
      </c>
      <c r="J944" s="83" t="e">
        <f>VLOOKUP($C944,CHOOSE({1,2},'[4]Prestações de Conta inadimplent'!$D$9:$D$2000,'[4]Prestações de Conta inadimplent'!$C$9:$C$2000),2,0)</f>
        <v>#N/A</v>
      </c>
      <c r="L944" s="85"/>
      <c r="M944" s="85" t="e">
        <v>#REF!</v>
      </c>
      <c r="T944" s="86"/>
      <c r="U944" s="85"/>
      <c r="V944" s="87"/>
      <c r="W944" s="85"/>
      <c r="X944" s="88"/>
      <c r="Y944" s="89"/>
      <c r="Z944" s="89"/>
      <c r="AA944" s="88"/>
      <c r="AB944" s="88"/>
      <c r="AF944" s="90"/>
      <c r="AK944" s="91"/>
      <c r="AM944" s="92"/>
      <c r="AN944" s="92"/>
      <c r="AO944" s="92"/>
      <c r="AP944" s="92"/>
      <c r="AQ944" s="92"/>
      <c r="AR944" s="92"/>
    </row>
    <row r="945" spans="1:44" s="84" customFormat="1" ht="24" customHeight="1" x14ac:dyDescent="0.3">
      <c r="A945" s="78" t="s">
        <v>4709</v>
      </c>
      <c r="B945" s="79" t="s">
        <v>1092</v>
      </c>
      <c r="C945" s="112">
        <v>1102160</v>
      </c>
      <c r="D945" s="112">
        <v>1100500</v>
      </c>
      <c r="E945" s="112">
        <v>29190754</v>
      </c>
      <c r="F945" s="81" t="s">
        <v>4986</v>
      </c>
      <c r="G945" s="82" t="s">
        <v>4762</v>
      </c>
      <c r="H945" s="82" t="s">
        <v>4987</v>
      </c>
      <c r="I945" s="82" t="s">
        <v>3122</v>
      </c>
      <c r="J945" s="83" t="str">
        <f>VLOOKUP($C945,CHOOSE({1,2},'[4]Prestações de Conta inadimplent'!$D$9:$D$2000,'[4]Prestações de Conta inadimplent'!$C$9:$C$2000),2,0)</f>
        <v>Colegio Estadual Doutor Joao Pedro Dos Santos</v>
      </c>
      <c r="K945" s="96"/>
      <c r="L945" s="85"/>
      <c r="M945" s="85" t="e">
        <v>#REF!</v>
      </c>
      <c r="T945" s="86"/>
      <c r="U945" s="85"/>
      <c r="V945" s="87"/>
      <c r="W945" s="85"/>
      <c r="X945" s="88"/>
      <c r="Y945" s="89"/>
      <c r="Z945" s="89"/>
      <c r="AA945" s="88"/>
      <c r="AB945" s="88"/>
      <c r="AF945" s="90"/>
      <c r="AK945" s="91"/>
      <c r="AM945" s="92"/>
      <c r="AN945" s="92"/>
      <c r="AO945" s="92"/>
      <c r="AP945" s="92"/>
      <c r="AQ945" s="92"/>
      <c r="AR945" s="92"/>
    </row>
    <row r="946" spans="1:44" s="84" customFormat="1" ht="24" customHeight="1" x14ac:dyDescent="0.3">
      <c r="A946" s="78" t="s">
        <v>4709</v>
      </c>
      <c r="B946" s="79" t="s">
        <v>1092</v>
      </c>
      <c r="C946" s="112">
        <v>1101430</v>
      </c>
      <c r="D946" s="112">
        <v>1100613</v>
      </c>
      <c r="E946" s="112">
        <v>29179629</v>
      </c>
      <c r="F946" s="81" t="s">
        <v>4988</v>
      </c>
      <c r="G946" s="82" t="s">
        <v>4762</v>
      </c>
      <c r="H946" s="82" t="s">
        <v>4989</v>
      </c>
      <c r="I946" s="82" t="s">
        <v>3103</v>
      </c>
      <c r="J946" s="83" t="e">
        <f>VLOOKUP($C946,CHOOSE({1,2},'[4]Prestações de Conta inadimplent'!$D$9:$D$2000,'[4]Prestações de Conta inadimplent'!$C$9:$C$2000),2,0)</f>
        <v>#N/A</v>
      </c>
      <c r="L946" s="85"/>
      <c r="M946" s="85" t="e">
        <v>#REF!</v>
      </c>
      <c r="T946" s="86"/>
      <c r="U946" s="85"/>
      <c r="V946" s="87"/>
      <c r="W946" s="85"/>
      <c r="X946" s="88"/>
      <c r="Y946" s="89"/>
      <c r="Z946" s="89"/>
      <c r="AA946" s="88"/>
      <c r="AB946" s="88"/>
      <c r="AF946" s="90"/>
      <c r="AK946" s="91"/>
      <c r="AM946" s="92"/>
      <c r="AN946" s="92"/>
      <c r="AO946" s="92"/>
      <c r="AP946" s="92"/>
      <c r="AQ946" s="92"/>
      <c r="AR946" s="92"/>
    </row>
    <row r="947" spans="1:44" s="84" customFormat="1" ht="24" customHeight="1" x14ac:dyDescent="0.3">
      <c r="A947" s="78" t="s">
        <v>4709</v>
      </c>
      <c r="B947" s="79" t="s">
        <v>1092</v>
      </c>
      <c r="C947" s="112">
        <v>1100868</v>
      </c>
      <c r="D947" s="112">
        <v>1100261</v>
      </c>
      <c r="E947" s="112">
        <v>29191572</v>
      </c>
      <c r="F947" s="81" t="s">
        <v>1359</v>
      </c>
      <c r="G947" s="82" t="s">
        <v>4762</v>
      </c>
      <c r="H947" s="82" t="s">
        <v>4990</v>
      </c>
      <c r="I947" s="82" t="s">
        <v>3103</v>
      </c>
      <c r="J947" s="83" t="e">
        <f>VLOOKUP($C947,CHOOSE({1,2},'[4]Prestações de Conta inadimplent'!$D$9:$D$2000,'[4]Prestações de Conta inadimplent'!$C$9:$C$2000),2,0)</f>
        <v>#N/A</v>
      </c>
      <c r="L947" s="85"/>
      <c r="M947" s="85" t="e">
        <v>#REF!</v>
      </c>
      <c r="T947" s="86"/>
      <c r="U947" s="85"/>
      <c r="V947" s="87"/>
      <c r="W947" s="85"/>
      <c r="X947" s="85"/>
      <c r="Y947" s="89"/>
      <c r="Z947" s="89"/>
      <c r="AA947" s="88"/>
      <c r="AB947" s="88"/>
      <c r="AF947" s="90"/>
      <c r="AK947" s="91"/>
      <c r="AM947" s="92"/>
      <c r="AN947" s="92"/>
      <c r="AO947" s="92"/>
      <c r="AP947" s="92"/>
      <c r="AQ947" s="92"/>
      <c r="AR947" s="92"/>
    </row>
    <row r="948" spans="1:44" s="84" customFormat="1" ht="24" customHeight="1" x14ac:dyDescent="0.3">
      <c r="A948" s="78" t="s">
        <v>4709</v>
      </c>
      <c r="B948" s="79" t="s">
        <v>1092</v>
      </c>
      <c r="C948" s="112">
        <v>1145829</v>
      </c>
      <c r="D948" s="112">
        <v>1100490</v>
      </c>
      <c r="E948" s="112">
        <v>29191270</v>
      </c>
      <c r="F948" s="81" t="s">
        <v>4991</v>
      </c>
      <c r="G948" s="82" t="s">
        <v>4762</v>
      </c>
      <c r="H948" s="82" t="s">
        <v>4992</v>
      </c>
      <c r="I948" s="82" t="s">
        <v>3122</v>
      </c>
      <c r="J948" s="83" t="str">
        <f>VLOOKUP($C948,CHOOSE({1,2},'[4]Prestações de Conta inadimplent'!$D$9:$D$2000,'[4]Prestações de Conta inadimplent'!$C$9:$C$2000),2,0)</f>
        <v>Colegio Estadual Bento Goncalves</v>
      </c>
      <c r="L948" s="85"/>
      <c r="M948" s="85" t="e">
        <v>#REF!</v>
      </c>
      <c r="T948" s="86"/>
      <c r="U948" s="85"/>
      <c r="V948" s="87"/>
      <c r="W948" s="85"/>
      <c r="X948" s="88"/>
      <c r="Y948" s="89"/>
      <c r="Z948" s="89"/>
      <c r="AA948" s="88"/>
      <c r="AB948" s="88"/>
      <c r="AF948" s="90"/>
      <c r="AK948" s="91"/>
      <c r="AM948" s="92"/>
      <c r="AN948" s="92"/>
      <c r="AO948" s="92"/>
      <c r="AP948" s="92"/>
      <c r="AQ948" s="92"/>
      <c r="AR948" s="92"/>
    </row>
    <row r="949" spans="1:44" s="84" customFormat="1" ht="24" customHeight="1" x14ac:dyDescent="0.3">
      <c r="A949" s="78" t="s">
        <v>4709</v>
      </c>
      <c r="B949" s="79" t="s">
        <v>1092</v>
      </c>
      <c r="C949" s="112">
        <v>1100221</v>
      </c>
      <c r="D949" s="112">
        <v>1100567</v>
      </c>
      <c r="E949" s="112">
        <v>29189047</v>
      </c>
      <c r="F949" s="81" t="s">
        <v>4993</v>
      </c>
      <c r="G949" s="82" t="s">
        <v>4762</v>
      </c>
      <c r="H949" s="82" t="s">
        <v>4994</v>
      </c>
      <c r="I949" s="82" t="s">
        <v>3103</v>
      </c>
      <c r="J949" s="83" t="e">
        <f>VLOOKUP($C949,CHOOSE({1,2},'[4]Prestações de Conta inadimplent'!$D$9:$D$2000,'[4]Prestações de Conta inadimplent'!$C$9:$C$2000),2,0)</f>
        <v>#N/A</v>
      </c>
      <c r="L949" s="85"/>
      <c r="M949" s="85" t="e">
        <v>#REF!</v>
      </c>
      <c r="T949" s="86"/>
      <c r="U949" s="85"/>
      <c r="V949" s="87"/>
      <c r="W949" s="85"/>
      <c r="X949" s="88"/>
      <c r="Y949" s="89"/>
      <c r="Z949" s="89"/>
      <c r="AA949" s="88"/>
      <c r="AB949" s="88"/>
      <c r="AF949" s="90"/>
      <c r="AK949" s="91"/>
      <c r="AM949" s="92"/>
      <c r="AN949" s="92"/>
      <c r="AO949" s="92"/>
      <c r="AP949" s="92"/>
      <c r="AQ949" s="92"/>
      <c r="AR949" s="92"/>
    </row>
    <row r="950" spans="1:44" s="84" customFormat="1" ht="24" customHeight="1" x14ac:dyDescent="0.3">
      <c r="A950" s="78" t="s">
        <v>4709</v>
      </c>
      <c r="B950" s="79" t="s">
        <v>1092</v>
      </c>
      <c r="C950" s="112">
        <v>1102941</v>
      </c>
      <c r="D950" s="112">
        <v>1100546</v>
      </c>
      <c r="E950" s="112">
        <v>29196434</v>
      </c>
      <c r="F950" s="81" t="s">
        <v>4995</v>
      </c>
      <c r="G950" s="82" t="s">
        <v>4762</v>
      </c>
      <c r="H950" s="82" t="s">
        <v>4996</v>
      </c>
      <c r="I950" s="82" t="s">
        <v>3103</v>
      </c>
      <c r="J950" s="83" t="e">
        <f>VLOOKUP($C950,CHOOSE({1,2},'[4]Prestações de Conta inadimplent'!$D$9:$D$2000,'[4]Prestações de Conta inadimplent'!$C$9:$C$2000),2,0)</f>
        <v>#N/A</v>
      </c>
      <c r="L950" s="85"/>
      <c r="M950" s="85" t="e">
        <v>#REF!</v>
      </c>
      <c r="T950" s="86"/>
      <c r="U950" s="85"/>
      <c r="V950" s="87"/>
      <c r="W950" s="85"/>
      <c r="X950" s="88"/>
      <c r="Y950" s="89"/>
      <c r="Z950" s="89"/>
      <c r="AA950" s="88"/>
      <c r="AB950" s="88"/>
      <c r="AF950" s="90"/>
      <c r="AK950" s="91"/>
      <c r="AM950" s="92"/>
      <c r="AN950" s="92"/>
      <c r="AO950" s="92"/>
      <c r="AP950" s="92"/>
      <c r="AQ950" s="92"/>
      <c r="AR950" s="92"/>
    </row>
    <row r="951" spans="1:44" s="84" customFormat="1" ht="24" customHeight="1" x14ac:dyDescent="0.3">
      <c r="A951" s="78" t="s">
        <v>4709</v>
      </c>
      <c r="B951" s="79" t="s">
        <v>1092</v>
      </c>
      <c r="C951" s="112">
        <v>1104243</v>
      </c>
      <c r="D951" s="112">
        <v>1100461</v>
      </c>
      <c r="E951" s="112">
        <v>29191157</v>
      </c>
      <c r="F951" s="81" t="s">
        <v>1339</v>
      </c>
      <c r="G951" s="82" t="s">
        <v>4762</v>
      </c>
      <c r="H951" s="82" t="s">
        <v>4997</v>
      </c>
      <c r="I951" s="82" t="s">
        <v>3103</v>
      </c>
      <c r="J951" s="83" t="e">
        <f>VLOOKUP($C951,CHOOSE({1,2},'[4]Prestações de Conta inadimplent'!$D$9:$D$2000,'[4]Prestações de Conta inadimplent'!$C$9:$C$2000),2,0)</f>
        <v>#N/A</v>
      </c>
      <c r="L951" s="85"/>
      <c r="M951" s="85" t="e">
        <v>#REF!</v>
      </c>
      <c r="T951" s="86"/>
      <c r="U951" s="85"/>
      <c r="V951" s="87"/>
      <c r="W951" s="85"/>
      <c r="X951" s="88"/>
      <c r="Y951" s="89"/>
      <c r="Z951" s="89"/>
      <c r="AA951" s="88"/>
      <c r="AB951" s="88"/>
      <c r="AF951" s="90"/>
      <c r="AK951" s="91"/>
      <c r="AM951" s="92"/>
      <c r="AN951" s="92"/>
      <c r="AO951" s="92"/>
      <c r="AP951" s="92"/>
      <c r="AQ951" s="92"/>
      <c r="AR951" s="92"/>
    </row>
    <row r="952" spans="1:44" s="84" customFormat="1" ht="24" customHeight="1" x14ac:dyDescent="0.3">
      <c r="A952" s="78" t="s">
        <v>4709</v>
      </c>
      <c r="B952" s="79" t="s">
        <v>1092</v>
      </c>
      <c r="C952" s="112">
        <v>1177094</v>
      </c>
      <c r="D952" s="112">
        <v>1100627</v>
      </c>
      <c r="E952" s="112">
        <v>29414903</v>
      </c>
      <c r="F952" s="81" t="s">
        <v>2460</v>
      </c>
      <c r="G952" s="82" t="s">
        <v>4762</v>
      </c>
      <c r="H952" s="82" t="s">
        <v>4998</v>
      </c>
      <c r="I952" s="82" t="s">
        <v>3103</v>
      </c>
      <c r="J952" s="83" t="e">
        <f>VLOOKUP($C952,CHOOSE({1,2},'[4]Prestações de Conta inadimplent'!$D$9:$D$2000,'[4]Prestações de Conta inadimplent'!$C$9:$C$2000),2,0)</f>
        <v>#N/A</v>
      </c>
      <c r="L952" s="85"/>
      <c r="M952" s="85" t="e">
        <v>#REF!</v>
      </c>
      <c r="T952" s="86"/>
      <c r="U952" s="85"/>
      <c r="V952" s="87"/>
      <c r="W952" s="85"/>
      <c r="X952" s="85"/>
      <c r="Y952" s="89"/>
      <c r="Z952" s="88"/>
      <c r="AA952" s="88"/>
      <c r="AB952" s="88"/>
      <c r="AF952" s="90"/>
      <c r="AK952" s="91"/>
      <c r="AM952" s="92"/>
      <c r="AN952" s="92"/>
      <c r="AO952" s="92"/>
      <c r="AP952" s="92"/>
      <c r="AQ952" s="92"/>
      <c r="AR952" s="92"/>
    </row>
    <row r="953" spans="1:44" s="84" customFormat="1" ht="24" customHeight="1" x14ac:dyDescent="0.3">
      <c r="A953" s="78" t="s">
        <v>4709</v>
      </c>
      <c r="B953" s="79" t="s">
        <v>1092</v>
      </c>
      <c r="C953" s="112">
        <v>1102976</v>
      </c>
      <c r="D953" s="112">
        <v>1100547</v>
      </c>
      <c r="E953" s="112">
        <v>29190932</v>
      </c>
      <c r="F953" s="81" t="s">
        <v>4999</v>
      </c>
      <c r="G953" s="82" t="s">
        <v>4762</v>
      </c>
      <c r="H953" s="82" t="s">
        <v>5000</v>
      </c>
      <c r="I953" s="82" t="s">
        <v>3122</v>
      </c>
      <c r="J953" s="83" t="str">
        <f>VLOOKUP($C953,CHOOSE({1,2},'[4]Prestações de Conta inadimplent'!$D$9:$D$2000,'[4]Prestações de Conta inadimplent'!$C$9:$C$2000),2,0)</f>
        <v>Colegio Estadual Euricles De Matos</v>
      </c>
      <c r="L953" s="85"/>
      <c r="M953" s="85" t="e">
        <v>#REF!</v>
      </c>
      <c r="T953" s="86"/>
      <c r="U953" s="85"/>
      <c r="V953" s="87"/>
      <c r="W953" s="85"/>
      <c r="X953" s="85"/>
      <c r="Y953" s="89"/>
      <c r="Z953" s="89"/>
      <c r="AA953" s="88"/>
      <c r="AB953" s="88"/>
      <c r="AF953" s="90"/>
      <c r="AK953" s="91"/>
      <c r="AM953" s="92"/>
      <c r="AN953" s="92"/>
      <c r="AO953" s="92"/>
      <c r="AP953" s="92"/>
      <c r="AQ953" s="92"/>
      <c r="AR953" s="92"/>
    </row>
    <row r="954" spans="1:44" s="84" customFormat="1" ht="24" customHeight="1" x14ac:dyDescent="0.3">
      <c r="A954" s="78" t="s">
        <v>4709</v>
      </c>
      <c r="B954" s="79" t="s">
        <v>1092</v>
      </c>
      <c r="C954" s="112">
        <v>1100612</v>
      </c>
      <c r="D954" s="112">
        <v>1100581</v>
      </c>
      <c r="E954" s="112">
        <v>29182034</v>
      </c>
      <c r="F954" s="81" t="s">
        <v>1132</v>
      </c>
      <c r="G954" s="82" t="s">
        <v>4762</v>
      </c>
      <c r="H954" s="82" t="s">
        <v>5001</v>
      </c>
      <c r="I954" s="82" t="s">
        <v>3122</v>
      </c>
      <c r="J954" s="83" t="str">
        <f>VLOOKUP($C954,CHOOSE({1,2},'[4]Prestações de Conta inadimplent'!$D$9:$D$2000,'[4]Prestações de Conta inadimplent'!$C$9:$C$2000),2,0)</f>
        <v>Colegio Estadual Antonio Carlos Magalhaes</v>
      </c>
      <c r="L954" s="85"/>
      <c r="M954" s="85" t="e">
        <v>#REF!</v>
      </c>
      <c r="T954" s="86"/>
      <c r="U954" s="85"/>
      <c r="V954" s="87"/>
      <c r="W954" s="85"/>
      <c r="X954" s="88"/>
      <c r="Y954" s="89"/>
      <c r="Z954" s="89"/>
      <c r="AA954" s="88"/>
      <c r="AB954" s="88"/>
      <c r="AF954" s="90"/>
      <c r="AK954" s="91"/>
      <c r="AM954" s="92"/>
      <c r="AN954" s="92"/>
      <c r="AO954" s="92"/>
      <c r="AP954" s="92"/>
      <c r="AQ954" s="92"/>
      <c r="AR954" s="92"/>
    </row>
    <row r="955" spans="1:44" s="84" customFormat="1" ht="24" customHeight="1" x14ac:dyDescent="0.3">
      <c r="A955" s="78" t="s">
        <v>4709</v>
      </c>
      <c r="B955" s="79" t="s">
        <v>1092</v>
      </c>
      <c r="C955" s="112">
        <v>1102011</v>
      </c>
      <c r="D955" s="112">
        <v>1100498</v>
      </c>
      <c r="E955" s="112">
        <v>29190860</v>
      </c>
      <c r="F955" s="81" t="s">
        <v>5002</v>
      </c>
      <c r="G955" s="82" t="s">
        <v>4762</v>
      </c>
      <c r="H955" s="82" t="s">
        <v>5003</v>
      </c>
      <c r="I955" s="82" t="s">
        <v>3122</v>
      </c>
      <c r="J955" s="83" t="str">
        <f>VLOOKUP($C955,CHOOSE({1,2},'[4]Prestações de Conta inadimplent'!$D$9:$D$2000,'[4]Prestações de Conta inadimplent'!$C$9:$C$2000),2,0)</f>
        <v>Colegio Estadual Cidade De Curitiba</v>
      </c>
      <c r="K955" s="96"/>
      <c r="L955" s="85"/>
      <c r="M955" s="85" t="e">
        <v>#REF!</v>
      </c>
      <c r="T955" s="86"/>
      <c r="U955" s="85"/>
      <c r="V955" s="87"/>
      <c r="W955" s="85"/>
      <c r="X955" s="88"/>
      <c r="Y955" s="89"/>
      <c r="Z955" s="89"/>
      <c r="AA955" s="88"/>
      <c r="AB955" s="88"/>
      <c r="AF955" s="90"/>
      <c r="AK955" s="91"/>
      <c r="AM955" s="92"/>
      <c r="AN955" s="92"/>
      <c r="AO955" s="92"/>
      <c r="AP955" s="92"/>
      <c r="AQ955" s="92"/>
      <c r="AR955" s="92"/>
    </row>
    <row r="956" spans="1:44" s="84" customFormat="1" ht="24" customHeight="1" x14ac:dyDescent="0.3">
      <c r="A956" s="78" t="s">
        <v>4709</v>
      </c>
      <c r="B956" s="79" t="s">
        <v>1092</v>
      </c>
      <c r="C956" s="112">
        <v>1104731</v>
      </c>
      <c r="D956" s="112">
        <v>1100334</v>
      </c>
      <c r="E956" s="112">
        <v>29187001</v>
      </c>
      <c r="F956" s="81" t="s">
        <v>1216</v>
      </c>
      <c r="G956" s="82" t="s">
        <v>4762</v>
      </c>
      <c r="H956" s="82" t="s">
        <v>5004</v>
      </c>
      <c r="I956" s="82" t="s">
        <v>3103</v>
      </c>
      <c r="J956" s="83" t="e">
        <f>VLOOKUP($C956,CHOOSE({1,2},'[4]Prestações de Conta inadimplent'!$D$9:$D$2000,'[4]Prestações de Conta inadimplent'!$C$9:$C$2000),2,0)</f>
        <v>#N/A</v>
      </c>
      <c r="L956" s="85"/>
      <c r="M956" s="85" t="e">
        <v>#REF!</v>
      </c>
      <c r="T956" s="86"/>
      <c r="U956" s="85"/>
      <c r="V956" s="87"/>
      <c r="W956" s="85"/>
      <c r="X956" s="88"/>
      <c r="Y956" s="89"/>
      <c r="Z956" s="89"/>
      <c r="AA956" s="88"/>
      <c r="AB956" s="88"/>
      <c r="AF956" s="90"/>
      <c r="AK956" s="91"/>
      <c r="AM956" s="92"/>
      <c r="AN956" s="92"/>
      <c r="AO956" s="92"/>
      <c r="AP956" s="92"/>
      <c r="AQ956" s="92"/>
      <c r="AR956" s="92"/>
    </row>
    <row r="957" spans="1:44" s="84" customFormat="1" ht="24" customHeight="1" x14ac:dyDescent="0.3">
      <c r="A957" s="78" t="s">
        <v>4709</v>
      </c>
      <c r="B957" s="79" t="s">
        <v>1092</v>
      </c>
      <c r="C957" s="112">
        <v>1176109</v>
      </c>
      <c r="D957" s="112">
        <v>1100537</v>
      </c>
      <c r="E957" s="112">
        <v>29343160</v>
      </c>
      <c r="F957" s="81" t="s">
        <v>2211</v>
      </c>
      <c r="G957" s="82" t="s">
        <v>4762</v>
      </c>
      <c r="H957" s="82" t="s">
        <v>5005</v>
      </c>
      <c r="I957" s="82" t="s">
        <v>3122</v>
      </c>
      <c r="J957" s="83" t="str">
        <f>VLOOKUP($C957,CHOOSE({1,2},'[4]Prestações de Conta inadimplent'!$D$9:$D$2000,'[4]Prestações de Conta inadimplent'!$C$9:$C$2000),2,0)</f>
        <v>Colegio Estadual Professor Carlos Barros</v>
      </c>
      <c r="L957" s="85"/>
      <c r="M957" s="85" t="e">
        <v>#REF!</v>
      </c>
      <c r="T957" s="86"/>
      <c r="U957" s="85"/>
      <c r="V957" s="87"/>
      <c r="W957" s="85"/>
      <c r="X957" s="88"/>
      <c r="Y957" s="89"/>
      <c r="Z957" s="89"/>
      <c r="AA957" s="88"/>
      <c r="AB957" s="88"/>
      <c r="AF957" s="90"/>
      <c r="AK957" s="91"/>
      <c r="AM957" s="92"/>
      <c r="AN957" s="92"/>
      <c r="AO957" s="92"/>
      <c r="AP957" s="92"/>
      <c r="AQ957" s="92"/>
      <c r="AR957" s="92"/>
    </row>
    <row r="958" spans="1:44" s="84" customFormat="1" ht="24" customHeight="1" x14ac:dyDescent="0.3">
      <c r="A958" s="78" t="s">
        <v>4709</v>
      </c>
      <c r="B958" s="79" t="s">
        <v>1092</v>
      </c>
      <c r="C958" s="112">
        <v>1101309</v>
      </c>
      <c r="D958" s="112">
        <v>1100608</v>
      </c>
      <c r="E958" s="112">
        <v>29179548</v>
      </c>
      <c r="F958" s="81" t="s">
        <v>5006</v>
      </c>
      <c r="G958" s="82" t="s">
        <v>4762</v>
      </c>
      <c r="H958" s="82" t="s">
        <v>5007</v>
      </c>
      <c r="I958" s="82" t="s">
        <v>3103</v>
      </c>
      <c r="J958" s="83" t="e">
        <f>VLOOKUP($C958,CHOOSE({1,2},'[4]Prestações de Conta inadimplent'!$D$9:$D$2000,'[4]Prestações de Conta inadimplent'!$C$9:$C$2000),2,0)</f>
        <v>#N/A</v>
      </c>
      <c r="L958" s="85"/>
      <c r="M958" s="85" t="e">
        <v>#REF!</v>
      </c>
      <c r="T958" s="86"/>
      <c r="U958" s="85"/>
      <c r="V958" s="87"/>
      <c r="W958" s="85"/>
      <c r="X958" s="88"/>
      <c r="Y958" s="89"/>
      <c r="Z958" s="89"/>
      <c r="AA958" s="88"/>
      <c r="AB958" s="88"/>
      <c r="AF958" s="90"/>
      <c r="AK958" s="91"/>
      <c r="AM958" s="92"/>
      <c r="AN958" s="92"/>
      <c r="AO958" s="92"/>
      <c r="AP958" s="92"/>
      <c r="AQ958" s="92"/>
      <c r="AR958" s="92"/>
    </row>
    <row r="959" spans="1:44" s="84" customFormat="1" ht="24" customHeight="1" x14ac:dyDescent="0.3">
      <c r="A959" s="78" t="s">
        <v>4709</v>
      </c>
      <c r="B959" s="79" t="s">
        <v>1092</v>
      </c>
      <c r="C959" s="112">
        <v>1176074</v>
      </c>
      <c r="D959" s="112">
        <v>1100230</v>
      </c>
      <c r="E959" s="112">
        <v>29185408</v>
      </c>
      <c r="F959" s="81" t="s">
        <v>5008</v>
      </c>
      <c r="G959" s="82" t="s">
        <v>4762</v>
      </c>
      <c r="H959" s="82" t="s">
        <v>5009</v>
      </c>
      <c r="I959" s="82" t="s">
        <v>3103</v>
      </c>
      <c r="J959" s="83" t="e">
        <f>VLOOKUP($C959,CHOOSE({1,2},'[4]Prestações de Conta inadimplent'!$D$9:$D$2000,'[4]Prestações de Conta inadimplent'!$C$9:$C$2000),2,0)</f>
        <v>#N/A</v>
      </c>
      <c r="L959" s="85"/>
      <c r="M959" s="85" t="e">
        <v>#REF!</v>
      </c>
      <c r="T959" s="86"/>
      <c r="U959" s="85"/>
      <c r="V959" s="87"/>
      <c r="W959" s="85"/>
      <c r="X959" s="85"/>
      <c r="Y959" s="89"/>
      <c r="Z959" s="89"/>
      <c r="AA959" s="88"/>
      <c r="AB959" s="88"/>
      <c r="AF959" s="90"/>
      <c r="AK959" s="91"/>
      <c r="AM959" s="92"/>
      <c r="AN959" s="92"/>
      <c r="AO959" s="92"/>
      <c r="AP959" s="92"/>
      <c r="AQ959" s="92"/>
      <c r="AR959" s="92"/>
    </row>
    <row r="960" spans="1:44" s="84" customFormat="1" ht="24" customHeight="1" x14ac:dyDescent="0.3">
      <c r="A960" s="78" t="s">
        <v>4709</v>
      </c>
      <c r="B960" s="79" t="s">
        <v>1092</v>
      </c>
      <c r="C960" s="112">
        <v>1176391</v>
      </c>
      <c r="D960" s="112">
        <v>1100350</v>
      </c>
      <c r="E960" s="112">
        <v>29357896</v>
      </c>
      <c r="F960" s="81" t="s">
        <v>5010</v>
      </c>
      <c r="G960" s="82" t="s">
        <v>4762</v>
      </c>
      <c r="H960" s="82" t="s">
        <v>5011</v>
      </c>
      <c r="I960" s="82" t="s">
        <v>3103</v>
      </c>
      <c r="J960" s="83" t="e">
        <f>VLOOKUP($C960,CHOOSE({1,2},'[4]Prestações de Conta inadimplent'!$D$9:$D$2000,'[4]Prestações de Conta inadimplent'!$C$9:$C$2000),2,0)</f>
        <v>#N/A</v>
      </c>
      <c r="L960" s="85"/>
      <c r="M960" s="85" t="e">
        <v>#REF!</v>
      </c>
      <c r="T960" s="86"/>
      <c r="U960" s="85"/>
      <c r="V960" s="85"/>
      <c r="W960" s="85"/>
      <c r="X960" s="88"/>
      <c r="Y960" s="89"/>
      <c r="Z960" s="88"/>
      <c r="AA960" s="88"/>
      <c r="AB960" s="88"/>
      <c r="AF960" s="90"/>
      <c r="AK960" s="91"/>
      <c r="AM960" s="92"/>
      <c r="AN960" s="92"/>
      <c r="AO960" s="92"/>
      <c r="AP960" s="92"/>
      <c r="AQ960" s="92"/>
      <c r="AR960" s="92"/>
    </row>
    <row r="961" spans="1:44" s="84" customFormat="1" ht="24" customHeight="1" x14ac:dyDescent="0.3">
      <c r="A961" s="78" t="s">
        <v>4709</v>
      </c>
      <c r="B961" s="79" t="s">
        <v>1092</v>
      </c>
      <c r="C961" s="112">
        <v>1101163</v>
      </c>
      <c r="D961" s="112">
        <v>1100604</v>
      </c>
      <c r="E961" s="112">
        <v>29180490</v>
      </c>
      <c r="F961" s="81" t="s">
        <v>5012</v>
      </c>
      <c r="G961" s="82" t="s">
        <v>4762</v>
      </c>
      <c r="H961" s="82" t="s">
        <v>5013</v>
      </c>
      <c r="I961" s="82" t="s">
        <v>3122</v>
      </c>
      <c r="J961" s="83" t="str">
        <f>VLOOKUP($C961,CHOOSE({1,2},'[4]Prestações de Conta inadimplent'!$D$9:$D$2000,'[4]Prestações de Conta inadimplent'!$C$9:$C$2000),2,0)</f>
        <v>Centro Educacional Edgar Santos</v>
      </c>
      <c r="L961" s="85"/>
      <c r="M961" s="85" t="e">
        <v>#REF!</v>
      </c>
      <c r="T961" s="86"/>
      <c r="U961" s="85"/>
      <c r="V961" s="87"/>
      <c r="W961" s="85"/>
      <c r="X961" s="88"/>
      <c r="Y961" s="89"/>
      <c r="Z961" s="89"/>
      <c r="AA961" s="88"/>
      <c r="AB961" s="88"/>
      <c r="AF961" s="90"/>
      <c r="AK961" s="91"/>
      <c r="AM961" s="92"/>
      <c r="AN961" s="92"/>
      <c r="AO961" s="92"/>
      <c r="AP961" s="92"/>
      <c r="AQ961" s="92"/>
      <c r="AR961" s="92"/>
    </row>
    <row r="962" spans="1:44" s="84" customFormat="1" ht="24" customHeight="1" x14ac:dyDescent="0.3">
      <c r="A962" s="78" t="s">
        <v>4709</v>
      </c>
      <c r="B962" s="79" t="s">
        <v>1092</v>
      </c>
      <c r="C962" s="112">
        <v>1101090</v>
      </c>
      <c r="D962" s="112">
        <v>1100601</v>
      </c>
      <c r="E962" s="112">
        <v>29191106</v>
      </c>
      <c r="F962" s="81" t="s">
        <v>5014</v>
      </c>
      <c r="G962" s="82" t="s">
        <v>4762</v>
      </c>
      <c r="H962" s="82" t="s">
        <v>5015</v>
      </c>
      <c r="I962" s="82" t="s">
        <v>3122</v>
      </c>
      <c r="J962" s="83" t="str">
        <f>VLOOKUP($C962,CHOOSE({1,2},'[4]Prestações de Conta inadimplent'!$D$9:$D$2000,'[4]Prestações de Conta inadimplent'!$C$9:$C$2000),2,0)</f>
        <v>Escola Estadual Professora Candolina - Classe Vii</v>
      </c>
      <c r="L962" s="85"/>
      <c r="M962" s="85" t="e">
        <v>#REF!</v>
      </c>
      <c r="T962" s="86"/>
      <c r="U962" s="85"/>
      <c r="V962" s="87"/>
      <c r="W962" s="85"/>
      <c r="X962" s="85"/>
      <c r="Y962" s="89"/>
      <c r="Z962" s="89"/>
      <c r="AA962" s="88"/>
      <c r="AB962" s="88"/>
      <c r="AF962" s="90"/>
      <c r="AK962" s="91"/>
      <c r="AM962" s="92"/>
      <c r="AN962" s="92"/>
      <c r="AO962" s="92"/>
      <c r="AP962" s="92"/>
      <c r="AQ962" s="92"/>
      <c r="AR962" s="92"/>
    </row>
    <row r="963" spans="1:44" s="84" customFormat="1" ht="24" customHeight="1" x14ac:dyDescent="0.3">
      <c r="A963" s="78" t="s">
        <v>4709</v>
      </c>
      <c r="B963" s="79" t="s">
        <v>1092</v>
      </c>
      <c r="C963" s="112">
        <v>1101899</v>
      </c>
      <c r="D963" s="112">
        <v>1100494</v>
      </c>
      <c r="E963" s="112">
        <v>29181488</v>
      </c>
      <c r="F963" s="81" t="s">
        <v>5016</v>
      </c>
      <c r="G963" s="82" t="s">
        <v>4762</v>
      </c>
      <c r="H963" s="82" t="s">
        <v>5017</v>
      </c>
      <c r="I963" s="82" t="s">
        <v>3103</v>
      </c>
      <c r="J963" s="83" t="e">
        <f>VLOOKUP($C963,CHOOSE({1,2},'[4]Prestações de Conta inadimplent'!$D$9:$D$2000,'[4]Prestações de Conta inadimplent'!$C$9:$C$2000),2,0)</f>
        <v>#N/A</v>
      </c>
      <c r="L963" s="85"/>
      <c r="M963" s="85" t="e">
        <v>#REF!</v>
      </c>
      <c r="T963" s="86"/>
      <c r="U963" s="85"/>
      <c r="V963" s="87"/>
      <c r="W963" s="85"/>
      <c r="X963" s="88"/>
      <c r="Y963" s="89"/>
      <c r="Z963" s="88"/>
      <c r="AA963" s="88"/>
      <c r="AB963" s="88"/>
      <c r="AF963" s="90"/>
      <c r="AK963" s="91"/>
      <c r="AM963" s="92"/>
      <c r="AN963" s="92"/>
      <c r="AO963" s="92"/>
      <c r="AP963" s="92"/>
      <c r="AQ963" s="92"/>
      <c r="AR963" s="92"/>
    </row>
    <row r="964" spans="1:44" s="84" customFormat="1" ht="24" customHeight="1" x14ac:dyDescent="0.3">
      <c r="A964" s="78" t="s">
        <v>4709</v>
      </c>
      <c r="B964" s="79" t="s">
        <v>1092</v>
      </c>
      <c r="C964" s="112">
        <v>1104367</v>
      </c>
      <c r="D964" s="112">
        <v>1100302</v>
      </c>
      <c r="E964" s="112">
        <v>29200296</v>
      </c>
      <c r="F964" s="81" t="s">
        <v>5018</v>
      </c>
      <c r="G964" s="82" t="s">
        <v>4762</v>
      </c>
      <c r="H964" s="82" t="s">
        <v>5019</v>
      </c>
      <c r="I964" s="82" t="s">
        <v>3103</v>
      </c>
      <c r="J964" s="83" t="e">
        <f>VLOOKUP($C964,CHOOSE({1,2},'[4]Prestações de Conta inadimplent'!$D$9:$D$2000,'[4]Prestações de Conta inadimplent'!$C$9:$C$2000),2,0)</f>
        <v>#N/A</v>
      </c>
      <c r="L964" s="85"/>
      <c r="M964" s="85" t="e">
        <v>#REF!</v>
      </c>
      <c r="T964" s="86"/>
      <c r="U964" s="85"/>
      <c r="V964" s="87"/>
      <c r="W964" s="85"/>
      <c r="X964" s="85"/>
      <c r="Y964" s="89"/>
      <c r="Z964" s="89"/>
      <c r="AA964" s="88"/>
      <c r="AB964" s="88"/>
      <c r="AF964" s="90"/>
      <c r="AK964" s="91"/>
      <c r="AM964" s="92"/>
      <c r="AN964" s="92"/>
      <c r="AO964" s="92"/>
      <c r="AP964" s="92"/>
      <c r="AQ964" s="92"/>
      <c r="AR964" s="92"/>
    </row>
    <row r="965" spans="1:44" s="84" customFormat="1" ht="24" customHeight="1" x14ac:dyDescent="0.3">
      <c r="A965" s="78" t="s">
        <v>4709</v>
      </c>
      <c r="B965" s="79" t="s">
        <v>1092</v>
      </c>
      <c r="C965" s="112">
        <v>1103972</v>
      </c>
      <c r="D965" s="112">
        <v>1100422</v>
      </c>
      <c r="E965" s="112">
        <v>29191114</v>
      </c>
      <c r="F965" s="81" t="s">
        <v>1336</v>
      </c>
      <c r="G965" s="82" t="s">
        <v>4762</v>
      </c>
      <c r="H965" s="82" t="s">
        <v>5020</v>
      </c>
      <c r="I965" s="82" t="s">
        <v>3103</v>
      </c>
      <c r="J965" s="83" t="e">
        <f>VLOOKUP($C965,CHOOSE({1,2},'[4]Prestações de Conta inadimplent'!$D$9:$D$2000,'[4]Prestações de Conta inadimplent'!$C$9:$C$2000),2,0)</f>
        <v>#N/A</v>
      </c>
      <c r="L965" s="85"/>
      <c r="M965" s="85" t="e">
        <v>#REF!</v>
      </c>
      <c r="T965" s="86"/>
      <c r="U965" s="85"/>
      <c r="V965" s="87"/>
      <c r="W965" s="85"/>
      <c r="X965" s="85"/>
      <c r="Y965" s="89"/>
      <c r="Z965" s="89"/>
      <c r="AA965" s="88"/>
      <c r="AB965" s="88"/>
      <c r="AF965" s="90"/>
      <c r="AK965" s="91"/>
      <c r="AM965" s="92"/>
      <c r="AN965" s="92"/>
      <c r="AO965" s="92"/>
      <c r="AP965" s="92"/>
      <c r="AQ965" s="92"/>
      <c r="AR965" s="92"/>
    </row>
    <row r="966" spans="1:44" s="84" customFormat="1" ht="24" customHeight="1" x14ac:dyDescent="0.3">
      <c r="A966" s="78" t="s">
        <v>4709</v>
      </c>
      <c r="B966" s="79" t="s">
        <v>1092</v>
      </c>
      <c r="C966" s="112">
        <v>1102151</v>
      </c>
      <c r="D966" s="112">
        <v>1100319</v>
      </c>
      <c r="E966" s="112">
        <v>29182697</v>
      </c>
      <c r="F966" s="81" t="s">
        <v>5021</v>
      </c>
      <c r="G966" s="82" t="s">
        <v>4762</v>
      </c>
      <c r="H966" s="82" t="s">
        <v>5022</v>
      </c>
      <c r="I966" s="82" t="s">
        <v>3122</v>
      </c>
      <c r="J966" s="83" t="str">
        <f>VLOOKUP($C966,CHOOSE({1,2},'[4]Prestações de Conta inadimplent'!$D$9:$D$2000,'[4]Prestações de Conta inadimplent'!$C$9:$C$2000),2,0)</f>
        <v>Colegio Estadual Cleriston Andrade</v>
      </c>
      <c r="L966" s="85"/>
      <c r="M966" s="85" t="e">
        <v>#REF!</v>
      </c>
      <c r="T966" s="86"/>
      <c r="U966" s="85"/>
      <c r="V966" s="87"/>
      <c r="W966" s="85"/>
      <c r="X966" s="88"/>
      <c r="Y966" s="89"/>
      <c r="Z966" s="89"/>
      <c r="AA966" s="88"/>
      <c r="AB966" s="88"/>
      <c r="AF966" s="90"/>
      <c r="AK966" s="91"/>
      <c r="AM966" s="92"/>
      <c r="AN966" s="92"/>
      <c r="AO966" s="92"/>
      <c r="AP966" s="92"/>
      <c r="AQ966" s="92"/>
      <c r="AR966" s="92"/>
    </row>
    <row r="967" spans="1:44" s="84" customFormat="1" ht="24" customHeight="1" x14ac:dyDescent="0.3">
      <c r="A967" s="78" t="s">
        <v>4709</v>
      </c>
      <c r="B967" s="79" t="s">
        <v>1092</v>
      </c>
      <c r="C967" s="112">
        <v>1176795</v>
      </c>
      <c r="D967" s="112">
        <v>1100620</v>
      </c>
      <c r="E967" s="112">
        <v>29404282</v>
      </c>
      <c r="F967" s="81" t="s">
        <v>2406</v>
      </c>
      <c r="G967" s="82" t="s">
        <v>4762</v>
      </c>
      <c r="H967" s="82" t="s">
        <v>5023</v>
      </c>
      <c r="I967" s="82" t="s">
        <v>3103</v>
      </c>
      <c r="J967" s="83" t="e">
        <f>VLOOKUP($C967,CHOOSE({1,2},'[4]Prestações de Conta inadimplent'!$D$9:$D$2000,'[4]Prestações de Conta inadimplent'!$C$9:$C$2000),2,0)</f>
        <v>#N/A</v>
      </c>
      <c r="L967" s="85"/>
      <c r="M967" s="85" t="e">
        <v>#REF!</v>
      </c>
      <c r="T967" s="86"/>
      <c r="U967" s="85"/>
      <c r="V967" s="87"/>
      <c r="W967" s="85"/>
      <c r="X967" s="88"/>
      <c r="Y967" s="89"/>
      <c r="Z967" s="89"/>
      <c r="AA967" s="88"/>
      <c r="AB967" s="88"/>
      <c r="AF967" s="90"/>
      <c r="AK967" s="91"/>
      <c r="AM967" s="92"/>
      <c r="AN967" s="92"/>
      <c r="AO967" s="92"/>
      <c r="AP967" s="92"/>
      <c r="AQ967" s="92"/>
      <c r="AR967" s="92"/>
    </row>
    <row r="968" spans="1:44" s="84" customFormat="1" ht="24" customHeight="1" x14ac:dyDescent="0.3">
      <c r="A968" s="78" t="s">
        <v>4709</v>
      </c>
      <c r="B968" s="79" t="s">
        <v>1092</v>
      </c>
      <c r="C968" s="112">
        <v>1101490</v>
      </c>
      <c r="D968" s="112">
        <v>1100616</v>
      </c>
      <c r="E968" s="112">
        <v>29179491</v>
      </c>
      <c r="F968" s="81" t="s">
        <v>5024</v>
      </c>
      <c r="G968" s="82" t="s">
        <v>4762</v>
      </c>
      <c r="H968" s="82" t="s">
        <v>5025</v>
      </c>
      <c r="I968" s="82" t="s">
        <v>3103</v>
      </c>
      <c r="J968" s="83" t="e">
        <f>VLOOKUP($C968,CHOOSE({1,2},'[4]Prestações de Conta inadimplent'!$D$9:$D$2000,'[4]Prestações de Conta inadimplent'!$C$9:$C$2000),2,0)</f>
        <v>#N/A</v>
      </c>
      <c r="L968" s="85"/>
      <c r="M968" s="85" t="e">
        <v>#REF!</v>
      </c>
      <c r="T968" s="86"/>
      <c r="U968" s="85"/>
      <c r="V968" s="87"/>
      <c r="W968" s="85"/>
      <c r="X968" s="88"/>
      <c r="Y968" s="89"/>
      <c r="Z968" s="89"/>
      <c r="AA968" s="88"/>
      <c r="AB968" s="88"/>
      <c r="AF968" s="90"/>
      <c r="AK968" s="91"/>
      <c r="AM968" s="92"/>
      <c r="AN968" s="92"/>
      <c r="AO968" s="92"/>
      <c r="AP968" s="92"/>
      <c r="AQ968" s="92"/>
      <c r="AR968" s="92"/>
    </row>
    <row r="969" spans="1:44" s="84" customFormat="1" ht="24" customHeight="1" x14ac:dyDescent="0.3">
      <c r="A969" s="78" t="s">
        <v>4709</v>
      </c>
      <c r="B969" s="79" t="s">
        <v>1092</v>
      </c>
      <c r="C969" s="112">
        <v>1101074</v>
      </c>
      <c r="D969" s="112">
        <v>1100600</v>
      </c>
      <c r="E969" s="112">
        <v>29190835</v>
      </c>
      <c r="F969" s="81" t="s">
        <v>1303</v>
      </c>
      <c r="G969" s="82" t="s">
        <v>4762</v>
      </c>
      <c r="H969" s="82" t="s">
        <v>5026</v>
      </c>
      <c r="I969" s="82" t="s">
        <v>3103</v>
      </c>
      <c r="J969" s="83" t="e">
        <f>VLOOKUP($C969,CHOOSE({1,2},'[4]Prestações de Conta inadimplent'!$D$9:$D$2000,'[4]Prestações de Conta inadimplent'!$C$9:$C$2000),2,0)</f>
        <v>#N/A</v>
      </c>
      <c r="L969" s="85"/>
      <c r="M969" s="85" t="e">
        <v>#REF!</v>
      </c>
      <c r="T969" s="86"/>
      <c r="U969" s="85"/>
      <c r="V969" s="87"/>
      <c r="W969" s="85"/>
      <c r="X969" s="88"/>
      <c r="Y969" s="89"/>
      <c r="Z969" s="89"/>
      <c r="AA969" s="88"/>
      <c r="AB969" s="88"/>
      <c r="AF969" s="90"/>
      <c r="AK969" s="91"/>
      <c r="AM969" s="92"/>
      <c r="AN969" s="92"/>
      <c r="AO969" s="92"/>
      <c r="AP969" s="92"/>
      <c r="AQ969" s="92"/>
      <c r="AR969" s="92"/>
    </row>
    <row r="970" spans="1:44" s="84" customFormat="1" ht="24" customHeight="1" x14ac:dyDescent="0.3">
      <c r="A970" s="78" t="s">
        <v>4709</v>
      </c>
      <c r="B970" s="79" t="s">
        <v>1092</v>
      </c>
      <c r="C970" s="112">
        <v>1103441</v>
      </c>
      <c r="D970" s="112">
        <v>1104314</v>
      </c>
      <c r="E970" s="112">
        <v>29199182</v>
      </c>
      <c r="F970" s="81" t="s">
        <v>5027</v>
      </c>
      <c r="G970" s="82" t="s">
        <v>4762</v>
      </c>
      <c r="H970" s="82" t="s">
        <v>5028</v>
      </c>
      <c r="I970" s="82" t="s">
        <v>3103</v>
      </c>
      <c r="J970" s="83" t="e">
        <f>VLOOKUP($C970,CHOOSE({1,2},'[4]Prestações de Conta inadimplent'!$D$9:$D$2000,'[4]Prestações de Conta inadimplent'!$C$9:$C$2000),2,0)</f>
        <v>#N/A</v>
      </c>
      <c r="L970" s="85"/>
      <c r="M970" s="85" t="e">
        <v>#REF!</v>
      </c>
      <c r="T970" s="86"/>
      <c r="U970" s="85"/>
      <c r="V970" s="85"/>
      <c r="W970" s="85"/>
      <c r="X970" s="85"/>
      <c r="Y970" s="89"/>
      <c r="Z970" s="89"/>
      <c r="AA970" s="88"/>
      <c r="AB970" s="88"/>
      <c r="AF970" s="90"/>
      <c r="AK970" s="91"/>
      <c r="AM970" s="92"/>
      <c r="AN970" s="92"/>
      <c r="AO970" s="92"/>
      <c r="AP970" s="92"/>
      <c r="AQ970" s="92"/>
      <c r="AR970" s="92"/>
    </row>
    <row r="971" spans="1:44" s="84" customFormat="1" ht="24" customHeight="1" x14ac:dyDescent="0.3">
      <c r="A971" s="78" t="s">
        <v>4709</v>
      </c>
      <c r="B971" s="79" t="s">
        <v>1092</v>
      </c>
      <c r="C971" s="112">
        <v>1100426</v>
      </c>
      <c r="D971" s="112">
        <v>1100571</v>
      </c>
      <c r="E971" s="112">
        <v>29192030</v>
      </c>
      <c r="F971" s="81" t="s">
        <v>5029</v>
      </c>
      <c r="G971" s="82" t="s">
        <v>4762</v>
      </c>
      <c r="H971" s="82" t="s">
        <v>5030</v>
      </c>
      <c r="I971" s="82" t="s">
        <v>3103</v>
      </c>
      <c r="J971" s="83" t="e">
        <f>VLOOKUP($C971,CHOOSE({1,2},'[4]Prestações de Conta inadimplent'!$D$9:$D$2000,'[4]Prestações de Conta inadimplent'!$C$9:$C$2000),2,0)</f>
        <v>#N/A</v>
      </c>
      <c r="L971" s="85"/>
      <c r="M971" s="85" t="e">
        <v>#REF!</v>
      </c>
      <c r="T971" s="86"/>
      <c r="U971" s="85"/>
      <c r="V971" s="87"/>
      <c r="W971" s="85"/>
      <c r="X971" s="88"/>
      <c r="Y971" s="89"/>
      <c r="Z971" s="88"/>
      <c r="AA971" s="88"/>
      <c r="AB971" s="88"/>
      <c r="AF971" s="90"/>
      <c r="AK971" s="91"/>
      <c r="AM971" s="92"/>
      <c r="AN971" s="92"/>
      <c r="AO971" s="92"/>
      <c r="AP971" s="92"/>
      <c r="AQ971" s="92"/>
      <c r="AR971" s="92"/>
    </row>
    <row r="972" spans="1:44" s="84" customFormat="1" ht="24" customHeight="1" x14ac:dyDescent="0.3">
      <c r="A972" s="78" t="s">
        <v>4709</v>
      </c>
      <c r="B972" s="79" t="s">
        <v>1092</v>
      </c>
      <c r="C972" s="112">
        <v>1104693</v>
      </c>
      <c r="D972" s="112">
        <v>1100333</v>
      </c>
      <c r="E972" s="112">
        <v>29181631</v>
      </c>
      <c r="F972" s="81" t="s">
        <v>5031</v>
      </c>
      <c r="G972" s="82" t="s">
        <v>4762</v>
      </c>
      <c r="H972" s="82" t="s">
        <v>5032</v>
      </c>
      <c r="I972" s="82" t="s">
        <v>3122</v>
      </c>
      <c r="J972" s="83" t="str">
        <f>VLOOKUP($C972,CHOOSE({1,2},'[4]Prestações de Conta inadimplent'!$D$9:$D$2000,'[4]Prestações de Conta inadimplent'!$C$9:$C$2000),2,0)</f>
        <v>Centro Estad De Educ, Inovacao E Formacao Da Bahia-ceeifor- Mae Stella</v>
      </c>
      <c r="K972" s="96"/>
      <c r="L972" s="85"/>
      <c r="M972" s="85" t="e">
        <v>#REF!</v>
      </c>
      <c r="T972" s="86"/>
      <c r="U972" s="85"/>
      <c r="V972" s="87"/>
      <c r="W972" s="85"/>
      <c r="X972" s="88"/>
      <c r="Y972" s="89"/>
      <c r="Z972" s="89"/>
      <c r="AA972" s="88"/>
      <c r="AB972" s="88"/>
      <c r="AF972" s="90"/>
      <c r="AK972" s="91"/>
      <c r="AM972" s="92"/>
      <c r="AN972" s="92"/>
      <c r="AO972" s="92"/>
      <c r="AP972" s="92"/>
      <c r="AQ972" s="92"/>
      <c r="AR972" s="92"/>
    </row>
    <row r="973" spans="1:44" s="84" customFormat="1" ht="24" customHeight="1" x14ac:dyDescent="0.3">
      <c r="A973" s="78" t="s">
        <v>4709</v>
      </c>
      <c r="B973" s="79" t="s">
        <v>1092</v>
      </c>
      <c r="C973" s="112">
        <v>1101120</v>
      </c>
      <c r="D973" s="112">
        <v>1100602</v>
      </c>
      <c r="E973" s="112">
        <v>29187419</v>
      </c>
      <c r="F973" s="81" t="s">
        <v>1237</v>
      </c>
      <c r="G973" s="82" t="s">
        <v>4762</v>
      </c>
      <c r="H973" s="82" t="s">
        <v>5033</v>
      </c>
      <c r="I973" s="82" t="s">
        <v>3122</v>
      </c>
      <c r="J973" s="83" t="str">
        <f>VLOOKUP($C973,CHOOSE({1,2},'[4]Prestações de Conta inadimplent'!$D$9:$D$2000,'[4]Prestações de Conta inadimplent'!$C$9:$C$2000),2,0)</f>
        <v>Colegio Estadual Professora Elisabeth Chaves Veloso</v>
      </c>
      <c r="L973" s="85"/>
      <c r="M973" s="85" t="e">
        <v>#REF!</v>
      </c>
      <c r="T973" s="86"/>
      <c r="U973" s="85"/>
      <c r="V973" s="87"/>
      <c r="W973" s="85"/>
      <c r="X973" s="85"/>
      <c r="Y973" s="89"/>
      <c r="Z973" s="89"/>
      <c r="AA973" s="88"/>
      <c r="AB973" s="88"/>
      <c r="AF973" s="90"/>
      <c r="AK973" s="91"/>
      <c r="AM973" s="92"/>
      <c r="AN973" s="92"/>
      <c r="AO973" s="92"/>
      <c r="AP973" s="92"/>
      <c r="AQ973" s="92"/>
      <c r="AR973" s="92"/>
    </row>
    <row r="974" spans="1:44" s="84" customFormat="1" ht="24" customHeight="1" x14ac:dyDescent="0.3">
      <c r="A974" s="78" t="s">
        <v>4709</v>
      </c>
      <c r="B974" s="79" t="s">
        <v>1092</v>
      </c>
      <c r="C974" s="112">
        <v>1101368</v>
      </c>
      <c r="D974" s="112">
        <v>1100610</v>
      </c>
      <c r="E974" s="112">
        <v>29179394</v>
      </c>
      <c r="F974" s="81" t="s">
        <v>5034</v>
      </c>
      <c r="G974" s="82" t="s">
        <v>4762</v>
      </c>
      <c r="H974" s="82" t="s">
        <v>5035</v>
      </c>
      <c r="I974" s="82" t="s">
        <v>3122</v>
      </c>
      <c r="J974" s="83" t="str">
        <f>VLOOKUP($C974,CHOOSE({1,2},'[4]Prestações de Conta inadimplent'!$D$9:$D$2000,'[4]Prestações de Conta inadimplent'!$C$9:$C$2000),2,0)</f>
        <v>Centro Educacional Carneiro Ribeiro - Classe Ii</v>
      </c>
      <c r="L974" s="85"/>
      <c r="M974" s="85" t="e">
        <v>#REF!</v>
      </c>
      <c r="T974" s="86"/>
      <c r="U974" s="85"/>
      <c r="V974" s="87"/>
      <c r="W974" s="85"/>
      <c r="X974" s="85"/>
      <c r="Y974" s="89"/>
      <c r="Z974" s="89"/>
      <c r="AA974" s="88"/>
      <c r="AB974" s="88"/>
      <c r="AF974" s="90"/>
      <c r="AK974" s="91"/>
      <c r="AM974" s="92"/>
      <c r="AN974" s="92"/>
      <c r="AO974" s="92"/>
      <c r="AP974" s="92"/>
      <c r="AQ974" s="92"/>
      <c r="AR974" s="92"/>
    </row>
    <row r="975" spans="1:44" s="84" customFormat="1" ht="24" customHeight="1" x14ac:dyDescent="0.3">
      <c r="A975" s="78" t="s">
        <v>4709</v>
      </c>
      <c r="B975" s="79" t="s">
        <v>1092</v>
      </c>
      <c r="C975" s="112">
        <v>1102879</v>
      </c>
      <c r="D975" s="112">
        <v>1100543</v>
      </c>
      <c r="E975" s="112">
        <v>29181143</v>
      </c>
      <c r="F975" s="81" t="s">
        <v>5036</v>
      </c>
      <c r="G975" s="82" t="s">
        <v>4762</v>
      </c>
      <c r="H975" s="82" t="s">
        <v>5037</v>
      </c>
      <c r="I975" s="82" t="s">
        <v>3103</v>
      </c>
      <c r="J975" s="83" t="e">
        <f>VLOOKUP($C975,CHOOSE({1,2},'[4]Prestações de Conta inadimplent'!$D$9:$D$2000,'[4]Prestações de Conta inadimplent'!$C$9:$C$2000),2,0)</f>
        <v>#N/A</v>
      </c>
      <c r="L975" s="85"/>
      <c r="M975" s="85" t="e">
        <v>#REF!</v>
      </c>
      <c r="T975" s="86"/>
      <c r="U975" s="85"/>
      <c r="V975" s="87"/>
      <c r="W975" s="85"/>
      <c r="X975" s="88"/>
      <c r="Y975" s="89"/>
      <c r="Z975" s="89"/>
      <c r="AA975" s="88"/>
      <c r="AB975" s="88"/>
      <c r="AD975" s="122"/>
      <c r="AF975" s="90"/>
      <c r="AK975" s="91"/>
      <c r="AM975" s="92"/>
      <c r="AN975" s="92"/>
      <c r="AO975" s="92"/>
      <c r="AP975" s="92"/>
      <c r="AQ975" s="92"/>
      <c r="AR975" s="92"/>
    </row>
    <row r="976" spans="1:44" s="84" customFormat="1" ht="24" customHeight="1" x14ac:dyDescent="0.3">
      <c r="A976" s="78" t="s">
        <v>4709</v>
      </c>
      <c r="B976" s="79" t="s">
        <v>1092</v>
      </c>
      <c r="C976" s="112">
        <v>1102097</v>
      </c>
      <c r="D976" s="112">
        <v>1100499</v>
      </c>
      <c r="E976" s="112">
        <v>29190878</v>
      </c>
      <c r="F976" s="81" t="s">
        <v>1309</v>
      </c>
      <c r="G976" s="82" t="s">
        <v>4762</v>
      </c>
      <c r="H976" s="82" t="s">
        <v>5038</v>
      </c>
      <c r="I976" s="82" t="s">
        <v>3122</v>
      </c>
      <c r="J976" s="83" t="str">
        <f>VLOOKUP($C976,CHOOSE({1,2},'[4]Prestações de Conta inadimplent'!$D$9:$D$2000,'[4]Prestações de Conta inadimplent'!$C$9:$C$2000),2,0)</f>
        <v>Colegio Estadual Cosme De Farias</v>
      </c>
      <c r="L976" s="85"/>
      <c r="M976" s="85" t="e">
        <v>#REF!</v>
      </c>
      <c r="T976" s="86"/>
      <c r="U976" s="85"/>
      <c r="V976" s="87"/>
      <c r="W976" s="85"/>
      <c r="X976" s="88"/>
      <c r="Y976" s="89"/>
      <c r="Z976" s="89"/>
      <c r="AA976" s="88"/>
      <c r="AB976" s="88"/>
      <c r="AF976" s="90"/>
      <c r="AK976" s="91"/>
      <c r="AM976" s="92"/>
      <c r="AN976" s="92"/>
      <c r="AO976" s="92"/>
      <c r="AP976" s="92"/>
      <c r="AQ976" s="92"/>
      <c r="AR976" s="92"/>
    </row>
    <row r="977" spans="1:44" s="84" customFormat="1" ht="24" customHeight="1" x14ac:dyDescent="0.3">
      <c r="A977" s="78" t="s">
        <v>4709</v>
      </c>
      <c r="B977" s="79" t="s">
        <v>1092</v>
      </c>
      <c r="C977" s="112">
        <v>1136498</v>
      </c>
      <c r="D977" s="112">
        <v>1100374</v>
      </c>
      <c r="E977" s="112">
        <v>29190967</v>
      </c>
      <c r="F977" s="81" t="s">
        <v>1321</v>
      </c>
      <c r="G977" s="82" t="s">
        <v>4762</v>
      </c>
      <c r="H977" s="82" t="s">
        <v>5039</v>
      </c>
      <c r="I977" s="82" t="s">
        <v>3122</v>
      </c>
      <c r="J977" s="83" t="str">
        <f>VLOOKUP($C977,CHOOSE({1,2},'[4]Prestações de Conta inadimplent'!$D$9:$D$2000,'[4]Prestações de Conta inadimplent'!$C$9:$C$2000),2,0)</f>
        <v>Colegio Estadual Governador Otavio Mangabeira</v>
      </c>
      <c r="L977" s="85"/>
      <c r="M977" s="85" t="e">
        <v>#REF!</v>
      </c>
      <c r="T977" s="86"/>
      <c r="U977" s="85"/>
      <c r="V977" s="87"/>
      <c r="W977" s="85"/>
      <c r="X977" s="85"/>
      <c r="Y977" s="89"/>
      <c r="Z977" s="89"/>
      <c r="AA977" s="88"/>
      <c r="AB977" s="88"/>
      <c r="AF977" s="90"/>
      <c r="AK977" s="91"/>
      <c r="AM977" s="92"/>
      <c r="AN977" s="92"/>
      <c r="AO977" s="92"/>
      <c r="AP977" s="92"/>
      <c r="AQ977" s="92"/>
      <c r="AR977" s="92"/>
    </row>
    <row r="978" spans="1:44" s="84" customFormat="1" ht="24" customHeight="1" x14ac:dyDescent="0.3">
      <c r="A978" s="78" t="s">
        <v>4709</v>
      </c>
      <c r="B978" s="79" t="s">
        <v>1092</v>
      </c>
      <c r="C978" s="112">
        <v>1101511</v>
      </c>
      <c r="D978" s="112">
        <v>9999999</v>
      </c>
      <c r="E978" s="112">
        <v>29983720</v>
      </c>
      <c r="F978" s="81" t="s">
        <v>5040</v>
      </c>
      <c r="G978" s="82" t="s">
        <v>4762</v>
      </c>
      <c r="H978" s="82" t="s">
        <v>5041</v>
      </c>
      <c r="I978" s="82" t="s">
        <v>3122</v>
      </c>
      <c r="J978" s="83" t="str">
        <f>VLOOKUP($C978,CHOOSE({1,2},'[4]Prestações de Conta inadimplent'!$D$9:$D$2000,'[4]Prestações de Conta inadimplent'!$C$9:$C$2000),2,0)</f>
        <v>Centro Educacional Carneiro Ribeiro - Escola Parque</v>
      </c>
      <c r="L978" s="85"/>
      <c r="M978" s="85" t="e">
        <v>#REF!</v>
      </c>
      <c r="T978" s="86"/>
      <c r="U978" s="85"/>
      <c r="V978" s="85"/>
      <c r="W978" s="85"/>
      <c r="X978" s="85"/>
      <c r="Y978" s="89"/>
      <c r="Z978" s="89"/>
      <c r="AA978" s="88"/>
      <c r="AB978" s="88"/>
      <c r="AF978" s="90"/>
      <c r="AK978" s="91"/>
      <c r="AM978" s="92"/>
      <c r="AN978" s="92"/>
      <c r="AO978" s="92"/>
      <c r="AP978" s="92"/>
      <c r="AQ978" s="92"/>
      <c r="AR978" s="92"/>
    </row>
    <row r="979" spans="1:44" s="84" customFormat="1" ht="24" customHeight="1" x14ac:dyDescent="0.3">
      <c r="A979" s="78" t="s">
        <v>4709</v>
      </c>
      <c r="B979" s="79" t="s">
        <v>1092</v>
      </c>
      <c r="C979" s="112">
        <v>1176422</v>
      </c>
      <c r="D979" s="112">
        <v>1100560</v>
      </c>
      <c r="E979" s="112">
        <v>29392861</v>
      </c>
      <c r="F979" s="81" t="s">
        <v>2337</v>
      </c>
      <c r="G979" s="82" t="s">
        <v>4762</v>
      </c>
      <c r="H979" s="82" t="s">
        <v>5042</v>
      </c>
      <c r="I979" s="82" t="s">
        <v>3103</v>
      </c>
      <c r="J979" s="83" t="e">
        <f>VLOOKUP($C979,CHOOSE({1,2},'[4]Prestações de Conta inadimplent'!$D$9:$D$2000,'[4]Prestações de Conta inadimplent'!$C$9:$C$2000),2,0)</f>
        <v>#N/A</v>
      </c>
      <c r="L979" s="85"/>
      <c r="M979" s="85" t="e">
        <v>#REF!</v>
      </c>
      <c r="T979" s="86"/>
      <c r="U979" s="85"/>
      <c r="V979" s="87"/>
      <c r="W979" s="85"/>
      <c r="X979" s="88"/>
      <c r="Y979" s="89"/>
      <c r="Z979" s="89"/>
      <c r="AA979" s="88"/>
      <c r="AB979" s="88"/>
      <c r="AF979" s="90"/>
      <c r="AK979" s="91"/>
      <c r="AM979" s="92"/>
      <c r="AN979" s="92"/>
      <c r="AO979" s="92"/>
      <c r="AP979" s="92"/>
      <c r="AQ979" s="92"/>
      <c r="AR979" s="92"/>
    </row>
    <row r="980" spans="1:44" s="84" customFormat="1" ht="24" customHeight="1" x14ac:dyDescent="0.3">
      <c r="A980" s="78" t="s">
        <v>4709</v>
      </c>
      <c r="B980" s="79" t="s">
        <v>1092</v>
      </c>
      <c r="C980" s="112">
        <v>1101953</v>
      </c>
      <c r="D980" s="112">
        <v>1100312</v>
      </c>
      <c r="E980" s="112">
        <v>29193095</v>
      </c>
      <c r="F980" s="81" t="s">
        <v>1413</v>
      </c>
      <c r="G980" s="82" t="s">
        <v>4762</v>
      </c>
      <c r="H980" s="82" t="s">
        <v>5043</v>
      </c>
      <c r="I980" s="82" t="s">
        <v>3103</v>
      </c>
      <c r="J980" s="83" t="e">
        <f>VLOOKUP($C980,CHOOSE({1,2},'[4]Prestações de Conta inadimplent'!$D$9:$D$2000,'[4]Prestações de Conta inadimplent'!$C$9:$C$2000),2,0)</f>
        <v>#N/A</v>
      </c>
      <c r="L980" s="85"/>
      <c r="M980" s="85" t="e">
        <v>#REF!</v>
      </c>
      <c r="T980" s="86"/>
      <c r="U980" s="85"/>
      <c r="V980" s="87"/>
      <c r="W980" s="85"/>
      <c r="X980" s="88"/>
      <c r="Y980" s="89"/>
      <c r="Z980" s="89"/>
      <c r="AA980" s="88"/>
      <c r="AB980" s="88"/>
      <c r="AF980" s="90"/>
      <c r="AK980" s="91"/>
      <c r="AM980" s="92"/>
      <c r="AN980" s="92"/>
      <c r="AO980" s="92"/>
      <c r="AP980" s="92"/>
      <c r="AQ980" s="92"/>
      <c r="AR980" s="92"/>
    </row>
    <row r="981" spans="1:44" s="84" customFormat="1" ht="24" customHeight="1" x14ac:dyDescent="0.3">
      <c r="A981" s="78" t="s">
        <v>4709</v>
      </c>
      <c r="B981" s="79" t="s">
        <v>1092</v>
      </c>
      <c r="C981" s="112">
        <v>1104103</v>
      </c>
      <c r="D981" s="112">
        <v>1100456</v>
      </c>
      <c r="E981" s="112">
        <v>29194776</v>
      </c>
      <c r="F981" s="81" t="s">
        <v>1428</v>
      </c>
      <c r="G981" s="82" t="s">
        <v>4762</v>
      </c>
      <c r="H981" s="82" t="s">
        <v>5044</v>
      </c>
      <c r="I981" s="82" t="s">
        <v>3103</v>
      </c>
      <c r="J981" s="83" t="e">
        <f>VLOOKUP($C981,CHOOSE({1,2},'[4]Prestações de Conta inadimplent'!$D$9:$D$2000,'[4]Prestações de Conta inadimplent'!$C$9:$C$2000),2,0)</f>
        <v>#N/A</v>
      </c>
      <c r="L981" s="85"/>
      <c r="M981" s="85" t="e">
        <v>#REF!</v>
      </c>
      <c r="T981" s="86"/>
      <c r="U981" s="85"/>
      <c r="V981" s="87"/>
      <c r="W981" s="85"/>
      <c r="X981" s="85"/>
      <c r="Y981" s="89"/>
      <c r="Z981" s="89"/>
      <c r="AA981" s="88"/>
      <c r="AB981" s="88"/>
      <c r="AF981" s="90"/>
      <c r="AK981" s="91"/>
      <c r="AM981" s="92"/>
      <c r="AN981" s="92"/>
      <c r="AO981" s="92"/>
      <c r="AP981" s="92"/>
      <c r="AQ981" s="92"/>
      <c r="AR981" s="92"/>
    </row>
    <row r="982" spans="1:44" s="84" customFormat="1" ht="24" customHeight="1" x14ac:dyDescent="0.3">
      <c r="A982" s="78" t="s">
        <v>4709</v>
      </c>
      <c r="B982" s="79" t="s">
        <v>1092</v>
      </c>
      <c r="C982" s="112">
        <v>1103301</v>
      </c>
      <c r="D982" s="112">
        <v>1100370</v>
      </c>
      <c r="E982" s="112">
        <v>29185173</v>
      </c>
      <c r="F982" s="81" t="s">
        <v>5045</v>
      </c>
      <c r="G982" s="82" t="s">
        <v>4762</v>
      </c>
      <c r="H982" s="82" t="s">
        <v>5046</v>
      </c>
      <c r="I982" s="82" t="s">
        <v>3122</v>
      </c>
      <c r="J982" s="83" t="str">
        <f>VLOOKUP($C982,CHOOSE({1,2},'[4]Prestações de Conta inadimplent'!$D$9:$D$2000,'[4]Prestações de Conta inadimplent'!$C$9:$C$2000),2,0)</f>
        <v>Colegio Estadual Rafael Oliveira</v>
      </c>
      <c r="K982" s="96"/>
      <c r="L982" s="85"/>
      <c r="M982" s="85" t="e">
        <v>#REF!</v>
      </c>
      <c r="T982" s="86"/>
      <c r="U982" s="85"/>
      <c r="V982" s="87"/>
      <c r="W982" s="85"/>
      <c r="X982" s="88"/>
      <c r="Y982" s="89"/>
      <c r="Z982" s="89"/>
      <c r="AA982" s="88"/>
      <c r="AB982" s="88"/>
      <c r="AF982" s="90"/>
      <c r="AK982" s="91"/>
      <c r="AM982" s="92"/>
      <c r="AN982" s="92"/>
      <c r="AO982" s="92"/>
      <c r="AP982" s="92"/>
      <c r="AQ982" s="92"/>
      <c r="AR982" s="92"/>
    </row>
    <row r="983" spans="1:44" s="84" customFormat="1" ht="24" customHeight="1" x14ac:dyDescent="0.3">
      <c r="A983" s="78" t="s">
        <v>4709</v>
      </c>
      <c r="B983" s="79" t="s">
        <v>1092</v>
      </c>
      <c r="C983" s="112">
        <v>1176205</v>
      </c>
      <c r="D983" s="112">
        <v>1100236</v>
      </c>
      <c r="E983" s="112">
        <v>29359597</v>
      </c>
      <c r="F983" s="81" t="s">
        <v>1030</v>
      </c>
      <c r="G983" s="82" t="s">
        <v>4762</v>
      </c>
      <c r="H983" s="82" t="s">
        <v>5047</v>
      </c>
      <c r="I983" s="82" t="s">
        <v>3103</v>
      </c>
      <c r="J983" s="83" t="e">
        <f>VLOOKUP($C983,CHOOSE({1,2},'[4]Prestações de Conta inadimplent'!$D$9:$D$2000,'[4]Prestações de Conta inadimplent'!$C$9:$C$2000),2,0)</f>
        <v>#N/A</v>
      </c>
      <c r="L983" s="85"/>
      <c r="M983" s="85" t="e">
        <v>#REF!</v>
      </c>
      <c r="T983" s="86"/>
      <c r="U983" s="85"/>
      <c r="V983" s="87"/>
      <c r="W983" s="85"/>
      <c r="X983" s="85"/>
      <c r="Y983" s="89"/>
      <c r="Z983" s="88"/>
      <c r="AA983" s="88"/>
      <c r="AB983" s="88"/>
      <c r="AF983" s="90"/>
      <c r="AK983" s="91"/>
      <c r="AM983" s="92"/>
      <c r="AN983" s="92"/>
      <c r="AO983" s="92"/>
      <c r="AP983" s="92"/>
      <c r="AQ983" s="92"/>
      <c r="AR983" s="92"/>
    </row>
    <row r="984" spans="1:44" s="84" customFormat="1" ht="24" customHeight="1" x14ac:dyDescent="0.3">
      <c r="A984" s="78" t="s">
        <v>4709</v>
      </c>
      <c r="B984" s="79" t="s">
        <v>1092</v>
      </c>
      <c r="C984" s="112">
        <v>1103786</v>
      </c>
      <c r="D984" s="112">
        <v>1100412</v>
      </c>
      <c r="E984" s="112">
        <v>29181496</v>
      </c>
      <c r="F984" s="81" t="s">
        <v>1117</v>
      </c>
      <c r="G984" s="82" t="s">
        <v>4762</v>
      </c>
      <c r="H984" s="82" t="s">
        <v>5048</v>
      </c>
      <c r="I984" s="82" t="s">
        <v>3122</v>
      </c>
      <c r="J984" s="83" t="str">
        <f>VLOOKUP($C984,CHOOSE({1,2},'[4]Prestações de Conta inadimplent'!$D$9:$D$2000,'[4]Prestações de Conta inadimplent'!$C$9:$C$2000),2,0)</f>
        <v>Colegio Estadual Governador Roberto Santos</v>
      </c>
      <c r="K984" s="95"/>
      <c r="L984" s="85"/>
      <c r="M984" s="85" t="e">
        <v>#REF!</v>
      </c>
      <c r="T984" s="86"/>
      <c r="U984" s="85"/>
      <c r="V984" s="87"/>
      <c r="W984" s="85"/>
      <c r="X984" s="88"/>
      <c r="Y984" s="89"/>
      <c r="Z984" s="89"/>
      <c r="AA984" s="88"/>
      <c r="AB984" s="88"/>
      <c r="AF984" s="90"/>
      <c r="AK984" s="91"/>
      <c r="AM984" s="92"/>
      <c r="AN984" s="92"/>
      <c r="AO984" s="92"/>
      <c r="AP984" s="92"/>
      <c r="AQ984" s="92"/>
      <c r="AR984" s="92"/>
    </row>
    <row r="985" spans="1:44" s="84" customFormat="1" ht="24" customHeight="1" x14ac:dyDescent="0.3">
      <c r="A985" s="78" t="s">
        <v>4709</v>
      </c>
      <c r="B985" s="79" t="s">
        <v>1092</v>
      </c>
      <c r="C985" s="112">
        <v>1103492</v>
      </c>
      <c r="D985" s="112">
        <v>1100638</v>
      </c>
      <c r="E985" s="112">
        <v>29188695</v>
      </c>
      <c r="F985" s="81" t="s">
        <v>1255</v>
      </c>
      <c r="G985" s="82" t="s">
        <v>4762</v>
      </c>
      <c r="H985" s="82" t="s">
        <v>5049</v>
      </c>
      <c r="I985" s="82" t="s">
        <v>3122</v>
      </c>
      <c r="J985" s="83" t="str">
        <f>VLOOKUP($C985,CHOOSE({1,2},'[4]Prestações de Conta inadimplent'!$D$9:$D$2000,'[4]Prestações de Conta inadimplent'!$C$9:$C$2000),2,0)</f>
        <v>Escola Visconde De Itaparica</v>
      </c>
      <c r="L985" s="85"/>
      <c r="M985" s="85" t="e">
        <v>#REF!</v>
      </c>
      <c r="T985" s="86"/>
      <c r="U985" s="85"/>
      <c r="V985" s="87"/>
      <c r="W985" s="85"/>
      <c r="X985" s="85"/>
      <c r="Y985" s="89"/>
      <c r="Z985" s="89"/>
      <c r="AA985" s="88"/>
      <c r="AB985" s="88"/>
      <c r="AF985" s="90"/>
      <c r="AK985" s="91"/>
      <c r="AM985" s="92"/>
      <c r="AN985" s="92"/>
      <c r="AO985" s="92"/>
      <c r="AP985" s="92"/>
      <c r="AQ985" s="92"/>
      <c r="AR985" s="92"/>
    </row>
    <row r="986" spans="1:44" s="84" customFormat="1" ht="24" customHeight="1" x14ac:dyDescent="0.3">
      <c r="A986" s="78" t="s">
        <v>4709</v>
      </c>
      <c r="B986" s="79" t="s">
        <v>1092</v>
      </c>
      <c r="C986" s="112">
        <v>1102348</v>
      </c>
      <c r="D986" s="112">
        <v>1100323</v>
      </c>
      <c r="E986" s="112">
        <v>29186935</v>
      </c>
      <c r="F986" s="81" t="s">
        <v>1213</v>
      </c>
      <c r="G986" s="82" t="s">
        <v>4762</v>
      </c>
      <c r="H986" s="82" t="s">
        <v>5050</v>
      </c>
      <c r="I986" s="82" t="s">
        <v>3122</v>
      </c>
      <c r="J986" s="83" t="str">
        <f>VLOOKUP($C986,CHOOSE({1,2},'[4]Prestações de Conta inadimplent'!$D$9:$D$2000,'[4]Prestações de Conta inadimplent'!$C$9:$C$2000),2,0)</f>
        <v>Colegio Estadual Padre Jose Vasconcelos</v>
      </c>
      <c r="L986" s="85"/>
      <c r="M986" s="85" t="e">
        <v>#REF!</v>
      </c>
      <c r="T986" s="86"/>
      <c r="U986" s="85"/>
      <c r="V986" s="87"/>
      <c r="W986" s="85"/>
      <c r="X986" s="88"/>
      <c r="Y986" s="89"/>
      <c r="Z986" s="89"/>
      <c r="AA986" s="88"/>
      <c r="AB986" s="88"/>
      <c r="AF986" s="90"/>
      <c r="AK986" s="91"/>
      <c r="AM986" s="92"/>
      <c r="AN986" s="92"/>
      <c r="AO986" s="92"/>
      <c r="AP986" s="92"/>
      <c r="AQ986" s="92"/>
      <c r="AR986" s="92"/>
    </row>
    <row r="987" spans="1:44" s="84" customFormat="1" ht="24" customHeight="1" x14ac:dyDescent="0.3">
      <c r="A987" s="78" t="s">
        <v>4709</v>
      </c>
      <c r="B987" s="79" t="s">
        <v>1092</v>
      </c>
      <c r="C987" s="112">
        <v>1178138</v>
      </c>
      <c r="D987" s="112">
        <v>1105459</v>
      </c>
      <c r="E987" s="112">
        <v>29438934</v>
      </c>
      <c r="F987" s="81" t="s">
        <v>2741</v>
      </c>
      <c r="G987" s="82" t="s">
        <v>4762</v>
      </c>
      <c r="H987" s="82" t="s">
        <v>5051</v>
      </c>
      <c r="I987" s="82" t="s">
        <v>3122</v>
      </c>
      <c r="J987" s="83" t="str">
        <f>VLOOKUP($C987,CHOOSE({1,2},'[4]Prestações de Conta inadimplent'!$D$9:$D$2000,'[4]Prestações de Conta inadimplent'!$C$9:$C$2000),2,0)</f>
        <v>Colegio Estadual Mestre Paulo Dos Anjos</v>
      </c>
      <c r="L987" s="85"/>
      <c r="M987" s="85" t="e">
        <v>#REF!</v>
      </c>
      <c r="T987" s="86"/>
      <c r="U987" s="85"/>
      <c r="V987" s="87"/>
      <c r="W987" s="85"/>
      <c r="X987" s="88"/>
      <c r="Y987" s="89"/>
      <c r="Z987" s="89"/>
      <c r="AA987" s="88"/>
      <c r="AB987" s="88"/>
      <c r="AF987" s="90"/>
      <c r="AK987" s="91"/>
      <c r="AM987" s="92"/>
      <c r="AN987" s="92"/>
      <c r="AO987" s="92"/>
      <c r="AP987" s="92"/>
      <c r="AQ987" s="92"/>
      <c r="AR987" s="92"/>
    </row>
    <row r="988" spans="1:44" s="84" customFormat="1" ht="24" customHeight="1" x14ac:dyDescent="0.3">
      <c r="A988" s="78" t="s">
        <v>4709</v>
      </c>
      <c r="B988" s="79" t="s">
        <v>1092</v>
      </c>
      <c r="C988" s="112">
        <v>1141939</v>
      </c>
      <c r="D988" s="112">
        <v>1100379</v>
      </c>
      <c r="E988" s="112">
        <v>29192293</v>
      </c>
      <c r="F988" s="81" t="s">
        <v>5052</v>
      </c>
      <c r="G988" s="82" t="s">
        <v>4762</v>
      </c>
      <c r="H988" s="82" t="s">
        <v>5053</v>
      </c>
      <c r="I988" s="82" t="s">
        <v>3122</v>
      </c>
      <c r="J988" s="83" t="str">
        <f>VLOOKUP($C988,CHOOSE({1,2},'[4]Prestações de Conta inadimplent'!$D$9:$D$2000,'[4]Prestações de Conta inadimplent'!$C$9:$C$2000),2,0)</f>
        <v>Colegio Estadual Heitor Villa Lobos</v>
      </c>
      <c r="K988" s="84" t="s">
        <v>3671</v>
      </c>
      <c r="L988" s="85"/>
      <c r="M988" s="85" t="e">
        <v>#REF!</v>
      </c>
      <c r="T988" s="86"/>
      <c r="U988" s="85"/>
      <c r="V988" s="87"/>
      <c r="W988" s="85"/>
      <c r="X988" s="88"/>
      <c r="Y988" s="89"/>
      <c r="Z988" s="89"/>
      <c r="AA988" s="88"/>
      <c r="AB988" s="88"/>
      <c r="AF988" s="90"/>
      <c r="AK988" s="91"/>
      <c r="AM988" s="92"/>
      <c r="AN988" s="92"/>
      <c r="AO988" s="92"/>
      <c r="AP988" s="92"/>
      <c r="AQ988" s="92"/>
      <c r="AR988" s="92"/>
    </row>
    <row r="989" spans="1:44" s="84" customFormat="1" ht="24" customHeight="1" x14ac:dyDescent="0.3">
      <c r="A989" s="78" t="s">
        <v>4709</v>
      </c>
      <c r="B989" s="79" t="s">
        <v>1092</v>
      </c>
      <c r="C989" s="112">
        <v>1103751</v>
      </c>
      <c r="D989" s="112">
        <v>1100410</v>
      </c>
      <c r="E989" s="112">
        <v>29182280</v>
      </c>
      <c r="F989" s="81" t="s">
        <v>1174</v>
      </c>
      <c r="G989" s="82" t="s">
        <v>4762</v>
      </c>
      <c r="H989" s="82" t="s">
        <v>5054</v>
      </c>
      <c r="I989" s="82" t="s">
        <v>3122</v>
      </c>
      <c r="J989" s="83" t="str">
        <f>VLOOKUP($C989,CHOOSE({1,2},'[4]Prestações de Conta inadimplent'!$D$9:$D$2000,'[4]Prestações de Conta inadimplent'!$C$9:$C$2000),2,0)</f>
        <v>Colegio Estadual Ursula Catharino</v>
      </c>
      <c r="L989" s="85"/>
      <c r="M989" s="85" t="e">
        <v>#REF!</v>
      </c>
      <c r="T989" s="86"/>
      <c r="U989" s="85"/>
      <c r="V989" s="87"/>
      <c r="W989" s="85"/>
      <c r="X989" s="85"/>
      <c r="Y989" s="89"/>
      <c r="Z989" s="89"/>
      <c r="AA989" s="88"/>
      <c r="AB989" s="88"/>
      <c r="AF989" s="90"/>
      <c r="AK989" s="91"/>
      <c r="AM989" s="92"/>
      <c r="AN989" s="92"/>
      <c r="AO989" s="92"/>
      <c r="AP989" s="92"/>
      <c r="AQ989" s="92"/>
      <c r="AR989" s="92"/>
    </row>
    <row r="990" spans="1:44" s="84" customFormat="1" ht="24" customHeight="1" x14ac:dyDescent="0.3">
      <c r="A990" s="78" t="s">
        <v>4709</v>
      </c>
      <c r="B990" s="79" t="s">
        <v>1092</v>
      </c>
      <c r="C990" s="112">
        <v>1176445</v>
      </c>
      <c r="D990" s="112">
        <v>1100265</v>
      </c>
      <c r="E990" s="112">
        <v>29386543</v>
      </c>
      <c r="F990" s="81" t="s">
        <v>5055</v>
      </c>
      <c r="G990" s="82" t="s">
        <v>4762</v>
      </c>
      <c r="H990" s="82" t="s">
        <v>5056</v>
      </c>
      <c r="I990" s="82" t="s">
        <v>3122</v>
      </c>
      <c r="J990" s="83" t="str">
        <f>VLOOKUP($C990,CHOOSE({1,2},'[4]Prestações de Conta inadimplent'!$D$9:$D$2000,'[4]Prestações de Conta inadimplent'!$C$9:$C$2000),2,0)</f>
        <v>Colegio Estadual Professora Heloisa Costa</v>
      </c>
      <c r="K990" s="96"/>
      <c r="L990" s="85"/>
      <c r="M990" s="85" t="e">
        <v>#REF!</v>
      </c>
      <c r="T990" s="86"/>
      <c r="U990" s="85"/>
      <c r="V990" s="87"/>
      <c r="W990" s="85"/>
      <c r="X990" s="88"/>
      <c r="Y990" s="89"/>
      <c r="Z990" s="89"/>
      <c r="AA990" s="88"/>
      <c r="AB990" s="88"/>
      <c r="AF990" s="90"/>
      <c r="AK990" s="91"/>
      <c r="AM990" s="92"/>
      <c r="AN990" s="92"/>
      <c r="AO990" s="92"/>
      <c r="AP990" s="92"/>
      <c r="AQ990" s="92"/>
      <c r="AR990" s="92"/>
    </row>
    <row r="991" spans="1:44" s="84" customFormat="1" ht="24" customHeight="1" x14ac:dyDescent="0.3">
      <c r="A991" s="78" t="s">
        <v>4709</v>
      </c>
      <c r="B991" s="79" t="s">
        <v>1092</v>
      </c>
      <c r="C991" s="112">
        <v>1176810</v>
      </c>
      <c r="D991" s="112">
        <v>1100281</v>
      </c>
      <c r="E991" s="112">
        <v>29411491</v>
      </c>
      <c r="F991" s="81" t="s">
        <v>2451</v>
      </c>
      <c r="G991" s="82" t="s">
        <v>4762</v>
      </c>
      <c r="H991" s="82" t="s">
        <v>5057</v>
      </c>
      <c r="I991" s="82" t="s">
        <v>3103</v>
      </c>
      <c r="J991" s="83" t="e">
        <f>VLOOKUP($C991,CHOOSE({1,2},'[4]Prestações de Conta inadimplent'!$D$9:$D$2000,'[4]Prestações de Conta inadimplent'!$C$9:$C$2000),2,0)</f>
        <v>#N/A</v>
      </c>
      <c r="L991" s="85"/>
      <c r="M991" s="85" t="e">
        <v>#REF!</v>
      </c>
      <c r="T991" s="86"/>
      <c r="U991" s="85"/>
      <c r="V991" s="87"/>
      <c r="W991" s="85"/>
      <c r="X991" s="88"/>
      <c r="Y991" s="89"/>
      <c r="Z991" s="89"/>
      <c r="AA991" s="88"/>
      <c r="AB991" s="88"/>
      <c r="AF991" s="90"/>
      <c r="AK991" s="91"/>
      <c r="AM991" s="92"/>
      <c r="AN991" s="92"/>
      <c r="AO991" s="92"/>
      <c r="AP991" s="92"/>
      <c r="AQ991" s="92"/>
      <c r="AR991" s="92"/>
    </row>
    <row r="992" spans="1:44" s="84" customFormat="1" ht="24" customHeight="1" x14ac:dyDescent="0.3">
      <c r="A992" s="78" t="s">
        <v>4709</v>
      </c>
      <c r="B992" s="79" t="s">
        <v>1092</v>
      </c>
      <c r="C992" s="112">
        <v>1100485</v>
      </c>
      <c r="D992" s="112">
        <v>1100248</v>
      </c>
      <c r="E992" s="112">
        <v>29192013</v>
      </c>
      <c r="F992" s="81" t="s">
        <v>1368</v>
      </c>
      <c r="G992" s="82" t="s">
        <v>4762</v>
      </c>
      <c r="H992" s="82" t="s">
        <v>5058</v>
      </c>
      <c r="I992" s="82" t="s">
        <v>3103</v>
      </c>
      <c r="J992" s="83" t="e">
        <f>VLOOKUP($C992,CHOOSE({1,2},'[4]Prestações de Conta inadimplent'!$D$9:$D$2000,'[4]Prestações de Conta inadimplent'!$C$9:$C$2000),2,0)</f>
        <v>#N/A</v>
      </c>
      <c r="L992" s="85"/>
      <c r="M992" s="85" t="e">
        <v>#REF!</v>
      </c>
      <c r="T992" s="86"/>
      <c r="U992" s="85"/>
      <c r="V992" s="87"/>
      <c r="W992" s="85"/>
      <c r="X992" s="88"/>
      <c r="Y992" s="89"/>
      <c r="Z992" s="89"/>
      <c r="AA992" s="88"/>
      <c r="AB992" s="88"/>
      <c r="AF992" s="90"/>
      <c r="AK992" s="91"/>
      <c r="AM992" s="92"/>
      <c r="AN992" s="92"/>
      <c r="AO992" s="92"/>
      <c r="AP992" s="92"/>
      <c r="AQ992" s="92"/>
      <c r="AR992" s="92"/>
    </row>
    <row r="993" spans="1:44" s="84" customFormat="1" ht="24" customHeight="1" x14ac:dyDescent="0.3">
      <c r="A993" s="78" t="s">
        <v>4709</v>
      </c>
      <c r="B993" s="79" t="s">
        <v>1092</v>
      </c>
      <c r="C993" s="112">
        <v>1176800</v>
      </c>
      <c r="D993" s="112">
        <v>1100621</v>
      </c>
      <c r="E993" s="112">
        <v>29404312</v>
      </c>
      <c r="F993" s="81" t="s">
        <v>2412</v>
      </c>
      <c r="G993" s="82" t="s">
        <v>4762</v>
      </c>
      <c r="H993" s="82" t="s">
        <v>5059</v>
      </c>
      <c r="I993" s="82" t="s">
        <v>3103</v>
      </c>
      <c r="J993" s="83" t="e">
        <f>VLOOKUP($C993,CHOOSE({1,2},'[4]Prestações de Conta inadimplent'!$D$9:$D$2000,'[4]Prestações de Conta inadimplent'!$C$9:$C$2000),2,0)</f>
        <v>#N/A</v>
      </c>
      <c r="L993" s="85"/>
      <c r="M993" s="85" t="e">
        <v>#REF!</v>
      </c>
      <c r="T993" s="86"/>
      <c r="U993" s="85"/>
      <c r="V993" s="87"/>
      <c r="W993" s="85"/>
      <c r="X993" s="85"/>
      <c r="Y993" s="89"/>
      <c r="Z993" s="89"/>
      <c r="AA993" s="88"/>
      <c r="AB993" s="88"/>
      <c r="AF993" s="90"/>
      <c r="AK993" s="91"/>
      <c r="AM993" s="92"/>
      <c r="AN993" s="92"/>
      <c r="AO993" s="92"/>
      <c r="AP993" s="92"/>
      <c r="AQ993" s="92"/>
      <c r="AR993" s="92"/>
    </row>
    <row r="994" spans="1:44" s="84" customFormat="1" ht="24" customHeight="1" x14ac:dyDescent="0.3">
      <c r="A994" s="78" t="s">
        <v>4709</v>
      </c>
      <c r="B994" s="79" t="s">
        <v>1092</v>
      </c>
      <c r="C994" s="112">
        <v>1101791</v>
      </c>
      <c r="D994" s="112">
        <v>1100438</v>
      </c>
      <c r="E994" s="112">
        <v>29191637</v>
      </c>
      <c r="F994" s="81" t="s">
        <v>1362</v>
      </c>
      <c r="G994" s="82" t="s">
        <v>4762</v>
      </c>
      <c r="H994" s="82" t="s">
        <v>5060</v>
      </c>
      <c r="I994" s="82" t="s">
        <v>3103</v>
      </c>
      <c r="J994" s="83" t="e">
        <f>VLOOKUP($C994,CHOOSE({1,2},'[4]Prestações de Conta inadimplent'!$D$9:$D$2000,'[4]Prestações de Conta inadimplent'!$C$9:$C$2000),2,0)</f>
        <v>#N/A</v>
      </c>
      <c r="L994" s="85"/>
      <c r="M994" s="85" t="e">
        <v>#REF!</v>
      </c>
      <c r="T994" s="86"/>
      <c r="U994" s="85"/>
      <c r="V994" s="87"/>
      <c r="W994" s="85"/>
      <c r="X994" s="85"/>
      <c r="Y994" s="89"/>
      <c r="Z994" s="89"/>
      <c r="AA994" s="88"/>
      <c r="AB994" s="88"/>
      <c r="AF994" s="90"/>
      <c r="AK994" s="91"/>
      <c r="AM994" s="92"/>
      <c r="AN994" s="92"/>
      <c r="AO994" s="92"/>
      <c r="AP994" s="92"/>
      <c r="AQ994" s="92"/>
      <c r="AR994" s="92"/>
    </row>
    <row r="995" spans="1:44" s="84" customFormat="1" ht="24" customHeight="1" x14ac:dyDescent="0.3">
      <c r="A995" s="78" t="s">
        <v>4709</v>
      </c>
      <c r="B995" s="79" t="s">
        <v>1092</v>
      </c>
      <c r="C995" s="112">
        <v>1101520</v>
      </c>
      <c r="D995" s="112">
        <v>1100288</v>
      </c>
      <c r="E995" s="112">
        <v>29188270</v>
      </c>
      <c r="F995" s="81" t="s">
        <v>1246</v>
      </c>
      <c r="G995" s="82" t="s">
        <v>4762</v>
      </c>
      <c r="H995" s="82" t="s">
        <v>5061</v>
      </c>
      <c r="I995" s="82" t="s">
        <v>3103</v>
      </c>
      <c r="J995" s="83" t="e">
        <f>VLOOKUP($C995,CHOOSE({1,2},'[4]Prestações de Conta inadimplent'!$D$9:$D$2000,'[4]Prestações de Conta inadimplent'!$C$9:$C$2000),2,0)</f>
        <v>#N/A</v>
      </c>
      <c r="L995" s="85"/>
      <c r="M995" s="85" t="e">
        <v>#REF!</v>
      </c>
      <c r="T995" s="86"/>
      <c r="U995" s="85"/>
      <c r="V995" s="87"/>
      <c r="W995" s="85"/>
      <c r="X995" s="88"/>
      <c r="Y995" s="89"/>
      <c r="Z995" s="89"/>
      <c r="AA995" s="88"/>
      <c r="AB995" s="88"/>
      <c r="AF995" s="90"/>
      <c r="AK995" s="91"/>
      <c r="AM995" s="92"/>
      <c r="AN995" s="92"/>
      <c r="AO995" s="92"/>
      <c r="AP995" s="92"/>
      <c r="AQ995" s="92"/>
      <c r="AR995" s="92"/>
    </row>
    <row r="996" spans="1:44" s="84" customFormat="1" ht="24" customHeight="1" x14ac:dyDescent="0.3">
      <c r="A996" s="78" t="s">
        <v>4709</v>
      </c>
      <c r="B996" s="79" t="s">
        <v>1092</v>
      </c>
      <c r="C996" s="112">
        <v>1179805</v>
      </c>
      <c r="D996" s="112">
        <v>9999999</v>
      </c>
      <c r="E996" s="112">
        <v>44332</v>
      </c>
      <c r="F996" s="81" t="s">
        <v>5062</v>
      </c>
      <c r="G996" s="82" t="s">
        <v>3192</v>
      </c>
      <c r="H996" s="82" t="s">
        <v>3192</v>
      </c>
      <c r="I996" s="82" t="s">
        <v>3103</v>
      </c>
      <c r="J996" s="83" t="e">
        <f>VLOOKUP($C996,CHOOSE({1,2},'[4]Prestações de Conta inadimplent'!$D$9:$D$2000,'[4]Prestações de Conta inadimplent'!$C$9:$C$2000),2,0)</f>
        <v>#N/A</v>
      </c>
      <c r="L996" s="85"/>
      <c r="M996" s="85"/>
      <c r="T996" s="86"/>
      <c r="U996" s="85"/>
      <c r="V996" s="87"/>
      <c r="W996" s="85"/>
      <c r="X996" s="88"/>
      <c r="Y996" s="89"/>
      <c r="Z996" s="89"/>
      <c r="AA996" s="88"/>
      <c r="AB996" s="88"/>
      <c r="AF996" s="90"/>
      <c r="AK996" s="91"/>
      <c r="AM996" s="92"/>
      <c r="AN996" s="92"/>
      <c r="AO996" s="92"/>
      <c r="AP996" s="92"/>
      <c r="AQ996" s="92"/>
      <c r="AR996" s="92"/>
    </row>
    <row r="997" spans="1:44" s="84" customFormat="1" ht="24" customHeight="1" x14ac:dyDescent="0.3">
      <c r="A997" s="78" t="s">
        <v>4709</v>
      </c>
      <c r="B997" s="79" t="s">
        <v>5063</v>
      </c>
      <c r="C997" s="112">
        <v>1176408</v>
      </c>
      <c r="D997" s="112">
        <v>1103875</v>
      </c>
      <c r="E997" s="112">
        <v>29383528</v>
      </c>
      <c r="F997" s="81" t="s">
        <v>5064</v>
      </c>
      <c r="G997" s="82" t="s">
        <v>4515</v>
      </c>
      <c r="H997" s="82" t="s">
        <v>5065</v>
      </c>
      <c r="I997" s="82" t="s">
        <v>3122</v>
      </c>
      <c r="J997" s="83" t="str">
        <f>VLOOKUP($C997,CHOOSE({1,2},'[4]Prestações de Conta inadimplent'!$D$9:$D$2000,'[4]Prestações de Conta inadimplent'!$C$9:$C$2000),2,0)</f>
        <v>Colegio Estadual Do Campo Anna Junqueira Ayres Tourinho</v>
      </c>
      <c r="L997" s="85"/>
      <c r="M997" s="85" t="e">
        <v>#REF!</v>
      </c>
      <c r="T997" s="86"/>
      <c r="U997" s="85"/>
      <c r="V997" s="87"/>
      <c r="W997" s="85"/>
      <c r="X997" s="88"/>
      <c r="Y997" s="89"/>
      <c r="Z997" s="89"/>
      <c r="AA997" s="88"/>
      <c r="AB997" s="88"/>
      <c r="AF997" s="90"/>
      <c r="AK997" s="91"/>
      <c r="AM997" s="92"/>
      <c r="AN997" s="92"/>
      <c r="AO997" s="92"/>
      <c r="AP997" s="92"/>
      <c r="AQ997" s="92"/>
      <c r="AR997" s="92"/>
    </row>
    <row r="998" spans="1:44" s="84" customFormat="1" ht="24" customHeight="1" x14ac:dyDescent="0.3">
      <c r="A998" s="78" t="s">
        <v>4709</v>
      </c>
      <c r="B998" s="79" t="s">
        <v>5063</v>
      </c>
      <c r="C998" s="112">
        <v>1134851</v>
      </c>
      <c r="D998" s="112">
        <v>1103872</v>
      </c>
      <c r="E998" s="112">
        <v>29200482</v>
      </c>
      <c r="F998" s="81" t="s">
        <v>5066</v>
      </c>
      <c r="G998" s="82" t="s">
        <v>4515</v>
      </c>
      <c r="H998" s="82" t="s">
        <v>5067</v>
      </c>
      <c r="I998" s="82" t="s">
        <v>3122</v>
      </c>
      <c r="J998" s="83" t="str">
        <f>VLOOKUP($C998,CHOOSE({1,2},'[4]Prestações de Conta inadimplent'!$D$9:$D$2000,'[4]Prestações de Conta inadimplent'!$C$9:$C$2000),2,0)</f>
        <v>Colegio Estadual Martinho Salles Brasil</v>
      </c>
      <c r="L998" s="85" t="s">
        <v>3099</v>
      </c>
      <c r="M998" s="85" t="e">
        <v>#REF!</v>
      </c>
      <c r="T998" s="86"/>
      <c r="U998" s="85"/>
      <c r="V998" s="87"/>
      <c r="W998" s="85"/>
      <c r="X998" s="88"/>
      <c r="Y998" s="89"/>
      <c r="Z998" s="89"/>
      <c r="AA998" s="88"/>
      <c r="AB998" s="88"/>
      <c r="AF998" s="90"/>
      <c r="AK998" s="91"/>
      <c r="AM998" s="92"/>
      <c r="AN998" s="92"/>
      <c r="AO998" s="92"/>
      <c r="AP998" s="92"/>
      <c r="AQ998" s="92"/>
      <c r="AR998" s="92"/>
    </row>
    <row r="999" spans="1:44" s="84" customFormat="1" ht="24" customHeight="1" x14ac:dyDescent="0.3">
      <c r="A999" s="78" t="s">
        <v>4709</v>
      </c>
      <c r="B999" s="79" t="s">
        <v>5068</v>
      </c>
      <c r="C999" s="112">
        <v>1135190</v>
      </c>
      <c r="D999" s="112">
        <v>1103883</v>
      </c>
      <c r="E999" s="112">
        <v>29160774</v>
      </c>
      <c r="F999" s="81" t="s">
        <v>5069</v>
      </c>
      <c r="G999" s="82" t="s">
        <v>5070</v>
      </c>
      <c r="H999" s="82" t="s">
        <v>5071</v>
      </c>
      <c r="I999" s="82" t="s">
        <v>3122</v>
      </c>
      <c r="J999" s="83" t="str">
        <f>VLOOKUP($C999,CHOOSE({1,2},'[4]Prestações de Conta inadimplent'!$D$9:$D$2000,'[4]Prestações de Conta inadimplent'!$C$9:$C$2000),2,0)</f>
        <v>Colegio Polivalente Monsenhor Luiz Ferreira De Brito</v>
      </c>
      <c r="L999" s="85"/>
      <c r="M999" s="85" t="e">
        <v>#REF!</v>
      </c>
      <c r="T999" s="86"/>
      <c r="U999" s="85"/>
      <c r="V999" s="87"/>
      <c r="W999" s="85"/>
      <c r="X999" s="88"/>
      <c r="Y999" s="89"/>
      <c r="Z999" s="89"/>
      <c r="AA999" s="88"/>
      <c r="AB999" s="88"/>
      <c r="AF999" s="90"/>
      <c r="AK999" s="91"/>
      <c r="AM999" s="92"/>
      <c r="AN999" s="92"/>
      <c r="AO999" s="92"/>
      <c r="AP999" s="92"/>
      <c r="AQ999" s="92"/>
      <c r="AR999" s="92"/>
    </row>
    <row r="1000" spans="1:44" s="84" customFormat="1" ht="24" customHeight="1" x14ac:dyDescent="0.3">
      <c r="A1000" s="78" t="s">
        <v>4709</v>
      </c>
      <c r="B1000" s="79" t="s">
        <v>5068</v>
      </c>
      <c r="C1000" s="112">
        <v>1176915</v>
      </c>
      <c r="D1000" s="112">
        <v>1103886</v>
      </c>
      <c r="E1000" s="112">
        <v>29410835</v>
      </c>
      <c r="F1000" s="81" t="s">
        <v>5072</v>
      </c>
      <c r="G1000" s="82" t="s">
        <v>5070</v>
      </c>
      <c r="H1000" s="82" t="s">
        <v>5073</v>
      </c>
      <c r="I1000" s="82" t="s">
        <v>3103</v>
      </c>
      <c r="J1000" s="83" t="e">
        <f>VLOOKUP($C1000,CHOOSE({1,2},'[4]Prestações de Conta inadimplent'!$D$9:$D$2000,'[4]Prestações de Conta inadimplent'!$C$9:$C$2000),2,0)</f>
        <v>#N/A</v>
      </c>
      <c r="L1000" s="85"/>
      <c r="M1000" s="85" t="e">
        <v>#REF!</v>
      </c>
      <c r="T1000" s="86"/>
      <c r="U1000" s="85"/>
      <c r="V1000" s="87"/>
      <c r="W1000" s="85"/>
      <c r="X1000" s="88"/>
      <c r="Y1000" s="89"/>
      <c r="Z1000" s="89"/>
      <c r="AA1000" s="88"/>
      <c r="AB1000" s="88"/>
      <c r="AF1000" s="90"/>
      <c r="AK1000" s="91"/>
      <c r="AM1000" s="92"/>
      <c r="AN1000" s="92"/>
      <c r="AO1000" s="92"/>
      <c r="AP1000" s="92"/>
      <c r="AQ1000" s="92"/>
      <c r="AR1000" s="92"/>
    </row>
    <row r="1001" spans="1:44" s="84" customFormat="1" ht="24" customHeight="1" x14ac:dyDescent="0.3">
      <c r="A1001" s="78" t="s">
        <v>4709</v>
      </c>
      <c r="B1001" s="79" t="s">
        <v>1455</v>
      </c>
      <c r="C1001" s="112">
        <v>1104723</v>
      </c>
      <c r="D1001" s="112">
        <v>1100813</v>
      </c>
      <c r="E1001" s="112">
        <v>29201373</v>
      </c>
      <c r="F1001" s="81" t="s">
        <v>1462</v>
      </c>
      <c r="G1001" s="82" t="s">
        <v>5074</v>
      </c>
      <c r="H1001" s="82" t="s">
        <v>5075</v>
      </c>
      <c r="I1001" s="82" t="s">
        <v>3103</v>
      </c>
      <c r="J1001" s="83" t="e">
        <f>VLOOKUP($C1001,CHOOSE({1,2},'[4]Prestações de Conta inadimplent'!$D$9:$D$2000,'[4]Prestações de Conta inadimplent'!$C$9:$C$2000),2,0)</f>
        <v>#N/A</v>
      </c>
      <c r="L1001" s="85"/>
      <c r="M1001" s="85" t="e">
        <v>#REF!</v>
      </c>
      <c r="T1001" s="86"/>
      <c r="U1001" s="85"/>
      <c r="V1001" s="87"/>
      <c r="W1001" s="85"/>
      <c r="X1001" s="88"/>
      <c r="Y1001" s="89"/>
      <c r="Z1001" s="89"/>
      <c r="AA1001" s="88"/>
      <c r="AB1001" s="88"/>
      <c r="AF1001" s="90"/>
      <c r="AK1001" s="91"/>
      <c r="AM1001" s="92"/>
      <c r="AN1001" s="92"/>
      <c r="AO1001" s="92"/>
      <c r="AP1001" s="92"/>
      <c r="AQ1001" s="92"/>
      <c r="AR1001" s="92"/>
    </row>
    <row r="1002" spans="1:44" s="84" customFormat="1" ht="24" customHeight="1" x14ac:dyDescent="0.3">
      <c r="A1002" s="78" t="s">
        <v>4709</v>
      </c>
      <c r="B1002" s="79" t="s">
        <v>1455</v>
      </c>
      <c r="C1002" s="112">
        <v>1100930</v>
      </c>
      <c r="D1002" s="112">
        <v>1100810</v>
      </c>
      <c r="E1002" s="112">
        <v>29201527</v>
      </c>
      <c r="F1002" s="81" t="s">
        <v>1468</v>
      </c>
      <c r="G1002" s="82" t="s">
        <v>5074</v>
      </c>
      <c r="H1002" s="82" t="s">
        <v>5076</v>
      </c>
      <c r="I1002" s="82" t="s">
        <v>3122</v>
      </c>
      <c r="J1002" s="83" t="str">
        <f>VLOOKUP($C1002,CHOOSE({1,2},'[4]Prestações de Conta inadimplent'!$D$9:$D$2000,'[4]Prestações de Conta inadimplent'!$C$9:$C$2000),2,0)</f>
        <v>Colegio Estadual Doutor Berlindo Mamede De Oliveira</v>
      </c>
      <c r="K1002" s="95"/>
      <c r="L1002" s="85"/>
      <c r="M1002" s="85" t="e">
        <v>#REF!</v>
      </c>
      <c r="T1002" s="86"/>
      <c r="U1002" s="85"/>
      <c r="V1002" s="87"/>
      <c r="W1002" s="85"/>
      <c r="X1002" s="85"/>
      <c r="Y1002" s="89"/>
      <c r="Z1002" s="89"/>
      <c r="AA1002" s="88"/>
      <c r="AB1002" s="88"/>
      <c r="AF1002" s="90"/>
      <c r="AK1002" s="91"/>
      <c r="AM1002" s="92"/>
      <c r="AN1002" s="92"/>
      <c r="AO1002" s="92"/>
      <c r="AP1002" s="92"/>
      <c r="AQ1002" s="92"/>
      <c r="AR1002" s="92"/>
    </row>
    <row r="1003" spans="1:44" s="84" customFormat="1" ht="24" customHeight="1" x14ac:dyDescent="0.3">
      <c r="A1003" s="78" t="s">
        <v>4709</v>
      </c>
      <c r="B1003" s="79" t="s">
        <v>1455</v>
      </c>
      <c r="C1003" s="112">
        <v>1144520</v>
      </c>
      <c r="D1003" s="112">
        <v>1104498</v>
      </c>
      <c r="E1003" s="112">
        <v>29201020</v>
      </c>
      <c r="F1003" s="81" t="s">
        <v>1456</v>
      </c>
      <c r="G1003" s="82" t="s">
        <v>5074</v>
      </c>
      <c r="H1003" s="82" t="s">
        <v>5077</v>
      </c>
      <c r="I1003" s="82" t="s">
        <v>3103</v>
      </c>
      <c r="J1003" s="83" t="e">
        <f>VLOOKUP($C1003,CHOOSE({1,2},'[4]Prestações de Conta inadimplent'!$D$9:$D$2000,'[4]Prestações de Conta inadimplent'!$C$9:$C$2000),2,0)</f>
        <v>#N/A</v>
      </c>
      <c r="L1003" s="85"/>
      <c r="M1003" s="85" t="e">
        <v>#REF!</v>
      </c>
      <c r="T1003" s="86"/>
      <c r="U1003" s="85"/>
      <c r="V1003" s="87"/>
      <c r="W1003" s="85"/>
      <c r="X1003" s="85"/>
      <c r="Y1003" s="89"/>
      <c r="Z1003" s="88"/>
      <c r="AA1003" s="88"/>
      <c r="AB1003" s="88"/>
      <c r="AF1003" s="90"/>
      <c r="AK1003" s="91"/>
      <c r="AM1003" s="92"/>
      <c r="AN1003" s="92"/>
      <c r="AO1003" s="92"/>
      <c r="AP1003" s="92"/>
      <c r="AQ1003" s="92"/>
      <c r="AR1003" s="92"/>
    </row>
    <row r="1004" spans="1:44" s="84" customFormat="1" ht="24" customHeight="1" x14ac:dyDescent="0.3">
      <c r="A1004" s="78" t="s">
        <v>4709</v>
      </c>
      <c r="B1004" s="79" t="s">
        <v>1455</v>
      </c>
      <c r="C1004" s="112">
        <v>1176072</v>
      </c>
      <c r="D1004" s="112">
        <v>1104502</v>
      </c>
      <c r="E1004" s="112">
        <v>29201632</v>
      </c>
      <c r="F1004" s="81" t="s">
        <v>5078</v>
      </c>
      <c r="G1004" s="82" t="s">
        <v>5074</v>
      </c>
      <c r="H1004" s="82" t="s">
        <v>5079</v>
      </c>
      <c r="I1004" s="82" t="s">
        <v>3103</v>
      </c>
      <c r="J1004" s="83" t="e">
        <f>VLOOKUP($C1004,CHOOSE({1,2},'[4]Prestações de Conta inadimplent'!$D$9:$D$2000,'[4]Prestações de Conta inadimplent'!$C$9:$C$2000),2,0)</f>
        <v>#N/A</v>
      </c>
      <c r="L1004" s="85"/>
      <c r="M1004" s="85" t="e">
        <v>#REF!</v>
      </c>
      <c r="T1004" s="86"/>
      <c r="U1004" s="85"/>
      <c r="V1004" s="87"/>
      <c r="W1004" s="85"/>
      <c r="X1004" s="88"/>
      <c r="Y1004" s="89"/>
      <c r="Z1004" s="89"/>
      <c r="AA1004" s="88"/>
      <c r="AB1004" s="88"/>
      <c r="AF1004" s="90"/>
      <c r="AK1004" s="91"/>
      <c r="AM1004" s="92"/>
      <c r="AN1004" s="92"/>
      <c r="AO1004" s="92"/>
      <c r="AP1004" s="92"/>
      <c r="AQ1004" s="92"/>
      <c r="AR1004" s="92"/>
    </row>
    <row r="1005" spans="1:44" s="84" customFormat="1" ht="24" customHeight="1" x14ac:dyDescent="0.3">
      <c r="A1005" s="78" t="s">
        <v>4709</v>
      </c>
      <c r="B1005" s="79" t="s">
        <v>1455</v>
      </c>
      <c r="C1005" s="112">
        <v>1103000</v>
      </c>
      <c r="D1005" s="112">
        <v>1100811</v>
      </c>
      <c r="E1005" s="112">
        <v>29201063</v>
      </c>
      <c r="F1005" s="81" t="s">
        <v>1459</v>
      </c>
      <c r="G1005" s="82" t="s">
        <v>5074</v>
      </c>
      <c r="H1005" s="82" t="s">
        <v>5080</v>
      </c>
      <c r="I1005" s="82" t="s">
        <v>3122</v>
      </c>
      <c r="J1005" s="83" t="str">
        <f>VLOOKUP($C1005,CHOOSE({1,2},'[4]Prestações de Conta inadimplent'!$D$9:$D$2000,'[4]Prestações de Conta inadimplent'!$C$9:$C$2000),2,0)</f>
        <v>Colegio Estadual Reitor Miguel Calmon</v>
      </c>
      <c r="L1005" s="85"/>
      <c r="M1005" s="85" t="e">
        <v>#REF!</v>
      </c>
      <c r="T1005" s="86"/>
      <c r="U1005" s="85"/>
      <c r="V1005" s="87"/>
      <c r="W1005" s="85"/>
      <c r="X1005" s="88"/>
      <c r="Y1005" s="89"/>
      <c r="Z1005" s="89"/>
      <c r="AA1005" s="88"/>
      <c r="AB1005" s="88"/>
      <c r="AF1005" s="90"/>
      <c r="AK1005" s="91"/>
      <c r="AM1005" s="92"/>
      <c r="AN1005" s="92"/>
      <c r="AO1005" s="92"/>
      <c r="AP1005" s="92"/>
      <c r="AQ1005" s="92"/>
      <c r="AR1005" s="92"/>
    </row>
    <row r="1006" spans="1:44" s="84" customFormat="1" ht="24" customHeight="1" x14ac:dyDescent="0.3">
      <c r="A1006" s="78" t="s">
        <v>4709</v>
      </c>
      <c r="B1006" s="79" t="s">
        <v>1455</v>
      </c>
      <c r="C1006" s="112">
        <v>1100655</v>
      </c>
      <c r="D1006" s="112">
        <v>1100809</v>
      </c>
      <c r="E1006" s="112">
        <v>29201608</v>
      </c>
      <c r="F1006" s="81" t="s">
        <v>5081</v>
      </c>
      <c r="G1006" s="82" t="s">
        <v>5074</v>
      </c>
      <c r="H1006" s="82" t="s">
        <v>5082</v>
      </c>
      <c r="I1006" s="82" t="s">
        <v>3122</v>
      </c>
      <c r="J1006" s="83" t="str">
        <f>VLOOKUP($C1006,CHOOSE({1,2},'[4]Prestações de Conta inadimplent'!$D$9:$D$2000,'[4]Prestações de Conta inadimplent'!$C$9:$C$2000),2,0)</f>
        <v>Colegio Estadual De Aratu</v>
      </c>
      <c r="L1006" s="85"/>
      <c r="M1006" s="85" t="e">
        <v>#REF!</v>
      </c>
      <c r="T1006" s="86"/>
      <c r="U1006" s="85"/>
      <c r="V1006" s="87"/>
      <c r="W1006" s="85"/>
      <c r="X1006" s="88"/>
      <c r="Y1006" s="89"/>
      <c r="Z1006" s="89"/>
      <c r="AA1006" s="88"/>
      <c r="AB1006" s="88"/>
      <c r="AF1006" s="90"/>
      <c r="AK1006" s="91"/>
      <c r="AM1006" s="92"/>
      <c r="AN1006" s="92"/>
      <c r="AO1006" s="92"/>
      <c r="AP1006" s="92"/>
      <c r="AQ1006" s="92"/>
      <c r="AR1006" s="92"/>
    </row>
    <row r="1007" spans="1:44" s="84" customFormat="1" ht="24" customHeight="1" x14ac:dyDescent="0.3">
      <c r="A1007" s="78" t="s">
        <v>4709</v>
      </c>
      <c r="B1007" s="79" t="s">
        <v>1455</v>
      </c>
      <c r="C1007" s="112">
        <v>1177009</v>
      </c>
      <c r="D1007" s="112">
        <v>1104503</v>
      </c>
      <c r="E1007" s="112">
        <v>29404460</v>
      </c>
      <c r="F1007" s="81" t="s">
        <v>2418</v>
      </c>
      <c r="G1007" s="82" t="s">
        <v>5074</v>
      </c>
      <c r="H1007" s="82" t="s">
        <v>5083</v>
      </c>
      <c r="I1007" s="82" t="s">
        <v>3122</v>
      </c>
      <c r="J1007" s="83" t="str">
        <f>VLOOKUP($C1007,CHOOSE({1,2},'[4]Prestações de Conta inadimplent'!$D$9:$D$2000,'[4]Prestações de Conta inadimplent'!$C$9:$C$2000),2,0)</f>
        <v>Colegio Estadual Manoel De Jesus</v>
      </c>
      <c r="L1007" s="85"/>
      <c r="M1007" s="85" t="e">
        <v>#REF!</v>
      </c>
      <c r="T1007" s="86"/>
      <c r="U1007" s="85"/>
      <c r="V1007" s="87"/>
      <c r="W1007" s="85"/>
      <c r="X1007" s="88"/>
      <c r="Y1007" s="89"/>
      <c r="Z1007" s="89"/>
      <c r="AA1007" s="88"/>
      <c r="AB1007" s="88"/>
      <c r="AF1007" s="90"/>
      <c r="AK1007" s="91"/>
      <c r="AM1007" s="92"/>
      <c r="AN1007" s="92"/>
      <c r="AO1007" s="92"/>
      <c r="AP1007" s="92"/>
      <c r="AQ1007" s="92"/>
      <c r="AR1007" s="92"/>
    </row>
    <row r="1008" spans="1:44" s="84" customFormat="1" ht="24" customHeight="1" x14ac:dyDescent="0.3">
      <c r="A1008" s="78" t="s">
        <v>4709</v>
      </c>
      <c r="B1008" s="79" t="s">
        <v>1455</v>
      </c>
      <c r="C1008" s="112">
        <v>1100159</v>
      </c>
      <c r="D1008" s="112">
        <v>1100808</v>
      </c>
      <c r="E1008" s="112">
        <v>29201390</v>
      </c>
      <c r="F1008" s="81" t="s">
        <v>1465</v>
      </c>
      <c r="G1008" s="82" t="s">
        <v>5074</v>
      </c>
      <c r="H1008" s="82" t="s">
        <v>5084</v>
      </c>
      <c r="I1008" s="82" t="s">
        <v>3122</v>
      </c>
      <c r="J1008" s="83" t="str">
        <f>VLOOKUP($C1008,CHOOSE({1,2},'[4]Prestações de Conta inadimplent'!$D$9:$D$2000,'[4]Prestações de Conta inadimplent'!$C$9:$C$2000),2,0)</f>
        <v>Colegio Estadual Alberto Silva</v>
      </c>
      <c r="L1008" s="85"/>
      <c r="M1008" s="85" t="e">
        <v>#REF!</v>
      </c>
      <c r="T1008" s="86"/>
      <c r="U1008" s="85"/>
      <c r="V1008" s="87"/>
      <c r="W1008" s="85"/>
      <c r="X1008" s="88"/>
      <c r="Y1008" s="89"/>
      <c r="Z1008" s="88"/>
      <c r="AA1008" s="88"/>
      <c r="AB1008" s="88"/>
      <c r="AF1008" s="90"/>
      <c r="AK1008" s="91"/>
      <c r="AM1008" s="92"/>
      <c r="AN1008" s="92"/>
      <c r="AO1008" s="92"/>
      <c r="AP1008" s="92"/>
      <c r="AQ1008" s="92"/>
      <c r="AR1008" s="92"/>
    </row>
    <row r="1009" spans="1:44" s="84" customFormat="1" ht="24" customHeight="1" x14ac:dyDescent="0.3">
      <c r="A1009" s="78" t="s">
        <v>4709</v>
      </c>
      <c r="B1009" s="79" t="s">
        <v>1455</v>
      </c>
      <c r="C1009" s="112">
        <v>1104928</v>
      </c>
      <c r="D1009" s="112">
        <v>1104514</v>
      </c>
      <c r="E1009" s="112">
        <v>29201535</v>
      </c>
      <c r="F1009" s="81" t="s">
        <v>1471</v>
      </c>
      <c r="G1009" s="82" t="s">
        <v>5074</v>
      </c>
      <c r="H1009" s="82" t="s">
        <v>5085</v>
      </c>
      <c r="I1009" s="82" t="s">
        <v>3103</v>
      </c>
      <c r="J1009" s="83" t="e">
        <f>VLOOKUP($C1009,CHOOSE({1,2},'[4]Prestações de Conta inadimplent'!$D$9:$D$2000,'[4]Prestações de Conta inadimplent'!$C$9:$C$2000),2,0)</f>
        <v>#N/A</v>
      </c>
      <c r="L1009" s="85"/>
      <c r="M1009" s="85" t="e">
        <v>#REF!</v>
      </c>
      <c r="T1009" s="86"/>
      <c r="U1009" s="85"/>
      <c r="V1009" s="87"/>
      <c r="W1009" s="85"/>
      <c r="X1009" s="88"/>
      <c r="Y1009" s="89"/>
      <c r="Z1009" s="89"/>
      <c r="AA1009" s="88"/>
      <c r="AB1009" s="88"/>
      <c r="AF1009" s="90"/>
      <c r="AK1009" s="91"/>
      <c r="AM1009" s="92"/>
      <c r="AN1009" s="92"/>
      <c r="AO1009" s="92"/>
      <c r="AP1009" s="92"/>
      <c r="AQ1009" s="92"/>
      <c r="AR1009" s="92"/>
    </row>
    <row r="1010" spans="1:44" s="84" customFormat="1" ht="24" customHeight="1" x14ac:dyDescent="0.3">
      <c r="A1010" s="78" t="s">
        <v>4709</v>
      </c>
      <c r="B1010" s="79" t="s">
        <v>1455</v>
      </c>
      <c r="C1010" s="112">
        <v>1103395</v>
      </c>
      <c r="D1010" s="112">
        <v>1100812</v>
      </c>
      <c r="E1010" s="112">
        <v>29201853</v>
      </c>
      <c r="F1010" s="81" t="s">
        <v>1477</v>
      </c>
      <c r="G1010" s="82" t="s">
        <v>5074</v>
      </c>
      <c r="H1010" s="82" t="s">
        <v>5086</v>
      </c>
      <c r="I1010" s="82" t="s">
        <v>3122</v>
      </c>
      <c r="J1010" s="83" t="str">
        <f>VLOOKUP($C1010,CHOOSE({1,2},'[4]Prestações de Conta inadimplent'!$D$9:$D$2000,'[4]Prestações de Conta inadimplent'!$C$9:$C$2000),2,0)</f>
        <v>Colegio Estadual Regina Simoes</v>
      </c>
      <c r="L1010" s="85"/>
      <c r="M1010" s="85" t="e">
        <v>#REF!</v>
      </c>
      <c r="T1010" s="86"/>
      <c r="U1010" s="85"/>
      <c r="V1010" s="87"/>
      <c r="W1010" s="85"/>
      <c r="X1010" s="88"/>
      <c r="Y1010" s="89"/>
      <c r="Z1010" s="89"/>
      <c r="AA1010" s="88"/>
      <c r="AB1010" s="88"/>
      <c r="AF1010" s="90"/>
      <c r="AK1010" s="91"/>
      <c r="AM1010" s="92"/>
      <c r="AN1010" s="92"/>
      <c r="AO1010" s="92"/>
      <c r="AP1010" s="92"/>
      <c r="AQ1010" s="92"/>
      <c r="AR1010" s="92"/>
    </row>
    <row r="1011" spans="1:44" s="84" customFormat="1" ht="24" customHeight="1" x14ac:dyDescent="0.3">
      <c r="A1011" s="78" t="s">
        <v>4709</v>
      </c>
      <c r="B1011" s="79" t="s">
        <v>1480</v>
      </c>
      <c r="C1011" s="112">
        <v>1102410</v>
      </c>
      <c r="D1011" s="112">
        <v>1103927</v>
      </c>
      <c r="E1011" s="112">
        <v>29202493</v>
      </c>
      <c r="F1011" s="81" t="s">
        <v>5087</v>
      </c>
      <c r="G1011" s="82" t="s">
        <v>4741</v>
      </c>
      <c r="H1011" s="82" t="s">
        <v>5088</v>
      </c>
      <c r="I1011" s="82" t="s">
        <v>3103</v>
      </c>
      <c r="J1011" s="83" t="e">
        <f>VLOOKUP($C1011,CHOOSE({1,2},'[4]Prestações de Conta inadimplent'!$D$9:$D$2000,'[4]Prestações de Conta inadimplent'!$C$9:$C$2000),2,0)</f>
        <v>#N/A</v>
      </c>
      <c r="L1011" s="85"/>
      <c r="M1011" s="85" t="e">
        <v>#REF!</v>
      </c>
      <c r="T1011" s="86"/>
      <c r="U1011" s="85"/>
      <c r="V1011" s="87"/>
      <c r="W1011" s="85"/>
      <c r="X1011" s="88"/>
      <c r="Y1011" s="89"/>
      <c r="Z1011" s="89"/>
      <c r="AA1011" s="88"/>
      <c r="AB1011" s="88"/>
      <c r="AF1011" s="90"/>
      <c r="AK1011" s="91"/>
      <c r="AM1011" s="92"/>
      <c r="AN1011" s="92"/>
      <c r="AO1011" s="92"/>
      <c r="AP1011" s="92"/>
      <c r="AQ1011" s="92"/>
      <c r="AR1011" s="92"/>
    </row>
    <row r="1012" spans="1:44" s="84" customFormat="1" ht="24" customHeight="1" x14ac:dyDescent="0.3">
      <c r="A1012" s="78" t="s">
        <v>4709</v>
      </c>
      <c r="B1012" s="79" t="s">
        <v>1480</v>
      </c>
      <c r="C1012" s="112">
        <v>1178430</v>
      </c>
      <c r="D1012" s="112">
        <v>1105574</v>
      </c>
      <c r="E1012" s="112">
        <v>29862728</v>
      </c>
      <c r="F1012" s="81" t="s">
        <v>3063</v>
      </c>
      <c r="G1012" s="82" t="s">
        <v>4741</v>
      </c>
      <c r="H1012" s="82" t="s">
        <v>5089</v>
      </c>
      <c r="I1012" s="82" t="s">
        <v>3103</v>
      </c>
      <c r="J1012" s="83" t="e">
        <f>VLOOKUP($C1012,CHOOSE({1,2},'[4]Prestações de Conta inadimplent'!$D$9:$D$2000,'[4]Prestações de Conta inadimplent'!$C$9:$C$2000),2,0)</f>
        <v>#N/A</v>
      </c>
      <c r="L1012" s="85"/>
      <c r="M1012" s="85" t="e">
        <v>#REF!</v>
      </c>
      <c r="T1012" s="86"/>
      <c r="U1012" s="85"/>
      <c r="V1012" s="87"/>
      <c r="W1012" s="85"/>
      <c r="X1012" s="88"/>
      <c r="Y1012" s="89"/>
      <c r="Z1012" s="88"/>
      <c r="AA1012" s="88"/>
      <c r="AB1012" s="88"/>
      <c r="AF1012" s="90"/>
      <c r="AK1012" s="91"/>
      <c r="AM1012" s="92"/>
      <c r="AN1012" s="92"/>
      <c r="AO1012" s="92"/>
      <c r="AP1012" s="92"/>
      <c r="AQ1012" s="92"/>
      <c r="AR1012" s="92"/>
    </row>
    <row r="1013" spans="1:44" s="84" customFormat="1" ht="24" customHeight="1" x14ac:dyDescent="0.3">
      <c r="A1013" s="78" t="s">
        <v>4709</v>
      </c>
      <c r="B1013" s="79" t="s">
        <v>1480</v>
      </c>
      <c r="C1013" s="112">
        <v>1102402</v>
      </c>
      <c r="D1013" s="112">
        <v>1103931</v>
      </c>
      <c r="E1013" s="112">
        <v>29202604</v>
      </c>
      <c r="F1013" s="81" t="s">
        <v>5090</v>
      </c>
      <c r="G1013" s="82" t="s">
        <v>4741</v>
      </c>
      <c r="H1013" s="82" t="s">
        <v>5091</v>
      </c>
      <c r="I1013" s="82" t="s">
        <v>3103</v>
      </c>
      <c r="J1013" s="83" t="e">
        <f>VLOOKUP($C1013,CHOOSE({1,2},'[4]Prestações de Conta inadimplent'!$D$9:$D$2000,'[4]Prestações de Conta inadimplent'!$C$9:$C$2000),2,0)</f>
        <v>#N/A</v>
      </c>
      <c r="L1013" s="85"/>
      <c r="M1013" s="85" t="e">
        <v>#REF!</v>
      </c>
      <c r="T1013" s="86"/>
      <c r="U1013" s="85"/>
      <c r="V1013" s="87"/>
      <c r="W1013" s="85"/>
      <c r="X1013" s="88"/>
      <c r="Y1013" s="89"/>
      <c r="Z1013" s="89"/>
      <c r="AA1013" s="88"/>
      <c r="AB1013" s="88"/>
      <c r="AF1013" s="90"/>
      <c r="AK1013" s="91"/>
      <c r="AM1013" s="92"/>
      <c r="AN1013" s="92"/>
      <c r="AO1013" s="92"/>
      <c r="AP1013" s="92"/>
      <c r="AQ1013" s="92"/>
      <c r="AR1013" s="92"/>
    </row>
    <row r="1014" spans="1:44" s="84" customFormat="1" ht="24" customHeight="1" x14ac:dyDescent="0.3">
      <c r="A1014" s="78" t="s">
        <v>5092</v>
      </c>
      <c r="B1014" s="79" t="s">
        <v>1950</v>
      </c>
      <c r="C1014" s="112">
        <v>1112998</v>
      </c>
      <c r="D1014" s="112">
        <v>1101528</v>
      </c>
      <c r="E1014" s="112">
        <v>29294100</v>
      </c>
      <c r="F1014" s="81" t="s">
        <v>5093</v>
      </c>
      <c r="G1014" s="82" t="s">
        <v>5094</v>
      </c>
      <c r="H1014" s="82" t="s">
        <v>5095</v>
      </c>
      <c r="I1014" s="82" t="s">
        <v>3103</v>
      </c>
      <c r="J1014" s="83" t="e">
        <f>VLOOKUP($C1014,CHOOSE({1,2},'[4]Prestações de Conta inadimplent'!$D$9:$D$2000,'[4]Prestações de Conta inadimplent'!$C$9:$C$2000),2,0)</f>
        <v>#N/A</v>
      </c>
      <c r="L1014" s="85"/>
      <c r="M1014" s="85" t="e">
        <v>#REF!</v>
      </c>
      <c r="T1014" s="86"/>
      <c r="U1014" s="85"/>
      <c r="V1014" s="87"/>
      <c r="W1014" s="85"/>
      <c r="X1014" s="88"/>
      <c r="Y1014" s="89"/>
      <c r="Z1014" s="89"/>
      <c r="AA1014" s="88"/>
      <c r="AB1014" s="88"/>
      <c r="AF1014" s="90"/>
      <c r="AK1014" s="91"/>
      <c r="AM1014" s="92"/>
      <c r="AN1014" s="92"/>
      <c r="AO1014" s="92"/>
      <c r="AP1014" s="92"/>
      <c r="AQ1014" s="92"/>
      <c r="AR1014" s="92"/>
    </row>
    <row r="1015" spans="1:44" s="84" customFormat="1" ht="24" customHeight="1" x14ac:dyDescent="0.3">
      <c r="A1015" s="78" t="s">
        <v>5092</v>
      </c>
      <c r="B1015" s="79" t="s">
        <v>2106</v>
      </c>
      <c r="C1015" s="112">
        <v>1178012</v>
      </c>
      <c r="D1015" s="112">
        <v>1104515</v>
      </c>
      <c r="E1015" s="112">
        <v>29428203</v>
      </c>
      <c r="F1015" s="81" t="s">
        <v>5096</v>
      </c>
      <c r="G1015" s="82" t="s">
        <v>5097</v>
      </c>
      <c r="H1015" s="82" t="s">
        <v>5098</v>
      </c>
      <c r="I1015" s="82" t="s">
        <v>3103</v>
      </c>
      <c r="J1015" s="83" t="e">
        <f>VLOOKUP($C1015,CHOOSE({1,2},'[4]Prestações de Conta inadimplent'!$D$9:$D$2000,'[4]Prestações de Conta inadimplent'!$C$9:$C$2000),2,0)</f>
        <v>#N/A</v>
      </c>
      <c r="L1015" s="85"/>
      <c r="M1015" s="85" t="e">
        <v>#REF!</v>
      </c>
      <c r="T1015" s="86"/>
      <c r="U1015" s="85"/>
      <c r="V1015" s="87"/>
      <c r="W1015" s="85"/>
      <c r="X1015" s="88"/>
      <c r="Y1015" s="89"/>
      <c r="Z1015" s="89"/>
      <c r="AA1015" s="88"/>
      <c r="AB1015" s="88"/>
      <c r="AF1015" s="90"/>
      <c r="AK1015" s="91"/>
      <c r="AM1015" s="92"/>
      <c r="AN1015" s="92"/>
      <c r="AO1015" s="92"/>
      <c r="AP1015" s="92"/>
      <c r="AQ1015" s="92"/>
      <c r="AR1015" s="92"/>
    </row>
    <row r="1016" spans="1:44" s="84" customFormat="1" ht="24" customHeight="1" x14ac:dyDescent="0.3">
      <c r="A1016" s="78" t="s">
        <v>5092</v>
      </c>
      <c r="B1016" s="79" t="s">
        <v>2106</v>
      </c>
      <c r="C1016" s="112">
        <v>1146167</v>
      </c>
      <c r="D1016" s="112">
        <v>1101529</v>
      </c>
      <c r="E1016" s="112">
        <v>29318220</v>
      </c>
      <c r="F1016" s="81" t="s">
        <v>5099</v>
      </c>
      <c r="G1016" s="82" t="s">
        <v>5097</v>
      </c>
      <c r="H1016" s="82" t="s">
        <v>5100</v>
      </c>
      <c r="I1016" s="82" t="s">
        <v>3103</v>
      </c>
      <c r="J1016" s="83" t="e">
        <f>VLOOKUP($C1016,CHOOSE({1,2},'[4]Prestações de Conta inadimplent'!$D$9:$D$2000,'[4]Prestações de Conta inadimplent'!$C$9:$C$2000),2,0)</f>
        <v>#N/A</v>
      </c>
      <c r="L1016" s="85"/>
      <c r="M1016" s="85" t="e">
        <v>#REF!</v>
      </c>
      <c r="T1016" s="86"/>
      <c r="U1016" s="85"/>
      <c r="V1016" s="87"/>
      <c r="W1016" s="85"/>
      <c r="X1016" s="88"/>
      <c r="Y1016" s="89"/>
      <c r="Z1016" s="89"/>
      <c r="AA1016" s="88"/>
      <c r="AB1016" s="88"/>
      <c r="AF1016" s="90"/>
      <c r="AK1016" s="91"/>
      <c r="AM1016" s="92"/>
      <c r="AN1016" s="92"/>
      <c r="AO1016" s="92"/>
      <c r="AP1016" s="92"/>
      <c r="AQ1016" s="92"/>
      <c r="AR1016" s="92"/>
    </row>
    <row r="1017" spans="1:44" s="84" customFormat="1" ht="24" customHeight="1" x14ac:dyDescent="0.3">
      <c r="A1017" s="78" t="s">
        <v>5092</v>
      </c>
      <c r="B1017" s="79" t="s">
        <v>2106</v>
      </c>
      <c r="C1017" s="112">
        <v>1146183</v>
      </c>
      <c r="D1017" s="112">
        <v>1101530</v>
      </c>
      <c r="E1017" s="112">
        <v>29318378</v>
      </c>
      <c r="F1017" s="81" t="s">
        <v>2109</v>
      </c>
      <c r="G1017" s="82" t="s">
        <v>5097</v>
      </c>
      <c r="H1017" s="82" t="s">
        <v>5101</v>
      </c>
      <c r="I1017" s="82" t="s">
        <v>3103</v>
      </c>
      <c r="J1017" s="83" t="e">
        <f>VLOOKUP($C1017,CHOOSE({1,2},'[4]Prestações de Conta inadimplent'!$D$9:$D$2000,'[4]Prestações de Conta inadimplent'!$C$9:$C$2000),2,0)</f>
        <v>#N/A</v>
      </c>
      <c r="L1017" s="85"/>
      <c r="M1017" s="85" t="e">
        <v>#REF!</v>
      </c>
      <c r="T1017" s="86"/>
      <c r="U1017" s="85"/>
      <c r="V1017" s="87"/>
      <c r="W1017" s="85"/>
      <c r="X1017" s="88"/>
      <c r="Y1017" s="89"/>
      <c r="Z1017" s="89"/>
      <c r="AA1017" s="88"/>
      <c r="AB1017" s="88"/>
      <c r="AF1017" s="90"/>
      <c r="AK1017" s="91"/>
      <c r="AM1017" s="92"/>
      <c r="AN1017" s="92"/>
      <c r="AO1017" s="92"/>
      <c r="AP1017" s="92"/>
      <c r="AQ1017" s="92"/>
      <c r="AR1017" s="92"/>
    </row>
    <row r="1018" spans="1:44" s="84" customFormat="1" ht="24" customHeight="1" x14ac:dyDescent="0.3">
      <c r="A1018" s="78" t="s">
        <v>5092</v>
      </c>
      <c r="B1018" s="79" t="s">
        <v>2106</v>
      </c>
      <c r="C1018" s="112">
        <v>1146264</v>
      </c>
      <c r="D1018" s="112">
        <v>1101534</v>
      </c>
      <c r="E1018" s="112">
        <v>29319218</v>
      </c>
      <c r="F1018" s="81" t="s">
        <v>2112</v>
      </c>
      <c r="G1018" s="82" t="s">
        <v>5097</v>
      </c>
      <c r="H1018" s="82" t="s">
        <v>5102</v>
      </c>
      <c r="I1018" s="82" t="s">
        <v>3103</v>
      </c>
      <c r="J1018" s="83" t="e">
        <f>VLOOKUP($C1018,CHOOSE({1,2},'[4]Prestações de Conta inadimplent'!$D$9:$D$2000,'[4]Prestações de Conta inadimplent'!$C$9:$C$2000),2,0)</f>
        <v>#N/A</v>
      </c>
      <c r="L1018" s="85"/>
      <c r="M1018" s="85" t="e">
        <v>#REF!</v>
      </c>
      <c r="T1018" s="86"/>
      <c r="U1018" s="85"/>
      <c r="V1018" s="87"/>
      <c r="W1018" s="85"/>
      <c r="X1018" s="88"/>
      <c r="Y1018" s="89"/>
      <c r="Z1018" s="89"/>
      <c r="AA1018" s="88"/>
      <c r="AB1018" s="88"/>
      <c r="AF1018" s="90"/>
      <c r="AK1018" s="91"/>
      <c r="AM1018" s="92"/>
      <c r="AN1018" s="92"/>
      <c r="AO1018" s="92"/>
      <c r="AP1018" s="92"/>
      <c r="AQ1018" s="92"/>
      <c r="AR1018" s="92"/>
    </row>
    <row r="1019" spans="1:44" s="84" customFormat="1" ht="24" customHeight="1" x14ac:dyDescent="0.3">
      <c r="A1019" s="78" t="s">
        <v>5092</v>
      </c>
      <c r="B1019" s="79" t="s">
        <v>2115</v>
      </c>
      <c r="C1019" s="112">
        <v>1112890</v>
      </c>
      <c r="D1019" s="112">
        <v>1101541</v>
      </c>
      <c r="E1019" s="112">
        <v>29319358</v>
      </c>
      <c r="F1019" s="81" t="s">
        <v>2116</v>
      </c>
      <c r="G1019" s="82" t="s">
        <v>5103</v>
      </c>
      <c r="H1019" s="82" t="s">
        <v>5104</v>
      </c>
      <c r="I1019" s="82" t="s">
        <v>3103</v>
      </c>
      <c r="J1019" s="83" t="e">
        <f>VLOOKUP($C1019,CHOOSE({1,2},'[4]Prestações de Conta inadimplent'!$D$9:$D$2000,'[4]Prestações de Conta inadimplent'!$C$9:$C$2000),2,0)</f>
        <v>#N/A</v>
      </c>
      <c r="L1019" s="85"/>
      <c r="M1019" s="85" t="e">
        <v>#REF!</v>
      </c>
      <c r="T1019" s="86"/>
      <c r="U1019" s="85"/>
      <c r="V1019" s="87"/>
      <c r="W1019" s="85"/>
      <c r="X1019" s="88"/>
      <c r="Y1019" s="89"/>
      <c r="Z1019" s="89"/>
      <c r="AA1019" s="88"/>
      <c r="AB1019" s="88"/>
      <c r="AF1019" s="90"/>
      <c r="AK1019" s="91"/>
      <c r="AM1019" s="92"/>
      <c r="AN1019" s="92"/>
      <c r="AO1019" s="92"/>
      <c r="AP1019" s="92"/>
      <c r="AQ1019" s="92"/>
      <c r="AR1019" s="92"/>
    </row>
    <row r="1020" spans="1:44" s="84" customFormat="1" ht="24" customHeight="1" x14ac:dyDescent="0.3">
      <c r="A1020" s="78" t="s">
        <v>5092</v>
      </c>
      <c r="B1020" s="79" t="s">
        <v>2119</v>
      </c>
      <c r="C1020" s="112">
        <v>1170181</v>
      </c>
      <c r="D1020" s="112">
        <v>1101544</v>
      </c>
      <c r="E1020" s="112">
        <v>29320623</v>
      </c>
      <c r="F1020" s="81" t="s">
        <v>1811</v>
      </c>
      <c r="G1020" s="82" t="s">
        <v>5105</v>
      </c>
      <c r="H1020" s="82" t="s">
        <v>5106</v>
      </c>
      <c r="I1020" s="82" t="s">
        <v>3103</v>
      </c>
      <c r="J1020" s="83" t="e">
        <f>VLOOKUP($C1020,CHOOSE({1,2},'[4]Prestações de Conta inadimplent'!$D$9:$D$2000,'[4]Prestações de Conta inadimplent'!$C$9:$C$2000),2,0)</f>
        <v>#N/A</v>
      </c>
      <c r="L1020" s="85"/>
      <c r="M1020" s="85" t="e">
        <v>#REF!</v>
      </c>
      <c r="T1020" s="86"/>
      <c r="U1020" s="85"/>
      <c r="V1020" s="87"/>
      <c r="W1020" s="85"/>
      <c r="X1020" s="88"/>
      <c r="Y1020" s="89"/>
      <c r="Z1020" s="89"/>
      <c r="AA1020" s="88"/>
      <c r="AB1020" s="88"/>
      <c r="AF1020" s="90"/>
      <c r="AK1020" s="91"/>
      <c r="AM1020" s="92"/>
      <c r="AN1020" s="92"/>
      <c r="AO1020" s="92"/>
      <c r="AP1020" s="92"/>
      <c r="AQ1020" s="92"/>
      <c r="AR1020" s="92"/>
    </row>
    <row r="1021" spans="1:44" s="84" customFormat="1" ht="24" customHeight="1" x14ac:dyDescent="0.3">
      <c r="A1021" s="78" t="s">
        <v>5092</v>
      </c>
      <c r="B1021" s="79" t="s">
        <v>2123</v>
      </c>
      <c r="C1021" s="112">
        <v>1146493</v>
      </c>
      <c r="D1021" s="112">
        <v>1101547</v>
      </c>
      <c r="E1021" s="112">
        <v>29321298</v>
      </c>
      <c r="F1021" s="81" t="s">
        <v>2124</v>
      </c>
      <c r="G1021" s="82" t="s">
        <v>5097</v>
      </c>
      <c r="H1021" s="82" t="s">
        <v>5107</v>
      </c>
      <c r="I1021" s="82" t="s">
        <v>3103</v>
      </c>
      <c r="J1021" s="83" t="e">
        <f>VLOOKUP($C1021,CHOOSE({1,2},'[4]Prestações de Conta inadimplent'!$D$9:$D$2000,'[4]Prestações de Conta inadimplent'!$C$9:$C$2000),2,0)</f>
        <v>#N/A</v>
      </c>
      <c r="L1021" s="85"/>
      <c r="M1021" s="85" t="e">
        <v>#REF!</v>
      </c>
      <c r="T1021" s="86"/>
      <c r="U1021" s="85"/>
      <c r="V1021" s="87"/>
      <c r="W1021" s="85"/>
      <c r="X1021" s="88"/>
      <c r="Y1021" s="89"/>
      <c r="Z1021" s="89"/>
      <c r="AA1021" s="88"/>
      <c r="AB1021" s="88"/>
      <c r="AF1021" s="90"/>
      <c r="AK1021" s="91"/>
      <c r="AM1021" s="92"/>
      <c r="AN1021" s="92"/>
      <c r="AO1021" s="92"/>
      <c r="AP1021" s="92"/>
      <c r="AQ1021" s="92"/>
      <c r="AR1021" s="92"/>
    </row>
    <row r="1022" spans="1:44" s="84" customFormat="1" ht="24" customHeight="1" x14ac:dyDescent="0.3">
      <c r="A1022" s="78" t="s">
        <v>5092</v>
      </c>
      <c r="B1022" s="79" t="s">
        <v>2058</v>
      </c>
      <c r="C1022" s="112">
        <v>1146523</v>
      </c>
      <c r="D1022" s="112">
        <v>1101562</v>
      </c>
      <c r="E1022" s="112">
        <v>29309638</v>
      </c>
      <c r="F1022" s="81" t="s">
        <v>2059</v>
      </c>
      <c r="G1022" s="82" t="s">
        <v>5097</v>
      </c>
      <c r="H1022" s="82" t="s">
        <v>5108</v>
      </c>
      <c r="I1022" s="82" t="s">
        <v>3103</v>
      </c>
      <c r="J1022" s="83" t="e">
        <f>VLOOKUP($C1022,CHOOSE({1,2},'[4]Prestações de Conta inadimplent'!$D$9:$D$2000,'[4]Prestações de Conta inadimplent'!$C$9:$C$2000),2,0)</f>
        <v>#N/A</v>
      </c>
      <c r="L1022" s="85"/>
      <c r="M1022" s="85" t="e">
        <v>#REF!</v>
      </c>
      <c r="T1022" s="86"/>
      <c r="U1022" s="85"/>
      <c r="V1022" s="87"/>
      <c r="W1022" s="85"/>
      <c r="X1022" s="88"/>
      <c r="Y1022" s="89"/>
      <c r="Z1022" s="89"/>
      <c r="AA1022" s="88"/>
      <c r="AB1022" s="88"/>
      <c r="AF1022" s="90"/>
      <c r="AK1022" s="91"/>
      <c r="AM1022" s="92"/>
      <c r="AN1022" s="92"/>
      <c r="AO1022" s="92"/>
      <c r="AP1022" s="92"/>
      <c r="AQ1022" s="92"/>
      <c r="AR1022" s="92"/>
    </row>
    <row r="1023" spans="1:44" s="84" customFormat="1" ht="24" customHeight="1" x14ac:dyDescent="0.3">
      <c r="A1023" s="78" t="s">
        <v>5092</v>
      </c>
      <c r="B1023" s="79" t="s">
        <v>2147</v>
      </c>
      <c r="C1023" s="112">
        <v>1178043</v>
      </c>
      <c r="D1023" s="112">
        <v>1104519</v>
      </c>
      <c r="E1023" s="112">
        <v>29431450</v>
      </c>
      <c r="F1023" s="81" t="s">
        <v>2626</v>
      </c>
      <c r="G1023" s="82" t="s">
        <v>5109</v>
      </c>
      <c r="H1023" s="82" t="s">
        <v>5110</v>
      </c>
      <c r="I1023" s="82" t="s">
        <v>3103</v>
      </c>
      <c r="J1023" s="83" t="e">
        <f>VLOOKUP($C1023,CHOOSE({1,2},'[4]Prestações de Conta inadimplent'!$D$9:$D$2000,'[4]Prestações de Conta inadimplent'!$C$9:$C$2000),2,0)</f>
        <v>#N/A</v>
      </c>
      <c r="L1023" s="85"/>
      <c r="M1023" s="85" t="e">
        <v>#REF!</v>
      </c>
      <c r="T1023" s="86"/>
      <c r="U1023" s="85"/>
      <c r="V1023" s="87"/>
      <c r="W1023" s="85"/>
      <c r="X1023" s="88"/>
      <c r="Y1023" s="89"/>
      <c r="Z1023" s="89"/>
      <c r="AA1023" s="88"/>
      <c r="AB1023" s="88"/>
      <c r="AF1023" s="90"/>
      <c r="AK1023" s="91"/>
      <c r="AM1023" s="92"/>
      <c r="AN1023" s="92"/>
      <c r="AO1023" s="92"/>
      <c r="AP1023" s="92"/>
      <c r="AQ1023" s="92"/>
      <c r="AR1023" s="92"/>
    </row>
    <row r="1024" spans="1:44" s="84" customFormat="1" ht="24" customHeight="1" x14ac:dyDescent="0.3">
      <c r="A1024" s="78" t="s">
        <v>5092</v>
      </c>
      <c r="B1024" s="79" t="s">
        <v>2147</v>
      </c>
      <c r="C1024" s="112">
        <v>1178067</v>
      </c>
      <c r="D1024" s="112">
        <v>1104517</v>
      </c>
      <c r="E1024" s="112">
        <v>29428084</v>
      </c>
      <c r="F1024" s="81" t="s">
        <v>5111</v>
      </c>
      <c r="G1024" s="82" t="s">
        <v>5109</v>
      </c>
      <c r="H1024" s="82" t="s">
        <v>5112</v>
      </c>
      <c r="I1024" s="82" t="s">
        <v>3103</v>
      </c>
      <c r="J1024" s="83" t="e">
        <f>VLOOKUP($C1024,CHOOSE({1,2},'[4]Prestações de Conta inadimplent'!$D$9:$D$2000,'[4]Prestações de Conta inadimplent'!$C$9:$C$2000),2,0)</f>
        <v>#N/A</v>
      </c>
      <c r="L1024" s="85"/>
      <c r="M1024" s="85" t="e">
        <v>#REF!</v>
      </c>
      <c r="T1024" s="86"/>
      <c r="U1024" s="85"/>
      <c r="V1024" s="87"/>
      <c r="W1024" s="85"/>
      <c r="X1024" s="88"/>
      <c r="Y1024" s="89"/>
      <c r="Z1024" s="88"/>
      <c r="AA1024" s="88"/>
      <c r="AB1024" s="88"/>
      <c r="AF1024" s="90"/>
      <c r="AK1024" s="91"/>
      <c r="AM1024" s="92"/>
      <c r="AN1024" s="92"/>
      <c r="AO1024" s="92"/>
      <c r="AP1024" s="92"/>
      <c r="AQ1024" s="92"/>
      <c r="AR1024" s="92"/>
    </row>
    <row r="1025" spans="1:44" s="84" customFormat="1" ht="24" customHeight="1" x14ac:dyDescent="0.3">
      <c r="A1025" s="78" t="s">
        <v>5092</v>
      </c>
      <c r="B1025" s="79" t="s">
        <v>2147</v>
      </c>
      <c r="C1025" s="112">
        <v>1178042</v>
      </c>
      <c r="D1025" s="112">
        <v>1104516</v>
      </c>
      <c r="E1025" s="112">
        <v>29428254</v>
      </c>
      <c r="F1025" s="81" t="s">
        <v>2574</v>
      </c>
      <c r="G1025" s="82" t="s">
        <v>5109</v>
      </c>
      <c r="H1025" s="82" t="s">
        <v>5113</v>
      </c>
      <c r="I1025" s="82" t="s">
        <v>3103</v>
      </c>
      <c r="J1025" s="83" t="e">
        <f>VLOOKUP($C1025,CHOOSE({1,2},'[4]Prestações de Conta inadimplent'!$D$9:$D$2000,'[4]Prestações de Conta inadimplent'!$C$9:$C$2000),2,0)</f>
        <v>#N/A</v>
      </c>
      <c r="L1025" s="85"/>
      <c r="M1025" s="85" t="e">
        <v>#REF!</v>
      </c>
      <c r="T1025" s="86"/>
      <c r="U1025" s="85"/>
      <c r="V1025" s="87"/>
      <c r="W1025" s="85"/>
      <c r="X1025" s="88"/>
      <c r="Y1025" s="89"/>
      <c r="Z1025" s="89"/>
      <c r="AA1025" s="88"/>
      <c r="AB1025" s="88"/>
      <c r="AF1025" s="90"/>
      <c r="AK1025" s="91"/>
      <c r="AM1025" s="92"/>
      <c r="AN1025" s="92"/>
      <c r="AO1025" s="92"/>
      <c r="AP1025" s="92"/>
      <c r="AQ1025" s="92"/>
      <c r="AR1025" s="92"/>
    </row>
    <row r="1026" spans="1:44" s="84" customFormat="1" ht="24" customHeight="1" x14ac:dyDescent="0.3">
      <c r="A1026" s="78" t="s">
        <v>5092</v>
      </c>
      <c r="B1026" s="79" t="s">
        <v>2147</v>
      </c>
      <c r="C1026" s="112">
        <v>1177093</v>
      </c>
      <c r="D1026" s="112">
        <v>1101570</v>
      </c>
      <c r="E1026" s="112">
        <v>29422345</v>
      </c>
      <c r="F1026" s="81" t="s">
        <v>5114</v>
      </c>
      <c r="G1026" s="82" t="s">
        <v>5109</v>
      </c>
      <c r="H1026" s="82" t="s">
        <v>5115</v>
      </c>
      <c r="I1026" s="82" t="s">
        <v>3103</v>
      </c>
      <c r="J1026" s="83" t="e">
        <f>VLOOKUP($C1026,CHOOSE({1,2},'[4]Prestações de Conta inadimplent'!$D$9:$D$2000,'[4]Prestações de Conta inadimplent'!$C$9:$C$2000),2,0)</f>
        <v>#N/A</v>
      </c>
      <c r="L1026" s="85"/>
      <c r="M1026" s="85" t="e">
        <v>#REF!</v>
      </c>
      <c r="T1026" s="86"/>
      <c r="U1026" s="85"/>
      <c r="V1026" s="87"/>
      <c r="W1026" s="85"/>
      <c r="X1026" s="88"/>
      <c r="Y1026" s="89"/>
      <c r="Z1026" s="89"/>
      <c r="AA1026" s="88"/>
      <c r="AB1026" s="88"/>
      <c r="AF1026" s="90"/>
      <c r="AK1026" s="91"/>
      <c r="AM1026" s="92"/>
      <c r="AN1026" s="92"/>
      <c r="AO1026" s="92"/>
      <c r="AP1026" s="92"/>
      <c r="AQ1026" s="92"/>
      <c r="AR1026" s="92"/>
    </row>
    <row r="1027" spans="1:44" s="84" customFormat="1" ht="24" customHeight="1" x14ac:dyDescent="0.3">
      <c r="A1027" s="78" t="s">
        <v>5092</v>
      </c>
      <c r="B1027" s="79" t="s">
        <v>2147</v>
      </c>
      <c r="C1027" s="112">
        <v>1141149</v>
      </c>
      <c r="D1027" s="112">
        <v>1101564</v>
      </c>
      <c r="E1027" s="112">
        <v>29326028</v>
      </c>
      <c r="F1027" s="81" t="s">
        <v>5116</v>
      </c>
      <c r="G1027" s="82" t="s">
        <v>5109</v>
      </c>
      <c r="H1027" s="82" t="s">
        <v>5117</v>
      </c>
      <c r="I1027" s="82" t="s">
        <v>3103</v>
      </c>
      <c r="J1027" s="83" t="e">
        <f>VLOOKUP($C1027,CHOOSE({1,2},'[4]Prestações de Conta inadimplent'!$D$9:$D$2000,'[4]Prestações de Conta inadimplent'!$C$9:$C$2000),2,0)</f>
        <v>#N/A</v>
      </c>
      <c r="L1027" s="85"/>
      <c r="M1027" s="85" t="e">
        <v>#REF!</v>
      </c>
      <c r="T1027" s="86"/>
      <c r="U1027" s="85"/>
      <c r="V1027" s="87"/>
      <c r="W1027" s="85"/>
      <c r="X1027" s="88"/>
      <c r="Y1027" s="89"/>
      <c r="Z1027" s="89"/>
      <c r="AA1027" s="88"/>
      <c r="AB1027" s="88"/>
      <c r="AF1027" s="90"/>
      <c r="AK1027" s="91"/>
      <c r="AM1027" s="92"/>
      <c r="AN1027" s="92"/>
      <c r="AO1027" s="92"/>
      <c r="AP1027" s="92"/>
      <c r="AQ1027" s="92"/>
      <c r="AR1027" s="92"/>
    </row>
    <row r="1028" spans="1:44" s="84" customFormat="1" ht="24" customHeight="1" x14ac:dyDescent="0.3">
      <c r="A1028" s="78">
        <v>27</v>
      </c>
      <c r="B1028" s="79" t="s">
        <v>2147</v>
      </c>
      <c r="C1028" s="112">
        <v>1146434</v>
      </c>
      <c r="D1028" s="112">
        <v>1101569</v>
      </c>
      <c r="E1028" s="112">
        <v>29326320</v>
      </c>
      <c r="F1028" s="81" t="s">
        <v>2150</v>
      </c>
      <c r="G1028" s="82" t="s">
        <v>5109</v>
      </c>
      <c r="H1028" s="82" t="s">
        <v>5118</v>
      </c>
      <c r="I1028" s="82" t="s">
        <v>3103</v>
      </c>
      <c r="J1028" s="83" t="e">
        <f>VLOOKUP($C1028,CHOOSE({1,2},'[4]Prestações de Conta inadimplent'!$D$9:$D$2000,'[4]Prestações de Conta inadimplent'!$C$9:$C$2000),2,0)</f>
        <v>#N/A</v>
      </c>
      <c r="K1028" s="95"/>
      <c r="L1028" s="85"/>
      <c r="M1028" s="85" t="e">
        <v>#REF!</v>
      </c>
      <c r="T1028" s="86"/>
      <c r="U1028" s="85"/>
      <c r="V1028" s="87"/>
      <c r="W1028" s="85"/>
      <c r="X1028" s="88"/>
      <c r="Y1028" s="89"/>
      <c r="Z1028" s="89"/>
      <c r="AA1028" s="88"/>
      <c r="AB1028" s="88"/>
      <c r="AF1028" s="90"/>
      <c r="AK1028" s="91"/>
      <c r="AM1028" s="92"/>
      <c r="AN1028" s="92"/>
      <c r="AO1028" s="92"/>
      <c r="AP1028" s="92"/>
      <c r="AQ1028" s="92"/>
      <c r="AR1028" s="92"/>
    </row>
    <row r="1029" spans="1:44" s="84" customFormat="1" ht="24" customHeight="1" x14ac:dyDescent="0.3">
      <c r="A1029" s="104">
        <v>27</v>
      </c>
      <c r="B1029" s="113" t="s">
        <v>2147</v>
      </c>
      <c r="C1029" s="111">
        <v>1179818</v>
      </c>
      <c r="D1029" s="123">
        <v>9999999</v>
      </c>
      <c r="E1029" s="124">
        <v>44372</v>
      </c>
      <c r="F1029" s="121" t="s">
        <v>5119</v>
      </c>
      <c r="G1029" s="82" t="s">
        <v>3192</v>
      </c>
      <c r="H1029" s="82" t="s">
        <v>3192</v>
      </c>
      <c r="I1029" s="82" t="s">
        <v>3103</v>
      </c>
      <c r="J1029" s="83" t="e">
        <f>VLOOKUP($C1029,CHOOSE({1,2},'[4]Prestações de Conta inadimplent'!$D$9:$D$2000,'[4]Prestações de Conta inadimplent'!$C$9:$C$2000),2,0)</f>
        <v>#N/A</v>
      </c>
      <c r="K1029" s="95"/>
      <c r="L1029" s="85"/>
      <c r="M1029" s="85"/>
      <c r="T1029" s="86"/>
      <c r="U1029" s="85"/>
      <c r="V1029" s="87"/>
      <c r="W1029" s="85"/>
      <c r="X1029" s="88"/>
      <c r="Y1029" s="89"/>
      <c r="Z1029" s="89"/>
      <c r="AA1029" s="88"/>
      <c r="AB1029" s="88"/>
      <c r="AF1029" s="90"/>
      <c r="AK1029" s="91"/>
      <c r="AM1029" s="92"/>
      <c r="AN1029" s="92"/>
      <c r="AO1029" s="92"/>
      <c r="AP1029" s="92"/>
      <c r="AQ1029" s="92"/>
      <c r="AR1029" s="92"/>
    </row>
    <row r="1030" spans="1:44" s="84" customFormat="1" ht="24" customHeight="1" x14ac:dyDescent="0.3">
      <c r="A1030" s="78" t="s">
        <v>5092</v>
      </c>
      <c r="B1030" s="79" t="s">
        <v>2358</v>
      </c>
      <c r="C1030" s="112">
        <v>1178401</v>
      </c>
      <c r="D1030" s="112">
        <v>1105561</v>
      </c>
      <c r="E1030" s="112">
        <v>29397707</v>
      </c>
      <c r="F1030" s="81" t="s">
        <v>2359</v>
      </c>
      <c r="G1030" s="82" t="s">
        <v>5120</v>
      </c>
      <c r="H1030" s="82" t="s">
        <v>5121</v>
      </c>
      <c r="I1030" s="82" t="s">
        <v>3103</v>
      </c>
      <c r="J1030" s="83" t="e">
        <f>VLOOKUP($C1030,CHOOSE({1,2},'[4]Prestações de Conta inadimplent'!$D$9:$D$2000,'[4]Prestações de Conta inadimplent'!$C$9:$C$2000),2,0)</f>
        <v>#N/A</v>
      </c>
      <c r="L1030" s="85"/>
      <c r="M1030" s="85" t="e">
        <v>#REF!</v>
      </c>
      <c r="T1030" s="86"/>
      <c r="U1030" s="85"/>
      <c r="V1030" s="87"/>
      <c r="W1030" s="85"/>
      <c r="X1030" s="88"/>
      <c r="Y1030" s="89"/>
      <c r="Z1030" s="89"/>
      <c r="AA1030" s="88"/>
      <c r="AB1030" s="88"/>
      <c r="AF1030" s="90"/>
      <c r="AK1030" s="91"/>
      <c r="AM1030" s="92"/>
      <c r="AN1030" s="92"/>
      <c r="AO1030" s="92"/>
      <c r="AP1030" s="92"/>
      <c r="AQ1030" s="92"/>
      <c r="AR1030" s="92"/>
    </row>
    <row r="1031" spans="1:44" s="84" customFormat="1" ht="24" customHeight="1" x14ac:dyDescent="0.3">
      <c r="A1031" s="78" t="s">
        <v>5092</v>
      </c>
      <c r="B1031" s="79" t="s">
        <v>2358</v>
      </c>
      <c r="C1031" s="112">
        <v>1178037</v>
      </c>
      <c r="D1031" s="112">
        <v>1101572</v>
      </c>
      <c r="E1031" s="112">
        <v>29428092</v>
      </c>
      <c r="F1031" s="81" t="s">
        <v>2568</v>
      </c>
      <c r="G1031" s="82" t="s">
        <v>5120</v>
      </c>
      <c r="H1031" s="82" t="s">
        <v>5122</v>
      </c>
      <c r="I1031" s="82" t="s">
        <v>3103</v>
      </c>
      <c r="J1031" s="83" t="e">
        <f>VLOOKUP($C1031,CHOOSE({1,2},'[4]Prestações de Conta inadimplent'!$D$9:$D$2000,'[4]Prestações de Conta inadimplent'!$C$9:$C$2000),2,0)</f>
        <v>#N/A</v>
      </c>
      <c r="L1031" s="85"/>
      <c r="M1031" s="85" t="e">
        <v>#REF!</v>
      </c>
      <c r="T1031" s="86"/>
      <c r="U1031" s="85"/>
      <c r="V1031" s="87"/>
      <c r="W1031" s="85"/>
      <c r="X1031" s="88"/>
      <c r="Y1031" s="89"/>
      <c r="Z1031" s="88"/>
      <c r="AA1031" s="88"/>
      <c r="AB1031" s="88"/>
      <c r="AF1031" s="90"/>
      <c r="AK1031" s="91"/>
      <c r="AM1031" s="92"/>
      <c r="AN1031" s="92"/>
      <c r="AO1031" s="92"/>
      <c r="AP1031" s="92"/>
      <c r="AQ1031" s="92"/>
      <c r="AR1031" s="92"/>
    </row>
    <row r="1032" spans="1:44" s="84" customFormat="1" ht="24" customHeight="1" x14ac:dyDescent="0.25">
      <c r="A1032" s="125">
        <v>2</v>
      </c>
      <c r="B1032" s="126" t="s">
        <v>264</v>
      </c>
      <c r="C1032" s="127">
        <v>1127596</v>
      </c>
      <c r="D1032" s="127">
        <v>1103055</v>
      </c>
      <c r="E1032" s="127">
        <v>29036160</v>
      </c>
      <c r="F1032" s="128" t="s">
        <v>5123</v>
      </c>
      <c r="G1032" s="129" t="s">
        <v>5124</v>
      </c>
      <c r="H1032" s="129" t="s">
        <v>5124</v>
      </c>
      <c r="I1032" s="129" t="s">
        <v>5124</v>
      </c>
      <c r="J1032" s="83" t="e">
        <f>VLOOKUP($C1032,CHOOSE({1,2},'[4]Prestações de Conta inadimplent'!$D$9:$D$2000,'[4]Prestações de Conta inadimplent'!$C$9:$C$2000),2,0)</f>
        <v>#N/A</v>
      </c>
      <c r="L1032" s="85"/>
      <c r="M1032" s="85"/>
      <c r="T1032" s="86"/>
      <c r="U1032" s="85"/>
      <c r="V1032" s="87"/>
      <c r="W1032" s="85"/>
      <c r="X1032" s="88"/>
      <c r="Y1032" s="89"/>
      <c r="Z1032" s="88"/>
      <c r="AA1032" s="88"/>
      <c r="AB1032" s="88"/>
      <c r="AF1032" s="90"/>
      <c r="AM1032" s="92"/>
      <c r="AN1032" s="92"/>
      <c r="AO1032" s="92"/>
      <c r="AP1032" s="92"/>
      <c r="AQ1032" s="92"/>
      <c r="AR1032" s="92"/>
    </row>
    <row r="1033" spans="1:44" s="84" customFormat="1" ht="24" customHeight="1" x14ac:dyDescent="0.25">
      <c r="A1033" s="125">
        <v>4</v>
      </c>
      <c r="B1033" s="126" t="s">
        <v>853</v>
      </c>
      <c r="C1033" s="127">
        <v>1116535</v>
      </c>
      <c r="D1033" s="127">
        <v>1105525</v>
      </c>
      <c r="E1033" s="127">
        <v>29145805</v>
      </c>
      <c r="F1033" s="128" t="s">
        <v>5125</v>
      </c>
      <c r="G1033" s="129" t="s">
        <v>5124</v>
      </c>
      <c r="H1033" s="129" t="s">
        <v>5124</v>
      </c>
      <c r="I1033" s="129" t="s">
        <v>5124</v>
      </c>
      <c r="J1033" s="83" t="e">
        <f>VLOOKUP($C1033,CHOOSE({1,2},'[4]Prestações de Conta inadimplent'!$D$9:$D$2000,'[4]Prestações de Conta inadimplent'!$C$9:$C$2000),2,0)</f>
        <v>#N/A</v>
      </c>
      <c r="L1033" s="85"/>
      <c r="M1033" s="85"/>
      <c r="T1033" s="86"/>
      <c r="U1033" s="85"/>
      <c r="V1033" s="87"/>
      <c r="W1033" s="85"/>
      <c r="X1033" s="88"/>
      <c r="Y1033" s="89"/>
      <c r="Z1033" s="88"/>
      <c r="AA1033" s="88"/>
      <c r="AB1033" s="88"/>
      <c r="AF1033" s="90"/>
      <c r="AM1033" s="92"/>
      <c r="AN1033" s="92"/>
      <c r="AO1033" s="92"/>
      <c r="AP1033" s="92"/>
      <c r="AQ1033" s="92"/>
      <c r="AR1033" s="92"/>
    </row>
    <row r="1034" spans="1:44" s="84" customFormat="1" ht="24" customHeight="1" x14ac:dyDescent="0.25">
      <c r="A1034" s="125">
        <v>4</v>
      </c>
      <c r="B1034" s="126" t="s">
        <v>739</v>
      </c>
      <c r="C1034" s="127">
        <v>1114966</v>
      </c>
      <c r="D1034" s="127">
        <v>1102141</v>
      </c>
      <c r="E1034" s="127">
        <v>29124298</v>
      </c>
      <c r="F1034" s="128" t="s">
        <v>5126</v>
      </c>
      <c r="G1034" s="129" t="s">
        <v>5124</v>
      </c>
      <c r="H1034" s="129" t="s">
        <v>5124</v>
      </c>
      <c r="I1034" s="129" t="s">
        <v>5124</v>
      </c>
      <c r="J1034" s="83" t="e">
        <f>VLOOKUP($C1034,CHOOSE({1,2},'[4]Prestações de Conta inadimplent'!$D$9:$D$2000,'[4]Prestações de Conta inadimplent'!$C$9:$C$2000),2,0)</f>
        <v>#N/A</v>
      </c>
      <c r="L1034" s="85"/>
      <c r="M1034" s="85"/>
      <c r="T1034" s="86"/>
      <c r="U1034" s="85"/>
      <c r="V1034" s="87"/>
      <c r="W1034" s="85"/>
      <c r="X1034" s="88"/>
      <c r="Y1034" s="89"/>
      <c r="Z1034" s="88"/>
      <c r="AA1034" s="88"/>
      <c r="AB1034" s="88"/>
      <c r="AF1034" s="90"/>
      <c r="AM1034" s="92"/>
      <c r="AN1034" s="92"/>
      <c r="AO1034" s="92"/>
      <c r="AP1034" s="92"/>
      <c r="AQ1034" s="92"/>
      <c r="AR1034" s="92"/>
    </row>
    <row r="1035" spans="1:44" s="84" customFormat="1" ht="24" customHeight="1" x14ac:dyDescent="0.25">
      <c r="A1035" s="125">
        <v>4</v>
      </c>
      <c r="B1035" s="126" t="s">
        <v>802</v>
      </c>
      <c r="C1035" s="127">
        <v>1170009</v>
      </c>
      <c r="D1035" s="127" t="e">
        <v>#N/A</v>
      </c>
      <c r="E1035" s="127">
        <v>29139163</v>
      </c>
      <c r="F1035" s="128" t="s">
        <v>5127</v>
      </c>
      <c r="G1035" s="129" t="s">
        <v>5124</v>
      </c>
      <c r="H1035" s="129" t="s">
        <v>5124</v>
      </c>
      <c r="I1035" s="129" t="s">
        <v>5124</v>
      </c>
      <c r="J1035" s="83" t="e">
        <f>VLOOKUP($C1035,CHOOSE({1,2},'[4]Prestações de Conta inadimplent'!$D$9:$D$2000,'[4]Prestações de Conta inadimplent'!$C$9:$C$2000),2,0)</f>
        <v>#N/A</v>
      </c>
      <c r="L1035" s="85"/>
      <c r="M1035" s="85"/>
      <c r="T1035" s="86"/>
      <c r="U1035" s="85"/>
      <c r="V1035" s="87"/>
      <c r="W1035" s="85"/>
      <c r="X1035" s="88"/>
      <c r="Y1035" s="89"/>
      <c r="Z1035" s="88"/>
      <c r="AA1035" s="88"/>
      <c r="AB1035" s="88"/>
      <c r="AF1035" s="90"/>
      <c r="AM1035" s="92"/>
      <c r="AN1035" s="92"/>
      <c r="AO1035" s="92"/>
      <c r="AP1035" s="92"/>
      <c r="AQ1035" s="92"/>
      <c r="AR1035" s="92"/>
    </row>
    <row r="1036" spans="1:44" s="84" customFormat="1" ht="24" customHeight="1" x14ac:dyDescent="0.25">
      <c r="A1036" s="125">
        <v>4</v>
      </c>
      <c r="B1036" s="126" t="s">
        <v>2447</v>
      </c>
      <c r="C1036" s="127">
        <v>1107048</v>
      </c>
      <c r="D1036" s="127">
        <v>1100855</v>
      </c>
      <c r="E1036" s="127">
        <v>29139775</v>
      </c>
      <c r="F1036" s="128" t="s">
        <v>5128</v>
      </c>
      <c r="G1036" s="129" t="s">
        <v>5124</v>
      </c>
      <c r="H1036" s="129" t="s">
        <v>5124</v>
      </c>
      <c r="I1036" s="129" t="s">
        <v>5124</v>
      </c>
      <c r="J1036" s="83" t="e">
        <f>VLOOKUP($C1036,CHOOSE({1,2},'[4]Prestações de Conta inadimplent'!$D$9:$D$2000,'[4]Prestações de Conta inadimplent'!$C$9:$C$2000),2,0)</f>
        <v>#N/A</v>
      </c>
      <c r="L1036" s="85"/>
      <c r="M1036" s="85"/>
      <c r="T1036" s="86"/>
      <c r="U1036" s="85"/>
      <c r="V1036" s="87"/>
      <c r="W1036" s="85"/>
      <c r="X1036" s="88"/>
      <c r="Y1036" s="89"/>
      <c r="Z1036" s="88"/>
      <c r="AA1036" s="88"/>
      <c r="AB1036" s="88"/>
      <c r="AF1036" s="90"/>
      <c r="AM1036" s="92"/>
      <c r="AN1036" s="92"/>
      <c r="AO1036" s="92"/>
      <c r="AP1036" s="92"/>
      <c r="AQ1036" s="92"/>
      <c r="AR1036" s="92"/>
    </row>
    <row r="1037" spans="1:44" s="84" customFormat="1" ht="24" customHeight="1" x14ac:dyDescent="0.25">
      <c r="A1037" s="125">
        <v>4</v>
      </c>
      <c r="B1037" s="126" t="s">
        <v>5129</v>
      </c>
      <c r="C1037" s="127">
        <v>1116349</v>
      </c>
      <c r="D1037" s="127">
        <v>1102092</v>
      </c>
      <c r="E1037" s="127">
        <v>29145317</v>
      </c>
      <c r="F1037" s="128" t="s">
        <v>5130</v>
      </c>
      <c r="G1037" s="129" t="s">
        <v>5124</v>
      </c>
      <c r="H1037" s="129" t="s">
        <v>5124</v>
      </c>
      <c r="I1037" s="129" t="s">
        <v>5124</v>
      </c>
      <c r="J1037" s="83" t="e">
        <f>VLOOKUP($C1037,CHOOSE({1,2},'[4]Prestações de Conta inadimplent'!$D$9:$D$2000,'[4]Prestações de Conta inadimplent'!$C$9:$C$2000),2,0)</f>
        <v>#N/A</v>
      </c>
      <c r="L1037" s="85"/>
      <c r="M1037" s="85"/>
      <c r="T1037" s="86"/>
      <c r="U1037" s="85"/>
      <c r="V1037" s="87"/>
      <c r="W1037" s="85"/>
      <c r="X1037" s="88"/>
      <c r="Y1037" s="89"/>
      <c r="Z1037" s="88"/>
      <c r="AA1037" s="88"/>
      <c r="AB1037" s="88"/>
      <c r="AF1037" s="90"/>
      <c r="AM1037" s="92"/>
      <c r="AN1037" s="92"/>
      <c r="AO1037" s="92"/>
      <c r="AP1037" s="92"/>
      <c r="AQ1037" s="92"/>
      <c r="AR1037" s="92"/>
    </row>
    <row r="1038" spans="1:44" s="84" customFormat="1" ht="24" customHeight="1" x14ac:dyDescent="0.25">
      <c r="A1038" s="125">
        <v>5</v>
      </c>
      <c r="B1038" s="126" t="s">
        <v>1985</v>
      </c>
      <c r="C1038" s="127">
        <v>1111304</v>
      </c>
      <c r="D1038" s="127">
        <v>1101472</v>
      </c>
      <c r="E1038" s="127">
        <v>29302145</v>
      </c>
      <c r="F1038" s="128" t="s">
        <v>5131</v>
      </c>
      <c r="G1038" s="129" t="s">
        <v>5132</v>
      </c>
      <c r="H1038" s="129" t="s">
        <v>5132</v>
      </c>
      <c r="I1038" s="129" t="s">
        <v>5132</v>
      </c>
      <c r="J1038" s="83" t="e">
        <f>VLOOKUP($C1038,CHOOSE({1,2},'[4]Prestações de Conta inadimplent'!$D$9:$D$2000,'[4]Prestações de Conta inadimplent'!$C$9:$C$2000),2,0)</f>
        <v>#N/A</v>
      </c>
      <c r="L1038" s="85"/>
      <c r="M1038" s="85"/>
      <c r="T1038" s="86"/>
      <c r="U1038" s="85"/>
      <c r="V1038" s="87"/>
      <c r="W1038" s="85"/>
      <c r="X1038" s="88"/>
      <c r="Y1038" s="89"/>
      <c r="Z1038" s="88"/>
      <c r="AA1038" s="88"/>
      <c r="AB1038" s="88"/>
      <c r="AF1038" s="90"/>
      <c r="AM1038" s="92"/>
      <c r="AN1038" s="92"/>
      <c r="AO1038" s="92"/>
      <c r="AP1038" s="92"/>
      <c r="AQ1038" s="92"/>
      <c r="AR1038" s="92"/>
    </row>
    <row r="1039" spans="1:44" s="84" customFormat="1" ht="24" customHeight="1" x14ac:dyDescent="0.25">
      <c r="A1039" s="125">
        <v>5</v>
      </c>
      <c r="B1039" s="126" t="s">
        <v>1985</v>
      </c>
      <c r="C1039" s="127">
        <v>1138423</v>
      </c>
      <c r="D1039" s="127">
        <v>1101491</v>
      </c>
      <c r="E1039" s="127">
        <v>29301815</v>
      </c>
      <c r="F1039" s="128" t="s">
        <v>5133</v>
      </c>
      <c r="G1039" s="129" t="s">
        <v>5132</v>
      </c>
      <c r="H1039" s="129" t="s">
        <v>5132</v>
      </c>
      <c r="I1039" s="129" t="s">
        <v>5132</v>
      </c>
      <c r="J1039" s="83" t="e">
        <f>VLOOKUP($C1039,CHOOSE({1,2},'[4]Prestações de Conta inadimplent'!$D$9:$D$2000,'[4]Prestações de Conta inadimplent'!$C$9:$C$2000),2,0)</f>
        <v>#N/A</v>
      </c>
      <c r="L1039" s="85"/>
      <c r="M1039" s="85"/>
      <c r="T1039" s="86"/>
      <c r="U1039" s="85"/>
      <c r="V1039" s="87"/>
      <c r="W1039" s="85"/>
      <c r="X1039" s="88"/>
      <c r="Y1039" s="89"/>
      <c r="Z1039" s="88"/>
      <c r="AA1039" s="88"/>
      <c r="AB1039" s="88"/>
      <c r="AF1039" s="90"/>
      <c r="AM1039" s="92"/>
      <c r="AN1039" s="92"/>
      <c r="AO1039" s="92"/>
      <c r="AP1039" s="92"/>
      <c r="AQ1039" s="92"/>
      <c r="AR1039" s="92"/>
    </row>
    <row r="1040" spans="1:44" s="84" customFormat="1" ht="24" customHeight="1" x14ac:dyDescent="0.25">
      <c r="A1040" s="125">
        <v>5</v>
      </c>
      <c r="B1040" s="126" t="s">
        <v>2013</v>
      </c>
      <c r="C1040" s="127">
        <v>1170564</v>
      </c>
      <c r="D1040" s="127">
        <v>1101683</v>
      </c>
      <c r="E1040" s="127">
        <v>29304350</v>
      </c>
      <c r="F1040" s="128" t="s">
        <v>5134</v>
      </c>
      <c r="G1040" s="129" t="s">
        <v>5132</v>
      </c>
      <c r="H1040" s="129" t="s">
        <v>5132</v>
      </c>
      <c r="I1040" s="129" t="s">
        <v>5132</v>
      </c>
      <c r="J1040" s="83" t="e">
        <f>VLOOKUP($C1040,CHOOSE({1,2},'[4]Prestações de Conta inadimplent'!$D$9:$D$2000,'[4]Prestações de Conta inadimplent'!$C$9:$C$2000),2,0)</f>
        <v>#N/A</v>
      </c>
      <c r="L1040" s="85"/>
      <c r="M1040" s="85"/>
      <c r="T1040" s="86"/>
      <c r="U1040" s="85"/>
      <c r="V1040" s="87"/>
      <c r="W1040" s="85"/>
      <c r="X1040" s="88"/>
      <c r="Y1040" s="89"/>
      <c r="Z1040" s="88"/>
      <c r="AA1040" s="88"/>
      <c r="AB1040" s="88"/>
      <c r="AF1040" s="90"/>
      <c r="AM1040" s="92"/>
      <c r="AN1040" s="92"/>
      <c r="AO1040" s="92"/>
      <c r="AP1040" s="92"/>
      <c r="AQ1040" s="92"/>
      <c r="AR1040" s="92"/>
    </row>
    <row r="1041" spans="1:44" s="84" customFormat="1" ht="24" customHeight="1" x14ac:dyDescent="0.25">
      <c r="A1041" s="125">
        <v>5</v>
      </c>
      <c r="B1041" s="126" t="s">
        <v>2013</v>
      </c>
      <c r="C1041" s="127">
        <v>1176441</v>
      </c>
      <c r="D1041" s="127">
        <v>1101686</v>
      </c>
      <c r="E1041" s="127">
        <v>29400360</v>
      </c>
      <c r="F1041" s="128" t="s">
        <v>5135</v>
      </c>
      <c r="G1041" s="129" t="s">
        <v>5132</v>
      </c>
      <c r="H1041" s="129" t="s">
        <v>5132</v>
      </c>
      <c r="I1041" s="129" t="s">
        <v>5132</v>
      </c>
      <c r="J1041" s="83" t="e">
        <f>VLOOKUP($C1041,CHOOSE({1,2},'[4]Prestações de Conta inadimplent'!$D$9:$D$2000,'[4]Prestações de Conta inadimplent'!$C$9:$C$2000),2,0)</f>
        <v>#N/A</v>
      </c>
      <c r="L1041" s="85"/>
      <c r="M1041" s="85"/>
      <c r="T1041" s="86"/>
      <c r="U1041" s="85"/>
      <c r="V1041" s="87"/>
      <c r="W1041" s="85"/>
      <c r="X1041" s="88"/>
      <c r="Y1041" s="89"/>
      <c r="Z1041" s="88"/>
      <c r="AA1041" s="88"/>
      <c r="AB1041" s="88"/>
      <c r="AF1041" s="90"/>
      <c r="AM1041" s="92"/>
      <c r="AN1041" s="92"/>
      <c r="AO1041" s="92"/>
      <c r="AP1041" s="92"/>
      <c r="AQ1041" s="92"/>
      <c r="AR1041" s="92"/>
    </row>
    <row r="1042" spans="1:44" s="84" customFormat="1" ht="24" customHeight="1" x14ac:dyDescent="0.25">
      <c r="A1042" s="125">
        <v>5</v>
      </c>
      <c r="B1042" s="126" t="s">
        <v>2013</v>
      </c>
      <c r="C1042" s="127">
        <v>1179115</v>
      </c>
      <c r="D1042" s="127">
        <v>1101634</v>
      </c>
      <c r="E1042" s="127">
        <v>29304431</v>
      </c>
      <c r="F1042" s="128" t="s">
        <v>5136</v>
      </c>
      <c r="G1042" s="129" t="s">
        <v>5132</v>
      </c>
      <c r="H1042" s="129" t="s">
        <v>5132</v>
      </c>
      <c r="I1042" s="129" t="s">
        <v>5132</v>
      </c>
      <c r="J1042" s="83" t="e">
        <f>VLOOKUP($C1042,CHOOSE({1,2},'[4]Prestações de Conta inadimplent'!$D$9:$D$2000,'[4]Prestações de Conta inadimplent'!$C$9:$C$2000),2,0)</f>
        <v>#N/A</v>
      </c>
      <c r="L1042" s="85"/>
      <c r="M1042" s="85"/>
      <c r="T1042" s="86"/>
      <c r="U1042" s="85"/>
      <c r="V1042" s="87"/>
      <c r="W1042" s="85"/>
      <c r="X1042" s="88"/>
      <c r="Y1042" s="89"/>
      <c r="Z1042" s="88"/>
      <c r="AA1042" s="88"/>
      <c r="AB1042" s="88"/>
      <c r="AF1042" s="90"/>
      <c r="AM1042" s="92"/>
      <c r="AN1042" s="92"/>
      <c r="AO1042" s="92"/>
      <c r="AP1042" s="92"/>
      <c r="AQ1042" s="92"/>
      <c r="AR1042" s="92"/>
    </row>
    <row r="1043" spans="1:44" s="84" customFormat="1" ht="24" customHeight="1" x14ac:dyDescent="0.25">
      <c r="A1043" s="125">
        <v>5</v>
      </c>
      <c r="B1043" s="126" t="s">
        <v>2013</v>
      </c>
      <c r="C1043" s="127">
        <v>1112238</v>
      </c>
      <c r="D1043" s="127">
        <v>1101669</v>
      </c>
      <c r="E1043" s="127">
        <v>29306159</v>
      </c>
      <c r="F1043" s="128" t="s">
        <v>5137</v>
      </c>
      <c r="G1043" s="129" t="s">
        <v>5132</v>
      </c>
      <c r="H1043" s="129" t="s">
        <v>5132</v>
      </c>
      <c r="I1043" s="129" t="s">
        <v>5132</v>
      </c>
      <c r="J1043" s="83" t="e">
        <f>VLOOKUP($C1043,CHOOSE({1,2},'[4]Prestações de Conta inadimplent'!$D$9:$D$2000,'[4]Prestações de Conta inadimplent'!$C$9:$C$2000),2,0)</f>
        <v>#N/A</v>
      </c>
      <c r="L1043" s="85"/>
      <c r="M1043" s="85"/>
      <c r="T1043" s="86"/>
      <c r="U1043" s="85"/>
      <c r="V1043" s="87"/>
      <c r="W1043" s="85"/>
      <c r="X1043" s="88"/>
      <c r="Y1043" s="89"/>
      <c r="Z1043" s="88"/>
      <c r="AA1043" s="88"/>
      <c r="AB1043" s="88"/>
      <c r="AF1043" s="90"/>
      <c r="AM1043" s="92"/>
      <c r="AN1043" s="92"/>
      <c r="AO1043" s="92"/>
      <c r="AP1043" s="92"/>
      <c r="AQ1043" s="92"/>
      <c r="AR1043" s="92"/>
    </row>
    <row r="1044" spans="1:44" s="84" customFormat="1" ht="24" customHeight="1" x14ac:dyDescent="0.25">
      <c r="A1044" s="125">
        <v>5</v>
      </c>
      <c r="B1044" s="126" t="s">
        <v>2013</v>
      </c>
      <c r="C1044" s="127">
        <v>1141386</v>
      </c>
      <c r="D1044" s="127">
        <v>1101673</v>
      </c>
      <c r="E1044" s="127">
        <v>29304962</v>
      </c>
      <c r="F1044" s="128" t="s">
        <v>5138</v>
      </c>
      <c r="G1044" s="129" t="s">
        <v>5132</v>
      </c>
      <c r="H1044" s="129" t="s">
        <v>5132</v>
      </c>
      <c r="I1044" s="129" t="s">
        <v>5132</v>
      </c>
      <c r="J1044" s="83" t="e">
        <f>VLOOKUP($C1044,CHOOSE({1,2},'[4]Prestações de Conta inadimplent'!$D$9:$D$2000,'[4]Prestações de Conta inadimplent'!$C$9:$C$2000),2,0)</f>
        <v>#N/A</v>
      </c>
      <c r="L1044" s="85"/>
      <c r="M1044" s="85"/>
      <c r="T1044" s="86"/>
      <c r="U1044" s="85"/>
      <c r="V1044" s="87"/>
      <c r="W1044" s="85"/>
      <c r="X1044" s="88"/>
      <c r="Y1044" s="89"/>
      <c r="Z1044" s="88"/>
      <c r="AA1044" s="88"/>
      <c r="AB1044" s="88"/>
      <c r="AF1044" s="90"/>
      <c r="AM1044" s="92"/>
      <c r="AN1044" s="92"/>
      <c r="AO1044" s="92"/>
      <c r="AP1044" s="92"/>
      <c r="AQ1044" s="92"/>
      <c r="AR1044" s="92"/>
    </row>
    <row r="1045" spans="1:44" s="84" customFormat="1" ht="24" customHeight="1" x14ac:dyDescent="0.25">
      <c r="A1045" s="125">
        <v>5</v>
      </c>
      <c r="B1045" s="126" t="s">
        <v>1985</v>
      </c>
      <c r="C1045" s="127">
        <v>1170882</v>
      </c>
      <c r="D1045" s="127">
        <v>1104539</v>
      </c>
      <c r="E1045" s="127">
        <v>29301580</v>
      </c>
      <c r="F1045" s="128" t="s">
        <v>5139</v>
      </c>
      <c r="G1045" s="129" t="s">
        <v>5140</v>
      </c>
      <c r="H1045" s="129" t="s">
        <v>5140</v>
      </c>
      <c r="I1045" s="129" t="s">
        <v>5140</v>
      </c>
      <c r="J1045" s="83" t="e">
        <f>VLOOKUP($C1045,CHOOSE({1,2},'[4]Prestações de Conta inadimplent'!$D$9:$D$2000,'[4]Prestações de Conta inadimplent'!$C$9:$C$2000),2,0)</f>
        <v>#N/A</v>
      </c>
      <c r="L1045" s="85"/>
      <c r="M1045" s="85"/>
      <c r="T1045" s="86"/>
      <c r="U1045" s="85"/>
      <c r="V1045" s="87"/>
      <c r="W1045" s="85"/>
      <c r="X1045" s="88"/>
      <c r="Y1045" s="89"/>
      <c r="Z1045" s="88"/>
      <c r="AA1045" s="88"/>
      <c r="AB1045" s="88"/>
      <c r="AF1045" s="90"/>
      <c r="AM1045" s="92"/>
      <c r="AN1045" s="92"/>
      <c r="AO1045" s="92"/>
      <c r="AP1045" s="92"/>
      <c r="AQ1045" s="92"/>
      <c r="AR1045" s="92"/>
    </row>
    <row r="1046" spans="1:44" s="84" customFormat="1" ht="24" customHeight="1" x14ac:dyDescent="0.25">
      <c r="A1046" s="125">
        <v>6</v>
      </c>
      <c r="B1046" s="126" t="s">
        <v>1926</v>
      </c>
      <c r="C1046" s="127">
        <v>1176411</v>
      </c>
      <c r="D1046" s="127">
        <v>1101411</v>
      </c>
      <c r="E1046" s="127">
        <v>29383226</v>
      </c>
      <c r="F1046" s="128" t="s">
        <v>5141</v>
      </c>
      <c r="G1046" s="129" t="s">
        <v>5124</v>
      </c>
      <c r="H1046" s="129" t="s">
        <v>5124</v>
      </c>
      <c r="I1046" s="129" t="s">
        <v>5124</v>
      </c>
      <c r="J1046" s="83" t="e">
        <f>VLOOKUP($C1046,CHOOSE({1,2},'[4]Prestações de Conta inadimplent'!$D$9:$D$2000,'[4]Prestações de Conta inadimplent'!$C$9:$C$2000),2,0)</f>
        <v>#N/A</v>
      </c>
      <c r="L1046" s="85"/>
      <c r="M1046" s="85"/>
      <c r="T1046" s="86"/>
      <c r="U1046" s="85"/>
      <c r="V1046" s="87"/>
      <c r="W1046" s="85"/>
      <c r="X1046" s="88"/>
      <c r="Y1046" s="89"/>
      <c r="Z1046" s="88"/>
      <c r="AA1046" s="88"/>
      <c r="AB1046" s="88"/>
      <c r="AF1046" s="90"/>
      <c r="AM1046" s="92"/>
      <c r="AN1046" s="92"/>
      <c r="AO1046" s="92"/>
      <c r="AP1046" s="92"/>
      <c r="AQ1046" s="92"/>
      <c r="AR1046" s="92"/>
    </row>
    <row r="1047" spans="1:44" s="84" customFormat="1" ht="24" customHeight="1" x14ac:dyDescent="0.25">
      <c r="A1047" s="125">
        <v>7</v>
      </c>
      <c r="B1047" s="126" t="s">
        <v>2686</v>
      </c>
      <c r="C1047" s="127">
        <v>1179114</v>
      </c>
      <c r="D1047" s="127">
        <v>9999999</v>
      </c>
      <c r="E1047" s="127">
        <v>29473349</v>
      </c>
      <c r="F1047" s="128" t="s">
        <v>5142</v>
      </c>
      <c r="G1047" s="129" t="s">
        <v>5132</v>
      </c>
      <c r="H1047" s="129" t="s">
        <v>5132</v>
      </c>
      <c r="I1047" s="129" t="s">
        <v>5132</v>
      </c>
      <c r="J1047" s="83" t="e">
        <f>VLOOKUP($C1047,CHOOSE({1,2},'[4]Prestações de Conta inadimplent'!$D$9:$D$2000,'[4]Prestações de Conta inadimplent'!$C$9:$C$2000),2,0)</f>
        <v>#N/A</v>
      </c>
      <c r="L1047" s="85"/>
      <c r="M1047" s="85"/>
      <c r="T1047" s="86"/>
      <c r="U1047" s="85"/>
      <c r="V1047" s="87"/>
      <c r="W1047" s="85"/>
      <c r="X1047" s="88"/>
      <c r="Y1047" s="89"/>
      <c r="Z1047" s="88"/>
      <c r="AA1047" s="88"/>
      <c r="AB1047" s="88"/>
      <c r="AF1047" s="90"/>
      <c r="AM1047" s="92"/>
      <c r="AN1047" s="92"/>
      <c r="AO1047" s="92"/>
      <c r="AP1047" s="92"/>
      <c r="AQ1047" s="92"/>
      <c r="AR1047" s="92"/>
    </row>
    <row r="1048" spans="1:44" s="84" customFormat="1" ht="24" customHeight="1" x14ac:dyDescent="0.25">
      <c r="A1048" s="125">
        <v>7</v>
      </c>
      <c r="B1048" s="126" t="s">
        <v>2796</v>
      </c>
      <c r="C1048" s="127">
        <v>1179093</v>
      </c>
      <c r="D1048" s="127">
        <v>1105597</v>
      </c>
      <c r="E1048" s="127">
        <v>29450268</v>
      </c>
      <c r="F1048" s="128" t="s">
        <v>5143</v>
      </c>
      <c r="G1048" s="129" t="s">
        <v>5132</v>
      </c>
      <c r="H1048" s="129" t="s">
        <v>5132</v>
      </c>
      <c r="I1048" s="129" t="s">
        <v>5132</v>
      </c>
      <c r="J1048" s="83" t="e">
        <f>VLOOKUP($C1048,CHOOSE({1,2},'[4]Prestações de Conta inadimplent'!$D$9:$D$2000,'[4]Prestações de Conta inadimplent'!$C$9:$C$2000),2,0)</f>
        <v>#N/A</v>
      </c>
      <c r="L1048" s="85"/>
      <c r="M1048" s="85"/>
      <c r="T1048" s="86"/>
      <c r="U1048" s="85"/>
      <c r="V1048" s="87"/>
      <c r="W1048" s="85"/>
      <c r="X1048" s="88"/>
      <c r="Y1048" s="89"/>
      <c r="Z1048" s="88"/>
      <c r="AA1048" s="88"/>
      <c r="AB1048" s="88"/>
      <c r="AF1048" s="90"/>
      <c r="AM1048" s="92"/>
      <c r="AN1048" s="92"/>
      <c r="AO1048" s="92"/>
      <c r="AP1048" s="92"/>
      <c r="AQ1048" s="92"/>
      <c r="AR1048" s="92"/>
    </row>
    <row r="1049" spans="1:44" s="84" customFormat="1" ht="24" customHeight="1" x14ac:dyDescent="0.25">
      <c r="A1049" s="125">
        <v>8</v>
      </c>
      <c r="B1049" s="126" t="s">
        <v>1865</v>
      </c>
      <c r="C1049" s="127">
        <v>1118708</v>
      </c>
      <c r="D1049" s="127">
        <v>1102184</v>
      </c>
      <c r="E1049" s="127">
        <v>29282004</v>
      </c>
      <c r="F1049" s="128" t="s">
        <v>5144</v>
      </c>
      <c r="G1049" s="129" t="s">
        <v>5132</v>
      </c>
      <c r="H1049" s="129" t="s">
        <v>5132</v>
      </c>
      <c r="I1049" s="129" t="s">
        <v>5132</v>
      </c>
      <c r="J1049" s="83" t="e">
        <f>VLOOKUP($C1049,CHOOSE({1,2},'[4]Prestações de Conta inadimplent'!$D$9:$D$2000,'[4]Prestações de Conta inadimplent'!$C$9:$C$2000),2,0)</f>
        <v>#N/A</v>
      </c>
      <c r="L1049" s="85"/>
      <c r="M1049" s="85"/>
      <c r="T1049" s="86"/>
      <c r="U1049" s="85"/>
      <c r="V1049" s="87"/>
      <c r="W1049" s="85"/>
      <c r="X1049" s="88"/>
      <c r="Y1049" s="89"/>
      <c r="Z1049" s="88"/>
      <c r="AA1049" s="88"/>
      <c r="AB1049" s="88"/>
      <c r="AF1049" s="90"/>
      <c r="AM1049" s="92"/>
      <c r="AN1049" s="92"/>
      <c r="AO1049" s="92"/>
      <c r="AP1049" s="92"/>
      <c r="AQ1049" s="92"/>
      <c r="AR1049" s="92"/>
    </row>
    <row r="1050" spans="1:44" s="84" customFormat="1" ht="24" customHeight="1" x14ac:dyDescent="0.25">
      <c r="A1050" s="125">
        <v>9</v>
      </c>
      <c r="B1050" s="126" t="s">
        <v>1605</v>
      </c>
      <c r="C1050" s="127">
        <v>1117558</v>
      </c>
      <c r="D1050" s="127">
        <v>1102255</v>
      </c>
      <c r="E1050" s="127">
        <v>29226228</v>
      </c>
      <c r="F1050" s="128" t="s">
        <v>5145</v>
      </c>
      <c r="G1050" s="129" t="s">
        <v>5124</v>
      </c>
      <c r="H1050" s="129" t="s">
        <v>5124</v>
      </c>
      <c r="I1050" s="129" t="s">
        <v>5124</v>
      </c>
      <c r="J1050" s="83" t="e">
        <f>VLOOKUP($C1050,CHOOSE({1,2},'[4]Prestações de Conta inadimplent'!$D$9:$D$2000,'[4]Prestações de Conta inadimplent'!$C$9:$C$2000),2,0)</f>
        <v>#N/A</v>
      </c>
      <c r="L1050" s="85"/>
      <c r="M1050" s="85"/>
      <c r="T1050" s="86"/>
      <c r="U1050" s="85"/>
      <c r="V1050" s="87"/>
      <c r="W1050" s="85"/>
      <c r="X1050" s="88"/>
      <c r="Y1050" s="89"/>
      <c r="Z1050" s="88"/>
      <c r="AA1050" s="88"/>
      <c r="AB1050" s="88"/>
      <c r="AF1050" s="90"/>
      <c r="AM1050" s="92"/>
      <c r="AN1050" s="92"/>
      <c r="AO1050" s="92"/>
      <c r="AP1050" s="92"/>
      <c r="AQ1050" s="92"/>
      <c r="AR1050" s="92"/>
    </row>
    <row r="1051" spans="1:44" s="84" customFormat="1" ht="24" customHeight="1" x14ac:dyDescent="0.25">
      <c r="A1051" s="125">
        <v>10</v>
      </c>
      <c r="B1051" s="126" t="s">
        <v>2996</v>
      </c>
      <c r="C1051" s="127">
        <v>1119852</v>
      </c>
      <c r="D1051" s="127">
        <v>1102374</v>
      </c>
      <c r="E1051" s="127">
        <v>29019508</v>
      </c>
      <c r="F1051" s="128" t="s">
        <v>5146</v>
      </c>
      <c r="G1051" s="129" t="s">
        <v>5132</v>
      </c>
      <c r="H1051" s="129" t="s">
        <v>5132</v>
      </c>
      <c r="I1051" s="129" t="s">
        <v>5132</v>
      </c>
      <c r="J1051" s="83" t="e">
        <f>VLOOKUP($C1051,CHOOSE({1,2},'[4]Prestações de Conta inadimplent'!$D$9:$D$2000,'[4]Prestações de Conta inadimplent'!$C$9:$C$2000),2,0)</f>
        <v>#N/A</v>
      </c>
      <c r="L1051" s="85"/>
      <c r="M1051" s="85"/>
      <c r="T1051" s="86"/>
      <c r="U1051" s="85"/>
      <c r="V1051" s="87"/>
      <c r="W1051" s="85"/>
      <c r="X1051" s="88"/>
      <c r="Y1051" s="89"/>
      <c r="Z1051" s="88"/>
      <c r="AA1051" s="88"/>
      <c r="AB1051" s="88"/>
      <c r="AF1051" s="90"/>
      <c r="AM1051" s="92"/>
      <c r="AN1051" s="92"/>
      <c r="AO1051" s="92"/>
      <c r="AP1051" s="92"/>
      <c r="AQ1051" s="92"/>
      <c r="AR1051" s="92"/>
    </row>
    <row r="1052" spans="1:44" s="84" customFormat="1" ht="24" customHeight="1" x14ac:dyDescent="0.25">
      <c r="A1052" s="125">
        <v>10</v>
      </c>
      <c r="B1052" s="126" t="s">
        <v>2996</v>
      </c>
      <c r="C1052" s="127">
        <v>1161581</v>
      </c>
      <c r="D1052" s="127">
        <v>1102379</v>
      </c>
      <c r="E1052" s="127">
        <v>29021677</v>
      </c>
      <c r="F1052" s="128" t="s">
        <v>5147</v>
      </c>
      <c r="G1052" s="129" t="s">
        <v>5140</v>
      </c>
      <c r="H1052" s="129" t="s">
        <v>5140</v>
      </c>
      <c r="I1052" s="129" t="s">
        <v>5140</v>
      </c>
      <c r="J1052" s="83" t="e">
        <f>VLOOKUP($C1052,CHOOSE({1,2},'[4]Prestações de Conta inadimplent'!$D$9:$D$2000,'[4]Prestações de Conta inadimplent'!$C$9:$C$2000),2,0)</f>
        <v>#N/A</v>
      </c>
      <c r="L1052" s="85"/>
      <c r="M1052" s="85"/>
      <c r="T1052" s="86"/>
      <c r="U1052" s="85"/>
      <c r="V1052" s="87"/>
      <c r="W1052" s="85"/>
      <c r="X1052" s="88"/>
      <c r="Y1052" s="89"/>
      <c r="Z1052" s="88"/>
      <c r="AA1052" s="88"/>
      <c r="AB1052" s="88"/>
      <c r="AF1052" s="90"/>
      <c r="AM1052" s="92"/>
      <c r="AN1052" s="92"/>
      <c r="AO1052" s="92"/>
      <c r="AP1052" s="92"/>
      <c r="AQ1052" s="92"/>
      <c r="AR1052" s="92"/>
    </row>
    <row r="1053" spans="1:44" s="84" customFormat="1" ht="24" customHeight="1" x14ac:dyDescent="0.25">
      <c r="A1053" s="125">
        <v>10</v>
      </c>
      <c r="B1053" s="126" t="s">
        <v>2996</v>
      </c>
      <c r="C1053" s="127">
        <v>1119860</v>
      </c>
      <c r="D1053" s="127">
        <v>1102375</v>
      </c>
      <c r="E1053" s="127">
        <v>29020476</v>
      </c>
      <c r="F1053" s="128" t="s">
        <v>5148</v>
      </c>
      <c r="G1053" s="129" t="s">
        <v>5140</v>
      </c>
      <c r="H1053" s="129" t="s">
        <v>5140</v>
      </c>
      <c r="I1053" s="129" t="s">
        <v>5140</v>
      </c>
      <c r="J1053" s="83" t="e">
        <f>VLOOKUP($C1053,CHOOSE({1,2},'[4]Prestações de Conta inadimplent'!$D$9:$D$2000,'[4]Prestações de Conta inadimplent'!$C$9:$C$2000),2,0)</f>
        <v>#N/A</v>
      </c>
      <c r="L1053" s="85"/>
      <c r="M1053" s="85"/>
      <c r="T1053" s="86"/>
      <c r="U1053" s="85"/>
      <c r="V1053" s="87"/>
      <c r="W1053" s="85"/>
      <c r="X1053" s="88"/>
      <c r="Y1053" s="89"/>
      <c r="Z1053" s="88"/>
      <c r="AA1053" s="88"/>
      <c r="AB1053" s="88"/>
      <c r="AF1053" s="90"/>
      <c r="AM1053" s="92"/>
      <c r="AN1053" s="92"/>
      <c r="AO1053" s="92"/>
      <c r="AP1053" s="92"/>
      <c r="AQ1053" s="92"/>
      <c r="AR1053" s="92"/>
    </row>
    <row r="1054" spans="1:44" s="84" customFormat="1" ht="24" customHeight="1" x14ac:dyDescent="0.25">
      <c r="A1054" s="125">
        <v>10</v>
      </c>
      <c r="B1054" s="126" t="s">
        <v>176</v>
      </c>
      <c r="C1054" s="127">
        <v>1161140</v>
      </c>
      <c r="D1054" s="127">
        <v>1102442</v>
      </c>
      <c r="E1054" s="127">
        <v>29024927</v>
      </c>
      <c r="F1054" s="128" t="s">
        <v>5149</v>
      </c>
      <c r="G1054" s="129" t="s">
        <v>5140</v>
      </c>
      <c r="H1054" s="129" t="s">
        <v>5140</v>
      </c>
      <c r="I1054" s="129" t="s">
        <v>5140</v>
      </c>
      <c r="J1054" s="83" t="e">
        <f>VLOOKUP($C1054,CHOOSE({1,2},'[4]Prestações de Conta inadimplent'!$D$9:$D$2000,'[4]Prestações de Conta inadimplent'!$C$9:$C$2000),2,0)</f>
        <v>#N/A</v>
      </c>
      <c r="L1054" s="85"/>
      <c r="M1054" s="85"/>
      <c r="T1054" s="86"/>
      <c r="U1054" s="85"/>
      <c r="V1054" s="87"/>
      <c r="W1054" s="85"/>
      <c r="X1054" s="88"/>
      <c r="Y1054" s="89"/>
      <c r="Z1054" s="88"/>
      <c r="AA1054" s="88"/>
      <c r="AB1054" s="88"/>
      <c r="AF1054" s="90"/>
      <c r="AM1054" s="92"/>
      <c r="AN1054" s="92"/>
      <c r="AO1054" s="92"/>
      <c r="AP1054" s="92"/>
      <c r="AQ1054" s="92"/>
      <c r="AR1054" s="92"/>
    </row>
    <row r="1055" spans="1:44" s="84" customFormat="1" ht="24" customHeight="1" x14ac:dyDescent="0.25">
      <c r="A1055" s="125">
        <v>10</v>
      </c>
      <c r="B1055" s="126" t="s">
        <v>176</v>
      </c>
      <c r="C1055" s="127">
        <v>1120567</v>
      </c>
      <c r="D1055" s="127">
        <v>1102407</v>
      </c>
      <c r="E1055" s="127">
        <v>29025087</v>
      </c>
      <c r="F1055" s="128" t="s">
        <v>5150</v>
      </c>
      <c r="G1055" s="129" t="s">
        <v>5140</v>
      </c>
      <c r="H1055" s="129" t="s">
        <v>5140</v>
      </c>
      <c r="I1055" s="129" t="s">
        <v>5140</v>
      </c>
      <c r="J1055" s="83" t="e">
        <f>VLOOKUP($C1055,CHOOSE({1,2},'[4]Prestações de Conta inadimplent'!$D$9:$D$2000,'[4]Prestações de Conta inadimplent'!$C$9:$C$2000),2,0)</f>
        <v>#N/A</v>
      </c>
      <c r="L1055" s="85"/>
      <c r="M1055" s="85"/>
      <c r="T1055" s="86"/>
      <c r="U1055" s="85"/>
      <c r="V1055" s="87"/>
      <c r="W1055" s="85"/>
      <c r="X1055" s="88"/>
      <c r="Y1055" s="89"/>
      <c r="Z1055" s="88"/>
      <c r="AA1055" s="88"/>
      <c r="AB1055" s="88"/>
      <c r="AF1055" s="90"/>
      <c r="AM1055" s="92"/>
      <c r="AN1055" s="92"/>
      <c r="AO1055" s="92"/>
      <c r="AP1055" s="92"/>
      <c r="AQ1055" s="92"/>
      <c r="AR1055" s="92"/>
    </row>
    <row r="1056" spans="1:44" s="84" customFormat="1" ht="24" customHeight="1" x14ac:dyDescent="0.25">
      <c r="A1056" s="125">
        <v>11</v>
      </c>
      <c r="B1056" s="126" t="s">
        <v>75</v>
      </c>
      <c r="C1056" s="127">
        <v>1129904</v>
      </c>
      <c r="D1056" s="127">
        <v>1103262</v>
      </c>
      <c r="E1056" s="127">
        <v>29340373</v>
      </c>
      <c r="F1056" s="128" t="s">
        <v>5151</v>
      </c>
      <c r="G1056" s="129" t="s">
        <v>5132</v>
      </c>
      <c r="H1056" s="129" t="s">
        <v>5132</v>
      </c>
      <c r="I1056" s="129" t="s">
        <v>5132</v>
      </c>
      <c r="J1056" s="83" t="e">
        <f>VLOOKUP($C1056,CHOOSE({1,2},'[4]Prestações de Conta inadimplent'!$D$9:$D$2000,'[4]Prestações de Conta inadimplent'!$C$9:$C$2000),2,0)</f>
        <v>#N/A</v>
      </c>
      <c r="K1056" s="84">
        <v>2</v>
      </c>
      <c r="L1056" s="85"/>
      <c r="M1056" s="85"/>
      <c r="T1056" s="86"/>
      <c r="U1056" s="85"/>
      <c r="V1056" s="87"/>
      <c r="W1056" s="85"/>
      <c r="X1056" s="88"/>
      <c r="Y1056" s="89"/>
      <c r="Z1056" s="88"/>
      <c r="AA1056" s="88"/>
      <c r="AB1056" s="88"/>
      <c r="AF1056" s="90"/>
      <c r="AM1056" s="92"/>
      <c r="AN1056" s="92"/>
      <c r="AO1056" s="92"/>
      <c r="AP1056" s="92"/>
      <c r="AQ1056" s="92"/>
      <c r="AR1056" s="92"/>
    </row>
    <row r="1057" spans="1:44" s="84" customFormat="1" ht="24" customHeight="1" x14ac:dyDescent="0.25">
      <c r="A1057" s="125">
        <v>11</v>
      </c>
      <c r="B1057" s="126" t="s">
        <v>75</v>
      </c>
      <c r="C1057" s="127">
        <v>1129750</v>
      </c>
      <c r="D1057" s="127">
        <v>1103252</v>
      </c>
      <c r="E1057" s="127">
        <v>29001102</v>
      </c>
      <c r="F1057" s="128" t="s">
        <v>5152</v>
      </c>
      <c r="G1057" s="129" t="s">
        <v>5132</v>
      </c>
      <c r="H1057" s="129" t="s">
        <v>5132</v>
      </c>
      <c r="I1057" s="129" t="s">
        <v>5132</v>
      </c>
      <c r="J1057" s="83" t="e">
        <f>VLOOKUP($C1057,CHOOSE({1,2},'[4]Prestações de Conta inadimplent'!$D$9:$D$2000,'[4]Prestações de Conta inadimplent'!$C$9:$C$2000),2,0)</f>
        <v>#N/A</v>
      </c>
      <c r="K1057" s="84">
        <v>2</v>
      </c>
      <c r="L1057" s="85"/>
      <c r="M1057" s="85"/>
      <c r="T1057" s="86"/>
      <c r="U1057" s="85"/>
      <c r="V1057" s="87"/>
      <c r="W1057" s="85"/>
      <c r="X1057" s="88"/>
      <c r="Y1057" s="89"/>
      <c r="Z1057" s="88"/>
      <c r="AA1057" s="88"/>
      <c r="AB1057" s="88"/>
      <c r="AF1057" s="90"/>
      <c r="AM1057" s="92"/>
      <c r="AN1057" s="92"/>
      <c r="AO1057" s="92"/>
      <c r="AP1057" s="92"/>
      <c r="AQ1057" s="92"/>
      <c r="AR1057" s="92"/>
    </row>
    <row r="1058" spans="1:44" s="84" customFormat="1" ht="24" customHeight="1" x14ac:dyDescent="0.25">
      <c r="A1058" s="125">
        <v>11</v>
      </c>
      <c r="B1058" s="126" t="s">
        <v>98</v>
      </c>
      <c r="C1058" s="127">
        <v>1130880</v>
      </c>
      <c r="D1058" s="127">
        <v>1103356</v>
      </c>
      <c r="E1058" s="127">
        <v>29004705</v>
      </c>
      <c r="F1058" s="128" t="s">
        <v>5153</v>
      </c>
      <c r="G1058" s="129" t="s">
        <v>5132</v>
      </c>
      <c r="H1058" s="129" t="s">
        <v>5132</v>
      </c>
      <c r="I1058" s="129" t="s">
        <v>5132</v>
      </c>
      <c r="J1058" s="83" t="e">
        <f>VLOOKUP($C1058,CHOOSE({1,2},'[4]Prestações de Conta inadimplent'!$D$9:$D$2000,'[4]Prestações de Conta inadimplent'!$C$9:$C$2000),2,0)</f>
        <v>#N/A</v>
      </c>
      <c r="K1058" s="84">
        <v>2</v>
      </c>
      <c r="L1058" s="85"/>
      <c r="M1058" s="85"/>
      <c r="T1058" s="86"/>
      <c r="U1058" s="85"/>
      <c r="V1058" s="87"/>
      <c r="W1058" s="85"/>
      <c r="X1058" s="88"/>
      <c r="Y1058" s="89"/>
      <c r="Z1058" s="88"/>
      <c r="AA1058" s="88"/>
      <c r="AB1058" s="88"/>
      <c r="AF1058" s="90"/>
      <c r="AM1058" s="92"/>
      <c r="AN1058" s="92"/>
      <c r="AO1058" s="92"/>
      <c r="AP1058" s="92"/>
      <c r="AQ1058" s="92"/>
      <c r="AR1058" s="92"/>
    </row>
    <row r="1059" spans="1:44" s="84" customFormat="1" ht="24" customHeight="1" x14ac:dyDescent="0.25">
      <c r="A1059" s="125">
        <v>13</v>
      </c>
      <c r="B1059" s="126" t="s">
        <v>1685</v>
      </c>
      <c r="C1059" s="127">
        <v>1124520</v>
      </c>
      <c r="D1059" s="127">
        <v>1102797</v>
      </c>
      <c r="E1059" s="127">
        <v>29237653</v>
      </c>
      <c r="F1059" s="128" t="s">
        <v>5154</v>
      </c>
      <c r="G1059" s="129" t="s">
        <v>5132</v>
      </c>
      <c r="H1059" s="129" t="s">
        <v>5132</v>
      </c>
      <c r="I1059" s="129" t="s">
        <v>5132</v>
      </c>
      <c r="J1059" s="83" t="e">
        <f>VLOOKUP($C1059,CHOOSE({1,2},'[4]Prestações de Conta inadimplent'!$D$9:$D$2000,'[4]Prestações de Conta inadimplent'!$C$9:$C$2000),2,0)</f>
        <v>#N/A</v>
      </c>
      <c r="L1059" s="85"/>
      <c r="M1059" s="85"/>
      <c r="T1059" s="86"/>
      <c r="U1059" s="85"/>
      <c r="V1059" s="87"/>
      <c r="W1059" s="85"/>
      <c r="X1059" s="88"/>
      <c r="Y1059" s="89"/>
      <c r="Z1059" s="88"/>
      <c r="AA1059" s="88"/>
      <c r="AB1059" s="88"/>
      <c r="AF1059" s="90"/>
      <c r="AM1059" s="92"/>
      <c r="AN1059" s="92"/>
      <c r="AO1059" s="92"/>
      <c r="AP1059" s="92"/>
      <c r="AQ1059" s="92"/>
      <c r="AR1059" s="92"/>
    </row>
    <row r="1060" spans="1:44" s="84" customFormat="1" ht="24" customHeight="1" x14ac:dyDescent="0.25">
      <c r="A1060" s="125">
        <v>14</v>
      </c>
      <c r="B1060" s="126" t="s">
        <v>2547</v>
      </c>
      <c r="C1060" s="127">
        <v>1123094</v>
      </c>
      <c r="D1060" s="127">
        <v>1102619</v>
      </c>
      <c r="E1060" s="127">
        <v>29076293</v>
      </c>
      <c r="F1060" s="128" t="s">
        <v>5155</v>
      </c>
      <c r="G1060" s="129" t="s">
        <v>5124</v>
      </c>
      <c r="H1060" s="129" t="s">
        <v>5124</v>
      </c>
      <c r="I1060" s="129" t="s">
        <v>5124</v>
      </c>
      <c r="J1060" s="83" t="e">
        <f>VLOOKUP($C1060,CHOOSE({1,2},'[4]Prestações de Conta inadimplent'!$D$9:$D$2000,'[4]Prestações de Conta inadimplent'!$C$9:$C$2000),2,0)</f>
        <v>#N/A</v>
      </c>
      <c r="L1060" s="85"/>
      <c r="M1060" s="85"/>
      <c r="T1060" s="86"/>
      <c r="U1060" s="85"/>
      <c r="V1060" s="87"/>
      <c r="W1060" s="85"/>
      <c r="X1060" s="88"/>
      <c r="Y1060" s="89"/>
      <c r="Z1060" s="88"/>
      <c r="AA1060" s="88"/>
      <c r="AB1060" s="88"/>
      <c r="AF1060" s="90"/>
      <c r="AM1060" s="92"/>
      <c r="AN1060" s="92"/>
      <c r="AO1060" s="92"/>
      <c r="AP1060" s="92"/>
      <c r="AQ1060" s="92"/>
      <c r="AR1060" s="92"/>
    </row>
    <row r="1061" spans="1:44" s="84" customFormat="1" ht="24" customHeight="1" x14ac:dyDescent="0.25">
      <c r="A1061" s="125">
        <v>15</v>
      </c>
      <c r="B1061" s="126" t="s">
        <v>457</v>
      </c>
      <c r="C1061" s="127">
        <v>1122756</v>
      </c>
      <c r="D1061" s="127">
        <v>1102577</v>
      </c>
      <c r="E1061" s="127">
        <v>29080967</v>
      </c>
      <c r="F1061" s="128" t="s">
        <v>5156</v>
      </c>
      <c r="G1061" s="129" t="s">
        <v>5132</v>
      </c>
      <c r="H1061" s="129" t="s">
        <v>5132</v>
      </c>
      <c r="I1061" s="129" t="s">
        <v>5132</v>
      </c>
      <c r="J1061" s="83" t="e">
        <f>VLOOKUP($C1061,CHOOSE({1,2},'[4]Prestações de Conta inadimplent'!$D$9:$D$2000,'[4]Prestações de Conta inadimplent'!$C$9:$C$2000),2,0)</f>
        <v>#N/A</v>
      </c>
      <c r="L1061" s="85"/>
      <c r="M1061" s="85"/>
      <c r="T1061" s="86"/>
      <c r="U1061" s="85"/>
      <c r="V1061" s="87"/>
      <c r="W1061" s="85"/>
      <c r="X1061" s="88"/>
      <c r="Y1061" s="89"/>
      <c r="Z1061" s="88"/>
      <c r="AA1061" s="88"/>
      <c r="AB1061" s="88"/>
      <c r="AF1061" s="90"/>
      <c r="AM1061" s="92"/>
      <c r="AN1061" s="92"/>
      <c r="AO1061" s="92"/>
      <c r="AP1061" s="92"/>
      <c r="AQ1061" s="92"/>
      <c r="AR1061" s="92"/>
    </row>
    <row r="1062" spans="1:44" s="84" customFormat="1" ht="24" customHeight="1" x14ac:dyDescent="0.25">
      <c r="A1062" s="125">
        <v>15</v>
      </c>
      <c r="B1062" s="126" t="s">
        <v>837</v>
      </c>
      <c r="C1062" s="127">
        <v>1138148</v>
      </c>
      <c r="D1062" s="127">
        <v>1101188</v>
      </c>
      <c r="E1062" s="127">
        <v>29144094</v>
      </c>
      <c r="F1062" s="128" t="s">
        <v>5157</v>
      </c>
      <c r="G1062" s="129" t="s">
        <v>5124</v>
      </c>
      <c r="H1062" s="129" t="s">
        <v>5124</v>
      </c>
      <c r="I1062" s="129" t="s">
        <v>5124</v>
      </c>
      <c r="J1062" s="83" t="e">
        <f>VLOOKUP($C1062,CHOOSE({1,2},'[4]Prestações de Conta inadimplent'!$D$9:$D$2000,'[4]Prestações de Conta inadimplent'!$C$9:$C$2000),2,0)</f>
        <v>#N/A</v>
      </c>
      <c r="L1062" s="85"/>
      <c r="M1062" s="85"/>
      <c r="T1062" s="86"/>
      <c r="U1062" s="85"/>
      <c r="V1062" s="87"/>
      <c r="W1062" s="85"/>
      <c r="X1062" s="88"/>
      <c r="Y1062" s="89"/>
      <c r="Z1062" s="88"/>
      <c r="AA1062" s="88"/>
      <c r="AB1062" s="88"/>
      <c r="AF1062" s="90"/>
      <c r="AM1062" s="92"/>
      <c r="AN1062" s="92"/>
      <c r="AO1062" s="92"/>
      <c r="AP1062" s="92"/>
      <c r="AQ1062" s="92"/>
      <c r="AR1062" s="92"/>
    </row>
    <row r="1063" spans="1:44" s="84" customFormat="1" ht="24" customHeight="1" x14ac:dyDescent="0.25">
      <c r="A1063" s="125">
        <v>16</v>
      </c>
      <c r="B1063" s="126" t="s">
        <v>421</v>
      </c>
      <c r="C1063" s="127">
        <v>1121954</v>
      </c>
      <c r="D1063" s="127">
        <v>1102538</v>
      </c>
      <c r="E1063" s="127">
        <v>29071453</v>
      </c>
      <c r="F1063" s="128" t="s">
        <v>5158</v>
      </c>
      <c r="G1063" s="129" t="s">
        <v>5124</v>
      </c>
      <c r="H1063" s="129" t="s">
        <v>5124</v>
      </c>
      <c r="I1063" s="129" t="s">
        <v>5124</v>
      </c>
      <c r="J1063" s="83" t="e">
        <f>VLOOKUP($C1063,CHOOSE({1,2},'[4]Prestações de Conta inadimplent'!$D$9:$D$2000,'[4]Prestações de Conta inadimplent'!$C$9:$C$2000),2,0)</f>
        <v>#N/A</v>
      </c>
      <c r="L1063" s="85"/>
      <c r="M1063" s="85"/>
      <c r="T1063" s="86"/>
      <c r="U1063" s="85"/>
      <c r="V1063" s="87"/>
      <c r="W1063" s="85"/>
      <c r="X1063" s="88"/>
      <c r="Y1063" s="89"/>
      <c r="Z1063" s="88"/>
      <c r="AA1063" s="88"/>
      <c r="AB1063" s="88"/>
      <c r="AF1063" s="90"/>
      <c r="AM1063" s="92"/>
      <c r="AN1063" s="92"/>
      <c r="AO1063" s="92"/>
      <c r="AP1063" s="92"/>
      <c r="AQ1063" s="92"/>
      <c r="AR1063" s="92"/>
    </row>
    <row r="1064" spans="1:44" s="84" customFormat="1" ht="24" customHeight="1" x14ac:dyDescent="0.25">
      <c r="A1064" s="125">
        <v>18</v>
      </c>
      <c r="B1064" s="126" t="s">
        <v>951</v>
      </c>
      <c r="C1064" s="127">
        <v>1108770</v>
      </c>
      <c r="D1064" s="127">
        <v>1101165</v>
      </c>
      <c r="E1064" s="127">
        <v>29159237</v>
      </c>
      <c r="F1064" s="128" t="s">
        <v>5159</v>
      </c>
      <c r="G1064" s="129" t="s">
        <v>5124</v>
      </c>
      <c r="H1064" s="129" t="s">
        <v>5124</v>
      </c>
      <c r="I1064" s="129" t="s">
        <v>5124</v>
      </c>
      <c r="J1064" s="83" t="e">
        <f>VLOOKUP($C1064,CHOOSE({1,2},'[4]Prestações de Conta inadimplent'!$D$9:$D$2000,'[4]Prestações de Conta inadimplent'!$C$9:$C$2000),2,0)</f>
        <v>#N/A</v>
      </c>
      <c r="L1064" s="85"/>
      <c r="M1064" s="85"/>
      <c r="T1064" s="86"/>
      <c r="U1064" s="85"/>
      <c r="V1064" s="87"/>
      <c r="W1064" s="85"/>
      <c r="X1064" s="88"/>
      <c r="Y1064" s="89"/>
      <c r="Z1064" s="88"/>
      <c r="AA1064" s="88"/>
      <c r="AB1064" s="88"/>
      <c r="AF1064" s="90"/>
      <c r="AM1064" s="92"/>
      <c r="AN1064" s="92"/>
      <c r="AO1064" s="92"/>
      <c r="AP1064" s="92"/>
      <c r="AQ1064" s="92"/>
      <c r="AR1064" s="92"/>
    </row>
    <row r="1065" spans="1:44" s="84" customFormat="1" ht="24" customHeight="1" x14ac:dyDescent="0.25">
      <c r="A1065" s="125">
        <v>18</v>
      </c>
      <c r="B1065" s="126" t="s">
        <v>49</v>
      </c>
      <c r="C1065" s="127">
        <v>1108540</v>
      </c>
      <c r="D1065" s="127">
        <v>1101204</v>
      </c>
      <c r="E1065" s="127">
        <v>29156912</v>
      </c>
      <c r="F1065" s="128" t="s">
        <v>5160</v>
      </c>
      <c r="G1065" s="129" t="s">
        <v>5124</v>
      </c>
      <c r="H1065" s="129" t="s">
        <v>5124</v>
      </c>
      <c r="I1065" s="129" t="s">
        <v>5124</v>
      </c>
      <c r="J1065" s="83" t="e">
        <f>VLOOKUP($C1065,CHOOSE({1,2},'[4]Prestações de Conta inadimplent'!$D$9:$D$2000,'[4]Prestações de Conta inadimplent'!$C$9:$C$2000),2,0)</f>
        <v>#N/A</v>
      </c>
      <c r="L1065" s="85"/>
      <c r="M1065" s="85"/>
      <c r="T1065" s="86"/>
      <c r="U1065" s="85"/>
      <c r="V1065" s="87"/>
      <c r="W1065" s="85"/>
      <c r="X1065" s="88"/>
      <c r="Y1065" s="89"/>
      <c r="Z1065" s="88"/>
      <c r="AA1065" s="88"/>
      <c r="AB1065" s="88"/>
      <c r="AF1065" s="90"/>
      <c r="AM1065" s="92"/>
      <c r="AN1065" s="92"/>
      <c r="AO1065" s="92"/>
      <c r="AP1065" s="92"/>
      <c r="AQ1065" s="92"/>
      <c r="AR1065" s="92"/>
    </row>
    <row r="1066" spans="1:44" s="84" customFormat="1" ht="24" customHeight="1" x14ac:dyDescent="0.25">
      <c r="A1066" s="125">
        <v>18</v>
      </c>
      <c r="B1066" s="126" t="s">
        <v>2618</v>
      </c>
      <c r="C1066" s="127">
        <v>1108338</v>
      </c>
      <c r="D1066" s="127">
        <v>1101218</v>
      </c>
      <c r="E1066" s="127">
        <v>29153271</v>
      </c>
      <c r="F1066" s="128" t="s">
        <v>5161</v>
      </c>
      <c r="G1066" s="129" t="s">
        <v>5124</v>
      </c>
      <c r="H1066" s="129" t="s">
        <v>5124</v>
      </c>
      <c r="I1066" s="129" t="s">
        <v>5124</v>
      </c>
      <c r="J1066" s="83" t="e">
        <f>VLOOKUP($C1066,CHOOSE({1,2},'[4]Prestações de Conta inadimplent'!$D$9:$D$2000,'[4]Prestações de Conta inadimplent'!$C$9:$C$2000),2,0)</f>
        <v>#N/A</v>
      </c>
      <c r="L1066" s="85"/>
      <c r="M1066" s="85"/>
      <c r="T1066" s="86"/>
      <c r="U1066" s="85"/>
      <c r="V1066" s="87"/>
      <c r="W1066" s="85"/>
      <c r="X1066" s="88"/>
      <c r="Y1066" s="89"/>
      <c r="Z1066" s="88"/>
      <c r="AA1066" s="88"/>
      <c r="AB1066" s="88"/>
      <c r="AF1066" s="90"/>
      <c r="AM1066" s="92"/>
      <c r="AN1066" s="92"/>
      <c r="AO1066" s="92"/>
      <c r="AP1066" s="92"/>
      <c r="AQ1066" s="92"/>
      <c r="AR1066" s="92"/>
    </row>
    <row r="1067" spans="1:44" s="84" customFormat="1" ht="24" customHeight="1" x14ac:dyDescent="0.25">
      <c r="A1067" s="125">
        <v>19</v>
      </c>
      <c r="B1067" s="126" t="s">
        <v>947</v>
      </c>
      <c r="C1067" s="127">
        <v>1178239</v>
      </c>
      <c r="D1067" s="127">
        <v>1105477</v>
      </c>
      <c r="E1067" s="127">
        <v>29443814</v>
      </c>
      <c r="F1067" s="128" t="s">
        <v>5162</v>
      </c>
      <c r="G1067" s="129" t="s">
        <v>5124</v>
      </c>
      <c r="H1067" s="129" t="s">
        <v>5124</v>
      </c>
      <c r="I1067" s="129" t="s">
        <v>5124</v>
      </c>
      <c r="J1067" s="83" t="e">
        <f>VLOOKUP($C1067,CHOOSE({1,2},'[4]Prestações de Conta inadimplent'!$D$9:$D$2000,'[4]Prestações de Conta inadimplent'!$C$9:$C$2000),2,0)</f>
        <v>#N/A</v>
      </c>
      <c r="L1067" s="85"/>
      <c r="M1067" s="85"/>
      <c r="T1067" s="86"/>
      <c r="U1067" s="85"/>
      <c r="V1067" s="87"/>
      <c r="W1067" s="85"/>
      <c r="X1067" s="88"/>
      <c r="Y1067" s="89"/>
      <c r="Z1067" s="88"/>
      <c r="AA1067" s="88"/>
      <c r="AB1067" s="88"/>
      <c r="AF1067" s="90"/>
      <c r="AM1067" s="92"/>
      <c r="AN1067" s="92"/>
      <c r="AO1067" s="92"/>
      <c r="AP1067" s="92"/>
      <c r="AQ1067" s="92"/>
      <c r="AR1067" s="92"/>
    </row>
    <row r="1068" spans="1:44" s="84" customFormat="1" ht="24" customHeight="1" x14ac:dyDescent="0.25">
      <c r="A1068" s="125">
        <v>19</v>
      </c>
      <c r="B1068" s="126" t="s">
        <v>947</v>
      </c>
      <c r="C1068" s="127">
        <v>1179201</v>
      </c>
      <c r="D1068" s="127">
        <v>1105606</v>
      </c>
      <c r="E1068" s="127">
        <v>29450241</v>
      </c>
      <c r="F1068" s="128" t="s">
        <v>5163</v>
      </c>
      <c r="G1068" s="129" t="s">
        <v>5132</v>
      </c>
      <c r="H1068" s="129" t="s">
        <v>5132</v>
      </c>
      <c r="I1068" s="129" t="s">
        <v>5132</v>
      </c>
      <c r="J1068" s="83" t="e">
        <f>VLOOKUP($C1068,CHOOSE({1,2},'[4]Prestações de Conta inadimplent'!$D$9:$D$2000,'[4]Prestações de Conta inadimplent'!$C$9:$C$2000),2,0)</f>
        <v>#N/A</v>
      </c>
      <c r="L1068" s="85"/>
      <c r="M1068" s="85"/>
      <c r="T1068" s="86"/>
      <c r="U1068" s="85"/>
      <c r="V1068" s="87"/>
      <c r="W1068" s="85"/>
      <c r="X1068" s="88"/>
      <c r="Y1068" s="89"/>
      <c r="Z1068" s="88"/>
      <c r="AA1068" s="88"/>
      <c r="AB1068" s="88"/>
      <c r="AF1068" s="90"/>
      <c r="AM1068" s="92"/>
      <c r="AN1068" s="92"/>
      <c r="AO1068" s="92"/>
      <c r="AP1068" s="92"/>
      <c r="AQ1068" s="92"/>
      <c r="AR1068" s="92"/>
    </row>
    <row r="1069" spans="1:44" s="84" customFormat="1" ht="24" customHeight="1" x14ac:dyDescent="0.25">
      <c r="A1069" s="125">
        <v>19</v>
      </c>
      <c r="B1069" s="126" t="s">
        <v>539</v>
      </c>
      <c r="C1069" s="127">
        <v>1105770</v>
      </c>
      <c r="D1069" s="127">
        <v>1100696</v>
      </c>
      <c r="E1069" s="127">
        <v>29094747</v>
      </c>
      <c r="F1069" s="128" t="s">
        <v>5164</v>
      </c>
      <c r="G1069" s="129" t="s">
        <v>5132</v>
      </c>
      <c r="H1069" s="129" t="s">
        <v>5132</v>
      </c>
      <c r="I1069" s="129" t="s">
        <v>5132</v>
      </c>
      <c r="J1069" s="83" t="e">
        <f>VLOOKUP($C1069,CHOOSE({1,2},'[4]Prestações de Conta inadimplent'!$D$9:$D$2000,'[4]Prestações de Conta inadimplent'!$C$9:$C$2000),2,0)</f>
        <v>#N/A</v>
      </c>
      <c r="L1069" s="85"/>
      <c r="M1069" s="85"/>
      <c r="T1069" s="86"/>
      <c r="U1069" s="85"/>
      <c r="V1069" s="87"/>
      <c r="W1069" s="85"/>
      <c r="X1069" s="88"/>
      <c r="Y1069" s="89"/>
      <c r="Z1069" s="88"/>
      <c r="AA1069" s="88"/>
      <c r="AB1069" s="88"/>
      <c r="AF1069" s="90"/>
      <c r="AM1069" s="92"/>
      <c r="AN1069" s="92"/>
      <c r="AO1069" s="92"/>
      <c r="AP1069" s="92"/>
      <c r="AQ1069" s="92"/>
      <c r="AR1069" s="92"/>
    </row>
    <row r="1070" spans="1:44" s="84" customFormat="1" ht="24" customHeight="1" x14ac:dyDescent="0.25">
      <c r="A1070" s="125">
        <v>20</v>
      </c>
      <c r="B1070" s="126" t="s">
        <v>1831</v>
      </c>
      <c r="C1070" s="127">
        <v>1125348</v>
      </c>
      <c r="D1070" s="127">
        <v>1102883</v>
      </c>
      <c r="E1070" s="127">
        <v>29278090</v>
      </c>
      <c r="F1070" s="128" t="s">
        <v>5165</v>
      </c>
      <c r="G1070" s="129" t="s">
        <v>5124</v>
      </c>
      <c r="H1070" s="129" t="s">
        <v>5124</v>
      </c>
      <c r="I1070" s="129" t="s">
        <v>5124</v>
      </c>
      <c r="J1070" s="83" t="e">
        <f>VLOOKUP($C1070,CHOOSE({1,2},'[4]Prestações de Conta inadimplent'!$D$9:$D$2000,'[4]Prestações de Conta inadimplent'!$C$9:$C$2000),2,0)</f>
        <v>#N/A</v>
      </c>
      <c r="L1070" s="85"/>
      <c r="M1070" s="85"/>
      <c r="T1070" s="86"/>
      <c r="U1070" s="85"/>
      <c r="V1070" s="87"/>
      <c r="W1070" s="85"/>
      <c r="X1070" s="88"/>
      <c r="Y1070" s="89"/>
      <c r="Z1070" s="88"/>
      <c r="AA1070" s="88"/>
      <c r="AB1070" s="88"/>
      <c r="AF1070" s="90"/>
      <c r="AM1070" s="92"/>
      <c r="AN1070" s="92"/>
      <c r="AO1070" s="92"/>
      <c r="AP1070" s="92"/>
      <c r="AQ1070" s="92"/>
      <c r="AR1070" s="92"/>
    </row>
    <row r="1071" spans="1:44" s="84" customFormat="1" ht="24" customHeight="1" x14ac:dyDescent="0.25">
      <c r="A1071" s="125">
        <v>20</v>
      </c>
      <c r="B1071" s="126" t="s">
        <v>1831</v>
      </c>
      <c r="C1071" s="127">
        <v>1125402</v>
      </c>
      <c r="D1071" s="127">
        <v>1102887</v>
      </c>
      <c r="E1071" s="127">
        <v>29279879</v>
      </c>
      <c r="F1071" s="128" t="s">
        <v>5166</v>
      </c>
      <c r="G1071" s="129" t="s">
        <v>5124</v>
      </c>
      <c r="H1071" s="129" t="s">
        <v>5124</v>
      </c>
      <c r="I1071" s="129" t="s">
        <v>5124</v>
      </c>
      <c r="J1071" s="83" t="e">
        <f>VLOOKUP($C1071,CHOOSE({1,2},'[4]Prestações de Conta inadimplent'!$D$9:$D$2000,'[4]Prestações de Conta inadimplent'!$C$9:$C$2000),2,0)</f>
        <v>#N/A</v>
      </c>
      <c r="L1071" s="85"/>
      <c r="M1071" s="85"/>
      <c r="T1071" s="86"/>
      <c r="U1071" s="85"/>
      <c r="V1071" s="87"/>
      <c r="W1071" s="85"/>
      <c r="X1071" s="88"/>
      <c r="Y1071" s="89"/>
      <c r="Z1071" s="88"/>
      <c r="AA1071" s="88"/>
      <c r="AB1071" s="88"/>
      <c r="AF1071" s="90"/>
      <c r="AM1071" s="92"/>
      <c r="AN1071" s="92"/>
      <c r="AO1071" s="92"/>
      <c r="AP1071" s="92"/>
      <c r="AQ1071" s="92"/>
      <c r="AR1071" s="92"/>
    </row>
    <row r="1072" spans="1:44" s="84" customFormat="1" ht="24" customHeight="1" x14ac:dyDescent="0.25">
      <c r="A1072" s="125">
        <v>20</v>
      </c>
      <c r="B1072" s="126" t="s">
        <v>1831</v>
      </c>
      <c r="C1072" s="127">
        <v>1165366</v>
      </c>
      <c r="D1072" s="127">
        <v>1102908</v>
      </c>
      <c r="E1072" s="127">
        <v>29277817</v>
      </c>
      <c r="F1072" s="128" t="s">
        <v>5167</v>
      </c>
      <c r="G1072" s="129" t="s">
        <v>5124</v>
      </c>
      <c r="H1072" s="129" t="s">
        <v>5124</v>
      </c>
      <c r="I1072" s="129" t="s">
        <v>5124</v>
      </c>
      <c r="J1072" s="83" t="e">
        <f>VLOOKUP($C1072,CHOOSE({1,2},'[4]Prestações de Conta inadimplent'!$D$9:$D$2000,'[4]Prestações de Conta inadimplent'!$C$9:$C$2000),2,0)</f>
        <v>#N/A</v>
      </c>
      <c r="L1072" s="85"/>
      <c r="M1072" s="85"/>
      <c r="T1072" s="86"/>
      <c r="U1072" s="85"/>
      <c r="V1072" s="87"/>
      <c r="W1072" s="85"/>
      <c r="X1072" s="88"/>
      <c r="Y1072" s="89"/>
      <c r="Z1072" s="88"/>
      <c r="AA1072" s="88"/>
      <c r="AB1072" s="88"/>
      <c r="AF1072" s="90"/>
      <c r="AM1072" s="92"/>
      <c r="AN1072" s="92"/>
      <c r="AO1072" s="92"/>
      <c r="AP1072" s="92"/>
      <c r="AQ1072" s="92"/>
      <c r="AR1072" s="92"/>
    </row>
    <row r="1073" spans="1:44" s="84" customFormat="1" ht="24" customHeight="1" x14ac:dyDescent="0.25">
      <c r="A1073" s="125">
        <v>21</v>
      </c>
      <c r="B1073" s="126" t="s">
        <v>974</v>
      </c>
      <c r="C1073" s="127">
        <v>1133340</v>
      </c>
      <c r="D1073" s="127">
        <v>1104623</v>
      </c>
      <c r="E1073" s="127">
        <v>29162726</v>
      </c>
      <c r="F1073" s="128" t="s">
        <v>5168</v>
      </c>
      <c r="G1073" s="129" t="s">
        <v>5124</v>
      </c>
      <c r="H1073" s="130" t="s">
        <v>5124</v>
      </c>
      <c r="I1073" s="129" t="s">
        <v>5124</v>
      </c>
      <c r="J1073" s="83" t="e">
        <f>VLOOKUP($C1073,CHOOSE({1,2},'[4]Prestações de Conta inadimplent'!$D$9:$D$2000,'[4]Prestações de Conta inadimplent'!$C$9:$C$2000),2,0)</f>
        <v>#N/A</v>
      </c>
      <c r="L1073" s="85"/>
      <c r="M1073" s="85"/>
      <c r="T1073" s="86"/>
      <c r="U1073" s="85"/>
      <c r="V1073" s="87"/>
      <c r="W1073" s="85"/>
      <c r="X1073" s="88"/>
      <c r="Y1073" s="89"/>
      <c r="Z1073" s="88"/>
      <c r="AA1073" s="88"/>
      <c r="AB1073" s="88"/>
      <c r="AF1073" s="90"/>
      <c r="AM1073" s="92"/>
      <c r="AN1073" s="92"/>
      <c r="AO1073" s="92"/>
      <c r="AP1073" s="92"/>
      <c r="AQ1073" s="92"/>
      <c r="AR1073" s="92"/>
    </row>
    <row r="1074" spans="1:44" s="84" customFormat="1" ht="24" customHeight="1" x14ac:dyDescent="0.25">
      <c r="A1074" s="125">
        <v>21</v>
      </c>
      <c r="B1074" s="126" t="s">
        <v>1029</v>
      </c>
      <c r="C1074" s="127">
        <v>1176452</v>
      </c>
      <c r="D1074" s="127">
        <v>1101445</v>
      </c>
      <c r="E1074" s="127">
        <v>29400350</v>
      </c>
      <c r="F1074" s="128" t="s">
        <v>5169</v>
      </c>
      <c r="G1074" s="129" t="s">
        <v>5124</v>
      </c>
      <c r="H1074" s="129" t="s">
        <v>5124</v>
      </c>
      <c r="I1074" s="129" t="s">
        <v>5124</v>
      </c>
      <c r="J1074" s="83" t="e">
        <f>VLOOKUP($C1074,CHOOSE({1,2},'[4]Prestações de Conta inadimplent'!$D$9:$D$2000,'[4]Prestações de Conta inadimplent'!$C$9:$C$2000),2,0)</f>
        <v>#N/A</v>
      </c>
      <c r="L1074" s="85"/>
      <c r="M1074" s="85"/>
      <c r="T1074" s="86"/>
      <c r="U1074" s="85"/>
      <c r="V1074" s="87"/>
      <c r="W1074" s="85"/>
      <c r="X1074" s="88"/>
      <c r="Y1074" s="89"/>
      <c r="Z1074" s="88"/>
      <c r="AA1074" s="88"/>
      <c r="AB1074" s="88"/>
      <c r="AF1074" s="90"/>
      <c r="AM1074" s="92"/>
      <c r="AN1074" s="92"/>
      <c r="AO1074" s="92"/>
      <c r="AP1074" s="92"/>
      <c r="AQ1074" s="92"/>
      <c r="AR1074" s="92"/>
    </row>
    <row r="1075" spans="1:44" s="84" customFormat="1" ht="24" customHeight="1" x14ac:dyDescent="0.25">
      <c r="A1075" s="125">
        <v>22</v>
      </c>
      <c r="B1075" s="126" t="s">
        <v>1619</v>
      </c>
      <c r="C1075" s="127">
        <v>1117876</v>
      </c>
      <c r="D1075" s="127">
        <v>1102295</v>
      </c>
      <c r="E1075" s="127">
        <v>29227933</v>
      </c>
      <c r="F1075" s="128" t="s">
        <v>5170</v>
      </c>
      <c r="G1075" s="129" t="s">
        <v>5124</v>
      </c>
      <c r="H1075" s="129" t="s">
        <v>5124</v>
      </c>
      <c r="I1075" s="129" t="s">
        <v>5124</v>
      </c>
      <c r="J1075" s="83" t="e">
        <f>VLOOKUP($C1075,CHOOSE({1,2},'[4]Prestações de Conta inadimplent'!$D$9:$D$2000,'[4]Prestações de Conta inadimplent'!$C$9:$C$2000),2,0)</f>
        <v>#N/A</v>
      </c>
      <c r="L1075" s="85"/>
      <c r="M1075" s="85"/>
      <c r="T1075" s="86"/>
      <c r="U1075" s="85"/>
      <c r="V1075" s="87"/>
      <c r="W1075" s="85"/>
      <c r="X1075" s="88"/>
      <c r="Y1075" s="89"/>
      <c r="Z1075" s="88"/>
      <c r="AA1075" s="88"/>
      <c r="AB1075" s="88"/>
      <c r="AF1075" s="90"/>
      <c r="AM1075" s="92"/>
      <c r="AN1075" s="92"/>
      <c r="AO1075" s="92"/>
      <c r="AP1075" s="92"/>
      <c r="AQ1075" s="92"/>
      <c r="AR1075" s="92"/>
    </row>
    <row r="1076" spans="1:44" s="84" customFormat="1" ht="24" customHeight="1" x14ac:dyDescent="0.25">
      <c r="A1076" s="125">
        <v>26</v>
      </c>
      <c r="B1076" s="126" t="s">
        <v>1092</v>
      </c>
      <c r="C1076" s="127">
        <v>1176062</v>
      </c>
      <c r="D1076" s="127">
        <v>1100226</v>
      </c>
      <c r="E1076" s="127">
        <v>29182220</v>
      </c>
      <c r="F1076" s="128" t="s">
        <v>5171</v>
      </c>
      <c r="G1076" s="129" t="s">
        <v>5124</v>
      </c>
      <c r="H1076" s="129" t="s">
        <v>5124</v>
      </c>
      <c r="I1076" s="129" t="s">
        <v>5124</v>
      </c>
      <c r="J1076" s="83" t="e">
        <f>VLOOKUP($C1076,CHOOSE({1,2},'[4]Prestações de Conta inadimplent'!$D$9:$D$2000,'[4]Prestações de Conta inadimplent'!$C$9:$C$2000),2,0)</f>
        <v>#N/A</v>
      </c>
      <c r="L1076" s="85"/>
      <c r="M1076" s="85"/>
      <c r="T1076" s="86"/>
      <c r="U1076" s="85"/>
      <c r="V1076" s="87"/>
      <c r="W1076" s="85"/>
      <c r="X1076" s="88"/>
      <c r="Y1076" s="89"/>
      <c r="Z1076" s="88"/>
      <c r="AA1076" s="88"/>
      <c r="AB1076" s="88"/>
      <c r="AF1076" s="90"/>
      <c r="AM1076" s="92"/>
      <c r="AN1076" s="92"/>
      <c r="AO1076" s="92"/>
      <c r="AP1076" s="92"/>
      <c r="AQ1076" s="92"/>
      <c r="AR1076" s="92"/>
    </row>
    <row r="1077" spans="1:44" s="84" customFormat="1" ht="24" customHeight="1" x14ac:dyDescent="0.25">
      <c r="A1077" s="125">
        <v>26</v>
      </c>
      <c r="B1077" s="126" t="s">
        <v>1092</v>
      </c>
      <c r="C1077" s="127">
        <v>1103956</v>
      </c>
      <c r="D1077" s="127">
        <v>1100420</v>
      </c>
      <c r="E1077" s="127">
        <v>29192145</v>
      </c>
      <c r="F1077" s="128" t="s">
        <v>5172</v>
      </c>
      <c r="G1077" s="129" t="s">
        <v>5124</v>
      </c>
      <c r="H1077" s="129" t="s">
        <v>5124</v>
      </c>
      <c r="I1077" s="129" t="s">
        <v>5124</v>
      </c>
      <c r="J1077" s="83" t="e">
        <f>VLOOKUP($C1077,CHOOSE({1,2},'[4]Prestações de Conta inadimplent'!$D$9:$D$2000,'[4]Prestações de Conta inadimplent'!$C$9:$C$2000),2,0)</f>
        <v>#N/A</v>
      </c>
      <c r="L1077" s="85"/>
      <c r="M1077" s="85"/>
      <c r="T1077" s="86"/>
      <c r="U1077" s="85"/>
      <c r="V1077" s="87"/>
      <c r="W1077" s="85"/>
      <c r="X1077" s="88"/>
      <c r="Y1077" s="89"/>
      <c r="Z1077" s="88"/>
      <c r="AA1077" s="88"/>
      <c r="AB1077" s="88"/>
      <c r="AF1077" s="90"/>
      <c r="AM1077" s="92"/>
      <c r="AN1077" s="92"/>
      <c r="AO1077" s="92"/>
      <c r="AP1077" s="92"/>
      <c r="AQ1077" s="92"/>
      <c r="AR1077" s="92"/>
    </row>
    <row r="1078" spans="1:44" s="84" customFormat="1" ht="24" customHeight="1" x14ac:dyDescent="0.25">
      <c r="A1078" s="125">
        <v>27</v>
      </c>
      <c r="B1078" s="126" t="s">
        <v>2106</v>
      </c>
      <c r="C1078" s="127">
        <v>1146361</v>
      </c>
      <c r="D1078" s="127">
        <v>1101539</v>
      </c>
      <c r="E1078" s="127">
        <v>29318661</v>
      </c>
      <c r="F1078" s="128" t="s">
        <v>5173</v>
      </c>
      <c r="G1078" s="129" t="s">
        <v>5132</v>
      </c>
      <c r="H1078" s="129" t="s">
        <v>5132</v>
      </c>
      <c r="I1078" s="129" t="s">
        <v>5132</v>
      </c>
      <c r="J1078" s="83" t="e">
        <f>VLOOKUP($C1078,CHOOSE({1,2},'[4]Prestações de Conta inadimplent'!$D$9:$D$2000,'[4]Prestações de Conta inadimplent'!$C$9:$C$2000),2,0)</f>
        <v>#N/A</v>
      </c>
      <c r="L1078" s="85"/>
      <c r="M1078" s="85"/>
      <c r="T1078" s="86"/>
      <c r="U1078" s="85"/>
      <c r="V1078" s="87"/>
      <c r="W1078" s="85"/>
      <c r="X1078" s="88"/>
      <c r="Y1078" s="89"/>
      <c r="Z1078" s="88"/>
      <c r="AA1078" s="88"/>
      <c r="AB1078" s="88"/>
      <c r="AF1078" s="90"/>
      <c r="AM1078" s="92"/>
      <c r="AN1078" s="92"/>
      <c r="AO1078" s="92"/>
      <c r="AP1078" s="92"/>
      <c r="AQ1078" s="92"/>
      <c r="AR1078" s="92"/>
    </row>
    <row r="1079" spans="1:44" s="84" customFormat="1" ht="24" customHeight="1" x14ac:dyDescent="0.25">
      <c r="A1079" s="125">
        <v>14</v>
      </c>
      <c r="B1079" s="126" t="s">
        <v>476</v>
      </c>
      <c r="C1079" s="127">
        <v>1123400</v>
      </c>
      <c r="D1079" s="127">
        <v>1102686</v>
      </c>
      <c r="E1079" s="127">
        <v>29083524</v>
      </c>
      <c r="F1079" s="128" t="s">
        <v>5174</v>
      </c>
      <c r="G1079" s="129" t="s">
        <v>5124</v>
      </c>
      <c r="H1079" s="129" t="s">
        <v>5124</v>
      </c>
      <c r="I1079" s="129" t="s">
        <v>5124</v>
      </c>
      <c r="J1079" s="83" t="e">
        <f>VLOOKUP($C1079,CHOOSE({1,2},'[4]Prestações de Conta inadimplent'!$D$9:$D$2000,'[4]Prestações de Conta inadimplent'!$C$9:$C$2000),2,0)</f>
        <v>#N/A</v>
      </c>
      <c r="L1079" s="85"/>
      <c r="M1079" s="85"/>
      <c r="T1079" s="86"/>
      <c r="U1079" s="85"/>
      <c r="V1079" s="87"/>
      <c r="W1079" s="85"/>
      <c r="X1079" s="88"/>
      <c r="Y1079" s="89"/>
      <c r="Z1079" s="88"/>
      <c r="AA1079" s="88"/>
      <c r="AB1079" s="88"/>
      <c r="AF1079" s="90"/>
      <c r="AM1079" s="92"/>
      <c r="AN1079" s="92"/>
      <c r="AO1079" s="92"/>
      <c r="AP1079" s="92"/>
      <c r="AQ1079" s="92"/>
      <c r="AR1079" s="92"/>
    </row>
    <row r="1080" spans="1:44" s="84" customFormat="1" ht="24" customHeight="1" x14ac:dyDescent="0.25">
      <c r="A1080" s="125">
        <v>26</v>
      </c>
      <c r="B1080" s="126" t="s">
        <v>1092</v>
      </c>
      <c r="C1080" s="127">
        <v>1101724</v>
      </c>
      <c r="D1080" s="127">
        <v>1100436</v>
      </c>
      <c r="E1080" s="127">
        <v>29192684</v>
      </c>
      <c r="F1080" s="128" t="s">
        <v>5175</v>
      </c>
      <c r="G1080" s="129" t="s">
        <v>5124</v>
      </c>
      <c r="H1080" s="129" t="s">
        <v>5124</v>
      </c>
      <c r="I1080" s="129" t="s">
        <v>5124</v>
      </c>
      <c r="J1080" s="83" t="e">
        <f>VLOOKUP($C1080,CHOOSE({1,2},'[4]Prestações de Conta inadimplent'!$D$9:$D$2000,'[4]Prestações de Conta inadimplent'!$C$9:$C$2000),2,0)</f>
        <v>#N/A</v>
      </c>
      <c r="L1080" s="85"/>
      <c r="M1080" s="85"/>
      <c r="T1080" s="86"/>
      <c r="U1080" s="85"/>
      <c r="V1080" s="87"/>
      <c r="W1080" s="85"/>
      <c r="X1080" s="88"/>
      <c r="Y1080" s="89"/>
      <c r="Z1080" s="88"/>
      <c r="AA1080" s="88"/>
      <c r="AB1080" s="88"/>
      <c r="AF1080" s="90"/>
      <c r="AM1080" s="92"/>
      <c r="AN1080" s="92"/>
      <c r="AO1080" s="92"/>
      <c r="AP1080" s="92"/>
      <c r="AQ1080" s="92"/>
      <c r="AR1080" s="92"/>
    </row>
    <row r="1081" spans="1:44" s="84" customFormat="1" ht="24" customHeight="1" x14ac:dyDescent="0.25">
      <c r="A1081" s="125">
        <v>26</v>
      </c>
      <c r="B1081" s="126" t="s">
        <v>1092</v>
      </c>
      <c r="C1081" s="127">
        <v>1178008</v>
      </c>
      <c r="D1081" s="127">
        <v>1100290</v>
      </c>
      <c r="E1081" s="127">
        <v>29422337</v>
      </c>
      <c r="F1081" s="128" t="s">
        <v>5176</v>
      </c>
      <c r="G1081" s="129" t="s">
        <v>5124</v>
      </c>
      <c r="H1081" s="129" t="s">
        <v>5124</v>
      </c>
      <c r="I1081" s="129" t="s">
        <v>5124</v>
      </c>
      <c r="J1081" s="83" t="e">
        <f>VLOOKUP($C1081,CHOOSE({1,2},'[4]Prestações de Conta inadimplent'!$D$9:$D$2000,'[4]Prestações de Conta inadimplent'!$C$9:$C$2000),2,0)</f>
        <v>#N/A</v>
      </c>
      <c r="L1081" s="85"/>
      <c r="M1081" s="85"/>
      <c r="T1081" s="86"/>
      <c r="U1081" s="85"/>
      <c r="V1081" s="87"/>
      <c r="W1081" s="85"/>
      <c r="X1081" s="88"/>
      <c r="Y1081" s="89"/>
      <c r="Z1081" s="88"/>
      <c r="AA1081" s="88"/>
      <c r="AB1081" s="88"/>
      <c r="AF1081" s="90"/>
      <c r="AM1081" s="92"/>
      <c r="AN1081" s="92"/>
      <c r="AO1081" s="92"/>
      <c r="AP1081" s="92"/>
      <c r="AQ1081" s="92"/>
      <c r="AR1081" s="92"/>
    </row>
    <row r="1082" spans="1:44" s="84" customFormat="1" ht="24" customHeight="1" x14ac:dyDescent="0.25">
      <c r="A1082" s="125">
        <v>26</v>
      </c>
      <c r="B1082" s="126" t="s">
        <v>1092</v>
      </c>
      <c r="C1082" s="127">
        <v>1176620</v>
      </c>
      <c r="D1082" s="127">
        <v>1100565</v>
      </c>
      <c r="E1082" s="127">
        <v>29404320</v>
      </c>
      <c r="F1082" s="128" t="s">
        <v>5177</v>
      </c>
      <c r="G1082" s="129" t="s">
        <v>5132</v>
      </c>
      <c r="H1082" s="129" t="s">
        <v>5132</v>
      </c>
      <c r="I1082" s="129" t="s">
        <v>5132</v>
      </c>
      <c r="J1082" s="83" t="e">
        <f>VLOOKUP($C1082,CHOOSE({1,2},'[4]Prestações de Conta inadimplent'!$D$9:$D$2000,'[4]Prestações de Conta inadimplent'!$C$9:$C$2000),2,0)</f>
        <v>#N/A</v>
      </c>
      <c r="L1082" s="85"/>
      <c r="M1082" s="85"/>
      <c r="T1082" s="86"/>
      <c r="U1082" s="85"/>
      <c r="V1082" s="87"/>
      <c r="W1082" s="85"/>
      <c r="X1082" s="88"/>
      <c r="Y1082" s="89"/>
      <c r="Z1082" s="88"/>
      <c r="AA1082" s="88"/>
      <c r="AB1082" s="88"/>
      <c r="AF1082" s="90"/>
      <c r="AM1082" s="92"/>
      <c r="AN1082" s="92"/>
      <c r="AO1082" s="92"/>
      <c r="AP1082" s="92"/>
      <c r="AQ1082" s="92"/>
      <c r="AR1082" s="92"/>
    </row>
    <row r="1083" spans="1:44" s="84" customFormat="1" ht="24" customHeight="1" x14ac:dyDescent="0.25">
      <c r="A1083" s="125">
        <v>20</v>
      </c>
      <c r="B1083" s="126" t="s">
        <v>1831</v>
      </c>
      <c r="C1083" s="127">
        <v>1125798</v>
      </c>
      <c r="D1083" s="127">
        <v>1102899</v>
      </c>
      <c r="E1083" s="127">
        <v>29279836</v>
      </c>
      <c r="F1083" s="128" t="s">
        <v>5178</v>
      </c>
      <c r="G1083" s="129" t="s">
        <v>5124</v>
      </c>
      <c r="H1083" s="129" t="s">
        <v>5124</v>
      </c>
      <c r="I1083" s="129" t="s">
        <v>5124</v>
      </c>
      <c r="J1083" s="83" t="e">
        <f>VLOOKUP($C1083,CHOOSE({1,2},'[4]Prestações de Conta inadimplent'!$D$9:$D$2000,'[4]Prestações de Conta inadimplent'!$C$9:$C$2000),2,0)</f>
        <v>#N/A</v>
      </c>
      <c r="L1083" s="85"/>
      <c r="M1083" s="85"/>
      <c r="T1083" s="86"/>
      <c r="U1083" s="85"/>
      <c r="V1083" s="87"/>
      <c r="W1083" s="85"/>
      <c r="X1083" s="88"/>
      <c r="Y1083" s="89"/>
      <c r="Z1083" s="88"/>
      <c r="AA1083" s="88"/>
      <c r="AB1083" s="88"/>
      <c r="AF1083" s="90"/>
      <c r="AM1083" s="92"/>
      <c r="AN1083" s="92"/>
      <c r="AO1083" s="92"/>
      <c r="AP1083" s="92"/>
      <c r="AQ1083" s="92"/>
      <c r="AR1083" s="92"/>
    </row>
    <row r="1084" spans="1:44" s="84" customFormat="1" ht="24" customHeight="1" x14ac:dyDescent="0.25">
      <c r="A1084" s="125">
        <v>5</v>
      </c>
      <c r="B1084" s="126" t="s">
        <v>2712</v>
      </c>
      <c r="C1084" s="127">
        <v>1111355</v>
      </c>
      <c r="D1084" s="127">
        <v>1101447</v>
      </c>
      <c r="E1084" s="127">
        <v>29297141</v>
      </c>
      <c r="F1084" s="128" t="s">
        <v>5179</v>
      </c>
      <c r="G1084" s="129" t="s">
        <v>5124</v>
      </c>
      <c r="H1084" s="129" t="s">
        <v>5124</v>
      </c>
      <c r="I1084" s="129" t="s">
        <v>5124</v>
      </c>
      <c r="J1084" s="83" t="e">
        <f>VLOOKUP($C1084,CHOOSE({1,2},'[4]Prestações de Conta inadimplent'!$D$9:$D$2000,'[4]Prestações de Conta inadimplent'!$C$9:$C$2000),2,0)</f>
        <v>#N/A</v>
      </c>
      <c r="L1084" s="85"/>
      <c r="M1084" s="85"/>
      <c r="T1084" s="86"/>
      <c r="U1084" s="85"/>
      <c r="V1084" s="87"/>
      <c r="W1084" s="85"/>
      <c r="X1084" s="88"/>
      <c r="Y1084" s="89"/>
      <c r="Z1084" s="88"/>
      <c r="AA1084" s="88"/>
      <c r="AB1084" s="88"/>
      <c r="AF1084" s="90"/>
      <c r="AM1084" s="92"/>
      <c r="AN1084" s="92"/>
      <c r="AO1084" s="92"/>
      <c r="AP1084" s="92"/>
      <c r="AQ1084" s="92"/>
      <c r="AR1084" s="92"/>
    </row>
    <row r="1085" spans="1:44" s="84" customFormat="1" ht="24" customHeight="1" x14ac:dyDescent="0.25">
      <c r="A1085" s="125">
        <v>5</v>
      </c>
      <c r="B1085" s="126" t="s">
        <v>1985</v>
      </c>
      <c r="C1085" s="127">
        <v>1178041</v>
      </c>
      <c r="D1085" s="127">
        <v>1101501</v>
      </c>
      <c r="E1085" s="127">
        <v>29423813</v>
      </c>
      <c r="F1085" s="128" t="s">
        <v>5180</v>
      </c>
      <c r="G1085" s="129" t="s">
        <v>5124</v>
      </c>
      <c r="H1085" s="129" t="s">
        <v>5124</v>
      </c>
      <c r="I1085" s="129" t="s">
        <v>5124</v>
      </c>
      <c r="J1085" s="83" t="e">
        <f>VLOOKUP($C1085,CHOOSE({1,2},'[4]Prestações de Conta inadimplent'!$D$9:$D$2000,'[4]Prestações de Conta inadimplent'!$C$9:$C$2000),2,0)</f>
        <v>#N/A</v>
      </c>
      <c r="L1085" s="85"/>
      <c r="M1085" s="85"/>
      <c r="T1085" s="86"/>
      <c r="U1085" s="85"/>
      <c r="V1085" s="87"/>
      <c r="W1085" s="85"/>
      <c r="X1085" s="88"/>
      <c r="Y1085" s="89"/>
      <c r="Z1085" s="88"/>
      <c r="AA1085" s="88"/>
      <c r="AB1085" s="88"/>
      <c r="AF1085" s="90"/>
      <c r="AM1085" s="92"/>
      <c r="AN1085" s="92"/>
      <c r="AO1085" s="92"/>
      <c r="AP1085" s="92"/>
      <c r="AQ1085" s="92"/>
      <c r="AR1085" s="92"/>
    </row>
    <row r="1086" spans="1:44" s="84" customFormat="1" ht="24" customHeight="1" x14ac:dyDescent="0.25">
      <c r="A1086" s="125">
        <v>5</v>
      </c>
      <c r="B1086" s="126" t="s">
        <v>2013</v>
      </c>
      <c r="C1086" s="127">
        <v>1159307</v>
      </c>
      <c r="D1086" s="127">
        <v>1101676</v>
      </c>
      <c r="E1086" s="127">
        <v>29305381</v>
      </c>
      <c r="F1086" s="128" t="s">
        <v>5181</v>
      </c>
      <c r="G1086" s="129" t="s">
        <v>5124</v>
      </c>
      <c r="H1086" s="129" t="s">
        <v>5124</v>
      </c>
      <c r="I1086" s="129" t="s">
        <v>5124</v>
      </c>
      <c r="J1086" s="83" t="e">
        <f>VLOOKUP($C1086,CHOOSE({1,2},'[4]Prestações de Conta inadimplent'!$D$9:$D$2000,'[4]Prestações de Conta inadimplent'!$C$9:$C$2000),2,0)</f>
        <v>#N/A</v>
      </c>
      <c r="L1086" s="85"/>
      <c r="M1086" s="85"/>
      <c r="T1086" s="86"/>
      <c r="U1086" s="85"/>
      <c r="V1086" s="87"/>
      <c r="W1086" s="85"/>
      <c r="X1086" s="88"/>
      <c r="Y1086" s="89"/>
      <c r="Z1086" s="88"/>
      <c r="AA1086" s="88"/>
      <c r="AB1086" s="88"/>
      <c r="AF1086" s="90"/>
      <c r="AM1086" s="92"/>
      <c r="AN1086" s="92"/>
      <c r="AO1086" s="92"/>
      <c r="AP1086" s="92"/>
      <c r="AQ1086" s="92"/>
      <c r="AR1086" s="92"/>
    </row>
    <row r="1087" spans="1:44" s="84" customFormat="1" ht="24" customHeight="1" x14ac:dyDescent="0.25">
      <c r="A1087" s="125">
        <v>5</v>
      </c>
      <c r="B1087" s="126" t="s">
        <v>2042</v>
      </c>
      <c r="C1087" s="127">
        <v>1179206</v>
      </c>
      <c r="D1087" s="127">
        <v>1105607</v>
      </c>
      <c r="E1087" s="127">
        <v>29453100</v>
      </c>
      <c r="F1087" s="128" t="s">
        <v>5182</v>
      </c>
      <c r="G1087" s="129" t="s">
        <v>5124</v>
      </c>
      <c r="H1087" s="129" t="s">
        <v>5124</v>
      </c>
      <c r="I1087" s="129" t="s">
        <v>5124</v>
      </c>
      <c r="J1087" s="83" t="e">
        <f>VLOOKUP($C1087,CHOOSE({1,2},'[4]Prestações de Conta inadimplent'!$D$9:$D$2000,'[4]Prestações de Conta inadimplent'!$C$9:$C$2000),2,0)</f>
        <v>#N/A</v>
      </c>
      <c r="L1087" s="85"/>
      <c r="M1087" s="85"/>
      <c r="T1087" s="86"/>
      <c r="U1087" s="85"/>
      <c r="V1087" s="87"/>
      <c r="W1087" s="85"/>
      <c r="X1087" s="88"/>
      <c r="Y1087" s="89"/>
      <c r="Z1087" s="88"/>
      <c r="AA1087" s="88"/>
      <c r="AB1087" s="88"/>
      <c r="AF1087" s="90"/>
      <c r="AM1087" s="92"/>
      <c r="AN1087" s="92"/>
      <c r="AO1087" s="92"/>
      <c r="AP1087" s="92"/>
      <c r="AQ1087" s="92"/>
      <c r="AR1087" s="92"/>
    </row>
    <row r="1088" spans="1:44" s="84" customFormat="1" ht="24" customHeight="1" x14ac:dyDescent="0.25">
      <c r="A1088" s="125">
        <v>22</v>
      </c>
      <c r="B1088" s="126" t="s">
        <v>2868</v>
      </c>
      <c r="C1088" s="127">
        <v>1119550</v>
      </c>
      <c r="D1088" s="127">
        <v>1102312</v>
      </c>
      <c r="E1088" s="127">
        <v>29230608</v>
      </c>
      <c r="F1088" s="128" t="s">
        <v>5183</v>
      </c>
      <c r="G1088" s="129" t="s">
        <v>5124</v>
      </c>
      <c r="H1088" s="129" t="s">
        <v>5124</v>
      </c>
      <c r="I1088" s="129" t="s">
        <v>5124</v>
      </c>
      <c r="J1088" s="83" t="e">
        <f>VLOOKUP($C1088,CHOOSE({1,2},'[4]Prestações de Conta inadimplent'!$D$9:$D$2000,'[4]Prestações de Conta inadimplent'!$C$9:$C$2000),2,0)</f>
        <v>#N/A</v>
      </c>
      <c r="L1088" s="85"/>
      <c r="M1088" s="85"/>
      <c r="T1088" s="86"/>
      <c r="U1088" s="85"/>
      <c r="V1088" s="87"/>
      <c r="W1088" s="85"/>
      <c r="X1088" s="88"/>
      <c r="Y1088" s="89"/>
      <c r="Z1088" s="88"/>
      <c r="AA1088" s="88"/>
      <c r="AB1088" s="88"/>
      <c r="AF1088" s="90"/>
      <c r="AM1088" s="92"/>
      <c r="AN1088" s="92"/>
      <c r="AO1088" s="92"/>
      <c r="AP1088" s="92"/>
      <c r="AQ1088" s="92"/>
      <c r="AR1088" s="92"/>
    </row>
    <row r="1089" spans="1:44" s="84" customFormat="1" ht="24" customHeight="1" x14ac:dyDescent="0.25">
      <c r="A1089" s="125">
        <v>6</v>
      </c>
      <c r="B1089" s="126" t="s">
        <v>1922</v>
      </c>
      <c r="C1089" s="127">
        <v>1110847</v>
      </c>
      <c r="D1089" s="127">
        <v>1101352</v>
      </c>
      <c r="E1089" s="127">
        <v>29290228</v>
      </c>
      <c r="F1089" s="128" t="s">
        <v>5184</v>
      </c>
      <c r="G1089" s="129" t="s">
        <v>5140</v>
      </c>
      <c r="H1089" s="129" t="s">
        <v>5140</v>
      </c>
      <c r="I1089" s="129" t="s">
        <v>5140</v>
      </c>
      <c r="J1089" s="83" t="e">
        <f>VLOOKUP($C1089,CHOOSE({1,2},'[4]Prestações de Conta inadimplent'!$D$9:$D$2000,'[4]Prestações de Conta inadimplent'!$C$9:$C$2000),2,0)</f>
        <v>#N/A</v>
      </c>
      <c r="L1089" s="85"/>
      <c r="M1089" s="85"/>
      <c r="T1089" s="86"/>
      <c r="U1089" s="85"/>
      <c r="V1089" s="87"/>
      <c r="W1089" s="85"/>
      <c r="X1089" s="88"/>
      <c r="Y1089" s="89"/>
      <c r="Z1089" s="88"/>
      <c r="AA1089" s="88"/>
      <c r="AB1089" s="88"/>
      <c r="AF1089" s="90"/>
      <c r="AM1089" s="92"/>
      <c r="AN1089" s="92"/>
      <c r="AO1089" s="92"/>
      <c r="AP1089" s="92"/>
      <c r="AQ1089" s="92"/>
      <c r="AR1089" s="92"/>
    </row>
    <row r="1090" spans="1:44" s="84" customFormat="1" ht="24" customHeight="1" x14ac:dyDescent="0.25">
      <c r="A1090" s="125">
        <v>25</v>
      </c>
      <c r="B1090" s="126" t="s">
        <v>301</v>
      </c>
      <c r="C1090" s="127">
        <v>1119747</v>
      </c>
      <c r="D1090" s="127">
        <v>1103552</v>
      </c>
      <c r="E1090" s="127">
        <v>29050863</v>
      </c>
      <c r="F1090" s="128" t="s">
        <v>5185</v>
      </c>
      <c r="G1090" s="129" t="s">
        <v>5124</v>
      </c>
      <c r="H1090" s="129" t="s">
        <v>5124</v>
      </c>
      <c r="I1090" s="129" t="s">
        <v>5124</v>
      </c>
      <c r="J1090" s="83" t="e">
        <f>VLOOKUP($C1090,CHOOSE({1,2},'[4]Prestações de Conta inadimplent'!$D$9:$D$2000,'[4]Prestações de Conta inadimplent'!$C$9:$C$2000),2,0)</f>
        <v>#N/A</v>
      </c>
      <c r="L1090" s="85"/>
      <c r="M1090" s="85"/>
      <c r="T1090" s="86"/>
      <c r="U1090" s="85"/>
      <c r="V1090" s="87"/>
      <c r="W1090" s="85"/>
      <c r="X1090" s="88"/>
      <c r="Y1090" s="89"/>
      <c r="Z1090" s="88"/>
      <c r="AA1090" s="88"/>
      <c r="AB1090" s="88"/>
      <c r="AF1090" s="90"/>
      <c r="AM1090" s="92"/>
      <c r="AN1090" s="92"/>
      <c r="AO1090" s="92"/>
      <c r="AP1090" s="92"/>
      <c r="AQ1090" s="92"/>
      <c r="AR1090" s="92"/>
    </row>
    <row r="1091" spans="1:44" s="84" customFormat="1" ht="24" customHeight="1" x14ac:dyDescent="0.25">
      <c r="A1091" s="125">
        <v>26</v>
      </c>
      <c r="B1091" s="126" t="s">
        <v>1092</v>
      </c>
      <c r="C1091" s="127">
        <v>1102682</v>
      </c>
      <c r="D1091" s="127">
        <v>1100526</v>
      </c>
      <c r="E1091" s="127">
        <v>29191017</v>
      </c>
      <c r="F1091" s="128" t="s">
        <v>5186</v>
      </c>
      <c r="G1091" s="129" t="s">
        <v>5124</v>
      </c>
      <c r="H1091" s="129" t="s">
        <v>5124</v>
      </c>
      <c r="I1091" s="129" t="s">
        <v>5124</v>
      </c>
      <c r="J1091" s="83" t="e">
        <f>VLOOKUP($C1091,CHOOSE({1,2},'[4]Prestações de Conta inadimplent'!$D$9:$D$2000,'[4]Prestações de Conta inadimplent'!$C$9:$C$2000),2,0)</f>
        <v>#N/A</v>
      </c>
      <c r="L1091" s="85"/>
      <c r="M1091" s="85"/>
      <c r="T1091" s="86"/>
      <c r="U1091" s="85"/>
      <c r="V1091" s="87"/>
      <c r="W1091" s="85"/>
      <c r="X1091" s="88"/>
      <c r="Y1091" s="89"/>
      <c r="Z1091" s="88"/>
      <c r="AA1091" s="88"/>
      <c r="AB1091" s="88"/>
      <c r="AF1091" s="90"/>
      <c r="AM1091" s="92"/>
      <c r="AN1091" s="92"/>
      <c r="AO1091" s="92"/>
      <c r="AP1091" s="92"/>
      <c r="AQ1091" s="92"/>
      <c r="AR1091" s="92"/>
    </row>
    <row r="1092" spans="1:44" s="84" customFormat="1" ht="24" customHeight="1" x14ac:dyDescent="0.25">
      <c r="A1092" s="125">
        <v>5</v>
      </c>
      <c r="B1092" s="126" t="s">
        <v>2046</v>
      </c>
      <c r="C1092" s="127">
        <v>1158734</v>
      </c>
      <c r="D1092" s="127">
        <v>1101696</v>
      </c>
      <c r="E1092" s="127">
        <v>29308925</v>
      </c>
      <c r="F1092" s="128" t="s">
        <v>5187</v>
      </c>
      <c r="G1092" s="129" t="s">
        <v>5124</v>
      </c>
      <c r="H1092" s="129" t="s">
        <v>5124</v>
      </c>
      <c r="I1092" s="129" t="s">
        <v>5124</v>
      </c>
      <c r="J1092" s="83" t="e">
        <f>VLOOKUP($C1092,CHOOSE({1,2},'[4]Prestações de Conta inadimplent'!$D$9:$D$2000,'[4]Prestações de Conta inadimplent'!$C$9:$C$2000),2,0)</f>
        <v>#N/A</v>
      </c>
      <c r="L1092" s="85"/>
      <c r="M1092" s="85"/>
      <c r="T1092" s="86"/>
      <c r="U1092" s="85"/>
      <c r="V1092" s="87"/>
      <c r="W1092" s="85"/>
      <c r="X1092" s="88"/>
      <c r="Y1092" s="89"/>
      <c r="Z1092" s="88"/>
      <c r="AA1092" s="88"/>
      <c r="AB1092" s="88"/>
      <c r="AF1092" s="90"/>
      <c r="AM1092" s="92"/>
      <c r="AN1092" s="92"/>
      <c r="AO1092" s="92"/>
      <c r="AP1092" s="92"/>
      <c r="AQ1092" s="92"/>
      <c r="AR1092" s="92"/>
    </row>
    <row r="1093" spans="1:44" s="84" customFormat="1" ht="24" customHeight="1" x14ac:dyDescent="0.25">
      <c r="A1093" s="125">
        <v>7</v>
      </c>
      <c r="B1093" s="126" t="s">
        <v>2979</v>
      </c>
      <c r="C1093" s="127">
        <v>1178174</v>
      </c>
      <c r="D1093" s="127">
        <v>1101760</v>
      </c>
      <c r="E1093" s="127">
        <v>29324750</v>
      </c>
      <c r="F1093" s="128" t="s">
        <v>5188</v>
      </c>
      <c r="G1093" s="129" t="s">
        <v>5132</v>
      </c>
      <c r="H1093" s="129" t="s">
        <v>5132</v>
      </c>
      <c r="I1093" s="129" t="s">
        <v>5132</v>
      </c>
      <c r="J1093" s="83" t="e">
        <f>VLOOKUP($C1093,CHOOSE({1,2},'[4]Prestações de Conta inadimplent'!$D$9:$D$2000,'[4]Prestações de Conta inadimplent'!$C$9:$C$2000),2,0)</f>
        <v>#N/A</v>
      </c>
      <c r="L1093" s="85"/>
      <c r="M1093" s="85"/>
      <c r="T1093" s="86"/>
      <c r="U1093" s="85"/>
      <c r="V1093" s="87"/>
      <c r="W1093" s="85"/>
      <c r="X1093" s="88"/>
      <c r="Y1093" s="89"/>
      <c r="Z1093" s="88"/>
      <c r="AA1093" s="88"/>
      <c r="AB1093" s="88"/>
      <c r="AF1093" s="90"/>
      <c r="AM1093" s="92"/>
      <c r="AN1093" s="92"/>
      <c r="AO1093" s="92"/>
      <c r="AP1093" s="92"/>
      <c r="AQ1093" s="92"/>
      <c r="AR1093" s="92"/>
    </row>
    <row r="1094" spans="1:44" s="84" customFormat="1" ht="24" customHeight="1" x14ac:dyDescent="0.25">
      <c r="A1094" s="125">
        <v>2</v>
      </c>
      <c r="B1094" s="126" t="s">
        <v>277</v>
      </c>
      <c r="C1094" s="127">
        <v>1131712</v>
      </c>
      <c r="D1094" s="127">
        <v>1103386</v>
      </c>
      <c r="E1094" s="127">
        <v>29042860</v>
      </c>
      <c r="F1094" s="128" t="s">
        <v>5189</v>
      </c>
      <c r="G1094" s="129" t="s">
        <v>5124</v>
      </c>
      <c r="H1094" s="131" t="s">
        <v>5124</v>
      </c>
      <c r="I1094" s="129" t="s">
        <v>5124</v>
      </c>
      <c r="J1094" s="83" t="e">
        <f>VLOOKUP($C1094,CHOOSE({1,2},'[4]Prestações de Conta inadimplent'!$D$9:$D$2000,'[4]Prestações de Conta inadimplent'!$C$9:$C$2000),2,0)</f>
        <v>#N/A</v>
      </c>
      <c r="L1094" s="85"/>
      <c r="M1094" s="85"/>
      <c r="T1094" s="86"/>
      <c r="U1094" s="85"/>
      <c r="V1094" s="87"/>
      <c r="W1094" s="85"/>
      <c r="X1094" s="88"/>
      <c r="Y1094" s="89"/>
      <c r="Z1094" s="88"/>
      <c r="AA1094" s="88"/>
      <c r="AB1094" s="88"/>
      <c r="AF1094" s="90"/>
      <c r="AM1094" s="92"/>
      <c r="AN1094" s="92"/>
      <c r="AO1094" s="92"/>
      <c r="AP1094" s="92"/>
      <c r="AQ1094" s="92"/>
      <c r="AR1094" s="92"/>
    </row>
    <row r="1095" spans="1:44" s="84" customFormat="1" ht="24" customHeight="1" x14ac:dyDescent="0.25">
      <c r="A1095" s="125">
        <v>5</v>
      </c>
      <c r="B1095" s="126" t="s">
        <v>1985</v>
      </c>
      <c r="C1095" s="127">
        <v>1111169</v>
      </c>
      <c r="D1095" s="127">
        <v>1101462</v>
      </c>
      <c r="E1095" s="127">
        <v>29302226</v>
      </c>
      <c r="F1095" s="128" t="s">
        <v>5190</v>
      </c>
      <c r="G1095" s="129" t="s">
        <v>5132</v>
      </c>
      <c r="H1095" s="129" t="s">
        <v>5132</v>
      </c>
      <c r="I1095" s="129" t="s">
        <v>5132</v>
      </c>
      <c r="J1095" s="83" t="e">
        <f>VLOOKUP($C1095,CHOOSE({1,2},'[4]Prestações de Conta inadimplent'!$D$9:$D$2000,'[4]Prestações de Conta inadimplent'!$C$9:$C$2000),2,0)</f>
        <v>#N/A</v>
      </c>
      <c r="L1095" s="85"/>
      <c r="M1095" s="85"/>
      <c r="T1095" s="86"/>
      <c r="U1095" s="85"/>
      <c r="V1095" s="87"/>
      <c r="W1095" s="85"/>
      <c r="X1095" s="88"/>
      <c r="Y1095" s="89"/>
      <c r="Z1095" s="88"/>
      <c r="AA1095" s="88"/>
      <c r="AB1095" s="88"/>
      <c r="AF1095" s="90"/>
      <c r="AM1095" s="92"/>
      <c r="AN1095" s="92"/>
      <c r="AO1095" s="92"/>
      <c r="AP1095" s="92"/>
      <c r="AQ1095" s="92"/>
      <c r="AR1095" s="92"/>
    </row>
    <row r="1096" spans="1:44" s="84" customFormat="1" ht="24" customHeight="1" x14ac:dyDescent="0.25">
      <c r="A1096" s="125">
        <v>13</v>
      </c>
      <c r="B1096" s="126" t="s">
        <v>1708</v>
      </c>
      <c r="C1096" s="127">
        <v>1129211</v>
      </c>
      <c r="D1096" s="127">
        <v>1104576</v>
      </c>
      <c r="E1096" s="127">
        <v>29244633</v>
      </c>
      <c r="F1096" s="128" t="s">
        <v>5191</v>
      </c>
      <c r="G1096" s="129" t="s">
        <v>5124</v>
      </c>
      <c r="H1096" s="129" t="s">
        <v>5124</v>
      </c>
      <c r="I1096" s="129" t="s">
        <v>5124</v>
      </c>
      <c r="J1096" s="83" t="e">
        <f>VLOOKUP($C1096,CHOOSE({1,2},'[4]Prestações de Conta inadimplent'!$D$9:$D$2000,'[4]Prestações de Conta inadimplent'!$C$9:$C$2000),2,0)</f>
        <v>#N/A</v>
      </c>
      <c r="L1096" s="85"/>
      <c r="M1096" s="85"/>
      <c r="T1096" s="86"/>
      <c r="U1096" s="85"/>
      <c r="V1096" s="87"/>
      <c r="W1096" s="85"/>
      <c r="X1096" s="88"/>
      <c r="Y1096" s="89"/>
      <c r="Z1096" s="88"/>
      <c r="AA1096" s="88"/>
      <c r="AB1096" s="88"/>
      <c r="AF1096" s="90"/>
      <c r="AM1096" s="92"/>
      <c r="AN1096" s="92"/>
      <c r="AO1096" s="92"/>
      <c r="AP1096" s="92"/>
      <c r="AQ1096" s="92"/>
      <c r="AR1096" s="92"/>
    </row>
    <row r="1097" spans="1:44" s="84" customFormat="1" ht="24" customHeight="1" x14ac:dyDescent="0.25">
      <c r="A1097" s="125">
        <v>25</v>
      </c>
      <c r="B1097" s="126" t="s">
        <v>301</v>
      </c>
      <c r="C1097" s="127">
        <v>1176099</v>
      </c>
      <c r="D1097" s="127">
        <v>1103567</v>
      </c>
      <c r="E1097" s="127">
        <v>29048605</v>
      </c>
      <c r="F1097" s="128" t="s">
        <v>5192</v>
      </c>
      <c r="G1097" s="129" t="s">
        <v>5124</v>
      </c>
      <c r="H1097" s="129" t="s">
        <v>5124</v>
      </c>
      <c r="I1097" s="129" t="s">
        <v>5124</v>
      </c>
      <c r="J1097" s="83" t="e">
        <f>VLOOKUP($C1097,CHOOSE({1,2},'[4]Prestações de Conta inadimplent'!$D$9:$D$2000,'[4]Prestações de Conta inadimplent'!$C$9:$C$2000),2,0)</f>
        <v>#N/A</v>
      </c>
      <c r="L1097" s="85"/>
      <c r="M1097" s="85"/>
      <c r="T1097" s="86"/>
      <c r="U1097" s="85"/>
      <c r="V1097" s="87"/>
      <c r="W1097" s="85"/>
      <c r="X1097" s="88"/>
      <c r="Y1097" s="89"/>
      <c r="Z1097" s="88"/>
      <c r="AA1097" s="88"/>
      <c r="AB1097" s="88"/>
      <c r="AF1097" s="90"/>
      <c r="AM1097" s="92"/>
      <c r="AN1097" s="92"/>
      <c r="AO1097" s="92"/>
      <c r="AP1097" s="92"/>
      <c r="AQ1097" s="92"/>
      <c r="AR1097" s="92"/>
    </row>
    <row r="1098" spans="1:44" s="84" customFormat="1" ht="24" customHeight="1" x14ac:dyDescent="0.25">
      <c r="A1098" s="125">
        <v>27</v>
      </c>
      <c r="B1098" s="126" t="s">
        <v>2147</v>
      </c>
      <c r="C1098" s="127">
        <v>1146426</v>
      </c>
      <c r="D1098" s="127">
        <v>1101568</v>
      </c>
      <c r="E1098" s="127">
        <v>29326001</v>
      </c>
      <c r="F1098" s="128" t="s">
        <v>5193</v>
      </c>
      <c r="G1098" s="129" t="s">
        <v>5124</v>
      </c>
      <c r="H1098" s="129" t="s">
        <v>5124</v>
      </c>
      <c r="I1098" s="129" t="s">
        <v>5124</v>
      </c>
      <c r="J1098" s="83" t="e">
        <f>VLOOKUP($C1098,CHOOSE({1,2},'[4]Prestações de Conta inadimplent'!$D$9:$D$2000,'[4]Prestações de Conta inadimplent'!$C$9:$C$2000),2,0)</f>
        <v>#N/A</v>
      </c>
      <c r="L1098" s="85"/>
      <c r="M1098" s="85"/>
      <c r="T1098" s="86"/>
      <c r="U1098" s="85"/>
      <c r="V1098" s="87"/>
      <c r="W1098" s="85"/>
      <c r="X1098" s="88"/>
      <c r="Y1098" s="89"/>
      <c r="Z1098" s="88"/>
      <c r="AA1098" s="88"/>
      <c r="AB1098" s="88"/>
      <c r="AF1098" s="90"/>
      <c r="AM1098" s="92"/>
      <c r="AN1098" s="92"/>
      <c r="AO1098" s="92"/>
      <c r="AP1098" s="92"/>
      <c r="AQ1098" s="92"/>
      <c r="AR1098" s="92"/>
    </row>
    <row r="1099" spans="1:44" s="84" customFormat="1" ht="24" customHeight="1" x14ac:dyDescent="0.25">
      <c r="A1099" s="125">
        <v>19</v>
      </c>
      <c r="B1099" s="126" t="s">
        <v>539</v>
      </c>
      <c r="C1099" s="127">
        <v>1105657</v>
      </c>
      <c r="D1099" s="127">
        <v>1100663</v>
      </c>
      <c r="E1099" s="127">
        <v>29093333</v>
      </c>
      <c r="F1099" s="128" t="s">
        <v>5194</v>
      </c>
      <c r="G1099" s="129" t="s">
        <v>5140</v>
      </c>
      <c r="H1099" s="129" t="s">
        <v>5140</v>
      </c>
      <c r="I1099" s="129" t="s">
        <v>5140</v>
      </c>
      <c r="J1099" s="83" t="str">
        <f>VLOOKUP($C1099,CHOOSE({1,2},'[4]Prestações de Conta inadimplent'!$D$9:$D$2000,'[4]Prestações de Conta inadimplent'!$C$9:$C$2000),2,0)</f>
        <v>Colegio Agostinho Froes Da Mota</v>
      </c>
      <c r="L1099" s="85"/>
      <c r="M1099" s="85"/>
      <c r="T1099" s="86"/>
      <c r="U1099" s="85"/>
      <c r="V1099" s="87"/>
      <c r="W1099" s="85"/>
      <c r="X1099" s="88"/>
      <c r="Y1099" s="89"/>
      <c r="Z1099" s="88"/>
      <c r="AA1099" s="88"/>
      <c r="AB1099" s="88"/>
      <c r="AF1099" s="90"/>
      <c r="AM1099" s="92"/>
      <c r="AN1099" s="92"/>
      <c r="AO1099" s="92"/>
      <c r="AP1099" s="92"/>
      <c r="AQ1099" s="92"/>
      <c r="AR1099" s="92"/>
    </row>
    <row r="1100" spans="1:44" s="84" customFormat="1" ht="24" customHeight="1" x14ac:dyDescent="0.25">
      <c r="A1100" s="125">
        <v>19</v>
      </c>
      <c r="B1100" s="126" t="s">
        <v>539</v>
      </c>
      <c r="C1100" s="127">
        <v>1105789</v>
      </c>
      <c r="D1100" s="127">
        <v>1100707</v>
      </c>
      <c r="E1100" s="127">
        <v>29096898</v>
      </c>
      <c r="F1100" s="128" t="s">
        <v>5195</v>
      </c>
      <c r="G1100" s="129" t="s">
        <v>5140</v>
      </c>
      <c r="H1100" s="129" t="s">
        <v>5140</v>
      </c>
      <c r="I1100" s="129" t="s">
        <v>5140</v>
      </c>
      <c r="J1100" s="83" t="e">
        <f>VLOOKUP($C1100,CHOOSE({1,2},'[4]Prestações de Conta inadimplent'!$D$9:$D$2000,'[4]Prestações de Conta inadimplent'!$C$9:$C$2000),2,0)</f>
        <v>#N/A</v>
      </c>
      <c r="L1100" s="85"/>
      <c r="M1100" s="85"/>
      <c r="T1100" s="86"/>
      <c r="U1100" s="85"/>
      <c r="V1100" s="87"/>
      <c r="W1100" s="85"/>
      <c r="X1100" s="88"/>
      <c r="Y1100" s="89"/>
      <c r="Z1100" s="88"/>
      <c r="AA1100" s="88"/>
      <c r="AB1100" s="88"/>
      <c r="AF1100" s="90"/>
      <c r="AM1100" s="92"/>
      <c r="AN1100" s="92"/>
      <c r="AO1100" s="92"/>
      <c r="AP1100" s="92"/>
      <c r="AQ1100" s="92"/>
      <c r="AR1100" s="92"/>
    </row>
    <row r="1101" spans="1:44" s="84" customFormat="1" ht="24" customHeight="1" x14ac:dyDescent="0.25">
      <c r="A1101" s="125">
        <v>19</v>
      </c>
      <c r="B1101" s="126" t="s">
        <v>539</v>
      </c>
      <c r="C1101" s="127">
        <v>1105967</v>
      </c>
      <c r="D1101" s="127">
        <v>1100690</v>
      </c>
      <c r="E1101" s="127">
        <v>29093880</v>
      </c>
      <c r="F1101" s="128" t="s">
        <v>5196</v>
      </c>
      <c r="G1101" s="129" t="s">
        <v>5140</v>
      </c>
      <c r="H1101" s="129" t="s">
        <v>5140</v>
      </c>
      <c r="I1101" s="129" t="s">
        <v>5140</v>
      </c>
      <c r="J1101" s="83" t="e">
        <f>VLOOKUP($C1101,CHOOSE({1,2},'[4]Prestações de Conta inadimplent'!$D$9:$D$2000,'[4]Prestações de Conta inadimplent'!$C$9:$C$2000),2,0)</f>
        <v>#N/A</v>
      </c>
      <c r="L1101" s="85"/>
      <c r="M1101" s="85"/>
      <c r="T1101" s="86"/>
      <c r="U1101" s="85"/>
      <c r="V1101" s="87"/>
      <c r="W1101" s="85"/>
      <c r="X1101" s="88"/>
      <c r="Y1101" s="89"/>
      <c r="Z1101" s="88"/>
      <c r="AA1101" s="88"/>
      <c r="AB1101" s="88"/>
      <c r="AF1101" s="90"/>
      <c r="AM1101" s="92"/>
      <c r="AN1101" s="92"/>
      <c r="AO1101" s="92"/>
      <c r="AP1101" s="92"/>
      <c r="AQ1101" s="92"/>
      <c r="AR1101" s="92"/>
    </row>
    <row r="1102" spans="1:44" s="84" customFormat="1" ht="24" customHeight="1" x14ac:dyDescent="0.25">
      <c r="A1102" s="125">
        <v>19</v>
      </c>
      <c r="B1102" s="126" t="s">
        <v>539</v>
      </c>
      <c r="C1102" s="127">
        <v>1105983</v>
      </c>
      <c r="D1102" s="127">
        <v>1100730</v>
      </c>
      <c r="E1102" s="127">
        <v>29094348</v>
      </c>
      <c r="F1102" s="128" t="s">
        <v>5197</v>
      </c>
      <c r="G1102" s="129" t="s">
        <v>5140</v>
      </c>
      <c r="H1102" s="129" t="s">
        <v>5140</v>
      </c>
      <c r="I1102" s="129" t="s">
        <v>5140</v>
      </c>
      <c r="J1102" s="83" t="e">
        <f>VLOOKUP($C1102,CHOOSE({1,2},'[4]Prestações de Conta inadimplent'!$D$9:$D$2000,'[4]Prestações de Conta inadimplent'!$C$9:$C$2000),2,0)</f>
        <v>#N/A</v>
      </c>
      <c r="L1102" s="85"/>
      <c r="M1102" s="85"/>
      <c r="T1102" s="86"/>
      <c r="U1102" s="85"/>
      <c r="V1102" s="87"/>
      <c r="W1102" s="85"/>
      <c r="X1102" s="88"/>
      <c r="Y1102" s="89"/>
      <c r="Z1102" s="88"/>
      <c r="AA1102" s="88"/>
      <c r="AB1102" s="88"/>
      <c r="AF1102" s="90"/>
      <c r="AM1102" s="92"/>
      <c r="AN1102" s="92"/>
      <c r="AO1102" s="92"/>
      <c r="AP1102" s="92"/>
      <c r="AQ1102" s="92"/>
      <c r="AR1102" s="92"/>
    </row>
    <row r="1103" spans="1:44" s="84" customFormat="1" ht="24" customHeight="1" x14ac:dyDescent="0.25">
      <c r="A1103" s="125">
        <v>19</v>
      </c>
      <c r="B1103" s="126" t="s">
        <v>539</v>
      </c>
      <c r="C1103" s="127">
        <v>1106734</v>
      </c>
      <c r="D1103" s="127">
        <v>1100686</v>
      </c>
      <c r="E1103" s="127">
        <v>29094402</v>
      </c>
      <c r="F1103" s="128" t="s">
        <v>5198</v>
      </c>
      <c r="G1103" s="129" t="s">
        <v>5140</v>
      </c>
      <c r="H1103" s="129" t="s">
        <v>5140</v>
      </c>
      <c r="I1103" s="129" t="s">
        <v>5140</v>
      </c>
      <c r="J1103" s="83" t="e">
        <f>VLOOKUP($C1103,CHOOSE({1,2},'[4]Prestações de Conta inadimplent'!$D$9:$D$2000,'[4]Prestações de Conta inadimplent'!$C$9:$C$2000),2,0)</f>
        <v>#N/A</v>
      </c>
      <c r="L1103" s="85"/>
      <c r="M1103" s="85"/>
      <c r="T1103" s="86"/>
      <c r="U1103" s="85"/>
      <c r="V1103" s="87"/>
      <c r="W1103" s="85"/>
      <c r="X1103" s="88"/>
      <c r="Y1103" s="89"/>
      <c r="Z1103" s="88"/>
      <c r="AA1103" s="88"/>
      <c r="AB1103" s="88"/>
      <c r="AF1103" s="90"/>
      <c r="AM1103" s="92"/>
      <c r="AN1103" s="92"/>
      <c r="AO1103" s="92"/>
      <c r="AP1103" s="92"/>
      <c r="AQ1103" s="92"/>
      <c r="AR1103" s="92"/>
    </row>
    <row r="1104" spans="1:44" s="84" customFormat="1" ht="24" customHeight="1" x14ac:dyDescent="0.25">
      <c r="A1104" s="125">
        <v>19</v>
      </c>
      <c r="B1104" s="126" t="s">
        <v>539</v>
      </c>
      <c r="C1104" s="127">
        <v>1106629</v>
      </c>
      <c r="D1104" s="127">
        <v>1100688</v>
      </c>
      <c r="E1104" s="127">
        <v>29094780</v>
      </c>
      <c r="F1104" s="128" t="s">
        <v>5199</v>
      </c>
      <c r="G1104" s="129" t="s">
        <v>5140</v>
      </c>
      <c r="H1104" s="129" t="s">
        <v>5140</v>
      </c>
      <c r="I1104" s="129" t="s">
        <v>5140</v>
      </c>
      <c r="J1104" s="83" t="str">
        <f>VLOOKUP($C1104,CHOOSE({1,2},'[4]Prestações de Conta inadimplent'!$D$9:$D$2000,'[4]Prestações de Conta inadimplent'!$C$9:$C$2000),2,0)</f>
        <v>Escola Reverendo Severino Soares</v>
      </c>
      <c r="L1104" s="85"/>
      <c r="M1104" s="85"/>
      <c r="T1104" s="86"/>
      <c r="U1104" s="85"/>
      <c r="V1104" s="87"/>
      <c r="W1104" s="85"/>
      <c r="X1104" s="88"/>
      <c r="Y1104" s="89"/>
      <c r="Z1104" s="88"/>
      <c r="AA1104" s="88"/>
      <c r="AB1104" s="88"/>
      <c r="AF1104" s="90"/>
      <c r="AM1104" s="92"/>
      <c r="AN1104" s="92"/>
      <c r="AO1104" s="92"/>
      <c r="AP1104" s="92"/>
      <c r="AQ1104" s="92"/>
      <c r="AR1104" s="92"/>
    </row>
    <row r="1105" spans="1:44" s="84" customFormat="1" ht="24" customHeight="1" x14ac:dyDescent="0.25">
      <c r="A1105" s="125">
        <v>5</v>
      </c>
      <c r="B1105" s="126" t="s">
        <v>2693</v>
      </c>
      <c r="C1105" s="127">
        <v>1112106</v>
      </c>
      <c r="D1105" s="127">
        <v>1101621</v>
      </c>
      <c r="E1105" s="127">
        <v>29299977</v>
      </c>
      <c r="F1105" s="128" t="s">
        <v>5200</v>
      </c>
      <c r="G1105" s="129" t="s">
        <v>5124</v>
      </c>
      <c r="H1105" s="129" t="s">
        <v>5124</v>
      </c>
      <c r="I1105" s="129" t="s">
        <v>5124</v>
      </c>
      <c r="J1105" s="83" t="e">
        <f>VLOOKUP($C1105,CHOOSE({1,2},'[4]Prestações de Conta inadimplent'!$D$9:$D$2000,'[4]Prestações de Conta inadimplent'!$C$9:$C$2000),2,0)</f>
        <v>#N/A</v>
      </c>
      <c r="L1105" s="85"/>
      <c r="M1105" s="85"/>
      <c r="T1105" s="86"/>
      <c r="U1105" s="85"/>
      <c r="V1105" s="87"/>
      <c r="W1105" s="85"/>
      <c r="X1105" s="88"/>
      <c r="Y1105" s="89"/>
      <c r="Z1105" s="88"/>
      <c r="AA1105" s="88"/>
      <c r="AB1105" s="88"/>
      <c r="AF1105" s="90"/>
      <c r="AM1105" s="92"/>
      <c r="AN1105" s="92"/>
      <c r="AO1105" s="92"/>
      <c r="AP1105" s="92"/>
      <c r="AQ1105" s="92"/>
      <c r="AR1105" s="92"/>
    </row>
    <row r="1106" spans="1:44" s="84" customFormat="1" ht="24" customHeight="1" x14ac:dyDescent="0.25">
      <c r="A1106" s="125">
        <v>5</v>
      </c>
      <c r="B1106" s="126" t="s">
        <v>2013</v>
      </c>
      <c r="C1106" s="127">
        <v>1112114</v>
      </c>
      <c r="D1106" s="127">
        <v>1101663</v>
      </c>
      <c r="E1106" s="127">
        <v>29304342</v>
      </c>
      <c r="F1106" s="128" t="s">
        <v>5201</v>
      </c>
      <c r="G1106" s="129" t="s">
        <v>5132</v>
      </c>
      <c r="H1106" s="129" t="s">
        <v>5132</v>
      </c>
      <c r="I1106" s="129" t="s">
        <v>5132</v>
      </c>
      <c r="J1106" s="83" t="e">
        <f>VLOOKUP($C1106,CHOOSE({1,2},'[4]Prestações de Conta inadimplent'!$D$9:$D$2000,'[4]Prestações de Conta inadimplent'!$C$9:$C$2000),2,0)</f>
        <v>#N/A</v>
      </c>
      <c r="L1106" s="85"/>
      <c r="M1106" s="85"/>
      <c r="T1106" s="86"/>
      <c r="U1106" s="85"/>
      <c r="V1106" s="87"/>
      <c r="W1106" s="85"/>
      <c r="X1106" s="88"/>
      <c r="Y1106" s="89"/>
      <c r="Z1106" s="88"/>
      <c r="AA1106" s="88"/>
      <c r="AB1106" s="88"/>
      <c r="AF1106" s="90"/>
      <c r="AM1106" s="92"/>
      <c r="AN1106" s="92"/>
      <c r="AO1106" s="92"/>
      <c r="AP1106" s="92"/>
      <c r="AQ1106" s="92"/>
      <c r="AR1106" s="92"/>
    </row>
    <row r="1107" spans="1:44" s="84" customFormat="1" ht="24" customHeight="1" x14ac:dyDescent="0.25">
      <c r="A1107" s="125">
        <v>26</v>
      </c>
      <c r="B1107" s="126" t="s">
        <v>1063</v>
      </c>
      <c r="C1107" s="127">
        <v>1178141</v>
      </c>
      <c r="D1107" s="127">
        <v>1105451</v>
      </c>
      <c r="E1107" s="127">
        <v>29445191</v>
      </c>
      <c r="F1107" s="128" t="s">
        <v>5202</v>
      </c>
      <c r="G1107" s="129" t="s">
        <v>5124</v>
      </c>
      <c r="H1107" s="129" t="s">
        <v>5124</v>
      </c>
      <c r="I1107" s="129" t="s">
        <v>5124</v>
      </c>
      <c r="J1107" s="83" t="e">
        <f>VLOOKUP($C1107,CHOOSE({1,2},'[4]Prestações de Conta inadimplent'!$D$9:$D$2000,'[4]Prestações de Conta inadimplent'!$C$9:$C$2000),2,0)</f>
        <v>#N/A</v>
      </c>
      <c r="L1107" s="85"/>
      <c r="M1107" s="85"/>
      <c r="T1107" s="86"/>
      <c r="U1107" s="85"/>
      <c r="V1107" s="87"/>
      <c r="W1107" s="85"/>
      <c r="X1107" s="88"/>
      <c r="Y1107" s="89"/>
      <c r="Z1107" s="88"/>
      <c r="AA1107" s="88"/>
      <c r="AB1107" s="88"/>
      <c r="AF1107" s="90"/>
      <c r="AM1107" s="92"/>
      <c r="AN1107" s="92"/>
      <c r="AO1107" s="92"/>
      <c r="AP1107" s="92"/>
      <c r="AQ1107" s="92"/>
      <c r="AR1107" s="92"/>
    </row>
    <row r="1108" spans="1:44" s="84" customFormat="1" ht="24" customHeight="1" x14ac:dyDescent="0.25">
      <c r="A1108" s="125">
        <v>26</v>
      </c>
      <c r="B1108" s="126" t="s">
        <v>1092</v>
      </c>
      <c r="C1108" s="127">
        <v>1176064</v>
      </c>
      <c r="D1108" s="127">
        <v>1100227</v>
      </c>
      <c r="E1108" s="127">
        <v>29200032</v>
      </c>
      <c r="F1108" s="128" t="s">
        <v>5203</v>
      </c>
      <c r="G1108" s="129" t="s">
        <v>5124</v>
      </c>
      <c r="H1108" s="129" t="s">
        <v>5124</v>
      </c>
      <c r="I1108" s="129" t="s">
        <v>5124</v>
      </c>
      <c r="J1108" s="83" t="e">
        <f>VLOOKUP($C1108,CHOOSE({1,2},'[4]Prestações de Conta inadimplent'!$D$9:$D$2000,'[4]Prestações de Conta inadimplent'!$C$9:$C$2000),2,0)</f>
        <v>#N/A</v>
      </c>
      <c r="L1108" s="85"/>
      <c r="M1108" s="85"/>
      <c r="T1108" s="86"/>
      <c r="U1108" s="85"/>
      <c r="V1108" s="87"/>
      <c r="W1108" s="85"/>
      <c r="X1108" s="88"/>
      <c r="Y1108" s="89"/>
      <c r="Z1108" s="88"/>
      <c r="AA1108" s="88"/>
      <c r="AB1108" s="88"/>
      <c r="AF1108" s="90"/>
      <c r="AM1108" s="92"/>
      <c r="AN1108" s="92"/>
      <c r="AO1108" s="92"/>
      <c r="AP1108" s="92"/>
      <c r="AQ1108" s="92"/>
      <c r="AR1108" s="92"/>
    </row>
    <row r="1109" spans="1:44" s="84" customFormat="1" ht="24" customHeight="1" x14ac:dyDescent="0.25">
      <c r="A1109" s="125">
        <v>5</v>
      </c>
      <c r="B1109" s="126" t="s">
        <v>2013</v>
      </c>
      <c r="C1109" s="127">
        <v>1179459</v>
      </c>
      <c r="D1109" s="127">
        <v>9999999</v>
      </c>
      <c r="E1109" s="127">
        <v>29468418</v>
      </c>
      <c r="F1109" s="128" t="s">
        <v>5204</v>
      </c>
      <c r="G1109" s="129" t="s">
        <v>5132</v>
      </c>
      <c r="H1109" s="129" t="s">
        <v>5132</v>
      </c>
      <c r="I1109" s="129" t="s">
        <v>5132</v>
      </c>
      <c r="J1109" s="83" t="e">
        <f>VLOOKUP($C1109,CHOOSE({1,2},'[4]Prestações de Conta inadimplent'!$D$9:$D$2000,'[4]Prestações de Conta inadimplent'!$C$9:$C$2000),2,0)</f>
        <v>#N/A</v>
      </c>
      <c r="L1109" s="85"/>
      <c r="M1109" s="85"/>
      <c r="T1109" s="86"/>
      <c r="U1109" s="85"/>
      <c r="V1109" s="87"/>
      <c r="W1109" s="85"/>
      <c r="X1109" s="88"/>
      <c r="Y1109" s="89"/>
      <c r="Z1109" s="88"/>
      <c r="AA1109" s="88"/>
      <c r="AB1109" s="88"/>
      <c r="AF1109" s="90"/>
      <c r="AM1109" s="92"/>
      <c r="AN1109" s="92"/>
      <c r="AO1109" s="92"/>
      <c r="AP1109" s="92"/>
      <c r="AQ1109" s="92"/>
      <c r="AR1109" s="92"/>
    </row>
    <row r="1110" spans="1:44" s="84" customFormat="1" ht="24" customHeight="1" x14ac:dyDescent="0.25">
      <c r="A1110" s="125">
        <v>4</v>
      </c>
      <c r="B1110" s="126" t="s">
        <v>802</v>
      </c>
      <c r="C1110" s="127">
        <v>1115644</v>
      </c>
      <c r="D1110" s="127">
        <v>1101971</v>
      </c>
      <c r="E1110" s="127">
        <v>29138043</v>
      </c>
      <c r="F1110" s="128" t="s">
        <v>5205</v>
      </c>
      <c r="G1110" s="129" t="s">
        <v>5124</v>
      </c>
      <c r="H1110" s="129" t="s">
        <v>5124</v>
      </c>
      <c r="I1110" s="129" t="s">
        <v>5124</v>
      </c>
      <c r="J1110" s="83" t="e">
        <f>VLOOKUP($C1110,CHOOSE({1,2},'[4]Prestações de Conta inadimplent'!$D$9:$D$2000,'[4]Prestações de Conta inadimplent'!$C$9:$C$2000),2,0)</f>
        <v>#N/A</v>
      </c>
      <c r="L1110" s="85"/>
      <c r="M1110" s="85"/>
      <c r="T1110" s="86"/>
      <c r="U1110" s="85"/>
      <c r="V1110" s="87"/>
      <c r="W1110" s="85"/>
      <c r="X1110" s="88"/>
      <c r="Y1110" s="89"/>
      <c r="Z1110" s="88"/>
      <c r="AA1110" s="88"/>
      <c r="AB1110" s="88"/>
      <c r="AF1110" s="90"/>
      <c r="AM1110" s="92"/>
      <c r="AN1110" s="92"/>
      <c r="AO1110" s="92"/>
      <c r="AP1110" s="92"/>
      <c r="AQ1110" s="92"/>
      <c r="AR1110" s="92"/>
    </row>
    <row r="1111" spans="1:44" s="84" customFormat="1" ht="24" customHeight="1" x14ac:dyDescent="0.25">
      <c r="A1111" s="125">
        <v>21</v>
      </c>
      <c r="B1111" s="126" t="s">
        <v>1029</v>
      </c>
      <c r="C1111" s="127">
        <v>1109644</v>
      </c>
      <c r="D1111" s="127">
        <v>1101456</v>
      </c>
      <c r="E1111" s="127">
        <v>29171792</v>
      </c>
      <c r="F1111" s="128" t="s">
        <v>5206</v>
      </c>
      <c r="G1111" s="129" t="s">
        <v>5124</v>
      </c>
      <c r="H1111" s="129" t="s">
        <v>5124</v>
      </c>
      <c r="I1111" s="129" t="s">
        <v>5124</v>
      </c>
      <c r="J1111" s="83" t="e">
        <f>VLOOKUP($C1111,CHOOSE({1,2},'[4]Prestações de Conta inadimplent'!$D$9:$D$2000,'[4]Prestações de Conta inadimplent'!$C$9:$C$2000),2,0)</f>
        <v>#N/A</v>
      </c>
      <c r="L1111" s="85"/>
      <c r="M1111" s="85"/>
      <c r="T1111" s="86"/>
      <c r="U1111" s="85"/>
      <c r="V1111" s="87"/>
      <c r="W1111" s="85"/>
      <c r="X1111" s="88"/>
      <c r="Y1111" s="89"/>
      <c r="Z1111" s="88"/>
      <c r="AA1111" s="88"/>
      <c r="AB1111" s="88"/>
      <c r="AF1111" s="90"/>
      <c r="AM1111" s="92"/>
      <c r="AN1111" s="92"/>
      <c r="AO1111" s="92"/>
      <c r="AP1111" s="92"/>
      <c r="AQ1111" s="92"/>
      <c r="AR1111" s="92"/>
    </row>
    <row r="1112" spans="1:44" s="84" customFormat="1" ht="24" customHeight="1" x14ac:dyDescent="0.25">
      <c r="A1112" s="125">
        <v>3</v>
      </c>
      <c r="B1112" s="126" t="s">
        <v>1567</v>
      </c>
      <c r="C1112" s="132">
        <v>1132883</v>
      </c>
      <c r="D1112" s="127">
        <v>1103524</v>
      </c>
      <c r="E1112" s="132">
        <v>29220220</v>
      </c>
      <c r="F1112" s="133" t="s">
        <v>5207</v>
      </c>
      <c r="G1112" s="129" t="s">
        <v>5140</v>
      </c>
      <c r="H1112" s="129" t="s">
        <v>5140</v>
      </c>
      <c r="I1112" s="129" t="s">
        <v>5140</v>
      </c>
      <c r="J1112" s="83" t="e">
        <f>VLOOKUP($C1112,CHOOSE({1,2},'[4]Prestações de Conta inadimplent'!$D$9:$D$2000,'[4]Prestações de Conta inadimplent'!$C$9:$C$2000),2,0)</f>
        <v>#N/A</v>
      </c>
      <c r="L1112" s="85"/>
      <c r="M1112" s="85"/>
      <c r="T1112" s="86"/>
      <c r="U1112" s="85"/>
      <c r="V1112" s="87"/>
      <c r="W1112" s="85"/>
      <c r="X1112" s="88"/>
      <c r="Y1112" s="89"/>
      <c r="Z1112" s="88"/>
      <c r="AA1112" s="88"/>
      <c r="AB1112" s="88"/>
      <c r="AF1112" s="90"/>
      <c r="AM1112" s="92"/>
      <c r="AN1112" s="92"/>
      <c r="AO1112" s="92"/>
      <c r="AP1112" s="92"/>
      <c r="AQ1112" s="92"/>
      <c r="AR1112" s="92"/>
    </row>
    <row r="1113" spans="1:44" s="84" customFormat="1" ht="24" customHeight="1" x14ac:dyDescent="0.25">
      <c r="A1113" s="125">
        <v>26</v>
      </c>
      <c r="B1113" s="126" t="s">
        <v>1092</v>
      </c>
      <c r="C1113" s="132">
        <v>1176825</v>
      </c>
      <c r="D1113" s="127">
        <v>1100622</v>
      </c>
      <c r="E1113" s="132">
        <v>29427428</v>
      </c>
      <c r="F1113" s="133" t="s">
        <v>5208</v>
      </c>
      <c r="G1113" s="129" t="s">
        <v>5124</v>
      </c>
      <c r="H1113" s="129" t="s">
        <v>5124</v>
      </c>
      <c r="I1113" s="129" t="s">
        <v>5124</v>
      </c>
      <c r="J1113" s="83" t="e">
        <f>VLOOKUP($C1113,CHOOSE({1,2},'[4]Prestações de Conta inadimplent'!$D$9:$D$2000,'[4]Prestações de Conta inadimplent'!$C$9:$C$2000),2,0)</f>
        <v>#N/A</v>
      </c>
      <c r="L1113" s="85"/>
      <c r="M1113" s="85"/>
      <c r="T1113" s="86"/>
      <c r="U1113" s="85"/>
      <c r="V1113" s="87"/>
      <c r="W1113" s="85"/>
      <c r="X1113" s="88"/>
      <c r="Y1113" s="89"/>
      <c r="Z1113" s="88"/>
      <c r="AA1113" s="88"/>
      <c r="AB1113" s="88"/>
      <c r="AF1113" s="90"/>
      <c r="AM1113" s="92"/>
      <c r="AN1113" s="92"/>
      <c r="AO1113" s="92"/>
      <c r="AP1113" s="92"/>
      <c r="AQ1113" s="92"/>
      <c r="AR1113" s="92"/>
    </row>
    <row r="1114" spans="1:44" s="84" customFormat="1" ht="24" customHeight="1" x14ac:dyDescent="0.25">
      <c r="A1114" s="125">
        <v>5</v>
      </c>
      <c r="B1114" s="126" t="s">
        <v>1985</v>
      </c>
      <c r="C1114" s="132">
        <v>1159820</v>
      </c>
      <c r="D1114" s="127">
        <v>1101493</v>
      </c>
      <c r="E1114" s="132">
        <v>29302340</v>
      </c>
      <c r="F1114" s="133" t="s">
        <v>5209</v>
      </c>
      <c r="G1114" s="129" t="s">
        <v>5124</v>
      </c>
      <c r="H1114" s="129" t="s">
        <v>5124</v>
      </c>
      <c r="I1114" s="129" t="s">
        <v>5124</v>
      </c>
      <c r="J1114" s="83" t="e">
        <f>VLOOKUP($C1114,CHOOSE({1,2},'[4]Prestações de Conta inadimplent'!$D$9:$D$2000,'[4]Prestações de Conta inadimplent'!$C$9:$C$2000),2,0)</f>
        <v>#N/A</v>
      </c>
      <c r="L1114" s="85"/>
      <c r="M1114" s="85"/>
      <c r="T1114" s="86"/>
      <c r="U1114" s="85"/>
      <c r="V1114" s="87"/>
      <c r="W1114" s="85"/>
      <c r="X1114" s="88"/>
      <c r="Y1114" s="89"/>
      <c r="Z1114" s="88"/>
      <c r="AA1114" s="88"/>
      <c r="AB1114" s="88"/>
      <c r="AF1114" s="90"/>
      <c r="AM1114" s="92"/>
      <c r="AN1114" s="92"/>
      <c r="AO1114" s="92"/>
      <c r="AP1114" s="92"/>
      <c r="AQ1114" s="92"/>
      <c r="AR1114" s="92"/>
    </row>
    <row r="1115" spans="1:44" s="84" customFormat="1" ht="24" customHeight="1" x14ac:dyDescent="0.25">
      <c r="A1115" s="125">
        <v>26</v>
      </c>
      <c r="B1115" s="126" t="s">
        <v>1092</v>
      </c>
      <c r="C1115" s="132">
        <v>1102895</v>
      </c>
      <c r="D1115" s="132">
        <v>1100557</v>
      </c>
      <c r="E1115" s="132">
        <v>29181119</v>
      </c>
      <c r="F1115" s="133" t="s">
        <v>5210</v>
      </c>
      <c r="G1115" s="129" t="s">
        <v>5124</v>
      </c>
      <c r="H1115" s="129" t="s">
        <v>5124</v>
      </c>
      <c r="I1115" s="129" t="s">
        <v>5124</v>
      </c>
      <c r="J1115" s="83" t="e">
        <f>VLOOKUP($C1115,CHOOSE({1,2},'[4]Prestações de Conta inadimplent'!$D$9:$D$2000,'[4]Prestações de Conta inadimplent'!$C$9:$C$2000),2,0)</f>
        <v>#N/A</v>
      </c>
      <c r="L1115" s="85"/>
      <c r="M1115" s="85"/>
      <c r="T1115" s="86"/>
      <c r="U1115" s="85"/>
      <c r="V1115" s="87"/>
      <c r="W1115" s="85"/>
      <c r="X1115" s="88"/>
      <c r="Y1115" s="89"/>
      <c r="Z1115" s="88"/>
      <c r="AA1115" s="88"/>
      <c r="AB1115" s="88"/>
      <c r="AF1115" s="90"/>
      <c r="AM1115" s="92"/>
      <c r="AN1115" s="92"/>
      <c r="AO1115" s="92"/>
      <c r="AP1115" s="92"/>
      <c r="AQ1115" s="92"/>
      <c r="AR1115" s="92"/>
    </row>
    <row r="1116" spans="1:44" s="84" customFormat="1" ht="24" customHeight="1" x14ac:dyDescent="0.25">
      <c r="A1116" s="125">
        <v>23</v>
      </c>
      <c r="B1116" s="126" t="s">
        <v>156</v>
      </c>
      <c r="C1116" s="132">
        <v>1132077</v>
      </c>
      <c r="D1116" s="132">
        <v>1103444</v>
      </c>
      <c r="E1116" s="132">
        <v>29016207</v>
      </c>
      <c r="F1116" s="133" t="s">
        <v>5211</v>
      </c>
      <c r="G1116" s="129" t="s">
        <v>5124</v>
      </c>
      <c r="H1116" s="129" t="s">
        <v>5124</v>
      </c>
      <c r="I1116" s="129" t="s">
        <v>5124</v>
      </c>
      <c r="J1116" s="83" t="e">
        <f>VLOOKUP($C1116,CHOOSE({1,2},'[4]Prestações de Conta inadimplent'!$D$9:$D$2000,'[4]Prestações de Conta inadimplent'!$C$9:$C$2000),2,0)</f>
        <v>#N/A</v>
      </c>
      <c r="L1116" s="85"/>
      <c r="M1116" s="85"/>
      <c r="T1116" s="86"/>
      <c r="U1116" s="85"/>
      <c r="V1116" s="87"/>
      <c r="W1116" s="85"/>
      <c r="X1116" s="88"/>
      <c r="Y1116" s="89"/>
      <c r="Z1116" s="88"/>
      <c r="AA1116" s="88"/>
      <c r="AB1116" s="88"/>
      <c r="AF1116" s="90"/>
      <c r="AM1116" s="92"/>
      <c r="AN1116" s="92"/>
      <c r="AO1116" s="92"/>
      <c r="AP1116" s="92"/>
      <c r="AQ1116" s="92"/>
      <c r="AR1116" s="92"/>
    </row>
    <row r="1117" spans="1:44" s="84" customFormat="1" ht="24" customHeight="1" x14ac:dyDescent="0.25">
      <c r="A1117" s="125">
        <v>4</v>
      </c>
      <c r="B1117" s="126" t="s">
        <v>802</v>
      </c>
      <c r="C1117" s="132">
        <v>1115750</v>
      </c>
      <c r="D1117" s="132">
        <v>1101981</v>
      </c>
      <c r="E1117" s="132">
        <v>29138434</v>
      </c>
      <c r="F1117" s="133" t="s">
        <v>5212</v>
      </c>
      <c r="G1117" s="129" t="s">
        <v>5124</v>
      </c>
      <c r="H1117" s="129" t="s">
        <v>5124</v>
      </c>
      <c r="I1117" s="129" t="s">
        <v>5124</v>
      </c>
      <c r="J1117" s="83" t="e">
        <f>VLOOKUP($C1117,CHOOSE({1,2},'[4]Prestações de Conta inadimplent'!$D$9:$D$2000,'[4]Prestações de Conta inadimplent'!$C$9:$C$2000),2,0)</f>
        <v>#N/A</v>
      </c>
      <c r="L1117" s="85"/>
      <c r="M1117" s="85"/>
      <c r="T1117" s="86"/>
      <c r="U1117" s="85"/>
      <c r="V1117" s="87"/>
      <c r="W1117" s="85"/>
      <c r="X1117" s="88"/>
      <c r="Y1117" s="89"/>
      <c r="Z1117" s="88"/>
      <c r="AA1117" s="88"/>
      <c r="AB1117" s="88"/>
      <c r="AF1117" s="90"/>
      <c r="AM1117" s="92"/>
      <c r="AN1117" s="92"/>
      <c r="AO1117" s="92"/>
      <c r="AP1117" s="92"/>
      <c r="AQ1117" s="92"/>
      <c r="AR1117" s="92"/>
    </row>
    <row r="1118" spans="1:44" s="84" customFormat="1" ht="24" customHeight="1" x14ac:dyDescent="0.25">
      <c r="A1118" s="125">
        <v>15</v>
      </c>
      <c r="B1118" s="126" t="s">
        <v>417</v>
      </c>
      <c r="C1118" s="127">
        <v>1162219</v>
      </c>
      <c r="D1118" s="127">
        <v>1102531</v>
      </c>
      <c r="E1118" s="127">
        <v>29070317</v>
      </c>
      <c r="F1118" s="133" t="s">
        <v>5213</v>
      </c>
      <c r="G1118" s="129" t="s">
        <v>5124</v>
      </c>
      <c r="H1118" s="129" t="s">
        <v>5124</v>
      </c>
      <c r="I1118" s="129" t="s">
        <v>5124</v>
      </c>
      <c r="J1118" s="83" t="e">
        <f>VLOOKUP($C1118,CHOOSE({1,2},'[4]Prestações de Conta inadimplent'!$D$9:$D$2000,'[4]Prestações de Conta inadimplent'!$C$9:$C$2000),2,0)</f>
        <v>#N/A</v>
      </c>
      <c r="L1118" s="85"/>
      <c r="M1118" s="85"/>
      <c r="T1118" s="86"/>
      <c r="U1118" s="85"/>
      <c r="V1118" s="87"/>
      <c r="W1118" s="85"/>
      <c r="X1118" s="88"/>
      <c r="Y1118" s="89"/>
      <c r="Z1118" s="88"/>
      <c r="AA1118" s="88"/>
      <c r="AB1118" s="88"/>
      <c r="AF1118" s="90"/>
      <c r="AM1118" s="92"/>
      <c r="AN1118" s="92"/>
      <c r="AO1118" s="92"/>
      <c r="AP1118" s="92"/>
      <c r="AQ1118" s="92"/>
      <c r="AR1118" s="92"/>
    </row>
    <row r="1119" spans="1:44" s="84" customFormat="1" ht="24" customHeight="1" x14ac:dyDescent="0.25">
      <c r="A1119" s="125">
        <v>19</v>
      </c>
      <c r="B1119" s="126" t="s">
        <v>947</v>
      </c>
      <c r="C1119" s="127">
        <v>1105410</v>
      </c>
      <c r="D1119" s="127">
        <v>1100739</v>
      </c>
      <c r="E1119" s="127">
        <v>29157722</v>
      </c>
      <c r="F1119" s="133" t="s">
        <v>5214</v>
      </c>
      <c r="G1119" s="129" t="s">
        <v>5124</v>
      </c>
      <c r="H1119" s="129" t="s">
        <v>5124</v>
      </c>
      <c r="I1119" s="129" t="s">
        <v>5124</v>
      </c>
      <c r="J1119" s="83" t="e">
        <f>VLOOKUP($C1119,CHOOSE({1,2},'[4]Prestações de Conta inadimplent'!$D$9:$D$2000,'[4]Prestações de Conta inadimplent'!$C$9:$C$2000),2,0)</f>
        <v>#N/A</v>
      </c>
      <c r="L1119" s="85"/>
      <c r="M1119" s="85"/>
      <c r="T1119" s="86"/>
      <c r="U1119" s="85"/>
      <c r="V1119" s="87"/>
      <c r="W1119" s="85"/>
      <c r="X1119" s="88"/>
      <c r="Y1119" s="89"/>
      <c r="Z1119" s="88"/>
      <c r="AA1119" s="88"/>
      <c r="AB1119" s="88"/>
      <c r="AF1119" s="90"/>
      <c r="AM1119" s="92"/>
      <c r="AN1119" s="92"/>
      <c r="AO1119" s="92"/>
      <c r="AP1119" s="92"/>
      <c r="AQ1119" s="92"/>
      <c r="AR1119" s="92"/>
    </row>
    <row r="1120" spans="1:44" s="84" customFormat="1" ht="24" customHeight="1" x14ac:dyDescent="0.25">
      <c r="A1120" s="125">
        <v>20</v>
      </c>
      <c r="B1120" s="126" t="s">
        <v>1831</v>
      </c>
      <c r="C1120" s="127">
        <v>1125313</v>
      </c>
      <c r="D1120" s="127">
        <v>1102880</v>
      </c>
      <c r="E1120" s="127">
        <v>29277680</v>
      </c>
      <c r="F1120" s="133" t="s">
        <v>5215</v>
      </c>
      <c r="G1120" s="129" t="s">
        <v>5124</v>
      </c>
      <c r="H1120" s="129" t="s">
        <v>5124</v>
      </c>
      <c r="I1120" s="129" t="s">
        <v>5124</v>
      </c>
      <c r="J1120" s="83" t="e">
        <f>VLOOKUP($C1120,CHOOSE({1,2},'[4]Prestações de Conta inadimplent'!$D$9:$D$2000,'[4]Prestações de Conta inadimplent'!$C$9:$C$2000),2,0)</f>
        <v>#N/A</v>
      </c>
      <c r="L1120" s="85"/>
      <c r="M1120" s="85"/>
      <c r="T1120" s="86"/>
      <c r="U1120" s="85"/>
      <c r="V1120" s="87"/>
      <c r="W1120" s="85"/>
      <c r="X1120" s="88"/>
      <c r="Y1120" s="89"/>
      <c r="Z1120" s="88"/>
      <c r="AA1120" s="88"/>
      <c r="AB1120" s="88"/>
      <c r="AF1120" s="90"/>
      <c r="AM1120" s="92"/>
      <c r="AN1120" s="92"/>
      <c r="AO1120" s="92"/>
      <c r="AP1120" s="92"/>
      <c r="AQ1120" s="92"/>
      <c r="AR1120" s="92"/>
    </row>
    <row r="1121" spans="1:44" s="84" customFormat="1" ht="24" customHeight="1" x14ac:dyDescent="0.25">
      <c r="A1121" s="125">
        <v>26</v>
      </c>
      <c r="B1121" s="126" t="s">
        <v>1092</v>
      </c>
      <c r="C1121" s="127">
        <v>1103409</v>
      </c>
      <c r="D1121" s="127">
        <v>1100373</v>
      </c>
      <c r="E1121" s="127">
        <v>29192129</v>
      </c>
      <c r="F1121" s="133" t="s">
        <v>5216</v>
      </c>
      <c r="G1121" s="129" t="s">
        <v>5124</v>
      </c>
      <c r="H1121" s="129" t="s">
        <v>5124</v>
      </c>
      <c r="I1121" s="129" t="s">
        <v>5124</v>
      </c>
      <c r="J1121" s="83" t="e">
        <f>VLOOKUP($C1121,CHOOSE({1,2},'[4]Prestações de Conta inadimplent'!$D$9:$D$2000,'[4]Prestações de Conta inadimplent'!$C$9:$C$2000),2,0)</f>
        <v>#N/A</v>
      </c>
      <c r="L1121" s="85"/>
      <c r="M1121" s="85"/>
      <c r="T1121" s="86"/>
      <c r="U1121" s="85"/>
      <c r="V1121" s="87"/>
      <c r="W1121" s="85"/>
      <c r="X1121" s="88"/>
      <c r="Y1121" s="89"/>
      <c r="Z1121" s="88"/>
      <c r="AA1121" s="88"/>
      <c r="AB1121" s="88"/>
      <c r="AF1121" s="90"/>
      <c r="AM1121" s="92"/>
      <c r="AN1121" s="92"/>
      <c r="AO1121" s="92"/>
      <c r="AP1121" s="92"/>
      <c r="AQ1121" s="92"/>
      <c r="AR1121" s="92"/>
    </row>
    <row r="1122" spans="1:44" s="84" customFormat="1" ht="24" customHeight="1" x14ac:dyDescent="0.25">
      <c r="A1122" s="125">
        <v>26</v>
      </c>
      <c r="B1122" s="126" t="s">
        <v>1092</v>
      </c>
      <c r="C1122" s="127">
        <v>1176750</v>
      </c>
      <c r="D1122" s="127">
        <v>1100276</v>
      </c>
      <c r="E1122" s="127">
        <v>29404762</v>
      </c>
      <c r="F1122" s="133" t="s">
        <v>5217</v>
      </c>
      <c r="G1122" s="129" t="s">
        <v>5124</v>
      </c>
      <c r="H1122" s="129" t="s">
        <v>5124</v>
      </c>
      <c r="I1122" s="129" t="s">
        <v>5124</v>
      </c>
      <c r="J1122" s="83" t="e">
        <f>VLOOKUP($C1122,CHOOSE({1,2},'[4]Prestações de Conta inadimplent'!$D$9:$D$2000,'[4]Prestações de Conta inadimplent'!$C$9:$C$2000),2,0)</f>
        <v>#N/A</v>
      </c>
      <c r="L1122" s="85"/>
      <c r="M1122" s="85"/>
      <c r="T1122" s="86"/>
      <c r="U1122" s="85"/>
      <c r="V1122" s="87"/>
      <c r="W1122" s="85"/>
      <c r="X1122" s="88"/>
      <c r="Y1122" s="89"/>
      <c r="Z1122" s="88"/>
      <c r="AA1122" s="88"/>
      <c r="AB1122" s="88"/>
      <c r="AF1122" s="90"/>
      <c r="AM1122" s="92"/>
      <c r="AN1122" s="92"/>
      <c r="AO1122" s="92"/>
      <c r="AP1122" s="92"/>
      <c r="AQ1122" s="92"/>
      <c r="AR1122" s="92"/>
    </row>
    <row r="1123" spans="1:44" s="84" customFormat="1" ht="24" customHeight="1" x14ac:dyDescent="0.25">
      <c r="A1123" s="125">
        <v>26</v>
      </c>
      <c r="B1123" s="126" t="s">
        <v>1053</v>
      </c>
      <c r="C1123" s="127">
        <v>1177008</v>
      </c>
      <c r="D1123" s="127">
        <v>1104537</v>
      </c>
      <c r="E1123" s="127">
        <v>29404215</v>
      </c>
      <c r="F1123" s="133" t="s">
        <v>5218</v>
      </c>
      <c r="G1123" s="129" t="s">
        <v>5124</v>
      </c>
      <c r="H1123" s="129" t="s">
        <v>5124</v>
      </c>
      <c r="I1123" s="129" t="s">
        <v>5124</v>
      </c>
      <c r="J1123" s="83" t="e">
        <f>VLOOKUP($C1123,CHOOSE({1,2},'[4]Prestações de Conta inadimplent'!$D$9:$D$2000,'[4]Prestações de Conta inadimplent'!$C$9:$C$2000),2,0)</f>
        <v>#N/A</v>
      </c>
      <c r="L1123" s="85"/>
      <c r="M1123" s="85"/>
      <c r="T1123" s="86"/>
      <c r="U1123" s="85"/>
      <c r="V1123" s="87"/>
      <c r="W1123" s="85"/>
      <c r="X1123" s="88"/>
      <c r="Y1123" s="89"/>
      <c r="Z1123" s="88"/>
      <c r="AA1123" s="88"/>
      <c r="AB1123" s="88"/>
      <c r="AF1123" s="90"/>
      <c r="AM1123" s="92"/>
      <c r="AN1123" s="92"/>
      <c r="AO1123" s="92"/>
      <c r="AP1123" s="92"/>
      <c r="AQ1123" s="92"/>
      <c r="AR1123" s="92"/>
    </row>
    <row r="1124" spans="1:44" s="84" customFormat="1" ht="24" customHeight="1" x14ac:dyDescent="0.25">
      <c r="A1124" s="134">
        <v>15</v>
      </c>
      <c r="B1124" s="135" t="s">
        <v>646</v>
      </c>
      <c r="C1124" s="136">
        <v>1176409</v>
      </c>
      <c r="D1124" s="136">
        <v>1101073</v>
      </c>
      <c r="E1124" s="136">
        <v>29370515</v>
      </c>
      <c r="F1124" s="135" t="s">
        <v>5219</v>
      </c>
      <c r="G1124" s="129" t="s">
        <v>5124</v>
      </c>
      <c r="H1124" s="129" t="s">
        <v>5124</v>
      </c>
      <c r="I1124" s="129" t="s">
        <v>5124</v>
      </c>
      <c r="J1124" s="83" t="e">
        <f>VLOOKUP($C1124,CHOOSE({1,2},'[4]Prestações de Conta inadimplent'!$D$9:$D$2000,'[4]Prestações de Conta inadimplent'!$C$9:$C$2000),2,0)</f>
        <v>#N/A</v>
      </c>
      <c r="L1124" s="85"/>
      <c r="M1124" s="85"/>
      <c r="T1124" s="86"/>
      <c r="U1124" s="85"/>
      <c r="V1124" s="87"/>
      <c r="W1124" s="85"/>
      <c r="X1124" s="88"/>
      <c r="Y1124" s="89"/>
      <c r="Z1124" s="88"/>
      <c r="AA1124" s="88"/>
      <c r="AB1124" s="88"/>
      <c r="AF1124" s="90"/>
      <c r="AM1124" s="92"/>
      <c r="AN1124" s="92"/>
      <c r="AO1124" s="92"/>
      <c r="AP1124" s="92"/>
      <c r="AQ1124" s="92"/>
      <c r="AR1124" s="92"/>
    </row>
    <row r="1125" spans="1:44" s="84" customFormat="1" ht="24" customHeight="1" x14ac:dyDescent="0.25">
      <c r="A1125" s="134">
        <v>25</v>
      </c>
      <c r="B1125" s="135" t="s">
        <v>309</v>
      </c>
      <c r="C1125" s="136">
        <v>1120273</v>
      </c>
      <c r="D1125" s="136">
        <v>1103588</v>
      </c>
      <c r="E1125" s="136">
        <v>29053536</v>
      </c>
      <c r="F1125" s="135" t="s">
        <v>5220</v>
      </c>
      <c r="G1125" s="129" t="s">
        <v>5124</v>
      </c>
      <c r="H1125" s="129" t="s">
        <v>5124</v>
      </c>
      <c r="I1125" s="129" t="s">
        <v>5124</v>
      </c>
      <c r="J1125" s="83" t="e">
        <f>VLOOKUP($C1125,CHOOSE({1,2},'[4]Prestações de Conta inadimplent'!$D$9:$D$2000,'[4]Prestações de Conta inadimplent'!$C$9:$C$2000),2,0)</f>
        <v>#N/A</v>
      </c>
      <c r="L1125" s="85"/>
      <c r="M1125" s="85"/>
      <c r="T1125" s="86"/>
      <c r="U1125" s="85"/>
      <c r="V1125" s="87"/>
      <c r="W1125" s="85"/>
      <c r="X1125" s="88"/>
      <c r="Y1125" s="89"/>
      <c r="Z1125" s="88"/>
      <c r="AA1125" s="88"/>
      <c r="AB1125" s="88"/>
      <c r="AF1125" s="90"/>
      <c r="AM1125" s="92"/>
      <c r="AN1125" s="92"/>
      <c r="AO1125" s="92"/>
      <c r="AP1125" s="92"/>
      <c r="AQ1125" s="92"/>
      <c r="AR1125" s="92"/>
    </row>
    <row r="1126" spans="1:44" s="84" customFormat="1" ht="24" customHeight="1" x14ac:dyDescent="0.25">
      <c r="A1126" s="125">
        <v>5</v>
      </c>
      <c r="B1126" s="126" t="s">
        <v>1985</v>
      </c>
      <c r="C1126" s="127">
        <v>1179711</v>
      </c>
      <c r="D1126" s="127">
        <v>9999999</v>
      </c>
      <c r="E1126" s="127">
        <v>43768</v>
      </c>
      <c r="F1126" s="137" t="s">
        <v>5221</v>
      </c>
      <c r="G1126" s="129" t="s">
        <v>5222</v>
      </c>
      <c r="H1126" s="129" t="s">
        <v>5222</v>
      </c>
      <c r="I1126" s="129" t="s">
        <v>5222</v>
      </c>
      <c r="J1126" s="83" t="e">
        <f>VLOOKUP($C1126,CHOOSE({1,2},'[4]Prestações de Conta inadimplent'!$D$9:$D$2000,'[4]Prestações de Conta inadimplent'!$C$9:$C$2000),2,0)</f>
        <v>#N/A</v>
      </c>
      <c r="L1126" s="85"/>
      <c r="M1126" s="85"/>
      <c r="T1126" s="86"/>
      <c r="U1126" s="85"/>
      <c r="V1126" s="87"/>
      <c r="W1126" s="85"/>
      <c r="X1126" s="88"/>
      <c r="Y1126" s="89"/>
      <c r="Z1126" s="88"/>
      <c r="AA1126" s="88"/>
      <c r="AB1126" s="88"/>
      <c r="AF1126" s="90"/>
      <c r="AM1126" s="92"/>
      <c r="AN1126" s="92"/>
      <c r="AO1126" s="92"/>
      <c r="AP1126" s="92"/>
      <c r="AQ1126" s="92"/>
      <c r="AR1126" s="92"/>
    </row>
    <row r="1127" spans="1:44" s="84" customFormat="1" ht="24" customHeight="1" x14ac:dyDescent="0.25">
      <c r="A1127" s="134">
        <v>19</v>
      </c>
      <c r="B1127" s="135" t="s">
        <v>539</v>
      </c>
      <c r="C1127" s="136">
        <v>1105843</v>
      </c>
      <c r="D1127" s="136">
        <v>1100657</v>
      </c>
      <c r="E1127" s="136">
        <v>29094976</v>
      </c>
      <c r="F1127" s="138" t="s">
        <v>5223</v>
      </c>
      <c r="G1127" s="129" t="s">
        <v>5140</v>
      </c>
      <c r="H1127" s="129" t="s">
        <v>5140</v>
      </c>
      <c r="I1127" s="129" t="s">
        <v>5140</v>
      </c>
      <c r="J1127" s="83" t="e">
        <f>VLOOKUP($C1127,CHOOSE({1,2},'[4]Prestações de Conta inadimplent'!$D$9:$D$2000,'[4]Prestações de Conta inadimplent'!$C$9:$C$2000),2,0)</f>
        <v>#N/A</v>
      </c>
      <c r="L1127" s="85"/>
      <c r="M1127" s="85"/>
      <c r="T1127" s="86"/>
      <c r="U1127" s="85"/>
      <c r="V1127" s="87"/>
      <c r="W1127" s="85"/>
      <c r="X1127" s="88"/>
      <c r="Y1127" s="89"/>
      <c r="Z1127" s="88"/>
      <c r="AA1127" s="88"/>
      <c r="AB1127" s="88"/>
      <c r="AF1127" s="90"/>
      <c r="AM1127" s="92"/>
      <c r="AN1127" s="92"/>
      <c r="AO1127" s="92"/>
      <c r="AP1127" s="92"/>
      <c r="AQ1127" s="92"/>
      <c r="AR1127" s="92"/>
    </row>
    <row r="1128" spans="1:44" s="84" customFormat="1" ht="24" customHeight="1" x14ac:dyDescent="0.25">
      <c r="A1128" s="134">
        <v>19</v>
      </c>
      <c r="B1128" s="135" t="s">
        <v>539</v>
      </c>
      <c r="C1128" s="136">
        <v>1106327</v>
      </c>
      <c r="D1128" s="136">
        <v>1100667</v>
      </c>
      <c r="E1128" s="136">
        <v>29094429</v>
      </c>
      <c r="F1128" s="138" t="s">
        <v>5224</v>
      </c>
      <c r="G1128" s="129" t="s">
        <v>5140</v>
      </c>
      <c r="H1128" s="129" t="s">
        <v>5140</v>
      </c>
      <c r="I1128" s="129" t="s">
        <v>5140</v>
      </c>
      <c r="J1128" s="83" t="e">
        <f>VLOOKUP($C1128,CHOOSE({1,2},'[4]Prestações de Conta inadimplent'!$D$9:$D$2000,'[4]Prestações de Conta inadimplent'!$C$9:$C$2000),2,0)</f>
        <v>#N/A</v>
      </c>
      <c r="L1128" s="85"/>
      <c r="M1128" s="85"/>
      <c r="T1128" s="86"/>
      <c r="U1128" s="85"/>
      <c r="V1128" s="87"/>
      <c r="W1128" s="85"/>
      <c r="X1128" s="88"/>
      <c r="Y1128" s="89"/>
      <c r="Z1128" s="88"/>
      <c r="AA1128" s="88"/>
      <c r="AB1128" s="88"/>
      <c r="AF1128" s="90"/>
      <c r="AM1128" s="92"/>
      <c r="AN1128" s="92"/>
      <c r="AO1128" s="92"/>
      <c r="AP1128" s="92"/>
      <c r="AQ1128" s="92"/>
      <c r="AR1128" s="92"/>
    </row>
    <row r="1129" spans="1:44" s="84" customFormat="1" ht="24" customHeight="1" x14ac:dyDescent="0.25">
      <c r="A1129" s="134">
        <v>19</v>
      </c>
      <c r="B1129" s="135" t="s">
        <v>539</v>
      </c>
      <c r="C1129" s="136">
        <v>1106750</v>
      </c>
      <c r="D1129" s="136">
        <v>1100716</v>
      </c>
      <c r="E1129" s="136">
        <v>29094437</v>
      </c>
      <c r="F1129" s="138" t="s">
        <v>5225</v>
      </c>
      <c r="G1129" s="129" t="s">
        <v>5140</v>
      </c>
      <c r="H1129" s="129" t="s">
        <v>5140</v>
      </c>
      <c r="I1129" s="129" t="s">
        <v>5140</v>
      </c>
      <c r="J1129" s="83" t="str">
        <f>VLOOKUP($C1129,CHOOSE({1,2},'[4]Prestações de Conta inadimplent'!$D$9:$D$2000,'[4]Prestações de Conta inadimplent'!$C$9:$C$2000),2,0)</f>
        <v>Colegio Joao Durval Carneiro</v>
      </c>
      <c r="L1129" s="85"/>
      <c r="M1129" s="85"/>
      <c r="T1129" s="86"/>
      <c r="U1129" s="85"/>
      <c r="V1129" s="87"/>
      <c r="W1129" s="85"/>
      <c r="X1129" s="88"/>
      <c r="Y1129" s="89"/>
      <c r="Z1129" s="88"/>
      <c r="AA1129" s="88"/>
      <c r="AB1129" s="88"/>
      <c r="AF1129" s="90"/>
      <c r="AM1129" s="92"/>
      <c r="AN1129" s="92"/>
      <c r="AO1129" s="92"/>
      <c r="AP1129" s="92"/>
      <c r="AQ1129" s="92"/>
      <c r="AR1129" s="92"/>
    </row>
    <row r="1130" spans="1:44" s="84" customFormat="1" ht="24" customHeight="1" x14ac:dyDescent="0.25">
      <c r="A1130" s="134">
        <v>19</v>
      </c>
      <c r="B1130" s="135" t="s">
        <v>539</v>
      </c>
      <c r="C1130" s="136">
        <v>1106181</v>
      </c>
      <c r="D1130" s="136">
        <v>1100722</v>
      </c>
      <c r="E1130" s="136">
        <v>29094763</v>
      </c>
      <c r="F1130" s="138" t="s">
        <v>5226</v>
      </c>
      <c r="G1130" s="129" t="s">
        <v>5140</v>
      </c>
      <c r="H1130" s="129" t="s">
        <v>5140</v>
      </c>
      <c r="I1130" s="129" t="s">
        <v>5140</v>
      </c>
      <c r="J1130" s="83" t="e">
        <f>VLOOKUP($C1130,CHOOSE({1,2},'[4]Prestações de Conta inadimplent'!$D$9:$D$2000,'[4]Prestações de Conta inadimplent'!$C$9:$C$2000),2,0)</f>
        <v>#N/A</v>
      </c>
      <c r="L1130" s="85"/>
      <c r="M1130" s="85"/>
      <c r="T1130" s="86"/>
      <c r="U1130" s="85"/>
      <c r="V1130" s="87"/>
      <c r="W1130" s="85"/>
      <c r="X1130" s="88"/>
      <c r="Y1130" s="89"/>
      <c r="Z1130" s="88"/>
      <c r="AA1130" s="88"/>
      <c r="AB1130" s="88"/>
      <c r="AF1130" s="90"/>
      <c r="AM1130" s="92"/>
      <c r="AN1130" s="92"/>
      <c r="AO1130" s="92"/>
      <c r="AP1130" s="92"/>
      <c r="AQ1130" s="92"/>
      <c r="AR1130" s="92"/>
    </row>
    <row r="1131" spans="1:44" s="84" customFormat="1" ht="24" customHeight="1" x14ac:dyDescent="0.25">
      <c r="A1131" s="125">
        <v>4</v>
      </c>
      <c r="B1131" s="126" t="s">
        <v>739</v>
      </c>
      <c r="C1131" s="132">
        <v>1114974</v>
      </c>
      <c r="D1131" s="132">
        <v>1102142</v>
      </c>
      <c r="E1131" s="132">
        <v>29124425</v>
      </c>
      <c r="F1131" s="133" t="s">
        <v>5227</v>
      </c>
      <c r="G1131" s="129" t="s">
        <v>5124</v>
      </c>
      <c r="H1131" s="129" t="s">
        <v>5124</v>
      </c>
      <c r="I1131" s="129" t="s">
        <v>5124</v>
      </c>
      <c r="J1131" s="83" t="e">
        <f>VLOOKUP($C1131,CHOOSE({1,2},'[4]Prestações de Conta inadimplent'!$D$9:$D$2000,'[4]Prestações de Conta inadimplent'!$C$9:$C$2000),2,0)</f>
        <v>#N/A</v>
      </c>
      <c r="L1131" s="85"/>
      <c r="M1131" s="85"/>
      <c r="T1131" s="86"/>
      <c r="U1131" s="85"/>
      <c r="V1131" s="87"/>
      <c r="W1131" s="85"/>
      <c r="X1131" s="88"/>
      <c r="Y1131" s="89"/>
      <c r="Z1131" s="88"/>
      <c r="AA1131" s="88"/>
      <c r="AB1131" s="88"/>
      <c r="AF1131" s="90"/>
      <c r="AM1131" s="92"/>
      <c r="AN1131" s="92"/>
      <c r="AO1131" s="92"/>
      <c r="AP1131" s="92"/>
      <c r="AQ1131" s="92"/>
      <c r="AR1131" s="92"/>
    </row>
    <row r="1132" spans="1:44" s="84" customFormat="1" ht="24" customHeight="1" x14ac:dyDescent="0.25">
      <c r="A1132" s="125">
        <v>23</v>
      </c>
      <c r="B1132" s="126" t="s">
        <v>150</v>
      </c>
      <c r="C1132" s="127">
        <v>1132018</v>
      </c>
      <c r="D1132" s="127">
        <v>1103439</v>
      </c>
      <c r="E1132" s="127">
        <v>29014239</v>
      </c>
      <c r="F1132" s="133" t="s">
        <v>5228</v>
      </c>
      <c r="G1132" s="129" t="s">
        <v>5124</v>
      </c>
      <c r="H1132" s="129" t="s">
        <v>5124</v>
      </c>
      <c r="I1132" s="129" t="s">
        <v>5124</v>
      </c>
      <c r="J1132" s="83" t="e">
        <f>VLOOKUP($C1132,CHOOSE({1,2},'[4]Prestações de Conta inadimplent'!$D$9:$D$2000,'[4]Prestações de Conta inadimplent'!$C$9:$C$2000),2,0)</f>
        <v>#N/A</v>
      </c>
      <c r="L1132" s="85"/>
      <c r="M1132" s="85"/>
      <c r="T1132" s="86"/>
      <c r="U1132" s="85"/>
      <c r="V1132" s="87"/>
      <c r="W1132" s="85"/>
      <c r="X1132" s="88"/>
      <c r="Y1132" s="89"/>
      <c r="Z1132" s="88"/>
      <c r="AA1132" s="88"/>
      <c r="AB1132" s="88"/>
      <c r="AF1132" s="90"/>
      <c r="AM1132" s="92"/>
      <c r="AN1132" s="92"/>
      <c r="AO1132" s="92"/>
      <c r="AP1132" s="92"/>
      <c r="AQ1132" s="92"/>
      <c r="AR1132" s="92"/>
    </row>
    <row r="1133" spans="1:44" s="84" customFormat="1" ht="24" customHeight="1" x14ac:dyDescent="0.25">
      <c r="A1133" s="125">
        <v>20</v>
      </c>
      <c r="B1133" s="126" t="s">
        <v>1831</v>
      </c>
      <c r="C1133" s="127">
        <v>1125453</v>
      </c>
      <c r="D1133" s="127">
        <v>1102889</v>
      </c>
      <c r="E1133" s="127">
        <v>29277736</v>
      </c>
      <c r="F1133" s="133" t="s">
        <v>5229</v>
      </c>
      <c r="G1133" s="129" t="s">
        <v>5124</v>
      </c>
      <c r="H1133" s="129" t="s">
        <v>5124</v>
      </c>
      <c r="I1133" s="129" t="s">
        <v>5124</v>
      </c>
      <c r="J1133" s="83" t="e">
        <f>VLOOKUP($C1133,CHOOSE({1,2},'[4]Prestações de Conta inadimplent'!$D$9:$D$2000,'[4]Prestações de Conta inadimplent'!$C$9:$C$2000),2,0)</f>
        <v>#N/A</v>
      </c>
      <c r="L1133" s="85"/>
      <c r="M1133" s="85"/>
      <c r="T1133" s="86"/>
      <c r="U1133" s="85"/>
      <c r="V1133" s="87"/>
      <c r="W1133" s="85"/>
      <c r="X1133" s="88"/>
      <c r="Y1133" s="89"/>
      <c r="Z1133" s="88"/>
      <c r="AA1133" s="88"/>
      <c r="AB1133" s="88"/>
      <c r="AF1133" s="90"/>
      <c r="AM1133" s="92"/>
      <c r="AN1133" s="92"/>
      <c r="AO1133" s="92"/>
      <c r="AP1133" s="92"/>
      <c r="AQ1133" s="92"/>
      <c r="AR1133" s="92"/>
    </row>
    <row r="1134" spans="1:44" s="84" customFormat="1" ht="24" customHeight="1" x14ac:dyDescent="0.25">
      <c r="A1134" s="125">
        <v>15</v>
      </c>
      <c r="B1134" s="126" t="s">
        <v>2368</v>
      </c>
      <c r="C1134" s="127">
        <v>1135807</v>
      </c>
      <c r="D1134" s="127">
        <v>9999999</v>
      </c>
      <c r="E1134" s="127">
        <v>29137144</v>
      </c>
      <c r="F1134" s="139" t="s">
        <v>5230</v>
      </c>
      <c r="G1134" s="129" t="s">
        <v>5132</v>
      </c>
      <c r="H1134" s="129" t="s">
        <v>5132</v>
      </c>
      <c r="I1134" s="129" t="s">
        <v>5132</v>
      </c>
      <c r="J1134" s="83" t="e">
        <f>VLOOKUP($C1134,CHOOSE({1,2},'[4]Prestações de Conta inadimplent'!$D$9:$D$2000,'[4]Prestações de Conta inadimplent'!$C$9:$C$2000),2,0)</f>
        <v>#N/A</v>
      </c>
      <c r="L1134" s="85"/>
      <c r="M1134" s="85"/>
      <c r="T1134" s="86"/>
      <c r="U1134" s="85"/>
      <c r="V1134" s="87"/>
      <c r="W1134" s="85"/>
      <c r="X1134" s="88"/>
      <c r="Y1134" s="89"/>
      <c r="Z1134" s="88"/>
      <c r="AA1134" s="88"/>
      <c r="AB1134" s="88"/>
      <c r="AF1134" s="90"/>
      <c r="AM1134" s="92"/>
      <c r="AN1134" s="92"/>
      <c r="AO1134" s="92"/>
      <c r="AP1134" s="92"/>
      <c r="AQ1134" s="92"/>
      <c r="AR1134" s="92"/>
    </row>
    <row r="1135" spans="1:44" s="84" customFormat="1" ht="24" customHeight="1" x14ac:dyDescent="0.25">
      <c r="A1135" s="125">
        <v>25</v>
      </c>
      <c r="B1135" s="126" t="s">
        <v>293</v>
      </c>
      <c r="C1135" s="127">
        <v>1178039</v>
      </c>
      <c r="D1135" s="127">
        <v>1105035</v>
      </c>
      <c r="E1135" s="127">
        <v>29426618</v>
      </c>
      <c r="F1135" s="133" t="s">
        <v>5231</v>
      </c>
      <c r="G1135" s="129" t="s">
        <v>5124</v>
      </c>
      <c r="H1135" s="129" t="s">
        <v>5124</v>
      </c>
      <c r="I1135" s="129" t="s">
        <v>5124</v>
      </c>
      <c r="J1135" s="83" t="str">
        <f>VLOOKUP($C1135,CHOOSE({1,2},'[4]Prestações de Conta inadimplent'!$D$9:$D$2000,'[4]Prestações de Conta inadimplent'!$C$9:$C$2000),2,0)</f>
        <v>Col Est Do Campo Carlos Humberto De Miranda Pereira Mello</v>
      </c>
      <c r="L1135" s="85"/>
      <c r="M1135" s="85"/>
      <c r="T1135" s="86"/>
      <c r="U1135" s="85"/>
      <c r="V1135" s="87"/>
      <c r="W1135" s="85"/>
      <c r="X1135" s="88"/>
      <c r="Y1135" s="89"/>
      <c r="Z1135" s="88"/>
      <c r="AA1135" s="88"/>
      <c r="AB1135" s="88"/>
      <c r="AF1135" s="90"/>
      <c r="AM1135" s="92"/>
      <c r="AN1135" s="92"/>
      <c r="AO1135" s="92"/>
      <c r="AP1135" s="92"/>
      <c r="AQ1135" s="92"/>
      <c r="AR1135" s="92"/>
    </row>
    <row r="1136" spans="1:44" ht="24" customHeight="1" x14ac:dyDescent="0.25">
      <c r="A1136" s="140" t="s">
        <v>3764</v>
      </c>
      <c r="B1136" s="141" t="s">
        <v>169</v>
      </c>
      <c r="C1136" s="142">
        <v>1176317</v>
      </c>
      <c r="D1136" s="142">
        <v>1102395</v>
      </c>
      <c r="E1136" s="142">
        <v>29361877</v>
      </c>
      <c r="F1136" s="143" t="s">
        <v>5232</v>
      </c>
      <c r="G1136" s="129" t="s">
        <v>5124</v>
      </c>
      <c r="H1136" s="129" t="s">
        <v>5124</v>
      </c>
      <c r="I1136" s="129" t="s">
        <v>5124</v>
      </c>
      <c r="J1136" s="83" t="e">
        <f>VLOOKUP($C1136,CHOOSE({1,2},'[4]Prestações de Conta inadimplent'!$D$9:$D$2000,'[4]Prestações de Conta inadimplent'!$C$9:$C$2000),2,0)</f>
        <v>#N/A</v>
      </c>
      <c r="K1136" s="50"/>
      <c r="L1136" s="85"/>
      <c r="M1136" s="85"/>
      <c r="N1136" s="84"/>
      <c r="O1136" s="84"/>
      <c r="Q1136" s="84"/>
      <c r="S1136" s="84"/>
      <c r="T1136" s="86"/>
      <c r="U1136" s="85"/>
      <c r="V1136" s="87"/>
      <c r="W1136" s="85"/>
      <c r="X1136" s="88"/>
      <c r="Y1136" s="89"/>
      <c r="Z1136" s="88"/>
      <c r="AA1136" s="88"/>
      <c r="AB1136" s="88"/>
      <c r="AC1136" s="84"/>
      <c r="AD1136" s="84"/>
      <c r="AE1136" s="84"/>
      <c r="AH1136" s="84"/>
      <c r="AI1136" s="84"/>
      <c r="AJ1136" s="84"/>
      <c r="AL1136" s="84"/>
      <c r="AM1136" s="92"/>
      <c r="AN1136" s="92"/>
      <c r="AO1136" s="92"/>
      <c r="AP1136" s="92"/>
      <c r="AQ1136" s="92"/>
      <c r="AR1136" s="92"/>
    </row>
    <row r="1137" spans="1:44" ht="24" customHeight="1" x14ac:dyDescent="0.25">
      <c r="A1137" s="140" t="s">
        <v>4709</v>
      </c>
      <c r="B1137" s="141" t="s">
        <v>1092</v>
      </c>
      <c r="C1137" s="142">
        <v>1101848</v>
      </c>
      <c r="D1137" s="142">
        <v>1100306</v>
      </c>
      <c r="E1137" s="142">
        <v>29191513</v>
      </c>
      <c r="F1137" s="143" t="s">
        <v>5233</v>
      </c>
      <c r="G1137" s="129" t="s">
        <v>5234</v>
      </c>
      <c r="H1137" s="129" t="s">
        <v>5234</v>
      </c>
      <c r="I1137" s="129" t="s">
        <v>5234</v>
      </c>
      <c r="J1137" s="83" t="e">
        <f>VLOOKUP($C1137,CHOOSE({1,2},'[4]Prestações de Conta inadimplent'!$D$9:$D$2000,'[4]Prestações de Conta inadimplent'!$C$9:$C$2000),2,0)</f>
        <v>#N/A</v>
      </c>
      <c r="K1137" s="50"/>
      <c r="L1137" s="85"/>
      <c r="M1137" s="85"/>
      <c r="N1137" s="84"/>
      <c r="O1137" s="84"/>
      <c r="Q1137" s="84"/>
      <c r="S1137" s="84"/>
      <c r="T1137" s="86"/>
      <c r="U1137" s="85"/>
      <c r="V1137" s="87"/>
      <c r="W1137" s="85"/>
      <c r="X1137" s="88"/>
      <c r="Y1137" s="89"/>
      <c r="Z1137" s="88"/>
      <c r="AA1137" s="88"/>
      <c r="AB1137" s="88"/>
      <c r="AC1137" s="84"/>
      <c r="AD1137" s="84"/>
      <c r="AE1137" s="84"/>
      <c r="AH1137" s="84"/>
      <c r="AI1137" s="84"/>
      <c r="AJ1137" s="84"/>
      <c r="AL1137" s="84"/>
      <c r="AM1137" s="92"/>
      <c r="AN1137" s="92"/>
      <c r="AO1137" s="92"/>
      <c r="AP1137" s="92"/>
      <c r="AQ1137" s="92"/>
      <c r="AR1137" s="92"/>
    </row>
    <row r="1138" spans="1:44" ht="24" customHeight="1" x14ac:dyDescent="0.25">
      <c r="A1138" s="144">
        <v>27</v>
      </c>
      <c r="B1138" s="145" t="s">
        <v>2106</v>
      </c>
      <c r="C1138" s="146">
        <v>1146175</v>
      </c>
      <c r="D1138" s="146">
        <v>9999999</v>
      </c>
      <c r="E1138" s="146">
        <v>29318246</v>
      </c>
      <c r="F1138" s="147" t="s">
        <v>5235</v>
      </c>
      <c r="G1138" s="148" t="s">
        <v>5124</v>
      </c>
      <c r="H1138" s="148" t="s">
        <v>5124</v>
      </c>
      <c r="I1138" s="129" t="s">
        <v>5124</v>
      </c>
      <c r="J1138" s="83" t="e">
        <f>VLOOKUP($C1138,CHOOSE({1,2},'[4]Prestações de Conta inadimplent'!$D$9:$D$2000,'[4]Prestações de Conta inadimplent'!$C$9:$C$2000),2,0)</f>
        <v>#N/A</v>
      </c>
      <c r="K1138" s="50"/>
      <c r="L1138" s="85"/>
      <c r="M1138" s="85"/>
      <c r="N1138" s="84"/>
      <c r="O1138" s="84"/>
      <c r="Q1138" s="84"/>
      <c r="S1138" s="84"/>
      <c r="T1138" s="86"/>
      <c r="U1138" s="85"/>
      <c r="V1138" s="87"/>
      <c r="W1138" s="85"/>
      <c r="X1138" s="88"/>
      <c r="Y1138" s="89"/>
      <c r="Z1138" s="88"/>
      <c r="AA1138" s="88"/>
      <c r="AB1138" s="88"/>
      <c r="AC1138" s="84"/>
      <c r="AD1138" s="84"/>
      <c r="AE1138" s="84"/>
      <c r="AH1138" s="84"/>
      <c r="AI1138" s="84"/>
      <c r="AJ1138" s="84"/>
      <c r="AL1138" s="84"/>
      <c r="AM1138" s="92"/>
      <c r="AN1138" s="92"/>
      <c r="AO1138" s="92"/>
      <c r="AP1138" s="92"/>
      <c r="AQ1138" s="92"/>
      <c r="AR1138" s="92"/>
    </row>
    <row r="1139" spans="1:44" ht="24" customHeight="1" x14ac:dyDescent="0.25">
      <c r="A1139" s="144">
        <v>3</v>
      </c>
      <c r="B1139" s="145" t="s">
        <v>2333</v>
      </c>
      <c r="C1139" s="146">
        <v>1123981</v>
      </c>
      <c r="D1139" s="146">
        <v>9999999</v>
      </c>
      <c r="E1139" s="146">
        <v>29256348</v>
      </c>
      <c r="F1139" s="147" t="s">
        <v>5236</v>
      </c>
      <c r="G1139" s="148" t="s">
        <v>5124</v>
      </c>
      <c r="H1139" s="148" t="s">
        <v>5124</v>
      </c>
      <c r="I1139" s="129" t="s">
        <v>5124</v>
      </c>
      <c r="J1139" s="83" t="e">
        <f>VLOOKUP($C1139,CHOOSE({1,2},'[4]Prestações de Conta inadimplent'!$D$9:$D$2000,'[4]Prestações de Conta inadimplent'!$C$9:$C$2000),2,0)</f>
        <v>#N/A</v>
      </c>
      <c r="K1139" s="50"/>
      <c r="L1139" s="85"/>
      <c r="M1139" s="85"/>
      <c r="N1139" s="84"/>
      <c r="O1139" s="84"/>
      <c r="Q1139" s="84"/>
      <c r="S1139" s="84"/>
      <c r="T1139" s="86"/>
      <c r="U1139" s="85"/>
      <c r="V1139" s="87"/>
      <c r="W1139" s="85"/>
      <c r="X1139" s="88"/>
      <c r="Y1139" s="89"/>
      <c r="Z1139" s="88"/>
      <c r="AA1139" s="88"/>
      <c r="AB1139" s="88"/>
      <c r="AC1139" s="84"/>
      <c r="AD1139" s="84"/>
      <c r="AE1139" s="84"/>
      <c r="AH1139" s="84"/>
      <c r="AI1139" s="84"/>
      <c r="AJ1139" s="84"/>
      <c r="AL1139" s="84"/>
      <c r="AM1139" s="92"/>
      <c r="AN1139" s="92"/>
      <c r="AO1139" s="92"/>
      <c r="AP1139" s="92"/>
      <c r="AQ1139" s="92"/>
      <c r="AR1139" s="92"/>
    </row>
    <row r="1140" spans="1:44" ht="24" customHeight="1" x14ac:dyDescent="0.25">
      <c r="A1140" s="140" t="s">
        <v>3169</v>
      </c>
      <c r="B1140" s="141" t="s">
        <v>2525</v>
      </c>
      <c r="C1140" s="142">
        <v>1131356</v>
      </c>
      <c r="D1140" s="142">
        <v>1103095</v>
      </c>
      <c r="E1140" s="142">
        <v>29045479</v>
      </c>
      <c r="F1140" s="143" t="s">
        <v>5237</v>
      </c>
      <c r="G1140" s="148" t="s">
        <v>5124</v>
      </c>
      <c r="H1140" s="148" t="s">
        <v>5124</v>
      </c>
      <c r="I1140" s="129" t="s">
        <v>5124</v>
      </c>
      <c r="J1140" s="83" t="str">
        <f>VLOOKUP($C1140,CHOOSE({1,2},'[4]Prestações de Conta inadimplent'!$D$9:$D$2000,'[4]Prestações de Conta inadimplent'!$C$9:$C$2000),2,0)</f>
        <v>Colegio Estadual Professora Irenil Costa Brandao</v>
      </c>
      <c r="K1140" s="50"/>
      <c r="L1140" s="85"/>
      <c r="M1140" s="85"/>
      <c r="N1140" s="84"/>
      <c r="O1140" s="84"/>
      <c r="Q1140" s="84"/>
      <c r="S1140" s="84"/>
      <c r="T1140" s="86"/>
      <c r="U1140" s="85"/>
      <c r="V1140" s="87"/>
      <c r="W1140" s="85"/>
      <c r="X1140" s="88"/>
      <c r="Y1140" s="89"/>
      <c r="Z1140" s="88"/>
      <c r="AA1140" s="88"/>
      <c r="AB1140" s="88"/>
      <c r="AC1140" s="84"/>
      <c r="AD1140" s="84"/>
      <c r="AE1140" s="84"/>
      <c r="AH1140" s="84"/>
      <c r="AI1140" s="84"/>
      <c r="AJ1140" s="84"/>
      <c r="AL1140" s="84"/>
      <c r="AM1140" s="92"/>
      <c r="AN1140" s="92"/>
      <c r="AO1140" s="92"/>
      <c r="AP1140" s="92"/>
      <c r="AQ1140" s="92"/>
      <c r="AR1140" s="92"/>
    </row>
    <row r="1141" spans="1:44" ht="24" customHeight="1" x14ac:dyDescent="0.25">
      <c r="A1141" s="140" t="s">
        <v>3706</v>
      </c>
      <c r="B1141" s="141" t="s">
        <v>1609</v>
      </c>
      <c r="C1141" s="142">
        <v>1176945</v>
      </c>
      <c r="D1141" s="142">
        <v>1102275</v>
      </c>
      <c r="E1141" s="142">
        <v>29426480</v>
      </c>
      <c r="F1141" s="143" t="s">
        <v>5238</v>
      </c>
      <c r="G1141" s="148" t="s">
        <v>5124</v>
      </c>
      <c r="H1141" s="148" t="s">
        <v>5124</v>
      </c>
      <c r="I1141" s="129" t="s">
        <v>5124</v>
      </c>
      <c r="J1141" s="83" t="str">
        <f>VLOOKUP($C1141,CHOOSE({1,2},'[4]Prestações de Conta inadimplent'!$D$9:$D$2000,'[4]Prestações de Conta inadimplent'!$C$9:$C$2000),2,0)</f>
        <v>Escola Estadual Rural Taylor Egidio</v>
      </c>
      <c r="K1141" s="50"/>
      <c r="L1141" s="85"/>
      <c r="M1141" s="85"/>
      <c r="N1141" s="84"/>
      <c r="O1141" s="84"/>
      <c r="Q1141" s="84"/>
      <c r="S1141" s="84"/>
      <c r="T1141" s="86"/>
      <c r="U1141" s="85"/>
      <c r="V1141" s="87"/>
      <c r="W1141" s="85"/>
      <c r="X1141" s="88"/>
      <c r="Y1141" s="89"/>
      <c r="Z1141" s="88"/>
      <c r="AA1141" s="88"/>
      <c r="AB1141" s="88"/>
      <c r="AC1141" s="84"/>
      <c r="AD1141" s="84"/>
      <c r="AE1141" s="84"/>
      <c r="AH1141" s="84"/>
      <c r="AI1141" s="84"/>
      <c r="AJ1141" s="84"/>
      <c r="AL1141" s="84"/>
      <c r="AM1141" s="92"/>
      <c r="AN1141" s="92"/>
      <c r="AO1141" s="92"/>
      <c r="AP1141" s="92"/>
      <c r="AQ1141" s="92"/>
      <c r="AR1141" s="92"/>
    </row>
    <row r="1142" spans="1:44" ht="24" customHeight="1" x14ac:dyDescent="0.25">
      <c r="A1142" s="140" t="s">
        <v>3764</v>
      </c>
      <c r="B1142" s="141" t="s">
        <v>176</v>
      </c>
      <c r="C1142" s="142" t="s">
        <v>5239</v>
      </c>
      <c r="D1142" s="142">
        <v>1105496</v>
      </c>
      <c r="E1142" s="142">
        <v>29467004</v>
      </c>
      <c r="F1142" s="143" t="s">
        <v>5240</v>
      </c>
      <c r="G1142" s="148" t="s">
        <v>5124</v>
      </c>
      <c r="H1142" s="148" t="s">
        <v>5124</v>
      </c>
      <c r="I1142" s="129" t="s">
        <v>5124</v>
      </c>
      <c r="J1142" s="83" t="e">
        <f>VLOOKUP($C1142,CHOOSE({1,2},'[4]Prestações de Conta inadimplent'!$D$9:$D$2000,'[4]Prestações de Conta inadimplent'!$C$9:$C$2000),2,0)</f>
        <v>#N/A</v>
      </c>
      <c r="K1142" s="50"/>
      <c r="L1142" s="85"/>
      <c r="M1142" s="85"/>
      <c r="N1142" s="84"/>
      <c r="O1142" s="84"/>
      <c r="Q1142" s="84"/>
      <c r="S1142" s="84"/>
      <c r="T1142" s="86"/>
      <c r="U1142" s="85"/>
      <c r="V1142" s="87"/>
      <c r="W1142" s="85"/>
      <c r="X1142" s="88"/>
      <c r="Y1142" s="89"/>
      <c r="Z1142" s="88"/>
      <c r="AA1142" s="88"/>
      <c r="AB1142" s="88"/>
      <c r="AC1142" s="84"/>
      <c r="AD1142" s="84"/>
      <c r="AE1142" s="84"/>
      <c r="AH1142" s="84"/>
      <c r="AI1142" s="84"/>
      <c r="AJ1142" s="84"/>
      <c r="AL1142" s="84"/>
      <c r="AM1142" s="92"/>
      <c r="AN1142" s="92"/>
      <c r="AO1142" s="92"/>
      <c r="AP1142" s="92"/>
      <c r="AQ1142" s="92"/>
      <c r="AR1142" s="92"/>
    </row>
    <row r="1143" spans="1:44" ht="24" customHeight="1" x14ac:dyDescent="0.25">
      <c r="A1143" s="140" t="s">
        <v>3846</v>
      </c>
      <c r="B1143" s="141" t="s">
        <v>2986</v>
      </c>
      <c r="C1143" s="142">
        <v>1178287</v>
      </c>
      <c r="D1143" s="142">
        <v>1105534</v>
      </c>
      <c r="E1143" s="142">
        <v>29526604</v>
      </c>
      <c r="F1143" s="143" t="s">
        <v>5241</v>
      </c>
      <c r="G1143" s="148" t="s">
        <v>5124</v>
      </c>
      <c r="H1143" s="148" t="s">
        <v>5124</v>
      </c>
      <c r="I1143" s="129" t="s">
        <v>5124</v>
      </c>
      <c r="J1143" s="83" t="str">
        <f>VLOOKUP($C1143,CHOOSE({1,2},'[4]Prestações de Conta inadimplent'!$D$9:$D$2000,'[4]Prestações de Conta inadimplent'!$C$9:$C$2000),2,0)</f>
        <v>Colegio Estadual Nossa Senhora Aparecida</v>
      </c>
      <c r="K1143" s="50"/>
      <c r="L1143" s="85"/>
      <c r="M1143" s="85"/>
      <c r="N1143" s="84"/>
      <c r="O1143" s="84"/>
      <c r="Q1143" s="84"/>
      <c r="S1143" s="84"/>
      <c r="T1143" s="86"/>
      <c r="U1143" s="85"/>
      <c r="V1143" s="87"/>
      <c r="W1143" s="85"/>
      <c r="X1143" s="88"/>
      <c r="Y1143" s="89"/>
      <c r="Z1143" s="88"/>
      <c r="AA1143" s="88"/>
      <c r="AB1143" s="88"/>
      <c r="AC1143" s="84"/>
      <c r="AD1143" s="84"/>
      <c r="AE1143" s="84"/>
      <c r="AH1143" s="84"/>
      <c r="AI1143" s="84"/>
      <c r="AJ1143" s="84"/>
      <c r="AL1143" s="84"/>
      <c r="AM1143" s="92"/>
      <c r="AN1143" s="92"/>
      <c r="AO1143" s="92"/>
      <c r="AP1143" s="92"/>
      <c r="AQ1143" s="92"/>
      <c r="AR1143" s="92"/>
    </row>
    <row r="1144" spans="1:44" ht="24" customHeight="1" x14ac:dyDescent="0.25">
      <c r="A1144" s="140" t="s">
        <v>3846</v>
      </c>
      <c r="B1144" s="141" t="s">
        <v>2986</v>
      </c>
      <c r="C1144" s="142">
        <v>1130406</v>
      </c>
      <c r="D1144" s="142">
        <v>1103292</v>
      </c>
      <c r="E1144" s="142">
        <v>29337941</v>
      </c>
      <c r="F1144" s="143" t="s">
        <v>5242</v>
      </c>
      <c r="G1144" s="148" t="s">
        <v>5124</v>
      </c>
      <c r="H1144" s="148" t="s">
        <v>5124</v>
      </c>
      <c r="I1144" s="129" t="s">
        <v>5124</v>
      </c>
      <c r="J1144" s="83" t="str">
        <f>VLOOKUP($C1144,CHOOSE({1,2},'[4]Prestações de Conta inadimplent'!$D$9:$D$2000,'[4]Prestações de Conta inadimplent'!$C$9:$C$2000),2,0)</f>
        <v>Colegio Estadual Isabel Araujo Da Silva</v>
      </c>
      <c r="K1144" s="50"/>
      <c r="L1144" s="85"/>
      <c r="M1144" s="85"/>
      <c r="N1144" s="84"/>
      <c r="O1144" s="84"/>
      <c r="Q1144" s="84"/>
      <c r="S1144" s="84"/>
      <c r="T1144" s="86"/>
      <c r="U1144" s="85"/>
      <c r="V1144" s="87"/>
      <c r="W1144" s="85"/>
      <c r="X1144" s="88"/>
      <c r="Y1144" s="89"/>
      <c r="Z1144" s="88"/>
      <c r="AA1144" s="88"/>
      <c r="AB1144" s="88"/>
      <c r="AC1144" s="84"/>
      <c r="AD1144" s="84"/>
      <c r="AE1144" s="84"/>
      <c r="AH1144" s="84"/>
      <c r="AI1144" s="84"/>
      <c r="AJ1144" s="84"/>
      <c r="AL1144" s="84"/>
      <c r="AM1144" s="92"/>
      <c r="AN1144" s="92"/>
      <c r="AO1144" s="92"/>
      <c r="AP1144" s="92"/>
      <c r="AQ1144" s="92"/>
      <c r="AR1144" s="92"/>
    </row>
    <row r="1145" spans="1:44" ht="24" customHeight="1" x14ac:dyDescent="0.25">
      <c r="A1145" s="140" t="s">
        <v>4121</v>
      </c>
      <c r="B1145" s="141" t="s">
        <v>3059</v>
      </c>
      <c r="C1145" s="142">
        <v>1178167</v>
      </c>
      <c r="D1145" s="142">
        <v>1105471</v>
      </c>
      <c r="E1145" s="142">
        <v>29445949</v>
      </c>
      <c r="F1145" s="143" t="s">
        <v>5243</v>
      </c>
      <c r="G1145" s="148" t="s">
        <v>5124</v>
      </c>
      <c r="H1145" s="148" t="s">
        <v>5124</v>
      </c>
      <c r="I1145" s="129" t="s">
        <v>5124</v>
      </c>
      <c r="J1145" s="83" t="str">
        <f>VLOOKUP($C1145,CHOOSE({1,2},'[4]Prestações de Conta inadimplent'!$D$9:$D$2000,'[4]Prestações de Conta inadimplent'!$C$9:$C$2000),2,0)</f>
        <v>Colegio Estadual Professora Maria Macedo Vieira De Brito</v>
      </c>
      <c r="K1145" s="50"/>
      <c r="L1145" s="85"/>
      <c r="M1145" s="85"/>
      <c r="N1145" s="84"/>
      <c r="O1145" s="84"/>
      <c r="Q1145" s="84"/>
      <c r="S1145" s="84"/>
      <c r="T1145" s="86"/>
      <c r="U1145" s="85"/>
      <c r="V1145" s="87"/>
      <c r="W1145" s="85"/>
      <c r="X1145" s="88"/>
      <c r="Y1145" s="89"/>
      <c r="Z1145" s="88"/>
      <c r="AA1145" s="88"/>
      <c r="AB1145" s="88"/>
      <c r="AC1145" s="84"/>
      <c r="AD1145" s="84"/>
      <c r="AE1145" s="84"/>
      <c r="AH1145" s="84"/>
      <c r="AI1145" s="84"/>
      <c r="AJ1145" s="84"/>
      <c r="AL1145" s="84"/>
      <c r="AM1145" s="92"/>
      <c r="AN1145" s="92"/>
      <c r="AO1145" s="92"/>
      <c r="AP1145" s="92"/>
      <c r="AQ1145" s="92"/>
      <c r="AR1145" s="92"/>
    </row>
    <row r="1146" spans="1:44" ht="24" customHeight="1" x14ac:dyDescent="0.25">
      <c r="A1146" s="140" t="s">
        <v>4121</v>
      </c>
      <c r="B1146" s="141" t="s">
        <v>725</v>
      </c>
      <c r="C1146" s="142">
        <v>1177068</v>
      </c>
      <c r="D1146" s="142">
        <v>1102002</v>
      </c>
      <c r="E1146" s="142">
        <v>29412021</v>
      </c>
      <c r="F1146" s="143" t="s">
        <v>5244</v>
      </c>
      <c r="G1146" s="148" t="s">
        <v>5124</v>
      </c>
      <c r="H1146" s="148" t="s">
        <v>5124</v>
      </c>
      <c r="I1146" s="129" t="s">
        <v>5124</v>
      </c>
      <c r="J1146" s="83" t="str">
        <f>VLOOKUP($C1146,CHOOSE({1,2},'[4]Prestações de Conta inadimplent'!$D$9:$D$2000,'[4]Prestações de Conta inadimplent'!$C$9:$C$2000),2,0)</f>
        <v>Colegio Estadual Antonieta Xavier Siqueira Santos</v>
      </c>
      <c r="K1146" s="50"/>
      <c r="L1146" s="85"/>
      <c r="M1146" s="85"/>
      <c r="N1146" s="84"/>
      <c r="O1146" s="84"/>
      <c r="Q1146" s="84"/>
      <c r="S1146" s="84"/>
      <c r="T1146" s="86"/>
      <c r="U1146" s="85"/>
      <c r="V1146" s="87"/>
      <c r="W1146" s="85"/>
      <c r="X1146" s="88"/>
      <c r="Y1146" s="89"/>
      <c r="Z1146" s="88"/>
      <c r="AA1146" s="88"/>
      <c r="AB1146" s="88"/>
      <c r="AC1146" s="84"/>
      <c r="AD1146" s="84"/>
      <c r="AE1146" s="84"/>
      <c r="AH1146" s="84"/>
      <c r="AI1146" s="84"/>
      <c r="AJ1146" s="84"/>
      <c r="AL1146" s="84"/>
      <c r="AM1146" s="92"/>
      <c r="AN1146" s="92"/>
      <c r="AO1146" s="92"/>
      <c r="AP1146" s="92"/>
      <c r="AQ1146" s="92"/>
      <c r="AR1146" s="92"/>
    </row>
    <row r="1147" spans="1:44" ht="24" customHeight="1" x14ac:dyDescent="0.25">
      <c r="A1147" s="140" t="s">
        <v>4121</v>
      </c>
      <c r="B1147" s="141" t="s">
        <v>765</v>
      </c>
      <c r="C1147" s="142">
        <v>1176860</v>
      </c>
      <c r="D1147" s="142">
        <v>1101892</v>
      </c>
      <c r="E1147" s="142">
        <v>29412676</v>
      </c>
      <c r="F1147" s="143" t="s">
        <v>5245</v>
      </c>
      <c r="G1147" s="148" t="s">
        <v>5124</v>
      </c>
      <c r="H1147" s="148" t="s">
        <v>5124</v>
      </c>
      <c r="I1147" s="129" t="s">
        <v>5124</v>
      </c>
      <c r="J1147" s="83" t="str">
        <f>VLOOKUP($C1147,CHOOSE({1,2},'[4]Prestações de Conta inadimplent'!$D$9:$D$2000,'[4]Prestações de Conta inadimplent'!$C$9:$C$2000),2,0)</f>
        <v>Colegio Estadual Paulo Freire</v>
      </c>
      <c r="K1147" s="50"/>
      <c r="L1147" s="85"/>
      <c r="M1147" s="85"/>
      <c r="N1147" s="84"/>
      <c r="O1147" s="84"/>
      <c r="Q1147" s="84"/>
      <c r="S1147" s="84"/>
      <c r="T1147" s="86"/>
      <c r="U1147" s="85"/>
      <c r="V1147" s="87"/>
      <c r="W1147" s="85"/>
      <c r="X1147" s="88"/>
      <c r="Y1147" s="89"/>
      <c r="Z1147" s="88"/>
      <c r="AA1147" s="88"/>
      <c r="AB1147" s="88"/>
      <c r="AC1147" s="84"/>
      <c r="AD1147" s="84"/>
      <c r="AE1147" s="84"/>
      <c r="AH1147" s="84"/>
      <c r="AI1147" s="84"/>
      <c r="AJ1147" s="84"/>
      <c r="AL1147" s="84"/>
      <c r="AM1147" s="92"/>
      <c r="AN1147" s="92"/>
      <c r="AO1147" s="92"/>
      <c r="AP1147" s="92"/>
      <c r="AQ1147" s="92"/>
      <c r="AR1147" s="92"/>
    </row>
    <row r="1148" spans="1:44" ht="24" customHeight="1" x14ac:dyDescent="0.25">
      <c r="A1148" s="140" t="s">
        <v>4121</v>
      </c>
      <c r="B1148" s="141" t="s">
        <v>2432</v>
      </c>
      <c r="C1148" s="142">
        <v>1115245</v>
      </c>
      <c r="D1148" s="142">
        <v>1101902</v>
      </c>
      <c r="E1148" s="142">
        <v>29130603</v>
      </c>
      <c r="F1148" s="143" t="s">
        <v>5246</v>
      </c>
      <c r="G1148" s="148" t="s">
        <v>5124</v>
      </c>
      <c r="H1148" s="148" t="s">
        <v>5124</v>
      </c>
      <c r="I1148" s="129" t="s">
        <v>5124</v>
      </c>
      <c r="J1148" s="83" t="str">
        <f>VLOOKUP($C1148,CHOOSE({1,2},'[4]Prestações de Conta inadimplent'!$D$9:$D$2000,'[4]Prestações de Conta inadimplent'!$C$9:$C$2000),2,0)</f>
        <v>Colegio Estadual Dom Pedro I</v>
      </c>
      <c r="K1148" s="50"/>
      <c r="L1148" s="85"/>
      <c r="M1148" s="85"/>
      <c r="N1148" s="84"/>
      <c r="O1148" s="84"/>
      <c r="Q1148" s="84"/>
      <c r="S1148" s="84"/>
      <c r="T1148" s="86"/>
      <c r="U1148" s="85"/>
      <c r="V1148" s="87"/>
      <c r="W1148" s="85"/>
      <c r="X1148" s="88"/>
      <c r="Y1148" s="89"/>
      <c r="Z1148" s="88"/>
      <c r="AA1148" s="88"/>
      <c r="AB1148" s="88"/>
      <c r="AC1148" s="84"/>
      <c r="AD1148" s="84"/>
      <c r="AE1148" s="84"/>
      <c r="AH1148" s="84"/>
      <c r="AI1148" s="84"/>
      <c r="AJ1148" s="84"/>
      <c r="AL1148" s="84"/>
      <c r="AM1148" s="92"/>
      <c r="AN1148" s="92"/>
      <c r="AO1148" s="92"/>
      <c r="AP1148" s="92"/>
      <c r="AQ1148" s="92"/>
      <c r="AR1148" s="92"/>
    </row>
    <row r="1149" spans="1:44" ht="24" customHeight="1" x14ac:dyDescent="0.25">
      <c r="A1149" s="140" t="s">
        <v>4181</v>
      </c>
      <c r="B1149" s="141" t="s">
        <v>49</v>
      </c>
      <c r="C1149" s="142">
        <v>1108508</v>
      </c>
      <c r="D1149" s="142">
        <v>1101203</v>
      </c>
      <c r="E1149" s="142">
        <v>29156688</v>
      </c>
      <c r="F1149" s="143" t="s">
        <v>5247</v>
      </c>
      <c r="G1149" s="148" t="s">
        <v>5124</v>
      </c>
      <c r="H1149" s="148" t="s">
        <v>5124</v>
      </c>
      <c r="I1149" s="129" t="s">
        <v>5124</v>
      </c>
      <c r="J1149" s="83" t="str">
        <f>VLOOKUP($C1149,CHOOSE({1,2},'[4]Prestações de Conta inadimplent'!$D$9:$D$2000,'[4]Prestações de Conta inadimplent'!$C$9:$C$2000),2,0)</f>
        <v>Colegio Estadual Eraldo Tinoco</v>
      </c>
      <c r="K1149" s="50"/>
      <c r="L1149" s="85"/>
      <c r="M1149" s="85"/>
      <c r="N1149" s="84"/>
      <c r="O1149" s="84"/>
      <c r="Q1149" s="84"/>
      <c r="S1149" s="84"/>
      <c r="T1149" s="86"/>
      <c r="U1149" s="85"/>
      <c r="V1149" s="87"/>
      <c r="W1149" s="85"/>
      <c r="X1149" s="88"/>
      <c r="Y1149" s="89"/>
      <c r="Z1149" s="88"/>
      <c r="AA1149" s="88"/>
      <c r="AB1149" s="88"/>
      <c r="AC1149" s="84"/>
      <c r="AD1149" s="84"/>
      <c r="AE1149" s="84"/>
      <c r="AH1149" s="84"/>
      <c r="AI1149" s="84"/>
      <c r="AJ1149" s="84"/>
      <c r="AL1149" s="84"/>
      <c r="AM1149" s="92"/>
      <c r="AN1149" s="92"/>
      <c r="AO1149" s="92"/>
      <c r="AP1149" s="92"/>
      <c r="AQ1149" s="92"/>
      <c r="AR1149" s="92"/>
    </row>
    <row r="1150" spans="1:44" ht="24" customHeight="1" x14ac:dyDescent="0.25">
      <c r="A1150" s="140" t="s">
        <v>4268</v>
      </c>
      <c r="B1150" s="141" t="s">
        <v>523</v>
      </c>
      <c r="C1150" s="142">
        <v>1169302</v>
      </c>
      <c r="D1150" s="142">
        <v>1100834</v>
      </c>
      <c r="E1150" s="142">
        <v>29091870</v>
      </c>
      <c r="F1150" s="143" t="s">
        <v>5248</v>
      </c>
      <c r="G1150" s="148" t="s">
        <v>5124</v>
      </c>
      <c r="H1150" s="148" t="s">
        <v>5124</v>
      </c>
      <c r="I1150" s="129" t="s">
        <v>5124</v>
      </c>
      <c r="J1150" s="83" t="str">
        <f>VLOOKUP($C1150,CHOOSE({1,2},'[4]Prestações de Conta inadimplent'!$D$9:$D$2000,'[4]Prestações de Conta inadimplent'!$C$9:$C$2000),2,0)</f>
        <v>Colegio Estadual Domingos Barros De Azevedo</v>
      </c>
      <c r="K1150" s="50"/>
      <c r="L1150" s="85"/>
      <c r="M1150" s="85"/>
      <c r="N1150" s="84"/>
      <c r="O1150" s="84"/>
      <c r="Q1150" s="84"/>
      <c r="S1150" s="84"/>
      <c r="T1150" s="86"/>
      <c r="U1150" s="85"/>
      <c r="V1150" s="87"/>
      <c r="W1150" s="85"/>
      <c r="X1150" s="88"/>
      <c r="Y1150" s="89"/>
      <c r="Z1150" s="88"/>
      <c r="AA1150" s="88"/>
      <c r="AB1150" s="88"/>
      <c r="AC1150" s="84"/>
      <c r="AD1150" s="84"/>
      <c r="AE1150" s="84"/>
      <c r="AH1150" s="84"/>
      <c r="AI1150" s="84"/>
      <c r="AJ1150" s="84"/>
      <c r="AL1150" s="84"/>
      <c r="AM1150" s="92"/>
      <c r="AN1150" s="92"/>
      <c r="AO1150" s="92"/>
      <c r="AP1150" s="92"/>
      <c r="AQ1150" s="92"/>
      <c r="AR1150" s="92"/>
    </row>
    <row r="1151" spans="1:44" ht="24" customHeight="1" x14ac:dyDescent="0.25">
      <c r="A1151" s="140" t="s">
        <v>4268</v>
      </c>
      <c r="B1151" s="141" t="s">
        <v>539</v>
      </c>
      <c r="C1151" s="142">
        <v>1106165</v>
      </c>
      <c r="D1151" s="142">
        <v>1100659</v>
      </c>
      <c r="E1151" s="142">
        <v>29095158</v>
      </c>
      <c r="F1151" s="143" t="s">
        <v>5249</v>
      </c>
      <c r="G1151" s="148" t="s">
        <v>5124</v>
      </c>
      <c r="H1151" s="148" t="s">
        <v>5124</v>
      </c>
      <c r="I1151" s="129" t="s">
        <v>5124</v>
      </c>
      <c r="J1151" s="83" t="str">
        <f>VLOOKUP($C1151,CHOOSE({1,2},'[4]Prestações de Conta inadimplent'!$D$9:$D$2000,'[4]Prestações de Conta inadimplent'!$C$9:$C$2000),2,0)</f>
        <v>Colegio Estadual De Tempo Integral Professora Celia Santos Andrade</v>
      </c>
      <c r="K1151" s="50"/>
      <c r="L1151" s="85"/>
      <c r="M1151" s="85"/>
      <c r="N1151" s="84"/>
      <c r="O1151" s="84"/>
      <c r="Q1151" s="84"/>
      <c r="S1151" s="84"/>
      <c r="T1151" s="86"/>
      <c r="U1151" s="85"/>
      <c r="V1151" s="87"/>
      <c r="W1151" s="85"/>
      <c r="X1151" s="88"/>
      <c r="Y1151" s="89"/>
      <c r="Z1151" s="88"/>
      <c r="AA1151" s="88"/>
      <c r="AB1151" s="88"/>
      <c r="AC1151" s="84"/>
      <c r="AD1151" s="84"/>
      <c r="AE1151" s="84"/>
      <c r="AH1151" s="84"/>
      <c r="AI1151" s="84"/>
      <c r="AJ1151" s="84"/>
      <c r="AL1151" s="84"/>
      <c r="AM1151" s="92"/>
      <c r="AN1151" s="92"/>
      <c r="AO1151" s="92"/>
      <c r="AP1151" s="92"/>
      <c r="AQ1151" s="92"/>
      <c r="AR1151" s="92"/>
    </row>
    <row r="1152" spans="1:44" ht="24" customHeight="1" x14ac:dyDescent="0.25">
      <c r="A1152" s="140" t="s">
        <v>4709</v>
      </c>
      <c r="B1152" s="141" t="s">
        <v>4735</v>
      </c>
      <c r="C1152" s="142">
        <v>1104960</v>
      </c>
      <c r="D1152" s="142">
        <v>1100768</v>
      </c>
      <c r="E1152" s="142">
        <v>29177502</v>
      </c>
      <c r="F1152" s="143" t="s">
        <v>5250</v>
      </c>
      <c r="G1152" s="148" t="s">
        <v>5124</v>
      </c>
      <c r="H1152" s="148" t="s">
        <v>5124</v>
      </c>
      <c r="I1152" s="129" t="s">
        <v>5124</v>
      </c>
      <c r="J1152" s="83" t="str">
        <f>VLOOKUP($C1152,CHOOSE({1,2},'[4]Prestações de Conta inadimplent'!$D$9:$D$2000,'[4]Prestações de Conta inadimplent'!$C$9:$C$2000),2,0)</f>
        <v>Colegio Estadual Doutor Luis De Moura Bastos</v>
      </c>
      <c r="K1152" s="50"/>
      <c r="L1152" s="85"/>
      <c r="M1152" s="85"/>
      <c r="N1152" s="84"/>
      <c r="O1152" s="84"/>
      <c r="Q1152" s="84"/>
      <c r="S1152" s="84"/>
      <c r="T1152" s="86"/>
      <c r="U1152" s="85"/>
      <c r="V1152" s="87"/>
      <c r="W1152" s="85"/>
      <c r="X1152" s="88"/>
      <c r="Y1152" s="89"/>
      <c r="Z1152" s="88"/>
      <c r="AA1152" s="88"/>
      <c r="AB1152" s="88"/>
      <c r="AC1152" s="84"/>
      <c r="AD1152" s="84"/>
      <c r="AE1152" s="84"/>
      <c r="AH1152" s="84"/>
      <c r="AI1152" s="84"/>
      <c r="AJ1152" s="84"/>
      <c r="AL1152" s="84"/>
      <c r="AM1152" s="92"/>
      <c r="AN1152" s="92"/>
      <c r="AO1152" s="92"/>
      <c r="AP1152" s="92"/>
      <c r="AQ1152" s="92"/>
      <c r="AR1152" s="92"/>
    </row>
    <row r="1153" spans="1:44" s="84" customFormat="1" ht="24" customHeight="1" x14ac:dyDescent="0.25">
      <c r="A1153" s="125" t="s">
        <v>4709</v>
      </c>
      <c r="B1153" s="126" t="s">
        <v>4740</v>
      </c>
      <c r="C1153" s="127">
        <v>1176406</v>
      </c>
      <c r="D1153" s="127">
        <v>1100792</v>
      </c>
      <c r="E1153" s="127">
        <v>29369967</v>
      </c>
      <c r="F1153" s="133" t="s">
        <v>5251</v>
      </c>
      <c r="G1153" s="134" t="s">
        <v>5124</v>
      </c>
      <c r="H1153" s="134" t="s">
        <v>5124</v>
      </c>
      <c r="I1153" s="129" t="s">
        <v>5124</v>
      </c>
      <c r="J1153" s="83" t="str">
        <f>VLOOKUP($C1153,CHOOSE({1,2},'[4]Prestações de Conta inadimplent'!$D$9:$D$2000,'[4]Prestações de Conta inadimplent'!$C$9:$C$2000),2,0)</f>
        <v>Colegio Estadual Joao Ubaldo Ribeiro</v>
      </c>
      <c r="L1153" s="85"/>
      <c r="M1153" s="85"/>
      <c r="T1153" s="86"/>
      <c r="U1153" s="85"/>
      <c r="V1153" s="87"/>
      <c r="W1153" s="85"/>
      <c r="X1153" s="88"/>
      <c r="Y1153" s="89"/>
      <c r="Z1153" s="88"/>
      <c r="AA1153" s="88"/>
      <c r="AB1153" s="88"/>
      <c r="AF1153" s="90"/>
      <c r="AM1153" s="92"/>
      <c r="AN1153" s="92"/>
      <c r="AO1153" s="92"/>
      <c r="AP1153" s="92"/>
      <c r="AQ1153" s="92"/>
      <c r="AR1153" s="92"/>
    </row>
    <row r="1154" spans="1:44" ht="24" customHeight="1" x14ac:dyDescent="0.25">
      <c r="A1154" s="125" t="s">
        <v>3320</v>
      </c>
      <c r="B1154" s="126" t="s">
        <v>794</v>
      </c>
      <c r="C1154" s="132">
        <v>1115474</v>
      </c>
      <c r="D1154" s="132">
        <v>1101952</v>
      </c>
      <c r="E1154" s="132">
        <v>29134242</v>
      </c>
      <c r="F1154" s="133" t="s">
        <v>5252</v>
      </c>
      <c r="G1154" s="134" t="s">
        <v>5124</v>
      </c>
      <c r="H1154" s="134" t="s">
        <v>5124</v>
      </c>
      <c r="I1154" s="129" t="s">
        <v>5124</v>
      </c>
      <c r="J1154" s="83" t="str">
        <f>VLOOKUP($C1154,CHOOSE({1,2},'[4]Prestações de Conta inadimplent'!$D$9:$D$2000,'[4]Prestações de Conta inadimplent'!$C$9:$C$2000),2,0)</f>
        <v>Colegio Estadual Imaculada Conceicao</v>
      </c>
      <c r="L1154" s="85"/>
      <c r="M1154" s="85"/>
      <c r="N1154" s="84"/>
      <c r="O1154" s="84"/>
      <c r="S1154" s="84"/>
      <c r="T1154" s="86"/>
      <c r="U1154" s="85"/>
      <c r="V1154" s="87"/>
      <c r="W1154" s="85"/>
      <c r="X1154" s="88"/>
      <c r="Y1154" s="89"/>
      <c r="Z1154" s="88"/>
      <c r="AA1154" s="88"/>
      <c r="AB1154" s="88"/>
      <c r="AC1154" s="84"/>
      <c r="AD1154" s="84"/>
      <c r="AE1154" s="84"/>
      <c r="AH1154" s="84"/>
      <c r="AI1154" s="84"/>
      <c r="AJ1154" s="84"/>
      <c r="AL1154" s="84"/>
      <c r="AM1154" s="92"/>
      <c r="AN1154" s="92"/>
      <c r="AO1154" s="92"/>
      <c r="AP1154" s="92"/>
      <c r="AQ1154" s="92"/>
      <c r="AR1154" s="92"/>
    </row>
    <row r="1155" spans="1:44" ht="24" customHeight="1" x14ac:dyDescent="0.25">
      <c r="A1155" s="125" t="s">
        <v>4268</v>
      </c>
      <c r="B1155" s="126" t="s">
        <v>539</v>
      </c>
      <c r="C1155" s="127">
        <v>1106190</v>
      </c>
      <c r="D1155" s="127">
        <v>1100649</v>
      </c>
      <c r="E1155" s="127">
        <v>29094143</v>
      </c>
      <c r="F1155" s="133" t="s">
        <v>5253</v>
      </c>
      <c r="G1155" s="134" t="s">
        <v>5124</v>
      </c>
      <c r="H1155" s="134" t="s">
        <v>5124</v>
      </c>
      <c r="I1155" s="129" t="s">
        <v>5124</v>
      </c>
      <c r="J1155" s="83" t="str">
        <f>VLOOKUP($C1155,CHOOSE({1,2},'[4]Prestações de Conta inadimplent'!$D$9:$D$2000,'[4]Prestações de Conta inadimplent'!$C$9:$C$2000),2,0)</f>
        <v>Colegio Estadual De Tempo Integral Georgina De Melo Erismann</v>
      </c>
      <c r="L1155" s="85"/>
      <c r="M1155" s="85"/>
      <c r="N1155" s="84"/>
      <c r="O1155" s="84"/>
      <c r="S1155" s="84"/>
      <c r="T1155" s="86"/>
      <c r="U1155" s="85"/>
      <c r="V1155" s="87"/>
      <c r="W1155" s="85"/>
      <c r="X1155" s="88"/>
      <c r="Y1155" s="89"/>
      <c r="Z1155" s="88"/>
      <c r="AA1155" s="88"/>
      <c r="AB1155" s="88"/>
      <c r="AC1155" s="84"/>
      <c r="AD1155" s="84"/>
      <c r="AE1155" s="84"/>
      <c r="AH1155" s="84"/>
      <c r="AI1155" s="84"/>
      <c r="AJ1155" s="84"/>
      <c r="AL1155" s="84"/>
      <c r="AM1155" s="92"/>
      <c r="AN1155" s="92"/>
      <c r="AO1155" s="92"/>
      <c r="AP1155" s="92"/>
      <c r="AQ1155" s="92"/>
      <c r="AR1155" s="92"/>
    </row>
    <row r="1156" spans="1:44" ht="24" customHeight="1" x14ac:dyDescent="0.25">
      <c r="A1156" s="144">
        <v>26</v>
      </c>
      <c r="B1156" s="145" t="s">
        <v>1072</v>
      </c>
      <c r="C1156" s="146">
        <v>1174810</v>
      </c>
      <c r="D1156" s="146">
        <v>9999999</v>
      </c>
      <c r="E1156" s="146">
        <v>29178908</v>
      </c>
      <c r="F1156" s="147" t="s">
        <v>5254</v>
      </c>
      <c r="G1156" s="134" t="s">
        <v>5124</v>
      </c>
      <c r="H1156" s="134" t="s">
        <v>5124</v>
      </c>
      <c r="I1156" s="129" t="s">
        <v>5124</v>
      </c>
      <c r="J1156" s="83" t="e">
        <f>VLOOKUP($C1156,CHOOSE({1,2},'[4]Prestações de Conta inadimplent'!$D$9:$D$2000,'[4]Prestações de Conta inadimplent'!$C$9:$C$2000),2,0)</f>
        <v>#N/A</v>
      </c>
      <c r="L1156" s="85"/>
      <c r="M1156" s="85"/>
      <c r="N1156" s="84"/>
      <c r="O1156" s="84"/>
      <c r="S1156" s="84"/>
      <c r="T1156" s="86"/>
      <c r="U1156" s="85"/>
      <c r="V1156" s="87"/>
      <c r="W1156" s="85"/>
      <c r="X1156" s="88"/>
      <c r="Y1156" s="89"/>
      <c r="Z1156" s="88"/>
      <c r="AA1156" s="88"/>
      <c r="AB1156" s="88"/>
      <c r="AC1156" s="84"/>
      <c r="AD1156" s="84"/>
      <c r="AE1156" s="84"/>
      <c r="AH1156" s="84"/>
      <c r="AI1156" s="84"/>
      <c r="AJ1156" s="84"/>
      <c r="AL1156" s="84"/>
      <c r="AM1156" s="92"/>
      <c r="AN1156" s="92"/>
      <c r="AO1156" s="92"/>
      <c r="AP1156" s="92"/>
      <c r="AQ1156" s="92"/>
      <c r="AR1156" s="92"/>
    </row>
    <row r="1157" spans="1:44" ht="24" customHeight="1" x14ac:dyDescent="0.25">
      <c r="A1157" s="134" t="s">
        <v>3411</v>
      </c>
      <c r="B1157" s="135" t="s">
        <v>1985</v>
      </c>
      <c r="C1157" s="136">
        <v>1111223</v>
      </c>
      <c r="D1157" s="136">
        <v>1101464</v>
      </c>
      <c r="E1157" s="136">
        <v>29302218</v>
      </c>
      <c r="F1157" s="138" t="s">
        <v>5255</v>
      </c>
      <c r="G1157" s="134" t="s">
        <v>5124</v>
      </c>
      <c r="H1157" s="134" t="s">
        <v>5124</v>
      </c>
      <c r="I1157" s="129" t="s">
        <v>5124</v>
      </c>
      <c r="J1157" s="83" t="str">
        <f>VLOOKUP($C1157,CHOOSE({1,2},'[4]Prestações de Conta inadimplent'!$D$9:$D$2000,'[4]Prestações de Conta inadimplent'!$C$9:$C$2000),2,0)</f>
        <v>Colegio Estadual Eduardo Catalao</v>
      </c>
      <c r="L1157" s="85"/>
      <c r="M1157" s="85"/>
      <c r="N1157" s="84"/>
      <c r="O1157" s="84"/>
      <c r="S1157" s="84"/>
      <c r="T1157" s="86"/>
      <c r="U1157" s="85"/>
      <c r="V1157" s="87"/>
      <c r="W1157" s="85"/>
      <c r="X1157" s="88"/>
      <c r="Y1157" s="89"/>
      <c r="Z1157" s="88"/>
      <c r="AA1157" s="88"/>
      <c r="AB1157" s="88"/>
      <c r="AC1157" s="84"/>
      <c r="AD1157" s="84"/>
      <c r="AE1157" s="84"/>
      <c r="AH1157" s="84"/>
      <c r="AI1157" s="84"/>
      <c r="AJ1157" s="84"/>
      <c r="AL1157" s="84"/>
      <c r="AM1157" s="92"/>
      <c r="AN1157" s="92"/>
      <c r="AO1157" s="92"/>
      <c r="AP1157" s="92"/>
      <c r="AQ1157" s="92"/>
      <c r="AR1157" s="92"/>
    </row>
    <row r="1158" spans="1:44" ht="24" customHeight="1" x14ac:dyDescent="0.25">
      <c r="A1158" s="125" t="s">
        <v>4268</v>
      </c>
      <c r="B1158" s="126" t="s">
        <v>539</v>
      </c>
      <c r="C1158" s="127">
        <v>1106530</v>
      </c>
      <c r="D1158" s="127">
        <v>1100662</v>
      </c>
      <c r="E1158" s="127">
        <v>29095026</v>
      </c>
      <c r="F1158" s="133" t="s">
        <v>5256</v>
      </c>
      <c r="G1158" s="134" t="s">
        <v>5124</v>
      </c>
      <c r="H1158" s="134" t="s">
        <v>5124</v>
      </c>
      <c r="I1158" s="129" t="s">
        <v>5124</v>
      </c>
      <c r="J1158" s="83" t="str">
        <f>VLOOKUP($C1158,CHOOSE({1,2},'[4]Prestações de Conta inadimplent'!$D$9:$D$2000,'[4]Prestações de Conta inadimplent'!$C$9:$C$2000),2,0)</f>
        <v>Colegio Estadual General Sampaio</v>
      </c>
      <c r="L1158" s="85"/>
      <c r="M1158" s="85"/>
      <c r="N1158" s="84"/>
      <c r="O1158" s="84"/>
      <c r="S1158" s="84"/>
      <c r="T1158" s="86"/>
      <c r="U1158" s="85"/>
      <c r="V1158" s="87"/>
      <c r="W1158" s="85"/>
      <c r="X1158" s="88"/>
      <c r="Y1158" s="89"/>
      <c r="Z1158" s="88"/>
      <c r="AA1158" s="88"/>
      <c r="AB1158" s="88"/>
      <c r="AC1158" s="84"/>
      <c r="AD1158" s="84"/>
      <c r="AE1158" s="84"/>
      <c r="AH1158" s="84"/>
      <c r="AI1158" s="84"/>
      <c r="AJ1158" s="84"/>
      <c r="AL1158" s="84"/>
      <c r="AM1158" s="92"/>
      <c r="AN1158" s="92"/>
      <c r="AO1158" s="92"/>
      <c r="AP1158" s="92"/>
      <c r="AQ1158" s="92"/>
      <c r="AR1158" s="92"/>
    </row>
    <row r="1159" spans="1:44" ht="24" customHeight="1" x14ac:dyDescent="0.25">
      <c r="A1159" s="134" t="s">
        <v>3935</v>
      </c>
      <c r="B1159" s="135" t="s">
        <v>1701</v>
      </c>
      <c r="C1159" s="136">
        <v>1129335</v>
      </c>
      <c r="D1159" s="136">
        <v>1103173</v>
      </c>
      <c r="E1159" s="136">
        <v>29242290</v>
      </c>
      <c r="F1159" s="138" t="s">
        <v>5257</v>
      </c>
      <c r="G1159" s="134" t="s">
        <v>5124</v>
      </c>
      <c r="H1159" s="134" t="s">
        <v>5124</v>
      </c>
      <c r="I1159" s="129" t="s">
        <v>5124</v>
      </c>
      <c r="J1159" s="83" t="str">
        <f>VLOOKUP($C1159,CHOOSE({1,2},'[4]Prestações de Conta inadimplent'!$D$9:$D$2000,'[4]Prestações de Conta inadimplent'!$C$9:$C$2000),2,0)</f>
        <v>Instituto De Educacao Anisio Teixeira</v>
      </c>
      <c r="L1159" s="85"/>
      <c r="M1159" s="85"/>
      <c r="N1159" s="84"/>
      <c r="O1159" s="84"/>
      <c r="S1159" s="84"/>
      <c r="T1159" s="86"/>
      <c r="U1159" s="85"/>
      <c r="V1159" s="87"/>
      <c r="W1159" s="85"/>
      <c r="X1159" s="88"/>
      <c r="Y1159" s="89"/>
      <c r="Z1159" s="88"/>
      <c r="AA1159" s="88"/>
      <c r="AB1159" s="88"/>
      <c r="AC1159" s="84"/>
      <c r="AD1159" s="84"/>
      <c r="AE1159" s="84"/>
      <c r="AH1159" s="84"/>
      <c r="AI1159" s="84"/>
      <c r="AJ1159" s="84"/>
      <c r="AL1159" s="84"/>
      <c r="AM1159" s="92"/>
      <c r="AN1159" s="92"/>
      <c r="AO1159" s="92"/>
      <c r="AP1159" s="92"/>
      <c r="AQ1159" s="92"/>
      <c r="AR1159" s="92"/>
    </row>
    <row r="1160" spans="1:44" ht="24" customHeight="1" x14ac:dyDescent="0.25">
      <c r="A1160" s="134" t="s">
        <v>3935</v>
      </c>
      <c r="B1160" s="135" t="s">
        <v>1701</v>
      </c>
      <c r="C1160" s="136">
        <v>1178022</v>
      </c>
      <c r="D1160" s="136">
        <v>1104302</v>
      </c>
      <c r="E1160" s="136">
        <v>29428394</v>
      </c>
      <c r="F1160" s="138" t="s">
        <v>5258</v>
      </c>
      <c r="G1160" s="134" t="s">
        <v>5124</v>
      </c>
      <c r="H1160" s="134" t="s">
        <v>5124</v>
      </c>
      <c r="I1160" s="129" t="s">
        <v>5124</v>
      </c>
      <c r="J1160" s="83" t="str">
        <f>VLOOKUP($C1160,CHOOSE({1,2},'[4]Prestações de Conta inadimplent'!$D$9:$D$2000,'[4]Prestações de Conta inadimplent'!$C$9:$C$2000),2,0)</f>
        <v>Centro Territorial De Educacao Profissional Do Sertao Produtivo</v>
      </c>
      <c r="L1160" s="85"/>
      <c r="M1160" s="85"/>
      <c r="N1160" s="84"/>
      <c r="O1160" s="84"/>
      <c r="S1160" s="84"/>
      <c r="T1160" s="86"/>
      <c r="U1160" s="85"/>
      <c r="V1160" s="87"/>
      <c r="W1160" s="85"/>
      <c r="X1160" s="88"/>
      <c r="Y1160" s="89"/>
      <c r="Z1160" s="88"/>
      <c r="AA1160" s="88"/>
      <c r="AB1160" s="88"/>
      <c r="AC1160" s="84"/>
      <c r="AD1160" s="84"/>
      <c r="AE1160" s="84"/>
      <c r="AH1160" s="84"/>
      <c r="AI1160" s="84"/>
      <c r="AJ1160" s="84"/>
      <c r="AL1160" s="84"/>
      <c r="AM1160" s="92"/>
      <c r="AN1160" s="92"/>
      <c r="AO1160" s="92"/>
      <c r="AP1160" s="92"/>
      <c r="AQ1160" s="92"/>
      <c r="AR1160" s="92"/>
    </row>
    <row r="1161" spans="1:44" ht="24" customHeight="1" x14ac:dyDescent="0.25">
      <c r="A1161" s="125" t="s">
        <v>3169</v>
      </c>
      <c r="B1161" s="126" t="s">
        <v>264</v>
      </c>
      <c r="C1161" s="132">
        <v>1137168</v>
      </c>
      <c r="D1161" s="132">
        <v>1103056</v>
      </c>
      <c r="E1161" s="132">
        <v>29037123</v>
      </c>
      <c r="F1161" s="133" t="s">
        <v>5259</v>
      </c>
      <c r="G1161" s="134" t="s">
        <v>5124</v>
      </c>
      <c r="H1161" s="134" t="s">
        <v>5124</v>
      </c>
      <c r="I1161" s="129" t="s">
        <v>5124</v>
      </c>
      <c r="J1161" s="83" t="str">
        <f>VLOOKUP($C1161,CHOOSE({1,2},'[4]Prestações de Conta inadimplent'!$D$9:$D$2000,'[4]Prestações de Conta inadimplent'!$C$9:$C$2000),2,0)</f>
        <v>Colegio Estadual Luiz Viana Filho</v>
      </c>
      <c r="L1161" s="85"/>
      <c r="M1161" s="85"/>
      <c r="N1161" s="84"/>
      <c r="O1161" s="84"/>
      <c r="S1161" s="84"/>
      <c r="T1161" s="86"/>
      <c r="U1161" s="85"/>
      <c r="V1161" s="87"/>
      <c r="W1161" s="85"/>
      <c r="X1161" s="88"/>
      <c r="Y1161" s="89"/>
      <c r="Z1161" s="88"/>
      <c r="AA1161" s="88"/>
      <c r="AB1161" s="88"/>
      <c r="AC1161" s="84"/>
      <c r="AD1161" s="84"/>
      <c r="AE1161" s="84"/>
      <c r="AH1161" s="84"/>
      <c r="AI1161" s="84"/>
      <c r="AJ1161" s="84"/>
      <c r="AL1161" s="84"/>
      <c r="AM1161" s="92"/>
      <c r="AN1161" s="92"/>
      <c r="AO1161" s="92"/>
      <c r="AP1161" s="92"/>
      <c r="AQ1161" s="92"/>
      <c r="AR1161" s="92"/>
    </row>
    <row r="1162" spans="1:44" ht="24" customHeight="1" x14ac:dyDescent="0.25">
      <c r="A1162" s="149">
        <v>19</v>
      </c>
      <c r="B1162" s="150" t="s">
        <v>5260</v>
      </c>
      <c r="C1162" s="151">
        <v>1106670</v>
      </c>
      <c r="D1162" s="151">
        <v>9999999</v>
      </c>
      <c r="E1162" s="151">
        <v>29094240</v>
      </c>
      <c r="F1162" s="152" t="s">
        <v>5261</v>
      </c>
      <c r="G1162" s="153" t="s">
        <v>5222</v>
      </c>
      <c r="H1162" s="153" t="s">
        <v>5222</v>
      </c>
      <c r="I1162" s="153" t="s">
        <v>5222</v>
      </c>
      <c r="J1162" s="83" t="str">
        <f>VLOOKUP($C1162,CHOOSE({1,2},'[4]Prestações de Conta inadimplent'!$D$9:$D$2000,'[4]Prestações de Conta inadimplent'!$C$9:$C$2000),2,0)</f>
        <v>Colegio Estadual De Tempo Integral Georgina De Melo Erismann</v>
      </c>
      <c r="L1162" s="85"/>
      <c r="M1162" s="85"/>
      <c r="N1162" s="84"/>
      <c r="O1162" s="84"/>
      <c r="S1162" s="84"/>
      <c r="U1162" s="85"/>
      <c r="V1162" s="87"/>
      <c r="W1162" s="85"/>
      <c r="X1162" s="88"/>
      <c r="Y1162" s="89"/>
      <c r="Z1162" s="88"/>
      <c r="AA1162" s="88"/>
      <c r="AB1162" s="88"/>
      <c r="AC1162" s="84"/>
      <c r="AD1162" s="84"/>
      <c r="AE1162" s="84"/>
      <c r="AH1162" s="84"/>
      <c r="AI1162" s="84"/>
      <c r="AJ1162" s="84"/>
      <c r="AL1162" s="84"/>
      <c r="AM1162" s="92"/>
      <c r="AN1162" s="92"/>
      <c r="AO1162" s="92"/>
      <c r="AP1162" s="92"/>
      <c r="AQ1162" s="92"/>
      <c r="AR1162" s="92"/>
    </row>
    <row r="1163" spans="1:44" ht="24" customHeight="1" x14ac:dyDescent="0.25">
      <c r="A1163" s="125" t="s">
        <v>3237</v>
      </c>
      <c r="B1163" s="126" t="s">
        <v>1535</v>
      </c>
      <c r="C1163" s="132">
        <v>1123701</v>
      </c>
      <c r="D1163" s="132">
        <v>1102740</v>
      </c>
      <c r="E1163" s="132">
        <v>29213592</v>
      </c>
      <c r="F1163" s="133" t="s">
        <v>5262</v>
      </c>
      <c r="G1163" s="134" t="s">
        <v>5124</v>
      </c>
      <c r="H1163" s="134" t="s">
        <v>5124</v>
      </c>
      <c r="I1163" s="129" t="s">
        <v>5124</v>
      </c>
      <c r="J1163" s="83" t="str">
        <f>VLOOKUP($C1163,CHOOSE({1,2},'[4]Prestações de Conta inadimplent'!$D$9:$D$2000,'[4]Prestações de Conta inadimplent'!$C$9:$C$2000),2,0)</f>
        <v>Colegio Estadual Getulio Vargas</v>
      </c>
      <c r="L1163" s="85"/>
      <c r="M1163" s="85"/>
      <c r="N1163" s="84"/>
      <c r="O1163" s="84"/>
      <c r="S1163" s="84"/>
      <c r="T1163" s="86"/>
      <c r="U1163" s="85"/>
      <c r="V1163" s="87"/>
      <c r="W1163" s="85"/>
      <c r="X1163" s="88"/>
      <c r="Y1163" s="89"/>
      <c r="Z1163" s="88"/>
      <c r="AA1163" s="88"/>
      <c r="AB1163" s="88"/>
      <c r="AC1163" s="84"/>
      <c r="AD1163" s="84"/>
      <c r="AH1163" s="85"/>
      <c r="AL1163" s="84"/>
      <c r="AM1163" s="84" t="s">
        <v>5263</v>
      </c>
      <c r="AN1163" s="92"/>
      <c r="AO1163" s="92"/>
      <c r="AP1163" s="92"/>
      <c r="AQ1163" s="92"/>
      <c r="AR1163" s="92"/>
    </row>
    <row r="1164" spans="1:44" ht="24" customHeight="1" x14ac:dyDescent="0.25">
      <c r="A1164" s="125" t="s">
        <v>3237</v>
      </c>
      <c r="B1164" s="126" t="s">
        <v>2320</v>
      </c>
      <c r="C1164" s="132">
        <v>1161956</v>
      </c>
      <c r="D1164" s="132">
        <v>1102581</v>
      </c>
      <c r="E1164" s="132">
        <v>29074770</v>
      </c>
      <c r="F1164" s="133" t="s">
        <v>5264</v>
      </c>
      <c r="G1164" s="134" t="s">
        <v>5124</v>
      </c>
      <c r="H1164" s="134" t="s">
        <v>5124</v>
      </c>
      <c r="I1164" s="129" t="s">
        <v>5124</v>
      </c>
      <c r="J1164" s="83" t="str">
        <f>VLOOKUP($C1164,CHOOSE({1,2},'[4]Prestações de Conta inadimplent'!$D$9:$D$2000,'[4]Prestações de Conta inadimplent'!$C$9:$C$2000),2,0)</f>
        <v>Colegio Estadual Teotonio Marques Dourado Filho</v>
      </c>
      <c r="L1164" s="85"/>
      <c r="M1164" s="85"/>
      <c r="N1164" s="84"/>
      <c r="O1164" s="84"/>
      <c r="S1164" s="84"/>
      <c r="U1164" s="85"/>
      <c r="AL1164" s="84"/>
      <c r="AM1164" s="84" t="s">
        <v>5263</v>
      </c>
      <c r="AN1164" s="92"/>
      <c r="AO1164" s="92"/>
      <c r="AP1164" s="92"/>
      <c r="AQ1164" s="92"/>
      <c r="AR1164" s="92"/>
    </row>
    <row r="1165" spans="1:44" ht="24" customHeight="1" x14ac:dyDescent="0.25">
      <c r="A1165" s="125" t="s">
        <v>3320</v>
      </c>
      <c r="B1165" s="126" t="s">
        <v>735</v>
      </c>
      <c r="C1165" s="132">
        <v>1116039</v>
      </c>
      <c r="D1165" s="132">
        <v>1102070</v>
      </c>
      <c r="E1165" s="132">
        <v>29121809</v>
      </c>
      <c r="F1165" s="133" t="s">
        <v>5265</v>
      </c>
      <c r="G1165" s="134" t="s">
        <v>5124</v>
      </c>
      <c r="H1165" s="134" t="s">
        <v>5124</v>
      </c>
      <c r="I1165" s="129" t="s">
        <v>5124</v>
      </c>
      <c r="J1165" s="83" t="str">
        <f>VLOOKUP($C1165,CHOOSE({1,2},'[4]Prestações de Conta inadimplent'!$D$9:$D$2000,'[4]Prestações de Conta inadimplent'!$C$9:$C$2000),2,0)</f>
        <v>Centro Territorial De Educacao Profissional Santa Bernadete</v>
      </c>
      <c r="L1165" s="85"/>
      <c r="M1165" s="85"/>
      <c r="N1165" s="84"/>
      <c r="O1165" s="84"/>
      <c r="S1165" s="84"/>
      <c r="U1165" s="85"/>
      <c r="AL1165" s="84"/>
      <c r="AM1165" s="84" t="s">
        <v>5263</v>
      </c>
      <c r="AN1165" s="92"/>
      <c r="AO1165" s="92"/>
      <c r="AP1165" s="92"/>
      <c r="AQ1165" s="92"/>
      <c r="AR1165" s="92"/>
    </row>
    <row r="1166" spans="1:44" ht="24" customHeight="1" x14ac:dyDescent="0.25">
      <c r="A1166" s="125" t="s">
        <v>3411</v>
      </c>
      <c r="B1166" s="126" t="s">
        <v>2013</v>
      </c>
      <c r="C1166" s="132">
        <v>1176101</v>
      </c>
      <c r="D1166" s="132">
        <v>1101685</v>
      </c>
      <c r="E1166" s="132">
        <v>29340500</v>
      </c>
      <c r="F1166" s="133" t="s">
        <v>5266</v>
      </c>
      <c r="G1166" s="134" t="s">
        <v>5124</v>
      </c>
      <c r="H1166" s="134" t="s">
        <v>5124</v>
      </c>
      <c r="I1166" s="129" t="s">
        <v>5124</v>
      </c>
      <c r="J1166" s="83" t="str">
        <f>VLOOKUP($C1166,CHOOSE({1,2},'[4]Prestações de Conta inadimplent'!$D$9:$D$2000,'[4]Prestações de Conta inadimplent'!$C$9:$C$2000),2,0)</f>
        <v>Centro Territorial De Educacao Profissional Litoral Sul Ii</v>
      </c>
      <c r="L1166" s="85"/>
      <c r="M1166" s="85"/>
      <c r="N1166" s="84"/>
      <c r="O1166" s="84"/>
      <c r="S1166" s="84"/>
      <c r="U1166" s="85"/>
      <c r="AL1166" s="84"/>
      <c r="AM1166" s="92"/>
      <c r="AN1166" s="92"/>
      <c r="AO1166" s="92"/>
      <c r="AP1166" s="92"/>
      <c r="AQ1166" s="92"/>
      <c r="AR1166" s="92"/>
    </row>
    <row r="1167" spans="1:44" ht="24" customHeight="1" x14ac:dyDescent="0.25">
      <c r="A1167" s="125" t="s">
        <v>3706</v>
      </c>
      <c r="B1167" s="126" t="s">
        <v>1656</v>
      </c>
      <c r="C1167" s="127">
        <v>1118171</v>
      </c>
      <c r="D1167" s="127">
        <v>1102318</v>
      </c>
      <c r="E1167" s="127">
        <v>29232341</v>
      </c>
      <c r="F1167" s="133" t="s">
        <v>5267</v>
      </c>
      <c r="G1167" s="134" t="s">
        <v>5124</v>
      </c>
      <c r="H1167" s="134" t="s">
        <v>5124</v>
      </c>
      <c r="I1167" s="129" t="s">
        <v>5124</v>
      </c>
      <c r="J1167" s="83" t="str">
        <f>VLOOKUP($C1167,CHOOSE({1,2},'[4]Prestações de Conta inadimplent'!$D$9:$D$2000,'[4]Prestações de Conta inadimplent'!$C$9:$C$2000),2,0)</f>
        <v>Colegio Estadual Edivaldo Boaventura</v>
      </c>
      <c r="L1167" s="85"/>
      <c r="M1167" s="85"/>
      <c r="N1167" s="84"/>
      <c r="O1167" s="84"/>
      <c r="S1167" s="84"/>
      <c r="U1167" s="85"/>
      <c r="AL1167" s="84"/>
      <c r="AM1167" s="84" t="s">
        <v>5263</v>
      </c>
      <c r="AN1167" s="92"/>
      <c r="AO1167" s="92"/>
      <c r="AP1167" s="92"/>
      <c r="AQ1167" s="92"/>
      <c r="AR1167" s="92"/>
    </row>
    <row r="1168" spans="1:44" ht="24" customHeight="1" x14ac:dyDescent="0.25">
      <c r="A1168" s="125" t="s">
        <v>3846</v>
      </c>
      <c r="B1168" s="126" t="s">
        <v>114</v>
      </c>
      <c r="C1168" s="127">
        <v>1130910</v>
      </c>
      <c r="D1168" s="127">
        <v>1103344</v>
      </c>
      <c r="E1168" s="127">
        <v>29009847</v>
      </c>
      <c r="F1168" s="133" t="s">
        <v>5268</v>
      </c>
      <c r="G1168" s="134" t="s">
        <v>5124</v>
      </c>
      <c r="H1168" s="134" t="s">
        <v>5124</v>
      </c>
      <c r="I1168" s="129" t="s">
        <v>5124</v>
      </c>
      <c r="J1168" s="83" t="str">
        <f>VLOOKUP($C1168,CHOOSE({1,2},'[4]Prestações de Conta inadimplent'!$D$9:$D$2000,'[4]Prestações de Conta inadimplent'!$C$9:$C$2000),2,0)</f>
        <v>Colegio Estadual Deputado Horacio De Matos</v>
      </c>
      <c r="K1168" s="84">
        <v>2</v>
      </c>
      <c r="L1168" s="85"/>
      <c r="M1168" s="85"/>
      <c r="N1168" s="84"/>
      <c r="O1168" s="84"/>
      <c r="S1168" s="84"/>
      <c r="U1168" s="85"/>
      <c r="AL1168" s="84"/>
      <c r="AM1168" s="92"/>
      <c r="AN1168" s="92"/>
      <c r="AO1168" s="92"/>
      <c r="AP1168" s="92"/>
      <c r="AQ1168" s="92"/>
      <c r="AR1168" s="92"/>
    </row>
    <row r="1169" spans="1:44" ht="24" customHeight="1" x14ac:dyDescent="0.25">
      <c r="A1169" s="125" t="s">
        <v>3846</v>
      </c>
      <c r="B1169" s="126" t="s">
        <v>114</v>
      </c>
      <c r="C1169" s="127">
        <v>1130937</v>
      </c>
      <c r="D1169" s="127">
        <v>1103346</v>
      </c>
      <c r="E1169" s="127">
        <v>29009650</v>
      </c>
      <c r="F1169" s="133" t="s">
        <v>5269</v>
      </c>
      <c r="G1169" s="134" t="s">
        <v>5124</v>
      </c>
      <c r="H1169" s="134" t="s">
        <v>5124</v>
      </c>
      <c r="I1169" s="129" t="s">
        <v>5124</v>
      </c>
      <c r="J1169" s="83" t="e">
        <f>VLOOKUP($C1169,CHOOSE({1,2},'[4]Prestações de Conta inadimplent'!$D$9:$D$2000,'[4]Prestações de Conta inadimplent'!$C$9:$C$2000),2,0)</f>
        <v>#N/A</v>
      </c>
      <c r="K1169" s="84">
        <v>2</v>
      </c>
      <c r="L1169" s="85"/>
      <c r="M1169" s="85"/>
      <c r="N1169" s="84"/>
      <c r="O1169" s="84"/>
      <c r="S1169" s="84"/>
      <c r="U1169" s="85"/>
      <c r="AL1169" s="84"/>
      <c r="AM1169" s="92"/>
      <c r="AN1169" s="92"/>
      <c r="AO1169" s="92"/>
      <c r="AP1169" s="92"/>
      <c r="AQ1169" s="92"/>
      <c r="AR1169" s="92"/>
    </row>
    <row r="1170" spans="1:44" ht="24" customHeight="1" x14ac:dyDescent="0.25">
      <c r="A1170" s="125" t="s">
        <v>3999</v>
      </c>
      <c r="B1170" s="126" t="s">
        <v>491</v>
      </c>
      <c r="C1170" s="127">
        <v>1122985</v>
      </c>
      <c r="D1170" s="127">
        <v>1102606</v>
      </c>
      <c r="E1170" s="127">
        <v>29086370</v>
      </c>
      <c r="F1170" s="133" t="s">
        <v>5270</v>
      </c>
      <c r="G1170" s="134" t="s">
        <v>5124</v>
      </c>
      <c r="H1170" s="134" t="s">
        <v>5124</v>
      </c>
      <c r="I1170" s="129" t="s">
        <v>5124</v>
      </c>
      <c r="J1170" s="83" t="str">
        <f>VLOOKUP($C1170,CHOOSE({1,2},'[4]Prestações de Conta inadimplent'!$D$9:$D$2000,'[4]Prestações de Conta inadimplent'!$C$9:$C$2000),2,0)</f>
        <v>Colegio Estadual Luis Eduardo Magalhaes</v>
      </c>
      <c r="L1170" s="85"/>
      <c r="M1170" s="85"/>
      <c r="N1170" s="84"/>
      <c r="O1170" s="84"/>
      <c r="S1170" s="84"/>
      <c r="U1170" s="85"/>
      <c r="AL1170" s="84"/>
      <c r="AM1170" s="92"/>
      <c r="AN1170" s="92"/>
      <c r="AO1170" s="92"/>
      <c r="AP1170" s="92"/>
      <c r="AQ1170" s="92"/>
      <c r="AR1170" s="92"/>
    </row>
    <row r="1171" spans="1:44" ht="24" customHeight="1" x14ac:dyDescent="0.25">
      <c r="A1171" s="125" t="s">
        <v>4046</v>
      </c>
      <c r="B1171" s="126" t="s">
        <v>646</v>
      </c>
      <c r="C1171" s="127">
        <v>1107331</v>
      </c>
      <c r="D1171" s="127">
        <v>1101075</v>
      </c>
      <c r="E1171" s="127">
        <v>29103037</v>
      </c>
      <c r="F1171" s="133" t="s">
        <v>5271</v>
      </c>
      <c r="G1171" s="134" t="s">
        <v>5124</v>
      </c>
      <c r="H1171" s="134" t="s">
        <v>5124</v>
      </c>
      <c r="I1171" s="129" t="s">
        <v>5124</v>
      </c>
      <c r="J1171" s="83" t="e">
        <f>VLOOKUP($C1171,CHOOSE({1,2},'[4]Prestações de Conta inadimplent'!$D$9:$D$2000,'[4]Prestações de Conta inadimplent'!$C$9:$C$2000),2,0)</f>
        <v>#N/A</v>
      </c>
      <c r="L1171" s="85"/>
      <c r="M1171" s="85"/>
      <c r="N1171" s="84"/>
      <c r="O1171" s="84"/>
      <c r="S1171" s="84"/>
      <c r="U1171" s="85"/>
      <c r="AL1171" s="84"/>
      <c r="AM1171" s="84" t="s">
        <v>5263</v>
      </c>
      <c r="AN1171" s="92"/>
      <c r="AO1171" s="92"/>
      <c r="AP1171" s="92"/>
      <c r="AQ1171" s="92"/>
      <c r="AR1171" s="92"/>
    </row>
    <row r="1172" spans="1:44" ht="24" customHeight="1" x14ac:dyDescent="0.25">
      <c r="A1172" s="125" t="s">
        <v>4121</v>
      </c>
      <c r="B1172" s="126" t="s">
        <v>702</v>
      </c>
      <c r="C1172" s="127">
        <v>1178014</v>
      </c>
      <c r="D1172" s="127">
        <v>1101795</v>
      </c>
      <c r="E1172" s="127">
        <v>29423732</v>
      </c>
      <c r="F1172" s="133" t="s">
        <v>5272</v>
      </c>
      <c r="G1172" s="134" t="s">
        <v>5124</v>
      </c>
      <c r="H1172" s="134" t="s">
        <v>5124</v>
      </c>
      <c r="I1172" s="129" t="s">
        <v>5124</v>
      </c>
      <c r="J1172" s="83" t="str">
        <f>VLOOKUP($C1172,CHOOSE({1,2},'[4]Prestações de Conta inadimplent'!$D$9:$D$2000,'[4]Prestações de Conta inadimplent'!$C$9:$C$2000),2,0)</f>
        <v>Colegio Estadual Jose Lourenco De Carvalho</v>
      </c>
      <c r="L1172" s="85"/>
      <c r="M1172" s="85"/>
      <c r="N1172" s="84"/>
      <c r="O1172" s="84"/>
      <c r="S1172" s="84"/>
      <c r="U1172" s="85"/>
      <c r="AL1172" s="84"/>
      <c r="AM1172" s="84" t="s">
        <v>5263</v>
      </c>
      <c r="AN1172" s="92"/>
      <c r="AO1172" s="92"/>
      <c r="AP1172" s="92"/>
      <c r="AQ1172" s="92"/>
      <c r="AR1172" s="92"/>
    </row>
    <row r="1173" spans="1:44" ht="24" customHeight="1" x14ac:dyDescent="0.25">
      <c r="A1173" s="125" t="s">
        <v>4121</v>
      </c>
      <c r="B1173" s="126" t="s">
        <v>702</v>
      </c>
      <c r="C1173" s="127">
        <v>1114192</v>
      </c>
      <c r="D1173" s="127">
        <v>1101784</v>
      </c>
      <c r="E1173" s="127">
        <v>29112699</v>
      </c>
      <c r="F1173" s="133" t="s">
        <v>5273</v>
      </c>
      <c r="G1173" s="134" t="s">
        <v>5124</v>
      </c>
      <c r="H1173" s="134" t="s">
        <v>5124</v>
      </c>
      <c r="I1173" s="129" t="s">
        <v>5124</v>
      </c>
      <c r="J1173" s="83" t="str">
        <f>VLOOKUP($C1173,CHOOSE({1,2},'[4]Prestações de Conta inadimplent'!$D$9:$D$2000,'[4]Prestações de Conta inadimplent'!$C$9:$C$2000),2,0)</f>
        <v>Colegio Estadual Professora Maria Leide De Oliveira</v>
      </c>
      <c r="L1173" s="85"/>
      <c r="M1173" s="85"/>
      <c r="N1173" s="84"/>
      <c r="O1173" s="84"/>
      <c r="S1173" s="84"/>
      <c r="U1173" s="85"/>
      <c r="AL1173" s="84"/>
      <c r="AM1173" s="92"/>
      <c r="AN1173" s="92"/>
      <c r="AO1173" s="92"/>
      <c r="AP1173" s="92"/>
      <c r="AQ1173" s="92"/>
      <c r="AR1173" s="92"/>
    </row>
    <row r="1174" spans="1:44" ht="24" customHeight="1" x14ac:dyDescent="0.25">
      <c r="A1174" s="125" t="s">
        <v>4181</v>
      </c>
      <c r="B1174" s="126" t="s">
        <v>951</v>
      </c>
      <c r="C1174" s="127">
        <v>1108761</v>
      </c>
      <c r="D1174" s="127">
        <v>1101164</v>
      </c>
      <c r="E1174" s="127">
        <v>29158931</v>
      </c>
      <c r="F1174" s="133" t="s">
        <v>5274</v>
      </c>
      <c r="G1174" s="134" t="s">
        <v>5124</v>
      </c>
      <c r="H1174" s="134" t="s">
        <v>5124</v>
      </c>
      <c r="I1174" s="129" t="s">
        <v>5124</v>
      </c>
      <c r="J1174" s="83" t="str">
        <f>VLOOKUP($C1174,CHOOSE({1,2},'[4]Prestações de Conta inadimplent'!$D$9:$D$2000,'[4]Prestações de Conta inadimplent'!$C$9:$C$2000),2,0)</f>
        <v>Colegio Estadual Maria Isabel De Melo Goes</v>
      </c>
      <c r="L1174" s="85"/>
      <c r="M1174" s="85"/>
      <c r="N1174" s="84"/>
      <c r="O1174" s="84"/>
      <c r="S1174" s="84"/>
      <c r="U1174" s="85"/>
      <c r="AL1174" s="84"/>
      <c r="AM1174" s="84" t="s">
        <v>5263</v>
      </c>
      <c r="AN1174" s="92"/>
      <c r="AO1174" s="92"/>
      <c r="AP1174" s="92"/>
      <c r="AQ1174" s="92"/>
      <c r="AR1174" s="92"/>
    </row>
    <row r="1175" spans="1:44" ht="24" customHeight="1" x14ac:dyDescent="0.25">
      <c r="A1175" s="125" t="s">
        <v>4268</v>
      </c>
      <c r="B1175" s="126" t="s">
        <v>539</v>
      </c>
      <c r="C1175" s="127">
        <v>1106238</v>
      </c>
      <c r="D1175" s="127">
        <v>1100675</v>
      </c>
      <c r="E1175" s="127">
        <v>29093570</v>
      </c>
      <c r="F1175" s="133" t="s">
        <v>5275</v>
      </c>
      <c r="G1175" s="134" t="s">
        <v>5124</v>
      </c>
      <c r="H1175" s="134" t="s">
        <v>5124</v>
      </c>
      <c r="I1175" s="129" t="s">
        <v>5124</v>
      </c>
      <c r="J1175" s="83" t="str">
        <f>VLOOKUP($C1175,CHOOSE({1,2},'[4]Prestações de Conta inadimplent'!$D$9:$D$2000,'[4]Prestações de Conta inadimplent'!$C$9:$C$2000),2,0)</f>
        <v>Colegio Estadual Yeda Barradas Carneiro</v>
      </c>
      <c r="L1175" s="85"/>
      <c r="M1175" s="85"/>
      <c r="N1175" s="84"/>
      <c r="O1175" s="84"/>
      <c r="S1175" s="84"/>
      <c r="U1175" s="85"/>
      <c r="AL1175" s="84"/>
      <c r="AM1175" s="84" t="s">
        <v>5263</v>
      </c>
      <c r="AN1175" s="92"/>
      <c r="AO1175" s="92"/>
      <c r="AP1175" s="92"/>
      <c r="AQ1175" s="92"/>
      <c r="AR1175" s="92"/>
    </row>
    <row r="1176" spans="1:44" ht="24" customHeight="1" x14ac:dyDescent="0.25">
      <c r="A1176" s="125" t="s">
        <v>4268</v>
      </c>
      <c r="B1176" s="126" t="s">
        <v>539</v>
      </c>
      <c r="C1176" s="127">
        <v>1106688</v>
      </c>
      <c r="D1176" s="127">
        <v>1100711</v>
      </c>
      <c r="E1176" s="127">
        <v>29094682</v>
      </c>
      <c r="F1176" s="133" t="s">
        <v>5276</v>
      </c>
      <c r="G1176" s="134" t="s">
        <v>5124</v>
      </c>
      <c r="H1176" s="134" t="s">
        <v>5124</v>
      </c>
      <c r="I1176" s="129" t="s">
        <v>5124</v>
      </c>
      <c r="J1176" s="83" t="str">
        <f>VLOOKUP($C1176,CHOOSE({1,2},'[4]Prestações de Conta inadimplent'!$D$9:$D$2000,'[4]Prestações de Conta inadimplent'!$C$9:$C$2000),2,0)</f>
        <v>Colegio Estadual Padre Vieira</v>
      </c>
      <c r="L1176" s="85"/>
      <c r="M1176" s="85"/>
      <c r="N1176" s="84"/>
      <c r="O1176" s="84"/>
      <c r="S1176" s="84"/>
      <c r="U1176" s="85"/>
      <c r="AL1176" s="84"/>
      <c r="AM1176" s="84" t="s">
        <v>5263</v>
      </c>
      <c r="AN1176" s="92"/>
      <c r="AO1176" s="92"/>
      <c r="AP1176" s="92"/>
      <c r="AQ1176" s="92"/>
      <c r="AR1176" s="92"/>
    </row>
    <row r="1177" spans="1:44" ht="24" customHeight="1" x14ac:dyDescent="0.25">
      <c r="A1177" s="125" t="s">
        <v>4612</v>
      </c>
      <c r="B1177" s="126" t="s">
        <v>142</v>
      </c>
      <c r="C1177" s="127">
        <v>1131550</v>
      </c>
      <c r="D1177" s="127">
        <v>1103420</v>
      </c>
      <c r="E1177" s="127">
        <v>29013259</v>
      </c>
      <c r="F1177" s="133" t="s">
        <v>5277</v>
      </c>
      <c r="G1177" s="134" t="s">
        <v>5124</v>
      </c>
      <c r="H1177" s="134" t="s">
        <v>5124</v>
      </c>
      <c r="I1177" s="129" t="s">
        <v>5124</v>
      </c>
      <c r="J1177" s="83" t="str">
        <f>VLOOKUP($C1177,CHOOSE({1,2},'[4]Prestações de Conta inadimplent'!$D$9:$D$2000,'[4]Prestações de Conta inadimplent'!$C$9:$C$2000),2,0)</f>
        <v>Colegio Estadual De Correntina</v>
      </c>
      <c r="L1177" s="85"/>
      <c r="M1177" s="85"/>
      <c r="N1177" s="84"/>
      <c r="O1177" s="84"/>
      <c r="S1177" s="84"/>
      <c r="U1177" s="85"/>
      <c r="AL1177" s="84"/>
      <c r="AM1177" s="84"/>
      <c r="AN1177" s="92"/>
      <c r="AO1177" s="92"/>
      <c r="AP1177" s="92"/>
      <c r="AQ1177" s="92"/>
      <c r="AR1177" s="92"/>
    </row>
    <row r="1178" spans="1:44" ht="24" customHeight="1" x14ac:dyDescent="0.25">
      <c r="A1178" s="125" t="s">
        <v>4709</v>
      </c>
      <c r="B1178" s="126" t="s">
        <v>1053</v>
      </c>
      <c r="C1178" s="127">
        <v>1179594</v>
      </c>
      <c r="D1178" s="127">
        <v>9999999</v>
      </c>
      <c r="E1178" s="127">
        <v>29470471</v>
      </c>
      <c r="F1178" s="133" t="s">
        <v>5278</v>
      </c>
      <c r="G1178" s="134" t="s">
        <v>5124</v>
      </c>
      <c r="H1178" s="134" t="s">
        <v>5124</v>
      </c>
      <c r="I1178" s="129" t="s">
        <v>5124</v>
      </c>
      <c r="J1178" s="83" t="str">
        <f>VLOOKUP($C1178,CHOOSE({1,2},'[4]Prestações de Conta inadimplent'!$D$9:$D$2000,'[4]Prestações de Conta inadimplent'!$C$9:$C$2000),2,0)</f>
        <v>Colegio Estadual Angiolina Teixeira De Souza</v>
      </c>
      <c r="L1178" s="85"/>
      <c r="M1178" s="85"/>
      <c r="N1178" s="84"/>
      <c r="O1178" s="84"/>
      <c r="S1178" s="84"/>
      <c r="U1178" s="85"/>
      <c r="AL1178" s="84"/>
      <c r="AM1178" s="84" t="s">
        <v>5263</v>
      </c>
      <c r="AN1178" s="92"/>
      <c r="AO1178" s="92"/>
      <c r="AP1178" s="92"/>
      <c r="AQ1178" s="92"/>
      <c r="AR1178" s="92"/>
    </row>
    <row r="1179" spans="1:44" ht="24" customHeight="1" x14ac:dyDescent="0.25">
      <c r="A1179" s="125" t="s">
        <v>4709</v>
      </c>
      <c r="B1179" s="126" t="s">
        <v>1053</v>
      </c>
      <c r="C1179" s="127">
        <v>1179484</v>
      </c>
      <c r="D1179" s="127">
        <v>9999999</v>
      </c>
      <c r="E1179" s="127">
        <v>29467888</v>
      </c>
      <c r="F1179" s="133" t="s">
        <v>5279</v>
      </c>
      <c r="G1179" s="134" t="s">
        <v>5124</v>
      </c>
      <c r="H1179" s="134" t="s">
        <v>5124</v>
      </c>
      <c r="I1179" s="129" t="s">
        <v>5124</v>
      </c>
      <c r="J1179" s="83" t="str">
        <f>VLOOKUP($C1179,CHOOSE({1,2},'[4]Prestações de Conta inadimplent'!$D$9:$D$2000,'[4]Prestações de Conta inadimplent'!$C$9:$C$2000),2,0)</f>
        <v>Colegio Estadual Do Phoc</v>
      </c>
      <c r="L1179" s="85"/>
      <c r="M1179" s="85"/>
      <c r="N1179" s="84"/>
      <c r="O1179" s="84"/>
      <c r="S1179" s="84"/>
      <c r="U1179" s="85"/>
      <c r="AL1179" s="84"/>
      <c r="AM1179" s="84" t="s">
        <v>5263</v>
      </c>
      <c r="AN1179" s="92"/>
      <c r="AO1179" s="92"/>
      <c r="AP1179" s="92"/>
      <c r="AQ1179" s="92"/>
      <c r="AR1179" s="92"/>
    </row>
    <row r="1180" spans="1:44" ht="18" customHeight="1" x14ac:dyDescent="0.25">
      <c r="A1180" s="154" t="s">
        <v>3237</v>
      </c>
      <c r="B1180" s="126" t="s">
        <v>1567</v>
      </c>
      <c r="C1180" s="132">
        <v>1133073</v>
      </c>
      <c r="D1180" s="132">
        <v>1103529</v>
      </c>
      <c r="E1180" s="132">
        <v>29220246</v>
      </c>
      <c r="F1180" s="133" t="s">
        <v>5280</v>
      </c>
      <c r="G1180" s="134" t="s">
        <v>5124</v>
      </c>
      <c r="H1180" s="134" t="s">
        <v>5124</v>
      </c>
      <c r="I1180" s="129" t="s">
        <v>5124</v>
      </c>
      <c r="J1180" s="83" t="e">
        <f>VLOOKUP($C1180,CHOOSE({1,2},'[4]Prestações de Conta inadimplent'!$D$9:$D$2000,'[4]Prestações de Conta inadimplent'!$C$9:$C$2000),2,0)</f>
        <v>#N/A</v>
      </c>
      <c r="L1180" s="85"/>
      <c r="M1180" s="85"/>
      <c r="N1180" s="84"/>
      <c r="O1180" s="84"/>
      <c r="S1180" s="84"/>
      <c r="U1180" s="85"/>
    </row>
    <row r="1181" spans="1:44" ht="18" customHeight="1" x14ac:dyDescent="0.25">
      <c r="A1181" s="154" t="s">
        <v>3706</v>
      </c>
      <c r="B1181" s="126" t="s">
        <v>1648</v>
      </c>
      <c r="C1181" s="127">
        <v>1110359</v>
      </c>
      <c r="D1181" s="127">
        <v>1103672</v>
      </c>
      <c r="E1181" s="127">
        <v>29231264</v>
      </c>
      <c r="F1181" s="133" t="s">
        <v>5281</v>
      </c>
      <c r="G1181" s="134" t="s">
        <v>5124</v>
      </c>
      <c r="H1181" s="134" t="s">
        <v>5124</v>
      </c>
      <c r="I1181" s="129" t="s">
        <v>5124</v>
      </c>
      <c r="J1181" s="83" t="str">
        <f>VLOOKUP($C1181,CHOOSE({1,2},'[4]Prestações de Conta inadimplent'!$D$9:$D$2000,'[4]Prestações de Conta inadimplent'!$C$9:$C$2000),2,0)</f>
        <v>Colegio Estadual Juvenilia Peixoto Sampaio</v>
      </c>
      <c r="L1181" s="85"/>
      <c r="M1181" s="85"/>
      <c r="N1181" s="84"/>
      <c r="O1181" s="84"/>
      <c r="S1181" s="84"/>
      <c r="U1181" s="85"/>
    </row>
    <row r="1182" spans="1:44" ht="18" customHeight="1" x14ac:dyDescent="0.25">
      <c r="A1182" s="154" t="s">
        <v>4268</v>
      </c>
      <c r="B1182" s="126" t="s">
        <v>539</v>
      </c>
      <c r="C1182" s="127">
        <v>1176449</v>
      </c>
      <c r="D1182" s="127">
        <v>1100656</v>
      </c>
      <c r="E1182" s="127">
        <v>29387019</v>
      </c>
      <c r="F1182" s="133" t="s">
        <v>5282</v>
      </c>
      <c r="G1182" s="134" t="s">
        <v>5124</v>
      </c>
      <c r="H1182" s="134" t="s">
        <v>5124</v>
      </c>
      <c r="I1182" s="129" t="s">
        <v>5124</v>
      </c>
      <c r="J1182" s="83" t="str">
        <f>VLOOKUP($C1182,CHOOSE({1,2},'[4]Prestações de Conta inadimplent'!$D$9:$D$2000,'[4]Prestações de Conta inadimplent'!$C$9:$C$2000),2,0)</f>
        <v>Colegio Estadual Carmen Andrade Lima</v>
      </c>
      <c r="L1182" s="85"/>
      <c r="M1182" s="85"/>
      <c r="N1182" s="84"/>
      <c r="O1182" s="84"/>
      <c r="S1182" s="84"/>
      <c r="U1182" s="85"/>
    </row>
    <row r="1183" spans="1:44" ht="18" customHeight="1" x14ac:dyDescent="0.25">
      <c r="A1183" s="154" t="s">
        <v>4374</v>
      </c>
      <c r="B1183" s="126" t="s">
        <v>1821</v>
      </c>
      <c r="C1183" s="127">
        <v>1125070</v>
      </c>
      <c r="D1183" s="127">
        <v>1102866</v>
      </c>
      <c r="E1183" s="127">
        <v>29277256</v>
      </c>
      <c r="F1183" s="133" t="s">
        <v>5283</v>
      </c>
      <c r="G1183" s="134" t="s">
        <v>5124</v>
      </c>
      <c r="H1183" s="134" t="s">
        <v>5124</v>
      </c>
      <c r="I1183" s="129" t="s">
        <v>5124</v>
      </c>
      <c r="J1183" s="83" t="e">
        <f>VLOOKUP($C1183,CHOOSE({1,2},'[4]Prestações de Conta inadimplent'!$D$9:$D$2000,'[4]Prestações de Conta inadimplent'!$C$9:$C$2000),2,0)</f>
        <v>#N/A</v>
      </c>
      <c r="L1183" s="85"/>
      <c r="M1183" s="85"/>
      <c r="N1183" s="84"/>
      <c r="O1183" s="84"/>
      <c r="S1183" s="84"/>
      <c r="U1183" s="85"/>
    </row>
    <row r="1184" spans="1:44" ht="19.5" customHeight="1" x14ac:dyDescent="0.25">
      <c r="A1184" s="154">
        <v>9</v>
      </c>
      <c r="B1184" s="126" t="s">
        <v>1609</v>
      </c>
      <c r="C1184" s="127">
        <v>1118007</v>
      </c>
      <c r="D1184" s="127">
        <v>1102269</v>
      </c>
      <c r="E1184" s="127">
        <v>29226511</v>
      </c>
      <c r="F1184" s="133" t="s">
        <v>5284</v>
      </c>
      <c r="G1184" s="134" t="s">
        <v>5124</v>
      </c>
      <c r="H1184" s="134" t="s">
        <v>5124</v>
      </c>
      <c r="I1184" s="129" t="s">
        <v>5124</v>
      </c>
      <c r="J1184" s="83" t="e">
        <f>VLOOKUP($C1184,CHOOSE({1,2},'[4]Prestações de Conta inadimplent'!$D$9:$D$2000,'[4]Prestações de Conta inadimplent'!$C$9:$C$2000),2,0)</f>
        <v>#N/A</v>
      </c>
      <c r="L1184" s="85"/>
      <c r="M1184" s="85"/>
      <c r="N1184" s="84"/>
      <c r="O1184" s="84"/>
      <c r="S1184" s="84"/>
      <c r="U1184" s="85"/>
    </row>
    <row r="1185" spans="1:40" ht="19.5" customHeight="1" x14ac:dyDescent="0.25">
      <c r="A1185" s="154" t="s">
        <v>3237</v>
      </c>
      <c r="B1185" s="126" t="s">
        <v>1551</v>
      </c>
      <c r="C1185" s="155">
        <v>1123353</v>
      </c>
      <c r="D1185" s="155">
        <v>1102699</v>
      </c>
      <c r="E1185" s="155">
        <v>29215412</v>
      </c>
      <c r="F1185" s="156" t="s">
        <v>5285</v>
      </c>
      <c r="G1185" s="134" t="s">
        <v>5124</v>
      </c>
      <c r="H1185" s="134" t="s">
        <v>5124</v>
      </c>
      <c r="I1185" s="129" t="s">
        <v>5124</v>
      </c>
      <c r="J1185" s="83" t="str">
        <f>VLOOKUP($C1185,CHOOSE({1,2},'[4]Prestações de Conta inadimplent'!$D$9:$D$2000,'[4]Prestações de Conta inadimplent'!$C$9:$C$2000),2,0)</f>
        <v>Colegio Estadual Professora Isaura Santos</v>
      </c>
      <c r="L1185" s="85"/>
      <c r="M1185" s="85"/>
      <c r="N1185" s="84"/>
      <c r="O1185" s="84"/>
      <c r="S1185" s="84"/>
      <c r="U1185" s="85"/>
    </row>
    <row r="1186" spans="1:40" s="162" customFormat="1" ht="23.25" customHeight="1" x14ac:dyDescent="0.25">
      <c r="A1186" s="157">
        <v>10</v>
      </c>
      <c r="B1186" s="158" t="s">
        <v>176</v>
      </c>
      <c r="C1186" s="159">
        <v>1161204</v>
      </c>
      <c r="D1186" s="127">
        <v>9999999</v>
      </c>
      <c r="E1186" s="159">
        <v>29025079</v>
      </c>
      <c r="F1186" s="138" t="s">
        <v>5286</v>
      </c>
      <c r="G1186" s="160" t="s">
        <v>5124</v>
      </c>
      <c r="H1186" s="134" t="s">
        <v>5124</v>
      </c>
      <c r="I1186" s="129" t="s">
        <v>5124</v>
      </c>
      <c r="J1186" s="83" t="str">
        <f>VLOOKUP($C1186,CHOOSE({1,2},'[4]Prestações de Conta inadimplent'!$D$9:$D$2000,'[4]Prestações de Conta inadimplent'!$C$9:$C$2000),2,0)</f>
        <v>Colegio Estadual Professor Pedro Raimundo Rodrigues Rego</v>
      </c>
      <c r="K1186" s="161"/>
      <c r="L1186" s="85"/>
      <c r="M1186" s="85"/>
      <c r="N1186" s="84"/>
      <c r="O1186" s="84"/>
      <c r="S1186" s="84"/>
      <c r="T1186" s="163"/>
      <c r="U1186" s="85"/>
      <c r="V1186" s="164"/>
      <c r="W1186" s="161"/>
      <c r="X1186" s="165"/>
      <c r="Y1186" s="166"/>
      <c r="Z1186" s="165"/>
      <c r="AA1186" s="165"/>
      <c r="AB1186" s="165"/>
      <c r="AF1186" s="167"/>
      <c r="AH1186" s="161"/>
      <c r="AN1186" s="168"/>
    </row>
    <row r="1187" spans="1:40" ht="24" customHeight="1" x14ac:dyDescent="0.25">
      <c r="A1187" s="154" t="s">
        <v>4709</v>
      </c>
      <c r="B1187" s="126" t="s">
        <v>1092</v>
      </c>
      <c r="C1187" s="127">
        <v>1104340</v>
      </c>
      <c r="D1187" s="127">
        <v>1100463</v>
      </c>
      <c r="E1187" s="127">
        <v>29188601</v>
      </c>
      <c r="F1187" s="133" t="s">
        <v>5287</v>
      </c>
      <c r="G1187" s="160" t="s">
        <v>5124</v>
      </c>
      <c r="H1187" s="134" t="s">
        <v>5124</v>
      </c>
      <c r="I1187" s="129" t="s">
        <v>5124</v>
      </c>
      <c r="J1187" s="83" t="str">
        <f>VLOOKUP($C1187,CHOOSE({1,2},'[4]Prestações de Conta inadimplent'!$D$9:$D$2000,'[4]Prestações de Conta inadimplent'!$C$9:$C$2000),2,0)</f>
        <v>Colegio Estadual Vitor Soares</v>
      </c>
      <c r="L1187" s="85"/>
      <c r="M1187" s="85"/>
      <c r="N1187" s="84"/>
      <c r="O1187" s="84"/>
      <c r="S1187" s="84"/>
    </row>
    <row r="1188" spans="1:40" ht="27" customHeight="1" x14ac:dyDescent="0.25">
      <c r="A1188" s="154" t="s">
        <v>4374</v>
      </c>
      <c r="B1188" s="126" t="s">
        <v>1831</v>
      </c>
      <c r="C1188" s="127">
        <v>1125232</v>
      </c>
      <c r="D1188" s="127">
        <v>1102874</v>
      </c>
      <c r="E1188" s="127">
        <v>29277728</v>
      </c>
      <c r="F1188" s="133" t="s">
        <v>5288</v>
      </c>
      <c r="G1188" s="160" t="s">
        <v>5124</v>
      </c>
      <c r="H1188" s="134" t="s">
        <v>5124</v>
      </c>
      <c r="I1188" s="129" t="s">
        <v>5124</v>
      </c>
      <c r="J1188" s="83" t="str">
        <f>VLOOKUP($C1188,CHOOSE({1,2},'[4]Prestações de Conta inadimplent'!$D$9:$D$2000,'[4]Prestações de Conta inadimplent'!$C$9:$C$2000),2,0)</f>
        <v>Colegio Estadual Abdias Menezes</v>
      </c>
      <c r="L1188" s="85"/>
      <c r="M1188" s="85"/>
      <c r="N1188" s="84"/>
      <c r="O1188" s="84"/>
      <c r="S1188" s="84"/>
    </row>
    <row r="1189" spans="1:40" ht="22.5" customHeight="1" x14ac:dyDescent="0.25">
      <c r="A1189" s="169">
        <v>26</v>
      </c>
      <c r="B1189" s="170" t="s">
        <v>962</v>
      </c>
      <c r="C1189" s="171">
        <v>1134177</v>
      </c>
      <c r="D1189" s="171">
        <v>1103823</v>
      </c>
      <c r="E1189" s="171">
        <v>29159644</v>
      </c>
      <c r="F1189" s="172" t="s">
        <v>5289</v>
      </c>
      <c r="G1189" s="160" t="s">
        <v>5124</v>
      </c>
      <c r="H1189" s="134" t="s">
        <v>5124</v>
      </c>
      <c r="I1189" s="129" t="s">
        <v>5124</v>
      </c>
      <c r="J1189" s="83" t="e">
        <f>VLOOKUP($C1189,CHOOSE({1,2},'[4]Prestações de Conta inadimplent'!$D$9:$D$2000,'[4]Prestações de Conta inadimplent'!$C$9:$C$2000),2,0)</f>
        <v>#N/A</v>
      </c>
      <c r="N1189" s="84"/>
      <c r="O1189" s="84"/>
    </row>
    <row r="1190" spans="1:40" ht="22.5" customHeight="1" x14ac:dyDescent="0.25">
      <c r="A1190" s="173">
        <v>4</v>
      </c>
      <c r="B1190" s="137" t="s">
        <v>794</v>
      </c>
      <c r="C1190" s="136">
        <v>1178114</v>
      </c>
      <c r="D1190" s="136">
        <v>1105050</v>
      </c>
      <c r="E1190" s="136">
        <v>29417880</v>
      </c>
      <c r="F1190" s="174" t="s">
        <v>5290</v>
      </c>
      <c r="G1190" s="160" t="s">
        <v>5124</v>
      </c>
      <c r="H1190" s="134" t="s">
        <v>5124</v>
      </c>
      <c r="I1190" s="129" t="s">
        <v>5124</v>
      </c>
      <c r="J1190" s="83" t="str">
        <f>VLOOKUP($C1190,CHOOSE({1,2},'[4]Prestações de Conta inadimplent'!$D$9:$D$2000,'[4]Prestações de Conta inadimplent'!$C$9:$C$2000),2,0)</f>
        <v>Instituto Educacional De Pedra Alta</v>
      </c>
      <c r="N1190" s="84"/>
      <c r="O1190" s="84"/>
    </row>
    <row r="1191" spans="1:40" ht="17.25" customHeight="1" x14ac:dyDescent="0.25">
      <c r="A1191" s="142" t="s">
        <v>3935</v>
      </c>
      <c r="B1191" s="141" t="s">
        <v>1701</v>
      </c>
      <c r="C1191" s="142">
        <v>1161751</v>
      </c>
      <c r="D1191" s="142">
        <v>1103178</v>
      </c>
      <c r="E1191" s="142">
        <v>29242231</v>
      </c>
      <c r="F1191" s="175" t="s">
        <v>5291</v>
      </c>
      <c r="G1191" s="176" t="s">
        <v>5222</v>
      </c>
      <c r="H1191" s="176" t="s">
        <v>5222</v>
      </c>
      <c r="I1191" s="176" t="s">
        <v>5222</v>
      </c>
      <c r="J1191" s="83" t="e">
        <f>VLOOKUP($C1191,CHOOSE({1,2},'[4]Prestações de Conta inadimplent'!$D$9:$D$2000,'[4]Prestações de Conta inadimplent'!$C$9:$C$2000),2,0)</f>
        <v>#N/A</v>
      </c>
      <c r="N1191" s="84"/>
      <c r="O1191" s="84"/>
    </row>
    <row r="1192" spans="1:40" ht="23.25" customHeight="1" x14ac:dyDescent="0.25">
      <c r="A1192" s="169">
        <v>18</v>
      </c>
      <c r="B1192" s="170" t="s">
        <v>876</v>
      </c>
      <c r="C1192" s="171">
        <v>1107986</v>
      </c>
      <c r="D1192" s="171">
        <v>1101116</v>
      </c>
      <c r="E1192" s="171">
        <v>29149878</v>
      </c>
      <c r="F1192" s="172" t="s">
        <v>5292</v>
      </c>
      <c r="G1192" s="160" t="s">
        <v>5124</v>
      </c>
      <c r="H1192" s="134" t="s">
        <v>5124</v>
      </c>
      <c r="I1192" s="129" t="s">
        <v>5124</v>
      </c>
      <c r="J1192" s="83" t="str">
        <f>VLOOKUP($C1192,CHOOSE({1,2},'[4]Prestações de Conta inadimplent'!$D$9:$D$2000,'[4]Prestações de Conta inadimplent'!$C$9:$C$2000),2,0)</f>
        <v>Colegio Estadual Doutor Magalhaes Neto</v>
      </c>
    </row>
    <row r="1193" spans="1:40" ht="18.75" customHeight="1" x14ac:dyDescent="0.25">
      <c r="A1193" s="154" t="s">
        <v>3846</v>
      </c>
      <c r="B1193" s="126" t="s">
        <v>98</v>
      </c>
      <c r="C1193" s="127">
        <v>1130902</v>
      </c>
      <c r="D1193" s="127">
        <v>1103357</v>
      </c>
      <c r="E1193" s="127">
        <v>29004403</v>
      </c>
      <c r="F1193" s="133" t="s">
        <v>99</v>
      </c>
      <c r="G1193" s="160" t="s">
        <v>5124</v>
      </c>
      <c r="H1193" s="134" t="s">
        <v>5124</v>
      </c>
      <c r="I1193" s="129" t="s">
        <v>5124</v>
      </c>
      <c r="J1193" s="83" t="e">
        <f>VLOOKUP($C1193,CHOOSE({1,2},'[4]Prestações de Conta inadimplent'!$D$9:$D$2000,'[4]Prestações de Conta inadimplent'!$C$9:$C$2000),2,0)</f>
        <v>#N/A</v>
      </c>
    </row>
    <row r="1194" spans="1:40" ht="22.5" customHeight="1" x14ac:dyDescent="0.25">
      <c r="A1194" s="154" t="s">
        <v>3764</v>
      </c>
      <c r="B1194" s="126" t="s">
        <v>212</v>
      </c>
      <c r="C1194" s="127">
        <v>1120990</v>
      </c>
      <c r="D1194" s="127">
        <v>1102470</v>
      </c>
      <c r="E1194" s="127">
        <v>29031761</v>
      </c>
      <c r="F1194" s="133" t="s">
        <v>5293</v>
      </c>
      <c r="G1194" s="160" t="s">
        <v>5124</v>
      </c>
      <c r="H1194" s="134" t="s">
        <v>5124</v>
      </c>
      <c r="I1194" s="129" t="s">
        <v>5124</v>
      </c>
    </row>
    <row r="1195" spans="1:40" ht="22.5" customHeight="1" x14ac:dyDescent="0.25">
      <c r="A1195" s="154" t="s">
        <v>4268</v>
      </c>
      <c r="B1195" s="126" t="s">
        <v>539</v>
      </c>
      <c r="C1195" s="127">
        <v>1142994</v>
      </c>
      <c r="D1195" s="127">
        <v>1100646</v>
      </c>
      <c r="E1195" s="127">
        <v>29093295</v>
      </c>
      <c r="F1195" s="133" t="s">
        <v>5294</v>
      </c>
      <c r="G1195" s="160" t="s">
        <v>5124</v>
      </c>
      <c r="H1195" s="134" t="s">
        <v>5124</v>
      </c>
      <c r="I1195" s="129" t="s">
        <v>5124</v>
      </c>
    </row>
  </sheetData>
  <autoFilter ref="A3:AR1195" xr:uid="{00000000-0009-0000-0000-000000000000}"/>
  <conditionalFormatting sqref="E9">
    <cfRule type="duplicateValues" dxfId="173" priority="143"/>
  </conditionalFormatting>
  <conditionalFormatting sqref="E9">
    <cfRule type="duplicateValues" dxfId="172" priority="144" stopIfTrue="1"/>
    <cfRule type="duplicateValues" dxfId="171" priority="145" stopIfTrue="1"/>
  </conditionalFormatting>
  <conditionalFormatting sqref="E167">
    <cfRule type="duplicateValues" dxfId="170" priority="140"/>
  </conditionalFormatting>
  <conditionalFormatting sqref="E167">
    <cfRule type="duplicateValues" dxfId="169" priority="141" stopIfTrue="1"/>
    <cfRule type="duplicateValues" dxfId="168" priority="142" stopIfTrue="1"/>
  </conditionalFormatting>
  <conditionalFormatting sqref="E2:E3">
    <cfRule type="duplicateValues" dxfId="167" priority="146" stopIfTrue="1"/>
  </conditionalFormatting>
  <conditionalFormatting sqref="C9">
    <cfRule type="duplicateValues" dxfId="166" priority="147" stopIfTrue="1"/>
  </conditionalFormatting>
  <conditionalFormatting sqref="C167">
    <cfRule type="duplicateValues" dxfId="165" priority="148" stopIfTrue="1"/>
  </conditionalFormatting>
  <conditionalFormatting sqref="C2:C3">
    <cfRule type="duplicateValues" dxfId="164" priority="149" stopIfTrue="1"/>
    <cfRule type="duplicateValues" dxfId="163" priority="150" stopIfTrue="1"/>
  </conditionalFormatting>
  <conditionalFormatting sqref="H1062">
    <cfRule type="duplicateValues" dxfId="162" priority="139" stopIfTrue="1"/>
  </conditionalFormatting>
  <conditionalFormatting sqref="H1062">
    <cfRule type="duplicateValues" dxfId="161" priority="138"/>
  </conditionalFormatting>
  <conditionalFormatting sqref="E1112">
    <cfRule type="duplicateValues" dxfId="160" priority="135"/>
  </conditionalFormatting>
  <conditionalFormatting sqref="E1112">
    <cfRule type="duplicateValues" dxfId="159" priority="133" stopIfTrue="1"/>
    <cfRule type="duplicateValues" dxfId="158" priority="134" stopIfTrue="1"/>
  </conditionalFormatting>
  <conditionalFormatting sqref="C1112">
    <cfRule type="duplicateValues" dxfId="157" priority="136"/>
  </conditionalFormatting>
  <conditionalFormatting sqref="C1112">
    <cfRule type="duplicateValues" dxfId="156" priority="137" stopIfTrue="1"/>
  </conditionalFormatting>
  <conditionalFormatting sqref="C1113">
    <cfRule type="duplicateValues" dxfId="155" priority="128"/>
  </conditionalFormatting>
  <conditionalFormatting sqref="C1113">
    <cfRule type="duplicateValues" dxfId="154" priority="129" stopIfTrue="1"/>
  </conditionalFormatting>
  <conditionalFormatting sqref="E1113">
    <cfRule type="duplicateValues" dxfId="153" priority="130"/>
  </conditionalFormatting>
  <conditionalFormatting sqref="E1113">
    <cfRule type="duplicateValues" dxfId="152" priority="131" stopIfTrue="1"/>
    <cfRule type="duplicateValues" dxfId="151" priority="132" stopIfTrue="1"/>
  </conditionalFormatting>
  <conditionalFormatting sqref="C1114">
    <cfRule type="duplicateValues" dxfId="150" priority="123"/>
  </conditionalFormatting>
  <conditionalFormatting sqref="C1114">
    <cfRule type="duplicateValues" dxfId="149" priority="124" stopIfTrue="1"/>
  </conditionalFormatting>
  <conditionalFormatting sqref="E1114">
    <cfRule type="duplicateValues" dxfId="148" priority="125"/>
  </conditionalFormatting>
  <conditionalFormatting sqref="E1114">
    <cfRule type="duplicateValues" dxfId="147" priority="126" stopIfTrue="1"/>
    <cfRule type="duplicateValues" dxfId="146" priority="127" stopIfTrue="1"/>
  </conditionalFormatting>
  <conditionalFormatting sqref="C1186 C1133:C1134 C1:C4 C92:C95 C184:C225 C261:C281 C381:C433 C1138:C1139 C311:C313 C1156 C651:C740 C1162 C62:C78 C590:C592 C460:C463 C294:C309 C450:C458 C529:C587 C97 C174:C182 C334:C379 C594:C647 C286:C292 C315:C332 C1196:C1048576 C6:C60 C99:C172 C80:C90 C435:C437 C465:C527 C284 C742:C1028 C227:C259 C439:C448 C1030:C1114">
    <cfRule type="duplicateValues" dxfId="145" priority="122"/>
  </conditionalFormatting>
  <conditionalFormatting sqref="C1115">
    <cfRule type="duplicateValues" dxfId="144" priority="117"/>
  </conditionalFormatting>
  <conditionalFormatting sqref="C1115">
    <cfRule type="duplicateValues" dxfId="143" priority="118" stopIfTrue="1"/>
  </conditionalFormatting>
  <conditionalFormatting sqref="E1115">
    <cfRule type="duplicateValues" dxfId="142" priority="119"/>
  </conditionalFormatting>
  <conditionalFormatting sqref="E1115">
    <cfRule type="duplicateValues" dxfId="141" priority="120" stopIfTrue="1"/>
    <cfRule type="duplicateValues" dxfId="140" priority="121" stopIfTrue="1"/>
  </conditionalFormatting>
  <conditionalFormatting sqref="E1116">
    <cfRule type="duplicateValues" dxfId="139" priority="114"/>
  </conditionalFormatting>
  <conditionalFormatting sqref="E1116">
    <cfRule type="duplicateValues" dxfId="138" priority="115" stopIfTrue="1"/>
    <cfRule type="duplicateValues" dxfId="137" priority="116" stopIfTrue="1"/>
  </conditionalFormatting>
  <conditionalFormatting sqref="C1116">
    <cfRule type="duplicateValues" dxfId="136" priority="151"/>
  </conditionalFormatting>
  <conditionalFormatting sqref="C1116">
    <cfRule type="duplicateValues" dxfId="135" priority="152" stopIfTrue="1"/>
  </conditionalFormatting>
  <conditionalFormatting sqref="E184:E225 E168:E172 E10:E60 E2:E4 E92:E95 E62:E78 E97 E174:E182 E6:E8 E99:E166 E80:E90 E227:E245">
    <cfRule type="duplicateValues" dxfId="134" priority="153"/>
  </conditionalFormatting>
  <conditionalFormatting sqref="E184:E225 E168:E172 E56:E60 E10:E54 E4 E92:E95 E62:E78 E97 E174:E182 E6:E8 E99:E166 E80:E90 E227:E245">
    <cfRule type="duplicateValues" dxfId="133" priority="154" stopIfTrue="1"/>
    <cfRule type="duplicateValues" dxfId="132" priority="155" stopIfTrue="1"/>
  </conditionalFormatting>
  <conditionalFormatting sqref="C184:C225 C168:C172 C2:C4 C92:C95 C62:C78 C97 C174:C182 C6:C60 C99:C166 C80:C90 C227:C245">
    <cfRule type="duplicateValues" dxfId="131" priority="156"/>
  </conditionalFormatting>
  <conditionalFormatting sqref="C184:C225 C168:C172 C10:C60 C4 C92:C95 C62:C78 C97 C174:C182 C6:C8 C99:C166 C80:C90 C227:C245">
    <cfRule type="duplicateValues" dxfId="130" priority="157" stopIfTrue="1"/>
  </conditionalFormatting>
  <conditionalFormatting sqref="C1123">
    <cfRule type="duplicateValues" dxfId="129" priority="113"/>
  </conditionalFormatting>
  <conditionalFormatting sqref="E1186 E1133:E1134 E1:E4 E92:E95 E184:E225 E261:E281 E381:E433 E1138:E1139 E311:E313 E1156 E651:E740 E62:E78 E590:E592 E460:E463 E294:E309 E450:E458 E529:E587 E97 E174:E182 E334:E379 E594:E647 E286:E292 E315:E332 E1196:E1048576 E6:E60 E99:E172 E80:E90 E435:E437 E465:E527 E284 E742:E1028 E227:E259 E439:E448 E1030:E1130">
    <cfRule type="duplicateValues" dxfId="128" priority="112"/>
  </conditionalFormatting>
  <conditionalFormatting sqref="C1131">
    <cfRule type="duplicateValues" dxfId="127" priority="106"/>
  </conditionalFormatting>
  <conditionalFormatting sqref="E1131">
    <cfRule type="duplicateValues" dxfId="126" priority="107"/>
  </conditionalFormatting>
  <conditionalFormatting sqref="E1131">
    <cfRule type="duplicateValues" dxfId="125" priority="108" stopIfTrue="1"/>
    <cfRule type="duplicateValues" dxfId="124" priority="109" stopIfTrue="1"/>
  </conditionalFormatting>
  <conditionalFormatting sqref="C1131">
    <cfRule type="duplicateValues" dxfId="123" priority="110"/>
  </conditionalFormatting>
  <conditionalFormatting sqref="C1131">
    <cfRule type="duplicateValues" dxfId="122" priority="111" stopIfTrue="1"/>
  </conditionalFormatting>
  <conditionalFormatting sqref="E1131">
    <cfRule type="duplicateValues" dxfId="121" priority="105"/>
  </conditionalFormatting>
  <conditionalFormatting sqref="C1132">
    <cfRule type="duplicateValues" dxfId="120" priority="104"/>
  </conditionalFormatting>
  <conditionalFormatting sqref="E1132">
    <cfRule type="duplicateValues" dxfId="119" priority="103"/>
  </conditionalFormatting>
  <conditionalFormatting sqref="C183">
    <cfRule type="duplicateValues" dxfId="118" priority="98"/>
  </conditionalFormatting>
  <conditionalFormatting sqref="E183">
    <cfRule type="duplicateValues" dxfId="117" priority="99"/>
  </conditionalFormatting>
  <conditionalFormatting sqref="C183">
    <cfRule type="duplicateValues" dxfId="116" priority="100" stopIfTrue="1"/>
  </conditionalFormatting>
  <conditionalFormatting sqref="E183">
    <cfRule type="duplicateValues" dxfId="115" priority="101" stopIfTrue="1"/>
    <cfRule type="duplicateValues" dxfId="114" priority="102" stopIfTrue="1"/>
  </conditionalFormatting>
  <conditionalFormatting sqref="C650">
    <cfRule type="duplicateValues" dxfId="113" priority="97"/>
  </conditionalFormatting>
  <conditionalFormatting sqref="E650">
    <cfRule type="duplicateValues" dxfId="112" priority="96"/>
  </conditionalFormatting>
  <conditionalFormatting sqref="C1135">
    <cfRule type="duplicateValues" dxfId="111" priority="95"/>
  </conditionalFormatting>
  <conditionalFormatting sqref="E1135">
    <cfRule type="duplicateValues" dxfId="110" priority="94"/>
  </conditionalFormatting>
  <conditionalFormatting sqref="C1153">
    <cfRule type="duplicateValues" dxfId="109" priority="93"/>
  </conditionalFormatting>
  <conditionalFormatting sqref="E1153">
    <cfRule type="duplicateValues" dxfId="108" priority="92"/>
  </conditionalFormatting>
  <conditionalFormatting sqref="C1186 C1156 C1:C4 C1162 C62:C78 C590:C592 C460:C463 C294:C313 C450:C458 C529:C587 C97 C174:C225 C334:C433 C594:C647 C286:C292 C315:C332 C1196:C1048576 C6:C60 C99:C172 C650:C740 C80:C95 C435:C437 C465:C527 C284 C742:C1028 C227:C281 C439:C448 C1030:C1153">
    <cfRule type="duplicateValues" dxfId="107" priority="91"/>
  </conditionalFormatting>
  <conditionalFormatting sqref="C1154:C1155">
    <cfRule type="duplicateValues" dxfId="106" priority="85"/>
  </conditionalFormatting>
  <conditionalFormatting sqref="E1154">
    <cfRule type="duplicateValues" dxfId="105" priority="86"/>
  </conditionalFormatting>
  <conditionalFormatting sqref="E1154">
    <cfRule type="duplicateValues" dxfId="104" priority="87" stopIfTrue="1"/>
    <cfRule type="duplicateValues" dxfId="103" priority="88" stopIfTrue="1"/>
  </conditionalFormatting>
  <conditionalFormatting sqref="C1154">
    <cfRule type="duplicateValues" dxfId="102" priority="89"/>
  </conditionalFormatting>
  <conditionalFormatting sqref="C1154">
    <cfRule type="duplicateValues" dxfId="101" priority="90" stopIfTrue="1"/>
  </conditionalFormatting>
  <conditionalFormatting sqref="E1154:E1155">
    <cfRule type="duplicateValues" dxfId="100" priority="84"/>
  </conditionalFormatting>
  <conditionalFormatting sqref="C1154:C1155">
    <cfRule type="duplicateValues" dxfId="99" priority="83"/>
  </conditionalFormatting>
  <conditionalFormatting sqref="E1117">
    <cfRule type="duplicateValues" dxfId="98" priority="158"/>
  </conditionalFormatting>
  <conditionalFormatting sqref="E1117">
    <cfRule type="duplicateValues" dxfId="97" priority="159" stopIfTrue="1"/>
    <cfRule type="duplicateValues" dxfId="96" priority="160" stopIfTrue="1"/>
  </conditionalFormatting>
  <conditionalFormatting sqref="C1117">
    <cfRule type="duplicateValues" dxfId="95" priority="161"/>
  </conditionalFormatting>
  <conditionalFormatting sqref="C1117">
    <cfRule type="duplicateValues" dxfId="94" priority="162" stopIfTrue="1"/>
  </conditionalFormatting>
  <conditionalFormatting sqref="C1117:C1122">
    <cfRule type="duplicateValues" dxfId="93" priority="163"/>
  </conditionalFormatting>
  <conditionalFormatting sqref="C1158">
    <cfRule type="duplicateValues" dxfId="92" priority="82"/>
  </conditionalFormatting>
  <conditionalFormatting sqref="E1158">
    <cfRule type="duplicateValues" dxfId="91" priority="81"/>
  </conditionalFormatting>
  <conditionalFormatting sqref="C1158">
    <cfRule type="duplicateValues" dxfId="90" priority="80"/>
  </conditionalFormatting>
  <conditionalFormatting sqref="E333">
    <cfRule type="duplicateValues" dxfId="89" priority="79"/>
  </conditionalFormatting>
  <conditionalFormatting sqref="C333">
    <cfRule type="duplicateValues" dxfId="88" priority="78"/>
  </conditionalFormatting>
  <conditionalFormatting sqref="C1161">
    <cfRule type="duplicateValues" dxfId="87" priority="72"/>
  </conditionalFormatting>
  <conditionalFormatting sqref="E1161">
    <cfRule type="duplicateValues" dxfId="86" priority="73"/>
  </conditionalFormatting>
  <conditionalFormatting sqref="E1161">
    <cfRule type="duplicateValues" dxfId="85" priority="74" stopIfTrue="1"/>
    <cfRule type="duplicateValues" dxfId="84" priority="75" stopIfTrue="1"/>
  </conditionalFormatting>
  <conditionalFormatting sqref="C1161">
    <cfRule type="duplicateValues" dxfId="83" priority="76"/>
  </conditionalFormatting>
  <conditionalFormatting sqref="C1161">
    <cfRule type="duplicateValues" dxfId="82" priority="77" stopIfTrue="1"/>
  </conditionalFormatting>
  <conditionalFormatting sqref="E1161">
    <cfRule type="duplicateValues" dxfId="81" priority="71"/>
  </conditionalFormatting>
  <conditionalFormatting sqref="C1161">
    <cfRule type="duplicateValues" dxfId="80" priority="70"/>
  </conditionalFormatting>
  <conditionalFormatting sqref="C1186 C1:C4 C460:C463 C294:C313 C450:C458 C529:C592 C97 C174:C225 C594:C647 C286:C292 C315:C433 C1196:C1048576 C6:C78 C99:C172 C650:C740 C80:C95 C435:C437 C465:C527 C284 C742:C1028 C227:C281 C439:C448 C1030:C1162">
    <cfRule type="duplicateValues" dxfId="79" priority="69"/>
  </conditionalFormatting>
  <conditionalFormatting sqref="E1163:E1166">
    <cfRule type="duplicateValues" dxfId="78" priority="64"/>
  </conditionalFormatting>
  <conditionalFormatting sqref="E1163:E1166">
    <cfRule type="duplicateValues" dxfId="77" priority="65" stopIfTrue="1"/>
    <cfRule type="duplicateValues" dxfId="76" priority="66" stopIfTrue="1"/>
  </conditionalFormatting>
  <conditionalFormatting sqref="C1163:C1166">
    <cfRule type="duplicateValues" dxfId="75" priority="67"/>
  </conditionalFormatting>
  <conditionalFormatting sqref="C1163:C1166">
    <cfRule type="duplicateValues" dxfId="74" priority="68" stopIfTrue="1"/>
  </conditionalFormatting>
  <conditionalFormatting sqref="AL194">
    <cfRule type="duplicateValues" dxfId="73" priority="61"/>
  </conditionalFormatting>
  <conditionalFormatting sqref="AL194">
    <cfRule type="duplicateValues" dxfId="72" priority="62"/>
  </conditionalFormatting>
  <conditionalFormatting sqref="AL194">
    <cfRule type="duplicateValues" dxfId="71" priority="63" stopIfTrue="1"/>
  </conditionalFormatting>
  <conditionalFormatting sqref="AL194">
    <cfRule type="duplicateValues" dxfId="70" priority="60"/>
  </conditionalFormatting>
  <conditionalFormatting sqref="AL194">
    <cfRule type="duplicateValues" dxfId="69" priority="59"/>
  </conditionalFormatting>
  <conditionalFormatting sqref="C1163:C1179">
    <cfRule type="duplicateValues" dxfId="68" priority="164"/>
  </conditionalFormatting>
  <conditionalFormatting sqref="E1163:E1179">
    <cfRule type="duplicateValues" dxfId="67" priority="165"/>
  </conditionalFormatting>
  <conditionalFormatting sqref="C96">
    <cfRule type="duplicateValues" dxfId="66" priority="53"/>
  </conditionalFormatting>
  <conditionalFormatting sqref="E96">
    <cfRule type="duplicateValues" dxfId="65" priority="54"/>
  </conditionalFormatting>
  <conditionalFormatting sqref="E96">
    <cfRule type="duplicateValues" dxfId="64" priority="55" stopIfTrue="1"/>
    <cfRule type="duplicateValues" dxfId="63" priority="56" stopIfTrue="1"/>
  </conditionalFormatting>
  <conditionalFormatting sqref="C96">
    <cfRule type="duplicateValues" dxfId="62" priority="57"/>
  </conditionalFormatting>
  <conditionalFormatting sqref="C96">
    <cfRule type="duplicateValues" dxfId="61" priority="58" stopIfTrue="1"/>
  </conditionalFormatting>
  <conditionalFormatting sqref="E96">
    <cfRule type="duplicateValues" dxfId="60" priority="52"/>
  </conditionalFormatting>
  <conditionalFormatting sqref="C96">
    <cfRule type="duplicateValues" dxfId="59" priority="51"/>
  </conditionalFormatting>
  <conditionalFormatting sqref="C96">
    <cfRule type="duplicateValues" dxfId="58" priority="50"/>
  </conditionalFormatting>
  <conditionalFormatting sqref="C173">
    <cfRule type="duplicateValues" dxfId="57" priority="43"/>
  </conditionalFormatting>
  <conditionalFormatting sqref="E173">
    <cfRule type="duplicateValues" dxfId="56" priority="44"/>
  </conditionalFormatting>
  <conditionalFormatting sqref="E173">
    <cfRule type="duplicateValues" dxfId="55" priority="45" stopIfTrue="1"/>
    <cfRule type="duplicateValues" dxfId="54" priority="46" stopIfTrue="1"/>
  </conditionalFormatting>
  <conditionalFormatting sqref="C173">
    <cfRule type="duplicateValues" dxfId="53" priority="47"/>
  </conditionalFormatting>
  <conditionalFormatting sqref="C173">
    <cfRule type="duplicateValues" dxfId="52" priority="48" stopIfTrue="1"/>
  </conditionalFormatting>
  <conditionalFormatting sqref="E173">
    <cfRule type="duplicateValues" dxfId="51" priority="49"/>
  </conditionalFormatting>
  <conditionalFormatting sqref="C593">
    <cfRule type="duplicateValues" dxfId="50" priority="41"/>
  </conditionalFormatting>
  <conditionalFormatting sqref="E593">
    <cfRule type="duplicateValues" dxfId="49" priority="42"/>
  </conditionalFormatting>
  <conditionalFormatting sqref="E1180">
    <cfRule type="duplicateValues" dxfId="48" priority="166"/>
  </conditionalFormatting>
  <conditionalFormatting sqref="E1180">
    <cfRule type="duplicateValues" dxfId="47" priority="167" stopIfTrue="1"/>
    <cfRule type="duplicateValues" dxfId="46" priority="168" stopIfTrue="1"/>
  </conditionalFormatting>
  <conditionalFormatting sqref="C1180">
    <cfRule type="duplicateValues" dxfId="45" priority="169"/>
  </conditionalFormatting>
  <conditionalFormatting sqref="C1180">
    <cfRule type="duplicateValues" dxfId="44" priority="170" stopIfTrue="1"/>
  </conditionalFormatting>
  <conditionalFormatting sqref="C1185">
    <cfRule type="duplicateValues" dxfId="43" priority="35"/>
  </conditionalFormatting>
  <conditionalFormatting sqref="E1185">
    <cfRule type="duplicateValues" dxfId="42" priority="36"/>
  </conditionalFormatting>
  <conditionalFormatting sqref="E1185">
    <cfRule type="duplicateValues" dxfId="41" priority="37" stopIfTrue="1"/>
    <cfRule type="duplicateValues" dxfId="40" priority="38" stopIfTrue="1"/>
  </conditionalFormatting>
  <conditionalFormatting sqref="C1185">
    <cfRule type="duplicateValues" dxfId="39" priority="39"/>
  </conditionalFormatting>
  <conditionalFormatting sqref="C1185">
    <cfRule type="duplicateValues" dxfId="38" priority="40" stopIfTrue="1"/>
  </conditionalFormatting>
  <conditionalFormatting sqref="E1185">
    <cfRule type="duplicateValues" dxfId="37" priority="34"/>
  </conditionalFormatting>
  <conditionalFormatting sqref="C1185">
    <cfRule type="duplicateValues" dxfId="36" priority="33"/>
  </conditionalFormatting>
  <conditionalFormatting sqref="C1185">
    <cfRule type="duplicateValues" dxfId="35" priority="32"/>
  </conditionalFormatting>
  <conditionalFormatting sqref="C285">
    <cfRule type="duplicateValues" dxfId="34" priority="31"/>
  </conditionalFormatting>
  <conditionalFormatting sqref="E285">
    <cfRule type="duplicateValues" dxfId="33" priority="30"/>
  </conditionalFormatting>
  <conditionalFormatting sqref="C285">
    <cfRule type="duplicateValues" dxfId="32" priority="29"/>
  </conditionalFormatting>
  <conditionalFormatting sqref="C285">
    <cfRule type="duplicateValues" dxfId="31" priority="28"/>
  </conditionalFormatting>
  <conditionalFormatting sqref="C1184">
    <cfRule type="duplicateValues" dxfId="30" priority="171"/>
  </conditionalFormatting>
  <conditionalFormatting sqref="E1184">
    <cfRule type="duplicateValues" dxfId="29" priority="172"/>
  </conditionalFormatting>
  <conditionalFormatting sqref="C1187">
    <cfRule type="duplicateValues" dxfId="28" priority="27"/>
  </conditionalFormatting>
  <conditionalFormatting sqref="E1187">
    <cfRule type="duplicateValues" dxfId="27" priority="26"/>
  </conditionalFormatting>
  <conditionalFormatting sqref="C1187">
    <cfRule type="duplicateValues" dxfId="26" priority="25"/>
  </conditionalFormatting>
  <conditionalFormatting sqref="C1187">
    <cfRule type="duplicateValues" dxfId="25" priority="24"/>
  </conditionalFormatting>
  <conditionalFormatting sqref="C1180:C1183">
    <cfRule type="duplicateValues" dxfId="24" priority="173"/>
  </conditionalFormatting>
  <conditionalFormatting sqref="E1180:E1183">
    <cfRule type="duplicateValues" dxfId="23" priority="174"/>
  </conditionalFormatting>
  <conditionalFormatting sqref="C79">
    <cfRule type="duplicateValues" dxfId="22" priority="23"/>
  </conditionalFormatting>
  <conditionalFormatting sqref="E79">
    <cfRule type="duplicateValues" dxfId="21" priority="22"/>
  </conditionalFormatting>
  <conditionalFormatting sqref="C79">
    <cfRule type="duplicateValues" dxfId="20" priority="21"/>
  </conditionalFormatting>
  <conditionalFormatting sqref="C79">
    <cfRule type="duplicateValues" dxfId="19" priority="20"/>
  </conditionalFormatting>
  <conditionalFormatting sqref="C648">
    <cfRule type="duplicateValues" dxfId="18" priority="18"/>
  </conditionalFormatting>
  <conditionalFormatting sqref="E648">
    <cfRule type="duplicateValues" dxfId="17" priority="19"/>
  </conditionalFormatting>
  <conditionalFormatting sqref="C1188">
    <cfRule type="duplicateValues" dxfId="16" priority="16"/>
  </conditionalFormatting>
  <conditionalFormatting sqref="E1188">
    <cfRule type="duplicateValues" dxfId="15" priority="17"/>
  </conditionalFormatting>
  <conditionalFormatting sqref="F1189">
    <cfRule type="containsText" dxfId="14" priority="15" operator="containsText" text="(DIRETOR DE NTE)">
      <formula>NOT(ISERROR(SEARCH("(DIRETOR DE NTE)",F1189)))</formula>
    </cfRule>
  </conditionalFormatting>
  <conditionalFormatting sqref="C649">
    <cfRule type="duplicateValues" dxfId="13" priority="13"/>
  </conditionalFormatting>
  <conditionalFormatting sqref="E649">
    <cfRule type="duplicateValues" dxfId="12" priority="14"/>
  </conditionalFormatting>
  <conditionalFormatting sqref="F1192">
    <cfRule type="containsText" dxfId="11" priority="12" operator="containsText" text="(DIRETOR DE NTE)">
      <formula>NOT(ISERROR(SEARCH("(DIRETOR DE NTE)",F1192)))</formula>
    </cfRule>
  </conditionalFormatting>
  <conditionalFormatting sqref="C1192">
    <cfRule type="duplicateValues" dxfId="10" priority="11"/>
  </conditionalFormatting>
  <conditionalFormatting sqref="C1193">
    <cfRule type="duplicateValues" dxfId="9" priority="9"/>
  </conditionalFormatting>
  <conditionalFormatting sqref="E1193">
    <cfRule type="duplicateValues" dxfId="8" priority="10"/>
  </conditionalFormatting>
  <conditionalFormatting sqref="C1194">
    <cfRule type="duplicateValues" dxfId="7" priority="8"/>
  </conditionalFormatting>
  <conditionalFormatting sqref="E1194">
    <cfRule type="duplicateValues" dxfId="6" priority="7"/>
  </conditionalFormatting>
  <conditionalFormatting sqref="C1194">
    <cfRule type="duplicateValues" dxfId="5" priority="6"/>
  </conditionalFormatting>
  <conditionalFormatting sqref="C1194">
    <cfRule type="duplicateValues" dxfId="4" priority="5"/>
  </conditionalFormatting>
  <conditionalFormatting sqref="C1195">
    <cfRule type="duplicateValues" dxfId="3" priority="4"/>
  </conditionalFormatting>
  <conditionalFormatting sqref="E1195">
    <cfRule type="duplicateValues" dxfId="2" priority="3"/>
  </conditionalFormatting>
  <conditionalFormatting sqref="C1195">
    <cfRule type="duplicateValues" dxfId="1" priority="2"/>
  </conditionalFormatting>
  <conditionalFormatting sqref="C1195">
    <cfRule type="duplicateValues" dxfId="0" priority="1"/>
  </conditionalFormatting>
  <pageMargins left="0.23622047244094488" right="0.23622047244094488" top="0.74803149606299213" bottom="0.74803149606299213" header="0.31496062992125984" footer="0.31496062992125984"/>
  <pageSetup paperSize="9" scale="66" orientation="landscape" r:id="rId1"/>
  <rowBreaks count="1" manualBreakCount="1">
    <brk id="1154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R472"/>
  <sheetViews>
    <sheetView topLeftCell="E1" zoomScale="70" zoomScaleNormal="70" workbookViewId="0">
      <selection activeCell="F18" sqref="F18"/>
    </sheetView>
  </sheetViews>
  <sheetFormatPr defaultRowHeight="14.4" x14ac:dyDescent="0.3"/>
  <cols>
    <col min="1" max="6" width="33" style="11" customWidth="1"/>
    <col min="7" max="7" width="68.109375" style="11" bestFit="1" customWidth="1"/>
    <col min="8" max="8" width="24.44140625" style="11" customWidth="1"/>
    <col min="9" max="10" width="12.44140625" style="11" customWidth="1"/>
    <col min="11" max="11" width="44.33203125" style="11" customWidth="1"/>
    <col min="12" max="12" width="34.6640625" style="11" customWidth="1"/>
    <col min="13" max="13" width="62.33203125" style="1" customWidth="1"/>
    <col min="14" max="14" width="21.109375" style="1" customWidth="1"/>
    <col min="15" max="15" width="19" style="1" customWidth="1"/>
    <col min="16" max="18" width="12.44140625" style="1" customWidth="1"/>
    <col min="19" max="19" width="35" style="1" bestFit="1" customWidth="1"/>
    <col min="20" max="20" width="20.109375" style="1" bestFit="1" customWidth="1"/>
    <col min="21" max="28" width="12.44140625" style="1" customWidth="1"/>
    <col min="29" max="29" width="12.44140625" style="9" customWidth="1"/>
    <col min="30" max="38" width="12.44140625" style="1" customWidth="1"/>
    <col min="39" max="39" width="9" style="1" customWidth="1"/>
    <col min="40" max="40" width="37.88671875" style="1" customWidth="1"/>
    <col min="41" max="41" width="17.109375" style="1" customWidth="1"/>
    <col min="42" max="42" width="10.6640625" style="1" customWidth="1"/>
    <col min="43" max="43" width="30.33203125" style="1" bestFit="1" customWidth="1"/>
    <col min="44" max="46" width="20.109375" style="1" customWidth="1"/>
    <col min="47" max="47" width="16.6640625" style="1" customWidth="1"/>
    <col min="48" max="48" width="12.6640625" style="1" customWidth="1"/>
    <col min="49" max="49" width="12.88671875" style="1" customWidth="1"/>
    <col min="50" max="50" width="16.109375" style="2" customWidth="1"/>
    <col min="51" max="51" width="39.6640625" style="1" bestFit="1" customWidth="1"/>
    <col min="52" max="52" width="26.5546875" style="2" customWidth="1"/>
    <col min="53" max="53" width="18.5546875" style="2" customWidth="1"/>
    <col min="54" max="54" width="22.44140625" style="1" customWidth="1"/>
    <col min="55" max="55" width="12" customWidth="1"/>
    <col min="56" max="56" width="11.33203125" customWidth="1"/>
    <col min="57" max="57" width="13.33203125" customWidth="1"/>
    <col min="58" max="58" width="11.5546875" customWidth="1"/>
    <col min="59" max="59" width="10.33203125" customWidth="1"/>
    <col min="62" max="62" width="12.33203125" bestFit="1" customWidth="1"/>
  </cols>
  <sheetData>
    <row r="1" spans="1:70" ht="45.6" customHeight="1" x14ac:dyDescent="0.3">
      <c r="A1" s="14" t="s">
        <v>1</v>
      </c>
      <c r="B1" s="14" t="s">
        <v>11</v>
      </c>
      <c r="C1" s="14" t="s">
        <v>2</v>
      </c>
      <c r="D1" s="14" t="s">
        <v>12</v>
      </c>
      <c r="E1" s="14" t="s">
        <v>13</v>
      </c>
      <c r="F1" s="14" t="s">
        <v>15</v>
      </c>
      <c r="G1" s="14" t="s">
        <v>14</v>
      </c>
      <c r="H1" s="14" t="s">
        <v>3</v>
      </c>
      <c r="I1" s="14" t="s">
        <v>4</v>
      </c>
      <c r="J1" s="14" t="s">
        <v>5</v>
      </c>
      <c r="K1" s="14" t="s">
        <v>6</v>
      </c>
      <c r="L1" s="14" t="s">
        <v>7</v>
      </c>
      <c r="M1" s="15" t="s">
        <v>8</v>
      </c>
      <c r="N1" s="15" t="s">
        <v>9</v>
      </c>
      <c r="O1" s="15" t="s">
        <v>10</v>
      </c>
    </row>
    <row r="2" spans="1:70" ht="26.25" customHeight="1" x14ac:dyDescent="0.3">
      <c r="A2" s="12"/>
      <c r="H2" s="12"/>
      <c r="O2" s="6"/>
      <c r="V2" s="6"/>
      <c r="AC2" s="10"/>
      <c r="AJ2" s="6"/>
      <c r="BR2" s="3"/>
    </row>
    <row r="3" spans="1:70" ht="20.25" customHeight="1" x14ac:dyDescent="0.3">
      <c r="A3" s="12"/>
      <c r="H3" s="12"/>
      <c r="O3" s="6"/>
      <c r="V3" s="6"/>
      <c r="AC3" s="10"/>
      <c r="BR3" s="3"/>
    </row>
    <row r="4" spans="1:70" ht="20.25" customHeight="1" x14ac:dyDescent="0.3">
      <c r="A4" s="12"/>
      <c r="H4" s="13"/>
      <c r="O4" s="5"/>
      <c r="V4" s="6"/>
      <c r="AC4" s="10"/>
      <c r="BR4" s="3"/>
    </row>
    <row r="5" spans="1:70" ht="20.25" customHeight="1" x14ac:dyDescent="0.3">
      <c r="A5" s="12"/>
      <c r="H5" s="12"/>
      <c r="O5" s="5"/>
      <c r="V5" s="6"/>
      <c r="AC5" s="10"/>
      <c r="BR5" s="3"/>
    </row>
    <row r="6" spans="1:70" ht="28.5" customHeight="1" x14ac:dyDescent="0.3">
      <c r="H6" s="12"/>
      <c r="O6" s="6"/>
      <c r="V6" s="6"/>
      <c r="AC6" s="10"/>
      <c r="BR6" s="3"/>
    </row>
    <row r="7" spans="1:70" x14ac:dyDescent="0.3">
      <c r="O7" s="6"/>
      <c r="V7" s="6"/>
      <c r="AC7" s="10"/>
      <c r="BR7" s="3"/>
    </row>
    <row r="8" spans="1:70" x14ac:dyDescent="0.3">
      <c r="O8" s="6"/>
      <c r="V8" s="6"/>
      <c r="AC8" s="10"/>
      <c r="BR8" s="3"/>
    </row>
    <row r="9" spans="1:70" x14ac:dyDescent="0.3">
      <c r="O9" s="6"/>
      <c r="V9" s="6"/>
      <c r="AC9" s="10"/>
      <c r="BR9" s="3"/>
    </row>
    <row r="10" spans="1:70" x14ac:dyDescent="0.3">
      <c r="O10" s="6"/>
      <c r="V10" s="6"/>
      <c r="AC10" s="10"/>
      <c r="BR10" s="3"/>
    </row>
    <row r="11" spans="1:70" x14ac:dyDescent="0.3">
      <c r="O11" s="6"/>
      <c r="V11" s="6"/>
      <c r="AC11" s="10"/>
      <c r="BR11" s="3"/>
    </row>
    <row r="12" spans="1:70" x14ac:dyDescent="0.3">
      <c r="O12" s="6"/>
      <c r="V12" s="6"/>
      <c r="AC12" s="10"/>
      <c r="AJ12" s="4"/>
      <c r="BR12" s="3"/>
    </row>
    <row r="13" spans="1:70" x14ac:dyDescent="0.3">
      <c r="O13" s="6"/>
      <c r="V13" s="6"/>
      <c r="AC13" s="10"/>
      <c r="AJ13" s="4"/>
      <c r="BR13" s="3"/>
    </row>
    <row r="14" spans="1:70" x14ac:dyDescent="0.3">
      <c r="O14" s="6"/>
      <c r="V14" s="6"/>
      <c r="AC14" s="10"/>
      <c r="AO14" s="4"/>
      <c r="BR14" s="3"/>
    </row>
    <row r="15" spans="1:70" x14ac:dyDescent="0.3">
      <c r="O15" s="6"/>
      <c r="V15" s="6"/>
      <c r="AC15" s="10"/>
      <c r="AO15" s="4"/>
      <c r="BR15" s="3"/>
    </row>
    <row r="16" spans="1:70" x14ac:dyDescent="0.3">
      <c r="O16" s="6"/>
      <c r="V16" s="5"/>
      <c r="AC16" s="10"/>
      <c r="AO16" s="4"/>
      <c r="BR16" s="3"/>
    </row>
    <row r="17" spans="15:70" x14ac:dyDescent="0.3">
      <c r="O17" s="6"/>
      <c r="V17" s="6"/>
      <c r="AC17" s="10"/>
      <c r="AO17" s="4"/>
      <c r="BR17" s="3"/>
    </row>
    <row r="18" spans="15:70" x14ac:dyDescent="0.3">
      <c r="O18" s="6"/>
      <c r="V18" s="6"/>
      <c r="AC18" s="10"/>
      <c r="AO18" s="4"/>
      <c r="BR18" s="3"/>
    </row>
    <row r="19" spans="15:70" x14ac:dyDescent="0.3">
      <c r="O19" s="6"/>
      <c r="V19" s="6"/>
      <c r="AC19" s="10"/>
      <c r="AO19" s="4"/>
      <c r="BR19" s="3"/>
    </row>
    <row r="20" spans="15:70" x14ac:dyDescent="0.3">
      <c r="O20" s="6"/>
      <c r="V20" s="6"/>
      <c r="AC20" s="10"/>
      <c r="AJ20" s="4"/>
      <c r="AO20" s="4"/>
      <c r="BR20" s="3"/>
    </row>
    <row r="21" spans="15:70" x14ac:dyDescent="0.3">
      <c r="O21" s="6"/>
      <c r="V21" s="6"/>
      <c r="AC21" s="10"/>
      <c r="AJ21" s="4"/>
      <c r="AO21" s="4"/>
      <c r="BR21" s="3"/>
    </row>
    <row r="22" spans="15:70" x14ac:dyDescent="0.3">
      <c r="O22" s="6"/>
      <c r="V22" s="5"/>
      <c r="AC22" s="10"/>
      <c r="BR22" s="3"/>
    </row>
    <row r="23" spans="15:70" x14ac:dyDescent="0.3">
      <c r="O23" s="6"/>
      <c r="V23" s="6"/>
      <c r="AC23" s="10"/>
      <c r="BR23" s="3"/>
    </row>
    <row r="24" spans="15:70" x14ac:dyDescent="0.3">
      <c r="O24" s="6"/>
      <c r="V24" s="6"/>
      <c r="AC24" s="10"/>
      <c r="BR24" s="3"/>
    </row>
    <row r="25" spans="15:70" x14ac:dyDescent="0.3">
      <c r="O25" s="6"/>
      <c r="V25" s="6"/>
      <c r="AC25" s="10"/>
      <c r="BR25" s="3"/>
    </row>
    <row r="26" spans="15:70" x14ac:dyDescent="0.3">
      <c r="O26" s="6"/>
      <c r="V26" s="6"/>
      <c r="AC26" s="10"/>
      <c r="BR26" s="3"/>
    </row>
    <row r="27" spans="15:70" x14ac:dyDescent="0.3">
      <c r="O27" s="6"/>
      <c r="V27" s="5"/>
      <c r="AC27" s="10"/>
      <c r="BR27" s="3"/>
    </row>
    <row r="28" spans="15:70" x14ac:dyDescent="0.3">
      <c r="O28" s="6"/>
      <c r="V28" s="6"/>
      <c r="AC28" s="10"/>
      <c r="BR28" s="3"/>
    </row>
    <row r="29" spans="15:70" x14ac:dyDescent="0.3">
      <c r="V29" s="6"/>
      <c r="AC29" s="10"/>
      <c r="AJ29" s="4"/>
      <c r="BR29" s="3"/>
    </row>
    <row r="30" spans="15:70" x14ac:dyDescent="0.3">
      <c r="V30" s="6"/>
      <c r="AC30" s="10"/>
      <c r="AJ30" s="4"/>
      <c r="BR30" s="3"/>
    </row>
    <row r="31" spans="15:70" x14ac:dyDescent="0.3">
      <c r="V31" s="6"/>
      <c r="AC31" s="10"/>
      <c r="AR31" s="4"/>
      <c r="BR31" s="3"/>
    </row>
    <row r="32" spans="15:70" x14ac:dyDescent="0.3">
      <c r="V32" s="6"/>
      <c r="AC32" s="10"/>
      <c r="AR32" s="4"/>
      <c r="BR32" s="3"/>
    </row>
    <row r="33" spans="29:70" x14ac:dyDescent="0.3">
      <c r="AC33" s="10"/>
      <c r="AR33" s="4"/>
      <c r="BR33" s="3"/>
    </row>
    <row r="34" spans="29:70" x14ac:dyDescent="0.3">
      <c r="AC34" s="10"/>
      <c r="AJ34" s="4"/>
      <c r="AR34" s="4"/>
      <c r="BR34" s="3"/>
    </row>
    <row r="35" spans="29:70" x14ac:dyDescent="0.3">
      <c r="AC35" s="10"/>
      <c r="AR35" s="4"/>
      <c r="BR35" s="3"/>
    </row>
    <row r="36" spans="29:70" x14ac:dyDescent="0.3">
      <c r="AC36" s="10"/>
      <c r="BR36" s="3"/>
    </row>
    <row r="37" spans="29:70" x14ac:dyDescent="0.3">
      <c r="AC37" s="10"/>
      <c r="BR37" s="3"/>
    </row>
    <row r="38" spans="29:70" x14ac:dyDescent="0.3">
      <c r="AC38" s="10"/>
      <c r="BR38" s="3"/>
    </row>
    <row r="39" spans="29:70" x14ac:dyDescent="0.3">
      <c r="AC39" s="10"/>
      <c r="AJ39" s="4"/>
      <c r="BR39" s="3"/>
    </row>
    <row r="40" spans="29:70" x14ac:dyDescent="0.3">
      <c r="AO40" s="4"/>
      <c r="AR40" s="4"/>
    </row>
    <row r="41" spans="29:70" x14ac:dyDescent="0.3">
      <c r="AR41" s="4"/>
    </row>
    <row r="43" spans="29:70" x14ac:dyDescent="0.3">
      <c r="AR43" s="4"/>
      <c r="AU43" s="4"/>
    </row>
    <row r="44" spans="29:70" x14ac:dyDescent="0.3">
      <c r="AU44" s="4"/>
    </row>
    <row r="46" spans="29:70" x14ac:dyDescent="0.3">
      <c r="AR46" s="4"/>
      <c r="AU46" s="4"/>
    </row>
    <row r="47" spans="29:70" x14ac:dyDescent="0.3">
      <c r="AO47" s="4"/>
      <c r="AR47" s="4"/>
      <c r="AU47" s="4"/>
    </row>
    <row r="48" spans="29:70" x14ac:dyDescent="0.3">
      <c r="AU48" s="4"/>
    </row>
    <row r="49" spans="44:47" x14ac:dyDescent="0.3">
      <c r="AU49" s="4"/>
    </row>
    <row r="50" spans="44:47" x14ac:dyDescent="0.3">
      <c r="AU50" s="4"/>
    </row>
    <row r="51" spans="44:47" x14ac:dyDescent="0.3">
      <c r="AR51" s="4"/>
      <c r="AU51" s="4"/>
    </row>
    <row r="52" spans="44:47" x14ac:dyDescent="0.3">
      <c r="AU52" s="4"/>
    </row>
    <row r="53" spans="44:47" x14ac:dyDescent="0.3">
      <c r="AU53" s="4"/>
    </row>
    <row r="55" spans="44:47" x14ac:dyDescent="0.3">
      <c r="AR55" s="4"/>
    </row>
    <row r="56" spans="44:47" x14ac:dyDescent="0.3">
      <c r="AU56" s="4"/>
    </row>
    <row r="59" spans="44:47" x14ac:dyDescent="0.3">
      <c r="AU59" s="4"/>
    </row>
    <row r="60" spans="44:47" x14ac:dyDescent="0.3">
      <c r="AU60" s="4"/>
    </row>
    <row r="61" spans="44:47" x14ac:dyDescent="0.3">
      <c r="AU61" s="4"/>
    </row>
    <row r="62" spans="44:47" x14ac:dyDescent="0.3">
      <c r="AU62" s="4"/>
    </row>
    <row r="63" spans="44:47" x14ac:dyDescent="0.3">
      <c r="AU63" s="4"/>
    </row>
    <row r="64" spans="44:47" x14ac:dyDescent="0.3">
      <c r="AU64" s="4"/>
    </row>
    <row r="65" spans="41:47" x14ac:dyDescent="0.3">
      <c r="AU65" s="4"/>
    </row>
    <row r="66" spans="41:47" x14ac:dyDescent="0.3">
      <c r="AU66" s="4"/>
    </row>
    <row r="67" spans="41:47" x14ac:dyDescent="0.3">
      <c r="AU67" s="4"/>
    </row>
    <row r="68" spans="41:47" x14ac:dyDescent="0.3">
      <c r="AU68" s="4"/>
    </row>
    <row r="69" spans="41:47" x14ac:dyDescent="0.3">
      <c r="AU69" s="4"/>
    </row>
    <row r="70" spans="41:47" x14ac:dyDescent="0.3">
      <c r="AU70" s="4"/>
    </row>
    <row r="71" spans="41:47" x14ac:dyDescent="0.3">
      <c r="AU71" s="4"/>
    </row>
    <row r="72" spans="41:47" x14ac:dyDescent="0.3">
      <c r="AU72" s="4"/>
    </row>
    <row r="73" spans="41:47" x14ac:dyDescent="0.3">
      <c r="AU73" s="4"/>
    </row>
    <row r="74" spans="41:47" x14ac:dyDescent="0.3">
      <c r="AU74" s="4"/>
    </row>
    <row r="79" spans="41:47" x14ac:dyDescent="0.3">
      <c r="AO79" s="4"/>
    </row>
    <row r="81" spans="41:47" x14ac:dyDescent="0.3">
      <c r="AU81" s="4"/>
    </row>
    <row r="82" spans="41:47" x14ac:dyDescent="0.3">
      <c r="AU82" s="4"/>
    </row>
    <row r="83" spans="41:47" x14ac:dyDescent="0.3">
      <c r="AU83" s="4"/>
    </row>
    <row r="84" spans="41:47" x14ac:dyDescent="0.3">
      <c r="AU84" s="4"/>
    </row>
    <row r="85" spans="41:47" x14ac:dyDescent="0.3">
      <c r="AU85" s="4"/>
    </row>
    <row r="86" spans="41:47" x14ac:dyDescent="0.3">
      <c r="AR86" s="4"/>
      <c r="AU86" s="4"/>
    </row>
    <row r="87" spans="41:47" x14ac:dyDescent="0.3">
      <c r="AU87" s="4"/>
    </row>
    <row r="88" spans="41:47" x14ac:dyDescent="0.3">
      <c r="AO88" s="4"/>
      <c r="AU88" s="4"/>
    </row>
    <row r="89" spans="41:47" x14ac:dyDescent="0.3">
      <c r="AU89" s="4"/>
    </row>
    <row r="90" spans="41:47" x14ac:dyDescent="0.3">
      <c r="AU90" s="4"/>
    </row>
    <row r="91" spans="41:47" x14ac:dyDescent="0.3">
      <c r="AU91" s="4"/>
    </row>
    <row r="92" spans="41:47" x14ac:dyDescent="0.3">
      <c r="AU92" s="4"/>
    </row>
    <row r="93" spans="41:47" x14ac:dyDescent="0.3">
      <c r="AU93" s="4"/>
    </row>
    <row r="94" spans="41:47" x14ac:dyDescent="0.3">
      <c r="AU94" s="4"/>
    </row>
    <row r="95" spans="41:47" x14ac:dyDescent="0.3">
      <c r="AO95" s="4"/>
      <c r="AU95" s="4"/>
    </row>
    <row r="96" spans="41:47" x14ac:dyDescent="0.3">
      <c r="AR96" s="4"/>
      <c r="AU96" s="4"/>
    </row>
    <row r="97" spans="41:47" x14ac:dyDescent="0.3">
      <c r="AU97" s="4"/>
    </row>
    <row r="98" spans="41:47" x14ac:dyDescent="0.3">
      <c r="AR98" s="4"/>
      <c r="AU98" s="4"/>
    </row>
    <row r="99" spans="41:47" x14ac:dyDescent="0.3">
      <c r="AU99" s="4"/>
    </row>
    <row r="100" spans="41:47" x14ac:dyDescent="0.3">
      <c r="AU100" s="4"/>
    </row>
    <row r="101" spans="41:47" x14ac:dyDescent="0.3">
      <c r="AO101" s="4"/>
      <c r="AU101" s="4"/>
    </row>
    <row r="102" spans="41:47" x14ac:dyDescent="0.3">
      <c r="AU102" s="4"/>
    </row>
    <row r="103" spans="41:47" x14ac:dyDescent="0.3">
      <c r="AU103" s="4"/>
    </row>
    <row r="104" spans="41:47" x14ac:dyDescent="0.3">
      <c r="AU104" s="4"/>
    </row>
    <row r="105" spans="41:47" x14ac:dyDescent="0.3">
      <c r="AU105" s="4"/>
    </row>
    <row r="106" spans="41:47" x14ac:dyDescent="0.3">
      <c r="AR106" s="4"/>
      <c r="AU106" s="4"/>
    </row>
    <row r="107" spans="41:47" x14ac:dyDescent="0.3">
      <c r="AU107" s="4"/>
    </row>
    <row r="108" spans="41:47" x14ac:dyDescent="0.3">
      <c r="AU108" s="4"/>
    </row>
    <row r="109" spans="41:47" x14ac:dyDescent="0.3">
      <c r="AR109" s="4"/>
    </row>
    <row r="111" spans="41:47" x14ac:dyDescent="0.3">
      <c r="AU111" s="4"/>
    </row>
    <row r="112" spans="41:47" x14ac:dyDescent="0.3">
      <c r="AU112" s="4"/>
    </row>
    <row r="113" spans="41:47" x14ac:dyDescent="0.3">
      <c r="AO113" s="4"/>
      <c r="AR113" s="4"/>
      <c r="AU113" s="4"/>
    </row>
    <row r="114" spans="41:47" x14ac:dyDescent="0.3">
      <c r="AR114" s="4"/>
      <c r="AU114" s="4"/>
    </row>
    <row r="115" spans="41:47" x14ac:dyDescent="0.3">
      <c r="AU115" s="4"/>
    </row>
    <row r="116" spans="41:47" x14ac:dyDescent="0.3">
      <c r="AU116" s="4"/>
    </row>
    <row r="120" spans="41:47" x14ac:dyDescent="0.3">
      <c r="AR120" s="4"/>
    </row>
    <row r="121" spans="41:47" x14ac:dyDescent="0.3">
      <c r="AU121" s="4"/>
    </row>
    <row r="122" spans="41:47" x14ac:dyDescent="0.3">
      <c r="AU122" s="4"/>
    </row>
    <row r="123" spans="41:47" x14ac:dyDescent="0.3">
      <c r="AU123" s="4"/>
    </row>
    <row r="124" spans="41:47" x14ac:dyDescent="0.3">
      <c r="AU124" s="4"/>
    </row>
    <row r="125" spans="41:47" x14ac:dyDescent="0.3">
      <c r="AU125" s="4"/>
    </row>
    <row r="126" spans="41:47" x14ac:dyDescent="0.3">
      <c r="AU126" s="4"/>
    </row>
    <row r="127" spans="41:47" x14ac:dyDescent="0.3">
      <c r="AU127" s="4"/>
    </row>
    <row r="128" spans="41:47" x14ac:dyDescent="0.3">
      <c r="AR128" s="4"/>
      <c r="AU128" s="4"/>
    </row>
    <row r="129" spans="41:47" x14ac:dyDescent="0.3">
      <c r="AR129" s="4"/>
      <c r="AU129" s="4"/>
    </row>
    <row r="130" spans="41:47" x14ac:dyDescent="0.3">
      <c r="AU130" s="4"/>
    </row>
    <row r="131" spans="41:47" x14ac:dyDescent="0.3">
      <c r="AU131" s="4"/>
    </row>
    <row r="135" spans="41:47" x14ac:dyDescent="0.3">
      <c r="AU135" s="4"/>
    </row>
    <row r="136" spans="41:47" x14ac:dyDescent="0.3">
      <c r="AU136" s="4"/>
    </row>
    <row r="140" spans="41:47" x14ac:dyDescent="0.3">
      <c r="AU140" s="4"/>
    </row>
    <row r="143" spans="41:47" x14ac:dyDescent="0.3">
      <c r="AO143" s="4"/>
    </row>
    <row r="144" spans="41:47" x14ac:dyDescent="0.3">
      <c r="AR144" s="4"/>
      <c r="AU144" s="4"/>
    </row>
    <row r="145" spans="41:47" x14ac:dyDescent="0.3">
      <c r="AR145" s="4"/>
      <c r="AU145" s="4"/>
    </row>
    <row r="146" spans="41:47" x14ac:dyDescent="0.3">
      <c r="AU146" s="4"/>
    </row>
    <row r="149" spans="41:47" x14ac:dyDescent="0.3">
      <c r="AO149" s="4"/>
    </row>
    <row r="151" spans="41:47" x14ac:dyDescent="0.3">
      <c r="AU151" s="4"/>
    </row>
    <row r="152" spans="41:47" x14ac:dyDescent="0.3">
      <c r="AU152" s="4"/>
    </row>
    <row r="153" spans="41:47" x14ac:dyDescent="0.3">
      <c r="AU153" s="4"/>
    </row>
    <row r="154" spans="41:47" x14ac:dyDescent="0.3">
      <c r="AO154" s="4"/>
      <c r="AU154" s="4"/>
    </row>
    <row r="155" spans="41:47" x14ac:dyDescent="0.3">
      <c r="AU155" s="4"/>
    </row>
    <row r="156" spans="41:47" x14ac:dyDescent="0.3">
      <c r="AU156" s="4"/>
    </row>
    <row r="157" spans="41:47" x14ac:dyDescent="0.3">
      <c r="AU157" s="4"/>
    </row>
    <row r="158" spans="41:47" x14ac:dyDescent="0.3">
      <c r="AU158" s="4"/>
    </row>
    <row r="159" spans="41:47" x14ac:dyDescent="0.3">
      <c r="AU159" s="4"/>
    </row>
    <row r="160" spans="41:47" x14ac:dyDescent="0.3">
      <c r="AU160" s="4"/>
    </row>
    <row r="161" spans="41:47" x14ac:dyDescent="0.3">
      <c r="AU161" s="4"/>
    </row>
    <row r="162" spans="41:47" x14ac:dyDescent="0.3">
      <c r="AU162" s="4"/>
    </row>
    <row r="163" spans="41:47" x14ac:dyDescent="0.3">
      <c r="AR163" s="4"/>
      <c r="AU163" s="4"/>
    </row>
    <row r="164" spans="41:47" x14ac:dyDescent="0.3">
      <c r="AU164" s="4"/>
    </row>
    <row r="165" spans="41:47" x14ac:dyDescent="0.3">
      <c r="AU165" s="4"/>
    </row>
    <row r="166" spans="41:47" x14ac:dyDescent="0.3">
      <c r="AU166" s="4"/>
    </row>
    <row r="167" spans="41:47" x14ac:dyDescent="0.3">
      <c r="AO167" s="4"/>
      <c r="AU167" s="4"/>
    </row>
    <row r="168" spans="41:47" x14ac:dyDescent="0.3">
      <c r="AU168" s="4"/>
    </row>
    <row r="169" spans="41:47" x14ac:dyDescent="0.3">
      <c r="AU169" s="4"/>
    </row>
    <row r="170" spans="41:47" x14ac:dyDescent="0.3">
      <c r="AR170" s="4"/>
      <c r="AU170" s="4"/>
    </row>
    <row r="171" spans="41:47" x14ac:dyDescent="0.3">
      <c r="AR171" s="4"/>
      <c r="AU171" s="4"/>
    </row>
    <row r="172" spans="41:47" x14ac:dyDescent="0.3">
      <c r="AU172" s="4"/>
    </row>
    <row r="173" spans="41:47" x14ac:dyDescent="0.3">
      <c r="AU173" s="4"/>
    </row>
    <row r="174" spans="41:47" x14ac:dyDescent="0.3">
      <c r="AU174" s="4"/>
    </row>
    <row r="175" spans="41:47" x14ac:dyDescent="0.3">
      <c r="AU175" s="4"/>
    </row>
    <row r="176" spans="41:47" x14ac:dyDescent="0.3">
      <c r="AR176" s="4"/>
      <c r="AU176" s="4"/>
    </row>
    <row r="177" spans="41:47" x14ac:dyDescent="0.3">
      <c r="AU177" s="4"/>
    </row>
    <row r="179" spans="41:47" x14ac:dyDescent="0.3">
      <c r="AU179" s="4"/>
    </row>
    <row r="183" spans="41:47" x14ac:dyDescent="0.3">
      <c r="AO183" s="4"/>
    </row>
    <row r="185" spans="41:47" x14ac:dyDescent="0.3">
      <c r="AU185" s="4"/>
    </row>
    <row r="186" spans="41:47" x14ac:dyDescent="0.3">
      <c r="AR186" s="4"/>
      <c r="AU186" s="4"/>
    </row>
    <row r="187" spans="41:47" x14ac:dyDescent="0.3">
      <c r="AU187" s="4"/>
    </row>
    <row r="188" spans="41:47" x14ac:dyDescent="0.3">
      <c r="AU188" s="4"/>
    </row>
    <row r="189" spans="41:47" x14ac:dyDescent="0.3">
      <c r="AU189" s="4"/>
    </row>
    <row r="190" spans="41:47" x14ac:dyDescent="0.3">
      <c r="AR190" s="4"/>
      <c r="AU190" s="4"/>
    </row>
    <row r="191" spans="41:47" x14ac:dyDescent="0.3">
      <c r="AU191" s="4"/>
    </row>
    <row r="193" spans="44:47" x14ac:dyDescent="0.3">
      <c r="AR193" s="4"/>
    </row>
    <row r="194" spans="44:47" x14ac:dyDescent="0.3">
      <c r="AR194" s="4"/>
    </row>
    <row r="195" spans="44:47" x14ac:dyDescent="0.3">
      <c r="AR195" s="4"/>
    </row>
    <row r="198" spans="44:47" x14ac:dyDescent="0.3">
      <c r="AU198" s="4"/>
    </row>
    <row r="199" spans="44:47" x14ac:dyDescent="0.3">
      <c r="AU199" s="4"/>
    </row>
    <row r="200" spans="44:47" x14ac:dyDescent="0.3">
      <c r="AR200" s="4"/>
      <c r="AU200" s="4"/>
    </row>
    <row r="203" spans="44:47" x14ac:dyDescent="0.3">
      <c r="AU203" s="4"/>
    </row>
    <row r="208" spans="44:47" x14ac:dyDescent="0.3">
      <c r="AR208" s="4"/>
    </row>
    <row r="209" spans="41:47" x14ac:dyDescent="0.3">
      <c r="AR209" s="4"/>
    </row>
    <row r="210" spans="41:47" x14ac:dyDescent="0.3">
      <c r="AU210" s="4"/>
    </row>
    <row r="212" spans="41:47" x14ac:dyDescent="0.3">
      <c r="AO212" s="4"/>
    </row>
    <row r="213" spans="41:47" x14ac:dyDescent="0.3">
      <c r="AU213" s="4"/>
    </row>
    <row r="216" spans="41:47" x14ac:dyDescent="0.3">
      <c r="AU216" s="4"/>
    </row>
    <row r="217" spans="41:47" x14ac:dyDescent="0.3">
      <c r="AR217" s="4"/>
    </row>
    <row r="218" spans="41:47" x14ac:dyDescent="0.3">
      <c r="AR218" s="4"/>
    </row>
    <row r="221" spans="41:47" x14ac:dyDescent="0.3">
      <c r="AU221" s="4"/>
    </row>
    <row r="222" spans="41:47" x14ac:dyDescent="0.3">
      <c r="AU222" s="4"/>
    </row>
    <row r="223" spans="41:47" x14ac:dyDescent="0.3">
      <c r="AU223" s="4"/>
    </row>
    <row r="224" spans="41:47" x14ac:dyDescent="0.3">
      <c r="AU224" s="4"/>
    </row>
    <row r="226" spans="41:47" x14ac:dyDescent="0.3">
      <c r="AO226" s="4"/>
    </row>
    <row r="229" spans="41:47" x14ac:dyDescent="0.3">
      <c r="AU229" s="4"/>
    </row>
    <row r="230" spans="41:47" x14ac:dyDescent="0.3">
      <c r="AU230" s="4"/>
    </row>
    <row r="231" spans="41:47" x14ac:dyDescent="0.3">
      <c r="AU231" s="4"/>
    </row>
    <row r="232" spans="41:47" x14ac:dyDescent="0.3">
      <c r="AU232" s="4"/>
    </row>
    <row r="233" spans="41:47" x14ac:dyDescent="0.3">
      <c r="AU233" s="4"/>
    </row>
    <row r="234" spans="41:47" x14ac:dyDescent="0.3">
      <c r="AU234" s="4"/>
    </row>
    <row r="235" spans="41:47" x14ac:dyDescent="0.3">
      <c r="AU235" s="4"/>
    </row>
    <row r="238" spans="41:47" x14ac:dyDescent="0.3">
      <c r="AR238" s="4"/>
    </row>
    <row r="239" spans="41:47" x14ac:dyDescent="0.3">
      <c r="AO239" s="4"/>
      <c r="AR239" s="4"/>
    </row>
    <row r="240" spans="41:47" x14ac:dyDescent="0.3">
      <c r="AR240" s="4"/>
    </row>
    <row r="241" spans="41:47" x14ac:dyDescent="0.3">
      <c r="AU241" s="4"/>
    </row>
    <row r="244" spans="41:47" x14ac:dyDescent="0.3">
      <c r="AR244" s="4"/>
    </row>
    <row r="245" spans="41:47" x14ac:dyDescent="0.3">
      <c r="AO245" s="4"/>
    </row>
    <row r="248" spans="41:47" x14ac:dyDescent="0.3">
      <c r="AU248" s="4"/>
    </row>
    <row r="249" spans="41:47" x14ac:dyDescent="0.3">
      <c r="AU249" s="4"/>
    </row>
    <row r="250" spans="41:47" x14ac:dyDescent="0.3">
      <c r="AU250" s="4"/>
    </row>
    <row r="251" spans="41:47" x14ac:dyDescent="0.3">
      <c r="AU251" s="4"/>
    </row>
    <row r="252" spans="41:47" x14ac:dyDescent="0.3">
      <c r="AU252" s="4"/>
    </row>
    <row r="253" spans="41:47" x14ac:dyDescent="0.3">
      <c r="AU253" s="4"/>
    </row>
    <row r="257" spans="41:47" x14ac:dyDescent="0.3">
      <c r="AO257" s="4"/>
    </row>
    <row r="260" spans="41:47" x14ac:dyDescent="0.3">
      <c r="AR260" s="4"/>
    </row>
    <row r="261" spans="41:47" x14ac:dyDescent="0.3">
      <c r="AU261" s="4"/>
    </row>
    <row r="264" spans="41:47" x14ac:dyDescent="0.3">
      <c r="AO264" s="4"/>
      <c r="AU264" s="4"/>
    </row>
    <row r="265" spans="41:47" x14ac:dyDescent="0.3">
      <c r="AU265" s="4"/>
    </row>
    <row r="269" spans="41:47" x14ac:dyDescent="0.3">
      <c r="AU269" s="4"/>
    </row>
    <row r="270" spans="41:47" x14ac:dyDescent="0.3">
      <c r="AU270" s="4"/>
    </row>
    <row r="273" spans="41:47" x14ac:dyDescent="0.3">
      <c r="AU273" s="4"/>
    </row>
    <row r="274" spans="41:47" x14ac:dyDescent="0.3">
      <c r="AR274" s="4"/>
      <c r="AU274" s="4"/>
    </row>
    <row r="275" spans="41:47" x14ac:dyDescent="0.3">
      <c r="AR275" s="4"/>
      <c r="AU275" s="4"/>
    </row>
    <row r="276" spans="41:47" x14ac:dyDescent="0.3">
      <c r="AU276" s="4"/>
    </row>
    <row r="278" spans="41:47" x14ac:dyDescent="0.3">
      <c r="AU278" s="4"/>
    </row>
    <row r="279" spans="41:47" x14ac:dyDescent="0.3">
      <c r="AU279" s="4"/>
    </row>
    <row r="280" spans="41:47" x14ac:dyDescent="0.3">
      <c r="AR280" s="4"/>
      <c r="AU280" s="4"/>
    </row>
    <row r="281" spans="41:47" x14ac:dyDescent="0.3">
      <c r="AO281" s="4"/>
      <c r="AR281" s="4"/>
    </row>
    <row r="282" spans="41:47" x14ac:dyDescent="0.3">
      <c r="AR282" s="4"/>
    </row>
    <row r="284" spans="41:47" x14ac:dyDescent="0.3">
      <c r="AO284" s="4"/>
    </row>
    <row r="286" spans="41:47" x14ac:dyDescent="0.3">
      <c r="AU286" s="4"/>
    </row>
    <row r="290" spans="41:47" x14ac:dyDescent="0.3">
      <c r="AU290" s="4"/>
    </row>
    <row r="292" spans="41:47" x14ac:dyDescent="0.3">
      <c r="AO292" s="4"/>
    </row>
    <row r="295" spans="41:47" x14ac:dyDescent="0.3">
      <c r="AU295" s="4"/>
    </row>
    <row r="296" spans="41:47" x14ac:dyDescent="0.3">
      <c r="AR296" s="4"/>
      <c r="AU296" s="4"/>
    </row>
    <row r="297" spans="41:47" x14ac:dyDescent="0.3">
      <c r="AU297" s="4"/>
    </row>
    <row r="299" spans="41:47" x14ac:dyDescent="0.3">
      <c r="AR299" s="4"/>
    </row>
    <row r="300" spans="41:47" x14ac:dyDescent="0.3">
      <c r="AU300" s="4"/>
    </row>
    <row r="303" spans="41:47" x14ac:dyDescent="0.3">
      <c r="AR303" s="4"/>
    </row>
    <row r="307" spans="41:47" x14ac:dyDescent="0.3">
      <c r="AU307" s="4"/>
    </row>
    <row r="311" spans="41:47" x14ac:dyDescent="0.3">
      <c r="AO311" s="4"/>
    </row>
    <row r="313" spans="41:47" x14ac:dyDescent="0.3">
      <c r="AO313" s="4"/>
    </row>
    <row r="316" spans="41:47" x14ac:dyDescent="0.3">
      <c r="AR316" s="4"/>
    </row>
    <row r="317" spans="41:47" x14ac:dyDescent="0.3">
      <c r="AR317" s="4"/>
    </row>
    <row r="320" spans="41:47" x14ac:dyDescent="0.3">
      <c r="AU320" s="4"/>
    </row>
    <row r="321" spans="41:47" x14ac:dyDescent="0.3">
      <c r="AU321" s="4"/>
    </row>
    <row r="322" spans="41:47" x14ac:dyDescent="0.3">
      <c r="AU322" s="4"/>
    </row>
    <row r="323" spans="41:47" x14ac:dyDescent="0.3">
      <c r="AU323" s="4"/>
    </row>
    <row r="324" spans="41:47" x14ac:dyDescent="0.3">
      <c r="AR324" s="4"/>
    </row>
    <row r="325" spans="41:47" x14ac:dyDescent="0.3">
      <c r="AR325" s="4"/>
    </row>
    <row r="327" spans="41:47" x14ac:dyDescent="0.3">
      <c r="AO327" s="4"/>
    </row>
    <row r="328" spans="41:47" x14ac:dyDescent="0.3">
      <c r="AR328" s="4"/>
    </row>
    <row r="330" spans="41:47" x14ac:dyDescent="0.3">
      <c r="AU330" s="4"/>
    </row>
    <row r="331" spans="41:47" x14ac:dyDescent="0.3">
      <c r="AO331" s="4"/>
      <c r="AU331" s="4"/>
    </row>
    <row r="334" spans="41:47" x14ac:dyDescent="0.3">
      <c r="AO334" s="4"/>
    </row>
    <row r="338" spans="44:47" x14ac:dyDescent="0.3">
      <c r="AR338" s="4"/>
    </row>
    <row r="342" spans="44:47" x14ac:dyDescent="0.3">
      <c r="AR342" s="4"/>
    </row>
    <row r="345" spans="44:47" x14ac:dyDescent="0.3">
      <c r="AU345" s="4"/>
    </row>
    <row r="349" spans="44:47" x14ac:dyDescent="0.3">
      <c r="AR349" s="4"/>
    </row>
    <row r="357" spans="44:47" x14ac:dyDescent="0.3">
      <c r="AR357" s="4"/>
    </row>
    <row r="359" spans="44:47" x14ac:dyDescent="0.3">
      <c r="AR359" s="4"/>
    </row>
    <row r="362" spans="44:47" x14ac:dyDescent="0.3">
      <c r="AU362" s="4"/>
    </row>
    <row r="363" spans="44:47" x14ac:dyDescent="0.3">
      <c r="AU363" s="4"/>
    </row>
    <row r="370" spans="44:47" x14ac:dyDescent="0.3">
      <c r="AR370" s="4"/>
      <c r="AU370" s="4"/>
    </row>
    <row r="371" spans="44:47" x14ac:dyDescent="0.3">
      <c r="AU371" s="4"/>
    </row>
    <row r="373" spans="44:47" x14ac:dyDescent="0.3">
      <c r="AR373" s="4"/>
    </row>
    <row r="374" spans="44:47" x14ac:dyDescent="0.3">
      <c r="AR374" s="4"/>
    </row>
    <row r="377" spans="44:47" x14ac:dyDescent="0.3">
      <c r="AR377" s="4"/>
    </row>
    <row r="380" spans="44:47" x14ac:dyDescent="0.3">
      <c r="AR380" s="4"/>
    </row>
    <row r="384" spans="44:47" x14ac:dyDescent="0.3">
      <c r="AR384" s="4"/>
    </row>
    <row r="388" spans="47:47" x14ac:dyDescent="0.3">
      <c r="AU388" s="4"/>
    </row>
    <row r="395" spans="47:47" x14ac:dyDescent="0.3">
      <c r="AU395" s="4"/>
    </row>
    <row r="403" spans="44:47" x14ac:dyDescent="0.3">
      <c r="AR403" s="4"/>
    </row>
    <row r="405" spans="44:47" x14ac:dyDescent="0.3">
      <c r="AR405" s="4"/>
    </row>
    <row r="416" spans="44:47" x14ac:dyDescent="0.3">
      <c r="AU416" s="4"/>
    </row>
    <row r="419" spans="44:47" x14ac:dyDescent="0.3">
      <c r="AR419" s="4"/>
    </row>
    <row r="420" spans="44:47" x14ac:dyDescent="0.3">
      <c r="AU420" s="4"/>
    </row>
    <row r="423" spans="44:47" x14ac:dyDescent="0.3">
      <c r="AR423" s="4"/>
    </row>
    <row r="426" spans="44:47" x14ac:dyDescent="0.3">
      <c r="AR426" s="4"/>
    </row>
    <row r="430" spans="44:47" x14ac:dyDescent="0.3">
      <c r="AU430" s="4"/>
    </row>
    <row r="449" spans="47:47" x14ac:dyDescent="0.3">
      <c r="AU449" s="4"/>
    </row>
    <row r="451" spans="47:47" x14ac:dyDescent="0.3">
      <c r="AU451" s="4"/>
    </row>
    <row r="465" spans="47:47" x14ac:dyDescent="0.3">
      <c r="AU465" s="4"/>
    </row>
    <row r="469" spans="47:47" x14ac:dyDescent="0.3">
      <c r="AU469" s="4"/>
    </row>
    <row r="472" spans="47:47" x14ac:dyDescent="0.3">
      <c r="AU472" s="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PDDE BASICO</vt:lpstr>
      <vt:lpstr>QUALIDADE</vt:lpstr>
      <vt:lpstr>EQUIDADE</vt:lpstr>
      <vt:lpstr>dadoscnpj</vt:lpstr>
      <vt:lpstr>Plan atualizada aptas e desativ</vt:lpstr>
      <vt:lpstr>cabecalho</vt:lpstr>
      <vt:lpstr>'Plan atualizada aptas e desativ'!Area_de_impressao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José Silva</dc:creator>
  <cp:lastModifiedBy>Fernando José Silva</cp:lastModifiedBy>
  <dcterms:created xsi:type="dcterms:W3CDTF">2025-12-21T11:41:39Z</dcterms:created>
  <dcterms:modified xsi:type="dcterms:W3CDTF">2026-02-12T00:23:46Z</dcterms:modified>
</cp:coreProperties>
</file>